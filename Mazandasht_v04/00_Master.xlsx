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Op" sheetId="6" state="visible" r:id="rId6"/>
    <sheet name="Bsk" sheetId="7" state="visible" r:id="rId7"/>
    <sheet name="Prd" sheetId="8" state="visible" r:id="rId8"/>
    <sheet name="Bnk" sheetId="9" state="visible" r:id="rId9"/>
    <sheet name="List" sheetId="10" state="visible" r:id="rId10"/>
    <sheet name="Sync" sheetId="11" state="visible" r:id="rId11"/>
    <sheet name="Help" sheetId="12" state="visible" r:id="rId12"/>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List!$S$10:$S$29</definedName>
    <definedName name="ListOtherScalesLabel">List!$T$10:$T$29</definedName>
    <definedName name="ListBankNames">List!$U$10:$U$19</definedName>
    <definedName name="_xlnm.Print_Area" localSheetId="0">'Home'!$A$1:$J$48</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_FilterDatabase" localSheetId="5" hidden="1">'Op'!$A$8:$S$34</definedName>
    <definedName name="_xlnm.Print_Titles" localSheetId="5">'Op'!$7:$9</definedName>
    <definedName name="_xlnm.Print_Area" localSheetId="5">'Op'!$A$1:$S$35</definedName>
    <definedName name="_xlnm._FilterDatabase" localSheetId="6" hidden="1">'Bsk'!$A$8:$J$22</definedName>
    <definedName name="_xlnm.Print_Titles" localSheetId="6">'Bsk'!$7:$9</definedName>
    <definedName name="_xlnm.Print_Area" localSheetId="6">'Bsk'!$A$1:$J$24</definedName>
    <definedName name="_xlnm._FilterDatabase" localSheetId="7" hidden="1">'Prd'!$A$8:$G$30</definedName>
    <definedName name="_xlnm.Print_Titles" localSheetId="7">'Prd'!$7:$9</definedName>
    <definedName name="_xlnm.Print_Area" localSheetId="7">'Prd'!$A$1:$G$32</definedName>
    <definedName name="_xlnm._FilterDatabase" localSheetId="8" hidden="1">'Bnk'!$A$8:$G$20</definedName>
    <definedName name="_xlnm.Print_Titles" localSheetId="8">'Bnk'!$7:$9</definedName>
    <definedName name="_xlnm.Print_Area" localSheetId="8">'Bnk'!$A$1:$G$22</definedName>
    <definedName name="_xlnm.Print_Titles" localSheetId="9">'List'!$8:$9</definedName>
    <definedName name="_xlnm.Print_Area" localSheetId="9">'List'!$A$1:$R$31</definedName>
    <definedName name="_xlnm.Print_Area" localSheetId="10">'Sync'!$A$1:$K$50</definedName>
    <definedName name="_xlnm.Print_Area" localSheetId="11">'Help'!$A$1:$J$119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84">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b val="1"/>
      <color rgb="FF14453D"/>
      <sz val="9"/>
    </font>
    <font>
      <name val="B Nazanin"/>
      <i val="1"/>
      <color rgb="007A7A7A"/>
      <sz val="9"/>
    </font>
    <font>
      <name val="B Nazanin"/>
      <b val="1"/>
      <color rgb="00FFFFFF"/>
      <sz val="10.5"/>
    </font>
    <font>
      <name val="B Nazanin"/>
      <b val="1"/>
      <color rgb="0014453D"/>
      <sz val="9"/>
    </font>
  </fonts>
  <fills count="26">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E4F0E8"/>
      </patternFill>
    </fill>
  </fills>
  <borders count="58">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right/>
      <top style="thin">
        <color rgb="FF1F5C4D"/>
      </top>
      <bottom style="medium">
        <color rgb="FFC89B3C"/>
      </bottom>
      <diagonal/>
    </border>
    <border>
      <left/>
      <right style="thin">
        <color rgb="FF1F5C4D"/>
      </right>
      <top style="thin">
        <color rgb="FF1F5C4D"/>
      </top>
      <bottom style="medium">
        <color rgb="FFC89B3C"/>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170">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9" borderId="10" applyAlignment="1" pivotButton="0" quotePrefix="0" xfId="0">
      <alignment horizontal="center" vertical="center"/>
    </xf>
    <xf numFmtId="0" fontId="0" fillId="0" borderId="55" pivotButton="0" quotePrefix="0" xfId="0"/>
    <xf numFmtId="0" fontId="0" fillId="0" borderId="56" pivotButton="0" quotePrefix="0" xfId="0"/>
    <xf numFmtId="0" fontId="81" fillId="0" borderId="0" applyAlignment="1" pivotButton="0" quotePrefix="0" xfId="0">
      <alignment horizontal="right" vertical="top" wrapText="1"/>
    </xf>
    <xf numFmtId="0" fontId="0" fillId="0" borderId="53" pivotButton="0" quotePrefix="0" xfId="0"/>
    <xf numFmtId="0" fontId="0" fillId="0" borderId="54" pivotButton="0" quotePrefix="0" xfId="0"/>
    <xf numFmtId="0" fontId="82" fillId="24" borderId="0" applyAlignment="1" pivotButton="0" quotePrefix="0" xfId="0">
      <alignment horizontal="right" vertical="center"/>
    </xf>
    <xf numFmtId="0" fontId="83" fillId="25" borderId="57"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01_Entry.xlsx" TargetMode="External" Id="rId6" /><Relationship Type="http://schemas.openxmlformats.org/officeDocument/2006/relationships/hyperlink" Target="02_Bank.xlsx" TargetMode="External" Id="rId7" /><Relationship Type="http://schemas.openxmlformats.org/officeDocument/2006/relationships/hyperlink" Target="03_Report.xlsx" TargetMode="External" Id="rId8" /><Relationship Type="http://schemas.openxmlformats.org/officeDocument/2006/relationships/hyperlink" Target="04_Inv.xlsx" TargetMode="External" Id="rId9" /><Relationship Type="http://schemas.openxmlformats.org/officeDocument/2006/relationships/hyperlink" Target="05_Bal.xlsx" TargetMode="External" Id="rId10" /><Relationship Type="http://schemas.openxmlformats.org/officeDocument/2006/relationships/hyperlink" Target="06_Buyers.xlsx" TargetMode="External" Id="rId11" /><Relationship Type="http://schemas.openxmlformats.org/officeDocument/2006/relationships/hyperlink" Target="07_Demo.xlsx" TargetMode="External" Id="rId12" /><Relationship Type="http://schemas.openxmlformats.org/officeDocument/2006/relationships/hyperlink" Target="08_Dash.xlsx" TargetMode="External" Id="rId13" /><Relationship Type="http://schemas.openxmlformats.org/officeDocument/2006/relationships/drawing" Target="/xl/drawings/drawing1.xm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8"/>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ht="24" customHeight="1">
      <c r="A46" s="168" t="inlineStr">
        <is>
          <t xml:space="preserve">     فایل‌های همراه — با یک کلیک باز می‌شوند (مسیر نسبی، همه در همین پوشه)</t>
        </is>
      </c>
    </row>
    <row r="47" ht="22" customHeight="1">
      <c r="A47" s="169" t="inlineStr">
        <is>
          <t>دفتر ثبت  01_Entry</t>
        </is>
      </c>
      <c r="C47" s="169" t="inlineStr">
        <is>
          <t>بانک  02_Bank</t>
        </is>
      </c>
      <c r="E47" s="169" t="inlineStr">
        <is>
          <t>گزارش‌ها  03_Report</t>
        </is>
      </c>
      <c r="G47" s="169" t="inlineStr">
        <is>
          <t>فاکتورها  04_Inv</t>
        </is>
      </c>
      <c r="I47" s="169" t="inlineStr">
        <is>
          <t>تراز  05_Bal</t>
        </is>
      </c>
    </row>
    <row r="48" ht="22" customHeight="1">
      <c r="A48" s="169" t="inlineStr">
        <is>
          <t>خریداران  06_Buyers</t>
        </is>
      </c>
      <c r="C48" s="169" t="inlineStr">
        <is>
          <t>نمونه  07_Demo</t>
        </is>
      </c>
      <c r="E48" s="169" t="inlineStr">
        <is>
          <t>داشبورد  08_Dash</t>
        </is>
      </c>
    </row>
  </sheetData>
  <mergeCells count="65">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46:J46"/>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47" r:id="rId6"/>
    <hyperlink xmlns:r="http://schemas.openxmlformats.org/officeDocument/2006/relationships" ref="C47" r:id="rId7"/>
    <hyperlink xmlns:r="http://schemas.openxmlformats.org/officeDocument/2006/relationships" ref="E47" r:id="rId8"/>
    <hyperlink xmlns:r="http://schemas.openxmlformats.org/officeDocument/2006/relationships" ref="G47" r:id="rId9"/>
    <hyperlink xmlns:r="http://schemas.openxmlformats.org/officeDocument/2006/relationships" ref="I47" r:id="rId10"/>
    <hyperlink xmlns:r="http://schemas.openxmlformats.org/officeDocument/2006/relationships" ref="A48" r:id="rId11"/>
    <hyperlink xmlns:r="http://schemas.openxmlformats.org/officeDocument/2006/relationships" ref="C48" r:id="rId12"/>
    <hyperlink xmlns:r="http://schemas.openxmlformats.org/officeDocument/2006/relationships" ref="E48" r:id="rId13"/>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4"/>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5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62" t="inlineStr">
        <is>
          <t>راهنمای باسکول دیگران</t>
        </is>
      </c>
      <c r="L9" s="163" t="n"/>
      <c r="M9" s="163" t="n"/>
      <c r="N9" s="163" t="n"/>
      <c r="O9" s="163" t="n"/>
      <c r="P9" s="164"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65"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6B7A76"/>
    <outlinePr summaryBelow="1" summaryRight="1"/>
    <pageSetUpPr fitToPage="1"/>
  </sheetPr>
  <dimension ref="A1:U32"/>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دریافت از مشتری</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پرداخت به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دریافت نقدی و واریز به بانک</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پرداخت هزینه</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داخلی بین بانک‌ها</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پرداخت انعام مصطفی</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پرداخت به باسکول دیگران</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واریز پز باسکول (۲۰۰۶)</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پاس چک (پرداخت چک)</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برگشت چک دریافتی</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واریز چک به حساب</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دریافت تسهیلات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بازپرداخت تسهیلات</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سایر دریافت</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سایر پرداخت</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تسویه دریافت (واسط)</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تسویه پرداخت (واسط)</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T29" s="152" t="inlineStr">
        <is>
          <t>BD020 – (بدون نام)</t>
        </is>
      </c>
    </row>
    <row r="30"/>
    <row r="31"/>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66" t="n"/>
      <c r="U32" s="167" t="n"/>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1.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4" t="inlineStr">
        <is>
          <t>دریافت از مشتری</t>
        </is>
      </c>
      <c r="I7" s="155" t="inlineStr">
        <is>
          <t>IN</t>
        </is>
      </c>
      <c r="J7" s="155" t="inlineStr">
        <is>
          <t>CODE</t>
        </is>
      </c>
      <c r="K7" s="155" t="inlineStr"/>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4" t="inlineStr">
        <is>
          <t>پرداخت به مشتری</t>
        </is>
      </c>
      <c r="I8" s="155" t="inlineStr">
        <is>
          <t>OUT</t>
        </is>
      </c>
      <c r="J8" s="155" t="inlineStr">
        <is>
          <t>CODE</t>
        </is>
      </c>
      <c r="K8" s="155" t="inlineStr"/>
    </row>
    <row r="9" ht="21" customHeight="1">
      <c r="A9" s="93" t="inlineStr">
        <is>
          <t>P01</t>
        </is>
      </c>
      <c r="B9" s="94">
        <f>IFERROR(VLOOKUP($A9,Par!$A$10:$E$21,2,0),"")</f>
        <v/>
      </c>
      <c r="C9" s="156">
        <f>IFERROR(VLOOKUP($A9,Par!$A$10:$E$21,3,0),"")</f>
        <v/>
      </c>
      <c r="D9" s="96">
        <f>IFERROR(VLOOKUP($A9,Par!$A$10:$E$21,4,0),"")</f>
        <v/>
      </c>
      <c r="E9" s="94">
        <f>IFERROR(VLOOKUP($A9,Par!$A$10:$E$21,5,0),"")</f>
        <v/>
      </c>
      <c r="F9" s="96" t="inlineStr">
        <is>
          <t>Params</t>
        </is>
      </c>
      <c r="H9" s="154" t="inlineStr">
        <is>
          <t>دریافت نقدی و واریز به بانک</t>
        </is>
      </c>
      <c r="I9" s="155" t="inlineStr">
        <is>
          <t>IN</t>
        </is>
      </c>
      <c r="J9" s="155" t="inlineStr">
        <is>
          <t>FIXED</t>
        </is>
      </c>
      <c r="K9" s="155" t="inlineStr">
        <is>
          <t>X003</t>
        </is>
      </c>
    </row>
    <row r="10" ht="21" customHeight="1">
      <c r="A10" s="93" t="inlineStr">
        <is>
          <t>P02</t>
        </is>
      </c>
      <c r="B10" s="94">
        <f>IFERROR(VLOOKUP($A10,Par!$A$10:$E$21,2,0),"")</f>
        <v/>
      </c>
      <c r="C10" s="156">
        <f>IFERROR(VLOOKUP($A10,Par!$A$10:$E$21,3,0),"")</f>
        <v/>
      </c>
      <c r="D10" s="96">
        <f>IFERROR(VLOOKUP($A10,Par!$A$10:$E$21,4,0),"")</f>
        <v/>
      </c>
      <c r="E10" s="94">
        <f>IFERROR(VLOOKUP($A10,Par!$A$10:$E$21,5,0),"")</f>
        <v/>
      </c>
      <c r="F10" s="96" t="inlineStr">
        <is>
          <t>Params</t>
        </is>
      </c>
      <c r="H10" s="154" t="inlineStr">
        <is>
          <t>پرداخت هزینه</t>
        </is>
      </c>
      <c r="I10" s="155" t="inlineStr">
        <is>
          <t>OUT</t>
        </is>
      </c>
      <c r="J10" s="155" t="inlineStr">
        <is>
          <t>CODE</t>
        </is>
      </c>
      <c r="K10" s="155" t="inlineStr"/>
    </row>
    <row r="11" ht="21" customHeight="1">
      <c r="A11" s="93" t="inlineStr">
        <is>
          <t>P03</t>
        </is>
      </c>
      <c r="B11" s="94">
        <f>IFERROR(VLOOKUP($A11,Par!$A$10:$E$21,2,0),"")</f>
        <v/>
      </c>
      <c r="C11" s="156">
        <f>IFERROR(VLOOKUP($A11,Par!$A$10:$E$21,3,0),"")</f>
        <v/>
      </c>
      <c r="D11" s="96">
        <f>IFERROR(VLOOKUP($A11,Par!$A$10:$E$21,4,0),"")</f>
        <v/>
      </c>
      <c r="E11" s="94">
        <f>IFERROR(VLOOKUP($A11,Par!$A$10:$E$21,5,0),"")</f>
        <v/>
      </c>
      <c r="F11" s="96" t="inlineStr">
        <is>
          <t>Params</t>
        </is>
      </c>
      <c r="H11" s="154" t="inlineStr">
        <is>
          <t>انتقال داخلی بین بانک‌ها</t>
        </is>
      </c>
      <c r="I11" s="155" t="inlineStr">
        <is>
          <t>TRF</t>
        </is>
      </c>
      <c r="J11" s="155" t="inlineStr">
        <is>
          <t>NONE</t>
        </is>
      </c>
      <c r="K11" s="155" t="inlineStr"/>
    </row>
    <row r="12" ht="21" customHeight="1">
      <c r="A12" s="93" t="inlineStr">
        <is>
          <t>P04</t>
        </is>
      </c>
      <c r="B12" s="94">
        <f>IFERROR(VLOOKUP($A12,Par!$A$10:$E$21,2,0),"")</f>
        <v/>
      </c>
      <c r="C12" s="156">
        <f>IFERROR(VLOOKUP($A12,Par!$A$10:$E$21,3,0),"")</f>
        <v/>
      </c>
      <c r="D12" s="96">
        <f>IFERROR(VLOOKUP($A12,Par!$A$10:$E$21,4,0),"")</f>
        <v/>
      </c>
      <c r="E12" s="94">
        <f>IFERROR(VLOOKUP($A12,Par!$A$10:$E$21,5,0),"")</f>
        <v/>
      </c>
      <c r="F12" s="96" t="inlineStr">
        <is>
          <t>Params</t>
        </is>
      </c>
      <c r="H12" s="154" t="inlineStr">
        <is>
          <t>پرداخت انعام مصطفی</t>
        </is>
      </c>
      <c r="I12" s="155" t="inlineStr">
        <is>
          <t>OUT</t>
        </is>
      </c>
      <c r="J12" s="155" t="inlineStr">
        <is>
          <t>FIXED</t>
        </is>
      </c>
      <c r="K12" s="155" t="inlineStr">
        <is>
          <t>X001</t>
        </is>
      </c>
    </row>
    <row r="13" ht="21" customHeight="1">
      <c r="A13" s="93" t="inlineStr">
        <is>
          <t>P05</t>
        </is>
      </c>
      <c r="B13" s="94">
        <f>IFERROR(VLOOKUP($A13,Par!$A$10:$E$21,2,0),"")</f>
        <v/>
      </c>
      <c r="C13" s="156">
        <f>IFERROR(VLOOKUP($A13,Par!$A$10:$E$21,3,0),"")</f>
        <v/>
      </c>
      <c r="D13" s="96">
        <f>IFERROR(VLOOKUP($A13,Par!$A$10:$E$21,4,0),"")</f>
        <v/>
      </c>
      <c r="E13" s="94">
        <f>IFERROR(VLOOKUP($A13,Par!$A$10:$E$21,5,0),"")</f>
        <v/>
      </c>
      <c r="F13" s="96" t="inlineStr">
        <is>
          <t>Params</t>
        </is>
      </c>
      <c r="H13" s="154" t="inlineStr">
        <is>
          <t>دریافت هزینه باسکول دیگران</t>
        </is>
      </c>
      <c r="I13" s="155" t="inlineStr">
        <is>
          <t>IN</t>
        </is>
      </c>
      <c r="J13" s="155" t="inlineStr">
        <is>
          <t>PICK</t>
        </is>
      </c>
      <c r="K13" s="155" t="inlineStr"/>
    </row>
    <row r="14" ht="21" customHeight="1">
      <c r="A14" s="93" t="inlineStr">
        <is>
          <t>P06</t>
        </is>
      </c>
      <c r="B14" s="94">
        <f>IFERROR(VLOOKUP($A14,Par!$A$10:$E$21,2,0),"")</f>
        <v/>
      </c>
      <c r="C14" s="156">
        <f>IFERROR(VLOOKUP($A14,Par!$A$10:$E$21,3,0),"")</f>
        <v/>
      </c>
      <c r="D14" s="96">
        <f>IFERROR(VLOOKUP($A14,Par!$A$10:$E$21,4,0),"")</f>
        <v/>
      </c>
      <c r="E14" s="94">
        <f>IFERROR(VLOOKUP($A14,Par!$A$10:$E$21,5,0),"")</f>
        <v/>
      </c>
      <c r="F14" s="96" t="inlineStr">
        <is>
          <t>Params</t>
        </is>
      </c>
      <c r="H14" s="154" t="inlineStr">
        <is>
          <t>پرداخت به باسکول دیگران</t>
        </is>
      </c>
      <c r="I14" s="155" t="inlineStr">
        <is>
          <t>OUT</t>
        </is>
      </c>
      <c r="J14" s="155" t="inlineStr">
        <is>
          <t>PICK</t>
        </is>
      </c>
      <c r="K14" s="155" t="inlineStr"/>
    </row>
    <row r="15" ht="21" customHeight="1">
      <c r="A15" s="93" t="inlineStr">
        <is>
          <t>P07</t>
        </is>
      </c>
      <c r="B15" s="94">
        <f>IFERROR(VLOOKUP($A15,Par!$A$10:$E$21,2,0),"")</f>
        <v/>
      </c>
      <c r="C15" s="156">
        <f>IFERROR(VLOOKUP($A15,Par!$A$10:$E$21,3,0),"")</f>
        <v/>
      </c>
      <c r="D15" s="96">
        <f>IFERROR(VLOOKUP($A15,Par!$A$10:$E$21,4,0),"")</f>
        <v/>
      </c>
      <c r="E15" s="94">
        <f>IFERROR(VLOOKUP($A15,Par!$A$10:$E$21,5,0),"")</f>
        <v/>
      </c>
      <c r="F15" s="96" t="inlineStr">
        <is>
          <t>Params</t>
        </is>
      </c>
      <c r="H15" s="154" t="inlineStr">
        <is>
          <t>واریز پز باسکول (۲۰۰۶)</t>
        </is>
      </c>
      <c r="I15" s="155" t="inlineStr">
        <is>
          <t>IN</t>
        </is>
      </c>
      <c r="J15" s="155" t="inlineStr">
        <is>
          <t>FIXED</t>
        </is>
      </c>
      <c r="K15" s="155" t="inlineStr">
        <is>
          <t>X011</t>
        </is>
      </c>
    </row>
    <row r="16" ht="21" customHeight="1">
      <c r="A16" s="93" t="inlineStr">
        <is>
          <t>P08</t>
        </is>
      </c>
      <c r="B16" s="94">
        <f>IFERROR(VLOOKUP($A16,Par!$A$10:$E$21,2,0),"")</f>
        <v/>
      </c>
      <c r="C16" s="156">
        <f>IFERROR(VLOOKUP($A16,Par!$A$10:$E$21,3,0),"")</f>
        <v/>
      </c>
      <c r="D16" s="96">
        <f>IFERROR(VLOOKUP($A16,Par!$A$10:$E$21,4,0),"")</f>
        <v/>
      </c>
      <c r="E16" s="94">
        <f>IFERROR(VLOOKUP($A16,Par!$A$10:$E$21,5,0),"")</f>
        <v/>
      </c>
      <c r="F16" s="96" t="inlineStr">
        <is>
          <t>Params</t>
        </is>
      </c>
      <c r="H16" s="154" t="inlineStr">
        <is>
          <t>پاس چک (پرداخت چک)</t>
        </is>
      </c>
      <c r="I16" s="155" t="inlineStr">
        <is>
          <t>OUT</t>
        </is>
      </c>
      <c r="J16" s="155" t="inlineStr">
        <is>
          <t>FIXED</t>
        </is>
      </c>
      <c r="K16" s="155" t="inlineStr">
        <is>
          <t>X010</t>
        </is>
      </c>
    </row>
    <row r="17" ht="21" customHeight="1">
      <c r="A17" s="93" t="inlineStr">
        <is>
          <t>P09</t>
        </is>
      </c>
      <c r="B17" s="94">
        <f>IFERROR(VLOOKUP($A17,Par!$A$10:$E$21,2,0),"")</f>
        <v/>
      </c>
      <c r="C17" s="156">
        <f>IFERROR(VLOOKUP($A17,Par!$A$10:$E$21,3,0),"")</f>
        <v/>
      </c>
      <c r="D17" s="96">
        <f>IFERROR(VLOOKUP($A17,Par!$A$10:$E$21,4,0),"")</f>
        <v/>
      </c>
      <c r="E17" s="94">
        <f>IFERROR(VLOOKUP($A17,Par!$A$10:$E$21,5,0),"")</f>
        <v/>
      </c>
      <c r="F17" s="96" t="inlineStr">
        <is>
          <t>Params</t>
        </is>
      </c>
      <c r="H17" s="154" t="inlineStr">
        <is>
          <t>برگشت چک دریافتی</t>
        </is>
      </c>
      <c r="I17" s="155" t="inlineStr">
        <is>
          <t>IN</t>
        </is>
      </c>
      <c r="J17" s="155" t="inlineStr">
        <is>
          <t>FIXED</t>
        </is>
      </c>
      <c r="K17" s="155" t="inlineStr">
        <is>
          <t>X010</t>
        </is>
      </c>
    </row>
    <row r="18" ht="21" customHeight="1">
      <c r="A18" s="93" t="inlineStr">
        <is>
          <t>P10</t>
        </is>
      </c>
      <c r="B18" s="94">
        <f>IFERROR(VLOOKUP($A18,Par!$A$10:$E$21,2,0),"")</f>
        <v/>
      </c>
      <c r="C18" s="156">
        <f>IFERROR(VLOOKUP($A18,Par!$A$10:$E$21,3,0),"")</f>
        <v/>
      </c>
      <c r="D18" s="96">
        <f>IFERROR(VLOOKUP($A18,Par!$A$10:$E$21,4,0),"")</f>
        <v/>
      </c>
      <c r="E18" s="94">
        <f>IFERROR(VLOOKUP($A18,Par!$A$10:$E$21,5,0),"")</f>
        <v/>
      </c>
      <c r="F18" s="96" t="inlineStr">
        <is>
          <t>Params</t>
        </is>
      </c>
      <c r="H18" s="154" t="inlineStr">
        <is>
          <t>واریز چک به حساب</t>
        </is>
      </c>
      <c r="I18" s="155" t="inlineStr">
        <is>
          <t>IN</t>
        </is>
      </c>
      <c r="J18" s="155" t="inlineStr">
        <is>
          <t>FIXED</t>
        </is>
      </c>
      <c r="K18" s="155" t="inlineStr">
        <is>
          <t>X010</t>
        </is>
      </c>
    </row>
    <row r="19" ht="21" customHeight="1">
      <c r="A19" s="93" t="inlineStr">
        <is>
          <t>P11</t>
        </is>
      </c>
      <c r="B19" s="94">
        <f>IFERROR(VLOOKUP($A19,Par!$A$10:$E$21,2,0),"")</f>
        <v/>
      </c>
      <c r="C19" s="156">
        <f>IFERROR(VLOOKUP($A19,Par!$A$10:$E$21,3,0),"")</f>
        <v/>
      </c>
      <c r="D19" s="96">
        <f>IFERROR(VLOOKUP($A19,Par!$A$10:$E$21,4,0),"")</f>
        <v/>
      </c>
      <c r="E19" s="94">
        <f>IFERROR(VLOOKUP($A19,Par!$A$10:$E$21,5,0),"")</f>
        <v/>
      </c>
      <c r="F19" s="96" t="inlineStr">
        <is>
          <t>Params</t>
        </is>
      </c>
      <c r="H19" s="154" t="inlineStr">
        <is>
          <t>دریافت تسهیلات</t>
        </is>
      </c>
      <c r="I19" s="155" t="inlineStr">
        <is>
          <t>IN</t>
        </is>
      </c>
      <c r="J19" s="155" t="inlineStr">
        <is>
          <t>CODE</t>
        </is>
      </c>
      <c r="K19" s="155" t="inlineStr"/>
    </row>
    <row r="20" ht="21" customHeight="1">
      <c r="A20" s="93" t="inlineStr">
        <is>
          <t>P12</t>
        </is>
      </c>
      <c r="B20" s="94">
        <f>IFERROR(VLOOKUP($A20,Par!$A$10:$E$21,2,0),"")</f>
        <v/>
      </c>
      <c r="C20" s="156">
        <f>IFERROR(VLOOKUP($A20,Par!$A$10:$E$21,3,0),"")</f>
        <v/>
      </c>
      <c r="D20" s="96">
        <f>IFERROR(VLOOKUP($A20,Par!$A$10:$E$21,4,0),"")</f>
        <v/>
      </c>
      <c r="E20" s="94">
        <f>IFERROR(VLOOKUP($A20,Par!$A$10:$E$21,5,0),"")</f>
        <v/>
      </c>
      <c r="F20" s="96" t="inlineStr">
        <is>
          <t>Params</t>
        </is>
      </c>
      <c r="H20" s="154" t="inlineStr">
        <is>
          <t>بازپرداخت تسهیلات</t>
        </is>
      </c>
      <c r="I20" s="155" t="inlineStr">
        <is>
          <t>OUT</t>
        </is>
      </c>
      <c r="J20" s="155" t="inlineStr">
        <is>
          <t>CODE</t>
        </is>
      </c>
      <c r="K20" s="155" t="inlineStr"/>
    </row>
    <row r="21">
      <c r="H21" s="154" t="inlineStr">
        <is>
          <t>سایر دریافت</t>
        </is>
      </c>
      <c r="I21" s="155" t="inlineStr">
        <is>
          <t>IN</t>
        </is>
      </c>
      <c r="J21" s="155" t="inlineStr">
        <is>
          <t>CODE</t>
        </is>
      </c>
      <c r="K21" s="155" t="inlineStr"/>
    </row>
    <row r="22">
      <c r="H22" s="154" t="inlineStr">
        <is>
          <t>سایر پرداخت</t>
        </is>
      </c>
      <c r="I22" s="155" t="inlineStr">
        <is>
          <t>OUT</t>
        </is>
      </c>
      <c r="J22" s="155" t="inlineStr">
        <is>
          <t>CODE</t>
        </is>
      </c>
      <c r="K22" s="155" t="inlineStr"/>
    </row>
    <row r="23" ht="30" customHeight="1">
      <c r="A23" s="11" t="inlineStr">
        <is>
          <t>۰۲</t>
        </is>
      </c>
      <c r="B23" s="12" t="inlineStr">
        <is>
          <t>گروه‌های اصلی حساب  —  تعداد حساب‌های هر گروه، زنده از شیت Accounts</t>
        </is>
      </c>
      <c r="C23" s="110" t="n"/>
      <c r="D23" s="110" t="n"/>
      <c r="E23" s="110" t="n"/>
      <c r="F23" s="110" t="n"/>
      <c r="H23" s="154" t="inlineStr">
        <is>
          <t>تسویه دریافت (واسط)</t>
        </is>
      </c>
      <c r="I23" s="155" t="inlineStr">
        <is>
          <t>IN</t>
        </is>
      </c>
      <c r="J23" s="155" t="inlineStr">
        <is>
          <t>FIXED</t>
        </is>
      </c>
      <c r="K23" s="155" t="inlineStr">
        <is>
          <t>X011</t>
        </is>
      </c>
    </row>
    <row r="24" ht="24" customHeight="1">
      <c r="A24" s="92" t="inlineStr">
        <is>
          <t>گروه</t>
        </is>
      </c>
      <c r="B24" s="92" t="inlineStr">
        <is>
          <t>تعداد حساب</t>
        </is>
      </c>
      <c r="C24" s="92" t="inlineStr">
        <is>
          <t>تعداد زیرگروه</t>
        </is>
      </c>
      <c r="D24" s="92" t="n"/>
      <c r="E24" s="92" t="n"/>
      <c r="F24" s="92" t="inlineStr">
        <is>
          <t>شیت منبع</t>
        </is>
      </c>
      <c r="H24" s="154" t="inlineStr">
        <is>
          <t>تسویه پرداخت (واسط)</t>
        </is>
      </c>
      <c r="I24" s="155" t="inlineStr">
        <is>
          <t>OUT</t>
        </is>
      </c>
      <c r="J24" s="155" t="inlineStr">
        <is>
          <t>FIXED</t>
        </is>
      </c>
      <c r="K24" s="155" t="inlineStr">
        <is>
          <t>X011</t>
        </is>
      </c>
    </row>
    <row r="25" ht="21" customHeight="1">
      <c r="A25" s="93" t="inlineStr">
        <is>
          <t>باغدار</t>
        </is>
      </c>
      <c r="B25" s="156">
        <f>COUNTIF(Acc!$B$10:$B$259,$A25)</f>
        <v/>
      </c>
      <c r="C25" s="156">
        <f>COUNTIF(Grp!$A$10:$A$52,$A25)</f>
        <v/>
      </c>
      <c r="F25" s="96" t="inlineStr">
        <is>
          <t>Accounts / Groups</t>
        </is>
      </c>
    </row>
    <row r="26" ht="21" customHeight="1">
      <c r="A26" s="93" t="inlineStr">
        <is>
          <t>بارفروش</t>
        </is>
      </c>
      <c r="B26" s="156">
        <f>COUNTIF(Acc!$B$10:$B$259,$A26)</f>
        <v/>
      </c>
      <c r="C26" s="156">
        <f>COUNTIF(Grp!$A$10:$A$52,$A26)</f>
        <v/>
      </c>
      <c r="F26" s="96" t="inlineStr">
        <is>
          <t>Accounts / Groups</t>
        </is>
      </c>
    </row>
    <row r="27" ht="21" customHeight="1">
      <c r="A27" s="93" t="inlineStr">
        <is>
          <t>فروشنده سبد</t>
        </is>
      </c>
      <c r="B27" s="156">
        <f>COUNTIF(Acc!$B$10:$B$259,$A27)</f>
        <v/>
      </c>
      <c r="C27" s="156">
        <f>COUNTIF(Grp!$A$10:$A$52,$A27)</f>
        <v/>
      </c>
      <c r="F27" s="96" t="inlineStr">
        <is>
          <t>Accounts / Groups</t>
        </is>
      </c>
    </row>
    <row r="28" ht="21" customHeight="1">
      <c r="A28" s="93" t="inlineStr">
        <is>
          <t>تأمین‌کننده</t>
        </is>
      </c>
      <c r="B28" s="156">
        <f>COUNTIF(Acc!$B$10:$B$259,$A28)</f>
        <v/>
      </c>
      <c r="C28" s="156">
        <f>COUNTIF(Grp!$A$10:$A$52,$A28)</f>
        <v/>
      </c>
      <c r="F28" s="96" t="inlineStr">
        <is>
          <t>Accounts / Groups</t>
        </is>
      </c>
    </row>
    <row r="29" ht="21" customHeight="1">
      <c r="A29" s="93" t="inlineStr">
        <is>
          <t>کارمند</t>
        </is>
      </c>
      <c r="B29" s="156">
        <f>COUNTIF(Acc!$B$10:$B$259,$A29)</f>
        <v/>
      </c>
      <c r="C29" s="156">
        <f>COUNTIF(Grp!$A$10:$A$52,$A29)</f>
        <v/>
      </c>
      <c r="F29" s="96" t="inlineStr">
        <is>
          <t>Accounts / Groups</t>
        </is>
      </c>
    </row>
    <row r="30" ht="21" customHeight="1">
      <c r="A30" s="93" t="inlineStr">
        <is>
          <t>سایر حساب</t>
        </is>
      </c>
      <c r="B30" s="156">
        <f>COUNTIF(Acc!$B$10:$B$259,$A30)</f>
        <v/>
      </c>
      <c r="C30" s="156">
        <f>COUNTIF(Grp!$A$10:$A$52,$A30)</f>
        <v/>
      </c>
      <c r="F30" s="96" t="inlineStr">
        <is>
          <t>Accounts / Groups</t>
        </is>
      </c>
    </row>
    <row r="31" ht="21" customHeight="1">
      <c r="A31" s="93" t="inlineStr">
        <is>
          <t>باسکول دیگران</t>
        </is>
      </c>
      <c r="B31" s="156">
        <f>COUNTIF(Acc!$B$10:$B$259,$A31)</f>
        <v/>
      </c>
      <c r="C31" s="156">
        <f>COUNTIF(Grp!$A$10:$A$52,$A31)</f>
        <v/>
      </c>
      <c r="F31" s="96" t="inlineStr">
        <is>
          <t>Accounts / Groups</t>
        </is>
      </c>
    </row>
    <row r="32" ht="21" customHeight="1">
      <c r="A32" s="93" t="inlineStr">
        <is>
          <t>دارایی ثابت</t>
        </is>
      </c>
      <c r="B32" s="156">
        <f>COUNTIF(Acc!$B$10:$B$259,$A32)</f>
        <v/>
      </c>
      <c r="C32" s="156">
        <f>COUNTIF(Grp!$A$10:$A$52,$A32)</f>
        <v/>
      </c>
      <c r="F32" s="96" t="inlineStr">
        <is>
          <t>Accounts / Groups</t>
        </is>
      </c>
    </row>
    <row r="33" ht="21" customHeight="1">
      <c r="A33" s="93" t="inlineStr">
        <is>
          <t>وام و تسهیلات</t>
        </is>
      </c>
      <c r="B33" s="156">
        <f>COUNTIF(Acc!$B$10:$B$259,$A33)</f>
        <v/>
      </c>
      <c r="C33" s="156">
        <f>COUNTIF(Grp!$A$10:$A$52,$A33)</f>
        <v/>
      </c>
      <c r="F33" s="96" t="inlineStr">
        <is>
          <t>Accounts / Groups</t>
        </is>
      </c>
    </row>
    <row r="34" ht="21" customHeight="1">
      <c r="A34" s="93" t="inlineStr">
        <is>
          <t>سرمایه و آورده صاحبان</t>
        </is>
      </c>
      <c r="B34" s="156">
        <f>COUNTIF(Acc!$B$10:$B$259,$A34)</f>
        <v/>
      </c>
      <c r="C34" s="156">
        <f>COUNTIF(Grp!$A$10:$A$52,$A34)</f>
        <v/>
      </c>
      <c r="F34" s="96" t="inlineStr">
        <is>
          <t>Accounts / Groups</t>
        </is>
      </c>
    </row>
    <row r="35" ht="21" customHeight="1">
      <c r="A35" s="93" t="inlineStr">
        <is>
          <t>بانک و صندوق</t>
        </is>
      </c>
      <c r="B35" s="156">
        <f>COUNTIF(Acc!$B$10:$B$259,$A35)</f>
        <v/>
      </c>
      <c r="C35" s="156">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2.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7" t="inlineStr">
        <is>
          <t xml:space="preserve">  این فایل چیست و چرا «مادر» است؟</t>
        </is>
      </c>
    </row>
    <row r="9" ht="21" customHeight="1">
      <c r="A9" s="99" t="inlineStr">
        <is>
          <t>۲</t>
        </is>
      </c>
      <c r="B9" s="157" t="inlineStr">
        <is>
          <t xml:space="preserve">  نقشه فایل‌ها و جریان داده</t>
        </is>
      </c>
    </row>
    <row r="10" ht="21" customHeight="1">
      <c r="A10" s="99" t="inlineStr">
        <is>
          <t>۳</t>
        </is>
      </c>
      <c r="B10" s="157" t="inlineStr">
        <is>
          <t xml:space="preserve">  قواعد کدگذاری</t>
        </is>
      </c>
    </row>
    <row r="11" ht="21" customHeight="1">
      <c r="A11" s="99" t="inlineStr">
        <is>
          <t>۴</t>
        </is>
      </c>
      <c r="B11" s="157" t="inlineStr">
        <is>
          <t xml:space="preserve">  دفتر حساب‌ها (Accounts)</t>
        </is>
      </c>
    </row>
    <row r="12" ht="21" customHeight="1">
      <c r="A12" s="99" t="inlineStr">
        <is>
          <t>۵</t>
        </is>
      </c>
      <c r="B12" s="157" t="inlineStr">
        <is>
          <t xml:space="preserve">  گروه‌ها و زیرگروه‌ها</t>
        </is>
      </c>
    </row>
    <row r="13" ht="21" customHeight="1">
      <c r="A13" s="99" t="inlineStr">
        <is>
          <t>۶</t>
        </is>
      </c>
      <c r="B13" s="157" t="inlineStr">
        <is>
          <t xml:space="preserve">  عملیات و قواعد بدهکار/بستانکار</t>
        </is>
      </c>
    </row>
    <row r="14" ht="21" customHeight="1">
      <c r="A14" s="99" t="inlineStr">
        <is>
          <t>۷</t>
        </is>
      </c>
      <c r="B14" s="157" t="inlineStr">
        <is>
          <t xml:space="preserve">  پارامترهای محاسباتی</t>
        </is>
      </c>
    </row>
    <row r="15" ht="21" customHeight="1">
      <c r="A15" s="99" t="inlineStr">
        <is>
          <t>۸</t>
        </is>
      </c>
      <c r="B15" s="157" t="inlineStr">
        <is>
          <t xml:space="preserve">  سبدها و وزن تار</t>
        </is>
      </c>
    </row>
    <row r="16" ht="21" customHeight="1">
      <c r="A16" s="99" t="inlineStr">
        <is>
          <t>۹</t>
        </is>
      </c>
      <c r="B16" s="157" t="inlineStr">
        <is>
          <t xml:space="preserve">  محصولات، بانک‌ها و پوز</t>
        </is>
      </c>
    </row>
    <row r="17" ht="21" customHeight="1">
      <c r="A17" s="99" t="inlineStr">
        <is>
          <t>۱۰</t>
        </is>
      </c>
      <c r="B17" s="157" t="inlineStr">
        <is>
          <t xml:space="preserve">  افزودن حساب / عملیات جدید — گام‌به‌گام</t>
        </is>
      </c>
    </row>
    <row r="18" ht="21" customHeight="1">
      <c r="A18" s="99" t="inlineStr">
        <is>
          <t>۱۱</t>
        </is>
      </c>
      <c r="B18" s="157" t="inlineStr">
        <is>
          <t xml:space="preserve">  همگام‌سازی و Update Links</t>
        </is>
      </c>
    </row>
    <row r="19" ht="21" customHeight="1">
      <c r="A19" s="99" t="inlineStr">
        <is>
          <t>۱۲</t>
        </is>
      </c>
      <c r="B19" s="157" t="inlineStr">
        <is>
          <t xml:space="preserve">  ترازنامه، فاکتور و گزارش‌ها</t>
        </is>
      </c>
    </row>
    <row r="20" ht="21" customHeight="1">
      <c r="A20" s="99" t="inlineStr">
        <is>
          <t>۱۳</t>
        </is>
      </c>
      <c r="B20" s="157" t="inlineStr">
        <is>
          <t xml:space="preserve">  عیب‌یابی فرمول‌ها</t>
        </is>
      </c>
    </row>
    <row r="21" ht="21" customHeight="1">
      <c r="A21" s="99" t="inlineStr">
        <is>
          <t>۱۴</t>
        </is>
      </c>
      <c r="B21" s="157" t="inlineStr">
        <is>
          <t xml:space="preserve">  پشتیبان‌گیری و نگهداری</t>
        </is>
      </c>
    </row>
    <row r="22" ht="21" customHeight="1">
      <c r="A22" s="99" t="inlineStr">
        <is>
          <t>۱۵</t>
        </is>
      </c>
      <c r="B22" s="157" t="inlineStr">
        <is>
          <t xml:space="preserve">  واژه‌نامه</t>
        </is>
      </c>
    </row>
    <row r="23" ht="21" customHeight="1">
      <c r="A23" s="99" t="inlineStr">
        <is>
          <t>۱۶</t>
        </is>
      </c>
      <c r="B23" s="157"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58" t="inlineStr">
        <is>
          <t>•  کدها را تغییر ندهید؛ عنوان‌ها را آزادانه عوض کنید.</t>
        </is>
      </c>
    </row>
    <row r="111" ht="20.25" customHeight="1">
      <c r="B111" s="158" t="inlineStr">
        <is>
          <t>•  ردیف تازه = ردیف خالی بعدی؛ بین ردیف‌ها ردیف خالی نگذارید.</t>
        </is>
      </c>
    </row>
    <row r="112" ht="20.25" customHeight="1">
      <c r="B112" s="158" t="inlineStr">
        <is>
          <t>•  برای حذف، محتوای سلول را پاک کنید؛ ردیف را حذف نکنید.</t>
        </is>
      </c>
    </row>
    <row r="113" ht="20.25" customHeight="1">
      <c r="B113" s="158" t="inlineStr">
        <is>
          <t>•  همه فایل‌ها در یک پوشه؛ مسیر لینک نسبی است.</t>
        </is>
      </c>
    </row>
    <row r="114" ht="20.25" customHeight="1">
      <c r="B114" s="158" t="inlineStr">
        <is>
          <t>•  بعد از هر تغییر INFO: Data → Edit Links → Update Values.</t>
        </is>
      </c>
    </row>
    <row r="115" ht="20.25" customHeight="1">
      <c r="B115" s="158" t="inlineStr">
        <is>
          <t>•  تاریخ شمسی 1405/07/10؛ ساعت 09:30؛ اعداد با ارقام لاتین.</t>
        </is>
      </c>
    </row>
    <row r="116" ht="20.25" customHeight="1">
      <c r="B116" s="158" t="inlineStr">
        <is>
          <t>•  قبل از تغییرات بزرگ، نسخه پشتیبان بگیرید.</t>
        </is>
      </c>
    </row>
    <row r="117" ht="20.25" customHeight="1">
      <c r="B117" s="158" t="inlineStr">
        <is>
          <t>•  ترازنامه‌ای که تراز نیست، گزارش نیست؛ اول اختلاف را پیدا کنید.</t>
        </is>
      </c>
    </row>
    <row r="118"/>
    <row r="119">
      <c r="A119" s="159" t="inlineStr">
        <is>
          <t>۰۹   سری جدید (v03) — چه چیزهایی اضافه شد؟</t>
        </is>
      </c>
      <c r="B119" s="166" t="n"/>
      <c r="C119" s="166" t="n"/>
      <c r="D119" s="166" t="n"/>
      <c r="E119" s="166" t="n"/>
      <c r="F119" s="166" t="n"/>
      <c r="G119" s="166" t="n"/>
      <c r="H119" s="166" t="n"/>
      <c r="I119" s="166" t="n"/>
      <c r="J119" s="167" t="n"/>
    </row>
    <row r="120">
      <c r="A120" s="160" t="inlineStr">
        <is>
          <t>• فایل تراکنش‌ها (02_Bank) بازنویسی شد: کشوی بانک عامل، کد طرف حساب تایپی، انتقال داخلی با بانک مبدأ و مقصد، دفتر چک و پنج شیت تحلیل با نمودار.</t>
        </is>
      </c>
      <c r="B120" s="166" t="n"/>
      <c r="C120" s="166" t="n"/>
      <c r="D120" s="166" t="n"/>
      <c r="E120" s="166" t="n"/>
      <c r="F120" s="166" t="n"/>
      <c r="G120" s="166" t="n"/>
      <c r="H120" s="166" t="n"/>
      <c r="I120" s="166" t="n"/>
      <c r="J120" s="167" t="n"/>
    </row>
    <row r="121">
      <c r="A121" s="161" t="inlineStr">
        <is>
          <t>• داشبورد (08_Dash) اضافه شد: وزن، مبلغ، بانک‌ها، پز و طرف حساب‌ها در یک صفحه.</t>
        </is>
      </c>
      <c r="B121" s="166" t="n"/>
      <c r="C121" s="166" t="n"/>
      <c r="D121" s="166" t="n"/>
      <c r="E121" s="166" t="n"/>
      <c r="F121" s="166" t="n"/>
      <c r="G121" s="166" t="n"/>
      <c r="H121" s="166" t="n"/>
      <c r="I121" s="166" t="n"/>
      <c r="J121" s="167" t="n"/>
    </row>
    <row r="122">
      <c r="A122" s="160" t="inlineStr">
        <is>
          <t>• همه فهرست‌های کشویی در همین فایل تعریف شده‌اند؛ شیت List ستون‌های S، T و U سه فهرست جدید است.</t>
        </is>
      </c>
      <c r="B122" s="166" t="n"/>
      <c r="C122" s="166" t="n"/>
      <c r="D122" s="166" t="n"/>
      <c r="E122" s="166" t="n"/>
      <c r="F122" s="166" t="n"/>
      <c r="G122" s="166" t="n"/>
      <c r="H122" s="166" t="n"/>
      <c r="I122" s="166" t="n"/>
      <c r="J122" s="167" t="n"/>
    </row>
    <row r="123">
      <c r="A123" s="161" t="inlineStr">
        <is>
          <t>• همه شیت‌ها راست‌به‌چپ و آماده چاپ A4 هستند.</t>
        </is>
      </c>
      <c r="B123" s="166" t="n"/>
      <c r="C123" s="166" t="n"/>
      <c r="D123" s="166" t="n"/>
      <c r="E123" s="166" t="n"/>
      <c r="F123" s="166" t="n"/>
      <c r="G123" s="166" t="n"/>
      <c r="H123" s="166" t="n"/>
      <c r="I123" s="166" t="n"/>
      <c r="J123" s="167" t="n"/>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2026-10-24T13:35:59Z</dcterms:modified>
  <cp:lastModifiedBy>مازندشت</cp:lastModifiedBy>
</cp:coreProperties>
</file>