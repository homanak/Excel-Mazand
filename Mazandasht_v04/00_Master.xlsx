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Home" sheetId="1" state="visible" r:id="rId1"/>
    <sheet name="Co" sheetId="2" state="visible" r:id="rId2"/>
    <sheet name="Par" sheetId="3" state="visible" r:id="rId3"/>
    <sheet name="Grp" sheetId="4" state="visible" r:id="rId4"/>
    <sheet name="Acc" sheetId="5" state="visible" r:id="rId5"/>
    <sheet name="Op" sheetId="6" state="visible" r:id="rId6"/>
    <sheet name="Bsk" sheetId="7" state="visible" r:id="rId7"/>
    <sheet name="Prd" sheetId="8" state="visible" r:id="rId8"/>
    <sheet name="Bnk" sheetId="9" state="visible" r:id="rId9"/>
    <sheet name="List" sheetId="10" state="visible" r:id="rId10"/>
    <sheet name="Sync" sheetId="11" state="visible" r:id="rId11"/>
    <sheet name="Help" sheetId="12" state="visible" r:id="rId12"/>
  </sheets>
  <definedNames>
    <definedName name="AcctCodes">Acc!$A$10:$A$259</definedName>
    <definedName name="AcctTbl">Acc!$A$10:$J$259</definedName>
    <definedName name="BankTbl">Bnk!$A$10:$G$19</definedName>
    <definedName name="BasketTbl">Bsk!$B$10:$F$21</definedName>
    <definedName name="GroupTbl">Grp!$A$10:$F$52</definedName>
    <definedName name="ListAllCodes">OFFSET(Acc!$A$10,0,0,MAX(COUNTIF(Acc!$D$10:$D$259,"?*"),1),1)</definedName>
    <definedName name="ListBanks">OFFSET(Bnk!$B$10,0,0,MAX(COUNTIF(Bnk!$B$10:$B$19,"?*"),1),1)</definedName>
    <definedName name="ListBasketOps">OFFSET(Op!$B$24,0,0,MAX(COUNTIF(Op!$B$24:$B$33,"?*"),1),1)</definedName>
    <definedName name="ListBaskets">OFFSET(Bsk!$B$10,0,0,MAX(COUNTIF(Bsk!$B$10:$B$21,"?*"),1),1)</definedName>
    <definedName name="ListCategories">OFFSET(List!$B$10,0,0,MAX(COUNTIF(List!$B$10:$B$29,"?*"),1),1)</definedName>
    <definedName name="ListChequeStatus">OFFSET(List!$G$10,0,0,MAX(COUNTIF(List!$G$10:$G$29,"?*"),1),1)</definedName>
    <definedName name="ListColorKeys">OFFSET(List!$P$10,0,0,MAX(COUNTIF(List!$P$10:$P$29,"?*"),1),1)</definedName>
    <definedName name="ListDirections">OFFSET(List!$C$10,0,0,MAX(COUNTIF(List!$C$10:$C$29,"?*"),1),1)</definedName>
    <definedName name="ListGroups">Grp!$H$10:$H$19</definedName>
    <definedName name="ListInclude">OFFSET(List!$H$10,0,0,MAX(COUNTIF(List!$H$10:$H$29,"?*"),1),1)</definedName>
    <definedName name="ListManualRoles">OFFSET(List!$I$10,0,0,MAX(COUNTIF(List!$I$10:$I$29,"?*"),1),1)</definedName>
    <definedName name="ListOpCategories">OFFSET(List!$L$10,0,0,MAX(COUNTIF(List!$L$10:$L$29,"?*"),1),1)</definedName>
    <definedName name="ListOps">OFFSET(Op!$B$10,0,0,MAX(COUNTIF(Op!$B$10:$B$33,"?*"),1),1)</definedName>
    <definedName name="ListPartyBasis">OFFSET(List!$O$10,0,0,MAX(COUNTIF(List!$O$10:$O$29,"?*"),1),1)</definedName>
    <definedName name="ListPartyTypes">OFFSET(List!$E$10,0,0,MAX(COUNTIF(List!$E$10:$E$29,"?*"),1),1)</definedName>
    <definedName name="ListPayMethods">OFFSET(List!$F$10,0,0,MAX(COUNTIF(List!$F$10:$F$29,"?*"),1),1)</definedName>
    <definedName name="ListPosEffects">OFFSET(List!$J$10,0,0,MAX(COUNTIF(List!$J$10:$J$29,"?*"),1),1)</definedName>
    <definedName name="ListProducts">OFFSET(Prd!$B$10,0,0,MAX(COUNTIF(Prd!$B$10:$B$29,"?*"),1),1)</definedName>
    <definedName name="ListReportSheets">OFFSET(List!$N$10,0,0,MAX(COUNTIF(List!$N$10:$N$29,"?*"),1),1)</definedName>
    <definedName name="ListSeasons">OFFSET(List!$Q$10,0,0,MAX(COUNTIF(List!$Q$10:$Q$29,"?*"),1),1)</definedName>
    <definedName name="ListSides">OFFSET(List!$K$10,0,0,MAX(COUNTIF(List!$K$10:$K$29,"?*"),1),1)</definedName>
    <definedName name="ListStatus">OFFSET(List!$M$10,0,0,MAX(COUNTIF(List!$M$10:$M$29,"?*"),1),1)</definedName>
    <definedName name="ListSubgroups">OFFSET(Grp!$B$10,0,0,MAX(COUNTIF(Grp!$B$10:$B$52,"?*"),1),1)</definedName>
    <definedName name="ListTxnDirections">OFFSET(List!$R$10,0,0,MAX(COUNTIF(List!$R$10:$R$29,"?*"),1),1)</definedName>
    <definedName name="ListUnits">OFFSET(List!$A$10,0,0,MAX(COUNTIF(List!$A$10:$A$29,"?*"),1),1)</definedName>
    <definedName name="ListYesNo">OFFSET(List!$D$10,0,0,MAX(COUNTIF(List!$D$10:$D$29,"?*"),1),1)</definedName>
    <definedName name="OpTbl">Op!$A$10:$S$33</definedName>
    <definedName name="ParamTbl">Par!$A$10:$E$21</definedName>
    <definedName name="ProductTbl">Prd!$B$10:$D$29</definedName>
    <definedName name="ListBankOps">List!$S$10:$S$29</definedName>
    <definedName name="ListOtherScalesLabel">List!$T$10:$T$29</definedName>
    <definedName name="ListBankNames">List!$U$10:$U$19</definedName>
    <definedName name="_xlnm.Print_Area" localSheetId="0">'Home'!$A$1:$J$48</definedName>
    <definedName name="_xlnm.Print_Area" localSheetId="1">'Co'!$A$1:$J$26</definedName>
    <definedName name="_xlnm._FilterDatabase" localSheetId="2" hidden="1">'Par'!$A$8:$E$21</definedName>
    <definedName name="_xlnm.Print_Titles" localSheetId="2">'Par'!$7:$9</definedName>
    <definedName name="_xlnm.Print_Area" localSheetId="2">'Par'!$A$1:$E$24</definedName>
    <definedName name="_xlnm._FilterDatabase" localSheetId="3" hidden="1">'Grp'!$A$8:$F$52</definedName>
    <definedName name="_xlnm.Print_Titles" localSheetId="3">'Grp'!$7:$9</definedName>
    <definedName name="_xlnm.Print_Area" localSheetId="3">'Grp'!$A$1:$J$54</definedName>
    <definedName name="_xlnm._FilterDatabase" localSheetId="4" hidden="1">'Acc'!$A$8:$M$259</definedName>
    <definedName name="_xlnm.Print_Titles" localSheetId="4">'Acc'!$8:$9</definedName>
    <definedName name="_xlnm.Print_Area" localSheetId="4">'Acc'!$A$1:$M$260</definedName>
    <definedName name="_xlnm._FilterDatabase" localSheetId="5" hidden="1">'Op'!$A$8:$S$34</definedName>
    <definedName name="_xlnm.Print_Titles" localSheetId="5">'Op'!$7:$9</definedName>
    <definedName name="_xlnm.Print_Area" localSheetId="5">'Op'!$A$1:$S$35</definedName>
    <definedName name="_xlnm._FilterDatabase" localSheetId="6" hidden="1">'Bsk'!$A$8:$J$22</definedName>
    <definedName name="_xlnm.Print_Titles" localSheetId="6">'Bsk'!$7:$9</definedName>
    <definedName name="_xlnm.Print_Area" localSheetId="6">'Bsk'!$A$1:$J$24</definedName>
    <definedName name="_xlnm._FilterDatabase" localSheetId="7" hidden="1">'Prd'!$A$8:$G$30</definedName>
    <definedName name="_xlnm.Print_Titles" localSheetId="7">'Prd'!$7:$9</definedName>
    <definedName name="_xlnm.Print_Area" localSheetId="7">'Prd'!$A$1:$G$32</definedName>
    <definedName name="_xlnm._FilterDatabase" localSheetId="8" hidden="1">'Bnk'!$A$8:$G$20</definedName>
    <definedName name="_xlnm.Print_Titles" localSheetId="8">'Bnk'!$7:$9</definedName>
    <definedName name="_xlnm.Print_Area" localSheetId="8">'Bnk'!$A$1:$G$22</definedName>
    <definedName name="_xlnm.Print_Titles" localSheetId="9">'List'!$8:$9</definedName>
    <definedName name="_xlnm.Print_Area" localSheetId="9">'List'!$A$1:$R$31</definedName>
    <definedName name="_xlnm.Print_Area" localSheetId="10">'Sync'!$A$1:$K$50</definedName>
    <definedName name="_xlnm.Print_Area" localSheetId="11">'Help'!$A$1:$J$119</definedName>
  </definedNames>
  <calcPr calcId="124519" fullCalcOnLoad="1"/>
</workbook>
</file>

<file path=xl/styles.xml><?xml version="1.0" encoding="utf-8"?>
<styleSheet xmlns="http://schemas.openxmlformats.org/spreadsheetml/2006/main">
  <numFmts count="4">
    <numFmt numFmtId="164" formatCode="#,##0;[Red]-#,##0"/>
    <numFmt numFmtId="165" formatCode="0.0%"/>
    <numFmt numFmtId="166" formatCode="#,##0.00;[Red]-#,##0.00"/>
    <numFmt numFmtId="167" formatCode="#,##0;[Red](#,##0)"/>
  </numFmts>
  <fonts count="84">
    <font>
      <name val="Calibri"/>
      <family val="2"/>
      <color theme="1"/>
      <sz val="11"/>
      <scheme val="minor"/>
    </font>
    <font>
      <name val="B Nazanin"/>
      <family val="2"/>
      <b val="1"/>
      <color rgb="FF14453D"/>
      <sz val="10"/>
    </font>
    <font>
      <name val="Tahoma"/>
      <family val="2"/>
      <b val="1"/>
      <color rgb="FFC89B3C"/>
      <sz val="7"/>
    </font>
    <font>
      <name val="B Nazanin"/>
      <family val="2"/>
      <b val="1"/>
      <color rgb="FF14453D"/>
      <sz val="19"/>
    </font>
    <font>
      <name val="B Nazanin"/>
      <family val="2"/>
      <color rgb="FF6B7A76"/>
      <sz val="10.5"/>
    </font>
    <font>
      <name val="Tahoma"/>
      <family val="2"/>
      <b val="1"/>
      <color rgb="FF6B7A76"/>
      <sz val="7.5"/>
    </font>
    <font>
      <name val="B Nazanin"/>
      <family val="2"/>
      <b val="1"/>
      <color rgb="FF14453D"/>
      <sz val="22"/>
    </font>
    <font>
      <name val="B Nazanin"/>
      <family val="2"/>
      <b val="1"/>
      <color rgb="FF2E6B4F"/>
      <sz val="22"/>
    </font>
    <font>
      <name val="B Nazanin"/>
      <family val="2"/>
      <b val="1"/>
      <color rgb="FF6B4E9E"/>
      <sz val="22"/>
    </font>
    <font>
      <name val="B Nazanin"/>
      <family val="2"/>
      <b val="1"/>
      <color rgb="FF2B5C7A"/>
      <sz val="22"/>
    </font>
    <font>
      <name val="B Nazanin"/>
      <family val="2"/>
      <b val="1"/>
      <color rgb="FFC4623F"/>
      <sz val="22"/>
    </font>
    <font>
      <name val="Tahoma"/>
      <family val="2"/>
      <b val="1"/>
      <color rgb="FFFFFFFF"/>
      <sz val="9"/>
    </font>
    <font>
      <name val="B Nazanin"/>
      <family val="2"/>
      <b val="1"/>
      <color rgb="FF14453D"/>
      <sz val="14"/>
    </font>
    <font>
      <name val="B Nazanin"/>
      <family val="2"/>
      <b val="1"/>
      <color rgb="FF14453D"/>
      <sz val="11"/>
    </font>
    <font>
      <name val="Tahoma"/>
      <family val="2"/>
      <color rgb="FF6B7A76"/>
      <sz val="7.5"/>
    </font>
    <font>
      <name val="Tahoma"/>
      <family val="2"/>
      <color rgb="FF7FA99B"/>
      <sz val="6.5"/>
    </font>
    <font>
      <name val="Tahoma"/>
      <family val="2"/>
      <b val="1"/>
      <color rgb="FFC89B3C"/>
      <sz val="18"/>
    </font>
    <font>
      <name val="B Nazanin"/>
      <family val="2"/>
      <b val="1"/>
      <color rgb="FF2B5C7A"/>
      <sz val="11"/>
    </font>
    <font>
      <name val="B Nazanin"/>
      <family val="2"/>
      <b val="1"/>
      <color rgb="FF14453D"/>
      <sz val="9.5"/>
    </font>
    <font>
      <name val="Tahoma"/>
      <family val="2"/>
      <color rgb="FF1E2A2B"/>
      <sz val="7.5"/>
    </font>
    <font>
      <name val="B Nazanin"/>
      <family val="2"/>
      <color rgb="FF1E2A2B"/>
      <sz val="10"/>
    </font>
    <font>
      <name val="B Nazanin"/>
      <family val="2"/>
      <b val="1"/>
      <color rgb="FFFFFFFF"/>
      <sz val="11"/>
    </font>
    <font>
      <name val="B Nazanin"/>
      <family val="2"/>
      <color rgb="FF1E2A2B"/>
      <sz val="11"/>
    </font>
    <font>
      <name val="B Nazanin"/>
      <family val="2"/>
      <color rgb="FF6B7A76"/>
      <sz val="10"/>
    </font>
    <font>
      <name val="B Nazanin"/>
      <family val="2"/>
      <b val="1"/>
      <color rgb="FF14453D"/>
      <sz val="10.5"/>
    </font>
    <font>
      <name val="Tahoma"/>
      <family val="2"/>
      <b val="1"/>
      <color rgb="FFC89B3C"/>
      <sz val="7.5"/>
    </font>
    <font>
      <name val="B Nazanin"/>
      <family val="2"/>
      <b val="1"/>
      <color rgb="FF14453D"/>
      <sz val="23"/>
    </font>
    <font>
      <name val="B Nazanin"/>
      <family val="2"/>
      <color rgb="FF6B7A76"/>
      <sz val="11.5"/>
    </font>
    <font>
      <name val="Tahoma"/>
      <family val="2"/>
      <b val="1"/>
      <color rgb="FFFFFFFF"/>
      <sz val="7.5"/>
    </font>
    <font>
      <name val="Tahoma"/>
      <family val="2"/>
      <color rgb="FF5A4A2A"/>
      <sz val="7.5"/>
    </font>
    <font>
      <name val="Tahoma"/>
      <family val="2"/>
      <color rgb="FF6B7A76"/>
      <sz val="7.5"/>
    </font>
    <font>
      <name val="Tahoma"/>
      <family val="2"/>
      <color rgb="FF2E6B4F"/>
      <sz val="7.5"/>
    </font>
    <font>
      <name val="Tahoma"/>
      <family val="2"/>
      <color rgb="FF2B5C7A"/>
      <sz val="7.5"/>
    </font>
    <font>
      <name val="B Nazanin"/>
      <family val="2"/>
      <b val="1"/>
      <color rgb="FF14453D"/>
      <sz val="17"/>
    </font>
    <font>
      <name val="B Nazanin"/>
      <family val="2"/>
      <b val="1"/>
      <color rgb="FFC4623F"/>
      <sz val="17"/>
    </font>
    <font>
      <name val="B Nazanin"/>
      <family val="2"/>
      <b val="1"/>
      <color rgb="FFFFFFFF"/>
      <sz val="10"/>
    </font>
    <font>
      <name val="Tahoma"/>
      <family val="2"/>
      <i val="1"/>
      <color rgb="FFCFE0D8"/>
      <sz val="6.5"/>
    </font>
    <font>
      <name val="Tahoma"/>
      <family val="2"/>
      <b val="1"/>
      <color rgb="FF14453D"/>
      <sz val="9"/>
    </font>
    <font>
      <name val="B Nazanin"/>
      <family val="2"/>
      <color rgb="FF3A3327"/>
      <sz val="11"/>
    </font>
    <font>
      <name val="Tahoma"/>
      <family val="2"/>
      <color rgb="FF3A3327"/>
      <sz val="8.5"/>
    </font>
    <font>
      <name val="B Nazanin"/>
      <family val="2"/>
      <color rgb="FF3A3327"/>
      <sz val="10"/>
    </font>
    <font>
      <name val="Tahoma"/>
      <family val="2"/>
      <b val="1"/>
      <color rgb="FF3A3327"/>
      <sz val="10"/>
    </font>
    <font>
      <name val="Tahoma"/>
      <family val="2"/>
      <color rgb="FFB4452F"/>
      <sz val="7.5"/>
    </font>
    <font>
      <name val="B Nazanin"/>
      <family val="2"/>
      <b val="1"/>
      <color rgb="FF2E6B4F"/>
      <sz val="17"/>
    </font>
    <font>
      <name val="B Nazanin"/>
      <family val="2"/>
      <b val="1"/>
      <color rgb="FF6B4E9E"/>
      <sz val="17"/>
    </font>
    <font>
      <name val="B Nazanin"/>
      <family val="2"/>
      <b val="1"/>
      <color rgb="FF2B5C7A"/>
      <sz val="17"/>
    </font>
    <font>
      <name val="Tahoma"/>
      <family val="2"/>
      <b val="1"/>
      <color rgb="FFFFFFFF"/>
      <sz val="8.5"/>
    </font>
    <font>
      <name val="Tahoma"/>
      <family val="2"/>
      <color rgb="FF3A3327"/>
      <sz val="9"/>
    </font>
    <font>
      <name val="Tahoma"/>
      <family val="2"/>
      <color rgb="FF3A3327"/>
      <sz val="8"/>
    </font>
    <font>
      <name val="B Nazanin"/>
      <family val="2"/>
      <color rgb="FF3A3327"/>
      <sz val="9.5"/>
    </font>
    <font>
      <name val="B Nazanin"/>
      <family val="2"/>
      <color rgb="FF14453D"/>
      <sz val="10"/>
    </font>
    <font>
      <name val="Tahoma"/>
      <family val="2"/>
      <b val="1"/>
      <color rgb="FF14453D"/>
      <sz val="8.5"/>
    </font>
    <font>
      <name val="B Nazanin"/>
      <family val="2"/>
      <color rgb="FF3A3327"/>
      <sz val="10.5"/>
    </font>
    <font>
      <name val="Tahoma"/>
      <family val="2"/>
      <color rgb="FFB9AE97"/>
      <sz val="8.5"/>
    </font>
    <font>
      <name val="Tahoma"/>
      <family val="2"/>
      <color theme="1"/>
      <sz val="9"/>
    </font>
    <font>
      <name val="Tahoma"/>
      <family val="2"/>
      <b val="1"/>
      <color rgb="FF14453D"/>
      <sz val="8"/>
    </font>
    <font>
      <name val="B Nazanin"/>
      <family val="2"/>
      <color rgb="FF3A3327"/>
      <sz val="9"/>
    </font>
    <font>
      <name val="B Nazanin"/>
      <family val="2"/>
      <b val="1"/>
      <color rgb="FFC89B3C"/>
      <sz val="17"/>
    </font>
    <font>
      <name val="Tahoma"/>
      <family val="2"/>
      <color rgb="FF6B7A76"/>
      <sz val="9"/>
    </font>
    <font>
      <name val="B Nazanin"/>
      <family val="2"/>
      <color rgb="FF6B7A76"/>
      <sz val="9.5"/>
    </font>
    <font>
      <name val="B Nazanin"/>
      <family val="2"/>
      <b val="1"/>
      <color rgb="FFE0A458"/>
      <sz val="17"/>
    </font>
    <font>
      <name val="B Nazanin"/>
      <family val="2"/>
      <b val="1"/>
      <color rgb="FF8FAE5D"/>
      <sz val="17"/>
    </font>
    <font>
      <name val="B Nazanin"/>
      <family val="2"/>
      <b val="1"/>
      <color rgb="FFFFFFFF"/>
      <sz val="9.5"/>
    </font>
    <font>
      <name val="B Nazanin"/>
      <family val="2"/>
      <color rgb="FF1E2A2B"/>
      <sz val="9.5"/>
    </font>
    <font>
      <name val="B Nazanin"/>
      <family val="2"/>
      <b val="1"/>
      <color rgb="FFFFFFFF"/>
      <sz val="9"/>
    </font>
    <font>
      <name val="Tahoma"/>
      <family val="2"/>
      <color rgb="FF1E2A2B"/>
      <sz val="9"/>
    </font>
    <font>
      <name val="B Nazanin"/>
      <family val="2"/>
      <color rgb="FF1E2A2B"/>
      <sz val="9"/>
    </font>
    <font>
      <name val="Tahoma"/>
      <family val="2"/>
      <b val="1"/>
      <color rgb="FFC89B3C"/>
      <sz val="8.5"/>
    </font>
    <font>
      <name val="B Nazanin"/>
      <family val="2"/>
      <color rgb="FF14453D"/>
      <sz val="11"/>
    </font>
    <font>
      <name val="B Nazanin"/>
      <family val="2"/>
      <color rgb="FF1E2A2B"/>
      <sz val="10.5"/>
    </font>
    <font>
      <name val="B Nazanin"/>
      <family val="2"/>
      <color rgb="FF1E2A2B"/>
      <sz val="10.5"/>
    </font>
    <font>
      <name val="Tahoma"/>
      <family val="2"/>
      <color indexed="81"/>
      <sz val="8"/>
    </font>
    <font>
      <name val="B Nazanin"/>
      <b val="1"/>
      <color rgb="FFFFFFFF"/>
      <sz val="9.5"/>
    </font>
    <font>
      <name val="B Nazanin"/>
      <color rgb="FF6B7A76"/>
      <sz val="7"/>
    </font>
    <font>
      <name val="B Nazanin"/>
      <color rgb="FF2B2A26"/>
      <sz val="9.5"/>
    </font>
    <font>
      <name val="B Nazanin"/>
      <color rgb="FF6B7A76"/>
      <sz val="9"/>
    </font>
    <font>
      <name val="B Nazanin"/>
      <color rgb="FF2B2A26"/>
      <sz val="9"/>
    </font>
    <font>
      <name val="B Nazanin"/>
      <color rgb="FF2B2A26"/>
      <sz val="8.5"/>
    </font>
    <font>
      <name val="B Nazanin"/>
      <b val="1"/>
      <color rgb="FFFFFFFF"/>
      <sz val="12"/>
    </font>
    <font>
      <name val="B Nazanin"/>
      <color rgb="FF2B2A26"/>
      <sz val="10"/>
    </font>
    <font>
      <name val="B Nazanin"/>
      <b val="1"/>
      <color rgb="FF14453D"/>
      <sz val="9"/>
    </font>
    <font>
      <name val="B Nazanin"/>
      <i val="1"/>
      <color rgb="007A7A7A"/>
      <sz val="9"/>
    </font>
    <font>
      <name val="B Nazanin"/>
      <b val="1"/>
      <color rgb="00FFFFFF"/>
      <sz val="10.5"/>
    </font>
    <font>
      <name val="B Nazanin"/>
      <b val="1"/>
      <color rgb="0014453D"/>
      <sz val="9"/>
    </font>
  </fonts>
  <fills count="26">
    <fill>
      <patternFill/>
    </fill>
    <fill>
      <patternFill patternType="gray125"/>
    </fill>
    <fill>
      <patternFill patternType="solid">
        <fgColor rgb="FFF7F1E4"/>
        <bgColor indexed="64"/>
      </patternFill>
    </fill>
    <fill>
      <patternFill patternType="solid">
        <fgColor rgb="FFFBF8F1"/>
        <bgColor indexed="64"/>
      </patternFill>
    </fill>
    <fill>
      <patternFill patternType="solid">
        <fgColor rgb="FFC89B3C"/>
        <bgColor indexed="64"/>
      </patternFill>
    </fill>
    <fill>
      <patternFill patternType="solid">
        <fgColor rgb="FFEBD9AE"/>
        <bgColor indexed="64"/>
      </patternFill>
    </fill>
    <fill>
      <patternFill patternType="solid">
        <fgColor rgb="FFEAF4EC"/>
        <bgColor indexed="64"/>
      </patternFill>
    </fill>
    <fill>
      <patternFill patternType="solid">
        <fgColor rgb="FFEAF1F7"/>
        <bgColor indexed="64"/>
      </patternFill>
    </fill>
    <fill>
      <patternFill patternType="solid">
        <fgColor rgb="FFFFFFFF"/>
        <bgColor indexed="64"/>
      </patternFill>
    </fill>
    <fill>
      <patternFill patternType="solid">
        <fgColor rgb="FF14453D"/>
        <bgColor indexed="64"/>
      </patternFill>
    </fill>
    <fill>
      <patternFill patternType="solid">
        <fgColor rgb="FFFFF4D6"/>
        <bgColor indexed="64"/>
      </patternFill>
    </fill>
    <fill>
      <patternFill patternType="solid">
        <fgColor rgb="FFF1F0EB"/>
        <bgColor indexed="64"/>
      </patternFill>
    </fill>
    <fill>
      <patternFill patternType="solid">
        <fgColor rgb="FFFBEDE7"/>
        <bgColor indexed="64"/>
      </patternFill>
    </fill>
    <fill>
      <patternFill patternType="solid">
        <fgColor rgb="FFFCFAF3"/>
        <bgColor indexed="64"/>
      </patternFill>
    </fill>
    <fill>
      <patternFill patternType="solid">
        <fgColor rgb="FFDCE9E2"/>
        <bgColor indexed="64"/>
      </patternFill>
    </fill>
    <fill>
      <patternFill patternType="solid">
        <fgColor rgb="FFF3EADB"/>
        <bgColor indexed="64"/>
      </patternFill>
    </fill>
    <fill>
      <patternFill patternType="solid">
        <fgColor rgb="FFF0EBF7"/>
        <bgColor indexed="64"/>
      </patternFill>
    </fill>
    <fill>
      <patternFill patternType="solid">
        <fgColor rgb="FFF4F3EE"/>
        <bgColor indexed="64"/>
      </patternFill>
    </fill>
    <fill>
      <patternFill patternType="solid">
        <fgColor rgb="FFFDEFE4"/>
        <bgColor indexed="64"/>
      </patternFill>
    </fill>
    <fill>
      <patternFill patternType="solid">
        <fgColor rgb="FFF6F5F0"/>
        <bgColor indexed="64"/>
      </patternFill>
    </fill>
    <fill>
      <patternFill patternType="solid">
        <fgColor rgb="FF14453D"/>
      </patternFill>
    </fill>
    <fill>
      <patternFill patternType="solid">
        <fgColor rgb="FFF7F1E6"/>
      </patternFill>
    </fill>
    <fill>
      <patternFill patternType="solid">
        <fgColor rgb="FFFBF8F1"/>
      </patternFill>
    </fill>
    <fill>
      <patternFill patternType="solid">
        <fgColor rgb="FFFFFFFF"/>
      </patternFill>
    </fill>
    <fill>
      <patternFill patternType="solid">
        <fgColor rgb="0014453D"/>
      </patternFill>
    </fill>
    <fill>
      <patternFill patternType="solid">
        <fgColor rgb="00E4F0E8"/>
      </patternFill>
    </fill>
  </fills>
  <borders count="58">
    <border>
      <left/>
      <right/>
      <top/>
      <bottom/>
      <diagonal/>
    </border>
    <border>
      <left style="thin">
        <color rgb="FFDCD5C6"/>
      </left>
      <right style="thin">
        <color rgb="FFDCD5C6"/>
      </right>
      <top style="dashed">
        <color rgb="FFC89B3C"/>
      </top>
      <bottom style="thin">
        <color rgb="FFDCD5C6"/>
      </bottom>
      <diagonal/>
    </border>
    <border>
      <left style="thin">
        <color rgb="FFDCD5C6"/>
      </left>
      <right style="thin">
        <color rgb="FFDCD5C6"/>
      </right>
      <top style="thin">
        <color rgb="FFDCD5C6"/>
      </top>
      <bottom style="thin">
        <color rgb="FFDCD5C6"/>
      </bottom>
      <diagonal/>
    </border>
    <border>
      <left/>
      <right/>
      <top/>
      <bottom style="medium">
        <color rgb="FFC89B3C"/>
      </bottom>
      <diagonal/>
    </border>
    <border>
      <left style="dashed">
        <color rgb="FFC89B3C"/>
      </left>
      <right style="thin">
        <color rgb="FFDCD5C6"/>
      </right>
      <top style="thin">
        <color rgb="FFDCD5C6"/>
      </top>
      <bottom style="thin">
        <color rgb="FFDCD5C6"/>
      </bottom>
      <diagonal/>
    </border>
    <border>
      <left style="thin">
        <color rgb="FFEAE4D7"/>
      </left>
      <right style="thin">
        <color rgb="FFEAE4D7"/>
      </right>
      <top style="thin">
        <color rgb="FFEAE4D7"/>
      </top>
      <bottom style="thin">
        <color rgb="FFEAE4D7"/>
      </bottom>
      <diagonal/>
    </border>
    <border>
      <left style="thin">
        <color rgb="FF1F5C4D"/>
      </left>
      <right style="thin">
        <color rgb="FF1F5C4D"/>
      </right>
      <top style="thin">
        <color rgb="FF1F5C4D"/>
      </top>
      <bottom style="thin">
        <color rgb="FF1F5C4D"/>
      </bottom>
      <diagonal/>
    </border>
    <border>
      <left style="thin">
        <color rgb="FFEBD9AE"/>
      </left>
      <right style="thin">
        <color rgb="FFEBD9AE"/>
      </right>
      <top style="thin">
        <color rgb="FFEBD9AE"/>
      </top>
      <bottom style="thin">
        <color rgb="FFEBD9AE"/>
      </bottom>
      <diagonal/>
    </border>
    <border>
      <left style="medium">
        <color rgb="FFEBD9AE"/>
      </left>
      <right style="medium">
        <color rgb="FFEBD9AE"/>
      </right>
      <top style="medium">
        <color rgb="FFEBD9AE"/>
      </top>
      <bottom style="medium">
        <color rgb="FFEBD9AE"/>
      </bottom>
      <diagonal/>
    </border>
    <border>
      <left style="thin">
        <color rgb="FFFFFFFF"/>
      </left>
      <right style="thin">
        <color rgb="FFFFFFFF"/>
      </right>
      <top style="thin">
        <color rgb="FFFFFFFF"/>
      </top>
      <bottom style="thin">
        <color rgb="FFFFFFFF"/>
      </bottom>
      <diagonal/>
    </border>
    <border>
      <left style="thin">
        <color rgb="FF1F5C4D"/>
      </left>
      <right style="thin">
        <color rgb="FF1F5C4D"/>
      </right>
      <top style="thin">
        <color rgb="FF1F5C4D"/>
      </top>
      <bottom style="medium">
        <color rgb="FFC89B3C"/>
      </bottom>
      <diagonal/>
    </border>
    <border>
      <left style="thin">
        <color rgb="FFF1ECDF"/>
      </left>
      <right style="thin">
        <color rgb="FFF1ECDF"/>
      </right>
      <top style="thin">
        <color rgb="FFF1ECDF"/>
      </top>
      <bottom style="thin">
        <color rgb="FFF1ECDF"/>
      </bottom>
      <diagonal/>
    </border>
    <border>
      <left style="thin">
        <color rgb="FFC89B3C"/>
      </left>
      <right style="thin">
        <color rgb="FFC89B3C"/>
      </right>
      <top style="thin">
        <color rgb="FFC89B3C"/>
      </top>
      <bottom style="thin">
        <color rgb="FFC89B3C"/>
      </bottom>
      <diagonal/>
    </border>
    <border>
      <left/>
      <right/>
      <top/>
      <bottom/>
      <diagonal/>
    </border>
    <border>
      <left/>
      <right/>
      <top style="dashed">
        <color rgb="FFC89B3C"/>
      </top>
      <bottom/>
      <diagonal/>
    </border>
    <border>
      <left/>
      <right style="thin">
        <color rgb="FFDCD5C6"/>
      </right>
      <top style="dashed">
        <color rgb="FFC89B3C"/>
      </top>
      <bottom/>
      <diagonal/>
    </border>
    <border>
      <left/>
      <right style="thin">
        <color rgb="FFDCD5C6"/>
      </right>
      <top style="dashed">
        <color rgb="FFC89B3C"/>
      </top>
      <bottom style="thin">
        <color rgb="FFDCD5C6"/>
      </bottom>
      <diagonal/>
    </border>
    <border>
      <left/>
      <right/>
      <top style="thin">
        <color rgb="FFDCD5C6"/>
      </top>
      <bottom/>
      <diagonal/>
    </border>
    <border>
      <left/>
      <right style="thin">
        <color rgb="FFDCD5C6"/>
      </right>
      <top style="thin">
        <color rgb="FFDCD5C6"/>
      </top>
      <bottom/>
      <diagonal/>
    </border>
    <border>
      <left/>
      <right style="thin">
        <color rgb="FFDCD5C6"/>
      </right>
      <top style="thin">
        <color rgb="FFDCD5C6"/>
      </top>
      <bottom style="thin">
        <color rgb="FFDCD5C6"/>
      </bottom>
      <diagonal/>
    </border>
    <border>
      <left/>
      <right/>
      <top style="thin">
        <color rgb="FFEAE4D7"/>
      </top>
      <bottom/>
      <diagonal/>
    </border>
    <border>
      <left/>
      <right style="thin">
        <color rgb="FFEAE4D7"/>
      </right>
      <top style="thin">
        <color rgb="FFEAE4D7"/>
      </top>
      <bottom/>
      <diagonal/>
    </border>
    <border>
      <left/>
      <right/>
      <top style="thin">
        <color rgb="FFEAE4D7"/>
      </top>
      <bottom style="thin">
        <color rgb="FFEAE4D7"/>
      </bottom>
      <diagonal/>
    </border>
    <border>
      <left/>
      <right style="thin">
        <color rgb="FFEAE4D7"/>
      </right>
      <top style="thin">
        <color rgb="FFEAE4D7"/>
      </top>
      <bottom style="thin">
        <color rgb="FFEAE4D7"/>
      </bottom>
      <diagonal/>
    </border>
    <border>
      <left/>
      <right/>
      <top style="thin">
        <color rgb="FF1F5C4D"/>
      </top>
      <bottom/>
      <diagonal/>
    </border>
    <border>
      <left/>
      <right style="thin">
        <color rgb="FF1F5C4D"/>
      </right>
      <top style="thin">
        <color rgb="FF1F5C4D"/>
      </top>
      <bottom/>
      <diagonal/>
    </border>
    <border>
      <left/>
      <right/>
      <top style="thin">
        <color rgb="FF1F5C4D"/>
      </top>
      <bottom style="thin">
        <color rgb="FF1F5C4D"/>
      </bottom>
      <diagonal/>
    </border>
    <border>
      <left/>
      <right style="thin">
        <color rgb="FF1F5C4D"/>
      </right>
      <top style="thin">
        <color rgb="FF1F5C4D"/>
      </top>
      <bottom style="thin">
        <color rgb="FF1F5C4D"/>
      </bottom>
      <diagonal/>
    </border>
    <border>
      <left/>
      <right/>
      <top style="thin">
        <color rgb="FFEBD9AE"/>
      </top>
      <bottom/>
      <diagonal/>
    </border>
    <border>
      <left/>
      <right style="thin">
        <color rgb="FFEBD9AE"/>
      </right>
      <top style="thin">
        <color rgb="FFEBD9AE"/>
      </top>
      <bottom/>
      <diagonal/>
    </border>
    <border>
      <left/>
      <right/>
      <top style="thin">
        <color rgb="FFEBD9AE"/>
      </top>
      <bottom style="thin">
        <color rgb="FFEBD9AE"/>
      </bottom>
      <diagonal/>
    </border>
    <border>
      <left/>
      <right style="thin">
        <color rgb="FFEBD9AE"/>
      </right>
      <top style="thin">
        <color rgb="FFEBD9AE"/>
      </top>
      <bottom style="thin">
        <color rgb="FFEBD9AE"/>
      </bottom>
      <diagonal/>
    </border>
    <border>
      <left/>
      <right/>
      <top style="medium">
        <color rgb="FFEBD9AE"/>
      </top>
      <bottom/>
      <diagonal/>
    </border>
    <border>
      <left style="medium">
        <color rgb="FFEBD9AE"/>
      </left>
      <right/>
      <top/>
      <bottom/>
      <diagonal/>
    </border>
    <border>
      <left/>
      <right style="medium">
        <color rgb="FFEBD9AE"/>
      </right>
      <top style="medium">
        <color rgb="FFEBD9AE"/>
      </top>
      <bottom/>
      <diagonal/>
    </border>
    <border>
      <left/>
      <right style="medium">
        <color rgb="FFEBD9AE"/>
      </right>
      <top/>
      <bottom/>
      <diagonal/>
    </border>
    <border>
      <left style="medium">
        <color rgb="FFEBD9AE"/>
      </left>
      <right/>
      <top/>
      <bottom style="medium">
        <color rgb="FFEBD9AE"/>
      </bottom>
      <diagonal/>
    </border>
    <border>
      <left/>
      <right/>
      <top/>
      <bottom style="medium">
        <color rgb="FFEBD9AE"/>
      </bottom>
      <diagonal/>
    </border>
    <border>
      <left/>
      <right style="medium">
        <color rgb="FFEBD9AE"/>
      </right>
      <top/>
      <bottom style="medium">
        <color rgb="FFEBD9AE"/>
      </bottom>
      <diagonal/>
    </border>
    <border>
      <left style="thin">
        <color rgb="FFEAE4D7"/>
      </left>
      <right/>
      <top/>
      <bottom/>
      <diagonal/>
    </border>
    <border>
      <left/>
      <right style="thin">
        <color rgb="FFEAE4D7"/>
      </right>
      <top/>
      <bottom/>
      <diagonal/>
    </border>
    <border>
      <left style="thin">
        <color rgb="FFEAE4D7"/>
      </left>
      <right/>
      <top/>
      <bottom style="thin">
        <color rgb="FFEAE4D7"/>
      </bottom>
      <diagonal/>
    </border>
    <border>
      <left/>
      <right/>
      <top/>
      <bottom style="thin">
        <color rgb="FFEAE4D7"/>
      </bottom>
      <diagonal/>
    </border>
    <border>
      <left/>
      <right style="thin">
        <color rgb="FFEAE4D7"/>
      </right>
      <top/>
      <bottom style="thin">
        <color rgb="FFEAE4D7"/>
      </bottom>
      <diagonal/>
    </border>
    <border>
      <left/>
      <right/>
      <top style="dashed">
        <color rgb="FFC89B3C"/>
      </top>
      <bottom style="thin">
        <color rgb="FFDCD5C6"/>
      </bottom>
      <diagonal/>
    </border>
    <border>
      <left/>
      <right/>
      <top style="thin">
        <color rgb="FFDCD5C6"/>
      </top>
      <bottom style="thin">
        <color rgb="FFDCD5C6"/>
      </bottom>
      <diagonal/>
    </border>
    <border>
      <left/>
      <right/>
      <top style="thin">
        <color rgb="FFFFFFFF"/>
      </top>
      <bottom/>
      <diagonal/>
    </border>
    <border>
      <left/>
      <right style="thin">
        <color rgb="FFFFFFFF"/>
      </right>
      <top style="thin">
        <color rgb="FFFFFFFF"/>
      </top>
      <bottom/>
      <diagonal/>
    </border>
    <border>
      <left/>
      <right style="thin">
        <color rgb="FFFFFFFF"/>
      </right>
      <top style="thin">
        <color rgb="FFFFFFFF"/>
      </top>
      <bottom style="thin">
        <color rgb="FFFFFFFF"/>
      </bottom>
      <diagonal/>
    </border>
    <border>
      <left/>
      <right/>
      <top style="thin">
        <color rgb="FFFFFFFF"/>
      </top>
      <bottom style="thin">
        <color rgb="FFFFFFFF"/>
      </bottom>
      <diagonal/>
    </border>
    <border>
      <left style="thin">
        <color rgb="FFDDD5C4"/>
      </left>
      <right style="thin">
        <color rgb="FFDDD5C4"/>
      </right>
      <top style="thin">
        <color rgb="FFDDD5C4"/>
      </top>
      <bottom style="thin">
        <color rgb="FFDDD5C4"/>
      </bottom>
    </border>
    <border>
      <left/>
      <right/>
      <top style="thin">
        <color rgb="FFDDD5C4"/>
      </top>
      <bottom/>
      <diagonal/>
    </border>
    <border>
      <left/>
      <right style="thin">
        <color rgb="FFDDD5C4"/>
      </right>
      <top style="thin">
        <color rgb="FFDDD5C4"/>
      </top>
      <bottom/>
      <diagonal/>
    </border>
    <border>
      <left/>
      <right/>
      <top style="thin">
        <color rgb="FFDDD5C4"/>
      </top>
      <bottom style="thin">
        <color rgb="FFDDD5C4"/>
      </bottom>
      <diagonal/>
    </border>
    <border>
      <left/>
      <right style="thin">
        <color rgb="FFDDD5C4"/>
      </right>
      <top style="thin">
        <color rgb="FFDDD5C4"/>
      </top>
      <bottom style="thin">
        <color rgb="FFDDD5C4"/>
      </bottom>
      <diagonal/>
    </border>
    <border>
      <left/>
      <right/>
      <top style="thin">
        <color rgb="FF1F5C4D"/>
      </top>
      <bottom style="medium">
        <color rgb="FFC89B3C"/>
      </bottom>
      <diagonal/>
    </border>
    <border>
      <left/>
      <right style="thin">
        <color rgb="FF1F5C4D"/>
      </right>
      <top style="thin">
        <color rgb="FF1F5C4D"/>
      </top>
      <bottom style="medium">
        <color rgb="FFC89B3C"/>
      </bottom>
      <diagonal/>
    </border>
    <border>
      <left style="thin">
        <color rgb="00D8D2C2"/>
      </left>
      <right style="thin">
        <color rgb="00D8D2C2"/>
      </right>
      <top style="thin">
        <color rgb="00D8D2C2"/>
      </top>
      <bottom style="thin">
        <color rgb="00D8D2C2"/>
      </bottom>
    </border>
  </borders>
  <cellStyleXfs count="1">
    <xf numFmtId="0" fontId="0" fillId="0" borderId="13"/>
  </cellStyleXfs>
  <cellXfs count="170">
    <xf numFmtId="0" fontId="0" fillId="0" borderId="0" pivotButton="0" quotePrefix="0" xfId="0"/>
    <xf numFmtId="0" fontId="1" fillId="0" borderId="0" applyAlignment="1" pivotButton="0" quotePrefix="0" xfId="0">
      <alignment horizontal="right"/>
    </xf>
    <xf numFmtId="0" fontId="2" fillId="0" borderId="0" applyAlignment="1" pivotButton="0" quotePrefix="0" xfId="0">
      <alignment horizontal="left"/>
    </xf>
    <xf numFmtId="0" fontId="3" fillId="0" borderId="0" applyAlignment="1" pivotButton="0" quotePrefix="0" xfId="0">
      <alignment horizontal="right"/>
    </xf>
    <xf numFmtId="0" fontId="4" fillId="0" borderId="0" applyAlignment="1" pivotButton="0" quotePrefix="0" xfId="0">
      <alignment horizontal="right"/>
    </xf>
    <xf numFmtId="0" fontId="5" fillId="2" borderId="1" applyAlignment="1" pivotButton="0" quotePrefix="0" xfId="0">
      <alignment horizontal="center" vertical="center"/>
    </xf>
    <xf numFmtId="164" fontId="6" fillId="3" borderId="2" applyAlignment="1" pivotButton="0" quotePrefix="0" xfId="0">
      <alignment horizontal="center" vertical="center"/>
    </xf>
    <xf numFmtId="164" fontId="7" fillId="3" borderId="2" applyAlignment="1" pivotButton="0" quotePrefix="0" xfId="0">
      <alignment horizontal="center" vertical="center"/>
    </xf>
    <xf numFmtId="164" fontId="8" fillId="3" borderId="2" applyAlignment="1" pivotButton="0" quotePrefix="0" xfId="0">
      <alignment horizontal="center" vertical="center"/>
    </xf>
    <xf numFmtId="164" fontId="9" fillId="3" borderId="2" applyAlignment="1" pivotButton="0" quotePrefix="0" xfId="0">
      <alignment horizontal="center" vertical="center"/>
    </xf>
    <xf numFmtId="164" fontId="10" fillId="3" borderId="2" applyAlignment="1" pivotButton="0" quotePrefix="0" xfId="0">
      <alignment horizontal="center" vertical="center"/>
    </xf>
    <xf numFmtId="0" fontId="11" fillId="4" borderId="0" applyAlignment="1" pivotButton="0" quotePrefix="0" xfId="0">
      <alignment horizontal="center" vertical="center"/>
    </xf>
    <xf numFmtId="0" fontId="12" fillId="2" borderId="3" applyAlignment="1" pivotButton="0" quotePrefix="0" xfId="0">
      <alignment horizontal="right" vertical="center"/>
    </xf>
    <xf numFmtId="0" fontId="13" fillId="2" borderId="4" applyAlignment="1" pivotButton="0" quotePrefix="0" xfId="0">
      <alignment horizontal="right" vertical="center"/>
    </xf>
    <xf numFmtId="0" fontId="14" fillId="3" borderId="2" applyAlignment="1" pivotButton="0" quotePrefix="0" xfId="0">
      <alignment horizontal="right" vertical="top" wrapText="1"/>
    </xf>
    <xf numFmtId="0" fontId="15" fillId="3" borderId="2" applyAlignment="1" pivotButton="0" quotePrefix="0" xfId="0">
      <alignment horizontal="left"/>
    </xf>
    <xf numFmtId="0" fontId="13" fillId="5" borderId="2" applyAlignment="1" pivotButton="0" quotePrefix="0" xfId="0">
      <alignment horizontal="center" vertical="center" wrapText="1"/>
    </xf>
    <xf numFmtId="0" fontId="16" fillId="0" borderId="0" applyAlignment="1" pivotButton="0" quotePrefix="0" xfId="0">
      <alignment horizontal="center" vertical="center"/>
    </xf>
    <xf numFmtId="0" fontId="13" fillId="6" borderId="2" applyAlignment="1" pivotButton="0" quotePrefix="0" xfId="0">
      <alignment horizontal="center" vertical="center" wrapText="1"/>
    </xf>
    <xf numFmtId="0" fontId="17" fillId="7" borderId="2" applyAlignment="1" pivotButton="0" quotePrefix="0" xfId="0">
      <alignment horizontal="center" vertical="center" wrapText="1"/>
    </xf>
    <xf numFmtId="0" fontId="14" fillId="8" borderId="2" applyAlignment="1" pivotButton="0" quotePrefix="0" xfId="0">
      <alignment horizontal="center" vertical="center"/>
    </xf>
    <xf numFmtId="0" fontId="18" fillId="3" borderId="5" applyAlignment="1" pivotButton="0" quotePrefix="0" xfId="0">
      <alignment horizontal="right" vertical="center"/>
    </xf>
    <xf numFmtId="0" fontId="19" fillId="8" borderId="5" applyAlignment="1" pivotButton="0" quotePrefix="0" xfId="0">
      <alignment horizontal="right" vertical="center"/>
    </xf>
    <xf numFmtId="0" fontId="20" fillId="8" borderId="5" applyAlignment="1" pivotButton="0" quotePrefix="0" xfId="0">
      <alignment horizontal="right" vertical="center"/>
    </xf>
    <xf numFmtId="0" fontId="21" fillId="9" borderId="6" applyAlignment="1" pivotButton="0" quotePrefix="0" xfId="0">
      <alignment horizontal="center" vertical="center"/>
    </xf>
    <xf numFmtId="0" fontId="13" fillId="2" borderId="2" applyAlignment="1" pivotButton="0" quotePrefix="0" xfId="0">
      <alignment horizontal="right" vertical="center"/>
    </xf>
    <xf numFmtId="0" fontId="22" fillId="10" borderId="7" applyAlignment="1" pivotButton="0" quotePrefix="0" xfId="0">
      <alignment horizontal="right" vertical="center"/>
    </xf>
    <xf numFmtId="0" fontId="14" fillId="3" borderId="5" applyAlignment="1" pivotButton="0" quotePrefix="0" xfId="0">
      <alignment horizontal="right" vertical="center"/>
    </xf>
    <xf numFmtId="0" fontId="23" fillId="3" borderId="8" applyAlignment="1" pivotButton="0" quotePrefix="0" xfId="0">
      <alignment horizontal="center" vertical="center" wrapText="1"/>
    </xf>
    <xf numFmtId="0" fontId="22" fillId="8" borderId="5" applyAlignment="1" pivotButton="0" quotePrefix="0" xfId="0">
      <alignment horizontal="right" vertical="top" wrapText="1"/>
    </xf>
    <xf numFmtId="0" fontId="24" fillId="0" borderId="0" applyAlignment="1" pivotButton="0" quotePrefix="0" xfId="0">
      <alignment horizontal="right" vertical="center"/>
    </xf>
    <xf numFmtId="0" fontId="25" fillId="0" borderId="0" applyAlignment="1" pivotButton="0" quotePrefix="0" xfId="0">
      <alignment horizontal="left" vertical="center"/>
    </xf>
    <xf numFmtId="0" fontId="26" fillId="0" borderId="0" applyAlignment="1" pivotButton="0" quotePrefix="0" xfId="0">
      <alignment horizontal="right" vertical="center"/>
    </xf>
    <xf numFmtId="0" fontId="27" fillId="0" borderId="0" applyAlignment="1" pivotButton="0" quotePrefix="0" xfId="0">
      <alignment horizontal="right" vertical="top" wrapText="1"/>
    </xf>
    <xf numFmtId="0" fontId="28" fillId="9" borderId="9" applyAlignment="1" pivotButton="0" quotePrefix="0" xfId="0">
      <alignment horizontal="center" vertical="center"/>
    </xf>
    <xf numFmtId="0" fontId="29" fillId="10" borderId="9" applyAlignment="1" pivotButton="0" quotePrefix="0" xfId="0">
      <alignment horizontal="center" vertical="center"/>
    </xf>
    <xf numFmtId="0" fontId="30" fillId="11" borderId="9" applyAlignment="1" pivotButton="0" quotePrefix="0" xfId="0">
      <alignment horizontal="center" vertical="center"/>
    </xf>
    <xf numFmtId="0" fontId="31" fillId="6" borderId="9" applyAlignment="1" pivotButton="0" quotePrefix="0" xfId="0">
      <alignment horizontal="center" vertical="center"/>
    </xf>
    <xf numFmtId="0" fontId="32" fillId="7" borderId="9" applyAlignment="1" pivotButton="0" quotePrefix="0" xfId="0">
      <alignment horizontal="center" vertical="center"/>
    </xf>
    <xf numFmtId="49" fontId="33" fillId="3" borderId="2" applyAlignment="1" pivotButton="0" quotePrefix="0" xfId="0">
      <alignment horizontal="center" vertical="center"/>
    </xf>
    <xf numFmtId="165" fontId="34" fillId="3" borderId="2" applyAlignment="1" pivotButton="0" quotePrefix="0" xfId="0">
      <alignment horizontal="center" vertical="center"/>
    </xf>
    <xf numFmtId="166" fontId="33" fillId="3" borderId="2" applyAlignment="1" pivotButton="0" quotePrefix="0" xfId="0">
      <alignment horizontal="center" vertical="center"/>
    </xf>
    <xf numFmtId="0" fontId="35" fillId="9" borderId="6" applyAlignment="1" pivotButton="0" quotePrefix="0" xfId="0">
      <alignment horizontal="center" vertical="center" wrapText="1"/>
    </xf>
    <xf numFmtId="0" fontId="36" fillId="9" borderId="10" applyAlignment="1" pivotButton="0" quotePrefix="0" xfId="0">
      <alignment horizontal="center" vertical="center"/>
    </xf>
    <xf numFmtId="0" fontId="37" fillId="2" borderId="2" applyAlignment="1" pivotButton="0" quotePrefix="0" xfId="0">
      <alignment horizontal="center" vertical="center"/>
    </xf>
    <xf numFmtId="0" fontId="38" fillId="10" borderId="7" applyAlignment="1" pivotButton="0" quotePrefix="0" xfId="0">
      <alignment horizontal="right" vertical="center" wrapText="1"/>
    </xf>
    <xf numFmtId="164" fontId="39" fillId="10" borderId="7" applyAlignment="1" pivotButton="0" quotePrefix="0" xfId="0">
      <alignment horizontal="center" vertical="center" wrapText="1"/>
    </xf>
    <xf numFmtId="0" fontId="40" fillId="10" borderId="7" applyAlignment="1" pivotButton="0" quotePrefix="0" xfId="0">
      <alignment horizontal="center" vertical="center" wrapText="1"/>
    </xf>
    <xf numFmtId="0" fontId="40" fillId="10" borderId="7" applyAlignment="1" pivotButton="0" quotePrefix="0" xfId="0">
      <alignment horizontal="right" vertical="center" wrapText="1"/>
    </xf>
    <xf numFmtId="0" fontId="41" fillId="10" borderId="7" applyAlignment="1" pivotButton="0" quotePrefix="0" xfId="0">
      <alignment horizontal="center" vertical="center" wrapText="1"/>
    </xf>
    <xf numFmtId="0" fontId="42" fillId="12" borderId="9" applyAlignment="1" pivotButton="0" quotePrefix="0" xfId="0">
      <alignment horizontal="center" vertical="center"/>
    </xf>
    <xf numFmtId="0" fontId="23" fillId="0" borderId="0" applyAlignment="1" pivotButton="0" quotePrefix="0" xfId="0">
      <alignment horizontal="right" vertical="center"/>
    </xf>
    <xf numFmtId="164" fontId="33" fillId="3" borderId="2" applyAlignment="1" pivotButton="0" quotePrefix="0" xfId="0">
      <alignment horizontal="center" vertical="center"/>
    </xf>
    <xf numFmtId="164" fontId="43" fillId="3" borderId="2" applyAlignment="1" pivotButton="0" quotePrefix="0" xfId="0">
      <alignment horizontal="center" vertical="center"/>
    </xf>
    <xf numFmtId="164" fontId="44" fillId="3" borderId="2" applyAlignment="1" pivotButton="0" quotePrefix="0" xfId="0">
      <alignment horizontal="center" vertical="center"/>
    </xf>
    <xf numFmtId="164" fontId="45" fillId="3" borderId="2" applyAlignment="1" pivotButton="0" quotePrefix="0" xfId="0">
      <alignment horizontal="center" vertical="center"/>
    </xf>
    <xf numFmtId="0" fontId="46" fillId="9" borderId="6" applyAlignment="1" pivotButton="0" quotePrefix="0" xfId="0">
      <alignment horizontal="center" vertical="center"/>
    </xf>
    <xf numFmtId="0" fontId="38" fillId="10" borderId="7" applyAlignment="1" pivotButton="0" quotePrefix="0" xfId="0">
      <alignment horizontal="center" vertical="center" wrapText="1"/>
    </xf>
    <xf numFmtId="0" fontId="47" fillId="10" borderId="7" applyAlignment="1" pivotButton="0" quotePrefix="0" xfId="0">
      <alignment horizontal="center" vertical="center" wrapText="1"/>
    </xf>
    <xf numFmtId="0" fontId="48" fillId="10" borderId="7" applyAlignment="1" pivotButton="0" quotePrefix="0" xfId="0">
      <alignment horizontal="center" vertical="center" wrapText="1"/>
    </xf>
    <xf numFmtId="0" fontId="49" fillId="10" borderId="7" applyAlignment="1" pivotButton="0" quotePrefix="0" xfId="0">
      <alignment horizontal="right" vertical="center" wrapText="1"/>
    </xf>
    <xf numFmtId="0" fontId="50" fillId="2" borderId="5" applyAlignment="1" pivotButton="0" quotePrefix="0" xfId="0">
      <alignment horizontal="right" vertical="center" wrapText="1"/>
    </xf>
    <xf numFmtId="164" fontId="34" fillId="3" borderId="2" applyAlignment="1" pivotButton="0" quotePrefix="0" xfId="0">
      <alignment horizontal="center" vertical="center"/>
    </xf>
    <xf numFmtId="0" fontId="51" fillId="2" borderId="2" applyAlignment="1" pivotButton="0" quotePrefix="0" xfId="0">
      <alignment horizontal="center" vertical="center"/>
    </xf>
    <xf numFmtId="0" fontId="39" fillId="10" borderId="7" applyAlignment="1" pivotButton="0" quotePrefix="0" xfId="0">
      <alignment horizontal="center" vertical="center" wrapText="1"/>
    </xf>
    <xf numFmtId="0" fontId="52" fillId="10" borderId="7" applyAlignment="1" pivotButton="0" quotePrefix="0" xfId="0">
      <alignment horizontal="right" vertical="center" wrapText="1"/>
    </xf>
    <xf numFmtId="167" fontId="47" fillId="10" borderId="7" applyAlignment="1" pivotButton="0" quotePrefix="0" xfId="0">
      <alignment horizontal="center" vertical="center" wrapText="1"/>
    </xf>
    <xf numFmtId="0" fontId="53" fillId="13" borderId="11" applyAlignment="1" pivotButton="0" quotePrefix="0" xfId="0">
      <alignment horizontal="center" vertical="center"/>
    </xf>
    <xf numFmtId="167" fontId="54" fillId="13" borderId="11" applyAlignment="1" pivotButton="0" quotePrefix="0" xfId="0">
      <alignment horizontal="center"/>
    </xf>
    <xf numFmtId="0" fontId="55" fillId="14" borderId="9" applyAlignment="1" pivotButton="0" quotePrefix="0" xfId="0">
      <alignment horizontal="center" vertical="center"/>
    </xf>
    <xf numFmtId="0" fontId="55" fillId="6" borderId="9" applyAlignment="1" pivotButton="0" quotePrefix="0" xfId="0">
      <alignment horizontal="center" vertical="center"/>
    </xf>
    <xf numFmtId="0" fontId="55" fillId="7" borderId="9" applyAlignment="1" pivotButton="0" quotePrefix="0" xfId="0">
      <alignment horizontal="center" vertical="center"/>
    </xf>
    <xf numFmtId="0" fontId="55" fillId="15" borderId="9" applyAlignment="1" pivotButton="0" quotePrefix="0" xfId="0">
      <alignment horizontal="center" vertical="center"/>
    </xf>
    <xf numFmtId="0" fontId="55" fillId="16" borderId="9" applyAlignment="1" pivotButton="0" quotePrefix="0" xfId="0">
      <alignment horizontal="center" vertical="center"/>
    </xf>
    <xf numFmtId="0" fontId="55" fillId="12" borderId="9" applyAlignment="1" pivotButton="0" quotePrefix="0" xfId="0">
      <alignment horizontal="center" vertical="center"/>
    </xf>
    <xf numFmtId="0" fontId="55" fillId="17" borderId="9" applyAlignment="1" pivotButton="0" quotePrefix="0" xfId="0">
      <alignment horizontal="center" vertical="center"/>
    </xf>
    <xf numFmtId="0" fontId="55" fillId="18" borderId="9" applyAlignment="1" pivotButton="0" quotePrefix="0" xfId="0">
      <alignment horizontal="center" vertical="center"/>
    </xf>
    <xf numFmtId="0" fontId="24" fillId="10" borderId="7" applyAlignment="1" pivotButton="0" quotePrefix="0" xfId="0">
      <alignment horizontal="right" vertical="center" wrapText="1"/>
    </xf>
    <xf numFmtId="0" fontId="56" fillId="10" borderId="7" applyAlignment="1" pivotButton="0" quotePrefix="0" xfId="0">
      <alignment horizontal="right" vertical="center" wrapText="1"/>
    </xf>
    <xf numFmtId="0" fontId="49" fillId="10" borderId="7" applyAlignment="1" pivotButton="0" quotePrefix="0" xfId="0">
      <alignment horizontal="center" vertical="center" wrapText="1"/>
    </xf>
    <xf numFmtId="166" fontId="34" fillId="3" borderId="2" applyAlignment="1" pivotButton="0" quotePrefix="0" xfId="0">
      <alignment horizontal="center" vertical="center"/>
    </xf>
    <xf numFmtId="164" fontId="57" fillId="3" borderId="2" applyAlignment="1" pivotButton="0" quotePrefix="0" xfId="0">
      <alignment horizontal="center" vertical="center"/>
    </xf>
    <xf numFmtId="166" fontId="39" fillId="10" borderId="7" applyAlignment="1" pivotButton="0" quotePrefix="0" xfId="0">
      <alignment horizontal="center" vertical="center" wrapText="1"/>
    </xf>
    <xf numFmtId="164" fontId="58" fillId="19" borderId="5" applyAlignment="1" pivotButton="0" quotePrefix="0" xfId="0">
      <alignment horizontal="center" vertical="center" wrapText="1"/>
    </xf>
    <xf numFmtId="0" fontId="59" fillId="19" borderId="5" applyAlignment="1" pivotButton="0" quotePrefix="0" xfId="0">
      <alignment horizontal="right" vertical="center" wrapText="1"/>
    </xf>
    <xf numFmtId="164" fontId="60" fillId="3" borderId="2" applyAlignment="1" pivotButton="0" quotePrefix="0" xfId="0">
      <alignment horizontal="center" vertical="center"/>
    </xf>
    <xf numFmtId="164" fontId="61" fillId="3" borderId="2" applyAlignment="1" pivotButton="0" quotePrefix="0" xfId="0">
      <alignment horizontal="center" vertical="center"/>
    </xf>
    <xf numFmtId="0" fontId="0" fillId="3" borderId="0" pivotButton="0" quotePrefix="0" xfId="0"/>
    <xf numFmtId="0" fontId="0" fillId="4" borderId="0" pivotButton="0" quotePrefix="0" xfId="0"/>
    <xf numFmtId="0" fontId="62" fillId="9" borderId="6" applyAlignment="1" pivotButton="0" quotePrefix="0" xfId="0">
      <alignment horizontal="center" vertical="center" wrapText="1"/>
    </xf>
    <xf numFmtId="0" fontId="36" fillId="9" borderId="6" applyAlignment="1" pivotButton="0" quotePrefix="0" xfId="0">
      <alignment horizontal="center" vertical="center"/>
    </xf>
    <xf numFmtId="0" fontId="63" fillId="2" borderId="5" applyAlignment="1" pivotButton="0" quotePrefix="0" xfId="0">
      <alignment horizontal="right" vertical="center" wrapText="1"/>
    </xf>
    <xf numFmtId="0" fontId="64" fillId="9" borderId="6" applyAlignment="1" pivotButton="0" quotePrefix="0" xfId="0">
      <alignment horizontal="center" vertical="center"/>
    </xf>
    <xf numFmtId="0" fontId="51" fillId="2" borderId="5" applyAlignment="1" pivotButton="0" quotePrefix="0" xfId="0">
      <alignment horizontal="center" vertical="center" wrapText="1"/>
    </xf>
    <xf numFmtId="0" fontId="63" fillId="13" borderId="5" applyAlignment="1" pivotButton="0" quotePrefix="0" xfId="0">
      <alignment horizontal="right" vertical="center" wrapText="1"/>
    </xf>
    <xf numFmtId="167" fontId="65" fillId="13" borderId="5" applyAlignment="1" pivotButton="0" quotePrefix="0" xfId="0">
      <alignment horizontal="center" vertical="center" wrapText="1"/>
    </xf>
    <xf numFmtId="0" fontId="66" fillId="13" borderId="5" applyAlignment="1" pivotButton="0" quotePrefix="0" xfId="0">
      <alignment horizontal="center" vertical="center" wrapText="1"/>
    </xf>
    <xf numFmtId="0" fontId="62" fillId="4" borderId="12" applyAlignment="1" pivotButton="0" quotePrefix="0" xfId="0">
      <alignment horizontal="center" vertical="center"/>
    </xf>
    <xf numFmtId="164" fontId="11" fillId="4" borderId="12" applyAlignment="1" pivotButton="0" quotePrefix="0" xfId="0">
      <alignment horizontal="center" vertical="center"/>
    </xf>
    <xf numFmtId="0" fontId="67" fillId="0" borderId="0" applyAlignment="1" pivotButton="0" quotePrefix="0" xfId="0">
      <alignment horizontal="center" vertical="center"/>
    </xf>
    <xf numFmtId="0" fontId="68" fillId="0" borderId="0" applyAlignment="1" pivotButton="0" quotePrefix="0" xfId="0">
      <alignment horizontal="right" vertical="center"/>
    </xf>
    <xf numFmtId="0" fontId="69" fillId="8" borderId="13" applyAlignment="1" pivotButton="0" quotePrefix="0" xfId="0">
      <alignment horizontal="right" vertical="center" wrapText="1"/>
    </xf>
    <xf numFmtId="0" fontId="50" fillId="6" borderId="5" applyAlignment="1" pivotButton="0" quotePrefix="0" xfId="0">
      <alignment horizontal="right" vertical="center" wrapText="1"/>
    </xf>
    <xf numFmtId="0" fontId="70" fillId="0" borderId="0" applyAlignment="1" pivotButton="0" quotePrefix="0" xfId="0">
      <alignment horizontal="right" vertical="center" wrapText="1" indent="1"/>
    </xf>
    <xf numFmtId="0" fontId="1" fillId="0" borderId="13" applyAlignment="1" pivotButton="0" quotePrefix="0" xfId="0">
      <alignment horizontal="right"/>
    </xf>
    <xf numFmtId="0" fontId="2" fillId="0" borderId="13" applyAlignment="1" pivotButton="0" quotePrefix="0" xfId="0">
      <alignment horizontal="left"/>
    </xf>
    <xf numFmtId="0" fontId="3" fillId="0" borderId="13" applyAlignment="1" pivotButton="0" quotePrefix="0" xfId="0">
      <alignment horizontal="right"/>
    </xf>
    <xf numFmtId="0" fontId="4" fillId="0" borderId="13" applyAlignment="1" pivotButton="0" quotePrefix="0" xfId="0">
      <alignment horizontal="right"/>
    </xf>
    <xf numFmtId="0" fontId="0" fillId="0" borderId="16" pivotButton="0" quotePrefix="0" xfId="0"/>
    <xf numFmtId="0" fontId="0" fillId="0" borderId="19" pivotButton="0" quotePrefix="0" xfId="0"/>
    <xf numFmtId="0" fontId="0" fillId="0" borderId="3" pivotButton="0" quotePrefix="0" xfId="0"/>
    <xf numFmtId="0" fontId="16" fillId="0" borderId="13" applyAlignment="1" pivotButton="0" quotePrefix="0" xfId="0">
      <alignment horizontal="center" vertical="center"/>
    </xf>
    <xf numFmtId="0" fontId="0" fillId="0" borderId="22" pivotButton="0" quotePrefix="0" xfId="0"/>
    <xf numFmtId="0" fontId="0" fillId="0" borderId="23" pivotButton="0" quotePrefix="0" xfId="0"/>
    <xf numFmtId="0" fontId="0" fillId="0" borderId="26" pivotButton="0" quotePrefix="0" xfId="0"/>
    <xf numFmtId="0" fontId="0" fillId="0" borderId="27"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4" pivotButton="0" quotePrefix="0" xfId="0"/>
    <xf numFmtId="0" fontId="0" fillId="0" borderId="20" pivotButton="0" quotePrefix="0" xfId="0"/>
    <xf numFmtId="0" fontId="0" fillId="0" borderId="21" pivotButton="0" quotePrefix="0" xfId="0"/>
    <xf numFmtId="0" fontId="0" fillId="0" borderId="33" pivotButton="0" quotePrefix="0" xfId="0"/>
    <xf numFmtId="0" fontId="0" fillId="0" borderId="35" pivotButton="0" quotePrefix="0" xfId="0"/>
    <xf numFmtId="0" fontId="0" fillId="0" borderId="39" pivotButton="0" quotePrefix="0" xfId="0"/>
    <xf numFmtId="0" fontId="0" fillId="0" borderId="40" pivotButton="0" quotePrefix="0" xfId="0"/>
    <xf numFmtId="0" fontId="0" fillId="0" borderId="36" pivotButton="0" quotePrefix="0" xfId="0"/>
    <xf numFmtId="0" fontId="0" fillId="0" borderId="37" pivotButton="0" quotePrefix="0" xfId="0"/>
    <xf numFmtId="0" fontId="0" fillId="0" borderId="38" pivotButton="0" quotePrefix="0" xfId="0"/>
    <xf numFmtId="0" fontId="0" fillId="0" borderId="41" pivotButton="0" quotePrefix="0" xfId="0"/>
    <xf numFmtId="0" fontId="0" fillId="0" borderId="42" pivotButton="0" quotePrefix="0" xfId="0"/>
    <xf numFmtId="0" fontId="0" fillId="0" borderId="43" pivotButton="0" quotePrefix="0" xfId="0"/>
    <xf numFmtId="0" fontId="25" fillId="0" borderId="13" applyAlignment="1" pivotButton="0" quotePrefix="0" xfId="0">
      <alignment horizontal="left" vertical="center"/>
    </xf>
    <xf numFmtId="0" fontId="26" fillId="0" borderId="13" applyAlignment="1" pivotButton="0" quotePrefix="0" xfId="0">
      <alignment horizontal="right" vertical="center"/>
    </xf>
    <xf numFmtId="0" fontId="27" fillId="0" borderId="13" applyAlignment="1" pivotButton="0" quotePrefix="0" xfId="0">
      <alignment horizontal="right" vertical="top" wrapText="1"/>
    </xf>
    <xf numFmtId="49" fontId="33" fillId="3" borderId="2" applyAlignment="1" pivotButton="0" quotePrefix="0" xfId="0">
      <alignment horizontal="center" vertical="center"/>
    </xf>
    <xf numFmtId="165" fontId="34" fillId="3" borderId="2" applyAlignment="1" pivotButton="0" quotePrefix="0" xfId="0">
      <alignment horizontal="center" vertical="center"/>
    </xf>
    <xf numFmtId="166" fontId="33" fillId="3" borderId="2" applyAlignment="1" pivotButton="0" quotePrefix="0" xfId="0">
      <alignment horizontal="center" vertical="center"/>
    </xf>
    <xf numFmtId="0" fontId="24" fillId="0" borderId="13" applyAlignment="1" pivotButton="0" quotePrefix="0" xfId="0">
      <alignment horizontal="right" vertical="center"/>
    </xf>
    <xf numFmtId="0" fontId="23" fillId="0" borderId="13" applyAlignment="1" pivotButton="0" quotePrefix="0" xfId="0">
      <alignment horizontal="right" vertical="center"/>
    </xf>
    <xf numFmtId="0" fontId="0" fillId="0" borderId="44" pivotButton="0" quotePrefix="0" xfId="0"/>
    <xf numFmtId="0" fontId="0" fillId="0" borderId="45" pivotButton="0" quotePrefix="0" xfId="0"/>
    <xf numFmtId="167" fontId="47" fillId="10" borderId="7" applyAlignment="1" pivotButton="0" quotePrefix="0" xfId="0">
      <alignment horizontal="center" vertical="center" wrapText="1"/>
    </xf>
    <xf numFmtId="167" fontId="54" fillId="13" borderId="11" applyAlignment="1" pivotButton="0" quotePrefix="0" xfId="0">
      <alignment horizontal="center"/>
    </xf>
    <xf numFmtId="0" fontId="0" fillId="0" borderId="48" pivotButton="0" quotePrefix="0" xfId="0"/>
    <xf numFmtId="0" fontId="0" fillId="0" borderId="49" pivotButton="0" quotePrefix="0" xfId="0"/>
    <xf numFmtId="166" fontId="34" fillId="3" borderId="2" applyAlignment="1" pivotButton="0" quotePrefix="0" xfId="0">
      <alignment horizontal="center" vertical="center"/>
    </xf>
    <xf numFmtId="166" fontId="39" fillId="10" borderId="7" applyAlignment="1" pivotButton="0" quotePrefix="0" xfId="0">
      <alignment horizontal="center" vertical="center" wrapText="1"/>
    </xf>
    <xf numFmtId="0" fontId="0" fillId="3" borderId="13" pivotButton="0" quotePrefix="0" xfId="0"/>
    <xf numFmtId="0" fontId="0" fillId="4" borderId="13" pivotButton="0" quotePrefix="0" xfId="0"/>
    <xf numFmtId="0" fontId="72" fillId="20" borderId="50" applyAlignment="1" pivotButton="0" quotePrefix="0" xfId="0">
      <alignment horizontal="center" vertical="center" wrapText="1" readingOrder="2"/>
    </xf>
    <xf numFmtId="0" fontId="73" fillId="21" borderId="50" applyAlignment="1" pivotButton="0" quotePrefix="0" xfId="0">
      <alignment horizontal="center" vertical="center" wrapText="1" readingOrder="2"/>
    </xf>
    <xf numFmtId="0" fontId="74" fillId="22" borderId="50" applyAlignment="1" pivotButton="0" quotePrefix="0" xfId="0">
      <alignment horizontal="right" vertical="center" wrapText="1" readingOrder="2"/>
    </xf>
    <xf numFmtId="0" fontId="75" fillId="21" borderId="50" applyAlignment="1" pivotButton="0" quotePrefix="0" xfId="0">
      <alignment horizontal="right" vertical="center" wrapText="1" readingOrder="2"/>
    </xf>
    <xf numFmtId="0" fontId="76" fillId="22" borderId="50" applyAlignment="1" pivotButton="0" quotePrefix="0" xfId="0">
      <alignment horizontal="right" vertical="center" wrapText="1" readingOrder="2"/>
    </xf>
    <xf numFmtId="0" fontId="77" fillId="23" borderId="50" applyAlignment="1" pivotButton="0" quotePrefix="0" xfId="0">
      <alignment horizontal="center" vertical="center" wrapText="1" readingOrder="2"/>
    </xf>
    <xf numFmtId="167" fontId="65" fillId="13" borderId="5" applyAlignment="1" pivotButton="0" quotePrefix="0" xfId="0">
      <alignment horizontal="center" vertical="center" wrapText="1"/>
    </xf>
    <xf numFmtId="0" fontId="68" fillId="0" borderId="13" applyAlignment="1" pivotButton="0" quotePrefix="0" xfId="0">
      <alignment horizontal="right" vertical="center"/>
    </xf>
    <xf numFmtId="0" fontId="70" fillId="0" borderId="13" applyAlignment="1" pivotButton="0" quotePrefix="0" xfId="0">
      <alignment horizontal="right" vertical="center" wrapText="1" indent="1"/>
    </xf>
    <xf numFmtId="0" fontId="78" fillId="20" borderId="50" applyAlignment="1" pivotButton="0" quotePrefix="0" xfId="0">
      <alignment horizontal="right" vertical="center" wrapText="1" readingOrder="2"/>
    </xf>
    <xf numFmtId="0" fontId="79" fillId="22" borderId="50" applyAlignment="1" pivotButton="0" quotePrefix="0" xfId="0">
      <alignment horizontal="right" vertical="center" wrapText="1" readingOrder="2"/>
    </xf>
    <xf numFmtId="0" fontId="79" fillId="23" borderId="50" applyAlignment="1" pivotButton="0" quotePrefix="0" xfId="0">
      <alignment horizontal="right" vertical="center" wrapText="1" readingOrder="2"/>
    </xf>
    <xf numFmtId="0" fontId="80" fillId="9" borderId="10" applyAlignment="1" pivotButton="0" quotePrefix="0" xfId="0">
      <alignment horizontal="center" vertical="center"/>
    </xf>
    <xf numFmtId="0" fontId="0" fillId="0" borderId="55" pivotButton="0" quotePrefix="0" xfId="0"/>
    <xf numFmtId="0" fontId="0" fillId="0" borderId="56" pivotButton="0" quotePrefix="0" xfId="0"/>
    <xf numFmtId="0" fontId="81" fillId="0" borderId="0" applyAlignment="1" pivotButton="0" quotePrefix="0" xfId="0">
      <alignment horizontal="right" vertical="top" wrapText="1"/>
    </xf>
    <xf numFmtId="0" fontId="0" fillId="0" borderId="53" pivotButton="0" quotePrefix="0" xfId="0"/>
    <xf numFmtId="0" fontId="0" fillId="0" borderId="54" pivotButton="0" quotePrefix="0" xfId="0"/>
    <xf numFmtId="0" fontId="82" fillId="24" borderId="0" applyAlignment="1" pivotButton="0" quotePrefix="0" xfId="0">
      <alignment horizontal="right" vertical="center"/>
    </xf>
    <xf numFmtId="0" fontId="83" fillId="25" borderId="57" applyAlignment="1" pivotButton="0" quotePrefix="0" xfId="0">
      <alignment horizontal="center" vertical="center"/>
    </xf>
  </cellXfs>
  <cellStyles count="1">
    <cellStyle name="Normal" xfId="0" builtinId="0"/>
  </cellStyles>
  <dxfs count="31">
    <dxf>
      <font>
        <b val="1"/>
        <color rgb="FF14453D"/>
      </font>
      <fill>
        <patternFill>
          <bgColor rgb="FFEAF4EC"/>
        </patternFill>
      </fill>
    </dxf>
    <dxf>
      <font>
        <b val="1"/>
        <color rgb="FF14453D"/>
      </font>
      <fill>
        <patternFill>
          <bgColor rgb="FFEAF1F7"/>
        </patternFill>
      </fill>
    </dxf>
    <dxf>
      <font>
        <b val="1"/>
        <color rgb="FF14453D"/>
      </font>
      <fill>
        <patternFill>
          <bgColor rgb="FFF0EBF7"/>
        </patternFill>
      </fill>
    </dxf>
    <dxf>
      <font>
        <b val="1"/>
        <color rgb="FF14453D"/>
      </font>
      <fill>
        <patternFill>
          <bgColor rgb="FFFDEFE4"/>
        </patternFill>
      </fill>
    </dxf>
    <dxf>
      <font>
        <b val="1"/>
        <color rgb="FF14453D"/>
      </font>
      <fill>
        <patternFill>
          <bgColor rgb="FFF4F3EE"/>
        </patternFill>
      </fill>
    </dxf>
    <dxf>
      <font>
        <b val="1"/>
        <color rgb="FF14453D"/>
      </font>
      <fill>
        <patternFill>
          <bgColor rgb="FFF7F1E4"/>
        </patternFill>
      </fill>
    </dxf>
    <dxf>
      <font>
        <b val="1"/>
        <color rgb="FF14453D"/>
      </font>
      <fill>
        <patternFill>
          <bgColor rgb="FFF3EADB"/>
        </patternFill>
      </fill>
    </dxf>
    <dxf>
      <font>
        <b val="1"/>
        <color rgb="FF14453D"/>
      </font>
      <fill>
        <patternFill>
          <bgColor rgb="FFF0ECE2"/>
        </patternFill>
      </fill>
    </dxf>
    <dxf>
      <font>
        <b val="1"/>
        <color rgb="FF14453D"/>
      </font>
      <fill>
        <patternFill>
          <bgColor rgb="FFFBEDE7"/>
        </patternFill>
      </fill>
    </dxf>
    <dxf>
      <font>
        <b val="1"/>
        <color rgb="FF14453D"/>
      </font>
      <fill>
        <patternFill>
          <bgColor rgb="FFEBD9AE"/>
        </patternFill>
      </fill>
    </dxf>
    <dxf>
      <font>
        <b val="1"/>
        <color rgb="FF14453D"/>
      </font>
      <fill>
        <patternFill>
          <bgColor rgb="FFEAF4EC"/>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EAF1F7"/>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0EBF7"/>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DEFE4"/>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4F3EE"/>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7F1E4"/>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3EADB"/>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0ECE2"/>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FBEDE7"/>
        </patternFill>
      </fill>
      <border>
        <left style="thin">
          <color rgb="FFDCD5C6"/>
        </left>
        <right style="thin">
          <color rgb="FFDCD5C6"/>
        </right>
        <top style="thin">
          <color rgb="FFDCD5C6"/>
        </top>
        <bottom style="thin">
          <color rgb="FFDCD5C6"/>
        </bottom>
        <vertical/>
        <horizontal/>
      </border>
    </dxf>
    <dxf>
      <font>
        <b val="1"/>
        <color rgb="FF14453D"/>
      </font>
      <fill>
        <patternFill>
          <bgColor rgb="FFEBD9AE"/>
        </patternFill>
      </fill>
      <border>
        <left style="thin">
          <color rgb="FFDCD5C6"/>
        </left>
        <right style="thin">
          <color rgb="FFDCD5C6"/>
        </right>
        <top style="thin">
          <color rgb="FFDCD5C6"/>
        </top>
        <bottom style="thin">
          <color rgb="FFDCD5C6"/>
        </bottom>
        <vertical/>
        <horizontal/>
      </border>
    </dxf>
    <dxf>
      <font>
        <b val="1"/>
        <color rgb="FFB4452F"/>
      </font>
      <fill>
        <patternFill>
          <bgColor rgb="FFFBEDE7"/>
        </patternFill>
      </fill>
    </dxf>
    <dxf>
      <font>
        <i val="1"/>
        <color rgb="FFB9AE97"/>
      </font>
    </dxf>
    <dxf>
      <fill>
        <patternFill>
          <bgColor rgb="FFEAF4EC"/>
        </patternFill>
      </fill>
    </dxf>
    <dxf>
      <fill>
        <patternFill>
          <bgColor rgb="FFEAF1F7"/>
        </patternFill>
      </fill>
    </dxf>
    <dxf>
      <fill>
        <patternFill>
          <bgColor rgb="FFF0EBF7"/>
        </patternFill>
      </fill>
    </dxf>
    <dxf>
      <fill>
        <patternFill>
          <bgColor rgb="FFFBEDE7"/>
        </patternFill>
      </fill>
    </dxf>
    <dxf>
      <fill>
        <patternFill>
          <bgColor rgb="FFF3EADB"/>
        </patternFill>
      </fill>
    </dxf>
    <dxf>
      <fill>
        <patternFill>
          <bgColor rgb="FFF4F3EE"/>
        </patternFill>
      </fill>
    </dxf>
    <dxf>
      <fill>
        <patternFill>
          <bgColor rgb="FFE4F1F0"/>
        </patternFill>
      </fill>
    </dxf>
    <dxf>
      <font>
        <color rgb="FFB4452F"/>
      </font>
      <fill>
        <patternFill>
          <bgColor rgb="FFFBEDE7"/>
        </patternFill>
      </fill>
    </dxf>
    <dxf>
      <font>
        <b val="1"/>
        <color rgb="FFC4623F"/>
      </font>
      <fill>
        <patternFill>
          <bgColor rgb="FFFFF1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راهنمای مازندشت</author>
  </authors>
  <commentList>
    <comment ref="A8" authorId="0" shapeId="0">
      <text>
        <t>کد ثابت پارامتر (P01…). تغییر ندهید؛ فرمول‌ها با کد جست‌وجو می‌کنند.</t>
      </text>
    </comment>
    <comment ref="B8" authorId="0" shapeId="0">
      <text>
        <t>نام خوانا؛ آزادانه تغییر دهید.</t>
      </text>
    </comment>
    <comment ref="C8" authorId="0" shapeId="0">
      <text>
        <t>مقدار عددی یا متنی. همین ستون در فرمول‌ها خوانده می‌شود.</t>
      </text>
    </comment>
    <comment ref="D8" authorId="0" shapeId="0">
      <text>
        <t>کیلوگرم، درصد، ریال، روز…</t>
      </text>
    </comment>
    <comment ref="E8" authorId="0" shapeId="0">
      <text>
        <t>توضیح اثر پارامتر روی محاسبات.</t>
      </text>
    </comment>
  </commentList>
</comments>
</file>

<file path=xl/comments/comment2.xml><?xml version="1.0" encoding="utf-8"?>
<comments xmlns="http://schemas.openxmlformats.org/spreadsheetml/2006/main">
  <authors>
    <author>راهنمای مازندشت</author>
  </authors>
  <commentList>
    <comment ref="A8" authorId="0" shapeId="0">
      <text>
        <t>یکی از ۱۰ گروه اصلی: باغدار، بارفروش، فروشنده سبد، تأمین‌کننده، کارمند، سایر حساب، باسکول دیگران، دارایی ثابت، وام، سرمایه.</t>
      </text>
    </comment>
    <comment ref="B8" authorId="0" shapeId="0">
      <text>
        <t>زیرمجموعه دقیق گروه؛ در شیت حساب‌ها به‌صورت کشویی انتخاب می‌شود. می‌توانید اضافه کنید.</t>
      </text>
    </comment>
    <comment ref="C8" authorId="0" shapeId="0">
      <text>
        <t>پیشوند کدهای این گروه: C، SL، S، E، X، BD، F، L، CAP.</t>
      </text>
    </comment>
    <comment ref="D8" authorId="0" shapeId="0">
      <text>
        <t>نام شیت گزارشی که این گروه در آن نمایش داده می‌شود.</t>
      </text>
    </comment>
    <comment ref="E8" authorId="0" shapeId="0">
      <text>
        <t>کلید رنگ ردیف در گزارش‌ها (mint، sky، lavender، sand، grey، peach، rose).</t>
      </text>
    </comment>
  </commentList>
</comments>
</file>

<file path=xl/comments/comment3.xml><?xml version="1.0" encoding="utf-8"?>
<comments xmlns="http://schemas.openxmlformats.org/spreadsheetml/2006/main">
  <authors>
    <author>راهنمای مازندشت</author>
  </authors>
  <commentList>
    <comment ref="A8" authorId="0" shapeId="0">
      <text>
        <t>کد ثابت حساب. C باغدار، SL بارفروش، S فروشنده سبد/تأمین‌کننده، E کارمند، X معین، BD باسکول دیگران، F دارایی ثابت، L وام، CAP سرمایه.</t>
      </text>
    </comment>
    <comment ref="B8" authorId="0" shapeId="0">
      <text>
        <t>گروه اصلی حساب. با انتخاب گروه، رنگ ردیف و کشوی زیرگروه هم‌راستا می‌شود.</t>
      </text>
    </comment>
    <comment ref="C8" authorId="0" shapeId="0">
      <text>
        <t>زیرمجموعه گروه؛ از شیت Groups می‌آید. برای گزارش‌های دقیق‌تر انتخاب کنید.</t>
      </text>
    </comment>
    <comment ref="D8" authorId="0" shapeId="0">
      <text>
        <t>نام کامل شخص/شرکت. فقط ردیف‌هایی که نام دارند «حساب فعال» شمرده می‌شوند.</t>
      </text>
    </comment>
    <comment ref="E8" authorId="0" shapeId="0">
      <text>
        <t>تلفن ثابت (اختیاری).</t>
      </text>
    </comment>
    <comment ref="F8" authorId="0" shapeId="0">
      <text>
        <t>موبایل (اختیاری).</t>
      </text>
    </comment>
    <comment ref="G8" authorId="0" shapeId="0">
      <text>
        <t>نشانی (اختیاری).</t>
      </text>
    </comment>
    <comment ref="H8" authorId="0" shapeId="0">
      <text>
        <t>مثبت = بدهکار (از ما طلب دارد)، منفی = بستانکار (ما به او بدهکاریم). فقط برای افتتاحیه.</t>
      </text>
    </comment>
    <comment ref="I8" authorId="0" shapeId="0">
      <text>
        <t>طرف حساب (اشخاص) یا معین (حساب‌های داخلی مثل صندوق، فروش، موجودی).</t>
      </text>
    </comment>
    <comment ref="J8" authorId="0" shapeId="0">
      <text>
        <t>برای حساب‌های بازنشسته «خیر» بگذارید؛ در کشوها حذف نمی‌شود ولی در گزارش‌ها کم‌رنگ می‌شود.</t>
      </text>
    </comment>
    <comment ref="K8" authorId="0" shapeId="0">
      <text>
        <t>از پیشوند کد ساخته می‌شود؛ برای کنترل صحت گروه.</t>
      </text>
    </comment>
    <comment ref="L8" authorId="0" shapeId="0">
      <text>
        <t>هر یادداشت مفید: شماره حساب، شرایط، تخفیف…</t>
      </text>
    </comment>
    <comment ref="M8" authorId="0" shapeId="0">
      <text>
        <t>✓ یعنی گروه با پیشوند کد سازگار است؛ ⚠ یعنی اشتباه گروه‌بندی.</t>
      </text>
    </comment>
  </commentList>
</comments>
</file>

<file path=xl/comments/comment4.xml><?xml version="1.0" encoding="utf-8"?>
<comments xmlns="http://schemas.openxmlformats.org/spreadsheetml/2006/main">
  <authors>
    <author>راهنمای مازندشت</author>
  </authors>
  <commentList>
    <comment ref="A8" authorId="0" shapeId="0">
      <text>
        <t>کد ثابت عملیات (OP01…).</t>
      </text>
    </comment>
    <comment ref="B8" authorId="0" shapeId="0">
      <text>
        <t>عنوانی که در کشوی شیت باسکول دیده می‌شود. یکتا باشد.</t>
      </text>
    </comment>
    <comment ref="C8" authorId="0" shapeId="0">
      <text>
        <t>ورود / خروج / —. برای عملیات بدون وزن (انعام، باسکول دیگران، درآمد) «—».</t>
      </text>
    </comment>
    <comment ref="D8" authorId="0" shapeId="0">
      <text>
        <t>خرید، فروش، آبگیری، انعام، باسکول دیگران، درآمد، هزینه، انتقال، سایر.</t>
      </text>
    </comment>
    <comment ref="E8" authorId="0" shapeId="0">
      <text>
        <t>بله = وزن باسکول و تعداد سبد اجباری است.</t>
      </text>
    </comment>
    <comment ref="F8" authorId="0" shapeId="0">
      <text>
        <t>بله = کد حساب طرف (باغدار/بارفروش/…) اجباری است.</t>
      </text>
    </comment>
    <comment ref="G8" authorId="0" shapeId="0">
      <text>
        <t>وزن = وزن خالص × فی خرید؛ مبلغ = مبلغ/تعداد × فی؛ هیچ = بدون محاسبه.</t>
      </text>
    </comment>
    <comment ref="H8" authorId="0" shapeId="0">
      <text>
        <t>بدهکار یا بستانکار شدن حساب طرف مقابل. «خودکار» = از ستون سمت در برگه انتخاب می‌شود.</t>
      </text>
    </comment>
    <comment ref="I8" authorId="0" shapeId="0">
      <text>
        <t>حساب داخلی مقابل: موجودی مرکبات، فروش، درآمد باسکول، هزینه ضایعات…</t>
      </text>
    </comment>
    <comment ref="J8" authorId="0" shapeId="0">
      <text>
        <t>سمت حساب معین در همان سند.</t>
      </text>
    </comment>
    <comment ref="K8" authorId="0" shapeId="0">
      <text>
        <t>افزودن = مبلغ به حساب طرف اضافه می‌شود (کرایه/سایر)؛ پوز = مبلغ از پوز باسکول به درآمد؛ هیچ = بی‌اثر.</t>
      </text>
    </comment>
    <comment ref="L8" authorId="0" shapeId="0">
      <text>
        <t>طرف پوز: بدهکار = بانک پوز بدهکار و حساب مقابل بستانکار. برای انعام: بدهکار صادرات ۲۰۰۶.</t>
      </text>
    </comment>
    <comment ref="M8" authorId="0" shapeId="0">
      <text>
        <t>حساب بانکی که دستگاه پوز باسکول به آن وصل است (صادرات ۲۰۰۶).</t>
      </text>
    </comment>
    <comment ref="N8" authorId="0" shapeId="0">
      <text>
        <t>حساب بستانکار/بدهکار مقابل پوز: درآمد باسکول یا انعام.</t>
      </text>
    </comment>
    <comment ref="O8" authorId="0" shapeId="0">
      <text>
        <t>اگر طرف حساب ثابت است (مثل انعام مصطفی) کد را اینجا بگذارید.</t>
      </text>
    </comment>
    <comment ref="P8" authorId="0" shapeId="0">
      <text>
        <t>بله = در کشوی نوع عملیات شیت باسکول دیده می‌شود.</t>
      </text>
    </comment>
    <comment ref="Q8" authorId="0" shapeId="0">
      <text>
        <t>کلید رنگ ردیف در باسکول: mint، sky، lavender، rose، sand، grey، teal.</t>
      </text>
    </comment>
    <comment ref="R8" authorId="0" shapeId="0">
      <text>
        <t>قاعده بدهکار/بستانکار به زبان ساده — همین متن در راهنمای برگه‌ها هم می‌آید.</t>
      </text>
    </comment>
    <comment ref="S8" authorId="0" shapeId="0">
      <text>
        <t>خیر = عملیات بازنشسته؛ از کشو حذف می‌شود.</t>
      </text>
    </comment>
  </commentList>
</comments>
</file>

<file path=xl/comments/comment5.xml><?xml version="1.0" encoding="utf-8"?>
<comments xmlns="http://schemas.openxmlformats.org/spreadsheetml/2006/main">
  <authors>
    <author>راهنمای مازندشت</author>
  </authors>
  <commentList>
    <comment ref="A8" authorId="0" shapeId="0">
      <text>
        <t>کد ثابت سبد (BK01…).</t>
      </text>
    </comment>
    <comment ref="B8" authorId="0" shapeId="0">
      <text>
        <t>نامی که در کشوی «نوع سبد» دیده می‌شود.</t>
      </text>
    </comment>
    <comment ref="C8" authorId="0" shapeId="0">
      <text>
        <t>وزن خالی سبد؛ در فرمول وزن خالص باسکول کسر می‌شود.</t>
      </text>
    </comment>
    <comment ref="D8" authorId="0" shapeId="0">
      <text>
        <t>ظرفیت اسمی سبد (اختیاری).</t>
      </text>
    </comment>
    <comment ref="E8" authorId="0" shapeId="0">
      <text>
        <t>قیمت خرید هر سبد از فروشنده سبد.</t>
      </text>
    </comment>
    <comment ref="F8" authorId="0" shapeId="0">
      <text>
        <t>قیمت فروش هر سبد به بارفروش/مشتری.</t>
      </text>
    </comment>
    <comment ref="G8" authorId="0" shapeId="0">
      <text>
        <t>تعداد سبد موجود در ابتدای دوره.</t>
      </text>
    </comment>
    <comment ref="I8" authorId="0" shapeId="0">
      <text>
        <t>خودکار: موجودی × قیمت خرید.</t>
      </text>
    </comment>
    <comment ref="J8" authorId="0" shapeId="0">
      <text>
        <t>خودکار: کد – نام.</t>
      </text>
    </comment>
  </commentList>
</comments>
</file>

<file path=xl/comments/comment6.xml><?xml version="1.0" encoding="utf-8"?>
<comments xmlns="http://schemas.openxmlformats.org/spreadsheetml/2006/main">
  <authors>
    <author>راهنمای مازندشت</author>
  </authors>
  <commentList>
    <comment ref="A8" authorId="0" shapeId="0">
      <text>
        <t>کد ثابت محصول (PB01…).</t>
      </text>
    </comment>
    <comment ref="B8" authorId="0" shapeId="0">
      <text>
        <t>نامی که در کشوی محصول دیده می‌شود.</t>
      </text>
    </comment>
    <comment ref="C8" authorId="0" shapeId="0">
      <text>
        <t>پرتقال، نارنگی، لیمو، گریپ‌فرویت، سایر.</t>
      </text>
    </comment>
    <comment ref="D8" authorId="0" shapeId="0">
      <text>
        <t>معمولاً کیلوگرم.</t>
      </text>
    </comment>
    <comment ref="E8" authorId="0" shapeId="0">
      <text>
        <t>با انتخاب محصول، این سبد خودکار انتخاب می‌شود.</t>
      </text>
    </comment>
    <comment ref="G8" authorId="0" shapeId="0">
      <text>
        <t>خودکار: نام – دسته.</t>
      </text>
    </comment>
  </commentList>
</comments>
</file>

<file path=xl/comments/comment7.xml><?xml version="1.0" encoding="utf-8"?>
<comments xmlns="http://schemas.openxmlformats.org/spreadsheetml/2006/main">
  <authors>
    <author>راهنمای مازندشت</author>
  </authors>
  <commentList>
    <comment ref="A8" authorId="0" shapeId="0">
      <text>
        <t>BANK01…BANK10؛ در همه فایل‌ها ثابت است.</t>
      </text>
    </comment>
    <comment ref="B8" authorId="0" shapeId="0">
      <text>
        <t>نام روزمره حساب؛ مثلاً «صادرات ۹۰۰۹ — جاری اصلی».</t>
      </text>
    </comment>
    <comment ref="C8" authorId="0" shapeId="0">
      <text>
        <t>مانده در ابتدای دوره (ریال).</t>
      </text>
    </comment>
    <comment ref="D8" authorId="0" shapeId="0">
      <text>
        <t>برای چاپ و تطبیق.</t>
      </text>
    </comment>
    <comment ref="E8" authorId="0" shapeId="0">
      <text>
        <t>IR… (اختیاری).</t>
      </text>
    </comment>
    <comment ref="F8" authorId="0" shapeId="0">
      <text>
        <t>بانک‌های بسته «خیر».</t>
      </text>
    </comment>
    <comment ref="G8" authorId="0" shapeId="0">
      <text>
        <t>مثلاً «پوز باسکول به این حساب وصل است».</t>
      </text>
    </comment>
  </commentList>
</comment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8</col>
      <colOff>0</colOff>
      <row>0</row>
      <rowOff>0</rowOff>
    </from>
    <to>
      <col>8</col>
      <colOff>463296</colOff>
      <row>1</row>
      <rowOff>234696</rowOff>
    </to>
    <pic>
      <nvPicPr>
        <cNvPr id="2" name="Picture 1" descr="logo.png"/>
        <cNvPicPr>
          <a:picLocks noChangeAspect="1"/>
        </cNvPicPr>
      </nvPicPr>
      <blipFill>
        <a:blip r:embed="rId1"/>
        <a:stretch>
          <a:fillRect/>
        </a:stretch>
      </blipFill>
      <spPr>
        <a:xfrm>
          <a:off x="9448800" y="0"/>
          <a:ext cx="463296" cy="463296"/>
        </a:xfrm>
        <a:prstGeom prst="rect">
          <avLst/>
        </a:prstGeom>
        <a:l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Master.xlsx" TargetMode="External" Id="rId1" /><Relationship Type="http://schemas.openxmlformats.org/officeDocument/2006/relationships/hyperlink" Target="01_Entry.xlsx" TargetMode="External" Id="rId2" /><Relationship Type="http://schemas.openxmlformats.org/officeDocument/2006/relationships/hyperlink" Target="02_Bank.xlsx" TargetMode="External" Id="rId3" /><Relationship Type="http://schemas.openxmlformats.org/officeDocument/2006/relationships/hyperlink" Target="06_Buyers.xlsx" TargetMode="External" Id="rId4" /><Relationship Type="http://schemas.openxmlformats.org/officeDocument/2006/relationships/hyperlink" Target="07_Demo.xlsx" TargetMode="External" Id="rId5" /><Relationship Type="http://schemas.openxmlformats.org/officeDocument/2006/relationships/hyperlink" Target="01_Entry.xlsx" TargetMode="External" Id="rId6" /><Relationship Type="http://schemas.openxmlformats.org/officeDocument/2006/relationships/hyperlink" Target="02_Bank.xlsx" TargetMode="External" Id="rId7" /><Relationship Type="http://schemas.openxmlformats.org/officeDocument/2006/relationships/hyperlink" Target="03_Report.xlsx" TargetMode="External" Id="rId8" /><Relationship Type="http://schemas.openxmlformats.org/officeDocument/2006/relationships/hyperlink" Target="04_Inv.xlsx" TargetMode="External" Id="rId9" /><Relationship Type="http://schemas.openxmlformats.org/officeDocument/2006/relationships/hyperlink" Target="05_Bal.xlsx" TargetMode="External" Id="rId10" /><Relationship Type="http://schemas.openxmlformats.org/officeDocument/2006/relationships/hyperlink" Target="06_Buyers.xlsx" TargetMode="External" Id="rId11" /><Relationship Type="http://schemas.openxmlformats.org/officeDocument/2006/relationships/hyperlink" Target="07_Demo.xlsx" TargetMode="External" Id="rId12" /><Relationship Type="http://schemas.openxmlformats.org/officeDocument/2006/relationships/hyperlink" Target="08_Dash.xlsx" TargetMode="External" Id="rId13" /><Relationship Type="http://schemas.openxmlformats.org/officeDocument/2006/relationships/drawing" Target="/xl/drawings/drawing1.xml" Id="rId1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sheet1.xml><?xml version="1.0" encoding="utf-8"?>
<worksheet xmlns="http://schemas.openxmlformats.org/spreadsheetml/2006/main">
  <sheetPr>
    <tabColor rgb="FFC89B3C"/>
    <outlinePr summaryBelow="1" summaryRight="1"/>
    <pageSetUpPr fitToPage="1"/>
  </sheetPr>
  <dimension ref="A1:J48"/>
  <sheetViews>
    <sheetView showGridLines="0" rightToLeft="1" tabSelected="1" zoomScale="88" zoomScaleNormal="88" workbookViewId="0">
      <pane ySplit="9" topLeftCell="A10" activePane="bottomLeft" state="frozen"/>
      <selection pane="bottomLeft" activeCell="A1" sqref="A1"/>
    </sheetView>
  </sheetViews>
  <sheetFormatPr baseColWidth="8" defaultRowHeight="15"/>
  <cols>
    <col width="17.7109375" customWidth="1" min="1" max="10"/>
  </cols>
  <sheetData>
    <row r="1" ht="18" customHeight="1">
      <c r="A1" s="104" t="inlineStr">
        <is>
          <t>مازندشت — سورتینگ و بسته‌بندی مرکبات</t>
        </is>
      </c>
      <c r="G1" s="105" t="inlineStr">
        <is>
          <t>MAZANDASHT  ·  CITRUS SORTING &amp; PACKING</t>
        </is>
      </c>
    </row>
    <row r="2" ht="30" customHeight="1">
      <c r="A2" s="106" t="inlineStr">
        <is>
          <t>مازندشت  ·  سامانه یکپارچه سورتینگ و بسته‌بندی مرکبات</t>
        </is>
      </c>
    </row>
    <row r="3" ht="20.25" customHeight="1">
      <c r="A3" s="107" t="inlineStr">
        <is>
          <t>فایل مادر (INFO) — مرکز تعریف حساب‌ها، عملیات، سبدها، بانک‌ها و پارامترها  ·  نسخه ۰۱  ·  Excel 2013</t>
        </is>
      </c>
    </row>
    <row r="4" ht="8.25" customHeight="1"/>
    <row r="5" ht="18" customHeight="1">
      <c r="A5" s="5" t="inlineStr">
        <is>
          <t>حساب‌های تعریف‌شده</t>
        </is>
      </c>
      <c r="B5" s="108" t="n"/>
      <c r="C5" s="5" t="inlineStr">
        <is>
          <t>عملیات باسکول</t>
        </is>
      </c>
      <c r="D5" s="108" t="n"/>
      <c r="E5" s="5" t="inlineStr">
        <is>
          <t>انواع سبد</t>
        </is>
      </c>
      <c r="F5" s="108" t="n"/>
      <c r="G5" s="5" t="inlineStr">
        <is>
          <t>محصولات</t>
        </is>
      </c>
      <c r="H5" s="108" t="n"/>
      <c r="I5" s="5" t="inlineStr">
        <is>
          <t>بانک‌ها</t>
        </is>
      </c>
      <c r="J5" s="108" t="n"/>
    </row>
    <row r="6" ht="33.75" customHeight="1">
      <c r="A6" s="6">
        <f>COUNTIF(Acc!$D$10:$D$259,"?*")</f>
        <v/>
      </c>
      <c r="B6" s="109" t="n"/>
      <c r="C6" s="7">
        <f>COUNTIF(Op!$B$10:$B$33,"?*")</f>
        <v/>
      </c>
      <c r="D6" s="109" t="n"/>
      <c r="E6" s="8">
        <f>COUNTIF(Bsk!$B$10:$B$21,"?*")</f>
        <v/>
      </c>
      <c r="F6" s="109" t="n"/>
      <c r="G6" s="9">
        <f>COUNTIF(Prd!$B$10:$B$29,"?*")</f>
        <v/>
      </c>
      <c r="H6" s="109" t="n"/>
      <c r="I6" s="10">
        <f>COUNTIF(Bnk!$A$10:$A$19,"?*")</f>
        <v/>
      </c>
      <c r="J6" s="109" t="n"/>
    </row>
    <row r="7"/>
    <row r="8" ht="30" customHeight="1">
      <c r="A8" s="11" t="inlineStr">
        <is>
          <t>۰۱</t>
        </is>
      </c>
      <c r="B8" s="12" t="inlineStr">
        <is>
          <t>فایل‌های سامانه — روی هر کارت کلیک کنید  —  همه فایل‌ها باید در یک پوشه باشند</t>
        </is>
      </c>
      <c r="C8" s="110" t="n"/>
      <c r="D8" s="110" t="n"/>
      <c r="E8" s="110" t="n"/>
      <c r="F8" s="110" t="n"/>
      <c r="G8" s="110" t="n"/>
      <c r="H8" s="110" t="n"/>
      <c r="I8" s="110" t="n"/>
      <c r="J8" s="110" t="n"/>
    </row>
    <row r="9"/>
    <row r="10" ht="21.75" customHeight="1">
      <c r="A10" s="13" t="inlineStr">
        <is>
          <t>INFO  ·  فایل مادر — همین فایل</t>
        </is>
      </c>
      <c r="B10" s="109" t="n"/>
      <c r="C10" s="13" t="inlineStr">
        <is>
          <t>۰۱ ثبت  ·  ثبت روزانه عملیات</t>
        </is>
      </c>
      <c r="D10" s="109" t="n"/>
      <c r="E10" s="13" t="inlineStr">
        <is>
          <t>۰۲ گزارش  ·  گزارش‌های مدیریتی</t>
        </is>
      </c>
      <c r="F10" s="109" t="n"/>
      <c r="G10" s="13" t="inlineStr">
        <is>
          <t>۰۳ فاکتور  ·  فاکتور چاپی</t>
        </is>
      </c>
      <c r="H10" s="109" t="n"/>
    </row>
    <row r="11" ht="27" customHeight="1">
      <c r="A11" s="14" t="inlineStr">
        <is>
          <t>حساب‌ها، عملیات، سبدها، بانک‌ها، پارامترها</t>
        </is>
      </c>
      <c r="B11" s="109" t="n"/>
      <c r="C11" s="14" t="inlineStr">
        <is>
          <t>باسکول، سبد، پرداخت‌ها، گزارش جامع</t>
        </is>
      </c>
      <c r="D11" s="109" t="n"/>
      <c r="E11" s="14" t="inlineStr">
        <is>
          <t>باغداران، بارفروشان، فروشندگان سبد، دفتر کل</t>
        </is>
      </c>
      <c r="F11" s="109" t="n"/>
      <c r="G11" s="14" t="inlineStr">
        <is>
          <t>صورت‌حساب خریدار/باغدار با تیک انتخاب ردیف</t>
        </is>
      </c>
      <c r="H11" s="109" t="n"/>
    </row>
    <row r="12" ht="12.75" customHeight="1">
      <c r="A12" s="15" t="inlineStr">
        <is>
          <t>00_Master.xlsx</t>
        </is>
      </c>
      <c r="B12" s="109" t="n"/>
      <c r="C12" s="15" t="inlineStr">
        <is>
          <t>01_Entry.xlsx</t>
        </is>
      </c>
      <c r="D12" s="109" t="n"/>
      <c r="E12" s="15" t="inlineStr">
        <is>
          <t>02_Reports.xlsx</t>
        </is>
      </c>
      <c r="F12" s="109" t="n"/>
      <c r="G12" s="15" t="inlineStr">
        <is>
          <t>03_Invoice.xlsx</t>
        </is>
      </c>
      <c r="H12" s="109" t="n"/>
    </row>
    <row r="13" ht="21.75" customHeight="1">
      <c r="A13" s="13" t="inlineStr">
        <is>
          <t>۰۴ ترازنامه  ·  ترازنامه و حسابرسی</t>
        </is>
      </c>
      <c r="B13" s="109" t="n"/>
      <c r="C13" s="13" t="inlineStr">
        <is>
          <t>۰۵ بانک  ·  بانک و چک</t>
        </is>
      </c>
      <c r="D13" s="109" t="n"/>
      <c r="E13" s="13" t="inlineStr">
        <is>
          <t>۰۶ بارفروشان  ·  کارت بارفروشان</t>
        </is>
      </c>
      <c r="F13" s="109" t="n"/>
      <c r="G13" s="13" t="inlineStr">
        <is>
          <t>۰۷ نمونه  ·  ثبت ساده — نسخه نمونه</t>
        </is>
      </c>
      <c r="H13" s="109" t="n"/>
    </row>
    <row r="14" ht="27" customHeight="1">
      <c r="A14" s="14" t="inlineStr">
        <is>
          <t>تراز ۴ و ۶ ستونه، حسابرسی، ترازبانک</t>
        </is>
      </c>
      <c r="B14" s="109" t="n"/>
      <c r="C14" s="14" t="inlineStr">
        <is>
          <t>تراکنش بانکی، دفتر چک، مغایرت‌گیری</t>
        </is>
      </c>
      <c r="D14" s="109" t="n"/>
      <c r="E14" s="14" t="inlineStr">
        <is>
          <t>ریز بار ارسالی و تسویه هر بارفروش</t>
        </is>
      </c>
      <c r="F14" s="109" t="n"/>
      <c r="G14" s="14" t="inlineStr">
        <is>
          <t>کدگذاری ساده‌شده برای شروع سریع</t>
        </is>
      </c>
      <c r="H14" s="109" t="n"/>
    </row>
    <row r="15" ht="12.75" customHeight="1">
      <c r="A15" s="15" t="inlineStr">
        <is>
          <t>04_Balance.xlsx</t>
        </is>
      </c>
      <c r="B15" s="109" t="n"/>
      <c r="C15" s="15" t="inlineStr">
        <is>
          <t>05_Bank.xlsx</t>
        </is>
      </c>
      <c r="D15" s="109" t="n"/>
      <c r="E15" s="15" t="inlineStr">
        <is>
          <t>06_Buyers.xlsx</t>
        </is>
      </c>
      <c r="F15" s="109" t="n"/>
      <c r="G15" s="15" t="inlineStr">
        <is>
          <t>07_Demo.xlsx</t>
        </is>
      </c>
      <c r="H15" s="109" t="n"/>
    </row>
    <row r="16"/>
    <row r="17"/>
    <row r="18"/>
    <row r="19"/>
    <row r="20"/>
    <row r="21"/>
    <row r="22"/>
    <row r="23" ht="30" customHeight="1">
      <c r="A23" s="11" t="inlineStr">
        <is>
          <t>۰۲</t>
        </is>
      </c>
      <c r="B23" s="12" t="inlineStr">
        <is>
          <t>جریان داده — چه کسی از چه کسی می‌خواند  —  فلش‌ها جهت جریان اطلاعات را نشان می‌دهند</t>
        </is>
      </c>
      <c r="C23" s="110" t="n"/>
      <c r="D23" s="110" t="n"/>
      <c r="E23" s="110" t="n"/>
      <c r="F23" s="110" t="n"/>
      <c r="G23" s="110" t="n"/>
      <c r="H23" s="110" t="n"/>
      <c r="I23" s="110" t="n"/>
      <c r="J23" s="110" t="n"/>
    </row>
    <row r="24" ht="26.25" customHeight="1">
      <c r="A24" s="16" t="inlineStr">
        <is>
          <t>INFO</t>
        </is>
      </c>
      <c r="B24" s="111" t="inlineStr">
        <is>
          <t>←</t>
        </is>
      </c>
      <c r="C24" s="18" t="inlineStr">
        <is>
          <t>۰۱ ثبت</t>
        </is>
      </c>
      <c r="D24" s="111" t="inlineStr">
        <is>
          <t>←</t>
        </is>
      </c>
      <c r="E24" s="19" t="inlineStr">
        <is>
          <t>۰۲ گزارش</t>
        </is>
      </c>
    </row>
    <row r="25" ht="24" customHeight="1">
      <c r="A25" s="20" t="inlineStr">
        <is>
          <t>تعریف‌ها</t>
        </is>
      </c>
      <c r="C25" s="20" t="inlineStr">
        <is>
          <t>ورود اطلاعات</t>
        </is>
      </c>
      <c r="E25" s="20" t="inlineStr">
        <is>
          <t>گزارش</t>
        </is>
      </c>
    </row>
    <row r="26"/>
    <row r="27" ht="20.25" customHeight="1">
      <c r="A27" s="21" t="inlineStr">
        <is>
          <t>۰۱ ثبت ← INFO</t>
        </is>
      </c>
      <c r="B27" s="112" t="n"/>
      <c r="C27" s="113" t="n"/>
      <c r="D27" s="22" t="inlineStr">
        <is>
          <t>کد و نام حساب‌ها، عملیات و قواعد، وزن سبد، بانک‌ها، پارامترها</t>
        </is>
      </c>
      <c r="E27" s="112" t="n"/>
      <c r="F27" s="112" t="n"/>
      <c r="G27" s="112" t="n"/>
      <c r="H27" s="112" t="n"/>
      <c r="I27" s="112" t="n"/>
      <c r="J27" s="113" t="n"/>
    </row>
    <row r="28" ht="20.25" customHeight="1">
      <c r="A28" s="21" t="inlineStr">
        <is>
          <t>۰۲ گزارش ← ۰۱ ثبت + INFO</t>
        </is>
      </c>
      <c r="B28" s="112" t="n"/>
      <c r="C28" s="113" t="n"/>
      <c r="D28" s="22" t="inlineStr">
        <is>
          <t>ریز باسکول، سبد و پرداخت‌ها؛ نام و گروه از INFO</t>
        </is>
      </c>
      <c r="E28" s="112" t="n"/>
      <c r="F28" s="112" t="n"/>
      <c r="G28" s="112" t="n"/>
      <c r="H28" s="112" t="n"/>
      <c r="I28" s="112" t="n"/>
      <c r="J28" s="113" t="n"/>
    </row>
    <row r="29" ht="20.25" customHeight="1">
      <c r="A29" s="21" t="inlineStr">
        <is>
          <t>۰۳ فاکتور ← ۰۱ ثبت + INFO</t>
        </is>
      </c>
      <c r="B29" s="112" t="n"/>
      <c r="C29" s="113" t="n"/>
      <c r="D29" s="22" t="inlineStr">
        <is>
          <t>مانده و ریز گردش هر حساب؛ تیک انتخاب ردیف</t>
        </is>
      </c>
      <c r="E29" s="112" t="n"/>
      <c r="F29" s="112" t="n"/>
      <c r="G29" s="112" t="n"/>
      <c r="H29" s="112" t="n"/>
      <c r="I29" s="112" t="n"/>
      <c r="J29" s="113" t="n"/>
    </row>
    <row r="30" ht="20.25" customHeight="1">
      <c r="A30" s="21" t="inlineStr">
        <is>
          <t>۰۴ ترازنامه ← ۰۱ ثبت + ۰۲ + ۰۵</t>
        </is>
      </c>
      <c r="B30" s="112" t="n"/>
      <c r="C30" s="113" t="n"/>
      <c r="D30" s="22" t="inlineStr">
        <is>
          <t>گردش حساب‌ها، بانک‌ها، موجودی سبد و مرکبات</t>
        </is>
      </c>
      <c r="E30" s="112" t="n"/>
      <c r="F30" s="112" t="n"/>
      <c r="G30" s="112" t="n"/>
      <c r="H30" s="112" t="n"/>
      <c r="I30" s="112" t="n"/>
      <c r="J30" s="113" t="n"/>
    </row>
    <row r="31" ht="20.25" customHeight="1">
      <c r="A31" s="21" t="inlineStr">
        <is>
          <t>۰۵ بانک ← INFO + ۰۱ ثبت</t>
        </is>
      </c>
      <c r="B31" s="112" t="n"/>
      <c r="C31" s="113" t="n"/>
      <c r="D31" s="22" t="inlineStr">
        <is>
          <t>بانک‌ها و شماره چک‌ها؛ تطبیق با پرداخت‌ها</t>
        </is>
      </c>
      <c r="E31" s="112" t="n"/>
      <c r="F31" s="112" t="n"/>
      <c r="G31" s="112" t="n"/>
      <c r="H31" s="112" t="n"/>
      <c r="I31" s="112" t="n"/>
      <c r="J31" s="113" t="n"/>
    </row>
    <row r="32" ht="20.25" customHeight="1">
      <c r="A32" s="21" t="inlineStr">
        <is>
          <t>۰۶ بارفروشان ← ۰۱ ثبت + ۰۵</t>
        </is>
      </c>
      <c r="B32" s="112" t="n"/>
      <c r="C32" s="113" t="n"/>
      <c r="D32" s="22" t="inlineStr">
        <is>
          <t>بار خروجی بارفروش + تسویه‌ها + هزینه باسکول</t>
        </is>
      </c>
      <c r="E32" s="112" t="n"/>
      <c r="F32" s="112" t="n"/>
      <c r="G32" s="112" t="n"/>
      <c r="H32" s="112" t="n"/>
      <c r="I32" s="112" t="n"/>
      <c r="J32" s="113" t="n"/>
    </row>
    <row r="33"/>
    <row r="34" ht="30" customHeight="1">
      <c r="A34" s="11" t="inlineStr">
        <is>
          <t>۰۳</t>
        </is>
      </c>
      <c r="B34" s="12" t="inlineStr">
        <is>
          <t>قواعد طلایی — هر روز یک بار بخوانید</t>
        </is>
      </c>
      <c r="C34" s="110" t="n"/>
      <c r="D34" s="110" t="n"/>
      <c r="E34" s="110" t="n"/>
      <c r="F34" s="110" t="n"/>
      <c r="G34" s="110" t="n"/>
      <c r="H34" s="110" t="n"/>
      <c r="I34" s="110" t="n"/>
      <c r="J34" s="110" t="n"/>
    </row>
    <row r="35" ht="21.75" customHeight="1">
      <c r="A35" s="11" t="inlineStr">
        <is>
          <t>1</t>
        </is>
      </c>
      <c r="B35" s="23" t="inlineStr">
        <is>
          <t>کدها را تغییر ندهید؛ عنوان‌ها را آزادانه عوض کنید. سیستم با «کد» کار می‌کند، نه با عنوان.</t>
        </is>
      </c>
      <c r="C35" s="112" t="n"/>
      <c r="D35" s="112" t="n"/>
      <c r="E35" s="112" t="n"/>
      <c r="F35" s="112" t="n"/>
      <c r="G35" s="112" t="n"/>
      <c r="H35" s="112" t="n"/>
      <c r="I35" s="112" t="n"/>
      <c r="J35" s="113" t="n"/>
    </row>
    <row r="36" ht="21.75" customHeight="1">
      <c r="A36" s="11" t="inlineStr">
        <is>
          <t>2</t>
        </is>
      </c>
      <c r="B36" s="23" t="inlineStr">
        <is>
          <t>ردیف تازه = ردیف خالی بعدی؛ کدها از قبل درج شده‌اند. بین ردیف‌ها ردیف خالی نگذارید.</t>
        </is>
      </c>
      <c r="C36" s="112" t="n"/>
      <c r="D36" s="112" t="n"/>
      <c r="E36" s="112" t="n"/>
      <c r="F36" s="112" t="n"/>
      <c r="G36" s="112" t="n"/>
      <c r="H36" s="112" t="n"/>
      <c r="I36" s="112" t="n"/>
      <c r="J36" s="113" t="n"/>
    </row>
    <row r="37" ht="21.75" customHeight="1">
      <c r="A37" s="11" t="inlineStr">
        <is>
          <t>3</t>
        </is>
      </c>
      <c r="B37" s="23" t="inlineStr">
        <is>
          <t>برای حذف یک حساب، محتوای سلول‌ها را پاک کنید (Delete)؛ خودِ ردیف را حذف نکنید.</t>
        </is>
      </c>
      <c r="C37" s="112" t="n"/>
      <c r="D37" s="112" t="n"/>
      <c r="E37" s="112" t="n"/>
      <c r="F37" s="112" t="n"/>
      <c r="G37" s="112" t="n"/>
      <c r="H37" s="112" t="n"/>
      <c r="I37" s="112" t="n"/>
      <c r="J37" s="113" t="n"/>
    </row>
    <row r="38" ht="21.75" customHeight="1">
      <c r="A38" s="11" t="inlineStr">
        <is>
          <t>4</t>
        </is>
      </c>
      <c r="B38" s="23" t="inlineStr">
        <is>
          <t>همه فایل‌ها همیشه در یک پوشه باشند؛ مسیر لینک‌ها نسبی است.</t>
        </is>
      </c>
      <c r="C38" s="112" t="n"/>
      <c r="D38" s="112" t="n"/>
      <c r="E38" s="112" t="n"/>
      <c r="F38" s="112" t="n"/>
      <c r="G38" s="112" t="n"/>
      <c r="H38" s="112" t="n"/>
      <c r="I38" s="112" t="n"/>
      <c r="J38" s="113" t="n"/>
    </row>
    <row r="39" ht="21.75" customHeight="1">
      <c r="A39" s="11" t="inlineStr">
        <is>
          <t>5</t>
        </is>
      </c>
      <c r="B39" s="23" t="inlineStr">
        <is>
          <t>بعد از هر تغییر در INFO، فایل‌های دیگر را باز کنید و Data ← Edit Links ← Update Values بزنید.</t>
        </is>
      </c>
      <c r="C39" s="112" t="n"/>
      <c r="D39" s="112" t="n"/>
      <c r="E39" s="112" t="n"/>
      <c r="F39" s="112" t="n"/>
      <c r="G39" s="112" t="n"/>
      <c r="H39" s="112" t="n"/>
      <c r="I39" s="112" t="n"/>
      <c r="J39" s="113" t="n"/>
    </row>
    <row r="40" ht="21.75" customHeight="1">
      <c r="A40" s="11" t="inlineStr">
        <is>
          <t>6</t>
        </is>
      </c>
      <c r="B40" s="23" t="inlineStr">
        <is>
          <t>تاریخ‌ها شمسی با قالب 1405/07/10؛ ساعت با قالب 09:30. اعداد را با ارقام لاتین وارد کنید.</t>
        </is>
      </c>
      <c r="C40" s="112" t="n"/>
      <c r="D40" s="112" t="n"/>
      <c r="E40" s="112" t="n"/>
      <c r="F40" s="112" t="n"/>
      <c r="G40" s="112" t="n"/>
      <c r="H40" s="112" t="n"/>
      <c r="I40" s="112" t="n"/>
      <c r="J40" s="113" t="n"/>
    </row>
    <row r="41" ht="21.75" customHeight="1">
      <c r="A41" s="11" t="inlineStr">
        <is>
          <t>7</t>
        </is>
      </c>
      <c r="B41" s="23" t="inlineStr">
        <is>
          <t>قبل از هر ماه، از کل پوشه یک نسخه پشتیبان بگیرید (فایل را با تاریخ در نام کپی کنید).</t>
        </is>
      </c>
      <c r="C41" s="112" t="n"/>
      <c r="D41" s="112" t="n"/>
      <c r="E41" s="112" t="n"/>
      <c r="F41" s="112" t="n"/>
      <c r="G41" s="112" t="n"/>
      <c r="H41" s="112" t="n"/>
      <c r="I41" s="112" t="n"/>
      <c r="J41" s="113" t="n"/>
    </row>
    <row r="42" ht="21.75" customHeight="1">
      <c r="A42" s="11" t="inlineStr">
        <is>
          <t>8</t>
        </is>
      </c>
      <c r="B42" s="23" t="inlineStr">
        <is>
          <t>اگر فرمولی «#NAME?» داد، یعنی فایل INFO بسته یا جابه‌جا شده است؛ ابتدا لینک را Update کنید.</t>
        </is>
      </c>
      <c r="C42" s="112" t="n"/>
      <c r="D42" s="112" t="n"/>
      <c r="E42" s="112" t="n"/>
      <c r="F42" s="112" t="n"/>
      <c r="G42" s="112" t="n"/>
      <c r="H42" s="112" t="n"/>
      <c r="I42" s="112" t="n"/>
      <c r="J42" s="113" t="n"/>
    </row>
    <row r="43"/>
    <row r="44" ht="27.75" customHeight="1">
      <c r="A44" s="24" t="inlineStr">
        <is>
          <t>راهنمای کامل سامانه — روی این نوار کلیک کنید</t>
        </is>
      </c>
      <c r="B44" s="114" t="n"/>
      <c r="C44" s="114" t="n"/>
      <c r="D44" s="114" t="n"/>
      <c r="E44" s="114" t="n"/>
      <c r="F44" s="114" t="n"/>
      <c r="G44" s="114" t="n"/>
      <c r="H44" s="114" t="n"/>
      <c r="I44" s="114" t="n"/>
      <c r="J44" s="115" t="n"/>
    </row>
    <row r="45"/>
    <row r="46" ht="24" customHeight="1">
      <c r="A46" s="168" t="inlineStr">
        <is>
          <t xml:space="preserve">     فایل‌های همراه — با یک کلیک باز می‌شوند (مسیر نسبی، همه در همین پوشه)</t>
        </is>
      </c>
    </row>
    <row r="47" ht="22" customHeight="1">
      <c r="A47" s="169" t="inlineStr">
        <is>
          <t>دفتر ثبت  01_Entry</t>
        </is>
      </c>
      <c r="C47" s="169" t="inlineStr">
        <is>
          <t>بانک  02_Bank</t>
        </is>
      </c>
      <c r="E47" s="169" t="inlineStr">
        <is>
          <t>گزارش‌ها  03_Report</t>
        </is>
      </c>
      <c r="G47" s="169" t="inlineStr">
        <is>
          <t>فاکتورها  04_Inv</t>
        </is>
      </c>
      <c r="I47" s="169" t="inlineStr">
        <is>
          <t>تراز  05_Bal</t>
        </is>
      </c>
    </row>
    <row r="48" ht="22" customHeight="1">
      <c r="A48" s="169" t="inlineStr">
        <is>
          <t>خریداران  06_Buyers</t>
        </is>
      </c>
      <c r="C48" s="169" t="inlineStr">
        <is>
          <t>نمونه  07_Demo</t>
        </is>
      </c>
      <c r="E48" s="169" t="inlineStr">
        <is>
          <t>داشبورد  08_Dash</t>
        </is>
      </c>
    </row>
  </sheetData>
  <mergeCells count="65">
    <mergeCell ref="E12:F12"/>
    <mergeCell ref="D28:J28"/>
    <mergeCell ref="G12:H12"/>
    <mergeCell ref="C6:D6"/>
    <mergeCell ref="I6:J6"/>
    <mergeCell ref="A15:B15"/>
    <mergeCell ref="C15:D15"/>
    <mergeCell ref="B42:J42"/>
    <mergeCell ref="A11:B11"/>
    <mergeCell ref="G11:H11"/>
    <mergeCell ref="C5:D5"/>
    <mergeCell ref="E5:F5"/>
    <mergeCell ref="C14:D14"/>
    <mergeCell ref="B23:J23"/>
    <mergeCell ref="B8:J8"/>
    <mergeCell ref="E14:F14"/>
    <mergeCell ref="G1:J1"/>
    <mergeCell ref="A27:C27"/>
    <mergeCell ref="D30:J30"/>
    <mergeCell ref="D29:J29"/>
    <mergeCell ref="A6:B6"/>
    <mergeCell ref="B38:J38"/>
    <mergeCell ref="A44:J44"/>
    <mergeCell ref="C10:D10"/>
    <mergeCell ref="B34:J34"/>
    <mergeCell ref="B37:J37"/>
    <mergeCell ref="E10:F10"/>
    <mergeCell ref="A32:C32"/>
    <mergeCell ref="G10:H10"/>
    <mergeCell ref="B40:J40"/>
    <mergeCell ref="E13:F13"/>
    <mergeCell ref="G6:H6"/>
    <mergeCell ref="G13:H13"/>
    <mergeCell ref="A29:C29"/>
    <mergeCell ref="B24:B25"/>
    <mergeCell ref="D24:D25"/>
    <mergeCell ref="A12:B12"/>
    <mergeCell ref="A28:C28"/>
    <mergeCell ref="C12:D12"/>
    <mergeCell ref="D31:J31"/>
    <mergeCell ref="E6:F6"/>
    <mergeCell ref="E15:F15"/>
    <mergeCell ref="C11:D11"/>
    <mergeCell ref="G15:H15"/>
    <mergeCell ref="A31:C31"/>
    <mergeCell ref="E11:F11"/>
    <mergeCell ref="A5:B5"/>
    <mergeCell ref="G5:H5"/>
    <mergeCell ref="B36:J36"/>
    <mergeCell ref="B41:J41"/>
    <mergeCell ref="I5:J5"/>
    <mergeCell ref="A14:B14"/>
    <mergeCell ref="G14:H14"/>
    <mergeCell ref="A30:C30"/>
    <mergeCell ref="B35:J35"/>
    <mergeCell ref="D27:J27"/>
    <mergeCell ref="D32:J32"/>
    <mergeCell ref="A46:J46"/>
    <mergeCell ref="A1:F1"/>
    <mergeCell ref="A3:J3"/>
    <mergeCell ref="A10:B10"/>
    <mergeCell ref="A13:B13"/>
    <mergeCell ref="C13:D13"/>
    <mergeCell ref="A2:J2"/>
    <mergeCell ref="B39:J39"/>
  </mergeCells>
  <hyperlinks>
    <hyperlink xmlns:r="http://schemas.openxmlformats.org/officeDocument/2006/relationships" ref="A10" r:id="rId1"/>
    <hyperlink xmlns:r="http://schemas.openxmlformats.org/officeDocument/2006/relationships" ref="C10" r:id="rId2"/>
    <hyperlink xmlns:r="http://schemas.openxmlformats.org/officeDocument/2006/relationships" ref="E10" r:id="rId3"/>
    <hyperlink xmlns:r="http://schemas.openxmlformats.org/officeDocument/2006/relationships" ref="G10" r:id="rId4"/>
    <hyperlink xmlns:r="http://schemas.openxmlformats.org/officeDocument/2006/relationships" ref="A13" r:id="rId5"/>
    <hyperlink xmlns:r="http://schemas.openxmlformats.org/officeDocument/2006/relationships" ref="C13" r:id="rId6"/>
    <hyperlink xmlns:r="http://schemas.openxmlformats.org/officeDocument/2006/relationships" ref="E13" r:id="rId4"/>
    <hyperlink xmlns:r="http://schemas.openxmlformats.org/officeDocument/2006/relationships" ref="G13" r:id="rId5"/>
    <hyperlink ref="A44" location="Help!A20" display="راهنمای کامل سامانه — روی این نوار کلیک کنید"/>
    <hyperlink xmlns:r="http://schemas.openxmlformats.org/officeDocument/2006/relationships" ref="A47" r:id="rId6"/>
    <hyperlink xmlns:r="http://schemas.openxmlformats.org/officeDocument/2006/relationships" ref="C47" r:id="rId7"/>
    <hyperlink xmlns:r="http://schemas.openxmlformats.org/officeDocument/2006/relationships" ref="E47" r:id="rId8"/>
    <hyperlink xmlns:r="http://schemas.openxmlformats.org/officeDocument/2006/relationships" ref="G47" r:id="rId9"/>
    <hyperlink xmlns:r="http://schemas.openxmlformats.org/officeDocument/2006/relationships" ref="I47" r:id="rId10"/>
    <hyperlink xmlns:r="http://schemas.openxmlformats.org/officeDocument/2006/relationships" ref="A48" r:id="rId11"/>
    <hyperlink xmlns:r="http://schemas.openxmlformats.org/officeDocument/2006/relationships" ref="C48" r:id="rId12"/>
    <hyperlink xmlns:r="http://schemas.openxmlformats.org/officeDocument/2006/relationships" ref="E48" r:id="rId13"/>
  </hyperlinks>
  <printOptions horizontalCentered="1"/>
  <pageMargins left="0.3" right="0.3"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drawing xmlns:r="http://schemas.openxmlformats.org/officeDocument/2006/relationships" r:id="rId14"/>
</worksheet>
</file>

<file path=xl/worksheets/sheet2.xml><?xml version="1.0" encoding="utf-8"?>
<worksheet xmlns="http://schemas.openxmlformats.org/spreadsheetml/2006/main">
  <sheetPr>
    <tabColor rgb="FF7FA99B"/>
    <outlinePr summaryBelow="1" summaryRight="1"/>
    <pageSetUpPr fitToPage="1"/>
  </sheetPr>
  <dimension ref="A1:J24"/>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18.7109375" customWidth="1" min="1" max="1"/>
    <col width="12.7109375" customWidth="1" min="2" max="2"/>
    <col width="16.7109375" customWidth="1" min="3" max="10"/>
  </cols>
  <sheetData>
    <row r="1" ht="18" customHeight="1">
      <c r="A1" s="104" t="inlineStr">
        <is>
          <t>مازندشت — سورتینگ و بسته‌بندی مرکبات</t>
        </is>
      </c>
      <c r="G1" s="105" t="inlineStr">
        <is>
          <t>MAZANDASHT  ·  CITRUS SORTING &amp; PACKING</t>
        </is>
      </c>
    </row>
    <row r="2" ht="30" customHeight="1">
      <c r="A2" s="106" t="inlineStr">
        <is>
          <t>مشخصات شرکت</t>
        </is>
      </c>
    </row>
    <row r="3" ht="20.25" customHeight="1">
      <c r="A3" s="107" t="inlineStr">
        <is>
          <t>این مقادیر منبع سرصفحه و گزارش‌های همه فایل‌ها هستند</t>
        </is>
      </c>
    </row>
    <row r="4" ht="8.25" customHeight="1"/>
    <row r="5" ht="30" customHeight="1">
      <c r="A5" s="11" t="inlineStr">
        <is>
          <t>۰۱</t>
        </is>
      </c>
      <c r="B5" s="12" t="inlineStr">
        <is>
          <t>اطلاعات هویتی و تماس  —  ستون‌های زرد قابل ویرایش‌اند</t>
        </is>
      </c>
      <c r="C5" s="110" t="n"/>
      <c r="D5" s="110" t="n"/>
      <c r="E5" s="110" t="n"/>
      <c r="F5" s="110" t="n"/>
      <c r="G5" s="110" t="n"/>
      <c r="H5" s="110" t="n"/>
      <c r="I5" s="110" t="n"/>
      <c r="J5" s="110" t="n"/>
    </row>
    <row r="6"/>
    <row r="7" ht="26.25" customHeight="1">
      <c r="A7" s="25" t="inlineStr">
        <is>
          <t>نام کامل شرکت</t>
        </is>
      </c>
      <c r="B7" s="109" t="n"/>
      <c r="C7" s="26" t="inlineStr">
        <is>
          <t>سورتینگ و بسته‌بندی مرکبات مازندشت</t>
        </is>
      </c>
      <c r="D7" s="116" t="n"/>
      <c r="E7" s="116" t="n"/>
      <c r="F7" s="116" t="n"/>
      <c r="G7" s="117" t="n"/>
      <c r="H7" s="27" t="inlineStr">
        <is>
          <t>در سرصفحه همه فایل‌ها استفاده می‌شود</t>
        </is>
      </c>
      <c r="I7" s="112" t="n"/>
      <c r="J7" s="113" t="n"/>
    </row>
    <row r="8" ht="26.25" customHeight="1">
      <c r="A8" s="25" t="inlineStr">
        <is>
          <t>برند</t>
        </is>
      </c>
      <c r="B8" s="109" t="n"/>
      <c r="C8" s="26" t="inlineStr">
        <is>
          <t>مازندشت</t>
        </is>
      </c>
      <c r="D8" s="116" t="n"/>
      <c r="E8" s="116" t="n"/>
      <c r="F8" s="116" t="n"/>
      <c r="G8" s="117" t="n"/>
      <c r="H8" s="27" t="inlineStr">
        <is>
          <t>نام کوتاه روی فاکتور و گزارش</t>
        </is>
      </c>
      <c r="I8" s="112" t="n"/>
      <c r="J8" s="113" t="n"/>
    </row>
    <row r="9" ht="26.25" customHeight="1">
      <c r="A9" s="25" t="inlineStr">
        <is>
          <t>زمینه فعالیت</t>
        </is>
      </c>
      <c r="B9" s="109" t="n"/>
      <c r="C9" s="26" t="inlineStr">
        <is>
          <t>سورتینگ، بسته‌بندی و بازرگانی مرکبات</t>
        </is>
      </c>
      <c r="D9" s="116" t="n"/>
      <c r="E9" s="116" t="n"/>
      <c r="F9" s="116" t="n"/>
      <c r="G9" s="117" t="n"/>
      <c r="H9" s="27" t="n"/>
      <c r="I9" s="112" t="n"/>
      <c r="J9" s="113" t="n"/>
    </row>
    <row r="10" ht="26.25" customHeight="1">
      <c r="A10" s="25" t="inlineStr">
        <is>
          <t>نشانی</t>
        </is>
      </c>
      <c r="B10" s="109" t="n"/>
      <c r="C10" s="26" t="inlineStr">
        <is>
          <t>باغدشت، بخش مرکزی، شهرستان قائم‌شهر، استان مازندران، ایران</t>
        </is>
      </c>
      <c r="D10" s="116" t="n"/>
      <c r="E10" s="116" t="n"/>
      <c r="F10" s="116" t="n"/>
      <c r="G10" s="117" t="n"/>
      <c r="H10" s="27" t="n"/>
      <c r="I10" s="112" t="n"/>
      <c r="J10" s="113" t="n"/>
    </row>
    <row r="11" ht="26.25" customHeight="1">
      <c r="A11" s="25" t="inlineStr">
        <is>
          <t>تلفن ثابت</t>
        </is>
      </c>
      <c r="B11" s="109" t="n"/>
      <c r="C11" s="26" t="inlineStr">
        <is>
          <t>011-42116449</t>
        </is>
      </c>
      <c r="D11" s="116" t="n"/>
      <c r="E11" s="116" t="n"/>
      <c r="F11" s="116" t="n"/>
      <c r="G11" s="117" t="n"/>
      <c r="H11" s="27" t="n"/>
      <c r="I11" s="112" t="n"/>
      <c r="J11" s="113" t="n"/>
    </row>
    <row r="12" ht="26.25" customHeight="1">
      <c r="A12" s="25" t="inlineStr">
        <is>
          <t>تلفن همراه</t>
        </is>
      </c>
      <c r="B12" s="109" t="n"/>
      <c r="C12" s="26" t="inlineStr">
        <is>
          <t>0911-116-5751</t>
        </is>
      </c>
      <c r="D12" s="116" t="n"/>
      <c r="E12" s="116" t="n"/>
      <c r="F12" s="116" t="n"/>
      <c r="G12" s="117" t="n"/>
      <c r="H12" s="27" t="n"/>
      <c r="I12" s="112" t="n"/>
      <c r="J12" s="113" t="n"/>
    </row>
    <row r="13" ht="26.25" customHeight="1">
      <c r="A13" s="25" t="inlineStr">
        <is>
          <t>مدیرعامل</t>
        </is>
      </c>
      <c r="B13" s="109" t="n"/>
      <c r="C13" s="26" t="inlineStr">
        <is>
          <t>قاسم زاهدی تیر</t>
        </is>
      </c>
      <c r="D13" s="116" t="n"/>
      <c r="E13" s="116" t="n"/>
      <c r="F13" s="116" t="n"/>
      <c r="G13" s="117" t="n"/>
      <c r="H13" s="27" t="n"/>
      <c r="I13" s="112" t="n"/>
      <c r="J13" s="113" t="n"/>
    </row>
    <row r="14" ht="26.25" customHeight="1">
      <c r="A14" s="25" t="inlineStr">
        <is>
          <t>سال مالی</t>
        </is>
      </c>
      <c r="B14" s="109" t="n"/>
      <c r="C14" s="26" t="inlineStr">
        <is>
          <t>1405</t>
        </is>
      </c>
      <c r="D14" s="116" t="n"/>
      <c r="E14" s="116" t="n"/>
      <c r="F14" s="116" t="n"/>
      <c r="G14" s="117" t="n"/>
      <c r="H14" s="27" t="inlineStr">
        <is>
          <t>برای گزارش‌های ماهانه</t>
        </is>
      </c>
      <c r="I14" s="112" t="n"/>
      <c r="J14" s="113" t="n"/>
    </row>
    <row r="15" ht="26.25" customHeight="1">
      <c r="A15" s="25" t="inlineStr">
        <is>
          <t>شروع سال مالی</t>
        </is>
      </c>
      <c r="B15" s="109" t="n"/>
      <c r="C15" s="26" t="inlineStr">
        <is>
          <t>1405/01/01</t>
        </is>
      </c>
      <c r="D15" s="116" t="n"/>
      <c r="E15" s="116" t="n"/>
      <c r="F15" s="116" t="n"/>
      <c r="G15" s="117" t="n"/>
      <c r="H15" s="27" t="inlineStr">
        <is>
          <t>تاریخ شمسی</t>
        </is>
      </c>
      <c r="I15" s="112" t="n"/>
      <c r="J15" s="113" t="n"/>
    </row>
    <row r="16" ht="26.25" customHeight="1">
      <c r="A16" s="25" t="inlineStr">
        <is>
          <t>واحد پول</t>
        </is>
      </c>
      <c r="B16" s="109" t="n"/>
      <c r="C16" s="26" t="inlineStr">
        <is>
          <t>ریال</t>
        </is>
      </c>
      <c r="D16" s="116" t="n"/>
      <c r="E16" s="116" t="n"/>
      <c r="F16" s="116" t="n"/>
      <c r="G16" s="117" t="n"/>
      <c r="H16" s="27" t="inlineStr">
        <is>
          <t>ریال یا تومان — در همه فرمول‌ها یکسان</t>
        </is>
      </c>
      <c r="I16" s="112" t="n"/>
      <c r="J16" s="113" t="n"/>
    </row>
    <row r="17" ht="26.25" customHeight="1">
      <c r="A17" s="25" t="inlineStr">
        <is>
          <t>یادداشت</t>
        </is>
      </c>
      <c r="B17" s="109" t="n"/>
      <c r="C17" s="26" t="inlineStr">
        <is>
          <t>این اطلاعات به‌صورت خودکار در سرصفحه فایل‌های دیگر تکرار می‌شود.</t>
        </is>
      </c>
      <c r="D17" s="116" t="n"/>
      <c r="E17" s="116" t="n"/>
      <c r="F17" s="116" t="n"/>
      <c r="G17" s="117" t="n"/>
      <c r="H17" s="27" t="n"/>
      <c r="I17" s="112" t="n"/>
      <c r="J17" s="113" t="n"/>
    </row>
    <row r="18"/>
    <row r="19" ht="30" customHeight="1">
      <c r="A19" s="11" t="inlineStr">
        <is>
          <t>۰۲</t>
        </is>
      </c>
      <c r="B19" s="12" t="inlineStr">
        <is>
          <t>لوگو و سرصفحه  —  جای لوگو در همه فایل‌ها یکسان است</t>
        </is>
      </c>
      <c r="C19" s="110" t="n"/>
      <c r="D19" s="110" t="n"/>
      <c r="E19" s="110" t="n"/>
      <c r="F19" s="110" t="n"/>
      <c r="G19" s="110" t="n"/>
      <c r="H19" s="110" t="n"/>
      <c r="I19" s="110" t="n"/>
      <c r="J19" s="110" t="n"/>
    </row>
    <row r="20">
      <c r="A20" s="28" t="inlineStr">
        <is>
          <t>جای لوگو
Insert ← Picture
(یکبار در هر فایل)</t>
        </is>
      </c>
      <c r="B20" s="118" t="n"/>
      <c r="C20" s="119" t="n"/>
      <c r="D20" s="29" t="inlineStr">
        <is>
          <t>سرصفحه همه فایل‌ها از همین مشخصات ساخته می‌شود: نام شرکت، نشانی، تلفن و سال مالی. برای تغییر، فقط همین شیت را ویرایش کنید و در فایل‌های دیگر Edit Links → Update Values بزنید. لوگو را می‌توانید در همین کادر درج کنید؛ فایل مادر مرجع ظاهر همه فایل‌هاست.</t>
        </is>
      </c>
      <c r="E20" s="120" t="n"/>
      <c r="F20" s="120" t="n"/>
      <c r="G20" s="120" t="n"/>
      <c r="H20" s="120" t="n"/>
      <c r="I20" s="120" t="n"/>
      <c r="J20" s="121" t="n"/>
    </row>
    <row r="21">
      <c r="A21" s="122" t="n"/>
      <c r="C21" s="123" t="n"/>
      <c r="D21" s="124" t="n"/>
      <c r="J21" s="125" t="n"/>
    </row>
    <row r="22">
      <c r="A22" s="122" t="n"/>
      <c r="C22" s="123" t="n"/>
      <c r="D22" s="124" t="n"/>
      <c r="J22" s="125" t="n"/>
    </row>
    <row r="23">
      <c r="A23" s="122" t="n"/>
      <c r="C23" s="123" t="n"/>
      <c r="D23" s="124" t="n"/>
      <c r="J23" s="125" t="n"/>
    </row>
    <row r="24">
      <c r="A24" s="126" t="n"/>
      <c r="B24" s="127" t="n"/>
      <c r="C24" s="128" t="n"/>
      <c r="D24" s="129" t="n"/>
      <c r="E24" s="130" t="n"/>
      <c r="F24" s="130" t="n"/>
      <c r="G24" s="130" t="n"/>
      <c r="H24" s="130" t="n"/>
      <c r="I24" s="130" t="n"/>
      <c r="J24" s="131" t="n"/>
    </row>
  </sheetData>
  <mergeCells count="41">
    <mergeCell ref="A15:B15"/>
    <mergeCell ref="A11:B11"/>
    <mergeCell ref="C15:G15"/>
    <mergeCell ref="G1:J1"/>
    <mergeCell ref="C14:G14"/>
    <mergeCell ref="H17:J17"/>
    <mergeCell ref="H11:J11"/>
    <mergeCell ref="H7:J7"/>
    <mergeCell ref="H16:J16"/>
    <mergeCell ref="A16:B16"/>
    <mergeCell ref="B19:J19"/>
    <mergeCell ref="A7:B7"/>
    <mergeCell ref="C10:G10"/>
    <mergeCell ref="C16:G16"/>
    <mergeCell ref="H13:J13"/>
    <mergeCell ref="H12:J12"/>
    <mergeCell ref="C9:G9"/>
    <mergeCell ref="D20:J24"/>
    <mergeCell ref="A12:B12"/>
    <mergeCell ref="H15:J15"/>
    <mergeCell ref="B5:J5"/>
    <mergeCell ref="C12:G12"/>
    <mergeCell ref="A20:C24"/>
    <mergeCell ref="H14:J14"/>
    <mergeCell ref="C11:G11"/>
    <mergeCell ref="H8:J8"/>
    <mergeCell ref="A14:B14"/>
    <mergeCell ref="A17:B17"/>
    <mergeCell ref="C8:G8"/>
    <mergeCell ref="A8:B8"/>
    <mergeCell ref="C17:G17"/>
    <mergeCell ref="C7:G7"/>
    <mergeCell ref="H10:J10"/>
    <mergeCell ref="A1:F1"/>
    <mergeCell ref="A3:J3"/>
    <mergeCell ref="A10:B10"/>
    <mergeCell ref="A13:B13"/>
    <mergeCell ref="H9:J9"/>
    <mergeCell ref="A2:J2"/>
    <mergeCell ref="A9:B9"/>
    <mergeCell ref="C13:G13"/>
  </mergeCells>
  <printOptions horizontalCentered="1"/>
  <pageMargins left="0.35" right="0.35" top="0.45" bottom="0.5" header="0.3" footer="0.3"/>
  <pageSetup orientation="portrait"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3.xml><?xml version="1.0" encoding="utf-8"?>
<worksheet xmlns="http://schemas.openxmlformats.org/spreadsheetml/2006/main">
  <sheetPr>
    <tabColor rgb="FFC89B3C"/>
    <outlinePr summaryBelow="1" summaryRight="1"/>
    <pageSetUpPr fitToPage="1"/>
  </sheetPr>
  <dimension ref="A1:E21"/>
  <sheetViews>
    <sheetView showGridLines="0" rightToLeft="1" zoomScale="88" zoomScaleNormal="88" workbookViewId="0">
      <pane xSplit="1" ySplit="9" topLeftCell="B10" activePane="bottomRight" state="frozen"/>
      <selection pane="topRight" activeCell="B1" sqref="B1"/>
      <selection pane="bottomLeft" activeCell="A10" sqref="A10"/>
      <selection pane="bottomRight" activeCell="A1" sqref="A1"/>
    </sheetView>
  </sheetViews>
  <sheetFormatPr baseColWidth="8" defaultRowHeight="15"/>
  <cols>
    <col width="8.7109375" customWidth="1" min="1" max="1"/>
    <col width="26.7109375" customWidth="1" min="2" max="2"/>
    <col width="16.7109375" customWidth="1" min="3" max="3"/>
    <col width="12.7109375" customWidth="1" min="4" max="4"/>
    <col width="56.7109375" customWidth="1" min="5" max="5"/>
  </cols>
  <sheetData>
    <row r="1" ht="20.25" customHeight="1">
      <c r="A1" s="30" t="inlineStr">
        <is>
          <t>مازندشت — سورتینگ و بسته‌بندی مرکبات</t>
        </is>
      </c>
      <c r="B1" s="132" t="inlineStr">
        <is>
          <t>MAZANDASHT  ·  CITRUS SORTING &amp; PACKING</t>
        </is>
      </c>
    </row>
    <row r="2" ht="38.25" customHeight="1">
      <c r="A2" s="133" t="inlineStr">
        <is>
          <t>پارامترهای محاسباتی</t>
        </is>
      </c>
    </row>
    <row r="3" ht="45.75" customHeight="1">
      <c r="A3" s="134" t="inlineStr">
        <is>
          <t>منبع فرمول‌های همه فایل‌ها — مقدار زرد را تغییر دهید، همه‌جا خودکار به‌روز می‌شود</t>
        </is>
      </c>
    </row>
    <row r="4" ht="24" customHeight="1">
      <c r="A4" s="34" t="inlineStr">
        <is>
          <t>راهنما</t>
        </is>
      </c>
      <c r="B4" s="35" t="inlineStr">
        <is>
          <t>ورود دستی</t>
        </is>
      </c>
      <c r="C4" s="36" t="inlineStr">
        <is>
          <t>خودکار</t>
        </is>
      </c>
      <c r="D4" s="37" t="inlineStr">
        <is>
          <t>ورود</t>
        </is>
      </c>
      <c r="E4" s="38" t="inlineStr">
        <is>
          <t>خروج</t>
        </is>
      </c>
    </row>
    <row r="5" ht="17.25" customHeight="1">
      <c r="A5" s="5" t="inlineStr">
        <is>
          <t>سال مالی</t>
        </is>
      </c>
      <c r="B5" s="108" t="n"/>
      <c r="C5" s="5" t="inlineStr">
        <is>
          <t>درصد افت خرید</t>
        </is>
      </c>
      <c r="D5" s="108" t="n"/>
      <c r="E5" s="5" t="inlineStr">
        <is>
          <t>وزن سبد پیش‌فرض</t>
        </is>
      </c>
    </row>
    <row r="6" ht="33" customHeight="1">
      <c r="A6" s="135">
        <f>IFERROR(VLOOKUP("P04",$A$10:$E$21,3,0),"")</f>
        <v/>
      </c>
      <c r="B6" s="109" t="n"/>
      <c r="C6" s="136">
        <f>IFERROR(VLOOKUP("P02",$A$10:$E$21,3,0),0)</f>
        <v/>
      </c>
      <c r="D6" s="109" t="n"/>
      <c r="E6" s="137">
        <f>IFERROR(VLOOKUP("P01",$A$10:$E$21,3,0),0)</f>
        <v/>
      </c>
    </row>
    <row r="7" ht="6.75" customHeight="1"/>
    <row r="8" ht="33.75" customHeight="1">
      <c r="A8" s="42" t="inlineStr">
        <is>
          <t>کد</t>
        </is>
      </c>
      <c r="B8" s="42" t="inlineStr">
        <is>
          <t>نام پارامتر</t>
        </is>
      </c>
      <c r="C8" s="42" t="inlineStr">
        <is>
          <t>مقدار</t>
        </is>
      </c>
      <c r="D8" s="42" t="inlineStr">
        <is>
          <t>واحد</t>
        </is>
      </c>
      <c r="E8" s="42" t="inlineStr">
        <is>
          <t>توضیح</t>
        </is>
      </c>
    </row>
    <row r="9">
      <c r="A9" s="43" t="inlineStr">
        <is>
          <t>Code</t>
        </is>
      </c>
      <c r="B9" s="43" t="inlineStr">
        <is>
          <t>Parameter</t>
        </is>
      </c>
      <c r="C9" s="43" t="inlineStr">
        <is>
          <t>Value</t>
        </is>
      </c>
      <c r="D9" s="43" t="inlineStr">
        <is>
          <t>Unit</t>
        </is>
      </c>
      <c r="E9" s="43" t="inlineStr">
        <is>
          <t>Note</t>
        </is>
      </c>
    </row>
    <row r="10" ht="24" customHeight="1">
      <c r="A10" s="44" t="inlineStr">
        <is>
          <t>P01</t>
        </is>
      </c>
      <c r="B10" s="45" t="inlineStr">
        <is>
          <t>وزن سبد پیش‌فرض</t>
        </is>
      </c>
      <c r="C10" s="46" t="n">
        <v>1.5</v>
      </c>
      <c r="D10" s="47" t="inlineStr">
        <is>
          <t>کیلوگرم</t>
        </is>
      </c>
      <c r="E10" s="48" t="inlineStr">
        <is>
          <t>اگر نوع سبد انتخاب نشود، وزن تار این عدد است</t>
        </is>
      </c>
    </row>
    <row r="11" ht="24" customHeight="1">
      <c r="A11" s="44" t="inlineStr">
        <is>
          <t>P02</t>
        </is>
      </c>
      <c r="B11" s="45" t="inlineStr">
        <is>
          <t>درصد افت خرید</t>
        </is>
      </c>
      <c r="C11" s="46" t="n">
        <v>1</v>
      </c>
      <c r="D11" s="47" t="inlineStr">
        <is>
          <t>درصد</t>
        </is>
      </c>
      <c r="E11" s="48" t="inlineStr">
        <is>
          <t>از وزن خالص خرید مرکبات کسر می‌شود</t>
        </is>
      </c>
    </row>
    <row r="12" ht="24" customHeight="1">
      <c r="A12" s="44" t="inlineStr">
        <is>
          <t>P03</t>
        </is>
      </c>
      <c r="B12" s="45" t="inlineStr">
        <is>
          <t>واحد رند کردن مبلغ</t>
        </is>
      </c>
      <c r="C12" s="46" t="n">
        <v>1000</v>
      </c>
      <c r="D12" s="47" t="inlineStr">
        <is>
          <t>ریال</t>
        </is>
      </c>
      <c r="E12" s="48" t="inlineStr">
        <is>
          <t>مبلغ نهایی به نزدیک‌ترین مضرب این عدد رند می‌شود</t>
        </is>
      </c>
    </row>
    <row r="13" ht="24" customHeight="1">
      <c r="A13" s="44" t="inlineStr">
        <is>
          <t>P04</t>
        </is>
      </c>
      <c r="B13" s="45" t="inlineStr">
        <is>
          <t>سال مالی</t>
        </is>
      </c>
      <c r="C13" s="49" t="inlineStr">
        <is>
          <t>1405</t>
        </is>
      </c>
      <c r="D13" s="47" t="inlineStr">
        <is>
          <t>سال</t>
        </is>
      </c>
      <c r="E13" s="48" t="inlineStr">
        <is>
          <t>برای گزارش‌های ماهانه</t>
        </is>
      </c>
    </row>
    <row r="14" ht="24" customHeight="1">
      <c r="A14" s="44" t="inlineStr">
        <is>
          <t>P05</t>
        </is>
      </c>
      <c r="B14" s="45" t="inlineStr">
        <is>
          <t>حد هشدار موجودی سبد</t>
        </is>
      </c>
      <c r="C14" s="46" t="n">
        <v>100</v>
      </c>
      <c r="D14" s="47" t="inlineStr">
        <is>
          <t>عدد</t>
        </is>
      </c>
      <c r="E14" s="48" t="inlineStr">
        <is>
          <t>کمتر از این تعداد، هشدار موجودی</t>
        </is>
      </c>
    </row>
    <row r="15" ht="24" customHeight="1">
      <c r="A15" s="44" t="inlineStr">
        <is>
          <t>P06</t>
        </is>
      </c>
      <c r="B15" s="45" t="inlineStr">
        <is>
          <t>درصد کارمزد پوز</t>
        </is>
      </c>
      <c r="C15" s="46" t="n">
        <v>0</v>
      </c>
      <c r="D15" s="47" t="inlineStr">
        <is>
          <t>درصد</t>
        </is>
      </c>
      <c r="E15" s="48" t="inlineStr">
        <is>
          <t>در صورت کسر کارمزد از واریزی پوز</t>
        </is>
      </c>
    </row>
    <row r="16" ht="24" customHeight="1">
      <c r="A16" s="44" t="inlineStr">
        <is>
          <t>P07</t>
        </is>
      </c>
      <c r="B16" s="45" t="inlineStr">
        <is>
          <t>پیش‌شماره فاکتور خرید</t>
        </is>
      </c>
      <c r="C16" s="49" t="inlineStr">
        <is>
          <t>خرید-</t>
        </is>
      </c>
      <c r="D16" s="47" t="inlineStr">
        <is>
          <t>متن</t>
        </is>
      </c>
      <c r="E16" s="48" t="n"/>
    </row>
    <row r="17" ht="24" customHeight="1">
      <c r="A17" s="44" t="inlineStr">
        <is>
          <t>P08</t>
        </is>
      </c>
      <c r="B17" s="45" t="inlineStr">
        <is>
          <t>پیش‌شماره فاکتور فروش</t>
        </is>
      </c>
      <c r="C17" s="49" t="inlineStr">
        <is>
          <t>فروش-</t>
        </is>
      </c>
      <c r="D17" s="47" t="inlineStr">
        <is>
          <t>متن</t>
        </is>
      </c>
      <c r="E17" s="48" t="n"/>
    </row>
    <row r="18" ht="24" customHeight="1">
      <c r="A18" s="44" t="inlineStr">
        <is>
          <t>P09</t>
        </is>
      </c>
      <c r="B18" s="45" t="inlineStr">
        <is>
          <t>سقف اعتبار پیش‌فرض بارفروش</t>
        </is>
      </c>
      <c r="C18" s="46" t="n">
        <v>500000000</v>
      </c>
      <c r="D18" s="47" t="inlineStr">
        <is>
          <t>ریال</t>
        </is>
      </c>
      <c r="E18" s="48" t="inlineStr">
        <is>
          <t>برای هشدار اعتباری</t>
        </is>
      </c>
    </row>
    <row r="19" ht="24" customHeight="1">
      <c r="A19" s="44" t="inlineStr">
        <is>
          <t>P10</t>
        </is>
      </c>
      <c r="B19" s="45" t="inlineStr">
        <is>
          <t>مهلت چک</t>
        </is>
      </c>
      <c r="C19" s="46" t="n">
        <v>30</v>
      </c>
      <c r="D19" s="47" t="inlineStr">
        <is>
          <t>روز</t>
        </is>
      </c>
      <c r="E19" s="48" t="n"/>
    </row>
    <row r="20" ht="24" customHeight="1">
      <c r="A20" s="44" t="inlineStr">
        <is>
          <t>P11</t>
        </is>
      </c>
      <c r="B20" s="45" t="inlineStr">
        <is>
          <t>واحد پول</t>
        </is>
      </c>
      <c r="C20" s="49" t="inlineStr">
        <is>
          <t>ریال</t>
        </is>
      </c>
      <c r="D20" s="47" t="inlineStr">
        <is>
          <t>متن</t>
        </is>
      </c>
      <c r="E20" s="48" t="n"/>
    </row>
    <row r="21" ht="24" customHeight="1">
      <c r="A21" s="44" t="inlineStr">
        <is>
          <t>P12</t>
        </is>
      </c>
      <c r="B21" s="45" t="inlineStr">
        <is>
          <t>نمایش ردیف‌های صفر در ترازنامه</t>
        </is>
      </c>
      <c r="C21" s="49" t="inlineStr">
        <is>
          <t>خیر</t>
        </is>
      </c>
      <c r="D21" s="47" t="inlineStr">
        <is>
          <t>بله/خیر</t>
        </is>
      </c>
      <c r="E21" s="48" t="n"/>
    </row>
  </sheetData>
  <autoFilter ref="A8:E21"/>
  <mergeCells count="7">
    <mergeCell ref="B1:E1"/>
    <mergeCell ref="C6:D6"/>
    <mergeCell ref="A2:E2"/>
    <mergeCell ref="C5:D5"/>
    <mergeCell ref="A5:B5"/>
    <mergeCell ref="A6:B6"/>
    <mergeCell ref="A3:E3"/>
  </mergeCell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tabColor rgb="FF7FA99B"/>
    <outlinePr summaryBelow="1" summaryRight="1"/>
    <pageSetUpPr fitToPage="1"/>
  </sheetPr>
  <dimension ref="A1:J5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8.7109375" customWidth="1" min="1" max="1"/>
    <col width="26.7109375" customWidth="1" min="2" max="2"/>
    <col width="10.7109375" customWidth="1" min="3" max="3"/>
    <col width="16.7109375" customWidth="1" min="4" max="4"/>
    <col width="12.7109375" customWidth="1" min="5" max="5"/>
    <col width="34.7109375" customWidth="1" min="6" max="6"/>
  </cols>
  <sheetData>
    <row r="1" ht="20.25" customHeight="1">
      <c r="A1" s="138" t="inlineStr">
        <is>
          <t>مازندشت — سورتینگ و بسته‌بندی مرکبات</t>
        </is>
      </c>
      <c r="F1" s="132" t="inlineStr">
        <is>
          <t>MAZANDASHT  ·  CITRUS SORTING &amp; PACKING</t>
        </is>
      </c>
    </row>
    <row r="2" ht="38.25" customHeight="1">
      <c r="A2" s="133" t="inlineStr">
        <is>
          <t>گروه‌ها و زیرگروه‌های حساب</t>
        </is>
      </c>
    </row>
    <row r="3" ht="45.75" customHeight="1">
      <c r="A3" s="134" t="inlineStr">
        <is>
          <t>هر گروه، پیشوند کد، شیت گزارش و رنگ اختصاصی خود را دارد — منبع کشوهای شیت حساب‌ها</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گروه‌های اصلی</t>
        </is>
      </c>
      <c r="B5" s="140" t="n"/>
      <c r="C5" s="108" t="n"/>
      <c r="D5" s="5" t="inlineStr">
        <is>
          <t>زیرگروه‌ها</t>
        </is>
      </c>
      <c r="E5" s="140" t="n"/>
      <c r="F5" s="108" t="n"/>
      <c r="G5" s="5" t="inlineStr">
        <is>
          <t>زیرگروه باغدار</t>
        </is>
      </c>
      <c r="H5" s="140" t="n"/>
      <c r="I5" s="108" t="n"/>
      <c r="J5" s="5" t="inlineStr">
        <is>
          <t>گروه‌های گزارشی</t>
        </is>
      </c>
    </row>
    <row r="6" ht="33" customHeight="1">
      <c r="A6" s="52" t="n">
        <v>10</v>
      </c>
      <c r="B6" s="141" t="n"/>
      <c r="C6" s="109" t="n"/>
      <c r="D6" s="53">
        <f>COUNTIF($B$10:$B$52,"?*")</f>
        <v/>
      </c>
      <c r="E6" s="141" t="n"/>
      <c r="F6" s="109" t="n"/>
      <c r="G6" s="54">
        <f>COUNTIF($B$10:$B$52,"سردرختی")+COUNTIF($B$10:$B$52,"انباری")</f>
        <v/>
      </c>
      <c r="H6" s="141" t="n"/>
      <c r="I6" s="109" t="n"/>
      <c r="J6" s="55">
        <f>SUMPRODUCT(1/COUNTIF($D$10:$D$52,$D$10:$D$52))</f>
        <v/>
      </c>
    </row>
    <row r="7" ht="6.75" customHeight="1"/>
    <row r="8" ht="33.75" customHeight="1">
      <c r="A8" s="42" t="inlineStr">
        <is>
          <t>گروه اصلی</t>
        </is>
      </c>
      <c r="B8" s="42" t="inlineStr">
        <is>
          <t>زیرگروه</t>
        </is>
      </c>
      <c r="C8" s="42" t="inlineStr">
        <is>
          <t>پیشوند کد</t>
        </is>
      </c>
      <c r="D8" s="42" t="inlineStr">
        <is>
          <t>شیت گزارش</t>
        </is>
      </c>
      <c r="E8" s="42" t="inlineStr">
        <is>
          <t>رنگ</t>
        </is>
      </c>
      <c r="F8" s="42" t="inlineStr">
        <is>
          <t>توضیح</t>
        </is>
      </c>
      <c r="H8" s="56" t="inlineStr">
        <is>
          <t>گروه‌های اصلی (منبع کشو)</t>
        </is>
      </c>
      <c r="I8" s="115" t="n"/>
    </row>
    <row r="9">
      <c r="A9" s="43" t="inlineStr">
        <is>
          <t>Group</t>
        </is>
      </c>
      <c r="B9" s="43" t="inlineStr">
        <is>
          <t>Subgroup</t>
        </is>
      </c>
      <c r="C9" s="43" t="inlineStr">
        <is>
          <t>Prefix</t>
        </is>
      </c>
      <c r="D9" s="43" t="inlineStr">
        <is>
          <t>Report Sheet</t>
        </is>
      </c>
      <c r="E9" s="43" t="inlineStr">
        <is>
          <t>Color</t>
        </is>
      </c>
      <c r="F9" s="43" t="inlineStr">
        <is>
          <t>Note</t>
        </is>
      </c>
    </row>
    <row r="10" ht="21.75" customHeight="1">
      <c r="A10" s="57" t="inlineStr">
        <is>
          <t>باغدار</t>
        </is>
      </c>
      <c r="B10" s="45" t="inlineStr">
        <is>
          <t>سردرختی</t>
        </is>
      </c>
      <c r="C10" s="58" t="inlineStr">
        <is>
          <t>C</t>
        </is>
      </c>
      <c r="D10" s="59" t="inlineStr">
        <is>
          <t>Growers</t>
        </is>
      </c>
      <c r="E10" s="59" t="inlineStr">
        <is>
          <t>mint</t>
        </is>
      </c>
      <c r="F10" s="60" t="inlineStr">
        <is>
          <t>مرکبات سردرختی تحویل باغ</t>
        </is>
      </c>
      <c r="H10" s="61" t="inlineStr">
        <is>
          <t>باغدار</t>
        </is>
      </c>
      <c r="I10" s="113" t="n"/>
    </row>
    <row r="11" ht="21.75" customHeight="1">
      <c r="A11" s="57" t="inlineStr">
        <is>
          <t>باغدار</t>
        </is>
      </c>
      <c r="B11" s="45" t="inlineStr">
        <is>
          <t>انباری</t>
        </is>
      </c>
      <c r="C11" s="58" t="inlineStr">
        <is>
          <t>C</t>
        </is>
      </c>
      <c r="D11" s="59" t="inlineStr">
        <is>
          <t>Growers</t>
        </is>
      </c>
      <c r="E11" s="59" t="inlineStr">
        <is>
          <t>mint</t>
        </is>
      </c>
      <c r="F11" s="60" t="inlineStr">
        <is>
          <t>مرکبات تحویل انبار</t>
        </is>
      </c>
      <c r="H11" s="61" t="inlineStr">
        <is>
          <t>بارفروش</t>
        </is>
      </c>
      <c r="I11" s="113" t="n"/>
    </row>
    <row r="12" ht="21.75" customHeight="1">
      <c r="A12" s="57" t="inlineStr">
        <is>
          <t>باغدار</t>
        </is>
      </c>
      <c r="B12" s="45" t="inlineStr">
        <is>
          <t>عمده</t>
        </is>
      </c>
      <c r="C12" s="58" t="inlineStr">
        <is>
          <t>C</t>
        </is>
      </c>
      <c r="D12" s="59" t="inlineStr">
        <is>
          <t>Growers</t>
        </is>
      </c>
      <c r="E12" s="59" t="inlineStr">
        <is>
          <t>mint</t>
        </is>
      </c>
      <c r="F12" s="60" t="n"/>
      <c r="H12" s="61" t="inlineStr">
        <is>
          <t>فروشنده سبد</t>
        </is>
      </c>
      <c r="I12" s="113" t="n"/>
    </row>
    <row r="13" ht="21.75" customHeight="1">
      <c r="A13" s="57" t="inlineStr">
        <is>
          <t>باغدار</t>
        </is>
      </c>
      <c r="B13" s="45" t="inlineStr">
        <is>
          <t>خرده‌فروش</t>
        </is>
      </c>
      <c r="C13" s="58" t="inlineStr">
        <is>
          <t>C</t>
        </is>
      </c>
      <c r="D13" s="59" t="inlineStr">
        <is>
          <t>Growers</t>
        </is>
      </c>
      <c r="E13" s="59" t="inlineStr">
        <is>
          <t>mint</t>
        </is>
      </c>
      <c r="F13" s="60" t="n"/>
      <c r="H13" s="61" t="inlineStr">
        <is>
          <t>تأمین‌کننده</t>
        </is>
      </c>
      <c r="I13" s="113" t="n"/>
    </row>
    <row r="14" ht="21.75" customHeight="1">
      <c r="A14" s="57" t="inlineStr">
        <is>
          <t>باغدار</t>
        </is>
      </c>
      <c r="B14" s="45" t="inlineStr">
        <is>
          <t>صادراتی</t>
        </is>
      </c>
      <c r="C14" s="58" t="inlineStr">
        <is>
          <t>C</t>
        </is>
      </c>
      <c r="D14" s="59" t="inlineStr">
        <is>
          <t>Growers</t>
        </is>
      </c>
      <c r="E14" s="59" t="inlineStr">
        <is>
          <t>mint</t>
        </is>
      </c>
      <c r="F14" s="60" t="n"/>
      <c r="H14" s="61" t="inlineStr">
        <is>
          <t>کارمند</t>
        </is>
      </c>
      <c r="I14" s="113" t="n"/>
    </row>
    <row r="15" ht="21.75" customHeight="1">
      <c r="A15" s="57" t="inlineStr">
        <is>
          <t>باغدار</t>
        </is>
      </c>
      <c r="B15" s="45" t="inlineStr">
        <is>
          <t>میدان بار</t>
        </is>
      </c>
      <c r="C15" s="58" t="inlineStr">
        <is>
          <t>C</t>
        </is>
      </c>
      <c r="D15" s="59" t="inlineStr">
        <is>
          <t>Growers</t>
        </is>
      </c>
      <c r="E15" s="59" t="inlineStr">
        <is>
          <t>mint</t>
        </is>
      </c>
      <c r="F15" s="60" t="n"/>
      <c r="H15" s="61" t="inlineStr">
        <is>
          <t>سایر حساب</t>
        </is>
      </c>
      <c r="I15" s="113" t="n"/>
    </row>
    <row r="16" ht="21.75" customHeight="1">
      <c r="A16" s="57" t="inlineStr">
        <is>
          <t>بارفروش</t>
        </is>
      </c>
      <c r="B16" s="45" t="inlineStr">
        <is>
          <t>میدان بار شهرستان</t>
        </is>
      </c>
      <c r="C16" s="58" t="inlineStr">
        <is>
          <t>SL</t>
        </is>
      </c>
      <c r="D16" s="59" t="inlineStr">
        <is>
          <t>LoadBuyers</t>
        </is>
      </c>
      <c r="E16" s="59" t="inlineStr">
        <is>
          <t>sky</t>
        </is>
      </c>
      <c r="F16" s="60" t="inlineStr">
        <is>
          <t>خریدار بار در شهرستان</t>
        </is>
      </c>
      <c r="H16" s="61" t="inlineStr">
        <is>
          <t>باسکول دیگران</t>
        </is>
      </c>
      <c r="I16" s="113" t="n"/>
    </row>
    <row r="17" ht="21.75" customHeight="1">
      <c r="A17" s="57" t="inlineStr">
        <is>
          <t>بارفروش</t>
        </is>
      </c>
      <c r="B17" s="45" t="inlineStr">
        <is>
          <t>حجره‌دار</t>
        </is>
      </c>
      <c r="C17" s="58" t="inlineStr">
        <is>
          <t>SL</t>
        </is>
      </c>
      <c r="D17" s="59" t="inlineStr">
        <is>
          <t>LoadBuyers</t>
        </is>
      </c>
      <c r="E17" s="59" t="inlineStr">
        <is>
          <t>sky</t>
        </is>
      </c>
      <c r="F17" s="60" t="n"/>
      <c r="H17" s="61" t="inlineStr">
        <is>
          <t>دارایی ثابت</t>
        </is>
      </c>
      <c r="I17" s="113" t="n"/>
    </row>
    <row r="18" ht="21.75" customHeight="1">
      <c r="A18" s="57" t="inlineStr">
        <is>
          <t>بارفروش</t>
        </is>
      </c>
      <c r="B18" s="45" t="inlineStr">
        <is>
          <t>صادراتی</t>
        </is>
      </c>
      <c r="C18" s="58" t="inlineStr">
        <is>
          <t>SL</t>
        </is>
      </c>
      <c r="D18" s="59" t="inlineStr">
        <is>
          <t>LoadBuyers</t>
        </is>
      </c>
      <c r="E18" s="59" t="inlineStr">
        <is>
          <t>sky</t>
        </is>
      </c>
      <c r="F18" s="60" t="n"/>
      <c r="H18" s="61" t="inlineStr">
        <is>
          <t>وام و تسهیلات</t>
        </is>
      </c>
      <c r="I18" s="113" t="n"/>
    </row>
    <row r="19" ht="21.75" customHeight="1">
      <c r="A19" s="57" t="inlineStr">
        <is>
          <t>بارفروش</t>
        </is>
      </c>
      <c r="B19" s="45" t="inlineStr">
        <is>
          <t>واسطه</t>
        </is>
      </c>
      <c r="C19" s="58" t="inlineStr">
        <is>
          <t>SL</t>
        </is>
      </c>
      <c r="D19" s="59" t="inlineStr">
        <is>
          <t>LoadBuyers</t>
        </is>
      </c>
      <c r="E19" s="59" t="inlineStr">
        <is>
          <t>sky</t>
        </is>
      </c>
      <c r="F19" s="60" t="n"/>
      <c r="H19" s="61" t="inlineStr">
        <is>
          <t>سرمایه و آورده صاحبان</t>
        </is>
      </c>
      <c r="I19" s="113" t="n"/>
    </row>
    <row r="20" ht="21.75" customHeight="1">
      <c r="A20" s="57" t="inlineStr">
        <is>
          <t>بارفروش</t>
        </is>
      </c>
      <c r="B20" s="45" t="inlineStr">
        <is>
          <t>نقدی</t>
        </is>
      </c>
      <c r="C20" s="58" t="inlineStr">
        <is>
          <t>SL</t>
        </is>
      </c>
      <c r="D20" s="59" t="inlineStr">
        <is>
          <t>LoadBuyers</t>
        </is>
      </c>
      <c r="E20" s="59" t="inlineStr">
        <is>
          <t>sky</t>
        </is>
      </c>
      <c r="F20" s="60" t="n"/>
      <c r="H20" s="61" t="inlineStr">
        <is>
          <t>بانک و صندوق</t>
        </is>
      </c>
      <c r="I20" s="113" t="n"/>
    </row>
    <row r="21" ht="21.75" customHeight="1">
      <c r="A21" s="57" t="inlineStr">
        <is>
          <t>فروشنده سبد</t>
        </is>
      </c>
      <c r="B21" s="45" t="inlineStr">
        <is>
          <t>سبد پلاستیکی</t>
        </is>
      </c>
      <c r="C21" s="58" t="inlineStr">
        <is>
          <t>S</t>
        </is>
      </c>
      <c r="D21" s="59" t="inlineStr">
        <is>
          <t>BasketSellers</t>
        </is>
      </c>
      <c r="E21" s="59" t="inlineStr">
        <is>
          <t>lavender</t>
        </is>
      </c>
      <c r="F21" s="60" t="n"/>
    </row>
    <row r="22" ht="21.75" customHeight="1">
      <c r="A22" s="57" t="inlineStr">
        <is>
          <t>فروشنده سبد</t>
        </is>
      </c>
      <c r="B22" s="45" t="inlineStr">
        <is>
          <t>سبد چوبی</t>
        </is>
      </c>
      <c r="C22" s="58" t="inlineStr">
        <is>
          <t>S</t>
        </is>
      </c>
      <c r="D22" s="59" t="inlineStr">
        <is>
          <t>BasketSellers</t>
        </is>
      </c>
      <c r="E22" s="59" t="inlineStr">
        <is>
          <t>lavender</t>
        </is>
      </c>
      <c r="F22" s="60" t="n"/>
    </row>
    <row r="23" ht="21.75" customHeight="1">
      <c r="A23" s="57" t="inlineStr">
        <is>
          <t>فروشنده سبد</t>
        </is>
      </c>
      <c r="B23" s="45" t="inlineStr">
        <is>
          <t>سبد مقوایی</t>
        </is>
      </c>
      <c r="C23" s="58" t="inlineStr">
        <is>
          <t>S</t>
        </is>
      </c>
      <c r="D23" s="59" t="inlineStr">
        <is>
          <t>BasketSellers</t>
        </is>
      </c>
      <c r="E23" s="59" t="inlineStr">
        <is>
          <t>lavender</t>
        </is>
      </c>
      <c r="F23" s="60" t="n"/>
    </row>
    <row r="24" ht="21.75" customHeight="1">
      <c r="A24" s="57" t="inlineStr">
        <is>
          <t>فروشنده سبد</t>
        </is>
      </c>
      <c r="B24" s="45" t="inlineStr">
        <is>
          <t>سایر</t>
        </is>
      </c>
      <c r="C24" s="58" t="inlineStr">
        <is>
          <t>S</t>
        </is>
      </c>
      <c r="D24" s="59" t="inlineStr">
        <is>
          <t>BasketSellers</t>
        </is>
      </c>
      <c r="E24" s="59" t="inlineStr">
        <is>
          <t>lavender</t>
        </is>
      </c>
      <c r="F24" s="60" t="n"/>
    </row>
    <row r="25" ht="21.75" customHeight="1">
      <c r="A25" s="57" t="inlineStr">
        <is>
          <t>تأمین‌کننده</t>
        </is>
      </c>
      <c r="B25" s="45" t="inlineStr">
        <is>
          <t>مواد بسته‌بندی</t>
        </is>
      </c>
      <c r="C25" s="58" t="inlineStr">
        <is>
          <t>S</t>
        </is>
      </c>
      <c r="D25" s="59" t="inlineStr">
        <is>
          <t>Suppliers</t>
        </is>
      </c>
      <c r="E25" s="59" t="inlineStr">
        <is>
          <t>peach</t>
        </is>
      </c>
      <c r="F25" s="60" t="n"/>
    </row>
    <row r="26" ht="21.75" customHeight="1">
      <c r="A26" s="57" t="inlineStr">
        <is>
          <t>تأمین‌کننده</t>
        </is>
      </c>
      <c r="B26" s="45" t="inlineStr">
        <is>
          <t>واکس و رنگ</t>
        </is>
      </c>
      <c r="C26" s="58" t="inlineStr">
        <is>
          <t>S</t>
        </is>
      </c>
      <c r="D26" s="59" t="inlineStr">
        <is>
          <t>Suppliers</t>
        </is>
      </c>
      <c r="E26" s="59" t="inlineStr">
        <is>
          <t>peach</t>
        </is>
      </c>
      <c r="F26" s="60" t="n"/>
    </row>
    <row r="27" ht="21.75" customHeight="1">
      <c r="A27" s="57" t="inlineStr">
        <is>
          <t>تأمین‌کننده</t>
        </is>
      </c>
      <c r="B27" s="45" t="inlineStr">
        <is>
          <t>حمل‌ونقل</t>
        </is>
      </c>
      <c r="C27" s="58" t="inlineStr">
        <is>
          <t>S</t>
        </is>
      </c>
      <c r="D27" s="59" t="inlineStr">
        <is>
          <t>Suppliers</t>
        </is>
      </c>
      <c r="E27" s="59" t="inlineStr">
        <is>
          <t>peach</t>
        </is>
      </c>
      <c r="F27" s="60" t="n"/>
    </row>
    <row r="28" ht="21.75" customHeight="1">
      <c r="A28" s="57" t="inlineStr">
        <is>
          <t>تأمین‌کننده</t>
        </is>
      </c>
      <c r="B28" s="45" t="inlineStr">
        <is>
          <t>خدمات</t>
        </is>
      </c>
      <c r="C28" s="58" t="inlineStr">
        <is>
          <t>S</t>
        </is>
      </c>
      <c r="D28" s="59" t="inlineStr">
        <is>
          <t>Suppliers</t>
        </is>
      </c>
      <c r="E28" s="59" t="inlineStr">
        <is>
          <t>peach</t>
        </is>
      </c>
      <c r="F28" s="60" t="n"/>
    </row>
    <row r="29" ht="21.75" customHeight="1">
      <c r="A29" s="57" t="inlineStr">
        <is>
          <t>کارمند</t>
        </is>
      </c>
      <c r="B29" s="45" t="inlineStr">
        <is>
          <t>مدیرعامل</t>
        </is>
      </c>
      <c r="C29" s="58" t="inlineStr">
        <is>
          <t>E</t>
        </is>
      </c>
      <c r="D29" s="59" t="inlineStr">
        <is>
          <t>Staff</t>
        </is>
      </c>
      <c r="E29" s="59" t="inlineStr">
        <is>
          <t>sand</t>
        </is>
      </c>
      <c r="F29" s="60" t="n"/>
    </row>
    <row r="30" ht="21.75" customHeight="1">
      <c r="A30" s="57" t="inlineStr">
        <is>
          <t>کارمند</t>
        </is>
      </c>
      <c r="B30" s="45" t="inlineStr">
        <is>
          <t>حسابدار</t>
        </is>
      </c>
      <c r="C30" s="58" t="inlineStr">
        <is>
          <t>E</t>
        </is>
      </c>
      <c r="D30" s="59" t="inlineStr">
        <is>
          <t>Staff</t>
        </is>
      </c>
      <c r="E30" s="59" t="inlineStr">
        <is>
          <t>sand</t>
        </is>
      </c>
      <c r="F30" s="60" t="n"/>
    </row>
    <row r="31" ht="21.75" customHeight="1">
      <c r="A31" s="57" t="inlineStr">
        <is>
          <t>کارمند</t>
        </is>
      </c>
      <c r="B31" s="45" t="inlineStr">
        <is>
          <t>فروشنده</t>
        </is>
      </c>
      <c r="C31" s="58" t="inlineStr">
        <is>
          <t>E</t>
        </is>
      </c>
      <c r="D31" s="59" t="inlineStr">
        <is>
          <t>Staff</t>
        </is>
      </c>
      <c r="E31" s="59" t="inlineStr">
        <is>
          <t>sand</t>
        </is>
      </c>
      <c r="F31" s="60" t="n"/>
    </row>
    <row r="32" ht="21.75" customHeight="1">
      <c r="A32" s="57" t="inlineStr">
        <is>
          <t>کارمند</t>
        </is>
      </c>
      <c r="B32" s="45" t="inlineStr">
        <is>
          <t>انباردار</t>
        </is>
      </c>
      <c r="C32" s="58" t="inlineStr">
        <is>
          <t>E</t>
        </is>
      </c>
      <c r="D32" s="59" t="inlineStr">
        <is>
          <t>Staff</t>
        </is>
      </c>
      <c r="E32" s="59" t="inlineStr">
        <is>
          <t>sand</t>
        </is>
      </c>
      <c r="F32" s="60" t="n"/>
    </row>
    <row r="33" ht="21.75" customHeight="1">
      <c r="A33" s="57" t="inlineStr">
        <is>
          <t>کارمند</t>
        </is>
      </c>
      <c r="B33" s="45" t="inlineStr">
        <is>
          <t>سرپرست خط</t>
        </is>
      </c>
      <c r="C33" s="58" t="inlineStr">
        <is>
          <t>E</t>
        </is>
      </c>
      <c r="D33" s="59" t="inlineStr">
        <is>
          <t>Staff</t>
        </is>
      </c>
      <c r="E33" s="59" t="inlineStr">
        <is>
          <t>sand</t>
        </is>
      </c>
      <c r="F33" s="60" t="n"/>
    </row>
    <row r="34" ht="21.75" customHeight="1">
      <c r="A34" s="57" t="inlineStr">
        <is>
          <t>کارمند</t>
        </is>
      </c>
      <c r="B34" s="45" t="inlineStr">
        <is>
          <t>کارگر</t>
        </is>
      </c>
      <c r="C34" s="58" t="inlineStr">
        <is>
          <t>E</t>
        </is>
      </c>
      <c r="D34" s="59" t="inlineStr">
        <is>
          <t>Staff</t>
        </is>
      </c>
      <c r="E34" s="59" t="inlineStr">
        <is>
          <t>sand</t>
        </is>
      </c>
      <c r="F34" s="60" t="n"/>
    </row>
    <row r="35" ht="21.75" customHeight="1">
      <c r="A35" s="57" t="inlineStr">
        <is>
          <t>سایر حساب</t>
        </is>
      </c>
      <c r="B35" s="45" t="inlineStr">
        <is>
          <t>صندوق</t>
        </is>
      </c>
      <c r="C35" s="58" t="inlineStr">
        <is>
          <t>X</t>
        </is>
      </c>
      <c r="D35" s="59" t="inlineStr">
        <is>
          <t>Other</t>
        </is>
      </c>
      <c r="E35" s="59" t="inlineStr">
        <is>
          <t>grey</t>
        </is>
      </c>
      <c r="F35" s="60" t="inlineStr">
        <is>
          <t>حساب معین</t>
        </is>
      </c>
    </row>
    <row r="36" ht="21.75" customHeight="1">
      <c r="A36" s="57" t="inlineStr">
        <is>
          <t>سایر حساب</t>
        </is>
      </c>
      <c r="B36" s="45" t="inlineStr">
        <is>
          <t>موجودی</t>
        </is>
      </c>
      <c r="C36" s="58" t="inlineStr">
        <is>
          <t>X</t>
        </is>
      </c>
      <c r="D36" s="59" t="inlineStr">
        <is>
          <t>Other</t>
        </is>
      </c>
      <c r="E36" s="59" t="inlineStr">
        <is>
          <t>grey</t>
        </is>
      </c>
      <c r="F36" s="60" t="inlineStr">
        <is>
          <t>حساب معین</t>
        </is>
      </c>
    </row>
    <row r="37" ht="21.75" customHeight="1">
      <c r="A37" s="57" t="inlineStr">
        <is>
          <t>سایر حساب</t>
        </is>
      </c>
      <c r="B37" s="45" t="inlineStr">
        <is>
          <t>درآمد</t>
        </is>
      </c>
      <c r="C37" s="58" t="inlineStr">
        <is>
          <t>X</t>
        </is>
      </c>
      <c r="D37" s="59" t="inlineStr">
        <is>
          <t>Other</t>
        </is>
      </c>
      <c r="E37" s="59" t="inlineStr">
        <is>
          <t>grey</t>
        </is>
      </c>
      <c r="F37" s="60" t="inlineStr">
        <is>
          <t>حساب معین</t>
        </is>
      </c>
    </row>
    <row r="38" ht="21.75" customHeight="1">
      <c r="A38" s="57" t="inlineStr">
        <is>
          <t>سایر حساب</t>
        </is>
      </c>
      <c r="B38" s="45" t="inlineStr">
        <is>
          <t>هزینه</t>
        </is>
      </c>
      <c r="C38" s="58" t="inlineStr">
        <is>
          <t>X</t>
        </is>
      </c>
      <c r="D38" s="59" t="inlineStr">
        <is>
          <t>Other</t>
        </is>
      </c>
      <c r="E38" s="59" t="inlineStr">
        <is>
          <t>grey</t>
        </is>
      </c>
      <c r="F38" s="60" t="inlineStr">
        <is>
          <t>حساب معین</t>
        </is>
      </c>
    </row>
    <row r="39" ht="21.75" customHeight="1">
      <c r="A39" s="57" t="inlineStr">
        <is>
          <t>سایر حساب</t>
        </is>
      </c>
      <c r="B39" s="45" t="inlineStr">
        <is>
          <t>انعام و پاداش</t>
        </is>
      </c>
      <c r="C39" s="58" t="inlineStr">
        <is>
          <t>X</t>
        </is>
      </c>
      <c r="D39" s="59" t="inlineStr">
        <is>
          <t>Other</t>
        </is>
      </c>
      <c r="E39" s="59" t="inlineStr">
        <is>
          <t>grey</t>
        </is>
      </c>
      <c r="F39" s="60" t="inlineStr">
        <is>
          <t>طرف حساب انعام مصطفی</t>
        </is>
      </c>
    </row>
    <row r="40" ht="21.75" customHeight="1">
      <c r="A40" s="57" t="inlineStr">
        <is>
          <t>سایر حساب</t>
        </is>
      </c>
      <c r="B40" s="45" t="inlineStr">
        <is>
          <t>چک پرداختی</t>
        </is>
      </c>
      <c r="C40" s="58" t="inlineStr">
        <is>
          <t>X</t>
        </is>
      </c>
      <c r="D40" s="59" t="inlineStr">
        <is>
          <t>Other</t>
        </is>
      </c>
      <c r="E40" s="59" t="inlineStr">
        <is>
          <t>grey</t>
        </is>
      </c>
      <c r="F40" s="60" t="inlineStr">
        <is>
          <t>حساب معین چک‌های در جریان</t>
        </is>
      </c>
    </row>
    <row r="41" ht="21.75" customHeight="1">
      <c r="A41" s="57" t="inlineStr">
        <is>
          <t>سایر حساب</t>
        </is>
      </c>
      <c r="B41" s="45" t="inlineStr">
        <is>
          <t>حساب واسط</t>
        </is>
      </c>
      <c r="C41" s="58" t="inlineStr">
        <is>
          <t>X</t>
        </is>
      </c>
      <c r="D41" s="59" t="inlineStr">
        <is>
          <t>Other</t>
        </is>
      </c>
      <c r="E41" s="59" t="inlineStr">
        <is>
          <t>grey</t>
        </is>
      </c>
      <c r="F41" s="60" t="inlineStr">
        <is>
          <t>حساب معین عملیات متفرقه</t>
        </is>
      </c>
    </row>
    <row r="42" ht="21.75" customHeight="1">
      <c r="A42" s="57" t="inlineStr">
        <is>
          <t>سایر حساب</t>
        </is>
      </c>
      <c r="B42" s="45" t="inlineStr">
        <is>
          <t>مالیات</t>
        </is>
      </c>
      <c r="C42" s="58" t="inlineStr">
        <is>
          <t>X</t>
        </is>
      </c>
      <c r="D42" s="59" t="inlineStr">
        <is>
          <t>Other</t>
        </is>
      </c>
      <c r="E42" s="59" t="inlineStr">
        <is>
          <t>grey</t>
        </is>
      </c>
      <c r="F42" s="60" t="n"/>
    </row>
    <row r="43" ht="21.75" customHeight="1">
      <c r="A43" s="57" t="inlineStr">
        <is>
          <t>باسکول دیگران</t>
        </is>
      </c>
      <c r="B43" s="45" t="inlineStr">
        <is>
          <t>باسکول محلی</t>
        </is>
      </c>
      <c r="C43" s="58" t="inlineStr">
        <is>
          <t>BD</t>
        </is>
      </c>
      <c r="D43" s="59" t="inlineStr">
        <is>
          <t>OtherScales</t>
        </is>
      </c>
      <c r="E43" s="59" t="inlineStr">
        <is>
          <t>sand</t>
        </is>
      </c>
      <c r="F43" s="60" t="inlineStr">
        <is>
          <t>هزینه باسکول این اشخاص بدهکار می‌شود</t>
        </is>
      </c>
    </row>
    <row r="44" ht="21.75" customHeight="1">
      <c r="A44" s="57" t="inlineStr">
        <is>
          <t>باسکول دیگران</t>
        </is>
      </c>
      <c r="B44" s="45" t="inlineStr">
        <is>
          <t>باسکول خصوصی</t>
        </is>
      </c>
      <c r="C44" s="58" t="inlineStr">
        <is>
          <t>BD</t>
        </is>
      </c>
      <c r="D44" s="59" t="inlineStr">
        <is>
          <t>OtherScales</t>
        </is>
      </c>
      <c r="E44" s="59" t="inlineStr">
        <is>
          <t>sand</t>
        </is>
      </c>
      <c r="F44" s="60" t="n"/>
    </row>
    <row r="45" ht="21.75" customHeight="1">
      <c r="A45" s="57" t="inlineStr">
        <is>
          <t>دارایی ثابت</t>
        </is>
      </c>
      <c r="B45" s="45" t="inlineStr">
        <is>
          <t>زمین و ساختمان</t>
        </is>
      </c>
      <c r="C45" s="58" t="inlineStr">
        <is>
          <t>F</t>
        </is>
      </c>
      <c r="D45" s="59" t="inlineStr">
        <is>
          <t>Assets</t>
        </is>
      </c>
      <c r="E45" s="59" t="inlineStr">
        <is>
          <t>sand</t>
        </is>
      </c>
      <c r="F45" s="60" t="n"/>
    </row>
    <row r="46" ht="21.75" customHeight="1">
      <c r="A46" s="57" t="inlineStr">
        <is>
          <t>دارایی ثابت</t>
        </is>
      </c>
      <c r="B46" s="45" t="inlineStr">
        <is>
          <t>خودرو و حمل‌ونقل</t>
        </is>
      </c>
      <c r="C46" s="58" t="inlineStr">
        <is>
          <t>F</t>
        </is>
      </c>
      <c r="D46" s="59" t="inlineStr">
        <is>
          <t>Assets</t>
        </is>
      </c>
      <c r="E46" s="59" t="inlineStr">
        <is>
          <t>sand</t>
        </is>
      </c>
      <c r="F46" s="60" t="n"/>
    </row>
    <row r="47" ht="21.75" customHeight="1">
      <c r="A47" s="57" t="inlineStr">
        <is>
          <t>دارایی ثابت</t>
        </is>
      </c>
      <c r="B47" s="45" t="inlineStr">
        <is>
          <t>ماشین‌آلات و تجهیزات</t>
        </is>
      </c>
      <c r="C47" s="58" t="inlineStr">
        <is>
          <t>F</t>
        </is>
      </c>
      <c r="D47" s="59" t="inlineStr">
        <is>
          <t>Assets</t>
        </is>
      </c>
      <c r="E47" s="59" t="inlineStr">
        <is>
          <t>sand</t>
        </is>
      </c>
      <c r="F47" s="60" t="n"/>
    </row>
    <row r="48" ht="21.75" customHeight="1">
      <c r="A48" s="57" t="inlineStr">
        <is>
          <t>وام و تسهیلات</t>
        </is>
      </c>
      <c r="B48" s="45" t="inlineStr">
        <is>
          <t>وام بانکی</t>
        </is>
      </c>
      <c r="C48" s="58" t="inlineStr">
        <is>
          <t>L</t>
        </is>
      </c>
      <c r="D48" s="59" t="inlineStr">
        <is>
          <t>Liabilities</t>
        </is>
      </c>
      <c r="E48" s="59" t="inlineStr">
        <is>
          <t>sand</t>
        </is>
      </c>
      <c r="F48" s="60" t="n"/>
    </row>
    <row r="49" ht="21.75" customHeight="1">
      <c r="A49" s="57" t="inlineStr">
        <is>
          <t>سرمایه و آورده صاحبان</t>
        </is>
      </c>
      <c r="B49" s="45" t="inlineStr">
        <is>
          <t>سرمایه اولیه</t>
        </is>
      </c>
      <c r="C49" s="58" t="inlineStr">
        <is>
          <t>CAP</t>
        </is>
      </c>
      <c r="D49" s="59" t="inlineStr">
        <is>
          <t>Equity</t>
        </is>
      </c>
      <c r="E49" s="59" t="inlineStr">
        <is>
          <t>sand</t>
        </is>
      </c>
      <c r="F49" s="60" t="n"/>
    </row>
    <row r="50" ht="21.75" customHeight="1">
      <c r="A50" s="57" t="inlineStr">
        <is>
          <t>سرمایه و آورده صاحبان</t>
        </is>
      </c>
      <c r="B50" s="45" t="inlineStr">
        <is>
          <t>آورده نقدی</t>
        </is>
      </c>
      <c r="C50" s="58" t="inlineStr">
        <is>
          <t>CAP</t>
        </is>
      </c>
      <c r="D50" s="59" t="inlineStr">
        <is>
          <t>Equity</t>
        </is>
      </c>
      <c r="E50" s="59" t="inlineStr">
        <is>
          <t>sand</t>
        </is>
      </c>
      <c r="F50" s="60" t="n"/>
    </row>
    <row r="51" ht="21.75" customHeight="1">
      <c r="A51" s="57" t="inlineStr">
        <is>
          <t>سرمایه و آورده صاحبان</t>
        </is>
      </c>
      <c r="B51" s="45" t="inlineStr">
        <is>
          <t>برداشت سرمایه</t>
        </is>
      </c>
      <c r="C51" s="58" t="inlineStr">
        <is>
          <t>CAP</t>
        </is>
      </c>
      <c r="D51" s="59" t="inlineStr">
        <is>
          <t>Equity</t>
        </is>
      </c>
      <c r="E51" s="59" t="inlineStr">
        <is>
          <t>sand</t>
        </is>
      </c>
      <c r="F51" s="60" t="n"/>
    </row>
  </sheetData>
  <autoFilter ref="A8:F52"/>
  <mergeCells count="23">
    <mergeCell ref="H20:I20"/>
    <mergeCell ref="G6:I6"/>
    <mergeCell ref="H10:I10"/>
    <mergeCell ref="G4:J4"/>
    <mergeCell ref="A1:E1"/>
    <mergeCell ref="A5:C5"/>
    <mergeCell ref="G5:I5"/>
    <mergeCell ref="H17:I17"/>
    <mergeCell ref="H11:I11"/>
    <mergeCell ref="D5:F5"/>
    <mergeCell ref="H16:I16"/>
    <mergeCell ref="H19:I19"/>
    <mergeCell ref="H13:I13"/>
    <mergeCell ref="H14:I14"/>
    <mergeCell ref="H12:I12"/>
    <mergeCell ref="H8:I8"/>
    <mergeCell ref="A3:J3"/>
    <mergeCell ref="A6:C6"/>
    <mergeCell ref="H15:I15"/>
    <mergeCell ref="H18:I18"/>
    <mergeCell ref="A2:J2"/>
    <mergeCell ref="F1:J1"/>
    <mergeCell ref="D6:F6"/>
  </mergeCells>
  <conditionalFormatting sqref="A10:A52">
    <cfRule type="expression" priority="1" dxfId="0">
      <formula>$A10="باغدار"</formula>
    </cfRule>
    <cfRule type="expression" priority="2" dxfId="1">
      <formula>$A10="بارفروش"</formula>
    </cfRule>
    <cfRule type="expression" priority="3" dxfId="2">
      <formula>$A10="فروشنده سبد"</formula>
    </cfRule>
    <cfRule type="expression" priority="4" dxfId="3">
      <formula>$A10="تأمین‌کننده"</formula>
    </cfRule>
    <cfRule type="expression" priority="5" dxfId="4">
      <formula>$A10="کارمند"</formula>
    </cfRule>
    <cfRule type="expression" priority="6" dxfId="5">
      <formula>$A10="سایر حساب"</formula>
    </cfRule>
    <cfRule type="expression" priority="7" dxfId="6">
      <formula>$A10="باسکول دیگران"</formula>
    </cfRule>
    <cfRule type="expression" priority="8" dxfId="7">
      <formula>$A10="دارایی ثابت"</formula>
    </cfRule>
    <cfRule type="expression" priority="9" dxfId="8">
      <formula>$A10="وام و تسهیلات"</formula>
    </cfRule>
    <cfRule type="expression" priority="10" dxfId="9">
      <formula>$A10="سرمایه و آورده صاحبان"</formula>
    </cfRule>
  </conditionalFormatting>
  <dataValidations count="3">
    <dataValidation sqref="A10:A52" showDropDown="0" showInputMessage="1" showErrorMessage="1" allowBlank="1" errorTitle="گروه نامعتبر" error="فقط یکی از ۱۰ گروه اصلی را انتخاب کنید." type="list">
      <formula1>ListGroups</formula1>
    </dataValidation>
    <dataValidation sqref="D10:D52" showDropDown="0" showInputMessage="1" showErrorMessage="1" allowBlank="1" type="list">
      <formula1>ListReportSheets</formula1>
    </dataValidation>
    <dataValidation sqref="E10:E52" showDropDown="0" showInputMessage="1" showErrorMessage="1" allowBlank="1" type="list">
      <formula1>ListColorKeys</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tabColor rgb="FF14453D"/>
    <outlinePr summaryBelow="1" summaryRight="1"/>
    <pageSetUpPr fitToPage="1"/>
  </sheetPr>
  <dimension ref="A1:P25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0.7109375" customWidth="1" min="1" max="1"/>
    <col width="15.7109375" customWidth="1" min="2" max="2"/>
    <col width="18.7109375" customWidth="1" min="3" max="3"/>
    <col width="27.7109375" customWidth="1" min="4" max="4"/>
    <col width="13.7109375" customWidth="1" min="5" max="6"/>
    <col width="28.7109375" customWidth="1" min="7" max="7"/>
    <col width="14.7109375" customWidth="1" min="8" max="8"/>
    <col width="11.7109375" customWidth="1" min="9" max="9"/>
    <col width="7.7109375" customWidth="1" min="10" max="10"/>
    <col width="21.7109375" customWidth="1" min="11" max="11"/>
    <col width="26.7109375" customWidth="1" min="12" max="12"/>
    <col width="7.7109375" customWidth="1" min="13" max="13"/>
  </cols>
  <sheetData>
    <row r="1" ht="20.25" customHeight="1">
      <c r="A1" s="138" t="inlineStr">
        <is>
          <t>مازندشت — سورتینگ و بسته‌بندی مرکبات</t>
        </is>
      </c>
      <c r="I1" s="132" t="inlineStr">
        <is>
          <t>MAZANDASHT  ·  CITRUS SORTING &amp; PACKING</t>
        </is>
      </c>
    </row>
    <row r="2" ht="38.25" customHeight="1">
      <c r="A2" s="133" t="inlineStr">
        <is>
          <t>دفتر حساب‌ها — همه صاحبان حساب در یک‌جا</t>
        </is>
      </c>
    </row>
    <row r="3" ht="45.75" customHeight="1">
      <c r="A3" s="134" t="inlineStr">
        <is>
          <t>باغدار، بارفروش، فروشنده سبد، تأمین‌کننده، کارمند، باسکول دیگران و حساب‌های معین  ·  کدها ثابت‌اند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حساب‌های تعریف‌شده</t>
        </is>
      </c>
      <c r="B5" s="140" t="n"/>
      <c r="C5" s="108" t="n"/>
      <c r="D5" s="5" t="inlineStr">
        <is>
          <t>باغداران</t>
        </is>
      </c>
      <c r="E5" s="140" t="n"/>
      <c r="F5" s="108" t="n"/>
      <c r="G5" s="5" t="inlineStr">
        <is>
          <t>بارفروشان</t>
        </is>
      </c>
      <c r="H5" s="140" t="n"/>
      <c r="I5" s="108" t="n"/>
      <c r="J5" s="5" t="inlineStr">
        <is>
          <t>فروشندگان سبد</t>
        </is>
      </c>
      <c r="K5" s="140" t="n"/>
      <c r="L5" s="108" t="n"/>
      <c r="M5" s="5" t="inlineStr">
        <is>
          <t>مانده بدهکار افتتاحیه</t>
        </is>
      </c>
    </row>
    <row r="6" ht="33" customHeight="1">
      <c r="A6" s="52">
        <f>COUNTIF($D$10:$D$259,"?*")</f>
        <v/>
      </c>
      <c r="B6" s="141" t="n"/>
      <c r="C6" s="109" t="n"/>
      <c r="D6" s="53">
        <f>COUNTIF($B$10:$B$259,"باغدار")</f>
        <v/>
      </c>
      <c r="E6" s="141" t="n"/>
      <c r="F6" s="109" t="n"/>
      <c r="G6" s="55">
        <f>COUNTIF($B$10:$B$259,"بارفروش")</f>
        <v/>
      </c>
      <c r="H6" s="141" t="n"/>
      <c r="I6" s="109" t="n"/>
      <c r="J6" s="54">
        <f>COUNTIF($B$10:$B$259,"فروشنده سبد")</f>
        <v/>
      </c>
      <c r="K6" s="141" t="n"/>
      <c r="L6" s="109" t="n"/>
      <c r="M6" s="62">
        <f>SUMIF($H$10:$H$259,"&gt;0")</f>
        <v/>
      </c>
    </row>
    <row r="7" ht="6.75" customHeight="1"/>
    <row r="8" ht="33.75" customHeight="1">
      <c r="A8" s="42" t="inlineStr">
        <is>
          <t>کد حساب</t>
        </is>
      </c>
      <c r="B8" s="42" t="inlineStr">
        <is>
          <t>گروه (ماهیت)</t>
        </is>
      </c>
      <c r="C8" s="42" t="inlineStr">
        <is>
          <t>زیرگروه</t>
        </is>
      </c>
      <c r="D8" s="42" t="inlineStr">
        <is>
          <t>نام صاحب حساب</t>
        </is>
      </c>
      <c r="E8" s="42" t="inlineStr">
        <is>
          <t>تلفن</t>
        </is>
      </c>
      <c r="F8" s="42" t="inlineStr">
        <is>
          <t>همراه</t>
        </is>
      </c>
      <c r="G8" s="42" t="inlineStr">
        <is>
          <t>نشانی</t>
        </is>
      </c>
      <c r="H8" s="42" t="inlineStr">
        <is>
          <t>مانده اولیه</t>
        </is>
      </c>
      <c r="I8" s="42" t="inlineStr">
        <is>
          <t>نوع حساب</t>
        </is>
      </c>
      <c r="J8" s="42" t="inlineStr">
        <is>
          <t>فعال</t>
        </is>
      </c>
      <c r="K8" s="42" t="inlineStr">
        <is>
          <t>گروه کد (خودکار)</t>
        </is>
      </c>
      <c r="L8" s="42" t="inlineStr">
        <is>
          <t>توضیحات</t>
        </is>
      </c>
      <c r="M8" s="42" t="inlineStr">
        <is>
          <t>بررسی</t>
        </is>
      </c>
    </row>
    <row r="9">
      <c r="A9" s="43" t="inlineStr">
        <is>
          <t>Code</t>
        </is>
      </c>
      <c r="B9" s="43" t="inlineStr">
        <is>
          <t>Group</t>
        </is>
      </c>
      <c r="C9" s="43" t="inlineStr">
        <is>
          <t>Subgroup</t>
        </is>
      </c>
      <c r="D9" s="43" t="inlineStr">
        <is>
          <t>Account Holder</t>
        </is>
      </c>
      <c r="E9" s="43" t="inlineStr">
        <is>
          <t>Phone</t>
        </is>
      </c>
      <c r="F9" s="43" t="inlineStr">
        <is>
          <t>Mobile</t>
        </is>
      </c>
      <c r="G9" s="43" t="inlineStr">
        <is>
          <t>Address</t>
        </is>
      </c>
      <c r="H9" s="43" t="inlineStr">
        <is>
          <t>Opening</t>
        </is>
      </c>
      <c r="I9" s="43" t="inlineStr">
        <is>
          <t>Type</t>
        </is>
      </c>
      <c r="J9" s="43" t="inlineStr">
        <is>
          <t>Active</t>
        </is>
      </c>
      <c r="K9" s="162" t="inlineStr">
        <is>
          <t>راهنمای باسکول دیگران</t>
        </is>
      </c>
      <c r="L9" s="163" t="n"/>
      <c r="M9" s="163" t="n"/>
      <c r="N9" s="163" t="n"/>
      <c r="O9" s="163" t="n"/>
      <c r="P9" s="164" t="n"/>
    </row>
    <row r="10" ht="21" customHeight="1">
      <c r="A10" s="63" t="inlineStr">
        <is>
          <t>C001</t>
        </is>
      </c>
      <c r="B10" s="64" t="inlineStr">
        <is>
          <t>باغدار</t>
        </is>
      </c>
      <c r="C10" s="65" t="inlineStr">
        <is>
          <t>عمده</t>
        </is>
      </c>
      <c r="D10" s="65" t="inlineStr">
        <is>
          <t>زینب زاهدی</t>
        </is>
      </c>
      <c r="E10" s="65" t="inlineStr">
        <is>
          <t>011-33330001</t>
        </is>
      </c>
      <c r="F10" s="65" t="inlineStr">
        <is>
          <t>09110000001</t>
        </is>
      </c>
      <c r="G10" s="65" t="inlineStr">
        <is>
          <t>بابل — میدان مرکبات</t>
        </is>
      </c>
      <c r="H10" s="142" t="n">
        <v>0</v>
      </c>
      <c r="I10" s="64" t="inlineStr">
        <is>
          <t>طرف حساب</t>
        </is>
      </c>
      <c r="J10" s="64" t="inlineStr">
        <is>
          <t>بله</t>
        </is>
      </c>
      <c r="K10" s="165" t="inlineStr">
        <is>
          <t>این اشخاص، طرف حساب «باسکول دیگران» هستند: در فایل 02_Bank با نوع «دریافت/پرداخت باسکول دیگران» انتخاب می‌شوند و مانده بدهی هر کدام در شیت Payable همان فایل و در گزارش گروه‌ها (01_Entry ← GRep) دیده می‌شود. برای شخص جدید، نخستین کد خالی BD را پر کنید.</t>
        </is>
      </c>
    </row>
    <row r="11" ht="21" customHeight="1">
      <c r="A11" s="63" t="inlineStr">
        <is>
          <t>C002</t>
        </is>
      </c>
      <c r="B11" s="64" t="inlineStr">
        <is>
          <t>باغدار</t>
        </is>
      </c>
      <c r="C11" s="65" t="inlineStr">
        <is>
          <t>صادراتی</t>
        </is>
      </c>
      <c r="D11" s="65" t="inlineStr">
        <is>
          <t>سید عباس موسوی</t>
        </is>
      </c>
      <c r="E11" s="65" t="inlineStr">
        <is>
          <t>011-33330002</t>
        </is>
      </c>
      <c r="F11" s="65" t="inlineStr">
        <is>
          <t>09110000002</t>
        </is>
      </c>
      <c r="G11" s="65" t="inlineStr">
        <is>
          <t>ساری — شهرک صنعتی</t>
        </is>
      </c>
      <c r="H11" s="142" t="n">
        <v>0</v>
      </c>
      <c r="I11" s="64" t="inlineStr">
        <is>
          <t>طرف حساب</t>
        </is>
      </c>
      <c r="J11" s="64" t="inlineStr">
        <is>
          <t>بله</t>
        </is>
      </c>
    </row>
    <row r="12" ht="21" customHeight="1">
      <c r="A12" s="63" t="inlineStr">
        <is>
          <t>C003</t>
        </is>
      </c>
      <c r="B12" s="64" t="inlineStr">
        <is>
          <t>باغدار</t>
        </is>
      </c>
      <c r="C12" s="65" t="inlineStr">
        <is>
          <t>خرده‌فروش</t>
        </is>
      </c>
      <c r="D12" s="65" t="inlineStr">
        <is>
          <t>حاج احمد عیسی پور</t>
        </is>
      </c>
      <c r="E12" s="65" t="inlineStr">
        <is>
          <t>011-33330003</t>
        </is>
      </c>
      <c r="F12" s="65" t="inlineStr">
        <is>
          <t>09110000003</t>
        </is>
      </c>
      <c r="G12" s="65" t="inlineStr">
        <is>
          <t>قائم‌شهر — خیابان طالب آملی</t>
        </is>
      </c>
      <c r="H12" s="142" t="n">
        <v>0</v>
      </c>
      <c r="I12" s="64" t="inlineStr">
        <is>
          <t>طرف حساب</t>
        </is>
      </c>
      <c r="J12" s="64" t="inlineStr">
        <is>
          <t>بله</t>
        </is>
      </c>
    </row>
    <row r="13" ht="21" customHeight="1">
      <c r="A13" s="63" t="inlineStr">
        <is>
          <t>C004</t>
        </is>
      </c>
      <c r="B13" s="64" t="inlineStr">
        <is>
          <t>باغدار</t>
        </is>
      </c>
      <c r="C13" s="65" t="n"/>
      <c r="D13" s="65" t="inlineStr">
        <is>
          <t>امید زاهدی</t>
        </is>
      </c>
      <c r="E13" s="65" t="n"/>
      <c r="F13" s="65" t="n"/>
      <c r="G13" s="65" t="n"/>
      <c r="H13" s="142" t="n">
        <v>0</v>
      </c>
      <c r="I13" s="64" t="inlineStr">
        <is>
          <t>طرف حساب</t>
        </is>
      </c>
      <c r="J13" s="64" t="inlineStr">
        <is>
          <t>بله</t>
        </is>
      </c>
    </row>
    <row r="14" ht="21" customHeight="1">
      <c r="A14" s="63" t="inlineStr">
        <is>
          <t>C005</t>
        </is>
      </c>
      <c r="B14" s="64" t="inlineStr">
        <is>
          <t>باغدار</t>
        </is>
      </c>
      <c r="C14" s="65" t="n"/>
      <c r="D14" s="65" t="inlineStr">
        <is>
          <t>بار شخصی قاسم زاهدی</t>
        </is>
      </c>
      <c r="E14" s="65" t="n"/>
      <c r="F14" s="65" t="n"/>
      <c r="G14" s="65" t="n"/>
      <c r="H14" s="142" t="n">
        <v>0</v>
      </c>
      <c r="I14" s="64" t="inlineStr">
        <is>
          <t>طرف حساب</t>
        </is>
      </c>
      <c r="J14" s="64" t="inlineStr">
        <is>
          <t>بله</t>
        </is>
      </c>
    </row>
    <row r="15" ht="21" customHeight="1">
      <c r="A15" s="63" t="inlineStr">
        <is>
          <t>C006</t>
        </is>
      </c>
      <c r="B15" s="64" t="inlineStr">
        <is>
          <t>باغدار</t>
        </is>
      </c>
      <c r="C15" s="65" t="n"/>
      <c r="D15" s="65" t="inlineStr">
        <is>
          <t>هوشنگ عیسی پور</t>
        </is>
      </c>
      <c r="E15" s="65" t="n"/>
      <c r="F15" s="65" t="n"/>
      <c r="G15" s="65" t="n"/>
      <c r="H15" s="142" t="n">
        <v>0</v>
      </c>
      <c r="I15" s="64" t="inlineStr">
        <is>
          <t>طرف حساب</t>
        </is>
      </c>
      <c r="J15" s="64" t="inlineStr">
        <is>
          <t>بله</t>
        </is>
      </c>
      <c r="K15">
        <f>IF($A15="","",IF(LEFT($A15,3)="CAP","سرمایه و آورده صاحبان",IF(LEFT($A15,2)="SL","بارفروش",IF(LEFT($A15,2)="BD","باسکول دیگران",IF(LEFT($A15,1)="C","باغدار",IF(LEFT($A15,1)="S","فروشنده سبد/تأمین‌کننده",IF(LEFT($A15,1)="E","کارمند",IF(LEFT($A15,1)="X","سایر حساب",IF(LEFT($A15,1)="F","دارایی ثابت",IF(LEFT($A15,1)="L","وام و تسهیلات",""))))))))))</f>
        <v/>
      </c>
      <c r="L15" s="65" t="n"/>
      <c r="M15">
        <f>IF(OR($B15="",$A15=""),"",IF(OR($B15=$K15,AND(LEFT($A15,1)="S",OR($B15="فروشنده سبد",$B15="تأمین‌کننده")),AND(LEFT($A15,2)="BD",$B15="باسکول دیگران")),"✓","⚠"))</f>
        <v/>
      </c>
    </row>
    <row r="16" ht="21" customHeight="1">
      <c r="A16" s="63" t="inlineStr">
        <is>
          <t>C007</t>
        </is>
      </c>
      <c r="B16" s="64" t="inlineStr">
        <is>
          <t>باغدار</t>
        </is>
      </c>
      <c r="C16" s="65" t="n"/>
      <c r="D16" s="65" t="inlineStr">
        <is>
          <t>علی آهنگر</t>
        </is>
      </c>
      <c r="E16" s="65" t="n"/>
      <c r="F16" s="65" t="n"/>
      <c r="G16" s="65" t="n"/>
      <c r="H16" s="142" t="n">
        <v>0</v>
      </c>
      <c r="I16" s="64" t="inlineStr">
        <is>
          <t>طرف حساب</t>
        </is>
      </c>
      <c r="J16" s="64" t="inlineStr">
        <is>
          <t>بله</t>
        </is>
      </c>
      <c r="K16">
        <f>IF($A16="","",IF(LEFT($A16,3)="CAP","سرمایه و آورده صاحبان",IF(LEFT($A16,2)="SL","بارفروش",IF(LEFT($A16,2)="BD","باسکول دیگران",IF(LEFT($A16,1)="C","باغدار",IF(LEFT($A16,1)="S","فروشنده سبد/تأمین‌کننده",IF(LEFT($A16,1)="E","کارمند",IF(LEFT($A16,1)="X","سایر حساب",IF(LEFT($A16,1)="F","دارایی ثابت",IF(LEFT($A16,1)="L","وام و تسهیلات",""))))))))))</f>
        <v/>
      </c>
      <c r="L16" s="65" t="n"/>
      <c r="M16">
        <f>IF(OR($B16="",$A16=""),"",IF(OR($B16=$K16,AND(LEFT($A16,1)="S",OR($B16="فروشنده سبد",$B16="تأمین‌کننده")),AND(LEFT($A16,2)="BD",$B16="باسکول دیگران")),"✓","⚠"))</f>
        <v/>
      </c>
    </row>
    <row r="17" ht="21" customHeight="1">
      <c r="A17" s="63" t="inlineStr">
        <is>
          <t>C008</t>
        </is>
      </c>
      <c r="B17" s="64" t="inlineStr">
        <is>
          <t>باغدار</t>
        </is>
      </c>
      <c r="C17" s="65" t="n"/>
      <c r="D17" s="65" t="inlineStr">
        <is>
          <t>صفدر مسلمی</t>
        </is>
      </c>
      <c r="E17" s="65" t="n"/>
      <c r="F17" s="65" t="n"/>
      <c r="G17" s="65" t="n"/>
      <c r="H17" s="142" t="n">
        <v>0</v>
      </c>
      <c r="I17" s="64" t="inlineStr">
        <is>
          <t>طرف حساب</t>
        </is>
      </c>
      <c r="J17" s="64" t="inlineStr">
        <is>
          <t>بله</t>
        </is>
      </c>
      <c r="K17">
        <f>IF($A17="","",IF(LEFT($A17,3)="CAP","سرمایه و آورده صاحبان",IF(LEFT($A17,2)="SL","بارفروش",IF(LEFT($A17,2)="BD","باسکول دیگران",IF(LEFT($A17,1)="C","باغدار",IF(LEFT($A17,1)="S","فروشنده سبد/تأمین‌کننده",IF(LEFT($A17,1)="E","کارمند",IF(LEFT($A17,1)="X","سایر حساب",IF(LEFT($A17,1)="F","دارایی ثابت",IF(LEFT($A17,1)="L","وام و تسهیلات",""))))))))))</f>
        <v/>
      </c>
      <c r="L17" s="65" t="n"/>
      <c r="M17">
        <f>IF(OR($B17="",$A17=""),"",IF(OR($B17=$K17,AND(LEFT($A17,1)="S",OR($B17="فروشنده سبد",$B17="تأمین‌کننده")),AND(LEFT($A17,2)="BD",$B17="باسکول دیگران")),"✓","⚠"))</f>
        <v/>
      </c>
    </row>
    <row r="18" ht="21" customHeight="1">
      <c r="A18" s="63" t="inlineStr">
        <is>
          <t>C009</t>
        </is>
      </c>
      <c r="B18" s="64" t="inlineStr">
        <is>
          <t>باغدار</t>
        </is>
      </c>
      <c r="C18" s="65" t="n"/>
      <c r="D18" s="65" t="inlineStr">
        <is>
          <t>همایون بابایی</t>
        </is>
      </c>
      <c r="E18" s="65" t="n"/>
      <c r="F18" s="65" t="n"/>
      <c r="G18" s="65" t="n"/>
      <c r="H18" s="142" t="n">
        <v>0</v>
      </c>
      <c r="I18" s="64" t="inlineStr">
        <is>
          <t>طرف حساب</t>
        </is>
      </c>
      <c r="J18" s="64" t="inlineStr">
        <is>
          <t>بله</t>
        </is>
      </c>
      <c r="K18">
        <f>IF($A18="","",IF(LEFT($A18,3)="CAP","سرمایه و آورده صاحبان",IF(LEFT($A18,2)="SL","بارفروش",IF(LEFT($A18,2)="BD","باسکول دیگران",IF(LEFT($A18,1)="C","باغدار",IF(LEFT($A18,1)="S","فروشنده سبد/تأمین‌کننده",IF(LEFT($A18,1)="E","کارمند",IF(LEFT($A18,1)="X","سایر حساب",IF(LEFT($A18,1)="F","دارایی ثابت",IF(LEFT($A18,1)="L","وام و تسهیلات",""))))))))))</f>
        <v/>
      </c>
      <c r="L18" s="65" t="n"/>
      <c r="M18">
        <f>IF(OR($B18="",$A18=""),"",IF(OR($B18=$K18,AND(LEFT($A18,1)="S",OR($B18="فروشنده سبد",$B18="تأمین‌کننده")),AND(LEFT($A18,2)="BD",$B18="باسکول دیگران")),"✓","⚠"))</f>
        <v/>
      </c>
    </row>
    <row r="19" ht="21" customHeight="1">
      <c r="A19" s="63" t="inlineStr">
        <is>
          <t>C010</t>
        </is>
      </c>
      <c r="B19" s="64" t="inlineStr">
        <is>
          <t>باغدار</t>
        </is>
      </c>
      <c r="C19" s="65" t="n"/>
      <c r="D19" s="65" t="inlineStr">
        <is>
          <t>دبیر فرجی</t>
        </is>
      </c>
      <c r="E19" s="65" t="n"/>
      <c r="F19" s="65" t="n"/>
      <c r="G19" s="65" t="n"/>
      <c r="H19" s="142" t="n">
        <v>0</v>
      </c>
      <c r="I19" s="64" t="inlineStr">
        <is>
          <t>طرف حساب</t>
        </is>
      </c>
      <c r="J19" s="64" t="inlineStr">
        <is>
          <t>بله</t>
        </is>
      </c>
      <c r="K19">
        <f>IF($A19="","",IF(LEFT($A19,3)="CAP","سرمایه و آورده صاحبان",IF(LEFT($A19,2)="SL","بارفروش",IF(LEFT($A19,2)="BD","باسکول دیگران",IF(LEFT($A19,1)="C","باغدار",IF(LEFT($A19,1)="S","فروشنده سبد/تأمین‌کننده",IF(LEFT($A19,1)="E","کارمند",IF(LEFT($A19,1)="X","سایر حساب",IF(LEFT($A19,1)="F","دارایی ثابت",IF(LEFT($A19,1)="L","وام و تسهیلات",""))))))))))</f>
        <v/>
      </c>
      <c r="L19" s="65" t="n"/>
      <c r="M19">
        <f>IF(OR($B19="",$A19=""),"",IF(OR($B19=$K19,AND(LEFT($A19,1)="S",OR($B19="فروشنده سبد",$B19="تأمین‌کننده")),AND(LEFT($A19,2)="BD",$B19="باسکول دیگران")),"✓","⚠"))</f>
        <v/>
      </c>
    </row>
    <row r="20" ht="21" customHeight="1">
      <c r="A20" s="63" t="inlineStr">
        <is>
          <t>C011</t>
        </is>
      </c>
      <c r="B20" s="64" t="inlineStr">
        <is>
          <t>باغدار</t>
        </is>
      </c>
      <c r="C20" s="65" t="n"/>
      <c r="D20" s="65" t="inlineStr">
        <is>
          <t>محمود علیجانی</t>
        </is>
      </c>
      <c r="E20" s="65" t="n"/>
      <c r="F20" s="65" t="n"/>
      <c r="G20" s="65" t="n"/>
      <c r="H20" s="142" t="n">
        <v>0</v>
      </c>
      <c r="I20" s="64" t="inlineStr">
        <is>
          <t>طرف حساب</t>
        </is>
      </c>
      <c r="J20" s="64" t="inlineStr">
        <is>
          <t>بله</t>
        </is>
      </c>
      <c r="K20">
        <f>IF($A20="","",IF(LEFT($A20,3)="CAP","سرمایه و آورده صاحبان",IF(LEFT($A20,2)="SL","بارفروش",IF(LEFT($A20,2)="BD","باسکول دیگران",IF(LEFT($A20,1)="C","باغدار",IF(LEFT($A20,1)="S","فروشنده سبد/تأمین‌کننده",IF(LEFT($A20,1)="E","کارمند",IF(LEFT($A20,1)="X","سایر حساب",IF(LEFT($A20,1)="F","دارایی ثابت",IF(LEFT($A20,1)="L","وام و تسهیلات",""))))))))))</f>
        <v/>
      </c>
      <c r="L20" s="65" t="n"/>
      <c r="M20">
        <f>IF(OR($B20="",$A20=""),"",IF(OR($B20=$K20,AND(LEFT($A20,1)="S",OR($B20="فروشنده سبد",$B20="تأمین‌کننده")),AND(LEFT($A20,2)="BD",$B20="باسکول دیگران")),"✓","⚠"))</f>
        <v/>
      </c>
    </row>
    <row r="21" ht="21" customHeight="1">
      <c r="A21" s="63" t="inlineStr">
        <is>
          <t>C012</t>
        </is>
      </c>
      <c r="B21" s="64" t="inlineStr">
        <is>
          <t>باغدار</t>
        </is>
      </c>
      <c r="C21" s="65" t="n"/>
      <c r="D21" s="65" t="inlineStr">
        <is>
          <t>افشین بشتکار</t>
        </is>
      </c>
      <c r="E21" s="65" t="n"/>
      <c r="F21" s="65" t="n"/>
      <c r="G21" s="65" t="n"/>
      <c r="H21" s="142" t="n">
        <v>0</v>
      </c>
      <c r="I21" s="64" t="inlineStr">
        <is>
          <t>طرف حساب</t>
        </is>
      </c>
      <c r="J21" s="64" t="inlineStr">
        <is>
          <t>بله</t>
        </is>
      </c>
      <c r="K21">
        <f>IF($A21="","",IF(LEFT($A21,3)="CAP","سرمایه و آورده صاحبان",IF(LEFT($A21,2)="SL","بارفروش",IF(LEFT($A21,2)="BD","باسکول دیگران",IF(LEFT($A21,1)="C","باغدار",IF(LEFT($A21,1)="S","فروشنده سبد/تأمین‌کننده",IF(LEFT($A21,1)="E","کارمند",IF(LEFT($A21,1)="X","سایر حساب",IF(LEFT($A21,1)="F","دارایی ثابت",IF(LEFT($A21,1)="L","وام و تسهیلات",""))))))))))</f>
        <v/>
      </c>
      <c r="L21" s="65" t="n"/>
      <c r="M21">
        <f>IF(OR($B21="",$A21=""),"",IF(OR($B21=$K21,AND(LEFT($A21,1)="S",OR($B21="فروشنده سبد",$B21="تأمین‌کننده")),AND(LEFT($A21,2)="BD",$B21="باسکول دیگران")),"✓","⚠"))</f>
        <v/>
      </c>
    </row>
    <row r="22" ht="21" customHeight="1">
      <c r="A22" s="63" t="inlineStr">
        <is>
          <t>C013</t>
        </is>
      </c>
      <c r="B22" s="64" t="inlineStr">
        <is>
          <t>باغدار</t>
        </is>
      </c>
      <c r="C22" s="65" t="n"/>
      <c r="D22" s="65" t="inlineStr">
        <is>
          <t>میرقربان موسویان</t>
        </is>
      </c>
      <c r="E22" s="65" t="n"/>
      <c r="F22" s="65" t="n"/>
      <c r="G22" s="65" t="n"/>
      <c r="H22" s="142" t="n">
        <v>0</v>
      </c>
      <c r="I22" s="64" t="inlineStr">
        <is>
          <t>طرف حساب</t>
        </is>
      </c>
      <c r="J22" s="64" t="inlineStr">
        <is>
          <t>بله</t>
        </is>
      </c>
      <c r="K22">
        <f>IF($A22="","",IF(LEFT($A22,3)="CAP","سرمایه و آورده صاحبان",IF(LEFT($A22,2)="SL","بارفروش",IF(LEFT($A22,2)="BD","باسکول دیگران",IF(LEFT($A22,1)="C","باغدار",IF(LEFT($A22,1)="S","فروشنده سبد/تأمین‌کننده",IF(LEFT($A22,1)="E","کارمند",IF(LEFT($A22,1)="X","سایر حساب",IF(LEFT($A22,1)="F","دارایی ثابت",IF(LEFT($A22,1)="L","وام و تسهیلات",""))))))))))</f>
        <v/>
      </c>
      <c r="L22" s="65" t="n"/>
      <c r="M22">
        <f>IF(OR($B22="",$A22=""),"",IF(OR($B22=$K22,AND(LEFT($A22,1)="S",OR($B22="فروشنده سبد",$B22="تأمین‌کننده")),AND(LEFT($A22,2)="BD",$B22="باسکول دیگران")),"✓","⚠"))</f>
        <v/>
      </c>
    </row>
    <row r="23" ht="21" customHeight="1">
      <c r="A23" s="63" t="inlineStr">
        <is>
          <t>C014</t>
        </is>
      </c>
      <c r="B23" s="64" t="inlineStr">
        <is>
          <t>باغدار</t>
        </is>
      </c>
      <c r="C23" s="65" t="n"/>
      <c r="D23" s="65" t="inlineStr">
        <is>
          <t>باباجانی (تراجیکلا)</t>
        </is>
      </c>
      <c r="E23" s="65" t="n"/>
      <c r="F23" s="65" t="n"/>
      <c r="G23" s="65" t="n"/>
      <c r="H23" s="142" t="n">
        <v>0</v>
      </c>
      <c r="I23" s="64" t="inlineStr">
        <is>
          <t>طرف حساب</t>
        </is>
      </c>
      <c r="J23" s="64" t="inlineStr">
        <is>
          <t>بله</t>
        </is>
      </c>
      <c r="K23">
        <f>IF($A23="","",IF(LEFT($A23,3)="CAP","سرمایه و آورده صاحبان",IF(LEFT($A23,2)="SL","بارفروش",IF(LEFT($A23,2)="BD","باسکول دیگران",IF(LEFT($A23,1)="C","باغدار",IF(LEFT($A23,1)="S","فروشنده سبد/تأمین‌کننده",IF(LEFT($A23,1)="E","کارمند",IF(LEFT($A23,1)="X","سایر حساب",IF(LEFT($A23,1)="F","دارایی ثابت",IF(LEFT($A23,1)="L","وام و تسهیلات",""))))))))))</f>
        <v/>
      </c>
      <c r="L23" s="65" t="n"/>
      <c r="M23">
        <f>IF(OR($B23="",$A23=""),"",IF(OR($B23=$K23,AND(LEFT($A23,1)="S",OR($B23="فروشنده سبد",$B23="تأمین‌کننده")),AND(LEFT($A23,2)="BD",$B23="باسکول دیگران")),"✓","⚠"))</f>
        <v/>
      </c>
    </row>
    <row r="24" ht="21" customHeight="1">
      <c r="A24" s="63" t="inlineStr">
        <is>
          <t>C015</t>
        </is>
      </c>
      <c r="B24" s="64" t="inlineStr">
        <is>
          <t>باغدار</t>
        </is>
      </c>
      <c r="C24" s="65" t="n"/>
      <c r="D24" s="65" t="inlineStr">
        <is>
          <t>کاظم میرزازاده</t>
        </is>
      </c>
      <c r="E24" s="65" t="n"/>
      <c r="F24" s="65" t="n"/>
      <c r="G24" s="65" t="n"/>
      <c r="H24" s="142" t="n">
        <v>0</v>
      </c>
      <c r="I24" s="64" t="inlineStr">
        <is>
          <t>طرف حساب</t>
        </is>
      </c>
      <c r="J24" s="64" t="inlineStr">
        <is>
          <t>بله</t>
        </is>
      </c>
      <c r="K24">
        <f>IF($A24="","",IF(LEFT($A24,3)="CAP","سرمایه و آورده صاحبان",IF(LEFT($A24,2)="SL","بارفروش",IF(LEFT($A24,2)="BD","باسکول دیگران",IF(LEFT($A24,1)="C","باغدار",IF(LEFT($A24,1)="S","فروشنده سبد/تأمین‌کننده",IF(LEFT($A24,1)="E","کارمند",IF(LEFT($A24,1)="X","سایر حساب",IF(LEFT($A24,1)="F","دارایی ثابت",IF(LEFT($A24,1)="L","وام و تسهیلات",""))))))))))</f>
        <v/>
      </c>
      <c r="L24" s="65" t="n"/>
      <c r="M24">
        <f>IF(OR($B24="",$A24=""),"",IF(OR($B24=$K24,AND(LEFT($A24,1)="S",OR($B24="فروشنده سبد",$B24="تأمین‌کننده")),AND(LEFT($A24,2)="BD",$B24="باسکول دیگران")),"✓","⚠"))</f>
        <v/>
      </c>
    </row>
    <row r="25" ht="21" customHeight="1">
      <c r="A25" s="63" t="inlineStr">
        <is>
          <t>C016</t>
        </is>
      </c>
      <c r="B25" s="64" t="inlineStr">
        <is>
          <t>باغدار</t>
        </is>
      </c>
      <c r="C25" s="65" t="n"/>
      <c r="D25" s="65" t="inlineStr">
        <is>
          <t>علی جانبرارپور</t>
        </is>
      </c>
      <c r="E25" s="65" t="n"/>
      <c r="F25" s="65" t="n"/>
      <c r="G25" s="65" t="n"/>
      <c r="H25" s="142" t="n">
        <v>0</v>
      </c>
      <c r="I25" s="64" t="inlineStr">
        <is>
          <t>طرف حساب</t>
        </is>
      </c>
      <c r="J25" s="64" t="inlineStr">
        <is>
          <t>بله</t>
        </is>
      </c>
      <c r="K25">
        <f>IF($A25="","",IF(LEFT($A25,3)="CAP","سرمایه و آورده صاحبان",IF(LEFT($A25,2)="SL","بارفروش",IF(LEFT($A25,2)="BD","باسکول دیگران",IF(LEFT($A25,1)="C","باغدار",IF(LEFT($A25,1)="S","فروشنده سبد/تأمین‌کننده",IF(LEFT($A25,1)="E","کارمند",IF(LEFT($A25,1)="X","سایر حساب",IF(LEFT($A25,1)="F","دارایی ثابت",IF(LEFT($A25,1)="L","وام و تسهیلات",""))))))))))</f>
        <v/>
      </c>
      <c r="L25" s="65" t="n"/>
      <c r="M25">
        <f>IF(OR($B25="",$A25=""),"",IF(OR($B25=$K25,AND(LEFT($A25,1)="S",OR($B25="فروشنده سبد",$B25="تأمین‌کننده")),AND(LEFT($A25,2)="BD",$B25="باسکول دیگران")),"✓","⚠"))</f>
        <v/>
      </c>
    </row>
    <row r="26" ht="21" customHeight="1">
      <c r="A26" s="63" t="inlineStr">
        <is>
          <t>C017</t>
        </is>
      </c>
      <c r="B26" s="64" t="inlineStr">
        <is>
          <t>باغدار</t>
        </is>
      </c>
      <c r="C26" s="65" t="n"/>
      <c r="D26" s="65" t="inlineStr">
        <is>
          <t>لیلا محمودنیا</t>
        </is>
      </c>
      <c r="E26" s="65" t="n"/>
      <c r="F26" s="65" t="n"/>
      <c r="G26" s="65" t="n"/>
      <c r="H26" s="142" t="n">
        <v>0</v>
      </c>
      <c r="I26" s="64" t="inlineStr">
        <is>
          <t>طرف حساب</t>
        </is>
      </c>
      <c r="J26" s="64" t="inlineStr">
        <is>
          <t>بله</t>
        </is>
      </c>
      <c r="K26">
        <f>IF($A26="","",IF(LEFT($A26,3)="CAP","سرمایه و آورده صاحبان",IF(LEFT($A26,2)="SL","بارفروش",IF(LEFT($A26,2)="BD","باسکول دیگران",IF(LEFT($A26,1)="C","باغدار",IF(LEFT($A26,1)="S","فروشنده سبد/تأمین‌کننده",IF(LEFT($A26,1)="E","کارمند",IF(LEFT($A26,1)="X","سایر حساب",IF(LEFT($A26,1)="F","دارایی ثابت",IF(LEFT($A26,1)="L","وام و تسهیلات",""))))))))))</f>
        <v/>
      </c>
      <c r="L26" s="65" t="n"/>
      <c r="M26">
        <f>IF(OR($B26="",$A26=""),"",IF(OR($B26=$K26,AND(LEFT($A26,1)="S",OR($B26="فروشنده سبد",$B26="تأمین‌کننده")),AND(LEFT($A26,2)="BD",$B26="باسکول دیگران")),"✓","⚠"))</f>
        <v/>
      </c>
    </row>
    <row r="27" ht="21" customHeight="1">
      <c r="A27" s="63" t="inlineStr">
        <is>
          <t>C018</t>
        </is>
      </c>
      <c r="B27" s="64" t="inlineStr">
        <is>
          <t>باغدار</t>
        </is>
      </c>
      <c r="C27" s="65" t="n"/>
      <c r="D27" s="65" t="inlineStr">
        <is>
          <t>اسماعیل خانیا</t>
        </is>
      </c>
      <c r="E27" s="65" t="n"/>
      <c r="F27" s="65" t="n"/>
      <c r="G27" s="65" t="n"/>
      <c r="H27" s="142" t="n">
        <v>0</v>
      </c>
      <c r="I27" s="64" t="inlineStr">
        <is>
          <t>طرف حساب</t>
        </is>
      </c>
      <c r="J27" s="64" t="inlineStr">
        <is>
          <t>بله</t>
        </is>
      </c>
      <c r="K27">
        <f>IF($A27="","",IF(LEFT($A27,3)="CAP","سرمایه و آورده صاحبان",IF(LEFT($A27,2)="SL","بارفروش",IF(LEFT($A27,2)="BD","باسکول دیگران",IF(LEFT($A27,1)="C","باغدار",IF(LEFT($A27,1)="S","فروشنده سبد/تأمین‌کننده",IF(LEFT($A27,1)="E","کارمند",IF(LEFT($A27,1)="X","سایر حساب",IF(LEFT($A27,1)="F","دارایی ثابت",IF(LEFT($A27,1)="L","وام و تسهیلات",""))))))))))</f>
        <v/>
      </c>
      <c r="L27" s="65" t="n"/>
      <c r="M27">
        <f>IF(OR($B27="",$A27=""),"",IF(OR($B27=$K27,AND(LEFT($A27,1)="S",OR($B27="فروشنده سبد",$B27="تأمین‌کننده")),AND(LEFT($A27,2)="BD",$B27="باسکول دیگران")),"✓","⚠"))</f>
        <v/>
      </c>
    </row>
    <row r="28" ht="21" customHeight="1">
      <c r="A28" s="63" t="inlineStr">
        <is>
          <t>C019</t>
        </is>
      </c>
      <c r="B28" s="64" t="inlineStr">
        <is>
          <t>باغدار</t>
        </is>
      </c>
      <c r="C28" s="65" t="n"/>
      <c r="D28" s="65" t="inlineStr">
        <is>
          <t>یوسف یوسف نژاد</t>
        </is>
      </c>
      <c r="E28" s="65" t="n"/>
      <c r="F28" s="65" t="n"/>
      <c r="G28" s="65" t="n"/>
      <c r="H28" s="142" t="n">
        <v>0</v>
      </c>
      <c r="I28" s="64" t="inlineStr">
        <is>
          <t>طرف حساب</t>
        </is>
      </c>
      <c r="J28" s="64" t="inlineStr">
        <is>
          <t>بله</t>
        </is>
      </c>
      <c r="K28">
        <f>IF($A28="","",IF(LEFT($A28,3)="CAP","سرمایه و آورده صاحبان",IF(LEFT($A28,2)="SL","بارفروش",IF(LEFT($A28,2)="BD","باسکول دیگران",IF(LEFT($A28,1)="C","باغدار",IF(LEFT($A28,1)="S","فروشنده سبد/تأمین‌کننده",IF(LEFT($A28,1)="E","کارمند",IF(LEFT($A28,1)="X","سایر حساب",IF(LEFT($A28,1)="F","دارایی ثابت",IF(LEFT($A28,1)="L","وام و تسهیلات",""))))))))))</f>
        <v/>
      </c>
      <c r="L28" s="65" t="n"/>
      <c r="M28">
        <f>IF(OR($B28="",$A28=""),"",IF(OR($B28=$K28,AND(LEFT($A28,1)="S",OR($B28="فروشنده سبد",$B28="تأمین‌کننده")),AND(LEFT($A28,2)="BD",$B28="باسکول دیگران")),"✓","⚠"))</f>
        <v/>
      </c>
    </row>
    <row r="29" ht="21" customHeight="1">
      <c r="A29" s="63" t="inlineStr">
        <is>
          <t>C020</t>
        </is>
      </c>
      <c r="B29" s="64" t="inlineStr">
        <is>
          <t>باغدار</t>
        </is>
      </c>
      <c r="C29" s="65" t="n"/>
      <c r="D29" s="65" t="inlineStr">
        <is>
          <t>علی نوایی</t>
        </is>
      </c>
      <c r="E29" s="65" t="n"/>
      <c r="F29" s="65" t="n"/>
      <c r="G29" s="65" t="n"/>
      <c r="H29" s="142" t="n">
        <v>0</v>
      </c>
      <c r="I29" s="64" t="inlineStr">
        <is>
          <t>طرف حساب</t>
        </is>
      </c>
      <c r="J29" s="64" t="inlineStr">
        <is>
          <t>بله</t>
        </is>
      </c>
      <c r="K29">
        <f>IF($A29="","",IF(LEFT($A29,3)="CAP","سرمایه و آورده صاحبان",IF(LEFT($A29,2)="SL","بارفروش",IF(LEFT($A29,2)="BD","باسکول دیگران",IF(LEFT($A29,1)="C","باغدار",IF(LEFT($A29,1)="S","فروشنده سبد/تأمین‌کننده",IF(LEFT($A29,1)="E","کارمند",IF(LEFT($A29,1)="X","سایر حساب",IF(LEFT($A29,1)="F","دارایی ثابت",IF(LEFT($A29,1)="L","وام و تسهیلات",""))))))))))</f>
        <v/>
      </c>
      <c r="L29" s="65" t="n"/>
      <c r="M29">
        <f>IF(OR($B29="",$A29=""),"",IF(OR($B29=$K29,AND(LEFT($A29,1)="S",OR($B29="فروشنده سبد",$B29="تأمین‌کننده")),AND(LEFT($A29,2)="BD",$B29="باسکول دیگران")),"✓","⚠"))</f>
        <v/>
      </c>
    </row>
    <row r="30" ht="21" customHeight="1">
      <c r="A30" s="63" t="inlineStr">
        <is>
          <t>C021</t>
        </is>
      </c>
      <c r="B30" s="64" t="inlineStr">
        <is>
          <t>باغدار</t>
        </is>
      </c>
      <c r="C30" s="65" t="n"/>
      <c r="D30" s="65" t="inlineStr">
        <is>
          <t>دومیری</t>
        </is>
      </c>
      <c r="E30" s="65" t="n"/>
      <c r="F30" s="65" t="n"/>
      <c r="G30" s="65" t="n"/>
      <c r="H30" s="142" t="n">
        <v>0</v>
      </c>
      <c r="I30" s="64" t="inlineStr">
        <is>
          <t>طرف حساب</t>
        </is>
      </c>
      <c r="J30" s="64" t="inlineStr">
        <is>
          <t>بله</t>
        </is>
      </c>
      <c r="K30">
        <f>IF($A30="","",IF(LEFT($A30,3)="CAP","سرمایه و آورده صاحبان",IF(LEFT($A30,2)="SL","بارفروش",IF(LEFT($A30,2)="BD","باسکول دیگران",IF(LEFT($A30,1)="C","باغدار",IF(LEFT($A30,1)="S","فروشنده سبد/تأمین‌کننده",IF(LEFT($A30,1)="E","کارمند",IF(LEFT($A30,1)="X","سایر حساب",IF(LEFT($A30,1)="F","دارایی ثابت",IF(LEFT($A30,1)="L","وام و تسهیلات",""))))))))))</f>
        <v/>
      </c>
      <c r="L30" s="65" t="n"/>
      <c r="M30">
        <f>IF(OR($B30="",$A30=""),"",IF(OR($B30=$K30,AND(LEFT($A30,1)="S",OR($B30="فروشنده سبد",$B30="تأمین‌کننده")),AND(LEFT($A30,2)="BD",$B30="باسکول دیگران")),"✓","⚠"))</f>
        <v/>
      </c>
    </row>
    <row r="31" ht="21" customHeight="1">
      <c r="A31" s="63" t="inlineStr">
        <is>
          <t>C022</t>
        </is>
      </c>
      <c r="B31" s="64" t="inlineStr">
        <is>
          <t>باغدار</t>
        </is>
      </c>
      <c r="C31" s="65" t="n"/>
      <c r="D31" s="65" t="inlineStr">
        <is>
          <t>شمسعلی علیجانی</t>
        </is>
      </c>
      <c r="E31" s="65" t="n"/>
      <c r="F31" s="65" t="n"/>
      <c r="G31" s="65" t="n"/>
      <c r="H31" s="142" t="n">
        <v>0</v>
      </c>
      <c r="I31" s="64" t="inlineStr">
        <is>
          <t>طرف حساب</t>
        </is>
      </c>
      <c r="J31" s="64" t="inlineStr">
        <is>
          <t>بله</t>
        </is>
      </c>
      <c r="K31">
        <f>IF($A31="","",IF(LEFT($A31,3)="CAP","سرمایه و آورده صاحبان",IF(LEFT($A31,2)="SL","بارفروش",IF(LEFT($A31,2)="BD","باسکول دیگران",IF(LEFT($A31,1)="C","باغدار",IF(LEFT($A31,1)="S","فروشنده سبد/تأمین‌کننده",IF(LEFT($A31,1)="E","کارمند",IF(LEFT($A31,1)="X","سایر حساب",IF(LEFT($A31,1)="F","دارایی ثابت",IF(LEFT($A31,1)="L","وام و تسهیلات",""))))))))))</f>
        <v/>
      </c>
      <c r="L31" s="65" t="n"/>
      <c r="M31">
        <f>IF(OR($B31="",$A31=""),"",IF(OR($B31=$K31,AND(LEFT($A31,1)="S",OR($B31="فروشنده سبد",$B31="تأمین‌کننده")),AND(LEFT($A31,2)="BD",$B31="باسکول دیگران")),"✓","⚠"))</f>
        <v/>
      </c>
    </row>
    <row r="32" ht="21" customHeight="1">
      <c r="A32" s="63" t="inlineStr">
        <is>
          <t>C023</t>
        </is>
      </c>
      <c r="B32" s="64" t="inlineStr">
        <is>
          <t>باغدار</t>
        </is>
      </c>
      <c r="C32" s="65" t="n"/>
      <c r="D32" s="65" t="inlineStr">
        <is>
          <t>یوسف نیا (موزیج)</t>
        </is>
      </c>
      <c r="E32" s="65" t="n"/>
      <c r="F32" s="65" t="n"/>
      <c r="G32" s="65" t="n"/>
      <c r="H32" s="142" t="n">
        <v>0</v>
      </c>
      <c r="I32" s="64" t="inlineStr">
        <is>
          <t>طرف حساب</t>
        </is>
      </c>
      <c r="J32" s="64" t="inlineStr">
        <is>
          <t>بله</t>
        </is>
      </c>
      <c r="K32">
        <f>IF($A32="","",IF(LEFT($A32,3)="CAP","سرمایه و آورده صاحبان",IF(LEFT($A32,2)="SL","بارفروش",IF(LEFT($A32,2)="BD","باسکول دیگران",IF(LEFT($A32,1)="C","باغدار",IF(LEFT($A32,1)="S","فروشنده سبد/تأمین‌کننده",IF(LEFT($A32,1)="E","کارمند",IF(LEFT($A32,1)="X","سایر حساب",IF(LEFT($A32,1)="F","دارایی ثابت",IF(LEFT($A32,1)="L","وام و تسهیلات",""))))))))))</f>
        <v/>
      </c>
      <c r="L32" s="65" t="n"/>
      <c r="M32">
        <f>IF(OR($B32="",$A32=""),"",IF(OR($B32=$K32,AND(LEFT($A32,1)="S",OR($B32="فروشنده سبد",$B32="تأمین‌کننده")),AND(LEFT($A32,2)="BD",$B32="باسکول دیگران")),"✓","⚠"))</f>
        <v/>
      </c>
    </row>
    <row r="33" ht="21" customHeight="1">
      <c r="A33" s="63" t="inlineStr">
        <is>
          <t>C024</t>
        </is>
      </c>
      <c r="B33" s="64" t="inlineStr">
        <is>
          <t>باغدار</t>
        </is>
      </c>
      <c r="C33" s="65" t="n"/>
      <c r="D33" s="65" t="inlineStr">
        <is>
          <t>کاظم ذبیح پور</t>
        </is>
      </c>
      <c r="E33" s="65" t="n"/>
      <c r="F33" s="65" t="n"/>
      <c r="G33" s="65" t="n"/>
      <c r="H33" s="142" t="n">
        <v>0</v>
      </c>
      <c r="I33" s="64" t="inlineStr">
        <is>
          <t>طرف حساب</t>
        </is>
      </c>
      <c r="J33" s="64" t="inlineStr">
        <is>
          <t>بله</t>
        </is>
      </c>
      <c r="K33">
        <f>IF($A33="","",IF(LEFT($A33,3)="CAP","سرمایه و آورده صاحبان",IF(LEFT($A33,2)="SL","بارفروش",IF(LEFT($A33,2)="BD","باسکول دیگران",IF(LEFT($A33,1)="C","باغدار",IF(LEFT($A33,1)="S","فروشنده سبد/تأمین‌کننده",IF(LEFT($A33,1)="E","کارمند",IF(LEFT($A33,1)="X","سایر حساب",IF(LEFT($A33,1)="F","دارایی ثابت",IF(LEFT($A33,1)="L","وام و تسهیلات",""))))))))))</f>
        <v/>
      </c>
      <c r="L33" s="65" t="n"/>
      <c r="M33">
        <f>IF(OR($B33="",$A33=""),"",IF(OR($B33=$K33,AND(LEFT($A33,1)="S",OR($B33="فروشنده سبد",$B33="تأمین‌کننده")),AND(LEFT($A33,2)="BD",$B33="باسکول دیگران")),"✓","⚠"))</f>
        <v/>
      </c>
    </row>
    <row r="34" ht="21" customHeight="1">
      <c r="A34" s="63" t="inlineStr">
        <is>
          <t>C025</t>
        </is>
      </c>
      <c r="B34" s="64" t="inlineStr">
        <is>
          <t>باغدار</t>
        </is>
      </c>
      <c r="C34" s="65" t="n"/>
      <c r="D34" s="65" t="inlineStr">
        <is>
          <t>علی غلام رضاپور</t>
        </is>
      </c>
      <c r="E34" s="65" t="n"/>
      <c r="F34" s="65" t="n"/>
      <c r="G34" s="65" t="n"/>
      <c r="H34" s="142" t="n">
        <v>0</v>
      </c>
      <c r="I34" s="64" t="inlineStr">
        <is>
          <t>طرف حساب</t>
        </is>
      </c>
      <c r="J34" s="64" t="inlineStr">
        <is>
          <t>بله</t>
        </is>
      </c>
      <c r="K34">
        <f>IF($A34="","",IF(LEFT($A34,3)="CAP","سرمایه و آورده صاحبان",IF(LEFT($A34,2)="SL","بارفروش",IF(LEFT($A34,2)="BD","باسکول دیگران",IF(LEFT($A34,1)="C","باغدار",IF(LEFT($A34,1)="S","فروشنده سبد/تأمین‌کننده",IF(LEFT($A34,1)="E","کارمند",IF(LEFT($A34,1)="X","سایر حساب",IF(LEFT($A34,1)="F","دارایی ثابت",IF(LEFT($A34,1)="L","وام و تسهیلات",""))))))))))</f>
        <v/>
      </c>
      <c r="L34" s="65" t="n"/>
      <c r="M34">
        <f>IF(OR($B34="",$A34=""),"",IF(OR($B34=$K34,AND(LEFT($A34,1)="S",OR($B34="فروشنده سبد",$B34="تأمین‌کننده")),AND(LEFT($A34,2)="BD",$B34="باسکول دیگران")),"✓","⚠"))</f>
        <v/>
      </c>
    </row>
    <row r="35" ht="21" customHeight="1">
      <c r="A35" s="63" t="inlineStr">
        <is>
          <t>C026</t>
        </is>
      </c>
      <c r="B35" s="64" t="inlineStr">
        <is>
          <t>باغدار</t>
        </is>
      </c>
      <c r="C35" s="65" t="n"/>
      <c r="D35" s="65" t="inlineStr">
        <is>
          <t>حسین شکرالله نیا</t>
        </is>
      </c>
      <c r="E35" s="65" t="n"/>
      <c r="F35" s="65" t="n"/>
      <c r="G35" s="65" t="n"/>
      <c r="H35" s="142" t="n">
        <v>0</v>
      </c>
      <c r="I35" s="64" t="inlineStr">
        <is>
          <t>طرف حساب</t>
        </is>
      </c>
      <c r="J35" s="64" t="inlineStr">
        <is>
          <t>بله</t>
        </is>
      </c>
      <c r="K35">
        <f>IF($A35="","",IF(LEFT($A35,3)="CAP","سرمایه و آورده صاحبان",IF(LEFT($A35,2)="SL","بارفروش",IF(LEFT($A35,2)="BD","باسکول دیگران",IF(LEFT($A35,1)="C","باغدار",IF(LEFT($A35,1)="S","فروشنده سبد/تأمین‌کننده",IF(LEFT($A35,1)="E","کارمند",IF(LEFT($A35,1)="X","سایر حساب",IF(LEFT($A35,1)="F","دارایی ثابت",IF(LEFT($A35,1)="L","وام و تسهیلات",""))))))))))</f>
        <v/>
      </c>
      <c r="L35" s="65" t="n"/>
      <c r="M35">
        <f>IF(OR($B35="",$A35=""),"",IF(OR($B35=$K35,AND(LEFT($A35,1)="S",OR($B35="فروشنده سبد",$B35="تأمین‌کننده")),AND(LEFT($A35,2)="BD",$B35="باسکول دیگران")),"✓","⚠"))</f>
        <v/>
      </c>
    </row>
    <row r="36" ht="21" customHeight="1">
      <c r="A36" s="63" t="inlineStr">
        <is>
          <t>C027</t>
        </is>
      </c>
      <c r="B36" s="64" t="inlineStr">
        <is>
          <t>باغدار</t>
        </is>
      </c>
      <c r="C36" s="65" t="n"/>
      <c r="D36" s="65" t="inlineStr">
        <is>
          <t>سید مهدی حسینی (دوست حاج هوشنگ)</t>
        </is>
      </c>
      <c r="E36" s="65" t="n"/>
      <c r="F36" s="65" t="n"/>
      <c r="G36" s="65" t="n"/>
      <c r="H36" s="142" t="n">
        <v>0</v>
      </c>
      <c r="I36" s="64" t="inlineStr">
        <is>
          <t>طرف حساب</t>
        </is>
      </c>
      <c r="J36" s="64" t="inlineStr">
        <is>
          <t>بله</t>
        </is>
      </c>
      <c r="K36">
        <f>IF($A36="","",IF(LEFT($A36,3)="CAP","سرمایه و آورده صاحبان",IF(LEFT($A36,2)="SL","بارفروش",IF(LEFT($A36,2)="BD","باسکول دیگران",IF(LEFT($A36,1)="C","باغدار",IF(LEFT($A36,1)="S","فروشنده سبد/تأمین‌کننده",IF(LEFT($A36,1)="E","کارمند",IF(LEFT($A36,1)="X","سایر حساب",IF(LEFT($A36,1)="F","دارایی ثابت",IF(LEFT($A36,1)="L","وام و تسهیلات",""))))))))))</f>
        <v/>
      </c>
      <c r="L36" s="65" t="n"/>
      <c r="M36">
        <f>IF(OR($B36="",$A36=""),"",IF(OR($B36=$K36,AND(LEFT($A36,1)="S",OR($B36="فروشنده سبد",$B36="تأمین‌کننده")),AND(LEFT($A36,2)="BD",$B36="باسکول دیگران")),"✓","⚠"))</f>
        <v/>
      </c>
    </row>
    <row r="37" ht="21" customHeight="1">
      <c r="A37" s="63" t="inlineStr">
        <is>
          <t>C028</t>
        </is>
      </c>
      <c r="B37" s="64" t="inlineStr">
        <is>
          <t>باغدار</t>
        </is>
      </c>
      <c r="C37" s="65" t="n"/>
      <c r="D37" s="65" t="inlineStr">
        <is>
          <t>آقای عزیزی</t>
        </is>
      </c>
      <c r="E37" s="65" t="n"/>
      <c r="F37" s="65" t="n"/>
      <c r="G37" s="65" t="n"/>
      <c r="H37" s="142" t="n">
        <v>0</v>
      </c>
      <c r="I37" s="64" t="inlineStr">
        <is>
          <t>طرف حساب</t>
        </is>
      </c>
      <c r="J37" s="64" t="inlineStr">
        <is>
          <t>بله</t>
        </is>
      </c>
      <c r="K37">
        <f>IF($A37="","",IF(LEFT($A37,3)="CAP","سرمایه و آورده صاحبان",IF(LEFT($A37,2)="SL","بارفروش",IF(LEFT($A37,2)="BD","باسکول دیگران",IF(LEFT($A37,1)="C","باغدار",IF(LEFT($A37,1)="S","فروشنده سبد/تأمین‌کننده",IF(LEFT($A37,1)="E","کارمند",IF(LEFT($A37,1)="X","سایر حساب",IF(LEFT($A37,1)="F","دارایی ثابت",IF(LEFT($A37,1)="L","وام و تسهیلات",""))))))))))</f>
        <v/>
      </c>
      <c r="L37" s="65" t="n"/>
      <c r="M37">
        <f>IF(OR($B37="",$A37=""),"",IF(OR($B37=$K37,AND(LEFT($A37,1)="S",OR($B37="فروشنده سبد",$B37="تأمین‌کننده")),AND(LEFT($A37,2)="BD",$B37="باسکول دیگران")),"✓","⚠"))</f>
        <v/>
      </c>
    </row>
    <row r="38" ht="21" customHeight="1">
      <c r="A38" s="63" t="inlineStr">
        <is>
          <t>C029</t>
        </is>
      </c>
      <c r="B38" s="64" t="inlineStr">
        <is>
          <t>باغدار</t>
        </is>
      </c>
      <c r="C38" s="65" t="n"/>
      <c r="D38" s="65" t="inlineStr">
        <is>
          <t>آقای حبیبی (بانک صادرات)</t>
        </is>
      </c>
      <c r="E38" s="65" t="n"/>
      <c r="F38" s="65" t="n"/>
      <c r="G38" s="65" t="n"/>
      <c r="H38" s="142" t="n">
        <v>0</v>
      </c>
      <c r="I38" s="64" t="inlineStr">
        <is>
          <t>طرف حساب</t>
        </is>
      </c>
      <c r="J38" s="64" t="inlineStr">
        <is>
          <t>بله</t>
        </is>
      </c>
      <c r="K38">
        <f>IF($A38="","",IF(LEFT($A38,3)="CAP","سرمایه و آورده صاحبان",IF(LEFT($A38,2)="SL","بارفروش",IF(LEFT($A38,2)="BD","باسکول دیگران",IF(LEFT($A38,1)="C","باغدار",IF(LEFT($A38,1)="S","فروشنده سبد/تأمین‌کننده",IF(LEFT($A38,1)="E","کارمند",IF(LEFT($A38,1)="X","سایر حساب",IF(LEFT($A38,1)="F","دارایی ثابت",IF(LEFT($A38,1)="L","وام و تسهیلات",""))))))))))</f>
        <v/>
      </c>
      <c r="L38" s="65" t="n"/>
      <c r="M38">
        <f>IF(OR($B38="",$A38=""),"",IF(OR($B38=$K38,AND(LEFT($A38,1)="S",OR($B38="فروشنده سبد",$B38="تأمین‌کننده")),AND(LEFT($A38,2)="BD",$B38="باسکول دیگران")),"✓","⚠"))</f>
        <v/>
      </c>
    </row>
    <row r="39" ht="21" customHeight="1">
      <c r="A39" s="63" t="inlineStr">
        <is>
          <t>C030</t>
        </is>
      </c>
      <c r="B39" s="64" t="inlineStr">
        <is>
          <t>باغدار</t>
        </is>
      </c>
      <c r="C39" s="65" t="n"/>
      <c r="D39" s="65" t="inlineStr">
        <is>
          <t>محمد علی اصغرزاده</t>
        </is>
      </c>
      <c r="E39" s="65" t="n"/>
      <c r="F39" s="65" t="n"/>
      <c r="G39" s="65" t="n"/>
      <c r="H39" s="142" t="n">
        <v>0</v>
      </c>
      <c r="I39" s="64" t="inlineStr">
        <is>
          <t>طرف حساب</t>
        </is>
      </c>
      <c r="J39" s="64" t="inlineStr">
        <is>
          <t>بله</t>
        </is>
      </c>
      <c r="K39">
        <f>IF($A39="","",IF(LEFT($A39,3)="CAP","سرمایه و آورده صاحبان",IF(LEFT($A39,2)="SL","بارفروش",IF(LEFT($A39,2)="BD","باسکول دیگران",IF(LEFT($A39,1)="C","باغدار",IF(LEFT($A39,1)="S","فروشنده سبد/تأمین‌کننده",IF(LEFT($A39,1)="E","کارمند",IF(LEFT($A39,1)="X","سایر حساب",IF(LEFT($A39,1)="F","دارایی ثابت",IF(LEFT($A39,1)="L","وام و تسهیلات",""))))))))))</f>
        <v/>
      </c>
      <c r="L39" s="65" t="n"/>
      <c r="M39">
        <f>IF(OR($B39="",$A39=""),"",IF(OR($B39=$K39,AND(LEFT($A39,1)="S",OR($B39="فروشنده سبد",$B39="تأمین‌کننده")),AND(LEFT($A39,2)="BD",$B39="باسکول دیگران")),"✓","⚠"))</f>
        <v/>
      </c>
    </row>
    <row r="40" ht="21" customHeight="1">
      <c r="A40" s="63" t="inlineStr">
        <is>
          <t>C031</t>
        </is>
      </c>
      <c r="B40" s="64" t="inlineStr">
        <is>
          <t>باغدار</t>
        </is>
      </c>
      <c r="C40" s="65" t="n"/>
      <c r="D40" s="65" t="inlineStr">
        <is>
          <t>فغان پور</t>
        </is>
      </c>
      <c r="E40" s="65" t="n"/>
      <c r="F40" s="65" t="n"/>
      <c r="G40" s="65" t="n"/>
      <c r="H40" s="142" t="n">
        <v>0</v>
      </c>
      <c r="I40" s="64" t="inlineStr">
        <is>
          <t>طرف حساب</t>
        </is>
      </c>
      <c r="J40" s="64" t="inlineStr">
        <is>
          <t>بله</t>
        </is>
      </c>
      <c r="K40">
        <f>IF($A40="","",IF(LEFT($A40,3)="CAP","سرمایه و آورده صاحبان",IF(LEFT($A40,2)="SL","بارفروش",IF(LEFT($A40,2)="BD","باسکول دیگران",IF(LEFT($A40,1)="C","باغدار",IF(LEFT($A40,1)="S","فروشنده سبد/تأمین‌کننده",IF(LEFT($A40,1)="E","کارمند",IF(LEFT($A40,1)="X","سایر حساب",IF(LEFT($A40,1)="F","دارایی ثابت",IF(LEFT($A40,1)="L","وام و تسهیلات",""))))))))))</f>
        <v/>
      </c>
      <c r="L40" s="65" t="n"/>
      <c r="M40">
        <f>IF(OR($B40="",$A40=""),"",IF(OR($B40=$K40,AND(LEFT($A40,1)="S",OR($B40="فروشنده سبد",$B40="تأمین‌کننده")),AND(LEFT($A40,2)="BD",$B40="باسکول دیگران")),"✓","⚠"))</f>
        <v/>
      </c>
    </row>
    <row r="41" ht="21" customHeight="1">
      <c r="A41" s="63" t="inlineStr">
        <is>
          <t>C032</t>
        </is>
      </c>
      <c r="B41" s="64" t="inlineStr">
        <is>
          <t>باغدار</t>
        </is>
      </c>
      <c r="C41" s="65" t="n"/>
      <c r="D41" s="65" t="inlineStr">
        <is>
          <t>عباس پور (بهنمیر)</t>
        </is>
      </c>
      <c r="E41" s="65" t="n"/>
      <c r="F41" s="65" t="n"/>
      <c r="G41" s="65" t="n"/>
      <c r="H41" s="142" t="n">
        <v>0</v>
      </c>
      <c r="I41" s="64" t="inlineStr">
        <is>
          <t>طرف حساب</t>
        </is>
      </c>
      <c r="J41" s="64" t="inlineStr">
        <is>
          <t>بله</t>
        </is>
      </c>
      <c r="K41">
        <f>IF($A41="","",IF(LEFT($A41,3)="CAP","سرمایه و آورده صاحبان",IF(LEFT($A41,2)="SL","بارفروش",IF(LEFT($A41,2)="BD","باسکول دیگران",IF(LEFT($A41,1)="C","باغدار",IF(LEFT($A41,1)="S","فروشنده سبد/تأمین‌کننده",IF(LEFT($A41,1)="E","کارمند",IF(LEFT($A41,1)="X","سایر حساب",IF(LEFT($A41,1)="F","دارایی ثابت",IF(LEFT($A41,1)="L","وام و تسهیلات",""))))))))))</f>
        <v/>
      </c>
      <c r="L41" s="65" t="n"/>
      <c r="M41">
        <f>IF(OR($B41="",$A41=""),"",IF(OR($B41=$K41,AND(LEFT($A41,1)="S",OR($B41="فروشنده سبد",$B41="تأمین‌کننده")),AND(LEFT($A41,2)="BD",$B41="باسکول دیگران")),"✓","⚠"))</f>
        <v/>
      </c>
    </row>
    <row r="42" ht="21" customHeight="1">
      <c r="A42" s="63" t="inlineStr">
        <is>
          <t>C033</t>
        </is>
      </c>
      <c r="B42" s="64" t="inlineStr">
        <is>
          <t>باغدار</t>
        </is>
      </c>
      <c r="C42" s="65" t="n"/>
      <c r="D42" s="65" t="inlineStr">
        <is>
          <t>رمضان خانیا (فرهاد پلنگ)</t>
        </is>
      </c>
      <c r="E42" s="65" t="n"/>
      <c r="F42" s="65" t="n"/>
      <c r="G42" s="65" t="n"/>
      <c r="H42" s="142" t="n">
        <v>0</v>
      </c>
      <c r="I42" s="64" t="inlineStr">
        <is>
          <t>طرف حساب</t>
        </is>
      </c>
      <c r="J42" s="64" t="inlineStr">
        <is>
          <t>بله</t>
        </is>
      </c>
      <c r="K42">
        <f>IF($A42="","",IF(LEFT($A42,3)="CAP","سرمایه و آورده صاحبان",IF(LEFT($A42,2)="SL","بارفروش",IF(LEFT($A42,2)="BD","باسکول دیگران",IF(LEFT($A42,1)="C","باغدار",IF(LEFT($A42,1)="S","فروشنده سبد/تأمین‌کننده",IF(LEFT($A42,1)="E","کارمند",IF(LEFT($A42,1)="X","سایر حساب",IF(LEFT($A42,1)="F","دارایی ثابت",IF(LEFT($A42,1)="L","وام و تسهیلات",""))))))))))</f>
        <v/>
      </c>
      <c r="L42" s="65" t="n"/>
      <c r="M42">
        <f>IF(OR($B42="",$A42=""),"",IF(OR($B42=$K42,AND(LEFT($A42,1)="S",OR($B42="فروشنده سبد",$B42="تأمین‌کننده")),AND(LEFT($A42,2)="BD",$B42="باسکول دیگران")),"✓","⚠"))</f>
        <v/>
      </c>
    </row>
    <row r="43" ht="21" customHeight="1">
      <c r="A43" s="63" t="inlineStr">
        <is>
          <t>C034</t>
        </is>
      </c>
      <c r="B43" s="64" t="inlineStr">
        <is>
          <t>باغدار</t>
        </is>
      </c>
      <c r="C43" s="65" t="n"/>
      <c r="D43" s="65" t="inlineStr">
        <is>
          <t>محمد رضایی</t>
        </is>
      </c>
      <c r="E43" s="65" t="n"/>
      <c r="F43" s="65" t="n"/>
      <c r="G43" s="65" t="n"/>
      <c r="H43" s="142" t="n">
        <v>0</v>
      </c>
      <c r="I43" s="64" t="inlineStr">
        <is>
          <t>طرف حساب</t>
        </is>
      </c>
      <c r="J43" s="64" t="inlineStr">
        <is>
          <t>بله</t>
        </is>
      </c>
      <c r="K43">
        <f>IF($A43="","",IF(LEFT($A43,3)="CAP","سرمایه و آورده صاحبان",IF(LEFT($A43,2)="SL","بارفروش",IF(LEFT($A43,2)="BD","باسکول دیگران",IF(LEFT($A43,1)="C","باغدار",IF(LEFT($A43,1)="S","فروشنده سبد/تأمین‌کننده",IF(LEFT($A43,1)="E","کارمند",IF(LEFT($A43,1)="X","سایر حساب",IF(LEFT($A43,1)="F","دارایی ثابت",IF(LEFT($A43,1)="L","وام و تسهیلات",""))))))))))</f>
        <v/>
      </c>
      <c r="L43" s="65" t="n"/>
      <c r="M43">
        <f>IF(OR($B43="",$A43=""),"",IF(OR($B43=$K43,AND(LEFT($A43,1)="S",OR($B43="فروشنده سبد",$B43="تأمین‌کننده")),AND(LEFT($A43,2)="BD",$B43="باسکول دیگران")),"✓","⚠"))</f>
        <v/>
      </c>
    </row>
    <row r="44" ht="21" customHeight="1">
      <c r="A44" s="63" t="inlineStr">
        <is>
          <t>C035</t>
        </is>
      </c>
      <c r="B44" s="64" t="inlineStr">
        <is>
          <t>باغدار</t>
        </is>
      </c>
      <c r="C44" s="65" t="n"/>
      <c r="D44" s="65" t="inlineStr">
        <is>
          <t>داریوش اسماعیلی</t>
        </is>
      </c>
      <c r="E44" s="65" t="n"/>
      <c r="F44" s="65" t="n"/>
      <c r="G44" s="65" t="n"/>
      <c r="H44" s="142" t="n">
        <v>0</v>
      </c>
      <c r="I44" s="64" t="inlineStr">
        <is>
          <t>طرف حساب</t>
        </is>
      </c>
      <c r="J44" s="64" t="inlineStr">
        <is>
          <t>بله</t>
        </is>
      </c>
      <c r="K44">
        <f>IF($A44="","",IF(LEFT($A44,3)="CAP","سرمایه و آورده صاحبان",IF(LEFT($A44,2)="SL","بارفروش",IF(LEFT($A44,2)="BD","باسکول دیگران",IF(LEFT($A44,1)="C","باغدار",IF(LEFT($A44,1)="S","فروشنده سبد/تأمین‌کننده",IF(LEFT($A44,1)="E","کارمند",IF(LEFT($A44,1)="X","سایر حساب",IF(LEFT($A44,1)="F","دارایی ثابت",IF(LEFT($A44,1)="L","وام و تسهیلات",""))))))))))</f>
        <v/>
      </c>
      <c r="L44" s="65" t="n"/>
      <c r="M44">
        <f>IF(OR($B44="",$A44=""),"",IF(OR($B44=$K44,AND(LEFT($A44,1)="S",OR($B44="فروشنده سبد",$B44="تأمین‌کننده")),AND(LEFT($A44,2)="BD",$B44="باسکول دیگران")),"✓","⚠"))</f>
        <v/>
      </c>
    </row>
    <row r="45" ht="21" customHeight="1">
      <c r="A45" s="63" t="inlineStr">
        <is>
          <t>C036</t>
        </is>
      </c>
      <c r="B45" s="64" t="inlineStr">
        <is>
          <t>باغدار</t>
        </is>
      </c>
      <c r="C45" s="65" t="n"/>
      <c r="D45" s="65" t="inlineStr">
        <is>
          <t>محسن قبادی</t>
        </is>
      </c>
      <c r="E45" s="65" t="n"/>
      <c r="F45" s="65" t="n"/>
      <c r="G45" s="65" t="n"/>
      <c r="H45" s="142" t="n">
        <v>0</v>
      </c>
      <c r="I45" s="64" t="inlineStr">
        <is>
          <t>طرف حساب</t>
        </is>
      </c>
      <c r="J45" s="64" t="inlineStr">
        <is>
          <t>بله</t>
        </is>
      </c>
      <c r="K45">
        <f>IF($A45="","",IF(LEFT($A45,3)="CAP","سرمایه و آورده صاحبان",IF(LEFT($A45,2)="SL","بارفروش",IF(LEFT($A45,2)="BD","باسکول دیگران",IF(LEFT($A45,1)="C","باغدار",IF(LEFT($A45,1)="S","فروشنده سبد/تأمین‌کننده",IF(LEFT($A45,1)="E","کارمند",IF(LEFT($A45,1)="X","سایر حساب",IF(LEFT($A45,1)="F","دارایی ثابت",IF(LEFT($A45,1)="L","وام و تسهیلات",""))))))))))</f>
        <v/>
      </c>
      <c r="L45" s="65" t="n"/>
      <c r="M45">
        <f>IF(OR($B45="",$A45=""),"",IF(OR($B45=$K45,AND(LEFT($A45,1)="S",OR($B45="فروشنده سبد",$B45="تأمین‌کننده")),AND(LEFT($A45,2)="BD",$B45="باسکول دیگران")),"✓","⚠"))</f>
        <v/>
      </c>
    </row>
    <row r="46" ht="21" customHeight="1">
      <c r="A46" s="63" t="inlineStr">
        <is>
          <t>C037</t>
        </is>
      </c>
      <c r="B46" s="64" t="inlineStr">
        <is>
          <t>باغدار</t>
        </is>
      </c>
      <c r="C46" s="65" t="n"/>
      <c r="D46" s="65" t="inlineStr">
        <is>
          <t>خانم قلی پور (یوسف نیا)</t>
        </is>
      </c>
      <c r="E46" s="65" t="n"/>
      <c r="F46" s="65" t="n"/>
      <c r="G46" s="65" t="n"/>
      <c r="H46" s="142" t="n">
        <v>0</v>
      </c>
      <c r="I46" s="64" t="inlineStr">
        <is>
          <t>طرف حساب</t>
        </is>
      </c>
      <c r="J46" s="64" t="inlineStr">
        <is>
          <t>بله</t>
        </is>
      </c>
      <c r="K46">
        <f>IF($A46="","",IF(LEFT($A46,3)="CAP","سرمایه و آورده صاحبان",IF(LEFT($A46,2)="SL","بارفروش",IF(LEFT($A46,2)="BD","باسکول دیگران",IF(LEFT($A46,1)="C","باغدار",IF(LEFT($A46,1)="S","فروشنده سبد/تأمین‌کننده",IF(LEFT($A46,1)="E","کارمند",IF(LEFT($A46,1)="X","سایر حساب",IF(LEFT($A46,1)="F","دارایی ثابت",IF(LEFT($A46,1)="L","وام و تسهیلات",""))))))))))</f>
        <v/>
      </c>
      <c r="L46" s="65" t="n"/>
      <c r="M46">
        <f>IF(OR($B46="",$A46=""),"",IF(OR($B46=$K46,AND(LEFT($A46,1)="S",OR($B46="فروشنده سبد",$B46="تأمین‌کننده")),AND(LEFT($A46,2)="BD",$B46="باسکول دیگران")),"✓","⚠"))</f>
        <v/>
      </c>
    </row>
    <row r="47" ht="21" customHeight="1">
      <c r="A47" s="63" t="inlineStr">
        <is>
          <t>C038</t>
        </is>
      </c>
      <c r="B47" s="64" t="inlineStr">
        <is>
          <t>باغدار</t>
        </is>
      </c>
      <c r="C47" s="65" t="n"/>
      <c r="D47" s="65" t="inlineStr">
        <is>
          <t>مهدی ولیپور</t>
        </is>
      </c>
      <c r="E47" s="65" t="n"/>
      <c r="F47" s="65" t="n"/>
      <c r="G47" s="65" t="n"/>
      <c r="H47" s="142" t="n">
        <v>0</v>
      </c>
      <c r="I47" s="64" t="inlineStr">
        <is>
          <t>طرف حساب</t>
        </is>
      </c>
      <c r="J47" s="64" t="inlineStr">
        <is>
          <t>بله</t>
        </is>
      </c>
      <c r="K47">
        <f>IF($A47="","",IF(LEFT($A47,3)="CAP","سرمایه و آورده صاحبان",IF(LEFT($A47,2)="SL","بارفروش",IF(LEFT($A47,2)="BD","باسکول دیگران",IF(LEFT($A47,1)="C","باغدار",IF(LEFT($A47,1)="S","فروشنده سبد/تأمین‌کننده",IF(LEFT($A47,1)="E","کارمند",IF(LEFT($A47,1)="X","سایر حساب",IF(LEFT($A47,1)="F","دارایی ثابت",IF(LEFT($A47,1)="L","وام و تسهیلات",""))))))))))</f>
        <v/>
      </c>
      <c r="L47" s="65" t="n"/>
      <c r="M47">
        <f>IF(OR($B47="",$A47=""),"",IF(OR($B47=$K47,AND(LEFT($A47,1)="S",OR($B47="فروشنده سبد",$B47="تأمین‌کننده")),AND(LEFT($A47,2)="BD",$B47="باسکول دیگران")),"✓","⚠"))</f>
        <v/>
      </c>
    </row>
    <row r="48" ht="21" customHeight="1">
      <c r="A48" s="63" t="inlineStr">
        <is>
          <t>C039</t>
        </is>
      </c>
      <c r="B48" s="64" t="inlineStr">
        <is>
          <t>باغدار</t>
        </is>
      </c>
      <c r="C48" s="65" t="n"/>
      <c r="D48" s="65" t="inlineStr">
        <is>
          <t>رمضان علی محمدیان</t>
        </is>
      </c>
      <c r="E48" s="65" t="n"/>
      <c r="F48" s="65" t="n"/>
      <c r="G48" s="65" t="n"/>
      <c r="H48" s="142" t="n">
        <v>0</v>
      </c>
      <c r="I48" s="64" t="inlineStr">
        <is>
          <t>طرف حساب</t>
        </is>
      </c>
      <c r="J48" s="64" t="inlineStr">
        <is>
          <t>بله</t>
        </is>
      </c>
      <c r="K48">
        <f>IF($A48="","",IF(LEFT($A48,3)="CAP","سرمایه و آورده صاحبان",IF(LEFT($A48,2)="SL","بارفروش",IF(LEFT($A48,2)="BD","باسکول دیگران",IF(LEFT($A48,1)="C","باغدار",IF(LEFT($A48,1)="S","فروشنده سبد/تأمین‌کننده",IF(LEFT($A48,1)="E","کارمند",IF(LEFT($A48,1)="X","سایر حساب",IF(LEFT($A48,1)="F","دارایی ثابت",IF(LEFT($A48,1)="L","وام و تسهیلات",""))))))))))</f>
        <v/>
      </c>
      <c r="L48" s="65" t="n"/>
      <c r="M48">
        <f>IF(OR($B48="",$A48=""),"",IF(OR($B48=$K48,AND(LEFT($A48,1)="S",OR($B48="فروشنده سبد",$B48="تأمین‌کننده")),AND(LEFT($A48,2)="BD",$B48="باسکول دیگران")),"✓","⚠"))</f>
        <v/>
      </c>
    </row>
    <row r="49" ht="21" customHeight="1">
      <c r="A49" s="63" t="inlineStr">
        <is>
          <t>C040</t>
        </is>
      </c>
      <c r="B49" s="64" t="inlineStr">
        <is>
          <t>باغدار</t>
        </is>
      </c>
      <c r="C49" s="65" t="n"/>
      <c r="D49" s="65" t="inlineStr">
        <is>
          <t>محمود آهنگر</t>
        </is>
      </c>
      <c r="E49" s="65" t="n"/>
      <c r="F49" s="65" t="n"/>
      <c r="G49" s="65" t="n"/>
      <c r="H49" s="142" t="n">
        <v>0</v>
      </c>
      <c r="I49" s="64" t="inlineStr">
        <is>
          <t>طرف حساب</t>
        </is>
      </c>
      <c r="J49" s="64" t="inlineStr">
        <is>
          <t>بله</t>
        </is>
      </c>
      <c r="K49">
        <f>IF($A49="","",IF(LEFT($A49,3)="CAP","سرمایه و آورده صاحبان",IF(LEFT($A49,2)="SL","بارفروش",IF(LEFT($A49,2)="BD","باسکول دیگران",IF(LEFT($A49,1)="C","باغدار",IF(LEFT($A49,1)="S","فروشنده سبد/تأمین‌کننده",IF(LEFT($A49,1)="E","کارمند",IF(LEFT($A49,1)="X","سایر حساب",IF(LEFT($A49,1)="F","دارایی ثابت",IF(LEFT($A49,1)="L","وام و تسهیلات",""))))))))))</f>
        <v/>
      </c>
      <c r="L49" s="65" t="n"/>
      <c r="M49">
        <f>IF(OR($B49="",$A49=""),"",IF(OR($B49=$K49,AND(LEFT($A49,1)="S",OR($B49="فروشنده سبد",$B49="تأمین‌کننده")),AND(LEFT($A49,2)="BD",$B49="باسکول دیگران")),"✓","⚠"))</f>
        <v/>
      </c>
    </row>
    <row r="50" ht="21" customHeight="1">
      <c r="A50" s="63" t="inlineStr">
        <is>
          <t>C041</t>
        </is>
      </c>
      <c r="B50" s="64" t="inlineStr">
        <is>
          <t>باغدار</t>
        </is>
      </c>
      <c r="C50" s="65" t="n"/>
      <c r="D50" s="65" t="inlineStr">
        <is>
          <t>محمد حسین عزیزی</t>
        </is>
      </c>
      <c r="E50" s="65" t="n"/>
      <c r="F50" s="65" t="n"/>
      <c r="G50" s="65" t="n"/>
      <c r="H50" s="142" t="n">
        <v>0</v>
      </c>
      <c r="I50" s="64" t="inlineStr">
        <is>
          <t>طرف حساب</t>
        </is>
      </c>
      <c r="J50" s="64" t="inlineStr">
        <is>
          <t>بله</t>
        </is>
      </c>
      <c r="K50">
        <f>IF($A50="","",IF(LEFT($A50,3)="CAP","سرمایه و آورده صاحبان",IF(LEFT($A50,2)="SL","بارفروش",IF(LEFT($A50,2)="BD","باسکول دیگران",IF(LEFT($A50,1)="C","باغدار",IF(LEFT($A50,1)="S","فروشنده سبد/تأمین‌کننده",IF(LEFT($A50,1)="E","کارمند",IF(LEFT($A50,1)="X","سایر حساب",IF(LEFT($A50,1)="F","دارایی ثابت",IF(LEFT($A50,1)="L","وام و تسهیلات",""))))))))))</f>
        <v/>
      </c>
      <c r="L50" s="65" t="n"/>
      <c r="M50">
        <f>IF(OR($B50="",$A50=""),"",IF(OR($B50=$K50,AND(LEFT($A50,1)="S",OR($B50="فروشنده سبد",$B50="تأمین‌کننده")),AND(LEFT($A50,2)="BD",$B50="باسکول دیگران")),"✓","⚠"))</f>
        <v/>
      </c>
    </row>
    <row r="51" ht="21" customHeight="1">
      <c r="A51" s="63" t="inlineStr">
        <is>
          <t>C042</t>
        </is>
      </c>
      <c r="B51" s="64" t="inlineStr">
        <is>
          <t>باغدار</t>
        </is>
      </c>
      <c r="C51" s="65" t="n"/>
      <c r="D51" s="65" t="inlineStr">
        <is>
          <t>مغداد طلایی</t>
        </is>
      </c>
      <c r="E51" s="65" t="n"/>
      <c r="F51" s="65" t="n"/>
      <c r="G51" s="65" t="n"/>
      <c r="H51" s="142" t="n">
        <v>0</v>
      </c>
      <c r="I51" s="64" t="inlineStr">
        <is>
          <t>طرف حساب</t>
        </is>
      </c>
      <c r="J51" s="64" t="inlineStr">
        <is>
          <t>بله</t>
        </is>
      </c>
      <c r="K51">
        <f>IF($A51="","",IF(LEFT($A51,3)="CAP","سرمایه و آورده صاحبان",IF(LEFT($A51,2)="SL","بارفروش",IF(LEFT($A51,2)="BD","باسکول دیگران",IF(LEFT($A51,1)="C","باغدار",IF(LEFT($A51,1)="S","فروشنده سبد/تأمین‌کننده",IF(LEFT($A51,1)="E","کارمند",IF(LEFT($A51,1)="X","سایر حساب",IF(LEFT($A51,1)="F","دارایی ثابت",IF(LEFT($A51,1)="L","وام و تسهیلات",""))))))))))</f>
        <v/>
      </c>
      <c r="L51" s="65" t="n"/>
      <c r="M51">
        <f>IF(OR($B51="",$A51=""),"",IF(OR($B51=$K51,AND(LEFT($A51,1)="S",OR($B51="فروشنده سبد",$B51="تأمین‌کننده")),AND(LEFT($A51,2)="BD",$B51="باسکول دیگران")),"✓","⚠"))</f>
        <v/>
      </c>
    </row>
    <row r="52" ht="21" customHeight="1">
      <c r="A52" s="63" t="inlineStr">
        <is>
          <t>C043</t>
        </is>
      </c>
      <c r="B52" s="64" t="inlineStr">
        <is>
          <t>باغدار</t>
        </is>
      </c>
      <c r="C52" s="65" t="n"/>
      <c r="D52" s="65" t="inlineStr">
        <is>
          <t>سید عبدالله میراقازاده</t>
        </is>
      </c>
      <c r="E52" s="65" t="n"/>
      <c r="F52" s="65" t="n"/>
      <c r="G52" s="65" t="n"/>
      <c r="H52" s="142" t="n">
        <v>0</v>
      </c>
      <c r="I52" s="64" t="inlineStr">
        <is>
          <t>طرف حساب</t>
        </is>
      </c>
      <c r="J52" s="64" t="inlineStr">
        <is>
          <t>بله</t>
        </is>
      </c>
      <c r="K52">
        <f>IF($A52="","",IF(LEFT($A52,3)="CAP","سرمایه و آورده صاحبان",IF(LEFT($A52,2)="SL","بارفروش",IF(LEFT($A52,2)="BD","باسکول دیگران",IF(LEFT($A52,1)="C","باغدار",IF(LEFT($A52,1)="S","فروشنده سبد/تأمین‌کننده",IF(LEFT($A52,1)="E","کارمند",IF(LEFT($A52,1)="X","سایر حساب",IF(LEFT($A52,1)="F","دارایی ثابت",IF(LEFT($A52,1)="L","وام و تسهیلات",""))))))))))</f>
        <v/>
      </c>
      <c r="L52" s="65" t="n"/>
      <c r="M52">
        <f>IF(OR($B52="",$A52=""),"",IF(OR($B52=$K52,AND(LEFT($A52,1)="S",OR($B52="فروشنده سبد",$B52="تأمین‌کننده")),AND(LEFT($A52,2)="BD",$B52="باسکول دیگران")),"✓","⚠"))</f>
        <v/>
      </c>
    </row>
    <row r="53" ht="21" customHeight="1">
      <c r="A53" s="63" t="inlineStr">
        <is>
          <t>C044</t>
        </is>
      </c>
      <c r="B53" s="64" t="inlineStr">
        <is>
          <t>باغدار</t>
        </is>
      </c>
      <c r="C53" s="65" t="n"/>
      <c r="D53" s="65" t="inlineStr">
        <is>
          <t>رجب پور</t>
        </is>
      </c>
      <c r="E53" s="65" t="n"/>
      <c r="F53" s="65" t="n"/>
      <c r="G53" s="65" t="n"/>
      <c r="H53" s="142" t="n">
        <v>0</v>
      </c>
      <c r="I53" s="64" t="inlineStr">
        <is>
          <t>طرف حساب</t>
        </is>
      </c>
      <c r="J53" s="64" t="inlineStr">
        <is>
          <t>بله</t>
        </is>
      </c>
      <c r="K53">
        <f>IF($A53="","",IF(LEFT($A53,3)="CAP","سرمایه و آورده صاحبان",IF(LEFT($A53,2)="SL","بارفروش",IF(LEFT($A53,2)="BD","باسکول دیگران",IF(LEFT($A53,1)="C","باغدار",IF(LEFT($A53,1)="S","فروشنده سبد/تأمین‌کننده",IF(LEFT($A53,1)="E","کارمند",IF(LEFT($A53,1)="X","سایر حساب",IF(LEFT($A53,1)="F","دارایی ثابت",IF(LEFT($A53,1)="L","وام و تسهیلات",""))))))))))</f>
        <v/>
      </c>
      <c r="L53" s="65" t="n"/>
      <c r="M53">
        <f>IF(OR($B53="",$A53=""),"",IF(OR($B53=$K53,AND(LEFT($A53,1)="S",OR($B53="فروشنده سبد",$B53="تأمین‌کننده")),AND(LEFT($A53,2)="BD",$B53="باسکول دیگران")),"✓","⚠"))</f>
        <v/>
      </c>
    </row>
    <row r="54" ht="21" customHeight="1">
      <c r="A54" s="63" t="inlineStr">
        <is>
          <t>C045</t>
        </is>
      </c>
      <c r="B54" s="64" t="inlineStr">
        <is>
          <t>باغدار</t>
        </is>
      </c>
      <c r="C54" s="65" t="n"/>
      <c r="D54" s="65" t="inlineStr">
        <is>
          <t>سعید بابایی</t>
        </is>
      </c>
      <c r="E54" s="65" t="n"/>
      <c r="F54" s="65" t="n"/>
      <c r="G54" s="65" t="n"/>
      <c r="H54" s="142" t="n">
        <v>0</v>
      </c>
      <c r="I54" s="64" t="inlineStr">
        <is>
          <t>طرف حساب</t>
        </is>
      </c>
      <c r="J54" s="64" t="inlineStr">
        <is>
          <t>بله</t>
        </is>
      </c>
      <c r="K54">
        <f>IF($A54="","",IF(LEFT($A54,3)="CAP","سرمایه و آورده صاحبان",IF(LEFT($A54,2)="SL","بارفروش",IF(LEFT($A54,2)="BD","باسکول دیگران",IF(LEFT($A54,1)="C","باغدار",IF(LEFT($A54,1)="S","فروشنده سبد/تأمین‌کننده",IF(LEFT($A54,1)="E","کارمند",IF(LEFT($A54,1)="X","سایر حساب",IF(LEFT($A54,1)="F","دارایی ثابت",IF(LEFT($A54,1)="L","وام و تسهیلات",""))))))))))</f>
        <v/>
      </c>
      <c r="L54" s="65" t="n"/>
      <c r="M54">
        <f>IF(OR($B54="",$A54=""),"",IF(OR($B54=$K54,AND(LEFT($A54,1)="S",OR($B54="فروشنده سبد",$B54="تأمین‌کننده")),AND(LEFT($A54,2)="BD",$B54="باسکول دیگران")),"✓","⚠"))</f>
        <v/>
      </c>
    </row>
    <row r="55" ht="21" customHeight="1">
      <c r="A55" s="63" t="inlineStr">
        <is>
          <t>C046</t>
        </is>
      </c>
      <c r="B55" s="64" t="inlineStr">
        <is>
          <t>باغدار</t>
        </is>
      </c>
      <c r="C55" s="65" t="n"/>
      <c r="D55" s="65" t="inlineStr">
        <is>
          <t>مطلب عیسی پور</t>
        </is>
      </c>
      <c r="E55" s="65" t="n"/>
      <c r="F55" s="65" t="n"/>
      <c r="G55" s="65" t="n"/>
      <c r="H55" s="142" t="n">
        <v>0</v>
      </c>
      <c r="I55" s="64" t="inlineStr">
        <is>
          <t>طرف حساب</t>
        </is>
      </c>
      <c r="J55" s="64" t="inlineStr">
        <is>
          <t>بله</t>
        </is>
      </c>
      <c r="K55">
        <f>IF($A55="","",IF(LEFT($A55,3)="CAP","سرمایه و آورده صاحبان",IF(LEFT($A55,2)="SL","بارفروش",IF(LEFT($A55,2)="BD","باسکول دیگران",IF(LEFT($A55,1)="C","باغدار",IF(LEFT($A55,1)="S","فروشنده سبد/تأمین‌کننده",IF(LEFT($A55,1)="E","کارمند",IF(LEFT($A55,1)="X","سایر حساب",IF(LEFT($A55,1)="F","دارایی ثابت",IF(LEFT($A55,1)="L","وام و تسهیلات",""))))))))))</f>
        <v/>
      </c>
      <c r="L55" s="65" t="n"/>
      <c r="M55">
        <f>IF(OR($B55="",$A55=""),"",IF(OR($B55=$K55,AND(LEFT($A55,1)="S",OR($B55="فروشنده سبد",$B55="تأمین‌کننده")),AND(LEFT($A55,2)="BD",$B55="باسکول دیگران")),"✓","⚠"))</f>
        <v/>
      </c>
    </row>
    <row r="56" ht="21" customHeight="1">
      <c r="A56" s="63" t="inlineStr">
        <is>
          <t>C047</t>
        </is>
      </c>
      <c r="B56" s="64" t="inlineStr">
        <is>
          <t>باغدار</t>
        </is>
      </c>
      <c r="C56" s="65" t="n"/>
      <c r="D56" s="65" t="inlineStr">
        <is>
          <t>عزیز زاده</t>
        </is>
      </c>
      <c r="E56" s="65" t="n"/>
      <c r="F56" s="65" t="n"/>
      <c r="G56" s="65" t="n"/>
      <c r="H56" s="142" t="n">
        <v>0</v>
      </c>
      <c r="I56" s="64" t="inlineStr">
        <is>
          <t>طرف حساب</t>
        </is>
      </c>
      <c r="J56" s="64" t="inlineStr">
        <is>
          <t>بله</t>
        </is>
      </c>
      <c r="K56">
        <f>IF($A56="","",IF(LEFT($A56,3)="CAP","سرمایه و آورده صاحبان",IF(LEFT($A56,2)="SL","بارفروش",IF(LEFT($A56,2)="BD","باسکول دیگران",IF(LEFT($A56,1)="C","باغدار",IF(LEFT($A56,1)="S","فروشنده سبد/تأمین‌کننده",IF(LEFT($A56,1)="E","کارمند",IF(LEFT($A56,1)="X","سایر حساب",IF(LEFT($A56,1)="F","دارایی ثابت",IF(LEFT($A56,1)="L","وام و تسهیلات",""))))))))))</f>
        <v/>
      </c>
      <c r="L56" s="65" t="n"/>
      <c r="M56">
        <f>IF(OR($B56="",$A56=""),"",IF(OR($B56=$K56,AND(LEFT($A56,1)="S",OR($B56="فروشنده سبد",$B56="تأمین‌کننده")),AND(LEFT($A56,2)="BD",$B56="باسکول دیگران")),"✓","⚠"))</f>
        <v/>
      </c>
    </row>
    <row r="57" ht="21" customHeight="1">
      <c r="A57" s="63" t="inlineStr">
        <is>
          <t>C048</t>
        </is>
      </c>
      <c r="B57" s="64" t="inlineStr">
        <is>
          <t>باغدار</t>
        </is>
      </c>
      <c r="C57" s="65" t="n"/>
      <c r="D57" s="65" t="inlineStr">
        <is>
          <t>تقی اصغرنیا</t>
        </is>
      </c>
      <c r="E57" s="65" t="n"/>
      <c r="F57" s="65" t="n"/>
      <c r="G57" s="65" t="n"/>
      <c r="H57" s="142" t="n">
        <v>0</v>
      </c>
      <c r="I57" s="64" t="inlineStr">
        <is>
          <t>طرف حساب</t>
        </is>
      </c>
      <c r="J57" s="64" t="inlineStr">
        <is>
          <t>بله</t>
        </is>
      </c>
      <c r="K57">
        <f>IF($A57="","",IF(LEFT($A57,3)="CAP","سرمایه و آورده صاحبان",IF(LEFT($A57,2)="SL","بارفروش",IF(LEFT($A57,2)="BD","باسکول دیگران",IF(LEFT($A57,1)="C","باغدار",IF(LEFT($A57,1)="S","فروشنده سبد/تأمین‌کننده",IF(LEFT($A57,1)="E","کارمند",IF(LEFT($A57,1)="X","سایر حساب",IF(LEFT($A57,1)="F","دارایی ثابت",IF(LEFT($A57,1)="L","وام و تسهیلات",""))))))))))</f>
        <v/>
      </c>
      <c r="L57" s="65" t="n"/>
      <c r="M57">
        <f>IF(OR($B57="",$A57=""),"",IF(OR($B57=$K57,AND(LEFT($A57,1)="S",OR($B57="فروشنده سبد",$B57="تأمین‌کننده")),AND(LEFT($A57,2)="BD",$B57="باسکول دیگران")),"✓","⚠"))</f>
        <v/>
      </c>
    </row>
    <row r="58" ht="21" customHeight="1">
      <c r="A58" s="63" t="inlineStr">
        <is>
          <t>C049</t>
        </is>
      </c>
      <c r="B58" s="64" t="inlineStr">
        <is>
          <t>باغدار</t>
        </is>
      </c>
      <c r="C58" s="65" t="n"/>
      <c r="D58" s="65" t="inlineStr">
        <is>
          <t>مدانلو</t>
        </is>
      </c>
      <c r="E58" s="65" t="n"/>
      <c r="F58" s="65" t="n"/>
      <c r="G58" s="65" t="n"/>
      <c r="H58" s="142" t="n">
        <v>0</v>
      </c>
      <c r="I58" s="64" t="inlineStr">
        <is>
          <t>طرف حساب</t>
        </is>
      </c>
      <c r="J58" s="64" t="inlineStr">
        <is>
          <t>بله</t>
        </is>
      </c>
      <c r="K58">
        <f>IF($A58="","",IF(LEFT($A58,3)="CAP","سرمایه و آورده صاحبان",IF(LEFT($A58,2)="SL","بارفروش",IF(LEFT($A58,2)="BD","باسکول دیگران",IF(LEFT($A58,1)="C","باغدار",IF(LEFT($A58,1)="S","فروشنده سبد/تأمین‌کننده",IF(LEFT($A58,1)="E","کارمند",IF(LEFT($A58,1)="X","سایر حساب",IF(LEFT($A58,1)="F","دارایی ثابت",IF(LEFT($A58,1)="L","وام و تسهیلات",""))))))))))</f>
        <v/>
      </c>
      <c r="L58" s="65" t="n"/>
      <c r="M58">
        <f>IF(OR($B58="",$A58=""),"",IF(OR($B58=$K58,AND(LEFT($A58,1)="S",OR($B58="فروشنده سبد",$B58="تأمین‌کننده")),AND(LEFT($A58,2)="BD",$B58="باسکول دیگران")),"✓","⚠"))</f>
        <v/>
      </c>
    </row>
    <row r="59" ht="21" customHeight="1">
      <c r="A59" s="63" t="inlineStr">
        <is>
          <t>C050</t>
        </is>
      </c>
      <c r="B59" s="64" t="inlineStr">
        <is>
          <t>باغدار</t>
        </is>
      </c>
      <c r="C59" s="65" t="n"/>
      <c r="D59" s="65" t="inlineStr">
        <is>
          <t>خدیجه اصغرنیا</t>
        </is>
      </c>
      <c r="E59" s="65" t="n"/>
      <c r="F59" s="65" t="n"/>
      <c r="G59" s="65" t="n"/>
      <c r="H59" s="142" t="n">
        <v>0</v>
      </c>
      <c r="I59" s="64" t="inlineStr">
        <is>
          <t>طرف حساب</t>
        </is>
      </c>
      <c r="J59" s="64" t="inlineStr">
        <is>
          <t>بله</t>
        </is>
      </c>
      <c r="K59">
        <f>IF($A59="","",IF(LEFT($A59,3)="CAP","سرمایه و آورده صاحبان",IF(LEFT($A59,2)="SL","بارفروش",IF(LEFT($A59,2)="BD","باسکول دیگران",IF(LEFT($A59,1)="C","باغدار",IF(LEFT($A59,1)="S","فروشنده سبد/تأمین‌کننده",IF(LEFT($A59,1)="E","کارمند",IF(LEFT($A59,1)="X","سایر حساب",IF(LEFT($A59,1)="F","دارایی ثابت",IF(LEFT($A59,1)="L","وام و تسهیلات",""))))))))))</f>
        <v/>
      </c>
      <c r="L59" s="65" t="n"/>
      <c r="M59">
        <f>IF(OR($B59="",$A59=""),"",IF(OR($B59=$K59,AND(LEFT($A59,1)="S",OR($B59="فروشنده سبد",$B59="تأمین‌کننده")),AND(LEFT($A59,2)="BD",$B59="باسکول دیگران")),"✓","⚠"))</f>
        <v/>
      </c>
    </row>
    <row r="60" ht="21" customHeight="1">
      <c r="A60" s="63" t="inlineStr">
        <is>
          <t>C051</t>
        </is>
      </c>
      <c r="B60" s="64" t="inlineStr">
        <is>
          <t>باغدار</t>
        </is>
      </c>
      <c r="C60" s="65" t="n"/>
      <c r="D60" s="65" t="inlineStr">
        <is>
          <t>اصغر عزیزی</t>
        </is>
      </c>
      <c r="E60" s="65" t="n"/>
      <c r="F60" s="65" t="n"/>
      <c r="G60" s="65" t="n"/>
      <c r="H60" s="142" t="n">
        <v>0</v>
      </c>
      <c r="I60" s="64" t="inlineStr">
        <is>
          <t>طرف حساب</t>
        </is>
      </c>
      <c r="J60" s="64" t="inlineStr">
        <is>
          <t>بله</t>
        </is>
      </c>
      <c r="K60">
        <f>IF($A60="","",IF(LEFT($A60,3)="CAP","سرمایه و آورده صاحبان",IF(LEFT($A60,2)="SL","بارفروش",IF(LEFT($A60,2)="BD","باسکول دیگران",IF(LEFT($A60,1)="C","باغدار",IF(LEFT($A60,1)="S","فروشنده سبد/تأمین‌کننده",IF(LEFT($A60,1)="E","کارمند",IF(LEFT($A60,1)="X","سایر حساب",IF(LEFT($A60,1)="F","دارایی ثابت",IF(LEFT($A60,1)="L","وام و تسهیلات",""))))))))))</f>
        <v/>
      </c>
      <c r="L60" s="65" t="n"/>
      <c r="M60">
        <f>IF(OR($B60="",$A60=""),"",IF(OR($B60=$K60,AND(LEFT($A60,1)="S",OR($B60="فروشنده سبد",$B60="تأمین‌کننده")),AND(LEFT($A60,2)="BD",$B60="باسکول دیگران")),"✓","⚠"))</f>
        <v/>
      </c>
    </row>
    <row r="61" ht="21" customHeight="1">
      <c r="A61" s="63" t="inlineStr">
        <is>
          <t>C052</t>
        </is>
      </c>
      <c r="B61" s="64" t="inlineStr">
        <is>
          <t>باغدار</t>
        </is>
      </c>
      <c r="C61" s="65" t="n"/>
      <c r="D61" s="65" t="inlineStr">
        <is>
          <t>غلامی</t>
        </is>
      </c>
      <c r="E61" s="65" t="n"/>
      <c r="F61" s="65" t="n"/>
      <c r="G61" s="65" t="n"/>
      <c r="H61" s="142" t="n">
        <v>0</v>
      </c>
      <c r="I61" s="64" t="inlineStr">
        <is>
          <t>طرف حساب</t>
        </is>
      </c>
      <c r="J61" s="64" t="inlineStr">
        <is>
          <t>بله</t>
        </is>
      </c>
      <c r="K61">
        <f>IF($A61="","",IF(LEFT($A61,3)="CAP","سرمایه و آورده صاحبان",IF(LEFT($A61,2)="SL","بارفروش",IF(LEFT($A61,2)="BD","باسکول دیگران",IF(LEFT($A61,1)="C","باغدار",IF(LEFT($A61,1)="S","فروشنده سبد/تأمین‌کننده",IF(LEFT($A61,1)="E","کارمند",IF(LEFT($A61,1)="X","سایر حساب",IF(LEFT($A61,1)="F","دارایی ثابت",IF(LEFT($A61,1)="L","وام و تسهیلات",""))))))))))</f>
        <v/>
      </c>
      <c r="L61" s="65" t="n"/>
      <c r="M61">
        <f>IF(OR($B61="",$A61=""),"",IF(OR($B61=$K61,AND(LEFT($A61,1)="S",OR($B61="فروشنده سبد",$B61="تأمین‌کننده")),AND(LEFT($A61,2)="BD",$B61="باسکول دیگران")),"✓","⚠"))</f>
        <v/>
      </c>
    </row>
    <row r="62" ht="21" customHeight="1">
      <c r="A62" s="63" t="inlineStr">
        <is>
          <t>C053</t>
        </is>
      </c>
      <c r="B62" s="64" t="inlineStr">
        <is>
          <t>باغدار</t>
        </is>
      </c>
      <c r="C62" s="65" t="n"/>
      <c r="D62" s="65" t="inlineStr">
        <is>
          <t>علی عزیزنژاد</t>
        </is>
      </c>
      <c r="E62" s="65" t="n"/>
      <c r="F62" s="65" t="n"/>
      <c r="G62" s="65" t="n"/>
      <c r="H62" s="142" t="n">
        <v>0</v>
      </c>
      <c r="I62" s="64" t="inlineStr">
        <is>
          <t>طرف حساب</t>
        </is>
      </c>
      <c r="J62" s="64" t="inlineStr">
        <is>
          <t>بله</t>
        </is>
      </c>
      <c r="K62">
        <f>IF($A62="","",IF(LEFT($A62,3)="CAP","سرمایه و آورده صاحبان",IF(LEFT($A62,2)="SL","بارفروش",IF(LEFT($A62,2)="BD","باسکول دیگران",IF(LEFT($A62,1)="C","باغدار",IF(LEFT($A62,1)="S","فروشنده سبد/تأمین‌کننده",IF(LEFT($A62,1)="E","کارمند",IF(LEFT($A62,1)="X","سایر حساب",IF(LEFT($A62,1)="F","دارایی ثابت",IF(LEFT($A62,1)="L","وام و تسهیلات",""))))))))))</f>
        <v/>
      </c>
      <c r="L62" s="65" t="n"/>
      <c r="M62">
        <f>IF(OR($B62="",$A62=""),"",IF(OR($B62=$K62,AND(LEFT($A62,1)="S",OR($B62="فروشنده سبد",$B62="تأمین‌کننده")),AND(LEFT($A62,2)="BD",$B62="باسکول دیگران")),"✓","⚠"))</f>
        <v/>
      </c>
    </row>
    <row r="63" ht="21" customHeight="1">
      <c r="A63" s="63" t="inlineStr">
        <is>
          <t>C054</t>
        </is>
      </c>
      <c r="B63" s="64" t="inlineStr">
        <is>
          <t>باغدار</t>
        </is>
      </c>
      <c r="C63" s="65" t="n"/>
      <c r="D63" s="65" t="inlineStr">
        <is>
          <t>حسن عیسی پور</t>
        </is>
      </c>
      <c r="E63" s="65" t="n"/>
      <c r="F63" s="65" t="n"/>
      <c r="G63" s="65" t="n"/>
      <c r="H63" s="142" t="n">
        <v>0</v>
      </c>
      <c r="I63" s="64" t="inlineStr">
        <is>
          <t>طرف حساب</t>
        </is>
      </c>
      <c r="J63" s="64" t="inlineStr">
        <is>
          <t>بله</t>
        </is>
      </c>
      <c r="K63">
        <f>IF($A63="","",IF(LEFT($A63,3)="CAP","سرمایه و آورده صاحبان",IF(LEFT($A63,2)="SL","بارفروش",IF(LEFT($A63,2)="BD","باسکول دیگران",IF(LEFT($A63,1)="C","باغدار",IF(LEFT($A63,1)="S","فروشنده سبد/تأمین‌کننده",IF(LEFT($A63,1)="E","کارمند",IF(LEFT($A63,1)="X","سایر حساب",IF(LEFT($A63,1)="F","دارایی ثابت",IF(LEFT($A63,1)="L","وام و تسهیلات",""))))))))))</f>
        <v/>
      </c>
      <c r="L63" s="65" t="n"/>
      <c r="M63">
        <f>IF(OR($B63="",$A63=""),"",IF(OR($B63=$K63,AND(LEFT($A63,1)="S",OR($B63="فروشنده سبد",$B63="تأمین‌کننده")),AND(LEFT($A63,2)="BD",$B63="باسکول دیگران")),"✓","⚠"))</f>
        <v/>
      </c>
    </row>
    <row r="64" ht="21" customHeight="1">
      <c r="A64" s="63" t="inlineStr">
        <is>
          <t>C055</t>
        </is>
      </c>
      <c r="B64" s="64" t="inlineStr">
        <is>
          <t>باغدار</t>
        </is>
      </c>
      <c r="C64" s="65" t="n"/>
      <c r="D64" s="65" t="inlineStr">
        <is>
          <t>عسگری محمودی</t>
        </is>
      </c>
      <c r="E64" s="65" t="n"/>
      <c r="F64" s="65" t="n"/>
      <c r="G64" s="65" t="n"/>
      <c r="H64" s="142" t="n">
        <v>0</v>
      </c>
      <c r="I64" s="64" t="inlineStr">
        <is>
          <t>طرف حساب</t>
        </is>
      </c>
      <c r="J64" s="64" t="inlineStr">
        <is>
          <t>بله</t>
        </is>
      </c>
      <c r="K64">
        <f>IF($A64="","",IF(LEFT($A64,3)="CAP","سرمایه و آورده صاحبان",IF(LEFT($A64,2)="SL","بارفروش",IF(LEFT($A64,2)="BD","باسکول دیگران",IF(LEFT($A64,1)="C","باغدار",IF(LEFT($A64,1)="S","فروشنده سبد/تأمین‌کننده",IF(LEFT($A64,1)="E","کارمند",IF(LEFT($A64,1)="X","سایر حساب",IF(LEFT($A64,1)="F","دارایی ثابت",IF(LEFT($A64,1)="L","وام و تسهیلات",""))))))))))</f>
        <v/>
      </c>
      <c r="L64" s="65" t="n"/>
      <c r="M64">
        <f>IF(OR($B64="",$A64=""),"",IF(OR($B64=$K64,AND(LEFT($A64,1)="S",OR($B64="فروشنده سبد",$B64="تأمین‌کننده")),AND(LEFT($A64,2)="BD",$B64="باسکول دیگران")),"✓","⚠"))</f>
        <v/>
      </c>
    </row>
    <row r="65" ht="21" customHeight="1">
      <c r="A65" s="63" t="inlineStr">
        <is>
          <t>C056</t>
        </is>
      </c>
      <c r="B65" s="64" t="inlineStr">
        <is>
          <t>باغدار</t>
        </is>
      </c>
      <c r="C65" s="65" t="n"/>
      <c r="D65" s="65" t="inlineStr">
        <is>
          <t>اسماعیل حیدری</t>
        </is>
      </c>
      <c r="E65" s="65" t="n"/>
      <c r="F65" s="65" t="n"/>
      <c r="G65" s="65" t="n"/>
      <c r="H65" s="142" t="n">
        <v>0</v>
      </c>
      <c r="I65" s="64" t="inlineStr">
        <is>
          <t>طرف حساب</t>
        </is>
      </c>
      <c r="J65" s="64" t="inlineStr">
        <is>
          <t>بله</t>
        </is>
      </c>
      <c r="K65">
        <f>IF($A65="","",IF(LEFT($A65,3)="CAP","سرمایه و آورده صاحبان",IF(LEFT($A65,2)="SL","بارفروش",IF(LEFT($A65,2)="BD","باسکول دیگران",IF(LEFT($A65,1)="C","باغدار",IF(LEFT($A65,1)="S","فروشنده سبد/تأمین‌کننده",IF(LEFT($A65,1)="E","کارمند",IF(LEFT($A65,1)="X","سایر حساب",IF(LEFT($A65,1)="F","دارایی ثابت",IF(LEFT($A65,1)="L","وام و تسهیلات",""))))))))))</f>
        <v/>
      </c>
      <c r="L65" s="65" t="n"/>
      <c r="M65">
        <f>IF(OR($B65="",$A65=""),"",IF(OR($B65=$K65,AND(LEFT($A65,1)="S",OR($B65="فروشنده سبد",$B65="تأمین‌کننده")),AND(LEFT($A65,2)="BD",$B65="باسکول دیگران")),"✓","⚠"))</f>
        <v/>
      </c>
    </row>
    <row r="66" ht="21" customHeight="1">
      <c r="A66" s="63" t="inlineStr">
        <is>
          <t>C057</t>
        </is>
      </c>
      <c r="B66" s="64" t="inlineStr">
        <is>
          <t>باغدار</t>
        </is>
      </c>
      <c r="C66" s="65" t="n"/>
      <c r="D66" s="65" t="inlineStr">
        <is>
          <t>کبری اصغرنیا</t>
        </is>
      </c>
      <c r="E66" s="65" t="n"/>
      <c r="F66" s="65" t="n"/>
      <c r="G66" s="65" t="n"/>
      <c r="H66" s="142" t="n">
        <v>0</v>
      </c>
      <c r="I66" s="64" t="inlineStr">
        <is>
          <t>طرف حساب</t>
        </is>
      </c>
      <c r="J66" s="64" t="inlineStr">
        <is>
          <t>بله</t>
        </is>
      </c>
      <c r="K66">
        <f>IF($A66="","",IF(LEFT($A66,3)="CAP","سرمایه و آورده صاحبان",IF(LEFT($A66,2)="SL","بارفروش",IF(LEFT($A66,2)="BD","باسکول دیگران",IF(LEFT($A66,1)="C","باغدار",IF(LEFT($A66,1)="S","فروشنده سبد/تأمین‌کننده",IF(LEFT($A66,1)="E","کارمند",IF(LEFT($A66,1)="X","سایر حساب",IF(LEFT($A66,1)="F","دارایی ثابت",IF(LEFT($A66,1)="L","وام و تسهیلات",""))))))))))</f>
        <v/>
      </c>
      <c r="L66" s="65" t="n"/>
      <c r="M66">
        <f>IF(OR($B66="",$A66=""),"",IF(OR($B66=$K66,AND(LEFT($A66,1)="S",OR($B66="فروشنده سبد",$B66="تأمین‌کننده")),AND(LEFT($A66,2)="BD",$B66="باسکول دیگران")),"✓","⚠"))</f>
        <v/>
      </c>
    </row>
    <row r="67" ht="21" customHeight="1">
      <c r="A67" s="63" t="inlineStr">
        <is>
          <t>SL001</t>
        </is>
      </c>
      <c r="B67" s="64" t="inlineStr">
        <is>
          <t>بارفروش</t>
        </is>
      </c>
      <c r="C67" s="65" t="inlineStr">
        <is>
          <t>میدان بار شهرستان</t>
        </is>
      </c>
      <c r="D67" s="65" t="inlineStr">
        <is>
          <t>قم — سید حسین حسینی</t>
        </is>
      </c>
      <c r="E67" s="65" t="n"/>
      <c r="F67" s="65" t="inlineStr">
        <is>
          <t>9125528445</t>
        </is>
      </c>
      <c r="G67" s="65" t="inlineStr">
        <is>
          <t>قم، میدان تره‌بار، بلوک ۴، غرفه ۲۲</t>
        </is>
      </c>
      <c r="H67" s="142" t="n">
        <v>0</v>
      </c>
      <c r="I67" s="64" t="inlineStr">
        <is>
          <t>طرف حساب</t>
        </is>
      </c>
      <c r="J67" s="64" t="inlineStr">
        <is>
          <t>بله</t>
        </is>
      </c>
      <c r="K67">
        <f>IF($A67="","",IF(LEFT($A67,3)="CAP","سرمایه و آورده صاحبان",IF(LEFT($A67,2)="SL","بارفروش",IF(LEFT($A67,2)="BD","باسکول دیگران",IF(LEFT($A67,1)="C","باغدار",IF(LEFT($A67,1)="S","فروشنده سبد/تأمین‌کننده",IF(LEFT($A67,1)="E","کارمند",IF(LEFT($A67,1)="X","سایر حساب",IF(LEFT($A67,1)="F","دارایی ثابت",IF(LEFT($A67,1)="L","وام و تسهیلات",""))))))))))</f>
        <v/>
      </c>
      <c r="L67" s="65" t="inlineStr">
        <is>
          <t>خریدار بار — فروش خروجی باسکول</t>
        </is>
      </c>
      <c r="M67">
        <f>IF(OR($B67="",$A67=""),"",IF(OR($B67=$K67,AND(LEFT($A67,1)="S",OR($B67="فروشنده سبد",$B67="تأمین‌کننده")),AND(LEFT($A67,2)="BD",$B67="باسکول دیگران")),"✓","⚠"))</f>
        <v/>
      </c>
    </row>
    <row r="68" ht="21" customHeight="1">
      <c r="A68" s="63" t="inlineStr">
        <is>
          <t>SL002</t>
        </is>
      </c>
      <c r="B68" s="64" t="inlineStr">
        <is>
          <t>بارفروش</t>
        </is>
      </c>
      <c r="C68" s="65" t="inlineStr">
        <is>
          <t>میدان بار شهرستان</t>
        </is>
      </c>
      <c r="D68" s="65" t="inlineStr">
        <is>
          <t>مشهد — محمد توکلی</t>
        </is>
      </c>
      <c r="E68" s="65" t="n"/>
      <c r="F68" s="65" t="inlineStr">
        <is>
          <t>9154018185</t>
        </is>
      </c>
      <c r="G68" s="65" t="inlineStr">
        <is>
          <t>مشهد، میدان بار سپاد، تالار ۶، حجره ۱۵</t>
        </is>
      </c>
      <c r="H68" s="142" t="n">
        <v>0</v>
      </c>
      <c r="I68" s="64" t="inlineStr">
        <is>
          <t>طرف حساب</t>
        </is>
      </c>
      <c r="J68" s="64" t="inlineStr">
        <is>
          <t>بله</t>
        </is>
      </c>
      <c r="K68">
        <f>IF($A68="","",IF(LEFT($A68,3)="CAP","سرمایه و آورده صاحبان",IF(LEFT($A68,2)="SL","بارفروش",IF(LEFT($A68,2)="BD","باسکول دیگران",IF(LEFT($A68,1)="C","باغدار",IF(LEFT($A68,1)="S","فروشنده سبد/تأمین‌کننده",IF(LEFT($A68,1)="E","کارمند",IF(LEFT($A68,1)="X","سایر حساب",IF(LEFT($A68,1)="F","دارایی ثابت",IF(LEFT($A68,1)="L","وام و تسهیلات",""))))))))))</f>
        <v/>
      </c>
      <c r="L68" s="65" t="inlineStr">
        <is>
          <t>خریدار بار — فروش خروجی باسکول</t>
        </is>
      </c>
      <c r="M68">
        <f>IF(OR($B68="",$A68=""),"",IF(OR($B68=$K68,AND(LEFT($A68,1)="S",OR($B68="فروشنده سبد",$B68="تأمین‌کننده")),AND(LEFT($A68,2)="BD",$B68="باسکول دیگران")),"✓","⚠"))</f>
        <v/>
      </c>
    </row>
    <row r="69" ht="21" customHeight="1">
      <c r="A69" s="63" t="inlineStr">
        <is>
          <t>SL003</t>
        </is>
      </c>
      <c r="B69" s="64" t="inlineStr">
        <is>
          <t>بارفروش</t>
        </is>
      </c>
      <c r="C69" s="65" t="inlineStr">
        <is>
          <t>میدان بار شهرستان</t>
        </is>
      </c>
      <c r="D69" s="65" t="inlineStr">
        <is>
          <t>اراک — پوریا خوش‌نمکیان</t>
        </is>
      </c>
      <c r="E69" s="65" t="n"/>
      <c r="F69" s="65" t="inlineStr">
        <is>
          <t>9369182495</t>
        </is>
      </c>
      <c r="G69" s="65" t="inlineStr">
        <is>
          <t>اراک، میدان بار، فاز ۲، سالن شهید رجایی، حجره ۶</t>
        </is>
      </c>
      <c r="H69" s="142" t="n">
        <v>0</v>
      </c>
      <c r="I69" s="64" t="inlineStr">
        <is>
          <t>طرف حساب</t>
        </is>
      </c>
      <c r="J69" s="64" t="inlineStr">
        <is>
          <t>بله</t>
        </is>
      </c>
      <c r="K69">
        <f>IF($A69="","",IF(LEFT($A69,3)="CAP","سرمایه و آورده صاحبان",IF(LEFT($A69,2)="SL","بارفروش",IF(LEFT($A69,2)="BD","باسکول دیگران",IF(LEFT($A69,1)="C","باغدار",IF(LEFT($A69,1)="S","فروشنده سبد/تأمین‌کننده",IF(LEFT($A69,1)="E","کارمند",IF(LEFT($A69,1)="X","سایر حساب",IF(LEFT($A69,1)="F","دارایی ثابت",IF(LEFT($A69,1)="L","وام و تسهیلات",""))))))))))</f>
        <v/>
      </c>
      <c r="L69" s="65" t="inlineStr">
        <is>
          <t>خریدار بار — فروش خروجی باسکول</t>
        </is>
      </c>
      <c r="M69">
        <f>IF(OR($B69="",$A69=""),"",IF(OR($B69=$K69,AND(LEFT($A69,1)="S",OR($B69="فروشنده سبد",$B69="تأمین‌کننده")),AND(LEFT($A69,2)="BD",$B69="باسکول دیگران")),"✓","⚠"))</f>
        <v/>
      </c>
    </row>
    <row r="70" ht="21" customHeight="1">
      <c r="A70" s="63" t="inlineStr">
        <is>
          <t>SL004</t>
        </is>
      </c>
      <c r="B70" s="64" t="inlineStr">
        <is>
          <t>بارفروش</t>
        </is>
      </c>
      <c r="C70" s="65" t="inlineStr">
        <is>
          <t>میدان بار شهرستان</t>
        </is>
      </c>
      <c r="D70" s="65" t="inlineStr">
        <is>
          <t>تبریز — نورزاده</t>
        </is>
      </c>
      <c r="E70" s="65" t="n"/>
      <c r="F70" s="65" t="n"/>
      <c r="G70" s="65" t="n"/>
      <c r="H70" s="142" t="n">
        <v>0</v>
      </c>
      <c r="I70" s="64" t="inlineStr">
        <is>
          <t>طرف حساب</t>
        </is>
      </c>
      <c r="J70" s="64" t="inlineStr">
        <is>
          <t>بله</t>
        </is>
      </c>
      <c r="K70">
        <f>IF($A70="","",IF(LEFT($A70,3)="CAP","سرمایه و آورده صاحبان",IF(LEFT($A70,2)="SL","بارفروش",IF(LEFT($A70,2)="BD","باسکول دیگران",IF(LEFT($A70,1)="C","باغدار",IF(LEFT($A70,1)="S","فروشنده سبد/تأمین‌کننده",IF(LEFT($A70,1)="E","کارمند",IF(LEFT($A70,1)="X","سایر حساب",IF(LEFT($A70,1)="F","دارایی ثابت",IF(LEFT($A70,1)="L","وام و تسهیلات",""))))))))))</f>
        <v/>
      </c>
      <c r="L70" s="65" t="inlineStr">
        <is>
          <t>خریدار بار — فروش خروجی باسکول</t>
        </is>
      </c>
      <c r="M70">
        <f>IF(OR($B70="",$A70=""),"",IF(OR($B70=$K70,AND(LEFT($A70,1)="S",OR($B70="فروشنده سبد",$B70="تأمین‌کننده")),AND(LEFT($A70,2)="BD",$B70="باسکول دیگران")),"✓","⚠"))</f>
        <v/>
      </c>
    </row>
    <row r="71" ht="21" customHeight="1">
      <c r="A71" s="63" t="inlineStr">
        <is>
          <t>SL005</t>
        </is>
      </c>
      <c r="B71" s="64" t="inlineStr">
        <is>
          <t>بارفروش</t>
        </is>
      </c>
      <c r="C71" s="65" t="inlineStr">
        <is>
          <t>میدان بار شهرستان</t>
        </is>
      </c>
      <c r="D71" s="65" t="inlineStr">
        <is>
          <t>زنجان — خانی</t>
        </is>
      </c>
      <c r="E71" s="65" t="n"/>
      <c r="F71" s="65" t="n"/>
      <c r="G71" s="65" t="n"/>
      <c r="H71" s="142" t="n">
        <v>0</v>
      </c>
      <c r="I71" s="64" t="inlineStr">
        <is>
          <t>طرف حساب</t>
        </is>
      </c>
      <c r="J71" s="64" t="inlineStr">
        <is>
          <t>بله</t>
        </is>
      </c>
      <c r="K71">
        <f>IF($A71="","",IF(LEFT($A71,3)="CAP","سرمایه و آورده صاحبان",IF(LEFT($A71,2)="SL","بارفروش",IF(LEFT($A71,2)="BD","باسکول دیگران",IF(LEFT($A71,1)="C","باغدار",IF(LEFT($A71,1)="S","فروشنده سبد/تأمین‌کننده",IF(LEFT($A71,1)="E","کارمند",IF(LEFT($A71,1)="X","سایر حساب",IF(LEFT($A71,1)="F","دارایی ثابت",IF(LEFT($A71,1)="L","وام و تسهیلات",""))))))))))</f>
        <v/>
      </c>
      <c r="L71" s="65" t="inlineStr">
        <is>
          <t>خریدار بار — فروش خروجی باسکول</t>
        </is>
      </c>
      <c r="M71">
        <f>IF(OR($B71="",$A71=""),"",IF(OR($B71=$K71,AND(LEFT($A71,1)="S",OR($B71="فروشنده سبد",$B71="تأمین‌کننده")),AND(LEFT($A71,2)="BD",$B71="باسکول دیگران")),"✓","⚠"))</f>
        <v/>
      </c>
    </row>
    <row r="72" ht="21" customHeight="1">
      <c r="A72" s="63" t="inlineStr">
        <is>
          <t>S001</t>
        </is>
      </c>
      <c r="B72" s="64" t="inlineStr">
        <is>
          <t>فروشنده سبد</t>
        </is>
      </c>
      <c r="C72" s="65" t="inlineStr">
        <is>
          <t>سبد پلاستیکی</t>
        </is>
      </c>
      <c r="D72" s="65" t="inlineStr">
        <is>
          <t>حسن کوچک‌زاده</t>
        </is>
      </c>
      <c r="E72" s="65" t="inlineStr">
        <is>
          <t>011-44440001</t>
        </is>
      </c>
      <c r="F72" s="65" t="inlineStr">
        <is>
          <t>09110000004</t>
        </is>
      </c>
      <c r="G72" s="65" t="inlineStr">
        <is>
          <t>باغدشت</t>
        </is>
      </c>
      <c r="H72" s="142" t="n">
        <v>0</v>
      </c>
      <c r="I72" s="64" t="inlineStr">
        <is>
          <t>طرف حساب</t>
        </is>
      </c>
      <c r="J72" s="64" t="inlineStr">
        <is>
          <t>بله</t>
        </is>
      </c>
      <c r="K72">
        <f>IF($A72="","",IF(LEFT($A72,3)="CAP","سرمایه و آورده صاحبان",IF(LEFT($A72,2)="SL","بارفروش",IF(LEFT($A72,2)="BD","باسکول دیگران",IF(LEFT($A72,1)="C","باغدار",IF(LEFT($A72,1)="S","فروشنده سبد/تأمین‌کننده",IF(LEFT($A72,1)="E","کارمند",IF(LEFT($A72,1)="X","سایر حساب",IF(LEFT($A72,1)="F","دارایی ثابت",IF(LEFT($A72,1)="L","وام و تسهیلات",""))))))))))</f>
        <v/>
      </c>
      <c r="L72" s="65" t="inlineStr">
        <is>
          <t>خرید سبد از باغ</t>
        </is>
      </c>
      <c r="M72">
        <f>IF(OR($B72="",$A72=""),"",IF(OR($B72=$K72,AND(LEFT($A72,1)="S",OR($B72="فروشنده سبد",$B72="تأمین‌کننده")),AND(LEFT($A72,2)="BD",$B72="باسکول دیگران")),"✓","⚠"))</f>
        <v/>
      </c>
    </row>
    <row r="73" ht="21" customHeight="1">
      <c r="A73" s="63" t="inlineStr">
        <is>
          <t>S002</t>
        </is>
      </c>
      <c r="B73" s="64" t="inlineStr">
        <is>
          <t>فروشنده سبد</t>
        </is>
      </c>
      <c r="C73" s="65" t="inlineStr">
        <is>
          <t>سبد پلاستیکی</t>
        </is>
      </c>
      <c r="D73" s="65" t="inlineStr">
        <is>
          <t>سید محمد موسویان</t>
        </is>
      </c>
      <c r="E73" s="65" t="inlineStr">
        <is>
          <t>011-44440002</t>
        </is>
      </c>
      <c r="F73" s="65" t="inlineStr">
        <is>
          <t>09110000005</t>
        </is>
      </c>
      <c r="G73" s="65" t="inlineStr">
        <is>
          <t>قائم‌شهر — میدان بار</t>
        </is>
      </c>
      <c r="H73" s="142" t="n">
        <v>0</v>
      </c>
      <c r="I73" s="64" t="inlineStr">
        <is>
          <t>طرف حساب</t>
        </is>
      </c>
      <c r="J73" s="64" t="inlineStr">
        <is>
          <t>بله</t>
        </is>
      </c>
      <c r="K73">
        <f>IF($A73="","",IF(LEFT($A73,3)="CAP","سرمایه و آورده صاحبان",IF(LEFT($A73,2)="SL","بارفروش",IF(LEFT($A73,2)="BD","باسکول دیگران",IF(LEFT($A73,1)="C","باغدار",IF(LEFT($A73,1)="S","فروشنده سبد/تأمین‌کننده",IF(LEFT($A73,1)="E","کارمند",IF(LEFT($A73,1)="X","سایر حساب",IF(LEFT($A73,1)="F","دارایی ثابت",IF(LEFT($A73,1)="L","وام و تسهیلات",""))))))))))</f>
        <v/>
      </c>
      <c r="L73" s="65" t="inlineStr">
        <is>
          <t>خرید سبد از میدان بار</t>
        </is>
      </c>
      <c r="M73">
        <f>IF(OR($B73="",$A73=""),"",IF(OR($B73=$K73,AND(LEFT($A73,1)="S",OR($B73="فروشنده سبد",$B73="تأمین‌کننده")),AND(LEFT($A73,2)="BD",$B73="باسکول دیگران")),"✓","⚠"))</f>
        <v/>
      </c>
    </row>
    <row r="74" ht="21" customHeight="1">
      <c r="A74" s="63" t="inlineStr">
        <is>
          <t>S003</t>
        </is>
      </c>
      <c r="B74" s="64" t="inlineStr">
        <is>
          <t>فروشنده سبد</t>
        </is>
      </c>
      <c r="C74" s="65" t="inlineStr">
        <is>
          <t>سبد پلاستیکی</t>
        </is>
      </c>
      <c r="D74" s="65" t="inlineStr">
        <is>
          <t>سید ربیع موسویان</t>
        </is>
      </c>
      <c r="E74" s="65" t="n"/>
      <c r="F74" s="65" t="n"/>
      <c r="G74" s="65" t="n"/>
      <c r="H74" s="142" t="n">
        <v>0</v>
      </c>
      <c r="I74" s="64" t="inlineStr">
        <is>
          <t>طرف حساب</t>
        </is>
      </c>
      <c r="J74" s="64" t="inlineStr">
        <is>
          <t>بله</t>
        </is>
      </c>
      <c r="K74">
        <f>IF($A74="","",IF(LEFT($A74,3)="CAP","سرمایه و آورده صاحبان",IF(LEFT($A74,2)="SL","بارفروش",IF(LEFT($A74,2)="BD","باسکول دیگران",IF(LEFT($A74,1)="C","باغدار",IF(LEFT($A74,1)="S","فروشنده سبد/تأمین‌کننده",IF(LEFT($A74,1)="E","کارمند",IF(LEFT($A74,1)="X","سایر حساب",IF(LEFT($A74,1)="F","دارایی ثابت",IF(LEFT($A74,1)="L","وام و تسهیلات",""))))))))))</f>
        <v/>
      </c>
      <c r="L74" s="65" t="n"/>
      <c r="M74">
        <f>IF(OR($B74="",$A74=""),"",IF(OR($B74=$K74,AND(LEFT($A74,1)="S",OR($B74="فروشنده سبد",$B74="تأمین‌کننده")),AND(LEFT($A74,2)="BD",$B74="باسکول دیگران")),"✓","⚠"))</f>
        <v/>
      </c>
    </row>
    <row r="75" ht="21" customHeight="1">
      <c r="A75" s="63" t="inlineStr">
        <is>
          <t>E001</t>
        </is>
      </c>
      <c r="B75" s="64" t="inlineStr">
        <is>
          <t>کارمند</t>
        </is>
      </c>
      <c r="C75" s="65" t="inlineStr">
        <is>
          <t>مدیرعامل</t>
        </is>
      </c>
      <c r="D75" s="65" t="inlineStr">
        <is>
          <t>قاسم زاهدی تیر</t>
        </is>
      </c>
      <c r="E75" s="65" t="n"/>
      <c r="F75" s="65" t="inlineStr">
        <is>
          <t>09110000010</t>
        </is>
      </c>
      <c r="G75" s="65" t="inlineStr">
        <is>
          <t>قائم‌شهر</t>
        </is>
      </c>
      <c r="H75" s="142" t="n">
        <v>0</v>
      </c>
      <c r="I75" s="64" t="inlineStr">
        <is>
          <t>طرف حساب</t>
        </is>
      </c>
      <c r="J75" s="64" t="inlineStr">
        <is>
          <t>بله</t>
        </is>
      </c>
      <c r="K75">
        <f>IF($A75="","",IF(LEFT($A75,3)="CAP","سرمایه و آورده صاحبان",IF(LEFT($A75,2)="SL","بارفروش",IF(LEFT($A75,2)="BD","باسکول دیگران",IF(LEFT($A75,1)="C","باغدار",IF(LEFT($A75,1)="S","فروشنده سبد/تأمین‌کننده",IF(LEFT($A75,1)="E","کارمند",IF(LEFT($A75,1)="X","سایر حساب",IF(LEFT($A75,1)="F","دارایی ثابت",IF(LEFT($A75,1)="L","وام و تسهیلات",""))))))))))</f>
        <v/>
      </c>
      <c r="L75" s="65" t="inlineStr">
        <is>
          <t>مدیرعامل شرکت</t>
        </is>
      </c>
      <c r="M75">
        <f>IF(OR($B75="",$A75=""),"",IF(OR($B75=$K75,AND(LEFT($A75,1)="S",OR($B75="فروشنده سبد",$B75="تأمین‌کننده")),AND(LEFT($A75,2)="BD",$B75="باسکول دیگران")),"✓","⚠"))</f>
        <v/>
      </c>
    </row>
    <row r="76" ht="21" customHeight="1">
      <c r="A76" s="63" t="inlineStr">
        <is>
          <t>E002</t>
        </is>
      </c>
      <c r="B76" s="64" t="inlineStr">
        <is>
          <t>کارمند</t>
        </is>
      </c>
      <c r="C76" s="65" t="inlineStr">
        <is>
          <t>حسابدار</t>
        </is>
      </c>
      <c r="D76" s="65" t="inlineStr">
        <is>
          <t>(نام حسابدار)</t>
        </is>
      </c>
      <c r="E76" s="65" t="n"/>
      <c r="F76" s="65" t="inlineStr">
        <is>
          <t>09110000011</t>
        </is>
      </c>
      <c r="G76" s="65" t="inlineStr">
        <is>
          <t>قائم‌شهر</t>
        </is>
      </c>
      <c r="H76" s="142" t="n">
        <v>0</v>
      </c>
      <c r="I76" s="64" t="inlineStr">
        <is>
          <t>طرف حساب</t>
        </is>
      </c>
      <c r="J76" s="64" t="inlineStr">
        <is>
          <t>بله</t>
        </is>
      </c>
      <c r="K76">
        <f>IF($A76="","",IF(LEFT($A76,3)="CAP","سرمایه و آورده صاحبان",IF(LEFT($A76,2)="SL","بارفروش",IF(LEFT($A76,2)="BD","باسکول دیگران",IF(LEFT($A76,1)="C","باغدار",IF(LEFT($A76,1)="S","فروشنده سبد/تأمین‌کننده",IF(LEFT($A76,1)="E","کارمند",IF(LEFT($A76,1)="X","سایر حساب",IF(LEFT($A76,1)="F","دارایی ثابت",IF(LEFT($A76,1)="L","وام و تسهیلات",""))))))))))</f>
        <v/>
      </c>
      <c r="L76" s="65" t="n"/>
      <c r="M76">
        <f>IF(OR($B76="",$A76=""),"",IF(OR($B76=$K76,AND(LEFT($A76,1)="S",OR($B76="فروشنده سبد",$B76="تأمین‌کننده")),AND(LEFT($A76,2)="BD",$B76="باسکول دیگران")),"✓","⚠"))</f>
        <v/>
      </c>
    </row>
    <row r="77" ht="21" customHeight="1">
      <c r="A77" s="63" t="inlineStr">
        <is>
          <t>E003</t>
        </is>
      </c>
      <c r="B77" s="64" t="inlineStr">
        <is>
          <t>کارمند</t>
        </is>
      </c>
      <c r="C77" s="65" t="inlineStr">
        <is>
          <t>فروشنده</t>
        </is>
      </c>
      <c r="D77" s="65" t="inlineStr">
        <is>
          <t>(نام فروشنده ۱)</t>
        </is>
      </c>
      <c r="E77" s="65" t="n"/>
      <c r="F77" s="65" t="inlineStr">
        <is>
          <t>09110000012</t>
        </is>
      </c>
      <c r="G77" s="65" t="inlineStr">
        <is>
          <t>قائم‌شهر</t>
        </is>
      </c>
      <c r="H77" s="142" t="n">
        <v>0</v>
      </c>
      <c r="I77" s="64" t="inlineStr">
        <is>
          <t>طرف حساب</t>
        </is>
      </c>
      <c r="J77" s="64" t="inlineStr">
        <is>
          <t>بله</t>
        </is>
      </c>
      <c r="K77">
        <f>IF($A77="","",IF(LEFT($A77,3)="CAP","سرمایه و آورده صاحبان",IF(LEFT($A77,2)="SL","بارفروش",IF(LEFT($A77,2)="BD","باسکول دیگران",IF(LEFT($A77,1)="C","باغدار",IF(LEFT($A77,1)="S","فروشنده سبد/تأمین‌کننده",IF(LEFT($A77,1)="E","کارمند",IF(LEFT($A77,1)="X","سایر حساب",IF(LEFT($A77,1)="F","دارایی ثابت",IF(LEFT($A77,1)="L","وام و تسهیلات",""))))))))))</f>
        <v/>
      </c>
      <c r="L77" s="65" t="n"/>
      <c r="M77">
        <f>IF(OR($B77="",$A77=""),"",IF(OR($B77=$K77,AND(LEFT($A77,1)="S",OR($B77="فروشنده سبد",$B77="تأمین‌کننده")),AND(LEFT($A77,2)="BD",$B77="باسکول دیگران")),"✓","⚠"))</f>
        <v/>
      </c>
    </row>
    <row r="78" ht="21" customHeight="1">
      <c r="A78" s="63" t="inlineStr">
        <is>
          <t>E004</t>
        </is>
      </c>
      <c r="B78" s="64" t="inlineStr">
        <is>
          <t>کارمند</t>
        </is>
      </c>
      <c r="C78" s="65" t="inlineStr">
        <is>
          <t>انباردار</t>
        </is>
      </c>
      <c r="D78" s="65" t="inlineStr">
        <is>
          <t>(نام انباردار)</t>
        </is>
      </c>
      <c r="E78" s="65" t="n"/>
      <c r="F78" s="65" t="inlineStr">
        <is>
          <t>09110000013</t>
        </is>
      </c>
      <c r="G78" s="65" t="inlineStr">
        <is>
          <t>قائم‌شهر</t>
        </is>
      </c>
      <c r="H78" s="142" t="n">
        <v>0</v>
      </c>
      <c r="I78" s="64" t="inlineStr">
        <is>
          <t>طرف حساب</t>
        </is>
      </c>
      <c r="J78" s="64" t="inlineStr">
        <is>
          <t>بله</t>
        </is>
      </c>
      <c r="K78">
        <f>IF($A78="","",IF(LEFT($A78,3)="CAP","سرمایه و آورده صاحبان",IF(LEFT($A78,2)="SL","بارفروش",IF(LEFT($A78,2)="BD","باسکول دیگران",IF(LEFT($A78,1)="C","باغدار",IF(LEFT($A78,1)="S","فروشنده سبد/تأمین‌کننده",IF(LEFT($A78,1)="E","کارمند",IF(LEFT($A78,1)="X","سایر حساب",IF(LEFT($A78,1)="F","دارایی ثابت",IF(LEFT($A78,1)="L","وام و تسهیلات",""))))))))))</f>
        <v/>
      </c>
      <c r="L78" s="65" t="n"/>
      <c r="M78">
        <f>IF(OR($B78="",$A78=""),"",IF(OR($B78=$K78,AND(LEFT($A78,1)="S",OR($B78="فروشنده سبد",$B78="تأمین‌کننده")),AND(LEFT($A78,2)="BD",$B78="باسکول دیگران")),"✓","⚠"))</f>
        <v/>
      </c>
    </row>
    <row r="79" ht="21" customHeight="1">
      <c r="A79" s="63" t="inlineStr">
        <is>
          <t>E005</t>
        </is>
      </c>
      <c r="B79" s="64" t="inlineStr">
        <is>
          <t>کارمند</t>
        </is>
      </c>
      <c r="C79" s="65" t="inlineStr">
        <is>
          <t>سرپرست خط</t>
        </is>
      </c>
      <c r="D79" s="65" t="inlineStr">
        <is>
          <t>رضا کاظمی (نمونه)</t>
        </is>
      </c>
      <c r="E79" s="65" t="n"/>
      <c r="F79" s="65" t="inlineStr">
        <is>
          <t>09110000014</t>
        </is>
      </c>
      <c r="G79" s="65" t="inlineStr">
        <is>
          <t>قائم‌شهر</t>
        </is>
      </c>
      <c r="H79" s="142" t="n">
        <v>0</v>
      </c>
      <c r="I79" s="64" t="inlineStr">
        <is>
          <t>طرف حساب</t>
        </is>
      </c>
      <c r="J79" s="64" t="inlineStr">
        <is>
          <t>بله</t>
        </is>
      </c>
      <c r="K79">
        <f>IF($A79="","",IF(LEFT($A79,3)="CAP","سرمایه و آورده صاحبان",IF(LEFT($A79,2)="SL","بارفروش",IF(LEFT($A79,2)="BD","باسکول دیگران",IF(LEFT($A79,1)="C","باغدار",IF(LEFT($A79,1)="S","فروشنده سبد/تأمین‌کننده",IF(LEFT($A79,1)="E","کارمند",IF(LEFT($A79,1)="X","سایر حساب",IF(LEFT($A79,1)="F","دارایی ثابت",IF(LEFT($A79,1)="L","وام و تسهیلات",""))))))))))</f>
        <v/>
      </c>
      <c r="L79" s="65" t="inlineStr">
        <is>
          <t>نمونه — گروه سالن ۱</t>
        </is>
      </c>
      <c r="M79">
        <f>IF(OR($B79="",$A79=""),"",IF(OR($B79=$K79,AND(LEFT($A79,1)="S",OR($B79="فروشنده سبد",$B79="تأمین‌کننده")),AND(LEFT($A79,2)="BD",$B79="باسکول دیگران")),"✓","⚠"))</f>
        <v/>
      </c>
    </row>
    <row r="80" ht="21" customHeight="1">
      <c r="A80" s="63" t="inlineStr">
        <is>
          <t>E006</t>
        </is>
      </c>
      <c r="B80" s="64" t="inlineStr">
        <is>
          <t>کارمند</t>
        </is>
      </c>
      <c r="C80" s="65" t="inlineStr">
        <is>
          <t>کارگر</t>
        </is>
      </c>
      <c r="D80" s="65" t="inlineStr">
        <is>
          <t>علی احمدی (نمونه)</t>
        </is>
      </c>
      <c r="E80" s="65" t="n"/>
      <c r="F80" s="65" t="inlineStr">
        <is>
          <t>09110000015</t>
        </is>
      </c>
      <c r="G80" s="65" t="inlineStr">
        <is>
          <t>قائم‌شهر</t>
        </is>
      </c>
      <c r="H80" s="142" t="n">
        <v>0</v>
      </c>
      <c r="I80" s="64" t="inlineStr">
        <is>
          <t>طرف حساب</t>
        </is>
      </c>
      <c r="J80" s="64" t="inlineStr">
        <is>
          <t>بله</t>
        </is>
      </c>
      <c r="K80">
        <f>IF($A80="","",IF(LEFT($A80,3)="CAP","سرمایه و آورده صاحبان",IF(LEFT($A80,2)="SL","بارفروش",IF(LEFT($A80,2)="BD","باسکول دیگران",IF(LEFT($A80,1)="C","باغدار",IF(LEFT($A80,1)="S","فروشنده سبد/تأمین‌کننده",IF(LEFT($A80,1)="E","کارمند",IF(LEFT($A80,1)="X","سایر حساب",IF(LEFT($A80,1)="F","دارایی ثابت",IF(LEFT($A80,1)="L","وام و تسهیلات",""))))))))))</f>
        <v/>
      </c>
      <c r="L80" s="65" t="inlineStr">
        <is>
          <t>نمونه — گروه سالن ۱</t>
        </is>
      </c>
      <c r="M80">
        <f>IF(OR($B80="",$A80=""),"",IF(OR($B80=$K80,AND(LEFT($A80,1)="S",OR($B80="فروشنده سبد",$B80="تأمین‌کننده")),AND(LEFT($A80,2)="BD",$B80="باسکول دیگران")),"✓","⚠"))</f>
        <v/>
      </c>
    </row>
    <row r="81" ht="21" customHeight="1">
      <c r="A81" s="63" t="inlineStr">
        <is>
          <t>X001</t>
        </is>
      </c>
      <c r="B81" s="64" t="inlineStr">
        <is>
          <t>سایر حساب</t>
        </is>
      </c>
      <c r="C81" s="65" t="inlineStr">
        <is>
          <t>انعام و پاداش</t>
        </is>
      </c>
      <c r="D81" s="65" t="inlineStr">
        <is>
          <t>انعام مصطفی</t>
        </is>
      </c>
      <c r="E81" s="65" t="n"/>
      <c r="F81" s="65" t="n"/>
      <c r="G81" s="65" t="n"/>
      <c r="H81" s="142" t="n">
        <v>0</v>
      </c>
      <c r="I81" s="64" t="inlineStr">
        <is>
          <t>طرف حساب</t>
        </is>
      </c>
      <c r="J81" s="64" t="inlineStr">
        <is>
          <t>بله</t>
        </is>
      </c>
      <c r="K81">
        <f>IF($A81="","",IF(LEFT($A81,3)="CAP","سرمایه و آورده صاحبان",IF(LEFT($A81,2)="SL","بارفروش",IF(LEFT($A81,2)="BD","باسکول دیگران",IF(LEFT($A81,1)="C","باغدار",IF(LEFT($A81,1)="S","فروشنده سبد/تأمین‌کننده",IF(LEFT($A81,1)="E","کارمند",IF(LEFT($A81,1)="X","سایر حساب",IF(LEFT($A81,1)="F","دارایی ثابت",IF(LEFT($A81,1)="L","وام و تسهیلات",""))))))))))</f>
        <v/>
      </c>
      <c r="L81" s="65" t="inlineStr">
        <is>
          <t>حساب شخصی انعام مصطفی — پول‌های پوز باسکول برای او بستانکار می‌شود</t>
        </is>
      </c>
      <c r="M81">
        <f>IF(OR($B81="",$A81=""),"",IF(OR($B81=$K81,AND(LEFT($A81,1)="S",OR($B81="فروشنده سبد",$B81="تأمین‌کننده")),AND(LEFT($A81,2)="BD",$B81="باسکول دیگران")),"✓","⚠"))</f>
        <v/>
      </c>
    </row>
    <row r="82" ht="21" customHeight="1">
      <c r="A82" s="63" t="inlineStr">
        <is>
          <t>X002</t>
        </is>
      </c>
      <c r="B82" s="64" t="inlineStr">
        <is>
          <t>سایر حساب</t>
        </is>
      </c>
      <c r="C82" s="65" t="inlineStr">
        <is>
          <t>درآمد باسکول</t>
        </is>
      </c>
      <c r="D82" s="65" t="inlineStr">
        <is>
          <t>درآمد باسکول (احمد زاهدی)</t>
        </is>
      </c>
      <c r="E82" s="65" t="n"/>
      <c r="F82" s="65" t="n"/>
      <c r="G82" s="65" t="n"/>
      <c r="H82" s="142" t="n">
        <v>0</v>
      </c>
      <c r="I82" s="64" t="inlineStr">
        <is>
          <t>معین</t>
        </is>
      </c>
      <c r="J82" s="64" t="inlineStr">
        <is>
          <t>بله</t>
        </is>
      </c>
      <c r="K82">
        <f>IF($A82="","",IF(LEFT($A82,3)="CAP","سرمایه و آورده صاحبان",IF(LEFT($A82,2)="SL","بارفروش",IF(LEFT($A82,2)="BD","باسکول دیگران",IF(LEFT($A82,1)="C","باغدار",IF(LEFT($A82,1)="S","فروشنده سبد/تأمین‌کننده",IF(LEFT($A82,1)="E","کارمند",IF(LEFT($A82,1)="X","سایر حساب",IF(LEFT($A82,1)="F","دارایی ثابت",IF(LEFT($A82,1)="L","وام و تسهیلات",""))))))))))</f>
        <v/>
      </c>
      <c r="L82" s="65" t="inlineStr">
        <is>
          <t>درآمد هزینه باسکول و پوز — حساب درآمدی</t>
        </is>
      </c>
      <c r="M82">
        <f>IF(OR($B82="",$A82=""),"",IF(OR($B82=$K82,AND(LEFT($A82,1)="S",OR($B82="فروشنده سبد",$B82="تأمین‌کننده")),AND(LEFT($A82,2)="BD",$B82="باسکول دیگران")),"✓","⚠"))</f>
        <v/>
      </c>
    </row>
    <row r="83" ht="21" customHeight="1">
      <c r="A83" s="63" t="inlineStr">
        <is>
          <t>X003</t>
        </is>
      </c>
      <c r="B83" s="64" t="inlineStr">
        <is>
          <t>سایر حساب</t>
        </is>
      </c>
      <c r="C83" s="65" t="inlineStr">
        <is>
          <t>صندوق</t>
        </is>
      </c>
      <c r="D83" s="65" t="inlineStr">
        <is>
          <t>صندوق شرکت</t>
        </is>
      </c>
      <c r="E83" s="65" t="n"/>
      <c r="F83" s="65" t="n"/>
      <c r="G83" s="65" t="n"/>
      <c r="H83" s="142" t="n">
        <v>150000000</v>
      </c>
      <c r="I83" s="64" t="inlineStr">
        <is>
          <t>معین</t>
        </is>
      </c>
      <c r="J83" s="64" t="inlineStr">
        <is>
          <t>بله</t>
        </is>
      </c>
      <c r="K83">
        <f>IF($A83="","",IF(LEFT($A83,3)="CAP","سرمایه و آورده صاحبان",IF(LEFT($A83,2)="SL","بارفروش",IF(LEFT($A83,2)="BD","باسکول دیگران",IF(LEFT($A83,1)="C","باغدار",IF(LEFT($A83,1)="S","فروشنده سبد/تأمین‌کننده",IF(LEFT($A83,1)="E","کارمند",IF(LEFT($A83,1)="X","سایر حساب",IF(LEFT($A83,1)="F","دارایی ثابت",IF(LEFT($A83,1)="L","وام و تسهیلات",""))))))))))</f>
        <v/>
      </c>
      <c r="L83" s="65" t="inlineStr">
        <is>
          <t>حساب معین — در قواعد عملیات باسکول استفاده می‌شود</t>
        </is>
      </c>
      <c r="M83">
        <f>IF(OR($B83="",$A83=""),"",IF(OR($B83=$K83,AND(LEFT($A83,1)="S",OR($B83="فروشنده سبد",$B83="تأمین‌کننده")),AND(LEFT($A83,2)="BD",$B83="باسکول دیگران")),"✓","⚠"))</f>
        <v/>
      </c>
    </row>
    <row r="84" ht="21" customHeight="1">
      <c r="A84" s="63" t="inlineStr">
        <is>
          <t>X004</t>
        </is>
      </c>
      <c r="B84" s="64" t="inlineStr">
        <is>
          <t>سایر حساب</t>
        </is>
      </c>
      <c r="C84" s="65" t="inlineStr">
        <is>
          <t>موجودی</t>
        </is>
      </c>
      <c r="D84" s="65" t="inlineStr">
        <is>
          <t>موجودی مرکبات (انبار)</t>
        </is>
      </c>
      <c r="E84" s="65" t="n"/>
      <c r="F84" s="65" t="n"/>
      <c r="G84" s="65" t="n"/>
      <c r="H84" s="142" t="n">
        <v>0</v>
      </c>
      <c r="I84" s="64" t="inlineStr">
        <is>
          <t>معین</t>
        </is>
      </c>
      <c r="J84" s="64" t="inlineStr">
        <is>
          <t>بله</t>
        </is>
      </c>
      <c r="K84">
        <f>IF($A84="","",IF(LEFT($A84,3)="CAP","سرمایه و آورده صاحبان",IF(LEFT($A84,2)="SL","بارفروش",IF(LEFT($A84,2)="BD","باسکول دیگران",IF(LEFT($A84,1)="C","باغدار",IF(LEFT($A84,1)="S","فروشنده سبد/تأمین‌کننده",IF(LEFT($A84,1)="E","کارمند",IF(LEFT($A84,1)="X","سایر حساب",IF(LEFT($A84,1)="F","دارایی ثابت",IF(LEFT($A84,1)="L","وام و تسهیلات",""))))))))))</f>
        <v/>
      </c>
      <c r="L84" s="65" t="inlineStr">
        <is>
          <t>حساب معین — در قواعد عملیات باسکول استفاده می‌شود</t>
        </is>
      </c>
      <c r="M84">
        <f>IF(OR($B84="",$A84=""),"",IF(OR($B84=$K84,AND(LEFT($A84,1)="S",OR($B84="فروشنده سبد",$B84="تأمین‌کننده")),AND(LEFT($A84,2)="BD",$B84="باسکول دیگران")),"✓","⚠"))</f>
        <v/>
      </c>
    </row>
    <row r="85" ht="21" customHeight="1">
      <c r="A85" s="63" t="inlineStr">
        <is>
          <t>X005</t>
        </is>
      </c>
      <c r="B85" s="64" t="inlineStr">
        <is>
          <t>سایر حساب</t>
        </is>
      </c>
      <c r="C85" s="65" t="inlineStr">
        <is>
          <t>موجودی</t>
        </is>
      </c>
      <c r="D85" s="65" t="inlineStr">
        <is>
          <t>موجودی سبد و ظروف</t>
        </is>
      </c>
      <c r="E85" s="65" t="n"/>
      <c r="F85" s="65" t="n"/>
      <c r="G85" s="65" t="n"/>
      <c r="H85" s="142" t="n">
        <v>0</v>
      </c>
      <c r="I85" s="64" t="inlineStr">
        <is>
          <t>معین</t>
        </is>
      </c>
      <c r="J85" s="64" t="inlineStr">
        <is>
          <t>بله</t>
        </is>
      </c>
      <c r="K85">
        <f>IF($A85="","",IF(LEFT($A85,3)="CAP","سرمایه و آورده صاحبان",IF(LEFT($A85,2)="SL","بارفروش",IF(LEFT($A85,2)="BD","باسکول دیگران",IF(LEFT($A85,1)="C","باغدار",IF(LEFT($A85,1)="S","فروشنده سبد/تأمین‌کننده",IF(LEFT($A85,1)="E","کارمند",IF(LEFT($A85,1)="X","سایر حساب",IF(LEFT($A85,1)="F","دارایی ثابت",IF(LEFT($A85,1)="L","وام و تسهیلات",""))))))))))</f>
        <v/>
      </c>
      <c r="L85" s="65" t="inlineStr">
        <is>
          <t>حساب معین — در قواعد عملیات باسکول استفاده می‌شود</t>
        </is>
      </c>
      <c r="M85">
        <f>IF(OR($B85="",$A85=""),"",IF(OR($B85=$K85,AND(LEFT($A85,1)="S",OR($B85="فروشنده سبد",$B85="تأمین‌کننده")),AND(LEFT($A85,2)="BD",$B85="باسکول دیگران")),"✓","⚠"))</f>
        <v/>
      </c>
    </row>
    <row r="86" ht="21" customHeight="1">
      <c r="A86" s="63" t="inlineStr">
        <is>
          <t>X006</t>
        </is>
      </c>
      <c r="B86" s="64" t="inlineStr">
        <is>
          <t>سایر حساب</t>
        </is>
      </c>
      <c r="C86" s="65" t="inlineStr">
        <is>
          <t>درآمد</t>
        </is>
      </c>
      <c r="D86" s="65" t="inlineStr">
        <is>
          <t>فروش مرکبات</t>
        </is>
      </c>
      <c r="E86" s="65" t="n"/>
      <c r="F86" s="65" t="n"/>
      <c r="G86" s="65" t="n"/>
      <c r="H86" s="142" t="n">
        <v>0</v>
      </c>
      <c r="I86" s="64" t="inlineStr">
        <is>
          <t>معین</t>
        </is>
      </c>
      <c r="J86" s="64" t="inlineStr">
        <is>
          <t>بله</t>
        </is>
      </c>
      <c r="K86">
        <f>IF($A86="","",IF(LEFT($A86,3)="CAP","سرمایه و آورده صاحبان",IF(LEFT($A86,2)="SL","بارفروش",IF(LEFT($A86,2)="BD","باسکول دیگران",IF(LEFT($A86,1)="C","باغدار",IF(LEFT($A86,1)="S","فروشنده سبد/تأمین‌کننده",IF(LEFT($A86,1)="E","کارمند",IF(LEFT($A86,1)="X","سایر حساب",IF(LEFT($A86,1)="F","دارایی ثابت",IF(LEFT($A86,1)="L","وام و تسهیلات",""))))))))))</f>
        <v/>
      </c>
      <c r="L86" s="65" t="inlineStr">
        <is>
          <t>حساب معین — در قواعد عملیات باسکول استفاده می‌شود</t>
        </is>
      </c>
      <c r="M86">
        <f>IF(OR($B86="",$A86=""),"",IF(OR($B86=$K86,AND(LEFT($A86,1)="S",OR($B86="فروشنده سبد",$B86="تأمین‌کننده")),AND(LEFT($A86,2)="BD",$B86="باسکول دیگران")),"✓","⚠"))</f>
        <v/>
      </c>
    </row>
    <row r="87" ht="21" customHeight="1">
      <c r="A87" s="63" t="inlineStr">
        <is>
          <t>X007</t>
        </is>
      </c>
      <c r="B87" s="64" t="inlineStr">
        <is>
          <t>سایر حساب</t>
        </is>
      </c>
      <c r="C87" s="65" t="inlineStr">
        <is>
          <t>درآمد</t>
        </is>
      </c>
      <c r="D87" s="65" t="inlineStr">
        <is>
          <t>فروش سبد</t>
        </is>
      </c>
      <c r="E87" s="65" t="n"/>
      <c r="F87" s="65" t="n"/>
      <c r="G87" s="65" t="n"/>
      <c r="H87" s="142" t="n">
        <v>0</v>
      </c>
      <c r="I87" s="64" t="inlineStr">
        <is>
          <t>معین</t>
        </is>
      </c>
      <c r="J87" s="64" t="inlineStr">
        <is>
          <t>بله</t>
        </is>
      </c>
      <c r="K87">
        <f>IF($A87="","",IF(LEFT($A87,3)="CAP","سرمایه و آورده صاحبان",IF(LEFT($A87,2)="SL","بارفروش",IF(LEFT($A87,2)="BD","باسکول دیگران",IF(LEFT($A87,1)="C","باغدار",IF(LEFT($A87,1)="S","فروشنده سبد/تأمین‌کننده",IF(LEFT($A87,1)="E","کارمند",IF(LEFT($A87,1)="X","سایر حساب",IF(LEFT($A87,1)="F","دارایی ثابت",IF(LEFT($A87,1)="L","وام و تسهیلات",""))))))))))</f>
        <v/>
      </c>
      <c r="L87" s="65" t="inlineStr">
        <is>
          <t>حساب معین — در قواعد عملیات باسکول استفاده می‌شود</t>
        </is>
      </c>
      <c r="M87">
        <f>IF(OR($B87="",$A87=""),"",IF(OR($B87=$K87,AND(LEFT($A87,1)="S",OR($B87="فروشنده سبد",$B87="تأمین‌کننده")),AND(LEFT($A87,2)="BD",$B87="باسکول دیگران")),"✓","⚠"))</f>
        <v/>
      </c>
    </row>
    <row r="88" ht="21" customHeight="1">
      <c r="A88" s="63" t="inlineStr">
        <is>
          <t>X008</t>
        </is>
      </c>
      <c r="B88" s="64" t="inlineStr">
        <is>
          <t>سایر حساب</t>
        </is>
      </c>
      <c r="C88" s="65" t="inlineStr">
        <is>
          <t>درآمد</t>
        </is>
      </c>
      <c r="D88" s="65" t="inlineStr">
        <is>
          <t>درآمد آبگیری</t>
        </is>
      </c>
      <c r="E88" s="65" t="n"/>
      <c r="F88" s="65" t="n"/>
      <c r="G88" s="65" t="n"/>
      <c r="H88" s="142" t="n">
        <v>0</v>
      </c>
      <c r="I88" s="64" t="inlineStr">
        <is>
          <t>معین</t>
        </is>
      </c>
      <c r="J88" s="64" t="inlineStr">
        <is>
          <t>بله</t>
        </is>
      </c>
      <c r="K88">
        <f>IF($A88="","",IF(LEFT($A88,3)="CAP","سرمایه و آورده صاحبان",IF(LEFT($A88,2)="SL","بارفروش",IF(LEFT($A88,2)="BD","باسکول دیگران",IF(LEFT($A88,1)="C","باغدار",IF(LEFT($A88,1)="S","فروشنده سبد/تأمین‌کننده",IF(LEFT($A88,1)="E","کارمند",IF(LEFT($A88,1)="X","سایر حساب",IF(LEFT($A88,1)="F","دارایی ثابت",IF(LEFT($A88,1)="L","وام و تسهیلات",""))))))))))</f>
        <v/>
      </c>
      <c r="L88" s="65" t="inlineStr">
        <is>
          <t>حساب معین — در قواعد عملیات باسکول استفاده می‌شود</t>
        </is>
      </c>
      <c r="M88">
        <f>IF(OR($B88="",$A88=""),"",IF(OR($B88=$K88,AND(LEFT($A88,1)="S",OR($B88="فروشنده سبد",$B88="تأمین‌کننده")),AND(LEFT($A88,2)="BD",$B88="باسکول دیگران")),"✓","⚠"))</f>
        <v/>
      </c>
    </row>
    <row r="89" ht="21" customHeight="1">
      <c r="A89" s="63" t="inlineStr">
        <is>
          <t>X009</t>
        </is>
      </c>
      <c r="B89" s="64" t="inlineStr">
        <is>
          <t>سایر حساب</t>
        </is>
      </c>
      <c r="C89" s="65" t="inlineStr">
        <is>
          <t>هزینه</t>
        </is>
      </c>
      <c r="D89" s="65" t="inlineStr">
        <is>
          <t>هزینه ضایعات و افت</t>
        </is>
      </c>
      <c r="E89" s="65" t="n"/>
      <c r="F89" s="65" t="n"/>
      <c r="G89" s="65" t="n"/>
      <c r="H89" s="142" t="n">
        <v>0</v>
      </c>
      <c r="I89" s="64" t="inlineStr">
        <is>
          <t>معین</t>
        </is>
      </c>
      <c r="J89" s="64" t="inlineStr">
        <is>
          <t>بله</t>
        </is>
      </c>
      <c r="K89">
        <f>IF($A89="","",IF(LEFT($A89,3)="CAP","سرمایه و آورده صاحبان",IF(LEFT($A89,2)="SL","بارفروش",IF(LEFT($A89,2)="BD","باسکول دیگران",IF(LEFT($A89,1)="C","باغدار",IF(LEFT($A89,1)="S","فروشنده سبد/تأمین‌کننده",IF(LEFT($A89,1)="E","کارمند",IF(LEFT($A89,1)="X","سایر حساب",IF(LEFT($A89,1)="F","دارایی ثابت",IF(LEFT($A89,1)="L","وام و تسهیلات",""))))))))))</f>
        <v/>
      </c>
      <c r="L89" s="65" t="inlineStr">
        <is>
          <t>حساب معین — در قواعد عملیات باسکول استفاده می‌شود</t>
        </is>
      </c>
      <c r="M89">
        <f>IF(OR($B89="",$A89=""),"",IF(OR($B89=$K89,AND(LEFT($A89,1)="S",OR($B89="فروشنده سبد",$B89="تأمین‌کننده")),AND(LEFT($A89,2)="BD",$B89="باسکول دیگران")),"✓","⚠"))</f>
        <v/>
      </c>
    </row>
    <row r="90" ht="21" customHeight="1">
      <c r="A90" s="63" t="inlineStr">
        <is>
          <t>X010</t>
        </is>
      </c>
      <c r="B90" s="64" t="inlineStr">
        <is>
          <t>سایر حساب</t>
        </is>
      </c>
      <c r="C90" s="65" t="inlineStr">
        <is>
          <t>چک پرداختی</t>
        </is>
      </c>
      <c r="D90" s="65" t="inlineStr">
        <is>
          <t>چک‌های پرداختی (در جریان)</t>
        </is>
      </c>
      <c r="E90" s="65" t="n"/>
      <c r="F90" s="65" t="n"/>
      <c r="G90" s="65" t="n"/>
      <c r="H90" s="142" t="n">
        <v>0</v>
      </c>
      <c r="I90" s="64" t="inlineStr">
        <is>
          <t>معین</t>
        </is>
      </c>
      <c r="J90" s="64" t="inlineStr">
        <is>
          <t>بله</t>
        </is>
      </c>
      <c r="K90">
        <f>IF($A90="","",IF(LEFT($A90,3)="CAP","سرمایه و آورده صاحبان",IF(LEFT($A90,2)="SL","بارفروش",IF(LEFT($A90,2)="BD","باسکول دیگران",IF(LEFT($A90,1)="C","باغدار",IF(LEFT($A90,1)="S","فروشنده سبد/تأمین‌کننده",IF(LEFT($A90,1)="E","کارمند",IF(LEFT($A90,1)="X","سایر حساب",IF(LEFT($A90,1)="F","دارایی ثابت",IF(LEFT($A90,1)="L","وام و تسهیلات",""))))))))))</f>
        <v/>
      </c>
      <c r="L90" s="65" t="inlineStr">
        <is>
          <t>حساب معین — در قواعد عملیات باسکول استفاده می‌شود</t>
        </is>
      </c>
      <c r="M90">
        <f>IF(OR($B90="",$A90=""),"",IF(OR($B90=$K90,AND(LEFT($A90,1)="S",OR($B90="فروشنده سبد",$B90="تأمین‌کننده")),AND(LEFT($A90,2)="BD",$B90="باسکول دیگران")),"✓","⚠"))</f>
        <v/>
      </c>
    </row>
    <row r="91" ht="21" customHeight="1">
      <c r="A91" s="63" t="inlineStr">
        <is>
          <t>X011</t>
        </is>
      </c>
      <c r="B91" s="64" t="inlineStr">
        <is>
          <t>سایر حساب</t>
        </is>
      </c>
      <c r="C91" s="65" t="inlineStr">
        <is>
          <t>حساب واسط</t>
        </is>
      </c>
      <c r="D91" s="65" t="inlineStr">
        <is>
          <t>حساب واسط بانک و پز (در راه)</t>
        </is>
      </c>
      <c r="E91" s="65" t="n"/>
      <c r="F91" s="65" t="n"/>
      <c r="G91" s="65" t="n"/>
      <c r="H91" s="142" t="n">
        <v>0</v>
      </c>
      <c r="I91" s="64" t="inlineStr">
        <is>
          <t>معین</t>
        </is>
      </c>
      <c r="J91" s="64" t="inlineStr">
        <is>
          <t>بله</t>
        </is>
      </c>
      <c r="K91">
        <f>IF($A91="","",IF(LEFT($A91,3)="CAP","سرمایه و آورده صاحبان",IF(LEFT($A91,2)="SL","بارفروش",IF(LEFT($A91,2)="BD","باسکول دیگران",IF(LEFT($A91,1)="C","باغدار",IF(LEFT($A91,1)="S","فروشنده سبد/تأمین‌کننده",IF(LEFT($A91,1)="E","کارمند",IF(LEFT($A91,1)="X","سایر حساب",IF(LEFT($A91,1)="F","دارایی ثابت",IF(LEFT($A91,1)="L","وام و تسهیلات",""))))))))))</f>
        <v/>
      </c>
      <c r="L91" s="65" t="inlineStr">
        <is>
          <t>حساب معین — در قواعد عملیات باسکول استفاده می‌شود</t>
        </is>
      </c>
      <c r="M91">
        <f>IF(OR($B91="",$A91=""),"",IF(OR($B91=$K91,AND(LEFT($A91,1)="S",OR($B91="فروشنده سبد",$B91="تأمین‌کننده")),AND(LEFT($A91,2)="BD",$B91="باسکول دیگران")),"✓","⚠"))</f>
        <v/>
      </c>
    </row>
    <row r="92" ht="21" customHeight="1">
      <c r="A92" s="63" t="inlineStr">
        <is>
          <t>X012</t>
        </is>
      </c>
      <c r="B92" s="64" t="inlineStr">
        <is>
          <t>سایر حساب</t>
        </is>
      </c>
      <c r="C92" s="65" t="inlineStr">
        <is>
          <t>هزینه</t>
        </is>
      </c>
      <c r="D92" s="65" t="inlineStr">
        <is>
          <t>هزینه حمل و تخلیه</t>
        </is>
      </c>
      <c r="E92" s="65" t="n"/>
      <c r="F92" s="65" t="n"/>
      <c r="G92" s="65" t="n"/>
      <c r="H92" s="142" t="n">
        <v>0</v>
      </c>
      <c r="I92" s="64" t="inlineStr">
        <is>
          <t>معین</t>
        </is>
      </c>
      <c r="J92" s="64" t="inlineStr">
        <is>
          <t>بله</t>
        </is>
      </c>
      <c r="K92">
        <f>IF($A92="","",IF(LEFT($A92,3)="CAP","سرمایه و آورده صاحبان",IF(LEFT($A92,2)="SL","بارفروش",IF(LEFT($A92,2)="BD","باسکول دیگران",IF(LEFT($A92,1)="C","باغدار",IF(LEFT($A92,1)="S","فروشنده سبد/تأمین‌کننده",IF(LEFT($A92,1)="E","کارمند",IF(LEFT($A92,1)="X","سایر حساب",IF(LEFT($A92,1)="F","دارایی ثابت",IF(LEFT($A92,1)="L","وام و تسهیلات",""))))))))))</f>
        <v/>
      </c>
      <c r="L92" s="65" t="inlineStr">
        <is>
          <t>حساب معین — در قواعد عملیات باسکول استفاده می‌شود</t>
        </is>
      </c>
      <c r="M92">
        <f>IF(OR($B92="",$A92=""),"",IF(OR($B92=$K92,AND(LEFT($A92,1)="S",OR($B92="فروشنده سبد",$B92="تأمین‌کننده")),AND(LEFT($A92,2)="BD",$B92="باسکول دیگران")),"✓","⚠"))</f>
        <v/>
      </c>
    </row>
    <row r="93" ht="21" customHeight="1">
      <c r="A93" s="63" t="inlineStr">
        <is>
          <t>X013</t>
        </is>
      </c>
      <c r="B93" s="64" t="inlineStr">
        <is>
          <t>سایر حساب</t>
        </is>
      </c>
      <c r="C93" s="65" t="inlineStr">
        <is>
          <t>هزینه</t>
        </is>
      </c>
      <c r="D93" s="65" t="inlineStr">
        <is>
          <t>هزینه دستمزد</t>
        </is>
      </c>
      <c r="E93" s="65" t="n"/>
      <c r="F93" s="65" t="n"/>
      <c r="G93" s="65" t="n"/>
      <c r="H93" s="142" t="n">
        <v>0</v>
      </c>
      <c r="I93" s="64" t="inlineStr">
        <is>
          <t>معین</t>
        </is>
      </c>
      <c r="J93" s="64" t="inlineStr">
        <is>
          <t>بله</t>
        </is>
      </c>
      <c r="K93">
        <f>IF($A93="","",IF(LEFT($A93,3)="CAP","سرمایه و آورده صاحبان",IF(LEFT($A93,2)="SL","بارفروش",IF(LEFT($A93,2)="BD","باسکول دیگران",IF(LEFT($A93,1)="C","باغدار",IF(LEFT($A93,1)="S","فروشنده سبد/تأمین‌کننده",IF(LEFT($A93,1)="E","کارمند",IF(LEFT($A93,1)="X","سایر حساب",IF(LEFT($A93,1)="F","دارایی ثابت",IF(LEFT($A93,1)="L","وام و تسهیلات",""))))))))))</f>
        <v/>
      </c>
      <c r="L93" s="65" t="inlineStr">
        <is>
          <t>حساب معین — در قواعد عملیات باسکول استفاده می‌شود</t>
        </is>
      </c>
      <c r="M93">
        <f>IF(OR($B93="",$A93=""),"",IF(OR($B93=$K93,AND(LEFT($A93,1)="S",OR($B93="فروشنده سبد",$B93="تأمین‌کننده")),AND(LEFT($A93,2)="BD",$B93="باسکول دیگران")),"✓","⚠"))</f>
        <v/>
      </c>
    </row>
    <row r="94" ht="21" customHeight="1">
      <c r="A94" s="63" t="inlineStr">
        <is>
          <t>X014</t>
        </is>
      </c>
      <c r="B94" s="64" t="inlineStr">
        <is>
          <t>سایر حساب</t>
        </is>
      </c>
      <c r="C94" s="65" t="inlineStr">
        <is>
          <t>هزینه</t>
        </is>
      </c>
      <c r="D94" s="65" t="inlineStr">
        <is>
          <t>کارمزد بانکی</t>
        </is>
      </c>
      <c r="E94" s="65" t="n"/>
      <c r="F94" s="65" t="n"/>
      <c r="G94" s="65" t="n"/>
      <c r="H94" s="142" t="n">
        <v>0</v>
      </c>
      <c r="I94" s="64" t="inlineStr">
        <is>
          <t>معین</t>
        </is>
      </c>
      <c r="J94" s="64" t="inlineStr">
        <is>
          <t>بله</t>
        </is>
      </c>
      <c r="K94">
        <f>IF($A94="","",IF(LEFT($A94,3)="CAP","سرمایه و آورده صاحبان",IF(LEFT($A94,2)="SL","بارفروش",IF(LEFT($A94,2)="BD","باسکول دیگران",IF(LEFT($A94,1)="C","باغدار",IF(LEFT($A94,1)="S","فروشنده سبد/تأمین‌کننده",IF(LEFT($A94,1)="E","کارمند",IF(LEFT($A94,1)="X","سایر حساب",IF(LEFT($A94,1)="F","دارایی ثابت",IF(LEFT($A94,1)="L","وام و تسهیلات",""))))))))))</f>
        <v/>
      </c>
      <c r="L94" s="65" t="inlineStr">
        <is>
          <t>حساب معین — در قواعد عملیات باسکول استفاده می‌شود</t>
        </is>
      </c>
      <c r="M94">
        <f>IF(OR($B94="",$A94=""),"",IF(OR($B94=$K94,AND(LEFT($A94,1)="S",OR($B94="فروشنده سبد",$B94="تأمین‌کننده")),AND(LEFT($A94,2)="BD",$B94="باسکول دیگران")),"✓","⚠"))</f>
        <v/>
      </c>
    </row>
    <row r="95" ht="21" customHeight="1">
      <c r="A95" s="63" t="inlineStr">
        <is>
          <t>X015</t>
        </is>
      </c>
      <c r="B95" s="64" t="inlineStr">
        <is>
          <t>سایر حساب</t>
        </is>
      </c>
      <c r="C95" s="65" t="inlineStr">
        <is>
          <t>درآمد</t>
        </is>
      </c>
      <c r="D95" s="65" t="inlineStr">
        <is>
          <t>سایر درآمدها</t>
        </is>
      </c>
      <c r="E95" s="65" t="n"/>
      <c r="F95" s="65" t="n"/>
      <c r="G95" s="65" t="n"/>
      <c r="H95" s="142" t="n">
        <v>0</v>
      </c>
      <c r="I95" s="64" t="inlineStr">
        <is>
          <t>معین</t>
        </is>
      </c>
      <c r="J95" s="64" t="inlineStr">
        <is>
          <t>بله</t>
        </is>
      </c>
      <c r="K95">
        <f>IF($A95="","",IF(LEFT($A95,3)="CAP","سرمایه و آورده صاحبان",IF(LEFT($A95,2)="SL","بارفروش",IF(LEFT($A95,2)="BD","باسکول دیگران",IF(LEFT($A95,1)="C","باغدار",IF(LEFT($A95,1)="S","فروشنده سبد/تأمین‌کننده",IF(LEFT($A95,1)="E","کارمند",IF(LEFT($A95,1)="X","سایر حساب",IF(LEFT($A95,1)="F","دارایی ثابت",IF(LEFT($A95,1)="L","وام و تسهیلات",""))))))))))</f>
        <v/>
      </c>
      <c r="L95" s="65" t="inlineStr">
        <is>
          <t>حساب معین — در قواعد عملیات باسکول استفاده می‌شود</t>
        </is>
      </c>
      <c r="M95">
        <f>IF(OR($B95="",$A95=""),"",IF(OR($B95=$K95,AND(LEFT($A95,1)="S",OR($B95="فروشنده سبد",$B95="تأمین‌کننده")),AND(LEFT($A95,2)="BD",$B95="باسکول دیگران")),"✓","⚠"))</f>
        <v/>
      </c>
    </row>
    <row r="96" ht="21" customHeight="1">
      <c r="A96" s="63" t="inlineStr">
        <is>
          <t>X016</t>
        </is>
      </c>
      <c r="B96" s="64" t="inlineStr">
        <is>
          <t>سایر حساب</t>
        </is>
      </c>
      <c r="C96" s="65" t="inlineStr">
        <is>
          <t>هزینه</t>
        </is>
      </c>
      <c r="D96" s="65" t="inlineStr">
        <is>
          <t>سایر هزینه‌ها</t>
        </is>
      </c>
      <c r="E96" s="65" t="n"/>
      <c r="F96" s="65" t="n"/>
      <c r="G96" s="65" t="n"/>
      <c r="H96" s="142" t="n">
        <v>0</v>
      </c>
      <c r="I96" s="64" t="inlineStr">
        <is>
          <t>معین</t>
        </is>
      </c>
      <c r="J96" s="64" t="inlineStr">
        <is>
          <t>بله</t>
        </is>
      </c>
      <c r="K96">
        <f>IF($A96="","",IF(LEFT($A96,3)="CAP","سرمایه و آورده صاحبان",IF(LEFT($A96,2)="SL","بارفروش",IF(LEFT($A96,2)="BD","باسکول دیگران",IF(LEFT($A96,1)="C","باغدار",IF(LEFT($A96,1)="S","فروشنده سبد/تأمین‌کننده",IF(LEFT($A96,1)="E","کارمند",IF(LEFT($A96,1)="X","سایر حساب",IF(LEFT($A96,1)="F","دارایی ثابت",IF(LEFT($A96,1)="L","وام و تسهیلات",""))))))))))</f>
        <v/>
      </c>
      <c r="L96" s="65" t="inlineStr">
        <is>
          <t>حساب معین — در قواعد عملیات باسکول استفاده می‌شود</t>
        </is>
      </c>
      <c r="M96">
        <f>IF(OR($B96="",$A96=""),"",IF(OR($B96=$K96,AND(LEFT($A96,1)="S",OR($B96="فروشنده سبد",$B96="تأمین‌کننده")),AND(LEFT($A96,2)="BD",$B96="باسکول دیگران")),"✓","⚠"))</f>
        <v/>
      </c>
    </row>
    <row r="97" ht="21" customHeight="1">
      <c r="A97" s="63" t="inlineStr">
        <is>
          <t>X017</t>
        </is>
      </c>
      <c r="B97" s="64" t="inlineStr">
        <is>
          <t>سایر حساب</t>
        </is>
      </c>
      <c r="C97" s="65" t="inlineStr">
        <is>
          <t>مالیات</t>
        </is>
      </c>
      <c r="D97" s="65" t="inlineStr">
        <is>
          <t>مالیات و عوارض</t>
        </is>
      </c>
      <c r="E97" s="65" t="n"/>
      <c r="F97" s="65" t="n"/>
      <c r="G97" s="65" t="n"/>
      <c r="H97" s="142" t="n">
        <v>0</v>
      </c>
      <c r="I97" s="64" t="inlineStr">
        <is>
          <t>معین</t>
        </is>
      </c>
      <c r="J97" s="64" t="inlineStr">
        <is>
          <t>بله</t>
        </is>
      </c>
      <c r="K97">
        <f>IF($A97="","",IF(LEFT($A97,3)="CAP","سرمایه و آورده صاحبان",IF(LEFT($A97,2)="SL","بارفروش",IF(LEFT($A97,2)="BD","باسکول دیگران",IF(LEFT($A97,1)="C","باغدار",IF(LEFT($A97,1)="S","فروشنده سبد/تأمین‌کننده",IF(LEFT($A97,1)="E","کارمند",IF(LEFT($A97,1)="X","سایر حساب",IF(LEFT($A97,1)="F","دارایی ثابت",IF(LEFT($A97,1)="L","وام و تسهیلات",""))))))))))</f>
        <v/>
      </c>
      <c r="L97" s="65" t="inlineStr">
        <is>
          <t>حساب معین — در قواعد عملیات باسکول استفاده می‌شود</t>
        </is>
      </c>
      <c r="M97">
        <f>IF(OR($B97="",$A97=""),"",IF(OR($B97=$K97,AND(LEFT($A97,1)="S",OR($B97="فروشنده سبد",$B97="تأمین‌کننده")),AND(LEFT($A97,2)="BD",$B97="باسکول دیگران")),"✓","⚠"))</f>
        <v/>
      </c>
    </row>
    <row r="98" ht="21" customHeight="1">
      <c r="A98" s="63" t="inlineStr">
        <is>
          <t>X018</t>
        </is>
      </c>
      <c r="B98" s="64" t="inlineStr">
        <is>
          <t>سایر حساب</t>
        </is>
      </c>
      <c r="C98" s="65" t="inlineStr">
        <is>
          <t>درآمد</t>
        </is>
      </c>
      <c r="D98" s="65" t="inlineStr">
        <is>
          <t>تخفیف و افت بار</t>
        </is>
      </c>
      <c r="E98" s="65" t="n"/>
      <c r="F98" s="65" t="n"/>
      <c r="G98" s="65" t="n"/>
      <c r="H98" s="142" t="n">
        <v>0</v>
      </c>
      <c r="I98" s="64" t="inlineStr">
        <is>
          <t>معین</t>
        </is>
      </c>
      <c r="J98" s="64" t="inlineStr">
        <is>
          <t>بله</t>
        </is>
      </c>
      <c r="K98">
        <f>IF($A98="","",IF(LEFT($A98,3)="CAP","سرمایه و آورده صاحبان",IF(LEFT($A98,2)="SL","بارفروش",IF(LEFT($A98,2)="BD","باسکول دیگران",IF(LEFT($A98,1)="C","باغدار",IF(LEFT($A98,1)="S","فروشنده سبد/تأمین‌کننده",IF(LEFT($A98,1)="E","کارمند",IF(LEFT($A98,1)="X","سایر حساب",IF(LEFT($A98,1)="F","دارایی ثابت",IF(LEFT($A98,1)="L","وام و تسهیلات",""))))))))))</f>
        <v/>
      </c>
      <c r="L98" s="65" t="inlineStr">
        <is>
          <t>حساب معین — در قواعد عملیات باسکول استفاده می‌شود</t>
        </is>
      </c>
      <c r="M98">
        <f>IF(OR($B98="",$A98=""),"",IF(OR($B98=$K98,AND(LEFT($A98,1)="S",OR($B98="فروشنده سبد",$B98="تأمین‌کننده")),AND(LEFT($A98,2)="BD",$B98="باسکول دیگران")),"✓","⚠"))</f>
        <v/>
      </c>
    </row>
    <row r="99" ht="21" customHeight="1">
      <c r="A99" s="63" t="inlineStr">
        <is>
          <t>X019</t>
        </is>
      </c>
      <c r="B99" s="64" t="inlineStr">
        <is>
          <t>سایر حساب</t>
        </is>
      </c>
      <c r="C99" s="65" t="inlineStr">
        <is>
          <t>موجودی</t>
        </is>
      </c>
      <c r="D99" s="65" t="inlineStr">
        <is>
          <t>موجودی مواد بسته‌بندی</t>
        </is>
      </c>
      <c r="E99" s="65" t="n"/>
      <c r="F99" s="65" t="n"/>
      <c r="G99" s="65" t="n"/>
      <c r="H99" s="142" t="n">
        <v>0</v>
      </c>
      <c r="I99" s="64" t="inlineStr">
        <is>
          <t>معین</t>
        </is>
      </c>
      <c r="J99" s="64" t="inlineStr">
        <is>
          <t>بله</t>
        </is>
      </c>
      <c r="K99">
        <f>IF($A99="","",IF(LEFT($A99,3)="CAP","سرمایه و آورده صاحبان",IF(LEFT($A99,2)="SL","بارفروش",IF(LEFT($A99,2)="BD","باسکول دیگران",IF(LEFT($A99,1)="C","باغدار",IF(LEFT($A99,1)="S","فروشنده سبد/تأمین‌کننده",IF(LEFT($A99,1)="E","کارمند",IF(LEFT($A99,1)="X","سایر حساب",IF(LEFT($A99,1)="F","دارایی ثابت",IF(LEFT($A99,1)="L","وام و تسهیلات",""))))))))))</f>
        <v/>
      </c>
      <c r="L99" s="65" t="inlineStr">
        <is>
          <t>حساب معین — در قواعد عملیات باسکول استفاده می‌شود</t>
        </is>
      </c>
      <c r="M99">
        <f>IF(OR($B99="",$A99=""),"",IF(OR($B99=$K99,AND(LEFT($A99,1)="S",OR($B99="فروشنده سبد",$B99="تأمین‌کننده")),AND(LEFT($A99,2)="BD",$B99="باسکول دیگران")),"✓","⚠"))</f>
        <v/>
      </c>
    </row>
    <row r="100" ht="21" customHeight="1">
      <c r="A100" s="63" t="inlineStr">
        <is>
          <t>X020</t>
        </is>
      </c>
      <c r="B100" s="64" t="inlineStr">
        <is>
          <t>سایر حساب</t>
        </is>
      </c>
      <c r="C100" s="65" t="inlineStr">
        <is>
          <t>حساب واسط</t>
        </is>
      </c>
      <c r="D100" s="65" t="inlineStr">
        <is>
          <t>حساب کنترل ترازنامه</t>
        </is>
      </c>
      <c r="E100" s="65" t="n"/>
      <c r="F100" s="65" t="n"/>
      <c r="G100" s="65" t="n"/>
      <c r="H100" s="142" t="n">
        <v>0</v>
      </c>
      <c r="I100" s="64" t="inlineStr">
        <is>
          <t>معین</t>
        </is>
      </c>
      <c r="J100" s="64" t="inlineStr">
        <is>
          <t>بله</t>
        </is>
      </c>
      <c r="K100">
        <f>IF($A100="","",IF(LEFT($A100,3)="CAP","سرمایه و آورده صاحبان",IF(LEFT($A100,2)="SL","بارفروش",IF(LEFT($A100,2)="BD","باسکول دیگران",IF(LEFT($A100,1)="C","باغدار",IF(LEFT($A100,1)="S","فروشنده سبد/تأمین‌کننده",IF(LEFT($A100,1)="E","کارمند",IF(LEFT($A100,1)="X","سایر حساب",IF(LEFT($A100,1)="F","دارایی ثابت",IF(LEFT($A100,1)="L","وام و تسهیلات",""))))))))))</f>
        <v/>
      </c>
      <c r="L100" s="65" t="inlineStr">
        <is>
          <t>حساب معین — در قواعد عملیات باسکول استفاده می‌شود</t>
        </is>
      </c>
      <c r="M100">
        <f>IF(OR($B100="",$A100=""),"",IF(OR($B100=$K100,AND(LEFT($A100,1)="S",OR($B100="فروشنده سبد",$B100="تأمین‌کننده")),AND(LEFT($A100,2)="BD",$B100="باسکول دیگران")),"✓","⚠"))</f>
        <v/>
      </c>
    </row>
    <row r="101" ht="21" customHeight="1">
      <c r="A101" s="63" t="inlineStr">
        <is>
          <t>F001</t>
        </is>
      </c>
      <c r="B101" s="64" t="inlineStr">
        <is>
          <t>دارایی ثابت</t>
        </is>
      </c>
      <c r="C101" s="65" t="inlineStr">
        <is>
          <t>زمین و ساختمان</t>
        </is>
      </c>
      <c r="D101" s="65" t="inlineStr">
        <is>
          <t>زمین باغدشت (نمونه)</t>
        </is>
      </c>
      <c r="E101" s="65" t="n"/>
      <c r="F101" s="65" t="n"/>
      <c r="G101" s="65" t="inlineStr">
        <is>
          <t>باغدشت</t>
        </is>
      </c>
      <c r="H101" s="142" t="n">
        <v>2000000000</v>
      </c>
      <c r="I101" s="64" t="inlineStr">
        <is>
          <t>طرف حساب</t>
        </is>
      </c>
      <c r="J101" s="64" t="inlineStr">
        <is>
          <t>بله</t>
        </is>
      </c>
      <c r="K101">
        <f>IF($A101="","",IF(LEFT($A101,3)="CAP","سرمایه و آورده صاحبان",IF(LEFT($A101,2)="SL","بارفروش",IF(LEFT($A101,2)="BD","باسکول دیگران",IF(LEFT($A101,1)="C","باغدار",IF(LEFT($A101,1)="S","فروشنده سبد/تأمین‌کننده",IF(LEFT($A101,1)="E","کارمند",IF(LEFT($A101,1)="X","سایر حساب",IF(LEFT($A101,1)="F","دارایی ثابت",IF(LEFT($A101,1)="L","وام و تسهیلات",""))))))))))</f>
        <v/>
      </c>
      <c r="L101" s="65" t="inlineStr">
        <is>
          <t>دارایی ثابت شرکت</t>
        </is>
      </c>
      <c r="M101">
        <f>IF(OR($B101="",$A101=""),"",IF(OR($B101=$K101,AND(LEFT($A101,1)="S",OR($B101="فروشنده سبد",$B101="تأمین‌کننده")),AND(LEFT($A101,2)="BD",$B101="باسکول دیگران")),"✓","⚠"))</f>
        <v/>
      </c>
    </row>
    <row r="102" ht="21" customHeight="1">
      <c r="A102" s="63" t="inlineStr">
        <is>
          <t>F002</t>
        </is>
      </c>
      <c r="B102" s="64" t="inlineStr">
        <is>
          <t>دارایی ثابت</t>
        </is>
      </c>
      <c r="C102" s="65" t="inlineStr">
        <is>
          <t>خودرو و حمل‌ونقل</t>
        </is>
      </c>
      <c r="D102" s="65" t="inlineStr">
        <is>
          <t>وانت حمل بار (نمونه)</t>
        </is>
      </c>
      <c r="E102" s="65" t="n"/>
      <c r="F102" s="65" t="n"/>
      <c r="G102" s="65" t="n"/>
      <c r="H102" s="142" t="n">
        <v>0</v>
      </c>
      <c r="I102" s="64" t="inlineStr">
        <is>
          <t>طرف حساب</t>
        </is>
      </c>
      <c r="J102" s="64" t="inlineStr">
        <is>
          <t>بله</t>
        </is>
      </c>
      <c r="K102">
        <f>IF($A102="","",IF(LEFT($A102,3)="CAP","سرمایه و آورده صاحبان",IF(LEFT($A102,2)="SL","بارفروش",IF(LEFT($A102,2)="BD","باسکول دیگران",IF(LEFT($A102,1)="C","باغدار",IF(LEFT($A102,1)="S","فروشنده سبد/تأمین‌کننده",IF(LEFT($A102,1)="E","کارمند",IF(LEFT($A102,1)="X","سایر حساب",IF(LEFT($A102,1)="F","دارایی ثابت",IF(LEFT($A102,1)="L","وام و تسهیلات",""))))))))))</f>
        <v/>
      </c>
      <c r="L102" s="65" t="inlineStr">
        <is>
          <t>دارایی ثابت شرکت</t>
        </is>
      </c>
      <c r="M102">
        <f>IF(OR($B102="",$A102=""),"",IF(OR($B102=$K102,AND(LEFT($A102,1)="S",OR($B102="فروشنده سبد",$B102="تأمین‌کننده")),AND(LEFT($A102,2)="BD",$B102="باسکول دیگران")),"✓","⚠"))</f>
        <v/>
      </c>
    </row>
    <row r="103" ht="21" customHeight="1">
      <c r="A103" s="63" t="inlineStr">
        <is>
          <t>F003</t>
        </is>
      </c>
      <c r="B103" s="64" t="inlineStr">
        <is>
          <t>دارایی ثابت</t>
        </is>
      </c>
      <c r="C103" s="65" t="inlineStr">
        <is>
          <t>ماشین‌آلات و تجهیزات</t>
        </is>
      </c>
      <c r="D103" s="65" t="inlineStr">
        <is>
          <t>ماشین‌آلات خط سورتینگ (نمونه)</t>
        </is>
      </c>
      <c r="E103" s="65" t="n"/>
      <c r="F103" s="65" t="n"/>
      <c r="G103" s="65" t="n"/>
      <c r="H103" s="142" t="n">
        <v>0</v>
      </c>
      <c r="I103" s="64" t="inlineStr">
        <is>
          <t>طرف حساب</t>
        </is>
      </c>
      <c r="J103" s="64" t="inlineStr">
        <is>
          <t>بله</t>
        </is>
      </c>
      <c r="K103">
        <f>IF($A103="","",IF(LEFT($A103,3)="CAP","سرمایه و آورده صاحبان",IF(LEFT($A103,2)="SL","بارفروش",IF(LEFT($A103,2)="BD","باسکول دیگران",IF(LEFT($A103,1)="C","باغدار",IF(LEFT($A103,1)="S","فروشنده سبد/تأمین‌کننده",IF(LEFT($A103,1)="E","کارمند",IF(LEFT($A103,1)="X","سایر حساب",IF(LEFT($A103,1)="F","دارایی ثابت",IF(LEFT($A103,1)="L","وام و تسهیلات",""))))))))))</f>
        <v/>
      </c>
      <c r="L103" s="65" t="inlineStr">
        <is>
          <t>دارایی ثابت شرکت</t>
        </is>
      </c>
      <c r="M103">
        <f>IF(OR($B103="",$A103=""),"",IF(OR($B103=$K103,AND(LEFT($A103,1)="S",OR($B103="فروشنده سبد",$B103="تأمین‌کننده")),AND(LEFT($A103,2)="BD",$B103="باسکول دیگران")),"✓","⚠"))</f>
        <v/>
      </c>
    </row>
    <row r="104" ht="21" customHeight="1">
      <c r="A104" s="63" t="inlineStr">
        <is>
          <t>L001</t>
        </is>
      </c>
      <c r="B104" s="64" t="inlineStr">
        <is>
          <t>وام و تسهیلات</t>
        </is>
      </c>
      <c r="C104" s="65" t="inlineStr">
        <is>
          <t>وام بانکی</t>
        </is>
      </c>
      <c r="D104" s="65" t="inlineStr">
        <is>
          <t>وام بانک ملت (نمونه)</t>
        </is>
      </c>
      <c r="E104" s="65" t="n"/>
      <c r="F104" s="65" t="n"/>
      <c r="G104" s="65" t="n"/>
      <c r="H104" s="142" t="n">
        <v>0</v>
      </c>
      <c r="I104" s="64" t="inlineStr">
        <is>
          <t>طرف حساب</t>
        </is>
      </c>
      <c r="J104" s="64" t="inlineStr">
        <is>
          <t>بله</t>
        </is>
      </c>
      <c r="K104">
        <f>IF($A104="","",IF(LEFT($A104,3)="CAP","سرمایه و آورده صاحبان",IF(LEFT($A104,2)="SL","بارفروش",IF(LEFT($A104,2)="BD","باسکول دیگران",IF(LEFT($A104,1)="C","باغدار",IF(LEFT($A104,1)="S","فروشنده سبد/تأمین‌کننده",IF(LEFT($A104,1)="E","کارمند",IF(LEFT($A104,1)="X","سایر حساب",IF(LEFT($A104,1)="F","دارایی ثابت",IF(LEFT($A104,1)="L","وام و تسهیلات",""))))))))))</f>
        <v/>
      </c>
      <c r="L104" s="65" t="inlineStr">
        <is>
          <t>دریافت وام = واریز با این طرف؛ قسط = برداشت با این طرف</t>
        </is>
      </c>
      <c r="M104">
        <f>IF(OR($B104="",$A104=""),"",IF(OR($B104=$K104,AND(LEFT($A104,1)="S",OR($B104="فروشنده سبد",$B104="تأمین‌کننده")),AND(LEFT($A104,2)="BD",$B104="باسکول دیگران")),"✓","⚠"))</f>
        <v/>
      </c>
    </row>
    <row r="105" ht="21" customHeight="1">
      <c r="A105" s="63" t="inlineStr">
        <is>
          <t>CAP001</t>
        </is>
      </c>
      <c r="B105" s="64" t="inlineStr">
        <is>
          <t>سرمایه و آورده صاحبان</t>
        </is>
      </c>
      <c r="C105" s="65" t="inlineStr">
        <is>
          <t>سرمایه اولیه</t>
        </is>
      </c>
      <c r="D105" s="65" t="inlineStr">
        <is>
          <t>سرمایه و آورده صاحبان (نمونه)</t>
        </is>
      </c>
      <c r="E105" s="65" t="n"/>
      <c r="F105" s="65" t="n"/>
      <c r="G105" s="65" t="n"/>
      <c r="H105" s="142" t="n">
        <v>-2650000000</v>
      </c>
      <c r="I105" s="64" t="inlineStr">
        <is>
          <t>طرف حساب</t>
        </is>
      </c>
      <c r="J105" s="64" t="inlineStr">
        <is>
          <t>بله</t>
        </is>
      </c>
      <c r="K105">
        <f>IF($A105="","",IF(LEFT($A105,3)="CAP","سرمایه و آورده صاحبان",IF(LEFT($A105,2)="SL","بارفروش",IF(LEFT($A105,2)="BD","باسکول دیگران",IF(LEFT($A105,1)="C","باغدار",IF(LEFT($A105,1)="S","فروشنده سبد/تأمین‌کننده",IF(LEFT($A105,1)="E","کارمند",IF(LEFT($A105,1)="X","سایر حساب",IF(LEFT($A105,1)="F","دارایی ثابت",IF(LEFT($A105,1)="L","وام و تسهیلات",""))))))))))</f>
        <v/>
      </c>
      <c r="L105" s="65" t="inlineStr">
        <is>
          <t>افتتاحیه: ۲٬۶۵۰٬۰۰۰٬۰۰۰ ریال بستانکار در مقابل دارایی‌ها</t>
        </is>
      </c>
      <c r="M105">
        <f>IF(OR($B105="",$A105=""),"",IF(OR($B105=$K105,AND(LEFT($A105,1)="S",OR($B105="فروشنده سبد",$B105="تأمین‌کننده")),AND(LEFT($A105,2)="BD",$B105="باسکول دیگران")),"✓","⚠"))</f>
        <v/>
      </c>
    </row>
    <row r="106" ht="21" customHeight="1">
      <c r="A106" s="63" t="inlineStr">
        <is>
          <t>BD001</t>
        </is>
      </c>
      <c r="B106" s="64" t="inlineStr">
        <is>
          <t>باسکول دیگران</t>
        </is>
      </c>
      <c r="C106" s="65" t="inlineStr">
        <is>
          <t>باسکول محلی</t>
        </is>
      </c>
      <c r="D106" s="65" t="inlineStr">
        <is>
          <t>باسکول میدان بار (نمونه)</t>
        </is>
      </c>
      <c r="E106" s="65" t="n"/>
      <c r="F106" s="65" t="inlineStr"/>
      <c r="G106" s="65" t="n"/>
      <c r="H106" s="142" t="n">
        <v>0</v>
      </c>
      <c r="I106" s="64" t="inlineStr">
        <is>
          <t>طرف حساب</t>
        </is>
      </c>
      <c r="J106" s="64" t="inlineStr">
        <is>
          <t>بله</t>
        </is>
      </c>
      <c r="K106">
        <f>IF($A106="","",IF(LEFT($A106,3)="CAP","سرمایه و آورده صاحبان",IF(LEFT($A106,2)="SL","بارفروش",IF(LEFT($A106,2)="BD","باسکول دیگران",IF(LEFT($A106,1)="C","باغدار",IF(LEFT($A106,1)="S","فروشنده سبد/تأمین‌کننده",IF(LEFT($A106,1)="E","کارمند",IF(LEFT($A106,1)="X","سایر حساب",IF(LEFT($A106,1)="F","دارایی ثابت",IF(LEFT($A106,1)="L","وام و تسهیلات",""))))))))))</f>
        <v/>
      </c>
      <c r="L106" s="65" t="inlineStr">
        <is>
          <t>هزینه باسکول این اشخاص بدهکار و بعداً تسویه می‌شود</t>
        </is>
      </c>
      <c r="M106">
        <f>IF(OR($B106="",$A106=""),"",IF(OR($B106=$K106,AND(LEFT($A106,1)="S",OR($B106="فروشنده سبد",$B106="تأمین‌کننده")),AND(LEFT($A106,2)="BD",$B106="باسکول دیگران")),"✓","⚠"))</f>
        <v/>
      </c>
    </row>
    <row r="107" ht="21" customHeight="1">
      <c r="A107" s="63" t="inlineStr">
        <is>
          <t>BN01</t>
        </is>
      </c>
      <c r="B107" s="64" t="inlineStr">
        <is>
          <t>بانک و صندوق</t>
        </is>
      </c>
      <c r="C107" s="65" t="inlineStr">
        <is>
          <t>حساب‌های بانکی</t>
        </is>
      </c>
      <c r="D107" s="65" t="inlineStr">
        <is>
          <t>صادرات ۹۰۰۹ — جاری اصلی</t>
        </is>
      </c>
      <c r="E107" s="65" t="n"/>
      <c r="F107" s="65" t="n"/>
      <c r="G107" s="65" t="n"/>
      <c r="H107" s="142" t="n">
        <v>0</v>
      </c>
      <c r="I107" s="64" t="inlineStr">
        <is>
          <t>بانک</t>
        </is>
      </c>
      <c r="J107" s="64" t="inlineStr">
        <is>
          <t>بله</t>
        </is>
      </c>
      <c r="K107">
        <f>IF($A107="","",IF(LEFT($A107,3)="CAP","سرمایه و آورده صاحبان",IF(LEFT($A107,2)="SL","بارفروش",IF(LEFT($A107,2)="BD","باسکول دیگران",IF(LEFT($A107,1)="C","باغدار",IF(LEFT($A107,1)="S","فروشنده سبد/تأمین‌کننده",IF(LEFT($A107,1)="E","کارمند",IF(LEFT($A107,1)="X","سایر حساب",IF(LEFT($A107,1)="F","دارایی ثابت",IF(LEFT($A107,1)="L","وام و تسهیلات",""))))))))))</f>
        <v/>
      </c>
      <c r="L107" s="65" t="n"/>
      <c r="M107">
        <f>IF(OR($B107="",$A107=""),"",IF(OR($B107=$K107,AND(LEFT($A107,1)="S",OR($B107="فروشنده سبد",$B107="تأمین‌کننده")),AND(LEFT($A107,2)="BD",$B107="باسکول دیگران")),"✓","⚠"))</f>
        <v/>
      </c>
    </row>
    <row r="108" ht="21" customHeight="1">
      <c r="A108" s="63" t="inlineStr">
        <is>
          <t>BN02</t>
        </is>
      </c>
      <c r="B108" s="64" t="inlineStr">
        <is>
          <t>بانک و صندوق</t>
        </is>
      </c>
      <c r="C108" s="65" t="inlineStr">
        <is>
          <t>حساب‌های بانکی</t>
        </is>
      </c>
      <c r="D108" s="65" t="inlineStr">
        <is>
          <t>صادرات ۲۰۰۶ — پوز باسکول</t>
        </is>
      </c>
      <c r="E108" s="65" t="n"/>
      <c r="F108" s="65" t="n"/>
      <c r="G108" s="65" t="n"/>
      <c r="H108" s="142" t="n">
        <v>0</v>
      </c>
      <c r="I108" s="64" t="inlineStr">
        <is>
          <t>بانک</t>
        </is>
      </c>
      <c r="J108" s="64" t="inlineStr">
        <is>
          <t>بله</t>
        </is>
      </c>
      <c r="K108">
        <f>IF($A108="","",IF(LEFT($A108,3)="CAP","سرمایه و آورده صاحبان",IF(LEFT($A108,2)="SL","بارفروش",IF(LEFT($A108,2)="BD","باسکول دیگران",IF(LEFT($A108,1)="C","باغدار",IF(LEFT($A108,1)="S","فروشنده سبد/تأمین‌کننده",IF(LEFT($A108,1)="E","کارمند",IF(LEFT($A108,1)="X","سایر حساب",IF(LEFT($A108,1)="F","دارایی ثابت",IF(LEFT($A108,1)="L","وام و تسهیلات",""))))))))))</f>
        <v/>
      </c>
      <c r="L108" s="65" t="n"/>
      <c r="M108">
        <f>IF(OR($B108="",$A108=""),"",IF(OR($B108=$K108,AND(LEFT($A108,1)="S",OR($B108="فروشنده سبد",$B108="تأمین‌کننده")),AND(LEFT($A108,2)="BD",$B108="باسکول دیگران")),"✓","⚠"))</f>
        <v/>
      </c>
    </row>
    <row r="109" ht="21" customHeight="1">
      <c r="A109" s="63" t="inlineStr">
        <is>
          <t>BN03</t>
        </is>
      </c>
      <c r="B109" s="64" t="inlineStr">
        <is>
          <t>بانک و صندوق</t>
        </is>
      </c>
      <c r="C109" s="65" t="inlineStr">
        <is>
          <t>حساب‌های بانکی</t>
        </is>
      </c>
      <c r="D109" s="65" t="inlineStr">
        <is>
          <t>بانک ملت</t>
        </is>
      </c>
      <c r="E109" s="65" t="n"/>
      <c r="F109" s="65" t="n"/>
      <c r="G109" s="65" t="n"/>
      <c r="H109" s="142" t="n">
        <v>0</v>
      </c>
      <c r="I109" s="64" t="inlineStr">
        <is>
          <t>بانک</t>
        </is>
      </c>
      <c r="J109" s="64" t="inlineStr">
        <is>
          <t>بله</t>
        </is>
      </c>
      <c r="K109">
        <f>IF($A109="","",IF(LEFT($A109,3)="CAP","سرمایه و آورده صاحبان",IF(LEFT($A109,2)="SL","بارفروش",IF(LEFT($A109,2)="BD","باسکول دیگران",IF(LEFT($A109,1)="C","باغدار",IF(LEFT($A109,1)="S","فروشنده سبد/تأمین‌کننده",IF(LEFT($A109,1)="E","کارمند",IF(LEFT($A109,1)="X","سایر حساب",IF(LEFT($A109,1)="F","دارایی ثابت",IF(LEFT($A109,1)="L","وام و تسهیلات",""))))))))))</f>
        <v/>
      </c>
      <c r="L109" s="65" t="n"/>
      <c r="M109">
        <f>IF(OR($B109="",$A109=""),"",IF(OR($B109=$K109,AND(LEFT($A109,1)="S",OR($B109="فروشنده سبد",$B109="تأمین‌کننده")),AND(LEFT($A109,2)="BD",$B109="باسکول دیگران")),"✓","⚠"))</f>
        <v/>
      </c>
    </row>
    <row r="110" ht="21" customHeight="1">
      <c r="A110" s="63" t="inlineStr">
        <is>
          <t>BN04</t>
        </is>
      </c>
      <c r="B110" s="64" t="inlineStr">
        <is>
          <t>بانک و صندوق</t>
        </is>
      </c>
      <c r="C110" s="65" t="inlineStr">
        <is>
          <t>حساب‌های بانکی</t>
        </is>
      </c>
      <c r="D110" s="65" t="inlineStr">
        <is>
          <t>بانک کشاورزی</t>
        </is>
      </c>
      <c r="E110" s="65" t="n"/>
      <c r="F110" s="65" t="n"/>
      <c r="G110" s="65" t="n"/>
      <c r="H110" s="142" t="n">
        <v>0</v>
      </c>
      <c r="I110" s="64" t="inlineStr">
        <is>
          <t>بانک</t>
        </is>
      </c>
      <c r="J110" s="64" t="inlineStr">
        <is>
          <t>بله</t>
        </is>
      </c>
      <c r="K110">
        <f>IF($A110="","",IF(LEFT($A110,3)="CAP","سرمایه و آورده صاحبان",IF(LEFT($A110,2)="SL","بارفروش",IF(LEFT($A110,2)="BD","باسکول دیگران",IF(LEFT($A110,1)="C","باغدار",IF(LEFT($A110,1)="S","فروشنده سبد/تأمین‌کننده",IF(LEFT($A110,1)="E","کارمند",IF(LEFT($A110,1)="X","سایر حساب",IF(LEFT($A110,1)="F","دارایی ثابت",IF(LEFT($A110,1)="L","وام و تسهیلات",""))))))))))</f>
        <v/>
      </c>
      <c r="L110" s="65" t="n"/>
      <c r="M110">
        <f>IF(OR($B110="",$A110=""),"",IF(OR($B110=$K110,AND(LEFT($A110,1)="S",OR($B110="فروشنده سبد",$B110="تأمین‌کننده")),AND(LEFT($A110,2)="BD",$B110="باسکول دیگران")),"✓","⚠"))</f>
        <v/>
      </c>
    </row>
    <row r="111" ht="21" customHeight="1">
      <c r="A111" s="63" t="inlineStr">
        <is>
          <t>BN05</t>
        </is>
      </c>
      <c r="B111" s="64" t="inlineStr">
        <is>
          <t>بانک و صندوق</t>
        </is>
      </c>
      <c r="C111" s="65" t="inlineStr">
        <is>
          <t>حساب‌های بانکی</t>
        </is>
      </c>
      <c r="D111" s="65" t="inlineStr">
        <is>
          <t>بانک سپه</t>
        </is>
      </c>
      <c r="E111" s="65" t="n"/>
      <c r="F111" s="65" t="n"/>
      <c r="G111" s="65" t="n"/>
      <c r="H111" s="142" t="n">
        <v>0</v>
      </c>
      <c r="I111" s="64" t="inlineStr">
        <is>
          <t>بانک</t>
        </is>
      </c>
      <c r="J111" s="64" t="inlineStr">
        <is>
          <t>بله</t>
        </is>
      </c>
      <c r="K111">
        <f>IF($A111="","",IF(LEFT($A111,3)="CAP","سرمایه و آورده صاحبان",IF(LEFT($A111,2)="SL","بارفروش",IF(LEFT($A111,2)="BD","باسکول دیگران",IF(LEFT($A111,1)="C","باغدار",IF(LEFT($A111,1)="S","فروشنده سبد/تأمین‌کننده",IF(LEFT($A111,1)="E","کارمند",IF(LEFT($A111,1)="X","سایر حساب",IF(LEFT($A111,1)="F","دارایی ثابت",IF(LEFT($A111,1)="L","وام و تسهیلات",""))))))))))</f>
        <v/>
      </c>
      <c r="L111" s="65" t="n"/>
      <c r="M111">
        <f>IF(OR($B111="",$A111=""),"",IF(OR($B111=$K111,AND(LEFT($A111,1)="S",OR($B111="فروشنده سبد",$B111="تأمین‌کننده")),AND(LEFT($A111,2)="BD",$B111="باسکول دیگران")),"✓","⚠"))</f>
        <v/>
      </c>
    </row>
    <row r="112" ht="21" customHeight="1">
      <c r="A112" s="63" t="inlineStr">
        <is>
          <t>BN06</t>
        </is>
      </c>
      <c r="B112" s="64" t="inlineStr">
        <is>
          <t>بانک و صندوق</t>
        </is>
      </c>
      <c r="C112" s="65" t="inlineStr">
        <is>
          <t>حساب‌های بانکی</t>
        </is>
      </c>
      <c r="D112" s="65" t="inlineStr">
        <is>
          <t>بانک مهر ایران</t>
        </is>
      </c>
      <c r="E112" s="65" t="n"/>
      <c r="F112" s="65" t="n"/>
      <c r="G112" s="65" t="n"/>
      <c r="H112" s="142" t="n">
        <v>0</v>
      </c>
      <c r="I112" s="64" t="inlineStr">
        <is>
          <t>بانک</t>
        </is>
      </c>
      <c r="J112" s="64" t="inlineStr">
        <is>
          <t>بله</t>
        </is>
      </c>
      <c r="K112">
        <f>IF($A112="","",IF(LEFT($A112,3)="CAP","سرمایه و آورده صاحبان",IF(LEFT($A112,2)="SL","بارفروش",IF(LEFT($A112,2)="BD","باسکول دیگران",IF(LEFT($A112,1)="C","باغدار",IF(LEFT($A112,1)="S","فروشنده سبد/تأمین‌کننده",IF(LEFT($A112,1)="E","کارمند",IF(LEFT($A112,1)="X","سایر حساب",IF(LEFT($A112,1)="F","دارایی ثابت",IF(LEFT($A112,1)="L","وام و تسهیلات",""))))))))))</f>
        <v/>
      </c>
      <c r="L112" s="65" t="n"/>
      <c r="M112">
        <f>IF(OR($B112="",$A112=""),"",IF(OR($B112=$K112,AND(LEFT($A112,1)="S",OR($B112="فروشنده سبد",$B112="تأمین‌کننده")),AND(LEFT($A112,2)="BD",$B112="باسکول دیگران")),"✓","⚠"))</f>
        <v/>
      </c>
    </row>
    <row r="113" ht="21" customHeight="1">
      <c r="A113" s="63" t="inlineStr">
        <is>
          <t>BN07</t>
        </is>
      </c>
      <c r="B113" s="64" t="inlineStr">
        <is>
          <t>بانک و صندوق</t>
        </is>
      </c>
      <c r="C113" s="65" t="inlineStr">
        <is>
          <t>حساب‌های بانکی</t>
        </is>
      </c>
      <c r="D113" s="65" t="inlineStr">
        <is>
          <t>بانک تجارت</t>
        </is>
      </c>
      <c r="E113" s="65" t="n"/>
      <c r="F113" s="65" t="n"/>
      <c r="G113" s="65" t="n"/>
      <c r="H113" s="142" t="n">
        <v>0</v>
      </c>
      <c r="I113" s="64" t="inlineStr">
        <is>
          <t>بانک</t>
        </is>
      </c>
      <c r="J113" s="64" t="inlineStr">
        <is>
          <t>بله</t>
        </is>
      </c>
      <c r="K113">
        <f>IF($A113="","",IF(LEFT($A113,3)="CAP","سرمایه و آورده صاحبان",IF(LEFT($A113,2)="SL","بارفروش",IF(LEFT($A113,2)="BD","باسکول دیگران",IF(LEFT($A113,1)="C","باغدار",IF(LEFT($A113,1)="S","فروشنده سبد/تأمین‌کننده",IF(LEFT($A113,1)="E","کارمند",IF(LEFT($A113,1)="X","سایر حساب",IF(LEFT($A113,1)="F","دارایی ثابت",IF(LEFT($A113,1)="L","وام و تسهیلات",""))))))))))</f>
        <v/>
      </c>
      <c r="L113" s="65" t="n"/>
      <c r="M113">
        <f>IF(OR($B113="",$A113=""),"",IF(OR($B113=$K113,AND(LEFT($A113,1)="S",OR($B113="فروشنده سبد",$B113="تأمین‌کننده")),AND(LEFT($A113,2)="BD",$B113="باسکول دیگران")),"✓","⚠"))</f>
        <v/>
      </c>
    </row>
    <row r="114" ht="21" customHeight="1">
      <c r="A114" s="63" t="inlineStr">
        <is>
          <t>BN08</t>
        </is>
      </c>
      <c r="B114" s="64" t="inlineStr">
        <is>
          <t>بانک و صندوق</t>
        </is>
      </c>
      <c r="C114" s="65" t="inlineStr">
        <is>
          <t>حساب‌های بانکی</t>
        </is>
      </c>
      <c r="D114" s="65" t="inlineStr">
        <is>
          <t>بانک پاسارگاد</t>
        </is>
      </c>
      <c r="E114" s="65" t="n"/>
      <c r="F114" s="65" t="n"/>
      <c r="G114" s="65" t="n"/>
      <c r="H114" s="142" t="n">
        <v>0</v>
      </c>
      <c r="I114" s="64" t="inlineStr">
        <is>
          <t>بانک</t>
        </is>
      </c>
      <c r="J114" s="64" t="inlineStr">
        <is>
          <t>بله</t>
        </is>
      </c>
      <c r="K114">
        <f>IF($A114="","",IF(LEFT($A114,3)="CAP","سرمایه و آورده صاحبان",IF(LEFT($A114,2)="SL","بارفروش",IF(LEFT($A114,2)="BD","باسکول دیگران",IF(LEFT($A114,1)="C","باغدار",IF(LEFT($A114,1)="S","فروشنده سبد/تأمین‌کننده",IF(LEFT($A114,1)="E","کارمند",IF(LEFT($A114,1)="X","سایر حساب",IF(LEFT($A114,1)="F","دارایی ثابت",IF(LEFT($A114,1)="L","وام و تسهیلات",""))))))))))</f>
        <v/>
      </c>
      <c r="L114" s="65" t="n"/>
      <c r="M114">
        <f>IF(OR($B114="",$A114=""),"",IF(OR($B114=$K114,AND(LEFT($A114,1)="S",OR($B114="فروشنده سبد",$B114="تأمین‌کننده")),AND(LEFT($A114,2)="BD",$B114="باسکول دیگران")),"✓","⚠"))</f>
        <v/>
      </c>
    </row>
    <row r="115" ht="21" customHeight="1">
      <c r="A115" s="63" t="inlineStr">
        <is>
          <t>BN09</t>
        </is>
      </c>
      <c r="B115" s="64" t="inlineStr">
        <is>
          <t>بانک و صندوق</t>
        </is>
      </c>
      <c r="C115" s="65" t="inlineStr">
        <is>
          <t>حساب‌های بانکی</t>
        </is>
      </c>
      <c r="D115" s="65" t="inlineStr">
        <is>
          <t>بانک رفاه</t>
        </is>
      </c>
      <c r="E115" s="65" t="n"/>
      <c r="F115" s="65" t="n"/>
      <c r="G115" s="65" t="n"/>
      <c r="H115" s="142" t="n">
        <v>0</v>
      </c>
      <c r="I115" s="64" t="inlineStr">
        <is>
          <t>بانک</t>
        </is>
      </c>
      <c r="J115" s="64" t="inlineStr">
        <is>
          <t>بله</t>
        </is>
      </c>
      <c r="K115">
        <f>IF($A115="","",IF(LEFT($A115,3)="CAP","سرمایه و آورده صاحبان",IF(LEFT($A115,2)="SL","بارفروش",IF(LEFT($A115,2)="BD","باسکول دیگران",IF(LEFT($A115,1)="C","باغدار",IF(LEFT($A115,1)="S","فروشنده سبد/تأمین‌کننده",IF(LEFT($A115,1)="E","کارمند",IF(LEFT($A115,1)="X","سایر حساب",IF(LEFT($A115,1)="F","دارایی ثابت",IF(LEFT($A115,1)="L","وام و تسهیلات",""))))))))))</f>
        <v/>
      </c>
      <c r="L115" s="65" t="n"/>
      <c r="M115">
        <f>IF(OR($B115="",$A115=""),"",IF(OR($B115=$K115,AND(LEFT($A115,1)="S",OR($B115="فروشنده سبد",$B115="تأمین‌کننده")),AND(LEFT($A115,2)="BD",$B115="باسکول دیگران")),"✓","⚠"))</f>
        <v/>
      </c>
    </row>
    <row r="116" ht="21" customHeight="1">
      <c r="A116" s="63" t="inlineStr">
        <is>
          <t>BN10</t>
        </is>
      </c>
      <c r="B116" s="64" t="inlineStr">
        <is>
          <t>بانک و صندوق</t>
        </is>
      </c>
      <c r="C116" s="65" t="inlineStr">
        <is>
          <t>حساب‌های بانکی</t>
        </is>
      </c>
      <c r="D116" s="65" t="inlineStr">
        <is>
          <t>قرض‌الحسنه</t>
        </is>
      </c>
      <c r="E116" s="65" t="n"/>
      <c r="F116" s="65" t="n"/>
      <c r="G116" s="65" t="n"/>
      <c r="H116" s="142" t="n">
        <v>0</v>
      </c>
      <c r="I116" s="64" t="inlineStr">
        <is>
          <t>بانک</t>
        </is>
      </c>
      <c r="J116" s="64" t="inlineStr">
        <is>
          <t>بله</t>
        </is>
      </c>
      <c r="K116">
        <f>IF($A116="","",IF(LEFT($A116,3)="CAP","سرمایه و آورده صاحبان",IF(LEFT($A116,2)="SL","بارفروش",IF(LEFT($A116,2)="BD","باسکول دیگران",IF(LEFT($A116,1)="C","باغدار",IF(LEFT($A116,1)="S","فروشنده سبد/تأمین‌کننده",IF(LEFT($A116,1)="E","کارمند",IF(LEFT($A116,1)="X","سایر حساب",IF(LEFT($A116,1)="F","دارایی ثابت",IF(LEFT($A116,1)="L","وام و تسهیلات",""))))))))))</f>
        <v/>
      </c>
      <c r="L116" s="65" t="n"/>
      <c r="M116">
        <f>IF(OR($B116="",$A116=""),"",IF(OR($B116=$K116,AND(LEFT($A116,1)="S",OR($B116="فروشنده سبد",$B116="تأمین‌کننده")),AND(LEFT($A116,2)="BD",$B116="باسکول دیگران")),"✓","⚠"))</f>
        <v/>
      </c>
    </row>
    <row r="117" ht="21" customHeight="1">
      <c r="A117" s="67" t="inlineStr">
        <is>
          <t>C058</t>
        </is>
      </c>
      <c r="B117" s="64" t="n"/>
      <c r="C117" s="65" t="n"/>
      <c r="D117" s="65" t="n"/>
      <c r="E117" s="65" t="n"/>
      <c r="F117" s="65" t="n"/>
      <c r="G117" s="65" t="n"/>
      <c r="H117" s="143" t="n">
        <v>0</v>
      </c>
      <c r="I117" s="64" t="n"/>
      <c r="J117" s="64" t="n"/>
      <c r="K117">
        <f>IF($A117="","",IF(LEFT($A117,3)="CAP","سرمایه و آورده صاحبان",IF(LEFT($A117,2)="SL","بارفروش",IF(LEFT($A117,2)="BD","باسکول دیگران",IF(LEFT($A117,1)="C","باغدار",IF(LEFT($A117,1)="S","فروشنده سبد/تأمین‌کننده",IF(LEFT($A117,1)="E","کارمند",IF(LEFT($A117,1)="X","سایر حساب",IF(LEFT($A117,1)="F","دارایی ثابت",IF(LEFT($A117,1)="L","وام و تسهیلات",""))))))))))</f>
        <v/>
      </c>
      <c r="L117" s="65" t="n"/>
      <c r="M117">
        <f>IF(OR($B117="",$A117=""),"",IF(OR($B117=$K117,AND(LEFT($A117,1)="S",OR($B117="فروشنده سبد",$B117="تأمین‌کننده")),AND(LEFT($A117,2)="BD",$B117="باسکول دیگران")),"✓","⚠"))</f>
        <v/>
      </c>
    </row>
    <row r="118" ht="21" customHeight="1">
      <c r="A118" s="67" t="inlineStr">
        <is>
          <t>C059</t>
        </is>
      </c>
      <c r="B118" s="64" t="n"/>
      <c r="C118" s="65" t="n"/>
      <c r="D118" s="65" t="n"/>
      <c r="E118" s="65" t="n"/>
      <c r="F118" s="65" t="n"/>
      <c r="G118" s="65" t="n"/>
      <c r="H118" s="143" t="n">
        <v>0</v>
      </c>
      <c r="I118" s="64" t="n"/>
      <c r="J118" s="64" t="n"/>
      <c r="K118">
        <f>IF($A118="","",IF(LEFT($A118,3)="CAP","سرمایه و آورده صاحبان",IF(LEFT($A118,2)="SL","بارفروش",IF(LEFT($A118,2)="BD","باسکول دیگران",IF(LEFT($A118,1)="C","باغدار",IF(LEFT($A118,1)="S","فروشنده سبد/تأمین‌کننده",IF(LEFT($A118,1)="E","کارمند",IF(LEFT($A118,1)="X","سایر حساب",IF(LEFT($A118,1)="F","دارایی ثابت",IF(LEFT($A118,1)="L","وام و تسهیلات",""))))))))))</f>
        <v/>
      </c>
      <c r="L118" s="65" t="n"/>
      <c r="M118">
        <f>IF(OR($B118="",$A118=""),"",IF(OR($B118=$K118,AND(LEFT($A118,1)="S",OR($B118="فروشنده سبد",$B118="تأمین‌کننده")),AND(LEFT($A118,2)="BD",$B118="باسکول دیگران")),"✓","⚠"))</f>
        <v/>
      </c>
    </row>
    <row r="119" ht="21" customHeight="1">
      <c r="A119" s="67" t="inlineStr">
        <is>
          <t>C060</t>
        </is>
      </c>
      <c r="B119" s="64" t="n"/>
      <c r="C119" s="65" t="n"/>
      <c r="D119" s="65" t="n"/>
      <c r="E119" s="65" t="n"/>
      <c r="F119" s="65" t="n"/>
      <c r="G119" s="65" t="n"/>
      <c r="H119" s="143" t="n">
        <v>0</v>
      </c>
      <c r="I119" s="64" t="n"/>
      <c r="J119" s="64" t="n"/>
      <c r="K119">
        <f>IF($A119="","",IF(LEFT($A119,3)="CAP","سرمایه و آورده صاحبان",IF(LEFT($A119,2)="SL","بارفروش",IF(LEFT($A119,2)="BD","باسکول دیگران",IF(LEFT($A119,1)="C","باغدار",IF(LEFT($A119,1)="S","فروشنده سبد/تأمین‌کننده",IF(LEFT($A119,1)="E","کارمند",IF(LEFT($A119,1)="X","سایر حساب",IF(LEFT($A119,1)="F","دارایی ثابت",IF(LEFT($A119,1)="L","وام و تسهیلات",""))))))))))</f>
        <v/>
      </c>
      <c r="L119" s="65" t="n"/>
      <c r="M119">
        <f>IF(OR($B119="",$A119=""),"",IF(OR($B119=$K119,AND(LEFT($A119,1)="S",OR($B119="فروشنده سبد",$B119="تأمین‌کننده")),AND(LEFT($A119,2)="BD",$B119="باسکول دیگران")),"✓","⚠"))</f>
        <v/>
      </c>
    </row>
    <row r="120" ht="21" customHeight="1">
      <c r="A120" s="67" t="inlineStr">
        <is>
          <t>C061</t>
        </is>
      </c>
      <c r="B120" s="64" t="n"/>
      <c r="C120" s="65" t="n"/>
      <c r="D120" s="65" t="n"/>
      <c r="E120" s="65" t="n"/>
      <c r="F120" s="65" t="n"/>
      <c r="G120" s="65" t="n"/>
      <c r="H120" s="143" t="n">
        <v>0</v>
      </c>
      <c r="I120" s="64" t="n"/>
      <c r="J120" s="64" t="n"/>
      <c r="K120">
        <f>IF($A120="","",IF(LEFT($A120,3)="CAP","سرمایه و آورده صاحبان",IF(LEFT($A120,2)="SL","بارفروش",IF(LEFT($A120,2)="BD","باسکول دیگران",IF(LEFT($A120,1)="C","باغدار",IF(LEFT($A120,1)="S","فروشنده سبد/تأمین‌کننده",IF(LEFT($A120,1)="E","کارمند",IF(LEFT($A120,1)="X","سایر حساب",IF(LEFT($A120,1)="F","دارایی ثابت",IF(LEFT($A120,1)="L","وام و تسهیلات",""))))))))))</f>
        <v/>
      </c>
      <c r="L120" s="65" t="n"/>
      <c r="M120">
        <f>IF(OR($B120="",$A120=""),"",IF(OR($B120=$K120,AND(LEFT($A120,1)="S",OR($B120="فروشنده سبد",$B120="تأمین‌کننده")),AND(LEFT($A120,2)="BD",$B120="باسکول دیگران")),"✓","⚠"))</f>
        <v/>
      </c>
    </row>
    <row r="121" ht="21" customHeight="1">
      <c r="A121" s="67" t="inlineStr">
        <is>
          <t>C062</t>
        </is>
      </c>
      <c r="B121" s="64" t="n"/>
      <c r="C121" s="65" t="n"/>
      <c r="D121" s="65" t="n"/>
      <c r="E121" s="65" t="n"/>
      <c r="F121" s="65" t="n"/>
      <c r="G121" s="65" t="n"/>
      <c r="H121" s="143" t="n">
        <v>0</v>
      </c>
      <c r="I121" s="64" t="n"/>
      <c r="J121" s="64" t="n"/>
      <c r="K121">
        <f>IF($A121="","",IF(LEFT($A121,3)="CAP","سرمایه و آورده صاحبان",IF(LEFT($A121,2)="SL","بارفروش",IF(LEFT($A121,2)="BD","باسکول دیگران",IF(LEFT($A121,1)="C","باغدار",IF(LEFT($A121,1)="S","فروشنده سبد/تأمین‌کننده",IF(LEFT($A121,1)="E","کارمند",IF(LEFT($A121,1)="X","سایر حساب",IF(LEFT($A121,1)="F","دارایی ثابت",IF(LEFT($A121,1)="L","وام و تسهیلات",""))))))))))</f>
        <v/>
      </c>
      <c r="L121" s="65" t="n"/>
      <c r="M121">
        <f>IF(OR($B121="",$A121=""),"",IF(OR($B121=$K121,AND(LEFT($A121,1)="S",OR($B121="فروشنده سبد",$B121="تأمین‌کننده")),AND(LEFT($A121,2)="BD",$B121="باسکول دیگران")),"✓","⚠"))</f>
        <v/>
      </c>
    </row>
    <row r="122" ht="21" customHeight="1">
      <c r="A122" s="67" t="inlineStr">
        <is>
          <t>C063</t>
        </is>
      </c>
      <c r="B122" s="64" t="n"/>
      <c r="C122" s="65" t="n"/>
      <c r="D122" s="65" t="n"/>
      <c r="E122" s="65" t="n"/>
      <c r="F122" s="65" t="n"/>
      <c r="G122" s="65" t="n"/>
      <c r="H122" s="143" t="n">
        <v>0</v>
      </c>
      <c r="I122" s="64" t="n"/>
      <c r="J122" s="64" t="n"/>
      <c r="K122">
        <f>IF($A122="","",IF(LEFT($A122,3)="CAP","سرمایه و آورده صاحبان",IF(LEFT($A122,2)="SL","بارفروش",IF(LEFT($A122,2)="BD","باسکول دیگران",IF(LEFT($A122,1)="C","باغدار",IF(LEFT($A122,1)="S","فروشنده سبد/تأمین‌کننده",IF(LEFT($A122,1)="E","کارمند",IF(LEFT($A122,1)="X","سایر حساب",IF(LEFT($A122,1)="F","دارایی ثابت",IF(LEFT($A122,1)="L","وام و تسهیلات",""))))))))))</f>
        <v/>
      </c>
      <c r="L122" s="65" t="n"/>
      <c r="M122">
        <f>IF(OR($B122="",$A122=""),"",IF(OR($B122=$K122,AND(LEFT($A122,1)="S",OR($B122="فروشنده سبد",$B122="تأمین‌کننده")),AND(LEFT($A122,2)="BD",$B122="باسکول دیگران")),"✓","⚠"))</f>
        <v/>
      </c>
    </row>
    <row r="123" ht="21" customHeight="1">
      <c r="A123" s="67" t="inlineStr">
        <is>
          <t>C064</t>
        </is>
      </c>
      <c r="B123" s="64" t="n"/>
      <c r="C123" s="65" t="n"/>
      <c r="D123" s="65" t="n"/>
      <c r="E123" s="65" t="n"/>
      <c r="F123" s="65" t="n"/>
      <c r="G123" s="65" t="n"/>
      <c r="H123" s="143" t="n">
        <v>0</v>
      </c>
      <c r="I123" s="64" t="n"/>
      <c r="J123" s="64" t="n"/>
      <c r="K123">
        <f>IF($A123="","",IF(LEFT($A123,3)="CAP","سرمایه و آورده صاحبان",IF(LEFT($A123,2)="SL","بارفروش",IF(LEFT($A123,2)="BD","باسکول دیگران",IF(LEFT($A123,1)="C","باغدار",IF(LEFT($A123,1)="S","فروشنده سبد/تأمین‌کننده",IF(LEFT($A123,1)="E","کارمند",IF(LEFT($A123,1)="X","سایر حساب",IF(LEFT($A123,1)="F","دارایی ثابت",IF(LEFT($A123,1)="L","وام و تسهیلات",""))))))))))</f>
        <v/>
      </c>
      <c r="L123" s="65" t="n"/>
      <c r="M123">
        <f>IF(OR($B123="",$A123=""),"",IF(OR($B123=$K123,AND(LEFT($A123,1)="S",OR($B123="فروشنده سبد",$B123="تأمین‌کننده")),AND(LEFT($A123,2)="BD",$B123="باسکول دیگران")),"✓","⚠"))</f>
        <v/>
      </c>
    </row>
    <row r="124" ht="21" customHeight="1">
      <c r="A124" s="67" t="inlineStr">
        <is>
          <t>C065</t>
        </is>
      </c>
      <c r="B124" s="64" t="n"/>
      <c r="C124" s="65" t="n"/>
      <c r="D124" s="65" t="n"/>
      <c r="E124" s="65" t="n"/>
      <c r="F124" s="65" t="n"/>
      <c r="G124" s="65" t="n"/>
      <c r="H124" s="143" t="n">
        <v>0</v>
      </c>
      <c r="I124" s="64" t="n"/>
      <c r="J124" s="64" t="n"/>
      <c r="K124">
        <f>IF($A124="","",IF(LEFT($A124,3)="CAP","سرمایه و آورده صاحبان",IF(LEFT($A124,2)="SL","بارفروش",IF(LEFT($A124,2)="BD","باسکول دیگران",IF(LEFT($A124,1)="C","باغدار",IF(LEFT($A124,1)="S","فروشنده سبد/تأمین‌کننده",IF(LEFT($A124,1)="E","کارمند",IF(LEFT($A124,1)="X","سایر حساب",IF(LEFT($A124,1)="F","دارایی ثابت",IF(LEFT($A124,1)="L","وام و تسهیلات",""))))))))))</f>
        <v/>
      </c>
      <c r="L124" s="65" t="n"/>
      <c r="M124">
        <f>IF(OR($B124="",$A124=""),"",IF(OR($B124=$K124,AND(LEFT($A124,1)="S",OR($B124="فروشنده سبد",$B124="تأمین‌کننده")),AND(LEFT($A124,2)="BD",$B124="باسکول دیگران")),"✓","⚠"))</f>
        <v/>
      </c>
    </row>
    <row r="125" ht="21" customHeight="1">
      <c r="A125" s="67" t="inlineStr">
        <is>
          <t>C066</t>
        </is>
      </c>
      <c r="B125" s="64" t="n"/>
      <c r="C125" s="65" t="n"/>
      <c r="D125" s="65" t="n"/>
      <c r="E125" s="65" t="n"/>
      <c r="F125" s="65" t="n"/>
      <c r="G125" s="65" t="n"/>
      <c r="H125" s="143" t="n">
        <v>0</v>
      </c>
      <c r="I125" s="64" t="n"/>
      <c r="J125" s="64" t="n"/>
      <c r="K125">
        <f>IF($A125="","",IF(LEFT($A125,3)="CAP","سرمایه و آورده صاحبان",IF(LEFT($A125,2)="SL","بارفروش",IF(LEFT($A125,2)="BD","باسکول دیگران",IF(LEFT($A125,1)="C","باغدار",IF(LEFT($A125,1)="S","فروشنده سبد/تأمین‌کننده",IF(LEFT($A125,1)="E","کارمند",IF(LEFT($A125,1)="X","سایر حساب",IF(LEFT($A125,1)="F","دارایی ثابت",IF(LEFT($A125,1)="L","وام و تسهیلات",""))))))))))</f>
        <v/>
      </c>
      <c r="L125" s="65" t="n"/>
      <c r="M125">
        <f>IF(OR($B125="",$A125=""),"",IF(OR($B125=$K125,AND(LEFT($A125,1)="S",OR($B125="فروشنده سبد",$B125="تأمین‌کننده")),AND(LEFT($A125,2)="BD",$B125="باسکول دیگران")),"✓","⚠"))</f>
        <v/>
      </c>
    </row>
    <row r="126" ht="21" customHeight="1">
      <c r="A126" s="67" t="inlineStr">
        <is>
          <t>C067</t>
        </is>
      </c>
      <c r="B126" s="64" t="n"/>
      <c r="C126" s="65" t="n"/>
      <c r="D126" s="65" t="n"/>
      <c r="E126" s="65" t="n"/>
      <c r="F126" s="65" t="n"/>
      <c r="G126" s="65" t="n"/>
      <c r="H126" s="143" t="n">
        <v>0</v>
      </c>
      <c r="I126" s="64" t="n"/>
      <c r="J126" s="64" t="n"/>
      <c r="K126">
        <f>IF($A126="","",IF(LEFT($A126,3)="CAP","سرمایه و آورده صاحبان",IF(LEFT($A126,2)="SL","بارفروش",IF(LEFT($A126,2)="BD","باسکول دیگران",IF(LEFT($A126,1)="C","باغدار",IF(LEFT($A126,1)="S","فروشنده سبد/تأمین‌کننده",IF(LEFT($A126,1)="E","کارمند",IF(LEFT($A126,1)="X","سایر حساب",IF(LEFT($A126,1)="F","دارایی ثابت",IF(LEFT($A126,1)="L","وام و تسهیلات",""))))))))))</f>
        <v/>
      </c>
      <c r="L126" s="65" t="n"/>
      <c r="M126">
        <f>IF(OR($B126="",$A126=""),"",IF(OR($B126=$K126,AND(LEFT($A126,1)="S",OR($B126="فروشنده سبد",$B126="تأمین‌کننده")),AND(LEFT($A126,2)="BD",$B126="باسکول دیگران")),"✓","⚠"))</f>
        <v/>
      </c>
    </row>
    <row r="127" ht="21" customHeight="1">
      <c r="A127" s="67" t="inlineStr">
        <is>
          <t>C068</t>
        </is>
      </c>
      <c r="B127" s="64" t="n"/>
      <c r="C127" s="65" t="n"/>
      <c r="D127" s="65" t="n"/>
      <c r="E127" s="65" t="n"/>
      <c r="F127" s="65" t="n"/>
      <c r="G127" s="65" t="n"/>
      <c r="H127" s="143" t="n">
        <v>0</v>
      </c>
      <c r="I127" s="64" t="n"/>
      <c r="J127" s="64" t="n"/>
      <c r="K127">
        <f>IF($A127="","",IF(LEFT($A127,3)="CAP","سرمایه و آورده صاحبان",IF(LEFT($A127,2)="SL","بارفروش",IF(LEFT($A127,2)="BD","باسکول دیگران",IF(LEFT($A127,1)="C","باغدار",IF(LEFT($A127,1)="S","فروشنده سبد/تأمین‌کننده",IF(LEFT($A127,1)="E","کارمند",IF(LEFT($A127,1)="X","سایر حساب",IF(LEFT($A127,1)="F","دارایی ثابت",IF(LEFT($A127,1)="L","وام و تسهیلات",""))))))))))</f>
        <v/>
      </c>
      <c r="L127" s="65" t="n"/>
      <c r="M127">
        <f>IF(OR($B127="",$A127=""),"",IF(OR($B127=$K127,AND(LEFT($A127,1)="S",OR($B127="فروشنده سبد",$B127="تأمین‌کننده")),AND(LEFT($A127,2)="BD",$B127="باسکول دیگران")),"✓","⚠"))</f>
        <v/>
      </c>
    </row>
    <row r="128" ht="21" customHeight="1">
      <c r="A128" s="67" t="inlineStr">
        <is>
          <t>C069</t>
        </is>
      </c>
      <c r="B128" s="64" t="n"/>
      <c r="C128" s="65" t="n"/>
      <c r="D128" s="65" t="n"/>
      <c r="E128" s="65" t="n"/>
      <c r="F128" s="65" t="n"/>
      <c r="G128" s="65" t="n"/>
      <c r="H128" s="143" t="n">
        <v>0</v>
      </c>
      <c r="I128" s="64" t="n"/>
      <c r="J128" s="64" t="n"/>
      <c r="K128">
        <f>IF($A128="","",IF(LEFT($A128,3)="CAP","سرمایه و آورده صاحبان",IF(LEFT($A128,2)="SL","بارفروش",IF(LEFT($A128,2)="BD","باسکول دیگران",IF(LEFT($A128,1)="C","باغدار",IF(LEFT($A128,1)="S","فروشنده سبد/تأمین‌کننده",IF(LEFT($A128,1)="E","کارمند",IF(LEFT($A128,1)="X","سایر حساب",IF(LEFT($A128,1)="F","دارایی ثابت",IF(LEFT($A128,1)="L","وام و تسهیلات",""))))))))))</f>
        <v/>
      </c>
      <c r="L128" s="65" t="n"/>
      <c r="M128">
        <f>IF(OR($B128="",$A128=""),"",IF(OR($B128=$K128,AND(LEFT($A128,1)="S",OR($B128="فروشنده سبد",$B128="تأمین‌کننده")),AND(LEFT($A128,2)="BD",$B128="باسکول دیگران")),"✓","⚠"))</f>
        <v/>
      </c>
    </row>
    <row r="129" ht="21" customHeight="1">
      <c r="A129" s="67" t="inlineStr">
        <is>
          <t>C070</t>
        </is>
      </c>
      <c r="B129" s="64" t="n"/>
      <c r="C129" s="65" t="n"/>
      <c r="D129" s="65" t="n"/>
      <c r="E129" s="65" t="n"/>
      <c r="F129" s="65" t="n"/>
      <c r="G129" s="65" t="n"/>
      <c r="H129" s="143" t="n">
        <v>0</v>
      </c>
      <c r="I129" s="64" t="n"/>
      <c r="J129" s="64" t="n"/>
      <c r="K129">
        <f>IF($A129="","",IF(LEFT($A129,3)="CAP","سرمایه و آورده صاحبان",IF(LEFT($A129,2)="SL","بارفروش",IF(LEFT($A129,2)="BD","باسکول دیگران",IF(LEFT($A129,1)="C","باغدار",IF(LEFT($A129,1)="S","فروشنده سبد/تأمین‌کننده",IF(LEFT($A129,1)="E","کارمند",IF(LEFT($A129,1)="X","سایر حساب",IF(LEFT($A129,1)="F","دارایی ثابت",IF(LEFT($A129,1)="L","وام و تسهیلات",""))))))))))</f>
        <v/>
      </c>
      <c r="L129" s="65" t="n"/>
      <c r="M129">
        <f>IF(OR($B129="",$A129=""),"",IF(OR($B129=$K129,AND(LEFT($A129,1)="S",OR($B129="فروشنده سبد",$B129="تأمین‌کننده")),AND(LEFT($A129,2)="BD",$B129="باسکول دیگران")),"✓","⚠"))</f>
        <v/>
      </c>
    </row>
    <row r="130" ht="21" customHeight="1">
      <c r="A130" s="67" t="inlineStr">
        <is>
          <t>C071</t>
        </is>
      </c>
      <c r="B130" s="64" t="n"/>
      <c r="C130" s="65" t="n"/>
      <c r="D130" s="65" t="n"/>
      <c r="E130" s="65" t="n"/>
      <c r="F130" s="65" t="n"/>
      <c r="G130" s="65" t="n"/>
      <c r="H130" s="143" t="n">
        <v>0</v>
      </c>
      <c r="I130" s="64" t="n"/>
      <c r="J130" s="64" t="n"/>
      <c r="K130">
        <f>IF($A130="","",IF(LEFT($A130,3)="CAP","سرمایه و آورده صاحبان",IF(LEFT($A130,2)="SL","بارفروش",IF(LEFT($A130,2)="BD","باسکول دیگران",IF(LEFT($A130,1)="C","باغدار",IF(LEFT($A130,1)="S","فروشنده سبد/تأمین‌کننده",IF(LEFT($A130,1)="E","کارمند",IF(LEFT($A130,1)="X","سایر حساب",IF(LEFT($A130,1)="F","دارایی ثابت",IF(LEFT($A130,1)="L","وام و تسهیلات",""))))))))))</f>
        <v/>
      </c>
      <c r="L130" s="65" t="n"/>
      <c r="M130">
        <f>IF(OR($B130="",$A130=""),"",IF(OR($B130=$K130,AND(LEFT($A130,1)="S",OR($B130="فروشنده سبد",$B130="تأمین‌کننده")),AND(LEFT($A130,2)="BD",$B130="باسکول دیگران")),"✓","⚠"))</f>
        <v/>
      </c>
    </row>
    <row r="131" ht="21" customHeight="1">
      <c r="A131" s="67" t="inlineStr">
        <is>
          <t>C072</t>
        </is>
      </c>
      <c r="B131" s="64" t="n"/>
      <c r="C131" s="65" t="n"/>
      <c r="D131" s="65" t="n"/>
      <c r="E131" s="65" t="n"/>
      <c r="F131" s="65" t="n"/>
      <c r="G131" s="65" t="n"/>
      <c r="H131" s="143" t="n">
        <v>0</v>
      </c>
      <c r="I131" s="64" t="n"/>
      <c r="J131" s="64" t="n"/>
      <c r="K131">
        <f>IF($A131="","",IF(LEFT($A131,3)="CAP","سرمایه و آورده صاحبان",IF(LEFT($A131,2)="SL","بارفروش",IF(LEFT($A131,2)="BD","باسکول دیگران",IF(LEFT($A131,1)="C","باغدار",IF(LEFT($A131,1)="S","فروشنده سبد/تأمین‌کننده",IF(LEFT($A131,1)="E","کارمند",IF(LEFT($A131,1)="X","سایر حساب",IF(LEFT($A131,1)="F","دارایی ثابت",IF(LEFT($A131,1)="L","وام و تسهیلات",""))))))))))</f>
        <v/>
      </c>
      <c r="L131" s="65" t="n"/>
      <c r="M131">
        <f>IF(OR($B131="",$A131=""),"",IF(OR($B131=$K131,AND(LEFT($A131,1)="S",OR($B131="فروشنده سبد",$B131="تأمین‌کننده")),AND(LEFT($A131,2)="BD",$B131="باسکول دیگران")),"✓","⚠"))</f>
        <v/>
      </c>
    </row>
    <row r="132" ht="21" customHeight="1">
      <c r="A132" s="67" t="inlineStr">
        <is>
          <t>C073</t>
        </is>
      </c>
      <c r="B132" s="64" t="n"/>
      <c r="C132" s="65" t="n"/>
      <c r="D132" s="65" t="n"/>
      <c r="E132" s="65" t="n"/>
      <c r="F132" s="65" t="n"/>
      <c r="G132" s="65" t="n"/>
      <c r="H132" s="143" t="n">
        <v>0</v>
      </c>
      <c r="I132" s="64" t="n"/>
      <c r="J132" s="64" t="n"/>
      <c r="K132">
        <f>IF($A132="","",IF(LEFT($A132,3)="CAP","سرمایه و آورده صاحبان",IF(LEFT($A132,2)="SL","بارفروش",IF(LEFT($A132,2)="BD","باسکول دیگران",IF(LEFT($A132,1)="C","باغدار",IF(LEFT($A132,1)="S","فروشنده سبد/تأمین‌کننده",IF(LEFT($A132,1)="E","کارمند",IF(LEFT($A132,1)="X","سایر حساب",IF(LEFT($A132,1)="F","دارایی ثابت",IF(LEFT($A132,1)="L","وام و تسهیلات",""))))))))))</f>
        <v/>
      </c>
      <c r="L132" s="65" t="n"/>
      <c r="M132">
        <f>IF(OR($B132="",$A132=""),"",IF(OR($B132=$K132,AND(LEFT($A132,1)="S",OR($B132="فروشنده سبد",$B132="تأمین‌کننده")),AND(LEFT($A132,2)="BD",$B132="باسکول دیگران")),"✓","⚠"))</f>
        <v/>
      </c>
    </row>
    <row r="133" ht="21" customHeight="1">
      <c r="A133" s="67" t="inlineStr">
        <is>
          <t>C074</t>
        </is>
      </c>
      <c r="B133" s="64" t="n"/>
      <c r="C133" s="65" t="n"/>
      <c r="D133" s="65" t="n"/>
      <c r="E133" s="65" t="n"/>
      <c r="F133" s="65" t="n"/>
      <c r="G133" s="65" t="n"/>
      <c r="H133" s="143" t="n">
        <v>0</v>
      </c>
      <c r="I133" s="64" t="n"/>
      <c r="J133" s="64" t="n"/>
      <c r="K133">
        <f>IF($A133="","",IF(LEFT($A133,3)="CAP","سرمایه و آورده صاحبان",IF(LEFT($A133,2)="SL","بارفروش",IF(LEFT($A133,2)="BD","باسکول دیگران",IF(LEFT($A133,1)="C","باغدار",IF(LEFT($A133,1)="S","فروشنده سبد/تأمین‌کننده",IF(LEFT($A133,1)="E","کارمند",IF(LEFT($A133,1)="X","سایر حساب",IF(LEFT($A133,1)="F","دارایی ثابت",IF(LEFT($A133,1)="L","وام و تسهیلات",""))))))))))</f>
        <v/>
      </c>
      <c r="L133" s="65" t="n"/>
      <c r="M133">
        <f>IF(OR($B133="",$A133=""),"",IF(OR($B133=$K133,AND(LEFT($A133,1)="S",OR($B133="فروشنده سبد",$B133="تأمین‌کننده")),AND(LEFT($A133,2)="BD",$B133="باسکول دیگران")),"✓","⚠"))</f>
        <v/>
      </c>
    </row>
    <row r="134" ht="21" customHeight="1">
      <c r="A134" s="67" t="inlineStr">
        <is>
          <t>C075</t>
        </is>
      </c>
      <c r="B134" s="64" t="n"/>
      <c r="C134" s="65" t="n"/>
      <c r="D134" s="65" t="n"/>
      <c r="E134" s="65" t="n"/>
      <c r="F134" s="65" t="n"/>
      <c r="G134" s="65" t="n"/>
      <c r="H134" s="143" t="n">
        <v>0</v>
      </c>
      <c r="I134" s="64" t="n"/>
      <c r="J134" s="64" t="n"/>
      <c r="K134">
        <f>IF($A134="","",IF(LEFT($A134,3)="CAP","سرمایه و آورده صاحبان",IF(LEFT($A134,2)="SL","بارفروش",IF(LEFT($A134,2)="BD","باسکول دیگران",IF(LEFT($A134,1)="C","باغدار",IF(LEFT($A134,1)="S","فروشنده سبد/تأمین‌کننده",IF(LEFT($A134,1)="E","کارمند",IF(LEFT($A134,1)="X","سایر حساب",IF(LEFT($A134,1)="F","دارایی ثابت",IF(LEFT($A134,1)="L","وام و تسهیلات",""))))))))))</f>
        <v/>
      </c>
      <c r="L134" s="65" t="n"/>
      <c r="M134">
        <f>IF(OR($B134="",$A134=""),"",IF(OR($B134=$K134,AND(LEFT($A134,1)="S",OR($B134="فروشنده سبد",$B134="تأمین‌کننده")),AND(LEFT($A134,2)="BD",$B134="باسکول دیگران")),"✓","⚠"))</f>
        <v/>
      </c>
    </row>
    <row r="135" ht="21" customHeight="1">
      <c r="A135" s="67" t="inlineStr">
        <is>
          <t>C076</t>
        </is>
      </c>
      <c r="B135" s="64" t="n"/>
      <c r="C135" s="65" t="n"/>
      <c r="D135" s="65" t="n"/>
      <c r="E135" s="65" t="n"/>
      <c r="F135" s="65" t="n"/>
      <c r="G135" s="65" t="n"/>
      <c r="H135" s="143" t="n">
        <v>0</v>
      </c>
      <c r="I135" s="64" t="n"/>
      <c r="J135" s="64" t="n"/>
      <c r="K135">
        <f>IF($A135="","",IF(LEFT($A135,3)="CAP","سرمایه و آورده صاحبان",IF(LEFT($A135,2)="SL","بارفروش",IF(LEFT($A135,2)="BD","باسکول دیگران",IF(LEFT($A135,1)="C","باغدار",IF(LEFT($A135,1)="S","فروشنده سبد/تأمین‌کننده",IF(LEFT($A135,1)="E","کارمند",IF(LEFT($A135,1)="X","سایر حساب",IF(LEFT($A135,1)="F","دارایی ثابت",IF(LEFT($A135,1)="L","وام و تسهیلات",""))))))))))</f>
        <v/>
      </c>
      <c r="L135" s="65" t="n"/>
      <c r="M135">
        <f>IF(OR($B135="",$A135=""),"",IF(OR($B135=$K135,AND(LEFT($A135,1)="S",OR($B135="فروشنده سبد",$B135="تأمین‌کننده")),AND(LEFT($A135,2)="BD",$B135="باسکول دیگران")),"✓","⚠"))</f>
        <v/>
      </c>
    </row>
    <row r="136" ht="21" customHeight="1">
      <c r="A136" s="67" t="inlineStr">
        <is>
          <t>C077</t>
        </is>
      </c>
      <c r="B136" s="64" t="n"/>
      <c r="C136" s="65" t="n"/>
      <c r="D136" s="65" t="n"/>
      <c r="E136" s="65" t="n"/>
      <c r="F136" s="65" t="n"/>
      <c r="G136" s="65" t="n"/>
      <c r="H136" s="143" t="n">
        <v>0</v>
      </c>
      <c r="I136" s="64" t="n"/>
      <c r="J136" s="64" t="n"/>
      <c r="K136">
        <f>IF($A136="","",IF(LEFT($A136,3)="CAP","سرمایه و آورده صاحبان",IF(LEFT($A136,2)="SL","بارفروش",IF(LEFT($A136,2)="BD","باسکول دیگران",IF(LEFT($A136,1)="C","باغدار",IF(LEFT($A136,1)="S","فروشنده سبد/تأمین‌کننده",IF(LEFT($A136,1)="E","کارمند",IF(LEFT($A136,1)="X","سایر حساب",IF(LEFT($A136,1)="F","دارایی ثابت",IF(LEFT($A136,1)="L","وام و تسهیلات",""))))))))))</f>
        <v/>
      </c>
      <c r="L136" s="65" t="n"/>
      <c r="M136">
        <f>IF(OR($B136="",$A136=""),"",IF(OR($B136=$K136,AND(LEFT($A136,1)="S",OR($B136="فروشنده سبد",$B136="تأمین‌کننده")),AND(LEFT($A136,2)="BD",$B136="باسکول دیگران")),"✓","⚠"))</f>
        <v/>
      </c>
    </row>
    <row r="137" ht="21" customHeight="1">
      <c r="A137" s="67" t="inlineStr">
        <is>
          <t>C078</t>
        </is>
      </c>
      <c r="B137" s="64" t="n"/>
      <c r="C137" s="65" t="n"/>
      <c r="D137" s="65" t="n"/>
      <c r="E137" s="65" t="n"/>
      <c r="F137" s="65" t="n"/>
      <c r="G137" s="65" t="n"/>
      <c r="H137" s="143" t="n">
        <v>0</v>
      </c>
      <c r="I137" s="64" t="n"/>
      <c r="J137" s="64" t="n"/>
      <c r="K137">
        <f>IF($A137="","",IF(LEFT($A137,3)="CAP","سرمایه و آورده صاحبان",IF(LEFT($A137,2)="SL","بارفروش",IF(LEFT($A137,2)="BD","باسکول دیگران",IF(LEFT($A137,1)="C","باغدار",IF(LEFT($A137,1)="S","فروشنده سبد/تأمین‌کننده",IF(LEFT($A137,1)="E","کارمند",IF(LEFT($A137,1)="X","سایر حساب",IF(LEFT($A137,1)="F","دارایی ثابت",IF(LEFT($A137,1)="L","وام و تسهیلات",""))))))))))</f>
        <v/>
      </c>
      <c r="L137" s="65" t="n"/>
      <c r="M137">
        <f>IF(OR($B137="",$A137=""),"",IF(OR($B137=$K137,AND(LEFT($A137,1)="S",OR($B137="فروشنده سبد",$B137="تأمین‌کننده")),AND(LEFT($A137,2)="BD",$B137="باسکول دیگران")),"✓","⚠"))</f>
        <v/>
      </c>
    </row>
    <row r="138" ht="21" customHeight="1">
      <c r="A138" s="67" t="inlineStr">
        <is>
          <t>C079</t>
        </is>
      </c>
      <c r="B138" s="64" t="n"/>
      <c r="C138" s="65" t="n"/>
      <c r="D138" s="65" t="n"/>
      <c r="E138" s="65" t="n"/>
      <c r="F138" s="65" t="n"/>
      <c r="G138" s="65" t="n"/>
      <c r="H138" s="143" t="n">
        <v>0</v>
      </c>
      <c r="I138" s="64" t="n"/>
      <c r="J138" s="64" t="n"/>
      <c r="K138">
        <f>IF($A138="","",IF(LEFT($A138,3)="CAP","سرمایه و آورده صاحبان",IF(LEFT($A138,2)="SL","بارفروش",IF(LEFT($A138,2)="BD","باسکول دیگران",IF(LEFT($A138,1)="C","باغدار",IF(LEFT($A138,1)="S","فروشنده سبد/تأمین‌کننده",IF(LEFT($A138,1)="E","کارمند",IF(LEFT($A138,1)="X","سایر حساب",IF(LEFT($A138,1)="F","دارایی ثابت",IF(LEFT($A138,1)="L","وام و تسهیلات",""))))))))))</f>
        <v/>
      </c>
      <c r="L138" s="65" t="n"/>
      <c r="M138">
        <f>IF(OR($B138="",$A138=""),"",IF(OR($B138=$K138,AND(LEFT($A138,1)="S",OR($B138="فروشنده سبد",$B138="تأمین‌کننده")),AND(LEFT($A138,2)="BD",$B138="باسکول دیگران")),"✓","⚠"))</f>
        <v/>
      </c>
    </row>
    <row r="139" ht="21" customHeight="1">
      <c r="A139" s="67" t="inlineStr">
        <is>
          <t>C080</t>
        </is>
      </c>
      <c r="B139" s="64" t="n"/>
      <c r="C139" s="65" t="n"/>
      <c r="D139" s="65" t="n"/>
      <c r="E139" s="65" t="n"/>
      <c r="F139" s="65" t="n"/>
      <c r="G139" s="65" t="n"/>
      <c r="H139" s="143" t="n">
        <v>0</v>
      </c>
      <c r="I139" s="64" t="n"/>
      <c r="J139" s="64" t="n"/>
      <c r="K139">
        <f>IF($A139="","",IF(LEFT($A139,3)="CAP","سرمایه و آورده صاحبان",IF(LEFT($A139,2)="SL","بارفروش",IF(LEFT($A139,2)="BD","باسکول دیگران",IF(LEFT($A139,1)="C","باغدار",IF(LEFT($A139,1)="S","فروشنده سبد/تأمین‌کننده",IF(LEFT($A139,1)="E","کارمند",IF(LEFT($A139,1)="X","سایر حساب",IF(LEFT($A139,1)="F","دارایی ثابت",IF(LEFT($A139,1)="L","وام و تسهیلات",""))))))))))</f>
        <v/>
      </c>
      <c r="L139" s="65" t="n"/>
      <c r="M139">
        <f>IF(OR($B139="",$A139=""),"",IF(OR($B139=$K139,AND(LEFT($A139,1)="S",OR($B139="فروشنده سبد",$B139="تأمین‌کننده")),AND(LEFT($A139,2)="BD",$B139="باسکول دیگران")),"✓","⚠"))</f>
        <v/>
      </c>
    </row>
    <row r="140" ht="21" customHeight="1">
      <c r="A140" s="67" t="inlineStr">
        <is>
          <t>C081</t>
        </is>
      </c>
      <c r="B140" s="64" t="n"/>
      <c r="C140" s="65" t="n"/>
      <c r="D140" s="65" t="n"/>
      <c r="E140" s="65" t="n"/>
      <c r="F140" s="65" t="n"/>
      <c r="G140" s="65" t="n"/>
      <c r="H140" s="143" t="n">
        <v>0</v>
      </c>
      <c r="I140" s="64" t="n"/>
      <c r="J140" s="64" t="n"/>
      <c r="K140">
        <f>IF($A140="","",IF(LEFT($A140,3)="CAP","سرمایه و آورده صاحبان",IF(LEFT($A140,2)="SL","بارفروش",IF(LEFT($A140,2)="BD","باسکول دیگران",IF(LEFT($A140,1)="C","باغدار",IF(LEFT($A140,1)="S","فروشنده سبد/تأمین‌کننده",IF(LEFT($A140,1)="E","کارمند",IF(LEFT($A140,1)="X","سایر حساب",IF(LEFT($A140,1)="F","دارایی ثابت",IF(LEFT($A140,1)="L","وام و تسهیلات",""))))))))))</f>
        <v/>
      </c>
      <c r="L140" s="65" t="n"/>
      <c r="M140">
        <f>IF(OR($B140="",$A140=""),"",IF(OR($B140=$K140,AND(LEFT($A140,1)="S",OR($B140="فروشنده سبد",$B140="تأمین‌کننده")),AND(LEFT($A140,2)="BD",$B140="باسکول دیگران")),"✓","⚠"))</f>
        <v/>
      </c>
    </row>
    <row r="141" ht="21" customHeight="1">
      <c r="A141" s="67" t="inlineStr">
        <is>
          <t>C082</t>
        </is>
      </c>
      <c r="B141" s="64" t="n"/>
      <c r="C141" s="65" t="n"/>
      <c r="D141" s="65" t="n"/>
      <c r="E141" s="65" t="n"/>
      <c r="F141" s="65" t="n"/>
      <c r="G141" s="65" t="n"/>
      <c r="H141" s="143" t="n">
        <v>0</v>
      </c>
      <c r="I141" s="64" t="n"/>
      <c r="J141" s="64" t="n"/>
      <c r="K141">
        <f>IF($A141="","",IF(LEFT($A141,3)="CAP","سرمایه و آورده صاحبان",IF(LEFT($A141,2)="SL","بارفروش",IF(LEFT($A141,2)="BD","باسکول دیگران",IF(LEFT($A141,1)="C","باغدار",IF(LEFT($A141,1)="S","فروشنده سبد/تأمین‌کننده",IF(LEFT($A141,1)="E","کارمند",IF(LEFT($A141,1)="X","سایر حساب",IF(LEFT($A141,1)="F","دارایی ثابت",IF(LEFT($A141,1)="L","وام و تسهیلات",""))))))))))</f>
        <v/>
      </c>
      <c r="L141" s="65" t="n"/>
      <c r="M141">
        <f>IF(OR($B141="",$A141=""),"",IF(OR($B141=$K141,AND(LEFT($A141,1)="S",OR($B141="فروشنده سبد",$B141="تأمین‌کننده")),AND(LEFT($A141,2)="BD",$B141="باسکول دیگران")),"✓","⚠"))</f>
        <v/>
      </c>
    </row>
    <row r="142" ht="21" customHeight="1">
      <c r="A142" s="67" t="inlineStr">
        <is>
          <t>C083</t>
        </is>
      </c>
      <c r="B142" s="64" t="n"/>
      <c r="C142" s="65" t="n"/>
      <c r="D142" s="65" t="n"/>
      <c r="E142" s="65" t="n"/>
      <c r="F142" s="65" t="n"/>
      <c r="G142" s="65" t="n"/>
      <c r="H142" s="143" t="n">
        <v>0</v>
      </c>
      <c r="I142" s="64" t="n"/>
      <c r="J142" s="64" t="n"/>
      <c r="K142">
        <f>IF($A142="","",IF(LEFT($A142,3)="CAP","سرمایه و آورده صاحبان",IF(LEFT($A142,2)="SL","بارفروش",IF(LEFT($A142,2)="BD","باسکول دیگران",IF(LEFT($A142,1)="C","باغدار",IF(LEFT($A142,1)="S","فروشنده سبد/تأمین‌کننده",IF(LEFT($A142,1)="E","کارمند",IF(LEFT($A142,1)="X","سایر حساب",IF(LEFT($A142,1)="F","دارایی ثابت",IF(LEFT($A142,1)="L","وام و تسهیلات",""))))))))))</f>
        <v/>
      </c>
      <c r="L142" s="65" t="n"/>
      <c r="M142">
        <f>IF(OR($B142="",$A142=""),"",IF(OR($B142=$K142,AND(LEFT($A142,1)="S",OR($B142="فروشنده سبد",$B142="تأمین‌کننده")),AND(LEFT($A142,2)="BD",$B142="باسکول دیگران")),"✓","⚠"))</f>
        <v/>
      </c>
    </row>
    <row r="143" ht="21" customHeight="1">
      <c r="A143" s="67" t="inlineStr">
        <is>
          <t>C084</t>
        </is>
      </c>
      <c r="B143" s="64" t="n"/>
      <c r="C143" s="65" t="n"/>
      <c r="D143" s="65" t="n"/>
      <c r="E143" s="65" t="n"/>
      <c r="F143" s="65" t="n"/>
      <c r="G143" s="65" t="n"/>
      <c r="H143" s="143" t="n">
        <v>0</v>
      </c>
      <c r="I143" s="64" t="n"/>
      <c r="J143" s="64" t="n"/>
      <c r="K143">
        <f>IF($A143="","",IF(LEFT($A143,3)="CAP","سرمایه و آورده صاحبان",IF(LEFT($A143,2)="SL","بارفروش",IF(LEFT($A143,2)="BD","باسکول دیگران",IF(LEFT($A143,1)="C","باغدار",IF(LEFT($A143,1)="S","فروشنده سبد/تأمین‌کننده",IF(LEFT($A143,1)="E","کارمند",IF(LEFT($A143,1)="X","سایر حساب",IF(LEFT($A143,1)="F","دارایی ثابت",IF(LEFT($A143,1)="L","وام و تسهیلات",""))))))))))</f>
        <v/>
      </c>
      <c r="L143" s="65" t="n"/>
      <c r="M143">
        <f>IF(OR($B143="",$A143=""),"",IF(OR($B143=$K143,AND(LEFT($A143,1)="S",OR($B143="فروشنده سبد",$B143="تأمین‌کننده")),AND(LEFT($A143,2)="BD",$B143="باسکول دیگران")),"✓","⚠"))</f>
        <v/>
      </c>
    </row>
    <row r="144" ht="21" customHeight="1">
      <c r="A144" s="67" t="inlineStr">
        <is>
          <t>C085</t>
        </is>
      </c>
      <c r="B144" s="64" t="n"/>
      <c r="C144" s="65" t="n"/>
      <c r="D144" s="65" t="n"/>
      <c r="E144" s="65" t="n"/>
      <c r="F144" s="65" t="n"/>
      <c r="G144" s="65" t="n"/>
      <c r="H144" s="143" t="n">
        <v>0</v>
      </c>
      <c r="I144" s="64" t="n"/>
      <c r="J144" s="64" t="n"/>
      <c r="K144">
        <f>IF($A144="","",IF(LEFT($A144,3)="CAP","سرمایه و آورده صاحبان",IF(LEFT($A144,2)="SL","بارفروش",IF(LEFT($A144,2)="BD","باسکول دیگران",IF(LEFT($A144,1)="C","باغدار",IF(LEFT($A144,1)="S","فروشنده سبد/تأمین‌کننده",IF(LEFT($A144,1)="E","کارمند",IF(LEFT($A144,1)="X","سایر حساب",IF(LEFT($A144,1)="F","دارایی ثابت",IF(LEFT($A144,1)="L","وام و تسهیلات",""))))))))))</f>
        <v/>
      </c>
      <c r="L144" s="65" t="n"/>
      <c r="M144">
        <f>IF(OR($B144="",$A144=""),"",IF(OR($B144=$K144,AND(LEFT($A144,1)="S",OR($B144="فروشنده سبد",$B144="تأمین‌کننده")),AND(LEFT($A144,2)="BD",$B144="باسکول دیگران")),"✓","⚠"))</f>
        <v/>
      </c>
    </row>
    <row r="145" ht="21" customHeight="1">
      <c r="A145" s="67" t="inlineStr">
        <is>
          <t>C086</t>
        </is>
      </c>
      <c r="B145" s="64" t="n"/>
      <c r="C145" s="65" t="n"/>
      <c r="D145" s="65" t="n"/>
      <c r="E145" s="65" t="n"/>
      <c r="F145" s="65" t="n"/>
      <c r="G145" s="65" t="n"/>
      <c r="H145" s="143" t="n">
        <v>0</v>
      </c>
      <c r="I145" s="64" t="n"/>
      <c r="J145" s="64" t="n"/>
      <c r="K145">
        <f>IF($A145="","",IF(LEFT($A145,3)="CAP","سرمایه و آورده صاحبان",IF(LEFT($A145,2)="SL","بارفروش",IF(LEFT($A145,2)="BD","باسکول دیگران",IF(LEFT($A145,1)="C","باغدار",IF(LEFT($A145,1)="S","فروشنده سبد/تأمین‌کننده",IF(LEFT($A145,1)="E","کارمند",IF(LEFT($A145,1)="X","سایر حساب",IF(LEFT($A145,1)="F","دارایی ثابت",IF(LEFT($A145,1)="L","وام و تسهیلات",""))))))))))</f>
        <v/>
      </c>
      <c r="L145" s="65" t="n"/>
      <c r="M145">
        <f>IF(OR($B145="",$A145=""),"",IF(OR($B145=$K145,AND(LEFT($A145,1)="S",OR($B145="فروشنده سبد",$B145="تأمین‌کننده")),AND(LEFT($A145,2)="BD",$B145="باسکول دیگران")),"✓","⚠"))</f>
        <v/>
      </c>
    </row>
    <row r="146" ht="21" customHeight="1">
      <c r="A146" s="67" t="inlineStr">
        <is>
          <t>C087</t>
        </is>
      </c>
      <c r="B146" s="64" t="n"/>
      <c r="C146" s="65" t="n"/>
      <c r="D146" s="65" t="n"/>
      <c r="E146" s="65" t="n"/>
      <c r="F146" s="65" t="n"/>
      <c r="G146" s="65" t="n"/>
      <c r="H146" s="143" t="n">
        <v>0</v>
      </c>
      <c r="I146" s="64" t="n"/>
      <c r="J146" s="64" t="n"/>
      <c r="K146">
        <f>IF($A146="","",IF(LEFT($A146,3)="CAP","سرمایه و آورده صاحبان",IF(LEFT($A146,2)="SL","بارفروش",IF(LEFT($A146,2)="BD","باسکول دیگران",IF(LEFT($A146,1)="C","باغدار",IF(LEFT($A146,1)="S","فروشنده سبد/تأمین‌کننده",IF(LEFT($A146,1)="E","کارمند",IF(LEFT($A146,1)="X","سایر حساب",IF(LEFT($A146,1)="F","دارایی ثابت",IF(LEFT($A146,1)="L","وام و تسهیلات",""))))))))))</f>
        <v/>
      </c>
      <c r="L146" s="65" t="n"/>
      <c r="M146">
        <f>IF(OR($B146="",$A146=""),"",IF(OR($B146=$K146,AND(LEFT($A146,1)="S",OR($B146="فروشنده سبد",$B146="تأمین‌کننده")),AND(LEFT($A146,2)="BD",$B146="باسکول دیگران")),"✓","⚠"))</f>
        <v/>
      </c>
    </row>
    <row r="147" ht="21" customHeight="1">
      <c r="A147" s="67" t="inlineStr">
        <is>
          <t>C088</t>
        </is>
      </c>
      <c r="B147" s="64" t="n"/>
      <c r="C147" s="65" t="n"/>
      <c r="D147" s="65" t="n"/>
      <c r="E147" s="65" t="n"/>
      <c r="F147" s="65" t="n"/>
      <c r="G147" s="65" t="n"/>
      <c r="H147" s="143" t="n">
        <v>0</v>
      </c>
      <c r="I147" s="64" t="n"/>
      <c r="J147" s="64" t="n"/>
      <c r="K147">
        <f>IF($A147="","",IF(LEFT($A147,3)="CAP","سرمایه و آورده صاحبان",IF(LEFT($A147,2)="SL","بارفروش",IF(LEFT($A147,2)="BD","باسکول دیگران",IF(LEFT($A147,1)="C","باغدار",IF(LEFT($A147,1)="S","فروشنده سبد/تأمین‌کننده",IF(LEFT($A147,1)="E","کارمند",IF(LEFT($A147,1)="X","سایر حساب",IF(LEFT($A147,1)="F","دارایی ثابت",IF(LEFT($A147,1)="L","وام و تسهیلات",""))))))))))</f>
        <v/>
      </c>
      <c r="L147" s="65" t="n"/>
      <c r="M147">
        <f>IF(OR($B147="",$A147=""),"",IF(OR($B147=$K147,AND(LEFT($A147,1)="S",OR($B147="فروشنده سبد",$B147="تأمین‌کننده")),AND(LEFT($A147,2)="BD",$B147="باسکول دیگران")),"✓","⚠"))</f>
        <v/>
      </c>
    </row>
    <row r="148" ht="21" customHeight="1">
      <c r="A148" s="67" t="inlineStr">
        <is>
          <t>C089</t>
        </is>
      </c>
      <c r="B148" s="64" t="n"/>
      <c r="C148" s="65" t="n"/>
      <c r="D148" s="65" t="n"/>
      <c r="E148" s="65" t="n"/>
      <c r="F148" s="65" t="n"/>
      <c r="G148" s="65" t="n"/>
      <c r="H148" s="143" t="n">
        <v>0</v>
      </c>
      <c r="I148" s="64" t="n"/>
      <c r="J148" s="64" t="n"/>
      <c r="K148">
        <f>IF($A148="","",IF(LEFT($A148,3)="CAP","سرمایه و آورده صاحبان",IF(LEFT($A148,2)="SL","بارفروش",IF(LEFT($A148,2)="BD","باسکول دیگران",IF(LEFT($A148,1)="C","باغدار",IF(LEFT($A148,1)="S","فروشنده سبد/تأمین‌کننده",IF(LEFT($A148,1)="E","کارمند",IF(LEFT($A148,1)="X","سایر حساب",IF(LEFT($A148,1)="F","دارایی ثابت",IF(LEFT($A148,1)="L","وام و تسهیلات",""))))))))))</f>
        <v/>
      </c>
      <c r="L148" s="65" t="n"/>
      <c r="M148">
        <f>IF(OR($B148="",$A148=""),"",IF(OR($B148=$K148,AND(LEFT($A148,1)="S",OR($B148="فروشنده سبد",$B148="تأمین‌کننده")),AND(LEFT($A148,2)="BD",$B148="باسکول دیگران")),"✓","⚠"))</f>
        <v/>
      </c>
    </row>
    <row r="149" ht="21" customHeight="1">
      <c r="A149" s="67" t="inlineStr">
        <is>
          <t>C090</t>
        </is>
      </c>
      <c r="B149" s="64" t="n"/>
      <c r="C149" s="65" t="n"/>
      <c r="D149" s="65" t="n"/>
      <c r="E149" s="65" t="n"/>
      <c r="F149" s="65" t="n"/>
      <c r="G149" s="65" t="n"/>
      <c r="H149" s="143" t="n">
        <v>0</v>
      </c>
      <c r="I149" s="64" t="n"/>
      <c r="J149" s="64" t="n"/>
      <c r="K149">
        <f>IF($A149="","",IF(LEFT($A149,3)="CAP","سرمایه و آورده صاحبان",IF(LEFT($A149,2)="SL","بارفروش",IF(LEFT($A149,2)="BD","باسکول دیگران",IF(LEFT($A149,1)="C","باغدار",IF(LEFT($A149,1)="S","فروشنده سبد/تأمین‌کننده",IF(LEFT($A149,1)="E","کارمند",IF(LEFT($A149,1)="X","سایر حساب",IF(LEFT($A149,1)="F","دارایی ثابت",IF(LEFT($A149,1)="L","وام و تسهیلات",""))))))))))</f>
        <v/>
      </c>
      <c r="L149" s="65" t="n"/>
      <c r="M149">
        <f>IF(OR($B149="",$A149=""),"",IF(OR($B149=$K149,AND(LEFT($A149,1)="S",OR($B149="فروشنده سبد",$B149="تأمین‌کننده")),AND(LEFT($A149,2)="BD",$B149="باسکول دیگران")),"✓","⚠"))</f>
        <v/>
      </c>
    </row>
    <row r="150" ht="21" customHeight="1">
      <c r="A150" s="67" t="inlineStr">
        <is>
          <t>C091</t>
        </is>
      </c>
      <c r="B150" s="64" t="n"/>
      <c r="C150" s="65" t="n"/>
      <c r="D150" s="65" t="n"/>
      <c r="E150" s="65" t="n"/>
      <c r="F150" s="65" t="n"/>
      <c r="G150" s="65" t="n"/>
      <c r="H150" s="143" t="n">
        <v>0</v>
      </c>
      <c r="I150" s="64" t="n"/>
      <c r="J150" s="64" t="n"/>
      <c r="K150">
        <f>IF($A150="","",IF(LEFT($A150,3)="CAP","سرمایه و آورده صاحبان",IF(LEFT($A150,2)="SL","بارفروش",IF(LEFT($A150,2)="BD","باسکول دیگران",IF(LEFT($A150,1)="C","باغدار",IF(LEFT($A150,1)="S","فروشنده سبد/تأمین‌کننده",IF(LEFT($A150,1)="E","کارمند",IF(LEFT($A150,1)="X","سایر حساب",IF(LEFT($A150,1)="F","دارایی ثابت",IF(LEFT($A150,1)="L","وام و تسهیلات",""))))))))))</f>
        <v/>
      </c>
      <c r="L150" s="65" t="n"/>
      <c r="M150">
        <f>IF(OR($B150="",$A150=""),"",IF(OR($B150=$K150,AND(LEFT($A150,1)="S",OR($B150="فروشنده سبد",$B150="تأمین‌کننده")),AND(LEFT($A150,2)="BD",$B150="باسکول دیگران")),"✓","⚠"))</f>
        <v/>
      </c>
    </row>
    <row r="151" ht="21" customHeight="1">
      <c r="A151" s="67" t="inlineStr">
        <is>
          <t>C092</t>
        </is>
      </c>
      <c r="B151" s="64" t="n"/>
      <c r="C151" s="65" t="n"/>
      <c r="D151" s="65" t="n"/>
      <c r="E151" s="65" t="n"/>
      <c r="F151" s="65" t="n"/>
      <c r="G151" s="65" t="n"/>
      <c r="H151" s="143" t="n">
        <v>0</v>
      </c>
      <c r="I151" s="64" t="n"/>
      <c r="J151" s="64" t="n"/>
      <c r="K151">
        <f>IF($A151="","",IF(LEFT($A151,3)="CAP","سرمایه و آورده صاحبان",IF(LEFT($A151,2)="SL","بارفروش",IF(LEFT($A151,2)="BD","باسکول دیگران",IF(LEFT($A151,1)="C","باغدار",IF(LEFT($A151,1)="S","فروشنده سبد/تأمین‌کننده",IF(LEFT($A151,1)="E","کارمند",IF(LEFT($A151,1)="X","سایر حساب",IF(LEFT($A151,1)="F","دارایی ثابت",IF(LEFT($A151,1)="L","وام و تسهیلات",""))))))))))</f>
        <v/>
      </c>
      <c r="L151" s="65" t="n"/>
      <c r="M151">
        <f>IF(OR($B151="",$A151=""),"",IF(OR($B151=$K151,AND(LEFT($A151,1)="S",OR($B151="فروشنده سبد",$B151="تأمین‌کننده")),AND(LEFT($A151,2)="BD",$B151="باسکول دیگران")),"✓","⚠"))</f>
        <v/>
      </c>
    </row>
    <row r="152" ht="21" customHeight="1">
      <c r="A152" s="67" t="inlineStr">
        <is>
          <t>C093</t>
        </is>
      </c>
      <c r="B152" s="64" t="n"/>
      <c r="C152" s="65" t="n"/>
      <c r="D152" s="65" t="n"/>
      <c r="E152" s="65" t="n"/>
      <c r="F152" s="65" t="n"/>
      <c r="G152" s="65" t="n"/>
      <c r="H152" s="143" t="n">
        <v>0</v>
      </c>
      <c r="I152" s="64" t="n"/>
      <c r="J152" s="64" t="n"/>
      <c r="K152">
        <f>IF($A152="","",IF(LEFT($A152,3)="CAP","سرمایه و آورده صاحبان",IF(LEFT($A152,2)="SL","بارفروش",IF(LEFT($A152,2)="BD","باسکول دیگران",IF(LEFT($A152,1)="C","باغدار",IF(LEFT($A152,1)="S","فروشنده سبد/تأمین‌کننده",IF(LEFT($A152,1)="E","کارمند",IF(LEFT($A152,1)="X","سایر حساب",IF(LEFT($A152,1)="F","دارایی ثابت",IF(LEFT($A152,1)="L","وام و تسهیلات",""))))))))))</f>
        <v/>
      </c>
      <c r="L152" s="65" t="n"/>
      <c r="M152">
        <f>IF(OR($B152="",$A152=""),"",IF(OR($B152=$K152,AND(LEFT($A152,1)="S",OR($B152="فروشنده سبد",$B152="تأمین‌کننده")),AND(LEFT($A152,2)="BD",$B152="باسکول دیگران")),"✓","⚠"))</f>
        <v/>
      </c>
    </row>
    <row r="153" ht="21" customHeight="1">
      <c r="A153" s="67" t="inlineStr">
        <is>
          <t>C094</t>
        </is>
      </c>
      <c r="B153" s="64" t="n"/>
      <c r="C153" s="65" t="n"/>
      <c r="D153" s="65" t="n"/>
      <c r="E153" s="65" t="n"/>
      <c r="F153" s="65" t="n"/>
      <c r="G153" s="65" t="n"/>
      <c r="H153" s="143" t="n">
        <v>0</v>
      </c>
      <c r="I153" s="64" t="n"/>
      <c r="J153" s="64" t="n"/>
      <c r="K153">
        <f>IF($A153="","",IF(LEFT($A153,3)="CAP","سرمایه و آورده صاحبان",IF(LEFT($A153,2)="SL","بارفروش",IF(LEFT($A153,2)="BD","باسکول دیگران",IF(LEFT($A153,1)="C","باغدار",IF(LEFT($A153,1)="S","فروشنده سبد/تأمین‌کننده",IF(LEFT($A153,1)="E","کارمند",IF(LEFT($A153,1)="X","سایر حساب",IF(LEFT($A153,1)="F","دارایی ثابت",IF(LEFT($A153,1)="L","وام و تسهیلات",""))))))))))</f>
        <v/>
      </c>
      <c r="L153" s="65" t="n"/>
      <c r="M153">
        <f>IF(OR($B153="",$A153=""),"",IF(OR($B153=$K153,AND(LEFT($A153,1)="S",OR($B153="فروشنده سبد",$B153="تأمین‌کننده")),AND(LEFT($A153,2)="BD",$B153="باسکول دیگران")),"✓","⚠"))</f>
        <v/>
      </c>
    </row>
    <row r="154" ht="21" customHeight="1">
      <c r="A154" s="67" t="inlineStr">
        <is>
          <t>C095</t>
        </is>
      </c>
      <c r="B154" s="64" t="n"/>
      <c r="C154" s="65" t="n"/>
      <c r="D154" s="65" t="n"/>
      <c r="E154" s="65" t="n"/>
      <c r="F154" s="65" t="n"/>
      <c r="G154" s="65" t="n"/>
      <c r="H154" s="143" t="n">
        <v>0</v>
      </c>
      <c r="I154" s="64" t="n"/>
      <c r="J154" s="64" t="n"/>
      <c r="K154">
        <f>IF($A154="","",IF(LEFT($A154,3)="CAP","سرمایه و آورده صاحبان",IF(LEFT($A154,2)="SL","بارفروش",IF(LEFT($A154,2)="BD","باسکول دیگران",IF(LEFT($A154,1)="C","باغدار",IF(LEFT($A154,1)="S","فروشنده سبد/تأمین‌کننده",IF(LEFT($A154,1)="E","کارمند",IF(LEFT($A154,1)="X","سایر حساب",IF(LEFT($A154,1)="F","دارایی ثابت",IF(LEFT($A154,1)="L","وام و تسهیلات",""))))))))))</f>
        <v/>
      </c>
      <c r="L154" s="65" t="n"/>
      <c r="M154">
        <f>IF(OR($B154="",$A154=""),"",IF(OR($B154=$K154,AND(LEFT($A154,1)="S",OR($B154="فروشنده سبد",$B154="تأمین‌کننده")),AND(LEFT($A154,2)="BD",$B154="باسکول دیگران")),"✓","⚠"))</f>
        <v/>
      </c>
    </row>
    <row r="155" ht="21" customHeight="1">
      <c r="A155" s="67" t="inlineStr">
        <is>
          <t>C096</t>
        </is>
      </c>
      <c r="B155" s="64" t="n"/>
      <c r="C155" s="65" t="n"/>
      <c r="D155" s="65" t="n"/>
      <c r="E155" s="65" t="n"/>
      <c r="F155" s="65" t="n"/>
      <c r="G155" s="65" t="n"/>
      <c r="H155" s="143" t="n">
        <v>0</v>
      </c>
      <c r="I155" s="64" t="n"/>
      <c r="J155" s="64" t="n"/>
      <c r="K155">
        <f>IF($A155="","",IF(LEFT($A155,3)="CAP","سرمایه و آورده صاحبان",IF(LEFT($A155,2)="SL","بارفروش",IF(LEFT($A155,2)="BD","باسکول دیگران",IF(LEFT($A155,1)="C","باغدار",IF(LEFT($A155,1)="S","فروشنده سبد/تأمین‌کننده",IF(LEFT($A155,1)="E","کارمند",IF(LEFT($A155,1)="X","سایر حساب",IF(LEFT($A155,1)="F","دارایی ثابت",IF(LEFT($A155,1)="L","وام و تسهیلات",""))))))))))</f>
        <v/>
      </c>
      <c r="L155" s="65" t="n"/>
      <c r="M155">
        <f>IF(OR($B155="",$A155=""),"",IF(OR($B155=$K155,AND(LEFT($A155,1)="S",OR($B155="فروشنده سبد",$B155="تأمین‌کننده")),AND(LEFT($A155,2)="BD",$B155="باسکول دیگران")),"✓","⚠"))</f>
        <v/>
      </c>
    </row>
    <row r="156" ht="21" customHeight="1">
      <c r="A156" s="67" t="inlineStr">
        <is>
          <t>C097</t>
        </is>
      </c>
      <c r="B156" s="64" t="n"/>
      <c r="C156" s="65" t="n"/>
      <c r="D156" s="65" t="n"/>
      <c r="E156" s="65" t="n"/>
      <c r="F156" s="65" t="n"/>
      <c r="G156" s="65" t="n"/>
      <c r="H156" s="143" t="n">
        <v>0</v>
      </c>
      <c r="I156" s="64" t="n"/>
      <c r="J156" s="64" t="n"/>
      <c r="K156">
        <f>IF($A156="","",IF(LEFT($A156,3)="CAP","سرمایه و آورده صاحبان",IF(LEFT($A156,2)="SL","بارفروش",IF(LEFT($A156,2)="BD","باسکول دیگران",IF(LEFT($A156,1)="C","باغدار",IF(LEFT($A156,1)="S","فروشنده سبد/تأمین‌کننده",IF(LEFT($A156,1)="E","کارمند",IF(LEFT($A156,1)="X","سایر حساب",IF(LEFT($A156,1)="F","دارایی ثابت",IF(LEFT($A156,1)="L","وام و تسهیلات",""))))))))))</f>
        <v/>
      </c>
      <c r="L156" s="65" t="n"/>
      <c r="M156">
        <f>IF(OR($B156="",$A156=""),"",IF(OR($B156=$K156,AND(LEFT($A156,1)="S",OR($B156="فروشنده سبد",$B156="تأمین‌کننده")),AND(LEFT($A156,2)="BD",$B156="باسکول دیگران")),"✓","⚠"))</f>
        <v/>
      </c>
    </row>
    <row r="157" ht="21" customHeight="1">
      <c r="A157" s="67" t="inlineStr">
        <is>
          <t>C098</t>
        </is>
      </c>
      <c r="B157" s="64" t="n"/>
      <c r="C157" s="65" t="n"/>
      <c r="D157" s="65" t="n"/>
      <c r="E157" s="65" t="n"/>
      <c r="F157" s="65" t="n"/>
      <c r="G157" s="65" t="n"/>
      <c r="H157" s="143" t="n">
        <v>0</v>
      </c>
      <c r="I157" s="64" t="n"/>
      <c r="J157" s="64" t="n"/>
      <c r="K157">
        <f>IF($A157="","",IF(LEFT($A157,3)="CAP","سرمایه و آورده صاحبان",IF(LEFT($A157,2)="SL","بارفروش",IF(LEFT($A157,2)="BD","باسکول دیگران",IF(LEFT($A157,1)="C","باغدار",IF(LEFT($A157,1)="S","فروشنده سبد/تأمین‌کننده",IF(LEFT($A157,1)="E","کارمند",IF(LEFT($A157,1)="X","سایر حساب",IF(LEFT($A157,1)="F","دارایی ثابت",IF(LEFT($A157,1)="L","وام و تسهیلات",""))))))))))</f>
        <v/>
      </c>
      <c r="L157" s="65" t="n"/>
      <c r="M157">
        <f>IF(OR($B157="",$A157=""),"",IF(OR($B157=$K157,AND(LEFT($A157,1)="S",OR($B157="فروشنده سبد",$B157="تأمین‌کننده")),AND(LEFT($A157,2)="BD",$B157="باسکول دیگران")),"✓","⚠"))</f>
        <v/>
      </c>
    </row>
    <row r="158" ht="21" customHeight="1">
      <c r="A158" s="67" t="inlineStr">
        <is>
          <t>C099</t>
        </is>
      </c>
      <c r="B158" s="64" t="n"/>
      <c r="C158" s="65" t="n"/>
      <c r="D158" s="65" t="n"/>
      <c r="E158" s="65" t="n"/>
      <c r="F158" s="65" t="n"/>
      <c r="G158" s="65" t="n"/>
      <c r="H158" s="143" t="n">
        <v>0</v>
      </c>
      <c r="I158" s="64" t="n"/>
      <c r="J158" s="64" t="n"/>
      <c r="K158">
        <f>IF($A158="","",IF(LEFT($A158,3)="CAP","سرمایه و آورده صاحبان",IF(LEFT($A158,2)="SL","بارفروش",IF(LEFT($A158,2)="BD","باسکول دیگران",IF(LEFT($A158,1)="C","باغدار",IF(LEFT($A158,1)="S","فروشنده سبد/تأمین‌کننده",IF(LEFT($A158,1)="E","کارمند",IF(LEFT($A158,1)="X","سایر حساب",IF(LEFT($A158,1)="F","دارایی ثابت",IF(LEFT($A158,1)="L","وام و تسهیلات",""))))))))))</f>
        <v/>
      </c>
      <c r="L158" s="65" t="n"/>
      <c r="M158">
        <f>IF(OR($B158="",$A158=""),"",IF(OR($B158=$K158,AND(LEFT($A158,1)="S",OR($B158="فروشنده سبد",$B158="تأمین‌کننده")),AND(LEFT($A158,2)="BD",$B158="باسکول دیگران")),"✓","⚠"))</f>
        <v/>
      </c>
    </row>
    <row r="159" ht="21" customHeight="1">
      <c r="A159" s="67" t="inlineStr">
        <is>
          <t>C100</t>
        </is>
      </c>
      <c r="B159" s="64" t="n"/>
      <c r="C159" s="65" t="n"/>
      <c r="D159" s="65" t="n"/>
      <c r="E159" s="65" t="n"/>
      <c r="F159" s="65" t="n"/>
      <c r="G159" s="65" t="n"/>
      <c r="H159" s="143" t="n">
        <v>0</v>
      </c>
      <c r="I159" s="64" t="n"/>
      <c r="J159" s="64" t="n"/>
      <c r="K159">
        <f>IF($A159="","",IF(LEFT($A159,3)="CAP","سرمایه و آورده صاحبان",IF(LEFT($A159,2)="SL","بارفروش",IF(LEFT($A159,2)="BD","باسکول دیگران",IF(LEFT($A159,1)="C","باغدار",IF(LEFT($A159,1)="S","فروشنده سبد/تأمین‌کننده",IF(LEFT($A159,1)="E","کارمند",IF(LEFT($A159,1)="X","سایر حساب",IF(LEFT($A159,1)="F","دارایی ثابت",IF(LEFT($A159,1)="L","وام و تسهیلات",""))))))))))</f>
        <v/>
      </c>
      <c r="L159" s="65" t="n"/>
      <c r="M159">
        <f>IF(OR($B159="",$A159=""),"",IF(OR($B159=$K159,AND(LEFT($A159,1)="S",OR($B159="فروشنده سبد",$B159="تأمین‌کننده")),AND(LEFT($A159,2)="BD",$B159="باسکول دیگران")),"✓","⚠"))</f>
        <v/>
      </c>
    </row>
    <row r="160" ht="21" customHeight="1">
      <c r="A160" s="67" t="inlineStr">
        <is>
          <t>C101</t>
        </is>
      </c>
      <c r="B160" s="64" t="n"/>
      <c r="C160" s="65" t="n"/>
      <c r="D160" s="65" t="n"/>
      <c r="E160" s="65" t="n"/>
      <c r="F160" s="65" t="n"/>
      <c r="G160" s="65" t="n"/>
      <c r="H160" s="143" t="n">
        <v>0</v>
      </c>
      <c r="I160" s="64" t="n"/>
      <c r="J160" s="64" t="n"/>
      <c r="K160">
        <f>IF($A160="","",IF(LEFT($A160,3)="CAP","سرمایه و آورده صاحبان",IF(LEFT($A160,2)="SL","بارفروش",IF(LEFT($A160,2)="BD","باسکول دیگران",IF(LEFT($A160,1)="C","باغدار",IF(LEFT($A160,1)="S","فروشنده سبد/تأمین‌کننده",IF(LEFT($A160,1)="E","کارمند",IF(LEFT($A160,1)="X","سایر حساب",IF(LEFT($A160,1)="F","دارایی ثابت",IF(LEFT($A160,1)="L","وام و تسهیلات",""))))))))))</f>
        <v/>
      </c>
      <c r="L160" s="65" t="n"/>
      <c r="M160">
        <f>IF(OR($B160="",$A160=""),"",IF(OR($B160=$K160,AND(LEFT($A160,1)="S",OR($B160="فروشنده سبد",$B160="تأمین‌کننده")),AND(LEFT($A160,2)="BD",$B160="باسکول دیگران")),"✓","⚠"))</f>
        <v/>
      </c>
    </row>
    <row r="161" ht="21" customHeight="1">
      <c r="A161" s="67" t="inlineStr">
        <is>
          <t>C102</t>
        </is>
      </c>
      <c r="B161" s="64" t="n"/>
      <c r="C161" s="65" t="n"/>
      <c r="D161" s="65" t="n"/>
      <c r="E161" s="65" t="n"/>
      <c r="F161" s="65" t="n"/>
      <c r="G161" s="65" t="n"/>
      <c r="H161" s="143" t="n">
        <v>0</v>
      </c>
      <c r="I161" s="64" t="n"/>
      <c r="J161" s="64" t="n"/>
      <c r="K161">
        <f>IF($A161="","",IF(LEFT($A161,3)="CAP","سرمایه و آورده صاحبان",IF(LEFT($A161,2)="SL","بارفروش",IF(LEFT($A161,2)="BD","باسکول دیگران",IF(LEFT($A161,1)="C","باغدار",IF(LEFT($A161,1)="S","فروشنده سبد/تأمین‌کننده",IF(LEFT($A161,1)="E","کارمند",IF(LEFT($A161,1)="X","سایر حساب",IF(LEFT($A161,1)="F","دارایی ثابت",IF(LEFT($A161,1)="L","وام و تسهیلات",""))))))))))</f>
        <v/>
      </c>
      <c r="L161" s="65" t="n"/>
      <c r="M161">
        <f>IF(OR($B161="",$A161=""),"",IF(OR($B161=$K161,AND(LEFT($A161,1)="S",OR($B161="فروشنده سبد",$B161="تأمین‌کننده")),AND(LEFT($A161,2)="BD",$B161="باسکول دیگران")),"✓","⚠"))</f>
        <v/>
      </c>
    </row>
    <row r="162" ht="21" customHeight="1">
      <c r="A162" s="67" t="inlineStr">
        <is>
          <t>C103</t>
        </is>
      </c>
      <c r="B162" s="64" t="n"/>
      <c r="C162" s="65" t="n"/>
      <c r="D162" s="65" t="n"/>
      <c r="E162" s="65" t="n"/>
      <c r="F162" s="65" t="n"/>
      <c r="G162" s="65" t="n"/>
      <c r="H162" s="143" t="n">
        <v>0</v>
      </c>
      <c r="I162" s="64" t="n"/>
      <c r="J162" s="64" t="n"/>
      <c r="K162">
        <f>IF($A162="","",IF(LEFT($A162,3)="CAP","سرمایه و آورده صاحبان",IF(LEFT($A162,2)="SL","بارفروش",IF(LEFT($A162,2)="BD","باسکول دیگران",IF(LEFT($A162,1)="C","باغدار",IF(LEFT($A162,1)="S","فروشنده سبد/تأمین‌کننده",IF(LEFT($A162,1)="E","کارمند",IF(LEFT($A162,1)="X","سایر حساب",IF(LEFT($A162,1)="F","دارایی ثابت",IF(LEFT($A162,1)="L","وام و تسهیلات",""))))))))))</f>
        <v/>
      </c>
      <c r="L162" s="65" t="n"/>
      <c r="M162">
        <f>IF(OR($B162="",$A162=""),"",IF(OR($B162=$K162,AND(LEFT($A162,1)="S",OR($B162="فروشنده سبد",$B162="تأمین‌کننده")),AND(LEFT($A162,2)="BD",$B162="باسکول دیگران")),"✓","⚠"))</f>
        <v/>
      </c>
    </row>
    <row r="163" ht="21" customHeight="1">
      <c r="A163" s="67" t="inlineStr">
        <is>
          <t>C104</t>
        </is>
      </c>
      <c r="B163" s="64" t="n"/>
      <c r="C163" s="65" t="n"/>
      <c r="D163" s="65" t="n"/>
      <c r="E163" s="65" t="n"/>
      <c r="F163" s="65" t="n"/>
      <c r="G163" s="65" t="n"/>
      <c r="H163" s="143" t="n">
        <v>0</v>
      </c>
      <c r="I163" s="64" t="n"/>
      <c r="J163" s="64" t="n"/>
      <c r="K163">
        <f>IF($A163="","",IF(LEFT($A163,3)="CAP","سرمایه و آورده صاحبان",IF(LEFT($A163,2)="SL","بارفروش",IF(LEFT($A163,2)="BD","باسکول دیگران",IF(LEFT($A163,1)="C","باغدار",IF(LEFT($A163,1)="S","فروشنده سبد/تأمین‌کننده",IF(LEFT($A163,1)="E","کارمند",IF(LEFT($A163,1)="X","سایر حساب",IF(LEFT($A163,1)="F","دارایی ثابت",IF(LEFT($A163,1)="L","وام و تسهیلات",""))))))))))</f>
        <v/>
      </c>
      <c r="L163" s="65" t="n"/>
      <c r="M163">
        <f>IF(OR($B163="",$A163=""),"",IF(OR($B163=$K163,AND(LEFT($A163,1)="S",OR($B163="فروشنده سبد",$B163="تأمین‌کننده")),AND(LEFT($A163,2)="BD",$B163="باسکول دیگران")),"✓","⚠"))</f>
        <v/>
      </c>
    </row>
    <row r="164" ht="21" customHeight="1">
      <c r="A164" s="67" t="inlineStr">
        <is>
          <t>C105</t>
        </is>
      </c>
      <c r="B164" s="64" t="n"/>
      <c r="C164" s="65" t="n"/>
      <c r="D164" s="65" t="n"/>
      <c r="E164" s="65" t="n"/>
      <c r="F164" s="65" t="n"/>
      <c r="G164" s="65" t="n"/>
      <c r="H164" s="143" t="n">
        <v>0</v>
      </c>
      <c r="I164" s="64" t="n"/>
      <c r="J164" s="64" t="n"/>
      <c r="K164">
        <f>IF($A164="","",IF(LEFT($A164,3)="CAP","سرمایه و آورده صاحبان",IF(LEFT($A164,2)="SL","بارفروش",IF(LEFT($A164,2)="BD","باسکول دیگران",IF(LEFT($A164,1)="C","باغدار",IF(LEFT($A164,1)="S","فروشنده سبد/تأمین‌کننده",IF(LEFT($A164,1)="E","کارمند",IF(LEFT($A164,1)="X","سایر حساب",IF(LEFT($A164,1)="F","دارایی ثابت",IF(LEFT($A164,1)="L","وام و تسهیلات",""))))))))))</f>
        <v/>
      </c>
      <c r="L164" s="65" t="n"/>
      <c r="M164">
        <f>IF(OR($B164="",$A164=""),"",IF(OR($B164=$K164,AND(LEFT($A164,1)="S",OR($B164="فروشنده سبد",$B164="تأمین‌کننده")),AND(LEFT($A164,2)="BD",$B164="باسکول دیگران")),"✓","⚠"))</f>
        <v/>
      </c>
    </row>
    <row r="165" ht="21" customHeight="1">
      <c r="A165" s="67" t="inlineStr">
        <is>
          <t>C106</t>
        </is>
      </c>
      <c r="B165" s="64" t="n"/>
      <c r="C165" s="65" t="n"/>
      <c r="D165" s="65" t="n"/>
      <c r="E165" s="65" t="n"/>
      <c r="F165" s="65" t="n"/>
      <c r="G165" s="65" t="n"/>
      <c r="H165" s="143" t="n">
        <v>0</v>
      </c>
      <c r="I165" s="64" t="n"/>
      <c r="J165" s="64" t="n"/>
      <c r="K165">
        <f>IF($A165="","",IF(LEFT($A165,3)="CAP","سرمایه و آورده صاحبان",IF(LEFT($A165,2)="SL","بارفروش",IF(LEFT($A165,2)="BD","باسکول دیگران",IF(LEFT($A165,1)="C","باغدار",IF(LEFT($A165,1)="S","فروشنده سبد/تأمین‌کننده",IF(LEFT($A165,1)="E","کارمند",IF(LEFT($A165,1)="X","سایر حساب",IF(LEFT($A165,1)="F","دارایی ثابت",IF(LEFT($A165,1)="L","وام و تسهیلات",""))))))))))</f>
        <v/>
      </c>
      <c r="L165" s="65" t="n"/>
      <c r="M165">
        <f>IF(OR($B165="",$A165=""),"",IF(OR($B165=$K165,AND(LEFT($A165,1)="S",OR($B165="فروشنده سبد",$B165="تأمین‌کننده")),AND(LEFT($A165,2)="BD",$B165="باسکول دیگران")),"✓","⚠"))</f>
        <v/>
      </c>
    </row>
    <row r="166" ht="21" customHeight="1">
      <c r="A166" s="67" t="inlineStr">
        <is>
          <t>C107</t>
        </is>
      </c>
      <c r="B166" s="64" t="n"/>
      <c r="C166" s="65" t="n"/>
      <c r="D166" s="65" t="n"/>
      <c r="E166" s="65" t="n"/>
      <c r="F166" s="65" t="n"/>
      <c r="G166" s="65" t="n"/>
      <c r="H166" s="143" t="n">
        <v>0</v>
      </c>
      <c r="I166" s="64" t="n"/>
      <c r="J166" s="64" t="n"/>
      <c r="K166">
        <f>IF($A166="","",IF(LEFT($A166,3)="CAP","سرمایه و آورده صاحبان",IF(LEFT($A166,2)="SL","بارفروش",IF(LEFT($A166,2)="BD","باسکول دیگران",IF(LEFT($A166,1)="C","باغدار",IF(LEFT($A166,1)="S","فروشنده سبد/تأمین‌کننده",IF(LEFT($A166,1)="E","کارمند",IF(LEFT($A166,1)="X","سایر حساب",IF(LEFT($A166,1)="F","دارایی ثابت",IF(LEFT($A166,1)="L","وام و تسهیلات",""))))))))))</f>
        <v/>
      </c>
      <c r="L166" s="65" t="n"/>
      <c r="M166">
        <f>IF(OR($B166="",$A166=""),"",IF(OR($B166=$K166,AND(LEFT($A166,1)="S",OR($B166="فروشنده سبد",$B166="تأمین‌کننده")),AND(LEFT($A166,2)="BD",$B166="باسکول دیگران")),"✓","⚠"))</f>
        <v/>
      </c>
    </row>
    <row r="167" ht="21" customHeight="1">
      <c r="A167" s="67" t="inlineStr">
        <is>
          <t>C108</t>
        </is>
      </c>
      <c r="B167" s="64" t="n"/>
      <c r="C167" s="65" t="n"/>
      <c r="D167" s="65" t="n"/>
      <c r="E167" s="65" t="n"/>
      <c r="F167" s="65" t="n"/>
      <c r="G167" s="65" t="n"/>
      <c r="H167" s="143" t="n">
        <v>0</v>
      </c>
      <c r="I167" s="64" t="n"/>
      <c r="J167" s="64" t="n"/>
      <c r="K167">
        <f>IF($A167="","",IF(LEFT($A167,3)="CAP","سرمایه و آورده صاحبان",IF(LEFT($A167,2)="SL","بارفروش",IF(LEFT($A167,2)="BD","باسکول دیگران",IF(LEFT($A167,1)="C","باغدار",IF(LEFT($A167,1)="S","فروشنده سبد/تأمین‌کننده",IF(LEFT($A167,1)="E","کارمند",IF(LEFT($A167,1)="X","سایر حساب",IF(LEFT($A167,1)="F","دارایی ثابت",IF(LEFT($A167,1)="L","وام و تسهیلات",""))))))))))</f>
        <v/>
      </c>
      <c r="L167" s="65" t="n"/>
      <c r="M167">
        <f>IF(OR($B167="",$A167=""),"",IF(OR($B167=$K167,AND(LEFT($A167,1)="S",OR($B167="فروشنده سبد",$B167="تأمین‌کننده")),AND(LEFT($A167,2)="BD",$B167="باسکول دیگران")),"✓","⚠"))</f>
        <v/>
      </c>
    </row>
    <row r="168" ht="21" customHeight="1">
      <c r="A168" s="67" t="inlineStr">
        <is>
          <t>C109</t>
        </is>
      </c>
      <c r="B168" s="64" t="n"/>
      <c r="C168" s="65" t="n"/>
      <c r="D168" s="65" t="n"/>
      <c r="E168" s="65" t="n"/>
      <c r="F168" s="65" t="n"/>
      <c r="G168" s="65" t="n"/>
      <c r="H168" s="143" t="n">
        <v>0</v>
      </c>
      <c r="I168" s="64" t="n"/>
      <c r="J168" s="64" t="n"/>
      <c r="K168">
        <f>IF($A168="","",IF(LEFT($A168,3)="CAP","سرمایه و آورده صاحبان",IF(LEFT($A168,2)="SL","بارفروش",IF(LEFT($A168,2)="BD","باسکول دیگران",IF(LEFT($A168,1)="C","باغدار",IF(LEFT($A168,1)="S","فروشنده سبد/تأمین‌کننده",IF(LEFT($A168,1)="E","کارمند",IF(LEFT($A168,1)="X","سایر حساب",IF(LEFT($A168,1)="F","دارایی ثابت",IF(LEFT($A168,1)="L","وام و تسهیلات",""))))))))))</f>
        <v/>
      </c>
      <c r="L168" s="65" t="n"/>
      <c r="M168">
        <f>IF(OR($B168="",$A168=""),"",IF(OR($B168=$K168,AND(LEFT($A168,1)="S",OR($B168="فروشنده سبد",$B168="تأمین‌کننده")),AND(LEFT($A168,2)="BD",$B168="باسکول دیگران")),"✓","⚠"))</f>
        <v/>
      </c>
    </row>
    <row r="169" ht="21" customHeight="1">
      <c r="A169" s="67" t="inlineStr">
        <is>
          <t>C110</t>
        </is>
      </c>
      <c r="B169" s="64" t="n"/>
      <c r="C169" s="65" t="n"/>
      <c r="D169" s="65" t="n"/>
      <c r="E169" s="65" t="n"/>
      <c r="F169" s="65" t="n"/>
      <c r="G169" s="65" t="n"/>
      <c r="H169" s="143" t="n">
        <v>0</v>
      </c>
      <c r="I169" s="64" t="n"/>
      <c r="J169" s="64" t="n"/>
      <c r="K169">
        <f>IF($A169="","",IF(LEFT($A169,3)="CAP","سرمایه و آورده صاحبان",IF(LEFT($A169,2)="SL","بارفروش",IF(LEFT($A169,2)="BD","باسکول دیگران",IF(LEFT($A169,1)="C","باغدار",IF(LEFT($A169,1)="S","فروشنده سبد/تأمین‌کننده",IF(LEFT($A169,1)="E","کارمند",IF(LEFT($A169,1)="X","سایر حساب",IF(LEFT($A169,1)="F","دارایی ثابت",IF(LEFT($A169,1)="L","وام و تسهیلات",""))))))))))</f>
        <v/>
      </c>
      <c r="L169" s="65" t="n"/>
      <c r="M169">
        <f>IF(OR($B169="",$A169=""),"",IF(OR($B169=$K169,AND(LEFT($A169,1)="S",OR($B169="فروشنده سبد",$B169="تأمین‌کننده")),AND(LEFT($A169,2)="BD",$B169="باسکول دیگران")),"✓","⚠"))</f>
        <v/>
      </c>
    </row>
    <row r="170" ht="21" customHeight="1">
      <c r="A170" s="67" t="inlineStr">
        <is>
          <t>C111</t>
        </is>
      </c>
      <c r="B170" s="64" t="n"/>
      <c r="C170" s="65" t="n"/>
      <c r="D170" s="65" t="n"/>
      <c r="E170" s="65" t="n"/>
      <c r="F170" s="65" t="n"/>
      <c r="G170" s="65" t="n"/>
      <c r="H170" s="143" t="n">
        <v>0</v>
      </c>
      <c r="I170" s="64" t="n"/>
      <c r="J170" s="64" t="n"/>
      <c r="K170">
        <f>IF($A170="","",IF(LEFT($A170,3)="CAP","سرمایه و آورده صاحبان",IF(LEFT($A170,2)="SL","بارفروش",IF(LEFT($A170,2)="BD","باسکول دیگران",IF(LEFT($A170,1)="C","باغدار",IF(LEFT($A170,1)="S","فروشنده سبد/تأمین‌کننده",IF(LEFT($A170,1)="E","کارمند",IF(LEFT($A170,1)="X","سایر حساب",IF(LEFT($A170,1)="F","دارایی ثابت",IF(LEFT($A170,1)="L","وام و تسهیلات",""))))))))))</f>
        <v/>
      </c>
      <c r="L170" s="65" t="n"/>
      <c r="M170">
        <f>IF(OR($B170="",$A170=""),"",IF(OR($B170=$K170,AND(LEFT($A170,1)="S",OR($B170="فروشنده سبد",$B170="تأمین‌کننده")),AND(LEFT($A170,2)="BD",$B170="باسکول دیگران")),"✓","⚠"))</f>
        <v/>
      </c>
    </row>
    <row r="171" ht="21" customHeight="1">
      <c r="A171" s="67" t="inlineStr">
        <is>
          <t>C112</t>
        </is>
      </c>
      <c r="B171" s="64" t="n"/>
      <c r="C171" s="65" t="n"/>
      <c r="D171" s="65" t="n"/>
      <c r="E171" s="65" t="n"/>
      <c r="F171" s="65" t="n"/>
      <c r="G171" s="65" t="n"/>
      <c r="H171" s="143" t="n">
        <v>0</v>
      </c>
      <c r="I171" s="64" t="n"/>
      <c r="J171" s="64" t="n"/>
      <c r="K171">
        <f>IF($A171="","",IF(LEFT($A171,3)="CAP","سرمایه و آورده صاحبان",IF(LEFT($A171,2)="SL","بارفروش",IF(LEFT($A171,2)="BD","باسکول دیگران",IF(LEFT($A171,1)="C","باغدار",IF(LEFT($A171,1)="S","فروشنده سبد/تأمین‌کننده",IF(LEFT($A171,1)="E","کارمند",IF(LEFT($A171,1)="X","سایر حساب",IF(LEFT($A171,1)="F","دارایی ثابت",IF(LEFT($A171,1)="L","وام و تسهیلات",""))))))))))</f>
        <v/>
      </c>
      <c r="L171" s="65" t="n"/>
      <c r="M171">
        <f>IF(OR($B171="",$A171=""),"",IF(OR($B171=$K171,AND(LEFT($A171,1)="S",OR($B171="فروشنده سبد",$B171="تأمین‌کننده")),AND(LEFT($A171,2)="BD",$B171="باسکول دیگران")),"✓","⚠"))</f>
        <v/>
      </c>
    </row>
    <row r="172" ht="21" customHeight="1">
      <c r="A172" s="67" t="inlineStr">
        <is>
          <t>C113</t>
        </is>
      </c>
      <c r="B172" s="64" t="n"/>
      <c r="C172" s="65" t="n"/>
      <c r="D172" s="65" t="n"/>
      <c r="E172" s="65" t="n"/>
      <c r="F172" s="65" t="n"/>
      <c r="G172" s="65" t="n"/>
      <c r="H172" s="143" t="n">
        <v>0</v>
      </c>
      <c r="I172" s="64" t="n"/>
      <c r="J172" s="64" t="n"/>
      <c r="K172">
        <f>IF($A172="","",IF(LEFT($A172,3)="CAP","سرمایه و آورده صاحبان",IF(LEFT($A172,2)="SL","بارفروش",IF(LEFT($A172,2)="BD","باسکول دیگران",IF(LEFT($A172,1)="C","باغدار",IF(LEFT($A172,1)="S","فروشنده سبد/تأمین‌کننده",IF(LEFT($A172,1)="E","کارمند",IF(LEFT($A172,1)="X","سایر حساب",IF(LEFT($A172,1)="F","دارایی ثابت",IF(LEFT($A172,1)="L","وام و تسهیلات",""))))))))))</f>
        <v/>
      </c>
      <c r="L172" s="65" t="n"/>
      <c r="M172">
        <f>IF(OR($B172="",$A172=""),"",IF(OR($B172=$K172,AND(LEFT($A172,1)="S",OR($B172="فروشنده سبد",$B172="تأمین‌کننده")),AND(LEFT($A172,2)="BD",$B172="باسکول دیگران")),"✓","⚠"))</f>
        <v/>
      </c>
    </row>
    <row r="173" ht="21" customHeight="1">
      <c r="A173" s="67" t="inlineStr">
        <is>
          <t>C114</t>
        </is>
      </c>
      <c r="B173" s="64" t="n"/>
      <c r="C173" s="65" t="n"/>
      <c r="D173" s="65" t="n"/>
      <c r="E173" s="65" t="n"/>
      <c r="F173" s="65" t="n"/>
      <c r="G173" s="65" t="n"/>
      <c r="H173" s="143" t="n">
        <v>0</v>
      </c>
      <c r="I173" s="64" t="n"/>
      <c r="J173" s="64" t="n"/>
      <c r="K173">
        <f>IF($A173="","",IF(LEFT($A173,3)="CAP","سرمایه و آورده صاحبان",IF(LEFT($A173,2)="SL","بارفروش",IF(LEFT($A173,2)="BD","باسکول دیگران",IF(LEFT($A173,1)="C","باغدار",IF(LEFT($A173,1)="S","فروشنده سبد/تأمین‌کننده",IF(LEFT($A173,1)="E","کارمند",IF(LEFT($A173,1)="X","سایر حساب",IF(LEFT($A173,1)="F","دارایی ثابت",IF(LEFT($A173,1)="L","وام و تسهیلات",""))))))))))</f>
        <v/>
      </c>
      <c r="L173" s="65" t="n"/>
      <c r="M173">
        <f>IF(OR($B173="",$A173=""),"",IF(OR($B173=$K173,AND(LEFT($A173,1)="S",OR($B173="فروشنده سبد",$B173="تأمین‌کننده")),AND(LEFT($A173,2)="BD",$B173="باسکول دیگران")),"✓","⚠"))</f>
        <v/>
      </c>
    </row>
    <row r="174" ht="21" customHeight="1">
      <c r="A174" s="67" t="inlineStr">
        <is>
          <t>C115</t>
        </is>
      </c>
      <c r="B174" s="64" t="n"/>
      <c r="C174" s="65" t="n"/>
      <c r="D174" s="65" t="n"/>
      <c r="E174" s="65" t="n"/>
      <c r="F174" s="65" t="n"/>
      <c r="G174" s="65" t="n"/>
      <c r="H174" s="143" t="n">
        <v>0</v>
      </c>
      <c r="I174" s="64" t="n"/>
      <c r="J174" s="64" t="n"/>
      <c r="K174">
        <f>IF($A174="","",IF(LEFT($A174,3)="CAP","سرمایه و آورده صاحبان",IF(LEFT($A174,2)="SL","بارفروش",IF(LEFT($A174,2)="BD","باسکول دیگران",IF(LEFT($A174,1)="C","باغدار",IF(LEFT($A174,1)="S","فروشنده سبد/تأمین‌کننده",IF(LEFT($A174,1)="E","کارمند",IF(LEFT($A174,1)="X","سایر حساب",IF(LEFT($A174,1)="F","دارایی ثابت",IF(LEFT($A174,1)="L","وام و تسهیلات",""))))))))))</f>
        <v/>
      </c>
      <c r="L174" s="65" t="n"/>
      <c r="M174">
        <f>IF(OR($B174="",$A174=""),"",IF(OR($B174=$K174,AND(LEFT($A174,1)="S",OR($B174="فروشنده سبد",$B174="تأمین‌کننده")),AND(LEFT($A174,2)="BD",$B174="باسکول دیگران")),"✓","⚠"))</f>
        <v/>
      </c>
    </row>
    <row r="175" ht="21" customHeight="1">
      <c r="A175" s="67" t="inlineStr">
        <is>
          <t>C116</t>
        </is>
      </c>
      <c r="B175" s="64" t="n"/>
      <c r="C175" s="65" t="n"/>
      <c r="D175" s="65" t="n"/>
      <c r="E175" s="65" t="n"/>
      <c r="F175" s="65" t="n"/>
      <c r="G175" s="65" t="n"/>
      <c r="H175" s="143" t="n">
        <v>0</v>
      </c>
      <c r="I175" s="64" t="n"/>
      <c r="J175" s="64" t="n"/>
      <c r="K175">
        <f>IF($A175="","",IF(LEFT($A175,3)="CAP","سرمایه و آورده صاحبان",IF(LEFT($A175,2)="SL","بارفروش",IF(LEFT($A175,2)="BD","باسکول دیگران",IF(LEFT($A175,1)="C","باغدار",IF(LEFT($A175,1)="S","فروشنده سبد/تأمین‌کننده",IF(LEFT($A175,1)="E","کارمند",IF(LEFT($A175,1)="X","سایر حساب",IF(LEFT($A175,1)="F","دارایی ثابت",IF(LEFT($A175,1)="L","وام و تسهیلات",""))))))))))</f>
        <v/>
      </c>
      <c r="L175" s="65" t="n"/>
      <c r="M175">
        <f>IF(OR($B175="",$A175=""),"",IF(OR($B175=$K175,AND(LEFT($A175,1)="S",OR($B175="فروشنده سبد",$B175="تأمین‌کننده")),AND(LEFT($A175,2)="BD",$B175="باسکول دیگران")),"✓","⚠"))</f>
        <v/>
      </c>
    </row>
    <row r="176" ht="21" customHeight="1">
      <c r="A176" s="67" t="inlineStr">
        <is>
          <t>C117</t>
        </is>
      </c>
      <c r="B176" s="64" t="n"/>
      <c r="C176" s="65" t="n"/>
      <c r="D176" s="65" t="n"/>
      <c r="E176" s="65" t="n"/>
      <c r="F176" s="65" t="n"/>
      <c r="G176" s="65" t="n"/>
      <c r="H176" s="143" t="n">
        <v>0</v>
      </c>
      <c r="I176" s="64" t="n"/>
      <c r="J176" s="64" t="n"/>
      <c r="K176">
        <f>IF($A176="","",IF(LEFT($A176,3)="CAP","سرمایه و آورده صاحبان",IF(LEFT($A176,2)="SL","بارفروش",IF(LEFT($A176,2)="BD","باسکول دیگران",IF(LEFT($A176,1)="C","باغدار",IF(LEFT($A176,1)="S","فروشنده سبد/تأمین‌کننده",IF(LEFT($A176,1)="E","کارمند",IF(LEFT($A176,1)="X","سایر حساب",IF(LEFT($A176,1)="F","دارایی ثابت",IF(LEFT($A176,1)="L","وام و تسهیلات",""))))))))))</f>
        <v/>
      </c>
      <c r="L176" s="65" t="n"/>
      <c r="M176">
        <f>IF(OR($B176="",$A176=""),"",IF(OR($B176=$K176,AND(LEFT($A176,1)="S",OR($B176="فروشنده سبد",$B176="تأمین‌کننده")),AND(LEFT($A176,2)="BD",$B176="باسکول دیگران")),"✓","⚠"))</f>
        <v/>
      </c>
    </row>
    <row r="177" ht="21" customHeight="1">
      <c r="A177" s="67" t="inlineStr">
        <is>
          <t>C118</t>
        </is>
      </c>
      <c r="B177" s="64" t="n"/>
      <c r="C177" s="65" t="n"/>
      <c r="D177" s="65" t="n"/>
      <c r="E177" s="65" t="n"/>
      <c r="F177" s="65" t="n"/>
      <c r="G177" s="65" t="n"/>
      <c r="H177" s="143" t="n">
        <v>0</v>
      </c>
      <c r="I177" s="64" t="n"/>
      <c r="J177" s="64" t="n"/>
      <c r="K177">
        <f>IF($A177="","",IF(LEFT($A177,3)="CAP","سرمایه و آورده صاحبان",IF(LEFT($A177,2)="SL","بارفروش",IF(LEFT($A177,2)="BD","باسکول دیگران",IF(LEFT($A177,1)="C","باغدار",IF(LEFT($A177,1)="S","فروشنده سبد/تأمین‌کننده",IF(LEFT($A177,1)="E","کارمند",IF(LEFT($A177,1)="X","سایر حساب",IF(LEFT($A177,1)="F","دارایی ثابت",IF(LEFT($A177,1)="L","وام و تسهیلات",""))))))))))</f>
        <v/>
      </c>
      <c r="L177" s="65" t="n"/>
      <c r="M177">
        <f>IF(OR($B177="",$A177=""),"",IF(OR($B177=$K177,AND(LEFT($A177,1)="S",OR($B177="فروشنده سبد",$B177="تأمین‌کننده")),AND(LEFT($A177,2)="BD",$B177="باسکول دیگران")),"✓","⚠"))</f>
        <v/>
      </c>
    </row>
    <row r="178" ht="21" customHeight="1">
      <c r="A178" s="67" t="inlineStr">
        <is>
          <t>C119</t>
        </is>
      </c>
      <c r="B178" s="64" t="n"/>
      <c r="C178" s="65" t="n"/>
      <c r="D178" s="65" t="n"/>
      <c r="E178" s="65" t="n"/>
      <c r="F178" s="65" t="n"/>
      <c r="G178" s="65" t="n"/>
      <c r="H178" s="143" t="n">
        <v>0</v>
      </c>
      <c r="I178" s="64" t="n"/>
      <c r="J178" s="64" t="n"/>
      <c r="K178">
        <f>IF($A178="","",IF(LEFT($A178,3)="CAP","سرمایه و آورده صاحبان",IF(LEFT($A178,2)="SL","بارفروش",IF(LEFT($A178,2)="BD","باسکول دیگران",IF(LEFT($A178,1)="C","باغدار",IF(LEFT($A178,1)="S","فروشنده سبد/تأمین‌کننده",IF(LEFT($A178,1)="E","کارمند",IF(LEFT($A178,1)="X","سایر حساب",IF(LEFT($A178,1)="F","دارایی ثابت",IF(LEFT($A178,1)="L","وام و تسهیلات",""))))))))))</f>
        <v/>
      </c>
      <c r="L178" s="65" t="n"/>
      <c r="M178">
        <f>IF(OR($B178="",$A178=""),"",IF(OR($B178=$K178,AND(LEFT($A178,1)="S",OR($B178="فروشنده سبد",$B178="تأمین‌کننده")),AND(LEFT($A178,2)="BD",$B178="باسکول دیگران")),"✓","⚠"))</f>
        <v/>
      </c>
    </row>
    <row r="179" ht="21" customHeight="1">
      <c r="A179" s="67" t="inlineStr">
        <is>
          <t>C120</t>
        </is>
      </c>
      <c r="B179" s="64" t="n"/>
      <c r="C179" s="65" t="n"/>
      <c r="D179" s="65" t="n"/>
      <c r="E179" s="65" t="n"/>
      <c r="F179" s="65" t="n"/>
      <c r="G179" s="65" t="n"/>
      <c r="H179" s="143" t="n">
        <v>0</v>
      </c>
      <c r="I179" s="64" t="n"/>
      <c r="J179" s="64" t="n"/>
      <c r="K179">
        <f>IF($A179="","",IF(LEFT($A179,3)="CAP","سرمایه و آورده صاحبان",IF(LEFT($A179,2)="SL","بارفروش",IF(LEFT($A179,2)="BD","باسکول دیگران",IF(LEFT($A179,1)="C","باغدار",IF(LEFT($A179,1)="S","فروشنده سبد/تأمین‌کننده",IF(LEFT($A179,1)="E","کارمند",IF(LEFT($A179,1)="X","سایر حساب",IF(LEFT($A179,1)="F","دارایی ثابت",IF(LEFT($A179,1)="L","وام و تسهیلات",""))))))))))</f>
        <v/>
      </c>
      <c r="L179" s="65" t="n"/>
      <c r="M179">
        <f>IF(OR($B179="",$A179=""),"",IF(OR($B179=$K179,AND(LEFT($A179,1)="S",OR($B179="فروشنده سبد",$B179="تأمین‌کننده")),AND(LEFT($A179,2)="BD",$B179="باسکول دیگران")),"✓","⚠"))</f>
        <v/>
      </c>
    </row>
    <row r="180" ht="21" customHeight="1">
      <c r="A180" s="67" t="inlineStr">
        <is>
          <t>SL006</t>
        </is>
      </c>
      <c r="B180" s="64" t="n"/>
      <c r="C180" s="65" t="n"/>
      <c r="D180" s="65" t="n"/>
      <c r="E180" s="65" t="n"/>
      <c r="F180" s="65" t="n"/>
      <c r="G180" s="65" t="n"/>
      <c r="H180" s="143" t="n">
        <v>0</v>
      </c>
      <c r="I180" s="64" t="n"/>
      <c r="J180" s="64" t="n"/>
      <c r="K180">
        <f>IF($A180="","",IF(LEFT($A180,3)="CAP","سرمایه و آورده صاحبان",IF(LEFT($A180,2)="SL","بارفروش",IF(LEFT($A180,2)="BD","باسکول دیگران",IF(LEFT($A180,1)="C","باغدار",IF(LEFT($A180,1)="S","فروشنده سبد/تأمین‌کننده",IF(LEFT($A180,1)="E","کارمند",IF(LEFT($A180,1)="X","سایر حساب",IF(LEFT($A180,1)="F","دارایی ثابت",IF(LEFT($A180,1)="L","وام و تسهیلات",""))))))))))</f>
        <v/>
      </c>
      <c r="L180" s="65" t="n"/>
      <c r="M180">
        <f>IF(OR($B180="",$A180=""),"",IF(OR($B180=$K180,AND(LEFT($A180,1)="S",OR($B180="فروشنده سبد",$B180="تأمین‌کننده")),AND(LEFT($A180,2)="BD",$B180="باسکول دیگران")),"✓","⚠"))</f>
        <v/>
      </c>
    </row>
    <row r="181" ht="21" customHeight="1">
      <c r="A181" s="67" t="inlineStr">
        <is>
          <t>SL007</t>
        </is>
      </c>
      <c r="B181" s="64" t="n"/>
      <c r="C181" s="65" t="n"/>
      <c r="D181" s="65" t="n"/>
      <c r="E181" s="65" t="n"/>
      <c r="F181" s="65" t="n"/>
      <c r="G181" s="65" t="n"/>
      <c r="H181" s="143" t="n">
        <v>0</v>
      </c>
      <c r="I181" s="64" t="n"/>
      <c r="J181" s="64" t="n"/>
      <c r="K181">
        <f>IF($A181="","",IF(LEFT($A181,3)="CAP","سرمایه و آورده صاحبان",IF(LEFT($A181,2)="SL","بارفروش",IF(LEFT($A181,2)="BD","باسکول دیگران",IF(LEFT($A181,1)="C","باغدار",IF(LEFT($A181,1)="S","فروشنده سبد/تأمین‌کننده",IF(LEFT($A181,1)="E","کارمند",IF(LEFT($A181,1)="X","سایر حساب",IF(LEFT($A181,1)="F","دارایی ثابت",IF(LEFT($A181,1)="L","وام و تسهیلات",""))))))))))</f>
        <v/>
      </c>
      <c r="L181" s="65" t="n"/>
      <c r="M181">
        <f>IF(OR($B181="",$A181=""),"",IF(OR($B181=$K181,AND(LEFT($A181,1)="S",OR($B181="فروشنده سبد",$B181="تأمین‌کننده")),AND(LEFT($A181,2)="BD",$B181="باسکول دیگران")),"✓","⚠"))</f>
        <v/>
      </c>
    </row>
    <row r="182" ht="21" customHeight="1">
      <c r="A182" s="67" t="inlineStr">
        <is>
          <t>SL008</t>
        </is>
      </c>
      <c r="B182" s="64" t="n"/>
      <c r="C182" s="65" t="n"/>
      <c r="D182" s="65" t="n"/>
      <c r="E182" s="65" t="n"/>
      <c r="F182" s="65" t="n"/>
      <c r="G182" s="65" t="n"/>
      <c r="H182" s="143" t="n">
        <v>0</v>
      </c>
      <c r="I182" s="64" t="n"/>
      <c r="J182" s="64" t="n"/>
      <c r="K182">
        <f>IF($A182="","",IF(LEFT($A182,3)="CAP","سرمایه و آورده صاحبان",IF(LEFT($A182,2)="SL","بارفروش",IF(LEFT($A182,2)="BD","باسکول دیگران",IF(LEFT($A182,1)="C","باغدار",IF(LEFT($A182,1)="S","فروشنده سبد/تأمین‌کننده",IF(LEFT($A182,1)="E","کارمند",IF(LEFT($A182,1)="X","سایر حساب",IF(LEFT($A182,1)="F","دارایی ثابت",IF(LEFT($A182,1)="L","وام و تسهیلات",""))))))))))</f>
        <v/>
      </c>
      <c r="L182" s="65" t="n"/>
      <c r="M182">
        <f>IF(OR($B182="",$A182=""),"",IF(OR($B182=$K182,AND(LEFT($A182,1)="S",OR($B182="فروشنده سبد",$B182="تأمین‌کننده")),AND(LEFT($A182,2)="BD",$B182="باسکول دیگران")),"✓","⚠"))</f>
        <v/>
      </c>
    </row>
    <row r="183" ht="21" customHeight="1">
      <c r="A183" s="67" t="inlineStr">
        <is>
          <t>SL009</t>
        </is>
      </c>
      <c r="B183" s="64" t="n"/>
      <c r="C183" s="65" t="n"/>
      <c r="D183" s="65" t="n"/>
      <c r="E183" s="65" t="n"/>
      <c r="F183" s="65" t="n"/>
      <c r="G183" s="65" t="n"/>
      <c r="H183" s="143" t="n">
        <v>0</v>
      </c>
      <c r="I183" s="64" t="n"/>
      <c r="J183" s="64" t="n"/>
      <c r="K183">
        <f>IF($A183="","",IF(LEFT($A183,3)="CAP","سرمایه و آورده صاحبان",IF(LEFT($A183,2)="SL","بارفروش",IF(LEFT($A183,2)="BD","باسکول دیگران",IF(LEFT($A183,1)="C","باغدار",IF(LEFT($A183,1)="S","فروشنده سبد/تأمین‌کننده",IF(LEFT($A183,1)="E","کارمند",IF(LEFT($A183,1)="X","سایر حساب",IF(LEFT($A183,1)="F","دارایی ثابت",IF(LEFT($A183,1)="L","وام و تسهیلات",""))))))))))</f>
        <v/>
      </c>
      <c r="L183" s="65" t="n"/>
      <c r="M183">
        <f>IF(OR($B183="",$A183=""),"",IF(OR($B183=$K183,AND(LEFT($A183,1)="S",OR($B183="فروشنده سبد",$B183="تأمین‌کننده")),AND(LEFT($A183,2)="BD",$B183="باسکول دیگران")),"✓","⚠"))</f>
        <v/>
      </c>
    </row>
    <row r="184" ht="21" customHeight="1">
      <c r="A184" s="67" t="inlineStr">
        <is>
          <t>SL010</t>
        </is>
      </c>
      <c r="B184" s="64" t="n"/>
      <c r="C184" s="65" t="n"/>
      <c r="D184" s="65" t="n"/>
      <c r="E184" s="65" t="n"/>
      <c r="F184" s="65" t="n"/>
      <c r="G184" s="65" t="n"/>
      <c r="H184" s="143" t="n">
        <v>0</v>
      </c>
      <c r="I184" s="64" t="n"/>
      <c r="J184" s="64" t="n"/>
      <c r="K184">
        <f>IF($A184="","",IF(LEFT($A184,3)="CAP","سرمایه و آورده صاحبان",IF(LEFT($A184,2)="SL","بارفروش",IF(LEFT($A184,2)="BD","باسکول دیگران",IF(LEFT($A184,1)="C","باغدار",IF(LEFT($A184,1)="S","فروشنده سبد/تأمین‌کننده",IF(LEFT($A184,1)="E","کارمند",IF(LEFT($A184,1)="X","سایر حساب",IF(LEFT($A184,1)="F","دارایی ثابت",IF(LEFT($A184,1)="L","وام و تسهیلات",""))))))))))</f>
        <v/>
      </c>
      <c r="L184" s="65" t="n"/>
      <c r="M184">
        <f>IF(OR($B184="",$A184=""),"",IF(OR($B184=$K184,AND(LEFT($A184,1)="S",OR($B184="فروشنده سبد",$B184="تأمین‌کننده")),AND(LEFT($A184,2)="BD",$B184="باسکول دیگران")),"✓","⚠"))</f>
        <v/>
      </c>
    </row>
    <row r="185" ht="21" customHeight="1">
      <c r="A185" s="67" t="inlineStr">
        <is>
          <t>SL011</t>
        </is>
      </c>
      <c r="B185" s="64" t="n"/>
      <c r="C185" s="65" t="n"/>
      <c r="D185" s="65" t="n"/>
      <c r="E185" s="65" t="n"/>
      <c r="F185" s="65" t="n"/>
      <c r="G185" s="65" t="n"/>
      <c r="H185" s="143" t="n">
        <v>0</v>
      </c>
      <c r="I185" s="64" t="n"/>
      <c r="J185" s="64" t="n"/>
      <c r="K185">
        <f>IF($A185="","",IF(LEFT($A185,3)="CAP","سرمایه و آورده صاحبان",IF(LEFT($A185,2)="SL","بارفروش",IF(LEFT($A185,2)="BD","باسکول دیگران",IF(LEFT($A185,1)="C","باغدار",IF(LEFT($A185,1)="S","فروشنده سبد/تأمین‌کننده",IF(LEFT($A185,1)="E","کارمند",IF(LEFT($A185,1)="X","سایر حساب",IF(LEFT($A185,1)="F","دارایی ثابت",IF(LEFT($A185,1)="L","وام و تسهیلات",""))))))))))</f>
        <v/>
      </c>
      <c r="L185" s="65" t="n"/>
      <c r="M185">
        <f>IF(OR($B185="",$A185=""),"",IF(OR($B185=$K185,AND(LEFT($A185,1)="S",OR($B185="فروشنده سبد",$B185="تأمین‌کننده")),AND(LEFT($A185,2)="BD",$B185="باسکول دیگران")),"✓","⚠"))</f>
        <v/>
      </c>
    </row>
    <row r="186" ht="21" customHeight="1">
      <c r="A186" s="67" t="inlineStr">
        <is>
          <t>SL012</t>
        </is>
      </c>
      <c r="B186" s="64" t="n"/>
      <c r="C186" s="65" t="n"/>
      <c r="D186" s="65" t="n"/>
      <c r="E186" s="65" t="n"/>
      <c r="F186" s="65" t="n"/>
      <c r="G186" s="65" t="n"/>
      <c r="H186" s="143" t="n">
        <v>0</v>
      </c>
      <c r="I186" s="64" t="n"/>
      <c r="J186" s="64" t="n"/>
      <c r="K186">
        <f>IF($A186="","",IF(LEFT($A186,3)="CAP","سرمایه و آورده صاحبان",IF(LEFT($A186,2)="SL","بارفروش",IF(LEFT($A186,2)="BD","باسکول دیگران",IF(LEFT($A186,1)="C","باغدار",IF(LEFT($A186,1)="S","فروشنده سبد/تأمین‌کننده",IF(LEFT($A186,1)="E","کارمند",IF(LEFT($A186,1)="X","سایر حساب",IF(LEFT($A186,1)="F","دارایی ثابت",IF(LEFT($A186,1)="L","وام و تسهیلات",""))))))))))</f>
        <v/>
      </c>
      <c r="L186" s="65" t="n"/>
      <c r="M186">
        <f>IF(OR($B186="",$A186=""),"",IF(OR($B186=$K186,AND(LEFT($A186,1)="S",OR($B186="فروشنده سبد",$B186="تأمین‌کننده")),AND(LEFT($A186,2)="BD",$B186="باسکول دیگران")),"✓","⚠"))</f>
        <v/>
      </c>
    </row>
    <row r="187" ht="21" customHeight="1">
      <c r="A187" s="67" t="inlineStr">
        <is>
          <t>SL013</t>
        </is>
      </c>
      <c r="B187" s="64" t="n"/>
      <c r="C187" s="65" t="n"/>
      <c r="D187" s="65" t="n"/>
      <c r="E187" s="65" t="n"/>
      <c r="F187" s="65" t="n"/>
      <c r="G187" s="65" t="n"/>
      <c r="H187" s="143" t="n">
        <v>0</v>
      </c>
      <c r="I187" s="64" t="n"/>
      <c r="J187" s="64" t="n"/>
      <c r="K187">
        <f>IF($A187="","",IF(LEFT($A187,3)="CAP","سرمایه و آورده صاحبان",IF(LEFT($A187,2)="SL","بارفروش",IF(LEFT($A187,2)="BD","باسکول دیگران",IF(LEFT($A187,1)="C","باغدار",IF(LEFT($A187,1)="S","فروشنده سبد/تأمین‌کننده",IF(LEFT($A187,1)="E","کارمند",IF(LEFT($A187,1)="X","سایر حساب",IF(LEFT($A187,1)="F","دارایی ثابت",IF(LEFT($A187,1)="L","وام و تسهیلات",""))))))))))</f>
        <v/>
      </c>
      <c r="L187" s="65" t="n"/>
      <c r="M187">
        <f>IF(OR($B187="",$A187=""),"",IF(OR($B187=$K187,AND(LEFT($A187,1)="S",OR($B187="فروشنده سبد",$B187="تأمین‌کننده")),AND(LEFT($A187,2)="BD",$B187="باسکول دیگران")),"✓","⚠"))</f>
        <v/>
      </c>
    </row>
    <row r="188" ht="21" customHeight="1">
      <c r="A188" s="67" t="inlineStr">
        <is>
          <t>SL014</t>
        </is>
      </c>
      <c r="B188" s="64" t="n"/>
      <c r="C188" s="65" t="n"/>
      <c r="D188" s="65" t="n"/>
      <c r="E188" s="65" t="n"/>
      <c r="F188" s="65" t="n"/>
      <c r="G188" s="65" t="n"/>
      <c r="H188" s="143" t="n">
        <v>0</v>
      </c>
      <c r="I188" s="64" t="n"/>
      <c r="J188" s="64" t="n"/>
      <c r="K188">
        <f>IF($A188="","",IF(LEFT($A188,3)="CAP","سرمایه و آورده صاحبان",IF(LEFT($A188,2)="SL","بارفروش",IF(LEFT($A188,2)="BD","باسکول دیگران",IF(LEFT($A188,1)="C","باغدار",IF(LEFT($A188,1)="S","فروشنده سبد/تأمین‌کننده",IF(LEFT($A188,1)="E","کارمند",IF(LEFT($A188,1)="X","سایر حساب",IF(LEFT($A188,1)="F","دارایی ثابت",IF(LEFT($A188,1)="L","وام و تسهیلات",""))))))))))</f>
        <v/>
      </c>
      <c r="L188" s="65" t="n"/>
      <c r="M188">
        <f>IF(OR($B188="",$A188=""),"",IF(OR($B188=$K188,AND(LEFT($A188,1)="S",OR($B188="فروشنده سبد",$B188="تأمین‌کننده")),AND(LEFT($A188,2)="BD",$B188="باسکول دیگران")),"✓","⚠"))</f>
        <v/>
      </c>
    </row>
    <row r="189" ht="21" customHeight="1">
      <c r="A189" s="67" t="inlineStr">
        <is>
          <t>SL015</t>
        </is>
      </c>
      <c r="B189" s="64" t="n"/>
      <c r="C189" s="65" t="n"/>
      <c r="D189" s="65" t="n"/>
      <c r="E189" s="65" t="n"/>
      <c r="F189" s="65" t="n"/>
      <c r="G189" s="65" t="n"/>
      <c r="H189" s="143" t="n">
        <v>0</v>
      </c>
      <c r="I189" s="64" t="n"/>
      <c r="J189" s="64" t="n"/>
      <c r="K189">
        <f>IF($A189="","",IF(LEFT($A189,3)="CAP","سرمایه و آورده صاحبان",IF(LEFT($A189,2)="SL","بارفروش",IF(LEFT($A189,2)="BD","باسکول دیگران",IF(LEFT($A189,1)="C","باغدار",IF(LEFT($A189,1)="S","فروشنده سبد/تأمین‌کننده",IF(LEFT($A189,1)="E","کارمند",IF(LEFT($A189,1)="X","سایر حساب",IF(LEFT($A189,1)="F","دارایی ثابت",IF(LEFT($A189,1)="L","وام و تسهیلات",""))))))))))</f>
        <v/>
      </c>
      <c r="L189" s="65" t="n"/>
      <c r="M189">
        <f>IF(OR($B189="",$A189=""),"",IF(OR($B189=$K189,AND(LEFT($A189,1)="S",OR($B189="فروشنده سبد",$B189="تأمین‌کننده")),AND(LEFT($A189,2)="BD",$B189="باسکول دیگران")),"✓","⚠"))</f>
        <v/>
      </c>
    </row>
    <row r="190" ht="21" customHeight="1">
      <c r="A190" s="67" t="inlineStr">
        <is>
          <t>SL016</t>
        </is>
      </c>
      <c r="B190" s="64" t="n"/>
      <c r="C190" s="65" t="n"/>
      <c r="D190" s="65" t="n"/>
      <c r="E190" s="65" t="n"/>
      <c r="F190" s="65" t="n"/>
      <c r="G190" s="65" t="n"/>
      <c r="H190" s="143" t="n">
        <v>0</v>
      </c>
      <c r="I190" s="64" t="n"/>
      <c r="J190" s="64" t="n"/>
      <c r="K190">
        <f>IF($A190="","",IF(LEFT($A190,3)="CAP","سرمایه و آورده صاحبان",IF(LEFT($A190,2)="SL","بارفروش",IF(LEFT($A190,2)="BD","باسکول دیگران",IF(LEFT($A190,1)="C","باغدار",IF(LEFT($A190,1)="S","فروشنده سبد/تأمین‌کننده",IF(LEFT($A190,1)="E","کارمند",IF(LEFT($A190,1)="X","سایر حساب",IF(LEFT($A190,1)="F","دارایی ثابت",IF(LEFT($A190,1)="L","وام و تسهیلات",""))))))))))</f>
        <v/>
      </c>
      <c r="L190" s="65" t="n"/>
      <c r="M190">
        <f>IF(OR($B190="",$A190=""),"",IF(OR($B190=$K190,AND(LEFT($A190,1)="S",OR($B190="فروشنده سبد",$B190="تأمین‌کننده")),AND(LEFT($A190,2)="BD",$B190="باسکول دیگران")),"✓","⚠"))</f>
        <v/>
      </c>
    </row>
    <row r="191" ht="21" customHeight="1">
      <c r="A191" s="67" t="inlineStr">
        <is>
          <t>SL017</t>
        </is>
      </c>
      <c r="B191" s="64" t="n"/>
      <c r="C191" s="65" t="n"/>
      <c r="D191" s="65" t="n"/>
      <c r="E191" s="65" t="n"/>
      <c r="F191" s="65" t="n"/>
      <c r="G191" s="65" t="n"/>
      <c r="H191" s="143" t="n">
        <v>0</v>
      </c>
      <c r="I191" s="64" t="n"/>
      <c r="J191" s="64" t="n"/>
      <c r="K191">
        <f>IF($A191="","",IF(LEFT($A191,3)="CAP","سرمایه و آورده صاحبان",IF(LEFT($A191,2)="SL","بارفروش",IF(LEFT($A191,2)="BD","باسکول دیگران",IF(LEFT($A191,1)="C","باغدار",IF(LEFT($A191,1)="S","فروشنده سبد/تأمین‌کننده",IF(LEFT($A191,1)="E","کارمند",IF(LEFT($A191,1)="X","سایر حساب",IF(LEFT($A191,1)="F","دارایی ثابت",IF(LEFT($A191,1)="L","وام و تسهیلات",""))))))))))</f>
        <v/>
      </c>
      <c r="L191" s="65" t="n"/>
      <c r="M191">
        <f>IF(OR($B191="",$A191=""),"",IF(OR($B191=$K191,AND(LEFT($A191,1)="S",OR($B191="فروشنده سبد",$B191="تأمین‌کننده")),AND(LEFT($A191,2)="BD",$B191="باسکول دیگران")),"✓","⚠"))</f>
        <v/>
      </c>
    </row>
    <row r="192" ht="21" customHeight="1">
      <c r="A192" s="67" t="inlineStr">
        <is>
          <t>SL018</t>
        </is>
      </c>
      <c r="B192" s="64" t="n"/>
      <c r="C192" s="65" t="n"/>
      <c r="D192" s="65" t="n"/>
      <c r="E192" s="65" t="n"/>
      <c r="F192" s="65" t="n"/>
      <c r="G192" s="65" t="n"/>
      <c r="H192" s="143" t="n">
        <v>0</v>
      </c>
      <c r="I192" s="64" t="n"/>
      <c r="J192" s="64" t="n"/>
      <c r="K192">
        <f>IF($A192="","",IF(LEFT($A192,3)="CAP","سرمایه و آورده صاحبان",IF(LEFT($A192,2)="SL","بارفروش",IF(LEFT($A192,2)="BD","باسکول دیگران",IF(LEFT($A192,1)="C","باغدار",IF(LEFT($A192,1)="S","فروشنده سبد/تأمین‌کننده",IF(LEFT($A192,1)="E","کارمند",IF(LEFT($A192,1)="X","سایر حساب",IF(LEFT($A192,1)="F","دارایی ثابت",IF(LEFT($A192,1)="L","وام و تسهیلات",""))))))))))</f>
        <v/>
      </c>
      <c r="L192" s="65" t="n"/>
      <c r="M192">
        <f>IF(OR($B192="",$A192=""),"",IF(OR($B192=$K192,AND(LEFT($A192,1)="S",OR($B192="فروشنده سبد",$B192="تأمین‌کننده")),AND(LEFT($A192,2)="BD",$B192="باسکول دیگران")),"✓","⚠"))</f>
        <v/>
      </c>
    </row>
    <row r="193" ht="21" customHeight="1">
      <c r="A193" s="67" t="inlineStr">
        <is>
          <t>SL019</t>
        </is>
      </c>
      <c r="B193" s="64" t="n"/>
      <c r="C193" s="65" t="n"/>
      <c r="D193" s="65" t="n"/>
      <c r="E193" s="65" t="n"/>
      <c r="F193" s="65" t="n"/>
      <c r="G193" s="65" t="n"/>
      <c r="H193" s="143" t="n">
        <v>0</v>
      </c>
      <c r="I193" s="64" t="n"/>
      <c r="J193" s="64" t="n"/>
      <c r="K193">
        <f>IF($A193="","",IF(LEFT($A193,3)="CAP","سرمایه و آورده صاحبان",IF(LEFT($A193,2)="SL","بارفروش",IF(LEFT($A193,2)="BD","باسکول دیگران",IF(LEFT($A193,1)="C","باغدار",IF(LEFT($A193,1)="S","فروشنده سبد/تأمین‌کننده",IF(LEFT($A193,1)="E","کارمند",IF(LEFT($A193,1)="X","سایر حساب",IF(LEFT($A193,1)="F","دارایی ثابت",IF(LEFT($A193,1)="L","وام و تسهیلات",""))))))))))</f>
        <v/>
      </c>
      <c r="L193" s="65" t="n"/>
      <c r="M193">
        <f>IF(OR($B193="",$A193=""),"",IF(OR($B193=$K193,AND(LEFT($A193,1)="S",OR($B193="فروشنده سبد",$B193="تأمین‌کننده")),AND(LEFT($A193,2)="BD",$B193="باسکول دیگران")),"✓","⚠"))</f>
        <v/>
      </c>
    </row>
    <row r="194" ht="21" customHeight="1">
      <c r="A194" s="67" t="inlineStr">
        <is>
          <t>SL020</t>
        </is>
      </c>
      <c r="B194" s="64" t="n"/>
      <c r="C194" s="65" t="n"/>
      <c r="D194" s="65" t="n"/>
      <c r="E194" s="65" t="n"/>
      <c r="F194" s="65" t="n"/>
      <c r="G194" s="65" t="n"/>
      <c r="H194" s="143" t="n">
        <v>0</v>
      </c>
      <c r="I194" s="64" t="n"/>
      <c r="J194" s="64" t="n"/>
      <c r="K194">
        <f>IF($A194="","",IF(LEFT($A194,3)="CAP","سرمایه و آورده صاحبان",IF(LEFT($A194,2)="SL","بارفروش",IF(LEFT($A194,2)="BD","باسکول دیگران",IF(LEFT($A194,1)="C","باغدار",IF(LEFT($A194,1)="S","فروشنده سبد/تأمین‌کننده",IF(LEFT($A194,1)="E","کارمند",IF(LEFT($A194,1)="X","سایر حساب",IF(LEFT($A194,1)="F","دارایی ثابت",IF(LEFT($A194,1)="L","وام و تسهیلات",""))))))))))</f>
        <v/>
      </c>
      <c r="L194" s="65" t="n"/>
      <c r="M194">
        <f>IF(OR($B194="",$A194=""),"",IF(OR($B194=$K194,AND(LEFT($A194,1)="S",OR($B194="فروشنده سبد",$B194="تأمین‌کننده")),AND(LEFT($A194,2)="BD",$B194="باسکول دیگران")),"✓","⚠"))</f>
        <v/>
      </c>
    </row>
    <row r="195" ht="21" customHeight="1">
      <c r="A195" s="67" t="inlineStr">
        <is>
          <t>SL021</t>
        </is>
      </c>
      <c r="B195" s="64" t="n"/>
      <c r="C195" s="65" t="n"/>
      <c r="D195" s="65" t="n"/>
      <c r="E195" s="65" t="n"/>
      <c r="F195" s="65" t="n"/>
      <c r="G195" s="65" t="n"/>
      <c r="H195" s="143" t="n">
        <v>0</v>
      </c>
      <c r="I195" s="64" t="n"/>
      <c r="J195" s="64" t="n"/>
      <c r="K195">
        <f>IF($A195="","",IF(LEFT($A195,3)="CAP","سرمایه و آورده صاحبان",IF(LEFT($A195,2)="SL","بارفروش",IF(LEFT($A195,2)="BD","باسکول دیگران",IF(LEFT($A195,1)="C","باغدار",IF(LEFT($A195,1)="S","فروشنده سبد/تأمین‌کننده",IF(LEFT($A195,1)="E","کارمند",IF(LEFT($A195,1)="X","سایر حساب",IF(LEFT($A195,1)="F","دارایی ثابت",IF(LEFT($A195,1)="L","وام و تسهیلات",""))))))))))</f>
        <v/>
      </c>
      <c r="L195" s="65" t="n"/>
      <c r="M195">
        <f>IF(OR($B195="",$A195=""),"",IF(OR($B195=$K195,AND(LEFT($A195,1)="S",OR($B195="فروشنده سبد",$B195="تأمین‌کننده")),AND(LEFT($A195,2)="BD",$B195="باسکول دیگران")),"✓","⚠"))</f>
        <v/>
      </c>
    </row>
    <row r="196" ht="21" customHeight="1">
      <c r="A196" s="67" t="inlineStr">
        <is>
          <t>SL022</t>
        </is>
      </c>
      <c r="B196" s="64" t="n"/>
      <c r="C196" s="65" t="n"/>
      <c r="D196" s="65" t="n"/>
      <c r="E196" s="65" t="n"/>
      <c r="F196" s="65" t="n"/>
      <c r="G196" s="65" t="n"/>
      <c r="H196" s="143" t="n">
        <v>0</v>
      </c>
      <c r="I196" s="64" t="n"/>
      <c r="J196" s="64" t="n"/>
      <c r="K196">
        <f>IF($A196="","",IF(LEFT($A196,3)="CAP","سرمایه و آورده صاحبان",IF(LEFT($A196,2)="SL","بارفروش",IF(LEFT($A196,2)="BD","باسکول دیگران",IF(LEFT($A196,1)="C","باغدار",IF(LEFT($A196,1)="S","فروشنده سبد/تأمین‌کننده",IF(LEFT($A196,1)="E","کارمند",IF(LEFT($A196,1)="X","سایر حساب",IF(LEFT($A196,1)="F","دارایی ثابت",IF(LEFT($A196,1)="L","وام و تسهیلات",""))))))))))</f>
        <v/>
      </c>
      <c r="L196" s="65" t="n"/>
      <c r="M196">
        <f>IF(OR($B196="",$A196=""),"",IF(OR($B196=$K196,AND(LEFT($A196,1)="S",OR($B196="فروشنده سبد",$B196="تأمین‌کننده")),AND(LEFT($A196,2)="BD",$B196="باسکول دیگران")),"✓","⚠"))</f>
        <v/>
      </c>
    </row>
    <row r="197" ht="21" customHeight="1">
      <c r="A197" s="67" t="inlineStr">
        <is>
          <t>SL023</t>
        </is>
      </c>
      <c r="B197" s="64" t="n"/>
      <c r="C197" s="65" t="n"/>
      <c r="D197" s="65" t="n"/>
      <c r="E197" s="65" t="n"/>
      <c r="F197" s="65" t="n"/>
      <c r="G197" s="65" t="n"/>
      <c r="H197" s="143" t="n">
        <v>0</v>
      </c>
      <c r="I197" s="64" t="n"/>
      <c r="J197" s="64" t="n"/>
      <c r="K197">
        <f>IF($A197="","",IF(LEFT($A197,3)="CAP","سرمایه و آورده صاحبان",IF(LEFT($A197,2)="SL","بارفروش",IF(LEFT($A197,2)="BD","باسکول دیگران",IF(LEFT($A197,1)="C","باغدار",IF(LEFT($A197,1)="S","فروشنده سبد/تأمین‌کننده",IF(LEFT($A197,1)="E","کارمند",IF(LEFT($A197,1)="X","سایر حساب",IF(LEFT($A197,1)="F","دارایی ثابت",IF(LEFT($A197,1)="L","وام و تسهیلات",""))))))))))</f>
        <v/>
      </c>
      <c r="L197" s="65" t="n"/>
      <c r="M197">
        <f>IF(OR($B197="",$A197=""),"",IF(OR($B197=$K197,AND(LEFT($A197,1)="S",OR($B197="فروشنده سبد",$B197="تأمین‌کننده")),AND(LEFT($A197,2)="BD",$B197="باسکول دیگران")),"✓","⚠"))</f>
        <v/>
      </c>
    </row>
    <row r="198" ht="21" customHeight="1">
      <c r="A198" s="67" t="inlineStr">
        <is>
          <t>SL024</t>
        </is>
      </c>
      <c r="B198" s="64" t="n"/>
      <c r="C198" s="65" t="n"/>
      <c r="D198" s="65" t="n"/>
      <c r="E198" s="65" t="n"/>
      <c r="F198" s="65" t="n"/>
      <c r="G198" s="65" t="n"/>
      <c r="H198" s="143" t="n">
        <v>0</v>
      </c>
      <c r="I198" s="64" t="n"/>
      <c r="J198" s="64" t="n"/>
      <c r="K198">
        <f>IF($A198="","",IF(LEFT($A198,3)="CAP","سرمایه و آورده صاحبان",IF(LEFT($A198,2)="SL","بارفروش",IF(LEFT($A198,2)="BD","باسکول دیگران",IF(LEFT($A198,1)="C","باغدار",IF(LEFT($A198,1)="S","فروشنده سبد/تأمین‌کننده",IF(LEFT($A198,1)="E","کارمند",IF(LEFT($A198,1)="X","سایر حساب",IF(LEFT($A198,1)="F","دارایی ثابت",IF(LEFT($A198,1)="L","وام و تسهیلات",""))))))))))</f>
        <v/>
      </c>
      <c r="L198" s="65" t="n"/>
      <c r="M198">
        <f>IF(OR($B198="",$A198=""),"",IF(OR($B198=$K198,AND(LEFT($A198,1)="S",OR($B198="فروشنده سبد",$B198="تأمین‌کننده")),AND(LEFT($A198,2)="BD",$B198="باسکول دیگران")),"✓","⚠"))</f>
        <v/>
      </c>
    </row>
    <row r="199" ht="21" customHeight="1">
      <c r="A199" s="67" t="inlineStr">
        <is>
          <t>SL025</t>
        </is>
      </c>
      <c r="B199" s="64" t="n"/>
      <c r="C199" s="65" t="n"/>
      <c r="D199" s="65" t="n"/>
      <c r="E199" s="65" t="n"/>
      <c r="F199" s="65" t="n"/>
      <c r="G199" s="65" t="n"/>
      <c r="H199" s="143" t="n">
        <v>0</v>
      </c>
      <c r="I199" s="64" t="n"/>
      <c r="J199" s="64" t="n"/>
      <c r="K199">
        <f>IF($A199="","",IF(LEFT($A199,3)="CAP","سرمایه و آورده صاحبان",IF(LEFT($A199,2)="SL","بارفروش",IF(LEFT($A199,2)="BD","باسکول دیگران",IF(LEFT($A199,1)="C","باغدار",IF(LEFT($A199,1)="S","فروشنده سبد/تأمین‌کننده",IF(LEFT($A199,1)="E","کارمند",IF(LEFT($A199,1)="X","سایر حساب",IF(LEFT($A199,1)="F","دارایی ثابت",IF(LEFT($A199,1)="L","وام و تسهیلات",""))))))))))</f>
        <v/>
      </c>
      <c r="L199" s="65" t="n"/>
      <c r="M199">
        <f>IF(OR($B199="",$A199=""),"",IF(OR($B199=$K199,AND(LEFT($A199,1)="S",OR($B199="فروشنده سبد",$B199="تأمین‌کننده")),AND(LEFT($A199,2)="BD",$B199="باسکول دیگران")),"✓","⚠"))</f>
        <v/>
      </c>
    </row>
    <row r="200" ht="21" customHeight="1">
      <c r="A200" s="67" t="inlineStr">
        <is>
          <t>SL026</t>
        </is>
      </c>
      <c r="B200" s="64" t="n"/>
      <c r="C200" s="65" t="n"/>
      <c r="D200" s="65" t="n"/>
      <c r="E200" s="65" t="n"/>
      <c r="F200" s="65" t="n"/>
      <c r="G200" s="65" t="n"/>
      <c r="H200" s="143" t="n">
        <v>0</v>
      </c>
      <c r="I200" s="64" t="n"/>
      <c r="J200" s="64" t="n"/>
      <c r="K200">
        <f>IF($A200="","",IF(LEFT($A200,3)="CAP","سرمایه و آورده صاحبان",IF(LEFT($A200,2)="SL","بارفروش",IF(LEFT($A200,2)="BD","باسکول دیگران",IF(LEFT($A200,1)="C","باغدار",IF(LEFT($A200,1)="S","فروشنده سبد/تأمین‌کننده",IF(LEFT($A200,1)="E","کارمند",IF(LEFT($A200,1)="X","سایر حساب",IF(LEFT($A200,1)="F","دارایی ثابت",IF(LEFT($A200,1)="L","وام و تسهیلات",""))))))))))</f>
        <v/>
      </c>
      <c r="L200" s="65" t="n"/>
      <c r="M200">
        <f>IF(OR($B200="",$A200=""),"",IF(OR($B200=$K200,AND(LEFT($A200,1)="S",OR($B200="فروشنده سبد",$B200="تأمین‌کننده")),AND(LEFT($A200,2)="BD",$B200="باسکول دیگران")),"✓","⚠"))</f>
        <v/>
      </c>
    </row>
    <row r="201" ht="21" customHeight="1">
      <c r="A201" s="67" t="inlineStr">
        <is>
          <t>SL027</t>
        </is>
      </c>
      <c r="B201" s="64" t="n"/>
      <c r="C201" s="65" t="n"/>
      <c r="D201" s="65" t="n"/>
      <c r="E201" s="65" t="n"/>
      <c r="F201" s="65" t="n"/>
      <c r="G201" s="65" t="n"/>
      <c r="H201" s="143" t="n">
        <v>0</v>
      </c>
      <c r="I201" s="64" t="n"/>
      <c r="J201" s="64" t="n"/>
      <c r="K201">
        <f>IF($A201="","",IF(LEFT($A201,3)="CAP","سرمایه و آورده صاحبان",IF(LEFT($A201,2)="SL","بارفروش",IF(LEFT($A201,2)="BD","باسکول دیگران",IF(LEFT($A201,1)="C","باغدار",IF(LEFT($A201,1)="S","فروشنده سبد/تأمین‌کننده",IF(LEFT($A201,1)="E","کارمند",IF(LEFT($A201,1)="X","سایر حساب",IF(LEFT($A201,1)="F","دارایی ثابت",IF(LEFT($A201,1)="L","وام و تسهیلات",""))))))))))</f>
        <v/>
      </c>
      <c r="L201" s="65" t="n"/>
      <c r="M201">
        <f>IF(OR($B201="",$A201=""),"",IF(OR($B201=$K201,AND(LEFT($A201,1)="S",OR($B201="فروشنده سبد",$B201="تأمین‌کننده")),AND(LEFT($A201,2)="BD",$B201="باسکول دیگران")),"✓","⚠"))</f>
        <v/>
      </c>
    </row>
    <row r="202" ht="21" customHeight="1">
      <c r="A202" s="67" t="inlineStr">
        <is>
          <t>SL028</t>
        </is>
      </c>
      <c r="B202" s="64" t="n"/>
      <c r="C202" s="65" t="n"/>
      <c r="D202" s="65" t="n"/>
      <c r="E202" s="65" t="n"/>
      <c r="F202" s="65" t="n"/>
      <c r="G202" s="65" t="n"/>
      <c r="H202" s="143" t="n">
        <v>0</v>
      </c>
      <c r="I202" s="64" t="n"/>
      <c r="J202" s="64" t="n"/>
      <c r="K202">
        <f>IF($A202="","",IF(LEFT($A202,3)="CAP","سرمایه و آورده صاحبان",IF(LEFT($A202,2)="SL","بارفروش",IF(LEFT($A202,2)="BD","باسکول دیگران",IF(LEFT($A202,1)="C","باغدار",IF(LEFT($A202,1)="S","فروشنده سبد/تأمین‌کننده",IF(LEFT($A202,1)="E","کارمند",IF(LEFT($A202,1)="X","سایر حساب",IF(LEFT($A202,1)="F","دارایی ثابت",IF(LEFT($A202,1)="L","وام و تسهیلات",""))))))))))</f>
        <v/>
      </c>
      <c r="L202" s="65" t="n"/>
      <c r="M202">
        <f>IF(OR($B202="",$A202=""),"",IF(OR($B202=$K202,AND(LEFT($A202,1)="S",OR($B202="فروشنده سبد",$B202="تأمین‌کننده")),AND(LEFT($A202,2)="BD",$B202="باسکول دیگران")),"✓","⚠"))</f>
        <v/>
      </c>
    </row>
    <row r="203" ht="21" customHeight="1">
      <c r="A203" s="67" t="inlineStr">
        <is>
          <t>SL029</t>
        </is>
      </c>
      <c r="B203" s="64" t="n"/>
      <c r="C203" s="65" t="n"/>
      <c r="D203" s="65" t="n"/>
      <c r="E203" s="65" t="n"/>
      <c r="F203" s="65" t="n"/>
      <c r="G203" s="65" t="n"/>
      <c r="H203" s="143" t="n">
        <v>0</v>
      </c>
      <c r="I203" s="64" t="n"/>
      <c r="J203" s="64" t="n"/>
      <c r="K203">
        <f>IF($A203="","",IF(LEFT($A203,3)="CAP","سرمایه و آورده صاحبان",IF(LEFT($A203,2)="SL","بارفروش",IF(LEFT($A203,2)="BD","باسکول دیگران",IF(LEFT($A203,1)="C","باغدار",IF(LEFT($A203,1)="S","فروشنده سبد/تأمین‌کننده",IF(LEFT($A203,1)="E","کارمند",IF(LEFT($A203,1)="X","سایر حساب",IF(LEFT($A203,1)="F","دارایی ثابت",IF(LEFT($A203,1)="L","وام و تسهیلات",""))))))))))</f>
        <v/>
      </c>
      <c r="L203" s="65" t="n"/>
      <c r="M203">
        <f>IF(OR($B203="",$A203=""),"",IF(OR($B203=$K203,AND(LEFT($A203,1)="S",OR($B203="فروشنده سبد",$B203="تأمین‌کننده")),AND(LEFT($A203,2)="BD",$B203="باسکول دیگران")),"✓","⚠"))</f>
        <v/>
      </c>
    </row>
    <row r="204" ht="21" customHeight="1">
      <c r="A204" s="67" t="inlineStr">
        <is>
          <t>SL030</t>
        </is>
      </c>
      <c r="B204" s="64" t="n"/>
      <c r="C204" s="65" t="n"/>
      <c r="D204" s="65" t="n"/>
      <c r="E204" s="65" t="n"/>
      <c r="F204" s="65" t="n"/>
      <c r="G204" s="65" t="n"/>
      <c r="H204" s="143" t="n">
        <v>0</v>
      </c>
      <c r="I204" s="64" t="n"/>
      <c r="J204" s="64" t="n"/>
      <c r="K204">
        <f>IF($A204="","",IF(LEFT($A204,3)="CAP","سرمایه و آورده صاحبان",IF(LEFT($A204,2)="SL","بارفروش",IF(LEFT($A204,2)="BD","باسکول دیگران",IF(LEFT($A204,1)="C","باغدار",IF(LEFT($A204,1)="S","فروشنده سبد/تأمین‌کننده",IF(LEFT($A204,1)="E","کارمند",IF(LEFT($A204,1)="X","سایر حساب",IF(LEFT($A204,1)="F","دارایی ثابت",IF(LEFT($A204,1)="L","وام و تسهیلات",""))))))))))</f>
        <v/>
      </c>
      <c r="L204" s="65" t="n"/>
      <c r="M204">
        <f>IF(OR($B204="",$A204=""),"",IF(OR($B204=$K204,AND(LEFT($A204,1)="S",OR($B204="فروشنده سبد",$B204="تأمین‌کننده")),AND(LEFT($A204,2)="BD",$B204="باسکول دیگران")),"✓","⚠"))</f>
        <v/>
      </c>
    </row>
    <row r="205" ht="21" customHeight="1">
      <c r="A205" s="67" t="inlineStr">
        <is>
          <t>S004</t>
        </is>
      </c>
      <c r="B205" s="64" t="n"/>
      <c r="C205" s="65" t="n"/>
      <c r="D205" s="65" t="n"/>
      <c r="E205" s="65" t="n"/>
      <c r="F205" s="65" t="n"/>
      <c r="G205" s="65" t="n"/>
      <c r="H205" s="143" t="n">
        <v>0</v>
      </c>
      <c r="I205" s="64" t="n"/>
      <c r="J205" s="64" t="n"/>
      <c r="K205">
        <f>IF($A205="","",IF(LEFT($A205,3)="CAP","سرمایه و آورده صاحبان",IF(LEFT($A205,2)="SL","بارفروش",IF(LEFT($A205,2)="BD","باسکول دیگران",IF(LEFT($A205,1)="C","باغدار",IF(LEFT($A205,1)="S","فروشنده سبد/تأمین‌کننده",IF(LEFT($A205,1)="E","کارمند",IF(LEFT($A205,1)="X","سایر حساب",IF(LEFT($A205,1)="F","دارایی ثابت",IF(LEFT($A205,1)="L","وام و تسهیلات",""))))))))))</f>
        <v/>
      </c>
      <c r="L205" s="65" t="n"/>
      <c r="M205">
        <f>IF(OR($B205="",$A205=""),"",IF(OR($B205=$K205,AND(LEFT($A205,1)="S",OR($B205="فروشنده سبد",$B205="تأمین‌کننده")),AND(LEFT($A205,2)="BD",$B205="باسکول دیگران")),"✓","⚠"))</f>
        <v/>
      </c>
    </row>
    <row r="206" ht="21" customHeight="1">
      <c r="A206" s="67" t="inlineStr">
        <is>
          <t>S005</t>
        </is>
      </c>
      <c r="B206" s="64" t="n"/>
      <c r="C206" s="65" t="n"/>
      <c r="D206" s="65" t="n"/>
      <c r="E206" s="65" t="n"/>
      <c r="F206" s="65" t="n"/>
      <c r="G206" s="65" t="n"/>
      <c r="H206" s="143" t="n">
        <v>0</v>
      </c>
      <c r="I206" s="64" t="n"/>
      <c r="J206" s="64" t="n"/>
      <c r="K206">
        <f>IF($A206="","",IF(LEFT($A206,3)="CAP","سرمایه و آورده صاحبان",IF(LEFT($A206,2)="SL","بارفروش",IF(LEFT($A206,2)="BD","باسکول دیگران",IF(LEFT($A206,1)="C","باغدار",IF(LEFT($A206,1)="S","فروشنده سبد/تأمین‌کننده",IF(LEFT($A206,1)="E","کارمند",IF(LEFT($A206,1)="X","سایر حساب",IF(LEFT($A206,1)="F","دارایی ثابت",IF(LEFT($A206,1)="L","وام و تسهیلات",""))))))))))</f>
        <v/>
      </c>
      <c r="L206" s="65" t="n"/>
      <c r="M206">
        <f>IF(OR($B206="",$A206=""),"",IF(OR($B206=$K206,AND(LEFT($A206,1)="S",OR($B206="فروشنده سبد",$B206="تأمین‌کننده")),AND(LEFT($A206,2)="BD",$B206="باسکول دیگران")),"✓","⚠"))</f>
        <v/>
      </c>
    </row>
    <row r="207" ht="21" customHeight="1">
      <c r="A207" s="67" t="inlineStr">
        <is>
          <t>S006</t>
        </is>
      </c>
      <c r="B207" s="64" t="n"/>
      <c r="C207" s="65" t="n"/>
      <c r="D207" s="65" t="n"/>
      <c r="E207" s="65" t="n"/>
      <c r="F207" s="65" t="n"/>
      <c r="G207" s="65" t="n"/>
      <c r="H207" s="143" t="n">
        <v>0</v>
      </c>
      <c r="I207" s="64" t="n"/>
      <c r="J207" s="64" t="n"/>
      <c r="K207">
        <f>IF($A207="","",IF(LEFT($A207,3)="CAP","سرمایه و آورده صاحبان",IF(LEFT($A207,2)="SL","بارفروش",IF(LEFT($A207,2)="BD","باسکول دیگران",IF(LEFT($A207,1)="C","باغدار",IF(LEFT($A207,1)="S","فروشنده سبد/تأمین‌کننده",IF(LEFT($A207,1)="E","کارمند",IF(LEFT($A207,1)="X","سایر حساب",IF(LEFT($A207,1)="F","دارایی ثابت",IF(LEFT($A207,1)="L","وام و تسهیلات",""))))))))))</f>
        <v/>
      </c>
      <c r="L207" s="65" t="n"/>
      <c r="M207">
        <f>IF(OR($B207="",$A207=""),"",IF(OR($B207=$K207,AND(LEFT($A207,1)="S",OR($B207="فروشنده سبد",$B207="تأمین‌کننده")),AND(LEFT($A207,2)="BD",$B207="باسکول دیگران")),"✓","⚠"))</f>
        <v/>
      </c>
    </row>
    <row r="208" ht="21" customHeight="1">
      <c r="A208" s="67" t="inlineStr">
        <is>
          <t>S007</t>
        </is>
      </c>
      <c r="B208" s="64" t="n"/>
      <c r="C208" s="65" t="n"/>
      <c r="D208" s="65" t="n"/>
      <c r="E208" s="65" t="n"/>
      <c r="F208" s="65" t="n"/>
      <c r="G208" s="65" t="n"/>
      <c r="H208" s="143" t="n">
        <v>0</v>
      </c>
      <c r="I208" s="64" t="n"/>
      <c r="J208" s="64" t="n"/>
      <c r="K208">
        <f>IF($A208="","",IF(LEFT($A208,3)="CAP","سرمایه و آورده صاحبان",IF(LEFT($A208,2)="SL","بارفروش",IF(LEFT($A208,2)="BD","باسکول دیگران",IF(LEFT($A208,1)="C","باغدار",IF(LEFT($A208,1)="S","فروشنده سبد/تأمین‌کننده",IF(LEFT($A208,1)="E","کارمند",IF(LEFT($A208,1)="X","سایر حساب",IF(LEFT($A208,1)="F","دارایی ثابت",IF(LEFT($A208,1)="L","وام و تسهیلات",""))))))))))</f>
        <v/>
      </c>
      <c r="L208" s="65" t="n"/>
      <c r="M208">
        <f>IF(OR($B208="",$A208=""),"",IF(OR($B208=$K208,AND(LEFT($A208,1)="S",OR($B208="فروشنده سبد",$B208="تأمین‌کننده")),AND(LEFT($A208,2)="BD",$B208="باسکول دیگران")),"✓","⚠"))</f>
        <v/>
      </c>
    </row>
    <row r="209" ht="21" customHeight="1">
      <c r="A209" s="67" t="inlineStr">
        <is>
          <t>S008</t>
        </is>
      </c>
      <c r="B209" s="64" t="n"/>
      <c r="C209" s="65" t="n"/>
      <c r="D209" s="65" t="n"/>
      <c r="E209" s="65" t="n"/>
      <c r="F209" s="65" t="n"/>
      <c r="G209" s="65" t="n"/>
      <c r="H209" s="143" t="n">
        <v>0</v>
      </c>
      <c r="I209" s="64" t="n"/>
      <c r="J209" s="64" t="n"/>
      <c r="K209">
        <f>IF($A209="","",IF(LEFT($A209,3)="CAP","سرمایه و آورده صاحبان",IF(LEFT($A209,2)="SL","بارفروش",IF(LEFT($A209,2)="BD","باسکول دیگران",IF(LEFT($A209,1)="C","باغدار",IF(LEFT($A209,1)="S","فروشنده سبد/تأمین‌کننده",IF(LEFT($A209,1)="E","کارمند",IF(LEFT($A209,1)="X","سایر حساب",IF(LEFT($A209,1)="F","دارایی ثابت",IF(LEFT($A209,1)="L","وام و تسهیلات",""))))))))))</f>
        <v/>
      </c>
      <c r="L209" s="65" t="n"/>
      <c r="M209">
        <f>IF(OR($B209="",$A209=""),"",IF(OR($B209=$K209,AND(LEFT($A209,1)="S",OR($B209="فروشنده سبد",$B209="تأمین‌کننده")),AND(LEFT($A209,2)="BD",$B209="باسکول دیگران")),"✓","⚠"))</f>
        <v/>
      </c>
    </row>
    <row r="210" ht="21" customHeight="1">
      <c r="A210" s="67" t="inlineStr">
        <is>
          <t>S009</t>
        </is>
      </c>
      <c r="B210" s="64" t="n"/>
      <c r="C210" s="65" t="n"/>
      <c r="D210" s="65" t="n"/>
      <c r="E210" s="65" t="n"/>
      <c r="F210" s="65" t="n"/>
      <c r="G210" s="65" t="n"/>
      <c r="H210" s="143" t="n">
        <v>0</v>
      </c>
      <c r="I210" s="64" t="n"/>
      <c r="J210" s="64" t="n"/>
      <c r="K210">
        <f>IF($A210="","",IF(LEFT($A210,3)="CAP","سرمایه و آورده صاحبان",IF(LEFT($A210,2)="SL","بارفروش",IF(LEFT($A210,2)="BD","باسکول دیگران",IF(LEFT($A210,1)="C","باغدار",IF(LEFT($A210,1)="S","فروشنده سبد/تأمین‌کننده",IF(LEFT($A210,1)="E","کارمند",IF(LEFT($A210,1)="X","سایر حساب",IF(LEFT($A210,1)="F","دارایی ثابت",IF(LEFT($A210,1)="L","وام و تسهیلات",""))))))))))</f>
        <v/>
      </c>
      <c r="L210" s="65" t="n"/>
      <c r="M210">
        <f>IF(OR($B210="",$A210=""),"",IF(OR($B210=$K210,AND(LEFT($A210,1)="S",OR($B210="فروشنده سبد",$B210="تأمین‌کننده")),AND(LEFT($A210,2)="BD",$B210="باسکول دیگران")),"✓","⚠"))</f>
        <v/>
      </c>
    </row>
    <row r="211" ht="21" customHeight="1">
      <c r="A211" s="67" t="inlineStr">
        <is>
          <t>S010</t>
        </is>
      </c>
      <c r="B211" s="64" t="n"/>
      <c r="C211" s="65" t="n"/>
      <c r="D211" s="65" t="n"/>
      <c r="E211" s="65" t="n"/>
      <c r="F211" s="65" t="n"/>
      <c r="G211" s="65" t="n"/>
      <c r="H211" s="143" t="n">
        <v>0</v>
      </c>
      <c r="I211" s="64" t="n"/>
      <c r="J211" s="64" t="n"/>
      <c r="K211">
        <f>IF($A211="","",IF(LEFT($A211,3)="CAP","سرمایه و آورده صاحبان",IF(LEFT($A211,2)="SL","بارفروش",IF(LEFT($A211,2)="BD","باسکول دیگران",IF(LEFT($A211,1)="C","باغدار",IF(LEFT($A211,1)="S","فروشنده سبد/تأمین‌کننده",IF(LEFT($A211,1)="E","کارمند",IF(LEFT($A211,1)="X","سایر حساب",IF(LEFT($A211,1)="F","دارایی ثابت",IF(LEFT($A211,1)="L","وام و تسهیلات",""))))))))))</f>
        <v/>
      </c>
      <c r="L211" s="65" t="n"/>
      <c r="M211">
        <f>IF(OR($B211="",$A211=""),"",IF(OR($B211=$K211,AND(LEFT($A211,1)="S",OR($B211="فروشنده سبد",$B211="تأمین‌کننده")),AND(LEFT($A211,2)="BD",$B211="باسکول دیگران")),"✓","⚠"))</f>
        <v/>
      </c>
    </row>
    <row r="212" ht="21" customHeight="1">
      <c r="A212" s="67" t="inlineStr">
        <is>
          <t>S011</t>
        </is>
      </c>
      <c r="B212" s="64" t="n"/>
      <c r="C212" s="65" t="n"/>
      <c r="D212" s="65" t="n"/>
      <c r="E212" s="65" t="n"/>
      <c r="F212" s="65" t="n"/>
      <c r="G212" s="65" t="n"/>
      <c r="H212" s="143" t="n">
        <v>0</v>
      </c>
      <c r="I212" s="64" t="n"/>
      <c r="J212" s="64" t="n"/>
      <c r="K212">
        <f>IF($A212="","",IF(LEFT($A212,3)="CAP","سرمایه و آورده صاحبان",IF(LEFT($A212,2)="SL","بارفروش",IF(LEFT($A212,2)="BD","باسکول دیگران",IF(LEFT($A212,1)="C","باغدار",IF(LEFT($A212,1)="S","فروشنده سبد/تأمین‌کننده",IF(LEFT($A212,1)="E","کارمند",IF(LEFT($A212,1)="X","سایر حساب",IF(LEFT($A212,1)="F","دارایی ثابت",IF(LEFT($A212,1)="L","وام و تسهیلات",""))))))))))</f>
        <v/>
      </c>
      <c r="L212" s="65" t="n"/>
      <c r="M212">
        <f>IF(OR($B212="",$A212=""),"",IF(OR($B212=$K212,AND(LEFT($A212,1)="S",OR($B212="فروشنده سبد",$B212="تأمین‌کننده")),AND(LEFT($A212,2)="BD",$B212="باسکول دیگران")),"✓","⚠"))</f>
        <v/>
      </c>
    </row>
    <row r="213" ht="21" customHeight="1">
      <c r="A213" s="67" t="inlineStr">
        <is>
          <t>S012</t>
        </is>
      </c>
      <c r="B213" s="64" t="n"/>
      <c r="C213" s="65" t="n"/>
      <c r="D213" s="65" t="n"/>
      <c r="E213" s="65" t="n"/>
      <c r="F213" s="65" t="n"/>
      <c r="G213" s="65" t="n"/>
      <c r="H213" s="143" t="n">
        <v>0</v>
      </c>
      <c r="I213" s="64" t="n"/>
      <c r="J213" s="64" t="n"/>
      <c r="K213">
        <f>IF($A213="","",IF(LEFT($A213,3)="CAP","سرمایه و آورده صاحبان",IF(LEFT($A213,2)="SL","بارفروش",IF(LEFT($A213,2)="BD","باسکول دیگران",IF(LEFT($A213,1)="C","باغدار",IF(LEFT($A213,1)="S","فروشنده سبد/تأمین‌کننده",IF(LEFT($A213,1)="E","کارمند",IF(LEFT($A213,1)="X","سایر حساب",IF(LEFT($A213,1)="F","دارایی ثابت",IF(LEFT($A213,1)="L","وام و تسهیلات",""))))))))))</f>
        <v/>
      </c>
      <c r="L213" s="65" t="n"/>
      <c r="M213">
        <f>IF(OR($B213="",$A213=""),"",IF(OR($B213=$K213,AND(LEFT($A213,1)="S",OR($B213="فروشنده سبد",$B213="تأمین‌کننده")),AND(LEFT($A213,2)="BD",$B213="باسکول دیگران")),"✓","⚠"))</f>
        <v/>
      </c>
    </row>
    <row r="214" ht="21" customHeight="1">
      <c r="A214" s="67" t="inlineStr">
        <is>
          <t>S013</t>
        </is>
      </c>
      <c r="B214" s="64" t="n"/>
      <c r="C214" s="65" t="n"/>
      <c r="D214" s="65" t="n"/>
      <c r="E214" s="65" t="n"/>
      <c r="F214" s="65" t="n"/>
      <c r="G214" s="65" t="n"/>
      <c r="H214" s="143" t="n">
        <v>0</v>
      </c>
      <c r="I214" s="64" t="n"/>
      <c r="J214" s="64" t="n"/>
      <c r="K214">
        <f>IF($A214="","",IF(LEFT($A214,3)="CAP","سرمایه و آورده صاحبان",IF(LEFT($A214,2)="SL","بارفروش",IF(LEFT($A214,2)="BD","باسکول دیگران",IF(LEFT($A214,1)="C","باغدار",IF(LEFT($A214,1)="S","فروشنده سبد/تأمین‌کننده",IF(LEFT($A214,1)="E","کارمند",IF(LEFT($A214,1)="X","سایر حساب",IF(LEFT($A214,1)="F","دارایی ثابت",IF(LEFT($A214,1)="L","وام و تسهیلات",""))))))))))</f>
        <v/>
      </c>
      <c r="L214" s="65" t="n"/>
      <c r="M214">
        <f>IF(OR($B214="",$A214=""),"",IF(OR($B214=$K214,AND(LEFT($A214,1)="S",OR($B214="فروشنده سبد",$B214="تأمین‌کننده")),AND(LEFT($A214,2)="BD",$B214="باسکول دیگران")),"✓","⚠"))</f>
        <v/>
      </c>
    </row>
    <row r="215" ht="21" customHeight="1">
      <c r="A215" s="67" t="inlineStr">
        <is>
          <t>S014</t>
        </is>
      </c>
      <c r="B215" s="64" t="n"/>
      <c r="C215" s="65" t="n"/>
      <c r="D215" s="65" t="n"/>
      <c r="E215" s="65" t="n"/>
      <c r="F215" s="65" t="n"/>
      <c r="G215" s="65" t="n"/>
      <c r="H215" s="143" t="n">
        <v>0</v>
      </c>
      <c r="I215" s="64" t="n"/>
      <c r="J215" s="64" t="n"/>
      <c r="K215">
        <f>IF($A215="","",IF(LEFT($A215,3)="CAP","سرمایه و آورده صاحبان",IF(LEFT($A215,2)="SL","بارفروش",IF(LEFT($A215,2)="BD","باسکول دیگران",IF(LEFT($A215,1)="C","باغدار",IF(LEFT($A215,1)="S","فروشنده سبد/تأمین‌کننده",IF(LEFT($A215,1)="E","کارمند",IF(LEFT($A215,1)="X","سایر حساب",IF(LEFT($A215,1)="F","دارایی ثابت",IF(LEFT($A215,1)="L","وام و تسهیلات",""))))))))))</f>
        <v/>
      </c>
      <c r="L215" s="65" t="n"/>
      <c r="M215">
        <f>IF(OR($B215="",$A215=""),"",IF(OR($B215=$K215,AND(LEFT($A215,1)="S",OR($B215="فروشنده سبد",$B215="تأمین‌کننده")),AND(LEFT($A215,2)="BD",$B215="باسکول دیگران")),"✓","⚠"))</f>
        <v/>
      </c>
    </row>
    <row r="216" ht="21" customHeight="1">
      <c r="A216" s="67" t="inlineStr">
        <is>
          <t>S015</t>
        </is>
      </c>
      <c r="B216" s="64" t="n"/>
      <c r="C216" s="65" t="n"/>
      <c r="D216" s="65" t="n"/>
      <c r="E216" s="65" t="n"/>
      <c r="F216" s="65" t="n"/>
      <c r="G216" s="65" t="n"/>
      <c r="H216" s="143" t="n">
        <v>0</v>
      </c>
      <c r="I216" s="64" t="n"/>
      <c r="J216" s="64" t="n"/>
      <c r="K216">
        <f>IF($A216="","",IF(LEFT($A216,3)="CAP","سرمایه و آورده صاحبان",IF(LEFT($A216,2)="SL","بارفروش",IF(LEFT($A216,2)="BD","باسکول دیگران",IF(LEFT($A216,1)="C","باغدار",IF(LEFT($A216,1)="S","فروشنده سبد/تأمین‌کننده",IF(LEFT($A216,1)="E","کارمند",IF(LEFT($A216,1)="X","سایر حساب",IF(LEFT($A216,1)="F","دارایی ثابت",IF(LEFT($A216,1)="L","وام و تسهیلات",""))))))))))</f>
        <v/>
      </c>
      <c r="L216" s="65" t="n"/>
      <c r="M216">
        <f>IF(OR($B216="",$A216=""),"",IF(OR($B216=$K216,AND(LEFT($A216,1)="S",OR($B216="فروشنده سبد",$B216="تأمین‌کننده")),AND(LEFT($A216,2)="BD",$B216="باسکول دیگران")),"✓","⚠"))</f>
        <v/>
      </c>
    </row>
    <row r="217" ht="21" customHeight="1">
      <c r="A217" s="67" t="inlineStr">
        <is>
          <t>S016</t>
        </is>
      </c>
      <c r="B217" s="64" t="n"/>
      <c r="C217" s="65" t="n"/>
      <c r="D217" s="65" t="n"/>
      <c r="E217" s="65" t="n"/>
      <c r="F217" s="65" t="n"/>
      <c r="G217" s="65" t="n"/>
      <c r="H217" s="143" t="n">
        <v>0</v>
      </c>
      <c r="I217" s="64" t="n"/>
      <c r="J217" s="64" t="n"/>
      <c r="K217">
        <f>IF($A217="","",IF(LEFT($A217,3)="CAP","سرمایه و آورده صاحبان",IF(LEFT($A217,2)="SL","بارفروش",IF(LEFT($A217,2)="BD","باسکول دیگران",IF(LEFT($A217,1)="C","باغدار",IF(LEFT($A217,1)="S","فروشنده سبد/تأمین‌کننده",IF(LEFT($A217,1)="E","کارمند",IF(LEFT($A217,1)="X","سایر حساب",IF(LEFT($A217,1)="F","دارایی ثابت",IF(LEFT($A217,1)="L","وام و تسهیلات",""))))))))))</f>
        <v/>
      </c>
      <c r="L217" s="65" t="n"/>
      <c r="M217">
        <f>IF(OR($B217="",$A217=""),"",IF(OR($B217=$K217,AND(LEFT($A217,1)="S",OR($B217="فروشنده سبد",$B217="تأمین‌کننده")),AND(LEFT($A217,2)="BD",$B217="باسکول دیگران")),"✓","⚠"))</f>
        <v/>
      </c>
    </row>
    <row r="218" ht="21" customHeight="1">
      <c r="A218" s="67" t="inlineStr">
        <is>
          <t>S017</t>
        </is>
      </c>
      <c r="B218" s="64" t="n"/>
      <c r="C218" s="65" t="n"/>
      <c r="D218" s="65" t="n"/>
      <c r="E218" s="65" t="n"/>
      <c r="F218" s="65" t="n"/>
      <c r="G218" s="65" t="n"/>
      <c r="H218" s="143" t="n">
        <v>0</v>
      </c>
      <c r="I218" s="64" t="n"/>
      <c r="J218" s="64" t="n"/>
      <c r="K218">
        <f>IF($A218="","",IF(LEFT($A218,3)="CAP","سرمایه و آورده صاحبان",IF(LEFT($A218,2)="SL","بارفروش",IF(LEFT($A218,2)="BD","باسکول دیگران",IF(LEFT($A218,1)="C","باغدار",IF(LEFT($A218,1)="S","فروشنده سبد/تأمین‌کننده",IF(LEFT($A218,1)="E","کارمند",IF(LEFT($A218,1)="X","سایر حساب",IF(LEFT($A218,1)="F","دارایی ثابت",IF(LEFT($A218,1)="L","وام و تسهیلات",""))))))))))</f>
        <v/>
      </c>
      <c r="L218" s="65" t="n"/>
      <c r="M218">
        <f>IF(OR($B218="",$A218=""),"",IF(OR($B218=$K218,AND(LEFT($A218,1)="S",OR($B218="فروشنده سبد",$B218="تأمین‌کننده")),AND(LEFT($A218,2)="BD",$B218="باسکول دیگران")),"✓","⚠"))</f>
        <v/>
      </c>
    </row>
    <row r="219" ht="21" customHeight="1">
      <c r="A219" s="67" t="inlineStr">
        <is>
          <t>S018</t>
        </is>
      </c>
      <c r="B219" s="64" t="n"/>
      <c r="C219" s="65" t="n"/>
      <c r="D219" s="65" t="n"/>
      <c r="E219" s="65" t="n"/>
      <c r="F219" s="65" t="n"/>
      <c r="G219" s="65" t="n"/>
      <c r="H219" s="143" t="n">
        <v>0</v>
      </c>
      <c r="I219" s="64" t="n"/>
      <c r="J219" s="64" t="n"/>
      <c r="K219">
        <f>IF($A219="","",IF(LEFT($A219,3)="CAP","سرمایه و آورده صاحبان",IF(LEFT($A219,2)="SL","بارفروش",IF(LEFT($A219,2)="BD","باسکول دیگران",IF(LEFT($A219,1)="C","باغدار",IF(LEFT($A219,1)="S","فروشنده سبد/تأمین‌کننده",IF(LEFT($A219,1)="E","کارمند",IF(LEFT($A219,1)="X","سایر حساب",IF(LEFT($A219,1)="F","دارایی ثابت",IF(LEFT($A219,1)="L","وام و تسهیلات",""))))))))))</f>
        <v/>
      </c>
      <c r="L219" s="65" t="n"/>
      <c r="M219">
        <f>IF(OR($B219="",$A219=""),"",IF(OR($B219=$K219,AND(LEFT($A219,1)="S",OR($B219="فروشنده سبد",$B219="تأمین‌کننده")),AND(LEFT($A219,2)="BD",$B219="باسکول دیگران")),"✓","⚠"))</f>
        <v/>
      </c>
    </row>
    <row r="220" ht="21" customHeight="1">
      <c r="A220" s="67" t="inlineStr">
        <is>
          <t>S019</t>
        </is>
      </c>
      <c r="B220" s="64" t="n"/>
      <c r="C220" s="65" t="n"/>
      <c r="D220" s="65" t="n"/>
      <c r="E220" s="65" t="n"/>
      <c r="F220" s="65" t="n"/>
      <c r="G220" s="65" t="n"/>
      <c r="H220" s="143" t="n">
        <v>0</v>
      </c>
      <c r="I220" s="64" t="n"/>
      <c r="J220" s="64" t="n"/>
      <c r="K220">
        <f>IF($A220="","",IF(LEFT($A220,3)="CAP","سرمایه و آورده صاحبان",IF(LEFT($A220,2)="SL","بارفروش",IF(LEFT($A220,2)="BD","باسکول دیگران",IF(LEFT($A220,1)="C","باغدار",IF(LEFT($A220,1)="S","فروشنده سبد/تأمین‌کننده",IF(LEFT($A220,1)="E","کارمند",IF(LEFT($A220,1)="X","سایر حساب",IF(LEFT($A220,1)="F","دارایی ثابت",IF(LEFT($A220,1)="L","وام و تسهیلات",""))))))))))</f>
        <v/>
      </c>
      <c r="L220" s="65" t="n"/>
      <c r="M220">
        <f>IF(OR($B220="",$A220=""),"",IF(OR($B220=$K220,AND(LEFT($A220,1)="S",OR($B220="فروشنده سبد",$B220="تأمین‌کننده")),AND(LEFT($A220,2)="BD",$B220="باسکول دیگران")),"✓","⚠"))</f>
        <v/>
      </c>
    </row>
    <row r="221" ht="21" customHeight="1">
      <c r="A221" s="67" t="inlineStr">
        <is>
          <t>S020</t>
        </is>
      </c>
      <c r="B221" s="64" t="n"/>
      <c r="C221" s="65" t="n"/>
      <c r="D221" s="65" t="n"/>
      <c r="E221" s="65" t="n"/>
      <c r="F221" s="65" t="n"/>
      <c r="G221" s="65" t="n"/>
      <c r="H221" s="143" t="n">
        <v>0</v>
      </c>
      <c r="I221" s="64" t="n"/>
      <c r="J221" s="64" t="n"/>
      <c r="K221">
        <f>IF($A221="","",IF(LEFT($A221,3)="CAP","سرمایه و آورده صاحبان",IF(LEFT($A221,2)="SL","بارفروش",IF(LEFT($A221,2)="BD","باسکول دیگران",IF(LEFT($A221,1)="C","باغدار",IF(LEFT($A221,1)="S","فروشنده سبد/تأمین‌کننده",IF(LEFT($A221,1)="E","کارمند",IF(LEFT($A221,1)="X","سایر حساب",IF(LEFT($A221,1)="F","دارایی ثابت",IF(LEFT($A221,1)="L","وام و تسهیلات",""))))))))))</f>
        <v/>
      </c>
      <c r="L221" s="65" t="n"/>
      <c r="M221">
        <f>IF(OR($B221="",$A221=""),"",IF(OR($B221=$K221,AND(LEFT($A221,1)="S",OR($B221="فروشنده سبد",$B221="تأمین‌کننده")),AND(LEFT($A221,2)="BD",$B221="باسکول دیگران")),"✓","⚠"))</f>
        <v/>
      </c>
    </row>
    <row r="222" ht="21" customHeight="1">
      <c r="A222" s="67" t="inlineStr">
        <is>
          <t>E007</t>
        </is>
      </c>
      <c r="B222" s="64" t="n"/>
      <c r="C222" s="65" t="n"/>
      <c r="D222" s="65" t="n"/>
      <c r="E222" s="65" t="n"/>
      <c r="F222" s="65" t="n"/>
      <c r="G222" s="65" t="n"/>
      <c r="H222" s="143" t="n">
        <v>0</v>
      </c>
      <c r="I222" s="64" t="n"/>
      <c r="J222" s="64" t="n"/>
      <c r="K222">
        <f>IF($A222="","",IF(LEFT($A222,3)="CAP","سرمایه و آورده صاحبان",IF(LEFT($A222,2)="SL","بارفروش",IF(LEFT($A222,2)="BD","باسکول دیگران",IF(LEFT($A222,1)="C","باغدار",IF(LEFT($A222,1)="S","فروشنده سبد/تأمین‌کننده",IF(LEFT($A222,1)="E","کارمند",IF(LEFT($A222,1)="X","سایر حساب",IF(LEFT($A222,1)="F","دارایی ثابت",IF(LEFT($A222,1)="L","وام و تسهیلات",""))))))))))</f>
        <v/>
      </c>
      <c r="L222" s="65" t="n"/>
      <c r="M222">
        <f>IF(OR($B222="",$A222=""),"",IF(OR($B222=$K222,AND(LEFT($A222,1)="S",OR($B222="فروشنده سبد",$B222="تأمین‌کننده")),AND(LEFT($A222,2)="BD",$B222="باسکول دیگران")),"✓","⚠"))</f>
        <v/>
      </c>
    </row>
    <row r="223" ht="21" customHeight="1">
      <c r="A223" s="67" t="inlineStr">
        <is>
          <t>E008</t>
        </is>
      </c>
      <c r="B223" s="64" t="n"/>
      <c r="C223" s="65" t="n"/>
      <c r="D223" s="65" t="n"/>
      <c r="E223" s="65" t="n"/>
      <c r="F223" s="65" t="n"/>
      <c r="G223" s="65" t="n"/>
      <c r="H223" s="143" t="n">
        <v>0</v>
      </c>
      <c r="I223" s="64" t="n"/>
      <c r="J223" s="64" t="n"/>
      <c r="K223">
        <f>IF($A223="","",IF(LEFT($A223,3)="CAP","سرمایه و آورده صاحبان",IF(LEFT($A223,2)="SL","بارفروش",IF(LEFT($A223,2)="BD","باسکول دیگران",IF(LEFT($A223,1)="C","باغدار",IF(LEFT($A223,1)="S","فروشنده سبد/تأمین‌کننده",IF(LEFT($A223,1)="E","کارمند",IF(LEFT($A223,1)="X","سایر حساب",IF(LEFT($A223,1)="F","دارایی ثابت",IF(LEFT($A223,1)="L","وام و تسهیلات",""))))))))))</f>
        <v/>
      </c>
      <c r="L223" s="65" t="n"/>
      <c r="M223">
        <f>IF(OR($B223="",$A223=""),"",IF(OR($B223=$K223,AND(LEFT($A223,1)="S",OR($B223="فروشنده سبد",$B223="تأمین‌کننده")),AND(LEFT($A223,2)="BD",$B223="باسکول دیگران")),"✓","⚠"))</f>
        <v/>
      </c>
    </row>
    <row r="224" ht="21" customHeight="1">
      <c r="A224" s="67" t="inlineStr">
        <is>
          <t>E009</t>
        </is>
      </c>
      <c r="B224" s="64" t="n"/>
      <c r="C224" s="65" t="n"/>
      <c r="D224" s="65" t="n"/>
      <c r="E224" s="65" t="n"/>
      <c r="F224" s="65" t="n"/>
      <c r="G224" s="65" t="n"/>
      <c r="H224" s="143" t="n">
        <v>0</v>
      </c>
      <c r="I224" s="64" t="n"/>
      <c r="J224" s="64" t="n"/>
      <c r="K224">
        <f>IF($A224="","",IF(LEFT($A224,3)="CAP","سرمایه و آورده صاحبان",IF(LEFT($A224,2)="SL","بارفروش",IF(LEFT($A224,2)="BD","باسکول دیگران",IF(LEFT($A224,1)="C","باغدار",IF(LEFT($A224,1)="S","فروشنده سبد/تأمین‌کننده",IF(LEFT($A224,1)="E","کارمند",IF(LEFT($A224,1)="X","سایر حساب",IF(LEFT($A224,1)="F","دارایی ثابت",IF(LEFT($A224,1)="L","وام و تسهیلات",""))))))))))</f>
        <v/>
      </c>
      <c r="L224" s="65" t="n"/>
      <c r="M224">
        <f>IF(OR($B224="",$A224=""),"",IF(OR($B224=$K224,AND(LEFT($A224,1)="S",OR($B224="فروشنده سبد",$B224="تأمین‌کننده")),AND(LEFT($A224,2)="BD",$B224="باسکول دیگران")),"✓","⚠"))</f>
        <v/>
      </c>
    </row>
    <row r="225" ht="21" customHeight="1">
      <c r="A225" s="67" t="inlineStr">
        <is>
          <t>E010</t>
        </is>
      </c>
      <c r="B225" s="64" t="n"/>
      <c r="C225" s="65" t="n"/>
      <c r="D225" s="65" t="n"/>
      <c r="E225" s="65" t="n"/>
      <c r="F225" s="65" t="n"/>
      <c r="G225" s="65" t="n"/>
      <c r="H225" s="143" t="n">
        <v>0</v>
      </c>
      <c r="I225" s="64" t="n"/>
      <c r="J225" s="64" t="n"/>
      <c r="K225">
        <f>IF($A225="","",IF(LEFT($A225,3)="CAP","سرمایه و آورده صاحبان",IF(LEFT($A225,2)="SL","بارفروش",IF(LEFT($A225,2)="BD","باسکول دیگران",IF(LEFT($A225,1)="C","باغدار",IF(LEFT($A225,1)="S","فروشنده سبد/تأمین‌کننده",IF(LEFT($A225,1)="E","کارمند",IF(LEFT($A225,1)="X","سایر حساب",IF(LEFT($A225,1)="F","دارایی ثابت",IF(LEFT($A225,1)="L","وام و تسهیلات",""))))))))))</f>
        <v/>
      </c>
      <c r="L225" s="65" t="n"/>
      <c r="M225">
        <f>IF(OR($B225="",$A225=""),"",IF(OR($B225=$K225,AND(LEFT($A225,1)="S",OR($B225="فروشنده سبد",$B225="تأمین‌کننده")),AND(LEFT($A225,2)="BD",$B225="باسکول دیگران")),"✓","⚠"))</f>
        <v/>
      </c>
    </row>
    <row r="226" ht="21" customHeight="1">
      <c r="A226" s="67" t="inlineStr">
        <is>
          <t>F004</t>
        </is>
      </c>
      <c r="B226" s="64" t="n"/>
      <c r="C226" s="65" t="n"/>
      <c r="D226" s="65" t="n"/>
      <c r="E226" s="65" t="n"/>
      <c r="F226" s="65" t="n"/>
      <c r="G226" s="65" t="n"/>
      <c r="H226" s="143" t="n">
        <v>0</v>
      </c>
      <c r="I226" s="64" t="n"/>
      <c r="J226" s="64" t="n"/>
      <c r="K226">
        <f>IF($A226="","",IF(LEFT($A226,3)="CAP","سرمایه و آورده صاحبان",IF(LEFT($A226,2)="SL","بارفروش",IF(LEFT($A226,2)="BD","باسکول دیگران",IF(LEFT($A226,1)="C","باغدار",IF(LEFT($A226,1)="S","فروشنده سبد/تأمین‌کننده",IF(LEFT($A226,1)="E","کارمند",IF(LEFT($A226,1)="X","سایر حساب",IF(LEFT($A226,1)="F","دارایی ثابت",IF(LEFT($A226,1)="L","وام و تسهیلات",""))))))))))</f>
        <v/>
      </c>
      <c r="L226" s="65" t="n"/>
      <c r="M226">
        <f>IF(OR($B226="",$A226=""),"",IF(OR($B226=$K226,AND(LEFT($A226,1)="S",OR($B226="فروشنده سبد",$B226="تأمین‌کننده")),AND(LEFT($A226,2)="BD",$B226="باسکول دیگران")),"✓","⚠"))</f>
        <v/>
      </c>
    </row>
    <row r="227" ht="21" customHeight="1">
      <c r="A227" s="67" t="inlineStr">
        <is>
          <t>F005</t>
        </is>
      </c>
      <c r="B227" s="64" t="n"/>
      <c r="C227" s="65" t="n"/>
      <c r="D227" s="65" t="n"/>
      <c r="E227" s="65" t="n"/>
      <c r="F227" s="65" t="n"/>
      <c r="G227" s="65" t="n"/>
      <c r="H227" s="143" t="n">
        <v>0</v>
      </c>
      <c r="I227" s="64" t="n"/>
      <c r="J227" s="64" t="n"/>
      <c r="K227">
        <f>IF($A227="","",IF(LEFT($A227,3)="CAP","سرمایه و آورده صاحبان",IF(LEFT($A227,2)="SL","بارفروش",IF(LEFT($A227,2)="BD","باسکول دیگران",IF(LEFT($A227,1)="C","باغدار",IF(LEFT($A227,1)="S","فروشنده سبد/تأمین‌کننده",IF(LEFT($A227,1)="E","کارمند",IF(LEFT($A227,1)="X","سایر حساب",IF(LEFT($A227,1)="F","دارایی ثابت",IF(LEFT($A227,1)="L","وام و تسهیلات",""))))))))))</f>
        <v/>
      </c>
      <c r="L227" s="65" t="n"/>
      <c r="M227">
        <f>IF(OR($B227="",$A227=""),"",IF(OR($B227=$K227,AND(LEFT($A227,1)="S",OR($B227="فروشنده سبد",$B227="تأمین‌کننده")),AND(LEFT($A227,2)="BD",$B227="باسکول دیگران")),"✓","⚠"))</f>
        <v/>
      </c>
    </row>
    <row r="228" ht="21" customHeight="1">
      <c r="A228" s="67" t="inlineStr">
        <is>
          <t>F006</t>
        </is>
      </c>
      <c r="B228" s="64" t="n"/>
      <c r="C228" s="65" t="n"/>
      <c r="D228" s="65" t="n"/>
      <c r="E228" s="65" t="n"/>
      <c r="F228" s="65" t="n"/>
      <c r="G228" s="65" t="n"/>
      <c r="H228" s="143" t="n">
        <v>0</v>
      </c>
      <c r="I228" s="64" t="n"/>
      <c r="J228" s="64" t="n"/>
      <c r="K228">
        <f>IF($A228="","",IF(LEFT($A228,3)="CAP","سرمایه و آورده صاحبان",IF(LEFT($A228,2)="SL","بارفروش",IF(LEFT($A228,2)="BD","باسکول دیگران",IF(LEFT($A228,1)="C","باغدار",IF(LEFT($A228,1)="S","فروشنده سبد/تأمین‌کننده",IF(LEFT($A228,1)="E","کارمند",IF(LEFT($A228,1)="X","سایر حساب",IF(LEFT($A228,1)="F","دارایی ثابت",IF(LEFT($A228,1)="L","وام و تسهیلات",""))))))))))</f>
        <v/>
      </c>
      <c r="L228" s="65" t="n"/>
      <c r="M228">
        <f>IF(OR($B228="",$A228=""),"",IF(OR($B228=$K228,AND(LEFT($A228,1)="S",OR($B228="فروشنده سبد",$B228="تأمین‌کننده")),AND(LEFT($A228,2)="BD",$B228="باسکول دیگران")),"✓","⚠"))</f>
        <v/>
      </c>
    </row>
    <row r="229" ht="21" customHeight="1">
      <c r="A229" s="67" t="inlineStr">
        <is>
          <t>F007</t>
        </is>
      </c>
      <c r="B229" s="64" t="n"/>
      <c r="C229" s="65" t="n"/>
      <c r="D229" s="65" t="n"/>
      <c r="E229" s="65" t="n"/>
      <c r="F229" s="65" t="n"/>
      <c r="G229" s="65" t="n"/>
      <c r="H229" s="143" t="n">
        <v>0</v>
      </c>
      <c r="I229" s="64" t="n"/>
      <c r="J229" s="64" t="n"/>
      <c r="K229">
        <f>IF($A229="","",IF(LEFT($A229,3)="CAP","سرمایه و آورده صاحبان",IF(LEFT($A229,2)="SL","بارفروش",IF(LEFT($A229,2)="BD","باسکول دیگران",IF(LEFT($A229,1)="C","باغدار",IF(LEFT($A229,1)="S","فروشنده سبد/تأمین‌کننده",IF(LEFT($A229,1)="E","کارمند",IF(LEFT($A229,1)="X","سایر حساب",IF(LEFT($A229,1)="F","دارایی ثابت",IF(LEFT($A229,1)="L","وام و تسهیلات",""))))))))))</f>
        <v/>
      </c>
      <c r="L229" s="65" t="n"/>
      <c r="M229">
        <f>IF(OR($B229="",$A229=""),"",IF(OR($B229=$K229,AND(LEFT($A229,1)="S",OR($B229="فروشنده سبد",$B229="تأمین‌کننده")),AND(LEFT($A229,2)="BD",$B229="باسکول دیگران")),"✓","⚠"))</f>
        <v/>
      </c>
    </row>
    <row r="230" ht="21" customHeight="1">
      <c r="A230" s="67" t="inlineStr">
        <is>
          <t>F008</t>
        </is>
      </c>
      <c r="B230" s="64" t="n"/>
      <c r="C230" s="65" t="n"/>
      <c r="D230" s="65" t="n"/>
      <c r="E230" s="65" t="n"/>
      <c r="F230" s="65" t="n"/>
      <c r="G230" s="65" t="n"/>
      <c r="H230" s="143" t="n">
        <v>0</v>
      </c>
      <c r="I230" s="64" t="n"/>
      <c r="J230" s="64" t="n"/>
      <c r="K230">
        <f>IF($A230="","",IF(LEFT($A230,3)="CAP","سرمایه و آورده صاحبان",IF(LEFT($A230,2)="SL","بارفروش",IF(LEFT($A230,2)="BD","باسکول دیگران",IF(LEFT($A230,1)="C","باغدار",IF(LEFT($A230,1)="S","فروشنده سبد/تأمین‌کننده",IF(LEFT($A230,1)="E","کارمند",IF(LEFT($A230,1)="X","سایر حساب",IF(LEFT($A230,1)="F","دارایی ثابت",IF(LEFT($A230,1)="L","وام و تسهیلات",""))))))))))</f>
        <v/>
      </c>
      <c r="L230" s="65" t="n"/>
      <c r="M230">
        <f>IF(OR($B230="",$A230=""),"",IF(OR($B230=$K230,AND(LEFT($A230,1)="S",OR($B230="فروشنده سبد",$B230="تأمین‌کننده")),AND(LEFT($A230,2)="BD",$B230="باسکول دیگران")),"✓","⚠"))</f>
        <v/>
      </c>
    </row>
    <row r="231" ht="21" customHeight="1">
      <c r="A231" s="67" t="inlineStr">
        <is>
          <t>F009</t>
        </is>
      </c>
      <c r="B231" s="64" t="n"/>
      <c r="C231" s="65" t="n"/>
      <c r="D231" s="65" t="n"/>
      <c r="E231" s="65" t="n"/>
      <c r="F231" s="65" t="n"/>
      <c r="G231" s="65" t="n"/>
      <c r="H231" s="143" t="n">
        <v>0</v>
      </c>
      <c r="I231" s="64" t="n"/>
      <c r="J231" s="64" t="n"/>
      <c r="K231">
        <f>IF($A231="","",IF(LEFT($A231,3)="CAP","سرمایه و آورده صاحبان",IF(LEFT($A231,2)="SL","بارفروش",IF(LEFT($A231,2)="BD","باسکول دیگران",IF(LEFT($A231,1)="C","باغدار",IF(LEFT($A231,1)="S","فروشنده سبد/تأمین‌کننده",IF(LEFT($A231,1)="E","کارمند",IF(LEFT($A231,1)="X","سایر حساب",IF(LEFT($A231,1)="F","دارایی ثابت",IF(LEFT($A231,1)="L","وام و تسهیلات",""))))))))))</f>
        <v/>
      </c>
      <c r="L231" s="65" t="n"/>
      <c r="M231">
        <f>IF(OR($B231="",$A231=""),"",IF(OR($B231=$K231,AND(LEFT($A231,1)="S",OR($B231="فروشنده سبد",$B231="تأمین‌کننده")),AND(LEFT($A231,2)="BD",$B231="باسکول دیگران")),"✓","⚠"))</f>
        <v/>
      </c>
    </row>
    <row r="232" ht="21" customHeight="1">
      <c r="A232" s="67" t="inlineStr">
        <is>
          <t>F010</t>
        </is>
      </c>
      <c r="B232" s="64" t="n"/>
      <c r="C232" s="65" t="n"/>
      <c r="D232" s="65" t="n"/>
      <c r="E232" s="65" t="n"/>
      <c r="F232" s="65" t="n"/>
      <c r="G232" s="65" t="n"/>
      <c r="H232" s="143" t="n">
        <v>0</v>
      </c>
      <c r="I232" s="64" t="n"/>
      <c r="J232" s="64" t="n"/>
      <c r="K232">
        <f>IF($A232="","",IF(LEFT($A232,3)="CAP","سرمایه و آورده صاحبان",IF(LEFT($A232,2)="SL","بارفروش",IF(LEFT($A232,2)="BD","باسکول دیگران",IF(LEFT($A232,1)="C","باغدار",IF(LEFT($A232,1)="S","فروشنده سبد/تأمین‌کننده",IF(LEFT($A232,1)="E","کارمند",IF(LEFT($A232,1)="X","سایر حساب",IF(LEFT($A232,1)="F","دارایی ثابت",IF(LEFT($A232,1)="L","وام و تسهیلات",""))))))))))</f>
        <v/>
      </c>
      <c r="L232" s="65" t="n"/>
      <c r="M232">
        <f>IF(OR($B232="",$A232=""),"",IF(OR($B232=$K232,AND(LEFT($A232,1)="S",OR($B232="فروشنده سبد",$B232="تأمین‌کننده")),AND(LEFT($A232,2)="BD",$B232="باسکول دیگران")),"✓","⚠"))</f>
        <v/>
      </c>
    </row>
    <row r="233" ht="21" customHeight="1">
      <c r="A233" s="67" t="inlineStr">
        <is>
          <t>L002</t>
        </is>
      </c>
      <c r="B233" s="64" t="n"/>
      <c r="C233" s="65" t="n"/>
      <c r="D233" s="65" t="n"/>
      <c r="E233" s="65" t="n"/>
      <c r="F233" s="65" t="n"/>
      <c r="G233" s="65" t="n"/>
      <c r="H233" s="143" t="n">
        <v>0</v>
      </c>
      <c r="I233" s="64" t="n"/>
      <c r="J233" s="64" t="n"/>
      <c r="K233">
        <f>IF($A233="","",IF(LEFT($A233,3)="CAP","سرمایه و آورده صاحبان",IF(LEFT($A233,2)="SL","بارفروش",IF(LEFT($A233,2)="BD","باسکول دیگران",IF(LEFT($A233,1)="C","باغدار",IF(LEFT($A233,1)="S","فروشنده سبد/تأمین‌کننده",IF(LEFT($A233,1)="E","کارمند",IF(LEFT($A233,1)="X","سایر حساب",IF(LEFT($A233,1)="F","دارایی ثابت",IF(LEFT($A233,1)="L","وام و تسهیلات",""))))))))))</f>
        <v/>
      </c>
      <c r="L233" s="65" t="n"/>
      <c r="M233">
        <f>IF(OR($B233="",$A233=""),"",IF(OR($B233=$K233,AND(LEFT($A233,1)="S",OR($B233="فروشنده سبد",$B233="تأمین‌کننده")),AND(LEFT($A233,2)="BD",$B233="باسکول دیگران")),"✓","⚠"))</f>
        <v/>
      </c>
    </row>
    <row r="234" ht="21" customHeight="1">
      <c r="A234" s="67" t="inlineStr">
        <is>
          <t>L003</t>
        </is>
      </c>
      <c r="B234" s="64" t="n"/>
      <c r="C234" s="65" t="n"/>
      <c r="D234" s="65" t="n"/>
      <c r="E234" s="65" t="n"/>
      <c r="F234" s="65" t="n"/>
      <c r="G234" s="65" t="n"/>
      <c r="H234" s="143" t="n">
        <v>0</v>
      </c>
      <c r="I234" s="64" t="n"/>
      <c r="J234" s="64" t="n"/>
      <c r="K234">
        <f>IF($A234="","",IF(LEFT($A234,3)="CAP","سرمایه و آورده صاحبان",IF(LEFT($A234,2)="SL","بارفروش",IF(LEFT($A234,2)="BD","باسکول دیگران",IF(LEFT($A234,1)="C","باغدار",IF(LEFT($A234,1)="S","فروشنده سبد/تأمین‌کننده",IF(LEFT($A234,1)="E","کارمند",IF(LEFT($A234,1)="X","سایر حساب",IF(LEFT($A234,1)="F","دارایی ثابت",IF(LEFT($A234,1)="L","وام و تسهیلات",""))))))))))</f>
        <v/>
      </c>
      <c r="L234" s="65" t="n"/>
      <c r="M234">
        <f>IF(OR($B234="",$A234=""),"",IF(OR($B234=$K234,AND(LEFT($A234,1)="S",OR($B234="فروشنده سبد",$B234="تأمین‌کننده")),AND(LEFT($A234,2)="BD",$B234="باسکول دیگران")),"✓","⚠"))</f>
        <v/>
      </c>
    </row>
    <row r="235" ht="21" customHeight="1">
      <c r="A235" s="67" t="inlineStr">
        <is>
          <t>L004</t>
        </is>
      </c>
      <c r="B235" s="64" t="n"/>
      <c r="C235" s="65" t="n"/>
      <c r="D235" s="65" t="n"/>
      <c r="E235" s="65" t="n"/>
      <c r="F235" s="65" t="n"/>
      <c r="G235" s="65" t="n"/>
      <c r="H235" s="143" t="n">
        <v>0</v>
      </c>
      <c r="I235" s="64" t="n"/>
      <c r="J235" s="64" t="n"/>
      <c r="K235">
        <f>IF($A235="","",IF(LEFT($A235,3)="CAP","سرمایه و آورده صاحبان",IF(LEFT($A235,2)="SL","بارفروش",IF(LEFT($A235,2)="BD","باسکول دیگران",IF(LEFT($A235,1)="C","باغدار",IF(LEFT($A235,1)="S","فروشنده سبد/تأمین‌کننده",IF(LEFT($A235,1)="E","کارمند",IF(LEFT($A235,1)="X","سایر حساب",IF(LEFT($A235,1)="F","دارایی ثابت",IF(LEFT($A235,1)="L","وام و تسهیلات",""))))))))))</f>
        <v/>
      </c>
      <c r="L235" s="65" t="n"/>
      <c r="M235">
        <f>IF(OR($B235="",$A235=""),"",IF(OR($B235=$K235,AND(LEFT($A235,1)="S",OR($B235="فروشنده سبد",$B235="تأمین‌کننده")),AND(LEFT($A235,2)="BD",$B235="باسکول دیگران")),"✓","⚠"))</f>
        <v/>
      </c>
    </row>
    <row r="236" ht="21" customHeight="1">
      <c r="A236" s="67" t="inlineStr">
        <is>
          <t>L005</t>
        </is>
      </c>
      <c r="B236" s="64" t="n"/>
      <c r="C236" s="65" t="n"/>
      <c r="D236" s="65" t="n"/>
      <c r="E236" s="65" t="n"/>
      <c r="F236" s="65" t="n"/>
      <c r="G236" s="65" t="n"/>
      <c r="H236" s="143" t="n">
        <v>0</v>
      </c>
      <c r="I236" s="64" t="n"/>
      <c r="J236" s="64" t="n"/>
      <c r="K236">
        <f>IF($A236="","",IF(LEFT($A236,3)="CAP","سرمایه و آورده صاحبان",IF(LEFT($A236,2)="SL","بارفروش",IF(LEFT($A236,2)="BD","باسکول دیگران",IF(LEFT($A236,1)="C","باغدار",IF(LEFT($A236,1)="S","فروشنده سبد/تأمین‌کننده",IF(LEFT($A236,1)="E","کارمند",IF(LEFT($A236,1)="X","سایر حساب",IF(LEFT($A236,1)="F","دارایی ثابت",IF(LEFT($A236,1)="L","وام و تسهیلات",""))))))))))</f>
        <v/>
      </c>
      <c r="L236" s="65" t="n"/>
      <c r="M236">
        <f>IF(OR($B236="",$A236=""),"",IF(OR($B236=$K236,AND(LEFT($A236,1)="S",OR($B236="فروشنده سبد",$B236="تأمین‌کننده")),AND(LEFT($A236,2)="BD",$B236="باسکول دیگران")),"✓","⚠"))</f>
        <v/>
      </c>
    </row>
    <row r="237" ht="21" customHeight="1">
      <c r="A237" s="67" t="inlineStr">
        <is>
          <t>CAP002</t>
        </is>
      </c>
      <c r="B237" s="64" t="n"/>
      <c r="C237" s="65" t="n"/>
      <c r="D237" s="65" t="n"/>
      <c r="E237" s="65" t="n"/>
      <c r="F237" s="65" t="n"/>
      <c r="G237" s="65" t="n"/>
      <c r="H237" s="143" t="n">
        <v>0</v>
      </c>
      <c r="I237" s="64" t="n"/>
      <c r="J237" s="64" t="n"/>
      <c r="K237">
        <f>IF($A237="","",IF(LEFT($A237,3)="CAP","سرمایه و آورده صاحبان",IF(LEFT($A237,2)="SL","بارفروش",IF(LEFT($A237,2)="BD","باسکول دیگران",IF(LEFT($A237,1)="C","باغدار",IF(LEFT($A237,1)="S","فروشنده سبد/تأمین‌کننده",IF(LEFT($A237,1)="E","کارمند",IF(LEFT($A237,1)="X","سایر حساب",IF(LEFT($A237,1)="F","دارایی ثابت",IF(LEFT($A237,1)="L","وام و تسهیلات",""))))))))))</f>
        <v/>
      </c>
      <c r="L237" s="65" t="n"/>
      <c r="M237">
        <f>IF(OR($B237="",$A237=""),"",IF(OR($B237=$K237,AND(LEFT($A237,1)="S",OR($B237="فروشنده سبد",$B237="تأمین‌کننده")),AND(LEFT($A237,2)="BD",$B237="باسکول دیگران")),"✓","⚠"))</f>
        <v/>
      </c>
    </row>
    <row r="238" ht="21" customHeight="1">
      <c r="A238" s="67" t="inlineStr">
        <is>
          <t>CAP003</t>
        </is>
      </c>
      <c r="B238" s="64" t="n"/>
      <c r="C238" s="65" t="n"/>
      <c r="D238" s="65" t="n"/>
      <c r="E238" s="65" t="n"/>
      <c r="F238" s="65" t="n"/>
      <c r="G238" s="65" t="n"/>
      <c r="H238" s="143" t="n">
        <v>0</v>
      </c>
      <c r="I238" s="64" t="n"/>
      <c r="J238" s="64" t="n"/>
      <c r="K238">
        <f>IF($A238="","",IF(LEFT($A238,3)="CAP","سرمایه و آورده صاحبان",IF(LEFT($A238,2)="SL","بارفروش",IF(LEFT($A238,2)="BD","باسکول دیگران",IF(LEFT($A238,1)="C","باغدار",IF(LEFT($A238,1)="S","فروشنده سبد/تأمین‌کننده",IF(LEFT($A238,1)="E","کارمند",IF(LEFT($A238,1)="X","سایر حساب",IF(LEFT($A238,1)="F","دارایی ثابت",IF(LEFT($A238,1)="L","وام و تسهیلات",""))))))))))</f>
        <v/>
      </c>
      <c r="L238" s="65" t="n"/>
      <c r="M238">
        <f>IF(OR($B238="",$A238=""),"",IF(OR($B238=$K238,AND(LEFT($A238,1)="S",OR($B238="فروشنده سبد",$B238="تأمین‌کننده")),AND(LEFT($A238,2)="BD",$B238="باسکول دیگران")),"✓","⚠"))</f>
        <v/>
      </c>
    </row>
    <row r="239" ht="21" customHeight="1">
      <c r="A239" s="67" t="inlineStr">
        <is>
          <t>CAP004</t>
        </is>
      </c>
      <c r="B239" s="64" t="n"/>
      <c r="C239" s="65" t="n"/>
      <c r="D239" s="65" t="n"/>
      <c r="E239" s="65" t="n"/>
      <c r="F239" s="65" t="n"/>
      <c r="G239" s="65" t="n"/>
      <c r="H239" s="143" t="n">
        <v>0</v>
      </c>
      <c r="I239" s="64" t="n"/>
      <c r="J239" s="64" t="n"/>
      <c r="K239">
        <f>IF($A239="","",IF(LEFT($A239,3)="CAP","سرمایه و آورده صاحبان",IF(LEFT($A239,2)="SL","بارفروش",IF(LEFT($A239,2)="BD","باسکول دیگران",IF(LEFT($A239,1)="C","باغدار",IF(LEFT($A239,1)="S","فروشنده سبد/تأمین‌کننده",IF(LEFT($A239,1)="E","کارمند",IF(LEFT($A239,1)="X","سایر حساب",IF(LEFT($A239,1)="F","دارایی ثابت",IF(LEFT($A239,1)="L","وام و تسهیلات",""))))))))))</f>
        <v/>
      </c>
      <c r="L239" s="65" t="n"/>
      <c r="M239">
        <f>IF(OR($B239="",$A239=""),"",IF(OR($B239=$K239,AND(LEFT($A239,1)="S",OR($B239="فروشنده سبد",$B239="تأمین‌کننده")),AND(LEFT($A239,2)="BD",$B239="باسکول دیگران")),"✓","⚠"))</f>
        <v/>
      </c>
    </row>
    <row r="240" ht="21" customHeight="1">
      <c r="A240" s="67" t="inlineStr">
        <is>
          <t>CAP005</t>
        </is>
      </c>
      <c r="B240" s="64" t="n"/>
      <c r="C240" s="65" t="n"/>
      <c r="D240" s="65" t="n"/>
      <c r="E240" s="65" t="n"/>
      <c r="F240" s="65" t="n"/>
      <c r="G240" s="65" t="n"/>
      <c r="H240" s="143" t="n">
        <v>0</v>
      </c>
      <c r="I240" s="64" t="n"/>
      <c r="J240" s="64" t="n"/>
      <c r="K240">
        <f>IF($A240="","",IF(LEFT($A240,3)="CAP","سرمایه و آورده صاحبان",IF(LEFT($A240,2)="SL","بارفروش",IF(LEFT($A240,2)="BD","باسکول دیگران",IF(LEFT($A240,1)="C","باغدار",IF(LEFT($A240,1)="S","فروشنده سبد/تأمین‌کننده",IF(LEFT($A240,1)="E","کارمند",IF(LEFT($A240,1)="X","سایر حساب",IF(LEFT($A240,1)="F","دارایی ثابت",IF(LEFT($A240,1)="L","وام و تسهیلات",""))))))))))</f>
        <v/>
      </c>
      <c r="L240" s="65" t="n"/>
      <c r="M240">
        <f>IF(OR($B240="",$A240=""),"",IF(OR($B240=$K240,AND(LEFT($A240,1)="S",OR($B240="فروشنده سبد",$B240="تأمین‌کننده")),AND(LEFT($A240,2)="BD",$B240="باسکول دیگران")),"✓","⚠"))</f>
        <v/>
      </c>
    </row>
    <row r="241" ht="21" customHeight="1">
      <c r="A241" s="67" t="inlineStr">
        <is>
          <t>BD002</t>
        </is>
      </c>
      <c r="B241" s="64" t="inlineStr">
        <is>
          <t>باسکول دیگران</t>
        </is>
      </c>
      <c r="C241" s="65" t="n"/>
      <c r="D241" s="65" t="inlineStr">
        <is>
          <t>احمد زاهدی</t>
        </is>
      </c>
      <c r="E241" s="65" t="n"/>
      <c r="F241" s="65" t="inlineStr"/>
      <c r="G241" s="65" t="n"/>
      <c r="H241" s="143" t="n">
        <v>0</v>
      </c>
      <c r="I241" s="64" t="inlineStr">
        <is>
          <t>طرف حساب</t>
        </is>
      </c>
      <c r="J241" s="64" t="inlineStr">
        <is>
          <t>بله</t>
        </is>
      </c>
      <c r="K241">
        <f>IF($A241="","",IF(LEFT($A241,3)="CAP","سرمایه و آورده صاحبان",IF(LEFT($A241,2)="SL","بارفروش",IF(LEFT($A241,2)="BD","باسکول دیگران",IF(LEFT($A241,1)="C","باغدار",IF(LEFT($A241,1)="S","فروشنده سبد/تأمین‌کننده",IF(LEFT($A241,1)="E","کارمند",IF(LEFT($A241,1)="X","سایر حساب",IF(LEFT($A241,1)="F","دارایی ثابت",IF(LEFT($A241,1)="L","وام و تسهیلات",""))))))))))</f>
        <v/>
      </c>
      <c r="L241" s="65" t="n"/>
      <c r="M241">
        <f>IF(OR($B241="",$A241=""),"",IF(OR($B241=$K241,AND(LEFT($A241,1)="S",OR($B241="فروشنده سبد",$B241="تأمین‌کننده")),AND(LEFT($A241,2)="BD",$B241="باسکول دیگران")),"✓","⚠"))</f>
        <v/>
      </c>
    </row>
    <row r="242" ht="21" customHeight="1">
      <c r="A242" s="67" t="inlineStr">
        <is>
          <t>BD003</t>
        </is>
      </c>
      <c r="B242" s="64" t="inlineStr">
        <is>
          <t>باسکول دیگران</t>
        </is>
      </c>
      <c r="C242" s="65" t="n"/>
      <c r="D242" s="65" t="inlineStr">
        <is>
          <t>احمد موسوی</t>
        </is>
      </c>
      <c r="E242" s="65" t="n"/>
      <c r="F242" s="65" t="inlineStr"/>
      <c r="G242" s="65" t="n"/>
      <c r="H242" s="143" t="n">
        <v>0</v>
      </c>
      <c r="I242" s="64" t="inlineStr">
        <is>
          <t>طرف حساب</t>
        </is>
      </c>
      <c r="J242" s="64" t="inlineStr">
        <is>
          <t>بله</t>
        </is>
      </c>
      <c r="K242">
        <f>IF($A242="","",IF(LEFT($A242,3)="CAP","سرمایه و آورده صاحبان",IF(LEFT($A242,2)="SL","بارفروش",IF(LEFT($A242,2)="BD","باسکول دیگران",IF(LEFT($A242,1)="C","باغدار",IF(LEFT($A242,1)="S","فروشنده سبد/تأمین‌کننده",IF(LEFT($A242,1)="E","کارمند",IF(LEFT($A242,1)="X","سایر حساب",IF(LEFT($A242,1)="F","دارایی ثابت",IF(LEFT($A242,1)="L","وام و تسهیلات",""))))))))))</f>
        <v/>
      </c>
      <c r="L242" s="65" t="n"/>
      <c r="M242">
        <f>IF(OR($B242="",$A242=""),"",IF(OR($B242=$K242,AND(LEFT($A242,1)="S",OR($B242="فروشنده سبد",$B242="تأمین‌کننده")),AND(LEFT($A242,2)="BD",$B242="باسکول دیگران")),"✓","⚠"))</f>
        <v/>
      </c>
    </row>
    <row r="243" ht="21" customHeight="1">
      <c r="A243" s="67" t="inlineStr">
        <is>
          <t>BD004</t>
        </is>
      </c>
      <c r="B243" s="64" t="inlineStr">
        <is>
          <t>باسکول دیگران</t>
        </is>
      </c>
      <c r="C243" s="65" t="n"/>
      <c r="D243" s="65" t="inlineStr">
        <is>
          <t>رضا کاظمی</t>
        </is>
      </c>
      <c r="E243" s="65" t="n"/>
      <c r="F243" s="65" t="inlineStr"/>
      <c r="G243" s="65" t="n"/>
      <c r="H243" s="143" t="n">
        <v>0</v>
      </c>
      <c r="I243" s="64" t="inlineStr">
        <is>
          <t>طرف حساب</t>
        </is>
      </c>
      <c r="J243" s="64" t="inlineStr">
        <is>
          <t>بله</t>
        </is>
      </c>
      <c r="K243">
        <f>IF($A243="","",IF(LEFT($A243,3)="CAP","سرمایه و آورده صاحبان",IF(LEFT($A243,2)="SL","بارفروش",IF(LEFT($A243,2)="BD","باسکول دیگران",IF(LEFT($A243,1)="C","باغدار",IF(LEFT($A243,1)="S","فروشنده سبد/تأمین‌کننده",IF(LEFT($A243,1)="E","کارمند",IF(LEFT($A243,1)="X","سایر حساب",IF(LEFT($A243,1)="F","دارایی ثابت",IF(LEFT($A243,1)="L","وام و تسهیلات",""))))))))))</f>
        <v/>
      </c>
      <c r="L243" s="65" t="n"/>
      <c r="M243">
        <f>IF(OR($B243="",$A243=""),"",IF(OR($B243=$K243,AND(LEFT($A243,1)="S",OR($B243="فروشنده سبد",$B243="تأمین‌کننده")),AND(LEFT($A243,2)="BD",$B243="باسکول دیگران")),"✓","⚠"))</f>
        <v/>
      </c>
    </row>
    <row r="244" ht="21" customHeight="1">
      <c r="A244" s="67" t="inlineStr">
        <is>
          <t>BD005</t>
        </is>
      </c>
      <c r="B244" s="64" t="inlineStr">
        <is>
          <t>باسکول دیگران</t>
        </is>
      </c>
      <c r="C244" s="65" t="n"/>
      <c r="D244" s="65" t="inlineStr">
        <is>
          <t>حسین نیک‌پور</t>
        </is>
      </c>
      <c r="E244" s="65" t="n"/>
      <c r="F244" s="65" t="inlineStr"/>
      <c r="G244" s="65" t="n"/>
      <c r="H244" s="143" t="n">
        <v>0</v>
      </c>
      <c r="I244" s="64" t="inlineStr">
        <is>
          <t>طرف حساب</t>
        </is>
      </c>
      <c r="J244" s="64" t="inlineStr">
        <is>
          <t>بله</t>
        </is>
      </c>
      <c r="K244">
        <f>IF($A244="","",IF(LEFT($A244,3)="CAP","سرمایه و آورده صاحبان",IF(LEFT($A244,2)="SL","بارفروش",IF(LEFT($A244,2)="BD","باسکول دیگران",IF(LEFT($A244,1)="C","باغدار",IF(LEFT($A244,1)="S","فروشنده سبد/تأمین‌کننده",IF(LEFT($A244,1)="E","کارمند",IF(LEFT($A244,1)="X","سایر حساب",IF(LEFT($A244,1)="F","دارایی ثابت",IF(LEFT($A244,1)="L","وام و تسهیلات",""))))))))))</f>
        <v/>
      </c>
      <c r="L244" s="65" t="n"/>
      <c r="M244">
        <f>IF(OR($B244="",$A244=""),"",IF(OR($B244=$K244,AND(LEFT($A244,1)="S",OR($B244="فروشنده سبد",$B244="تأمین‌کننده")),AND(LEFT($A244,2)="BD",$B244="باسکول دیگران")),"✓","⚠"))</f>
        <v/>
      </c>
    </row>
    <row r="245" ht="21" customHeight="1">
      <c r="A245" s="67" t="inlineStr">
        <is>
          <t>BD006</t>
        </is>
      </c>
      <c r="B245" s="64" t="inlineStr">
        <is>
          <t>باسکول دیگران</t>
        </is>
      </c>
      <c r="C245" s="65" t="n"/>
      <c r="D245" s="65" t="inlineStr">
        <is>
          <t>مهدی رستمی</t>
        </is>
      </c>
      <c r="E245" s="65" t="n"/>
      <c r="F245" s="65" t="inlineStr"/>
      <c r="G245" s="65" t="n"/>
      <c r="H245" s="143" t="n">
        <v>0</v>
      </c>
      <c r="I245" s="64" t="inlineStr">
        <is>
          <t>طرف حساب</t>
        </is>
      </c>
      <c r="J245" s="64" t="inlineStr">
        <is>
          <t>بله</t>
        </is>
      </c>
      <c r="K245">
        <f>IF($A245="","",IF(LEFT($A245,3)="CAP","سرمایه و آورده صاحبان",IF(LEFT($A245,2)="SL","بارفروش",IF(LEFT($A245,2)="BD","باسکول دیگران",IF(LEFT($A245,1)="C","باغدار",IF(LEFT($A245,1)="S","فروشنده سبد/تأمین‌کننده",IF(LEFT($A245,1)="E","کارمند",IF(LEFT($A245,1)="X","سایر حساب",IF(LEFT($A245,1)="F","دارایی ثابت",IF(LEFT($A245,1)="L","وام و تسهیلات",""))))))))))</f>
        <v/>
      </c>
      <c r="L245" s="65" t="n"/>
      <c r="M245">
        <f>IF(OR($B245="",$A245=""),"",IF(OR($B245=$K245,AND(LEFT($A245,1)="S",OR($B245="فروشنده سبد",$B245="تأمین‌کننده")),AND(LEFT($A245,2)="BD",$B245="باسکول دیگران")),"✓","⚠"))</f>
        <v/>
      </c>
    </row>
    <row r="246" ht="21" customHeight="1">
      <c r="A246" s="67" t="inlineStr">
        <is>
          <t>BD007</t>
        </is>
      </c>
      <c r="B246" s="64" t="inlineStr">
        <is>
          <t>باسکول دیگران</t>
        </is>
      </c>
      <c r="C246" s="65" t="n"/>
      <c r="D246" s="65" t="inlineStr">
        <is>
          <t>علی شریفی</t>
        </is>
      </c>
      <c r="E246" s="65" t="n"/>
      <c r="F246" s="65" t="inlineStr"/>
      <c r="G246" s="65" t="n"/>
      <c r="H246" s="143" t="n">
        <v>0</v>
      </c>
      <c r="I246" s="64" t="inlineStr">
        <is>
          <t>طرف حساب</t>
        </is>
      </c>
      <c r="J246" s="64" t="inlineStr">
        <is>
          <t>بله</t>
        </is>
      </c>
      <c r="K246">
        <f>IF($A246="","",IF(LEFT($A246,3)="CAP","سرمایه و آورده صاحبان",IF(LEFT($A246,2)="SL","بارفروش",IF(LEFT($A246,2)="BD","باسکول دیگران",IF(LEFT($A246,1)="C","باغدار",IF(LEFT($A246,1)="S","فروشنده سبد/تأمین‌کننده",IF(LEFT($A246,1)="E","کارمند",IF(LEFT($A246,1)="X","سایر حساب",IF(LEFT($A246,1)="F","دارایی ثابت",IF(LEFT($A246,1)="L","وام و تسهیلات",""))))))))))</f>
        <v/>
      </c>
      <c r="L246" s="65" t="n"/>
      <c r="M246">
        <f>IF(OR($B246="",$A246=""),"",IF(OR($B246=$K246,AND(LEFT($A246,1)="S",OR($B246="فروشنده سبد",$B246="تأمین‌کننده")),AND(LEFT($A246,2)="BD",$B246="باسکول دیگران")),"✓","⚠"))</f>
        <v/>
      </c>
    </row>
    <row r="247" ht="21" customHeight="1">
      <c r="A247" s="67" t="inlineStr">
        <is>
          <t>BD008</t>
        </is>
      </c>
      <c r="B247" s="64" t="inlineStr">
        <is>
          <t>باسکول دیگران</t>
        </is>
      </c>
      <c r="C247" s="65" t="n"/>
      <c r="D247" s="65" t="inlineStr">
        <is>
          <t>سعید اکبری</t>
        </is>
      </c>
      <c r="E247" s="65" t="n"/>
      <c r="F247" s="65" t="inlineStr"/>
      <c r="G247" s="65" t="n"/>
      <c r="H247" s="143" t="n">
        <v>0</v>
      </c>
      <c r="I247" s="64" t="inlineStr">
        <is>
          <t>طرف حساب</t>
        </is>
      </c>
      <c r="J247" s="64" t="inlineStr">
        <is>
          <t>بله</t>
        </is>
      </c>
      <c r="K247">
        <f>IF($A247="","",IF(LEFT($A247,3)="CAP","سرمایه و آورده صاحبان",IF(LEFT($A247,2)="SL","بارفروش",IF(LEFT($A247,2)="BD","باسکول دیگران",IF(LEFT($A247,1)="C","باغدار",IF(LEFT($A247,1)="S","فروشنده سبد/تأمین‌کننده",IF(LEFT($A247,1)="E","کارمند",IF(LEFT($A247,1)="X","سایر حساب",IF(LEFT($A247,1)="F","دارایی ثابت",IF(LEFT($A247,1)="L","وام و تسهیلات",""))))))))))</f>
        <v/>
      </c>
      <c r="L247" s="65" t="n"/>
      <c r="M247">
        <f>IF(OR($B247="",$A247=""),"",IF(OR($B247=$K247,AND(LEFT($A247,1)="S",OR($B247="فروشنده سبد",$B247="تأمین‌کننده")),AND(LEFT($A247,2)="BD",$B247="باسکول دیگران")),"✓","⚠"))</f>
        <v/>
      </c>
    </row>
    <row r="248" ht="21" customHeight="1">
      <c r="A248" s="67" t="inlineStr">
        <is>
          <t>BD009</t>
        </is>
      </c>
      <c r="B248" s="64" t="inlineStr">
        <is>
          <t>باسکول دیگران</t>
        </is>
      </c>
      <c r="C248" s="65" t="n"/>
      <c r="D248" s="65" t="inlineStr">
        <is>
          <t>مجید قاسمی</t>
        </is>
      </c>
      <c r="E248" s="65" t="n"/>
      <c r="F248" s="65" t="inlineStr"/>
      <c r="G248" s="65" t="n"/>
      <c r="H248" s="143" t="n">
        <v>0</v>
      </c>
      <c r="I248" s="64" t="inlineStr">
        <is>
          <t>طرف حساب</t>
        </is>
      </c>
      <c r="J248" s="64" t="inlineStr">
        <is>
          <t>بله</t>
        </is>
      </c>
      <c r="K248">
        <f>IF($A248="","",IF(LEFT($A248,3)="CAP","سرمایه و آورده صاحبان",IF(LEFT($A248,2)="SL","بارفروش",IF(LEFT($A248,2)="BD","باسکول دیگران",IF(LEFT($A248,1)="C","باغدار",IF(LEFT($A248,1)="S","فروشنده سبد/تأمین‌کننده",IF(LEFT($A248,1)="E","کارمند",IF(LEFT($A248,1)="X","سایر حساب",IF(LEFT($A248,1)="F","دارایی ثابت",IF(LEFT($A248,1)="L","وام و تسهیلات",""))))))))))</f>
        <v/>
      </c>
      <c r="L248" s="65" t="n"/>
      <c r="M248">
        <f>IF(OR($B248="",$A248=""),"",IF(OR($B248=$K248,AND(LEFT($A248,1)="S",OR($B248="فروشنده سبد",$B248="تأمین‌کننده")),AND(LEFT($A248,2)="BD",$B248="باسکول دیگران")),"✓","⚠"))</f>
        <v/>
      </c>
    </row>
    <row r="249" ht="21" customHeight="1">
      <c r="A249" s="67" t="inlineStr">
        <is>
          <t>BD010</t>
        </is>
      </c>
      <c r="B249" s="64" t="inlineStr">
        <is>
          <t>باسکول دیگران</t>
        </is>
      </c>
      <c r="C249" s="65" t="n"/>
      <c r="D249" s="65" t="inlineStr">
        <is>
          <t>پرویز احمدی</t>
        </is>
      </c>
      <c r="E249" s="65" t="n"/>
      <c r="F249" s="65" t="inlineStr"/>
      <c r="G249" s="65" t="n"/>
      <c r="H249" s="143" t="n">
        <v>0</v>
      </c>
      <c r="I249" s="64" t="inlineStr">
        <is>
          <t>طرف حساب</t>
        </is>
      </c>
      <c r="J249" s="64" t="inlineStr">
        <is>
          <t>بله</t>
        </is>
      </c>
      <c r="K249">
        <f>IF($A249="","",IF(LEFT($A249,3)="CAP","سرمایه و آورده صاحبان",IF(LEFT($A249,2)="SL","بارفروش",IF(LEFT($A249,2)="BD","باسکول دیگران",IF(LEFT($A249,1)="C","باغدار",IF(LEFT($A249,1)="S","فروشنده سبد/تأمین‌کننده",IF(LEFT($A249,1)="E","کارمند",IF(LEFT($A249,1)="X","سایر حساب",IF(LEFT($A249,1)="F","دارایی ثابت",IF(LEFT($A249,1)="L","وام و تسهیلات",""))))))))))</f>
        <v/>
      </c>
      <c r="L249" s="65" t="n"/>
      <c r="M249">
        <f>IF(OR($B249="",$A249=""),"",IF(OR($B249=$K249,AND(LEFT($A249,1)="S",OR($B249="فروشنده سبد",$B249="تأمین‌کننده")),AND(LEFT($A249,2)="BD",$B249="باسکول دیگران")),"✓","⚠"))</f>
        <v/>
      </c>
    </row>
    <row r="250" ht="21" customHeight="1">
      <c r="A250" s="67" t="inlineStr">
        <is>
          <t>BD011</t>
        </is>
      </c>
      <c r="B250" s="64" t="inlineStr">
        <is>
          <t>باسکول دیگران</t>
        </is>
      </c>
      <c r="C250" s="65" t="n"/>
      <c r="D250" s="65" t="inlineStr">
        <is>
          <t>کریم صادقی</t>
        </is>
      </c>
      <c r="E250" s="65" t="n"/>
      <c r="F250" s="65" t="inlineStr"/>
      <c r="G250" s="65" t="n"/>
      <c r="H250" s="143" t="n">
        <v>0</v>
      </c>
      <c r="I250" s="64" t="inlineStr">
        <is>
          <t>طرف حساب</t>
        </is>
      </c>
      <c r="J250" s="64" t="inlineStr">
        <is>
          <t>بله</t>
        </is>
      </c>
      <c r="K250">
        <f>IF($A250="","",IF(LEFT($A250,3)="CAP","سرمایه و آورده صاحبان",IF(LEFT($A250,2)="SL","بارفروش",IF(LEFT($A250,2)="BD","باسکول دیگران",IF(LEFT($A250,1)="C","باغدار",IF(LEFT($A250,1)="S","فروشنده سبد/تأمین‌کننده",IF(LEFT($A250,1)="E","کارمند",IF(LEFT($A250,1)="X","سایر حساب",IF(LEFT($A250,1)="F","دارایی ثابت",IF(LEFT($A250,1)="L","وام و تسهیلات",""))))))))))</f>
        <v/>
      </c>
      <c r="L250" s="65" t="n"/>
      <c r="M250">
        <f>IF(OR($B250="",$A250=""),"",IF(OR($B250=$K250,AND(LEFT($A250,1)="S",OR($B250="فروشنده سبد",$B250="تأمین‌کننده")),AND(LEFT($A250,2)="BD",$B250="باسکول دیگران")),"✓","⚠"))</f>
        <v/>
      </c>
    </row>
    <row r="251" ht="21" customHeight="1">
      <c r="A251" s="67" t="inlineStr">
        <is>
          <t>BD012</t>
        </is>
      </c>
      <c r="B251" s="64" t="inlineStr">
        <is>
          <t>باسکول دیگران</t>
        </is>
      </c>
      <c r="C251" s="65" t="n"/>
      <c r="D251" s="65" t="inlineStr">
        <is>
          <t>رحیم نوری</t>
        </is>
      </c>
      <c r="E251" s="65" t="n"/>
      <c r="F251" s="65" t="inlineStr"/>
      <c r="G251" s="65" t="n"/>
      <c r="H251" s="143" t="n">
        <v>0</v>
      </c>
      <c r="I251" s="64" t="inlineStr">
        <is>
          <t>طرف حساب</t>
        </is>
      </c>
      <c r="J251" s="64" t="inlineStr">
        <is>
          <t>بله</t>
        </is>
      </c>
      <c r="K251">
        <f>IF($A251="","",IF(LEFT($A251,3)="CAP","سرمایه و آورده صاحبان",IF(LEFT($A251,2)="SL","بارفروش",IF(LEFT($A251,2)="BD","باسکول دیگران",IF(LEFT($A251,1)="C","باغدار",IF(LEFT($A251,1)="S","فروشنده سبد/تأمین‌کننده",IF(LEFT($A251,1)="E","کارمند",IF(LEFT($A251,1)="X","سایر حساب",IF(LEFT($A251,1)="F","دارایی ثابت",IF(LEFT($A251,1)="L","وام و تسهیلات",""))))))))))</f>
        <v/>
      </c>
      <c r="L251" s="65" t="n"/>
      <c r="M251">
        <f>IF(OR($B251="",$A251=""),"",IF(OR($B251=$K251,AND(LEFT($A251,1)="S",OR($B251="فروشنده سبد",$B251="تأمین‌کننده")),AND(LEFT($A251,2)="BD",$B251="باسکول دیگران")),"✓","⚠"))</f>
        <v/>
      </c>
    </row>
    <row r="252" ht="21" customHeight="1">
      <c r="A252" s="67" t="inlineStr">
        <is>
          <t>BD013</t>
        </is>
      </c>
      <c r="B252" s="64" t="inlineStr">
        <is>
          <t>باسکول دیگران</t>
        </is>
      </c>
      <c r="C252" s="65" t="n"/>
      <c r="D252" s="65" t="inlineStr">
        <is>
          <t>بهرام یوسفی</t>
        </is>
      </c>
      <c r="E252" s="65" t="n"/>
      <c r="F252" s="65" t="inlineStr"/>
      <c r="G252" s="65" t="n"/>
      <c r="H252" s="143" t="n">
        <v>0</v>
      </c>
      <c r="I252" s="64" t="inlineStr">
        <is>
          <t>طرف حساب</t>
        </is>
      </c>
      <c r="J252" s="64" t="inlineStr">
        <is>
          <t>بله</t>
        </is>
      </c>
      <c r="K252">
        <f>IF($A252="","",IF(LEFT($A252,3)="CAP","سرمایه و آورده صاحبان",IF(LEFT($A252,2)="SL","بارفروش",IF(LEFT($A252,2)="BD","باسکول دیگران",IF(LEFT($A252,1)="C","باغدار",IF(LEFT($A252,1)="S","فروشنده سبد/تأمین‌کننده",IF(LEFT($A252,1)="E","کارمند",IF(LEFT($A252,1)="X","سایر حساب",IF(LEFT($A252,1)="F","دارایی ثابت",IF(LEFT($A252,1)="L","وام و تسهیلات",""))))))))))</f>
        <v/>
      </c>
      <c r="L252" s="65" t="n"/>
      <c r="M252">
        <f>IF(OR($B252="",$A252=""),"",IF(OR($B252=$K252,AND(LEFT($A252,1)="S",OR($B252="فروشنده سبد",$B252="تأمین‌کننده")),AND(LEFT($A252,2)="BD",$B252="باسکول دیگران")),"✓","⚠"))</f>
        <v/>
      </c>
    </row>
    <row r="253" ht="21" customHeight="1">
      <c r="A253" s="67" t="inlineStr">
        <is>
          <t>BD014</t>
        </is>
      </c>
      <c r="B253" s="64" t="inlineStr">
        <is>
          <t>باسکول دیگران</t>
        </is>
      </c>
      <c r="C253" s="65" t="n"/>
      <c r="D253" s="65" t="inlineStr">
        <is>
          <t>فرهاد مرادی</t>
        </is>
      </c>
      <c r="E253" s="65" t="n"/>
      <c r="F253" s="65" t="inlineStr"/>
      <c r="G253" s="65" t="n"/>
      <c r="H253" s="143" t="n">
        <v>0</v>
      </c>
      <c r="I253" s="64" t="inlineStr">
        <is>
          <t>طرف حساب</t>
        </is>
      </c>
      <c r="J253" s="64" t="inlineStr">
        <is>
          <t>بله</t>
        </is>
      </c>
      <c r="K253">
        <f>IF($A253="","",IF(LEFT($A253,3)="CAP","سرمایه و آورده صاحبان",IF(LEFT($A253,2)="SL","بارفروش",IF(LEFT($A253,2)="BD","باسکول دیگران",IF(LEFT($A253,1)="C","باغدار",IF(LEFT($A253,1)="S","فروشنده سبد/تأمین‌کننده",IF(LEFT($A253,1)="E","کارمند",IF(LEFT($A253,1)="X","سایر حساب",IF(LEFT($A253,1)="F","دارایی ثابت",IF(LEFT($A253,1)="L","وام و تسهیلات",""))))))))))</f>
        <v/>
      </c>
      <c r="L253" s="65" t="n"/>
      <c r="M253">
        <f>IF(OR($B253="",$A253=""),"",IF(OR($B253=$K253,AND(LEFT($A253,1)="S",OR($B253="فروشنده سبد",$B253="تأمین‌کننده")),AND(LEFT($A253,2)="BD",$B253="باسکول دیگران")),"✓","⚠"))</f>
        <v/>
      </c>
    </row>
    <row r="254" ht="21" customHeight="1">
      <c r="A254" s="67" t="inlineStr">
        <is>
          <t>BD015</t>
        </is>
      </c>
      <c r="B254" s="64" t="inlineStr">
        <is>
          <t>باسکول دیگران</t>
        </is>
      </c>
      <c r="C254" s="65" t="n"/>
      <c r="D254" s="65" t="inlineStr">
        <is>
          <t>مسعود تقوی</t>
        </is>
      </c>
      <c r="E254" s="65" t="n"/>
      <c r="F254" s="65" t="inlineStr"/>
      <c r="G254" s="65" t="n"/>
      <c r="H254" s="143" t="n">
        <v>0</v>
      </c>
      <c r="I254" s="64" t="inlineStr">
        <is>
          <t>طرف حساب</t>
        </is>
      </c>
      <c r="J254" s="64" t="inlineStr">
        <is>
          <t>بله</t>
        </is>
      </c>
      <c r="K254">
        <f>IF($A254="","",IF(LEFT($A254,3)="CAP","سرمایه و آورده صاحبان",IF(LEFT($A254,2)="SL","بارفروش",IF(LEFT($A254,2)="BD","باسکول دیگران",IF(LEFT($A254,1)="C","باغدار",IF(LEFT($A254,1)="S","فروشنده سبد/تأمین‌کننده",IF(LEFT($A254,1)="E","کارمند",IF(LEFT($A254,1)="X","سایر حساب",IF(LEFT($A254,1)="F","دارایی ثابت",IF(LEFT($A254,1)="L","وام و تسهیلات",""))))))))))</f>
        <v/>
      </c>
      <c r="L254" s="65" t="n"/>
      <c r="M254">
        <f>IF(OR($B254="",$A254=""),"",IF(OR($B254=$K254,AND(LEFT($A254,1)="S",OR($B254="فروشنده سبد",$B254="تأمین‌کننده")),AND(LEFT($A254,2)="BD",$B254="باسکول دیگران")),"✓","⚠"))</f>
        <v/>
      </c>
    </row>
    <row r="255" ht="21" customHeight="1">
      <c r="A255" s="67" t="inlineStr">
        <is>
          <t>BD016</t>
        </is>
      </c>
      <c r="B255" s="64" t="inlineStr">
        <is>
          <t>باسکول دیگران</t>
        </is>
      </c>
      <c r="C255" s="65" t="n"/>
      <c r="D255" s="65" t="inlineStr">
        <is>
          <t>جواد کریمی</t>
        </is>
      </c>
      <c r="E255" s="65" t="n"/>
      <c r="F255" s="65" t="inlineStr"/>
      <c r="G255" s="65" t="n"/>
      <c r="H255" s="143" t="n">
        <v>0</v>
      </c>
      <c r="I255" s="64" t="inlineStr">
        <is>
          <t>طرف حساب</t>
        </is>
      </c>
      <c r="J255" s="64" t="inlineStr">
        <is>
          <t>بله</t>
        </is>
      </c>
      <c r="K255">
        <f>IF($A255="","",IF(LEFT($A255,3)="CAP","سرمایه و آورده صاحبان",IF(LEFT($A255,2)="SL","بارفروش",IF(LEFT($A255,2)="BD","باسکول دیگران",IF(LEFT($A255,1)="C","باغدار",IF(LEFT($A255,1)="S","فروشنده سبد/تأمین‌کننده",IF(LEFT($A255,1)="E","کارمند",IF(LEFT($A255,1)="X","سایر حساب",IF(LEFT($A255,1)="F","دارایی ثابت",IF(LEFT($A255,1)="L","وام و تسهیلات",""))))))))))</f>
        <v/>
      </c>
      <c r="L255" s="65" t="n"/>
      <c r="M255">
        <f>IF(OR($B255="",$A255=""),"",IF(OR($B255=$K255,AND(LEFT($A255,1)="S",OR($B255="فروشنده سبد",$B255="تأمین‌کننده")),AND(LEFT($A255,2)="BD",$B255="باسکول دیگران")),"✓","⚠"))</f>
        <v/>
      </c>
    </row>
    <row r="256" ht="21" customHeight="1">
      <c r="A256" s="67" t="inlineStr">
        <is>
          <t>BD017</t>
        </is>
      </c>
      <c r="B256" s="64" t="inlineStr">
        <is>
          <t>باسکول دیگران</t>
        </is>
      </c>
      <c r="C256" s="65" t="n"/>
      <c r="D256" s="65" t="inlineStr">
        <is>
          <t>ناصر رحیمی</t>
        </is>
      </c>
      <c r="E256" s="65" t="n"/>
      <c r="F256" s="65" t="inlineStr"/>
      <c r="G256" s="65" t="n"/>
      <c r="H256" s="143" t="n">
        <v>0</v>
      </c>
      <c r="I256" s="64" t="inlineStr">
        <is>
          <t>طرف حساب</t>
        </is>
      </c>
      <c r="J256" s="64" t="inlineStr">
        <is>
          <t>بله</t>
        </is>
      </c>
      <c r="K256">
        <f>IF($A256="","",IF(LEFT($A256,3)="CAP","سرمایه و آورده صاحبان",IF(LEFT($A256,2)="SL","بارفروش",IF(LEFT($A256,2)="BD","باسکول دیگران",IF(LEFT($A256,1)="C","باغدار",IF(LEFT($A256,1)="S","فروشنده سبد/تأمین‌کننده",IF(LEFT($A256,1)="E","کارمند",IF(LEFT($A256,1)="X","سایر حساب",IF(LEFT($A256,1)="F","دارایی ثابت",IF(LEFT($A256,1)="L","وام و تسهیلات",""))))))))))</f>
        <v/>
      </c>
      <c r="L256" s="65" t="n"/>
      <c r="M256">
        <f>IF(OR($B256="",$A256=""),"",IF(OR($B256=$K256,AND(LEFT($A256,1)="S",OR($B256="فروشنده سبد",$B256="تأمین‌کننده")),AND(LEFT($A256,2)="BD",$B256="باسکول دیگران")),"✓","⚠"))</f>
        <v/>
      </c>
    </row>
    <row r="257" ht="21" customHeight="1">
      <c r="A257" s="67" t="inlineStr">
        <is>
          <t>BD018</t>
        </is>
      </c>
      <c r="B257" s="64" t="inlineStr">
        <is>
          <t>باسکول دیگران</t>
        </is>
      </c>
      <c r="C257" s="65" t="n"/>
      <c r="D257" s="65" t="inlineStr">
        <is>
          <t>بابک سلطانی</t>
        </is>
      </c>
      <c r="E257" s="65" t="n"/>
      <c r="F257" s="65" t="inlineStr"/>
      <c r="G257" s="65" t="n"/>
      <c r="H257" s="143" t="n">
        <v>0</v>
      </c>
      <c r="I257" s="64" t="inlineStr">
        <is>
          <t>طرف حساب</t>
        </is>
      </c>
      <c r="J257" s="64" t="inlineStr">
        <is>
          <t>بله</t>
        </is>
      </c>
      <c r="K257">
        <f>IF($A257="","",IF(LEFT($A257,3)="CAP","سرمایه و آورده صاحبان",IF(LEFT($A257,2)="SL","بارفروش",IF(LEFT($A257,2)="BD","باسکول دیگران",IF(LEFT($A257,1)="C","باغدار",IF(LEFT($A257,1)="S","فروشنده سبد/تأمین‌کننده",IF(LEFT($A257,1)="E","کارمند",IF(LEFT($A257,1)="X","سایر حساب",IF(LEFT($A257,1)="F","دارایی ثابت",IF(LEFT($A257,1)="L","وام و تسهیلات",""))))))))))</f>
        <v/>
      </c>
      <c r="L257" s="65" t="n"/>
      <c r="M257">
        <f>IF(OR($B257="",$A257=""),"",IF(OR($B257=$K257,AND(LEFT($A257,1)="S",OR($B257="فروشنده سبد",$B257="تأمین‌کننده")),AND(LEFT($A257,2)="BD",$B257="باسکول دیگران")),"✓","⚠"))</f>
        <v/>
      </c>
    </row>
    <row r="258" ht="21" customHeight="1">
      <c r="A258" s="67" t="inlineStr">
        <is>
          <t>BD019</t>
        </is>
      </c>
      <c r="B258" s="64" t="inlineStr">
        <is>
          <t>باسکول دیگران</t>
        </is>
      </c>
      <c r="C258" s="65" t="n"/>
      <c r="D258" s="65" t="inlineStr">
        <is>
          <t>وحید عباسی</t>
        </is>
      </c>
      <c r="E258" s="65" t="n"/>
      <c r="F258" s="65" t="inlineStr"/>
      <c r="G258" s="65" t="n"/>
      <c r="H258" s="143" t="n">
        <v>0</v>
      </c>
      <c r="I258" s="64" t="inlineStr">
        <is>
          <t>طرف حساب</t>
        </is>
      </c>
      <c r="J258" s="64" t="inlineStr">
        <is>
          <t>بله</t>
        </is>
      </c>
      <c r="K258">
        <f>IF($A258="","",IF(LEFT($A258,3)="CAP","سرمایه و آورده صاحبان",IF(LEFT($A258,2)="SL","بارفروش",IF(LEFT($A258,2)="BD","باسکول دیگران",IF(LEFT($A258,1)="C","باغدار",IF(LEFT($A258,1)="S","فروشنده سبد/تأمین‌کننده",IF(LEFT($A258,1)="E","کارمند",IF(LEFT($A258,1)="X","سایر حساب",IF(LEFT($A258,1)="F","دارایی ثابت",IF(LEFT($A258,1)="L","وام و تسهیلات",""))))))))))</f>
        <v/>
      </c>
      <c r="L258" s="65" t="n"/>
      <c r="M258">
        <f>IF(OR($B258="",$A258=""),"",IF(OR($B258=$K258,AND(LEFT($A258,1)="S",OR($B258="فروشنده سبد",$B258="تأمین‌کننده")),AND(LEFT($A258,2)="BD",$B258="باسکول دیگران")),"✓","⚠"))</f>
        <v/>
      </c>
    </row>
    <row r="259" ht="21" customHeight="1">
      <c r="A259" s="67" t="inlineStr">
        <is>
          <t>BD020</t>
        </is>
      </c>
      <c r="B259" s="64" t="inlineStr">
        <is>
          <t>باسکول دیگران</t>
        </is>
      </c>
      <c r="C259" s="65" t="n"/>
      <c r="D259" s="65" t="inlineStr">
        <is>
          <t>شخص ۱</t>
        </is>
      </c>
      <c r="E259" s="65" t="n"/>
      <c r="F259" s="65" t="inlineStr"/>
      <c r="G259" s="65" t="n"/>
      <c r="H259" s="143" t="n">
        <v>0</v>
      </c>
      <c r="I259" s="64" t="inlineStr">
        <is>
          <t>طرف حساب</t>
        </is>
      </c>
      <c r="J259" s="64" t="inlineStr">
        <is>
          <t>بله</t>
        </is>
      </c>
      <c r="K259">
        <f>IF($A259="","",IF(LEFT($A259,3)="CAP","سرمایه و آورده صاحبان",IF(LEFT($A259,2)="SL","بارفروش",IF(LEFT($A259,2)="BD","باسکول دیگران",IF(LEFT($A259,1)="C","باغدار",IF(LEFT($A259,1)="S","فروشنده سبد/تأمین‌کننده",IF(LEFT($A259,1)="E","کارمند",IF(LEFT($A259,1)="X","سایر حساب",IF(LEFT($A259,1)="F","دارایی ثابت",IF(LEFT($A259,1)="L","وام و تسهیلات",""))))))))))</f>
        <v/>
      </c>
      <c r="L259" s="65" t="n"/>
      <c r="M259">
        <f>IF(OR($B259="",$A259=""),"",IF(OR($B259=$K259,AND(LEFT($A259,1)="S",OR($B259="فروشنده سبد",$B259="تأمین‌کننده")),AND(LEFT($A259,2)="BD",$B259="باسکول دیگران")),"✓","⚠"))</f>
        <v/>
      </c>
    </row>
  </sheetData>
  <autoFilter ref="A8:M259"/>
  <mergeCells count="15">
    <mergeCell ref="J5:L5"/>
    <mergeCell ref="J6:L6"/>
    <mergeCell ref="K9:P9"/>
    <mergeCell ref="D5:F5"/>
    <mergeCell ref="A5:C5"/>
    <mergeCell ref="G5:I5"/>
    <mergeCell ref="G6:I6"/>
    <mergeCell ref="A6:C6"/>
    <mergeCell ref="K10:P14"/>
    <mergeCell ref="G4:M4"/>
    <mergeCell ref="A3:M3"/>
    <mergeCell ref="A1:H1"/>
    <mergeCell ref="I1:M1"/>
    <mergeCell ref="D6:F6"/>
    <mergeCell ref="A2:M2"/>
  </mergeCells>
  <conditionalFormatting sqref="B10:B259">
    <cfRule type="expression" priority="1" dxfId="10">
      <formula>$B10="باغدار"</formula>
    </cfRule>
    <cfRule type="expression" priority="2" dxfId="11">
      <formula>$B10="بارفروش"</formula>
    </cfRule>
    <cfRule type="expression" priority="3" dxfId="12">
      <formula>$B10="فروشنده سبد"</formula>
    </cfRule>
    <cfRule type="expression" priority="4" dxfId="13">
      <formula>$B10="تأمین‌کننده"</formula>
    </cfRule>
    <cfRule type="expression" priority="5" dxfId="14">
      <formula>$B10="کارمند"</formula>
    </cfRule>
    <cfRule type="expression" priority="6" dxfId="15">
      <formula>$B10="سایر حساب"</formula>
    </cfRule>
    <cfRule type="expression" priority="7" dxfId="16">
      <formula>$B10="باسکول دیگران"</formula>
    </cfRule>
    <cfRule type="expression" priority="8" dxfId="17">
      <formula>$B10="دارایی ثابت"</formula>
    </cfRule>
    <cfRule type="expression" priority="9" dxfId="18">
      <formula>$B10="وام و تسهیلات"</formula>
    </cfRule>
    <cfRule type="expression" priority="10" dxfId="19">
      <formula>$B10="سرمایه و آورده صاحبان"</formula>
    </cfRule>
  </conditionalFormatting>
  <conditionalFormatting sqref="M10:M259">
    <cfRule type="expression" priority="11" dxfId="20">
      <formula>$M10="⚠"</formula>
    </cfRule>
  </conditionalFormatting>
  <conditionalFormatting sqref="E10:F259">
    <cfRule type="expression" priority="12" dxfId="21">
      <formula>AND($D10&lt;&gt;"",$F10="")</formula>
    </cfRule>
  </conditionalFormatting>
  <dataValidations count="4">
    <dataValidation sqref="B10:B259" showDropDown="0" showInputMessage="1" showErrorMessage="1" allowBlank="1" errorTitle="گروه نامعتبر" error="از کشوی گروه انتخاب کنید." type="list">
      <formula1>ListGroups</formula1>
    </dataValidation>
    <dataValidation sqref="C10:C259" showDropDown="0" showInputMessage="1" showErrorMessage="1" allowBlank="1" errorTitle="زیرگروه" error="زیرگروه از شیت Groups خوانده می‌شود؛ می‌توانید مقدار جدید هم بنویسید." type="list" errorStyle="warning">
      <formula1>ListSubgroups</formula1>
    </dataValidation>
    <dataValidation sqref="I10:I259" showDropDown="0" showInputMessage="1" showErrorMessage="1" allowBlank="1" type="list">
      <formula1>ListPartyTypes</formula1>
    </dataValidation>
    <dataValidation sqref="J10:J259" showDropDown="0" showInputMessage="1" showErrorMessage="1" allowBlank="1" type="list">
      <formula1>ListYesNo</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tabColor rgb="FFC4623F"/>
    <outlinePr summaryBelow="1" summaryRight="1"/>
    <pageSetUpPr fitToPage="1"/>
  </sheetPr>
  <dimension ref="A1:S33"/>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7.7109375" customWidth="1" min="1" max="1"/>
    <col width="24.7109375" customWidth="1" min="2" max="2"/>
    <col width="8.7109375" customWidth="1" min="3" max="3"/>
    <col width="11.7109375" customWidth="1" min="4" max="4"/>
    <col width="9.7109375" customWidth="1" min="5" max="5"/>
    <col width="10.7109375" customWidth="1" min="6" max="6"/>
    <col width="12.7109375" customWidth="1" min="7" max="9"/>
    <col width="10.7109375" customWidth="1" min="10" max="13"/>
    <col width="12.7109375" customWidth="1" min="14" max="15"/>
    <col width="9.7109375" customWidth="1" min="16" max="16"/>
    <col width="8.7109375" customWidth="1" min="17" max="17"/>
    <col width="44.7109375" customWidth="1" min="18" max="18"/>
    <col width="7.7109375" customWidth="1" min="19" max="19"/>
  </cols>
  <sheetData>
    <row r="1" ht="20.25" customHeight="1">
      <c r="A1" s="138" t="inlineStr">
        <is>
          <t>مازندشت — سورتینگ و بسته‌بندی مرکبات</t>
        </is>
      </c>
      <c r="O1" s="132" t="inlineStr">
        <is>
          <t>MAZANDASHT  ·  CITRUS SORTING &amp; PACKING</t>
        </is>
      </c>
    </row>
    <row r="2" ht="38.25" customHeight="1">
      <c r="A2" s="133" t="inlineStr">
        <is>
          <t>قواعد عملیات — موتور بدهکار/بستانکار سامانه</t>
        </is>
      </c>
    </row>
    <row r="3" ht="45.75" customHeight="1">
      <c r="A3" s="134" t="inlineStr">
        <is>
          <t>هر عملیات یک جهت، یک دسته، الزامات و سمت‌های حساب دارد  ·  تغییر این شیت، رفتار همه فایل‌ها را عوض می‌کند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عملیات تعریف‌شده</t>
        </is>
      </c>
      <c r="B5" s="140" t="n"/>
      <c r="C5" s="140" t="n"/>
      <c r="D5" s="108" t="n"/>
      <c r="E5" s="5" t="inlineStr">
        <is>
          <t>عملیات فعال</t>
        </is>
      </c>
      <c r="F5" s="140" t="n"/>
      <c r="G5" s="140" t="n"/>
      <c r="H5" s="108" t="n"/>
      <c r="I5" s="5" t="inlineStr">
        <is>
          <t>در کشوی باسکول</t>
        </is>
      </c>
      <c r="J5" s="140" t="n"/>
      <c r="K5" s="140" t="n"/>
      <c r="L5" s="108" t="n"/>
      <c r="M5" s="5" t="inlineStr">
        <is>
          <t>عملیات سبد</t>
        </is>
      </c>
      <c r="N5" s="140" t="n"/>
      <c r="O5" s="140" t="n"/>
      <c r="P5" s="108" t="n"/>
      <c r="Q5" s="5" t="inlineStr">
        <is>
          <t>عملیات پوز</t>
        </is>
      </c>
      <c r="R5" s="140" t="n"/>
      <c r="S5" s="108" t="n"/>
    </row>
    <row r="6" ht="33" customHeight="1">
      <c r="A6" s="52">
        <f>COUNTIF($B$10:$B$33,"?*")</f>
        <v/>
      </c>
      <c r="B6" s="141" t="n"/>
      <c r="C6" s="141" t="n"/>
      <c r="D6" s="109" t="n"/>
      <c r="E6" s="53">
        <f>COUNTIF($S$10:$S$33,"بله")</f>
        <v/>
      </c>
      <c r="F6" s="141" t="n"/>
      <c r="G6" s="141" t="n"/>
      <c r="H6" s="109" t="n"/>
      <c r="I6" s="55">
        <f>COUNTIF($P$10:$P$33,"بله")</f>
        <v/>
      </c>
      <c r="J6" s="141" t="n"/>
      <c r="K6" s="141" t="n"/>
      <c r="L6" s="109" t="n"/>
      <c r="M6" s="54">
        <f>COUNTIF($B$10:$B$33,"*سبد*")</f>
        <v/>
      </c>
      <c r="N6" s="141" t="n"/>
      <c r="O6" s="141" t="n"/>
      <c r="P6" s="109" t="n"/>
      <c r="Q6" s="62">
        <f>COUNTIF($L$10:$L$33,"بدهکار")+COUNTIF($L$10:$L$33,"بستانکار")</f>
        <v/>
      </c>
      <c r="R6" s="141" t="n"/>
      <c r="S6" s="109" t="n"/>
    </row>
    <row r="7" ht="20.25" customHeight="1">
      <c r="A7" s="69" t="inlineStr">
        <is>
          <t>شناسه عملیات</t>
        </is>
      </c>
      <c r="B7" s="144" t="n"/>
      <c r="C7" s="70" t="inlineStr">
        <is>
          <t>جهت و دسته</t>
        </is>
      </c>
      <c r="D7" s="144" t="n"/>
      <c r="E7" s="71" t="inlineStr">
        <is>
          <t>الزامات و طرف حساب</t>
        </is>
      </c>
      <c r="F7" s="145" t="n"/>
      <c r="G7" s="145" t="n"/>
      <c r="H7" s="144" t="n"/>
      <c r="I7" s="72" t="inlineStr">
        <is>
          <t>حساب معین</t>
        </is>
      </c>
      <c r="J7" s="144" t="n"/>
      <c r="K7" s="73" t="inlineStr">
        <is>
          <t>مبلغ دستی و پوز</t>
        </is>
      </c>
      <c r="L7" s="145" t="n"/>
      <c r="M7" s="145" t="n"/>
      <c r="N7" s="144" t="n"/>
      <c r="O7" s="74" t="inlineStr">
        <is>
          <t>طرف ثابت</t>
        </is>
      </c>
      <c r="P7" s="75" t="inlineStr">
        <is>
          <t>نمایش</t>
        </is>
      </c>
      <c r="Q7" s="144" t="n"/>
      <c r="R7" s="76" t="inlineStr">
        <is>
          <t>توضیح / فعال</t>
        </is>
      </c>
      <c r="S7" s="144" t="n"/>
    </row>
    <row r="8" ht="33.75" customHeight="1">
      <c r="A8" s="42" t="inlineStr">
        <is>
          <t>کد</t>
        </is>
      </c>
      <c r="B8" s="42" t="inlineStr">
        <is>
          <t>عنوان عملیات</t>
        </is>
      </c>
      <c r="C8" s="42" t="inlineStr">
        <is>
          <t>جهت</t>
        </is>
      </c>
      <c r="D8" s="42" t="inlineStr">
        <is>
          <t>دسته</t>
        </is>
      </c>
      <c r="E8" s="42" t="inlineStr">
        <is>
          <t>وزن لازم؟</t>
        </is>
      </c>
      <c r="F8" s="42" t="inlineStr">
        <is>
          <t>حساب طرف؟</t>
        </is>
      </c>
      <c r="G8" s="42" t="inlineStr">
        <is>
          <t>مبنای مبلغ طرف</t>
        </is>
      </c>
      <c r="H8" s="42" t="inlineStr">
        <is>
          <t>سمت حساب طرف</t>
        </is>
      </c>
      <c r="I8" s="42" t="inlineStr">
        <is>
          <t>حساب معین</t>
        </is>
      </c>
      <c r="J8" s="42" t="inlineStr">
        <is>
          <t>سمت معین</t>
        </is>
      </c>
      <c r="K8" s="42" t="inlineStr">
        <is>
          <t>نقش مبلغ دستی</t>
        </is>
      </c>
      <c r="L8" s="42" t="inlineStr">
        <is>
          <t>اثر پوز</t>
        </is>
      </c>
      <c r="M8" s="42" t="inlineStr">
        <is>
          <t>بانک پوز</t>
        </is>
      </c>
      <c r="N8" s="42" t="inlineStr">
        <is>
          <t>حساب مقابل پوز</t>
        </is>
      </c>
      <c r="O8" s="42" t="inlineStr">
        <is>
          <t>حساب طرف ثابت</t>
        </is>
      </c>
      <c r="P8" s="42" t="inlineStr">
        <is>
          <t>در باسکول؟</t>
        </is>
      </c>
      <c r="Q8" s="42" t="inlineStr">
        <is>
          <t>رنگ</t>
        </is>
      </c>
      <c r="R8" s="42" t="inlineStr">
        <is>
          <t>توضیح و قاعده</t>
        </is>
      </c>
      <c r="S8" s="42" t="inlineStr">
        <is>
          <t>فعال</t>
        </is>
      </c>
    </row>
    <row r="9">
      <c r="A9" s="43" t="inlineStr">
        <is>
          <t>Code</t>
        </is>
      </c>
      <c r="B9" s="43" t="inlineStr">
        <is>
          <t>Operation</t>
        </is>
      </c>
      <c r="C9" s="43" t="inlineStr">
        <is>
          <t>Direction</t>
        </is>
      </c>
      <c r="D9" s="43" t="inlineStr">
        <is>
          <t>Category</t>
        </is>
      </c>
      <c r="E9" s="43" t="inlineStr">
        <is>
          <t>Weight?</t>
        </is>
      </c>
      <c r="F9" s="43" t="inlineStr">
        <is>
          <t>Party?</t>
        </is>
      </c>
      <c r="G9" s="43" t="inlineStr">
        <is>
          <t>Party Basis</t>
        </is>
      </c>
      <c r="H9" s="43" t="inlineStr">
        <is>
          <t>Party Side</t>
        </is>
      </c>
      <c r="I9" s="43" t="inlineStr">
        <is>
          <t>Ledger</t>
        </is>
      </c>
      <c r="J9" s="43" t="inlineStr">
        <is>
          <t>Ledger Side</t>
        </is>
      </c>
      <c r="K9" s="43" t="inlineStr">
        <is>
          <t>Manual Role</t>
        </is>
      </c>
      <c r="L9" s="43" t="inlineStr">
        <is>
          <t>POS Effect</t>
        </is>
      </c>
      <c r="M9" s="43" t="inlineStr">
        <is>
          <t>POS Bank</t>
        </is>
      </c>
      <c r="N9" s="43" t="inlineStr">
        <is>
          <t>POS Counter</t>
        </is>
      </c>
      <c r="O9" s="43" t="inlineStr">
        <is>
          <t>Fixed Party</t>
        </is>
      </c>
      <c r="P9" s="43" t="inlineStr">
        <is>
          <t>In Baskol</t>
        </is>
      </c>
      <c r="Q9" s="43" t="inlineStr">
        <is>
          <t>Color</t>
        </is>
      </c>
      <c r="R9" s="43" t="inlineStr">
        <is>
          <t>Rule</t>
        </is>
      </c>
      <c r="S9" s="43" t="inlineStr">
        <is>
          <t>Active</t>
        </is>
      </c>
    </row>
    <row r="10" ht="33.75" customHeight="1">
      <c r="A10" s="59" t="inlineStr">
        <is>
          <t>OP01</t>
        </is>
      </c>
      <c r="B10" s="77" t="inlineStr">
        <is>
          <t>خرید مرکبات</t>
        </is>
      </c>
      <c r="C10" s="59" t="inlineStr">
        <is>
          <t>ورود</t>
        </is>
      </c>
      <c r="D10" s="59" t="inlineStr">
        <is>
          <t>خرید</t>
        </is>
      </c>
      <c r="E10" s="59" t="inlineStr">
        <is>
          <t>بله</t>
        </is>
      </c>
      <c r="F10" s="59" t="inlineStr">
        <is>
          <t>بله</t>
        </is>
      </c>
      <c r="G10" s="59" t="inlineStr">
        <is>
          <t>وزن</t>
        </is>
      </c>
      <c r="H10" s="59" t="inlineStr">
        <is>
          <t>بستانکار</t>
        </is>
      </c>
      <c r="I10" s="59" t="inlineStr">
        <is>
          <t>X004</t>
        </is>
      </c>
      <c r="J10" s="59" t="inlineStr">
        <is>
          <t>بدهکار</t>
        </is>
      </c>
      <c r="K10" s="59" t="inlineStr">
        <is>
          <t>افزودن</t>
        </is>
      </c>
      <c r="L10" s="59" t="inlineStr">
        <is>
          <t>—</t>
        </is>
      </c>
      <c r="M10" s="59" t="n"/>
      <c r="N10" s="59" t="n"/>
      <c r="O10" s="59" t="n"/>
      <c r="P10" s="59" t="inlineStr">
        <is>
          <t>بله</t>
        </is>
      </c>
      <c r="Q10" s="59" t="inlineStr">
        <is>
          <t>mint</t>
        </is>
      </c>
      <c r="R10" s="78" t="inlineStr">
        <is>
          <t>بدهکار: موجودی مرکبات | بستانکار: حساب باغدار. مبلغ ستون «مبلغ دستی» به بستانکاری باغدار اضافه می‌شود (کرایه/سایر).</t>
        </is>
      </c>
      <c r="S10" s="79" t="inlineStr">
        <is>
          <t>بله</t>
        </is>
      </c>
    </row>
    <row r="11" ht="33.75" customHeight="1">
      <c r="A11" s="59" t="inlineStr">
        <is>
          <t>OP02</t>
        </is>
      </c>
      <c r="B11" s="77" t="inlineStr">
        <is>
          <t>فروش بار (بارفروش)</t>
        </is>
      </c>
      <c r="C11" s="59" t="inlineStr">
        <is>
          <t>خروج</t>
        </is>
      </c>
      <c r="D11" s="59" t="inlineStr">
        <is>
          <t>فروش</t>
        </is>
      </c>
      <c r="E11" s="59" t="inlineStr">
        <is>
          <t>بله</t>
        </is>
      </c>
      <c r="F11" s="59" t="inlineStr">
        <is>
          <t>بله</t>
        </is>
      </c>
      <c r="G11" s="59" t="inlineStr">
        <is>
          <t>وزن</t>
        </is>
      </c>
      <c r="H11" s="59" t="inlineStr">
        <is>
          <t>بدهکار</t>
        </is>
      </c>
      <c r="I11" s="59" t="inlineStr">
        <is>
          <t>X006</t>
        </is>
      </c>
      <c r="J11" s="59" t="inlineStr">
        <is>
          <t>بستانکار</t>
        </is>
      </c>
      <c r="K11" s="59" t="inlineStr">
        <is>
          <t>پوز</t>
        </is>
      </c>
      <c r="L11" s="59" t="inlineStr">
        <is>
          <t>بدهکار</t>
        </is>
      </c>
      <c r="M11" s="59" t="inlineStr">
        <is>
          <t>BN02</t>
        </is>
      </c>
      <c r="N11" s="59" t="inlineStr">
        <is>
          <t>X002</t>
        </is>
      </c>
      <c r="O11" s="59" t="n"/>
      <c r="P11" s="59" t="inlineStr">
        <is>
          <t>بله</t>
        </is>
      </c>
      <c r="Q11" s="59" t="inlineStr">
        <is>
          <t>sky</t>
        </is>
      </c>
      <c r="R11" s="78" t="inlineStr">
        <is>
          <t>بدهکار: حساب بارفروش | بستانکار: فروش مرکبات. مبلغ ستون «پوز/دستی» فقط هزینه باسکول است: بدهکار صادرات ۲۰۰۶ / بستانکار درآمد باسکول؛ به حساب بارفروش کاری ندارد.</t>
        </is>
      </c>
      <c r="S11" s="79" t="inlineStr">
        <is>
          <t>بله</t>
        </is>
      </c>
    </row>
    <row r="12" ht="33.75" customHeight="1">
      <c r="A12" s="59" t="inlineStr">
        <is>
          <t>OP03</t>
        </is>
      </c>
      <c r="B12" s="77" t="inlineStr">
        <is>
          <t>فروش متفرقه / صادراتی</t>
        </is>
      </c>
      <c r="C12" s="59" t="inlineStr">
        <is>
          <t>خروج</t>
        </is>
      </c>
      <c r="D12" s="59" t="inlineStr">
        <is>
          <t>فروش</t>
        </is>
      </c>
      <c r="E12" s="59" t="inlineStr">
        <is>
          <t>بله</t>
        </is>
      </c>
      <c r="F12" s="59" t="inlineStr">
        <is>
          <t>بله</t>
        </is>
      </c>
      <c r="G12" s="59" t="inlineStr">
        <is>
          <t>وزن</t>
        </is>
      </c>
      <c r="H12" s="59" t="inlineStr">
        <is>
          <t>بدهکار</t>
        </is>
      </c>
      <c r="I12" s="59" t="inlineStr">
        <is>
          <t>X006</t>
        </is>
      </c>
      <c r="J12" s="59" t="inlineStr">
        <is>
          <t>بستانکار</t>
        </is>
      </c>
      <c r="K12" s="59" t="inlineStr">
        <is>
          <t>پوز</t>
        </is>
      </c>
      <c r="L12" s="59" t="inlineStr">
        <is>
          <t>بدهکار</t>
        </is>
      </c>
      <c r="M12" s="59" t="inlineStr">
        <is>
          <t>BN02</t>
        </is>
      </c>
      <c r="N12" s="59" t="inlineStr">
        <is>
          <t>X002</t>
        </is>
      </c>
      <c r="O12" s="59" t="n"/>
      <c r="P12" s="59" t="inlineStr">
        <is>
          <t>بله</t>
        </is>
      </c>
      <c r="Q12" s="59" t="inlineStr">
        <is>
          <t>sky</t>
        </is>
      </c>
      <c r="R12" s="78" t="inlineStr">
        <is>
          <t>مانند فروش بار؛ برای حجره‌دار و صادراتی.</t>
        </is>
      </c>
      <c r="S12" s="79" t="inlineStr">
        <is>
          <t>بله</t>
        </is>
      </c>
    </row>
    <row r="13" ht="33.75" customHeight="1">
      <c r="A13" s="59" t="inlineStr">
        <is>
          <t>OP04</t>
        </is>
      </c>
      <c r="B13" s="77" t="inlineStr">
        <is>
          <t>آبگیری</t>
        </is>
      </c>
      <c r="C13" s="59" t="inlineStr">
        <is>
          <t>خروج</t>
        </is>
      </c>
      <c r="D13" s="59" t="inlineStr">
        <is>
          <t>آبگیری</t>
        </is>
      </c>
      <c r="E13" s="59" t="inlineStr">
        <is>
          <t>بله</t>
        </is>
      </c>
      <c r="F13" s="59" t="inlineStr">
        <is>
          <t>بله</t>
        </is>
      </c>
      <c r="G13" s="59" t="inlineStr">
        <is>
          <t>مبلغ</t>
        </is>
      </c>
      <c r="H13" s="59" t="inlineStr">
        <is>
          <t>خودکار</t>
        </is>
      </c>
      <c r="I13" s="59" t="inlineStr">
        <is>
          <t>X008</t>
        </is>
      </c>
      <c r="J13" s="59" t="inlineStr">
        <is>
          <t>خودکار</t>
        </is>
      </c>
      <c r="K13" s="59" t="inlineStr">
        <is>
          <t>هیچ</t>
        </is>
      </c>
      <c r="L13" s="59" t="inlineStr">
        <is>
          <t>—</t>
        </is>
      </c>
      <c r="M13" s="59" t="n"/>
      <c r="N13" s="59" t="n"/>
      <c r="O13" s="59" t="n"/>
      <c r="P13" s="59" t="inlineStr">
        <is>
          <t>بله</t>
        </is>
      </c>
      <c r="Q13" s="59" t="inlineStr">
        <is>
          <t>lavender</t>
        </is>
      </c>
      <c r="R13" s="78" t="inlineStr">
        <is>
          <t>هم وزن و هم مبلغ وارد می‌شود. سمت حساب را خودتان (بدهکار/بستانکار) در ستون «سمت حساب» انتخاب کنید؛ طرف مقابل حساب درآمد آبگیری است.</t>
        </is>
      </c>
      <c r="S13" s="79" t="inlineStr">
        <is>
          <t>بله</t>
        </is>
      </c>
    </row>
    <row r="14" ht="33.75" customHeight="1">
      <c r="A14" s="59" t="inlineStr">
        <is>
          <t>OP05</t>
        </is>
      </c>
      <c r="B14" s="77" t="inlineStr">
        <is>
          <t>انعام مصطفی</t>
        </is>
      </c>
      <c r="C14" s="59" t="inlineStr">
        <is>
          <t>—</t>
        </is>
      </c>
      <c r="D14" s="59" t="inlineStr">
        <is>
          <t>انعام</t>
        </is>
      </c>
      <c r="E14" s="59" t="inlineStr">
        <is>
          <t>خیر</t>
        </is>
      </c>
      <c r="F14" s="59" t="inlineStr">
        <is>
          <t>خیر</t>
        </is>
      </c>
      <c r="G14" s="59" t="inlineStr">
        <is>
          <t>مبلغ</t>
        </is>
      </c>
      <c r="H14" s="59" t="inlineStr">
        <is>
          <t>بستانکار</t>
        </is>
      </c>
      <c r="I14" s="59" t="inlineStr">
        <is>
          <t>BN02</t>
        </is>
      </c>
      <c r="J14" s="59" t="inlineStr">
        <is>
          <t>بدهکار</t>
        </is>
      </c>
      <c r="K14" s="59" t="inlineStr">
        <is>
          <t>هیچ</t>
        </is>
      </c>
      <c r="L14" s="59" t="inlineStr">
        <is>
          <t>—</t>
        </is>
      </c>
      <c r="M14" s="59" t="n"/>
      <c r="N14" s="59" t="n"/>
      <c r="O14" s="59" t="inlineStr">
        <is>
          <t>X001</t>
        </is>
      </c>
      <c r="P14" s="59" t="inlineStr">
        <is>
          <t>بله</t>
        </is>
      </c>
      <c r="Q14" s="59" t="inlineStr">
        <is>
          <t>rose</t>
        </is>
      </c>
      <c r="R14" s="78" t="inlineStr">
        <is>
          <t>فقط مبلغ. بدهکار: صادرات ۲۰۰۶ (پوز باسکول) | بستانکار: انعام مصطفی. با هر انتقال/پرداخت به ایشان در شیت Payment تسویه می‌شود.</t>
        </is>
      </c>
      <c r="S14" s="79" t="inlineStr">
        <is>
          <t>بله</t>
        </is>
      </c>
    </row>
    <row r="15" ht="33.75" customHeight="1">
      <c r="A15" s="59" t="inlineStr">
        <is>
          <t>OP06</t>
        </is>
      </c>
      <c r="B15" s="77" t="inlineStr">
        <is>
          <t>باسکول دیگران</t>
        </is>
      </c>
      <c r="C15" s="59" t="inlineStr">
        <is>
          <t>—</t>
        </is>
      </c>
      <c r="D15" s="59" t="inlineStr">
        <is>
          <t>باسکول دیگران</t>
        </is>
      </c>
      <c r="E15" s="59" t="inlineStr">
        <is>
          <t>خیر</t>
        </is>
      </c>
      <c r="F15" s="59" t="inlineStr">
        <is>
          <t>بله</t>
        </is>
      </c>
      <c r="G15" s="59" t="inlineStr">
        <is>
          <t>مبلغ</t>
        </is>
      </c>
      <c r="H15" s="59" t="inlineStr">
        <is>
          <t>بدهکار</t>
        </is>
      </c>
      <c r="I15" s="59" t="inlineStr">
        <is>
          <t>X002</t>
        </is>
      </c>
      <c r="J15" s="59" t="inlineStr">
        <is>
          <t>بستانکار</t>
        </is>
      </c>
      <c r="K15" s="59" t="inlineStr">
        <is>
          <t>هیچ</t>
        </is>
      </c>
      <c r="L15" s="59" t="inlineStr">
        <is>
          <t>—</t>
        </is>
      </c>
      <c r="M15" s="59" t="n"/>
      <c r="N15" s="59" t="n"/>
      <c r="O15" s="59" t="n"/>
      <c r="P15" s="59" t="inlineStr">
        <is>
          <t>بله</t>
        </is>
      </c>
      <c r="Q15" s="59" t="inlineStr">
        <is>
          <t>sand</t>
        </is>
      </c>
      <c r="R15" s="78" t="inlineStr">
        <is>
          <t>فقط مبلغ. بدهکار: حساب صاحب باسکول دیگر (گروه باسکول دیگران) | بستانکار: درآمد باسکول.</t>
        </is>
      </c>
      <c r="S15" s="79" t="inlineStr">
        <is>
          <t>بله</t>
        </is>
      </c>
    </row>
    <row r="16" ht="33.75" customHeight="1">
      <c r="A16" s="59" t="inlineStr">
        <is>
          <t>OP07</t>
        </is>
      </c>
      <c r="B16" s="77" t="inlineStr">
        <is>
          <t>درآمد پوز باسکول (بدون طرف)</t>
        </is>
      </c>
      <c r="C16" s="59" t="inlineStr">
        <is>
          <t>—</t>
        </is>
      </c>
      <c r="D16" s="59" t="inlineStr">
        <is>
          <t>درآمد</t>
        </is>
      </c>
      <c r="E16" s="59" t="inlineStr">
        <is>
          <t>خیر</t>
        </is>
      </c>
      <c r="F16" s="59" t="inlineStr">
        <is>
          <t>خیر</t>
        </is>
      </c>
      <c r="G16" s="59" t="inlineStr">
        <is>
          <t>مبلغ</t>
        </is>
      </c>
      <c r="H16" s="59" t="inlineStr">
        <is>
          <t>—</t>
        </is>
      </c>
      <c r="I16" s="59" t="n"/>
      <c r="J16" s="59" t="inlineStr">
        <is>
          <t>—</t>
        </is>
      </c>
      <c r="K16" s="59" t="inlineStr">
        <is>
          <t>پوز</t>
        </is>
      </c>
      <c r="L16" s="59" t="inlineStr">
        <is>
          <t>بدهکار</t>
        </is>
      </c>
      <c r="M16" s="59" t="inlineStr">
        <is>
          <t>BN02</t>
        </is>
      </c>
      <c r="N16" s="59" t="inlineStr">
        <is>
          <t>X002</t>
        </is>
      </c>
      <c r="O16" s="59" t="n"/>
      <c r="P16" s="59" t="inlineStr">
        <is>
          <t>بله</t>
        </is>
      </c>
      <c r="Q16" s="59" t="inlineStr">
        <is>
          <t>sand</t>
        </is>
      </c>
      <c r="R16" s="78" t="inlineStr">
        <is>
          <t>فقط مبلغ. بدهکار: صادرات ۲۰۰۶ | بستانکار: درآمد باسکول. برای هزینه باسکول نقدی/POS بدون بار.</t>
        </is>
      </c>
      <c r="S16" s="79" t="inlineStr">
        <is>
          <t>بله</t>
        </is>
      </c>
    </row>
    <row r="17" ht="33.75" customHeight="1">
      <c r="A17" s="59" t="inlineStr">
        <is>
          <t>OP08</t>
        </is>
      </c>
      <c r="B17" s="77" t="inlineStr">
        <is>
          <t>مرجوعی خرید</t>
        </is>
      </c>
      <c r="C17" s="59" t="inlineStr">
        <is>
          <t>خروج</t>
        </is>
      </c>
      <c r="D17" s="59" t="inlineStr">
        <is>
          <t>خرید</t>
        </is>
      </c>
      <c r="E17" s="59" t="inlineStr">
        <is>
          <t>بله</t>
        </is>
      </c>
      <c r="F17" s="59" t="inlineStr">
        <is>
          <t>بله</t>
        </is>
      </c>
      <c r="G17" s="59" t="inlineStr">
        <is>
          <t>وزن</t>
        </is>
      </c>
      <c r="H17" s="59" t="inlineStr">
        <is>
          <t>بدهکار</t>
        </is>
      </c>
      <c r="I17" s="59" t="inlineStr">
        <is>
          <t>X004</t>
        </is>
      </c>
      <c r="J17" s="59" t="inlineStr">
        <is>
          <t>بستانکار</t>
        </is>
      </c>
      <c r="K17" s="59" t="inlineStr">
        <is>
          <t>افزودن</t>
        </is>
      </c>
      <c r="L17" s="59" t="inlineStr">
        <is>
          <t>—</t>
        </is>
      </c>
      <c r="M17" s="59" t="n"/>
      <c r="N17" s="59" t="n"/>
      <c r="O17" s="59" t="n"/>
      <c r="P17" s="59" t="inlineStr">
        <is>
          <t>بله</t>
        </is>
      </c>
      <c r="Q17" s="59" t="inlineStr">
        <is>
          <t>grey</t>
        </is>
      </c>
      <c r="R17" s="78" t="inlineStr">
        <is>
          <t>برگشت بار به باغدار: بدهکار باغدار | بستانکار موجودی مرکبات.</t>
        </is>
      </c>
      <c r="S17" s="79" t="inlineStr">
        <is>
          <t>بله</t>
        </is>
      </c>
    </row>
    <row r="18" ht="33.75" customHeight="1">
      <c r="A18" s="59" t="inlineStr">
        <is>
          <t>OP09</t>
        </is>
      </c>
      <c r="B18" s="77" t="inlineStr">
        <is>
          <t>مرجوعی فروش</t>
        </is>
      </c>
      <c r="C18" s="59" t="inlineStr">
        <is>
          <t>ورود</t>
        </is>
      </c>
      <c r="D18" s="59" t="inlineStr">
        <is>
          <t>فروش</t>
        </is>
      </c>
      <c r="E18" s="59" t="inlineStr">
        <is>
          <t>بله</t>
        </is>
      </c>
      <c r="F18" s="59" t="inlineStr">
        <is>
          <t>بله</t>
        </is>
      </c>
      <c r="G18" s="59" t="inlineStr">
        <is>
          <t>وزن</t>
        </is>
      </c>
      <c r="H18" s="59" t="inlineStr">
        <is>
          <t>بستانکار</t>
        </is>
      </c>
      <c r="I18" s="59" t="inlineStr">
        <is>
          <t>X006</t>
        </is>
      </c>
      <c r="J18" s="59" t="inlineStr">
        <is>
          <t>بدهکار</t>
        </is>
      </c>
      <c r="K18" s="59" t="inlineStr">
        <is>
          <t>هیچ</t>
        </is>
      </c>
      <c r="L18" s="59" t="inlineStr">
        <is>
          <t>—</t>
        </is>
      </c>
      <c r="M18" s="59" t="n"/>
      <c r="N18" s="59" t="n"/>
      <c r="O18" s="59" t="n"/>
      <c r="P18" s="59" t="inlineStr">
        <is>
          <t>بله</t>
        </is>
      </c>
      <c r="Q18" s="59" t="inlineStr">
        <is>
          <t>grey</t>
        </is>
      </c>
      <c r="R18" s="78" t="inlineStr">
        <is>
          <t>برگشت بار از بارفروش: بستانکار بارفروش | بدهکار فروش مرکبات.</t>
        </is>
      </c>
      <c r="S18" s="79" t="inlineStr">
        <is>
          <t>بله</t>
        </is>
      </c>
    </row>
    <row r="19" ht="33.75" customHeight="1">
      <c r="A19" s="59" t="inlineStr">
        <is>
          <t>OP10</t>
        </is>
      </c>
      <c r="B19" s="77" t="inlineStr">
        <is>
          <t>ضایعات / افت انبار</t>
        </is>
      </c>
      <c r="C19" s="59" t="inlineStr">
        <is>
          <t>خروج</t>
        </is>
      </c>
      <c r="D19" s="59" t="inlineStr">
        <is>
          <t>هزینه</t>
        </is>
      </c>
      <c r="E19" s="59" t="inlineStr">
        <is>
          <t>بله</t>
        </is>
      </c>
      <c r="F19" s="59" t="inlineStr">
        <is>
          <t>بله</t>
        </is>
      </c>
      <c r="G19" s="59" t="inlineStr">
        <is>
          <t>وزن</t>
        </is>
      </c>
      <c r="H19" s="59" t="inlineStr">
        <is>
          <t>بستانکار</t>
        </is>
      </c>
      <c r="I19" s="59" t="inlineStr">
        <is>
          <t>X009</t>
        </is>
      </c>
      <c r="J19" s="59" t="inlineStr">
        <is>
          <t>بدهکار</t>
        </is>
      </c>
      <c r="K19" s="59" t="inlineStr">
        <is>
          <t>هیچ</t>
        </is>
      </c>
      <c r="L19" s="59" t="inlineStr">
        <is>
          <t>—</t>
        </is>
      </c>
      <c r="M19" s="59" t="n"/>
      <c r="N19" s="59" t="n"/>
      <c r="O19" s="59" t="inlineStr">
        <is>
          <t>X004</t>
        </is>
      </c>
      <c r="P19" s="59" t="inlineStr">
        <is>
          <t>بله</t>
        </is>
      </c>
      <c r="Q19" s="59" t="inlineStr">
        <is>
          <t>grey</t>
        </is>
      </c>
      <c r="R19" s="78" t="inlineStr">
        <is>
          <t>فقط وزن و فی. طرف حساب ثابت = موجودی مرکبات (بستانکار) | هزینه ضایعات (بدهکار).</t>
        </is>
      </c>
      <c r="S19" s="79" t="inlineStr">
        <is>
          <t>بله</t>
        </is>
      </c>
    </row>
    <row r="20" ht="33.75" customHeight="1">
      <c r="A20" s="59" t="inlineStr">
        <is>
          <t>OP11</t>
        </is>
      </c>
      <c r="B20" s="77" t="inlineStr">
        <is>
          <t>انتقال بین انبار</t>
        </is>
      </c>
      <c r="C20" s="59" t="inlineStr">
        <is>
          <t>خروج</t>
        </is>
      </c>
      <c r="D20" s="59" t="inlineStr">
        <is>
          <t>انتقال</t>
        </is>
      </c>
      <c r="E20" s="59" t="inlineStr">
        <is>
          <t>بله</t>
        </is>
      </c>
      <c r="F20" s="59" t="inlineStr">
        <is>
          <t>خیر</t>
        </is>
      </c>
      <c r="G20" s="59" t="inlineStr">
        <is>
          <t>هیچ</t>
        </is>
      </c>
      <c r="H20" s="59" t="inlineStr">
        <is>
          <t>—</t>
        </is>
      </c>
      <c r="I20" s="59" t="n"/>
      <c r="J20" s="59" t="inlineStr">
        <is>
          <t>—</t>
        </is>
      </c>
      <c r="K20" s="59" t="inlineStr">
        <is>
          <t>هیچ</t>
        </is>
      </c>
      <c r="L20" s="59" t="inlineStr">
        <is>
          <t>—</t>
        </is>
      </c>
      <c r="M20" s="59" t="n"/>
      <c r="N20" s="59" t="n"/>
      <c r="O20" s="59" t="n"/>
      <c r="P20" s="59" t="inlineStr">
        <is>
          <t>بله</t>
        </is>
      </c>
      <c r="Q20" s="59" t="inlineStr">
        <is>
          <t>teal</t>
        </is>
      </c>
      <c r="R20" s="78" t="inlineStr">
        <is>
          <t>فقط برای کنترل فیزیکی؛ سند مالی ندارد.</t>
        </is>
      </c>
      <c r="S20" s="79" t="inlineStr">
        <is>
          <t>بله</t>
        </is>
      </c>
    </row>
    <row r="21" ht="33.75" customHeight="1">
      <c r="A21" s="59" t="inlineStr">
        <is>
          <t>OP12</t>
        </is>
      </c>
      <c r="B21" s="77" t="inlineStr">
        <is>
          <t>سایر ورود</t>
        </is>
      </c>
      <c r="C21" s="59" t="inlineStr">
        <is>
          <t>ورود</t>
        </is>
      </c>
      <c r="D21" s="59" t="inlineStr">
        <is>
          <t>سایر</t>
        </is>
      </c>
      <c r="E21" s="59" t="inlineStr">
        <is>
          <t>بله</t>
        </is>
      </c>
      <c r="F21" s="59" t="inlineStr">
        <is>
          <t>بله</t>
        </is>
      </c>
      <c r="G21" s="59" t="inlineStr">
        <is>
          <t>وزن</t>
        </is>
      </c>
      <c r="H21" s="59" t="inlineStr">
        <is>
          <t>بستانکار</t>
        </is>
      </c>
      <c r="I21" s="59" t="inlineStr">
        <is>
          <t>X011</t>
        </is>
      </c>
      <c r="J21" s="59" t="inlineStr">
        <is>
          <t>بدهکار</t>
        </is>
      </c>
      <c r="K21" s="59" t="inlineStr">
        <is>
          <t>افزودن</t>
        </is>
      </c>
      <c r="L21" s="59" t="inlineStr">
        <is>
          <t>—</t>
        </is>
      </c>
      <c r="M21" s="59" t="n"/>
      <c r="N21" s="59" t="n"/>
      <c r="O21" s="59" t="n"/>
      <c r="P21" s="59" t="inlineStr">
        <is>
          <t>بله</t>
        </is>
      </c>
      <c r="Q21" s="59" t="inlineStr">
        <is>
          <t>sand</t>
        </is>
      </c>
      <c r="R21" s="78" t="inlineStr">
        <is>
          <t>ورود متفرقه با طرف حساب؛ به حساب واسط می‌رود تا بعداً طبقه‌بندی شود.</t>
        </is>
      </c>
      <c r="S21" s="79" t="inlineStr">
        <is>
          <t>بله</t>
        </is>
      </c>
    </row>
    <row r="22" ht="33.75" customHeight="1">
      <c r="A22" s="59" t="inlineStr">
        <is>
          <t>OP13</t>
        </is>
      </c>
      <c r="B22" s="77" t="inlineStr">
        <is>
          <t>سایر خروج</t>
        </is>
      </c>
      <c r="C22" s="59" t="inlineStr">
        <is>
          <t>خروج</t>
        </is>
      </c>
      <c r="D22" s="59" t="inlineStr">
        <is>
          <t>سایر</t>
        </is>
      </c>
      <c r="E22" s="59" t="inlineStr">
        <is>
          <t>بله</t>
        </is>
      </c>
      <c r="F22" s="59" t="inlineStr">
        <is>
          <t>بله</t>
        </is>
      </c>
      <c r="G22" s="59" t="inlineStr">
        <is>
          <t>وزن</t>
        </is>
      </c>
      <c r="H22" s="59" t="inlineStr">
        <is>
          <t>بدهکار</t>
        </is>
      </c>
      <c r="I22" s="59" t="inlineStr">
        <is>
          <t>X011</t>
        </is>
      </c>
      <c r="J22" s="59" t="inlineStr">
        <is>
          <t>بستانکار</t>
        </is>
      </c>
      <c r="K22" s="59" t="inlineStr">
        <is>
          <t>هیچ</t>
        </is>
      </c>
      <c r="L22" s="59" t="inlineStr">
        <is>
          <t>—</t>
        </is>
      </c>
      <c r="M22" s="59" t="n"/>
      <c r="N22" s="59" t="n"/>
      <c r="O22" s="59" t="n"/>
      <c r="P22" s="59" t="inlineStr">
        <is>
          <t>بله</t>
        </is>
      </c>
      <c r="Q22" s="59" t="inlineStr">
        <is>
          <t>sand</t>
        </is>
      </c>
      <c r="R22" s="78" t="inlineStr">
        <is>
          <t>خروج متفرقه با طرف حساب؛ به حساب واسط می‌رود.</t>
        </is>
      </c>
      <c r="S22" s="79" t="inlineStr">
        <is>
          <t>بله</t>
        </is>
      </c>
    </row>
    <row r="23" ht="33.75" customHeight="1">
      <c r="A23" s="59" t="inlineStr">
        <is>
          <t>OP14</t>
        </is>
      </c>
      <c r="B23" s="77" t="inlineStr">
        <is>
          <t>هزینه باسکول نقدی (درآمد)</t>
        </is>
      </c>
      <c r="C23" s="59" t="inlineStr">
        <is>
          <t>—</t>
        </is>
      </c>
      <c r="D23" s="59" t="inlineStr">
        <is>
          <t>درآمد</t>
        </is>
      </c>
      <c r="E23" s="59" t="inlineStr">
        <is>
          <t>خیر</t>
        </is>
      </c>
      <c r="F23" s="59" t="inlineStr">
        <is>
          <t>خیر</t>
        </is>
      </c>
      <c r="G23" s="59" t="inlineStr">
        <is>
          <t>مبلغ</t>
        </is>
      </c>
      <c r="H23" s="59" t="inlineStr">
        <is>
          <t>—</t>
        </is>
      </c>
      <c r="I23" s="59" t="n"/>
      <c r="J23" s="59" t="inlineStr">
        <is>
          <t>—</t>
        </is>
      </c>
      <c r="K23" s="59" t="inlineStr">
        <is>
          <t>پوز</t>
        </is>
      </c>
      <c r="L23" s="59" t="inlineStr">
        <is>
          <t>بدهکار</t>
        </is>
      </c>
      <c r="M23" s="59" t="inlineStr">
        <is>
          <t>BN02</t>
        </is>
      </c>
      <c r="N23" s="59" t="inlineStr">
        <is>
          <t>X002</t>
        </is>
      </c>
      <c r="O23" s="59" t="n"/>
      <c r="P23" s="59" t="inlineStr">
        <is>
          <t>بله</t>
        </is>
      </c>
      <c r="Q23" s="59" t="inlineStr">
        <is>
          <t>sand</t>
        </is>
      </c>
      <c r="R23" s="78" t="inlineStr">
        <is>
          <t>دریافت هزینه باسکول از مشتری بدون بار؛ بدهکار صادرات ۲۰۰۶ / بستانکار درآمد باسکول.</t>
        </is>
      </c>
      <c r="S23" s="79" t="inlineStr">
        <is>
          <t>بله</t>
        </is>
      </c>
    </row>
    <row r="24" ht="33.75" customHeight="1">
      <c r="A24" s="59" t="inlineStr">
        <is>
          <t>OP15</t>
        </is>
      </c>
      <c r="B24" s="77" t="inlineStr">
        <is>
          <t>خرید سبد</t>
        </is>
      </c>
      <c r="C24" s="59" t="inlineStr">
        <is>
          <t>ورود</t>
        </is>
      </c>
      <c r="D24" s="59" t="inlineStr">
        <is>
          <t>خرید</t>
        </is>
      </c>
      <c r="E24" s="59" t="inlineStr">
        <is>
          <t>خیر</t>
        </is>
      </c>
      <c r="F24" s="59" t="inlineStr">
        <is>
          <t>بله</t>
        </is>
      </c>
      <c r="G24" s="59" t="inlineStr">
        <is>
          <t>مبلغ</t>
        </is>
      </c>
      <c r="H24" s="59" t="inlineStr">
        <is>
          <t>بستانکار</t>
        </is>
      </c>
      <c r="I24" s="59" t="inlineStr">
        <is>
          <t>X005</t>
        </is>
      </c>
      <c r="J24" s="59" t="inlineStr">
        <is>
          <t>بدهکار</t>
        </is>
      </c>
      <c r="K24" s="59" t="inlineStr">
        <is>
          <t>هیچ</t>
        </is>
      </c>
      <c r="L24" s="59" t="inlineStr">
        <is>
          <t>—</t>
        </is>
      </c>
      <c r="M24" s="59" t="n"/>
      <c r="N24" s="59" t="n"/>
      <c r="O24" s="59" t="n"/>
      <c r="P24" s="59" t="inlineStr">
        <is>
          <t>خیر</t>
        </is>
      </c>
      <c r="Q24" s="59" t="inlineStr">
        <is>
          <t>lavender</t>
        </is>
      </c>
      <c r="R24" s="78" t="inlineStr">
        <is>
          <t>خرید سبد از فروشنده سبد: بدهکار موجودی سبد | بستانکار فروشنده سبد.</t>
        </is>
      </c>
      <c r="S24" s="79" t="inlineStr">
        <is>
          <t>بله</t>
        </is>
      </c>
    </row>
    <row r="25" ht="33.75" customHeight="1">
      <c r="A25" s="59" t="inlineStr">
        <is>
          <t>OP16</t>
        </is>
      </c>
      <c r="B25" s="77" t="inlineStr">
        <is>
          <t>فروش سبد</t>
        </is>
      </c>
      <c r="C25" s="59" t="inlineStr">
        <is>
          <t>خروج</t>
        </is>
      </c>
      <c r="D25" s="59" t="inlineStr">
        <is>
          <t>فروش</t>
        </is>
      </c>
      <c r="E25" s="59" t="inlineStr">
        <is>
          <t>خیر</t>
        </is>
      </c>
      <c r="F25" s="59" t="inlineStr">
        <is>
          <t>بله</t>
        </is>
      </c>
      <c r="G25" s="59" t="inlineStr">
        <is>
          <t>مبلغ</t>
        </is>
      </c>
      <c r="H25" s="59" t="inlineStr">
        <is>
          <t>بدهکار</t>
        </is>
      </c>
      <c r="I25" s="59" t="inlineStr">
        <is>
          <t>X007</t>
        </is>
      </c>
      <c r="J25" s="59" t="inlineStr">
        <is>
          <t>بستانکار</t>
        </is>
      </c>
      <c r="K25" s="59" t="inlineStr">
        <is>
          <t>هیچ</t>
        </is>
      </c>
      <c r="L25" s="59" t="inlineStr">
        <is>
          <t>—</t>
        </is>
      </c>
      <c r="M25" s="59" t="n"/>
      <c r="N25" s="59" t="n"/>
      <c r="O25" s="59" t="n"/>
      <c r="P25" s="59" t="inlineStr">
        <is>
          <t>خیر</t>
        </is>
      </c>
      <c r="Q25" s="59" t="inlineStr">
        <is>
          <t>lavender</t>
        </is>
      </c>
      <c r="R25" s="78" t="inlineStr">
        <is>
          <t>فروش سبد: بدهکار خریدار | بستانکار درآمد فروش سبد.</t>
        </is>
      </c>
      <c r="S25" s="79" t="inlineStr">
        <is>
          <t>بله</t>
        </is>
      </c>
    </row>
    <row r="26" ht="33.75" customHeight="1">
      <c r="A26" s="59" t="inlineStr">
        <is>
          <t>OP17</t>
        </is>
      </c>
      <c r="B26" s="77" t="inlineStr">
        <is>
          <t>مرجوعی خرید سبد</t>
        </is>
      </c>
      <c r="C26" s="59" t="inlineStr">
        <is>
          <t>خروج</t>
        </is>
      </c>
      <c r="D26" s="59" t="inlineStr">
        <is>
          <t>خرید</t>
        </is>
      </c>
      <c r="E26" s="59" t="inlineStr">
        <is>
          <t>خیر</t>
        </is>
      </c>
      <c r="F26" s="59" t="inlineStr">
        <is>
          <t>بله</t>
        </is>
      </c>
      <c r="G26" s="59" t="inlineStr">
        <is>
          <t>مبلغ</t>
        </is>
      </c>
      <c r="H26" s="59" t="inlineStr">
        <is>
          <t>بدهکار</t>
        </is>
      </c>
      <c r="I26" s="59" t="inlineStr">
        <is>
          <t>X005</t>
        </is>
      </c>
      <c r="J26" s="59" t="inlineStr">
        <is>
          <t>بستانکار</t>
        </is>
      </c>
      <c r="K26" s="59" t="inlineStr">
        <is>
          <t>هیچ</t>
        </is>
      </c>
      <c r="L26" s="59" t="inlineStr">
        <is>
          <t>—</t>
        </is>
      </c>
      <c r="M26" s="59" t="n"/>
      <c r="N26" s="59" t="n"/>
      <c r="O26" s="59" t="n"/>
      <c r="P26" s="59" t="inlineStr">
        <is>
          <t>خیر</t>
        </is>
      </c>
      <c r="Q26" s="59" t="inlineStr">
        <is>
          <t>lavender</t>
        </is>
      </c>
      <c r="R26" s="78" t="inlineStr">
        <is>
          <t>برگشت سبد به فروشنده: بدهکار فروشنده | بستانکار موجودی سبد.</t>
        </is>
      </c>
      <c r="S26" s="79" t="inlineStr">
        <is>
          <t>بله</t>
        </is>
      </c>
    </row>
    <row r="27" ht="33.75" customHeight="1">
      <c r="A27" s="59" t="inlineStr">
        <is>
          <t>OP18</t>
        </is>
      </c>
      <c r="B27" s="77" t="inlineStr">
        <is>
          <t>مرجوعی فروش سبد</t>
        </is>
      </c>
      <c r="C27" s="59" t="inlineStr">
        <is>
          <t>ورود</t>
        </is>
      </c>
      <c r="D27" s="59" t="inlineStr">
        <is>
          <t>فروش</t>
        </is>
      </c>
      <c r="E27" s="59" t="inlineStr">
        <is>
          <t>خیر</t>
        </is>
      </c>
      <c r="F27" s="59" t="inlineStr">
        <is>
          <t>بله</t>
        </is>
      </c>
      <c r="G27" s="59" t="inlineStr">
        <is>
          <t>مبلغ</t>
        </is>
      </c>
      <c r="H27" s="59" t="inlineStr">
        <is>
          <t>بستانکار</t>
        </is>
      </c>
      <c r="I27" s="59" t="inlineStr">
        <is>
          <t>X007</t>
        </is>
      </c>
      <c r="J27" s="59" t="inlineStr">
        <is>
          <t>بدهکار</t>
        </is>
      </c>
      <c r="K27" s="59" t="inlineStr">
        <is>
          <t>هیچ</t>
        </is>
      </c>
      <c r="L27" s="59" t="inlineStr">
        <is>
          <t>—</t>
        </is>
      </c>
      <c r="M27" s="59" t="n"/>
      <c r="N27" s="59" t="n"/>
      <c r="O27" s="59" t="n"/>
      <c r="P27" s="59" t="inlineStr">
        <is>
          <t>خیر</t>
        </is>
      </c>
      <c r="Q27" s="59" t="inlineStr">
        <is>
          <t>lavender</t>
        </is>
      </c>
      <c r="R27" s="78" t="inlineStr">
        <is>
          <t>برگشت سبد از خریدار: بستانکار خریدار | بدهکار فروش سبد.</t>
        </is>
      </c>
      <c r="S27" s="79" t="inlineStr">
        <is>
          <t>بله</t>
        </is>
      </c>
    </row>
    <row r="28" ht="33.75" customHeight="1">
      <c r="A28" s="59" t="inlineStr">
        <is>
          <t>OP19</t>
        </is>
      </c>
      <c r="B28" s="77" t="inlineStr">
        <is>
          <t>انتقال سبد بین انبار</t>
        </is>
      </c>
      <c r="C28" s="59" t="inlineStr">
        <is>
          <t>خروج</t>
        </is>
      </c>
      <c r="D28" s="59" t="inlineStr">
        <is>
          <t>انتقال</t>
        </is>
      </c>
      <c r="E28" s="59" t="inlineStr">
        <is>
          <t>خیر</t>
        </is>
      </c>
      <c r="F28" s="59" t="inlineStr">
        <is>
          <t>خیر</t>
        </is>
      </c>
      <c r="G28" s="59" t="inlineStr">
        <is>
          <t>هیچ</t>
        </is>
      </c>
      <c r="H28" s="59" t="inlineStr">
        <is>
          <t>—</t>
        </is>
      </c>
      <c r="I28" s="59" t="n"/>
      <c r="J28" s="59" t="inlineStr">
        <is>
          <t>—</t>
        </is>
      </c>
      <c r="K28" s="59" t="inlineStr">
        <is>
          <t>هیچ</t>
        </is>
      </c>
      <c r="L28" s="59" t="inlineStr">
        <is>
          <t>—</t>
        </is>
      </c>
      <c r="M28" s="59" t="n"/>
      <c r="N28" s="59" t="n"/>
      <c r="O28" s="59" t="n"/>
      <c r="P28" s="59" t="inlineStr">
        <is>
          <t>خیر</t>
        </is>
      </c>
      <c r="Q28" s="59" t="inlineStr">
        <is>
          <t>grey</t>
        </is>
      </c>
      <c r="R28" s="78" t="inlineStr">
        <is>
          <t>فقط شمارش؛ سند مالی ندارد.</t>
        </is>
      </c>
      <c r="S28" s="79" t="inlineStr">
        <is>
          <t>بله</t>
        </is>
      </c>
    </row>
    <row r="29" ht="33.75" customHeight="1">
      <c r="A29" s="59" t="inlineStr">
        <is>
          <t>OP20</t>
        </is>
      </c>
      <c r="B29" s="77" t="n"/>
      <c r="C29" s="59" t="n"/>
      <c r="D29" s="59" t="n"/>
      <c r="E29" s="59" t="n"/>
      <c r="F29" s="59" t="n"/>
      <c r="G29" s="59" t="n"/>
      <c r="H29" s="59" t="n"/>
      <c r="I29" s="59" t="n"/>
      <c r="J29" s="59" t="n"/>
      <c r="K29" s="59" t="n"/>
      <c r="L29" s="59" t="n"/>
      <c r="M29" s="59" t="n"/>
      <c r="N29" s="59" t="n"/>
      <c r="O29" s="59" t="n"/>
      <c r="P29" s="59" t="n"/>
      <c r="Q29" s="59" t="n"/>
      <c r="R29" s="78" t="n"/>
      <c r="S29" s="79" t="n"/>
    </row>
    <row r="30" ht="33.75" customHeight="1">
      <c r="A30" s="59" t="inlineStr">
        <is>
          <t>OP21</t>
        </is>
      </c>
      <c r="B30" s="77" t="n"/>
      <c r="C30" s="59" t="n"/>
      <c r="D30" s="59" t="n"/>
      <c r="E30" s="59" t="n"/>
      <c r="F30" s="59" t="n"/>
      <c r="G30" s="59" t="n"/>
      <c r="H30" s="59" t="n"/>
      <c r="I30" s="59" t="n"/>
      <c r="J30" s="59" t="n"/>
      <c r="K30" s="59" t="n"/>
      <c r="L30" s="59" t="n"/>
      <c r="M30" s="59" t="n"/>
      <c r="N30" s="59" t="n"/>
      <c r="O30" s="59" t="n"/>
      <c r="P30" s="59" t="n"/>
      <c r="Q30" s="59" t="n"/>
      <c r="R30" s="78" t="n"/>
      <c r="S30" s="79" t="n"/>
    </row>
    <row r="31" ht="33.75" customHeight="1">
      <c r="A31" s="59" t="inlineStr">
        <is>
          <t>OP22</t>
        </is>
      </c>
      <c r="B31" s="77" t="n"/>
      <c r="C31" s="59" t="n"/>
      <c r="D31" s="59" t="n"/>
      <c r="E31" s="59" t="n"/>
      <c r="F31" s="59" t="n"/>
      <c r="G31" s="59" t="n"/>
      <c r="H31" s="59" t="n"/>
      <c r="I31" s="59" t="n"/>
      <c r="J31" s="59" t="n"/>
      <c r="K31" s="59" t="n"/>
      <c r="L31" s="59" t="n"/>
      <c r="M31" s="59" t="n"/>
      <c r="N31" s="59" t="n"/>
      <c r="O31" s="59" t="n"/>
      <c r="P31" s="59" t="n"/>
      <c r="Q31" s="59" t="n"/>
      <c r="R31" s="78" t="n"/>
      <c r="S31" s="79" t="n"/>
    </row>
    <row r="32" ht="33.75" customHeight="1">
      <c r="A32" s="59" t="inlineStr">
        <is>
          <t>OP23</t>
        </is>
      </c>
      <c r="B32" s="77" t="n"/>
      <c r="C32" s="59" t="n"/>
      <c r="D32" s="59" t="n"/>
      <c r="E32" s="59" t="n"/>
      <c r="F32" s="59" t="n"/>
      <c r="G32" s="59" t="n"/>
      <c r="H32" s="59" t="n"/>
      <c r="I32" s="59" t="n"/>
      <c r="J32" s="59" t="n"/>
      <c r="K32" s="59" t="n"/>
      <c r="L32" s="59" t="n"/>
      <c r="M32" s="59" t="n"/>
      <c r="N32" s="59" t="n"/>
      <c r="O32" s="59" t="n"/>
      <c r="P32" s="59" t="n"/>
      <c r="Q32" s="59" t="n"/>
      <c r="R32" s="78" t="n"/>
      <c r="S32" s="79" t="n"/>
    </row>
    <row r="33" ht="33.75" customHeight="1">
      <c r="A33" s="59" t="inlineStr">
        <is>
          <t>OP24</t>
        </is>
      </c>
      <c r="B33" s="77" t="n"/>
      <c r="C33" s="59" t="n"/>
      <c r="D33" s="59" t="n"/>
      <c r="E33" s="59" t="n"/>
      <c r="F33" s="59" t="n"/>
      <c r="G33" s="59" t="n"/>
      <c r="H33" s="59" t="n"/>
      <c r="I33" s="59" t="n"/>
      <c r="J33" s="59" t="n"/>
      <c r="K33" s="59" t="n"/>
      <c r="L33" s="59" t="n"/>
      <c r="M33" s="59" t="n"/>
      <c r="N33" s="59" t="n"/>
      <c r="O33" s="59" t="n"/>
      <c r="P33" s="59" t="n"/>
      <c r="Q33" s="59" t="n"/>
      <c r="R33" s="78" t="n"/>
      <c r="S33" s="79" t="n"/>
    </row>
  </sheetData>
  <autoFilter ref="A8:S34"/>
  <mergeCells count="22">
    <mergeCell ref="A5:D5"/>
    <mergeCell ref="Q5:S5"/>
    <mergeCell ref="G4:S4"/>
    <mergeCell ref="E7:H7"/>
    <mergeCell ref="K7:N7"/>
    <mergeCell ref="A1:N1"/>
    <mergeCell ref="Q6:S6"/>
    <mergeCell ref="A7:B7"/>
    <mergeCell ref="R7:S7"/>
    <mergeCell ref="I7:J7"/>
    <mergeCell ref="O1:S1"/>
    <mergeCell ref="I6:L6"/>
    <mergeCell ref="E5:H5"/>
    <mergeCell ref="M5:P5"/>
    <mergeCell ref="A6:D6"/>
    <mergeCell ref="P7:Q7"/>
    <mergeCell ref="C7:D7"/>
    <mergeCell ref="E6:H6"/>
    <mergeCell ref="A3:S3"/>
    <mergeCell ref="M6:P6"/>
    <mergeCell ref="A2:S2"/>
    <mergeCell ref="I5:L5"/>
  </mergeCells>
  <conditionalFormatting sqref="A10:R34">
    <cfRule type="expression" priority="1" dxfId="22">
      <formula>$Q10="mint"</formula>
    </cfRule>
    <cfRule type="expression" priority="2" dxfId="23">
      <formula>$Q10="sky"</formula>
    </cfRule>
    <cfRule type="expression" priority="3" dxfId="24">
      <formula>$Q10="lavender"</formula>
    </cfRule>
    <cfRule type="expression" priority="4" dxfId="25">
      <formula>$Q10="rose"</formula>
    </cfRule>
    <cfRule type="expression" priority="5" dxfId="26">
      <formula>$Q10="sand"</formula>
    </cfRule>
    <cfRule type="expression" priority="6" dxfId="27">
      <formula>$Q10="grey"</formula>
    </cfRule>
    <cfRule type="expression" priority="7" dxfId="28">
      <formula>$Q10="teal"</formula>
    </cfRule>
  </conditionalFormatting>
  <dataValidations count="15">
    <dataValidation sqref="C10:C34" showDropDown="0" showInputMessage="1" showErrorMessage="1" allowBlank="1" type="list">
      <formula1>ListDirections</formula1>
    </dataValidation>
    <dataValidation sqref="D10:D34" showDropDown="0" showInputMessage="1" showErrorMessage="1" allowBlank="1" type="list">
      <formula1>ListOpCategories</formula1>
    </dataValidation>
    <dataValidation sqref="E10:F34" showDropDown="0" showInputMessage="1" showErrorMessage="1" allowBlank="1" type="list">
      <formula1>ListYesNo</formula1>
    </dataValidation>
    <dataValidation sqref="G10:G34" showDropDown="0" showInputMessage="1" showErrorMessage="1" allowBlank="1" type="list">
      <formula1>ListPartyBasis</formula1>
    </dataValidation>
    <dataValidation sqref="H10:H34" showDropDown="0" showInputMessage="1" showErrorMessage="1" allowBlank="1" type="list">
      <formula1>ListSides</formula1>
    </dataValidation>
    <dataValidation sqref="I10:I34" showDropDown="0" showInputMessage="1" showErrorMessage="1" allowBlank="1" errorTitle="حساب معین" error="کد حساب از INFO/Accounts. برای حساب بدون کد، خالی بگذارید." type="list" errorStyle="warning">
      <formula1>ListAllCodes</formula1>
    </dataValidation>
    <dataValidation sqref="J10:J34" showDropDown="0" showInputMessage="1" showErrorMessage="1" allowBlank="1" type="list">
      <formula1>ListSides</formula1>
    </dataValidation>
    <dataValidation sqref="K10:K34" showDropDown="0" showInputMessage="1" showErrorMessage="1" allowBlank="1" type="list">
      <formula1>ListManualRoles</formula1>
    </dataValidation>
    <dataValidation sqref="L10:L34" showDropDown="0" showInputMessage="1" showErrorMessage="1" allowBlank="1" type="list">
      <formula1>ListPosEffects</formula1>
    </dataValidation>
    <dataValidation sqref="M10:M34" showDropDown="0" showInputMessage="1" showErrorMessage="1" allowBlank="1" type="list">
      <formula1>ListBanks</formula1>
    </dataValidation>
    <dataValidation sqref="N10:N34" showDropDown="0" showInputMessage="1" showErrorMessage="1" allowBlank="1" type="list" errorStyle="warning">
      <formula1>ListAllCodes</formula1>
    </dataValidation>
    <dataValidation sqref="O10:O34" showDropDown="0" showInputMessage="1" showErrorMessage="1" allowBlank="1" type="list" errorStyle="warning">
      <formula1>ListAllCodes</formula1>
    </dataValidation>
    <dataValidation sqref="P10:P34" showDropDown="0" showInputMessage="1" showErrorMessage="1" allowBlank="1" type="list">
      <formula1>ListYesNo</formula1>
    </dataValidation>
    <dataValidation sqref="Q10:Q34" showDropDown="0" showInputMessage="1" showErrorMessage="1" allowBlank="1" type="list">
      <formula1>ListColorKeys</formula1>
    </dataValidation>
    <dataValidation sqref="S10:S34" showDropDown="0" showInputMessage="1" showErrorMessage="1" allowBlank="1" type="list">
      <formula1>ListYesNo</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tabColor rgb="FF6B4E9E"/>
    <outlinePr summaryBelow="1" summaryRight="1"/>
    <pageSetUpPr fitToPage="1"/>
  </sheetPr>
  <dimension ref="A1:J21"/>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9.7109375" customWidth="1" min="1" max="1"/>
    <col width="26.7109375" customWidth="1" min="2" max="2"/>
    <col width="11.7109375" customWidth="1" min="3" max="4"/>
    <col width="13.7109375" customWidth="1" min="5" max="6"/>
    <col width="12.7109375" customWidth="1" min="7" max="7"/>
    <col width="26.7109375" customWidth="1" min="8" max="8"/>
    <col width="16.7109375" customWidth="1" min="9" max="9"/>
    <col width="20.7109375" customWidth="1" min="10" max="10"/>
  </cols>
  <sheetData>
    <row r="1" ht="20.25" customHeight="1">
      <c r="A1" s="138" t="inlineStr">
        <is>
          <t>مازندشت — سورتینگ و بسته‌بندی مرکبات</t>
        </is>
      </c>
      <c r="F1" s="132" t="inlineStr">
        <is>
          <t>MAZANDASHT  ·  CITRUS SORTING &amp; PACKING</t>
        </is>
      </c>
    </row>
    <row r="2" ht="38.25" customHeight="1">
      <c r="A2" s="133" t="inlineStr">
        <is>
          <t>انواع سبد و ظروف — وزن تار، قیمت و موجودی</t>
        </is>
      </c>
    </row>
    <row r="3" ht="45.75" customHeight="1">
      <c r="A3" s="134" t="inlineStr">
        <is>
          <t>وزن تار هر سبد در محاسبه وزن خالص باسکول کسر می‌شود  ·  موجودی با عملیات شیت سبد در فایل ثبت حرکت می‌کند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5" t="inlineStr">
        <is>
          <t>انواع سبد</t>
        </is>
      </c>
      <c r="B5" s="140" t="n"/>
      <c r="C5" s="108" t="n"/>
      <c r="D5" s="5" t="inlineStr">
        <is>
          <t>مجموع موجودی اولیه</t>
        </is>
      </c>
      <c r="E5" s="140" t="n"/>
      <c r="F5" s="108" t="n"/>
      <c r="G5" s="5" t="inlineStr">
        <is>
          <t>میانگین وزن تار</t>
        </is>
      </c>
      <c r="H5" s="140" t="n"/>
      <c r="I5" s="108" t="n"/>
      <c r="J5" s="5" t="inlineStr">
        <is>
          <t>ارزش موجودی اولیه</t>
        </is>
      </c>
    </row>
    <row r="6" ht="33" customHeight="1">
      <c r="A6" s="52">
        <f>COUNTIF($B$10:$B$21,"?*")</f>
        <v/>
      </c>
      <c r="B6" s="141" t="n"/>
      <c r="C6" s="109" t="n"/>
      <c r="D6" s="53">
        <f>SUM($G$10:$G$21)</f>
        <v/>
      </c>
      <c r="E6" s="141" t="n"/>
      <c r="F6" s="109" t="n"/>
      <c r="G6" s="146">
        <f>IFERROR(AVERAGEIF($C$10:$C$21,"&gt;0"),0)</f>
        <v/>
      </c>
      <c r="H6" s="141" t="n"/>
      <c r="I6" s="109" t="n"/>
      <c r="J6" s="81">
        <f>SUM($I$10:$I$21)</f>
        <v/>
      </c>
    </row>
    <row r="7" ht="6.75" customHeight="1"/>
    <row r="8" ht="33.75" customHeight="1">
      <c r="A8" s="42" t="inlineStr">
        <is>
          <t>کد</t>
        </is>
      </c>
      <c r="B8" s="42" t="inlineStr">
        <is>
          <t>نام سبد</t>
        </is>
      </c>
      <c r="C8" s="42" t="inlineStr">
        <is>
          <t>وزن تار (kg)</t>
        </is>
      </c>
      <c r="D8" s="42" t="inlineStr">
        <is>
          <t>ظرفیت (kg)</t>
        </is>
      </c>
      <c r="E8" s="42" t="inlineStr">
        <is>
          <t>قیمت خرید</t>
        </is>
      </c>
      <c r="F8" s="42" t="inlineStr">
        <is>
          <t>قیمت فروش</t>
        </is>
      </c>
      <c r="G8" s="42" t="inlineStr">
        <is>
          <t>موجودی اولیه</t>
        </is>
      </c>
      <c r="H8" s="42" t="inlineStr">
        <is>
          <t>توضیح</t>
        </is>
      </c>
      <c r="I8" s="42" t="inlineStr">
        <is>
          <t>ارزش موجودی اولیه</t>
        </is>
      </c>
      <c r="J8" s="42" t="inlineStr">
        <is>
          <t>برچسب کشویی</t>
        </is>
      </c>
    </row>
    <row r="9">
      <c r="A9" s="43" t="inlineStr">
        <is>
          <t>Code</t>
        </is>
      </c>
      <c r="B9" s="43" t="inlineStr">
        <is>
          <t>Name</t>
        </is>
      </c>
      <c r="C9" s="43" t="inlineStr">
        <is>
          <t>Tare</t>
        </is>
      </c>
      <c r="D9" s="43" t="inlineStr">
        <is>
          <t>Capacity</t>
        </is>
      </c>
      <c r="E9" s="43" t="inlineStr">
        <is>
          <t>Buy Price</t>
        </is>
      </c>
      <c r="F9" s="43" t="inlineStr">
        <is>
          <t>Sell Price</t>
        </is>
      </c>
      <c r="G9" s="43" t="inlineStr">
        <is>
          <t>Opening Qty</t>
        </is>
      </c>
      <c r="H9" s="43" t="inlineStr">
        <is>
          <t>Note</t>
        </is>
      </c>
      <c r="I9" s="43" t="inlineStr">
        <is>
          <t>Opening Value</t>
        </is>
      </c>
      <c r="J9" s="43" t="inlineStr">
        <is>
          <t>Label</t>
        </is>
      </c>
    </row>
    <row r="10" ht="23.25" customHeight="1">
      <c r="A10" s="44" t="inlineStr">
        <is>
          <t>BK01</t>
        </is>
      </c>
      <c r="B10" s="45" t="inlineStr">
        <is>
          <t>۶ک مشکی</t>
        </is>
      </c>
      <c r="C10" s="147" t="n">
        <v>1.5</v>
      </c>
      <c r="D10" s="46" t="n">
        <v>6</v>
      </c>
      <c r="E10" s="46" t="n">
        <v>45000</v>
      </c>
      <c r="F10" s="46" t="n">
        <v>55000</v>
      </c>
      <c r="G10" s="46" t="n">
        <v>1200</v>
      </c>
      <c r="H10" s="48" t="n"/>
      <c r="I10" s="83">
        <f>IF($A10="","",$G10*$E10)</f>
        <v/>
      </c>
      <c r="J10" s="84">
        <f>IF($B10="","",$A10&amp;" – "&amp;$B10)</f>
        <v/>
      </c>
    </row>
    <row r="11" ht="23.25" customHeight="1">
      <c r="A11" s="44" t="inlineStr">
        <is>
          <t>BK02</t>
        </is>
      </c>
      <c r="B11" s="45" t="inlineStr">
        <is>
          <t>درب‌۶ک</t>
        </is>
      </c>
      <c r="C11" s="147" t="n">
        <v>1.5</v>
      </c>
      <c r="D11" s="46" t="n">
        <v>6</v>
      </c>
      <c r="E11" s="46" t="n">
        <v>48000</v>
      </c>
      <c r="F11" s="46" t="n">
        <v>58000</v>
      </c>
      <c r="G11" s="46" t="n">
        <v>400</v>
      </c>
      <c r="H11" s="48" t="n"/>
      <c r="I11" s="83">
        <f>IF($A11="","",$G11*$E11)</f>
        <v/>
      </c>
      <c r="J11" s="84">
        <f>IF($B11="","",$A11&amp;" – "&amp;$B11)</f>
        <v/>
      </c>
    </row>
    <row r="12" ht="23.25" customHeight="1">
      <c r="A12" s="44" t="inlineStr">
        <is>
          <t>BK03</t>
        </is>
      </c>
      <c r="B12" s="45" t="inlineStr">
        <is>
          <t>۹ک مشکی</t>
        </is>
      </c>
      <c r="C12" s="147" t="n">
        <v>1.9</v>
      </c>
      <c r="D12" s="46" t="n">
        <v>9</v>
      </c>
      <c r="E12" s="46" t="n">
        <v>62000</v>
      </c>
      <c r="F12" s="46" t="n">
        <v>75000</v>
      </c>
      <c r="G12" s="46" t="n">
        <v>800</v>
      </c>
      <c r="H12" s="48" t="n"/>
      <c r="I12" s="83">
        <f>IF($A12="","",$G12*$E12)</f>
        <v/>
      </c>
      <c r="J12" s="84">
        <f>IF($B12="","",$A12&amp;" – "&amp;$B12)</f>
        <v/>
      </c>
    </row>
    <row r="13" ht="23.25" customHeight="1">
      <c r="A13" s="44" t="inlineStr">
        <is>
          <t>BK04</t>
        </is>
      </c>
      <c r="B13" s="45" t="inlineStr">
        <is>
          <t>ریلی کوچک آبی</t>
        </is>
      </c>
      <c r="C13" s="147" t="n">
        <v>1.3</v>
      </c>
      <c r="D13" s="46" t="n">
        <v>5</v>
      </c>
      <c r="E13" s="46" t="n">
        <v>40000</v>
      </c>
      <c r="F13" s="46" t="n">
        <v>50000</v>
      </c>
      <c r="G13" s="46" t="n">
        <v>300</v>
      </c>
      <c r="H13" s="48" t="n"/>
      <c r="I13" s="83">
        <f>IF($A13="","",$G13*$E13)</f>
        <v/>
      </c>
      <c r="J13" s="84">
        <f>IF($B13="","",$A13&amp;" – "&amp;$B13)</f>
        <v/>
      </c>
    </row>
    <row r="14" ht="23.25" customHeight="1">
      <c r="A14" s="44" t="inlineStr">
        <is>
          <t>BK05</t>
        </is>
      </c>
      <c r="B14" s="45" t="inlineStr">
        <is>
          <t>تک‌رج آبی بزرگ</t>
        </is>
      </c>
      <c r="C14" s="147" t="n">
        <v>2</v>
      </c>
      <c r="D14" s="46" t="n">
        <v>10</v>
      </c>
      <c r="E14" s="46" t="n">
        <v>70000</v>
      </c>
      <c r="F14" s="46" t="n">
        <v>85000</v>
      </c>
      <c r="G14" s="46" t="n">
        <v>250</v>
      </c>
      <c r="H14" s="48" t="n"/>
      <c r="I14" s="83">
        <f>IF($A14="","",$G14*$E14)</f>
        <v/>
      </c>
      <c r="J14" s="84">
        <f>IF($B14="","",$A14&amp;" – "&amp;$B14)</f>
        <v/>
      </c>
    </row>
    <row r="15" ht="23.25" customHeight="1">
      <c r="A15" s="44" t="inlineStr">
        <is>
          <t>BK06</t>
        </is>
      </c>
      <c r="B15" s="45" t="inlineStr">
        <is>
          <t>آبی ۲۵×۲۰</t>
        </is>
      </c>
      <c r="C15" s="147" t="n">
        <v>1.1</v>
      </c>
      <c r="D15" s="46" t="n">
        <v>4</v>
      </c>
      <c r="E15" s="46" t="n">
        <v>35000</v>
      </c>
      <c r="F15" s="46" t="n">
        <v>45000</v>
      </c>
      <c r="G15" s="46" t="n">
        <v>150</v>
      </c>
      <c r="H15" s="48" t="n"/>
      <c r="I15" s="83">
        <f>IF($A15="","",$G15*$E15)</f>
        <v/>
      </c>
      <c r="J15" s="84">
        <f>IF($B15="","",$A15&amp;" – "&amp;$B15)</f>
        <v/>
      </c>
    </row>
    <row r="16" ht="23.25" customHeight="1">
      <c r="A16" s="44" t="inlineStr">
        <is>
          <t>BK07</t>
        </is>
      </c>
      <c r="B16" s="45" t="inlineStr">
        <is>
          <t>۸ک مشکی</t>
        </is>
      </c>
      <c r="C16" s="147" t="n">
        <v>1.8</v>
      </c>
      <c r="D16" s="46" t="n">
        <v>8</v>
      </c>
      <c r="E16" s="46" t="n">
        <v>58000</v>
      </c>
      <c r="F16" s="46" t="n">
        <v>70000</v>
      </c>
      <c r="G16" s="46" t="n">
        <v>200</v>
      </c>
      <c r="H16" s="48" t="n"/>
      <c r="I16" s="83">
        <f>IF($A16="","",$G16*$E16)</f>
        <v/>
      </c>
      <c r="J16" s="84">
        <f>IF($B16="","",$A16&amp;" – "&amp;$B16)</f>
        <v/>
      </c>
    </row>
    <row r="17" ht="23.25" customHeight="1">
      <c r="A17" s="44" t="inlineStr">
        <is>
          <t>BK08</t>
        </is>
      </c>
      <c r="B17" s="45" t="n"/>
      <c r="C17" s="147" t="n">
        <v>1.5</v>
      </c>
      <c r="D17" s="46" t="n">
        <v>6</v>
      </c>
      <c r="E17" s="46" t="n">
        <v>0</v>
      </c>
      <c r="F17" s="46" t="n">
        <v>0</v>
      </c>
      <c r="G17" s="46" t="n">
        <v>0</v>
      </c>
      <c r="H17" s="48" t="n"/>
      <c r="I17" s="83">
        <f>IF($A17="","",$G17*$E17)</f>
        <v/>
      </c>
      <c r="J17" s="84">
        <f>IF($B17="","",$A17&amp;" – "&amp;$B17)</f>
        <v/>
      </c>
    </row>
    <row r="18" ht="23.25" customHeight="1">
      <c r="A18" s="44" t="inlineStr">
        <is>
          <t>BK09</t>
        </is>
      </c>
      <c r="B18" s="45" t="n"/>
      <c r="C18" s="147" t="n">
        <v>1.5</v>
      </c>
      <c r="D18" s="46" t="n">
        <v>6</v>
      </c>
      <c r="E18" s="46" t="n">
        <v>0</v>
      </c>
      <c r="F18" s="46" t="n">
        <v>0</v>
      </c>
      <c r="G18" s="46" t="n">
        <v>0</v>
      </c>
      <c r="H18" s="48" t="n"/>
      <c r="I18" s="83">
        <f>IF($A18="","",$G18*$E18)</f>
        <v/>
      </c>
      <c r="J18" s="84">
        <f>IF($B18="","",$A18&amp;" – "&amp;$B18)</f>
        <v/>
      </c>
    </row>
    <row r="19" ht="23.25" customHeight="1">
      <c r="A19" s="44" t="inlineStr">
        <is>
          <t>BK10</t>
        </is>
      </c>
      <c r="B19" s="45" t="n"/>
      <c r="C19" s="147" t="n">
        <v>1.5</v>
      </c>
      <c r="D19" s="46" t="n">
        <v>6</v>
      </c>
      <c r="E19" s="46" t="n">
        <v>0</v>
      </c>
      <c r="F19" s="46" t="n">
        <v>0</v>
      </c>
      <c r="G19" s="46" t="n">
        <v>0</v>
      </c>
      <c r="H19" s="48" t="n"/>
      <c r="I19" s="83">
        <f>IF($A19="","",$G19*$E19)</f>
        <v/>
      </c>
      <c r="J19" s="84">
        <f>IF($B19="","",$A19&amp;" – "&amp;$B19)</f>
        <v/>
      </c>
    </row>
    <row r="20" ht="23.25" customHeight="1">
      <c r="A20" s="44" t="inlineStr">
        <is>
          <t>BK11</t>
        </is>
      </c>
      <c r="B20" s="45" t="n"/>
      <c r="C20" s="147" t="n">
        <v>1.5</v>
      </c>
      <c r="D20" s="46" t="n">
        <v>6</v>
      </c>
      <c r="E20" s="46" t="n">
        <v>0</v>
      </c>
      <c r="F20" s="46" t="n">
        <v>0</v>
      </c>
      <c r="G20" s="46" t="n">
        <v>0</v>
      </c>
      <c r="H20" s="48" t="n"/>
      <c r="I20" s="83">
        <f>IF($A20="","",$G20*$E20)</f>
        <v/>
      </c>
      <c r="J20" s="84">
        <f>IF($B20="","",$A20&amp;" – "&amp;$B20)</f>
        <v/>
      </c>
    </row>
    <row r="21" ht="23.25" customHeight="1">
      <c r="A21" s="44" t="inlineStr">
        <is>
          <t>BK12</t>
        </is>
      </c>
      <c r="B21" s="45" t="n"/>
      <c r="C21" s="147" t="n">
        <v>1.5</v>
      </c>
      <c r="D21" s="46" t="n">
        <v>6</v>
      </c>
      <c r="E21" s="46" t="n">
        <v>0</v>
      </c>
      <c r="F21" s="46" t="n">
        <v>0</v>
      </c>
      <c r="G21" s="46" t="n">
        <v>0</v>
      </c>
      <c r="H21" s="48" t="n"/>
      <c r="I21" s="83">
        <f>IF($A21="","",$G21*$E21)</f>
        <v/>
      </c>
      <c r="J21" s="84">
        <f>IF($B21="","",$A21&amp;" – "&amp;$B21)</f>
        <v/>
      </c>
    </row>
  </sheetData>
  <autoFilter ref="A8:J22"/>
  <mergeCells count="11">
    <mergeCell ref="D5:F5"/>
    <mergeCell ref="A5:C5"/>
    <mergeCell ref="G5:I5"/>
    <mergeCell ref="G6:I6"/>
    <mergeCell ref="G4:J4"/>
    <mergeCell ref="A3:J3"/>
    <mergeCell ref="A6:C6"/>
    <mergeCell ref="A1:E1"/>
    <mergeCell ref="A2:J2"/>
    <mergeCell ref="F1:J1"/>
    <mergeCell ref="D6:F6"/>
  </mergeCells>
  <conditionalFormatting sqref="C10:C22">
    <cfRule type="cellIs" priority="1" operator="lessThanOrEqual" dxfId="29">
      <formula>0</formula>
    </cfRule>
  </conditionalFormatting>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tabColor rgb="FFE0A458"/>
    <outlinePr summaryBelow="1" summaryRight="1"/>
    <pageSetUpPr fitToPage="1"/>
  </sheetPr>
  <dimension ref="A1:G2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9.7109375" customWidth="1" min="1" max="1"/>
    <col width="30.7109375" customWidth="1" min="2" max="2"/>
    <col width="16.7109375" customWidth="1" min="3" max="3"/>
    <col width="11.7109375" customWidth="1" min="4" max="4"/>
    <col width="16.7109375" customWidth="1" min="5" max="5"/>
    <col width="30.7109375" customWidth="1" min="6" max="6"/>
    <col width="26.7109375" customWidth="1" min="7" max="7"/>
  </cols>
  <sheetData>
    <row r="1" ht="20.25" customHeight="1">
      <c r="A1" s="138" t="inlineStr">
        <is>
          <t>مازندشت — سورتینگ و بسته‌بندی مرکبات</t>
        </is>
      </c>
      <c r="C1" s="132" t="inlineStr">
        <is>
          <t>MAZANDASHT  ·  CITRUS SORTING &amp; PACKING</t>
        </is>
      </c>
    </row>
    <row r="2" ht="38.25" customHeight="1">
      <c r="A2" s="133" t="inlineStr">
        <is>
          <t>محصولات — خرید و فروش</t>
        </is>
      </c>
    </row>
    <row r="3" ht="45.75" customHeight="1">
      <c r="A3" s="134" t="inlineStr">
        <is>
          <t>برای هر محصول، دسته (نوع مرکبات)، واحد و سبد پیش‌فرض تعریف می‌شود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row>
    <row r="5" ht="17.25" customHeight="1">
      <c r="A5" s="5" t="inlineStr">
        <is>
          <t>محصولات</t>
        </is>
      </c>
      <c r="B5" s="108" t="n"/>
      <c r="C5" s="5" t="inlineStr">
        <is>
          <t>پرتقال</t>
        </is>
      </c>
      <c r="D5" s="108" t="n"/>
      <c r="E5" s="5" t="inlineStr">
        <is>
          <t>نارنگی</t>
        </is>
      </c>
      <c r="F5" s="108" t="n"/>
      <c r="G5" s="5" t="inlineStr">
        <is>
          <t>لیمو</t>
        </is>
      </c>
    </row>
    <row r="6" ht="33" customHeight="1">
      <c r="A6" s="52">
        <f>COUNTIF($B$10:$B$29,"?*")</f>
        <v/>
      </c>
      <c r="B6" s="109" t="n"/>
      <c r="C6" s="85">
        <f>COUNTIF($C$10:$C$29,"پرتقال")</f>
        <v/>
      </c>
      <c r="D6" s="109" t="n"/>
      <c r="E6" s="53">
        <f>COUNTIF($C$10:$C$29,"نارنگی")</f>
        <v/>
      </c>
      <c r="F6" s="109" t="n"/>
      <c r="G6" s="86">
        <f>COUNTIF($C$10:$C$29,"لیمو")</f>
        <v/>
      </c>
    </row>
    <row r="7" ht="6.75" customHeight="1"/>
    <row r="8" ht="33.75" customHeight="1">
      <c r="A8" s="42" t="inlineStr">
        <is>
          <t>کد</t>
        </is>
      </c>
      <c r="B8" s="42" t="inlineStr">
        <is>
          <t>نام محصول</t>
        </is>
      </c>
      <c r="C8" s="42" t="inlineStr">
        <is>
          <t>دسته / نوع مرکبات</t>
        </is>
      </c>
      <c r="D8" s="42" t="inlineStr">
        <is>
          <t>واحد</t>
        </is>
      </c>
      <c r="E8" s="42" t="inlineStr">
        <is>
          <t>سبد پیش‌فرض</t>
        </is>
      </c>
      <c r="F8" s="42" t="inlineStr">
        <is>
          <t>توضیح</t>
        </is>
      </c>
      <c r="G8" s="42" t="inlineStr">
        <is>
          <t>برچسب کشویی</t>
        </is>
      </c>
    </row>
    <row r="9">
      <c r="A9" s="43" t="inlineStr">
        <is>
          <t>Code</t>
        </is>
      </c>
      <c r="B9" s="43" t="inlineStr">
        <is>
          <t>Product</t>
        </is>
      </c>
      <c r="C9" s="43" t="inlineStr">
        <is>
          <t>Category</t>
        </is>
      </c>
      <c r="D9" s="43" t="inlineStr">
        <is>
          <t>Unit</t>
        </is>
      </c>
      <c r="E9" s="43" t="inlineStr">
        <is>
          <t>Default Basket</t>
        </is>
      </c>
      <c r="F9" s="43" t="inlineStr">
        <is>
          <t>Note</t>
        </is>
      </c>
      <c r="G9" s="43" t="inlineStr">
        <is>
          <t>Label</t>
        </is>
      </c>
    </row>
    <row r="10" ht="23.25" customHeight="1">
      <c r="A10" s="44" t="inlineStr">
        <is>
          <t>PB01</t>
        </is>
      </c>
      <c r="B10" s="45" t="inlineStr">
        <is>
          <t>پرتقال تامسون</t>
        </is>
      </c>
      <c r="C10" s="47" t="inlineStr">
        <is>
          <t>پرتقال</t>
        </is>
      </c>
      <c r="D10" s="47" t="inlineStr">
        <is>
          <t>کیلوگرم</t>
        </is>
      </c>
      <c r="E10" s="58" t="inlineStr">
        <is>
          <t>BK03</t>
        </is>
      </c>
      <c r="F10" s="60" t="inlineStr">
        <is>
          <t>خرید از باغ / میدان بار</t>
        </is>
      </c>
      <c r="G10" s="84">
        <f>IF($B10="","",$B10&amp;" – "&amp;$C10)</f>
        <v/>
      </c>
    </row>
    <row r="11" ht="23.25" customHeight="1">
      <c r="A11" s="44" t="inlineStr">
        <is>
          <t>PB02</t>
        </is>
      </c>
      <c r="B11" s="45" t="inlineStr">
        <is>
          <t>پرتقال خونی</t>
        </is>
      </c>
      <c r="C11" s="47" t="inlineStr">
        <is>
          <t>پرتقال</t>
        </is>
      </c>
      <c r="D11" s="47" t="inlineStr">
        <is>
          <t>کیلوگرم</t>
        </is>
      </c>
      <c r="E11" s="58" t="inlineStr">
        <is>
          <t>BK03</t>
        </is>
      </c>
      <c r="F11" s="60" t="n"/>
      <c r="G11" s="84">
        <f>IF($B11="","",$B11&amp;" – "&amp;$C11)</f>
        <v/>
      </c>
    </row>
    <row r="12" ht="23.25" customHeight="1">
      <c r="A12" s="44" t="inlineStr">
        <is>
          <t>PB03</t>
        </is>
      </c>
      <c r="B12" s="45" t="inlineStr">
        <is>
          <t>پرتقال کاراکارا</t>
        </is>
      </c>
      <c r="C12" s="47" t="inlineStr">
        <is>
          <t>پرتقال</t>
        </is>
      </c>
      <c r="D12" s="47" t="inlineStr">
        <is>
          <t>کیلوگرم</t>
        </is>
      </c>
      <c r="E12" s="58" t="inlineStr">
        <is>
          <t>BK03</t>
        </is>
      </c>
      <c r="F12" s="60" t="n"/>
      <c r="G12" s="84">
        <f>IF($B12="","",$B12&amp;" – "&amp;$C12)</f>
        <v/>
      </c>
    </row>
    <row r="13" ht="23.25" customHeight="1">
      <c r="A13" s="44" t="inlineStr">
        <is>
          <t>PB04</t>
        </is>
      </c>
      <c r="B13" s="45" t="inlineStr">
        <is>
          <t>پرتقال بیروتی</t>
        </is>
      </c>
      <c r="C13" s="47" t="inlineStr">
        <is>
          <t>پرتقال</t>
        </is>
      </c>
      <c r="D13" s="47" t="inlineStr">
        <is>
          <t>کیلوگرم</t>
        </is>
      </c>
      <c r="E13" s="58" t="inlineStr">
        <is>
          <t>BK01</t>
        </is>
      </c>
      <c r="F13" s="60" t="n"/>
      <c r="G13" s="84">
        <f>IF($B13="","",$B13&amp;" – "&amp;$C13)</f>
        <v/>
      </c>
    </row>
    <row r="14" ht="23.25" customHeight="1">
      <c r="A14" s="44" t="inlineStr">
        <is>
          <t>PB05</t>
        </is>
      </c>
      <c r="B14" s="45" t="inlineStr">
        <is>
          <t>پرتقال یافا</t>
        </is>
      </c>
      <c r="C14" s="47" t="inlineStr">
        <is>
          <t>پرتقال</t>
        </is>
      </c>
      <c r="D14" s="47" t="inlineStr">
        <is>
          <t>کیلوگرم</t>
        </is>
      </c>
      <c r="E14" s="58" t="inlineStr">
        <is>
          <t>BK03</t>
        </is>
      </c>
      <c r="F14" s="60" t="n"/>
      <c r="G14" s="84">
        <f>IF($B14="","",$B14&amp;" – "&amp;$C14)</f>
        <v/>
      </c>
    </row>
    <row r="15" ht="23.25" customHeight="1">
      <c r="A15" s="44" t="inlineStr">
        <is>
          <t>PB06</t>
        </is>
      </c>
      <c r="B15" s="45" t="inlineStr">
        <is>
          <t>نارنگی پیچ</t>
        </is>
      </c>
      <c r="C15" s="47" t="inlineStr">
        <is>
          <t>نارنگی</t>
        </is>
      </c>
      <c r="D15" s="47" t="inlineStr">
        <is>
          <t>کیلوگرم</t>
        </is>
      </c>
      <c r="E15" s="58" t="inlineStr">
        <is>
          <t>BK01</t>
        </is>
      </c>
      <c r="F15" s="60" t="n"/>
      <c r="G15" s="84">
        <f>IF($B15="","",$B15&amp;" – "&amp;$C15)</f>
        <v/>
      </c>
    </row>
    <row r="16" ht="23.25" customHeight="1">
      <c r="A16" s="44" t="inlineStr">
        <is>
          <t>PB07</t>
        </is>
      </c>
      <c r="B16" s="45" t="inlineStr">
        <is>
          <t>نارنگی ژاپنی</t>
        </is>
      </c>
      <c r="C16" s="47" t="inlineStr">
        <is>
          <t>نارنگی</t>
        </is>
      </c>
      <c r="D16" s="47" t="inlineStr">
        <is>
          <t>کیلوگرم</t>
        </is>
      </c>
      <c r="E16" s="58" t="inlineStr">
        <is>
          <t>BK07</t>
        </is>
      </c>
      <c r="F16" s="60" t="n"/>
      <c r="G16" s="84">
        <f>IF($B16="","",$B16&amp;" – "&amp;$C16)</f>
        <v/>
      </c>
    </row>
    <row r="17" ht="23.25" customHeight="1">
      <c r="A17" s="44" t="inlineStr">
        <is>
          <t>PB08</t>
        </is>
      </c>
      <c r="B17" s="45" t="inlineStr">
        <is>
          <t>نارنگی اونشو</t>
        </is>
      </c>
      <c r="C17" s="47" t="inlineStr">
        <is>
          <t>نارنگی</t>
        </is>
      </c>
      <c r="D17" s="47" t="inlineStr">
        <is>
          <t>کیلوگرم</t>
        </is>
      </c>
      <c r="E17" s="58" t="inlineStr">
        <is>
          <t>BK01</t>
        </is>
      </c>
      <c r="F17" s="60" t="n"/>
      <c r="G17" s="84">
        <f>IF($B17="","",$B17&amp;" – "&amp;$C17)</f>
        <v/>
      </c>
    </row>
    <row r="18" ht="23.25" customHeight="1">
      <c r="A18" s="44" t="inlineStr">
        <is>
          <t>PB09</t>
        </is>
      </c>
      <c r="B18" s="45" t="inlineStr">
        <is>
          <t>نارنگی یافا</t>
        </is>
      </c>
      <c r="C18" s="47" t="inlineStr">
        <is>
          <t>نارنگی</t>
        </is>
      </c>
      <c r="D18" s="47" t="inlineStr">
        <is>
          <t>کیلوگرم</t>
        </is>
      </c>
      <c r="E18" s="58" t="inlineStr">
        <is>
          <t>BK01</t>
        </is>
      </c>
      <c r="F18" s="60" t="n"/>
      <c r="G18" s="84">
        <f>IF($B18="","",$B18&amp;" – "&amp;$C18)</f>
        <v/>
      </c>
    </row>
    <row r="19" ht="23.25" customHeight="1">
      <c r="A19" s="44" t="inlineStr">
        <is>
          <t>PB10</t>
        </is>
      </c>
      <c r="B19" s="45" t="inlineStr">
        <is>
          <t>لیمو شیرین</t>
        </is>
      </c>
      <c r="C19" s="47" t="inlineStr">
        <is>
          <t>لیمو</t>
        </is>
      </c>
      <c r="D19" s="47" t="inlineStr">
        <is>
          <t>کیلوگرم</t>
        </is>
      </c>
      <c r="E19" s="58" t="inlineStr">
        <is>
          <t>BK01</t>
        </is>
      </c>
      <c r="F19" s="60" t="n"/>
      <c r="G19" s="84">
        <f>IF($B19="","",$B19&amp;" – "&amp;$C19)</f>
        <v/>
      </c>
    </row>
    <row r="20" ht="23.25" customHeight="1">
      <c r="A20" s="44" t="inlineStr">
        <is>
          <t>PB11</t>
        </is>
      </c>
      <c r="B20" s="45" t="inlineStr">
        <is>
          <t>لیمو ترش</t>
        </is>
      </c>
      <c r="C20" s="47" t="inlineStr">
        <is>
          <t>لیمو</t>
        </is>
      </c>
      <c r="D20" s="47" t="inlineStr">
        <is>
          <t>کیلوگرم</t>
        </is>
      </c>
      <c r="E20" s="58" t="inlineStr">
        <is>
          <t>BK01</t>
        </is>
      </c>
      <c r="F20" s="60" t="n"/>
      <c r="G20" s="84">
        <f>IF($B20="","",$B20&amp;" – "&amp;$C20)</f>
        <v/>
      </c>
    </row>
    <row r="21" ht="23.25" customHeight="1">
      <c r="A21" s="44" t="inlineStr">
        <is>
          <t>PB12</t>
        </is>
      </c>
      <c r="B21" s="45" t="inlineStr">
        <is>
          <t>کامکوات</t>
        </is>
      </c>
      <c r="C21" s="47" t="inlineStr">
        <is>
          <t>سایر</t>
        </is>
      </c>
      <c r="D21" s="47" t="inlineStr">
        <is>
          <t>کیلوگرم</t>
        </is>
      </c>
      <c r="E21" s="58" t="inlineStr">
        <is>
          <t>BK04</t>
        </is>
      </c>
      <c r="F21" s="60" t="n"/>
      <c r="G21" s="84">
        <f>IF($B21="","",$B21&amp;" – "&amp;$C21)</f>
        <v/>
      </c>
    </row>
    <row r="22" ht="23.25" customHeight="1">
      <c r="A22" s="44" t="inlineStr">
        <is>
          <t>PB13</t>
        </is>
      </c>
      <c r="B22" s="45" t="inlineStr">
        <is>
          <t>گریپ‌فرویت</t>
        </is>
      </c>
      <c r="C22" s="47" t="inlineStr">
        <is>
          <t>گریپ‌فرویت</t>
        </is>
      </c>
      <c r="D22" s="47" t="inlineStr">
        <is>
          <t>کیلوگرم</t>
        </is>
      </c>
      <c r="E22" s="58" t="inlineStr">
        <is>
          <t>BK03</t>
        </is>
      </c>
      <c r="F22" s="60" t="n"/>
      <c r="G22" s="84">
        <f>IF($B22="","",$B22&amp;" – "&amp;$C22)</f>
        <v/>
      </c>
    </row>
    <row r="23" ht="23.25" customHeight="1">
      <c r="A23" s="44" t="inlineStr">
        <is>
          <t>PB14</t>
        </is>
      </c>
      <c r="B23" s="45" t="inlineStr">
        <is>
          <t>خرمالو</t>
        </is>
      </c>
      <c r="C23" s="47" t="inlineStr">
        <is>
          <t>سایر</t>
        </is>
      </c>
      <c r="D23" s="47" t="inlineStr">
        <is>
          <t>کیلوگرم</t>
        </is>
      </c>
      <c r="E23" s="58" t="inlineStr">
        <is>
          <t>BK01</t>
        </is>
      </c>
      <c r="F23" s="60" t="n"/>
      <c r="G23" s="84">
        <f>IF($B23="","",$B23&amp;" – "&amp;$C23)</f>
        <v/>
      </c>
    </row>
    <row r="24" ht="23.25" customHeight="1">
      <c r="A24" s="44" t="inlineStr">
        <is>
          <t>PB15</t>
        </is>
      </c>
      <c r="B24" s="45" t="inlineStr">
        <is>
          <t>نارنج</t>
        </is>
      </c>
      <c r="C24" s="47" t="inlineStr">
        <is>
          <t>سایر</t>
        </is>
      </c>
      <c r="D24" s="47" t="inlineStr">
        <is>
          <t>کیلوگرم</t>
        </is>
      </c>
      <c r="E24" s="58" t="inlineStr">
        <is>
          <t>BK03</t>
        </is>
      </c>
      <c r="F24" s="60" t="n"/>
      <c r="G24" s="84">
        <f>IF($B24="","",$B24&amp;" – "&amp;$C24)</f>
        <v/>
      </c>
    </row>
    <row r="25" ht="23.25" customHeight="1">
      <c r="A25" s="44" t="inlineStr">
        <is>
          <t>PB16</t>
        </is>
      </c>
      <c r="B25" s="45" t="n"/>
      <c r="C25" s="47" t="n"/>
      <c r="D25" s="47" t="n"/>
      <c r="E25" s="58" t="n"/>
      <c r="F25" s="60" t="n"/>
      <c r="G25" s="84">
        <f>IF($B25="","",$B25&amp;" – "&amp;$C25)</f>
        <v/>
      </c>
    </row>
    <row r="26" ht="23.25" customHeight="1">
      <c r="A26" s="44" t="inlineStr">
        <is>
          <t>PB17</t>
        </is>
      </c>
      <c r="B26" s="45" t="n"/>
      <c r="C26" s="47" t="n"/>
      <c r="D26" s="47" t="n"/>
      <c r="E26" s="58" t="n"/>
      <c r="F26" s="60" t="n"/>
      <c r="G26" s="84">
        <f>IF($B26="","",$B26&amp;" – "&amp;$C26)</f>
        <v/>
      </c>
    </row>
    <row r="27" ht="23.25" customHeight="1">
      <c r="A27" s="44" t="inlineStr">
        <is>
          <t>PB18</t>
        </is>
      </c>
      <c r="B27" s="45" t="n"/>
      <c r="C27" s="47" t="n"/>
      <c r="D27" s="47" t="n"/>
      <c r="E27" s="58" t="n"/>
      <c r="F27" s="60" t="n"/>
      <c r="G27" s="84">
        <f>IF($B27="","",$B27&amp;" – "&amp;$C27)</f>
        <v/>
      </c>
    </row>
    <row r="28" ht="23.25" customHeight="1">
      <c r="A28" s="44" t="inlineStr">
        <is>
          <t>PB19</t>
        </is>
      </c>
      <c r="B28" s="45" t="n"/>
      <c r="C28" s="47" t="n"/>
      <c r="D28" s="47" t="n"/>
      <c r="E28" s="58" t="n"/>
      <c r="F28" s="60" t="n"/>
      <c r="G28" s="84">
        <f>IF($B28="","",$B28&amp;" – "&amp;$C28)</f>
        <v/>
      </c>
    </row>
    <row r="29" ht="23.25" customHeight="1">
      <c r="A29" s="44" t="inlineStr">
        <is>
          <t>PB20</t>
        </is>
      </c>
      <c r="B29" s="45" t="n"/>
      <c r="C29" s="47" t="n"/>
      <c r="D29" s="47" t="n"/>
      <c r="E29" s="58" t="n"/>
      <c r="F29" s="60" t="n"/>
      <c r="G29" s="84">
        <f>IF($B29="","",$B29&amp;" – "&amp;$C29)</f>
        <v/>
      </c>
    </row>
  </sheetData>
  <autoFilter ref="A8:G30"/>
  <mergeCells count="10">
    <mergeCell ref="E6:F6"/>
    <mergeCell ref="C6:D6"/>
    <mergeCell ref="A3:G3"/>
    <mergeCell ref="C1:G1"/>
    <mergeCell ref="C5:D5"/>
    <mergeCell ref="A5:B5"/>
    <mergeCell ref="E5:F5"/>
    <mergeCell ref="A2:G2"/>
    <mergeCell ref="A1:B1"/>
    <mergeCell ref="A6:B6"/>
  </mergeCells>
  <dataValidations count="3">
    <dataValidation sqref="C10:C30" showDropDown="0" showInputMessage="1" showErrorMessage="1" allowBlank="1" type="list">
      <formula1>ListCategories</formula1>
    </dataValidation>
    <dataValidation sqref="D10:D30" showDropDown="0" showInputMessage="1" showErrorMessage="1" allowBlank="1" type="list">
      <formula1>ListUnits</formula1>
    </dataValidation>
    <dataValidation sqref="E10:E30" showDropDown="0" showInputMessage="1" showErrorMessage="1" allowBlank="1" type="list">
      <formula1>ListBaskets</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tabColor rgb="FF2E6B4F"/>
    <outlinePr summaryBelow="1" summaryRight="1"/>
    <pageSetUpPr fitToPage="1"/>
  </sheetPr>
  <dimension ref="A1:G19"/>
  <sheetViews>
    <sheetView showGridLines="0" rightToLeft="1" zoomScale="88" zoomScaleNormal="88" workbookViewId="0">
      <pane xSplit="2" ySplit="9" topLeftCell="C10" activePane="bottomRight" state="frozen"/>
      <selection pane="topRight" activeCell="C1" sqref="C1"/>
      <selection pane="bottomLeft" activeCell="A10" sqref="A10"/>
      <selection pane="bottomRight" activeCell="A1" sqref="A1"/>
    </sheetView>
  </sheetViews>
  <sheetFormatPr baseColWidth="8" defaultRowHeight="15"/>
  <cols>
    <col width="11.7109375" customWidth="1" min="1" max="1"/>
    <col width="34.7109375" customWidth="1" min="2" max="2"/>
    <col width="16.7109375" customWidth="1" min="3" max="3"/>
    <col width="22.7109375" customWidth="1" min="4" max="4"/>
    <col width="26.7109375" customWidth="1" min="5" max="5"/>
    <col width="8.7109375" customWidth="1" min="6" max="6"/>
    <col width="38.7109375" customWidth="1" min="7" max="7"/>
  </cols>
  <sheetData>
    <row r="1" ht="20.25" customHeight="1">
      <c r="A1" s="138" t="inlineStr">
        <is>
          <t>مازندشت — سورتینگ و بسته‌بندی مرکبات</t>
        </is>
      </c>
      <c r="C1" s="132" t="inlineStr">
        <is>
          <t>MAZANDASHT  ·  CITRUS SORTING &amp; PACKING</t>
        </is>
      </c>
    </row>
    <row r="2" ht="38.25" customHeight="1">
      <c r="A2" s="133" t="inlineStr">
        <is>
          <t>بانک‌ها و حساب‌های شرکت</t>
        </is>
      </c>
    </row>
    <row r="3" ht="45.75" customHeight="1">
      <c r="A3" s="134" t="inlineStr">
        <is>
          <t>کد بانک ثابت است؛ عنوان را آزادانه عوض کنید  ·  پوز باسکول به صادرات ۲۰۰۶ وصل است</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row>
    <row r="5" ht="17.25" customHeight="1">
      <c r="A5" s="5" t="inlineStr">
        <is>
          <t>بانک‌ها</t>
        </is>
      </c>
      <c r="B5" s="140" t="n"/>
      <c r="C5" s="108" t="n"/>
      <c r="D5" s="5" t="inlineStr">
        <is>
          <t>بانک فعال</t>
        </is>
      </c>
      <c r="E5" s="140" t="n"/>
      <c r="F5" s="108" t="n"/>
      <c r="G5" s="5" t="inlineStr">
        <is>
          <t>مانده اولیه</t>
        </is>
      </c>
    </row>
    <row r="6" ht="33" customHeight="1">
      <c r="A6" s="52">
        <f>COUNTIF($A$10:$A$19,"?*")</f>
        <v/>
      </c>
      <c r="B6" s="141" t="n"/>
      <c r="C6" s="109" t="n"/>
      <c r="D6" s="53">
        <f>COUNTIF($F$10:$F$19,"بله")</f>
        <v/>
      </c>
      <c r="E6" s="141" t="n"/>
      <c r="F6" s="109" t="n"/>
      <c r="G6" s="53">
        <f>SUM($C$10:$C$19)</f>
        <v/>
      </c>
    </row>
    <row r="7" ht="6.75" customHeight="1"/>
    <row r="8" ht="33.75" customHeight="1">
      <c r="A8" s="42" t="inlineStr">
        <is>
          <t>کد بانک</t>
        </is>
      </c>
      <c r="B8" s="42" t="inlineStr">
        <is>
          <t>عنوان نمایشی</t>
        </is>
      </c>
      <c r="C8" s="42" t="inlineStr">
        <is>
          <t>مانده اولیه</t>
        </is>
      </c>
      <c r="D8" s="42" t="inlineStr">
        <is>
          <t>کد حساب معین</t>
        </is>
      </c>
      <c r="E8" s="42" t="inlineStr">
        <is>
          <t>شبا</t>
        </is>
      </c>
      <c r="F8" s="42" t="inlineStr">
        <is>
          <t>فعال</t>
        </is>
      </c>
      <c r="G8" s="42" t="inlineStr">
        <is>
          <t>توضیح</t>
        </is>
      </c>
    </row>
    <row r="9">
      <c r="A9" s="43" t="inlineStr">
        <is>
          <t>Code</t>
        </is>
      </c>
      <c r="B9" s="43" t="inlineStr">
        <is>
          <t>Title</t>
        </is>
      </c>
      <c r="C9" s="43" t="inlineStr">
        <is>
          <t>Opening</t>
        </is>
      </c>
      <c r="D9" s="43" t="inlineStr">
        <is>
          <t>Ledger</t>
        </is>
      </c>
      <c r="E9" s="43" t="inlineStr">
        <is>
          <t>IBAN</t>
        </is>
      </c>
      <c r="F9" s="43" t="inlineStr">
        <is>
          <t>Active</t>
        </is>
      </c>
      <c r="G9" s="43" t="inlineStr">
        <is>
          <t>Note</t>
        </is>
      </c>
    </row>
    <row r="10" ht="24" customHeight="1">
      <c r="A10" s="44" t="inlineStr">
        <is>
          <t>BN01</t>
        </is>
      </c>
      <c r="B10" s="45" t="inlineStr">
        <is>
          <t>صادرات ۹۰۰۹ — جاری اصلی</t>
        </is>
      </c>
      <c r="C10" s="46" t="n">
        <v>500000000</v>
      </c>
      <c r="D10" s="58" t="inlineStr">
        <is>
          <t>BN01</t>
        </is>
      </c>
      <c r="E10" s="59" t="n"/>
      <c r="F10" s="47" t="inlineStr">
        <is>
          <t>بله</t>
        </is>
      </c>
      <c r="G10" s="60" t="inlineStr">
        <is>
          <t>حساب جاری اصلی شرکت</t>
        </is>
      </c>
    </row>
    <row r="11" ht="24" customHeight="1">
      <c r="A11" s="44" t="inlineStr">
        <is>
          <t>BN02</t>
        </is>
      </c>
      <c r="B11" s="45" t="inlineStr">
        <is>
          <t>صادرات ۲۰۰۶ — پوز باسکول</t>
        </is>
      </c>
      <c r="C11" s="46" t="n">
        <v>0</v>
      </c>
      <c r="D11" s="58" t="inlineStr">
        <is>
          <t>BN02</t>
        </is>
      </c>
      <c r="E11" s="59" t="n"/>
      <c r="F11" s="47" t="inlineStr">
        <is>
          <t>بله</t>
        </is>
      </c>
      <c r="G11" s="60" t="inlineStr">
        <is>
          <t>پوز باسکول به این حساب وصل است</t>
        </is>
      </c>
    </row>
    <row r="12" ht="24" customHeight="1">
      <c r="A12" s="44" t="inlineStr">
        <is>
          <t>BN03</t>
        </is>
      </c>
      <c r="B12" s="45" t="inlineStr">
        <is>
          <t>ملت</t>
        </is>
      </c>
      <c r="C12" s="46" t="n">
        <v>0</v>
      </c>
      <c r="D12" s="58" t="inlineStr">
        <is>
          <t>BN03</t>
        </is>
      </c>
      <c r="E12" s="59" t="n"/>
      <c r="F12" s="47" t="inlineStr">
        <is>
          <t>بله</t>
        </is>
      </c>
      <c r="G12" s="60" t="n"/>
    </row>
    <row r="13" ht="24" customHeight="1">
      <c r="A13" s="44" t="inlineStr">
        <is>
          <t>BN04</t>
        </is>
      </c>
      <c r="B13" s="45" t="inlineStr">
        <is>
          <t>کشاورزی</t>
        </is>
      </c>
      <c r="C13" s="46" t="n">
        <v>0</v>
      </c>
      <c r="D13" s="58" t="inlineStr">
        <is>
          <t>BN04</t>
        </is>
      </c>
      <c r="E13" s="59" t="n"/>
      <c r="F13" s="47" t="inlineStr">
        <is>
          <t>بله</t>
        </is>
      </c>
      <c r="G13" s="60" t="n"/>
    </row>
    <row r="14" ht="24" customHeight="1">
      <c r="A14" s="44" t="inlineStr">
        <is>
          <t>BN05</t>
        </is>
      </c>
      <c r="B14" s="45" t="inlineStr">
        <is>
          <t>سپه</t>
        </is>
      </c>
      <c r="C14" s="46" t="n">
        <v>0</v>
      </c>
      <c r="D14" s="58" t="inlineStr">
        <is>
          <t>BN05</t>
        </is>
      </c>
      <c r="E14" s="59" t="n"/>
      <c r="F14" s="47" t="inlineStr">
        <is>
          <t>بله</t>
        </is>
      </c>
      <c r="G14" s="60" t="n"/>
    </row>
    <row r="15" ht="24" customHeight="1">
      <c r="A15" s="44" t="inlineStr">
        <is>
          <t>BN06</t>
        </is>
      </c>
      <c r="B15" s="45" t="inlineStr">
        <is>
          <t>مهر ایران</t>
        </is>
      </c>
      <c r="C15" s="46" t="n">
        <v>0</v>
      </c>
      <c r="D15" s="58" t="inlineStr">
        <is>
          <t>BN06</t>
        </is>
      </c>
      <c r="E15" s="59" t="n"/>
      <c r="F15" s="47" t="inlineStr">
        <is>
          <t>بله</t>
        </is>
      </c>
      <c r="G15" s="60" t="n"/>
    </row>
    <row r="16" ht="24" customHeight="1">
      <c r="A16" s="44" t="inlineStr">
        <is>
          <t>BN07</t>
        </is>
      </c>
      <c r="B16" s="45" t="inlineStr">
        <is>
          <t>تجارت</t>
        </is>
      </c>
      <c r="C16" s="46" t="n">
        <v>0</v>
      </c>
      <c r="D16" s="58" t="inlineStr">
        <is>
          <t>BN07</t>
        </is>
      </c>
      <c r="E16" s="59" t="n"/>
      <c r="F16" s="47" t="inlineStr">
        <is>
          <t>بله</t>
        </is>
      </c>
      <c r="G16" s="60" t="n"/>
    </row>
    <row r="17" ht="24" customHeight="1">
      <c r="A17" s="44" t="inlineStr">
        <is>
          <t>BN08</t>
        </is>
      </c>
      <c r="B17" s="45" t="inlineStr">
        <is>
          <t>پاسارگاد</t>
        </is>
      </c>
      <c r="C17" s="46" t="n">
        <v>0</v>
      </c>
      <c r="D17" s="58" t="inlineStr">
        <is>
          <t>BN08</t>
        </is>
      </c>
      <c r="E17" s="59" t="n"/>
      <c r="F17" s="47" t="inlineStr">
        <is>
          <t>بله</t>
        </is>
      </c>
      <c r="G17" s="60" t="n"/>
    </row>
    <row r="18" ht="24" customHeight="1">
      <c r="A18" s="44" t="inlineStr">
        <is>
          <t>BN09</t>
        </is>
      </c>
      <c r="B18" s="45" t="inlineStr">
        <is>
          <t>رفاه</t>
        </is>
      </c>
      <c r="C18" s="46" t="n">
        <v>0</v>
      </c>
      <c r="D18" s="58" t="inlineStr">
        <is>
          <t>BN09</t>
        </is>
      </c>
      <c r="E18" s="59" t="n"/>
      <c r="F18" s="47" t="inlineStr">
        <is>
          <t>بله</t>
        </is>
      </c>
      <c r="G18" s="60" t="n"/>
    </row>
    <row r="19" ht="24" customHeight="1">
      <c r="A19" s="44" t="inlineStr">
        <is>
          <t>BN10</t>
        </is>
      </c>
      <c r="B19" s="45" t="inlineStr">
        <is>
          <t>قرض‌الحسنه</t>
        </is>
      </c>
      <c r="C19" s="46" t="n">
        <v>0</v>
      </c>
      <c r="D19" s="58" t="inlineStr">
        <is>
          <t>BN10</t>
        </is>
      </c>
      <c r="E19" s="59" t="n"/>
      <c r="F19" s="47" t="inlineStr">
        <is>
          <t>بله</t>
        </is>
      </c>
      <c r="G19" s="60" t="n"/>
    </row>
  </sheetData>
  <autoFilter ref="A8:G20"/>
  <mergeCells count="8">
    <mergeCell ref="D5:F5"/>
    <mergeCell ref="A5:C5"/>
    <mergeCell ref="A3:G3"/>
    <mergeCell ref="C1:G1"/>
    <mergeCell ref="A6:C6"/>
    <mergeCell ref="A2:G2"/>
    <mergeCell ref="A1:B1"/>
    <mergeCell ref="D6:F6"/>
  </mergeCells>
  <conditionalFormatting sqref="B10:B20">
    <cfRule type="expression" priority="1" dxfId="30">
      <formula>LEFT($A10,6)="BANK02"</formula>
    </cfRule>
  </conditionalFormatting>
  <dataValidations count="1">
    <dataValidation sqref="F10:F20" showDropDown="0" showInputMessage="1" showErrorMessage="1" allowBlank="1" type="list">
      <formula1>ListYesNo</formula1>
    </dataValidation>
  </dataValidation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legacyDrawing xmlns:r="http://schemas.openxmlformats.org/officeDocument/2006/relationships" r:id="anysvml"/>
</worksheet>
</file>

<file path=xl/worksheets/sheet10.xml><?xml version="1.0" encoding="utf-8"?>
<worksheet xmlns="http://schemas.openxmlformats.org/spreadsheetml/2006/main">
  <sheetPr>
    <tabColor rgb="FF6B7A76"/>
    <outlinePr summaryBelow="1" summaryRight="1"/>
    <pageSetUpPr fitToPage="1"/>
  </sheetPr>
  <dimension ref="A1:U32"/>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15.7109375" customWidth="1" min="1" max="18"/>
    <col width="30" customWidth="1" min="19" max="19"/>
    <col width="30" customWidth="1" min="20" max="20"/>
    <col width="34" customWidth="1" min="21" max="21"/>
  </cols>
  <sheetData>
    <row r="1" ht="20.25" customHeight="1">
      <c r="A1" s="138" t="inlineStr">
        <is>
          <t>مازندشت — سورتینگ و بسته‌بندی مرکبات</t>
        </is>
      </c>
      <c r="N1" s="132" t="inlineStr">
        <is>
          <t>MAZANDASHT  ·  CITRUS SORTING &amp; PACKING</t>
        </is>
      </c>
    </row>
    <row r="2" ht="38.25" customHeight="1">
      <c r="A2" s="133" t="inlineStr">
        <is>
          <t>لیست‌های عمومی — منبع کشوهای سامانه</t>
        </is>
      </c>
    </row>
    <row r="3" ht="45.75" customHeight="1">
      <c r="A3" s="134" t="inlineStr">
        <is>
          <t>هر ستون یک لیست است؛ مقدار جدید را در ردیف خالی بعدی همان ستون بنویسید</t>
        </is>
      </c>
    </row>
    <row r="4" ht="24" customHeight="1">
      <c r="A4" s="34" t="inlineStr">
        <is>
          <t>راهنما</t>
        </is>
      </c>
      <c r="B4" s="35" t="inlineStr">
        <is>
          <t>ورود دستی</t>
        </is>
      </c>
      <c r="C4" s="36" t="inlineStr">
        <is>
          <t>خودکار</t>
        </is>
      </c>
      <c r="D4" s="37" t="inlineStr">
        <is>
          <t>ورود</t>
        </is>
      </c>
      <c r="E4" s="38" t="inlineStr">
        <is>
          <t>خروج</t>
        </is>
      </c>
      <c r="F4" s="50" t="inlineStr">
        <is>
          <t>هشدار</t>
        </is>
      </c>
      <c r="G4" s="139" t="inlineStr">
        <is>
          <t>ستون‌های زرد = ورود شما  |  ستون‌های خاکستری = محاسبه خودکار  |  روی سرستون‌ها بایستید تا راهنما باز شود</t>
        </is>
      </c>
    </row>
    <row r="5" ht="17.25" customHeight="1">
      <c r="A5" s="148" t="n"/>
    </row>
    <row r="6" ht="33" customHeight="1"/>
    <row r="7" ht="6.75" customHeight="1">
      <c r="A7" s="149" t="n"/>
    </row>
    <row r="8">
      <c r="A8" s="89" t="inlineStr">
        <is>
          <t>واحد شمارش</t>
        </is>
      </c>
      <c r="B8" s="89" t="inlineStr">
        <is>
          <t>دسته مرکبات</t>
        </is>
      </c>
      <c r="C8" s="89" t="inlineStr">
        <is>
          <t>جهت</t>
        </is>
      </c>
      <c r="D8" s="89" t="inlineStr">
        <is>
          <t>بله / خیر</t>
        </is>
      </c>
      <c r="E8" s="89" t="inlineStr">
        <is>
          <t>نوع حساب</t>
        </is>
      </c>
      <c r="F8" s="89" t="inlineStr">
        <is>
          <t>روش پرداخت</t>
        </is>
      </c>
      <c r="G8" s="89" t="inlineStr">
        <is>
          <t>وضعیت چک</t>
        </is>
      </c>
      <c r="H8" s="89" t="inlineStr">
        <is>
          <t>تیک انتخاب</t>
        </is>
      </c>
      <c r="I8" s="89" t="inlineStr">
        <is>
          <t>نقش مبلغ دستی</t>
        </is>
      </c>
      <c r="J8" s="89" t="inlineStr">
        <is>
          <t>اثر پوز</t>
        </is>
      </c>
      <c r="K8" s="89" t="inlineStr">
        <is>
          <t>سمت حساب</t>
        </is>
      </c>
      <c r="L8" s="89" t="inlineStr">
        <is>
          <t>دسته عملیات</t>
        </is>
      </c>
      <c r="M8" s="89" t="inlineStr">
        <is>
          <t>علامت وضعیت</t>
        </is>
      </c>
      <c r="N8" s="89" t="inlineStr">
        <is>
          <t>شیت گزارش</t>
        </is>
      </c>
      <c r="O8" s="89" t="inlineStr">
        <is>
          <t>مبنای طرف</t>
        </is>
      </c>
      <c r="P8" s="89" t="inlineStr">
        <is>
          <t>کلید رنگ</t>
        </is>
      </c>
      <c r="Q8" s="89" t="inlineStr">
        <is>
          <t>فصل</t>
        </is>
      </c>
      <c r="R8" s="89" t="inlineStr">
        <is>
          <t>جهت پرداخت</t>
        </is>
      </c>
      <c r="S8" s="150" t="inlineStr">
        <is>
          <t>نوع عملیات بانکی</t>
        </is>
      </c>
      <c r="T8" s="150" t="inlineStr">
        <is>
          <t>شخص باسکول دیگران</t>
        </is>
      </c>
      <c r="U8" s="150" t="inlineStr">
        <is>
          <t>بانک عامل (کد و نام)</t>
        </is>
      </c>
    </row>
    <row r="9">
      <c r="A9" s="90" t="inlineStr">
        <is>
          <t>Units</t>
        </is>
      </c>
      <c r="B9" s="90" t="inlineStr">
        <is>
          <t>Categories</t>
        </is>
      </c>
      <c r="C9" s="90" t="inlineStr">
        <is>
          <t>Directions</t>
        </is>
      </c>
      <c r="D9" s="90" t="inlineStr">
        <is>
          <t>YesNo</t>
        </is>
      </c>
      <c r="E9" s="90" t="inlineStr">
        <is>
          <t>PartyTypes</t>
        </is>
      </c>
      <c r="F9" s="90" t="inlineStr">
        <is>
          <t>PayMethods</t>
        </is>
      </c>
      <c r="G9" s="90" t="inlineStr">
        <is>
          <t>ChequeStatus</t>
        </is>
      </c>
      <c r="H9" s="90" t="inlineStr">
        <is>
          <t>Include</t>
        </is>
      </c>
      <c r="I9" s="90" t="inlineStr">
        <is>
          <t>ManualRoles</t>
        </is>
      </c>
      <c r="J9" s="90" t="inlineStr">
        <is>
          <t>PosEffects</t>
        </is>
      </c>
      <c r="K9" s="90" t="inlineStr">
        <is>
          <t>Sides</t>
        </is>
      </c>
      <c r="L9" s="90" t="inlineStr">
        <is>
          <t>OpCategories</t>
        </is>
      </c>
      <c r="M9" s="90" t="inlineStr">
        <is>
          <t>StatusMarks</t>
        </is>
      </c>
      <c r="N9" s="90" t="inlineStr">
        <is>
          <t>ReportSheets</t>
        </is>
      </c>
      <c r="O9" s="90" t="inlineStr">
        <is>
          <t>PartyBasis</t>
        </is>
      </c>
      <c r="P9" s="90" t="inlineStr">
        <is>
          <t>ColorKeys</t>
        </is>
      </c>
      <c r="Q9" s="90" t="inlineStr">
        <is>
          <t>Seasons</t>
        </is>
      </c>
      <c r="R9" s="90" t="inlineStr">
        <is>
          <t>TxnDirections</t>
        </is>
      </c>
      <c r="S9" s="151" t="inlineStr">
        <is>
          <t>Bank operations</t>
        </is>
      </c>
      <c r="T9" s="151" t="inlineStr">
        <is>
          <t>Other scales</t>
        </is>
      </c>
      <c r="U9" s="151" t="inlineStr">
        <is>
          <t>Company banks</t>
        </is>
      </c>
    </row>
    <row r="10" ht="21" customHeight="1">
      <c r="A10" s="47" t="inlineStr">
        <is>
          <t>کیلوگرم</t>
        </is>
      </c>
      <c r="B10" s="47" t="inlineStr">
        <is>
          <t>پرتقال</t>
        </is>
      </c>
      <c r="C10" s="47" t="inlineStr">
        <is>
          <t>ورود</t>
        </is>
      </c>
      <c r="D10" s="47" t="inlineStr">
        <is>
          <t>بله</t>
        </is>
      </c>
      <c r="E10" s="47" t="inlineStr">
        <is>
          <t>طرف حساب</t>
        </is>
      </c>
      <c r="F10" s="47" t="inlineStr">
        <is>
          <t>نقد</t>
        </is>
      </c>
      <c r="G10" s="47" t="inlineStr">
        <is>
          <t>در جریان</t>
        </is>
      </c>
      <c r="H10" s="47" t="inlineStr">
        <is>
          <t>☑</t>
        </is>
      </c>
      <c r="I10" s="47" t="inlineStr">
        <is>
          <t>افزودن</t>
        </is>
      </c>
      <c r="J10" s="47" t="inlineStr">
        <is>
          <t>بدهکار</t>
        </is>
      </c>
      <c r="K10" s="47" t="inlineStr">
        <is>
          <t>بدهکار</t>
        </is>
      </c>
      <c r="L10" s="47" t="inlineStr">
        <is>
          <t>خرید</t>
        </is>
      </c>
      <c r="M10" s="47" t="inlineStr">
        <is>
          <t>✓</t>
        </is>
      </c>
      <c r="N10" s="47" t="inlineStr">
        <is>
          <t>Growers</t>
        </is>
      </c>
      <c r="O10" s="47" t="inlineStr">
        <is>
          <t>وزن</t>
        </is>
      </c>
      <c r="P10" s="47" t="inlineStr">
        <is>
          <t>mint</t>
        </is>
      </c>
      <c r="Q10" s="47" t="inlineStr">
        <is>
          <t>بهار</t>
        </is>
      </c>
      <c r="R10" s="47" t="inlineStr">
        <is>
          <t>پرداخت</t>
        </is>
      </c>
      <c r="S10" s="152" t="inlineStr">
        <is>
          <t>دریافت از مشتری</t>
        </is>
      </c>
      <c r="T10" s="152" t="inlineStr">
        <is>
          <t>BD001 – باسکول میدان بار (نمونه)</t>
        </is>
      </c>
      <c r="U10" s="152" t="inlineStr">
        <is>
          <t>BN01 – صادرات ۹۰۰۹ — جاری اصلی</t>
        </is>
      </c>
    </row>
    <row r="11" ht="21" customHeight="1">
      <c r="A11" s="47" t="inlineStr">
        <is>
          <t>سبد</t>
        </is>
      </c>
      <c r="B11" s="47" t="inlineStr">
        <is>
          <t>نارنگی</t>
        </is>
      </c>
      <c r="C11" s="47" t="inlineStr">
        <is>
          <t>خروج</t>
        </is>
      </c>
      <c r="D11" s="47" t="inlineStr">
        <is>
          <t>خیر</t>
        </is>
      </c>
      <c r="E11" s="47" t="inlineStr">
        <is>
          <t>معین</t>
        </is>
      </c>
      <c r="F11" s="47" t="inlineStr">
        <is>
          <t>چک</t>
        </is>
      </c>
      <c r="G11" s="47" t="inlineStr">
        <is>
          <t>پاس شده</t>
        </is>
      </c>
      <c r="H11" s="47" t="inlineStr">
        <is>
          <t>☐</t>
        </is>
      </c>
      <c r="I11" s="47" t="inlineStr">
        <is>
          <t>پوز</t>
        </is>
      </c>
      <c r="J11" s="47" t="inlineStr">
        <is>
          <t>بستانکار</t>
        </is>
      </c>
      <c r="K11" s="47" t="inlineStr">
        <is>
          <t>بستانکار</t>
        </is>
      </c>
      <c r="L11" s="47" t="inlineStr">
        <is>
          <t>فروش</t>
        </is>
      </c>
      <c r="M11" s="47" t="inlineStr">
        <is>
          <t>⚠</t>
        </is>
      </c>
      <c r="N11" s="47" t="inlineStr">
        <is>
          <t>LoadBuyers</t>
        </is>
      </c>
      <c r="O11" s="47" t="inlineStr">
        <is>
          <t>مبلغ</t>
        </is>
      </c>
      <c r="P11" s="47" t="inlineStr">
        <is>
          <t>sky</t>
        </is>
      </c>
      <c r="Q11" s="47" t="inlineStr">
        <is>
          <t>تابستان</t>
        </is>
      </c>
      <c r="R11" s="47" t="inlineStr">
        <is>
          <t>دریافت</t>
        </is>
      </c>
      <c r="S11" s="152" t="inlineStr">
        <is>
          <t>پرداخت به مشتری</t>
        </is>
      </c>
      <c r="T11" s="152" t="inlineStr">
        <is>
          <t>BD002 – (بدون نام)</t>
        </is>
      </c>
      <c r="U11" s="152" t="inlineStr">
        <is>
          <t>BN02 – صادرات ۲۰۰۶ — پوز باسکول</t>
        </is>
      </c>
    </row>
    <row r="12" ht="21" customHeight="1">
      <c r="A12" s="47" t="inlineStr">
        <is>
          <t>جعبه</t>
        </is>
      </c>
      <c r="B12" s="47" t="inlineStr">
        <is>
          <t>لیمو</t>
        </is>
      </c>
      <c r="C12" s="47" t="inlineStr">
        <is>
          <t>—</t>
        </is>
      </c>
      <c r="D12" s="47" t="n"/>
      <c r="E12" s="47" t="n"/>
      <c r="F12" s="47" t="inlineStr">
        <is>
          <t>انتقال بانکی</t>
        </is>
      </c>
      <c r="G12" s="47" t="inlineStr">
        <is>
          <t>برگشتی</t>
        </is>
      </c>
      <c r="H12" s="47" t="n"/>
      <c r="I12" s="47" t="inlineStr">
        <is>
          <t>هیچ</t>
        </is>
      </c>
      <c r="J12" s="47" t="inlineStr">
        <is>
          <t>—</t>
        </is>
      </c>
      <c r="K12" s="47" t="inlineStr">
        <is>
          <t>خودکار</t>
        </is>
      </c>
      <c r="L12" s="47" t="inlineStr">
        <is>
          <t>آبگیری</t>
        </is>
      </c>
      <c r="M12" s="47" t="n"/>
      <c r="N12" s="47" t="inlineStr">
        <is>
          <t>BasketSellers</t>
        </is>
      </c>
      <c r="O12" s="47" t="inlineStr">
        <is>
          <t>هیچ</t>
        </is>
      </c>
      <c r="P12" s="47" t="inlineStr">
        <is>
          <t>lavender</t>
        </is>
      </c>
      <c r="Q12" s="47" t="inlineStr">
        <is>
          <t>پاییز</t>
        </is>
      </c>
      <c r="R12" s="47" t="n"/>
      <c r="S12" s="152" t="inlineStr">
        <is>
          <t>دریافت نقدی و واریز به بانک</t>
        </is>
      </c>
      <c r="T12" s="152" t="inlineStr">
        <is>
          <t>BD003 – (بدون نام)</t>
        </is>
      </c>
      <c r="U12" s="152" t="inlineStr">
        <is>
          <t>BN03 – ملت</t>
        </is>
      </c>
    </row>
    <row r="13" ht="21" customHeight="1">
      <c r="A13" s="47" t="inlineStr">
        <is>
          <t>تن</t>
        </is>
      </c>
      <c r="B13" s="47" t="inlineStr">
        <is>
          <t>گریپ‌فرویت</t>
        </is>
      </c>
      <c r="C13" s="47" t="n"/>
      <c r="D13" s="47" t="n"/>
      <c r="E13" s="47" t="n"/>
      <c r="F13" s="47" t="inlineStr">
        <is>
          <t>کارت/پوز</t>
        </is>
      </c>
      <c r="G13" s="47" t="inlineStr">
        <is>
          <t>باطل</t>
        </is>
      </c>
      <c r="H13" s="47" t="n"/>
      <c r="I13" s="47" t="inlineStr">
        <is>
          <t>—</t>
        </is>
      </c>
      <c r="J13" s="47" t="n"/>
      <c r="K13" s="47" t="inlineStr">
        <is>
          <t>—</t>
        </is>
      </c>
      <c r="L13" s="47" t="inlineStr">
        <is>
          <t>انعام</t>
        </is>
      </c>
      <c r="M13" s="47" t="n"/>
      <c r="N13" s="47" t="inlineStr">
        <is>
          <t>Suppliers</t>
        </is>
      </c>
      <c r="O13" s="47" t="inlineStr">
        <is>
          <t>—</t>
        </is>
      </c>
      <c r="P13" s="47" t="inlineStr">
        <is>
          <t>rose</t>
        </is>
      </c>
      <c r="Q13" s="47" t="inlineStr">
        <is>
          <t>زمستان</t>
        </is>
      </c>
      <c r="R13" s="47" t="n"/>
      <c r="S13" s="152" t="inlineStr">
        <is>
          <t>پرداخت هزینه</t>
        </is>
      </c>
      <c r="T13" s="152" t="inlineStr">
        <is>
          <t>BD004 – (بدون نام)</t>
        </is>
      </c>
      <c r="U13" s="152" t="inlineStr">
        <is>
          <t>BN04 – کشاورزی</t>
        </is>
      </c>
    </row>
    <row r="14" ht="21" customHeight="1">
      <c r="A14" s="47" t="inlineStr">
        <is>
          <t>عدد</t>
        </is>
      </c>
      <c r="B14" s="47" t="inlineStr">
        <is>
          <t>سایر</t>
        </is>
      </c>
      <c r="C14" s="47" t="n"/>
      <c r="D14" s="47" t="n"/>
      <c r="E14" s="47" t="n"/>
      <c r="F14" s="47" t="inlineStr">
        <is>
          <t>پاس چک</t>
        </is>
      </c>
      <c r="G14" s="47" t="n"/>
      <c r="H14" s="47" t="n"/>
      <c r="I14" s="47" t="n"/>
      <c r="J14" s="47" t="n"/>
      <c r="K14" s="47" t="n"/>
      <c r="L14" s="47" t="inlineStr">
        <is>
          <t>باسکول دیگران</t>
        </is>
      </c>
      <c r="M14" s="47" t="n"/>
      <c r="N14" s="47" t="inlineStr">
        <is>
          <t>Staff</t>
        </is>
      </c>
      <c r="O14" s="47" t="n"/>
      <c r="P14" s="47" t="inlineStr">
        <is>
          <t>sand</t>
        </is>
      </c>
      <c r="Q14" s="47" t="n"/>
      <c r="R14" s="47" t="n"/>
      <c r="S14" s="152" t="inlineStr">
        <is>
          <t>انتقال داخلی بین بانک‌ها</t>
        </is>
      </c>
      <c r="T14" s="152" t="inlineStr">
        <is>
          <t>BD005 – (بدون نام)</t>
        </is>
      </c>
      <c r="U14" s="152" t="inlineStr">
        <is>
          <t>BN05 – سپه</t>
        </is>
      </c>
    </row>
    <row r="15" ht="21" customHeight="1">
      <c r="A15" s="47" t="inlineStr">
        <is>
          <t>ریال</t>
        </is>
      </c>
      <c r="B15" s="47" t="n"/>
      <c r="C15" s="47" t="n"/>
      <c r="D15" s="47" t="n"/>
      <c r="E15" s="47" t="n"/>
      <c r="F15" s="47" t="inlineStr">
        <is>
          <t>انتقال داخلی</t>
        </is>
      </c>
      <c r="G15" s="47" t="n"/>
      <c r="H15" s="47" t="n"/>
      <c r="I15" s="47" t="n"/>
      <c r="J15" s="47" t="n"/>
      <c r="K15" s="47" t="n"/>
      <c r="L15" s="47" t="inlineStr">
        <is>
          <t>درآمد</t>
        </is>
      </c>
      <c r="M15" s="47" t="n"/>
      <c r="N15" s="47" t="inlineStr">
        <is>
          <t>Other</t>
        </is>
      </c>
      <c r="O15" s="47" t="n"/>
      <c r="P15" s="47" t="inlineStr">
        <is>
          <t>grey</t>
        </is>
      </c>
      <c r="Q15" s="47" t="n"/>
      <c r="R15" s="47" t="n"/>
      <c r="S15" s="152" t="inlineStr">
        <is>
          <t>پرداخت انعام مصطفی</t>
        </is>
      </c>
      <c r="T15" s="152" t="inlineStr">
        <is>
          <t>BD006 – (بدون نام)</t>
        </is>
      </c>
      <c r="U15" s="152" t="inlineStr">
        <is>
          <t>BN06 – مهر ایران</t>
        </is>
      </c>
    </row>
    <row r="16" ht="21" customHeight="1">
      <c r="A16" s="47" t="n"/>
      <c r="B16" s="47" t="n"/>
      <c r="C16" s="47" t="n"/>
      <c r="D16" s="47" t="n"/>
      <c r="E16" s="47" t="n"/>
      <c r="F16" s="47" t="n"/>
      <c r="G16" s="47" t="n"/>
      <c r="H16" s="47" t="n"/>
      <c r="I16" s="47" t="n"/>
      <c r="J16" s="47" t="n"/>
      <c r="K16" s="47" t="n"/>
      <c r="L16" s="47" t="inlineStr">
        <is>
          <t>هزینه</t>
        </is>
      </c>
      <c r="M16" s="47" t="n"/>
      <c r="N16" s="47" t="inlineStr">
        <is>
          <t>OtherScales</t>
        </is>
      </c>
      <c r="O16" s="47" t="n"/>
      <c r="P16" s="47" t="inlineStr">
        <is>
          <t>teal</t>
        </is>
      </c>
      <c r="Q16" s="47" t="n"/>
      <c r="R16" s="47" t="n"/>
      <c r="S16" s="152" t="inlineStr">
        <is>
          <t>دریافت هزینه باسکول دیگران</t>
        </is>
      </c>
      <c r="T16" s="152" t="inlineStr">
        <is>
          <t>BD007 – (بدون نام)</t>
        </is>
      </c>
      <c r="U16" s="152" t="inlineStr">
        <is>
          <t>BN07 – تجارت</t>
        </is>
      </c>
    </row>
    <row r="17" ht="21" customHeight="1">
      <c r="A17" s="47" t="n"/>
      <c r="B17" s="47" t="n"/>
      <c r="C17" s="47" t="n"/>
      <c r="D17" s="47" t="n"/>
      <c r="E17" s="47" t="n"/>
      <c r="F17" s="47" t="n"/>
      <c r="G17" s="47" t="n"/>
      <c r="H17" s="47" t="n"/>
      <c r="I17" s="47" t="n"/>
      <c r="J17" s="47" t="n"/>
      <c r="K17" s="47" t="n"/>
      <c r="L17" s="47" t="inlineStr">
        <is>
          <t>انتقال</t>
        </is>
      </c>
      <c r="M17" s="47" t="n"/>
      <c r="N17" s="47" t="inlineStr">
        <is>
          <t>Assets</t>
        </is>
      </c>
      <c r="O17" s="47" t="n"/>
      <c r="P17" s="47" t="inlineStr">
        <is>
          <t>peach</t>
        </is>
      </c>
      <c r="Q17" s="47" t="n"/>
      <c r="R17" s="47" t="n"/>
      <c r="S17" s="152" t="inlineStr">
        <is>
          <t>پرداخت به باسکول دیگران</t>
        </is>
      </c>
      <c r="T17" s="152" t="inlineStr">
        <is>
          <t>BD008 – (بدون نام)</t>
        </is>
      </c>
      <c r="U17" s="152" t="inlineStr">
        <is>
          <t>BN08 – پاسارگاد</t>
        </is>
      </c>
    </row>
    <row r="18" ht="21" customHeight="1">
      <c r="A18" s="47" t="n"/>
      <c r="B18" s="47" t="n"/>
      <c r="C18" s="47" t="n"/>
      <c r="D18" s="47" t="n"/>
      <c r="E18" s="47" t="n"/>
      <c r="F18" s="47" t="n"/>
      <c r="G18" s="47" t="n"/>
      <c r="H18" s="47" t="n"/>
      <c r="I18" s="47" t="n"/>
      <c r="J18" s="47" t="n"/>
      <c r="K18" s="47" t="n"/>
      <c r="L18" s="47" t="inlineStr">
        <is>
          <t>سایر</t>
        </is>
      </c>
      <c r="M18" s="47" t="n"/>
      <c r="N18" s="47" t="inlineStr">
        <is>
          <t>Liabilities</t>
        </is>
      </c>
      <c r="O18" s="47" t="n"/>
      <c r="P18" s="47" t="n"/>
      <c r="Q18" s="47" t="n"/>
      <c r="R18" s="47" t="n"/>
      <c r="S18" s="152" t="inlineStr">
        <is>
          <t>واریز پز باسکول (۲۰۰۶)</t>
        </is>
      </c>
      <c r="T18" s="152" t="inlineStr">
        <is>
          <t>BD009 – (بدون نام)</t>
        </is>
      </c>
      <c r="U18" s="152" t="inlineStr">
        <is>
          <t>BN09 – رفاه</t>
        </is>
      </c>
    </row>
    <row r="19" ht="21" customHeight="1">
      <c r="A19" s="47" t="n"/>
      <c r="B19" s="47" t="n"/>
      <c r="C19" s="47" t="n"/>
      <c r="D19" s="47" t="n"/>
      <c r="E19" s="47" t="n"/>
      <c r="F19" s="47" t="n"/>
      <c r="G19" s="47" t="n"/>
      <c r="H19" s="47" t="n"/>
      <c r="I19" s="47" t="n"/>
      <c r="J19" s="47" t="n"/>
      <c r="K19" s="47" t="n"/>
      <c r="L19" s="47" t="inlineStr">
        <is>
          <t>تعدیل</t>
        </is>
      </c>
      <c r="M19" s="47" t="n"/>
      <c r="N19" s="47" t="inlineStr">
        <is>
          <t>Equity</t>
        </is>
      </c>
      <c r="O19" s="47" t="n"/>
      <c r="P19" s="47" t="n"/>
      <c r="Q19" s="47" t="n"/>
      <c r="R19" s="47" t="n"/>
      <c r="S19" s="152" t="inlineStr">
        <is>
          <t>پاس چک (پرداخت چک)</t>
        </is>
      </c>
      <c r="T19" s="152" t="inlineStr">
        <is>
          <t>BD010 – (بدون نام)</t>
        </is>
      </c>
      <c r="U19" s="152" t="inlineStr">
        <is>
          <t>BN10 – قرض‌الحسنه</t>
        </is>
      </c>
    </row>
    <row r="20" ht="21" customHeight="1">
      <c r="A20" s="47" t="n"/>
      <c r="B20" s="47" t="n"/>
      <c r="C20" s="47" t="n"/>
      <c r="D20" s="47" t="n"/>
      <c r="E20" s="47" t="n"/>
      <c r="F20" s="47" t="n"/>
      <c r="G20" s="47" t="n"/>
      <c r="H20" s="47" t="n"/>
      <c r="I20" s="47" t="n"/>
      <c r="J20" s="47" t="n"/>
      <c r="K20" s="47" t="n"/>
      <c r="L20" s="47" t="n"/>
      <c r="M20" s="47" t="n"/>
      <c r="N20" s="47" t="n"/>
      <c r="O20" s="47" t="n"/>
      <c r="P20" s="47" t="n"/>
      <c r="Q20" s="47" t="n"/>
      <c r="R20" s="47" t="n"/>
      <c r="S20" s="152" t="inlineStr">
        <is>
          <t>برگشت چک دریافتی</t>
        </is>
      </c>
      <c r="T20" s="152" t="inlineStr">
        <is>
          <t>BD011 – (بدون نام)</t>
        </is>
      </c>
    </row>
    <row r="21" ht="21" customHeight="1">
      <c r="A21" s="47" t="n"/>
      <c r="B21" s="47" t="n"/>
      <c r="C21" s="47" t="n"/>
      <c r="D21" s="47" t="n"/>
      <c r="E21" s="47" t="n"/>
      <c r="F21" s="47" t="n"/>
      <c r="G21" s="47" t="n"/>
      <c r="H21" s="47" t="n"/>
      <c r="I21" s="47" t="n"/>
      <c r="J21" s="47" t="n"/>
      <c r="K21" s="47" t="n"/>
      <c r="L21" s="47" t="n"/>
      <c r="M21" s="47" t="n"/>
      <c r="N21" s="47" t="n"/>
      <c r="O21" s="47" t="n"/>
      <c r="P21" s="47" t="n"/>
      <c r="Q21" s="47" t="n"/>
      <c r="R21" s="47" t="n"/>
      <c r="S21" s="152" t="inlineStr">
        <is>
          <t>واریز چک به حساب</t>
        </is>
      </c>
      <c r="T21" s="152" t="inlineStr">
        <is>
          <t>BD012 – (بدون نام)</t>
        </is>
      </c>
    </row>
    <row r="22" ht="21" customHeight="1">
      <c r="A22" s="47" t="n"/>
      <c r="B22" s="47" t="n"/>
      <c r="C22" s="47" t="n"/>
      <c r="D22" s="47" t="n"/>
      <c r="E22" s="47" t="n"/>
      <c r="F22" s="47" t="n"/>
      <c r="G22" s="47" t="n"/>
      <c r="H22" s="47" t="n"/>
      <c r="I22" s="47" t="n"/>
      <c r="J22" s="47" t="n"/>
      <c r="K22" s="47" t="n"/>
      <c r="L22" s="47" t="n"/>
      <c r="M22" s="47" t="n"/>
      <c r="N22" s="47" t="n"/>
      <c r="O22" s="47" t="n"/>
      <c r="P22" s="47" t="n"/>
      <c r="Q22" s="47" t="n"/>
      <c r="R22" s="47" t="n"/>
      <c r="S22" s="152" t="inlineStr">
        <is>
          <t>دریافت تسهیلات</t>
        </is>
      </c>
      <c r="T22" s="152" t="inlineStr">
        <is>
          <t>BD013 – (بدون نام)</t>
        </is>
      </c>
    </row>
    <row r="23" ht="21" customHeight="1">
      <c r="A23" s="47" t="n"/>
      <c r="B23" s="47" t="n"/>
      <c r="C23" s="47" t="n"/>
      <c r="D23" s="47" t="n"/>
      <c r="E23" s="47" t="n"/>
      <c r="F23" s="47" t="n"/>
      <c r="G23" s="47" t="n"/>
      <c r="H23" s="47" t="n"/>
      <c r="I23" s="47" t="n"/>
      <c r="J23" s="47" t="n"/>
      <c r="K23" s="47" t="n"/>
      <c r="L23" s="47" t="n"/>
      <c r="M23" s="47" t="n"/>
      <c r="N23" s="47" t="n"/>
      <c r="O23" s="47" t="n"/>
      <c r="P23" s="47" t="n"/>
      <c r="Q23" s="47" t="n"/>
      <c r="R23" s="47" t="n"/>
      <c r="S23" s="152" t="inlineStr">
        <is>
          <t>بازپرداخت تسهیلات</t>
        </is>
      </c>
      <c r="T23" s="152" t="inlineStr">
        <is>
          <t>BD014 – (بدون نام)</t>
        </is>
      </c>
    </row>
    <row r="24" ht="21" customHeight="1">
      <c r="A24" s="47" t="n"/>
      <c r="B24" s="47" t="n"/>
      <c r="C24" s="47" t="n"/>
      <c r="D24" s="47" t="n"/>
      <c r="E24" s="47" t="n"/>
      <c r="F24" s="47" t="n"/>
      <c r="G24" s="47" t="n"/>
      <c r="H24" s="47" t="n"/>
      <c r="I24" s="47" t="n"/>
      <c r="J24" s="47" t="n"/>
      <c r="K24" s="47" t="n"/>
      <c r="L24" s="47" t="n"/>
      <c r="M24" s="47" t="n"/>
      <c r="N24" s="47" t="n"/>
      <c r="O24" s="47" t="n"/>
      <c r="P24" s="47" t="n"/>
      <c r="Q24" s="47" t="n"/>
      <c r="R24" s="47" t="n"/>
      <c r="S24" s="152" t="inlineStr">
        <is>
          <t>سایر دریافت</t>
        </is>
      </c>
      <c r="T24" s="152" t="inlineStr">
        <is>
          <t>BD015 – (بدون نام)</t>
        </is>
      </c>
    </row>
    <row r="25" ht="21" customHeight="1">
      <c r="A25" s="47" t="n"/>
      <c r="B25" s="47" t="n"/>
      <c r="C25" s="47" t="n"/>
      <c r="D25" s="47" t="n"/>
      <c r="E25" s="47" t="n"/>
      <c r="F25" s="47" t="n"/>
      <c r="G25" s="47" t="n"/>
      <c r="H25" s="47" t="n"/>
      <c r="I25" s="47" t="n"/>
      <c r="J25" s="47" t="n"/>
      <c r="K25" s="47" t="n"/>
      <c r="L25" s="47" t="n"/>
      <c r="M25" s="47" t="n"/>
      <c r="N25" s="47" t="n"/>
      <c r="O25" s="47" t="n"/>
      <c r="P25" s="47" t="n"/>
      <c r="Q25" s="47" t="n"/>
      <c r="R25" s="47" t="n"/>
      <c r="S25" s="152" t="inlineStr">
        <is>
          <t>سایر پرداخت</t>
        </is>
      </c>
      <c r="T25" s="152" t="inlineStr">
        <is>
          <t>BD016 – (بدون نام)</t>
        </is>
      </c>
    </row>
    <row r="26" ht="21" customHeight="1">
      <c r="A26" s="47" t="n"/>
      <c r="B26" s="47" t="n"/>
      <c r="C26" s="47" t="n"/>
      <c r="D26" s="47" t="n"/>
      <c r="E26" s="47" t="n"/>
      <c r="F26" s="47" t="n"/>
      <c r="G26" s="47" t="n"/>
      <c r="H26" s="47" t="n"/>
      <c r="I26" s="47" t="n"/>
      <c r="J26" s="47" t="n"/>
      <c r="K26" s="47" t="n"/>
      <c r="L26" s="47" t="n"/>
      <c r="M26" s="47" t="n"/>
      <c r="N26" s="47" t="n"/>
      <c r="O26" s="47" t="n"/>
      <c r="P26" s="47" t="n"/>
      <c r="Q26" s="47" t="n"/>
      <c r="R26" s="47" t="n"/>
      <c r="S26" s="152" t="inlineStr">
        <is>
          <t>تسویه دریافت (واسط)</t>
        </is>
      </c>
      <c r="T26" s="152" t="inlineStr">
        <is>
          <t>BD017 – (بدون نام)</t>
        </is>
      </c>
    </row>
    <row r="27" ht="21" customHeight="1">
      <c r="A27" s="47" t="n"/>
      <c r="B27" s="47" t="n"/>
      <c r="C27" s="47" t="n"/>
      <c r="D27" s="47" t="n"/>
      <c r="E27" s="47" t="n"/>
      <c r="F27" s="47" t="n"/>
      <c r="G27" s="47" t="n"/>
      <c r="H27" s="47" t="n"/>
      <c r="I27" s="47" t="n"/>
      <c r="J27" s="47" t="n"/>
      <c r="K27" s="47" t="n"/>
      <c r="L27" s="47" t="n"/>
      <c r="M27" s="47" t="n"/>
      <c r="N27" s="47" t="n"/>
      <c r="O27" s="47" t="n"/>
      <c r="P27" s="47" t="n"/>
      <c r="Q27" s="47" t="n"/>
      <c r="R27" s="47" t="n"/>
      <c r="S27" s="152" t="inlineStr">
        <is>
          <t>تسویه پرداخت (واسط)</t>
        </is>
      </c>
      <c r="T27" s="152" t="inlineStr">
        <is>
          <t>BD018 – (بدون نام)</t>
        </is>
      </c>
    </row>
    <row r="28" ht="21" customHeight="1">
      <c r="A28" s="47" t="n"/>
      <c r="B28" s="47" t="n"/>
      <c r="C28" s="47" t="n"/>
      <c r="D28" s="47" t="n"/>
      <c r="E28" s="47" t="n"/>
      <c r="F28" s="47" t="n"/>
      <c r="G28" s="47" t="n"/>
      <c r="H28" s="47" t="n"/>
      <c r="I28" s="47" t="n"/>
      <c r="J28" s="47" t="n"/>
      <c r="K28" s="47" t="n"/>
      <c r="L28" s="47" t="n"/>
      <c r="M28" s="47" t="n"/>
      <c r="N28" s="47" t="n"/>
      <c r="O28" s="47" t="n"/>
      <c r="P28" s="47" t="n"/>
      <c r="Q28" s="47" t="n"/>
      <c r="R28" s="47" t="n"/>
      <c r="T28" s="152" t="inlineStr">
        <is>
          <t>BD019 – (بدون نام)</t>
        </is>
      </c>
    </row>
    <row r="29" ht="21" customHeight="1">
      <c r="A29" s="47" t="n"/>
      <c r="B29" s="47" t="n"/>
      <c r="C29" s="47" t="n"/>
      <c r="D29" s="47" t="n"/>
      <c r="E29" s="47" t="n"/>
      <c r="F29" s="47" t="n"/>
      <c r="G29" s="47" t="n"/>
      <c r="H29" s="47" t="n"/>
      <c r="I29" s="47" t="n"/>
      <c r="J29" s="47" t="n"/>
      <c r="K29" s="47" t="n"/>
      <c r="L29" s="47" t="n"/>
      <c r="M29" s="47" t="n"/>
      <c r="N29" s="47" t="n"/>
      <c r="O29" s="47" t="n"/>
      <c r="P29" s="47" t="n"/>
      <c r="Q29" s="47" t="n"/>
      <c r="R29" s="47" t="n"/>
      <c r="T29" s="152" t="inlineStr">
        <is>
          <t>BD020 – (بدون نام)</t>
        </is>
      </c>
    </row>
    <row r="30"/>
    <row r="31"/>
    <row r="32">
      <c r="S32" s="153" t="inlineStr">
        <is>
          <t>این سه فهرست، کشوهای فایل 02_Bank را می‌سازند. برای اضافه کردن نوع عملیات بانکی جدید، یک ردیف به ستون S اضافه کنید و در شیت Sync فایل بانک همان ردیف را ادامه دهید.</t>
        </is>
      </c>
      <c r="T32" s="166" t="n"/>
      <c r="U32" s="167" t="n"/>
    </row>
  </sheetData>
  <mergeCells count="8">
    <mergeCell ref="A3:R3"/>
    <mergeCell ref="A1:M1"/>
    <mergeCell ref="A7:R7"/>
    <mergeCell ref="A2:R2"/>
    <mergeCell ref="S32:U32"/>
    <mergeCell ref="A5:R6"/>
    <mergeCell ref="G4:R4"/>
    <mergeCell ref="N1:R1"/>
  </mergeCells>
  <printOptions horizontalCentered="1"/>
  <pageMargins left="0.28" right="0.28" top="0.45" bottom="0.5" header="0.3" footer="0.3"/>
  <pageSetup orientation="landscape"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xl/worksheets/sheet11.xml><?xml version="1.0" encoding="utf-8"?>
<worksheet xmlns="http://schemas.openxmlformats.org/spreadsheetml/2006/main">
  <sheetPr>
    <tabColor rgb="FFB9B2A1"/>
    <outlinePr summaryBelow="1" summaryRight="1"/>
    <pageSetUpPr fitToPage="1"/>
  </sheetPr>
  <dimension ref="A1:K50"/>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15.7109375" customWidth="1" min="1" max="1"/>
    <col width="36.7109375" customWidth="1" min="2" max="2"/>
    <col width="17.7109375" customWidth="1" min="3" max="3"/>
    <col width="15.7109375" customWidth="1" min="4" max="4"/>
    <col width="20.7109375" customWidth="1" min="5" max="5"/>
    <col width="18.7109375" customWidth="1" min="6" max="6"/>
    <col width="26" customWidth="1" min="8" max="8"/>
    <col width="8" customWidth="1" min="9" max="9"/>
    <col width="9" customWidth="1" min="10" max="10"/>
    <col width="9" customWidth="1" min="11" max="11"/>
  </cols>
  <sheetData>
    <row r="1" ht="18" customHeight="1">
      <c r="A1" s="104" t="inlineStr">
        <is>
          <t>مازندشت — سورتینگ و بسته‌بندی مرکبات</t>
        </is>
      </c>
      <c r="C1" s="105" t="inlineStr">
        <is>
          <t>MAZANDASHT  ·  CITRUS SORTING &amp; PACKING</t>
        </is>
      </c>
    </row>
    <row r="2" ht="30" customHeight="1">
      <c r="A2" s="106" t="inlineStr">
        <is>
          <t>مرجع سریع و قفل‌شده (Sync)</t>
        </is>
      </c>
    </row>
    <row r="3" ht="20.25" customHeight="1">
      <c r="A3" s="107" t="inlineStr">
        <is>
          <t>نمای خواندنی از پارامترها، گروه‌ها و بانک‌ها  ·  این شیت فقط مطالعه است</t>
        </is>
      </c>
    </row>
    <row r="4" ht="8.25" customHeight="1"/>
    <row r="5" ht="39.75" customHeight="1">
      <c r="A5" s="91" t="inlineStr">
        <is>
          <t>این شیت قفل است و هیچ داده‌ای در آن وارد نمی‌شود؛ مقادیرش زنده از شیت‌های Params، Groups و Banks خوانده می‌شود. برای تغییر هر مقدار، همان شیت اصلی را ویرایش کنید و برگردید — اینجا خودکار به‌روز می‌شود.</t>
        </is>
      </c>
      <c r="B5" s="112" t="n"/>
      <c r="C5" s="112" t="n"/>
      <c r="D5" s="112" t="n"/>
      <c r="E5" s="112" t="n"/>
      <c r="F5" s="113" t="n"/>
    </row>
    <row r="6">
      <c r="H6" s="150" t="inlineStr">
        <is>
          <t>نوع عملیات بانکی</t>
        </is>
      </c>
    </row>
    <row r="7" ht="30" customHeight="1">
      <c r="A7" s="11" t="inlineStr">
        <is>
          <t>۰۱</t>
        </is>
      </c>
      <c r="B7" s="12" t="inlineStr">
        <is>
          <t>پارامترهای محاسباتی  —  همان مقادیر شیت Params — پایه همه فرمول‌های مجموعه</t>
        </is>
      </c>
      <c r="C7" s="110" t="n"/>
      <c r="D7" s="110" t="n"/>
      <c r="E7" s="110" t="n"/>
      <c r="F7" s="110" t="n"/>
      <c r="H7" s="154" t="inlineStr">
        <is>
          <t>دریافت از مشتری</t>
        </is>
      </c>
      <c r="I7" s="155" t="inlineStr">
        <is>
          <t>IN</t>
        </is>
      </c>
      <c r="J7" s="155" t="inlineStr">
        <is>
          <t>CODE</t>
        </is>
      </c>
      <c r="K7" s="155" t="inlineStr"/>
    </row>
    <row r="8" ht="24" customHeight="1">
      <c r="A8" s="92" t="inlineStr">
        <is>
          <t>کد</t>
        </is>
      </c>
      <c r="B8" s="92" t="inlineStr">
        <is>
          <t>نام پارامتر</t>
        </is>
      </c>
      <c r="C8" s="92" t="inlineStr">
        <is>
          <t>مقدار</t>
        </is>
      </c>
      <c r="D8" s="92" t="inlineStr">
        <is>
          <t>واحد</t>
        </is>
      </c>
      <c r="E8" s="92" t="inlineStr">
        <is>
          <t>توضیح</t>
        </is>
      </c>
      <c r="F8" s="92" t="inlineStr">
        <is>
          <t>شیت منبع</t>
        </is>
      </c>
      <c r="H8" s="154" t="inlineStr">
        <is>
          <t>پرداخت به مشتری</t>
        </is>
      </c>
      <c r="I8" s="155" t="inlineStr">
        <is>
          <t>OUT</t>
        </is>
      </c>
      <c r="J8" s="155" t="inlineStr">
        <is>
          <t>CODE</t>
        </is>
      </c>
      <c r="K8" s="155" t="inlineStr"/>
    </row>
    <row r="9" ht="21" customHeight="1">
      <c r="A9" s="93" t="inlineStr">
        <is>
          <t>P01</t>
        </is>
      </c>
      <c r="B9" s="94">
        <f>IFERROR(VLOOKUP($A9,Par!$A$10:$E$21,2,0),"")</f>
        <v/>
      </c>
      <c r="C9" s="156">
        <f>IFERROR(VLOOKUP($A9,Par!$A$10:$E$21,3,0),"")</f>
        <v/>
      </c>
      <c r="D9" s="96">
        <f>IFERROR(VLOOKUP($A9,Par!$A$10:$E$21,4,0),"")</f>
        <v/>
      </c>
      <c r="E9" s="94">
        <f>IFERROR(VLOOKUP($A9,Par!$A$10:$E$21,5,0),"")</f>
        <v/>
      </c>
      <c r="F9" s="96" t="inlineStr">
        <is>
          <t>Params</t>
        </is>
      </c>
      <c r="H9" s="154" t="inlineStr">
        <is>
          <t>دریافت نقدی و واریز به بانک</t>
        </is>
      </c>
      <c r="I9" s="155" t="inlineStr">
        <is>
          <t>IN</t>
        </is>
      </c>
      <c r="J9" s="155" t="inlineStr">
        <is>
          <t>FIXED</t>
        </is>
      </c>
      <c r="K9" s="155" t="inlineStr">
        <is>
          <t>X003</t>
        </is>
      </c>
    </row>
    <row r="10" ht="21" customHeight="1">
      <c r="A10" s="93" t="inlineStr">
        <is>
          <t>P02</t>
        </is>
      </c>
      <c r="B10" s="94">
        <f>IFERROR(VLOOKUP($A10,Par!$A$10:$E$21,2,0),"")</f>
        <v/>
      </c>
      <c r="C10" s="156">
        <f>IFERROR(VLOOKUP($A10,Par!$A$10:$E$21,3,0),"")</f>
        <v/>
      </c>
      <c r="D10" s="96">
        <f>IFERROR(VLOOKUP($A10,Par!$A$10:$E$21,4,0),"")</f>
        <v/>
      </c>
      <c r="E10" s="94">
        <f>IFERROR(VLOOKUP($A10,Par!$A$10:$E$21,5,0),"")</f>
        <v/>
      </c>
      <c r="F10" s="96" t="inlineStr">
        <is>
          <t>Params</t>
        </is>
      </c>
      <c r="H10" s="154" t="inlineStr">
        <is>
          <t>پرداخت هزینه</t>
        </is>
      </c>
      <c r="I10" s="155" t="inlineStr">
        <is>
          <t>OUT</t>
        </is>
      </c>
      <c r="J10" s="155" t="inlineStr">
        <is>
          <t>CODE</t>
        </is>
      </c>
      <c r="K10" s="155" t="inlineStr"/>
    </row>
    <row r="11" ht="21" customHeight="1">
      <c r="A11" s="93" t="inlineStr">
        <is>
          <t>P03</t>
        </is>
      </c>
      <c r="B11" s="94">
        <f>IFERROR(VLOOKUP($A11,Par!$A$10:$E$21,2,0),"")</f>
        <v/>
      </c>
      <c r="C11" s="156">
        <f>IFERROR(VLOOKUP($A11,Par!$A$10:$E$21,3,0),"")</f>
        <v/>
      </c>
      <c r="D11" s="96">
        <f>IFERROR(VLOOKUP($A11,Par!$A$10:$E$21,4,0),"")</f>
        <v/>
      </c>
      <c r="E11" s="94">
        <f>IFERROR(VLOOKUP($A11,Par!$A$10:$E$21,5,0),"")</f>
        <v/>
      </c>
      <c r="F11" s="96" t="inlineStr">
        <is>
          <t>Params</t>
        </is>
      </c>
      <c r="H11" s="154" t="inlineStr">
        <is>
          <t>انتقال داخلی بین بانک‌ها</t>
        </is>
      </c>
      <c r="I11" s="155" t="inlineStr">
        <is>
          <t>TRF</t>
        </is>
      </c>
      <c r="J11" s="155" t="inlineStr">
        <is>
          <t>NONE</t>
        </is>
      </c>
      <c r="K11" s="155" t="inlineStr"/>
    </row>
    <row r="12" ht="21" customHeight="1">
      <c r="A12" s="93" t="inlineStr">
        <is>
          <t>P04</t>
        </is>
      </c>
      <c r="B12" s="94">
        <f>IFERROR(VLOOKUP($A12,Par!$A$10:$E$21,2,0),"")</f>
        <v/>
      </c>
      <c r="C12" s="156">
        <f>IFERROR(VLOOKUP($A12,Par!$A$10:$E$21,3,0),"")</f>
        <v/>
      </c>
      <c r="D12" s="96">
        <f>IFERROR(VLOOKUP($A12,Par!$A$10:$E$21,4,0),"")</f>
        <v/>
      </c>
      <c r="E12" s="94">
        <f>IFERROR(VLOOKUP($A12,Par!$A$10:$E$21,5,0),"")</f>
        <v/>
      </c>
      <c r="F12" s="96" t="inlineStr">
        <is>
          <t>Params</t>
        </is>
      </c>
      <c r="H12" s="154" t="inlineStr">
        <is>
          <t>پرداخت انعام مصطفی</t>
        </is>
      </c>
      <c r="I12" s="155" t="inlineStr">
        <is>
          <t>OUT</t>
        </is>
      </c>
      <c r="J12" s="155" t="inlineStr">
        <is>
          <t>FIXED</t>
        </is>
      </c>
      <c r="K12" s="155" t="inlineStr">
        <is>
          <t>X001</t>
        </is>
      </c>
    </row>
    <row r="13" ht="21" customHeight="1">
      <c r="A13" s="93" t="inlineStr">
        <is>
          <t>P05</t>
        </is>
      </c>
      <c r="B13" s="94">
        <f>IFERROR(VLOOKUP($A13,Par!$A$10:$E$21,2,0),"")</f>
        <v/>
      </c>
      <c r="C13" s="156">
        <f>IFERROR(VLOOKUP($A13,Par!$A$10:$E$21,3,0),"")</f>
        <v/>
      </c>
      <c r="D13" s="96">
        <f>IFERROR(VLOOKUP($A13,Par!$A$10:$E$21,4,0),"")</f>
        <v/>
      </c>
      <c r="E13" s="94">
        <f>IFERROR(VLOOKUP($A13,Par!$A$10:$E$21,5,0),"")</f>
        <v/>
      </c>
      <c r="F13" s="96" t="inlineStr">
        <is>
          <t>Params</t>
        </is>
      </c>
      <c r="H13" s="154" t="inlineStr">
        <is>
          <t>دریافت هزینه باسکول دیگران</t>
        </is>
      </c>
      <c r="I13" s="155" t="inlineStr">
        <is>
          <t>IN</t>
        </is>
      </c>
      <c r="J13" s="155" t="inlineStr">
        <is>
          <t>PICK</t>
        </is>
      </c>
      <c r="K13" s="155" t="inlineStr"/>
    </row>
    <row r="14" ht="21" customHeight="1">
      <c r="A14" s="93" t="inlineStr">
        <is>
          <t>P06</t>
        </is>
      </c>
      <c r="B14" s="94">
        <f>IFERROR(VLOOKUP($A14,Par!$A$10:$E$21,2,0),"")</f>
        <v/>
      </c>
      <c r="C14" s="156">
        <f>IFERROR(VLOOKUP($A14,Par!$A$10:$E$21,3,0),"")</f>
        <v/>
      </c>
      <c r="D14" s="96">
        <f>IFERROR(VLOOKUP($A14,Par!$A$10:$E$21,4,0),"")</f>
        <v/>
      </c>
      <c r="E14" s="94">
        <f>IFERROR(VLOOKUP($A14,Par!$A$10:$E$21,5,0),"")</f>
        <v/>
      </c>
      <c r="F14" s="96" t="inlineStr">
        <is>
          <t>Params</t>
        </is>
      </c>
      <c r="H14" s="154" t="inlineStr">
        <is>
          <t>پرداخت به باسکول دیگران</t>
        </is>
      </c>
      <c r="I14" s="155" t="inlineStr">
        <is>
          <t>OUT</t>
        </is>
      </c>
      <c r="J14" s="155" t="inlineStr">
        <is>
          <t>PICK</t>
        </is>
      </c>
      <c r="K14" s="155" t="inlineStr"/>
    </row>
    <row r="15" ht="21" customHeight="1">
      <c r="A15" s="93" t="inlineStr">
        <is>
          <t>P07</t>
        </is>
      </c>
      <c r="B15" s="94">
        <f>IFERROR(VLOOKUP($A15,Par!$A$10:$E$21,2,0),"")</f>
        <v/>
      </c>
      <c r="C15" s="156">
        <f>IFERROR(VLOOKUP($A15,Par!$A$10:$E$21,3,0),"")</f>
        <v/>
      </c>
      <c r="D15" s="96">
        <f>IFERROR(VLOOKUP($A15,Par!$A$10:$E$21,4,0),"")</f>
        <v/>
      </c>
      <c r="E15" s="94">
        <f>IFERROR(VLOOKUP($A15,Par!$A$10:$E$21,5,0),"")</f>
        <v/>
      </c>
      <c r="F15" s="96" t="inlineStr">
        <is>
          <t>Params</t>
        </is>
      </c>
      <c r="H15" s="154" t="inlineStr">
        <is>
          <t>واریز پز باسکول (۲۰۰۶)</t>
        </is>
      </c>
      <c r="I15" s="155" t="inlineStr">
        <is>
          <t>IN</t>
        </is>
      </c>
      <c r="J15" s="155" t="inlineStr">
        <is>
          <t>FIXED</t>
        </is>
      </c>
      <c r="K15" s="155" t="inlineStr">
        <is>
          <t>X011</t>
        </is>
      </c>
    </row>
    <row r="16" ht="21" customHeight="1">
      <c r="A16" s="93" t="inlineStr">
        <is>
          <t>P08</t>
        </is>
      </c>
      <c r="B16" s="94">
        <f>IFERROR(VLOOKUP($A16,Par!$A$10:$E$21,2,0),"")</f>
        <v/>
      </c>
      <c r="C16" s="156">
        <f>IFERROR(VLOOKUP($A16,Par!$A$10:$E$21,3,0),"")</f>
        <v/>
      </c>
      <c r="D16" s="96">
        <f>IFERROR(VLOOKUP($A16,Par!$A$10:$E$21,4,0),"")</f>
        <v/>
      </c>
      <c r="E16" s="94">
        <f>IFERROR(VLOOKUP($A16,Par!$A$10:$E$21,5,0),"")</f>
        <v/>
      </c>
      <c r="F16" s="96" t="inlineStr">
        <is>
          <t>Params</t>
        </is>
      </c>
      <c r="H16" s="154" t="inlineStr">
        <is>
          <t>پاس چک (پرداخت چک)</t>
        </is>
      </c>
      <c r="I16" s="155" t="inlineStr">
        <is>
          <t>OUT</t>
        </is>
      </c>
      <c r="J16" s="155" t="inlineStr">
        <is>
          <t>FIXED</t>
        </is>
      </c>
      <c r="K16" s="155" t="inlineStr">
        <is>
          <t>X010</t>
        </is>
      </c>
    </row>
    <row r="17" ht="21" customHeight="1">
      <c r="A17" s="93" t="inlineStr">
        <is>
          <t>P09</t>
        </is>
      </c>
      <c r="B17" s="94">
        <f>IFERROR(VLOOKUP($A17,Par!$A$10:$E$21,2,0),"")</f>
        <v/>
      </c>
      <c r="C17" s="156">
        <f>IFERROR(VLOOKUP($A17,Par!$A$10:$E$21,3,0),"")</f>
        <v/>
      </c>
      <c r="D17" s="96">
        <f>IFERROR(VLOOKUP($A17,Par!$A$10:$E$21,4,0),"")</f>
        <v/>
      </c>
      <c r="E17" s="94">
        <f>IFERROR(VLOOKUP($A17,Par!$A$10:$E$21,5,0),"")</f>
        <v/>
      </c>
      <c r="F17" s="96" t="inlineStr">
        <is>
          <t>Params</t>
        </is>
      </c>
      <c r="H17" s="154" t="inlineStr">
        <is>
          <t>برگشت چک دریافتی</t>
        </is>
      </c>
      <c r="I17" s="155" t="inlineStr">
        <is>
          <t>IN</t>
        </is>
      </c>
      <c r="J17" s="155" t="inlineStr">
        <is>
          <t>FIXED</t>
        </is>
      </c>
      <c r="K17" s="155" t="inlineStr">
        <is>
          <t>X010</t>
        </is>
      </c>
    </row>
    <row r="18" ht="21" customHeight="1">
      <c r="A18" s="93" t="inlineStr">
        <is>
          <t>P10</t>
        </is>
      </c>
      <c r="B18" s="94">
        <f>IFERROR(VLOOKUP($A18,Par!$A$10:$E$21,2,0),"")</f>
        <v/>
      </c>
      <c r="C18" s="156">
        <f>IFERROR(VLOOKUP($A18,Par!$A$10:$E$21,3,0),"")</f>
        <v/>
      </c>
      <c r="D18" s="96">
        <f>IFERROR(VLOOKUP($A18,Par!$A$10:$E$21,4,0),"")</f>
        <v/>
      </c>
      <c r="E18" s="94">
        <f>IFERROR(VLOOKUP($A18,Par!$A$10:$E$21,5,0),"")</f>
        <v/>
      </c>
      <c r="F18" s="96" t="inlineStr">
        <is>
          <t>Params</t>
        </is>
      </c>
      <c r="H18" s="154" t="inlineStr">
        <is>
          <t>واریز چک به حساب</t>
        </is>
      </c>
      <c r="I18" s="155" t="inlineStr">
        <is>
          <t>IN</t>
        </is>
      </c>
      <c r="J18" s="155" t="inlineStr">
        <is>
          <t>FIXED</t>
        </is>
      </c>
      <c r="K18" s="155" t="inlineStr">
        <is>
          <t>X010</t>
        </is>
      </c>
    </row>
    <row r="19" ht="21" customHeight="1">
      <c r="A19" s="93" t="inlineStr">
        <is>
          <t>P11</t>
        </is>
      </c>
      <c r="B19" s="94">
        <f>IFERROR(VLOOKUP($A19,Par!$A$10:$E$21,2,0),"")</f>
        <v/>
      </c>
      <c r="C19" s="156">
        <f>IFERROR(VLOOKUP($A19,Par!$A$10:$E$21,3,0),"")</f>
        <v/>
      </c>
      <c r="D19" s="96">
        <f>IFERROR(VLOOKUP($A19,Par!$A$10:$E$21,4,0),"")</f>
        <v/>
      </c>
      <c r="E19" s="94">
        <f>IFERROR(VLOOKUP($A19,Par!$A$10:$E$21,5,0),"")</f>
        <v/>
      </c>
      <c r="F19" s="96" t="inlineStr">
        <is>
          <t>Params</t>
        </is>
      </c>
      <c r="H19" s="154" t="inlineStr">
        <is>
          <t>دریافت تسهیلات</t>
        </is>
      </c>
      <c r="I19" s="155" t="inlineStr">
        <is>
          <t>IN</t>
        </is>
      </c>
      <c r="J19" s="155" t="inlineStr">
        <is>
          <t>CODE</t>
        </is>
      </c>
      <c r="K19" s="155" t="inlineStr"/>
    </row>
    <row r="20" ht="21" customHeight="1">
      <c r="A20" s="93" t="inlineStr">
        <is>
          <t>P12</t>
        </is>
      </c>
      <c r="B20" s="94">
        <f>IFERROR(VLOOKUP($A20,Par!$A$10:$E$21,2,0),"")</f>
        <v/>
      </c>
      <c r="C20" s="156">
        <f>IFERROR(VLOOKUP($A20,Par!$A$10:$E$21,3,0),"")</f>
        <v/>
      </c>
      <c r="D20" s="96">
        <f>IFERROR(VLOOKUP($A20,Par!$A$10:$E$21,4,0),"")</f>
        <v/>
      </c>
      <c r="E20" s="94">
        <f>IFERROR(VLOOKUP($A20,Par!$A$10:$E$21,5,0),"")</f>
        <v/>
      </c>
      <c r="F20" s="96" t="inlineStr">
        <is>
          <t>Params</t>
        </is>
      </c>
      <c r="H20" s="154" t="inlineStr">
        <is>
          <t>بازپرداخت تسهیلات</t>
        </is>
      </c>
      <c r="I20" s="155" t="inlineStr">
        <is>
          <t>OUT</t>
        </is>
      </c>
      <c r="J20" s="155" t="inlineStr">
        <is>
          <t>CODE</t>
        </is>
      </c>
      <c r="K20" s="155" t="inlineStr"/>
    </row>
    <row r="21">
      <c r="H21" s="154" t="inlineStr">
        <is>
          <t>سایر دریافت</t>
        </is>
      </c>
      <c r="I21" s="155" t="inlineStr">
        <is>
          <t>IN</t>
        </is>
      </c>
      <c r="J21" s="155" t="inlineStr">
        <is>
          <t>CODE</t>
        </is>
      </c>
      <c r="K21" s="155" t="inlineStr"/>
    </row>
    <row r="22">
      <c r="H22" s="154" t="inlineStr">
        <is>
          <t>سایر پرداخت</t>
        </is>
      </c>
      <c r="I22" s="155" t="inlineStr">
        <is>
          <t>OUT</t>
        </is>
      </c>
      <c r="J22" s="155" t="inlineStr">
        <is>
          <t>CODE</t>
        </is>
      </c>
      <c r="K22" s="155" t="inlineStr"/>
    </row>
    <row r="23" ht="30" customHeight="1">
      <c r="A23" s="11" t="inlineStr">
        <is>
          <t>۰۲</t>
        </is>
      </c>
      <c r="B23" s="12" t="inlineStr">
        <is>
          <t>گروه‌های اصلی حساب  —  تعداد حساب‌های هر گروه، زنده از شیت Accounts</t>
        </is>
      </c>
      <c r="C23" s="110" t="n"/>
      <c r="D23" s="110" t="n"/>
      <c r="E23" s="110" t="n"/>
      <c r="F23" s="110" t="n"/>
      <c r="H23" s="154" t="inlineStr">
        <is>
          <t>تسویه دریافت (واسط)</t>
        </is>
      </c>
      <c r="I23" s="155" t="inlineStr">
        <is>
          <t>IN</t>
        </is>
      </c>
      <c r="J23" s="155" t="inlineStr">
        <is>
          <t>FIXED</t>
        </is>
      </c>
      <c r="K23" s="155" t="inlineStr">
        <is>
          <t>X011</t>
        </is>
      </c>
    </row>
    <row r="24" ht="24" customHeight="1">
      <c r="A24" s="92" t="inlineStr">
        <is>
          <t>گروه</t>
        </is>
      </c>
      <c r="B24" s="92" t="inlineStr">
        <is>
          <t>تعداد حساب</t>
        </is>
      </c>
      <c r="C24" s="92" t="inlineStr">
        <is>
          <t>تعداد زیرگروه</t>
        </is>
      </c>
      <c r="D24" s="92" t="n"/>
      <c r="E24" s="92" t="n"/>
      <c r="F24" s="92" t="inlineStr">
        <is>
          <t>شیت منبع</t>
        </is>
      </c>
      <c r="H24" s="154" t="inlineStr">
        <is>
          <t>تسویه پرداخت (واسط)</t>
        </is>
      </c>
      <c r="I24" s="155" t="inlineStr">
        <is>
          <t>OUT</t>
        </is>
      </c>
      <c r="J24" s="155" t="inlineStr">
        <is>
          <t>FIXED</t>
        </is>
      </c>
      <c r="K24" s="155" t="inlineStr">
        <is>
          <t>X011</t>
        </is>
      </c>
    </row>
    <row r="25" ht="21" customHeight="1">
      <c r="A25" s="93" t="inlineStr">
        <is>
          <t>باغدار</t>
        </is>
      </c>
      <c r="B25" s="156">
        <f>COUNTIF(Acc!$B$10:$B$259,$A25)</f>
        <v/>
      </c>
      <c r="C25" s="156">
        <f>COUNTIF(Grp!$A$10:$A$52,$A25)</f>
        <v/>
      </c>
      <c r="F25" s="96" t="inlineStr">
        <is>
          <t>Accounts / Groups</t>
        </is>
      </c>
    </row>
    <row r="26" ht="21" customHeight="1">
      <c r="A26" s="93" t="inlineStr">
        <is>
          <t>بارفروش</t>
        </is>
      </c>
      <c r="B26" s="156">
        <f>COUNTIF(Acc!$B$10:$B$259,$A26)</f>
        <v/>
      </c>
      <c r="C26" s="156">
        <f>COUNTIF(Grp!$A$10:$A$52,$A26)</f>
        <v/>
      </c>
      <c r="F26" s="96" t="inlineStr">
        <is>
          <t>Accounts / Groups</t>
        </is>
      </c>
    </row>
    <row r="27" ht="21" customHeight="1">
      <c r="A27" s="93" t="inlineStr">
        <is>
          <t>فروشنده سبد</t>
        </is>
      </c>
      <c r="B27" s="156">
        <f>COUNTIF(Acc!$B$10:$B$259,$A27)</f>
        <v/>
      </c>
      <c r="C27" s="156">
        <f>COUNTIF(Grp!$A$10:$A$52,$A27)</f>
        <v/>
      </c>
      <c r="F27" s="96" t="inlineStr">
        <is>
          <t>Accounts / Groups</t>
        </is>
      </c>
    </row>
    <row r="28" ht="21" customHeight="1">
      <c r="A28" s="93" t="inlineStr">
        <is>
          <t>تأمین‌کننده</t>
        </is>
      </c>
      <c r="B28" s="156">
        <f>COUNTIF(Acc!$B$10:$B$259,$A28)</f>
        <v/>
      </c>
      <c r="C28" s="156">
        <f>COUNTIF(Grp!$A$10:$A$52,$A28)</f>
        <v/>
      </c>
      <c r="F28" s="96" t="inlineStr">
        <is>
          <t>Accounts / Groups</t>
        </is>
      </c>
    </row>
    <row r="29" ht="21" customHeight="1">
      <c r="A29" s="93" t="inlineStr">
        <is>
          <t>کارمند</t>
        </is>
      </c>
      <c r="B29" s="156">
        <f>COUNTIF(Acc!$B$10:$B$259,$A29)</f>
        <v/>
      </c>
      <c r="C29" s="156">
        <f>COUNTIF(Grp!$A$10:$A$52,$A29)</f>
        <v/>
      </c>
      <c r="F29" s="96" t="inlineStr">
        <is>
          <t>Accounts / Groups</t>
        </is>
      </c>
    </row>
    <row r="30" ht="21" customHeight="1">
      <c r="A30" s="93" t="inlineStr">
        <is>
          <t>سایر حساب</t>
        </is>
      </c>
      <c r="B30" s="156">
        <f>COUNTIF(Acc!$B$10:$B$259,$A30)</f>
        <v/>
      </c>
      <c r="C30" s="156">
        <f>COUNTIF(Grp!$A$10:$A$52,$A30)</f>
        <v/>
      </c>
      <c r="F30" s="96" t="inlineStr">
        <is>
          <t>Accounts / Groups</t>
        </is>
      </c>
    </row>
    <row r="31" ht="21" customHeight="1">
      <c r="A31" s="93" t="inlineStr">
        <is>
          <t>باسکول دیگران</t>
        </is>
      </c>
      <c r="B31" s="156">
        <f>COUNTIF(Acc!$B$10:$B$259,$A31)</f>
        <v/>
      </c>
      <c r="C31" s="156">
        <f>COUNTIF(Grp!$A$10:$A$52,$A31)</f>
        <v/>
      </c>
      <c r="F31" s="96" t="inlineStr">
        <is>
          <t>Accounts / Groups</t>
        </is>
      </c>
    </row>
    <row r="32" ht="21" customHeight="1">
      <c r="A32" s="93" t="inlineStr">
        <is>
          <t>دارایی ثابت</t>
        </is>
      </c>
      <c r="B32" s="156">
        <f>COUNTIF(Acc!$B$10:$B$259,$A32)</f>
        <v/>
      </c>
      <c r="C32" s="156">
        <f>COUNTIF(Grp!$A$10:$A$52,$A32)</f>
        <v/>
      </c>
      <c r="F32" s="96" t="inlineStr">
        <is>
          <t>Accounts / Groups</t>
        </is>
      </c>
    </row>
    <row r="33" ht="21" customHeight="1">
      <c r="A33" s="93" t="inlineStr">
        <is>
          <t>وام و تسهیلات</t>
        </is>
      </c>
      <c r="B33" s="156">
        <f>COUNTIF(Acc!$B$10:$B$259,$A33)</f>
        <v/>
      </c>
      <c r="C33" s="156">
        <f>COUNTIF(Grp!$A$10:$A$52,$A33)</f>
        <v/>
      </c>
      <c r="F33" s="96" t="inlineStr">
        <is>
          <t>Accounts / Groups</t>
        </is>
      </c>
    </row>
    <row r="34" ht="21" customHeight="1">
      <c r="A34" s="93" t="inlineStr">
        <is>
          <t>سرمایه و آورده صاحبان</t>
        </is>
      </c>
      <c r="B34" s="156">
        <f>COUNTIF(Acc!$B$10:$B$259,$A34)</f>
        <v/>
      </c>
      <c r="C34" s="156">
        <f>COUNTIF(Grp!$A$10:$A$52,$A34)</f>
        <v/>
      </c>
      <c r="F34" s="96" t="inlineStr">
        <is>
          <t>Accounts / Groups</t>
        </is>
      </c>
    </row>
    <row r="35" ht="21" customHeight="1">
      <c r="A35" s="93" t="inlineStr">
        <is>
          <t>بانک و صندوق</t>
        </is>
      </c>
      <c r="B35" s="156">
        <f>COUNTIF(Acc!$B$10:$B$259,$A35)</f>
        <v/>
      </c>
      <c r="C35" s="156">
        <f>COUNTIF(Grp!$A$10:$A$52,$A35)</f>
        <v/>
      </c>
      <c r="F35" s="96" t="inlineStr">
        <is>
          <t>Accounts / Groups</t>
        </is>
      </c>
    </row>
    <row r="36" ht="21.75" customHeight="1">
      <c r="A36" s="97" t="inlineStr">
        <is>
          <t>جمع</t>
        </is>
      </c>
      <c r="B36" s="98">
        <f>SUM($B$25:$B$35)</f>
        <v/>
      </c>
    </row>
    <row r="37"/>
    <row r="38"/>
    <row r="39" ht="30" customHeight="1">
      <c r="A39" s="11" t="inlineStr">
        <is>
          <t>۰۳</t>
        </is>
      </c>
      <c r="B39" s="12" t="inlineStr">
        <is>
          <t>بانک‌های شرکت  —  کد بانک ثابت است؛ عنوان را در شیت Banks عوض کنید</t>
        </is>
      </c>
      <c r="C39" s="110" t="n"/>
      <c r="D39" s="110" t="n"/>
      <c r="E39" s="110" t="n"/>
      <c r="F39" s="110" t="n"/>
    </row>
    <row r="40" ht="24" customHeight="1">
      <c r="A40" s="92" t="inlineStr">
        <is>
          <t>کد بانک</t>
        </is>
      </c>
      <c r="B40" s="92" t="inlineStr">
        <is>
          <t>عنوان نمایشی</t>
        </is>
      </c>
      <c r="C40" s="92" t="inlineStr">
        <is>
          <t>شماره حساب</t>
        </is>
      </c>
      <c r="D40" s="92" t="inlineStr">
        <is>
          <t>فعال</t>
        </is>
      </c>
      <c r="E40" s="92" t="inlineStr">
        <is>
          <t>شبا</t>
        </is>
      </c>
      <c r="F40" s="92" t="inlineStr">
        <is>
          <t>شیت منبع</t>
        </is>
      </c>
    </row>
    <row r="41" ht="21" customHeight="1">
      <c r="A41" s="93">
        <f>Bnk!$A10</f>
        <v/>
      </c>
      <c r="B41" s="94">
        <f>Bnk!$B10</f>
        <v/>
      </c>
      <c r="C41" s="96">
        <f>Bnk!$D10</f>
        <v/>
      </c>
      <c r="D41" s="96">
        <f>Bnk!$F10</f>
        <v/>
      </c>
      <c r="E41" s="96">
        <f>Bnk!$E10</f>
        <v/>
      </c>
      <c r="F41" s="96" t="inlineStr">
        <is>
          <t>Banks</t>
        </is>
      </c>
    </row>
    <row r="42" ht="21" customHeight="1">
      <c r="A42" s="93">
        <f>Bnk!$A11</f>
        <v/>
      </c>
      <c r="B42" s="94">
        <f>Bnk!$B11</f>
        <v/>
      </c>
      <c r="C42" s="96">
        <f>Bnk!$D11</f>
        <v/>
      </c>
      <c r="D42" s="96">
        <f>Bnk!$F11</f>
        <v/>
      </c>
      <c r="E42" s="96">
        <f>Bnk!$E11</f>
        <v/>
      </c>
      <c r="F42" s="96" t="inlineStr">
        <is>
          <t>Banks</t>
        </is>
      </c>
    </row>
    <row r="43" ht="21" customHeight="1">
      <c r="A43" s="93">
        <f>Bnk!$A12</f>
        <v/>
      </c>
      <c r="B43" s="94">
        <f>Bnk!$B12</f>
        <v/>
      </c>
      <c r="C43" s="96">
        <f>Bnk!$D12</f>
        <v/>
      </c>
      <c r="D43" s="96">
        <f>Bnk!$F12</f>
        <v/>
      </c>
      <c r="E43" s="96">
        <f>Bnk!$E12</f>
        <v/>
      </c>
      <c r="F43" s="96" t="inlineStr">
        <is>
          <t>Banks</t>
        </is>
      </c>
    </row>
    <row r="44" ht="21" customHeight="1">
      <c r="A44" s="93">
        <f>Bnk!$A13</f>
        <v/>
      </c>
      <c r="B44" s="94">
        <f>Bnk!$B13</f>
        <v/>
      </c>
      <c r="C44" s="96">
        <f>Bnk!$D13</f>
        <v/>
      </c>
      <c r="D44" s="96">
        <f>Bnk!$F13</f>
        <v/>
      </c>
      <c r="E44" s="96">
        <f>Bnk!$E13</f>
        <v/>
      </c>
      <c r="F44" s="96" t="inlineStr">
        <is>
          <t>Banks</t>
        </is>
      </c>
    </row>
    <row r="45" ht="21" customHeight="1">
      <c r="A45" s="93">
        <f>Bnk!$A14</f>
        <v/>
      </c>
      <c r="B45" s="94">
        <f>Bnk!$B14</f>
        <v/>
      </c>
      <c r="C45" s="96">
        <f>Bnk!$D14</f>
        <v/>
      </c>
      <c r="D45" s="96">
        <f>Bnk!$F14</f>
        <v/>
      </c>
      <c r="E45" s="96">
        <f>Bnk!$E14</f>
        <v/>
      </c>
      <c r="F45" s="96" t="inlineStr">
        <is>
          <t>Banks</t>
        </is>
      </c>
    </row>
    <row r="46" ht="21" customHeight="1">
      <c r="A46" s="93">
        <f>Bnk!$A15</f>
        <v/>
      </c>
      <c r="B46" s="94">
        <f>Bnk!$B15</f>
        <v/>
      </c>
      <c r="C46" s="96">
        <f>Bnk!$D15</f>
        <v/>
      </c>
      <c r="D46" s="96">
        <f>Bnk!$F15</f>
        <v/>
      </c>
      <c r="E46" s="96">
        <f>Bnk!$E15</f>
        <v/>
      </c>
      <c r="F46" s="96" t="inlineStr">
        <is>
          <t>Banks</t>
        </is>
      </c>
    </row>
    <row r="47" ht="21" customHeight="1">
      <c r="A47" s="93">
        <f>Bnk!$A16</f>
        <v/>
      </c>
      <c r="B47" s="94">
        <f>Bnk!$B16</f>
        <v/>
      </c>
      <c r="C47" s="96">
        <f>Bnk!$D16</f>
        <v/>
      </c>
      <c r="D47" s="96">
        <f>Bnk!$F16</f>
        <v/>
      </c>
      <c r="E47" s="96">
        <f>Bnk!$E16</f>
        <v/>
      </c>
      <c r="F47" s="96" t="inlineStr">
        <is>
          <t>Banks</t>
        </is>
      </c>
    </row>
    <row r="48" ht="21" customHeight="1">
      <c r="A48" s="93">
        <f>Bnk!$A17</f>
        <v/>
      </c>
      <c r="B48" s="94">
        <f>Bnk!$B17</f>
        <v/>
      </c>
      <c r="C48" s="96">
        <f>Bnk!$D17</f>
        <v/>
      </c>
      <c r="D48" s="96">
        <f>Bnk!$F17</f>
        <v/>
      </c>
      <c r="E48" s="96">
        <f>Bnk!$E17</f>
        <v/>
      </c>
      <c r="F48" s="96" t="inlineStr">
        <is>
          <t>Banks</t>
        </is>
      </c>
    </row>
    <row r="49" ht="21" customHeight="1">
      <c r="A49" s="93">
        <f>Bnk!$A18</f>
        <v/>
      </c>
      <c r="B49" s="94">
        <f>Bnk!$B18</f>
        <v/>
      </c>
      <c r="C49" s="96">
        <f>Bnk!$D18</f>
        <v/>
      </c>
      <c r="D49" s="96">
        <f>Bnk!$F18</f>
        <v/>
      </c>
      <c r="E49" s="96">
        <f>Bnk!$E18</f>
        <v/>
      </c>
      <c r="F49" s="96" t="inlineStr">
        <is>
          <t>Banks</t>
        </is>
      </c>
    </row>
    <row r="50" ht="21" customHeight="1">
      <c r="A50" s="93">
        <f>Bnk!$A19</f>
        <v/>
      </c>
      <c r="B50" s="94">
        <f>Bnk!$B19</f>
        <v/>
      </c>
      <c r="C50" s="96">
        <f>Bnk!$D19</f>
        <v/>
      </c>
      <c r="D50" s="96">
        <f>Bnk!$F19</f>
        <v/>
      </c>
      <c r="E50" s="96">
        <f>Bnk!$E19</f>
        <v/>
      </c>
      <c r="F50" s="96" t="inlineStr">
        <is>
          <t>Banks</t>
        </is>
      </c>
    </row>
  </sheetData>
  <sheetProtection selectLockedCells="0" selectUnlockedCells="1" sheet="1" objects="1" insertRows="1" insertHyperlinks="1" autoFilter="1" scenarios="1" formatColumns="1" deleteColumns="1" insertColumns="1" pivotTables="1" deleteRows="1" formatCells="1" formatRows="1" sort="1"/>
  <mergeCells count="8">
    <mergeCell ref="A2:F2"/>
    <mergeCell ref="B7:F7"/>
    <mergeCell ref="B39:F39"/>
    <mergeCell ref="A5:F5"/>
    <mergeCell ref="C1:F1"/>
    <mergeCell ref="B23:F23"/>
    <mergeCell ref="A1:B1"/>
    <mergeCell ref="A3:F3"/>
  </mergeCells>
  <printOptions horizontalCentered="1"/>
  <pageMargins left="0.35" right="0.35" top="0.45" bottom="0.5" header="0.3" footer="0.3"/>
  <pageSetup orientation="landscape" paperSize="9" fitToHeight="0" fitToWidth="1"/>
  <headerFooter>
    <oddHeader>&amp;Lمازندشت — سامانه حسابداری سورتینگ&amp;CMAZANDASHT · SYNC&amp;R&amp;A</oddHeader>
    <oddFooter>&amp;L&amp;F&amp;Cصفحه &amp;P از &amp;N&amp;Rنسخه ۰۴ · ۱۴۰۵</oddFooter>
    <evenHeader/>
    <evenFooter/>
    <firstHeader/>
    <firstFooter/>
  </headerFooter>
</worksheet>
</file>

<file path=xl/worksheets/sheet12.xml><?xml version="1.0" encoding="utf-8"?>
<worksheet xmlns="http://schemas.openxmlformats.org/spreadsheetml/2006/main">
  <sheetPr>
    <tabColor rgb="FF14453D"/>
    <outlinePr summaryBelow="1" summaryRight="1"/>
    <pageSetUpPr fitToPage="1"/>
  </sheetPr>
  <dimension ref="A1:J123"/>
  <sheetViews>
    <sheetView showGridLines="0" rightToLeft="1" zoomScale="88" zoomScaleNormal="88" workbookViewId="0">
      <pane ySplit="9" topLeftCell="A10" activePane="bottomLeft" state="frozen"/>
      <selection pane="bottomLeft" activeCell="A1" sqref="A1"/>
    </sheetView>
  </sheetViews>
  <sheetFormatPr baseColWidth="8" defaultRowHeight="15"/>
  <cols>
    <col width="6.7109375" customWidth="1" min="1" max="1"/>
    <col width="30.7109375" customWidth="1" min="2" max="2"/>
    <col width="16.7109375" customWidth="1" min="3" max="10"/>
  </cols>
  <sheetData>
    <row r="1" ht="18" customHeight="1">
      <c r="A1" s="104" t="inlineStr">
        <is>
          <t>مازندشت — سورتینگ و بسته‌بندی مرکبات</t>
        </is>
      </c>
      <c r="G1" s="105" t="inlineStr">
        <is>
          <t>MAZANDASHT  ·  CITRUS SORTING &amp; PACKING</t>
        </is>
      </c>
    </row>
    <row r="2" ht="30" customHeight="1">
      <c r="A2" s="106" t="inlineStr">
        <is>
          <t>راهنمای کامل فایل مادر (INFO)</t>
        </is>
      </c>
    </row>
    <row r="3" ht="20.25" customHeight="1">
      <c r="A3" s="107" t="inlineStr">
        <is>
          <t>از اینجا شروع کنید — نقشه، قواعد و آموزش گام‌به‌گام سامانه حسابداری مازندشت</t>
        </is>
      </c>
    </row>
    <row r="4" ht="8.25" customHeight="1"/>
    <row r="5" ht="42" customHeight="1">
      <c r="A5" s="91" t="inlineStr">
        <is>
          <t>این شیت قفل است و فقط برای مطالعه است. همه فایل‌های دیگر از همین فایل خوانده می‌شوند؛ بنابراین ترتیب کار همیشه این است: اول INFO، بعد ثبت، بعد گزارش/فاکتور/ترازنامه. هر بخش را با یک مثال واقعی از عملیات سورتینگ توضیح داده‌ایم.</t>
        </is>
      </c>
      <c r="B5" s="112" t="n"/>
      <c r="C5" s="112" t="n"/>
      <c r="D5" s="112" t="n"/>
      <c r="E5" s="112" t="n"/>
      <c r="F5" s="112" t="n"/>
      <c r="G5" s="112" t="n"/>
      <c r="H5" s="112" t="n"/>
      <c r="I5" s="112" t="n"/>
      <c r="J5" s="113" t="n"/>
    </row>
    <row r="6"/>
    <row r="7" ht="30" customHeight="1">
      <c r="A7" s="11" t="inlineStr">
        <is>
          <t>۰</t>
        </is>
      </c>
      <c r="B7" s="12" t="inlineStr">
        <is>
          <t>فهرست مطالب  —  روی هر سطر کلیک کنید</t>
        </is>
      </c>
      <c r="C7" s="110" t="n"/>
      <c r="D7" s="110" t="n"/>
      <c r="E7" s="110" t="n"/>
      <c r="F7" s="110" t="n"/>
      <c r="G7" s="110" t="n"/>
      <c r="H7" s="110" t="n"/>
      <c r="I7" s="110" t="n"/>
      <c r="J7" s="110" t="n"/>
    </row>
    <row r="8" ht="21" customHeight="1">
      <c r="A8" s="99" t="inlineStr">
        <is>
          <t>۱</t>
        </is>
      </c>
      <c r="B8" s="157" t="inlineStr">
        <is>
          <t xml:space="preserve">  این فایل چیست و چرا «مادر» است؟</t>
        </is>
      </c>
    </row>
    <row r="9" ht="21" customHeight="1">
      <c r="A9" s="99" t="inlineStr">
        <is>
          <t>۲</t>
        </is>
      </c>
      <c r="B9" s="157" t="inlineStr">
        <is>
          <t xml:space="preserve">  نقشه فایل‌ها و جریان داده</t>
        </is>
      </c>
    </row>
    <row r="10" ht="21" customHeight="1">
      <c r="A10" s="99" t="inlineStr">
        <is>
          <t>۳</t>
        </is>
      </c>
      <c r="B10" s="157" t="inlineStr">
        <is>
          <t xml:space="preserve">  قواعد کدگذاری</t>
        </is>
      </c>
    </row>
    <row r="11" ht="21" customHeight="1">
      <c r="A11" s="99" t="inlineStr">
        <is>
          <t>۴</t>
        </is>
      </c>
      <c r="B11" s="157" t="inlineStr">
        <is>
          <t xml:space="preserve">  دفتر حساب‌ها (Accounts)</t>
        </is>
      </c>
    </row>
    <row r="12" ht="21" customHeight="1">
      <c r="A12" s="99" t="inlineStr">
        <is>
          <t>۵</t>
        </is>
      </c>
      <c r="B12" s="157" t="inlineStr">
        <is>
          <t xml:space="preserve">  گروه‌ها و زیرگروه‌ها</t>
        </is>
      </c>
    </row>
    <row r="13" ht="21" customHeight="1">
      <c r="A13" s="99" t="inlineStr">
        <is>
          <t>۶</t>
        </is>
      </c>
      <c r="B13" s="157" t="inlineStr">
        <is>
          <t xml:space="preserve">  عملیات و قواعد بدهکار/بستانکار</t>
        </is>
      </c>
    </row>
    <row r="14" ht="21" customHeight="1">
      <c r="A14" s="99" t="inlineStr">
        <is>
          <t>۷</t>
        </is>
      </c>
      <c r="B14" s="157" t="inlineStr">
        <is>
          <t xml:space="preserve">  پارامترهای محاسباتی</t>
        </is>
      </c>
    </row>
    <row r="15" ht="21" customHeight="1">
      <c r="A15" s="99" t="inlineStr">
        <is>
          <t>۸</t>
        </is>
      </c>
      <c r="B15" s="157" t="inlineStr">
        <is>
          <t xml:space="preserve">  سبدها و وزن تار</t>
        </is>
      </c>
    </row>
    <row r="16" ht="21" customHeight="1">
      <c r="A16" s="99" t="inlineStr">
        <is>
          <t>۹</t>
        </is>
      </c>
      <c r="B16" s="157" t="inlineStr">
        <is>
          <t xml:space="preserve">  محصولات، بانک‌ها و پوز</t>
        </is>
      </c>
    </row>
    <row r="17" ht="21" customHeight="1">
      <c r="A17" s="99" t="inlineStr">
        <is>
          <t>۱۰</t>
        </is>
      </c>
      <c r="B17" s="157" t="inlineStr">
        <is>
          <t xml:space="preserve">  افزودن حساب / عملیات جدید — گام‌به‌گام</t>
        </is>
      </c>
    </row>
    <row r="18" ht="21" customHeight="1">
      <c r="A18" s="99" t="inlineStr">
        <is>
          <t>۱۱</t>
        </is>
      </c>
      <c r="B18" s="157" t="inlineStr">
        <is>
          <t xml:space="preserve">  همگام‌سازی و Update Links</t>
        </is>
      </c>
    </row>
    <row r="19" ht="21" customHeight="1">
      <c r="A19" s="99" t="inlineStr">
        <is>
          <t>۱۲</t>
        </is>
      </c>
      <c r="B19" s="157" t="inlineStr">
        <is>
          <t xml:space="preserve">  ترازنامه، فاکتور و گزارش‌ها</t>
        </is>
      </c>
    </row>
    <row r="20" ht="21" customHeight="1">
      <c r="A20" s="99" t="inlineStr">
        <is>
          <t>۱۳</t>
        </is>
      </c>
      <c r="B20" s="157" t="inlineStr">
        <is>
          <t xml:space="preserve">  عیب‌یابی فرمول‌ها</t>
        </is>
      </c>
    </row>
    <row r="21" ht="21" customHeight="1">
      <c r="A21" s="99" t="inlineStr">
        <is>
          <t>۱۴</t>
        </is>
      </c>
      <c r="B21" s="157" t="inlineStr">
        <is>
          <t xml:space="preserve">  پشتیبان‌گیری و نگهداری</t>
        </is>
      </c>
    </row>
    <row r="22" ht="21" customHeight="1">
      <c r="A22" s="99" t="inlineStr">
        <is>
          <t>۱۵</t>
        </is>
      </c>
      <c r="B22" s="157" t="inlineStr">
        <is>
          <t xml:space="preserve">  واژه‌نامه</t>
        </is>
      </c>
    </row>
    <row r="23" ht="21" customHeight="1">
      <c r="A23" s="99" t="inlineStr">
        <is>
          <t>۱۶</t>
        </is>
      </c>
      <c r="B23" s="157" t="inlineStr">
        <is>
          <t xml:space="preserve">  قواعد طلایی</t>
        </is>
      </c>
    </row>
    <row r="24"/>
    <row r="25"/>
    <row r="26" ht="30" customHeight="1">
      <c r="A26" s="11" t="inlineStr">
        <is>
          <t>۱</t>
        </is>
      </c>
      <c r="B26" s="12" t="inlineStr">
        <is>
          <t>این فایل چیست و چرا «مادر» است؟</t>
        </is>
      </c>
      <c r="C26" s="110" t="n"/>
      <c r="D26" s="110" t="n"/>
      <c r="E26" s="110" t="n"/>
      <c r="F26" s="110" t="n"/>
      <c r="G26" s="110" t="n"/>
      <c r="H26" s="110" t="n"/>
      <c r="I26" s="110" t="n"/>
      <c r="J26" s="110" t="n"/>
    </row>
    <row r="27" ht="111" customHeight="1">
      <c r="B27" s="101" t="inlineStr">
        <is>
          <t>مازندشت یک واحد سورتینگ، بسته‌بندی و بازرگانی مرکبات است. کار روزانه شما سه جنس داده دارد: (۱) بار که با کامیون می‌آید و با باسکول وزن می‌شود، (۲) پول که از بانک و چک و پوز می‌آید و می‌رود، (۳) سبد که خرید و فروش و مرجوعی دارد. اگر هر فایل این داده‌ها را جدا نگه دارد، نام‌ها و کدها به‌سرعت از هم جدا می‌شوند و گزارش‌ها به هم نمی‌خورند. به همین دلیل یک فایل «مادر» داریم که فقط تعریف می‌کند: چه حساب‌هایی داریم، چه عملیاتی انجام می‌شود، هر عملیات چه سمت بدهکار/بستانکاری دارد، وزن هر سبد چقدر است، بانک‌ها کدام‌اند و پارامترهای محاسباتی چه مقادیری دارند.</t>
        </is>
      </c>
    </row>
    <row r="28" ht="81" customHeight="1">
      <c r="B28" s="101" t="inlineStr">
        <is>
          <t>بقیه فایل‌ها هیچ تعریفی از خودشان ندارند؛ همه‌چیز را از این فایل می‌خوانند. مزیت بزرگ این معماری: اگر فردا یک باغدار جدید اضافه شد یا یک عملیات تازه مثل «آبگیری با هزینه حمل» لازم شد، فقط همین فایل را تغییر می‌دهید و همه گزارش‌ها، فاکتور و ترازنامه خودکار به‌روز می‌شوند. عیبش این است که اگر این فایل جابه‌جا شود یا اسم یک شیت عوض شود، همه فایل‌ها خطا می‌دهند؛ پس قواعد این راهنما را دقیق رعایت کنید.</t>
        </is>
      </c>
    </row>
    <row r="29" ht="32.25" customHeight="1">
      <c r="B29" s="102" t="inlineStr">
        <is>
          <t>قانون یک‌خطی: INFO تعریف می‌کند، «ثبت» می‌نویسد، بقیه می‌خوانند و گزارش می‌دهند.</t>
        </is>
      </c>
      <c r="C29" s="112" t="n"/>
      <c r="D29" s="112" t="n"/>
      <c r="E29" s="112" t="n"/>
      <c r="F29" s="112" t="n"/>
      <c r="G29" s="112" t="n"/>
      <c r="H29" s="112" t="n"/>
      <c r="I29" s="112" t="n"/>
      <c r="J29" s="113" t="n"/>
    </row>
    <row r="30"/>
    <row r="31" ht="30" customHeight="1">
      <c r="A31" s="11" t="inlineStr">
        <is>
          <t>۲</t>
        </is>
      </c>
      <c r="B31" s="12" t="inlineStr">
        <is>
          <t>نقشه فایل‌ها و جریان داده</t>
        </is>
      </c>
      <c r="C31" s="110" t="n"/>
      <c r="D31" s="110" t="n"/>
      <c r="E31" s="110" t="n"/>
      <c r="F31" s="110" t="n"/>
      <c r="G31" s="110" t="n"/>
      <c r="H31" s="110" t="n"/>
      <c r="I31" s="110" t="n"/>
      <c r="J31" s="110" t="n"/>
    </row>
    <row r="32" ht="111" customHeight="1">
      <c r="B32" s="101" t="inlineStr">
        <is>
          <t>۱) 00_Master.xlsx — همین فایل: حساب‌ها، عملیات، سبدها، محصولات، بانک‌ها، پارامترها و لیست‌ها. ۲) 01_Entry.xlsx — تنها محل نوشتن داده: شیت باسکول (ورود/خروج بار)، شیت سبد (خرید/فروش سبد)، شیت پرداخت (پرداخت و دریافت و چک). ۳) 02_Reports.xlsx — گزارش باغداران، بارفروشان، فروشندگان سبد و دفتر کل. ۴) 03_Invoice.xlsx — فاکتور چاپی با تیک انتخاب ردیف. ۵) 04_Balance.xlsx — ترازنامه ۴ و ۶ ستونه، حسابرسی، ترازبانک. ۶) 05_Bank.xlsx — تراکنش بانکی، دفتر چک و مغایرت‌گیری. ۷) 06_Buyers.xlsx — کارت اختصاصی هر بارفروش. ۸) 07_Demo.xlsx — نسخه ساده‌شده برای شروع و آموزش.</t>
        </is>
      </c>
    </row>
    <row r="33" ht="81" customHeight="1">
      <c r="B33" s="101" t="inlineStr">
        <is>
          <t>جریان داده یک‌طرفه است: INFO → ثبت → گزارش/فاکتور/ترازنامه. فایل بانک هم از INFO بانک‌ها و از ثبت پرداخت‌ها را می‌خواند تا مغایرت بانکی را نشان دهد. هیچ‌گاه داده را در دو جا وارد نکنید؛ اگر بار در باسکول ثبت شد، همان‌جا می‌ماند و گزارش‌ها از همان می‌خوانند. فایل 07 نمونه هیچ ارتباطی با فایل‌های اصلی ندارد و برای آموزش است؛ داده‌هایش را جدی نگیرید.</t>
        </is>
      </c>
    </row>
    <row r="34" ht="32.25" customHeight="1">
      <c r="B34" s="102" t="inlineStr">
        <is>
          <t>همه فایل‌ها باید در یک پوشه باشند. اگر پوشه را جابه‌جا کردید، فایل‌ها را با هم جابه‌جا کنید و لینک‌ها را Update کنید.</t>
        </is>
      </c>
      <c r="C34" s="112" t="n"/>
      <c r="D34" s="112" t="n"/>
      <c r="E34" s="112" t="n"/>
      <c r="F34" s="112" t="n"/>
      <c r="G34" s="112" t="n"/>
      <c r="H34" s="112" t="n"/>
      <c r="I34" s="112" t="n"/>
      <c r="J34" s="113" t="n"/>
    </row>
    <row r="35"/>
    <row r="36" ht="30" customHeight="1">
      <c r="A36" s="11" t="inlineStr">
        <is>
          <t>۳</t>
        </is>
      </c>
      <c r="B36" s="12" t="inlineStr">
        <is>
          <t>قواعد کدگذاری</t>
        </is>
      </c>
      <c r="C36" s="110" t="n"/>
      <c r="D36" s="110" t="n"/>
      <c r="E36" s="110" t="n"/>
      <c r="F36" s="110" t="n"/>
      <c r="G36" s="110" t="n"/>
      <c r="H36" s="110" t="n"/>
      <c r="I36" s="110" t="n"/>
      <c r="J36" s="110" t="n"/>
    </row>
    <row r="37" ht="96" customHeight="1">
      <c r="B37" s="101" t="inlineStr">
        <is>
          <t>کدها ثابت‌اند و هرگز عوض نمی‌شوند؛ فقط عنوان‌ها آزادند. پیشوند کد، گروه حساب را نشان می‌دهد: C باغدار (مثلاً C001)، SL بارفروش (SL001)، S فروشنده سبد و تأمین‌کننده (S001)، E کارمند (E001)، X حساب معین داخلی (X001)، BD باسکول دیگران (BD001)، F دارایی ثابت (F001)، L وام (L001) و CAP سرمایه (CAP001). عملیات با OP شروع می‌شود (OP01)، سبد با BK (BK01)، محصول با PB (PB01)، پارامتر با P (P01) و بانک با BANK (BN01).</t>
        </is>
      </c>
    </row>
    <row r="38" ht="81" customHeight="1">
      <c r="B38" s="101" t="inlineStr">
        <is>
          <t>شماره‌ها را دستی جابه‌جا نکنید. برای حساب جدید، اولین ردیف خالی همان گروه را پر کنید؛ کدها از قبل درج شده‌اند. مثلاً باغدار جدید = C058، بارفروش جدید = SL006. اگر کدی را پاک کنید و دوباره بنویسید، گردش قبلی آن حساب از گزارش‌ها حذف می‌شود؛ پس برای حذف یک حساب فقط نام و مشخصاتش را پاک کنید و کد را نگه دارید تا شماره‌ها جابه‌جا نشوند.</t>
        </is>
      </c>
    </row>
    <row r="39" ht="32.25" customHeight="1">
      <c r="B39" s="102" t="inlineStr">
        <is>
          <t>کد = هویت؛ عنوان = نمایش. گزارش‌ها و فرمول‌ها همیشه با کد کار می‌کنند.</t>
        </is>
      </c>
      <c r="C39" s="112" t="n"/>
      <c r="D39" s="112" t="n"/>
      <c r="E39" s="112" t="n"/>
      <c r="F39" s="112" t="n"/>
      <c r="G39" s="112" t="n"/>
      <c r="H39" s="112" t="n"/>
      <c r="I39" s="112" t="n"/>
      <c r="J39" s="113" t="n"/>
    </row>
    <row r="40"/>
    <row r="41" ht="30" customHeight="1">
      <c r="A41" s="11" t="inlineStr">
        <is>
          <t>۴</t>
        </is>
      </c>
      <c r="B41" s="12" t="inlineStr">
        <is>
          <t>دفتر حساب‌ها (Accounts)</t>
        </is>
      </c>
      <c r="C41" s="110" t="n"/>
      <c r="D41" s="110" t="n"/>
      <c r="E41" s="110" t="n"/>
      <c r="F41" s="110" t="n"/>
      <c r="G41" s="110" t="n"/>
      <c r="H41" s="110" t="n"/>
      <c r="I41" s="110" t="n"/>
      <c r="J41" s="110" t="n"/>
    </row>
    <row r="42" ht="96" customHeight="1">
      <c r="B42" s="101" t="inlineStr">
        <is>
          <t>این شیت قلب فایل مادر است. هر ردیف یک صاحب حساب یا یک حساب معین است. ستون «گروه» از ۱۰ گروه اصلی انتخاب می‌شود و ستون «زیرگروه» از شیت Groups می‌آید. ستون «مانده اولیه» علامت‌دار است: عدد مثبت یعنی حساب بدهکار است (از ما طلب دارد) و عدد منفی یعنی بستانکار است (ما به او بدهکاریم). برای باغدار معمولاً بستانکاریم و برای بارفروش بدهکار. جمع جبری مانده‌های اولیه باید با سرمایه و دارایی‌ها بخواند؛ در غیر این صورت ترازنامه افتتاحیه تراز نمی‌شود.</t>
        </is>
      </c>
    </row>
    <row r="43" ht="81" customHeight="1">
      <c r="B43" s="101" t="inlineStr">
        <is>
          <t>ستون «نوع حساب» دو مقدار دارد: «طرف حساب» برای اشخاص و «معین» برای حساب‌های داخلی مثل صندوق، موجودی مرکبات، فروش، هزینه. ستون «گروه کد (خودکار)» پیشوند کد را ترجمه می‌کند و ستون «بررسی» با ✓/⚠ می‌گوید گروه انتخابی با پیشوند کد سازگار است یا نه. حساب‌های بدون نام در گزارش‌ها و کشوها نمی‌آیند؛ پس برای شروع، فقط ردیف‌هایی را پر کنید که واقعاً استفاده می‌شوند.</t>
        </is>
      </c>
    </row>
    <row r="44" ht="66" customHeight="1">
      <c r="B44" s="101" t="inlineStr">
        <is>
          <t>مثال: C001 زینب زاهدی، گروه باغدار، زیرگروه عمده، مانده اولیه ۰. وقتی بار تحویل می‌دهد، در باسکول با کد C001 ثبت می‌شود و حسابش بستانکار می‌شود. وقتی پول می‌گیرد، در شیت پرداخت با همان کد ثبت می‌شود و بستانکاری کم می‌شود. مانده نهایی = بستانکاری باسکول − پرداخت‌ها.</t>
        </is>
      </c>
    </row>
    <row r="45" ht="32.25" customHeight="1">
      <c r="B45" s="102" t="inlineStr">
        <is>
          <t>جمع بدهکاران و بستانکاران افتتاحیه باید با هم برابر باشد؛ اگر نبود، یک ردیف جا افتاده است.</t>
        </is>
      </c>
      <c r="C45" s="112" t="n"/>
      <c r="D45" s="112" t="n"/>
      <c r="E45" s="112" t="n"/>
      <c r="F45" s="112" t="n"/>
      <c r="G45" s="112" t="n"/>
      <c r="H45" s="112" t="n"/>
      <c r="I45" s="112" t="n"/>
      <c r="J45" s="113" t="n"/>
    </row>
    <row r="46"/>
    <row r="47" ht="30" customHeight="1">
      <c r="A47" s="11" t="inlineStr">
        <is>
          <t>۵</t>
        </is>
      </c>
      <c r="B47" s="12" t="inlineStr">
        <is>
          <t>گروه‌ها و زیرگروه‌ها</t>
        </is>
      </c>
      <c r="C47" s="110" t="n"/>
      <c r="D47" s="110" t="n"/>
      <c r="E47" s="110" t="n"/>
      <c r="F47" s="110" t="n"/>
      <c r="G47" s="110" t="n"/>
      <c r="H47" s="110" t="n"/>
      <c r="I47" s="110" t="n"/>
      <c r="J47" s="110" t="n"/>
    </row>
    <row r="48" ht="81" customHeight="1">
      <c r="B48" s="101" t="inlineStr">
        <is>
          <t>ده گروه اصلی داریم: باغدار، بارفروش، فروشنده سبد، تأمین‌کننده، کارمند، سایر حساب، باسکول دیگران، دارایی ثابت، وام و تسهیلات، سرمایه و آورده صاحبان. هر گروه یک پیشوند کد، یک شیت گزارش و یک رنگ اختصاصی دارد. زیرگروه‌ها جزئیات را جدا می‌کنند: باغدار می‌تواند سردرختی، انباری، عمده، خرده‌فروش، صادراتی یا میدان بار باشد؛ فروشنده سبد می‌تواند سبد پلاستیکی، چوبی یا مقوایی بفروشد.</t>
        </is>
      </c>
    </row>
    <row r="49" ht="66" customHeight="1">
      <c r="B49" s="101" t="inlineStr">
        <is>
          <t>زیرگروه‌ها در گزارش‌ها به ستون یا فیلتر تبدیل می‌شوند. اگر زیرگروه‌ها را درست تعریف کنید، در گزارش باغداران می‌توانید فقط «سردرختی»ها را ببینید یا جمع بستانکاری هر زیرگروه را جدا کنید. برای افزودن زیرگروه جدید، ردیف خالی بعدی را پر کنید و گروه اصلی‌اش را از کشو انتخاب کنید؛ سپس در شیت Accounts از کشوی زیرگروه استفاده کنید.</t>
        </is>
      </c>
    </row>
    <row r="50" ht="32.25" customHeight="1">
      <c r="B50" s="102" t="inlineStr">
        <is>
          <t>رنگ گروه‌ها در همه فایل‌ها یکسان است: باغدار سبز نعنایی، بارفروش آبی، فروشنده سبد بنفش، تأمین‌کننده هلویی.</t>
        </is>
      </c>
      <c r="C50" s="112" t="n"/>
      <c r="D50" s="112" t="n"/>
      <c r="E50" s="112" t="n"/>
      <c r="F50" s="112" t="n"/>
      <c r="G50" s="112" t="n"/>
      <c r="H50" s="112" t="n"/>
      <c r="I50" s="112" t="n"/>
      <c r="J50" s="113" t="n"/>
    </row>
    <row r="51"/>
    <row r="52" ht="30" customHeight="1">
      <c r="A52" s="11" t="inlineStr">
        <is>
          <t>۶</t>
        </is>
      </c>
      <c r="B52" s="12" t="inlineStr">
        <is>
          <t>عملیات و قواعد بدهکار/بستانکار</t>
        </is>
      </c>
      <c r="C52" s="110" t="n"/>
      <c r="D52" s="110" t="n"/>
      <c r="E52" s="110" t="n"/>
      <c r="F52" s="110" t="n"/>
      <c r="G52" s="110" t="n"/>
      <c r="H52" s="110" t="n"/>
      <c r="I52" s="110" t="n"/>
      <c r="J52" s="110" t="n"/>
    </row>
    <row r="53" ht="66" customHeight="1">
      <c r="B53" s="101" t="inlineStr">
        <is>
          <t>شیت Ops موتور حسابداری سامانه است. هر عملیات می‌گوید: آیا وزن لازم دارد؟ آیا حساب طرف لازم دارد؟ مبلغ طرف از وزن×فی حساب می‌شود یا از مبلغ/تعداد×فی؟ حساب طرف بدهکار می‌شود یا بستانکار؟ حساب معین مقابل چیست و در کدام سمت می‌نشیند؟ مبلغ دستی چه نقشی دارد؟ و اگر پوز در کار است، کدام بانک بدهکار و کدام حساب بستانکار شود؟</t>
        </is>
      </c>
    </row>
    <row r="54" ht="51" customHeight="1">
      <c r="B54" s="101" t="inlineStr">
        <is>
          <t>مثال ۱ — خرید مرکبات (OP01): جهت ورود، مبنا وزن، طرف بستانکار، معین «موجودی مرکبات» بدهکار. یعنی بار وارد انبار شد (دارایی زیاد شد) و باغدار طلبکار شد. مبلغ دستی در این عملیات به بستانکاری باغدار اضافه می‌شود (کرایه حمل یا توافق اضافه).</t>
        </is>
      </c>
    </row>
    <row r="55" ht="66" customHeight="1">
      <c r="B55" s="101" t="inlineStr">
        <is>
          <t>مثال ۲ — فروش بار (OP02): جهت خروج، طرف بدهکار، معین «فروش مرکبات» بستانکار. بارفروش بدهکار می‌شود و درآمد شناسایی می‌شود. مبلغ دستی در این عملیات نقش «پوز» دارد: فقط هزینه باسکول است، بدهکار صادرات ۲۰۰۶ و بستانکار درآمد باسکول؛ به حساب بارفروش هیچ ربطی ندارد، چون هزینه باسکول را خود راننده با کارت پرداخت کرده است.</t>
        </is>
      </c>
    </row>
    <row r="56" ht="66" customHeight="1">
      <c r="B56" s="101" t="inlineStr">
        <is>
          <t>مثال ۳ — انعام مصطفی (OP05): بدون وزن و بدون حساب طرف. بدهکار صادرات ۲۰۰۶ (پول از پوز باسکول خارج شده) و بستانکار حساب انعام مصطفی X001. وقتی در شیت پرداخت، انتقالی به انعام مصطفی ثبت شود، آن حساب بدهکار و بانک بستانکار می‌شود و مانده انعام صفر می‌شود. اگر پول نقدی به او بدهید، همان اثر را دارد.</t>
        </is>
      </c>
    </row>
    <row r="57" ht="51" customHeight="1">
      <c r="B57" s="101" t="inlineStr">
        <is>
          <t>مثال ۴ — آبگیری (OP04): هم وزن و هم مبلغ. سمت حساب طرف را خودتان انتخاب می‌کنید (بدهکار یا بستانکار) چون ممکن است آبگیری برای باغدار باشد (بستانکار) یا برای مشتری (بدهکار). طرف مقابل حساب درآمد آبگیری است.</t>
        </is>
      </c>
    </row>
    <row r="58" ht="51" customHeight="1">
      <c r="B58" s="101" t="inlineStr">
        <is>
          <t>مثال ۵ — باسکول دیگران (OP06): بدون وزن، با حساب طرف از گروه «باسکول دیگران»، بدهکار و درآمد باسکول بستانکار. این اشخاص فقط برای باسکول‌کردن حساب دارند؛ هزینه‌شان بدهکار می‌شود و بعداً با پرداخت تسویه می‌شود.</t>
        </is>
      </c>
    </row>
    <row r="59" ht="32.25" customHeight="1">
      <c r="B59" s="102" t="inlineStr">
        <is>
          <t>برای عملیات جدید، کد OP بعدی را در ردیف خالی بگذارید، ستون‌ها را مثل نزدیک‌ترین نمونه پر کنید و «در باسکول» را بله بگذارید.</t>
        </is>
      </c>
      <c r="C59" s="112" t="n"/>
      <c r="D59" s="112" t="n"/>
      <c r="E59" s="112" t="n"/>
      <c r="F59" s="112" t="n"/>
      <c r="G59" s="112" t="n"/>
      <c r="H59" s="112" t="n"/>
      <c r="I59" s="112" t="n"/>
      <c r="J59" s="113" t="n"/>
    </row>
    <row r="60"/>
    <row r="61" ht="30" customHeight="1">
      <c r="A61" s="11" t="inlineStr">
        <is>
          <t>۷</t>
        </is>
      </c>
      <c r="B61" s="12" t="inlineStr">
        <is>
          <t>پارامترهای محاسباتی</t>
        </is>
      </c>
      <c r="C61" s="110" t="n"/>
      <c r="D61" s="110" t="n"/>
      <c r="E61" s="110" t="n"/>
      <c r="F61" s="110" t="n"/>
      <c r="G61" s="110" t="n"/>
      <c r="H61" s="110" t="n"/>
      <c r="I61" s="110" t="n"/>
      <c r="J61" s="110" t="n"/>
    </row>
    <row r="62" ht="81" customHeight="1">
      <c r="B62" s="101" t="inlineStr">
        <is>
          <t>پارامترها اعداد کلیدی هستند که در فرمول‌ها استفاده می‌شوند. P01 وزن سبد پیش‌فرض (۱٫۵ کیلوگرم) است و وقتی نوع سبد انتخاب نشود یا وزن تار آن صفر باشد، از این عدد استفاده می‌شود. P02 درصد افت خرید (۱٪) است و فقط روی خرید مرکبات اعمال می‌شود. P03 واحد رند کردن مبلغ (۱۰۰۰ ریال) است. P09 سقف اعتبار پیش‌فرض بارفروش و P10 مهلت چک است.</t>
        </is>
      </c>
    </row>
    <row r="63" ht="66" customHeight="1">
      <c r="B63" s="101" t="inlineStr">
        <is>
          <t>فرمول وزن خالص خرید: (وزن باسکول − تعداد سبد × وزن تار سبد) × (۱ − درصد افت ÷ ۱۰۰). سپس مبلغ = وزن خالص × فی خرید. اگر وزن تار هر سبد در شیت Baskets تعریف شده باشد، همان استفاده می‌شود؛ در غیر این صورت P01. افت فقط برای دسته «خرید» اعمال می‌شود؛ فروش و مرجوعی فقط تار سبد را کم می‌کنند.</t>
        </is>
      </c>
    </row>
    <row r="64" ht="66" customHeight="1">
      <c r="B64" s="101" t="inlineStr">
        <is>
          <t>تغییر پارامترها فوری است: به محض تغییر P02، همه مبالغ خرید در فایل ثبت و گزارش‌ها (پس از محاسبه مجدد) عوض می‌شوند. پس قبل از تغییر، مطمئن شوید که منظورتان تغییر کل دوره است، نه یک ردیف خاص. برای یک ردیف خاص، از ستون مبلغ دستی یا توضیحات استفاده کنید.</t>
        </is>
      </c>
    </row>
    <row r="65" ht="32.25" customHeight="1">
      <c r="B65" s="102" t="inlineStr">
        <is>
          <t>اگر وزن خالص منفی شد، یعنی تعداد سبد × وزن تار از وزن باسکول بیشتر است؛ ردیف را کنترل کنید.</t>
        </is>
      </c>
      <c r="C65" s="112" t="n"/>
      <c r="D65" s="112" t="n"/>
      <c r="E65" s="112" t="n"/>
      <c r="F65" s="112" t="n"/>
      <c r="G65" s="112" t="n"/>
      <c r="H65" s="112" t="n"/>
      <c r="I65" s="112" t="n"/>
      <c r="J65" s="113" t="n"/>
    </row>
    <row r="66"/>
    <row r="67" ht="30" customHeight="1">
      <c r="A67" s="11" t="inlineStr">
        <is>
          <t>۸</t>
        </is>
      </c>
      <c r="B67" s="12" t="inlineStr">
        <is>
          <t>سبدها و وزن تار</t>
        </is>
      </c>
      <c r="C67" s="110" t="n"/>
      <c r="D67" s="110" t="n"/>
      <c r="E67" s="110" t="n"/>
      <c r="F67" s="110" t="n"/>
      <c r="G67" s="110" t="n"/>
      <c r="H67" s="110" t="n"/>
      <c r="I67" s="110" t="n"/>
      <c r="J67" s="110" t="n"/>
    </row>
    <row r="68" ht="66" customHeight="1">
      <c r="B68" s="101" t="inlineStr">
        <is>
          <t>شیت Baskets برای هر نوع سبد، وزن تار، ظرفیت، قیمت خرید و فروش و موجودی اولیه را نگه می‌دارد. وزن تار مهم‌ترین عدد است: بار با سبد وزن می‌شود و باید وزن خالی سبدها کم شود. مثلاً ۱۳۹ سبد ۹ کیلویی با وزن تار ۱٫۹ کیلوگرم، ۲۶۴٫۱ کیلوگرم از وزن باسکول کم می‌کند.</t>
        </is>
      </c>
    </row>
    <row r="69" ht="66" customHeight="1">
      <c r="B69" s="101" t="inlineStr">
        <is>
          <t>موجودی سبد با عملیات شیت Basket در فایل ثبت حرکت می‌کند: خرید سبد موجودی را زیاد می‌کند، فروش سبد کم می‌کند و مرجوعی‌ها برعکس. در گزارش‌ها، موجودی سبد = موجودی اولیه + خرید − فروش + مرجوعی خرید − مرجوعی فروش. اگر شمارش انبار با این عدد اختلاف داشت، ردیف «تعدیل موجودی» ثبت کنید.</t>
        </is>
      </c>
    </row>
    <row r="70" ht="32.25" customHeight="1">
      <c r="B70" s="102" t="inlineStr">
        <is>
          <t>وزن تار را از روی ترازو یک بار اندازه بگیرید و همان را وارد کنید؛ هر ۱۰۰ گرم خطا در ۱۰٬۰۰۰ سبد، یک تن خطا می‌شود.</t>
        </is>
      </c>
      <c r="C70" s="112" t="n"/>
      <c r="D70" s="112" t="n"/>
      <c r="E70" s="112" t="n"/>
      <c r="F70" s="112" t="n"/>
      <c r="G70" s="112" t="n"/>
      <c r="H70" s="112" t="n"/>
      <c r="I70" s="112" t="n"/>
      <c r="J70" s="113" t="n"/>
    </row>
    <row r="71"/>
    <row r="72" ht="30" customHeight="1">
      <c r="A72" s="11" t="inlineStr">
        <is>
          <t>۹</t>
        </is>
      </c>
      <c r="B72" s="12" t="inlineStr">
        <is>
          <t>محصولات، بانک‌ها و پوز</t>
        </is>
      </c>
      <c r="C72" s="110" t="n"/>
      <c r="D72" s="110" t="n"/>
      <c r="E72" s="110" t="n"/>
      <c r="F72" s="110" t="n"/>
      <c r="G72" s="110" t="n"/>
      <c r="H72" s="110" t="n"/>
      <c r="I72" s="110" t="n"/>
      <c r="J72" s="110" t="n"/>
    </row>
    <row r="73" ht="81" customHeight="1">
      <c r="B73" s="101" t="inlineStr">
        <is>
          <t>شیت Products نام محصول، دسته (نوع مرکبات)، واحد و سبد پیش‌فرض را نگه می‌دارد. در باسکول با انتخاب محصول، دسته و سبد پیش‌فرض خودکار می‌آید. شیت Banks ده حساب بانکی شرکت را با کد ثابت نگه می‌دارد. کد BN02 مخصوص «صادرات ۲۰۰۶» و پوز باسکول است؛ عملیات انعام، فروش بار و درآمد پوز همه به همین حساب اشاره می‌کنند. اگر روزی پوز را به حساب دیگری وصل کردید، فقط ستون «بانک پوز» در شیت Ops را عوض کنید.</t>
        </is>
      </c>
    </row>
    <row r="74" ht="51" customHeight="1">
      <c r="B74" s="101" t="inlineStr">
        <is>
          <t>در فایل بانک، هر تراکنش با کد بانک ثبت می‌شود و مانده سیستمی با مانده صورت‌حساب مقایسه می‌شود. پوز باسکول روزانه یک واریزی تجمیعی دارد؛ آن را با نوع «کارت/پوز» و طرف حساب درآمد باسکول ثبت کنید تا با جمع هزینه‌های پوز باسکول در باسکول بخواند.</t>
        </is>
      </c>
    </row>
    <row r="75" ht="32.25" customHeight="1">
      <c r="B75" s="102" t="inlineStr">
        <is>
          <t>کد بانک را عوض نکنید؛ فقط عنوان نمایشی را تغییر دهید.</t>
        </is>
      </c>
      <c r="C75" s="112" t="n"/>
      <c r="D75" s="112" t="n"/>
      <c r="E75" s="112" t="n"/>
      <c r="F75" s="112" t="n"/>
      <c r="G75" s="112" t="n"/>
      <c r="H75" s="112" t="n"/>
      <c r="I75" s="112" t="n"/>
      <c r="J75" s="113" t="n"/>
    </row>
    <row r="76"/>
    <row r="77" ht="30" customHeight="1">
      <c r="A77" s="11" t="inlineStr">
        <is>
          <t>۱۰</t>
        </is>
      </c>
      <c r="B77" s="12" t="inlineStr">
        <is>
          <t>افزودن حساب / عملیات جدید — گام‌به‌گام</t>
        </is>
      </c>
      <c r="C77" s="110" t="n"/>
      <c r="D77" s="110" t="n"/>
      <c r="E77" s="110" t="n"/>
      <c r="F77" s="110" t="n"/>
      <c r="G77" s="110" t="n"/>
      <c r="H77" s="110" t="n"/>
      <c r="I77" s="110" t="n"/>
      <c r="J77" s="110" t="n"/>
    </row>
    <row r="78" ht="66" customHeight="1">
      <c r="B78" s="101" t="inlineStr">
        <is>
          <t>حساب جدید: (۱) در شیت Accounts اولین ردیف خالی گروه مربوطه را پیدا کنید (مثلاً C058). (۲) نام، تلفن و نشانی را بنویسید. (۳) گروه و زیرگروه را از کشو انتخاب کنید. (۴) نوع حساب را «طرف حساب» بگذارید. (۵) بررسی کنید ستون «بررسی» ✓ شود. (۶) فایل‌های دیگر را باز کنید و Edit Links → Update Values بزنید.</t>
        </is>
      </c>
    </row>
    <row r="79" ht="81" customHeight="1">
      <c r="B79" s="101" t="inlineStr">
        <is>
          <t>عملیات جدید: (۱) در شیت Ops اولین ردیف خالی را بردارید (OP20). (۲) عنوان یکتا بنویسید. (۳) جهت، دسته، وزن لازم و حساب طرف را مثل نمونه مشابه پر کنید. (۴) حساب معین و سمتش را انتخاب کنید. (۵) نقش مبلغ دستی و اثر پوز را مشخص کنید. (۶) «در باسکول» را بله و رنگ را انتخاب کنید. (۷) توضیح قاعده را بنویسید. (۸) لینک‌ها را Update کنید.</t>
        </is>
      </c>
    </row>
    <row r="80" ht="66" customHeight="1">
      <c r="B80" s="101" t="inlineStr">
        <is>
          <t>سبد جدید: در شیت Baskets ردیف خالی بعدی (BK09) را پر کنید؛ وزن تار را حتماً بنویسید. محصول جدید: در Products ردیف بعدی را پر کنید و سبد پیش‌فرض را انتخاب کنید. بانک جدید: فقط تا BN10 جا داریم؛ اگر بیشتر شد، شیت Banks و فایل بانک را گسترش دهید.</t>
        </is>
      </c>
    </row>
    <row r="81" ht="32.25" customHeight="1">
      <c r="B81" s="102" t="inlineStr">
        <is>
          <t>بعد از هر تغییر، یک ردیف آزمایشی در فایل ثبت بزنید و نتیجه بدهکار/بستانکار را با قاعده مقایسه کنید.</t>
        </is>
      </c>
      <c r="C81" s="112" t="n"/>
      <c r="D81" s="112" t="n"/>
      <c r="E81" s="112" t="n"/>
      <c r="F81" s="112" t="n"/>
      <c r="G81" s="112" t="n"/>
      <c r="H81" s="112" t="n"/>
      <c r="I81" s="112" t="n"/>
      <c r="J81" s="113" t="n"/>
    </row>
    <row r="82"/>
    <row r="83" ht="30" customHeight="1">
      <c r="A83" s="11" t="inlineStr">
        <is>
          <t>۱۱</t>
        </is>
      </c>
      <c r="B83" s="12" t="inlineStr">
        <is>
          <t>همگام‌سازی و Update Links</t>
        </is>
      </c>
      <c r="C83" s="110" t="n"/>
      <c r="D83" s="110" t="n"/>
      <c r="E83" s="110" t="n"/>
      <c r="F83" s="110" t="n"/>
      <c r="G83" s="110" t="n"/>
      <c r="H83" s="110" t="n"/>
      <c r="I83" s="110" t="n"/>
      <c r="J83" s="110" t="n"/>
    </row>
    <row r="84" ht="81" customHeight="1">
      <c r="B84" s="101" t="inlineStr">
        <is>
          <t>فایل‌های دیگر به INFO لینک خارجی دارند. وقتی INFO را تغییر می‌دهید و ذخیره می‌کنید، فایل‌های دیگر ممکن است تا زمانی که باز و Update نشوند، مقدار قدیمی را نشان دهند. در Excel 2013: فایل را باز کنید، اگر پیام «This workbook contains links…» آمد Update را بزنید؛ یا از مسیر Data → Edit Links → Update Values استفاده کنید. برای اطمینان، یک بار Ctrl+Alt+F9 بزنید تا همه فرمول‌ها از نو محاسبه شوند.</t>
        </is>
      </c>
    </row>
    <row r="85" ht="81" customHeight="1">
      <c r="B85" s="101" t="inlineStr">
        <is>
          <t>اگر فایل‌ها را جابه‌جا کردید، Edit Links → Change Source را بزنید و 00_Master.xlsx جدید را انتخاب کنید. اگر نام INFO را عوض کردید، همین کار لازم است. هرگز فایل INFO را با نام دیگری ذخیره نکنید مگر اینکه همه لینک‌ها را عوض کنید. در نسخه ۰۱ مسیرها نسبی‌اند؛ یعنی اگر کل پوشه را جابه‌جا کنید، لینک‌ها سالم می‌مانند به شرطی که همه فایل‌ها با هم جابه‌جا شوند.</t>
        </is>
      </c>
    </row>
    <row r="86" ht="32.25" customHeight="1">
      <c r="B86" s="102" t="inlineStr">
        <is>
          <t>بعد از Update، پیام «#NAME?» یا «#REF!» نگیرید؟ یعنی لینک سالم است. پیام «Update Values» را نادیده نگیرید.</t>
        </is>
      </c>
      <c r="C86" s="112" t="n"/>
      <c r="D86" s="112" t="n"/>
      <c r="E86" s="112" t="n"/>
      <c r="F86" s="112" t="n"/>
      <c r="G86" s="112" t="n"/>
      <c r="H86" s="112" t="n"/>
      <c r="I86" s="112" t="n"/>
      <c r="J86" s="113" t="n"/>
    </row>
    <row r="87"/>
    <row r="88" ht="30" customHeight="1">
      <c r="A88" s="11" t="inlineStr">
        <is>
          <t>۱۲</t>
        </is>
      </c>
      <c r="B88" s="12" t="inlineStr">
        <is>
          <t>ترازنامه، فاکتور و گزارش‌ها</t>
        </is>
      </c>
      <c r="C88" s="110" t="n"/>
      <c r="D88" s="110" t="n"/>
      <c r="E88" s="110" t="n"/>
      <c r="F88" s="110" t="n"/>
      <c r="G88" s="110" t="n"/>
      <c r="H88" s="110" t="n"/>
      <c r="I88" s="110" t="n"/>
      <c r="J88" s="110" t="n"/>
    </row>
    <row r="89" ht="81" customHeight="1">
      <c r="B89" s="101" t="inlineStr">
        <is>
          <t>فایل گزارش سه شیت اصلی دارد: باغداران، بارفروشان و فروشندگان سبد. در شیت باغداران، کد باغدار را انتخاب می‌کنید و ریز همه ورودهای بار او (تاریخ، نوع مرکبات، تعداد سبد، وزن باسکول، وزن خالص، فی، مبلغ) به‌ترتیب تاریخ می‌آید؛ بعد پرداخت‌ها و چک‌ها و در آخر مانده. در شیت بارفروشان، بارهای خروجی و تسویه‌ها و هزینه باسکول دیده می‌شود. در شیت فروشندگان سبد، خرید/فروش سبد و مانده ریالی می‌آید.</t>
        </is>
      </c>
    </row>
    <row r="90" ht="81" customHeight="1">
      <c r="B90" s="101" t="inlineStr">
        <is>
          <t>فایل ترازنامه چهار ستون (بدهکار/بستانکار/مانده) و شش ستون (گردش دوره + مانده) دارد و شیت‌های اختصاصی باغداران، بارفروشان، فروشندگان سبد، موجودی، حسابرسی و ترازبانک. فایل فاکتور با انتخاب کد حساب، همه ردیف‌ها را می‌آورد؛ با برداشتن تیک «نمایش» هر ردیف، آن ردیف از جمع و چاپ حذف می‌شود. مبلغ فاکتور خرید مرکبات از همان فرمول وزن خالص × فی محاسبه می‌شود، نه از مبلغ دستی.</t>
        </is>
      </c>
    </row>
    <row r="91" ht="66" customHeight="1">
      <c r="B91" s="101" t="inlineStr">
        <is>
          <t>ترازنامه باید همیشه تراز باشد: جمع بدهکاران = جمع بستانکاران. اگر نبود، اول مانده‌های افتتاحیه INFO را چک کنید، بعد ردیف‌های بدون طرف حساب در ثبت، و در آخر عملیات‌هایی که حساب معینشان خالی است. شیت حسابرسی همین کنترل‌ها را ردیف‌به‌ردیف نشان می‌دهد.</t>
        </is>
      </c>
    </row>
    <row r="92" ht="32.25" customHeight="1">
      <c r="B92" s="102" t="inlineStr">
        <is>
          <t>فاکتور سند رسمی نیست مگر با مهر و امضا؛ اما عددهایش باید با ترازنامه یکی باشد.</t>
        </is>
      </c>
      <c r="C92" s="112" t="n"/>
      <c r="D92" s="112" t="n"/>
      <c r="E92" s="112" t="n"/>
      <c r="F92" s="112" t="n"/>
      <c r="G92" s="112" t="n"/>
      <c r="H92" s="112" t="n"/>
      <c r="I92" s="112" t="n"/>
      <c r="J92" s="113" t="n"/>
    </row>
    <row r="93"/>
    <row r="94" ht="30" customHeight="1">
      <c r="A94" s="11" t="inlineStr">
        <is>
          <t>۱۳</t>
        </is>
      </c>
      <c r="B94" s="12" t="inlineStr">
        <is>
          <t>عیب‌یابی فرمول‌ها</t>
        </is>
      </c>
      <c r="C94" s="110" t="n"/>
      <c r="D94" s="110" t="n"/>
      <c r="E94" s="110" t="n"/>
      <c r="F94" s="110" t="n"/>
      <c r="G94" s="110" t="n"/>
      <c r="H94" s="110" t="n"/>
      <c r="I94" s="110" t="n"/>
      <c r="J94" s="110" t="n"/>
    </row>
    <row r="95" ht="81" customHeight="1">
      <c r="B95" s="101" t="inlineStr">
        <is>
          <t>#NAME? یعنی نام محدوده یا فایل پیدا نشد: معمولاً INFO بسته است یا اسم شیت عوض شده. فایل را باز و لینک را Update کنید. #REF! یعنی محدوده حذف شده یا ردیف/ستون جابه‌جا شده. #VALUE! یعنی در سلول عددی، متن گذاشته‌اید (مثلاً فی خرید را با کاما یا خط تیره وارد کرده‌اید). #N/A یعنی VLOOKUP کد را پیدا نکرده؛ کد را با شیت Accounts مقایسه کنید.</t>
        </is>
      </c>
    </row>
    <row r="96" ht="81" customHeight="1">
      <c r="B96" s="101" t="inlineStr">
        <is>
          <t>اگر جمع‌ها صفر است، احتمالاً ستون محاسباتی خالی است یا محدوده فرمول به ردیف‌های جدید کشیده نشده. اگر ردیفی در گزارش نیست، بررسی کنید تاریخش در محدوده فیلتر باشد و کد حسابش در Accounts نام داشته باشد. اگر مانده یک حساب با انتظار شما فرق دارد، اول ریز گردش را ببینید؛ معمولاً یک پرداخت با کد اشتباه یا یک ردیف تکراری وجود دارد.</t>
        </is>
      </c>
    </row>
    <row r="97" ht="32.25" customHeight="1">
      <c r="B97" s="102" t="inlineStr">
        <is>
          <t>قبل از تغییر فرمول‌ها، از فایل نسخه پشتیبان بگیرید. فرمول‌های زنجیره‌ای را با F2 و Evaluate Formula بررسی کنید.</t>
        </is>
      </c>
      <c r="C97" s="112" t="n"/>
      <c r="D97" s="112" t="n"/>
      <c r="E97" s="112" t="n"/>
      <c r="F97" s="112" t="n"/>
      <c r="G97" s="112" t="n"/>
      <c r="H97" s="112" t="n"/>
      <c r="I97" s="112" t="n"/>
      <c r="J97" s="113" t="n"/>
    </row>
    <row r="98"/>
    <row r="99" ht="30" customHeight="1">
      <c r="A99" s="11" t="inlineStr">
        <is>
          <t>۱۴</t>
        </is>
      </c>
      <c r="B99" s="12" t="inlineStr">
        <is>
          <t>پشتیبان‌گیری و نگهداری</t>
        </is>
      </c>
      <c r="C99" s="110" t="n"/>
      <c r="D99" s="110" t="n"/>
      <c r="E99" s="110" t="n"/>
      <c r="F99" s="110" t="n"/>
      <c r="G99" s="110" t="n"/>
      <c r="H99" s="110" t="n"/>
      <c r="I99" s="110" t="n"/>
      <c r="J99" s="110" t="n"/>
    </row>
    <row r="100" ht="66" customHeight="1">
      <c r="B100" s="101" t="inlineStr">
        <is>
          <t>هر هفته یک نسخه از کل پوشه با تاریخ در نام بگیرید: Mazandasht_1405-07-10. فایل INFO را جداگانه هم نگه دارید، چون مرجع تعریف‌هاست. قبل از هر تغییر بزرگ (افزودن گروه، تغییر پارامتر، ارتقای نسخه) یک نسخه فوری بگیرید. فایل‌ها را روی OneDrive یا فضای ابری نگه دارید تا اگر سیستم خراب شد، قابل بازیابی باشند.</t>
        </is>
      </c>
    </row>
    <row r="101" ht="66" customHeight="1">
      <c r="B101" s="101" t="inlineStr">
        <is>
          <t>فایل‌ها را با Excel 2013 یا جدیدتر باز کنید؛ از Google Sheets برای ویرایش استفاده نکنید چون لینک‌های خارجی و داده‌اعتبارسنجی را کامل پشتیبانی نمی‌کند. ماکرو نداریم؛ اگر پیام امنیتی دیدید، فایل را از پوشه شبکه باز نکنید و اول کپی کنید. برای چاپ، همیشه Print Preview بگیرید تا سرصفحه و ستون‌ها در صفحه جا شوند.</t>
        </is>
      </c>
    </row>
    <row r="102" ht="32.25" customHeight="1">
      <c r="B102" s="102" t="inlineStr">
        <is>
          <t>نسخه پشتیبان بدون تست بازیابی، پشتیبان نیست؛ ماهی یک بار یک نسخه را باز و چک کنید.</t>
        </is>
      </c>
      <c r="C102" s="112" t="n"/>
      <c r="D102" s="112" t="n"/>
      <c r="E102" s="112" t="n"/>
      <c r="F102" s="112" t="n"/>
      <c r="G102" s="112" t="n"/>
      <c r="H102" s="112" t="n"/>
      <c r="I102" s="112" t="n"/>
      <c r="J102" s="113" t="n"/>
    </row>
    <row r="103"/>
    <row r="104" ht="30" customHeight="1">
      <c r="A104" s="11" t="inlineStr">
        <is>
          <t>۱۵</t>
        </is>
      </c>
      <c r="B104" s="12" t="inlineStr">
        <is>
          <t>واژه‌نامه</t>
        </is>
      </c>
      <c r="C104" s="110" t="n"/>
      <c r="D104" s="110" t="n"/>
      <c r="E104" s="110" t="n"/>
      <c r="F104" s="110" t="n"/>
      <c r="G104" s="110" t="n"/>
      <c r="H104" s="110" t="n"/>
      <c r="I104" s="110" t="n"/>
      <c r="J104" s="110" t="n"/>
    </row>
    <row r="105" ht="81" customHeight="1">
      <c r="B105" s="101" t="inlineStr">
        <is>
          <t>بدهکار: حسابی که از ما طلب دارد یا دارایی ماست. بستانکار: حسابی که ما به آن بدهکاریم. مانده: تفاوت بدهکار و بستانکار. معین: حساب داخلی مثل صندوق، موجودی، فروش. طرف حساب: شخص یا شرکت بیرونی. وزن تار: وزن خالی سبد. وزن خالص: وزن بار پس از کسر سبد و افت. فی: قیمت هر کیلو. سند: ردیف عملیات. تراز: برابر بودن جمع بدهکار و بستانکار. مغایرت: تفاوت مانده سیستم با صورت‌حساب بانک.</t>
        </is>
      </c>
    </row>
    <row r="106" ht="66" customHeight="1">
      <c r="B106" s="101" t="inlineStr">
        <is>
          <t>پوز باسکول: دستگاه کارت‌خوان باسکول که به صادرات ۲۰۰۶ وصل است. انعام: مبلغی که از پوز برای مصطفی کشیده می‌شود و در حساب او بستانکار می‌ماند تا تسویه شود. حساب واسط: حساب موقت برای عملیات طبقه‌بندی‌نشده. افت: درصدی که از وزن خرید کم می‌شود. رند: گرد کردن مبلغ به مضرب هزار.</t>
        </is>
      </c>
    </row>
    <row r="107" ht="32.25" customHeight="1">
      <c r="B107" s="102" t="inlineStr">
        <is>
          <t>هر واژه‌ای را که در فرمول‌ها می‌بینید، اول در همین واژه‌نامه معنی کنید.</t>
        </is>
      </c>
      <c r="C107" s="112" t="n"/>
      <c r="D107" s="112" t="n"/>
      <c r="E107" s="112" t="n"/>
      <c r="F107" s="112" t="n"/>
      <c r="G107" s="112" t="n"/>
      <c r="H107" s="112" t="n"/>
      <c r="I107" s="112" t="n"/>
      <c r="J107" s="113" t="n"/>
    </row>
    <row r="108"/>
    <row r="109" ht="30" customHeight="1">
      <c r="A109" s="11" t="inlineStr">
        <is>
          <t>۱۶</t>
        </is>
      </c>
      <c r="B109" s="12" t="inlineStr">
        <is>
          <t>قواعد طلایی</t>
        </is>
      </c>
      <c r="C109" s="110" t="n"/>
      <c r="D109" s="110" t="n"/>
      <c r="E109" s="110" t="n"/>
      <c r="F109" s="110" t="n"/>
      <c r="G109" s="110" t="n"/>
      <c r="H109" s="110" t="n"/>
      <c r="I109" s="110" t="n"/>
      <c r="J109" s="110" t="n"/>
    </row>
    <row r="110" ht="20.25" customHeight="1">
      <c r="B110" s="158" t="inlineStr">
        <is>
          <t>•  کدها را تغییر ندهید؛ عنوان‌ها را آزادانه عوض کنید.</t>
        </is>
      </c>
    </row>
    <row r="111" ht="20.25" customHeight="1">
      <c r="B111" s="158" t="inlineStr">
        <is>
          <t>•  ردیف تازه = ردیف خالی بعدی؛ بین ردیف‌ها ردیف خالی نگذارید.</t>
        </is>
      </c>
    </row>
    <row r="112" ht="20.25" customHeight="1">
      <c r="B112" s="158" t="inlineStr">
        <is>
          <t>•  برای حذف، محتوای سلول را پاک کنید؛ ردیف را حذف نکنید.</t>
        </is>
      </c>
    </row>
    <row r="113" ht="20.25" customHeight="1">
      <c r="B113" s="158" t="inlineStr">
        <is>
          <t>•  همه فایل‌ها در یک پوشه؛ مسیر لینک نسبی است.</t>
        </is>
      </c>
    </row>
    <row r="114" ht="20.25" customHeight="1">
      <c r="B114" s="158" t="inlineStr">
        <is>
          <t>•  بعد از هر تغییر INFO: Data → Edit Links → Update Values.</t>
        </is>
      </c>
    </row>
    <row r="115" ht="20.25" customHeight="1">
      <c r="B115" s="158" t="inlineStr">
        <is>
          <t>•  تاریخ شمسی 1405/07/10؛ ساعت 09:30؛ اعداد با ارقام لاتین.</t>
        </is>
      </c>
    </row>
    <row r="116" ht="20.25" customHeight="1">
      <c r="B116" s="158" t="inlineStr">
        <is>
          <t>•  قبل از تغییرات بزرگ، نسخه پشتیبان بگیرید.</t>
        </is>
      </c>
    </row>
    <row r="117" ht="20.25" customHeight="1">
      <c r="B117" s="158" t="inlineStr">
        <is>
          <t>•  ترازنامه‌ای که تراز نیست، گزارش نیست؛ اول اختلاف را پیدا کنید.</t>
        </is>
      </c>
    </row>
    <row r="118"/>
    <row r="119">
      <c r="A119" s="159" t="inlineStr">
        <is>
          <t>۰۹   سری جدید (v03) — چه چیزهایی اضافه شد؟</t>
        </is>
      </c>
      <c r="B119" s="166" t="n"/>
      <c r="C119" s="166" t="n"/>
      <c r="D119" s="166" t="n"/>
      <c r="E119" s="166" t="n"/>
      <c r="F119" s="166" t="n"/>
      <c r="G119" s="166" t="n"/>
      <c r="H119" s="166" t="n"/>
      <c r="I119" s="166" t="n"/>
      <c r="J119" s="167" t="n"/>
    </row>
    <row r="120">
      <c r="A120" s="160" t="inlineStr">
        <is>
          <t>• فایل تراکنش‌ها (02_Bank) بازنویسی شد: کشوی بانک عامل، کد طرف حساب تایپی، انتقال داخلی با بانک مبدأ و مقصد، دفتر چک و پنج شیت تحلیل با نمودار.</t>
        </is>
      </c>
      <c r="B120" s="166" t="n"/>
      <c r="C120" s="166" t="n"/>
      <c r="D120" s="166" t="n"/>
      <c r="E120" s="166" t="n"/>
      <c r="F120" s="166" t="n"/>
      <c r="G120" s="166" t="n"/>
      <c r="H120" s="166" t="n"/>
      <c r="I120" s="166" t="n"/>
      <c r="J120" s="167" t="n"/>
    </row>
    <row r="121">
      <c r="A121" s="161" t="inlineStr">
        <is>
          <t>• داشبورد (08_Dash) اضافه شد: وزن، مبلغ، بانک‌ها، پز و طرف حساب‌ها در یک صفحه.</t>
        </is>
      </c>
      <c r="B121" s="166" t="n"/>
      <c r="C121" s="166" t="n"/>
      <c r="D121" s="166" t="n"/>
      <c r="E121" s="166" t="n"/>
      <c r="F121" s="166" t="n"/>
      <c r="G121" s="166" t="n"/>
      <c r="H121" s="166" t="n"/>
      <c r="I121" s="166" t="n"/>
      <c r="J121" s="167" t="n"/>
    </row>
    <row r="122">
      <c r="A122" s="160" t="inlineStr">
        <is>
          <t>• همه فهرست‌های کشویی در همین فایل تعریف شده‌اند؛ شیت List ستون‌های S، T و U سه فهرست جدید است.</t>
        </is>
      </c>
      <c r="B122" s="166" t="n"/>
      <c r="C122" s="166" t="n"/>
      <c r="D122" s="166" t="n"/>
      <c r="E122" s="166" t="n"/>
      <c r="F122" s="166" t="n"/>
      <c r="G122" s="166" t="n"/>
      <c r="H122" s="166" t="n"/>
      <c r="I122" s="166" t="n"/>
      <c r="J122" s="167" t="n"/>
    </row>
    <row r="123">
      <c r="A123" s="161" t="inlineStr">
        <is>
          <t>• همه شیت‌ها راست‌به‌چپ و آماده چاپ A4 هستند.</t>
        </is>
      </c>
      <c r="B123" s="166" t="n"/>
      <c r="C123" s="166" t="n"/>
      <c r="D123" s="166" t="n"/>
      <c r="E123" s="166" t="n"/>
      <c r="F123" s="166" t="n"/>
      <c r="G123" s="166" t="n"/>
      <c r="H123" s="166" t="n"/>
      <c r="I123" s="166" t="n"/>
      <c r="J123" s="167" t="n"/>
    </row>
  </sheetData>
  <sheetProtection selectLockedCells="0" selectUnlockedCells="1" sheet="1" objects="1" insertRows="1" insertHyperlinks="1" autoFilter="1" scenarios="1" formatColumns="1" deleteColumns="1" insertColumns="1" pivotTables="1" deleteRows="1" formatCells="1" formatRows="1" sort="1"/>
  <mergeCells count="104">
    <mergeCell ref="B67:J67"/>
    <mergeCell ref="B61:J61"/>
    <mergeCell ref="B101:J101"/>
    <mergeCell ref="B14:J14"/>
    <mergeCell ref="B23:J23"/>
    <mergeCell ref="B13:J13"/>
    <mergeCell ref="B69:J69"/>
    <mergeCell ref="B38:J38"/>
    <mergeCell ref="B78:J78"/>
    <mergeCell ref="B112:J112"/>
    <mergeCell ref="B49:J49"/>
    <mergeCell ref="B55:J55"/>
    <mergeCell ref="B64:J64"/>
    <mergeCell ref="B33:J33"/>
    <mergeCell ref="B104:J104"/>
    <mergeCell ref="A119:J119"/>
    <mergeCell ref="B32:J32"/>
    <mergeCell ref="B63:J63"/>
    <mergeCell ref="B26:J26"/>
    <mergeCell ref="B41:J41"/>
    <mergeCell ref="B106:J106"/>
    <mergeCell ref="B16:J16"/>
    <mergeCell ref="B90:J90"/>
    <mergeCell ref="A120:J120"/>
    <mergeCell ref="A3:J3"/>
    <mergeCell ref="B18:J18"/>
    <mergeCell ref="B27:J27"/>
    <mergeCell ref="A5:J5"/>
    <mergeCell ref="B11:J11"/>
    <mergeCell ref="B117:J117"/>
    <mergeCell ref="B53:J53"/>
    <mergeCell ref="A121:J121"/>
    <mergeCell ref="B116:J116"/>
    <mergeCell ref="B29:J29"/>
    <mergeCell ref="B37:J37"/>
    <mergeCell ref="B84:J84"/>
    <mergeCell ref="B15:J15"/>
    <mergeCell ref="B80:J80"/>
    <mergeCell ref="B95:J95"/>
    <mergeCell ref="A123:J123"/>
    <mergeCell ref="B89:J89"/>
    <mergeCell ref="B79:J79"/>
    <mergeCell ref="B97:J97"/>
    <mergeCell ref="B54:J54"/>
    <mergeCell ref="B7:J7"/>
    <mergeCell ref="B72:J72"/>
    <mergeCell ref="B81:J81"/>
    <mergeCell ref="B56:J56"/>
    <mergeCell ref="B105:J105"/>
    <mergeCell ref="A2:J2"/>
    <mergeCell ref="B43:J43"/>
    <mergeCell ref="B58:J58"/>
    <mergeCell ref="B52:J52"/>
    <mergeCell ref="B42:J42"/>
    <mergeCell ref="B107:J107"/>
    <mergeCell ref="A122:J122"/>
    <mergeCell ref="B17:J17"/>
    <mergeCell ref="B57:J57"/>
    <mergeCell ref="B88:J88"/>
    <mergeCell ref="B44:J44"/>
    <mergeCell ref="B19:J19"/>
    <mergeCell ref="B34:J34"/>
    <mergeCell ref="B28:J28"/>
    <mergeCell ref="B99:J99"/>
    <mergeCell ref="B9:J9"/>
    <mergeCell ref="B83:J83"/>
    <mergeCell ref="B92:J92"/>
    <mergeCell ref="B20:J20"/>
    <mergeCell ref="B45:J45"/>
    <mergeCell ref="B85:J85"/>
    <mergeCell ref="B94:J94"/>
    <mergeCell ref="B75:J75"/>
    <mergeCell ref="B109:J109"/>
    <mergeCell ref="B47:J47"/>
    <mergeCell ref="B62:J62"/>
    <mergeCell ref="B59:J59"/>
    <mergeCell ref="A1:F1"/>
    <mergeCell ref="B96:J96"/>
    <mergeCell ref="B39:J39"/>
    <mergeCell ref="B70:J70"/>
    <mergeCell ref="B48:J48"/>
    <mergeCell ref="B111:J111"/>
    <mergeCell ref="B8:J8"/>
    <mergeCell ref="G1:J1"/>
    <mergeCell ref="B73:J73"/>
    <mergeCell ref="B10:J10"/>
    <mergeCell ref="B65:J65"/>
    <mergeCell ref="B74:J74"/>
    <mergeCell ref="B68:J68"/>
    <mergeCell ref="B114:J114"/>
    <mergeCell ref="B36:J36"/>
    <mergeCell ref="B50:J50"/>
    <mergeCell ref="B110:J110"/>
    <mergeCell ref="B113:J113"/>
    <mergeCell ref="B91:J91"/>
    <mergeCell ref="B100:J100"/>
    <mergeCell ref="B22:J22"/>
    <mergeCell ref="B115:J115"/>
    <mergeCell ref="B31:J31"/>
    <mergeCell ref="B102:J102"/>
    <mergeCell ref="B12:J12"/>
    <mergeCell ref="B77:J77"/>
    <mergeCell ref="B21:J21"/>
    <mergeCell ref="B86:J86"/>
  </mergeCells>
  <hyperlinks>
    <hyperlink ref="B8" location="Help!B26" display="  این فایل چیست و چرا «مادر» است؟"/>
    <hyperlink ref="B9" location="Help!B31" display="  نقشه فایل‌ها و جریان داده"/>
    <hyperlink ref="B10" location="Help!B36" display="  قواعد کدگذاری"/>
    <hyperlink ref="B11" location="Help!B41" display="  دفتر حساب‌ها (Accounts)"/>
    <hyperlink ref="B12" location="Help!B47" display="  گروه‌ها و زیرگروه‌ها"/>
    <hyperlink ref="B13" location="Help!B52" display="  عملیات و قواعد بدهکار/بستانکار"/>
    <hyperlink ref="B14" location="Help!B61" display="  پارامترهای محاسباتی"/>
    <hyperlink ref="B15" location="Help!B67" display="  سبدها و وزن تار"/>
    <hyperlink ref="B16" location="Help!B72" display="  محصولات، بانک‌ها و پوز"/>
    <hyperlink ref="B17" location="Help!B77" display="  افزودن حساب / عملیات جدید — گام‌به‌گام"/>
    <hyperlink ref="B18" location="Help!B83" display="  همگام‌سازی و Update Links"/>
    <hyperlink ref="B19" location="Help!B88" display="  ترازنامه، فاکتور و گزارش‌ها"/>
    <hyperlink ref="B20" location="Help!B94" display="  عیب‌یابی فرمول‌ها"/>
    <hyperlink ref="B21" location="Help!B99" display="  پشتیبان‌گیری و نگهداری"/>
    <hyperlink ref="B22" location="Help!B104" display="  واژه‌نامه"/>
    <hyperlink ref="B23" location="Help!B109" display="  قواعد طلایی"/>
  </hyperlinks>
  <printOptions horizontalCentered="1"/>
  <pageMargins left="0.35" right="0.35" top="0.45" bottom="0.5" header="0.3" footer="0.3"/>
  <pageSetup orientation="portrait" paperSize="9" fitToHeight="0" fitToWidth="1"/>
  <headerFooter>
    <oddHeader>&amp;Lمازندشت&amp;RMAZANDASHT · CITRUS</oddHeader>
    <oddFooter>&amp;Lمازندشت — سورتینگ و بسته‌بندی مرکبات&amp;Cصفحه &amp;P از &amp;N&amp;RMAZANDASHT · 1405</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مازندشت</dc:creator>
  <dc:title>مازندشت — فایل مادر (INFO)</dc:title>
  <dc:description>نسخه ۰۱ — سازگار با Excel 2013 — بدون ماکرو</dc:description>
  <dc:subject>مرکز داده‌های ثابت سامانه حسابداری سورتینگ و بسته‌بندی مرکبات</dc:subject>
  <dcterms:created xsi:type="dcterms:W3CDTF">2026-10-23T20:10:53Z</dcterms:created>
  <dcterms:modified xsi:type="dcterms:W3CDTF">2026-10-24T14:20:00Z</dcterms:modified>
  <cp:lastModifiedBy>مازندشت</cp:lastModifiedBy>
</cp:coreProperties>
</file>