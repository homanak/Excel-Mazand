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Cls" sheetId="6" state="visible" r:id="rId6"/>
    <sheet name="Op" sheetId="7" state="visible" r:id="rId7"/>
    <sheet name="Bsk" sheetId="8" state="visible" r:id="rId8"/>
    <sheet name="Prd" sheetId="9" state="visible" r:id="rId9"/>
    <sheet name="Bnk" sheetId="10" state="visible" r:id="rId10"/>
    <sheet name="List" sheetId="11" state="visible" r:id="rId11"/>
    <sheet name="Sync" sheetId="12" state="visible" r:id="rId12"/>
    <sheet name="Help" sheetId="13" state="visible" r:id="rId13"/>
  </sheets>
  <definedNames>
    <definedName name="AcctCodes">Acc!$A$10:$A$259</definedName>
    <definedName name="AcctTbl">Acc!$A$10:$J$259</definedName>
    <definedName name="BankTbl">Bnk!$A$10:$G$19</definedName>
    <definedName name="BasketTbl">Bsk!$B$10:$F$21</definedName>
    <definedName name="GroupTbl">Grp!$A$10:$F$52</definedName>
    <definedName name="ListAllCodes">OFFSET(Acc!$A$10,0,0,MAX(COUNTIF(Acc!$D$10:$D$259,"?*"),1),1)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List!$S$10:$S$36</definedName>
    <definedName name="ListOtherScalesLabel">List!$T$10:$T$29</definedName>
    <definedName name="ListBankNames">List!$U$10:$U$19</definedName>
    <definedName name="_xlnm.Print_Area" localSheetId="0">'Home'!$A$1:$J$48</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'Grp'!$A$1:$J$54</definedName>
    <definedName name="_xlnm._FilterDatabase" localSheetId="4" hidden="1">'Acc'!$A$8:$M$259</definedName>
    <definedName name="_xlnm.Print_Titles" localSheetId="4">'Acc'!$8:$9</definedName>
    <definedName name="_xlnm.Print_Area" localSheetId="4">'Acc'!$A$1:$M$260</definedName>
    <definedName name="_xlnm.Print_Titles" localSheetId="5">'Cls'!$8:$9</definedName>
    <definedName name="_xlnm.Print_Area" localSheetId="5">'Cls'!$A$1:$G$51</definedName>
    <definedName name="_xlnm._FilterDatabase" localSheetId="6" hidden="1">'Op'!$A$8:$S$34</definedName>
    <definedName name="_xlnm.Print_Titles" localSheetId="6">'Op'!$7:$9</definedName>
    <definedName name="_xlnm.Print_Area" localSheetId="6">'Op'!$A$1:$S$35</definedName>
    <definedName name="_xlnm._FilterDatabase" localSheetId="7" hidden="1">'Bsk'!$A$8:$J$22</definedName>
    <definedName name="_xlnm.Print_Titles" localSheetId="7">'Bsk'!$7:$9</definedName>
    <definedName name="_xlnm.Print_Area" localSheetId="7">'Bsk'!$A$1:$J$24</definedName>
    <definedName name="_xlnm._FilterDatabase" localSheetId="8" hidden="1">'Prd'!$A$8:$G$30</definedName>
    <definedName name="_xlnm.Print_Titles" localSheetId="8">'Prd'!$7:$9</definedName>
    <definedName name="_xlnm.Print_Area" localSheetId="8">'Prd'!$A$1:$G$32</definedName>
    <definedName name="_xlnm._FilterDatabase" localSheetId="9" hidden="1">'Bnk'!$A$8:$G$20</definedName>
    <definedName name="_xlnm.Print_Titles" localSheetId="9">'Bnk'!$7:$9</definedName>
    <definedName name="_xlnm.Print_Area" localSheetId="9">'Bnk'!$A$1:$G$22</definedName>
    <definedName name="_xlnm.Print_Titles" localSheetId="10">'List'!$8:$9</definedName>
    <definedName name="_xlnm.Print_Area" localSheetId="10">'List'!$A$1:$R$31</definedName>
    <definedName name="_xlnm.Print_Area" localSheetId="11">'Sync'!$A$1:$K$50</definedName>
    <definedName name="_xlnm.Print_Area" localSheetId="12">'Help'!$A$1:$J$119</definedName>
  </definedNames>
  <calcPr calcId="124519" fullCalcOnLoad="1"/>
</workbook>
</file>

<file path=xl/styles.xml><?xml version="1.0" encoding="utf-8"?>
<styleSheet xmlns="http://schemas.openxmlformats.org/spreadsheetml/2006/main">
  <numFmts count="4">
    <numFmt numFmtId="164" formatCode="#,##0;[Red]-#,##0"/>
    <numFmt numFmtId="165" formatCode="0.0%"/>
    <numFmt numFmtId="166" formatCode="#,##0.00;[Red]-#,##0.00"/>
    <numFmt numFmtId="167" formatCode="#,##0;[Red](#,##0)"/>
  </numFmts>
  <fonts count="91">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sz val="9"/>
    </font>
    <font>
      <name val="B Titr"/>
      <b val="1"/>
      <color rgb="00FFFFFF"/>
      <sz val="14"/>
    </font>
    <font>
      <name val="B Nazanin"/>
      <color rgb="006B7A76"/>
      <sz val="9"/>
    </font>
    <font>
      <name val="B Nazanin"/>
      <b val="1"/>
      <color rgb="00FFFFFF"/>
      <sz val="9.5"/>
    </font>
    <font>
      <name val="Tahoma"/>
      <color rgb="008B7E68"/>
      <sz val="7.5"/>
    </font>
    <font>
      <name val="B Nazanin"/>
      <color rgb="002B2A26"/>
      <sz val="9"/>
    </font>
    <font>
      <name val="B Nazanin"/>
      <color rgb="009A6B15"/>
      <sz val="9"/>
    </font>
    <font>
      <name val="B Nazanin"/>
      <b val="1"/>
      <color rgb="FF14453D"/>
      <sz val="9"/>
    </font>
    <font>
      <name val="B Nazanin"/>
      <i val="1"/>
      <color rgb="007A7A7A"/>
      <sz val="9"/>
    </font>
    <font>
      <name val="B Nazanin"/>
      <b val="1"/>
      <color rgb="00FFFFFF"/>
      <sz val="10.5"/>
    </font>
    <font>
      <name val="B Nazanin"/>
      <b val="1"/>
      <color rgb="0014453D"/>
      <sz val="9"/>
    </font>
  </fonts>
  <fills count="30">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FBF8F1"/>
      </patternFill>
    </fill>
    <fill>
      <patternFill patternType="solid">
        <fgColor rgb="00F3EADB"/>
      </patternFill>
    </fill>
    <fill>
      <patternFill patternType="solid">
        <fgColor rgb="00F7F1E6"/>
      </patternFill>
    </fill>
    <fill>
      <patternFill patternType="solid">
        <fgColor rgb="00FFF1D6"/>
      </patternFill>
    </fill>
    <fill>
      <patternFill patternType="solid">
        <fgColor rgb="00E4F0E8"/>
      </patternFill>
    </fill>
  </fills>
  <borders count="59">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style="thin">
        <color rgb="00DDD5C4"/>
      </left>
      <right style="thin">
        <color rgb="00DDD5C4"/>
      </right>
      <top style="thin">
        <color rgb="00DDD5C4"/>
      </top>
      <bottom style="thin">
        <color rgb="00DDD5C4"/>
      </bottom>
    </border>
    <border>
      <left/>
      <right/>
      <top style="thin">
        <color rgb="FF1F5C4D"/>
      </top>
      <bottom style="medium">
        <color rgb="FFC89B3C"/>
      </bottom>
      <diagonal/>
    </border>
    <border>
      <left/>
      <right style="thin">
        <color rgb="FF1F5C4D"/>
      </right>
      <top style="thin">
        <color rgb="FF1F5C4D"/>
      </top>
      <bottom style="medium">
        <color rgb="FFC89B3C"/>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179">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0" fillId="0" borderId="53" pivotButton="0" quotePrefix="0" xfId="0"/>
    <xf numFmtId="0" fontId="0" fillId="0" borderId="54" pivotButton="0" quotePrefix="0" xfId="0"/>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0" borderId="0" applyAlignment="1" pivotButton="0" quotePrefix="0" xfId="0">
      <alignment horizontal="center" vertical="center"/>
    </xf>
    <xf numFmtId="0" fontId="81" fillId="24" borderId="0" applyAlignment="1" pivotButton="0" quotePrefix="0" xfId="0">
      <alignment horizontal="right" vertical="center"/>
    </xf>
    <xf numFmtId="0" fontId="82" fillId="25" borderId="0" applyAlignment="1" pivotButton="0" quotePrefix="0" xfId="0">
      <alignment horizontal="right" vertical="center" wrapText="1"/>
    </xf>
    <xf numFmtId="0" fontId="83" fillId="24" borderId="55" applyAlignment="1" pivotButton="0" quotePrefix="0" xfId="0">
      <alignment horizontal="center" vertical="center"/>
    </xf>
    <xf numFmtId="0" fontId="84" fillId="26" borderId="55" applyAlignment="1" pivotButton="0" quotePrefix="0" xfId="0">
      <alignment horizontal="center" vertical="center"/>
    </xf>
    <xf numFmtId="0" fontId="85" fillId="27" borderId="55" applyAlignment="1" pivotButton="0" quotePrefix="0" xfId="0">
      <alignment horizontal="center" vertical="center"/>
    </xf>
    <xf numFmtId="0" fontId="85" fillId="27" borderId="55" applyAlignment="1" pivotButton="0" quotePrefix="0" xfId="0">
      <alignment horizontal="right" vertical="center"/>
    </xf>
    <xf numFmtId="0" fontId="86" fillId="28" borderId="55" applyAlignment="1" pivotButton="0" quotePrefix="0" xfId="0">
      <alignment horizontal="center" vertical="center"/>
    </xf>
    <xf numFmtId="0" fontId="86" fillId="28" borderId="55" applyAlignment="1" pivotButton="0" quotePrefix="0" xfId="0">
      <alignment horizontal="right" vertical="center"/>
    </xf>
    <xf numFmtId="0" fontId="87" fillId="9" borderId="10" applyAlignment="1" pivotButton="0" quotePrefix="0" xfId="0">
      <alignment horizontal="center" vertical="center"/>
    </xf>
    <xf numFmtId="0" fontId="0" fillId="0" borderId="56" pivotButton="0" quotePrefix="0" xfId="0"/>
    <xf numFmtId="0" fontId="0" fillId="0" borderId="57" pivotButton="0" quotePrefix="0" xfId="0"/>
    <xf numFmtId="0" fontId="88" fillId="0" borderId="0" applyAlignment="1" pivotButton="0" quotePrefix="0" xfId="0">
      <alignment horizontal="right" vertical="top" wrapText="1"/>
    </xf>
    <xf numFmtId="0" fontId="89" fillId="24" borderId="0" applyAlignment="1" pivotButton="0" quotePrefix="0" xfId="0">
      <alignment horizontal="right" vertical="center"/>
    </xf>
    <xf numFmtId="0" fontId="90" fillId="29" borderId="58" applyAlignment="1" pivotButton="0" quotePrefix="0" xfId="0">
      <alignment horizontal="center" vertical="center"/>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7.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01_Entry.xlsx" TargetMode="External" Id="rId6" /><Relationship Type="http://schemas.openxmlformats.org/officeDocument/2006/relationships/hyperlink" Target="02_Bank.xlsx" TargetMode="External" Id="rId7" /><Relationship Type="http://schemas.openxmlformats.org/officeDocument/2006/relationships/hyperlink" Target="03_Report.xlsx" TargetMode="External" Id="rId8" /><Relationship Type="http://schemas.openxmlformats.org/officeDocument/2006/relationships/hyperlink" Target="04_Inv.xlsx" TargetMode="External" Id="rId9" /><Relationship Type="http://schemas.openxmlformats.org/officeDocument/2006/relationships/hyperlink" Target="05_Bal.xlsx" TargetMode="External" Id="rId10" /><Relationship Type="http://schemas.openxmlformats.org/officeDocument/2006/relationships/hyperlink" Target="06_Buyers.xlsx" TargetMode="External" Id="rId11" /><Relationship Type="http://schemas.openxmlformats.org/officeDocument/2006/relationships/hyperlink" Target="07_Demo.xlsx" TargetMode="External" Id="rId12" /><Relationship Type="http://schemas.openxmlformats.org/officeDocument/2006/relationships/hyperlink" Target="08_Dash.xlsx" TargetMode="External" Id="rId13" /><Relationship Type="http://schemas.openxmlformats.org/officeDocument/2006/relationships/drawing" Target="/xl/drawings/drawing1.xml" Id="rId14"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FFC89B3C"/>
    <outlinePr summaryBelow="1" summaryRight="1"/>
    <pageSetUpPr fitToPage="1"/>
  </sheetPr>
  <dimension ref="A1:J48"/>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ht="24" customHeight="1">
      <c r="A46" s="177" t="inlineStr">
        <is>
          <t xml:space="preserve">     فایل‌های همراه — با یک کلیک باز می‌شوند (مسیر نسبی، همه در همین پوشه)</t>
        </is>
      </c>
    </row>
    <row r="47" ht="22" customHeight="1">
      <c r="A47" s="178" t="inlineStr">
        <is>
          <t>دفتر ثبت  01_Entry</t>
        </is>
      </c>
      <c r="C47" s="178" t="inlineStr">
        <is>
          <t>بانک  02_Bank</t>
        </is>
      </c>
      <c r="E47" s="178" t="inlineStr">
        <is>
          <t>گزارش‌ها  03_Report</t>
        </is>
      </c>
      <c r="G47" s="178" t="inlineStr">
        <is>
          <t>فاکتورها  04_Inv</t>
        </is>
      </c>
      <c r="I47" s="178" t="inlineStr">
        <is>
          <t>تراز  05_Bal</t>
        </is>
      </c>
    </row>
    <row r="48" ht="22" customHeight="1">
      <c r="A48" s="178" t="inlineStr">
        <is>
          <t>خریداران  06_Buyers</t>
        </is>
      </c>
      <c r="C48" s="178" t="inlineStr">
        <is>
          <t>نمونه  07_Demo</t>
        </is>
      </c>
      <c r="E48" s="178" t="inlineStr">
        <is>
          <t>داشبورد  08_Dash</t>
        </is>
      </c>
    </row>
  </sheetData>
  <mergeCells count="65">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46:J46"/>
    <mergeCell ref="A1:F1"/>
    <mergeCell ref="A3:J3"/>
    <mergeCell ref="A10:B10"/>
    <mergeCell ref="A13:B13"/>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4"/>
    <hyperlink xmlns:r="http://schemas.openxmlformats.org/officeDocument/2006/relationships" ref="G13" r:id="rId5"/>
    <hyperlink ref="A44" location="Help!A20" display="راهنمای کامل سامانه — روی این نوار کلیک کنید"/>
    <hyperlink xmlns:r="http://schemas.openxmlformats.org/officeDocument/2006/relationships" ref="A47" r:id="rId6"/>
    <hyperlink xmlns:r="http://schemas.openxmlformats.org/officeDocument/2006/relationships" ref="C47" r:id="rId7"/>
    <hyperlink xmlns:r="http://schemas.openxmlformats.org/officeDocument/2006/relationships" ref="E47" r:id="rId8"/>
    <hyperlink xmlns:r="http://schemas.openxmlformats.org/officeDocument/2006/relationships" ref="G47" r:id="rId9"/>
    <hyperlink xmlns:r="http://schemas.openxmlformats.org/officeDocument/2006/relationships" ref="I47" r:id="rId10"/>
    <hyperlink xmlns:r="http://schemas.openxmlformats.org/officeDocument/2006/relationships" ref="A48" r:id="rId11"/>
    <hyperlink xmlns:r="http://schemas.openxmlformats.org/officeDocument/2006/relationships" ref="C48" r:id="rId12"/>
    <hyperlink xmlns:r="http://schemas.openxmlformats.org/officeDocument/2006/relationships" ref="E48" r:id="rId13"/>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4"/>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60"/>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73" t="inlineStr">
        <is>
          <t>راهنمای باسکول دیگران</t>
        </is>
      </c>
      <c r="L9" s="174" t="n"/>
      <c r="M9" s="174" t="n"/>
      <c r="N9" s="174" t="n"/>
      <c r="O9" s="174" t="n"/>
      <c r="P9" s="175"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76"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row r="260">
      <c r="A260" s="164" t="inlineStr">
        <is>
          <t>X021</t>
        </is>
      </c>
      <c r="B260" s="164" t="inlineStr">
        <is>
          <t>سرمایه و آورده صاحبان</t>
        </is>
      </c>
      <c r="C260" s="164" t="inlineStr">
        <is>
          <t>جاری شرکا</t>
        </is>
      </c>
      <c r="D260" s="164" t="inlineStr">
        <is>
          <t>حساب جاری رئیس شرکت</t>
        </is>
      </c>
      <c r="E260" s="164" t="inlineStr">
        <is>
          <t>—</t>
        </is>
      </c>
      <c r="F260" s="164" t="inlineStr">
        <is>
          <t>—</t>
        </is>
      </c>
      <c r="G260" s="164" t="inlineStr">
        <is>
          <t>—</t>
        </is>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G51"/>
  <sheetViews>
    <sheetView showGridLines="0" rightToLeft="1" workbookViewId="0">
      <selection activeCell="A1" sqref="A1"/>
    </sheetView>
  </sheetViews>
  <sheetFormatPr baseColWidth="8" defaultRowHeight="15"/>
  <cols>
    <col width="9" customWidth="1" min="1" max="1"/>
    <col width="26" customWidth="1" min="2" max="2"/>
    <col width="34" customWidth="1" min="3" max="3"/>
    <col width="13" customWidth="1" min="4" max="4"/>
    <col width="22" customWidth="1" min="5" max="5"/>
    <col width="40" customWidth="1" min="6" max="6"/>
    <col width="8" customWidth="1" min="7" max="7"/>
  </cols>
  <sheetData>
    <row r="1" ht="30" customHeight="1">
      <c r="A1" s="165" t="inlineStr">
        <is>
          <t xml:space="preserve">   طبقه‌بندی تراکنش‌های بانکی — این پول برای چه کاری بود؟</t>
        </is>
      </c>
    </row>
    <row r="2" ht="30" customHeight="1">
      <c r="A2" s="166" t="inlineStr">
        <is>
          <t xml:space="preserve">   دو ستون اول، کشوی دوستونی شیت Txn را می‌سازد: «طبقه» (کشوی اول) و «زیرطبقه» (کشوی دوم) — بعد از انتخاب طبقه، فقط زیرطبقه‌های همان طبقه نشان داده می‌شود. ستون «دامنه» می‌گوید این پول شرکت است یا پول شخصی رئیس.</t>
        </is>
      </c>
    </row>
    <row r="3"/>
    <row r="4"/>
    <row r="5"/>
    <row r="6"/>
    <row r="7"/>
    <row r="8" ht="24" customHeight="1">
      <c r="A8" s="167" t="inlineStr">
        <is>
          <t>کد</t>
        </is>
      </c>
      <c r="B8" s="167" t="inlineStr">
        <is>
          <t>طبقه (کشوی اول)</t>
        </is>
      </c>
      <c r="C8" s="167" t="inlineStr">
        <is>
          <t>زیرطبقه (کشوی دوم)</t>
        </is>
      </c>
      <c r="D8" s="167" t="inlineStr">
        <is>
          <t>دامنه</t>
        </is>
      </c>
      <c r="E8" s="167" t="inlineStr">
        <is>
          <t>گروه حساب</t>
        </is>
      </c>
      <c r="F8" s="167" t="inlineStr">
        <is>
          <t>توضیح</t>
        </is>
      </c>
      <c r="G8" s="167" t="inlineStr">
        <is>
          <t>فعال</t>
        </is>
      </c>
    </row>
    <row r="9">
      <c r="A9" s="168" t="inlineStr">
        <is>
          <t>Code</t>
        </is>
      </c>
      <c r="B9" s="168" t="inlineStr">
        <is>
          <t>Category</t>
        </is>
      </c>
      <c r="C9" s="168" t="inlineStr">
        <is>
          <t>Sub-category</t>
        </is>
      </c>
      <c r="D9" s="168" t="inlineStr">
        <is>
          <t>Scope</t>
        </is>
      </c>
      <c r="E9" s="168" t="inlineStr">
        <is>
          <t>Group</t>
        </is>
      </c>
      <c r="F9" s="168" t="inlineStr">
        <is>
          <t>Note</t>
        </is>
      </c>
      <c r="G9" s="168" t="inlineStr">
        <is>
          <t>Active</t>
        </is>
      </c>
    </row>
    <row r="10">
      <c r="A10" s="169" t="inlineStr">
        <is>
          <t>TC01</t>
        </is>
      </c>
      <c r="B10" s="170" t="inlineStr">
        <is>
          <t>خرید و فروش مرکبات</t>
        </is>
      </c>
      <c r="C10" s="170" t="inlineStr">
        <is>
          <t>خرید مرکبات</t>
        </is>
      </c>
      <c r="D10" s="169" t="inlineStr">
        <is>
          <t>شرکتی</t>
        </is>
      </c>
      <c r="E10" s="169" t="inlineStr">
        <is>
          <t>باغدار</t>
        </is>
      </c>
      <c r="F10" s="169" t="inlineStr">
        <is>
          <t>هزینه/درآمد شرکت</t>
        </is>
      </c>
      <c r="G10" s="169" t="inlineStr">
        <is>
          <t>بله</t>
        </is>
      </c>
    </row>
    <row r="11">
      <c r="A11" s="169" t="inlineStr">
        <is>
          <t>TC02</t>
        </is>
      </c>
      <c r="B11" s="170" t="inlineStr">
        <is>
          <t>خرید و فروش مرکبات</t>
        </is>
      </c>
      <c r="C11" s="170" t="inlineStr">
        <is>
          <t>فروش مرکبات</t>
        </is>
      </c>
      <c r="D11" s="169" t="inlineStr">
        <is>
          <t>شرکتی</t>
        </is>
      </c>
      <c r="E11" s="169" t="inlineStr">
        <is>
          <t>بارفروش</t>
        </is>
      </c>
      <c r="F11" s="169" t="inlineStr">
        <is>
          <t>هزینه/درآمد شرکت</t>
        </is>
      </c>
      <c r="G11" s="169" t="inlineStr">
        <is>
          <t>بله</t>
        </is>
      </c>
    </row>
    <row r="12">
      <c r="A12" s="169" t="inlineStr">
        <is>
          <t>TC03</t>
        </is>
      </c>
      <c r="B12" s="170" t="inlineStr">
        <is>
          <t>خرید و فروش مرکبات</t>
        </is>
      </c>
      <c r="C12" s="170" t="inlineStr">
        <is>
          <t>واریز بارفروشان</t>
        </is>
      </c>
      <c r="D12" s="169" t="inlineStr">
        <is>
          <t>شرکتی</t>
        </is>
      </c>
      <c r="E12" s="169" t="inlineStr">
        <is>
          <t>بارفروش</t>
        </is>
      </c>
      <c r="F12" s="169" t="inlineStr">
        <is>
          <t>هزینه/درآمد شرکت</t>
        </is>
      </c>
      <c r="G12" s="169" t="inlineStr">
        <is>
          <t>بله</t>
        </is>
      </c>
    </row>
    <row r="13">
      <c r="A13" s="169" t="inlineStr">
        <is>
          <t>TC04</t>
        </is>
      </c>
      <c r="B13" s="170" t="inlineStr">
        <is>
          <t>خرید و فروش مرکبات</t>
        </is>
      </c>
      <c r="C13" s="170" t="inlineStr">
        <is>
          <t>دریافتی از مشتری</t>
        </is>
      </c>
      <c r="D13" s="169" t="inlineStr">
        <is>
          <t>شرکتی</t>
        </is>
      </c>
      <c r="E13" s="169" t="inlineStr">
        <is>
          <t>بارفروش</t>
        </is>
      </c>
      <c r="F13" s="169" t="inlineStr">
        <is>
          <t>هزینه/درآمد شرکت</t>
        </is>
      </c>
      <c r="G13" s="169" t="inlineStr">
        <is>
          <t>بله</t>
        </is>
      </c>
    </row>
    <row r="14">
      <c r="A14" s="169" t="inlineStr">
        <is>
          <t>TC05</t>
        </is>
      </c>
      <c r="B14" s="170" t="inlineStr">
        <is>
          <t>خرید و فروش مرکبات</t>
        </is>
      </c>
      <c r="C14" s="170" t="inlineStr">
        <is>
          <t>پرداخت به باغدار</t>
        </is>
      </c>
      <c r="D14" s="169" t="inlineStr">
        <is>
          <t>شرکتی</t>
        </is>
      </c>
      <c r="E14" s="169" t="inlineStr">
        <is>
          <t>باغدار</t>
        </is>
      </c>
      <c r="F14" s="169" t="inlineStr">
        <is>
          <t>هزینه/درآمد شرکت</t>
        </is>
      </c>
      <c r="G14" s="169" t="inlineStr">
        <is>
          <t>بله</t>
        </is>
      </c>
    </row>
    <row r="15">
      <c r="A15" s="169" t="inlineStr">
        <is>
          <t>TC06</t>
        </is>
      </c>
      <c r="B15" s="170" t="inlineStr">
        <is>
          <t>سبد و بسته‌بندی</t>
        </is>
      </c>
      <c r="C15" s="170" t="inlineStr">
        <is>
          <t>خرید سبد</t>
        </is>
      </c>
      <c r="D15" s="169" t="inlineStr">
        <is>
          <t>شرکتی</t>
        </is>
      </c>
      <c r="E15" s="169" t="inlineStr">
        <is>
          <t>فروشنده سبد</t>
        </is>
      </c>
      <c r="F15" s="169" t="inlineStr">
        <is>
          <t>هزینه/درآمد شرکت</t>
        </is>
      </c>
      <c r="G15" s="169" t="inlineStr">
        <is>
          <t>بله</t>
        </is>
      </c>
    </row>
    <row r="16">
      <c r="A16" s="169" t="inlineStr">
        <is>
          <t>TC07</t>
        </is>
      </c>
      <c r="B16" s="170" t="inlineStr">
        <is>
          <t>سبد و بسته‌بندی</t>
        </is>
      </c>
      <c r="C16" s="170" t="inlineStr">
        <is>
          <t>فروش سبد</t>
        </is>
      </c>
      <c r="D16" s="169" t="inlineStr">
        <is>
          <t>شرکتی</t>
        </is>
      </c>
      <c r="E16" s="169" t="inlineStr">
        <is>
          <t>فروشنده سبد</t>
        </is>
      </c>
      <c r="F16" s="169" t="inlineStr">
        <is>
          <t>هزینه/درآمد شرکت</t>
        </is>
      </c>
      <c r="G16" s="169" t="inlineStr">
        <is>
          <t>بله</t>
        </is>
      </c>
    </row>
    <row r="17">
      <c r="A17" s="169" t="inlineStr">
        <is>
          <t>TC16</t>
        </is>
      </c>
      <c r="B17" s="170" t="inlineStr">
        <is>
          <t>سبد و بسته‌بندی</t>
        </is>
      </c>
      <c r="C17" s="170" t="inlineStr">
        <is>
          <t>قطعات و لوازم یدکی</t>
        </is>
      </c>
      <c r="D17" s="169" t="inlineStr">
        <is>
          <t>شرکتی</t>
        </is>
      </c>
      <c r="E17" s="169" t="inlineStr">
        <is>
          <t>سایر حساب</t>
        </is>
      </c>
      <c r="F17" s="169" t="inlineStr">
        <is>
          <t>هزینه/درآمد شرکت</t>
        </is>
      </c>
      <c r="G17" s="169" t="inlineStr">
        <is>
          <t>بله</t>
        </is>
      </c>
    </row>
    <row r="18">
      <c r="A18" s="169" t="inlineStr">
        <is>
          <t>TC08</t>
        </is>
      </c>
      <c r="B18" s="170" t="inlineStr">
        <is>
          <t>هزینه جاری</t>
        </is>
      </c>
      <c r="C18" s="170" t="inlineStr">
        <is>
          <t>حمل و تخلیه</t>
        </is>
      </c>
      <c r="D18" s="169" t="inlineStr">
        <is>
          <t>شرکتی</t>
        </is>
      </c>
      <c r="E18" s="169" t="inlineStr">
        <is>
          <t>سایر حساب</t>
        </is>
      </c>
      <c r="F18" s="169" t="inlineStr">
        <is>
          <t>هزینه/درآمد شرکت</t>
        </is>
      </c>
      <c r="G18" s="169" t="inlineStr">
        <is>
          <t>بله</t>
        </is>
      </c>
    </row>
    <row r="19">
      <c r="A19" s="169" t="inlineStr">
        <is>
          <t>TC09</t>
        </is>
      </c>
      <c r="B19" s="170" t="inlineStr">
        <is>
          <t>هزینه جاری</t>
        </is>
      </c>
      <c r="C19" s="170" t="inlineStr">
        <is>
          <t>کارمزد بانکی</t>
        </is>
      </c>
      <c r="D19" s="169" t="inlineStr">
        <is>
          <t>شرکتی</t>
        </is>
      </c>
      <c r="E19" s="169" t="inlineStr">
        <is>
          <t>سایر حساب</t>
        </is>
      </c>
      <c r="F19" s="169" t="inlineStr">
        <is>
          <t>هزینه/درآمد شرکت</t>
        </is>
      </c>
      <c r="G19" s="169" t="inlineStr">
        <is>
          <t>بله</t>
        </is>
      </c>
    </row>
    <row r="20">
      <c r="A20" s="169" t="inlineStr">
        <is>
          <t>TC10</t>
        </is>
      </c>
      <c r="B20" s="170" t="inlineStr">
        <is>
          <t>هزینه جاری</t>
        </is>
      </c>
      <c r="C20" s="170" t="inlineStr">
        <is>
          <t>قبض آب، برق و گاز</t>
        </is>
      </c>
      <c r="D20" s="169" t="inlineStr">
        <is>
          <t>شرکتی</t>
        </is>
      </c>
      <c r="E20" s="169" t="inlineStr">
        <is>
          <t>سایر حساب</t>
        </is>
      </c>
      <c r="F20" s="169" t="inlineStr">
        <is>
          <t>هزینه/درآمد شرکت</t>
        </is>
      </c>
      <c r="G20" s="169" t="inlineStr">
        <is>
          <t>بله</t>
        </is>
      </c>
    </row>
    <row r="21">
      <c r="A21" s="169" t="inlineStr">
        <is>
          <t>TC17</t>
        </is>
      </c>
      <c r="B21" s="170" t="inlineStr">
        <is>
          <t>هزینه جاری</t>
        </is>
      </c>
      <c r="C21" s="170" t="inlineStr">
        <is>
          <t>سوخت و انرژی</t>
        </is>
      </c>
      <c r="D21" s="169" t="inlineStr">
        <is>
          <t>شرکتی</t>
        </is>
      </c>
      <c r="E21" s="169" t="inlineStr">
        <is>
          <t>سایر حساب</t>
        </is>
      </c>
      <c r="F21" s="169" t="inlineStr">
        <is>
          <t>هزینه/درآمد شرکت</t>
        </is>
      </c>
      <c r="G21" s="169" t="inlineStr">
        <is>
          <t>بله</t>
        </is>
      </c>
    </row>
    <row r="22">
      <c r="A22" s="169" t="inlineStr">
        <is>
          <t>TC18</t>
        </is>
      </c>
      <c r="B22" s="170" t="inlineStr">
        <is>
          <t>هزینه جاری</t>
        </is>
      </c>
      <c r="C22" s="170" t="inlineStr">
        <is>
          <t>اجاره انبار و زمین</t>
        </is>
      </c>
      <c r="D22" s="169" t="inlineStr">
        <is>
          <t>شرکتی</t>
        </is>
      </c>
      <c r="E22" s="169" t="inlineStr">
        <is>
          <t>سایر حساب</t>
        </is>
      </c>
      <c r="F22" s="169" t="inlineStr">
        <is>
          <t>هزینه/درآمد شرکت</t>
        </is>
      </c>
      <c r="G22" s="169" t="inlineStr">
        <is>
          <t>بله</t>
        </is>
      </c>
    </row>
    <row r="23">
      <c r="A23" s="169" t="inlineStr">
        <is>
          <t>TC24</t>
        </is>
      </c>
      <c r="B23" s="170" t="inlineStr">
        <is>
          <t>هزینه جاری</t>
        </is>
      </c>
      <c r="C23" s="170" t="inlineStr">
        <is>
          <t>مالیات و عوارض</t>
        </is>
      </c>
      <c r="D23" s="169" t="inlineStr">
        <is>
          <t>شرکتی</t>
        </is>
      </c>
      <c r="E23" s="169" t="inlineStr">
        <is>
          <t>سایر حساب</t>
        </is>
      </c>
      <c r="F23" s="169" t="inlineStr">
        <is>
          <t>هزینه/درآمد شرکت</t>
        </is>
      </c>
      <c r="G23" s="169" t="inlineStr">
        <is>
          <t>بله</t>
        </is>
      </c>
    </row>
    <row r="24">
      <c r="A24" s="169" t="inlineStr">
        <is>
          <t>TC11</t>
        </is>
      </c>
      <c r="B24" s="170" t="inlineStr">
        <is>
          <t>نیروی انسانی</t>
        </is>
      </c>
      <c r="C24" s="170" t="inlineStr">
        <is>
          <t>حقوق و دستمزد</t>
        </is>
      </c>
      <c r="D24" s="169" t="inlineStr">
        <is>
          <t>شرکتی</t>
        </is>
      </c>
      <c r="E24" s="169" t="inlineStr">
        <is>
          <t>کارمند</t>
        </is>
      </c>
      <c r="F24" s="169" t="inlineStr">
        <is>
          <t>هزینه/درآمد شرکت</t>
        </is>
      </c>
      <c r="G24" s="169" t="inlineStr">
        <is>
          <t>بله</t>
        </is>
      </c>
    </row>
    <row r="25">
      <c r="A25" s="169" t="inlineStr">
        <is>
          <t>TC12</t>
        </is>
      </c>
      <c r="B25" s="170" t="inlineStr">
        <is>
          <t>نیروی انسانی</t>
        </is>
      </c>
      <c r="C25" s="170" t="inlineStr">
        <is>
          <t>بیمه تأمین اجتماعی</t>
        </is>
      </c>
      <c r="D25" s="169" t="inlineStr">
        <is>
          <t>شرکتی</t>
        </is>
      </c>
      <c r="E25" s="169" t="inlineStr">
        <is>
          <t>کارمند</t>
        </is>
      </c>
      <c r="F25" s="169" t="inlineStr">
        <is>
          <t>هزینه/درآمد شرکت</t>
        </is>
      </c>
      <c r="G25" s="169" t="inlineStr">
        <is>
          <t>بله</t>
        </is>
      </c>
    </row>
    <row r="26">
      <c r="A26" s="169" t="inlineStr">
        <is>
          <t>TC13</t>
        </is>
      </c>
      <c r="B26" s="170" t="inlineStr">
        <is>
          <t>تعمیر و نگهداری</t>
        </is>
      </c>
      <c r="C26" s="170" t="inlineStr">
        <is>
          <t>تعمیر و نگهداری دستگاه سورتینگ</t>
        </is>
      </c>
      <c r="D26" s="169" t="inlineStr">
        <is>
          <t>شرکتی</t>
        </is>
      </c>
      <c r="E26" s="169" t="inlineStr">
        <is>
          <t>سایر حساب</t>
        </is>
      </c>
      <c r="F26" s="169" t="inlineStr">
        <is>
          <t>هزینه/درآمد شرکت</t>
        </is>
      </c>
      <c r="G26" s="169" t="inlineStr">
        <is>
          <t>بله</t>
        </is>
      </c>
    </row>
    <row r="27">
      <c r="A27" s="169" t="inlineStr">
        <is>
          <t>TC14</t>
        </is>
      </c>
      <c r="B27" s="170" t="inlineStr">
        <is>
          <t>تعمیر و نگهداری</t>
        </is>
      </c>
      <c r="C27" s="170" t="inlineStr">
        <is>
          <t>تعمیر و نگهداری خط بسته‌بندی</t>
        </is>
      </c>
      <c r="D27" s="169" t="inlineStr">
        <is>
          <t>شرکتی</t>
        </is>
      </c>
      <c r="E27" s="169" t="inlineStr">
        <is>
          <t>سایر حساب</t>
        </is>
      </c>
      <c r="F27" s="169" t="inlineStr">
        <is>
          <t>هزینه/درآمد شرکت</t>
        </is>
      </c>
      <c r="G27" s="169" t="inlineStr">
        <is>
          <t>بله</t>
        </is>
      </c>
    </row>
    <row r="28">
      <c r="A28" s="169" t="inlineStr">
        <is>
          <t>TC15</t>
        </is>
      </c>
      <c r="B28" s="170" t="inlineStr">
        <is>
          <t>تعمیر و نگهداری</t>
        </is>
      </c>
      <c r="C28" s="170" t="inlineStr">
        <is>
          <t>تعمیر و نگهداری سردخانه</t>
        </is>
      </c>
      <c r="D28" s="169" t="inlineStr">
        <is>
          <t>شرکتی</t>
        </is>
      </c>
      <c r="E28" s="169" t="inlineStr">
        <is>
          <t>سایر حساب</t>
        </is>
      </c>
      <c r="F28" s="169" t="inlineStr">
        <is>
          <t>هزینه/درآمد شرکت</t>
        </is>
      </c>
      <c r="G28" s="169" t="inlineStr">
        <is>
          <t>بله</t>
        </is>
      </c>
    </row>
    <row r="29">
      <c r="A29" s="169" t="inlineStr">
        <is>
          <t>TC20</t>
        </is>
      </c>
      <c r="B29" s="170" t="inlineStr">
        <is>
          <t>باسکول دیگران</t>
        </is>
      </c>
      <c r="C29" s="170" t="inlineStr">
        <is>
          <t>هزینه باسکول دیگران</t>
        </is>
      </c>
      <c r="D29" s="169" t="inlineStr">
        <is>
          <t>شرکتی</t>
        </is>
      </c>
      <c r="E29" s="169" t="inlineStr">
        <is>
          <t>باسکول دیگران</t>
        </is>
      </c>
      <c r="F29" s="169" t="inlineStr">
        <is>
          <t>هزینه/درآمد شرکت</t>
        </is>
      </c>
      <c r="G29" s="169" t="inlineStr">
        <is>
          <t>بله</t>
        </is>
      </c>
    </row>
    <row r="30">
      <c r="A30" s="169" t="inlineStr">
        <is>
          <t>TC21</t>
        </is>
      </c>
      <c r="B30" s="170" t="inlineStr">
        <is>
          <t>باسکول دیگران</t>
        </is>
      </c>
      <c r="C30" s="170" t="inlineStr">
        <is>
          <t>تسویه باسکول دیگران</t>
        </is>
      </c>
      <c r="D30" s="169" t="inlineStr">
        <is>
          <t>شرکتی</t>
        </is>
      </c>
      <c r="E30" s="169" t="inlineStr">
        <is>
          <t>باسکول دیگران</t>
        </is>
      </c>
      <c r="F30" s="169" t="inlineStr">
        <is>
          <t>هزینه/درآمد شرکت</t>
        </is>
      </c>
      <c r="G30" s="169" t="inlineStr">
        <is>
          <t>بله</t>
        </is>
      </c>
    </row>
    <row r="31">
      <c r="A31" s="169" t="inlineStr">
        <is>
          <t>TC19</t>
        </is>
      </c>
      <c r="B31" s="170" t="inlineStr">
        <is>
          <t>مالی و سرمایه</t>
        </is>
      </c>
      <c r="C31" s="170" t="inlineStr">
        <is>
          <t>انعام مصطفی</t>
        </is>
      </c>
      <c r="D31" s="169" t="inlineStr">
        <is>
          <t>شرکتی</t>
        </is>
      </c>
      <c r="E31" s="169" t="inlineStr">
        <is>
          <t>سایر حساب</t>
        </is>
      </c>
      <c r="F31" s="169" t="inlineStr">
        <is>
          <t>هزینه/درآمد شرکت</t>
        </is>
      </c>
      <c r="G31" s="169" t="inlineStr">
        <is>
          <t>بله</t>
        </is>
      </c>
    </row>
    <row r="32">
      <c r="A32" s="169" t="inlineStr">
        <is>
          <t>TC22</t>
        </is>
      </c>
      <c r="B32" s="170" t="inlineStr">
        <is>
          <t>مالی و سرمایه</t>
        </is>
      </c>
      <c r="C32" s="170" t="inlineStr">
        <is>
          <t>اقساط و تسهیلات</t>
        </is>
      </c>
      <c r="D32" s="169" t="inlineStr">
        <is>
          <t>شرکتی</t>
        </is>
      </c>
      <c r="E32" s="169" t="inlineStr">
        <is>
          <t>وام و تسهیلات</t>
        </is>
      </c>
      <c r="F32" s="169" t="inlineStr">
        <is>
          <t>هزینه/درآمد شرکت</t>
        </is>
      </c>
      <c r="G32" s="169" t="inlineStr">
        <is>
          <t>بله</t>
        </is>
      </c>
    </row>
    <row r="33">
      <c r="A33" s="169" t="inlineStr">
        <is>
          <t>TC23</t>
        </is>
      </c>
      <c r="B33" s="170" t="inlineStr">
        <is>
          <t>مالی و سرمایه</t>
        </is>
      </c>
      <c r="C33" s="170" t="inlineStr">
        <is>
          <t>دریافت تسهیلات</t>
        </is>
      </c>
      <c r="D33" s="169" t="inlineStr">
        <is>
          <t>شرکتی</t>
        </is>
      </c>
      <c r="E33" s="169" t="inlineStr">
        <is>
          <t>وام و تسهیلات</t>
        </is>
      </c>
      <c r="F33" s="169" t="inlineStr">
        <is>
          <t>هزینه/درآمد شرکت</t>
        </is>
      </c>
      <c r="G33" s="169" t="inlineStr">
        <is>
          <t>بله</t>
        </is>
      </c>
    </row>
    <row r="34">
      <c r="A34" s="169" t="inlineStr">
        <is>
          <t>TC25</t>
        </is>
      </c>
      <c r="B34" s="170" t="inlineStr">
        <is>
          <t>مالی و سرمایه</t>
        </is>
      </c>
      <c r="C34" s="170" t="inlineStr">
        <is>
          <t>سرمایه و آورده صاحبان</t>
        </is>
      </c>
      <c r="D34" s="169" t="inlineStr">
        <is>
          <t>شرکتی</t>
        </is>
      </c>
      <c r="E34" s="169" t="inlineStr">
        <is>
          <t>سرمایه و آورده صاحبان</t>
        </is>
      </c>
      <c r="F34" s="169" t="inlineStr">
        <is>
          <t>هزینه/درآمد شرکت</t>
        </is>
      </c>
      <c r="G34" s="169" t="inlineStr">
        <is>
          <t>بله</t>
        </is>
      </c>
    </row>
    <row r="35">
      <c r="A35" s="169" t="inlineStr">
        <is>
          <t>TC26</t>
        </is>
      </c>
      <c r="B35" s="170" t="inlineStr">
        <is>
          <t>مالی و سرمایه</t>
        </is>
      </c>
      <c r="C35" s="170" t="inlineStr">
        <is>
          <t>انتقال بین حساب‌های شرکت</t>
        </is>
      </c>
      <c r="D35" s="169" t="inlineStr">
        <is>
          <t>شرکتی</t>
        </is>
      </c>
      <c r="E35" s="169" t="inlineStr">
        <is>
          <t>سایر حساب</t>
        </is>
      </c>
      <c r="F35" s="169" t="inlineStr">
        <is>
          <t>هزینه/درآمد شرکت</t>
        </is>
      </c>
      <c r="G35" s="169" t="inlineStr">
        <is>
          <t>بله</t>
        </is>
      </c>
    </row>
    <row r="36">
      <c r="A36" s="169" t="inlineStr">
        <is>
          <t>TC27</t>
        </is>
      </c>
      <c r="B36" s="170" t="inlineStr">
        <is>
          <t>مالی و سرمایه</t>
        </is>
      </c>
      <c r="C36" s="170" t="inlineStr">
        <is>
          <t>سایر درآمد</t>
        </is>
      </c>
      <c r="D36" s="169" t="inlineStr">
        <is>
          <t>شرکتی</t>
        </is>
      </c>
      <c r="E36" s="169" t="inlineStr">
        <is>
          <t>سایر حساب</t>
        </is>
      </c>
      <c r="F36" s="169" t="inlineStr">
        <is>
          <t>هزینه/درآمد شرکت</t>
        </is>
      </c>
      <c r="G36" s="169" t="inlineStr">
        <is>
          <t>بله</t>
        </is>
      </c>
    </row>
    <row r="37">
      <c r="A37" s="169" t="inlineStr">
        <is>
          <t>TC28</t>
        </is>
      </c>
      <c r="B37" s="170" t="inlineStr">
        <is>
          <t>مالی و سرمایه</t>
        </is>
      </c>
      <c r="C37" s="170" t="inlineStr">
        <is>
          <t>سایر هزینه</t>
        </is>
      </c>
      <c r="D37" s="169" t="inlineStr">
        <is>
          <t>شرکتی</t>
        </is>
      </c>
      <c r="E37" s="169" t="inlineStr">
        <is>
          <t>سایر حساب</t>
        </is>
      </c>
      <c r="F37" s="169" t="inlineStr">
        <is>
          <t>هزینه/درآمد شرکت</t>
        </is>
      </c>
      <c r="G37" s="169" t="inlineStr">
        <is>
          <t>بله</t>
        </is>
      </c>
    </row>
    <row r="38">
      <c r="A38" s="171" t="inlineStr">
        <is>
          <t>TC30</t>
        </is>
      </c>
      <c r="B38" s="172" t="inlineStr">
        <is>
          <t>شخصی رئیس — دارایی</t>
        </is>
      </c>
      <c r="C38" s="172" t="inlineStr">
        <is>
          <t>خرید وسایل شخصی</t>
        </is>
      </c>
      <c r="D38" s="171" t="inlineStr">
        <is>
          <t>شخصی رئیس</t>
        </is>
      </c>
      <c r="E38" s="171" t="inlineStr">
        <is>
          <t>سایر حساب</t>
        </is>
      </c>
      <c r="F38" s="171" t="inlineStr">
        <is>
          <t>پول شخصی رئیس — به حساب جاری رئیس می‌رود</t>
        </is>
      </c>
      <c r="G38" s="171" t="inlineStr">
        <is>
          <t>بله</t>
        </is>
      </c>
    </row>
    <row r="39">
      <c r="A39" s="171" t="inlineStr">
        <is>
          <t>TC31</t>
        </is>
      </c>
      <c r="B39" s="172" t="inlineStr">
        <is>
          <t>شخصی رئیس — دارایی</t>
        </is>
      </c>
      <c r="C39" s="172" t="inlineStr">
        <is>
          <t>فروش وسایل شخصی</t>
        </is>
      </c>
      <c r="D39" s="171" t="inlineStr">
        <is>
          <t>شخصی رئیس</t>
        </is>
      </c>
      <c r="E39" s="171" t="inlineStr">
        <is>
          <t>سایر حساب</t>
        </is>
      </c>
      <c r="F39" s="171" t="inlineStr">
        <is>
          <t>پول شخصی رئیس — به حساب جاری رئیس می‌رود</t>
        </is>
      </c>
      <c r="G39" s="171" t="inlineStr">
        <is>
          <t>بله</t>
        </is>
      </c>
    </row>
    <row r="40">
      <c r="A40" s="171" t="inlineStr">
        <is>
          <t>TC32</t>
        </is>
      </c>
      <c r="B40" s="172" t="inlineStr">
        <is>
          <t>شخصی رئیس — دارایی</t>
        </is>
      </c>
      <c r="C40" s="172" t="inlineStr">
        <is>
          <t>خرید خودرو</t>
        </is>
      </c>
      <c r="D40" s="171" t="inlineStr">
        <is>
          <t>شخصی رئیس</t>
        </is>
      </c>
      <c r="E40" s="171" t="inlineStr">
        <is>
          <t>سایر حساب</t>
        </is>
      </c>
      <c r="F40" s="171" t="inlineStr">
        <is>
          <t>پول شخصی رئیس — به حساب جاری رئیس می‌رود</t>
        </is>
      </c>
      <c r="G40" s="171" t="inlineStr">
        <is>
          <t>بله</t>
        </is>
      </c>
    </row>
    <row r="41">
      <c r="A41" s="171" t="inlineStr">
        <is>
          <t>TC33</t>
        </is>
      </c>
      <c r="B41" s="172" t="inlineStr">
        <is>
          <t>شخصی رئیس — دارایی</t>
        </is>
      </c>
      <c r="C41" s="172" t="inlineStr">
        <is>
          <t>فروش خودرو</t>
        </is>
      </c>
      <c r="D41" s="171" t="inlineStr">
        <is>
          <t>شخصی رئیس</t>
        </is>
      </c>
      <c r="E41" s="171" t="inlineStr">
        <is>
          <t>سایر حساب</t>
        </is>
      </c>
      <c r="F41" s="171" t="inlineStr">
        <is>
          <t>پول شخصی رئیس — به حساب جاری رئیس می‌رود</t>
        </is>
      </c>
      <c r="G41" s="171" t="inlineStr">
        <is>
          <t>بله</t>
        </is>
      </c>
    </row>
    <row r="42">
      <c r="A42" s="171" t="inlineStr">
        <is>
          <t>TC35</t>
        </is>
      </c>
      <c r="B42" s="172" t="inlineStr">
        <is>
          <t>شخصی رئیس — دارایی</t>
        </is>
      </c>
      <c r="C42" s="172" t="inlineStr">
        <is>
          <t>مسکن و قبض منزل</t>
        </is>
      </c>
      <c r="D42" s="171" t="inlineStr">
        <is>
          <t>شخصی رئیس</t>
        </is>
      </c>
      <c r="E42" s="171" t="inlineStr">
        <is>
          <t>سایر حساب</t>
        </is>
      </c>
      <c r="F42" s="171" t="inlineStr">
        <is>
          <t>پول شخصی رئیس — به حساب جاری رئیس می‌رود</t>
        </is>
      </c>
      <c r="G42" s="171" t="inlineStr">
        <is>
          <t>بله</t>
        </is>
      </c>
    </row>
    <row r="43">
      <c r="A43" s="171" t="inlineStr">
        <is>
          <t>TC29</t>
        </is>
      </c>
      <c r="B43" s="172" t="inlineStr">
        <is>
          <t>شخصی رئیس — زندگی</t>
        </is>
      </c>
      <c r="C43" s="172" t="inlineStr">
        <is>
          <t>هزینه شخصی رئیس</t>
        </is>
      </c>
      <c r="D43" s="171" t="inlineStr">
        <is>
          <t>شخصی رئیس</t>
        </is>
      </c>
      <c r="E43" s="171" t="inlineStr">
        <is>
          <t>سایر حساب</t>
        </is>
      </c>
      <c r="F43" s="171" t="inlineStr">
        <is>
          <t>پول شخصی رئیس — به حساب جاری رئیس می‌رود</t>
        </is>
      </c>
      <c r="G43" s="171" t="inlineStr">
        <is>
          <t>بله</t>
        </is>
      </c>
    </row>
    <row r="44">
      <c r="A44" s="171" t="inlineStr">
        <is>
          <t>TC34</t>
        </is>
      </c>
      <c r="B44" s="172" t="inlineStr">
        <is>
          <t>شخصی رئیس — زندگی</t>
        </is>
      </c>
      <c r="C44" s="172" t="inlineStr">
        <is>
          <t>سوخت و تعمیر خودرو شخصی</t>
        </is>
      </c>
      <c r="D44" s="171" t="inlineStr">
        <is>
          <t>شخصی رئیس</t>
        </is>
      </c>
      <c r="E44" s="171" t="inlineStr">
        <is>
          <t>سایر حساب</t>
        </is>
      </c>
      <c r="F44" s="171" t="inlineStr">
        <is>
          <t>پول شخصی رئیس — به حساب جاری رئیس می‌رود</t>
        </is>
      </c>
      <c r="G44" s="171" t="inlineStr">
        <is>
          <t>بله</t>
        </is>
      </c>
    </row>
    <row r="45">
      <c r="A45" s="171" t="inlineStr">
        <is>
          <t>TC36</t>
        </is>
      </c>
      <c r="B45" s="172" t="inlineStr">
        <is>
          <t>شخصی رئیس — زندگی</t>
        </is>
      </c>
      <c r="C45" s="172" t="inlineStr">
        <is>
          <t>درمان و سلامت</t>
        </is>
      </c>
      <c r="D45" s="171" t="inlineStr">
        <is>
          <t>شخصی رئیس</t>
        </is>
      </c>
      <c r="E45" s="171" t="inlineStr">
        <is>
          <t>سایر حساب</t>
        </is>
      </c>
      <c r="F45" s="171" t="inlineStr">
        <is>
          <t>پول شخصی رئیس — به حساب جاری رئیس می‌رود</t>
        </is>
      </c>
      <c r="G45" s="171" t="inlineStr">
        <is>
          <t>بله</t>
        </is>
      </c>
    </row>
    <row r="46">
      <c r="A46" s="171" t="inlineStr">
        <is>
          <t>TC37</t>
        </is>
      </c>
      <c r="B46" s="172" t="inlineStr">
        <is>
          <t>شخصی رئیس — زندگی</t>
        </is>
      </c>
      <c r="C46" s="172" t="inlineStr">
        <is>
          <t>تحصیل و آموزش</t>
        </is>
      </c>
      <c r="D46" s="171" t="inlineStr">
        <is>
          <t>شخصی رئیس</t>
        </is>
      </c>
      <c r="E46" s="171" t="inlineStr">
        <is>
          <t>سایر حساب</t>
        </is>
      </c>
      <c r="F46" s="171" t="inlineStr">
        <is>
          <t>پول شخصی رئیس — به حساب جاری رئیس می‌رود</t>
        </is>
      </c>
      <c r="G46" s="171" t="inlineStr">
        <is>
          <t>بله</t>
        </is>
      </c>
    </row>
    <row r="47">
      <c r="A47" s="171" t="inlineStr">
        <is>
          <t>TC38</t>
        </is>
      </c>
      <c r="B47" s="172" t="inlineStr">
        <is>
          <t>شخصی رئیس — زندگی</t>
        </is>
      </c>
      <c r="C47" s="172" t="inlineStr">
        <is>
          <t>سفر و تفریح</t>
        </is>
      </c>
      <c r="D47" s="171" t="inlineStr">
        <is>
          <t>شخصی رئیس</t>
        </is>
      </c>
      <c r="E47" s="171" t="inlineStr">
        <is>
          <t>سایر حساب</t>
        </is>
      </c>
      <c r="F47" s="171" t="inlineStr">
        <is>
          <t>پول شخصی رئیس — به حساب جاری رئیس می‌رود</t>
        </is>
      </c>
      <c r="G47" s="171" t="inlineStr">
        <is>
          <t>بله</t>
        </is>
      </c>
    </row>
    <row r="48">
      <c r="A48" s="171" t="inlineStr">
        <is>
          <t>TC39</t>
        </is>
      </c>
      <c r="B48" s="172" t="inlineStr">
        <is>
          <t>شخصی رئیس — زندگی</t>
        </is>
      </c>
      <c r="C48" s="172" t="inlineStr">
        <is>
          <t>هدیه و نذورات</t>
        </is>
      </c>
      <c r="D48" s="171" t="inlineStr">
        <is>
          <t>شخصی رئیس</t>
        </is>
      </c>
      <c r="E48" s="171" t="inlineStr">
        <is>
          <t>سایر حساب</t>
        </is>
      </c>
      <c r="F48" s="171" t="inlineStr">
        <is>
          <t>پول شخصی رئیس — به حساب جاری رئیس می‌رود</t>
        </is>
      </c>
      <c r="G48" s="171" t="inlineStr">
        <is>
          <t>بله</t>
        </is>
      </c>
    </row>
    <row r="49">
      <c r="A49" s="171" t="inlineStr">
        <is>
          <t>TC40</t>
        </is>
      </c>
      <c r="B49" s="172" t="inlineStr">
        <is>
          <t>شخصی رئیس — جریان پول</t>
        </is>
      </c>
      <c r="C49" s="172" t="inlineStr">
        <is>
          <t>دریافتی شخصی</t>
        </is>
      </c>
      <c r="D49" s="171" t="inlineStr">
        <is>
          <t>شخصی رئیس</t>
        </is>
      </c>
      <c r="E49" s="171" t="inlineStr">
        <is>
          <t>سایر حساب</t>
        </is>
      </c>
      <c r="F49" s="171" t="inlineStr">
        <is>
          <t>پول شخصی رئیس — به حساب جاری رئیس می‌رود</t>
        </is>
      </c>
      <c r="G49" s="171" t="inlineStr">
        <is>
          <t>بله</t>
        </is>
      </c>
    </row>
    <row r="50">
      <c r="A50" s="171" t="inlineStr">
        <is>
          <t>TC41</t>
        </is>
      </c>
      <c r="B50" s="172" t="inlineStr">
        <is>
          <t>شخصی رئیس — جریان پول</t>
        </is>
      </c>
      <c r="C50" s="172" t="inlineStr">
        <is>
          <t>واریز از حساب شرکت به شخصی</t>
        </is>
      </c>
      <c r="D50" s="171" t="inlineStr">
        <is>
          <t>شخصی رئیس</t>
        </is>
      </c>
      <c r="E50" s="171" t="inlineStr">
        <is>
          <t>سایر حساب</t>
        </is>
      </c>
      <c r="F50" s="171" t="inlineStr">
        <is>
          <t>پول شخصی رئیس — به حساب جاری رئیس می‌رود</t>
        </is>
      </c>
      <c r="G50" s="171" t="inlineStr">
        <is>
          <t>بله</t>
        </is>
      </c>
    </row>
    <row r="51">
      <c r="A51" s="171" t="inlineStr">
        <is>
          <t>TC42</t>
        </is>
      </c>
      <c r="B51" s="172" t="inlineStr">
        <is>
          <t>شخصی رئیس — جریان پول</t>
        </is>
      </c>
      <c r="C51" s="172" t="inlineStr">
        <is>
          <t>برگشت وجه شخصی به شرکت</t>
        </is>
      </c>
      <c r="D51" s="171" t="inlineStr">
        <is>
          <t>شخصی رئیس</t>
        </is>
      </c>
      <c r="E51" s="171" t="inlineStr">
        <is>
          <t>سایر حساب</t>
        </is>
      </c>
      <c r="F51" s="171" t="inlineStr">
        <is>
          <t>پول شخصی رئیس — به حساب جاری رئیس می‌رود</t>
        </is>
      </c>
      <c r="G51" s="171" t="inlineStr">
        <is>
          <t>بله</t>
        </is>
      </c>
    </row>
  </sheetData>
  <mergeCells count="2">
    <mergeCell ref="A2:G2"/>
    <mergeCell ref="A1:G1"/>
  </mergeCells>
  <printOptions horizontalCentered="1"/>
  <pageMargins left="0.75" right="0.75" top="1" bottom="1" header="0.5" footer="0.5"/>
  <pageSetup orientation="portrait" paperSize="9" fitToHeight="0" fitToWidth="1"/>
  <headerFooter>
    <oddHeader>&amp;L&amp;8 مازندشت — فایل مادر&amp;C&amp;8 MAZANDASHT · CLASSIFICATION&amp;R&amp;8 &amp;A</oddHeader>
    <oddFooter>&amp;L&amp;8 &amp;F&amp;C&amp;8 صفحه &amp;P از &amp;N&amp;R&amp;8 نسخه ۰۴ · ۱۴۰۵</oddFooter>
    <evenHeader/>
    <evenFooter/>
    <firstHeader/>
    <firstFooter/>
  </headerFooter>
</worksheet>
</file>

<file path=xl/worksheets/sheet7.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n"/>
      <c r="C29" s="59" t="n"/>
      <c r="D29" s="59" t="n"/>
      <c r="E29" s="59" t="n"/>
      <c r="F29" s="59" t="n"/>
      <c r="G29" s="59" t="n"/>
      <c r="H29" s="59" t="n"/>
      <c r="I29" s="59" t="n"/>
      <c r="J29" s="59" t="n"/>
      <c r="K29" s="59" t="n"/>
      <c r="L29" s="59" t="n"/>
      <c r="M29" s="59" t="n"/>
      <c r="N29" s="59" t="n"/>
      <c r="O29" s="59" t="n"/>
      <c r="P29" s="59" t="n"/>
      <c r="Q29" s="59" t="n"/>
      <c r="R29" s="78" t="n"/>
      <c r="S29" s="79" t="n"/>
    </row>
    <row r="30" ht="33.75" customHeight="1">
      <c r="A30" s="59" t="inlineStr">
        <is>
          <t>OP21</t>
        </is>
      </c>
      <c r="B30" s="77" t="n"/>
      <c r="C30" s="59" t="n"/>
      <c r="D30" s="59" t="n"/>
      <c r="E30" s="59" t="n"/>
      <c r="F30" s="59" t="n"/>
      <c r="G30" s="59" t="n"/>
      <c r="H30" s="59" t="n"/>
      <c r="I30" s="59" t="n"/>
      <c r="J30" s="59" t="n"/>
      <c r="K30" s="59" t="n"/>
      <c r="L30" s="59" t="n"/>
      <c r="M30" s="59" t="n"/>
      <c r="N30" s="59" t="n"/>
      <c r="O30" s="59" t="n"/>
      <c r="P30" s="59" t="n"/>
      <c r="Q30" s="59" t="n"/>
      <c r="R30" s="78" t="n"/>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n"/>
      <c r="C25" s="47" t="n"/>
      <c r="D25" s="47" t="n"/>
      <c r="E25" s="58" t="n"/>
      <c r="F25" s="60" t="n"/>
      <c r="G25" s="84">
        <f>IF($B25="","",$B25&amp;" – "&amp;$C25)</f>
        <v/>
      </c>
    </row>
    <row r="26" ht="23.25" customHeight="1">
      <c r="A26" s="44" t="inlineStr">
        <is>
          <t>PB17</t>
        </is>
      </c>
      <c r="B26" s="45" t="n"/>
      <c r="C26" s="47" t="n"/>
      <c r="D26" s="47" t="n"/>
      <c r="E26" s="58" t="n"/>
      <c r="F26" s="60" t="n"/>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6B7A76"/>
    <outlinePr summaryBelow="1" summaryRight="1"/>
    <pageSetUpPr fitToPage="1"/>
  </sheetPr>
  <dimension ref="A1:U36"/>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عامل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واریز نقدی به حساب</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دریافت از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واریز بارفروشان</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پاس چک مشتریان (واریز به حساب ما)</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دریافتی از حساب دیگر</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واریز پز باسکول (۲۰۰۶)</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دریافت تسهیلات</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سود سپرده</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سایر دریافت</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پرداخت به باغدار</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پرداخت به مشتری</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پاس چک ما (چک پرداختی شرکت)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برداشت نقدی از حساب</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انتقال پرداختی به حساب دیگر</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کارمزد و هزینه بانکی</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پرداخت هزینه</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پرداخت انعام مصطفی</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S28" s="152" t="inlineStr">
        <is>
          <t>پرداخت به باسکول دیگران</t>
        </is>
      </c>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S29" s="152" t="inlineStr">
        <is>
          <t>بازپرداخت تسهیلات</t>
        </is>
      </c>
      <c r="T29" s="152" t="inlineStr">
        <is>
          <t>BD020 – (بدون نام)</t>
        </is>
      </c>
    </row>
    <row r="30">
      <c r="S30" s="152" t="inlineStr">
        <is>
          <t>پاس چک مشتری برگشتی</t>
        </is>
      </c>
    </row>
    <row r="31">
      <c r="S31" s="152" t="inlineStr">
        <is>
          <t>سایر پرداخت</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54" t="n"/>
      <c r="U32" s="155" t="n"/>
    </row>
    <row r="33">
      <c r="S33" s="152" t="inlineStr">
        <is>
          <t>دریافت از حساب شخصی رئیس</t>
        </is>
      </c>
    </row>
    <row r="34">
      <c r="S34" s="152" t="inlineStr">
        <is>
          <t>انتقال داخلی بین بانک‌ها</t>
        </is>
      </c>
    </row>
    <row r="35">
      <c r="S35" s="152" t="inlineStr">
        <is>
          <t>تسویه دریافت (واسط)</t>
        </is>
      </c>
    </row>
    <row r="36">
      <c r="S36" s="152" t="inlineStr">
        <is>
          <t>تسویه پرداخت (واسط)</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2.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6" t="inlineStr">
        <is>
          <t>واریز نقدی به حساب</t>
        </is>
      </c>
      <c r="I7" s="157" t="inlineStr">
        <is>
          <t>IN</t>
        </is>
      </c>
      <c r="J7" s="157" t="inlineStr">
        <is>
          <t>FIXED</t>
        </is>
      </c>
      <c r="K7" s="157" t="inlineStr">
        <is>
          <t>X003</t>
        </is>
      </c>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6" t="inlineStr">
        <is>
          <t>دریافت از مشتری</t>
        </is>
      </c>
      <c r="I8" s="157" t="inlineStr">
        <is>
          <t>IN</t>
        </is>
      </c>
      <c r="J8" s="157" t="inlineStr">
        <is>
          <t>CODE</t>
        </is>
      </c>
      <c r="K8" s="157" t="inlineStr"/>
    </row>
    <row r="9" ht="21" customHeight="1">
      <c r="A9" s="93" t="inlineStr">
        <is>
          <t>P01</t>
        </is>
      </c>
      <c r="B9" s="94">
        <f>IFERROR(VLOOKUP($A9,Par!$A$10:$E$21,2,0),"")</f>
        <v/>
      </c>
      <c r="C9" s="158">
        <f>IFERROR(VLOOKUP($A9,Par!$A$10:$E$21,3,0),"")</f>
        <v/>
      </c>
      <c r="D9" s="96">
        <f>IFERROR(VLOOKUP($A9,Par!$A$10:$E$21,4,0),"")</f>
        <v/>
      </c>
      <c r="E9" s="94">
        <f>IFERROR(VLOOKUP($A9,Par!$A$10:$E$21,5,0),"")</f>
        <v/>
      </c>
      <c r="F9" s="96" t="inlineStr">
        <is>
          <t>Params</t>
        </is>
      </c>
      <c r="H9" s="156" t="inlineStr">
        <is>
          <t>واریز بارفروشان</t>
        </is>
      </c>
      <c r="I9" s="157" t="inlineStr">
        <is>
          <t>IN</t>
        </is>
      </c>
      <c r="J9" s="157" t="inlineStr">
        <is>
          <t>CODE</t>
        </is>
      </c>
      <c r="K9" s="157" t="inlineStr"/>
    </row>
    <row r="10" ht="21" customHeight="1">
      <c r="A10" s="93" t="inlineStr">
        <is>
          <t>P02</t>
        </is>
      </c>
      <c r="B10" s="94">
        <f>IFERROR(VLOOKUP($A10,Par!$A$10:$E$21,2,0),"")</f>
        <v/>
      </c>
      <c r="C10" s="158">
        <f>IFERROR(VLOOKUP($A10,Par!$A$10:$E$21,3,0),"")</f>
        <v/>
      </c>
      <c r="D10" s="96">
        <f>IFERROR(VLOOKUP($A10,Par!$A$10:$E$21,4,0),"")</f>
        <v/>
      </c>
      <c r="E10" s="94">
        <f>IFERROR(VLOOKUP($A10,Par!$A$10:$E$21,5,0),"")</f>
        <v/>
      </c>
      <c r="F10" s="96" t="inlineStr">
        <is>
          <t>Params</t>
        </is>
      </c>
      <c r="H10" s="156" t="inlineStr">
        <is>
          <t>پاس چک مشتریان (واریز به حساب ما)</t>
        </is>
      </c>
      <c r="I10" s="157" t="inlineStr">
        <is>
          <t>IN</t>
        </is>
      </c>
      <c r="J10" s="157" t="inlineStr">
        <is>
          <t>CODE</t>
        </is>
      </c>
      <c r="K10" s="157" t="inlineStr"/>
    </row>
    <row r="11" ht="21" customHeight="1">
      <c r="A11" s="93" t="inlineStr">
        <is>
          <t>P03</t>
        </is>
      </c>
      <c r="B11" s="94">
        <f>IFERROR(VLOOKUP($A11,Par!$A$10:$E$21,2,0),"")</f>
        <v/>
      </c>
      <c r="C11" s="158">
        <f>IFERROR(VLOOKUP($A11,Par!$A$10:$E$21,3,0),"")</f>
        <v/>
      </c>
      <c r="D11" s="96">
        <f>IFERROR(VLOOKUP($A11,Par!$A$10:$E$21,4,0),"")</f>
        <v/>
      </c>
      <c r="E11" s="94">
        <f>IFERROR(VLOOKUP($A11,Par!$A$10:$E$21,5,0),"")</f>
        <v/>
      </c>
      <c r="F11" s="96" t="inlineStr">
        <is>
          <t>Params</t>
        </is>
      </c>
      <c r="H11" s="156" t="inlineStr">
        <is>
          <t>انتقال دریافتی از حساب دیگر</t>
        </is>
      </c>
      <c r="I11" s="157" t="inlineStr">
        <is>
          <t>IN</t>
        </is>
      </c>
      <c r="J11" s="157" t="inlineStr">
        <is>
          <t>CODE</t>
        </is>
      </c>
      <c r="K11" s="157" t="inlineStr"/>
    </row>
    <row r="12" ht="21" customHeight="1">
      <c r="A12" s="93" t="inlineStr">
        <is>
          <t>P04</t>
        </is>
      </c>
      <c r="B12" s="94">
        <f>IFERROR(VLOOKUP($A12,Par!$A$10:$E$21,2,0),"")</f>
        <v/>
      </c>
      <c r="C12" s="158">
        <f>IFERROR(VLOOKUP($A12,Par!$A$10:$E$21,3,0),"")</f>
        <v/>
      </c>
      <c r="D12" s="96">
        <f>IFERROR(VLOOKUP($A12,Par!$A$10:$E$21,4,0),"")</f>
        <v/>
      </c>
      <c r="E12" s="94">
        <f>IFERROR(VLOOKUP($A12,Par!$A$10:$E$21,5,0),"")</f>
        <v/>
      </c>
      <c r="F12" s="96" t="inlineStr">
        <is>
          <t>Params</t>
        </is>
      </c>
      <c r="H12" s="156" t="inlineStr">
        <is>
          <t>واریز پز باسکول (۲۰۰۶)</t>
        </is>
      </c>
      <c r="I12" s="157" t="inlineStr">
        <is>
          <t>IN</t>
        </is>
      </c>
      <c r="J12" s="157" t="inlineStr">
        <is>
          <t>FIXED</t>
        </is>
      </c>
      <c r="K12" s="157" t="inlineStr">
        <is>
          <t>X011</t>
        </is>
      </c>
    </row>
    <row r="13" ht="21" customHeight="1">
      <c r="A13" s="93" t="inlineStr">
        <is>
          <t>P05</t>
        </is>
      </c>
      <c r="B13" s="94">
        <f>IFERROR(VLOOKUP($A13,Par!$A$10:$E$21,2,0),"")</f>
        <v/>
      </c>
      <c r="C13" s="158">
        <f>IFERROR(VLOOKUP($A13,Par!$A$10:$E$21,3,0),"")</f>
        <v/>
      </c>
      <c r="D13" s="96">
        <f>IFERROR(VLOOKUP($A13,Par!$A$10:$E$21,4,0),"")</f>
        <v/>
      </c>
      <c r="E13" s="94">
        <f>IFERROR(VLOOKUP($A13,Par!$A$10:$E$21,5,0),"")</f>
        <v/>
      </c>
      <c r="F13" s="96" t="inlineStr">
        <is>
          <t>Params</t>
        </is>
      </c>
      <c r="H13" s="156" t="inlineStr">
        <is>
          <t>دریافت هزینه باسکول دیگران</t>
        </is>
      </c>
      <c r="I13" s="157" t="inlineStr">
        <is>
          <t>IN</t>
        </is>
      </c>
      <c r="J13" s="157" t="inlineStr">
        <is>
          <t>PICK</t>
        </is>
      </c>
      <c r="K13" s="157" t="inlineStr"/>
    </row>
    <row r="14" ht="21" customHeight="1">
      <c r="A14" s="93" t="inlineStr">
        <is>
          <t>P06</t>
        </is>
      </c>
      <c r="B14" s="94">
        <f>IFERROR(VLOOKUP($A14,Par!$A$10:$E$21,2,0),"")</f>
        <v/>
      </c>
      <c r="C14" s="158">
        <f>IFERROR(VLOOKUP($A14,Par!$A$10:$E$21,3,0),"")</f>
        <v/>
      </c>
      <c r="D14" s="96">
        <f>IFERROR(VLOOKUP($A14,Par!$A$10:$E$21,4,0),"")</f>
        <v/>
      </c>
      <c r="E14" s="94">
        <f>IFERROR(VLOOKUP($A14,Par!$A$10:$E$21,5,0),"")</f>
        <v/>
      </c>
      <c r="F14" s="96" t="inlineStr">
        <is>
          <t>Params</t>
        </is>
      </c>
      <c r="H14" s="156" t="inlineStr">
        <is>
          <t>دریافت تسهیلات</t>
        </is>
      </c>
      <c r="I14" s="157" t="inlineStr">
        <is>
          <t>IN</t>
        </is>
      </c>
      <c r="J14" s="157" t="inlineStr">
        <is>
          <t>CODE</t>
        </is>
      </c>
      <c r="K14" s="157" t="inlineStr"/>
    </row>
    <row r="15" ht="21" customHeight="1">
      <c r="A15" s="93" t="inlineStr">
        <is>
          <t>P07</t>
        </is>
      </c>
      <c r="B15" s="94">
        <f>IFERROR(VLOOKUP($A15,Par!$A$10:$E$21,2,0),"")</f>
        <v/>
      </c>
      <c r="C15" s="158">
        <f>IFERROR(VLOOKUP($A15,Par!$A$10:$E$21,3,0),"")</f>
        <v/>
      </c>
      <c r="D15" s="96">
        <f>IFERROR(VLOOKUP($A15,Par!$A$10:$E$21,4,0),"")</f>
        <v/>
      </c>
      <c r="E15" s="94">
        <f>IFERROR(VLOOKUP($A15,Par!$A$10:$E$21,5,0),"")</f>
        <v/>
      </c>
      <c r="F15" s="96" t="inlineStr">
        <is>
          <t>Params</t>
        </is>
      </c>
      <c r="H15" s="156" t="inlineStr">
        <is>
          <t>سود سپرده</t>
        </is>
      </c>
      <c r="I15" s="157" t="inlineStr">
        <is>
          <t>IN</t>
        </is>
      </c>
      <c r="J15" s="157" t="inlineStr">
        <is>
          <t>FIXED</t>
        </is>
      </c>
      <c r="K15" s="157" t="inlineStr">
        <is>
          <t>X015</t>
        </is>
      </c>
    </row>
    <row r="16" ht="21" customHeight="1">
      <c r="A16" s="93" t="inlineStr">
        <is>
          <t>P08</t>
        </is>
      </c>
      <c r="B16" s="94">
        <f>IFERROR(VLOOKUP($A16,Par!$A$10:$E$21,2,0),"")</f>
        <v/>
      </c>
      <c r="C16" s="158">
        <f>IFERROR(VLOOKUP($A16,Par!$A$10:$E$21,3,0),"")</f>
        <v/>
      </c>
      <c r="D16" s="96">
        <f>IFERROR(VLOOKUP($A16,Par!$A$10:$E$21,4,0),"")</f>
        <v/>
      </c>
      <c r="E16" s="94">
        <f>IFERROR(VLOOKUP($A16,Par!$A$10:$E$21,5,0),"")</f>
        <v/>
      </c>
      <c r="F16" s="96" t="inlineStr">
        <is>
          <t>Params</t>
        </is>
      </c>
      <c r="H16" s="156" t="inlineStr">
        <is>
          <t>سایر دریافت</t>
        </is>
      </c>
      <c r="I16" s="157" t="inlineStr">
        <is>
          <t>IN</t>
        </is>
      </c>
      <c r="J16" s="157" t="inlineStr">
        <is>
          <t>CODE</t>
        </is>
      </c>
      <c r="K16" s="157" t="inlineStr"/>
    </row>
    <row r="17" ht="21" customHeight="1">
      <c r="A17" s="93" t="inlineStr">
        <is>
          <t>P09</t>
        </is>
      </c>
      <c r="B17" s="94">
        <f>IFERROR(VLOOKUP($A17,Par!$A$10:$E$21,2,0),"")</f>
        <v/>
      </c>
      <c r="C17" s="158">
        <f>IFERROR(VLOOKUP($A17,Par!$A$10:$E$21,3,0),"")</f>
        <v/>
      </c>
      <c r="D17" s="96">
        <f>IFERROR(VLOOKUP($A17,Par!$A$10:$E$21,4,0),"")</f>
        <v/>
      </c>
      <c r="E17" s="94">
        <f>IFERROR(VLOOKUP($A17,Par!$A$10:$E$21,5,0),"")</f>
        <v/>
      </c>
      <c r="F17" s="96" t="inlineStr">
        <is>
          <t>Params</t>
        </is>
      </c>
      <c r="H17" s="156" t="inlineStr">
        <is>
          <t>پرداخت به باغدار</t>
        </is>
      </c>
      <c r="I17" s="157" t="inlineStr">
        <is>
          <t>OUT</t>
        </is>
      </c>
      <c r="J17" s="157" t="inlineStr">
        <is>
          <t>CODE</t>
        </is>
      </c>
      <c r="K17" s="157" t="inlineStr"/>
    </row>
    <row r="18" ht="21" customHeight="1">
      <c r="A18" s="93" t="inlineStr">
        <is>
          <t>P10</t>
        </is>
      </c>
      <c r="B18" s="94">
        <f>IFERROR(VLOOKUP($A18,Par!$A$10:$E$21,2,0),"")</f>
        <v/>
      </c>
      <c r="C18" s="158">
        <f>IFERROR(VLOOKUP($A18,Par!$A$10:$E$21,3,0),"")</f>
        <v/>
      </c>
      <c r="D18" s="96">
        <f>IFERROR(VLOOKUP($A18,Par!$A$10:$E$21,4,0),"")</f>
        <v/>
      </c>
      <c r="E18" s="94">
        <f>IFERROR(VLOOKUP($A18,Par!$A$10:$E$21,5,0),"")</f>
        <v/>
      </c>
      <c r="F18" s="96" t="inlineStr">
        <is>
          <t>Params</t>
        </is>
      </c>
      <c r="H18" s="156" t="inlineStr">
        <is>
          <t>پرداخت به مشتری</t>
        </is>
      </c>
      <c r="I18" s="157" t="inlineStr">
        <is>
          <t>OUT</t>
        </is>
      </c>
      <c r="J18" s="157" t="inlineStr">
        <is>
          <t>CODE</t>
        </is>
      </c>
      <c r="K18" s="157" t="inlineStr"/>
    </row>
    <row r="19" ht="21" customHeight="1">
      <c r="A19" s="93" t="inlineStr">
        <is>
          <t>P11</t>
        </is>
      </c>
      <c r="B19" s="94">
        <f>IFERROR(VLOOKUP($A19,Par!$A$10:$E$21,2,0),"")</f>
        <v/>
      </c>
      <c r="C19" s="158">
        <f>IFERROR(VLOOKUP($A19,Par!$A$10:$E$21,3,0),"")</f>
        <v/>
      </c>
      <c r="D19" s="96">
        <f>IFERROR(VLOOKUP($A19,Par!$A$10:$E$21,4,0),"")</f>
        <v/>
      </c>
      <c r="E19" s="94">
        <f>IFERROR(VLOOKUP($A19,Par!$A$10:$E$21,5,0),"")</f>
        <v/>
      </c>
      <c r="F19" s="96" t="inlineStr">
        <is>
          <t>Params</t>
        </is>
      </c>
      <c r="H19" s="156" t="inlineStr">
        <is>
          <t>پاس چک ما (چک پرداختی شرکت)</t>
        </is>
      </c>
      <c r="I19" s="157" t="inlineStr">
        <is>
          <t>OUT</t>
        </is>
      </c>
      <c r="J19" s="157" t="inlineStr">
        <is>
          <t>FIXED</t>
        </is>
      </c>
      <c r="K19" s="157" t="inlineStr">
        <is>
          <t>X010</t>
        </is>
      </c>
    </row>
    <row r="20" ht="21" customHeight="1">
      <c r="A20" s="93" t="inlineStr">
        <is>
          <t>P12</t>
        </is>
      </c>
      <c r="B20" s="94">
        <f>IFERROR(VLOOKUP($A20,Par!$A$10:$E$21,2,0),"")</f>
        <v/>
      </c>
      <c r="C20" s="158">
        <f>IFERROR(VLOOKUP($A20,Par!$A$10:$E$21,3,0),"")</f>
        <v/>
      </c>
      <c r="D20" s="96">
        <f>IFERROR(VLOOKUP($A20,Par!$A$10:$E$21,4,0),"")</f>
        <v/>
      </c>
      <c r="E20" s="94">
        <f>IFERROR(VLOOKUP($A20,Par!$A$10:$E$21,5,0),"")</f>
        <v/>
      </c>
      <c r="F20" s="96" t="inlineStr">
        <is>
          <t>Params</t>
        </is>
      </c>
      <c r="H20" s="156" t="inlineStr">
        <is>
          <t>برداشت نقدی از حساب</t>
        </is>
      </c>
      <c r="I20" s="157" t="inlineStr">
        <is>
          <t>OUT</t>
        </is>
      </c>
      <c r="J20" s="157" t="inlineStr">
        <is>
          <t>FIXED</t>
        </is>
      </c>
      <c r="K20" s="157" t="inlineStr">
        <is>
          <t>X003</t>
        </is>
      </c>
    </row>
    <row r="21">
      <c r="H21" s="156" t="inlineStr">
        <is>
          <t>انتقال پرداختی به حساب دیگر</t>
        </is>
      </c>
      <c r="I21" s="157" t="inlineStr">
        <is>
          <t>OUT</t>
        </is>
      </c>
      <c r="J21" s="157" t="inlineStr">
        <is>
          <t>CODE</t>
        </is>
      </c>
      <c r="K21" s="157" t="inlineStr"/>
    </row>
    <row r="22">
      <c r="H22" s="156" t="inlineStr">
        <is>
          <t>کارمزد و هزینه بانکی</t>
        </is>
      </c>
      <c r="I22" s="157" t="inlineStr">
        <is>
          <t>OUT</t>
        </is>
      </c>
      <c r="J22" s="157" t="inlineStr">
        <is>
          <t>FIXED</t>
        </is>
      </c>
      <c r="K22" s="157" t="inlineStr">
        <is>
          <t>X012</t>
        </is>
      </c>
    </row>
    <row r="23" ht="30" customHeight="1">
      <c r="A23" s="11" t="inlineStr">
        <is>
          <t>۰۲</t>
        </is>
      </c>
      <c r="B23" s="12" t="inlineStr">
        <is>
          <t>گروه‌های اصلی حساب  —  تعداد حساب‌های هر گروه، زنده از شیت Accounts</t>
        </is>
      </c>
      <c r="C23" s="110" t="n"/>
      <c r="D23" s="110" t="n"/>
      <c r="E23" s="110" t="n"/>
      <c r="F23" s="110" t="n"/>
      <c r="H23" s="156" t="inlineStr">
        <is>
          <t>پرداخت هزینه</t>
        </is>
      </c>
      <c r="I23" s="157" t="inlineStr">
        <is>
          <t>OUT</t>
        </is>
      </c>
      <c r="J23" s="157" t="inlineStr">
        <is>
          <t>CODE</t>
        </is>
      </c>
      <c r="K23" s="157" t="inlineStr"/>
    </row>
    <row r="24" ht="24" customHeight="1">
      <c r="A24" s="92" t="inlineStr">
        <is>
          <t>گروه</t>
        </is>
      </c>
      <c r="B24" s="92" t="inlineStr">
        <is>
          <t>تعداد حساب</t>
        </is>
      </c>
      <c r="C24" s="92" t="inlineStr">
        <is>
          <t>تعداد زیرگروه</t>
        </is>
      </c>
      <c r="D24" s="92" t="n"/>
      <c r="E24" s="92" t="n"/>
      <c r="F24" s="92" t="inlineStr">
        <is>
          <t>شیت منبع</t>
        </is>
      </c>
      <c r="H24" s="156" t="inlineStr">
        <is>
          <t>پرداخت انعام مصطفی</t>
        </is>
      </c>
      <c r="I24" s="157" t="inlineStr">
        <is>
          <t>OUT</t>
        </is>
      </c>
      <c r="J24" s="157" t="inlineStr">
        <is>
          <t>FIXED</t>
        </is>
      </c>
      <c r="K24" s="157" t="inlineStr">
        <is>
          <t>X001</t>
        </is>
      </c>
    </row>
    <row r="25" ht="21" customHeight="1">
      <c r="A25" s="93" t="inlineStr">
        <is>
          <t>باغدار</t>
        </is>
      </c>
      <c r="B25" s="158">
        <f>COUNTIF(Acc!$B$10:$B$259,$A25)</f>
        <v/>
      </c>
      <c r="C25" s="158">
        <f>COUNTIF(Grp!$A$10:$A$52,$A25)</f>
        <v/>
      </c>
      <c r="F25" s="96" t="inlineStr">
        <is>
          <t>Accounts / Groups</t>
        </is>
      </c>
      <c r="H25" s="156" t="inlineStr">
        <is>
          <t>پرداخت به باسکول دیگران</t>
        </is>
      </c>
      <c r="I25" s="157" t="inlineStr">
        <is>
          <t>OUT</t>
        </is>
      </c>
      <c r="J25" s="157" t="inlineStr">
        <is>
          <t>PICK</t>
        </is>
      </c>
      <c r="K25" s="157" t="inlineStr"/>
    </row>
    <row r="26" ht="21" customHeight="1">
      <c r="A26" s="93" t="inlineStr">
        <is>
          <t>بارفروش</t>
        </is>
      </c>
      <c r="B26" s="158">
        <f>COUNTIF(Acc!$B$10:$B$259,$A26)</f>
        <v/>
      </c>
      <c r="C26" s="158">
        <f>COUNTIF(Grp!$A$10:$A$52,$A26)</f>
        <v/>
      </c>
      <c r="F26" s="96" t="inlineStr">
        <is>
          <t>Accounts / Groups</t>
        </is>
      </c>
      <c r="H26" s="156" t="inlineStr">
        <is>
          <t>بازپرداخت تسهیلات</t>
        </is>
      </c>
      <c r="I26" s="157" t="inlineStr">
        <is>
          <t>OUT</t>
        </is>
      </c>
      <c r="J26" s="157" t="inlineStr">
        <is>
          <t>CODE</t>
        </is>
      </c>
      <c r="K26" s="157" t="inlineStr"/>
    </row>
    <row r="27" ht="21" customHeight="1">
      <c r="A27" s="93" t="inlineStr">
        <is>
          <t>فروشنده سبد</t>
        </is>
      </c>
      <c r="B27" s="158">
        <f>COUNTIF(Acc!$B$10:$B$259,$A27)</f>
        <v/>
      </c>
      <c r="C27" s="158">
        <f>COUNTIF(Grp!$A$10:$A$52,$A27)</f>
        <v/>
      </c>
      <c r="F27" s="96" t="inlineStr">
        <is>
          <t>Accounts / Groups</t>
        </is>
      </c>
      <c r="H27" s="156" t="inlineStr">
        <is>
          <t>پاس چک مشتری برگشتی</t>
        </is>
      </c>
      <c r="I27" s="157" t="inlineStr">
        <is>
          <t>OUT</t>
        </is>
      </c>
      <c r="J27" s="157" t="inlineStr">
        <is>
          <t>CODE</t>
        </is>
      </c>
      <c r="K27" s="157" t="inlineStr"/>
    </row>
    <row r="28" ht="21" customHeight="1">
      <c r="A28" s="93" t="inlineStr">
        <is>
          <t>تأمین‌کننده</t>
        </is>
      </c>
      <c r="B28" s="158">
        <f>COUNTIF(Acc!$B$10:$B$259,$A28)</f>
        <v/>
      </c>
      <c r="C28" s="158">
        <f>COUNTIF(Grp!$A$10:$A$52,$A28)</f>
        <v/>
      </c>
      <c r="F28" s="96" t="inlineStr">
        <is>
          <t>Accounts / Groups</t>
        </is>
      </c>
      <c r="H28" s="156" t="inlineStr">
        <is>
          <t>سایر پرداخت</t>
        </is>
      </c>
      <c r="I28" s="157" t="inlineStr">
        <is>
          <t>OUT</t>
        </is>
      </c>
      <c r="J28" s="157" t="inlineStr">
        <is>
          <t>CODE</t>
        </is>
      </c>
      <c r="K28" s="157" t="inlineStr"/>
    </row>
    <row r="29" ht="21" customHeight="1">
      <c r="A29" s="93" t="inlineStr">
        <is>
          <t>کارمند</t>
        </is>
      </c>
      <c r="B29" s="158">
        <f>COUNTIF(Acc!$B$10:$B$259,$A29)</f>
        <v/>
      </c>
      <c r="C29" s="158">
        <f>COUNTIF(Grp!$A$10:$A$52,$A29)</f>
        <v/>
      </c>
      <c r="F29" s="96" t="inlineStr">
        <is>
          <t>Accounts / Groups</t>
        </is>
      </c>
      <c r="H29" s="156" t="inlineStr">
        <is>
          <t>پرداخت به حساب شخصی رئیس</t>
        </is>
      </c>
      <c r="I29" s="157" t="inlineStr">
        <is>
          <t>OUT</t>
        </is>
      </c>
      <c r="J29" s="157" t="inlineStr">
        <is>
          <t>FIXED</t>
        </is>
      </c>
      <c r="K29" s="157" t="inlineStr">
        <is>
          <t>X021</t>
        </is>
      </c>
    </row>
    <row r="30" ht="21" customHeight="1">
      <c r="A30" s="93" t="inlineStr">
        <is>
          <t>سایر حساب</t>
        </is>
      </c>
      <c r="B30" s="158">
        <f>COUNTIF(Acc!$B$10:$B$259,$A30)</f>
        <v/>
      </c>
      <c r="C30" s="158">
        <f>COUNTIF(Grp!$A$10:$A$52,$A30)</f>
        <v/>
      </c>
      <c r="F30" s="96" t="inlineStr">
        <is>
          <t>Accounts / Groups</t>
        </is>
      </c>
      <c r="H30" s="156" t="inlineStr">
        <is>
          <t>دریافت از حساب شخصی رئیس</t>
        </is>
      </c>
      <c r="I30" s="157" t="inlineStr">
        <is>
          <t>IN</t>
        </is>
      </c>
      <c r="J30" s="157" t="inlineStr">
        <is>
          <t>FIXED</t>
        </is>
      </c>
      <c r="K30" s="157" t="inlineStr">
        <is>
          <t>X021</t>
        </is>
      </c>
    </row>
    <row r="31" ht="21" customHeight="1">
      <c r="A31" s="93" t="inlineStr">
        <is>
          <t>باسکول دیگران</t>
        </is>
      </c>
      <c r="B31" s="158">
        <f>COUNTIF(Acc!$B$10:$B$259,$A31)</f>
        <v/>
      </c>
      <c r="C31" s="158">
        <f>COUNTIF(Grp!$A$10:$A$52,$A31)</f>
        <v/>
      </c>
      <c r="F31" s="96" t="inlineStr">
        <is>
          <t>Accounts / Groups</t>
        </is>
      </c>
      <c r="H31" s="156" t="inlineStr">
        <is>
          <t>انتقال داخلی بین بانک‌ها</t>
        </is>
      </c>
      <c r="I31" s="157" t="inlineStr">
        <is>
          <t>TRF</t>
        </is>
      </c>
      <c r="J31" s="157" t="inlineStr">
        <is>
          <t>NONE</t>
        </is>
      </c>
      <c r="K31" s="157" t="inlineStr"/>
    </row>
    <row r="32" ht="21" customHeight="1">
      <c r="A32" s="93" t="inlineStr">
        <is>
          <t>دارایی ثابت</t>
        </is>
      </c>
      <c r="B32" s="158">
        <f>COUNTIF(Acc!$B$10:$B$259,$A32)</f>
        <v/>
      </c>
      <c r="C32" s="158">
        <f>COUNTIF(Grp!$A$10:$A$52,$A32)</f>
        <v/>
      </c>
      <c r="F32" s="96" t="inlineStr">
        <is>
          <t>Accounts / Groups</t>
        </is>
      </c>
      <c r="H32" s="156" t="inlineStr">
        <is>
          <t>تسویه دریافت (واسط)</t>
        </is>
      </c>
      <c r="I32" s="157" t="inlineStr">
        <is>
          <t>IN</t>
        </is>
      </c>
      <c r="J32" s="157" t="inlineStr">
        <is>
          <t>FIXED</t>
        </is>
      </c>
      <c r="K32" s="157" t="inlineStr">
        <is>
          <t>X011</t>
        </is>
      </c>
    </row>
    <row r="33" ht="21" customHeight="1">
      <c r="A33" s="93" t="inlineStr">
        <is>
          <t>وام و تسهیلات</t>
        </is>
      </c>
      <c r="B33" s="158">
        <f>COUNTIF(Acc!$B$10:$B$259,$A33)</f>
        <v/>
      </c>
      <c r="C33" s="158">
        <f>COUNTIF(Grp!$A$10:$A$52,$A33)</f>
        <v/>
      </c>
      <c r="F33" s="96" t="inlineStr">
        <is>
          <t>Accounts / Groups</t>
        </is>
      </c>
      <c r="H33" s="156" t="inlineStr">
        <is>
          <t>تسویه پرداخت (واسط)</t>
        </is>
      </c>
      <c r="I33" s="157" t="inlineStr">
        <is>
          <t>OUT</t>
        </is>
      </c>
      <c r="J33" s="157" t="inlineStr">
        <is>
          <t>FIXED</t>
        </is>
      </c>
      <c r="K33" s="157" t="inlineStr">
        <is>
          <t>X011</t>
        </is>
      </c>
    </row>
    <row r="34" ht="21" customHeight="1">
      <c r="A34" s="93" t="inlineStr">
        <is>
          <t>سرمایه و آورده صاحبان</t>
        </is>
      </c>
      <c r="B34" s="158">
        <f>COUNTIF(Acc!$B$10:$B$259,$A34)</f>
        <v/>
      </c>
      <c r="C34" s="158">
        <f>COUNTIF(Grp!$A$10:$A$52,$A34)</f>
        <v/>
      </c>
      <c r="F34" s="96" t="inlineStr">
        <is>
          <t>Accounts / Groups</t>
        </is>
      </c>
    </row>
    <row r="35" ht="21" customHeight="1">
      <c r="A35" s="93" t="inlineStr">
        <is>
          <t>بانک و صندوق</t>
        </is>
      </c>
      <c r="B35" s="158">
        <f>COUNTIF(Acc!$B$10:$B$259,$A35)</f>
        <v/>
      </c>
      <c r="C35" s="158">
        <f>COUNTIF(Grp!$A$10:$A$52,$A35)</f>
        <v/>
      </c>
      <c r="F35" s="96" t="inlineStr">
        <is>
          <t>Accounts / Groups</t>
        </is>
      </c>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3.xml><?xml version="1.0" encoding="utf-8"?>
<worksheet xmlns="http://schemas.openxmlformats.org/spreadsheetml/2006/main">
  <sheetPr>
    <tabColor rgb="FF14453D"/>
    <outlinePr summaryBelow="1" summaryRight="1"/>
    <pageSetUpPr fitToPage="1"/>
  </sheetPr>
  <dimension ref="A1:J123"/>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9" t="inlineStr">
        <is>
          <t xml:space="preserve">  این فایل چیست و چرا «مادر» است؟</t>
        </is>
      </c>
    </row>
    <row r="9" ht="21" customHeight="1">
      <c r="A9" s="99" t="inlineStr">
        <is>
          <t>۲</t>
        </is>
      </c>
      <c r="B9" s="159" t="inlineStr">
        <is>
          <t xml:space="preserve">  نقشه فایل‌ها و جریان داده</t>
        </is>
      </c>
    </row>
    <row r="10" ht="21" customHeight="1">
      <c r="A10" s="99" t="inlineStr">
        <is>
          <t>۳</t>
        </is>
      </c>
      <c r="B10" s="159" t="inlineStr">
        <is>
          <t xml:space="preserve">  قواعد کدگذاری</t>
        </is>
      </c>
    </row>
    <row r="11" ht="21" customHeight="1">
      <c r="A11" s="99" t="inlineStr">
        <is>
          <t>۴</t>
        </is>
      </c>
      <c r="B11" s="159" t="inlineStr">
        <is>
          <t xml:space="preserve">  دفتر حساب‌ها (Accounts)</t>
        </is>
      </c>
    </row>
    <row r="12" ht="21" customHeight="1">
      <c r="A12" s="99" t="inlineStr">
        <is>
          <t>۵</t>
        </is>
      </c>
      <c r="B12" s="159" t="inlineStr">
        <is>
          <t xml:space="preserve">  گروه‌ها و زیرگروه‌ها</t>
        </is>
      </c>
    </row>
    <row r="13" ht="21" customHeight="1">
      <c r="A13" s="99" t="inlineStr">
        <is>
          <t>۶</t>
        </is>
      </c>
      <c r="B13" s="159" t="inlineStr">
        <is>
          <t xml:space="preserve">  عملیات و قواعد بدهکار/بستانکار</t>
        </is>
      </c>
    </row>
    <row r="14" ht="21" customHeight="1">
      <c r="A14" s="99" t="inlineStr">
        <is>
          <t>۷</t>
        </is>
      </c>
      <c r="B14" s="159" t="inlineStr">
        <is>
          <t xml:space="preserve">  پارامترهای محاسباتی</t>
        </is>
      </c>
    </row>
    <row r="15" ht="21" customHeight="1">
      <c r="A15" s="99" t="inlineStr">
        <is>
          <t>۸</t>
        </is>
      </c>
      <c r="B15" s="159" t="inlineStr">
        <is>
          <t xml:space="preserve">  سبدها و وزن تار</t>
        </is>
      </c>
    </row>
    <row r="16" ht="21" customHeight="1">
      <c r="A16" s="99" t="inlineStr">
        <is>
          <t>۹</t>
        </is>
      </c>
      <c r="B16" s="159" t="inlineStr">
        <is>
          <t xml:space="preserve">  محصولات، بانک‌ها و پوز</t>
        </is>
      </c>
    </row>
    <row r="17" ht="21" customHeight="1">
      <c r="A17" s="99" t="inlineStr">
        <is>
          <t>۱۰</t>
        </is>
      </c>
      <c r="B17" s="159" t="inlineStr">
        <is>
          <t xml:space="preserve">  افزودن حساب / عملیات جدید — گام‌به‌گام</t>
        </is>
      </c>
    </row>
    <row r="18" ht="21" customHeight="1">
      <c r="A18" s="99" t="inlineStr">
        <is>
          <t>۱۱</t>
        </is>
      </c>
      <c r="B18" s="159" t="inlineStr">
        <is>
          <t xml:space="preserve">  همگام‌سازی و Update Links</t>
        </is>
      </c>
    </row>
    <row r="19" ht="21" customHeight="1">
      <c r="A19" s="99" t="inlineStr">
        <is>
          <t>۱۲</t>
        </is>
      </c>
      <c r="B19" s="159" t="inlineStr">
        <is>
          <t xml:space="preserve">  ترازنامه، فاکتور و گزارش‌ها</t>
        </is>
      </c>
    </row>
    <row r="20" ht="21" customHeight="1">
      <c r="A20" s="99" t="inlineStr">
        <is>
          <t>۱۳</t>
        </is>
      </c>
      <c r="B20" s="159" t="inlineStr">
        <is>
          <t xml:space="preserve">  عیب‌یابی فرمول‌ها</t>
        </is>
      </c>
    </row>
    <row r="21" ht="21" customHeight="1">
      <c r="A21" s="99" t="inlineStr">
        <is>
          <t>۱۴</t>
        </is>
      </c>
      <c r="B21" s="159" t="inlineStr">
        <is>
          <t xml:space="preserve">  پشتیبان‌گیری و نگهداری</t>
        </is>
      </c>
    </row>
    <row r="22" ht="21" customHeight="1">
      <c r="A22" s="99" t="inlineStr">
        <is>
          <t>۱۵</t>
        </is>
      </c>
      <c r="B22" s="159" t="inlineStr">
        <is>
          <t xml:space="preserve">  واژه‌نامه</t>
        </is>
      </c>
    </row>
    <row r="23" ht="21" customHeight="1">
      <c r="A23" s="99" t="inlineStr">
        <is>
          <t>۱۶</t>
        </is>
      </c>
      <c r="B23" s="159"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60" t="inlineStr">
        <is>
          <t>•  کدها را تغییر ندهید؛ عنوان‌ها را آزادانه عوض کنید.</t>
        </is>
      </c>
    </row>
    <row r="111" ht="20.25" customHeight="1">
      <c r="B111" s="160" t="inlineStr">
        <is>
          <t>•  ردیف تازه = ردیف خالی بعدی؛ بین ردیف‌ها ردیف خالی نگذارید.</t>
        </is>
      </c>
    </row>
    <row r="112" ht="20.25" customHeight="1">
      <c r="B112" s="160" t="inlineStr">
        <is>
          <t>•  برای حذف، محتوای سلول را پاک کنید؛ ردیف را حذف نکنید.</t>
        </is>
      </c>
    </row>
    <row r="113" ht="20.25" customHeight="1">
      <c r="B113" s="160" t="inlineStr">
        <is>
          <t>•  همه فایل‌ها در یک پوشه؛ مسیر لینک نسبی است.</t>
        </is>
      </c>
    </row>
    <row r="114" ht="20.25" customHeight="1">
      <c r="B114" s="160" t="inlineStr">
        <is>
          <t>•  بعد از هر تغییر INFO: Data → Edit Links → Update Values.</t>
        </is>
      </c>
    </row>
    <row r="115" ht="20.25" customHeight="1">
      <c r="B115" s="160" t="inlineStr">
        <is>
          <t>•  تاریخ شمسی 1405/07/10؛ ساعت 09:30؛ اعداد با ارقام لاتین.</t>
        </is>
      </c>
    </row>
    <row r="116" ht="20.25" customHeight="1">
      <c r="B116" s="160" t="inlineStr">
        <is>
          <t>•  قبل از تغییرات بزرگ، نسخه پشتیبان بگیرید.</t>
        </is>
      </c>
    </row>
    <row r="117" ht="20.25" customHeight="1">
      <c r="B117" s="160" t="inlineStr">
        <is>
          <t>•  ترازنامه‌ای که تراز نیست، گزارش نیست؛ اول اختلاف را پیدا کنید.</t>
        </is>
      </c>
    </row>
    <row r="118"/>
    <row r="119">
      <c r="A119" s="161" t="inlineStr">
        <is>
          <t>۰۹   سری جدید (v03) — چه چیزهایی اضافه شد؟</t>
        </is>
      </c>
      <c r="B119" s="154" t="n"/>
      <c r="C119" s="154" t="n"/>
      <c r="D119" s="154" t="n"/>
      <c r="E119" s="154" t="n"/>
      <c r="F119" s="154" t="n"/>
      <c r="G119" s="154" t="n"/>
      <c r="H119" s="154" t="n"/>
      <c r="I119" s="154" t="n"/>
      <c r="J119" s="155" t="n"/>
    </row>
    <row r="120">
      <c r="A120" s="162" t="inlineStr">
        <is>
          <t>• فایل تراکنش‌ها (02_Bank) بازنویسی شد: کشوی بانک عامل، کد طرف حساب تایپی، انتقال داخلی با بانک مبدأ و مقصد، دفتر چک و پنج شیت تحلیل با نمودار.</t>
        </is>
      </c>
      <c r="B120" s="154" t="n"/>
      <c r="C120" s="154" t="n"/>
      <c r="D120" s="154" t="n"/>
      <c r="E120" s="154" t="n"/>
      <c r="F120" s="154" t="n"/>
      <c r="G120" s="154" t="n"/>
      <c r="H120" s="154" t="n"/>
      <c r="I120" s="154" t="n"/>
      <c r="J120" s="155" t="n"/>
    </row>
    <row r="121">
      <c r="A121" s="163" t="inlineStr">
        <is>
          <t>• داشبورد (08_Dash) اضافه شد: وزن، مبلغ، بانک‌ها، پز و طرف حساب‌ها در یک صفحه.</t>
        </is>
      </c>
      <c r="B121" s="154" t="n"/>
      <c r="C121" s="154" t="n"/>
      <c r="D121" s="154" t="n"/>
      <c r="E121" s="154" t="n"/>
      <c r="F121" s="154" t="n"/>
      <c r="G121" s="154" t="n"/>
      <c r="H121" s="154" t="n"/>
      <c r="I121" s="154" t="n"/>
      <c r="J121" s="155" t="n"/>
    </row>
    <row r="122">
      <c r="A122" s="162" t="inlineStr">
        <is>
          <t>• همه فهرست‌های کشویی در همین فایل تعریف شده‌اند؛ شیت List ستون‌های S، T و U سه فهرست جدید است.</t>
        </is>
      </c>
      <c r="B122" s="154" t="n"/>
      <c r="C122" s="154" t="n"/>
      <c r="D122" s="154" t="n"/>
      <c r="E122" s="154" t="n"/>
      <c r="F122" s="154" t="n"/>
      <c r="G122" s="154" t="n"/>
      <c r="H122" s="154" t="n"/>
      <c r="I122" s="154" t="n"/>
      <c r="J122" s="155" t="n"/>
    </row>
    <row r="123">
      <c r="A123" s="163" t="inlineStr">
        <is>
          <t>• همه شیت‌ها راست‌به‌چپ و آماده چاپ A4 هستند.</t>
        </is>
      </c>
      <c r="B123" s="154" t="n"/>
      <c r="C123" s="154" t="n"/>
      <c r="D123" s="154" t="n"/>
      <c r="E123" s="154" t="n"/>
      <c r="F123" s="154" t="n"/>
      <c r="G123" s="154" t="n"/>
      <c r="H123" s="154" t="n"/>
      <c r="I123" s="154" t="n"/>
      <c r="J123" s="155" t="n"/>
    </row>
  </sheetData>
  <sheetProtection selectLockedCells="0" selectUnlockedCells="1" sheet="1" objects="1" insertRows="1" insertHyperlinks="1" autoFilter="1" scenarios="1" formatColumns="1" deleteColumns="1" insertColumns="1" pivotTables="1" deleteRows="1" formatCells="1" formatRows="1" sort="1"/>
  <mergeCells count="104">
    <mergeCell ref="B67:J67"/>
    <mergeCell ref="B61:J61"/>
    <mergeCell ref="B101:J101"/>
    <mergeCell ref="B14:J14"/>
    <mergeCell ref="B23:J23"/>
    <mergeCell ref="B13:J13"/>
    <mergeCell ref="B69:J69"/>
    <mergeCell ref="B38:J38"/>
    <mergeCell ref="B78:J78"/>
    <mergeCell ref="B112:J112"/>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B44:J44"/>
    <mergeCell ref="B19:J19"/>
    <mergeCell ref="B34:J34"/>
    <mergeCell ref="B28:J28"/>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B8:J8"/>
    <mergeCell ref="G1:J1"/>
    <mergeCell ref="B73:J73"/>
    <mergeCell ref="B10:J10"/>
    <mergeCell ref="B65:J65"/>
    <mergeCell ref="B74:J74"/>
    <mergeCell ref="B68:J68"/>
    <mergeCell ref="B114:J114"/>
    <mergeCell ref="B36:J36"/>
    <mergeCell ref="B50:J50"/>
    <mergeCell ref="B110:J110"/>
    <mergeCell ref="B113:J113"/>
    <mergeCell ref="B91:J91"/>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2026-10-25T14:04:28Z</dcterms:modified>
  <cp:lastModifiedBy>مازندشت</cp:lastModifiedBy>
</cp:coreProperties>
</file>