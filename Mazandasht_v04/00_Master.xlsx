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Shrk" sheetId="6" state="visible" r:id="rId6"/>
    <sheet name="Cls" sheetId="7" state="visible" r:id="rId7"/>
    <sheet name="Op" sheetId="8" state="visible" r:id="rId8"/>
    <sheet name="Bsk" sheetId="9" state="visible" r:id="rId9"/>
    <sheet name="Prd" sheetId="10" state="visible" r:id="rId10"/>
    <sheet name="Bnk" sheetId="11" state="visible" r:id="rId11"/>
    <sheet name="List" sheetId="12" state="visible" r:id="rId12"/>
    <sheet name="Sync" sheetId="13" state="visible" r:id="rId13"/>
    <sheet name="Help" sheetId="14" state="visible" r:id="rId14"/>
  </sheets>
  <definedNames>
    <definedName name="AcctCodes">Acc!$A$10:$A$281</definedName>
    <definedName name="AcctTbl">Acc!$A$10:$J$281</definedName>
    <definedName name="BankTbl">Bnk!$A$10:$G$19</definedName>
    <definedName name="BasketTbl">Bsk!$B$10:$F$21</definedName>
    <definedName name="GroupTbl">Grp!$A$10:$F$52</definedName>
    <definedName name="ListAllCodes">OFFSET(Sync!$B$10,0,0,MAX(COUNTIF(Sync!$C$10:$C$281,"?*"),1),1)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List!$S$10:$S$38</definedName>
    <definedName name="ListOtherScalesLabel">List!$T$10:$T$29</definedName>
    <definedName name="ListBankNames">List!$U$10:$U$19</definedName>
    <definedName name="ShrkTbl">Shrk!$A$12:$D$31</definedName>
    <definedName name="ListShrk">OFFSET(Shrk!$A$12,0,0,MAX(COUNTIF(Shrk!$B$12:$B$31,"?*"),1),1)</definedName>
    <definedName name="ListShrkNames">OFFSET(Shrk!$B$12,0,0,MAX(COUNTIF(Shrk!$B$12:$B$31,"?*"),1),1)</definedName>
    <definedName name="_xlnm.Print_Area" localSheetId="0">'Home'!$A$1:$J$55</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'Grp'!$A$1:$E$52</definedName>
    <definedName name="_xlnm._FilterDatabase" localSheetId="4" hidden="1">'Acc'!$A$8:$M$259</definedName>
    <definedName name="_xlnm.Print_Titles" localSheetId="4">'Acc'!$8:$9</definedName>
    <definedName name="_xlnm.Print_Area" localSheetId="4">'Acc'!$A$1:$M$282</definedName>
    <definedName name="_xlnm.Print_Titles" localSheetId="5">'Shrk'!$10:$11</definedName>
    <definedName name="_xlnm.Print_Area" localSheetId="5">'Shrk'!$A$1:$K$34</definedName>
    <definedName name="_xlnm.Print_Titles" localSheetId="6">'Cls'!$8:$9</definedName>
    <definedName name="_xlnm.Print_Area" localSheetId="6">'Cls'!$A$1:$G$51</definedName>
    <definedName name="_xlnm._FilterDatabase" localSheetId="7" hidden="1">'Op'!$A$8:$S$34</definedName>
    <definedName name="_xlnm.Print_Titles" localSheetId="7">'Op'!$7:$9</definedName>
    <definedName name="_xlnm.Print_Area" localSheetId="7">'Op'!$A$1:$S$33</definedName>
    <definedName name="_xlnm._FilterDatabase" localSheetId="8" hidden="1">'Bsk'!$A$8:$J$22</definedName>
    <definedName name="_xlnm.Print_Titles" localSheetId="8">'Bsk'!$7:$9</definedName>
    <definedName name="_xlnm.Print_Area" localSheetId="8">'Bsk'!$A$1:$J$24</definedName>
    <definedName name="_xlnm._FilterDatabase" localSheetId="9" hidden="1">'Prd'!$A$8:$G$30</definedName>
    <definedName name="_xlnm.Print_Titles" localSheetId="9">'Prd'!$7:$9</definedName>
    <definedName name="_xlnm.Print_Area" localSheetId="9">'Prd'!$A$1:$G$32</definedName>
    <definedName name="_xlnm._FilterDatabase" localSheetId="10" hidden="1">'Bnk'!$A$8:$G$20</definedName>
    <definedName name="_xlnm.Print_Titles" localSheetId="10">'Bnk'!$7:$9</definedName>
    <definedName name="_xlnm.Print_Area" localSheetId="10">'Bnk'!$A$1:$G$22</definedName>
    <definedName name="_xlnm.Print_Titles" localSheetId="11">'List'!$8:$9</definedName>
    <definedName name="_xlnm.Print_Area" localSheetId="11">'List'!$A$1:$R$31</definedName>
    <definedName name="_xlnm.Print_Area" localSheetId="12">'Sync'!$A$1:$K$50</definedName>
    <definedName name="_xlnm.Print_Area" localSheetId="13">'Help'!$A$1:$J$131</definedName>
  </definedNames>
  <calcPr calcId="124519" fullCalcOnLoad="1"/>
</workbook>
</file>

<file path=xl/styles.xml><?xml version="1.0" encoding="utf-8"?>
<styleSheet xmlns="http://schemas.openxmlformats.org/spreadsheetml/2006/main">
  <numFmts count="5">
    <numFmt numFmtId="164" formatCode="#,##0;[Red]-#,##0"/>
    <numFmt numFmtId="165" formatCode="0.0%"/>
    <numFmt numFmtId="166" formatCode="#,##0.00;[Red]-#,##0.00"/>
    <numFmt numFmtId="167" formatCode="#,##0;[Red](#,##0)"/>
    <numFmt numFmtId="168" formatCode="0&quot;٪&quot;"/>
  </numFmts>
  <fonts count="107">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Tahoma"/>
      <b val="1"/>
      <color rgb="FFD8E6DF"/>
      <sz val="8"/>
    </font>
    <font>
      <name val="B Titr"/>
      <b val="1"/>
      <color rgb="FFFFFFFF"/>
      <sz val="22"/>
    </font>
    <font>
      <name val="B Nazanin"/>
      <color rgb="FFD8E6DF"/>
      <sz val="11"/>
    </font>
    <font>
      <name val="B Nazanin"/>
      <b val="1"/>
      <color rgb="FF6B7A76"/>
      <sz val="8"/>
    </font>
    <font>
      <name val="Tahoma"/>
      <b val="1"/>
      <color rgb="FF14453D"/>
      <sz val="16"/>
    </font>
    <font>
      <name val="Tahoma"/>
      <b val="1"/>
      <color rgb="FF3F7A57"/>
      <sz val="16"/>
    </font>
    <font>
      <name val="Tahoma"/>
      <b val="1"/>
      <color rgb="FFC89B3C"/>
      <sz val="16"/>
    </font>
    <font>
      <name val="Tahoma"/>
      <b val="1"/>
      <color rgb="FFC4623F"/>
      <sz val="16"/>
    </font>
    <font>
      <name val="Tahoma"/>
      <b val="1"/>
      <color rgb="FF2B5C7A"/>
      <sz val="16"/>
    </font>
    <font>
      <name val="Tahoma"/>
      <b val="1"/>
      <color rgb="FFEFDFB8"/>
      <sz val="9"/>
    </font>
    <font>
      <name val="B Nazanin"/>
      <b val="1"/>
      <color rgb="FFFFFFFF"/>
      <sz val="9"/>
    </font>
    <font>
      <name val="Tahoma"/>
      <color rgb="FFD8E6DF"/>
      <sz val="7.5"/>
    </font>
    <font>
      <name val="Tahoma"/>
      <color rgb="FF2B2A26"/>
      <sz val="10"/>
    </font>
    <font>
      <name val="Tahoma"/>
      <color rgb="FF14453D"/>
      <sz val="10"/>
    </font>
    <font>
      <name val="B Nazanin"/>
      <b val="1"/>
      <color rgb="FFFFFFFF"/>
      <sz val="10.5"/>
    </font>
    <font>
      <name val="B Nazanin"/>
      <b val="1"/>
      <color rgb="FFFFFFFF"/>
      <sz val="11"/>
    </font>
    <font>
      <name val="B Nazanin"/>
      <b val="1"/>
      <color rgb="00FFFFFF"/>
      <sz val="10.5"/>
    </font>
    <font>
      <name val="B Nazanin"/>
      <b val="1"/>
      <color rgb="0014453D"/>
      <sz val="9"/>
    </font>
  </fonts>
  <fills count="35">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FFC89B3C"/>
      </patternFill>
    </fill>
    <fill>
      <patternFill patternType="solid">
        <fgColor rgb="FFFFF4D6"/>
      </patternFill>
    </fill>
    <fill>
      <patternFill patternType="solid">
        <fgColor rgb="FFE4F0E8"/>
      </patternFill>
    </fill>
    <fill>
      <patternFill patternType="solid">
        <fgColor rgb="FFF3EADB"/>
      </patternFill>
    </fill>
    <fill>
      <patternFill patternType="solid">
        <fgColor rgb="FFC4623F"/>
      </patternFill>
    </fill>
    <fill>
      <patternFill patternType="solid">
        <fgColor rgb="00E4F0E8"/>
      </patternFill>
    </fill>
  </fills>
  <borders count="84">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bottom style="thin">
        <color rgb="FF14453D"/>
      </bottom>
    </border>
    <border>
      <left/>
      <right/>
      <top/>
      <bottom style="thin">
        <color rgb="FF14453D"/>
      </bottom>
      <diagonal/>
    </border>
    <border>
      <left style="thin">
        <color rgb="FF14453D"/>
      </left>
      <right style="thin">
        <color rgb="FF14453D"/>
      </right>
      <top style="thin">
        <color rgb="FF14453D"/>
      </top>
      <bottom style="thin">
        <color rgb="FF14453D"/>
      </bottom>
    </border>
    <border>
      <bottom style="thin">
        <color rgb="FFEDE6D8"/>
      </bottom>
    </border>
    <border>
      <left style="thin">
        <color rgb="FFC4623F"/>
      </left>
      <right style="thin">
        <color rgb="FFC4623F"/>
      </right>
      <top style="thin">
        <color rgb="FFC4623F"/>
      </top>
      <bottom style="thin">
        <color rgb="FFC4623F"/>
      </bottom>
    </border>
    <border>
      <left style="thin">
        <color rgb="FFEDE6D8"/>
      </left>
      <right style="thin">
        <color rgb="FFEDE6D8"/>
      </right>
      <top style="thin">
        <color rgb="FFEDE6D8"/>
      </top>
      <bottom style="thin">
        <color rgb="FFEDE6D8"/>
      </bottom>
    </border>
    <border>
      <left/>
      <right/>
      <top style="thin">
        <color rgb="FFC4623F"/>
      </top>
      <bottom/>
      <diagonal/>
    </border>
    <border>
      <left/>
      <right style="thin">
        <color rgb="FFC4623F"/>
      </right>
      <top style="thin">
        <color rgb="FFC4623F"/>
      </top>
      <bottom/>
      <diagonal/>
    </border>
    <border>
      <left/>
      <right/>
      <top style="thin">
        <color rgb="FFC4623F"/>
      </top>
      <bottom style="thin">
        <color rgb="FFC4623F"/>
      </bottom>
      <diagonal/>
    </border>
    <border>
      <left/>
      <right style="thin">
        <color rgb="FFC4623F"/>
      </right>
      <top style="thin">
        <color rgb="FFC4623F"/>
      </top>
      <bottom style="thin">
        <color rgb="FFC4623F"/>
      </bottom>
      <diagonal/>
    </border>
    <border>
      <right/>
      <bottom style="thin">
        <color rgb="FFEDE6D8"/>
      </bottom>
    </border>
    <border>
      <left/>
      <right/>
      <top/>
      <bottom style="thin">
        <color rgb="FFEDE6D8"/>
      </bottom>
      <diagonal/>
    </border>
    <border>
      <right/>
      <bottom style="thin">
        <color rgb="FF14453D"/>
      </bottom>
    </border>
    <border>
      <left/>
      <right/>
      <top style="thin">
        <color rgb="FFEDE6D8"/>
      </top>
      <bottom/>
      <diagonal/>
    </border>
    <border>
      <left/>
      <right style="thin">
        <color rgb="FFEDE6D8"/>
      </right>
      <top style="thin">
        <color rgb="FFEDE6D8"/>
      </top>
      <bottom/>
      <diagonal/>
    </border>
    <border>
      <left/>
      <right/>
      <top style="thin">
        <color rgb="FFEDE6D8"/>
      </top>
      <bottom style="thin">
        <color rgb="FFEDE6D8"/>
      </bottom>
      <diagonal/>
    </border>
    <border>
      <left/>
      <right style="thin">
        <color rgb="FFEDE6D8"/>
      </right>
      <top style="thin">
        <color rgb="FFEDE6D8"/>
      </top>
      <bottom style="thin">
        <color rgb="FFEDE6D8"/>
      </bottom>
      <diagonal/>
    </border>
    <border>
      <left/>
      <right/>
      <top style="thin">
        <color rgb="FF14453D"/>
      </top>
      <bottom/>
      <diagonal/>
    </border>
    <border>
      <left/>
      <right style="thin">
        <color rgb="FF14453D"/>
      </right>
      <top style="thin">
        <color rgb="FF14453D"/>
      </top>
      <bottom/>
      <diagonal/>
    </border>
    <border>
      <left/>
      <right/>
      <top style="thin">
        <color rgb="FF14453D"/>
      </top>
      <bottom style="thin">
        <color rgb="FF14453D"/>
      </bottom>
      <diagonal/>
    </border>
    <border>
      <left/>
      <right style="thin">
        <color rgb="FF14453D"/>
      </right>
      <top style="thin">
        <color rgb="FF14453D"/>
      </top>
      <bottom style="thin">
        <color rgb="FF14453D"/>
      </bottom>
      <diagonal/>
    </border>
    <border>
      <left style="thin">
        <color rgb="00D8D2C2"/>
      </left>
      <right style="thin">
        <color rgb="00D8D2C2"/>
      </right>
      <top style="thin">
        <color rgb="00D8D2C2"/>
      </top>
      <bottom style="thin">
        <color rgb="00D8D2C2"/>
      </bottom>
    </border>
    <border>
      <left/>
      <right/>
      <top style="thin">
        <color rgb="00D8D2C2"/>
      </top>
      <bottom/>
      <diagonal/>
    </border>
    <border>
      <left/>
      <right style="thin">
        <color rgb="00D8D2C2"/>
      </right>
      <top style="thin">
        <color rgb="00D8D2C2"/>
      </top>
      <bottom/>
      <diagonal/>
    </border>
    <border>
      <left/>
      <right/>
      <top style="thin">
        <color rgb="00D8D2C2"/>
      </top>
      <bottom style="thin">
        <color rgb="00D8D2C2"/>
      </bottom>
      <diagonal/>
    </border>
    <border>
      <left/>
      <right style="thin">
        <color rgb="00D8D2C2"/>
      </right>
      <top style="thin">
        <color rgb="00D8D2C2"/>
      </top>
      <bottom style="thin">
        <color rgb="00D8D2C2"/>
      </bottom>
      <diagonal/>
    </border>
  </borders>
  <cellStyleXfs count="1">
    <xf numFmtId="0" fontId="0" fillId="0" borderId="13"/>
  </cellStyleXfs>
  <cellXfs count="228">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103" fillId="33" borderId="62" applyAlignment="1" pivotButton="0" quotePrefix="0" xfId="0">
      <alignment horizontal="right" vertical="center" readingOrder="2"/>
    </xf>
    <xf numFmtId="0" fontId="74" fillId="22" borderId="50" applyAlignment="1" pivotButton="0" quotePrefix="0" xfId="0">
      <alignment horizontal="center" vertical="center" readingOrder="2"/>
    </xf>
    <xf numFmtId="0" fontId="89" fillId="20" borderId="13" applyAlignment="1" pivotButton="0" quotePrefix="0" xfId="0">
      <alignment horizontal="right" vertical="center" readingOrder="2"/>
    </xf>
    <xf numFmtId="0" fontId="90" fillId="20" borderId="13" applyAlignment="1" pivotButton="0" quotePrefix="0" xfId="0">
      <alignment horizontal="right" vertical="center" readingOrder="2"/>
    </xf>
    <xf numFmtId="0" fontId="91" fillId="20" borderId="13" applyAlignment="1" pivotButton="0" quotePrefix="0" xfId="0">
      <alignment horizontal="right" vertical="center" readingOrder="2"/>
    </xf>
    <xf numFmtId="0" fontId="0" fillId="29" borderId="0" pivotButton="0" quotePrefix="0" xfId="0"/>
    <xf numFmtId="0" fontId="92" fillId="21" borderId="50" applyAlignment="1" pivotButton="0" quotePrefix="0" xfId="0">
      <alignment horizontal="center" vertical="center" readingOrder="2"/>
    </xf>
    <xf numFmtId="0" fontId="0" fillId="21" borderId="50" pivotButton="0" quotePrefix="0" xfId="0"/>
    <xf numFmtId="3" fontId="93" fillId="22" borderId="50" applyAlignment="1" pivotButton="0" quotePrefix="0" xfId="0">
      <alignment horizontal="center" vertical="center" readingOrder="2"/>
    </xf>
    <xf numFmtId="0" fontId="0" fillId="22" borderId="50" pivotButton="0" quotePrefix="0" xfId="0"/>
    <xf numFmtId="3" fontId="94" fillId="22" borderId="50" applyAlignment="1" pivotButton="0" quotePrefix="0" xfId="0">
      <alignment horizontal="center" vertical="center" readingOrder="2"/>
    </xf>
    <xf numFmtId="168" fontId="95" fillId="22" borderId="50" applyAlignment="1" pivotButton="0" quotePrefix="0" xfId="0">
      <alignment horizontal="center" vertical="center" readingOrder="2"/>
    </xf>
    <xf numFmtId="168" fontId="96" fillId="22" borderId="50" applyAlignment="1" pivotButton="0" quotePrefix="0" xfId="0">
      <alignment horizontal="center" vertical="center" readingOrder="2"/>
    </xf>
    <xf numFmtId="3" fontId="97" fillId="22" borderId="50" applyAlignment="1" pivotButton="0" quotePrefix="0" xfId="0">
      <alignment horizontal="center" vertical="center" readingOrder="2"/>
    </xf>
    <xf numFmtId="0" fontId="78" fillId="20" borderId="58" applyAlignment="1" pivotButton="0" quotePrefix="0" xfId="0">
      <alignment horizontal="right" vertical="center" readingOrder="2"/>
    </xf>
    <xf numFmtId="0" fontId="0" fillId="0" borderId="59" pivotButton="0" quotePrefix="0" xfId="0"/>
    <xf numFmtId="0" fontId="98" fillId="20" borderId="58" applyAlignment="1" pivotButton="0" quotePrefix="0" xfId="0">
      <alignment horizontal="center" vertical="center" readingOrder="2"/>
    </xf>
    <xf numFmtId="0" fontId="99" fillId="20" borderId="60" applyAlignment="1" pivotButton="0" quotePrefix="0" xfId="0">
      <alignment horizontal="center" vertical="center" wrapText="1" readingOrder="2"/>
    </xf>
    <xf numFmtId="0" fontId="100" fillId="20" borderId="50" applyAlignment="1" pivotButton="0" quotePrefix="0" xfId="0">
      <alignment horizontal="center" vertical="center" readingOrder="2"/>
    </xf>
    <xf numFmtId="0" fontId="101" fillId="22" borderId="50" applyAlignment="1" pivotButton="0" quotePrefix="0" xfId="0">
      <alignment horizontal="center" vertical="center" readingOrder="2"/>
    </xf>
    <xf numFmtId="0" fontId="79" fillId="30" borderId="50" applyAlignment="1" pivotButton="0" quotePrefix="0" xfId="0">
      <alignment horizontal="right" vertical="center" readingOrder="2"/>
    </xf>
    <xf numFmtId="168" fontId="101" fillId="30" borderId="50" applyAlignment="1" pivotButton="0" quotePrefix="0" xfId="0">
      <alignment horizontal="center" vertical="center" readingOrder="2"/>
    </xf>
    <xf numFmtId="168" fontId="102" fillId="31" borderId="50" applyAlignment="1" pivotButton="0" quotePrefix="0" xfId="0">
      <alignment horizontal="center" vertical="center" readingOrder="2"/>
    </xf>
    <xf numFmtId="0" fontId="79" fillId="22" borderId="50" applyAlignment="1" pivotButton="0" quotePrefix="0" xfId="0">
      <alignment horizontal="right" vertical="center" readingOrder="2"/>
    </xf>
    <xf numFmtId="0" fontId="101" fillId="30" borderId="50" applyAlignment="1" pivotButton="0" quotePrefix="0" xfId="0">
      <alignment horizontal="center" vertical="center" readingOrder="2"/>
    </xf>
    <xf numFmtId="0" fontId="79" fillId="30" borderId="50" applyAlignment="1" pivotButton="0" quotePrefix="0" xfId="0">
      <alignment horizontal="center" vertical="center" readingOrder="2"/>
    </xf>
    <xf numFmtId="0" fontId="101" fillId="21" borderId="50" applyAlignment="1" pivotButton="0" quotePrefix="0" xfId="0">
      <alignment horizontal="center" vertical="center" readingOrder="2"/>
    </xf>
    <xf numFmtId="0" fontId="79" fillId="21" borderId="50" applyAlignment="1" pivotButton="0" quotePrefix="0" xfId="0">
      <alignment horizontal="right" vertical="center" readingOrder="2"/>
    </xf>
    <xf numFmtId="0" fontId="0" fillId="21" borderId="0" pivotButton="0" quotePrefix="0" xfId="0"/>
    <xf numFmtId="168" fontId="102" fillId="21" borderId="50" applyAlignment="1" pivotButton="0" quotePrefix="0" xfId="0">
      <alignment horizontal="center" vertical="center" readingOrder="2"/>
    </xf>
    <xf numFmtId="0" fontId="74" fillId="31" borderId="61" applyAlignment="1" pivotButton="0" quotePrefix="0" xfId="0">
      <alignment horizontal="right" vertical="center" wrapText="1" readingOrder="2"/>
    </xf>
    <xf numFmtId="0" fontId="0" fillId="31" borderId="0" pivotButton="0" quotePrefix="0" xfId="0"/>
    <xf numFmtId="0" fontId="74" fillId="32" borderId="61" applyAlignment="1" pivotButton="0" quotePrefix="0" xfId="0">
      <alignment horizontal="right" vertical="center" wrapText="1" readingOrder="2"/>
    </xf>
    <xf numFmtId="0" fontId="0" fillId="32" borderId="0" pivotButton="0" quotePrefix="0" xfId="0"/>
    <xf numFmtId="0" fontId="104" fillId="20" borderId="60" applyAlignment="1" pivotButton="0" quotePrefix="0" xfId="0">
      <alignment horizontal="right" vertical="center" readingOrder="2"/>
    </xf>
    <xf numFmtId="0" fontId="79" fillId="22" borderId="63" applyAlignment="1" pivotButton="0" quotePrefix="0" xfId="0">
      <alignment horizontal="right" vertical="center" wrapText="1" readingOrder="2"/>
    </xf>
    <xf numFmtId="0" fontId="79" fillId="31" borderId="63" applyAlignment="1" pivotButton="0" quotePrefix="0" xfId="0">
      <alignment horizontal="right" vertical="center" wrapText="1" readingOrder="2"/>
    </xf>
    <xf numFmtId="0" fontId="0" fillId="0" borderId="66" pivotButton="0" quotePrefix="0" xfId="0"/>
    <xf numFmtId="0" fontId="0" fillId="0" borderId="67" pivotButton="0" quotePrefix="0" xfId="0"/>
    <xf numFmtId="0" fontId="78" fillId="20" borderId="70" applyAlignment="1" pivotButton="0" quotePrefix="0" xfId="0">
      <alignment horizontal="right" vertical="center" readingOrder="2"/>
    </xf>
    <xf numFmtId="0" fontId="74" fillId="31" borderId="68" applyAlignment="1" pivotButton="0" quotePrefix="0" xfId="0">
      <alignment horizontal="right" vertical="center" wrapText="1" readingOrder="2"/>
    </xf>
    <xf numFmtId="0" fontId="0" fillId="0" borderId="69" pivotButton="0" quotePrefix="0" xfId="0"/>
    <xf numFmtId="0" fontId="74" fillId="32" borderId="68" applyAlignment="1" pivotButton="0" quotePrefix="0" xfId="0">
      <alignment horizontal="right" vertical="center" wrapText="1" readingOrder="2"/>
    </xf>
    <xf numFmtId="0" fontId="0" fillId="0" borderId="77" pivotButton="0" quotePrefix="0" xfId="0"/>
    <xf numFmtId="0" fontId="0" fillId="0" borderId="78" pivotButton="0" quotePrefix="0" xfId="0"/>
    <xf numFmtId="0" fontId="0" fillId="0" borderId="73" pivotButton="0" quotePrefix="0" xfId="0"/>
    <xf numFmtId="0" fontId="0" fillId="0" borderId="74" pivotButton="0" quotePrefix="0" xfId="0"/>
    <xf numFmtId="0" fontId="105" fillId="24" borderId="0" applyAlignment="1" pivotButton="0" quotePrefix="0" xfId="0">
      <alignment horizontal="right" vertical="center"/>
    </xf>
    <xf numFmtId="0" fontId="106" fillId="34" borderId="79" applyAlignment="1" pivotButton="0" quotePrefix="0" xfId="0">
      <alignment horizontal="center" vertical="center" wrapText="1"/>
    </xf>
    <xf numFmtId="0" fontId="0" fillId="0" borderId="82" pivotButton="0" quotePrefix="0" xfId="0"/>
    <xf numFmtId="0" fontId="0" fillId="0" borderId="83" pivotButton="0" quotePrefix="0" xfId="0"/>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MAZANDASHT</author>
  </authors>
  <commentList>
    <comment ref="A10" authorId="0" shapeId="0">
      <text>
        <t>کد ثابت شریک (SH01…SH20). همین کد در باسکول، شیت پرداخت و تراکنش بانکی انتخاب می‌شود.</t>
      </text>
    </comment>
    <comment ref="B10" authorId="0" shapeId="0">
      <text>
        <t>نام کامل شخص/شرکت شریک. اگر ردیفی بی‌نام بماند، در کشوها دیده نمی‌شود.</t>
      </text>
    </comment>
    <comment ref="C10" authorId="0" shapeId="0">
      <text>
        <t>درصد سهم شریک از بار و مبلغ شراکتی (۱ تا ۹۹). همین عدد، مبنای محاسبه سهم وزنی و ریالی است.</t>
      </text>
    </comment>
    <comment ref="D10" authorId="0" shapeId="0">
      <text>
        <t>خودکار: ۱۰۰ منهای نسبت شریک. این نسبت، سهمی است که در دفتر روزنامه سند می‌خورد.</t>
      </text>
    </comment>
    <comment ref="E10" authorId="0" shapeId="0">
      <text>
        <t>بار/محصول شراکتی و توضیح کوتاه قرارداد.</t>
      </text>
    </comment>
    <comment ref="F10" authorId="0" shapeId="0">
      <text>
        <t>محصول اصلی این شراکت (کیوی، پرتقال، نارنگی …).</t>
      </text>
    </comment>
    <comment ref="I10" authorId="0" shapeId="0">
      <text>
        <t>بانک شرکت که سهم شریک از آن پرداخت می‌شود (BNxx).</t>
      </text>
    </comment>
    <comment ref="J10" authorId="0" shapeId="0">
      <text>
        <t>فعال / غیرفعال.</t>
      </text>
    </comment>
    <comment ref="K10" authorId="0" shapeId="0">
      <text>
        <t>هر یادداشت دیگر: شماره قرارداد، شرایط تسویه …</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7.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8.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Shrk'!A1" TargetMode="External" Id="rId6" /><Relationship Type="http://schemas.openxmlformats.org/officeDocument/2006/relationships/hyperlink" Target="06_Buyers.xlsx" TargetMode="External" Id="rId7" /><Relationship Type="http://schemas.openxmlformats.org/officeDocument/2006/relationships/hyperlink" Target="07_Demo.xlsx" TargetMode="External" Id="rId8" /><Relationship Type="http://schemas.openxmlformats.org/officeDocument/2006/relationships/hyperlink" Target="#'Shrk'!A1" TargetMode="External" Id="rId9" /><Relationship Type="http://schemas.openxmlformats.org/officeDocument/2006/relationships/hyperlink" Target="01_Entry.xlsx" TargetMode="External" Id="rId10" /><Relationship Type="http://schemas.openxmlformats.org/officeDocument/2006/relationships/hyperlink" Target="02_Bank.xlsx" TargetMode="External" Id="rId11" /><Relationship Type="http://schemas.openxmlformats.org/officeDocument/2006/relationships/hyperlink" Target="03_Report.xlsx" TargetMode="External" Id="rId12" /><Relationship Type="http://schemas.openxmlformats.org/officeDocument/2006/relationships/hyperlink" Target="04_Inv.xlsx" TargetMode="External" Id="rId13" /><Relationship Type="http://schemas.openxmlformats.org/officeDocument/2006/relationships/hyperlink" Target="05_Bal.xlsx" TargetMode="External" Id="rId14" /><Relationship Type="http://schemas.openxmlformats.org/officeDocument/2006/relationships/hyperlink" Target="06_Buyers.xlsx" TargetMode="External" Id="rId15" /><Relationship Type="http://schemas.openxmlformats.org/officeDocument/2006/relationships/hyperlink" Target="07_Demo.xlsx" TargetMode="External" Id="rId16" /><Relationship Type="http://schemas.openxmlformats.org/officeDocument/2006/relationships/hyperlink" Target="08_Dash.xlsx" TargetMode="External" Id="rId17" /><Relationship Type="http://schemas.openxmlformats.org/officeDocument/2006/relationships/drawing" Target="/xl/drawings/drawing1.xml" Id="rId18"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C89B3C"/>
    <outlinePr summaryBelow="1" summaryRight="1"/>
    <pageSetUpPr fitToPage="1"/>
  </sheetPr>
  <dimension ref="A1:J55"/>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(فایل مادر 00_Master)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فایل مادر 00_Master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فایل مادر 00_Master</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فایل مادر 00_Master</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فایل مادر 00_Master</t>
        </is>
      </c>
      <c r="B28" s="112" t="n"/>
      <c r="C28" s="113" t="n"/>
      <c r="D28" s="22" t="inlineStr">
        <is>
          <t>ریز باسکول، سبد و پرداخت‌ها؛ نام و گروه از فایل مادر 00_Master</t>
        </is>
      </c>
      <c r="E28" s="112" t="n"/>
      <c r="F28" s="112" t="n"/>
      <c r="G28" s="112" t="n"/>
      <c r="H28" s="112" t="n"/>
      <c r="I28" s="112" t="n"/>
      <c r="J28" s="113" t="n"/>
    </row>
    <row r="29" ht="20.25" customHeight="1">
      <c r="A29" s="21" t="inlineStr">
        <is>
          <t>۰۳ فاکتور ← ۰۱ ثبت + فایل مادر 00_Master</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فایل مادر 00_Master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فایل مادر 00_Master،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فایل مادر 00_Master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row r="47"/>
    <row r="48"/>
    <row r="49"/>
    <row r="50" ht="24" customHeight="1">
      <c r="A50" s="177" t="inlineStr">
        <is>
          <t xml:space="preserve">     شیت تازه:  Shrk — شرکا و نسبت شراکت  (۲۰ شریک، نسبت سهم شریک و سهم شرکت)</t>
        </is>
      </c>
      <c r="B50" s="214" t="n"/>
      <c r="C50" s="214" t="n"/>
      <c r="D50" s="214" t="n"/>
      <c r="E50" s="214" t="n"/>
      <c r="F50" s="214" t="n"/>
      <c r="G50" s="214" t="n"/>
      <c r="H50" s="214" t="n"/>
      <c r="I50" s="214" t="n"/>
      <c r="J50" s="215" t="n"/>
    </row>
    <row r="51"/>
    <row r="52" ht="24" customHeight="1">
      <c r="A52" s="224" t="inlineStr">
        <is>
          <t xml:space="preserve">     فایل‌های همراه — با یک کلیک باز می‌شوند (مسیر نسبی، همه در همین پوشه)</t>
        </is>
      </c>
    </row>
    <row r="53" ht="22" customHeight="1">
      <c r="A53" s="225" t="inlineStr">
        <is>
          <t>دفتر ثبت  01_Entry</t>
        </is>
      </c>
      <c r="B53" s="226" t="n"/>
      <c r="C53" s="227" t="n"/>
      <c r="D53" s="225" t="inlineStr">
        <is>
          <t>بانک  02_Bank</t>
        </is>
      </c>
      <c r="E53" s="226" t="n"/>
      <c r="F53" s="227" t="n"/>
      <c r="G53" s="225" t="inlineStr">
        <is>
          <t>گزارش‌ها  03_Report</t>
        </is>
      </c>
      <c r="H53" s="226" t="n"/>
      <c r="I53" s="227" t="n"/>
    </row>
    <row r="54" ht="22" customHeight="1">
      <c r="A54" s="225" t="inlineStr">
        <is>
          <t>فاکتورها  04_Inv</t>
        </is>
      </c>
      <c r="B54" s="226" t="n"/>
      <c r="C54" s="227" t="n"/>
      <c r="D54" s="225" t="inlineStr">
        <is>
          <t>تراز  05_Bal</t>
        </is>
      </c>
      <c r="E54" s="226" t="n"/>
      <c r="F54" s="227" t="n"/>
      <c r="G54" s="225" t="inlineStr">
        <is>
          <t>خریداران  06_Buyers</t>
        </is>
      </c>
      <c r="H54" s="226" t="n"/>
      <c r="I54" s="227" t="n"/>
    </row>
    <row r="55" ht="22" customHeight="1">
      <c r="A55" s="225" t="inlineStr">
        <is>
          <t>نمونه  07_Demo</t>
        </is>
      </c>
      <c r="B55" s="226" t="n"/>
      <c r="C55" s="227" t="n"/>
      <c r="D55" s="225" t="inlineStr">
        <is>
          <t>داشبورد  08_Dash</t>
        </is>
      </c>
      <c r="E55" s="226" t="n"/>
      <c r="F55" s="227" t="n"/>
    </row>
  </sheetData>
  <mergeCells count="74">
    <mergeCell ref="E12:F12"/>
    <mergeCell ref="D28:J28"/>
    <mergeCell ref="G12:H12"/>
    <mergeCell ref="C6:D6"/>
    <mergeCell ref="I6:J6"/>
    <mergeCell ref="A15:B15"/>
    <mergeCell ref="C15:D15"/>
    <mergeCell ref="B42:J42"/>
    <mergeCell ref="A11:B11"/>
    <mergeCell ref="G11:H11"/>
    <mergeCell ref="C5:D5"/>
    <mergeCell ref="G53:I53"/>
    <mergeCell ref="E5:F5"/>
    <mergeCell ref="C14:D14"/>
    <mergeCell ref="B23:J23"/>
    <mergeCell ref="B8:J8"/>
    <mergeCell ref="E14:F14"/>
    <mergeCell ref="G1:J1"/>
    <mergeCell ref="A27:C27"/>
    <mergeCell ref="D30:J30"/>
    <mergeCell ref="A52:J52"/>
    <mergeCell ref="D53:F53"/>
    <mergeCell ref="D29:J29"/>
    <mergeCell ref="A6:B6"/>
    <mergeCell ref="B38:J38"/>
    <mergeCell ref="A55:C55"/>
    <mergeCell ref="A44:J44"/>
    <mergeCell ref="C10:D10"/>
    <mergeCell ref="B34:J34"/>
    <mergeCell ref="B37:J37"/>
    <mergeCell ref="E10:F10"/>
    <mergeCell ref="A32:C32"/>
    <mergeCell ref="G10:H10"/>
    <mergeCell ref="B40:J40"/>
    <mergeCell ref="E13:F13"/>
    <mergeCell ref="G6:H6"/>
    <mergeCell ref="G13:H13"/>
    <mergeCell ref="A29:C29"/>
    <mergeCell ref="A53:C53"/>
    <mergeCell ref="B24:B25"/>
    <mergeCell ref="D24:D25"/>
    <mergeCell ref="A12:B12"/>
    <mergeCell ref="D55:F55"/>
    <mergeCell ref="A28:C28"/>
    <mergeCell ref="C12:D12"/>
    <mergeCell ref="D31:J31"/>
    <mergeCell ref="E6:F6"/>
    <mergeCell ref="G54:I54"/>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54:F54"/>
    <mergeCell ref="D27:J27"/>
    <mergeCell ref="D32:J32"/>
    <mergeCell ref="A1:F1"/>
    <mergeCell ref="A3:J3"/>
    <mergeCell ref="A10:B10"/>
    <mergeCell ref="A13:B13"/>
    <mergeCell ref="A50:J50"/>
    <mergeCell ref="C13:D13"/>
    <mergeCell ref="A2:J2"/>
    <mergeCell ref="B39:J39"/>
    <mergeCell ref="A54:C54"/>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7"/>
    <hyperlink xmlns:r="http://schemas.openxmlformats.org/officeDocument/2006/relationships" ref="G13" r:id="rId8"/>
    <hyperlink ref="A44" location="Help!A20" display="راهنمای کامل سامانه — روی این نوار کلیک کنید"/>
    <hyperlink xmlns:r="http://schemas.openxmlformats.org/officeDocument/2006/relationships" ref="A50" r:id="rId9"/>
    <hyperlink xmlns:r="http://schemas.openxmlformats.org/officeDocument/2006/relationships" ref="A53" r:id="rId10"/>
    <hyperlink xmlns:r="http://schemas.openxmlformats.org/officeDocument/2006/relationships" ref="D53" r:id="rId11"/>
    <hyperlink xmlns:r="http://schemas.openxmlformats.org/officeDocument/2006/relationships" ref="G53" r:id="rId12"/>
    <hyperlink xmlns:r="http://schemas.openxmlformats.org/officeDocument/2006/relationships" ref="A54" r:id="rId13"/>
    <hyperlink xmlns:r="http://schemas.openxmlformats.org/officeDocument/2006/relationships" ref="D54" r:id="rId14"/>
    <hyperlink xmlns:r="http://schemas.openxmlformats.org/officeDocument/2006/relationships" ref="G54" r:id="rId15"/>
    <hyperlink xmlns:r="http://schemas.openxmlformats.org/officeDocument/2006/relationships" ref="A55" r:id="rId16"/>
    <hyperlink xmlns:r="http://schemas.openxmlformats.org/officeDocument/2006/relationships" ref="D55" r:id="rId17"/>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8"/>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2"/>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row r="52">
      <c r="A52" s="178" t="inlineStr">
        <is>
          <t>شرکا</t>
        </is>
      </c>
      <c r="B52" s="178" t="inlineStr">
        <is>
          <t>شراکت</t>
        </is>
      </c>
      <c r="C52" s="178" t="inlineStr">
        <is>
          <t>SH</t>
        </is>
      </c>
      <c r="D52" s="178" t="inlineStr">
        <is>
          <t>Partners</t>
        </is>
      </c>
      <c r="E52" s="178" t="inlineStr">
        <is>
          <t>rose</t>
        </is>
      </c>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8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row r="261">
      <c r="A261" s="164" t="inlineStr">
        <is>
          <t>SH01</t>
        </is>
      </c>
      <c r="B261" s="164" t="inlineStr">
        <is>
          <t>شرکا</t>
        </is>
      </c>
      <c r="C261" s="164" t="inlineStr">
        <is>
          <t>شراکت</t>
        </is>
      </c>
      <c r="D261" s="164" t="inlineStr">
        <is>
          <t>سعید بابایی</t>
        </is>
      </c>
      <c r="E261" s="164" t="inlineStr">
        <is>
          <t>011-4221-3301</t>
        </is>
      </c>
      <c r="F261" s="164" t="inlineStr">
        <is>
          <t>0911-112-3344</t>
        </is>
      </c>
      <c r="G261" s="164" t="inlineStr">
        <is>
          <t>—</t>
        </is>
      </c>
      <c r="H261" t="n">
        <v>0</v>
      </c>
      <c r="I261" t="inlineStr">
        <is>
          <t>طرف حساب</t>
        </is>
      </c>
      <c r="J261" t="inlineStr">
        <is>
          <t>بله</t>
        </is>
      </c>
      <c r="K261">
        <f>IF($A261="","",IF(LEFT($A261,2)="SH","شرکا",""))</f>
        <v/>
      </c>
      <c r="L261" t="inlineStr">
        <is>
          <t>کیوی — شراکت فصلی · نسبت شریک 50٪</t>
        </is>
      </c>
    </row>
    <row r="262">
      <c r="A262" s="164" t="inlineStr">
        <is>
          <t>SH02</t>
        </is>
      </c>
      <c r="B262" s="164" t="inlineStr">
        <is>
          <t>شرکا</t>
        </is>
      </c>
      <c r="C262" s="164" t="inlineStr">
        <is>
          <t>شراکت</t>
        </is>
      </c>
      <c r="D262" s="164" t="inlineStr">
        <is>
          <t>رحمت‌الله اکبری</t>
        </is>
      </c>
      <c r="E262" s="164" t="inlineStr">
        <is>
          <t>011-4221-3302</t>
        </is>
      </c>
      <c r="F262" s="164" t="inlineStr">
        <is>
          <t>0911-223-4455</t>
        </is>
      </c>
      <c r="G262" s="164" t="inlineStr">
        <is>
          <t>—</t>
        </is>
      </c>
      <c r="H262" t="n">
        <v>0</v>
      </c>
      <c r="I262" t="inlineStr">
        <is>
          <t>طرف حساب</t>
        </is>
      </c>
      <c r="J262" t="inlineStr">
        <is>
          <t>بله</t>
        </is>
      </c>
      <c r="K262">
        <f>IF($A262="","",IF(LEFT($A262,2)="SH","شرکا",""))</f>
        <v/>
      </c>
      <c r="L262" t="inlineStr">
        <is>
          <t>پرتقال تامسون · نسبت شریک 40٪</t>
        </is>
      </c>
    </row>
    <row r="263">
      <c r="A263" s="164" t="inlineStr">
        <is>
          <t>SH03</t>
        </is>
      </c>
      <c r="B263" s="164" t="inlineStr">
        <is>
          <t>شرکا</t>
        </is>
      </c>
      <c r="C263" s="164" t="inlineStr">
        <is>
          <t>شراکت</t>
        </is>
      </c>
      <c r="D263" s="164" t="inlineStr">
        <is>
          <t>مهدی رستمی</t>
        </is>
      </c>
      <c r="E263" s="164" t="inlineStr">
        <is>
          <t>011-4221-3303</t>
        </is>
      </c>
      <c r="F263" s="164" t="inlineStr">
        <is>
          <t>0911-334-5566</t>
        </is>
      </c>
      <c r="G263" s="164" t="inlineStr">
        <is>
          <t>—</t>
        </is>
      </c>
      <c r="H263" t="n">
        <v>0</v>
      </c>
      <c r="I263" t="inlineStr">
        <is>
          <t>طرف حساب</t>
        </is>
      </c>
      <c r="J263" t="inlineStr">
        <is>
          <t>بله</t>
        </is>
      </c>
      <c r="K263">
        <f>IF($A263="","",IF(LEFT($A263,2)="SH","شرکا",""))</f>
        <v/>
      </c>
      <c r="L263" t="inlineStr">
        <is>
          <t>نارنگی پیش‌رس · نسبت شریک 35٪</t>
        </is>
      </c>
    </row>
    <row r="264">
      <c r="A264" s="164" t="inlineStr">
        <is>
          <t>SH04</t>
        </is>
      </c>
      <c r="B264" s="164" t="inlineStr">
        <is>
          <t>شرکا</t>
        </is>
      </c>
      <c r="C264" s="164" t="inlineStr">
        <is>
          <t>شراکت</t>
        </is>
      </c>
      <c r="D264" s="164" t="inlineStr">
        <is>
          <t>حسین نیک‌پور</t>
        </is>
      </c>
      <c r="E264" s="164" t="inlineStr">
        <is>
          <t>011-4221-3304</t>
        </is>
      </c>
      <c r="F264" s="164" t="inlineStr">
        <is>
          <t>0911-445-6677</t>
        </is>
      </c>
      <c r="G264" s="164" t="inlineStr">
        <is>
          <t>—</t>
        </is>
      </c>
      <c r="H264" t="n">
        <v>0</v>
      </c>
      <c r="I264" t="inlineStr">
        <is>
          <t>طرف حساب</t>
        </is>
      </c>
      <c r="J264" t="inlineStr">
        <is>
          <t>بله</t>
        </is>
      </c>
      <c r="K264">
        <f>IF($A264="","",IF(LEFT($A264,2)="SH","شرکا",""))</f>
        <v/>
      </c>
      <c r="L264" t="inlineStr">
        <is>
          <t>کیوی — سردخانه · نسبت شریک 50٪</t>
        </is>
      </c>
    </row>
    <row r="265">
      <c r="A265" s="164" t="inlineStr">
        <is>
          <t>SH05</t>
        </is>
      </c>
      <c r="B265" s="164" t="inlineStr">
        <is>
          <t>شرکا</t>
        </is>
      </c>
      <c r="C265" s="164" t="inlineStr">
        <is>
          <t>شراکت</t>
        </is>
      </c>
      <c r="D265" s="164" t="inlineStr">
        <is>
          <t>کریم صادقی</t>
        </is>
      </c>
      <c r="E265" s="164" t="inlineStr">
        <is>
          <t>011-4221-3305</t>
        </is>
      </c>
      <c r="F265" s="164" t="inlineStr">
        <is>
          <t>0911-556-7788</t>
        </is>
      </c>
      <c r="G265" s="164" t="inlineStr">
        <is>
          <t>—</t>
        </is>
      </c>
      <c r="H265" t="n">
        <v>0</v>
      </c>
      <c r="I265" t="inlineStr">
        <is>
          <t>طرف حساب</t>
        </is>
      </c>
      <c r="J265" t="inlineStr">
        <is>
          <t>بله</t>
        </is>
      </c>
      <c r="K265">
        <f>IF($A265="","",IF(LEFT($A265,2)="SH","شرکا",""))</f>
        <v/>
      </c>
      <c r="L265" t="inlineStr">
        <is>
          <t>پرتقال خونی · نسبت شریک 30٪</t>
        </is>
      </c>
    </row>
    <row r="266">
      <c r="A266" s="164" t="inlineStr">
        <is>
          <t>SH06</t>
        </is>
      </c>
      <c r="B266" s="164" t="inlineStr">
        <is>
          <t>شرکا</t>
        </is>
      </c>
      <c r="C266" s="164" t="inlineStr">
        <is>
          <t>شراکت</t>
        </is>
      </c>
      <c r="D266" s="164" t="inlineStr">
        <is>
          <t>عباس موسوی</t>
        </is>
      </c>
      <c r="E266" s="164" t="inlineStr">
        <is>
          <t>011-4221-3306</t>
        </is>
      </c>
      <c r="F266" s="164" t="inlineStr">
        <is>
          <t>0911-667-8899</t>
        </is>
      </c>
      <c r="G266" s="164" t="inlineStr">
        <is>
          <t>—</t>
        </is>
      </c>
      <c r="H266" t="n">
        <v>0</v>
      </c>
      <c r="I266" t="inlineStr">
        <is>
          <t>طرف حساب</t>
        </is>
      </c>
      <c r="J266" t="inlineStr">
        <is>
          <t>بله</t>
        </is>
      </c>
      <c r="K266">
        <f>IF($A266="","",IF(LEFT($A266,2)="SH","شرکا",""))</f>
        <v/>
      </c>
      <c r="L266" t="inlineStr">
        <is>
          <t>نارنگی — صادراتی · نسبت شریک 45٪</t>
        </is>
      </c>
    </row>
    <row r="267">
      <c r="A267" s="164" t="inlineStr">
        <is>
          <t>SH07</t>
        </is>
      </c>
      <c r="B267" s="164" t="inlineStr">
        <is>
          <t>شرکا</t>
        </is>
      </c>
      <c r="C267" s="164" t="inlineStr">
        <is>
          <t>شراکت</t>
        </is>
      </c>
      <c r="D267" s="164" t="inlineStr">
        <is>
          <t>رضا کاظمی</t>
        </is>
      </c>
      <c r="E267" s="164" t="inlineStr">
        <is>
          <t>011-4221-3307</t>
        </is>
      </c>
      <c r="F267" s="164" t="inlineStr">
        <is>
          <t>0911-778-9900</t>
        </is>
      </c>
      <c r="G267" s="164" t="inlineStr">
        <is>
          <t>—</t>
        </is>
      </c>
      <c r="H267" t="n">
        <v>0</v>
      </c>
      <c r="I267" t="inlineStr">
        <is>
          <t>طرف حساب</t>
        </is>
      </c>
      <c r="J267" t="inlineStr">
        <is>
          <t>بله</t>
        </is>
      </c>
      <c r="K267">
        <f>IF($A267="","",IF(LEFT($A267,2)="SH","شرکا",""))</f>
        <v/>
      </c>
      <c r="L267" t="inlineStr">
        <is>
          <t>کیوی · نسبت شریک 50٪</t>
        </is>
      </c>
    </row>
    <row r="268">
      <c r="A268" s="164" t="inlineStr">
        <is>
          <t>SH08</t>
        </is>
      </c>
      <c r="B268" s="164" t="inlineStr">
        <is>
          <t>شرکا</t>
        </is>
      </c>
      <c r="C268" s="164" t="inlineStr">
        <is>
          <t>شراکت</t>
        </is>
      </c>
      <c r="D268" s="164" t="inlineStr">
        <is>
          <t>مجید قاسمی</t>
        </is>
      </c>
      <c r="E268" s="164" t="inlineStr">
        <is>
          <t>011-4221-3308</t>
        </is>
      </c>
      <c r="F268" s="164" t="inlineStr">
        <is>
          <t>0911-889-0011</t>
        </is>
      </c>
      <c r="G268" s="164" t="inlineStr">
        <is>
          <t>—</t>
        </is>
      </c>
      <c r="H268" t="n">
        <v>0</v>
      </c>
      <c r="I268" t="inlineStr">
        <is>
          <t>طرف حساب</t>
        </is>
      </c>
      <c r="J268" t="inlineStr">
        <is>
          <t>بله</t>
        </is>
      </c>
      <c r="K268">
        <f>IF($A268="","",IF(LEFT($A268,2)="SH","شرکا",""))</f>
        <v/>
      </c>
      <c r="L268" t="inlineStr">
        <is>
          <t>پرتقال والنسیا · نسبت شریک 40٪</t>
        </is>
      </c>
    </row>
    <row r="269">
      <c r="A269" s="164" t="inlineStr">
        <is>
          <t>SH09</t>
        </is>
      </c>
      <c r="B269" s="164" t="inlineStr">
        <is>
          <t>شرکا</t>
        </is>
      </c>
      <c r="C269" s="164" t="inlineStr">
        <is>
          <t>شراکت</t>
        </is>
      </c>
      <c r="D269" s="164" t="inlineStr">
        <is>
          <t>علی شریفی</t>
        </is>
      </c>
      <c r="E269" s="164" t="inlineStr">
        <is>
          <t>011-4221-3309</t>
        </is>
      </c>
      <c r="F269" s="164" t="inlineStr">
        <is>
          <t>0911-990-1122</t>
        </is>
      </c>
      <c r="G269" s="164" t="inlineStr">
        <is>
          <t>—</t>
        </is>
      </c>
      <c r="H269" t="n">
        <v>0</v>
      </c>
      <c r="I269" t="inlineStr">
        <is>
          <t>طرف حساب</t>
        </is>
      </c>
      <c r="J269" t="inlineStr">
        <is>
          <t>بله</t>
        </is>
      </c>
      <c r="K269">
        <f>IF($A269="","",IF(LEFT($A269,2)="SH","شرکا",""))</f>
        <v/>
      </c>
      <c r="L269" t="inlineStr">
        <is>
          <t>نارنج · نسبت شریک 25٪</t>
        </is>
      </c>
    </row>
    <row r="270">
      <c r="A270" s="164" t="inlineStr">
        <is>
          <t>SH10</t>
        </is>
      </c>
      <c r="B270" s="164" t="inlineStr">
        <is>
          <t>شرکا</t>
        </is>
      </c>
      <c r="C270" s="164" t="inlineStr">
        <is>
          <t>شراکت</t>
        </is>
      </c>
      <c r="D270" s="164" t="inlineStr">
        <is>
          <t>ناصر رحیمی</t>
        </is>
      </c>
      <c r="E270" s="164" t="inlineStr">
        <is>
          <t>011-4221-3310</t>
        </is>
      </c>
      <c r="F270" s="164" t="inlineStr">
        <is>
          <t>0911-101-2233</t>
        </is>
      </c>
      <c r="G270" s="164" t="inlineStr">
        <is>
          <t>—</t>
        </is>
      </c>
      <c r="H270" t="n">
        <v>0</v>
      </c>
      <c r="I270" t="inlineStr">
        <is>
          <t>طرف حساب</t>
        </is>
      </c>
      <c r="J270" t="inlineStr">
        <is>
          <t>بله</t>
        </is>
      </c>
      <c r="K270">
        <f>IF($A270="","",IF(LEFT($A270,2)="SH","شرکا",""))</f>
        <v/>
      </c>
      <c r="L270" t="inlineStr">
        <is>
          <t>کیوی — درجه یک · نسبت شریک 50٪</t>
        </is>
      </c>
    </row>
    <row r="271">
      <c r="A271" s="164" t="inlineStr">
        <is>
          <t>SH11</t>
        </is>
      </c>
      <c r="B271" s="164" t="inlineStr">
        <is>
          <t>شرکا</t>
        </is>
      </c>
      <c r="C271" s="164" t="inlineStr">
        <is>
          <t>شراکت</t>
        </is>
      </c>
      <c r="D271" s="164" t="inlineStr">
        <is>
          <t>بابک سلطانی</t>
        </is>
      </c>
      <c r="E271" s="164" t="inlineStr">
        <is>
          <t>011-4221-3311</t>
        </is>
      </c>
      <c r="F271" s="164" t="inlineStr">
        <is>
          <t>0911-212-3344</t>
        </is>
      </c>
      <c r="G271" s="164" t="inlineStr">
        <is>
          <t>—</t>
        </is>
      </c>
      <c r="H271" t="n">
        <v>0</v>
      </c>
      <c r="I271" t="inlineStr">
        <is>
          <t>طرف حساب</t>
        </is>
      </c>
      <c r="J271" t="inlineStr">
        <is>
          <t>بله</t>
        </is>
      </c>
      <c r="K271">
        <f>IF($A271="","",IF(LEFT($A271,2)="SH","شرکا",""))</f>
        <v/>
      </c>
      <c r="L271" t="inlineStr">
        <is>
          <t>پرتقال — میدان بار · نسبت شریک 35٪</t>
        </is>
      </c>
    </row>
    <row r="272">
      <c r="A272" s="164" t="inlineStr">
        <is>
          <t>SH12</t>
        </is>
      </c>
      <c r="B272" s="164" t="inlineStr">
        <is>
          <t>شرکا</t>
        </is>
      </c>
      <c r="C272" s="164" t="inlineStr">
        <is>
          <t>شراکت</t>
        </is>
      </c>
      <c r="D272" s="164" t="inlineStr">
        <is>
          <t>جواد کریمی</t>
        </is>
      </c>
      <c r="E272" s="164" t="inlineStr">
        <is>
          <t>011-4221-3312</t>
        </is>
      </c>
      <c r="F272" s="164" t="inlineStr">
        <is>
          <t>0911-323-4455</t>
        </is>
      </c>
      <c r="G272" s="164" t="inlineStr">
        <is>
          <t>—</t>
        </is>
      </c>
      <c r="H272" t="n">
        <v>0</v>
      </c>
      <c r="I272" t="inlineStr">
        <is>
          <t>طرف حساب</t>
        </is>
      </c>
      <c r="J272" t="inlineStr">
        <is>
          <t>بله</t>
        </is>
      </c>
      <c r="K272">
        <f>IF($A272="","",IF(LEFT($A272,2)="SH","شرکا",""))</f>
        <v/>
      </c>
      <c r="L272" t="inlineStr">
        <is>
          <t>کیوی — صادراتی · نسبت شریک 60٪</t>
        </is>
      </c>
    </row>
    <row r="273">
      <c r="A273" s="164" t="inlineStr">
        <is>
          <t>SH13</t>
        </is>
      </c>
      <c r="B273" s="164" t="inlineStr">
        <is>
          <t>شرکا</t>
        </is>
      </c>
      <c r="C273" s="164" t="inlineStr">
        <is>
          <t>شراکت</t>
        </is>
      </c>
      <c r="D273" s="164" t="inlineStr"/>
      <c r="E273" s="164" t="inlineStr"/>
      <c r="F273" s="164" t="inlineStr"/>
      <c r="G273" s="164" t="inlineStr">
        <is>
          <t>—</t>
        </is>
      </c>
      <c r="H273" t="n">
        <v>0</v>
      </c>
      <c r="I273" t="inlineStr">
        <is>
          <t>طرف حساب</t>
        </is>
      </c>
      <c r="J273" t="inlineStr">
        <is>
          <t>بله</t>
        </is>
      </c>
      <c r="K273">
        <f>IF($A273="","",IF(LEFT($A273,2)="SH","شرکا",""))</f>
        <v/>
      </c>
    </row>
    <row r="274">
      <c r="A274" s="164" t="inlineStr">
        <is>
          <t>SH14</t>
        </is>
      </c>
      <c r="B274" s="164" t="inlineStr">
        <is>
          <t>شرکا</t>
        </is>
      </c>
      <c r="C274" s="164" t="inlineStr">
        <is>
          <t>شراکت</t>
        </is>
      </c>
      <c r="D274" s="164" t="inlineStr"/>
      <c r="E274" s="164" t="inlineStr"/>
      <c r="F274" s="164" t="inlineStr"/>
      <c r="G274" s="164" t="inlineStr">
        <is>
          <t>—</t>
        </is>
      </c>
      <c r="H274" t="n">
        <v>0</v>
      </c>
      <c r="I274" t="inlineStr">
        <is>
          <t>طرف حساب</t>
        </is>
      </c>
      <c r="J274" t="inlineStr">
        <is>
          <t>بله</t>
        </is>
      </c>
      <c r="K274">
        <f>IF($A274="","",IF(LEFT($A274,2)="SH","شرکا",""))</f>
        <v/>
      </c>
    </row>
    <row r="275">
      <c r="A275" s="164" t="inlineStr">
        <is>
          <t>SH15</t>
        </is>
      </c>
      <c r="B275" s="164" t="inlineStr">
        <is>
          <t>شرکا</t>
        </is>
      </c>
      <c r="C275" s="164" t="inlineStr">
        <is>
          <t>شراکت</t>
        </is>
      </c>
      <c r="D275" s="164" t="inlineStr"/>
      <c r="E275" s="164" t="inlineStr"/>
      <c r="F275" s="164" t="inlineStr"/>
      <c r="G275" s="164" t="inlineStr">
        <is>
          <t>—</t>
        </is>
      </c>
      <c r="H275" t="n">
        <v>0</v>
      </c>
      <c r="I275" t="inlineStr">
        <is>
          <t>طرف حساب</t>
        </is>
      </c>
      <c r="J275" t="inlineStr">
        <is>
          <t>بله</t>
        </is>
      </c>
      <c r="K275">
        <f>IF($A275="","",IF(LEFT($A275,2)="SH","شرکا",""))</f>
        <v/>
      </c>
    </row>
    <row r="276">
      <c r="A276" s="164" t="inlineStr">
        <is>
          <t>SH16</t>
        </is>
      </c>
      <c r="B276" s="164" t="inlineStr">
        <is>
          <t>شرکا</t>
        </is>
      </c>
      <c r="C276" s="164" t="inlineStr">
        <is>
          <t>شراکت</t>
        </is>
      </c>
      <c r="D276" s="164" t="inlineStr"/>
      <c r="E276" s="164" t="inlineStr"/>
      <c r="F276" s="164" t="inlineStr"/>
      <c r="G276" s="164" t="inlineStr">
        <is>
          <t>—</t>
        </is>
      </c>
      <c r="H276" t="n">
        <v>0</v>
      </c>
      <c r="I276" t="inlineStr">
        <is>
          <t>طرف حساب</t>
        </is>
      </c>
      <c r="J276" t="inlineStr">
        <is>
          <t>بله</t>
        </is>
      </c>
      <c r="K276">
        <f>IF($A276="","",IF(LEFT($A276,2)="SH","شرکا",""))</f>
        <v/>
      </c>
    </row>
    <row r="277">
      <c r="A277" s="164" t="inlineStr">
        <is>
          <t>SH17</t>
        </is>
      </c>
      <c r="B277" s="164" t="inlineStr">
        <is>
          <t>شرکا</t>
        </is>
      </c>
      <c r="C277" s="164" t="inlineStr">
        <is>
          <t>شراکت</t>
        </is>
      </c>
      <c r="D277" s="164" t="inlineStr"/>
      <c r="E277" s="164" t="inlineStr"/>
      <c r="F277" s="164" t="inlineStr"/>
      <c r="G277" s="164" t="inlineStr">
        <is>
          <t>—</t>
        </is>
      </c>
      <c r="H277" t="n">
        <v>0</v>
      </c>
      <c r="I277" t="inlineStr">
        <is>
          <t>طرف حساب</t>
        </is>
      </c>
      <c r="J277" t="inlineStr">
        <is>
          <t>بله</t>
        </is>
      </c>
      <c r="K277">
        <f>IF($A277="","",IF(LEFT($A277,2)="SH","شرکا",""))</f>
        <v/>
      </c>
    </row>
    <row r="278">
      <c r="A278" s="164" t="inlineStr">
        <is>
          <t>SH18</t>
        </is>
      </c>
      <c r="B278" s="164" t="inlineStr">
        <is>
          <t>شرکا</t>
        </is>
      </c>
      <c r="C278" s="164" t="inlineStr">
        <is>
          <t>شراکت</t>
        </is>
      </c>
      <c r="D278" s="164" t="inlineStr"/>
      <c r="E278" s="164" t="inlineStr"/>
      <c r="F278" s="164" t="inlineStr"/>
      <c r="G278" s="164" t="inlineStr">
        <is>
          <t>—</t>
        </is>
      </c>
      <c r="H278" t="n">
        <v>0</v>
      </c>
      <c r="I278" t="inlineStr">
        <is>
          <t>طرف حساب</t>
        </is>
      </c>
      <c r="J278" t="inlineStr">
        <is>
          <t>بله</t>
        </is>
      </c>
      <c r="K278">
        <f>IF($A278="","",IF(LEFT($A278,2)="SH","شرکا",""))</f>
        <v/>
      </c>
    </row>
    <row r="279">
      <c r="A279" s="164" t="inlineStr">
        <is>
          <t>SH19</t>
        </is>
      </c>
      <c r="B279" s="164" t="inlineStr">
        <is>
          <t>شرکا</t>
        </is>
      </c>
      <c r="C279" s="164" t="inlineStr">
        <is>
          <t>شراکت</t>
        </is>
      </c>
      <c r="D279" s="164" t="inlineStr"/>
      <c r="E279" s="164" t="inlineStr"/>
      <c r="F279" s="164" t="inlineStr"/>
      <c r="G279" s="164" t="inlineStr">
        <is>
          <t>—</t>
        </is>
      </c>
      <c r="H279" t="n">
        <v>0</v>
      </c>
      <c r="I279" t="inlineStr">
        <is>
          <t>طرف حساب</t>
        </is>
      </c>
      <c r="J279" t="inlineStr">
        <is>
          <t>بله</t>
        </is>
      </c>
      <c r="K279">
        <f>IF($A279="","",IF(LEFT($A279,2)="SH","شرکا",""))</f>
        <v/>
      </c>
    </row>
    <row r="280">
      <c r="A280" s="164" t="inlineStr">
        <is>
          <t>SH20</t>
        </is>
      </c>
      <c r="B280" s="164" t="inlineStr">
        <is>
          <t>شرکا</t>
        </is>
      </c>
      <c r="C280" s="164" t="inlineStr">
        <is>
          <t>شراکت</t>
        </is>
      </c>
      <c r="D280" s="164" t="inlineStr"/>
      <c r="E280" s="164" t="inlineStr"/>
      <c r="F280" s="164" t="inlineStr"/>
      <c r="G280" s="164" t="inlineStr">
        <is>
          <t>—</t>
        </is>
      </c>
      <c r="H280" t="n">
        <v>0</v>
      </c>
      <c r="I280" t="inlineStr">
        <is>
          <t>طرف حساب</t>
        </is>
      </c>
      <c r="J280" t="inlineStr">
        <is>
          <t>بله</t>
        </is>
      </c>
      <c r="K280">
        <f>IF($A280="","",IF(LEFT($A280,2)="SH","شرکا",""))</f>
        <v/>
      </c>
    </row>
    <row r="281">
      <c r="A281" s="164" t="inlineStr">
        <is>
          <t>X022</t>
        </is>
      </c>
      <c r="B281" s="164" t="inlineStr">
        <is>
          <t>سایر حساب</t>
        </is>
      </c>
      <c r="C281" s="164" t="inlineStr">
        <is>
          <t>هزینه</t>
        </is>
      </c>
      <c r="D281" s="164" t="inlineStr">
        <is>
          <t>کارمزد و هزینه‌های بانکی</t>
        </is>
      </c>
      <c r="E281" s="164" t="inlineStr">
        <is>
          <t>—</t>
        </is>
      </c>
      <c r="F281" s="164" t="inlineStr">
        <is>
          <t>—</t>
        </is>
      </c>
      <c r="G281" s="164" t="inlineStr">
        <is>
          <t>—</t>
        </is>
      </c>
      <c r="H281" t="n">
        <v>0</v>
      </c>
      <c r="I281" t="inlineStr">
        <is>
          <t>حساب هزینه</t>
        </is>
      </c>
      <c r="J281" t="inlineStr">
        <is>
          <t>بله</t>
        </is>
      </c>
      <c r="K281">
        <f>IF($A281="","",IF(LEFT($A281,2)="X0","سایر حساب",""))</f>
        <v/>
      </c>
      <c r="L281" t="inlineStr">
        <is>
          <t>همه کارمزدها و هزینه‌های بانکی اینجا جمع می‌شود.</t>
        </is>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34"/>
  <sheetViews>
    <sheetView showGridLines="0" rightToLeft="1" workbookViewId="0">
      <selection activeCell="A1" sqref="A1"/>
    </sheetView>
  </sheetViews>
  <sheetFormatPr baseColWidth="8" defaultRowHeight="15"/>
  <cols>
    <col width="9" customWidth="1" min="1" max="1"/>
    <col width="24" customWidth="1" min="2" max="2"/>
    <col width="17" customWidth="1" min="3" max="3"/>
    <col width="17" customWidth="1" min="4" max="4"/>
    <col width="26" customWidth="1" min="5" max="5"/>
    <col width="14" customWidth="1" min="6" max="6"/>
    <col width="14" customWidth="1" min="7" max="7"/>
    <col width="15" customWidth="1" min="8" max="8"/>
    <col width="12" customWidth="1" min="9" max="9"/>
    <col width="11" customWidth="1" min="10" max="10"/>
    <col width="34" customWidth="1" min="11" max="11"/>
  </cols>
  <sheetData>
    <row r="1" ht="18" customHeight="1">
      <c r="A1" s="179" t="inlineStr">
        <is>
          <t>مازندشت  ·  سورتینگ و بسته‌بندی مرکبات    ·    MAZANDASHT  ·  CITRUS SORTING &amp; PACKING</t>
        </is>
      </c>
    </row>
    <row r="2" ht="40" customHeight="1">
      <c r="A2" s="180" t="inlineStr">
        <is>
          <t xml:space="preserve">    ◈  شراکت — شرکا و نسبت سهم</t>
        </is>
      </c>
    </row>
    <row r="3" ht="24" customHeight="1">
      <c r="A3" s="181" t="inlineStr">
        <is>
          <t>هر شریک یک کد SHxx، یک نام و یک «نسبت سهم شریک» دارد  ·  نسبت شرکت خودکار = ۱۰۰ منهای آن  ·  همین جدول، کشوی باسکول و پرداخت‌ها را می‌سازد</t>
        </is>
      </c>
    </row>
    <row r="4" ht="6" customHeight="1">
      <c r="A4" s="182" t="n"/>
      <c r="B4" s="182" t="n"/>
      <c r="C4" s="182" t="n"/>
      <c r="D4" s="182" t="n"/>
      <c r="E4" s="182" t="n"/>
      <c r="F4" s="182" t="n"/>
      <c r="G4" s="182" t="n"/>
      <c r="H4" s="182" t="n"/>
      <c r="I4" s="182" t="n"/>
      <c r="J4" s="182" t="n"/>
      <c r="K4" s="182" t="n"/>
    </row>
    <row r="5" ht="6" customHeight="1"/>
    <row r="6" ht="20" customHeight="1">
      <c r="A6" s="183" t="inlineStr">
        <is>
          <t>شرکای تعریف‌شده</t>
        </is>
      </c>
      <c r="B6" s="154" t="n"/>
      <c r="C6" s="155" t="n"/>
      <c r="D6" s="183" t="inlineStr">
        <is>
          <t>شرکای فعال</t>
        </is>
      </c>
      <c r="E6" s="155" t="n"/>
      <c r="F6" s="183" t="inlineStr">
        <is>
          <t>میانگین نسبت شریک</t>
        </is>
      </c>
      <c r="G6" s="155" t="n"/>
      <c r="H6" s="183" t="inlineStr">
        <is>
          <t>جمع نسبت شرکت</t>
        </is>
      </c>
      <c r="I6" s="155" t="n"/>
      <c r="J6" s="183" t="inlineStr">
        <is>
          <t>موضوع‌های شراکت</t>
        </is>
      </c>
      <c r="K6" s="155" t="n"/>
    </row>
    <row r="7" ht="32" customHeight="1">
      <c r="A7" s="185">
        <f>COUNTIF($B$12:$B$31,"?*")</f>
        <v/>
      </c>
      <c r="B7" s="154" t="n"/>
      <c r="C7" s="155" t="n"/>
      <c r="D7" s="187">
        <f>COUNTIFS($B$12:$B$31,"?*",$J$12:$J$31,"فعال")</f>
        <v/>
      </c>
      <c r="E7" s="155" t="n"/>
      <c r="F7" s="188">
        <f>IFERROR(ROUND(AVERAGE($C$12:$C$31),0),0)</f>
        <v/>
      </c>
      <c r="G7" s="155" t="n"/>
      <c r="H7" s="189">
        <f>SUM($D$12:$D$31)</f>
        <v/>
      </c>
      <c r="I7" s="155" t="n"/>
      <c r="J7" s="190">
        <f>COUNTIF($E$12:$E$31,"?*")</f>
        <v/>
      </c>
      <c r="K7" s="155" t="n"/>
    </row>
    <row r="8"/>
    <row r="9" ht="26" customHeight="1">
      <c r="A9" s="216" t="inlineStr">
        <is>
          <t>فهرست شرکا   کدها را تغییر ندهید؛ نام و نسبت را آزادانه به‌روز کنید</t>
        </is>
      </c>
      <c r="B9" s="192" t="n"/>
      <c r="C9" s="192" t="n"/>
      <c r="D9" s="192" t="n"/>
      <c r="E9" s="192" t="n"/>
      <c r="F9" s="192" t="n"/>
      <c r="G9" s="192" t="n"/>
      <c r="H9" s="192" t="n"/>
      <c r="I9" s="192" t="n"/>
      <c r="J9" s="192" t="n"/>
      <c r="K9" s="193" t="inlineStr">
        <is>
          <t>۰۱</t>
        </is>
      </c>
    </row>
    <row r="10" ht="34" customHeight="1">
      <c r="A10" s="194" t="inlineStr">
        <is>
          <t>کد شریک</t>
        </is>
      </c>
      <c r="B10" s="194" t="inlineStr">
        <is>
          <t>نام شریک</t>
        </is>
      </c>
      <c r="C10" s="194" t="inlineStr">
        <is>
          <t>نسبت سهم شریک ٪</t>
        </is>
      </c>
      <c r="D10" s="194" t="inlineStr">
        <is>
          <t>نسبت سهم شرکت ٪</t>
        </is>
      </c>
      <c r="E10" s="194" t="inlineStr">
        <is>
          <t>موضوع شراکت</t>
        </is>
      </c>
      <c r="F10" s="194" t="inlineStr">
        <is>
          <t>محصول</t>
        </is>
      </c>
      <c r="G10" s="194" t="inlineStr">
        <is>
          <t>تلفن</t>
        </is>
      </c>
      <c r="H10" s="194" t="inlineStr">
        <is>
          <t>همراه</t>
        </is>
      </c>
      <c r="I10" s="194" t="inlineStr">
        <is>
          <t>بانک تسویه</t>
        </is>
      </c>
      <c r="J10" s="194" t="inlineStr">
        <is>
          <t>وضعیت</t>
        </is>
      </c>
      <c r="K10" s="194" t="inlineStr">
        <is>
          <t>توضیح</t>
        </is>
      </c>
    </row>
    <row r="11">
      <c r="A11" s="195" t="inlineStr">
        <is>
          <t>Code</t>
        </is>
      </c>
      <c r="B11" s="195" t="inlineStr">
        <is>
          <t>Partner</t>
        </is>
      </c>
      <c r="C11" s="195" t="inlineStr">
        <is>
          <t>Partner %</t>
        </is>
      </c>
      <c r="D11" s="195" t="inlineStr">
        <is>
          <t>Our %</t>
        </is>
      </c>
      <c r="E11" s="195" t="inlineStr">
        <is>
          <t>Subject</t>
        </is>
      </c>
      <c r="F11" s="195" t="inlineStr">
        <is>
          <t>Product</t>
        </is>
      </c>
      <c r="G11" s="195" t="inlineStr">
        <is>
          <t>Phone</t>
        </is>
      </c>
      <c r="H11" s="195" t="inlineStr">
        <is>
          <t>Mobile</t>
        </is>
      </c>
      <c r="I11" s="195" t="inlineStr">
        <is>
          <t>Bank</t>
        </is>
      </c>
      <c r="J11" s="195" t="inlineStr">
        <is>
          <t>Status</t>
        </is>
      </c>
      <c r="K11" s="195" t="inlineStr">
        <is>
          <t>Note</t>
        </is>
      </c>
    </row>
    <row r="12" ht="20" customHeight="1">
      <c r="A12" s="196" t="inlineStr">
        <is>
          <t>SH01</t>
        </is>
      </c>
      <c r="B12" s="197" t="inlineStr">
        <is>
          <t>سعید بابایی</t>
        </is>
      </c>
      <c r="C12" s="198" t="n">
        <v>50</v>
      </c>
      <c r="D12" s="199">
        <f>IF($C12="","",100-$C12)</f>
        <v/>
      </c>
      <c r="E12" s="197" t="inlineStr">
        <is>
          <t>کیوی — شراکت فصلی</t>
        </is>
      </c>
      <c r="F12" s="200" t="inlineStr">
        <is>
          <t>کیوی</t>
        </is>
      </c>
      <c r="G12" s="200" t="inlineStr">
        <is>
          <t>011-4221-3301</t>
        </is>
      </c>
      <c r="H12" s="200" t="inlineStr">
        <is>
          <t>0911-112-3344</t>
        </is>
      </c>
      <c r="I12" s="201" t="inlineStr">
        <is>
          <t>BN02</t>
        </is>
      </c>
      <c r="J12" s="202" t="inlineStr">
        <is>
          <t>فعال</t>
        </is>
      </c>
      <c r="K12" s="200" t="inlineStr">
        <is>
          <t>شریک اصلی کیوی؛ خرید و فروش مشترک</t>
        </is>
      </c>
    </row>
    <row r="13" ht="20" customHeight="1">
      <c r="A13" s="196" t="inlineStr">
        <is>
          <t>SH02</t>
        </is>
      </c>
      <c r="B13" s="197" t="inlineStr">
        <is>
          <t>رحمت‌الله اکبری</t>
        </is>
      </c>
      <c r="C13" s="198" t="n">
        <v>40</v>
      </c>
      <c r="D13" s="199">
        <f>IF($C13="","",100-$C13)</f>
        <v/>
      </c>
      <c r="E13" s="197" t="inlineStr">
        <is>
          <t>پرتقال تامسون</t>
        </is>
      </c>
      <c r="F13" s="200" t="inlineStr">
        <is>
          <t>پرتقال</t>
        </is>
      </c>
      <c r="G13" s="200" t="inlineStr">
        <is>
          <t>011-4221-3302</t>
        </is>
      </c>
      <c r="H13" s="200" t="inlineStr">
        <is>
          <t>0911-223-4455</t>
        </is>
      </c>
      <c r="I13" s="201" t="inlineStr">
        <is>
          <t>BN01</t>
        </is>
      </c>
      <c r="J13" s="202" t="inlineStr">
        <is>
          <t>فعال</t>
        </is>
      </c>
      <c r="K13" s="200" t="inlineStr">
        <is>
          <t>شراکت در خرید تامسون باغ‌های شرق</t>
        </is>
      </c>
    </row>
    <row r="14" ht="20" customHeight="1">
      <c r="A14" s="196" t="inlineStr">
        <is>
          <t>SH03</t>
        </is>
      </c>
      <c r="B14" s="197" t="inlineStr">
        <is>
          <t>مهدی رستمی</t>
        </is>
      </c>
      <c r="C14" s="198" t="n">
        <v>35</v>
      </c>
      <c r="D14" s="199">
        <f>IF($C14="","",100-$C14)</f>
        <v/>
      </c>
      <c r="E14" s="197" t="inlineStr">
        <is>
          <t>نارنگی پیش‌رس</t>
        </is>
      </c>
      <c r="F14" s="200" t="inlineStr">
        <is>
          <t>نارنگی</t>
        </is>
      </c>
      <c r="G14" s="200" t="inlineStr">
        <is>
          <t>011-4221-3303</t>
        </is>
      </c>
      <c r="H14" s="200" t="inlineStr">
        <is>
          <t>0911-334-5566</t>
        </is>
      </c>
      <c r="I14" s="201" t="inlineStr">
        <is>
          <t>BN03</t>
        </is>
      </c>
      <c r="J14" s="202" t="inlineStr">
        <is>
          <t>فعال</t>
        </is>
      </c>
      <c r="K14" s="200" t="inlineStr">
        <is>
          <t>نارنگی؛ تسویه ماهانه</t>
        </is>
      </c>
    </row>
    <row r="15" ht="20" customHeight="1">
      <c r="A15" s="196" t="inlineStr">
        <is>
          <t>SH04</t>
        </is>
      </c>
      <c r="B15" s="197" t="inlineStr">
        <is>
          <t>حسین نیک‌پور</t>
        </is>
      </c>
      <c r="C15" s="198" t="n">
        <v>50</v>
      </c>
      <c r="D15" s="199">
        <f>IF($C15="","",100-$C15)</f>
        <v/>
      </c>
      <c r="E15" s="197" t="inlineStr">
        <is>
          <t>کیوی — سردخانه</t>
        </is>
      </c>
      <c r="F15" s="200" t="inlineStr">
        <is>
          <t>کیوی</t>
        </is>
      </c>
      <c r="G15" s="200" t="inlineStr">
        <is>
          <t>011-4221-3304</t>
        </is>
      </c>
      <c r="H15" s="200" t="inlineStr">
        <is>
          <t>0911-445-6677</t>
        </is>
      </c>
      <c r="I15" s="201" t="inlineStr">
        <is>
          <t>BN02</t>
        </is>
      </c>
      <c r="J15" s="202" t="inlineStr">
        <is>
          <t>فعال</t>
        </is>
      </c>
      <c r="K15" s="200" t="inlineStr">
        <is>
          <t>کیوی سردخانه‌ای</t>
        </is>
      </c>
    </row>
    <row r="16" ht="20" customHeight="1">
      <c r="A16" s="196" t="inlineStr">
        <is>
          <t>SH05</t>
        </is>
      </c>
      <c r="B16" s="197" t="inlineStr">
        <is>
          <t>کریم صادقی</t>
        </is>
      </c>
      <c r="C16" s="198" t="n">
        <v>30</v>
      </c>
      <c r="D16" s="199">
        <f>IF($C16="","",100-$C16)</f>
        <v/>
      </c>
      <c r="E16" s="197" t="inlineStr">
        <is>
          <t>پرتقال خونی</t>
        </is>
      </c>
      <c r="F16" s="200" t="inlineStr">
        <is>
          <t>پرتقال</t>
        </is>
      </c>
      <c r="G16" s="200" t="inlineStr">
        <is>
          <t>011-4221-3305</t>
        </is>
      </c>
      <c r="H16" s="200" t="inlineStr">
        <is>
          <t>0911-556-7788</t>
        </is>
      </c>
      <c r="I16" s="201" t="inlineStr">
        <is>
          <t>BN04</t>
        </is>
      </c>
      <c r="J16" s="202" t="inlineStr">
        <is>
          <t>فعال</t>
        </is>
      </c>
      <c r="K16" s="200" t="inlineStr"/>
    </row>
    <row r="17" ht="20" customHeight="1">
      <c r="A17" s="196" t="inlineStr">
        <is>
          <t>SH06</t>
        </is>
      </c>
      <c r="B17" s="197" t="inlineStr">
        <is>
          <t>عباس موسوی</t>
        </is>
      </c>
      <c r="C17" s="198" t="n">
        <v>45</v>
      </c>
      <c r="D17" s="199">
        <f>IF($C17="","",100-$C17)</f>
        <v/>
      </c>
      <c r="E17" s="197" t="inlineStr">
        <is>
          <t>نارنگی — صادراتی</t>
        </is>
      </c>
      <c r="F17" s="200" t="inlineStr">
        <is>
          <t>نارنگی</t>
        </is>
      </c>
      <c r="G17" s="200" t="inlineStr">
        <is>
          <t>011-4221-3306</t>
        </is>
      </c>
      <c r="H17" s="200" t="inlineStr">
        <is>
          <t>0911-667-8899</t>
        </is>
      </c>
      <c r="I17" s="201" t="inlineStr">
        <is>
          <t>BN01</t>
        </is>
      </c>
      <c r="J17" s="202" t="inlineStr">
        <is>
          <t>فعال</t>
        </is>
      </c>
      <c r="K17" s="200" t="inlineStr">
        <is>
          <t>بار صادراتی مشترک</t>
        </is>
      </c>
    </row>
    <row r="18" ht="20" customHeight="1">
      <c r="A18" s="196" t="inlineStr">
        <is>
          <t>SH07</t>
        </is>
      </c>
      <c r="B18" s="197" t="inlineStr">
        <is>
          <t>رضا کاظمی</t>
        </is>
      </c>
      <c r="C18" s="198" t="n">
        <v>50</v>
      </c>
      <c r="D18" s="199">
        <f>IF($C18="","",100-$C18)</f>
        <v/>
      </c>
      <c r="E18" s="197" t="inlineStr">
        <is>
          <t>کیوی</t>
        </is>
      </c>
      <c r="F18" s="200" t="inlineStr">
        <is>
          <t>کیوی</t>
        </is>
      </c>
      <c r="G18" s="200" t="inlineStr">
        <is>
          <t>011-4221-3307</t>
        </is>
      </c>
      <c r="H18" s="200" t="inlineStr">
        <is>
          <t>0911-778-9900</t>
        </is>
      </c>
      <c r="I18" s="201" t="inlineStr">
        <is>
          <t>BN03</t>
        </is>
      </c>
      <c r="J18" s="202" t="inlineStr">
        <is>
          <t>فعال</t>
        </is>
      </c>
      <c r="K18" s="200" t="inlineStr"/>
    </row>
    <row r="19" ht="20" customHeight="1">
      <c r="A19" s="196" t="inlineStr">
        <is>
          <t>SH08</t>
        </is>
      </c>
      <c r="B19" s="197" t="inlineStr">
        <is>
          <t>مجید قاسمی</t>
        </is>
      </c>
      <c r="C19" s="198" t="n">
        <v>40</v>
      </c>
      <c r="D19" s="199">
        <f>IF($C19="","",100-$C19)</f>
        <v/>
      </c>
      <c r="E19" s="197" t="inlineStr">
        <is>
          <t>پرتقال والنسیا</t>
        </is>
      </c>
      <c r="F19" s="200" t="inlineStr">
        <is>
          <t>پرتقال</t>
        </is>
      </c>
      <c r="G19" s="200" t="inlineStr">
        <is>
          <t>011-4221-3308</t>
        </is>
      </c>
      <c r="H19" s="200" t="inlineStr">
        <is>
          <t>0911-889-0011</t>
        </is>
      </c>
      <c r="I19" s="201" t="inlineStr">
        <is>
          <t>BN02</t>
        </is>
      </c>
      <c r="J19" s="202" t="inlineStr">
        <is>
          <t>فعال</t>
        </is>
      </c>
      <c r="K19" s="200" t="inlineStr"/>
    </row>
    <row r="20" ht="20" customHeight="1">
      <c r="A20" s="196" t="inlineStr">
        <is>
          <t>SH09</t>
        </is>
      </c>
      <c r="B20" s="197" t="inlineStr">
        <is>
          <t>علی شریفی</t>
        </is>
      </c>
      <c r="C20" s="198" t="n">
        <v>25</v>
      </c>
      <c r="D20" s="199">
        <f>IF($C20="","",100-$C20)</f>
        <v/>
      </c>
      <c r="E20" s="197" t="inlineStr">
        <is>
          <t>نارنج</t>
        </is>
      </c>
      <c r="F20" s="200" t="inlineStr">
        <is>
          <t>نارنج</t>
        </is>
      </c>
      <c r="G20" s="200" t="inlineStr">
        <is>
          <t>011-4221-3309</t>
        </is>
      </c>
      <c r="H20" s="200" t="inlineStr">
        <is>
          <t>0911-990-1122</t>
        </is>
      </c>
      <c r="I20" s="201" t="inlineStr">
        <is>
          <t>BN04</t>
        </is>
      </c>
      <c r="J20" s="202" t="inlineStr">
        <is>
          <t>فعال</t>
        </is>
      </c>
      <c r="K20" s="200" t="inlineStr">
        <is>
          <t>نارنج؛ شراکت کوچک</t>
        </is>
      </c>
    </row>
    <row r="21" ht="20" customHeight="1">
      <c r="A21" s="196" t="inlineStr">
        <is>
          <t>SH10</t>
        </is>
      </c>
      <c r="B21" s="197" t="inlineStr">
        <is>
          <t>ناصر رحیمی</t>
        </is>
      </c>
      <c r="C21" s="198" t="n">
        <v>50</v>
      </c>
      <c r="D21" s="199">
        <f>IF($C21="","",100-$C21)</f>
        <v/>
      </c>
      <c r="E21" s="197" t="inlineStr">
        <is>
          <t>کیوی — درجه یک</t>
        </is>
      </c>
      <c r="F21" s="200" t="inlineStr">
        <is>
          <t>کیوی</t>
        </is>
      </c>
      <c r="G21" s="200" t="inlineStr">
        <is>
          <t>011-4221-3310</t>
        </is>
      </c>
      <c r="H21" s="200" t="inlineStr">
        <is>
          <t>0911-101-2233</t>
        </is>
      </c>
      <c r="I21" s="201" t="inlineStr">
        <is>
          <t>BN01</t>
        </is>
      </c>
      <c r="J21" s="202" t="inlineStr">
        <is>
          <t>فعال</t>
        </is>
      </c>
      <c r="K21" s="200" t="inlineStr"/>
    </row>
    <row r="22" ht="20" customHeight="1">
      <c r="A22" s="196" t="inlineStr">
        <is>
          <t>SH11</t>
        </is>
      </c>
      <c r="B22" s="197" t="inlineStr">
        <is>
          <t>بابک سلطانی</t>
        </is>
      </c>
      <c r="C22" s="198" t="n">
        <v>35</v>
      </c>
      <c r="D22" s="199">
        <f>IF($C22="","",100-$C22)</f>
        <v/>
      </c>
      <c r="E22" s="197" t="inlineStr">
        <is>
          <t>پرتقال — میدان بار</t>
        </is>
      </c>
      <c r="F22" s="200" t="inlineStr">
        <is>
          <t>پرتقال</t>
        </is>
      </c>
      <c r="G22" s="200" t="inlineStr">
        <is>
          <t>011-4221-3311</t>
        </is>
      </c>
      <c r="H22" s="200" t="inlineStr">
        <is>
          <t>0911-212-3344</t>
        </is>
      </c>
      <c r="I22" s="201" t="inlineStr">
        <is>
          <t>BN03</t>
        </is>
      </c>
      <c r="J22" s="202" t="inlineStr">
        <is>
          <t>فعال</t>
        </is>
      </c>
      <c r="K22" s="200" t="inlineStr"/>
    </row>
    <row r="23" ht="20" customHeight="1">
      <c r="A23" s="196" t="inlineStr">
        <is>
          <t>SH12</t>
        </is>
      </c>
      <c r="B23" s="197" t="inlineStr">
        <is>
          <t>جواد کریمی</t>
        </is>
      </c>
      <c r="C23" s="198" t="n">
        <v>60</v>
      </c>
      <c r="D23" s="199">
        <f>IF($C23="","",100-$C23)</f>
        <v/>
      </c>
      <c r="E23" s="197" t="inlineStr">
        <is>
          <t>کیوی — صادراتی</t>
        </is>
      </c>
      <c r="F23" s="200" t="inlineStr">
        <is>
          <t>کیوی</t>
        </is>
      </c>
      <c r="G23" s="200" t="inlineStr">
        <is>
          <t>011-4221-3312</t>
        </is>
      </c>
      <c r="H23" s="200" t="inlineStr">
        <is>
          <t>0911-323-4455</t>
        </is>
      </c>
      <c r="I23" s="201" t="inlineStr">
        <is>
          <t>BN02</t>
        </is>
      </c>
      <c r="J23" s="202" t="inlineStr">
        <is>
          <t>فعال</t>
        </is>
      </c>
      <c r="K23" s="200" t="inlineStr">
        <is>
          <t>سهم شریک ۶۰٪ — قرارداد کتبی</t>
        </is>
      </c>
    </row>
    <row r="24" ht="20" customHeight="1">
      <c r="A24" s="203" t="inlineStr">
        <is>
          <t>SH13</t>
        </is>
      </c>
      <c r="B24" s="204" t="inlineStr"/>
      <c r="C24" s="205" t="n"/>
      <c r="D24" s="206">
        <f>IF($C24="","",100-$C24)</f>
        <v/>
      </c>
      <c r="E24" s="204" t="inlineStr"/>
      <c r="F24" s="204" t="inlineStr"/>
      <c r="G24" s="204" t="inlineStr"/>
      <c r="H24" s="204" t="inlineStr"/>
      <c r="I24" s="203" t="inlineStr"/>
      <c r="J24" s="205" t="n"/>
      <c r="K24" s="204" t="inlineStr"/>
    </row>
    <row r="25" ht="20" customHeight="1">
      <c r="A25" s="203" t="inlineStr">
        <is>
          <t>SH14</t>
        </is>
      </c>
      <c r="B25" s="204" t="inlineStr"/>
      <c r="C25" s="205" t="n"/>
      <c r="D25" s="206">
        <f>IF($C25="","",100-$C25)</f>
        <v/>
      </c>
      <c r="E25" s="204" t="inlineStr"/>
      <c r="F25" s="204" t="inlineStr"/>
      <c r="G25" s="204" t="inlineStr"/>
      <c r="H25" s="204" t="inlineStr"/>
      <c r="I25" s="203" t="inlineStr"/>
      <c r="J25" s="205" t="n"/>
      <c r="K25" s="204" t="inlineStr"/>
    </row>
    <row r="26" ht="20" customHeight="1">
      <c r="A26" s="203" t="inlineStr">
        <is>
          <t>SH15</t>
        </is>
      </c>
      <c r="B26" s="204" t="inlineStr"/>
      <c r="C26" s="205" t="n"/>
      <c r="D26" s="206">
        <f>IF($C26="","",100-$C26)</f>
        <v/>
      </c>
      <c r="E26" s="204" t="inlineStr"/>
      <c r="F26" s="204" t="inlineStr"/>
      <c r="G26" s="204" t="inlineStr"/>
      <c r="H26" s="204" t="inlineStr"/>
      <c r="I26" s="203" t="inlineStr"/>
      <c r="J26" s="205" t="n"/>
      <c r="K26" s="204" t="inlineStr"/>
    </row>
    <row r="27" ht="20" customHeight="1">
      <c r="A27" s="203" t="inlineStr">
        <is>
          <t>SH16</t>
        </is>
      </c>
      <c r="B27" s="204" t="inlineStr"/>
      <c r="C27" s="205" t="n"/>
      <c r="D27" s="206">
        <f>IF($C27="","",100-$C27)</f>
        <v/>
      </c>
      <c r="E27" s="204" t="inlineStr"/>
      <c r="F27" s="204" t="inlineStr"/>
      <c r="G27" s="204" t="inlineStr"/>
      <c r="H27" s="204" t="inlineStr"/>
      <c r="I27" s="203" t="inlineStr"/>
      <c r="J27" s="205" t="n"/>
      <c r="K27" s="204" t="inlineStr"/>
    </row>
    <row r="28" ht="20" customHeight="1">
      <c r="A28" s="203" t="inlineStr">
        <is>
          <t>SH17</t>
        </is>
      </c>
      <c r="B28" s="204" t="inlineStr"/>
      <c r="C28" s="205" t="n"/>
      <c r="D28" s="206">
        <f>IF($C28="","",100-$C28)</f>
        <v/>
      </c>
      <c r="E28" s="204" t="inlineStr"/>
      <c r="F28" s="204" t="inlineStr"/>
      <c r="G28" s="204" t="inlineStr"/>
      <c r="H28" s="204" t="inlineStr"/>
      <c r="I28" s="203" t="inlineStr"/>
      <c r="J28" s="205" t="n"/>
      <c r="K28" s="204" t="inlineStr"/>
    </row>
    <row r="29" ht="20" customHeight="1">
      <c r="A29" s="203" t="inlineStr">
        <is>
          <t>SH18</t>
        </is>
      </c>
      <c r="B29" s="204" t="inlineStr"/>
      <c r="C29" s="205" t="n"/>
      <c r="D29" s="206">
        <f>IF($C29="","",100-$C29)</f>
        <v/>
      </c>
      <c r="E29" s="204" t="inlineStr"/>
      <c r="F29" s="204" t="inlineStr"/>
      <c r="G29" s="204" t="inlineStr"/>
      <c r="H29" s="204" t="inlineStr"/>
      <c r="I29" s="203" t="inlineStr"/>
      <c r="J29" s="205" t="n"/>
      <c r="K29" s="204" t="inlineStr"/>
    </row>
    <row r="30" ht="20" customHeight="1">
      <c r="A30" s="203" t="inlineStr">
        <is>
          <t>SH19</t>
        </is>
      </c>
      <c r="B30" s="204" t="inlineStr"/>
      <c r="C30" s="205" t="n"/>
      <c r="D30" s="206">
        <f>IF($C30="","",100-$C30)</f>
        <v/>
      </c>
      <c r="E30" s="204" t="inlineStr"/>
      <c r="F30" s="204" t="inlineStr"/>
      <c r="G30" s="204" t="inlineStr"/>
      <c r="H30" s="204" t="inlineStr"/>
      <c r="I30" s="203" t="inlineStr"/>
      <c r="J30" s="205" t="n"/>
      <c r="K30" s="204" t="inlineStr"/>
    </row>
    <row r="31" ht="20" customHeight="1">
      <c r="A31" s="203" t="inlineStr">
        <is>
          <t>SH20</t>
        </is>
      </c>
      <c r="B31" s="204" t="inlineStr"/>
      <c r="C31" s="205" t="n"/>
      <c r="D31" s="206">
        <f>IF($C31="","",100-$C31)</f>
        <v/>
      </c>
      <c r="E31" s="204" t="inlineStr"/>
      <c r="F31" s="204" t="inlineStr"/>
      <c r="G31" s="204" t="inlineStr"/>
      <c r="H31" s="204" t="inlineStr"/>
      <c r="I31" s="203" t="inlineStr"/>
      <c r="J31" s="205" t="n"/>
      <c r="K31" s="204" t="inlineStr"/>
    </row>
    <row r="32"/>
    <row r="33" ht="42" customHeight="1">
      <c r="A33" s="217" t="inlineStr">
        <is>
          <t xml:space="preserve">   قاعده: سهم شریک از «وزن» محاسبه می‌شود. در باسکول، عملیات «خرید شراکتی (ورود)» یا «فروش شراکتی (خروج)» را بزنید و کد شریک را در ستون طرف حساب انتخاب کنید؛ سیستم وزن و مبلغ را به دو سهم تقسیم می‌کند و فقط سهم شرکت را سند می‌زند.</t>
        </is>
      </c>
      <c r="B33" s="218" t="n"/>
      <c r="C33" s="218" t="n"/>
      <c r="D33" s="218" t="n"/>
      <c r="E33" s="218" t="n"/>
      <c r="F33" s="218" t="n"/>
      <c r="G33" s="218" t="n"/>
      <c r="H33" s="218" t="n"/>
      <c r="I33" s="218" t="n"/>
      <c r="J33" s="218" t="n"/>
      <c r="K33" s="218" t="n"/>
    </row>
    <row r="34" ht="38" customHeight="1">
      <c r="A34" s="219" t="inlineStr">
        <is>
          <t xml:space="preserve">   پرداخت به شریک = سهم واریزی ما. هر پرداخت به حساب SHxx در شیت پرداخت (01_Entry) یا تراکنش بانکی (02_Bank) ثبت شود تا مانده بدهی ما به شریک، خودکار محاسبه شود.</t>
        </is>
      </c>
      <c r="B34" s="218" t="n"/>
      <c r="C34" s="218" t="n"/>
      <c r="D34" s="218" t="n"/>
      <c r="E34" s="218" t="n"/>
      <c r="F34" s="218" t="n"/>
      <c r="G34" s="218" t="n"/>
      <c r="H34" s="218" t="n"/>
      <c r="I34" s="218" t="n"/>
      <c r="J34" s="218" t="n"/>
      <c r="K34" s="218" t="n"/>
    </row>
  </sheetData>
  <mergeCells count="16">
    <mergeCell ref="D6:E6"/>
    <mergeCell ref="A34:K34"/>
    <mergeCell ref="D7:E7"/>
    <mergeCell ref="H6:I6"/>
    <mergeCell ref="A3:K3"/>
    <mergeCell ref="J6:K6"/>
    <mergeCell ref="H7:I7"/>
    <mergeCell ref="A9:J9"/>
    <mergeCell ref="A6:C6"/>
    <mergeCell ref="J7:K7"/>
    <mergeCell ref="A2:K2"/>
    <mergeCell ref="A33:K33"/>
    <mergeCell ref="F6:G6"/>
    <mergeCell ref="A7:C7"/>
    <mergeCell ref="A1:K1"/>
    <mergeCell ref="F7:G7"/>
  </mergeCells>
  <dataValidations count="4">
    <dataValidation sqref="C12:C31" showDropDown="0" showInputMessage="1" showErrorMessage="1" allowBlank="1" errorTitle="نسبت شریک" error="عدد بین ۱ و ۹۹ وارد کنید (درصد سهم شریک)." promptTitle="نسبت سهم شریک" prompt="مثلاً 50 یعنی نصف بار و مبلغ سهم شریک است و نصف دیگر سهم شرکت." type="decimal" operator="between">
      <formula1>1</formula1>
      <formula2>99</formula2>
    </dataValidation>
    <dataValidation sqref="J12:J31" showDropDown="0" showInputMessage="0" showErrorMessage="1" allowBlank="1" type="list">
      <formula1>"فعال,غیرفعال"</formula1>
    </dataValidation>
    <dataValidation sqref="I12:I31" showDropDown="0" showInputMessage="0" showErrorMessage="1" allowBlank="1" type="list">
      <formula1>Bnk!$A$10:$A$19</formula1>
    </dataValidation>
    <dataValidation sqref="F12:F31" showDropDown="0" showInputMessage="0" showErrorMessage="1" allowBlank="1" type="list">
      <formula1>Prd!$B$10:$B$29</formula1>
    </dataValidation>
  </dataValidations>
  <printOptions horizontalCentered="1"/>
  <pageMargins left="0.3" right="0.3" top="0.45" bottom="0.5" header="0.5" footer="0.5"/>
  <pageSetup orientation="landscape" paperSize="9" fitToHeight="0" fitToWidth="1"/>
  <headerFooter>
    <oddHeader>&amp;L&amp;8 مازندشت — سامانه حسابداری سورتینگ&amp;C&amp;8 MAZANDASHT · SHRK&amp;R&amp;8 &amp;A</oddHeader>
    <oddFooter>&amp;L&amp;8 &amp;F&amp;C&amp;8 صفحه &amp;P از &amp;N&amp;R&amp;8 نسخه ۰۴ · ۱۴۰۵</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26" customWidth="1" min="2" max="2"/>
    <col width="34" customWidth="1" min="3" max="3"/>
    <col width="13" customWidth="1" min="4" max="4"/>
    <col width="22" customWidth="1" min="5" max="5"/>
    <col width="40" customWidth="1" min="6" max="6"/>
    <col width="8" customWidth="1" min="7" max="7"/>
  </cols>
  <sheetData>
    <row r="1" ht="30" customHeight="1">
      <c r="A1" s="165" t="inlineStr">
        <is>
          <t xml:space="preserve">   طبقه‌بندی تراکنش‌های بانکی — این پول برای چه کاری بود؟</t>
        </is>
      </c>
    </row>
    <row r="2" ht="30" customHeight="1">
      <c r="A2" s="166" t="inlineStr">
        <is>
          <t xml:space="preserve">   دو ستون اول، کشوی دوستونی شیت Txn را می‌سازد: «طبقه» (کشوی اول) و «زیرطبقه» (کشوی دوم) — بعد از انتخاب طبقه، فقط زیرطبقه‌های همان طبقه نشان داده می‌شود. ستون «دامنه» می‌گوید این پول شرکت است یا پول شخصی رئیس.</t>
        </is>
      </c>
    </row>
    <row r="3"/>
    <row r="4"/>
    <row r="5"/>
    <row r="6"/>
    <row r="7"/>
    <row r="8" ht="24" customHeight="1">
      <c r="A8" s="167" t="inlineStr">
        <is>
          <t>کد</t>
        </is>
      </c>
      <c r="B8" s="167" t="inlineStr">
        <is>
          <t>طبقه (کشوی اول)</t>
        </is>
      </c>
      <c r="C8" s="167" t="inlineStr">
        <is>
          <t>زیرطبقه (کشوی دوم)</t>
        </is>
      </c>
      <c r="D8" s="167" t="inlineStr">
        <is>
          <t>دامنه</t>
        </is>
      </c>
      <c r="E8" s="167" t="inlineStr">
        <is>
          <t>گروه حساب</t>
        </is>
      </c>
      <c r="F8" s="167" t="inlineStr">
        <is>
          <t>توضیح</t>
        </is>
      </c>
      <c r="G8" s="167" t="inlineStr">
        <is>
          <t>فعال</t>
        </is>
      </c>
    </row>
    <row r="9">
      <c r="A9" s="168" t="inlineStr">
        <is>
          <t>Code</t>
        </is>
      </c>
      <c r="B9" s="168" t="inlineStr">
        <is>
          <t>Category</t>
        </is>
      </c>
      <c r="C9" s="168" t="inlineStr">
        <is>
          <t>Sub-category</t>
        </is>
      </c>
      <c r="D9" s="168" t="inlineStr">
        <is>
          <t>Scope</t>
        </is>
      </c>
      <c r="E9" s="168" t="inlineStr">
        <is>
          <t>Group</t>
        </is>
      </c>
      <c r="F9" s="168" t="inlineStr">
        <is>
          <t>Note</t>
        </is>
      </c>
      <c r="G9" s="168" t="inlineStr">
        <is>
          <t>Active</t>
        </is>
      </c>
    </row>
    <row r="10">
      <c r="A10" s="169" t="inlineStr">
        <is>
          <t>TC01</t>
        </is>
      </c>
      <c r="B10" s="170" t="inlineStr">
        <is>
          <t>خرید و فروش مرکبات</t>
        </is>
      </c>
      <c r="C10" s="170" t="inlineStr">
        <is>
          <t>خرید مرکبات</t>
        </is>
      </c>
      <c r="D10" s="169" t="inlineStr">
        <is>
          <t>شرکتی</t>
        </is>
      </c>
      <c r="E10" s="169" t="inlineStr">
        <is>
          <t>باغدار</t>
        </is>
      </c>
      <c r="F10" s="169" t="inlineStr">
        <is>
          <t>هزینه/درآمد شرکت</t>
        </is>
      </c>
      <c r="G10" s="169" t="inlineStr">
        <is>
          <t>بله</t>
        </is>
      </c>
    </row>
    <row r="11">
      <c r="A11" s="169" t="inlineStr">
        <is>
          <t>TC02</t>
        </is>
      </c>
      <c r="B11" s="170" t="inlineStr">
        <is>
          <t>خرید و فروش مرکبات</t>
        </is>
      </c>
      <c r="C11" s="170" t="inlineStr">
        <is>
          <t>فروش مرکبات</t>
        </is>
      </c>
      <c r="D11" s="169" t="inlineStr">
        <is>
          <t>شرکتی</t>
        </is>
      </c>
      <c r="E11" s="169" t="inlineStr">
        <is>
          <t>بارفروش</t>
        </is>
      </c>
      <c r="F11" s="169" t="inlineStr">
        <is>
          <t>هزینه/درآمد شرکت</t>
        </is>
      </c>
      <c r="G11" s="169" t="inlineStr">
        <is>
          <t>بله</t>
        </is>
      </c>
    </row>
    <row r="12">
      <c r="A12" s="169" t="inlineStr">
        <is>
          <t>TC03</t>
        </is>
      </c>
      <c r="B12" s="170" t="inlineStr">
        <is>
          <t>خرید و فروش مرکبات</t>
        </is>
      </c>
      <c r="C12" s="170" t="inlineStr">
        <is>
          <t>واریز بارفروشان</t>
        </is>
      </c>
      <c r="D12" s="169" t="inlineStr">
        <is>
          <t>شرکتی</t>
        </is>
      </c>
      <c r="E12" s="169" t="inlineStr">
        <is>
          <t>بارفروش</t>
        </is>
      </c>
      <c r="F12" s="169" t="inlineStr">
        <is>
          <t>هزینه/درآمد شرکت</t>
        </is>
      </c>
      <c r="G12" s="169" t="inlineStr">
        <is>
          <t>بله</t>
        </is>
      </c>
    </row>
    <row r="13">
      <c r="A13" s="169" t="inlineStr">
        <is>
          <t>TC04</t>
        </is>
      </c>
      <c r="B13" s="170" t="inlineStr">
        <is>
          <t>خرید و فروش مرکبات</t>
        </is>
      </c>
      <c r="C13" s="170" t="inlineStr">
        <is>
          <t>دریافتی از مشتری</t>
        </is>
      </c>
      <c r="D13" s="169" t="inlineStr">
        <is>
          <t>شرکتی</t>
        </is>
      </c>
      <c r="E13" s="169" t="inlineStr">
        <is>
          <t>بارفروش</t>
        </is>
      </c>
      <c r="F13" s="169" t="inlineStr">
        <is>
          <t>هزینه/درآمد شرکت</t>
        </is>
      </c>
      <c r="G13" s="169" t="inlineStr">
        <is>
          <t>بله</t>
        </is>
      </c>
    </row>
    <row r="14">
      <c r="A14" s="169" t="inlineStr">
        <is>
          <t>TC05</t>
        </is>
      </c>
      <c r="B14" s="170" t="inlineStr">
        <is>
          <t>خرید و فروش مرکبات</t>
        </is>
      </c>
      <c r="C14" s="170" t="inlineStr">
        <is>
          <t>پرداخت به باغدار</t>
        </is>
      </c>
      <c r="D14" s="169" t="inlineStr">
        <is>
          <t>شرکتی</t>
        </is>
      </c>
      <c r="E14" s="169" t="inlineStr">
        <is>
          <t>باغدار</t>
        </is>
      </c>
      <c r="F14" s="169" t="inlineStr">
        <is>
          <t>هزینه/درآمد شرکت</t>
        </is>
      </c>
      <c r="G14" s="169" t="inlineStr">
        <is>
          <t>بله</t>
        </is>
      </c>
    </row>
    <row r="15">
      <c r="A15" s="169" t="inlineStr">
        <is>
          <t>TC06</t>
        </is>
      </c>
      <c r="B15" s="170" t="inlineStr">
        <is>
          <t>سبد و بسته‌بندی</t>
        </is>
      </c>
      <c r="C15" s="170" t="inlineStr">
        <is>
          <t>خرید سبد</t>
        </is>
      </c>
      <c r="D15" s="169" t="inlineStr">
        <is>
          <t>شرکتی</t>
        </is>
      </c>
      <c r="E15" s="169" t="inlineStr">
        <is>
          <t>فروشنده سبد</t>
        </is>
      </c>
      <c r="F15" s="169" t="inlineStr">
        <is>
          <t>هزینه/درآمد شرکت</t>
        </is>
      </c>
      <c r="G15" s="169" t="inlineStr">
        <is>
          <t>بله</t>
        </is>
      </c>
    </row>
    <row r="16">
      <c r="A16" s="169" t="inlineStr">
        <is>
          <t>TC07</t>
        </is>
      </c>
      <c r="B16" s="170" t="inlineStr">
        <is>
          <t>سبد و بسته‌بندی</t>
        </is>
      </c>
      <c r="C16" s="170" t="inlineStr">
        <is>
          <t>فروش سبد</t>
        </is>
      </c>
      <c r="D16" s="169" t="inlineStr">
        <is>
          <t>شرکتی</t>
        </is>
      </c>
      <c r="E16" s="169" t="inlineStr">
        <is>
          <t>فروشنده سبد</t>
        </is>
      </c>
      <c r="F16" s="169" t="inlineStr">
        <is>
          <t>هزینه/درآمد شرکت</t>
        </is>
      </c>
      <c r="G16" s="169" t="inlineStr">
        <is>
          <t>بله</t>
        </is>
      </c>
    </row>
    <row r="17">
      <c r="A17" s="169" t="inlineStr">
        <is>
          <t>TC16</t>
        </is>
      </c>
      <c r="B17" s="170" t="inlineStr">
        <is>
          <t>سبد و بسته‌بندی</t>
        </is>
      </c>
      <c r="C17" s="170" t="inlineStr">
        <is>
          <t>قطعات و لوازم یدکی</t>
        </is>
      </c>
      <c r="D17" s="169" t="inlineStr">
        <is>
          <t>شرکتی</t>
        </is>
      </c>
      <c r="E17" s="169" t="inlineStr">
        <is>
          <t>سایر حساب</t>
        </is>
      </c>
      <c r="F17" s="169" t="inlineStr">
        <is>
          <t>هزینه/درآمد شرکت</t>
        </is>
      </c>
      <c r="G17" s="169" t="inlineStr">
        <is>
          <t>بله</t>
        </is>
      </c>
    </row>
    <row r="18">
      <c r="A18" s="169" t="inlineStr">
        <is>
          <t>TC08</t>
        </is>
      </c>
      <c r="B18" s="170" t="inlineStr">
        <is>
          <t>هزینه جاری</t>
        </is>
      </c>
      <c r="C18" s="170" t="inlineStr">
        <is>
          <t>حمل و تخلیه</t>
        </is>
      </c>
      <c r="D18" s="169" t="inlineStr">
        <is>
          <t>شرکتی</t>
        </is>
      </c>
      <c r="E18" s="169" t="inlineStr">
        <is>
          <t>سایر حساب</t>
        </is>
      </c>
      <c r="F18" s="169" t="inlineStr">
        <is>
          <t>هزینه/درآمد شرکت</t>
        </is>
      </c>
      <c r="G18" s="169" t="inlineStr">
        <is>
          <t>بله</t>
        </is>
      </c>
    </row>
    <row r="19">
      <c r="A19" s="169" t="inlineStr">
        <is>
          <t>TC09</t>
        </is>
      </c>
      <c r="B19" s="170" t="inlineStr">
        <is>
          <t>هزینه جاری</t>
        </is>
      </c>
      <c r="C19" s="170" t="inlineStr">
        <is>
          <t>کارمزد بانکی</t>
        </is>
      </c>
      <c r="D19" s="169" t="inlineStr">
        <is>
          <t>شرکتی</t>
        </is>
      </c>
      <c r="E19" s="169" t="inlineStr">
        <is>
          <t>سایر حساب</t>
        </is>
      </c>
      <c r="F19" s="169" t="inlineStr">
        <is>
          <t>هزینه/درآمد شرکت</t>
        </is>
      </c>
      <c r="G19" s="169" t="inlineStr">
        <is>
          <t>بله</t>
        </is>
      </c>
    </row>
    <row r="20">
      <c r="A20" s="169" t="inlineStr">
        <is>
          <t>TC10</t>
        </is>
      </c>
      <c r="B20" s="170" t="inlineStr">
        <is>
          <t>هزینه جاری</t>
        </is>
      </c>
      <c r="C20" s="170" t="inlineStr">
        <is>
          <t>قبض آب، برق و گاز</t>
        </is>
      </c>
      <c r="D20" s="169" t="inlineStr">
        <is>
          <t>شرکتی</t>
        </is>
      </c>
      <c r="E20" s="169" t="inlineStr">
        <is>
          <t>سایر حساب</t>
        </is>
      </c>
      <c r="F20" s="169" t="inlineStr">
        <is>
          <t>هزینه/درآمد شرکت</t>
        </is>
      </c>
      <c r="G20" s="169" t="inlineStr">
        <is>
          <t>بله</t>
        </is>
      </c>
    </row>
    <row r="21">
      <c r="A21" s="169" t="inlineStr">
        <is>
          <t>TC17</t>
        </is>
      </c>
      <c r="B21" s="170" t="inlineStr">
        <is>
          <t>هزینه جاری</t>
        </is>
      </c>
      <c r="C21" s="170" t="inlineStr">
        <is>
          <t>سوخت و انرژی</t>
        </is>
      </c>
      <c r="D21" s="169" t="inlineStr">
        <is>
          <t>شرکتی</t>
        </is>
      </c>
      <c r="E21" s="169" t="inlineStr">
        <is>
          <t>سایر حساب</t>
        </is>
      </c>
      <c r="F21" s="169" t="inlineStr">
        <is>
          <t>هزینه/درآمد شرکت</t>
        </is>
      </c>
      <c r="G21" s="169" t="inlineStr">
        <is>
          <t>بله</t>
        </is>
      </c>
    </row>
    <row r="22">
      <c r="A22" s="169" t="inlineStr">
        <is>
          <t>TC18</t>
        </is>
      </c>
      <c r="B22" s="170" t="inlineStr">
        <is>
          <t>هزینه جاری</t>
        </is>
      </c>
      <c r="C22" s="170" t="inlineStr">
        <is>
          <t>اجاره انبار و زمین</t>
        </is>
      </c>
      <c r="D22" s="169" t="inlineStr">
        <is>
          <t>شرکتی</t>
        </is>
      </c>
      <c r="E22" s="169" t="inlineStr">
        <is>
          <t>سایر حساب</t>
        </is>
      </c>
      <c r="F22" s="169" t="inlineStr">
        <is>
          <t>هزینه/درآمد شرکت</t>
        </is>
      </c>
      <c r="G22" s="169" t="inlineStr">
        <is>
          <t>بله</t>
        </is>
      </c>
    </row>
    <row r="23">
      <c r="A23" s="169" t="inlineStr">
        <is>
          <t>TC24</t>
        </is>
      </c>
      <c r="B23" s="170" t="inlineStr">
        <is>
          <t>هزینه جاری</t>
        </is>
      </c>
      <c r="C23" s="170" t="inlineStr">
        <is>
          <t>مالیات و عوارض</t>
        </is>
      </c>
      <c r="D23" s="169" t="inlineStr">
        <is>
          <t>شرکتی</t>
        </is>
      </c>
      <c r="E23" s="169" t="inlineStr">
        <is>
          <t>سایر حساب</t>
        </is>
      </c>
      <c r="F23" s="169" t="inlineStr">
        <is>
          <t>هزینه/درآمد شرکت</t>
        </is>
      </c>
      <c r="G23" s="169" t="inlineStr">
        <is>
          <t>بله</t>
        </is>
      </c>
    </row>
    <row r="24">
      <c r="A24" s="169" t="inlineStr">
        <is>
          <t>TC11</t>
        </is>
      </c>
      <c r="B24" s="170" t="inlineStr">
        <is>
          <t>نیروی انسانی</t>
        </is>
      </c>
      <c r="C24" s="170" t="inlineStr">
        <is>
          <t>حقوق و دستمزد</t>
        </is>
      </c>
      <c r="D24" s="169" t="inlineStr">
        <is>
          <t>شرکتی</t>
        </is>
      </c>
      <c r="E24" s="169" t="inlineStr">
        <is>
          <t>کارمند</t>
        </is>
      </c>
      <c r="F24" s="169" t="inlineStr">
        <is>
          <t>هزینه/درآمد شرکت</t>
        </is>
      </c>
      <c r="G24" s="169" t="inlineStr">
        <is>
          <t>بله</t>
        </is>
      </c>
    </row>
    <row r="25">
      <c r="A25" s="169" t="inlineStr">
        <is>
          <t>TC12</t>
        </is>
      </c>
      <c r="B25" s="170" t="inlineStr">
        <is>
          <t>نیروی انسانی</t>
        </is>
      </c>
      <c r="C25" s="170" t="inlineStr">
        <is>
          <t>بیمه تأمین اجتماعی</t>
        </is>
      </c>
      <c r="D25" s="169" t="inlineStr">
        <is>
          <t>شرکتی</t>
        </is>
      </c>
      <c r="E25" s="169" t="inlineStr">
        <is>
          <t>کارمند</t>
        </is>
      </c>
      <c r="F25" s="169" t="inlineStr">
        <is>
          <t>هزینه/درآمد شرکت</t>
        </is>
      </c>
      <c r="G25" s="169" t="inlineStr">
        <is>
          <t>بله</t>
        </is>
      </c>
    </row>
    <row r="26">
      <c r="A26" s="169" t="inlineStr">
        <is>
          <t>TC13</t>
        </is>
      </c>
      <c r="B26" s="170" t="inlineStr">
        <is>
          <t>تعمیر و نگهداری</t>
        </is>
      </c>
      <c r="C26" s="170" t="inlineStr">
        <is>
          <t>تعمیر و نگهداری دستگاه سورتینگ</t>
        </is>
      </c>
      <c r="D26" s="169" t="inlineStr">
        <is>
          <t>شرکتی</t>
        </is>
      </c>
      <c r="E26" s="169" t="inlineStr">
        <is>
          <t>سایر حساب</t>
        </is>
      </c>
      <c r="F26" s="169" t="inlineStr">
        <is>
          <t>هزینه/درآمد شرکت</t>
        </is>
      </c>
      <c r="G26" s="169" t="inlineStr">
        <is>
          <t>بله</t>
        </is>
      </c>
    </row>
    <row r="27">
      <c r="A27" s="169" t="inlineStr">
        <is>
          <t>TC14</t>
        </is>
      </c>
      <c r="B27" s="170" t="inlineStr">
        <is>
          <t>تعمیر و نگهداری</t>
        </is>
      </c>
      <c r="C27" s="170" t="inlineStr">
        <is>
          <t>تعمیر و نگهداری خط بسته‌بندی</t>
        </is>
      </c>
      <c r="D27" s="169" t="inlineStr">
        <is>
          <t>شرکتی</t>
        </is>
      </c>
      <c r="E27" s="169" t="inlineStr">
        <is>
          <t>سایر حساب</t>
        </is>
      </c>
      <c r="F27" s="169" t="inlineStr">
        <is>
          <t>هزینه/درآمد شرکت</t>
        </is>
      </c>
      <c r="G27" s="169" t="inlineStr">
        <is>
          <t>بله</t>
        </is>
      </c>
    </row>
    <row r="28">
      <c r="A28" s="169" t="inlineStr">
        <is>
          <t>TC15</t>
        </is>
      </c>
      <c r="B28" s="170" t="inlineStr">
        <is>
          <t>تعمیر و نگهداری</t>
        </is>
      </c>
      <c r="C28" s="170" t="inlineStr">
        <is>
          <t>تعمیر و نگهداری سردخانه</t>
        </is>
      </c>
      <c r="D28" s="169" t="inlineStr">
        <is>
          <t>شرکتی</t>
        </is>
      </c>
      <c r="E28" s="169" t="inlineStr">
        <is>
          <t>سایر حساب</t>
        </is>
      </c>
      <c r="F28" s="169" t="inlineStr">
        <is>
          <t>هزینه/درآمد شرکت</t>
        </is>
      </c>
      <c r="G28" s="169" t="inlineStr">
        <is>
          <t>بله</t>
        </is>
      </c>
    </row>
    <row r="29">
      <c r="A29" s="169" t="inlineStr">
        <is>
          <t>TC20</t>
        </is>
      </c>
      <c r="B29" s="170" t="inlineStr">
        <is>
          <t>باسکول دیگران</t>
        </is>
      </c>
      <c r="C29" s="170" t="inlineStr">
        <is>
          <t>هزینه باسکول دیگران</t>
        </is>
      </c>
      <c r="D29" s="169" t="inlineStr">
        <is>
          <t>شرکتی</t>
        </is>
      </c>
      <c r="E29" s="169" t="inlineStr">
        <is>
          <t>باسکول دیگران</t>
        </is>
      </c>
      <c r="F29" s="169" t="inlineStr">
        <is>
          <t>هزینه/درآمد شرکت</t>
        </is>
      </c>
      <c r="G29" s="169" t="inlineStr">
        <is>
          <t>بله</t>
        </is>
      </c>
    </row>
    <row r="30">
      <c r="A30" s="169" t="inlineStr">
        <is>
          <t>TC21</t>
        </is>
      </c>
      <c r="B30" s="170" t="inlineStr">
        <is>
          <t>باسکول دیگران</t>
        </is>
      </c>
      <c r="C30" s="170" t="inlineStr">
        <is>
          <t>تسویه باسکول دیگران</t>
        </is>
      </c>
      <c r="D30" s="169" t="inlineStr">
        <is>
          <t>شرکتی</t>
        </is>
      </c>
      <c r="E30" s="169" t="inlineStr">
        <is>
          <t>باسکول دیگران</t>
        </is>
      </c>
      <c r="F30" s="169" t="inlineStr">
        <is>
          <t>هزینه/درآمد شرکت</t>
        </is>
      </c>
      <c r="G30" s="169" t="inlineStr">
        <is>
          <t>بله</t>
        </is>
      </c>
    </row>
    <row r="31">
      <c r="A31" s="169" t="inlineStr">
        <is>
          <t>TC19</t>
        </is>
      </c>
      <c r="B31" s="170" t="inlineStr">
        <is>
          <t>مالی و سرمایه</t>
        </is>
      </c>
      <c r="C31" s="170" t="inlineStr">
        <is>
          <t>انعام مصطفی</t>
        </is>
      </c>
      <c r="D31" s="169" t="inlineStr">
        <is>
          <t>شرکتی</t>
        </is>
      </c>
      <c r="E31" s="169" t="inlineStr">
        <is>
          <t>سایر حساب</t>
        </is>
      </c>
      <c r="F31" s="169" t="inlineStr">
        <is>
          <t>هزینه/درآمد شرکت</t>
        </is>
      </c>
      <c r="G31" s="169" t="inlineStr">
        <is>
          <t>بله</t>
        </is>
      </c>
    </row>
    <row r="32">
      <c r="A32" s="169" t="inlineStr">
        <is>
          <t>TC22</t>
        </is>
      </c>
      <c r="B32" s="170" t="inlineStr">
        <is>
          <t>مالی و سرمایه</t>
        </is>
      </c>
      <c r="C32" s="170" t="inlineStr">
        <is>
          <t>اقساط و تسهیلات</t>
        </is>
      </c>
      <c r="D32" s="169" t="inlineStr">
        <is>
          <t>شرکتی</t>
        </is>
      </c>
      <c r="E32" s="169" t="inlineStr">
        <is>
          <t>وام و تسهیلات</t>
        </is>
      </c>
      <c r="F32" s="169" t="inlineStr">
        <is>
          <t>هزینه/درآمد شرکت</t>
        </is>
      </c>
      <c r="G32" s="169" t="inlineStr">
        <is>
          <t>بله</t>
        </is>
      </c>
    </row>
    <row r="33">
      <c r="A33" s="169" t="inlineStr">
        <is>
          <t>TC23</t>
        </is>
      </c>
      <c r="B33" s="170" t="inlineStr">
        <is>
          <t>مالی و سرمایه</t>
        </is>
      </c>
      <c r="C33" s="170" t="inlineStr">
        <is>
          <t>دریافت تسهیلات</t>
        </is>
      </c>
      <c r="D33" s="169" t="inlineStr">
        <is>
          <t>شرکتی</t>
        </is>
      </c>
      <c r="E33" s="169" t="inlineStr">
        <is>
          <t>وام و تسهیلات</t>
        </is>
      </c>
      <c r="F33" s="169" t="inlineStr">
        <is>
          <t>هزینه/درآمد شرکت</t>
        </is>
      </c>
      <c r="G33" s="169" t="inlineStr">
        <is>
          <t>بله</t>
        </is>
      </c>
    </row>
    <row r="34">
      <c r="A34" s="169" t="inlineStr">
        <is>
          <t>TC25</t>
        </is>
      </c>
      <c r="B34" s="170" t="inlineStr">
        <is>
          <t>مالی و سرمایه</t>
        </is>
      </c>
      <c r="C34" s="170" t="inlineStr">
        <is>
          <t>سرمایه و آورده صاحبان</t>
        </is>
      </c>
      <c r="D34" s="169" t="inlineStr">
        <is>
          <t>شرکتی</t>
        </is>
      </c>
      <c r="E34" s="169" t="inlineStr">
        <is>
          <t>سرمایه و آورده صاحبان</t>
        </is>
      </c>
      <c r="F34" s="169" t="inlineStr">
        <is>
          <t>هزینه/درآمد شرکت</t>
        </is>
      </c>
      <c r="G34" s="169" t="inlineStr">
        <is>
          <t>بله</t>
        </is>
      </c>
    </row>
    <row r="35">
      <c r="A35" s="169" t="inlineStr">
        <is>
          <t>TC26</t>
        </is>
      </c>
      <c r="B35" s="170" t="inlineStr">
        <is>
          <t>مالی و سرمایه</t>
        </is>
      </c>
      <c r="C35" s="170" t="inlineStr">
        <is>
          <t>انتقال بین حساب‌های شرکت</t>
        </is>
      </c>
      <c r="D35" s="169" t="inlineStr">
        <is>
          <t>شرکتی</t>
        </is>
      </c>
      <c r="E35" s="169" t="inlineStr">
        <is>
          <t>سایر حساب</t>
        </is>
      </c>
      <c r="F35" s="169" t="inlineStr">
        <is>
          <t>هزینه/درآمد شرکت</t>
        </is>
      </c>
      <c r="G35" s="169" t="inlineStr">
        <is>
          <t>بله</t>
        </is>
      </c>
    </row>
    <row r="36">
      <c r="A36" s="169" t="inlineStr">
        <is>
          <t>TC27</t>
        </is>
      </c>
      <c r="B36" s="170" t="inlineStr">
        <is>
          <t>مالی و سرمایه</t>
        </is>
      </c>
      <c r="C36" s="170" t="inlineStr">
        <is>
          <t>سایر درآمد</t>
        </is>
      </c>
      <c r="D36" s="169" t="inlineStr">
        <is>
          <t>شرکتی</t>
        </is>
      </c>
      <c r="E36" s="169" t="inlineStr">
        <is>
          <t>سایر حساب</t>
        </is>
      </c>
      <c r="F36" s="169" t="inlineStr">
        <is>
          <t>هزینه/درآمد شرکت</t>
        </is>
      </c>
      <c r="G36" s="169" t="inlineStr">
        <is>
          <t>بله</t>
        </is>
      </c>
    </row>
    <row r="37">
      <c r="A37" s="169" t="inlineStr">
        <is>
          <t>TC28</t>
        </is>
      </c>
      <c r="B37" s="170" t="inlineStr">
        <is>
          <t>مالی و سرمایه</t>
        </is>
      </c>
      <c r="C37" s="170" t="inlineStr">
        <is>
          <t>سایر هزینه</t>
        </is>
      </c>
      <c r="D37" s="169" t="inlineStr">
        <is>
          <t>شرکتی</t>
        </is>
      </c>
      <c r="E37" s="169" t="inlineStr">
        <is>
          <t>سایر حساب</t>
        </is>
      </c>
      <c r="F37" s="169" t="inlineStr">
        <is>
          <t>هزینه/درآمد شرکت</t>
        </is>
      </c>
      <c r="G37" s="169" t="inlineStr">
        <is>
          <t>بله</t>
        </is>
      </c>
    </row>
    <row r="38">
      <c r="A38" s="171" t="inlineStr">
        <is>
          <t>TC30</t>
        </is>
      </c>
      <c r="B38" s="172" t="inlineStr">
        <is>
          <t>شخصی رئیس — دارایی</t>
        </is>
      </c>
      <c r="C38" s="172" t="inlineStr">
        <is>
          <t>خرید وسایل شخصی</t>
        </is>
      </c>
      <c r="D38" s="171" t="inlineStr">
        <is>
          <t>شخصی رئیس</t>
        </is>
      </c>
      <c r="E38" s="171" t="inlineStr">
        <is>
          <t>سایر حساب</t>
        </is>
      </c>
      <c r="F38" s="171" t="inlineStr">
        <is>
          <t>پول شخصی رئیس — به حساب جاری رئیس می‌رود</t>
        </is>
      </c>
      <c r="G38" s="171" t="inlineStr">
        <is>
          <t>بله</t>
        </is>
      </c>
    </row>
    <row r="39">
      <c r="A39" s="171" t="inlineStr">
        <is>
          <t>TC31</t>
        </is>
      </c>
      <c r="B39" s="172" t="inlineStr">
        <is>
          <t>شخصی رئیس — دارایی</t>
        </is>
      </c>
      <c r="C39" s="172" t="inlineStr">
        <is>
          <t>فروش وسایل شخصی</t>
        </is>
      </c>
      <c r="D39" s="171" t="inlineStr">
        <is>
          <t>شخصی رئیس</t>
        </is>
      </c>
      <c r="E39" s="171" t="inlineStr">
        <is>
          <t>سایر حساب</t>
        </is>
      </c>
      <c r="F39" s="171" t="inlineStr">
        <is>
          <t>پول شخصی رئیس — به حساب جاری رئیس می‌رود</t>
        </is>
      </c>
      <c r="G39" s="171" t="inlineStr">
        <is>
          <t>بله</t>
        </is>
      </c>
    </row>
    <row r="40">
      <c r="A40" s="171" t="inlineStr">
        <is>
          <t>TC32</t>
        </is>
      </c>
      <c r="B40" s="172" t="inlineStr">
        <is>
          <t>شخصی رئیس — دارایی</t>
        </is>
      </c>
      <c r="C40" s="172" t="inlineStr">
        <is>
          <t>خرید خودرو</t>
        </is>
      </c>
      <c r="D40" s="171" t="inlineStr">
        <is>
          <t>شخصی رئیس</t>
        </is>
      </c>
      <c r="E40" s="171" t="inlineStr">
        <is>
          <t>سایر حساب</t>
        </is>
      </c>
      <c r="F40" s="171" t="inlineStr">
        <is>
          <t>پول شخصی رئیس — به حساب جاری رئیس می‌رود</t>
        </is>
      </c>
      <c r="G40" s="171" t="inlineStr">
        <is>
          <t>بله</t>
        </is>
      </c>
    </row>
    <row r="41">
      <c r="A41" s="171" t="inlineStr">
        <is>
          <t>TC33</t>
        </is>
      </c>
      <c r="B41" s="172" t="inlineStr">
        <is>
          <t>شخصی رئیس — دارایی</t>
        </is>
      </c>
      <c r="C41" s="172" t="inlineStr">
        <is>
          <t>فروش خودرو</t>
        </is>
      </c>
      <c r="D41" s="171" t="inlineStr">
        <is>
          <t>شخصی رئیس</t>
        </is>
      </c>
      <c r="E41" s="171" t="inlineStr">
        <is>
          <t>سایر حساب</t>
        </is>
      </c>
      <c r="F41" s="171" t="inlineStr">
        <is>
          <t>پول شخصی رئیس — به حساب جاری رئیس می‌رود</t>
        </is>
      </c>
      <c r="G41" s="171" t="inlineStr">
        <is>
          <t>بله</t>
        </is>
      </c>
    </row>
    <row r="42">
      <c r="A42" s="171" t="inlineStr">
        <is>
          <t>TC35</t>
        </is>
      </c>
      <c r="B42" s="172" t="inlineStr">
        <is>
          <t>شخصی رئیس — دارایی</t>
        </is>
      </c>
      <c r="C42" s="172" t="inlineStr">
        <is>
          <t>مسکن و قبض منزل</t>
        </is>
      </c>
      <c r="D42" s="171" t="inlineStr">
        <is>
          <t>شخصی رئیس</t>
        </is>
      </c>
      <c r="E42" s="171" t="inlineStr">
        <is>
          <t>سایر حساب</t>
        </is>
      </c>
      <c r="F42" s="171" t="inlineStr">
        <is>
          <t>پول شخصی رئیس — به حساب جاری رئیس می‌رود</t>
        </is>
      </c>
      <c r="G42" s="171" t="inlineStr">
        <is>
          <t>بله</t>
        </is>
      </c>
    </row>
    <row r="43">
      <c r="A43" s="171" t="inlineStr">
        <is>
          <t>TC29</t>
        </is>
      </c>
      <c r="B43" s="172" t="inlineStr">
        <is>
          <t>شخصی رئیس — زندگی</t>
        </is>
      </c>
      <c r="C43" s="172" t="inlineStr">
        <is>
          <t>هزینه شخصی رئیس</t>
        </is>
      </c>
      <c r="D43" s="171" t="inlineStr">
        <is>
          <t>شخصی رئیس</t>
        </is>
      </c>
      <c r="E43" s="171" t="inlineStr">
        <is>
          <t>سایر حساب</t>
        </is>
      </c>
      <c r="F43" s="171" t="inlineStr">
        <is>
          <t>پول شخصی رئیس — به حساب جاری رئیس می‌رود</t>
        </is>
      </c>
      <c r="G43" s="171" t="inlineStr">
        <is>
          <t>بله</t>
        </is>
      </c>
    </row>
    <row r="44">
      <c r="A44" s="171" t="inlineStr">
        <is>
          <t>TC34</t>
        </is>
      </c>
      <c r="B44" s="172" t="inlineStr">
        <is>
          <t>شخصی رئیس — زندگی</t>
        </is>
      </c>
      <c r="C44" s="172" t="inlineStr">
        <is>
          <t>سوخت و تعمیر خودرو شخصی</t>
        </is>
      </c>
      <c r="D44" s="171" t="inlineStr">
        <is>
          <t>شخصی رئیس</t>
        </is>
      </c>
      <c r="E44" s="171" t="inlineStr">
        <is>
          <t>سایر حساب</t>
        </is>
      </c>
      <c r="F44" s="171" t="inlineStr">
        <is>
          <t>پول شخصی رئیس — به حساب جاری رئیس می‌رود</t>
        </is>
      </c>
      <c r="G44" s="171" t="inlineStr">
        <is>
          <t>بله</t>
        </is>
      </c>
    </row>
    <row r="45">
      <c r="A45" s="171" t="inlineStr">
        <is>
          <t>TC36</t>
        </is>
      </c>
      <c r="B45" s="172" t="inlineStr">
        <is>
          <t>شخصی رئیس — زندگی</t>
        </is>
      </c>
      <c r="C45" s="172" t="inlineStr">
        <is>
          <t>درمان و سلامت</t>
        </is>
      </c>
      <c r="D45" s="171" t="inlineStr">
        <is>
          <t>شخصی رئیس</t>
        </is>
      </c>
      <c r="E45" s="171" t="inlineStr">
        <is>
          <t>سایر حساب</t>
        </is>
      </c>
      <c r="F45" s="171" t="inlineStr">
        <is>
          <t>پول شخصی رئیس — به حساب جاری رئیس می‌رود</t>
        </is>
      </c>
      <c r="G45" s="171" t="inlineStr">
        <is>
          <t>بله</t>
        </is>
      </c>
    </row>
    <row r="46">
      <c r="A46" s="171" t="inlineStr">
        <is>
          <t>TC37</t>
        </is>
      </c>
      <c r="B46" s="172" t="inlineStr">
        <is>
          <t>شخصی رئیس — زندگی</t>
        </is>
      </c>
      <c r="C46" s="172" t="inlineStr">
        <is>
          <t>تحصیل و آموزش</t>
        </is>
      </c>
      <c r="D46" s="171" t="inlineStr">
        <is>
          <t>شخصی رئیس</t>
        </is>
      </c>
      <c r="E46" s="171" t="inlineStr">
        <is>
          <t>سایر حساب</t>
        </is>
      </c>
      <c r="F46" s="171" t="inlineStr">
        <is>
          <t>پول شخصی رئیس — به حساب جاری رئیس می‌رود</t>
        </is>
      </c>
      <c r="G46" s="171" t="inlineStr">
        <is>
          <t>بله</t>
        </is>
      </c>
    </row>
    <row r="47">
      <c r="A47" s="171" t="inlineStr">
        <is>
          <t>TC38</t>
        </is>
      </c>
      <c r="B47" s="172" t="inlineStr">
        <is>
          <t>شخصی رئیس — زندگی</t>
        </is>
      </c>
      <c r="C47" s="172" t="inlineStr">
        <is>
          <t>سفر و تفریح</t>
        </is>
      </c>
      <c r="D47" s="171" t="inlineStr">
        <is>
          <t>شخصی رئیس</t>
        </is>
      </c>
      <c r="E47" s="171" t="inlineStr">
        <is>
          <t>سایر حساب</t>
        </is>
      </c>
      <c r="F47" s="171" t="inlineStr">
        <is>
          <t>پول شخصی رئیس — به حساب جاری رئیس می‌رود</t>
        </is>
      </c>
      <c r="G47" s="171" t="inlineStr">
        <is>
          <t>بله</t>
        </is>
      </c>
    </row>
    <row r="48">
      <c r="A48" s="171" t="inlineStr">
        <is>
          <t>TC39</t>
        </is>
      </c>
      <c r="B48" s="172" t="inlineStr">
        <is>
          <t>شخصی رئیس — زندگی</t>
        </is>
      </c>
      <c r="C48" s="172" t="inlineStr">
        <is>
          <t>هدیه و نذورات</t>
        </is>
      </c>
      <c r="D48" s="171" t="inlineStr">
        <is>
          <t>شخصی رئیس</t>
        </is>
      </c>
      <c r="E48" s="171" t="inlineStr">
        <is>
          <t>سایر حساب</t>
        </is>
      </c>
      <c r="F48" s="171" t="inlineStr">
        <is>
          <t>پول شخصی رئیس — به حساب جاری رئیس می‌رود</t>
        </is>
      </c>
      <c r="G48" s="171" t="inlineStr">
        <is>
          <t>بله</t>
        </is>
      </c>
    </row>
    <row r="49">
      <c r="A49" s="171" t="inlineStr">
        <is>
          <t>TC40</t>
        </is>
      </c>
      <c r="B49" s="172" t="inlineStr">
        <is>
          <t>شخصی رئیس — جریان پول</t>
        </is>
      </c>
      <c r="C49" s="172" t="inlineStr">
        <is>
          <t>دریافتی شخصی</t>
        </is>
      </c>
      <c r="D49" s="171" t="inlineStr">
        <is>
          <t>شخصی رئیس</t>
        </is>
      </c>
      <c r="E49" s="171" t="inlineStr">
        <is>
          <t>سایر حساب</t>
        </is>
      </c>
      <c r="F49" s="171" t="inlineStr">
        <is>
          <t>پول شخصی رئیس — به حساب جاری رئیس می‌رود</t>
        </is>
      </c>
      <c r="G49" s="171" t="inlineStr">
        <is>
          <t>بله</t>
        </is>
      </c>
    </row>
    <row r="50">
      <c r="A50" s="171" t="inlineStr">
        <is>
          <t>TC41</t>
        </is>
      </c>
      <c r="B50" s="172" t="inlineStr">
        <is>
          <t>شخصی رئیس — جریان پول</t>
        </is>
      </c>
      <c r="C50" s="172" t="inlineStr">
        <is>
          <t>واریز از حساب شرکت به شخصی</t>
        </is>
      </c>
      <c r="D50" s="171" t="inlineStr">
        <is>
          <t>شخصی رئیس</t>
        </is>
      </c>
      <c r="E50" s="171" t="inlineStr">
        <is>
          <t>سایر حساب</t>
        </is>
      </c>
      <c r="F50" s="171" t="inlineStr">
        <is>
          <t>پول شخصی رئیس — به حساب جاری رئیس می‌رود</t>
        </is>
      </c>
      <c r="G50" s="171" t="inlineStr">
        <is>
          <t>بله</t>
        </is>
      </c>
    </row>
    <row r="51">
      <c r="A51" s="171" t="inlineStr">
        <is>
          <t>TC42</t>
        </is>
      </c>
      <c r="B51" s="172" t="inlineStr">
        <is>
          <t>شخصی رئیس — جریان پول</t>
        </is>
      </c>
      <c r="C51" s="172" t="inlineStr">
        <is>
          <t>برگشت وجه شخصی به شرکت</t>
        </is>
      </c>
      <c r="D51" s="171" t="inlineStr">
        <is>
          <t>شخصی رئیس</t>
        </is>
      </c>
      <c r="E51" s="171" t="inlineStr">
        <is>
          <t>سایر حساب</t>
        </is>
      </c>
      <c r="F51" s="171" t="inlineStr">
        <is>
          <t>پول شخصی رئیس — به حساب جاری رئیس می‌رود</t>
        </is>
      </c>
      <c r="G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8.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inlineStr">
        <is>
          <t>خرید شراکتی (ورود)</t>
        </is>
      </c>
      <c r="C29" s="59" t="inlineStr">
        <is>
          <t>ورود</t>
        </is>
      </c>
      <c r="D29" s="59" t="inlineStr">
        <is>
          <t>خرید</t>
        </is>
      </c>
      <c r="E29" s="59" t="inlineStr">
        <is>
          <t>بله</t>
        </is>
      </c>
      <c r="F29" s="59" t="inlineStr">
        <is>
          <t>بله</t>
        </is>
      </c>
      <c r="G29" s="59" t="inlineStr">
        <is>
          <t>وزن</t>
        </is>
      </c>
      <c r="H29" s="59" t="inlineStr">
        <is>
          <t>بستانکار</t>
        </is>
      </c>
      <c r="I29" s="59" t="inlineStr">
        <is>
          <t>X004</t>
        </is>
      </c>
      <c r="J29" s="59" t="inlineStr">
        <is>
          <t>بدهکار</t>
        </is>
      </c>
      <c r="K29" s="59" t="inlineStr">
        <is>
          <t>افزودن</t>
        </is>
      </c>
      <c r="L29" s="59" t="inlineStr">
        <is>
          <t>—</t>
        </is>
      </c>
      <c r="M29" s="59" t="n"/>
      <c r="N29" s="59" t="n"/>
      <c r="O29" s="59" t="n"/>
      <c r="P29" s="59" t="inlineStr">
        <is>
          <t>بله</t>
        </is>
      </c>
      <c r="Q29" s="59" t="inlineStr">
        <is>
          <t>rose</t>
        </is>
      </c>
      <c r="R29" s="78" t="inlineStr">
        <is>
          <t>بار شراکتی که وارد انبار می‌شود. طرف حساب = شریک (کد SHxx). مبلغ = وزن خالص × فی؛ در دفتر فقط «سهم شرکت» ثبت می‌شود: بدهکار موجودی مرکبات / بستانکار حساب شریک. پرداخت‌های بعدی به شریک، همان سهم ما را تسویه می‌کند.</t>
        </is>
      </c>
      <c r="S29" s="79" t="n"/>
    </row>
    <row r="30" ht="33.75" customHeight="1">
      <c r="A30" s="59" t="inlineStr">
        <is>
          <t>OP21</t>
        </is>
      </c>
      <c r="B30" s="77" t="inlineStr">
        <is>
          <t>فروش شراکتی (خروج)</t>
        </is>
      </c>
      <c r="C30" s="59" t="inlineStr">
        <is>
          <t>خروج</t>
        </is>
      </c>
      <c r="D30" s="59" t="inlineStr">
        <is>
          <t>فروش</t>
        </is>
      </c>
      <c r="E30" s="59" t="inlineStr">
        <is>
          <t>بله</t>
        </is>
      </c>
      <c r="F30" s="59" t="inlineStr">
        <is>
          <t>بله</t>
        </is>
      </c>
      <c r="G30" s="59" t="inlineStr">
        <is>
          <t>وزن</t>
        </is>
      </c>
      <c r="H30" s="59" t="inlineStr">
        <is>
          <t>بدهکار</t>
        </is>
      </c>
      <c r="I30" s="59" t="inlineStr">
        <is>
          <t>X006</t>
        </is>
      </c>
      <c r="J30" s="59" t="inlineStr">
        <is>
          <t>بستانکار</t>
        </is>
      </c>
      <c r="K30" s="59" t="inlineStr">
        <is>
          <t>هیچ</t>
        </is>
      </c>
      <c r="L30" s="59" t="inlineStr">
        <is>
          <t>—</t>
        </is>
      </c>
      <c r="M30" s="59" t="n"/>
      <c r="N30" s="59" t="n"/>
      <c r="O30" s="59" t="n"/>
      <c r="P30" s="59" t="inlineStr">
        <is>
          <t>بله</t>
        </is>
      </c>
      <c r="Q30" s="59" t="inlineStr">
        <is>
          <t>sky</t>
        </is>
      </c>
      <c r="R30" s="78" t="inlineStr">
        <is>
          <t>فروش سهم شرکت از بار شراکتی. طرف حساب = خریدار. در دفتر فقط سهم شرکت ثبت می‌شود: بدهکار خریدار / بستانکار فروش مرکبات. وزن کامل بار از انبار خارج می‌شود.</t>
        </is>
      </c>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inlineStr">
        <is>
          <t>کیوی</t>
        </is>
      </c>
      <c r="C25" s="47" t="inlineStr">
        <is>
          <t>کیوی</t>
        </is>
      </c>
      <c r="D25" s="47" t="inlineStr">
        <is>
          <t>کیلوگرم</t>
        </is>
      </c>
      <c r="E25" s="58" t="inlineStr">
        <is>
          <t>BK03</t>
        </is>
      </c>
      <c r="F25" s="60" t="inlineStr">
        <is>
          <t>بار شاخص فصل سرد؛ شراکت با سعید بابایی</t>
        </is>
      </c>
      <c r="G25" s="84">
        <f>IF($B25="","",$B25&amp;" – "&amp;$C25)</f>
        <v/>
      </c>
    </row>
    <row r="26" ht="23.25" customHeight="1">
      <c r="A26" s="44" t="inlineStr">
        <is>
          <t>PB17</t>
        </is>
      </c>
      <c r="B26" s="45" t="inlineStr">
        <is>
          <t>پرتقال والنسیا</t>
        </is>
      </c>
      <c r="C26" s="47" t="inlineStr">
        <is>
          <t>پرتقال</t>
        </is>
      </c>
      <c r="D26" s="47" t="inlineStr">
        <is>
          <t>کیلوگرم</t>
        </is>
      </c>
      <c r="E26" s="58" t="inlineStr">
        <is>
          <t>BK03</t>
        </is>
      </c>
      <c r="F26" s="60" t="inlineStr">
        <is>
          <t>رقم دیررس؛ شراکت با مجید قاسمی</t>
        </is>
      </c>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6B7A76"/>
    <outlinePr summaryBelow="1" summaryRight="1"/>
    <pageSetUpPr fitToPage="1"/>
  </sheetPr>
  <dimension ref="A1:U38"/>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شرکت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row r="37">
      <c r="S37" s="152" t="inlineStr">
        <is>
          <t>پرداخت سهم شراکت به شریک</t>
        </is>
      </c>
    </row>
    <row r="38">
      <c r="S38" s="152" t="inlineStr">
        <is>
          <t>دریافت از شریک</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3.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c r="H34" s="156" t="inlineStr">
        <is>
          <t>پرداخت سهم شراکت به شریک</t>
        </is>
      </c>
      <c r="I34" s="157" t="inlineStr">
        <is>
          <t>OUT</t>
        </is>
      </c>
      <c r="J34" s="157" t="inlineStr">
        <is>
          <t>CODE</t>
        </is>
      </c>
      <c r="K34" s="157" t="inlineStr"/>
    </row>
    <row r="35" ht="21" customHeight="1">
      <c r="A35" s="93" t="inlineStr">
        <is>
          <t>بانک و صندوق</t>
        </is>
      </c>
      <c r="B35" s="158">
        <f>COUNTIF(Acc!$B$10:$B$259,$A35)</f>
        <v/>
      </c>
      <c r="C35" s="158">
        <f>COUNTIF(Grp!$A$10:$A$52,$A35)</f>
        <v/>
      </c>
      <c r="F35" s="96" t="inlineStr">
        <is>
          <t>Accounts / Groups</t>
        </is>
      </c>
      <c r="H35" s="156" t="inlineStr">
        <is>
          <t>دریافت از شریک</t>
        </is>
      </c>
      <c r="I35" s="157" t="inlineStr">
        <is>
          <t>IN</t>
        </is>
      </c>
      <c r="J35" s="157" t="inlineStr">
        <is>
          <t>CODE</t>
        </is>
      </c>
      <c r="K35" s="157" t="inlineStr"/>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4.xml><?xml version="1.0" encoding="utf-8"?>
<worksheet xmlns="http://schemas.openxmlformats.org/spreadsheetml/2006/main">
  <sheetPr>
    <tabColor rgb="FF14453D"/>
    <outlinePr summaryBelow="1" summaryRight="1"/>
    <pageSetUpPr fitToPage="1"/>
  </sheetPr>
  <dimension ref="A1:J131"/>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(فایل مادر 00_Master)</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فایل مادر 00_Master،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فایل مادر 00_Master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فایل مادر 00_Master → ثبت → گزارش/فاکتور/ترازنامه. فایل بانک هم از فایل مادر 00_Master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فایل مادر 00_Master لینک خارجی دارند. وقتی فایل مادر 00_Master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فایل مادر 00_Master را عوض کردید، همین کار لازم است. هرگز فایل فایل مادر 00_Master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فایل مادر 00_Master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فایل مادر 00_Master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فایل مادر 00_Master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فایل مادر 00_Master: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row r="124"/>
    <row r="125" ht="26" customHeight="1">
      <c r="A125" s="211" t="inlineStr">
        <is>
          <t>۰۹   شراکت — خرید و فروش مشترک</t>
        </is>
      </c>
      <c r="B125" s="220" t="n"/>
      <c r="C125" s="220" t="n"/>
      <c r="D125" s="220" t="n"/>
      <c r="E125" s="220" t="n"/>
      <c r="F125" s="220" t="n"/>
      <c r="G125" s="220" t="n"/>
      <c r="H125" s="220" t="n"/>
      <c r="I125" s="220" t="n"/>
      <c r="J125" s="221" t="n"/>
    </row>
    <row r="126" ht="46" customHeight="1">
      <c r="A126" s="212" t="inlineStr">
        <is>
          <t>شیت Shrk فهرست شرکاست: کد SHxx، نام، «نسبت سهم شریک» و «نسبت سهم شرکت» (خودکار ۱۰۰ منهای آن). همین کدها به شیت Acc هم اضافه شده‌اند (گروه «شرکا»)، پس در باسکول، شیت پرداخت، تراکنش بانکی، دفاتر و ترازنامه مثل هر طرف حساب دیگری انتخاب می‌شوند.</t>
        </is>
      </c>
      <c r="B126" s="222" t="n"/>
      <c r="C126" s="222" t="n"/>
      <c r="D126" s="222" t="n"/>
      <c r="E126" s="222" t="n"/>
      <c r="F126" s="222" t="n"/>
      <c r="G126" s="222" t="n"/>
      <c r="H126" s="222" t="n"/>
      <c r="I126" s="222" t="n"/>
      <c r="J126" s="223" t="n"/>
    </row>
    <row r="127" ht="46" customHeight="1">
      <c r="A127" s="213" t="inlineStr">
        <is>
          <t xml:space="preserve">     •  در باسکول دو عملیات تازه اضافه شده: «خرید شراکتی (ورود)» و «فروش شراکتی (خروج)». کافی است عملیات را انتخاب و کد شریک را در ستون «کد حساب / مقصد وجه» بزنید.</t>
        </is>
      </c>
      <c r="B127" s="222" t="n"/>
      <c r="C127" s="222" t="n"/>
      <c r="D127" s="222" t="n"/>
      <c r="E127" s="222" t="n"/>
      <c r="F127" s="222" t="n"/>
      <c r="G127" s="222" t="n"/>
      <c r="H127" s="222" t="n"/>
      <c r="I127" s="222" t="n"/>
      <c r="J127" s="223" t="n"/>
    </row>
    <row r="128" ht="46" customHeight="1">
      <c r="A128" s="213" t="inlineStr">
        <is>
          <t xml:space="preserve">     •  محاسبه به وزن است: شیت Scale شش ستون تازه دارد — نسبت شرکت، سهم شرکت (ریال)، سهم شریک (ریال)، سهم شرکت (kg)، سهم شریک (kg) و کنترل. مبلغ هر ردیف = وزن خالص × فی.</t>
        </is>
      </c>
      <c r="B128" s="222" t="n"/>
      <c r="C128" s="222" t="n"/>
      <c r="D128" s="222" t="n"/>
      <c r="E128" s="222" t="n"/>
      <c r="F128" s="222" t="n"/>
      <c r="G128" s="222" t="n"/>
      <c r="H128" s="222" t="n"/>
      <c r="I128" s="222" t="n"/>
      <c r="J128" s="223" t="n"/>
    </row>
    <row r="129" ht="46" customHeight="1">
      <c r="A129" s="213" t="inlineStr">
        <is>
          <t xml:space="preserve">     •  در دفتر روزنامه فقط «سهم شرکت» سند می‌خورد (خرید: بدهکار موجودی / بستانکار شریک — فروش: بدهکار خریدار / بستانکار فروش). سهم شریک در گزارش شیت Shrk فایل 01_Entry دیده می‌شود.</t>
        </is>
      </c>
      <c r="B129" s="222" t="n"/>
      <c r="C129" s="222" t="n"/>
      <c r="D129" s="222" t="n"/>
      <c r="E129" s="222" t="n"/>
      <c r="F129" s="222" t="n"/>
      <c r="G129" s="222" t="n"/>
      <c r="H129" s="222" t="n"/>
      <c r="I129" s="222" t="n"/>
      <c r="J129" s="223" t="n"/>
    </row>
    <row r="130" ht="46" customHeight="1">
      <c r="A130" s="213" t="inlineStr">
        <is>
          <t xml:space="preserve">     •  پرداخت به شریک = سهم واریزی ما: در شیت پرداخت نوع «پرداخت»، کد SHxx و روش پرداخت را بزنید. این پرداخت‌ها در جدول شرکا از بدهی ما کم می‌شود و ستون «مانده» بدهی باقی‌مانده را نشان می‌دهد.</t>
        </is>
      </c>
      <c r="B130" s="222" t="n"/>
      <c r="C130" s="222" t="n"/>
      <c r="D130" s="222" t="n"/>
      <c r="E130" s="222" t="n"/>
      <c r="F130" s="222" t="n"/>
      <c r="G130" s="222" t="n"/>
      <c r="H130" s="222" t="n"/>
      <c r="I130" s="222" t="n"/>
      <c r="J130" s="223" t="n"/>
    </row>
    <row r="131" ht="46" customHeight="1">
      <c r="A131" s="213" t="inlineStr">
        <is>
          <t xml:space="preserve">     •  برای تغییر نسبت یک شریک، فقط ستون «نسبت سهم شریک ٪» را در همین شیت عوض کنید؛ فایل‌های دیگر با باز شدن، Sync خود را از نو می‌خوانند (نسخه جدید پوشه، همان کدها).</t>
        </is>
      </c>
      <c r="B131" s="222" t="n"/>
      <c r="C131" s="222" t="n"/>
      <c r="D131" s="222" t="n"/>
      <c r="E131" s="222" t="n"/>
      <c r="F131" s="222" t="n"/>
      <c r="G131" s="222" t="n"/>
      <c r="H131" s="222" t="n"/>
      <c r="I131" s="222" t="n"/>
      <c r="J131" s="223" t="n"/>
    </row>
  </sheetData>
  <sheetProtection selectLockedCells="0" selectUnlockedCells="1" sheet="1" objects="1" insertRows="1" insertHyperlinks="1" autoFilter="1" scenarios="1" formatColumns="1" deleteColumns="1" insertColumns="1" pivotTables="1" deleteRows="1" formatCells="1" formatRows="1" sort="1"/>
  <mergeCells count="111">
    <mergeCell ref="B67:J67"/>
    <mergeCell ref="B61:J61"/>
    <mergeCell ref="B101:J101"/>
    <mergeCell ref="B14:J14"/>
    <mergeCell ref="B23:J23"/>
    <mergeCell ref="B13:J13"/>
    <mergeCell ref="B69:J69"/>
    <mergeCell ref="B38:J38"/>
    <mergeCell ref="B78:J78"/>
    <mergeCell ref="B112:J112"/>
    <mergeCell ref="A130:J130"/>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A125:J125"/>
    <mergeCell ref="B44:J44"/>
    <mergeCell ref="B19:J19"/>
    <mergeCell ref="B34:J34"/>
    <mergeCell ref="B28:J28"/>
    <mergeCell ref="A127:J127"/>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A131:J131"/>
    <mergeCell ref="A126:J126"/>
    <mergeCell ref="B8:J8"/>
    <mergeCell ref="G1:J1"/>
    <mergeCell ref="A129:J129"/>
    <mergeCell ref="B73:J73"/>
    <mergeCell ref="B10:J10"/>
    <mergeCell ref="B65:J65"/>
    <mergeCell ref="B74:J74"/>
    <mergeCell ref="B68:J68"/>
    <mergeCell ref="B114:J114"/>
    <mergeCell ref="B36:J36"/>
    <mergeCell ref="B50:J50"/>
    <mergeCell ref="B110:J110"/>
    <mergeCell ref="B113:J113"/>
    <mergeCell ref="B91:J91"/>
    <mergeCell ref="A128:J128"/>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2026-10-27T13:45:47Z</dcterms:modified>
  <cp:lastModifiedBy>مازندشت</cp:lastModifiedBy>
</cp:coreProperties>
</file>