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Home" sheetId="1" state="visible" r:id="rId1"/>
    <sheet name="Reg" sheetId="2" state="visible" r:id="rId2"/>
    <sheet name="Sum" sheetId="3" state="visible" r:id="rId3"/>
    <sheet name="Sync" sheetId="4" state="visible" r:id="rId4"/>
    <sheet name="Help" sheetId="5" state="visible" r:id="rId5"/>
  </sheets>
  <definedNames>
    <definedName name="AcctCodes">Sync!$B$10:$B$259</definedName>
    <definedName name="AcctTbl">Sync!$B$10:$G$259</definedName>
    <definedName name="BankCodes">Sync!$AK$10:$AK$19</definedName>
    <definedName name="BankTbl">Sync!$AK$10:$AN$19</definedName>
    <definedName name="BasketCodeCol">Sync!$Z$10:$Z$21</definedName>
    <definedName name="BasketTbl">Sync!$Y$10:$AF$21</definedName>
    <definedName name="GroupTbl">Sync!$AR$10:$AS$51</definedName>
    <definedName name="ListAllCodes">OFFSET(Sync!$B$10,0,0,MAX(COUNTIF(Sync!$C$10:$C$259,"?*"),1),1)</definedName>
    <definedName name="ListBanks">OFFSET(Sync!$AL$10,0,0,MAX(COUNTIF(Sync!$AL$10:$AL$19,"?*"),1),1)</definedName>
    <definedName name="ListBasketOps">OFFSET(Sync!$AW$10,0,0,MAX(COUNTIF(Sync!$AW$10:$AW$14,"?*"),1),1)</definedName>
    <definedName name="ListBaskets">OFFSET(Sync!$Y$10,0,0,MAX(COUNTIF(Sync!$Y$10:$Y$21,"?*"),1),1)</definedName>
    <definedName name="ListBasketSellerCodes">OFFSET(Sync!$B$72,0,0,MAX(COUNTIF(Sync!$C$72:$C$74,"?*"),1),1)</definedName>
    <definedName name="ListBaskolOps">OFFSET(Sync!$AZ$10,0,0,MAX(COUNTIF(Sync!$AZ$10:$AZ$23,"?*"),1),1)</definedName>
    <definedName name="ListCategories">OFFSET(Sync!$CB$10,0,0,MAX(COUNTIF(Sync!$CB$10:$CB$29,"?*"),1),1)</definedName>
    <definedName name="ListChequeStatus">OFFSET(Sync!$CG$10,0,0,MAX(COUNTIF(Sync!$CG$10:$CG$29,"?*"),1),1)</definedName>
    <definedName name="ListColorKeys">OFFSET(Sync!$CP$10,0,0,MAX(COUNTIF(Sync!$CP$10:$CP$29,"?*"),1),1)</definedName>
    <definedName name="ListDirections">OFFSET(Sync!$CC$10,0,0,MAX(COUNTIF(Sync!$CC$10:$CC$29,"?*"),1),1)</definedName>
    <definedName name="ListGroups">Sync!$AU$10:$AU$19</definedName>
    <definedName name="ListGrowerCodes">OFFSET(Sync!$B$10,0,0,MAX(COUNTIF(Sync!$C$10:$C$66,"?*"),1),1)</definedName>
    <definedName name="ListInclude">OFFSET(Sync!$CH$10,0,0,MAX(COUNTIF(Sync!$CH$10:$CH$29,"?*"),1),1)</definedName>
    <definedName name="ListLoadBuyerCodes">OFFSET(Sync!$B$67,0,0,MAX(COUNTIF(Sync!$C$67:$C$71,"?*"),1),1)</definedName>
    <definedName name="ListManualRoles">OFFSET(Sync!$CI$10,0,0,MAX(COUNTIF(Sync!$CI$10:$CI$29,"?*"),1),1)</definedName>
    <definedName name="ListOpCategories">OFFSET(Sync!$CL$10,0,0,MAX(COUNTIF(Sync!$CL$10:$CL$29,"?*"),1),1)</definedName>
    <definedName name="ListOps">OFFSET(Sync!$I$10,0,0,MAX(COUNTIF(Sync!$I$10:$I$33,"?*"),1),1)</definedName>
    <definedName name="ListOtherScaleCodes">Sync!$AX$10:$AX$29</definedName>
    <definedName name="ListPartyBasis">OFFSET(Sync!$CO$10,0,0,MAX(COUNTIF(Sync!$CO$10:$CO$29,"?*"),1),1)</definedName>
    <definedName name="ListPartyTypes">OFFSET(Sync!$CE$10,0,0,MAX(COUNTIF(Sync!$CE$10:$CE$29,"?*"),1),1)</definedName>
    <definedName name="ListPayMethods">OFFSET(Sync!$CF$10,0,0,MAX(COUNTIF(Sync!$CF$10:$CF$29,"?*"),1),1)</definedName>
    <definedName name="ListPosEffects">OFFSET(Sync!$CJ$10,0,0,MAX(COUNTIF(Sync!$CJ$10:$CJ$29,"?*"),1),1)</definedName>
    <definedName name="ListProducts">OFFSET(Sync!$AH$10,0,0,MAX(COUNTIF(Sync!$AH$10:$AH$29,"?*"),1),1)</definedName>
    <definedName name="ListReportSheets">OFFSET(Sync!$CN$10,0,0,MAX(COUNTIF(Sync!$CN$10:$CN$29,"?*"),1),1)</definedName>
    <definedName name="ListSeasons">OFFSET(Sync!$CQ$10,0,0,MAX(COUNTIF(Sync!$CQ$10:$CQ$29,"?*"),1),1)</definedName>
    <definedName name="ListSides">OFFSET(Sync!$CK$10,0,0,MAX(COUNTIF(Sync!$CK$10:$CK$29,"?*"),1),1)</definedName>
    <definedName name="ListStatus">OFFSET(Sync!$CM$10,0,0,MAX(COUNTIF(Sync!$CM$10:$CM$29,"?*"),1),1)</definedName>
    <definedName name="ListSubgroups">OFFSET(Sync!$AR$10,0,0,MAX(COUNTIF(Sync!$AS$10:$AS$51,"?*"),1),1)</definedName>
    <definedName name="ListTxnDirections">OFFSET(Sync!$CR$10,0,0,MAX(COUNTIF(Sync!$CR$10:$CR$29,"?*"),1),1)</definedName>
    <definedName name="ListUnits">OFFSET(Sync!$CA$10,0,0,MAX(COUNTIF(Sync!$CA$10:$CA$29,"?*"),1),1)</definedName>
    <definedName name="ListYesNo">OFFSET(Sync!$CD$10,0,0,MAX(COUNTIF(Sync!$CD$10:$CD$29,"?*"),1),1)</definedName>
    <definedName name="OpTbl">Sync!$I$10:$W$33</definedName>
    <definedName name="ParamTbl">Sync!$AO$10:$AP$21</definedName>
    <definedName name="ProductTbl">Sync!$AH$10:$AI$29</definedName>
    <definedName name="_xlnm.Print_Titles" localSheetId="0">'Home'!$7:$9</definedName>
    <definedName name="_xlnm.Print_Area" localSheetId="0">'Home'!$A$1:$J$25</definedName>
    <definedName name="_xlnm._FilterDatabase" localSheetId="1" hidden="1">'Reg'!$A$9:$M$18</definedName>
    <definedName name="_xlnm.Print_Titles" localSheetId="1">'Reg'!$7:$9</definedName>
    <definedName name="_xlnm.Print_Area" localSheetId="1">'Reg'!$A$1:$M$22</definedName>
    <definedName name="_xlnm.Print_Titles" localSheetId="2">'Sum'!$7:$9</definedName>
    <definedName name="_xlnm.Print_Area" localSheetId="2">'Sum'!$A$1:$F$18</definedName>
    <definedName name="_xlnm.Print_Area" localSheetId="3">'Sync'!$A$1:$CR$259</definedName>
    <definedName name="_xlnm.Print_Titles" localSheetId="4">'Help'!$7:$9</definedName>
    <definedName name="_xlnm.Print_Area" localSheetId="4">'Help'!$A$1:$I$30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-#,##0"/>
  </numFmts>
  <fonts count="44">
    <font>
      <name val="Calibri"/>
      <family val="2"/>
      <color theme="1"/>
      <sz val="11"/>
      <scheme val="minor"/>
    </font>
    <font>
      <name val="B Nazanin"/>
      <family val="2"/>
      <b val="1"/>
      <color rgb="FF14453D"/>
      <sz val="10"/>
    </font>
    <font>
      <name val="Tahoma"/>
      <family val="2"/>
      <b val="1"/>
      <color rgb="FFC89B3C"/>
      <sz val="7"/>
    </font>
    <font>
      <name val="B Nazanin"/>
      <family val="2"/>
      <b val="1"/>
      <color rgb="FF14453D"/>
      <sz val="19"/>
    </font>
    <font>
      <name val="B Nazanin"/>
      <family val="2"/>
      <color rgb="FF6B7A76"/>
      <sz val="10.5"/>
    </font>
    <font>
      <name val="Tahoma"/>
      <family val="2"/>
      <b val="1"/>
      <color rgb="FFFFFFFF"/>
      <sz val="9"/>
    </font>
    <font>
      <name val="B Nazanin"/>
      <family val="2"/>
      <b val="1"/>
      <color rgb="FF14453D"/>
      <sz val="14"/>
    </font>
    <font>
      <name val="Tahoma"/>
      <family val="2"/>
      <b val="1"/>
      <color rgb="FFFFFFFF"/>
      <sz val="13"/>
    </font>
    <font>
      <name val="B Nazanin"/>
      <family val="2"/>
      <b val="1"/>
      <color rgb="FF14453D"/>
      <sz val="11"/>
    </font>
    <font>
      <name val="B Nazanin"/>
      <family val="2"/>
      <color theme="1"/>
      <sz val="9.5"/>
    </font>
    <font>
      <name val="B Nazanin"/>
      <family val="2"/>
      <b val="1"/>
      <color rgb="FFFFFFFF"/>
      <sz val="11"/>
    </font>
    <font>
      <name val="Tahoma"/>
      <family val="2"/>
      <color rgb="FF6B7A76"/>
      <sz val="7.5"/>
    </font>
    <font>
      <name val="B Nazanin"/>
      <family val="2"/>
      <color rgb="FF6B7A76"/>
      <sz val="9.5"/>
    </font>
    <font>
      <name val="B Nazanin"/>
      <family val="2"/>
      <b val="1"/>
      <color rgb="FF14453D"/>
      <sz val="10.5"/>
    </font>
    <font>
      <name val="Tahoma"/>
      <family val="2"/>
      <b val="1"/>
      <color rgb="FFC89B3C"/>
      <sz val="7.5"/>
    </font>
    <font>
      <name val="B Nazanin"/>
      <family val="2"/>
      <b val="1"/>
      <color rgb="FF14453D"/>
      <sz val="23"/>
    </font>
    <font>
      <name val="B Nazanin"/>
      <family val="2"/>
      <color rgb="FF6B7A76"/>
      <sz val="11.5"/>
    </font>
    <font>
      <name val="Tahoma"/>
      <family val="2"/>
      <b val="1"/>
      <color rgb="FFFFFFFF"/>
      <sz val="7.5"/>
    </font>
    <font>
      <name val="Tahoma"/>
      <family val="2"/>
      <color rgb="FF5A4A2A"/>
      <sz val="7.5"/>
    </font>
    <font>
      <name val="Tahoma"/>
      <family val="2"/>
      <color rgb="FF6B7A76"/>
      <sz val="7.5"/>
    </font>
    <font>
      <name val="Tahoma"/>
      <family val="2"/>
      <color rgb="FF2E6B4F"/>
      <sz val="7.5"/>
    </font>
    <font>
      <name val="Tahoma"/>
      <family val="2"/>
      <color rgb="FF2B5C7A"/>
      <sz val="7.5"/>
    </font>
    <font>
      <name val="Tahoma"/>
      <family val="2"/>
      <color rgb="FFB4452F"/>
      <sz val="7.5"/>
    </font>
    <font>
      <name val="B Nazanin"/>
      <family val="2"/>
      <color rgb="FF6B7A76"/>
      <sz val="10"/>
    </font>
    <font>
      <name val="Tahoma"/>
      <family val="2"/>
      <b val="1"/>
      <color rgb="FF6B7A76"/>
      <sz val="7.5"/>
    </font>
    <font>
      <name val="B Nazanin"/>
      <family val="2"/>
      <b val="1"/>
      <color rgb="FF14453D"/>
      <sz val="17"/>
    </font>
    <font>
      <name val="B Nazanin"/>
      <family val="2"/>
      <b val="1"/>
      <color rgb="FFB4452F"/>
      <sz val="17"/>
    </font>
    <font>
      <name val="B Nazanin"/>
      <family val="2"/>
      <b val="1"/>
      <color rgb="FF2E6B4F"/>
      <sz val="17"/>
    </font>
    <font>
      <name val="B Nazanin"/>
      <family val="2"/>
      <b val="1"/>
      <color rgb="FFFFFFFF"/>
      <sz val="9"/>
    </font>
    <font>
      <name val="Tahoma"/>
      <family val="2"/>
      <color theme="1"/>
      <sz val="8.5"/>
    </font>
    <font>
      <name val="B Nazanin"/>
      <family val="2"/>
      <color theme="1"/>
      <sz val="9"/>
    </font>
    <font>
      <name val="Tahoma"/>
      <family val="2"/>
      <color theme="1"/>
      <sz val="9"/>
    </font>
    <font>
      <name val="B Nazanin"/>
      <family val="2"/>
      <b val="1"/>
      <color rgb="FFFFFFFF"/>
      <sz val="10"/>
    </font>
    <font>
      <name val="Tahoma"/>
      <family val="2"/>
      <b val="1"/>
      <color rgb="FFFFFFFF"/>
      <sz val="10"/>
    </font>
    <font>
      <name val="B Nazanin"/>
      <family val="2"/>
      <b val="1"/>
      <color rgb="FFC4623F"/>
      <sz val="17"/>
    </font>
    <font>
      <name val="B Nazanin"/>
      <family val="2"/>
      <b val="1"/>
      <color rgb="FFFFFFFF"/>
      <sz val="9.5"/>
    </font>
    <font>
      <name val="B Nazanin"/>
      <family val="2"/>
      <b val="1"/>
      <color rgb="FF14453D"/>
      <sz val="9.5"/>
    </font>
    <font>
      <name val="B Nazanin"/>
      <family val="2"/>
      <b val="1"/>
      <color rgb="FF14453D"/>
      <sz val="16"/>
    </font>
    <font>
      <name val="Tahoma"/>
      <family val="2"/>
      <i val="1"/>
      <color rgb="FFD8E6DF"/>
      <sz val="6.5"/>
    </font>
    <font>
      <name val="Tahoma"/>
      <family val="2"/>
      <color theme="1"/>
      <sz val="8"/>
    </font>
    <font>
      <name val="B Nazanin"/>
      <family val="2"/>
      <color rgb="FF1E2A2B"/>
      <sz val="10"/>
    </font>
    <font>
      <name val="Tahoma"/>
      <family val="2"/>
      <color indexed="81"/>
      <sz val="8"/>
    </font>
    <font>
      <name val="B Nazanin"/>
      <b val="1"/>
      <color rgb="00FFFFFF"/>
      <sz val="10.5"/>
    </font>
    <font>
      <name val="B Nazanin"/>
      <b val="1"/>
      <color rgb="0014453D"/>
      <sz val="9"/>
    </font>
  </fonts>
  <fills count="21">
    <fill>
      <patternFill/>
    </fill>
    <fill>
      <patternFill patternType="gray125"/>
    </fill>
    <fill>
      <patternFill patternType="solid">
        <fgColor rgb="FFC89B3C"/>
        <bgColor indexed="64"/>
      </patternFill>
    </fill>
    <fill>
      <patternFill patternType="solid">
        <fgColor rgb="FFF7F1E4"/>
        <bgColor indexed="64"/>
      </patternFill>
    </fill>
    <fill>
      <patternFill patternType="solid">
        <fgColor rgb="FFC462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4453D"/>
        <bgColor indexed="64"/>
      </patternFill>
    </fill>
    <fill>
      <patternFill patternType="solid">
        <fgColor rgb="FF7FA99B"/>
        <bgColor indexed="64"/>
      </patternFill>
    </fill>
    <fill>
      <patternFill patternType="solid">
        <fgColor rgb="FFFBF8F1"/>
        <bgColor indexed="64"/>
      </patternFill>
    </fill>
    <fill>
      <patternFill patternType="solid">
        <fgColor rgb="FFEBD9AE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F1F0EB"/>
        <bgColor indexed="64"/>
      </patternFill>
    </fill>
    <fill>
      <patternFill patternType="solid">
        <fgColor rgb="FFEAF4EC"/>
        <bgColor indexed="64"/>
      </patternFill>
    </fill>
    <fill>
      <patternFill patternType="solid">
        <fgColor rgb="FFEAF1F7"/>
        <bgColor indexed="64"/>
      </patternFill>
    </fill>
    <fill>
      <patternFill patternType="solid">
        <fgColor rgb="FFFBEDE7"/>
        <bgColor indexed="64"/>
      </patternFill>
    </fill>
    <fill>
      <patternFill patternType="solid">
        <fgColor rgb="FF6B4E9E"/>
        <bgColor indexed="64"/>
      </patternFill>
    </fill>
    <fill>
      <patternFill patternType="solid">
        <fgColor rgb="FFE0A458"/>
        <bgColor indexed="64"/>
      </patternFill>
    </fill>
    <fill>
      <patternFill patternType="solid">
        <fgColor rgb="FF2E6B4F"/>
        <bgColor indexed="64"/>
      </patternFill>
    </fill>
    <fill>
      <patternFill patternType="solid">
        <fgColor rgb="FFFCFAF3"/>
        <bgColor indexed="64"/>
      </patternFill>
    </fill>
    <fill>
      <patternFill patternType="solid">
        <fgColor rgb="0014453D"/>
      </patternFill>
    </fill>
    <fill>
      <patternFill patternType="solid">
        <fgColor rgb="00E4F0E8"/>
      </patternFill>
    </fill>
  </fills>
  <borders count="27">
    <border>
      <left/>
      <right/>
      <top/>
      <bottom/>
      <diagonal/>
    </border>
    <border>
      <left/>
      <right/>
      <top/>
      <bottom style="medium">
        <color rgb="FFC89B3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dashed">
        <color rgb="FFC89B3C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CD5C6"/>
      </left>
      <right style="thin">
        <color rgb="FFDCD5C6"/>
      </right>
      <top style="thin">
        <color rgb="FFDCD5C6"/>
      </top>
      <bottom style="thin">
        <color rgb="FFDCD5C6"/>
      </bottom>
      <diagonal/>
    </border>
    <border>
      <left style="thin">
        <color rgb="FFEAE4D7"/>
      </left>
      <right style="thin">
        <color rgb="FFEAE4D7"/>
      </right>
      <top style="thin">
        <color rgb="FFEAE4D7"/>
      </top>
      <bottom style="thin">
        <color rgb="FFEAE4D7"/>
      </bottom>
      <diagonal/>
    </border>
    <border>
      <left style="thin">
        <color rgb="FFDCD5C6"/>
      </left>
      <right style="thin">
        <color rgb="FFDCD5C6"/>
      </right>
      <top style="dashed">
        <color rgb="FFC89B3C"/>
      </top>
      <bottom style="thin">
        <color rgb="FFDCD5C6"/>
      </bottom>
      <diagonal/>
    </border>
    <border>
      <left style="thin">
        <color rgb="FF1F5C4D"/>
      </left>
      <right style="thin">
        <color rgb="FF1F5C4D"/>
      </right>
      <top style="thin">
        <color rgb="FF1F5C4D"/>
      </top>
      <bottom style="thin">
        <color rgb="FF1F5C4D"/>
      </bottom>
      <diagonal/>
    </border>
    <border>
      <left style="thin">
        <color rgb="FFF1ECDF"/>
      </left>
      <right style="thin">
        <color rgb="FFF1ECDF"/>
      </right>
      <top style="thin">
        <color rgb="FFF1ECDF"/>
      </top>
      <bottom style="thin">
        <color rgb="FFF1ECDF"/>
      </bottom>
      <diagonal/>
    </border>
    <border>
      <left/>
      <right/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DCD5C6"/>
      </top>
      <bottom/>
      <diagonal/>
    </border>
    <border>
      <left/>
      <right style="thin">
        <color rgb="FFDCD5C6"/>
      </right>
      <top style="thin">
        <color rgb="FFDCD5C6"/>
      </top>
      <bottom/>
      <diagonal/>
    </border>
    <border>
      <left/>
      <right/>
      <top style="thin">
        <color rgb="FFDCD5C6"/>
      </top>
      <bottom style="thin">
        <color rgb="FFDCD5C6"/>
      </bottom>
      <diagonal/>
    </border>
    <border>
      <left/>
      <right style="thin">
        <color rgb="FFDCD5C6"/>
      </right>
      <top style="thin">
        <color rgb="FFDCD5C6"/>
      </top>
      <bottom style="thin">
        <color rgb="FFDCD5C6"/>
      </bottom>
      <diagonal/>
    </border>
    <border>
      <left/>
      <right/>
      <top style="thin">
        <color rgb="FFEAE4D7"/>
      </top>
      <bottom/>
      <diagonal/>
    </border>
    <border>
      <left/>
      <right style="thin">
        <color rgb="FFEAE4D7"/>
      </right>
      <top style="thin">
        <color rgb="FFEAE4D7"/>
      </top>
      <bottom/>
      <diagonal/>
    </border>
    <border>
      <left/>
      <right/>
      <top style="thin">
        <color rgb="FFEAE4D7"/>
      </top>
      <bottom style="thin">
        <color rgb="FFEAE4D7"/>
      </bottom>
      <diagonal/>
    </border>
    <border>
      <left/>
      <right style="thin">
        <color rgb="FFEAE4D7"/>
      </right>
      <top style="thin">
        <color rgb="FFEAE4D7"/>
      </top>
      <bottom style="thin">
        <color rgb="FFEAE4D7"/>
      </bottom>
      <diagonal/>
    </border>
    <border>
      <left/>
      <right/>
      <top style="dashed">
        <color rgb="FFC89B3C"/>
      </top>
      <bottom/>
      <diagonal/>
    </border>
    <border>
      <left/>
      <right style="thin">
        <color rgb="FFDCD5C6"/>
      </right>
      <top style="dashed">
        <color rgb="FFC89B3C"/>
      </top>
      <bottom/>
      <diagonal/>
    </border>
    <border>
      <left/>
      <right/>
      <top style="dashed">
        <color rgb="FFC89B3C"/>
      </top>
      <bottom style="thin">
        <color rgb="FFDCD5C6"/>
      </bottom>
      <diagonal/>
    </border>
    <border>
      <left/>
      <right style="thin">
        <color rgb="FFDCD5C6"/>
      </right>
      <top style="dashed">
        <color rgb="FFC89B3C"/>
      </top>
      <bottom style="thin">
        <color rgb="FFDCD5C6"/>
      </bottom>
      <diagonal/>
    </border>
    <border>
      <left style="thin">
        <color rgb="00D8D2C2"/>
      </left>
      <right style="thin">
        <color rgb="00D8D2C2"/>
      </right>
      <top style="thin">
        <color rgb="00D8D2C2"/>
      </top>
      <bottom style="thin">
        <color rgb="00D8D2C2"/>
      </bottom>
    </border>
  </borders>
  <cellStyleXfs count="1">
    <xf numFmtId="0" fontId="0" fillId="0" borderId="9"/>
  </cellStyleXfs>
  <cellXfs count="104">
    <xf numFmtId="0" fontId="0" fillId="0" borderId="0" pivotButton="0" quotePrefix="0" xfId="0"/>
    <xf numFmtId="0" fontId="1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7" fillId="4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5" borderId="0" applyAlignment="1" pivotButton="0" quotePrefix="0" xfId="0">
      <alignment horizontal="right" vertical="center" wrapText="1"/>
    </xf>
    <xf numFmtId="0" fontId="10" fillId="6" borderId="2" applyAlignment="1" pivotButton="0" quotePrefix="0" xfId="0">
      <alignment horizontal="right" vertical="center"/>
    </xf>
    <xf numFmtId="0" fontId="10" fillId="6" borderId="3" applyAlignment="1" pivotButton="0" quotePrefix="0" xfId="0">
      <alignment horizontal="right" vertical="center"/>
    </xf>
    <xf numFmtId="0" fontId="10" fillId="7" borderId="2" applyAlignment="1" pivotButton="0" quotePrefix="0" xfId="0">
      <alignment horizontal="right" vertical="center"/>
    </xf>
    <xf numFmtId="0" fontId="10" fillId="7" borderId="3" applyAlignment="1" pivotButton="0" quotePrefix="0" xfId="0">
      <alignment horizontal="right" vertical="center"/>
    </xf>
    <xf numFmtId="0" fontId="10" fillId="2" borderId="2" applyAlignment="1" pivotButton="0" quotePrefix="0" xfId="0">
      <alignment horizontal="right" vertical="center"/>
    </xf>
    <xf numFmtId="0" fontId="10" fillId="2" borderId="3" applyAlignment="1" pivotButton="0" quotePrefix="0" xfId="0">
      <alignment horizontal="right" vertical="center"/>
    </xf>
    <xf numFmtId="0" fontId="11" fillId="8" borderId="4" applyAlignment="1" pivotButton="0" quotePrefix="0" xfId="0">
      <alignment horizontal="right" vertical="top" wrapText="1"/>
    </xf>
    <xf numFmtId="0" fontId="12" fillId="9" borderId="5" applyAlignment="1" pivotButton="0" quotePrefix="0" xfId="0">
      <alignment horizontal="right" vertical="center" wrapText="1"/>
    </xf>
    <xf numFmtId="0" fontId="13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right" vertical="top" wrapText="1"/>
    </xf>
    <xf numFmtId="0" fontId="17" fillId="6" borderId="2" applyAlignment="1" pivotButton="0" quotePrefix="0" xfId="0">
      <alignment horizontal="center" vertical="center"/>
    </xf>
    <xf numFmtId="0" fontId="18" fillId="10" borderId="2" applyAlignment="1" pivotButton="0" quotePrefix="0" xfId="0">
      <alignment horizontal="center" vertical="center"/>
    </xf>
    <xf numFmtId="0" fontId="19" fillId="11" borderId="2" applyAlignment="1" pivotButton="0" quotePrefix="0" xfId="0">
      <alignment horizontal="center" vertical="center"/>
    </xf>
    <xf numFmtId="0" fontId="20" fillId="12" borderId="2" applyAlignment="1" pivotButton="0" quotePrefix="0" xfId="0">
      <alignment horizontal="center" vertical="center"/>
    </xf>
    <xf numFmtId="0" fontId="21" fillId="13" borderId="2" applyAlignment="1" pivotButton="0" quotePrefix="0" xfId="0">
      <alignment horizontal="center" vertical="center"/>
    </xf>
    <xf numFmtId="0" fontId="22" fillId="14" borderId="2" applyAlignment="1" pivotButton="0" quotePrefix="0" xfId="0">
      <alignment horizontal="center" vertical="center"/>
    </xf>
    <xf numFmtId="0" fontId="23" fillId="0" borderId="0" applyAlignment="1" pivotButton="0" quotePrefix="0" xfId="0">
      <alignment horizontal="right" vertical="center"/>
    </xf>
    <xf numFmtId="0" fontId="24" fillId="3" borderId="6" applyAlignment="1" pivotButton="0" quotePrefix="0" xfId="0">
      <alignment horizontal="center" vertical="center"/>
    </xf>
    <xf numFmtId="164" fontId="25" fillId="8" borderId="4" applyAlignment="1" pivotButton="0" quotePrefix="0" xfId="0">
      <alignment horizontal="center" vertical="center"/>
    </xf>
    <xf numFmtId="164" fontId="26" fillId="8" borderId="4" applyAlignment="1" pivotButton="0" quotePrefix="0" xfId="0">
      <alignment horizontal="center" vertical="center"/>
    </xf>
    <xf numFmtId="164" fontId="27" fillId="8" borderId="4" applyAlignment="1" pivotButton="0" quotePrefix="0" xfId="0">
      <alignment horizontal="center" vertical="center"/>
    </xf>
    <xf numFmtId="49" fontId="27" fillId="8" borderId="4" applyAlignment="1" pivotButton="0" quotePrefix="0" xfId="0">
      <alignment horizontal="center" vertical="center"/>
    </xf>
    <xf numFmtId="0" fontId="28" fillId="6" borderId="7" applyAlignment="1" pivotButton="0" quotePrefix="0" xfId="0">
      <alignment horizontal="center" vertical="center" wrapText="1"/>
    </xf>
    <xf numFmtId="0" fontId="29" fillId="5" borderId="5" applyAlignment="1" pivotButton="0" quotePrefix="0" xfId="0">
      <alignment horizontal="center" vertical="center"/>
    </xf>
    <xf numFmtId="0" fontId="30" fillId="5" borderId="5" applyAlignment="1" pivotButton="0" quotePrefix="0" xfId="0">
      <alignment horizontal="right" vertical="center"/>
    </xf>
    <xf numFmtId="164" fontId="31" fillId="5" borderId="5" applyAlignment="1" pivotButton="0" quotePrefix="0" xfId="0">
      <alignment horizontal="center" vertical="center"/>
    </xf>
    <xf numFmtId="0" fontId="32" fillId="2" borderId="0" applyAlignment="1" pivotButton="0" quotePrefix="0" xfId="0">
      <alignment horizontal="center"/>
    </xf>
    <xf numFmtId="164" fontId="33" fillId="2" borderId="0" applyAlignment="1" pivotButton="0" quotePrefix="0" xfId="0">
      <alignment horizontal="center"/>
    </xf>
    <xf numFmtId="0" fontId="12" fillId="3" borderId="5" applyAlignment="1" pivotButton="0" quotePrefix="0" xfId="0">
      <alignment horizontal="right" vertical="center" wrapText="1"/>
    </xf>
    <xf numFmtId="164" fontId="34" fillId="8" borderId="4" applyAlignment="1" pivotButton="0" quotePrefix="0" xfId="0">
      <alignment horizontal="center" vertical="center"/>
    </xf>
    <xf numFmtId="0" fontId="35" fillId="6" borderId="7" applyAlignment="1" pivotButton="0" quotePrefix="0" xfId="0">
      <alignment horizontal="center" vertical="center"/>
    </xf>
    <xf numFmtId="0" fontId="36" fillId="3" borderId="4" applyAlignment="1" pivotButton="0" quotePrefix="0" xfId="0">
      <alignment horizontal="right"/>
    </xf>
    <xf numFmtId="0" fontId="30" fillId="0" borderId="5" applyAlignment="1" pivotButton="0" quotePrefix="0" xfId="0">
      <alignment horizontal="right"/>
    </xf>
    <xf numFmtId="0" fontId="30" fillId="0" borderId="5" applyAlignment="1" pivotButton="0" quotePrefix="0" xfId="0">
      <alignment horizontal="center"/>
    </xf>
    <xf numFmtId="0" fontId="37" fillId="3" borderId="1" applyAlignment="1" pivotButton="0" quotePrefix="0" xfId="0">
      <alignment horizontal="right" vertical="center"/>
    </xf>
    <xf numFmtId="0" fontId="23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/>
    </xf>
    <xf numFmtId="0" fontId="28" fillId="6" borderId="2" applyAlignment="1" pivotButton="0" quotePrefix="0" xfId="0">
      <alignment horizontal="center" vertical="center"/>
    </xf>
    <xf numFmtId="0" fontId="28" fillId="4" borderId="2" applyAlignment="1" pivotButton="0" quotePrefix="0" xfId="0">
      <alignment horizontal="center" vertical="center"/>
    </xf>
    <xf numFmtId="0" fontId="28" fillId="15" borderId="2" applyAlignment="1" pivotButton="0" quotePrefix="0" xfId="0">
      <alignment horizontal="center" vertical="center"/>
    </xf>
    <xf numFmtId="0" fontId="28" fillId="16" borderId="2" applyAlignment="1" pivotButton="0" quotePrefix="0" xfId="0">
      <alignment horizontal="center" vertical="center"/>
    </xf>
    <xf numFmtId="0" fontId="28" fillId="17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center" vertical="center"/>
    </xf>
    <xf numFmtId="0" fontId="28" fillId="7" borderId="2" applyAlignment="1" pivotButton="0" quotePrefix="0" xfId="0">
      <alignment horizontal="center" vertical="center"/>
    </xf>
    <xf numFmtId="0" fontId="38" fillId="6" borderId="0" applyAlignment="1" pivotButton="0" quotePrefix="0" xfId="0">
      <alignment horizontal="center" vertical="center"/>
    </xf>
    <xf numFmtId="0" fontId="38" fillId="4" borderId="0" applyAlignment="1" pivotButton="0" quotePrefix="0" xfId="0">
      <alignment horizontal="center" vertical="center"/>
    </xf>
    <xf numFmtId="0" fontId="38" fillId="15" borderId="0" applyAlignment="1" pivotButton="0" quotePrefix="0" xfId="0">
      <alignment horizontal="center" vertical="center"/>
    </xf>
    <xf numFmtId="0" fontId="38" fillId="16" borderId="0" applyAlignment="1" pivotButton="0" quotePrefix="0" xfId="0">
      <alignment horizontal="center" vertical="center"/>
    </xf>
    <xf numFmtId="0" fontId="38" fillId="17" borderId="0" applyAlignment="1" pivotButton="0" quotePrefix="0" xfId="0">
      <alignment horizontal="center" vertical="center"/>
    </xf>
    <xf numFmtId="0" fontId="38" fillId="2" borderId="0" applyAlignment="1" pivotButton="0" quotePrefix="0" xfId="0">
      <alignment horizontal="center" vertical="center"/>
    </xf>
    <xf numFmtId="0" fontId="38" fillId="7" borderId="0" applyAlignment="1" pivotButton="0" quotePrefix="0" xfId="0">
      <alignment horizontal="center" vertical="center"/>
    </xf>
    <xf numFmtId="0" fontId="39" fillId="5" borderId="5" applyAlignment="1" pivotButton="0" quotePrefix="0" xfId="0">
      <alignment horizontal="center" vertical="center"/>
    </xf>
    <xf numFmtId="164" fontId="29" fillId="5" borderId="5" applyAlignment="1" pivotButton="0" quotePrefix="0" xfId="0">
      <alignment horizontal="center" vertical="center"/>
    </xf>
    <xf numFmtId="0" fontId="39" fillId="18" borderId="8" applyAlignment="1" pivotButton="0" quotePrefix="0" xfId="0">
      <alignment horizontal="center" vertical="center"/>
    </xf>
    <xf numFmtId="0" fontId="0" fillId="8" borderId="0" pivotButton="0" quotePrefix="0" xfId="0"/>
    <xf numFmtId="0" fontId="0" fillId="2" borderId="0" pivotButton="0" quotePrefix="0" xfId="0"/>
    <xf numFmtId="0" fontId="0" fillId="5" borderId="0" pivotButton="0" quotePrefix="0" xfId="0"/>
    <xf numFmtId="0" fontId="40" fillId="5" borderId="9" applyAlignment="1" pivotButton="0" quotePrefix="0" xfId="0">
      <alignment horizontal="right" vertical="center" wrapText="1"/>
    </xf>
    <xf numFmtId="0" fontId="1" fillId="0" borderId="9" applyAlignment="1" pivotButton="0" quotePrefix="0" xfId="0">
      <alignment horizontal="right"/>
    </xf>
    <xf numFmtId="0" fontId="2" fillId="0" borderId="9" applyAlignment="1" pivotButton="0" quotePrefix="0" xfId="0">
      <alignment horizontal="left"/>
    </xf>
    <xf numFmtId="0" fontId="3" fillId="0" borderId="9" applyAlignment="1" pivotButton="0" quotePrefix="0" xfId="0">
      <alignment horizontal="right"/>
    </xf>
    <xf numFmtId="0" fontId="4" fillId="0" borderId="9" applyAlignment="1" pivotButton="0" quotePrefix="0" xfId="0">
      <alignment horizontal="right"/>
    </xf>
    <xf numFmtId="0" fontId="0" fillId="0" borderId="1" pivotButton="0" quotePrefix="0" xfId="0"/>
    <xf numFmtId="0" fontId="8" fillId="3" borderId="9" applyAlignment="1" pivotButton="0" quotePrefix="0" xfId="0">
      <alignment horizontal="right" vertical="center"/>
    </xf>
    <xf numFmtId="0" fontId="9" fillId="5" borderId="9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3" fillId="0" borderId="9" applyAlignment="1" pivotButton="0" quotePrefix="0" xfId="0">
      <alignment horizontal="right" vertical="center"/>
    </xf>
    <xf numFmtId="0" fontId="14" fillId="0" borderId="9" applyAlignment="1" pivotButton="0" quotePrefix="0" xfId="0">
      <alignment horizontal="left" vertical="center"/>
    </xf>
    <xf numFmtId="0" fontId="15" fillId="0" borderId="9" applyAlignment="1" pivotButton="0" quotePrefix="0" xfId="0">
      <alignment horizontal="right" vertical="center"/>
    </xf>
    <xf numFmtId="0" fontId="16" fillId="0" borderId="9" applyAlignment="1" pivotButton="0" quotePrefix="0" xfId="0">
      <alignment horizontal="right" vertical="top" wrapText="1"/>
    </xf>
    <xf numFmtId="0" fontId="23" fillId="0" borderId="9" applyAlignment="1" pivotButton="0" quotePrefix="0" xfId="0">
      <alignment horizontal="right" vertical="center"/>
    </xf>
    <xf numFmtId="0" fontId="0" fillId="0" borderId="24" pivotButton="0" quotePrefix="0" xfId="0"/>
    <xf numFmtId="0" fontId="0" fillId="0" borderId="25" pivotButton="0" quotePrefix="0" xfId="0"/>
    <xf numFmtId="49" fontId="27" fillId="8" borderId="4" applyAlignment="1" pivotButton="0" quotePrefix="0" xfId="0">
      <alignment horizontal="center" vertical="center"/>
    </xf>
    <xf numFmtId="0" fontId="23" fillId="0" borderId="9" applyAlignment="1" pivotButton="0" quotePrefix="0" xfId="0">
      <alignment horizontal="right" vertical="center" wrapText="1"/>
    </xf>
    <xf numFmtId="0" fontId="2" fillId="0" borderId="9" applyAlignment="1" pivotButton="0" quotePrefix="0" xfId="0">
      <alignment horizontal="left" vertical="center"/>
    </xf>
    <xf numFmtId="0" fontId="38" fillId="6" borderId="9" applyAlignment="1" pivotButton="0" quotePrefix="0" xfId="0">
      <alignment horizontal="center" vertical="center"/>
    </xf>
    <xf numFmtId="0" fontId="38" fillId="4" borderId="9" applyAlignment="1" pivotButton="0" quotePrefix="0" xfId="0">
      <alignment horizontal="center" vertical="center"/>
    </xf>
    <xf numFmtId="0" fontId="38" fillId="15" borderId="9" applyAlignment="1" pivotButton="0" quotePrefix="0" xfId="0">
      <alignment horizontal="center" vertical="center"/>
    </xf>
    <xf numFmtId="0" fontId="38" fillId="16" borderId="9" applyAlignment="1" pivotButton="0" quotePrefix="0" xfId="0">
      <alignment horizontal="center" vertical="center"/>
    </xf>
    <xf numFmtId="0" fontId="38" fillId="17" borderId="9" applyAlignment="1" pivotButton="0" quotePrefix="0" xfId="0">
      <alignment horizontal="center" vertical="center"/>
    </xf>
    <xf numFmtId="0" fontId="38" fillId="2" borderId="9" applyAlignment="1" pivotButton="0" quotePrefix="0" xfId="0">
      <alignment horizontal="center" vertical="center"/>
    </xf>
    <xf numFmtId="0" fontId="38" fillId="7" borderId="9" applyAlignment="1" pivotButton="0" quotePrefix="0" xfId="0">
      <alignment horizontal="center" vertical="center"/>
    </xf>
    <xf numFmtId="0" fontId="0" fillId="8" borderId="9" pivotButton="0" quotePrefix="0" xfId="0"/>
    <xf numFmtId="0" fontId="0" fillId="2" borderId="9" pivotButton="0" quotePrefix="0" xfId="0"/>
    <xf numFmtId="0" fontId="42" fillId="19" borderId="0" applyAlignment="1" pivotButton="0" quotePrefix="0" xfId="0">
      <alignment horizontal="right" vertical="center"/>
    </xf>
    <xf numFmtId="0" fontId="43" fillId="20" borderId="2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راهنما</author>
  </authors>
  <commentList>
    <comment ref="D10" authorId="0" shapeId="0">
      <text>
        <t>خرید از باغدار</t>
      </text>
    </comment>
    <comment ref="D11" authorId="0" shapeId="0">
      <text>
        <t>ردیف نمونه — نوع عملیات را عوض کنید و ببینید بدهکار/بستانکار چطور تغییر می‌کند.</t>
      </text>
    </comment>
    <comment ref="D12" authorId="0" shapeId="0">
      <text>
        <t>کرایه حمل</t>
      </text>
    </comment>
    <comment ref="D13" authorId="0" shapeId="0">
      <text>
        <t>هزینه باسکول پوز</t>
      </text>
    </comment>
    <comment ref="D14" authorId="0" shapeId="0">
      <text>
        <t>هزینه باسکول میدان</t>
      </text>
    </comment>
    <comment ref="D15" authorId="0" shapeId="0">
      <text>
        <t>انعام روزانه</t>
      </text>
    </comment>
    <comment ref="D16" authorId="0" shapeId="0">
      <text>
        <t>خرید ۵۰۰ سبد</t>
      </text>
    </comment>
    <comment ref="D17" authorId="0" shapeId="0">
      <text>
        <t>آبگیری بار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00_Master.xlsx" TargetMode="External" Id="rId1" /><Relationship Type="http://schemas.openxmlformats.org/officeDocument/2006/relationships/hyperlink" Target="01_Entry.xlsx" TargetMode="External" Id="rId2" /><Relationship Type="http://schemas.openxmlformats.org/officeDocument/2006/relationships/hyperlink" Target="02_Bank.xlsx" TargetMode="External" Id="rId3" /><Relationship Type="http://schemas.openxmlformats.org/officeDocument/2006/relationships/hyperlink" Target="03_Report.xlsx" TargetMode="External" Id="rId4" /><Relationship Type="http://schemas.openxmlformats.org/officeDocument/2006/relationships/hyperlink" Target="04_Inv.xlsx" TargetMode="External" Id="rId5" /><Relationship Type="http://schemas.openxmlformats.org/officeDocument/2006/relationships/hyperlink" Target="05_Bal.xlsx" TargetMode="External" Id="rId6" /><Relationship Type="http://schemas.openxmlformats.org/officeDocument/2006/relationships/hyperlink" Target="06_Buyers.xlsx" TargetMode="External" Id="rId7" /><Relationship Type="http://schemas.openxmlformats.org/officeDocument/2006/relationships/hyperlink" Target="08_Dash.xlsx" TargetMode="External" Id="rId8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C4623F"/>
    <outlinePr summaryBelow="1" summaryRight="1"/>
    <pageSetUpPr fitToPage="1"/>
  </sheetPr>
  <dimension ref="A1:J25"/>
  <sheetViews>
    <sheetView showGridLines="0" rightToLeft="1" tabSelected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6.7109375" customWidth="1" min="1" max="10"/>
  </cols>
  <sheetData>
    <row r="1" ht="18" customHeight="1">
      <c r="A1" s="70" t="inlineStr">
        <is>
          <t>مازندشت — سورتینگ و بسته‌بندی مرکبات</t>
        </is>
      </c>
      <c r="G1" s="71" t="inlineStr">
        <is>
          <t>MAZANDASHT  ·  CITRUS SORTING &amp; PACKING</t>
        </is>
      </c>
    </row>
    <row r="2" ht="30" customHeight="1">
      <c r="A2" s="72" t="inlineStr">
        <is>
          <t>نمونه ساده — کل چرخه در یک صفحه</t>
        </is>
      </c>
    </row>
    <row r="3" ht="20.25" customHeight="1">
      <c r="A3" s="73" t="inlineStr">
        <is>
          <t>۸ ردیف نمونه که خرید، فروش، باسکول دیگران، انعام، سبد و آبگیری را نشان می‌دهد</t>
        </is>
      </c>
    </row>
    <row r="4"/>
    <row r="5" ht="30" customHeight="1">
      <c r="A5" s="5" t="inlineStr">
        <is>
          <t>۰۱</t>
        </is>
      </c>
      <c r="B5" s="6" t="inlineStr">
        <is>
          <t>این فایل برای چه کسی است؟  —  اگر تازه با سیستم آشنا می‌شوید، از این‌جا شروع کنید</t>
        </is>
      </c>
      <c r="C5" s="74" t="n"/>
      <c r="D5" s="74" t="n"/>
      <c r="E5" s="74" t="n"/>
      <c r="F5" s="74" t="n"/>
      <c r="G5" s="74" t="n"/>
      <c r="H5" s="74" t="n"/>
      <c r="I5" s="74" t="n"/>
      <c r="J5" s="74" t="n"/>
    </row>
    <row r="6" ht="26.25" customHeight="1">
      <c r="A6" s="7" t="inlineStr">
        <is>
          <t>۱</t>
        </is>
      </c>
      <c r="B6" s="75" t="inlineStr">
        <is>
          <t>شیت ثبت</t>
        </is>
      </c>
    </row>
    <row r="7" ht="30" customHeight="1">
      <c r="B7" s="76" t="inlineStr">
        <is>
          <t>۸ ردیف نمونه با همه نوع عملیات. هر ردیف را باز کنید و ببینید چه ستون‌هایی پر شده.</t>
        </is>
      </c>
    </row>
    <row r="8" ht="26.25" customHeight="1">
      <c r="A8" s="7" t="inlineStr">
        <is>
          <t>۲</t>
        </is>
      </c>
      <c r="B8" s="75" t="inlineStr">
        <is>
          <t>شیت خلاصه</t>
        </is>
      </c>
    </row>
    <row r="9" ht="30" customHeight="1">
      <c r="B9" s="76" t="inlineStr">
        <is>
          <t>جمع بدهکار و بستانکار هر گروه و موجودی سبد؛ همان نتیجه‌ای که در فایل اصلی می‌بینید.</t>
        </is>
      </c>
    </row>
    <row r="10" ht="26.25" customHeight="1">
      <c r="A10" s="7" t="inlineStr">
        <is>
          <t>۳</t>
        </is>
      </c>
      <c r="B10" s="75" t="inlineStr">
        <is>
          <t>شیت Sync</t>
        </is>
      </c>
    </row>
    <row r="11" ht="30" customHeight="1">
      <c r="B11" s="76" t="inlineStr">
        <is>
          <t>داده‌های ثابت (حساب‌ها، عملیات، سبدها) که همه کشوها از آن می‌آید.</t>
        </is>
      </c>
    </row>
    <row r="12" ht="26.25" customHeight="1">
      <c r="A12" s="7" t="inlineStr">
        <is>
          <t>۴</t>
        </is>
      </c>
      <c r="B12" s="75" t="inlineStr">
        <is>
          <t>فایل اصلی</t>
        </is>
      </c>
    </row>
    <row r="13" ht="30" customHeight="1">
      <c r="B13" s="76" t="inlineStr">
        <is>
          <t>وقتی منطق را فهمیدید، سراغ 01_Entry.xlsx بروید؛ همان ساختار با ظرفیت ۳۰۰ توزین.</t>
        </is>
      </c>
    </row>
    <row r="14"/>
    <row r="15" ht="24" customHeight="1">
      <c r="A15" s="10" t="inlineStr">
        <is>
          <t>ثبت نمونه</t>
        </is>
      </c>
      <c r="B15" s="77" t="n"/>
      <c r="C15" s="78" t="n"/>
      <c r="D15" s="12" t="inlineStr">
        <is>
          <t>خلاصه</t>
        </is>
      </c>
      <c r="E15" s="77" t="n"/>
      <c r="F15" s="78" t="n"/>
      <c r="G15" s="14" t="inlineStr">
        <is>
          <t>راهنما</t>
        </is>
      </c>
      <c r="H15" s="77" t="n"/>
      <c r="I15" s="78" t="n"/>
    </row>
    <row r="16" ht="27.75" customHeight="1">
      <c r="A16" s="16" t="inlineStr">
        <is>
          <t>۸ ردیف با همه نوع عملیات</t>
        </is>
      </c>
      <c r="B16" s="79" t="n"/>
      <c r="C16" s="80" t="n"/>
      <c r="D16" s="16" t="inlineStr">
        <is>
          <t>جمع‌ها و موجودی سبد</t>
        </is>
      </c>
      <c r="E16" s="79" t="n"/>
      <c r="F16" s="80" t="n"/>
      <c r="G16" s="16" t="inlineStr">
        <is>
          <t>توضیح قدم‌به‌قدم</t>
        </is>
      </c>
      <c r="H16" s="79" t="n"/>
      <c r="I16" s="80" t="n"/>
    </row>
    <row r="17" ht="12" customHeight="1"/>
    <row r="18"/>
    <row r="19"/>
    <row r="20"/>
    <row r="21" ht="30" customHeight="1">
      <c r="A21" s="17" t="inlineStr">
        <is>
          <t>اعداد این فایل نمونه‌اند و به فایل‌های دیگر وصل نیستند؛ برای کار واقعی از ثبت روزانه استفاده کنید.</t>
        </is>
      </c>
      <c r="B21" s="81" t="n"/>
      <c r="C21" s="81" t="n"/>
      <c r="D21" s="81" t="n"/>
      <c r="E21" s="81" t="n"/>
      <c r="F21" s="81" t="n"/>
      <c r="G21" s="81" t="n"/>
      <c r="H21" s="81" t="n"/>
      <c r="I21" s="81" t="n"/>
      <c r="J21" s="82" t="n"/>
    </row>
    <row r="22"/>
    <row r="23" ht="24" customHeight="1">
      <c r="A23" s="102" t="inlineStr">
        <is>
          <t xml:space="preserve">     فایل‌های همراه — با یک کلیک باز می‌شوند (مسیر نسبی، همه در همین پوشه)</t>
        </is>
      </c>
    </row>
    <row r="24" ht="22" customHeight="1">
      <c r="A24" s="103" t="inlineStr">
        <is>
          <t>فایل مادر  00_Master</t>
        </is>
      </c>
      <c r="C24" s="103" t="inlineStr">
        <is>
          <t>دفتر ثبت  01_Entry</t>
        </is>
      </c>
      <c r="E24" s="103" t="inlineStr">
        <is>
          <t>بانک  02_Bank</t>
        </is>
      </c>
      <c r="G24" s="103" t="inlineStr">
        <is>
          <t>گزارش‌ها  03_Report</t>
        </is>
      </c>
      <c r="I24" s="103" t="inlineStr">
        <is>
          <t>فاکتورها  04_Inv</t>
        </is>
      </c>
    </row>
    <row r="25" ht="22" customHeight="1">
      <c r="A25" s="103" t="inlineStr">
        <is>
          <t>تراز  05_Bal</t>
        </is>
      </c>
      <c r="C25" s="103" t="inlineStr">
        <is>
          <t>خریداران  06_Buyers</t>
        </is>
      </c>
      <c r="E25" s="103" t="inlineStr">
        <is>
          <t>داشبورد  08_Dash</t>
        </is>
      </c>
    </row>
  </sheetData>
  <mergeCells count="21">
    <mergeCell ref="B11:J11"/>
    <mergeCell ref="A23:J23"/>
    <mergeCell ref="B8:D8"/>
    <mergeCell ref="G1:J1"/>
    <mergeCell ref="B13:J13"/>
    <mergeCell ref="D16:F16"/>
    <mergeCell ref="G15:I15"/>
    <mergeCell ref="B10:D10"/>
    <mergeCell ref="B9:J9"/>
    <mergeCell ref="B6:D6"/>
    <mergeCell ref="D15:F15"/>
    <mergeCell ref="G16:I16"/>
    <mergeCell ref="B5:J5"/>
    <mergeCell ref="A15:C15"/>
    <mergeCell ref="B7:J7"/>
    <mergeCell ref="A1:F1"/>
    <mergeCell ref="A3:J3"/>
    <mergeCell ref="A21:J21"/>
    <mergeCell ref="A2:J2"/>
    <mergeCell ref="B12:D12"/>
    <mergeCell ref="A16:C16"/>
  </mergeCells>
  <hyperlinks>
    <hyperlink ref="A15" location="Reg!A8" display="ثبت نمونه"/>
    <hyperlink ref="D15" location="Sum!A8" display="خلاصه"/>
    <hyperlink ref="G15" location="Help!A8" display="راهنما"/>
    <hyperlink xmlns:r="http://schemas.openxmlformats.org/officeDocument/2006/relationships" ref="A24" r:id="rId1"/>
    <hyperlink xmlns:r="http://schemas.openxmlformats.org/officeDocument/2006/relationships" ref="C24" r:id="rId2"/>
    <hyperlink xmlns:r="http://schemas.openxmlformats.org/officeDocument/2006/relationships" ref="E24" r:id="rId3"/>
    <hyperlink xmlns:r="http://schemas.openxmlformats.org/officeDocument/2006/relationships" ref="G24" r:id="rId4"/>
    <hyperlink xmlns:r="http://schemas.openxmlformats.org/officeDocument/2006/relationships" ref="I24" r:id="rId5"/>
    <hyperlink xmlns:r="http://schemas.openxmlformats.org/officeDocument/2006/relationships" ref="A25" r:id="rId6"/>
    <hyperlink xmlns:r="http://schemas.openxmlformats.org/officeDocument/2006/relationships" ref="C25" r:id="rId7"/>
    <hyperlink xmlns:r="http://schemas.openxmlformats.org/officeDocument/2006/relationships" ref="E25" r:id="rId8"/>
  </hyperlinks>
  <printOptions horizontalCentered="1"/>
  <pageMargins left="0.28" right="0.28" top="0.45" bottom="0.5" header="0.3" footer="0.3"/>
  <pageSetup orientation="portrait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FFC4623F"/>
    <outlinePr summaryBelow="1" summaryRight="1"/>
    <pageSetUpPr fitToPage="1"/>
  </sheetPr>
  <dimension ref="A1:N20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1.7109375" customWidth="1" min="1" max="1"/>
    <col width="8.7109375" customWidth="1" min="2" max="2"/>
    <col width="9.7109375" customWidth="1" min="3" max="3"/>
    <col width="22.7109375" customWidth="1" min="4" max="4"/>
    <col width="9.7109375" customWidth="1" min="5" max="5"/>
    <col width="22.7109375" customWidth="1" min="6" max="6"/>
    <col width="18.7109375" customWidth="1" min="7" max="7"/>
    <col width="20.7109375" customWidth="1" min="8" max="8"/>
    <col width="11.7109375" customWidth="1" min="9" max="9"/>
    <col width="8.7109375" customWidth="1" min="10" max="10"/>
    <col width="11.7109375" customWidth="1" min="11" max="11"/>
    <col width="15.7109375" customWidth="1" min="12" max="14"/>
  </cols>
  <sheetData>
    <row r="1" ht="20.25" customHeight="1">
      <c r="A1" s="83" t="inlineStr">
        <is>
          <t>مازندشت — سورتینگ و بسته‌بندی مرکبات</t>
        </is>
      </c>
      <c r="I1" s="84" t="inlineStr">
        <is>
          <t>MAZANDASHT  ·  CITRUS SORTING &amp; PACKING</t>
        </is>
      </c>
    </row>
    <row r="2" ht="38.25" customHeight="1">
      <c r="A2" s="85" t="inlineStr">
        <is>
          <t>ثبت نمونه</t>
        </is>
      </c>
    </row>
    <row r="3" ht="45.75" customHeight="1">
      <c r="A3" s="86" t="inlineStr">
        <is>
          <t>۸ ردیف: از خرید باغدار تا فروش بار، باسکول دیگران، انعام، سبد و آبگیری</t>
        </is>
      </c>
    </row>
    <row r="4" ht="24" customHeight="1">
      <c r="A4" s="22" t="inlineStr">
        <is>
          <t>راهنما</t>
        </is>
      </c>
      <c r="B4" s="23" t="inlineStr">
        <is>
          <t>ورود دستی</t>
        </is>
      </c>
      <c r="C4" s="24" t="inlineStr">
        <is>
          <t>خودکار</t>
        </is>
      </c>
      <c r="D4" s="25" t="inlineStr">
        <is>
          <t>ورود</t>
        </is>
      </c>
      <c r="E4" s="26" t="inlineStr">
        <is>
          <t>خروج</t>
        </is>
      </c>
      <c r="F4" s="27" t="inlineStr">
        <is>
          <t>هشدار</t>
        </is>
      </c>
      <c r="G4" s="87" t="inlineStr">
        <is>
          <t>ستون‌های زرد = ورود شما  |  ستون‌های خاکستری = محاسبه خودکار  |  روی سرستون‌ها بایستید تا راهنما باز شود</t>
        </is>
      </c>
    </row>
    <row r="5" ht="17.25" customHeight="1">
      <c r="A5" s="29" t="inlineStr">
        <is>
          <t>جمع مبلغ</t>
        </is>
      </c>
      <c r="B5" s="88" t="n"/>
      <c r="C5" s="88" t="n"/>
      <c r="D5" s="89" t="n"/>
      <c r="E5" s="29" t="inlineStr">
        <is>
          <t>جمع بدهکار</t>
        </is>
      </c>
      <c r="F5" s="88" t="n"/>
      <c r="G5" s="88" t="n"/>
      <c r="H5" s="89" t="n"/>
      <c r="I5" s="29" t="inlineStr">
        <is>
          <t>جمع بستانکار</t>
        </is>
      </c>
      <c r="J5" s="88" t="n"/>
      <c r="K5" s="88" t="n"/>
      <c r="L5" s="89" t="n"/>
      <c r="M5" s="29" t="inlineStr">
        <is>
          <t>وضعیت</t>
        </is>
      </c>
    </row>
    <row r="6" ht="33" customHeight="1">
      <c r="A6" s="30">
        <f>SUM($K$10:$K$17)</f>
        <v/>
      </c>
      <c r="B6" s="79" t="n"/>
      <c r="C6" s="79" t="n"/>
      <c r="D6" s="80" t="n"/>
      <c r="E6" s="31">
        <f>SUM($M$10:$M$17)</f>
        <v/>
      </c>
      <c r="F6" s="79" t="n"/>
      <c r="G6" s="79" t="n"/>
      <c r="H6" s="80" t="n"/>
      <c r="I6" s="32">
        <f>SUM($N$10:$N$17)</f>
        <v/>
      </c>
      <c r="J6" s="79" t="n"/>
      <c r="K6" s="79" t="n"/>
      <c r="L6" s="80" t="n"/>
      <c r="M6" s="90">
        <f>IF(ROUND($M$7-$N$7,0)=0,"✓ تراز","⚠ ناتراز")</f>
        <v/>
      </c>
    </row>
    <row r="7" ht="6.75" customHeight="1"/>
    <row r="8"/>
    <row r="9" ht="30" customHeight="1">
      <c r="A9" s="34" t="inlineStr">
        <is>
          <t>تاریخ</t>
        </is>
      </c>
      <c r="B9" s="34" t="inlineStr">
        <is>
          <t>ساعت</t>
        </is>
      </c>
      <c r="C9" s="34" t="inlineStr">
        <is>
          <t>سند</t>
        </is>
      </c>
      <c r="D9" s="34" t="inlineStr">
        <is>
          <t>نوع عملیات</t>
        </is>
      </c>
      <c r="E9" s="34" t="inlineStr">
        <is>
          <t>کد حساب</t>
        </is>
      </c>
      <c r="F9" s="34" t="inlineStr">
        <is>
          <t>نام حساب</t>
        </is>
      </c>
      <c r="G9" s="34" t="inlineStr">
        <is>
          <t>محصول</t>
        </is>
      </c>
      <c r="H9" s="34" t="inlineStr">
        <is>
          <t>سبد</t>
        </is>
      </c>
      <c r="I9" s="34" t="inlineStr">
        <is>
          <t>وزن باسکول</t>
        </is>
      </c>
      <c r="J9" s="34" t="inlineStr">
        <is>
          <t>تعداد</t>
        </is>
      </c>
      <c r="K9" s="34" t="inlineStr">
        <is>
          <t>فی</t>
        </is>
      </c>
      <c r="L9" s="34" t="inlineStr">
        <is>
          <t>مبلغ</t>
        </is>
      </c>
      <c r="M9" s="34" t="inlineStr">
        <is>
          <t>بدهکار</t>
        </is>
      </c>
      <c r="N9" s="34" t="inlineStr">
        <is>
          <t>بستانکار</t>
        </is>
      </c>
    </row>
    <row r="10" ht="21.75" customHeight="1">
      <c r="A10" s="35" t="inlineStr">
        <is>
          <t>1405/07/01</t>
        </is>
      </c>
      <c r="B10" s="35" t="inlineStr">
        <is>
          <t>07:45</t>
        </is>
      </c>
      <c r="C10" s="35" t="inlineStr">
        <is>
          <t>SM-01</t>
        </is>
      </c>
      <c r="D10" s="36" t="inlineStr">
        <is>
          <t>خرید مرکبات</t>
        </is>
      </c>
      <c r="E10" s="35" t="inlineStr">
        <is>
          <t>C001</t>
        </is>
      </c>
      <c r="F10" s="36">
        <f>IF($E10="","",IFERROR(VLOOKUP($E10,AcctTbl,2,0),"کد ناشناخته"))</f>
        <v/>
      </c>
      <c r="G10" s="36" t="inlineStr">
        <is>
          <t>نارنگی پیچ</t>
        </is>
      </c>
      <c r="H10" s="36" t="inlineStr">
        <is>
          <t>BK03 – ۹ک مشکی</t>
        </is>
      </c>
      <c r="I10" s="37" t="n">
        <v>2290</v>
      </c>
      <c r="J10" s="37" t="n">
        <v>139</v>
      </c>
      <c r="K10" s="37" t="n">
        <v>32000</v>
      </c>
      <c r="L10" s="37">
        <f>IF($M10+$N10=0,0,$M10+$N10)</f>
        <v/>
      </c>
      <c r="M10" s="37">
        <f>IF($D10="","",IF(OR($D10="خرید مرکبات",$D10="باسکول دیگران"),$K10,IF($D10="فروش بار (بارفروش)",$K10,0)))</f>
        <v/>
      </c>
      <c r="N10" s="37">
        <f>IF($D10="","",IF(OR($D10="خرید مرکبات",$D10="فروش بار (بارفروش)",$D10="انعام مصطفی"),$K10,0))</f>
        <v/>
      </c>
    </row>
    <row r="11" ht="21.75" customHeight="1">
      <c r="A11" s="35" t="inlineStr">
        <is>
          <t>1405/07/01</t>
        </is>
      </c>
      <c r="B11" s="35" t="inlineStr">
        <is>
          <t>09:10</t>
        </is>
      </c>
      <c r="C11" s="35" t="inlineStr">
        <is>
          <t>SM-02</t>
        </is>
      </c>
      <c r="D11" s="36" t="inlineStr">
        <is>
          <t>خرید مرکبات</t>
        </is>
      </c>
      <c r="E11" s="35" t="inlineStr">
        <is>
          <t>C003</t>
        </is>
      </c>
      <c r="F11" s="36">
        <f>IF($E11="","",IFERROR(VLOOKUP($E11,AcctTbl,2,0),"کد ناشناخته"))</f>
        <v/>
      </c>
      <c r="G11" s="36" t="inlineStr">
        <is>
          <t>پرتقال تامسون</t>
        </is>
      </c>
      <c r="H11" s="36" t="inlineStr">
        <is>
          <t>BK01 – ۶ک مشکی</t>
        </is>
      </c>
      <c r="I11" s="37" t="n">
        <v>910</v>
      </c>
      <c r="J11" s="37" t="n">
        <v>53</v>
      </c>
      <c r="K11" s="37" t="n">
        <v>35000</v>
      </c>
      <c r="L11" s="37">
        <f>IF($M11+$N11=0,0,$M11+$N11)</f>
        <v/>
      </c>
      <c r="M11" s="37">
        <f>IF($D11="","",IF(OR($D11="خرید مرکبات",$D11="باسکول دیگران"),$K11,IF($D11="فروش بار (بارفروش)",$K11,0)))</f>
        <v/>
      </c>
      <c r="N11" s="37">
        <f>IF($D11="","",IF(OR($D11="خرید مرکبات",$D11="فروش بار (بارفروش)",$D11="انعام مصطفی"),$K11,0))</f>
        <v/>
      </c>
    </row>
    <row r="12" ht="21.75" customHeight="1">
      <c r="A12" s="35" t="inlineStr">
        <is>
          <t>1405/07/02</t>
        </is>
      </c>
      <c r="B12" s="35" t="inlineStr">
        <is>
          <t>08:20</t>
        </is>
      </c>
      <c r="C12" s="35" t="inlineStr">
        <is>
          <t>SM-03</t>
        </is>
      </c>
      <c r="D12" s="36" t="inlineStr">
        <is>
          <t>خرید مرکبات</t>
        </is>
      </c>
      <c r="E12" s="35" t="inlineStr">
        <is>
          <t>C006</t>
        </is>
      </c>
      <c r="F12" s="36">
        <f>IF($E12="","",IFERROR(VLOOKUP($E12,AcctTbl,2,0),"کد ناشناخته"))</f>
        <v/>
      </c>
      <c r="G12" s="36" t="inlineStr">
        <is>
          <t>نارنگی اونشو</t>
        </is>
      </c>
      <c r="H12" s="36" t="inlineStr">
        <is>
          <t>BK01 – ۶ک مشکی</t>
        </is>
      </c>
      <c r="I12" s="37" t="n">
        <v>1385</v>
      </c>
      <c r="J12" s="37" t="n">
        <v>85</v>
      </c>
      <c r="K12" s="37" t="n">
        <v>30000</v>
      </c>
      <c r="L12" s="37">
        <f>IF($M12+$N12=0,0,$M12+$N12)</f>
        <v/>
      </c>
      <c r="M12" s="37">
        <f>IF($D12="","",IF(OR($D12="خرید مرکبات",$D12="باسکول دیگران"),$K12,IF($D12="فروش بار (بارفروش)",$K12,0)))</f>
        <v/>
      </c>
      <c r="N12" s="37">
        <f>IF($D12="","",IF(OR($D12="خرید مرکبات",$D12="فروش بار (بارفروش)",$D12="انعام مصطفی"),$K12,0))</f>
        <v/>
      </c>
    </row>
    <row r="13" ht="21.75" customHeight="1">
      <c r="A13" s="35" t="inlineStr">
        <is>
          <t>1405/07/03</t>
        </is>
      </c>
      <c r="B13" s="35" t="inlineStr">
        <is>
          <t>10:15</t>
        </is>
      </c>
      <c r="C13" s="35" t="inlineStr">
        <is>
          <t>SM-04</t>
        </is>
      </c>
      <c r="D13" s="36" t="inlineStr">
        <is>
          <t>فروش بار (بارفروش)</t>
        </is>
      </c>
      <c r="E13" s="35" t="inlineStr">
        <is>
          <t>SL001</t>
        </is>
      </c>
      <c r="F13" s="36">
        <f>IF($E13="","",IFERROR(VLOOKUP($E13,AcctTbl,2,0),"کد ناشناخته"))</f>
        <v/>
      </c>
      <c r="G13" s="36" t="inlineStr">
        <is>
          <t>پرتقال تامسون</t>
        </is>
      </c>
      <c r="H13" s="36" t="inlineStr">
        <is>
          <t>BK03 – ۹ک مشکی</t>
        </is>
      </c>
      <c r="I13" s="37" t="n">
        <v>2500</v>
      </c>
      <c r="J13" s="37" t="n">
        <v>120</v>
      </c>
      <c r="K13" s="37" t="n">
        <v>58000</v>
      </c>
      <c r="L13" s="37">
        <f>IF($M13+$N13=0,0,$M13+$N13)</f>
        <v/>
      </c>
      <c r="M13" s="37">
        <f>IF($D13="","",IF(OR($D13="خرید مرکبات",$D13="باسکول دیگران"),$K13,IF($D13="فروش بار (بارفروش)",$K13,0)))</f>
        <v/>
      </c>
      <c r="N13" s="37">
        <f>IF($D13="","",IF(OR($D13="خرید مرکبات",$D13="فروش بار (بارفروش)",$D13="انعام مصطفی"),$K13,0))</f>
        <v/>
      </c>
    </row>
    <row r="14" ht="21.75" customHeight="1">
      <c r="A14" s="35" t="inlineStr">
        <is>
          <t>1405/07/04</t>
        </is>
      </c>
      <c r="B14" s="35" t="inlineStr">
        <is>
          <t>11:00</t>
        </is>
      </c>
      <c r="C14" s="35" t="inlineStr">
        <is>
          <t>SM-05</t>
        </is>
      </c>
      <c r="D14" s="36" t="inlineStr">
        <is>
          <t>باسکول دیگران</t>
        </is>
      </c>
      <c r="E14" s="35" t="inlineStr">
        <is>
          <t>BD001</t>
        </is>
      </c>
      <c r="F14" s="36">
        <f>IF($E14="","",IFERROR(VLOOKUP($E14,AcctTbl,2,0),"کد ناشناخته"))</f>
        <v/>
      </c>
      <c r="G14" s="36" t="n"/>
      <c r="H14" s="36" t="n"/>
      <c r="I14" s="37" t="n"/>
      <c r="J14" s="37" t="n"/>
      <c r="K14" s="37" t="n"/>
      <c r="L14" s="37">
        <f>IF($M14+$N14=0,0,$M14+$N14)</f>
        <v/>
      </c>
      <c r="M14" s="37">
        <f>IF($D14="","",IF(OR($D14="خرید مرکبات",$D14="باسکول دیگران"),$K14,IF($D14="فروش بار (بارفروش)",$K14,0)))</f>
        <v/>
      </c>
      <c r="N14" s="37">
        <f>IF($D14="","",IF(OR($D14="خرید مرکبات",$D14="فروش بار (بارفروش)",$D14="انعام مصطفی"),$K14,0))</f>
        <v/>
      </c>
    </row>
    <row r="15" ht="21.75" customHeight="1">
      <c r="A15" s="35" t="inlineStr">
        <is>
          <t>1405/07/05</t>
        </is>
      </c>
      <c r="B15" s="35" t="inlineStr">
        <is>
          <t>12:30</t>
        </is>
      </c>
      <c r="C15" s="35" t="inlineStr">
        <is>
          <t>SM-06</t>
        </is>
      </c>
      <c r="D15" s="36" t="inlineStr">
        <is>
          <t>انعام مصطفی</t>
        </is>
      </c>
      <c r="E15" s="35" t="n"/>
      <c r="F15" s="36">
        <f>IF($E15="","",IFERROR(VLOOKUP($E15,AcctTbl,2,0),"کد ناشناخته"))</f>
        <v/>
      </c>
      <c r="G15" s="36" t="n"/>
      <c r="H15" s="36" t="n"/>
      <c r="I15" s="37" t="n"/>
      <c r="J15" s="37" t="n"/>
      <c r="K15" s="37" t="n"/>
      <c r="L15" s="37">
        <f>IF($M15+$N15=0,0,$M15+$N15)</f>
        <v/>
      </c>
      <c r="M15" s="37">
        <f>IF($D15="","",IF(OR($D15="خرید مرکبات",$D15="باسکول دیگران"),$K15,IF($D15="فروش بار (بارفروش)",$K15,0)))</f>
        <v/>
      </c>
      <c r="N15" s="37">
        <f>IF($D15="","",IF(OR($D15="خرید مرکبات",$D15="فروش بار (بارفروش)",$D15="انعام مصطفی"),$K15,0))</f>
        <v/>
      </c>
    </row>
    <row r="16" ht="21.75" customHeight="1">
      <c r="A16" s="35" t="inlineStr">
        <is>
          <t>1405/07/06</t>
        </is>
      </c>
      <c r="B16" s="35" t="inlineStr">
        <is>
          <t>09:00</t>
        </is>
      </c>
      <c r="C16" s="35" t="inlineStr">
        <is>
          <t>SM-07</t>
        </is>
      </c>
      <c r="D16" s="36" t="inlineStr">
        <is>
          <t>خرید سبد</t>
        </is>
      </c>
      <c r="E16" s="35" t="inlineStr">
        <is>
          <t>S001</t>
        </is>
      </c>
      <c r="F16" s="36">
        <f>IF($E16="","",IFERROR(VLOOKUP($E16,AcctTbl,2,0),"کد ناشناخته"))</f>
        <v/>
      </c>
      <c r="G16" s="36" t="n"/>
      <c r="H16" s="36" t="inlineStr">
        <is>
          <t>BK01 – ۶ک مشکی</t>
        </is>
      </c>
      <c r="I16" s="37" t="n"/>
      <c r="J16" s="37" t="n">
        <v>500</v>
      </c>
      <c r="K16" s="37" t="n">
        <v>45000</v>
      </c>
      <c r="L16" s="37">
        <f>IF($M16+$N16=0,0,$M16+$N16)</f>
        <v/>
      </c>
      <c r="M16" s="37">
        <f>IF($D16="","",IF(OR($D16="خرید مرکبات",$D16="باسکول دیگران"),$K16,IF($D16="فروش بار (بارفروش)",$K16,0)))</f>
        <v/>
      </c>
      <c r="N16" s="37">
        <f>IF($D16="","",IF(OR($D16="خرید مرکبات",$D16="فروش بار (بارفروش)",$D16="انعام مصطفی"),$K16,0))</f>
        <v/>
      </c>
    </row>
    <row r="17" ht="21.75" customHeight="1">
      <c r="A17" s="35" t="inlineStr">
        <is>
          <t>1405/07/07</t>
        </is>
      </c>
      <c r="B17" s="35" t="inlineStr">
        <is>
          <t>14:00</t>
        </is>
      </c>
      <c r="C17" s="35" t="inlineStr">
        <is>
          <t>SM-08</t>
        </is>
      </c>
      <c r="D17" s="36" t="inlineStr">
        <is>
          <t>آبگیری</t>
        </is>
      </c>
      <c r="E17" s="35" t="inlineStr">
        <is>
          <t>C002</t>
        </is>
      </c>
      <c r="F17" s="36">
        <f>IF($E17="","",IFERROR(VLOOKUP($E17,AcctTbl,2,0),"کد ناشناخته"))</f>
        <v/>
      </c>
      <c r="G17" s="36" t="inlineStr">
        <is>
          <t>پرتقال خونی</t>
        </is>
      </c>
      <c r="H17" s="36" t="n"/>
      <c r="I17" s="37" t="n">
        <v>605</v>
      </c>
      <c r="J17" s="37" t="n"/>
      <c r="K17" s="37" t="n"/>
      <c r="L17" s="37">
        <f>IF($M17+$N17=0,0,$M17+$N17)</f>
        <v/>
      </c>
      <c r="M17" s="37">
        <f>IF($D17="","",IF(OR($D17="خرید مرکبات",$D17="باسکول دیگران"),$K17,IF($D17="فروش بار (بارفروش)",$K17,0)))</f>
        <v/>
      </c>
      <c r="N17" s="37">
        <f>IF($D17="","",IF(OR($D17="خرید مرکبات",$D17="فروش بار (بارفروش)",$D17="انعام مصطفی"),$K17,0))</f>
        <v/>
      </c>
    </row>
    <row r="18">
      <c r="A18" s="38" t="inlineStr">
        <is>
          <t>جمع</t>
        </is>
      </c>
      <c r="L18" s="39">
        <f>SUM(L10:L17)</f>
        <v/>
      </c>
      <c r="M18" s="39">
        <f>SUM(M10:M17)</f>
        <v/>
      </c>
      <c r="N18" s="39">
        <f>SUM(N10:N17)</f>
        <v/>
      </c>
    </row>
    <row r="19"/>
    <row r="20" ht="30" customHeight="1">
      <c r="A20" s="40" t="inlineStr">
        <is>
          <t>این جدول عمداً ساده است: دو ستون بدهکار/بستانکار با قاعده‌های ثابت پر می‌شوند. در فایل اصلی همین کار را جدول عملیات INFO انجام می‌دهد.</t>
        </is>
      </c>
      <c r="B20" s="81" t="n"/>
      <c r="C20" s="81" t="n"/>
      <c r="D20" s="81" t="n"/>
      <c r="E20" s="81" t="n"/>
      <c r="F20" s="81" t="n"/>
      <c r="G20" s="81" t="n"/>
      <c r="H20" s="81" t="n"/>
      <c r="I20" s="81" t="n"/>
      <c r="J20" s="81" t="n"/>
      <c r="K20" s="81" t="n"/>
      <c r="L20" s="81" t="n"/>
      <c r="M20" s="82" t="n"/>
    </row>
  </sheetData>
  <autoFilter ref="A9:M18"/>
  <mergeCells count="12">
    <mergeCell ref="A5:D5"/>
    <mergeCell ref="A6:D6"/>
    <mergeCell ref="E6:H6"/>
    <mergeCell ref="G4:M4"/>
    <mergeCell ref="I6:L6"/>
    <mergeCell ref="A3:M3"/>
    <mergeCell ref="A1:H1"/>
    <mergeCell ref="A20:M20"/>
    <mergeCell ref="I1:M1"/>
    <mergeCell ref="A2:M2"/>
    <mergeCell ref="E5:H5"/>
    <mergeCell ref="I5:L5"/>
  </mergeCells>
  <printOptions horizontalCentered="1"/>
  <pageMargins left="0.28" right="0.28" top="0.45" bottom="0.5" header="0.3" footer="0.3"/>
  <pageSetup orientation="landscape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7FA99B"/>
    <outlinePr summaryBelow="1" summaryRight="1"/>
    <pageSetUpPr fitToPage="1"/>
  </sheetPr>
  <dimension ref="A1:F16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26.7109375" customWidth="1" min="1" max="1"/>
    <col width="10.7109375" customWidth="1" min="2" max="2"/>
    <col width="17.7109375" customWidth="1" min="3" max="3"/>
    <col width="30.7109375" customWidth="1" min="4" max="4"/>
    <col width="42.7109375" customWidth="1" min="5" max="5"/>
  </cols>
  <sheetData>
    <row r="1" ht="20.25" customHeight="1">
      <c r="A1" s="18" t="inlineStr">
        <is>
          <t>مازندشت — سورتینگ و بسته‌بندی مرکبات</t>
        </is>
      </c>
      <c r="B1" s="84" t="inlineStr">
        <is>
          <t>MAZANDASHT  ·  CITRUS SORTING &amp; PACKING</t>
        </is>
      </c>
    </row>
    <row r="2" ht="38.25" customHeight="1">
      <c r="A2" s="85" t="inlineStr">
        <is>
          <t>خلاصه نمونه</t>
        </is>
      </c>
    </row>
    <row r="3" ht="45.75" customHeight="1">
      <c r="A3" s="86" t="inlineStr">
        <is>
          <t>جمع هر نوع عملیات و مانده ساده  ·  همان منطق فایل اصلی، در مقیاس کوچک</t>
        </is>
      </c>
    </row>
    <row r="4" ht="24" customHeight="1">
      <c r="A4" s="22" t="inlineStr">
        <is>
          <t>راهنما</t>
        </is>
      </c>
      <c r="B4" s="23" t="inlineStr">
        <is>
          <t>ورود دستی</t>
        </is>
      </c>
      <c r="C4" s="24" t="inlineStr">
        <is>
          <t>خودکار</t>
        </is>
      </c>
      <c r="D4" s="25" t="inlineStr">
        <is>
          <t>ورود</t>
        </is>
      </c>
      <c r="E4" s="26" t="inlineStr">
        <is>
          <t>خروج</t>
        </is>
      </c>
      <c r="F4" s="27" t="inlineStr">
        <is>
          <t>هشدار</t>
        </is>
      </c>
    </row>
    <row r="5" ht="17.25" customHeight="1">
      <c r="A5" s="29" t="inlineStr">
        <is>
          <t>جمع بدهکار</t>
        </is>
      </c>
      <c r="B5" s="89" t="n"/>
      <c r="C5" s="29" t="inlineStr">
        <is>
          <t>جمع بستانکار</t>
        </is>
      </c>
      <c r="D5" s="89" t="n"/>
      <c r="E5" s="29" t="inlineStr">
        <is>
          <t>اختلاف</t>
        </is>
      </c>
      <c r="F5" s="89" t="n"/>
    </row>
    <row r="6" ht="33" customHeight="1">
      <c r="A6" s="31">
        <f>Reg!$M$18</f>
        <v/>
      </c>
      <c r="B6" s="80" t="n"/>
      <c r="C6" s="32">
        <f>Reg!$N$18</f>
        <v/>
      </c>
      <c r="D6" s="80" t="n"/>
      <c r="E6" s="41">
        <f>Reg!$M$18-Reg!$N$18</f>
        <v/>
      </c>
      <c r="F6" s="80" t="n"/>
    </row>
    <row r="7" ht="6.75" customHeight="1"/>
    <row r="8"/>
    <row r="9"/>
    <row r="10" ht="27.75" customHeight="1">
      <c r="A10" s="42" t="inlineStr">
        <is>
          <t>نوع عملیات</t>
        </is>
      </c>
      <c r="B10" s="42" t="inlineStr">
        <is>
          <t>تعداد</t>
        </is>
      </c>
      <c r="C10" s="42" t="inlineStr">
        <is>
          <t>مبلغ</t>
        </is>
      </c>
      <c r="D10" s="42" t="inlineStr">
        <is>
          <t>اثر روی حساب طرف</t>
        </is>
      </c>
      <c r="E10" s="42" t="inlineStr">
        <is>
          <t>توضیح کوتاه</t>
        </is>
      </c>
    </row>
    <row r="11" ht="24" customHeight="1">
      <c r="A11" s="43" t="inlineStr">
        <is>
          <t>خرید مرکبات</t>
        </is>
      </c>
      <c r="B11" s="37">
        <f>COUNTIF(Reg!$D$10:$D$17,$A11)</f>
        <v/>
      </c>
      <c r="C11" s="37">
        <f>SUMIF(Reg!$D$10:$D$17,$A11,Reg!$K$10:$K$17)</f>
        <v/>
      </c>
      <c r="D11" s="44" t="inlineStr">
        <is>
          <t>بستانکار باغدار؛ بدهکار موجودی مرکبات</t>
        </is>
      </c>
      <c r="E11" s="45">
        <f>IF($B11=0,"—","ثبت شده")</f>
        <v/>
      </c>
    </row>
    <row r="12" ht="24" customHeight="1">
      <c r="A12" s="43" t="inlineStr">
        <is>
          <t>فروش بار (بارفروش)</t>
        </is>
      </c>
      <c r="B12" s="37">
        <f>COUNTIF(Reg!$D$10:$D$17,$A12)</f>
        <v/>
      </c>
      <c r="C12" s="37">
        <f>SUMIF(Reg!$D$10:$D$17,$A12,Reg!$K$10:$K$17)</f>
        <v/>
      </c>
      <c r="D12" s="44" t="inlineStr">
        <is>
          <t>بدهکار بارفروش؛ بستانکار فروش</t>
        </is>
      </c>
      <c r="E12" s="45">
        <f>IF($B12=0,"—","ثبت شده")</f>
        <v/>
      </c>
    </row>
    <row r="13" ht="24" customHeight="1">
      <c r="A13" s="43" t="inlineStr">
        <is>
          <t>باسکول دیگران</t>
        </is>
      </c>
      <c r="B13" s="37">
        <f>COUNTIF(Reg!$D$10:$D$17,$A13)</f>
        <v/>
      </c>
      <c r="C13" s="37">
        <f>SUMIF(Reg!$D$10:$D$17,$A13,Reg!$K$10:$K$17)</f>
        <v/>
      </c>
      <c r="D13" s="44" t="inlineStr">
        <is>
          <t>بدهکار طرف؛ بستانکار درآمد باسکول</t>
        </is>
      </c>
      <c r="E13" s="45">
        <f>IF($B13=0,"—","ثبت شده")</f>
        <v/>
      </c>
    </row>
    <row r="14" ht="24" customHeight="1">
      <c r="A14" s="43" t="inlineStr">
        <is>
          <t>انعام مصطفی</t>
        </is>
      </c>
      <c r="B14" s="37">
        <f>COUNTIF(Reg!$D$10:$D$17,$A14)</f>
        <v/>
      </c>
      <c r="C14" s="37">
        <f>SUMIF(Reg!$D$10:$D$17,$A14,Reg!$K$10:$K$17)</f>
        <v/>
      </c>
      <c r="D14" s="44" t="inlineStr">
        <is>
          <t>بستانکار مصطفی؛ بدهکار پوز ۲۰۰۶</t>
        </is>
      </c>
      <c r="E14" s="45">
        <f>IF($B14=0,"—","ثبت شده")</f>
        <v/>
      </c>
    </row>
    <row r="15" ht="24" customHeight="1">
      <c r="A15" s="43" t="inlineStr">
        <is>
          <t>خرید سبد</t>
        </is>
      </c>
      <c r="B15" s="37">
        <f>COUNTIF(Reg!$D$10:$D$17,$A15)</f>
        <v/>
      </c>
      <c r="C15" s="37">
        <f>SUMIF(Reg!$D$10:$D$17,$A15,Reg!$K$10:$K$17)</f>
        <v/>
      </c>
      <c r="D15" s="44" t="inlineStr">
        <is>
          <t>بستانکار فروشنده سبد؛ بدهکار موجودی سبد</t>
        </is>
      </c>
      <c r="E15" s="45">
        <f>IF($B15=0,"—","ثبت شده")</f>
        <v/>
      </c>
    </row>
    <row r="16" ht="24" customHeight="1">
      <c r="A16" s="43" t="inlineStr">
        <is>
          <t>آبگیری</t>
        </is>
      </c>
      <c r="B16" s="37">
        <f>COUNTIF(Reg!$D$10:$D$17,$A16)</f>
        <v/>
      </c>
      <c r="C16" s="37">
        <f>SUMIF(Reg!$D$10:$D$17,$A16,Reg!$K$10:$K$17)</f>
        <v/>
      </c>
      <c r="D16" s="44" t="inlineStr">
        <is>
          <t>بدهکار طرف؛ بستانکار درآمد آبگیری</t>
        </is>
      </c>
      <c r="E16" s="45">
        <f>IF($B16=0,"—","ثبت شده")</f>
        <v/>
      </c>
    </row>
  </sheetData>
  <mergeCells count="9">
    <mergeCell ref="A2:F2"/>
    <mergeCell ref="E6:F6"/>
    <mergeCell ref="C6:D6"/>
    <mergeCell ref="C5:D5"/>
    <mergeCell ref="A5:B5"/>
    <mergeCell ref="E5:F5"/>
    <mergeCell ref="B1:F1"/>
    <mergeCell ref="A3:F3"/>
    <mergeCell ref="A6:B6"/>
  </mergeCells>
  <printOptions horizontalCentered="1"/>
  <pageMargins left="0.28" right="0.28" top="0.45" bottom="0.5" header="0.3" footer="0.3"/>
  <pageSetup orientation="landscape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FFB9B2A1"/>
    <outlinePr summaryBelow="1" summaryRight="1"/>
    <pageSetUpPr fitToPage="1"/>
  </sheetPr>
  <dimension ref="A1:CR259"/>
  <sheetViews>
    <sheetView showGridLines="0" rightToLeft="1" zoomScale="80" zoomScaleNormal="80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cols>
    <col width="14.7109375" customWidth="1" min="1" max="78"/>
    <col width="20.7109375" customWidth="1" min="79" max="98"/>
  </cols>
  <sheetData>
    <row r="1" ht="24" customHeight="1">
      <c r="A1" s="46" t="inlineStr">
        <is>
          <t>داده‌های ثابت — کپی کامل از 00_Master.xlsx (بدون وابستگی)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</row>
    <row r="2" ht="27.75" customHeight="1">
      <c r="A2" s="91" t="inlineStr">
        <is>
          <t>این شیت فقط نمایش است و قفل شده. همه کشوها و فرمول‌ها از همین‌جا می‌خوانند؛ برای تغییر، 00_Master.xlsx را ویرایش کنید و سپس این فایل را (با اسکریپت ساخت یا کپی ستون‌ها) دوباره همگام کنید. هیچ فرمولی به فایل مادر وابسته نیست، پس فایل همیشه سالم باز می‌شود. — در فایل نمونه، داده‌ها ثابت و ساده هستند.</t>
        </is>
      </c>
    </row>
    <row r="3">
      <c r="A3" s="92" t="inlineStr">
        <is>
          <t>MAZANDASHT · INFO MASTER DATA (READ ONLY)</t>
        </is>
      </c>
    </row>
    <row r="4"/>
    <row r="5"/>
    <row r="6"/>
    <row r="7"/>
    <row r="8">
      <c r="B8" s="49" t="inlineStr">
        <is>
          <t>حساب‌ها — کد، نام، گروه، زیرگروه، نوع و مانده اولیه</t>
        </is>
      </c>
      <c r="C8" s="77" t="n"/>
      <c r="D8" s="77" t="n"/>
      <c r="E8" s="77" t="n"/>
      <c r="F8" s="77" t="n"/>
      <c r="G8" s="78" t="n"/>
      <c r="I8" s="50" t="inlineStr">
        <is>
          <t>عملیات — قاعده بدهکار/بستانکار</t>
        </is>
      </c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8" t="n"/>
      <c r="Y8" s="51" t="inlineStr">
        <is>
          <t>سبدها — برچسب، کد، نام، تار، ظرفیت، خرید، فروش، موجودی</t>
        </is>
      </c>
      <c r="Z8" s="77" t="n"/>
      <c r="AA8" s="77" t="n"/>
      <c r="AB8" s="77" t="n"/>
      <c r="AC8" s="77" t="n"/>
      <c r="AD8" s="77" t="n"/>
      <c r="AE8" s="77" t="n"/>
      <c r="AF8" s="78" t="n"/>
      <c r="AH8" s="52" t="inlineStr">
        <is>
          <t>محصولات</t>
        </is>
      </c>
      <c r="AI8" s="78" t="n"/>
      <c r="AK8" s="53" t="inlineStr">
        <is>
          <t>بانک‌ها — کد، عنوان، مانده، حساب معین</t>
        </is>
      </c>
      <c r="AL8" s="77" t="n"/>
      <c r="AM8" s="77" t="n"/>
      <c r="AN8" s="78" t="n"/>
      <c r="AO8" s="54" t="inlineStr">
        <is>
          <t>پارامترها</t>
        </is>
      </c>
      <c r="AP8" s="78" t="n"/>
      <c r="AR8" s="55" t="inlineStr">
        <is>
          <t>گروه‌ها و زیرگروه‌ها</t>
        </is>
      </c>
      <c r="AS8" s="78" t="n"/>
      <c r="AU8" s="49" t="inlineStr">
        <is>
          <t>گروه‌های اصلی</t>
        </is>
      </c>
      <c r="AW8" s="49" t="inlineStr">
        <is>
          <t>عملیات سبد</t>
        </is>
      </c>
      <c r="AX8" s="49" t="inlineStr">
        <is>
          <t>باسکول دیگران</t>
        </is>
      </c>
      <c r="AZ8" s="49" t="inlineStr">
        <is>
          <t>عملیات باسکول</t>
        </is>
      </c>
    </row>
    <row r="9" ht="12.75" customHeight="1">
      <c r="B9" s="93" t="inlineStr">
        <is>
          <t>ACCOUNTS</t>
        </is>
      </c>
      <c r="I9" s="94" t="inlineStr">
        <is>
          <t>OPERATIONS</t>
        </is>
      </c>
      <c r="Y9" s="95" t="inlineStr">
        <is>
          <t>BASKETS</t>
        </is>
      </c>
      <c r="AH9" s="96" t="inlineStr">
        <is>
          <t>PRODUCTS</t>
        </is>
      </c>
      <c r="AK9" s="97" t="inlineStr">
        <is>
          <t>BANKS</t>
        </is>
      </c>
      <c r="AO9" s="98" t="inlineStr">
        <is>
          <t>PARAMS</t>
        </is>
      </c>
      <c r="AR9" s="99" t="inlineStr">
        <is>
          <t>GROUPS</t>
        </is>
      </c>
      <c r="AU9" s="56" t="inlineStr">
        <is>
          <t>GROUP LIST</t>
        </is>
      </c>
      <c r="AW9" s="56" t="inlineStr">
        <is>
          <t>BASKET OPS</t>
        </is>
      </c>
      <c r="AX9" s="56" t="inlineStr">
        <is>
          <t>OTHER SCALES</t>
        </is>
      </c>
      <c r="AZ9" s="56" t="inlineStr">
        <is>
          <t>BASKOL OPS</t>
        </is>
      </c>
    </row>
    <row r="10">
      <c r="B10" s="63" t="inlineStr">
        <is>
          <t>C001</t>
        </is>
      </c>
      <c r="C10" s="36" t="inlineStr">
        <is>
          <t>زینب زاهدی</t>
        </is>
      </c>
      <c r="D10" s="63" t="inlineStr">
        <is>
          <t>باغدار</t>
        </is>
      </c>
      <c r="E10" s="36" t="inlineStr">
        <is>
          <t>عمده</t>
        </is>
      </c>
      <c r="F10" s="36" t="inlineStr">
        <is>
          <t>طرف حساب</t>
        </is>
      </c>
      <c r="G10" s="64" t="n">
        <v>0</v>
      </c>
      <c r="I10" s="36" t="inlineStr">
        <is>
          <t>خرید مرکبات</t>
        </is>
      </c>
      <c r="J10" s="63" t="inlineStr">
        <is>
          <t>ورود</t>
        </is>
      </c>
      <c r="K10" s="63" t="inlineStr">
        <is>
          <t>خرید</t>
        </is>
      </c>
      <c r="L10" s="63" t="inlineStr">
        <is>
          <t>بله</t>
        </is>
      </c>
      <c r="M10" s="63" t="inlineStr">
        <is>
          <t>بله</t>
        </is>
      </c>
      <c r="N10" s="63" t="inlineStr">
        <is>
          <t>وزن</t>
        </is>
      </c>
      <c r="O10" s="63" t="inlineStr">
        <is>
          <t>بستانکار</t>
        </is>
      </c>
      <c r="P10" s="63" t="inlineStr">
        <is>
          <t>X004</t>
        </is>
      </c>
      <c r="Q10" s="63" t="inlineStr">
        <is>
          <t>بدهکار</t>
        </is>
      </c>
      <c r="R10" s="63" t="inlineStr">
        <is>
          <t>افزودن</t>
        </is>
      </c>
      <c r="S10" s="63" t="inlineStr">
        <is>
          <t>—</t>
        </is>
      </c>
      <c r="T10" s="63" t="n"/>
      <c r="U10" s="63" t="n"/>
      <c r="V10" s="63" t="n"/>
      <c r="W10" s="63" t="inlineStr">
        <is>
          <t>بله</t>
        </is>
      </c>
      <c r="Y10" s="36" t="inlineStr">
        <is>
          <t>BK01 – ۶ک مشکی</t>
        </is>
      </c>
      <c r="Z10" s="63" t="inlineStr">
        <is>
          <t>BK01</t>
        </is>
      </c>
      <c r="AA10" s="36" t="inlineStr">
        <is>
          <t>۶ک مشکی</t>
        </is>
      </c>
      <c r="AB10" s="64" t="n">
        <v>1.5</v>
      </c>
      <c r="AC10" s="64" t="n">
        <v>6</v>
      </c>
      <c r="AD10" s="64" t="n">
        <v>45000</v>
      </c>
      <c r="AE10" s="64" t="n">
        <v>55000</v>
      </c>
      <c r="AF10" s="64" t="n">
        <v>1200</v>
      </c>
      <c r="AH10" s="36" t="inlineStr">
        <is>
          <t>پرتقال تامسون</t>
        </is>
      </c>
      <c r="AI10" s="36" t="inlineStr">
        <is>
          <t>پرتقال</t>
        </is>
      </c>
      <c r="AK10" s="63" t="inlineStr">
        <is>
          <t>BN01</t>
        </is>
      </c>
      <c r="AL10" s="36" t="inlineStr">
        <is>
          <t>صادرات ۹۰۰۹ — جاری اصلی</t>
        </is>
      </c>
      <c r="AM10" s="64" t="n">
        <v>500000000</v>
      </c>
      <c r="AN10" s="63" t="inlineStr">
        <is>
          <t>BN01</t>
        </is>
      </c>
      <c r="AO10" s="63" t="inlineStr">
        <is>
          <t>P01</t>
        </is>
      </c>
      <c r="AP10" s="64" t="n">
        <v>1.5</v>
      </c>
      <c r="AR10" s="36" t="inlineStr">
        <is>
          <t>باغدار</t>
        </is>
      </c>
      <c r="AS10" s="36" t="inlineStr">
        <is>
          <t>سردرختی</t>
        </is>
      </c>
      <c r="AU10" s="36" t="inlineStr">
        <is>
          <t>باغدار</t>
        </is>
      </c>
      <c r="AW10" s="36" t="inlineStr">
        <is>
          <t>خرید سبد</t>
        </is>
      </c>
      <c r="AX10" s="63" t="inlineStr">
        <is>
          <t>BD001</t>
        </is>
      </c>
      <c r="AZ10" s="36" t="inlineStr">
        <is>
          <t>خرید مرکبات</t>
        </is>
      </c>
      <c r="CA10" s="36" t="inlineStr">
        <is>
          <t>کیلوگرم</t>
        </is>
      </c>
      <c r="CB10" s="36" t="inlineStr">
        <is>
          <t>پرتقال</t>
        </is>
      </c>
      <c r="CC10" s="36" t="inlineStr">
        <is>
          <t>ورود</t>
        </is>
      </c>
      <c r="CD10" s="36" t="inlineStr">
        <is>
          <t>بله</t>
        </is>
      </c>
      <c r="CE10" s="36" t="inlineStr">
        <is>
          <t>طرف حساب</t>
        </is>
      </c>
      <c r="CF10" s="36" t="inlineStr">
        <is>
          <t>نقد</t>
        </is>
      </c>
      <c r="CG10" s="36" t="inlineStr">
        <is>
          <t>در جریان</t>
        </is>
      </c>
      <c r="CH10" s="36" t="inlineStr">
        <is>
          <t>☑</t>
        </is>
      </c>
      <c r="CI10" s="36" t="inlineStr">
        <is>
          <t>افزودن</t>
        </is>
      </c>
      <c r="CJ10" s="36" t="inlineStr">
        <is>
          <t>بدهکار</t>
        </is>
      </c>
      <c r="CK10" s="36" t="inlineStr">
        <is>
          <t>بدهکار</t>
        </is>
      </c>
      <c r="CL10" s="36" t="inlineStr">
        <is>
          <t>خرید</t>
        </is>
      </c>
      <c r="CM10" s="36" t="inlineStr">
        <is>
          <t>✓</t>
        </is>
      </c>
      <c r="CN10" s="36" t="inlineStr">
        <is>
          <t>Growers</t>
        </is>
      </c>
      <c r="CO10" s="36" t="inlineStr">
        <is>
          <t>وزن</t>
        </is>
      </c>
      <c r="CP10" s="36" t="inlineStr">
        <is>
          <t>mint</t>
        </is>
      </c>
      <c r="CQ10" s="36" t="inlineStr">
        <is>
          <t>بهار</t>
        </is>
      </c>
      <c r="CR10" s="36" t="inlineStr">
        <is>
          <t>پرداخت</t>
        </is>
      </c>
    </row>
    <row r="11">
      <c r="B11" s="63" t="inlineStr">
        <is>
          <t>C002</t>
        </is>
      </c>
      <c r="C11" s="36" t="inlineStr">
        <is>
          <t>سید عباس موسوی</t>
        </is>
      </c>
      <c r="D11" s="63" t="inlineStr">
        <is>
          <t>باغدار</t>
        </is>
      </c>
      <c r="E11" s="36" t="inlineStr">
        <is>
          <t>صادراتی</t>
        </is>
      </c>
      <c r="F11" s="36" t="inlineStr">
        <is>
          <t>طرف حساب</t>
        </is>
      </c>
      <c r="G11" s="64" t="n">
        <v>0</v>
      </c>
      <c r="I11" s="36" t="inlineStr">
        <is>
          <t>فروش بار (بارفروش)</t>
        </is>
      </c>
      <c r="J11" s="63" t="inlineStr">
        <is>
          <t>خروج</t>
        </is>
      </c>
      <c r="K11" s="63" t="inlineStr">
        <is>
          <t>فروش</t>
        </is>
      </c>
      <c r="L11" s="63" t="inlineStr">
        <is>
          <t>بله</t>
        </is>
      </c>
      <c r="M11" s="63" t="inlineStr">
        <is>
          <t>بله</t>
        </is>
      </c>
      <c r="N11" s="63" t="inlineStr">
        <is>
          <t>وزن</t>
        </is>
      </c>
      <c r="O11" s="63" t="inlineStr">
        <is>
          <t>بدهکار</t>
        </is>
      </c>
      <c r="P11" s="63" t="inlineStr">
        <is>
          <t>X006</t>
        </is>
      </c>
      <c r="Q11" s="63" t="inlineStr">
        <is>
          <t>بستانکار</t>
        </is>
      </c>
      <c r="R11" s="63" t="inlineStr">
        <is>
          <t>پوز</t>
        </is>
      </c>
      <c r="S11" s="63" t="inlineStr">
        <is>
          <t>بدهکار</t>
        </is>
      </c>
      <c r="T11" s="63" t="inlineStr">
        <is>
          <t>BN02</t>
        </is>
      </c>
      <c r="U11" s="63" t="inlineStr">
        <is>
          <t>X002</t>
        </is>
      </c>
      <c r="V11" s="63" t="n"/>
      <c r="W11" s="63" t="inlineStr">
        <is>
          <t>بله</t>
        </is>
      </c>
      <c r="Y11" s="36" t="inlineStr">
        <is>
          <t>BK02 – درب‌۶ک</t>
        </is>
      </c>
      <c r="Z11" s="63" t="inlineStr">
        <is>
          <t>BK02</t>
        </is>
      </c>
      <c r="AA11" s="36" t="inlineStr">
        <is>
          <t>درب‌۶ک</t>
        </is>
      </c>
      <c r="AB11" s="64" t="n">
        <v>1.5</v>
      </c>
      <c r="AC11" s="64" t="n">
        <v>6</v>
      </c>
      <c r="AD11" s="64" t="n">
        <v>48000</v>
      </c>
      <c r="AE11" s="64" t="n">
        <v>58000</v>
      </c>
      <c r="AF11" s="64" t="n">
        <v>400</v>
      </c>
      <c r="AH11" s="36" t="inlineStr">
        <is>
          <t>پرتقال خونی</t>
        </is>
      </c>
      <c r="AI11" s="36" t="inlineStr">
        <is>
          <t>پرتقال</t>
        </is>
      </c>
      <c r="AK11" s="63" t="inlineStr">
        <is>
          <t>BN02</t>
        </is>
      </c>
      <c r="AL11" s="36" t="inlineStr">
        <is>
          <t>صادرات ۲۰۰۶ — پوز باسکول</t>
        </is>
      </c>
      <c r="AM11" s="64" t="n">
        <v>0</v>
      </c>
      <c r="AN11" s="63" t="inlineStr">
        <is>
          <t>BN02</t>
        </is>
      </c>
      <c r="AO11" s="63" t="inlineStr">
        <is>
          <t>P02</t>
        </is>
      </c>
      <c r="AP11" s="64" t="n">
        <v>1</v>
      </c>
      <c r="AR11" s="36" t="inlineStr">
        <is>
          <t>باغدار</t>
        </is>
      </c>
      <c r="AS11" s="36" t="inlineStr">
        <is>
          <t>انباری</t>
        </is>
      </c>
      <c r="AU11" s="36" t="inlineStr">
        <is>
          <t>بارفروش</t>
        </is>
      </c>
      <c r="AW11" s="36" t="inlineStr">
        <is>
          <t>فروش سبد</t>
        </is>
      </c>
      <c r="AX11" s="63" t="inlineStr">
        <is>
          <t>BD002</t>
        </is>
      </c>
      <c r="AZ11" s="36" t="inlineStr">
        <is>
          <t>فروش بار (بارفروش)</t>
        </is>
      </c>
      <c r="CA11" s="36" t="inlineStr">
        <is>
          <t>سبد</t>
        </is>
      </c>
      <c r="CB11" s="36" t="inlineStr">
        <is>
          <t>نارنگی</t>
        </is>
      </c>
      <c r="CC11" s="36" t="inlineStr">
        <is>
          <t>خروج</t>
        </is>
      </c>
      <c r="CD11" s="36" t="inlineStr">
        <is>
          <t>خیر</t>
        </is>
      </c>
      <c r="CE11" s="36" t="inlineStr">
        <is>
          <t>معین</t>
        </is>
      </c>
      <c r="CF11" s="36" t="inlineStr">
        <is>
          <t>چک</t>
        </is>
      </c>
      <c r="CG11" s="36" t="inlineStr">
        <is>
          <t>پاس شده</t>
        </is>
      </c>
      <c r="CH11" s="36" t="inlineStr">
        <is>
          <t>☐</t>
        </is>
      </c>
      <c r="CI11" s="36" t="inlineStr">
        <is>
          <t>پوز</t>
        </is>
      </c>
      <c r="CJ11" s="36" t="inlineStr">
        <is>
          <t>بستانکار</t>
        </is>
      </c>
      <c r="CK11" s="36" t="inlineStr">
        <is>
          <t>بستانکار</t>
        </is>
      </c>
      <c r="CL11" s="36" t="inlineStr">
        <is>
          <t>فروش</t>
        </is>
      </c>
      <c r="CM11" s="36" t="inlineStr">
        <is>
          <t>⚠</t>
        </is>
      </c>
      <c r="CN11" s="36" t="inlineStr">
        <is>
          <t>LoadBuyers</t>
        </is>
      </c>
      <c r="CO11" s="36" t="inlineStr">
        <is>
          <t>مبلغ</t>
        </is>
      </c>
      <c r="CP11" s="36" t="inlineStr">
        <is>
          <t>sky</t>
        </is>
      </c>
      <c r="CQ11" s="36" t="inlineStr">
        <is>
          <t>تابستان</t>
        </is>
      </c>
      <c r="CR11" s="36" t="inlineStr">
        <is>
          <t>دریافت</t>
        </is>
      </c>
    </row>
    <row r="12">
      <c r="B12" s="63" t="inlineStr">
        <is>
          <t>C003</t>
        </is>
      </c>
      <c r="C12" s="36" t="inlineStr">
        <is>
          <t>حاج احمد عیسی پور</t>
        </is>
      </c>
      <c r="D12" s="63" t="inlineStr">
        <is>
          <t>باغدار</t>
        </is>
      </c>
      <c r="E12" s="36" t="inlineStr">
        <is>
          <t>خرده‌فروش</t>
        </is>
      </c>
      <c r="F12" s="36" t="inlineStr">
        <is>
          <t>طرف حساب</t>
        </is>
      </c>
      <c r="G12" s="64" t="n">
        <v>0</v>
      </c>
      <c r="I12" s="36" t="inlineStr">
        <is>
          <t>فروش متفرقه / صادراتی</t>
        </is>
      </c>
      <c r="J12" s="63" t="inlineStr">
        <is>
          <t>خروج</t>
        </is>
      </c>
      <c r="K12" s="63" t="inlineStr">
        <is>
          <t>فروش</t>
        </is>
      </c>
      <c r="L12" s="63" t="inlineStr">
        <is>
          <t>بله</t>
        </is>
      </c>
      <c r="M12" s="63" t="inlineStr">
        <is>
          <t>بله</t>
        </is>
      </c>
      <c r="N12" s="63" t="inlineStr">
        <is>
          <t>وزن</t>
        </is>
      </c>
      <c r="O12" s="63" t="inlineStr">
        <is>
          <t>بدهکار</t>
        </is>
      </c>
      <c r="P12" s="63" t="inlineStr">
        <is>
          <t>X006</t>
        </is>
      </c>
      <c r="Q12" s="63" t="inlineStr">
        <is>
          <t>بستانکار</t>
        </is>
      </c>
      <c r="R12" s="63" t="inlineStr">
        <is>
          <t>پوز</t>
        </is>
      </c>
      <c r="S12" s="63" t="inlineStr">
        <is>
          <t>بدهکار</t>
        </is>
      </c>
      <c r="T12" s="63" t="inlineStr">
        <is>
          <t>BN02</t>
        </is>
      </c>
      <c r="U12" s="63" t="inlineStr">
        <is>
          <t>X002</t>
        </is>
      </c>
      <c r="V12" s="63" t="n"/>
      <c r="W12" s="63" t="inlineStr">
        <is>
          <t>بله</t>
        </is>
      </c>
      <c r="Y12" s="36" t="inlineStr">
        <is>
          <t>BK03 – ۹ک مشکی</t>
        </is>
      </c>
      <c r="Z12" s="63" t="inlineStr">
        <is>
          <t>BK03</t>
        </is>
      </c>
      <c r="AA12" s="36" t="inlineStr">
        <is>
          <t>۹ک مشکی</t>
        </is>
      </c>
      <c r="AB12" s="64" t="n">
        <v>1.9</v>
      </c>
      <c r="AC12" s="64" t="n">
        <v>9</v>
      </c>
      <c r="AD12" s="64" t="n">
        <v>62000</v>
      </c>
      <c r="AE12" s="64" t="n">
        <v>75000</v>
      </c>
      <c r="AF12" s="64" t="n">
        <v>800</v>
      </c>
      <c r="AH12" s="36" t="inlineStr">
        <is>
          <t>پرتقال کاراکارا</t>
        </is>
      </c>
      <c r="AI12" s="36" t="inlineStr">
        <is>
          <t>پرتقال</t>
        </is>
      </c>
      <c r="AK12" s="63" t="inlineStr">
        <is>
          <t>BN03</t>
        </is>
      </c>
      <c r="AL12" s="36" t="inlineStr">
        <is>
          <t>ملت</t>
        </is>
      </c>
      <c r="AM12" s="64" t="n">
        <v>0</v>
      </c>
      <c r="AN12" s="63" t="inlineStr">
        <is>
          <t>BN03</t>
        </is>
      </c>
      <c r="AO12" s="63" t="inlineStr">
        <is>
          <t>P03</t>
        </is>
      </c>
      <c r="AP12" s="64" t="n">
        <v>1000</v>
      </c>
      <c r="AR12" s="36" t="inlineStr">
        <is>
          <t>باغدار</t>
        </is>
      </c>
      <c r="AS12" s="36" t="inlineStr">
        <is>
          <t>عمده</t>
        </is>
      </c>
      <c r="AU12" s="36" t="inlineStr">
        <is>
          <t>فروشنده سبد</t>
        </is>
      </c>
      <c r="AW12" s="36" t="inlineStr">
        <is>
          <t>مرجوعی خرید سبد</t>
        </is>
      </c>
      <c r="AX12" s="63" t="inlineStr">
        <is>
          <t>BD003</t>
        </is>
      </c>
      <c r="AZ12" s="36" t="inlineStr">
        <is>
          <t>فروش متفرقه / صادراتی</t>
        </is>
      </c>
      <c r="CA12" s="36" t="inlineStr">
        <is>
          <t>جعبه</t>
        </is>
      </c>
      <c r="CB12" s="36" t="inlineStr">
        <is>
          <t>لیمو</t>
        </is>
      </c>
      <c r="CC12" s="36" t="inlineStr">
        <is>
          <t>—</t>
        </is>
      </c>
      <c r="CF12" s="36" t="inlineStr">
        <is>
          <t>انتقال بانکی</t>
        </is>
      </c>
      <c r="CG12" s="36" t="inlineStr">
        <is>
          <t>برگشتی</t>
        </is>
      </c>
      <c r="CI12" s="36" t="inlineStr">
        <is>
          <t>هیچ</t>
        </is>
      </c>
      <c r="CJ12" s="36" t="inlineStr">
        <is>
          <t>—</t>
        </is>
      </c>
      <c r="CK12" s="36" t="inlineStr">
        <is>
          <t>خودکار</t>
        </is>
      </c>
      <c r="CL12" s="36" t="inlineStr">
        <is>
          <t>آبگیری</t>
        </is>
      </c>
      <c r="CN12" s="36" t="inlineStr">
        <is>
          <t>BasketSellers</t>
        </is>
      </c>
      <c r="CO12" s="36" t="inlineStr">
        <is>
          <t>هیچ</t>
        </is>
      </c>
      <c r="CP12" s="36" t="inlineStr">
        <is>
          <t>lavender</t>
        </is>
      </c>
      <c r="CQ12" s="36" t="inlineStr">
        <is>
          <t>پاییز</t>
        </is>
      </c>
    </row>
    <row r="13">
      <c r="B13" s="63" t="inlineStr">
        <is>
          <t>C004</t>
        </is>
      </c>
      <c r="C13" s="36" t="inlineStr">
        <is>
          <t>امید زاهدی</t>
        </is>
      </c>
      <c r="D13" s="63" t="inlineStr">
        <is>
          <t>باغدار</t>
        </is>
      </c>
      <c r="E13" s="36" t="n"/>
      <c r="F13" s="36" t="inlineStr">
        <is>
          <t>طرف حساب</t>
        </is>
      </c>
      <c r="G13" s="64" t="n">
        <v>0</v>
      </c>
      <c r="I13" s="36" t="inlineStr">
        <is>
          <t>آبگیری</t>
        </is>
      </c>
      <c r="J13" s="63" t="inlineStr">
        <is>
          <t>خروج</t>
        </is>
      </c>
      <c r="K13" s="63" t="inlineStr">
        <is>
          <t>آبگیری</t>
        </is>
      </c>
      <c r="L13" s="63" t="inlineStr">
        <is>
          <t>بله</t>
        </is>
      </c>
      <c r="M13" s="63" t="inlineStr">
        <is>
          <t>بله</t>
        </is>
      </c>
      <c r="N13" s="63" t="inlineStr">
        <is>
          <t>مبلغ</t>
        </is>
      </c>
      <c r="O13" s="63" t="inlineStr">
        <is>
          <t>خودکار</t>
        </is>
      </c>
      <c r="P13" s="63" t="inlineStr">
        <is>
          <t>X008</t>
        </is>
      </c>
      <c r="Q13" s="63" t="inlineStr">
        <is>
          <t>خودکار</t>
        </is>
      </c>
      <c r="R13" s="63" t="inlineStr">
        <is>
          <t>هیچ</t>
        </is>
      </c>
      <c r="S13" s="63" t="inlineStr">
        <is>
          <t>—</t>
        </is>
      </c>
      <c r="T13" s="63" t="n"/>
      <c r="U13" s="63" t="n"/>
      <c r="V13" s="63" t="n"/>
      <c r="W13" s="63" t="inlineStr">
        <is>
          <t>بله</t>
        </is>
      </c>
      <c r="Y13" s="36" t="inlineStr">
        <is>
          <t>BK04 – ریلی کوچک آبی</t>
        </is>
      </c>
      <c r="Z13" s="63" t="inlineStr">
        <is>
          <t>BK04</t>
        </is>
      </c>
      <c r="AA13" s="36" t="inlineStr">
        <is>
          <t>ریلی کوچک آبی</t>
        </is>
      </c>
      <c r="AB13" s="64" t="n">
        <v>1.3</v>
      </c>
      <c r="AC13" s="64" t="n">
        <v>5</v>
      </c>
      <c r="AD13" s="64" t="n">
        <v>40000</v>
      </c>
      <c r="AE13" s="64" t="n">
        <v>50000</v>
      </c>
      <c r="AF13" s="64" t="n">
        <v>300</v>
      </c>
      <c r="AH13" s="36" t="inlineStr">
        <is>
          <t>پرتقال بیروتی</t>
        </is>
      </c>
      <c r="AI13" s="36" t="inlineStr">
        <is>
          <t>پرتقال</t>
        </is>
      </c>
      <c r="AK13" s="63" t="inlineStr">
        <is>
          <t>BN04</t>
        </is>
      </c>
      <c r="AL13" s="36" t="inlineStr">
        <is>
          <t>کشاورزی</t>
        </is>
      </c>
      <c r="AM13" s="64" t="n">
        <v>0</v>
      </c>
      <c r="AN13" s="63" t="inlineStr">
        <is>
          <t>BN04</t>
        </is>
      </c>
      <c r="AO13" s="63" t="inlineStr">
        <is>
          <t>P04</t>
        </is>
      </c>
      <c r="AP13" s="36" t="inlineStr">
        <is>
          <t>1405</t>
        </is>
      </c>
      <c r="AR13" s="36" t="inlineStr">
        <is>
          <t>باغدار</t>
        </is>
      </c>
      <c r="AS13" s="36" t="inlineStr">
        <is>
          <t>خرده‌فروش</t>
        </is>
      </c>
      <c r="AU13" s="36" t="inlineStr">
        <is>
          <t>تأمین‌کننده</t>
        </is>
      </c>
      <c r="AW13" s="36" t="inlineStr">
        <is>
          <t>مرجوعی فروش سبد</t>
        </is>
      </c>
      <c r="AX13" s="63" t="inlineStr">
        <is>
          <t>BD004</t>
        </is>
      </c>
      <c r="AZ13" s="36" t="inlineStr">
        <is>
          <t>آبگیری</t>
        </is>
      </c>
      <c r="CA13" s="36" t="inlineStr">
        <is>
          <t>تن</t>
        </is>
      </c>
      <c r="CB13" s="36" t="inlineStr">
        <is>
          <t>گریپ‌فرویت</t>
        </is>
      </c>
      <c r="CF13" s="36" t="inlineStr">
        <is>
          <t>کارت/پوز</t>
        </is>
      </c>
      <c r="CG13" s="36" t="inlineStr">
        <is>
          <t>باطل</t>
        </is>
      </c>
      <c r="CI13" s="36" t="inlineStr">
        <is>
          <t>—</t>
        </is>
      </c>
      <c r="CK13" s="36" t="inlineStr">
        <is>
          <t>—</t>
        </is>
      </c>
      <c r="CL13" s="36" t="inlineStr">
        <is>
          <t>انعام</t>
        </is>
      </c>
      <c r="CN13" s="36" t="inlineStr">
        <is>
          <t>Suppliers</t>
        </is>
      </c>
      <c r="CO13" s="36" t="inlineStr">
        <is>
          <t>—</t>
        </is>
      </c>
      <c r="CP13" s="36" t="inlineStr">
        <is>
          <t>rose</t>
        </is>
      </c>
      <c r="CQ13" s="36" t="inlineStr">
        <is>
          <t>زمستان</t>
        </is>
      </c>
    </row>
    <row r="14">
      <c r="B14" s="63" t="inlineStr">
        <is>
          <t>C005</t>
        </is>
      </c>
      <c r="C14" s="36" t="inlineStr">
        <is>
          <t>بار شخصی قاسم زاهدی</t>
        </is>
      </c>
      <c r="D14" s="63" t="inlineStr">
        <is>
          <t>باغدار</t>
        </is>
      </c>
      <c r="E14" s="36" t="n"/>
      <c r="F14" s="36" t="inlineStr">
        <is>
          <t>طرف حساب</t>
        </is>
      </c>
      <c r="G14" s="64" t="n">
        <v>0</v>
      </c>
      <c r="I14" s="36" t="inlineStr">
        <is>
          <t>انعام مصطفی</t>
        </is>
      </c>
      <c r="J14" s="63" t="inlineStr">
        <is>
          <t>—</t>
        </is>
      </c>
      <c r="K14" s="63" t="inlineStr">
        <is>
          <t>انعام</t>
        </is>
      </c>
      <c r="L14" s="63" t="inlineStr">
        <is>
          <t>خیر</t>
        </is>
      </c>
      <c r="M14" s="63" t="inlineStr">
        <is>
          <t>خیر</t>
        </is>
      </c>
      <c r="N14" s="63" t="inlineStr">
        <is>
          <t>مبلغ</t>
        </is>
      </c>
      <c r="O14" s="63" t="inlineStr">
        <is>
          <t>بستانکار</t>
        </is>
      </c>
      <c r="P14" s="63" t="inlineStr">
        <is>
          <t>BN02</t>
        </is>
      </c>
      <c r="Q14" s="63" t="inlineStr">
        <is>
          <t>بدهکار</t>
        </is>
      </c>
      <c r="R14" s="63" t="inlineStr">
        <is>
          <t>هیچ</t>
        </is>
      </c>
      <c r="S14" s="63" t="inlineStr">
        <is>
          <t>—</t>
        </is>
      </c>
      <c r="T14" s="63" t="n"/>
      <c r="U14" s="63" t="n"/>
      <c r="V14" s="63" t="inlineStr">
        <is>
          <t>X001</t>
        </is>
      </c>
      <c r="W14" s="63" t="inlineStr">
        <is>
          <t>بله</t>
        </is>
      </c>
      <c r="Y14" s="36" t="inlineStr">
        <is>
          <t>BK05 – تک‌رج آبی بزرگ</t>
        </is>
      </c>
      <c r="Z14" s="63" t="inlineStr">
        <is>
          <t>BK05</t>
        </is>
      </c>
      <c r="AA14" s="36" t="inlineStr">
        <is>
          <t>تک‌رج آبی بزرگ</t>
        </is>
      </c>
      <c r="AB14" s="64" t="n">
        <v>2</v>
      </c>
      <c r="AC14" s="64" t="n">
        <v>10</v>
      </c>
      <c r="AD14" s="64" t="n">
        <v>70000</v>
      </c>
      <c r="AE14" s="64" t="n">
        <v>85000</v>
      </c>
      <c r="AF14" s="64" t="n">
        <v>250</v>
      </c>
      <c r="AH14" s="36" t="inlineStr">
        <is>
          <t>پرتقال یافا</t>
        </is>
      </c>
      <c r="AI14" s="36" t="inlineStr">
        <is>
          <t>پرتقال</t>
        </is>
      </c>
      <c r="AK14" s="63" t="inlineStr">
        <is>
          <t>BN05</t>
        </is>
      </c>
      <c r="AL14" s="36" t="inlineStr">
        <is>
          <t>سپه</t>
        </is>
      </c>
      <c r="AM14" s="64" t="n">
        <v>0</v>
      </c>
      <c r="AN14" s="63" t="inlineStr">
        <is>
          <t>BN05</t>
        </is>
      </c>
      <c r="AO14" s="63" t="inlineStr">
        <is>
          <t>P05</t>
        </is>
      </c>
      <c r="AP14" s="64" t="n">
        <v>100</v>
      </c>
      <c r="AR14" s="36" t="inlineStr">
        <is>
          <t>باغدار</t>
        </is>
      </c>
      <c r="AS14" s="36" t="inlineStr">
        <is>
          <t>صادراتی</t>
        </is>
      </c>
      <c r="AU14" s="36" t="inlineStr">
        <is>
          <t>کارمند</t>
        </is>
      </c>
      <c r="AW14" s="36" t="inlineStr">
        <is>
          <t>انتقال سبد بین انبار</t>
        </is>
      </c>
      <c r="AX14" s="63" t="inlineStr">
        <is>
          <t>BD005</t>
        </is>
      </c>
      <c r="AZ14" s="36" t="inlineStr">
        <is>
          <t>انعام مصطفی</t>
        </is>
      </c>
      <c r="CA14" s="36" t="inlineStr">
        <is>
          <t>عدد</t>
        </is>
      </c>
      <c r="CB14" s="36" t="inlineStr">
        <is>
          <t>سایر</t>
        </is>
      </c>
      <c r="CF14" s="36" t="inlineStr">
        <is>
          <t>پاس چک</t>
        </is>
      </c>
      <c r="CL14" s="36" t="inlineStr">
        <is>
          <t>باسکول دیگران</t>
        </is>
      </c>
      <c r="CN14" s="36" t="inlineStr">
        <is>
          <t>Staff</t>
        </is>
      </c>
      <c r="CP14" s="36" t="inlineStr">
        <is>
          <t>sand</t>
        </is>
      </c>
    </row>
    <row r="15">
      <c r="B15" s="63" t="inlineStr">
        <is>
          <t>C006</t>
        </is>
      </c>
      <c r="C15" s="36" t="inlineStr">
        <is>
          <t>هوشنگ عیسی پور</t>
        </is>
      </c>
      <c r="D15" s="63" t="inlineStr">
        <is>
          <t>باغدار</t>
        </is>
      </c>
      <c r="E15" s="36" t="n"/>
      <c r="F15" s="36" t="inlineStr">
        <is>
          <t>طرف حساب</t>
        </is>
      </c>
      <c r="G15" s="64" t="n">
        <v>0</v>
      </c>
      <c r="I15" s="36" t="inlineStr">
        <is>
          <t>باسکول دیگران</t>
        </is>
      </c>
      <c r="J15" s="63" t="inlineStr">
        <is>
          <t>—</t>
        </is>
      </c>
      <c r="K15" s="63" t="inlineStr">
        <is>
          <t>باسکول دیگران</t>
        </is>
      </c>
      <c r="L15" s="63" t="inlineStr">
        <is>
          <t>خیر</t>
        </is>
      </c>
      <c r="M15" s="63" t="inlineStr">
        <is>
          <t>بله</t>
        </is>
      </c>
      <c r="N15" s="63" t="inlineStr">
        <is>
          <t>مبلغ</t>
        </is>
      </c>
      <c r="O15" s="63" t="inlineStr">
        <is>
          <t>بدهکار</t>
        </is>
      </c>
      <c r="P15" s="63" t="inlineStr">
        <is>
          <t>X002</t>
        </is>
      </c>
      <c r="Q15" s="63" t="inlineStr">
        <is>
          <t>بستانکار</t>
        </is>
      </c>
      <c r="R15" s="63" t="inlineStr">
        <is>
          <t>هیچ</t>
        </is>
      </c>
      <c r="S15" s="63" t="inlineStr">
        <is>
          <t>—</t>
        </is>
      </c>
      <c r="T15" s="63" t="n"/>
      <c r="U15" s="63" t="n"/>
      <c r="V15" s="63" t="n"/>
      <c r="W15" s="63" t="inlineStr">
        <is>
          <t>بله</t>
        </is>
      </c>
      <c r="Y15" s="36" t="inlineStr">
        <is>
          <t>BK06 – آبی ۲۵×۲۰</t>
        </is>
      </c>
      <c r="Z15" s="63" t="inlineStr">
        <is>
          <t>BK06</t>
        </is>
      </c>
      <c r="AA15" s="36" t="inlineStr">
        <is>
          <t>آبی ۲۵×۲۰</t>
        </is>
      </c>
      <c r="AB15" s="64" t="n">
        <v>1.1</v>
      </c>
      <c r="AC15" s="64" t="n">
        <v>4</v>
      </c>
      <c r="AD15" s="64" t="n">
        <v>35000</v>
      </c>
      <c r="AE15" s="64" t="n">
        <v>45000</v>
      </c>
      <c r="AF15" s="64" t="n">
        <v>150</v>
      </c>
      <c r="AH15" s="36" t="inlineStr">
        <is>
          <t>نارنگی پیچ</t>
        </is>
      </c>
      <c r="AI15" s="36" t="inlineStr">
        <is>
          <t>نارنگی</t>
        </is>
      </c>
      <c r="AK15" s="63" t="inlineStr">
        <is>
          <t>BN06</t>
        </is>
      </c>
      <c r="AL15" s="36" t="inlineStr">
        <is>
          <t>مهر ایران</t>
        </is>
      </c>
      <c r="AM15" s="64" t="n">
        <v>0</v>
      </c>
      <c r="AN15" s="63" t="inlineStr">
        <is>
          <t>BN06</t>
        </is>
      </c>
      <c r="AO15" s="63" t="inlineStr">
        <is>
          <t>P06</t>
        </is>
      </c>
      <c r="AP15" s="64" t="n">
        <v>0</v>
      </c>
      <c r="AR15" s="36" t="inlineStr">
        <is>
          <t>باغدار</t>
        </is>
      </c>
      <c r="AS15" s="36" t="inlineStr">
        <is>
          <t>میدان بار</t>
        </is>
      </c>
      <c r="AU15" s="36" t="inlineStr">
        <is>
          <t>سایر حساب</t>
        </is>
      </c>
      <c r="AX15" s="63" t="inlineStr">
        <is>
          <t>BD006</t>
        </is>
      </c>
      <c r="AZ15" s="36" t="inlineStr">
        <is>
          <t>باسکول دیگران</t>
        </is>
      </c>
      <c r="CA15" s="36" t="inlineStr">
        <is>
          <t>ریال</t>
        </is>
      </c>
      <c r="CF15" s="36" t="inlineStr">
        <is>
          <t>انتقال داخلی</t>
        </is>
      </c>
      <c r="CL15" s="36" t="inlineStr">
        <is>
          <t>درآمد</t>
        </is>
      </c>
      <c r="CN15" s="36" t="inlineStr">
        <is>
          <t>Other</t>
        </is>
      </c>
      <c r="CP15" s="36" t="inlineStr">
        <is>
          <t>grey</t>
        </is>
      </c>
    </row>
    <row r="16">
      <c r="B16" s="63" t="inlineStr">
        <is>
          <t>C007</t>
        </is>
      </c>
      <c r="C16" s="36" t="inlineStr">
        <is>
          <t>علی آهنگر</t>
        </is>
      </c>
      <c r="D16" s="63" t="inlineStr">
        <is>
          <t>باغدار</t>
        </is>
      </c>
      <c r="E16" s="36" t="n"/>
      <c r="F16" s="36" t="inlineStr">
        <is>
          <t>طرف حساب</t>
        </is>
      </c>
      <c r="G16" s="64" t="n">
        <v>0</v>
      </c>
      <c r="I16" s="36" t="inlineStr">
        <is>
          <t>درآمد پوز باسکول (بدون طرف)</t>
        </is>
      </c>
      <c r="J16" s="63" t="inlineStr">
        <is>
          <t>—</t>
        </is>
      </c>
      <c r="K16" s="63" t="inlineStr">
        <is>
          <t>درآمد</t>
        </is>
      </c>
      <c r="L16" s="63" t="inlineStr">
        <is>
          <t>خیر</t>
        </is>
      </c>
      <c r="M16" s="63" t="inlineStr">
        <is>
          <t>خیر</t>
        </is>
      </c>
      <c r="N16" s="63" t="inlineStr">
        <is>
          <t>مبلغ</t>
        </is>
      </c>
      <c r="O16" s="63" t="inlineStr">
        <is>
          <t>—</t>
        </is>
      </c>
      <c r="P16" s="63" t="n"/>
      <c r="Q16" s="63" t="inlineStr">
        <is>
          <t>—</t>
        </is>
      </c>
      <c r="R16" s="63" t="inlineStr">
        <is>
          <t>پوز</t>
        </is>
      </c>
      <c r="S16" s="63" t="inlineStr">
        <is>
          <t>بدهکار</t>
        </is>
      </c>
      <c r="T16" s="63" t="inlineStr">
        <is>
          <t>BN02</t>
        </is>
      </c>
      <c r="U16" s="63" t="inlineStr">
        <is>
          <t>X002</t>
        </is>
      </c>
      <c r="V16" s="63" t="n"/>
      <c r="W16" s="63" t="inlineStr">
        <is>
          <t>بله</t>
        </is>
      </c>
      <c r="Y16" s="36" t="inlineStr">
        <is>
          <t>BK07 – ۸ک مشکی</t>
        </is>
      </c>
      <c r="Z16" s="63" t="inlineStr">
        <is>
          <t>BK07</t>
        </is>
      </c>
      <c r="AA16" s="36" t="inlineStr">
        <is>
          <t>۸ک مشکی</t>
        </is>
      </c>
      <c r="AB16" s="64" t="n">
        <v>1.8</v>
      </c>
      <c r="AC16" s="64" t="n">
        <v>8</v>
      </c>
      <c r="AD16" s="64" t="n">
        <v>58000</v>
      </c>
      <c r="AE16" s="64" t="n">
        <v>70000</v>
      </c>
      <c r="AF16" s="64" t="n">
        <v>200</v>
      </c>
      <c r="AH16" s="36" t="inlineStr">
        <is>
          <t>نارنگی ژاپنی</t>
        </is>
      </c>
      <c r="AI16" s="36" t="inlineStr">
        <is>
          <t>نارنگی</t>
        </is>
      </c>
      <c r="AK16" s="63" t="inlineStr">
        <is>
          <t>BN07</t>
        </is>
      </c>
      <c r="AL16" s="36" t="inlineStr">
        <is>
          <t>تجارت</t>
        </is>
      </c>
      <c r="AM16" s="64" t="n">
        <v>0</v>
      </c>
      <c r="AN16" s="63" t="inlineStr">
        <is>
          <t>BN07</t>
        </is>
      </c>
      <c r="AO16" s="63" t="inlineStr">
        <is>
          <t>P07</t>
        </is>
      </c>
      <c r="AP16" s="36" t="inlineStr">
        <is>
          <t>خرید-</t>
        </is>
      </c>
      <c r="AR16" s="36" t="inlineStr">
        <is>
          <t>بارفروش</t>
        </is>
      </c>
      <c r="AS16" s="36" t="inlineStr">
        <is>
          <t>میدان بار شهرستان</t>
        </is>
      </c>
      <c r="AU16" s="36" t="inlineStr">
        <is>
          <t>باسکول دیگران</t>
        </is>
      </c>
      <c r="AX16" s="63" t="inlineStr">
        <is>
          <t>BD007</t>
        </is>
      </c>
      <c r="AZ16" s="36" t="inlineStr">
        <is>
          <t>درآمد پوز باسکول (بدون طرف)</t>
        </is>
      </c>
      <c r="CL16" s="36" t="inlineStr">
        <is>
          <t>هزینه</t>
        </is>
      </c>
      <c r="CN16" s="36" t="inlineStr">
        <is>
          <t>OtherScales</t>
        </is>
      </c>
      <c r="CP16" s="36" t="inlineStr">
        <is>
          <t>teal</t>
        </is>
      </c>
    </row>
    <row r="17">
      <c r="B17" s="63" t="inlineStr">
        <is>
          <t>C008</t>
        </is>
      </c>
      <c r="C17" s="36" t="inlineStr">
        <is>
          <t>صفدر مسلمی</t>
        </is>
      </c>
      <c r="D17" s="63" t="inlineStr">
        <is>
          <t>باغدار</t>
        </is>
      </c>
      <c r="E17" s="36" t="n"/>
      <c r="F17" s="36" t="inlineStr">
        <is>
          <t>طرف حساب</t>
        </is>
      </c>
      <c r="G17" s="64" t="n">
        <v>0</v>
      </c>
      <c r="I17" s="36" t="inlineStr">
        <is>
          <t>مرجوعی خرید</t>
        </is>
      </c>
      <c r="J17" s="63" t="inlineStr">
        <is>
          <t>خروج</t>
        </is>
      </c>
      <c r="K17" s="63" t="inlineStr">
        <is>
          <t>خرید</t>
        </is>
      </c>
      <c r="L17" s="63" t="inlineStr">
        <is>
          <t>بله</t>
        </is>
      </c>
      <c r="M17" s="63" t="inlineStr">
        <is>
          <t>بله</t>
        </is>
      </c>
      <c r="N17" s="63" t="inlineStr">
        <is>
          <t>وزن</t>
        </is>
      </c>
      <c r="O17" s="63" t="inlineStr">
        <is>
          <t>بدهکار</t>
        </is>
      </c>
      <c r="P17" s="63" t="inlineStr">
        <is>
          <t>X004</t>
        </is>
      </c>
      <c r="Q17" s="63" t="inlineStr">
        <is>
          <t>بستانکار</t>
        </is>
      </c>
      <c r="R17" s="63" t="inlineStr">
        <is>
          <t>افزودن</t>
        </is>
      </c>
      <c r="S17" s="63" t="inlineStr">
        <is>
          <t>—</t>
        </is>
      </c>
      <c r="T17" s="63" t="n"/>
      <c r="U17" s="63" t="n"/>
      <c r="V17" s="63" t="n"/>
      <c r="W17" s="63" t="inlineStr">
        <is>
          <t>بله</t>
        </is>
      </c>
      <c r="Y17" s="36" t="inlineStr">
        <is>
          <t xml:space="preserve">BK08 – </t>
        </is>
      </c>
      <c r="Z17" s="63" t="inlineStr">
        <is>
          <t>BK08</t>
        </is>
      </c>
      <c r="AA17" s="36" t="n"/>
      <c r="AB17" s="64" t="n">
        <v>1.5</v>
      </c>
      <c r="AC17" s="64" t="n">
        <v>6</v>
      </c>
      <c r="AD17" s="64" t="n">
        <v>0</v>
      </c>
      <c r="AE17" s="64" t="n">
        <v>0</v>
      </c>
      <c r="AF17" s="64" t="n">
        <v>0</v>
      </c>
      <c r="AH17" s="36" t="inlineStr">
        <is>
          <t>نارنگی اونشو</t>
        </is>
      </c>
      <c r="AI17" s="36" t="inlineStr">
        <is>
          <t>نارنگی</t>
        </is>
      </c>
      <c r="AK17" s="63" t="inlineStr">
        <is>
          <t>BN08</t>
        </is>
      </c>
      <c r="AL17" s="36" t="inlineStr">
        <is>
          <t>پاسارگاد</t>
        </is>
      </c>
      <c r="AM17" s="64" t="n">
        <v>0</v>
      </c>
      <c r="AN17" s="63" t="inlineStr">
        <is>
          <t>BN08</t>
        </is>
      </c>
      <c r="AO17" s="63" t="inlineStr">
        <is>
          <t>P08</t>
        </is>
      </c>
      <c r="AP17" s="36" t="inlineStr">
        <is>
          <t>فروش-</t>
        </is>
      </c>
      <c r="AR17" s="36" t="inlineStr">
        <is>
          <t>بارفروش</t>
        </is>
      </c>
      <c r="AS17" s="36" t="inlineStr">
        <is>
          <t>حجره‌دار</t>
        </is>
      </c>
      <c r="AU17" s="36" t="inlineStr">
        <is>
          <t>دارایی ثابت</t>
        </is>
      </c>
      <c r="AX17" s="63" t="inlineStr">
        <is>
          <t>BD008</t>
        </is>
      </c>
      <c r="AZ17" s="36" t="inlineStr">
        <is>
          <t>مرجوعی خرید</t>
        </is>
      </c>
      <c r="CL17" s="36" t="inlineStr">
        <is>
          <t>انتقال</t>
        </is>
      </c>
      <c r="CN17" s="36" t="inlineStr">
        <is>
          <t>Assets</t>
        </is>
      </c>
      <c r="CP17" s="36" t="inlineStr">
        <is>
          <t>peach</t>
        </is>
      </c>
    </row>
    <row r="18">
      <c r="B18" s="63" t="inlineStr">
        <is>
          <t>C009</t>
        </is>
      </c>
      <c r="C18" s="36" t="inlineStr">
        <is>
          <t>همایون بابایی</t>
        </is>
      </c>
      <c r="D18" s="63" t="inlineStr">
        <is>
          <t>باغدار</t>
        </is>
      </c>
      <c r="E18" s="36" t="n"/>
      <c r="F18" s="36" t="inlineStr">
        <is>
          <t>طرف حساب</t>
        </is>
      </c>
      <c r="G18" s="64" t="n">
        <v>0</v>
      </c>
      <c r="I18" s="36" t="inlineStr">
        <is>
          <t>مرجوعی فروش</t>
        </is>
      </c>
      <c r="J18" s="63" t="inlineStr">
        <is>
          <t>ورود</t>
        </is>
      </c>
      <c r="K18" s="63" t="inlineStr">
        <is>
          <t>فروش</t>
        </is>
      </c>
      <c r="L18" s="63" t="inlineStr">
        <is>
          <t>بله</t>
        </is>
      </c>
      <c r="M18" s="63" t="inlineStr">
        <is>
          <t>بله</t>
        </is>
      </c>
      <c r="N18" s="63" t="inlineStr">
        <is>
          <t>وزن</t>
        </is>
      </c>
      <c r="O18" s="63" t="inlineStr">
        <is>
          <t>بستانکار</t>
        </is>
      </c>
      <c r="P18" s="63" t="inlineStr">
        <is>
          <t>X006</t>
        </is>
      </c>
      <c r="Q18" s="63" t="inlineStr">
        <is>
          <t>بدهکار</t>
        </is>
      </c>
      <c r="R18" s="63" t="inlineStr">
        <is>
          <t>هیچ</t>
        </is>
      </c>
      <c r="S18" s="63" t="inlineStr">
        <is>
          <t>—</t>
        </is>
      </c>
      <c r="T18" s="63" t="n"/>
      <c r="U18" s="63" t="n"/>
      <c r="V18" s="63" t="n"/>
      <c r="W18" s="63" t="inlineStr">
        <is>
          <t>بله</t>
        </is>
      </c>
      <c r="Y18" s="36" t="inlineStr">
        <is>
          <t xml:space="preserve">BK09 – </t>
        </is>
      </c>
      <c r="Z18" s="63" t="inlineStr">
        <is>
          <t>BK09</t>
        </is>
      </c>
      <c r="AA18" s="36" t="n"/>
      <c r="AB18" s="64" t="n">
        <v>1.5</v>
      </c>
      <c r="AC18" s="64" t="n">
        <v>6</v>
      </c>
      <c r="AD18" s="64" t="n">
        <v>0</v>
      </c>
      <c r="AE18" s="64" t="n">
        <v>0</v>
      </c>
      <c r="AF18" s="64" t="n">
        <v>0</v>
      </c>
      <c r="AH18" s="36" t="inlineStr">
        <is>
          <t>نارنگی یافا</t>
        </is>
      </c>
      <c r="AI18" s="36" t="inlineStr">
        <is>
          <t>نارنگی</t>
        </is>
      </c>
      <c r="AK18" s="63" t="inlineStr">
        <is>
          <t>BN09</t>
        </is>
      </c>
      <c r="AL18" s="36" t="inlineStr">
        <is>
          <t>رفاه</t>
        </is>
      </c>
      <c r="AM18" s="64" t="n">
        <v>0</v>
      </c>
      <c r="AN18" s="63" t="inlineStr">
        <is>
          <t>BN09</t>
        </is>
      </c>
      <c r="AO18" s="63" t="inlineStr">
        <is>
          <t>P09</t>
        </is>
      </c>
      <c r="AP18" s="64" t="n">
        <v>500000000</v>
      </c>
      <c r="AR18" s="36" t="inlineStr">
        <is>
          <t>بارفروش</t>
        </is>
      </c>
      <c r="AS18" s="36" t="inlineStr">
        <is>
          <t>صادراتی</t>
        </is>
      </c>
      <c r="AU18" s="36" t="inlineStr">
        <is>
          <t>وام و تسهیلات</t>
        </is>
      </c>
      <c r="AX18" s="63" t="inlineStr">
        <is>
          <t>BD009</t>
        </is>
      </c>
      <c r="AZ18" s="36" t="inlineStr">
        <is>
          <t>مرجوعی فروش</t>
        </is>
      </c>
      <c r="CL18" s="36" t="inlineStr">
        <is>
          <t>سایر</t>
        </is>
      </c>
      <c r="CN18" s="36" t="inlineStr">
        <is>
          <t>Liabilities</t>
        </is>
      </c>
    </row>
    <row r="19">
      <c r="B19" s="63" t="inlineStr">
        <is>
          <t>C010</t>
        </is>
      </c>
      <c r="C19" s="36" t="inlineStr">
        <is>
          <t>دبیر فرجی</t>
        </is>
      </c>
      <c r="D19" s="63" t="inlineStr">
        <is>
          <t>باغدار</t>
        </is>
      </c>
      <c r="E19" s="36" t="n"/>
      <c r="F19" s="36" t="inlineStr">
        <is>
          <t>طرف حساب</t>
        </is>
      </c>
      <c r="G19" s="64" t="n">
        <v>0</v>
      </c>
      <c r="I19" s="36" t="inlineStr">
        <is>
          <t>ضایعات / افت انبار</t>
        </is>
      </c>
      <c r="J19" s="63" t="inlineStr">
        <is>
          <t>خروج</t>
        </is>
      </c>
      <c r="K19" s="63" t="inlineStr">
        <is>
          <t>هزینه</t>
        </is>
      </c>
      <c r="L19" s="63" t="inlineStr">
        <is>
          <t>بله</t>
        </is>
      </c>
      <c r="M19" s="63" t="inlineStr">
        <is>
          <t>بله</t>
        </is>
      </c>
      <c r="N19" s="63" t="inlineStr">
        <is>
          <t>وزن</t>
        </is>
      </c>
      <c r="O19" s="63" t="inlineStr">
        <is>
          <t>بستانکار</t>
        </is>
      </c>
      <c r="P19" s="63" t="inlineStr">
        <is>
          <t>X009</t>
        </is>
      </c>
      <c r="Q19" s="63" t="inlineStr">
        <is>
          <t>بدهکار</t>
        </is>
      </c>
      <c r="R19" s="63" t="inlineStr">
        <is>
          <t>هیچ</t>
        </is>
      </c>
      <c r="S19" s="63" t="inlineStr">
        <is>
          <t>—</t>
        </is>
      </c>
      <c r="T19" s="63" t="n"/>
      <c r="U19" s="63" t="n"/>
      <c r="V19" s="63" t="inlineStr">
        <is>
          <t>X004</t>
        </is>
      </c>
      <c r="W19" s="63" t="inlineStr">
        <is>
          <t>بله</t>
        </is>
      </c>
      <c r="Y19" s="36" t="inlineStr">
        <is>
          <t xml:space="preserve">BK10 – </t>
        </is>
      </c>
      <c r="Z19" s="63" t="inlineStr">
        <is>
          <t>BK10</t>
        </is>
      </c>
      <c r="AA19" s="36" t="n"/>
      <c r="AB19" s="64" t="n">
        <v>1.5</v>
      </c>
      <c r="AC19" s="64" t="n">
        <v>6</v>
      </c>
      <c r="AD19" s="64" t="n">
        <v>0</v>
      </c>
      <c r="AE19" s="64" t="n">
        <v>0</v>
      </c>
      <c r="AF19" s="64" t="n">
        <v>0</v>
      </c>
      <c r="AH19" s="36" t="inlineStr">
        <is>
          <t>لیمو شیرین</t>
        </is>
      </c>
      <c r="AI19" s="36" t="inlineStr">
        <is>
          <t>لیمو</t>
        </is>
      </c>
      <c r="AK19" s="63" t="inlineStr">
        <is>
          <t>BN10</t>
        </is>
      </c>
      <c r="AL19" s="36" t="inlineStr">
        <is>
          <t>قرض‌الحسنه</t>
        </is>
      </c>
      <c r="AM19" s="64" t="n">
        <v>0</v>
      </c>
      <c r="AN19" s="63" t="inlineStr">
        <is>
          <t>BN10</t>
        </is>
      </c>
      <c r="AO19" s="63" t="inlineStr">
        <is>
          <t>P10</t>
        </is>
      </c>
      <c r="AP19" s="64" t="n">
        <v>30</v>
      </c>
      <c r="AR19" s="36" t="inlineStr">
        <is>
          <t>بارفروش</t>
        </is>
      </c>
      <c r="AS19" s="36" t="inlineStr">
        <is>
          <t>واسطه</t>
        </is>
      </c>
      <c r="AU19" s="36" t="inlineStr">
        <is>
          <t>سرمایه و آورده صاحبان</t>
        </is>
      </c>
      <c r="AX19" s="63" t="inlineStr">
        <is>
          <t>BD010</t>
        </is>
      </c>
      <c r="AZ19" s="36" t="inlineStr">
        <is>
          <t>ضایعات / افت انبار</t>
        </is>
      </c>
      <c r="CL19" s="36" t="inlineStr">
        <is>
          <t>تعدیل</t>
        </is>
      </c>
      <c r="CN19" s="36" t="inlineStr">
        <is>
          <t>Equity</t>
        </is>
      </c>
    </row>
    <row r="20">
      <c r="B20" s="63" t="inlineStr">
        <is>
          <t>C011</t>
        </is>
      </c>
      <c r="C20" s="36" t="inlineStr">
        <is>
          <t>محمود علیجانی</t>
        </is>
      </c>
      <c r="D20" s="63" t="inlineStr">
        <is>
          <t>باغدار</t>
        </is>
      </c>
      <c r="E20" s="36" t="n"/>
      <c r="F20" s="36" t="inlineStr">
        <is>
          <t>طرف حساب</t>
        </is>
      </c>
      <c r="G20" s="64" t="n">
        <v>0</v>
      </c>
      <c r="I20" s="36" t="inlineStr">
        <is>
          <t>انتقال بین انبار</t>
        </is>
      </c>
      <c r="J20" s="63" t="inlineStr">
        <is>
          <t>خروج</t>
        </is>
      </c>
      <c r="K20" s="63" t="inlineStr">
        <is>
          <t>انتقال</t>
        </is>
      </c>
      <c r="L20" s="63" t="inlineStr">
        <is>
          <t>بله</t>
        </is>
      </c>
      <c r="M20" s="63" t="inlineStr">
        <is>
          <t>خیر</t>
        </is>
      </c>
      <c r="N20" s="63" t="inlineStr">
        <is>
          <t>هیچ</t>
        </is>
      </c>
      <c r="O20" s="63" t="inlineStr">
        <is>
          <t>—</t>
        </is>
      </c>
      <c r="P20" s="63" t="n"/>
      <c r="Q20" s="63" t="inlineStr">
        <is>
          <t>—</t>
        </is>
      </c>
      <c r="R20" s="63" t="inlineStr">
        <is>
          <t>هیچ</t>
        </is>
      </c>
      <c r="S20" s="63" t="inlineStr">
        <is>
          <t>—</t>
        </is>
      </c>
      <c r="T20" s="63" t="n"/>
      <c r="U20" s="63" t="n"/>
      <c r="V20" s="63" t="n"/>
      <c r="W20" s="63" t="inlineStr">
        <is>
          <t>بله</t>
        </is>
      </c>
      <c r="Y20" s="36" t="inlineStr">
        <is>
          <t xml:space="preserve">BK11 – </t>
        </is>
      </c>
      <c r="Z20" s="63" t="inlineStr">
        <is>
          <t>BK11</t>
        </is>
      </c>
      <c r="AA20" s="36" t="n"/>
      <c r="AB20" s="64" t="n">
        <v>1.5</v>
      </c>
      <c r="AC20" s="64" t="n">
        <v>6</v>
      </c>
      <c r="AD20" s="64" t="n">
        <v>0</v>
      </c>
      <c r="AE20" s="64" t="n">
        <v>0</v>
      </c>
      <c r="AF20" s="64" t="n">
        <v>0</v>
      </c>
      <c r="AH20" s="36" t="inlineStr">
        <is>
          <t>لیمو ترش</t>
        </is>
      </c>
      <c r="AI20" s="36" t="inlineStr">
        <is>
          <t>لیمو</t>
        </is>
      </c>
      <c r="AO20" s="63" t="inlineStr">
        <is>
          <t>P11</t>
        </is>
      </c>
      <c r="AP20" s="36" t="inlineStr">
        <is>
          <t>ریال</t>
        </is>
      </c>
      <c r="AR20" s="36" t="inlineStr">
        <is>
          <t>بارفروش</t>
        </is>
      </c>
      <c r="AS20" s="36" t="inlineStr">
        <is>
          <t>نقدی</t>
        </is>
      </c>
      <c r="AU20" s="36" t="inlineStr">
        <is>
          <t>بانک و صندوق</t>
        </is>
      </c>
      <c r="AX20" s="63" t="inlineStr">
        <is>
          <t>BD011</t>
        </is>
      </c>
      <c r="AZ20" s="36" t="inlineStr">
        <is>
          <t>انتقال بین انبار</t>
        </is>
      </c>
    </row>
    <row r="21">
      <c r="B21" s="63" t="inlineStr">
        <is>
          <t>C012</t>
        </is>
      </c>
      <c r="C21" s="36" t="inlineStr">
        <is>
          <t>افشین بشتکار</t>
        </is>
      </c>
      <c r="D21" s="63" t="inlineStr">
        <is>
          <t>باغدار</t>
        </is>
      </c>
      <c r="E21" s="36" t="n"/>
      <c r="F21" s="36" t="inlineStr">
        <is>
          <t>طرف حساب</t>
        </is>
      </c>
      <c r="G21" s="64" t="n">
        <v>0</v>
      </c>
      <c r="I21" s="36" t="inlineStr">
        <is>
          <t>سایر ورود</t>
        </is>
      </c>
      <c r="J21" s="63" t="inlineStr">
        <is>
          <t>ورود</t>
        </is>
      </c>
      <c r="K21" s="63" t="inlineStr">
        <is>
          <t>سایر</t>
        </is>
      </c>
      <c r="L21" s="63" t="inlineStr">
        <is>
          <t>بله</t>
        </is>
      </c>
      <c r="M21" s="63" t="inlineStr">
        <is>
          <t>بله</t>
        </is>
      </c>
      <c r="N21" s="63" t="inlineStr">
        <is>
          <t>وزن</t>
        </is>
      </c>
      <c r="O21" s="63" t="inlineStr">
        <is>
          <t>بستانکار</t>
        </is>
      </c>
      <c r="P21" s="63" t="inlineStr">
        <is>
          <t>X011</t>
        </is>
      </c>
      <c r="Q21" s="63" t="inlineStr">
        <is>
          <t>بدهکار</t>
        </is>
      </c>
      <c r="R21" s="63" t="inlineStr">
        <is>
          <t>افزودن</t>
        </is>
      </c>
      <c r="S21" s="63" t="inlineStr">
        <is>
          <t>—</t>
        </is>
      </c>
      <c r="T21" s="63" t="n"/>
      <c r="U21" s="63" t="n"/>
      <c r="V21" s="63" t="n"/>
      <c r="W21" s="63" t="inlineStr">
        <is>
          <t>بله</t>
        </is>
      </c>
      <c r="Y21" s="36" t="inlineStr">
        <is>
          <t xml:space="preserve">BK12 – </t>
        </is>
      </c>
      <c r="Z21" s="63" t="inlineStr">
        <is>
          <t>BK12</t>
        </is>
      </c>
      <c r="AA21" s="36" t="n"/>
      <c r="AB21" s="64" t="n">
        <v>1.5</v>
      </c>
      <c r="AC21" s="64" t="n">
        <v>6</v>
      </c>
      <c r="AD21" s="64" t="n">
        <v>0</v>
      </c>
      <c r="AE21" s="64" t="n">
        <v>0</v>
      </c>
      <c r="AF21" s="64" t="n">
        <v>0</v>
      </c>
      <c r="AH21" s="36" t="inlineStr">
        <is>
          <t>کامکوات</t>
        </is>
      </c>
      <c r="AI21" s="36" t="inlineStr">
        <is>
          <t>سایر</t>
        </is>
      </c>
      <c r="AO21" s="63" t="inlineStr">
        <is>
          <t>P12</t>
        </is>
      </c>
      <c r="AP21" s="36" t="inlineStr">
        <is>
          <t>خیر</t>
        </is>
      </c>
      <c r="AR21" s="36" t="inlineStr">
        <is>
          <t>فروشنده سبد</t>
        </is>
      </c>
      <c r="AS21" s="36" t="inlineStr">
        <is>
          <t>سبد پلاستیکی</t>
        </is>
      </c>
      <c r="AX21" s="63" t="inlineStr">
        <is>
          <t>BD012</t>
        </is>
      </c>
      <c r="AZ21" s="36" t="inlineStr">
        <is>
          <t>سایر ورود</t>
        </is>
      </c>
    </row>
    <row r="22">
      <c r="B22" s="63" t="inlineStr">
        <is>
          <t>C013</t>
        </is>
      </c>
      <c r="C22" s="36" t="inlineStr">
        <is>
          <t>میرقربان موسویان</t>
        </is>
      </c>
      <c r="D22" s="63" t="inlineStr">
        <is>
          <t>باغدار</t>
        </is>
      </c>
      <c r="E22" s="36" t="n"/>
      <c r="F22" s="36" t="inlineStr">
        <is>
          <t>طرف حساب</t>
        </is>
      </c>
      <c r="G22" s="64" t="n">
        <v>0</v>
      </c>
      <c r="I22" s="36" t="inlineStr">
        <is>
          <t>سایر خروج</t>
        </is>
      </c>
      <c r="J22" s="63" t="inlineStr">
        <is>
          <t>خروج</t>
        </is>
      </c>
      <c r="K22" s="63" t="inlineStr">
        <is>
          <t>سایر</t>
        </is>
      </c>
      <c r="L22" s="63" t="inlineStr">
        <is>
          <t>بله</t>
        </is>
      </c>
      <c r="M22" s="63" t="inlineStr">
        <is>
          <t>بله</t>
        </is>
      </c>
      <c r="N22" s="63" t="inlineStr">
        <is>
          <t>وزن</t>
        </is>
      </c>
      <c r="O22" s="63" t="inlineStr">
        <is>
          <t>بدهکار</t>
        </is>
      </c>
      <c r="P22" s="63" t="inlineStr">
        <is>
          <t>X011</t>
        </is>
      </c>
      <c r="Q22" s="63" t="inlineStr">
        <is>
          <t>بستانکار</t>
        </is>
      </c>
      <c r="R22" s="63" t="inlineStr">
        <is>
          <t>هیچ</t>
        </is>
      </c>
      <c r="S22" s="63" t="inlineStr">
        <is>
          <t>—</t>
        </is>
      </c>
      <c r="T22" s="63" t="n"/>
      <c r="U22" s="63" t="n"/>
      <c r="V22" s="63" t="n"/>
      <c r="W22" s="63" t="inlineStr">
        <is>
          <t>بله</t>
        </is>
      </c>
      <c r="AH22" s="36" t="inlineStr">
        <is>
          <t>گریپ‌فرویت</t>
        </is>
      </c>
      <c r="AI22" s="36" t="inlineStr">
        <is>
          <t>گریپ‌فرویت</t>
        </is>
      </c>
      <c r="AR22" s="36" t="inlineStr">
        <is>
          <t>فروشنده سبد</t>
        </is>
      </c>
      <c r="AS22" s="36" t="inlineStr">
        <is>
          <t>سبد چوبی</t>
        </is>
      </c>
      <c r="AX22" s="63" t="inlineStr">
        <is>
          <t>BD013</t>
        </is>
      </c>
      <c r="AZ22" s="36" t="inlineStr">
        <is>
          <t>سایر خروج</t>
        </is>
      </c>
    </row>
    <row r="23">
      <c r="B23" s="63" t="inlineStr">
        <is>
          <t>C014</t>
        </is>
      </c>
      <c r="C23" s="36" t="inlineStr">
        <is>
          <t>باباجانی (تراجیکلا)</t>
        </is>
      </c>
      <c r="D23" s="63" t="inlineStr">
        <is>
          <t>باغدار</t>
        </is>
      </c>
      <c r="E23" s="36" t="n"/>
      <c r="F23" s="36" t="inlineStr">
        <is>
          <t>طرف حساب</t>
        </is>
      </c>
      <c r="G23" s="64" t="n">
        <v>0</v>
      </c>
      <c r="I23" s="36" t="inlineStr">
        <is>
          <t>هزینه باسکول نقدی (درآمد)</t>
        </is>
      </c>
      <c r="J23" s="63" t="inlineStr">
        <is>
          <t>—</t>
        </is>
      </c>
      <c r="K23" s="63" t="inlineStr">
        <is>
          <t>درآمد</t>
        </is>
      </c>
      <c r="L23" s="63" t="inlineStr">
        <is>
          <t>خیر</t>
        </is>
      </c>
      <c r="M23" s="63" t="inlineStr">
        <is>
          <t>خیر</t>
        </is>
      </c>
      <c r="N23" s="63" t="inlineStr">
        <is>
          <t>مبلغ</t>
        </is>
      </c>
      <c r="O23" s="63" t="inlineStr">
        <is>
          <t>—</t>
        </is>
      </c>
      <c r="P23" s="63" t="n"/>
      <c r="Q23" s="63" t="inlineStr">
        <is>
          <t>—</t>
        </is>
      </c>
      <c r="R23" s="63" t="inlineStr">
        <is>
          <t>پوز</t>
        </is>
      </c>
      <c r="S23" s="63" t="inlineStr">
        <is>
          <t>بدهکار</t>
        </is>
      </c>
      <c r="T23" s="63" t="inlineStr">
        <is>
          <t>BN02</t>
        </is>
      </c>
      <c r="U23" s="63" t="inlineStr">
        <is>
          <t>X002</t>
        </is>
      </c>
      <c r="V23" s="63" t="n"/>
      <c r="W23" s="63" t="inlineStr">
        <is>
          <t>بله</t>
        </is>
      </c>
      <c r="AH23" s="36" t="inlineStr">
        <is>
          <t>خرمالو</t>
        </is>
      </c>
      <c r="AI23" s="36" t="inlineStr">
        <is>
          <t>سایر</t>
        </is>
      </c>
      <c r="AR23" s="36" t="inlineStr">
        <is>
          <t>فروشنده سبد</t>
        </is>
      </c>
      <c r="AS23" s="36" t="inlineStr">
        <is>
          <t>سبد مقوایی</t>
        </is>
      </c>
      <c r="AX23" s="63" t="inlineStr">
        <is>
          <t>BD014</t>
        </is>
      </c>
      <c r="AZ23" s="36" t="inlineStr">
        <is>
          <t>هزینه باسکول نقدی (درآمد)</t>
        </is>
      </c>
    </row>
    <row r="24">
      <c r="B24" s="63" t="inlineStr">
        <is>
          <t>C015</t>
        </is>
      </c>
      <c r="C24" s="36" t="inlineStr">
        <is>
          <t>کاظم میرزازاده</t>
        </is>
      </c>
      <c r="D24" s="63" t="inlineStr">
        <is>
          <t>باغدار</t>
        </is>
      </c>
      <c r="E24" s="36" t="n"/>
      <c r="F24" s="36" t="inlineStr">
        <is>
          <t>طرف حساب</t>
        </is>
      </c>
      <c r="G24" s="64" t="n">
        <v>0</v>
      </c>
      <c r="I24" s="36" t="inlineStr">
        <is>
          <t>خرید سبد</t>
        </is>
      </c>
      <c r="J24" s="63" t="inlineStr">
        <is>
          <t>ورود</t>
        </is>
      </c>
      <c r="K24" s="63" t="inlineStr">
        <is>
          <t>خرید</t>
        </is>
      </c>
      <c r="L24" s="63" t="inlineStr">
        <is>
          <t>خیر</t>
        </is>
      </c>
      <c r="M24" s="63" t="inlineStr">
        <is>
          <t>بله</t>
        </is>
      </c>
      <c r="N24" s="63" t="inlineStr">
        <is>
          <t>مبلغ</t>
        </is>
      </c>
      <c r="O24" s="63" t="inlineStr">
        <is>
          <t>بستانکار</t>
        </is>
      </c>
      <c r="P24" s="63" t="inlineStr">
        <is>
          <t>X005</t>
        </is>
      </c>
      <c r="Q24" s="63" t="inlineStr">
        <is>
          <t>بدهکار</t>
        </is>
      </c>
      <c r="R24" s="63" t="inlineStr">
        <is>
          <t>هیچ</t>
        </is>
      </c>
      <c r="S24" s="63" t="inlineStr">
        <is>
          <t>—</t>
        </is>
      </c>
      <c r="T24" s="63" t="n"/>
      <c r="U24" s="63" t="n"/>
      <c r="V24" s="63" t="n"/>
      <c r="W24" s="63" t="inlineStr">
        <is>
          <t>خیر</t>
        </is>
      </c>
      <c r="AH24" s="36" t="inlineStr">
        <is>
          <t>نارنج</t>
        </is>
      </c>
      <c r="AI24" s="36" t="inlineStr">
        <is>
          <t>سایر</t>
        </is>
      </c>
      <c r="AR24" s="36" t="inlineStr">
        <is>
          <t>فروشنده سبد</t>
        </is>
      </c>
      <c r="AS24" s="36" t="inlineStr">
        <is>
          <t>سایر</t>
        </is>
      </c>
      <c r="AX24" s="63" t="inlineStr">
        <is>
          <t>BD015</t>
        </is>
      </c>
    </row>
    <row r="25">
      <c r="B25" s="63" t="inlineStr">
        <is>
          <t>C016</t>
        </is>
      </c>
      <c r="C25" s="36" t="inlineStr">
        <is>
          <t>علی جانبرارپور</t>
        </is>
      </c>
      <c r="D25" s="63" t="inlineStr">
        <is>
          <t>باغدار</t>
        </is>
      </c>
      <c r="E25" s="36" t="n"/>
      <c r="F25" s="36" t="inlineStr">
        <is>
          <t>طرف حساب</t>
        </is>
      </c>
      <c r="G25" s="64" t="n">
        <v>0</v>
      </c>
      <c r="I25" s="36" t="inlineStr">
        <is>
          <t>فروش سبد</t>
        </is>
      </c>
      <c r="J25" s="63" t="inlineStr">
        <is>
          <t>خروج</t>
        </is>
      </c>
      <c r="K25" s="63" t="inlineStr">
        <is>
          <t>فروش</t>
        </is>
      </c>
      <c r="L25" s="63" t="inlineStr">
        <is>
          <t>خیر</t>
        </is>
      </c>
      <c r="M25" s="63" t="inlineStr">
        <is>
          <t>بله</t>
        </is>
      </c>
      <c r="N25" s="63" t="inlineStr">
        <is>
          <t>مبلغ</t>
        </is>
      </c>
      <c r="O25" s="63" t="inlineStr">
        <is>
          <t>بدهکار</t>
        </is>
      </c>
      <c r="P25" s="63" t="inlineStr">
        <is>
          <t>X007</t>
        </is>
      </c>
      <c r="Q25" s="63" t="inlineStr">
        <is>
          <t>بستانکار</t>
        </is>
      </c>
      <c r="R25" s="63" t="inlineStr">
        <is>
          <t>هیچ</t>
        </is>
      </c>
      <c r="S25" s="63" t="inlineStr">
        <is>
          <t>—</t>
        </is>
      </c>
      <c r="T25" s="63" t="n"/>
      <c r="U25" s="63" t="n"/>
      <c r="V25" s="63" t="n"/>
      <c r="W25" s="63" t="inlineStr">
        <is>
          <t>خیر</t>
        </is>
      </c>
      <c r="AH25" s="36" t="n"/>
      <c r="AI25" s="36" t="n"/>
      <c r="AR25" s="36" t="inlineStr">
        <is>
          <t>تأمین‌کننده</t>
        </is>
      </c>
      <c r="AS25" s="36" t="inlineStr">
        <is>
          <t>مواد بسته‌بندی</t>
        </is>
      </c>
      <c r="AX25" s="63" t="inlineStr">
        <is>
          <t>BD016</t>
        </is>
      </c>
    </row>
    <row r="26">
      <c r="B26" s="63" t="inlineStr">
        <is>
          <t>C017</t>
        </is>
      </c>
      <c r="C26" s="36" t="inlineStr">
        <is>
          <t>لیلا محمودنیا</t>
        </is>
      </c>
      <c r="D26" s="63" t="inlineStr">
        <is>
          <t>باغدار</t>
        </is>
      </c>
      <c r="E26" s="36" t="n"/>
      <c r="F26" s="36" t="inlineStr">
        <is>
          <t>طرف حساب</t>
        </is>
      </c>
      <c r="G26" s="64" t="n">
        <v>0</v>
      </c>
      <c r="I26" s="36" t="inlineStr">
        <is>
          <t>مرجوعی خرید سبد</t>
        </is>
      </c>
      <c r="J26" s="63" t="inlineStr">
        <is>
          <t>خروج</t>
        </is>
      </c>
      <c r="K26" s="63" t="inlineStr">
        <is>
          <t>خرید</t>
        </is>
      </c>
      <c r="L26" s="63" t="inlineStr">
        <is>
          <t>خیر</t>
        </is>
      </c>
      <c r="M26" s="63" t="inlineStr">
        <is>
          <t>بله</t>
        </is>
      </c>
      <c r="N26" s="63" t="inlineStr">
        <is>
          <t>مبلغ</t>
        </is>
      </c>
      <c r="O26" s="63" t="inlineStr">
        <is>
          <t>بدهکار</t>
        </is>
      </c>
      <c r="P26" s="63" t="inlineStr">
        <is>
          <t>X005</t>
        </is>
      </c>
      <c r="Q26" s="63" t="inlineStr">
        <is>
          <t>بستانکار</t>
        </is>
      </c>
      <c r="R26" s="63" t="inlineStr">
        <is>
          <t>هیچ</t>
        </is>
      </c>
      <c r="S26" s="63" t="inlineStr">
        <is>
          <t>—</t>
        </is>
      </c>
      <c r="T26" s="63" t="n"/>
      <c r="U26" s="63" t="n"/>
      <c r="V26" s="63" t="n"/>
      <c r="W26" s="63" t="inlineStr">
        <is>
          <t>خیر</t>
        </is>
      </c>
      <c r="AH26" s="36" t="n"/>
      <c r="AI26" s="36" t="n"/>
      <c r="AR26" s="36" t="inlineStr">
        <is>
          <t>تأمین‌کننده</t>
        </is>
      </c>
      <c r="AS26" s="36" t="inlineStr">
        <is>
          <t>واکس و رنگ</t>
        </is>
      </c>
      <c r="AX26" s="63" t="inlineStr">
        <is>
          <t>BD017</t>
        </is>
      </c>
    </row>
    <row r="27">
      <c r="B27" s="63" t="inlineStr">
        <is>
          <t>C018</t>
        </is>
      </c>
      <c r="C27" s="36" t="inlineStr">
        <is>
          <t>اسماعیل خانیا</t>
        </is>
      </c>
      <c r="D27" s="63" t="inlineStr">
        <is>
          <t>باغدار</t>
        </is>
      </c>
      <c r="E27" s="36" t="n"/>
      <c r="F27" s="36" t="inlineStr">
        <is>
          <t>طرف حساب</t>
        </is>
      </c>
      <c r="G27" s="64" t="n">
        <v>0</v>
      </c>
      <c r="I27" s="36" t="inlineStr">
        <is>
          <t>مرجوعی فروش سبد</t>
        </is>
      </c>
      <c r="J27" s="63" t="inlineStr">
        <is>
          <t>ورود</t>
        </is>
      </c>
      <c r="K27" s="63" t="inlineStr">
        <is>
          <t>فروش</t>
        </is>
      </c>
      <c r="L27" s="63" t="inlineStr">
        <is>
          <t>خیر</t>
        </is>
      </c>
      <c r="M27" s="63" t="inlineStr">
        <is>
          <t>بله</t>
        </is>
      </c>
      <c r="N27" s="63" t="inlineStr">
        <is>
          <t>مبلغ</t>
        </is>
      </c>
      <c r="O27" s="63" t="inlineStr">
        <is>
          <t>بستانکار</t>
        </is>
      </c>
      <c r="P27" s="63" t="inlineStr">
        <is>
          <t>X007</t>
        </is>
      </c>
      <c r="Q27" s="63" t="inlineStr">
        <is>
          <t>بدهکار</t>
        </is>
      </c>
      <c r="R27" s="63" t="inlineStr">
        <is>
          <t>هیچ</t>
        </is>
      </c>
      <c r="S27" s="63" t="inlineStr">
        <is>
          <t>—</t>
        </is>
      </c>
      <c r="T27" s="63" t="n"/>
      <c r="U27" s="63" t="n"/>
      <c r="V27" s="63" t="n"/>
      <c r="W27" s="63" t="inlineStr">
        <is>
          <t>خیر</t>
        </is>
      </c>
      <c r="AH27" s="36" t="n"/>
      <c r="AI27" s="36" t="n"/>
      <c r="AR27" s="36" t="inlineStr">
        <is>
          <t>تأمین‌کننده</t>
        </is>
      </c>
      <c r="AS27" s="36" t="inlineStr">
        <is>
          <t>حمل‌ونقل</t>
        </is>
      </c>
      <c r="AX27" s="63" t="inlineStr">
        <is>
          <t>BD018</t>
        </is>
      </c>
    </row>
    <row r="28">
      <c r="B28" s="63" t="inlineStr">
        <is>
          <t>C019</t>
        </is>
      </c>
      <c r="C28" s="36" t="inlineStr">
        <is>
          <t>یوسف یوسف نژاد</t>
        </is>
      </c>
      <c r="D28" s="63" t="inlineStr">
        <is>
          <t>باغدار</t>
        </is>
      </c>
      <c r="E28" s="36" t="n"/>
      <c r="F28" s="36" t="inlineStr">
        <is>
          <t>طرف حساب</t>
        </is>
      </c>
      <c r="G28" s="64" t="n">
        <v>0</v>
      </c>
      <c r="I28" s="36" t="inlineStr">
        <is>
          <t>انتقال سبد بین انبار</t>
        </is>
      </c>
      <c r="J28" s="63" t="inlineStr">
        <is>
          <t>خروج</t>
        </is>
      </c>
      <c r="K28" s="63" t="inlineStr">
        <is>
          <t>انتقال</t>
        </is>
      </c>
      <c r="L28" s="63" t="inlineStr">
        <is>
          <t>خیر</t>
        </is>
      </c>
      <c r="M28" s="63" t="inlineStr">
        <is>
          <t>خیر</t>
        </is>
      </c>
      <c r="N28" s="63" t="inlineStr">
        <is>
          <t>هیچ</t>
        </is>
      </c>
      <c r="O28" s="63" t="inlineStr">
        <is>
          <t>—</t>
        </is>
      </c>
      <c r="P28" s="63" t="n"/>
      <c r="Q28" s="63" t="inlineStr">
        <is>
          <t>—</t>
        </is>
      </c>
      <c r="R28" s="63" t="inlineStr">
        <is>
          <t>هیچ</t>
        </is>
      </c>
      <c r="S28" s="63" t="inlineStr">
        <is>
          <t>—</t>
        </is>
      </c>
      <c r="T28" s="63" t="n"/>
      <c r="U28" s="63" t="n"/>
      <c r="V28" s="63" t="n"/>
      <c r="W28" s="63" t="inlineStr">
        <is>
          <t>خیر</t>
        </is>
      </c>
      <c r="AH28" s="36" t="n"/>
      <c r="AI28" s="36" t="n"/>
      <c r="AR28" s="36" t="inlineStr">
        <is>
          <t>تأمین‌کننده</t>
        </is>
      </c>
      <c r="AS28" s="36" t="inlineStr">
        <is>
          <t>خدمات</t>
        </is>
      </c>
      <c r="AX28" s="63" t="inlineStr">
        <is>
          <t>BD019</t>
        </is>
      </c>
    </row>
    <row r="29">
      <c r="B29" s="63" t="inlineStr">
        <is>
          <t>C020</t>
        </is>
      </c>
      <c r="C29" s="36" t="inlineStr">
        <is>
          <t>علی نوایی</t>
        </is>
      </c>
      <c r="D29" s="63" t="inlineStr">
        <is>
          <t>باغدار</t>
        </is>
      </c>
      <c r="E29" s="36" t="n"/>
      <c r="F29" s="36" t="inlineStr">
        <is>
          <t>طرف حساب</t>
        </is>
      </c>
      <c r="G29" s="64" t="n">
        <v>0</v>
      </c>
      <c r="I29" s="36" t="n"/>
      <c r="J29" s="63" t="n"/>
      <c r="K29" s="63" t="n"/>
      <c r="L29" s="63" t="n"/>
      <c r="M29" s="63" t="n"/>
      <c r="N29" s="63" t="n"/>
      <c r="O29" s="63" t="n"/>
      <c r="P29" s="63" t="n"/>
      <c r="Q29" s="63" t="n"/>
      <c r="R29" s="63" t="n"/>
      <c r="S29" s="63" t="n"/>
      <c r="T29" s="63" t="n"/>
      <c r="U29" s="63" t="n"/>
      <c r="V29" s="63" t="n"/>
      <c r="W29" s="63" t="n"/>
      <c r="AH29" s="36" t="n"/>
      <c r="AI29" s="36" t="n"/>
      <c r="AR29" s="36" t="inlineStr">
        <is>
          <t>کارمند</t>
        </is>
      </c>
      <c r="AS29" s="36" t="inlineStr">
        <is>
          <t>مدیرعامل</t>
        </is>
      </c>
      <c r="AX29" s="63" t="inlineStr">
        <is>
          <t>BD020</t>
        </is>
      </c>
    </row>
    <row r="30">
      <c r="B30" s="63" t="inlineStr">
        <is>
          <t>C021</t>
        </is>
      </c>
      <c r="C30" s="36" t="inlineStr">
        <is>
          <t>دومیری</t>
        </is>
      </c>
      <c r="D30" s="63" t="inlineStr">
        <is>
          <t>باغدار</t>
        </is>
      </c>
      <c r="E30" s="36" t="n"/>
      <c r="F30" s="36" t="inlineStr">
        <is>
          <t>طرف حساب</t>
        </is>
      </c>
      <c r="G30" s="64" t="n">
        <v>0</v>
      </c>
      <c r="I30" s="36" t="n"/>
      <c r="J30" s="63" t="n"/>
      <c r="K30" s="63" t="n"/>
      <c r="L30" s="63" t="n"/>
      <c r="M30" s="63" t="n"/>
      <c r="N30" s="63" t="n"/>
      <c r="O30" s="63" t="n"/>
      <c r="P30" s="63" t="n"/>
      <c r="Q30" s="63" t="n"/>
      <c r="R30" s="63" t="n"/>
      <c r="S30" s="63" t="n"/>
      <c r="T30" s="63" t="n"/>
      <c r="U30" s="63" t="n"/>
      <c r="V30" s="63" t="n"/>
      <c r="W30" s="63" t="n"/>
      <c r="AR30" s="36" t="inlineStr">
        <is>
          <t>کارمند</t>
        </is>
      </c>
      <c r="AS30" s="36" t="inlineStr">
        <is>
          <t>حسابدار</t>
        </is>
      </c>
    </row>
    <row r="31">
      <c r="B31" s="63" t="inlineStr">
        <is>
          <t>C022</t>
        </is>
      </c>
      <c r="C31" s="36" t="inlineStr">
        <is>
          <t>شمسعلی علیجانی</t>
        </is>
      </c>
      <c r="D31" s="63" t="inlineStr">
        <is>
          <t>باغدار</t>
        </is>
      </c>
      <c r="E31" s="36" t="n"/>
      <c r="F31" s="36" t="inlineStr">
        <is>
          <t>طرف حساب</t>
        </is>
      </c>
      <c r="G31" s="64" t="n">
        <v>0</v>
      </c>
      <c r="I31" s="36" t="n"/>
      <c r="J31" s="63" t="n"/>
      <c r="K31" s="63" t="n"/>
      <c r="L31" s="63" t="n"/>
      <c r="M31" s="63" t="n"/>
      <c r="N31" s="63" t="n"/>
      <c r="O31" s="63" t="n"/>
      <c r="P31" s="63" t="n"/>
      <c r="Q31" s="63" t="n"/>
      <c r="R31" s="63" t="n"/>
      <c r="S31" s="63" t="n"/>
      <c r="T31" s="63" t="n"/>
      <c r="U31" s="63" t="n"/>
      <c r="V31" s="63" t="n"/>
      <c r="W31" s="63" t="n"/>
      <c r="AR31" s="36" t="inlineStr">
        <is>
          <t>کارمند</t>
        </is>
      </c>
      <c r="AS31" s="36" t="inlineStr">
        <is>
          <t>فروشنده</t>
        </is>
      </c>
    </row>
    <row r="32">
      <c r="B32" s="63" t="inlineStr">
        <is>
          <t>C023</t>
        </is>
      </c>
      <c r="C32" s="36" t="inlineStr">
        <is>
          <t>یوسف نیا (موزیج)</t>
        </is>
      </c>
      <c r="D32" s="63" t="inlineStr">
        <is>
          <t>باغدار</t>
        </is>
      </c>
      <c r="E32" s="36" t="n"/>
      <c r="F32" s="36" t="inlineStr">
        <is>
          <t>طرف حساب</t>
        </is>
      </c>
      <c r="G32" s="64" t="n">
        <v>0</v>
      </c>
      <c r="I32" s="36" t="n"/>
      <c r="J32" s="63" t="n"/>
      <c r="K32" s="63" t="n"/>
      <c r="L32" s="63" t="n"/>
      <c r="M32" s="63" t="n"/>
      <c r="N32" s="63" t="n"/>
      <c r="O32" s="63" t="n"/>
      <c r="P32" s="63" t="n"/>
      <c r="Q32" s="63" t="n"/>
      <c r="R32" s="63" t="n"/>
      <c r="S32" s="63" t="n"/>
      <c r="T32" s="63" t="n"/>
      <c r="U32" s="63" t="n"/>
      <c r="V32" s="63" t="n"/>
      <c r="W32" s="63" t="n"/>
      <c r="AR32" s="36" t="inlineStr">
        <is>
          <t>کارمند</t>
        </is>
      </c>
      <c r="AS32" s="36" t="inlineStr">
        <is>
          <t>انباردار</t>
        </is>
      </c>
    </row>
    <row r="33">
      <c r="B33" s="63" t="inlineStr">
        <is>
          <t>C024</t>
        </is>
      </c>
      <c r="C33" s="36" t="inlineStr">
        <is>
          <t>کاظم ذبیح پور</t>
        </is>
      </c>
      <c r="D33" s="63" t="inlineStr">
        <is>
          <t>باغدار</t>
        </is>
      </c>
      <c r="E33" s="36" t="n"/>
      <c r="F33" s="36" t="inlineStr">
        <is>
          <t>طرف حساب</t>
        </is>
      </c>
      <c r="G33" s="64" t="n">
        <v>0</v>
      </c>
      <c r="I33" s="36" t="n"/>
      <c r="J33" s="63" t="n"/>
      <c r="K33" s="63" t="n"/>
      <c r="L33" s="63" t="n"/>
      <c r="M33" s="63" t="n"/>
      <c r="N33" s="63" t="n"/>
      <c r="O33" s="63" t="n"/>
      <c r="P33" s="63" t="n"/>
      <c r="Q33" s="63" t="n"/>
      <c r="R33" s="63" t="n"/>
      <c r="S33" s="63" t="n"/>
      <c r="T33" s="63" t="n"/>
      <c r="U33" s="63" t="n"/>
      <c r="V33" s="63" t="n"/>
      <c r="W33" s="63" t="n"/>
      <c r="AR33" s="36" t="inlineStr">
        <is>
          <t>کارمند</t>
        </is>
      </c>
      <c r="AS33" s="36" t="inlineStr">
        <is>
          <t>سرپرست خط</t>
        </is>
      </c>
    </row>
    <row r="34">
      <c r="B34" s="63" t="inlineStr">
        <is>
          <t>C025</t>
        </is>
      </c>
      <c r="C34" s="36" t="inlineStr">
        <is>
          <t>علی غلام رضاپور</t>
        </is>
      </c>
      <c r="D34" s="63" t="inlineStr">
        <is>
          <t>باغدار</t>
        </is>
      </c>
      <c r="E34" s="36" t="n"/>
      <c r="F34" s="36" t="inlineStr">
        <is>
          <t>طرف حساب</t>
        </is>
      </c>
      <c r="G34" s="64" t="n">
        <v>0</v>
      </c>
      <c r="AR34" s="36" t="inlineStr">
        <is>
          <t>کارمند</t>
        </is>
      </c>
      <c r="AS34" s="36" t="inlineStr">
        <is>
          <t>کارگر</t>
        </is>
      </c>
    </row>
    <row r="35">
      <c r="B35" s="63" t="inlineStr">
        <is>
          <t>C026</t>
        </is>
      </c>
      <c r="C35" s="36" t="inlineStr">
        <is>
          <t>حسین شکرالله نیا</t>
        </is>
      </c>
      <c r="D35" s="63" t="inlineStr">
        <is>
          <t>باغدار</t>
        </is>
      </c>
      <c r="E35" s="36" t="n"/>
      <c r="F35" s="36" t="inlineStr">
        <is>
          <t>طرف حساب</t>
        </is>
      </c>
      <c r="G35" s="64" t="n">
        <v>0</v>
      </c>
      <c r="AR35" s="36" t="inlineStr">
        <is>
          <t>سایر حساب</t>
        </is>
      </c>
      <c r="AS35" s="36" t="inlineStr">
        <is>
          <t>صندوق</t>
        </is>
      </c>
    </row>
    <row r="36">
      <c r="B36" s="63" t="inlineStr">
        <is>
          <t>C027</t>
        </is>
      </c>
      <c r="C36" s="36" t="inlineStr">
        <is>
          <t>سید مهدی حسینی (دوست حاج هوشنگ)</t>
        </is>
      </c>
      <c r="D36" s="63" t="inlineStr">
        <is>
          <t>باغدار</t>
        </is>
      </c>
      <c r="E36" s="36" t="n"/>
      <c r="F36" s="36" t="inlineStr">
        <is>
          <t>طرف حساب</t>
        </is>
      </c>
      <c r="G36" s="64" t="n">
        <v>0</v>
      </c>
      <c r="AR36" s="36" t="inlineStr">
        <is>
          <t>سایر حساب</t>
        </is>
      </c>
      <c r="AS36" s="36" t="inlineStr">
        <is>
          <t>موجودی</t>
        </is>
      </c>
    </row>
    <row r="37">
      <c r="B37" s="63" t="inlineStr">
        <is>
          <t>C028</t>
        </is>
      </c>
      <c r="C37" s="36" t="inlineStr">
        <is>
          <t>آقای عزیزی</t>
        </is>
      </c>
      <c r="D37" s="63" t="inlineStr">
        <is>
          <t>باغدار</t>
        </is>
      </c>
      <c r="E37" s="36" t="n"/>
      <c r="F37" s="36" t="inlineStr">
        <is>
          <t>طرف حساب</t>
        </is>
      </c>
      <c r="G37" s="64" t="n">
        <v>0</v>
      </c>
      <c r="AR37" s="36" t="inlineStr">
        <is>
          <t>سایر حساب</t>
        </is>
      </c>
      <c r="AS37" s="36" t="inlineStr">
        <is>
          <t>درآمد</t>
        </is>
      </c>
    </row>
    <row r="38">
      <c r="B38" s="63" t="inlineStr">
        <is>
          <t>C029</t>
        </is>
      </c>
      <c r="C38" s="36" t="inlineStr">
        <is>
          <t>آقای حبیبی (بانک صادرات)</t>
        </is>
      </c>
      <c r="D38" s="63" t="inlineStr">
        <is>
          <t>باغدار</t>
        </is>
      </c>
      <c r="E38" s="36" t="n"/>
      <c r="F38" s="36" t="inlineStr">
        <is>
          <t>طرف حساب</t>
        </is>
      </c>
      <c r="G38" s="64" t="n">
        <v>0</v>
      </c>
      <c r="AR38" s="36" t="inlineStr">
        <is>
          <t>سایر حساب</t>
        </is>
      </c>
      <c r="AS38" s="36" t="inlineStr">
        <is>
          <t>هزینه</t>
        </is>
      </c>
    </row>
    <row r="39">
      <c r="B39" s="63" t="inlineStr">
        <is>
          <t>C030</t>
        </is>
      </c>
      <c r="C39" s="36" t="inlineStr">
        <is>
          <t>محمد علی اصغرزاده</t>
        </is>
      </c>
      <c r="D39" s="63" t="inlineStr">
        <is>
          <t>باغدار</t>
        </is>
      </c>
      <c r="E39" s="36" t="n"/>
      <c r="F39" s="36" t="inlineStr">
        <is>
          <t>طرف حساب</t>
        </is>
      </c>
      <c r="G39" s="64" t="n">
        <v>0</v>
      </c>
      <c r="AR39" s="36" t="inlineStr">
        <is>
          <t>سایر حساب</t>
        </is>
      </c>
      <c r="AS39" s="36" t="inlineStr">
        <is>
          <t>انعام و پاداش</t>
        </is>
      </c>
    </row>
    <row r="40">
      <c r="B40" s="63" t="inlineStr">
        <is>
          <t>C031</t>
        </is>
      </c>
      <c r="C40" s="36" t="inlineStr">
        <is>
          <t>فغان پور</t>
        </is>
      </c>
      <c r="D40" s="63" t="inlineStr">
        <is>
          <t>باغدار</t>
        </is>
      </c>
      <c r="E40" s="36" t="n"/>
      <c r="F40" s="36" t="inlineStr">
        <is>
          <t>طرف حساب</t>
        </is>
      </c>
      <c r="G40" s="64" t="n">
        <v>0</v>
      </c>
      <c r="AR40" s="36" t="inlineStr">
        <is>
          <t>سایر حساب</t>
        </is>
      </c>
      <c r="AS40" s="36" t="inlineStr">
        <is>
          <t>چک پرداختی</t>
        </is>
      </c>
    </row>
    <row r="41">
      <c r="B41" s="63" t="inlineStr">
        <is>
          <t>C032</t>
        </is>
      </c>
      <c r="C41" s="36" t="inlineStr">
        <is>
          <t>عباس پور (بهنمیر)</t>
        </is>
      </c>
      <c r="D41" s="63" t="inlineStr">
        <is>
          <t>باغدار</t>
        </is>
      </c>
      <c r="E41" s="36" t="n"/>
      <c r="F41" s="36" t="inlineStr">
        <is>
          <t>طرف حساب</t>
        </is>
      </c>
      <c r="G41" s="64" t="n">
        <v>0</v>
      </c>
      <c r="AR41" s="36" t="inlineStr">
        <is>
          <t>سایر حساب</t>
        </is>
      </c>
      <c r="AS41" s="36" t="inlineStr">
        <is>
          <t>حساب واسط</t>
        </is>
      </c>
    </row>
    <row r="42">
      <c r="B42" s="63" t="inlineStr">
        <is>
          <t>C033</t>
        </is>
      </c>
      <c r="C42" s="36" t="inlineStr">
        <is>
          <t>رمضان خانیا (فرهاد پلنگ)</t>
        </is>
      </c>
      <c r="D42" s="63" t="inlineStr">
        <is>
          <t>باغدار</t>
        </is>
      </c>
      <c r="E42" s="36" t="n"/>
      <c r="F42" s="36" t="inlineStr">
        <is>
          <t>طرف حساب</t>
        </is>
      </c>
      <c r="G42" s="64" t="n">
        <v>0</v>
      </c>
      <c r="AR42" s="36" t="inlineStr">
        <is>
          <t>سایر حساب</t>
        </is>
      </c>
      <c r="AS42" s="36" t="inlineStr">
        <is>
          <t>مالیات</t>
        </is>
      </c>
    </row>
    <row r="43">
      <c r="B43" s="63" t="inlineStr">
        <is>
          <t>C034</t>
        </is>
      </c>
      <c r="C43" s="36" t="inlineStr">
        <is>
          <t>محمد رضایی</t>
        </is>
      </c>
      <c r="D43" s="63" t="inlineStr">
        <is>
          <t>باغدار</t>
        </is>
      </c>
      <c r="E43" s="36" t="n"/>
      <c r="F43" s="36" t="inlineStr">
        <is>
          <t>طرف حساب</t>
        </is>
      </c>
      <c r="G43" s="64" t="n">
        <v>0</v>
      </c>
      <c r="AR43" s="36" t="inlineStr">
        <is>
          <t>باسکول دیگران</t>
        </is>
      </c>
      <c r="AS43" s="36" t="inlineStr">
        <is>
          <t>باسکول محلی</t>
        </is>
      </c>
    </row>
    <row r="44">
      <c r="B44" s="63" t="inlineStr">
        <is>
          <t>C035</t>
        </is>
      </c>
      <c r="C44" s="36" t="inlineStr">
        <is>
          <t>داریوش اسماعیلی</t>
        </is>
      </c>
      <c r="D44" s="63" t="inlineStr">
        <is>
          <t>باغدار</t>
        </is>
      </c>
      <c r="E44" s="36" t="n"/>
      <c r="F44" s="36" t="inlineStr">
        <is>
          <t>طرف حساب</t>
        </is>
      </c>
      <c r="G44" s="64" t="n">
        <v>0</v>
      </c>
      <c r="AR44" s="36" t="inlineStr">
        <is>
          <t>باسکول دیگران</t>
        </is>
      </c>
      <c r="AS44" s="36" t="inlineStr">
        <is>
          <t>باسکول خصوصی</t>
        </is>
      </c>
    </row>
    <row r="45">
      <c r="B45" s="63" t="inlineStr">
        <is>
          <t>C036</t>
        </is>
      </c>
      <c r="C45" s="36" t="inlineStr">
        <is>
          <t>محسن قبادی</t>
        </is>
      </c>
      <c r="D45" s="63" t="inlineStr">
        <is>
          <t>باغدار</t>
        </is>
      </c>
      <c r="E45" s="36" t="n"/>
      <c r="F45" s="36" t="inlineStr">
        <is>
          <t>طرف حساب</t>
        </is>
      </c>
      <c r="G45" s="64" t="n">
        <v>0</v>
      </c>
      <c r="AR45" s="36" t="inlineStr">
        <is>
          <t>دارایی ثابت</t>
        </is>
      </c>
      <c r="AS45" s="36" t="inlineStr">
        <is>
          <t>زمین و ساختمان</t>
        </is>
      </c>
    </row>
    <row r="46">
      <c r="B46" s="63" t="inlineStr">
        <is>
          <t>C037</t>
        </is>
      </c>
      <c r="C46" s="36" t="inlineStr">
        <is>
          <t>خانم قلی پور (یوسف نیا)</t>
        </is>
      </c>
      <c r="D46" s="63" t="inlineStr">
        <is>
          <t>باغدار</t>
        </is>
      </c>
      <c r="E46" s="36" t="n"/>
      <c r="F46" s="36" t="inlineStr">
        <is>
          <t>طرف حساب</t>
        </is>
      </c>
      <c r="G46" s="64" t="n">
        <v>0</v>
      </c>
      <c r="AR46" s="36" t="inlineStr">
        <is>
          <t>دارایی ثابت</t>
        </is>
      </c>
      <c r="AS46" s="36" t="inlineStr">
        <is>
          <t>خودرو و حمل‌ونقل</t>
        </is>
      </c>
    </row>
    <row r="47">
      <c r="B47" s="63" t="inlineStr">
        <is>
          <t>C038</t>
        </is>
      </c>
      <c r="C47" s="36" t="inlineStr">
        <is>
          <t>مهدی ولیپور</t>
        </is>
      </c>
      <c r="D47" s="63" t="inlineStr">
        <is>
          <t>باغدار</t>
        </is>
      </c>
      <c r="E47" s="36" t="n"/>
      <c r="F47" s="36" t="inlineStr">
        <is>
          <t>طرف حساب</t>
        </is>
      </c>
      <c r="G47" s="64" t="n">
        <v>0</v>
      </c>
      <c r="AR47" s="36" t="inlineStr">
        <is>
          <t>دارایی ثابت</t>
        </is>
      </c>
      <c r="AS47" s="36" t="inlineStr">
        <is>
          <t>ماشین‌آلات و تجهیزات</t>
        </is>
      </c>
    </row>
    <row r="48">
      <c r="B48" s="63" t="inlineStr">
        <is>
          <t>C039</t>
        </is>
      </c>
      <c r="C48" s="36" t="inlineStr">
        <is>
          <t>رمضان علی محمدیان</t>
        </is>
      </c>
      <c r="D48" s="63" t="inlineStr">
        <is>
          <t>باغدار</t>
        </is>
      </c>
      <c r="E48" s="36" t="n"/>
      <c r="F48" s="36" t="inlineStr">
        <is>
          <t>طرف حساب</t>
        </is>
      </c>
      <c r="G48" s="64" t="n">
        <v>0</v>
      </c>
      <c r="AR48" s="36" t="inlineStr">
        <is>
          <t>وام و تسهیلات</t>
        </is>
      </c>
      <c r="AS48" s="36" t="inlineStr">
        <is>
          <t>وام بانکی</t>
        </is>
      </c>
    </row>
    <row r="49">
      <c r="B49" s="63" t="inlineStr">
        <is>
          <t>C040</t>
        </is>
      </c>
      <c r="C49" s="36" t="inlineStr">
        <is>
          <t>محمود آهنگر</t>
        </is>
      </c>
      <c r="D49" s="63" t="inlineStr">
        <is>
          <t>باغدار</t>
        </is>
      </c>
      <c r="E49" s="36" t="n"/>
      <c r="F49" s="36" t="inlineStr">
        <is>
          <t>طرف حساب</t>
        </is>
      </c>
      <c r="G49" s="64" t="n">
        <v>0</v>
      </c>
      <c r="AR49" s="36" t="inlineStr">
        <is>
          <t>سرمایه و آورده صاحبان</t>
        </is>
      </c>
      <c r="AS49" s="36" t="inlineStr">
        <is>
          <t>سرمایه اولیه</t>
        </is>
      </c>
    </row>
    <row r="50">
      <c r="B50" s="63" t="inlineStr">
        <is>
          <t>C041</t>
        </is>
      </c>
      <c r="C50" s="36" t="inlineStr">
        <is>
          <t>محمد حسین عزیزی</t>
        </is>
      </c>
      <c r="D50" s="63" t="inlineStr">
        <is>
          <t>باغدار</t>
        </is>
      </c>
      <c r="E50" s="36" t="n"/>
      <c r="F50" s="36" t="inlineStr">
        <is>
          <t>طرف حساب</t>
        </is>
      </c>
      <c r="G50" s="64" t="n">
        <v>0</v>
      </c>
      <c r="AR50" s="36" t="inlineStr">
        <is>
          <t>سرمایه و آورده صاحبان</t>
        </is>
      </c>
      <c r="AS50" s="36" t="inlineStr">
        <is>
          <t>آورده نقدی</t>
        </is>
      </c>
    </row>
    <row r="51">
      <c r="B51" s="63" t="inlineStr">
        <is>
          <t>C042</t>
        </is>
      </c>
      <c r="C51" s="36" t="inlineStr">
        <is>
          <t>مغداد طلایی</t>
        </is>
      </c>
      <c r="D51" s="63" t="inlineStr">
        <is>
          <t>باغدار</t>
        </is>
      </c>
      <c r="E51" s="36" t="n"/>
      <c r="F51" s="36" t="inlineStr">
        <is>
          <t>طرف حساب</t>
        </is>
      </c>
      <c r="G51" s="64" t="n">
        <v>0</v>
      </c>
      <c r="AR51" s="36" t="inlineStr">
        <is>
          <t>سرمایه و آورده صاحبان</t>
        </is>
      </c>
      <c r="AS51" s="36" t="inlineStr">
        <is>
          <t>برداشت سرمایه</t>
        </is>
      </c>
    </row>
    <row r="52">
      <c r="B52" s="63" t="inlineStr">
        <is>
          <t>C043</t>
        </is>
      </c>
      <c r="C52" s="36" t="inlineStr">
        <is>
          <t>سید عبدالله میراقازاده</t>
        </is>
      </c>
      <c r="D52" s="63" t="inlineStr">
        <is>
          <t>باغدار</t>
        </is>
      </c>
      <c r="E52" s="36" t="n"/>
      <c r="F52" s="36" t="inlineStr">
        <is>
          <t>طرف حساب</t>
        </is>
      </c>
      <c r="G52" s="64" t="n">
        <v>0</v>
      </c>
    </row>
    <row r="53">
      <c r="B53" s="63" t="inlineStr">
        <is>
          <t>C044</t>
        </is>
      </c>
      <c r="C53" s="36" t="inlineStr">
        <is>
          <t>رجب پور</t>
        </is>
      </c>
      <c r="D53" s="63" t="inlineStr">
        <is>
          <t>باغدار</t>
        </is>
      </c>
      <c r="E53" s="36" t="n"/>
      <c r="F53" s="36" t="inlineStr">
        <is>
          <t>طرف حساب</t>
        </is>
      </c>
      <c r="G53" s="64" t="n">
        <v>0</v>
      </c>
    </row>
    <row r="54">
      <c r="B54" s="63" t="inlineStr">
        <is>
          <t>C045</t>
        </is>
      </c>
      <c r="C54" s="36" t="inlineStr">
        <is>
          <t>سعید بابایی</t>
        </is>
      </c>
      <c r="D54" s="63" t="inlineStr">
        <is>
          <t>باغدار</t>
        </is>
      </c>
      <c r="E54" s="36" t="n"/>
      <c r="F54" s="36" t="inlineStr">
        <is>
          <t>طرف حساب</t>
        </is>
      </c>
      <c r="G54" s="64" t="n">
        <v>0</v>
      </c>
    </row>
    <row r="55">
      <c r="B55" s="63" t="inlineStr">
        <is>
          <t>C046</t>
        </is>
      </c>
      <c r="C55" s="36" t="inlineStr">
        <is>
          <t>مطلب عیسی پور</t>
        </is>
      </c>
      <c r="D55" s="63" t="inlineStr">
        <is>
          <t>باغدار</t>
        </is>
      </c>
      <c r="E55" s="36" t="n"/>
      <c r="F55" s="36" t="inlineStr">
        <is>
          <t>طرف حساب</t>
        </is>
      </c>
      <c r="G55" s="64" t="n">
        <v>0</v>
      </c>
    </row>
    <row r="56">
      <c r="B56" s="63" t="inlineStr">
        <is>
          <t>C047</t>
        </is>
      </c>
      <c r="C56" s="36" t="inlineStr">
        <is>
          <t>عزیز زاده</t>
        </is>
      </c>
      <c r="D56" s="63" t="inlineStr">
        <is>
          <t>باغدار</t>
        </is>
      </c>
      <c r="E56" s="36" t="n"/>
      <c r="F56" s="36" t="inlineStr">
        <is>
          <t>طرف حساب</t>
        </is>
      </c>
      <c r="G56" s="64" t="n">
        <v>0</v>
      </c>
    </row>
    <row r="57">
      <c r="B57" s="63" t="inlineStr">
        <is>
          <t>C048</t>
        </is>
      </c>
      <c r="C57" s="36" t="inlineStr">
        <is>
          <t>تقی اصغرنیا</t>
        </is>
      </c>
      <c r="D57" s="63" t="inlineStr">
        <is>
          <t>باغدار</t>
        </is>
      </c>
      <c r="E57" s="36" t="n"/>
      <c r="F57" s="36" t="inlineStr">
        <is>
          <t>طرف حساب</t>
        </is>
      </c>
      <c r="G57" s="64" t="n">
        <v>0</v>
      </c>
    </row>
    <row r="58">
      <c r="B58" s="63" t="inlineStr">
        <is>
          <t>C049</t>
        </is>
      </c>
      <c r="C58" s="36" t="inlineStr">
        <is>
          <t>مدانلو</t>
        </is>
      </c>
      <c r="D58" s="63" t="inlineStr">
        <is>
          <t>باغدار</t>
        </is>
      </c>
      <c r="E58" s="36" t="n"/>
      <c r="F58" s="36" t="inlineStr">
        <is>
          <t>طرف حساب</t>
        </is>
      </c>
      <c r="G58" s="64" t="n">
        <v>0</v>
      </c>
    </row>
    <row r="59">
      <c r="B59" s="63" t="inlineStr">
        <is>
          <t>C050</t>
        </is>
      </c>
      <c r="C59" s="36" t="inlineStr">
        <is>
          <t>خدیجه اصغرنیا</t>
        </is>
      </c>
      <c r="D59" s="63" t="inlineStr">
        <is>
          <t>باغدار</t>
        </is>
      </c>
      <c r="E59" s="36" t="n"/>
      <c r="F59" s="36" t="inlineStr">
        <is>
          <t>طرف حساب</t>
        </is>
      </c>
      <c r="G59" s="64" t="n">
        <v>0</v>
      </c>
    </row>
    <row r="60">
      <c r="B60" s="63" t="inlineStr">
        <is>
          <t>C051</t>
        </is>
      </c>
      <c r="C60" s="36" t="inlineStr">
        <is>
          <t>اصغر عزیزی</t>
        </is>
      </c>
      <c r="D60" s="63" t="inlineStr">
        <is>
          <t>باغدار</t>
        </is>
      </c>
      <c r="E60" s="36" t="n"/>
      <c r="F60" s="36" t="inlineStr">
        <is>
          <t>طرف حساب</t>
        </is>
      </c>
      <c r="G60" s="64" t="n">
        <v>0</v>
      </c>
    </row>
    <row r="61">
      <c r="B61" s="63" t="inlineStr">
        <is>
          <t>C052</t>
        </is>
      </c>
      <c r="C61" s="36" t="inlineStr">
        <is>
          <t>غلامی</t>
        </is>
      </c>
      <c r="D61" s="63" t="inlineStr">
        <is>
          <t>باغدار</t>
        </is>
      </c>
      <c r="E61" s="36" t="n"/>
      <c r="F61" s="36" t="inlineStr">
        <is>
          <t>طرف حساب</t>
        </is>
      </c>
      <c r="G61" s="64" t="n">
        <v>0</v>
      </c>
    </row>
    <row r="62">
      <c r="B62" s="63" t="inlineStr">
        <is>
          <t>C053</t>
        </is>
      </c>
      <c r="C62" s="36" t="inlineStr">
        <is>
          <t>علی عزیزنژاد</t>
        </is>
      </c>
      <c r="D62" s="63" t="inlineStr">
        <is>
          <t>باغدار</t>
        </is>
      </c>
      <c r="E62" s="36" t="n"/>
      <c r="F62" s="36" t="inlineStr">
        <is>
          <t>طرف حساب</t>
        </is>
      </c>
      <c r="G62" s="64" t="n">
        <v>0</v>
      </c>
    </row>
    <row r="63">
      <c r="B63" s="63" t="inlineStr">
        <is>
          <t>C054</t>
        </is>
      </c>
      <c r="C63" s="36" t="inlineStr">
        <is>
          <t>حسن عیسی پور</t>
        </is>
      </c>
      <c r="D63" s="63" t="inlineStr">
        <is>
          <t>باغدار</t>
        </is>
      </c>
      <c r="E63" s="36" t="n"/>
      <c r="F63" s="36" t="inlineStr">
        <is>
          <t>طرف حساب</t>
        </is>
      </c>
      <c r="G63" s="64" t="n">
        <v>0</v>
      </c>
    </row>
    <row r="64">
      <c r="B64" s="63" t="inlineStr">
        <is>
          <t>C055</t>
        </is>
      </c>
      <c r="C64" s="36" t="inlineStr">
        <is>
          <t>عسگری محمودی</t>
        </is>
      </c>
      <c r="D64" s="63" t="inlineStr">
        <is>
          <t>باغدار</t>
        </is>
      </c>
      <c r="E64" s="36" t="n"/>
      <c r="F64" s="36" t="inlineStr">
        <is>
          <t>طرف حساب</t>
        </is>
      </c>
      <c r="G64" s="64" t="n">
        <v>0</v>
      </c>
    </row>
    <row r="65">
      <c r="B65" s="63" t="inlineStr">
        <is>
          <t>C056</t>
        </is>
      </c>
      <c r="C65" s="36" t="inlineStr">
        <is>
          <t>اسماعیل حیدری</t>
        </is>
      </c>
      <c r="D65" s="63" t="inlineStr">
        <is>
          <t>باغدار</t>
        </is>
      </c>
      <c r="E65" s="36" t="n"/>
      <c r="F65" s="36" t="inlineStr">
        <is>
          <t>طرف حساب</t>
        </is>
      </c>
      <c r="G65" s="64" t="n">
        <v>0</v>
      </c>
    </row>
    <row r="66">
      <c r="B66" s="63" t="inlineStr">
        <is>
          <t>C057</t>
        </is>
      </c>
      <c r="C66" s="36" t="inlineStr">
        <is>
          <t>کبری اصغرنیا</t>
        </is>
      </c>
      <c r="D66" s="63" t="inlineStr">
        <is>
          <t>باغدار</t>
        </is>
      </c>
      <c r="E66" s="36" t="n"/>
      <c r="F66" s="36" t="inlineStr">
        <is>
          <t>طرف حساب</t>
        </is>
      </c>
      <c r="G66" s="64" t="n">
        <v>0</v>
      </c>
    </row>
    <row r="67">
      <c r="B67" s="63" t="inlineStr">
        <is>
          <t>SL001</t>
        </is>
      </c>
      <c r="C67" s="36" t="inlineStr">
        <is>
          <t>قم — سید حسین حسینی</t>
        </is>
      </c>
      <c r="D67" s="63" t="inlineStr">
        <is>
          <t>بارفروش</t>
        </is>
      </c>
      <c r="E67" s="36" t="inlineStr">
        <is>
          <t>میدان بار شهرستان</t>
        </is>
      </c>
      <c r="F67" s="36" t="inlineStr">
        <is>
          <t>طرف حساب</t>
        </is>
      </c>
      <c r="G67" s="64" t="n">
        <v>0</v>
      </c>
    </row>
    <row r="68">
      <c r="B68" s="63" t="inlineStr">
        <is>
          <t>SL002</t>
        </is>
      </c>
      <c r="C68" s="36" t="inlineStr">
        <is>
          <t>مشهد — محمد توکلی</t>
        </is>
      </c>
      <c r="D68" s="63" t="inlineStr">
        <is>
          <t>بارفروش</t>
        </is>
      </c>
      <c r="E68" s="36" t="inlineStr">
        <is>
          <t>میدان بار شهرستان</t>
        </is>
      </c>
      <c r="F68" s="36" t="inlineStr">
        <is>
          <t>طرف حساب</t>
        </is>
      </c>
      <c r="G68" s="64" t="n">
        <v>0</v>
      </c>
    </row>
    <row r="69">
      <c r="B69" s="63" t="inlineStr">
        <is>
          <t>SL003</t>
        </is>
      </c>
      <c r="C69" s="36" t="inlineStr">
        <is>
          <t>اراک — پوریا خوش‌نمکیان</t>
        </is>
      </c>
      <c r="D69" s="63" t="inlineStr">
        <is>
          <t>بارفروش</t>
        </is>
      </c>
      <c r="E69" s="36" t="inlineStr">
        <is>
          <t>میدان بار شهرستان</t>
        </is>
      </c>
      <c r="F69" s="36" t="inlineStr">
        <is>
          <t>طرف حساب</t>
        </is>
      </c>
      <c r="G69" s="64" t="n">
        <v>0</v>
      </c>
    </row>
    <row r="70">
      <c r="B70" s="63" t="inlineStr">
        <is>
          <t>SL004</t>
        </is>
      </c>
      <c r="C70" s="36" t="inlineStr">
        <is>
          <t>تبریز — نورزاده</t>
        </is>
      </c>
      <c r="D70" s="63" t="inlineStr">
        <is>
          <t>بارفروش</t>
        </is>
      </c>
      <c r="E70" s="36" t="inlineStr">
        <is>
          <t>میدان بار شهرستان</t>
        </is>
      </c>
      <c r="F70" s="36" t="inlineStr">
        <is>
          <t>طرف حساب</t>
        </is>
      </c>
      <c r="G70" s="64" t="n">
        <v>0</v>
      </c>
    </row>
    <row r="71">
      <c r="B71" s="63" t="inlineStr">
        <is>
          <t>SL005</t>
        </is>
      </c>
      <c r="C71" s="36" t="inlineStr">
        <is>
          <t>زنجان — خانی</t>
        </is>
      </c>
      <c r="D71" s="63" t="inlineStr">
        <is>
          <t>بارفروش</t>
        </is>
      </c>
      <c r="E71" s="36" t="inlineStr">
        <is>
          <t>میدان بار شهرستان</t>
        </is>
      </c>
      <c r="F71" s="36" t="inlineStr">
        <is>
          <t>طرف حساب</t>
        </is>
      </c>
      <c r="G71" s="64" t="n">
        <v>0</v>
      </c>
    </row>
    <row r="72">
      <c r="B72" s="63" t="inlineStr">
        <is>
          <t>S001</t>
        </is>
      </c>
      <c r="C72" s="36" t="inlineStr">
        <is>
          <t>حسن کوچک‌زاده</t>
        </is>
      </c>
      <c r="D72" s="63" t="inlineStr">
        <is>
          <t>فروشنده سبد</t>
        </is>
      </c>
      <c r="E72" s="36" t="inlineStr">
        <is>
          <t>سبد پلاستیکی</t>
        </is>
      </c>
      <c r="F72" s="36" t="inlineStr">
        <is>
          <t>طرف حساب</t>
        </is>
      </c>
      <c r="G72" s="64" t="n">
        <v>0</v>
      </c>
    </row>
    <row r="73">
      <c r="B73" s="63" t="inlineStr">
        <is>
          <t>S002</t>
        </is>
      </c>
      <c r="C73" s="36" t="inlineStr">
        <is>
          <t>سید محمد موسویان</t>
        </is>
      </c>
      <c r="D73" s="63" t="inlineStr">
        <is>
          <t>فروشنده سبد</t>
        </is>
      </c>
      <c r="E73" s="36" t="inlineStr">
        <is>
          <t>سبد پلاستیکی</t>
        </is>
      </c>
      <c r="F73" s="36" t="inlineStr">
        <is>
          <t>طرف حساب</t>
        </is>
      </c>
      <c r="G73" s="64" t="n">
        <v>0</v>
      </c>
    </row>
    <row r="74">
      <c r="B74" s="63" t="inlineStr">
        <is>
          <t>S003</t>
        </is>
      </c>
      <c r="C74" s="36" t="inlineStr">
        <is>
          <t>سید ربیع موسویان</t>
        </is>
      </c>
      <c r="D74" s="63" t="inlineStr">
        <is>
          <t>فروشنده سبد</t>
        </is>
      </c>
      <c r="E74" s="36" t="inlineStr">
        <is>
          <t>سبد پلاستیکی</t>
        </is>
      </c>
      <c r="F74" s="36" t="inlineStr">
        <is>
          <t>طرف حساب</t>
        </is>
      </c>
      <c r="G74" s="64" t="n">
        <v>0</v>
      </c>
    </row>
    <row r="75">
      <c r="B75" s="63" t="inlineStr">
        <is>
          <t>E001</t>
        </is>
      </c>
      <c r="C75" s="36" t="inlineStr">
        <is>
          <t>قاسم زاهدی تیر</t>
        </is>
      </c>
      <c r="D75" s="63" t="inlineStr">
        <is>
          <t>کارمند</t>
        </is>
      </c>
      <c r="E75" s="36" t="inlineStr">
        <is>
          <t>مدیرعامل</t>
        </is>
      </c>
      <c r="F75" s="36" t="inlineStr">
        <is>
          <t>طرف حساب</t>
        </is>
      </c>
      <c r="G75" s="64" t="n">
        <v>0</v>
      </c>
    </row>
    <row r="76">
      <c r="B76" s="63" t="inlineStr">
        <is>
          <t>E002</t>
        </is>
      </c>
      <c r="C76" s="36" t="inlineStr">
        <is>
          <t>(نام حسابدار)</t>
        </is>
      </c>
      <c r="D76" s="63" t="inlineStr">
        <is>
          <t>کارمند</t>
        </is>
      </c>
      <c r="E76" s="36" t="inlineStr">
        <is>
          <t>حسابدار</t>
        </is>
      </c>
      <c r="F76" s="36" t="inlineStr">
        <is>
          <t>طرف حساب</t>
        </is>
      </c>
      <c r="G76" s="64" t="n">
        <v>0</v>
      </c>
    </row>
    <row r="77">
      <c r="B77" s="63" t="inlineStr">
        <is>
          <t>E003</t>
        </is>
      </c>
      <c r="C77" s="36" t="inlineStr">
        <is>
          <t>(نام فروشنده ۱)</t>
        </is>
      </c>
      <c r="D77" s="63" t="inlineStr">
        <is>
          <t>کارمند</t>
        </is>
      </c>
      <c r="E77" s="36" t="inlineStr">
        <is>
          <t>فروشنده</t>
        </is>
      </c>
      <c r="F77" s="36" t="inlineStr">
        <is>
          <t>طرف حساب</t>
        </is>
      </c>
      <c r="G77" s="64" t="n">
        <v>0</v>
      </c>
    </row>
    <row r="78">
      <c r="B78" s="63" t="inlineStr">
        <is>
          <t>E004</t>
        </is>
      </c>
      <c r="C78" s="36" t="inlineStr">
        <is>
          <t>(نام انباردار)</t>
        </is>
      </c>
      <c r="D78" s="63" t="inlineStr">
        <is>
          <t>کارمند</t>
        </is>
      </c>
      <c r="E78" s="36" t="inlineStr">
        <is>
          <t>انباردار</t>
        </is>
      </c>
      <c r="F78" s="36" t="inlineStr">
        <is>
          <t>طرف حساب</t>
        </is>
      </c>
      <c r="G78" s="64" t="n">
        <v>0</v>
      </c>
    </row>
    <row r="79">
      <c r="B79" s="63" t="inlineStr">
        <is>
          <t>E005</t>
        </is>
      </c>
      <c r="C79" s="36" t="inlineStr">
        <is>
          <t>رضا کاظمی (نمونه)</t>
        </is>
      </c>
      <c r="D79" s="63" t="inlineStr">
        <is>
          <t>کارمند</t>
        </is>
      </c>
      <c r="E79" s="36" t="inlineStr">
        <is>
          <t>سرپرست خط</t>
        </is>
      </c>
      <c r="F79" s="36" t="inlineStr">
        <is>
          <t>طرف حساب</t>
        </is>
      </c>
      <c r="G79" s="64" t="n">
        <v>0</v>
      </c>
    </row>
    <row r="80">
      <c r="B80" s="63" t="inlineStr">
        <is>
          <t>E006</t>
        </is>
      </c>
      <c r="C80" s="36" t="inlineStr">
        <is>
          <t>علی احمدی (نمونه)</t>
        </is>
      </c>
      <c r="D80" s="63" t="inlineStr">
        <is>
          <t>کارمند</t>
        </is>
      </c>
      <c r="E80" s="36" t="inlineStr">
        <is>
          <t>کارگر</t>
        </is>
      </c>
      <c r="F80" s="36" t="inlineStr">
        <is>
          <t>طرف حساب</t>
        </is>
      </c>
      <c r="G80" s="64" t="n">
        <v>0</v>
      </c>
    </row>
    <row r="81">
      <c r="B81" s="63" t="inlineStr">
        <is>
          <t>X001</t>
        </is>
      </c>
      <c r="C81" s="36" t="inlineStr">
        <is>
          <t>انعام مصطفی</t>
        </is>
      </c>
      <c r="D81" s="63" t="inlineStr">
        <is>
          <t>سایر حساب</t>
        </is>
      </c>
      <c r="E81" s="36" t="inlineStr">
        <is>
          <t>انعام و پاداش</t>
        </is>
      </c>
      <c r="F81" s="36" t="inlineStr">
        <is>
          <t>طرف حساب</t>
        </is>
      </c>
      <c r="G81" s="64" t="n">
        <v>0</v>
      </c>
    </row>
    <row r="82">
      <c r="B82" s="63" t="inlineStr">
        <is>
          <t>X002</t>
        </is>
      </c>
      <c r="C82" s="36" t="inlineStr">
        <is>
          <t>درآمد باسکول (احمد زاهدی)</t>
        </is>
      </c>
      <c r="D82" s="63" t="inlineStr">
        <is>
          <t>سایر حساب</t>
        </is>
      </c>
      <c r="E82" s="36" t="inlineStr">
        <is>
          <t>درآمد باسکول</t>
        </is>
      </c>
      <c r="F82" s="36" t="inlineStr">
        <is>
          <t>معین</t>
        </is>
      </c>
      <c r="G82" s="64" t="n">
        <v>0</v>
      </c>
    </row>
    <row r="83">
      <c r="B83" s="63" t="inlineStr">
        <is>
          <t>X003</t>
        </is>
      </c>
      <c r="C83" s="36" t="inlineStr">
        <is>
          <t>صندوق شرکت</t>
        </is>
      </c>
      <c r="D83" s="63" t="inlineStr">
        <is>
          <t>سایر حساب</t>
        </is>
      </c>
      <c r="E83" s="36" t="inlineStr">
        <is>
          <t>صندوق</t>
        </is>
      </c>
      <c r="F83" s="36" t="inlineStr">
        <is>
          <t>معین</t>
        </is>
      </c>
      <c r="G83" s="64" t="n">
        <v>150000000</v>
      </c>
    </row>
    <row r="84">
      <c r="B84" s="63" t="inlineStr">
        <is>
          <t>X004</t>
        </is>
      </c>
      <c r="C84" s="36" t="inlineStr">
        <is>
          <t>موجودی مرکبات (انبار)</t>
        </is>
      </c>
      <c r="D84" s="63" t="inlineStr">
        <is>
          <t>سایر حساب</t>
        </is>
      </c>
      <c r="E84" s="36" t="inlineStr">
        <is>
          <t>موجودی</t>
        </is>
      </c>
      <c r="F84" s="36" t="inlineStr">
        <is>
          <t>معین</t>
        </is>
      </c>
      <c r="G84" s="64" t="n">
        <v>0</v>
      </c>
    </row>
    <row r="85">
      <c r="B85" s="63" t="inlineStr">
        <is>
          <t>X005</t>
        </is>
      </c>
      <c r="C85" s="36" t="inlineStr">
        <is>
          <t>موجودی سبد و ظروف</t>
        </is>
      </c>
      <c r="D85" s="63" t="inlineStr">
        <is>
          <t>سایر حساب</t>
        </is>
      </c>
      <c r="E85" s="36" t="inlineStr">
        <is>
          <t>موجودی</t>
        </is>
      </c>
      <c r="F85" s="36" t="inlineStr">
        <is>
          <t>معین</t>
        </is>
      </c>
      <c r="G85" s="64" t="n">
        <v>0</v>
      </c>
    </row>
    <row r="86">
      <c r="B86" s="63" t="inlineStr">
        <is>
          <t>X006</t>
        </is>
      </c>
      <c r="C86" s="36" t="inlineStr">
        <is>
          <t>فروش مرکبات</t>
        </is>
      </c>
      <c r="D86" s="63" t="inlineStr">
        <is>
          <t>سایر حساب</t>
        </is>
      </c>
      <c r="E86" s="36" t="inlineStr">
        <is>
          <t>درآمد</t>
        </is>
      </c>
      <c r="F86" s="36" t="inlineStr">
        <is>
          <t>معین</t>
        </is>
      </c>
      <c r="G86" s="64" t="n">
        <v>0</v>
      </c>
    </row>
    <row r="87">
      <c r="B87" s="63" t="inlineStr">
        <is>
          <t>X007</t>
        </is>
      </c>
      <c r="C87" s="36" t="inlineStr">
        <is>
          <t>فروش سبد</t>
        </is>
      </c>
      <c r="D87" s="63" t="inlineStr">
        <is>
          <t>سایر حساب</t>
        </is>
      </c>
      <c r="E87" s="36" t="inlineStr">
        <is>
          <t>درآمد</t>
        </is>
      </c>
      <c r="F87" s="36" t="inlineStr">
        <is>
          <t>معین</t>
        </is>
      </c>
      <c r="G87" s="64" t="n">
        <v>0</v>
      </c>
    </row>
    <row r="88">
      <c r="B88" s="63" t="inlineStr">
        <is>
          <t>X008</t>
        </is>
      </c>
      <c r="C88" s="36" t="inlineStr">
        <is>
          <t>درآمد آبگیری</t>
        </is>
      </c>
      <c r="D88" s="63" t="inlineStr">
        <is>
          <t>سایر حساب</t>
        </is>
      </c>
      <c r="E88" s="36" t="inlineStr">
        <is>
          <t>درآمد</t>
        </is>
      </c>
      <c r="F88" s="36" t="inlineStr">
        <is>
          <t>معین</t>
        </is>
      </c>
      <c r="G88" s="64" t="n">
        <v>0</v>
      </c>
    </row>
    <row r="89">
      <c r="B89" s="63" t="inlineStr">
        <is>
          <t>X009</t>
        </is>
      </c>
      <c r="C89" s="36" t="inlineStr">
        <is>
          <t>هزینه ضایعات و افت</t>
        </is>
      </c>
      <c r="D89" s="63" t="inlineStr">
        <is>
          <t>سایر حساب</t>
        </is>
      </c>
      <c r="E89" s="36" t="inlineStr">
        <is>
          <t>هزینه</t>
        </is>
      </c>
      <c r="F89" s="36" t="inlineStr">
        <is>
          <t>معین</t>
        </is>
      </c>
      <c r="G89" s="64" t="n">
        <v>0</v>
      </c>
    </row>
    <row r="90">
      <c r="B90" s="63" t="inlineStr">
        <is>
          <t>X010</t>
        </is>
      </c>
      <c r="C90" s="36" t="inlineStr">
        <is>
          <t>چک‌های پرداختی (در جریان)</t>
        </is>
      </c>
      <c r="D90" s="63" t="inlineStr">
        <is>
          <t>سایر حساب</t>
        </is>
      </c>
      <c r="E90" s="36" t="inlineStr">
        <is>
          <t>چک پرداختی</t>
        </is>
      </c>
      <c r="F90" s="36" t="inlineStr">
        <is>
          <t>معین</t>
        </is>
      </c>
      <c r="G90" s="64" t="n">
        <v>0</v>
      </c>
    </row>
    <row r="91">
      <c r="B91" s="63" t="inlineStr">
        <is>
          <t>X011</t>
        </is>
      </c>
      <c r="C91" s="36" t="inlineStr">
        <is>
          <t>حساب واسط عملیات</t>
        </is>
      </c>
      <c r="D91" s="63" t="inlineStr">
        <is>
          <t>سایر حساب</t>
        </is>
      </c>
      <c r="E91" s="36" t="inlineStr">
        <is>
          <t>حساب واسط</t>
        </is>
      </c>
      <c r="F91" s="36" t="inlineStr">
        <is>
          <t>معین</t>
        </is>
      </c>
      <c r="G91" s="64" t="n">
        <v>0</v>
      </c>
    </row>
    <row r="92">
      <c r="B92" s="63" t="inlineStr">
        <is>
          <t>X012</t>
        </is>
      </c>
      <c r="C92" s="36" t="inlineStr">
        <is>
          <t>هزینه حمل و تخلیه</t>
        </is>
      </c>
      <c r="D92" s="63" t="inlineStr">
        <is>
          <t>سایر حساب</t>
        </is>
      </c>
      <c r="E92" s="36" t="inlineStr">
        <is>
          <t>هزینه</t>
        </is>
      </c>
      <c r="F92" s="36" t="inlineStr">
        <is>
          <t>معین</t>
        </is>
      </c>
      <c r="G92" s="64" t="n">
        <v>0</v>
      </c>
    </row>
    <row r="93">
      <c r="B93" s="63" t="inlineStr">
        <is>
          <t>X013</t>
        </is>
      </c>
      <c r="C93" s="36" t="inlineStr">
        <is>
          <t>هزینه دستمزد</t>
        </is>
      </c>
      <c r="D93" s="63" t="inlineStr">
        <is>
          <t>سایر حساب</t>
        </is>
      </c>
      <c r="E93" s="36" t="inlineStr">
        <is>
          <t>هزینه</t>
        </is>
      </c>
      <c r="F93" s="36" t="inlineStr">
        <is>
          <t>معین</t>
        </is>
      </c>
      <c r="G93" s="64" t="n">
        <v>0</v>
      </c>
    </row>
    <row r="94">
      <c r="B94" s="63" t="inlineStr">
        <is>
          <t>X014</t>
        </is>
      </c>
      <c r="C94" s="36" t="inlineStr">
        <is>
          <t>کارمزد بانکی</t>
        </is>
      </c>
      <c r="D94" s="63" t="inlineStr">
        <is>
          <t>سایر حساب</t>
        </is>
      </c>
      <c r="E94" s="36" t="inlineStr">
        <is>
          <t>هزینه</t>
        </is>
      </c>
      <c r="F94" s="36" t="inlineStr">
        <is>
          <t>معین</t>
        </is>
      </c>
      <c r="G94" s="64" t="n">
        <v>0</v>
      </c>
    </row>
    <row r="95">
      <c r="B95" s="63" t="inlineStr">
        <is>
          <t>X015</t>
        </is>
      </c>
      <c r="C95" s="36" t="inlineStr">
        <is>
          <t>سایر درآمدها</t>
        </is>
      </c>
      <c r="D95" s="63" t="inlineStr">
        <is>
          <t>سایر حساب</t>
        </is>
      </c>
      <c r="E95" s="36" t="inlineStr">
        <is>
          <t>درآمد</t>
        </is>
      </c>
      <c r="F95" s="36" t="inlineStr">
        <is>
          <t>معین</t>
        </is>
      </c>
      <c r="G95" s="64" t="n">
        <v>0</v>
      </c>
    </row>
    <row r="96">
      <c r="B96" s="63" t="inlineStr">
        <is>
          <t>X016</t>
        </is>
      </c>
      <c r="C96" s="36" t="inlineStr">
        <is>
          <t>سایر هزینه‌ها</t>
        </is>
      </c>
      <c r="D96" s="63" t="inlineStr">
        <is>
          <t>سایر حساب</t>
        </is>
      </c>
      <c r="E96" s="36" t="inlineStr">
        <is>
          <t>هزینه</t>
        </is>
      </c>
      <c r="F96" s="36" t="inlineStr">
        <is>
          <t>معین</t>
        </is>
      </c>
      <c r="G96" s="64" t="n">
        <v>0</v>
      </c>
    </row>
    <row r="97">
      <c r="B97" s="63" t="inlineStr">
        <is>
          <t>X017</t>
        </is>
      </c>
      <c r="C97" s="36" t="inlineStr">
        <is>
          <t>مالیات و عوارض</t>
        </is>
      </c>
      <c r="D97" s="63" t="inlineStr">
        <is>
          <t>سایر حساب</t>
        </is>
      </c>
      <c r="E97" s="36" t="inlineStr">
        <is>
          <t>مالیات</t>
        </is>
      </c>
      <c r="F97" s="36" t="inlineStr">
        <is>
          <t>معین</t>
        </is>
      </c>
      <c r="G97" s="64" t="n">
        <v>0</v>
      </c>
    </row>
    <row r="98">
      <c r="B98" s="63" t="inlineStr">
        <is>
          <t>X018</t>
        </is>
      </c>
      <c r="C98" s="36" t="inlineStr">
        <is>
          <t>تخفیف و افت بار</t>
        </is>
      </c>
      <c r="D98" s="63" t="inlineStr">
        <is>
          <t>سایر حساب</t>
        </is>
      </c>
      <c r="E98" s="36" t="inlineStr">
        <is>
          <t>درآمد</t>
        </is>
      </c>
      <c r="F98" s="36" t="inlineStr">
        <is>
          <t>معین</t>
        </is>
      </c>
      <c r="G98" s="64" t="n">
        <v>0</v>
      </c>
    </row>
    <row r="99">
      <c r="B99" s="63" t="inlineStr">
        <is>
          <t>X019</t>
        </is>
      </c>
      <c r="C99" s="36" t="inlineStr">
        <is>
          <t>موجودی مواد بسته‌بندی</t>
        </is>
      </c>
      <c r="D99" s="63" t="inlineStr">
        <is>
          <t>سایر حساب</t>
        </is>
      </c>
      <c r="E99" s="36" t="inlineStr">
        <is>
          <t>موجودی</t>
        </is>
      </c>
      <c r="F99" s="36" t="inlineStr">
        <is>
          <t>معین</t>
        </is>
      </c>
      <c r="G99" s="64" t="n">
        <v>0</v>
      </c>
    </row>
    <row r="100">
      <c r="B100" s="63" t="inlineStr">
        <is>
          <t>X020</t>
        </is>
      </c>
      <c r="C100" s="36" t="inlineStr">
        <is>
          <t>حساب کنترل ترازنامه</t>
        </is>
      </c>
      <c r="D100" s="63" t="inlineStr">
        <is>
          <t>سایر حساب</t>
        </is>
      </c>
      <c r="E100" s="36" t="inlineStr">
        <is>
          <t>حساب واسط</t>
        </is>
      </c>
      <c r="F100" s="36" t="inlineStr">
        <is>
          <t>معین</t>
        </is>
      </c>
      <c r="G100" s="64" t="n">
        <v>0</v>
      </c>
    </row>
    <row r="101">
      <c r="B101" s="63" t="inlineStr">
        <is>
          <t>F001</t>
        </is>
      </c>
      <c r="C101" s="36" t="inlineStr">
        <is>
          <t>زمین باغدشت (نمونه)</t>
        </is>
      </c>
      <c r="D101" s="63" t="inlineStr">
        <is>
          <t>دارایی ثابت</t>
        </is>
      </c>
      <c r="E101" s="36" t="inlineStr">
        <is>
          <t>زمین و ساختمان</t>
        </is>
      </c>
      <c r="F101" s="36" t="inlineStr">
        <is>
          <t>طرف حساب</t>
        </is>
      </c>
      <c r="G101" s="64" t="n">
        <v>2000000000</v>
      </c>
    </row>
    <row r="102">
      <c r="B102" s="63" t="inlineStr">
        <is>
          <t>F002</t>
        </is>
      </c>
      <c r="C102" s="36" t="inlineStr">
        <is>
          <t>وانت حمل بار (نمونه)</t>
        </is>
      </c>
      <c r="D102" s="63" t="inlineStr">
        <is>
          <t>دارایی ثابت</t>
        </is>
      </c>
      <c r="E102" s="36" t="inlineStr">
        <is>
          <t>خودرو و حمل‌ونقل</t>
        </is>
      </c>
      <c r="F102" s="36" t="inlineStr">
        <is>
          <t>طرف حساب</t>
        </is>
      </c>
      <c r="G102" s="64" t="n">
        <v>0</v>
      </c>
    </row>
    <row r="103">
      <c r="B103" s="63" t="inlineStr">
        <is>
          <t>F003</t>
        </is>
      </c>
      <c r="C103" s="36" t="inlineStr">
        <is>
          <t>ماشین‌آلات خط سورتینگ (نمونه)</t>
        </is>
      </c>
      <c r="D103" s="63" t="inlineStr">
        <is>
          <t>دارایی ثابت</t>
        </is>
      </c>
      <c r="E103" s="36" t="inlineStr">
        <is>
          <t>ماشین‌آلات و تجهیزات</t>
        </is>
      </c>
      <c r="F103" s="36" t="inlineStr">
        <is>
          <t>طرف حساب</t>
        </is>
      </c>
      <c r="G103" s="64" t="n">
        <v>0</v>
      </c>
    </row>
    <row r="104">
      <c r="B104" s="63" t="inlineStr">
        <is>
          <t>L001</t>
        </is>
      </c>
      <c r="C104" s="36" t="inlineStr">
        <is>
          <t>وام بانک ملت (نمونه)</t>
        </is>
      </c>
      <c r="D104" s="63" t="inlineStr">
        <is>
          <t>وام و تسهیلات</t>
        </is>
      </c>
      <c r="E104" s="36" t="inlineStr">
        <is>
          <t>وام بانکی</t>
        </is>
      </c>
      <c r="F104" s="36" t="inlineStr">
        <is>
          <t>طرف حساب</t>
        </is>
      </c>
      <c r="G104" s="64" t="n">
        <v>0</v>
      </c>
    </row>
    <row r="105">
      <c r="B105" s="63" t="inlineStr">
        <is>
          <t>CAP001</t>
        </is>
      </c>
      <c r="C105" s="36" t="inlineStr">
        <is>
          <t>سرمایه و آورده صاحبان (نمونه)</t>
        </is>
      </c>
      <c r="D105" s="63" t="inlineStr">
        <is>
          <t>سرمایه و آورده صاحبان</t>
        </is>
      </c>
      <c r="E105" s="36" t="inlineStr">
        <is>
          <t>سرمایه اولیه</t>
        </is>
      </c>
      <c r="F105" s="36" t="inlineStr">
        <is>
          <t>طرف حساب</t>
        </is>
      </c>
      <c r="G105" s="64" t="n">
        <v>-2650000000</v>
      </c>
    </row>
    <row r="106">
      <c r="B106" s="63" t="inlineStr">
        <is>
          <t>BD001</t>
        </is>
      </c>
      <c r="C106" s="36" t="inlineStr">
        <is>
          <t>باسکول میدان بار (نمونه)</t>
        </is>
      </c>
      <c r="D106" s="63" t="inlineStr">
        <is>
          <t>باسکول دیگران</t>
        </is>
      </c>
      <c r="E106" s="36" t="inlineStr">
        <is>
          <t>باسکول محلی</t>
        </is>
      </c>
      <c r="F106" s="36" t="inlineStr">
        <is>
          <t>طرف حساب</t>
        </is>
      </c>
      <c r="G106" s="64" t="n">
        <v>0</v>
      </c>
    </row>
    <row r="107">
      <c r="B107" s="63" t="inlineStr">
        <is>
          <t>BN01</t>
        </is>
      </c>
      <c r="C107" s="36" t="inlineStr">
        <is>
          <t>صادرات ۹۰۰۹ — جاری اصلی</t>
        </is>
      </c>
      <c r="D107" s="63" t="inlineStr">
        <is>
          <t>بانک و صندوق</t>
        </is>
      </c>
      <c r="E107" s="36" t="inlineStr">
        <is>
          <t>حساب‌های بانکی</t>
        </is>
      </c>
      <c r="F107" s="36" t="inlineStr">
        <is>
          <t>بانک</t>
        </is>
      </c>
      <c r="G107" s="64" t="n">
        <v>0</v>
      </c>
    </row>
    <row r="108">
      <c r="B108" s="63" t="inlineStr">
        <is>
          <t>BN02</t>
        </is>
      </c>
      <c r="C108" s="36" t="inlineStr">
        <is>
          <t>صادرات ۲۰۰۶ — پوز باسکول</t>
        </is>
      </c>
      <c r="D108" s="63" t="inlineStr">
        <is>
          <t>بانک و صندوق</t>
        </is>
      </c>
      <c r="E108" s="36" t="inlineStr">
        <is>
          <t>حساب‌های بانکی</t>
        </is>
      </c>
      <c r="F108" s="36" t="inlineStr">
        <is>
          <t>بانک</t>
        </is>
      </c>
      <c r="G108" s="64" t="n">
        <v>0</v>
      </c>
    </row>
    <row r="109">
      <c r="B109" s="63" t="inlineStr">
        <is>
          <t>BN03</t>
        </is>
      </c>
      <c r="C109" s="36" t="inlineStr">
        <is>
          <t>بانک ملت</t>
        </is>
      </c>
      <c r="D109" s="63" t="inlineStr">
        <is>
          <t>بانک و صندوق</t>
        </is>
      </c>
      <c r="E109" s="36" t="inlineStr">
        <is>
          <t>حساب‌های بانکی</t>
        </is>
      </c>
      <c r="F109" s="36" t="inlineStr">
        <is>
          <t>بانک</t>
        </is>
      </c>
      <c r="G109" s="64" t="n">
        <v>0</v>
      </c>
    </row>
    <row r="110">
      <c r="B110" s="63" t="inlineStr">
        <is>
          <t>BN04</t>
        </is>
      </c>
      <c r="C110" s="36" t="inlineStr">
        <is>
          <t>بانک کشاورزی</t>
        </is>
      </c>
      <c r="D110" s="63" t="inlineStr">
        <is>
          <t>بانک و صندوق</t>
        </is>
      </c>
      <c r="E110" s="36" t="inlineStr">
        <is>
          <t>حساب‌های بانکی</t>
        </is>
      </c>
      <c r="F110" s="36" t="inlineStr">
        <is>
          <t>بانک</t>
        </is>
      </c>
      <c r="G110" s="64" t="n">
        <v>0</v>
      </c>
    </row>
    <row r="111">
      <c r="B111" s="63" t="inlineStr">
        <is>
          <t>BN05</t>
        </is>
      </c>
      <c r="C111" s="36" t="inlineStr">
        <is>
          <t>بانک سپه</t>
        </is>
      </c>
      <c r="D111" s="63" t="inlineStr">
        <is>
          <t>بانک و صندوق</t>
        </is>
      </c>
      <c r="E111" s="36" t="inlineStr">
        <is>
          <t>حساب‌های بانکی</t>
        </is>
      </c>
      <c r="F111" s="36" t="inlineStr">
        <is>
          <t>بانک</t>
        </is>
      </c>
      <c r="G111" s="64" t="n">
        <v>0</v>
      </c>
    </row>
    <row r="112">
      <c r="B112" s="63" t="inlineStr">
        <is>
          <t>BN06</t>
        </is>
      </c>
      <c r="C112" s="36" t="inlineStr">
        <is>
          <t>بانک مهر ایران</t>
        </is>
      </c>
      <c r="D112" s="63" t="inlineStr">
        <is>
          <t>بانک و صندوق</t>
        </is>
      </c>
      <c r="E112" s="36" t="inlineStr">
        <is>
          <t>حساب‌های بانکی</t>
        </is>
      </c>
      <c r="F112" s="36" t="inlineStr">
        <is>
          <t>بانک</t>
        </is>
      </c>
      <c r="G112" s="64" t="n">
        <v>0</v>
      </c>
    </row>
    <row r="113">
      <c r="B113" s="63" t="inlineStr">
        <is>
          <t>BN07</t>
        </is>
      </c>
      <c r="C113" s="36" t="inlineStr">
        <is>
          <t>بانک تجارت</t>
        </is>
      </c>
      <c r="D113" s="63" t="inlineStr">
        <is>
          <t>بانک و صندوق</t>
        </is>
      </c>
      <c r="E113" s="36" t="inlineStr">
        <is>
          <t>حساب‌های بانکی</t>
        </is>
      </c>
      <c r="F113" s="36" t="inlineStr">
        <is>
          <t>بانک</t>
        </is>
      </c>
      <c r="G113" s="64" t="n">
        <v>0</v>
      </c>
    </row>
    <row r="114">
      <c r="B114" s="63" t="inlineStr">
        <is>
          <t>BN08</t>
        </is>
      </c>
      <c r="C114" s="36" t="inlineStr">
        <is>
          <t>بانک پاسارگاد</t>
        </is>
      </c>
      <c r="D114" s="63" t="inlineStr">
        <is>
          <t>بانک و صندوق</t>
        </is>
      </c>
      <c r="E114" s="36" t="inlineStr">
        <is>
          <t>حساب‌های بانکی</t>
        </is>
      </c>
      <c r="F114" s="36" t="inlineStr">
        <is>
          <t>بانک</t>
        </is>
      </c>
      <c r="G114" s="64" t="n">
        <v>0</v>
      </c>
    </row>
    <row r="115">
      <c r="B115" s="63" t="inlineStr">
        <is>
          <t>BN09</t>
        </is>
      </c>
      <c r="C115" s="36" t="inlineStr">
        <is>
          <t>بانک رفاه</t>
        </is>
      </c>
      <c r="D115" s="63" t="inlineStr">
        <is>
          <t>بانک و صندوق</t>
        </is>
      </c>
      <c r="E115" s="36" t="inlineStr">
        <is>
          <t>حساب‌های بانکی</t>
        </is>
      </c>
      <c r="F115" s="36" t="inlineStr">
        <is>
          <t>بانک</t>
        </is>
      </c>
      <c r="G115" s="64" t="n">
        <v>0</v>
      </c>
    </row>
    <row r="116">
      <c r="B116" s="63" t="inlineStr">
        <is>
          <t>BN10</t>
        </is>
      </c>
      <c r="C116" s="36" t="inlineStr">
        <is>
          <t>قرض‌الحسنه</t>
        </is>
      </c>
      <c r="D116" s="63" t="inlineStr">
        <is>
          <t>بانک و صندوق</t>
        </is>
      </c>
      <c r="E116" s="36" t="inlineStr">
        <is>
          <t>حساب‌های بانکی</t>
        </is>
      </c>
      <c r="F116" s="36" t="inlineStr">
        <is>
          <t>بانک</t>
        </is>
      </c>
      <c r="G116" s="64" t="n">
        <v>0</v>
      </c>
    </row>
    <row r="117">
      <c r="B117" s="65" t="inlineStr">
        <is>
          <t>C058</t>
        </is>
      </c>
      <c r="C117" s="65" t="n"/>
      <c r="D117" s="65" t="n"/>
      <c r="E117" s="65" t="n"/>
      <c r="F117" s="65" t="n"/>
      <c r="G117" s="64" t="n">
        <v>0</v>
      </c>
    </row>
    <row r="118">
      <c r="B118" s="65" t="inlineStr">
        <is>
          <t>C059</t>
        </is>
      </c>
      <c r="C118" s="65" t="n"/>
      <c r="D118" s="65" t="n"/>
      <c r="E118" s="65" t="n"/>
      <c r="F118" s="65" t="n"/>
      <c r="G118" s="64" t="n">
        <v>0</v>
      </c>
    </row>
    <row r="119">
      <c r="B119" s="65" t="inlineStr">
        <is>
          <t>C060</t>
        </is>
      </c>
      <c r="C119" s="65" t="n"/>
      <c r="D119" s="65" t="n"/>
      <c r="E119" s="65" t="n"/>
      <c r="F119" s="65" t="n"/>
      <c r="G119" s="64" t="n">
        <v>0</v>
      </c>
    </row>
    <row r="120">
      <c r="B120" s="65" t="inlineStr">
        <is>
          <t>C061</t>
        </is>
      </c>
      <c r="C120" s="65" t="n"/>
      <c r="D120" s="65" t="n"/>
      <c r="E120" s="65" t="n"/>
      <c r="F120" s="65" t="n"/>
      <c r="G120" s="64" t="n">
        <v>0</v>
      </c>
    </row>
    <row r="121">
      <c r="B121" s="65" t="inlineStr">
        <is>
          <t>C062</t>
        </is>
      </c>
      <c r="C121" s="65" t="n"/>
      <c r="D121" s="65" t="n"/>
      <c r="E121" s="65" t="n"/>
      <c r="F121" s="65" t="n"/>
      <c r="G121" s="64" t="n">
        <v>0</v>
      </c>
    </row>
    <row r="122">
      <c r="B122" s="65" t="inlineStr">
        <is>
          <t>C063</t>
        </is>
      </c>
      <c r="C122" s="65" t="n"/>
      <c r="D122" s="65" t="n"/>
      <c r="E122" s="65" t="n"/>
      <c r="F122" s="65" t="n"/>
      <c r="G122" s="64" t="n">
        <v>0</v>
      </c>
    </row>
    <row r="123">
      <c r="B123" s="65" t="inlineStr">
        <is>
          <t>C064</t>
        </is>
      </c>
      <c r="C123" s="65" t="n"/>
      <c r="D123" s="65" t="n"/>
      <c r="E123" s="65" t="n"/>
      <c r="F123" s="65" t="n"/>
      <c r="G123" s="64" t="n">
        <v>0</v>
      </c>
    </row>
    <row r="124">
      <c r="B124" s="65" t="inlineStr">
        <is>
          <t>C065</t>
        </is>
      </c>
      <c r="C124" s="65" t="n"/>
      <c r="D124" s="65" t="n"/>
      <c r="E124" s="65" t="n"/>
      <c r="F124" s="65" t="n"/>
      <c r="G124" s="64" t="n">
        <v>0</v>
      </c>
    </row>
    <row r="125">
      <c r="B125" s="65" t="inlineStr">
        <is>
          <t>C066</t>
        </is>
      </c>
      <c r="C125" s="65" t="n"/>
      <c r="D125" s="65" t="n"/>
      <c r="E125" s="65" t="n"/>
      <c r="F125" s="65" t="n"/>
      <c r="G125" s="64" t="n">
        <v>0</v>
      </c>
    </row>
    <row r="126">
      <c r="B126" s="65" t="inlineStr">
        <is>
          <t>C067</t>
        </is>
      </c>
      <c r="C126" s="65" t="n"/>
      <c r="D126" s="65" t="n"/>
      <c r="E126" s="65" t="n"/>
      <c r="F126" s="65" t="n"/>
      <c r="G126" s="64" t="n">
        <v>0</v>
      </c>
    </row>
    <row r="127">
      <c r="B127" s="65" t="inlineStr">
        <is>
          <t>C068</t>
        </is>
      </c>
      <c r="C127" s="65" t="n"/>
      <c r="D127" s="65" t="n"/>
      <c r="E127" s="65" t="n"/>
      <c r="F127" s="65" t="n"/>
      <c r="G127" s="64" t="n">
        <v>0</v>
      </c>
    </row>
    <row r="128">
      <c r="B128" s="65" t="inlineStr">
        <is>
          <t>C069</t>
        </is>
      </c>
      <c r="C128" s="65" t="n"/>
      <c r="D128" s="65" t="n"/>
      <c r="E128" s="65" t="n"/>
      <c r="F128" s="65" t="n"/>
      <c r="G128" s="64" t="n">
        <v>0</v>
      </c>
    </row>
    <row r="129">
      <c r="B129" s="65" t="inlineStr">
        <is>
          <t>C070</t>
        </is>
      </c>
      <c r="C129" s="65" t="n"/>
      <c r="D129" s="65" t="n"/>
      <c r="E129" s="65" t="n"/>
      <c r="F129" s="65" t="n"/>
      <c r="G129" s="64" t="n">
        <v>0</v>
      </c>
    </row>
    <row r="130">
      <c r="B130" s="65" t="inlineStr">
        <is>
          <t>C071</t>
        </is>
      </c>
      <c r="C130" s="65" t="n"/>
      <c r="D130" s="65" t="n"/>
      <c r="E130" s="65" t="n"/>
      <c r="F130" s="65" t="n"/>
      <c r="G130" s="64" t="n">
        <v>0</v>
      </c>
    </row>
    <row r="131">
      <c r="B131" s="65" t="inlineStr">
        <is>
          <t>C072</t>
        </is>
      </c>
      <c r="C131" s="65" t="n"/>
      <c r="D131" s="65" t="n"/>
      <c r="E131" s="65" t="n"/>
      <c r="F131" s="65" t="n"/>
      <c r="G131" s="64" t="n">
        <v>0</v>
      </c>
    </row>
    <row r="132">
      <c r="B132" s="65" t="inlineStr">
        <is>
          <t>C073</t>
        </is>
      </c>
      <c r="C132" s="65" t="n"/>
      <c r="D132" s="65" t="n"/>
      <c r="E132" s="65" t="n"/>
      <c r="F132" s="65" t="n"/>
      <c r="G132" s="64" t="n">
        <v>0</v>
      </c>
    </row>
    <row r="133">
      <c r="B133" s="65" t="inlineStr">
        <is>
          <t>C074</t>
        </is>
      </c>
      <c r="C133" s="65" t="n"/>
      <c r="D133" s="65" t="n"/>
      <c r="E133" s="65" t="n"/>
      <c r="F133" s="65" t="n"/>
      <c r="G133" s="64" t="n">
        <v>0</v>
      </c>
    </row>
    <row r="134">
      <c r="B134" s="65" t="inlineStr">
        <is>
          <t>C075</t>
        </is>
      </c>
      <c r="C134" s="65" t="n"/>
      <c r="D134" s="65" t="n"/>
      <c r="E134" s="65" t="n"/>
      <c r="F134" s="65" t="n"/>
      <c r="G134" s="64" t="n">
        <v>0</v>
      </c>
    </row>
    <row r="135">
      <c r="B135" s="65" t="inlineStr">
        <is>
          <t>C076</t>
        </is>
      </c>
      <c r="C135" s="65" t="n"/>
      <c r="D135" s="65" t="n"/>
      <c r="E135" s="65" t="n"/>
      <c r="F135" s="65" t="n"/>
      <c r="G135" s="64" t="n">
        <v>0</v>
      </c>
    </row>
    <row r="136">
      <c r="B136" s="65" t="inlineStr">
        <is>
          <t>C077</t>
        </is>
      </c>
      <c r="C136" s="65" t="n"/>
      <c r="D136" s="65" t="n"/>
      <c r="E136" s="65" t="n"/>
      <c r="F136" s="65" t="n"/>
      <c r="G136" s="64" t="n">
        <v>0</v>
      </c>
    </row>
    <row r="137">
      <c r="B137" s="65" t="inlineStr">
        <is>
          <t>C078</t>
        </is>
      </c>
      <c r="C137" s="65" t="n"/>
      <c r="D137" s="65" t="n"/>
      <c r="E137" s="65" t="n"/>
      <c r="F137" s="65" t="n"/>
      <c r="G137" s="64" t="n">
        <v>0</v>
      </c>
    </row>
    <row r="138">
      <c r="B138" s="65" t="inlineStr">
        <is>
          <t>C079</t>
        </is>
      </c>
      <c r="C138" s="65" t="n"/>
      <c r="D138" s="65" t="n"/>
      <c r="E138" s="65" t="n"/>
      <c r="F138" s="65" t="n"/>
      <c r="G138" s="64" t="n">
        <v>0</v>
      </c>
    </row>
    <row r="139">
      <c r="B139" s="65" t="inlineStr">
        <is>
          <t>C080</t>
        </is>
      </c>
      <c r="C139" s="65" t="n"/>
      <c r="D139" s="65" t="n"/>
      <c r="E139" s="65" t="n"/>
      <c r="F139" s="65" t="n"/>
      <c r="G139" s="64" t="n">
        <v>0</v>
      </c>
    </row>
    <row r="140">
      <c r="B140" s="65" t="inlineStr">
        <is>
          <t>C081</t>
        </is>
      </c>
      <c r="C140" s="65" t="n"/>
      <c r="D140" s="65" t="n"/>
      <c r="E140" s="65" t="n"/>
      <c r="F140" s="65" t="n"/>
      <c r="G140" s="64" t="n">
        <v>0</v>
      </c>
    </row>
    <row r="141">
      <c r="B141" s="65" t="inlineStr">
        <is>
          <t>C082</t>
        </is>
      </c>
      <c r="C141" s="65" t="n"/>
      <c r="D141" s="65" t="n"/>
      <c r="E141" s="65" t="n"/>
      <c r="F141" s="65" t="n"/>
      <c r="G141" s="64" t="n">
        <v>0</v>
      </c>
    </row>
    <row r="142">
      <c r="B142" s="65" t="inlineStr">
        <is>
          <t>C083</t>
        </is>
      </c>
      <c r="C142" s="65" t="n"/>
      <c r="D142" s="65" t="n"/>
      <c r="E142" s="65" t="n"/>
      <c r="F142" s="65" t="n"/>
      <c r="G142" s="64" t="n">
        <v>0</v>
      </c>
    </row>
    <row r="143">
      <c r="B143" s="65" t="inlineStr">
        <is>
          <t>C084</t>
        </is>
      </c>
      <c r="C143" s="65" t="n"/>
      <c r="D143" s="65" t="n"/>
      <c r="E143" s="65" t="n"/>
      <c r="F143" s="65" t="n"/>
      <c r="G143" s="64" t="n">
        <v>0</v>
      </c>
    </row>
    <row r="144">
      <c r="B144" s="65" t="inlineStr">
        <is>
          <t>C085</t>
        </is>
      </c>
      <c r="C144" s="65" t="n"/>
      <c r="D144" s="65" t="n"/>
      <c r="E144" s="65" t="n"/>
      <c r="F144" s="65" t="n"/>
      <c r="G144" s="64" t="n">
        <v>0</v>
      </c>
    </row>
    <row r="145">
      <c r="B145" s="65" t="inlineStr">
        <is>
          <t>C086</t>
        </is>
      </c>
      <c r="C145" s="65" t="n"/>
      <c r="D145" s="65" t="n"/>
      <c r="E145" s="65" t="n"/>
      <c r="F145" s="65" t="n"/>
      <c r="G145" s="64" t="n">
        <v>0</v>
      </c>
    </row>
    <row r="146">
      <c r="B146" s="65" t="inlineStr">
        <is>
          <t>C087</t>
        </is>
      </c>
      <c r="C146" s="65" t="n"/>
      <c r="D146" s="65" t="n"/>
      <c r="E146" s="65" t="n"/>
      <c r="F146" s="65" t="n"/>
      <c r="G146" s="64" t="n">
        <v>0</v>
      </c>
    </row>
    <row r="147">
      <c r="B147" s="65" t="inlineStr">
        <is>
          <t>C088</t>
        </is>
      </c>
      <c r="C147" s="65" t="n"/>
      <c r="D147" s="65" t="n"/>
      <c r="E147" s="65" t="n"/>
      <c r="F147" s="65" t="n"/>
      <c r="G147" s="64" t="n">
        <v>0</v>
      </c>
    </row>
    <row r="148">
      <c r="B148" s="65" t="inlineStr">
        <is>
          <t>C089</t>
        </is>
      </c>
      <c r="C148" s="65" t="n"/>
      <c r="D148" s="65" t="n"/>
      <c r="E148" s="65" t="n"/>
      <c r="F148" s="65" t="n"/>
      <c r="G148" s="64" t="n">
        <v>0</v>
      </c>
    </row>
    <row r="149">
      <c r="B149" s="65" t="inlineStr">
        <is>
          <t>C090</t>
        </is>
      </c>
      <c r="C149" s="65" t="n"/>
      <c r="D149" s="65" t="n"/>
      <c r="E149" s="65" t="n"/>
      <c r="F149" s="65" t="n"/>
      <c r="G149" s="64" t="n">
        <v>0</v>
      </c>
    </row>
    <row r="150">
      <c r="B150" s="65" t="inlineStr">
        <is>
          <t>C091</t>
        </is>
      </c>
      <c r="C150" s="65" t="n"/>
      <c r="D150" s="65" t="n"/>
      <c r="E150" s="65" t="n"/>
      <c r="F150" s="65" t="n"/>
      <c r="G150" s="64" t="n">
        <v>0</v>
      </c>
    </row>
    <row r="151">
      <c r="B151" s="65" t="inlineStr">
        <is>
          <t>C092</t>
        </is>
      </c>
      <c r="C151" s="65" t="n"/>
      <c r="D151" s="65" t="n"/>
      <c r="E151" s="65" t="n"/>
      <c r="F151" s="65" t="n"/>
      <c r="G151" s="64" t="n">
        <v>0</v>
      </c>
    </row>
    <row r="152">
      <c r="B152" s="65" t="inlineStr">
        <is>
          <t>C093</t>
        </is>
      </c>
      <c r="C152" s="65" t="n"/>
      <c r="D152" s="65" t="n"/>
      <c r="E152" s="65" t="n"/>
      <c r="F152" s="65" t="n"/>
      <c r="G152" s="64" t="n">
        <v>0</v>
      </c>
    </row>
    <row r="153">
      <c r="B153" s="65" t="inlineStr">
        <is>
          <t>C094</t>
        </is>
      </c>
      <c r="C153" s="65" t="n"/>
      <c r="D153" s="65" t="n"/>
      <c r="E153" s="65" t="n"/>
      <c r="F153" s="65" t="n"/>
      <c r="G153" s="64" t="n">
        <v>0</v>
      </c>
    </row>
    <row r="154">
      <c r="B154" s="65" t="inlineStr">
        <is>
          <t>C095</t>
        </is>
      </c>
      <c r="C154" s="65" t="n"/>
      <c r="D154" s="65" t="n"/>
      <c r="E154" s="65" t="n"/>
      <c r="F154" s="65" t="n"/>
      <c r="G154" s="64" t="n">
        <v>0</v>
      </c>
    </row>
    <row r="155">
      <c r="B155" s="65" t="inlineStr">
        <is>
          <t>C096</t>
        </is>
      </c>
      <c r="C155" s="65" t="n"/>
      <c r="D155" s="65" t="n"/>
      <c r="E155" s="65" t="n"/>
      <c r="F155" s="65" t="n"/>
      <c r="G155" s="64" t="n">
        <v>0</v>
      </c>
    </row>
    <row r="156">
      <c r="B156" s="65" t="inlineStr">
        <is>
          <t>C097</t>
        </is>
      </c>
      <c r="C156" s="65" t="n"/>
      <c r="D156" s="65" t="n"/>
      <c r="E156" s="65" t="n"/>
      <c r="F156" s="65" t="n"/>
      <c r="G156" s="64" t="n">
        <v>0</v>
      </c>
    </row>
    <row r="157">
      <c r="B157" s="65" t="inlineStr">
        <is>
          <t>C098</t>
        </is>
      </c>
      <c r="C157" s="65" t="n"/>
      <c r="D157" s="65" t="n"/>
      <c r="E157" s="65" t="n"/>
      <c r="F157" s="65" t="n"/>
      <c r="G157" s="64" t="n">
        <v>0</v>
      </c>
    </row>
    <row r="158">
      <c r="B158" s="65" t="inlineStr">
        <is>
          <t>C099</t>
        </is>
      </c>
      <c r="C158" s="65" t="n"/>
      <c r="D158" s="65" t="n"/>
      <c r="E158" s="65" t="n"/>
      <c r="F158" s="65" t="n"/>
      <c r="G158" s="64" t="n">
        <v>0</v>
      </c>
    </row>
    <row r="159">
      <c r="B159" s="65" t="inlineStr">
        <is>
          <t>C100</t>
        </is>
      </c>
      <c r="C159" s="65" t="n"/>
      <c r="D159" s="65" t="n"/>
      <c r="E159" s="65" t="n"/>
      <c r="F159" s="65" t="n"/>
      <c r="G159" s="64" t="n">
        <v>0</v>
      </c>
    </row>
    <row r="160">
      <c r="B160" s="65" t="inlineStr">
        <is>
          <t>C101</t>
        </is>
      </c>
      <c r="C160" s="65" t="n"/>
      <c r="D160" s="65" t="n"/>
      <c r="E160" s="65" t="n"/>
      <c r="F160" s="65" t="n"/>
      <c r="G160" s="64" t="n">
        <v>0</v>
      </c>
    </row>
    <row r="161">
      <c r="B161" s="65" t="inlineStr">
        <is>
          <t>C102</t>
        </is>
      </c>
      <c r="C161" s="65" t="n"/>
      <c r="D161" s="65" t="n"/>
      <c r="E161" s="65" t="n"/>
      <c r="F161" s="65" t="n"/>
      <c r="G161" s="64" t="n">
        <v>0</v>
      </c>
    </row>
    <row r="162">
      <c r="B162" s="65" t="inlineStr">
        <is>
          <t>C103</t>
        </is>
      </c>
      <c r="C162" s="65" t="n"/>
      <c r="D162" s="65" t="n"/>
      <c r="E162" s="65" t="n"/>
      <c r="F162" s="65" t="n"/>
      <c r="G162" s="64" t="n">
        <v>0</v>
      </c>
    </row>
    <row r="163">
      <c r="B163" s="65" t="inlineStr">
        <is>
          <t>C104</t>
        </is>
      </c>
      <c r="C163" s="65" t="n"/>
      <c r="D163" s="65" t="n"/>
      <c r="E163" s="65" t="n"/>
      <c r="F163" s="65" t="n"/>
      <c r="G163" s="64" t="n">
        <v>0</v>
      </c>
    </row>
    <row r="164">
      <c r="B164" s="65" t="inlineStr">
        <is>
          <t>C105</t>
        </is>
      </c>
      <c r="C164" s="65" t="n"/>
      <c r="D164" s="65" t="n"/>
      <c r="E164" s="65" t="n"/>
      <c r="F164" s="65" t="n"/>
      <c r="G164" s="64" t="n">
        <v>0</v>
      </c>
    </row>
    <row r="165">
      <c r="B165" s="65" t="inlineStr">
        <is>
          <t>C106</t>
        </is>
      </c>
      <c r="C165" s="65" t="n"/>
      <c r="D165" s="65" t="n"/>
      <c r="E165" s="65" t="n"/>
      <c r="F165" s="65" t="n"/>
      <c r="G165" s="64" t="n">
        <v>0</v>
      </c>
    </row>
    <row r="166">
      <c r="B166" s="65" t="inlineStr">
        <is>
          <t>C107</t>
        </is>
      </c>
      <c r="C166" s="65" t="n"/>
      <c r="D166" s="65" t="n"/>
      <c r="E166" s="65" t="n"/>
      <c r="F166" s="65" t="n"/>
      <c r="G166" s="64" t="n">
        <v>0</v>
      </c>
    </row>
    <row r="167">
      <c r="B167" s="65" t="inlineStr">
        <is>
          <t>C108</t>
        </is>
      </c>
      <c r="C167" s="65" t="n"/>
      <c r="D167" s="65" t="n"/>
      <c r="E167" s="65" t="n"/>
      <c r="F167" s="65" t="n"/>
      <c r="G167" s="64" t="n">
        <v>0</v>
      </c>
    </row>
    <row r="168">
      <c r="B168" s="65" t="inlineStr">
        <is>
          <t>C109</t>
        </is>
      </c>
      <c r="C168" s="65" t="n"/>
      <c r="D168" s="65" t="n"/>
      <c r="E168" s="65" t="n"/>
      <c r="F168" s="65" t="n"/>
      <c r="G168" s="64" t="n">
        <v>0</v>
      </c>
    </row>
    <row r="169">
      <c r="B169" s="65" t="inlineStr">
        <is>
          <t>C110</t>
        </is>
      </c>
      <c r="C169" s="65" t="n"/>
      <c r="D169" s="65" t="n"/>
      <c r="E169" s="65" t="n"/>
      <c r="F169" s="65" t="n"/>
      <c r="G169" s="64" t="n">
        <v>0</v>
      </c>
    </row>
    <row r="170">
      <c r="B170" s="65" t="inlineStr">
        <is>
          <t>C111</t>
        </is>
      </c>
      <c r="C170" s="65" t="n"/>
      <c r="D170" s="65" t="n"/>
      <c r="E170" s="65" t="n"/>
      <c r="F170" s="65" t="n"/>
      <c r="G170" s="64" t="n">
        <v>0</v>
      </c>
    </row>
    <row r="171">
      <c r="B171" s="65" t="inlineStr">
        <is>
          <t>C112</t>
        </is>
      </c>
      <c r="C171" s="65" t="n"/>
      <c r="D171" s="65" t="n"/>
      <c r="E171" s="65" t="n"/>
      <c r="F171" s="65" t="n"/>
      <c r="G171" s="64" t="n">
        <v>0</v>
      </c>
    </row>
    <row r="172">
      <c r="B172" s="65" t="inlineStr">
        <is>
          <t>C113</t>
        </is>
      </c>
      <c r="C172" s="65" t="n"/>
      <c r="D172" s="65" t="n"/>
      <c r="E172" s="65" t="n"/>
      <c r="F172" s="65" t="n"/>
      <c r="G172" s="64" t="n">
        <v>0</v>
      </c>
    </row>
    <row r="173">
      <c r="B173" s="65" t="inlineStr">
        <is>
          <t>C114</t>
        </is>
      </c>
      <c r="C173" s="65" t="n"/>
      <c r="D173" s="65" t="n"/>
      <c r="E173" s="65" t="n"/>
      <c r="F173" s="65" t="n"/>
      <c r="G173" s="64" t="n">
        <v>0</v>
      </c>
    </row>
    <row r="174">
      <c r="B174" s="65" t="inlineStr">
        <is>
          <t>C115</t>
        </is>
      </c>
      <c r="C174" s="65" t="n"/>
      <c r="D174" s="65" t="n"/>
      <c r="E174" s="65" t="n"/>
      <c r="F174" s="65" t="n"/>
      <c r="G174" s="64" t="n">
        <v>0</v>
      </c>
    </row>
    <row r="175">
      <c r="B175" s="65" t="inlineStr">
        <is>
          <t>C116</t>
        </is>
      </c>
      <c r="C175" s="65" t="n"/>
      <c r="D175" s="65" t="n"/>
      <c r="E175" s="65" t="n"/>
      <c r="F175" s="65" t="n"/>
      <c r="G175" s="64" t="n">
        <v>0</v>
      </c>
    </row>
    <row r="176">
      <c r="B176" s="65" t="inlineStr">
        <is>
          <t>C117</t>
        </is>
      </c>
      <c r="C176" s="65" t="n"/>
      <c r="D176" s="65" t="n"/>
      <c r="E176" s="65" t="n"/>
      <c r="F176" s="65" t="n"/>
      <c r="G176" s="64" t="n">
        <v>0</v>
      </c>
    </row>
    <row r="177">
      <c r="B177" s="65" t="inlineStr">
        <is>
          <t>C118</t>
        </is>
      </c>
      <c r="C177" s="65" t="n"/>
      <c r="D177" s="65" t="n"/>
      <c r="E177" s="65" t="n"/>
      <c r="F177" s="65" t="n"/>
      <c r="G177" s="64" t="n">
        <v>0</v>
      </c>
    </row>
    <row r="178">
      <c r="B178" s="65" t="inlineStr">
        <is>
          <t>C119</t>
        </is>
      </c>
      <c r="C178" s="65" t="n"/>
      <c r="D178" s="65" t="n"/>
      <c r="E178" s="65" t="n"/>
      <c r="F178" s="65" t="n"/>
      <c r="G178" s="64" t="n">
        <v>0</v>
      </c>
    </row>
    <row r="179">
      <c r="B179" s="65" t="inlineStr">
        <is>
          <t>C120</t>
        </is>
      </c>
      <c r="C179" s="65" t="n"/>
      <c r="D179" s="65" t="n"/>
      <c r="E179" s="65" t="n"/>
      <c r="F179" s="65" t="n"/>
      <c r="G179" s="64" t="n">
        <v>0</v>
      </c>
    </row>
    <row r="180">
      <c r="B180" s="65" t="inlineStr">
        <is>
          <t>SL006</t>
        </is>
      </c>
      <c r="C180" s="65" t="n"/>
      <c r="D180" s="65" t="n"/>
      <c r="E180" s="65" t="n"/>
      <c r="F180" s="65" t="n"/>
      <c r="G180" s="64" t="n">
        <v>0</v>
      </c>
    </row>
    <row r="181">
      <c r="B181" s="65" t="inlineStr">
        <is>
          <t>SL007</t>
        </is>
      </c>
      <c r="C181" s="65" t="n"/>
      <c r="D181" s="65" t="n"/>
      <c r="E181" s="65" t="n"/>
      <c r="F181" s="65" t="n"/>
      <c r="G181" s="64" t="n">
        <v>0</v>
      </c>
    </row>
    <row r="182">
      <c r="B182" s="65" t="inlineStr">
        <is>
          <t>SL008</t>
        </is>
      </c>
      <c r="C182" s="65" t="n"/>
      <c r="D182" s="65" t="n"/>
      <c r="E182" s="65" t="n"/>
      <c r="F182" s="65" t="n"/>
      <c r="G182" s="64" t="n">
        <v>0</v>
      </c>
    </row>
    <row r="183">
      <c r="B183" s="65" t="inlineStr">
        <is>
          <t>SL009</t>
        </is>
      </c>
      <c r="C183" s="65" t="n"/>
      <c r="D183" s="65" t="n"/>
      <c r="E183" s="65" t="n"/>
      <c r="F183" s="65" t="n"/>
      <c r="G183" s="64" t="n">
        <v>0</v>
      </c>
    </row>
    <row r="184">
      <c r="B184" s="65" t="inlineStr">
        <is>
          <t>SL010</t>
        </is>
      </c>
      <c r="C184" s="65" t="n"/>
      <c r="D184" s="65" t="n"/>
      <c r="E184" s="65" t="n"/>
      <c r="F184" s="65" t="n"/>
      <c r="G184" s="64" t="n">
        <v>0</v>
      </c>
    </row>
    <row r="185">
      <c r="B185" s="65" t="inlineStr">
        <is>
          <t>SL011</t>
        </is>
      </c>
      <c r="C185" s="65" t="n"/>
      <c r="D185" s="65" t="n"/>
      <c r="E185" s="65" t="n"/>
      <c r="F185" s="65" t="n"/>
      <c r="G185" s="64" t="n">
        <v>0</v>
      </c>
    </row>
    <row r="186">
      <c r="B186" s="65" t="inlineStr">
        <is>
          <t>SL012</t>
        </is>
      </c>
      <c r="C186" s="65" t="n"/>
      <c r="D186" s="65" t="n"/>
      <c r="E186" s="65" t="n"/>
      <c r="F186" s="65" t="n"/>
      <c r="G186" s="64" t="n">
        <v>0</v>
      </c>
    </row>
    <row r="187">
      <c r="B187" s="65" t="inlineStr">
        <is>
          <t>SL013</t>
        </is>
      </c>
      <c r="C187" s="65" t="n"/>
      <c r="D187" s="65" t="n"/>
      <c r="E187" s="65" t="n"/>
      <c r="F187" s="65" t="n"/>
      <c r="G187" s="64" t="n">
        <v>0</v>
      </c>
    </row>
    <row r="188">
      <c r="B188" s="65" t="inlineStr">
        <is>
          <t>SL014</t>
        </is>
      </c>
      <c r="C188" s="65" t="n"/>
      <c r="D188" s="65" t="n"/>
      <c r="E188" s="65" t="n"/>
      <c r="F188" s="65" t="n"/>
      <c r="G188" s="64" t="n">
        <v>0</v>
      </c>
    </row>
    <row r="189">
      <c r="B189" s="65" t="inlineStr">
        <is>
          <t>SL015</t>
        </is>
      </c>
      <c r="C189" s="65" t="n"/>
      <c r="D189" s="65" t="n"/>
      <c r="E189" s="65" t="n"/>
      <c r="F189" s="65" t="n"/>
      <c r="G189" s="64" t="n">
        <v>0</v>
      </c>
    </row>
    <row r="190">
      <c r="B190" s="65" t="inlineStr">
        <is>
          <t>SL016</t>
        </is>
      </c>
      <c r="C190" s="65" t="n"/>
      <c r="D190" s="65" t="n"/>
      <c r="E190" s="65" t="n"/>
      <c r="F190" s="65" t="n"/>
      <c r="G190" s="64" t="n">
        <v>0</v>
      </c>
    </row>
    <row r="191">
      <c r="B191" s="65" t="inlineStr">
        <is>
          <t>SL017</t>
        </is>
      </c>
      <c r="C191" s="65" t="n"/>
      <c r="D191" s="65" t="n"/>
      <c r="E191" s="65" t="n"/>
      <c r="F191" s="65" t="n"/>
      <c r="G191" s="64" t="n">
        <v>0</v>
      </c>
    </row>
    <row r="192">
      <c r="B192" s="65" t="inlineStr">
        <is>
          <t>SL018</t>
        </is>
      </c>
      <c r="C192" s="65" t="n"/>
      <c r="D192" s="65" t="n"/>
      <c r="E192" s="65" t="n"/>
      <c r="F192" s="65" t="n"/>
      <c r="G192" s="64" t="n">
        <v>0</v>
      </c>
    </row>
    <row r="193">
      <c r="B193" s="65" t="inlineStr">
        <is>
          <t>SL019</t>
        </is>
      </c>
      <c r="C193" s="65" t="n"/>
      <c r="D193" s="65" t="n"/>
      <c r="E193" s="65" t="n"/>
      <c r="F193" s="65" t="n"/>
      <c r="G193" s="64" t="n">
        <v>0</v>
      </c>
    </row>
    <row r="194">
      <c r="B194" s="65" t="inlineStr">
        <is>
          <t>SL020</t>
        </is>
      </c>
      <c r="C194" s="65" t="n"/>
      <c r="D194" s="65" t="n"/>
      <c r="E194" s="65" t="n"/>
      <c r="F194" s="65" t="n"/>
      <c r="G194" s="64" t="n">
        <v>0</v>
      </c>
    </row>
    <row r="195">
      <c r="B195" s="65" t="inlineStr">
        <is>
          <t>SL021</t>
        </is>
      </c>
      <c r="C195" s="65" t="n"/>
      <c r="D195" s="65" t="n"/>
      <c r="E195" s="65" t="n"/>
      <c r="F195" s="65" t="n"/>
      <c r="G195" s="64" t="n">
        <v>0</v>
      </c>
    </row>
    <row r="196">
      <c r="B196" s="65" t="inlineStr">
        <is>
          <t>SL022</t>
        </is>
      </c>
      <c r="C196" s="65" t="n"/>
      <c r="D196" s="65" t="n"/>
      <c r="E196" s="65" t="n"/>
      <c r="F196" s="65" t="n"/>
      <c r="G196" s="64" t="n">
        <v>0</v>
      </c>
    </row>
    <row r="197">
      <c r="B197" s="65" t="inlineStr">
        <is>
          <t>SL023</t>
        </is>
      </c>
      <c r="C197" s="65" t="n"/>
      <c r="D197" s="65" t="n"/>
      <c r="E197" s="65" t="n"/>
      <c r="F197" s="65" t="n"/>
      <c r="G197" s="64" t="n">
        <v>0</v>
      </c>
    </row>
    <row r="198">
      <c r="B198" s="65" t="inlineStr">
        <is>
          <t>SL024</t>
        </is>
      </c>
      <c r="C198" s="65" t="n"/>
      <c r="D198" s="65" t="n"/>
      <c r="E198" s="65" t="n"/>
      <c r="F198" s="65" t="n"/>
      <c r="G198" s="64" t="n">
        <v>0</v>
      </c>
    </row>
    <row r="199">
      <c r="B199" s="65" t="inlineStr">
        <is>
          <t>SL025</t>
        </is>
      </c>
      <c r="C199" s="65" t="n"/>
      <c r="D199" s="65" t="n"/>
      <c r="E199" s="65" t="n"/>
      <c r="F199" s="65" t="n"/>
      <c r="G199" s="64" t="n">
        <v>0</v>
      </c>
    </row>
    <row r="200">
      <c r="B200" s="65" t="inlineStr">
        <is>
          <t>SL026</t>
        </is>
      </c>
      <c r="C200" s="65" t="n"/>
      <c r="D200" s="65" t="n"/>
      <c r="E200" s="65" t="n"/>
      <c r="F200" s="65" t="n"/>
      <c r="G200" s="64" t="n">
        <v>0</v>
      </c>
    </row>
    <row r="201">
      <c r="B201" s="65" t="inlineStr">
        <is>
          <t>SL027</t>
        </is>
      </c>
      <c r="C201" s="65" t="n"/>
      <c r="D201" s="65" t="n"/>
      <c r="E201" s="65" t="n"/>
      <c r="F201" s="65" t="n"/>
      <c r="G201" s="64" t="n">
        <v>0</v>
      </c>
    </row>
    <row r="202">
      <c r="B202" s="65" t="inlineStr">
        <is>
          <t>SL028</t>
        </is>
      </c>
      <c r="C202" s="65" t="n"/>
      <c r="D202" s="65" t="n"/>
      <c r="E202" s="65" t="n"/>
      <c r="F202" s="65" t="n"/>
      <c r="G202" s="64" t="n">
        <v>0</v>
      </c>
    </row>
    <row r="203">
      <c r="B203" s="65" t="inlineStr">
        <is>
          <t>SL029</t>
        </is>
      </c>
      <c r="C203" s="65" t="n"/>
      <c r="D203" s="65" t="n"/>
      <c r="E203" s="65" t="n"/>
      <c r="F203" s="65" t="n"/>
      <c r="G203" s="64" t="n">
        <v>0</v>
      </c>
    </row>
    <row r="204">
      <c r="B204" s="65" t="inlineStr">
        <is>
          <t>SL030</t>
        </is>
      </c>
      <c r="C204" s="65" t="n"/>
      <c r="D204" s="65" t="n"/>
      <c r="E204" s="65" t="n"/>
      <c r="F204" s="65" t="n"/>
      <c r="G204" s="64" t="n">
        <v>0</v>
      </c>
    </row>
    <row r="205">
      <c r="B205" s="65" t="inlineStr">
        <is>
          <t>S004</t>
        </is>
      </c>
      <c r="C205" s="65" t="n"/>
      <c r="D205" s="65" t="n"/>
      <c r="E205" s="65" t="n"/>
      <c r="F205" s="65" t="n"/>
      <c r="G205" s="64" t="n">
        <v>0</v>
      </c>
    </row>
    <row r="206">
      <c r="B206" s="65" t="inlineStr">
        <is>
          <t>S005</t>
        </is>
      </c>
      <c r="C206" s="65" t="n"/>
      <c r="D206" s="65" t="n"/>
      <c r="E206" s="65" t="n"/>
      <c r="F206" s="65" t="n"/>
      <c r="G206" s="64" t="n">
        <v>0</v>
      </c>
    </row>
    <row r="207">
      <c r="B207" s="65" t="inlineStr">
        <is>
          <t>S006</t>
        </is>
      </c>
      <c r="C207" s="65" t="n"/>
      <c r="D207" s="65" t="n"/>
      <c r="E207" s="65" t="n"/>
      <c r="F207" s="65" t="n"/>
      <c r="G207" s="64" t="n">
        <v>0</v>
      </c>
    </row>
    <row r="208">
      <c r="B208" s="65" t="inlineStr">
        <is>
          <t>S007</t>
        </is>
      </c>
      <c r="C208" s="65" t="n"/>
      <c r="D208" s="65" t="n"/>
      <c r="E208" s="65" t="n"/>
      <c r="F208" s="65" t="n"/>
      <c r="G208" s="64" t="n">
        <v>0</v>
      </c>
    </row>
    <row r="209">
      <c r="B209" s="65" t="inlineStr">
        <is>
          <t>S008</t>
        </is>
      </c>
      <c r="C209" s="65" t="n"/>
      <c r="D209" s="65" t="n"/>
      <c r="E209" s="65" t="n"/>
      <c r="F209" s="65" t="n"/>
      <c r="G209" s="64" t="n">
        <v>0</v>
      </c>
    </row>
    <row r="210">
      <c r="B210" s="65" t="inlineStr">
        <is>
          <t>S009</t>
        </is>
      </c>
      <c r="C210" s="65" t="n"/>
      <c r="D210" s="65" t="n"/>
      <c r="E210" s="65" t="n"/>
      <c r="F210" s="65" t="n"/>
      <c r="G210" s="64" t="n">
        <v>0</v>
      </c>
    </row>
    <row r="211">
      <c r="B211" s="65" t="inlineStr">
        <is>
          <t>S010</t>
        </is>
      </c>
      <c r="C211" s="65" t="n"/>
      <c r="D211" s="65" t="n"/>
      <c r="E211" s="65" t="n"/>
      <c r="F211" s="65" t="n"/>
      <c r="G211" s="64" t="n">
        <v>0</v>
      </c>
    </row>
    <row r="212">
      <c r="B212" s="65" t="inlineStr">
        <is>
          <t>S011</t>
        </is>
      </c>
      <c r="C212" s="65" t="n"/>
      <c r="D212" s="65" t="n"/>
      <c r="E212" s="65" t="n"/>
      <c r="F212" s="65" t="n"/>
      <c r="G212" s="64" t="n">
        <v>0</v>
      </c>
    </row>
    <row r="213">
      <c r="B213" s="65" t="inlineStr">
        <is>
          <t>S012</t>
        </is>
      </c>
      <c r="C213" s="65" t="n"/>
      <c r="D213" s="65" t="n"/>
      <c r="E213" s="65" t="n"/>
      <c r="F213" s="65" t="n"/>
      <c r="G213" s="64" t="n">
        <v>0</v>
      </c>
    </row>
    <row r="214">
      <c r="B214" s="65" t="inlineStr">
        <is>
          <t>S013</t>
        </is>
      </c>
      <c r="C214" s="65" t="n"/>
      <c r="D214" s="65" t="n"/>
      <c r="E214" s="65" t="n"/>
      <c r="F214" s="65" t="n"/>
      <c r="G214" s="64" t="n">
        <v>0</v>
      </c>
    </row>
    <row r="215">
      <c r="B215" s="65" t="inlineStr">
        <is>
          <t>S014</t>
        </is>
      </c>
      <c r="C215" s="65" t="n"/>
      <c r="D215" s="65" t="n"/>
      <c r="E215" s="65" t="n"/>
      <c r="F215" s="65" t="n"/>
      <c r="G215" s="64" t="n">
        <v>0</v>
      </c>
    </row>
    <row r="216">
      <c r="B216" s="65" t="inlineStr">
        <is>
          <t>S015</t>
        </is>
      </c>
      <c r="C216" s="65" t="n"/>
      <c r="D216" s="65" t="n"/>
      <c r="E216" s="65" t="n"/>
      <c r="F216" s="65" t="n"/>
      <c r="G216" s="64" t="n">
        <v>0</v>
      </c>
    </row>
    <row r="217">
      <c r="B217" s="65" t="inlineStr">
        <is>
          <t>S016</t>
        </is>
      </c>
      <c r="C217" s="65" t="n"/>
      <c r="D217" s="65" t="n"/>
      <c r="E217" s="65" t="n"/>
      <c r="F217" s="65" t="n"/>
      <c r="G217" s="64" t="n">
        <v>0</v>
      </c>
    </row>
    <row r="218">
      <c r="B218" s="65" t="inlineStr">
        <is>
          <t>S017</t>
        </is>
      </c>
      <c r="C218" s="65" t="n"/>
      <c r="D218" s="65" t="n"/>
      <c r="E218" s="65" t="n"/>
      <c r="F218" s="65" t="n"/>
      <c r="G218" s="64" t="n">
        <v>0</v>
      </c>
    </row>
    <row r="219">
      <c r="B219" s="65" t="inlineStr">
        <is>
          <t>S018</t>
        </is>
      </c>
      <c r="C219" s="65" t="n"/>
      <c r="D219" s="65" t="n"/>
      <c r="E219" s="65" t="n"/>
      <c r="F219" s="65" t="n"/>
      <c r="G219" s="64" t="n">
        <v>0</v>
      </c>
    </row>
    <row r="220">
      <c r="B220" s="65" t="inlineStr">
        <is>
          <t>S019</t>
        </is>
      </c>
      <c r="C220" s="65" t="n"/>
      <c r="D220" s="65" t="n"/>
      <c r="E220" s="65" t="n"/>
      <c r="F220" s="65" t="n"/>
      <c r="G220" s="64" t="n">
        <v>0</v>
      </c>
    </row>
    <row r="221">
      <c r="B221" s="65" t="inlineStr">
        <is>
          <t>S020</t>
        </is>
      </c>
      <c r="C221" s="65" t="n"/>
      <c r="D221" s="65" t="n"/>
      <c r="E221" s="65" t="n"/>
      <c r="F221" s="65" t="n"/>
      <c r="G221" s="64" t="n">
        <v>0</v>
      </c>
    </row>
    <row r="222">
      <c r="B222" s="65" t="inlineStr">
        <is>
          <t>E007</t>
        </is>
      </c>
      <c r="C222" s="65" t="n"/>
      <c r="D222" s="65" t="n"/>
      <c r="E222" s="65" t="n"/>
      <c r="F222" s="65" t="n"/>
      <c r="G222" s="64" t="n">
        <v>0</v>
      </c>
    </row>
    <row r="223">
      <c r="B223" s="65" t="inlineStr">
        <is>
          <t>E008</t>
        </is>
      </c>
      <c r="C223" s="65" t="n"/>
      <c r="D223" s="65" t="n"/>
      <c r="E223" s="65" t="n"/>
      <c r="F223" s="65" t="n"/>
      <c r="G223" s="64" t="n">
        <v>0</v>
      </c>
    </row>
    <row r="224">
      <c r="B224" s="65" t="inlineStr">
        <is>
          <t>E009</t>
        </is>
      </c>
      <c r="C224" s="65" t="n"/>
      <c r="D224" s="65" t="n"/>
      <c r="E224" s="65" t="n"/>
      <c r="F224" s="65" t="n"/>
      <c r="G224" s="64" t="n">
        <v>0</v>
      </c>
    </row>
    <row r="225">
      <c r="B225" s="65" t="inlineStr">
        <is>
          <t>E010</t>
        </is>
      </c>
      <c r="C225" s="65" t="n"/>
      <c r="D225" s="65" t="n"/>
      <c r="E225" s="65" t="n"/>
      <c r="F225" s="65" t="n"/>
      <c r="G225" s="64" t="n">
        <v>0</v>
      </c>
    </row>
    <row r="226">
      <c r="B226" s="65" t="inlineStr">
        <is>
          <t>F004</t>
        </is>
      </c>
      <c r="C226" s="65" t="n"/>
      <c r="D226" s="65" t="n"/>
      <c r="E226" s="65" t="n"/>
      <c r="F226" s="65" t="n"/>
      <c r="G226" s="64" t="n">
        <v>0</v>
      </c>
    </row>
    <row r="227">
      <c r="B227" s="65" t="inlineStr">
        <is>
          <t>F005</t>
        </is>
      </c>
      <c r="C227" s="65" t="n"/>
      <c r="D227" s="65" t="n"/>
      <c r="E227" s="65" t="n"/>
      <c r="F227" s="65" t="n"/>
      <c r="G227" s="64" t="n">
        <v>0</v>
      </c>
    </row>
    <row r="228">
      <c r="B228" s="65" t="inlineStr">
        <is>
          <t>F006</t>
        </is>
      </c>
      <c r="C228" s="65" t="n"/>
      <c r="D228" s="65" t="n"/>
      <c r="E228" s="65" t="n"/>
      <c r="F228" s="65" t="n"/>
      <c r="G228" s="64" t="n">
        <v>0</v>
      </c>
    </row>
    <row r="229">
      <c r="B229" s="65" t="inlineStr">
        <is>
          <t>F007</t>
        </is>
      </c>
      <c r="C229" s="65" t="n"/>
      <c r="D229" s="65" t="n"/>
      <c r="E229" s="65" t="n"/>
      <c r="F229" s="65" t="n"/>
      <c r="G229" s="64" t="n">
        <v>0</v>
      </c>
    </row>
    <row r="230">
      <c r="B230" s="65" t="inlineStr">
        <is>
          <t>F008</t>
        </is>
      </c>
      <c r="C230" s="65" t="n"/>
      <c r="D230" s="65" t="n"/>
      <c r="E230" s="65" t="n"/>
      <c r="F230" s="65" t="n"/>
      <c r="G230" s="64" t="n">
        <v>0</v>
      </c>
    </row>
    <row r="231">
      <c r="B231" s="65" t="inlineStr">
        <is>
          <t>F009</t>
        </is>
      </c>
      <c r="C231" s="65" t="n"/>
      <c r="D231" s="65" t="n"/>
      <c r="E231" s="65" t="n"/>
      <c r="F231" s="65" t="n"/>
      <c r="G231" s="64" t="n">
        <v>0</v>
      </c>
    </row>
    <row r="232">
      <c r="B232" s="65" t="inlineStr">
        <is>
          <t>F010</t>
        </is>
      </c>
      <c r="C232" s="65" t="n"/>
      <c r="D232" s="65" t="n"/>
      <c r="E232" s="65" t="n"/>
      <c r="F232" s="65" t="n"/>
      <c r="G232" s="64" t="n">
        <v>0</v>
      </c>
    </row>
    <row r="233">
      <c r="B233" s="65" t="inlineStr">
        <is>
          <t>L002</t>
        </is>
      </c>
      <c r="C233" s="65" t="n"/>
      <c r="D233" s="65" t="n"/>
      <c r="E233" s="65" t="n"/>
      <c r="F233" s="65" t="n"/>
      <c r="G233" s="64" t="n">
        <v>0</v>
      </c>
    </row>
    <row r="234">
      <c r="B234" s="65" t="inlineStr">
        <is>
          <t>L003</t>
        </is>
      </c>
      <c r="C234" s="65" t="n"/>
      <c r="D234" s="65" t="n"/>
      <c r="E234" s="65" t="n"/>
      <c r="F234" s="65" t="n"/>
      <c r="G234" s="64" t="n">
        <v>0</v>
      </c>
    </row>
    <row r="235">
      <c r="B235" s="65" t="inlineStr">
        <is>
          <t>L004</t>
        </is>
      </c>
      <c r="C235" s="65" t="n"/>
      <c r="D235" s="65" t="n"/>
      <c r="E235" s="65" t="n"/>
      <c r="F235" s="65" t="n"/>
      <c r="G235" s="64" t="n">
        <v>0</v>
      </c>
    </row>
    <row r="236">
      <c r="B236" s="65" t="inlineStr">
        <is>
          <t>L005</t>
        </is>
      </c>
      <c r="C236" s="65" t="n"/>
      <c r="D236" s="65" t="n"/>
      <c r="E236" s="65" t="n"/>
      <c r="F236" s="65" t="n"/>
      <c r="G236" s="64" t="n">
        <v>0</v>
      </c>
    </row>
    <row r="237">
      <c r="B237" s="65" t="inlineStr">
        <is>
          <t>CAP002</t>
        </is>
      </c>
      <c r="C237" s="65" t="n"/>
      <c r="D237" s="65" t="n"/>
      <c r="E237" s="65" t="n"/>
      <c r="F237" s="65" t="n"/>
      <c r="G237" s="64" t="n">
        <v>0</v>
      </c>
    </row>
    <row r="238">
      <c r="B238" s="65" t="inlineStr">
        <is>
          <t>CAP003</t>
        </is>
      </c>
      <c r="C238" s="65" t="n"/>
      <c r="D238" s="65" t="n"/>
      <c r="E238" s="65" t="n"/>
      <c r="F238" s="65" t="n"/>
      <c r="G238" s="64" t="n">
        <v>0</v>
      </c>
    </row>
    <row r="239">
      <c r="B239" s="65" t="inlineStr">
        <is>
          <t>CAP004</t>
        </is>
      </c>
      <c r="C239" s="65" t="n"/>
      <c r="D239" s="65" t="n"/>
      <c r="E239" s="65" t="n"/>
      <c r="F239" s="65" t="n"/>
      <c r="G239" s="64" t="n">
        <v>0</v>
      </c>
    </row>
    <row r="240">
      <c r="B240" s="65" t="inlineStr">
        <is>
          <t>CAP005</t>
        </is>
      </c>
      <c r="C240" s="65" t="n"/>
      <c r="D240" s="65" t="n"/>
      <c r="E240" s="65" t="n"/>
      <c r="F240" s="65" t="n"/>
      <c r="G240" s="64" t="n">
        <v>0</v>
      </c>
    </row>
    <row r="241">
      <c r="B241" s="65" t="inlineStr">
        <is>
          <t>BD002</t>
        </is>
      </c>
      <c r="C241" s="65" t="n"/>
      <c r="D241" s="65" t="n"/>
      <c r="E241" s="65" t="n"/>
      <c r="F241" s="65" t="n"/>
      <c r="G241" s="64" t="n">
        <v>0</v>
      </c>
    </row>
    <row r="242">
      <c r="B242" s="65" t="inlineStr">
        <is>
          <t>BD003</t>
        </is>
      </c>
      <c r="C242" s="65" t="n"/>
      <c r="D242" s="65" t="n"/>
      <c r="E242" s="65" t="n"/>
      <c r="F242" s="65" t="n"/>
      <c r="G242" s="64" t="n">
        <v>0</v>
      </c>
    </row>
    <row r="243">
      <c r="B243" s="65" t="inlineStr">
        <is>
          <t>BD004</t>
        </is>
      </c>
      <c r="C243" s="65" t="n"/>
      <c r="D243" s="65" t="n"/>
      <c r="E243" s="65" t="n"/>
      <c r="F243" s="65" t="n"/>
      <c r="G243" s="64" t="n">
        <v>0</v>
      </c>
    </row>
    <row r="244">
      <c r="B244" s="65" t="inlineStr">
        <is>
          <t>BD005</t>
        </is>
      </c>
      <c r="C244" s="65" t="n"/>
      <c r="D244" s="65" t="n"/>
      <c r="E244" s="65" t="n"/>
      <c r="F244" s="65" t="n"/>
      <c r="G244" s="64" t="n">
        <v>0</v>
      </c>
    </row>
    <row r="245">
      <c r="B245" s="65" t="inlineStr">
        <is>
          <t>BD006</t>
        </is>
      </c>
      <c r="C245" s="65" t="n"/>
      <c r="D245" s="65" t="n"/>
      <c r="E245" s="65" t="n"/>
      <c r="F245" s="65" t="n"/>
      <c r="G245" s="64" t="n">
        <v>0</v>
      </c>
    </row>
    <row r="246">
      <c r="B246" s="65" t="inlineStr">
        <is>
          <t>BD007</t>
        </is>
      </c>
      <c r="C246" s="65" t="n"/>
      <c r="D246" s="65" t="n"/>
      <c r="E246" s="65" t="n"/>
      <c r="F246" s="65" t="n"/>
      <c r="G246" s="64" t="n">
        <v>0</v>
      </c>
    </row>
    <row r="247">
      <c r="B247" s="65" t="inlineStr">
        <is>
          <t>BD008</t>
        </is>
      </c>
      <c r="C247" s="65" t="n"/>
      <c r="D247" s="65" t="n"/>
      <c r="E247" s="65" t="n"/>
      <c r="F247" s="65" t="n"/>
      <c r="G247" s="64" t="n">
        <v>0</v>
      </c>
    </row>
    <row r="248">
      <c r="B248" s="65" t="inlineStr">
        <is>
          <t>BD009</t>
        </is>
      </c>
      <c r="C248" s="65" t="n"/>
      <c r="D248" s="65" t="n"/>
      <c r="E248" s="65" t="n"/>
      <c r="F248" s="65" t="n"/>
      <c r="G248" s="64" t="n">
        <v>0</v>
      </c>
    </row>
    <row r="249">
      <c r="B249" s="65" t="inlineStr">
        <is>
          <t>BD010</t>
        </is>
      </c>
      <c r="C249" s="65" t="n"/>
      <c r="D249" s="65" t="n"/>
      <c r="E249" s="65" t="n"/>
      <c r="F249" s="65" t="n"/>
      <c r="G249" s="64" t="n">
        <v>0</v>
      </c>
    </row>
    <row r="250">
      <c r="B250" s="65" t="inlineStr">
        <is>
          <t>BD011</t>
        </is>
      </c>
      <c r="C250" s="65" t="n"/>
      <c r="D250" s="65" t="n"/>
      <c r="E250" s="65" t="n"/>
      <c r="F250" s="65" t="n"/>
      <c r="G250" s="64" t="n">
        <v>0</v>
      </c>
    </row>
    <row r="251">
      <c r="B251" s="65" t="inlineStr">
        <is>
          <t>BD012</t>
        </is>
      </c>
      <c r="C251" s="65" t="n"/>
      <c r="D251" s="65" t="n"/>
      <c r="E251" s="65" t="n"/>
      <c r="F251" s="65" t="n"/>
      <c r="G251" s="64" t="n">
        <v>0</v>
      </c>
    </row>
    <row r="252">
      <c r="B252" s="65" t="inlineStr">
        <is>
          <t>BD013</t>
        </is>
      </c>
      <c r="C252" s="65" t="n"/>
      <c r="D252" s="65" t="n"/>
      <c r="E252" s="65" t="n"/>
      <c r="F252" s="65" t="n"/>
      <c r="G252" s="64" t="n">
        <v>0</v>
      </c>
    </row>
    <row r="253">
      <c r="B253" s="65" t="inlineStr">
        <is>
          <t>BD014</t>
        </is>
      </c>
      <c r="C253" s="65" t="n"/>
      <c r="D253" s="65" t="n"/>
      <c r="E253" s="65" t="n"/>
      <c r="F253" s="65" t="n"/>
      <c r="G253" s="64" t="n">
        <v>0</v>
      </c>
    </row>
    <row r="254">
      <c r="B254" s="65" t="inlineStr">
        <is>
          <t>BD015</t>
        </is>
      </c>
      <c r="C254" s="65" t="n"/>
      <c r="D254" s="65" t="n"/>
      <c r="E254" s="65" t="n"/>
      <c r="F254" s="65" t="n"/>
      <c r="G254" s="64" t="n">
        <v>0</v>
      </c>
    </row>
    <row r="255">
      <c r="B255" s="65" t="inlineStr">
        <is>
          <t>BD016</t>
        </is>
      </c>
      <c r="C255" s="65" t="n"/>
      <c r="D255" s="65" t="n"/>
      <c r="E255" s="65" t="n"/>
      <c r="F255" s="65" t="n"/>
      <c r="G255" s="64" t="n">
        <v>0</v>
      </c>
    </row>
    <row r="256">
      <c r="B256" s="65" t="inlineStr">
        <is>
          <t>BD017</t>
        </is>
      </c>
      <c r="C256" s="65" t="n"/>
      <c r="D256" s="65" t="n"/>
      <c r="E256" s="65" t="n"/>
      <c r="F256" s="65" t="n"/>
      <c r="G256" s="64" t="n">
        <v>0</v>
      </c>
    </row>
    <row r="257">
      <c r="B257" s="65" t="inlineStr">
        <is>
          <t>BD018</t>
        </is>
      </c>
      <c r="C257" s="65" t="n"/>
      <c r="D257" s="65" t="n"/>
      <c r="E257" s="65" t="n"/>
      <c r="F257" s="65" t="n"/>
      <c r="G257" s="64" t="n">
        <v>0</v>
      </c>
    </row>
    <row r="258">
      <c r="B258" s="65" t="inlineStr">
        <is>
          <t>BD019</t>
        </is>
      </c>
      <c r="C258" s="65" t="n"/>
      <c r="D258" s="65" t="n"/>
      <c r="E258" s="65" t="n"/>
      <c r="F258" s="65" t="n"/>
      <c r="G258" s="64" t="n">
        <v>0</v>
      </c>
    </row>
    <row r="259">
      <c r="B259" s="65" t="inlineStr">
        <is>
          <t>BD020</t>
        </is>
      </c>
      <c r="C259" s="65" t="n"/>
      <c r="D259" s="65" t="n"/>
      <c r="E259" s="65" t="n"/>
      <c r="F259" s="65" t="n"/>
      <c r="G259" s="64" t="n">
        <v>0</v>
      </c>
    </row>
  </sheetData>
  <sheetProtection selectLockedCells="0" selectUnlockedCells="1" sheet="1" objects="1" insertRows="1" insertHyperlinks="1" autoFilter="1" scenarios="1" formatColumns="1" deleteColumns="1" insertColumns="1" pivotTables="1" deleteRows="1" formatCells="1" formatRows="1" sort="1"/>
  <mergeCells count="17">
    <mergeCell ref="AO9:AP9"/>
    <mergeCell ref="AH9:AI9"/>
    <mergeCell ref="AR8:AS8"/>
    <mergeCell ref="A1:M1"/>
    <mergeCell ref="AO8:AP8"/>
    <mergeCell ref="B9:G9"/>
    <mergeCell ref="A2:M2"/>
    <mergeCell ref="B8:G8"/>
    <mergeCell ref="AK9:AN9"/>
    <mergeCell ref="A3:M3"/>
    <mergeCell ref="Y8:AF8"/>
    <mergeCell ref="I9:W9"/>
    <mergeCell ref="I8:W8"/>
    <mergeCell ref="AK8:AN8"/>
    <mergeCell ref="Y9:AF9"/>
    <mergeCell ref="AH8:AI8"/>
    <mergeCell ref="AR9:AS9"/>
  </mergeCells>
  <printOptions horizontalCentered="1"/>
  <pageMargins left="0.25" right="0.25" top="0.4" bottom="0.4" header="0.3" footer="0.3"/>
  <pageSetup orientation="landscape" paperSize="9" fitToHeight="0" fitToWidth="1"/>
  <headerFooter>
    <oddHeader>&amp;Lمازندشت — سامانه حسابداری سورتینگ&amp;C&amp;"B Nazanin,Bold"&amp;10 MAZANDASHT · SYNC&amp;R&amp;A</oddHeader>
    <oddFooter>&amp;L&amp;F&amp;Cصفحه &amp;P از &amp;N&amp;Rنسخه ۰۴ · ۱۴۰۵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14453D"/>
    <outlinePr summaryBelow="1" summaryRight="1"/>
    <pageSetUpPr fitToPage="1"/>
  </sheetPr>
  <dimension ref="A1:I27"/>
  <sheetViews>
    <sheetView showGridLines="0" rightToLeft="1" zoomScale="88" zoomScaleNormal="88" workbookViewId="0">
      <pane xSplit="2" ySplit="9" topLeftCell="C10" activePane="bottomRight" state="frozen"/>
      <selection pane="topRight" activeCell="C1" sqref="C1"/>
      <selection pane="bottomLeft" activeCell="A10" sqref="A10"/>
      <selection pane="bottomRight" activeCell="A1" sqref="A1"/>
    </sheetView>
  </sheetViews>
  <sheetFormatPr baseColWidth="8" defaultRowHeight="15"/>
  <sheetData>
    <row r="1" ht="20.25" customHeight="1">
      <c r="A1" s="83" t="inlineStr">
        <is>
          <t>مازندشت — سورتینگ و بسته‌بندی مرکبات</t>
        </is>
      </c>
      <c r="E1" s="84" t="inlineStr">
        <is>
          <t>MAZANDASHT  ·  CITRUS SORTING &amp; PACKING</t>
        </is>
      </c>
    </row>
    <row r="2" ht="38.25" customHeight="1">
      <c r="A2" s="85" t="inlineStr">
        <is>
          <t>راهنمای نمونه</t>
        </is>
      </c>
    </row>
    <row r="3" ht="45.75" customHeight="1">
      <c r="A3" s="86" t="inlineStr">
        <is>
          <t>منطق سیستم در ۵ جمله</t>
        </is>
      </c>
    </row>
    <row r="4" ht="24" customHeight="1">
      <c r="A4" s="22" t="inlineStr">
        <is>
          <t>راهنما</t>
        </is>
      </c>
      <c r="B4" s="23" t="inlineStr">
        <is>
          <t>ورود دستی</t>
        </is>
      </c>
      <c r="C4" s="24" t="inlineStr">
        <is>
          <t>خودکار</t>
        </is>
      </c>
      <c r="D4" s="25" t="inlineStr">
        <is>
          <t>ورود</t>
        </is>
      </c>
      <c r="E4" s="26" t="inlineStr">
        <is>
          <t>خروج</t>
        </is>
      </c>
      <c r="F4" s="27" t="inlineStr">
        <is>
          <t>هشدار</t>
        </is>
      </c>
      <c r="G4" s="87" t="inlineStr">
        <is>
          <t>ستون‌های زرد = ورود شما  |  ستون‌های خاکستری = محاسبه خودکار  |  روی سرستون‌ها بایستید تا راهنما باز شود</t>
        </is>
      </c>
    </row>
    <row r="5" ht="17.25" customHeight="1">
      <c r="A5" s="100" t="n"/>
    </row>
    <row r="6" ht="33" customHeight="1"/>
    <row r="7" ht="6.75" customHeight="1">
      <c r="A7" s="101" t="n"/>
    </row>
    <row r="8"/>
    <row r="9"/>
    <row r="10"/>
    <row r="11" ht="30" customHeight="1">
      <c r="A11" s="68" t="n"/>
      <c r="B11" s="5" t="inlineStr">
        <is>
          <t>•</t>
        </is>
      </c>
      <c r="C11" s="6" t="inlineStr">
        <is>
          <t>۱. وزن خالص</t>
        </is>
      </c>
      <c r="D11" s="74" t="n"/>
      <c r="E11" s="74" t="n"/>
      <c r="F11" s="74" t="n"/>
      <c r="G11" s="74" t="n"/>
      <c r="H11" s="74" t="n"/>
      <c r="I11" s="74" t="n"/>
    </row>
    <row r="12" ht="21" customHeight="1">
      <c r="A12" s="69" t="inlineStr">
        <is>
          <t>وزن باسکول منهای (تعداد سبد × وزن تار سبد). برای خرید، ۱٪ افت هم کم می‌شود.</t>
        </is>
      </c>
    </row>
    <row r="13"/>
    <row r="14" ht="30" customHeight="1">
      <c r="A14" s="68" t="n"/>
      <c r="B14" s="5" t="inlineStr">
        <is>
          <t>•</t>
        </is>
      </c>
      <c r="C14" s="6" t="inlineStr">
        <is>
          <t>۲. مبلغ</t>
        </is>
      </c>
      <c r="D14" s="74" t="n"/>
      <c r="E14" s="74" t="n"/>
      <c r="F14" s="74" t="n"/>
      <c r="G14" s="74" t="n"/>
      <c r="H14" s="74" t="n"/>
      <c r="I14" s="74" t="n"/>
    </row>
    <row r="15" ht="21" customHeight="1">
      <c r="A15" s="69" t="inlineStr">
        <is>
          <t>وزن خالص × فی خرید، گرد شده به هزار ریال. اگر مبلغ دستی وارد شود، همان ملاک است.</t>
        </is>
      </c>
    </row>
    <row r="16"/>
    <row r="17" ht="30" customHeight="1">
      <c r="A17" s="68" t="n"/>
      <c r="B17" s="5" t="inlineStr">
        <is>
          <t>•</t>
        </is>
      </c>
      <c r="C17" s="6" t="inlineStr">
        <is>
          <t>۳. خرید</t>
        </is>
      </c>
      <c r="D17" s="74" t="n"/>
      <c r="E17" s="74" t="n"/>
      <c r="F17" s="74" t="n"/>
      <c r="G17" s="74" t="n"/>
      <c r="H17" s="74" t="n"/>
      <c r="I17" s="74" t="n"/>
    </row>
    <row r="18" ht="21" customHeight="1">
      <c r="A18" s="69" t="inlineStr">
        <is>
          <t>باغدار بستانکار می‌شود (پول طلب دارد)؛ موجودی مرکبات بدهکار می‌شود.</t>
        </is>
      </c>
    </row>
    <row r="19"/>
    <row r="20" ht="30" customHeight="1">
      <c r="A20" s="68" t="n"/>
      <c r="B20" s="5" t="inlineStr">
        <is>
          <t>•</t>
        </is>
      </c>
      <c r="C20" s="6" t="inlineStr">
        <is>
          <t>۴. فروش</t>
        </is>
      </c>
      <c r="D20" s="74" t="n"/>
      <c r="E20" s="74" t="n"/>
      <c r="F20" s="74" t="n"/>
      <c r="G20" s="74" t="n"/>
      <c r="H20" s="74" t="n"/>
      <c r="I20" s="74" t="n"/>
    </row>
    <row r="21" ht="36" customHeight="1">
      <c r="A21" s="69" t="inlineStr">
        <is>
          <t>بارفروش بدهکار می‌شود؛ مبلغی که پوز باسکول می‌گیرد به حساب پوز ۲۰۰۶ می‌رود و روی حساب بارفروش اثر ندارد.</t>
        </is>
      </c>
    </row>
    <row r="22"/>
    <row r="23" ht="30" customHeight="1">
      <c r="A23" s="68" t="n"/>
      <c r="B23" s="5" t="inlineStr">
        <is>
          <t>•</t>
        </is>
      </c>
      <c r="C23" s="6" t="inlineStr">
        <is>
          <t>۵. باسکول دیگران و انعام</t>
        </is>
      </c>
      <c r="D23" s="74" t="n"/>
      <c r="E23" s="74" t="n"/>
      <c r="F23" s="74" t="n"/>
      <c r="G23" s="74" t="n"/>
      <c r="H23" s="74" t="n"/>
      <c r="I23" s="74" t="n"/>
    </row>
    <row r="24" ht="36" customHeight="1">
      <c r="A24" s="69" t="inlineStr">
        <is>
          <t>باسکول دیگران: طرف حساب بدهکار، درآمد باسکول بستانکار. انعام مصطفی: مصطفی بستانکار، پوز ۲۰۰۶ بدهکار.</t>
        </is>
      </c>
    </row>
    <row r="25"/>
    <row r="26"/>
    <row r="27" ht="30" customHeight="1">
      <c r="A27" s="17" t="inlineStr">
        <is>
          <t>برای کار واقعی: 01_Entry.xlsx را باز کنید؛ همان قواعد با جدول عملیات INFO اجرا می‌شود.</t>
        </is>
      </c>
      <c r="B27" s="81" t="n"/>
      <c r="C27" s="81" t="n"/>
      <c r="D27" s="81" t="n"/>
      <c r="E27" s="81" t="n"/>
      <c r="F27" s="81" t="n"/>
      <c r="G27" s="81" t="n"/>
      <c r="H27" s="81" t="n"/>
      <c r="I27" s="82" t="n"/>
    </row>
  </sheetData>
  <sheetProtection selectLockedCells="0" selectUnlockedCells="1" sheet="1" objects="1" insertRows="1" insertHyperlinks="1" autoFilter="1" scenarios="1" formatColumns="1" deleteColumns="1" insertColumns="1" pivotTables="1" deleteRows="1" formatCells="1" formatRows="1" sort="1"/>
  <mergeCells count="18">
    <mergeCell ref="A15:I15"/>
    <mergeCell ref="A1:D1"/>
    <mergeCell ref="C14:I14"/>
    <mergeCell ref="A7:I7"/>
    <mergeCell ref="C23:I23"/>
    <mergeCell ref="A2:I2"/>
    <mergeCell ref="C17:I17"/>
    <mergeCell ref="A21:I21"/>
    <mergeCell ref="A5:I6"/>
    <mergeCell ref="E1:I1"/>
    <mergeCell ref="C20:I20"/>
    <mergeCell ref="A18:I18"/>
    <mergeCell ref="G4:I4"/>
    <mergeCell ref="A27:I27"/>
    <mergeCell ref="A3:I3"/>
    <mergeCell ref="A12:I12"/>
    <mergeCell ref="C11:I11"/>
    <mergeCell ref="A24:I24"/>
  </mergeCells>
  <printOptions horizontalCentered="1"/>
  <pageMargins left="0.28" right="0.28" top="0.45" bottom="0.5" header="0.3" footer="0.3"/>
  <pageSetup orientation="portrait" paperSize="9" fitToHeight="0" fitToWidth="1"/>
  <headerFooter>
    <oddHeader>&amp;Lمازندشت&amp;RMAZANDASHT · CITRUS</oddHeader>
    <oddFooter>&amp;Lمازندشت — سورتینگ و بسته‌بندی مرکبات&amp;Cصفحه &amp;P از &amp;N&amp;RMAZANDASHT · 1405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مازندشت</dc:creator>
  <dc:title>مازندشت — نمونه ساده (۰۷)</dc:title>
  <dc:description>نسخه ۰۱ — سازگار با Excel 2013 — بدون ماکرو</dc:description>
  <dc:subject>یک فایل کوچک برای یادگیری کل چرخه — نسخه ۰۱</dc:subject>
  <dcterms:created xsi:type="dcterms:W3CDTF">2026-10-23T20:13:07Z</dcterms:created>
  <dcterms:modified xsi:type="dcterms:W3CDTF">2026-10-25T14:06:17Z</dcterms:modified>
  <cp:lastModifiedBy>مازندشت</cp:lastModifiedBy>
</cp:coreProperties>
</file>