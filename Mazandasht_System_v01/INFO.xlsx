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me" sheetId="1" r:id="rId1"/>
    <sheet name="Company" sheetId="2" r:id="rId2"/>
    <sheet name="Params" sheetId="3" r:id="rId3"/>
    <sheet name="Groups" sheetId="4" r:id="rId4"/>
    <sheet name="Accounts" sheetId="5" r:id="rId5"/>
    <sheet name="Ops" sheetId="6" r:id="rId6"/>
    <sheet name="Baskets" sheetId="7" r:id="rId7"/>
    <sheet name="Products" sheetId="8" r:id="rId8"/>
    <sheet name="Banks" sheetId="9" r:id="rId9"/>
    <sheet name="Lists" sheetId="10" r:id="rId10"/>
    <sheet name="Sync" sheetId="11" r:id="rId11"/>
    <sheet name="Help" sheetId="12" r:id="rId12"/>
  </sheets>
  <definedNames>
    <definedName name="_xlnm._FilterDatabase" localSheetId="4" hidden="1">Accounts!$A$8:$M$259</definedName>
    <definedName name="_xlnm._FilterDatabase" localSheetId="8" hidden="1">Banks!$A$8:$G$20</definedName>
    <definedName name="_xlnm._FilterDatabase" localSheetId="6" hidden="1">Baskets!$A$8:$J$22</definedName>
    <definedName name="_xlnm._FilterDatabase" localSheetId="3" hidden="1">Groups!$A$8:$F$52</definedName>
    <definedName name="_xlnm._FilterDatabase" localSheetId="5" hidden="1">Ops!$A$8:$S$34</definedName>
    <definedName name="_xlnm._FilterDatabase" localSheetId="2" hidden="1">Params!$A$8:$E$21</definedName>
    <definedName name="_xlnm._FilterDatabase" localSheetId="7" hidden="1">Products!$A$8:$G$30</definedName>
    <definedName name="AcctCodes">Accounts!$A$10:$A$259</definedName>
    <definedName name="AcctTbl">Accounts!$A$10:$J$259</definedName>
    <definedName name="BankTbl">Banks!$A$10:$G$19</definedName>
    <definedName name="BasketTbl">Baskets!$B$10:$F$21</definedName>
    <definedName name="GroupTbl">Groups!$A$10:$F$52</definedName>
    <definedName name="ListAllCodes">OFFSET(Accounts!$A$10,0,0,MAX(COUNTIF(Accounts!$D$10:$D$259,"?*"),1),1)</definedName>
    <definedName name="ListBanks">OFFSET(Banks!$B$10,0,0,MAX(COUNTIF(Banks!$B$10:$B$19,"?*"),1),1)</definedName>
    <definedName name="ListBasketOps">OFFSET(Ops!$B$24,0,0,MAX(COUNTIF(Ops!$B$24:$B$33,"?*"),1),1)</definedName>
    <definedName name="ListBaskets">OFFSET(Baskets!$B$10,0,0,MAX(COUNTIF(Baskets!$B$10:$B$21,"?*"),1),1)</definedName>
    <definedName name="ListCategories">OFFSET(Lists!$B$10,0,0,MAX(COUNTIF(Lists!$B$10:$B$29,"?*"),1),1)</definedName>
    <definedName name="ListChequeStatus">OFFSET(Lists!$G$10,0,0,MAX(COUNTIF(Lists!$G$10:$G$29,"?*"),1),1)</definedName>
    <definedName name="ListColorKeys">OFFSET(Lists!$P$10,0,0,MAX(COUNTIF(Lists!$P$10:$P$29,"?*"),1),1)</definedName>
    <definedName name="ListDirections">OFFSET(Lists!$C$10,0,0,MAX(COUNTIF(Lists!$C$10:$C$29,"?*"),1),1)</definedName>
    <definedName name="ListGroups">Groups!$H$10:$H$19</definedName>
    <definedName name="ListInclude">OFFSET(Lists!$H$10,0,0,MAX(COUNTIF(Lists!$H$10:$H$29,"?*"),1),1)</definedName>
    <definedName name="ListManualRoles">OFFSET(Lists!$I$10,0,0,MAX(COUNTIF(Lists!$I$10:$I$29,"?*"),1),1)</definedName>
    <definedName name="ListOpCategories">OFFSET(Lists!$L$10,0,0,MAX(COUNTIF(Lists!$L$10:$L$29,"?*"),1),1)</definedName>
    <definedName name="ListOps">OFFSET(Ops!$B$10,0,0,MAX(COUNTIF(Ops!$B$10:$B$33,"?*"),1),1)</definedName>
    <definedName name="ListPartyBasis">OFFSET(Lists!$O$10,0,0,MAX(COUNTIF(Lists!$O$10:$O$29,"?*"),1),1)</definedName>
    <definedName name="ListPartyTypes">OFFSET(Lists!$E$10,0,0,MAX(COUNTIF(Lists!$E$10:$E$29,"?*"),1),1)</definedName>
    <definedName name="ListPayMethods">OFFSET(Lists!$F$10,0,0,MAX(COUNTIF(Lists!$F$10:$F$29,"?*"),1),1)</definedName>
    <definedName name="ListPosEffects">OFFSET(Lists!$J$10,0,0,MAX(COUNTIF(Lists!$J$10:$J$29,"?*"),1),1)</definedName>
    <definedName name="ListProducts">OFFSET(Products!$B$10,0,0,MAX(COUNTIF(Products!$B$10:$B$29,"?*"),1),1)</definedName>
    <definedName name="ListReportSheets">OFFSET(Lists!$N$10,0,0,MAX(COUNTIF(Lists!$N$10:$N$29,"?*"),1),1)</definedName>
    <definedName name="ListSeasons">OFFSET(Lists!$Q$10,0,0,MAX(COUNTIF(Lists!$Q$10:$Q$29,"?*"),1),1)</definedName>
    <definedName name="ListSides">OFFSET(Lists!$K$10,0,0,MAX(COUNTIF(Lists!$K$10:$K$29,"?*"),1),1)</definedName>
    <definedName name="ListStatus">OFFSET(Lists!$M$10,0,0,MAX(COUNTIF(Lists!$M$10:$M$29,"?*"),1),1)</definedName>
    <definedName name="ListSubgroups">OFFSET(Groups!$B$10,0,0,MAX(COUNTIF(Groups!$B$10:$B$52,"?*"),1),1)</definedName>
    <definedName name="ListTxnDirections">OFFSET(Lists!$R$10,0,0,MAX(COUNTIF(Lists!$R$10:$R$29,"?*"),1),1)</definedName>
    <definedName name="ListUnits">OFFSET(Lists!$A$10,0,0,MAX(COUNTIF(Lists!$A$10:$A$29,"?*"),1),1)</definedName>
    <definedName name="ListYesNo">OFFSET(Lists!$D$10,0,0,MAX(COUNTIF(Lists!$D$10:$D$29,"?*"),1),1)</definedName>
    <definedName name="OpTbl">Ops!$A$10:$S$33</definedName>
    <definedName name="ParamTbl">Params!$A$10:$E$21</definedName>
    <definedName name="_xlnm.Print_Area" localSheetId="4">Accounts!$A$1:$M$260</definedName>
    <definedName name="_xlnm.Print_Area" localSheetId="8">Banks!$A$1:$G$22</definedName>
    <definedName name="_xlnm.Print_Area" localSheetId="6">Baskets!$A$1:$J$24</definedName>
    <definedName name="_xlnm.Print_Area" localSheetId="1">Company!$A$1:$J$26</definedName>
    <definedName name="_xlnm.Print_Area" localSheetId="3">Groups!$A$1:$J$54</definedName>
    <definedName name="_xlnm.Print_Area" localSheetId="11">Help!$A$1:$J$119</definedName>
    <definedName name="_xlnm.Print_Area" localSheetId="0">Home!$A$1:$J$46</definedName>
    <definedName name="_xlnm.Print_Area" localSheetId="9">Lists!$A$1:$R$31</definedName>
    <definedName name="_xlnm.Print_Area" localSheetId="5">Ops!$A$1:$S$35</definedName>
    <definedName name="_xlnm.Print_Area" localSheetId="2">Params!$A$1:$E$24</definedName>
    <definedName name="_xlnm.Print_Area" localSheetId="7">Products!$A$1:$G$32</definedName>
    <definedName name="_xlnm.Print_Area" localSheetId="10">Sync!$A$1:$F$52</definedName>
    <definedName name="_xlnm.Print_Titles" localSheetId="4">Accounts!$8:$9</definedName>
    <definedName name="_xlnm.Print_Titles" localSheetId="8">Banks!$7:$9</definedName>
    <definedName name="_xlnm.Print_Titles" localSheetId="6">Baskets!$7:$9</definedName>
    <definedName name="_xlnm.Print_Titles" localSheetId="3">Groups!$7:$9</definedName>
    <definedName name="_xlnm.Print_Titles" localSheetId="9">Lists!$8:$9</definedName>
    <definedName name="_xlnm.Print_Titles" localSheetId="5">Ops!$7:$9</definedName>
    <definedName name="_xlnm.Print_Titles" localSheetId="2">Params!$7:$9</definedName>
    <definedName name="_xlnm.Print_Titles" localSheetId="7">Products!$7:$9</definedName>
    <definedName name="ProductTbl">Products!$B$10:$D$29</definedName>
  </definedNames>
  <calcPr calcId="124519" fullCalcOnLoad="1"/>
</workbook>
</file>

<file path=xl/comments1.xml><?xml version="1.0" encoding="utf-8"?>
<comments xmlns="http://schemas.openxmlformats.org/spreadsheetml/2006/main">
  <authors>
    <author>راهنمای مازندشت</author>
  </authors>
  <commentList>
    <comment ref="A8" authorId="0">
      <text>
        <r>
          <rPr>
            <sz val="8"/>
            <color indexed="81"/>
            <rFont val="Tahoma"/>
            <family val="2"/>
          </rPr>
          <t>کد ثابت پارامتر (P01…). تغییر ندهید؛ فرمول‌ها با کد جست‌وجو می‌کنند.</t>
        </r>
      </text>
    </comment>
    <comment ref="B8" authorId="0">
      <text>
        <r>
          <rPr>
            <sz val="8"/>
            <color indexed="81"/>
            <rFont val="Tahoma"/>
            <family val="2"/>
          </rPr>
          <t>نام خوانا؛ آزادانه تغییر دهید.</t>
        </r>
      </text>
    </comment>
    <comment ref="C8" authorId="0">
      <text>
        <r>
          <rPr>
            <sz val="8"/>
            <color indexed="81"/>
            <rFont val="Tahoma"/>
            <family val="2"/>
          </rPr>
          <t>مقدار عددی یا متنی. همین ستون در فرمول‌ها خوانده می‌شود.</t>
        </r>
      </text>
    </comment>
    <comment ref="D8" authorId="0">
      <text>
        <r>
          <rPr>
            <sz val="8"/>
            <color indexed="81"/>
            <rFont val="Tahoma"/>
            <family val="2"/>
          </rPr>
          <t>کیلوگرم، درصد، ریال، روز…</t>
        </r>
      </text>
    </comment>
    <comment ref="E8" authorId="0">
      <text>
        <r>
          <rPr>
            <sz val="8"/>
            <color indexed="81"/>
            <rFont val="Tahoma"/>
            <family val="2"/>
          </rPr>
          <t>توضیح اثر پارامتر روی محاسبات.</t>
        </r>
      </text>
    </comment>
  </commentList>
</comments>
</file>

<file path=xl/comments2.xml><?xml version="1.0" encoding="utf-8"?>
<comments xmlns="http://schemas.openxmlformats.org/spreadsheetml/2006/main">
  <authors>
    <author>راهنمای مازندشت</author>
  </authors>
  <commentList>
    <comment ref="A8" authorId="0">
      <text>
        <r>
          <rPr>
            <sz val="8"/>
            <color indexed="81"/>
            <rFont val="Tahoma"/>
            <family val="2"/>
          </rPr>
          <t>یکی از ۱۰ گروه اصلی: باغدار، بارفروش، فروشنده سبد، تأمین‌کننده، کارمند، سایر حساب، باسکول دیگران، دارایی ثابت، وام، سرمایه.</t>
        </r>
      </text>
    </comment>
    <comment ref="B8" authorId="0">
      <text>
        <r>
          <rPr>
            <sz val="8"/>
            <color indexed="81"/>
            <rFont val="Tahoma"/>
            <family val="2"/>
          </rPr>
          <t>زیرمجموعه دقیق گروه؛ در شیت حساب‌ها به‌صورت کشویی انتخاب می‌شود. می‌توانید اضافه کنید.</t>
        </r>
      </text>
    </comment>
    <comment ref="C8" authorId="0">
      <text>
        <r>
          <rPr>
            <sz val="8"/>
            <color indexed="81"/>
            <rFont val="Tahoma"/>
            <family val="2"/>
          </rPr>
          <t>پیشوند کدهای این گروه: C، SL، S، E، X، BD، F، L، CAP.</t>
        </r>
      </text>
    </comment>
    <comment ref="D8" authorId="0">
      <text>
        <r>
          <rPr>
            <sz val="8"/>
            <color indexed="81"/>
            <rFont val="Tahoma"/>
            <family val="2"/>
          </rPr>
          <t>نام شیت گزارشی که این گروه در آن نمایش داده می‌شود.</t>
        </r>
      </text>
    </comment>
    <comment ref="E8" authorId="0">
      <text>
        <r>
          <rPr>
            <sz val="8"/>
            <color indexed="81"/>
            <rFont val="Tahoma"/>
            <family val="2"/>
          </rPr>
          <t>کلید رنگ ردیف در گزارش‌ها (mint، sky، lavender، sand، grey، peach، rose).</t>
        </r>
      </text>
    </comment>
  </commentList>
</comments>
</file>

<file path=xl/comments3.xml><?xml version="1.0" encoding="utf-8"?>
<comments xmlns="http://schemas.openxmlformats.org/spreadsheetml/2006/main">
  <authors>
    <author>راهنمای مازندشت</author>
  </authors>
  <commentList>
    <comment ref="A8" authorId="0">
      <text>
        <r>
          <rPr>
            <sz val="8"/>
            <color indexed="81"/>
            <rFont val="Tahoma"/>
            <family val="2"/>
          </rPr>
          <t>کد ثابت حساب. C باغدار، SL بارفروش، S فروشنده سبد/تأمین‌کننده، E کارمند، X معین، BD باسکول دیگران، F دارایی ثابت، L وام، CAP سرمایه.</t>
        </r>
      </text>
    </comment>
    <comment ref="B8" authorId="0">
      <text>
        <r>
          <rPr>
            <sz val="8"/>
            <color indexed="81"/>
            <rFont val="Tahoma"/>
            <family val="2"/>
          </rPr>
          <t>گروه اصلی حساب. با انتخاب گروه، رنگ ردیف و کشوی زیرگروه هم‌راستا می‌شود.</t>
        </r>
      </text>
    </comment>
    <comment ref="C8" authorId="0">
      <text>
        <r>
          <rPr>
            <sz val="8"/>
            <color indexed="81"/>
            <rFont val="Tahoma"/>
            <family val="2"/>
          </rPr>
          <t>زیرمجموعه گروه؛ از شیت Groups می‌آید. برای گزارش‌های دقیق‌تر انتخاب کنید.</t>
        </r>
      </text>
    </comment>
    <comment ref="D8" authorId="0">
      <text>
        <r>
          <rPr>
            <sz val="8"/>
            <color indexed="81"/>
            <rFont val="Tahoma"/>
            <family val="2"/>
          </rPr>
          <t>نام کامل شخص/شرکت. فقط ردیف‌هایی که نام دارند «حساب فعال» شمرده می‌شوند.</t>
        </r>
      </text>
    </comment>
    <comment ref="E8" authorId="0">
      <text>
        <r>
          <rPr>
            <sz val="8"/>
            <color indexed="81"/>
            <rFont val="Tahoma"/>
            <family val="2"/>
          </rPr>
          <t>تلفن ثابت (اختیاری).</t>
        </r>
      </text>
    </comment>
    <comment ref="F8" authorId="0">
      <text>
        <r>
          <rPr>
            <sz val="8"/>
            <color indexed="81"/>
            <rFont val="Tahoma"/>
            <family val="2"/>
          </rPr>
          <t>موبایل (اختیاری).</t>
        </r>
      </text>
    </comment>
    <comment ref="G8" authorId="0">
      <text>
        <r>
          <rPr>
            <sz val="8"/>
            <color indexed="81"/>
            <rFont val="Tahoma"/>
            <family val="2"/>
          </rPr>
          <t>نشانی (اختیاری).</t>
        </r>
      </text>
    </comment>
    <comment ref="H8" authorId="0">
      <text>
        <r>
          <rPr>
            <sz val="8"/>
            <color indexed="81"/>
            <rFont val="Tahoma"/>
            <family val="2"/>
          </rPr>
          <t>مثبت = بدهکار (از ما طلب دارد)، منفی = بستانکار (ما به او بدهکاریم). فقط برای افتتاحیه.</t>
        </r>
      </text>
    </comment>
    <comment ref="I8" authorId="0">
      <text>
        <r>
          <rPr>
            <sz val="8"/>
            <color indexed="81"/>
            <rFont val="Tahoma"/>
            <family val="2"/>
          </rPr>
          <t>طرف حساب (اشخاص) یا معین (حساب‌های داخلی مثل صندوق، فروش، موجودی).</t>
        </r>
      </text>
    </comment>
    <comment ref="J8" authorId="0">
      <text>
        <r>
          <rPr>
            <sz val="8"/>
            <color indexed="81"/>
            <rFont val="Tahoma"/>
            <family val="2"/>
          </rPr>
          <t>برای حساب‌های بازنشسته «خیر» بگذارید؛ در کشوها حذف نمی‌شود ولی در گزارش‌ها کم‌رنگ می‌شود.</t>
        </r>
      </text>
    </comment>
    <comment ref="K8" authorId="0">
      <text>
        <r>
          <rPr>
            <sz val="8"/>
            <color indexed="81"/>
            <rFont val="Tahoma"/>
            <family val="2"/>
          </rPr>
          <t>از پیشوند کد ساخته می‌شود؛ برای کنترل صحت گروه.</t>
        </r>
      </text>
    </comment>
    <comment ref="L8" authorId="0">
      <text>
        <r>
          <rPr>
            <sz val="8"/>
            <color indexed="81"/>
            <rFont val="Tahoma"/>
            <family val="2"/>
          </rPr>
          <t>هر یادداشت مفید: شماره حساب، شرایط، تخفیف…</t>
        </r>
      </text>
    </comment>
    <comment ref="M8" authorId="0">
      <text>
        <r>
          <rPr>
            <sz val="8"/>
            <color indexed="81"/>
            <rFont val="Tahoma"/>
            <family val="2"/>
          </rPr>
          <t>✓ یعنی گروه با پیشوند کد سازگار است؛ ⚠ یعنی اشتباه گروه‌بندی.</t>
        </r>
      </text>
    </comment>
  </commentList>
</comments>
</file>

<file path=xl/comments4.xml><?xml version="1.0" encoding="utf-8"?>
<comments xmlns="http://schemas.openxmlformats.org/spreadsheetml/2006/main">
  <authors>
    <author>راهنمای مازندشت</author>
  </authors>
  <commentList>
    <comment ref="A8" authorId="0">
      <text>
        <r>
          <rPr>
            <sz val="8"/>
            <color indexed="81"/>
            <rFont val="Tahoma"/>
            <family val="2"/>
          </rPr>
          <t>کد ثابت عملیات (OP01…).</t>
        </r>
      </text>
    </comment>
    <comment ref="B8" authorId="0">
      <text>
        <r>
          <rPr>
            <sz val="8"/>
            <color indexed="81"/>
            <rFont val="Tahoma"/>
            <family val="2"/>
          </rPr>
          <t>عنوانی که در کشوی شیت باسکول دیده می‌شود. یکتا باشد.</t>
        </r>
      </text>
    </comment>
    <comment ref="C8" authorId="0">
      <text>
        <r>
          <rPr>
            <sz val="8"/>
            <color indexed="81"/>
            <rFont val="Tahoma"/>
            <family val="2"/>
          </rPr>
          <t>ورود / خروج / —. برای عملیات بدون وزن (انعام، باسکول دیگران، درآمد) «—».</t>
        </r>
      </text>
    </comment>
    <comment ref="D8" authorId="0">
      <text>
        <r>
          <rPr>
            <sz val="8"/>
            <color indexed="81"/>
            <rFont val="Tahoma"/>
            <family val="2"/>
          </rPr>
          <t>خرید، فروش، آبگیری، انعام، باسکول دیگران، درآمد، هزینه، انتقال، سایر.</t>
        </r>
      </text>
    </comment>
    <comment ref="E8" authorId="0">
      <text>
        <r>
          <rPr>
            <sz val="8"/>
            <color indexed="81"/>
            <rFont val="Tahoma"/>
            <family val="2"/>
          </rPr>
          <t>بله = وزن باسکول و تعداد سبد اجباری است.</t>
        </r>
      </text>
    </comment>
    <comment ref="F8" authorId="0">
      <text>
        <r>
          <rPr>
            <sz val="8"/>
            <color indexed="81"/>
            <rFont val="Tahoma"/>
            <family val="2"/>
          </rPr>
          <t>بله = کد حساب طرف (باغدار/بارفروش/…) اجباری است.</t>
        </r>
      </text>
    </comment>
    <comment ref="G8" authorId="0">
      <text>
        <r>
          <rPr>
            <sz val="8"/>
            <color indexed="81"/>
            <rFont val="Tahoma"/>
            <family val="2"/>
          </rPr>
          <t>وزن = وزن خالص × فی خرید؛ مبلغ = مبلغ/تعداد × فی؛ هیچ = بدون محاسبه.</t>
        </r>
      </text>
    </comment>
    <comment ref="H8" authorId="0">
      <text>
        <r>
          <rPr>
            <sz val="8"/>
            <color indexed="81"/>
            <rFont val="Tahoma"/>
            <family val="2"/>
          </rPr>
          <t>بدهکار یا بستانکار شدن حساب طرف مقابل. «خودکار» = از ستون سمت در برگه انتخاب می‌شود.</t>
        </r>
      </text>
    </comment>
    <comment ref="I8" authorId="0">
      <text>
        <r>
          <rPr>
            <sz val="8"/>
            <color indexed="81"/>
            <rFont val="Tahoma"/>
            <family val="2"/>
          </rPr>
          <t>حساب داخلی مقابل: موجودی مرکبات، فروش، درآمد باسکول، هزینه ضایعات…</t>
        </r>
      </text>
    </comment>
    <comment ref="J8" authorId="0">
      <text>
        <r>
          <rPr>
            <sz val="8"/>
            <color indexed="81"/>
            <rFont val="Tahoma"/>
            <family val="2"/>
          </rPr>
          <t>سمت حساب معین در همان سند.</t>
        </r>
      </text>
    </comment>
    <comment ref="K8" authorId="0">
      <text>
        <r>
          <rPr>
            <sz val="8"/>
            <color indexed="81"/>
            <rFont val="Tahoma"/>
            <family val="2"/>
          </rPr>
          <t>افزودن = مبلغ به حساب طرف اضافه می‌شود (کرایه/سایر)؛ پوز = مبلغ از پوز باسکول به درآمد؛ هیچ = بی‌اثر.</t>
        </r>
      </text>
    </comment>
    <comment ref="L8" authorId="0">
      <text>
        <r>
          <rPr>
            <sz val="8"/>
            <color indexed="81"/>
            <rFont val="Tahoma"/>
            <family val="2"/>
          </rPr>
          <t>طرف پوز: بدهکار = بانک پوز بدهکار و حساب مقابل بستانکار. برای انعام: بدهکار صادرات ۲۰۰۶.</t>
        </r>
      </text>
    </comment>
    <comment ref="M8" authorId="0">
      <text>
        <r>
          <rPr>
            <sz val="8"/>
            <color indexed="81"/>
            <rFont val="Tahoma"/>
            <family val="2"/>
          </rPr>
          <t>حساب بانکی که دستگاه پوز باسکول به آن وصل است (صادرات ۲۰۰۶).</t>
        </r>
      </text>
    </comment>
    <comment ref="N8" authorId="0">
      <text>
        <r>
          <rPr>
            <sz val="8"/>
            <color indexed="81"/>
            <rFont val="Tahoma"/>
            <family val="2"/>
          </rPr>
          <t>حساب بستانکار/بدهکار مقابل پوز: درآمد باسکول یا انعام.</t>
        </r>
      </text>
    </comment>
    <comment ref="O8" authorId="0">
      <text>
        <r>
          <rPr>
            <sz val="8"/>
            <color indexed="81"/>
            <rFont val="Tahoma"/>
            <family val="2"/>
          </rPr>
          <t>اگر طرف حساب ثابت است (مثل انعام مصطفی) کد را اینجا بگذارید.</t>
        </r>
      </text>
    </comment>
    <comment ref="P8" authorId="0">
      <text>
        <r>
          <rPr>
            <sz val="8"/>
            <color indexed="81"/>
            <rFont val="Tahoma"/>
            <family val="2"/>
          </rPr>
          <t>بله = در کشوی نوع عملیات شیت باسکول دیده می‌شود.</t>
        </r>
      </text>
    </comment>
    <comment ref="Q8" authorId="0">
      <text>
        <r>
          <rPr>
            <sz val="8"/>
            <color indexed="81"/>
            <rFont val="Tahoma"/>
            <family val="2"/>
          </rPr>
          <t>کلید رنگ ردیف در باسکول: mint، sky، lavender، rose، sand، grey، teal.</t>
        </r>
      </text>
    </comment>
    <comment ref="R8" authorId="0">
      <text>
        <r>
          <rPr>
            <sz val="8"/>
            <color indexed="81"/>
            <rFont val="Tahoma"/>
            <family val="2"/>
          </rPr>
          <t>قاعده بدهکار/بستانکار به زبان ساده — همین متن در راهنمای برگه‌ها هم می‌آید.</t>
        </r>
      </text>
    </comment>
    <comment ref="S8" authorId="0">
      <text>
        <r>
          <rPr>
            <sz val="8"/>
            <color indexed="81"/>
            <rFont val="Tahoma"/>
            <family val="2"/>
          </rPr>
          <t>خیر = عملیات بازنشسته؛ از کشو حذف می‌شود.</t>
        </r>
      </text>
    </comment>
  </commentList>
</comments>
</file>

<file path=xl/comments5.xml><?xml version="1.0" encoding="utf-8"?>
<comments xmlns="http://schemas.openxmlformats.org/spreadsheetml/2006/main">
  <authors>
    <author>راهنمای مازندشت</author>
  </authors>
  <commentList>
    <comment ref="A8" authorId="0">
      <text>
        <r>
          <rPr>
            <sz val="8"/>
            <color indexed="81"/>
            <rFont val="Tahoma"/>
            <family val="2"/>
          </rPr>
          <t>کد ثابت سبد (BK01…).</t>
        </r>
      </text>
    </comment>
    <comment ref="B8" authorId="0">
      <text>
        <r>
          <rPr>
            <sz val="8"/>
            <color indexed="81"/>
            <rFont val="Tahoma"/>
            <family val="2"/>
          </rPr>
          <t>نامی که در کشوی «نوع سبد» دیده می‌شود.</t>
        </r>
      </text>
    </comment>
    <comment ref="C8" authorId="0">
      <text>
        <r>
          <rPr>
            <sz val="8"/>
            <color indexed="81"/>
            <rFont val="Tahoma"/>
            <family val="2"/>
          </rPr>
          <t>وزن خالی سبد؛ در فرمول وزن خالص باسکول کسر می‌شود.</t>
        </r>
      </text>
    </comment>
    <comment ref="D8" authorId="0">
      <text>
        <r>
          <rPr>
            <sz val="8"/>
            <color indexed="81"/>
            <rFont val="Tahoma"/>
            <family val="2"/>
          </rPr>
          <t>ظرفیت اسمی سبد (اختیاری).</t>
        </r>
      </text>
    </comment>
    <comment ref="E8" authorId="0">
      <text>
        <r>
          <rPr>
            <sz val="8"/>
            <color indexed="81"/>
            <rFont val="Tahoma"/>
            <family val="2"/>
          </rPr>
          <t>قیمت خرید هر سبد از فروشنده سبد.</t>
        </r>
      </text>
    </comment>
    <comment ref="F8" authorId="0">
      <text>
        <r>
          <rPr>
            <sz val="8"/>
            <color indexed="81"/>
            <rFont val="Tahoma"/>
            <family val="2"/>
          </rPr>
          <t>قیمت فروش هر سبد به بارفروش/مشتری.</t>
        </r>
      </text>
    </comment>
    <comment ref="G8" authorId="0">
      <text>
        <r>
          <rPr>
            <sz val="8"/>
            <color indexed="81"/>
            <rFont val="Tahoma"/>
            <family val="2"/>
          </rPr>
          <t>تعداد سبد موجود در ابتدای دوره.</t>
        </r>
      </text>
    </comment>
    <comment ref="I8" authorId="0">
      <text>
        <r>
          <rPr>
            <sz val="8"/>
            <color indexed="81"/>
            <rFont val="Tahoma"/>
            <family val="2"/>
          </rPr>
          <t>خودکار: موجودی × قیمت خرید.</t>
        </r>
      </text>
    </comment>
    <comment ref="J8" authorId="0">
      <text>
        <r>
          <rPr>
            <sz val="8"/>
            <color indexed="81"/>
            <rFont val="Tahoma"/>
            <family val="2"/>
          </rPr>
          <t>خودکار: کد – نام.</t>
        </r>
      </text>
    </comment>
  </commentList>
</comments>
</file>

<file path=xl/comments6.xml><?xml version="1.0" encoding="utf-8"?>
<comments xmlns="http://schemas.openxmlformats.org/spreadsheetml/2006/main">
  <authors>
    <author>راهنمای مازندشت</author>
  </authors>
  <commentList>
    <comment ref="A8" authorId="0">
      <text>
        <r>
          <rPr>
            <sz val="8"/>
            <color indexed="81"/>
            <rFont val="Tahoma"/>
            <family val="2"/>
          </rPr>
          <t>کد ثابت محصول (PB01…).</t>
        </r>
      </text>
    </comment>
    <comment ref="B8" authorId="0">
      <text>
        <r>
          <rPr>
            <sz val="8"/>
            <color indexed="81"/>
            <rFont val="Tahoma"/>
            <family val="2"/>
          </rPr>
          <t>نامی که در کشوی محصول دیده می‌شود.</t>
        </r>
      </text>
    </comment>
    <comment ref="C8" authorId="0">
      <text>
        <r>
          <rPr>
            <sz val="8"/>
            <color indexed="81"/>
            <rFont val="Tahoma"/>
            <family val="2"/>
          </rPr>
          <t>پرتقال، نارنگی، لیمو، گریپ‌فرویت، سایر.</t>
        </r>
      </text>
    </comment>
    <comment ref="D8" authorId="0">
      <text>
        <r>
          <rPr>
            <sz val="8"/>
            <color indexed="81"/>
            <rFont val="Tahoma"/>
            <family val="2"/>
          </rPr>
          <t>معمولاً کیلوگرم.</t>
        </r>
      </text>
    </comment>
    <comment ref="E8" authorId="0">
      <text>
        <r>
          <rPr>
            <sz val="8"/>
            <color indexed="81"/>
            <rFont val="Tahoma"/>
            <family val="2"/>
          </rPr>
          <t>با انتخاب محصول، این سبد خودکار انتخاب می‌شود.</t>
        </r>
      </text>
    </comment>
    <comment ref="G8" authorId="0">
      <text>
        <r>
          <rPr>
            <sz val="8"/>
            <color indexed="81"/>
            <rFont val="Tahoma"/>
            <family val="2"/>
          </rPr>
          <t>خودکار: نام – دسته.</t>
        </r>
      </text>
    </comment>
  </commentList>
</comments>
</file>

<file path=xl/comments7.xml><?xml version="1.0" encoding="utf-8"?>
<comments xmlns="http://schemas.openxmlformats.org/spreadsheetml/2006/main">
  <authors>
    <author>راهنمای مازندشت</author>
  </authors>
  <commentList>
    <comment ref="A8" authorId="0">
      <text>
        <r>
          <rPr>
            <sz val="8"/>
            <color indexed="81"/>
            <rFont val="Tahoma"/>
            <family val="2"/>
          </rPr>
          <t>BANK01…BANK10؛ در همه فایل‌ها ثابت است.</t>
        </r>
      </text>
    </comment>
    <comment ref="B8" authorId="0">
      <text>
        <r>
          <rPr>
            <sz val="8"/>
            <color indexed="81"/>
            <rFont val="Tahoma"/>
            <family val="2"/>
          </rPr>
          <t>نام روزمره حساب؛ مثلاً «صادرات ۹۰۰۹ — جاری اصلی».</t>
        </r>
      </text>
    </comment>
    <comment ref="C8" authorId="0">
      <text>
        <r>
          <rPr>
            <sz val="8"/>
            <color indexed="81"/>
            <rFont val="Tahoma"/>
            <family val="2"/>
          </rPr>
          <t>مانده در ابتدای دوره (ریال).</t>
        </r>
      </text>
    </comment>
    <comment ref="D8" authorId="0">
      <text>
        <r>
          <rPr>
            <sz val="8"/>
            <color indexed="81"/>
            <rFont val="Tahoma"/>
            <family val="2"/>
          </rPr>
          <t>برای چاپ و تطبیق.</t>
        </r>
      </text>
    </comment>
    <comment ref="E8" authorId="0">
      <text>
        <r>
          <rPr>
            <sz val="8"/>
            <color indexed="81"/>
            <rFont val="Tahoma"/>
            <family val="2"/>
          </rPr>
          <t>IR… (اختیاری).</t>
        </r>
      </text>
    </comment>
    <comment ref="F8" authorId="0">
      <text>
        <r>
          <rPr>
            <sz val="8"/>
            <color indexed="81"/>
            <rFont val="Tahoma"/>
            <family val="2"/>
          </rPr>
          <t>بانک‌های بسته «خیر».</t>
        </r>
      </text>
    </comment>
    <comment ref="G8" authorId="0">
      <text>
        <r>
          <rPr>
            <sz val="8"/>
            <color indexed="81"/>
            <rFont val="Tahoma"/>
            <family val="2"/>
          </rPr>
          <t>مثلاً «پوز باسکول به این حساب وصل است».</t>
        </r>
      </text>
    </comment>
  </commentList>
</comments>
</file>

<file path=xl/sharedStrings.xml><?xml version="1.0" encoding="utf-8"?>
<sst xmlns="http://schemas.openxmlformats.org/spreadsheetml/2006/main" count="2325" uniqueCount="1113">
  <si>
    <t>مازندشت — سورتینگ و بسته‌بندی مرکبات</t>
  </si>
  <si>
    <t>MAZANDASHT  ·  CITRUS SORTING &amp; PACKING</t>
  </si>
  <si>
    <t>مازندشت  ·  سامانه یکپارچه سورتینگ و بسته‌بندی مرکبات</t>
  </si>
  <si>
    <t>فایل مادر (INFO) — مرکز تعریف حساب‌ها، عملیات، سبدها، بانک‌ها و پارامترها  ·  نسخه ۰۱  ·  Excel 2013</t>
  </si>
  <si>
    <t>حساب‌های تعریف‌شده</t>
  </si>
  <si>
    <t>عملیات باسکول</t>
  </si>
  <si>
    <t>انواع سبد</t>
  </si>
  <si>
    <t>محصولات</t>
  </si>
  <si>
    <t>بانک‌ها</t>
  </si>
  <si>
    <t>۰۱</t>
  </si>
  <si>
    <t>فایل‌های سامانه — روی هر کارت کلیک کنید  —  همه فایل‌ها باید در یک پوشه باشند</t>
  </si>
  <si>
    <t>INFO  ·  فایل مادر — همین فایل</t>
  </si>
  <si>
    <t>حساب‌ها، عملیات، سبدها، بانک‌ها، پارامترها</t>
  </si>
  <si>
    <t>INFO.xlsx</t>
  </si>
  <si>
    <t>۰۱ ثبت  ·  ثبت روزانه عملیات</t>
  </si>
  <si>
    <t>باسکول، سبد، پرداخت‌ها، گزارش جامع</t>
  </si>
  <si>
    <t>01_Register.xlsx</t>
  </si>
  <si>
    <t>۰۲ گزارش  ·  گزارش‌های مدیریتی</t>
  </si>
  <si>
    <t>باغداران، بارفروشان، فروشندگان سبد، دفتر کل</t>
  </si>
  <si>
    <t>02_Reports.xlsx</t>
  </si>
  <si>
    <t>۰۳ فاکتور  ·  فاکتور چاپی</t>
  </si>
  <si>
    <t>صورت‌حساب خریدار/باغدار با تیک انتخاب ردیف</t>
  </si>
  <si>
    <t>03_Invoice.xlsx</t>
  </si>
  <si>
    <t>۰۴ ترازنامه  ·  ترازنامه و حسابرسی</t>
  </si>
  <si>
    <t>تراز ۴ و ۶ ستونه، حسابرسی، ترازبانک</t>
  </si>
  <si>
    <t>04_Balance.xlsx</t>
  </si>
  <si>
    <t>۰۵ بانک  ·  بانک و چک</t>
  </si>
  <si>
    <t>تراکنش بانکی، دفتر چک، مغایرت‌گیری</t>
  </si>
  <si>
    <t>05_Bank.xlsx</t>
  </si>
  <si>
    <t>۰۶ بارفروشان  ·  کارت بارفروشان</t>
  </si>
  <si>
    <t>ریز بار ارسالی و تسویه هر بارفروش</t>
  </si>
  <si>
    <t>06_LoadBuyers.xlsx</t>
  </si>
  <si>
    <t>۰۷ نمونه  ·  ثبت ساده — نسخه نمونه</t>
  </si>
  <si>
    <t>کدگذاری ساده‌شده برای شروع سریع</t>
  </si>
  <si>
    <t>07_Sample.xlsx</t>
  </si>
  <si>
    <t>۰۲</t>
  </si>
  <si>
    <t>جریان داده — چه کسی از چه کسی می‌خواند  —  فلش‌ها جهت جریان اطلاعات را نشان می‌دهند</t>
  </si>
  <si>
    <t>INFO</t>
  </si>
  <si>
    <t>تعریف‌ها</t>
  </si>
  <si>
    <t>←</t>
  </si>
  <si>
    <t>۰۱ ثبت</t>
  </si>
  <si>
    <t>ورود اطلاعات</t>
  </si>
  <si>
    <t>۰۲ گزارش</t>
  </si>
  <si>
    <t>گزارش</t>
  </si>
  <si>
    <t>۰۱ ثبت ← INFO</t>
  </si>
  <si>
    <t>کد و نام حساب‌ها، عملیات و قواعد، وزن سبد، بانک‌ها، پارامترها</t>
  </si>
  <si>
    <t>۰۲ گزارش ← ۰۱ ثبت + INFO</t>
  </si>
  <si>
    <t>ریز باسکول، سبد و پرداخت‌ها؛ نام و گروه از INFO</t>
  </si>
  <si>
    <t>۰۳ فاکتور ← ۰۱ ثبت + INFO</t>
  </si>
  <si>
    <t>مانده و ریز گردش هر حساب؛ تیک انتخاب ردیف</t>
  </si>
  <si>
    <t>۰۴ ترازنامه ← ۰۱ ثبت + ۰۲ + ۰۵</t>
  </si>
  <si>
    <t>گردش حساب‌ها، بانک‌ها، موجودی سبد و مرکبات</t>
  </si>
  <si>
    <t>۰۵ بانک ← INFO + ۰۱ ثبت</t>
  </si>
  <si>
    <t>بانک‌ها و شماره چک‌ها؛ تطبیق با پرداخت‌ها</t>
  </si>
  <si>
    <t>۰۶ بارفروشان ← ۰۱ ثبت + ۰۵</t>
  </si>
  <si>
    <t>بار خروجی بارفروش + تسویه‌ها + هزینه باسکول</t>
  </si>
  <si>
    <t>۰۳</t>
  </si>
  <si>
    <t>قواعد طلایی — هر روز یک بار بخوانید</t>
  </si>
  <si>
    <t>1</t>
  </si>
  <si>
    <t>کدها را تغییر ندهید؛ عنوان‌ها را آزادانه عوض کنید. سیستم با «کد» کار می‌کند، نه با عنوان.</t>
  </si>
  <si>
    <t>2</t>
  </si>
  <si>
    <t>ردیف تازه = ردیف خالی بعدی؛ کدها از قبل درج شده‌اند. بین ردیف‌ها ردیف خالی نگذارید.</t>
  </si>
  <si>
    <t>3</t>
  </si>
  <si>
    <t>برای حذف یک حساب، محتوای سلول‌ها را پاک کنید (Delete)؛ خودِ ردیف را حذف نکنید.</t>
  </si>
  <si>
    <t>4</t>
  </si>
  <si>
    <t>همه فایل‌ها همیشه در یک پوشه باشند؛ مسیر لینک‌ها نسبی است.</t>
  </si>
  <si>
    <t>5</t>
  </si>
  <si>
    <t>بعد از هر تغییر در INFO، فایل‌های دیگر را باز کنید و Data ← Edit Links ← Update Values بزنید.</t>
  </si>
  <si>
    <t>6</t>
  </si>
  <si>
    <t>تاریخ‌ها شمسی با قالب 1405/07/10؛ ساعت با قالب 09:30. اعداد را با ارقام لاتین وارد کنید.</t>
  </si>
  <si>
    <t>7</t>
  </si>
  <si>
    <t>قبل از هر ماه، از کل پوشه یک نسخه پشتیبان بگیرید (فایل را با تاریخ در نام کپی کنید).</t>
  </si>
  <si>
    <t>8</t>
  </si>
  <si>
    <t>اگر فرمولی «#NAME?» داد، یعنی فایل INFO بسته یا جابه‌جا شده است؛ ابتدا لینک را Update کنید.</t>
  </si>
  <si>
    <t>راهنمای کامل سامانه — روی این نوار کلیک کنید</t>
  </si>
  <si>
    <t>مشخصات شرکت</t>
  </si>
  <si>
    <t>این مقادیر منبع سرصفحه و گزارش‌های همه فایل‌ها هستند</t>
  </si>
  <si>
    <t>اطلاعات هویتی و تماس  —  ستون‌های زرد قابل ویرایش‌اند</t>
  </si>
  <si>
    <t>نام کامل شرکت</t>
  </si>
  <si>
    <t>سورتینگ و بسته‌بندی مرکبات مازندشت</t>
  </si>
  <si>
    <t>در سرصفحه همه فایل‌ها استفاده می‌شود</t>
  </si>
  <si>
    <t>برند</t>
  </si>
  <si>
    <t>مازندشت</t>
  </si>
  <si>
    <t>نام کوتاه روی فاکتور و گزارش</t>
  </si>
  <si>
    <t>زمینه فعالیت</t>
  </si>
  <si>
    <t>سورتینگ، بسته‌بندی و بازرگانی مرکبات</t>
  </si>
  <si>
    <t>نشانی</t>
  </si>
  <si>
    <t>باغدشت، بخش مرکزی، شهرستان قائم‌شهر، استان مازندران، ایران</t>
  </si>
  <si>
    <t>تلفن ثابت</t>
  </si>
  <si>
    <t>011-42116449</t>
  </si>
  <si>
    <t>تلفن همراه</t>
  </si>
  <si>
    <t>0911-116-5751</t>
  </si>
  <si>
    <t>مدیرعامل</t>
  </si>
  <si>
    <t>قاسم زاهدی تیر</t>
  </si>
  <si>
    <t>سال مالی</t>
  </si>
  <si>
    <t>1405</t>
  </si>
  <si>
    <t>برای گزارش‌های ماهانه</t>
  </si>
  <si>
    <t>شروع سال مالی</t>
  </si>
  <si>
    <t>1405/01/01</t>
  </si>
  <si>
    <t>تاریخ شمسی</t>
  </si>
  <si>
    <t>واحد پول</t>
  </si>
  <si>
    <t>ریال</t>
  </si>
  <si>
    <t>ریال یا تومان — در همه فرمول‌ها یکسان</t>
  </si>
  <si>
    <t>یادداشت</t>
  </si>
  <si>
    <t>این اطلاعات به‌صورت خودکار در سرصفحه فایل‌های دیگر تکرار می‌شود.</t>
  </si>
  <si>
    <t>لوگو و سرصفحه  —  جای لوگو در همه فایل‌ها یکسان است</t>
  </si>
  <si>
    <t>جای لوگو
Insert ← Picture
(یکبار در هر فایل)</t>
  </si>
  <si>
    <t>سرصفحه همه فایل‌ها از همین مشخصات ساخته می‌شود: نام شرکت، نشانی، تلفن و سال مالی. برای تغییر، فقط همین شیت را ویرایش کنید و در فایل‌های دیگر Edit Links → Update Values بزنید. لوگو را می‌توانید در همین کادر درج کنید؛ فایل مادر مرجع ظاهر همه فایل‌هاست.</t>
  </si>
  <si>
    <t>پارامترهای محاسباتی</t>
  </si>
  <si>
    <t>منبع فرمول‌های همه فایل‌ها — مقدار زرد را تغییر دهید، همه‌جا خودکار به‌روز می‌شود</t>
  </si>
  <si>
    <t>راهنما</t>
  </si>
  <si>
    <t>ورود دستی</t>
  </si>
  <si>
    <t>خودکار</t>
  </si>
  <si>
    <t>ورود</t>
  </si>
  <si>
    <t>خروج</t>
  </si>
  <si>
    <t>درصد افت خرید</t>
  </si>
  <si>
    <t>وزن سبد پیش‌فرض</t>
  </si>
  <si>
    <t>کد</t>
  </si>
  <si>
    <t>Code</t>
  </si>
  <si>
    <t>نام پارامتر</t>
  </si>
  <si>
    <t>Parameter</t>
  </si>
  <si>
    <t>مقدار</t>
  </si>
  <si>
    <t>Value</t>
  </si>
  <si>
    <t>واحد</t>
  </si>
  <si>
    <t>Unit</t>
  </si>
  <si>
    <t>توضیح</t>
  </si>
  <si>
    <t>Note</t>
  </si>
  <si>
    <t>P01</t>
  </si>
  <si>
    <t>کیلوگرم</t>
  </si>
  <si>
    <t>اگر نوع سبد انتخاب نشود، وزن تار این عدد است</t>
  </si>
  <si>
    <t>P02</t>
  </si>
  <si>
    <t>درصد</t>
  </si>
  <si>
    <t>از وزن خالص خرید مرکبات کسر می‌شود</t>
  </si>
  <si>
    <t>P03</t>
  </si>
  <si>
    <t>واحد رند کردن مبلغ</t>
  </si>
  <si>
    <t>مبلغ نهایی به نزدیک‌ترین مضرب این عدد رند می‌شود</t>
  </si>
  <si>
    <t>P04</t>
  </si>
  <si>
    <t>سال</t>
  </si>
  <si>
    <t>P05</t>
  </si>
  <si>
    <t>حد هشدار موجودی سبد</t>
  </si>
  <si>
    <t>عدد</t>
  </si>
  <si>
    <t>کمتر از این تعداد، هشدار موجودی</t>
  </si>
  <si>
    <t>P06</t>
  </si>
  <si>
    <t>درصد کارمزد پوز</t>
  </si>
  <si>
    <t>در صورت کسر کارمزد از واریزی پوز</t>
  </si>
  <si>
    <t>P07</t>
  </si>
  <si>
    <t>پیش‌شماره فاکتور خرید</t>
  </si>
  <si>
    <t>خرید-</t>
  </si>
  <si>
    <t>متن</t>
  </si>
  <si>
    <t>P08</t>
  </si>
  <si>
    <t>پیش‌شماره فاکتور فروش</t>
  </si>
  <si>
    <t>فروش-</t>
  </si>
  <si>
    <t>P09</t>
  </si>
  <si>
    <t>سقف اعتبار پیش‌فرض بارفروش</t>
  </si>
  <si>
    <t>برای هشدار اعتباری</t>
  </si>
  <si>
    <t>P10</t>
  </si>
  <si>
    <t>مهلت چک</t>
  </si>
  <si>
    <t>روز</t>
  </si>
  <si>
    <t>P11</t>
  </si>
  <si>
    <t>P12</t>
  </si>
  <si>
    <t>نمایش ردیف‌های صفر در ترازنامه</t>
  </si>
  <si>
    <t>خیر</t>
  </si>
  <si>
    <t>بله/خیر</t>
  </si>
  <si>
    <t>گروه‌ها و زیرگروه‌های حساب</t>
  </si>
  <si>
    <t>هر گروه، پیشوند کد، شیت گزارش و رنگ اختصاصی خود را دارد — منبع کشوهای شیت حساب‌ها</t>
  </si>
  <si>
    <t>هشدار</t>
  </si>
  <si>
    <t>ستون‌های زرد = ورود شما  |  ستون‌های خاکستری = محاسبه خودکار  |  روی سرستون‌ها بایستید تا راهنما باز شود</t>
  </si>
  <si>
    <t>گروه‌های اصلی</t>
  </si>
  <si>
    <t>زیرگروه‌ها</t>
  </si>
  <si>
    <t>زیرگروه باغدار</t>
  </si>
  <si>
    <t>گروه‌های گزارشی</t>
  </si>
  <si>
    <t>گروه اصلی</t>
  </si>
  <si>
    <t>Group</t>
  </si>
  <si>
    <t>زیرگروه</t>
  </si>
  <si>
    <t>Subgroup</t>
  </si>
  <si>
    <t>پیشوند کد</t>
  </si>
  <si>
    <t>Prefix</t>
  </si>
  <si>
    <t>شیت گزارش</t>
  </si>
  <si>
    <t>Report Sheet</t>
  </si>
  <si>
    <t>رنگ</t>
  </si>
  <si>
    <t>Color</t>
  </si>
  <si>
    <t>باغدار</t>
  </si>
  <si>
    <t>سردرختی</t>
  </si>
  <si>
    <t>C</t>
  </si>
  <si>
    <t>Growers</t>
  </si>
  <si>
    <t>mint</t>
  </si>
  <si>
    <t>مرکبات سردرختی تحویل باغ</t>
  </si>
  <si>
    <t>انباری</t>
  </si>
  <si>
    <t>مرکبات تحویل انبار</t>
  </si>
  <si>
    <t>عمده</t>
  </si>
  <si>
    <t>خرده‌فروش</t>
  </si>
  <si>
    <t>صادراتی</t>
  </si>
  <si>
    <t>میدان بار</t>
  </si>
  <si>
    <t>بارفروش</t>
  </si>
  <si>
    <t>میدان بار شهرستان</t>
  </si>
  <si>
    <t>SL</t>
  </si>
  <si>
    <t>LoadBuyers</t>
  </si>
  <si>
    <t>sky</t>
  </si>
  <si>
    <t>خریدار بار در شهرستان</t>
  </si>
  <si>
    <t>حجره‌دار</t>
  </si>
  <si>
    <t>واسطه</t>
  </si>
  <si>
    <t>نقدی</t>
  </si>
  <si>
    <t>فروشنده سبد</t>
  </si>
  <si>
    <t>سبد پلاستیکی</t>
  </si>
  <si>
    <t>S</t>
  </si>
  <si>
    <t>BasketSellers</t>
  </si>
  <si>
    <t>lavender</t>
  </si>
  <si>
    <t>سبد چوبی</t>
  </si>
  <si>
    <t>سبد مقوایی</t>
  </si>
  <si>
    <t>سایر</t>
  </si>
  <si>
    <t>تأمین‌کننده</t>
  </si>
  <si>
    <t>مواد بسته‌بندی</t>
  </si>
  <si>
    <t>Suppliers</t>
  </si>
  <si>
    <t>peach</t>
  </si>
  <si>
    <t>واکس و رنگ</t>
  </si>
  <si>
    <t>حمل‌ونقل</t>
  </si>
  <si>
    <t>خدمات</t>
  </si>
  <si>
    <t>کارمند</t>
  </si>
  <si>
    <t>E</t>
  </si>
  <si>
    <t>Staff</t>
  </si>
  <si>
    <t>sand</t>
  </si>
  <si>
    <t>حسابدار</t>
  </si>
  <si>
    <t>فروشنده</t>
  </si>
  <si>
    <t>انباردار</t>
  </si>
  <si>
    <t>سرپرست خط</t>
  </si>
  <si>
    <t>کارگر</t>
  </si>
  <si>
    <t>سایر حساب</t>
  </si>
  <si>
    <t>صندوق</t>
  </si>
  <si>
    <t>X</t>
  </si>
  <si>
    <t>Other</t>
  </si>
  <si>
    <t>grey</t>
  </si>
  <si>
    <t>حساب معین</t>
  </si>
  <si>
    <t>موجودی</t>
  </si>
  <si>
    <t>درآمد</t>
  </si>
  <si>
    <t>هزینه</t>
  </si>
  <si>
    <t>انعام و پاداش</t>
  </si>
  <si>
    <t>طرف حساب انعام مصطفی</t>
  </si>
  <si>
    <t>چک پرداختی</t>
  </si>
  <si>
    <t>حساب معین چک‌های در جریان</t>
  </si>
  <si>
    <t>حساب واسط</t>
  </si>
  <si>
    <t>حساب معین عملیات متفرقه</t>
  </si>
  <si>
    <t>مالیات</t>
  </si>
  <si>
    <t>باسکول دیگران</t>
  </si>
  <si>
    <t>باسکول محلی</t>
  </si>
  <si>
    <t>BD</t>
  </si>
  <si>
    <t>OtherScales</t>
  </si>
  <si>
    <t>هزینه باسکول این اشخاص بدهکار می‌شود</t>
  </si>
  <si>
    <t>باسکول خصوصی</t>
  </si>
  <si>
    <t>دارایی ثابت</t>
  </si>
  <si>
    <t>زمین و ساختمان</t>
  </si>
  <si>
    <t>F</t>
  </si>
  <si>
    <t>Assets</t>
  </si>
  <si>
    <t>خودرو و حمل‌ونقل</t>
  </si>
  <si>
    <t>ماشین‌آلات و تجهیزات</t>
  </si>
  <si>
    <t>وام و تسهیلات</t>
  </si>
  <si>
    <t>وام بانکی</t>
  </si>
  <si>
    <t>L</t>
  </si>
  <si>
    <t>Liabilities</t>
  </si>
  <si>
    <t>سرمایه و آورده صاحبان</t>
  </si>
  <si>
    <t>سرمایه اولیه</t>
  </si>
  <si>
    <t>CAP</t>
  </si>
  <si>
    <t>Equity</t>
  </si>
  <si>
    <t>آورده نقدی</t>
  </si>
  <si>
    <t>برداشت سرمایه</t>
  </si>
  <si>
    <t>گروه‌های اصلی (منبع کشو)</t>
  </si>
  <si>
    <t>بانک و صندوق</t>
  </si>
  <si>
    <t>دفتر حساب‌ها — همه صاحبان حساب در یک‌جا</t>
  </si>
  <si>
    <t>باغدار، بارفروش، فروشنده سبد، تأمین‌کننده، کارمند، باسکول دیگران و حساب‌های معین  ·  کدها ثابت‌اند</t>
  </si>
  <si>
    <t>باغداران</t>
  </si>
  <si>
    <t>بارفروشان</t>
  </si>
  <si>
    <t>فروشندگان سبد</t>
  </si>
  <si>
    <t>مانده بدهکار افتتاحیه</t>
  </si>
  <si>
    <t>کد حساب</t>
  </si>
  <si>
    <t>گروه (ماهیت)</t>
  </si>
  <si>
    <t>نام صاحب حساب</t>
  </si>
  <si>
    <t>Account Holder</t>
  </si>
  <si>
    <t>تلفن</t>
  </si>
  <si>
    <t>Phone</t>
  </si>
  <si>
    <t>همراه</t>
  </si>
  <si>
    <t>Mobile</t>
  </si>
  <si>
    <t>Address</t>
  </si>
  <si>
    <t>مانده اولیه</t>
  </si>
  <si>
    <t>Opening</t>
  </si>
  <si>
    <t>نوع حساب</t>
  </si>
  <si>
    <t>Type</t>
  </si>
  <si>
    <t>فعال</t>
  </si>
  <si>
    <t>Active</t>
  </si>
  <si>
    <t>گروه کد (خودکار)</t>
  </si>
  <si>
    <t>Code Group</t>
  </si>
  <si>
    <t>توضیحات</t>
  </si>
  <si>
    <t>Notes</t>
  </si>
  <si>
    <t>بررسی</t>
  </si>
  <si>
    <t>Check</t>
  </si>
  <si>
    <t>C001</t>
  </si>
  <si>
    <t>زینب زاهدی</t>
  </si>
  <si>
    <t>011-33330001</t>
  </si>
  <si>
    <t>09110000001</t>
  </si>
  <si>
    <t>بابل — میدان مرکبات</t>
  </si>
  <si>
    <t>طرف حساب</t>
  </si>
  <si>
    <t>بله</t>
  </si>
  <si>
    <t>نمونه — ویرایش کنید</t>
  </si>
  <si>
    <t>C002</t>
  </si>
  <si>
    <t>سید عباس موسوی</t>
  </si>
  <si>
    <t>011-33330002</t>
  </si>
  <si>
    <t>09110000002</t>
  </si>
  <si>
    <t>ساری — شهرک صنعتی</t>
  </si>
  <si>
    <t>نمونه</t>
  </si>
  <si>
    <t>C003</t>
  </si>
  <si>
    <t>حاج احمد عیسی پور</t>
  </si>
  <si>
    <t>011-33330003</t>
  </si>
  <si>
    <t>09110000003</t>
  </si>
  <si>
    <t>قائم‌شهر — خیابان طالب آملی</t>
  </si>
  <si>
    <t>C004</t>
  </si>
  <si>
    <t>امید زاهدی</t>
  </si>
  <si>
    <t>C005</t>
  </si>
  <si>
    <t>بار شخصی قاسم زاهدی</t>
  </si>
  <si>
    <t>C006</t>
  </si>
  <si>
    <t>هوشنگ عیسی پور</t>
  </si>
  <si>
    <t>C007</t>
  </si>
  <si>
    <t>علی آهنگر</t>
  </si>
  <si>
    <t>C008</t>
  </si>
  <si>
    <t>صفدر مسلمی</t>
  </si>
  <si>
    <t>C009</t>
  </si>
  <si>
    <t>همایون بابایی</t>
  </si>
  <si>
    <t>C010</t>
  </si>
  <si>
    <t>دبیر فرجی</t>
  </si>
  <si>
    <t>C011</t>
  </si>
  <si>
    <t>محمود علیجانی</t>
  </si>
  <si>
    <t>C012</t>
  </si>
  <si>
    <t>افشین بشتکار</t>
  </si>
  <si>
    <t>C013</t>
  </si>
  <si>
    <t>میرقربان موسویان</t>
  </si>
  <si>
    <t>C014</t>
  </si>
  <si>
    <t>باباجانی (تراجیکلا)</t>
  </si>
  <si>
    <t>C015</t>
  </si>
  <si>
    <t>کاظم میرزازاده</t>
  </si>
  <si>
    <t>C016</t>
  </si>
  <si>
    <t>علی جانبرارپور</t>
  </si>
  <si>
    <t>C017</t>
  </si>
  <si>
    <t>لیلا محمودنیا</t>
  </si>
  <si>
    <t>C018</t>
  </si>
  <si>
    <t>اسماعیل خانیا</t>
  </si>
  <si>
    <t>C019</t>
  </si>
  <si>
    <t>یوسف یوسف نژاد</t>
  </si>
  <si>
    <t>C020</t>
  </si>
  <si>
    <t>علی نوایی</t>
  </si>
  <si>
    <t>C021</t>
  </si>
  <si>
    <t>دومیری</t>
  </si>
  <si>
    <t>C022</t>
  </si>
  <si>
    <t>شمسعلی علیجانی</t>
  </si>
  <si>
    <t>C023</t>
  </si>
  <si>
    <t>یوسف نیا (موزیج)</t>
  </si>
  <si>
    <t>C024</t>
  </si>
  <si>
    <t>کاظم ذبیح پور</t>
  </si>
  <si>
    <t>C025</t>
  </si>
  <si>
    <t>علی غلام رضاپور</t>
  </si>
  <si>
    <t>C026</t>
  </si>
  <si>
    <t>حسین شکرالله نیا</t>
  </si>
  <si>
    <t>C027</t>
  </si>
  <si>
    <t>سید مهدی حسینی (دوست حاج هوشنگ)</t>
  </si>
  <si>
    <t>C028</t>
  </si>
  <si>
    <t>آقای عزیزی</t>
  </si>
  <si>
    <t>C029</t>
  </si>
  <si>
    <t>آقای حبیبی (بانک صادرات)</t>
  </si>
  <si>
    <t>C030</t>
  </si>
  <si>
    <t>محمد علی اصغرزاده</t>
  </si>
  <si>
    <t>C031</t>
  </si>
  <si>
    <t>فغان پور</t>
  </si>
  <si>
    <t>C032</t>
  </si>
  <si>
    <t>عباس پور (بهنمیر)</t>
  </si>
  <si>
    <t>C033</t>
  </si>
  <si>
    <t>رمضان خانیا (فرهاد پلنگ)</t>
  </si>
  <si>
    <t>C034</t>
  </si>
  <si>
    <t>محمد رضایی</t>
  </si>
  <si>
    <t>C035</t>
  </si>
  <si>
    <t>داریوش اسماعیلی</t>
  </si>
  <si>
    <t>C036</t>
  </si>
  <si>
    <t>محسن قبادی</t>
  </si>
  <si>
    <t>C037</t>
  </si>
  <si>
    <t>خانم قلی پور (یوسف نیا)</t>
  </si>
  <si>
    <t>C038</t>
  </si>
  <si>
    <t>مهدی ولیپور</t>
  </si>
  <si>
    <t>C039</t>
  </si>
  <si>
    <t>رمضان علی محمدیان</t>
  </si>
  <si>
    <t>C040</t>
  </si>
  <si>
    <t>محمود آهنگر</t>
  </si>
  <si>
    <t>C041</t>
  </si>
  <si>
    <t>محمد حسین عزیزی</t>
  </si>
  <si>
    <t>C042</t>
  </si>
  <si>
    <t>مغداد طلایی</t>
  </si>
  <si>
    <t>C043</t>
  </si>
  <si>
    <t>سید عبدالله میراقازاده</t>
  </si>
  <si>
    <t>C044</t>
  </si>
  <si>
    <t>رجب پور</t>
  </si>
  <si>
    <t>C045</t>
  </si>
  <si>
    <t>سعید بابایی</t>
  </si>
  <si>
    <t>C046</t>
  </si>
  <si>
    <t>مطلب عیسی پور</t>
  </si>
  <si>
    <t>C047</t>
  </si>
  <si>
    <t>عزیز زاده</t>
  </si>
  <si>
    <t>C048</t>
  </si>
  <si>
    <t>تقی اصغرنیا</t>
  </si>
  <si>
    <t>C049</t>
  </si>
  <si>
    <t>مدانلو</t>
  </si>
  <si>
    <t>C050</t>
  </si>
  <si>
    <t>خدیجه اصغرنیا</t>
  </si>
  <si>
    <t>C051</t>
  </si>
  <si>
    <t>اصغر عزیزی</t>
  </si>
  <si>
    <t>C052</t>
  </si>
  <si>
    <t>غلامی</t>
  </si>
  <si>
    <t>C053</t>
  </si>
  <si>
    <t>علی عزیزنژاد</t>
  </si>
  <si>
    <t>C054</t>
  </si>
  <si>
    <t>حسن عیسی پور</t>
  </si>
  <si>
    <t>C055</t>
  </si>
  <si>
    <t>عسگری محمودی</t>
  </si>
  <si>
    <t>C056</t>
  </si>
  <si>
    <t>اسماعیل حیدری</t>
  </si>
  <si>
    <t>C057</t>
  </si>
  <si>
    <t>کبری اصغرنیا</t>
  </si>
  <si>
    <t>SL001</t>
  </si>
  <si>
    <t>قم — سید حسین حسینی</t>
  </si>
  <si>
    <t>9125528445</t>
  </si>
  <si>
    <t>قم، میدان تره‌بار، بلوک ۴، غرفه ۲۲</t>
  </si>
  <si>
    <t>خریدار بار — فروش خروجی باسکول</t>
  </si>
  <si>
    <t>SL002</t>
  </si>
  <si>
    <t>مشهد — محمد توکلی</t>
  </si>
  <si>
    <t>9154018185</t>
  </si>
  <si>
    <t>مشهد، میدان بار سپاد، تالار ۶، حجره ۱۵</t>
  </si>
  <si>
    <t>SL003</t>
  </si>
  <si>
    <t>اراک — پوریا خوش‌نمکیان</t>
  </si>
  <si>
    <t>9369182495</t>
  </si>
  <si>
    <t>اراک، میدان بار، فاز ۲، سالن شهید رجایی، حجره ۶</t>
  </si>
  <si>
    <t>SL004</t>
  </si>
  <si>
    <t>تبریز — نورزاده</t>
  </si>
  <si>
    <t>SL005</t>
  </si>
  <si>
    <t>زنجان — خانی</t>
  </si>
  <si>
    <t>S001</t>
  </si>
  <si>
    <t>حسن کوچک‌زاده</t>
  </si>
  <si>
    <t>011-44440001</t>
  </si>
  <si>
    <t>09110000004</t>
  </si>
  <si>
    <t>باغدشت</t>
  </si>
  <si>
    <t>خرید سبد از باغ</t>
  </si>
  <si>
    <t>S002</t>
  </si>
  <si>
    <t>سید محمد موسویان</t>
  </si>
  <si>
    <t>011-44440002</t>
  </si>
  <si>
    <t>09110000005</t>
  </si>
  <si>
    <t>قائم‌شهر — میدان بار</t>
  </si>
  <si>
    <t>خرید سبد از میدان بار</t>
  </si>
  <si>
    <t>S003</t>
  </si>
  <si>
    <t>سید ربیع موسویان</t>
  </si>
  <si>
    <t>E001</t>
  </si>
  <si>
    <t>09110000010</t>
  </si>
  <si>
    <t>قائم‌شهر</t>
  </si>
  <si>
    <t>مدیرعامل شرکت</t>
  </si>
  <si>
    <t>E002</t>
  </si>
  <si>
    <t>(نام حسابدار)</t>
  </si>
  <si>
    <t>09110000011</t>
  </si>
  <si>
    <t>E003</t>
  </si>
  <si>
    <t>(نام فروشنده ۱)</t>
  </si>
  <si>
    <t>09110000012</t>
  </si>
  <si>
    <t>E004</t>
  </si>
  <si>
    <t>(نام انباردار)</t>
  </si>
  <si>
    <t>09110000013</t>
  </si>
  <si>
    <t>E005</t>
  </si>
  <si>
    <t>رضا کاظمی (نمونه)</t>
  </si>
  <si>
    <t>09110000014</t>
  </si>
  <si>
    <t>نمونه — گروه سالن ۱</t>
  </si>
  <si>
    <t>E006</t>
  </si>
  <si>
    <t>علی احمدی (نمونه)</t>
  </si>
  <si>
    <t>09110000015</t>
  </si>
  <si>
    <t>X001</t>
  </si>
  <si>
    <t>انعام مصطفی</t>
  </si>
  <si>
    <t>حساب شخصی انعام مصطفی — پول‌های پوز باسکول برای او بستانکار می‌شود</t>
  </si>
  <si>
    <t>X002</t>
  </si>
  <si>
    <t>درآمد باسکول</t>
  </si>
  <si>
    <t>درآمد باسکول (احمد زاهدی)</t>
  </si>
  <si>
    <t>معین</t>
  </si>
  <si>
    <t>درآمد هزینه باسکول و پوز — حساب درآمدی</t>
  </si>
  <si>
    <t>X003</t>
  </si>
  <si>
    <t>صندوق شرکت</t>
  </si>
  <si>
    <t>حساب معین — در قواعد عملیات باسکول استفاده می‌شود</t>
  </si>
  <si>
    <t>X004</t>
  </si>
  <si>
    <t>موجودی مرکبات (انبار)</t>
  </si>
  <si>
    <t>X005</t>
  </si>
  <si>
    <t>موجودی سبد و ظروف</t>
  </si>
  <si>
    <t>X006</t>
  </si>
  <si>
    <t>فروش مرکبات</t>
  </si>
  <si>
    <t>X007</t>
  </si>
  <si>
    <t>فروش سبد</t>
  </si>
  <si>
    <t>X008</t>
  </si>
  <si>
    <t>درآمد آبگیری</t>
  </si>
  <si>
    <t>X009</t>
  </si>
  <si>
    <t>هزینه ضایعات و افت</t>
  </si>
  <si>
    <t>X010</t>
  </si>
  <si>
    <t>چک‌های پرداختی (در جریان)</t>
  </si>
  <si>
    <t>X011</t>
  </si>
  <si>
    <t>حساب واسط عملیات</t>
  </si>
  <si>
    <t>X012</t>
  </si>
  <si>
    <t>هزینه حمل و تخلیه</t>
  </si>
  <si>
    <t>X013</t>
  </si>
  <si>
    <t>هزینه دستمزد</t>
  </si>
  <si>
    <t>X014</t>
  </si>
  <si>
    <t>کارمزد بانکی</t>
  </si>
  <si>
    <t>X015</t>
  </si>
  <si>
    <t>سایر درآمدها</t>
  </si>
  <si>
    <t>X016</t>
  </si>
  <si>
    <t>سایر هزینه‌ها</t>
  </si>
  <si>
    <t>X017</t>
  </si>
  <si>
    <t>مالیات و عوارض</t>
  </si>
  <si>
    <t>X018</t>
  </si>
  <si>
    <t>تخفیف و افت بار</t>
  </si>
  <si>
    <t>X019</t>
  </si>
  <si>
    <t>موجودی مواد بسته‌بندی</t>
  </si>
  <si>
    <t>X020</t>
  </si>
  <si>
    <t>حساب کنترل ترازنامه</t>
  </si>
  <si>
    <t>F001</t>
  </si>
  <si>
    <t>زمین باغدشت (نمونه)</t>
  </si>
  <si>
    <t>دارایی ثابت شرکت</t>
  </si>
  <si>
    <t>F002</t>
  </si>
  <si>
    <t>وانت حمل بار (نمونه)</t>
  </si>
  <si>
    <t>F003</t>
  </si>
  <si>
    <t>ماشین‌آلات خط سورتینگ (نمونه)</t>
  </si>
  <si>
    <t>L001</t>
  </si>
  <si>
    <t>وام بانک ملت (نمونه)</t>
  </si>
  <si>
    <t>دریافت وام = واریز با این طرف؛ قسط = برداشت با این طرف</t>
  </si>
  <si>
    <t>CAP001</t>
  </si>
  <si>
    <t>سرمایه و آورده صاحبان (نمونه)</t>
  </si>
  <si>
    <t>افتتاحیه: ۲٬۶۵۰٬۰۰۰٬۰۰۰ ریال بستانکار در مقابل دارایی‌ها</t>
  </si>
  <si>
    <t>BD001</t>
  </si>
  <si>
    <t>باسکول میدان بار (نمونه)</t>
  </si>
  <si>
    <t>هزینه باسکول این اشخاص بدهکار و بعداً تسویه می‌شود</t>
  </si>
  <si>
    <t>BN01</t>
  </si>
  <si>
    <t>حساب‌های بانکی</t>
  </si>
  <si>
    <t>صادرات ۹۰۰۹ — جاری اصلی</t>
  </si>
  <si>
    <t>بانک</t>
  </si>
  <si>
    <t>BN02</t>
  </si>
  <si>
    <t>صادرات ۲۰۰۶ — پوز باسکول</t>
  </si>
  <si>
    <t>BN03</t>
  </si>
  <si>
    <t>بانک ملت</t>
  </si>
  <si>
    <t>BN04</t>
  </si>
  <si>
    <t>بانک کشاورزی</t>
  </si>
  <si>
    <t>BN05</t>
  </si>
  <si>
    <t>بانک سپه</t>
  </si>
  <si>
    <t>BN06</t>
  </si>
  <si>
    <t>بانک مهر ایران</t>
  </si>
  <si>
    <t>BN07</t>
  </si>
  <si>
    <t>بانک تجارت</t>
  </si>
  <si>
    <t>BN08</t>
  </si>
  <si>
    <t>بانک پاسارگاد</t>
  </si>
  <si>
    <t>BN09</t>
  </si>
  <si>
    <t>بانک رفاه</t>
  </si>
  <si>
    <t>BN10</t>
  </si>
  <si>
    <t>قرض‌الحسنه</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</si>
  <si>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</si>
  <si>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</si>
  <si>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</si>
  <si>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</si>
  <si>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</si>
  <si>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</si>
  <si>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</si>
  <si>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</si>
  <si>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</si>
  <si>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</si>
  <si>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</si>
  <si>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</si>
  <si>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</si>
  <si>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</si>
  <si>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</si>
  <si>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</si>
  <si>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</si>
  <si>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</si>
  <si>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</si>
  <si>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</si>
  <si>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</si>
  <si>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</si>
  <si>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</si>
  <si>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</si>
  <si>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</si>
  <si>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</si>
  <si>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</si>
  <si>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</si>
  <si>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</si>
  <si>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</si>
  <si>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</si>
  <si>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</si>
  <si>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</si>
  <si>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</si>
  <si>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</si>
  <si>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</si>
  <si>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</si>
  <si>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</si>
  <si>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</si>
  <si>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</si>
  <si>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</si>
  <si>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</si>
  <si>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</si>
  <si>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</si>
  <si>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</si>
  <si>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</si>
  <si>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</si>
  <si>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</si>
  <si>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</si>
  <si>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</si>
  <si>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</si>
  <si>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</si>
  <si>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</si>
  <si>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</si>
  <si>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</si>
  <si>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</si>
  <si>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</si>
  <si>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</si>
  <si>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</si>
  <si>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</si>
  <si>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</si>
  <si>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</si>
  <si>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</si>
  <si>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SL006</t>
  </si>
  <si>
    <t>SL007</t>
  </si>
  <si>
    <t>SL008</t>
  </si>
  <si>
    <t>SL009</t>
  </si>
  <si>
    <t>SL010</t>
  </si>
  <si>
    <t>SL011</t>
  </si>
  <si>
    <t>SL012</t>
  </si>
  <si>
    <t>SL013</t>
  </si>
  <si>
    <t>SL014</t>
  </si>
  <si>
    <t>SL015</t>
  </si>
  <si>
    <t>SL016</t>
  </si>
  <si>
    <t>SL017</t>
  </si>
  <si>
    <t>SL018</t>
  </si>
  <si>
    <t>SL019</t>
  </si>
  <si>
    <t>SL020</t>
  </si>
  <si>
    <t>SL021</t>
  </si>
  <si>
    <t>SL022</t>
  </si>
  <si>
    <t>SL023</t>
  </si>
  <si>
    <t>SL024</t>
  </si>
  <si>
    <t>SL025</t>
  </si>
  <si>
    <t>SL026</t>
  </si>
  <si>
    <t>SL027</t>
  </si>
  <si>
    <t>SL028</t>
  </si>
  <si>
    <t>SL029</t>
  </si>
  <si>
    <t>SL030</t>
  </si>
  <si>
    <t>S004</t>
  </si>
  <si>
    <t>S005</t>
  </si>
  <si>
    <t>S006</t>
  </si>
  <si>
    <t>S007</t>
  </si>
  <si>
    <t>S008</t>
  </si>
  <si>
    <t>S009</t>
  </si>
  <si>
    <t>S010</t>
  </si>
  <si>
    <t>S011</t>
  </si>
  <si>
    <t>S012</t>
  </si>
  <si>
    <t>S013</t>
  </si>
  <si>
    <t>S014</t>
  </si>
  <si>
    <t>S015</t>
  </si>
  <si>
    <t>S016</t>
  </si>
  <si>
    <t>S017</t>
  </si>
  <si>
    <t>S018</t>
  </si>
  <si>
    <t>S019</t>
  </si>
  <si>
    <t>S020</t>
  </si>
  <si>
    <t>E007</t>
  </si>
  <si>
    <t>E008</t>
  </si>
  <si>
    <t>E009</t>
  </si>
  <si>
    <t>E010</t>
  </si>
  <si>
    <t>F004</t>
  </si>
  <si>
    <t>F005</t>
  </si>
  <si>
    <t>F006</t>
  </si>
  <si>
    <t>F007</t>
  </si>
  <si>
    <t>F008</t>
  </si>
  <si>
    <t>F009</t>
  </si>
  <si>
    <t>F010</t>
  </si>
  <si>
    <t>L002</t>
  </si>
  <si>
    <t>L003</t>
  </si>
  <si>
    <t>L004</t>
  </si>
  <si>
    <t>L005</t>
  </si>
  <si>
    <t>CAP002</t>
  </si>
  <si>
    <t>CAP003</t>
  </si>
  <si>
    <t>CAP004</t>
  </si>
  <si>
    <t>CAP005</t>
  </si>
  <si>
    <t>BD002</t>
  </si>
  <si>
    <t>BD003</t>
  </si>
  <si>
    <t>BD004</t>
  </si>
  <si>
    <t>BD005</t>
  </si>
  <si>
    <t>BD006</t>
  </si>
  <si>
    <t>BD007</t>
  </si>
  <si>
    <t>BD008</t>
  </si>
  <si>
    <t>BD009</t>
  </si>
  <si>
    <t>BD010</t>
  </si>
  <si>
    <t>BD011</t>
  </si>
  <si>
    <t>BD012</t>
  </si>
  <si>
    <t>BD013</t>
  </si>
  <si>
    <t>BD014</t>
  </si>
  <si>
    <t>BD015</t>
  </si>
  <si>
    <t>BD016</t>
  </si>
  <si>
    <t>BD017</t>
  </si>
  <si>
    <t>BD018</t>
  </si>
  <si>
    <t>BD019</t>
  </si>
  <si>
    <t>BD020</t>
  </si>
  <si>
    <t>قواعد عملیات — موتور بدهکار/بستانکار سامانه</t>
  </si>
  <si>
    <t>هر عملیات یک جهت، یک دسته، الزامات و سمت‌های حساب دارد  ·  تغییر این شیت، رفتار همه فایل‌ها را عوض می‌کند</t>
  </si>
  <si>
    <t>عملیات تعریف‌شده</t>
  </si>
  <si>
    <t>عملیات فعال</t>
  </si>
  <si>
    <t>در کشوی باسکول</t>
  </si>
  <si>
    <t>عملیات سبد</t>
  </si>
  <si>
    <t>عملیات پوز</t>
  </si>
  <si>
    <t>عنوان عملیات</t>
  </si>
  <si>
    <t>Operation</t>
  </si>
  <si>
    <t>جهت</t>
  </si>
  <si>
    <t>Direction</t>
  </si>
  <si>
    <t>دسته</t>
  </si>
  <si>
    <t>Category</t>
  </si>
  <si>
    <t>وزن لازم؟</t>
  </si>
  <si>
    <t>Weight?</t>
  </si>
  <si>
    <t>حساب طرف؟</t>
  </si>
  <si>
    <t>Party?</t>
  </si>
  <si>
    <t>مبنای مبلغ طرف</t>
  </si>
  <si>
    <t>Party Basis</t>
  </si>
  <si>
    <t>سمت حساب طرف</t>
  </si>
  <si>
    <t>Party Side</t>
  </si>
  <si>
    <t>Ledger</t>
  </si>
  <si>
    <t>سمت معین</t>
  </si>
  <si>
    <t>Ledger Side</t>
  </si>
  <si>
    <t>نقش مبلغ دستی</t>
  </si>
  <si>
    <t>Manual Role</t>
  </si>
  <si>
    <t>اثر پوز</t>
  </si>
  <si>
    <t>POS Effect</t>
  </si>
  <si>
    <t>بانک پوز</t>
  </si>
  <si>
    <t>POS Bank</t>
  </si>
  <si>
    <t>حساب مقابل پوز</t>
  </si>
  <si>
    <t>POS Counter</t>
  </si>
  <si>
    <t>حساب طرف ثابت</t>
  </si>
  <si>
    <t>Fixed Party</t>
  </si>
  <si>
    <t>در باسکول؟</t>
  </si>
  <si>
    <t>In Baskol</t>
  </si>
  <si>
    <t>توضیح و قاعده</t>
  </si>
  <si>
    <t>Rule</t>
  </si>
  <si>
    <t>شناسه عملیات</t>
  </si>
  <si>
    <t>جهت و دسته</t>
  </si>
  <si>
    <t>الزامات و طرف حساب</t>
  </si>
  <si>
    <t>مبلغ دستی و پوز</t>
  </si>
  <si>
    <t>طرف ثابت</t>
  </si>
  <si>
    <t>نمایش</t>
  </si>
  <si>
    <t>توضیح / فعال</t>
  </si>
  <si>
    <t>OP01</t>
  </si>
  <si>
    <t>خرید مرکبات</t>
  </si>
  <si>
    <t>خرید</t>
  </si>
  <si>
    <t>وزن</t>
  </si>
  <si>
    <t>بستانکار</t>
  </si>
  <si>
    <t>بدهکار</t>
  </si>
  <si>
    <t>افزودن</t>
  </si>
  <si>
    <t>—</t>
  </si>
  <si>
    <t>بدهکار: موجودی مرکبات | بستانکار: حساب باغدار. مبلغ ستون «مبلغ دستی» به بستانکاری باغدار اضافه می‌شود (کرایه/سایر).</t>
  </si>
  <si>
    <t>OP02</t>
  </si>
  <si>
    <t>فروش بار (بارفروش)</t>
  </si>
  <si>
    <t>فروش</t>
  </si>
  <si>
    <t>پوز</t>
  </si>
  <si>
    <t>BANK02</t>
  </si>
  <si>
    <t>بدهکار: حساب بارفروش | بستانکار: فروش مرکبات. مبلغ ستون «پوز/دستی» فقط هزینه باسکول است: بدهکار صادرات ۲۰۰۶ / بستانکار درآمد باسکول؛ به حساب بارفروش کاری ندارد.</t>
  </si>
  <si>
    <t>OP03</t>
  </si>
  <si>
    <t>فروش متفرقه / صادراتی</t>
  </si>
  <si>
    <t>مانند فروش بار؛ برای حجره‌دار و صادراتی.</t>
  </si>
  <si>
    <t>OP04</t>
  </si>
  <si>
    <t>آبگیری</t>
  </si>
  <si>
    <t>مبلغ</t>
  </si>
  <si>
    <t>هیچ</t>
  </si>
  <si>
    <t>هم وزن و هم مبلغ وارد می‌شود. سمت حساب را خودتان (بدهکار/بستانکار) در ستون «سمت حساب» انتخاب کنید؛ طرف مقابل حساب درآمد آبگیری است.</t>
  </si>
  <si>
    <t>OP05</t>
  </si>
  <si>
    <t>انعام</t>
  </si>
  <si>
    <t>rose</t>
  </si>
  <si>
    <t>فقط مبلغ. بدهکار: صادرات ۲۰۰۶ (پوز باسکول) | بستانکار: انعام مصطفی. با هر انتقال/پرداخت به ایشان در شیت Payment تسویه می‌شود.</t>
  </si>
  <si>
    <t>OP06</t>
  </si>
  <si>
    <t>فقط مبلغ. بدهکار: حساب صاحب باسکول دیگر (گروه باسکول دیگران) | بستانکار: درآمد باسکول.</t>
  </si>
  <si>
    <t>OP07</t>
  </si>
  <si>
    <t>درآمد پوز باسکول (بدون طرف)</t>
  </si>
  <si>
    <t>فقط مبلغ. بدهکار: صادرات ۲۰۰۶ | بستانکار: درآمد باسکول. برای هزینه باسکول نقدی/POS بدون بار.</t>
  </si>
  <si>
    <t>OP08</t>
  </si>
  <si>
    <t>مرجوعی خرید</t>
  </si>
  <si>
    <t>برگشت بار به باغدار: بدهکار باغدار | بستانکار موجودی مرکبات.</t>
  </si>
  <si>
    <t>OP09</t>
  </si>
  <si>
    <t>مرجوعی فروش</t>
  </si>
  <si>
    <t>برگشت بار از بارفروش: بستانکار بارفروش | بدهکار فروش مرکبات.</t>
  </si>
  <si>
    <t>OP10</t>
  </si>
  <si>
    <t>ضایعات / افت انبار</t>
  </si>
  <si>
    <t>فقط وزن و فی. طرف حساب ثابت = موجودی مرکبات (بستانکار) | هزینه ضایعات (بدهکار).</t>
  </si>
  <si>
    <t>OP11</t>
  </si>
  <si>
    <t>انتقال بین انبار</t>
  </si>
  <si>
    <t>انتقال</t>
  </si>
  <si>
    <t>teal</t>
  </si>
  <si>
    <t>فقط برای کنترل فیزیکی؛ سند مالی ندارد.</t>
  </si>
  <si>
    <t>OP12</t>
  </si>
  <si>
    <t>سایر ورود</t>
  </si>
  <si>
    <t>ورود متفرقه با طرف حساب؛ به حساب واسط می‌رود تا بعداً طبقه‌بندی شود.</t>
  </si>
  <si>
    <t>OP13</t>
  </si>
  <si>
    <t>سایر خروج</t>
  </si>
  <si>
    <t>خروج متفرقه با طرف حساب؛ به حساب واسط می‌رود.</t>
  </si>
  <si>
    <t>OP14</t>
  </si>
  <si>
    <t>هزینه باسکول نقدی (درآمد)</t>
  </si>
  <si>
    <t>دریافت هزینه باسکول از مشتری بدون بار؛ بدهکار صادرات ۲۰۰۶ / بستانکار درآمد باسکول.</t>
  </si>
  <si>
    <t>OP15</t>
  </si>
  <si>
    <t>خرید سبد</t>
  </si>
  <si>
    <t>خرید سبد از فروشنده سبد: بدهکار موجودی سبد | بستانکار فروشنده سبد.</t>
  </si>
  <si>
    <t>OP16</t>
  </si>
  <si>
    <t>فروش سبد: بدهکار خریدار | بستانکار درآمد فروش سبد.</t>
  </si>
  <si>
    <t>OP17</t>
  </si>
  <si>
    <t>مرجوعی خرید سبد</t>
  </si>
  <si>
    <t>برگشت سبد به فروشنده: بدهکار فروشنده | بستانکار موجودی سبد.</t>
  </si>
  <si>
    <t>OP18</t>
  </si>
  <si>
    <t>مرجوعی فروش سبد</t>
  </si>
  <si>
    <t>برگشت سبد از خریدار: بستانکار خریدار | بدهکار فروش سبد.</t>
  </si>
  <si>
    <t>OP19</t>
  </si>
  <si>
    <t>انتقال سبد بین انبار</t>
  </si>
  <si>
    <t>فقط شمارش؛ سند مالی ندارد.</t>
  </si>
  <si>
    <t>OP20</t>
  </si>
  <si>
    <t>OP21</t>
  </si>
  <si>
    <t>OP22</t>
  </si>
  <si>
    <t>OP23</t>
  </si>
  <si>
    <t>OP24</t>
  </si>
  <si>
    <t>انواع سبد و ظروف — وزن تار، قیمت و موجودی</t>
  </si>
  <si>
    <t>وزن تار هر سبد در محاسبه وزن خالص باسکول کسر می‌شود  ·  موجودی با عملیات شیت سبد در فایل ثبت حرکت می‌کند</t>
  </si>
  <si>
    <t>مجموع موجودی اولیه</t>
  </si>
  <si>
    <t>میانگین وزن تار</t>
  </si>
  <si>
    <t>ارزش موجودی اولیه</t>
  </si>
  <si>
    <t>نام سبد</t>
  </si>
  <si>
    <t>Name</t>
  </si>
  <si>
    <t>وزن تار (kg)</t>
  </si>
  <si>
    <t>Tare</t>
  </si>
  <si>
    <t>ظرفیت (kg)</t>
  </si>
  <si>
    <t>Capacity</t>
  </si>
  <si>
    <t>قیمت خرید</t>
  </si>
  <si>
    <t>Buy Price</t>
  </si>
  <si>
    <t>قیمت فروش</t>
  </si>
  <si>
    <t>Sell Price</t>
  </si>
  <si>
    <t>موجودی اولیه</t>
  </si>
  <si>
    <t>Opening Qty</t>
  </si>
  <si>
    <t>Opening Value</t>
  </si>
  <si>
    <t>برچسب کشویی</t>
  </si>
  <si>
    <t>Label</t>
  </si>
  <si>
    <t>BK01</t>
  </si>
  <si>
    <t>۶ک مشکی</t>
  </si>
  <si>
    <t>BK02</t>
  </si>
  <si>
    <t>درب‌۶ک</t>
  </si>
  <si>
    <t>BK03</t>
  </si>
  <si>
    <t>۹ک مشکی</t>
  </si>
  <si>
    <t>BK04</t>
  </si>
  <si>
    <t>ریلی کوچک آبی</t>
  </si>
  <si>
    <t>BK05</t>
  </si>
  <si>
    <t>تک‌رج آبی بزرگ</t>
  </si>
  <si>
    <t>BK06</t>
  </si>
  <si>
    <t>آبی ۲۵×۲۰</t>
  </si>
  <si>
    <t>BK07</t>
  </si>
  <si>
    <t>۸ک مشکی</t>
  </si>
  <si>
    <t>BK08</t>
  </si>
  <si>
    <t>BK09</t>
  </si>
  <si>
    <t>BK10</t>
  </si>
  <si>
    <t>BK11</t>
  </si>
  <si>
    <t>BK12</t>
  </si>
  <si>
    <t>محصولات — خرید و فروش</t>
  </si>
  <si>
    <t>برای هر محصول، دسته (نوع مرکبات)، واحد و سبد پیش‌فرض تعریف می‌شود</t>
  </si>
  <si>
    <t>پرتقال</t>
  </si>
  <si>
    <t>نارنگی</t>
  </si>
  <si>
    <t>لیمو</t>
  </si>
  <si>
    <t>نام محصول</t>
  </si>
  <si>
    <t>Product</t>
  </si>
  <si>
    <t>دسته / نوع مرکبات</t>
  </si>
  <si>
    <t>سبد پیش‌فرض</t>
  </si>
  <si>
    <t>Default Basket</t>
  </si>
  <si>
    <t>PB01</t>
  </si>
  <si>
    <t>پرتقال تامسون</t>
  </si>
  <si>
    <t>خرید از باغ / میدان بار</t>
  </si>
  <si>
    <t>PB02</t>
  </si>
  <si>
    <t>پرتقال خونی</t>
  </si>
  <si>
    <t>PB03</t>
  </si>
  <si>
    <t>پرتقال کاراکارا</t>
  </si>
  <si>
    <t>PB04</t>
  </si>
  <si>
    <t>پرتقال بیروتی</t>
  </si>
  <si>
    <t>PB05</t>
  </si>
  <si>
    <t>پرتقال یافا</t>
  </si>
  <si>
    <t>PB06</t>
  </si>
  <si>
    <t>نارنگی پیچ</t>
  </si>
  <si>
    <t>PB07</t>
  </si>
  <si>
    <t>نارنگی ژاپنی</t>
  </si>
  <si>
    <t>PB08</t>
  </si>
  <si>
    <t>نارنگی اونشو</t>
  </si>
  <si>
    <t>PB09</t>
  </si>
  <si>
    <t>نارنگی یافا</t>
  </si>
  <si>
    <t>PB10</t>
  </si>
  <si>
    <t>لیمو شیرین</t>
  </si>
  <si>
    <t>PB11</t>
  </si>
  <si>
    <t>لیمو ترش</t>
  </si>
  <si>
    <t>PB12</t>
  </si>
  <si>
    <t>کامکوات</t>
  </si>
  <si>
    <t>PB13</t>
  </si>
  <si>
    <t>گریپ‌فرویت</t>
  </si>
  <si>
    <t>PB14</t>
  </si>
  <si>
    <t>خرمالو</t>
  </si>
  <si>
    <t>PB15</t>
  </si>
  <si>
    <t>نارنج</t>
  </si>
  <si>
    <t>PB16</t>
  </si>
  <si>
    <t>PB17</t>
  </si>
  <si>
    <t>PB18</t>
  </si>
  <si>
    <t>PB19</t>
  </si>
  <si>
    <t>PB20</t>
  </si>
  <si>
    <t>بانک‌ها و حساب‌های شرکت</t>
  </si>
  <si>
    <t>کد بانک ثابت است؛ عنوان را آزادانه عوض کنید  ·  پوز باسکول به صادرات ۲۰۰۶ وصل است</t>
  </si>
  <si>
    <t>بانک فعال</t>
  </si>
  <si>
    <t>کد بانک</t>
  </si>
  <si>
    <t>عنوان نمایشی</t>
  </si>
  <si>
    <t>Title</t>
  </si>
  <si>
    <t>شماره حساب</t>
  </si>
  <si>
    <t>Account No.</t>
  </si>
  <si>
    <t>شبا</t>
  </si>
  <si>
    <t>IBAN</t>
  </si>
  <si>
    <t>BANK01</t>
  </si>
  <si>
    <t>حساب جاری اصلی شرکت</t>
  </si>
  <si>
    <t>پوز باسکول به این حساب وصل است</t>
  </si>
  <si>
    <t>BANK03</t>
  </si>
  <si>
    <t>ملت</t>
  </si>
  <si>
    <t>BANK04</t>
  </si>
  <si>
    <t>کشاورزی</t>
  </si>
  <si>
    <t>BANK05</t>
  </si>
  <si>
    <t>سپه</t>
  </si>
  <si>
    <t>BANK06</t>
  </si>
  <si>
    <t>مهر ایران</t>
  </si>
  <si>
    <t>BANK07</t>
  </si>
  <si>
    <t>تجارت</t>
  </si>
  <si>
    <t>BANK08</t>
  </si>
  <si>
    <t>پاسارگاد</t>
  </si>
  <si>
    <t>BANK09</t>
  </si>
  <si>
    <t>رفاه</t>
  </si>
  <si>
    <t>BANK10</t>
  </si>
  <si>
    <t>لیست‌های عمومی — منبع کشوهای سامانه</t>
  </si>
  <si>
    <t>هر ستون یک لیست است؛ مقدار جدید را در ردیف خالی بعدی همان ستون بنویسید</t>
  </si>
  <si>
    <t>واحد شمارش</t>
  </si>
  <si>
    <t>Units</t>
  </si>
  <si>
    <t>سبد</t>
  </si>
  <si>
    <t>جعبه</t>
  </si>
  <si>
    <t>تن</t>
  </si>
  <si>
    <t>دسته مرکبات</t>
  </si>
  <si>
    <t>Categories</t>
  </si>
  <si>
    <t>Directions</t>
  </si>
  <si>
    <t>بله / خیر</t>
  </si>
  <si>
    <t>YesNo</t>
  </si>
  <si>
    <t>PartyTypes</t>
  </si>
  <si>
    <t>روش پرداخت</t>
  </si>
  <si>
    <t>PayMethods</t>
  </si>
  <si>
    <t>نقد</t>
  </si>
  <si>
    <t>چک</t>
  </si>
  <si>
    <t>انتقال بانکی</t>
  </si>
  <si>
    <t>کارت/پوز</t>
  </si>
  <si>
    <t>پاس چک</t>
  </si>
  <si>
    <t>انتقال داخلی</t>
  </si>
  <si>
    <t>وضعیت چک</t>
  </si>
  <si>
    <t>ChequeStatus</t>
  </si>
  <si>
    <t>در جریان</t>
  </si>
  <si>
    <t>پاس شده</t>
  </si>
  <si>
    <t>برگشتی</t>
  </si>
  <si>
    <t>باطل</t>
  </si>
  <si>
    <t>تیک انتخاب</t>
  </si>
  <si>
    <t>Include</t>
  </si>
  <si>
    <t>☑</t>
  </si>
  <si>
    <t>☐</t>
  </si>
  <si>
    <t>ManualRoles</t>
  </si>
  <si>
    <t>PosEffects</t>
  </si>
  <si>
    <t>سمت حساب</t>
  </si>
  <si>
    <t>Sides</t>
  </si>
  <si>
    <t>دسته عملیات</t>
  </si>
  <si>
    <t>OpCategories</t>
  </si>
  <si>
    <t>تعدیل</t>
  </si>
  <si>
    <t>علامت وضعیت</t>
  </si>
  <si>
    <t>StatusMarks</t>
  </si>
  <si>
    <t>✓</t>
  </si>
  <si>
    <t>⚠</t>
  </si>
  <si>
    <t>ReportSheets</t>
  </si>
  <si>
    <t>مبنای طرف</t>
  </si>
  <si>
    <t>PartyBasis</t>
  </si>
  <si>
    <t>کلید رنگ</t>
  </si>
  <si>
    <t>ColorKeys</t>
  </si>
  <si>
    <t>فصل</t>
  </si>
  <si>
    <t>Seasons</t>
  </si>
  <si>
    <t>بهار</t>
  </si>
  <si>
    <t>تابستان</t>
  </si>
  <si>
    <t>پاییز</t>
  </si>
  <si>
    <t>زمستان</t>
  </si>
  <si>
    <t>جهت پرداخت</t>
  </si>
  <si>
    <t>TxnDirections</t>
  </si>
  <si>
    <t>پرداخت</t>
  </si>
  <si>
    <t>دریافت</t>
  </si>
  <si>
    <t>مرجع سریع و قفل‌شده (Sync)</t>
  </si>
  <si>
    <t>نمای خواندنی از پارامترها، گروه‌ها و بانک‌ها  ·  این شیت فقط مطالعه است</t>
  </si>
  <si>
    <t>این شیت قفل است و هیچ داده‌ای در آن وارد نمی‌شود؛ مقادیرش زنده از شیت‌های Params، Groups و Banks خوانده می‌شود. برای تغییر هر مقدار، همان شیت اصلی را ویرایش کنید و برگردید — اینجا خودکار به‌روز می‌شود.</t>
  </si>
  <si>
    <t>پارامترهای محاسباتی  —  همان مقادیر شیت Params — پایه همه فرمول‌های مجموعه</t>
  </si>
  <si>
    <t>شیت منبع</t>
  </si>
  <si>
    <t>Params</t>
  </si>
  <si>
    <t>گروه‌های اصلی حساب  —  تعداد حساب‌های هر گروه، زنده از شیت Accounts</t>
  </si>
  <si>
    <t>گروه</t>
  </si>
  <si>
    <t>تعداد حساب</t>
  </si>
  <si>
    <t>تعداد زیرگروه</t>
  </si>
  <si>
    <t>Accounts / Groups</t>
  </si>
  <si>
    <t>جمع</t>
  </si>
  <si>
    <t>بانک‌های شرکت  —  کد بانک ثابت است؛ عنوان را در شیت Banks عوض کنید</t>
  </si>
  <si>
    <t>Banks</t>
  </si>
  <si>
    <t>راهنمای کامل فایل مادر (INFO)</t>
  </si>
  <si>
    <t>از اینجا شروع کنید — نقشه، قواعد و آموزش گام‌به‌گام سامانه حسابداری مازندشت</t>
  </si>
  <si>
    <t>این شیت قفل است و فقط برای مطالعه است. همه فایل‌های دیگر از همین فایل خوانده می‌شوند؛ بنابراین ترتیب کار همیشه این است: اول INFO، بعد ثبت، بعد گزارش/فاکتور/ترازنامه. هر بخش را با یک مثال واقعی از عملیات سورتینگ توضیح داده‌ایم.</t>
  </si>
  <si>
    <t>۰</t>
  </si>
  <si>
    <t>فهرست مطالب  —  روی هر سطر کلیک کنید</t>
  </si>
  <si>
    <t>۱</t>
  </si>
  <si>
    <t xml:space="preserve">  این فایل چیست و چرا «مادر» است؟</t>
  </si>
  <si>
    <t>۲</t>
  </si>
  <si>
    <t xml:space="preserve">  نقشه فایل‌ها و جریان داده</t>
  </si>
  <si>
    <t>۳</t>
  </si>
  <si>
    <t xml:space="preserve">  قواعد کدگذاری</t>
  </si>
  <si>
    <t>۴</t>
  </si>
  <si>
    <t xml:space="preserve">  دفتر حساب‌ها (Accounts)</t>
  </si>
  <si>
    <t>۵</t>
  </si>
  <si>
    <t xml:space="preserve">  گروه‌ها و زیرگروه‌ها</t>
  </si>
  <si>
    <t>۶</t>
  </si>
  <si>
    <t xml:space="preserve">  عملیات و قواعد بدهکار/بستانکار</t>
  </si>
  <si>
    <t>۷</t>
  </si>
  <si>
    <t xml:space="preserve">  پارامترهای محاسباتی</t>
  </si>
  <si>
    <t>۸</t>
  </si>
  <si>
    <t xml:space="preserve">  سبدها و وزن تار</t>
  </si>
  <si>
    <t>۹</t>
  </si>
  <si>
    <t xml:space="preserve">  محصولات، بانک‌ها و پوز</t>
  </si>
  <si>
    <t>۱۰</t>
  </si>
  <si>
    <t xml:space="preserve">  افزودن حساب / عملیات جدید — گام‌به‌گام</t>
  </si>
  <si>
    <t>۱۱</t>
  </si>
  <si>
    <t xml:space="preserve">  همگام‌سازی و Update Links</t>
  </si>
  <si>
    <t>۱۲</t>
  </si>
  <si>
    <t xml:space="preserve">  ترازنامه، فاکتور و گزارش‌ها</t>
  </si>
  <si>
    <t>۱۳</t>
  </si>
  <si>
    <t xml:space="preserve">  عیب‌یابی فرمول‌ها</t>
  </si>
  <si>
    <t>۱۴</t>
  </si>
  <si>
    <t xml:space="preserve">  پشتیبان‌گیری و نگهداری</t>
  </si>
  <si>
    <t>۱۵</t>
  </si>
  <si>
    <t xml:space="preserve">  واژه‌نامه</t>
  </si>
  <si>
    <t>۱۶</t>
  </si>
  <si>
    <t xml:space="preserve">  قواعد طلایی</t>
  </si>
  <si>
    <t>این فایل چیست و چرا «مادر» است؟</t>
  </si>
  <si>
    <t>مازندشت یک واحد سورتینگ، بسته‌بندی و بازرگانی مرکبات است. کار روزانه شما سه جنس داده دارد: (۱) بار که با کامیون می‌آید و با باسکول وزن می‌شود، (۲) پول که از بانک و چک و پوز می‌آید و می‌رود، (۳) سبد که خرید و فروش و مرجوعی دارد. اگر هر فایل این داده‌ها را جدا نگه دارد، نام‌ها و کدها به‌سرعت از هم جدا می‌شوند و گزارش‌ها به هم نمی‌خورند. به همین دلیل یک فایل «مادر» داریم که فقط تعریف می‌کند: چه حساب‌هایی داریم، چه عملیاتی انجام می‌شود، هر عملیات چه سمت بدهکار/بستانکاری دارد، وزن هر سبد چقدر است، بانک‌ها کدام‌اند و پارامترهای محاسباتی چه مقادیری دارند.</t>
  </si>
  <si>
    <t>بقیه فایل‌ها هیچ تعریفی از خودشان ندارند؛ همه‌چیز را از این فایل می‌خوانند. مزیت بزرگ این معماری: اگر فردا یک باغدار جدید اضافه شد یا یک عملیات تازه مثل «آبگیری با هزینه حمل» لازم شد، فقط همین فایل را تغییر می‌دهید و همه گزارش‌ها، فاکتور و ترازنامه خودکار به‌روز می‌شوند. عیبش این است که اگر این فایل جابه‌جا شود یا اسم یک شیت عوض شود، همه فایل‌ها خطا می‌دهند؛ پس قواعد این راهنما را دقیق رعایت کنید.</t>
  </si>
  <si>
    <t>قانون یک‌خطی: INFO تعریف می‌کند، «ثبت» می‌نویسد، بقیه می‌خوانند و گزارش می‌دهند.</t>
  </si>
  <si>
    <t>نقشه فایل‌ها و جریان داده</t>
  </si>
  <si>
    <t>۱) INFO.xlsx — همین فایل: حساب‌ها، عملیات، سبدها، محصولات، بانک‌ها، پارامترها و لیست‌ها. ۲) 01_Register.xlsx — تنها محل نوشتن داده: شیت باسکول (ورود/خروج بار)، شیت سبد (خرید/فروش سبد)، شیت پرداخت (پرداخت و دریافت و چک). ۳) 02_Reports.xlsx — گزارش باغداران، بارفروشان، فروشندگان سبد و دفتر کل. ۴) 03_Invoice.xlsx — فاکتور چاپی با تیک انتخاب ردیف. ۵) 04_Balance.xlsx — ترازنامه ۴ و ۶ ستونه، حسابرسی، ترازبانک. ۶) 05_Bank.xlsx — تراکنش بانکی، دفتر چک و مغایرت‌گیری. ۷) 06_LoadBuyers.xlsx — کارت اختصاصی هر بارفروش. ۸) 07_Sample.xlsx — نسخه ساده‌شده برای شروع و آموزش.</t>
  </si>
  <si>
    <t>جریان داده یک‌طرفه است: INFO → ثبت → گزارش/فاکتور/ترازنامه. فایل بانک هم از INFO بانک‌ها و از ثبت پرداخت‌ها را می‌خواند تا مغایرت بانکی را نشان دهد. هیچ‌گاه داده را در دو جا وارد نکنید؛ اگر بار در باسکول ثبت شد، همان‌جا می‌ماند و گزارش‌ها از همان می‌خوانند. فایل 07 نمونه هیچ ارتباطی با فایل‌های اصلی ندارد و برای آموزش است؛ داده‌هایش را جدی نگیرید.</t>
  </si>
  <si>
    <t>همه فایل‌ها باید در یک پوشه باشند. اگر پوشه را جابه‌جا کردید، فایل‌ها را با هم جابه‌جا کنید و لینک‌ها را Update کنید.</t>
  </si>
  <si>
    <t>قواعد کدگذاری</t>
  </si>
  <si>
    <t>کدها ثابت‌اند و هرگز عوض نمی‌شوند؛ فقط عنوان‌ها آزادند. پیشوند کد، گروه حساب را نشان می‌دهد: C باغدار (مثلاً C001)، SL بارفروش (SL001)، S فروشنده سبد و تأمین‌کننده (S001)، E کارمند (E001)، X حساب معین داخلی (X001)، BD باسکول دیگران (BD001)، F دارایی ثابت (F001)، L وام (L001) و CAP سرمایه (CAP001). عملیات با OP شروع می‌شود (OP01)، سبد با BK (BK01)، محصول با PB (PB01)، پارامتر با P (P01) و بانک با BANK (BANK01).</t>
  </si>
  <si>
    <t>شماره‌ها را دستی جابه‌جا نکنید. برای حساب جدید، اولین ردیف خالی همان گروه را پر کنید؛ کدها از قبل درج شده‌اند. مثلاً باغدار جدید = C058، بارفروش جدید = SL006. اگر کدی را پاک کنید و دوباره بنویسید، گردش قبلی آن حساب از گزارش‌ها حذف می‌شود؛ پس برای حذف یک حساب فقط نام و مشخصاتش را پاک کنید و کد را نگه دارید تا شماره‌ها جابه‌جا نشوند.</t>
  </si>
  <si>
    <t>کد = هویت؛ عنوان = نمایش. گزارش‌ها و فرمول‌ها همیشه با کد کار می‌کنند.</t>
  </si>
  <si>
    <t>دفتر حساب‌ها (Accounts)</t>
  </si>
  <si>
    <t>این شیت قلب فایل مادر است. هر ردیف یک صاحب حساب یا یک حساب معین است. ستون «گروه» از ۱۰ گروه اصلی انتخاب می‌شود و ستون «زیرگروه» از شیت Groups می‌آید. ستون «مانده اولیه» علامت‌دار است: عدد مثبت یعنی حساب بدهکار است (از ما طلب دارد) و عدد منفی یعنی بستانکار است (ما به او بدهکاریم). برای باغدار معمولاً بستانکاریم و برای بارفروش بدهکار. جمع جبری مانده‌های اولیه باید با سرمایه و دارایی‌ها بخواند؛ در غیر این صورت ترازنامه افتتاحیه تراز نمی‌شود.</t>
  </si>
  <si>
    <t>ستون «نوع حساب» دو مقدار دارد: «طرف حساب» برای اشخاص و «معین» برای حساب‌های داخلی مثل صندوق، موجودی مرکبات، فروش، هزینه. ستون «گروه کد (خودکار)» پیشوند کد را ترجمه می‌کند و ستون «بررسی» با ✓/⚠ می‌گوید گروه انتخابی با پیشوند کد سازگار است یا نه. حساب‌های بدون نام در گزارش‌ها و کشوها نمی‌آیند؛ پس برای شروع، فقط ردیف‌هایی را پر کنید که واقعاً استفاده می‌شوند.</t>
  </si>
  <si>
    <t>مثال: C001 زینب زاهدی، گروه باغدار، زیرگروه عمده، مانده اولیه ۰. وقتی بار تحویل می‌دهد، در باسکول با کد C001 ثبت می‌شود و حسابش بستانکار می‌شود. وقتی پول می‌گیرد، در شیت پرداخت با همان کد ثبت می‌شود و بستانکاری کم می‌شود. مانده نهایی = بستانکاری باسکول − پرداخت‌ها.</t>
  </si>
  <si>
    <t>جمع بدهکاران و بستانکاران افتتاحیه باید با هم برابر باشد؛ اگر نبود، یک ردیف جا افتاده است.</t>
  </si>
  <si>
    <t>گروه‌ها و زیرگروه‌ها</t>
  </si>
  <si>
    <t>ده گروه اصلی داریم: باغدار، بارفروش، فروشنده سبد، تأمین‌کننده، کارمند، سایر حساب، باسکول دیگران، دارایی ثابت، وام و تسهیلات، سرمایه و آورده صاحبان. هر گروه یک پیشوند کد، یک شیت گزارش و یک رنگ اختصاصی دارد. زیرگروه‌ها جزئیات را جدا می‌کنند: باغدار می‌تواند سردرختی، انباری، عمده، خرده‌فروش، صادراتی یا میدان بار باشد؛ فروشنده سبد می‌تواند سبد پلاستیکی، چوبی یا مقوایی بفروشد.</t>
  </si>
  <si>
    <t>زیرگروه‌ها در گزارش‌ها به ستون یا فیلتر تبدیل می‌شوند. اگر زیرگروه‌ها را درست تعریف کنید، در گزارش باغداران می‌توانید فقط «سردرختی»ها را ببینید یا جمع بستانکاری هر زیرگروه را جدا کنید. برای افزودن زیرگروه جدید، ردیف خالی بعدی را پر کنید و گروه اصلی‌اش را از کشو انتخاب کنید؛ سپس در شیت Accounts از کشوی زیرگروه استفاده کنید.</t>
  </si>
  <si>
    <t>رنگ گروه‌ها در همه فایل‌ها یکسان است: باغدار سبز نعنایی، بارفروش آبی، فروشنده سبد بنفش، تأمین‌کننده هلویی.</t>
  </si>
  <si>
    <t>عملیات و قواعد بدهکار/بستانکار</t>
  </si>
  <si>
    <t>شیت Ops موتور حسابداری سامانه است. هر عملیات می‌گوید: آیا وزن لازم دارد؟ آیا حساب طرف لازم دارد؟ مبلغ طرف از وزن×فی حساب می‌شود یا از مبلغ/تعداد×فی؟ حساب طرف بدهکار می‌شود یا بستانکار؟ حساب معین مقابل چیست و در کدام سمت می‌نشیند؟ مبلغ دستی چه نقشی دارد؟ و اگر پوز در کار است، کدام بانک بدهکار و کدام حساب بستانکار شود؟</t>
  </si>
  <si>
    <t>مثال ۱ — خرید مرکبات (OP01): جهت ورود، مبنا وزن، طرف بستانکار، معین «موجودی مرکبات» بدهکار. یعنی بار وارد انبار شد (دارایی زیاد شد) و باغدار طلبکار شد. مبلغ دستی در این عملیات به بستانکاری باغدار اضافه می‌شود (کرایه حمل یا توافق اضافه).</t>
  </si>
  <si>
    <t>مثال ۲ — فروش بار (OP02): جهت خروج، طرف بدهکار، معین «فروش مرکبات» بستانکار. بارفروش بدهکار می‌شود و درآمد شناسایی می‌شود. مبلغ دستی در این عملیات نقش «پوز» دارد: فقط هزینه باسکول است، بدهکار صادرات ۲۰۰۶ و بستانکار درآمد باسکول؛ به حساب بارفروش هیچ ربطی ندارد، چون هزینه باسکول را خود راننده با کارت پرداخت کرده است.</t>
  </si>
  <si>
    <t>مثال ۳ — انعام مصطفی (OP05): بدون وزن و بدون حساب طرف. بدهکار صادرات ۲۰۰۶ (پول از پوز باسکول خارج شده) و بستانکار حساب انعام مصطفی X001. وقتی در شیت پرداخت، انتقالی به انعام مصطفی ثبت شود، آن حساب بدهکار و بانک بستانکار می‌شود و مانده انعام صفر می‌شود. اگر پول نقدی به او بدهید، همان اثر را دارد.</t>
  </si>
  <si>
    <t>مثال ۴ — آبگیری (OP04): هم وزن و هم مبلغ. سمت حساب طرف را خودتان انتخاب می‌کنید (بدهکار یا بستانکار) چون ممکن است آبگیری برای باغدار باشد (بستانکار) یا برای مشتری (بدهکار). طرف مقابل حساب درآمد آبگیری است.</t>
  </si>
  <si>
    <t>مثال ۵ — باسکول دیگران (OP06): بدون وزن، با حساب طرف از گروه «باسکول دیگران»، بدهکار و درآمد باسکول بستانکار. این اشخاص فقط برای باسکول‌کردن حساب دارند؛ هزینه‌شان بدهکار می‌شود و بعداً با پرداخت تسویه می‌شود.</t>
  </si>
  <si>
    <t>برای عملیات جدید، کد OP بعدی را در ردیف خالی بگذارید، ستون‌ها را مثل نزدیک‌ترین نمونه پر کنید و «در باسکول» را بله بگذارید.</t>
  </si>
  <si>
    <t>پارامترها اعداد کلیدی هستند که در فرمول‌ها استفاده می‌شوند. P01 وزن سبد پیش‌فرض (۱٫۵ کیلوگرم) است و وقتی نوع سبد انتخاب نشود یا وزن تار آن صفر باشد، از این عدد استفاده می‌شود. P02 درصد افت خرید (۱٪) است و فقط روی خرید مرکبات اعمال می‌شود. P03 واحد رند کردن مبلغ (۱۰۰۰ ریال) است. P09 سقف اعتبار پیش‌فرض بارفروش و P10 مهلت چک است.</t>
  </si>
  <si>
    <t>فرمول وزن خالص خرید: (وزن باسکول − تعداد سبد × وزن تار سبد) × (۱ − درصد افت ÷ ۱۰۰). سپس مبلغ = وزن خالص × فی خرید. اگر وزن تار هر سبد در شیت Baskets تعریف شده باشد، همان استفاده می‌شود؛ در غیر این صورت P01. افت فقط برای دسته «خرید» اعمال می‌شود؛ فروش و مرجوعی فقط تار سبد را کم می‌کنند.</t>
  </si>
  <si>
    <t>تغییر پارامترها فوری است: به محض تغییر P02، همه مبالغ خرید در فایل ثبت و گزارش‌ها (پس از محاسبه مجدد) عوض می‌شوند. پس قبل از تغییر، مطمئن شوید که منظورتان تغییر کل دوره است، نه یک ردیف خاص. برای یک ردیف خاص، از ستون مبلغ دستی یا توضیحات استفاده کنید.</t>
  </si>
  <si>
    <t>اگر وزن خالص منفی شد، یعنی تعداد سبد × وزن تار از وزن باسکول بیشتر است؛ ردیف را کنترل کنید.</t>
  </si>
  <si>
    <t>سبدها و وزن تار</t>
  </si>
  <si>
    <t>شیت Baskets برای هر نوع سبد، وزن تار، ظرفیت، قیمت خرید و فروش و موجودی اولیه را نگه می‌دارد. وزن تار مهم‌ترین عدد است: بار با سبد وزن می‌شود و باید وزن خالی سبدها کم شود. مثلاً ۱۳۹ سبد ۹ کیلویی با وزن تار ۱٫۹ کیلوگرم، ۲۶۴٫۱ کیلوگرم از وزن باسکول کم می‌کند.</t>
  </si>
  <si>
    <t>موجودی سبد با عملیات شیت Basket در فایل ثبت حرکت می‌کند: خرید سبد موجودی را زیاد می‌کند، فروش سبد کم می‌کند و مرجوعی‌ها برعکس. در گزارش‌ها، موجودی سبد = موجودی اولیه + خرید − فروش + مرجوعی خرید − مرجوعی فروش. اگر شمارش انبار با این عدد اختلاف داشت، ردیف «تعدیل موجودی» ثبت کنید.</t>
  </si>
  <si>
    <t>وزن تار را از روی ترازو یک بار اندازه بگیرید و همان را وارد کنید؛ هر ۱۰۰ گرم خطا در ۱۰٬۰۰۰ سبد، یک تن خطا می‌شود.</t>
  </si>
  <si>
    <t>محصولات، بانک‌ها و پوز</t>
  </si>
  <si>
    <t>شیت Products نام محصول، دسته (نوع مرکبات)، واحد و سبد پیش‌فرض را نگه می‌دارد. در باسکول با انتخاب محصول، دسته و سبد پیش‌فرض خودکار می‌آید. شیت Banks ده حساب بانکی شرکت را با کد ثابت نگه می‌دارد. کد BANK02 مخصوص «صادرات ۲۰۰۶» و پوز باسکول است؛ عملیات انعام، فروش بار و درآمد پوز همه به همین حساب اشاره می‌کنند. اگر روزی پوز را به حساب دیگری وصل کردید، فقط ستون «بانک پوز» در شیت Ops را عوض کنید.</t>
  </si>
  <si>
    <t>در فایل بانک، هر تراکنش با کد بانک ثبت می‌شود و مانده سیستمی با مانده صورت‌حساب مقایسه می‌شود. پوز باسکول روزانه یک واریزی تجمیعی دارد؛ آن را با نوع «کارت/پوز» و طرف حساب درآمد باسکول ثبت کنید تا با جمع هزینه‌های پوز باسکول در باسکول بخواند.</t>
  </si>
  <si>
    <t>کد بانک را عوض نکنید؛ فقط عنوان نمایشی را تغییر دهید.</t>
  </si>
  <si>
    <t>افزودن حساب / عملیات جدید — گام‌به‌گام</t>
  </si>
  <si>
    <t>حساب جدید: (۱) در شیت Accounts اولین ردیف خالی گروه مربوطه را پیدا کنید (مثلاً C058). (۲) نام، تلفن و نشانی را بنویسید. (۳) گروه و زیرگروه را از کشو انتخاب کنید. (۴) نوع حساب را «طرف حساب» بگذارید. (۵) بررسی کنید ستون «بررسی» ✓ شود. (۶) فایل‌های دیگر را باز کنید و Edit Links → Update Values بزنید.</t>
  </si>
  <si>
    <t>عملیات جدید: (۱) در شیت Ops اولین ردیف خالی را بردارید (OP20). (۲) عنوان یکتا بنویسید. (۳) جهت، دسته، وزن لازم و حساب طرف را مثل نمونه مشابه پر کنید. (۴) حساب معین و سمتش را انتخاب کنید. (۵) نقش مبلغ دستی و اثر پوز را مشخص کنید. (۶) «در باسکول» را بله و رنگ را انتخاب کنید. (۷) توضیح قاعده را بنویسید. (۸) لینک‌ها را Update کنید.</t>
  </si>
  <si>
    <t>سبد جدید: در شیت Baskets ردیف خالی بعدی (BK09) را پر کنید؛ وزن تار را حتماً بنویسید. محصول جدید: در Products ردیف بعدی را پر کنید و سبد پیش‌فرض را انتخاب کنید. بانک جدید: فقط تا BANK10 جا داریم؛ اگر بیشتر شد، شیت Banks و فایل بانک را گسترش دهید.</t>
  </si>
  <si>
    <t>بعد از هر تغییر، یک ردیف آزمایشی در فایل ثبت بزنید و نتیجه بدهکار/بستانکار را با قاعده مقایسه کنید.</t>
  </si>
  <si>
    <t>همگام‌سازی و Update Links</t>
  </si>
  <si>
    <t>فایل‌های دیگر به INFO لینک خارجی دارند. وقتی INFO را تغییر می‌دهید و ذخیره می‌کنید، فایل‌های دیگر ممکن است تا زمانی که باز و Update نشوند، مقدار قدیمی را نشان دهند. در Excel 2013: فایل را باز کنید، اگر پیام «This workbook contains links…» آمد Update را بزنید؛ یا از مسیر Data → Edit Links → Update Values استفاده کنید. برای اطمینان، یک بار Ctrl+Alt+F9 بزنید تا همه فرمول‌ها از نو محاسبه شوند.</t>
  </si>
  <si>
    <t>اگر فایل‌ها را جابه‌جا کردید، Edit Links → Change Source را بزنید و INFO.xlsx جدید را انتخاب کنید. اگر نام INFO را عوض کردید، همین کار لازم است. هرگز فایل INFO را با نام دیگری ذخیره نکنید مگر اینکه همه لینک‌ها را عوض کنید. در نسخه ۰۱ مسیرها نسبی‌اند؛ یعنی اگر کل پوشه را جابه‌جا کنید، لینک‌ها سالم می‌مانند به شرطی که همه فایل‌ها با هم جابه‌جا شوند.</t>
  </si>
  <si>
    <t>بعد از Update، پیام «#NAME?» یا «#REF!» نگیرید؟ یعنی لینک سالم است. پیام «Update Values» را نادیده نگیرید.</t>
  </si>
  <si>
    <t>ترازنامه، فاکتور و گزارش‌ها</t>
  </si>
  <si>
    <t>فایل گزارش سه شیت اصلی دارد: باغداران، بارفروشان و فروشندگان سبد. در شیت باغداران، کد باغدار را انتخاب می‌کنید و ریز همه ورودهای بار او (تاریخ، نوع مرکبات، تعداد سبد، وزن باسکول، وزن خالص، فی، مبلغ) به‌ترتیب تاریخ می‌آید؛ بعد پرداخت‌ها و چک‌ها و در آخر مانده. در شیت بارفروشان، بارهای خروجی و تسویه‌ها و هزینه باسکول دیده می‌شود. در شیت فروشندگان سبد، خرید/فروش سبد و مانده ریالی می‌آید.</t>
  </si>
  <si>
    <t>فایل ترازنامه چهار ستون (بدهکار/بستانکار/مانده) و شش ستون (گردش دوره + مانده) دارد و شیت‌های اختصاصی باغداران، بارفروشان، فروشندگان سبد، موجودی، حسابرسی و ترازبانک. فایل فاکتور با انتخاب کد حساب، همه ردیف‌ها را می‌آورد؛ با برداشتن تیک «نمایش» هر ردیف، آن ردیف از جمع و چاپ حذف می‌شود. مبلغ فاکتور خرید مرکبات از همان فرمول وزن خالص × فی محاسبه می‌شود، نه از مبلغ دستی.</t>
  </si>
  <si>
    <t>ترازنامه باید همیشه تراز باشد: جمع بدهکاران = جمع بستانکاران. اگر نبود، اول مانده‌های افتتاحیه INFO را چک کنید، بعد ردیف‌های بدون طرف حساب در ثبت، و در آخر عملیات‌هایی که حساب معینشان خالی است. شیت حسابرسی همین کنترل‌ها را ردیف‌به‌ردیف نشان می‌دهد.</t>
  </si>
  <si>
    <t>فاکتور سند رسمی نیست مگر با مهر و امضا؛ اما عددهایش باید با ترازنامه یکی باشد.</t>
  </si>
  <si>
    <t>عیب‌یابی فرمول‌ها</t>
  </si>
  <si>
    <t>#NAME? یعنی نام محدوده یا فایل پیدا نشد: معمولاً INFO بسته است یا اسم شیت عوض شده. فایل را باز و لینک را Update کنید. #REF! یعنی محدوده حذف شده یا ردیف/ستون جابه‌جا شده. #VALUE! یعنی در سلول عددی، متن گذاشته‌اید (مثلاً فی خرید را با کاما یا خط تیره وارد کرده‌اید). #N/A یعنی VLOOKUP کد را پیدا نکرده؛ کد را با شیت Accounts مقایسه کنید.</t>
  </si>
  <si>
    <t>اگر جمع‌ها صفر است، احتمالاً ستون محاسباتی خالی است یا محدوده فرمول به ردیف‌های جدید کشیده نشده. اگر ردیفی در گزارش نیست، بررسی کنید تاریخش در محدوده فیلتر باشد و کد حسابش در Accounts نام داشته باشد. اگر مانده یک حساب با انتظار شما فرق دارد، اول ریز گردش را ببینید؛ معمولاً یک پرداخت با کد اشتباه یا یک ردیف تکراری وجود دارد.</t>
  </si>
  <si>
    <t>قبل از تغییر فرمول‌ها، از فایل نسخه پشتیبان بگیرید. فرمول‌های زنجیره‌ای را با F2 و Evaluate Formula بررسی کنید.</t>
  </si>
  <si>
    <t>پشتیبان‌گیری و نگهداری</t>
  </si>
  <si>
    <t>هر هفته یک نسخه از کل پوشه با تاریخ در نام بگیرید: Mazandasht_1405-07-10. فایل INFO را جداگانه هم نگه دارید، چون مرجع تعریف‌هاست. قبل از هر تغییر بزرگ (افزودن گروه، تغییر پارامتر، ارتقای نسخه) یک نسخه فوری بگیرید. فایل‌ها را روی OneDrive یا فضای ابری نگه دارید تا اگر سیستم خراب شد، قابل بازیابی باشند.</t>
  </si>
  <si>
    <t>فایل‌ها را با Excel 2013 یا جدیدتر باز کنید؛ از Google Sheets برای ویرایش استفاده نکنید چون لینک‌های خارجی و داده‌اعتبارسنجی را کامل پشتیبانی نمی‌کند. ماکرو نداریم؛ اگر پیام امنیتی دیدید، فایل را از پوشه شبکه باز نکنید و اول کپی کنید. برای چاپ، همیشه Print Preview بگیرید تا سرصفحه و ستون‌ها در صفحه جا شوند.</t>
  </si>
  <si>
    <t>نسخه پشتیبان بدون تست بازیابی، پشتیبان نیست؛ ماهی یک بار یک نسخه را باز و چک کنید.</t>
  </si>
  <si>
    <t>واژه‌نامه</t>
  </si>
  <si>
    <t>بدهکار: حسابی که از ما طلب دارد یا دارایی ماست. بستانکار: حسابی که ما به آن بدهکاریم. مانده: تفاوت بدهکار و بستانکار. معین: حساب داخلی مثل صندوق، موجودی، فروش. طرف حساب: شخص یا شرکت بیرونی. وزن تار: وزن خالی سبد. وزن خالص: وزن بار پس از کسر سبد و افت. فی: قیمت هر کیلو. سند: ردیف عملیات. تراز: برابر بودن جمع بدهکار و بستانکار. مغایرت: تفاوت مانده سیستم با صورت‌حساب بانک.</t>
  </si>
  <si>
    <t>پوز باسکول: دستگاه کارت‌خوان باسکول که به صادرات ۲۰۰۶ وصل است. انعام: مبلغی که از پوز برای مصطفی کشیده می‌شود و در حساب او بستانکار می‌ماند تا تسویه شود. حساب واسط: حساب موقت برای عملیات طبقه‌بندی‌نشده. افت: درصدی که از وزن خرید کم می‌شود. رند: گرد کردن مبلغ به مضرب هزار.</t>
  </si>
  <si>
    <t>هر واژه‌ای را که در فرمول‌ها می‌بینید، اول در همین واژه‌نامه معنی کنید.</t>
  </si>
  <si>
    <t>قواعد طلایی</t>
  </si>
  <si>
    <t>•  کدها را تغییر ندهید؛ عنوان‌ها را آزادانه عوض کنید.</t>
  </si>
  <si>
    <t>•  ردیف تازه = ردیف خالی بعدی؛ بین ردیف‌ها ردیف خالی نگذارید.</t>
  </si>
  <si>
    <t>•  برای حذف، محتوای سلول را پاک کنید؛ ردیف را حذف نکنید.</t>
  </si>
  <si>
    <t>•  همه فایل‌ها در یک پوشه؛ مسیر لینک نسبی است.</t>
  </si>
  <si>
    <t>•  بعد از هر تغییر INFO: Data → Edit Links → Update Values.</t>
  </si>
  <si>
    <t>•  تاریخ شمسی 1405/07/10؛ ساعت 09:30؛ اعداد با ارقام لاتین.</t>
  </si>
  <si>
    <t>•  قبل از تغییرات بزرگ، نسخه پشتیبان بگیرید.</t>
  </si>
  <si>
    <t>•  ترازنامه‌ای که تراز نیست، گزارش نیست؛ اول اختلاف را پیدا کنید.</t>
  </si>
</sst>
</file>

<file path=xl/styles.xml><?xml version="1.0" encoding="utf-8"?>
<styleSheet xmlns="http://schemas.openxmlformats.org/spreadsheetml/2006/main">
  <numFmts count="5">
    <numFmt numFmtId="164" formatCode="#,##0;[Red]-#,##0"/>
    <numFmt numFmtId="165" formatCode="@"/>
    <numFmt numFmtId="166" formatCode="0.0%"/>
    <numFmt numFmtId="167" formatCode="#,##0.00;[Red]-#,##0.00"/>
    <numFmt numFmtId="168" formatCode="#,##0;[Red](#,##0)"/>
  </numFmts>
  <fonts count="72">
    <font>
      <sz val="11"/>
      <color theme="1"/>
      <name val="Calibri"/>
      <family val="2"/>
      <scheme val="minor"/>
    </font>
    <font>
      <b/>
      <sz val="10"/>
      <color rgb="FF14453D"/>
      <name val="B Nazanin"/>
      <family val="2"/>
    </font>
    <font>
      <b/>
      <sz val="7"/>
      <color rgb="FFC89B3C"/>
      <name val="Tahoma"/>
      <family val="2"/>
    </font>
    <font>
      <b/>
      <sz val="19"/>
      <color rgb="FF14453D"/>
      <name val="B Nazanin"/>
      <family val="2"/>
    </font>
    <font>
      <sz val="10.5"/>
      <color rgb="FF6B7A76"/>
      <name val="B Nazanin"/>
      <family val="2"/>
    </font>
    <font>
      <b/>
      <sz val="7.5"/>
      <color rgb="FF6B7A76"/>
      <name val="Tahoma"/>
      <family val="2"/>
    </font>
    <font>
      <b/>
      <sz val="22"/>
      <color rgb="FF14453D"/>
      <name val="B Nazanin"/>
      <family val="2"/>
    </font>
    <font>
      <b/>
      <sz val="22"/>
      <color rgb="FF2E6B4F"/>
      <name val="B Nazanin"/>
      <family val="2"/>
    </font>
    <font>
      <b/>
      <sz val="22"/>
      <color rgb="FF6B4E9E"/>
      <name val="B Nazanin"/>
      <family val="2"/>
    </font>
    <font>
      <b/>
      <sz val="22"/>
      <color rgb="FF2B5C7A"/>
      <name val="B Nazanin"/>
      <family val="2"/>
    </font>
    <font>
      <b/>
      <sz val="22"/>
      <color rgb="FFC4623F"/>
      <name val="B Nazanin"/>
      <family val="2"/>
    </font>
    <font>
      <b/>
      <sz val="9"/>
      <color rgb="FFFFFFFF"/>
      <name val="Tahoma"/>
      <family val="2"/>
    </font>
    <font>
      <b/>
      <sz val="14"/>
      <color rgb="FF14453D"/>
      <name val="B Nazanin"/>
      <family val="2"/>
    </font>
    <font>
      <b/>
      <sz val="11"/>
      <color rgb="FF14453D"/>
      <name val="B Nazanin"/>
      <family val="2"/>
    </font>
    <font>
      <sz val="7.5"/>
      <color rgb="FF6B7A76"/>
      <name val="Tahoma"/>
      <family val="2"/>
    </font>
    <font>
      <sz val="6.5"/>
      <color rgb="FF7FA99B"/>
      <name val="Tahoma"/>
      <family val="2"/>
    </font>
    <font>
      <b/>
      <sz val="18"/>
      <color rgb="FFC89B3C"/>
      <name val="Tahoma"/>
      <family val="2"/>
    </font>
    <font>
      <b/>
      <sz val="11"/>
      <color rgb="FF2B5C7A"/>
      <name val="B Nazanin"/>
      <family val="2"/>
    </font>
    <font>
      <b/>
      <sz val="9.5"/>
      <color rgb="FF14453D"/>
      <name val="B Nazanin"/>
      <family val="2"/>
    </font>
    <font>
      <sz val="7.5"/>
      <color rgb="FF1E2A2B"/>
      <name val="Tahoma"/>
      <family val="2"/>
    </font>
    <font>
      <sz val="10"/>
      <color rgb="FF1E2A2B"/>
      <name val="B Nazanin"/>
      <family val="2"/>
    </font>
    <font>
      <b/>
      <sz val="11"/>
      <color rgb="FFFFFFFF"/>
      <name val="B Nazanin"/>
      <family val="2"/>
    </font>
    <font>
      <sz val="11"/>
      <color rgb="FF1E2A2B"/>
      <name val="B Nazanin"/>
      <family val="2"/>
    </font>
    <font>
      <sz val="10"/>
      <color rgb="FF6B7A76"/>
      <name val="B Nazanin"/>
      <family val="2"/>
    </font>
    <font>
      <b/>
      <sz val="10.5"/>
      <color rgb="FF14453D"/>
      <name val="B Nazanin"/>
      <family val="2"/>
    </font>
    <font>
      <b/>
      <sz val="7.5"/>
      <color rgb="FFC89B3C"/>
      <name val="Tahoma"/>
      <family val="2"/>
    </font>
    <font>
      <b/>
      <sz val="23"/>
      <color rgb="FF14453D"/>
      <name val="B Nazanin"/>
      <family val="2"/>
    </font>
    <font>
      <sz val="11.5"/>
      <color rgb="FF6B7A76"/>
      <name val="B Nazanin"/>
      <family val="2"/>
    </font>
    <font>
      <b/>
      <sz val="7.5"/>
      <color rgb="FFFFFFFF"/>
      <name val="Tahoma"/>
      <family val="2"/>
    </font>
    <font>
      <sz val="7.5"/>
      <color rgb="FF5A4A2A"/>
      <name val="Tahoma"/>
      <family val="2"/>
    </font>
    <font>
      <sz val="7.5"/>
      <color rgb="FF6B7A76"/>
      <name val="Tahoma"/>
      <family val="2"/>
    </font>
    <font>
      <sz val="7.5"/>
      <color rgb="FF2E6B4F"/>
      <name val="Tahoma"/>
      <family val="2"/>
    </font>
    <font>
      <sz val="7.5"/>
      <color rgb="FF2B5C7A"/>
      <name val="Tahoma"/>
      <family val="2"/>
    </font>
    <font>
      <b/>
      <sz val="17"/>
      <color rgb="FF14453D"/>
      <name val="B Nazanin"/>
      <family val="2"/>
    </font>
    <font>
      <b/>
      <sz val="17"/>
      <color rgb="FFC4623F"/>
      <name val="B Nazanin"/>
      <family val="2"/>
    </font>
    <font>
      <b/>
      <sz val="10"/>
      <color rgb="FFFFFFFF"/>
      <name val="B Nazanin"/>
      <family val="2"/>
    </font>
    <font>
      <i/>
      <sz val="6.5"/>
      <color rgb="FFCFE0D8"/>
      <name val="Tahoma"/>
      <family val="2"/>
    </font>
    <font>
      <b/>
      <sz val="9"/>
      <color rgb="FF14453D"/>
      <name val="Tahoma"/>
      <family val="2"/>
    </font>
    <font>
      <sz val="11"/>
      <color rgb="FF3A3327"/>
      <name val="B Nazanin"/>
      <family val="2"/>
    </font>
    <font>
      <sz val="8.5"/>
      <color rgb="FF3A3327"/>
      <name val="Tahoma"/>
      <family val="2"/>
    </font>
    <font>
      <sz val="10"/>
      <color rgb="FF3A3327"/>
      <name val="B Nazanin"/>
      <family val="2"/>
    </font>
    <font>
      <b/>
      <sz val="10"/>
      <color rgb="FF3A3327"/>
      <name val="Tahoma"/>
      <family val="2"/>
    </font>
    <font>
      <sz val="7.5"/>
      <color rgb="FFB4452F"/>
      <name val="Tahoma"/>
      <family val="2"/>
    </font>
    <font>
      <b/>
      <sz val="17"/>
      <color rgb="FF2E6B4F"/>
      <name val="B Nazanin"/>
      <family val="2"/>
    </font>
    <font>
      <b/>
      <sz val="17"/>
      <color rgb="FF6B4E9E"/>
      <name val="B Nazanin"/>
      <family val="2"/>
    </font>
    <font>
      <b/>
      <sz val="17"/>
      <color rgb="FF2B5C7A"/>
      <name val="B Nazanin"/>
      <family val="2"/>
    </font>
    <font>
      <b/>
      <sz val="8.5"/>
      <color rgb="FFFFFFFF"/>
      <name val="Tahoma"/>
      <family val="2"/>
    </font>
    <font>
      <sz val="9"/>
      <color rgb="FF3A3327"/>
      <name val="Tahoma"/>
      <family val="2"/>
    </font>
    <font>
      <sz val="8"/>
      <color rgb="FF3A3327"/>
      <name val="Tahoma"/>
      <family val="2"/>
    </font>
    <font>
      <sz val="9.5"/>
      <color rgb="FF3A3327"/>
      <name val="B Nazanin"/>
      <family val="2"/>
    </font>
    <font>
      <sz val="10"/>
      <color rgb="FF14453D"/>
      <name val="B Nazanin"/>
      <family val="2"/>
    </font>
    <font>
      <b/>
      <sz val="8.5"/>
      <color rgb="FF14453D"/>
      <name val="Tahoma"/>
      <family val="2"/>
    </font>
    <font>
      <sz val="10.5"/>
      <color rgb="FF3A3327"/>
      <name val="B Nazanin"/>
      <family val="2"/>
    </font>
    <font>
      <sz val="8.5"/>
      <color rgb="FFB9AE97"/>
      <name val="Tahoma"/>
      <family val="2"/>
    </font>
    <font>
      <sz val="9"/>
      <color theme="1"/>
      <name val="Tahoma"/>
      <family val="2"/>
    </font>
    <font>
      <b/>
      <sz val="8"/>
      <color rgb="FF14453D"/>
      <name val="Tahoma"/>
      <family val="2"/>
    </font>
    <font>
      <sz val="9"/>
      <color rgb="FF3A3327"/>
      <name val="B Nazanin"/>
      <family val="2"/>
    </font>
    <font>
      <b/>
      <sz val="17"/>
      <color rgb="FFC89B3C"/>
      <name val="B Nazanin"/>
      <family val="2"/>
    </font>
    <font>
      <sz val="9"/>
      <color rgb="FF6B7A76"/>
      <name val="Tahoma"/>
      <family val="2"/>
    </font>
    <font>
      <sz val="9.5"/>
      <color rgb="FF6B7A76"/>
      <name val="B Nazanin"/>
      <family val="2"/>
    </font>
    <font>
      <b/>
      <sz val="17"/>
      <color rgb="FFE0A458"/>
      <name val="B Nazanin"/>
      <family val="2"/>
    </font>
    <font>
      <b/>
      <sz val="17"/>
      <color rgb="FF8FAE5D"/>
      <name val="B Nazanin"/>
      <family val="2"/>
    </font>
    <font>
      <b/>
      <sz val="9.5"/>
      <color rgb="FFFFFFFF"/>
      <name val="B Nazanin"/>
      <family val="2"/>
    </font>
    <font>
      <sz val="9.5"/>
      <color rgb="FF1E2A2B"/>
      <name val="B Nazanin"/>
      <family val="2"/>
    </font>
    <font>
      <b/>
      <sz val="9"/>
      <color rgb="FFFFFFFF"/>
      <name val="B Nazanin"/>
      <family val="2"/>
    </font>
    <font>
      <sz val="9"/>
      <color rgb="FF1E2A2B"/>
      <name val="Tahoma"/>
      <family val="2"/>
    </font>
    <font>
      <sz val="9"/>
      <color rgb="FF1E2A2B"/>
      <name val="B Nazanin"/>
      <family val="2"/>
    </font>
    <font>
      <b/>
      <sz val="8.5"/>
      <color rgb="FFC89B3C"/>
      <name val="Tahoma"/>
      <family val="2"/>
    </font>
    <font>
      <sz val="11"/>
      <color rgb="FF14453D"/>
      <name val="B Nazanin"/>
      <family val="2"/>
    </font>
    <font>
      <sz val="10.5"/>
      <color rgb="FF1E2A2B"/>
      <name val="B Nazanin"/>
      <family val="2"/>
    </font>
    <font>
      <sz val="10.5"/>
      <color rgb="FF1E2A2B"/>
      <name val="B Nazanin"/>
      <family val="2"/>
    </font>
    <font>
      <sz val="8"/>
      <color indexed="81"/>
      <name val="Tahoma"/>
      <family val="2"/>
    </font>
  </fonts>
  <fills count="20">
    <fill>
      <patternFill patternType="none"/>
    </fill>
    <fill>
      <patternFill patternType="gray125"/>
    </fill>
    <fill>
      <patternFill patternType="solid">
        <fgColor rgb="FFF7F1E4"/>
        <bgColor indexed="64"/>
      </patternFill>
    </fill>
    <fill>
      <patternFill patternType="solid">
        <fgColor rgb="FFFBF8F1"/>
        <bgColor indexed="64"/>
      </patternFill>
    </fill>
    <fill>
      <patternFill patternType="solid">
        <fgColor rgb="FFC89B3C"/>
        <bgColor indexed="64"/>
      </patternFill>
    </fill>
    <fill>
      <patternFill patternType="solid">
        <fgColor rgb="FFEBD9AE"/>
        <bgColor indexed="64"/>
      </patternFill>
    </fill>
    <fill>
      <patternFill patternType="solid">
        <fgColor rgb="FFEAF4EC"/>
        <bgColor indexed="64"/>
      </patternFill>
    </fill>
    <fill>
      <patternFill patternType="solid">
        <fgColor rgb="FFEAF1F7"/>
        <bgColor indexed="64"/>
      </patternFill>
    </fill>
    <fill>
      <patternFill patternType="solid">
        <fgColor rgb="FFFFFFFF"/>
        <bgColor indexed="64"/>
      </patternFill>
    </fill>
    <fill>
      <patternFill patternType="solid">
        <fgColor rgb="FF14453D"/>
        <bgColor indexed="64"/>
      </patternFill>
    </fill>
    <fill>
      <patternFill patternType="solid">
        <fgColor rgb="FFFFF4D6"/>
        <bgColor indexed="64"/>
      </patternFill>
    </fill>
    <fill>
      <patternFill patternType="solid">
        <fgColor rgb="FFF1F0EB"/>
        <bgColor indexed="64"/>
      </patternFill>
    </fill>
    <fill>
      <patternFill patternType="solid">
        <fgColor rgb="FFFBEDE7"/>
        <bgColor indexed="64"/>
      </patternFill>
    </fill>
    <fill>
      <patternFill patternType="solid">
        <fgColor rgb="FFFCFAF3"/>
        <bgColor indexed="64"/>
      </patternFill>
    </fill>
    <fill>
      <patternFill patternType="solid">
        <fgColor rgb="FFDCE9E2"/>
        <bgColor indexed="64"/>
      </patternFill>
    </fill>
    <fill>
      <patternFill patternType="solid">
        <fgColor rgb="FFF3EADB"/>
        <bgColor indexed="64"/>
      </patternFill>
    </fill>
    <fill>
      <patternFill patternType="solid">
        <fgColor rgb="FFF0EBF7"/>
        <bgColor indexed="64"/>
      </patternFill>
    </fill>
    <fill>
      <patternFill patternType="solid">
        <fgColor rgb="FFF4F3EE"/>
        <bgColor indexed="64"/>
      </patternFill>
    </fill>
    <fill>
      <patternFill patternType="solid">
        <fgColor rgb="FFFDEFE4"/>
        <bgColor indexed="64"/>
      </patternFill>
    </fill>
    <fill>
      <patternFill patternType="solid">
        <fgColor rgb="FFF6F5F0"/>
        <bgColor indexed="64"/>
      </patternFill>
    </fill>
  </fills>
  <borders count="14">
    <border>
      <left/>
      <right/>
      <top/>
      <bottom/>
      <diagonal/>
    </border>
    <border>
      <left style="thin">
        <color rgb="FFDCD5C6"/>
      </left>
      <right style="thin">
        <color rgb="FFDCD5C6"/>
      </right>
      <top style="dashed">
        <color rgb="FFC89B3C"/>
      </top>
      <bottom style="thin">
        <color rgb="FFDCD5C6"/>
      </bottom>
      <diagonal/>
    </border>
    <border>
      <left style="thin">
        <color rgb="FFDCD5C6"/>
      </left>
      <right style="thin">
        <color rgb="FFDCD5C6"/>
      </right>
      <top style="thin">
        <color rgb="FFDCD5C6"/>
      </top>
      <bottom style="thin">
        <color rgb="FFDCD5C6"/>
      </bottom>
      <diagonal/>
    </border>
    <border>
      <left/>
      <right/>
      <top/>
      <bottom style="medium">
        <color rgb="FFC89B3C"/>
      </bottom>
      <diagonal/>
    </border>
    <border>
      <left style="dashed">
        <color rgb="FFC89B3C"/>
      </left>
      <right style="thin">
        <color rgb="FFDCD5C6"/>
      </right>
      <top style="thin">
        <color rgb="FFDCD5C6"/>
      </top>
      <bottom style="thin">
        <color rgb="FFDCD5C6"/>
      </bottom>
      <diagonal/>
    </border>
    <border>
      <left style="thin">
        <color rgb="FFEAE4D7"/>
      </left>
      <right style="thin">
        <color rgb="FFEAE4D7"/>
      </right>
      <top style="thin">
        <color rgb="FFEAE4D7"/>
      </top>
      <bottom style="thin">
        <color rgb="FFEAE4D7"/>
      </bottom>
      <diagonal/>
    </border>
    <border>
      <left style="thin">
        <color rgb="FF1F5C4D"/>
      </left>
      <right style="thin">
        <color rgb="FF1F5C4D"/>
      </right>
      <top style="thin">
        <color rgb="FF1F5C4D"/>
      </top>
      <bottom style="thin">
        <color rgb="FF1F5C4D"/>
      </bottom>
      <diagonal/>
    </border>
    <border>
      <left style="thin">
        <color rgb="FFEBD9AE"/>
      </left>
      <right style="thin">
        <color rgb="FFEBD9AE"/>
      </right>
      <top style="thin">
        <color rgb="FFEBD9AE"/>
      </top>
      <bottom style="thin">
        <color rgb="FFEBD9AE"/>
      </bottom>
      <diagonal/>
    </border>
    <border>
      <left style="medium">
        <color rgb="FFEBD9AE"/>
      </left>
      <right style="medium">
        <color rgb="FFEBD9AE"/>
      </right>
      <top style="medium">
        <color rgb="FFEBD9AE"/>
      </top>
      <bottom style="medium">
        <color rgb="FFEBD9AE"/>
      </bottom>
      <diagonal/>
    </border>
    <border>
      <left style="thin">
        <color rgb="FFFFFFFF"/>
      </left>
      <right style="thin">
        <color rgb="FFFFFFFF"/>
      </right>
      <top style="thin">
        <color rgb="FFFFFFFF"/>
      </top>
      <bottom style="thin">
        <color rgb="FFFFFFFF"/>
      </bottom>
      <diagonal/>
    </border>
    <border>
      <left style="thin">
        <color rgb="FF1F5C4D"/>
      </left>
      <right style="thin">
        <color rgb="FF1F5C4D"/>
      </right>
      <top style="thin">
        <color rgb="FF1F5C4D"/>
      </top>
      <bottom style="medium">
        <color rgb="FFC89B3C"/>
      </bottom>
      <diagonal/>
    </border>
    <border>
      <left style="thin">
        <color rgb="FFF1ECDF"/>
      </left>
      <right style="thin">
        <color rgb="FFF1ECDF"/>
      </right>
      <top style="thin">
        <color rgb="FFF1ECDF"/>
      </top>
      <bottom style="thin">
        <color rgb="FFF1ECDF"/>
      </bottom>
      <diagonal/>
    </border>
    <border>
      <left style="thin">
        <color rgb="FFC89B3C"/>
      </left>
      <right style="thin">
        <color rgb="FFC89B3C"/>
      </right>
      <top style="thin">
        <color rgb="FFC89B3C"/>
      </top>
      <bottom style="thin">
        <color rgb="FFC89B3C"/>
      </bottom>
      <diagonal/>
    </border>
    <border>
      <left/>
      <right/>
      <top/>
      <bottom/>
      <diagonal/>
    </border>
  </borders>
  <cellStyleXfs count="1">
    <xf numFmtId="0" fontId="0" fillId="0" borderId="0"/>
  </cellStyleXfs>
  <cellXfs count="104">
    <xf numFmtId="0" fontId="0" fillId="0" borderId="0" xfId="0"/>
    <xf numFmtId="0" fontId="1" fillId="0" borderId="0" xfId="0" applyFont="1" applyAlignment="1">
      <alignment horizontal="right"/>
    </xf>
    <xf numFmtId="0" fontId="2" fillId="0" borderId="0" xfId="0" applyFont="1" applyAlignment="1">
      <alignment horizontal="left"/>
    </xf>
    <xf numFmtId="0" fontId="3" fillId="0" borderId="0" xfId="0" applyFont="1" applyAlignment="1">
      <alignment horizontal="right"/>
    </xf>
    <xf numFmtId="0" fontId="4" fillId="0" borderId="0" xfId="0" applyFont="1" applyAlignment="1">
      <alignment horizontal="right"/>
    </xf>
    <xf numFmtId="0" fontId="5" fillId="2" borderId="1" xfId="0" applyFont="1" applyFill="1" applyBorder="1" applyAlignment="1">
      <alignment horizontal="center" vertical="center"/>
    </xf>
    <xf numFmtId="164" fontId="6" fillId="3" borderId="2" xfId="0" applyNumberFormat="1" applyFont="1" applyFill="1" applyBorder="1" applyAlignment="1">
      <alignment horizontal="center" vertical="center"/>
    </xf>
    <xf numFmtId="164" fontId="7" fillId="3" borderId="2" xfId="0" applyNumberFormat="1" applyFont="1" applyFill="1" applyBorder="1" applyAlignment="1">
      <alignment horizontal="center" vertical="center"/>
    </xf>
    <xf numFmtId="164" fontId="8" fillId="3" borderId="2" xfId="0" applyNumberFormat="1" applyFont="1" applyFill="1" applyBorder="1" applyAlignment="1">
      <alignment horizontal="center" vertical="center"/>
    </xf>
    <xf numFmtId="164" fontId="9" fillId="3" borderId="2" xfId="0" applyNumberFormat="1" applyFont="1" applyFill="1" applyBorder="1" applyAlignment="1">
      <alignment horizontal="center" vertical="center"/>
    </xf>
    <xf numFmtId="164" fontId="10" fillId="3" borderId="2" xfId="0" applyNumberFormat="1" applyFont="1" applyFill="1" applyBorder="1" applyAlignment="1">
      <alignment horizontal="center" vertical="center"/>
    </xf>
    <xf numFmtId="0" fontId="11" fillId="4" borderId="0" xfId="0" applyFont="1" applyFill="1" applyAlignment="1">
      <alignment horizontal="center" vertical="center"/>
    </xf>
    <xf numFmtId="0" fontId="12" fillId="2" borderId="3" xfId="0" applyFont="1" applyFill="1" applyBorder="1" applyAlignment="1">
      <alignment horizontal="right" vertical="center"/>
    </xf>
    <xf numFmtId="0" fontId="13" fillId="2" borderId="4" xfId="0" applyFont="1" applyFill="1" applyBorder="1" applyAlignment="1">
      <alignment horizontal="right" vertical="center"/>
    </xf>
    <xf numFmtId="0" fontId="14" fillId="3" borderId="2" xfId="0" applyFont="1" applyFill="1" applyBorder="1" applyAlignment="1">
      <alignment horizontal="right" vertical="top" wrapText="1"/>
    </xf>
    <xf numFmtId="0" fontId="15" fillId="3" borderId="2" xfId="0" applyFont="1" applyFill="1" applyBorder="1" applyAlignment="1">
      <alignment horizontal="left"/>
    </xf>
    <xf numFmtId="0" fontId="13" fillId="5" borderId="2" xfId="0" applyFont="1" applyFill="1" applyBorder="1" applyAlignment="1">
      <alignment horizontal="center" vertical="center" wrapText="1"/>
    </xf>
    <xf numFmtId="0" fontId="16" fillId="0" borderId="0" xfId="0" applyFont="1" applyAlignment="1">
      <alignment horizontal="center" vertical="center"/>
    </xf>
    <xf numFmtId="0" fontId="13" fillId="6" borderId="2"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14" fillId="8" borderId="2" xfId="0" applyFont="1" applyFill="1" applyBorder="1" applyAlignment="1">
      <alignment horizontal="center" vertical="center"/>
    </xf>
    <xf numFmtId="0" fontId="18" fillId="3" borderId="5" xfId="0" applyFont="1" applyFill="1" applyBorder="1" applyAlignment="1">
      <alignment horizontal="right" vertical="center"/>
    </xf>
    <xf numFmtId="0" fontId="19" fillId="8" borderId="5" xfId="0" applyFont="1" applyFill="1" applyBorder="1" applyAlignment="1">
      <alignment horizontal="right" vertical="center"/>
    </xf>
    <xf numFmtId="0" fontId="20" fillId="8" borderId="5" xfId="0" applyFont="1" applyFill="1" applyBorder="1" applyAlignment="1">
      <alignment horizontal="right" vertical="center"/>
    </xf>
    <xf numFmtId="0" fontId="21" fillId="9" borderId="6" xfId="0" applyFont="1" applyFill="1" applyBorder="1" applyAlignment="1">
      <alignment horizontal="center" vertical="center"/>
    </xf>
    <xf numFmtId="0" fontId="13" fillId="2" borderId="2" xfId="0" applyFont="1" applyFill="1" applyBorder="1" applyAlignment="1">
      <alignment horizontal="right" vertical="center"/>
    </xf>
    <xf numFmtId="0" fontId="22" fillId="10" borderId="7" xfId="0" applyFont="1" applyFill="1" applyBorder="1" applyAlignment="1">
      <alignment horizontal="right" vertical="center"/>
    </xf>
    <xf numFmtId="0" fontId="14" fillId="3" borderId="5" xfId="0" applyFont="1" applyFill="1" applyBorder="1" applyAlignment="1">
      <alignment horizontal="right" vertical="center"/>
    </xf>
    <xf numFmtId="0" fontId="23" fillId="3" borderId="8" xfId="0" applyFont="1" applyFill="1" applyBorder="1" applyAlignment="1">
      <alignment horizontal="center" vertical="center" wrapText="1"/>
    </xf>
    <xf numFmtId="0" fontId="22" fillId="8" borderId="5" xfId="0" applyFont="1" applyFill="1" applyBorder="1" applyAlignment="1">
      <alignment horizontal="right" vertical="top" wrapText="1"/>
    </xf>
    <xf numFmtId="0" fontId="24" fillId="0" borderId="0" xfId="0" applyFont="1" applyAlignment="1">
      <alignment horizontal="right" vertical="center"/>
    </xf>
    <xf numFmtId="0" fontId="25" fillId="0" borderId="0" xfId="0" applyFont="1" applyAlignment="1">
      <alignment horizontal="left" vertical="center"/>
    </xf>
    <xf numFmtId="0" fontId="26" fillId="0" borderId="0" xfId="0" applyFont="1" applyAlignment="1">
      <alignment horizontal="right" vertical="center"/>
    </xf>
    <xf numFmtId="0" fontId="27" fillId="0" borderId="0" xfId="0" applyFont="1" applyAlignment="1">
      <alignment horizontal="right" vertical="top" wrapText="1"/>
    </xf>
    <xf numFmtId="0" fontId="28" fillId="9" borderId="9" xfId="0" applyFont="1" applyFill="1" applyBorder="1" applyAlignment="1">
      <alignment horizontal="center" vertical="center"/>
    </xf>
    <xf numFmtId="0" fontId="29" fillId="10" borderId="9" xfId="0" applyFont="1" applyFill="1" applyBorder="1" applyAlignment="1">
      <alignment horizontal="center" vertical="center"/>
    </xf>
    <xf numFmtId="0" fontId="30" fillId="11" borderId="9" xfId="0" applyFont="1" applyFill="1" applyBorder="1" applyAlignment="1">
      <alignment horizontal="center" vertical="center"/>
    </xf>
    <xf numFmtId="0" fontId="31" fillId="6" borderId="9" xfId="0" applyFont="1" applyFill="1" applyBorder="1" applyAlignment="1">
      <alignment horizontal="center" vertical="center"/>
    </xf>
    <xf numFmtId="0" fontId="32" fillId="7" borderId="9" xfId="0" applyFont="1" applyFill="1" applyBorder="1" applyAlignment="1">
      <alignment horizontal="center" vertical="center"/>
    </xf>
    <xf numFmtId="165" fontId="33" fillId="3" borderId="2" xfId="0" applyNumberFormat="1" applyFont="1" applyFill="1" applyBorder="1" applyAlignment="1">
      <alignment horizontal="center" vertical="center"/>
    </xf>
    <xf numFmtId="166" fontId="34" fillId="3" borderId="2" xfId="0" applyNumberFormat="1" applyFont="1" applyFill="1" applyBorder="1" applyAlignment="1">
      <alignment horizontal="center" vertical="center"/>
    </xf>
    <xf numFmtId="167" fontId="33" fillId="3" borderId="2" xfId="0" applyNumberFormat="1" applyFont="1" applyFill="1" applyBorder="1" applyAlignment="1">
      <alignment horizontal="center" vertical="center"/>
    </xf>
    <xf numFmtId="0" fontId="35" fillId="9" borderId="6" xfId="0" applyFont="1" applyFill="1" applyBorder="1" applyAlignment="1">
      <alignment horizontal="center" vertical="center" wrapText="1"/>
    </xf>
    <xf numFmtId="0" fontId="36" fillId="9" borderId="10" xfId="0" applyFont="1" applyFill="1" applyBorder="1" applyAlignment="1">
      <alignment horizontal="center" vertical="center"/>
    </xf>
    <xf numFmtId="0" fontId="37" fillId="2" borderId="2" xfId="0" applyFont="1" applyFill="1" applyBorder="1" applyAlignment="1">
      <alignment horizontal="center" vertical="center"/>
    </xf>
    <xf numFmtId="0" fontId="38" fillId="10" borderId="7" xfId="0" applyFont="1" applyFill="1" applyBorder="1" applyAlignment="1">
      <alignment horizontal="right" vertical="center" wrapText="1"/>
    </xf>
    <xf numFmtId="164" fontId="39" fillId="10" borderId="7" xfId="0" applyNumberFormat="1" applyFont="1" applyFill="1" applyBorder="1" applyAlignment="1">
      <alignment horizontal="center" vertical="center" wrapText="1"/>
    </xf>
    <xf numFmtId="0" fontId="40" fillId="10" borderId="7" xfId="0" applyFont="1" applyFill="1" applyBorder="1" applyAlignment="1">
      <alignment horizontal="center" vertical="center" wrapText="1"/>
    </xf>
    <xf numFmtId="0" fontId="40" fillId="10" borderId="7" xfId="0" applyFont="1" applyFill="1" applyBorder="1" applyAlignment="1">
      <alignment horizontal="right" vertical="center" wrapText="1"/>
    </xf>
    <xf numFmtId="0" fontId="41" fillId="10" borderId="7" xfId="0" applyFont="1" applyFill="1" applyBorder="1" applyAlignment="1">
      <alignment horizontal="center" vertical="center" wrapText="1"/>
    </xf>
    <xf numFmtId="0" fontId="42" fillId="12" borderId="9" xfId="0" applyFont="1" applyFill="1" applyBorder="1" applyAlignment="1">
      <alignment horizontal="center" vertical="center"/>
    </xf>
    <xf numFmtId="0" fontId="23" fillId="0" borderId="0" xfId="0" applyFont="1" applyAlignment="1">
      <alignment horizontal="right" vertical="center"/>
    </xf>
    <xf numFmtId="164" fontId="33" fillId="3" borderId="2" xfId="0" applyNumberFormat="1" applyFont="1" applyFill="1" applyBorder="1" applyAlignment="1">
      <alignment horizontal="center" vertical="center"/>
    </xf>
    <xf numFmtId="164" fontId="43" fillId="3" borderId="2" xfId="0" applyNumberFormat="1" applyFont="1" applyFill="1" applyBorder="1" applyAlignment="1">
      <alignment horizontal="center" vertical="center"/>
    </xf>
    <xf numFmtId="164" fontId="44" fillId="3" borderId="2" xfId="0" applyNumberFormat="1" applyFont="1" applyFill="1" applyBorder="1" applyAlignment="1">
      <alignment horizontal="center" vertical="center"/>
    </xf>
    <xf numFmtId="164" fontId="45" fillId="3" borderId="2" xfId="0" applyNumberFormat="1" applyFont="1" applyFill="1" applyBorder="1" applyAlignment="1">
      <alignment horizontal="center" vertical="center"/>
    </xf>
    <xf numFmtId="0" fontId="46" fillId="9" borderId="6" xfId="0" applyFont="1" applyFill="1" applyBorder="1" applyAlignment="1">
      <alignment horizontal="center" vertical="center"/>
    </xf>
    <xf numFmtId="0" fontId="38" fillId="10" borderId="7" xfId="0" applyFont="1" applyFill="1" applyBorder="1" applyAlignment="1">
      <alignment horizontal="center" vertical="center" wrapText="1"/>
    </xf>
    <xf numFmtId="0" fontId="47" fillId="10" borderId="7" xfId="0" applyFont="1" applyFill="1" applyBorder="1" applyAlignment="1">
      <alignment horizontal="center" vertical="center" wrapText="1"/>
    </xf>
    <xf numFmtId="0" fontId="48" fillId="10" borderId="7" xfId="0" applyFont="1" applyFill="1" applyBorder="1" applyAlignment="1">
      <alignment horizontal="center" vertical="center" wrapText="1"/>
    </xf>
    <xf numFmtId="0" fontId="49" fillId="10" borderId="7" xfId="0" applyFont="1" applyFill="1" applyBorder="1" applyAlignment="1">
      <alignment horizontal="right" vertical="center" wrapText="1"/>
    </xf>
    <xf numFmtId="0" fontId="50" fillId="2" borderId="5" xfId="0" applyFont="1" applyFill="1" applyBorder="1" applyAlignment="1">
      <alignment horizontal="right" vertical="center" wrapText="1"/>
    </xf>
    <xf numFmtId="164" fontId="34" fillId="3" borderId="2" xfId="0" applyNumberFormat="1" applyFont="1" applyFill="1" applyBorder="1" applyAlignment="1">
      <alignment horizontal="center" vertical="center"/>
    </xf>
    <xf numFmtId="0" fontId="51" fillId="2" borderId="2" xfId="0" applyFont="1" applyFill="1" applyBorder="1" applyAlignment="1">
      <alignment horizontal="center" vertical="center"/>
    </xf>
    <xf numFmtId="0" fontId="39" fillId="10" borderId="7" xfId="0" applyFont="1" applyFill="1" applyBorder="1" applyAlignment="1">
      <alignment horizontal="center" vertical="center" wrapText="1"/>
    </xf>
    <xf numFmtId="0" fontId="52" fillId="10" borderId="7" xfId="0" applyFont="1" applyFill="1" applyBorder="1" applyAlignment="1">
      <alignment horizontal="right" vertical="center" wrapText="1"/>
    </xf>
    <xf numFmtId="168" fontId="47" fillId="10" borderId="7" xfId="0" applyNumberFormat="1" applyFont="1" applyFill="1" applyBorder="1" applyAlignment="1">
      <alignment horizontal="center" vertical="center" wrapText="1"/>
    </xf>
    <xf numFmtId="0" fontId="53" fillId="13" borderId="11" xfId="0" applyFont="1" applyFill="1" applyBorder="1" applyAlignment="1">
      <alignment horizontal="center" vertical="center"/>
    </xf>
    <xf numFmtId="168" fontId="54" fillId="13" borderId="11" xfId="0" applyNumberFormat="1" applyFont="1" applyFill="1" applyBorder="1" applyAlignment="1">
      <alignment horizontal="center"/>
    </xf>
    <xf numFmtId="0" fontId="55" fillId="14" borderId="9" xfId="0" applyFont="1" applyFill="1" applyBorder="1" applyAlignment="1">
      <alignment horizontal="center" vertical="center"/>
    </xf>
    <xf numFmtId="0" fontId="55" fillId="6" borderId="9" xfId="0" applyFont="1" applyFill="1" applyBorder="1" applyAlignment="1">
      <alignment horizontal="center" vertical="center"/>
    </xf>
    <xf numFmtId="0" fontId="55" fillId="7" borderId="9" xfId="0" applyFont="1" applyFill="1" applyBorder="1" applyAlignment="1">
      <alignment horizontal="center" vertical="center"/>
    </xf>
    <xf numFmtId="0" fontId="55" fillId="15" borderId="9" xfId="0" applyFont="1" applyFill="1" applyBorder="1" applyAlignment="1">
      <alignment horizontal="center" vertical="center"/>
    </xf>
    <xf numFmtId="0" fontId="55" fillId="16" borderId="9" xfId="0" applyFont="1" applyFill="1" applyBorder="1" applyAlignment="1">
      <alignment horizontal="center" vertical="center"/>
    </xf>
    <xf numFmtId="0" fontId="55" fillId="12" borderId="9" xfId="0" applyFont="1" applyFill="1" applyBorder="1" applyAlignment="1">
      <alignment horizontal="center" vertical="center"/>
    </xf>
    <xf numFmtId="0" fontId="55" fillId="17" borderId="9" xfId="0" applyFont="1" applyFill="1" applyBorder="1" applyAlignment="1">
      <alignment horizontal="center" vertical="center"/>
    </xf>
    <xf numFmtId="0" fontId="55" fillId="18" borderId="9" xfId="0" applyFont="1" applyFill="1" applyBorder="1" applyAlignment="1">
      <alignment horizontal="center" vertical="center"/>
    </xf>
    <xf numFmtId="0" fontId="24" fillId="10" borderId="7" xfId="0" applyFont="1" applyFill="1" applyBorder="1" applyAlignment="1">
      <alignment horizontal="right" vertical="center" wrapText="1"/>
    </xf>
    <xf numFmtId="0" fontId="56" fillId="10" borderId="7" xfId="0" applyFont="1" applyFill="1" applyBorder="1" applyAlignment="1">
      <alignment horizontal="right" vertical="center" wrapText="1"/>
    </xf>
    <xf numFmtId="0" fontId="49" fillId="10" borderId="7" xfId="0" applyFont="1" applyFill="1" applyBorder="1" applyAlignment="1">
      <alignment horizontal="center" vertical="center" wrapText="1"/>
    </xf>
    <xf numFmtId="167" fontId="34" fillId="3" borderId="2" xfId="0" applyNumberFormat="1" applyFont="1" applyFill="1" applyBorder="1" applyAlignment="1">
      <alignment horizontal="center" vertical="center"/>
    </xf>
    <xf numFmtId="164" fontId="57" fillId="3" borderId="2" xfId="0" applyNumberFormat="1" applyFont="1" applyFill="1" applyBorder="1" applyAlignment="1">
      <alignment horizontal="center" vertical="center"/>
    </xf>
    <xf numFmtId="167" fontId="39" fillId="10" borderId="7" xfId="0" applyNumberFormat="1" applyFont="1" applyFill="1" applyBorder="1" applyAlignment="1">
      <alignment horizontal="center" vertical="center" wrapText="1"/>
    </xf>
    <xf numFmtId="164" fontId="58" fillId="19" borderId="5" xfId="0" applyNumberFormat="1" applyFont="1" applyFill="1" applyBorder="1" applyAlignment="1">
      <alignment horizontal="center" vertical="center" wrapText="1"/>
    </xf>
    <xf numFmtId="0" fontId="59" fillId="19" borderId="5" xfId="0" applyFont="1" applyFill="1" applyBorder="1" applyAlignment="1">
      <alignment horizontal="right" vertical="center" wrapText="1"/>
    </xf>
    <xf numFmtId="164" fontId="60" fillId="3" borderId="2" xfId="0" applyNumberFormat="1" applyFont="1" applyFill="1" applyBorder="1" applyAlignment="1">
      <alignment horizontal="center" vertical="center"/>
    </xf>
    <xf numFmtId="164" fontId="61" fillId="3" borderId="2" xfId="0" applyNumberFormat="1" applyFont="1" applyFill="1" applyBorder="1" applyAlignment="1">
      <alignment horizontal="center" vertical="center"/>
    </xf>
    <xf numFmtId="0" fontId="0" fillId="3" borderId="0" xfId="0" applyFill="1"/>
    <xf numFmtId="0" fontId="0" fillId="4" borderId="0" xfId="0" applyFill="1"/>
    <xf numFmtId="0" fontId="62" fillId="9" borderId="6" xfId="0" applyFont="1" applyFill="1" applyBorder="1" applyAlignment="1">
      <alignment horizontal="center" vertical="center" wrapText="1"/>
    </xf>
    <xf numFmtId="0" fontId="36" fillId="9" borderId="6" xfId="0" applyFont="1" applyFill="1" applyBorder="1" applyAlignment="1">
      <alignment horizontal="center" vertical="center"/>
    </xf>
    <xf numFmtId="0" fontId="63" fillId="2" borderId="5" xfId="0" applyFont="1" applyFill="1" applyBorder="1" applyAlignment="1">
      <alignment horizontal="right" vertical="center" wrapText="1"/>
    </xf>
    <xf numFmtId="0" fontId="64" fillId="9" borderId="6" xfId="0" applyFont="1" applyFill="1" applyBorder="1" applyAlignment="1">
      <alignment horizontal="center" vertical="center"/>
    </xf>
    <xf numFmtId="0" fontId="51" fillId="2" borderId="5" xfId="0" applyFont="1" applyFill="1" applyBorder="1" applyAlignment="1">
      <alignment horizontal="center" vertical="center" wrapText="1"/>
    </xf>
    <xf numFmtId="0" fontId="63" fillId="13" borderId="5" xfId="0" applyFont="1" applyFill="1" applyBorder="1" applyAlignment="1">
      <alignment horizontal="right" vertical="center" wrapText="1"/>
    </xf>
    <xf numFmtId="168" fontId="65" fillId="13" borderId="5" xfId="0" applyNumberFormat="1" applyFont="1" applyFill="1" applyBorder="1" applyAlignment="1">
      <alignment horizontal="center" vertical="center" wrapText="1"/>
    </xf>
    <xf numFmtId="0" fontId="66" fillId="13" borderId="5" xfId="0" applyFont="1" applyFill="1" applyBorder="1" applyAlignment="1">
      <alignment horizontal="center" vertical="center" wrapText="1"/>
    </xf>
    <xf numFmtId="0" fontId="62" fillId="4" borderId="12" xfId="0" applyFont="1" applyFill="1" applyBorder="1" applyAlignment="1">
      <alignment horizontal="center" vertical="center"/>
    </xf>
    <xf numFmtId="164" fontId="11" fillId="4" borderId="12" xfId="0" applyNumberFormat="1" applyFont="1" applyFill="1" applyBorder="1" applyAlignment="1">
      <alignment horizontal="center" vertical="center"/>
    </xf>
    <xf numFmtId="0" fontId="67" fillId="0" borderId="0" xfId="0" applyFont="1" applyAlignment="1">
      <alignment horizontal="center" vertical="center"/>
    </xf>
    <xf numFmtId="0" fontId="68" fillId="0" borderId="0" xfId="0" applyFont="1" applyAlignment="1">
      <alignment horizontal="right" vertical="center"/>
    </xf>
    <xf numFmtId="0" fontId="69" fillId="8" borderId="13" xfId="0" applyFont="1" applyFill="1" applyBorder="1" applyAlignment="1">
      <alignment horizontal="right" vertical="center" wrapText="1"/>
    </xf>
    <xf numFmtId="0" fontId="50" fillId="6" borderId="5" xfId="0" applyFont="1" applyFill="1" applyBorder="1" applyAlignment="1">
      <alignment horizontal="right" vertical="center" wrapText="1"/>
    </xf>
    <xf numFmtId="0" fontId="70" fillId="0" borderId="0" xfId="0" applyFont="1" applyAlignment="1">
      <alignment horizontal="right" vertical="center" indent="1" wrapText="1"/>
    </xf>
  </cellXfs>
  <cellStyles count="1">
    <cellStyle name="Normal" xfId="0" builtinId="0"/>
  </cellStyles>
  <dxfs count="31">
    <dxf>
      <font>
        <b/>
        <color rgb="FF14453D"/>
      </font>
      <fill>
        <patternFill>
          <bgColor rgb="FFEAF4EC"/>
        </patternFill>
      </fill>
    </dxf>
    <dxf>
      <font>
        <b/>
        <color rgb="FF14453D"/>
      </font>
      <fill>
        <patternFill>
          <bgColor rgb="FFEAF1F7"/>
        </patternFill>
      </fill>
    </dxf>
    <dxf>
      <font>
        <b/>
        <color rgb="FF14453D"/>
      </font>
      <fill>
        <patternFill>
          <bgColor rgb="FFF0EBF7"/>
        </patternFill>
      </fill>
    </dxf>
    <dxf>
      <font>
        <b/>
        <color rgb="FF14453D"/>
      </font>
      <fill>
        <patternFill>
          <bgColor rgb="FFFDEFE4"/>
        </patternFill>
      </fill>
    </dxf>
    <dxf>
      <font>
        <b/>
        <color rgb="FF14453D"/>
      </font>
      <fill>
        <patternFill>
          <bgColor rgb="FFF4F3EE"/>
        </patternFill>
      </fill>
    </dxf>
    <dxf>
      <font>
        <b/>
        <color rgb="FF14453D"/>
      </font>
      <fill>
        <patternFill>
          <bgColor rgb="FFF7F1E4"/>
        </patternFill>
      </fill>
    </dxf>
    <dxf>
      <font>
        <b/>
        <color rgb="FF14453D"/>
      </font>
      <fill>
        <patternFill>
          <bgColor rgb="FFF3EADB"/>
        </patternFill>
      </fill>
    </dxf>
    <dxf>
      <font>
        <b/>
        <color rgb="FF14453D"/>
      </font>
      <fill>
        <patternFill>
          <bgColor rgb="FFF0ECE2"/>
        </patternFill>
      </fill>
    </dxf>
    <dxf>
      <font>
        <b/>
        <color rgb="FF14453D"/>
      </font>
      <fill>
        <patternFill>
          <bgColor rgb="FFFBEDE7"/>
        </patternFill>
      </fill>
    </dxf>
    <dxf>
      <font>
        <b/>
        <color rgb="FF14453D"/>
      </font>
      <fill>
        <patternFill>
          <bgColor rgb="FFEBD9AE"/>
        </patternFill>
      </fill>
    </dxf>
    <dxf>
      <font>
        <b/>
        <color rgb="FF14453D"/>
      </font>
      <fill>
        <patternFill>
          <bgColor rgb="FFEAF4EC"/>
        </patternFill>
      </fill>
      <border>
        <left style="thin">
          <color rgb="FFDCD5C6"/>
        </left>
        <right style="thin">
          <color rgb="FFDCD5C6"/>
        </right>
        <top style="thin">
          <color rgb="FFDCD5C6"/>
        </top>
        <bottom style="thin">
          <color rgb="FFDCD5C6"/>
        </bottom>
        <vertical/>
        <horizontal/>
      </border>
    </dxf>
    <dxf>
      <font>
        <b/>
        <color rgb="FF14453D"/>
      </font>
      <fill>
        <patternFill>
          <bgColor rgb="FFEAF1F7"/>
        </patternFill>
      </fill>
      <border>
        <left style="thin">
          <color rgb="FFDCD5C6"/>
        </left>
        <right style="thin">
          <color rgb="FFDCD5C6"/>
        </right>
        <top style="thin">
          <color rgb="FFDCD5C6"/>
        </top>
        <bottom style="thin">
          <color rgb="FFDCD5C6"/>
        </bottom>
        <vertical/>
        <horizontal/>
      </border>
    </dxf>
    <dxf>
      <font>
        <b/>
        <color rgb="FF14453D"/>
      </font>
      <fill>
        <patternFill>
          <bgColor rgb="FFF0EBF7"/>
        </patternFill>
      </fill>
      <border>
        <left style="thin">
          <color rgb="FFDCD5C6"/>
        </left>
        <right style="thin">
          <color rgb="FFDCD5C6"/>
        </right>
        <top style="thin">
          <color rgb="FFDCD5C6"/>
        </top>
        <bottom style="thin">
          <color rgb="FFDCD5C6"/>
        </bottom>
        <vertical/>
        <horizontal/>
      </border>
    </dxf>
    <dxf>
      <font>
        <b/>
        <color rgb="FF14453D"/>
      </font>
      <fill>
        <patternFill>
          <bgColor rgb="FFFDEFE4"/>
        </patternFill>
      </fill>
      <border>
        <left style="thin">
          <color rgb="FFDCD5C6"/>
        </left>
        <right style="thin">
          <color rgb="FFDCD5C6"/>
        </right>
        <top style="thin">
          <color rgb="FFDCD5C6"/>
        </top>
        <bottom style="thin">
          <color rgb="FFDCD5C6"/>
        </bottom>
        <vertical/>
        <horizontal/>
      </border>
    </dxf>
    <dxf>
      <font>
        <b/>
        <color rgb="FF14453D"/>
      </font>
      <fill>
        <patternFill>
          <bgColor rgb="FFF4F3EE"/>
        </patternFill>
      </fill>
      <border>
        <left style="thin">
          <color rgb="FFDCD5C6"/>
        </left>
        <right style="thin">
          <color rgb="FFDCD5C6"/>
        </right>
        <top style="thin">
          <color rgb="FFDCD5C6"/>
        </top>
        <bottom style="thin">
          <color rgb="FFDCD5C6"/>
        </bottom>
        <vertical/>
        <horizontal/>
      </border>
    </dxf>
    <dxf>
      <font>
        <b/>
        <color rgb="FF14453D"/>
      </font>
      <fill>
        <patternFill>
          <bgColor rgb="FFF7F1E4"/>
        </patternFill>
      </fill>
      <border>
        <left style="thin">
          <color rgb="FFDCD5C6"/>
        </left>
        <right style="thin">
          <color rgb="FFDCD5C6"/>
        </right>
        <top style="thin">
          <color rgb="FFDCD5C6"/>
        </top>
        <bottom style="thin">
          <color rgb="FFDCD5C6"/>
        </bottom>
        <vertical/>
        <horizontal/>
      </border>
    </dxf>
    <dxf>
      <font>
        <b/>
        <color rgb="FF14453D"/>
      </font>
      <fill>
        <patternFill>
          <bgColor rgb="FFF3EADB"/>
        </patternFill>
      </fill>
      <border>
        <left style="thin">
          <color rgb="FFDCD5C6"/>
        </left>
        <right style="thin">
          <color rgb="FFDCD5C6"/>
        </right>
        <top style="thin">
          <color rgb="FFDCD5C6"/>
        </top>
        <bottom style="thin">
          <color rgb="FFDCD5C6"/>
        </bottom>
        <vertical/>
        <horizontal/>
      </border>
    </dxf>
    <dxf>
      <font>
        <b/>
        <color rgb="FF14453D"/>
      </font>
      <fill>
        <patternFill>
          <bgColor rgb="FFF0ECE2"/>
        </patternFill>
      </fill>
      <border>
        <left style="thin">
          <color rgb="FFDCD5C6"/>
        </left>
        <right style="thin">
          <color rgb="FFDCD5C6"/>
        </right>
        <top style="thin">
          <color rgb="FFDCD5C6"/>
        </top>
        <bottom style="thin">
          <color rgb="FFDCD5C6"/>
        </bottom>
        <vertical/>
        <horizontal/>
      </border>
    </dxf>
    <dxf>
      <font>
        <b/>
        <color rgb="FF14453D"/>
      </font>
      <fill>
        <patternFill>
          <bgColor rgb="FFFBEDE7"/>
        </patternFill>
      </fill>
      <border>
        <left style="thin">
          <color rgb="FFDCD5C6"/>
        </left>
        <right style="thin">
          <color rgb="FFDCD5C6"/>
        </right>
        <top style="thin">
          <color rgb="FFDCD5C6"/>
        </top>
        <bottom style="thin">
          <color rgb="FFDCD5C6"/>
        </bottom>
        <vertical/>
        <horizontal/>
      </border>
    </dxf>
    <dxf>
      <font>
        <b/>
        <color rgb="FF14453D"/>
      </font>
      <fill>
        <patternFill>
          <bgColor rgb="FFEBD9AE"/>
        </patternFill>
      </fill>
      <border>
        <left style="thin">
          <color rgb="FFDCD5C6"/>
        </left>
        <right style="thin">
          <color rgb="FFDCD5C6"/>
        </right>
        <top style="thin">
          <color rgb="FFDCD5C6"/>
        </top>
        <bottom style="thin">
          <color rgb="FFDCD5C6"/>
        </bottom>
        <vertical/>
        <horizontal/>
      </border>
    </dxf>
    <dxf>
      <font>
        <b/>
        <color rgb="FFB4452F"/>
      </font>
      <fill>
        <patternFill>
          <bgColor rgb="FFFBEDE7"/>
        </patternFill>
      </fill>
    </dxf>
    <dxf>
      <font>
        <i/>
        <color rgb="FFB9AE97"/>
      </font>
    </dxf>
    <dxf>
      <fill>
        <patternFill>
          <bgColor rgb="FFEAF4EC"/>
        </patternFill>
      </fill>
    </dxf>
    <dxf>
      <fill>
        <patternFill>
          <bgColor rgb="FFEAF1F7"/>
        </patternFill>
      </fill>
    </dxf>
    <dxf>
      <fill>
        <patternFill>
          <bgColor rgb="FFF0EBF7"/>
        </patternFill>
      </fill>
    </dxf>
    <dxf>
      <fill>
        <patternFill>
          <bgColor rgb="FFFBEDE7"/>
        </patternFill>
      </fill>
    </dxf>
    <dxf>
      <fill>
        <patternFill>
          <bgColor rgb="FFF3EADB"/>
        </patternFill>
      </fill>
    </dxf>
    <dxf>
      <fill>
        <patternFill>
          <bgColor rgb="FFF4F3EE"/>
        </patternFill>
      </fill>
    </dxf>
    <dxf>
      <fill>
        <patternFill>
          <bgColor rgb="FFE4F1F0"/>
        </patternFill>
      </fill>
    </dxf>
    <dxf>
      <font>
        <color rgb="FFB4452F"/>
      </font>
      <fill>
        <patternFill>
          <bgColor rgb="FFFBEDE7"/>
        </patternFill>
      </fill>
    </dxf>
    <dxf>
      <font>
        <b/>
        <color rgb="FFC4623F"/>
      </font>
      <fill>
        <patternFill>
          <bgColor rgb="FFFFF1D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463296</xdr:colOff>
      <xdr:row>1</xdr:row>
      <xdr:rowOff>234696</xdr:rowOff>
    </xdr:to>
    <xdr:pic>
      <xdr:nvPicPr>
        <xdr:cNvPr id="2" name="Picture 1" descr="logo.png"/>
        <xdr:cNvPicPr>
          <a:picLocks noChangeAspect="1"/>
        </xdr:cNvPicPr>
      </xdr:nvPicPr>
      <xdr:blipFill>
        <a:blip xmlns:r="http://schemas.openxmlformats.org/officeDocument/2006/relationships" r:embed="rId1"/>
        <a:stretch>
          <a:fillRect/>
        </a:stretch>
      </xdr:blipFill>
      <xdr:spPr>
        <a:xfrm>
          <a:off x="9448800" y="0"/>
          <a:ext cx="463296" cy="4632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INFO.xlsx" TargetMode="External"/><Relationship Id="rId2" Type="http://schemas.openxmlformats.org/officeDocument/2006/relationships/hyperlink" Target="01_Register.xlsx" TargetMode="External"/><Relationship Id="rId3" Type="http://schemas.openxmlformats.org/officeDocument/2006/relationships/hyperlink" Target="02_Reports.xlsx" TargetMode="External"/><Relationship Id="rId4" Type="http://schemas.openxmlformats.org/officeDocument/2006/relationships/hyperlink" Target="03_Invoice.xlsx" TargetMode="External"/><Relationship Id="rId5" Type="http://schemas.openxmlformats.org/officeDocument/2006/relationships/hyperlink" Target="04_Balance.xlsx" TargetMode="External"/><Relationship Id="rId6" Type="http://schemas.openxmlformats.org/officeDocument/2006/relationships/hyperlink" Target="05_Bank.xlsx" TargetMode="External"/><Relationship Id="rId7" Type="http://schemas.openxmlformats.org/officeDocument/2006/relationships/hyperlink" Target="06_LoadBuyers.xlsx" TargetMode="External"/><Relationship Id="rId8" Type="http://schemas.openxmlformats.org/officeDocument/2006/relationships/hyperlink" Target="07_Sample.xlsx" TargetMode="Externa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sheetPr>
    <tabColor rgb="FFC89B3C"/>
    <pageSetUpPr fitToPage="1"/>
  </sheetPr>
  <dimension ref="A1:J44"/>
  <sheetViews>
    <sheetView showGridLines="0" rightToLeft="1" tabSelected="1" zoomScale="88" zoomScaleNormal="88" workbookViewId="0">
      <pane ySplit="9" topLeftCell="A10" activePane="bottomLeft" state="frozen"/>
      <selection pane="bottomLeft"/>
    </sheetView>
  </sheetViews>
  <sheetFormatPr defaultRowHeight="15"/>
  <cols>
    <col min="1" max="10" width="17.7109375" customWidth="1"/>
  </cols>
  <sheetData>
    <row r="1" spans="1:10" ht="18" customHeight="1">
      <c r="A1" s="1" t="s">
        <v>0</v>
      </c>
      <c r="B1" s="1"/>
      <c r="C1" s="1"/>
      <c r="D1" s="1"/>
      <c r="E1" s="1"/>
      <c r="F1" s="1"/>
      <c r="G1" s="2" t="s">
        <v>1</v>
      </c>
      <c r="H1" s="2"/>
      <c r="I1" s="2"/>
      <c r="J1" s="2"/>
    </row>
    <row r="2" spans="1:10" ht="30" customHeight="1">
      <c r="A2" s="3" t="s">
        <v>2</v>
      </c>
      <c r="B2" s="3"/>
      <c r="C2" s="3"/>
      <c r="D2" s="3"/>
      <c r="E2" s="3"/>
      <c r="F2" s="3"/>
      <c r="G2" s="3"/>
      <c r="H2" s="3"/>
      <c r="I2" s="3"/>
      <c r="J2" s="3"/>
    </row>
    <row r="3" spans="1:10" ht="20.25" customHeight="1">
      <c r="A3" s="4" t="s">
        <v>3</v>
      </c>
      <c r="B3" s="4"/>
      <c r="C3" s="4"/>
      <c r="D3" s="4"/>
      <c r="E3" s="4"/>
      <c r="F3" s="4"/>
      <c r="G3" s="4"/>
      <c r="H3" s="4"/>
      <c r="I3" s="4"/>
      <c r="J3" s="4"/>
    </row>
    <row r="4" spans="1:10" ht="8.25" customHeight="1"/>
    <row r="5" spans="1:10" ht="18" customHeight="1">
      <c r="A5" s="5" t="s">
        <v>4</v>
      </c>
      <c r="B5" s="5"/>
      <c r="C5" s="5" t="s">
        <v>5</v>
      </c>
      <c r="D5" s="5"/>
      <c r="E5" s="5" t="s">
        <v>6</v>
      </c>
      <c r="F5" s="5"/>
      <c r="G5" s="5" t="s">
        <v>7</v>
      </c>
      <c r="H5" s="5"/>
      <c r="I5" s="5" t="s">
        <v>8</v>
      </c>
      <c r="J5" s="5"/>
    </row>
    <row r="6" spans="1:10" ht="33.75" customHeight="1">
      <c r="A6" s="6">
        <f>COUNTIF(Accounts!$D$10:$D$259,"?*")</f>
        <v>0</v>
      </c>
      <c r="B6" s="6"/>
      <c r="C6" s="7">
        <f>COUNTIF(Ops!$B$10:$B$33,"?*")</f>
        <v>0</v>
      </c>
      <c r="D6" s="7"/>
      <c r="E6" s="8">
        <f>COUNTIF(Baskets!$B$10:$B$21,"?*")</f>
        <v>0</v>
      </c>
      <c r="F6" s="8"/>
      <c r="G6" s="9">
        <f>COUNTIF(Products!$B$10:$B$29,"?*")</f>
        <v>0</v>
      </c>
      <c r="H6" s="9"/>
      <c r="I6" s="10">
        <f>COUNTIF(Banks!$A$10:$A$19,"?*")</f>
        <v>0</v>
      </c>
      <c r="J6" s="10"/>
    </row>
    <row r="8" spans="1:10" ht="30" customHeight="1">
      <c r="A8" s="11" t="s">
        <v>9</v>
      </c>
      <c r="B8" s="12" t="s">
        <v>10</v>
      </c>
      <c r="C8" s="12"/>
      <c r="D8" s="12"/>
      <c r="E8" s="12"/>
      <c r="F8" s="12"/>
      <c r="G8" s="12"/>
      <c r="H8" s="12"/>
      <c r="I8" s="12"/>
      <c r="J8" s="12"/>
    </row>
    <row r="10" spans="1:10" ht="21.75" customHeight="1">
      <c r="A10" s="13" t="s">
        <v>11</v>
      </c>
      <c r="B10" s="13"/>
      <c r="C10" s="13" t="s">
        <v>14</v>
      </c>
      <c r="D10" s="13"/>
      <c r="E10" s="13" t="s">
        <v>17</v>
      </c>
      <c r="F10" s="13"/>
      <c r="G10" s="13" t="s">
        <v>20</v>
      </c>
      <c r="H10" s="13"/>
    </row>
    <row r="11" spans="1:10" ht="27" customHeight="1">
      <c r="A11" s="14" t="s">
        <v>12</v>
      </c>
      <c r="B11" s="14"/>
      <c r="C11" s="14" t="s">
        <v>15</v>
      </c>
      <c r="D11" s="14"/>
      <c r="E11" s="14" t="s">
        <v>18</v>
      </c>
      <c r="F11" s="14"/>
      <c r="G11" s="14" t="s">
        <v>21</v>
      </c>
      <c r="H11" s="14"/>
    </row>
    <row r="12" spans="1:10" ht="12.75" customHeight="1">
      <c r="A12" s="15" t="s">
        <v>13</v>
      </c>
      <c r="B12" s="15"/>
      <c r="C12" s="15" t="s">
        <v>16</v>
      </c>
      <c r="D12" s="15"/>
      <c r="E12" s="15" t="s">
        <v>19</v>
      </c>
      <c r="F12" s="15"/>
      <c r="G12" s="15" t="s">
        <v>22</v>
      </c>
      <c r="H12" s="15"/>
    </row>
    <row r="13" spans="1:10" ht="21.75" customHeight="1">
      <c r="A13" s="13" t="s">
        <v>23</v>
      </c>
      <c r="B13" s="13"/>
      <c r="C13" s="13" t="s">
        <v>26</v>
      </c>
      <c r="D13" s="13"/>
      <c r="E13" s="13" t="s">
        <v>29</v>
      </c>
      <c r="F13" s="13"/>
      <c r="G13" s="13" t="s">
        <v>32</v>
      </c>
      <c r="H13" s="13"/>
    </row>
    <row r="14" spans="1:10" ht="27" customHeight="1">
      <c r="A14" s="14" t="s">
        <v>24</v>
      </c>
      <c r="B14" s="14"/>
      <c r="C14" s="14" t="s">
        <v>27</v>
      </c>
      <c r="D14" s="14"/>
      <c r="E14" s="14" t="s">
        <v>30</v>
      </c>
      <c r="F14" s="14"/>
      <c r="G14" s="14" t="s">
        <v>33</v>
      </c>
      <c r="H14" s="14"/>
    </row>
    <row r="15" spans="1:10" ht="12.75" customHeight="1">
      <c r="A15" s="15" t="s">
        <v>25</v>
      </c>
      <c r="B15" s="15"/>
      <c r="C15" s="15" t="s">
        <v>28</v>
      </c>
      <c r="D15" s="15"/>
      <c r="E15" s="15" t="s">
        <v>31</v>
      </c>
      <c r="F15" s="15"/>
      <c r="G15" s="15" t="s">
        <v>34</v>
      </c>
      <c r="H15" s="15"/>
    </row>
    <row r="23" spans="1:10" ht="30" customHeight="1">
      <c r="A23" s="11" t="s">
        <v>35</v>
      </c>
      <c r="B23" s="12" t="s">
        <v>36</v>
      </c>
      <c r="C23" s="12"/>
      <c r="D23" s="12"/>
      <c r="E23" s="12"/>
      <c r="F23" s="12"/>
      <c r="G23" s="12"/>
      <c r="H23" s="12"/>
      <c r="I23" s="12"/>
      <c r="J23" s="12"/>
    </row>
    <row r="24" spans="1:10" ht="26.25" customHeight="1">
      <c r="A24" s="16" t="s">
        <v>37</v>
      </c>
      <c r="B24" s="17" t="s">
        <v>39</v>
      </c>
      <c r="C24" s="18" t="s">
        <v>40</v>
      </c>
      <c r="D24" s="17" t="s">
        <v>39</v>
      </c>
      <c r="E24" s="19" t="s">
        <v>42</v>
      </c>
    </row>
    <row r="25" spans="1:10" ht="24" customHeight="1">
      <c r="A25" s="20" t="s">
        <v>38</v>
      </c>
      <c r="B25" s="17"/>
      <c r="C25" s="20" t="s">
        <v>41</v>
      </c>
      <c r="D25" s="17"/>
      <c r="E25" s="20" t="s">
        <v>43</v>
      </c>
    </row>
    <row r="27" spans="1:10" ht="20.25" customHeight="1">
      <c r="A27" s="21" t="s">
        <v>44</v>
      </c>
      <c r="B27" s="21"/>
      <c r="C27" s="21"/>
      <c r="D27" s="22" t="s">
        <v>45</v>
      </c>
      <c r="E27" s="22"/>
      <c r="F27" s="22"/>
      <c r="G27" s="22"/>
      <c r="H27" s="22"/>
      <c r="I27" s="22"/>
      <c r="J27" s="22"/>
    </row>
    <row r="28" spans="1:10" ht="20.25" customHeight="1">
      <c r="A28" s="21" t="s">
        <v>46</v>
      </c>
      <c r="B28" s="21"/>
      <c r="C28" s="21"/>
      <c r="D28" s="22" t="s">
        <v>47</v>
      </c>
      <c r="E28" s="22"/>
      <c r="F28" s="22"/>
      <c r="G28" s="22"/>
      <c r="H28" s="22"/>
      <c r="I28" s="22"/>
      <c r="J28" s="22"/>
    </row>
    <row r="29" spans="1:10" ht="20.25" customHeight="1">
      <c r="A29" s="21" t="s">
        <v>48</v>
      </c>
      <c r="B29" s="21"/>
      <c r="C29" s="21"/>
      <c r="D29" s="22" t="s">
        <v>49</v>
      </c>
      <c r="E29" s="22"/>
      <c r="F29" s="22"/>
      <c r="G29" s="22"/>
      <c r="H29" s="22"/>
      <c r="I29" s="22"/>
      <c r="J29" s="22"/>
    </row>
    <row r="30" spans="1:10" ht="20.25" customHeight="1">
      <c r="A30" s="21" t="s">
        <v>50</v>
      </c>
      <c r="B30" s="21"/>
      <c r="C30" s="21"/>
      <c r="D30" s="22" t="s">
        <v>51</v>
      </c>
      <c r="E30" s="22"/>
      <c r="F30" s="22"/>
      <c r="G30" s="22"/>
      <c r="H30" s="22"/>
      <c r="I30" s="22"/>
      <c r="J30" s="22"/>
    </row>
    <row r="31" spans="1:10" ht="20.25" customHeight="1">
      <c r="A31" s="21" t="s">
        <v>52</v>
      </c>
      <c r="B31" s="21"/>
      <c r="C31" s="21"/>
      <c r="D31" s="22" t="s">
        <v>53</v>
      </c>
      <c r="E31" s="22"/>
      <c r="F31" s="22"/>
      <c r="G31" s="22"/>
      <c r="H31" s="22"/>
      <c r="I31" s="22"/>
      <c r="J31" s="22"/>
    </row>
    <row r="32" spans="1:10" ht="20.25" customHeight="1">
      <c r="A32" s="21" t="s">
        <v>54</v>
      </c>
      <c r="B32" s="21"/>
      <c r="C32" s="21"/>
      <c r="D32" s="22" t="s">
        <v>55</v>
      </c>
      <c r="E32" s="22"/>
      <c r="F32" s="22"/>
      <c r="G32" s="22"/>
      <c r="H32" s="22"/>
      <c r="I32" s="22"/>
      <c r="J32" s="22"/>
    </row>
    <row r="34" spans="1:10" ht="30" customHeight="1">
      <c r="A34" s="11" t="s">
        <v>56</v>
      </c>
      <c r="B34" s="12" t="s">
        <v>57</v>
      </c>
      <c r="C34" s="12"/>
      <c r="D34" s="12"/>
      <c r="E34" s="12"/>
      <c r="F34" s="12"/>
      <c r="G34" s="12"/>
      <c r="H34" s="12"/>
      <c r="I34" s="12"/>
      <c r="J34" s="12"/>
    </row>
    <row r="35" spans="1:10" ht="21.75" customHeight="1">
      <c r="A35" s="11" t="s">
        <v>58</v>
      </c>
      <c r="B35" s="23" t="s">
        <v>59</v>
      </c>
      <c r="C35" s="23"/>
      <c r="D35" s="23"/>
      <c r="E35" s="23"/>
      <c r="F35" s="23"/>
      <c r="G35" s="23"/>
      <c r="H35" s="23"/>
      <c r="I35" s="23"/>
      <c r="J35" s="23"/>
    </row>
    <row r="36" spans="1:10" ht="21.75" customHeight="1">
      <c r="A36" s="11" t="s">
        <v>60</v>
      </c>
      <c r="B36" s="23" t="s">
        <v>61</v>
      </c>
      <c r="C36" s="23"/>
      <c r="D36" s="23"/>
      <c r="E36" s="23"/>
      <c r="F36" s="23"/>
      <c r="G36" s="23"/>
      <c r="H36" s="23"/>
      <c r="I36" s="23"/>
      <c r="J36" s="23"/>
    </row>
    <row r="37" spans="1:10" ht="21.75" customHeight="1">
      <c r="A37" s="11" t="s">
        <v>62</v>
      </c>
      <c r="B37" s="23" t="s">
        <v>63</v>
      </c>
      <c r="C37" s="23"/>
      <c r="D37" s="23"/>
      <c r="E37" s="23"/>
      <c r="F37" s="23"/>
      <c r="G37" s="23"/>
      <c r="H37" s="23"/>
      <c r="I37" s="23"/>
      <c r="J37" s="23"/>
    </row>
    <row r="38" spans="1:10" ht="21.75" customHeight="1">
      <c r="A38" s="11" t="s">
        <v>64</v>
      </c>
      <c r="B38" s="23" t="s">
        <v>65</v>
      </c>
      <c r="C38" s="23"/>
      <c r="D38" s="23"/>
      <c r="E38" s="23"/>
      <c r="F38" s="23"/>
      <c r="G38" s="23"/>
      <c r="H38" s="23"/>
      <c r="I38" s="23"/>
      <c r="J38" s="23"/>
    </row>
    <row r="39" spans="1:10" ht="21.75" customHeight="1">
      <c r="A39" s="11" t="s">
        <v>66</v>
      </c>
      <c r="B39" s="23" t="s">
        <v>67</v>
      </c>
      <c r="C39" s="23"/>
      <c r="D39" s="23"/>
      <c r="E39" s="23"/>
      <c r="F39" s="23"/>
      <c r="G39" s="23"/>
      <c r="H39" s="23"/>
      <c r="I39" s="23"/>
      <c r="J39" s="23"/>
    </row>
    <row r="40" spans="1:10" ht="21.75" customHeight="1">
      <c r="A40" s="11" t="s">
        <v>68</v>
      </c>
      <c r="B40" s="23" t="s">
        <v>69</v>
      </c>
      <c r="C40" s="23"/>
      <c r="D40" s="23"/>
      <c r="E40" s="23"/>
      <c r="F40" s="23"/>
      <c r="G40" s="23"/>
      <c r="H40" s="23"/>
      <c r="I40" s="23"/>
      <c r="J40" s="23"/>
    </row>
    <row r="41" spans="1:10" ht="21.75" customHeight="1">
      <c r="A41" s="11" t="s">
        <v>70</v>
      </c>
      <c r="B41" s="23" t="s">
        <v>71</v>
      </c>
      <c r="C41" s="23"/>
      <c r="D41" s="23"/>
      <c r="E41" s="23"/>
      <c r="F41" s="23"/>
      <c r="G41" s="23"/>
      <c r="H41" s="23"/>
      <c r="I41" s="23"/>
      <c r="J41" s="23"/>
    </row>
    <row r="42" spans="1:10" ht="21.75" customHeight="1">
      <c r="A42" s="11" t="s">
        <v>72</v>
      </c>
      <c r="B42" s="23" t="s">
        <v>73</v>
      </c>
      <c r="C42" s="23"/>
      <c r="D42" s="23"/>
      <c r="E42" s="23"/>
      <c r="F42" s="23"/>
      <c r="G42" s="23"/>
      <c r="H42" s="23"/>
      <c r="I42" s="23"/>
      <c r="J42" s="23"/>
    </row>
    <row r="44" spans="1:10" ht="27.75" customHeight="1">
      <c r="A44" s="24" t="s">
        <v>74</v>
      </c>
      <c r="B44" s="24"/>
      <c r="C44" s="24"/>
      <c r="D44" s="24"/>
      <c r="E44" s="24"/>
      <c r="F44" s="24"/>
      <c r="G44" s="24"/>
      <c r="H44" s="24"/>
      <c r="I44" s="24"/>
      <c r="J44" s="24"/>
    </row>
  </sheetData>
  <mergeCells count="64">
    <mergeCell ref="A1:F1"/>
    <mergeCell ref="G1:J1"/>
    <mergeCell ref="A2:J2"/>
    <mergeCell ref="A3:J3"/>
    <mergeCell ref="A5:B5"/>
    <mergeCell ref="A6:B6"/>
    <mergeCell ref="C5:D5"/>
    <mergeCell ref="C6:D6"/>
    <mergeCell ref="E5:F5"/>
    <mergeCell ref="E6:F6"/>
    <mergeCell ref="G5:H5"/>
    <mergeCell ref="G6:H6"/>
    <mergeCell ref="I5:J5"/>
    <mergeCell ref="I6:J6"/>
    <mergeCell ref="B8:J8"/>
    <mergeCell ref="A10:B10"/>
    <mergeCell ref="A11:B11"/>
    <mergeCell ref="A12:B12"/>
    <mergeCell ref="C10:D10"/>
    <mergeCell ref="C11:D11"/>
    <mergeCell ref="C12:D12"/>
    <mergeCell ref="E10:F10"/>
    <mergeCell ref="E11:F11"/>
    <mergeCell ref="E12:F12"/>
    <mergeCell ref="G10:H10"/>
    <mergeCell ref="G11:H11"/>
    <mergeCell ref="G12:H12"/>
    <mergeCell ref="A13:B13"/>
    <mergeCell ref="A14:B14"/>
    <mergeCell ref="A15:B15"/>
    <mergeCell ref="C13:D13"/>
    <mergeCell ref="C14:D14"/>
    <mergeCell ref="C15:D15"/>
    <mergeCell ref="E13:F13"/>
    <mergeCell ref="E14:F14"/>
    <mergeCell ref="E15:F15"/>
    <mergeCell ref="G13:H13"/>
    <mergeCell ref="G14:H14"/>
    <mergeCell ref="G15:H15"/>
    <mergeCell ref="B23:J23"/>
    <mergeCell ref="B24:B25"/>
    <mergeCell ref="D24:D25"/>
    <mergeCell ref="A27:C27"/>
    <mergeCell ref="D27:J27"/>
    <mergeCell ref="A28:C28"/>
    <mergeCell ref="D28:J28"/>
    <mergeCell ref="A29:C29"/>
    <mergeCell ref="D29:J29"/>
    <mergeCell ref="A30:C30"/>
    <mergeCell ref="D30:J30"/>
    <mergeCell ref="A31:C31"/>
    <mergeCell ref="D31:J31"/>
    <mergeCell ref="A32:C32"/>
    <mergeCell ref="D32:J32"/>
    <mergeCell ref="B34:J34"/>
    <mergeCell ref="B35:J35"/>
    <mergeCell ref="B36:J36"/>
    <mergeCell ref="B37:J37"/>
    <mergeCell ref="B38:J38"/>
    <mergeCell ref="B39:J39"/>
    <mergeCell ref="B40:J40"/>
    <mergeCell ref="B41:J41"/>
    <mergeCell ref="B42:J42"/>
    <mergeCell ref="A44:J44"/>
  </mergeCells>
  <hyperlinks>
    <hyperlink ref="A10" r:id="rId1"/>
    <hyperlink ref="C10" r:id="rId2"/>
    <hyperlink ref="E10" r:id="rId3"/>
    <hyperlink ref="G10" r:id="rId4"/>
    <hyperlink ref="A13" r:id="rId5"/>
    <hyperlink ref="C13" r:id="rId6"/>
    <hyperlink ref="E13" r:id="rId7"/>
    <hyperlink ref="G13" r:id="rId8"/>
    <hyperlink ref="A44" location="Help!A20" display="راهنمای کامل سامانه — روی این نوار کلیک کنید"/>
  </hyperlinks>
  <printOptions horizontalCentered="1"/>
  <pageMargins left="0.3" right="0.3" top="0.45" bottom="0.5" header="0.3" footer="0.3"/>
  <pageSetup paperSize="9" fitToHeight="0" orientation="landscape"/>
  <headerFooter>
    <oddHeader>&amp;Lمازندشت&amp;RMAZANDASHT · CITRUS</oddHeader>
    <oddFooter>&amp;Lمازندشت — سورتینگ و بسته‌بندی مرکبات&amp;Cصفحه &amp;P از &amp;N&amp;RMAZANDASHT · 1405</oddFooter>
  </headerFooter>
  <drawing r:id="rId9"/>
</worksheet>
</file>

<file path=xl/worksheets/sheet2.xml><?xml version="1.0" encoding="utf-8"?>
<worksheet xmlns="http://schemas.openxmlformats.org/spreadsheetml/2006/main" xmlns:r="http://schemas.openxmlformats.org/officeDocument/2006/relationships">
  <sheetPr>
    <tabColor rgb="FF7FA99B"/>
    <pageSetUpPr fitToPage="1"/>
  </sheetPr>
  <dimension ref="A1:J24"/>
  <sheetViews>
    <sheetView showGridLines="0" rightToLeft="1" zoomScale="88" zoomScaleNormal="88" workbookViewId="0">
      <pane ySplit="9" topLeftCell="A10" activePane="bottomLeft" state="frozen"/>
      <selection pane="bottomLeft"/>
    </sheetView>
  </sheetViews>
  <sheetFormatPr defaultRowHeight="15"/>
  <cols>
    <col min="1" max="1" width="18.7109375" customWidth="1"/>
    <col min="2" max="2" width="12.7109375" customWidth="1"/>
    <col min="3" max="10" width="16.7109375" customWidth="1"/>
  </cols>
  <sheetData>
    <row r="1" spans="1:10" ht="18" customHeight="1">
      <c r="A1" s="1" t="s">
        <v>0</v>
      </c>
      <c r="B1" s="1"/>
      <c r="C1" s="1"/>
      <c r="D1" s="1"/>
      <c r="E1" s="1"/>
      <c r="F1" s="1"/>
      <c r="G1" s="2" t="s">
        <v>1</v>
      </c>
      <c r="H1" s="2"/>
      <c r="I1" s="2"/>
      <c r="J1" s="2"/>
    </row>
    <row r="2" spans="1:10" ht="30" customHeight="1">
      <c r="A2" s="3" t="s">
        <v>75</v>
      </c>
      <c r="B2" s="3"/>
      <c r="C2" s="3"/>
      <c r="D2" s="3"/>
      <c r="E2" s="3"/>
      <c r="F2" s="3"/>
      <c r="G2" s="3"/>
      <c r="H2" s="3"/>
      <c r="I2" s="3"/>
      <c r="J2" s="3"/>
    </row>
    <row r="3" spans="1:10" ht="20.25" customHeight="1">
      <c r="A3" s="4" t="s">
        <v>76</v>
      </c>
      <c r="B3" s="4"/>
      <c r="C3" s="4"/>
      <c r="D3" s="4"/>
      <c r="E3" s="4"/>
      <c r="F3" s="4"/>
      <c r="G3" s="4"/>
      <c r="H3" s="4"/>
      <c r="I3" s="4"/>
      <c r="J3" s="4"/>
    </row>
    <row r="4" spans="1:10" ht="8.25" customHeight="1"/>
    <row r="5" spans="1:10" ht="30" customHeight="1">
      <c r="A5" s="11" t="s">
        <v>9</v>
      </c>
      <c r="B5" s="12" t="s">
        <v>77</v>
      </c>
      <c r="C5" s="12"/>
      <c r="D5" s="12"/>
      <c r="E5" s="12"/>
      <c r="F5" s="12"/>
      <c r="G5" s="12"/>
      <c r="H5" s="12"/>
      <c r="I5" s="12"/>
      <c r="J5" s="12"/>
    </row>
    <row r="7" spans="1:10" ht="26.25" customHeight="1">
      <c r="A7" s="25" t="s">
        <v>78</v>
      </c>
      <c r="B7" s="25"/>
      <c r="C7" s="26" t="s">
        <v>79</v>
      </c>
      <c r="D7" s="26"/>
      <c r="E7" s="26"/>
      <c r="F7" s="26"/>
      <c r="G7" s="26"/>
      <c r="H7" s="27" t="s">
        <v>80</v>
      </c>
      <c r="I7" s="27"/>
      <c r="J7" s="27"/>
    </row>
    <row r="8" spans="1:10" ht="26.25" customHeight="1">
      <c r="A8" s="25" t="s">
        <v>81</v>
      </c>
      <c r="B8" s="25"/>
      <c r="C8" s="26" t="s">
        <v>82</v>
      </c>
      <c r="D8" s="26"/>
      <c r="E8" s="26"/>
      <c r="F8" s="26"/>
      <c r="G8" s="26"/>
      <c r="H8" s="27" t="s">
        <v>83</v>
      </c>
      <c r="I8" s="27"/>
      <c r="J8" s="27"/>
    </row>
    <row r="9" spans="1:10" ht="26.25" customHeight="1">
      <c r="A9" s="25" t="s">
        <v>84</v>
      </c>
      <c r="B9" s="25"/>
      <c r="C9" s="26" t="s">
        <v>85</v>
      </c>
      <c r="D9" s="26"/>
      <c r="E9" s="26"/>
      <c r="F9" s="26"/>
      <c r="G9" s="26"/>
      <c r="H9" s="27"/>
      <c r="I9" s="27"/>
      <c r="J9" s="27"/>
    </row>
    <row r="10" spans="1:10" ht="26.25" customHeight="1">
      <c r="A10" s="25" t="s">
        <v>86</v>
      </c>
      <c r="B10" s="25"/>
      <c r="C10" s="26" t="s">
        <v>87</v>
      </c>
      <c r="D10" s="26"/>
      <c r="E10" s="26"/>
      <c r="F10" s="26"/>
      <c r="G10" s="26"/>
      <c r="H10" s="27"/>
      <c r="I10" s="27"/>
      <c r="J10" s="27"/>
    </row>
    <row r="11" spans="1:10" ht="26.25" customHeight="1">
      <c r="A11" s="25" t="s">
        <v>88</v>
      </c>
      <c r="B11" s="25"/>
      <c r="C11" s="26" t="s">
        <v>89</v>
      </c>
      <c r="D11" s="26"/>
      <c r="E11" s="26"/>
      <c r="F11" s="26"/>
      <c r="G11" s="26"/>
      <c r="H11" s="27"/>
      <c r="I11" s="27"/>
      <c r="J11" s="27"/>
    </row>
    <row r="12" spans="1:10" ht="26.25" customHeight="1">
      <c r="A12" s="25" t="s">
        <v>90</v>
      </c>
      <c r="B12" s="25"/>
      <c r="C12" s="26" t="s">
        <v>91</v>
      </c>
      <c r="D12" s="26"/>
      <c r="E12" s="26"/>
      <c r="F12" s="26"/>
      <c r="G12" s="26"/>
      <c r="H12" s="27"/>
      <c r="I12" s="27"/>
      <c r="J12" s="27"/>
    </row>
    <row r="13" spans="1:10" ht="26.25" customHeight="1">
      <c r="A13" s="25" t="s">
        <v>92</v>
      </c>
      <c r="B13" s="25"/>
      <c r="C13" s="26" t="s">
        <v>93</v>
      </c>
      <c r="D13" s="26"/>
      <c r="E13" s="26"/>
      <c r="F13" s="26"/>
      <c r="G13" s="26"/>
      <c r="H13" s="27"/>
      <c r="I13" s="27"/>
      <c r="J13" s="27"/>
    </row>
    <row r="14" spans="1:10" ht="26.25" customHeight="1">
      <c r="A14" s="25" t="s">
        <v>94</v>
      </c>
      <c r="B14" s="25"/>
      <c r="C14" s="26" t="s">
        <v>95</v>
      </c>
      <c r="D14" s="26"/>
      <c r="E14" s="26"/>
      <c r="F14" s="26"/>
      <c r="G14" s="26"/>
      <c r="H14" s="27" t="s">
        <v>96</v>
      </c>
      <c r="I14" s="27"/>
      <c r="J14" s="27"/>
    </row>
    <row r="15" spans="1:10" ht="26.25" customHeight="1">
      <c r="A15" s="25" t="s">
        <v>97</v>
      </c>
      <c r="B15" s="25"/>
      <c r="C15" s="26" t="s">
        <v>98</v>
      </c>
      <c r="D15" s="26"/>
      <c r="E15" s="26"/>
      <c r="F15" s="26"/>
      <c r="G15" s="26"/>
      <c r="H15" s="27" t="s">
        <v>99</v>
      </c>
      <c r="I15" s="27"/>
      <c r="J15" s="27"/>
    </row>
    <row r="16" spans="1:10" ht="26.25" customHeight="1">
      <c r="A16" s="25" t="s">
        <v>100</v>
      </c>
      <c r="B16" s="25"/>
      <c r="C16" s="26" t="s">
        <v>101</v>
      </c>
      <c r="D16" s="26"/>
      <c r="E16" s="26"/>
      <c r="F16" s="26"/>
      <c r="G16" s="26"/>
      <c r="H16" s="27" t="s">
        <v>102</v>
      </c>
      <c r="I16" s="27"/>
      <c r="J16" s="27"/>
    </row>
    <row r="17" spans="1:10" ht="26.25" customHeight="1">
      <c r="A17" s="25" t="s">
        <v>103</v>
      </c>
      <c r="B17" s="25"/>
      <c r="C17" s="26" t="s">
        <v>104</v>
      </c>
      <c r="D17" s="26"/>
      <c r="E17" s="26"/>
      <c r="F17" s="26"/>
      <c r="G17" s="26"/>
      <c r="H17" s="27"/>
      <c r="I17" s="27"/>
      <c r="J17" s="27"/>
    </row>
    <row r="19" spans="1:10" ht="30" customHeight="1">
      <c r="A19" s="11" t="s">
        <v>35</v>
      </c>
      <c r="B19" s="12" t="s">
        <v>105</v>
      </c>
      <c r="C19" s="12"/>
      <c r="D19" s="12"/>
      <c r="E19" s="12"/>
      <c r="F19" s="12"/>
      <c r="G19" s="12"/>
      <c r="H19" s="12"/>
      <c r="I19" s="12"/>
      <c r="J19" s="12"/>
    </row>
    <row r="20" spans="1:10">
      <c r="A20" s="28" t="s">
        <v>106</v>
      </c>
      <c r="B20" s="28"/>
      <c r="C20" s="28"/>
      <c r="D20" s="29" t="s">
        <v>107</v>
      </c>
      <c r="E20" s="29"/>
      <c r="F20" s="29"/>
      <c r="G20" s="29"/>
      <c r="H20" s="29"/>
      <c r="I20" s="29"/>
      <c r="J20" s="29"/>
    </row>
    <row r="21" spans="1:10">
      <c r="A21" s="28"/>
      <c r="B21" s="28"/>
      <c r="C21" s="28"/>
      <c r="D21" s="29"/>
      <c r="E21" s="29"/>
      <c r="F21" s="29"/>
      <c r="G21" s="29"/>
      <c r="H21" s="29"/>
      <c r="I21" s="29"/>
      <c r="J21" s="29"/>
    </row>
    <row r="22" spans="1:10">
      <c r="A22" s="28"/>
      <c r="B22" s="28"/>
      <c r="C22" s="28"/>
      <c r="D22" s="29"/>
      <c r="E22" s="29"/>
      <c r="F22" s="29"/>
      <c r="G22" s="29"/>
      <c r="H22" s="29"/>
      <c r="I22" s="29"/>
      <c r="J22" s="29"/>
    </row>
    <row r="23" spans="1:10">
      <c r="A23" s="28"/>
      <c r="B23" s="28"/>
      <c r="C23" s="28"/>
      <c r="D23" s="29"/>
      <c r="E23" s="29"/>
      <c r="F23" s="29"/>
      <c r="G23" s="29"/>
      <c r="H23" s="29"/>
      <c r="I23" s="29"/>
      <c r="J23" s="29"/>
    </row>
    <row r="24" spans="1:10">
      <c r="A24" s="28"/>
      <c r="B24" s="28"/>
      <c r="C24" s="28"/>
      <c r="D24" s="29"/>
      <c r="E24" s="29"/>
      <c r="F24" s="29"/>
      <c r="G24" s="29"/>
      <c r="H24" s="29"/>
      <c r="I24" s="29"/>
      <c r="J24" s="29"/>
    </row>
  </sheetData>
  <mergeCells count="41">
    <mergeCell ref="A1:F1"/>
    <mergeCell ref="G1:J1"/>
    <mergeCell ref="A2:J2"/>
    <mergeCell ref="A3:J3"/>
    <mergeCell ref="B5:J5"/>
    <mergeCell ref="A7:B7"/>
    <mergeCell ref="C7:G7"/>
    <mergeCell ref="H7:J7"/>
    <mergeCell ref="A8:B8"/>
    <mergeCell ref="C8:G8"/>
    <mergeCell ref="H8:J8"/>
    <mergeCell ref="A9:B9"/>
    <mergeCell ref="C9:G9"/>
    <mergeCell ref="H9:J9"/>
    <mergeCell ref="A10:B10"/>
    <mergeCell ref="C10:G10"/>
    <mergeCell ref="H10:J10"/>
    <mergeCell ref="A11:B11"/>
    <mergeCell ref="C11:G11"/>
    <mergeCell ref="H11:J11"/>
    <mergeCell ref="A12:B12"/>
    <mergeCell ref="C12:G12"/>
    <mergeCell ref="H12:J12"/>
    <mergeCell ref="A13:B13"/>
    <mergeCell ref="C13:G13"/>
    <mergeCell ref="H13:J13"/>
    <mergeCell ref="A14:B14"/>
    <mergeCell ref="C14:G14"/>
    <mergeCell ref="H14:J14"/>
    <mergeCell ref="A15:B15"/>
    <mergeCell ref="C15:G15"/>
    <mergeCell ref="H15:J15"/>
    <mergeCell ref="A16:B16"/>
    <mergeCell ref="C16:G16"/>
    <mergeCell ref="H16:J16"/>
    <mergeCell ref="A17:B17"/>
    <mergeCell ref="C17:G17"/>
    <mergeCell ref="H17:J17"/>
    <mergeCell ref="B19:J19"/>
    <mergeCell ref="A20:C24"/>
    <mergeCell ref="D20:J24"/>
  </mergeCells>
  <printOptions horizontalCentered="1"/>
  <pageMargins left="0.35" right="0.35" top="0.45" bottom="0.5" header="0.3" footer="0.3"/>
  <pageSetup paperSize="9" fitToHeight="0" orientation="portrait"/>
  <headerFooter>
    <oddHeader>&amp;Lمازندشت&amp;RMAZANDASHT · CITRUS</oddHeader>
    <oddFooter>&amp;Lمازندشت — سورتینگ و بسته‌بندی مرکبات&amp;Cصفحه &amp;P از &amp;N&amp;RMAZANDASHT · 1405</oddFooter>
  </headerFooter>
</worksheet>
</file>

<file path=xl/worksheets/sheet3.xml><?xml version="1.0" encoding="utf-8"?>
<worksheet xmlns="http://schemas.openxmlformats.org/spreadsheetml/2006/main" xmlns:r="http://schemas.openxmlformats.org/officeDocument/2006/relationships">
  <sheetPr>
    <tabColor rgb="FFC89B3C"/>
    <pageSetUpPr fitToPage="1"/>
  </sheetPr>
  <dimension ref="A1:E21"/>
  <sheetViews>
    <sheetView showGridLines="0" rightToLeft="1" zoomScale="88" zoomScaleNormal="88" workbookViewId="0">
      <pane xSplit="1" ySplit="9" topLeftCell="B10" activePane="bottomRight" state="frozen"/>
      <selection pane="topRight" activeCell="B1" sqref="B1"/>
      <selection pane="bottomLeft" activeCell="A10" sqref="A10"/>
      <selection pane="bottomRight"/>
    </sheetView>
  </sheetViews>
  <sheetFormatPr defaultRowHeight="15"/>
  <cols>
    <col min="1" max="1" width="8.7109375" customWidth="1"/>
    <col min="2" max="2" width="26.7109375" customWidth="1"/>
    <col min="3" max="3" width="16.7109375" customWidth="1"/>
    <col min="4" max="4" width="12.7109375" customWidth="1"/>
    <col min="5" max="5" width="56.7109375" customWidth="1"/>
  </cols>
  <sheetData>
    <row r="1" spans="1:5" ht="20.25" customHeight="1">
      <c r="A1" s="30" t="s">
        <v>0</v>
      </c>
      <c r="B1" s="31" t="s">
        <v>1</v>
      </c>
      <c r="C1" s="31"/>
      <c r="D1" s="31"/>
      <c r="E1" s="31"/>
    </row>
    <row r="2" spans="1:5" ht="38.25" customHeight="1">
      <c r="A2" s="32" t="s">
        <v>108</v>
      </c>
      <c r="B2" s="32"/>
      <c r="C2" s="32"/>
      <c r="D2" s="32"/>
      <c r="E2" s="32"/>
    </row>
    <row r="3" spans="1:5" ht="45.75" customHeight="1">
      <c r="A3" s="33" t="s">
        <v>109</v>
      </c>
      <c r="B3" s="33"/>
      <c r="C3" s="33"/>
      <c r="D3" s="33"/>
      <c r="E3" s="33"/>
    </row>
    <row r="4" spans="1:5" ht="24" customHeight="1">
      <c r="A4" s="34" t="s">
        <v>110</v>
      </c>
      <c r="B4" s="35" t="s">
        <v>111</v>
      </c>
      <c r="C4" s="36" t="s">
        <v>112</v>
      </c>
      <c r="D4" s="37" t="s">
        <v>113</v>
      </c>
      <c r="E4" s="38" t="s">
        <v>114</v>
      </c>
    </row>
    <row r="5" spans="1:5" ht="17.25" customHeight="1">
      <c r="A5" s="5" t="s">
        <v>94</v>
      </c>
      <c r="B5" s="5"/>
      <c r="C5" s="5" t="s">
        <v>115</v>
      </c>
      <c r="D5" s="5"/>
      <c r="E5" s="5" t="s">
        <v>116</v>
      </c>
    </row>
    <row r="6" spans="1:5" ht="33" customHeight="1">
      <c r="A6" s="39">
        <f>IFERROR(VLOOKUP("P04",$A$10:$E$21,3,0),"")</f>
        <v>0</v>
      </c>
      <c r="B6" s="39"/>
      <c r="C6" s="40">
        <f>IFERROR(VLOOKUP("P02",$A$10:$E$21,3,0),0)</f>
        <v>0</v>
      </c>
      <c r="D6" s="40"/>
      <c r="E6" s="41">
        <f>IFERROR(VLOOKUP("P01",$A$10:$E$21,3,0),0)</f>
        <v>0</v>
      </c>
    </row>
    <row r="7" spans="1:5" ht="6.75" customHeight="1"/>
    <row r="8" spans="1:5" ht="33.75" customHeight="1">
      <c r="A8" s="42" t="s">
        <v>117</v>
      </c>
      <c r="B8" s="42" t="s">
        <v>119</v>
      </c>
      <c r="C8" s="42" t="s">
        <v>121</v>
      </c>
      <c r="D8" s="42" t="s">
        <v>123</v>
      </c>
      <c r="E8" s="42" t="s">
        <v>125</v>
      </c>
    </row>
    <row r="9" spans="1:5">
      <c r="A9" s="43" t="s">
        <v>118</v>
      </c>
      <c r="B9" s="43" t="s">
        <v>120</v>
      </c>
      <c r="C9" s="43" t="s">
        <v>122</v>
      </c>
      <c r="D9" s="43" t="s">
        <v>124</v>
      </c>
      <c r="E9" s="43" t="s">
        <v>126</v>
      </c>
    </row>
    <row r="10" spans="1:5" ht="24" customHeight="1">
      <c r="A10" s="44" t="s">
        <v>127</v>
      </c>
      <c r="B10" s="45" t="s">
        <v>116</v>
      </c>
      <c r="C10" s="46">
        <v>1.5</v>
      </c>
      <c r="D10" s="47" t="s">
        <v>128</v>
      </c>
      <c r="E10" s="48" t="s">
        <v>129</v>
      </c>
    </row>
    <row r="11" spans="1:5" ht="24" customHeight="1">
      <c r="A11" s="44" t="s">
        <v>130</v>
      </c>
      <c r="B11" s="45" t="s">
        <v>115</v>
      </c>
      <c r="C11" s="46">
        <v>1</v>
      </c>
      <c r="D11" s="47" t="s">
        <v>131</v>
      </c>
      <c r="E11" s="48" t="s">
        <v>132</v>
      </c>
    </row>
    <row r="12" spans="1:5" ht="24" customHeight="1">
      <c r="A12" s="44" t="s">
        <v>133</v>
      </c>
      <c r="B12" s="45" t="s">
        <v>134</v>
      </c>
      <c r="C12" s="46">
        <v>1000</v>
      </c>
      <c r="D12" s="47" t="s">
        <v>101</v>
      </c>
      <c r="E12" s="48" t="s">
        <v>135</v>
      </c>
    </row>
    <row r="13" spans="1:5" ht="24" customHeight="1">
      <c r="A13" s="44" t="s">
        <v>136</v>
      </c>
      <c r="B13" s="45" t="s">
        <v>94</v>
      </c>
      <c r="C13" s="49" t="s">
        <v>95</v>
      </c>
      <c r="D13" s="47" t="s">
        <v>137</v>
      </c>
      <c r="E13" s="48" t="s">
        <v>96</v>
      </c>
    </row>
    <row r="14" spans="1:5" ht="24" customHeight="1">
      <c r="A14" s="44" t="s">
        <v>138</v>
      </c>
      <c r="B14" s="45" t="s">
        <v>139</v>
      </c>
      <c r="C14" s="46">
        <v>100</v>
      </c>
      <c r="D14" s="47" t="s">
        <v>140</v>
      </c>
      <c r="E14" s="48" t="s">
        <v>141</v>
      </c>
    </row>
    <row r="15" spans="1:5" ht="24" customHeight="1">
      <c r="A15" s="44" t="s">
        <v>142</v>
      </c>
      <c r="B15" s="45" t="s">
        <v>143</v>
      </c>
      <c r="C15" s="46">
        <v>0</v>
      </c>
      <c r="D15" s="47" t="s">
        <v>131</v>
      </c>
      <c r="E15" s="48" t="s">
        <v>144</v>
      </c>
    </row>
    <row r="16" spans="1:5" ht="24" customHeight="1">
      <c r="A16" s="44" t="s">
        <v>145</v>
      </c>
      <c r="B16" s="45" t="s">
        <v>146</v>
      </c>
      <c r="C16" s="49" t="s">
        <v>147</v>
      </c>
      <c r="D16" s="47" t="s">
        <v>148</v>
      </c>
      <c r="E16" s="48"/>
    </row>
    <row r="17" spans="1:5" ht="24" customHeight="1">
      <c r="A17" s="44" t="s">
        <v>149</v>
      </c>
      <c r="B17" s="45" t="s">
        <v>150</v>
      </c>
      <c r="C17" s="49" t="s">
        <v>151</v>
      </c>
      <c r="D17" s="47" t="s">
        <v>148</v>
      </c>
      <c r="E17" s="48"/>
    </row>
    <row r="18" spans="1:5" ht="24" customHeight="1">
      <c r="A18" s="44" t="s">
        <v>152</v>
      </c>
      <c r="B18" s="45" t="s">
        <v>153</v>
      </c>
      <c r="C18" s="46">
        <v>500000000</v>
      </c>
      <c r="D18" s="47" t="s">
        <v>101</v>
      </c>
      <c r="E18" s="48" t="s">
        <v>154</v>
      </c>
    </row>
    <row r="19" spans="1:5" ht="24" customHeight="1">
      <c r="A19" s="44" t="s">
        <v>155</v>
      </c>
      <c r="B19" s="45" t="s">
        <v>156</v>
      </c>
      <c r="C19" s="46">
        <v>30</v>
      </c>
      <c r="D19" s="47" t="s">
        <v>157</v>
      </c>
      <c r="E19" s="48"/>
    </row>
    <row r="20" spans="1:5" ht="24" customHeight="1">
      <c r="A20" s="44" t="s">
        <v>158</v>
      </c>
      <c r="B20" s="45" t="s">
        <v>100</v>
      </c>
      <c r="C20" s="49" t="s">
        <v>101</v>
      </c>
      <c r="D20" s="47" t="s">
        <v>148</v>
      </c>
      <c r="E20" s="48"/>
    </row>
    <row r="21" spans="1:5" ht="24" customHeight="1">
      <c r="A21" s="44" t="s">
        <v>159</v>
      </c>
      <c r="B21" s="45" t="s">
        <v>160</v>
      </c>
      <c r="C21" s="49" t="s">
        <v>161</v>
      </c>
      <c r="D21" s="47" t="s">
        <v>162</v>
      </c>
      <c r="E21" s="48"/>
    </row>
  </sheetData>
  <autoFilter ref="A8:E21"/>
  <mergeCells count="7">
    <mergeCell ref="B1:E1"/>
    <mergeCell ref="A2:E2"/>
    <mergeCell ref="A3:E3"/>
    <mergeCell ref="A5:B5"/>
    <mergeCell ref="A6:B6"/>
    <mergeCell ref="C5:D5"/>
    <mergeCell ref="C6:D6"/>
  </mergeCells>
  <printOptions horizontalCentered="1"/>
  <pageMargins left="0.28" right="0.28" top="0.45" bottom="0.5" header="0.3" footer="0.3"/>
  <pageSetup paperSize="8" fitToHeight="0" orientation="landscape"/>
  <headerFooter>
    <oddHeader>&amp;Lمازندشت&amp;RMAZANDASHT · CITRUS</oddHeader>
    <oddFooter>&amp;Lمازندشت — سورتینگ و بسته‌بندی مرکبات&amp;Cصفحه &amp;P از &amp;N&amp;RMAZANDASHT · 1405</oddFooter>
  </headerFooter>
  <legacyDrawing r:id="rId1"/>
</worksheet>
</file>

<file path=xl/worksheets/sheet4.xml><?xml version="1.0" encoding="utf-8"?>
<worksheet xmlns="http://schemas.openxmlformats.org/spreadsheetml/2006/main" xmlns:r="http://schemas.openxmlformats.org/officeDocument/2006/relationships">
  <sheetPr>
    <tabColor rgb="FF7FA99B"/>
    <pageSetUpPr fitToPage="1"/>
  </sheetPr>
  <dimension ref="A1:J51"/>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1" width="18.7109375" customWidth="1"/>
    <col min="2" max="2" width="26.7109375" customWidth="1"/>
    <col min="3" max="3" width="10.7109375" customWidth="1"/>
    <col min="4" max="4" width="16.7109375" customWidth="1"/>
    <col min="5" max="5" width="12.7109375" customWidth="1"/>
    <col min="6" max="6" width="34.7109375" customWidth="1"/>
  </cols>
  <sheetData>
    <row r="1" spans="1:10" ht="20.25" customHeight="1">
      <c r="A1" s="30" t="s">
        <v>0</v>
      </c>
      <c r="B1" s="30"/>
      <c r="C1" s="30"/>
      <c r="D1" s="30"/>
      <c r="E1" s="30"/>
      <c r="F1" s="31" t="s">
        <v>1</v>
      </c>
      <c r="G1" s="31"/>
      <c r="H1" s="31"/>
      <c r="I1" s="31"/>
      <c r="J1" s="31"/>
    </row>
    <row r="2" spans="1:10" ht="38.25" customHeight="1">
      <c r="A2" s="32" t="s">
        <v>163</v>
      </c>
      <c r="B2" s="32"/>
      <c r="C2" s="32"/>
      <c r="D2" s="32"/>
      <c r="E2" s="32"/>
      <c r="F2" s="32"/>
      <c r="G2" s="32"/>
      <c r="H2" s="32"/>
      <c r="I2" s="32"/>
      <c r="J2" s="32"/>
    </row>
    <row r="3" spans="1:10" ht="45.75" customHeight="1">
      <c r="A3" s="33" t="s">
        <v>164</v>
      </c>
      <c r="B3" s="33"/>
      <c r="C3" s="33"/>
      <c r="D3" s="33"/>
      <c r="E3" s="33"/>
      <c r="F3" s="33"/>
      <c r="G3" s="33"/>
      <c r="H3" s="33"/>
      <c r="I3" s="33"/>
      <c r="J3" s="33"/>
    </row>
    <row r="4" spans="1:10" ht="24" customHeight="1">
      <c r="A4" s="34" t="s">
        <v>110</v>
      </c>
      <c r="B4" s="35" t="s">
        <v>111</v>
      </c>
      <c r="C4" s="36" t="s">
        <v>112</v>
      </c>
      <c r="D4" s="37" t="s">
        <v>113</v>
      </c>
      <c r="E4" s="38" t="s">
        <v>114</v>
      </c>
      <c r="F4" s="50" t="s">
        <v>165</v>
      </c>
      <c r="G4" s="51" t="s">
        <v>166</v>
      </c>
      <c r="H4" s="51"/>
      <c r="I4" s="51"/>
      <c r="J4" s="51"/>
    </row>
    <row r="5" spans="1:10" ht="17.25" customHeight="1">
      <c r="A5" s="5" t="s">
        <v>167</v>
      </c>
      <c r="B5" s="5"/>
      <c r="C5" s="5"/>
      <c r="D5" s="5" t="s">
        <v>168</v>
      </c>
      <c r="E5" s="5"/>
      <c r="F5" s="5"/>
      <c r="G5" s="5" t="s">
        <v>169</v>
      </c>
      <c r="H5" s="5"/>
      <c r="I5" s="5"/>
      <c r="J5" s="5" t="s">
        <v>170</v>
      </c>
    </row>
    <row r="6" spans="1:10" ht="33" customHeight="1">
      <c r="A6" s="52">
        <v>10</v>
      </c>
      <c r="B6" s="52"/>
      <c r="C6" s="52"/>
      <c r="D6" s="53">
        <f>COUNTIF($B$10:$B$52,"?*")</f>
        <v>0</v>
      </c>
      <c r="E6" s="53"/>
      <c r="F6" s="53"/>
      <c r="G6" s="54">
        <f>COUNTIF($B$10:$B$52,"سردرختی")+COUNTIF($B$10:$B$52,"انباری")</f>
        <v>0</v>
      </c>
      <c r="H6" s="54"/>
      <c r="I6" s="54"/>
      <c r="J6" s="55">
        <f>SUMPRODUCT(1/COUNTIF($D$10:$D$52,$D$10:$D$52))</f>
        <v>0</v>
      </c>
    </row>
    <row r="7" spans="1:10" ht="6.75" customHeight="1"/>
    <row r="8" spans="1:10" ht="33.75" customHeight="1">
      <c r="A8" s="42" t="s">
        <v>171</v>
      </c>
      <c r="B8" s="42" t="s">
        <v>173</v>
      </c>
      <c r="C8" s="42" t="s">
        <v>175</v>
      </c>
      <c r="D8" s="42" t="s">
        <v>177</v>
      </c>
      <c r="E8" s="42" t="s">
        <v>179</v>
      </c>
      <c r="F8" s="42" t="s">
        <v>125</v>
      </c>
      <c r="H8" s="56" t="s">
        <v>264</v>
      </c>
      <c r="I8" s="56"/>
    </row>
    <row r="9" spans="1:10">
      <c r="A9" s="43" t="s">
        <v>172</v>
      </c>
      <c r="B9" s="43" t="s">
        <v>174</v>
      </c>
      <c r="C9" s="43" t="s">
        <v>176</v>
      </c>
      <c r="D9" s="43" t="s">
        <v>178</v>
      </c>
      <c r="E9" s="43" t="s">
        <v>180</v>
      </c>
      <c r="F9" s="43" t="s">
        <v>126</v>
      </c>
    </row>
    <row r="10" spans="1:10" ht="21.75" customHeight="1">
      <c r="A10" s="57" t="s">
        <v>181</v>
      </c>
      <c r="B10" s="45" t="s">
        <v>182</v>
      </c>
      <c r="C10" s="58" t="s">
        <v>183</v>
      </c>
      <c r="D10" s="59" t="s">
        <v>184</v>
      </c>
      <c r="E10" s="59" t="s">
        <v>185</v>
      </c>
      <c r="F10" s="60" t="s">
        <v>186</v>
      </c>
      <c r="H10" s="61" t="s">
        <v>181</v>
      </c>
      <c r="I10" s="61"/>
    </row>
    <row r="11" spans="1:10" ht="21.75" customHeight="1">
      <c r="A11" s="57" t="s">
        <v>181</v>
      </c>
      <c r="B11" s="45" t="s">
        <v>187</v>
      </c>
      <c r="C11" s="58" t="s">
        <v>183</v>
      </c>
      <c r="D11" s="59" t="s">
        <v>184</v>
      </c>
      <c r="E11" s="59" t="s">
        <v>185</v>
      </c>
      <c r="F11" s="60" t="s">
        <v>188</v>
      </c>
      <c r="H11" s="61" t="s">
        <v>193</v>
      </c>
      <c r="I11" s="61"/>
    </row>
    <row r="12" spans="1:10" ht="21.75" customHeight="1">
      <c r="A12" s="57" t="s">
        <v>181</v>
      </c>
      <c r="B12" s="45" t="s">
        <v>189</v>
      </c>
      <c r="C12" s="58" t="s">
        <v>183</v>
      </c>
      <c r="D12" s="59" t="s">
        <v>184</v>
      </c>
      <c r="E12" s="59" t="s">
        <v>185</v>
      </c>
      <c r="F12" s="60"/>
      <c r="H12" s="61" t="s">
        <v>202</v>
      </c>
      <c r="I12" s="61"/>
    </row>
    <row r="13" spans="1:10" ht="21.75" customHeight="1">
      <c r="A13" s="57" t="s">
        <v>181</v>
      </c>
      <c r="B13" s="45" t="s">
        <v>190</v>
      </c>
      <c r="C13" s="58" t="s">
        <v>183</v>
      </c>
      <c r="D13" s="59" t="s">
        <v>184</v>
      </c>
      <c r="E13" s="59" t="s">
        <v>185</v>
      </c>
      <c r="F13" s="60"/>
      <c r="H13" s="61" t="s">
        <v>210</v>
      </c>
      <c r="I13" s="61"/>
    </row>
    <row r="14" spans="1:10" ht="21.75" customHeight="1">
      <c r="A14" s="57" t="s">
        <v>181</v>
      </c>
      <c r="B14" s="45" t="s">
        <v>191</v>
      </c>
      <c r="C14" s="58" t="s">
        <v>183</v>
      </c>
      <c r="D14" s="59" t="s">
        <v>184</v>
      </c>
      <c r="E14" s="59" t="s">
        <v>185</v>
      </c>
      <c r="F14" s="60"/>
      <c r="H14" s="61" t="s">
        <v>217</v>
      </c>
      <c r="I14" s="61"/>
    </row>
    <row r="15" spans="1:10" ht="21.75" customHeight="1">
      <c r="A15" s="57" t="s">
        <v>181</v>
      </c>
      <c r="B15" s="45" t="s">
        <v>192</v>
      </c>
      <c r="C15" s="58" t="s">
        <v>183</v>
      </c>
      <c r="D15" s="59" t="s">
        <v>184</v>
      </c>
      <c r="E15" s="59" t="s">
        <v>185</v>
      </c>
      <c r="F15" s="60"/>
      <c r="H15" s="61" t="s">
        <v>226</v>
      </c>
      <c r="I15" s="61"/>
    </row>
    <row r="16" spans="1:10" ht="21.75" customHeight="1">
      <c r="A16" s="57" t="s">
        <v>193</v>
      </c>
      <c r="B16" s="45" t="s">
        <v>194</v>
      </c>
      <c r="C16" s="58" t="s">
        <v>195</v>
      </c>
      <c r="D16" s="59" t="s">
        <v>196</v>
      </c>
      <c r="E16" s="59" t="s">
        <v>197</v>
      </c>
      <c r="F16" s="60" t="s">
        <v>198</v>
      </c>
      <c r="H16" s="61" t="s">
        <v>242</v>
      </c>
      <c r="I16" s="61"/>
    </row>
    <row r="17" spans="1:9" ht="21.75" customHeight="1">
      <c r="A17" s="57" t="s">
        <v>193</v>
      </c>
      <c r="B17" s="45" t="s">
        <v>199</v>
      </c>
      <c r="C17" s="58" t="s">
        <v>195</v>
      </c>
      <c r="D17" s="59" t="s">
        <v>196</v>
      </c>
      <c r="E17" s="59" t="s">
        <v>197</v>
      </c>
      <c r="F17" s="60"/>
      <c r="H17" s="61" t="s">
        <v>248</v>
      </c>
      <c r="I17" s="61"/>
    </row>
    <row r="18" spans="1:9" ht="21.75" customHeight="1">
      <c r="A18" s="57" t="s">
        <v>193</v>
      </c>
      <c r="B18" s="45" t="s">
        <v>191</v>
      </c>
      <c r="C18" s="58" t="s">
        <v>195</v>
      </c>
      <c r="D18" s="59" t="s">
        <v>196</v>
      </c>
      <c r="E18" s="59" t="s">
        <v>197</v>
      </c>
      <c r="F18" s="60"/>
      <c r="H18" s="61" t="s">
        <v>254</v>
      </c>
      <c r="I18" s="61"/>
    </row>
    <row r="19" spans="1:9" ht="21.75" customHeight="1">
      <c r="A19" s="57" t="s">
        <v>193</v>
      </c>
      <c r="B19" s="45" t="s">
        <v>200</v>
      </c>
      <c r="C19" s="58" t="s">
        <v>195</v>
      </c>
      <c r="D19" s="59" t="s">
        <v>196</v>
      </c>
      <c r="E19" s="59" t="s">
        <v>197</v>
      </c>
      <c r="F19" s="60"/>
      <c r="H19" s="61" t="s">
        <v>258</v>
      </c>
      <c r="I19" s="61"/>
    </row>
    <row r="20" spans="1:9" ht="21.75" customHeight="1">
      <c r="A20" s="57" t="s">
        <v>193</v>
      </c>
      <c r="B20" s="45" t="s">
        <v>201</v>
      </c>
      <c r="C20" s="58" t="s">
        <v>195</v>
      </c>
      <c r="D20" s="59" t="s">
        <v>196</v>
      </c>
      <c r="E20" s="59" t="s">
        <v>197</v>
      </c>
      <c r="F20" s="60"/>
      <c r="H20" s="61" t="s">
        <v>265</v>
      </c>
      <c r="I20" s="61"/>
    </row>
    <row r="21" spans="1:9" ht="21.75" customHeight="1">
      <c r="A21" s="57" t="s">
        <v>202</v>
      </c>
      <c r="B21" s="45" t="s">
        <v>203</v>
      </c>
      <c r="C21" s="58" t="s">
        <v>204</v>
      </c>
      <c r="D21" s="59" t="s">
        <v>205</v>
      </c>
      <c r="E21" s="59" t="s">
        <v>206</v>
      </c>
      <c r="F21" s="60"/>
    </row>
    <row r="22" spans="1:9" ht="21.75" customHeight="1">
      <c r="A22" s="57" t="s">
        <v>202</v>
      </c>
      <c r="B22" s="45" t="s">
        <v>207</v>
      </c>
      <c r="C22" s="58" t="s">
        <v>204</v>
      </c>
      <c r="D22" s="59" t="s">
        <v>205</v>
      </c>
      <c r="E22" s="59" t="s">
        <v>206</v>
      </c>
      <c r="F22" s="60"/>
    </row>
    <row r="23" spans="1:9" ht="21.75" customHeight="1">
      <c r="A23" s="57" t="s">
        <v>202</v>
      </c>
      <c r="B23" s="45" t="s">
        <v>208</v>
      </c>
      <c r="C23" s="58" t="s">
        <v>204</v>
      </c>
      <c r="D23" s="59" t="s">
        <v>205</v>
      </c>
      <c r="E23" s="59" t="s">
        <v>206</v>
      </c>
      <c r="F23" s="60"/>
    </row>
    <row r="24" spans="1:9" ht="21.75" customHeight="1">
      <c r="A24" s="57" t="s">
        <v>202</v>
      </c>
      <c r="B24" s="45" t="s">
        <v>209</v>
      </c>
      <c r="C24" s="58" t="s">
        <v>204</v>
      </c>
      <c r="D24" s="59" t="s">
        <v>205</v>
      </c>
      <c r="E24" s="59" t="s">
        <v>206</v>
      </c>
      <c r="F24" s="60"/>
    </row>
    <row r="25" spans="1:9" ht="21.75" customHeight="1">
      <c r="A25" s="57" t="s">
        <v>210</v>
      </c>
      <c r="B25" s="45" t="s">
        <v>211</v>
      </c>
      <c r="C25" s="58" t="s">
        <v>204</v>
      </c>
      <c r="D25" s="59" t="s">
        <v>212</v>
      </c>
      <c r="E25" s="59" t="s">
        <v>213</v>
      </c>
      <c r="F25" s="60"/>
    </row>
    <row r="26" spans="1:9" ht="21.75" customHeight="1">
      <c r="A26" s="57" t="s">
        <v>210</v>
      </c>
      <c r="B26" s="45" t="s">
        <v>214</v>
      </c>
      <c r="C26" s="58" t="s">
        <v>204</v>
      </c>
      <c r="D26" s="59" t="s">
        <v>212</v>
      </c>
      <c r="E26" s="59" t="s">
        <v>213</v>
      </c>
      <c r="F26" s="60"/>
    </row>
    <row r="27" spans="1:9" ht="21.75" customHeight="1">
      <c r="A27" s="57" t="s">
        <v>210</v>
      </c>
      <c r="B27" s="45" t="s">
        <v>215</v>
      </c>
      <c r="C27" s="58" t="s">
        <v>204</v>
      </c>
      <c r="D27" s="59" t="s">
        <v>212</v>
      </c>
      <c r="E27" s="59" t="s">
        <v>213</v>
      </c>
      <c r="F27" s="60"/>
    </row>
    <row r="28" spans="1:9" ht="21.75" customHeight="1">
      <c r="A28" s="57" t="s">
        <v>210</v>
      </c>
      <c r="B28" s="45" t="s">
        <v>216</v>
      </c>
      <c r="C28" s="58" t="s">
        <v>204</v>
      </c>
      <c r="D28" s="59" t="s">
        <v>212</v>
      </c>
      <c r="E28" s="59" t="s">
        <v>213</v>
      </c>
      <c r="F28" s="60"/>
    </row>
    <row r="29" spans="1:9" ht="21.75" customHeight="1">
      <c r="A29" s="57" t="s">
        <v>217</v>
      </c>
      <c r="B29" s="45" t="s">
        <v>92</v>
      </c>
      <c r="C29" s="58" t="s">
        <v>218</v>
      </c>
      <c r="D29" s="59" t="s">
        <v>219</v>
      </c>
      <c r="E29" s="59" t="s">
        <v>220</v>
      </c>
      <c r="F29" s="60"/>
    </row>
    <row r="30" spans="1:9" ht="21.75" customHeight="1">
      <c r="A30" s="57" t="s">
        <v>217</v>
      </c>
      <c r="B30" s="45" t="s">
        <v>221</v>
      </c>
      <c r="C30" s="58" t="s">
        <v>218</v>
      </c>
      <c r="D30" s="59" t="s">
        <v>219</v>
      </c>
      <c r="E30" s="59" t="s">
        <v>220</v>
      </c>
      <c r="F30" s="60"/>
    </row>
    <row r="31" spans="1:9" ht="21.75" customHeight="1">
      <c r="A31" s="57" t="s">
        <v>217</v>
      </c>
      <c r="B31" s="45" t="s">
        <v>222</v>
      </c>
      <c r="C31" s="58" t="s">
        <v>218</v>
      </c>
      <c r="D31" s="59" t="s">
        <v>219</v>
      </c>
      <c r="E31" s="59" t="s">
        <v>220</v>
      </c>
      <c r="F31" s="60"/>
    </row>
    <row r="32" spans="1:9" ht="21.75" customHeight="1">
      <c r="A32" s="57" t="s">
        <v>217</v>
      </c>
      <c r="B32" s="45" t="s">
        <v>223</v>
      </c>
      <c r="C32" s="58" t="s">
        <v>218</v>
      </c>
      <c r="D32" s="59" t="s">
        <v>219</v>
      </c>
      <c r="E32" s="59" t="s">
        <v>220</v>
      </c>
      <c r="F32" s="60"/>
    </row>
    <row r="33" spans="1:6" ht="21.75" customHeight="1">
      <c r="A33" s="57" t="s">
        <v>217</v>
      </c>
      <c r="B33" s="45" t="s">
        <v>224</v>
      </c>
      <c r="C33" s="58" t="s">
        <v>218</v>
      </c>
      <c r="D33" s="59" t="s">
        <v>219</v>
      </c>
      <c r="E33" s="59" t="s">
        <v>220</v>
      </c>
      <c r="F33" s="60"/>
    </row>
    <row r="34" spans="1:6" ht="21.75" customHeight="1">
      <c r="A34" s="57" t="s">
        <v>217</v>
      </c>
      <c r="B34" s="45" t="s">
        <v>225</v>
      </c>
      <c r="C34" s="58" t="s">
        <v>218</v>
      </c>
      <c r="D34" s="59" t="s">
        <v>219</v>
      </c>
      <c r="E34" s="59" t="s">
        <v>220</v>
      </c>
      <c r="F34" s="60"/>
    </row>
    <row r="35" spans="1:6" ht="21.75" customHeight="1">
      <c r="A35" s="57" t="s">
        <v>226</v>
      </c>
      <c r="B35" s="45" t="s">
        <v>227</v>
      </c>
      <c r="C35" s="58" t="s">
        <v>228</v>
      </c>
      <c r="D35" s="59" t="s">
        <v>229</v>
      </c>
      <c r="E35" s="59" t="s">
        <v>230</v>
      </c>
      <c r="F35" s="60" t="s">
        <v>231</v>
      </c>
    </row>
    <row r="36" spans="1:6" ht="21.75" customHeight="1">
      <c r="A36" s="57" t="s">
        <v>226</v>
      </c>
      <c r="B36" s="45" t="s">
        <v>232</v>
      </c>
      <c r="C36" s="58" t="s">
        <v>228</v>
      </c>
      <c r="D36" s="59" t="s">
        <v>229</v>
      </c>
      <c r="E36" s="59" t="s">
        <v>230</v>
      </c>
      <c r="F36" s="60" t="s">
        <v>231</v>
      </c>
    </row>
    <row r="37" spans="1:6" ht="21.75" customHeight="1">
      <c r="A37" s="57" t="s">
        <v>226</v>
      </c>
      <c r="B37" s="45" t="s">
        <v>233</v>
      </c>
      <c r="C37" s="58" t="s">
        <v>228</v>
      </c>
      <c r="D37" s="59" t="s">
        <v>229</v>
      </c>
      <c r="E37" s="59" t="s">
        <v>230</v>
      </c>
      <c r="F37" s="60" t="s">
        <v>231</v>
      </c>
    </row>
    <row r="38" spans="1:6" ht="21.75" customHeight="1">
      <c r="A38" s="57" t="s">
        <v>226</v>
      </c>
      <c r="B38" s="45" t="s">
        <v>234</v>
      </c>
      <c r="C38" s="58" t="s">
        <v>228</v>
      </c>
      <c r="D38" s="59" t="s">
        <v>229</v>
      </c>
      <c r="E38" s="59" t="s">
        <v>230</v>
      </c>
      <c r="F38" s="60" t="s">
        <v>231</v>
      </c>
    </row>
    <row r="39" spans="1:6" ht="21.75" customHeight="1">
      <c r="A39" s="57" t="s">
        <v>226</v>
      </c>
      <c r="B39" s="45" t="s">
        <v>235</v>
      </c>
      <c r="C39" s="58" t="s">
        <v>228</v>
      </c>
      <c r="D39" s="59" t="s">
        <v>229</v>
      </c>
      <c r="E39" s="59" t="s">
        <v>230</v>
      </c>
      <c r="F39" s="60" t="s">
        <v>236</v>
      </c>
    </row>
    <row r="40" spans="1:6" ht="21.75" customHeight="1">
      <c r="A40" s="57" t="s">
        <v>226</v>
      </c>
      <c r="B40" s="45" t="s">
        <v>237</v>
      </c>
      <c r="C40" s="58" t="s">
        <v>228</v>
      </c>
      <c r="D40" s="59" t="s">
        <v>229</v>
      </c>
      <c r="E40" s="59" t="s">
        <v>230</v>
      </c>
      <c r="F40" s="60" t="s">
        <v>238</v>
      </c>
    </row>
    <row r="41" spans="1:6" ht="21.75" customHeight="1">
      <c r="A41" s="57" t="s">
        <v>226</v>
      </c>
      <c r="B41" s="45" t="s">
        <v>239</v>
      </c>
      <c r="C41" s="58" t="s">
        <v>228</v>
      </c>
      <c r="D41" s="59" t="s">
        <v>229</v>
      </c>
      <c r="E41" s="59" t="s">
        <v>230</v>
      </c>
      <c r="F41" s="60" t="s">
        <v>240</v>
      </c>
    </row>
    <row r="42" spans="1:6" ht="21.75" customHeight="1">
      <c r="A42" s="57" t="s">
        <v>226</v>
      </c>
      <c r="B42" s="45" t="s">
        <v>241</v>
      </c>
      <c r="C42" s="58" t="s">
        <v>228</v>
      </c>
      <c r="D42" s="59" t="s">
        <v>229</v>
      </c>
      <c r="E42" s="59" t="s">
        <v>230</v>
      </c>
      <c r="F42" s="60"/>
    </row>
    <row r="43" spans="1:6" ht="21.75" customHeight="1">
      <c r="A43" s="57" t="s">
        <v>242</v>
      </c>
      <c r="B43" s="45" t="s">
        <v>243</v>
      </c>
      <c r="C43" s="58" t="s">
        <v>244</v>
      </c>
      <c r="D43" s="59" t="s">
        <v>245</v>
      </c>
      <c r="E43" s="59" t="s">
        <v>220</v>
      </c>
      <c r="F43" s="60" t="s">
        <v>246</v>
      </c>
    </row>
    <row r="44" spans="1:6" ht="21.75" customHeight="1">
      <c r="A44" s="57" t="s">
        <v>242</v>
      </c>
      <c r="B44" s="45" t="s">
        <v>247</v>
      </c>
      <c r="C44" s="58" t="s">
        <v>244</v>
      </c>
      <c r="D44" s="59" t="s">
        <v>245</v>
      </c>
      <c r="E44" s="59" t="s">
        <v>220</v>
      </c>
      <c r="F44" s="60"/>
    </row>
    <row r="45" spans="1:6" ht="21.75" customHeight="1">
      <c r="A45" s="57" t="s">
        <v>248</v>
      </c>
      <c r="B45" s="45" t="s">
        <v>249</v>
      </c>
      <c r="C45" s="58" t="s">
        <v>250</v>
      </c>
      <c r="D45" s="59" t="s">
        <v>251</v>
      </c>
      <c r="E45" s="59" t="s">
        <v>220</v>
      </c>
      <c r="F45" s="60"/>
    </row>
    <row r="46" spans="1:6" ht="21.75" customHeight="1">
      <c r="A46" s="57" t="s">
        <v>248</v>
      </c>
      <c r="B46" s="45" t="s">
        <v>252</v>
      </c>
      <c r="C46" s="58" t="s">
        <v>250</v>
      </c>
      <c r="D46" s="59" t="s">
        <v>251</v>
      </c>
      <c r="E46" s="59" t="s">
        <v>220</v>
      </c>
      <c r="F46" s="60"/>
    </row>
    <row r="47" spans="1:6" ht="21.75" customHeight="1">
      <c r="A47" s="57" t="s">
        <v>248</v>
      </c>
      <c r="B47" s="45" t="s">
        <v>253</v>
      </c>
      <c r="C47" s="58" t="s">
        <v>250</v>
      </c>
      <c r="D47" s="59" t="s">
        <v>251</v>
      </c>
      <c r="E47" s="59" t="s">
        <v>220</v>
      </c>
      <c r="F47" s="60"/>
    </row>
    <row r="48" spans="1:6" ht="21.75" customHeight="1">
      <c r="A48" s="57" t="s">
        <v>254</v>
      </c>
      <c r="B48" s="45" t="s">
        <v>255</v>
      </c>
      <c r="C48" s="58" t="s">
        <v>256</v>
      </c>
      <c r="D48" s="59" t="s">
        <v>257</v>
      </c>
      <c r="E48" s="59" t="s">
        <v>220</v>
      </c>
      <c r="F48" s="60"/>
    </row>
    <row r="49" spans="1:6" ht="21.75" customHeight="1">
      <c r="A49" s="57" t="s">
        <v>258</v>
      </c>
      <c r="B49" s="45" t="s">
        <v>259</v>
      </c>
      <c r="C49" s="58" t="s">
        <v>260</v>
      </c>
      <c r="D49" s="59" t="s">
        <v>261</v>
      </c>
      <c r="E49" s="59" t="s">
        <v>220</v>
      </c>
      <c r="F49" s="60"/>
    </row>
    <row r="50" spans="1:6" ht="21.75" customHeight="1">
      <c r="A50" s="57" t="s">
        <v>258</v>
      </c>
      <c r="B50" s="45" t="s">
        <v>262</v>
      </c>
      <c r="C50" s="58" t="s">
        <v>260</v>
      </c>
      <c r="D50" s="59" t="s">
        <v>261</v>
      </c>
      <c r="E50" s="59" t="s">
        <v>220</v>
      </c>
      <c r="F50" s="60"/>
    </row>
    <row r="51" spans="1:6" ht="21.75" customHeight="1">
      <c r="A51" s="57" t="s">
        <v>258</v>
      </c>
      <c r="B51" s="45" t="s">
        <v>263</v>
      </c>
      <c r="C51" s="58" t="s">
        <v>260</v>
      </c>
      <c r="D51" s="59" t="s">
        <v>261</v>
      </c>
      <c r="E51" s="59" t="s">
        <v>220</v>
      </c>
      <c r="F51" s="60"/>
    </row>
  </sheetData>
  <autoFilter ref="A8:F52"/>
  <mergeCells count="23">
    <mergeCell ref="A1:E1"/>
    <mergeCell ref="F1:J1"/>
    <mergeCell ref="A2:J2"/>
    <mergeCell ref="A3:J3"/>
    <mergeCell ref="G4:J4"/>
    <mergeCell ref="A5:C5"/>
    <mergeCell ref="A6:C6"/>
    <mergeCell ref="D5:F5"/>
    <mergeCell ref="D6:F6"/>
    <mergeCell ref="G5:I5"/>
    <mergeCell ref="G6:I6"/>
    <mergeCell ref="H8:I8"/>
    <mergeCell ref="H10:I10"/>
    <mergeCell ref="H11:I11"/>
    <mergeCell ref="H12:I12"/>
    <mergeCell ref="H13:I13"/>
    <mergeCell ref="H14:I14"/>
    <mergeCell ref="H15:I15"/>
    <mergeCell ref="H16:I16"/>
    <mergeCell ref="H17:I17"/>
    <mergeCell ref="H18:I18"/>
    <mergeCell ref="H19:I19"/>
    <mergeCell ref="H20:I20"/>
  </mergeCells>
  <conditionalFormatting sqref="A10:A52">
    <cfRule type="expression" dxfId="0" priority="1">
      <formula>$A10="باغدار"</formula>
    </cfRule>
    <cfRule type="expression" dxfId="1" priority="2">
      <formula>$A10="بارفروش"</formula>
    </cfRule>
    <cfRule type="expression" dxfId="2" priority="3">
      <formula>$A10="فروشنده سبد"</formula>
    </cfRule>
    <cfRule type="expression" dxfId="3" priority="4">
      <formula>$A10="تأمین‌کننده"</formula>
    </cfRule>
    <cfRule type="expression" dxfId="4" priority="5">
      <formula>$A10="کارمند"</formula>
    </cfRule>
    <cfRule type="expression" dxfId="5" priority="6">
      <formula>$A10="سایر حساب"</formula>
    </cfRule>
    <cfRule type="expression" dxfId="6" priority="7">
      <formula>$A10="باسکول دیگران"</formula>
    </cfRule>
    <cfRule type="expression" dxfId="7" priority="8">
      <formula>$A10="دارایی ثابت"</formula>
    </cfRule>
    <cfRule type="expression" dxfId="8" priority="9">
      <formula>$A10="وام و تسهیلات"</formula>
    </cfRule>
    <cfRule type="expression" dxfId="9" priority="10">
      <formula>$A10="سرمایه و آورده صاحبان"</formula>
    </cfRule>
  </conditionalFormatting>
  <dataValidations count="3">
    <dataValidation type="list" allowBlank="1" showInputMessage="1" showErrorMessage="1" errorTitle="گروه نامعتبر" error="فقط یکی از ۱۰ گروه اصلی را انتخاب کنید." sqref="A10:A52">
      <formula1>ListGroups</formula1>
    </dataValidation>
    <dataValidation type="list" allowBlank="1" showInputMessage="1" showErrorMessage="1" sqref="D10:D52">
      <formula1>ListReportSheets</formula1>
    </dataValidation>
    <dataValidation type="list" allowBlank="1" showInputMessage="1" showErrorMessage="1" sqref="E10:E52">
      <formula1>ListColorKeys</formula1>
    </dataValidation>
  </dataValidations>
  <printOptions horizontalCentered="1"/>
  <pageMargins left="0.28" right="0.28" top="0.45" bottom="0.5" header="0.3" footer="0.3"/>
  <pageSetup paperSize="8" fitToHeight="0" orientation="landscape"/>
  <headerFooter>
    <oddHeader>&amp;Lمازندشت&amp;RMAZANDASHT · CITRUS</oddHeader>
    <oddFooter>&amp;Lمازندشت — سورتینگ و بسته‌بندی مرکبات&amp;Cصفحه &amp;P از &amp;N&amp;RMAZANDASHT · 1405</oddFooter>
  </headerFooter>
  <legacyDrawing r:id="rId1"/>
</worksheet>
</file>

<file path=xl/worksheets/sheet5.xml><?xml version="1.0" encoding="utf-8"?>
<worksheet xmlns="http://schemas.openxmlformats.org/spreadsheetml/2006/main" xmlns:r="http://schemas.openxmlformats.org/officeDocument/2006/relationships">
  <sheetPr>
    <tabColor rgb="FF14453D"/>
    <pageSetUpPr fitToPage="1"/>
  </sheetPr>
  <dimension ref="A1:M25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1" width="10.7109375" customWidth="1"/>
    <col min="2" max="2" width="15.7109375" customWidth="1"/>
    <col min="3" max="3" width="18.7109375" customWidth="1"/>
    <col min="4" max="4" width="27.7109375" customWidth="1"/>
    <col min="5" max="6" width="13.7109375" customWidth="1"/>
    <col min="7" max="7" width="28.7109375" customWidth="1"/>
    <col min="8" max="8" width="14.7109375" customWidth="1"/>
    <col min="9" max="9" width="11.7109375" customWidth="1"/>
    <col min="10" max="10" width="7.7109375" customWidth="1"/>
    <col min="11" max="11" width="21.7109375" customWidth="1"/>
    <col min="12" max="12" width="26.7109375" customWidth="1"/>
    <col min="13" max="13" width="7.7109375" customWidth="1"/>
  </cols>
  <sheetData>
    <row r="1" spans="1:13" ht="20.25" customHeight="1">
      <c r="A1" s="30" t="s">
        <v>0</v>
      </c>
      <c r="B1" s="30"/>
      <c r="C1" s="30"/>
      <c r="D1" s="30"/>
      <c r="E1" s="30"/>
      <c r="F1" s="30"/>
      <c r="G1" s="30"/>
      <c r="H1" s="30"/>
      <c r="I1" s="31" t="s">
        <v>1</v>
      </c>
      <c r="J1" s="31"/>
      <c r="K1" s="31"/>
      <c r="L1" s="31"/>
      <c r="M1" s="31"/>
    </row>
    <row r="2" spans="1:13" ht="38.25" customHeight="1">
      <c r="A2" s="32" t="s">
        <v>266</v>
      </c>
      <c r="B2" s="32"/>
      <c r="C2" s="32"/>
      <c r="D2" s="32"/>
      <c r="E2" s="32"/>
      <c r="F2" s="32"/>
      <c r="G2" s="32"/>
      <c r="H2" s="32"/>
      <c r="I2" s="32"/>
      <c r="J2" s="32"/>
      <c r="K2" s="32"/>
      <c r="L2" s="32"/>
      <c r="M2" s="32"/>
    </row>
    <row r="3" spans="1:13" ht="45.75" customHeight="1">
      <c r="A3" s="33" t="s">
        <v>267</v>
      </c>
      <c r="B3" s="33"/>
      <c r="C3" s="33"/>
      <c r="D3" s="33"/>
      <c r="E3" s="33"/>
      <c r="F3" s="33"/>
      <c r="G3" s="33"/>
      <c r="H3" s="33"/>
      <c r="I3" s="33"/>
      <c r="J3" s="33"/>
      <c r="K3" s="33"/>
      <c r="L3" s="33"/>
      <c r="M3" s="33"/>
    </row>
    <row r="4" spans="1:13" ht="24" customHeight="1">
      <c r="A4" s="34" t="s">
        <v>110</v>
      </c>
      <c r="B4" s="35" t="s">
        <v>111</v>
      </c>
      <c r="C4" s="36" t="s">
        <v>112</v>
      </c>
      <c r="D4" s="37" t="s">
        <v>113</v>
      </c>
      <c r="E4" s="38" t="s">
        <v>114</v>
      </c>
      <c r="F4" s="50" t="s">
        <v>165</v>
      </c>
      <c r="G4" s="51" t="s">
        <v>166</v>
      </c>
      <c r="H4" s="51"/>
      <c r="I4" s="51"/>
      <c r="J4" s="51"/>
      <c r="K4" s="51"/>
      <c r="L4" s="51"/>
      <c r="M4" s="51"/>
    </row>
    <row r="5" spans="1:13" ht="17.25" customHeight="1">
      <c r="A5" s="5" t="s">
        <v>4</v>
      </c>
      <c r="B5" s="5"/>
      <c r="C5" s="5"/>
      <c r="D5" s="5" t="s">
        <v>268</v>
      </c>
      <c r="E5" s="5"/>
      <c r="F5" s="5"/>
      <c r="G5" s="5" t="s">
        <v>269</v>
      </c>
      <c r="H5" s="5"/>
      <c r="I5" s="5"/>
      <c r="J5" s="5" t="s">
        <v>270</v>
      </c>
      <c r="K5" s="5"/>
      <c r="L5" s="5"/>
      <c r="M5" s="5" t="s">
        <v>271</v>
      </c>
    </row>
    <row r="6" spans="1:13" ht="33" customHeight="1">
      <c r="A6" s="52">
        <f>COUNTIF($D$10:$D$259,"?*")</f>
        <v>0</v>
      </c>
      <c r="B6" s="52"/>
      <c r="C6" s="52"/>
      <c r="D6" s="53">
        <f>COUNTIF($B$10:$B$259,"باغدار")</f>
        <v>0</v>
      </c>
      <c r="E6" s="53"/>
      <c r="F6" s="53"/>
      <c r="G6" s="55">
        <f>COUNTIF($B$10:$B$259,"بارفروش")</f>
        <v>0</v>
      </c>
      <c r="H6" s="55"/>
      <c r="I6" s="55"/>
      <c r="J6" s="54">
        <f>COUNTIF($B$10:$B$259,"فروشنده سبد")</f>
        <v>0</v>
      </c>
      <c r="K6" s="54"/>
      <c r="L6" s="54"/>
      <c r="M6" s="62">
        <f>SUMIF($H$10:$H$259,"&gt;0")</f>
        <v>0</v>
      </c>
    </row>
    <row r="7" spans="1:13" ht="6.75" customHeight="1"/>
    <row r="8" spans="1:13" ht="33.75" customHeight="1">
      <c r="A8" s="42" t="s">
        <v>272</v>
      </c>
      <c r="B8" s="42" t="s">
        <v>273</v>
      </c>
      <c r="C8" s="42" t="s">
        <v>173</v>
      </c>
      <c r="D8" s="42" t="s">
        <v>274</v>
      </c>
      <c r="E8" s="42" t="s">
        <v>276</v>
      </c>
      <c r="F8" s="42" t="s">
        <v>278</v>
      </c>
      <c r="G8" s="42" t="s">
        <v>86</v>
      </c>
      <c r="H8" s="42" t="s">
        <v>281</v>
      </c>
      <c r="I8" s="42" t="s">
        <v>283</v>
      </c>
      <c r="J8" s="42" t="s">
        <v>285</v>
      </c>
      <c r="K8" s="42" t="s">
        <v>287</v>
      </c>
      <c r="L8" s="42" t="s">
        <v>289</v>
      </c>
      <c r="M8" s="42" t="s">
        <v>291</v>
      </c>
    </row>
    <row r="9" spans="1:13">
      <c r="A9" s="43" t="s">
        <v>118</v>
      </c>
      <c r="B9" s="43" t="s">
        <v>172</v>
      </c>
      <c r="C9" s="43" t="s">
        <v>174</v>
      </c>
      <c r="D9" s="43" t="s">
        <v>275</v>
      </c>
      <c r="E9" s="43" t="s">
        <v>277</v>
      </c>
      <c r="F9" s="43" t="s">
        <v>279</v>
      </c>
      <c r="G9" s="43" t="s">
        <v>280</v>
      </c>
      <c r="H9" s="43" t="s">
        <v>282</v>
      </c>
      <c r="I9" s="43" t="s">
        <v>284</v>
      </c>
      <c r="J9" s="43" t="s">
        <v>286</v>
      </c>
      <c r="K9" s="43" t="s">
        <v>288</v>
      </c>
      <c r="L9" s="43" t="s">
        <v>290</v>
      </c>
      <c r="M9" s="43" t="s">
        <v>292</v>
      </c>
    </row>
    <row r="10" spans="1:13" ht="21" customHeight="1">
      <c r="A10" s="63" t="s">
        <v>293</v>
      </c>
      <c r="B10" s="64" t="s">
        <v>181</v>
      </c>
      <c r="C10" s="65" t="s">
        <v>189</v>
      </c>
      <c r="D10" s="65" t="s">
        <v>294</v>
      </c>
      <c r="E10" s="65" t="s">
        <v>295</v>
      </c>
      <c r="F10" s="65" t="s">
        <v>296</v>
      </c>
      <c r="G10" s="65" t="s">
        <v>297</v>
      </c>
      <c r="H10" s="66">
        <v>0</v>
      </c>
      <c r="I10" s="64" t="s">
        <v>298</v>
      </c>
      <c r="J10" s="64" t="s">
        <v>299</v>
      </c>
      <c r="K10">
        <f>IF($A10="","",IF(LEFT($A10,3)="CAP","سرمایه و آورده صاحبان",IF(LEFT($A10,2)="SL","بارفروش",IF(LEFT($A10,2)="BD","باسکول دیگران",IF(LEFT($A10,1)="C","باغدار",IF(LEFT($A10,1)="S","فروشنده سبد/تأمین‌کننده",IF(LEFT($A10,1)="E","کارمند",IF(LEFT($A10,1)="X","سایر حساب",IF(LEFT($A10,1)="F","دارایی ثابت",IF(LEFT($A10,1)="L","وام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 s="65" t="s">
        <v>300</v>
      </c>
      <c r="M10">
        <f>IF(OR($B10="",$A10=""),"",IF(OR($B10=$K10,AND(LEFT($A10,1)="S",OR($B10="فروشنده سبد",$B10="تأمین‌کننده")),AND(LEFT($A10,2)="BD",$B10="باسکول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1" spans="1:13" ht="21" customHeight="1">
      <c r="A11" s="63" t="s">
        <v>301</v>
      </c>
      <c r="B11" s="64" t="s">
        <v>181</v>
      </c>
      <c r="C11" s="65" t="s">
        <v>191</v>
      </c>
      <c r="D11" s="65" t="s">
        <v>302</v>
      </c>
      <c r="E11" s="65" t="s">
        <v>303</v>
      </c>
      <c r="F11" s="65" t="s">
        <v>304</v>
      </c>
      <c r="G11" s="65" t="s">
        <v>305</v>
      </c>
      <c r="H11" s="66">
        <v>0</v>
      </c>
      <c r="I11" s="64" t="s">
        <v>298</v>
      </c>
      <c r="J11" s="64" t="s">
        <v>299</v>
      </c>
      <c r="K11">
        <f>IF($A11="","",IF(LEFT($A11,3)="CAP","سرمایه و آورده صاحبان",IF(LEFT($A11,2)="SL","بارفروش",IF(LEFT($A11,2)="BD","باسکول دیگران",IF(LEFT($A11,1)="C","باغدار",IF(LEFT($A11,1)="S","فروشنده سبد/تأمین‌کننده",IF(LEFT($A11,1)="E","کارمند",IF(LEFT($A11,1)="X","سایر حساب",IF(LEFT($A11,1)="F","دارایی ثابت",IF(LEFT($A11,1)="L","وام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1" s="65" t="s">
        <v>306</v>
      </c>
      <c r="M11">
        <f>IF(OR($B11="",$A11=""),"",IF(OR($B11=$K11,AND(LEFT($A11,1)="S",OR($B11="فروشنده سبد",$B11="تأمین‌کننده")),AND(LEFT($A11,2)="BD",$B11="باسکول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2" spans="1:13" ht="21" customHeight="1">
      <c r="A12" s="63" t="s">
        <v>307</v>
      </c>
      <c r="B12" s="64" t="s">
        <v>181</v>
      </c>
      <c r="C12" s="65" t="s">
        <v>190</v>
      </c>
      <c r="D12" s="65" t="s">
        <v>308</v>
      </c>
      <c r="E12" s="65" t="s">
        <v>309</v>
      </c>
      <c r="F12" s="65" t="s">
        <v>310</v>
      </c>
      <c r="G12" s="65" t="s">
        <v>311</v>
      </c>
      <c r="H12" s="66">
        <v>0</v>
      </c>
      <c r="I12" s="64" t="s">
        <v>298</v>
      </c>
      <c r="J12" s="64" t="s">
        <v>299</v>
      </c>
      <c r="K12">
        <f>IF($A12="","",IF(LEFT($A12,3)="CAP","سرمایه و آورده صاحبان",IF(LEFT($A12,2)="SL","بارفروش",IF(LEFT($A12,2)="BD","باسکول دیگران",IF(LEFT($A12,1)="C","باغدار",IF(LEFT($A12,1)="S","فروشنده سبد/تأمین‌کننده",IF(LEFT($A12,1)="E","کارمند",IF(LEFT($A12,1)="X","سایر حساب",IF(LEFT($A12,1)="F","دارایی ثابت",IF(LEFT($A12,1)="L","وام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2" s="65" t="s">
        <v>306</v>
      </c>
      <c r="M12">
        <f>IF(OR($B12="",$A12=""),"",IF(OR($B12=$K12,AND(LEFT($A12,1)="S",OR($B12="فروشنده سبد",$B12="تأمین‌کننده")),AND(LEFT($A12,2)="BD",$B12="باسکول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3" spans="1:13" ht="21" customHeight="1">
      <c r="A13" s="63" t="s">
        <v>312</v>
      </c>
      <c r="B13" s="64" t="s">
        <v>181</v>
      </c>
      <c r="C13" s="65"/>
      <c r="D13" s="65" t="s">
        <v>313</v>
      </c>
      <c r="E13" s="65"/>
      <c r="F13" s="65"/>
      <c r="G13" s="65"/>
      <c r="H13" s="66">
        <v>0</v>
      </c>
      <c r="I13" s="64" t="s">
        <v>298</v>
      </c>
      <c r="J13" s="64" t="s">
        <v>299</v>
      </c>
      <c r="K13">
        <f>IF($A13="","",IF(LEFT($A13,3)="CAP","سرمایه و آورده صاحبان",IF(LEFT($A13,2)="SL","بارفروش",IF(LEFT($A13,2)="BD","باسکول دیگران",IF(LEFT($A13,1)="C","باغدار",IF(LEFT($A13,1)="S","فروشنده سبد/تأمین‌کننده",IF(LEFT($A13,1)="E","کارمند",IF(LEFT($A13,1)="X","سایر حساب",IF(LEFT($A13,1)="F","دارایی ثابت",IF(LEFT($A13,1)="L","وام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3" s="65"/>
      <c r="M13">
        <f>IF(OR($B13="",$A13=""),"",IF(OR($B13=$K13,AND(LEFT($A13,1)="S",OR($B13="فروشنده سبد",$B13="تأمین‌کننده")),AND(LEFT($A13,2)="BD",$B13="باسکول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4" spans="1:13" ht="21" customHeight="1">
      <c r="A14" s="63" t="s">
        <v>314</v>
      </c>
      <c r="B14" s="64" t="s">
        <v>181</v>
      </c>
      <c r="C14" s="65"/>
      <c r="D14" s="65" t="s">
        <v>315</v>
      </c>
      <c r="E14" s="65"/>
      <c r="F14" s="65"/>
      <c r="G14" s="65"/>
      <c r="H14" s="66">
        <v>0</v>
      </c>
      <c r="I14" s="64" t="s">
        <v>298</v>
      </c>
      <c r="J14" s="64" t="s">
        <v>299</v>
      </c>
      <c r="K14">
        <f>IF($A14="","",IF(LEFT($A14,3)="CAP","سرمایه و آورده صاحبان",IF(LEFT($A14,2)="SL","بارفروش",IF(LEFT($A14,2)="BD","باسکول دیگران",IF(LEFT($A14,1)="C","باغدار",IF(LEFT($A14,1)="S","فروشنده سبد/تأمین‌کننده",IF(LEFT($A14,1)="E","کارمند",IF(LEFT($A14,1)="X","سایر حساب",IF(LEFT($A14,1)="F","دارایی ثابت",IF(LEFT($A14,1)="L","وام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4" s="65"/>
      <c r="M14">
        <f>IF(OR($B14="",$A14=""),"",IF(OR($B14=$K14,AND(LEFT($A14,1)="S",OR($B14="فروشنده سبد",$B14="تأمین‌کننده")),AND(LEFT($A14,2)="BD",$B14="باسکول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5" spans="1:13" ht="21" customHeight="1">
      <c r="A15" s="63" t="s">
        <v>316</v>
      </c>
      <c r="B15" s="64" t="s">
        <v>181</v>
      </c>
      <c r="C15" s="65"/>
      <c r="D15" s="65" t="s">
        <v>317</v>
      </c>
      <c r="E15" s="65"/>
      <c r="F15" s="65"/>
      <c r="G15" s="65"/>
      <c r="H15" s="66">
        <v>0</v>
      </c>
      <c r="I15" s="64" t="s">
        <v>298</v>
      </c>
      <c r="J15" s="64" t="s">
        <v>299</v>
      </c>
      <c r="K15">
        <f>IF($A15="","",IF(LEFT($A15,3)="CAP","سرمایه و آورده صاحبان",IF(LEFT($A15,2)="SL","بارفروش",IF(LEFT($A15,2)="BD","باسکول دیگران",IF(LEFT($A15,1)="C","باغدار",IF(LEFT($A15,1)="S","فروشنده سبد/تأمین‌کننده",IF(LEFT($A15,1)="E","کارمند",IF(LEFT($A15,1)="X","سایر حساب",IF(LEFT($A15,1)="F","دارایی ثابت",IF(LEFT($A15,1)="L","وام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5" s="65"/>
      <c r="M15">
        <f>IF(OR($B15="",$A15=""),"",IF(OR($B15=$K15,AND(LEFT($A15,1)="S",OR($B15="فروشنده سبد",$B15="تأمین‌کننده")),AND(LEFT($A15,2)="BD",$B15="باسکول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6" spans="1:13" ht="21" customHeight="1">
      <c r="A16" s="63" t="s">
        <v>318</v>
      </c>
      <c r="B16" s="64" t="s">
        <v>181</v>
      </c>
      <c r="C16" s="65"/>
      <c r="D16" s="65" t="s">
        <v>319</v>
      </c>
      <c r="E16" s="65"/>
      <c r="F16" s="65"/>
      <c r="G16" s="65"/>
      <c r="H16" s="66">
        <v>0</v>
      </c>
      <c r="I16" s="64" t="s">
        <v>298</v>
      </c>
      <c r="J16" s="64" t="s">
        <v>299</v>
      </c>
      <c r="K16">
        <f>IF($A16="","",IF(LEFT($A16,3)="CAP","سرمایه و آورده صاحبان",IF(LEFT($A16,2)="SL","بارفروش",IF(LEFT($A16,2)="BD","باسکول دیگران",IF(LEFT($A16,1)="C","باغدار",IF(LEFT($A16,1)="S","فروشنده سبد/تأمین‌کننده",IF(LEFT($A16,1)="E","کارمند",IF(LEFT($A16,1)="X","سایر حساب",IF(LEFT($A16,1)="F","دارایی ثابت",IF(LEFT($A16,1)="L","وام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6" s="65"/>
      <c r="M16">
        <f>IF(OR($B16="",$A16=""),"",IF(OR($B16=$K16,AND(LEFT($A16,1)="S",OR($B16="فروشنده سبد",$B16="تأمین‌کننده")),AND(LEFT($A16,2)="BD",$B16="باسکول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7" spans="1:13" ht="21" customHeight="1">
      <c r="A17" s="63" t="s">
        <v>320</v>
      </c>
      <c r="B17" s="64" t="s">
        <v>181</v>
      </c>
      <c r="C17" s="65"/>
      <c r="D17" s="65" t="s">
        <v>321</v>
      </c>
      <c r="E17" s="65"/>
      <c r="F17" s="65"/>
      <c r="G17" s="65"/>
      <c r="H17" s="66">
        <v>0</v>
      </c>
      <c r="I17" s="64" t="s">
        <v>298</v>
      </c>
      <c r="J17" s="64" t="s">
        <v>299</v>
      </c>
      <c r="K17">
        <f>IF($A17="","",IF(LEFT($A17,3)="CAP","سرمایه و آورده صاحبان",IF(LEFT($A17,2)="SL","بارفروش",IF(LEFT($A17,2)="BD","باسکول دیگران",IF(LEFT($A17,1)="C","باغدار",IF(LEFT($A17,1)="S","فروشنده سبد/تأمین‌کننده",IF(LEFT($A17,1)="E","کارمند",IF(LEFT($A17,1)="X","سایر حساب",IF(LEFT($A17,1)="F","دارایی ثابت",IF(LEFT($A17,1)="L","وام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7" s="65"/>
      <c r="M17">
        <f>IF(OR($B17="",$A17=""),"",IF(OR($B17=$K17,AND(LEFT($A17,1)="S",OR($B17="فروشنده سبد",$B17="تأمین‌کننده")),AND(LEFT($A17,2)="BD",$B17="باسکول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8" spans="1:13" ht="21" customHeight="1">
      <c r="A18" s="63" t="s">
        <v>322</v>
      </c>
      <c r="B18" s="64" t="s">
        <v>181</v>
      </c>
      <c r="C18" s="65"/>
      <c r="D18" s="65" t="s">
        <v>323</v>
      </c>
      <c r="E18" s="65"/>
      <c r="F18" s="65"/>
      <c r="G18" s="65"/>
      <c r="H18" s="66">
        <v>0</v>
      </c>
      <c r="I18" s="64" t="s">
        <v>298</v>
      </c>
      <c r="J18" s="64" t="s">
        <v>299</v>
      </c>
      <c r="K18">
        <f>IF($A18="","",IF(LEFT($A18,3)="CAP","سرمایه و آورده صاحبان",IF(LEFT($A18,2)="SL","بارفروش",IF(LEFT($A18,2)="BD","باسکول دیگران",IF(LEFT($A18,1)="C","باغدار",IF(LEFT($A18,1)="S","فروشنده سبد/تأمین‌کننده",IF(LEFT($A18,1)="E","کارمند",IF(LEFT($A18,1)="X","سایر حساب",IF(LEFT($A18,1)="F","دارایی ثابت",IF(LEFT($A18,1)="L","وام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8" s="65"/>
      <c r="M18">
        <f>IF(OR($B18="",$A18=""),"",IF(OR($B18=$K18,AND(LEFT($A18,1)="S",OR($B18="فروشنده سبد",$B18="تأمین‌کننده")),AND(LEFT($A18,2)="BD",$B18="باسکول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9" spans="1:13" ht="21" customHeight="1">
      <c r="A19" s="63" t="s">
        <v>324</v>
      </c>
      <c r="B19" s="64" t="s">
        <v>181</v>
      </c>
      <c r="C19" s="65"/>
      <c r="D19" s="65" t="s">
        <v>325</v>
      </c>
      <c r="E19" s="65"/>
      <c r="F19" s="65"/>
      <c r="G19" s="65"/>
      <c r="H19" s="66">
        <v>0</v>
      </c>
      <c r="I19" s="64" t="s">
        <v>298</v>
      </c>
      <c r="J19" s="64" t="s">
        <v>299</v>
      </c>
      <c r="K19">
        <f>IF($A19="","",IF(LEFT($A19,3)="CAP","سرمایه و آورده صاحبان",IF(LEFT($A19,2)="SL","بارفروش",IF(LEFT($A19,2)="BD","باسکول دیگران",IF(LEFT($A19,1)="C","باغدار",IF(LEFT($A19,1)="S","فروشنده سبد/تأمین‌کننده",IF(LEFT($A19,1)="E","کارمند",IF(LEFT($A19,1)="X","سایر حساب",IF(LEFT($A19,1)="F","دارایی ثابت",IF(LEFT($A19,1)="L","وام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9" s="65"/>
      <c r="M19">
        <f>IF(OR($B19="",$A19=""),"",IF(OR($B19=$K19,AND(LEFT($A19,1)="S",OR($B19="فروشنده سبد",$B19="تأمین‌کننده")),AND(LEFT($A19,2)="BD",$B19="باسکول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20" spans="1:13" ht="21" customHeight="1">
      <c r="A20" s="63" t="s">
        <v>326</v>
      </c>
      <c r="B20" s="64" t="s">
        <v>181</v>
      </c>
      <c r="C20" s="65"/>
      <c r="D20" s="65" t="s">
        <v>327</v>
      </c>
      <c r="E20" s="65"/>
      <c r="F20" s="65"/>
      <c r="G20" s="65"/>
      <c r="H20" s="66">
        <v>0</v>
      </c>
      <c r="I20" s="64" t="s">
        <v>298</v>
      </c>
      <c r="J20" s="64" t="s">
        <v>299</v>
      </c>
      <c r="K20">
        <f>IF($A20="","",IF(LEFT($A20,3)="CAP","سرمایه و آورده صاحبان",IF(LEFT($A20,2)="SL","بارفروش",IF(LEFT($A20,2)="BD","باسکول دیگران",IF(LEFT($A20,1)="C","باغدار",IF(LEFT($A20,1)="S","فروشنده سبد/تأمین‌کننده",IF(LEFT($A20,1)="E","کارمند",IF(LEFT($A20,1)="X","سایر حساب",IF(LEFT($A20,1)="F","دارایی ثابت",IF(LEFT($A20,1)="L","وام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20" s="65"/>
      <c r="M20">
        <f>IF(OR($B20="",$A20=""),"",IF(OR($B20=$K20,AND(LEFT($A20,1)="S",OR($B20="فروشنده سبد",$B20="تأمین‌کننده")),AND(LEFT($A20,2)="BD",$B20="باسکول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21" spans="1:13" ht="21" customHeight="1">
      <c r="A21" s="63" t="s">
        <v>328</v>
      </c>
      <c r="B21" s="64" t="s">
        <v>181</v>
      </c>
      <c r="C21" s="65"/>
      <c r="D21" s="65" t="s">
        <v>329</v>
      </c>
      <c r="E21" s="65"/>
      <c r="F21" s="65"/>
      <c r="G21" s="65"/>
      <c r="H21" s="66">
        <v>0</v>
      </c>
      <c r="I21" s="64" t="s">
        <v>298</v>
      </c>
      <c r="J21" s="64" t="s">
        <v>299</v>
      </c>
      <c r="K21">
        <f>IF($A21="","",IF(LEFT($A21,3)="CAP","سرمایه و آورده صاحبان",IF(LEFT($A21,2)="SL","بارفروش",IF(LEFT($A21,2)="BD","باسکول دیگران",IF(LEFT($A21,1)="C","باغدار",IF(LEFT($A21,1)="S","فروشنده سبد/تأمین‌کننده",IF(LEFT($A21,1)="E","کارمند",IF(LEFT($A21,1)="X","سایر حساب",IF(LEFT($A21,1)="F","دارایی ثابت",IF(LEFT($A21,1)="L","وام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21" s="65"/>
      <c r="M21">
        <f>IF(OR($B21="",$A21=""),"",IF(OR($B21=$K21,AND(LEFT($A21,1)="S",OR($B21="فروشنده سبد",$B21="تأمین‌کننده")),AND(LEFT($A21,2)="BD",$B21="باسکول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22" spans="1:13" ht="21" customHeight="1">
      <c r="A22" s="63" t="s">
        <v>330</v>
      </c>
      <c r="B22" s="64" t="s">
        <v>181</v>
      </c>
      <c r="C22" s="65"/>
      <c r="D22" s="65" t="s">
        <v>331</v>
      </c>
      <c r="E22" s="65"/>
      <c r="F22" s="65"/>
      <c r="G22" s="65"/>
      <c r="H22" s="66">
        <v>0</v>
      </c>
      <c r="I22" s="64" t="s">
        <v>298</v>
      </c>
      <c r="J22" s="64" t="s">
        <v>299</v>
      </c>
      <c r="K22">
        <f>IF($A22="","",IF(LEFT($A22,3)="CAP","سرمایه و آورده صاحبان",IF(LEFT($A22,2)="SL","بارفروش",IF(LEFT($A22,2)="BD","باسکول دیگران",IF(LEFT($A22,1)="C","باغدار",IF(LEFT($A22,1)="S","فروشنده سبد/تأمین‌کننده",IF(LEFT($A22,1)="E","کارمند",IF(LEFT($A22,1)="X","سایر حساب",IF(LEFT($A22,1)="F","دارایی ثابت",IF(LEFT($A22,1)="L","وام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22" s="65"/>
      <c r="M22">
        <f>IF(OR($B22="",$A22=""),"",IF(OR($B22=$K22,AND(LEFT($A22,1)="S",OR($B22="فروشنده سبد",$B22="تأمین‌کننده")),AND(LEFT($A22,2)="BD",$B22="باسکول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23" spans="1:13" ht="21" customHeight="1">
      <c r="A23" s="63" t="s">
        <v>332</v>
      </c>
      <c r="B23" s="64" t="s">
        <v>181</v>
      </c>
      <c r="C23" s="65"/>
      <c r="D23" s="65" t="s">
        <v>333</v>
      </c>
      <c r="E23" s="65"/>
      <c r="F23" s="65"/>
      <c r="G23" s="65"/>
      <c r="H23" s="66">
        <v>0</v>
      </c>
      <c r="I23" s="64" t="s">
        <v>298</v>
      </c>
      <c r="J23" s="64" t="s">
        <v>299</v>
      </c>
      <c r="K23">
        <f>IF($A23="","",IF(LEFT($A23,3)="CAP","سرمایه و آورده صاحبان",IF(LEFT($A23,2)="SL","بارفروش",IF(LEFT($A23,2)="BD","باسکول دیگران",IF(LEFT($A23,1)="C","باغدار",IF(LEFT($A23,1)="S","فروشنده سبد/تأمین‌کننده",IF(LEFT($A23,1)="E","کارمند",IF(LEFT($A23,1)="X","سایر حساب",IF(LEFT($A23,1)="F","دارایی ثابت",IF(LEFT($A23,1)="L","وام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23" s="65"/>
      <c r="M23">
        <f>IF(OR($B23="",$A23=""),"",IF(OR($B23=$K23,AND(LEFT($A23,1)="S",OR($B23="فروشنده سبد",$B23="تأمین‌کننده")),AND(LEFT($A23,2)="BD",$B23="باسکول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24" spans="1:13" ht="21" customHeight="1">
      <c r="A24" s="63" t="s">
        <v>334</v>
      </c>
      <c r="B24" s="64" t="s">
        <v>181</v>
      </c>
      <c r="C24" s="65"/>
      <c r="D24" s="65" t="s">
        <v>335</v>
      </c>
      <c r="E24" s="65"/>
      <c r="F24" s="65"/>
      <c r="G24" s="65"/>
      <c r="H24" s="66">
        <v>0</v>
      </c>
      <c r="I24" s="64" t="s">
        <v>298</v>
      </c>
      <c r="J24" s="64" t="s">
        <v>299</v>
      </c>
      <c r="K24">
        <f>IF($A24="","",IF(LEFT($A24,3)="CAP","سرمایه و آورده صاحبان",IF(LEFT($A24,2)="SL","بارفروش",IF(LEFT($A24,2)="BD","باسکول دیگران",IF(LEFT($A24,1)="C","باغدار",IF(LEFT($A24,1)="S","فروشنده سبد/تأمین‌کننده",IF(LEFT($A24,1)="E","کارمند",IF(LEFT($A24,1)="X","سایر حساب",IF(LEFT($A24,1)="F","دارایی ثابت",IF(LEFT($A24,1)="L","وام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24" s="65"/>
      <c r="M24">
        <f>IF(OR($B24="",$A24=""),"",IF(OR($B24=$K24,AND(LEFT($A24,1)="S",OR($B24="فروشنده سبد",$B24="تأمین‌کننده")),AND(LEFT($A24,2)="BD",$B24="باسکول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25" spans="1:13" ht="21" customHeight="1">
      <c r="A25" s="63" t="s">
        <v>336</v>
      </c>
      <c r="B25" s="64" t="s">
        <v>181</v>
      </c>
      <c r="C25" s="65"/>
      <c r="D25" s="65" t="s">
        <v>337</v>
      </c>
      <c r="E25" s="65"/>
      <c r="F25" s="65"/>
      <c r="G25" s="65"/>
      <c r="H25" s="66">
        <v>0</v>
      </c>
      <c r="I25" s="64" t="s">
        <v>298</v>
      </c>
      <c r="J25" s="64" t="s">
        <v>299</v>
      </c>
      <c r="K25">
        <f>IF($A25="","",IF(LEFT($A25,3)="CAP","سرمایه و آورده صاحبان",IF(LEFT($A25,2)="SL","بارفروش",IF(LEFT($A25,2)="BD","باسکول دیگران",IF(LEFT($A25,1)="C","باغدار",IF(LEFT($A25,1)="S","فروشنده سبد/تأمین‌کننده",IF(LEFT($A25,1)="E","کارمند",IF(LEFT($A25,1)="X","سایر حساب",IF(LEFT($A25,1)="F","دارایی ثابت",IF(LEFT($A25,1)="L","وام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25" s="65"/>
      <c r="M25">
        <f>IF(OR($B25="",$A25=""),"",IF(OR($B25=$K25,AND(LEFT($A25,1)="S",OR($B25="فروشنده سبد",$B25="تأمین‌کننده")),AND(LEFT($A25,2)="BD",$B25="باسکول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26" spans="1:13" ht="21" customHeight="1">
      <c r="A26" s="63" t="s">
        <v>338</v>
      </c>
      <c r="B26" s="64" t="s">
        <v>181</v>
      </c>
      <c r="C26" s="65"/>
      <c r="D26" s="65" t="s">
        <v>339</v>
      </c>
      <c r="E26" s="65"/>
      <c r="F26" s="65"/>
      <c r="G26" s="65"/>
      <c r="H26" s="66">
        <v>0</v>
      </c>
      <c r="I26" s="64" t="s">
        <v>298</v>
      </c>
      <c r="J26" s="64" t="s">
        <v>299</v>
      </c>
      <c r="K26">
        <f>IF($A26="","",IF(LEFT($A26,3)="CAP","سرمایه و آورده صاحبان",IF(LEFT($A26,2)="SL","بارفروش",IF(LEFT($A26,2)="BD","باسکول دیگران",IF(LEFT($A26,1)="C","باغدار",IF(LEFT($A26,1)="S","فروشنده سبد/تأمین‌کننده",IF(LEFT($A26,1)="E","کارمند",IF(LEFT($A26,1)="X","سایر حساب",IF(LEFT($A26,1)="F","دارایی ثابت",IF(LEFT($A26,1)="L","وام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26" s="65"/>
      <c r="M26">
        <f>IF(OR($B26="",$A26=""),"",IF(OR($B26=$K26,AND(LEFT($A26,1)="S",OR($B26="فروشنده سبد",$B26="تأمین‌کننده")),AND(LEFT($A26,2)="BD",$B26="باسکول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27" spans="1:13" ht="21" customHeight="1">
      <c r="A27" s="63" t="s">
        <v>340</v>
      </c>
      <c r="B27" s="64" t="s">
        <v>181</v>
      </c>
      <c r="C27" s="65"/>
      <c r="D27" s="65" t="s">
        <v>341</v>
      </c>
      <c r="E27" s="65"/>
      <c r="F27" s="65"/>
      <c r="G27" s="65"/>
      <c r="H27" s="66">
        <v>0</v>
      </c>
      <c r="I27" s="64" t="s">
        <v>298</v>
      </c>
      <c r="J27" s="64" t="s">
        <v>299</v>
      </c>
      <c r="K27">
        <f>IF($A27="","",IF(LEFT($A27,3)="CAP","سرمایه و آورده صاحبان",IF(LEFT($A27,2)="SL","بارفروش",IF(LEFT($A27,2)="BD","باسکول دیگران",IF(LEFT($A27,1)="C","باغدار",IF(LEFT($A27,1)="S","فروشنده سبد/تأمین‌کننده",IF(LEFT($A27,1)="E","کارمند",IF(LEFT($A27,1)="X","سایر حساب",IF(LEFT($A27,1)="F","دارایی ثابت",IF(LEFT($A27,1)="L","وام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27" s="65"/>
      <c r="M27">
        <f>IF(OR($B27="",$A27=""),"",IF(OR($B27=$K27,AND(LEFT($A27,1)="S",OR($B27="فروشنده سبد",$B27="تأمین‌کننده")),AND(LEFT($A27,2)="BD",$B27="باسکول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28" spans="1:13" ht="21" customHeight="1">
      <c r="A28" s="63" t="s">
        <v>342</v>
      </c>
      <c r="B28" s="64" t="s">
        <v>181</v>
      </c>
      <c r="C28" s="65"/>
      <c r="D28" s="65" t="s">
        <v>343</v>
      </c>
      <c r="E28" s="65"/>
      <c r="F28" s="65"/>
      <c r="G28" s="65"/>
      <c r="H28" s="66">
        <v>0</v>
      </c>
      <c r="I28" s="64" t="s">
        <v>298</v>
      </c>
      <c r="J28" s="64" t="s">
        <v>299</v>
      </c>
      <c r="K28">
        <f>IF($A28="","",IF(LEFT($A28,3)="CAP","سرمایه و آورده صاحبان",IF(LEFT($A28,2)="SL","بارفروش",IF(LEFT($A28,2)="BD","باسکول دیگران",IF(LEFT($A28,1)="C","باغدار",IF(LEFT($A28,1)="S","فروشنده سبد/تأمین‌کننده",IF(LEFT($A28,1)="E","کارمند",IF(LEFT($A28,1)="X","سایر حساب",IF(LEFT($A28,1)="F","دارایی ثابت",IF(LEFT($A28,1)="L","وام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28" s="65"/>
      <c r="M28">
        <f>IF(OR($B28="",$A28=""),"",IF(OR($B28=$K28,AND(LEFT($A28,1)="S",OR($B28="فروشنده سبد",$B28="تأمین‌کننده")),AND(LEFT($A28,2)="BD",$B28="باسکول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29" spans="1:13" ht="21" customHeight="1">
      <c r="A29" s="63" t="s">
        <v>344</v>
      </c>
      <c r="B29" s="64" t="s">
        <v>181</v>
      </c>
      <c r="C29" s="65"/>
      <c r="D29" s="65" t="s">
        <v>345</v>
      </c>
      <c r="E29" s="65"/>
      <c r="F29" s="65"/>
      <c r="G29" s="65"/>
      <c r="H29" s="66">
        <v>0</v>
      </c>
      <c r="I29" s="64" t="s">
        <v>298</v>
      </c>
      <c r="J29" s="64" t="s">
        <v>299</v>
      </c>
      <c r="K29">
        <f>IF($A29="","",IF(LEFT($A29,3)="CAP","سرمایه و آورده صاحبان",IF(LEFT($A29,2)="SL","بارفروش",IF(LEFT($A29,2)="BD","باسکول دیگران",IF(LEFT($A29,1)="C","باغدار",IF(LEFT($A29,1)="S","فروشنده سبد/تأمین‌کننده",IF(LEFT($A29,1)="E","کارمند",IF(LEFT($A29,1)="X","سایر حساب",IF(LEFT($A29,1)="F","دارایی ثابت",IF(LEFT($A29,1)="L","وام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29" s="65"/>
      <c r="M29">
        <f>IF(OR($B29="",$A29=""),"",IF(OR($B29=$K29,AND(LEFT($A29,1)="S",OR($B29="فروشنده سبد",$B29="تأمین‌کننده")),AND(LEFT($A29,2)="BD",$B29="باسکول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30" spans="1:13" ht="21" customHeight="1">
      <c r="A30" s="63" t="s">
        <v>346</v>
      </c>
      <c r="B30" s="64" t="s">
        <v>181</v>
      </c>
      <c r="C30" s="65"/>
      <c r="D30" s="65" t="s">
        <v>347</v>
      </c>
      <c r="E30" s="65"/>
      <c r="F30" s="65"/>
      <c r="G30" s="65"/>
      <c r="H30" s="66">
        <v>0</v>
      </c>
      <c r="I30" s="64" t="s">
        <v>298</v>
      </c>
      <c r="J30" s="64" t="s">
        <v>299</v>
      </c>
      <c r="K30">
        <f>IF($A30="","",IF(LEFT($A30,3)="CAP","سرمایه و آورده صاحبان",IF(LEFT($A30,2)="SL","بارفروش",IF(LEFT($A30,2)="BD","باسکول دیگران",IF(LEFT($A30,1)="C","باغدار",IF(LEFT($A30,1)="S","فروشنده سبد/تأمین‌کننده",IF(LEFT($A30,1)="E","کارمند",IF(LEFT($A30,1)="X","سایر حساب",IF(LEFT($A30,1)="F","دارایی ثابت",IF(LEFT($A30,1)="L","وام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30" s="65"/>
      <c r="M30">
        <f>IF(OR($B30="",$A30=""),"",IF(OR($B30=$K30,AND(LEFT($A30,1)="S",OR($B30="فروشنده سبد",$B30="تأمین‌کننده")),AND(LEFT($A30,2)="BD",$B30="باسکول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31" spans="1:13" ht="21" customHeight="1">
      <c r="A31" s="63" t="s">
        <v>348</v>
      </c>
      <c r="B31" s="64" t="s">
        <v>181</v>
      </c>
      <c r="C31" s="65"/>
      <c r="D31" s="65" t="s">
        <v>349</v>
      </c>
      <c r="E31" s="65"/>
      <c r="F31" s="65"/>
      <c r="G31" s="65"/>
      <c r="H31" s="66">
        <v>0</v>
      </c>
      <c r="I31" s="64" t="s">
        <v>298</v>
      </c>
      <c r="J31" s="64" t="s">
        <v>299</v>
      </c>
      <c r="K31">
        <f>IF($A31="","",IF(LEFT($A31,3)="CAP","سرمایه و آورده صاحبان",IF(LEFT($A31,2)="SL","بارفروش",IF(LEFT($A31,2)="BD","باسکول دیگران",IF(LEFT($A31,1)="C","باغدار",IF(LEFT($A31,1)="S","فروشنده سبد/تأمین‌کننده",IF(LEFT($A31,1)="E","کارمند",IF(LEFT($A31,1)="X","سایر حساب",IF(LEFT($A31,1)="F","دارایی ثابت",IF(LEFT($A31,1)="L","وام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31" s="65"/>
      <c r="M31">
        <f>IF(OR($B31="",$A31=""),"",IF(OR($B31=$K31,AND(LEFT($A31,1)="S",OR($B31="فروشنده سبد",$B31="تأمین‌کننده")),AND(LEFT($A31,2)="BD",$B31="باسکول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32" spans="1:13" ht="21" customHeight="1">
      <c r="A32" s="63" t="s">
        <v>350</v>
      </c>
      <c r="B32" s="64" t="s">
        <v>181</v>
      </c>
      <c r="C32" s="65"/>
      <c r="D32" s="65" t="s">
        <v>351</v>
      </c>
      <c r="E32" s="65"/>
      <c r="F32" s="65"/>
      <c r="G32" s="65"/>
      <c r="H32" s="66">
        <v>0</v>
      </c>
      <c r="I32" s="64" t="s">
        <v>298</v>
      </c>
      <c r="J32" s="64" t="s">
        <v>299</v>
      </c>
      <c r="K32">
        <f>IF($A32="","",IF(LEFT($A32,3)="CAP","سرمایه و آورده صاحبان",IF(LEFT($A32,2)="SL","بارفروش",IF(LEFT($A32,2)="BD","باسکول دیگران",IF(LEFT($A32,1)="C","باغدار",IF(LEFT($A32,1)="S","فروشنده سبد/تأمین‌کننده",IF(LEFT($A32,1)="E","کارمند",IF(LEFT($A32,1)="X","سایر حساب",IF(LEFT($A32,1)="F","دارایی ثابت",IF(LEFT($A32,1)="L","وام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32" s="65"/>
      <c r="M32">
        <f>IF(OR($B32="",$A32=""),"",IF(OR($B32=$K32,AND(LEFT($A32,1)="S",OR($B32="فروشنده سبد",$B32="تأمین‌کننده")),AND(LEFT($A32,2)="BD",$B32="باسکول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33" spans="1:13" ht="21" customHeight="1">
      <c r="A33" s="63" t="s">
        <v>352</v>
      </c>
      <c r="B33" s="64" t="s">
        <v>181</v>
      </c>
      <c r="C33" s="65"/>
      <c r="D33" s="65" t="s">
        <v>353</v>
      </c>
      <c r="E33" s="65"/>
      <c r="F33" s="65"/>
      <c r="G33" s="65"/>
      <c r="H33" s="66">
        <v>0</v>
      </c>
      <c r="I33" s="64" t="s">
        <v>298</v>
      </c>
      <c r="J33" s="64" t="s">
        <v>299</v>
      </c>
      <c r="K33">
        <f>IF($A33="","",IF(LEFT($A33,3)="CAP","سرمایه و آورده صاحبان",IF(LEFT($A33,2)="SL","بارفروش",IF(LEFT($A33,2)="BD","باسکول دیگران",IF(LEFT($A33,1)="C","باغدار",IF(LEFT($A33,1)="S","فروشنده سبد/تأمین‌کننده",IF(LEFT($A33,1)="E","کارمند",IF(LEFT($A33,1)="X","سایر حساب",IF(LEFT($A33,1)="F","دارایی ثابت",IF(LEFT($A33,1)="L","وام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33" s="65"/>
      <c r="M33">
        <f>IF(OR($B33="",$A33=""),"",IF(OR($B33=$K33,AND(LEFT($A33,1)="S",OR($B33="فروشنده سبد",$B33="تأمین‌کننده")),AND(LEFT($A33,2)="BD",$B33="باسکول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34" spans="1:13" ht="21" customHeight="1">
      <c r="A34" s="63" t="s">
        <v>354</v>
      </c>
      <c r="B34" s="64" t="s">
        <v>181</v>
      </c>
      <c r="C34" s="65"/>
      <c r="D34" s="65" t="s">
        <v>355</v>
      </c>
      <c r="E34" s="65"/>
      <c r="F34" s="65"/>
      <c r="G34" s="65"/>
      <c r="H34" s="66">
        <v>0</v>
      </c>
      <c r="I34" s="64" t="s">
        <v>298</v>
      </c>
      <c r="J34" s="64" t="s">
        <v>299</v>
      </c>
      <c r="K34">
        <f>IF($A34="","",IF(LEFT($A34,3)="CAP","سرمایه و آورده صاحبان",IF(LEFT($A34,2)="SL","بارفروش",IF(LEFT($A34,2)="BD","باسکول دیگران",IF(LEFT($A34,1)="C","باغدار",IF(LEFT($A34,1)="S","فروشنده سبد/تأمین‌کننده",IF(LEFT($A34,1)="E","کارمند",IF(LEFT($A34,1)="X","سایر حساب",IF(LEFT($A34,1)="F","دارایی ثابت",IF(LEFT($A34,1)="L","وام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34" s="65"/>
      <c r="M34">
        <f>IF(OR($B34="",$A34=""),"",IF(OR($B34=$K34,AND(LEFT($A34,1)="S",OR($B34="فروشنده سبد",$B34="تأمین‌کننده")),AND(LEFT($A34,2)="BD",$B34="باسکول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35" spans="1:13" ht="21" customHeight="1">
      <c r="A35" s="63" t="s">
        <v>356</v>
      </c>
      <c r="B35" s="64" t="s">
        <v>181</v>
      </c>
      <c r="C35" s="65"/>
      <c r="D35" s="65" t="s">
        <v>357</v>
      </c>
      <c r="E35" s="65"/>
      <c r="F35" s="65"/>
      <c r="G35" s="65"/>
      <c r="H35" s="66">
        <v>0</v>
      </c>
      <c r="I35" s="64" t="s">
        <v>298</v>
      </c>
      <c r="J35" s="64" t="s">
        <v>299</v>
      </c>
      <c r="K35">
        <f>IF($A35="","",IF(LEFT($A35,3)="CAP","سرمایه و آورده صاحبان",IF(LEFT($A35,2)="SL","بارفروش",IF(LEFT($A35,2)="BD","باسکول دیگران",IF(LEFT($A35,1)="C","باغدار",IF(LEFT($A35,1)="S","فروشنده سبد/تأمین‌کننده",IF(LEFT($A35,1)="E","کارمند",IF(LEFT($A35,1)="X","سایر حساب",IF(LEFT($A35,1)="F","دارایی ثابت",IF(LEFT($A35,1)="L","وام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35" s="65"/>
      <c r="M35">
        <f>IF(OR($B35="",$A35=""),"",IF(OR($B35=$K35,AND(LEFT($A35,1)="S",OR($B35="فروشنده سبد",$B35="تأمین‌کننده")),AND(LEFT($A35,2)="BD",$B35="باسکول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36" spans="1:13" ht="21" customHeight="1">
      <c r="A36" s="63" t="s">
        <v>358</v>
      </c>
      <c r="B36" s="64" t="s">
        <v>181</v>
      </c>
      <c r="C36" s="65"/>
      <c r="D36" s="65" t="s">
        <v>359</v>
      </c>
      <c r="E36" s="65"/>
      <c r="F36" s="65"/>
      <c r="G36" s="65"/>
      <c r="H36" s="66">
        <v>0</v>
      </c>
      <c r="I36" s="64" t="s">
        <v>298</v>
      </c>
      <c r="J36" s="64" t="s">
        <v>299</v>
      </c>
      <c r="K36">
        <f>IF($A36="","",IF(LEFT($A36,3)="CAP","سرمایه و آورده صاحبان",IF(LEFT($A36,2)="SL","بارفروش",IF(LEFT($A36,2)="BD","باسکول دیگران",IF(LEFT($A36,1)="C","باغدار",IF(LEFT($A36,1)="S","فروشنده سبد/تأمین‌کننده",IF(LEFT($A36,1)="E","کارمند",IF(LEFT($A36,1)="X","سایر حساب",IF(LEFT($A36,1)="F","دارایی ثابت",IF(LEFT($A36,1)="L","وام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36" s="65"/>
      <c r="M36">
        <f>IF(OR($B36="",$A36=""),"",IF(OR($B36=$K36,AND(LEFT($A36,1)="S",OR($B36="فروشنده سبد",$B36="تأمین‌کننده")),AND(LEFT($A36,2)="BD",$B36="باسکول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37" spans="1:13" ht="21" customHeight="1">
      <c r="A37" s="63" t="s">
        <v>360</v>
      </c>
      <c r="B37" s="64" t="s">
        <v>181</v>
      </c>
      <c r="C37" s="65"/>
      <c r="D37" s="65" t="s">
        <v>361</v>
      </c>
      <c r="E37" s="65"/>
      <c r="F37" s="65"/>
      <c r="G37" s="65"/>
      <c r="H37" s="66">
        <v>0</v>
      </c>
      <c r="I37" s="64" t="s">
        <v>298</v>
      </c>
      <c r="J37" s="64" t="s">
        <v>299</v>
      </c>
      <c r="K37">
        <f>IF($A37="","",IF(LEFT($A37,3)="CAP","سرمایه و آورده صاحبان",IF(LEFT($A37,2)="SL","بارفروش",IF(LEFT($A37,2)="BD","باسکول دیگران",IF(LEFT($A37,1)="C","باغدار",IF(LEFT($A37,1)="S","فروشنده سبد/تأمین‌کننده",IF(LEFT($A37,1)="E","کارمند",IF(LEFT($A37,1)="X","سایر حساب",IF(LEFT($A37,1)="F","دارایی ثابت",IF(LEFT($A37,1)="L","وام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37" s="65"/>
      <c r="M37">
        <f>IF(OR($B37="",$A37=""),"",IF(OR($B37=$K37,AND(LEFT($A37,1)="S",OR($B37="فروشنده سبد",$B37="تأمین‌کننده")),AND(LEFT($A37,2)="BD",$B37="باسکول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38" spans="1:13" ht="21" customHeight="1">
      <c r="A38" s="63" t="s">
        <v>362</v>
      </c>
      <c r="B38" s="64" t="s">
        <v>181</v>
      </c>
      <c r="C38" s="65"/>
      <c r="D38" s="65" t="s">
        <v>363</v>
      </c>
      <c r="E38" s="65"/>
      <c r="F38" s="65"/>
      <c r="G38" s="65"/>
      <c r="H38" s="66">
        <v>0</v>
      </c>
      <c r="I38" s="64" t="s">
        <v>298</v>
      </c>
      <c r="J38" s="64" t="s">
        <v>299</v>
      </c>
      <c r="K38">
        <f>IF($A38="","",IF(LEFT($A38,3)="CAP","سرمایه و آورده صاحبان",IF(LEFT($A38,2)="SL","بارفروش",IF(LEFT($A38,2)="BD","باسکول دیگران",IF(LEFT($A38,1)="C","باغدار",IF(LEFT($A38,1)="S","فروشنده سبد/تأمین‌کننده",IF(LEFT($A38,1)="E","کارمند",IF(LEFT($A38,1)="X","سایر حساب",IF(LEFT($A38,1)="F","دارایی ثابت",IF(LEFT($A38,1)="L","وام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38" s="65"/>
      <c r="M38">
        <f>IF(OR($B38="",$A38=""),"",IF(OR($B38=$K38,AND(LEFT($A38,1)="S",OR($B38="فروشنده سبد",$B38="تأمین‌کننده")),AND(LEFT($A38,2)="BD",$B38="باسکول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39" spans="1:13" ht="21" customHeight="1">
      <c r="A39" s="63" t="s">
        <v>364</v>
      </c>
      <c r="B39" s="64" t="s">
        <v>181</v>
      </c>
      <c r="C39" s="65"/>
      <c r="D39" s="65" t="s">
        <v>365</v>
      </c>
      <c r="E39" s="65"/>
      <c r="F39" s="65"/>
      <c r="G39" s="65"/>
      <c r="H39" s="66">
        <v>0</v>
      </c>
      <c r="I39" s="64" t="s">
        <v>298</v>
      </c>
      <c r="J39" s="64" t="s">
        <v>299</v>
      </c>
      <c r="K39">
        <f>IF($A39="","",IF(LEFT($A39,3)="CAP","سرمایه و آورده صاحبان",IF(LEFT($A39,2)="SL","بارفروش",IF(LEFT($A39,2)="BD","باسکول دیگران",IF(LEFT($A39,1)="C","باغدار",IF(LEFT($A39,1)="S","فروشنده سبد/تأمین‌کننده",IF(LEFT($A39,1)="E","کارمند",IF(LEFT($A39,1)="X","سایر حساب",IF(LEFT($A39,1)="F","دارایی ثابت",IF(LEFT($A39,1)="L","وام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39" s="65"/>
      <c r="M39">
        <f>IF(OR($B39="",$A39=""),"",IF(OR($B39=$K39,AND(LEFT($A39,1)="S",OR($B39="فروشنده سبد",$B39="تأمین‌کننده")),AND(LEFT($A39,2)="BD",$B39="باسکول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40" spans="1:13" ht="21" customHeight="1">
      <c r="A40" s="63" t="s">
        <v>366</v>
      </c>
      <c r="B40" s="64" t="s">
        <v>181</v>
      </c>
      <c r="C40" s="65"/>
      <c r="D40" s="65" t="s">
        <v>367</v>
      </c>
      <c r="E40" s="65"/>
      <c r="F40" s="65"/>
      <c r="G40" s="65"/>
      <c r="H40" s="66">
        <v>0</v>
      </c>
      <c r="I40" s="64" t="s">
        <v>298</v>
      </c>
      <c r="J40" s="64" t="s">
        <v>299</v>
      </c>
      <c r="K40">
        <f>IF($A40="","",IF(LEFT($A40,3)="CAP","سرمایه و آورده صاحبان",IF(LEFT($A40,2)="SL","بارفروش",IF(LEFT($A40,2)="BD","باسکول دیگران",IF(LEFT($A40,1)="C","باغدار",IF(LEFT($A40,1)="S","فروشنده سبد/تأمین‌کننده",IF(LEFT($A40,1)="E","کارمند",IF(LEFT($A40,1)="X","سایر حساب",IF(LEFT($A40,1)="F","دارایی ثابت",IF(LEFT($A40,1)="L","وام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40" s="65"/>
      <c r="M40">
        <f>IF(OR($B40="",$A40=""),"",IF(OR($B40=$K40,AND(LEFT($A40,1)="S",OR($B40="فروشنده سبد",$B40="تأمین‌کننده")),AND(LEFT($A40,2)="BD",$B40="باسکول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41" spans="1:13" ht="21" customHeight="1">
      <c r="A41" s="63" t="s">
        <v>368</v>
      </c>
      <c r="B41" s="64" t="s">
        <v>181</v>
      </c>
      <c r="C41" s="65"/>
      <c r="D41" s="65" t="s">
        <v>369</v>
      </c>
      <c r="E41" s="65"/>
      <c r="F41" s="65"/>
      <c r="G41" s="65"/>
      <c r="H41" s="66">
        <v>0</v>
      </c>
      <c r="I41" s="64" t="s">
        <v>298</v>
      </c>
      <c r="J41" s="64" t="s">
        <v>299</v>
      </c>
      <c r="K41">
        <f>IF($A41="","",IF(LEFT($A41,3)="CAP","سرمایه و آورده صاحبان",IF(LEFT($A41,2)="SL","بارفروش",IF(LEFT($A41,2)="BD","باسکول دیگران",IF(LEFT($A41,1)="C","باغدار",IF(LEFT($A41,1)="S","فروشنده سبد/تأمین‌کننده",IF(LEFT($A41,1)="E","کارمند",IF(LEFT($A41,1)="X","سایر حساب",IF(LEFT($A41,1)="F","دارایی ثابت",IF(LEFT($A41,1)="L","وام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41" s="65"/>
      <c r="M41">
        <f>IF(OR($B41="",$A41=""),"",IF(OR($B41=$K41,AND(LEFT($A41,1)="S",OR($B41="فروشنده سبد",$B41="تأمین‌کننده")),AND(LEFT($A41,2)="BD",$B41="باسکول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42" spans="1:13" ht="21" customHeight="1">
      <c r="A42" s="63" t="s">
        <v>370</v>
      </c>
      <c r="B42" s="64" t="s">
        <v>181</v>
      </c>
      <c r="C42" s="65"/>
      <c r="D42" s="65" t="s">
        <v>371</v>
      </c>
      <c r="E42" s="65"/>
      <c r="F42" s="65"/>
      <c r="G42" s="65"/>
      <c r="H42" s="66">
        <v>0</v>
      </c>
      <c r="I42" s="64" t="s">
        <v>298</v>
      </c>
      <c r="J42" s="64" t="s">
        <v>299</v>
      </c>
      <c r="K42">
        <f>IF($A42="","",IF(LEFT($A42,3)="CAP","سرمایه و آورده صاحبان",IF(LEFT($A42,2)="SL","بارفروش",IF(LEFT($A42,2)="BD","باسکول دیگران",IF(LEFT($A42,1)="C","باغدار",IF(LEFT($A42,1)="S","فروشنده سبد/تأمین‌کننده",IF(LEFT($A42,1)="E","کارمند",IF(LEFT($A42,1)="X","سایر حساب",IF(LEFT($A42,1)="F","دارایی ثابت",IF(LEFT($A42,1)="L","وام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42" s="65"/>
      <c r="M42">
        <f>IF(OR($B42="",$A42=""),"",IF(OR($B42=$K42,AND(LEFT($A42,1)="S",OR($B42="فروشنده سبد",$B42="تأمین‌کننده")),AND(LEFT($A42,2)="BD",$B42="باسکول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43" spans="1:13" ht="21" customHeight="1">
      <c r="A43" s="63" t="s">
        <v>372</v>
      </c>
      <c r="B43" s="64" t="s">
        <v>181</v>
      </c>
      <c r="C43" s="65"/>
      <c r="D43" s="65" t="s">
        <v>373</v>
      </c>
      <c r="E43" s="65"/>
      <c r="F43" s="65"/>
      <c r="G43" s="65"/>
      <c r="H43" s="66">
        <v>0</v>
      </c>
      <c r="I43" s="64" t="s">
        <v>298</v>
      </c>
      <c r="J43" s="64" t="s">
        <v>299</v>
      </c>
      <c r="K43">
        <f>IF($A43="","",IF(LEFT($A43,3)="CAP","سرمایه و آورده صاحبان",IF(LEFT($A43,2)="SL","بارفروش",IF(LEFT($A43,2)="BD","باسکول دیگران",IF(LEFT($A43,1)="C","باغدار",IF(LEFT($A43,1)="S","فروشنده سبد/تأمین‌کننده",IF(LEFT($A43,1)="E","کارمند",IF(LEFT($A43,1)="X","سایر حساب",IF(LEFT($A43,1)="F","دارایی ثابت",IF(LEFT($A43,1)="L","وام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43" s="65"/>
      <c r="M43">
        <f>IF(OR($B43="",$A43=""),"",IF(OR($B43=$K43,AND(LEFT($A43,1)="S",OR($B43="فروشنده سبد",$B43="تأمین‌کننده")),AND(LEFT($A43,2)="BD",$B43="باسکول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44" spans="1:13" ht="21" customHeight="1">
      <c r="A44" s="63" t="s">
        <v>374</v>
      </c>
      <c r="B44" s="64" t="s">
        <v>181</v>
      </c>
      <c r="C44" s="65"/>
      <c r="D44" s="65" t="s">
        <v>375</v>
      </c>
      <c r="E44" s="65"/>
      <c r="F44" s="65"/>
      <c r="G44" s="65"/>
      <c r="H44" s="66">
        <v>0</v>
      </c>
      <c r="I44" s="64" t="s">
        <v>298</v>
      </c>
      <c r="J44" s="64" t="s">
        <v>299</v>
      </c>
      <c r="K44">
        <f>IF($A44="","",IF(LEFT($A44,3)="CAP","سرمایه و آورده صاحبان",IF(LEFT($A44,2)="SL","بارفروش",IF(LEFT($A44,2)="BD","باسکول دیگران",IF(LEFT($A44,1)="C","باغدار",IF(LEFT($A44,1)="S","فروشنده سبد/تأمین‌کننده",IF(LEFT($A44,1)="E","کارمند",IF(LEFT($A44,1)="X","سایر حساب",IF(LEFT($A44,1)="F","دارایی ثابت",IF(LEFT($A44,1)="L","وام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44" s="65"/>
      <c r="M44">
        <f>IF(OR($B44="",$A44=""),"",IF(OR($B44=$K44,AND(LEFT($A44,1)="S",OR($B44="فروشنده سبد",$B44="تأمین‌کننده")),AND(LEFT($A44,2)="BD",$B44="باسکول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45" spans="1:13" ht="21" customHeight="1">
      <c r="A45" s="63" t="s">
        <v>376</v>
      </c>
      <c r="B45" s="64" t="s">
        <v>181</v>
      </c>
      <c r="C45" s="65"/>
      <c r="D45" s="65" t="s">
        <v>377</v>
      </c>
      <c r="E45" s="65"/>
      <c r="F45" s="65"/>
      <c r="G45" s="65"/>
      <c r="H45" s="66">
        <v>0</v>
      </c>
      <c r="I45" s="64" t="s">
        <v>298</v>
      </c>
      <c r="J45" s="64" t="s">
        <v>299</v>
      </c>
      <c r="K45">
        <f>IF($A45="","",IF(LEFT($A45,3)="CAP","سرمایه و آورده صاحبان",IF(LEFT($A45,2)="SL","بارفروش",IF(LEFT($A45,2)="BD","باسکول دیگران",IF(LEFT($A45,1)="C","باغدار",IF(LEFT($A45,1)="S","فروشنده سبد/تأمین‌کننده",IF(LEFT($A45,1)="E","کارمند",IF(LEFT($A45,1)="X","سایر حساب",IF(LEFT($A45,1)="F","دارایی ثابت",IF(LEFT($A45,1)="L","وام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45" s="65"/>
      <c r="M45">
        <f>IF(OR($B45="",$A45=""),"",IF(OR($B45=$K45,AND(LEFT($A45,1)="S",OR($B45="فروشنده سبد",$B45="تأمین‌کننده")),AND(LEFT($A45,2)="BD",$B45="باسکول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46" spans="1:13" ht="21" customHeight="1">
      <c r="A46" s="63" t="s">
        <v>378</v>
      </c>
      <c r="B46" s="64" t="s">
        <v>181</v>
      </c>
      <c r="C46" s="65"/>
      <c r="D46" s="65" t="s">
        <v>379</v>
      </c>
      <c r="E46" s="65"/>
      <c r="F46" s="65"/>
      <c r="G46" s="65"/>
      <c r="H46" s="66">
        <v>0</v>
      </c>
      <c r="I46" s="64" t="s">
        <v>298</v>
      </c>
      <c r="J46" s="64" t="s">
        <v>299</v>
      </c>
      <c r="K46">
        <f>IF($A46="","",IF(LEFT($A46,3)="CAP","سرمایه و آورده صاحبان",IF(LEFT($A46,2)="SL","بارفروش",IF(LEFT($A46,2)="BD","باسکول دیگران",IF(LEFT($A46,1)="C","باغدار",IF(LEFT($A46,1)="S","فروشنده سبد/تأمین‌کننده",IF(LEFT($A46,1)="E","کارمند",IF(LEFT($A46,1)="X","سایر حساب",IF(LEFT($A46,1)="F","دارایی ثابت",IF(LEFT($A46,1)="L","وام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46" s="65"/>
      <c r="M46">
        <f>IF(OR($B46="",$A46=""),"",IF(OR($B46=$K46,AND(LEFT($A46,1)="S",OR($B46="فروشنده سبد",$B46="تأمین‌کننده")),AND(LEFT($A46,2)="BD",$B46="باسکول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47" spans="1:13" ht="21" customHeight="1">
      <c r="A47" s="63" t="s">
        <v>380</v>
      </c>
      <c r="B47" s="64" t="s">
        <v>181</v>
      </c>
      <c r="C47" s="65"/>
      <c r="D47" s="65" t="s">
        <v>381</v>
      </c>
      <c r="E47" s="65"/>
      <c r="F47" s="65"/>
      <c r="G47" s="65"/>
      <c r="H47" s="66">
        <v>0</v>
      </c>
      <c r="I47" s="64" t="s">
        <v>298</v>
      </c>
      <c r="J47" s="64" t="s">
        <v>299</v>
      </c>
      <c r="K47">
        <f>IF($A47="","",IF(LEFT($A47,3)="CAP","سرمایه و آورده صاحبان",IF(LEFT($A47,2)="SL","بارفروش",IF(LEFT($A47,2)="BD","باسکول دیگران",IF(LEFT($A47,1)="C","باغدار",IF(LEFT($A47,1)="S","فروشنده سبد/تأمین‌کننده",IF(LEFT($A47,1)="E","کارمند",IF(LEFT($A47,1)="X","سایر حساب",IF(LEFT($A47,1)="F","دارایی ثابت",IF(LEFT($A47,1)="L","وام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47" s="65"/>
      <c r="M47">
        <f>IF(OR($B47="",$A47=""),"",IF(OR($B47=$K47,AND(LEFT($A47,1)="S",OR($B47="فروشنده سبد",$B47="تأمین‌کننده")),AND(LEFT($A47,2)="BD",$B47="باسکول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48" spans="1:13" ht="21" customHeight="1">
      <c r="A48" s="63" t="s">
        <v>382</v>
      </c>
      <c r="B48" s="64" t="s">
        <v>181</v>
      </c>
      <c r="C48" s="65"/>
      <c r="D48" s="65" t="s">
        <v>383</v>
      </c>
      <c r="E48" s="65"/>
      <c r="F48" s="65"/>
      <c r="G48" s="65"/>
      <c r="H48" s="66">
        <v>0</v>
      </c>
      <c r="I48" s="64" t="s">
        <v>298</v>
      </c>
      <c r="J48" s="64" t="s">
        <v>299</v>
      </c>
      <c r="K48">
        <f>IF($A48="","",IF(LEFT($A48,3)="CAP","سرمایه و آورده صاحبان",IF(LEFT($A48,2)="SL","بارفروش",IF(LEFT($A48,2)="BD","باسکول دیگران",IF(LEFT($A48,1)="C","باغدار",IF(LEFT($A48,1)="S","فروشنده سبد/تأمین‌کننده",IF(LEFT($A48,1)="E","کارمند",IF(LEFT($A48,1)="X","سایر حساب",IF(LEFT($A48,1)="F","دارایی ثابت",IF(LEFT($A48,1)="L","وام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48" s="65"/>
      <c r="M48">
        <f>IF(OR($B48="",$A48=""),"",IF(OR($B48=$K48,AND(LEFT($A48,1)="S",OR($B48="فروشنده سبد",$B48="تأمین‌کننده")),AND(LEFT($A48,2)="BD",$B48="باسکول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49" spans="1:13" ht="21" customHeight="1">
      <c r="A49" s="63" t="s">
        <v>384</v>
      </c>
      <c r="B49" s="64" t="s">
        <v>181</v>
      </c>
      <c r="C49" s="65"/>
      <c r="D49" s="65" t="s">
        <v>385</v>
      </c>
      <c r="E49" s="65"/>
      <c r="F49" s="65"/>
      <c r="G49" s="65"/>
      <c r="H49" s="66">
        <v>0</v>
      </c>
      <c r="I49" s="64" t="s">
        <v>298</v>
      </c>
      <c r="J49" s="64" t="s">
        <v>299</v>
      </c>
      <c r="K49">
        <f>IF($A49="","",IF(LEFT($A49,3)="CAP","سرمایه و آورده صاحبان",IF(LEFT($A49,2)="SL","بارفروش",IF(LEFT($A49,2)="BD","باسکول دیگران",IF(LEFT($A49,1)="C","باغدار",IF(LEFT($A49,1)="S","فروشنده سبد/تأمین‌کننده",IF(LEFT($A49,1)="E","کارمند",IF(LEFT($A49,1)="X","سایر حساب",IF(LEFT($A49,1)="F","دارایی ثابت",IF(LEFT($A49,1)="L","وام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49" s="65"/>
      <c r="M49">
        <f>IF(OR($B49="",$A49=""),"",IF(OR($B49=$K49,AND(LEFT($A49,1)="S",OR($B49="فروشنده سبد",$B49="تأمین‌کننده")),AND(LEFT($A49,2)="BD",$B49="باسکول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50" spans="1:13" ht="21" customHeight="1">
      <c r="A50" s="63" t="s">
        <v>386</v>
      </c>
      <c r="B50" s="64" t="s">
        <v>181</v>
      </c>
      <c r="C50" s="65"/>
      <c r="D50" s="65" t="s">
        <v>387</v>
      </c>
      <c r="E50" s="65"/>
      <c r="F50" s="65"/>
      <c r="G50" s="65"/>
      <c r="H50" s="66">
        <v>0</v>
      </c>
      <c r="I50" s="64" t="s">
        <v>298</v>
      </c>
      <c r="J50" s="64" t="s">
        <v>299</v>
      </c>
      <c r="K50">
        <f>IF($A50="","",IF(LEFT($A50,3)="CAP","سرمایه و آورده صاحبان",IF(LEFT($A50,2)="SL","بارفروش",IF(LEFT($A50,2)="BD","باسکول دیگران",IF(LEFT($A50,1)="C","باغدار",IF(LEFT($A50,1)="S","فروشنده سبد/تأمین‌کننده",IF(LEFT($A50,1)="E","کارمند",IF(LEFT($A50,1)="X","سایر حساب",IF(LEFT($A50,1)="F","دارایی ثابت",IF(LEFT($A50,1)="L","وام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50" s="65"/>
      <c r="M50">
        <f>IF(OR($B50="",$A50=""),"",IF(OR($B50=$K50,AND(LEFT($A50,1)="S",OR($B50="فروشنده سبد",$B50="تأمین‌کننده")),AND(LEFT($A50,2)="BD",$B50="باسکول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51" spans="1:13" ht="21" customHeight="1">
      <c r="A51" s="63" t="s">
        <v>388</v>
      </c>
      <c r="B51" s="64" t="s">
        <v>181</v>
      </c>
      <c r="C51" s="65"/>
      <c r="D51" s="65" t="s">
        <v>389</v>
      </c>
      <c r="E51" s="65"/>
      <c r="F51" s="65"/>
      <c r="G51" s="65"/>
      <c r="H51" s="66">
        <v>0</v>
      </c>
      <c r="I51" s="64" t="s">
        <v>298</v>
      </c>
      <c r="J51" s="64" t="s">
        <v>299</v>
      </c>
      <c r="K51">
        <f>IF($A51="","",IF(LEFT($A51,3)="CAP","سرمایه و آورده صاحبان",IF(LEFT($A51,2)="SL","بارفروش",IF(LEFT($A51,2)="BD","باسکول دیگران",IF(LEFT($A51,1)="C","باغدار",IF(LEFT($A51,1)="S","فروشنده سبد/تأمین‌کننده",IF(LEFT($A51,1)="E","کارمند",IF(LEFT($A51,1)="X","سایر حساب",IF(LEFT($A51,1)="F","دارایی ثابت",IF(LEFT($A51,1)="L","وام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51" s="65"/>
      <c r="M51">
        <f>IF(OR($B51="",$A51=""),"",IF(OR($B51=$K51,AND(LEFT($A51,1)="S",OR($B51="فروشنده سبد",$B51="تأمین‌کننده")),AND(LEFT($A51,2)="BD",$B51="باسکول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52" spans="1:13" ht="21" customHeight="1">
      <c r="A52" s="63" t="s">
        <v>390</v>
      </c>
      <c r="B52" s="64" t="s">
        <v>181</v>
      </c>
      <c r="C52" s="65"/>
      <c r="D52" s="65" t="s">
        <v>391</v>
      </c>
      <c r="E52" s="65"/>
      <c r="F52" s="65"/>
      <c r="G52" s="65"/>
      <c r="H52" s="66">
        <v>0</v>
      </c>
      <c r="I52" s="64" t="s">
        <v>298</v>
      </c>
      <c r="J52" s="64" t="s">
        <v>299</v>
      </c>
      <c r="K52">
        <f>IF($A52="","",IF(LEFT($A52,3)="CAP","سرمایه و آورده صاحبان",IF(LEFT($A52,2)="SL","بارفروش",IF(LEFT($A52,2)="BD","باسکول دیگران",IF(LEFT($A52,1)="C","باغدار",IF(LEFT($A52,1)="S","فروشنده سبد/تأمین‌کننده",IF(LEFT($A52,1)="E","کارمند",IF(LEFT($A52,1)="X","سایر حساب",IF(LEFT($A52,1)="F","دارایی ثابت",IF(LEFT($A52,1)="L","وام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52" s="65"/>
      <c r="M52">
        <f>IF(OR($B52="",$A52=""),"",IF(OR($B52=$K52,AND(LEFT($A52,1)="S",OR($B52="فروشنده سبد",$B52="تأمین‌کننده")),AND(LEFT($A52,2)="BD",$B52="باسکول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53" spans="1:13" ht="21" customHeight="1">
      <c r="A53" s="63" t="s">
        <v>392</v>
      </c>
      <c r="B53" s="64" t="s">
        <v>181</v>
      </c>
      <c r="C53" s="65"/>
      <c r="D53" s="65" t="s">
        <v>393</v>
      </c>
      <c r="E53" s="65"/>
      <c r="F53" s="65"/>
      <c r="G53" s="65"/>
      <c r="H53" s="66">
        <v>0</v>
      </c>
      <c r="I53" s="64" t="s">
        <v>298</v>
      </c>
      <c r="J53" s="64" t="s">
        <v>299</v>
      </c>
      <c r="K53">
        <f>IF($A53="","",IF(LEFT($A53,3)="CAP","سرمایه و آورده صاحبان",IF(LEFT($A53,2)="SL","بارفروش",IF(LEFT($A53,2)="BD","باسکول دیگران",IF(LEFT($A53,1)="C","باغدار",IF(LEFT($A53,1)="S","فروشنده سبد/تأمین‌کننده",IF(LEFT($A53,1)="E","کارمند",IF(LEFT($A53,1)="X","سایر حساب",IF(LEFT($A53,1)="F","دارایی ثابت",IF(LEFT($A53,1)="L","وام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53" s="65"/>
      <c r="M53">
        <f>IF(OR($B53="",$A53=""),"",IF(OR($B53=$K53,AND(LEFT($A53,1)="S",OR($B53="فروشنده سبد",$B53="تأمین‌کننده")),AND(LEFT($A53,2)="BD",$B53="باسکول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54" spans="1:13" ht="21" customHeight="1">
      <c r="A54" s="63" t="s">
        <v>394</v>
      </c>
      <c r="B54" s="64" t="s">
        <v>181</v>
      </c>
      <c r="C54" s="65"/>
      <c r="D54" s="65" t="s">
        <v>395</v>
      </c>
      <c r="E54" s="65"/>
      <c r="F54" s="65"/>
      <c r="G54" s="65"/>
      <c r="H54" s="66">
        <v>0</v>
      </c>
      <c r="I54" s="64" t="s">
        <v>298</v>
      </c>
      <c r="J54" s="64" t="s">
        <v>299</v>
      </c>
      <c r="K54">
        <f>IF($A54="","",IF(LEFT($A54,3)="CAP","سرمایه و آورده صاحبان",IF(LEFT($A54,2)="SL","بارفروش",IF(LEFT($A54,2)="BD","باسکول دیگران",IF(LEFT($A54,1)="C","باغدار",IF(LEFT($A54,1)="S","فروشنده سبد/تأمین‌کننده",IF(LEFT($A54,1)="E","کارمند",IF(LEFT($A54,1)="X","سایر حساب",IF(LEFT($A54,1)="F","دارایی ثابت",IF(LEFT($A54,1)="L","وام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54" s="65"/>
      <c r="M54">
        <f>IF(OR($B54="",$A54=""),"",IF(OR($B54=$K54,AND(LEFT($A54,1)="S",OR($B54="فروشنده سبد",$B54="تأمین‌کننده")),AND(LEFT($A54,2)="BD",$B54="باسکول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55" spans="1:13" ht="21" customHeight="1">
      <c r="A55" s="63" t="s">
        <v>396</v>
      </c>
      <c r="B55" s="64" t="s">
        <v>181</v>
      </c>
      <c r="C55" s="65"/>
      <c r="D55" s="65" t="s">
        <v>397</v>
      </c>
      <c r="E55" s="65"/>
      <c r="F55" s="65"/>
      <c r="G55" s="65"/>
      <c r="H55" s="66">
        <v>0</v>
      </c>
      <c r="I55" s="64" t="s">
        <v>298</v>
      </c>
      <c r="J55" s="64" t="s">
        <v>299</v>
      </c>
      <c r="K55">
        <f>IF($A55="","",IF(LEFT($A55,3)="CAP","سرمایه و آورده صاحبان",IF(LEFT($A55,2)="SL","بارفروش",IF(LEFT($A55,2)="BD","باسکول دیگران",IF(LEFT($A55,1)="C","باغدار",IF(LEFT($A55,1)="S","فروشنده سبد/تأمین‌کننده",IF(LEFT($A55,1)="E","کارمند",IF(LEFT($A55,1)="X","سایر حساب",IF(LEFT($A55,1)="F","دارایی ثابت",IF(LEFT($A55,1)="L","وام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55" s="65"/>
      <c r="M55">
        <f>IF(OR($B55="",$A55=""),"",IF(OR($B55=$K55,AND(LEFT($A55,1)="S",OR($B55="فروشنده سبد",$B55="تأمین‌کننده")),AND(LEFT($A55,2)="BD",$B55="باسکول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56" spans="1:13" ht="21" customHeight="1">
      <c r="A56" s="63" t="s">
        <v>398</v>
      </c>
      <c r="B56" s="64" t="s">
        <v>181</v>
      </c>
      <c r="C56" s="65"/>
      <c r="D56" s="65" t="s">
        <v>399</v>
      </c>
      <c r="E56" s="65"/>
      <c r="F56" s="65"/>
      <c r="G56" s="65"/>
      <c r="H56" s="66">
        <v>0</v>
      </c>
      <c r="I56" s="64" t="s">
        <v>298</v>
      </c>
      <c r="J56" s="64" t="s">
        <v>299</v>
      </c>
      <c r="K56">
        <f>IF($A56="","",IF(LEFT($A56,3)="CAP","سرمایه و آورده صاحبان",IF(LEFT($A56,2)="SL","بارفروش",IF(LEFT($A56,2)="BD","باسکول دیگران",IF(LEFT($A56,1)="C","باغدار",IF(LEFT($A56,1)="S","فروشنده سبد/تأمین‌کننده",IF(LEFT($A56,1)="E","کارمند",IF(LEFT($A56,1)="X","سایر حساب",IF(LEFT($A56,1)="F","دارایی ثابت",IF(LEFT($A56,1)="L","وام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56" s="65"/>
      <c r="M56">
        <f>IF(OR($B56="",$A56=""),"",IF(OR($B56=$K56,AND(LEFT($A56,1)="S",OR($B56="فروشنده سبد",$B56="تأمین‌کننده")),AND(LEFT($A56,2)="BD",$B56="باسکول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57" spans="1:13" ht="21" customHeight="1">
      <c r="A57" s="63" t="s">
        <v>400</v>
      </c>
      <c r="B57" s="64" t="s">
        <v>181</v>
      </c>
      <c r="C57" s="65"/>
      <c r="D57" s="65" t="s">
        <v>401</v>
      </c>
      <c r="E57" s="65"/>
      <c r="F57" s="65"/>
      <c r="G57" s="65"/>
      <c r="H57" s="66">
        <v>0</v>
      </c>
      <c r="I57" s="64" t="s">
        <v>298</v>
      </c>
      <c r="J57" s="64" t="s">
        <v>299</v>
      </c>
      <c r="K57">
        <f>IF($A57="","",IF(LEFT($A57,3)="CAP","سرمایه و آورده صاحبان",IF(LEFT($A57,2)="SL","بارفروش",IF(LEFT($A57,2)="BD","باسکول دیگران",IF(LEFT($A57,1)="C","باغدار",IF(LEFT($A57,1)="S","فروشنده سبد/تأمین‌کننده",IF(LEFT($A57,1)="E","کارمند",IF(LEFT($A57,1)="X","سایر حساب",IF(LEFT($A57,1)="F","دارایی ثابت",IF(LEFT($A57,1)="L","وام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57" s="65"/>
      <c r="M57">
        <f>IF(OR($B57="",$A57=""),"",IF(OR($B57=$K57,AND(LEFT($A57,1)="S",OR($B57="فروشنده سبد",$B57="تأمین‌کننده")),AND(LEFT($A57,2)="BD",$B57="باسکول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58" spans="1:13" ht="21" customHeight="1">
      <c r="A58" s="63" t="s">
        <v>402</v>
      </c>
      <c r="B58" s="64" t="s">
        <v>181</v>
      </c>
      <c r="C58" s="65"/>
      <c r="D58" s="65" t="s">
        <v>403</v>
      </c>
      <c r="E58" s="65"/>
      <c r="F58" s="65"/>
      <c r="G58" s="65"/>
      <c r="H58" s="66">
        <v>0</v>
      </c>
      <c r="I58" s="64" t="s">
        <v>298</v>
      </c>
      <c r="J58" s="64" t="s">
        <v>299</v>
      </c>
      <c r="K58">
        <f>IF($A58="","",IF(LEFT($A58,3)="CAP","سرمایه و آورده صاحبان",IF(LEFT($A58,2)="SL","بارفروش",IF(LEFT($A58,2)="BD","باسکول دیگران",IF(LEFT($A58,1)="C","باغدار",IF(LEFT($A58,1)="S","فروشنده سبد/تأمین‌کننده",IF(LEFT($A58,1)="E","کارمند",IF(LEFT($A58,1)="X","سایر حساب",IF(LEFT($A58,1)="F","دارایی ثابت",IF(LEFT($A58,1)="L","وام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58" s="65"/>
      <c r="M58">
        <f>IF(OR($B58="",$A58=""),"",IF(OR($B58=$K58,AND(LEFT($A58,1)="S",OR($B58="فروشنده سبد",$B58="تأمین‌کننده")),AND(LEFT($A58,2)="BD",$B58="باسکول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59" spans="1:13" ht="21" customHeight="1">
      <c r="A59" s="63" t="s">
        <v>404</v>
      </c>
      <c r="B59" s="64" t="s">
        <v>181</v>
      </c>
      <c r="C59" s="65"/>
      <c r="D59" s="65" t="s">
        <v>405</v>
      </c>
      <c r="E59" s="65"/>
      <c r="F59" s="65"/>
      <c r="G59" s="65"/>
      <c r="H59" s="66">
        <v>0</v>
      </c>
      <c r="I59" s="64" t="s">
        <v>298</v>
      </c>
      <c r="J59" s="64" t="s">
        <v>299</v>
      </c>
      <c r="K59">
        <f>IF($A59="","",IF(LEFT($A59,3)="CAP","سرمایه و آورده صاحبان",IF(LEFT($A59,2)="SL","بارفروش",IF(LEFT($A59,2)="BD","باسکول دیگران",IF(LEFT($A59,1)="C","باغدار",IF(LEFT($A59,1)="S","فروشنده سبد/تأمین‌کننده",IF(LEFT($A59,1)="E","کارمند",IF(LEFT($A59,1)="X","سایر حساب",IF(LEFT($A59,1)="F","دارایی ثابت",IF(LEFT($A59,1)="L","وام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59" s="65"/>
      <c r="M59">
        <f>IF(OR($B59="",$A59=""),"",IF(OR($B59=$K59,AND(LEFT($A59,1)="S",OR($B59="فروشنده سبد",$B59="تأمین‌کننده")),AND(LEFT($A59,2)="BD",$B59="باسکول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60" spans="1:13" ht="21" customHeight="1">
      <c r="A60" s="63" t="s">
        <v>406</v>
      </c>
      <c r="B60" s="64" t="s">
        <v>181</v>
      </c>
      <c r="C60" s="65"/>
      <c r="D60" s="65" t="s">
        <v>407</v>
      </c>
      <c r="E60" s="65"/>
      <c r="F60" s="65"/>
      <c r="G60" s="65"/>
      <c r="H60" s="66">
        <v>0</v>
      </c>
      <c r="I60" s="64" t="s">
        <v>298</v>
      </c>
      <c r="J60" s="64" t="s">
        <v>299</v>
      </c>
      <c r="K60">
        <f>IF($A60="","",IF(LEFT($A60,3)="CAP","سرمایه و آورده صاحبان",IF(LEFT($A60,2)="SL","بارفروش",IF(LEFT($A60,2)="BD","باسکول دیگران",IF(LEFT($A60,1)="C","باغدار",IF(LEFT($A60,1)="S","فروشنده سبد/تأمین‌کننده",IF(LEFT($A60,1)="E","کارمند",IF(LEFT($A60,1)="X","سایر حساب",IF(LEFT($A60,1)="F","دارایی ثابت",IF(LEFT($A60,1)="L","وام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60" s="65"/>
      <c r="M60">
        <f>IF(OR($B60="",$A60=""),"",IF(OR($B60=$K60,AND(LEFT($A60,1)="S",OR($B60="فروشنده سبد",$B60="تأمین‌کننده")),AND(LEFT($A60,2)="BD",$B60="باسکول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61" spans="1:13" ht="21" customHeight="1">
      <c r="A61" s="63" t="s">
        <v>408</v>
      </c>
      <c r="B61" s="64" t="s">
        <v>181</v>
      </c>
      <c r="C61" s="65"/>
      <c r="D61" s="65" t="s">
        <v>409</v>
      </c>
      <c r="E61" s="65"/>
      <c r="F61" s="65"/>
      <c r="G61" s="65"/>
      <c r="H61" s="66">
        <v>0</v>
      </c>
      <c r="I61" s="64" t="s">
        <v>298</v>
      </c>
      <c r="J61" s="64" t="s">
        <v>299</v>
      </c>
      <c r="K61">
        <f>IF($A61="","",IF(LEFT($A61,3)="CAP","سرمایه و آورده صاحبان",IF(LEFT($A61,2)="SL","بارفروش",IF(LEFT($A61,2)="BD","باسکول دیگران",IF(LEFT($A61,1)="C","باغدار",IF(LEFT($A61,1)="S","فروشنده سبد/تأمین‌کننده",IF(LEFT($A61,1)="E","کارمند",IF(LEFT($A61,1)="X","سایر حساب",IF(LEFT($A61,1)="F","دارایی ثابت",IF(LEFT($A61,1)="L","وام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61" s="65"/>
      <c r="M61">
        <f>IF(OR($B61="",$A61=""),"",IF(OR($B61=$K61,AND(LEFT($A61,1)="S",OR($B61="فروشنده سبد",$B61="تأمین‌کننده")),AND(LEFT($A61,2)="BD",$B61="باسکول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62" spans="1:13" ht="21" customHeight="1">
      <c r="A62" s="63" t="s">
        <v>410</v>
      </c>
      <c r="B62" s="64" t="s">
        <v>181</v>
      </c>
      <c r="C62" s="65"/>
      <c r="D62" s="65" t="s">
        <v>411</v>
      </c>
      <c r="E62" s="65"/>
      <c r="F62" s="65"/>
      <c r="G62" s="65"/>
      <c r="H62" s="66">
        <v>0</v>
      </c>
      <c r="I62" s="64" t="s">
        <v>298</v>
      </c>
      <c r="J62" s="64" t="s">
        <v>299</v>
      </c>
      <c r="K62">
        <f>IF($A62="","",IF(LEFT($A62,3)="CAP","سرمایه و آورده صاحبان",IF(LEFT($A62,2)="SL","بارفروش",IF(LEFT($A62,2)="BD","باسکول دیگران",IF(LEFT($A62,1)="C","باغدار",IF(LEFT($A62,1)="S","فروشنده سبد/تأمین‌کننده",IF(LEFT($A62,1)="E","کارمند",IF(LEFT($A62,1)="X","سایر حساب",IF(LEFT($A62,1)="F","دارایی ثابت",IF(LEFT($A62,1)="L","وام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62" s="65"/>
      <c r="M62">
        <f>IF(OR($B62="",$A62=""),"",IF(OR($B62=$K62,AND(LEFT($A62,1)="S",OR($B62="فروشنده سبد",$B62="تأمین‌کننده")),AND(LEFT($A62,2)="BD",$B62="باسکول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63" spans="1:13" ht="21" customHeight="1">
      <c r="A63" s="63" t="s">
        <v>412</v>
      </c>
      <c r="B63" s="64" t="s">
        <v>181</v>
      </c>
      <c r="C63" s="65"/>
      <c r="D63" s="65" t="s">
        <v>413</v>
      </c>
      <c r="E63" s="65"/>
      <c r="F63" s="65"/>
      <c r="G63" s="65"/>
      <c r="H63" s="66">
        <v>0</v>
      </c>
      <c r="I63" s="64" t="s">
        <v>298</v>
      </c>
      <c r="J63" s="64" t="s">
        <v>299</v>
      </c>
      <c r="K63">
        <f>IF($A63="","",IF(LEFT($A63,3)="CAP","سرمایه و آورده صاحبان",IF(LEFT($A63,2)="SL","بارفروش",IF(LEFT($A63,2)="BD","باسکول دیگران",IF(LEFT($A63,1)="C","باغدار",IF(LEFT($A63,1)="S","فروشنده سبد/تأمین‌کننده",IF(LEFT($A63,1)="E","کارمند",IF(LEFT($A63,1)="X","سایر حساب",IF(LEFT($A63,1)="F","دارایی ثابت",IF(LEFT($A63,1)="L","وام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63" s="65"/>
      <c r="M63">
        <f>IF(OR($B63="",$A63=""),"",IF(OR($B63=$K63,AND(LEFT($A63,1)="S",OR($B63="فروشنده سبد",$B63="تأمین‌کننده")),AND(LEFT($A63,2)="BD",$B63="باسکول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64" spans="1:13" ht="21" customHeight="1">
      <c r="A64" s="63" t="s">
        <v>414</v>
      </c>
      <c r="B64" s="64" t="s">
        <v>181</v>
      </c>
      <c r="C64" s="65"/>
      <c r="D64" s="65" t="s">
        <v>415</v>
      </c>
      <c r="E64" s="65"/>
      <c r="F64" s="65"/>
      <c r="G64" s="65"/>
      <c r="H64" s="66">
        <v>0</v>
      </c>
      <c r="I64" s="64" t="s">
        <v>298</v>
      </c>
      <c r="J64" s="64" t="s">
        <v>299</v>
      </c>
      <c r="K64">
        <f>IF($A64="","",IF(LEFT($A64,3)="CAP","سرمایه و آورده صاحبان",IF(LEFT($A64,2)="SL","بارفروش",IF(LEFT($A64,2)="BD","باسکول دیگران",IF(LEFT($A64,1)="C","باغدار",IF(LEFT($A64,1)="S","فروشنده سبد/تأمین‌کننده",IF(LEFT($A64,1)="E","کارمند",IF(LEFT($A64,1)="X","سایر حساب",IF(LEFT($A64,1)="F","دارایی ثابت",IF(LEFT($A64,1)="L","وام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64" s="65"/>
      <c r="M64">
        <f>IF(OR($B64="",$A64=""),"",IF(OR($B64=$K64,AND(LEFT($A64,1)="S",OR($B64="فروشنده سبد",$B64="تأمین‌کننده")),AND(LEFT($A64,2)="BD",$B64="باسکول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65" spans="1:13" ht="21" customHeight="1">
      <c r="A65" s="63" t="s">
        <v>416</v>
      </c>
      <c r="B65" s="64" t="s">
        <v>181</v>
      </c>
      <c r="C65" s="65"/>
      <c r="D65" s="65" t="s">
        <v>417</v>
      </c>
      <c r="E65" s="65"/>
      <c r="F65" s="65"/>
      <c r="G65" s="65"/>
      <c r="H65" s="66">
        <v>0</v>
      </c>
      <c r="I65" s="64" t="s">
        <v>298</v>
      </c>
      <c r="J65" s="64" t="s">
        <v>299</v>
      </c>
      <c r="K65">
        <f>IF($A65="","",IF(LEFT($A65,3)="CAP","سرمایه و آورده صاحبان",IF(LEFT($A65,2)="SL","بارفروش",IF(LEFT($A65,2)="BD","باسکول دیگران",IF(LEFT($A65,1)="C","باغدار",IF(LEFT($A65,1)="S","فروشنده سبد/تأمین‌کننده",IF(LEFT($A65,1)="E","کارمند",IF(LEFT($A65,1)="X","سایر حساب",IF(LEFT($A65,1)="F","دارایی ثابت",IF(LEFT($A65,1)="L","وام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65" s="65"/>
      <c r="M65">
        <f>IF(OR($B65="",$A65=""),"",IF(OR($B65=$K65,AND(LEFT($A65,1)="S",OR($B65="فروشنده سبد",$B65="تأمین‌کننده")),AND(LEFT($A65,2)="BD",$B65="باسکول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66" spans="1:13" ht="21" customHeight="1">
      <c r="A66" s="63" t="s">
        <v>418</v>
      </c>
      <c r="B66" s="64" t="s">
        <v>181</v>
      </c>
      <c r="C66" s="65"/>
      <c r="D66" s="65" t="s">
        <v>419</v>
      </c>
      <c r="E66" s="65"/>
      <c r="F66" s="65"/>
      <c r="G66" s="65"/>
      <c r="H66" s="66">
        <v>0</v>
      </c>
      <c r="I66" s="64" t="s">
        <v>298</v>
      </c>
      <c r="J66" s="64" t="s">
        <v>299</v>
      </c>
      <c r="K66">
        <f>IF($A66="","",IF(LEFT($A66,3)="CAP","سرمایه و آورده صاحبان",IF(LEFT($A66,2)="SL","بارفروش",IF(LEFT($A66,2)="BD","باسکول دیگران",IF(LEFT($A66,1)="C","باغدار",IF(LEFT($A66,1)="S","فروشنده سبد/تأمین‌کننده",IF(LEFT($A66,1)="E","کارمند",IF(LEFT($A66,1)="X","سایر حساب",IF(LEFT($A66,1)="F","دارایی ثابت",IF(LEFT($A66,1)="L","وام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66" s="65"/>
      <c r="M66">
        <f>IF(OR($B66="",$A66=""),"",IF(OR($B66=$K66,AND(LEFT($A66,1)="S",OR($B66="فروشنده سبد",$B66="تأمین‌کننده")),AND(LEFT($A66,2)="BD",$B66="باسکول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67" spans="1:13" ht="21" customHeight="1">
      <c r="A67" s="63" t="s">
        <v>420</v>
      </c>
      <c r="B67" s="64" t="s">
        <v>193</v>
      </c>
      <c r="C67" s="65" t="s">
        <v>194</v>
      </c>
      <c r="D67" s="65" t="s">
        <v>421</v>
      </c>
      <c r="E67" s="65"/>
      <c r="F67" s="65" t="s">
        <v>422</v>
      </c>
      <c r="G67" s="65" t="s">
        <v>423</v>
      </c>
      <c r="H67" s="66">
        <v>0</v>
      </c>
      <c r="I67" s="64" t="s">
        <v>298</v>
      </c>
      <c r="J67" s="64" t="s">
        <v>299</v>
      </c>
      <c r="K67">
        <f>IF($A67="","",IF(LEFT($A67,3)="CAP","سرمایه و آورده صاحبان",IF(LEFT($A67,2)="SL","بارفروش",IF(LEFT($A67,2)="BD","باسکول دیگران",IF(LEFT($A67,1)="C","باغدار",IF(LEFT($A67,1)="S","فروشنده سبد/تأمین‌کننده",IF(LEFT($A67,1)="E","کارمند",IF(LEFT($A67,1)="X","سایر حساب",IF(LEFT($A67,1)="F","دارایی ثابت",IF(LEFT($A67,1)="L","وام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67" s="65" t="s">
        <v>424</v>
      </c>
      <c r="M67">
        <f>IF(OR($B67="",$A67=""),"",IF(OR($B67=$K67,AND(LEFT($A67,1)="S",OR($B67="فروشنده سبد",$B67="تأمین‌کننده")),AND(LEFT($A67,2)="BD",$B67="باسکول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68" spans="1:13" ht="21" customHeight="1">
      <c r="A68" s="63" t="s">
        <v>425</v>
      </c>
      <c r="B68" s="64" t="s">
        <v>193</v>
      </c>
      <c r="C68" s="65" t="s">
        <v>194</v>
      </c>
      <c r="D68" s="65" t="s">
        <v>426</v>
      </c>
      <c r="E68" s="65"/>
      <c r="F68" s="65" t="s">
        <v>427</v>
      </c>
      <c r="G68" s="65" t="s">
        <v>428</v>
      </c>
      <c r="H68" s="66">
        <v>0</v>
      </c>
      <c r="I68" s="64" t="s">
        <v>298</v>
      </c>
      <c r="J68" s="64" t="s">
        <v>299</v>
      </c>
      <c r="K68">
        <f>IF($A68="","",IF(LEFT($A68,3)="CAP","سرمایه و آورده صاحبان",IF(LEFT($A68,2)="SL","بارفروش",IF(LEFT($A68,2)="BD","باسکول دیگران",IF(LEFT($A68,1)="C","باغدار",IF(LEFT($A68,1)="S","فروشنده سبد/تأمین‌کننده",IF(LEFT($A68,1)="E","کارمند",IF(LEFT($A68,1)="X","سایر حساب",IF(LEFT($A68,1)="F","دارایی ثابت",IF(LEFT($A68,1)="L","وام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68" s="65" t="s">
        <v>424</v>
      </c>
      <c r="M68">
        <f>IF(OR($B68="",$A68=""),"",IF(OR($B68=$K68,AND(LEFT($A68,1)="S",OR($B68="فروشنده سبد",$B68="تأمین‌کننده")),AND(LEFT($A68,2)="BD",$B68="باسکول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69" spans="1:13" ht="21" customHeight="1">
      <c r="A69" s="63" t="s">
        <v>429</v>
      </c>
      <c r="B69" s="64" t="s">
        <v>193</v>
      </c>
      <c r="C69" s="65" t="s">
        <v>194</v>
      </c>
      <c r="D69" s="65" t="s">
        <v>430</v>
      </c>
      <c r="E69" s="65"/>
      <c r="F69" s="65" t="s">
        <v>431</v>
      </c>
      <c r="G69" s="65" t="s">
        <v>432</v>
      </c>
      <c r="H69" s="66">
        <v>0</v>
      </c>
      <c r="I69" s="64" t="s">
        <v>298</v>
      </c>
      <c r="J69" s="64" t="s">
        <v>299</v>
      </c>
      <c r="K69">
        <f>IF($A69="","",IF(LEFT($A69,3)="CAP","سرمایه و آورده صاحبان",IF(LEFT($A69,2)="SL","بارفروش",IF(LEFT($A69,2)="BD","باسکول دیگران",IF(LEFT($A69,1)="C","باغدار",IF(LEFT($A69,1)="S","فروشنده سبد/تأمین‌کننده",IF(LEFT($A69,1)="E","کارمند",IF(LEFT($A69,1)="X","سایر حساب",IF(LEFT($A69,1)="F","دارایی ثابت",IF(LEFT($A69,1)="L","وام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69" s="65" t="s">
        <v>424</v>
      </c>
      <c r="M69">
        <f>IF(OR($B69="",$A69=""),"",IF(OR($B69=$K69,AND(LEFT($A69,1)="S",OR($B69="فروشنده سبد",$B69="تأمین‌کننده")),AND(LEFT($A69,2)="BD",$B69="باسکول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70" spans="1:13" ht="21" customHeight="1">
      <c r="A70" s="63" t="s">
        <v>433</v>
      </c>
      <c r="B70" s="64" t="s">
        <v>193</v>
      </c>
      <c r="C70" s="65" t="s">
        <v>194</v>
      </c>
      <c r="D70" s="65" t="s">
        <v>434</v>
      </c>
      <c r="E70" s="65"/>
      <c r="F70" s="65"/>
      <c r="G70" s="65"/>
      <c r="H70" s="66">
        <v>0</v>
      </c>
      <c r="I70" s="64" t="s">
        <v>298</v>
      </c>
      <c r="J70" s="64" t="s">
        <v>299</v>
      </c>
      <c r="K70">
        <f>IF($A70="","",IF(LEFT($A70,3)="CAP","سرمایه و آورده صاحبان",IF(LEFT($A70,2)="SL","بارفروش",IF(LEFT($A70,2)="BD","باسکول دیگران",IF(LEFT($A70,1)="C","باغدار",IF(LEFT($A70,1)="S","فروشنده سبد/تأمین‌کننده",IF(LEFT($A70,1)="E","کارمند",IF(LEFT($A70,1)="X","سایر حساب",IF(LEFT($A70,1)="F","دارایی ثابت",IF(LEFT($A70,1)="L","وام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70" s="65" t="s">
        <v>424</v>
      </c>
      <c r="M70">
        <f>IF(OR($B70="",$A70=""),"",IF(OR($B70=$K70,AND(LEFT($A70,1)="S",OR($B70="فروشنده سبد",$B70="تأمین‌کننده")),AND(LEFT($A70,2)="BD",$B70="باسکول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71" spans="1:13" ht="21" customHeight="1">
      <c r="A71" s="63" t="s">
        <v>435</v>
      </c>
      <c r="B71" s="64" t="s">
        <v>193</v>
      </c>
      <c r="C71" s="65" t="s">
        <v>194</v>
      </c>
      <c r="D71" s="65" t="s">
        <v>436</v>
      </c>
      <c r="E71" s="65"/>
      <c r="F71" s="65"/>
      <c r="G71" s="65"/>
      <c r="H71" s="66">
        <v>0</v>
      </c>
      <c r="I71" s="64" t="s">
        <v>298</v>
      </c>
      <c r="J71" s="64" t="s">
        <v>299</v>
      </c>
      <c r="K71">
        <f>IF($A71="","",IF(LEFT($A71,3)="CAP","سرمایه و آورده صاحبان",IF(LEFT($A71,2)="SL","بارفروش",IF(LEFT($A71,2)="BD","باسکول دیگران",IF(LEFT($A71,1)="C","باغدار",IF(LEFT($A71,1)="S","فروشنده سبد/تأمین‌کننده",IF(LEFT($A71,1)="E","کارمند",IF(LEFT($A71,1)="X","سایر حساب",IF(LEFT($A71,1)="F","دارایی ثابت",IF(LEFT($A71,1)="L","وام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71" s="65" t="s">
        <v>424</v>
      </c>
      <c r="M71">
        <f>IF(OR($B71="",$A71=""),"",IF(OR($B71=$K71,AND(LEFT($A71,1)="S",OR($B71="فروشنده سبد",$B71="تأمین‌کننده")),AND(LEFT($A71,2)="BD",$B71="باسکول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72" spans="1:13" ht="21" customHeight="1">
      <c r="A72" s="63" t="s">
        <v>437</v>
      </c>
      <c r="B72" s="64" t="s">
        <v>202</v>
      </c>
      <c r="C72" s="65" t="s">
        <v>203</v>
      </c>
      <c r="D72" s="65" t="s">
        <v>438</v>
      </c>
      <c r="E72" s="65" t="s">
        <v>439</v>
      </c>
      <c r="F72" s="65" t="s">
        <v>440</v>
      </c>
      <c r="G72" s="65" t="s">
        <v>441</v>
      </c>
      <c r="H72" s="66">
        <v>0</v>
      </c>
      <c r="I72" s="64" t="s">
        <v>298</v>
      </c>
      <c r="J72" s="64" t="s">
        <v>299</v>
      </c>
      <c r="K72">
        <f>IF($A72="","",IF(LEFT($A72,3)="CAP","سرمایه و آورده صاحبان",IF(LEFT($A72,2)="SL","بارفروش",IF(LEFT($A72,2)="BD","باسکول دیگران",IF(LEFT($A72,1)="C","باغدار",IF(LEFT($A72,1)="S","فروشنده سبد/تأمین‌کننده",IF(LEFT($A72,1)="E","کارمند",IF(LEFT($A72,1)="X","سایر حساب",IF(LEFT($A72,1)="F","دارایی ثابت",IF(LEFT($A72,1)="L","وام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72" s="65" t="s">
        <v>442</v>
      </c>
      <c r="M72">
        <f>IF(OR($B72="",$A72=""),"",IF(OR($B72=$K72,AND(LEFT($A72,1)="S",OR($B72="فروشنده سبد",$B72="تأمین‌کننده")),AND(LEFT($A72,2)="BD",$B72="باسکول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73" spans="1:13" ht="21" customHeight="1">
      <c r="A73" s="63" t="s">
        <v>443</v>
      </c>
      <c r="B73" s="64" t="s">
        <v>202</v>
      </c>
      <c r="C73" s="65" t="s">
        <v>203</v>
      </c>
      <c r="D73" s="65" t="s">
        <v>444</v>
      </c>
      <c r="E73" s="65" t="s">
        <v>445</v>
      </c>
      <c r="F73" s="65" t="s">
        <v>446</v>
      </c>
      <c r="G73" s="65" t="s">
        <v>447</v>
      </c>
      <c r="H73" s="66">
        <v>0</v>
      </c>
      <c r="I73" s="64" t="s">
        <v>298</v>
      </c>
      <c r="J73" s="64" t="s">
        <v>299</v>
      </c>
      <c r="K73">
        <f>IF($A73="","",IF(LEFT($A73,3)="CAP","سرمایه و آورده صاحبان",IF(LEFT($A73,2)="SL","بارفروش",IF(LEFT($A73,2)="BD","باسکول دیگران",IF(LEFT($A73,1)="C","باغدار",IF(LEFT($A73,1)="S","فروشنده سبد/تأمین‌کننده",IF(LEFT($A73,1)="E","کارمند",IF(LEFT($A73,1)="X","سایر حساب",IF(LEFT($A73,1)="F","دارایی ثابت",IF(LEFT($A73,1)="L","وام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73" s="65" t="s">
        <v>448</v>
      </c>
      <c r="M73">
        <f>IF(OR($B73="",$A73=""),"",IF(OR($B73=$K73,AND(LEFT($A73,1)="S",OR($B73="فروشنده سبد",$B73="تأمین‌کننده")),AND(LEFT($A73,2)="BD",$B73="باسکول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74" spans="1:13" ht="21" customHeight="1">
      <c r="A74" s="63" t="s">
        <v>449</v>
      </c>
      <c r="B74" s="64" t="s">
        <v>202</v>
      </c>
      <c r="C74" s="65" t="s">
        <v>203</v>
      </c>
      <c r="D74" s="65" t="s">
        <v>450</v>
      </c>
      <c r="E74" s="65"/>
      <c r="F74" s="65"/>
      <c r="G74" s="65"/>
      <c r="H74" s="66">
        <v>0</v>
      </c>
      <c r="I74" s="64" t="s">
        <v>298</v>
      </c>
      <c r="J74" s="64" t="s">
        <v>299</v>
      </c>
      <c r="K74">
        <f>IF($A74="","",IF(LEFT($A74,3)="CAP","سرمایه و آورده صاحبان",IF(LEFT($A74,2)="SL","بارفروش",IF(LEFT($A74,2)="BD","باسکول دیگران",IF(LEFT($A74,1)="C","باغدار",IF(LEFT($A74,1)="S","فروشنده سبد/تأمین‌کننده",IF(LEFT($A74,1)="E","کارمند",IF(LEFT($A74,1)="X","سایر حساب",IF(LEFT($A74,1)="F","دارایی ثابت",IF(LEFT($A74,1)="L","وام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74" s="65"/>
      <c r="M74">
        <f>IF(OR($B74="",$A74=""),"",IF(OR($B74=$K74,AND(LEFT($A74,1)="S",OR($B74="فروشنده سبد",$B74="تأمین‌کننده")),AND(LEFT($A74,2)="BD",$B74="باسکول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75" spans="1:13" ht="21" customHeight="1">
      <c r="A75" s="63" t="s">
        <v>451</v>
      </c>
      <c r="B75" s="64" t="s">
        <v>217</v>
      </c>
      <c r="C75" s="65" t="s">
        <v>92</v>
      </c>
      <c r="D75" s="65" t="s">
        <v>93</v>
      </c>
      <c r="E75" s="65"/>
      <c r="F75" s="65" t="s">
        <v>452</v>
      </c>
      <c r="G75" s="65" t="s">
        <v>453</v>
      </c>
      <c r="H75" s="66">
        <v>0</v>
      </c>
      <c r="I75" s="64" t="s">
        <v>298</v>
      </c>
      <c r="J75" s="64" t="s">
        <v>299</v>
      </c>
      <c r="K75">
        <f>IF($A75="","",IF(LEFT($A75,3)="CAP","سرمایه و آورده صاحبان",IF(LEFT($A75,2)="SL","بارفروش",IF(LEFT($A75,2)="BD","باسکول دیگران",IF(LEFT($A75,1)="C","باغدار",IF(LEFT($A75,1)="S","فروشنده سبد/تأمین‌کننده",IF(LEFT($A75,1)="E","کارمند",IF(LEFT($A75,1)="X","سایر حساب",IF(LEFT($A75,1)="F","دارایی ثابت",IF(LEFT($A75,1)="L","وام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75" s="65" t="s">
        <v>454</v>
      </c>
      <c r="M75">
        <f>IF(OR($B75="",$A75=""),"",IF(OR($B75=$K75,AND(LEFT($A75,1)="S",OR($B75="فروشنده سبد",$B75="تأمین‌کننده")),AND(LEFT($A75,2)="BD",$B75="باسکول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76" spans="1:13" ht="21" customHeight="1">
      <c r="A76" s="63" t="s">
        <v>455</v>
      </c>
      <c r="B76" s="64" t="s">
        <v>217</v>
      </c>
      <c r="C76" s="65" t="s">
        <v>221</v>
      </c>
      <c r="D76" s="65" t="s">
        <v>456</v>
      </c>
      <c r="E76" s="65"/>
      <c r="F76" s="65" t="s">
        <v>457</v>
      </c>
      <c r="G76" s="65" t="s">
        <v>453</v>
      </c>
      <c r="H76" s="66">
        <v>0</v>
      </c>
      <c r="I76" s="64" t="s">
        <v>298</v>
      </c>
      <c r="J76" s="64" t="s">
        <v>299</v>
      </c>
      <c r="K76">
        <f>IF($A76="","",IF(LEFT($A76,3)="CAP","سرمایه و آورده صاحبان",IF(LEFT($A76,2)="SL","بارفروش",IF(LEFT($A76,2)="BD","باسکول دیگران",IF(LEFT($A76,1)="C","باغدار",IF(LEFT($A76,1)="S","فروشنده سبد/تأمین‌کننده",IF(LEFT($A76,1)="E","کارمند",IF(LEFT($A76,1)="X","سایر حساب",IF(LEFT($A76,1)="F","دارایی ثابت",IF(LEFT($A76,1)="L","وام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76" s="65"/>
      <c r="M76">
        <f>IF(OR($B76="",$A76=""),"",IF(OR($B76=$K76,AND(LEFT($A76,1)="S",OR($B76="فروشنده سبد",$B76="تأمین‌کننده")),AND(LEFT($A76,2)="BD",$B76="باسکول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77" spans="1:13" ht="21" customHeight="1">
      <c r="A77" s="63" t="s">
        <v>458</v>
      </c>
      <c r="B77" s="64" t="s">
        <v>217</v>
      </c>
      <c r="C77" s="65" t="s">
        <v>222</v>
      </c>
      <c r="D77" s="65" t="s">
        <v>459</v>
      </c>
      <c r="E77" s="65"/>
      <c r="F77" s="65" t="s">
        <v>460</v>
      </c>
      <c r="G77" s="65" t="s">
        <v>453</v>
      </c>
      <c r="H77" s="66">
        <v>0</v>
      </c>
      <c r="I77" s="64" t="s">
        <v>298</v>
      </c>
      <c r="J77" s="64" t="s">
        <v>299</v>
      </c>
      <c r="K77">
        <f>IF($A77="","",IF(LEFT($A77,3)="CAP","سرمایه و آورده صاحبان",IF(LEFT($A77,2)="SL","بارفروش",IF(LEFT($A77,2)="BD","باسکول دیگران",IF(LEFT($A77,1)="C","باغدار",IF(LEFT($A77,1)="S","فروشنده سبد/تأمین‌کننده",IF(LEFT($A77,1)="E","کارمند",IF(LEFT($A77,1)="X","سایر حساب",IF(LEFT($A77,1)="F","دارایی ثابت",IF(LEFT($A77,1)="L","وام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77" s="65"/>
      <c r="M77">
        <f>IF(OR($B77="",$A77=""),"",IF(OR($B77=$K77,AND(LEFT($A77,1)="S",OR($B77="فروشنده سبد",$B77="تأمین‌کننده")),AND(LEFT($A77,2)="BD",$B77="باسکول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78" spans="1:13" ht="21" customHeight="1">
      <c r="A78" s="63" t="s">
        <v>461</v>
      </c>
      <c r="B78" s="64" t="s">
        <v>217</v>
      </c>
      <c r="C78" s="65" t="s">
        <v>223</v>
      </c>
      <c r="D78" s="65" t="s">
        <v>462</v>
      </c>
      <c r="E78" s="65"/>
      <c r="F78" s="65" t="s">
        <v>463</v>
      </c>
      <c r="G78" s="65" t="s">
        <v>453</v>
      </c>
      <c r="H78" s="66">
        <v>0</v>
      </c>
      <c r="I78" s="64" t="s">
        <v>298</v>
      </c>
      <c r="J78" s="64" t="s">
        <v>299</v>
      </c>
      <c r="K78">
        <f>IF($A78="","",IF(LEFT($A78,3)="CAP","سرمایه و آورده صاحبان",IF(LEFT($A78,2)="SL","بارفروش",IF(LEFT($A78,2)="BD","باسکول دیگران",IF(LEFT($A78,1)="C","باغدار",IF(LEFT($A78,1)="S","فروشنده سبد/تأمین‌کننده",IF(LEFT($A78,1)="E","کارمند",IF(LEFT($A78,1)="X","سایر حساب",IF(LEFT($A78,1)="F","دارایی ثابت",IF(LEFT($A78,1)="L","وام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78" s="65"/>
      <c r="M78">
        <f>IF(OR($B78="",$A78=""),"",IF(OR($B78=$K78,AND(LEFT($A78,1)="S",OR($B78="فروشنده سبد",$B78="تأمین‌کننده")),AND(LEFT($A78,2)="BD",$B78="باسکول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79" spans="1:13" ht="21" customHeight="1">
      <c r="A79" s="63" t="s">
        <v>464</v>
      </c>
      <c r="B79" s="64" t="s">
        <v>217</v>
      </c>
      <c r="C79" s="65" t="s">
        <v>224</v>
      </c>
      <c r="D79" s="65" t="s">
        <v>465</v>
      </c>
      <c r="E79" s="65"/>
      <c r="F79" s="65" t="s">
        <v>466</v>
      </c>
      <c r="G79" s="65" t="s">
        <v>453</v>
      </c>
      <c r="H79" s="66">
        <v>0</v>
      </c>
      <c r="I79" s="64" t="s">
        <v>298</v>
      </c>
      <c r="J79" s="64" t="s">
        <v>299</v>
      </c>
      <c r="K79">
        <f>IF($A79="","",IF(LEFT($A79,3)="CAP","سرمایه و آورده صاحبان",IF(LEFT($A79,2)="SL","بارفروش",IF(LEFT($A79,2)="BD","باسکول دیگران",IF(LEFT($A79,1)="C","باغدار",IF(LEFT($A79,1)="S","فروشنده سبد/تأمین‌کننده",IF(LEFT($A79,1)="E","کارمند",IF(LEFT($A79,1)="X","سایر حساب",IF(LEFT($A79,1)="F","دارایی ثابت",IF(LEFT($A79,1)="L","وام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79" s="65" t="s">
        <v>467</v>
      </c>
      <c r="M79">
        <f>IF(OR($B79="",$A79=""),"",IF(OR($B79=$K79,AND(LEFT($A79,1)="S",OR($B79="فروشنده سبد",$B79="تأمین‌کننده")),AND(LEFT($A79,2)="BD",$B79="باسکول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80" spans="1:13" ht="21" customHeight="1">
      <c r="A80" s="63" t="s">
        <v>468</v>
      </c>
      <c r="B80" s="64" t="s">
        <v>217</v>
      </c>
      <c r="C80" s="65" t="s">
        <v>225</v>
      </c>
      <c r="D80" s="65" t="s">
        <v>469</v>
      </c>
      <c r="E80" s="65"/>
      <c r="F80" s="65" t="s">
        <v>470</v>
      </c>
      <c r="G80" s="65" t="s">
        <v>453</v>
      </c>
      <c r="H80" s="66">
        <v>0</v>
      </c>
      <c r="I80" s="64" t="s">
        <v>298</v>
      </c>
      <c r="J80" s="64" t="s">
        <v>299</v>
      </c>
      <c r="K80">
        <f>IF($A80="","",IF(LEFT($A80,3)="CAP","سرمایه و آورده صاحبان",IF(LEFT($A80,2)="SL","بارفروش",IF(LEFT($A80,2)="BD","باسکول دیگران",IF(LEFT($A80,1)="C","باغدار",IF(LEFT($A80,1)="S","فروشنده سبد/تأمین‌کننده",IF(LEFT($A80,1)="E","کارمند",IF(LEFT($A80,1)="X","سایر حساب",IF(LEFT($A80,1)="F","دارایی ثابت",IF(LEFT($A80,1)="L","وام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80" s="65" t="s">
        <v>467</v>
      </c>
      <c r="M80">
        <f>IF(OR($B80="",$A80=""),"",IF(OR($B80=$K80,AND(LEFT($A80,1)="S",OR($B80="فروشنده سبد",$B80="تأمین‌کننده")),AND(LEFT($A80,2)="BD",$B80="باسکول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81" spans="1:13" ht="21" customHeight="1">
      <c r="A81" s="63" t="s">
        <v>471</v>
      </c>
      <c r="B81" s="64" t="s">
        <v>226</v>
      </c>
      <c r="C81" s="65" t="s">
        <v>235</v>
      </c>
      <c r="D81" s="65" t="s">
        <v>472</v>
      </c>
      <c r="E81" s="65"/>
      <c r="F81" s="65"/>
      <c r="G81" s="65"/>
      <c r="H81" s="66">
        <v>0</v>
      </c>
      <c r="I81" s="64" t="s">
        <v>298</v>
      </c>
      <c r="J81" s="64" t="s">
        <v>299</v>
      </c>
      <c r="K81">
        <f>IF($A81="","",IF(LEFT($A81,3)="CAP","سرمایه و آورده صاحبان",IF(LEFT($A81,2)="SL","بارفروش",IF(LEFT($A81,2)="BD","باسکول دیگران",IF(LEFT($A81,1)="C","باغدار",IF(LEFT($A81,1)="S","فروشنده سبد/تأمین‌کننده",IF(LEFT($A81,1)="E","کارمند",IF(LEFT($A81,1)="X","سایر حساب",IF(LEFT($A81,1)="F","دارایی ثابت",IF(LEFT($A81,1)="L","وام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81" s="65" t="s">
        <v>473</v>
      </c>
      <c r="M81">
        <f>IF(OR($B81="",$A81=""),"",IF(OR($B81=$K81,AND(LEFT($A81,1)="S",OR($B81="فروشنده سبد",$B81="تأمین‌کننده")),AND(LEFT($A81,2)="BD",$B81="باسکول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82" spans="1:13" ht="21" customHeight="1">
      <c r="A82" s="63" t="s">
        <v>474</v>
      </c>
      <c r="B82" s="64" t="s">
        <v>226</v>
      </c>
      <c r="C82" s="65" t="s">
        <v>475</v>
      </c>
      <c r="D82" s="65" t="s">
        <v>476</v>
      </c>
      <c r="E82" s="65"/>
      <c r="F82" s="65"/>
      <c r="G82" s="65"/>
      <c r="H82" s="66">
        <v>0</v>
      </c>
      <c r="I82" s="64" t="s">
        <v>477</v>
      </c>
      <c r="J82" s="64" t="s">
        <v>299</v>
      </c>
      <c r="K82">
        <f>IF($A82="","",IF(LEFT($A82,3)="CAP","سرمایه و آورده صاحبان",IF(LEFT($A82,2)="SL","بارفروش",IF(LEFT($A82,2)="BD","باسکول دیگران",IF(LEFT($A82,1)="C","باغدار",IF(LEFT($A82,1)="S","فروشنده سبد/تأمین‌کننده",IF(LEFT($A82,1)="E","کارمند",IF(LEFT($A82,1)="X","سایر حساب",IF(LEFT($A82,1)="F","دارایی ثابت",IF(LEFT($A82,1)="L","وام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82" s="65" t="s">
        <v>478</v>
      </c>
      <c r="M82">
        <f>IF(OR($B82="",$A82=""),"",IF(OR($B82=$K82,AND(LEFT($A82,1)="S",OR($B82="فروشنده سبد",$B82="تأمین‌کننده")),AND(LEFT($A82,2)="BD",$B82="باسکول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83" spans="1:13" ht="21" customHeight="1">
      <c r="A83" s="63" t="s">
        <v>479</v>
      </c>
      <c r="B83" s="64" t="s">
        <v>226</v>
      </c>
      <c r="C83" s="65" t="s">
        <v>227</v>
      </c>
      <c r="D83" s="65" t="s">
        <v>480</v>
      </c>
      <c r="E83" s="65"/>
      <c r="F83" s="65"/>
      <c r="G83" s="65"/>
      <c r="H83" s="66">
        <v>150000000</v>
      </c>
      <c r="I83" s="64" t="s">
        <v>477</v>
      </c>
      <c r="J83" s="64" t="s">
        <v>299</v>
      </c>
      <c r="K83">
        <f>IF($A83="","",IF(LEFT($A83,3)="CAP","سرمایه و آورده صاحبان",IF(LEFT($A83,2)="SL","بارفروش",IF(LEFT($A83,2)="BD","باسکول دیگران",IF(LEFT($A83,1)="C","باغدار",IF(LEFT($A83,1)="S","فروشنده سبد/تأمین‌کننده",IF(LEFT($A83,1)="E","کارمند",IF(LEFT($A83,1)="X","سایر حساب",IF(LEFT($A83,1)="F","دارایی ثابت",IF(LEFT($A83,1)="L","وام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83" s="65" t="s">
        <v>481</v>
      </c>
      <c r="M83">
        <f>IF(OR($B83="",$A83=""),"",IF(OR($B83=$K83,AND(LEFT($A83,1)="S",OR($B83="فروشنده سبد",$B83="تأمین‌کننده")),AND(LEFT($A83,2)="BD",$B83="باسکول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84" spans="1:13" ht="21" customHeight="1">
      <c r="A84" s="63" t="s">
        <v>482</v>
      </c>
      <c r="B84" s="64" t="s">
        <v>226</v>
      </c>
      <c r="C84" s="65" t="s">
        <v>232</v>
      </c>
      <c r="D84" s="65" t="s">
        <v>483</v>
      </c>
      <c r="E84" s="65"/>
      <c r="F84" s="65"/>
      <c r="G84" s="65"/>
      <c r="H84" s="66">
        <v>0</v>
      </c>
      <c r="I84" s="64" t="s">
        <v>477</v>
      </c>
      <c r="J84" s="64" t="s">
        <v>299</v>
      </c>
      <c r="K84">
        <f>IF($A84="","",IF(LEFT($A84,3)="CAP","سرمایه و آورده صاحبان",IF(LEFT($A84,2)="SL","بارفروش",IF(LEFT($A84,2)="BD","باسکول دیگران",IF(LEFT($A84,1)="C","باغدار",IF(LEFT($A84,1)="S","فروشنده سبد/تأمین‌کننده",IF(LEFT($A84,1)="E","کارمند",IF(LEFT($A84,1)="X","سایر حساب",IF(LEFT($A84,1)="F","دارایی ثابت",IF(LEFT($A84,1)="L","وام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84" s="65" t="s">
        <v>481</v>
      </c>
      <c r="M84">
        <f>IF(OR($B84="",$A84=""),"",IF(OR($B84=$K84,AND(LEFT($A84,1)="S",OR($B84="فروشنده سبد",$B84="تأمین‌کننده")),AND(LEFT($A84,2)="BD",$B84="باسکول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85" spans="1:13" ht="21" customHeight="1">
      <c r="A85" s="63" t="s">
        <v>484</v>
      </c>
      <c r="B85" s="64" t="s">
        <v>226</v>
      </c>
      <c r="C85" s="65" t="s">
        <v>232</v>
      </c>
      <c r="D85" s="65" t="s">
        <v>485</v>
      </c>
      <c r="E85" s="65"/>
      <c r="F85" s="65"/>
      <c r="G85" s="65"/>
      <c r="H85" s="66">
        <v>0</v>
      </c>
      <c r="I85" s="64" t="s">
        <v>477</v>
      </c>
      <c r="J85" s="64" t="s">
        <v>299</v>
      </c>
      <c r="K85">
        <f>IF($A85="","",IF(LEFT($A85,3)="CAP","سرمایه و آورده صاحبان",IF(LEFT($A85,2)="SL","بارفروش",IF(LEFT($A85,2)="BD","باسکول دیگران",IF(LEFT($A85,1)="C","باغدار",IF(LEFT($A85,1)="S","فروشنده سبد/تأمین‌کننده",IF(LEFT($A85,1)="E","کارمند",IF(LEFT($A85,1)="X","سایر حساب",IF(LEFT($A85,1)="F","دارایی ثابت",IF(LEFT($A85,1)="L","وام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85" s="65" t="s">
        <v>481</v>
      </c>
      <c r="M85">
        <f>IF(OR($B85="",$A85=""),"",IF(OR($B85=$K85,AND(LEFT($A85,1)="S",OR($B85="فروشنده سبد",$B85="تأمین‌کننده")),AND(LEFT($A85,2)="BD",$B85="باسکول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86" spans="1:13" ht="21" customHeight="1">
      <c r="A86" s="63" t="s">
        <v>486</v>
      </c>
      <c r="B86" s="64" t="s">
        <v>226</v>
      </c>
      <c r="C86" s="65" t="s">
        <v>233</v>
      </c>
      <c r="D86" s="65" t="s">
        <v>487</v>
      </c>
      <c r="E86" s="65"/>
      <c r="F86" s="65"/>
      <c r="G86" s="65"/>
      <c r="H86" s="66">
        <v>0</v>
      </c>
      <c r="I86" s="64" t="s">
        <v>477</v>
      </c>
      <c r="J86" s="64" t="s">
        <v>299</v>
      </c>
      <c r="K86">
        <f>IF($A86="","",IF(LEFT($A86,3)="CAP","سرمایه و آورده صاحبان",IF(LEFT($A86,2)="SL","بارفروش",IF(LEFT($A86,2)="BD","باسکول دیگران",IF(LEFT($A86,1)="C","باغدار",IF(LEFT($A86,1)="S","فروشنده سبد/تأمین‌کننده",IF(LEFT($A86,1)="E","کارمند",IF(LEFT($A86,1)="X","سایر حساب",IF(LEFT($A86,1)="F","دارایی ثابت",IF(LEFT($A86,1)="L","وام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86" s="65" t="s">
        <v>481</v>
      </c>
      <c r="M86">
        <f>IF(OR($B86="",$A86=""),"",IF(OR($B86=$K86,AND(LEFT($A86,1)="S",OR($B86="فروشنده سبد",$B86="تأمین‌کننده")),AND(LEFT($A86,2)="BD",$B86="باسکول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87" spans="1:13" ht="21" customHeight="1">
      <c r="A87" s="63" t="s">
        <v>488</v>
      </c>
      <c r="B87" s="64" t="s">
        <v>226</v>
      </c>
      <c r="C87" s="65" t="s">
        <v>233</v>
      </c>
      <c r="D87" s="65" t="s">
        <v>489</v>
      </c>
      <c r="E87" s="65"/>
      <c r="F87" s="65"/>
      <c r="G87" s="65"/>
      <c r="H87" s="66">
        <v>0</v>
      </c>
      <c r="I87" s="64" t="s">
        <v>477</v>
      </c>
      <c r="J87" s="64" t="s">
        <v>299</v>
      </c>
      <c r="K87">
        <f>IF($A87="","",IF(LEFT($A87,3)="CAP","سرمایه و آورده صاحبان",IF(LEFT($A87,2)="SL","بارفروش",IF(LEFT($A87,2)="BD","باسکول دیگران",IF(LEFT($A87,1)="C","باغدار",IF(LEFT($A87,1)="S","فروشنده سبد/تأمین‌کننده",IF(LEFT($A87,1)="E","کارمند",IF(LEFT($A87,1)="X","سایر حساب",IF(LEFT($A87,1)="F","دارایی ثابت",IF(LEFT($A87,1)="L","وام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87" s="65" t="s">
        <v>481</v>
      </c>
      <c r="M87">
        <f>IF(OR($B87="",$A87=""),"",IF(OR($B87=$K87,AND(LEFT($A87,1)="S",OR($B87="فروشنده سبد",$B87="تأمین‌کننده")),AND(LEFT($A87,2)="BD",$B87="باسکول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88" spans="1:13" ht="21" customHeight="1">
      <c r="A88" s="63" t="s">
        <v>490</v>
      </c>
      <c r="B88" s="64" t="s">
        <v>226</v>
      </c>
      <c r="C88" s="65" t="s">
        <v>233</v>
      </c>
      <c r="D88" s="65" t="s">
        <v>491</v>
      </c>
      <c r="E88" s="65"/>
      <c r="F88" s="65"/>
      <c r="G88" s="65"/>
      <c r="H88" s="66">
        <v>0</v>
      </c>
      <c r="I88" s="64" t="s">
        <v>477</v>
      </c>
      <c r="J88" s="64" t="s">
        <v>299</v>
      </c>
      <c r="K88">
        <f>IF($A88="","",IF(LEFT($A88,3)="CAP","سرمایه و آورده صاحبان",IF(LEFT($A88,2)="SL","بارفروش",IF(LEFT($A88,2)="BD","باسکول دیگران",IF(LEFT($A88,1)="C","باغدار",IF(LEFT($A88,1)="S","فروشنده سبد/تأمین‌کننده",IF(LEFT($A88,1)="E","کارمند",IF(LEFT($A88,1)="X","سایر حساب",IF(LEFT($A88,1)="F","دارایی ثابت",IF(LEFT($A88,1)="L","وام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88" s="65" t="s">
        <v>481</v>
      </c>
      <c r="M88">
        <f>IF(OR($B88="",$A88=""),"",IF(OR($B88=$K88,AND(LEFT($A88,1)="S",OR($B88="فروشنده سبد",$B88="تأمین‌کننده")),AND(LEFT($A88,2)="BD",$B88="باسکول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89" spans="1:13" ht="21" customHeight="1">
      <c r="A89" s="63" t="s">
        <v>492</v>
      </c>
      <c r="B89" s="64" t="s">
        <v>226</v>
      </c>
      <c r="C89" s="65" t="s">
        <v>234</v>
      </c>
      <c r="D89" s="65" t="s">
        <v>493</v>
      </c>
      <c r="E89" s="65"/>
      <c r="F89" s="65"/>
      <c r="G89" s="65"/>
      <c r="H89" s="66">
        <v>0</v>
      </c>
      <c r="I89" s="64" t="s">
        <v>477</v>
      </c>
      <c r="J89" s="64" t="s">
        <v>299</v>
      </c>
      <c r="K89">
        <f>IF($A89="","",IF(LEFT($A89,3)="CAP","سرمایه و آورده صاحبان",IF(LEFT($A89,2)="SL","بارفروش",IF(LEFT($A89,2)="BD","باسکول دیگران",IF(LEFT($A89,1)="C","باغدار",IF(LEFT($A89,1)="S","فروشنده سبد/تأمین‌کننده",IF(LEFT($A89,1)="E","کارمند",IF(LEFT($A89,1)="X","سایر حساب",IF(LEFT($A89,1)="F","دارایی ثابت",IF(LEFT($A89,1)="L","وام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89" s="65" t="s">
        <v>481</v>
      </c>
      <c r="M89">
        <f>IF(OR($B89="",$A89=""),"",IF(OR($B89=$K89,AND(LEFT($A89,1)="S",OR($B89="فروشنده سبد",$B89="تأمین‌کننده")),AND(LEFT($A89,2)="BD",$B89="باسکول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90" spans="1:13" ht="21" customHeight="1">
      <c r="A90" s="63" t="s">
        <v>494</v>
      </c>
      <c r="B90" s="64" t="s">
        <v>226</v>
      </c>
      <c r="C90" s="65" t="s">
        <v>237</v>
      </c>
      <c r="D90" s="65" t="s">
        <v>495</v>
      </c>
      <c r="E90" s="65"/>
      <c r="F90" s="65"/>
      <c r="G90" s="65"/>
      <c r="H90" s="66">
        <v>0</v>
      </c>
      <c r="I90" s="64" t="s">
        <v>477</v>
      </c>
      <c r="J90" s="64" t="s">
        <v>299</v>
      </c>
      <c r="K90">
        <f>IF($A90="","",IF(LEFT($A90,3)="CAP","سرمایه و آورده صاحبان",IF(LEFT($A90,2)="SL","بارفروش",IF(LEFT($A90,2)="BD","باسکول دیگران",IF(LEFT($A90,1)="C","باغدار",IF(LEFT($A90,1)="S","فروشنده سبد/تأمین‌کننده",IF(LEFT($A90,1)="E","کارمند",IF(LEFT($A90,1)="X","سایر حساب",IF(LEFT($A90,1)="F","دارایی ثابت",IF(LEFT($A90,1)="L","وام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90" s="65" t="s">
        <v>481</v>
      </c>
      <c r="M90">
        <f>IF(OR($B90="",$A90=""),"",IF(OR($B90=$K90,AND(LEFT($A90,1)="S",OR($B90="فروشنده سبد",$B90="تأمین‌کننده")),AND(LEFT($A90,2)="BD",$B90="باسکول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91" spans="1:13" ht="21" customHeight="1">
      <c r="A91" s="63" t="s">
        <v>496</v>
      </c>
      <c r="B91" s="64" t="s">
        <v>226</v>
      </c>
      <c r="C91" s="65" t="s">
        <v>239</v>
      </c>
      <c r="D91" s="65" t="s">
        <v>497</v>
      </c>
      <c r="E91" s="65"/>
      <c r="F91" s="65"/>
      <c r="G91" s="65"/>
      <c r="H91" s="66">
        <v>0</v>
      </c>
      <c r="I91" s="64" t="s">
        <v>477</v>
      </c>
      <c r="J91" s="64" t="s">
        <v>299</v>
      </c>
      <c r="K91">
        <f>IF($A91="","",IF(LEFT($A91,3)="CAP","سرمایه و آورده صاحبان",IF(LEFT($A91,2)="SL","بارفروش",IF(LEFT($A91,2)="BD","باسکول دیگران",IF(LEFT($A91,1)="C","باغدار",IF(LEFT($A91,1)="S","فروشنده سبد/تأمین‌کننده",IF(LEFT($A91,1)="E","کارمند",IF(LEFT($A91,1)="X","سایر حساب",IF(LEFT($A91,1)="F","دارایی ثابت",IF(LEFT($A91,1)="L","وام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91" s="65" t="s">
        <v>481</v>
      </c>
      <c r="M91">
        <f>IF(OR($B91="",$A91=""),"",IF(OR($B91=$K91,AND(LEFT($A91,1)="S",OR($B91="فروشنده سبد",$B91="تأمین‌کننده")),AND(LEFT($A91,2)="BD",$B91="باسکول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92" spans="1:13" ht="21" customHeight="1">
      <c r="A92" s="63" t="s">
        <v>498</v>
      </c>
      <c r="B92" s="64" t="s">
        <v>226</v>
      </c>
      <c r="C92" s="65" t="s">
        <v>234</v>
      </c>
      <c r="D92" s="65" t="s">
        <v>499</v>
      </c>
      <c r="E92" s="65"/>
      <c r="F92" s="65"/>
      <c r="G92" s="65"/>
      <c r="H92" s="66">
        <v>0</v>
      </c>
      <c r="I92" s="64" t="s">
        <v>477</v>
      </c>
      <c r="J92" s="64" t="s">
        <v>299</v>
      </c>
      <c r="K92">
        <f>IF($A92="","",IF(LEFT($A92,3)="CAP","سرمایه و آورده صاحبان",IF(LEFT($A92,2)="SL","بارفروش",IF(LEFT($A92,2)="BD","باسکول دیگران",IF(LEFT($A92,1)="C","باغدار",IF(LEFT($A92,1)="S","فروشنده سبد/تأمین‌کننده",IF(LEFT($A92,1)="E","کارمند",IF(LEFT($A92,1)="X","سایر حساب",IF(LEFT($A92,1)="F","دارایی ثابت",IF(LEFT($A92,1)="L","وام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92" s="65" t="s">
        <v>481</v>
      </c>
      <c r="M92">
        <f>IF(OR($B92="",$A92=""),"",IF(OR($B92=$K92,AND(LEFT($A92,1)="S",OR($B92="فروشنده سبد",$B92="تأمین‌کننده")),AND(LEFT($A92,2)="BD",$B92="باسکول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93" spans="1:13" ht="21" customHeight="1">
      <c r="A93" s="63" t="s">
        <v>500</v>
      </c>
      <c r="B93" s="64" t="s">
        <v>226</v>
      </c>
      <c r="C93" s="65" t="s">
        <v>234</v>
      </c>
      <c r="D93" s="65" t="s">
        <v>501</v>
      </c>
      <c r="E93" s="65"/>
      <c r="F93" s="65"/>
      <c r="G93" s="65"/>
      <c r="H93" s="66">
        <v>0</v>
      </c>
      <c r="I93" s="64" t="s">
        <v>477</v>
      </c>
      <c r="J93" s="64" t="s">
        <v>299</v>
      </c>
      <c r="K93">
        <f>IF($A93="","",IF(LEFT($A93,3)="CAP","سرمایه و آورده صاحبان",IF(LEFT($A93,2)="SL","بارفروش",IF(LEFT($A93,2)="BD","باسکول دیگران",IF(LEFT($A93,1)="C","باغدار",IF(LEFT($A93,1)="S","فروشنده سبد/تأمین‌کننده",IF(LEFT($A93,1)="E","کارمند",IF(LEFT($A93,1)="X","سایر حساب",IF(LEFT($A93,1)="F","دارایی ثابت",IF(LEFT($A93,1)="L","وام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93" s="65" t="s">
        <v>481</v>
      </c>
      <c r="M93">
        <f>IF(OR($B93="",$A93=""),"",IF(OR($B93=$K93,AND(LEFT($A93,1)="S",OR($B93="فروشنده سبد",$B93="تأمین‌کننده")),AND(LEFT($A93,2)="BD",$B93="باسکول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94" spans="1:13" ht="21" customHeight="1">
      <c r="A94" s="63" t="s">
        <v>502</v>
      </c>
      <c r="B94" s="64" t="s">
        <v>226</v>
      </c>
      <c r="C94" s="65" t="s">
        <v>234</v>
      </c>
      <c r="D94" s="65" t="s">
        <v>503</v>
      </c>
      <c r="E94" s="65"/>
      <c r="F94" s="65"/>
      <c r="G94" s="65"/>
      <c r="H94" s="66">
        <v>0</v>
      </c>
      <c r="I94" s="64" t="s">
        <v>477</v>
      </c>
      <c r="J94" s="64" t="s">
        <v>299</v>
      </c>
      <c r="K94">
        <f>IF($A94="","",IF(LEFT($A94,3)="CAP","سرمایه و آورده صاحبان",IF(LEFT($A94,2)="SL","بارفروش",IF(LEFT($A94,2)="BD","باسکول دیگران",IF(LEFT($A94,1)="C","باغدار",IF(LEFT($A94,1)="S","فروشنده سبد/تأمین‌کننده",IF(LEFT($A94,1)="E","کارمند",IF(LEFT($A94,1)="X","سایر حساب",IF(LEFT($A94,1)="F","دارایی ثابت",IF(LEFT($A94,1)="L","وام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94" s="65" t="s">
        <v>481</v>
      </c>
      <c r="M94">
        <f>IF(OR($B94="",$A94=""),"",IF(OR($B94=$K94,AND(LEFT($A94,1)="S",OR($B94="فروشنده سبد",$B94="تأمین‌کننده")),AND(LEFT($A94,2)="BD",$B94="باسکول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95" spans="1:13" ht="21" customHeight="1">
      <c r="A95" s="63" t="s">
        <v>504</v>
      </c>
      <c r="B95" s="64" t="s">
        <v>226</v>
      </c>
      <c r="C95" s="65" t="s">
        <v>233</v>
      </c>
      <c r="D95" s="65" t="s">
        <v>505</v>
      </c>
      <c r="E95" s="65"/>
      <c r="F95" s="65"/>
      <c r="G95" s="65"/>
      <c r="H95" s="66">
        <v>0</v>
      </c>
      <c r="I95" s="64" t="s">
        <v>477</v>
      </c>
      <c r="J95" s="64" t="s">
        <v>299</v>
      </c>
      <c r="K95">
        <f>IF($A95="","",IF(LEFT($A95,3)="CAP","سرمایه و آورده صاحبان",IF(LEFT($A95,2)="SL","بارفروش",IF(LEFT($A95,2)="BD","باسکول دیگران",IF(LEFT($A95,1)="C","باغدار",IF(LEFT($A95,1)="S","فروشنده سبد/تأمین‌کننده",IF(LEFT($A95,1)="E","کارمند",IF(LEFT($A95,1)="X","سایر حساب",IF(LEFT($A95,1)="F","دارایی ثابت",IF(LEFT($A95,1)="L","وام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95" s="65" t="s">
        <v>481</v>
      </c>
      <c r="M95">
        <f>IF(OR($B95="",$A95=""),"",IF(OR($B95=$K95,AND(LEFT($A95,1)="S",OR($B95="فروشنده سبد",$B95="تأمین‌کننده")),AND(LEFT($A95,2)="BD",$B95="باسکول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96" spans="1:13" ht="21" customHeight="1">
      <c r="A96" s="63" t="s">
        <v>506</v>
      </c>
      <c r="B96" s="64" t="s">
        <v>226</v>
      </c>
      <c r="C96" s="65" t="s">
        <v>234</v>
      </c>
      <c r="D96" s="65" t="s">
        <v>507</v>
      </c>
      <c r="E96" s="65"/>
      <c r="F96" s="65"/>
      <c r="G96" s="65"/>
      <c r="H96" s="66">
        <v>0</v>
      </c>
      <c r="I96" s="64" t="s">
        <v>477</v>
      </c>
      <c r="J96" s="64" t="s">
        <v>299</v>
      </c>
      <c r="K96">
        <f>IF($A96="","",IF(LEFT($A96,3)="CAP","سرمایه و آورده صاحبان",IF(LEFT($A96,2)="SL","بارفروش",IF(LEFT($A96,2)="BD","باسکول دیگران",IF(LEFT($A96,1)="C","باغدار",IF(LEFT($A96,1)="S","فروشنده سبد/تأمین‌کننده",IF(LEFT($A96,1)="E","کارمند",IF(LEFT($A96,1)="X","سایر حساب",IF(LEFT($A96,1)="F","دارایی ثابت",IF(LEFT($A96,1)="L","وام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96" s="65" t="s">
        <v>481</v>
      </c>
      <c r="M96">
        <f>IF(OR($B96="",$A96=""),"",IF(OR($B96=$K96,AND(LEFT($A96,1)="S",OR($B96="فروشنده سبد",$B96="تأمین‌کننده")),AND(LEFT($A96,2)="BD",$B96="باسکول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97" spans="1:13" ht="21" customHeight="1">
      <c r="A97" s="63" t="s">
        <v>508</v>
      </c>
      <c r="B97" s="64" t="s">
        <v>226</v>
      </c>
      <c r="C97" s="65" t="s">
        <v>241</v>
      </c>
      <c r="D97" s="65" t="s">
        <v>509</v>
      </c>
      <c r="E97" s="65"/>
      <c r="F97" s="65"/>
      <c r="G97" s="65"/>
      <c r="H97" s="66">
        <v>0</v>
      </c>
      <c r="I97" s="64" t="s">
        <v>477</v>
      </c>
      <c r="J97" s="64" t="s">
        <v>299</v>
      </c>
      <c r="K97">
        <f>IF($A97="","",IF(LEFT($A97,3)="CAP","سرمایه و آورده صاحبان",IF(LEFT($A97,2)="SL","بارفروش",IF(LEFT($A97,2)="BD","باسکول دیگران",IF(LEFT($A97,1)="C","باغدار",IF(LEFT($A97,1)="S","فروشنده سبد/تأمین‌کننده",IF(LEFT($A97,1)="E","کارمند",IF(LEFT($A97,1)="X","سایر حساب",IF(LEFT($A97,1)="F","دارایی ثابت",IF(LEFT($A97,1)="L","وام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97" s="65" t="s">
        <v>481</v>
      </c>
      <c r="M97">
        <f>IF(OR($B97="",$A97=""),"",IF(OR($B97=$K97,AND(LEFT($A97,1)="S",OR($B97="فروشنده سبد",$B97="تأمین‌کننده")),AND(LEFT($A97,2)="BD",$B97="باسکول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98" spans="1:13" ht="21" customHeight="1">
      <c r="A98" s="63" t="s">
        <v>510</v>
      </c>
      <c r="B98" s="64" t="s">
        <v>226</v>
      </c>
      <c r="C98" s="65" t="s">
        <v>233</v>
      </c>
      <c r="D98" s="65" t="s">
        <v>511</v>
      </c>
      <c r="E98" s="65"/>
      <c r="F98" s="65"/>
      <c r="G98" s="65"/>
      <c r="H98" s="66">
        <v>0</v>
      </c>
      <c r="I98" s="64" t="s">
        <v>477</v>
      </c>
      <c r="J98" s="64" t="s">
        <v>299</v>
      </c>
      <c r="K98">
        <f>IF($A98="","",IF(LEFT($A98,3)="CAP","سرمایه و آورده صاحبان",IF(LEFT($A98,2)="SL","بارفروش",IF(LEFT($A98,2)="BD","باسکول دیگران",IF(LEFT($A98,1)="C","باغدار",IF(LEFT($A98,1)="S","فروشنده سبد/تأمین‌کننده",IF(LEFT($A98,1)="E","کارمند",IF(LEFT($A98,1)="X","سایر حساب",IF(LEFT($A98,1)="F","دارایی ثابت",IF(LEFT($A98,1)="L","وام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98" s="65" t="s">
        <v>481</v>
      </c>
      <c r="M98">
        <f>IF(OR($B98="",$A98=""),"",IF(OR($B98=$K98,AND(LEFT($A98,1)="S",OR($B98="فروشنده سبد",$B98="تأمین‌کننده")),AND(LEFT($A98,2)="BD",$B98="باسکول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99" spans="1:13" ht="21" customHeight="1">
      <c r="A99" s="63" t="s">
        <v>512</v>
      </c>
      <c r="B99" s="64" t="s">
        <v>226</v>
      </c>
      <c r="C99" s="65" t="s">
        <v>232</v>
      </c>
      <c r="D99" s="65" t="s">
        <v>513</v>
      </c>
      <c r="E99" s="65"/>
      <c r="F99" s="65"/>
      <c r="G99" s="65"/>
      <c r="H99" s="66">
        <v>0</v>
      </c>
      <c r="I99" s="64" t="s">
        <v>477</v>
      </c>
      <c r="J99" s="64" t="s">
        <v>299</v>
      </c>
      <c r="K99">
        <f>IF($A99="","",IF(LEFT($A99,3)="CAP","سرمایه و آورده صاحبان",IF(LEFT($A99,2)="SL","بارفروش",IF(LEFT($A99,2)="BD","باسکول دیگران",IF(LEFT($A99,1)="C","باغدار",IF(LEFT($A99,1)="S","فروشنده سبد/تأمین‌کننده",IF(LEFT($A99,1)="E","کارمند",IF(LEFT($A99,1)="X","سایر حساب",IF(LEFT($A99,1)="F","دارایی ثابت",IF(LEFT($A99,1)="L","وام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99" s="65" t="s">
        <v>481</v>
      </c>
      <c r="M99">
        <f>IF(OR($B99="",$A99=""),"",IF(OR($B99=$K99,AND(LEFT($A99,1)="S",OR($B99="فروشنده سبد",$B99="تأمین‌کننده")),AND(LEFT($A99,2)="BD",$B99="باسکول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00" spans="1:13" ht="21" customHeight="1">
      <c r="A100" s="63" t="s">
        <v>514</v>
      </c>
      <c r="B100" s="64" t="s">
        <v>226</v>
      </c>
      <c r="C100" s="65" t="s">
        <v>239</v>
      </c>
      <c r="D100" s="65" t="s">
        <v>515</v>
      </c>
      <c r="E100" s="65"/>
      <c r="F100" s="65"/>
      <c r="G100" s="65"/>
      <c r="H100" s="66">
        <v>0</v>
      </c>
      <c r="I100" s="64" t="s">
        <v>477</v>
      </c>
      <c r="J100" s="64" t="s">
        <v>299</v>
      </c>
      <c r="K100">
        <f>IF($A100="","",IF(LEFT($A100,3)="CAP","سرمایه و آورده صاحبان",IF(LEFT($A100,2)="SL","بارفروش",IF(LEFT($A100,2)="BD","باسکول دیگران",IF(LEFT($A100,1)="C","باغدار",IF(LEFT($A100,1)="S","فروشنده سبد/تأمین‌کننده",IF(LEFT($A100,1)="E","کارمند",IF(LEFT($A100,1)="X","سایر حساب",IF(LEFT($A100,1)="F","دارایی ثابت",IF(LEFT($A100,1)="L","وام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0" s="65" t="s">
        <v>481</v>
      </c>
      <c r="M100">
        <f>IF(OR($B100="",$A100=""),"",IF(OR($B100=$K100,AND(LEFT($A100,1)="S",OR($B100="فروشنده سبد",$B100="تأمین‌کننده")),AND(LEFT($A100,2)="BD",$B100="باسکول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01" spans="1:13" ht="21" customHeight="1">
      <c r="A101" s="63" t="s">
        <v>516</v>
      </c>
      <c r="B101" s="64" t="s">
        <v>248</v>
      </c>
      <c r="C101" s="65" t="s">
        <v>249</v>
      </c>
      <c r="D101" s="65" t="s">
        <v>517</v>
      </c>
      <c r="E101" s="65"/>
      <c r="F101" s="65"/>
      <c r="G101" s="65" t="s">
        <v>441</v>
      </c>
      <c r="H101" s="66">
        <v>2000000000</v>
      </c>
      <c r="I101" s="64" t="s">
        <v>298</v>
      </c>
      <c r="J101" s="64" t="s">
        <v>299</v>
      </c>
      <c r="K101">
        <f>IF($A101="","",IF(LEFT($A101,3)="CAP","سرمایه و آورده صاحبان",IF(LEFT($A101,2)="SL","بارفروش",IF(LEFT($A101,2)="BD","باسکول دیگران",IF(LEFT($A101,1)="C","باغدار",IF(LEFT($A101,1)="S","فروشنده سبد/تأمین‌کننده",IF(LEFT($A101,1)="E","کارمند",IF(LEFT($A101,1)="X","سایر حساب",IF(LEFT($A101,1)="F","دارایی ثابت",IF(LEFT($A101,1)="L","وام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1" s="65" t="s">
        <v>518</v>
      </c>
      <c r="M101">
        <f>IF(OR($B101="",$A101=""),"",IF(OR($B101=$K101,AND(LEFT($A101,1)="S",OR($B101="فروشنده سبد",$B101="تأمین‌کننده")),AND(LEFT($A101,2)="BD",$B101="باسکول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02" spans="1:13" ht="21" customHeight="1">
      <c r="A102" s="63" t="s">
        <v>519</v>
      </c>
      <c r="B102" s="64" t="s">
        <v>248</v>
      </c>
      <c r="C102" s="65" t="s">
        <v>252</v>
      </c>
      <c r="D102" s="65" t="s">
        <v>520</v>
      </c>
      <c r="E102" s="65"/>
      <c r="F102" s="65"/>
      <c r="G102" s="65"/>
      <c r="H102" s="66">
        <v>0</v>
      </c>
      <c r="I102" s="64" t="s">
        <v>298</v>
      </c>
      <c r="J102" s="64" t="s">
        <v>299</v>
      </c>
      <c r="K102">
        <f>IF($A102="","",IF(LEFT($A102,3)="CAP","سرمایه و آورده صاحبان",IF(LEFT($A102,2)="SL","بارفروش",IF(LEFT($A102,2)="BD","باسکول دیگران",IF(LEFT($A102,1)="C","باغدار",IF(LEFT($A102,1)="S","فروشنده سبد/تأمین‌کننده",IF(LEFT($A102,1)="E","کارمند",IF(LEFT($A102,1)="X","سایر حساب",IF(LEFT($A102,1)="F","دارایی ثابت",IF(LEFT($A102,1)="L","وام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2" s="65" t="s">
        <v>518</v>
      </c>
      <c r="M102">
        <f>IF(OR($B102="",$A102=""),"",IF(OR($B102=$K102,AND(LEFT($A102,1)="S",OR($B102="فروشنده سبد",$B102="تأمین‌کننده")),AND(LEFT($A102,2)="BD",$B102="باسکول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03" spans="1:13" ht="21" customHeight="1">
      <c r="A103" s="63" t="s">
        <v>521</v>
      </c>
      <c r="B103" s="64" t="s">
        <v>248</v>
      </c>
      <c r="C103" s="65" t="s">
        <v>253</v>
      </c>
      <c r="D103" s="65" t="s">
        <v>522</v>
      </c>
      <c r="E103" s="65"/>
      <c r="F103" s="65"/>
      <c r="G103" s="65"/>
      <c r="H103" s="66">
        <v>0</v>
      </c>
      <c r="I103" s="64" t="s">
        <v>298</v>
      </c>
      <c r="J103" s="64" t="s">
        <v>299</v>
      </c>
      <c r="K103">
        <f>IF($A103="","",IF(LEFT($A103,3)="CAP","سرمایه و آورده صاحبان",IF(LEFT($A103,2)="SL","بارفروش",IF(LEFT($A103,2)="BD","باسکول دیگران",IF(LEFT($A103,1)="C","باغدار",IF(LEFT($A103,1)="S","فروشنده سبد/تأمین‌کننده",IF(LEFT($A103,1)="E","کارمند",IF(LEFT($A103,1)="X","سایر حساب",IF(LEFT($A103,1)="F","دارایی ثابت",IF(LEFT($A103,1)="L","وام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3" s="65" t="s">
        <v>518</v>
      </c>
      <c r="M103">
        <f>IF(OR($B103="",$A103=""),"",IF(OR($B103=$K103,AND(LEFT($A103,1)="S",OR($B103="فروشنده سبد",$B103="تأمین‌کننده")),AND(LEFT($A103,2)="BD",$B103="باسکول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04" spans="1:13" ht="21" customHeight="1">
      <c r="A104" s="63" t="s">
        <v>523</v>
      </c>
      <c r="B104" s="64" t="s">
        <v>254</v>
      </c>
      <c r="C104" s="65" t="s">
        <v>255</v>
      </c>
      <c r="D104" s="65" t="s">
        <v>524</v>
      </c>
      <c r="E104" s="65"/>
      <c r="F104" s="65"/>
      <c r="G104" s="65"/>
      <c r="H104" s="66">
        <v>0</v>
      </c>
      <c r="I104" s="64" t="s">
        <v>298</v>
      </c>
      <c r="J104" s="64" t="s">
        <v>299</v>
      </c>
      <c r="K104">
        <f>IF($A104="","",IF(LEFT($A104,3)="CAP","سرمایه و آورده صاحبان",IF(LEFT($A104,2)="SL","بارفروش",IF(LEFT($A104,2)="BD","باسکول دیگران",IF(LEFT($A104,1)="C","باغدار",IF(LEFT($A104,1)="S","فروشنده سبد/تأمین‌کننده",IF(LEFT($A104,1)="E","کارمند",IF(LEFT($A104,1)="X","سایر حساب",IF(LEFT($A104,1)="F","دارایی ثابت",IF(LEFT($A104,1)="L","وام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4" s="65" t="s">
        <v>525</v>
      </c>
      <c r="M104">
        <f>IF(OR($B104="",$A104=""),"",IF(OR($B104=$K104,AND(LEFT($A104,1)="S",OR($B104="فروشنده سبد",$B104="تأمین‌کننده")),AND(LEFT($A104,2)="BD",$B104="باسکول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05" spans="1:13" ht="21" customHeight="1">
      <c r="A105" s="63" t="s">
        <v>526</v>
      </c>
      <c r="B105" s="64" t="s">
        <v>258</v>
      </c>
      <c r="C105" s="65" t="s">
        <v>259</v>
      </c>
      <c r="D105" s="65" t="s">
        <v>527</v>
      </c>
      <c r="E105" s="65"/>
      <c r="F105" s="65"/>
      <c r="G105" s="65"/>
      <c r="H105" s="66">
        <v>-2650000000</v>
      </c>
      <c r="I105" s="64" t="s">
        <v>298</v>
      </c>
      <c r="J105" s="64" t="s">
        <v>299</v>
      </c>
      <c r="K105">
        <f>IF($A105="","",IF(LEFT($A105,3)="CAP","سرمایه و آورده صاحبان",IF(LEFT($A105,2)="SL","بارفروش",IF(LEFT($A105,2)="BD","باسکول دیگران",IF(LEFT($A105,1)="C","باغدار",IF(LEFT($A105,1)="S","فروشنده سبد/تأمین‌کننده",IF(LEFT($A105,1)="E","کارمند",IF(LEFT($A105,1)="X","سایر حساب",IF(LEFT($A105,1)="F","دارایی ثابت",IF(LEFT($A105,1)="L","وام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5" s="65" t="s">
        <v>528</v>
      </c>
      <c r="M105">
        <f>IF(OR($B105="",$A105=""),"",IF(OR($B105=$K105,AND(LEFT($A105,1)="S",OR($B105="فروشنده سبد",$B105="تأمین‌کننده")),AND(LEFT($A105,2)="BD",$B105="باسکول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06" spans="1:13" ht="21" customHeight="1">
      <c r="A106" s="63" t="s">
        <v>529</v>
      </c>
      <c r="B106" s="64" t="s">
        <v>242</v>
      </c>
      <c r="C106" s="65" t="s">
        <v>243</v>
      </c>
      <c r="D106" s="65" t="s">
        <v>530</v>
      </c>
      <c r="E106" s="65"/>
      <c r="F106" s="65"/>
      <c r="G106" s="65"/>
      <c r="H106" s="66">
        <v>0</v>
      </c>
      <c r="I106" s="64" t="s">
        <v>298</v>
      </c>
      <c r="J106" s="64" t="s">
        <v>299</v>
      </c>
      <c r="K106">
        <f>IF($A106="","",IF(LEFT($A106,3)="CAP","سرمایه و آورده صاحبان",IF(LEFT($A106,2)="SL","بارفروش",IF(LEFT($A106,2)="BD","باسکول دیگران",IF(LEFT($A106,1)="C","باغدار",IF(LEFT($A106,1)="S","فروشنده سبد/تأمین‌کننده",IF(LEFT($A106,1)="E","کارمند",IF(LEFT($A106,1)="X","سایر حساب",IF(LEFT($A106,1)="F","دارایی ثابت",IF(LEFT($A106,1)="L","وام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6" s="65" t="s">
        <v>531</v>
      </c>
      <c r="M106">
        <f>IF(OR($B106="",$A106=""),"",IF(OR($B106=$K106,AND(LEFT($A106,1)="S",OR($B106="فروشنده سبد",$B106="تأمین‌کننده")),AND(LEFT($A106,2)="BD",$B106="باسکول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07" spans="1:13" ht="21" customHeight="1">
      <c r="A107" s="63" t="s">
        <v>532</v>
      </c>
      <c r="B107" s="64" t="s">
        <v>265</v>
      </c>
      <c r="C107" s="65" t="s">
        <v>533</v>
      </c>
      <c r="D107" s="65" t="s">
        <v>534</v>
      </c>
      <c r="E107" s="65"/>
      <c r="F107" s="65"/>
      <c r="G107" s="65"/>
      <c r="H107" s="66">
        <v>0</v>
      </c>
      <c r="I107" s="64" t="s">
        <v>535</v>
      </c>
      <c r="J107" s="64" t="s">
        <v>299</v>
      </c>
      <c r="K107">
        <f>IF($A107="","",IF(LEFT($A107,3)="CAP","سرمایه و آورده صاحبان",IF(LEFT($A107,2)="SL","بارفروش",IF(LEFT($A107,2)="BD","باسکول دیگران",IF(LEFT($A107,1)="C","باغدار",IF(LEFT($A107,1)="S","فروشنده سبد/تأمین‌کننده",IF(LEFT($A107,1)="E","کارمند",IF(LEFT($A107,1)="X","سایر حساب",IF(LEFT($A107,1)="F","دارایی ثابت",IF(LEFT($A107,1)="L","وام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7" s="65"/>
      <c r="M107">
        <f>IF(OR($B107="",$A107=""),"",IF(OR($B107=$K107,AND(LEFT($A107,1)="S",OR($B107="فروشنده سبد",$B107="تأمین‌کننده")),AND(LEFT($A107,2)="BD",$B107="باسکول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08" spans="1:13" ht="21" customHeight="1">
      <c r="A108" s="63" t="s">
        <v>536</v>
      </c>
      <c r="B108" s="64" t="s">
        <v>265</v>
      </c>
      <c r="C108" s="65" t="s">
        <v>533</v>
      </c>
      <c r="D108" s="65" t="s">
        <v>537</v>
      </c>
      <c r="E108" s="65"/>
      <c r="F108" s="65"/>
      <c r="G108" s="65"/>
      <c r="H108" s="66">
        <v>0</v>
      </c>
      <c r="I108" s="64" t="s">
        <v>535</v>
      </c>
      <c r="J108" s="64" t="s">
        <v>299</v>
      </c>
      <c r="K108">
        <f>IF($A108="","",IF(LEFT($A108,3)="CAP","سرمایه و آورده صاحبان",IF(LEFT($A108,2)="SL","بارفروش",IF(LEFT($A108,2)="BD","باسکول دیگران",IF(LEFT($A108,1)="C","باغدار",IF(LEFT($A108,1)="S","فروشنده سبد/تأمین‌کننده",IF(LEFT($A108,1)="E","کارمند",IF(LEFT($A108,1)="X","سایر حساب",IF(LEFT($A108,1)="F","دارایی ثابت",IF(LEFT($A108,1)="L","وام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8" s="65"/>
      <c r="M108">
        <f>IF(OR($B108="",$A108=""),"",IF(OR($B108=$K108,AND(LEFT($A108,1)="S",OR($B108="فروشنده سبد",$B108="تأمین‌کننده")),AND(LEFT($A108,2)="BD",$B108="باسکول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09" spans="1:13" ht="21" customHeight="1">
      <c r="A109" s="63" t="s">
        <v>538</v>
      </c>
      <c r="B109" s="64" t="s">
        <v>265</v>
      </c>
      <c r="C109" s="65" t="s">
        <v>533</v>
      </c>
      <c r="D109" s="65" t="s">
        <v>539</v>
      </c>
      <c r="E109" s="65"/>
      <c r="F109" s="65"/>
      <c r="G109" s="65"/>
      <c r="H109" s="66">
        <v>0</v>
      </c>
      <c r="I109" s="64" t="s">
        <v>535</v>
      </c>
      <c r="J109" s="64" t="s">
        <v>299</v>
      </c>
      <c r="K109">
        <f>IF($A109="","",IF(LEFT($A109,3)="CAP","سرمایه و آورده صاحبان",IF(LEFT($A109,2)="SL","بارفروش",IF(LEFT($A109,2)="BD","باسکول دیگران",IF(LEFT($A109,1)="C","باغدار",IF(LEFT($A109,1)="S","فروشنده سبد/تأمین‌کننده",IF(LEFT($A109,1)="E","کارمند",IF(LEFT($A109,1)="X","سایر حساب",IF(LEFT($A109,1)="F","دارایی ثابت",IF(LEFT($A109,1)="L","وام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9" s="65"/>
      <c r="M109">
        <f>IF(OR($B109="",$A109=""),"",IF(OR($B109=$K109,AND(LEFT($A109,1)="S",OR($B109="فروشنده سبد",$B109="تأمین‌کننده")),AND(LEFT($A109,2)="BD",$B109="باسکول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10" spans="1:13" ht="21" customHeight="1">
      <c r="A110" s="63" t="s">
        <v>540</v>
      </c>
      <c r="B110" s="64" t="s">
        <v>265</v>
      </c>
      <c r="C110" s="65" t="s">
        <v>533</v>
      </c>
      <c r="D110" s="65" t="s">
        <v>541</v>
      </c>
      <c r="E110" s="65"/>
      <c r="F110" s="65"/>
      <c r="G110" s="65"/>
      <c r="H110" s="66">
        <v>0</v>
      </c>
      <c r="I110" s="64" t="s">
        <v>535</v>
      </c>
      <c r="J110" s="64" t="s">
        <v>299</v>
      </c>
      <c r="K110">
        <f>IF($A110="","",IF(LEFT($A110,3)="CAP","سرمایه و آورده صاحبان",IF(LEFT($A110,2)="SL","بارفروش",IF(LEFT($A110,2)="BD","باسکول دیگران",IF(LEFT($A110,1)="C","باغدار",IF(LEFT($A110,1)="S","فروشنده سبد/تأمین‌کننده",IF(LEFT($A110,1)="E","کارمند",IF(LEFT($A110,1)="X","سایر حساب",IF(LEFT($A110,1)="F","دارایی ثابت",IF(LEFT($A110,1)="L","وام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10" s="65"/>
      <c r="M110">
        <f>IF(OR($B110="",$A110=""),"",IF(OR($B110=$K110,AND(LEFT($A110,1)="S",OR($B110="فروشنده سبد",$B110="تأمین‌کننده")),AND(LEFT($A110,2)="BD",$B110="باسکول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11" spans="1:13" ht="21" customHeight="1">
      <c r="A111" s="63" t="s">
        <v>542</v>
      </c>
      <c r="B111" s="64" t="s">
        <v>265</v>
      </c>
      <c r="C111" s="65" t="s">
        <v>533</v>
      </c>
      <c r="D111" s="65" t="s">
        <v>543</v>
      </c>
      <c r="E111" s="65"/>
      <c r="F111" s="65"/>
      <c r="G111" s="65"/>
      <c r="H111" s="66">
        <v>0</v>
      </c>
      <c r="I111" s="64" t="s">
        <v>535</v>
      </c>
      <c r="J111" s="64" t="s">
        <v>299</v>
      </c>
      <c r="K111">
        <f>IF($A111="","",IF(LEFT($A111,3)="CAP","سرمایه و آورده صاحبان",IF(LEFT($A111,2)="SL","بارفروش",IF(LEFT($A111,2)="BD","باسکول دیگران",IF(LEFT($A111,1)="C","باغدار",IF(LEFT($A111,1)="S","فروشنده سبد/تأمین‌کننده",IF(LEFT($A111,1)="E","کارمند",IF(LEFT($A111,1)="X","سایر حساب",IF(LEFT($A111,1)="F","دارایی ثابت",IF(LEFT($A111,1)="L","وام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11" s="65"/>
      <c r="M111">
        <f>IF(OR($B111="",$A111=""),"",IF(OR($B111=$K111,AND(LEFT($A111,1)="S",OR($B111="فروشنده سبد",$B111="تأمین‌کننده")),AND(LEFT($A111,2)="BD",$B111="باسکول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12" spans="1:13" ht="21" customHeight="1">
      <c r="A112" s="63" t="s">
        <v>544</v>
      </c>
      <c r="B112" s="64" t="s">
        <v>265</v>
      </c>
      <c r="C112" s="65" t="s">
        <v>533</v>
      </c>
      <c r="D112" s="65" t="s">
        <v>545</v>
      </c>
      <c r="E112" s="65"/>
      <c r="F112" s="65"/>
      <c r="G112" s="65"/>
      <c r="H112" s="66">
        <v>0</v>
      </c>
      <c r="I112" s="64" t="s">
        <v>535</v>
      </c>
      <c r="J112" s="64" t="s">
        <v>299</v>
      </c>
      <c r="K112">
        <f>IF($A112="","",IF(LEFT($A112,3)="CAP","سرمایه و آورده صاحبان",IF(LEFT($A112,2)="SL","بارفروش",IF(LEFT($A112,2)="BD","باسکول دیگران",IF(LEFT($A112,1)="C","باغدار",IF(LEFT($A112,1)="S","فروشنده سبد/تأمین‌کننده",IF(LEFT($A112,1)="E","کارمند",IF(LEFT($A112,1)="X","سایر حساب",IF(LEFT($A112,1)="F","دارایی ثابت",IF(LEFT($A112,1)="L","وام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12" s="65"/>
      <c r="M112">
        <f>IF(OR($B112="",$A112=""),"",IF(OR($B112=$K112,AND(LEFT($A112,1)="S",OR($B112="فروشنده سبد",$B112="تأمین‌کننده")),AND(LEFT($A112,2)="BD",$B112="باسکول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13" spans="1:13" ht="21" customHeight="1">
      <c r="A113" s="63" t="s">
        <v>546</v>
      </c>
      <c r="B113" s="64" t="s">
        <v>265</v>
      </c>
      <c r="C113" s="65" t="s">
        <v>533</v>
      </c>
      <c r="D113" s="65" t="s">
        <v>547</v>
      </c>
      <c r="E113" s="65"/>
      <c r="F113" s="65"/>
      <c r="G113" s="65"/>
      <c r="H113" s="66">
        <v>0</v>
      </c>
      <c r="I113" s="64" t="s">
        <v>535</v>
      </c>
      <c r="J113" s="64" t="s">
        <v>299</v>
      </c>
      <c r="K113">
        <f>IF($A113="","",IF(LEFT($A113,3)="CAP","سرمایه و آورده صاحبان",IF(LEFT($A113,2)="SL","بارفروش",IF(LEFT($A113,2)="BD","باسکول دیگران",IF(LEFT($A113,1)="C","باغدار",IF(LEFT($A113,1)="S","فروشنده سبد/تأمین‌کننده",IF(LEFT($A113,1)="E","کارمند",IF(LEFT($A113,1)="X","سایر حساب",IF(LEFT($A113,1)="F","دارایی ثابت",IF(LEFT($A113,1)="L","وام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13" s="65"/>
      <c r="M113">
        <f>IF(OR($B113="",$A113=""),"",IF(OR($B113=$K113,AND(LEFT($A113,1)="S",OR($B113="فروشنده سبد",$B113="تأمین‌کننده")),AND(LEFT($A113,2)="BD",$B113="باسکول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14" spans="1:13" ht="21" customHeight="1">
      <c r="A114" s="63" t="s">
        <v>548</v>
      </c>
      <c r="B114" s="64" t="s">
        <v>265</v>
      </c>
      <c r="C114" s="65" t="s">
        <v>533</v>
      </c>
      <c r="D114" s="65" t="s">
        <v>549</v>
      </c>
      <c r="E114" s="65"/>
      <c r="F114" s="65"/>
      <c r="G114" s="65"/>
      <c r="H114" s="66">
        <v>0</v>
      </c>
      <c r="I114" s="64" t="s">
        <v>535</v>
      </c>
      <c r="J114" s="64" t="s">
        <v>299</v>
      </c>
      <c r="K114">
        <f>IF($A114="","",IF(LEFT($A114,3)="CAP","سرمایه و آورده صاحبان",IF(LEFT($A114,2)="SL","بارفروش",IF(LEFT($A114,2)="BD","باسکول دیگران",IF(LEFT($A114,1)="C","باغدار",IF(LEFT($A114,1)="S","فروشنده سبد/تأمین‌کننده",IF(LEFT($A114,1)="E","کارمند",IF(LEFT($A114,1)="X","سایر حساب",IF(LEFT($A114,1)="F","دارایی ثابت",IF(LEFT($A114,1)="L","وام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14" s="65"/>
      <c r="M114">
        <f>IF(OR($B114="",$A114=""),"",IF(OR($B114=$K114,AND(LEFT($A114,1)="S",OR($B114="فروشنده سبد",$B114="تأمین‌کننده")),AND(LEFT($A114,2)="BD",$B114="باسکول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15" spans="1:13" ht="21" customHeight="1">
      <c r="A115" s="63" t="s">
        <v>550</v>
      </c>
      <c r="B115" s="64" t="s">
        <v>265</v>
      </c>
      <c r="C115" s="65" t="s">
        <v>533</v>
      </c>
      <c r="D115" s="65" t="s">
        <v>551</v>
      </c>
      <c r="E115" s="65"/>
      <c r="F115" s="65"/>
      <c r="G115" s="65"/>
      <c r="H115" s="66">
        <v>0</v>
      </c>
      <c r="I115" s="64" t="s">
        <v>535</v>
      </c>
      <c r="J115" s="64" t="s">
        <v>299</v>
      </c>
      <c r="K115">
        <f>IF($A115="","",IF(LEFT($A115,3)="CAP","سرمایه و آورده صاحبان",IF(LEFT($A115,2)="SL","بارفروش",IF(LEFT($A115,2)="BD","باسکول دیگران",IF(LEFT($A115,1)="C","باغدار",IF(LEFT($A115,1)="S","فروشنده سبد/تأمین‌کننده",IF(LEFT($A115,1)="E","کارمند",IF(LEFT($A115,1)="X","سایر حساب",IF(LEFT($A115,1)="F","دارایی ثابت",IF(LEFT($A115,1)="L","وام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15" s="65"/>
      <c r="M115">
        <f>IF(OR($B115="",$A115=""),"",IF(OR($B115=$K115,AND(LEFT($A115,1)="S",OR($B115="فروشنده سبد",$B115="تأمین‌کننده")),AND(LEFT($A115,2)="BD",$B115="باسکول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16" spans="1:13" ht="21" customHeight="1">
      <c r="A116" s="63" t="s">
        <v>552</v>
      </c>
      <c r="B116" s="64" t="s">
        <v>265</v>
      </c>
      <c r="C116" s="65" t="s">
        <v>533</v>
      </c>
      <c r="D116" s="65" t="s">
        <v>553</v>
      </c>
      <c r="E116" s="65"/>
      <c r="F116" s="65"/>
      <c r="G116" s="65"/>
      <c r="H116" s="66">
        <v>0</v>
      </c>
      <c r="I116" s="64" t="s">
        <v>535</v>
      </c>
      <c r="J116" s="64" t="s">
        <v>299</v>
      </c>
      <c r="K116">
        <f>IF($A116="","",IF(LEFT($A116,3)="CAP","سرمایه و آورده صاحبان",IF(LEFT($A116,2)="SL","بارفروش",IF(LEFT($A116,2)="BD","باسکول دیگران",IF(LEFT($A116,1)="C","باغدار",IF(LEFT($A116,1)="S","فروشنده سبد/تأمین‌کننده",IF(LEFT($A116,1)="E","کارمند",IF(LEFT($A116,1)="X","سایر حساب",IF(LEFT($A116,1)="F","دارایی ثابت",IF(LEFT($A116,1)="L","وام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16" s="65"/>
      <c r="M116">
        <f>IF(OR($B116="",$A116=""),"",IF(OR($B116=$K116,AND(LEFT($A116,1)="S",OR($B116="فروشنده سبد",$B116="تأمین‌کننده")),AND(LEFT($A116,2)="BD",$B116="باسکول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17" spans="1:13" ht="21" customHeight="1">
      <c r="A117" s="67" t="s">
        <v>554</v>
      </c>
      <c r="B117" s="64"/>
      <c r="C117" s="65"/>
      <c r="D117" s="65"/>
      <c r="E117" s="65"/>
      <c r="F117" s="65"/>
      <c r="G117" s="65"/>
      <c r="H117" s="68">
        <v>0</v>
      </c>
      <c r="I117" s="64"/>
      <c r="J117" s="64"/>
      <c r="K117">
        <f>IF($A117="","",IF(LEFT($A117,3)="CAP","سرمایه و آورده صاحبان",IF(LEFT($A117,2)="SL","بارفروش",IF(LEFT($A117,2)="BD","باسکول دیگران",IF(LEFT($A117,1)="C","باغدار",IF(LEFT($A117,1)="S","فروشنده سبد/تأمین‌کننده",IF(LEFT($A117,1)="E","کارمند",IF(LEFT($A117,1)="X","سایر حساب",IF(LEFT($A117,1)="F","دارایی ثابت",IF(LEFT($A117,1)="L","وام و تسهیلات",""))))))))))</f>
        <v>Format(font_name='Tahoma', font_size=8.5, bold=0, italic=0, underline=0, font_color=None, num_format='General', text_h_align=3, text_v_align=2, fg_color=None, bg_color=Color(value=0xFCFAF3, type=RGB, is_automatic=False), pattern=0, locked=1, hidden=0)</v>
      </c>
      <c r="L117" s="65"/>
      <c r="M117">
        <f>IF(OR($B117="",$A117=""),"",IF(OR($B117=$K117,AND(LEFT($A117,1)="S",OR($B117="فروشنده سبد",$B117="تأمین‌کننده")),AND(LEFT($A117,2)="BD",$B117="باسکول دیگران")),"✓","⚠"))</f>
        <v>Format(font_name='Tahoma', font_size=8.5, bold=0, italic=0, underline=0, font_color=None, num_format='General', text_h_align=3, text_v_align=2, fg_color=None, bg_color=Color(value=0xFCFAF3, type=RGB, is_automatic=False), pattern=0, locked=1, hidden=0)</v>
      </c>
    </row>
    <row r="118" spans="1:13" ht="21" customHeight="1">
      <c r="A118" s="67" t="s">
        <v>555</v>
      </c>
      <c r="B118" s="64"/>
      <c r="C118" s="65"/>
      <c r="D118" s="65"/>
      <c r="E118" s="65"/>
      <c r="F118" s="65"/>
      <c r="G118" s="65"/>
      <c r="H118" s="68">
        <v>0</v>
      </c>
      <c r="I118" s="64"/>
      <c r="J118" s="64"/>
      <c r="K118">
        <f>IF($A118="","",IF(LEFT($A118,3)="CAP","سرمایه و آورده صاحبان",IF(LEFT($A118,2)="SL","بارفروش",IF(LEFT($A118,2)="BD","باسکول دیگران",IF(LEFT($A118,1)="C","باغدار",IF(LEFT($A118,1)="S","فروشنده سبد/تأمین‌کننده",IF(LEFT($A118,1)="E","کارمند",IF(LEFT($A118,1)="X","سایر حساب",IF(LEFT($A118,1)="F","دارایی ثابت",IF(LEFT($A118,1)="L","وام و تسهیلات",""))))))))))</f>
        <v>Format(font_name='Tahoma', font_size=8.5, bold=0, italic=0, underline=0, font_color=None, num_format='General', text_h_align=3, text_v_align=2, fg_color=None, bg_color=Color(value=0xFCFAF3, type=RGB, is_automatic=False), pattern=0, locked=1, hidden=0)</v>
      </c>
      <c r="L118" s="65"/>
      <c r="M118">
        <f>IF(OR($B118="",$A118=""),"",IF(OR($B118=$K118,AND(LEFT($A118,1)="S",OR($B118="فروشنده سبد",$B118="تأمین‌کننده")),AND(LEFT($A118,2)="BD",$B118="باسکول دیگران")),"✓","⚠"))</f>
        <v>Format(font_name='Tahoma', font_size=8.5, bold=0, italic=0, underline=0, font_color=None, num_format='General', text_h_align=3, text_v_align=2, fg_color=None, bg_color=Color(value=0xFCFAF3, type=RGB, is_automatic=False), pattern=0, locked=1, hidden=0)</v>
      </c>
    </row>
    <row r="119" spans="1:13" ht="21" customHeight="1">
      <c r="A119" s="67" t="s">
        <v>556</v>
      </c>
      <c r="B119" s="64"/>
      <c r="C119" s="65"/>
      <c r="D119" s="65"/>
      <c r="E119" s="65"/>
      <c r="F119" s="65"/>
      <c r="G119" s="65"/>
      <c r="H119" s="68">
        <v>0</v>
      </c>
      <c r="I119" s="64"/>
      <c r="J119" s="64"/>
      <c r="K119">
        <f>IF($A119="","",IF(LEFT($A119,3)="CAP","سرمایه و آورده صاحبان",IF(LEFT($A119,2)="SL","بارفروش",IF(LEFT($A119,2)="BD","باسکول دیگران",IF(LEFT($A119,1)="C","باغدار",IF(LEFT($A119,1)="S","فروشنده سبد/تأمین‌کننده",IF(LEFT($A119,1)="E","کارمند",IF(LEFT($A119,1)="X","سایر حساب",IF(LEFT($A119,1)="F","دارایی ثابت",IF(LEFT($A119,1)="L","وام و تسهیلات",""))))))))))</f>
        <v>Format(font_name='Tahoma', font_size=8.5, bold=0, italic=0, underline=0, font_color=None, num_format='General', text_h_align=3, text_v_align=2, fg_color=None, bg_color=Color(value=0xFCFAF3, type=RGB, is_automatic=False), pattern=0, locked=1, hidden=0)</v>
      </c>
      <c r="L119" s="65"/>
      <c r="M119">
        <f>IF(OR($B119="",$A119=""),"",IF(OR($B119=$K119,AND(LEFT($A119,1)="S",OR($B119="فروشنده سبد",$B119="تأمین‌کننده")),AND(LEFT($A119,2)="BD",$B119="باسکول دیگران")),"✓","⚠"))</f>
        <v>Format(font_name='Tahoma', font_size=8.5, bold=0, italic=0, underline=0, font_color=None, num_format='General', text_h_align=3, text_v_align=2, fg_color=None, bg_color=Color(value=0xFCFAF3, type=RGB, is_automatic=False), pattern=0, locked=1, hidden=0)</v>
      </c>
    </row>
    <row r="120" spans="1:13" ht="21" customHeight="1">
      <c r="A120" s="67" t="s">
        <v>557</v>
      </c>
      <c r="B120" s="64"/>
      <c r="C120" s="65"/>
      <c r="D120" s="65"/>
      <c r="E120" s="65"/>
      <c r="F120" s="65"/>
      <c r="G120" s="65"/>
      <c r="H120" s="68">
        <v>0</v>
      </c>
      <c r="I120" s="64"/>
      <c r="J120" s="64"/>
      <c r="K120">
        <f>IF($A120="","",IF(LEFT($A120,3)="CAP","سرمایه و آورده صاحبان",IF(LEFT($A120,2)="SL","بارفروش",IF(LEFT($A120,2)="BD","باسکول دیگران",IF(LEFT($A120,1)="C","باغدار",IF(LEFT($A120,1)="S","فروشنده سبد/تأمین‌کننده",IF(LEFT($A120,1)="E","کارمند",IF(LEFT($A120,1)="X","سایر حساب",IF(LEFT($A120,1)="F","دارایی ثابت",IF(LEFT($A120,1)="L","وام و تسهیلات",""))))))))))</f>
        <v>Format(font_name='Tahoma', font_size=8.5, bold=0, italic=0, underline=0, font_color=None, num_format='General', text_h_align=3, text_v_align=2, fg_color=None, bg_color=Color(value=0xFCFAF3, type=RGB, is_automatic=False), pattern=0, locked=1, hidden=0)</v>
      </c>
      <c r="L120" s="65"/>
      <c r="M120">
        <f>IF(OR($B120="",$A120=""),"",IF(OR($B120=$K120,AND(LEFT($A120,1)="S",OR($B120="فروشنده سبد",$B120="تأمین‌کننده")),AND(LEFT($A120,2)="BD",$B120="باسکول دیگران")),"✓","⚠"))</f>
        <v>Format(font_name='Tahoma', font_size=8.5, bold=0, italic=0, underline=0, font_color=None, num_format='General', text_h_align=3, text_v_align=2, fg_color=None, bg_color=Color(value=0xFCFAF3, type=RGB, is_automatic=False), pattern=0, locked=1, hidden=0)</v>
      </c>
    </row>
    <row r="121" spans="1:13" ht="21" customHeight="1">
      <c r="A121" s="67" t="s">
        <v>558</v>
      </c>
      <c r="B121" s="64"/>
      <c r="C121" s="65"/>
      <c r="D121" s="65"/>
      <c r="E121" s="65"/>
      <c r="F121" s="65"/>
      <c r="G121" s="65"/>
      <c r="H121" s="68">
        <v>0</v>
      </c>
      <c r="I121" s="64"/>
      <c r="J121" s="64"/>
      <c r="K121">
        <f>IF($A121="","",IF(LEFT($A121,3)="CAP","سرمایه و آورده صاحبان",IF(LEFT($A121,2)="SL","بارفروش",IF(LEFT($A121,2)="BD","باسکول دیگران",IF(LEFT($A121,1)="C","باغدار",IF(LEFT($A121,1)="S","فروشنده سبد/تأمین‌کننده",IF(LEFT($A121,1)="E","کارمند",IF(LEFT($A121,1)="X","سایر حساب",IF(LEFT($A121,1)="F","دارایی ثابت",IF(LEFT($A121,1)="L","وام و تسهیلات",""))))))))))</f>
        <v>Format(font_name='Tahoma', font_size=8.5, bold=0, italic=0, underline=0, font_color=None, num_format='General', text_h_align=3, text_v_align=2, fg_color=None, bg_color=Color(value=0xFCFAF3, type=RGB, is_automatic=False), pattern=0, locked=1, hidden=0)</v>
      </c>
      <c r="L121" s="65"/>
      <c r="M121">
        <f>IF(OR($B121="",$A121=""),"",IF(OR($B121=$K121,AND(LEFT($A121,1)="S",OR($B121="فروشنده سبد",$B121="تأمین‌کننده")),AND(LEFT($A121,2)="BD",$B121="باسکول دیگران")),"✓","⚠"))</f>
        <v>Format(font_name='Tahoma', font_size=8.5, bold=0, italic=0, underline=0, font_color=None, num_format='General', text_h_align=3, text_v_align=2, fg_color=None, bg_color=Color(value=0xFCFAF3, type=RGB, is_automatic=False), pattern=0, locked=1, hidden=0)</v>
      </c>
    </row>
    <row r="122" spans="1:13" ht="21" customHeight="1">
      <c r="A122" s="67" t="s">
        <v>559</v>
      </c>
      <c r="B122" s="64"/>
      <c r="C122" s="65"/>
      <c r="D122" s="65"/>
      <c r="E122" s="65"/>
      <c r="F122" s="65"/>
      <c r="G122" s="65"/>
      <c r="H122" s="68">
        <v>0</v>
      </c>
      <c r="I122" s="64"/>
      <c r="J122" s="64"/>
      <c r="K122">
        <f>IF($A122="","",IF(LEFT($A122,3)="CAP","سرمایه و آورده صاحبان",IF(LEFT($A122,2)="SL","بارفروش",IF(LEFT($A122,2)="BD","باسکول دیگران",IF(LEFT($A122,1)="C","باغدار",IF(LEFT($A122,1)="S","فروشنده سبد/تأمین‌کننده",IF(LEFT($A122,1)="E","کارمند",IF(LEFT($A122,1)="X","سایر حساب",IF(LEFT($A122,1)="F","دارایی ثابت",IF(LEFT($A122,1)="L","وام و تسهیلات",""))))))))))</f>
        <v>Format(font_name='Tahoma', font_size=8.5, bold=0, italic=0, underline=0, font_color=None, num_format='General', text_h_align=3, text_v_align=2, fg_color=None, bg_color=Color(value=0xFCFAF3, type=RGB, is_automatic=False), pattern=0, locked=1, hidden=0)</v>
      </c>
      <c r="L122" s="65"/>
      <c r="M122">
        <f>IF(OR($B122="",$A122=""),"",IF(OR($B122=$K122,AND(LEFT($A122,1)="S",OR($B122="فروشنده سبد",$B122="تأمین‌کننده")),AND(LEFT($A122,2)="BD",$B122="باسکول دیگران")),"✓","⚠"))</f>
        <v>Format(font_name='Tahoma', font_size=8.5, bold=0, italic=0, underline=0, font_color=None, num_format='General', text_h_align=3, text_v_align=2, fg_color=None, bg_color=Color(value=0xFCFAF3, type=RGB, is_automatic=False), pattern=0, locked=1, hidden=0)</v>
      </c>
    </row>
    <row r="123" spans="1:13" ht="21" customHeight="1">
      <c r="A123" s="67" t="s">
        <v>560</v>
      </c>
      <c r="B123" s="64"/>
      <c r="C123" s="65"/>
      <c r="D123" s="65"/>
      <c r="E123" s="65"/>
      <c r="F123" s="65"/>
      <c r="G123" s="65"/>
      <c r="H123" s="68">
        <v>0</v>
      </c>
      <c r="I123" s="64"/>
      <c r="J123" s="64"/>
      <c r="K123">
        <f>IF($A123="","",IF(LEFT($A123,3)="CAP","سرمایه و آورده صاحبان",IF(LEFT($A123,2)="SL","بارفروش",IF(LEFT($A123,2)="BD","باسکول دیگران",IF(LEFT($A123,1)="C","باغدار",IF(LEFT($A123,1)="S","فروشنده سبد/تأمین‌کننده",IF(LEFT($A123,1)="E","کارمند",IF(LEFT($A123,1)="X","سایر حساب",IF(LEFT($A123,1)="F","دارایی ثابت",IF(LEFT($A123,1)="L","وام و تسهیلات",""))))))))))</f>
        <v>Format(font_name='Tahoma', font_size=8.5, bold=0, italic=0, underline=0, font_color=None, num_format='General', text_h_align=3, text_v_align=2, fg_color=None, bg_color=Color(value=0xFCFAF3, type=RGB, is_automatic=False), pattern=0, locked=1, hidden=0)</v>
      </c>
      <c r="L123" s="65"/>
      <c r="M123">
        <f>IF(OR($B123="",$A123=""),"",IF(OR($B123=$K123,AND(LEFT($A123,1)="S",OR($B123="فروشنده سبد",$B123="تأمین‌کننده")),AND(LEFT($A123,2)="BD",$B123="باسکول دیگران")),"✓","⚠"))</f>
        <v>Format(font_name='Tahoma', font_size=8.5, bold=0, italic=0, underline=0, font_color=None, num_format='General', text_h_align=3, text_v_align=2, fg_color=None, bg_color=Color(value=0xFCFAF3, type=RGB, is_automatic=False), pattern=0, locked=1, hidden=0)</v>
      </c>
    </row>
    <row r="124" spans="1:13" ht="21" customHeight="1">
      <c r="A124" s="67" t="s">
        <v>561</v>
      </c>
      <c r="B124" s="64"/>
      <c r="C124" s="65"/>
      <c r="D124" s="65"/>
      <c r="E124" s="65"/>
      <c r="F124" s="65"/>
      <c r="G124" s="65"/>
      <c r="H124" s="68">
        <v>0</v>
      </c>
      <c r="I124" s="64"/>
      <c r="J124" s="64"/>
      <c r="K124">
        <f>IF($A124="","",IF(LEFT($A124,3)="CAP","سرمایه و آورده صاحبان",IF(LEFT($A124,2)="SL","بارفروش",IF(LEFT($A124,2)="BD","باسکول دیگران",IF(LEFT($A124,1)="C","باغدار",IF(LEFT($A124,1)="S","فروشنده سبد/تأمین‌کننده",IF(LEFT($A124,1)="E","کارمند",IF(LEFT($A124,1)="X","سایر حساب",IF(LEFT($A124,1)="F","دارایی ثابت",IF(LEFT($A124,1)="L","وام و تسهیلات",""))))))))))</f>
        <v>Format(font_name='Tahoma', font_size=8.5, bold=0, italic=0, underline=0, font_color=None, num_format='General', text_h_align=3, text_v_align=2, fg_color=None, bg_color=Color(value=0xFCFAF3, type=RGB, is_automatic=False), pattern=0, locked=1, hidden=0)</v>
      </c>
      <c r="L124" s="65"/>
      <c r="M124">
        <f>IF(OR($B124="",$A124=""),"",IF(OR($B124=$K124,AND(LEFT($A124,1)="S",OR($B124="فروشنده سبد",$B124="تأمین‌کننده")),AND(LEFT($A124,2)="BD",$B124="باسکول دیگران")),"✓","⚠"))</f>
        <v>Format(font_name='Tahoma', font_size=8.5, bold=0, italic=0, underline=0, font_color=None, num_format='General', text_h_align=3, text_v_align=2, fg_color=None, bg_color=Color(value=0xFCFAF3, type=RGB, is_automatic=False), pattern=0, locked=1, hidden=0)</v>
      </c>
    </row>
    <row r="125" spans="1:13" ht="21" customHeight="1">
      <c r="A125" s="67" t="s">
        <v>562</v>
      </c>
      <c r="B125" s="64"/>
      <c r="C125" s="65"/>
      <c r="D125" s="65"/>
      <c r="E125" s="65"/>
      <c r="F125" s="65"/>
      <c r="G125" s="65"/>
      <c r="H125" s="68">
        <v>0</v>
      </c>
      <c r="I125" s="64"/>
      <c r="J125" s="64"/>
      <c r="K125">
        <f>IF($A125="","",IF(LEFT($A125,3)="CAP","سرمایه و آورده صاحبان",IF(LEFT($A125,2)="SL","بارفروش",IF(LEFT($A125,2)="BD","باسکول دیگران",IF(LEFT($A125,1)="C","باغدار",IF(LEFT($A125,1)="S","فروشنده سبد/تأمین‌کننده",IF(LEFT($A125,1)="E","کارمند",IF(LEFT($A125,1)="X","سایر حساب",IF(LEFT($A125,1)="F","دارایی ثابت",IF(LEFT($A125,1)="L","وام و تسهیلات",""))))))))))</f>
        <v>Format(font_name='Tahoma', font_size=8.5, bold=0, italic=0, underline=0, font_color=None, num_format='General', text_h_align=3, text_v_align=2, fg_color=None, bg_color=Color(value=0xFCFAF3, type=RGB, is_automatic=False), pattern=0, locked=1, hidden=0)</v>
      </c>
      <c r="L125" s="65"/>
      <c r="M125">
        <f>IF(OR($B125="",$A125=""),"",IF(OR($B125=$K125,AND(LEFT($A125,1)="S",OR($B125="فروشنده سبد",$B125="تأمین‌کننده")),AND(LEFT($A125,2)="BD",$B125="باسکول دیگران")),"✓","⚠"))</f>
        <v>Format(font_name='Tahoma', font_size=8.5, bold=0, italic=0, underline=0, font_color=None, num_format='General', text_h_align=3, text_v_align=2, fg_color=None, bg_color=Color(value=0xFCFAF3, type=RGB, is_automatic=False), pattern=0, locked=1, hidden=0)</v>
      </c>
    </row>
    <row r="126" spans="1:13" ht="21" customHeight="1">
      <c r="A126" s="67" t="s">
        <v>563</v>
      </c>
      <c r="B126" s="64"/>
      <c r="C126" s="65"/>
      <c r="D126" s="65"/>
      <c r="E126" s="65"/>
      <c r="F126" s="65"/>
      <c r="G126" s="65"/>
      <c r="H126" s="68">
        <v>0</v>
      </c>
      <c r="I126" s="64"/>
      <c r="J126" s="64"/>
      <c r="K126">
        <f>IF($A126="","",IF(LEFT($A126,3)="CAP","سرمایه و آورده صاحبان",IF(LEFT($A126,2)="SL","بارفروش",IF(LEFT($A126,2)="BD","باسکول دیگران",IF(LEFT($A126,1)="C","باغدار",IF(LEFT($A126,1)="S","فروشنده سبد/تأمین‌کننده",IF(LEFT($A126,1)="E","کارمند",IF(LEFT($A126,1)="X","سایر حساب",IF(LEFT($A126,1)="F","دارایی ثابت",IF(LEFT($A126,1)="L","وام و تسهیلات",""))))))))))</f>
        <v>Format(font_name='Tahoma', font_size=8.5, bold=0, italic=0, underline=0, font_color=None, num_format='General', text_h_align=3, text_v_align=2, fg_color=None, bg_color=Color(value=0xFCFAF3, type=RGB, is_automatic=False), pattern=0, locked=1, hidden=0)</v>
      </c>
      <c r="L126" s="65"/>
      <c r="M126">
        <f>IF(OR($B126="",$A126=""),"",IF(OR($B126=$K126,AND(LEFT($A126,1)="S",OR($B126="فروشنده سبد",$B126="تأمین‌کننده")),AND(LEFT($A126,2)="BD",$B126="باسکول دیگران")),"✓","⚠"))</f>
        <v>Format(font_name='Tahoma', font_size=8.5, bold=0, italic=0, underline=0, font_color=None, num_format='General', text_h_align=3, text_v_align=2, fg_color=None, bg_color=Color(value=0xFCFAF3, type=RGB, is_automatic=False), pattern=0, locked=1, hidden=0)</v>
      </c>
    </row>
    <row r="127" spans="1:13" ht="21" customHeight="1">
      <c r="A127" s="67" t="s">
        <v>564</v>
      </c>
      <c r="B127" s="64"/>
      <c r="C127" s="65"/>
      <c r="D127" s="65"/>
      <c r="E127" s="65"/>
      <c r="F127" s="65"/>
      <c r="G127" s="65"/>
      <c r="H127" s="68">
        <v>0</v>
      </c>
      <c r="I127" s="64"/>
      <c r="J127" s="64"/>
      <c r="K127">
        <f>IF($A127="","",IF(LEFT($A127,3)="CAP","سرمایه و آورده صاحبان",IF(LEFT($A127,2)="SL","بارفروش",IF(LEFT($A127,2)="BD","باسکول دیگران",IF(LEFT($A127,1)="C","باغدار",IF(LEFT($A127,1)="S","فروشنده سبد/تأمین‌کننده",IF(LEFT($A127,1)="E","کارمند",IF(LEFT($A127,1)="X","سایر حساب",IF(LEFT($A127,1)="F","دارایی ثابت",IF(LEFT($A127,1)="L","وام و تسهیلات",""))))))))))</f>
        <v>Format(font_name='Tahoma', font_size=8.5, bold=0, italic=0, underline=0, font_color=None, num_format='General', text_h_align=3, text_v_align=2, fg_color=None, bg_color=Color(value=0xFCFAF3, type=RGB, is_automatic=False), pattern=0, locked=1, hidden=0)</v>
      </c>
      <c r="L127" s="65"/>
      <c r="M127">
        <f>IF(OR($B127="",$A127=""),"",IF(OR($B127=$K127,AND(LEFT($A127,1)="S",OR($B127="فروشنده سبد",$B127="تأمین‌کننده")),AND(LEFT($A127,2)="BD",$B127="باسکول دیگران")),"✓","⚠"))</f>
        <v>Format(font_name='Tahoma', font_size=8.5, bold=0, italic=0, underline=0, font_color=None, num_format='General', text_h_align=3, text_v_align=2, fg_color=None, bg_color=Color(value=0xFCFAF3, type=RGB, is_automatic=False), pattern=0, locked=1, hidden=0)</v>
      </c>
    </row>
    <row r="128" spans="1:13" ht="21" customHeight="1">
      <c r="A128" s="67" t="s">
        <v>565</v>
      </c>
      <c r="B128" s="64"/>
      <c r="C128" s="65"/>
      <c r="D128" s="65"/>
      <c r="E128" s="65"/>
      <c r="F128" s="65"/>
      <c r="G128" s="65"/>
      <c r="H128" s="68">
        <v>0</v>
      </c>
      <c r="I128" s="64"/>
      <c r="J128" s="64"/>
      <c r="K128">
        <f>IF($A128="","",IF(LEFT($A128,3)="CAP","سرمایه و آورده صاحبان",IF(LEFT($A128,2)="SL","بارفروش",IF(LEFT($A128,2)="BD","باسکول دیگران",IF(LEFT($A128,1)="C","باغدار",IF(LEFT($A128,1)="S","فروشنده سبد/تأمین‌کننده",IF(LEFT($A128,1)="E","کارمند",IF(LEFT($A128,1)="X","سایر حساب",IF(LEFT($A128,1)="F","دارایی ثابت",IF(LEFT($A128,1)="L","وام و تسهیلات",""))))))))))</f>
        <v>Format(font_name='Tahoma', font_size=8.5, bold=0, italic=0, underline=0, font_color=None, num_format='General', text_h_align=3, text_v_align=2, fg_color=None, bg_color=Color(value=0xFCFAF3, type=RGB, is_automatic=False), pattern=0, locked=1, hidden=0)</v>
      </c>
      <c r="L128" s="65"/>
      <c r="M128">
        <f>IF(OR($B128="",$A128=""),"",IF(OR($B128=$K128,AND(LEFT($A128,1)="S",OR($B128="فروشنده سبد",$B128="تأمین‌کننده")),AND(LEFT($A128,2)="BD",$B128="باسکول دیگران")),"✓","⚠"))</f>
        <v>Format(font_name='Tahoma', font_size=8.5, bold=0, italic=0, underline=0, font_color=None, num_format='General', text_h_align=3, text_v_align=2, fg_color=None, bg_color=Color(value=0xFCFAF3, type=RGB, is_automatic=False), pattern=0, locked=1, hidden=0)</v>
      </c>
    </row>
    <row r="129" spans="1:13" ht="21" customHeight="1">
      <c r="A129" s="67" t="s">
        <v>566</v>
      </c>
      <c r="B129" s="64"/>
      <c r="C129" s="65"/>
      <c r="D129" s="65"/>
      <c r="E129" s="65"/>
      <c r="F129" s="65"/>
      <c r="G129" s="65"/>
      <c r="H129" s="68">
        <v>0</v>
      </c>
      <c r="I129" s="64"/>
      <c r="J129" s="64"/>
      <c r="K129">
        <f>IF($A129="","",IF(LEFT($A129,3)="CAP","سرمایه و آورده صاحبان",IF(LEFT($A129,2)="SL","بارفروش",IF(LEFT($A129,2)="BD","باسکول دیگران",IF(LEFT($A129,1)="C","باغدار",IF(LEFT($A129,1)="S","فروشنده سبد/تأمین‌کننده",IF(LEFT($A129,1)="E","کارمند",IF(LEFT($A129,1)="X","سایر حساب",IF(LEFT($A129,1)="F","دارایی ثابت",IF(LEFT($A129,1)="L","وام و تسهیلات",""))))))))))</f>
        <v>Format(font_name='Tahoma', font_size=8.5, bold=0, italic=0, underline=0, font_color=None, num_format='General', text_h_align=3, text_v_align=2, fg_color=None, bg_color=Color(value=0xFCFAF3, type=RGB, is_automatic=False), pattern=0, locked=1, hidden=0)</v>
      </c>
      <c r="L129" s="65"/>
      <c r="M129">
        <f>IF(OR($B129="",$A129=""),"",IF(OR($B129=$K129,AND(LEFT($A129,1)="S",OR($B129="فروشنده سبد",$B129="تأمین‌کننده")),AND(LEFT($A129,2)="BD",$B129="باسکول دیگران")),"✓","⚠"))</f>
        <v>Format(font_name='Tahoma', font_size=8.5, bold=0, italic=0, underline=0, font_color=None, num_format='General', text_h_align=3, text_v_align=2, fg_color=None, bg_color=Color(value=0xFCFAF3, type=RGB, is_automatic=False), pattern=0, locked=1, hidden=0)</v>
      </c>
    </row>
    <row r="130" spans="1:13" ht="21" customHeight="1">
      <c r="A130" s="67" t="s">
        <v>567</v>
      </c>
      <c r="B130" s="64"/>
      <c r="C130" s="65"/>
      <c r="D130" s="65"/>
      <c r="E130" s="65"/>
      <c r="F130" s="65"/>
      <c r="G130" s="65"/>
      <c r="H130" s="68">
        <v>0</v>
      </c>
      <c r="I130" s="64"/>
      <c r="J130" s="64"/>
      <c r="K130">
        <f>IF($A130="","",IF(LEFT($A130,3)="CAP","سرمایه و آورده صاحبان",IF(LEFT($A130,2)="SL","بارفروش",IF(LEFT($A130,2)="BD","باسکول دیگران",IF(LEFT($A130,1)="C","باغدار",IF(LEFT($A130,1)="S","فروشنده سبد/تأمین‌کننده",IF(LEFT($A130,1)="E","کارمند",IF(LEFT($A130,1)="X","سایر حساب",IF(LEFT($A130,1)="F","دارایی ثابت",IF(LEFT($A130,1)="L","وام و تسهیلات",""))))))))))</f>
        <v>Format(font_name='Tahoma', font_size=8.5, bold=0, italic=0, underline=0, font_color=None, num_format='General', text_h_align=3, text_v_align=2, fg_color=None, bg_color=Color(value=0xFCFAF3, type=RGB, is_automatic=False), pattern=0, locked=1, hidden=0)</v>
      </c>
      <c r="L130" s="65"/>
      <c r="M130">
        <f>IF(OR($B130="",$A130=""),"",IF(OR($B130=$K130,AND(LEFT($A130,1)="S",OR($B130="فروشنده سبد",$B130="تأمین‌کننده")),AND(LEFT($A130,2)="BD",$B130="باسکول دیگران")),"✓","⚠"))</f>
        <v>Format(font_name='Tahoma', font_size=8.5, bold=0, italic=0, underline=0, font_color=None, num_format='General', text_h_align=3, text_v_align=2, fg_color=None, bg_color=Color(value=0xFCFAF3, type=RGB, is_automatic=False), pattern=0, locked=1, hidden=0)</v>
      </c>
    </row>
    <row r="131" spans="1:13" ht="21" customHeight="1">
      <c r="A131" s="67" t="s">
        <v>568</v>
      </c>
      <c r="B131" s="64"/>
      <c r="C131" s="65"/>
      <c r="D131" s="65"/>
      <c r="E131" s="65"/>
      <c r="F131" s="65"/>
      <c r="G131" s="65"/>
      <c r="H131" s="68">
        <v>0</v>
      </c>
      <c r="I131" s="64"/>
      <c r="J131" s="64"/>
      <c r="K131">
        <f>IF($A131="","",IF(LEFT($A131,3)="CAP","سرمایه و آورده صاحبان",IF(LEFT($A131,2)="SL","بارفروش",IF(LEFT($A131,2)="BD","باسکول دیگران",IF(LEFT($A131,1)="C","باغدار",IF(LEFT($A131,1)="S","فروشنده سبد/تأمین‌کننده",IF(LEFT($A131,1)="E","کارمند",IF(LEFT($A131,1)="X","سایر حساب",IF(LEFT($A131,1)="F","دارایی ثابت",IF(LEFT($A131,1)="L","وام و تسهیلات",""))))))))))</f>
        <v>Format(font_name='Tahoma', font_size=8.5, bold=0, italic=0, underline=0, font_color=None, num_format='General', text_h_align=3, text_v_align=2, fg_color=None, bg_color=Color(value=0xFCFAF3, type=RGB, is_automatic=False), pattern=0, locked=1, hidden=0)</v>
      </c>
      <c r="L131" s="65"/>
      <c r="M131">
        <f>IF(OR($B131="",$A131=""),"",IF(OR($B131=$K131,AND(LEFT($A131,1)="S",OR($B131="فروشنده سبد",$B131="تأمین‌کننده")),AND(LEFT($A131,2)="BD",$B131="باسکول دیگران")),"✓","⚠"))</f>
        <v>Format(font_name='Tahoma', font_size=8.5, bold=0, italic=0, underline=0, font_color=None, num_format='General', text_h_align=3, text_v_align=2, fg_color=None, bg_color=Color(value=0xFCFAF3, type=RGB, is_automatic=False), pattern=0, locked=1, hidden=0)</v>
      </c>
    </row>
    <row r="132" spans="1:13" ht="21" customHeight="1">
      <c r="A132" s="67" t="s">
        <v>569</v>
      </c>
      <c r="B132" s="64"/>
      <c r="C132" s="65"/>
      <c r="D132" s="65"/>
      <c r="E132" s="65"/>
      <c r="F132" s="65"/>
      <c r="G132" s="65"/>
      <c r="H132" s="68">
        <v>0</v>
      </c>
      <c r="I132" s="64"/>
      <c r="J132" s="64"/>
      <c r="K132">
        <f>IF($A132="","",IF(LEFT($A132,3)="CAP","سرمایه و آورده صاحبان",IF(LEFT($A132,2)="SL","بارفروش",IF(LEFT($A132,2)="BD","باسکول دیگران",IF(LEFT($A132,1)="C","باغدار",IF(LEFT($A132,1)="S","فروشنده سبد/تأمین‌کننده",IF(LEFT($A132,1)="E","کارمند",IF(LEFT($A132,1)="X","سایر حساب",IF(LEFT($A132,1)="F","دارایی ثابت",IF(LEFT($A132,1)="L","وام و تسهیلات",""))))))))))</f>
        <v>Format(font_name='Tahoma', font_size=8.5, bold=0, italic=0, underline=0, font_color=None, num_format='General', text_h_align=3, text_v_align=2, fg_color=None, bg_color=Color(value=0xFCFAF3, type=RGB, is_automatic=False), pattern=0, locked=1, hidden=0)</v>
      </c>
      <c r="L132" s="65"/>
      <c r="M132">
        <f>IF(OR($B132="",$A132=""),"",IF(OR($B132=$K132,AND(LEFT($A132,1)="S",OR($B132="فروشنده سبد",$B132="تأمین‌کننده")),AND(LEFT($A132,2)="BD",$B132="باسکول دیگران")),"✓","⚠"))</f>
        <v>Format(font_name='Tahoma', font_size=8.5, bold=0, italic=0, underline=0, font_color=None, num_format='General', text_h_align=3, text_v_align=2, fg_color=None, bg_color=Color(value=0xFCFAF3, type=RGB, is_automatic=False), pattern=0, locked=1, hidden=0)</v>
      </c>
    </row>
    <row r="133" spans="1:13" ht="21" customHeight="1">
      <c r="A133" s="67" t="s">
        <v>570</v>
      </c>
      <c r="B133" s="64"/>
      <c r="C133" s="65"/>
      <c r="D133" s="65"/>
      <c r="E133" s="65"/>
      <c r="F133" s="65"/>
      <c r="G133" s="65"/>
      <c r="H133" s="68">
        <v>0</v>
      </c>
      <c r="I133" s="64"/>
      <c r="J133" s="64"/>
      <c r="K133">
        <f>IF($A133="","",IF(LEFT($A133,3)="CAP","سرمایه و آورده صاحبان",IF(LEFT($A133,2)="SL","بارفروش",IF(LEFT($A133,2)="BD","باسکول دیگران",IF(LEFT($A133,1)="C","باغدار",IF(LEFT($A133,1)="S","فروشنده سبد/تأمین‌کننده",IF(LEFT($A133,1)="E","کارمند",IF(LEFT($A133,1)="X","سایر حساب",IF(LEFT($A133,1)="F","دارایی ثابت",IF(LEFT($A133,1)="L","وام و تسهیلات",""))))))))))</f>
        <v>Format(font_name='Tahoma', font_size=8.5, bold=0, italic=0, underline=0, font_color=None, num_format='General', text_h_align=3, text_v_align=2, fg_color=None, bg_color=Color(value=0xFCFAF3, type=RGB, is_automatic=False), pattern=0, locked=1, hidden=0)</v>
      </c>
      <c r="L133" s="65"/>
      <c r="M133">
        <f>IF(OR($B133="",$A133=""),"",IF(OR($B133=$K133,AND(LEFT($A133,1)="S",OR($B133="فروشنده سبد",$B133="تأمین‌کننده")),AND(LEFT($A133,2)="BD",$B133="باسکول دیگران")),"✓","⚠"))</f>
        <v>Format(font_name='Tahoma', font_size=8.5, bold=0, italic=0, underline=0, font_color=None, num_format='General', text_h_align=3, text_v_align=2, fg_color=None, bg_color=Color(value=0xFCFAF3, type=RGB, is_automatic=False), pattern=0, locked=1, hidden=0)</v>
      </c>
    </row>
    <row r="134" spans="1:13" ht="21" customHeight="1">
      <c r="A134" s="67" t="s">
        <v>571</v>
      </c>
      <c r="B134" s="64"/>
      <c r="C134" s="65"/>
      <c r="D134" s="65"/>
      <c r="E134" s="65"/>
      <c r="F134" s="65"/>
      <c r="G134" s="65"/>
      <c r="H134" s="68">
        <v>0</v>
      </c>
      <c r="I134" s="64"/>
      <c r="J134" s="64"/>
      <c r="K134">
        <f>IF($A134="","",IF(LEFT($A134,3)="CAP","سرمایه و آورده صاحبان",IF(LEFT($A134,2)="SL","بارفروش",IF(LEFT($A134,2)="BD","باسکول دیگران",IF(LEFT($A134,1)="C","باغدار",IF(LEFT($A134,1)="S","فروشنده سبد/تأمین‌کننده",IF(LEFT($A134,1)="E","کارمند",IF(LEFT($A134,1)="X","سایر حساب",IF(LEFT($A134,1)="F","دارایی ثابت",IF(LEFT($A134,1)="L","وام و تسهیلات",""))))))))))</f>
        <v>Format(font_name='Tahoma', font_size=8.5, bold=0, italic=0, underline=0, font_color=None, num_format='General', text_h_align=3, text_v_align=2, fg_color=None, bg_color=Color(value=0xFCFAF3, type=RGB, is_automatic=False), pattern=0, locked=1, hidden=0)</v>
      </c>
      <c r="L134" s="65"/>
      <c r="M134">
        <f>IF(OR($B134="",$A134=""),"",IF(OR($B134=$K134,AND(LEFT($A134,1)="S",OR($B134="فروشنده سبد",$B134="تأمین‌کننده")),AND(LEFT($A134,2)="BD",$B134="باسکول دیگران")),"✓","⚠"))</f>
        <v>Format(font_name='Tahoma', font_size=8.5, bold=0, italic=0, underline=0, font_color=None, num_format='General', text_h_align=3, text_v_align=2, fg_color=None, bg_color=Color(value=0xFCFAF3, type=RGB, is_automatic=False), pattern=0, locked=1, hidden=0)</v>
      </c>
    </row>
    <row r="135" spans="1:13" ht="21" customHeight="1">
      <c r="A135" s="67" t="s">
        <v>572</v>
      </c>
      <c r="B135" s="64"/>
      <c r="C135" s="65"/>
      <c r="D135" s="65"/>
      <c r="E135" s="65"/>
      <c r="F135" s="65"/>
      <c r="G135" s="65"/>
      <c r="H135" s="68">
        <v>0</v>
      </c>
      <c r="I135" s="64"/>
      <c r="J135" s="64"/>
      <c r="K135">
        <f>IF($A135="","",IF(LEFT($A135,3)="CAP","سرمایه و آورده صاحبان",IF(LEFT($A135,2)="SL","بارفروش",IF(LEFT($A135,2)="BD","باسکول دیگران",IF(LEFT($A135,1)="C","باغدار",IF(LEFT($A135,1)="S","فروشنده سبد/تأمین‌کننده",IF(LEFT($A135,1)="E","کارمند",IF(LEFT($A135,1)="X","سایر حساب",IF(LEFT($A135,1)="F","دارایی ثابت",IF(LEFT($A135,1)="L","وام و تسهیلات",""))))))))))</f>
        <v>Format(font_name='Tahoma', font_size=8.5, bold=0, italic=0, underline=0, font_color=None, num_format='General', text_h_align=3, text_v_align=2, fg_color=None, bg_color=Color(value=0xFCFAF3, type=RGB, is_automatic=False), pattern=0, locked=1, hidden=0)</v>
      </c>
      <c r="L135" s="65"/>
      <c r="M135">
        <f>IF(OR($B135="",$A135=""),"",IF(OR($B135=$K135,AND(LEFT($A135,1)="S",OR($B135="فروشنده سبد",$B135="تأمین‌کننده")),AND(LEFT($A135,2)="BD",$B135="باسکول دیگران")),"✓","⚠"))</f>
        <v>Format(font_name='Tahoma', font_size=8.5, bold=0, italic=0, underline=0, font_color=None, num_format='General', text_h_align=3, text_v_align=2, fg_color=None, bg_color=Color(value=0xFCFAF3, type=RGB, is_automatic=False), pattern=0, locked=1, hidden=0)</v>
      </c>
    </row>
    <row r="136" spans="1:13" ht="21" customHeight="1">
      <c r="A136" s="67" t="s">
        <v>573</v>
      </c>
      <c r="B136" s="64"/>
      <c r="C136" s="65"/>
      <c r="D136" s="65"/>
      <c r="E136" s="65"/>
      <c r="F136" s="65"/>
      <c r="G136" s="65"/>
      <c r="H136" s="68">
        <v>0</v>
      </c>
      <c r="I136" s="64"/>
      <c r="J136" s="64"/>
      <c r="K136">
        <f>IF($A136="","",IF(LEFT($A136,3)="CAP","سرمایه و آورده صاحبان",IF(LEFT($A136,2)="SL","بارفروش",IF(LEFT($A136,2)="BD","باسکول دیگران",IF(LEFT($A136,1)="C","باغدار",IF(LEFT($A136,1)="S","فروشنده سبد/تأمین‌کننده",IF(LEFT($A136,1)="E","کارمند",IF(LEFT($A136,1)="X","سایر حساب",IF(LEFT($A136,1)="F","دارایی ثابت",IF(LEFT($A136,1)="L","وام و تسهیلات",""))))))))))</f>
        <v>Format(font_name='Tahoma', font_size=8.5, bold=0, italic=0, underline=0, font_color=None, num_format='General', text_h_align=3, text_v_align=2, fg_color=None, bg_color=Color(value=0xFCFAF3, type=RGB, is_automatic=False), pattern=0, locked=1, hidden=0)</v>
      </c>
      <c r="L136" s="65"/>
      <c r="M136">
        <f>IF(OR($B136="",$A136=""),"",IF(OR($B136=$K136,AND(LEFT($A136,1)="S",OR($B136="فروشنده سبد",$B136="تأمین‌کننده")),AND(LEFT($A136,2)="BD",$B136="باسکول دیگران")),"✓","⚠"))</f>
        <v>Format(font_name='Tahoma', font_size=8.5, bold=0, italic=0, underline=0, font_color=None, num_format='General', text_h_align=3, text_v_align=2, fg_color=None, bg_color=Color(value=0xFCFAF3, type=RGB, is_automatic=False), pattern=0, locked=1, hidden=0)</v>
      </c>
    </row>
    <row r="137" spans="1:13" ht="21" customHeight="1">
      <c r="A137" s="67" t="s">
        <v>574</v>
      </c>
      <c r="B137" s="64"/>
      <c r="C137" s="65"/>
      <c r="D137" s="65"/>
      <c r="E137" s="65"/>
      <c r="F137" s="65"/>
      <c r="G137" s="65"/>
      <c r="H137" s="68">
        <v>0</v>
      </c>
      <c r="I137" s="64"/>
      <c r="J137" s="64"/>
      <c r="K137">
        <f>IF($A137="","",IF(LEFT($A137,3)="CAP","سرمایه و آورده صاحبان",IF(LEFT($A137,2)="SL","بارفروش",IF(LEFT($A137,2)="BD","باسکول دیگران",IF(LEFT($A137,1)="C","باغدار",IF(LEFT($A137,1)="S","فروشنده سبد/تأمین‌کننده",IF(LEFT($A137,1)="E","کارمند",IF(LEFT($A137,1)="X","سایر حساب",IF(LEFT($A137,1)="F","دارایی ثابت",IF(LEFT($A137,1)="L","وام و تسهیلات",""))))))))))</f>
        <v>Format(font_name='Tahoma', font_size=8.5, bold=0, italic=0, underline=0, font_color=None, num_format='General', text_h_align=3, text_v_align=2, fg_color=None, bg_color=Color(value=0xFCFAF3, type=RGB, is_automatic=False), pattern=0, locked=1, hidden=0)</v>
      </c>
      <c r="L137" s="65"/>
      <c r="M137">
        <f>IF(OR($B137="",$A137=""),"",IF(OR($B137=$K137,AND(LEFT($A137,1)="S",OR($B137="فروشنده سبد",$B137="تأمین‌کننده")),AND(LEFT($A137,2)="BD",$B137="باسکول دیگران")),"✓","⚠"))</f>
        <v>Format(font_name='Tahoma', font_size=8.5, bold=0, italic=0, underline=0, font_color=None, num_format='General', text_h_align=3, text_v_align=2, fg_color=None, bg_color=Color(value=0xFCFAF3, type=RGB, is_automatic=False), pattern=0, locked=1, hidden=0)</v>
      </c>
    </row>
    <row r="138" spans="1:13" ht="21" customHeight="1">
      <c r="A138" s="67" t="s">
        <v>575</v>
      </c>
      <c r="B138" s="64"/>
      <c r="C138" s="65"/>
      <c r="D138" s="65"/>
      <c r="E138" s="65"/>
      <c r="F138" s="65"/>
      <c r="G138" s="65"/>
      <c r="H138" s="68">
        <v>0</v>
      </c>
      <c r="I138" s="64"/>
      <c r="J138" s="64"/>
      <c r="K138">
        <f>IF($A138="","",IF(LEFT($A138,3)="CAP","سرمایه و آورده صاحبان",IF(LEFT($A138,2)="SL","بارفروش",IF(LEFT($A138,2)="BD","باسکول دیگران",IF(LEFT($A138,1)="C","باغدار",IF(LEFT($A138,1)="S","فروشنده سبد/تأمین‌کننده",IF(LEFT($A138,1)="E","کارمند",IF(LEFT($A138,1)="X","سایر حساب",IF(LEFT($A138,1)="F","دارایی ثابت",IF(LEFT($A138,1)="L","وام و تسهیلات",""))))))))))</f>
        <v>Format(font_name='Tahoma', font_size=8.5, bold=0, italic=0, underline=0, font_color=None, num_format='General', text_h_align=3, text_v_align=2, fg_color=None, bg_color=Color(value=0xFCFAF3, type=RGB, is_automatic=False), pattern=0, locked=1, hidden=0)</v>
      </c>
      <c r="L138" s="65"/>
      <c r="M138">
        <f>IF(OR($B138="",$A138=""),"",IF(OR($B138=$K138,AND(LEFT($A138,1)="S",OR($B138="فروشنده سبد",$B138="تأمین‌کننده")),AND(LEFT($A138,2)="BD",$B138="باسکول دیگران")),"✓","⚠"))</f>
        <v>Format(font_name='Tahoma', font_size=8.5, bold=0, italic=0, underline=0, font_color=None, num_format='General', text_h_align=3, text_v_align=2, fg_color=None, bg_color=Color(value=0xFCFAF3, type=RGB, is_automatic=False), pattern=0, locked=1, hidden=0)</v>
      </c>
    </row>
    <row r="139" spans="1:13" ht="21" customHeight="1">
      <c r="A139" s="67" t="s">
        <v>576</v>
      </c>
      <c r="B139" s="64"/>
      <c r="C139" s="65"/>
      <c r="D139" s="65"/>
      <c r="E139" s="65"/>
      <c r="F139" s="65"/>
      <c r="G139" s="65"/>
      <c r="H139" s="68">
        <v>0</v>
      </c>
      <c r="I139" s="64"/>
      <c r="J139" s="64"/>
      <c r="K139">
        <f>IF($A139="","",IF(LEFT($A139,3)="CAP","سرمایه و آورده صاحبان",IF(LEFT($A139,2)="SL","بارفروش",IF(LEFT($A139,2)="BD","باسکول دیگران",IF(LEFT($A139,1)="C","باغدار",IF(LEFT($A139,1)="S","فروشنده سبد/تأمین‌کننده",IF(LEFT($A139,1)="E","کارمند",IF(LEFT($A139,1)="X","سایر حساب",IF(LEFT($A139,1)="F","دارایی ثابت",IF(LEFT($A139,1)="L","وام و تسهیلات",""))))))))))</f>
        <v>Format(font_name='Tahoma', font_size=8.5, bold=0, italic=0, underline=0, font_color=None, num_format='General', text_h_align=3, text_v_align=2, fg_color=None, bg_color=Color(value=0xFCFAF3, type=RGB, is_automatic=False), pattern=0, locked=1, hidden=0)</v>
      </c>
      <c r="L139" s="65"/>
      <c r="M139">
        <f>IF(OR($B139="",$A139=""),"",IF(OR($B139=$K139,AND(LEFT($A139,1)="S",OR($B139="فروشنده سبد",$B139="تأمین‌کننده")),AND(LEFT($A139,2)="BD",$B139="باسکول دیگران")),"✓","⚠"))</f>
        <v>Format(font_name='Tahoma', font_size=8.5, bold=0, italic=0, underline=0, font_color=None, num_format='General', text_h_align=3, text_v_align=2, fg_color=None, bg_color=Color(value=0xFCFAF3, type=RGB, is_automatic=False), pattern=0, locked=1, hidden=0)</v>
      </c>
    </row>
    <row r="140" spans="1:13" ht="21" customHeight="1">
      <c r="A140" s="67" t="s">
        <v>577</v>
      </c>
      <c r="B140" s="64"/>
      <c r="C140" s="65"/>
      <c r="D140" s="65"/>
      <c r="E140" s="65"/>
      <c r="F140" s="65"/>
      <c r="G140" s="65"/>
      <c r="H140" s="68">
        <v>0</v>
      </c>
      <c r="I140" s="64"/>
      <c r="J140" s="64"/>
      <c r="K140">
        <f>IF($A140="","",IF(LEFT($A140,3)="CAP","سرمایه و آورده صاحبان",IF(LEFT($A140,2)="SL","بارفروش",IF(LEFT($A140,2)="BD","باسکول دیگران",IF(LEFT($A140,1)="C","باغدار",IF(LEFT($A140,1)="S","فروشنده سبد/تأمین‌کننده",IF(LEFT($A140,1)="E","کارمند",IF(LEFT($A140,1)="X","سایر حساب",IF(LEFT($A140,1)="F","دارایی ثابت",IF(LEFT($A140,1)="L","وام و تسهیلات",""))))))))))</f>
        <v>Format(font_name='Tahoma', font_size=8.5, bold=0, italic=0, underline=0, font_color=None, num_format='General', text_h_align=3, text_v_align=2, fg_color=None, bg_color=Color(value=0xFCFAF3, type=RGB, is_automatic=False), pattern=0, locked=1, hidden=0)</v>
      </c>
      <c r="L140" s="65"/>
      <c r="M140">
        <f>IF(OR($B140="",$A140=""),"",IF(OR($B140=$K140,AND(LEFT($A140,1)="S",OR($B140="فروشنده سبد",$B140="تأمین‌کننده")),AND(LEFT($A140,2)="BD",$B140="باسکول دیگران")),"✓","⚠"))</f>
        <v>Format(font_name='Tahoma', font_size=8.5, bold=0, italic=0, underline=0, font_color=None, num_format='General', text_h_align=3, text_v_align=2, fg_color=None, bg_color=Color(value=0xFCFAF3, type=RGB, is_automatic=False), pattern=0, locked=1, hidden=0)</v>
      </c>
    </row>
    <row r="141" spans="1:13" ht="21" customHeight="1">
      <c r="A141" s="67" t="s">
        <v>578</v>
      </c>
      <c r="B141" s="64"/>
      <c r="C141" s="65"/>
      <c r="D141" s="65"/>
      <c r="E141" s="65"/>
      <c r="F141" s="65"/>
      <c r="G141" s="65"/>
      <c r="H141" s="68">
        <v>0</v>
      </c>
      <c r="I141" s="64"/>
      <c r="J141" s="64"/>
      <c r="K141">
        <f>IF($A141="","",IF(LEFT($A141,3)="CAP","سرمایه و آورده صاحبان",IF(LEFT($A141,2)="SL","بارفروش",IF(LEFT($A141,2)="BD","باسکول دیگران",IF(LEFT($A141,1)="C","باغدار",IF(LEFT($A141,1)="S","فروشنده سبد/تأمین‌کننده",IF(LEFT($A141,1)="E","کارمند",IF(LEFT($A141,1)="X","سایر حساب",IF(LEFT($A141,1)="F","دارایی ثابت",IF(LEFT($A141,1)="L","وام و تسهیلات",""))))))))))</f>
        <v>Format(font_name='Tahoma', font_size=8.5, bold=0, italic=0, underline=0, font_color=None, num_format='General', text_h_align=3, text_v_align=2, fg_color=None, bg_color=Color(value=0xFCFAF3, type=RGB, is_automatic=False), pattern=0, locked=1, hidden=0)</v>
      </c>
      <c r="L141" s="65"/>
      <c r="M141">
        <f>IF(OR($B141="",$A141=""),"",IF(OR($B141=$K141,AND(LEFT($A141,1)="S",OR($B141="فروشنده سبد",$B141="تأمین‌کننده")),AND(LEFT($A141,2)="BD",$B141="باسکول دیگران")),"✓","⚠"))</f>
        <v>Format(font_name='Tahoma', font_size=8.5, bold=0, italic=0, underline=0, font_color=None, num_format='General', text_h_align=3, text_v_align=2, fg_color=None, bg_color=Color(value=0xFCFAF3, type=RGB, is_automatic=False), pattern=0, locked=1, hidden=0)</v>
      </c>
    </row>
    <row r="142" spans="1:13" ht="21" customHeight="1">
      <c r="A142" s="67" t="s">
        <v>579</v>
      </c>
      <c r="B142" s="64"/>
      <c r="C142" s="65"/>
      <c r="D142" s="65"/>
      <c r="E142" s="65"/>
      <c r="F142" s="65"/>
      <c r="G142" s="65"/>
      <c r="H142" s="68">
        <v>0</v>
      </c>
      <c r="I142" s="64"/>
      <c r="J142" s="64"/>
      <c r="K142">
        <f>IF($A142="","",IF(LEFT($A142,3)="CAP","سرمایه و آورده صاحبان",IF(LEFT($A142,2)="SL","بارفروش",IF(LEFT($A142,2)="BD","باسکول دیگران",IF(LEFT($A142,1)="C","باغدار",IF(LEFT($A142,1)="S","فروشنده سبد/تأمین‌کننده",IF(LEFT($A142,1)="E","کارمند",IF(LEFT($A142,1)="X","سایر حساب",IF(LEFT($A142,1)="F","دارایی ثابت",IF(LEFT($A142,1)="L","وام و تسهیلات",""))))))))))</f>
        <v>Format(font_name='Tahoma', font_size=8.5, bold=0, italic=0, underline=0, font_color=None, num_format='General', text_h_align=3, text_v_align=2, fg_color=None, bg_color=Color(value=0xFCFAF3, type=RGB, is_automatic=False), pattern=0, locked=1, hidden=0)</v>
      </c>
      <c r="L142" s="65"/>
      <c r="M142">
        <f>IF(OR($B142="",$A142=""),"",IF(OR($B142=$K142,AND(LEFT($A142,1)="S",OR($B142="فروشنده سبد",$B142="تأمین‌کننده")),AND(LEFT($A142,2)="BD",$B142="باسکول دیگران")),"✓","⚠"))</f>
        <v>Format(font_name='Tahoma', font_size=8.5, bold=0, italic=0, underline=0, font_color=None, num_format='General', text_h_align=3, text_v_align=2, fg_color=None, bg_color=Color(value=0xFCFAF3, type=RGB, is_automatic=False), pattern=0, locked=1, hidden=0)</v>
      </c>
    </row>
    <row r="143" spans="1:13" ht="21" customHeight="1">
      <c r="A143" s="67" t="s">
        <v>580</v>
      </c>
      <c r="B143" s="64"/>
      <c r="C143" s="65"/>
      <c r="D143" s="65"/>
      <c r="E143" s="65"/>
      <c r="F143" s="65"/>
      <c r="G143" s="65"/>
      <c r="H143" s="68">
        <v>0</v>
      </c>
      <c r="I143" s="64"/>
      <c r="J143" s="64"/>
      <c r="K143">
        <f>IF($A143="","",IF(LEFT($A143,3)="CAP","سرمایه و آورده صاحبان",IF(LEFT($A143,2)="SL","بارفروش",IF(LEFT($A143,2)="BD","باسکول دیگران",IF(LEFT($A143,1)="C","باغدار",IF(LEFT($A143,1)="S","فروشنده سبد/تأمین‌کننده",IF(LEFT($A143,1)="E","کارمند",IF(LEFT($A143,1)="X","سایر حساب",IF(LEFT($A143,1)="F","دارایی ثابت",IF(LEFT($A143,1)="L","وام و تسهیلات",""))))))))))</f>
        <v>Format(font_name='Tahoma', font_size=8.5, bold=0, italic=0, underline=0, font_color=None, num_format='General', text_h_align=3, text_v_align=2, fg_color=None, bg_color=Color(value=0xFCFAF3, type=RGB, is_automatic=False), pattern=0, locked=1, hidden=0)</v>
      </c>
      <c r="L143" s="65"/>
      <c r="M143">
        <f>IF(OR($B143="",$A143=""),"",IF(OR($B143=$K143,AND(LEFT($A143,1)="S",OR($B143="فروشنده سبد",$B143="تأمین‌کننده")),AND(LEFT($A143,2)="BD",$B143="باسکول دیگران")),"✓","⚠"))</f>
        <v>Format(font_name='Tahoma', font_size=8.5, bold=0, italic=0, underline=0, font_color=None, num_format='General', text_h_align=3, text_v_align=2, fg_color=None, bg_color=Color(value=0xFCFAF3, type=RGB, is_automatic=False), pattern=0, locked=1, hidden=0)</v>
      </c>
    </row>
    <row r="144" spans="1:13" ht="21" customHeight="1">
      <c r="A144" s="67" t="s">
        <v>581</v>
      </c>
      <c r="B144" s="64"/>
      <c r="C144" s="65"/>
      <c r="D144" s="65"/>
      <c r="E144" s="65"/>
      <c r="F144" s="65"/>
      <c r="G144" s="65"/>
      <c r="H144" s="68">
        <v>0</v>
      </c>
      <c r="I144" s="64"/>
      <c r="J144" s="64"/>
      <c r="K144">
        <f>IF($A144="","",IF(LEFT($A144,3)="CAP","سرمایه و آورده صاحبان",IF(LEFT($A144,2)="SL","بارفروش",IF(LEFT($A144,2)="BD","باسکول دیگران",IF(LEFT($A144,1)="C","باغدار",IF(LEFT($A144,1)="S","فروشنده سبد/تأمین‌کننده",IF(LEFT($A144,1)="E","کارمند",IF(LEFT($A144,1)="X","سایر حساب",IF(LEFT($A144,1)="F","دارایی ثابت",IF(LEFT($A144,1)="L","وام و تسهیلات",""))))))))))</f>
        <v>Format(font_name='Tahoma', font_size=8.5, bold=0, italic=0, underline=0, font_color=None, num_format='General', text_h_align=3, text_v_align=2, fg_color=None, bg_color=Color(value=0xFCFAF3, type=RGB, is_automatic=False), pattern=0, locked=1, hidden=0)</v>
      </c>
      <c r="L144" s="65"/>
      <c r="M144">
        <f>IF(OR($B144="",$A144=""),"",IF(OR($B144=$K144,AND(LEFT($A144,1)="S",OR($B144="فروشنده سبد",$B144="تأمین‌کننده")),AND(LEFT($A144,2)="BD",$B144="باسکول دیگران")),"✓","⚠"))</f>
        <v>Format(font_name='Tahoma', font_size=8.5, bold=0, italic=0, underline=0, font_color=None, num_format='General', text_h_align=3, text_v_align=2, fg_color=None, bg_color=Color(value=0xFCFAF3, type=RGB, is_automatic=False), pattern=0, locked=1, hidden=0)</v>
      </c>
    </row>
    <row r="145" spans="1:13" ht="21" customHeight="1">
      <c r="A145" s="67" t="s">
        <v>582</v>
      </c>
      <c r="B145" s="64"/>
      <c r="C145" s="65"/>
      <c r="D145" s="65"/>
      <c r="E145" s="65"/>
      <c r="F145" s="65"/>
      <c r="G145" s="65"/>
      <c r="H145" s="68">
        <v>0</v>
      </c>
      <c r="I145" s="64"/>
      <c r="J145" s="64"/>
      <c r="K145">
        <f>IF($A145="","",IF(LEFT($A145,3)="CAP","سرمایه و آورده صاحبان",IF(LEFT($A145,2)="SL","بارفروش",IF(LEFT($A145,2)="BD","باسکول دیگران",IF(LEFT($A145,1)="C","باغدار",IF(LEFT($A145,1)="S","فروشنده سبد/تأمین‌کننده",IF(LEFT($A145,1)="E","کارمند",IF(LEFT($A145,1)="X","سایر حساب",IF(LEFT($A145,1)="F","دارایی ثابت",IF(LEFT($A145,1)="L","وام و تسهیلات",""))))))))))</f>
        <v>Format(font_name='Tahoma', font_size=8.5, bold=0, italic=0, underline=0, font_color=None, num_format='General', text_h_align=3, text_v_align=2, fg_color=None, bg_color=Color(value=0xFCFAF3, type=RGB, is_automatic=False), pattern=0, locked=1, hidden=0)</v>
      </c>
      <c r="L145" s="65"/>
      <c r="M145">
        <f>IF(OR($B145="",$A145=""),"",IF(OR($B145=$K145,AND(LEFT($A145,1)="S",OR($B145="فروشنده سبد",$B145="تأمین‌کننده")),AND(LEFT($A145,2)="BD",$B145="باسکول دیگران")),"✓","⚠"))</f>
        <v>Format(font_name='Tahoma', font_size=8.5, bold=0, italic=0, underline=0, font_color=None, num_format='General', text_h_align=3, text_v_align=2, fg_color=None, bg_color=Color(value=0xFCFAF3, type=RGB, is_automatic=False), pattern=0, locked=1, hidden=0)</v>
      </c>
    </row>
    <row r="146" spans="1:13" ht="21" customHeight="1">
      <c r="A146" s="67" t="s">
        <v>583</v>
      </c>
      <c r="B146" s="64"/>
      <c r="C146" s="65"/>
      <c r="D146" s="65"/>
      <c r="E146" s="65"/>
      <c r="F146" s="65"/>
      <c r="G146" s="65"/>
      <c r="H146" s="68">
        <v>0</v>
      </c>
      <c r="I146" s="64"/>
      <c r="J146" s="64"/>
      <c r="K146">
        <f>IF($A146="","",IF(LEFT($A146,3)="CAP","سرمایه و آورده صاحبان",IF(LEFT($A146,2)="SL","بارفروش",IF(LEFT($A146,2)="BD","باسکول دیگران",IF(LEFT($A146,1)="C","باغدار",IF(LEFT($A146,1)="S","فروشنده سبد/تأمین‌کننده",IF(LEFT($A146,1)="E","کارمند",IF(LEFT($A146,1)="X","سایر حساب",IF(LEFT($A146,1)="F","دارایی ثابت",IF(LEFT($A146,1)="L","وام و تسهیلات",""))))))))))</f>
        <v>Format(font_name='Tahoma', font_size=8.5, bold=0, italic=0, underline=0, font_color=None, num_format='General', text_h_align=3, text_v_align=2, fg_color=None, bg_color=Color(value=0xFCFAF3, type=RGB, is_automatic=False), pattern=0, locked=1, hidden=0)</v>
      </c>
      <c r="L146" s="65"/>
      <c r="M146">
        <f>IF(OR($B146="",$A146=""),"",IF(OR($B146=$K146,AND(LEFT($A146,1)="S",OR($B146="فروشنده سبد",$B146="تأمین‌کننده")),AND(LEFT($A146,2)="BD",$B146="باسکول دیگران")),"✓","⚠"))</f>
        <v>Format(font_name='Tahoma', font_size=8.5, bold=0, italic=0, underline=0, font_color=None, num_format='General', text_h_align=3, text_v_align=2, fg_color=None, bg_color=Color(value=0xFCFAF3, type=RGB, is_automatic=False), pattern=0, locked=1, hidden=0)</v>
      </c>
    </row>
    <row r="147" spans="1:13" ht="21" customHeight="1">
      <c r="A147" s="67" t="s">
        <v>584</v>
      </c>
      <c r="B147" s="64"/>
      <c r="C147" s="65"/>
      <c r="D147" s="65"/>
      <c r="E147" s="65"/>
      <c r="F147" s="65"/>
      <c r="G147" s="65"/>
      <c r="H147" s="68">
        <v>0</v>
      </c>
      <c r="I147" s="64"/>
      <c r="J147" s="64"/>
      <c r="K147">
        <f>IF($A147="","",IF(LEFT($A147,3)="CAP","سرمایه و آورده صاحبان",IF(LEFT($A147,2)="SL","بارفروش",IF(LEFT($A147,2)="BD","باسکول دیگران",IF(LEFT($A147,1)="C","باغدار",IF(LEFT($A147,1)="S","فروشنده سبد/تأمین‌کننده",IF(LEFT($A147,1)="E","کارمند",IF(LEFT($A147,1)="X","سایر حساب",IF(LEFT($A147,1)="F","دارایی ثابت",IF(LEFT($A147,1)="L","وام و تسهیلات",""))))))))))</f>
        <v>Format(font_name='Tahoma', font_size=8.5, bold=0, italic=0, underline=0, font_color=None, num_format='General', text_h_align=3, text_v_align=2, fg_color=None, bg_color=Color(value=0xFCFAF3, type=RGB, is_automatic=False), pattern=0, locked=1, hidden=0)</v>
      </c>
      <c r="L147" s="65"/>
      <c r="M147">
        <f>IF(OR($B147="",$A147=""),"",IF(OR($B147=$K147,AND(LEFT($A147,1)="S",OR($B147="فروشنده سبد",$B147="تأمین‌کننده")),AND(LEFT($A147,2)="BD",$B147="باسکول دیگران")),"✓","⚠"))</f>
        <v>Format(font_name='Tahoma', font_size=8.5, bold=0, italic=0, underline=0, font_color=None, num_format='General', text_h_align=3, text_v_align=2, fg_color=None, bg_color=Color(value=0xFCFAF3, type=RGB, is_automatic=False), pattern=0, locked=1, hidden=0)</v>
      </c>
    </row>
    <row r="148" spans="1:13" ht="21" customHeight="1">
      <c r="A148" s="67" t="s">
        <v>585</v>
      </c>
      <c r="B148" s="64"/>
      <c r="C148" s="65"/>
      <c r="D148" s="65"/>
      <c r="E148" s="65"/>
      <c r="F148" s="65"/>
      <c r="G148" s="65"/>
      <c r="H148" s="68">
        <v>0</v>
      </c>
      <c r="I148" s="64"/>
      <c r="J148" s="64"/>
      <c r="K148">
        <f>IF($A148="","",IF(LEFT($A148,3)="CAP","سرمایه و آورده صاحبان",IF(LEFT($A148,2)="SL","بارفروش",IF(LEFT($A148,2)="BD","باسکول دیگران",IF(LEFT($A148,1)="C","باغدار",IF(LEFT($A148,1)="S","فروشنده سبد/تأمین‌کننده",IF(LEFT($A148,1)="E","کارمند",IF(LEFT($A148,1)="X","سایر حساب",IF(LEFT($A148,1)="F","دارایی ثابت",IF(LEFT($A148,1)="L","وام و تسهیلات",""))))))))))</f>
        <v>Format(font_name='Tahoma', font_size=8.5, bold=0, italic=0, underline=0, font_color=None, num_format='General', text_h_align=3, text_v_align=2, fg_color=None, bg_color=Color(value=0xFCFAF3, type=RGB, is_automatic=False), pattern=0, locked=1, hidden=0)</v>
      </c>
      <c r="L148" s="65"/>
      <c r="M148">
        <f>IF(OR($B148="",$A148=""),"",IF(OR($B148=$K148,AND(LEFT($A148,1)="S",OR($B148="فروشنده سبد",$B148="تأمین‌کننده")),AND(LEFT($A148,2)="BD",$B148="باسکول دیگران")),"✓","⚠"))</f>
        <v>Format(font_name='Tahoma', font_size=8.5, bold=0, italic=0, underline=0, font_color=None, num_format='General', text_h_align=3, text_v_align=2, fg_color=None, bg_color=Color(value=0xFCFAF3, type=RGB, is_automatic=False), pattern=0, locked=1, hidden=0)</v>
      </c>
    </row>
    <row r="149" spans="1:13" ht="21" customHeight="1">
      <c r="A149" s="67" t="s">
        <v>586</v>
      </c>
      <c r="B149" s="64"/>
      <c r="C149" s="65"/>
      <c r="D149" s="65"/>
      <c r="E149" s="65"/>
      <c r="F149" s="65"/>
      <c r="G149" s="65"/>
      <c r="H149" s="68">
        <v>0</v>
      </c>
      <c r="I149" s="64"/>
      <c r="J149" s="64"/>
      <c r="K149">
        <f>IF($A149="","",IF(LEFT($A149,3)="CAP","سرمایه و آورده صاحبان",IF(LEFT($A149,2)="SL","بارفروش",IF(LEFT($A149,2)="BD","باسکول دیگران",IF(LEFT($A149,1)="C","باغدار",IF(LEFT($A149,1)="S","فروشنده سبد/تأمین‌کننده",IF(LEFT($A149,1)="E","کارمند",IF(LEFT($A149,1)="X","سایر حساب",IF(LEFT($A149,1)="F","دارایی ثابت",IF(LEFT($A149,1)="L","وام و تسهیلات",""))))))))))</f>
        <v>Format(font_name='Tahoma', font_size=8.5, bold=0, italic=0, underline=0, font_color=None, num_format='General', text_h_align=3, text_v_align=2, fg_color=None, bg_color=Color(value=0xFCFAF3, type=RGB, is_automatic=False), pattern=0, locked=1, hidden=0)</v>
      </c>
      <c r="L149" s="65"/>
      <c r="M149">
        <f>IF(OR($B149="",$A149=""),"",IF(OR($B149=$K149,AND(LEFT($A149,1)="S",OR($B149="فروشنده سبد",$B149="تأمین‌کننده")),AND(LEFT($A149,2)="BD",$B149="باسکول دیگران")),"✓","⚠"))</f>
        <v>Format(font_name='Tahoma', font_size=8.5, bold=0, italic=0, underline=0, font_color=None, num_format='General', text_h_align=3, text_v_align=2, fg_color=None, bg_color=Color(value=0xFCFAF3, type=RGB, is_automatic=False), pattern=0, locked=1, hidden=0)</v>
      </c>
    </row>
    <row r="150" spans="1:13" ht="21" customHeight="1">
      <c r="A150" s="67" t="s">
        <v>587</v>
      </c>
      <c r="B150" s="64"/>
      <c r="C150" s="65"/>
      <c r="D150" s="65"/>
      <c r="E150" s="65"/>
      <c r="F150" s="65"/>
      <c r="G150" s="65"/>
      <c r="H150" s="68">
        <v>0</v>
      </c>
      <c r="I150" s="64"/>
      <c r="J150" s="64"/>
      <c r="K150">
        <f>IF($A150="","",IF(LEFT($A150,3)="CAP","سرمایه و آورده صاحبان",IF(LEFT($A150,2)="SL","بارفروش",IF(LEFT($A150,2)="BD","باسکول دیگران",IF(LEFT($A150,1)="C","باغدار",IF(LEFT($A150,1)="S","فروشنده سبد/تأمین‌کننده",IF(LEFT($A150,1)="E","کارمند",IF(LEFT($A150,1)="X","سایر حساب",IF(LEFT($A150,1)="F","دارایی ثابت",IF(LEFT($A150,1)="L","وام و تسهیلات",""))))))))))</f>
        <v>Format(font_name='Tahoma', font_size=8.5, bold=0, italic=0, underline=0, font_color=None, num_format='General', text_h_align=3, text_v_align=2, fg_color=None, bg_color=Color(value=0xFCFAF3, type=RGB, is_automatic=False), pattern=0, locked=1, hidden=0)</v>
      </c>
      <c r="L150" s="65"/>
      <c r="M150">
        <f>IF(OR($B150="",$A150=""),"",IF(OR($B150=$K150,AND(LEFT($A150,1)="S",OR($B150="فروشنده سبد",$B150="تأمین‌کننده")),AND(LEFT($A150,2)="BD",$B150="باسکول دیگران")),"✓","⚠"))</f>
        <v>Format(font_name='Tahoma', font_size=8.5, bold=0, italic=0, underline=0, font_color=None, num_format='General', text_h_align=3, text_v_align=2, fg_color=None, bg_color=Color(value=0xFCFAF3, type=RGB, is_automatic=False), pattern=0, locked=1, hidden=0)</v>
      </c>
    </row>
    <row r="151" spans="1:13" ht="21" customHeight="1">
      <c r="A151" s="67" t="s">
        <v>588</v>
      </c>
      <c r="B151" s="64"/>
      <c r="C151" s="65"/>
      <c r="D151" s="65"/>
      <c r="E151" s="65"/>
      <c r="F151" s="65"/>
      <c r="G151" s="65"/>
      <c r="H151" s="68">
        <v>0</v>
      </c>
      <c r="I151" s="64"/>
      <c r="J151" s="64"/>
      <c r="K151">
        <f>IF($A151="","",IF(LEFT($A151,3)="CAP","سرمایه و آورده صاحبان",IF(LEFT($A151,2)="SL","بارفروش",IF(LEFT($A151,2)="BD","باسکول دیگران",IF(LEFT($A151,1)="C","باغدار",IF(LEFT($A151,1)="S","فروشنده سبد/تأمین‌کننده",IF(LEFT($A151,1)="E","کارمند",IF(LEFT($A151,1)="X","سایر حساب",IF(LEFT($A151,1)="F","دارایی ثابت",IF(LEFT($A151,1)="L","وام و تسهیلات",""))))))))))</f>
        <v>Format(font_name='Tahoma', font_size=8.5, bold=0, italic=0, underline=0, font_color=None, num_format='General', text_h_align=3, text_v_align=2, fg_color=None, bg_color=Color(value=0xFCFAF3, type=RGB, is_automatic=False), pattern=0, locked=1, hidden=0)</v>
      </c>
      <c r="L151" s="65"/>
      <c r="M151">
        <f>IF(OR($B151="",$A151=""),"",IF(OR($B151=$K151,AND(LEFT($A151,1)="S",OR($B151="فروشنده سبد",$B151="تأمین‌کننده")),AND(LEFT($A151,2)="BD",$B151="باسکول دیگران")),"✓","⚠"))</f>
        <v>Format(font_name='Tahoma', font_size=8.5, bold=0, italic=0, underline=0, font_color=None, num_format='General', text_h_align=3, text_v_align=2, fg_color=None, bg_color=Color(value=0xFCFAF3, type=RGB, is_automatic=False), pattern=0, locked=1, hidden=0)</v>
      </c>
    </row>
    <row r="152" spans="1:13" ht="21" customHeight="1">
      <c r="A152" s="67" t="s">
        <v>589</v>
      </c>
      <c r="B152" s="64"/>
      <c r="C152" s="65"/>
      <c r="D152" s="65"/>
      <c r="E152" s="65"/>
      <c r="F152" s="65"/>
      <c r="G152" s="65"/>
      <c r="H152" s="68">
        <v>0</v>
      </c>
      <c r="I152" s="64"/>
      <c r="J152" s="64"/>
      <c r="K152">
        <f>IF($A152="","",IF(LEFT($A152,3)="CAP","سرمایه و آورده صاحبان",IF(LEFT($A152,2)="SL","بارفروش",IF(LEFT($A152,2)="BD","باسکول دیگران",IF(LEFT($A152,1)="C","باغدار",IF(LEFT($A152,1)="S","فروشنده سبد/تأمین‌کننده",IF(LEFT($A152,1)="E","کارمند",IF(LEFT($A152,1)="X","سایر حساب",IF(LEFT($A152,1)="F","دارایی ثابت",IF(LEFT($A152,1)="L","وام و تسهیلات",""))))))))))</f>
        <v>Format(font_name='Tahoma', font_size=8.5, bold=0, italic=0, underline=0, font_color=None, num_format='General', text_h_align=3, text_v_align=2, fg_color=None, bg_color=Color(value=0xFCFAF3, type=RGB, is_automatic=False), pattern=0, locked=1, hidden=0)</v>
      </c>
      <c r="L152" s="65"/>
      <c r="M152">
        <f>IF(OR($B152="",$A152=""),"",IF(OR($B152=$K152,AND(LEFT($A152,1)="S",OR($B152="فروشنده سبد",$B152="تأمین‌کننده")),AND(LEFT($A152,2)="BD",$B152="باسکول دیگران")),"✓","⚠"))</f>
        <v>Format(font_name='Tahoma', font_size=8.5, bold=0, italic=0, underline=0, font_color=None, num_format='General', text_h_align=3, text_v_align=2, fg_color=None, bg_color=Color(value=0xFCFAF3, type=RGB, is_automatic=False), pattern=0, locked=1, hidden=0)</v>
      </c>
    </row>
    <row r="153" spans="1:13" ht="21" customHeight="1">
      <c r="A153" s="67" t="s">
        <v>590</v>
      </c>
      <c r="B153" s="64"/>
      <c r="C153" s="65"/>
      <c r="D153" s="65"/>
      <c r="E153" s="65"/>
      <c r="F153" s="65"/>
      <c r="G153" s="65"/>
      <c r="H153" s="68">
        <v>0</v>
      </c>
      <c r="I153" s="64"/>
      <c r="J153" s="64"/>
      <c r="K153">
        <f>IF($A153="","",IF(LEFT($A153,3)="CAP","سرمایه و آورده صاحبان",IF(LEFT($A153,2)="SL","بارفروش",IF(LEFT($A153,2)="BD","باسکول دیگران",IF(LEFT($A153,1)="C","باغدار",IF(LEFT($A153,1)="S","فروشنده سبد/تأمین‌کننده",IF(LEFT($A153,1)="E","کارمند",IF(LEFT($A153,1)="X","سایر حساب",IF(LEFT($A153,1)="F","دارایی ثابت",IF(LEFT($A153,1)="L","وام و تسهیلات",""))))))))))</f>
        <v>Format(font_name='Tahoma', font_size=8.5, bold=0, italic=0, underline=0, font_color=None, num_format='General', text_h_align=3, text_v_align=2, fg_color=None, bg_color=Color(value=0xFCFAF3, type=RGB, is_automatic=False), pattern=0, locked=1, hidden=0)</v>
      </c>
      <c r="L153" s="65"/>
      <c r="M153">
        <f>IF(OR($B153="",$A153=""),"",IF(OR($B153=$K153,AND(LEFT($A153,1)="S",OR($B153="فروشنده سبد",$B153="تأمین‌کننده")),AND(LEFT($A153,2)="BD",$B153="باسکول دیگران")),"✓","⚠"))</f>
        <v>Format(font_name='Tahoma', font_size=8.5, bold=0, italic=0, underline=0, font_color=None, num_format='General', text_h_align=3, text_v_align=2, fg_color=None, bg_color=Color(value=0xFCFAF3, type=RGB, is_automatic=False), pattern=0, locked=1, hidden=0)</v>
      </c>
    </row>
    <row r="154" spans="1:13" ht="21" customHeight="1">
      <c r="A154" s="67" t="s">
        <v>591</v>
      </c>
      <c r="B154" s="64"/>
      <c r="C154" s="65"/>
      <c r="D154" s="65"/>
      <c r="E154" s="65"/>
      <c r="F154" s="65"/>
      <c r="G154" s="65"/>
      <c r="H154" s="68">
        <v>0</v>
      </c>
      <c r="I154" s="64"/>
      <c r="J154" s="64"/>
      <c r="K154">
        <f>IF($A154="","",IF(LEFT($A154,3)="CAP","سرمایه و آورده صاحبان",IF(LEFT($A154,2)="SL","بارفروش",IF(LEFT($A154,2)="BD","باسکول دیگران",IF(LEFT($A154,1)="C","باغدار",IF(LEFT($A154,1)="S","فروشنده سبد/تأمین‌کننده",IF(LEFT($A154,1)="E","کارمند",IF(LEFT($A154,1)="X","سایر حساب",IF(LEFT($A154,1)="F","دارایی ثابت",IF(LEFT($A154,1)="L","وام و تسهیلات",""))))))))))</f>
        <v>Format(font_name='Tahoma', font_size=8.5, bold=0, italic=0, underline=0, font_color=None, num_format='General', text_h_align=3, text_v_align=2, fg_color=None, bg_color=Color(value=0xFCFAF3, type=RGB, is_automatic=False), pattern=0, locked=1, hidden=0)</v>
      </c>
      <c r="L154" s="65"/>
      <c r="M154">
        <f>IF(OR($B154="",$A154=""),"",IF(OR($B154=$K154,AND(LEFT($A154,1)="S",OR($B154="فروشنده سبد",$B154="تأمین‌کننده")),AND(LEFT($A154,2)="BD",$B154="باسکول دیگران")),"✓","⚠"))</f>
        <v>Format(font_name='Tahoma', font_size=8.5, bold=0, italic=0, underline=0, font_color=None, num_format='General', text_h_align=3, text_v_align=2, fg_color=None, bg_color=Color(value=0xFCFAF3, type=RGB, is_automatic=False), pattern=0, locked=1, hidden=0)</v>
      </c>
    </row>
    <row r="155" spans="1:13" ht="21" customHeight="1">
      <c r="A155" s="67" t="s">
        <v>592</v>
      </c>
      <c r="B155" s="64"/>
      <c r="C155" s="65"/>
      <c r="D155" s="65"/>
      <c r="E155" s="65"/>
      <c r="F155" s="65"/>
      <c r="G155" s="65"/>
      <c r="H155" s="68">
        <v>0</v>
      </c>
      <c r="I155" s="64"/>
      <c r="J155" s="64"/>
      <c r="K155">
        <f>IF($A155="","",IF(LEFT($A155,3)="CAP","سرمایه و آورده صاحبان",IF(LEFT($A155,2)="SL","بارفروش",IF(LEFT($A155,2)="BD","باسکول دیگران",IF(LEFT($A155,1)="C","باغدار",IF(LEFT($A155,1)="S","فروشنده سبد/تأمین‌کننده",IF(LEFT($A155,1)="E","کارمند",IF(LEFT($A155,1)="X","سایر حساب",IF(LEFT($A155,1)="F","دارایی ثابت",IF(LEFT($A155,1)="L","وام و تسهیلات",""))))))))))</f>
        <v>Format(font_name='Tahoma', font_size=8.5, bold=0, italic=0, underline=0, font_color=None, num_format='General', text_h_align=3, text_v_align=2, fg_color=None, bg_color=Color(value=0xFCFAF3, type=RGB, is_automatic=False), pattern=0, locked=1, hidden=0)</v>
      </c>
      <c r="L155" s="65"/>
      <c r="M155">
        <f>IF(OR($B155="",$A155=""),"",IF(OR($B155=$K155,AND(LEFT($A155,1)="S",OR($B155="فروشنده سبد",$B155="تأمین‌کننده")),AND(LEFT($A155,2)="BD",$B155="باسکول دیگران")),"✓","⚠"))</f>
        <v>Format(font_name='Tahoma', font_size=8.5, bold=0, italic=0, underline=0, font_color=None, num_format='General', text_h_align=3, text_v_align=2, fg_color=None, bg_color=Color(value=0xFCFAF3, type=RGB, is_automatic=False), pattern=0, locked=1, hidden=0)</v>
      </c>
    </row>
    <row r="156" spans="1:13" ht="21" customHeight="1">
      <c r="A156" s="67" t="s">
        <v>593</v>
      </c>
      <c r="B156" s="64"/>
      <c r="C156" s="65"/>
      <c r="D156" s="65"/>
      <c r="E156" s="65"/>
      <c r="F156" s="65"/>
      <c r="G156" s="65"/>
      <c r="H156" s="68">
        <v>0</v>
      </c>
      <c r="I156" s="64"/>
      <c r="J156" s="64"/>
      <c r="K156">
        <f>IF($A156="","",IF(LEFT($A156,3)="CAP","سرمایه و آورده صاحبان",IF(LEFT($A156,2)="SL","بارفروش",IF(LEFT($A156,2)="BD","باسکول دیگران",IF(LEFT($A156,1)="C","باغدار",IF(LEFT($A156,1)="S","فروشنده سبد/تأمین‌کننده",IF(LEFT($A156,1)="E","کارمند",IF(LEFT($A156,1)="X","سایر حساب",IF(LEFT($A156,1)="F","دارایی ثابت",IF(LEFT($A156,1)="L","وام و تسهیلات",""))))))))))</f>
        <v>Format(font_name='Tahoma', font_size=8.5, bold=0, italic=0, underline=0, font_color=None, num_format='General', text_h_align=3, text_v_align=2, fg_color=None, bg_color=Color(value=0xFCFAF3, type=RGB, is_automatic=False), pattern=0, locked=1, hidden=0)</v>
      </c>
      <c r="L156" s="65"/>
      <c r="M156">
        <f>IF(OR($B156="",$A156=""),"",IF(OR($B156=$K156,AND(LEFT($A156,1)="S",OR($B156="فروشنده سبد",$B156="تأمین‌کننده")),AND(LEFT($A156,2)="BD",$B156="باسکول دیگران")),"✓","⚠"))</f>
        <v>Format(font_name='Tahoma', font_size=8.5, bold=0, italic=0, underline=0, font_color=None, num_format='General', text_h_align=3, text_v_align=2, fg_color=None, bg_color=Color(value=0xFCFAF3, type=RGB, is_automatic=False), pattern=0, locked=1, hidden=0)</v>
      </c>
    </row>
    <row r="157" spans="1:13" ht="21" customHeight="1">
      <c r="A157" s="67" t="s">
        <v>594</v>
      </c>
      <c r="B157" s="64"/>
      <c r="C157" s="65"/>
      <c r="D157" s="65"/>
      <c r="E157" s="65"/>
      <c r="F157" s="65"/>
      <c r="G157" s="65"/>
      <c r="H157" s="68">
        <v>0</v>
      </c>
      <c r="I157" s="64"/>
      <c r="J157" s="64"/>
      <c r="K157">
        <f>IF($A157="","",IF(LEFT($A157,3)="CAP","سرمایه و آورده صاحبان",IF(LEFT($A157,2)="SL","بارفروش",IF(LEFT($A157,2)="BD","باسکول دیگران",IF(LEFT($A157,1)="C","باغدار",IF(LEFT($A157,1)="S","فروشنده سبد/تأمین‌کننده",IF(LEFT($A157,1)="E","کارمند",IF(LEFT($A157,1)="X","سایر حساب",IF(LEFT($A157,1)="F","دارایی ثابت",IF(LEFT($A157,1)="L","وام و تسهیلات",""))))))))))</f>
        <v>Format(font_name='Tahoma', font_size=8.5, bold=0, italic=0, underline=0, font_color=None, num_format='General', text_h_align=3, text_v_align=2, fg_color=None, bg_color=Color(value=0xFCFAF3, type=RGB, is_automatic=False), pattern=0, locked=1, hidden=0)</v>
      </c>
      <c r="L157" s="65"/>
      <c r="M157">
        <f>IF(OR($B157="",$A157=""),"",IF(OR($B157=$K157,AND(LEFT($A157,1)="S",OR($B157="فروشنده سبد",$B157="تأمین‌کننده")),AND(LEFT($A157,2)="BD",$B157="باسکول دیگران")),"✓","⚠"))</f>
        <v>Format(font_name='Tahoma', font_size=8.5, bold=0, italic=0, underline=0, font_color=None, num_format='General', text_h_align=3, text_v_align=2, fg_color=None, bg_color=Color(value=0xFCFAF3, type=RGB, is_automatic=False), pattern=0, locked=1, hidden=0)</v>
      </c>
    </row>
    <row r="158" spans="1:13" ht="21" customHeight="1">
      <c r="A158" s="67" t="s">
        <v>595</v>
      </c>
      <c r="B158" s="64"/>
      <c r="C158" s="65"/>
      <c r="D158" s="65"/>
      <c r="E158" s="65"/>
      <c r="F158" s="65"/>
      <c r="G158" s="65"/>
      <c r="H158" s="68">
        <v>0</v>
      </c>
      <c r="I158" s="64"/>
      <c r="J158" s="64"/>
      <c r="K158">
        <f>IF($A158="","",IF(LEFT($A158,3)="CAP","سرمایه و آورده صاحبان",IF(LEFT($A158,2)="SL","بارفروش",IF(LEFT($A158,2)="BD","باسکول دیگران",IF(LEFT($A158,1)="C","باغدار",IF(LEFT($A158,1)="S","فروشنده سبد/تأمین‌کننده",IF(LEFT($A158,1)="E","کارمند",IF(LEFT($A158,1)="X","سایر حساب",IF(LEFT($A158,1)="F","دارایی ثابت",IF(LEFT($A158,1)="L","وام و تسهیلات",""))))))))))</f>
        <v>Format(font_name='Tahoma', font_size=8.5, bold=0, italic=0, underline=0, font_color=None, num_format='General', text_h_align=3, text_v_align=2, fg_color=None, bg_color=Color(value=0xFCFAF3, type=RGB, is_automatic=False), pattern=0, locked=1, hidden=0)</v>
      </c>
      <c r="L158" s="65"/>
      <c r="M158">
        <f>IF(OR($B158="",$A158=""),"",IF(OR($B158=$K158,AND(LEFT($A158,1)="S",OR($B158="فروشنده سبد",$B158="تأمین‌کننده")),AND(LEFT($A158,2)="BD",$B158="باسکول دیگران")),"✓","⚠"))</f>
        <v>Format(font_name='Tahoma', font_size=8.5, bold=0, italic=0, underline=0, font_color=None, num_format='General', text_h_align=3, text_v_align=2, fg_color=None, bg_color=Color(value=0xFCFAF3, type=RGB, is_automatic=False), pattern=0, locked=1, hidden=0)</v>
      </c>
    </row>
    <row r="159" spans="1:13" ht="21" customHeight="1">
      <c r="A159" s="67" t="s">
        <v>596</v>
      </c>
      <c r="B159" s="64"/>
      <c r="C159" s="65"/>
      <c r="D159" s="65"/>
      <c r="E159" s="65"/>
      <c r="F159" s="65"/>
      <c r="G159" s="65"/>
      <c r="H159" s="68">
        <v>0</v>
      </c>
      <c r="I159" s="64"/>
      <c r="J159" s="64"/>
      <c r="K159">
        <f>IF($A159="","",IF(LEFT($A159,3)="CAP","سرمایه و آورده صاحبان",IF(LEFT($A159,2)="SL","بارفروش",IF(LEFT($A159,2)="BD","باسکول دیگران",IF(LEFT($A159,1)="C","باغدار",IF(LEFT($A159,1)="S","فروشنده سبد/تأمین‌کننده",IF(LEFT($A159,1)="E","کارمند",IF(LEFT($A159,1)="X","سایر حساب",IF(LEFT($A159,1)="F","دارایی ثابت",IF(LEFT($A159,1)="L","وام و تسهیلات",""))))))))))</f>
        <v>Format(font_name='Tahoma', font_size=8.5, bold=0, italic=0, underline=0, font_color=None, num_format='General', text_h_align=3, text_v_align=2, fg_color=None, bg_color=Color(value=0xFCFAF3, type=RGB, is_automatic=False), pattern=0, locked=1, hidden=0)</v>
      </c>
      <c r="L159" s="65"/>
      <c r="M159">
        <f>IF(OR($B159="",$A159=""),"",IF(OR($B159=$K159,AND(LEFT($A159,1)="S",OR($B159="فروشنده سبد",$B159="تأمین‌کننده")),AND(LEFT($A159,2)="BD",$B159="باسکول دیگران")),"✓","⚠"))</f>
        <v>Format(font_name='Tahoma', font_size=8.5, bold=0, italic=0, underline=0, font_color=None, num_format='General', text_h_align=3, text_v_align=2, fg_color=None, bg_color=Color(value=0xFCFAF3, type=RGB, is_automatic=False), pattern=0, locked=1, hidden=0)</v>
      </c>
    </row>
    <row r="160" spans="1:13" ht="21" customHeight="1">
      <c r="A160" s="67" t="s">
        <v>597</v>
      </c>
      <c r="B160" s="64"/>
      <c r="C160" s="65"/>
      <c r="D160" s="65"/>
      <c r="E160" s="65"/>
      <c r="F160" s="65"/>
      <c r="G160" s="65"/>
      <c r="H160" s="68">
        <v>0</v>
      </c>
      <c r="I160" s="64"/>
      <c r="J160" s="64"/>
      <c r="K160">
        <f>IF($A160="","",IF(LEFT($A160,3)="CAP","سرمایه و آورده صاحبان",IF(LEFT($A160,2)="SL","بارفروش",IF(LEFT($A160,2)="BD","باسکول دیگران",IF(LEFT($A160,1)="C","باغدار",IF(LEFT($A160,1)="S","فروشنده سبد/تأمین‌کننده",IF(LEFT($A160,1)="E","کارمند",IF(LEFT($A160,1)="X","سایر حساب",IF(LEFT($A160,1)="F","دارایی ثابت",IF(LEFT($A160,1)="L","وام و تسهیلات",""))))))))))</f>
        <v>Format(font_name='Tahoma', font_size=8.5, bold=0, italic=0, underline=0, font_color=None, num_format='General', text_h_align=3, text_v_align=2, fg_color=None, bg_color=Color(value=0xFCFAF3, type=RGB, is_automatic=False), pattern=0, locked=1, hidden=0)</v>
      </c>
      <c r="L160" s="65"/>
      <c r="M160">
        <f>IF(OR($B160="",$A160=""),"",IF(OR($B160=$K160,AND(LEFT($A160,1)="S",OR($B160="فروشنده سبد",$B160="تأمین‌کننده")),AND(LEFT($A160,2)="BD",$B160="باسکول دیگران")),"✓","⚠"))</f>
        <v>Format(font_name='Tahoma', font_size=8.5, bold=0, italic=0, underline=0, font_color=None, num_format='General', text_h_align=3, text_v_align=2, fg_color=None, bg_color=Color(value=0xFCFAF3, type=RGB, is_automatic=False), pattern=0, locked=1, hidden=0)</v>
      </c>
    </row>
    <row r="161" spans="1:13" ht="21" customHeight="1">
      <c r="A161" s="67" t="s">
        <v>598</v>
      </c>
      <c r="B161" s="64"/>
      <c r="C161" s="65"/>
      <c r="D161" s="65"/>
      <c r="E161" s="65"/>
      <c r="F161" s="65"/>
      <c r="G161" s="65"/>
      <c r="H161" s="68">
        <v>0</v>
      </c>
      <c r="I161" s="64"/>
      <c r="J161" s="64"/>
      <c r="K161">
        <f>IF($A161="","",IF(LEFT($A161,3)="CAP","سرمایه و آورده صاحبان",IF(LEFT($A161,2)="SL","بارفروش",IF(LEFT($A161,2)="BD","باسکول دیگران",IF(LEFT($A161,1)="C","باغدار",IF(LEFT($A161,1)="S","فروشنده سبد/تأمین‌کننده",IF(LEFT($A161,1)="E","کارمند",IF(LEFT($A161,1)="X","سایر حساب",IF(LEFT($A161,1)="F","دارایی ثابت",IF(LEFT($A161,1)="L","وام و تسهیلات",""))))))))))</f>
        <v>Format(font_name='Tahoma', font_size=8.5, bold=0, italic=0, underline=0, font_color=None, num_format='General', text_h_align=3, text_v_align=2, fg_color=None, bg_color=Color(value=0xFCFAF3, type=RGB, is_automatic=False), pattern=0, locked=1, hidden=0)</v>
      </c>
      <c r="L161" s="65"/>
      <c r="M161">
        <f>IF(OR($B161="",$A161=""),"",IF(OR($B161=$K161,AND(LEFT($A161,1)="S",OR($B161="فروشنده سبد",$B161="تأمین‌کننده")),AND(LEFT($A161,2)="BD",$B161="باسکول دیگران")),"✓","⚠"))</f>
        <v>Format(font_name='Tahoma', font_size=8.5, bold=0, italic=0, underline=0, font_color=None, num_format='General', text_h_align=3, text_v_align=2, fg_color=None, bg_color=Color(value=0xFCFAF3, type=RGB, is_automatic=False), pattern=0, locked=1, hidden=0)</v>
      </c>
    </row>
    <row r="162" spans="1:13" ht="21" customHeight="1">
      <c r="A162" s="67" t="s">
        <v>599</v>
      </c>
      <c r="B162" s="64"/>
      <c r="C162" s="65"/>
      <c r="D162" s="65"/>
      <c r="E162" s="65"/>
      <c r="F162" s="65"/>
      <c r="G162" s="65"/>
      <c r="H162" s="68">
        <v>0</v>
      </c>
      <c r="I162" s="64"/>
      <c r="J162" s="64"/>
      <c r="K162">
        <f>IF($A162="","",IF(LEFT($A162,3)="CAP","سرمایه و آورده صاحبان",IF(LEFT($A162,2)="SL","بارفروش",IF(LEFT($A162,2)="BD","باسکول دیگران",IF(LEFT($A162,1)="C","باغدار",IF(LEFT($A162,1)="S","فروشنده سبد/تأمین‌کننده",IF(LEFT($A162,1)="E","کارمند",IF(LEFT($A162,1)="X","سایر حساب",IF(LEFT($A162,1)="F","دارایی ثابت",IF(LEFT($A162,1)="L","وام و تسهیلات",""))))))))))</f>
        <v>Format(font_name='Tahoma', font_size=8.5, bold=0, italic=0, underline=0, font_color=None, num_format='General', text_h_align=3, text_v_align=2, fg_color=None, bg_color=Color(value=0xFCFAF3, type=RGB, is_automatic=False), pattern=0, locked=1, hidden=0)</v>
      </c>
      <c r="L162" s="65"/>
      <c r="M162">
        <f>IF(OR($B162="",$A162=""),"",IF(OR($B162=$K162,AND(LEFT($A162,1)="S",OR($B162="فروشنده سبد",$B162="تأمین‌کننده")),AND(LEFT($A162,2)="BD",$B162="باسکول دیگران")),"✓","⚠"))</f>
        <v>Format(font_name='Tahoma', font_size=8.5, bold=0, italic=0, underline=0, font_color=None, num_format='General', text_h_align=3, text_v_align=2, fg_color=None, bg_color=Color(value=0xFCFAF3, type=RGB, is_automatic=False), pattern=0, locked=1, hidden=0)</v>
      </c>
    </row>
    <row r="163" spans="1:13" ht="21" customHeight="1">
      <c r="A163" s="67" t="s">
        <v>600</v>
      </c>
      <c r="B163" s="64"/>
      <c r="C163" s="65"/>
      <c r="D163" s="65"/>
      <c r="E163" s="65"/>
      <c r="F163" s="65"/>
      <c r="G163" s="65"/>
      <c r="H163" s="68">
        <v>0</v>
      </c>
      <c r="I163" s="64"/>
      <c r="J163" s="64"/>
      <c r="K163">
        <f>IF($A163="","",IF(LEFT($A163,3)="CAP","سرمایه و آورده صاحبان",IF(LEFT($A163,2)="SL","بارفروش",IF(LEFT($A163,2)="BD","باسکول دیگران",IF(LEFT($A163,1)="C","باغدار",IF(LEFT($A163,1)="S","فروشنده سبد/تأمین‌کننده",IF(LEFT($A163,1)="E","کارمند",IF(LEFT($A163,1)="X","سایر حساب",IF(LEFT($A163,1)="F","دارایی ثابت",IF(LEFT($A163,1)="L","وام و تسهیلات",""))))))))))</f>
        <v>Format(font_name='Tahoma', font_size=8.5, bold=0, italic=0, underline=0, font_color=None, num_format='General', text_h_align=3, text_v_align=2, fg_color=None, bg_color=Color(value=0xFCFAF3, type=RGB, is_automatic=False), pattern=0, locked=1, hidden=0)</v>
      </c>
      <c r="L163" s="65"/>
      <c r="M163">
        <f>IF(OR($B163="",$A163=""),"",IF(OR($B163=$K163,AND(LEFT($A163,1)="S",OR($B163="فروشنده سبد",$B163="تأمین‌کننده")),AND(LEFT($A163,2)="BD",$B163="باسکول دیگران")),"✓","⚠"))</f>
        <v>Format(font_name='Tahoma', font_size=8.5, bold=0, italic=0, underline=0, font_color=None, num_format='General', text_h_align=3, text_v_align=2, fg_color=None, bg_color=Color(value=0xFCFAF3, type=RGB, is_automatic=False), pattern=0, locked=1, hidden=0)</v>
      </c>
    </row>
    <row r="164" spans="1:13" ht="21" customHeight="1">
      <c r="A164" s="67" t="s">
        <v>601</v>
      </c>
      <c r="B164" s="64"/>
      <c r="C164" s="65"/>
      <c r="D164" s="65"/>
      <c r="E164" s="65"/>
      <c r="F164" s="65"/>
      <c r="G164" s="65"/>
      <c r="H164" s="68">
        <v>0</v>
      </c>
      <c r="I164" s="64"/>
      <c r="J164" s="64"/>
      <c r="K164">
        <f>IF($A164="","",IF(LEFT($A164,3)="CAP","سرمایه و آورده صاحبان",IF(LEFT($A164,2)="SL","بارفروش",IF(LEFT($A164,2)="BD","باسکول دیگران",IF(LEFT($A164,1)="C","باغدار",IF(LEFT($A164,1)="S","فروشنده سبد/تأمین‌کننده",IF(LEFT($A164,1)="E","کارمند",IF(LEFT($A164,1)="X","سایر حساب",IF(LEFT($A164,1)="F","دارایی ثابت",IF(LEFT($A164,1)="L","وام و تسهیلات",""))))))))))</f>
        <v>Format(font_name='Tahoma', font_size=8.5, bold=0, italic=0, underline=0, font_color=None, num_format='General', text_h_align=3, text_v_align=2, fg_color=None, bg_color=Color(value=0xFCFAF3, type=RGB, is_automatic=False), pattern=0, locked=1, hidden=0)</v>
      </c>
      <c r="L164" s="65"/>
      <c r="M164">
        <f>IF(OR($B164="",$A164=""),"",IF(OR($B164=$K164,AND(LEFT($A164,1)="S",OR($B164="فروشنده سبد",$B164="تأمین‌کننده")),AND(LEFT($A164,2)="BD",$B164="باسکول دیگران")),"✓","⚠"))</f>
        <v>Format(font_name='Tahoma', font_size=8.5, bold=0, italic=0, underline=0, font_color=None, num_format='General', text_h_align=3, text_v_align=2, fg_color=None, bg_color=Color(value=0xFCFAF3, type=RGB, is_automatic=False), pattern=0, locked=1, hidden=0)</v>
      </c>
    </row>
    <row r="165" spans="1:13" ht="21" customHeight="1">
      <c r="A165" s="67" t="s">
        <v>602</v>
      </c>
      <c r="B165" s="64"/>
      <c r="C165" s="65"/>
      <c r="D165" s="65"/>
      <c r="E165" s="65"/>
      <c r="F165" s="65"/>
      <c r="G165" s="65"/>
      <c r="H165" s="68">
        <v>0</v>
      </c>
      <c r="I165" s="64"/>
      <c r="J165" s="64"/>
      <c r="K165">
        <f>IF($A165="","",IF(LEFT($A165,3)="CAP","سرمایه و آورده صاحبان",IF(LEFT($A165,2)="SL","بارفروش",IF(LEFT($A165,2)="BD","باسکول دیگران",IF(LEFT($A165,1)="C","باغدار",IF(LEFT($A165,1)="S","فروشنده سبد/تأمین‌کننده",IF(LEFT($A165,1)="E","کارمند",IF(LEFT($A165,1)="X","سایر حساب",IF(LEFT($A165,1)="F","دارایی ثابت",IF(LEFT($A165,1)="L","وام و تسهیلات",""))))))))))</f>
        <v>Format(font_name='Tahoma', font_size=8.5, bold=0, italic=0, underline=0, font_color=None, num_format='General', text_h_align=3, text_v_align=2, fg_color=None, bg_color=Color(value=0xFCFAF3, type=RGB, is_automatic=False), pattern=0, locked=1, hidden=0)</v>
      </c>
      <c r="L165" s="65"/>
      <c r="M165">
        <f>IF(OR($B165="",$A165=""),"",IF(OR($B165=$K165,AND(LEFT($A165,1)="S",OR($B165="فروشنده سبد",$B165="تأمین‌کننده")),AND(LEFT($A165,2)="BD",$B165="باسکول دیگران")),"✓","⚠"))</f>
        <v>Format(font_name='Tahoma', font_size=8.5, bold=0, italic=0, underline=0, font_color=None, num_format='General', text_h_align=3, text_v_align=2, fg_color=None, bg_color=Color(value=0xFCFAF3, type=RGB, is_automatic=False), pattern=0, locked=1, hidden=0)</v>
      </c>
    </row>
    <row r="166" spans="1:13" ht="21" customHeight="1">
      <c r="A166" s="67" t="s">
        <v>603</v>
      </c>
      <c r="B166" s="64"/>
      <c r="C166" s="65"/>
      <c r="D166" s="65"/>
      <c r="E166" s="65"/>
      <c r="F166" s="65"/>
      <c r="G166" s="65"/>
      <c r="H166" s="68">
        <v>0</v>
      </c>
      <c r="I166" s="64"/>
      <c r="J166" s="64"/>
      <c r="K166">
        <f>IF($A166="","",IF(LEFT($A166,3)="CAP","سرمایه و آورده صاحبان",IF(LEFT($A166,2)="SL","بارفروش",IF(LEFT($A166,2)="BD","باسکول دیگران",IF(LEFT($A166,1)="C","باغدار",IF(LEFT($A166,1)="S","فروشنده سبد/تأمین‌کننده",IF(LEFT($A166,1)="E","کارمند",IF(LEFT($A166,1)="X","سایر حساب",IF(LEFT($A166,1)="F","دارایی ثابت",IF(LEFT($A166,1)="L","وام و تسهیلات",""))))))))))</f>
        <v>Format(font_name='Tahoma', font_size=8.5, bold=0, italic=0, underline=0, font_color=None, num_format='General', text_h_align=3, text_v_align=2, fg_color=None, bg_color=Color(value=0xFCFAF3, type=RGB, is_automatic=False), pattern=0, locked=1, hidden=0)</v>
      </c>
      <c r="L166" s="65"/>
      <c r="M166">
        <f>IF(OR($B166="",$A166=""),"",IF(OR($B166=$K166,AND(LEFT($A166,1)="S",OR($B166="فروشنده سبد",$B166="تأمین‌کننده")),AND(LEFT($A166,2)="BD",$B166="باسکول دیگران")),"✓","⚠"))</f>
        <v>Format(font_name='Tahoma', font_size=8.5, bold=0, italic=0, underline=0, font_color=None, num_format='General', text_h_align=3, text_v_align=2, fg_color=None, bg_color=Color(value=0xFCFAF3, type=RGB, is_automatic=False), pattern=0, locked=1, hidden=0)</v>
      </c>
    </row>
    <row r="167" spans="1:13" ht="21" customHeight="1">
      <c r="A167" s="67" t="s">
        <v>604</v>
      </c>
      <c r="B167" s="64"/>
      <c r="C167" s="65"/>
      <c r="D167" s="65"/>
      <c r="E167" s="65"/>
      <c r="F167" s="65"/>
      <c r="G167" s="65"/>
      <c r="H167" s="68">
        <v>0</v>
      </c>
      <c r="I167" s="64"/>
      <c r="J167" s="64"/>
      <c r="K167">
        <f>IF($A167="","",IF(LEFT($A167,3)="CAP","سرمایه و آورده صاحبان",IF(LEFT($A167,2)="SL","بارفروش",IF(LEFT($A167,2)="BD","باسکول دیگران",IF(LEFT($A167,1)="C","باغدار",IF(LEFT($A167,1)="S","فروشنده سبد/تأمین‌کننده",IF(LEFT($A167,1)="E","کارمند",IF(LEFT($A167,1)="X","سایر حساب",IF(LEFT($A167,1)="F","دارایی ثابت",IF(LEFT($A167,1)="L","وام و تسهیلات",""))))))))))</f>
        <v>Format(font_name='Tahoma', font_size=8.5, bold=0, italic=0, underline=0, font_color=None, num_format='General', text_h_align=3, text_v_align=2, fg_color=None, bg_color=Color(value=0xFCFAF3, type=RGB, is_automatic=False), pattern=0, locked=1, hidden=0)</v>
      </c>
      <c r="L167" s="65"/>
      <c r="M167">
        <f>IF(OR($B167="",$A167=""),"",IF(OR($B167=$K167,AND(LEFT($A167,1)="S",OR($B167="فروشنده سبد",$B167="تأمین‌کننده")),AND(LEFT($A167,2)="BD",$B167="باسکول دیگران")),"✓","⚠"))</f>
        <v>Format(font_name='Tahoma', font_size=8.5, bold=0, italic=0, underline=0, font_color=None, num_format='General', text_h_align=3, text_v_align=2, fg_color=None, bg_color=Color(value=0xFCFAF3, type=RGB, is_automatic=False), pattern=0, locked=1, hidden=0)</v>
      </c>
    </row>
    <row r="168" spans="1:13" ht="21" customHeight="1">
      <c r="A168" s="67" t="s">
        <v>605</v>
      </c>
      <c r="B168" s="64"/>
      <c r="C168" s="65"/>
      <c r="D168" s="65"/>
      <c r="E168" s="65"/>
      <c r="F168" s="65"/>
      <c r="G168" s="65"/>
      <c r="H168" s="68">
        <v>0</v>
      </c>
      <c r="I168" s="64"/>
      <c r="J168" s="64"/>
      <c r="K168">
        <f>IF($A168="","",IF(LEFT($A168,3)="CAP","سرمایه و آورده صاحبان",IF(LEFT($A168,2)="SL","بارفروش",IF(LEFT($A168,2)="BD","باسکول دیگران",IF(LEFT($A168,1)="C","باغدار",IF(LEFT($A168,1)="S","فروشنده سبد/تأمین‌کننده",IF(LEFT($A168,1)="E","کارمند",IF(LEFT($A168,1)="X","سایر حساب",IF(LEFT($A168,1)="F","دارایی ثابت",IF(LEFT($A168,1)="L","وام و تسهیلات",""))))))))))</f>
        <v>Format(font_name='Tahoma', font_size=8.5, bold=0, italic=0, underline=0, font_color=None, num_format='General', text_h_align=3, text_v_align=2, fg_color=None, bg_color=Color(value=0xFCFAF3, type=RGB, is_automatic=False), pattern=0, locked=1, hidden=0)</v>
      </c>
      <c r="L168" s="65"/>
      <c r="M168">
        <f>IF(OR($B168="",$A168=""),"",IF(OR($B168=$K168,AND(LEFT($A168,1)="S",OR($B168="فروشنده سبد",$B168="تأمین‌کننده")),AND(LEFT($A168,2)="BD",$B168="باسکول دیگران")),"✓","⚠"))</f>
        <v>Format(font_name='Tahoma', font_size=8.5, bold=0, italic=0, underline=0, font_color=None, num_format='General', text_h_align=3, text_v_align=2, fg_color=None, bg_color=Color(value=0xFCFAF3, type=RGB, is_automatic=False), pattern=0, locked=1, hidden=0)</v>
      </c>
    </row>
    <row r="169" spans="1:13" ht="21" customHeight="1">
      <c r="A169" s="67" t="s">
        <v>606</v>
      </c>
      <c r="B169" s="64"/>
      <c r="C169" s="65"/>
      <c r="D169" s="65"/>
      <c r="E169" s="65"/>
      <c r="F169" s="65"/>
      <c r="G169" s="65"/>
      <c r="H169" s="68">
        <v>0</v>
      </c>
      <c r="I169" s="64"/>
      <c r="J169" s="64"/>
      <c r="K169">
        <f>IF($A169="","",IF(LEFT($A169,3)="CAP","سرمایه و آورده صاحبان",IF(LEFT($A169,2)="SL","بارفروش",IF(LEFT($A169,2)="BD","باسکول دیگران",IF(LEFT($A169,1)="C","باغدار",IF(LEFT($A169,1)="S","فروشنده سبد/تأمین‌کننده",IF(LEFT($A169,1)="E","کارمند",IF(LEFT($A169,1)="X","سایر حساب",IF(LEFT($A169,1)="F","دارایی ثابت",IF(LEFT($A169,1)="L","وام و تسهیلات",""))))))))))</f>
        <v>Format(font_name='Tahoma', font_size=8.5, bold=0, italic=0, underline=0, font_color=None, num_format='General', text_h_align=3, text_v_align=2, fg_color=None, bg_color=Color(value=0xFCFAF3, type=RGB, is_automatic=False), pattern=0, locked=1, hidden=0)</v>
      </c>
      <c r="L169" s="65"/>
      <c r="M169">
        <f>IF(OR($B169="",$A169=""),"",IF(OR($B169=$K169,AND(LEFT($A169,1)="S",OR($B169="فروشنده سبد",$B169="تأمین‌کننده")),AND(LEFT($A169,2)="BD",$B169="باسکول دیگران")),"✓","⚠"))</f>
        <v>Format(font_name='Tahoma', font_size=8.5, bold=0, italic=0, underline=0, font_color=None, num_format='General', text_h_align=3, text_v_align=2, fg_color=None, bg_color=Color(value=0xFCFAF3, type=RGB, is_automatic=False), pattern=0, locked=1, hidden=0)</v>
      </c>
    </row>
    <row r="170" spans="1:13" ht="21" customHeight="1">
      <c r="A170" s="67" t="s">
        <v>607</v>
      </c>
      <c r="B170" s="64"/>
      <c r="C170" s="65"/>
      <c r="D170" s="65"/>
      <c r="E170" s="65"/>
      <c r="F170" s="65"/>
      <c r="G170" s="65"/>
      <c r="H170" s="68">
        <v>0</v>
      </c>
      <c r="I170" s="64"/>
      <c r="J170" s="64"/>
      <c r="K170">
        <f>IF($A170="","",IF(LEFT($A170,3)="CAP","سرمایه و آورده صاحبان",IF(LEFT($A170,2)="SL","بارفروش",IF(LEFT($A170,2)="BD","باسکول دیگران",IF(LEFT($A170,1)="C","باغدار",IF(LEFT($A170,1)="S","فروشنده سبد/تأمین‌کننده",IF(LEFT($A170,1)="E","کارمند",IF(LEFT($A170,1)="X","سایر حساب",IF(LEFT($A170,1)="F","دارایی ثابت",IF(LEFT($A170,1)="L","وام و تسهیلات",""))))))))))</f>
        <v>Format(font_name='Tahoma', font_size=8.5, bold=0, italic=0, underline=0, font_color=None, num_format='General', text_h_align=3, text_v_align=2, fg_color=None, bg_color=Color(value=0xFCFAF3, type=RGB, is_automatic=False), pattern=0, locked=1, hidden=0)</v>
      </c>
      <c r="L170" s="65"/>
      <c r="M170">
        <f>IF(OR($B170="",$A170=""),"",IF(OR($B170=$K170,AND(LEFT($A170,1)="S",OR($B170="فروشنده سبد",$B170="تأمین‌کننده")),AND(LEFT($A170,2)="BD",$B170="باسکول دیگران")),"✓","⚠"))</f>
        <v>Format(font_name='Tahoma', font_size=8.5, bold=0, italic=0, underline=0, font_color=None, num_format='General', text_h_align=3, text_v_align=2, fg_color=None, bg_color=Color(value=0xFCFAF3, type=RGB, is_automatic=False), pattern=0, locked=1, hidden=0)</v>
      </c>
    </row>
    <row r="171" spans="1:13" ht="21" customHeight="1">
      <c r="A171" s="67" t="s">
        <v>608</v>
      </c>
      <c r="B171" s="64"/>
      <c r="C171" s="65"/>
      <c r="D171" s="65"/>
      <c r="E171" s="65"/>
      <c r="F171" s="65"/>
      <c r="G171" s="65"/>
      <c r="H171" s="68">
        <v>0</v>
      </c>
      <c r="I171" s="64"/>
      <c r="J171" s="64"/>
      <c r="K171">
        <f>IF($A171="","",IF(LEFT($A171,3)="CAP","سرمایه و آورده صاحبان",IF(LEFT($A171,2)="SL","بارفروش",IF(LEFT($A171,2)="BD","باسکول دیگران",IF(LEFT($A171,1)="C","باغدار",IF(LEFT($A171,1)="S","فروشنده سبد/تأمین‌کننده",IF(LEFT($A171,1)="E","کارمند",IF(LEFT($A171,1)="X","سایر حساب",IF(LEFT($A171,1)="F","دارایی ثابت",IF(LEFT($A171,1)="L","وام و تسهیلات",""))))))))))</f>
        <v>Format(font_name='Tahoma', font_size=8.5, bold=0, italic=0, underline=0, font_color=None, num_format='General', text_h_align=3, text_v_align=2, fg_color=None, bg_color=Color(value=0xFCFAF3, type=RGB, is_automatic=False), pattern=0, locked=1, hidden=0)</v>
      </c>
      <c r="L171" s="65"/>
      <c r="M171">
        <f>IF(OR($B171="",$A171=""),"",IF(OR($B171=$K171,AND(LEFT($A171,1)="S",OR($B171="فروشنده سبد",$B171="تأمین‌کننده")),AND(LEFT($A171,2)="BD",$B171="باسکول دیگران")),"✓","⚠"))</f>
        <v>Format(font_name='Tahoma', font_size=8.5, bold=0, italic=0, underline=0, font_color=None, num_format='General', text_h_align=3, text_v_align=2, fg_color=None, bg_color=Color(value=0xFCFAF3, type=RGB, is_automatic=False), pattern=0, locked=1, hidden=0)</v>
      </c>
    </row>
    <row r="172" spans="1:13" ht="21" customHeight="1">
      <c r="A172" s="67" t="s">
        <v>609</v>
      </c>
      <c r="B172" s="64"/>
      <c r="C172" s="65"/>
      <c r="D172" s="65"/>
      <c r="E172" s="65"/>
      <c r="F172" s="65"/>
      <c r="G172" s="65"/>
      <c r="H172" s="68">
        <v>0</v>
      </c>
      <c r="I172" s="64"/>
      <c r="J172" s="64"/>
      <c r="K172">
        <f>IF($A172="","",IF(LEFT($A172,3)="CAP","سرمایه و آورده صاحبان",IF(LEFT($A172,2)="SL","بارفروش",IF(LEFT($A172,2)="BD","باسکول دیگران",IF(LEFT($A172,1)="C","باغدار",IF(LEFT($A172,1)="S","فروشنده سبد/تأمین‌کننده",IF(LEFT($A172,1)="E","کارمند",IF(LEFT($A172,1)="X","سایر حساب",IF(LEFT($A172,1)="F","دارایی ثابت",IF(LEFT($A172,1)="L","وام و تسهیلات",""))))))))))</f>
        <v>Format(font_name='Tahoma', font_size=8.5, bold=0, italic=0, underline=0, font_color=None, num_format='General', text_h_align=3, text_v_align=2, fg_color=None, bg_color=Color(value=0xFCFAF3, type=RGB, is_automatic=False), pattern=0, locked=1, hidden=0)</v>
      </c>
      <c r="L172" s="65"/>
      <c r="M172">
        <f>IF(OR($B172="",$A172=""),"",IF(OR($B172=$K172,AND(LEFT($A172,1)="S",OR($B172="فروشنده سبد",$B172="تأمین‌کننده")),AND(LEFT($A172,2)="BD",$B172="باسکول دیگران")),"✓","⚠"))</f>
        <v>Format(font_name='Tahoma', font_size=8.5, bold=0, italic=0, underline=0, font_color=None, num_format='General', text_h_align=3, text_v_align=2, fg_color=None, bg_color=Color(value=0xFCFAF3, type=RGB, is_automatic=False), pattern=0, locked=1, hidden=0)</v>
      </c>
    </row>
    <row r="173" spans="1:13" ht="21" customHeight="1">
      <c r="A173" s="67" t="s">
        <v>610</v>
      </c>
      <c r="B173" s="64"/>
      <c r="C173" s="65"/>
      <c r="D173" s="65"/>
      <c r="E173" s="65"/>
      <c r="F173" s="65"/>
      <c r="G173" s="65"/>
      <c r="H173" s="68">
        <v>0</v>
      </c>
      <c r="I173" s="64"/>
      <c r="J173" s="64"/>
      <c r="K173">
        <f>IF($A173="","",IF(LEFT($A173,3)="CAP","سرمایه و آورده صاحبان",IF(LEFT($A173,2)="SL","بارفروش",IF(LEFT($A173,2)="BD","باسکول دیگران",IF(LEFT($A173,1)="C","باغدار",IF(LEFT($A173,1)="S","فروشنده سبد/تأمین‌کننده",IF(LEFT($A173,1)="E","کارمند",IF(LEFT($A173,1)="X","سایر حساب",IF(LEFT($A173,1)="F","دارایی ثابت",IF(LEFT($A173,1)="L","وام و تسهیلات",""))))))))))</f>
        <v>Format(font_name='Tahoma', font_size=8.5, bold=0, italic=0, underline=0, font_color=None, num_format='General', text_h_align=3, text_v_align=2, fg_color=None, bg_color=Color(value=0xFCFAF3, type=RGB, is_automatic=False), pattern=0, locked=1, hidden=0)</v>
      </c>
      <c r="L173" s="65"/>
      <c r="M173">
        <f>IF(OR($B173="",$A173=""),"",IF(OR($B173=$K173,AND(LEFT($A173,1)="S",OR($B173="فروشنده سبد",$B173="تأمین‌کننده")),AND(LEFT($A173,2)="BD",$B173="باسکول دیگران")),"✓","⚠"))</f>
        <v>Format(font_name='Tahoma', font_size=8.5, bold=0, italic=0, underline=0, font_color=None, num_format='General', text_h_align=3, text_v_align=2, fg_color=None, bg_color=Color(value=0xFCFAF3, type=RGB, is_automatic=False), pattern=0, locked=1, hidden=0)</v>
      </c>
    </row>
    <row r="174" spans="1:13" ht="21" customHeight="1">
      <c r="A174" s="67" t="s">
        <v>611</v>
      </c>
      <c r="B174" s="64"/>
      <c r="C174" s="65"/>
      <c r="D174" s="65"/>
      <c r="E174" s="65"/>
      <c r="F174" s="65"/>
      <c r="G174" s="65"/>
      <c r="H174" s="68">
        <v>0</v>
      </c>
      <c r="I174" s="64"/>
      <c r="J174" s="64"/>
      <c r="K174">
        <f>IF($A174="","",IF(LEFT($A174,3)="CAP","سرمایه و آورده صاحبان",IF(LEFT($A174,2)="SL","بارفروش",IF(LEFT($A174,2)="BD","باسکول دیگران",IF(LEFT($A174,1)="C","باغدار",IF(LEFT($A174,1)="S","فروشنده سبد/تأمین‌کننده",IF(LEFT($A174,1)="E","کارمند",IF(LEFT($A174,1)="X","سایر حساب",IF(LEFT($A174,1)="F","دارایی ثابت",IF(LEFT($A174,1)="L","وام و تسهیلات",""))))))))))</f>
        <v>Format(font_name='Tahoma', font_size=8.5, bold=0, italic=0, underline=0, font_color=None, num_format='General', text_h_align=3, text_v_align=2, fg_color=None, bg_color=Color(value=0xFCFAF3, type=RGB, is_automatic=False), pattern=0, locked=1, hidden=0)</v>
      </c>
      <c r="L174" s="65"/>
      <c r="M174">
        <f>IF(OR($B174="",$A174=""),"",IF(OR($B174=$K174,AND(LEFT($A174,1)="S",OR($B174="فروشنده سبد",$B174="تأمین‌کننده")),AND(LEFT($A174,2)="BD",$B174="باسکول دیگران")),"✓","⚠"))</f>
        <v>Format(font_name='Tahoma', font_size=8.5, bold=0, italic=0, underline=0, font_color=None, num_format='General', text_h_align=3, text_v_align=2, fg_color=None, bg_color=Color(value=0xFCFAF3, type=RGB, is_automatic=False), pattern=0, locked=1, hidden=0)</v>
      </c>
    </row>
    <row r="175" spans="1:13" ht="21" customHeight="1">
      <c r="A175" s="67" t="s">
        <v>612</v>
      </c>
      <c r="B175" s="64"/>
      <c r="C175" s="65"/>
      <c r="D175" s="65"/>
      <c r="E175" s="65"/>
      <c r="F175" s="65"/>
      <c r="G175" s="65"/>
      <c r="H175" s="68">
        <v>0</v>
      </c>
      <c r="I175" s="64"/>
      <c r="J175" s="64"/>
      <c r="K175">
        <f>IF($A175="","",IF(LEFT($A175,3)="CAP","سرمایه و آورده صاحبان",IF(LEFT($A175,2)="SL","بارفروش",IF(LEFT($A175,2)="BD","باسکول دیگران",IF(LEFT($A175,1)="C","باغدار",IF(LEFT($A175,1)="S","فروشنده سبد/تأمین‌کننده",IF(LEFT($A175,1)="E","کارمند",IF(LEFT($A175,1)="X","سایر حساب",IF(LEFT($A175,1)="F","دارایی ثابت",IF(LEFT($A175,1)="L","وام و تسهیلات",""))))))))))</f>
        <v>Format(font_name='Tahoma', font_size=8.5, bold=0, italic=0, underline=0, font_color=None, num_format='General', text_h_align=3, text_v_align=2, fg_color=None, bg_color=Color(value=0xFCFAF3, type=RGB, is_automatic=False), pattern=0, locked=1, hidden=0)</v>
      </c>
      <c r="L175" s="65"/>
      <c r="M175">
        <f>IF(OR($B175="",$A175=""),"",IF(OR($B175=$K175,AND(LEFT($A175,1)="S",OR($B175="فروشنده سبد",$B175="تأمین‌کننده")),AND(LEFT($A175,2)="BD",$B175="باسکول دیگران")),"✓","⚠"))</f>
        <v>Format(font_name='Tahoma', font_size=8.5, bold=0, italic=0, underline=0, font_color=None, num_format='General', text_h_align=3, text_v_align=2, fg_color=None, bg_color=Color(value=0xFCFAF3, type=RGB, is_automatic=False), pattern=0, locked=1, hidden=0)</v>
      </c>
    </row>
    <row r="176" spans="1:13" ht="21" customHeight="1">
      <c r="A176" s="67" t="s">
        <v>613</v>
      </c>
      <c r="B176" s="64"/>
      <c r="C176" s="65"/>
      <c r="D176" s="65"/>
      <c r="E176" s="65"/>
      <c r="F176" s="65"/>
      <c r="G176" s="65"/>
      <c r="H176" s="68">
        <v>0</v>
      </c>
      <c r="I176" s="64"/>
      <c r="J176" s="64"/>
      <c r="K176">
        <f>IF($A176="","",IF(LEFT($A176,3)="CAP","سرمایه و آورده صاحبان",IF(LEFT($A176,2)="SL","بارفروش",IF(LEFT($A176,2)="BD","باسکول دیگران",IF(LEFT($A176,1)="C","باغدار",IF(LEFT($A176,1)="S","فروشنده سبد/تأمین‌کننده",IF(LEFT($A176,1)="E","کارمند",IF(LEFT($A176,1)="X","سایر حساب",IF(LEFT($A176,1)="F","دارایی ثابت",IF(LEFT($A176,1)="L","وام و تسهیلات",""))))))))))</f>
        <v>Format(font_name='Tahoma', font_size=8.5, bold=0, italic=0, underline=0, font_color=None, num_format='General', text_h_align=3, text_v_align=2, fg_color=None, bg_color=Color(value=0xFCFAF3, type=RGB, is_automatic=False), pattern=0, locked=1, hidden=0)</v>
      </c>
      <c r="L176" s="65"/>
      <c r="M176">
        <f>IF(OR($B176="",$A176=""),"",IF(OR($B176=$K176,AND(LEFT($A176,1)="S",OR($B176="فروشنده سبد",$B176="تأمین‌کننده")),AND(LEFT($A176,2)="BD",$B176="باسکول دیگران")),"✓","⚠"))</f>
        <v>Format(font_name='Tahoma', font_size=8.5, bold=0, italic=0, underline=0, font_color=None, num_format='General', text_h_align=3, text_v_align=2, fg_color=None, bg_color=Color(value=0xFCFAF3, type=RGB, is_automatic=False), pattern=0, locked=1, hidden=0)</v>
      </c>
    </row>
    <row r="177" spans="1:13" ht="21" customHeight="1">
      <c r="A177" s="67" t="s">
        <v>614</v>
      </c>
      <c r="B177" s="64"/>
      <c r="C177" s="65"/>
      <c r="D177" s="65"/>
      <c r="E177" s="65"/>
      <c r="F177" s="65"/>
      <c r="G177" s="65"/>
      <c r="H177" s="68">
        <v>0</v>
      </c>
      <c r="I177" s="64"/>
      <c r="J177" s="64"/>
      <c r="K177">
        <f>IF($A177="","",IF(LEFT($A177,3)="CAP","سرمایه و آورده صاحبان",IF(LEFT($A177,2)="SL","بارفروش",IF(LEFT($A177,2)="BD","باسکول دیگران",IF(LEFT($A177,1)="C","باغدار",IF(LEFT($A177,1)="S","فروشنده سبد/تأمین‌کننده",IF(LEFT($A177,1)="E","کارمند",IF(LEFT($A177,1)="X","سایر حساب",IF(LEFT($A177,1)="F","دارایی ثابت",IF(LEFT($A177,1)="L","وام و تسهیلات",""))))))))))</f>
        <v>Format(font_name='Tahoma', font_size=8.5, bold=0, italic=0, underline=0, font_color=None, num_format='General', text_h_align=3, text_v_align=2, fg_color=None, bg_color=Color(value=0xFCFAF3, type=RGB, is_automatic=False), pattern=0, locked=1, hidden=0)</v>
      </c>
      <c r="L177" s="65"/>
      <c r="M177">
        <f>IF(OR($B177="",$A177=""),"",IF(OR($B177=$K177,AND(LEFT($A177,1)="S",OR($B177="فروشنده سبد",$B177="تأمین‌کننده")),AND(LEFT($A177,2)="BD",$B177="باسکول دیگران")),"✓","⚠"))</f>
        <v>Format(font_name='Tahoma', font_size=8.5, bold=0, italic=0, underline=0, font_color=None, num_format='General', text_h_align=3, text_v_align=2, fg_color=None, bg_color=Color(value=0xFCFAF3, type=RGB, is_automatic=False), pattern=0, locked=1, hidden=0)</v>
      </c>
    </row>
    <row r="178" spans="1:13" ht="21" customHeight="1">
      <c r="A178" s="67" t="s">
        <v>615</v>
      </c>
      <c r="B178" s="64"/>
      <c r="C178" s="65"/>
      <c r="D178" s="65"/>
      <c r="E178" s="65"/>
      <c r="F178" s="65"/>
      <c r="G178" s="65"/>
      <c r="H178" s="68">
        <v>0</v>
      </c>
      <c r="I178" s="64"/>
      <c r="J178" s="64"/>
      <c r="K178">
        <f>IF($A178="","",IF(LEFT($A178,3)="CAP","سرمایه و آورده صاحبان",IF(LEFT($A178,2)="SL","بارفروش",IF(LEFT($A178,2)="BD","باسکول دیگران",IF(LEFT($A178,1)="C","باغدار",IF(LEFT($A178,1)="S","فروشنده سبد/تأمین‌کننده",IF(LEFT($A178,1)="E","کارمند",IF(LEFT($A178,1)="X","سایر حساب",IF(LEFT($A178,1)="F","دارایی ثابت",IF(LEFT($A178,1)="L","وام و تسهیلات",""))))))))))</f>
        <v>Format(font_name='Tahoma', font_size=8.5, bold=0, italic=0, underline=0, font_color=None, num_format='General', text_h_align=3, text_v_align=2, fg_color=None, bg_color=Color(value=0xFCFAF3, type=RGB, is_automatic=False), pattern=0, locked=1, hidden=0)</v>
      </c>
      <c r="L178" s="65"/>
      <c r="M178">
        <f>IF(OR($B178="",$A178=""),"",IF(OR($B178=$K178,AND(LEFT($A178,1)="S",OR($B178="فروشنده سبد",$B178="تأمین‌کننده")),AND(LEFT($A178,2)="BD",$B178="باسکول دیگران")),"✓","⚠"))</f>
        <v>Format(font_name='Tahoma', font_size=8.5, bold=0, italic=0, underline=0, font_color=None, num_format='General', text_h_align=3, text_v_align=2, fg_color=None, bg_color=Color(value=0xFCFAF3, type=RGB, is_automatic=False), pattern=0, locked=1, hidden=0)</v>
      </c>
    </row>
    <row r="179" spans="1:13" ht="21" customHeight="1">
      <c r="A179" s="67" t="s">
        <v>616</v>
      </c>
      <c r="B179" s="64"/>
      <c r="C179" s="65"/>
      <c r="D179" s="65"/>
      <c r="E179" s="65"/>
      <c r="F179" s="65"/>
      <c r="G179" s="65"/>
      <c r="H179" s="68">
        <v>0</v>
      </c>
      <c r="I179" s="64"/>
      <c r="J179" s="64"/>
      <c r="K179">
        <f>IF($A179="","",IF(LEFT($A179,3)="CAP","سرمایه و آورده صاحبان",IF(LEFT($A179,2)="SL","بارفروش",IF(LEFT($A179,2)="BD","باسکول دیگران",IF(LEFT($A179,1)="C","باغدار",IF(LEFT($A179,1)="S","فروشنده سبد/تأمین‌کننده",IF(LEFT($A179,1)="E","کارمند",IF(LEFT($A179,1)="X","سایر حساب",IF(LEFT($A179,1)="F","دارایی ثابت",IF(LEFT($A179,1)="L","وام و تسهیلات",""))))))))))</f>
        <v>Format(font_name='Tahoma', font_size=8.5, bold=0, italic=0, underline=0, font_color=None, num_format='General', text_h_align=3, text_v_align=2, fg_color=None, bg_color=Color(value=0xFCFAF3, type=RGB, is_automatic=False), pattern=0, locked=1, hidden=0)</v>
      </c>
      <c r="L179" s="65"/>
      <c r="M179">
        <f>IF(OR($B179="",$A179=""),"",IF(OR($B179=$K179,AND(LEFT($A179,1)="S",OR($B179="فروشنده سبد",$B179="تأمین‌کننده")),AND(LEFT($A179,2)="BD",$B179="باسکول دیگران")),"✓","⚠"))</f>
        <v>Format(font_name='Tahoma', font_size=8.5, bold=0, italic=0, underline=0, font_color=None, num_format='General', text_h_align=3, text_v_align=2, fg_color=None, bg_color=Color(value=0xFCFAF3, type=RGB, is_automatic=False), pattern=0, locked=1, hidden=0)</v>
      </c>
    </row>
    <row r="180" spans="1:13" ht="21" customHeight="1">
      <c r="A180" s="67" t="s">
        <v>617</v>
      </c>
      <c r="B180" s="64"/>
      <c r="C180" s="65"/>
      <c r="D180" s="65"/>
      <c r="E180" s="65"/>
      <c r="F180" s="65"/>
      <c r="G180" s="65"/>
      <c r="H180" s="68">
        <v>0</v>
      </c>
      <c r="I180" s="64"/>
      <c r="J180" s="64"/>
      <c r="K180">
        <f>IF($A180="","",IF(LEFT($A180,3)="CAP","سرمایه و آورده صاحبان",IF(LEFT($A180,2)="SL","بارفروش",IF(LEFT($A180,2)="BD","باسکول دیگران",IF(LEFT($A180,1)="C","باغدار",IF(LEFT($A180,1)="S","فروشنده سبد/تأمین‌کننده",IF(LEFT($A180,1)="E","کارمند",IF(LEFT($A180,1)="X","سایر حساب",IF(LEFT($A180,1)="F","دارایی ثابت",IF(LEFT($A180,1)="L","وام و تسهیلات",""))))))))))</f>
        <v>Format(font_name='Tahoma', font_size=8.5, bold=0, italic=0, underline=0, font_color=None, num_format='General', text_h_align=3, text_v_align=2, fg_color=None, bg_color=Color(value=0xFCFAF3, type=RGB, is_automatic=False), pattern=0, locked=1, hidden=0)</v>
      </c>
      <c r="L180" s="65"/>
      <c r="M180">
        <f>IF(OR($B180="",$A180=""),"",IF(OR($B180=$K180,AND(LEFT($A180,1)="S",OR($B180="فروشنده سبد",$B180="تأمین‌کننده")),AND(LEFT($A180,2)="BD",$B180="باسکول دیگران")),"✓","⚠"))</f>
        <v>Format(font_name='Tahoma', font_size=8.5, bold=0, italic=0, underline=0, font_color=None, num_format='General', text_h_align=3, text_v_align=2, fg_color=None, bg_color=Color(value=0xFCFAF3, type=RGB, is_automatic=False), pattern=0, locked=1, hidden=0)</v>
      </c>
    </row>
    <row r="181" spans="1:13" ht="21" customHeight="1">
      <c r="A181" s="67" t="s">
        <v>618</v>
      </c>
      <c r="B181" s="64"/>
      <c r="C181" s="65"/>
      <c r="D181" s="65"/>
      <c r="E181" s="65"/>
      <c r="F181" s="65"/>
      <c r="G181" s="65"/>
      <c r="H181" s="68">
        <v>0</v>
      </c>
      <c r="I181" s="64"/>
      <c r="J181" s="64"/>
      <c r="K181">
        <f>IF($A181="","",IF(LEFT($A181,3)="CAP","سرمایه و آورده صاحبان",IF(LEFT($A181,2)="SL","بارفروش",IF(LEFT($A181,2)="BD","باسکول دیگران",IF(LEFT($A181,1)="C","باغدار",IF(LEFT($A181,1)="S","فروشنده سبد/تأمین‌کننده",IF(LEFT($A181,1)="E","کارمند",IF(LEFT($A181,1)="X","سایر حساب",IF(LEFT($A181,1)="F","دارایی ثابت",IF(LEFT($A181,1)="L","وام و تسهیلات",""))))))))))</f>
        <v>Format(font_name='Tahoma', font_size=8.5, bold=0, italic=0, underline=0, font_color=None, num_format='General', text_h_align=3, text_v_align=2, fg_color=None, bg_color=Color(value=0xFCFAF3, type=RGB, is_automatic=False), pattern=0, locked=1, hidden=0)</v>
      </c>
      <c r="L181" s="65"/>
      <c r="M181">
        <f>IF(OR($B181="",$A181=""),"",IF(OR($B181=$K181,AND(LEFT($A181,1)="S",OR($B181="فروشنده سبد",$B181="تأمین‌کننده")),AND(LEFT($A181,2)="BD",$B181="باسکول دیگران")),"✓","⚠"))</f>
        <v>Format(font_name='Tahoma', font_size=8.5, bold=0, italic=0, underline=0, font_color=None, num_format='General', text_h_align=3, text_v_align=2, fg_color=None, bg_color=Color(value=0xFCFAF3, type=RGB, is_automatic=False), pattern=0, locked=1, hidden=0)</v>
      </c>
    </row>
    <row r="182" spans="1:13" ht="21" customHeight="1">
      <c r="A182" s="67" t="s">
        <v>619</v>
      </c>
      <c r="B182" s="64"/>
      <c r="C182" s="65"/>
      <c r="D182" s="65"/>
      <c r="E182" s="65"/>
      <c r="F182" s="65"/>
      <c r="G182" s="65"/>
      <c r="H182" s="68">
        <v>0</v>
      </c>
      <c r="I182" s="64"/>
      <c r="J182" s="64"/>
      <c r="K182">
        <f>IF($A182="","",IF(LEFT($A182,3)="CAP","سرمایه و آورده صاحبان",IF(LEFT($A182,2)="SL","بارفروش",IF(LEFT($A182,2)="BD","باسکول دیگران",IF(LEFT($A182,1)="C","باغدار",IF(LEFT($A182,1)="S","فروشنده سبد/تأمین‌کننده",IF(LEFT($A182,1)="E","کارمند",IF(LEFT($A182,1)="X","سایر حساب",IF(LEFT($A182,1)="F","دارایی ثابت",IF(LEFT($A182,1)="L","وام و تسهیلات",""))))))))))</f>
        <v>Format(font_name='Tahoma', font_size=8.5, bold=0, italic=0, underline=0, font_color=None, num_format='General', text_h_align=3, text_v_align=2, fg_color=None, bg_color=Color(value=0xFCFAF3, type=RGB, is_automatic=False), pattern=0, locked=1, hidden=0)</v>
      </c>
      <c r="L182" s="65"/>
      <c r="M182">
        <f>IF(OR($B182="",$A182=""),"",IF(OR($B182=$K182,AND(LEFT($A182,1)="S",OR($B182="فروشنده سبد",$B182="تأمین‌کننده")),AND(LEFT($A182,2)="BD",$B182="باسکول دیگران")),"✓","⚠"))</f>
        <v>Format(font_name='Tahoma', font_size=8.5, bold=0, italic=0, underline=0, font_color=None, num_format='General', text_h_align=3, text_v_align=2, fg_color=None, bg_color=Color(value=0xFCFAF3, type=RGB, is_automatic=False), pattern=0, locked=1, hidden=0)</v>
      </c>
    </row>
    <row r="183" spans="1:13" ht="21" customHeight="1">
      <c r="A183" s="67" t="s">
        <v>620</v>
      </c>
      <c r="B183" s="64"/>
      <c r="C183" s="65"/>
      <c r="D183" s="65"/>
      <c r="E183" s="65"/>
      <c r="F183" s="65"/>
      <c r="G183" s="65"/>
      <c r="H183" s="68">
        <v>0</v>
      </c>
      <c r="I183" s="64"/>
      <c r="J183" s="64"/>
      <c r="K183">
        <f>IF($A183="","",IF(LEFT($A183,3)="CAP","سرمایه و آورده صاحبان",IF(LEFT($A183,2)="SL","بارفروش",IF(LEFT($A183,2)="BD","باسکول دیگران",IF(LEFT($A183,1)="C","باغدار",IF(LEFT($A183,1)="S","فروشنده سبد/تأمین‌کننده",IF(LEFT($A183,1)="E","کارمند",IF(LEFT($A183,1)="X","سایر حساب",IF(LEFT($A183,1)="F","دارایی ثابت",IF(LEFT($A183,1)="L","وام و تسهیلات",""))))))))))</f>
        <v>Format(font_name='Tahoma', font_size=8.5, bold=0, italic=0, underline=0, font_color=None, num_format='General', text_h_align=3, text_v_align=2, fg_color=None, bg_color=Color(value=0xFCFAF3, type=RGB, is_automatic=False), pattern=0, locked=1, hidden=0)</v>
      </c>
      <c r="L183" s="65"/>
      <c r="M183">
        <f>IF(OR($B183="",$A183=""),"",IF(OR($B183=$K183,AND(LEFT($A183,1)="S",OR($B183="فروشنده سبد",$B183="تأمین‌کننده")),AND(LEFT($A183,2)="BD",$B183="باسکول دیگران")),"✓","⚠"))</f>
        <v>Format(font_name='Tahoma', font_size=8.5, bold=0, italic=0, underline=0, font_color=None, num_format='General', text_h_align=3, text_v_align=2, fg_color=None, bg_color=Color(value=0xFCFAF3, type=RGB, is_automatic=False), pattern=0, locked=1, hidden=0)</v>
      </c>
    </row>
    <row r="184" spans="1:13" ht="21" customHeight="1">
      <c r="A184" s="67" t="s">
        <v>621</v>
      </c>
      <c r="B184" s="64"/>
      <c r="C184" s="65"/>
      <c r="D184" s="65"/>
      <c r="E184" s="65"/>
      <c r="F184" s="65"/>
      <c r="G184" s="65"/>
      <c r="H184" s="68">
        <v>0</v>
      </c>
      <c r="I184" s="64"/>
      <c r="J184" s="64"/>
      <c r="K184">
        <f>IF($A184="","",IF(LEFT($A184,3)="CAP","سرمایه و آورده صاحبان",IF(LEFT($A184,2)="SL","بارفروش",IF(LEFT($A184,2)="BD","باسکول دیگران",IF(LEFT($A184,1)="C","باغدار",IF(LEFT($A184,1)="S","فروشنده سبد/تأمین‌کننده",IF(LEFT($A184,1)="E","کارمند",IF(LEFT($A184,1)="X","سایر حساب",IF(LEFT($A184,1)="F","دارایی ثابت",IF(LEFT($A184,1)="L","وام و تسهیلات",""))))))))))</f>
        <v>Format(font_name='Tahoma', font_size=8.5, bold=0, italic=0, underline=0, font_color=None, num_format='General', text_h_align=3, text_v_align=2, fg_color=None, bg_color=Color(value=0xFCFAF3, type=RGB, is_automatic=False), pattern=0, locked=1, hidden=0)</v>
      </c>
      <c r="L184" s="65"/>
      <c r="M184">
        <f>IF(OR($B184="",$A184=""),"",IF(OR($B184=$K184,AND(LEFT($A184,1)="S",OR($B184="فروشنده سبد",$B184="تأمین‌کننده")),AND(LEFT($A184,2)="BD",$B184="باسکول دیگران")),"✓","⚠"))</f>
        <v>Format(font_name='Tahoma', font_size=8.5, bold=0, italic=0, underline=0, font_color=None, num_format='General', text_h_align=3, text_v_align=2, fg_color=None, bg_color=Color(value=0xFCFAF3, type=RGB, is_automatic=False), pattern=0, locked=1, hidden=0)</v>
      </c>
    </row>
    <row r="185" spans="1:13" ht="21" customHeight="1">
      <c r="A185" s="67" t="s">
        <v>622</v>
      </c>
      <c r="B185" s="64"/>
      <c r="C185" s="65"/>
      <c r="D185" s="65"/>
      <c r="E185" s="65"/>
      <c r="F185" s="65"/>
      <c r="G185" s="65"/>
      <c r="H185" s="68">
        <v>0</v>
      </c>
      <c r="I185" s="64"/>
      <c r="J185" s="64"/>
      <c r="K185">
        <f>IF($A185="","",IF(LEFT($A185,3)="CAP","سرمایه و آورده صاحبان",IF(LEFT($A185,2)="SL","بارفروش",IF(LEFT($A185,2)="BD","باسکول دیگران",IF(LEFT($A185,1)="C","باغدار",IF(LEFT($A185,1)="S","فروشنده سبد/تأمین‌کننده",IF(LEFT($A185,1)="E","کارمند",IF(LEFT($A185,1)="X","سایر حساب",IF(LEFT($A185,1)="F","دارایی ثابت",IF(LEFT($A185,1)="L","وام و تسهیلات",""))))))))))</f>
        <v>Format(font_name='Tahoma', font_size=8.5, bold=0, italic=0, underline=0, font_color=None, num_format='General', text_h_align=3, text_v_align=2, fg_color=None, bg_color=Color(value=0xFCFAF3, type=RGB, is_automatic=False), pattern=0, locked=1, hidden=0)</v>
      </c>
      <c r="L185" s="65"/>
      <c r="M185">
        <f>IF(OR($B185="",$A185=""),"",IF(OR($B185=$K185,AND(LEFT($A185,1)="S",OR($B185="فروشنده سبد",$B185="تأمین‌کننده")),AND(LEFT($A185,2)="BD",$B185="باسکول دیگران")),"✓","⚠"))</f>
        <v>Format(font_name='Tahoma', font_size=8.5, bold=0, italic=0, underline=0, font_color=None, num_format='General', text_h_align=3, text_v_align=2, fg_color=None, bg_color=Color(value=0xFCFAF3, type=RGB, is_automatic=False), pattern=0, locked=1, hidden=0)</v>
      </c>
    </row>
    <row r="186" spans="1:13" ht="21" customHeight="1">
      <c r="A186" s="67" t="s">
        <v>623</v>
      </c>
      <c r="B186" s="64"/>
      <c r="C186" s="65"/>
      <c r="D186" s="65"/>
      <c r="E186" s="65"/>
      <c r="F186" s="65"/>
      <c r="G186" s="65"/>
      <c r="H186" s="68">
        <v>0</v>
      </c>
      <c r="I186" s="64"/>
      <c r="J186" s="64"/>
      <c r="K186">
        <f>IF($A186="","",IF(LEFT($A186,3)="CAP","سرمایه و آورده صاحبان",IF(LEFT($A186,2)="SL","بارفروش",IF(LEFT($A186,2)="BD","باسکول دیگران",IF(LEFT($A186,1)="C","باغدار",IF(LEFT($A186,1)="S","فروشنده سبد/تأمین‌کننده",IF(LEFT($A186,1)="E","کارمند",IF(LEFT($A186,1)="X","سایر حساب",IF(LEFT($A186,1)="F","دارایی ثابت",IF(LEFT($A186,1)="L","وام و تسهیلات",""))))))))))</f>
        <v>Format(font_name='Tahoma', font_size=8.5, bold=0, italic=0, underline=0, font_color=None, num_format='General', text_h_align=3, text_v_align=2, fg_color=None, bg_color=Color(value=0xFCFAF3, type=RGB, is_automatic=False), pattern=0, locked=1, hidden=0)</v>
      </c>
      <c r="L186" s="65"/>
      <c r="M186">
        <f>IF(OR($B186="",$A186=""),"",IF(OR($B186=$K186,AND(LEFT($A186,1)="S",OR($B186="فروشنده سبد",$B186="تأمین‌کننده")),AND(LEFT($A186,2)="BD",$B186="باسکول دیگران")),"✓","⚠"))</f>
        <v>Format(font_name='Tahoma', font_size=8.5, bold=0, italic=0, underline=0, font_color=None, num_format='General', text_h_align=3, text_v_align=2, fg_color=None, bg_color=Color(value=0xFCFAF3, type=RGB, is_automatic=False), pattern=0, locked=1, hidden=0)</v>
      </c>
    </row>
    <row r="187" spans="1:13" ht="21" customHeight="1">
      <c r="A187" s="67" t="s">
        <v>624</v>
      </c>
      <c r="B187" s="64"/>
      <c r="C187" s="65"/>
      <c r="D187" s="65"/>
      <c r="E187" s="65"/>
      <c r="F187" s="65"/>
      <c r="G187" s="65"/>
      <c r="H187" s="68">
        <v>0</v>
      </c>
      <c r="I187" s="64"/>
      <c r="J187" s="64"/>
      <c r="K187">
        <f>IF($A187="","",IF(LEFT($A187,3)="CAP","سرمایه و آورده صاحبان",IF(LEFT($A187,2)="SL","بارفروش",IF(LEFT($A187,2)="BD","باسکول دیگران",IF(LEFT($A187,1)="C","باغدار",IF(LEFT($A187,1)="S","فروشنده سبد/تأمین‌کننده",IF(LEFT($A187,1)="E","کارمند",IF(LEFT($A187,1)="X","سایر حساب",IF(LEFT($A187,1)="F","دارایی ثابت",IF(LEFT($A187,1)="L","وام و تسهیلات",""))))))))))</f>
        <v>Format(font_name='Tahoma', font_size=8.5, bold=0, italic=0, underline=0, font_color=None, num_format='General', text_h_align=3, text_v_align=2, fg_color=None, bg_color=Color(value=0xFCFAF3, type=RGB, is_automatic=False), pattern=0, locked=1, hidden=0)</v>
      </c>
      <c r="L187" s="65"/>
      <c r="M187">
        <f>IF(OR($B187="",$A187=""),"",IF(OR($B187=$K187,AND(LEFT($A187,1)="S",OR($B187="فروشنده سبد",$B187="تأمین‌کننده")),AND(LEFT($A187,2)="BD",$B187="باسکول دیگران")),"✓","⚠"))</f>
        <v>Format(font_name='Tahoma', font_size=8.5, bold=0, italic=0, underline=0, font_color=None, num_format='General', text_h_align=3, text_v_align=2, fg_color=None, bg_color=Color(value=0xFCFAF3, type=RGB, is_automatic=False), pattern=0, locked=1, hidden=0)</v>
      </c>
    </row>
    <row r="188" spans="1:13" ht="21" customHeight="1">
      <c r="A188" s="67" t="s">
        <v>625</v>
      </c>
      <c r="B188" s="64"/>
      <c r="C188" s="65"/>
      <c r="D188" s="65"/>
      <c r="E188" s="65"/>
      <c r="F188" s="65"/>
      <c r="G188" s="65"/>
      <c r="H188" s="68">
        <v>0</v>
      </c>
      <c r="I188" s="64"/>
      <c r="J188" s="64"/>
      <c r="K188">
        <f>IF($A188="","",IF(LEFT($A188,3)="CAP","سرمایه و آورده صاحبان",IF(LEFT($A188,2)="SL","بارفروش",IF(LEFT($A188,2)="BD","باسکول دیگران",IF(LEFT($A188,1)="C","باغدار",IF(LEFT($A188,1)="S","فروشنده سبد/تأمین‌کننده",IF(LEFT($A188,1)="E","کارمند",IF(LEFT($A188,1)="X","سایر حساب",IF(LEFT($A188,1)="F","دارایی ثابت",IF(LEFT($A188,1)="L","وام و تسهیلات",""))))))))))</f>
        <v>Format(font_name='Tahoma', font_size=8.5, bold=0, italic=0, underline=0, font_color=None, num_format='General', text_h_align=3, text_v_align=2, fg_color=None, bg_color=Color(value=0xFCFAF3, type=RGB, is_automatic=False), pattern=0, locked=1, hidden=0)</v>
      </c>
      <c r="L188" s="65"/>
      <c r="M188">
        <f>IF(OR($B188="",$A188=""),"",IF(OR($B188=$K188,AND(LEFT($A188,1)="S",OR($B188="فروشنده سبد",$B188="تأمین‌کننده")),AND(LEFT($A188,2)="BD",$B188="باسکول دیگران")),"✓","⚠"))</f>
        <v>Format(font_name='Tahoma', font_size=8.5, bold=0, italic=0, underline=0, font_color=None, num_format='General', text_h_align=3, text_v_align=2, fg_color=None, bg_color=Color(value=0xFCFAF3, type=RGB, is_automatic=False), pattern=0, locked=1, hidden=0)</v>
      </c>
    </row>
    <row r="189" spans="1:13" ht="21" customHeight="1">
      <c r="A189" s="67" t="s">
        <v>626</v>
      </c>
      <c r="B189" s="64"/>
      <c r="C189" s="65"/>
      <c r="D189" s="65"/>
      <c r="E189" s="65"/>
      <c r="F189" s="65"/>
      <c r="G189" s="65"/>
      <c r="H189" s="68">
        <v>0</v>
      </c>
      <c r="I189" s="64"/>
      <c r="J189" s="64"/>
      <c r="K189">
        <f>IF($A189="","",IF(LEFT($A189,3)="CAP","سرمایه و آورده صاحبان",IF(LEFT($A189,2)="SL","بارفروش",IF(LEFT($A189,2)="BD","باسکول دیگران",IF(LEFT($A189,1)="C","باغدار",IF(LEFT($A189,1)="S","فروشنده سبد/تأمین‌کننده",IF(LEFT($A189,1)="E","کارمند",IF(LEFT($A189,1)="X","سایر حساب",IF(LEFT($A189,1)="F","دارایی ثابت",IF(LEFT($A189,1)="L","وام و تسهیلات",""))))))))))</f>
        <v>Format(font_name='Tahoma', font_size=8.5, bold=0, italic=0, underline=0, font_color=None, num_format='General', text_h_align=3, text_v_align=2, fg_color=None, bg_color=Color(value=0xFCFAF3, type=RGB, is_automatic=False), pattern=0, locked=1, hidden=0)</v>
      </c>
      <c r="L189" s="65"/>
      <c r="M189">
        <f>IF(OR($B189="",$A189=""),"",IF(OR($B189=$K189,AND(LEFT($A189,1)="S",OR($B189="فروشنده سبد",$B189="تأمین‌کننده")),AND(LEFT($A189,2)="BD",$B189="باسکول دیگران")),"✓","⚠"))</f>
        <v>Format(font_name='Tahoma', font_size=8.5, bold=0, italic=0, underline=0, font_color=None, num_format='General', text_h_align=3, text_v_align=2, fg_color=None, bg_color=Color(value=0xFCFAF3, type=RGB, is_automatic=False), pattern=0, locked=1, hidden=0)</v>
      </c>
    </row>
    <row r="190" spans="1:13" ht="21" customHeight="1">
      <c r="A190" s="67" t="s">
        <v>627</v>
      </c>
      <c r="B190" s="64"/>
      <c r="C190" s="65"/>
      <c r="D190" s="65"/>
      <c r="E190" s="65"/>
      <c r="F190" s="65"/>
      <c r="G190" s="65"/>
      <c r="H190" s="68">
        <v>0</v>
      </c>
      <c r="I190" s="64"/>
      <c r="J190" s="64"/>
      <c r="K190">
        <f>IF($A190="","",IF(LEFT($A190,3)="CAP","سرمایه و آورده صاحبان",IF(LEFT($A190,2)="SL","بارفروش",IF(LEFT($A190,2)="BD","باسکول دیگران",IF(LEFT($A190,1)="C","باغدار",IF(LEFT($A190,1)="S","فروشنده سبد/تأمین‌کننده",IF(LEFT($A190,1)="E","کارمند",IF(LEFT($A190,1)="X","سایر حساب",IF(LEFT($A190,1)="F","دارایی ثابت",IF(LEFT($A190,1)="L","وام و تسهیلات",""))))))))))</f>
        <v>Format(font_name='Tahoma', font_size=8.5, bold=0, italic=0, underline=0, font_color=None, num_format='General', text_h_align=3, text_v_align=2, fg_color=None, bg_color=Color(value=0xFCFAF3, type=RGB, is_automatic=False), pattern=0, locked=1, hidden=0)</v>
      </c>
      <c r="L190" s="65"/>
      <c r="M190">
        <f>IF(OR($B190="",$A190=""),"",IF(OR($B190=$K190,AND(LEFT($A190,1)="S",OR($B190="فروشنده سبد",$B190="تأمین‌کننده")),AND(LEFT($A190,2)="BD",$B190="باسکول دیگران")),"✓","⚠"))</f>
        <v>Format(font_name='Tahoma', font_size=8.5, bold=0, italic=0, underline=0, font_color=None, num_format='General', text_h_align=3, text_v_align=2, fg_color=None, bg_color=Color(value=0xFCFAF3, type=RGB, is_automatic=False), pattern=0, locked=1, hidden=0)</v>
      </c>
    </row>
    <row r="191" spans="1:13" ht="21" customHeight="1">
      <c r="A191" s="67" t="s">
        <v>628</v>
      </c>
      <c r="B191" s="64"/>
      <c r="C191" s="65"/>
      <c r="D191" s="65"/>
      <c r="E191" s="65"/>
      <c r="F191" s="65"/>
      <c r="G191" s="65"/>
      <c r="H191" s="68">
        <v>0</v>
      </c>
      <c r="I191" s="64"/>
      <c r="J191" s="64"/>
      <c r="K191">
        <f>IF($A191="","",IF(LEFT($A191,3)="CAP","سرمایه و آورده صاحبان",IF(LEFT($A191,2)="SL","بارفروش",IF(LEFT($A191,2)="BD","باسکول دیگران",IF(LEFT($A191,1)="C","باغدار",IF(LEFT($A191,1)="S","فروشنده سبد/تأمین‌کننده",IF(LEFT($A191,1)="E","کارمند",IF(LEFT($A191,1)="X","سایر حساب",IF(LEFT($A191,1)="F","دارایی ثابت",IF(LEFT($A191,1)="L","وام و تسهیلات",""))))))))))</f>
        <v>Format(font_name='Tahoma', font_size=8.5, bold=0, italic=0, underline=0, font_color=None, num_format='General', text_h_align=3, text_v_align=2, fg_color=None, bg_color=Color(value=0xFCFAF3, type=RGB, is_automatic=False), pattern=0, locked=1, hidden=0)</v>
      </c>
      <c r="L191" s="65"/>
      <c r="M191">
        <f>IF(OR($B191="",$A191=""),"",IF(OR($B191=$K191,AND(LEFT($A191,1)="S",OR($B191="فروشنده سبد",$B191="تأمین‌کننده")),AND(LEFT($A191,2)="BD",$B191="باسکول دیگران")),"✓","⚠"))</f>
        <v>Format(font_name='Tahoma', font_size=8.5, bold=0, italic=0, underline=0, font_color=None, num_format='General', text_h_align=3, text_v_align=2, fg_color=None, bg_color=Color(value=0xFCFAF3, type=RGB, is_automatic=False), pattern=0, locked=1, hidden=0)</v>
      </c>
    </row>
    <row r="192" spans="1:13" ht="21" customHeight="1">
      <c r="A192" s="67" t="s">
        <v>629</v>
      </c>
      <c r="B192" s="64"/>
      <c r="C192" s="65"/>
      <c r="D192" s="65"/>
      <c r="E192" s="65"/>
      <c r="F192" s="65"/>
      <c r="G192" s="65"/>
      <c r="H192" s="68">
        <v>0</v>
      </c>
      <c r="I192" s="64"/>
      <c r="J192" s="64"/>
      <c r="K192">
        <f>IF($A192="","",IF(LEFT($A192,3)="CAP","سرمایه و آورده صاحبان",IF(LEFT($A192,2)="SL","بارفروش",IF(LEFT($A192,2)="BD","باسکول دیگران",IF(LEFT($A192,1)="C","باغدار",IF(LEFT($A192,1)="S","فروشنده سبد/تأمین‌کننده",IF(LEFT($A192,1)="E","کارمند",IF(LEFT($A192,1)="X","سایر حساب",IF(LEFT($A192,1)="F","دارایی ثابت",IF(LEFT($A192,1)="L","وام و تسهیلات",""))))))))))</f>
        <v>Format(font_name='Tahoma', font_size=8.5, bold=0, italic=0, underline=0, font_color=None, num_format='General', text_h_align=3, text_v_align=2, fg_color=None, bg_color=Color(value=0xFCFAF3, type=RGB, is_automatic=False), pattern=0, locked=1, hidden=0)</v>
      </c>
      <c r="L192" s="65"/>
      <c r="M192">
        <f>IF(OR($B192="",$A192=""),"",IF(OR($B192=$K192,AND(LEFT($A192,1)="S",OR($B192="فروشنده سبد",$B192="تأمین‌کننده")),AND(LEFT($A192,2)="BD",$B192="باسکول دیگران")),"✓","⚠"))</f>
        <v>Format(font_name='Tahoma', font_size=8.5, bold=0, italic=0, underline=0, font_color=None, num_format='General', text_h_align=3, text_v_align=2, fg_color=None, bg_color=Color(value=0xFCFAF3, type=RGB, is_automatic=False), pattern=0, locked=1, hidden=0)</v>
      </c>
    </row>
    <row r="193" spans="1:13" ht="21" customHeight="1">
      <c r="A193" s="67" t="s">
        <v>630</v>
      </c>
      <c r="B193" s="64"/>
      <c r="C193" s="65"/>
      <c r="D193" s="65"/>
      <c r="E193" s="65"/>
      <c r="F193" s="65"/>
      <c r="G193" s="65"/>
      <c r="H193" s="68">
        <v>0</v>
      </c>
      <c r="I193" s="64"/>
      <c r="J193" s="64"/>
      <c r="K193">
        <f>IF($A193="","",IF(LEFT($A193,3)="CAP","سرمایه و آورده صاحبان",IF(LEFT($A193,2)="SL","بارفروش",IF(LEFT($A193,2)="BD","باسکول دیگران",IF(LEFT($A193,1)="C","باغدار",IF(LEFT($A193,1)="S","فروشنده سبد/تأمین‌کننده",IF(LEFT($A193,1)="E","کارمند",IF(LEFT($A193,1)="X","سایر حساب",IF(LEFT($A193,1)="F","دارایی ثابت",IF(LEFT($A193,1)="L","وام و تسهیلات",""))))))))))</f>
        <v>Format(font_name='Tahoma', font_size=8.5, bold=0, italic=0, underline=0, font_color=None, num_format='General', text_h_align=3, text_v_align=2, fg_color=None, bg_color=Color(value=0xFCFAF3, type=RGB, is_automatic=False), pattern=0, locked=1, hidden=0)</v>
      </c>
      <c r="L193" s="65"/>
      <c r="M193">
        <f>IF(OR($B193="",$A193=""),"",IF(OR($B193=$K193,AND(LEFT($A193,1)="S",OR($B193="فروشنده سبد",$B193="تأمین‌کننده")),AND(LEFT($A193,2)="BD",$B193="باسکول دیگران")),"✓","⚠"))</f>
        <v>Format(font_name='Tahoma', font_size=8.5, bold=0, italic=0, underline=0, font_color=None, num_format='General', text_h_align=3, text_v_align=2, fg_color=None, bg_color=Color(value=0xFCFAF3, type=RGB, is_automatic=False), pattern=0, locked=1, hidden=0)</v>
      </c>
    </row>
    <row r="194" spans="1:13" ht="21" customHeight="1">
      <c r="A194" s="67" t="s">
        <v>631</v>
      </c>
      <c r="B194" s="64"/>
      <c r="C194" s="65"/>
      <c r="D194" s="65"/>
      <c r="E194" s="65"/>
      <c r="F194" s="65"/>
      <c r="G194" s="65"/>
      <c r="H194" s="68">
        <v>0</v>
      </c>
      <c r="I194" s="64"/>
      <c r="J194" s="64"/>
      <c r="K194">
        <f>IF($A194="","",IF(LEFT($A194,3)="CAP","سرمایه و آورده صاحبان",IF(LEFT($A194,2)="SL","بارفروش",IF(LEFT($A194,2)="BD","باسکول دیگران",IF(LEFT($A194,1)="C","باغدار",IF(LEFT($A194,1)="S","فروشنده سبد/تأمین‌کننده",IF(LEFT($A194,1)="E","کارمند",IF(LEFT($A194,1)="X","سایر حساب",IF(LEFT($A194,1)="F","دارایی ثابت",IF(LEFT($A194,1)="L","وام و تسهیلات",""))))))))))</f>
        <v>Format(font_name='Tahoma', font_size=8.5, bold=0, italic=0, underline=0, font_color=None, num_format='General', text_h_align=3, text_v_align=2, fg_color=None, bg_color=Color(value=0xFCFAF3, type=RGB, is_automatic=False), pattern=0, locked=1, hidden=0)</v>
      </c>
      <c r="L194" s="65"/>
      <c r="M194">
        <f>IF(OR($B194="",$A194=""),"",IF(OR($B194=$K194,AND(LEFT($A194,1)="S",OR($B194="فروشنده سبد",$B194="تأمین‌کننده")),AND(LEFT($A194,2)="BD",$B194="باسکول دیگران")),"✓","⚠"))</f>
        <v>Format(font_name='Tahoma', font_size=8.5, bold=0, italic=0, underline=0, font_color=None, num_format='General', text_h_align=3, text_v_align=2, fg_color=None, bg_color=Color(value=0xFCFAF3, type=RGB, is_automatic=False), pattern=0, locked=1, hidden=0)</v>
      </c>
    </row>
    <row r="195" spans="1:13" ht="21" customHeight="1">
      <c r="A195" s="67" t="s">
        <v>632</v>
      </c>
      <c r="B195" s="64"/>
      <c r="C195" s="65"/>
      <c r="D195" s="65"/>
      <c r="E195" s="65"/>
      <c r="F195" s="65"/>
      <c r="G195" s="65"/>
      <c r="H195" s="68">
        <v>0</v>
      </c>
      <c r="I195" s="64"/>
      <c r="J195" s="64"/>
      <c r="K195">
        <f>IF($A195="","",IF(LEFT($A195,3)="CAP","سرمایه و آورده صاحبان",IF(LEFT($A195,2)="SL","بارفروش",IF(LEFT($A195,2)="BD","باسکول دیگران",IF(LEFT($A195,1)="C","باغدار",IF(LEFT($A195,1)="S","فروشنده سبد/تأمین‌کننده",IF(LEFT($A195,1)="E","کارمند",IF(LEFT($A195,1)="X","سایر حساب",IF(LEFT($A195,1)="F","دارایی ثابت",IF(LEFT($A195,1)="L","وام و تسهیلات",""))))))))))</f>
        <v>Format(font_name='Tahoma', font_size=8.5, bold=0, italic=0, underline=0, font_color=None, num_format='General', text_h_align=3, text_v_align=2, fg_color=None, bg_color=Color(value=0xFCFAF3, type=RGB, is_automatic=False), pattern=0, locked=1, hidden=0)</v>
      </c>
      <c r="L195" s="65"/>
      <c r="M195">
        <f>IF(OR($B195="",$A195=""),"",IF(OR($B195=$K195,AND(LEFT($A195,1)="S",OR($B195="فروشنده سبد",$B195="تأمین‌کننده")),AND(LEFT($A195,2)="BD",$B195="باسکول دیگران")),"✓","⚠"))</f>
        <v>Format(font_name='Tahoma', font_size=8.5, bold=0, italic=0, underline=0, font_color=None, num_format='General', text_h_align=3, text_v_align=2, fg_color=None, bg_color=Color(value=0xFCFAF3, type=RGB, is_automatic=False), pattern=0, locked=1, hidden=0)</v>
      </c>
    </row>
    <row r="196" spans="1:13" ht="21" customHeight="1">
      <c r="A196" s="67" t="s">
        <v>633</v>
      </c>
      <c r="B196" s="64"/>
      <c r="C196" s="65"/>
      <c r="D196" s="65"/>
      <c r="E196" s="65"/>
      <c r="F196" s="65"/>
      <c r="G196" s="65"/>
      <c r="H196" s="68">
        <v>0</v>
      </c>
      <c r="I196" s="64"/>
      <c r="J196" s="64"/>
      <c r="K196">
        <f>IF($A196="","",IF(LEFT($A196,3)="CAP","سرمایه و آورده صاحبان",IF(LEFT($A196,2)="SL","بارفروش",IF(LEFT($A196,2)="BD","باسکول دیگران",IF(LEFT($A196,1)="C","باغدار",IF(LEFT($A196,1)="S","فروشنده سبد/تأمین‌کننده",IF(LEFT($A196,1)="E","کارمند",IF(LEFT($A196,1)="X","سایر حساب",IF(LEFT($A196,1)="F","دارایی ثابت",IF(LEFT($A196,1)="L","وام و تسهیلات",""))))))))))</f>
        <v>Format(font_name='Tahoma', font_size=8.5, bold=0, italic=0, underline=0, font_color=None, num_format='General', text_h_align=3, text_v_align=2, fg_color=None, bg_color=Color(value=0xFCFAF3, type=RGB, is_automatic=False), pattern=0, locked=1, hidden=0)</v>
      </c>
      <c r="L196" s="65"/>
      <c r="M196">
        <f>IF(OR($B196="",$A196=""),"",IF(OR($B196=$K196,AND(LEFT($A196,1)="S",OR($B196="فروشنده سبد",$B196="تأمین‌کننده")),AND(LEFT($A196,2)="BD",$B196="باسکول دیگران")),"✓","⚠"))</f>
        <v>Format(font_name='Tahoma', font_size=8.5, bold=0, italic=0, underline=0, font_color=None, num_format='General', text_h_align=3, text_v_align=2, fg_color=None, bg_color=Color(value=0xFCFAF3, type=RGB, is_automatic=False), pattern=0, locked=1, hidden=0)</v>
      </c>
    </row>
    <row r="197" spans="1:13" ht="21" customHeight="1">
      <c r="A197" s="67" t="s">
        <v>634</v>
      </c>
      <c r="B197" s="64"/>
      <c r="C197" s="65"/>
      <c r="D197" s="65"/>
      <c r="E197" s="65"/>
      <c r="F197" s="65"/>
      <c r="G197" s="65"/>
      <c r="H197" s="68">
        <v>0</v>
      </c>
      <c r="I197" s="64"/>
      <c r="J197" s="64"/>
      <c r="K197">
        <f>IF($A197="","",IF(LEFT($A197,3)="CAP","سرمایه و آورده صاحبان",IF(LEFT($A197,2)="SL","بارفروش",IF(LEFT($A197,2)="BD","باسکول دیگران",IF(LEFT($A197,1)="C","باغدار",IF(LEFT($A197,1)="S","فروشنده سبد/تأمین‌کننده",IF(LEFT($A197,1)="E","کارمند",IF(LEFT($A197,1)="X","سایر حساب",IF(LEFT($A197,1)="F","دارایی ثابت",IF(LEFT($A197,1)="L","وام و تسهیلات",""))))))))))</f>
        <v>Format(font_name='Tahoma', font_size=8.5, bold=0, italic=0, underline=0, font_color=None, num_format='General', text_h_align=3, text_v_align=2, fg_color=None, bg_color=Color(value=0xFCFAF3, type=RGB, is_automatic=False), pattern=0, locked=1, hidden=0)</v>
      </c>
      <c r="L197" s="65"/>
      <c r="M197">
        <f>IF(OR($B197="",$A197=""),"",IF(OR($B197=$K197,AND(LEFT($A197,1)="S",OR($B197="فروشنده سبد",$B197="تأمین‌کننده")),AND(LEFT($A197,2)="BD",$B197="باسکول دیگران")),"✓","⚠"))</f>
        <v>Format(font_name='Tahoma', font_size=8.5, bold=0, italic=0, underline=0, font_color=None, num_format='General', text_h_align=3, text_v_align=2, fg_color=None, bg_color=Color(value=0xFCFAF3, type=RGB, is_automatic=False), pattern=0, locked=1, hidden=0)</v>
      </c>
    </row>
    <row r="198" spans="1:13" ht="21" customHeight="1">
      <c r="A198" s="67" t="s">
        <v>635</v>
      </c>
      <c r="B198" s="64"/>
      <c r="C198" s="65"/>
      <c r="D198" s="65"/>
      <c r="E198" s="65"/>
      <c r="F198" s="65"/>
      <c r="G198" s="65"/>
      <c r="H198" s="68">
        <v>0</v>
      </c>
      <c r="I198" s="64"/>
      <c r="J198" s="64"/>
      <c r="K198">
        <f>IF($A198="","",IF(LEFT($A198,3)="CAP","سرمایه و آورده صاحبان",IF(LEFT($A198,2)="SL","بارفروش",IF(LEFT($A198,2)="BD","باسکول دیگران",IF(LEFT($A198,1)="C","باغدار",IF(LEFT($A198,1)="S","فروشنده سبد/تأمین‌کننده",IF(LEFT($A198,1)="E","کارمند",IF(LEFT($A198,1)="X","سایر حساب",IF(LEFT($A198,1)="F","دارایی ثابت",IF(LEFT($A198,1)="L","وام و تسهیلات",""))))))))))</f>
        <v>Format(font_name='Tahoma', font_size=8.5, bold=0, italic=0, underline=0, font_color=None, num_format='General', text_h_align=3, text_v_align=2, fg_color=None, bg_color=Color(value=0xFCFAF3, type=RGB, is_automatic=False), pattern=0, locked=1, hidden=0)</v>
      </c>
      <c r="L198" s="65"/>
      <c r="M198">
        <f>IF(OR($B198="",$A198=""),"",IF(OR($B198=$K198,AND(LEFT($A198,1)="S",OR($B198="فروشنده سبد",$B198="تأمین‌کننده")),AND(LEFT($A198,2)="BD",$B198="باسکول دیگران")),"✓","⚠"))</f>
        <v>Format(font_name='Tahoma', font_size=8.5, bold=0, italic=0, underline=0, font_color=None, num_format='General', text_h_align=3, text_v_align=2, fg_color=None, bg_color=Color(value=0xFCFAF3, type=RGB, is_automatic=False), pattern=0, locked=1, hidden=0)</v>
      </c>
    </row>
    <row r="199" spans="1:13" ht="21" customHeight="1">
      <c r="A199" s="67" t="s">
        <v>636</v>
      </c>
      <c r="B199" s="64"/>
      <c r="C199" s="65"/>
      <c r="D199" s="65"/>
      <c r="E199" s="65"/>
      <c r="F199" s="65"/>
      <c r="G199" s="65"/>
      <c r="H199" s="68">
        <v>0</v>
      </c>
      <c r="I199" s="64"/>
      <c r="J199" s="64"/>
      <c r="K199">
        <f>IF($A199="","",IF(LEFT($A199,3)="CAP","سرمایه و آورده صاحبان",IF(LEFT($A199,2)="SL","بارفروش",IF(LEFT($A199,2)="BD","باسکول دیگران",IF(LEFT($A199,1)="C","باغدار",IF(LEFT($A199,1)="S","فروشنده سبد/تأمین‌کننده",IF(LEFT($A199,1)="E","کارمند",IF(LEFT($A199,1)="X","سایر حساب",IF(LEFT($A199,1)="F","دارایی ثابت",IF(LEFT($A199,1)="L","وام و تسهیلات",""))))))))))</f>
        <v>Format(font_name='Tahoma', font_size=8.5, bold=0, italic=0, underline=0, font_color=None, num_format='General', text_h_align=3, text_v_align=2, fg_color=None, bg_color=Color(value=0xFCFAF3, type=RGB, is_automatic=False), pattern=0, locked=1, hidden=0)</v>
      </c>
      <c r="L199" s="65"/>
      <c r="M199">
        <f>IF(OR($B199="",$A199=""),"",IF(OR($B199=$K199,AND(LEFT($A199,1)="S",OR($B199="فروشنده سبد",$B199="تأمین‌کننده")),AND(LEFT($A199,2)="BD",$B199="باسکول دیگران")),"✓","⚠"))</f>
        <v>Format(font_name='Tahoma', font_size=8.5, bold=0, italic=0, underline=0, font_color=None, num_format='General', text_h_align=3, text_v_align=2, fg_color=None, bg_color=Color(value=0xFCFAF3, type=RGB, is_automatic=False), pattern=0, locked=1, hidden=0)</v>
      </c>
    </row>
    <row r="200" spans="1:13" ht="21" customHeight="1">
      <c r="A200" s="67" t="s">
        <v>637</v>
      </c>
      <c r="B200" s="64"/>
      <c r="C200" s="65"/>
      <c r="D200" s="65"/>
      <c r="E200" s="65"/>
      <c r="F200" s="65"/>
      <c r="G200" s="65"/>
      <c r="H200" s="68">
        <v>0</v>
      </c>
      <c r="I200" s="64"/>
      <c r="J200" s="64"/>
      <c r="K200">
        <f>IF($A200="","",IF(LEFT($A200,3)="CAP","سرمایه و آورده صاحبان",IF(LEFT($A200,2)="SL","بارفروش",IF(LEFT($A200,2)="BD","باسکول دیگران",IF(LEFT($A200,1)="C","باغدار",IF(LEFT($A200,1)="S","فروشنده سبد/تأمین‌کننده",IF(LEFT($A200,1)="E","کارمند",IF(LEFT($A200,1)="X","سایر حساب",IF(LEFT($A200,1)="F","دارایی ثابت",IF(LEFT($A200,1)="L","وام و تسهیلات",""))))))))))</f>
        <v>Format(font_name='Tahoma', font_size=8.5, bold=0, italic=0, underline=0, font_color=None, num_format='General', text_h_align=3, text_v_align=2, fg_color=None, bg_color=Color(value=0xFCFAF3, type=RGB, is_automatic=False), pattern=0, locked=1, hidden=0)</v>
      </c>
      <c r="L200" s="65"/>
      <c r="M200">
        <f>IF(OR($B200="",$A200=""),"",IF(OR($B200=$K200,AND(LEFT($A200,1)="S",OR($B200="فروشنده سبد",$B200="تأمین‌کننده")),AND(LEFT($A200,2)="BD",$B200="باسکول دیگران")),"✓","⚠"))</f>
        <v>Format(font_name='Tahoma', font_size=8.5, bold=0, italic=0, underline=0, font_color=None, num_format='General', text_h_align=3, text_v_align=2, fg_color=None, bg_color=Color(value=0xFCFAF3, type=RGB, is_automatic=False), pattern=0, locked=1, hidden=0)</v>
      </c>
    </row>
    <row r="201" spans="1:13" ht="21" customHeight="1">
      <c r="A201" s="67" t="s">
        <v>638</v>
      </c>
      <c r="B201" s="64"/>
      <c r="C201" s="65"/>
      <c r="D201" s="65"/>
      <c r="E201" s="65"/>
      <c r="F201" s="65"/>
      <c r="G201" s="65"/>
      <c r="H201" s="68">
        <v>0</v>
      </c>
      <c r="I201" s="64"/>
      <c r="J201" s="64"/>
      <c r="K201">
        <f>IF($A201="","",IF(LEFT($A201,3)="CAP","سرمایه و آورده صاحبان",IF(LEFT($A201,2)="SL","بارفروش",IF(LEFT($A201,2)="BD","باسکول دیگران",IF(LEFT($A201,1)="C","باغدار",IF(LEFT($A201,1)="S","فروشنده سبد/تأمین‌کننده",IF(LEFT($A201,1)="E","کارمند",IF(LEFT($A201,1)="X","سایر حساب",IF(LEFT($A201,1)="F","دارایی ثابت",IF(LEFT($A201,1)="L","وام و تسهیلات",""))))))))))</f>
        <v>Format(font_name='Tahoma', font_size=8.5, bold=0, italic=0, underline=0, font_color=None, num_format='General', text_h_align=3, text_v_align=2, fg_color=None, bg_color=Color(value=0xFCFAF3, type=RGB, is_automatic=False), pattern=0, locked=1, hidden=0)</v>
      </c>
      <c r="L201" s="65"/>
      <c r="M201">
        <f>IF(OR($B201="",$A201=""),"",IF(OR($B201=$K201,AND(LEFT($A201,1)="S",OR($B201="فروشنده سبد",$B201="تأمین‌کننده")),AND(LEFT($A201,2)="BD",$B201="باسکول دیگران")),"✓","⚠"))</f>
        <v>Format(font_name='Tahoma', font_size=8.5, bold=0, italic=0, underline=0, font_color=None, num_format='General', text_h_align=3, text_v_align=2, fg_color=None, bg_color=Color(value=0xFCFAF3, type=RGB, is_automatic=False), pattern=0, locked=1, hidden=0)</v>
      </c>
    </row>
    <row r="202" spans="1:13" ht="21" customHeight="1">
      <c r="A202" s="67" t="s">
        <v>639</v>
      </c>
      <c r="B202" s="64"/>
      <c r="C202" s="65"/>
      <c r="D202" s="65"/>
      <c r="E202" s="65"/>
      <c r="F202" s="65"/>
      <c r="G202" s="65"/>
      <c r="H202" s="68">
        <v>0</v>
      </c>
      <c r="I202" s="64"/>
      <c r="J202" s="64"/>
      <c r="K202">
        <f>IF($A202="","",IF(LEFT($A202,3)="CAP","سرمایه و آورده صاحبان",IF(LEFT($A202,2)="SL","بارفروش",IF(LEFT($A202,2)="BD","باسکول دیگران",IF(LEFT($A202,1)="C","باغدار",IF(LEFT($A202,1)="S","فروشنده سبد/تأمین‌کننده",IF(LEFT($A202,1)="E","کارمند",IF(LEFT($A202,1)="X","سایر حساب",IF(LEFT($A202,1)="F","دارایی ثابت",IF(LEFT($A202,1)="L","وام و تسهیلات",""))))))))))</f>
        <v>Format(font_name='Tahoma', font_size=8.5, bold=0, italic=0, underline=0, font_color=None, num_format='General', text_h_align=3, text_v_align=2, fg_color=None, bg_color=Color(value=0xFCFAF3, type=RGB, is_automatic=False), pattern=0, locked=1, hidden=0)</v>
      </c>
      <c r="L202" s="65"/>
      <c r="M202">
        <f>IF(OR($B202="",$A202=""),"",IF(OR($B202=$K202,AND(LEFT($A202,1)="S",OR($B202="فروشنده سبد",$B202="تأمین‌کننده")),AND(LEFT($A202,2)="BD",$B202="باسکول دیگران")),"✓","⚠"))</f>
        <v>Format(font_name='Tahoma', font_size=8.5, bold=0, italic=0, underline=0, font_color=None, num_format='General', text_h_align=3, text_v_align=2, fg_color=None, bg_color=Color(value=0xFCFAF3, type=RGB, is_automatic=False), pattern=0, locked=1, hidden=0)</v>
      </c>
    </row>
    <row r="203" spans="1:13" ht="21" customHeight="1">
      <c r="A203" s="67" t="s">
        <v>640</v>
      </c>
      <c r="B203" s="64"/>
      <c r="C203" s="65"/>
      <c r="D203" s="65"/>
      <c r="E203" s="65"/>
      <c r="F203" s="65"/>
      <c r="G203" s="65"/>
      <c r="H203" s="68">
        <v>0</v>
      </c>
      <c r="I203" s="64"/>
      <c r="J203" s="64"/>
      <c r="K203">
        <f>IF($A203="","",IF(LEFT($A203,3)="CAP","سرمایه و آورده صاحبان",IF(LEFT($A203,2)="SL","بارفروش",IF(LEFT($A203,2)="BD","باسکول دیگران",IF(LEFT($A203,1)="C","باغدار",IF(LEFT($A203,1)="S","فروشنده سبد/تأمین‌کننده",IF(LEFT($A203,1)="E","کارمند",IF(LEFT($A203,1)="X","سایر حساب",IF(LEFT($A203,1)="F","دارایی ثابت",IF(LEFT($A203,1)="L","وام و تسهیلات",""))))))))))</f>
        <v>Format(font_name='Tahoma', font_size=8.5, bold=0, italic=0, underline=0, font_color=None, num_format='General', text_h_align=3, text_v_align=2, fg_color=None, bg_color=Color(value=0xFCFAF3, type=RGB, is_automatic=False), pattern=0, locked=1, hidden=0)</v>
      </c>
      <c r="L203" s="65"/>
      <c r="M203">
        <f>IF(OR($B203="",$A203=""),"",IF(OR($B203=$K203,AND(LEFT($A203,1)="S",OR($B203="فروشنده سبد",$B203="تأمین‌کننده")),AND(LEFT($A203,2)="BD",$B203="باسکول دیگران")),"✓","⚠"))</f>
        <v>Format(font_name='Tahoma', font_size=8.5, bold=0, italic=0, underline=0, font_color=None, num_format='General', text_h_align=3, text_v_align=2, fg_color=None, bg_color=Color(value=0xFCFAF3, type=RGB, is_automatic=False), pattern=0, locked=1, hidden=0)</v>
      </c>
    </row>
    <row r="204" spans="1:13" ht="21" customHeight="1">
      <c r="A204" s="67" t="s">
        <v>641</v>
      </c>
      <c r="B204" s="64"/>
      <c r="C204" s="65"/>
      <c r="D204" s="65"/>
      <c r="E204" s="65"/>
      <c r="F204" s="65"/>
      <c r="G204" s="65"/>
      <c r="H204" s="68">
        <v>0</v>
      </c>
      <c r="I204" s="64"/>
      <c r="J204" s="64"/>
      <c r="K204">
        <f>IF($A204="","",IF(LEFT($A204,3)="CAP","سرمایه و آورده صاحبان",IF(LEFT($A204,2)="SL","بارفروش",IF(LEFT($A204,2)="BD","باسکول دیگران",IF(LEFT($A204,1)="C","باغدار",IF(LEFT($A204,1)="S","فروشنده سبد/تأمین‌کننده",IF(LEFT($A204,1)="E","کارمند",IF(LEFT($A204,1)="X","سایر حساب",IF(LEFT($A204,1)="F","دارایی ثابت",IF(LEFT($A204,1)="L","وام و تسهیلات",""))))))))))</f>
        <v>Format(font_name='Tahoma', font_size=8.5, bold=0, italic=0, underline=0, font_color=None, num_format='General', text_h_align=3, text_v_align=2, fg_color=None, bg_color=Color(value=0xFCFAF3, type=RGB, is_automatic=False), pattern=0, locked=1, hidden=0)</v>
      </c>
      <c r="L204" s="65"/>
      <c r="M204">
        <f>IF(OR($B204="",$A204=""),"",IF(OR($B204=$K204,AND(LEFT($A204,1)="S",OR($B204="فروشنده سبد",$B204="تأمین‌کننده")),AND(LEFT($A204,2)="BD",$B204="باسکول دیگران")),"✓","⚠"))</f>
        <v>Format(font_name='Tahoma', font_size=8.5, bold=0, italic=0, underline=0, font_color=None, num_format='General', text_h_align=3, text_v_align=2, fg_color=None, bg_color=Color(value=0xFCFAF3, type=RGB, is_automatic=False), pattern=0, locked=1, hidden=0)</v>
      </c>
    </row>
    <row r="205" spans="1:13" ht="21" customHeight="1">
      <c r="A205" s="67" t="s">
        <v>642</v>
      </c>
      <c r="B205" s="64"/>
      <c r="C205" s="65"/>
      <c r="D205" s="65"/>
      <c r="E205" s="65"/>
      <c r="F205" s="65"/>
      <c r="G205" s="65"/>
      <c r="H205" s="68">
        <v>0</v>
      </c>
      <c r="I205" s="64"/>
      <c r="J205" s="64"/>
      <c r="K205">
        <f>IF($A205="","",IF(LEFT($A205,3)="CAP","سرمایه و آورده صاحبان",IF(LEFT($A205,2)="SL","بارفروش",IF(LEFT($A205,2)="BD","باسکول دیگران",IF(LEFT($A205,1)="C","باغدار",IF(LEFT($A205,1)="S","فروشنده سبد/تأمین‌کننده",IF(LEFT($A205,1)="E","کارمند",IF(LEFT($A205,1)="X","سایر حساب",IF(LEFT($A205,1)="F","دارایی ثابت",IF(LEFT($A205,1)="L","وام و تسهیلات",""))))))))))</f>
        <v>Format(font_name='Tahoma', font_size=8.5, bold=0, italic=0, underline=0, font_color=None, num_format='General', text_h_align=3, text_v_align=2, fg_color=None, bg_color=Color(value=0xFCFAF3, type=RGB, is_automatic=False), pattern=0, locked=1, hidden=0)</v>
      </c>
      <c r="L205" s="65"/>
      <c r="M205">
        <f>IF(OR($B205="",$A205=""),"",IF(OR($B205=$K205,AND(LEFT($A205,1)="S",OR($B205="فروشنده سبد",$B205="تأمین‌کننده")),AND(LEFT($A205,2)="BD",$B205="باسکول دیگران")),"✓","⚠"))</f>
        <v>Format(font_name='Tahoma', font_size=8.5, bold=0, italic=0, underline=0, font_color=None, num_format='General', text_h_align=3, text_v_align=2, fg_color=None, bg_color=Color(value=0xFCFAF3, type=RGB, is_automatic=False), pattern=0, locked=1, hidden=0)</v>
      </c>
    </row>
    <row r="206" spans="1:13" ht="21" customHeight="1">
      <c r="A206" s="67" t="s">
        <v>643</v>
      </c>
      <c r="B206" s="64"/>
      <c r="C206" s="65"/>
      <c r="D206" s="65"/>
      <c r="E206" s="65"/>
      <c r="F206" s="65"/>
      <c r="G206" s="65"/>
      <c r="H206" s="68">
        <v>0</v>
      </c>
      <c r="I206" s="64"/>
      <c r="J206" s="64"/>
      <c r="K206">
        <f>IF($A206="","",IF(LEFT($A206,3)="CAP","سرمایه و آورده صاحبان",IF(LEFT($A206,2)="SL","بارفروش",IF(LEFT($A206,2)="BD","باسکول دیگران",IF(LEFT($A206,1)="C","باغدار",IF(LEFT($A206,1)="S","فروشنده سبد/تأمین‌کننده",IF(LEFT($A206,1)="E","کارمند",IF(LEFT($A206,1)="X","سایر حساب",IF(LEFT($A206,1)="F","دارایی ثابت",IF(LEFT($A206,1)="L","وام و تسهیلات",""))))))))))</f>
        <v>Format(font_name='Tahoma', font_size=8.5, bold=0, italic=0, underline=0, font_color=None, num_format='General', text_h_align=3, text_v_align=2, fg_color=None, bg_color=Color(value=0xFCFAF3, type=RGB, is_automatic=False), pattern=0, locked=1, hidden=0)</v>
      </c>
      <c r="L206" s="65"/>
      <c r="M206">
        <f>IF(OR($B206="",$A206=""),"",IF(OR($B206=$K206,AND(LEFT($A206,1)="S",OR($B206="فروشنده سبد",$B206="تأمین‌کننده")),AND(LEFT($A206,2)="BD",$B206="باسکول دیگران")),"✓","⚠"))</f>
        <v>Format(font_name='Tahoma', font_size=8.5, bold=0, italic=0, underline=0, font_color=None, num_format='General', text_h_align=3, text_v_align=2, fg_color=None, bg_color=Color(value=0xFCFAF3, type=RGB, is_automatic=False), pattern=0, locked=1, hidden=0)</v>
      </c>
    </row>
    <row r="207" spans="1:13" ht="21" customHeight="1">
      <c r="A207" s="67" t="s">
        <v>644</v>
      </c>
      <c r="B207" s="64"/>
      <c r="C207" s="65"/>
      <c r="D207" s="65"/>
      <c r="E207" s="65"/>
      <c r="F207" s="65"/>
      <c r="G207" s="65"/>
      <c r="H207" s="68">
        <v>0</v>
      </c>
      <c r="I207" s="64"/>
      <c r="J207" s="64"/>
      <c r="K207">
        <f>IF($A207="","",IF(LEFT($A207,3)="CAP","سرمایه و آورده صاحبان",IF(LEFT($A207,2)="SL","بارفروش",IF(LEFT($A207,2)="BD","باسکول دیگران",IF(LEFT($A207,1)="C","باغدار",IF(LEFT($A207,1)="S","فروشنده سبد/تأمین‌کننده",IF(LEFT($A207,1)="E","کارمند",IF(LEFT($A207,1)="X","سایر حساب",IF(LEFT($A207,1)="F","دارایی ثابت",IF(LEFT($A207,1)="L","وام و تسهیلات",""))))))))))</f>
        <v>Format(font_name='Tahoma', font_size=8.5, bold=0, italic=0, underline=0, font_color=None, num_format='General', text_h_align=3, text_v_align=2, fg_color=None, bg_color=Color(value=0xFCFAF3, type=RGB, is_automatic=False), pattern=0, locked=1, hidden=0)</v>
      </c>
      <c r="L207" s="65"/>
      <c r="M207">
        <f>IF(OR($B207="",$A207=""),"",IF(OR($B207=$K207,AND(LEFT($A207,1)="S",OR($B207="فروشنده سبد",$B207="تأمین‌کننده")),AND(LEFT($A207,2)="BD",$B207="باسکول دیگران")),"✓","⚠"))</f>
        <v>Format(font_name='Tahoma', font_size=8.5, bold=0, italic=0, underline=0, font_color=None, num_format='General', text_h_align=3, text_v_align=2, fg_color=None, bg_color=Color(value=0xFCFAF3, type=RGB, is_automatic=False), pattern=0, locked=1, hidden=0)</v>
      </c>
    </row>
    <row r="208" spans="1:13" ht="21" customHeight="1">
      <c r="A208" s="67" t="s">
        <v>645</v>
      </c>
      <c r="B208" s="64"/>
      <c r="C208" s="65"/>
      <c r="D208" s="65"/>
      <c r="E208" s="65"/>
      <c r="F208" s="65"/>
      <c r="G208" s="65"/>
      <c r="H208" s="68">
        <v>0</v>
      </c>
      <c r="I208" s="64"/>
      <c r="J208" s="64"/>
      <c r="K208">
        <f>IF($A208="","",IF(LEFT($A208,3)="CAP","سرمایه و آورده صاحبان",IF(LEFT($A208,2)="SL","بارفروش",IF(LEFT($A208,2)="BD","باسکول دیگران",IF(LEFT($A208,1)="C","باغدار",IF(LEFT($A208,1)="S","فروشنده سبد/تأمین‌کننده",IF(LEFT($A208,1)="E","کارمند",IF(LEFT($A208,1)="X","سایر حساب",IF(LEFT($A208,1)="F","دارایی ثابت",IF(LEFT($A208,1)="L","وام و تسهیلات",""))))))))))</f>
        <v>Format(font_name='Tahoma', font_size=8.5, bold=0, italic=0, underline=0, font_color=None, num_format='General', text_h_align=3, text_v_align=2, fg_color=None, bg_color=Color(value=0xFCFAF3, type=RGB, is_automatic=False), pattern=0, locked=1, hidden=0)</v>
      </c>
      <c r="L208" s="65"/>
      <c r="M208">
        <f>IF(OR($B208="",$A208=""),"",IF(OR($B208=$K208,AND(LEFT($A208,1)="S",OR($B208="فروشنده سبد",$B208="تأمین‌کننده")),AND(LEFT($A208,2)="BD",$B208="باسکول دیگران")),"✓","⚠"))</f>
        <v>Format(font_name='Tahoma', font_size=8.5, bold=0, italic=0, underline=0, font_color=None, num_format='General', text_h_align=3, text_v_align=2, fg_color=None, bg_color=Color(value=0xFCFAF3, type=RGB, is_automatic=False), pattern=0, locked=1, hidden=0)</v>
      </c>
    </row>
    <row r="209" spans="1:13" ht="21" customHeight="1">
      <c r="A209" s="67" t="s">
        <v>646</v>
      </c>
      <c r="B209" s="64"/>
      <c r="C209" s="65"/>
      <c r="D209" s="65"/>
      <c r="E209" s="65"/>
      <c r="F209" s="65"/>
      <c r="G209" s="65"/>
      <c r="H209" s="68">
        <v>0</v>
      </c>
      <c r="I209" s="64"/>
      <c r="J209" s="64"/>
      <c r="K209">
        <f>IF($A209="","",IF(LEFT($A209,3)="CAP","سرمایه و آورده صاحبان",IF(LEFT($A209,2)="SL","بارفروش",IF(LEFT($A209,2)="BD","باسکول دیگران",IF(LEFT($A209,1)="C","باغدار",IF(LEFT($A209,1)="S","فروشنده سبد/تأمین‌کننده",IF(LEFT($A209,1)="E","کارمند",IF(LEFT($A209,1)="X","سایر حساب",IF(LEFT($A209,1)="F","دارایی ثابت",IF(LEFT($A209,1)="L","وام و تسهیلات",""))))))))))</f>
        <v>Format(font_name='Tahoma', font_size=8.5, bold=0, italic=0, underline=0, font_color=None, num_format='General', text_h_align=3, text_v_align=2, fg_color=None, bg_color=Color(value=0xFCFAF3, type=RGB, is_automatic=False), pattern=0, locked=1, hidden=0)</v>
      </c>
      <c r="L209" s="65"/>
      <c r="M209">
        <f>IF(OR($B209="",$A209=""),"",IF(OR($B209=$K209,AND(LEFT($A209,1)="S",OR($B209="فروشنده سبد",$B209="تأمین‌کننده")),AND(LEFT($A209,2)="BD",$B209="باسکول دیگران")),"✓","⚠"))</f>
        <v>Format(font_name='Tahoma', font_size=8.5, bold=0, italic=0, underline=0, font_color=None, num_format='General', text_h_align=3, text_v_align=2, fg_color=None, bg_color=Color(value=0xFCFAF3, type=RGB, is_automatic=False), pattern=0, locked=1, hidden=0)</v>
      </c>
    </row>
    <row r="210" spans="1:13" ht="21" customHeight="1">
      <c r="A210" s="67" t="s">
        <v>647</v>
      </c>
      <c r="B210" s="64"/>
      <c r="C210" s="65"/>
      <c r="D210" s="65"/>
      <c r="E210" s="65"/>
      <c r="F210" s="65"/>
      <c r="G210" s="65"/>
      <c r="H210" s="68">
        <v>0</v>
      </c>
      <c r="I210" s="64"/>
      <c r="J210" s="64"/>
      <c r="K210">
        <f>IF($A210="","",IF(LEFT($A210,3)="CAP","سرمایه و آورده صاحبان",IF(LEFT($A210,2)="SL","بارفروش",IF(LEFT($A210,2)="BD","باسکول دیگران",IF(LEFT($A210,1)="C","باغدار",IF(LEFT($A210,1)="S","فروشنده سبد/تأمین‌کننده",IF(LEFT($A210,1)="E","کارمند",IF(LEFT($A210,1)="X","سایر حساب",IF(LEFT($A210,1)="F","دارایی ثابت",IF(LEFT($A210,1)="L","وام و تسهیلات",""))))))))))</f>
        <v>Format(font_name='Tahoma', font_size=8.5, bold=0, italic=0, underline=0, font_color=None, num_format='General', text_h_align=3, text_v_align=2, fg_color=None, bg_color=Color(value=0xFCFAF3, type=RGB, is_automatic=False), pattern=0, locked=1, hidden=0)</v>
      </c>
      <c r="L210" s="65"/>
      <c r="M210">
        <f>IF(OR($B210="",$A210=""),"",IF(OR($B210=$K210,AND(LEFT($A210,1)="S",OR($B210="فروشنده سبد",$B210="تأمین‌کننده")),AND(LEFT($A210,2)="BD",$B210="باسکول دیگران")),"✓","⚠"))</f>
        <v>Format(font_name='Tahoma', font_size=8.5, bold=0, italic=0, underline=0, font_color=None, num_format='General', text_h_align=3, text_v_align=2, fg_color=None, bg_color=Color(value=0xFCFAF3, type=RGB, is_automatic=False), pattern=0, locked=1, hidden=0)</v>
      </c>
    </row>
    <row r="211" spans="1:13" ht="21" customHeight="1">
      <c r="A211" s="67" t="s">
        <v>648</v>
      </c>
      <c r="B211" s="64"/>
      <c r="C211" s="65"/>
      <c r="D211" s="65"/>
      <c r="E211" s="65"/>
      <c r="F211" s="65"/>
      <c r="G211" s="65"/>
      <c r="H211" s="68">
        <v>0</v>
      </c>
      <c r="I211" s="64"/>
      <c r="J211" s="64"/>
      <c r="K211">
        <f>IF($A211="","",IF(LEFT($A211,3)="CAP","سرمایه و آورده صاحبان",IF(LEFT($A211,2)="SL","بارفروش",IF(LEFT($A211,2)="BD","باسکول دیگران",IF(LEFT($A211,1)="C","باغدار",IF(LEFT($A211,1)="S","فروشنده سبد/تأمین‌کننده",IF(LEFT($A211,1)="E","کارمند",IF(LEFT($A211,1)="X","سایر حساب",IF(LEFT($A211,1)="F","دارایی ثابت",IF(LEFT($A211,1)="L","وام و تسهیلات",""))))))))))</f>
        <v>Format(font_name='Tahoma', font_size=8.5, bold=0, italic=0, underline=0, font_color=None, num_format='General', text_h_align=3, text_v_align=2, fg_color=None, bg_color=Color(value=0xFCFAF3, type=RGB, is_automatic=False), pattern=0, locked=1, hidden=0)</v>
      </c>
      <c r="L211" s="65"/>
      <c r="M211">
        <f>IF(OR($B211="",$A211=""),"",IF(OR($B211=$K211,AND(LEFT($A211,1)="S",OR($B211="فروشنده سبد",$B211="تأمین‌کننده")),AND(LEFT($A211,2)="BD",$B211="باسکول دیگران")),"✓","⚠"))</f>
        <v>Format(font_name='Tahoma', font_size=8.5, bold=0, italic=0, underline=0, font_color=None, num_format='General', text_h_align=3, text_v_align=2, fg_color=None, bg_color=Color(value=0xFCFAF3, type=RGB, is_automatic=False), pattern=0, locked=1, hidden=0)</v>
      </c>
    </row>
    <row r="212" spans="1:13" ht="21" customHeight="1">
      <c r="A212" s="67" t="s">
        <v>649</v>
      </c>
      <c r="B212" s="64"/>
      <c r="C212" s="65"/>
      <c r="D212" s="65"/>
      <c r="E212" s="65"/>
      <c r="F212" s="65"/>
      <c r="G212" s="65"/>
      <c r="H212" s="68">
        <v>0</v>
      </c>
      <c r="I212" s="64"/>
      <c r="J212" s="64"/>
      <c r="K212">
        <f>IF($A212="","",IF(LEFT($A212,3)="CAP","سرمایه و آورده صاحبان",IF(LEFT($A212,2)="SL","بارفروش",IF(LEFT($A212,2)="BD","باسکول دیگران",IF(LEFT($A212,1)="C","باغدار",IF(LEFT($A212,1)="S","فروشنده سبد/تأمین‌کننده",IF(LEFT($A212,1)="E","کارمند",IF(LEFT($A212,1)="X","سایر حساب",IF(LEFT($A212,1)="F","دارایی ثابت",IF(LEFT($A212,1)="L","وام و تسهیلات",""))))))))))</f>
        <v>Format(font_name='Tahoma', font_size=8.5, bold=0, italic=0, underline=0, font_color=None, num_format='General', text_h_align=3, text_v_align=2, fg_color=None, bg_color=Color(value=0xFCFAF3, type=RGB, is_automatic=False), pattern=0, locked=1, hidden=0)</v>
      </c>
      <c r="L212" s="65"/>
      <c r="M212">
        <f>IF(OR($B212="",$A212=""),"",IF(OR($B212=$K212,AND(LEFT($A212,1)="S",OR($B212="فروشنده سبد",$B212="تأمین‌کننده")),AND(LEFT($A212,2)="BD",$B212="باسکول دیگران")),"✓","⚠"))</f>
        <v>Format(font_name='Tahoma', font_size=8.5, bold=0, italic=0, underline=0, font_color=None, num_format='General', text_h_align=3, text_v_align=2, fg_color=None, bg_color=Color(value=0xFCFAF3, type=RGB, is_automatic=False), pattern=0, locked=1, hidden=0)</v>
      </c>
    </row>
    <row r="213" spans="1:13" ht="21" customHeight="1">
      <c r="A213" s="67" t="s">
        <v>650</v>
      </c>
      <c r="B213" s="64"/>
      <c r="C213" s="65"/>
      <c r="D213" s="65"/>
      <c r="E213" s="65"/>
      <c r="F213" s="65"/>
      <c r="G213" s="65"/>
      <c r="H213" s="68">
        <v>0</v>
      </c>
      <c r="I213" s="64"/>
      <c r="J213" s="64"/>
      <c r="K213">
        <f>IF($A213="","",IF(LEFT($A213,3)="CAP","سرمایه و آورده صاحبان",IF(LEFT($A213,2)="SL","بارفروش",IF(LEFT($A213,2)="BD","باسکول دیگران",IF(LEFT($A213,1)="C","باغدار",IF(LEFT($A213,1)="S","فروشنده سبد/تأمین‌کننده",IF(LEFT($A213,1)="E","کارمند",IF(LEFT($A213,1)="X","سایر حساب",IF(LEFT($A213,1)="F","دارایی ثابت",IF(LEFT($A213,1)="L","وام و تسهیلات",""))))))))))</f>
        <v>Format(font_name='Tahoma', font_size=8.5, bold=0, italic=0, underline=0, font_color=None, num_format='General', text_h_align=3, text_v_align=2, fg_color=None, bg_color=Color(value=0xFCFAF3, type=RGB, is_automatic=False), pattern=0, locked=1, hidden=0)</v>
      </c>
      <c r="L213" s="65"/>
      <c r="M213">
        <f>IF(OR($B213="",$A213=""),"",IF(OR($B213=$K213,AND(LEFT($A213,1)="S",OR($B213="فروشنده سبد",$B213="تأمین‌کننده")),AND(LEFT($A213,2)="BD",$B213="باسکول دیگران")),"✓","⚠"))</f>
        <v>Format(font_name='Tahoma', font_size=8.5, bold=0, italic=0, underline=0, font_color=None, num_format='General', text_h_align=3, text_v_align=2, fg_color=None, bg_color=Color(value=0xFCFAF3, type=RGB, is_automatic=False), pattern=0, locked=1, hidden=0)</v>
      </c>
    </row>
    <row r="214" spans="1:13" ht="21" customHeight="1">
      <c r="A214" s="67" t="s">
        <v>651</v>
      </c>
      <c r="B214" s="64"/>
      <c r="C214" s="65"/>
      <c r="D214" s="65"/>
      <c r="E214" s="65"/>
      <c r="F214" s="65"/>
      <c r="G214" s="65"/>
      <c r="H214" s="68">
        <v>0</v>
      </c>
      <c r="I214" s="64"/>
      <c r="J214" s="64"/>
      <c r="K214">
        <f>IF($A214="","",IF(LEFT($A214,3)="CAP","سرمایه و آورده صاحبان",IF(LEFT($A214,2)="SL","بارفروش",IF(LEFT($A214,2)="BD","باسکول دیگران",IF(LEFT($A214,1)="C","باغدار",IF(LEFT($A214,1)="S","فروشنده سبد/تأمین‌کننده",IF(LEFT($A214,1)="E","کارمند",IF(LEFT($A214,1)="X","سایر حساب",IF(LEFT($A214,1)="F","دارایی ثابت",IF(LEFT($A214,1)="L","وام و تسهیلات",""))))))))))</f>
        <v>Format(font_name='Tahoma', font_size=8.5, bold=0, italic=0, underline=0, font_color=None, num_format='General', text_h_align=3, text_v_align=2, fg_color=None, bg_color=Color(value=0xFCFAF3, type=RGB, is_automatic=False), pattern=0, locked=1, hidden=0)</v>
      </c>
      <c r="L214" s="65"/>
      <c r="M214">
        <f>IF(OR($B214="",$A214=""),"",IF(OR($B214=$K214,AND(LEFT($A214,1)="S",OR($B214="فروشنده سبد",$B214="تأمین‌کننده")),AND(LEFT($A214,2)="BD",$B214="باسکول دیگران")),"✓","⚠"))</f>
        <v>Format(font_name='Tahoma', font_size=8.5, bold=0, italic=0, underline=0, font_color=None, num_format='General', text_h_align=3, text_v_align=2, fg_color=None, bg_color=Color(value=0xFCFAF3, type=RGB, is_automatic=False), pattern=0, locked=1, hidden=0)</v>
      </c>
    </row>
    <row r="215" spans="1:13" ht="21" customHeight="1">
      <c r="A215" s="67" t="s">
        <v>652</v>
      </c>
      <c r="B215" s="64"/>
      <c r="C215" s="65"/>
      <c r="D215" s="65"/>
      <c r="E215" s="65"/>
      <c r="F215" s="65"/>
      <c r="G215" s="65"/>
      <c r="H215" s="68">
        <v>0</v>
      </c>
      <c r="I215" s="64"/>
      <c r="J215" s="64"/>
      <c r="K215">
        <f>IF($A215="","",IF(LEFT($A215,3)="CAP","سرمایه و آورده صاحبان",IF(LEFT($A215,2)="SL","بارفروش",IF(LEFT($A215,2)="BD","باسکول دیگران",IF(LEFT($A215,1)="C","باغدار",IF(LEFT($A215,1)="S","فروشنده سبد/تأمین‌کننده",IF(LEFT($A215,1)="E","کارمند",IF(LEFT($A215,1)="X","سایر حساب",IF(LEFT($A215,1)="F","دارایی ثابت",IF(LEFT($A215,1)="L","وام و تسهیلات",""))))))))))</f>
        <v>Format(font_name='Tahoma', font_size=8.5, bold=0, italic=0, underline=0, font_color=None, num_format='General', text_h_align=3, text_v_align=2, fg_color=None, bg_color=Color(value=0xFCFAF3, type=RGB, is_automatic=False), pattern=0, locked=1, hidden=0)</v>
      </c>
      <c r="L215" s="65"/>
      <c r="M215">
        <f>IF(OR($B215="",$A215=""),"",IF(OR($B215=$K215,AND(LEFT($A215,1)="S",OR($B215="فروشنده سبد",$B215="تأمین‌کننده")),AND(LEFT($A215,2)="BD",$B215="باسکول دیگران")),"✓","⚠"))</f>
        <v>Format(font_name='Tahoma', font_size=8.5, bold=0, italic=0, underline=0, font_color=None, num_format='General', text_h_align=3, text_v_align=2, fg_color=None, bg_color=Color(value=0xFCFAF3, type=RGB, is_automatic=False), pattern=0, locked=1, hidden=0)</v>
      </c>
    </row>
    <row r="216" spans="1:13" ht="21" customHeight="1">
      <c r="A216" s="67" t="s">
        <v>653</v>
      </c>
      <c r="B216" s="64"/>
      <c r="C216" s="65"/>
      <c r="D216" s="65"/>
      <c r="E216" s="65"/>
      <c r="F216" s="65"/>
      <c r="G216" s="65"/>
      <c r="H216" s="68">
        <v>0</v>
      </c>
      <c r="I216" s="64"/>
      <c r="J216" s="64"/>
      <c r="K216">
        <f>IF($A216="","",IF(LEFT($A216,3)="CAP","سرمایه و آورده صاحبان",IF(LEFT($A216,2)="SL","بارفروش",IF(LEFT($A216,2)="BD","باسکول دیگران",IF(LEFT($A216,1)="C","باغدار",IF(LEFT($A216,1)="S","فروشنده سبد/تأمین‌کننده",IF(LEFT($A216,1)="E","کارمند",IF(LEFT($A216,1)="X","سایر حساب",IF(LEFT($A216,1)="F","دارایی ثابت",IF(LEFT($A216,1)="L","وام و تسهیلات",""))))))))))</f>
        <v>Format(font_name='Tahoma', font_size=8.5, bold=0, italic=0, underline=0, font_color=None, num_format='General', text_h_align=3, text_v_align=2, fg_color=None, bg_color=Color(value=0xFCFAF3, type=RGB, is_automatic=False), pattern=0, locked=1, hidden=0)</v>
      </c>
      <c r="L216" s="65"/>
      <c r="M216">
        <f>IF(OR($B216="",$A216=""),"",IF(OR($B216=$K216,AND(LEFT($A216,1)="S",OR($B216="فروشنده سبد",$B216="تأمین‌کننده")),AND(LEFT($A216,2)="BD",$B216="باسکول دیگران")),"✓","⚠"))</f>
        <v>Format(font_name='Tahoma', font_size=8.5, bold=0, italic=0, underline=0, font_color=None, num_format='General', text_h_align=3, text_v_align=2, fg_color=None, bg_color=Color(value=0xFCFAF3, type=RGB, is_automatic=False), pattern=0, locked=1, hidden=0)</v>
      </c>
    </row>
    <row r="217" spans="1:13" ht="21" customHeight="1">
      <c r="A217" s="67" t="s">
        <v>654</v>
      </c>
      <c r="B217" s="64"/>
      <c r="C217" s="65"/>
      <c r="D217" s="65"/>
      <c r="E217" s="65"/>
      <c r="F217" s="65"/>
      <c r="G217" s="65"/>
      <c r="H217" s="68">
        <v>0</v>
      </c>
      <c r="I217" s="64"/>
      <c r="J217" s="64"/>
      <c r="K217">
        <f>IF($A217="","",IF(LEFT($A217,3)="CAP","سرمایه و آورده صاحبان",IF(LEFT($A217,2)="SL","بارفروش",IF(LEFT($A217,2)="BD","باسکول دیگران",IF(LEFT($A217,1)="C","باغدار",IF(LEFT($A217,1)="S","فروشنده سبد/تأمین‌کننده",IF(LEFT($A217,1)="E","کارمند",IF(LEFT($A217,1)="X","سایر حساب",IF(LEFT($A217,1)="F","دارایی ثابت",IF(LEFT($A217,1)="L","وام و تسهیلات",""))))))))))</f>
        <v>Format(font_name='Tahoma', font_size=8.5, bold=0, italic=0, underline=0, font_color=None, num_format='General', text_h_align=3, text_v_align=2, fg_color=None, bg_color=Color(value=0xFCFAF3, type=RGB, is_automatic=False), pattern=0, locked=1, hidden=0)</v>
      </c>
      <c r="L217" s="65"/>
      <c r="M217">
        <f>IF(OR($B217="",$A217=""),"",IF(OR($B217=$K217,AND(LEFT($A217,1)="S",OR($B217="فروشنده سبد",$B217="تأمین‌کننده")),AND(LEFT($A217,2)="BD",$B217="باسکول دیگران")),"✓","⚠"))</f>
        <v>Format(font_name='Tahoma', font_size=8.5, bold=0, italic=0, underline=0, font_color=None, num_format='General', text_h_align=3, text_v_align=2, fg_color=None, bg_color=Color(value=0xFCFAF3, type=RGB, is_automatic=False), pattern=0, locked=1, hidden=0)</v>
      </c>
    </row>
    <row r="218" spans="1:13" ht="21" customHeight="1">
      <c r="A218" s="67" t="s">
        <v>655</v>
      </c>
      <c r="B218" s="64"/>
      <c r="C218" s="65"/>
      <c r="D218" s="65"/>
      <c r="E218" s="65"/>
      <c r="F218" s="65"/>
      <c r="G218" s="65"/>
      <c r="H218" s="68">
        <v>0</v>
      </c>
      <c r="I218" s="64"/>
      <c r="J218" s="64"/>
      <c r="K218">
        <f>IF($A218="","",IF(LEFT($A218,3)="CAP","سرمایه و آورده صاحبان",IF(LEFT($A218,2)="SL","بارفروش",IF(LEFT($A218,2)="BD","باسکول دیگران",IF(LEFT($A218,1)="C","باغدار",IF(LEFT($A218,1)="S","فروشنده سبد/تأمین‌کننده",IF(LEFT($A218,1)="E","کارمند",IF(LEFT($A218,1)="X","سایر حساب",IF(LEFT($A218,1)="F","دارایی ثابت",IF(LEFT($A218,1)="L","وام و تسهیلات",""))))))))))</f>
        <v>Format(font_name='Tahoma', font_size=8.5, bold=0, italic=0, underline=0, font_color=None, num_format='General', text_h_align=3, text_v_align=2, fg_color=None, bg_color=Color(value=0xFCFAF3, type=RGB, is_automatic=False), pattern=0, locked=1, hidden=0)</v>
      </c>
      <c r="L218" s="65"/>
      <c r="M218">
        <f>IF(OR($B218="",$A218=""),"",IF(OR($B218=$K218,AND(LEFT($A218,1)="S",OR($B218="فروشنده سبد",$B218="تأمین‌کننده")),AND(LEFT($A218,2)="BD",$B218="باسکول دیگران")),"✓","⚠"))</f>
        <v>Format(font_name='Tahoma', font_size=8.5, bold=0, italic=0, underline=0, font_color=None, num_format='General', text_h_align=3, text_v_align=2, fg_color=None, bg_color=Color(value=0xFCFAF3, type=RGB, is_automatic=False), pattern=0, locked=1, hidden=0)</v>
      </c>
    </row>
    <row r="219" spans="1:13" ht="21" customHeight="1">
      <c r="A219" s="67" t="s">
        <v>656</v>
      </c>
      <c r="B219" s="64"/>
      <c r="C219" s="65"/>
      <c r="D219" s="65"/>
      <c r="E219" s="65"/>
      <c r="F219" s="65"/>
      <c r="G219" s="65"/>
      <c r="H219" s="68">
        <v>0</v>
      </c>
      <c r="I219" s="64"/>
      <c r="J219" s="64"/>
      <c r="K219">
        <f>IF($A219="","",IF(LEFT($A219,3)="CAP","سرمایه و آورده صاحبان",IF(LEFT($A219,2)="SL","بارفروش",IF(LEFT($A219,2)="BD","باسکول دیگران",IF(LEFT($A219,1)="C","باغدار",IF(LEFT($A219,1)="S","فروشنده سبد/تأمین‌کننده",IF(LEFT($A219,1)="E","کارمند",IF(LEFT($A219,1)="X","سایر حساب",IF(LEFT($A219,1)="F","دارایی ثابت",IF(LEFT($A219,1)="L","وام و تسهیلات",""))))))))))</f>
        <v>Format(font_name='Tahoma', font_size=8.5, bold=0, italic=0, underline=0, font_color=None, num_format='General', text_h_align=3, text_v_align=2, fg_color=None, bg_color=Color(value=0xFCFAF3, type=RGB, is_automatic=False), pattern=0, locked=1, hidden=0)</v>
      </c>
      <c r="L219" s="65"/>
      <c r="M219">
        <f>IF(OR($B219="",$A219=""),"",IF(OR($B219=$K219,AND(LEFT($A219,1)="S",OR($B219="فروشنده سبد",$B219="تأمین‌کننده")),AND(LEFT($A219,2)="BD",$B219="باسکول دیگران")),"✓","⚠"))</f>
        <v>Format(font_name='Tahoma', font_size=8.5, bold=0, italic=0, underline=0, font_color=None, num_format='General', text_h_align=3, text_v_align=2, fg_color=None, bg_color=Color(value=0xFCFAF3, type=RGB, is_automatic=False), pattern=0, locked=1, hidden=0)</v>
      </c>
    </row>
    <row r="220" spans="1:13" ht="21" customHeight="1">
      <c r="A220" s="67" t="s">
        <v>657</v>
      </c>
      <c r="B220" s="64"/>
      <c r="C220" s="65"/>
      <c r="D220" s="65"/>
      <c r="E220" s="65"/>
      <c r="F220" s="65"/>
      <c r="G220" s="65"/>
      <c r="H220" s="68">
        <v>0</v>
      </c>
      <c r="I220" s="64"/>
      <c r="J220" s="64"/>
      <c r="K220">
        <f>IF($A220="","",IF(LEFT($A220,3)="CAP","سرمایه و آورده صاحبان",IF(LEFT($A220,2)="SL","بارفروش",IF(LEFT($A220,2)="BD","باسکول دیگران",IF(LEFT($A220,1)="C","باغدار",IF(LEFT($A220,1)="S","فروشنده سبد/تأمین‌کننده",IF(LEFT($A220,1)="E","کارمند",IF(LEFT($A220,1)="X","سایر حساب",IF(LEFT($A220,1)="F","دارایی ثابت",IF(LEFT($A220,1)="L","وام و تسهیلات",""))))))))))</f>
        <v>Format(font_name='Tahoma', font_size=8.5, bold=0, italic=0, underline=0, font_color=None, num_format='General', text_h_align=3, text_v_align=2, fg_color=None, bg_color=Color(value=0xFCFAF3, type=RGB, is_automatic=False), pattern=0, locked=1, hidden=0)</v>
      </c>
      <c r="L220" s="65"/>
      <c r="M220">
        <f>IF(OR($B220="",$A220=""),"",IF(OR($B220=$K220,AND(LEFT($A220,1)="S",OR($B220="فروشنده سبد",$B220="تأمین‌کننده")),AND(LEFT($A220,2)="BD",$B220="باسکول دیگران")),"✓","⚠"))</f>
        <v>Format(font_name='Tahoma', font_size=8.5, bold=0, italic=0, underline=0, font_color=None, num_format='General', text_h_align=3, text_v_align=2, fg_color=None, bg_color=Color(value=0xFCFAF3, type=RGB, is_automatic=False), pattern=0, locked=1, hidden=0)</v>
      </c>
    </row>
    <row r="221" spans="1:13" ht="21" customHeight="1">
      <c r="A221" s="67" t="s">
        <v>658</v>
      </c>
      <c r="B221" s="64"/>
      <c r="C221" s="65"/>
      <c r="D221" s="65"/>
      <c r="E221" s="65"/>
      <c r="F221" s="65"/>
      <c r="G221" s="65"/>
      <c r="H221" s="68">
        <v>0</v>
      </c>
      <c r="I221" s="64"/>
      <c r="J221" s="64"/>
      <c r="K221">
        <f>IF($A221="","",IF(LEFT($A221,3)="CAP","سرمایه و آورده صاحبان",IF(LEFT($A221,2)="SL","بارفروش",IF(LEFT($A221,2)="BD","باسکول دیگران",IF(LEFT($A221,1)="C","باغدار",IF(LEFT($A221,1)="S","فروشنده سبد/تأمین‌کننده",IF(LEFT($A221,1)="E","کارمند",IF(LEFT($A221,1)="X","سایر حساب",IF(LEFT($A221,1)="F","دارایی ثابت",IF(LEFT($A221,1)="L","وام و تسهیلات",""))))))))))</f>
        <v>Format(font_name='Tahoma', font_size=8.5, bold=0, italic=0, underline=0, font_color=None, num_format='General', text_h_align=3, text_v_align=2, fg_color=None, bg_color=Color(value=0xFCFAF3, type=RGB, is_automatic=False), pattern=0, locked=1, hidden=0)</v>
      </c>
      <c r="L221" s="65"/>
      <c r="M221">
        <f>IF(OR($B221="",$A221=""),"",IF(OR($B221=$K221,AND(LEFT($A221,1)="S",OR($B221="فروشنده سبد",$B221="تأمین‌کننده")),AND(LEFT($A221,2)="BD",$B221="باسکول دیگران")),"✓","⚠"))</f>
        <v>Format(font_name='Tahoma', font_size=8.5, bold=0, italic=0, underline=0, font_color=None, num_format='General', text_h_align=3, text_v_align=2, fg_color=None, bg_color=Color(value=0xFCFAF3, type=RGB, is_automatic=False), pattern=0, locked=1, hidden=0)</v>
      </c>
    </row>
    <row r="222" spans="1:13" ht="21" customHeight="1">
      <c r="A222" s="67" t="s">
        <v>659</v>
      </c>
      <c r="B222" s="64"/>
      <c r="C222" s="65"/>
      <c r="D222" s="65"/>
      <c r="E222" s="65"/>
      <c r="F222" s="65"/>
      <c r="G222" s="65"/>
      <c r="H222" s="68">
        <v>0</v>
      </c>
      <c r="I222" s="64"/>
      <c r="J222" s="64"/>
      <c r="K222">
        <f>IF($A222="","",IF(LEFT($A222,3)="CAP","سرمایه و آورده صاحبان",IF(LEFT($A222,2)="SL","بارفروش",IF(LEFT($A222,2)="BD","باسکول دیگران",IF(LEFT($A222,1)="C","باغدار",IF(LEFT($A222,1)="S","فروشنده سبد/تأمین‌کننده",IF(LEFT($A222,1)="E","کارمند",IF(LEFT($A222,1)="X","سایر حساب",IF(LEFT($A222,1)="F","دارایی ثابت",IF(LEFT($A222,1)="L","وام و تسهیلات",""))))))))))</f>
        <v>Format(font_name='Tahoma', font_size=8.5, bold=0, italic=0, underline=0, font_color=None, num_format='General', text_h_align=3, text_v_align=2, fg_color=None, bg_color=Color(value=0xFCFAF3, type=RGB, is_automatic=False), pattern=0, locked=1, hidden=0)</v>
      </c>
      <c r="L222" s="65"/>
      <c r="M222">
        <f>IF(OR($B222="",$A222=""),"",IF(OR($B222=$K222,AND(LEFT($A222,1)="S",OR($B222="فروشنده سبد",$B222="تأمین‌کننده")),AND(LEFT($A222,2)="BD",$B222="باسکول دیگران")),"✓","⚠"))</f>
        <v>Format(font_name='Tahoma', font_size=8.5, bold=0, italic=0, underline=0, font_color=None, num_format='General', text_h_align=3, text_v_align=2, fg_color=None, bg_color=Color(value=0xFCFAF3, type=RGB, is_automatic=False), pattern=0, locked=1, hidden=0)</v>
      </c>
    </row>
    <row r="223" spans="1:13" ht="21" customHeight="1">
      <c r="A223" s="67" t="s">
        <v>660</v>
      </c>
      <c r="B223" s="64"/>
      <c r="C223" s="65"/>
      <c r="D223" s="65"/>
      <c r="E223" s="65"/>
      <c r="F223" s="65"/>
      <c r="G223" s="65"/>
      <c r="H223" s="68">
        <v>0</v>
      </c>
      <c r="I223" s="64"/>
      <c r="J223" s="64"/>
      <c r="K223">
        <f>IF($A223="","",IF(LEFT($A223,3)="CAP","سرمایه و آورده صاحبان",IF(LEFT($A223,2)="SL","بارفروش",IF(LEFT($A223,2)="BD","باسکول دیگران",IF(LEFT($A223,1)="C","باغدار",IF(LEFT($A223,1)="S","فروشنده سبد/تأمین‌کننده",IF(LEFT($A223,1)="E","کارمند",IF(LEFT($A223,1)="X","سایر حساب",IF(LEFT($A223,1)="F","دارایی ثابت",IF(LEFT($A223,1)="L","وام و تسهیلات",""))))))))))</f>
        <v>Format(font_name='Tahoma', font_size=8.5, bold=0, italic=0, underline=0, font_color=None, num_format='General', text_h_align=3, text_v_align=2, fg_color=None, bg_color=Color(value=0xFCFAF3, type=RGB, is_automatic=False), pattern=0, locked=1, hidden=0)</v>
      </c>
      <c r="L223" s="65"/>
      <c r="M223">
        <f>IF(OR($B223="",$A223=""),"",IF(OR($B223=$K223,AND(LEFT($A223,1)="S",OR($B223="فروشنده سبد",$B223="تأمین‌کننده")),AND(LEFT($A223,2)="BD",$B223="باسکول دیگران")),"✓","⚠"))</f>
        <v>Format(font_name='Tahoma', font_size=8.5, bold=0, italic=0, underline=0, font_color=None, num_format='General', text_h_align=3, text_v_align=2, fg_color=None, bg_color=Color(value=0xFCFAF3, type=RGB, is_automatic=False), pattern=0, locked=1, hidden=0)</v>
      </c>
    </row>
    <row r="224" spans="1:13" ht="21" customHeight="1">
      <c r="A224" s="67" t="s">
        <v>661</v>
      </c>
      <c r="B224" s="64"/>
      <c r="C224" s="65"/>
      <c r="D224" s="65"/>
      <c r="E224" s="65"/>
      <c r="F224" s="65"/>
      <c r="G224" s="65"/>
      <c r="H224" s="68">
        <v>0</v>
      </c>
      <c r="I224" s="64"/>
      <c r="J224" s="64"/>
      <c r="K224">
        <f>IF($A224="","",IF(LEFT($A224,3)="CAP","سرمایه و آورده صاحبان",IF(LEFT($A224,2)="SL","بارفروش",IF(LEFT($A224,2)="BD","باسکول دیگران",IF(LEFT($A224,1)="C","باغدار",IF(LEFT($A224,1)="S","فروشنده سبد/تأمین‌کننده",IF(LEFT($A224,1)="E","کارمند",IF(LEFT($A224,1)="X","سایر حساب",IF(LEFT($A224,1)="F","دارایی ثابت",IF(LEFT($A224,1)="L","وام و تسهیلات",""))))))))))</f>
        <v>Format(font_name='Tahoma', font_size=8.5, bold=0, italic=0, underline=0, font_color=None, num_format='General', text_h_align=3, text_v_align=2, fg_color=None, bg_color=Color(value=0xFCFAF3, type=RGB, is_automatic=False), pattern=0, locked=1, hidden=0)</v>
      </c>
      <c r="L224" s="65"/>
      <c r="M224">
        <f>IF(OR($B224="",$A224=""),"",IF(OR($B224=$K224,AND(LEFT($A224,1)="S",OR($B224="فروشنده سبد",$B224="تأمین‌کننده")),AND(LEFT($A224,2)="BD",$B224="باسکول دیگران")),"✓","⚠"))</f>
        <v>Format(font_name='Tahoma', font_size=8.5, bold=0, italic=0, underline=0, font_color=None, num_format='General', text_h_align=3, text_v_align=2, fg_color=None, bg_color=Color(value=0xFCFAF3, type=RGB, is_automatic=False), pattern=0, locked=1, hidden=0)</v>
      </c>
    </row>
    <row r="225" spans="1:13" ht="21" customHeight="1">
      <c r="A225" s="67" t="s">
        <v>662</v>
      </c>
      <c r="B225" s="64"/>
      <c r="C225" s="65"/>
      <c r="D225" s="65"/>
      <c r="E225" s="65"/>
      <c r="F225" s="65"/>
      <c r="G225" s="65"/>
      <c r="H225" s="68">
        <v>0</v>
      </c>
      <c r="I225" s="64"/>
      <c r="J225" s="64"/>
      <c r="K225">
        <f>IF($A225="","",IF(LEFT($A225,3)="CAP","سرمایه و آورده صاحبان",IF(LEFT($A225,2)="SL","بارفروش",IF(LEFT($A225,2)="BD","باسکول دیگران",IF(LEFT($A225,1)="C","باغدار",IF(LEFT($A225,1)="S","فروشنده سبد/تأمین‌کننده",IF(LEFT($A225,1)="E","کارمند",IF(LEFT($A225,1)="X","سایر حساب",IF(LEFT($A225,1)="F","دارایی ثابت",IF(LEFT($A225,1)="L","وام و تسهیلات",""))))))))))</f>
        <v>Format(font_name='Tahoma', font_size=8.5, bold=0, italic=0, underline=0, font_color=None, num_format='General', text_h_align=3, text_v_align=2, fg_color=None, bg_color=Color(value=0xFCFAF3, type=RGB, is_automatic=False), pattern=0, locked=1, hidden=0)</v>
      </c>
      <c r="L225" s="65"/>
      <c r="M225">
        <f>IF(OR($B225="",$A225=""),"",IF(OR($B225=$K225,AND(LEFT($A225,1)="S",OR($B225="فروشنده سبد",$B225="تأمین‌کننده")),AND(LEFT($A225,2)="BD",$B225="باسکول دیگران")),"✓","⚠"))</f>
        <v>Format(font_name='Tahoma', font_size=8.5, bold=0, italic=0, underline=0, font_color=None, num_format='General', text_h_align=3, text_v_align=2, fg_color=None, bg_color=Color(value=0xFCFAF3, type=RGB, is_automatic=False), pattern=0, locked=1, hidden=0)</v>
      </c>
    </row>
    <row r="226" spans="1:13" ht="21" customHeight="1">
      <c r="A226" s="67" t="s">
        <v>663</v>
      </c>
      <c r="B226" s="64"/>
      <c r="C226" s="65"/>
      <c r="D226" s="65"/>
      <c r="E226" s="65"/>
      <c r="F226" s="65"/>
      <c r="G226" s="65"/>
      <c r="H226" s="68">
        <v>0</v>
      </c>
      <c r="I226" s="64"/>
      <c r="J226" s="64"/>
      <c r="K226">
        <f>IF($A226="","",IF(LEFT($A226,3)="CAP","سرمایه و آورده صاحبان",IF(LEFT($A226,2)="SL","بارفروش",IF(LEFT($A226,2)="BD","باسکول دیگران",IF(LEFT($A226,1)="C","باغدار",IF(LEFT($A226,1)="S","فروشنده سبد/تأمین‌کننده",IF(LEFT($A226,1)="E","کارمند",IF(LEFT($A226,1)="X","سایر حساب",IF(LEFT($A226,1)="F","دارایی ثابت",IF(LEFT($A226,1)="L","وام و تسهیلات",""))))))))))</f>
        <v>Format(font_name='Tahoma', font_size=8.5, bold=0, italic=0, underline=0, font_color=None, num_format='General', text_h_align=3, text_v_align=2, fg_color=None, bg_color=Color(value=0xFCFAF3, type=RGB, is_automatic=False), pattern=0, locked=1, hidden=0)</v>
      </c>
      <c r="L226" s="65"/>
      <c r="M226">
        <f>IF(OR($B226="",$A226=""),"",IF(OR($B226=$K226,AND(LEFT($A226,1)="S",OR($B226="فروشنده سبد",$B226="تأمین‌کننده")),AND(LEFT($A226,2)="BD",$B226="باسکول دیگران")),"✓","⚠"))</f>
        <v>Format(font_name='Tahoma', font_size=8.5, bold=0, italic=0, underline=0, font_color=None, num_format='General', text_h_align=3, text_v_align=2, fg_color=None, bg_color=Color(value=0xFCFAF3, type=RGB, is_automatic=False), pattern=0, locked=1, hidden=0)</v>
      </c>
    </row>
    <row r="227" spans="1:13" ht="21" customHeight="1">
      <c r="A227" s="67" t="s">
        <v>664</v>
      </c>
      <c r="B227" s="64"/>
      <c r="C227" s="65"/>
      <c r="D227" s="65"/>
      <c r="E227" s="65"/>
      <c r="F227" s="65"/>
      <c r="G227" s="65"/>
      <c r="H227" s="68">
        <v>0</v>
      </c>
      <c r="I227" s="64"/>
      <c r="J227" s="64"/>
      <c r="K227">
        <f>IF($A227="","",IF(LEFT($A227,3)="CAP","سرمایه و آورده صاحبان",IF(LEFT($A227,2)="SL","بارفروش",IF(LEFT($A227,2)="BD","باسکول دیگران",IF(LEFT($A227,1)="C","باغدار",IF(LEFT($A227,1)="S","فروشنده سبد/تأمین‌کننده",IF(LEFT($A227,1)="E","کارمند",IF(LEFT($A227,1)="X","سایر حساب",IF(LEFT($A227,1)="F","دارایی ثابت",IF(LEFT($A227,1)="L","وام و تسهیلات",""))))))))))</f>
        <v>Format(font_name='Tahoma', font_size=8.5, bold=0, italic=0, underline=0, font_color=None, num_format='General', text_h_align=3, text_v_align=2, fg_color=None, bg_color=Color(value=0xFCFAF3, type=RGB, is_automatic=False), pattern=0, locked=1, hidden=0)</v>
      </c>
      <c r="L227" s="65"/>
      <c r="M227">
        <f>IF(OR($B227="",$A227=""),"",IF(OR($B227=$K227,AND(LEFT($A227,1)="S",OR($B227="فروشنده سبد",$B227="تأمین‌کننده")),AND(LEFT($A227,2)="BD",$B227="باسکول دیگران")),"✓","⚠"))</f>
        <v>Format(font_name='Tahoma', font_size=8.5, bold=0, italic=0, underline=0, font_color=None, num_format='General', text_h_align=3, text_v_align=2, fg_color=None, bg_color=Color(value=0xFCFAF3, type=RGB, is_automatic=False), pattern=0, locked=1, hidden=0)</v>
      </c>
    </row>
    <row r="228" spans="1:13" ht="21" customHeight="1">
      <c r="A228" s="67" t="s">
        <v>665</v>
      </c>
      <c r="B228" s="64"/>
      <c r="C228" s="65"/>
      <c r="D228" s="65"/>
      <c r="E228" s="65"/>
      <c r="F228" s="65"/>
      <c r="G228" s="65"/>
      <c r="H228" s="68">
        <v>0</v>
      </c>
      <c r="I228" s="64"/>
      <c r="J228" s="64"/>
      <c r="K228">
        <f>IF($A228="","",IF(LEFT($A228,3)="CAP","سرمایه و آورده صاحبان",IF(LEFT($A228,2)="SL","بارفروش",IF(LEFT($A228,2)="BD","باسکول دیگران",IF(LEFT($A228,1)="C","باغدار",IF(LEFT($A228,1)="S","فروشنده سبد/تأمین‌کننده",IF(LEFT($A228,1)="E","کارمند",IF(LEFT($A228,1)="X","سایر حساب",IF(LEFT($A228,1)="F","دارایی ثابت",IF(LEFT($A228,1)="L","وام و تسهیلات",""))))))))))</f>
        <v>Format(font_name='Tahoma', font_size=8.5, bold=0, italic=0, underline=0, font_color=None, num_format='General', text_h_align=3, text_v_align=2, fg_color=None, bg_color=Color(value=0xFCFAF3, type=RGB, is_automatic=False), pattern=0, locked=1, hidden=0)</v>
      </c>
      <c r="L228" s="65"/>
      <c r="M228">
        <f>IF(OR($B228="",$A228=""),"",IF(OR($B228=$K228,AND(LEFT($A228,1)="S",OR($B228="فروشنده سبد",$B228="تأمین‌کننده")),AND(LEFT($A228,2)="BD",$B228="باسکول دیگران")),"✓","⚠"))</f>
        <v>Format(font_name='Tahoma', font_size=8.5, bold=0, italic=0, underline=0, font_color=None, num_format='General', text_h_align=3, text_v_align=2, fg_color=None, bg_color=Color(value=0xFCFAF3, type=RGB, is_automatic=False), pattern=0, locked=1, hidden=0)</v>
      </c>
    </row>
    <row r="229" spans="1:13" ht="21" customHeight="1">
      <c r="A229" s="67" t="s">
        <v>666</v>
      </c>
      <c r="B229" s="64"/>
      <c r="C229" s="65"/>
      <c r="D229" s="65"/>
      <c r="E229" s="65"/>
      <c r="F229" s="65"/>
      <c r="G229" s="65"/>
      <c r="H229" s="68">
        <v>0</v>
      </c>
      <c r="I229" s="64"/>
      <c r="J229" s="64"/>
      <c r="K229">
        <f>IF($A229="","",IF(LEFT($A229,3)="CAP","سرمایه و آورده صاحبان",IF(LEFT($A229,2)="SL","بارفروش",IF(LEFT($A229,2)="BD","باسکول دیگران",IF(LEFT($A229,1)="C","باغدار",IF(LEFT($A229,1)="S","فروشنده سبد/تأمین‌کننده",IF(LEFT($A229,1)="E","کارمند",IF(LEFT($A229,1)="X","سایر حساب",IF(LEFT($A229,1)="F","دارایی ثابت",IF(LEFT($A229,1)="L","وام و تسهیلات",""))))))))))</f>
        <v>Format(font_name='Tahoma', font_size=8.5, bold=0, italic=0, underline=0, font_color=None, num_format='General', text_h_align=3, text_v_align=2, fg_color=None, bg_color=Color(value=0xFCFAF3, type=RGB, is_automatic=False), pattern=0, locked=1, hidden=0)</v>
      </c>
      <c r="L229" s="65"/>
      <c r="M229">
        <f>IF(OR($B229="",$A229=""),"",IF(OR($B229=$K229,AND(LEFT($A229,1)="S",OR($B229="فروشنده سبد",$B229="تأمین‌کننده")),AND(LEFT($A229,2)="BD",$B229="باسکول دیگران")),"✓","⚠"))</f>
        <v>Format(font_name='Tahoma', font_size=8.5, bold=0, italic=0, underline=0, font_color=None, num_format='General', text_h_align=3, text_v_align=2, fg_color=None, bg_color=Color(value=0xFCFAF3, type=RGB, is_automatic=False), pattern=0, locked=1, hidden=0)</v>
      </c>
    </row>
    <row r="230" spans="1:13" ht="21" customHeight="1">
      <c r="A230" s="67" t="s">
        <v>667</v>
      </c>
      <c r="B230" s="64"/>
      <c r="C230" s="65"/>
      <c r="D230" s="65"/>
      <c r="E230" s="65"/>
      <c r="F230" s="65"/>
      <c r="G230" s="65"/>
      <c r="H230" s="68">
        <v>0</v>
      </c>
      <c r="I230" s="64"/>
      <c r="J230" s="64"/>
      <c r="K230">
        <f>IF($A230="","",IF(LEFT($A230,3)="CAP","سرمایه و آورده صاحبان",IF(LEFT($A230,2)="SL","بارفروش",IF(LEFT($A230,2)="BD","باسکول دیگران",IF(LEFT($A230,1)="C","باغدار",IF(LEFT($A230,1)="S","فروشنده سبد/تأمین‌کننده",IF(LEFT($A230,1)="E","کارمند",IF(LEFT($A230,1)="X","سایر حساب",IF(LEFT($A230,1)="F","دارایی ثابت",IF(LEFT($A230,1)="L","وام و تسهیلات",""))))))))))</f>
        <v>Format(font_name='Tahoma', font_size=8.5, bold=0, italic=0, underline=0, font_color=None, num_format='General', text_h_align=3, text_v_align=2, fg_color=None, bg_color=Color(value=0xFCFAF3, type=RGB, is_automatic=False), pattern=0, locked=1, hidden=0)</v>
      </c>
      <c r="L230" s="65"/>
      <c r="M230">
        <f>IF(OR($B230="",$A230=""),"",IF(OR($B230=$K230,AND(LEFT($A230,1)="S",OR($B230="فروشنده سبد",$B230="تأمین‌کننده")),AND(LEFT($A230,2)="BD",$B230="باسکول دیگران")),"✓","⚠"))</f>
        <v>Format(font_name='Tahoma', font_size=8.5, bold=0, italic=0, underline=0, font_color=None, num_format='General', text_h_align=3, text_v_align=2, fg_color=None, bg_color=Color(value=0xFCFAF3, type=RGB, is_automatic=False), pattern=0, locked=1, hidden=0)</v>
      </c>
    </row>
    <row r="231" spans="1:13" ht="21" customHeight="1">
      <c r="A231" s="67" t="s">
        <v>668</v>
      </c>
      <c r="B231" s="64"/>
      <c r="C231" s="65"/>
      <c r="D231" s="65"/>
      <c r="E231" s="65"/>
      <c r="F231" s="65"/>
      <c r="G231" s="65"/>
      <c r="H231" s="68">
        <v>0</v>
      </c>
      <c r="I231" s="64"/>
      <c r="J231" s="64"/>
      <c r="K231">
        <f>IF($A231="","",IF(LEFT($A231,3)="CAP","سرمایه و آورده صاحبان",IF(LEFT($A231,2)="SL","بارفروش",IF(LEFT($A231,2)="BD","باسکول دیگران",IF(LEFT($A231,1)="C","باغدار",IF(LEFT($A231,1)="S","فروشنده سبد/تأمین‌کننده",IF(LEFT($A231,1)="E","کارمند",IF(LEFT($A231,1)="X","سایر حساب",IF(LEFT($A231,1)="F","دارایی ثابت",IF(LEFT($A231,1)="L","وام و تسهیلات",""))))))))))</f>
        <v>Format(font_name='Tahoma', font_size=8.5, bold=0, italic=0, underline=0, font_color=None, num_format='General', text_h_align=3, text_v_align=2, fg_color=None, bg_color=Color(value=0xFCFAF3, type=RGB, is_automatic=False), pattern=0, locked=1, hidden=0)</v>
      </c>
      <c r="L231" s="65"/>
      <c r="M231">
        <f>IF(OR($B231="",$A231=""),"",IF(OR($B231=$K231,AND(LEFT($A231,1)="S",OR($B231="فروشنده سبد",$B231="تأمین‌کننده")),AND(LEFT($A231,2)="BD",$B231="باسکول دیگران")),"✓","⚠"))</f>
        <v>Format(font_name='Tahoma', font_size=8.5, bold=0, italic=0, underline=0, font_color=None, num_format='General', text_h_align=3, text_v_align=2, fg_color=None, bg_color=Color(value=0xFCFAF3, type=RGB, is_automatic=False), pattern=0, locked=1, hidden=0)</v>
      </c>
    </row>
    <row r="232" spans="1:13" ht="21" customHeight="1">
      <c r="A232" s="67" t="s">
        <v>669</v>
      </c>
      <c r="B232" s="64"/>
      <c r="C232" s="65"/>
      <c r="D232" s="65"/>
      <c r="E232" s="65"/>
      <c r="F232" s="65"/>
      <c r="G232" s="65"/>
      <c r="H232" s="68">
        <v>0</v>
      </c>
      <c r="I232" s="64"/>
      <c r="J232" s="64"/>
      <c r="K232">
        <f>IF($A232="","",IF(LEFT($A232,3)="CAP","سرمایه و آورده صاحبان",IF(LEFT($A232,2)="SL","بارفروش",IF(LEFT($A232,2)="BD","باسکول دیگران",IF(LEFT($A232,1)="C","باغدار",IF(LEFT($A232,1)="S","فروشنده سبد/تأمین‌کننده",IF(LEFT($A232,1)="E","کارمند",IF(LEFT($A232,1)="X","سایر حساب",IF(LEFT($A232,1)="F","دارایی ثابت",IF(LEFT($A232,1)="L","وام و تسهیلات",""))))))))))</f>
        <v>Format(font_name='Tahoma', font_size=8.5, bold=0, italic=0, underline=0, font_color=None, num_format='General', text_h_align=3, text_v_align=2, fg_color=None, bg_color=Color(value=0xFCFAF3, type=RGB, is_automatic=False), pattern=0, locked=1, hidden=0)</v>
      </c>
      <c r="L232" s="65"/>
      <c r="M232">
        <f>IF(OR($B232="",$A232=""),"",IF(OR($B232=$K232,AND(LEFT($A232,1)="S",OR($B232="فروشنده سبد",$B232="تأمین‌کننده")),AND(LEFT($A232,2)="BD",$B232="باسکول دیگران")),"✓","⚠"))</f>
        <v>Format(font_name='Tahoma', font_size=8.5, bold=0, italic=0, underline=0, font_color=None, num_format='General', text_h_align=3, text_v_align=2, fg_color=None, bg_color=Color(value=0xFCFAF3, type=RGB, is_automatic=False), pattern=0, locked=1, hidden=0)</v>
      </c>
    </row>
    <row r="233" spans="1:13" ht="21" customHeight="1">
      <c r="A233" s="67" t="s">
        <v>670</v>
      </c>
      <c r="B233" s="64"/>
      <c r="C233" s="65"/>
      <c r="D233" s="65"/>
      <c r="E233" s="65"/>
      <c r="F233" s="65"/>
      <c r="G233" s="65"/>
      <c r="H233" s="68">
        <v>0</v>
      </c>
      <c r="I233" s="64"/>
      <c r="J233" s="64"/>
      <c r="K233">
        <f>IF($A233="","",IF(LEFT($A233,3)="CAP","سرمایه و آورده صاحبان",IF(LEFT($A233,2)="SL","بارفروش",IF(LEFT($A233,2)="BD","باسکول دیگران",IF(LEFT($A233,1)="C","باغدار",IF(LEFT($A233,1)="S","فروشنده سبد/تأمین‌کننده",IF(LEFT($A233,1)="E","کارمند",IF(LEFT($A233,1)="X","سایر حساب",IF(LEFT($A233,1)="F","دارایی ثابت",IF(LEFT($A233,1)="L","وام و تسهیلات",""))))))))))</f>
        <v>Format(font_name='Tahoma', font_size=8.5, bold=0, italic=0, underline=0, font_color=None, num_format='General', text_h_align=3, text_v_align=2, fg_color=None, bg_color=Color(value=0xFCFAF3, type=RGB, is_automatic=False), pattern=0, locked=1, hidden=0)</v>
      </c>
      <c r="L233" s="65"/>
      <c r="M233">
        <f>IF(OR($B233="",$A233=""),"",IF(OR($B233=$K233,AND(LEFT($A233,1)="S",OR($B233="فروشنده سبد",$B233="تأمین‌کننده")),AND(LEFT($A233,2)="BD",$B233="باسکول دیگران")),"✓","⚠"))</f>
        <v>Format(font_name='Tahoma', font_size=8.5, bold=0, italic=0, underline=0, font_color=None, num_format='General', text_h_align=3, text_v_align=2, fg_color=None, bg_color=Color(value=0xFCFAF3, type=RGB, is_automatic=False), pattern=0, locked=1, hidden=0)</v>
      </c>
    </row>
    <row r="234" spans="1:13" ht="21" customHeight="1">
      <c r="A234" s="67" t="s">
        <v>671</v>
      </c>
      <c r="B234" s="64"/>
      <c r="C234" s="65"/>
      <c r="D234" s="65"/>
      <c r="E234" s="65"/>
      <c r="F234" s="65"/>
      <c r="G234" s="65"/>
      <c r="H234" s="68">
        <v>0</v>
      </c>
      <c r="I234" s="64"/>
      <c r="J234" s="64"/>
      <c r="K234">
        <f>IF($A234="","",IF(LEFT($A234,3)="CAP","سرمایه و آورده صاحبان",IF(LEFT($A234,2)="SL","بارفروش",IF(LEFT($A234,2)="BD","باسکول دیگران",IF(LEFT($A234,1)="C","باغدار",IF(LEFT($A234,1)="S","فروشنده سبد/تأمین‌کننده",IF(LEFT($A234,1)="E","کارمند",IF(LEFT($A234,1)="X","سایر حساب",IF(LEFT($A234,1)="F","دارایی ثابت",IF(LEFT($A234,1)="L","وام و تسهیلات",""))))))))))</f>
        <v>Format(font_name='Tahoma', font_size=8.5, bold=0, italic=0, underline=0, font_color=None, num_format='General', text_h_align=3, text_v_align=2, fg_color=None, bg_color=Color(value=0xFCFAF3, type=RGB, is_automatic=False), pattern=0, locked=1, hidden=0)</v>
      </c>
      <c r="L234" s="65"/>
      <c r="M234">
        <f>IF(OR($B234="",$A234=""),"",IF(OR($B234=$K234,AND(LEFT($A234,1)="S",OR($B234="فروشنده سبد",$B234="تأمین‌کننده")),AND(LEFT($A234,2)="BD",$B234="باسکول دیگران")),"✓","⚠"))</f>
        <v>Format(font_name='Tahoma', font_size=8.5, bold=0, italic=0, underline=0, font_color=None, num_format='General', text_h_align=3, text_v_align=2, fg_color=None, bg_color=Color(value=0xFCFAF3, type=RGB, is_automatic=False), pattern=0, locked=1, hidden=0)</v>
      </c>
    </row>
    <row r="235" spans="1:13" ht="21" customHeight="1">
      <c r="A235" s="67" t="s">
        <v>672</v>
      </c>
      <c r="B235" s="64"/>
      <c r="C235" s="65"/>
      <c r="D235" s="65"/>
      <c r="E235" s="65"/>
      <c r="F235" s="65"/>
      <c r="G235" s="65"/>
      <c r="H235" s="68">
        <v>0</v>
      </c>
      <c r="I235" s="64"/>
      <c r="J235" s="64"/>
      <c r="K235">
        <f>IF($A235="","",IF(LEFT($A235,3)="CAP","سرمایه و آورده صاحبان",IF(LEFT($A235,2)="SL","بارفروش",IF(LEFT($A235,2)="BD","باسکول دیگران",IF(LEFT($A235,1)="C","باغدار",IF(LEFT($A235,1)="S","فروشنده سبد/تأمین‌کننده",IF(LEFT($A235,1)="E","کارمند",IF(LEFT($A235,1)="X","سایر حساب",IF(LEFT($A235,1)="F","دارایی ثابت",IF(LEFT($A235,1)="L","وام و تسهیلات",""))))))))))</f>
        <v>Format(font_name='Tahoma', font_size=8.5, bold=0, italic=0, underline=0, font_color=None, num_format='General', text_h_align=3, text_v_align=2, fg_color=None, bg_color=Color(value=0xFCFAF3, type=RGB, is_automatic=False), pattern=0, locked=1, hidden=0)</v>
      </c>
      <c r="L235" s="65"/>
      <c r="M235">
        <f>IF(OR($B235="",$A235=""),"",IF(OR($B235=$K235,AND(LEFT($A235,1)="S",OR($B235="فروشنده سبد",$B235="تأمین‌کننده")),AND(LEFT($A235,2)="BD",$B235="باسکول دیگران")),"✓","⚠"))</f>
        <v>Format(font_name='Tahoma', font_size=8.5, bold=0, italic=0, underline=0, font_color=None, num_format='General', text_h_align=3, text_v_align=2, fg_color=None, bg_color=Color(value=0xFCFAF3, type=RGB, is_automatic=False), pattern=0, locked=1, hidden=0)</v>
      </c>
    </row>
    <row r="236" spans="1:13" ht="21" customHeight="1">
      <c r="A236" s="67" t="s">
        <v>673</v>
      </c>
      <c r="B236" s="64"/>
      <c r="C236" s="65"/>
      <c r="D236" s="65"/>
      <c r="E236" s="65"/>
      <c r="F236" s="65"/>
      <c r="G236" s="65"/>
      <c r="H236" s="68">
        <v>0</v>
      </c>
      <c r="I236" s="64"/>
      <c r="J236" s="64"/>
      <c r="K236">
        <f>IF($A236="","",IF(LEFT($A236,3)="CAP","سرمایه و آورده صاحبان",IF(LEFT($A236,2)="SL","بارفروش",IF(LEFT($A236,2)="BD","باسکول دیگران",IF(LEFT($A236,1)="C","باغدار",IF(LEFT($A236,1)="S","فروشنده سبد/تأمین‌کننده",IF(LEFT($A236,1)="E","کارمند",IF(LEFT($A236,1)="X","سایر حساب",IF(LEFT($A236,1)="F","دارایی ثابت",IF(LEFT($A236,1)="L","وام و تسهیلات",""))))))))))</f>
        <v>Format(font_name='Tahoma', font_size=8.5, bold=0, italic=0, underline=0, font_color=None, num_format='General', text_h_align=3, text_v_align=2, fg_color=None, bg_color=Color(value=0xFCFAF3, type=RGB, is_automatic=False), pattern=0, locked=1, hidden=0)</v>
      </c>
      <c r="L236" s="65"/>
      <c r="M236">
        <f>IF(OR($B236="",$A236=""),"",IF(OR($B236=$K236,AND(LEFT($A236,1)="S",OR($B236="فروشنده سبد",$B236="تأمین‌کننده")),AND(LEFT($A236,2)="BD",$B236="باسکول دیگران")),"✓","⚠"))</f>
        <v>Format(font_name='Tahoma', font_size=8.5, bold=0, italic=0, underline=0, font_color=None, num_format='General', text_h_align=3, text_v_align=2, fg_color=None, bg_color=Color(value=0xFCFAF3, type=RGB, is_automatic=False), pattern=0, locked=1, hidden=0)</v>
      </c>
    </row>
    <row r="237" spans="1:13" ht="21" customHeight="1">
      <c r="A237" s="67" t="s">
        <v>674</v>
      </c>
      <c r="B237" s="64"/>
      <c r="C237" s="65"/>
      <c r="D237" s="65"/>
      <c r="E237" s="65"/>
      <c r="F237" s="65"/>
      <c r="G237" s="65"/>
      <c r="H237" s="68">
        <v>0</v>
      </c>
      <c r="I237" s="64"/>
      <c r="J237" s="64"/>
      <c r="K237">
        <f>IF($A237="","",IF(LEFT($A237,3)="CAP","سرمایه و آورده صاحبان",IF(LEFT($A237,2)="SL","بارفروش",IF(LEFT($A237,2)="BD","باسکول دیگران",IF(LEFT($A237,1)="C","باغدار",IF(LEFT($A237,1)="S","فروشنده سبد/تأمین‌کننده",IF(LEFT($A237,1)="E","کارمند",IF(LEFT($A237,1)="X","سایر حساب",IF(LEFT($A237,1)="F","دارایی ثابت",IF(LEFT($A237,1)="L","وام و تسهیلات",""))))))))))</f>
        <v>Format(font_name='Tahoma', font_size=8.5, bold=0, italic=0, underline=0, font_color=None, num_format='General', text_h_align=3, text_v_align=2, fg_color=None, bg_color=Color(value=0xFCFAF3, type=RGB, is_automatic=False), pattern=0, locked=1, hidden=0)</v>
      </c>
      <c r="L237" s="65"/>
      <c r="M237">
        <f>IF(OR($B237="",$A237=""),"",IF(OR($B237=$K237,AND(LEFT($A237,1)="S",OR($B237="فروشنده سبد",$B237="تأمین‌کننده")),AND(LEFT($A237,2)="BD",$B237="باسکول دیگران")),"✓","⚠"))</f>
        <v>Format(font_name='Tahoma', font_size=8.5, bold=0, italic=0, underline=0, font_color=None, num_format='General', text_h_align=3, text_v_align=2, fg_color=None, bg_color=Color(value=0xFCFAF3, type=RGB, is_automatic=False), pattern=0, locked=1, hidden=0)</v>
      </c>
    </row>
    <row r="238" spans="1:13" ht="21" customHeight="1">
      <c r="A238" s="67" t="s">
        <v>675</v>
      </c>
      <c r="B238" s="64"/>
      <c r="C238" s="65"/>
      <c r="D238" s="65"/>
      <c r="E238" s="65"/>
      <c r="F238" s="65"/>
      <c r="G238" s="65"/>
      <c r="H238" s="68">
        <v>0</v>
      </c>
      <c r="I238" s="64"/>
      <c r="J238" s="64"/>
      <c r="K238">
        <f>IF($A238="","",IF(LEFT($A238,3)="CAP","سرمایه و آورده صاحبان",IF(LEFT($A238,2)="SL","بارفروش",IF(LEFT($A238,2)="BD","باسکول دیگران",IF(LEFT($A238,1)="C","باغدار",IF(LEFT($A238,1)="S","فروشنده سبد/تأمین‌کننده",IF(LEFT($A238,1)="E","کارمند",IF(LEFT($A238,1)="X","سایر حساب",IF(LEFT($A238,1)="F","دارایی ثابت",IF(LEFT($A238,1)="L","وام و تسهیلات",""))))))))))</f>
        <v>Format(font_name='Tahoma', font_size=8.5, bold=0, italic=0, underline=0, font_color=None, num_format='General', text_h_align=3, text_v_align=2, fg_color=None, bg_color=Color(value=0xFCFAF3, type=RGB, is_automatic=False), pattern=0, locked=1, hidden=0)</v>
      </c>
      <c r="L238" s="65"/>
      <c r="M238">
        <f>IF(OR($B238="",$A238=""),"",IF(OR($B238=$K238,AND(LEFT($A238,1)="S",OR($B238="فروشنده سبد",$B238="تأمین‌کننده")),AND(LEFT($A238,2)="BD",$B238="باسکول دیگران")),"✓","⚠"))</f>
        <v>Format(font_name='Tahoma', font_size=8.5, bold=0, italic=0, underline=0, font_color=None, num_format='General', text_h_align=3, text_v_align=2, fg_color=None, bg_color=Color(value=0xFCFAF3, type=RGB, is_automatic=False), pattern=0, locked=1, hidden=0)</v>
      </c>
    </row>
    <row r="239" spans="1:13" ht="21" customHeight="1">
      <c r="A239" s="67" t="s">
        <v>676</v>
      </c>
      <c r="B239" s="64"/>
      <c r="C239" s="65"/>
      <c r="D239" s="65"/>
      <c r="E239" s="65"/>
      <c r="F239" s="65"/>
      <c r="G239" s="65"/>
      <c r="H239" s="68">
        <v>0</v>
      </c>
      <c r="I239" s="64"/>
      <c r="J239" s="64"/>
      <c r="K239">
        <f>IF($A239="","",IF(LEFT($A239,3)="CAP","سرمایه و آورده صاحبان",IF(LEFT($A239,2)="SL","بارفروش",IF(LEFT($A239,2)="BD","باسکول دیگران",IF(LEFT($A239,1)="C","باغدار",IF(LEFT($A239,1)="S","فروشنده سبد/تأمین‌کننده",IF(LEFT($A239,1)="E","کارمند",IF(LEFT($A239,1)="X","سایر حساب",IF(LEFT($A239,1)="F","دارایی ثابت",IF(LEFT($A239,1)="L","وام و تسهیلات",""))))))))))</f>
        <v>Format(font_name='Tahoma', font_size=8.5, bold=0, italic=0, underline=0, font_color=None, num_format='General', text_h_align=3, text_v_align=2, fg_color=None, bg_color=Color(value=0xFCFAF3, type=RGB, is_automatic=False), pattern=0, locked=1, hidden=0)</v>
      </c>
      <c r="L239" s="65"/>
      <c r="M239">
        <f>IF(OR($B239="",$A239=""),"",IF(OR($B239=$K239,AND(LEFT($A239,1)="S",OR($B239="فروشنده سبد",$B239="تأمین‌کننده")),AND(LEFT($A239,2)="BD",$B239="باسکول دیگران")),"✓","⚠"))</f>
        <v>Format(font_name='Tahoma', font_size=8.5, bold=0, italic=0, underline=0, font_color=None, num_format='General', text_h_align=3, text_v_align=2, fg_color=None, bg_color=Color(value=0xFCFAF3, type=RGB, is_automatic=False), pattern=0, locked=1, hidden=0)</v>
      </c>
    </row>
    <row r="240" spans="1:13" ht="21" customHeight="1">
      <c r="A240" s="67" t="s">
        <v>677</v>
      </c>
      <c r="B240" s="64"/>
      <c r="C240" s="65"/>
      <c r="D240" s="65"/>
      <c r="E240" s="65"/>
      <c r="F240" s="65"/>
      <c r="G240" s="65"/>
      <c r="H240" s="68">
        <v>0</v>
      </c>
      <c r="I240" s="64"/>
      <c r="J240" s="64"/>
      <c r="K240">
        <f>IF($A240="","",IF(LEFT($A240,3)="CAP","سرمایه و آورده صاحبان",IF(LEFT($A240,2)="SL","بارفروش",IF(LEFT($A240,2)="BD","باسکول دیگران",IF(LEFT($A240,1)="C","باغدار",IF(LEFT($A240,1)="S","فروشنده سبد/تأمین‌کننده",IF(LEFT($A240,1)="E","کارمند",IF(LEFT($A240,1)="X","سایر حساب",IF(LEFT($A240,1)="F","دارایی ثابت",IF(LEFT($A240,1)="L","وام و تسهیلات",""))))))))))</f>
        <v>Format(font_name='Tahoma', font_size=8.5, bold=0, italic=0, underline=0, font_color=None, num_format='General', text_h_align=3, text_v_align=2, fg_color=None, bg_color=Color(value=0xFCFAF3, type=RGB, is_automatic=False), pattern=0, locked=1, hidden=0)</v>
      </c>
      <c r="L240" s="65"/>
      <c r="M240">
        <f>IF(OR($B240="",$A240=""),"",IF(OR($B240=$K240,AND(LEFT($A240,1)="S",OR($B240="فروشنده سبد",$B240="تأمین‌کننده")),AND(LEFT($A240,2)="BD",$B240="باسکول دیگران")),"✓","⚠"))</f>
        <v>Format(font_name='Tahoma', font_size=8.5, bold=0, italic=0, underline=0, font_color=None, num_format='General', text_h_align=3, text_v_align=2, fg_color=None, bg_color=Color(value=0xFCFAF3, type=RGB, is_automatic=False), pattern=0, locked=1, hidden=0)</v>
      </c>
    </row>
    <row r="241" spans="1:13" ht="21" customHeight="1">
      <c r="A241" s="67" t="s">
        <v>678</v>
      </c>
      <c r="B241" s="64"/>
      <c r="C241" s="65"/>
      <c r="D241" s="65"/>
      <c r="E241" s="65"/>
      <c r="F241" s="65"/>
      <c r="G241" s="65"/>
      <c r="H241" s="68">
        <v>0</v>
      </c>
      <c r="I241" s="64"/>
      <c r="J241" s="64"/>
      <c r="K241">
        <f>IF($A241="","",IF(LEFT($A241,3)="CAP","سرمایه و آورده صاحبان",IF(LEFT($A241,2)="SL","بارفروش",IF(LEFT($A241,2)="BD","باسکول دیگران",IF(LEFT($A241,1)="C","باغدار",IF(LEFT($A241,1)="S","فروشنده سبد/تأمین‌کننده",IF(LEFT($A241,1)="E","کارمند",IF(LEFT($A241,1)="X","سایر حساب",IF(LEFT($A241,1)="F","دارایی ثابت",IF(LEFT($A241,1)="L","وام و تسهیلات",""))))))))))</f>
        <v>Format(font_name='Tahoma', font_size=8.5, bold=0, italic=0, underline=0, font_color=None, num_format='General', text_h_align=3, text_v_align=2, fg_color=None, bg_color=Color(value=0xFCFAF3, type=RGB, is_automatic=False), pattern=0, locked=1, hidden=0)</v>
      </c>
      <c r="L241" s="65"/>
      <c r="M241">
        <f>IF(OR($B241="",$A241=""),"",IF(OR($B241=$K241,AND(LEFT($A241,1)="S",OR($B241="فروشنده سبد",$B241="تأمین‌کننده")),AND(LEFT($A241,2)="BD",$B241="باسکول دیگران")),"✓","⚠"))</f>
        <v>Format(font_name='Tahoma', font_size=8.5, bold=0, italic=0, underline=0, font_color=None, num_format='General', text_h_align=3, text_v_align=2, fg_color=None, bg_color=Color(value=0xFCFAF3, type=RGB, is_automatic=False), pattern=0, locked=1, hidden=0)</v>
      </c>
    </row>
    <row r="242" spans="1:13" ht="21" customHeight="1">
      <c r="A242" s="67" t="s">
        <v>679</v>
      </c>
      <c r="B242" s="64"/>
      <c r="C242" s="65"/>
      <c r="D242" s="65"/>
      <c r="E242" s="65"/>
      <c r="F242" s="65"/>
      <c r="G242" s="65"/>
      <c r="H242" s="68">
        <v>0</v>
      </c>
      <c r="I242" s="64"/>
      <c r="J242" s="64"/>
      <c r="K242">
        <f>IF($A242="","",IF(LEFT($A242,3)="CAP","سرمایه و آورده صاحبان",IF(LEFT($A242,2)="SL","بارفروش",IF(LEFT($A242,2)="BD","باسکول دیگران",IF(LEFT($A242,1)="C","باغدار",IF(LEFT($A242,1)="S","فروشنده سبد/تأمین‌کننده",IF(LEFT($A242,1)="E","کارمند",IF(LEFT($A242,1)="X","سایر حساب",IF(LEFT($A242,1)="F","دارایی ثابت",IF(LEFT($A242,1)="L","وام و تسهیلات",""))))))))))</f>
        <v>Format(font_name='Tahoma', font_size=8.5, bold=0, italic=0, underline=0, font_color=None, num_format='General', text_h_align=3, text_v_align=2, fg_color=None, bg_color=Color(value=0xFCFAF3, type=RGB, is_automatic=False), pattern=0, locked=1, hidden=0)</v>
      </c>
      <c r="L242" s="65"/>
      <c r="M242">
        <f>IF(OR($B242="",$A242=""),"",IF(OR($B242=$K242,AND(LEFT($A242,1)="S",OR($B242="فروشنده سبد",$B242="تأمین‌کننده")),AND(LEFT($A242,2)="BD",$B242="باسکول دیگران")),"✓","⚠"))</f>
        <v>Format(font_name='Tahoma', font_size=8.5, bold=0, italic=0, underline=0, font_color=None, num_format='General', text_h_align=3, text_v_align=2, fg_color=None, bg_color=Color(value=0xFCFAF3, type=RGB, is_automatic=False), pattern=0, locked=1, hidden=0)</v>
      </c>
    </row>
    <row r="243" spans="1:13" ht="21" customHeight="1">
      <c r="A243" s="67" t="s">
        <v>680</v>
      </c>
      <c r="B243" s="64"/>
      <c r="C243" s="65"/>
      <c r="D243" s="65"/>
      <c r="E243" s="65"/>
      <c r="F243" s="65"/>
      <c r="G243" s="65"/>
      <c r="H243" s="68">
        <v>0</v>
      </c>
      <c r="I243" s="64"/>
      <c r="J243" s="64"/>
      <c r="K243">
        <f>IF($A243="","",IF(LEFT($A243,3)="CAP","سرمایه و آورده صاحبان",IF(LEFT($A243,2)="SL","بارفروش",IF(LEFT($A243,2)="BD","باسکول دیگران",IF(LEFT($A243,1)="C","باغدار",IF(LEFT($A243,1)="S","فروشنده سبد/تأمین‌کننده",IF(LEFT($A243,1)="E","کارمند",IF(LEFT($A243,1)="X","سایر حساب",IF(LEFT($A243,1)="F","دارایی ثابت",IF(LEFT($A243,1)="L","وام و تسهیلات",""))))))))))</f>
        <v>Format(font_name='Tahoma', font_size=8.5, bold=0, italic=0, underline=0, font_color=None, num_format='General', text_h_align=3, text_v_align=2, fg_color=None, bg_color=Color(value=0xFCFAF3, type=RGB, is_automatic=False), pattern=0, locked=1, hidden=0)</v>
      </c>
      <c r="L243" s="65"/>
      <c r="M243">
        <f>IF(OR($B243="",$A243=""),"",IF(OR($B243=$K243,AND(LEFT($A243,1)="S",OR($B243="فروشنده سبد",$B243="تأمین‌کننده")),AND(LEFT($A243,2)="BD",$B243="باسکول دیگران")),"✓","⚠"))</f>
        <v>Format(font_name='Tahoma', font_size=8.5, bold=0, italic=0, underline=0, font_color=None, num_format='General', text_h_align=3, text_v_align=2, fg_color=None, bg_color=Color(value=0xFCFAF3, type=RGB, is_automatic=False), pattern=0, locked=1, hidden=0)</v>
      </c>
    </row>
    <row r="244" spans="1:13" ht="21" customHeight="1">
      <c r="A244" s="67" t="s">
        <v>681</v>
      </c>
      <c r="B244" s="64"/>
      <c r="C244" s="65"/>
      <c r="D244" s="65"/>
      <c r="E244" s="65"/>
      <c r="F244" s="65"/>
      <c r="G244" s="65"/>
      <c r="H244" s="68">
        <v>0</v>
      </c>
      <c r="I244" s="64"/>
      <c r="J244" s="64"/>
      <c r="K244">
        <f>IF($A244="","",IF(LEFT($A244,3)="CAP","سرمایه و آورده صاحبان",IF(LEFT($A244,2)="SL","بارفروش",IF(LEFT($A244,2)="BD","باسکول دیگران",IF(LEFT($A244,1)="C","باغدار",IF(LEFT($A244,1)="S","فروشنده سبد/تأمین‌کننده",IF(LEFT($A244,1)="E","کارمند",IF(LEFT($A244,1)="X","سایر حساب",IF(LEFT($A244,1)="F","دارایی ثابت",IF(LEFT($A244,1)="L","وام و تسهیلات",""))))))))))</f>
        <v>Format(font_name='Tahoma', font_size=8.5, bold=0, italic=0, underline=0, font_color=None, num_format='General', text_h_align=3, text_v_align=2, fg_color=None, bg_color=Color(value=0xFCFAF3, type=RGB, is_automatic=False), pattern=0, locked=1, hidden=0)</v>
      </c>
      <c r="L244" s="65"/>
      <c r="M244">
        <f>IF(OR($B244="",$A244=""),"",IF(OR($B244=$K244,AND(LEFT($A244,1)="S",OR($B244="فروشنده سبد",$B244="تأمین‌کننده")),AND(LEFT($A244,2)="BD",$B244="باسکول دیگران")),"✓","⚠"))</f>
        <v>Format(font_name='Tahoma', font_size=8.5, bold=0, italic=0, underline=0, font_color=None, num_format='General', text_h_align=3, text_v_align=2, fg_color=None, bg_color=Color(value=0xFCFAF3, type=RGB, is_automatic=False), pattern=0, locked=1, hidden=0)</v>
      </c>
    </row>
    <row r="245" spans="1:13" ht="21" customHeight="1">
      <c r="A245" s="67" t="s">
        <v>682</v>
      </c>
      <c r="B245" s="64"/>
      <c r="C245" s="65"/>
      <c r="D245" s="65"/>
      <c r="E245" s="65"/>
      <c r="F245" s="65"/>
      <c r="G245" s="65"/>
      <c r="H245" s="68">
        <v>0</v>
      </c>
      <c r="I245" s="64"/>
      <c r="J245" s="64"/>
      <c r="K245">
        <f>IF($A245="","",IF(LEFT($A245,3)="CAP","سرمایه و آورده صاحبان",IF(LEFT($A245,2)="SL","بارفروش",IF(LEFT($A245,2)="BD","باسکول دیگران",IF(LEFT($A245,1)="C","باغدار",IF(LEFT($A245,1)="S","فروشنده سبد/تأمین‌کننده",IF(LEFT($A245,1)="E","کارمند",IF(LEFT($A245,1)="X","سایر حساب",IF(LEFT($A245,1)="F","دارایی ثابت",IF(LEFT($A245,1)="L","وام و تسهیلات",""))))))))))</f>
        <v>Format(font_name='Tahoma', font_size=8.5, bold=0, italic=0, underline=0, font_color=None, num_format='General', text_h_align=3, text_v_align=2, fg_color=None, bg_color=Color(value=0xFCFAF3, type=RGB, is_automatic=False), pattern=0, locked=1, hidden=0)</v>
      </c>
      <c r="L245" s="65"/>
      <c r="M245">
        <f>IF(OR($B245="",$A245=""),"",IF(OR($B245=$K245,AND(LEFT($A245,1)="S",OR($B245="فروشنده سبد",$B245="تأمین‌کننده")),AND(LEFT($A245,2)="BD",$B245="باسکول دیگران")),"✓","⚠"))</f>
        <v>Format(font_name='Tahoma', font_size=8.5, bold=0, italic=0, underline=0, font_color=None, num_format='General', text_h_align=3, text_v_align=2, fg_color=None, bg_color=Color(value=0xFCFAF3, type=RGB, is_automatic=False), pattern=0, locked=1, hidden=0)</v>
      </c>
    </row>
    <row r="246" spans="1:13" ht="21" customHeight="1">
      <c r="A246" s="67" t="s">
        <v>683</v>
      </c>
      <c r="B246" s="64"/>
      <c r="C246" s="65"/>
      <c r="D246" s="65"/>
      <c r="E246" s="65"/>
      <c r="F246" s="65"/>
      <c r="G246" s="65"/>
      <c r="H246" s="68">
        <v>0</v>
      </c>
      <c r="I246" s="64"/>
      <c r="J246" s="64"/>
      <c r="K246">
        <f>IF($A246="","",IF(LEFT($A246,3)="CAP","سرمایه و آورده صاحبان",IF(LEFT($A246,2)="SL","بارفروش",IF(LEFT($A246,2)="BD","باسکول دیگران",IF(LEFT($A246,1)="C","باغدار",IF(LEFT($A246,1)="S","فروشنده سبد/تأمین‌کننده",IF(LEFT($A246,1)="E","کارمند",IF(LEFT($A246,1)="X","سایر حساب",IF(LEFT($A246,1)="F","دارایی ثابت",IF(LEFT($A246,1)="L","وام و تسهیلات",""))))))))))</f>
        <v>Format(font_name='Tahoma', font_size=8.5, bold=0, italic=0, underline=0, font_color=None, num_format='General', text_h_align=3, text_v_align=2, fg_color=None, bg_color=Color(value=0xFCFAF3, type=RGB, is_automatic=False), pattern=0, locked=1, hidden=0)</v>
      </c>
      <c r="L246" s="65"/>
      <c r="M246">
        <f>IF(OR($B246="",$A246=""),"",IF(OR($B246=$K246,AND(LEFT($A246,1)="S",OR($B246="فروشنده سبد",$B246="تأمین‌کننده")),AND(LEFT($A246,2)="BD",$B246="باسکول دیگران")),"✓","⚠"))</f>
        <v>Format(font_name='Tahoma', font_size=8.5, bold=0, italic=0, underline=0, font_color=None, num_format='General', text_h_align=3, text_v_align=2, fg_color=None, bg_color=Color(value=0xFCFAF3, type=RGB, is_automatic=False), pattern=0, locked=1, hidden=0)</v>
      </c>
    </row>
    <row r="247" spans="1:13" ht="21" customHeight="1">
      <c r="A247" s="67" t="s">
        <v>684</v>
      </c>
      <c r="B247" s="64"/>
      <c r="C247" s="65"/>
      <c r="D247" s="65"/>
      <c r="E247" s="65"/>
      <c r="F247" s="65"/>
      <c r="G247" s="65"/>
      <c r="H247" s="68">
        <v>0</v>
      </c>
      <c r="I247" s="64"/>
      <c r="J247" s="64"/>
      <c r="K247">
        <f>IF($A247="","",IF(LEFT($A247,3)="CAP","سرمایه و آورده صاحبان",IF(LEFT($A247,2)="SL","بارفروش",IF(LEFT($A247,2)="BD","باسکول دیگران",IF(LEFT($A247,1)="C","باغدار",IF(LEFT($A247,1)="S","فروشنده سبد/تأمین‌کننده",IF(LEFT($A247,1)="E","کارمند",IF(LEFT($A247,1)="X","سایر حساب",IF(LEFT($A247,1)="F","دارایی ثابت",IF(LEFT($A247,1)="L","وام و تسهیلات",""))))))))))</f>
        <v>Format(font_name='Tahoma', font_size=8.5, bold=0, italic=0, underline=0, font_color=None, num_format='General', text_h_align=3, text_v_align=2, fg_color=None, bg_color=Color(value=0xFCFAF3, type=RGB, is_automatic=False), pattern=0, locked=1, hidden=0)</v>
      </c>
      <c r="L247" s="65"/>
      <c r="M247">
        <f>IF(OR($B247="",$A247=""),"",IF(OR($B247=$K247,AND(LEFT($A247,1)="S",OR($B247="فروشنده سبد",$B247="تأمین‌کننده")),AND(LEFT($A247,2)="BD",$B247="باسکول دیگران")),"✓","⚠"))</f>
        <v>Format(font_name='Tahoma', font_size=8.5, bold=0, italic=0, underline=0, font_color=None, num_format='General', text_h_align=3, text_v_align=2, fg_color=None, bg_color=Color(value=0xFCFAF3, type=RGB, is_automatic=False), pattern=0, locked=1, hidden=0)</v>
      </c>
    </row>
    <row r="248" spans="1:13" ht="21" customHeight="1">
      <c r="A248" s="67" t="s">
        <v>685</v>
      </c>
      <c r="B248" s="64"/>
      <c r="C248" s="65"/>
      <c r="D248" s="65"/>
      <c r="E248" s="65"/>
      <c r="F248" s="65"/>
      <c r="G248" s="65"/>
      <c r="H248" s="68">
        <v>0</v>
      </c>
      <c r="I248" s="64"/>
      <c r="J248" s="64"/>
      <c r="K248">
        <f>IF($A248="","",IF(LEFT($A248,3)="CAP","سرمایه و آورده صاحبان",IF(LEFT($A248,2)="SL","بارفروش",IF(LEFT($A248,2)="BD","باسکول دیگران",IF(LEFT($A248,1)="C","باغدار",IF(LEFT($A248,1)="S","فروشنده سبد/تأمین‌کننده",IF(LEFT($A248,1)="E","کارمند",IF(LEFT($A248,1)="X","سایر حساب",IF(LEFT($A248,1)="F","دارایی ثابت",IF(LEFT($A248,1)="L","وام و تسهیلات",""))))))))))</f>
        <v>Format(font_name='Tahoma', font_size=8.5, bold=0, italic=0, underline=0, font_color=None, num_format='General', text_h_align=3, text_v_align=2, fg_color=None, bg_color=Color(value=0xFCFAF3, type=RGB, is_automatic=False), pattern=0, locked=1, hidden=0)</v>
      </c>
      <c r="L248" s="65"/>
      <c r="M248">
        <f>IF(OR($B248="",$A248=""),"",IF(OR($B248=$K248,AND(LEFT($A248,1)="S",OR($B248="فروشنده سبد",$B248="تأمین‌کننده")),AND(LEFT($A248,2)="BD",$B248="باسکول دیگران")),"✓","⚠"))</f>
        <v>Format(font_name='Tahoma', font_size=8.5, bold=0, italic=0, underline=0, font_color=None, num_format='General', text_h_align=3, text_v_align=2, fg_color=None, bg_color=Color(value=0xFCFAF3, type=RGB, is_automatic=False), pattern=0, locked=1, hidden=0)</v>
      </c>
    </row>
    <row r="249" spans="1:13" ht="21" customHeight="1">
      <c r="A249" s="67" t="s">
        <v>686</v>
      </c>
      <c r="B249" s="64"/>
      <c r="C249" s="65"/>
      <c r="D249" s="65"/>
      <c r="E249" s="65"/>
      <c r="F249" s="65"/>
      <c r="G249" s="65"/>
      <c r="H249" s="68">
        <v>0</v>
      </c>
      <c r="I249" s="64"/>
      <c r="J249" s="64"/>
      <c r="K249">
        <f>IF($A249="","",IF(LEFT($A249,3)="CAP","سرمایه و آورده صاحبان",IF(LEFT($A249,2)="SL","بارفروش",IF(LEFT($A249,2)="BD","باسکول دیگران",IF(LEFT($A249,1)="C","باغدار",IF(LEFT($A249,1)="S","فروشنده سبد/تأمین‌کننده",IF(LEFT($A249,1)="E","کارمند",IF(LEFT($A249,1)="X","سایر حساب",IF(LEFT($A249,1)="F","دارایی ثابت",IF(LEFT($A249,1)="L","وام و تسهیلات",""))))))))))</f>
        <v>Format(font_name='Tahoma', font_size=8.5, bold=0, italic=0, underline=0, font_color=None, num_format='General', text_h_align=3, text_v_align=2, fg_color=None, bg_color=Color(value=0xFCFAF3, type=RGB, is_automatic=False), pattern=0, locked=1, hidden=0)</v>
      </c>
      <c r="L249" s="65"/>
      <c r="M249">
        <f>IF(OR($B249="",$A249=""),"",IF(OR($B249=$K249,AND(LEFT($A249,1)="S",OR($B249="فروشنده سبد",$B249="تأمین‌کننده")),AND(LEFT($A249,2)="BD",$B249="باسکول دیگران")),"✓","⚠"))</f>
        <v>Format(font_name='Tahoma', font_size=8.5, bold=0, italic=0, underline=0, font_color=None, num_format='General', text_h_align=3, text_v_align=2, fg_color=None, bg_color=Color(value=0xFCFAF3, type=RGB, is_automatic=False), pattern=0, locked=1, hidden=0)</v>
      </c>
    </row>
    <row r="250" spans="1:13" ht="21" customHeight="1">
      <c r="A250" s="67" t="s">
        <v>687</v>
      </c>
      <c r="B250" s="64"/>
      <c r="C250" s="65"/>
      <c r="D250" s="65"/>
      <c r="E250" s="65"/>
      <c r="F250" s="65"/>
      <c r="G250" s="65"/>
      <c r="H250" s="68">
        <v>0</v>
      </c>
      <c r="I250" s="64"/>
      <c r="J250" s="64"/>
      <c r="K250">
        <f>IF($A250="","",IF(LEFT($A250,3)="CAP","سرمایه و آورده صاحبان",IF(LEFT($A250,2)="SL","بارفروش",IF(LEFT($A250,2)="BD","باسکول دیگران",IF(LEFT($A250,1)="C","باغدار",IF(LEFT($A250,1)="S","فروشنده سبد/تأمین‌کننده",IF(LEFT($A250,1)="E","کارمند",IF(LEFT($A250,1)="X","سایر حساب",IF(LEFT($A250,1)="F","دارایی ثابت",IF(LEFT($A250,1)="L","وام و تسهیلات",""))))))))))</f>
        <v>Format(font_name='Tahoma', font_size=8.5, bold=0, italic=0, underline=0, font_color=None, num_format='General', text_h_align=3, text_v_align=2, fg_color=None, bg_color=Color(value=0xFCFAF3, type=RGB, is_automatic=False), pattern=0, locked=1, hidden=0)</v>
      </c>
      <c r="L250" s="65"/>
      <c r="M250">
        <f>IF(OR($B250="",$A250=""),"",IF(OR($B250=$K250,AND(LEFT($A250,1)="S",OR($B250="فروشنده سبد",$B250="تأمین‌کننده")),AND(LEFT($A250,2)="BD",$B250="باسکول دیگران")),"✓","⚠"))</f>
        <v>Format(font_name='Tahoma', font_size=8.5, bold=0, italic=0, underline=0, font_color=None, num_format='General', text_h_align=3, text_v_align=2, fg_color=None, bg_color=Color(value=0xFCFAF3, type=RGB, is_automatic=False), pattern=0, locked=1, hidden=0)</v>
      </c>
    </row>
    <row r="251" spans="1:13" ht="21" customHeight="1">
      <c r="A251" s="67" t="s">
        <v>688</v>
      </c>
      <c r="B251" s="64"/>
      <c r="C251" s="65"/>
      <c r="D251" s="65"/>
      <c r="E251" s="65"/>
      <c r="F251" s="65"/>
      <c r="G251" s="65"/>
      <c r="H251" s="68">
        <v>0</v>
      </c>
      <c r="I251" s="64"/>
      <c r="J251" s="64"/>
      <c r="K251">
        <f>IF($A251="","",IF(LEFT($A251,3)="CAP","سرمایه و آورده صاحبان",IF(LEFT($A251,2)="SL","بارفروش",IF(LEFT($A251,2)="BD","باسکول دیگران",IF(LEFT($A251,1)="C","باغدار",IF(LEFT($A251,1)="S","فروشنده سبد/تأمین‌کننده",IF(LEFT($A251,1)="E","کارمند",IF(LEFT($A251,1)="X","سایر حساب",IF(LEFT($A251,1)="F","دارایی ثابت",IF(LEFT($A251,1)="L","وام و تسهیلات",""))))))))))</f>
        <v>Format(font_name='Tahoma', font_size=8.5, bold=0, italic=0, underline=0, font_color=None, num_format='General', text_h_align=3, text_v_align=2, fg_color=None, bg_color=Color(value=0xFCFAF3, type=RGB, is_automatic=False), pattern=0, locked=1, hidden=0)</v>
      </c>
      <c r="L251" s="65"/>
      <c r="M251">
        <f>IF(OR($B251="",$A251=""),"",IF(OR($B251=$K251,AND(LEFT($A251,1)="S",OR($B251="فروشنده سبد",$B251="تأمین‌کننده")),AND(LEFT($A251,2)="BD",$B251="باسکول دیگران")),"✓","⚠"))</f>
        <v>Format(font_name='Tahoma', font_size=8.5, bold=0, italic=0, underline=0, font_color=None, num_format='General', text_h_align=3, text_v_align=2, fg_color=None, bg_color=Color(value=0xFCFAF3, type=RGB, is_automatic=False), pattern=0, locked=1, hidden=0)</v>
      </c>
    </row>
    <row r="252" spans="1:13" ht="21" customHeight="1">
      <c r="A252" s="67" t="s">
        <v>689</v>
      </c>
      <c r="B252" s="64"/>
      <c r="C252" s="65"/>
      <c r="D252" s="65"/>
      <c r="E252" s="65"/>
      <c r="F252" s="65"/>
      <c r="G252" s="65"/>
      <c r="H252" s="68">
        <v>0</v>
      </c>
      <c r="I252" s="64"/>
      <c r="J252" s="64"/>
      <c r="K252">
        <f>IF($A252="","",IF(LEFT($A252,3)="CAP","سرمایه و آورده صاحبان",IF(LEFT($A252,2)="SL","بارفروش",IF(LEFT($A252,2)="BD","باسکول دیگران",IF(LEFT($A252,1)="C","باغدار",IF(LEFT($A252,1)="S","فروشنده سبد/تأمین‌کننده",IF(LEFT($A252,1)="E","کارمند",IF(LEFT($A252,1)="X","سایر حساب",IF(LEFT($A252,1)="F","دارایی ثابت",IF(LEFT($A252,1)="L","وام و تسهیلات",""))))))))))</f>
        <v>Format(font_name='Tahoma', font_size=8.5, bold=0, italic=0, underline=0, font_color=None, num_format='General', text_h_align=3, text_v_align=2, fg_color=None, bg_color=Color(value=0xFCFAF3, type=RGB, is_automatic=False), pattern=0, locked=1, hidden=0)</v>
      </c>
      <c r="L252" s="65"/>
      <c r="M252">
        <f>IF(OR($B252="",$A252=""),"",IF(OR($B252=$K252,AND(LEFT($A252,1)="S",OR($B252="فروشنده سبد",$B252="تأمین‌کننده")),AND(LEFT($A252,2)="BD",$B252="باسکول دیگران")),"✓","⚠"))</f>
        <v>Format(font_name='Tahoma', font_size=8.5, bold=0, italic=0, underline=0, font_color=None, num_format='General', text_h_align=3, text_v_align=2, fg_color=None, bg_color=Color(value=0xFCFAF3, type=RGB, is_automatic=False), pattern=0, locked=1, hidden=0)</v>
      </c>
    </row>
    <row r="253" spans="1:13" ht="21" customHeight="1">
      <c r="A253" s="67" t="s">
        <v>690</v>
      </c>
      <c r="B253" s="64"/>
      <c r="C253" s="65"/>
      <c r="D253" s="65"/>
      <c r="E253" s="65"/>
      <c r="F253" s="65"/>
      <c r="G253" s="65"/>
      <c r="H253" s="68">
        <v>0</v>
      </c>
      <c r="I253" s="64"/>
      <c r="J253" s="64"/>
      <c r="K253">
        <f>IF($A253="","",IF(LEFT($A253,3)="CAP","سرمایه و آورده صاحبان",IF(LEFT($A253,2)="SL","بارفروش",IF(LEFT($A253,2)="BD","باسکول دیگران",IF(LEFT($A253,1)="C","باغدار",IF(LEFT($A253,1)="S","فروشنده سبد/تأمین‌کننده",IF(LEFT($A253,1)="E","کارمند",IF(LEFT($A253,1)="X","سایر حساب",IF(LEFT($A253,1)="F","دارایی ثابت",IF(LEFT($A253,1)="L","وام و تسهیلات",""))))))))))</f>
        <v>Format(font_name='Tahoma', font_size=8.5, bold=0, italic=0, underline=0, font_color=None, num_format='General', text_h_align=3, text_v_align=2, fg_color=None, bg_color=Color(value=0xFCFAF3, type=RGB, is_automatic=False), pattern=0, locked=1, hidden=0)</v>
      </c>
      <c r="L253" s="65"/>
      <c r="M253">
        <f>IF(OR($B253="",$A253=""),"",IF(OR($B253=$K253,AND(LEFT($A253,1)="S",OR($B253="فروشنده سبد",$B253="تأمین‌کننده")),AND(LEFT($A253,2)="BD",$B253="باسکول دیگران")),"✓","⚠"))</f>
        <v>Format(font_name='Tahoma', font_size=8.5, bold=0, italic=0, underline=0, font_color=None, num_format='General', text_h_align=3, text_v_align=2, fg_color=None, bg_color=Color(value=0xFCFAF3, type=RGB, is_automatic=False), pattern=0, locked=1, hidden=0)</v>
      </c>
    </row>
    <row r="254" spans="1:13" ht="21" customHeight="1">
      <c r="A254" s="67" t="s">
        <v>691</v>
      </c>
      <c r="B254" s="64"/>
      <c r="C254" s="65"/>
      <c r="D254" s="65"/>
      <c r="E254" s="65"/>
      <c r="F254" s="65"/>
      <c r="G254" s="65"/>
      <c r="H254" s="68">
        <v>0</v>
      </c>
      <c r="I254" s="64"/>
      <c r="J254" s="64"/>
      <c r="K254">
        <f>IF($A254="","",IF(LEFT($A254,3)="CAP","سرمایه و آورده صاحبان",IF(LEFT($A254,2)="SL","بارفروش",IF(LEFT($A254,2)="BD","باسکول دیگران",IF(LEFT($A254,1)="C","باغدار",IF(LEFT($A254,1)="S","فروشنده سبد/تأمین‌کننده",IF(LEFT($A254,1)="E","کارمند",IF(LEFT($A254,1)="X","سایر حساب",IF(LEFT($A254,1)="F","دارایی ثابت",IF(LEFT($A254,1)="L","وام و تسهیلات",""))))))))))</f>
        <v>Format(font_name='Tahoma', font_size=8.5, bold=0, italic=0, underline=0, font_color=None, num_format='General', text_h_align=3, text_v_align=2, fg_color=None, bg_color=Color(value=0xFCFAF3, type=RGB, is_automatic=False), pattern=0, locked=1, hidden=0)</v>
      </c>
      <c r="L254" s="65"/>
      <c r="M254">
        <f>IF(OR($B254="",$A254=""),"",IF(OR($B254=$K254,AND(LEFT($A254,1)="S",OR($B254="فروشنده سبد",$B254="تأمین‌کننده")),AND(LEFT($A254,2)="BD",$B254="باسکول دیگران")),"✓","⚠"))</f>
        <v>Format(font_name='Tahoma', font_size=8.5, bold=0, italic=0, underline=0, font_color=None, num_format='General', text_h_align=3, text_v_align=2, fg_color=None, bg_color=Color(value=0xFCFAF3, type=RGB, is_automatic=False), pattern=0, locked=1, hidden=0)</v>
      </c>
    </row>
    <row r="255" spans="1:13" ht="21" customHeight="1">
      <c r="A255" s="67" t="s">
        <v>692</v>
      </c>
      <c r="B255" s="64"/>
      <c r="C255" s="65"/>
      <c r="D255" s="65"/>
      <c r="E255" s="65"/>
      <c r="F255" s="65"/>
      <c r="G255" s="65"/>
      <c r="H255" s="68">
        <v>0</v>
      </c>
      <c r="I255" s="64"/>
      <c r="J255" s="64"/>
      <c r="K255">
        <f>IF($A255="","",IF(LEFT($A255,3)="CAP","سرمایه و آورده صاحبان",IF(LEFT($A255,2)="SL","بارفروش",IF(LEFT($A255,2)="BD","باسکول دیگران",IF(LEFT($A255,1)="C","باغدار",IF(LEFT($A255,1)="S","فروشنده سبد/تأمین‌کننده",IF(LEFT($A255,1)="E","کارمند",IF(LEFT($A255,1)="X","سایر حساب",IF(LEFT($A255,1)="F","دارایی ثابت",IF(LEFT($A255,1)="L","وام و تسهیلات",""))))))))))</f>
        <v>Format(font_name='Tahoma', font_size=8.5, bold=0, italic=0, underline=0, font_color=None, num_format='General', text_h_align=3, text_v_align=2, fg_color=None, bg_color=Color(value=0xFCFAF3, type=RGB, is_automatic=False), pattern=0, locked=1, hidden=0)</v>
      </c>
      <c r="L255" s="65"/>
      <c r="M255">
        <f>IF(OR($B255="",$A255=""),"",IF(OR($B255=$K255,AND(LEFT($A255,1)="S",OR($B255="فروشنده سبد",$B255="تأمین‌کننده")),AND(LEFT($A255,2)="BD",$B255="باسکول دیگران")),"✓","⚠"))</f>
        <v>Format(font_name='Tahoma', font_size=8.5, bold=0, italic=0, underline=0, font_color=None, num_format='General', text_h_align=3, text_v_align=2, fg_color=None, bg_color=Color(value=0xFCFAF3, type=RGB, is_automatic=False), pattern=0, locked=1, hidden=0)</v>
      </c>
    </row>
    <row r="256" spans="1:13" ht="21" customHeight="1">
      <c r="A256" s="67" t="s">
        <v>693</v>
      </c>
      <c r="B256" s="64"/>
      <c r="C256" s="65"/>
      <c r="D256" s="65"/>
      <c r="E256" s="65"/>
      <c r="F256" s="65"/>
      <c r="G256" s="65"/>
      <c r="H256" s="68">
        <v>0</v>
      </c>
      <c r="I256" s="64"/>
      <c r="J256" s="64"/>
      <c r="K256">
        <f>IF($A256="","",IF(LEFT($A256,3)="CAP","سرمایه و آورده صاحبان",IF(LEFT($A256,2)="SL","بارفروش",IF(LEFT($A256,2)="BD","باسکول دیگران",IF(LEFT($A256,1)="C","باغدار",IF(LEFT($A256,1)="S","فروشنده سبد/تأمین‌کننده",IF(LEFT($A256,1)="E","کارمند",IF(LEFT($A256,1)="X","سایر حساب",IF(LEFT($A256,1)="F","دارایی ثابت",IF(LEFT($A256,1)="L","وام و تسهیلات",""))))))))))</f>
        <v>Format(font_name='Tahoma', font_size=8.5, bold=0, italic=0, underline=0, font_color=None, num_format='General', text_h_align=3, text_v_align=2, fg_color=None, bg_color=Color(value=0xFCFAF3, type=RGB, is_automatic=False), pattern=0, locked=1, hidden=0)</v>
      </c>
      <c r="L256" s="65"/>
      <c r="M256">
        <f>IF(OR($B256="",$A256=""),"",IF(OR($B256=$K256,AND(LEFT($A256,1)="S",OR($B256="فروشنده سبد",$B256="تأمین‌کننده")),AND(LEFT($A256,2)="BD",$B256="باسکول دیگران")),"✓","⚠"))</f>
        <v>Format(font_name='Tahoma', font_size=8.5, bold=0, italic=0, underline=0, font_color=None, num_format='General', text_h_align=3, text_v_align=2, fg_color=None, bg_color=Color(value=0xFCFAF3, type=RGB, is_automatic=False), pattern=0, locked=1, hidden=0)</v>
      </c>
    </row>
    <row r="257" spans="1:13" ht="21" customHeight="1">
      <c r="A257" s="67" t="s">
        <v>694</v>
      </c>
      <c r="B257" s="64"/>
      <c r="C257" s="65"/>
      <c r="D257" s="65"/>
      <c r="E257" s="65"/>
      <c r="F257" s="65"/>
      <c r="G257" s="65"/>
      <c r="H257" s="68">
        <v>0</v>
      </c>
      <c r="I257" s="64"/>
      <c r="J257" s="64"/>
      <c r="K257">
        <f>IF($A257="","",IF(LEFT($A257,3)="CAP","سرمایه و آورده صاحبان",IF(LEFT($A257,2)="SL","بارفروش",IF(LEFT($A257,2)="BD","باسکول دیگران",IF(LEFT($A257,1)="C","باغدار",IF(LEFT($A257,1)="S","فروشنده سبد/تأمین‌کننده",IF(LEFT($A257,1)="E","کارمند",IF(LEFT($A257,1)="X","سایر حساب",IF(LEFT($A257,1)="F","دارایی ثابت",IF(LEFT($A257,1)="L","وام و تسهیلات",""))))))))))</f>
        <v>Format(font_name='Tahoma', font_size=8.5, bold=0, italic=0, underline=0, font_color=None, num_format='General', text_h_align=3, text_v_align=2, fg_color=None, bg_color=Color(value=0xFCFAF3, type=RGB, is_automatic=False), pattern=0, locked=1, hidden=0)</v>
      </c>
      <c r="L257" s="65"/>
      <c r="M257">
        <f>IF(OR($B257="",$A257=""),"",IF(OR($B257=$K257,AND(LEFT($A257,1)="S",OR($B257="فروشنده سبد",$B257="تأمین‌کننده")),AND(LEFT($A257,2)="BD",$B257="باسکول دیگران")),"✓","⚠"))</f>
        <v>Format(font_name='Tahoma', font_size=8.5, bold=0, italic=0, underline=0, font_color=None, num_format='General', text_h_align=3, text_v_align=2, fg_color=None, bg_color=Color(value=0xFCFAF3, type=RGB, is_automatic=False), pattern=0, locked=1, hidden=0)</v>
      </c>
    </row>
    <row r="258" spans="1:13" ht="21" customHeight="1">
      <c r="A258" s="67" t="s">
        <v>695</v>
      </c>
      <c r="B258" s="64"/>
      <c r="C258" s="65"/>
      <c r="D258" s="65"/>
      <c r="E258" s="65"/>
      <c r="F258" s="65"/>
      <c r="G258" s="65"/>
      <c r="H258" s="68">
        <v>0</v>
      </c>
      <c r="I258" s="64"/>
      <c r="J258" s="64"/>
      <c r="K258">
        <f>IF($A258="","",IF(LEFT($A258,3)="CAP","سرمایه و آورده صاحبان",IF(LEFT($A258,2)="SL","بارفروش",IF(LEFT($A258,2)="BD","باسکول دیگران",IF(LEFT($A258,1)="C","باغدار",IF(LEFT($A258,1)="S","فروشنده سبد/تأمین‌کننده",IF(LEFT($A258,1)="E","کارمند",IF(LEFT($A258,1)="X","سایر حساب",IF(LEFT($A258,1)="F","دارایی ثابت",IF(LEFT($A258,1)="L","وام و تسهیلات",""))))))))))</f>
        <v>Format(font_name='Tahoma', font_size=8.5, bold=0, italic=0, underline=0, font_color=None, num_format='General', text_h_align=3, text_v_align=2, fg_color=None, bg_color=Color(value=0xFCFAF3, type=RGB, is_automatic=False), pattern=0, locked=1, hidden=0)</v>
      </c>
      <c r="L258" s="65"/>
      <c r="M258">
        <f>IF(OR($B258="",$A258=""),"",IF(OR($B258=$K258,AND(LEFT($A258,1)="S",OR($B258="فروشنده سبد",$B258="تأمین‌کننده")),AND(LEFT($A258,2)="BD",$B258="باسکول دیگران")),"✓","⚠"))</f>
        <v>Format(font_name='Tahoma', font_size=8.5, bold=0, italic=0, underline=0, font_color=None, num_format='General', text_h_align=3, text_v_align=2, fg_color=None, bg_color=Color(value=0xFCFAF3, type=RGB, is_automatic=False), pattern=0, locked=1, hidden=0)</v>
      </c>
    </row>
    <row r="259" spans="1:13" ht="21" customHeight="1">
      <c r="A259" s="67" t="s">
        <v>696</v>
      </c>
      <c r="B259" s="64"/>
      <c r="C259" s="65"/>
      <c r="D259" s="65"/>
      <c r="E259" s="65"/>
      <c r="F259" s="65"/>
      <c r="G259" s="65"/>
      <c r="H259" s="68">
        <v>0</v>
      </c>
      <c r="I259" s="64"/>
      <c r="J259" s="64"/>
      <c r="K259">
        <f>IF($A259="","",IF(LEFT($A259,3)="CAP","سرمایه و آورده صاحبان",IF(LEFT($A259,2)="SL","بارفروش",IF(LEFT($A259,2)="BD","باسکول دیگران",IF(LEFT($A259,1)="C","باغدار",IF(LEFT($A259,1)="S","فروشنده سبد/تأمین‌کننده",IF(LEFT($A259,1)="E","کارمند",IF(LEFT($A259,1)="X","سایر حساب",IF(LEFT($A259,1)="F","دارایی ثابت",IF(LEFT($A259,1)="L","وام و تسهیلات",""))))))))))</f>
        <v>Format(font_name='Tahoma', font_size=8.5, bold=0, italic=0, underline=0, font_color=None, num_format='General', text_h_align=3, text_v_align=2, fg_color=None, bg_color=Color(value=0xFCFAF3, type=RGB, is_automatic=False), pattern=0, locked=1, hidden=0)</v>
      </c>
      <c r="L259" s="65"/>
      <c r="M259">
        <f>IF(OR($B259="",$A259=""),"",IF(OR($B259=$K259,AND(LEFT($A259,1)="S",OR($B259="فروشنده سبد",$B259="تأمین‌کننده")),AND(LEFT($A259,2)="BD",$B259="باسکول دیگران")),"✓","⚠"))</f>
        <v>Format(font_name='Tahoma', font_size=8.5, bold=0, italic=0, underline=0, font_color=None, num_format='General', text_h_align=3, text_v_align=2, fg_color=None, bg_color=Color(value=0xFCFAF3, type=RGB, is_automatic=False), pattern=0, locked=1, hidden=0)</v>
      </c>
    </row>
  </sheetData>
  <autoFilter ref="A8:M259"/>
  <mergeCells count="13">
    <mergeCell ref="A1:H1"/>
    <mergeCell ref="I1:M1"/>
    <mergeCell ref="A2:M2"/>
    <mergeCell ref="A3:M3"/>
    <mergeCell ref="G4:M4"/>
    <mergeCell ref="A5:C5"/>
    <mergeCell ref="A6:C6"/>
    <mergeCell ref="D5:F5"/>
    <mergeCell ref="D6:F6"/>
    <mergeCell ref="G5:I5"/>
    <mergeCell ref="G6:I6"/>
    <mergeCell ref="J5:L5"/>
    <mergeCell ref="J6:L6"/>
  </mergeCells>
  <conditionalFormatting sqref="B10:B259">
    <cfRule type="expression" dxfId="10" priority="1">
      <formula>$B10="باغدار"</formula>
    </cfRule>
    <cfRule type="expression" dxfId="11" priority="2">
      <formula>$B10="بارفروش"</formula>
    </cfRule>
    <cfRule type="expression" dxfId="12" priority="3">
      <formula>$B10="فروشنده سبد"</formula>
    </cfRule>
    <cfRule type="expression" dxfId="13" priority="4">
      <formula>$B10="تأمین‌کننده"</formula>
    </cfRule>
    <cfRule type="expression" dxfId="14" priority="5">
      <formula>$B10="کارمند"</formula>
    </cfRule>
    <cfRule type="expression" dxfId="15" priority="6">
      <formula>$B10="سایر حساب"</formula>
    </cfRule>
    <cfRule type="expression" dxfId="16" priority="7">
      <formula>$B10="باسکول دیگران"</formula>
    </cfRule>
    <cfRule type="expression" dxfId="17" priority="8">
      <formula>$B10="دارایی ثابت"</formula>
    </cfRule>
    <cfRule type="expression" dxfId="18" priority="9">
      <formula>$B10="وام و تسهیلات"</formula>
    </cfRule>
    <cfRule type="expression" dxfId="19" priority="10">
      <formula>$B10="سرمایه و آورده صاحبان"</formula>
    </cfRule>
  </conditionalFormatting>
  <conditionalFormatting sqref="M10:M259">
    <cfRule type="expression" dxfId="20" priority="11">
      <formula>$M10="⚠"</formula>
    </cfRule>
  </conditionalFormatting>
  <conditionalFormatting sqref="E10:F259">
    <cfRule type="expression" dxfId="21" priority="12">
      <formula>AND($D10&lt;&gt;"",$F10="")</formula>
    </cfRule>
  </conditionalFormatting>
  <dataValidations count="4">
    <dataValidation type="list" allowBlank="1" showInputMessage="1" showErrorMessage="1" errorTitle="گروه نامعتبر" error="از کشوی گروه انتخاب کنید." sqref="B10:B259">
      <formula1>ListGroups</formula1>
    </dataValidation>
    <dataValidation type="list" errorStyle="warning" allowBlank="1" showInputMessage="1" showErrorMessage="1" errorTitle="زیرگروه" error="زیرگروه از شیت Groups خوانده می‌شود؛ می‌توانید مقدار جدید هم بنویسید." sqref="C10:C259">
      <formula1>ListSubgroups</formula1>
    </dataValidation>
    <dataValidation type="list" allowBlank="1" showInputMessage="1" showErrorMessage="1" sqref="I10:I259">
      <formula1>ListPartyTypes</formula1>
    </dataValidation>
    <dataValidation type="list" allowBlank="1" showInputMessage="1" showErrorMessage="1" sqref="J10:J259">
      <formula1>ListYesNo</formula1>
    </dataValidation>
  </dataValidations>
  <printOptions horizontalCentered="1"/>
  <pageMargins left="0.28" right="0.28" top="0.45" bottom="0.5" header="0.3" footer="0.3"/>
  <pageSetup paperSize="8" fitToHeight="0" orientation="landscape"/>
  <headerFooter>
    <oddHeader>&amp;Lمازندشت&amp;RMAZANDASHT · CITRUS</oddHeader>
    <oddFooter>&amp;Lمازندشت — سورتینگ و بسته‌بندی مرکبات&amp;Cصفحه &amp;P از &amp;N&amp;RMAZANDASHT · 1405</oddFooter>
  </headerFooter>
  <legacyDrawing r:id="rId1"/>
</worksheet>
</file>

<file path=xl/worksheets/sheet6.xml><?xml version="1.0" encoding="utf-8"?>
<worksheet xmlns="http://schemas.openxmlformats.org/spreadsheetml/2006/main" xmlns:r="http://schemas.openxmlformats.org/officeDocument/2006/relationships">
  <sheetPr>
    <tabColor rgb="FFC4623F"/>
    <pageSetUpPr fitToPage="1"/>
  </sheetPr>
  <dimension ref="A1:S33"/>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1" width="7.7109375" customWidth="1"/>
    <col min="2" max="2" width="24.7109375" customWidth="1"/>
    <col min="3" max="3" width="8.7109375" customWidth="1"/>
    <col min="4" max="4" width="11.7109375" customWidth="1"/>
    <col min="5" max="5" width="9.7109375" customWidth="1"/>
    <col min="6" max="6" width="10.7109375" customWidth="1"/>
    <col min="7" max="9" width="12.7109375" customWidth="1"/>
    <col min="10" max="13" width="10.7109375" customWidth="1"/>
    <col min="14" max="15" width="12.7109375" customWidth="1"/>
    <col min="16" max="16" width="9.7109375" customWidth="1"/>
    <col min="17" max="17" width="8.7109375" customWidth="1"/>
    <col min="18" max="18" width="44.7109375" customWidth="1"/>
    <col min="19" max="19" width="7.7109375" customWidth="1"/>
  </cols>
  <sheetData>
    <row r="1" spans="1:19" ht="20.25" customHeight="1">
      <c r="A1" s="30" t="s">
        <v>0</v>
      </c>
      <c r="B1" s="30"/>
      <c r="C1" s="30"/>
      <c r="D1" s="30"/>
      <c r="E1" s="30"/>
      <c r="F1" s="30"/>
      <c r="G1" s="30"/>
      <c r="H1" s="30"/>
      <c r="I1" s="30"/>
      <c r="J1" s="30"/>
      <c r="K1" s="30"/>
      <c r="L1" s="30"/>
      <c r="M1" s="30"/>
      <c r="N1" s="30"/>
      <c r="O1" s="31" t="s">
        <v>1</v>
      </c>
      <c r="P1" s="31"/>
      <c r="Q1" s="31"/>
      <c r="R1" s="31"/>
      <c r="S1" s="31"/>
    </row>
    <row r="2" spans="1:19" ht="38.25" customHeight="1">
      <c r="A2" s="32" t="s">
        <v>697</v>
      </c>
      <c r="B2" s="32"/>
      <c r="C2" s="32"/>
      <c r="D2" s="32"/>
      <c r="E2" s="32"/>
      <c r="F2" s="32"/>
      <c r="G2" s="32"/>
      <c r="H2" s="32"/>
      <c r="I2" s="32"/>
      <c r="J2" s="32"/>
      <c r="K2" s="32"/>
      <c r="L2" s="32"/>
      <c r="M2" s="32"/>
      <c r="N2" s="32"/>
      <c r="O2" s="32"/>
      <c r="P2" s="32"/>
      <c r="Q2" s="32"/>
      <c r="R2" s="32"/>
      <c r="S2" s="32"/>
    </row>
    <row r="3" spans="1:19" ht="45.75" customHeight="1">
      <c r="A3" s="33" t="s">
        <v>698</v>
      </c>
      <c r="B3" s="33"/>
      <c r="C3" s="33"/>
      <c r="D3" s="33"/>
      <c r="E3" s="33"/>
      <c r="F3" s="33"/>
      <c r="G3" s="33"/>
      <c r="H3" s="33"/>
      <c r="I3" s="33"/>
      <c r="J3" s="33"/>
      <c r="K3" s="33"/>
      <c r="L3" s="33"/>
      <c r="M3" s="33"/>
      <c r="N3" s="33"/>
      <c r="O3" s="33"/>
      <c r="P3" s="33"/>
      <c r="Q3" s="33"/>
      <c r="R3" s="33"/>
      <c r="S3" s="33"/>
    </row>
    <row r="4" spans="1:19" ht="24" customHeight="1">
      <c r="A4" s="34" t="s">
        <v>110</v>
      </c>
      <c r="B4" s="35" t="s">
        <v>111</v>
      </c>
      <c r="C4" s="36" t="s">
        <v>112</v>
      </c>
      <c r="D4" s="37" t="s">
        <v>113</v>
      </c>
      <c r="E4" s="38" t="s">
        <v>114</v>
      </c>
      <c r="F4" s="50" t="s">
        <v>165</v>
      </c>
      <c r="G4" s="51" t="s">
        <v>166</v>
      </c>
      <c r="H4" s="51"/>
      <c r="I4" s="51"/>
      <c r="J4" s="51"/>
      <c r="K4" s="51"/>
      <c r="L4" s="51"/>
      <c r="M4" s="51"/>
      <c r="N4" s="51"/>
      <c r="O4" s="51"/>
      <c r="P4" s="51"/>
      <c r="Q4" s="51"/>
      <c r="R4" s="51"/>
      <c r="S4" s="51"/>
    </row>
    <row r="5" spans="1:19" ht="17.25" customHeight="1">
      <c r="A5" s="5" t="s">
        <v>699</v>
      </c>
      <c r="B5" s="5"/>
      <c r="C5" s="5"/>
      <c r="D5" s="5"/>
      <c r="E5" s="5" t="s">
        <v>700</v>
      </c>
      <c r="F5" s="5"/>
      <c r="G5" s="5"/>
      <c r="H5" s="5"/>
      <c r="I5" s="5" t="s">
        <v>701</v>
      </c>
      <c r="J5" s="5"/>
      <c r="K5" s="5"/>
      <c r="L5" s="5"/>
      <c r="M5" s="5" t="s">
        <v>702</v>
      </c>
      <c r="N5" s="5"/>
      <c r="O5" s="5"/>
      <c r="P5" s="5"/>
      <c r="Q5" s="5" t="s">
        <v>703</v>
      </c>
      <c r="R5" s="5"/>
      <c r="S5" s="5"/>
    </row>
    <row r="6" spans="1:19" ht="33" customHeight="1">
      <c r="A6" s="52">
        <f>COUNTIF($B$10:$B$33,"?*")</f>
        <v>0</v>
      </c>
      <c r="B6" s="52"/>
      <c r="C6" s="52"/>
      <c r="D6" s="52"/>
      <c r="E6" s="53">
        <f>COUNTIF($S$10:$S$33,"بله")</f>
        <v>0</v>
      </c>
      <c r="F6" s="53"/>
      <c r="G6" s="53"/>
      <c r="H6" s="53"/>
      <c r="I6" s="55">
        <f>COUNTIF($P$10:$P$33,"بله")</f>
        <v>0</v>
      </c>
      <c r="J6" s="55"/>
      <c r="K6" s="55"/>
      <c r="L6" s="55"/>
      <c r="M6" s="54">
        <f>COUNTIF($B$10:$B$33,"*سبد*")</f>
        <v>0</v>
      </c>
      <c r="N6" s="54"/>
      <c r="O6" s="54"/>
      <c r="P6" s="54"/>
      <c r="Q6" s="62">
        <f>COUNTIF($L$10:$L$33,"بدهکار")+COUNTIF($L$10:$L$33,"بستانکار")</f>
        <v>0</v>
      </c>
      <c r="R6" s="62"/>
      <c r="S6" s="62"/>
    </row>
    <row r="7" spans="1:19" ht="20.25" customHeight="1">
      <c r="A7" s="69" t="s">
        <v>735</v>
      </c>
      <c r="B7" s="69"/>
      <c r="C7" s="70" t="s">
        <v>736</v>
      </c>
      <c r="D7" s="70"/>
      <c r="E7" s="71" t="s">
        <v>737</v>
      </c>
      <c r="F7" s="71"/>
      <c r="G7" s="71"/>
      <c r="H7" s="71"/>
      <c r="I7" s="72" t="s">
        <v>231</v>
      </c>
      <c r="J7" s="72"/>
      <c r="K7" s="73" t="s">
        <v>738</v>
      </c>
      <c r="L7" s="73"/>
      <c r="M7" s="73"/>
      <c r="N7" s="73"/>
      <c r="O7" s="74" t="s">
        <v>739</v>
      </c>
      <c r="P7" s="75" t="s">
        <v>740</v>
      </c>
      <c r="Q7" s="75"/>
      <c r="R7" s="76" t="s">
        <v>741</v>
      </c>
      <c r="S7" s="76"/>
    </row>
    <row r="8" spans="1:19" ht="33.75" customHeight="1">
      <c r="A8" s="42" t="s">
        <v>117</v>
      </c>
      <c r="B8" s="42" t="s">
        <v>704</v>
      </c>
      <c r="C8" s="42" t="s">
        <v>706</v>
      </c>
      <c r="D8" s="42" t="s">
        <v>708</v>
      </c>
      <c r="E8" s="42" t="s">
        <v>710</v>
      </c>
      <c r="F8" s="42" t="s">
        <v>712</v>
      </c>
      <c r="G8" s="42" t="s">
        <v>714</v>
      </c>
      <c r="H8" s="42" t="s">
        <v>716</v>
      </c>
      <c r="I8" s="42" t="s">
        <v>231</v>
      </c>
      <c r="J8" s="42" t="s">
        <v>719</v>
      </c>
      <c r="K8" s="42" t="s">
        <v>721</v>
      </c>
      <c r="L8" s="42" t="s">
        <v>723</v>
      </c>
      <c r="M8" s="42" t="s">
        <v>725</v>
      </c>
      <c r="N8" s="42" t="s">
        <v>727</v>
      </c>
      <c r="O8" s="42" t="s">
        <v>729</v>
      </c>
      <c r="P8" s="42" t="s">
        <v>731</v>
      </c>
      <c r="Q8" s="42" t="s">
        <v>179</v>
      </c>
      <c r="R8" s="42" t="s">
        <v>733</v>
      </c>
      <c r="S8" s="42" t="s">
        <v>285</v>
      </c>
    </row>
    <row r="9" spans="1:19">
      <c r="A9" s="43" t="s">
        <v>118</v>
      </c>
      <c r="B9" s="43" t="s">
        <v>705</v>
      </c>
      <c r="C9" s="43" t="s">
        <v>707</v>
      </c>
      <c r="D9" s="43" t="s">
        <v>709</v>
      </c>
      <c r="E9" s="43" t="s">
        <v>711</v>
      </c>
      <c r="F9" s="43" t="s">
        <v>713</v>
      </c>
      <c r="G9" s="43" t="s">
        <v>715</v>
      </c>
      <c r="H9" s="43" t="s">
        <v>717</v>
      </c>
      <c r="I9" s="43" t="s">
        <v>718</v>
      </c>
      <c r="J9" s="43" t="s">
        <v>720</v>
      </c>
      <c r="K9" s="43" t="s">
        <v>722</v>
      </c>
      <c r="L9" s="43" t="s">
        <v>724</v>
      </c>
      <c r="M9" s="43" t="s">
        <v>726</v>
      </c>
      <c r="N9" s="43" t="s">
        <v>728</v>
      </c>
      <c r="O9" s="43" t="s">
        <v>730</v>
      </c>
      <c r="P9" s="43" t="s">
        <v>732</v>
      </c>
      <c r="Q9" s="43" t="s">
        <v>180</v>
      </c>
      <c r="R9" s="43" t="s">
        <v>734</v>
      </c>
      <c r="S9" s="43" t="s">
        <v>286</v>
      </c>
    </row>
    <row r="10" spans="1:19" ht="33.75" customHeight="1">
      <c r="A10" s="59" t="s">
        <v>742</v>
      </c>
      <c r="B10" s="77" t="s">
        <v>743</v>
      </c>
      <c r="C10" s="59" t="s">
        <v>113</v>
      </c>
      <c r="D10" s="59" t="s">
        <v>744</v>
      </c>
      <c r="E10" s="59" t="s">
        <v>299</v>
      </c>
      <c r="F10" s="59" t="s">
        <v>299</v>
      </c>
      <c r="G10" s="59" t="s">
        <v>745</v>
      </c>
      <c r="H10" s="59" t="s">
        <v>746</v>
      </c>
      <c r="I10" s="59" t="s">
        <v>482</v>
      </c>
      <c r="J10" s="59" t="s">
        <v>747</v>
      </c>
      <c r="K10" s="59" t="s">
        <v>748</v>
      </c>
      <c r="L10" s="59" t="s">
        <v>749</v>
      </c>
      <c r="M10" s="59"/>
      <c r="N10" s="59"/>
      <c r="O10" s="59"/>
      <c r="P10" s="59" t="s">
        <v>299</v>
      </c>
      <c r="Q10" s="59" t="s">
        <v>185</v>
      </c>
      <c r="R10" s="78" t="s">
        <v>750</v>
      </c>
      <c r="S10" s="79" t="s">
        <v>299</v>
      </c>
    </row>
    <row r="11" spans="1:19" ht="33.75" customHeight="1">
      <c r="A11" s="59" t="s">
        <v>751</v>
      </c>
      <c r="B11" s="77" t="s">
        <v>752</v>
      </c>
      <c r="C11" s="59" t="s">
        <v>114</v>
      </c>
      <c r="D11" s="59" t="s">
        <v>753</v>
      </c>
      <c r="E11" s="59" t="s">
        <v>299</v>
      </c>
      <c r="F11" s="59" t="s">
        <v>299</v>
      </c>
      <c r="G11" s="59" t="s">
        <v>745</v>
      </c>
      <c r="H11" s="59" t="s">
        <v>747</v>
      </c>
      <c r="I11" s="59" t="s">
        <v>486</v>
      </c>
      <c r="J11" s="59" t="s">
        <v>746</v>
      </c>
      <c r="K11" s="59" t="s">
        <v>754</v>
      </c>
      <c r="L11" s="59" t="s">
        <v>747</v>
      </c>
      <c r="M11" s="59" t="s">
        <v>755</v>
      </c>
      <c r="N11" s="59" t="s">
        <v>474</v>
      </c>
      <c r="O11" s="59"/>
      <c r="P11" s="59" t="s">
        <v>299</v>
      </c>
      <c r="Q11" s="59" t="s">
        <v>197</v>
      </c>
      <c r="R11" s="78" t="s">
        <v>756</v>
      </c>
      <c r="S11" s="79" t="s">
        <v>299</v>
      </c>
    </row>
    <row r="12" spans="1:19" ht="33.75" customHeight="1">
      <c r="A12" s="59" t="s">
        <v>757</v>
      </c>
      <c r="B12" s="77" t="s">
        <v>758</v>
      </c>
      <c r="C12" s="59" t="s">
        <v>114</v>
      </c>
      <c r="D12" s="59" t="s">
        <v>753</v>
      </c>
      <c r="E12" s="59" t="s">
        <v>299</v>
      </c>
      <c r="F12" s="59" t="s">
        <v>299</v>
      </c>
      <c r="G12" s="59" t="s">
        <v>745</v>
      </c>
      <c r="H12" s="59" t="s">
        <v>747</v>
      </c>
      <c r="I12" s="59" t="s">
        <v>486</v>
      </c>
      <c r="J12" s="59" t="s">
        <v>746</v>
      </c>
      <c r="K12" s="59" t="s">
        <v>754</v>
      </c>
      <c r="L12" s="59" t="s">
        <v>747</v>
      </c>
      <c r="M12" s="59" t="s">
        <v>755</v>
      </c>
      <c r="N12" s="59" t="s">
        <v>474</v>
      </c>
      <c r="O12" s="59"/>
      <c r="P12" s="59" t="s">
        <v>299</v>
      </c>
      <c r="Q12" s="59" t="s">
        <v>197</v>
      </c>
      <c r="R12" s="78" t="s">
        <v>759</v>
      </c>
      <c r="S12" s="79" t="s">
        <v>299</v>
      </c>
    </row>
    <row r="13" spans="1:19" ht="33.75" customHeight="1">
      <c r="A13" s="59" t="s">
        <v>760</v>
      </c>
      <c r="B13" s="77" t="s">
        <v>761</v>
      </c>
      <c r="C13" s="59" t="s">
        <v>114</v>
      </c>
      <c r="D13" s="59" t="s">
        <v>761</v>
      </c>
      <c r="E13" s="59" t="s">
        <v>299</v>
      </c>
      <c r="F13" s="59" t="s">
        <v>299</v>
      </c>
      <c r="G13" s="59" t="s">
        <v>762</v>
      </c>
      <c r="H13" s="59" t="s">
        <v>112</v>
      </c>
      <c r="I13" s="59" t="s">
        <v>490</v>
      </c>
      <c r="J13" s="59" t="s">
        <v>112</v>
      </c>
      <c r="K13" s="59" t="s">
        <v>763</v>
      </c>
      <c r="L13" s="59" t="s">
        <v>749</v>
      </c>
      <c r="M13" s="59"/>
      <c r="N13" s="59"/>
      <c r="O13" s="59"/>
      <c r="P13" s="59" t="s">
        <v>299</v>
      </c>
      <c r="Q13" s="59" t="s">
        <v>206</v>
      </c>
      <c r="R13" s="78" t="s">
        <v>764</v>
      </c>
      <c r="S13" s="79" t="s">
        <v>299</v>
      </c>
    </row>
    <row r="14" spans="1:19" ht="33.75" customHeight="1">
      <c r="A14" s="59" t="s">
        <v>765</v>
      </c>
      <c r="B14" s="77" t="s">
        <v>472</v>
      </c>
      <c r="C14" s="59" t="s">
        <v>749</v>
      </c>
      <c r="D14" s="59" t="s">
        <v>766</v>
      </c>
      <c r="E14" s="59" t="s">
        <v>161</v>
      </c>
      <c r="F14" s="59" t="s">
        <v>161</v>
      </c>
      <c r="G14" s="59" t="s">
        <v>762</v>
      </c>
      <c r="H14" s="59" t="s">
        <v>746</v>
      </c>
      <c r="I14" s="59" t="s">
        <v>755</v>
      </c>
      <c r="J14" s="59" t="s">
        <v>747</v>
      </c>
      <c r="K14" s="59" t="s">
        <v>763</v>
      </c>
      <c r="L14" s="59" t="s">
        <v>749</v>
      </c>
      <c r="M14" s="59"/>
      <c r="N14" s="59"/>
      <c r="O14" s="59" t="s">
        <v>471</v>
      </c>
      <c r="P14" s="59" t="s">
        <v>299</v>
      </c>
      <c r="Q14" s="59" t="s">
        <v>767</v>
      </c>
      <c r="R14" s="78" t="s">
        <v>768</v>
      </c>
      <c r="S14" s="79" t="s">
        <v>299</v>
      </c>
    </row>
    <row r="15" spans="1:19" ht="33.75" customHeight="1">
      <c r="A15" s="59" t="s">
        <v>769</v>
      </c>
      <c r="B15" s="77" t="s">
        <v>242</v>
      </c>
      <c r="C15" s="59" t="s">
        <v>749</v>
      </c>
      <c r="D15" s="59" t="s">
        <v>242</v>
      </c>
      <c r="E15" s="59" t="s">
        <v>161</v>
      </c>
      <c r="F15" s="59" t="s">
        <v>299</v>
      </c>
      <c r="G15" s="59" t="s">
        <v>762</v>
      </c>
      <c r="H15" s="59" t="s">
        <v>747</v>
      </c>
      <c r="I15" s="59" t="s">
        <v>474</v>
      </c>
      <c r="J15" s="59" t="s">
        <v>746</v>
      </c>
      <c r="K15" s="59" t="s">
        <v>763</v>
      </c>
      <c r="L15" s="59" t="s">
        <v>749</v>
      </c>
      <c r="M15" s="59"/>
      <c r="N15" s="59"/>
      <c r="O15" s="59"/>
      <c r="P15" s="59" t="s">
        <v>299</v>
      </c>
      <c r="Q15" s="59" t="s">
        <v>220</v>
      </c>
      <c r="R15" s="78" t="s">
        <v>770</v>
      </c>
      <c r="S15" s="79" t="s">
        <v>299</v>
      </c>
    </row>
    <row r="16" spans="1:19" ht="33.75" customHeight="1">
      <c r="A16" s="59" t="s">
        <v>771</v>
      </c>
      <c r="B16" s="77" t="s">
        <v>772</v>
      </c>
      <c r="C16" s="59" t="s">
        <v>749</v>
      </c>
      <c r="D16" s="59" t="s">
        <v>233</v>
      </c>
      <c r="E16" s="59" t="s">
        <v>161</v>
      </c>
      <c r="F16" s="59" t="s">
        <v>161</v>
      </c>
      <c r="G16" s="59" t="s">
        <v>762</v>
      </c>
      <c r="H16" s="59" t="s">
        <v>749</v>
      </c>
      <c r="I16" s="59"/>
      <c r="J16" s="59" t="s">
        <v>749</v>
      </c>
      <c r="K16" s="59" t="s">
        <v>754</v>
      </c>
      <c r="L16" s="59" t="s">
        <v>747</v>
      </c>
      <c r="M16" s="59" t="s">
        <v>755</v>
      </c>
      <c r="N16" s="59" t="s">
        <v>474</v>
      </c>
      <c r="O16" s="59"/>
      <c r="P16" s="59" t="s">
        <v>299</v>
      </c>
      <c r="Q16" s="59" t="s">
        <v>220</v>
      </c>
      <c r="R16" s="78" t="s">
        <v>773</v>
      </c>
      <c r="S16" s="79" t="s">
        <v>299</v>
      </c>
    </row>
    <row r="17" spans="1:19" ht="33.75" customHeight="1">
      <c r="A17" s="59" t="s">
        <v>774</v>
      </c>
      <c r="B17" s="77" t="s">
        <v>775</v>
      </c>
      <c r="C17" s="59" t="s">
        <v>114</v>
      </c>
      <c r="D17" s="59" t="s">
        <v>744</v>
      </c>
      <c r="E17" s="59" t="s">
        <v>299</v>
      </c>
      <c r="F17" s="59" t="s">
        <v>299</v>
      </c>
      <c r="G17" s="59" t="s">
        <v>745</v>
      </c>
      <c r="H17" s="59" t="s">
        <v>747</v>
      </c>
      <c r="I17" s="59" t="s">
        <v>482</v>
      </c>
      <c r="J17" s="59" t="s">
        <v>746</v>
      </c>
      <c r="K17" s="59" t="s">
        <v>748</v>
      </c>
      <c r="L17" s="59" t="s">
        <v>749</v>
      </c>
      <c r="M17" s="59"/>
      <c r="N17" s="59"/>
      <c r="O17" s="59"/>
      <c r="P17" s="59" t="s">
        <v>299</v>
      </c>
      <c r="Q17" s="59" t="s">
        <v>230</v>
      </c>
      <c r="R17" s="78" t="s">
        <v>776</v>
      </c>
      <c r="S17" s="79" t="s">
        <v>299</v>
      </c>
    </row>
    <row r="18" spans="1:19" ht="33.75" customHeight="1">
      <c r="A18" s="59" t="s">
        <v>777</v>
      </c>
      <c r="B18" s="77" t="s">
        <v>778</v>
      </c>
      <c r="C18" s="59" t="s">
        <v>113</v>
      </c>
      <c r="D18" s="59" t="s">
        <v>753</v>
      </c>
      <c r="E18" s="59" t="s">
        <v>299</v>
      </c>
      <c r="F18" s="59" t="s">
        <v>299</v>
      </c>
      <c r="G18" s="59" t="s">
        <v>745</v>
      </c>
      <c r="H18" s="59" t="s">
        <v>746</v>
      </c>
      <c r="I18" s="59" t="s">
        <v>486</v>
      </c>
      <c r="J18" s="59" t="s">
        <v>747</v>
      </c>
      <c r="K18" s="59" t="s">
        <v>763</v>
      </c>
      <c r="L18" s="59" t="s">
        <v>749</v>
      </c>
      <c r="M18" s="59"/>
      <c r="N18" s="59"/>
      <c r="O18" s="59"/>
      <c r="P18" s="59" t="s">
        <v>299</v>
      </c>
      <c r="Q18" s="59" t="s">
        <v>230</v>
      </c>
      <c r="R18" s="78" t="s">
        <v>779</v>
      </c>
      <c r="S18" s="79" t="s">
        <v>299</v>
      </c>
    </row>
    <row r="19" spans="1:19" ht="33.75" customHeight="1">
      <c r="A19" s="59" t="s">
        <v>780</v>
      </c>
      <c r="B19" s="77" t="s">
        <v>781</v>
      </c>
      <c r="C19" s="59" t="s">
        <v>114</v>
      </c>
      <c r="D19" s="59" t="s">
        <v>234</v>
      </c>
      <c r="E19" s="59" t="s">
        <v>299</v>
      </c>
      <c r="F19" s="59" t="s">
        <v>299</v>
      </c>
      <c r="G19" s="59" t="s">
        <v>745</v>
      </c>
      <c r="H19" s="59" t="s">
        <v>746</v>
      </c>
      <c r="I19" s="59" t="s">
        <v>492</v>
      </c>
      <c r="J19" s="59" t="s">
        <v>747</v>
      </c>
      <c r="K19" s="59" t="s">
        <v>763</v>
      </c>
      <c r="L19" s="59" t="s">
        <v>749</v>
      </c>
      <c r="M19" s="59"/>
      <c r="N19" s="59"/>
      <c r="O19" s="59" t="s">
        <v>482</v>
      </c>
      <c r="P19" s="59" t="s">
        <v>299</v>
      </c>
      <c r="Q19" s="59" t="s">
        <v>230</v>
      </c>
      <c r="R19" s="78" t="s">
        <v>782</v>
      </c>
      <c r="S19" s="79" t="s">
        <v>299</v>
      </c>
    </row>
    <row r="20" spans="1:19" ht="33.75" customHeight="1">
      <c r="A20" s="59" t="s">
        <v>783</v>
      </c>
      <c r="B20" s="77" t="s">
        <v>784</v>
      </c>
      <c r="C20" s="59" t="s">
        <v>114</v>
      </c>
      <c r="D20" s="59" t="s">
        <v>785</v>
      </c>
      <c r="E20" s="59" t="s">
        <v>299</v>
      </c>
      <c r="F20" s="59" t="s">
        <v>161</v>
      </c>
      <c r="G20" s="59" t="s">
        <v>763</v>
      </c>
      <c r="H20" s="59" t="s">
        <v>749</v>
      </c>
      <c r="I20" s="59"/>
      <c r="J20" s="59" t="s">
        <v>749</v>
      </c>
      <c r="K20" s="59" t="s">
        <v>763</v>
      </c>
      <c r="L20" s="59" t="s">
        <v>749</v>
      </c>
      <c r="M20" s="59"/>
      <c r="N20" s="59"/>
      <c r="O20" s="59"/>
      <c r="P20" s="59" t="s">
        <v>299</v>
      </c>
      <c r="Q20" s="59" t="s">
        <v>786</v>
      </c>
      <c r="R20" s="78" t="s">
        <v>787</v>
      </c>
      <c r="S20" s="79" t="s">
        <v>299</v>
      </c>
    </row>
    <row r="21" spans="1:19" ht="33.75" customHeight="1">
      <c r="A21" s="59" t="s">
        <v>788</v>
      </c>
      <c r="B21" s="77" t="s">
        <v>789</v>
      </c>
      <c r="C21" s="59" t="s">
        <v>113</v>
      </c>
      <c r="D21" s="59" t="s">
        <v>209</v>
      </c>
      <c r="E21" s="59" t="s">
        <v>299</v>
      </c>
      <c r="F21" s="59" t="s">
        <v>299</v>
      </c>
      <c r="G21" s="59" t="s">
        <v>745</v>
      </c>
      <c r="H21" s="59" t="s">
        <v>746</v>
      </c>
      <c r="I21" s="59" t="s">
        <v>496</v>
      </c>
      <c r="J21" s="59" t="s">
        <v>747</v>
      </c>
      <c r="K21" s="59" t="s">
        <v>748</v>
      </c>
      <c r="L21" s="59" t="s">
        <v>749</v>
      </c>
      <c r="M21" s="59"/>
      <c r="N21" s="59"/>
      <c r="O21" s="59"/>
      <c r="P21" s="59" t="s">
        <v>299</v>
      </c>
      <c r="Q21" s="59" t="s">
        <v>220</v>
      </c>
      <c r="R21" s="78" t="s">
        <v>790</v>
      </c>
      <c r="S21" s="79" t="s">
        <v>299</v>
      </c>
    </row>
    <row r="22" spans="1:19" ht="33.75" customHeight="1">
      <c r="A22" s="59" t="s">
        <v>791</v>
      </c>
      <c r="B22" s="77" t="s">
        <v>792</v>
      </c>
      <c r="C22" s="59" t="s">
        <v>114</v>
      </c>
      <c r="D22" s="59" t="s">
        <v>209</v>
      </c>
      <c r="E22" s="59" t="s">
        <v>299</v>
      </c>
      <c r="F22" s="59" t="s">
        <v>299</v>
      </c>
      <c r="G22" s="59" t="s">
        <v>745</v>
      </c>
      <c r="H22" s="59" t="s">
        <v>747</v>
      </c>
      <c r="I22" s="59" t="s">
        <v>496</v>
      </c>
      <c r="J22" s="59" t="s">
        <v>746</v>
      </c>
      <c r="K22" s="59" t="s">
        <v>763</v>
      </c>
      <c r="L22" s="59" t="s">
        <v>749</v>
      </c>
      <c r="M22" s="59"/>
      <c r="N22" s="59"/>
      <c r="O22" s="59"/>
      <c r="P22" s="59" t="s">
        <v>299</v>
      </c>
      <c r="Q22" s="59" t="s">
        <v>220</v>
      </c>
      <c r="R22" s="78" t="s">
        <v>793</v>
      </c>
      <c r="S22" s="79" t="s">
        <v>299</v>
      </c>
    </row>
    <row r="23" spans="1:19" ht="33.75" customHeight="1">
      <c r="A23" s="59" t="s">
        <v>794</v>
      </c>
      <c r="B23" s="77" t="s">
        <v>795</v>
      </c>
      <c r="C23" s="59" t="s">
        <v>749</v>
      </c>
      <c r="D23" s="59" t="s">
        <v>233</v>
      </c>
      <c r="E23" s="59" t="s">
        <v>161</v>
      </c>
      <c r="F23" s="59" t="s">
        <v>161</v>
      </c>
      <c r="G23" s="59" t="s">
        <v>762</v>
      </c>
      <c r="H23" s="59" t="s">
        <v>749</v>
      </c>
      <c r="I23" s="59"/>
      <c r="J23" s="59" t="s">
        <v>749</v>
      </c>
      <c r="K23" s="59" t="s">
        <v>754</v>
      </c>
      <c r="L23" s="59" t="s">
        <v>747</v>
      </c>
      <c r="M23" s="59" t="s">
        <v>755</v>
      </c>
      <c r="N23" s="59" t="s">
        <v>474</v>
      </c>
      <c r="O23" s="59"/>
      <c r="P23" s="59" t="s">
        <v>299</v>
      </c>
      <c r="Q23" s="59" t="s">
        <v>220</v>
      </c>
      <c r="R23" s="78" t="s">
        <v>796</v>
      </c>
      <c r="S23" s="79" t="s">
        <v>299</v>
      </c>
    </row>
    <row r="24" spans="1:19" ht="33.75" customHeight="1">
      <c r="A24" s="59" t="s">
        <v>797</v>
      </c>
      <c r="B24" s="77" t="s">
        <v>798</v>
      </c>
      <c r="C24" s="59" t="s">
        <v>113</v>
      </c>
      <c r="D24" s="59" t="s">
        <v>744</v>
      </c>
      <c r="E24" s="59" t="s">
        <v>161</v>
      </c>
      <c r="F24" s="59" t="s">
        <v>299</v>
      </c>
      <c r="G24" s="59" t="s">
        <v>762</v>
      </c>
      <c r="H24" s="59" t="s">
        <v>746</v>
      </c>
      <c r="I24" s="59" t="s">
        <v>484</v>
      </c>
      <c r="J24" s="59" t="s">
        <v>747</v>
      </c>
      <c r="K24" s="59" t="s">
        <v>763</v>
      </c>
      <c r="L24" s="59" t="s">
        <v>749</v>
      </c>
      <c r="M24" s="59"/>
      <c r="N24" s="59"/>
      <c r="O24" s="59"/>
      <c r="P24" s="59" t="s">
        <v>161</v>
      </c>
      <c r="Q24" s="59" t="s">
        <v>206</v>
      </c>
      <c r="R24" s="78" t="s">
        <v>799</v>
      </c>
      <c r="S24" s="79" t="s">
        <v>299</v>
      </c>
    </row>
    <row r="25" spans="1:19" ht="33.75" customHeight="1">
      <c r="A25" s="59" t="s">
        <v>800</v>
      </c>
      <c r="B25" s="77" t="s">
        <v>489</v>
      </c>
      <c r="C25" s="59" t="s">
        <v>114</v>
      </c>
      <c r="D25" s="59" t="s">
        <v>753</v>
      </c>
      <c r="E25" s="59" t="s">
        <v>161</v>
      </c>
      <c r="F25" s="59" t="s">
        <v>299</v>
      </c>
      <c r="G25" s="59" t="s">
        <v>762</v>
      </c>
      <c r="H25" s="59" t="s">
        <v>747</v>
      </c>
      <c r="I25" s="59" t="s">
        <v>488</v>
      </c>
      <c r="J25" s="59" t="s">
        <v>746</v>
      </c>
      <c r="K25" s="59" t="s">
        <v>763</v>
      </c>
      <c r="L25" s="59" t="s">
        <v>749</v>
      </c>
      <c r="M25" s="59"/>
      <c r="N25" s="59"/>
      <c r="O25" s="59"/>
      <c r="P25" s="59" t="s">
        <v>161</v>
      </c>
      <c r="Q25" s="59" t="s">
        <v>206</v>
      </c>
      <c r="R25" s="78" t="s">
        <v>801</v>
      </c>
      <c r="S25" s="79" t="s">
        <v>299</v>
      </c>
    </row>
    <row r="26" spans="1:19" ht="33.75" customHeight="1">
      <c r="A26" s="59" t="s">
        <v>802</v>
      </c>
      <c r="B26" s="77" t="s">
        <v>803</v>
      </c>
      <c r="C26" s="59" t="s">
        <v>114</v>
      </c>
      <c r="D26" s="59" t="s">
        <v>744</v>
      </c>
      <c r="E26" s="59" t="s">
        <v>161</v>
      </c>
      <c r="F26" s="59" t="s">
        <v>299</v>
      </c>
      <c r="G26" s="59" t="s">
        <v>762</v>
      </c>
      <c r="H26" s="59" t="s">
        <v>747</v>
      </c>
      <c r="I26" s="59" t="s">
        <v>484</v>
      </c>
      <c r="J26" s="59" t="s">
        <v>746</v>
      </c>
      <c r="K26" s="59" t="s">
        <v>763</v>
      </c>
      <c r="L26" s="59" t="s">
        <v>749</v>
      </c>
      <c r="M26" s="59"/>
      <c r="N26" s="59"/>
      <c r="O26" s="59"/>
      <c r="P26" s="59" t="s">
        <v>161</v>
      </c>
      <c r="Q26" s="59" t="s">
        <v>206</v>
      </c>
      <c r="R26" s="78" t="s">
        <v>804</v>
      </c>
      <c r="S26" s="79" t="s">
        <v>299</v>
      </c>
    </row>
    <row r="27" spans="1:19" ht="33.75" customHeight="1">
      <c r="A27" s="59" t="s">
        <v>805</v>
      </c>
      <c r="B27" s="77" t="s">
        <v>806</v>
      </c>
      <c r="C27" s="59" t="s">
        <v>113</v>
      </c>
      <c r="D27" s="59" t="s">
        <v>753</v>
      </c>
      <c r="E27" s="59" t="s">
        <v>161</v>
      </c>
      <c r="F27" s="59" t="s">
        <v>299</v>
      </c>
      <c r="G27" s="59" t="s">
        <v>762</v>
      </c>
      <c r="H27" s="59" t="s">
        <v>746</v>
      </c>
      <c r="I27" s="59" t="s">
        <v>488</v>
      </c>
      <c r="J27" s="59" t="s">
        <v>747</v>
      </c>
      <c r="K27" s="59" t="s">
        <v>763</v>
      </c>
      <c r="L27" s="59" t="s">
        <v>749</v>
      </c>
      <c r="M27" s="59"/>
      <c r="N27" s="59"/>
      <c r="O27" s="59"/>
      <c r="P27" s="59" t="s">
        <v>161</v>
      </c>
      <c r="Q27" s="59" t="s">
        <v>206</v>
      </c>
      <c r="R27" s="78" t="s">
        <v>807</v>
      </c>
      <c r="S27" s="79" t="s">
        <v>299</v>
      </c>
    </row>
    <row r="28" spans="1:19" ht="33.75" customHeight="1">
      <c r="A28" s="59" t="s">
        <v>808</v>
      </c>
      <c r="B28" s="77" t="s">
        <v>809</v>
      </c>
      <c r="C28" s="59" t="s">
        <v>114</v>
      </c>
      <c r="D28" s="59" t="s">
        <v>785</v>
      </c>
      <c r="E28" s="59" t="s">
        <v>161</v>
      </c>
      <c r="F28" s="59" t="s">
        <v>161</v>
      </c>
      <c r="G28" s="59" t="s">
        <v>763</v>
      </c>
      <c r="H28" s="59" t="s">
        <v>749</v>
      </c>
      <c r="I28" s="59"/>
      <c r="J28" s="59" t="s">
        <v>749</v>
      </c>
      <c r="K28" s="59" t="s">
        <v>763</v>
      </c>
      <c r="L28" s="59" t="s">
        <v>749</v>
      </c>
      <c r="M28" s="59"/>
      <c r="N28" s="59"/>
      <c r="O28" s="59"/>
      <c r="P28" s="59" t="s">
        <v>161</v>
      </c>
      <c r="Q28" s="59" t="s">
        <v>230</v>
      </c>
      <c r="R28" s="78" t="s">
        <v>810</v>
      </c>
      <c r="S28" s="79" t="s">
        <v>299</v>
      </c>
    </row>
    <row r="29" spans="1:19" ht="33.75" customHeight="1">
      <c r="A29" s="59" t="s">
        <v>811</v>
      </c>
      <c r="B29" s="77"/>
      <c r="C29" s="59"/>
      <c r="D29" s="59"/>
      <c r="E29" s="59"/>
      <c r="F29" s="59"/>
      <c r="G29" s="59"/>
      <c r="H29" s="59"/>
      <c r="I29" s="59"/>
      <c r="J29" s="59"/>
      <c r="K29" s="59"/>
      <c r="L29" s="59"/>
      <c r="M29" s="59"/>
      <c r="N29" s="59"/>
      <c r="O29" s="59"/>
      <c r="P29" s="59"/>
      <c r="Q29" s="59"/>
      <c r="R29" s="78"/>
      <c r="S29" s="79"/>
    </row>
    <row r="30" spans="1:19" ht="33.75" customHeight="1">
      <c r="A30" s="59" t="s">
        <v>812</v>
      </c>
      <c r="B30" s="77"/>
      <c r="C30" s="59"/>
      <c r="D30" s="59"/>
      <c r="E30" s="59"/>
      <c r="F30" s="59"/>
      <c r="G30" s="59"/>
      <c r="H30" s="59"/>
      <c r="I30" s="59"/>
      <c r="J30" s="59"/>
      <c r="K30" s="59"/>
      <c r="L30" s="59"/>
      <c r="M30" s="59"/>
      <c r="N30" s="59"/>
      <c r="O30" s="59"/>
      <c r="P30" s="59"/>
      <c r="Q30" s="59"/>
      <c r="R30" s="78"/>
      <c r="S30" s="79"/>
    </row>
    <row r="31" spans="1:19" ht="33.75" customHeight="1">
      <c r="A31" s="59" t="s">
        <v>813</v>
      </c>
      <c r="B31" s="77"/>
      <c r="C31" s="59"/>
      <c r="D31" s="59"/>
      <c r="E31" s="59"/>
      <c r="F31" s="59"/>
      <c r="G31" s="59"/>
      <c r="H31" s="59"/>
      <c r="I31" s="59"/>
      <c r="J31" s="59"/>
      <c r="K31" s="59"/>
      <c r="L31" s="59"/>
      <c r="M31" s="59"/>
      <c r="N31" s="59"/>
      <c r="O31" s="59"/>
      <c r="P31" s="59"/>
      <c r="Q31" s="59"/>
      <c r="R31" s="78"/>
      <c r="S31" s="79"/>
    </row>
    <row r="32" spans="1:19" ht="33.75" customHeight="1">
      <c r="A32" s="59" t="s">
        <v>814</v>
      </c>
      <c r="B32" s="77"/>
      <c r="C32" s="59"/>
      <c r="D32" s="59"/>
      <c r="E32" s="59"/>
      <c r="F32" s="59"/>
      <c r="G32" s="59"/>
      <c r="H32" s="59"/>
      <c r="I32" s="59"/>
      <c r="J32" s="59"/>
      <c r="K32" s="59"/>
      <c r="L32" s="59"/>
      <c r="M32" s="59"/>
      <c r="N32" s="59"/>
      <c r="O32" s="59"/>
      <c r="P32" s="59"/>
      <c r="Q32" s="59"/>
      <c r="R32" s="78"/>
      <c r="S32" s="79"/>
    </row>
    <row r="33" spans="1:19" ht="33.75" customHeight="1">
      <c r="A33" s="59" t="s">
        <v>815</v>
      </c>
      <c r="B33" s="77"/>
      <c r="C33" s="59"/>
      <c r="D33" s="59"/>
      <c r="E33" s="59"/>
      <c r="F33" s="59"/>
      <c r="G33" s="59"/>
      <c r="H33" s="59"/>
      <c r="I33" s="59"/>
      <c r="J33" s="59"/>
      <c r="K33" s="59"/>
      <c r="L33" s="59"/>
      <c r="M33" s="59"/>
      <c r="N33" s="59"/>
      <c r="O33" s="59"/>
      <c r="P33" s="59"/>
      <c r="Q33" s="59"/>
      <c r="R33" s="78"/>
      <c r="S33" s="79"/>
    </row>
  </sheetData>
  <autoFilter ref="A8:S34"/>
  <mergeCells count="22">
    <mergeCell ref="A1:N1"/>
    <mergeCell ref="O1:S1"/>
    <mergeCell ref="A2:S2"/>
    <mergeCell ref="A3:S3"/>
    <mergeCell ref="G4:S4"/>
    <mergeCell ref="A5:D5"/>
    <mergeCell ref="A6:D6"/>
    <mergeCell ref="E5:H5"/>
    <mergeCell ref="E6:H6"/>
    <mergeCell ref="I5:L5"/>
    <mergeCell ref="I6:L6"/>
    <mergeCell ref="M5:P5"/>
    <mergeCell ref="M6:P6"/>
    <mergeCell ref="Q5:S5"/>
    <mergeCell ref="Q6:S6"/>
    <mergeCell ref="A7:B7"/>
    <mergeCell ref="C7:D7"/>
    <mergeCell ref="E7:H7"/>
    <mergeCell ref="I7:J7"/>
    <mergeCell ref="K7:N7"/>
    <mergeCell ref="P7:Q7"/>
    <mergeCell ref="R7:S7"/>
  </mergeCells>
  <conditionalFormatting sqref="A10:R34">
    <cfRule type="expression" dxfId="22" priority="1">
      <formula>$Q10="mint"</formula>
    </cfRule>
    <cfRule type="expression" dxfId="23" priority="2">
      <formula>$Q10="sky"</formula>
    </cfRule>
    <cfRule type="expression" dxfId="24" priority="3">
      <formula>$Q10="lavender"</formula>
    </cfRule>
    <cfRule type="expression" dxfId="25" priority="4">
      <formula>$Q10="rose"</formula>
    </cfRule>
    <cfRule type="expression" dxfId="26" priority="5">
      <formula>$Q10="sand"</formula>
    </cfRule>
    <cfRule type="expression" dxfId="27" priority="6">
      <formula>$Q10="grey"</formula>
    </cfRule>
    <cfRule type="expression" dxfId="28" priority="7">
      <formula>$Q10="teal"</formula>
    </cfRule>
  </conditionalFormatting>
  <dataValidations count="15">
    <dataValidation type="list" allowBlank="1" showInputMessage="1" showErrorMessage="1" sqref="C10:C34">
      <formula1>ListDirections</formula1>
    </dataValidation>
    <dataValidation type="list" allowBlank="1" showInputMessage="1" showErrorMessage="1" sqref="D10:D34">
      <formula1>ListOpCategories</formula1>
    </dataValidation>
    <dataValidation type="list" allowBlank="1" showInputMessage="1" showErrorMessage="1" sqref="E10:F34">
      <formula1>ListYesNo</formula1>
    </dataValidation>
    <dataValidation type="list" allowBlank="1" showInputMessage="1" showErrorMessage="1" sqref="G10:G34">
      <formula1>ListPartyBasis</formula1>
    </dataValidation>
    <dataValidation type="list" allowBlank="1" showInputMessage="1" showErrorMessage="1" sqref="H10:H34">
      <formula1>ListSides</formula1>
    </dataValidation>
    <dataValidation type="list" errorStyle="warning" allowBlank="1" showInputMessage="1" showErrorMessage="1" errorTitle="حساب معین" error="کد حساب از INFO/Accounts. برای حساب بدون کد، خالی بگذارید." sqref="I10:I34">
      <formula1>ListAllCodes</formula1>
    </dataValidation>
    <dataValidation type="list" allowBlank="1" showInputMessage="1" showErrorMessage="1" sqref="J10:J34">
      <formula1>ListSides</formula1>
    </dataValidation>
    <dataValidation type="list" allowBlank="1" showInputMessage="1" showErrorMessage="1" sqref="K10:K34">
      <formula1>ListManualRoles</formula1>
    </dataValidation>
    <dataValidation type="list" allowBlank="1" showInputMessage="1" showErrorMessage="1" sqref="L10:L34">
      <formula1>ListPosEffects</formula1>
    </dataValidation>
    <dataValidation type="list" allowBlank="1" showInputMessage="1" showErrorMessage="1" sqref="M10:M34">
      <formula1>ListBanks</formula1>
    </dataValidation>
    <dataValidation type="list" errorStyle="warning" allowBlank="1" showInputMessage="1" showErrorMessage="1" sqref="N10:N34">
      <formula1>ListAllCodes</formula1>
    </dataValidation>
    <dataValidation type="list" errorStyle="warning" allowBlank="1" showInputMessage="1" showErrorMessage="1" sqref="O10:O34">
      <formula1>ListAllCodes</formula1>
    </dataValidation>
    <dataValidation type="list" allowBlank="1" showInputMessage="1" showErrorMessage="1" sqref="P10:P34">
      <formula1>ListYesNo</formula1>
    </dataValidation>
    <dataValidation type="list" allowBlank="1" showInputMessage="1" showErrorMessage="1" sqref="Q10:Q34">
      <formula1>ListColorKeys</formula1>
    </dataValidation>
    <dataValidation type="list" allowBlank="1" showInputMessage="1" showErrorMessage="1" sqref="S10:S34">
      <formula1>ListYesNo</formula1>
    </dataValidation>
  </dataValidations>
  <printOptions horizontalCentered="1"/>
  <pageMargins left="0.28" right="0.28" top="0.45" bottom="0.5" header="0.3" footer="0.3"/>
  <pageSetup paperSize="8" fitToHeight="0" orientation="landscape"/>
  <headerFooter>
    <oddHeader>&amp;Lمازندشت&amp;RMAZANDASHT · CITRUS</oddHeader>
    <oddFooter>&amp;Lمازندشت — سورتینگ و بسته‌بندی مرکبات&amp;Cصفحه &amp;P از &amp;N&amp;RMAZANDASHT · 1405</oddFooter>
  </headerFooter>
  <legacyDrawing r:id="rId1"/>
</worksheet>
</file>

<file path=xl/worksheets/sheet7.xml><?xml version="1.0" encoding="utf-8"?>
<worksheet xmlns="http://schemas.openxmlformats.org/spreadsheetml/2006/main" xmlns:r="http://schemas.openxmlformats.org/officeDocument/2006/relationships">
  <sheetPr>
    <tabColor rgb="FF6B4E9E"/>
    <pageSetUpPr fitToPage="1"/>
  </sheetPr>
  <dimension ref="A1:J21"/>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1" width="9.7109375" customWidth="1"/>
    <col min="2" max="2" width="26.7109375" customWidth="1"/>
    <col min="3" max="4" width="11.7109375" customWidth="1"/>
    <col min="5" max="6" width="13.7109375" customWidth="1"/>
    <col min="7" max="7" width="12.7109375" customWidth="1"/>
    <col min="8" max="8" width="26.7109375" customWidth="1"/>
    <col min="9" max="9" width="16.7109375" customWidth="1"/>
    <col min="10" max="10" width="20.7109375" customWidth="1"/>
  </cols>
  <sheetData>
    <row r="1" spans="1:10" ht="20.25" customHeight="1">
      <c r="A1" s="30" t="s">
        <v>0</v>
      </c>
      <c r="B1" s="30"/>
      <c r="C1" s="30"/>
      <c r="D1" s="30"/>
      <c r="E1" s="30"/>
      <c r="F1" s="31" t="s">
        <v>1</v>
      </c>
      <c r="G1" s="31"/>
      <c r="H1" s="31"/>
      <c r="I1" s="31"/>
      <c r="J1" s="31"/>
    </row>
    <row r="2" spans="1:10" ht="38.25" customHeight="1">
      <c r="A2" s="32" t="s">
        <v>816</v>
      </c>
      <c r="B2" s="32"/>
      <c r="C2" s="32"/>
      <c r="D2" s="32"/>
      <c r="E2" s="32"/>
      <c r="F2" s="32"/>
      <c r="G2" s="32"/>
      <c r="H2" s="32"/>
      <c r="I2" s="32"/>
      <c r="J2" s="32"/>
    </row>
    <row r="3" spans="1:10" ht="45.75" customHeight="1">
      <c r="A3" s="33" t="s">
        <v>817</v>
      </c>
      <c r="B3" s="33"/>
      <c r="C3" s="33"/>
      <c r="D3" s="33"/>
      <c r="E3" s="33"/>
      <c r="F3" s="33"/>
      <c r="G3" s="33"/>
      <c r="H3" s="33"/>
      <c r="I3" s="33"/>
      <c r="J3" s="33"/>
    </row>
    <row r="4" spans="1:10" ht="24" customHeight="1">
      <c r="A4" s="34" t="s">
        <v>110</v>
      </c>
      <c r="B4" s="35" t="s">
        <v>111</v>
      </c>
      <c r="C4" s="36" t="s">
        <v>112</v>
      </c>
      <c r="D4" s="37" t="s">
        <v>113</v>
      </c>
      <c r="E4" s="38" t="s">
        <v>114</v>
      </c>
      <c r="F4" s="50" t="s">
        <v>165</v>
      </c>
      <c r="G4" s="51" t="s">
        <v>166</v>
      </c>
      <c r="H4" s="51"/>
      <c r="I4" s="51"/>
      <c r="J4" s="51"/>
    </row>
    <row r="5" spans="1:10" ht="17.25" customHeight="1">
      <c r="A5" s="5" t="s">
        <v>6</v>
      </c>
      <c r="B5" s="5"/>
      <c r="C5" s="5"/>
      <c r="D5" s="5" t="s">
        <v>818</v>
      </c>
      <c r="E5" s="5"/>
      <c r="F5" s="5"/>
      <c r="G5" s="5" t="s">
        <v>819</v>
      </c>
      <c r="H5" s="5"/>
      <c r="I5" s="5"/>
      <c r="J5" s="5" t="s">
        <v>820</v>
      </c>
    </row>
    <row r="6" spans="1:10" ht="33" customHeight="1">
      <c r="A6" s="52">
        <f>COUNTIF($B$10:$B$21,"?*")</f>
        <v>0</v>
      </c>
      <c r="B6" s="52"/>
      <c r="C6" s="52"/>
      <c r="D6" s="53">
        <f>SUM($G$10:$G$21)</f>
        <v>0</v>
      </c>
      <c r="E6" s="53"/>
      <c r="F6" s="53"/>
      <c r="G6" s="80">
        <f>IFERROR(AVERAGEIF($C$10:$C$21,"&gt;0"),0)</f>
        <v>0</v>
      </c>
      <c r="H6" s="80"/>
      <c r="I6" s="80"/>
      <c r="J6" s="81">
        <f>SUM($I$10:$I$21)</f>
        <v>0</v>
      </c>
    </row>
    <row r="7" spans="1:10" ht="6.75" customHeight="1"/>
    <row r="8" spans="1:10" ht="33.75" customHeight="1">
      <c r="A8" s="42" t="s">
        <v>117</v>
      </c>
      <c r="B8" s="42" t="s">
        <v>821</v>
      </c>
      <c r="C8" s="42" t="s">
        <v>823</v>
      </c>
      <c r="D8" s="42" t="s">
        <v>825</v>
      </c>
      <c r="E8" s="42" t="s">
        <v>827</v>
      </c>
      <c r="F8" s="42" t="s">
        <v>829</v>
      </c>
      <c r="G8" s="42" t="s">
        <v>831</v>
      </c>
      <c r="H8" s="42" t="s">
        <v>125</v>
      </c>
      <c r="I8" s="42" t="s">
        <v>820</v>
      </c>
      <c r="J8" s="42" t="s">
        <v>834</v>
      </c>
    </row>
    <row r="9" spans="1:10">
      <c r="A9" s="43" t="s">
        <v>118</v>
      </c>
      <c r="B9" s="43" t="s">
        <v>822</v>
      </c>
      <c r="C9" s="43" t="s">
        <v>824</v>
      </c>
      <c r="D9" s="43" t="s">
        <v>826</v>
      </c>
      <c r="E9" s="43" t="s">
        <v>828</v>
      </c>
      <c r="F9" s="43" t="s">
        <v>830</v>
      </c>
      <c r="G9" s="43" t="s">
        <v>832</v>
      </c>
      <c r="H9" s="43" t="s">
        <v>126</v>
      </c>
      <c r="I9" s="43" t="s">
        <v>833</v>
      </c>
      <c r="J9" s="43" t="s">
        <v>835</v>
      </c>
    </row>
    <row r="10" spans="1:10" ht="23.25" customHeight="1">
      <c r="A10" s="44" t="s">
        <v>836</v>
      </c>
      <c r="B10" s="45" t="s">
        <v>837</v>
      </c>
      <c r="C10" s="82">
        <v>1.5</v>
      </c>
      <c r="D10" s="46">
        <v>6</v>
      </c>
      <c r="E10" s="46">
        <v>45000</v>
      </c>
      <c r="F10" s="46">
        <v>55000</v>
      </c>
      <c r="G10" s="46">
        <v>1200</v>
      </c>
      <c r="H10" s="48"/>
      <c r="I10" s="83">
        <f>IF($A10="","",$G10*$E10)</f>
        <v>0</v>
      </c>
      <c r="J10" s="84">
        <f>IF($B10="","",$A10&amp;" – "&amp;$B10)</f>
        <v>0</v>
      </c>
    </row>
    <row r="11" spans="1:10" ht="23.25" customHeight="1">
      <c r="A11" s="44" t="s">
        <v>838</v>
      </c>
      <c r="B11" s="45" t="s">
        <v>839</v>
      </c>
      <c r="C11" s="82">
        <v>1.5</v>
      </c>
      <c r="D11" s="46">
        <v>6</v>
      </c>
      <c r="E11" s="46">
        <v>48000</v>
      </c>
      <c r="F11" s="46">
        <v>58000</v>
      </c>
      <c r="G11" s="46">
        <v>400</v>
      </c>
      <c r="H11" s="48"/>
      <c r="I11" s="83">
        <f>IF($A11="","",$G11*$E11)</f>
        <v>0</v>
      </c>
      <c r="J11" s="84">
        <f>IF($B11="","",$A11&amp;" – "&amp;$B11)</f>
        <v>0</v>
      </c>
    </row>
    <row r="12" spans="1:10" ht="23.25" customHeight="1">
      <c r="A12" s="44" t="s">
        <v>840</v>
      </c>
      <c r="B12" s="45" t="s">
        <v>841</v>
      </c>
      <c r="C12" s="82">
        <v>1.9</v>
      </c>
      <c r="D12" s="46">
        <v>9</v>
      </c>
      <c r="E12" s="46">
        <v>62000</v>
      </c>
      <c r="F12" s="46">
        <v>75000</v>
      </c>
      <c r="G12" s="46">
        <v>800</v>
      </c>
      <c r="H12" s="48"/>
      <c r="I12" s="83">
        <f>IF($A12="","",$G12*$E12)</f>
        <v>0</v>
      </c>
      <c r="J12" s="84">
        <f>IF($B12="","",$A12&amp;" – "&amp;$B12)</f>
        <v>0</v>
      </c>
    </row>
    <row r="13" spans="1:10" ht="23.25" customHeight="1">
      <c r="A13" s="44" t="s">
        <v>842</v>
      </c>
      <c r="B13" s="45" t="s">
        <v>843</v>
      </c>
      <c r="C13" s="82">
        <v>1.3</v>
      </c>
      <c r="D13" s="46">
        <v>5</v>
      </c>
      <c r="E13" s="46">
        <v>40000</v>
      </c>
      <c r="F13" s="46">
        <v>50000</v>
      </c>
      <c r="G13" s="46">
        <v>300</v>
      </c>
      <c r="H13" s="48"/>
      <c r="I13" s="83">
        <f>IF($A13="","",$G13*$E13)</f>
        <v>0</v>
      </c>
      <c r="J13" s="84">
        <f>IF($B13="","",$A13&amp;" – "&amp;$B13)</f>
        <v>0</v>
      </c>
    </row>
    <row r="14" spans="1:10" ht="23.25" customHeight="1">
      <c r="A14" s="44" t="s">
        <v>844</v>
      </c>
      <c r="B14" s="45" t="s">
        <v>845</v>
      </c>
      <c r="C14" s="82">
        <v>2</v>
      </c>
      <c r="D14" s="46">
        <v>10</v>
      </c>
      <c r="E14" s="46">
        <v>70000</v>
      </c>
      <c r="F14" s="46">
        <v>85000</v>
      </c>
      <c r="G14" s="46">
        <v>250</v>
      </c>
      <c r="H14" s="48"/>
      <c r="I14" s="83">
        <f>IF($A14="","",$G14*$E14)</f>
        <v>0</v>
      </c>
      <c r="J14" s="84">
        <f>IF($B14="","",$A14&amp;" – "&amp;$B14)</f>
        <v>0</v>
      </c>
    </row>
    <row r="15" spans="1:10" ht="23.25" customHeight="1">
      <c r="A15" s="44" t="s">
        <v>846</v>
      </c>
      <c r="B15" s="45" t="s">
        <v>847</v>
      </c>
      <c r="C15" s="82">
        <v>1.1</v>
      </c>
      <c r="D15" s="46">
        <v>4</v>
      </c>
      <c r="E15" s="46">
        <v>35000</v>
      </c>
      <c r="F15" s="46">
        <v>45000</v>
      </c>
      <c r="G15" s="46">
        <v>150</v>
      </c>
      <c r="H15" s="48"/>
      <c r="I15" s="83">
        <f>IF($A15="","",$G15*$E15)</f>
        <v>0</v>
      </c>
      <c r="J15" s="84">
        <f>IF($B15="","",$A15&amp;" – "&amp;$B15)</f>
        <v>0</v>
      </c>
    </row>
    <row r="16" spans="1:10" ht="23.25" customHeight="1">
      <c r="A16" s="44" t="s">
        <v>848</v>
      </c>
      <c r="B16" s="45" t="s">
        <v>849</v>
      </c>
      <c r="C16" s="82">
        <v>1.8</v>
      </c>
      <c r="D16" s="46">
        <v>8</v>
      </c>
      <c r="E16" s="46">
        <v>58000</v>
      </c>
      <c r="F16" s="46">
        <v>70000</v>
      </c>
      <c r="G16" s="46">
        <v>200</v>
      </c>
      <c r="H16" s="48"/>
      <c r="I16" s="83">
        <f>IF($A16="","",$G16*$E16)</f>
        <v>0</v>
      </c>
      <c r="J16" s="84">
        <f>IF($B16="","",$A16&amp;" – "&amp;$B16)</f>
        <v>0</v>
      </c>
    </row>
    <row r="17" spans="1:10" ht="23.25" customHeight="1">
      <c r="A17" s="44" t="s">
        <v>850</v>
      </c>
      <c r="B17" s="45"/>
      <c r="C17" s="82">
        <v>1.5</v>
      </c>
      <c r="D17" s="46">
        <v>6</v>
      </c>
      <c r="E17" s="46">
        <v>0</v>
      </c>
      <c r="F17" s="46">
        <v>0</v>
      </c>
      <c r="G17" s="46">
        <v>0</v>
      </c>
      <c r="H17" s="48"/>
      <c r="I17" s="83">
        <f>IF($A17="","",$G17*$E17)</f>
        <v>0</v>
      </c>
      <c r="J17" s="84">
        <f>IF($B17="","",$A17&amp;" – "&amp;$B17)</f>
        <v>0</v>
      </c>
    </row>
    <row r="18" spans="1:10" ht="23.25" customHeight="1">
      <c r="A18" s="44" t="s">
        <v>851</v>
      </c>
      <c r="B18" s="45"/>
      <c r="C18" s="82">
        <v>1.5</v>
      </c>
      <c r="D18" s="46">
        <v>6</v>
      </c>
      <c r="E18" s="46">
        <v>0</v>
      </c>
      <c r="F18" s="46">
        <v>0</v>
      </c>
      <c r="G18" s="46">
        <v>0</v>
      </c>
      <c r="H18" s="48"/>
      <c r="I18" s="83">
        <f>IF($A18="","",$G18*$E18)</f>
        <v>0</v>
      </c>
      <c r="J18" s="84">
        <f>IF($B18="","",$A18&amp;" – "&amp;$B18)</f>
        <v>0</v>
      </c>
    </row>
    <row r="19" spans="1:10" ht="23.25" customHeight="1">
      <c r="A19" s="44" t="s">
        <v>852</v>
      </c>
      <c r="B19" s="45"/>
      <c r="C19" s="82">
        <v>1.5</v>
      </c>
      <c r="D19" s="46">
        <v>6</v>
      </c>
      <c r="E19" s="46">
        <v>0</v>
      </c>
      <c r="F19" s="46">
        <v>0</v>
      </c>
      <c r="G19" s="46">
        <v>0</v>
      </c>
      <c r="H19" s="48"/>
      <c r="I19" s="83">
        <f>IF($A19="","",$G19*$E19)</f>
        <v>0</v>
      </c>
      <c r="J19" s="84">
        <f>IF($B19="","",$A19&amp;" – "&amp;$B19)</f>
        <v>0</v>
      </c>
    </row>
    <row r="20" spans="1:10" ht="23.25" customHeight="1">
      <c r="A20" s="44" t="s">
        <v>853</v>
      </c>
      <c r="B20" s="45"/>
      <c r="C20" s="82">
        <v>1.5</v>
      </c>
      <c r="D20" s="46">
        <v>6</v>
      </c>
      <c r="E20" s="46">
        <v>0</v>
      </c>
      <c r="F20" s="46">
        <v>0</v>
      </c>
      <c r="G20" s="46">
        <v>0</v>
      </c>
      <c r="H20" s="48"/>
      <c r="I20" s="83">
        <f>IF($A20="","",$G20*$E20)</f>
        <v>0</v>
      </c>
      <c r="J20" s="84">
        <f>IF($B20="","",$A20&amp;" – "&amp;$B20)</f>
        <v>0</v>
      </c>
    </row>
    <row r="21" spans="1:10" ht="23.25" customHeight="1">
      <c r="A21" s="44" t="s">
        <v>854</v>
      </c>
      <c r="B21" s="45"/>
      <c r="C21" s="82">
        <v>1.5</v>
      </c>
      <c r="D21" s="46">
        <v>6</v>
      </c>
      <c r="E21" s="46">
        <v>0</v>
      </c>
      <c r="F21" s="46">
        <v>0</v>
      </c>
      <c r="G21" s="46">
        <v>0</v>
      </c>
      <c r="H21" s="48"/>
      <c r="I21" s="83">
        <f>IF($A21="","",$G21*$E21)</f>
        <v>0</v>
      </c>
      <c r="J21" s="84">
        <f>IF($B21="","",$A21&amp;" – "&amp;$B21)</f>
        <v>0</v>
      </c>
    </row>
  </sheetData>
  <autoFilter ref="A8:J22"/>
  <mergeCells count="11">
    <mergeCell ref="A1:E1"/>
    <mergeCell ref="F1:J1"/>
    <mergeCell ref="A2:J2"/>
    <mergeCell ref="A3:J3"/>
    <mergeCell ref="G4:J4"/>
    <mergeCell ref="A5:C5"/>
    <mergeCell ref="A6:C6"/>
    <mergeCell ref="D5:F5"/>
    <mergeCell ref="D6:F6"/>
    <mergeCell ref="G5:I5"/>
    <mergeCell ref="G6:I6"/>
  </mergeCells>
  <conditionalFormatting sqref="C10:C22">
    <cfRule type="cellIs" dxfId="29" priority="1" operator="lessThanOrEqual">
      <formula>0</formula>
    </cfRule>
  </conditionalFormatting>
  <printOptions horizontalCentered="1"/>
  <pageMargins left="0.28" right="0.28" top="0.45" bottom="0.5" header="0.3" footer="0.3"/>
  <pageSetup paperSize="8" fitToHeight="0" orientation="landscape"/>
  <headerFooter>
    <oddHeader>&amp;Lمازندشت&amp;RMAZANDASHT · CITRUS</oddHeader>
    <oddFooter>&amp;Lمازندشت — سورتینگ و بسته‌بندی مرکبات&amp;Cصفحه &amp;P از &amp;N&amp;RMAZANDASHT · 1405</oddFooter>
  </headerFooter>
  <legacyDrawing r:id="rId1"/>
</worksheet>
</file>

<file path=xl/worksheets/sheet8.xml><?xml version="1.0" encoding="utf-8"?>
<worksheet xmlns="http://schemas.openxmlformats.org/spreadsheetml/2006/main" xmlns:r="http://schemas.openxmlformats.org/officeDocument/2006/relationships">
  <sheetPr>
    <tabColor rgb="FFE0A458"/>
    <pageSetUpPr fitToPage="1"/>
  </sheetPr>
  <dimension ref="A1:G2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1" width="9.7109375" customWidth="1"/>
    <col min="2" max="2" width="30.7109375" customWidth="1"/>
    <col min="3" max="3" width="16.7109375" customWidth="1"/>
    <col min="4" max="4" width="11.7109375" customWidth="1"/>
    <col min="5" max="5" width="16.7109375" customWidth="1"/>
    <col min="6" max="6" width="30.7109375" customWidth="1"/>
    <col min="7" max="7" width="26.7109375" customWidth="1"/>
  </cols>
  <sheetData>
    <row r="1" spans="1:7" ht="20.25" customHeight="1">
      <c r="A1" s="30" t="s">
        <v>0</v>
      </c>
      <c r="B1" s="30"/>
      <c r="C1" s="31" t="s">
        <v>1</v>
      </c>
      <c r="D1" s="31"/>
      <c r="E1" s="31"/>
      <c r="F1" s="31"/>
      <c r="G1" s="31"/>
    </row>
    <row r="2" spans="1:7" ht="38.25" customHeight="1">
      <c r="A2" s="32" t="s">
        <v>855</v>
      </c>
      <c r="B2" s="32"/>
      <c r="C2" s="32"/>
      <c r="D2" s="32"/>
      <c r="E2" s="32"/>
      <c r="F2" s="32"/>
      <c r="G2" s="32"/>
    </row>
    <row r="3" spans="1:7" ht="45.75" customHeight="1">
      <c r="A3" s="33" t="s">
        <v>856</v>
      </c>
      <c r="B3" s="33"/>
      <c r="C3" s="33"/>
      <c r="D3" s="33"/>
      <c r="E3" s="33"/>
      <c r="F3" s="33"/>
      <c r="G3" s="33"/>
    </row>
    <row r="4" spans="1:7" ht="24" customHeight="1">
      <c r="A4" s="34" t="s">
        <v>110</v>
      </c>
      <c r="B4" s="35" t="s">
        <v>111</v>
      </c>
      <c r="C4" s="36" t="s">
        <v>112</v>
      </c>
      <c r="D4" s="37" t="s">
        <v>113</v>
      </c>
      <c r="E4" s="38" t="s">
        <v>114</v>
      </c>
      <c r="F4" s="50" t="s">
        <v>165</v>
      </c>
    </row>
    <row r="5" spans="1:7" ht="17.25" customHeight="1">
      <c r="A5" s="5" t="s">
        <v>7</v>
      </c>
      <c r="B5" s="5"/>
      <c r="C5" s="5" t="s">
        <v>857</v>
      </c>
      <c r="D5" s="5"/>
      <c r="E5" s="5" t="s">
        <v>858</v>
      </c>
      <c r="F5" s="5"/>
      <c r="G5" s="5" t="s">
        <v>859</v>
      </c>
    </row>
    <row r="6" spans="1:7" ht="33" customHeight="1">
      <c r="A6" s="52">
        <f>COUNTIF($B$10:$B$29,"?*")</f>
        <v>0</v>
      </c>
      <c r="B6" s="52"/>
      <c r="C6" s="85">
        <f>COUNTIF($C$10:$C$29,"پرتقال")</f>
        <v>0</v>
      </c>
      <c r="D6" s="85"/>
      <c r="E6" s="53">
        <f>COUNTIF($C$10:$C$29,"نارنگی")</f>
        <v>0</v>
      </c>
      <c r="F6" s="53"/>
      <c r="G6" s="86">
        <f>COUNTIF($C$10:$C$29,"لیمو")</f>
        <v>0</v>
      </c>
    </row>
    <row r="7" spans="1:7" ht="6.75" customHeight="1"/>
    <row r="8" spans="1:7" ht="33.75" customHeight="1">
      <c r="A8" s="42" t="s">
        <v>117</v>
      </c>
      <c r="B8" s="42" t="s">
        <v>860</v>
      </c>
      <c r="C8" s="42" t="s">
        <v>862</v>
      </c>
      <c r="D8" s="42" t="s">
        <v>123</v>
      </c>
      <c r="E8" s="42" t="s">
        <v>863</v>
      </c>
      <c r="F8" s="42" t="s">
        <v>125</v>
      </c>
      <c r="G8" s="42" t="s">
        <v>834</v>
      </c>
    </row>
    <row r="9" spans="1:7">
      <c r="A9" s="43" t="s">
        <v>118</v>
      </c>
      <c r="B9" s="43" t="s">
        <v>861</v>
      </c>
      <c r="C9" s="43" t="s">
        <v>709</v>
      </c>
      <c r="D9" s="43" t="s">
        <v>124</v>
      </c>
      <c r="E9" s="43" t="s">
        <v>864</v>
      </c>
      <c r="F9" s="43" t="s">
        <v>126</v>
      </c>
      <c r="G9" s="43" t="s">
        <v>835</v>
      </c>
    </row>
    <row r="10" spans="1:7" ht="23.25" customHeight="1">
      <c r="A10" s="44" t="s">
        <v>865</v>
      </c>
      <c r="B10" s="45" t="s">
        <v>866</v>
      </c>
      <c r="C10" s="47" t="s">
        <v>857</v>
      </c>
      <c r="D10" s="47" t="s">
        <v>128</v>
      </c>
      <c r="E10" s="58" t="s">
        <v>840</v>
      </c>
      <c r="F10" s="60" t="s">
        <v>867</v>
      </c>
      <c r="G10" s="84">
        <f>IF($B10="","",$B10&amp;" – "&amp;$C10)</f>
        <v>0</v>
      </c>
    </row>
    <row r="11" spans="1:7" ht="23.25" customHeight="1">
      <c r="A11" s="44" t="s">
        <v>868</v>
      </c>
      <c r="B11" s="45" t="s">
        <v>869</v>
      </c>
      <c r="C11" s="47" t="s">
        <v>857</v>
      </c>
      <c r="D11" s="47" t="s">
        <v>128</v>
      </c>
      <c r="E11" s="58" t="s">
        <v>840</v>
      </c>
      <c r="F11" s="60"/>
      <c r="G11" s="84">
        <f>IF($B11="","",$B11&amp;" – "&amp;$C11)</f>
        <v>0</v>
      </c>
    </row>
    <row r="12" spans="1:7" ht="23.25" customHeight="1">
      <c r="A12" s="44" t="s">
        <v>870</v>
      </c>
      <c r="B12" s="45" t="s">
        <v>871</v>
      </c>
      <c r="C12" s="47" t="s">
        <v>857</v>
      </c>
      <c r="D12" s="47" t="s">
        <v>128</v>
      </c>
      <c r="E12" s="58" t="s">
        <v>840</v>
      </c>
      <c r="F12" s="60"/>
      <c r="G12" s="84">
        <f>IF($B12="","",$B12&amp;" – "&amp;$C12)</f>
        <v>0</v>
      </c>
    </row>
    <row r="13" spans="1:7" ht="23.25" customHeight="1">
      <c r="A13" s="44" t="s">
        <v>872</v>
      </c>
      <c r="B13" s="45" t="s">
        <v>873</v>
      </c>
      <c r="C13" s="47" t="s">
        <v>857</v>
      </c>
      <c r="D13" s="47" t="s">
        <v>128</v>
      </c>
      <c r="E13" s="58" t="s">
        <v>836</v>
      </c>
      <c r="F13" s="60"/>
      <c r="G13" s="84">
        <f>IF($B13="","",$B13&amp;" – "&amp;$C13)</f>
        <v>0</v>
      </c>
    </row>
    <row r="14" spans="1:7" ht="23.25" customHeight="1">
      <c r="A14" s="44" t="s">
        <v>874</v>
      </c>
      <c r="B14" s="45" t="s">
        <v>875</v>
      </c>
      <c r="C14" s="47" t="s">
        <v>857</v>
      </c>
      <c r="D14" s="47" t="s">
        <v>128</v>
      </c>
      <c r="E14" s="58" t="s">
        <v>840</v>
      </c>
      <c r="F14" s="60"/>
      <c r="G14" s="84">
        <f>IF($B14="","",$B14&amp;" – "&amp;$C14)</f>
        <v>0</v>
      </c>
    </row>
    <row r="15" spans="1:7" ht="23.25" customHeight="1">
      <c r="A15" s="44" t="s">
        <v>876</v>
      </c>
      <c r="B15" s="45" t="s">
        <v>877</v>
      </c>
      <c r="C15" s="47" t="s">
        <v>858</v>
      </c>
      <c r="D15" s="47" t="s">
        <v>128</v>
      </c>
      <c r="E15" s="58" t="s">
        <v>836</v>
      </c>
      <c r="F15" s="60"/>
      <c r="G15" s="84">
        <f>IF($B15="","",$B15&amp;" – "&amp;$C15)</f>
        <v>0</v>
      </c>
    </row>
    <row r="16" spans="1:7" ht="23.25" customHeight="1">
      <c r="A16" s="44" t="s">
        <v>878</v>
      </c>
      <c r="B16" s="45" t="s">
        <v>879</v>
      </c>
      <c r="C16" s="47" t="s">
        <v>858</v>
      </c>
      <c r="D16" s="47" t="s">
        <v>128</v>
      </c>
      <c r="E16" s="58" t="s">
        <v>848</v>
      </c>
      <c r="F16" s="60"/>
      <c r="G16" s="84">
        <f>IF($B16="","",$B16&amp;" – "&amp;$C16)</f>
        <v>0</v>
      </c>
    </row>
    <row r="17" spans="1:7" ht="23.25" customHeight="1">
      <c r="A17" s="44" t="s">
        <v>880</v>
      </c>
      <c r="B17" s="45" t="s">
        <v>881</v>
      </c>
      <c r="C17" s="47" t="s">
        <v>858</v>
      </c>
      <c r="D17" s="47" t="s">
        <v>128</v>
      </c>
      <c r="E17" s="58" t="s">
        <v>836</v>
      </c>
      <c r="F17" s="60"/>
      <c r="G17" s="84">
        <f>IF($B17="","",$B17&amp;" – "&amp;$C17)</f>
        <v>0</v>
      </c>
    </row>
    <row r="18" spans="1:7" ht="23.25" customHeight="1">
      <c r="A18" s="44" t="s">
        <v>882</v>
      </c>
      <c r="B18" s="45" t="s">
        <v>883</v>
      </c>
      <c r="C18" s="47" t="s">
        <v>858</v>
      </c>
      <c r="D18" s="47" t="s">
        <v>128</v>
      </c>
      <c r="E18" s="58" t="s">
        <v>836</v>
      </c>
      <c r="F18" s="60"/>
      <c r="G18" s="84">
        <f>IF($B18="","",$B18&amp;" – "&amp;$C18)</f>
        <v>0</v>
      </c>
    </row>
    <row r="19" spans="1:7" ht="23.25" customHeight="1">
      <c r="A19" s="44" t="s">
        <v>884</v>
      </c>
      <c r="B19" s="45" t="s">
        <v>885</v>
      </c>
      <c r="C19" s="47" t="s">
        <v>859</v>
      </c>
      <c r="D19" s="47" t="s">
        <v>128</v>
      </c>
      <c r="E19" s="58" t="s">
        <v>836</v>
      </c>
      <c r="F19" s="60"/>
      <c r="G19" s="84">
        <f>IF($B19="","",$B19&amp;" – "&amp;$C19)</f>
        <v>0</v>
      </c>
    </row>
    <row r="20" spans="1:7" ht="23.25" customHeight="1">
      <c r="A20" s="44" t="s">
        <v>886</v>
      </c>
      <c r="B20" s="45" t="s">
        <v>887</v>
      </c>
      <c r="C20" s="47" t="s">
        <v>859</v>
      </c>
      <c r="D20" s="47" t="s">
        <v>128</v>
      </c>
      <c r="E20" s="58" t="s">
        <v>836</v>
      </c>
      <c r="F20" s="60"/>
      <c r="G20" s="84">
        <f>IF($B20="","",$B20&amp;" – "&amp;$C20)</f>
        <v>0</v>
      </c>
    </row>
    <row r="21" spans="1:7" ht="23.25" customHeight="1">
      <c r="A21" s="44" t="s">
        <v>888</v>
      </c>
      <c r="B21" s="45" t="s">
        <v>889</v>
      </c>
      <c r="C21" s="47" t="s">
        <v>209</v>
      </c>
      <c r="D21" s="47" t="s">
        <v>128</v>
      </c>
      <c r="E21" s="58" t="s">
        <v>842</v>
      </c>
      <c r="F21" s="60"/>
      <c r="G21" s="84">
        <f>IF($B21="","",$B21&amp;" – "&amp;$C21)</f>
        <v>0</v>
      </c>
    </row>
    <row r="22" spans="1:7" ht="23.25" customHeight="1">
      <c r="A22" s="44" t="s">
        <v>890</v>
      </c>
      <c r="B22" s="45" t="s">
        <v>891</v>
      </c>
      <c r="C22" s="47" t="s">
        <v>891</v>
      </c>
      <c r="D22" s="47" t="s">
        <v>128</v>
      </c>
      <c r="E22" s="58" t="s">
        <v>840</v>
      </c>
      <c r="F22" s="60"/>
      <c r="G22" s="84">
        <f>IF($B22="","",$B22&amp;" – "&amp;$C22)</f>
        <v>0</v>
      </c>
    </row>
    <row r="23" spans="1:7" ht="23.25" customHeight="1">
      <c r="A23" s="44" t="s">
        <v>892</v>
      </c>
      <c r="B23" s="45" t="s">
        <v>893</v>
      </c>
      <c r="C23" s="47" t="s">
        <v>209</v>
      </c>
      <c r="D23" s="47" t="s">
        <v>128</v>
      </c>
      <c r="E23" s="58" t="s">
        <v>836</v>
      </c>
      <c r="F23" s="60"/>
      <c r="G23" s="84">
        <f>IF($B23="","",$B23&amp;" – "&amp;$C23)</f>
        <v>0</v>
      </c>
    </row>
    <row r="24" spans="1:7" ht="23.25" customHeight="1">
      <c r="A24" s="44" t="s">
        <v>894</v>
      </c>
      <c r="B24" s="45" t="s">
        <v>895</v>
      </c>
      <c r="C24" s="47" t="s">
        <v>209</v>
      </c>
      <c r="D24" s="47" t="s">
        <v>128</v>
      </c>
      <c r="E24" s="58" t="s">
        <v>840</v>
      </c>
      <c r="F24" s="60"/>
      <c r="G24" s="84">
        <f>IF($B24="","",$B24&amp;" – "&amp;$C24)</f>
        <v>0</v>
      </c>
    </row>
    <row r="25" spans="1:7" ht="23.25" customHeight="1">
      <c r="A25" s="44" t="s">
        <v>896</v>
      </c>
      <c r="B25" s="45"/>
      <c r="C25" s="47"/>
      <c r="D25" s="47"/>
      <c r="E25" s="58"/>
      <c r="F25" s="60"/>
      <c r="G25" s="84">
        <f>IF($B25="","",$B25&amp;" – "&amp;$C25)</f>
        <v>0</v>
      </c>
    </row>
    <row r="26" spans="1:7" ht="23.25" customHeight="1">
      <c r="A26" s="44" t="s">
        <v>897</v>
      </c>
      <c r="B26" s="45"/>
      <c r="C26" s="47"/>
      <c r="D26" s="47"/>
      <c r="E26" s="58"/>
      <c r="F26" s="60"/>
      <c r="G26" s="84">
        <f>IF($B26="","",$B26&amp;" – "&amp;$C26)</f>
        <v>0</v>
      </c>
    </row>
    <row r="27" spans="1:7" ht="23.25" customHeight="1">
      <c r="A27" s="44" t="s">
        <v>898</v>
      </c>
      <c r="B27" s="45"/>
      <c r="C27" s="47"/>
      <c r="D27" s="47"/>
      <c r="E27" s="58"/>
      <c r="F27" s="60"/>
      <c r="G27" s="84">
        <f>IF($B27="","",$B27&amp;" – "&amp;$C27)</f>
        <v>0</v>
      </c>
    </row>
    <row r="28" spans="1:7" ht="23.25" customHeight="1">
      <c r="A28" s="44" t="s">
        <v>899</v>
      </c>
      <c r="B28" s="45"/>
      <c r="C28" s="47"/>
      <c r="D28" s="47"/>
      <c r="E28" s="58"/>
      <c r="F28" s="60"/>
      <c r="G28" s="84">
        <f>IF($B28="","",$B28&amp;" – "&amp;$C28)</f>
        <v>0</v>
      </c>
    </row>
    <row r="29" spans="1:7" ht="23.25" customHeight="1">
      <c r="A29" s="44" t="s">
        <v>900</v>
      </c>
      <c r="B29" s="45"/>
      <c r="C29" s="47"/>
      <c r="D29" s="47"/>
      <c r="E29" s="58"/>
      <c r="F29" s="60"/>
      <c r="G29" s="84">
        <f>IF($B29="","",$B29&amp;" – "&amp;$C29)</f>
        <v>0</v>
      </c>
    </row>
  </sheetData>
  <autoFilter ref="A8:G30"/>
  <mergeCells count="10">
    <mergeCell ref="A1:B1"/>
    <mergeCell ref="C1:G1"/>
    <mergeCell ref="A2:G2"/>
    <mergeCell ref="A3:G3"/>
    <mergeCell ref="A5:B5"/>
    <mergeCell ref="A6:B6"/>
    <mergeCell ref="C5:D5"/>
    <mergeCell ref="C6:D6"/>
    <mergeCell ref="E5:F5"/>
    <mergeCell ref="E6:F6"/>
  </mergeCells>
  <dataValidations count="3">
    <dataValidation type="list" allowBlank="1" showInputMessage="1" showErrorMessage="1" sqref="C10:C30">
      <formula1>ListCategories</formula1>
    </dataValidation>
    <dataValidation type="list" allowBlank="1" showInputMessage="1" showErrorMessage="1" sqref="D10:D30">
      <formula1>ListUnits</formula1>
    </dataValidation>
    <dataValidation type="list" allowBlank="1" showInputMessage="1" showErrorMessage="1" sqref="E10:E30">
      <formula1>ListBaskets</formula1>
    </dataValidation>
  </dataValidations>
  <printOptions horizontalCentered="1"/>
  <pageMargins left="0.28" right="0.28" top="0.45" bottom="0.5" header="0.3" footer="0.3"/>
  <pageSetup paperSize="8" fitToHeight="0" orientation="landscape"/>
  <headerFooter>
    <oddHeader>&amp;Lمازندشت&amp;RMAZANDASHT · CITRUS</oddHeader>
    <oddFooter>&amp;Lمازندشت — سورتینگ و بسته‌بندی مرکبات&amp;Cصفحه &amp;P از &amp;N&amp;RMAZANDASHT · 1405</oddFooter>
  </headerFooter>
  <legacyDrawing r:id="rId1"/>
</worksheet>
</file>

<file path=xl/worksheets/sheet9.xml><?xml version="1.0" encoding="utf-8"?>
<worksheet xmlns="http://schemas.openxmlformats.org/spreadsheetml/2006/main" xmlns:r="http://schemas.openxmlformats.org/officeDocument/2006/relationships">
  <sheetPr>
    <tabColor rgb="FF2E6B4F"/>
    <pageSetUpPr fitToPage="1"/>
  </sheetPr>
  <dimension ref="A1:G1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1" width="11.7109375" customWidth="1"/>
    <col min="2" max="2" width="34.7109375" customWidth="1"/>
    <col min="3" max="3" width="16.7109375" customWidth="1"/>
    <col min="4" max="4" width="22.7109375" customWidth="1"/>
    <col min="5" max="5" width="26.7109375" customWidth="1"/>
    <col min="6" max="6" width="8.7109375" customWidth="1"/>
    <col min="7" max="7" width="38.7109375" customWidth="1"/>
  </cols>
  <sheetData>
    <row r="1" spans="1:7" ht="20.25" customHeight="1">
      <c r="A1" s="30" t="s">
        <v>0</v>
      </c>
      <c r="B1" s="30"/>
      <c r="C1" s="31" t="s">
        <v>1</v>
      </c>
      <c r="D1" s="31"/>
      <c r="E1" s="31"/>
      <c r="F1" s="31"/>
      <c r="G1" s="31"/>
    </row>
    <row r="2" spans="1:7" ht="38.25" customHeight="1">
      <c r="A2" s="32" t="s">
        <v>901</v>
      </c>
      <c r="B2" s="32"/>
      <c r="C2" s="32"/>
      <c r="D2" s="32"/>
      <c r="E2" s="32"/>
      <c r="F2" s="32"/>
      <c r="G2" s="32"/>
    </row>
    <row r="3" spans="1:7" ht="45.75" customHeight="1">
      <c r="A3" s="33" t="s">
        <v>902</v>
      </c>
      <c r="B3" s="33"/>
      <c r="C3" s="33"/>
      <c r="D3" s="33"/>
      <c r="E3" s="33"/>
      <c r="F3" s="33"/>
      <c r="G3" s="33"/>
    </row>
    <row r="4" spans="1:7" ht="24" customHeight="1">
      <c r="A4" s="34" t="s">
        <v>110</v>
      </c>
      <c r="B4" s="35" t="s">
        <v>111</v>
      </c>
      <c r="C4" s="36" t="s">
        <v>112</v>
      </c>
      <c r="D4" s="37" t="s">
        <v>113</v>
      </c>
      <c r="E4" s="38" t="s">
        <v>114</v>
      </c>
      <c r="F4" s="50" t="s">
        <v>165</v>
      </c>
    </row>
    <row r="5" spans="1:7" ht="17.25" customHeight="1">
      <c r="A5" s="5" t="s">
        <v>8</v>
      </c>
      <c r="B5" s="5"/>
      <c r="C5" s="5"/>
      <c r="D5" s="5" t="s">
        <v>903</v>
      </c>
      <c r="E5" s="5"/>
      <c r="F5" s="5"/>
      <c r="G5" s="5" t="s">
        <v>281</v>
      </c>
    </row>
    <row r="6" spans="1:7" ht="33" customHeight="1">
      <c r="A6" s="52">
        <f>COUNTIF($A$10:$A$19,"?*")</f>
        <v>0</v>
      </c>
      <c r="B6" s="52"/>
      <c r="C6" s="52"/>
      <c r="D6" s="53">
        <f>COUNTIF($F$10:$F$19,"بله")</f>
        <v>0</v>
      </c>
      <c r="E6" s="53"/>
      <c r="F6" s="53"/>
      <c r="G6" s="53">
        <f>SUM($C$10:$C$19)</f>
        <v>0</v>
      </c>
    </row>
    <row r="7" spans="1:7" ht="6.75" customHeight="1"/>
    <row r="8" spans="1:7" ht="33.75" customHeight="1">
      <c r="A8" s="42" t="s">
        <v>904</v>
      </c>
      <c r="B8" s="42" t="s">
        <v>905</v>
      </c>
      <c r="C8" s="42" t="s">
        <v>281</v>
      </c>
      <c r="D8" s="42" t="s">
        <v>907</v>
      </c>
      <c r="E8" s="42" t="s">
        <v>909</v>
      </c>
      <c r="F8" s="42" t="s">
        <v>285</v>
      </c>
      <c r="G8" s="42" t="s">
        <v>125</v>
      </c>
    </row>
    <row r="9" spans="1:7">
      <c r="A9" s="43" t="s">
        <v>118</v>
      </c>
      <c r="B9" s="43" t="s">
        <v>906</v>
      </c>
      <c r="C9" s="43" t="s">
        <v>282</v>
      </c>
      <c r="D9" s="43" t="s">
        <v>908</v>
      </c>
      <c r="E9" s="43" t="s">
        <v>910</v>
      </c>
      <c r="F9" s="43" t="s">
        <v>286</v>
      </c>
      <c r="G9" s="43" t="s">
        <v>126</v>
      </c>
    </row>
    <row r="10" spans="1:7" ht="24" customHeight="1">
      <c r="A10" s="44" t="s">
        <v>911</v>
      </c>
      <c r="B10" s="45" t="s">
        <v>534</v>
      </c>
      <c r="C10" s="46">
        <v>500000000</v>
      </c>
      <c r="D10" s="58" t="s">
        <v>532</v>
      </c>
      <c r="E10" s="59"/>
      <c r="F10" s="47" t="s">
        <v>299</v>
      </c>
      <c r="G10" s="60" t="s">
        <v>912</v>
      </c>
    </row>
    <row r="11" spans="1:7" ht="24" customHeight="1">
      <c r="A11" s="44" t="s">
        <v>755</v>
      </c>
      <c r="B11" s="45" t="s">
        <v>537</v>
      </c>
      <c r="C11" s="46">
        <v>0</v>
      </c>
      <c r="D11" s="58" t="s">
        <v>536</v>
      </c>
      <c r="E11" s="59"/>
      <c r="F11" s="47" t="s">
        <v>299</v>
      </c>
      <c r="G11" s="60" t="s">
        <v>913</v>
      </c>
    </row>
    <row r="12" spans="1:7" ht="24" customHeight="1">
      <c r="A12" s="44" t="s">
        <v>914</v>
      </c>
      <c r="B12" s="45" t="s">
        <v>915</v>
      </c>
      <c r="C12" s="46">
        <v>0</v>
      </c>
      <c r="D12" s="58" t="s">
        <v>538</v>
      </c>
      <c r="E12" s="59"/>
      <c r="F12" s="47" t="s">
        <v>299</v>
      </c>
      <c r="G12" s="60"/>
    </row>
    <row r="13" spans="1:7" ht="24" customHeight="1">
      <c r="A13" s="44" t="s">
        <v>916</v>
      </c>
      <c r="B13" s="45" t="s">
        <v>917</v>
      </c>
      <c r="C13" s="46">
        <v>0</v>
      </c>
      <c r="D13" s="58" t="s">
        <v>540</v>
      </c>
      <c r="E13" s="59"/>
      <c r="F13" s="47" t="s">
        <v>299</v>
      </c>
      <c r="G13" s="60"/>
    </row>
    <row r="14" spans="1:7" ht="24" customHeight="1">
      <c r="A14" s="44" t="s">
        <v>918</v>
      </c>
      <c r="B14" s="45" t="s">
        <v>919</v>
      </c>
      <c r="C14" s="46">
        <v>0</v>
      </c>
      <c r="D14" s="58" t="s">
        <v>542</v>
      </c>
      <c r="E14" s="59"/>
      <c r="F14" s="47" t="s">
        <v>299</v>
      </c>
      <c r="G14" s="60"/>
    </row>
    <row r="15" spans="1:7" ht="24" customHeight="1">
      <c r="A15" s="44" t="s">
        <v>920</v>
      </c>
      <c r="B15" s="45" t="s">
        <v>921</v>
      </c>
      <c r="C15" s="46">
        <v>0</v>
      </c>
      <c r="D15" s="58" t="s">
        <v>544</v>
      </c>
      <c r="E15" s="59"/>
      <c r="F15" s="47" t="s">
        <v>299</v>
      </c>
      <c r="G15" s="60"/>
    </row>
    <row r="16" spans="1:7" ht="24" customHeight="1">
      <c r="A16" s="44" t="s">
        <v>922</v>
      </c>
      <c r="B16" s="45" t="s">
        <v>923</v>
      </c>
      <c r="C16" s="46">
        <v>0</v>
      </c>
      <c r="D16" s="58" t="s">
        <v>546</v>
      </c>
      <c r="E16" s="59"/>
      <c r="F16" s="47" t="s">
        <v>299</v>
      </c>
      <c r="G16" s="60"/>
    </row>
    <row r="17" spans="1:7" ht="24" customHeight="1">
      <c r="A17" s="44" t="s">
        <v>924</v>
      </c>
      <c r="B17" s="45" t="s">
        <v>925</v>
      </c>
      <c r="C17" s="46">
        <v>0</v>
      </c>
      <c r="D17" s="58" t="s">
        <v>548</v>
      </c>
      <c r="E17" s="59"/>
      <c r="F17" s="47" t="s">
        <v>299</v>
      </c>
      <c r="G17" s="60"/>
    </row>
    <row r="18" spans="1:7" ht="24" customHeight="1">
      <c r="A18" s="44" t="s">
        <v>926</v>
      </c>
      <c r="B18" s="45" t="s">
        <v>927</v>
      </c>
      <c r="C18" s="46">
        <v>0</v>
      </c>
      <c r="D18" s="58" t="s">
        <v>550</v>
      </c>
      <c r="E18" s="59"/>
      <c r="F18" s="47" t="s">
        <v>299</v>
      </c>
      <c r="G18" s="60"/>
    </row>
    <row r="19" spans="1:7" ht="24" customHeight="1">
      <c r="A19" s="44" t="s">
        <v>928</v>
      </c>
      <c r="B19" s="45" t="s">
        <v>553</v>
      </c>
      <c r="C19" s="46">
        <v>0</v>
      </c>
      <c r="D19" s="58" t="s">
        <v>552</v>
      </c>
      <c r="E19" s="59"/>
      <c r="F19" s="47" t="s">
        <v>299</v>
      </c>
      <c r="G19" s="60"/>
    </row>
  </sheetData>
  <autoFilter ref="A8:G20"/>
  <mergeCells count="8">
    <mergeCell ref="A1:B1"/>
    <mergeCell ref="C1:G1"/>
    <mergeCell ref="A2:G2"/>
    <mergeCell ref="A3:G3"/>
    <mergeCell ref="A5:C5"/>
    <mergeCell ref="A6:C6"/>
    <mergeCell ref="D5:F5"/>
    <mergeCell ref="D6:F6"/>
  </mergeCells>
  <conditionalFormatting sqref="B10:B20">
    <cfRule type="expression" dxfId="30" priority="1">
      <formula>LEFT($A10,6)="BANK02"</formula>
    </cfRule>
  </conditionalFormatting>
  <dataValidations count="1">
    <dataValidation type="list" allowBlank="1" showInputMessage="1" showErrorMessage="1" sqref="F10:F20">
      <formula1>ListYesNo</formula1>
    </dataValidation>
  </dataValidations>
  <printOptions horizontalCentered="1"/>
  <pageMargins left="0.28" right="0.28" top="0.45" bottom="0.5" header="0.3" footer="0.3"/>
  <pageSetup paperSize="8" fitToHeight="0" orientation="landscape"/>
  <headerFooter>
    <oddHeader>&amp;Lمازندشت&amp;RMAZANDASHT · CITRUS</oddHeader>
    <oddFooter>&amp;Lمازندشت — سورتینگ و بسته‌بندی مرکبات&amp;Cصفحه &amp;P از &amp;N&amp;RMAZANDASHT · 1405</oddFooter>
  </headerFooter>
  <legacyDrawing r:id="rId1"/>
</worksheet>
</file>

<file path=xl/worksheets/sheet10.xml><?xml version="1.0" encoding="utf-8"?>
<worksheet xmlns="http://schemas.openxmlformats.org/spreadsheetml/2006/main" xmlns:r="http://schemas.openxmlformats.org/officeDocument/2006/relationships">
  <sheetPr>
    <tabColor rgb="FF6B7A76"/>
    <pageSetUpPr fitToPage="1"/>
  </sheetPr>
  <dimension ref="A1:R29"/>
  <sheetViews>
    <sheetView showGridLines="0" rightToLeft="1" zoomScale="88" zoomScaleNormal="88" workbookViewId="0">
      <pane ySplit="9" topLeftCell="A10" activePane="bottomLeft" state="frozen"/>
      <selection pane="bottomLeft"/>
    </sheetView>
  </sheetViews>
  <sheetFormatPr defaultRowHeight="15"/>
  <cols>
    <col min="1" max="18" width="15.7109375" customWidth="1"/>
  </cols>
  <sheetData>
    <row r="1" spans="1:18" ht="20.25" customHeight="1">
      <c r="A1" s="30" t="s">
        <v>0</v>
      </c>
      <c r="B1" s="30"/>
      <c r="C1" s="30"/>
      <c r="D1" s="30"/>
      <c r="E1" s="30"/>
      <c r="F1" s="30"/>
      <c r="G1" s="30"/>
      <c r="H1" s="30"/>
      <c r="I1" s="30"/>
      <c r="J1" s="30"/>
      <c r="K1" s="30"/>
      <c r="L1" s="30"/>
      <c r="M1" s="30"/>
      <c r="N1" s="31" t="s">
        <v>1</v>
      </c>
      <c r="O1" s="31"/>
      <c r="P1" s="31"/>
      <c r="Q1" s="31"/>
      <c r="R1" s="31"/>
    </row>
    <row r="2" spans="1:18" ht="38.25" customHeight="1">
      <c r="A2" s="32" t="s">
        <v>929</v>
      </c>
      <c r="B2" s="32"/>
      <c r="C2" s="32"/>
      <c r="D2" s="32"/>
      <c r="E2" s="32"/>
      <c r="F2" s="32"/>
      <c r="G2" s="32"/>
      <c r="H2" s="32"/>
      <c r="I2" s="32"/>
      <c r="J2" s="32"/>
      <c r="K2" s="32"/>
      <c r="L2" s="32"/>
      <c r="M2" s="32"/>
      <c r="N2" s="32"/>
      <c r="O2" s="32"/>
      <c r="P2" s="32"/>
      <c r="Q2" s="32"/>
      <c r="R2" s="32"/>
    </row>
    <row r="3" spans="1:18" ht="45.75" customHeight="1">
      <c r="A3" s="33" t="s">
        <v>930</v>
      </c>
      <c r="B3" s="33"/>
      <c r="C3" s="33"/>
      <c r="D3" s="33"/>
      <c r="E3" s="33"/>
      <c r="F3" s="33"/>
      <c r="G3" s="33"/>
      <c r="H3" s="33"/>
      <c r="I3" s="33"/>
      <c r="J3" s="33"/>
      <c r="K3" s="33"/>
      <c r="L3" s="33"/>
      <c r="M3" s="33"/>
      <c r="N3" s="33"/>
      <c r="O3" s="33"/>
      <c r="P3" s="33"/>
      <c r="Q3" s="33"/>
      <c r="R3" s="33"/>
    </row>
    <row r="4" spans="1:18" ht="24" customHeight="1">
      <c r="A4" s="34" t="s">
        <v>110</v>
      </c>
      <c r="B4" s="35" t="s">
        <v>111</v>
      </c>
      <c r="C4" s="36" t="s">
        <v>112</v>
      </c>
      <c r="D4" s="37" t="s">
        <v>113</v>
      </c>
      <c r="E4" s="38" t="s">
        <v>114</v>
      </c>
      <c r="F4" s="50" t="s">
        <v>165</v>
      </c>
      <c r="G4" s="51" t="s">
        <v>166</v>
      </c>
      <c r="H4" s="51"/>
      <c r="I4" s="51"/>
      <c r="J4" s="51"/>
      <c r="K4" s="51"/>
      <c r="L4" s="51"/>
      <c r="M4" s="51"/>
      <c r="N4" s="51"/>
      <c r="O4" s="51"/>
      <c r="P4" s="51"/>
      <c r="Q4" s="51"/>
      <c r="R4" s="51"/>
    </row>
    <row r="5" spans="1:18" ht="17.25" customHeight="1">
      <c r="A5" s="87"/>
      <c r="B5" s="87"/>
      <c r="C5" s="87"/>
      <c r="D5" s="87"/>
      <c r="E5" s="87"/>
      <c r="F5" s="87"/>
      <c r="G5" s="87"/>
      <c r="H5" s="87"/>
      <c r="I5" s="87"/>
      <c r="J5" s="87"/>
      <c r="K5" s="87"/>
      <c r="L5" s="87"/>
      <c r="M5" s="87"/>
      <c r="N5" s="87"/>
      <c r="O5" s="87"/>
      <c r="P5" s="87"/>
      <c r="Q5" s="87"/>
      <c r="R5" s="87"/>
    </row>
    <row r="6" spans="1:18" ht="33" customHeight="1">
      <c r="A6" s="87"/>
      <c r="B6" s="87"/>
      <c r="C6" s="87"/>
      <c r="D6" s="87"/>
      <c r="E6" s="87"/>
      <c r="F6" s="87"/>
      <c r="G6" s="87"/>
      <c r="H6" s="87"/>
      <c r="I6" s="87"/>
      <c r="J6" s="87"/>
      <c r="K6" s="87"/>
      <c r="L6" s="87"/>
      <c r="M6" s="87"/>
      <c r="N6" s="87"/>
      <c r="O6" s="87"/>
      <c r="P6" s="87"/>
      <c r="Q6" s="87"/>
      <c r="R6" s="87"/>
    </row>
    <row r="7" spans="1:18" ht="6.75" customHeight="1">
      <c r="A7" s="88"/>
      <c r="B7" s="88"/>
      <c r="C7" s="88"/>
      <c r="D7" s="88"/>
      <c r="E7" s="88"/>
      <c r="F7" s="88"/>
      <c r="G7" s="88"/>
      <c r="H7" s="88"/>
      <c r="I7" s="88"/>
      <c r="J7" s="88"/>
      <c r="K7" s="88"/>
      <c r="L7" s="88"/>
      <c r="M7" s="88"/>
      <c r="N7" s="88"/>
      <c r="O7" s="88"/>
      <c r="P7" s="88"/>
      <c r="Q7" s="88"/>
      <c r="R7" s="88"/>
    </row>
    <row r="8" spans="1:18">
      <c r="A8" s="89" t="s">
        <v>931</v>
      </c>
      <c r="B8" s="89" t="s">
        <v>936</v>
      </c>
      <c r="C8" s="89" t="s">
        <v>706</v>
      </c>
      <c r="D8" s="89" t="s">
        <v>939</v>
      </c>
      <c r="E8" s="89" t="s">
        <v>283</v>
      </c>
      <c r="F8" s="89" t="s">
        <v>942</v>
      </c>
      <c r="G8" s="89" t="s">
        <v>950</v>
      </c>
      <c r="H8" s="89" t="s">
        <v>956</v>
      </c>
      <c r="I8" s="89" t="s">
        <v>721</v>
      </c>
      <c r="J8" s="89" t="s">
        <v>723</v>
      </c>
      <c r="K8" s="89" t="s">
        <v>962</v>
      </c>
      <c r="L8" s="89" t="s">
        <v>964</v>
      </c>
      <c r="M8" s="89" t="s">
        <v>967</v>
      </c>
      <c r="N8" s="89" t="s">
        <v>177</v>
      </c>
      <c r="O8" s="89" t="s">
        <v>972</v>
      </c>
      <c r="P8" s="89" t="s">
        <v>974</v>
      </c>
      <c r="Q8" s="89" t="s">
        <v>976</v>
      </c>
      <c r="R8" s="89" t="s">
        <v>982</v>
      </c>
    </row>
    <row r="9" spans="1:18">
      <c r="A9" s="90" t="s">
        <v>932</v>
      </c>
      <c r="B9" s="90" t="s">
        <v>937</v>
      </c>
      <c r="C9" s="90" t="s">
        <v>938</v>
      </c>
      <c r="D9" s="90" t="s">
        <v>940</v>
      </c>
      <c r="E9" s="90" t="s">
        <v>941</v>
      </c>
      <c r="F9" s="90" t="s">
        <v>943</v>
      </c>
      <c r="G9" s="90" t="s">
        <v>951</v>
      </c>
      <c r="H9" s="90" t="s">
        <v>957</v>
      </c>
      <c r="I9" s="90" t="s">
        <v>960</v>
      </c>
      <c r="J9" s="90" t="s">
        <v>961</v>
      </c>
      <c r="K9" s="90" t="s">
        <v>963</v>
      </c>
      <c r="L9" s="90" t="s">
        <v>965</v>
      </c>
      <c r="M9" s="90" t="s">
        <v>968</v>
      </c>
      <c r="N9" s="90" t="s">
        <v>971</v>
      </c>
      <c r="O9" s="90" t="s">
        <v>973</v>
      </c>
      <c r="P9" s="90" t="s">
        <v>975</v>
      </c>
      <c r="Q9" s="90" t="s">
        <v>977</v>
      </c>
      <c r="R9" s="90" t="s">
        <v>983</v>
      </c>
    </row>
    <row r="10" spans="1:18" ht="21" customHeight="1">
      <c r="A10" s="47" t="s">
        <v>128</v>
      </c>
      <c r="B10" s="47" t="s">
        <v>857</v>
      </c>
      <c r="C10" s="47" t="s">
        <v>113</v>
      </c>
      <c r="D10" s="47" t="s">
        <v>299</v>
      </c>
      <c r="E10" s="47" t="s">
        <v>298</v>
      </c>
      <c r="F10" s="47" t="s">
        <v>944</v>
      </c>
      <c r="G10" s="47" t="s">
        <v>952</v>
      </c>
      <c r="H10" s="47" t="s">
        <v>958</v>
      </c>
      <c r="I10" s="47" t="s">
        <v>748</v>
      </c>
      <c r="J10" s="47" t="s">
        <v>747</v>
      </c>
      <c r="K10" s="47" t="s">
        <v>747</v>
      </c>
      <c r="L10" s="47" t="s">
        <v>744</v>
      </c>
      <c r="M10" s="47" t="s">
        <v>969</v>
      </c>
      <c r="N10" s="47" t="s">
        <v>184</v>
      </c>
      <c r="O10" s="47" t="s">
        <v>745</v>
      </c>
      <c r="P10" s="47" t="s">
        <v>185</v>
      </c>
      <c r="Q10" s="47" t="s">
        <v>978</v>
      </c>
      <c r="R10" s="47" t="s">
        <v>984</v>
      </c>
    </row>
    <row r="11" spans="1:18" ht="21" customHeight="1">
      <c r="A11" s="47" t="s">
        <v>933</v>
      </c>
      <c r="B11" s="47" t="s">
        <v>858</v>
      </c>
      <c r="C11" s="47" t="s">
        <v>114</v>
      </c>
      <c r="D11" s="47" t="s">
        <v>161</v>
      </c>
      <c r="E11" s="47" t="s">
        <v>477</v>
      </c>
      <c r="F11" s="47" t="s">
        <v>945</v>
      </c>
      <c r="G11" s="47" t="s">
        <v>953</v>
      </c>
      <c r="H11" s="47" t="s">
        <v>959</v>
      </c>
      <c r="I11" s="47" t="s">
        <v>754</v>
      </c>
      <c r="J11" s="47" t="s">
        <v>746</v>
      </c>
      <c r="K11" s="47" t="s">
        <v>746</v>
      </c>
      <c r="L11" s="47" t="s">
        <v>753</v>
      </c>
      <c r="M11" s="47" t="s">
        <v>970</v>
      </c>
      <c r="N11" s="47" t="s">
        <v>196</v>
      </c>
      <c r="O11" s="47" t="s">
        <v>762</v>
      </c>
      <c r="P11" s="47" t="s">
        <v>197</v>
      </c>
      <c r="Q11" s="47" t="s">
        <v>979</v>
      </c>
      <c r="R11" s="47" t="s">
        <v>985</v>
      </c>
    </row>
    <row r="12" spans="1:18" ht="21" customHeight="1">
      <c r="A12" s="47" t="s">
        <v>934</v>
      </c>
      <c r="B12" s="47" t="s">
        <v>859</v>
      </c>
      <c r="C12" s="47" t="s">
        <v>749</v>
      </c>
      <c r="D12" s="47"/>
      <c r="E12" s="47"/>
      <c r="F12" s="47" t="s">
        <v>946</v>
      </c>
      <c r="G12" s="47" t="s">
        <v>954</v>
      </c>
      <c r="H12" s="47"/>
      <c r="I12" s="47" t="s">
        <v>763</v>
      </c>
      <c r="J12" s="47" t="s">
        <v>749</v>
      </c>
      <c r="K12" s="47" t="s">
        <v>112</v>
      </c>
      <c r="L12" s="47" t="s">
        <v>761</v>
      </c>
      <c r="M12" s="47"/>
      <c r="N12" s="47" t="s">
        <v>205</v>
      </c>
      <c r="O12" s="47" t="s">
        <v>763</v>
      </c>
      <c r="P12" s="47" t="s">
        <v>206</v>
      </c>
      <c r="Q12" s="47" t="s">
        <v>980</v>
      </c>
      <c r="R12" s="47"/>
    </row>
    <row r="13" spans="1:18" ht="21" customHeight="1">
      <c r="A13" s="47" t="s">
        <v>935</v>
      </c>
      <c r="B13" s="47" t="s">
        <v>891</v>
      </c>
      <c r="C13" s="47"/>
      <c r="D13" s="47"/>
      <c r="E13" s="47"/>
      <c r="F13" s="47" t="s">
        <v>947</v>
      </c>
      <c r="G13" s="47" t="s">
        <v>955</v>
      </c>
      <c r="H13" s="47"/>
      <c r="I13" s="47" t="s">
        <v>749</v>
      </c>
      <c r="J13" s="47"/>
      <c r="K13" s="47" t="s">
        <v>749</v>
      </c>
      <c r="L13" s="47" t="s">
        <v>766</v>
      </c>
      <c r="M13" s="47"/>
      <c r="N13" s="47" t="s">
        <v>212</v>
      </c>
      <c r="O13" s="47" t="s">
        <v>749</v>
      </c>
      <c r="P13" s="47" t="s">
        <v>767</v>
      </c>
      <c r="Q13" s="47" t="s">
        <v>981</v>
      </c>
      <c r="R13" s="47"/>
    </row>
    <row r="14" spans="1:18" ht="21" customHeight="1">
      <c r="A14" s="47" t="s">
        <v>140</v>
      </c>
      <c r="B14" s="47" t="s">
        <v>209</v>
      </c>
      <c r="C14" s="47"/>
      <c r="D14" s="47"/>
      <c r="E14" s="47"/>
      <c r="F14" s="47" t="s">
        <v>948</v>
      </c>
      <c r="G14" s="47"/>
      <c r="H14" s="47"/>
      <c r="I14" s="47"/>
      <c r="J14" s="47"/>
      <c r="K14" s="47"/>
      <c r="L14" s="47" t="s">
        <v>242</v>
      </c>
      <c r="M14" s="47"/>
      <c r="N14" s="47" t="s">
        <v>219</v>
      </c>
      <c r="O14" s="47"/>
      <c r="P14" s="47" t="s">
        <v>220</v>
      </c>
      <c r="Q14" s="47"/>
      <c r="R14" s="47"/>
    </row>
    <row r="15" spans="1:18" ht="21" customHeight="1">
      <c r="A15" s="47" t="s">
        <v>101</v>
      </c>
      <c r="B15" s="47"/>
      <c r="C15" s="47"/>
      <c r="D15" s="47"/>
      <c r="E15" s="47"/>
      <c r="F15" s="47" t="s">
        <v>949</v>
      </c>
      <c r="G15" s="47"/>
      <c r="H15" s="47"/>
      <c r="I15" s="47"/>
      <c r="J15" s="47"/>
      <c r="K15" s="47"/>
      <c r="L15" s="47" t="s">
        <v>233</v>
      </c>
      <c r="M15" s="47"/>
      <c r="N15" s="47" t="s">
        <v>229</v>
      </c>
      <c r="O15" s="47"/>
      <c r="P15" s="47" t="s">
        <v>230</v>
      </c>
      <c r="Q15" s="47"/>
      <c r="R15" s="47"/>
    </row>
    <row r="16" spans="1:18" ht="21" customHeight="1">
      <c r="A16" s="47"/>
      <c r="B16" s="47"/>
      <c r="C16" s="47"/>
      <c r="D16" s="47"/>
      <c r="E16" s="47"/>
      <c r="F16" s="47"/>
      <c r="G16" s="47"/>
      <c r="H16" s="47"/>
      <c r="I16" s="47"/>
      <c r="J16" s="47"/>
      <c r="K16" s="47"/>
      <c r="L16" s="47" t="s">
        <v>234</v>
      </c>
      <c r="M16" s="47"/>
      <c r="N16" s="47" t="s">
        <v>245</v>
      </c>
      <c r="O16" s="47"/>
      <c r="P16" s="47" t="s">
        <v>786</v>
      </c>
      <c r="Q16" s="47"/>
      <c r="R16" s="47"/>
    </row>
    <row r="17" spans="1:18" ht="21" customHeight="1">
      <c r="A17" s="47"/>
      <c r="B17" s="47"/>
      <c r="C17" s="47"/>
      <c r="D17" s="47"/>
      <c r="E17" s="47"/>
      <c r="F17" s="47"/>
      <c r="G17" s="47"/>
      <c r="H17" s="47"/>
      <c r="I17" s="47"/>
      <c r="J17" s="47"/>
      <c r="K17" s="47"/>
      <c r="L17" s="47" t="s">
        <v>785</v>
      </c>
      <c r="M17" s="47"/>
      <c r="N17" s="47" t="s">
        <v>251</v>
      </c>
      <c r="O17" s="47"/>
      <c r="P17" s="47" t="s">
        <v>213</v>
      </c>
      <c r="Q17" s="47"/>
      <c r="R17" s="47"/>
    </row>
    <row r="18" spans="1:18" ht="21" customHeight="1">
      <c r="A18" s="47"/>
      <c r="B18" s="47"/>
      <c r="C18" s="47"/>
      <c r="D18" s="47"/>
      <c r="E18" s="47"/>
      <c r="F18" s="47"/>
      <c r="G18" s="47"/>
      <c r="H18" s="47"/>
      <c r="I18" s="47"/>
      <c r="J18" s="47"/>
      <c r="K18" s="47"/>
      <c r="L18" s="47" t="s">
        <v>209</v>
      </c>
      <c r="M18" s="47"/>
      <c r="N18" s="47" t="s">
        <v>257</v>
      </c>
      <c r="O18" s="47"/>
      <c r="P18" s="47"/>
      <c r="Q18" s="47"/>
      <c r="R18" s="47"/>
    </row>
    <row r="19" spans="1:18" ht="21" customHeight="1">
      <c r="A19" s="47"/>
      <c r="B19" s="47"/>
      <c r="C19" s="47"/>
      <c r="D19" s="47"/>
      <c r="E19" s="47"/>
      <c r="F19" s="47"/>
      <c r="G19" s="47"/>
      <c r="H19" s="47"/>
      <c r="I19" s="47"/>
      <c r="J19" s="47"/>
      <c r="K19" s="47"/>
      <c r="L19" s="47" t="s">
        <v>966</v>
      </c>
      <c r="M19" s="47"/>
      <c r="N19" s="47" t="s">
        <v>261</v>
      </c>
      <c r="O19" s="47"/>
      <c r="P19" s="47"/>
      <c r="Q19" s="47"/>
      <c r="R19" s="47"/>
    </row>
    <row r="20" spans="1:18" ht="21" customHeight="1">
      <c r="A20" s="47"/>
      <c r="B20" s="47"/>
      <c r="C20" s="47"/>
      <c r="D20" s="47"/>
      <c r="E20" s="47"/>
      <c r="F20" s="47"/>
      <c r="G20" s="47"/>
      <c r="H20" s="47"/>
      <c r="I20" s="47"/>
      <c r="J20" s="47"/>
      <c r="K20" s="47"/>
      <c r="L20" s="47"/>
      <c r="M20" s="47"/>
      <c r="N20" s="47"/>
      <c r="O20" s="47"/>
      <c r="P20" s="47"/>
      <c r="Q20" s="47"/>
      <c r="R20" s="47"/>
    </row>
    <row r="21" spans="1:18" ht="21" customHeight="1">
      <c r="A21" s="47"/>
      <c r="B21" s="47"/>
      <c r="C21" s="47"/>
      <c r="D21" s="47"/>
      <c r="E21" s="47"/>
      <c r="F21" s="47"/>
      <c r="G21" s="47"/>
      <c r="H21" s="47"/>
      <c r="I21" s="47"/>
      <c r="J21" s="47"/>
      <c r="K21" s="47"/>
      <c r="L21" s="47"/>
      <c r="M21" s="47"/>
      <c r="N21" s="47"/>
      <c r="O21" s="47"/>
      <c r="P21" s="47"/>
      <c r="Q21" s="47"/>
      <c r="R21" s="47"/>
    </row>
    <row r="22" spans="1:18" ht="21" customHeight="1">
      <c r="A22" s="47"/>
      <c r="B22" s="47"/>
      <c r="C22" s="47"/>
      <c r="D22" s="47"/>
      <c r="E22" s="47"/>
      <c r="F22" s="47"/>
      <c r="G22" s="47"/>
      <c r="H22" s="47"/>
      <c r="I22" s="47"/>
      <c r="J22" s="47"/>
      <c r="K22" s="47"/>
      <c r="L22" s="47"/>
      <c r="M22" s="47"/>
      <c r="N22" s="47"/>
      <c r="O22" s="47"/>
      <c r="P22" s="47"/>
      <c r="Q22" s="47"/>
      <c r="R22" s="47"/>
    </row>
    <row r="23" spans="1:18" ht="21" customHeight="1">
      <c r="A23" s="47"/>
      <c r="B23" s="47"/>
      <c r="C23" s="47"/>
      <c r="D23" s="47"/>
      <c r="E23" s="47"/>
      <c r="F23" s="47"/>
      <c r="G23" s="47"/>
      <c r="H23" s="47"/>
      <c r="I23" s="47"/>
      <c r="J23" s="47"/>
      <c r="K23" s="47"/>
      <c r="L23" s="47"/>
      <c r="M23" s="47"/>
      <c r="N23" s="47"/>
      <c r="O23" s="47"/>
      <c r="P23" s="47"/>
      <c r="Q23" s="47"/>
      <c r="R23" s="47"/>
    </row>
    <row r="24" spans="1:18" ht="21" customHeight="1">
      <c r="A24" s="47"/>
      <c r="B24" s="47"/>
      <c r="C24" s="47"/>
      <c r="D24" s="47"/>
      <c r="E24" s="47"/>
      <c r="F24" s="47"/>
      <c r="G24" s="47"/>
      <c r="H24" s="47"/>
      <c r="I24" s="47"/>
      <c r="J24" s="47"/>
      <c r="K24" s="47"/>
      <c r="L24" s="47"/>
      <c r="M24" s="47"/>
      <c r="N24" s="47"/>
      <c r="O24" s="47"/>
      <c r="P24" s="47"/>
      <c r="Q24" s="47"/>
      <c r="R24" s="47"/>
    </row>
    <row r="25" spans="1:18" ht="21" customHeight="1">
      <c r="A25" s="47"/>
      <c r="B25" s="47"/>
      <c r="C25" s="47"/>
      <c r="D25" s="47"/>
      <c r="E25" s="47"/>
      <c r="F25" s="47"/>
      <c r="G25" s="47"/>
      <c r="H25" s="47"/>
      <c r="I25" s="47"/>
      <c r="J25" s="47"/>
      <c r="K25" s="47"/>
      <c r="L25" s="47"/>
      <c r="M25" s="47"/>
      <c r="N25" s="47"/>
      <c r="O25" s="47"/>
      <c r="P25" s="47"/>
      <c r="Q25" s="47"/>
      <c r="R25" s="47"/>
    </row>
    <row r="26" spans="1:18" ht="21" customHeight="1">
      <c r="A26" s="47"/>
      <c r="B26" s="47"/>
      <c r="C26" s="47"/>
      <c r="D26" s="47"/>
      <c r="E26" s="47"/>
      <c r="F26" s="47"/>
      <c r="G26" s="47"/>
      <c r="H26" s="47"/>
      <c r="I26" s="47"/>
      <c r="J26" s="47"/>
      <c r="K26" s="47"/>
      <c r="L26" s="47"/>
      <c r="M26" s="47"/>
      <c r="N26" s="47"/>
      <c r="O26" s="47"/>
      <c r="P26" s="47"/>
      <c r="Q26" s="47"/>
      <c r="R26" s="47"/>
    </row>
    <row r="27" spans="1:18" ht="21" customHeight="1">
      <c r="A27" s="47"/>
      <c r="B27" s="47"/>
      <c r="C27" s="47"/>
      <c r="D27" s="47"/>
      <c r="E27" s="47"/>
      <c r="F27" s="47"/>
      <c r="G27" s="47"/>
      <c r="H27" s="47"/>
      <c r="I27" s="47"/>
      <c r="J27" s="47"/>
      <c r="K27" s="47"/>
      <c r="L27" s="47"/>
      <c r="M27" s="47"/>
      <c r="N27" s="47"/>
      <c r="O27" s="47"/>
      <c r="P27" s="47"/>
      <c r="Q27" s="47"/>
      <c r="R27" s="47"/>
    </row>
    <row r="28" spans="1:18" ht="21" customHeight="1">
      <c r="A28" s="47"/>
      <c r="B28" s="47"/>
      <c r="C28" s="47"/>
      <c r="D28" s="47"/>
      <c r="E28" s="47"/>
      <c r="F28" s="47"/>
      <c r="G28" s="47"/>
      <c r="H28" s="47"/>
      <c r="I28" s="47"/>
      <c r="J28" s="47"/>
      <c r="K28" s="47"/>
      <c r="L28" s="47"/>
      <c r="M28" s="47"/>
      <c r="N28" s="47"/>
      <c r="O28" s="47"/>
      <c r="P28" s="47"/>
      <c r="Q28" s="47"/>
      <c r="R28" s="47"/>
    </row>
    <row r="29" spans="1:18" ht="21" customHeight="1">
      <c r="A29" s="47"/>
      <c r="B29" s="47"/>
      <c r="C29" s="47"/>
      <c r="D29" s="47"/>
      <c r="E29" s="47"/>
      <c r="F29" s="47"/>
      <c r="G29" s="47"/>
      <c r="H29" s="47"/>
      <c r="I29" s="47"/>
      <c r="J29" s="47"/>
      <c r="K29" s="47"/>
      <c r="L29" s="47"/>
      <c r="M29" s="47"/>
      <c r="N29" s="47"/>
      <c r="O29" s="47"/>
      <c r="P29" s="47"/>
      <c r="Q29" s="47"/>
      <c r="R29" s="47"/>
    </row>
  </sheetData>
  <mergeCells count="7">
    <mergeCell ref="A1:M1"/>
    <mergeCell ref="N1:R1"/>
    <mergeCell ref="A2:R2"/>
    <mergeCell ref="A3:R3"/>
    <mergeCell ref="G4:R4"/>
    <mergeCell ref="A5:R6"/>
    <mergeCell ref="A7:R7"/>
  </mergeCells>
  <printOptions horizontalCentered="1"/>
  <pageMargins left="0.28" right="0.28" top="0.45" bottom="0.5" header="0.3" footer="0.3"/>
  <pageSetup paperSize="8" fitToHeight="0" orientation="landscape"/>
  <headerFooter>
    <oddHeader>&amp;Lمازندشت&amp;RMAZANDASHT · CITRUS</oddHeader>
    <oddFooter>&amp;Lمازندشت — سورتینگ و بسته‌بندی مرکبات&amp;Cصفحه &amp;P از &amp;N&amp;RMAZANDASHT · 1405</oddFooter>
  </headerFooter>
</worksheet>
</file>

<file path=xl/worksheets/sheet11.xml><?xml version="1.0" encoding="utf-8"?>
<worksheet xmlns="http://schemas.openxmlformats.org/spreadsheetml/2006/main" xmlns:r="http://schemas.openxmlformats.org/officeDocument/2006/relationships">
  <sheetPr>
    <tabColor rgb="FFB9B2A1"/>
    <pageSetUpPr fitToPage="1"/>
  </sheetPr>
  <dimension ref="A1:F50"/>
  <sheetViews>
    <sheetView showGridLines="0" rightToLeft="1" zoomScale="88" zoomScaleNormal="88" workbookViewId="0">
      <pane ySplit="9" topLeftCell="A10" activePane="bottomLeft" state="frozen"/>
      <selection pane="bottomLeft"/>
    </sheetView>
  </sheetViews>
  <sheetFormatPr defaultRowHeight="15"/>
  <cols>
    <col min="1" max="1" width="15.7109375" customWidth="1"/>
    <col min="2" max="2" width="36.7109375" customWidth="1"/>
    <col min="3" max="3" width="17.7109375" customWidth="1"/>
    <col min="4" max="4" width="15.7109375" customWidth="1"/>
    <col min="5" max="5" width="20.7109375" customWidth="1"/>
    <col min="6" max="6" width="18.7109375" customWidth="1"/>
  </cols>
  <sheetData>
    <row r="1" spans="1:6" ht="18" customHeight="1">
      <c r="A1" s="1" t="s">
        <v>0</v>
      </c>
      <c r="B1" s="1"/>
      <c r="C1" s="2" t="s">
        <v>1</v>
      </c>
      <c r="D1" s="2"/>
      <c r="E1" s="2"/>
      <c r="F1" s="2"/>
    </row>
    <row r="2" spans="1:6" ht="30" customHeight="1">
      <c r="A2" s="3" t="s">
        <v>986</v>
      </c>
      <c r="B2" s="3"/>
      <c r="C2" s="3"/>
      <c r="D2" s="3"/>
      <c r="E2" s="3"/>
      <c r="F2" s="3"/>
    </row>
    <row r="3" spans="1:6" ht="20.25" customHeight="1">
      <c r="A3" s="4" t="s">
        <v>987</v>
      </c>
      <c r="B3" s="4"/>
      <c r="C3" s="4"/>
      <c r="D3" s="4"/>
      <c r="E3" s="4"/>
      <c r="F3" s="4"/>
    </row>
    <row r="4" spans="1:6" ht="8.25" customHeight="1"/>
    <row r="5" spans="1:6" ht="39.75" customHeight="1">
      <c r="A5" s="91" t="s">
        <v>988</v>
      </c>
      <c r="B5" s="91"/>
      <c r="C5" s="91"/>
      <c r="D5" s="91"/>
      <c r="E5" s="91"/>
      <c r="F5" s="91"/>
    </row>
    <row r="7" spans="1:6" ht="30" customHeight="1">
      <c r="A7" s="11" t="s">
        <v>9</v>
      </c>
      <c r="B7" s="12" t="s">
        <v>989</v>
      </c>
      <c r="C7" s="12"/>
      <c r="D7" s="12"/>
      <c r="E7" s="12"/>
      <c r="F7" s="12"/>
    </row>
    <row r="8" spans="1:6" ht="24" customHeight="1">
      <c r="A8" s="92" t="s">
        <v>117</v>
      </c>
      <c r="B8" s="92" t="s">
        <v>119</v>
      </c>
      <c r="C8" s="92" t="s">
        <v>121</v>
      </c>
      <c r="D8" s="92" t="s">
        <v>123</v>
      </c>
      <c r="E8" s="92" t="s">
        <v>125</v>
      </c>
      <c r="F8" s="92" t="s">
        <v>990</v>
      </c>
    </row>
    <row r="9" spans="1:6" ht="21" customHeight="1">
      <c r="A9" s="93" t="s">
        <v>127</v>
      </c>
      <c r="B9" s="94">
        <f>IFERROR(VLOOKUP($A9,Params!$A$10:$E$21,2,0),"")</f>
        <v>0</v>
      </c>
      <c r="C9" s="95">
        <f>IFERROR(VLOOKUP($A9,Params!$A$10:$E$21,3,0),"")</f>
        <v>0</v>
      </c>
      <c r="D9" s="96">
        <f>IFERROR(VLOOKUP($A9,Params!$A$10:$E$21,4,0),"")</f>
        <v>0</v>
      </c>
      <c r="E9" s="94">
        <f>IFERROR(VLOOKUP($A9,Params!$A$10:$E$21,5,0),"")</f>
        <v>0</v>
      </c>
      <c r="F9" s="96" t="s">
        <v>991</v>
      </c>
    </row>
    <row r="10" spans="1:6" ht="21" customHeight="1">
      <c r="A10" s="93" t="s">
        <v>130</v>
      </c>
      <c r="B10" s="94">
        <f>IFERROR(VLOOKUP($A10,Params!$A$10:$E$21,2,0),"")</f>
        <v>0</v>
      </c>
      <c r="C10" s="95">
        <f>IFERROR(VLOOKUP($A10,Params!$A$10:$E$21,3,0),"")</f>
        <v>0</v>
      </c>
      <c r="D10" s="96">
        <f>IFERROR(VLOOKUP($A10,Params!$A$10:$E$21,4,0),"")</f>
        <v>0</v>
      </c>
      <c r="E10" s="94">
        <f>IFERROR(VLOOKUP($A10,Params!$A$10:$E$21,5,0),"")</f>
        <v>0</v>
      </c>
      <c r="F10" s="96" t="s">
        <v>991</v>
      </c>
    </row>
    <row r="11" spans="1:6" ht="21" customHeight="1">
      <c r="A11" s="93" t="s">
        <v>133</v>
      </c>
      <c r="B11" s="94">
        <f>IFERROR(VLOOKUP($A11,Params!$A$10:$E$21,2,0),"")</f>
        <v>0</v>
      </c>
      <c r="C11" s="95">
        <f>IFERROR(VLOOKUP($A11,Params!$A$10:$E$21,3,0),"")</f>
        <v>0</v>
      </c>
      <c r="D11" s="96">
        <f>IFERROR(VLOOKUP($A11,Params!$A$10:$E$21,4,0),"")</f>
        <v>0</v>
      </c>
      <c r="E11" s="94">
        <f>IFERROR(VLOOKUP($A11,Params!$A$10:$E$21,5,0),"")</f>
        <v>0</v>
      </c>
      <c r="F11" s="96" t="s">
        <v>991</v>
      </c>
    </row>
    <row r="12" spans="1:6" ht="21" customHeight="1">
      <c r="A12" s="93" t="s">
        <v>136</v>
      </c>
      <c r="B12" s="94">
        <f>IFERROR(VLOOKUP($A12,Params!$A$10:$E$21,2,0),"")</f>
        <v>0</v>
      </c>
      <c r="C12" s="95">
        <f>IFERROR(VLOOKUP($A12,Params!$A$10:$E$21,3,0),"")</f>
        <v>0</v>
      </c>
      <c r="D12" s="96">
        <f>IFERROR(VLOOKUP($A12,Params!$A$10:$E$21,4,0),"")</f>
        <v>0</v>
      </c>
      <c r="E12" s="94">
        <f>IFERROR(VLOOKUP($A12,Params!$A$10:$E$21,5,0),"")</f>
        <v>0</v>
      </c>
      <c r="F12" s="96" t="s">
        <v>991</v>
      </c>
    </row>
    <row r="13" spans="1:6" ht="21" customHeight="1">
      <c r="A13" s="93" t="s">
        <v>138</v>
      </c>
      <c r="B13" s="94">
        <f>IFERROR(VLOOKUP($A13,Params!$A$10:$E$21,2,0),"")</f>
        <v>0</v>
      </c>
      <c r="C13" s="95">
        <f>IFERROR(VLOOKUP($A13,Params!$A$10:$E$21,3,0),"")</f>
        <v>0</v>
      </c>
      <c r="D13" s="96">
        <f>IFERROR(VLOOKUP($A13,Params!$A$10:$E$21,4,0),"")</f>
        <v>0</v>
      </c>
      <c r="E13" s="94">
        <f>IFERROR(VLOOKUP($A13,Params!$A$10:$E$21,5,0),"")</f>
        <v>0</v>
      </c>
      <c r="F13" s="96" t="s">
        <v>991</v>
      </c>
    </row>
    <row r="14" spans="1:6" ht="21" customHeight="1">
      <c r="A14" s="93" t="s">
        <v>142</v>
      </c>
      <c r="B14" s="94">
        <f>IFERROR(VLOOKUP($A14,Params!$A$10:$E$21,2,0),"")</f>
        <v>0</v>
      </c>
      <c r="C14" s="95">
        <f>IFERROR(VLOOKUP($A14,Params!$A$10:$E$21,3,0),"")</f>
        <v>0</v>
      </c>
      <c r="D14" s="96">
        <f>IFERROR(VLOOKUP($A14,Params!$A$10:$E$21,4,0),"")</f>
        <v>0</v>
      </c>
      <c r="E14" s="94">
        <f>IFERROR(VLOOKUP($A14,Params!$A$10:$E$21,5,0),"")</f>
        <v>0</v>
      </c>
      <c r="F14" s="96" t="s">
        <v>991</v>
      </c>
    </row>
    <row r="15" spans="1:6" ht="21" customHeight="1">
      <c r="A15" s="93" t="s">
        <v>145</v>
      </c>
      <c r="B15" s="94">
        <f>IFERROR(VLOOKUP($A15,Params!$A$10:$E$21,2,0),"")</f>
        <v>0</v>
      </c>
      <c r="C15" s="95">
        <f>IFERROR(VLOOKUP($A15,Params!$A$10:$E$21,3,0),"")</f>
        <v>0</v>
      </c>
      <c r="D15" s="96">
        <f>IFERROR(VLOOKUP($A15,Params!$A$10:$E$21,4,0),"")</f>
        <v>0</v>
      </c>
      <c r="E15" s="94">
        <f>IFERROR(VLOOKUP($A15,Params!$A$10:$E$21,5,0),"")</f>
        <v>0</v>
      </c>
      <c r="F15" s="96" t="s">
        <v>991</v>
      </c>
    </row>
    <row r="16" spans="1:6" ht="21" customHeight="1">
      <c r="A16" s="93" t="s">
        <v>149</v>
      </c>
      <c r="B16" s="94">
        <f>IFERROR(VLOOKUP($A16,Params!$A$10:$E$21,2,0),"")</f>
        <v>0</v>
      </c>
      <c r="C16" s="95">
        <f>IFERROR(VLOOKUP($A16,Params!$A$10:$E$21,3,0),"")</f>
        <v>0</v>
      </c>
      <c r="D16" s="96">
        <f>IFERROR(VLOOKUP($A16,Params!$A$10:$E$21,4,0),"")</f>
        <v>0</v>
      </c>
      <c r="E16" s="94">
        <f>IFERROR(VLOOKUP($A16,Params!$A$10:$E$21,5,0),"")</f>
        <v>0</v>
      </c>
      <c r="F16" s="96" t="s">
        <v>991</v>
      </c>
    </row>
    <row r="17" spans="1:6" ht="21" customHeight="1">
      <c r="A17" s="93" t="s">
        <v>152</v>
      </c>
      <c r="B17" s="94">
        <f>IFERROR(VLOOKUP($A17,Params!$A$10:$E$21,2,0),"")</f>
        <v>0</v>
      </c>
      <c r="C17" s="95">
        <f>IFERROR(VLOOKUP($A17,Params!$A$10:$E$21,3,0),"")</f>
        <v>0</v>
      </c>
      <c r="D17" s="96">
        <f>IFERROR(VLOOKUP($A17,Params!$A$10:$E$21,4,0),"")</f>
        <v>0</v>
      </c>
      <c r="E17" s="94">
        <f>IFERROR(VLOOKUP($A17,Params!$A$10:$E$21,5,0),"")</f>
        <v>0</v>
      </c>
      <c r="F17" s="96" t="s">
        <v>991</v>
      </c>
    </row>
    <row r="18" spans="1:6" ht="21" customHeight="1">
      <c r="A18" s="93" t="s">
        <v>155</v>
      </c>
      <c r="B18" s="94">
        <f>IFERROR(VLOOKUP($A18,Params!$A$10:$E$21,2,0),"")</f>
        <v>0</v>
      </c>
      <c r="C18" s="95">
        <f>IFERROR(VLOOKUP($A18,Params!$A$10:$E$21,3,0),"")</f>
        <v>0</v>
      </c>
      <c r="D18" s="96">
        <f>IFERROR(VLOOKUP($A18,Params!$A$10:$E$21,4,0),"")</f>
        <v>0</v>
      </c>
      <c r="E18" s="94">
        <f>IFERROR(VLOOKUP($A18,Params!$A$10:$E$21,5,0),"")</f>
        <v>0</v>
      </c>
      <c r="F18" s="96" t="s">
        <v>991</v>
      </c>
    </row>
    <row r="19" spans="1:6" ht="21" customHeight="1">
      <c r="A19" s="93" t="s">
        <v>158</v>
      </c>
      <c r="B19" s="94">
        <f>IFERROR(VLOOKUP($A19,Params!$A$10:$E$21,2,0),"")</f>
        <v>0</v>
      </c>
      <c r="C19" s="95">
        <f>IFERROR(VLOOKUP($A19,Params!$A$10:$E$21,3,0),"")</f>
        <v>0</v>
      </c>
      <c r="D19" s="96">
        <f>IFERROR(VLOOKUP($A19,Params!$A$10:$E$21,4,0),"")</f>
        <v>0</v>
      </c>
      <c r="E19" s="94">
        <f>IFERROR(VLOOKUP($A19,Params!$A$10:$E$21,5,0),"")</f>
        <v>0</v>
      </c>
      <c r="F19" s="96" t="s">
        <v>991</v>
      </c>
    </row>
    <row r="20" spans="1:6" ht="21" customHeight="1">
      <c r="A20" s="93" t="s">
        <v>159</v>
      </c>
      <c r="B20" s="94">
        <f>IFERROR(VLOOKUP($A20,Params!$A$10:$E$21,2,0),"")</f>
        <v>0</v>
      </c>
      <c r="C20" s="95">
        <f>IFERROR(VLOOKUP($A20,Params!$A$10:$E$21,3,0),"")</f>
        <v>0</v>
      </c>
      <c r="D20" s="96">
        <f>IFERROR(VLOOKUP($A20,Params!$A$10:$E$21,4,0),"")</f>
        <v>0</v>
      </c>
      <c r="E20" s="94">
        <f>IFERROR(VLOOKUP($A20,Params!$A$10:$E$21,5,0),"")</f>
        <v>0</v>
      </c>
      <c r="F20" s="96" t="s">
        <v>991</v>
      </c>
    </row>
    <row r="23" spans="1:6" ht="30" customHeight="1">
      <c r="A23" s="11" t="s">
        <v>35</v>
      </c>
      <c r="B23" s="12" t="s">
        <v>992</v>
      </c>
      <c r="C23" s="12"/>
      <c r="D23" s="12"/>
      <c r="E23" s="12"/>
      <c r="F23" s="12"/>
    </row>
    <row r="24" spans="1:6" ht="24" customHeight="1">
      <c r="A24" s="92" t="s">
        <v>993</v>
      </c>
      <c r="B24" s="92" t="s">
        <v>994</v>
      </c>
      <c r="C24" s="92" t="s">
        <v>995</v>
      </c>
      <c r="D24" s="92"/>
      <c r="E24" s="92"/>
      <c r="F24" s="92" t="s">
        <v>990</v>
      </c>
    </row>
    <row r="25" spans="1:6" ht="21" customHeight="1">
      <c r="A25" s="93" t="s">
        <v>181</v>
      </c>
      <c r="B25" s="95">
        <f>COUNTIF(Accounts!$B$10:$B$259,$A25)</f>
        <v>0</v>
      </c>
      <c r="C25" s="95">
        <f>COUNTIF(Groups!$A$10:$A$52,$A25)</f>
        <v>0</v>
      </c>
      <c r="F25" s="96" t="s">
        <v>996</v>
      </c>
    </row>
    <row r="26" spans="1:6" ht="21" customHeight="1">
      <c r="A26" s="93" t="s">
        <v>193</v>
      </c>
      <c r="B26" s="95">
        <f>COUNTIF(Accounts!$B$10:$B$259,$A26)</f>
        <v>0</v>
      </c>
      <c r="C26" s="95">
        <f>COUNTIF(Groups!$A$10:$A$52,$A26)</f>
        <v>0</v>
      </c>
      <c r="F26" s="96" t="s">
        <v>996</v>
      </c>
    </row>
    <row r="27" spans="1:6" ht="21" customHeight="1">
      <c r="A27" s="93" t="s">
        <v>202</v>
      </c>
      <c r="B27" s="95">
        <f>COUNTIF(Accounts!$B$10:$B$259,$A27)</f>
        <v>0</v>
      </c>
      <c r="C27" s="95">
        <f>COUNTIF(Groups!$A$10:$A$52,$A27)</f>
        <v>0</v>
      </c>
      <c r="F27" s="96" t="s">
        <v>996</v>
      </c>
    </row>
    <row r="28" spans="1:6" ht="21" customHeight="1">
      <c r="A28" s="93" t="s">
        <v>210</v>
      </c>
      <c r="B28" s="95">
        <f>COUNTIF(Accounts!$B$10:$B$259,$A28)</f>
        <v>0</v>
      </c>
      <c r="C28" s="95">
        <f>COUNTIF(Groups!$A$10:$A$52,$A28)</f>
        <v>0</v>
      </c>
      <c r="F28" s="96" t="s">
        <v>996</v>
      </c>
    </row>
    <row r="29" spans="1:6" ht="21" customHeight="1">
      <c r="A29" s="93" t="s">
        <v>217</v>
      </c>
      <c r="B29" s="95">
        <f>COUNTIF(Accounts!$B$10:$B$259,$A29)</f>
        <v>0</v>
      </c>
      <c r="C29" s="95">
        <f>COUNTIF(Groups!$A$10:$A$52,$A29)</f>
        <v>0</v>
      </c>
      <c r="F29" s="96" t="s">
        <v>996</v>
      </c>
    </row>
    <row r="30" spans="1:6" ht="21" customHeight="1">
      <c r="A30" s="93" t="s">
        <v>226</v>
      </c>
      <c r="B30" s="95">
        <f>COUNTIF(Accounts!$B$10:$B$259,$A30)</f>
        <v>0</v>
      </c>
      <c r="C30" s="95">
        <f>COUNTIF(Groups!$A$10:$A$52,$A30)</f>
        <v>0</v>
      </c>
      <c r="F30" s="96" t="s">
        <v>996</v>
      </c>
    </row>
    <row r="31" spans="1:6" ht="21" customHeight="1">
      <c r="A31" s="93" t="s">
        <v>242</v>
      </c>
      <c r="B31" s="95">
        <f>COUNTIF(Accounts!$B$10:$B$259,$A31)</f>
        <v>0</v>
      </c>
      <c r="C31" s="95">
        <f>COUNTIF(Groups!$A$10:$A$52,$A31)</f>
        <v>0</v>
      </c>
      <c r="F31" s="96" t="s">
        <v>996</v>
      </c>
    </row>
    <row r="32" spans="1:6" ht="21" customHeight="1">
      <c r="A32" s="93" t="s">
        <v>248</v>
      </c>
      <c r="B32" s="95">
        <f>COUNTIF(Accounts!$B$10:$B$259,$A32)</f>
        <v>0</v>
      </c>
      <c r="C32" s="95">
        <f>COUNTIF(Groups!$A$10:$A$52,$A32)</f>
        <v>0</v>
      </c>
      <c r="F32" s="96" t="s">
        <v>996</v>
      </c>
    </row>
    <row r="33" spans="1:6" ht="21" customHeight="1">
      <c r="A33" s="93" t="s">
        <v>254</v>
      </c>
      <c r="B33" s="95">
        <f>COUNTIF(Accounts!$B$10:$B$259,$A33)</f>
        <v>0</v>
      </c>
      <c r="C33" s="95">
        <f>COUNTIF(Groups!$A$10:$A$52,$A33)</f>
        <v>0</v>
      </c>
      <c r="F33" s="96" t="s">
        <v>996</v>
      </c>
    </row>
    <row r="34" spans="1:6" ht="21" customHeight="1">
      <c r="A34" s="93" t="s">
        <v>258</v>
      </c>
      <c r="B34" s="95">
        <f>COUNTIF(Accounts!$B$10:$B$259,$A34)</f>
        <v>0</v>
      </c>
      <c r="C34" s="95">
        <f>COUNTIF(Groups!$A$10:$A$52,$A34)</f>
        <v>0</v>
      </c>
      <c r="F34" s="96" t="s">
        <v>996</v>
      </c>
    </row>
    <row r="35" spans="1:6" ht="21" customHeight="1">
      <c r="A35" s="93" t="s">
        <v>265</v>
      </c>
      <c r="B35" s="95">
        <f>COUNTIF(Accounts!$B$10:$B$259,$A35)</f>
        <v>0</v>
      </c>
      <c r="C35" s="95">
        <f>COUNTIF(Groups!$A$10:$A$52,$A35)</f>
        <v>0</v>
      </c>
      <c r="F35" s="96" t="s">
        <v>996</v>
      </c>
    </row>
    <row r="36" spans="1:6" ht="21.75" customHeight="1">
      <c r="A36" s="97" t="s">
        <v>997</v>
      </c>
      <c r="B36" s="98">
        <f>SUM($B$25:$B$35)</f>
        <v>0</v>
      </c>
    </row>
    <row r="39" spans="1:6" ht="30" customHeight="1">
      <c r="A39" s="11" t="s">
        <v>56</v>
      </c>
      <c r="B39" s="12" t="s">
        <v>998</v>
      </c>
      <c r="C39" s="12"/>
      <c r="D39" s="12"/>
      <c r="E39" s="12"/>
      <c r="F39" s="12"/>
    </row>
    <row r="40" spans="1:6" ht="24" customHeight="1">
      <c r="A40" s="92" t="s">
        <v>904</v>
      </c>
      <c r="B40" s="92" t="s">
        <v>905</v>
      </c>
      <c r="C40" s="92" t="s">
        <v>907</v>
      </c>
      <c r="D40" s="92" t="s">
        <v>285</v>
      </c>
      <c r="E40" s="92" t="s">
        <v>909</v>
      </c>
      <c r="F40" s="92" t="s">
        <v>990</v>
      </c>
    </row>
    <row r="41" spans="1:6" ht="21" customHeight="1">
      <c r="A41" s="93">
        <f>Banks!$A10</f>
        <v>0</v>
      </c>
      <c r="B41" s="94">
        <f>Banks!$B10</f>
        <v>0</v>
      </c>
      <c r="C41" s="96">
        <f>Banks!$D10</f>
        <v>0</v>
      </c>
      <c r="D41" s="96">
        <f>Banks!$F10</f>
        <v>0</v>
      </c>
      <c r="E41" s="96">
        <f>Banks!$E10</f>
        <v>0</v>
      </c>
      <c r="F41" s="96" t="s">
        <v>999</v>
      </c>
    </row>
    <row r="42" spans="1:6" ht="21" customHeight="1">
      <c r="A42" s="93">
        <f>Banks!$A11</f>
        <v>0</v>
      </c>
      <c r="B42" s="94">
        <f>Banks!$B11</f>
        <v>0</v>
      </c>
      <c r="C42" s="96">
        <f>Banks!$D11</f>
        <v>0</v>
      </c>
      <c r="D42" s="96">
        <f>Banks!$F11</f>
        <v>0</v>
      </c>
      <c r="E42" s="96">
        <f>Banks!$E11</f>
        <v>0</v>
      </c>
      <c r="F42" s="96" t="s">
        <v>999</v>
      </c>
    </row>
    <row r="43" spans="1:6" ht="21" customHeight="1">
      <c r="A43" s="93">
        <f>Banks!$A12</f>
        <v>0</v>
      </c>
      <c r="B43" s="94">
        <f>Banks!$B12</f>
        <v>0</v>
      </c>
      <c r="C43" s="96">
        <f>Banks!$D12</f>
        <v>0</v>
      </c>
      <c r="D43" s="96">
        <f>Banks!$F12</f>
        <v>0</v>
      </c>
      <c r="E43" s="96">
        <f>Banks!$E12</f>
        <v>0</v>
      </c>
      <c r="F43" s="96" t="s">
        <v>999</v>
      </c>
    </row>
    <row r="44" spans="1:6" ht="21" customHeight="1">
      <c r="A44" s="93">
        <f>Banks!$A13</f>
        <v>0</v>
      </c>
      <c r="B44" s="94">
        <f>Banks!$B13</f>
        <v>0</v>
      </c>
      <c r="C44" s="96">
        <f>Banks!$D13</f>
        <v>0</v>
      </c>
      <c r="D44" s="96">
        <f>Banks!$F13</f>
        <v>0</v>
      </c>
      <c r="E44" s="96">
        <f>Banks!$E13</f>
        <v>0</v>
      </c>
      <c r="F44" s="96" t="s">
        <v>999</v>
      </c>
    </row>
    <row r="45" spans="1:6" ht="21" customHeight="1">
      <c r="A45" s="93">
        <f>Banks!$A14</f>
        <v>0</v>
      </c>
      <c r="B45" s="94">
        <f>Banks!$B14</f>
        <v>0</v>
      </c>
      <c r="C45" s="96">
        <f>Banks!$D14</f>
        <v>0</v>
      </c>
      <c r="D45" s="96">
        <f>Banks!$F14</f>
        <v>0</v>
      </c>
      <c r="E45" s="96">
        <f>Banks!$E14</f>
        <v>0</v>
      </c>
      <c r="F45" s="96" t="s">
        <v>999</v>
      </c>
    </row>
    <row r="46" spans="1:6" ht="21" customHeight="1">
      <c r="A46" s="93">
        <f>Banks!$A15</f>
        <v>0</v>
      </c>
      <c r="B46" s="94">
        <f>Banks!$B15</f>
        <v>0</v>
      </c>
      <c r="C46" s="96">
        <f>Banks!$D15</f>
        <v>0</v>
      </c>
      <c r="D46" s="96">
        <f>Banks!$F15</f>
        <v>0</v>
      </c>
      <c r="E46" s="96">
        <f>Banks!$E15</f>
        <v>0</v>
      </c>
      <c r="F46" s="96" t="s">
        <v>999</v>
      </c>
    </row>
    <row r="47" spans="1:6" ht="21" customHeight="1">
      <c r="A47" s="93">
        <f>Banks!$A16</f>
        <v>0</v>
      </c>
      <c r="B47" s="94">
        <f>Banks!$B16</f>
        <v>0</v>
      </c>
      <c r="C47" s="96">
        <f>Banks!$D16</f>
        <v>0</v>
      </c>
      <c r="D47" s="96">
        <f>Banks!$F16</f>
        <v>0</v>
      </c>
      <c r="E47" s="96">
        <f>Banks!$E16</f>
        <v>0</v>
      </c>
      <c r="F47" s="96" t="s">
        <v>999</v>
      </c>
    </row>
    <row r="48" spans="1:6" ht="21" customHeight="1">
      <c r="A48" s="93">
        <f>Banks!$A17</f>
        <v>0</v>
      </c>
      <c r="B48" s="94">
        <f>Banks!$B17</f>
        <v>0</v>
      </c>
      <c r="C48" s="96">
        <f>Banks!$D17</f>
        <v>0</v>
      </c>
      <c r="D48" s="96">
        <f>Banks!$F17</f>
        <v>0</v>
      </c>
      <c r="E48" s="96">
        <f>Banks!$E17</f>
        <v>0</v>
      </c>
      <c r="F48" s="96" t="s">
        <v>999</v>
      </c>
    </row>
    <row r="49" spans="1:6" ht="21" customHeight="1">
      <c r="A49" s="93">
        <f>Banks!$A18</f>
        <v>0</v>
      </c>
      <c r="B49" s="94">
        <f>Banks!$B18</f>
        <v>0</v>
      </c>
      <c r="C49" s="96">
        <f>Banks!$D18</f>
        <v>0</v>
      </c>
      <c r="D49" s="96">
        <f>Banks!$F18</f>
        <v>0</v>
      </c>
      <c r="E49" s="96">
        <f>Banks!$E18</f>
        <v>0</v>
      </c>
      <c r="F49" s="96" t="s">
        <v>999</v>
      </c>
    </row>
    <row r="50" spans="1:6" ht="21" customHeight="1">
      <c r="A50" s="93">
        <f>Banks!$A19</f>
        <v>0</v>
      </c>
      <c r="B50" s="94">
        <f>Banks!$B19</f>
        <v>0</v>
      </c>
      <c r="C50" s="96">
        <f>Banks!$D19</f>
        <v>0</v>
      </c>
      <c r="D50" s="96">
        <f>Banks!$F19</f>
        <v>0</v>
      </c>
      <c r="E50" s="96">
        <f>Banks!$E19</f>
        <v>0</v>
      </c>
      <c r="F50" s="96" t="s">
        <v>999</v>
      </c>
    </row>
  </sheetData>
  <sheetProtection sheet="1" objects="1" scenarios="1" selectUnlockedCells="1"/>
  <mergeCells count="8">
    <mergeCell ref="A1:B1"/>
    <mergeCell ref="C1:F1"/>
    <mergeCell ref="A2:F2"/>
    <mergeCell ref="A3:F3"/>
    <mergeCell ref="A5:F5"/>
    <mergeCell ref="B7:F7"/>
    <mergeCell ref="B23:F23"/>
    <mergeCell ref="B39:F39"/>
  </mergeCells>
  <printOptions horizontalCentered="1"/>
  <pageMargins left="0.35" right="0.35" top="0.45" bottom="0.5" header="0.3" footer="0.3"/>
  <pageSetup paperSize="9" fitToHeight="0" orientation="portrait"/>
  <headerFooter>
    <oddHeader>&amp;Lمازندشت&amp;RMAZANDASHT · CITRUS</oddHeader>
    <oddFooter>&amp;Lمازندشت — سورتینگ و بسته‌بندی مرکبات&amp;Cصفحه &amp;P از &amp;N&amp;RMAZANDASHT · 1405</oddFooter>
  </headerFooter>
</worksheet>
</file>

<file path=xl/worksheets/sheet12.xml><?xml version="1.0" encoding="utf-8"?>
<worksheet xmlns="http://schemas.openxmlformats.org/spreadsheetml/2006/main" xmlns:r="http://schemas.openxmlformats.org/officeDocument/2006/relationships">
  <sheetPr>
    <tabColor rgb="FF14453D"/>
    <pageSetUpPr fitToPage="1"/>
  </sheetPr>
  <dimension ref="A1:J117"/>
  <sheetViews>
    <sheetView showGridLines="0" rightToLeft="1" zoomScale="88" zoomScaleNormal="88" workbookViewId="0">
      <pane ySplit="9" topLeftCell="A10" activePane="bottomLeft" state="frozen"/>
      <selection pane="bottomLeft"/>
    </sheetView>
  </sheetViews>
  <sheetFormatPr defaultRowHeight="15"/>
  <cols>
    <col min="1" max="1" width="6.7109375" customWidth="1"/>
    <col min="2" max="2" width="30.7109375" customWidth="1"/>
    <col min="3" max="10" width="16.7109375" customWidth="1"/>
  </cols>
  <sheetData>
    <row r="1" spans="1:10" ht="18" customHeight="1">
      <c r="A1" s="1" t="s">
        <v>0</v>
      </c>
      <c r="B1" s="1"/>
      <c r="C1" s="1"/>
      <c r="D1" s="1"/>
      <c r="E1" s="1"/>
      <c r="F1" s="1"/>
      <c r="G1" s="2" t="s">
        <v>1</v>
      </c>
      <c r="H1" s="2"/>
      <c r="I1" s="2"/>
      <c r="J1" s="2"/>
    </row>
    <row r="2" spans="1:10" ht="30" customHeight="1">
      <c r="A2" s="3" t="s">
        <v>1000</v>
      </c>
      <c r="B2" s="3"/>
      <c r="C2" s="3"/>
      <c r="D2" s="3"/>
      <c r="E2" s="3"/>
      <c r="F2" s="3"/>
      <c r="G2" s="3"/>
      <c r="H2" s="3"/>
      <c r="I2" s="3"/>
      <c r="J2" s="3"/>
    </row>
    <row r="3" spans="1:10" ht="20.25" customHeight="1">
      <c r="A3" s="4" t="s">
        <v>1001</v>
      </c>
      <c r="B3" s="4"/>
      <c r="C3" s="4"/>
      <c r="D3" s="4"/>
      <c r="E3" s="4"/>
      <c r="F3" s="4"/>
      <c r="G3" s="4"/>
      <c r="H3" s="4"/>
      <c r="I3" s="4"/>
      <c r="J3" s="4"/>
    </row>
    <row r="4" spans="1:10" ht="8.25" customHeight="1"/>
    <row r="5" spans="1:10" ht="42" customHeight="1">
      <c r="A5" s="91" t="s">
        <v>1002</v>
      </c>
      <c r="B5" s="91"/>
      <c r="C5" s="91"/>
      <c r="D5" s="91"/>
      <c r="E5" s="91"/>
      <c r="F5" s="91"/>
      <c r="G5" s="91"/>
      <c r="H5" s="91"/>
      <c r="I5" s="91"/>
      <c r="J5" s="91"/>
    </row>
    <row r="7" spans="1:10" ht="30" customHeight="1">
      <c r="A7" s="11" t="s">
        <v>1003</v>
      </c>
      <c r="B7" s="12" t="s">
        <v>1004</v>
      </c>
      <c r="C7" s="12"/>
      <c r="D7" s="12"/>
      <c r="E7" s="12"/>
      <c r="F7" s="12"/>
      <c r="G7" s="12"/>
      <c r="H7" s="12"/>
      <c r="I7" s="12"/>
      <c r="J7" s="12"/>
    </row>
    <row r="8" spans="1:10" ht="21" customHeight="1">
      <c r="A8" s="99" t="s">
        <v>1005</v>
      </c>
      <c r="B8" s="100" t="s">
        <v>1006</v>
      </c>
      <c r="C8" s="100"/>
      <c r="D8" s="100"/>
      <c r="E8" s="100"/>
      <c r="F8" s="100"/>
      <c r="G8" s="100"/>
      <c r="H8" s="100"/>
      <c r="I8" s="100"/>
      <c r="J8" s="100"/>
    </row>
    <row r="9" spans="1:10" ht="21" customHeight="1">
      <c r="A9" s="99" t="s">
        <v>1007</v>
      </c>
      <c r="B9" s="100" t="s">
        <v>1008</v>
      </c>
      <c r="C9" s="100"/>
      <c r="D9" s="100"/>
      <c r="E9" s="100"/>
      <c r="F9" s="100"/>
      <c r="G9" s="100"/>
      <c r="H9" s="100"/>
      <c r="I9" s="100"/>
      <c r="J9" s="100"/>
    </row>
    <row r="10" spans="1:10" ht="21" customHeight="1">
      <c r="A10" s="99" t="s">
        <v>1009</v>
      </c>
      <c r="B10" s="100" t="s">
        <v>1010</v>
      </c>
      <c r="C10" s="100"/>
      <c r="D10" s="100"/>
      <c r="E10" s="100"/>
      <c r="F10" s="100"/>
      <c r="G10" s="100"/>
      <c r="H10" s="100"/>
      <c r="I10" s="100"/>
      <c r="J10" s="100"/>
    </row>
    <row r="11" spans="1:10" ht="21" customHeight="1">
      <c r="A11" s="99" t="s">
        <v>1011</v>
      </c>
      <c r="B11" s="100" t="s">
        <v>1012</v>
      </c>
      <c r="C11" s="100"/>
      <c r="D11" s="100"/>
      <c r="E11" s="100"/>
      <c r="F11" s="100"/>
      <c r="G11" s="100"/>
      <c r="H11" s="100"/>
      <c r="I11" s="100"/>
      <c r="J11" s="100"/>
    </row>
    <row r="12" spans="1:10" ht="21" customHeight="1">
      <c r="A12" s="99" t="s">
        <v>1013</v>
      </c>
      <c r="B12" s="100" t="s">
        <v>1014</v>
      </c>
      <c r="C12" s="100"/>
      <c r="D12" s="100"/>
      <c r="E12" s="100"/>
      <c r="F12" s="100"/>
      <c r="G12" s="100"/>
      <c r="H12" s="100"/>
      <c r="I12" s="100"/>
      <c r="J12" s="100"/>
    </row>
    <row r="13" spans="1:10" ht="21" customHeight="1">
      <c r="A13" s="99" t="s">
        <v>1015</v>
      </c>
      <c r="B13" s="100" t="s">
        <v>1016</v>
      </c>
      <c r="C13" s="100"/>
      <c r="D13" s="100"/>
      <c r="E13" s="100"/>
      <c r="F13" s="100"/>
      <c r="G13" s="100"/>
      <c r="H13" s="100"/>
      <c r="I13" s="100"/>
      <c r="J13" s="100"/>
    </row>
    <row r="14" spans="1:10" ht="21" customHeight="1">
      <c r="A14" s="99" t="s">
        <v>1017</v>
      </c>
      <c r="B14" s="100" t="s">
        <v>1018</v>
      </c>
      <c r="C14" s="100"/>
      <c r="D14" s="100"/>
      <c r="E14" s="100"/>
      <c r="F14" s="100"/>
      <c r="G14" s="100"/>
      <c r="H14" s="100"/>
      <c r="I14" s="100"/>
      <c r="J14" s="100"/>
    </row>
    <row r="15" spans="1:10" ht="21" customHeight="1">
      <c r="A15" s="99" t="s">
        <v>1019</v>
      </c>
      <c r="B15" s="100" t="s">
        <v>1020</v>
      </c>
      <c r="C15" s="100"/>
      <c r="D15" s="100"/>
      <c r="E15" s="100"/>
      <c r="F15" s="100"/>
      <c r="G15" s="100"/>
      <c r="H15" s="100"/>
      <c r="I15" s="100"/>
      <c r="J15" s="100"/>
    </row>
    <row r="16" spans="1:10" ht="21" customHeight="1">
      <c r="A16" s="99" t="s">
        <v>1021</v>
      </c>
      <c r="B16" s="100" t="s">
        <v>1022</v>
      </c>
      <c r="C16" s="100"/>
      <c r="D16" s="100"/>
      <c r="E16" s="100"/>
      <c r="F16" s="100"/>
      <c r="G16" s="100"/>
      <c r="H16" s="100"/>
      <c r="I16" s="100"/>
      <c r="J16" s="100"/>
    </row>
    <row r="17" spans="1:10" ht="21" customHeight="1">
      <c r="A17" s="99" t="s">
        <v>1023</v>
      </c>
      <c r="B17" s="100" t="s">
        <v>1024</v>
      </c>
      <c r="C17" s="100"/>
      <c r="D17" s="100"/>
      <c r="E17" s="100"/>
      <c r="F17" s="100"/>
      <c r="G17" s="100"/>
      <c r="H17" s="100"/>
      <c r="I17" s="100"/>
      <c r="J17" s="100"/>
    </row>
    <row r="18" spans="1:10" ht="21" customHeight="1">
      <c r="A18" s="99" t="s">
        <v>1025</v>
      </c>
      <c r="B18" s="100" t="s">
        <v>1026</v>
      </c>
      <c r="C18" s="100"/>
      <c r="D18" s="100"/>
      <c r="E18" s="100"/>
      <c r="F18" s="100"/>
      <c r="G18" s="100"/>
      <c r="H18" s="100"/>
      <c r="I18" s="100"/>
      <c r="J18" s="100"/>
    </row>
    <row r="19" spans="1:10" ht="21" customHeight="1">
      <c r="A19" s="99" t="s">
        <v>1027</v>
      </c>
      <c r="B19" s="100" t="s">
        <v>1028</v>
      </c>
      <c r="C19" s="100"/>
      <c r="D19" s="100"/>
      <c r="E19" s="100"/>
      <c r="F19" s="100"/>
      <c r="G19" s="100"/>
      <c r="H19" s="100"/>
      <c r="I19" s="100"/>
      <c r="J19" s="100"/>
    </row>
    <row r="20" spans="1:10" ht="21" customHeight="1">
      <c r="A20" s="99" t="s">
        <v>1029</v>
      </c>
      <c r="B20" s="100" t="s">
        <v>1030</v>
      </c>
      <c r="C20" s="100"/>
      <c r="D20" s="100"/>
      <c r="E20" s="100"/>
      <c r="F20" s="100"/>
      <c r="G20" s="100"/>
      <c r="H20" s="100"/>
      <c r="I20" s="100"/>
      <c r="J20" s="100"/>
    </row>
    <row r="21" spans="1:10" ht="21" customHeight="1">
      <c r="A21" s="99" t="s">
        <v>1031</v>
      </c>
      <c r="B21" s="100" t="s">
        <v>1032</v>
      </c>
      <c r="C21" s="100"/>
      <c r="D21" s="100"/>
      <c r="E21" s="100"/>
      <c r="F21" s="100"/>
      <c r="G21" s="100"/>
      <c r="H21" s="100"/>
      <c r="I21" s="100"/>
      <c r="J21" s="100"/>
    </row>
    <row r="22" spans="1:10" ht="21" customHeight="1">
      <c r="A22" s="99" t="s">
        <v>1033</v>
      </c>
      <c r="B22" s="100" t="s">
        <v>1034</v>
      </c>
      <c r="C22" s="100"/>
      <c r="D22" s="100"/>
      <c r="E22" s="100"/>
      <c r="F22" s="100"/>
      <c r="G22" s="100"/>
      <c r="H22" s="100"/>
      <c r="I22" s="100"/>
      <c r="J22" s="100"/>
    </row>
    <row r="23" spans="1:10" ht="21" customHeight="1">
      <c r="A23" s="99" t="s">
        <v>1035</v>
      </c>
      <c r="B23" s="100" t="s">
        <v>1036</v>
      </c>
      <c r="C23" s="100"/>
      <c r="D23" s="100"/>
      <c r="E23" s="100"/>
      <c r="F23" s="100"/>
      <c r="G23" s="100"/>
      <c r="H23" s="100"/>
      <c r="I23" s="100"/>
      <c r="J23" s="100"/>
    </row>
    <row r="26" spans="1:10" ht="30" customHeight="1">
      <c r="A26" s="11" t="s">
        <v>1005</v>
      </c>
      <c r="B26" s="12" t="s">
        <v>1037</v>
      </c>
      <c r="C26" s="12"/>
      <c r="D26" s="12"/>
      <c r="E26" s="12"/>
      <c r="F26" s="12"/>
      <c r="G26" s="12"/>
      <c r="H26" s="12"/>
      <c r="I26" s="12"/>
      <c r="J26" s="12"/>
    </row>
    <row r="27" spans="1:10" ht="111" customHeight="1">
      <c r="B27" s="101" t="s">
        <v>1038</v>
      </c>
      <c r="C27" s="101"/>
      <c r="D27" s="101"/>
      <c r="E27" s="101"/>
      <c r="F27" s="101"/>
      <c r="G27" s="101"/>
      <c r="H27" s="101"/>
      <c r="I27" s="101"/>
      <c r="J27" s="101"/>
    </row>
    <row r="28" spans="1:10" ht="81" customHeight="1">
      <c r="B28" s="101" t="s">
        <v>1039</v>
      </c>
      <c r="C28" s="101"/>
      <c r="D28" s="101"/>
      <c r="E28" s="101"/>
      <c r="F28" s="101"/>
      <c r="G28" s="101"/>
      <c r="H28" s="101"/>
      <c r="I28" s="101"/>
      <c r="J28" s="101"/>
    </row>
    <row r="29" spans="1:10" ht="32.25" customHeight="1">
      <c r="B29" s="102" t="s">
        <v>1040</v>
      </c>
      <c r="C29" s="102"/>
      <c r="D29" s="102"/>
      <c r="E29" s="102"/>
      <c r="F29" s="102"/>
      <c r="G29" s="102"/>
      <c r="H29" s="102"/>
      <c r="I29" s="102"/>
      <c r="J29" s="102"/>
    </row>
    <row r="31" spans="1:10" ht="30" customHeight="1">
      <c r="A31" s="11" t="s">
        <v>1007</v>
      </c>
      <c r="B31" s="12" t="s">
        <v>1041</v>
      </c>
      <c r="C31" s="12"/>
      <c r="D31" s="12"/>
      <c r="E31" s="12"/>
      <c r="F31" s="12"/>
      <c r="G31" s="12"/>
      <c r="H31" s="12"/>
      <c r="I31" s="12"/>
      <c r="J31" s="12"/>
    </row>
    <row r="32" spans="1:10" ht="111" customHeight="1">
      <c r="B32" s="101" t="s">
        <v>1042</v>
      </c>
      <c r="C32" s="101"/>
      <c r="D32" s="101"/>
      <c r="E32" s="101"/>
      <c r="F32" s="101"/>
      <c r="G32" s="101"/>
      <c r="H32" s="101"/>
      <c r="I32" s="101"/>
      <c r="J32" s="101"/>
    </row>
    <row r="33" spans="1:10" ht="81" customHeight="1">
      <c r="B33" s="101" t="s">
        <v>1043</v>
      </c>
      <c r="C33" s="101"/>
      <c r="D33" s="101"/>
      <c r="E33" s="101"/>
      <c r="F33" s="101"/>
      <c r="G33" s="101"/>
      <c r="H33" s="101"/>
      <c r="I33" s="101"/>
      <c r="J33" s="101"/>
    </row>
    <row r="34" spans="1:10" ht="32.25" customHeight="1">
      <c r="B34" s="102" t="s">
        <v>1044</v>
      </c>
      <c r="C34" s="102"/>
      <c r="D34" s="102"/>
      <c r="E34" s="102"/>
      <c r="F34" s="102"/>
      <c r="G34" s="102"/>
      <c r="H34" s="102"/>
      <c r="I34" s="102"/>
      <c r="J34" s="102"/>
    </row>
    <row r="36" spans="1:10" ht="30" customHeight="1">
      <c r="A36" s="11" t="s">
        <v>1009</v>
      </c>
      <c r="B36" s="12" t="s">
        <v>1045</v>
      </c>
      <c r="C36" s="12"/>
      <c r="D36" s="12"/>
      <c r="E36" s="12"/>
      <c r="F36" s="12"/>
      <c r="G36" s="12"/>
      <c r="H36" s="12"/>
      <c r="I36" s="12"/>
      <c r="J36" s="12"/>
    </row>
    <row r="37" spans="1:10" ht="96" customHeight="1">
      <c r="B37" s="101" t="s">
        <v>1046</v>
      </c>
      <c r="C37" s="101"/>
      <c r="D37" s="101"/>
      <c r="E37" s="101"/>
      <c r="F37" s="101"/>
      <c r="G37" s="101"/>
      <c r="H37" s="101"/>
      <c r="I37" s="101"/>
      <c r="J37" s="101"/>
    </row>
    <row r="38" spans="1:10" ht="81" customHeight="1">
      <c r="B38" s="101" t="s">
        <v>1047</v>
      </c>
      <c r="C38" s="101"/>
      <c r="D38" s="101"/>
      <c r="E38" s="101"/>
      <c r="F38" s="101"/>
      <c r="G38" s="101"/>
      <c r="H38" s="101"/>
      <c r="I38" s="101"/>
      <c r="J38" s="101"/>
    </row>
    <row r="39" spans="1:10" ht="32.25" customHeight="1">
      <c r="B39" s="102" t="s">
        <v>1048</v>
      </c>
      <c r="C39" s="102"/>
      <c r="D39" s="102"/>
      <c r="E39" s="102"/>
      <c r="F39" s="102"/>
      <c r="G39" s="102"/>
      <c r="H39" s="102"/>
      <c r="I39" s="102"/>
      <c r="J39" s="102"/>
    </row>
    <row r="41" spans="1:10" ht="30" customHeight="1">
      <c r="A41" s="11" t="s">
        <v>1011</v>
      </c>
      <c r="B41" s="12" t="s">
        <v>1049</v>
      </c>
      <c r="C41" s="12"/>
      <c r="D41" s="12"/>
      <c r="E41" s="12"/>
      <c r="F41" s="12"/>
      <c r="G41" s="12"/>
      <c r="H41" s="12"/>
      <c r="I41" s="12"/>
      <c r="J41" s="12"/>
    </row>
    <row r="42" spans="1:10" ht="96" customHeight="1">
      <c r="B42" s="101" t="s">
        <v>1050</v>
      </c>
      <c r="C42" s="101"/>
      <c r="D42" s="101"/>
      <c r="E42" s="101"/>
      <c r="F42" s="101"/>
      <c r="G42" s="101"/>
      <c r="H42" s="101"/>
      <c r="I42" s="101"/>
      <c r="J42" s="101"/>
    </row>
    <row r="43" spans="1:10" ht="81" customHeight="1">
      <c r="B43" s="101" t="s">
        <v>1051</v>
      </c>
      <c r="C43" s="101"/>
      <c r="D43" s="101"/>
      <c r="E43" s="101"/>
      <c r="F43" s="101"/>
      <c r="G43" s="101"/>
      <c r="H43" s="101"/>
      <c r="I43" s="101"/>
      <c r="J43" s="101"/>
    </row>
    <row r="44" spans="1:10" ht="66" customHeight="1">
      <c r="B44" s="101" t="s">
        <v>1052</v>
      </c>
      <c r="C44" s="101"/>
      <c r="D44" s="101"/>
      <c r="E44" s="101"/>
      <c r="F44" s="101"/>
      <c r="G44" s="101"/>
      <c r="H44" s="101"/>
      <c r="I44" s="101"/>
      <c r="J44" s="101"/>
    </row>
    <row r="45" spans="1:10" ht="32.25" customHeight="1">
      <c r="B45" s="102" t="s">
        <v>1053</v>
      </c>
      <c r="C45" s="102"/>
      <c r="D45" s="102"/>
      <c r="E45" s="102"/>
      <c r="F45" s="102"/>
      <c r="G45" s="102"/>
      <c r="H45" s="102"/>
      <c r="I45" s="102"/>
      <c r="J45" s="102"/>
    </row>
    <row r="47" spans="1:10" ht="30" customHeight="1">
      <c r="A47" s="11" t="s">
        <v>1013</v>
      </c>
      <c r="B47" s="12" t="s">
        <v>1054</v>
      </c>
      <c r="C47" s="12"/>
      <c r="D47" s="12"/>
      <c r="E47" s="12"/>
      <c r="F47" s="12"/>
      <c r="G47" s="12"/>
      <c r="H47" s="12"/>
      <c r="I47" s="12"/>
      <c r="J47" s="12"/>
    </row>
    <row r="48" spans="1:10" ht="81" customHeight="1">
      <c r="B48" s="101" t="s">
        <v>1055</v>
      </c>
      <c r="C48" s="101"/>
      <c r="D48" s="101"/>
      <c r="E48" s="101"/>
      <c r="F48" s="101"/>
      <c r="G48" s="101"/>
      <c r="H48" s="101"/>
      <c r="I48" s="101"/>
      <c r="J48" s="101"/>
    </row>
    <row r="49" spans="1:10" ht="66" customHeight="1">
      <c r="B49" s="101" t="s">
        <v>1056</v>
      </c>
      <c r="C49" s="101"/>
      <c r="D49" s="101"/>
      <c r="E49" s="101"/>
      <c r="F49" s="101"/>
      <c r="G49" s="101"/>
      <c r="H49" s="101"/>
      <c r="I49" s="101"/>
      <c r="J49" s="101"/>
    </row>
    <row r="50" spans="1:10" ht="32.25" customHeight="1">
      <c r="B50" s="102" t="s">
        <v>1057</v>
      </c>
      <c r="C50" s="102"/>
      <c r="D50" s="102"/>
      <c r="E50" s="102"/>
      <c r="F50" s="102"/>
      <c r="G50" s="102"/>
      <c r="H50" s="102"/>
      <c r="I50" s="102"/>
      <c r="J50" s="102"/>
    </row>
    <row r="52" spans="1:10" ht="30" customHeight="1">
      <c r="A52" s="11" t="s">
        <v>1015</v>
      </c>
      <c r="B52" s="12" t="s">
        <v>1058</v>
      </c>
      <c r="C52" s="12"/>
      <c r="D52" s="12"/>
      <c r="E52" s="12"/>
      <c r="F52" s="12"/>
      <c r="G52" s="12"/>
      <c r="H52" s="12"/>
      <c r="I52" s="12"/>
      <c r="J52" s="12"/>
    </row>
    <row r="53" spans="1:10" ht="66" customHeight="1">
      <c r="B53" s="101" t="s">
        <v>1059</v>
      </c>
      <c r="C53" s="101"/>
      <c r="D53" s="101"/>
      <c r="E53" s="101"/>
      <c r="F53" s="101"/>
      <c r="G53" s="101"/>
      <c r="H53" s="101"/>
      <c r="I53" s="101"/>
      <c r="J53" s="101"/>
    </row>
    <row r="54" spans="1:10" ht="51" customHeight="1">
      <c r="B54" s="101" t="s">
        <v>1060</v>
      </c>
      <c r="C54" s="101"/>
      <c r="D54" s="101"/>
      <c r="E54" s="101"/>
      <c r="F54" s="101"/>
      <c r="G54" s="101"/>
      <c r="H54" s="101"/>
      <c r="I54" s="101"/>
      <c r="J54" s="101"/>
    </row>
    <row r="55" spans="1:10" ht="66" customHeight="1">
      <c r="B55" s="101" t="s">
        <v>1061</v>
      </c>
      <c r="C55" s="101"/>
      <c r="D55" s="101"/>
      <c r="E55" s="101"/>
      <c r="F55" s="101"/>
      <c r="G55" s="101"/>
      <c r="H55" s="101"/>
      <c r="I55" s="101"/>
      <c r="J55" s="101"/>
    </row>
    <row r="56" spans="1:10" ht="66" customHeight="1">
      <c r="B56" s="101" t="s">
        <v>1062</v>
      </c>
      <c r="C56" s="101"/>
      <c r="D56" s="101"/>
      <c r="E56" s="101"/>
      <c r="F56" s="101"/>
      <c r="G56" s="101"/>
      <c r="H56" s="101"/>
      <c r="I56" s="101"/>
      <c r="J56" s="101"/>
    </row>
    <row r="57" spans="1:10" ht="51" customHeight="1">
      <c r="B57" s="101" t="s">
        <v>1063</v>
      </c>
      <c r="C57" s="101"/>
      <c r="D57" s="101"/>
      <c r="E57" s="101"/>
      <c r="F57" s="101"/>
      <c r="G57" s="101"/>
      <c r="H57" s="101"/>
      <c r="I57" s="101"/>
      <c r="J57" s="101"/>
    </row>
    <row r="58" spans="1:10" ht="51" customHeight="1">
      <c r="B58" s="101" t="s">
        <v>1064</v>
      </c>
      <c r="C58" s="101"/>
      <c r="D58" s="101"/>
      <c r="E58" s="101"/>
      <c r="F58" s="101"/>
      <c r="G58" s="101"/>
      <c r="H58" s="101"/>
      <c r="I58" s="101"/>
      <c r="J58" s="101"/>
    </row>
    <row r="59" spans="1:10" ht="32.25" customHeight="1">
      <c r="B59" s="102" t="s">
        <v>1065</v>
      </c>
      <c r="C59" s="102"/>
      <c r="D59" s="102"/>
      <c r="E59" s="102"/>
      <c r="F59" s="102"/>
      <c r="G59" s="102"/>
      <c r="H59" s="102"/>
      <c r="I59" s="102"/>
      <c r="J59" s="102"/>
    </row>
    <row r="61" spans="1:10" ht="30" customHeight="1">
      <c r="A61" s="11" t="s">
        <v>1017</v>
      </c>
      <c r="B61" s="12" t="s">
        <v>108</v>
      </c>
      <c r="C61" s="12"/>
      <c r="D61" s="12"/>
      <c r="E61" s="12"/>
      <c r="F61" s="12"/>
      <c r="G61" s="12"/>
      <c r="H61" s="12"/>
      <c r="I61" s="12"/>
      <c r="J61" s="12"/>
    </row>
    <row r="62" spans="1:10" ht="81" customHeight="1">
      <c r="B62" s="101" t="s">
        <v>1066</v>
      </c>
      <c r="C62" s="101"/>
      <c r="D62" s="101"/>
      <c r="E62" s="101"/>
      <c r="F62" s="101"/>
      <c r="G62" s="101"/>
      <c r="H62" s="101"/>
      <c r="I62" s="101"/>
      <c r="J62" s="101"/>
    </row>
    <row r="63" spans="1:10" ht="66" customHeight="1">
      <c r="B63" s="101" t="s">
        <v>1067</v>
      </c>
      <c r="C63" s="101"/>
      <c r="D63" s="101"/>
      <c r="E63" s="101"/>
      <c r="F63" s="101"/>
      <c r="G63" s="101"/>
      <c r="H63" s="101"/>
      <c r="I63" s="101"/>
      <c r="J63" s="101"/>
    </row>
    <row r="64" spans="1:10" ht="66" customHeight="1">
      <c r="B64" s="101" t="s">
        <v>1068</v>
      </c>
      <c r="C64" s="101"/>
      <c r="D64" s="101"/>
      <c r="E64" s="101"/>
      <c r="F64" s="101"/>
      <c r="G64" s="101"/>
      <c r="H64" s="101"/>
      <c r="I64" s="101"/>
      <c r="J64" s="101"/>
    </row>
    <row r="65" spans="1:10" ht="32.25" customHeight="1">
      <c r="B65" s="102" t="s">
        <v>1069</v>
      </c>
      <c r="C65" s="102"/>
      <c r="D65" s="102"/>
      <c r="E65" s="102"/>
      <c r="F65" s="102"/>
      <c r="G65" s="102"/>
      <c r="H65" s="102"/>
      <c r="I65" s="102"/>
      <c r="J65" s="102"/>
    </row>
    <row r="67" spans="1:10" ht="30" customHeight="1">
      <c r="A67" s="11" t="s">
        <v>1019</v>
      </c>
      <c r="B67" s="12" t="s">
        <v>1070</v>
      </c>
      <c r="C67" s="12"/>
      <c r="D67" s="12"/>
      <c r="E67" s="12"/>
      <c r="F67" s="12"/>
      <c r="G67" s="12"/>
      <c r="H67" s="12"/>
      <c r="I67" s="12"/>
      <c r="J67" s="12"/>
    </row>
    <row r="68" spans="1:10" ht="66" customHeight="1">
      <c r="B68" s="101" t="s">
        <v>1071</v>
      </c>
      <c r="C68" s="101"/>
      <c r="D68" s="101"/>
      <c r="E68" s="101"/>
      <c r="F68" s="101"/>
      <c r="G68" s="101"/>
      <c r="H68" s="101"/>
      <c r="I68" s="101"/>
      <c r="J68" s="101"/>
    </row>
    <row r="69" spans="1:10" ht="66" customHeight="1">
      <c r="B69" s="101" t="s">
        <v>1072</v>
      </c>
      <c r="C69" s="101"/>
      <c r="D69" s="101"/>
      <c r="E69" s="101"/>
      <c r="F69" s="101"/>
      <c r="G69" s="101"/>
      <c r="H69" s="101"/>
      <c r="I69" s="101"/>
      <c r="J69" s="101"/>
    </row>
    <row r="70" spans="1:10" ht="32.25" customHeight="1">
      <c r="B70" s="102" t="s">
        <v>1073</v>
      </c>
      <c r="C70" s="102"/>
      <c r="D70" s="102"/>
      <c r="E70" s="102"/>
      <c r="F70" s="102"/>
      <c r="G70" s="102"/>
      <c r="H70" s="102"/>
      <c r="I70" s="102"/>
      <c r="J70" s="102"/>
    </row>
    <row r="72" spans="1:10" ht="30" customHeight="1">
      <c r="A72" s="11" t="s">
        <v>1021</v>
      </c>
      <c r="B72" s="12" t="s">
        <v>1074</v>
      </c>
      <c r="C72" s="12"/>
      <c r="D72" s="12"/>
      <c r="E72" s="12"/>
      <c r="F72" s="12"/>
      <c r="G72" s="12"/>
      <c r="H72" s="12"/>
      <c r="I72" s="12"/>
      <c r="J72" s="12"/>
    </row>
    <row r="73" spans="1:10" ht="81" customHeight="1">
      <c r="B73" s="101" t="s">
        <v>1075</v>
      </c>
      <c r="C73" s="101"/>
      <c r="D73" s="101"/>
      <c r="E73" s="101"/>
      <c r="F73" s="101"/>
      <c r="G73" s="101"/>
      <c r="H73" s="101"/>
      <c r="I73" s="101"/>
      <c r="J73" s="101"/>
    </row>
    <row r="74" spans="1:10" ht="51" customHeight="1">
      <c r="B74" s="101" t="s">
        <v>1076</v>
      </c>
      <c r="C74" s="101"/>
      <c r="D74" s="101"/>
      <c r="E74" s="101"/>
      <c r="F74" s="101"/>
      <c r="G74" s="101"/>
      <c r="H74" s="101"/>
      <c r="I74" s="101"/>
      <c r="J74" s="101"/>
    </row>
    <row r="75" spans="1:10" ht="32.25" customHeight="1">
      <c r="B75" s="102" t="s">
        <v>1077</v>
      </c>
      <c r="C75" s="102"/>
      <c r="D75" s="102"/>
      <c r="E75" s="102"/>
      <c r="F75" s="102"/>
      <c r="G75" s="102"/>
      <c r="H75" s="102"/>
      <c r="I75" s="102"/>
      <c r="J75" s="102"/>
    </row>
    <row r="77" spans="1:10" ht="30" customHeight="1">
      <c r="A77" s="11" t="s">
        <v>1023</v>
      </c>
      <c r="B77" s="12" t="s">
        <v>1078</v>
      </c>
      <c r="C77" s="12"/>
      <c r="D77" s="12"/>
      <c r="E77" s="12"/>
      <c r="F77" s="12"/>
      <c r="G77" s="12"/>
      <c r="H77" s="12"/>
      <c r="I77" s="12"/>
      <c r="J77" s="12"/>
    </row>
    <row r="78" spans="1:10" ht="66" customHeight="1">
      <c r="B78" s="101" t="s">
        <v>1079</v>
      </c>
      <c r="C78" s="101"/>
      <c r="D78" s="101"/>
      <c r="E78" s="101"/>
      <c r="F78" s="101"/>
      <c r="G78" s="101"/>
      <c r="H78" s="101"/>
      <c r="I78" s="101"/>
      <c r="J78" s="101"/>
    </row>
    <row r="79" spans="1:10" ht="81" customHeight="1">
      <c r="B79" s="101" t="s">
        <v>1080</v>
      </c>
      <c r="C79" s="101"/>
      <c r="D79" s="101"/>
      <c r="E79" s="101"/>
      <c r="F79" s="101"/>
      <c r="G79" s="101"/>
      <c r="H79" s="101"/>
      <c r="I79" s="101"/>
      <c r="J79" s="101"/>
    </row>
    <row r="80" spans="1:10" ht="66" customHeight="1">
      <c r="B80" s="101" t="s">
        <v>1081</v>
      </c>
      <c r="C80" s="101"/>
      <c r="D80" s="101"/>
      <c r="E80" s="101"/>
      <c r="F80" s="101"/>
      <c r="G80" s="101"/>
      <c r="H80" s="101"/>
      <c r="I80" s="101"/>
      <c r="J80" s="101"/>
    </row>
    <row r="81" spans="1:10" ht="32.25" customHeight="1">
      <c r="B81" s="102" t="s">
        <v>1082</v>
      </c>
      <c r="C81" s="102"/>
      <c r="D81" s="102"/>
      <c r="E81" s="102"/>
      <c r="F81" s="102"/>
      <c r="G81" s="102"/>
      <c r="H81" s="102"/>
      <c r="I81" s="102"/>
      <c r="J81" s="102"/>
    </row>
    <row r="83" spans="1:10" ht="30" customHeight="1">
      <c r="A83" s="11" t="s">
        <v>1025</v>
      </c>
      <c r="B83" s="12" t="s">
        <v>1083</v>
      </c>
      <c r="C83" s="12"/>
      <c r="D83" s="12"/>
      <c r="E83" s="12"/>
      <c r="F83" s="12"/>
      <c r="G83" s="12"/>
      <c r="H83" s="12"/>
      <c r="I83" s="12"/>
      <c r="J83" s="12"/>
    </row>
    <row r="84" spans="1:10" ht="81" customHeight="1">
      <c r="B84" s="101" t="s">
        <v>1084</v>
      </c>
      <c r="C84" s="101"/>
      <c r="D84" s="101"/>
      <c r="E84" s="101"/>
      <c r="F84" s="101"/>
      <c r="G84" s="101"/>
      <c r="H84" s="101"/>
      <c r="I84" s="101"/>
      <c r="J84" s="101"/>
    </row>
    <row r="85" spans="1:10" ht="81" customHeight="1">
      <c r="B85" s="101" t="s">
        <v>1085</v>
      </c>
      <c r="C85" s="101"/>
      <c r="D85" s="101"/>
      <c r="E85" s="101"/>
      <c r="F85" s="101"/>
      <c r="G85" s="101"/>
      <c r="H85" s="101"/>
      <c r="I85" s="101"/>
      <c r="J85" s="101"/>
    </row>
    <row r="86" spans="1:10" ht="32.25" customHeight="1">
      <c r="B86" s="102" t="s">
        <v>1086</v>
      </c>
      <c r="C86" s="102"/>
      <c r="D86" s="102"/>
      <c r="E86" s="102"/>
      <c r="F86" s="102"/>
      <c r="G86" s="102"/>
      <c r="H86" s="102"/>
      <c r="I86" s="102"/>
      <c r="J86" s="102"/>
    </row>
    <row r="88" spans="1:10" ht="30" customHeight="1">
      <c r="A88" s="11" t="s">
        <v>1027</v>
      </c>
      <c r="B88" s="12" t="s">
        <v>1087</v>
      </c>
      <c r="C88" s="12"/>
      <c r="D88" s="12"/>
      <c r="E88" s="12"/>
      <c r="F88" s="12"/>
      <c r="G88" s="12"/>
      <c r="H88" s="12"/>
      <c r="I88" s="12"/>
      <c r="J88" s="12"/>
    </row>
    <row r="89" spans="1:10" ht="81" customHeight="1">
      <c r="B89" s="101" t="s">
        <v>1088</v>
      </c>
      <c r="C89" s="101"/>
      <c r="D89" s="101"/>
      <c r="E89" s="101"/>
      <c r="F89" s="101"/>
      <c r="G89" s="101"/>
      <c r="H89" s="101"/>
      <c r="I89" s="101"/>
      <c r="J89" s="101"/>
    </row>
    <row r="90" spans="1:10" ht="81" customHeight="1">
      <c r="B90" s="101" t="s">
        <v>1089</v>
      </c>
      <c r="C90" s="101"/>
      <c r="D90" s="101"/>
      <c r="E90" s="101"/>
      <c r="F90" s="101"/>
      <c r="G90" s="101"/>
      <c r="H90" s="101"/>
      <c r="I90" s="101"/>
      <c r="J90" s="101"/>
    </row>
    <row r="91" spans="1:10" ht="66" customHeight="1">
      <c r="B91" s="101" t="s">
        <v>1090</v>
      </c>
      <c r="C91" s="101"/>
      <c r="D91" s="101"/>
      <c r="E91" s="101"/>
      <c r="F91" s="101"/>
      <c r="G91" s="101"/>
      <c r="H91" s="101"/>
      <c r="I91" s="101"/>
      <c r="J91" s="101"/>
    </row>
    <row r="92" spans="1:10" ht="32.25" customHeight="1">
      <c r="B92" s="102" t="s">
        <v>1091</v>
      </c>
      <c r="C92" s="102"/>
      <c r="D92" s="102"/>
      <c r="E92" s="102"/>
      <c r="F92" s="102"/>
      <c r="G92" s="102"/>
      <c r="H92" s="102"/>
      <c r="I92" s="102"/>
      <c r="J92" s="102"/>
    </row>
    <row r="94" spans="1:10" ht="30" customHeight="1">
      <c r="A94" s="11" t="s">
        <v>1029</v>
      </c>
      <c r="B94" s="12" t="s">
        <v>1092</v>
      </c>
      <c r="C94" s="12"/>
      <c r="D94" s="12"/>
      <c r="E94" s="12"/>
      <c r="F94" s="12"/>
      <c r="G94" s="12"/>
      <c r="H94" s="12"/>
      <c r="I94" s="12"/>
      <c r="J94" s="12"/>
    </row>
    <row r="95" spans="1:10" ht="81" customHeight="1">
      <c r="B95" s="101" t="s">
        <v>1093</v>
      </c>
      <c r="C95" s="101"/>
      <c r="D95" s="101"/>
      <c r="E95" s="101"/>
      <c r="F95" s="101"/>
      <c r="G95" s="101"/>
      <c r="H95" s="101"/>
      <c r="I95" s="101"/>
      <c r="J95" s="101"/>
    </row>
    <row r="96" spans="1:10" ht="81" customHeight="1">
      <c r="B96" s="101" t="s">
        <v>1094</v>
      </c>
      <c r="C96" s="101"/>
      <c r="D96" s="101"/>
      <c r="E96" s="101"/>
      <c r="F96" s="101"/>
      <c r="G96" s="101"/>
      <c r="H96" s="101"/>
      <c r="I96" s="101"/>
      <c r="J96" s="101"/>
    </row>
    <row r="97" spans="1:10" ht="32.25" customHeight="1">
      <c r="B97" s="102" t="s">
        <v>1095</v>
      </c>
      <c r="C97" s="102"/>
      <c r="D97" s="102"/>
      <c r="E97" s="102"/>
      <c r="F97" s="102"/>
      <c r="G97" s="102"/>
      <c r="H97" s="102"/>
      <c r="I97" s="102"/>
      <c r="J97" s="102"/>
    </row>
    <row r="99" spans="1:10" ht="30" customHeight="1">
      <c r="A99" s="11" t="s">
        <v>1031</v>
      </c>
      <c r="B99" s="12" t="s">
        <v>1096</v>
      </c>
      <c r="C99" s="12"/>
      <c r="D99" s="12"/>
      <c r="E99" s="12"/>
      <c r="F99" s="12"/>
      <c r="G99" s="12"/>
      <c r="H99" s="12"/>
      <c r="I99" s="12"/>
      <c r="J99" s="12"/>
    </row>
    <row r="100" spans="1:10" ht="66" customHeight="1">
      <c r="B100" s="101" t="s">
        <v>1097</v>
      </c>
      <c r="C100" s="101"/>
      <c r="D100" s="101"/>
      <c r="E100" s="101"/>
      <c r="F100" s="101"/>
      <c r="G100" s="101"/>
      <c r="H100" s="101"/>
      <c r="I100" s="101"/>
      <c r="J100" s="101"/>
    </row>
    <row r="101" spans="1:10" ht="66" customHeight="1">
      <c r="B101" s="101" t="s">
        <v>1098</v>
      </c>
      <c r="C101" s="101"/>
      <c r="D101" s="101"/>
      <c r="E101" s="101"/>
      <c r="F101" s="101"/>
      <c r="G101" s="101"/>
      <c r="H101" s="101"/>
      <c r="I101" s="101"/>
      <c r="J101" s="101"/>
    </row>
    <row r="102" spans="1:10" ht="32.25" customHeight="1">
      <c r="B102" s="102" t="s">
        <v>1099</v>
      </c>
      <c r="C102" s="102"/>
      <c r="D102" s="102"/>
      <c r="E102" s="102"/>
      <c r="F102" s="102"/>
      <c r="G102" s="102"/>
      <c r="H102" s="102"/>
      <c r="I102" s="102"/>
      <c r="J102" s="102"/>
    </row>
    <row r="104" spans="1:10" ht="30" customHeight="1">
      <c r="A104" s="11" t="s">
        <v>1033</v>
      </c>
      <c r="B104" s="12" t="s">
        <v>1100</v>
      </c>
      <c r="C104" s="12"/>
      <c r="D104" s="12"/>
      <c r="E104" s="12"/>
      <c r="F104" s="12"/>
      <c r="G104" s="12"/>
      <c r="H104" s="12"/>
      <c r="I104" s="12"/>
      <c r="J104" s="12"/>
    </row>
    <row r="105" spans="1:10" ht="81" customHeight="1">
      <c r="B105" s="101" t="s">
        <v>1101</v>
      </c>
      <c r="C105" s="101"/>
      <c r="D105" s="101"/>
      <c r="E105" s="101"/>
      <c r="F105" s="101"/>
      <c r="G105" s="101"/>
      <c r="H105" s="101"/>
      <c r="I105" s="101"/>
      <c r="J105" s="101"/>
    </row>
    <row r="106" spans="1:10" ht="66" customHeight="1">
      <c r="B106" s="101" t="s">
        <v>1102</v>
      </c>
      <c r="C106" s="101"/>
      <c r="D106" s="101"/>
      <c r="E106" s="101"/>
      <c r="F106" s="101"/>
      <c r="G106" s="101"/>
      <c r="H106" s="101"/>
      <c r="I106" s="101"/>
      <c r="J106" s="101"/>
    </row>
    <row r="107" spans="1:10" ht="32.25" customHeight="1">
      <c r="B107" s="102" t="s">
        <v>1103</v>
      </c>
      <c r="C107" s="102"/>
      <c r="D107" s="102"/>
      <c r="E107" s="102"/>
      <c r="F107" s="102"/>
      <c r="G107" s="102"/>
      <c r="H107" s="102"/>
      <c r="I107" s="102"/>
      <c r="J107" s="102"/>
    </row>
    <row r="109" spans="1:10" ht="30" customHeight="1">
      <c r="A109" s="11" t="s">
        <v>1035</v>
      </c>
      <c r="B109" s="12" t="s">
        <v>1104</v>
      </c>
      <c r="C109" s="12"/>
      <c r="D109" s="12"/>
      <c r="E109" s="12"/>
      <c r="F109" s="12"/>
      <c r="G109" s="12"/>
      <c r="H109" s="12"/>
      <c r="I109" s="12"/>
      <c r="J109" s="12"/>
    </row>
    <row r="110" spans="1:10" ht="20.25" customHeight="1">
      <c r="B110" s="103" t="s">
        <v>1105</v>
      </c>
      <c r="C110" s="103"/>
      <c r="D110" s="103"/>
      <c r="E110" s="103"/>
      <c r="F110" s="103"/>
      <c r="G110" s="103"/>
      <c r="H110" s="103"/>
      <c r="I110" s="103"/>
      <c r="J110" s="103"/>
    </row>
    <row r="111" spans="1:10" ht="20.25" customHeight="1">
      <c r="B111" s="103" t="s">
        <v>1106</v>
      </c>
      <c r="C111" s="103"/>
      <c r="D111" s="103"/>
      <c r="E111" s="103"/>
      <c r="F111" s="103"/>
      <c r="G111" s="103"/>
      <c r="H111" s="103"/>
      <c r="I111" s="103"/>
      <c r="J111" s="103"/>
    </row>
    <row r="112" spans="1:10" ht="20.25" customHeight="1">
      <c r="B112" s="103" t="s">
        <v>1107</v>
      </c>
      <c r="C112" s="103"/>
      <c r="D112" s="103"/>
      <c r="E112" s="103"/>
      <c r="F112" s="103"/>
      <c r="G112" s="103"/>
      <c r="H112" s="103"/>
      <c r="I112" s="103"/>
      <c r="J112" s="103"/>
    </row>
    <row r="113" spans="2:10" ht="20.25" customHeight="1">
      <c r="B113" s="103" t="s">
        <v>1108</v>
      </c>
      <c r="C113" s="103"/>
      <c r="D113" s="103"/>
      <c r="E113" s="103"/>
      <c r="F113" s="103"/>
      <c r="G113" s="103"/>
      <c r="H113" s="103"/>
      <c r="I113" s="103"/>
      <c r="J113" s="103"/>
    </row>
    <row r="114" spans="2:10" ht="20.25" customHeight="1">
      <c r="B114" s="103" t="s">
        <v>1109</v>
      </c>
      <c r="C114" s="103"/>
      <c r="D114" s="103"/>
      <c r="E114" s="103"/>
      <c r="F114" s="103"/>
      <c r="G114" s="103"/>
      <c r="H114" s="103"/>
      <c r="I114" s="103"/>
      <c r="J114" s="103"/>
    </row>
    <row r="115" spans="2:10" ht="20.25" customHeight="1">
      <c r="B115" s="103" t="s">
        <v>1110</v>
      </c>
      <c r="C115" s="103"/>
      <c r="D115" s="103"/>
      <c r="E115" s="103"/>
      <c r="F115" s="103"/>
      <c r="G115" s="103"/>
      <c r="H115" s="103"/>
      <c r="I115" s="103"/>
      <c r="J115" s="103"/>
    </row>
    <row r="116" spans="2:10" ht="20.25" customHeight="1">
      <c r="B116" s="103" t="s">
        <v>1111</v>
      </c>
      <c r="C116" s="103"/>
      <c r="D116" s="103"/>
      <c r="E116" s="103"/>
      <c r="F116" s="103"/>
      <c r="G116" s="103"/>
      <c r="H116" s="103"/>
      <c r="I116" s="103"/>
      <c r="J116" s="103"/>
    </row>
    <row r="117" spans="2:10" ht="20.25" customHeight="1">
      <c r="B117" s="103" t="s">
        <v>1112</v>
      </c>
      <c r="C117" s="103"/>
      <c r="D117" s="103"/>
      <c r="E117" s="103"/>
      <c r="F117" s="103"/>
      <c r="G117" s="103"/>
      <c r="H117" s="103"/>
      <c r="I117" s="103"/>
      <c r="J117" s="103"/>
    </row>
  </sheetData>
  <sheetProtection sheet="1" objects="1" scenarios="1" selectUnlockedCells="1"/>
  <mergeCells count="99">
    <mergeCell ref="A1:F1"/>
    <mergeCell ref="G1:J1"/>
    <mergeCell ref="A2:J2"/>
    <mergeCell ref="A3:J3"/>
    <mergeCell ref="A5:J5"/>
    <mergeCell ref="B7:J7"/>
    <mergeCell ref="B8: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6:J26"/>
    <mergeCell ref="B27:J27"/>
    <mergeCell ref="B28:J28"/>
    <mergeCell ref="B29:J29"/>
    <mergeCell ref="B31:J31"/>
    <mergeCell ref="B32:J32"/>
    <mergeCell ref="B33:J33"/>
    <mergeCell ref="B34:J34"/>
    <mergeCell ref="B36:J36"/>
    <mergeCell ref="B37:J37"/>
    <mergeCell ref="B38:J38"/>
    <mergeCell ref="B39:J39"/>
    <mergeCell ref="B41:J41"/>
    <mergeCell ref="B42:J42"/>
    <mergeCell ref="B43:J43"/>
    <mergeCell ref="B44:J44"/>
    <mergeCell ref="B45:J45"/>
    <mergeCell ref="B47:J47"/>
    <mergeCell ref="B48:J48"/>
    <mergeCell ref="B49:J49"/>
    <mergeCell ref="B50:J50"/>
    <mergeCell ref="B52:J52"/>
    <mergeCell ref="B53:J53"/>
    <mergeCell ref="B54:J54"/>
    <mergeCell ref="B55:J55"/>
    <mergeCell ref="B56:J56"/>
    <mergeCell ref="B57:J57"/>
    <mergeCell ref="B58:J58"/>
    <mergeCell ref="B59:J59"/>
    <mergeCell ref="B61:J61"/>
    <mergeCell ref="B62:J62"/>
    <mergeCell ref="B63:J63"/>
    <mergeCell ref="B64:J64"/>
    <mergeCell ref="B65:J65"/>
    <mergeCell ref="B67:J67"/>
    <mergeCell ref="B68:J68"/>
    <mergeCell ref="B69:J69"/>
    <mergeCell ref="B70:J70"/>
    <mergeCell ref="B72:J72"/>
    <mergeCell ref="B73:J73"/>
    <mergeCell ref="B74:J74"/>
    <mergeCell ref="B75:J75"/>
    <mergeCell ref="B77:J77"/>
    <mergeCell ref="B78:J78"/>
    <mergeCell ref="B79:J79"/>
    <mergeCell ref="B80:J80"/>
    <mergeCell ref="B81:J81"/>
    <mergeCell ref="B83:J83"/>
    <mergeCell ref="B84:J84"/>
    <mergeCell ref="B85:J85"/>
    <mergeCell ref="B86:J86"/>
    <mergeCell ref="B88:J88"/>
    <mergeCell ref="B89:J89"/>
    <mergeCell ref="B90:J90"/>
    <mergeCell ref="B91:J91"/>
    <mergeCell ref="B92:J92"/>
    <mergeCell ref="B94:J94"/>
    <mergeCell ref="B95:J95"/>
    <mergeCell ref="B96:J96"/>
    <mergeCell ref="B97:J97"/>
    <mergeCell ref="B99:J99"/>
    <mergeCell ref="B100:J100"/>
    <mergeCell ref="B101:J101"/>
    <mergeCell ref="B102:J102"/>
    <mergeCell ref="B104:J104"/>
    <mergeCell ref="B105:J105"/>
    <mergeCell ref="B106:J106"/>
    <mergeCell ref="B107:J107"/>
    <mergeCell ref="B109:J109"/>
    <mergeCell ref="B110:J110"/>
    <mergeCell ref="B111:J111"/>
    <mergeCell ref="B112:J112"/>
    <mergeCell ref="B113:J113"/>
    <mergeCell ref="B114:J114"/>
    <mergeCell ref="B115:J115"/>
    <mergeCell ref="B116:J116"/>
    <mergeCell ref="B117:J117"/>
  </mergeCells>
  <hyperlinks>
    <hyperlink ref="B8" location="Help!B26" display="  این فایل چیست و چرا «مادر» است؟"/>
    <hyperlink ref="B9" location="Help!B31" display="  نقشه فایل‌ها و جریان داده"/>
    <hyperlink ref="B10" location="Help!B36" display="  قواعد کدگذاری"/>
    <hyperlink ref="B11" location="Help!B41" display="  دفتر حساب‌ها (Accounts)"/>
    <hyperlink ref="B12" location="Help!B47" display="  گروه‌ها و زیرگروه‌ها"/>
    <hyperlink ref="B13" location="Help!B52" display="  عملیات و قواعد بدهکار/بستانکار"/>
    <hyperlink ref="B14" location="Help!B61" display="  پارامترهای محاسباتی"/>
    <hyperlink ref="B15" location="Help!B67" display="  سبدها و وزن تار"/>
    <hyperlink ref="B16" location="Help!B72" display="  محصولات، بانک‌ها و پوز"/>
    <hyperlink ref="B17" location="Help!B77" display="  افزودن حساب / عملیات جدید — گام‌به‌گام"/>
    <hyperlink ref="B18" location="Help!B83" display="  همگام‌سازی و Update Links"/>
    <hyperlink ref="B19" location="Help!B88" display="  ترازنامه، فاکتور و گزارش‌ها"/>
    <hyperlink ref="B20" location="Help!B94" display="  عیب‌یابی فرمول‌ها"/>
    <hyperlink ref="B21" location="Help!B99" display="  پشتیبان‌گیری و نگهداری"/>
    <hyperlink ref="B22" location="Help!B104" display="  واژه‌نامه"/>
    <hyperlink ref="B23" location="Help!B109" display="  قواعد طلایی"/>
  </hyperlinks>
  <printOptions horizontalCentered="1"/>
  <pageMargins left="0.35" right="0.35" top="0.45" bottom="0.5" header="0.3" footer="0.3"/>
  <pageSetup paperSize="9" fitToHeight="0" orientation="portrait"/>
  <headerFooter>
    <oddHeader>&amp;Lمازندشت&amp;RMAZANDASHT · CITRUS</oddHeader>
    <oddFooter>&amp;Lمازندشت — سورتینگ و بسته‌بندی مرکبات&amp;Cصفحه &amp;P از &amp;N&amp;RMAZANDASHT · 1405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54</vt:i4>
      </vt:variant>
    </vt:vector>
  </HeadingPairs>
  <TitlesOfParts>
    <vt:vector size="66" baseType="lpstr">
      <vt:lpstr>Home</vt:lpstr>
      <vt:lpstr>Company</vt:lpstr>
      <vt:lpstr>Params</vt:lpstr>
      <vt:lpstr>Groups</vt:lpstr>
      <vt:lpstr>Accounts</vt:lpstr>
      <vt:lpstr>Ops</vt:lpstr>
      <vt:lpstr>Baskets</vt:lpstr>
      <vt:lpstr>Products</vt:lpstr>
      <vt:lpstr>Banks</vt:lpstr>
      <vt:lpstr>Lists</vt:lpstr>
      <vt:lpstr>Sync</vt:lpstr>
      <vt:lpstr>Help</vt:lpstr>
      <vt:lpstr>AcctCodes</vt:lpstr>
      <vt:lpstr>AcctTbl</vt:lpstr>
      <vt:lpstr>BankTbl</vt:lpstr>
      <vt:lpstr>BasketTbl</vt:lpstr>
      <vt:lpstr>GroupTbl</vt:lpstr>
      <vt:lpstr>ListAllCodes</vt:lpstr>
      <vt:lpstr>ListBanks</vt:lpstr>
      <vt:lpstr>ListBasketOps</vt:lpstr>
      <vt:lpstr>ListBaskets</vt:lpstr>
      <vt:lpstr>ListCategories</vt:lpstr>
      <vt:lpstr>ListChequeStatus</vt:lpstr>
      <vt:lpstr>ListColorKeys</vt:lpstr>
      <vt:lpstr>ListDirections</vt:lpstr>
      <vt:lpstr>ListGroups</vt:lpstr>
      <vt:lpstr>ListInclude</vt:lpstr>
      <vt:lpstr>ListManualRoles</vt:lpstr>
      <vt:lpstr>ListOpCategories</vt:lpstr>
      <vt:lpstr>ListOps</vt:lpstr>
      <vt:lpstr>ListPartyBasis</vt:lpstr>
      <vt:lpstr>ListPartyTypes</vt:lpstr>
      <vt:lpstr>ListPayMethods</vt:lpstr>
      <vt:lpstr>ListPosEffects</vt:lpstr>
      <vt:lpstr>ListProducts</vt:lpstr>
      <vt:lpstr>ListReportSheets</vt:lpstr>
      <vt:lpstr>ListSeasons</vt:lpstr>
      <vt:lpstr>ListSides</vt:lpstr>
      <vt:lpstr>ListStatus</vt:lpstr>
      <vt:lpstr>ListSubgroups</vt:lpstr>
      <vt:lpstr>ListTxnDirections</vt:lpstr>
      <vt:lpstr>ListUnits</vt:lpstr>
      <vt:lpstr>ListYesNo</vt:lpstr>
      <vt:lpstr>OpTbl</vt:lpstr>
      <vt:lpstr>ParamTbl</vt:lpstr>
      <vt:lpstr>Accounts!Print_Area</vt:lpstr>
      <vt:lpstr>Banks!Print_Area</vt:lpstr>
      <vt:lpstr>Baskets!Print_Area</vt:lpstr>
      <vt:lpstr>Company!Print_Area</vt:lpstr>
      <vt:lpstr>Groups!Print_Area</vt:lpstr>
      <vt:lpstr>Help!Print_Area</vt:lpstr>
      <vt:lpstr>Home!Print_Area</vt:lpstr>
      <vt:lpstr>Lists!Print_Area</vt:lpstr>
      <vt:lpstr>Ops!Print_Area</vt:lpstr>
      <vt:lpstr>Params!Print_Area</vt:lpstr>
      <vt:lpstr>Products!Print_Area</vt:lpstr>
      <vt:lpstr>Sync!Print_Area</vt:lpstr>
      <vt:lpstr>Accounts!Print_Titles</vt:lpstr>
      <vt:lpstr>Banks!Print_Titles</vt:lpstr>
      <vt:lpstr>Baskets!Print_Titles</vt:lpstr>
      <vt:lpstr>Groups!Print_Titles</vt:lpstr>
      <vt:lpstr>Lists!Print_Titles</vt:lpstr>
      <vt:lpstr>Ops!Print_Titles</vt:lpstr>
      <vt:lpstr>Params!Print_Titles</vt:lpstr>
      <vt:lpstr>Products!Print_Titles</vt:lpstr>
      <vt:lpstr>ProductTbl</vt:lpstr>
    </vt:vector>
  </TitlesOfParts>
  <Company>سورتینگ و بسته‌بندی مرکبات مازندشت</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مازندشت — فایل مادر (INFO)</dc:title>
  <dc:subject>مرکز داده‌های ثابت سامانه حسابداری سورتینگ و بسته‌بندی مرکبات</dc:subject>
  <dc:creator>مازندشت</dc:creator>
  <dc:description>نسخه ۰۱ — سازگار با Excel 2013 — بدون ماکرو</dc:description>
  <cp:lastModifiedBy>مازندشت</cp:lastModifiedBy>
  <dcterms:created xsi:type="dcterms:W3CDTF">2026-10-23T20:10:53Z</dcterms:created>
  <dcterms:modified xsi:type="dcterms:W3CDTF">2026-10-23T20:10:53Z</dcterms:modified>
</cp:coreProperties>
</file>