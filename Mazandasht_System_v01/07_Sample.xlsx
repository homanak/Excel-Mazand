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Register" sheetId="2" r:id="rId2"/>
    <sheet name="Summary" sheetId="3" r:id="rId3"/>
    <sheet name="Sync" sheetId="4" r:id="rId4"/>
    <sheet name="Help" sheetId="5" r:id="rId5"/>
  </sheets>
  <definedNames>
    <definedName name="_xlnm._FilterDatabase" localSheetId="1" hidden="1">Register!$A$9:$M$18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4">Help!$A$1:$I$30</definedName>
    <definedName name="_xlnm.Print_Area" localSheetId="0">Home!$A$1:$J$23</definedName>
    <definedName name="_xlnm.Print_Area" localSheetId="1">Register!$A$1:$M$22</definedName>
    <definedName name="_xlnm.Print_Area" localSheetId="2">Summary!$A$1:$F$18</definedName>
    <definedName name="_xlnm.Print_Area" localSheetId="3">Sync!$A$1:$CR$260</definedName>
    <definedName name="_xlnm.Print_Titles" localSheetId="4">Help!$7:$9</definedName>
    <definedName name="_xlnm.Print_Titles" localSheetId="0">Home!$7:$9</definedName>
    <definedName name="_xlnm.Print_Titles" localSheetId="1">Register!$7:$9</definedName>
    <definedName name="_xlnm.Print_Titles" localSheetId="2">Summary!$7:$9</definedName>
    <definedName name="ProductTbl">Sync!$AH$10:$AI$29</definedName>
  </definedNames>
  <calcPr calcId="124519" fullCalcOnLoad="1"/>
</workbook>
</file>

<file path=xl/comments1.xml><?xml version="1.0" encoding="utf-8"?>
<comments xmlns="http://schemas.openxmlformats.org/spreadsheetml/2006/main">
  <authors>
    <author>راهنما</author>
  </authors>
  <commentList>
    <comment ref="D10" authorId="0">
      <text>
        <r>
          <rPr>
            <sz val="8"/>
            <color indexed="81"/>
            <rFont val="Tahoma"/>
            <family val="2"/>
          </rPr>
          <t>خرید از باغدار</t>
        </r>
      </text>
    </comment>
    <comment ref="D11" authorId="0">
      <text>
        <r>
          <rPr>
            <sz val="8"/>
            <color indexed="81"/>
            <rFont val="Tahoma"/>
            <family val="2"/>
          </rPr>
          <t>ردیف نمونه — نوع عملیات را عوض کنید و ببینید بدهکار/بستانکار چطور تغییر می‌کند.</t>
        </r>
      </text>
    </comment>
    <comment ref="D12" authorId="0">
      <text>
        <r>
          <rPr>
            <sz val="8"/>
            <color indexed="81"/>
            <rFont val="Tahoma"/>
            <family val="2"/>
          </rPr>
          <t>کرایه حمل</t>
        </r>
      </text>
    </comment>
    <comment ref="D13" authorId="0">
      <text>
        <r>
          <rPr>
            <sz val="8"/>
            <color indexed="81"/>
            <rFont val="Tahoma"/>
            <family val="2"/>
          </rPr>
          <t>هزینه باسکول پوز</t>
        </r>
      </text>
    </comment>
    <comment ref="D14" authorId="0">
      <text>
        <r>
          <rPr>
            <sz val="8"/>
            <color indexed="81"/>
            <rFont val="Tahoma"/>
            <family val="2"/>
          </rPr>
          <t>هزینه باسکول میدان</t>
        </r>
      </text>
    </comment>
    <comment ref="D15" authorId="0">
      <text>
        <r>
          <rPr>
            <sz val="8"/>
            <color indexed="81"/>
            <rFont val="Tahoma"/>
            <family val="2"/>
          </rPr>
          <t>انعام روزانه</t>
        </r>
      </text>
    </comment>
    <comment ref="D16" authorId="0">
      <text>
        <r>
          <rPr>
            <sz val="8"/>
            <color indexed="81"/>
            <rFont val="Tahoma"/>
            <family val="2"/>
          </rPr>
          <t>خرید ۵۰۰ سبد</t>
        </r>
      </text>
    </comment>
    <comment ref="D17" authorId="0">
      <text>
        <r>
          <rPr>
            <sz val="8"/>
            <color indexed="81"/>
            <rFont val="Tahoma"/>
            <family val="2"/>
          </rPr>
          <t>آبگیری بار</t>
        </r>
      </text>
    </comment>
  </commentList>
</comments>
</file>

<file path=xl/sharedStrings.xml><?xml version="1.0" encoding="utf-8"?>
<sst xmlns="http://schemas.openxmlformats.org/spreadsheetml/2006/main" count="1368" uniqueCount="690">
  <si>
    <t>مازندشت — سورتینگ و بسته‌بندی مرکبات</t>
  </si>
  <si>
    <t>MAZANDASHT  ·  CITRUS SORTING &amp; PACKING</t>
  </si>
  <si>
    <t>نمونه ساده — کل چرخه در یک صفحه</t>
  </si>
  <si>
    <t>۸ ردیف نمونه که خرید، فروش، باسکول دیگران، انعام، سبد و آبگیری را نشان می‌دهد</t>
  </si>
  <si>
    <t>۰۱</t>
  </si>
  <si>
    <t>این فایل برای چه کسی است؟  —  اگر تازه با سیستم آشنا می‌شوید، از این‌جا شروع کنید</t>
  </si>
  <si>
    <t>۱</t>
  </si>
  <si>
    <t>شیت ثبت</t>
  </si>
  <si>
    <t>۸ ردیف نمونه با همه نوع عملیات. هر ردیف را باز کنید و ببینید چه ستون‌هایی پر شده.</t>
  </si>
  <si>
    <t>۲</t>
  </si>
  <si>
    <t>شیت خلاصه</t>
  </si>
  <si>
    <t>جمع بدهکار و بستانکار هر گروه و موجودی سبد؛ همان نتیجه‌ای که در فایل اصلی می‌بینید.</t>
  </si>
  <si>
    <t>۳</t>
  </si>
  <si>
    <t>شیت Sync</t>
  </si>
  <si>
    <t>داده‌های ثابت (حساب‌ها، عملیات، سبدها) که همه کشوها از آن می‌آید.</t>
  </si>
  <si>
    <t>۴</t>
  </si>
  <si>
    <t>فایل اصلی</t>
  </si>
  <si>
    <t>وقتی منطق را فهمیدید، سراغ 01_Register.xlsx بروید؛ همان ساختار با ظرفیت ۳۰۰ توزین.</t>
  </si>
  <si>
    <t>ثبت نمونه</t>
  </si>
  <si>
    <t>۸ ردیف با همه نوع عملیات</t>
  </si>
  <si>
    <t>خلاصه</t>
  </si>
  <si>
    <t>جمع‌ها و موجودی سبد</t>
  </si>
  <si>
    <t>راهنما</t>
  </si>
  <si>
    <t>توضیح قدم‌به‌قدم</t>
  </si>
  <si>
    <t>اعداد این فایل نمونه‌اند و به فایل‌های دیگر وصل نیستند؛ برای کار واقعی از ثبت روزانه استفاده کنید.</t>
  </si>
  <si>
    <t>۸ ردیف: از خرید باغدار تا فروش بار، باسکول دیگران، انعام، سبد و آبگیری</t>
  </si>
  <si>
    <t>ورود دستی</t>
  </si>
  <si>
    <t>خودکار</t>
  </si>
  <si>
    <t>ورود</t>
  </si>
  <si>
    <t>خروج</t>
  </si>
  <si>
    <t>هشدار</t>
  </si>
  <si>
    <t>ستون‌های زرد = ورود شما  |  ستون‌های خاکستری = محاسبه خودکار  |  روی سرستون‌ها بایستید تا راهنما باز شود</t>
  </si>
  <si>
    <t>جمع مبلغ</t>
  </si>
  <si>
    <t>جمع بدهکار</t>
  </si>
  <si>
    <t>جمع بستانکار</t>
  </si>
  <si>
    <t>وضعیت</t>
  </si>
  <si>
    <t>تاریخ</t>
  </si>
  <si>
    <t>ساعت</t>
  </si>
  <si>
    <t>سند</t>
  </si>
  <si>
    <t>نوع عملیات</t>
  </si>
  <si>
    <t>کد حساب</t>
  </si>
  <si>
    <t>نام حساب</t>
  </si>
  <si>
    <t>محصول</t>
  </si>
  <si>
    <t>سبد</t>
  </si>
  <si>
    <t>وزن باسکول</t>
  </si>
  <si>
    <t>تعداد</t>
  </si>
  <si>
    <t>فی</t>
  </si>
  <si>
    <t>مبلغ</t>
  </si>
  <si>
    <t>بدهکار</t>
  </si>
  <si>
    <t>بستانکار</t>
  </si>
  <si>
    <t>1405/07/01</t>
  </si>
  <si>
    <t>07:45</t>
  </si>
  <si>
    <t>SM-01</t>
  </si>
  <si>
    <t>خرید مرکبات</t>
  </si>
  <si>
    <t>C001</t>
  </si>
  <si>
    <t>نارنگی پیچ</t>
  </si>
  <si>
    <t>BK03 – ۹ک مشکی</t>
  </si>
  <si>
    <t>09:10</t>
  </si>
  <si>
    <t>SM-02</t>
  </si>
  <si>
    <t>C003</t>
  </si>
  <si>
    <t>پرتقال تامسون</t>
  </si>
  <si>
    <t>BK01 – ۶ک مشکی</t>
  </si>
  <si>
    <t>1405/07/02</t>
  </si>
  <si>
    <t>08:20</t>
  </si>
  <si>
    <t>SM-03</t>
  </si>
  <si>
    <t>C006</t>
  </si>
  <si>
    <t>نارنگی اونشو</t>
  </si>
  <si>
    <t>1405/07/03</t>
  </si>
  <si>
    <t>10:15</t>
  </si>
  <si>
    <t>SM-04</t>
  </si>
  <si>
    <t>فروش بار (بارفروش)</t>
  </si>
  <si>
    <t>SL001</t>
  </si>
  <si>
    <t>1405/07/04</t>
  </si>
  <si>
    <t>11:00</t>
  </si>
  <si>
    <t>SM-05</t>
  </si>
  <si>
    <t>باسکول دیگران</t>
  </si>
  <si>
    <t>BD001</t>
  </si>
  <si>
    <t>1405/07/05</t>
  </si>
  <si>
    <t>12:30</t>
  </si>
  <si>
    <t>SM-06</t>
  </si>
  <si>
    <t>انعام مصطفی</t>
  </si>
  <si>
    <t>1405/07/06</t>
  </si>
  <si>
    <t>09:00</t>
  </si>
  <si>
    <t>SM-07</t>
  </si>
  <si>
    <t>خرید سبد</t>
  </si>
  <si>
    <t>S001</t>
  </si>
  <si>
    <t>1405/07/07</t>
  </si>
  <si>
    <t>14:00</t>
  </si>
  <si>
    <t>SM-08</t>
  </si>
  <si>
    <t>آبگیری</t>
  </si>
  <si>
    <t>C002</t>
  </si>
  <si>
    <t>پرتقال خونی</t>
  </si>
  <si>
    <t>جمع</t>
  </si>
  <si>
    <t>این جدول عمداً ساده است: دو ستون بدهکار/بستانکار با قاعده‌های ثابت پر می‌شوند. در فایل اصلی همین کار را جدول عملیات INFO انجام می‌دهد.</t>
  </si>
  <si>
    <t>خلاصه نمونه</t>
  </si>
  <si>
    <t>جمع هر نوع عملیات و مانده ساده  ·  همان منطق فایل اصلی، در مقیاس کوچک</t>
  </si>
  <si>
    <t>اختلاف</t>
  </si>
  <si>
    <t>اثر روی حساب طرف</t>
  </si>
  <si>
    <t>توضیح کوتاه</t>
  </si>
  <si>
    <t>بستانکار باغدار؛ بدهکار موجودی مرکبات</t>
  </si>
  <si>
    <t>بدهکار بارفروش؛ بستانکار فروش</t>
  </si>
  <si>
    <t>بدهکار طرف؛ بستانکار درآمد باسکول</t>
  </si>
  <si>
    <t>بستانکار مصطفی؛ بدهکار پوز ۲۰۰۶</t>
  </si>
  <si>
    <t>بستانکار فروشنده سبد؛ بدهکار موجودی سبد</t>
  </si>
  <si>
    <t>بدهکار طرف؛ بستانکار درآمد آبگیری</t>
  </si>
  <si>
    <t>داده‌های ثابت — کپی کامل از INFO.xlsx (بدون وابستگی)</t>
  </si>
  <si>
    <t>این شیت فقط نمایش است و قفل شده. همه کشوها و فرمول‌ها از همین‌جا می‌خوانند؛ برای تغییر، INFO.xlsx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در فایل نمونه، داده‌ها ثابت و ساده هستند.</t>
  </si>
  <si>
    <t>MAZANDASHT · INFO MASTER DATA (READ ONLY)</t>
  </si>
  <si>
    <t>حساب‌ها — کد، نام، گروه، زیرگروه، نوع و مانده اولیه</t>
  </si>
  <si>
    <t>ACCOUNTS</t>
  </si>
  <si>
    <t>زینب زاهدی</t>
  </si>
  <si>
    <t>باغدار</t>
  </si>
  <si>
    <t>عمده</t>
  </si>
  <si>
    <t>طرف حساب</t>
  </si>
  <si>
    <t>سید عباس موسوی</t>
  </si>
  <si>
    <t>صادراتی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</si>
  <si>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</si>
  <si>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</si>
  <si>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</si>
  <si>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</si>
  <si>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</si>
  <si>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</si>
  <si>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</si>
  <si>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</si>
  <si>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</si>
  <si>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</si>
  <si>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</si>
  <si>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</si>
  <si>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</si>
  <si>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</si>
  <si>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</si>
  <si>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</si>
  <si>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</si>
  <si>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</si>
  <si>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</si>
  <si>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</si>
  <si>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</si>
  <si>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</si>
  <si>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</si>
  <si>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</si>
  <si>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</si>
  <si>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</si>
  <si>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</si>
  <si>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</si>
  <si>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</si>
  <si>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</si>
  <si>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</si>
  <si>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</si>
  <si>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</si>
  <si>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</si>
  <si>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</si>
  <si>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</si>
  <si>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</si>
  <si>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</si>
  <si>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</si>
  <si>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</si>
  <si>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</si>
  <si>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</si>
  <si>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</si>
  <si>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</si>
  <si>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</si>
  <si>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</si>
  <si>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</si>
  <si>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</si>
  <si>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</si>
  <si>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</si>
  <si>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</si>
  <si>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</si>
  <si>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</si>
  <si>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</si>
  <si>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</si>
  <si>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</si>
  <si>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</si>
  <si>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</si>
  <si>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</si>
  <si>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</si>
  <si>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</si>
  <si>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</si>
  <si>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</si>
  <si>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</si>
  <si>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</si>
  <si>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</si>
  <si>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</si>
  <si>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</si>
  <si>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</si>
  <si>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</si>
  <si>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</si>
  <si>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</si>
  <si>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</si>
  <si>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</si>
  <si>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</si>
  <si>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</si>
  <si>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</si>
  <si>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</si>
  <si>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</si>
  <si>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</si>
  <si>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</si>
  <si>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</si>
  <si>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</si>
  <si>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</si>
  <si>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</si>
  <si>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</si>
  <si>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</si>
  <si>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</si>
  <si>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</si>
  <si>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</si>
  <si>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</si>
  <si>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</si>
  <si>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</si>
  <si>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</si>
  <si>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</si>
  <si>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</si>
  <si>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</si>
  <si>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</si>
  <si>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</si>
  <si>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</si>
  <si>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</si>
  <si>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</si>
  <si>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</si>
  <si>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</si>
  <si>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</si>
  <si>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</si>
  <si>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</si>
  <si>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</si>
  <si>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</si>
  <si>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</si>
  <si>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</si>
  <si>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</si>
  <si>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</si>
  <si>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</si>
  <si>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</si>
  <si>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</si>
  <si>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</si>
  <si>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</si>
  <si>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</si>
  <si>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</si>
  <si>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</si>
  <si>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</si>
  <si>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</si>
  <si>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</si>
  <si>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</si>
  <si>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</si>
  <si>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</si>
  <si>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</si>
  <si>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</si>
  <si>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</si>
  <si>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</si>
  <si>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</si>
  <si>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</si>
  <si>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</si>
  <si>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</si>
  <si>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</si>
  <si>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</si>
  <si>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</si>
  <si>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</si>
  <si>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</si>
  <si>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</si>
  <si>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</si>
  <si>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</si>
  <si>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</si>
  <si>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</si>
  <si>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</si>
  <si>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</si>
  <si>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</si>
  <si>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</si>
  <si>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</si>
  <si>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</si>
  <si>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</si>
  <si>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</si>
  <si>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</si>
  <si>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</si>
  <si>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</si>
  <si>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</si>
  <si>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</si>
  <si>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</si>
  <si>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</si>
  <si>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</si>
  <si>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</si>
  <si>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</si>
  <si>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</si>
  <si>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</si>
  <si>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</si>
  <si>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</si>
  <si>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</si>
  <si>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</si>
  <si>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</si>
  <si>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</si>
  <si>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</si>
  <si>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</si>
  <si>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</si>
  <si>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</si>
  <si>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</si>
  <si>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</si>
  <si>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</si>
  <si>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</si>
  <si>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</si>
  <si>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</si>
  <si>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</si>
  <si>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</si>
  <si>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</si>
  <si>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</si>
  <si>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</si>
  <si>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</si>
  <si>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</si>
  <si>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</si>
  <si>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</si>
  <si>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</si>
  <si>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</si>
  <si>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</si>
  <si>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</si>
  <si>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</si>
  <si>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</si>
  <si>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</si>
  <si>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</si>
  <si>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</si>
  <si>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</si>
  <si>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</si>
  <si>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</si>
  <si>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</si>
  <si>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</si>
  <si>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</si>
  <si>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</si>
  <si>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</si>
  <si>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</si>
  <si>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</si>
  <si>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</si>
  <si>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</si>
  <si>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</si>
  <si>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</si>
  <si>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</si>
  <si>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باسکول میدان بار (نمونه)</t>
  </si>
  <si>
    <t>باسکول محلی</t>
  </si>
  <si>
    <t>BN01</t>
  </si>
  <si>
    <t>صادرات ۹۰۰۹ — جاری اصلی</t>
  </si>
  <si>
    <t>بانک و صندوق</t>
  </si>
  <si>
    <t>حساب‌های بانکی</t>
  </si>
  <si>
    <t>بانک</t>
  </si>
  <si>
    <t>BN02</t>
  </si>
  <si>
    <t>صادرات ۲۰۰۶ — پوز باسکول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</si>
  <si>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</si>
  <si>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</si>
  <si>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</si>
  <si>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</si>
  <si>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</si>
  <si>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</si>
  <si>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</si>
  <si>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</si>
  <si>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</si>
  <si>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</si>
  <si>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</si>
  <si>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</si>
  <si>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</si>
  <si>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</si>
  <si>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</si>
  <si>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قرض‌الحسنه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</si>
  <si>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</si>
  <si>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</si>
  <si>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</si>
  <si>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</si>
  <si>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</si>
  <si>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</si>
  <si>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</si>
  <si>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</si>
  <si>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</si>
  <si>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</si>
  <si>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</si>
  <si>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</si>
  <si>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</si>
  <si>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</si>
  <si>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</si>
  <si>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</si>
  <si>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</si>
  <si>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</si>
  <si>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</si>
  <si>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</si>
  <si>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</si>
  <si>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</si>
  <si>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</si>
  <si>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</si>
  <si>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</si>
  <si>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</si>
  <si>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</si>
  <si>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</si>
  <si>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</si>
  <si>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</si>
  <si>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</si>
  <si>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</si>
  <si>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</si>
  <si>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</si>
  <si>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</si>
  <si>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</si>
  <si>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</si>
  <si>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</si>
  <si>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</si>
  <si>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</si>
  <si>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</si>
  <si>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</si>
  <si>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</si>
  <si>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</si>
  <si>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</si>
  <si>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</si>
  <si>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</si>
  <si>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</si>
  <si>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</si>
  <si>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</si>
  <si>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</si>
  <si>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</si>
  <si>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</si>
  <si>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</si>
  <si>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</si>
  <si>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</si>
  <si>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</si>
  <si>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</si>
  <si>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</si>
  <si>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</si>
  <si>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</si>
  <si>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</si>
  <si>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</si>
  <si>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</si>
  <si>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</si>
  <si>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</si>
  <si>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</si>
  <si>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</si>
  <si>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</si>
  <si>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</si>
  <si>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</si>
  <si>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</si>
  <si>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</si>
  <si>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</si>
  <si>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</si>
  <si>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</si>
  <si>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</si>
  <si>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</si>
  <si>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</si>
  <si>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</si>
  <si>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</si>
  <si>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</si>
  <si>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</si>
  <si>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</si>
  <si>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</si>
  <si>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</si>
  <si>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</si>
  <si>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</si>
  <si>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</si>
  <si>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</si>
  <si>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</si>
  <si>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</si>
  <si>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</si>
  <si>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</si>
  <si>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</si>
  <si>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</si>
  <si>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</si>
  <si>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</si>
  <si>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</si>
  <si>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</si>
  <si>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</si>
  <si>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</si>
  <si>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</si>
  <si>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</si>
  <si>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</si>
  <si>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</si>
  <si>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</si>
  <si>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</si>
  <si>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</si>
  <si>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</si>
  <si>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</si>
  <si>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</si>
  <si>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</si>
  <si>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</si>
  <si>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</si>
  <si>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</si>
  <si>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</si>
  <si>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</si>
  <si>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</si>
  <si>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</si>
  <si>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</si>
  <si>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</si>
  <si>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</si>
  <si>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</si>
  <si>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</si>
  <si>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</si>
  <si>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</si>
  <si>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</si>
  <si>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</si>
  <si>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</si>
  <si>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</si>
  <si>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</si>
  <si>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</si>
  <si>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</si>
  <si>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</si>
  <si>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</si>
  <si>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</si>
  <si>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</si>
  <si>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</si>
  <si>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</si>
  <si>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</si>
  <si>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</si>
  <si>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</si>
  <si>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</si>
  <si>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</si>
  <si>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</t>
  </si>
  <si>
    <t>بله</t>
  </si>
  <si>
    <t>وزن</t>
  </si>
  <si>
    <t>افزودن</t>
  </si>
  <si>
    <t>—</t>
  </si>
  <si>
    <t>فروش</t>
  </si>
  <si>
    <t>پوز</t>
  </si>
  <si>
    <t>BANK02</t>
  </si>
  <si>
    <t>فروش متفرقه / صادراتی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</si>
  <si>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</si>
  <si>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</si>
  <si>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</si>
  <si>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</si>
  <si>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</si>
  <si>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</si>
  <si>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</si>
  <si>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</si>
  <si>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</si>
  <si>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</si>
  <si>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</si>
  <si>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</si>
  <si>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</si>
  <si>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</si>
  <si>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</si>
  <si>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</si>
  <si>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</si>
  <si>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</si>
  <si>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</t>
  </si>
  <si>
    <t>۶ک مشکی</t>
  </si>
  <si>
    <t>BK02 – درب‌۶ک</t>
  </si>
  <si>
    <t>BK02</t>
  </si>
  <si>
    <t>درب‌۶ک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</si>
  <si>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</si>
  <si>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</si>
  <si>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</si>
  <si>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</si>
  <si>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</si>
  <si>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</si>
  <si>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</si>
  <si>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</si>
  <si>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</si>
  <si>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</si>
  <si>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</si>
  <si>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</si>
  <si>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</si>
  <si>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</si>
  <si>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</si>
  <si>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</si>
  <si>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</si>
  <si>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</si>
  <si>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</si>
  <si>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</si>
  <si>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</si>
  <si>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</si>
  <si>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</si>
  <si>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</si>
  <si>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</si>
  <si>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</si>
  <si>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</t>
  </si>
  <si>
    <t>پرتقال کاراکارا</t>
  </si>
  <si>
    <t>پرتقال بیروتی</t>
  </si>
  <si>
    <t>پرتقال یافا</t>
  </si>
  <si>
    <t>نارنگی</t>
  </si>
  <si>
    <t>نارنگی ژاپنی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</si>
  <si>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</si>
  <si>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</si>
  <si>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</si>
  <si>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</si>
  <si>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</si>
  <si>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</si>
  <si>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</si>
  <si>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</si>
  <si>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</si>
  <si>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</si>
  <si>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</si>
  <si>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</si>
  <si>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ملت</t>
  </si>
  <si>
    <t>BANK04</t>
  </si>
  <si>
    <t>کشاورزی</t>
  </si>
  <si>
    <t>BANK05</t>
  </si>
  <si>
    <t>سپه</t>
  </si>
  <si>
    <t>BANK06</t>
  </si>
  <si>
    <t>مهر ایران</t>
  </si>
  <si>
    <t>BANK07</t>
  </si>
  <si>
    <t>تجارت</t>
  </si>
  <si>
    <t>BANK08</t>
  </si>
  <si>
    <t>پاسارگاد</t>
  </si>
  <si>
    <t>BANK09</t>
  </si>
  <si>
    <t>رفاه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</si>
  <si>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</si>
  <si>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</si>
  <si>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</si>
  <si>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</si>
  <si>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</si>
  <si>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</si>
  <si>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</si>
  <si>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</si>
  <si>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</si>
  <si>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</si>
  <si>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</si>
  <si>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</si>
  <si>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</si>
  <si>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</si>
  <si>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</si>
  <si>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</si>
  <si>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</si>
  <si>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</si>
  <si>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</si>
  <si>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</si>
  <si>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</si>
  <si>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</si>
  <si>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</si>
  <si>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</si>
  <si>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</si>
  <si>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</si>
  <si>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</si>
  <si>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</si>
  <si>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</si>
  <si>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</si>
  <si>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</si>
  <si>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</si>
  <si>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</si>
  <si>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</si>
  <si>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</si>
  <si>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</si>
  <si>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</si>
  <si>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</si>
  <si>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</si>
  <si>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</si>
  <si>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</si>
  <si>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</si>
  <si>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</si>
  <si>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</si>
  <si>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</si>
  <si>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</si>
  <si>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</si>
  <si>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</si>
  <si>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</si>
  <si>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</si>
  <si>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</si>
  <si>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</si>
  <si>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</si>
  <si>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</si>
  <si>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</si>
  <si>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</si>
  <si>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</si>
  <si>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</si>
  <si>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</si>
  <si>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</si>
  <si>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</si>
  <si>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</si>
  <si>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</si>
  <si>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</si>
  <si>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</si>
  <si>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</si>
  <si>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</si>
  <si>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</si>
  <si>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</si>
  <si>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</si>
  <si>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</si>
  <si>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</si>
  <si>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</si>
  <si>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</si>
  <si>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</si>
  <si>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</si>
  <si>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</si>
  <si>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</si>
  <si>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</si>
  <si>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</si>
  <si>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</si>
  <si>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</si>
  <si>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</si>
  <si>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</si>
  <si>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</si>
  <si>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</si>
  <si>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</si>
  <si>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راهنمای نمونه</t>
  </si>
  <si>
    <t>منطق سیستم در ۵ جمله</t>
  </si>
  <si>
    <t>•</t>
  </si>
  <si>
    <t>۱. وزن خالص</t>
  </si>
  <si>
    <t>وزن باسکول منهای (تعداد سبد × وزن تار سبد). برای خرید، ۱٪ افت هم کم می‌شود.</t>
  </si>
  <si>
    <t>۲. مبلغ</t>
  </si>
  <si>
    <t>وزن خالص × فی خرید، گرد شده به هزار ریال. اگر مبلغ دستی وارد شود، همان ملاک است.</t>
  </si>
  <si>
    <t>۳. خرید</t>
  </si>
  <si>
    <t>باغدار بستانکار می‌شود (پول طلب دارد)؛ موجودی مرکبات بدهکار می‌شود.</t>
  </si>
  <si>
    <t>۴. فروش</t>
  </si>
  <si>
    <t>بارفروش بدهکار می‌شود؛ مبلغی که پوز باسکول می‌گیرد به حساب پوز ۲۰۰۶ می‌رود و روی حساب بارفروش اثر ندارد.</t>
  </si>
  <si>
    <t>۵. باسکول دیگران و انعام</t>
  </si>
  <si>
    <t>باسکول دیگران: طرف حساب بدهکار، درآمد باسکول بستانکار. انعام مصطفی: مصطفی بستانکار، پوز ۲۰۰۶ بدهکار.</t>
  </si>
  <si>
    <t>برای کار واقعی: 01_Register.xlsx را باز کنید؛ همان قواعد با جدول عملیات INFO اجرا می‌شود.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</si>
</sst>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@"/>
  </numFmts>
  <fonts count="42">
    <font>
      <sz val="11"/>
      <color theme="1"/>
      <name val="Calibri"/>
      <family val="2"/>
      <scheme val="minor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3"/>
      <color rgb="FFFFFFFF"/>
      <name val="Tahoma"/>
      <family val="2"/>
    </font>
    <font>
      <b/>
      <sz val="11"/>
      <color rgb="FF14453D"/>
      <name val="B Nazanin"/>
      <family val="2"/>
    </font>
    <font>
      <sz val="9.5"/>
      <color theme="1"/>
      <name val="B Nazanin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sz val="10"/>
      <color rgb="FF6B7A76"/>
      <name val="B Nazanin"/>
      <family val="2"/>
    </font>
    <font>
      <b/>
      <sz val="7.5"/>
      <color rgb="FF6B7A76"/>
      <name val="Tahoma"/>
      <family val="2"/>
    </font>
    <font>
      <b/>
      <sz val="17"/>
      <color rgb="FF14453D"/>
      <name val="B Nazanin"/>
      <family val="2"/>
    </font>
    <font>
      <b/>
      <sz val="17"/>
      <color rgb="FFB4452F"/>
      <name val="B Nazanin"/>
      <family val="2"/>
    </font>
    <font>
      <b/>
      <sz val="17"/>
      <color rgb="FF2E6B4F"/>
      <name val="B Nazanin"/>
      <family val="2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B Nazanin"/>
      <family val="2"/>
    </font>
    <font>
      <sz val="9"/>
      <color theme="1"/>
      <name val="Tahoma"/>
      <family val="2"/>
    </font>
    <font>
      <b/>
      <sz val="10"/>
      <color rgb="FFFFFFFF"/>
      <name val="B Nazanin"/>
      <family val="2"/>
    </font>
    <font>
      <b/>
      <sz val="10"/>
      <color rgb="FFFFFFFF"/>
      <name val="Tahoma"/>
      <family val="2"/>
    </font>
    <font>
      <b/>
      <sz val="17"/>
      <color rgb="FFC4623F"/>
      <name val="B Nazanin"/>
      <family val="2"/>
    </font>
    <font>
      <b/>
      <sz val="9.5"/>
      <color rgb="FFFFFFFF"/>
      <name val="B Nazanin"/>
      <family val="2"/>
    </font>
    <font>
      <b/>
      <sz val="9.5"/>
      <color rgb="FF14453D"/>
      <name val="B Nazanin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10"/>
      <color rgb="FF1E2A2B"/>
      <name val="B Nazanin"/>
      <family val="2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453D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CFA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10" fillId="6" borderId="2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right" vertical="center"/>
    </xf>
    <xf numFmtId="0" fontId="10" fillId="7" borderId="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1" fillId="8" borderId="4" xfId="0" applyFont="1" applyFill="1" applyBorder="1" applyAlignment="1">
      <alignment horizontal="right" vertical="top" wrapText="1"/>
    </xf>
    <xf numFmtId="0" fontId="12" fillId="9" borderId="5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 wrapText="1"/>
    </xf>
    <xf numFmtId="0" fontId="17" fillId="6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3" borderId="6" xfId="0" applyFont="1" applyFill="1" applyBorder="1" applyAlignment="1">
      <alignment horizontal="center" vertical="center"/>
    </xf>
    <xf numFmtId="164" fontId="25" fillId="8" borderId="4" xfId="0" applyNumberFormat="1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center" vertical="center"/>
    </xf>
    <xf numFmtId="164" fontId="27" fillId="8" borderId="4" xfId="0" applyNumberFormat="1" applyFont="1" applyFill="1" applyBorder="1" applyAlignment="1">
      <alignment horizontal="center" vertical="center"/>
    </xf>
    <xf numFmtId="165" fontId="27" fillId="8" borderId="4" xfId="0" applyNumberFormat="1" applyFont="1" applyFill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right" vertical="center"/>
    </xf>
    <xf numFmtId="164" fontId="31" fillId="5" borderId="5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/>
    </xf>
    <xf numFmtId="164" fontId="33" fillId="2" borderId="0" xfId="0" applyNumberFormat="1" applyFont="1" applyFill="1" applyAlignment="1">
      <alignment horizontal="center"/>
    </xf>
    <xf numFmtId="0" fontId="12" fillId="3" borderId="5" xfId="0" applyFont="1" applyFill="1" applyBorder="1" applyAlignment="1">
      <alignment horizontal="right" vertical="center" wrapText="1"/>
    </xf>
    <xf numFmtId="164" fontId="34" fillId="8" borderId="4" xfId="0" applyNumberFormat="1" applyFont="1" applyFill="1" applyBorder="1" applyAlignment="1">
      <alignment horizontal="center" vertical="center"/>
    </xf>
    <xf numFmtId="0" fontId="35" fillId="6" borderId="7" xfId="0" applyFont="1" applyFill="1" applyBorder="1" applyAlignment="1">
      <alignment horizontal="center" vertical="center"/>
    </xf>
    <xf numFmtId="0" fontId="36" fillId="3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/>
    </xf>
    <xf numFmtId="0" fontId="30" fillId="0" borderId="5" xfId="0" applyFont="1" applyBorder="1" applyAlignment="1">
      <alignment horizontal="center"/>
    </xf>
    <xf numFmtId="0" fontId="37" fillId="3" borderId="1" xfId="0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8" fillId="6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28" fillId="17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8" fillId="15" borderId="0" xfId="0" applyFont="1" applyFill="1" applyAlignment="1">
      <alignment horizontal="center" vertical="center"/>
    </xf>
    <xf numFmtId="0" fontId="38" fillId="16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7" borderId="0" xfId="0" applyFont="1" applyFill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164" fontId="29" fillId="5" borderId="5" xfId="0" applyNumberFormat="1" applyFont="1" applyFill="1" applyBorder="1" applyAlignment="1">
      <alignment horizontal="center" vertical="center"/>
    </xf>
    <xf numFmtId="0" fontId="39" fillId="18" borderId="8" xfId="0" applyFont="1" applyFill="1" applyBorder="1" applyAlignment="1">
      <alignment horizontal="center" vertical="center"/>
    </xf>
    <xf numFmtId="0" fontId="0" fillId="8" borderId="0" xfId="0" applyFill="1"/>
    <xf numFmtId="0" fontId="0" fillId="2" borderId="0" xfId="0" applyFill="1"/>
    <xf numFmtId="0" fontId="0" fillId="5" borderId="0" xfId="0" applyFill="1"/>
    <xf numFmtId="0" fontId="40" fillId="5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J21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0" width="16.7109375" customWidth="1"/>
  </cols>
  <sheetData>
    <row r="1" spans="1:10" ht="18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spans="1:10" ht="3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spans="1:10" ht="20.25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5" spans="1:10" ht="30" customHeight="1">
      <c r="A5" s="5" t="s">
        <v>4</v>
      </c>
      <c r="B5" s="6" t="s">
        <v>5</v>
      </c>
      <c r="C5" s="6"/>
      <c r="D5" s="6"/>
      <c r="E5" s="6"/>
      <c r="F5" s="6"/>
      <c r="G5" s="6"/>
      <c r="H5" s="6"/>
      <c r="I5" s="6"/>
      <c r="J5" s="6"/>
    </row>
    <row r="6" spans="1:10" ht="26.25" customHeight="1">
      <c r="A6" s="7" t="s">
        <v>6</v>
      </c>
      <c r="B6" s="8" t="s">
        <v>7</v>
      </c>
      <c r="C6" s="8"/>
      <c r="D6" s="8"/>
    </row>
    <row r="7" spans="1:10" ht="30" customHeight="1">
      <c r="B7" s="9" t="s">
        <v>8</v>
      </c>
      <c r="C7" s="9"/>
      <c r="D7" s="9"/>
      <c r="E7" s="9"/>
      <c r="F7" s="9"/>
      <c r="G7" s="9"/>
      <c r="H7" s="9"/>
      <c r="I7" s="9"/>
      <c r="J7" s="9"/>
    </row>
    <row r="8" spans="1:10" ht="26.25" customHeight="1">
      <c r="A8" s="7" t="s">
        <v>9</v>
      </c>
      <c r="B8" s="8" t="s">
        <v>10</v>
      </c>
      <c r="C8" s="8"/>
      <c r="D8" s="8"/>
    </row>
    <row r="9" spans="1:10" ht="30" customHeight="1">
      <c r="B9" s="9" t="s">
        <v>11</v>
      </c>
      <c r="C9" s="9"/>
      <c r="D9" s="9"/>
      <c r="E9" s="9"/>
      <c r="F9" s="9"/>
      <c r="G9" s="9"/>
      <c r="H9" s="9"/>
      <c r="I9" s="9"/>
      <c r="J9" s="9"/>
    </row>
    <row r="10" spans="1:10" ht="26.25" customHeight="1">
      <c r="A10" s="7" t="s">
        <v>12</v>
      </c>
      <c r="B10" s="8" t="s">
        <v>13</v>
      </c>
      <c r="C10" s="8"/>
      <c r="D10" s="8"/>
    </row>
    <row r="11" spans="1:10" ht="30" customHeight="1">
      <c r="B11" s="9" t="s">
        <v>14</v>
      </c>
      <c r="C11" s="9"/>
      <c r="D11" s="9"/>
      <c r="E11" s="9"/>
      <c r="F11" s="9"/>
      <c r="G11" s="9"/>
      <c r="H11" s="9"/>
      <c r="I11" s="9"/>
      <c r="J11" s="9"/>
    </row>
    <row r="12" spans="1:10" ht="26.25" customHeight="1">
      <c r="A12" s="7" t="s">
        <v>15</v>
      </c>
      <c r="B12" s="8" t="s">
        <v>16</v>
      </c>
      <c r="C12" s="8"/>
      <c r="D12" s="8"/>
    </row>
    <row r="13" spans="1:10" ht="30" customHeight="1">
      <c r="B13" s="9" t="s">
        <v>17</v>
      </c>
      <c r="C13" s="9"/>
      <c r="D13" s="9"/>
      <c r="E13" s="9"/>
      <c r="F13" s="9"/>
      <c r="G13" s="9"/>
      <c r="H13" s="9"/>
      <c r="I13" s="9"/>
      <c r="J13" s="9"/>
    </row>
    <row r="15" spans="1:10" ht="24" customHeight="1">
      <c r="A15" s="10" t="s">
        <v>18</v>
      </c>
      <c r="B15" s="11"/>
      <c r="C15" s="11"/>
      <c r="D15" s="12" t="s">
        <v>20</v>
      </c>
      <c r="E15" s="13"/>
      <c r="F15" s="13"/>
      <c r="G15" s="14" t="s">
        <v>22</v>
      </c>
      <c r="H15" s="15"/>
      <c r="I15" s="15"/>
    </row>
    <row r="16" spans="1:10" ht="27.75" customHeight="1">
      <c r="A16" s="16" t="s">
        <v>19</v>
      </c>
      <c r="B16" s="16"/>
      <c r="C16" s="16"/>
      <c r="D16" s="16" t="s">
        <v>21</v>
      </c>
      <c r="E16" s="16"/>
      <c r="F16" s="16"/>
      <c r="G16" s="16" t="s">
        <v>23</v>
      </c>
      <c r="H16" s="16"/>
      <c r="I16" s="16"/>
    </row>
    <row r="17" spans="1:10" ht="12" customHeight="1"/>
    <row r="21" spans="1:10" ht="30" customHeight="1">
      <c r="A21" s="17" t="s">
        <v>24</v>
      </c>
      <c r="B21" s="17"/>
      <c r="C21" s="17"/>
      <c r="D21" s="17"/>
      <c r="E21" s="17"/>
      <c r="F21" s="17"/>
      <c r="G21" s="17"/>
      <c r="H21" s="17"/>
      <c r="I21" s="17"/>
      <c r="J21" s="17"/>
    </row>
  </sheetData>
  <mergeCells count="20">
    <mergeCell ref="A1:F1"/>
    <mergeCell ref="G1:J1"/>
    <mergeCell ref="A2:J2"/>
    <mergeCell ref="A3:J3"/>
    <mergeCell ref="B5:J5"/>
    <mergeCell ref="B6:D6"/>
    <mergeCell ref="B7:J7"/>
    <mergeCell ref="B8:D8"/>
    <mergeCell ref="B9:J9"/>
    <mergeCell ref="B10:D10"/>
    <mergeCell ref="B11:J11"/>
    <mergeCell ref="B12:D12"/>
    <mergeCell ref="B13:J13"/>
    <mergeCell ref="A15:C15"/>
    <mergeCell ref="A16:C16"/>
    <mergeCell ref="D15:F15"/>
    <mergeCell ref="D16:F16"/>
    <mergeCell ref="G15:I15"/>
    <mergeCell ref="G16:I16"/>
    <mergeCell ref="A21:J21"/>
  </mergeCells>
  <hyperlinks>
    <hyperlink ref="A15" location="Register!A8" display="ثبت نمونه"/>
    <hyperlink ref="D15" location="Summary!A8" display="خلاصه"/>
    <hyperlink ref="G15" location="Help!A8" display="راهنما"/>
  </hyperlink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N20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1.7109375" customWidth="1"/>
    <col min="2" max="2" width="8.7109375" customWidth="1"/>
    <col min="3" max="3" width="9.7109375" customWidth="1"/>
    <col min="4" max="4" width="22.7109375" customWidth="1"/>
    <col min="5" max="5" width="9.7109375" customWidth="1"/>
    <col min="6" max="6" width="22.7109375" customWidth="1"/>
    <col min="7" max="7" width="18.7109375" customWidth="1"/>
    <col min="8" max="8" width="20.7109375" customWidth="1"/>
    <col min="9" max="9" width="11.7109375" customWidth="1"/>
    <col min="10" max="10" width="8.7109375" customWidth="1"/>
    <col min="11" max="11" width="11.7109375" customWidth="1"/>
    <col min="12" max="14" width="15.7109375" customWidth="1"/>
  </cols>
  <sheetData>
    <row r="1" spans="1:14" ht="20.25" customHeight="1">
      <c r="A1" s="18" t="s">
        <v>0</v>
      </c>
      <c r="B1" s="18"/>
      <c r="C1" s="18"/>
      <c r="D1" s="18"/>
      <c r="E1" s="18"/>
      <c r="F1" s="18"/>
      <c r="G1" s="18"/>
      <c r="H1" s="18"/>
      <c r="I1" s="19" t="s">
        <v>1</v>
      </c>
      <c r="J1" s="19"/>
      <c r="K1" s="19"/>
      <c r="L1" s="19"/>
      <c r="M1" s="19"/>
    </row>
    <row r="2" spans="1:14" ht="38.25" customHeight="1">
      <c r="A2" s="20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ht="45.75" customHeight="1">
      <c r="A3" s="21" t="s">
        <v>25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4" ht="24" customHeight="1">
      <c r="A4" s="22" t="s">
        <v>22</v>
      </c>
      <c r="B4" s="23" t="s">
        <v>26</v>
      </c>
      <c r="C4" s="24" t="s">
        <v>27</v>
      </c>
      <c r="D4" s="25" t="s">
        <v>28</v>
      </c>
      <c r="E4" s="26" t="s">
        <v>29</v>
      </c>
      <c r="F4" s="27" t="s">
        <v>30</v>
      </c>
      <c r="G4" s="28" t="s">
        <v>31</v>
      </c>
      <c r="H4" s="28"/>
      <c r="I4" s="28"/>
      <c r="J4" s="28"/>
      <c r="K4" s="28"/>
      <c r="L4" s="28"/>
      <c r="M4" s="28"/>
    </row>
    <row r="5" spans="1:14" ht="17.25" customHeight="1">
      <c r="A5" s="29" t="s">
        <v>32</v>
      </c>
      <c r="B5" s="29"/>
      <c r="C5" s="29"/>
      <c r="D5" s="29"/>
      <c r="E5" s="29" t="s">
        <v>33</v>
      </c>
      <c r="F5" s="29"/>
      <c r="G5" s="29"/>
      <c r="H5" s="29"/>
      <c r="I5" s="29" t="s">
        <v>34</v>
      </c>
      <c r="J5" s="29"/>
      <c r="K5" s="29"/>
      <c r="L5" s="29"/>
      <c r="M5" s="29" t="s">
        <v>35</v>
      </c>
    </row>
    <row r="6" spans="1:14" ht="33" customHeight="1">
      <c r="A6" s="30">
        <f>SUM($K$10:$K$17)</f>
        <v>0</v>
      </c>
      <c r="B6" s="30"/>
      <c r="C6" s="30"/>
      <c r="D6" s="30"/>
      <c r="E6" s="31">
        <f>SUM($M$10:$M$17)</f>
        <v>0</v>
      </c>
      <c r="F6" s="31"/>
      <c r="G6" s="31"/>
      <c r="H6" s="31"/>
      <c r="I6" s="32">
        <f>SUM($N$10:$N$17)</f>
        <v>0</v>
      </c>
      <c r="J6" s="32"/>
      <c r="K6" s="32"/>
      <c r="L6" s="32"/>
      <c r="M6" s="33">
        <f>IF(ROUND($M$7-$N$7,0)=0,"✓ تراز","⚠ ناتراز")</f>
        <v>0</v>
      </c>
    </row>
    <row r="7" spans="1:14" ht="6.75" customHeight="1"/>
    <row r="9" spans="1:14" ht="30" customHeight="1">
      <c r="A9" s="34" t="s">
        <v>36</v>
      </c>
      <c r="B9" s="34" t="s">
        <v>37</v>
      </c>
      <c r="C9" s="34" t="s">
        <v>38</v>
      </c>
      <c r="D9" s="34" t="s">
        <v>39</v>
      </c>
      <c r="E9" s="34" t="s">
        <v>40</v>
      </c>
      <c r="F9" s="34" t="s">
        <v>41</v>
      </c>
      <c r="G9" s="34" t="s">
        <v>42</v>
      </c>
      <c r="H9" s="34" t="s">
        <v>43</v>
      </c>
      <c r="I9" s="34" t="s">
        <v>44</v>
      </c>
      <c r="J9" s="34" t="s">
        <v>45</v>
      </c>
      <c r="K9" s="34" t="s">
        <v>46</v>
      </c>
      <c r="L9" s="34" t="s">
        <v>47</v>
      </c>
      <c r="M9" s="34" t="s">
        <v>48</v>
      </c>
      <c r="N9" s="34" t="s">
        <v>49</v>
      </c>
    </row>
    <row r="10" spans="1:14" ht="21.75" customHeight="1">
      <c r="A10" s="35" t="s">
        <v>50</v>
      </c>
      <c r="B10" s="35" t="s">
        <v>51</v>
      </c>
      <c r="C10" s="35" t="s">
        <v>52</v>
      </c>
      <c r="D10" s="36" t="s">
        <v>53</v>
      </c>
      <c r="E10" s="35" t="s">
        <v>54</v>
      </c>
      <c r="F10" s="36">
        <f>IF($E10="","",IFERROR(VLOOKUP($E10,AcctTbl,2,0),"کد ناشناخته"))</f>
        <v>0</v>
      </c>
      <c r="G10" s="36" t="s">
        <v>55</v>
      </c>
      <c r="H10" s="36" t="s">
        <v>56</v>
      </c>
      <c r="I10" s="37">
        <v>2290</v>
      </c>
      <c r="J10" s="37">
        <v>139</v>
      </c>
      <c r="K10" s="37">
        <v>32000</v>
      </c>
      <c r="L10" s="37">
        <f>IF($M10+$N10=0,0,$M10+$N10)</f>
        <v>0</v>
      </c>
      <c r="M10" s="37">
        <f>IF($D10="","",IF(OR($D10="خرید مرکبات",$D10="باسکول دیگران"),$K10,IF($D10="فروش بار (بارفروش)",$K10,0)))</f>
        <v>0</v>
      </c>
      <c r="N10" s="37">
        <f>IF($D10="","",IF(OR($D10="خرید مرکبات",$D10="فروش بار (بارفروش)",$D10="انعام مصطفی"),$K10,0))</f>
        <v>0</v>
      </c>
    </row>
    <row r="11" spans="1:14" ht="21.75" customHeight="1">
      <c r="A11" s="35" t="s">
        <v>50</v>
      </c>
      <c r="B11" s="35" t="s">
        <v>57</v>
      </c>
      <c r="C11" s="35" t="s">
        <v>58</v>
      </c>
      <c r="D11" s="36" t="s">
        <v>53</v>
      </c>
      <c r="E11" s="35" t="s">
        <v>59</v>
      </c>
      <c r="F11" s="36">
        <f>IF($E11="","",IFERROR(VLOOKUP($E11,AcctTbl,2,0),"کد ناشناخته"))</f>
        <v>0</v>
      </c>
      <c r="G11" s="36" t="s">
        <v>60</v>
      </c>
      <c r="H11" s="36" t="s">
        <v>61</v>
      </c>
      <c r="I11" s="37">
        <v>910</v>
      </c>
      <c r="J11" s="37">
        <v>53</v>
      </c>
      <c r="K11" s="37">
        <v>35000</v>
      </c>
      <c r="L11" s="37">
        <f>IF($M11+$N11=0,0,$M11+$N11)</f>
        <v>0</v>
      </c>
      <c r="M11" s="37">
        <f>IF($D11="","",IF(OR($D11="خرید مرکبات",$D11="باسکول دیگران"),$K11,IF($D11="فروش بار (بارفروش)",$K11,0)))</f>
        <v>0</v>
      </c>
      <c r="N11" s="37">
        <f>IF($D11="","",IF(OR($D11="خرید مرکبات",$D11="فروش بار (بارفروش)",$D11="انعام مصطفی"),$K11,0))</f>
        <v>0</v>
      </c>
    </row>
    <row r="12" spans="1:14" ht="21.75" customHeight="1">
      <c r="A12" s="35" t="s">
        <v>62</v>
      </c>
      <c r="B12" s="35" t="s">
        <v>63</v>
      </c>
      <c r="C12" s="35" t="s">
        <v>64</v>
      </c>
      <c r="D12" s="36" t="s">
        <v>53</v>
      </c>
      <c r="E12" s="35" t="s">
        <v>65</v>
      </c>
      <c r="F12" s="36">
        <f>IF($E12="","",IFERROR(VLOOKUP($E12,AcctTbl,2,0),"کد ناشناخته"))</f>
        <v>0</v>
      </c>
      <c r="G12" s="36" t="s">
        <v>66</v>
      </c>
      <c r="H12" s="36" t="s">
        <v>61</v>
      </c>
      <c r="I12" s="37">
        <v>1385</v>
      </c>
      <c r="J12" s="37">
        <v>85</v>
      </c>
      <c r="K12" s="37">
        <v>30000</v>
      </c>
      <c r="L12" s="37">
        <f>IF($M12+$N12=0,0,$M12+$N12)</f>
        <v>0</v>
      </c>
      <c r="M12" s="37">
        <f>IF($D12="","",IF(OR($D12="خرید مرکبات",$D12="باسکول دیگران"),$K12,IF($D12="فروش بار (بارفروش)",$K12,0)))</f>
        <v>0</v>
      </c>
      <c r="N12" s="37">
        <f>IF($D12="","",IF(OR($D12="خرید مرکبات",$D12="فروش بار (بارفروش)",$D12="انعام مصطفی"),$K12,0))</f>
        <v>0</v>
      </c>
    </row>
    <row r="13" spans="1:14" ht="21.75" customHeight="1">
      <c r="A13" s="35" t="s">
        <v>67</v>
      </c>
      <c r="B13" s="35" t="s">
        <v>68</v>
      </c>
      <c r="C13" s="35" t="s">
        <v>69</v>
      </c>
      <c r="D13" s="36" t="s">
        <v>70</v>
      </c>
      <c r="E13" s="35" t="s">
        <v>71</v>
      </c>
      <c r="F13" s="36">
        <f>IF($E13="","",IFERROR(VLOOKUP($E13,AcctTbl,2,0),"کد ناشناخته"))</f>
        <v>0</v>
      </c>
      <c r="G13" s="36" t="s">
        <v>60</v>
      </c>
      <c r="H13" s="36" t="s">
        <v>56</v>
      </c>
      <c r="I13" s="37">
        <v>2500</v>
      </c>
      <c r="J13" s="37">
        <v>120</v>
      </c>
      <c r="K13" s="37">
        <v>58000</v>
      </c>
      <c r="L13" s="37">
        <f>IF($M13+$N13=0,0,$M13+$N13)</f>
        <v>0</v>
      </c>
      <c r="M13" s="37">
        <f>IF($D13="","",IF(OR($D13="خرید مرکبات",$D13="باسکول دیگران"),$K13,IF($D13="فروش بار (بارفروش)",$K13,0)))</f>
        <v>0</v>
      </c>
      <c r="N13" s="37">
        <f>IF($D13="","",IF(OR($D13="خرید مرکبات",$D13="فروش بار (بارفروش)",$D13="انعام مصطفی"),$K13,0))</f>
        <v>0</v>
      </c>
    </row>
    <row r="14" spans="1:14" ht="21.75" customHeight="1">
      <c r="A14" s="35" t="s">
        <v>72</v>
      </c>
      <c r="B14" s="35" t="s">
        <v>73</v>
      </c>
      <c r="C14" s="35" t="s">
        <v>74</v>
      </c>
      <c r="D14" s="36" t="s">
        <v>75</v>
      </c>
      <c r="E14" s="35" t="s">
        <v>76</v>
      </c>
      <c r="F14" s="36">
        <f>IF($E14="","",IFERROR(VLOOKUP($E14,AcctTbl,2,0),"کد ناشناخته"))</f>
        <v>0</v>
      </c>
      <c r="G14" s="36"/>
      <c r="H14" s="36"/>
      <c r="I14" s="37"/>
      <c r="J14" s="37"/>
      <c r="K14" s="37"/>
      <c r="L14" s="37">
        <f>IF($M14+$N14=0,0,$M14+$N14)</f>
        <v>0</v>
      </c>
      <c r="M14" s="37">
        <f>IF($D14="","",IF(OR($D14="خرید مرکبات",$D14="باسکول دیگران"),$K14,IF($D14="فروش بار (بارفروش)",$K14,0)))</f>
        <v>0</v>
      </c>
      <c r="N14" s="37">
        <f>IF($D14="","",IF(OR($D14="خرید مرکبات",$D14="فروش بار (بارفروش)",$D14="انعام مصطفی"),$K14,0))</f>
        <v>0</v>
      </c>
    </row>
    <row r="15" spans="1:14" ht="21.75" customHeight="1">
      <c r="A15" s="35" t="s">
        <v>77</v>
      </c>
      <c r="B15" s="35" t="s">
        <v>78</v>
      </c>
      <c r="C15" s="35" t="s">
        <v>79</v>
      </c>
      <c r="D15" s="36" t="s">
        <v>80</v>
      </c>
      <c r="E15" s="35"/>
      <c r="F15" s="36">
        <f>IF($E15="","",IFERROR(VLOOKUP($E15,AcctTbl,2,0),"کد ناشناخته"))</f>
        <v>0</v>
      </c>
      <c r="G15" s="36"/>
      <c r="H15" s="36"/>
      <c r="I15" s="37"/>
      <c r="J15" s="37"/>
      <c r="K15" s="37"/>
      <c r="L15" s="37">
        <f>IF($M15+$N15=0,0,$M15+$N15)</f>
        <v>0</v>
      </c>
      <c r="M15" s="37">
        <f>IF($D15="","",IF(OR($D15="خرید مرکبات",$D15="باسکول دیگران"),$K15,IF($D15="فروش بار (بارفروش)",$K15,0)))</f>
        <v>0</v>
      </c>
      <c r="N15" s="37">
        <f>IF($D15="","",IF(OR($D15="خرید مرکبات",$D15="فروش بار (بارفروش)",$D15="انعام مصطفی"),$K15,0))</f>
        <v>0</v>
      </c>
    </row>
    <row r="16" spans="1:14" ht="21.75" customHeight="1">
      <c r="A16" s="35" t="s">
        <v>81</v>
      </c>
      <c r="B16" s="35" t="s">
        <v>82</v>
      </c>
      <c r="C16" s="35" t="s">
        <v>83</v>
      </c>
      <c r="D16" s="36" t="s">
        <v>84</v>
      </c>
      <c r="E16" s="35" t="s">
        <v>85</v>
      </c>
      <c r="F16" s="36">
        <f>IF($E16="","",IFERROR(VLOOKUP($E16,AcctTbl,2,0),"کد ناشناخته"))</f>
        <v>0</v>
      </c>
      <c r="G16" s="36"/>
      <c r="H16" s="36" t="s">
        <v>61</v>
      </c>
      <c r="I16" s="37"/>
      <c r="J16" s="37">
        <v>500</v>
      </c>
      <c r="K16" s="37">
        <v>45000</v>
      </c>
      <c r="L16" s="37">
        <f>IF($M16+$N16=0,0,$M16+$N16)</f>
        <v>0</v>
      </c>
      <c r="M16" s="37">
        <f>IF($D16="","",IF(OR($D16="خرید مرکبات",$D16="باسکول دیگران"),$K16,IF($D16="فروش بار (بارفروش)",$K16,0)))</f>
        <v>0</v>
      </c>
      <c r="N16" s="37">
        <f>IF($D16="","",IF(OR($D16="خرید مرکبات",$D16="فروش بار (بارفروش)",$D16="انعام مصطفی"),$K16,0))</f>
        <v>0</v>
      </c>
    </row>
    <row r="17" spans="1:14" ht="21.75" customHeight="1">
      <c r="A17" s="35" t="s">
        <v>86</v>
      </c>
      <c r="B17" s="35" t="s">
        <v>87</v>
      </c>
      <c r="C17" s="35" t="s">
        <v>88</v>
      </c>
      <c r="D17" s="36" t="s">
        <v>89</v>
      </c>
      <c r="E17" s="35" t="s">
        <v>90</v>
      </c>
      <c r="F17" s="36">
        <f>IF($E17="","",IFERROR(VLOOKUP($E17,AcctTbl,2,0),"کد ناشناخته"))</f>
        <v>0</v>
      </c>
      <c r="G17" s="36" t="s">
        <v>91</v>
      </c>
      <c r="H17" s="36"/>
      <c r="I17" s="37">
        <v>605</v>
      </c>
      <c r="J17" s="37"/>
      <c r="K17" s="37"/>
      <c r="L17" s="37">
        <f>IF($M17+$N17=0,0,$M17+$N17)</f>
        <v>0</v>
      </c>
      <c r="M17" s="37">
        <f>IF($D17="","",IF(OR($D17="خرید مرکبات",$D17="باسکول دیگران"),$K17,IF($D17="فروش بار (بارفروش)",$K17,0)))</f>
        <v>0</v>
      </c>
      <c r="N17" s="37">
        <f>IF($D17="","",IF(OR($D17="خرید مرکبات",$D17="فروش بار (بارفروش)",$D17="انعام مصطفی"),$K17,0))</f>
        <v>0</v>
      </c>
    </row>
    <row r="18" spans="1:14">
      <c r="A18" s="38" t="s">
        <v>92</v>
      </c>
      <c r="L18" s="39">
        <f>SUM(L10:L17)</f>
        <v>0</v>
      </c>
      <c r="M18" s="39">
        <f>SUM(M10:M17)</f>
        <v>0</v>
      </c>
      <c r="N18" s="39">
        <f>SUM(N10:N17)</f>
        <v>0</v>
      </c>
    </row>
    <row r="20" spans="1:14" ht="30" customHeight="1">
      <c r="A20" s="40" t="s">
        <v>93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</sheetData>
  <autoFilter ref="A9:M18"/>
  <mergeCells count="12">
    <mergeCell ref="A1:H1"/>
    <mergeCell ref="I1:M1"/>
    <mergeCell ref="A2:M2"/>
    <mergeCell ref="A3:M3"/>
    <mergeCell ref="G4:M4"/>
    <mergeCell ref="A5:D5"/>
    <mergeCell ref="A6:D6"/>
    <mergeCell ref="E5:H5"/>
    <mergeCell ref="E6:H6"/>
    <mergeCell ref="I5:L5"/>
    <mergeCell ref="I6:L6"/>
    <mergeCell ref="A20:M20"/>
  </mergeCells>
  <printOptions horizontalCentered="1"/>
  <pageMargins left="0.28" right="0.28" top="0.45" bottom="0.5" header="0.3" footer="0.3"/>
  <pageSetup paperSize="8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FA99B"/>
    <pageSetUpPr fitToPage="1"/>
  </sheetPr>
  <dimension ref="A1:F16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6.7109375" customWidth="1"/>
    <col min="2" max="2" width="10.7109375" customWidth="1"/>
    <col min="3" max="3" width="17.7109375" customWidth="1"/>
    <col min="4" max="4" width="30.7109375" customWidth="1"/>
    <col min="5" max="5" width="42.7109375" customWidth="1"/>
  </cols>
  <sheetData>
    <row r="1" spans="1:6" ht="20.25" customHeight="1">
      <c r="A1" s="18" t="s">
        <v>0</v>
      </c>
      <c r="B1" s="19" t="s">
        <v>1</v>
      </c>
      <c r="C1" s="19"/>
      <c r="D1" s="19"/>
      <c r="E1" s="19"/>
      <c r="F1" s="19"/>
    </row>
    <row r="2" spans="1:6" ht="38.25" customHeight="1">
      <c r="A2" s="20" t="s">
        <v>94</v>
      </c>
      <c r="B2" s="20"/>
      <c r="C2" s="20"/>
      <c r="D2" s="20"/>
      <c r="E2" s="20"/>
      <c r="F2" s="20"/>
    </row>
    <row r="3" spans="1:6" ht="45.75" customHeight="1">
      <c r="A3" s="21" t="s">
        <v>95</v>
      </c>
      <c r="B3" s="21"/>
      <c r="C3" s="21"/>
      <c r="D3" s="21"/>
      <c r="E3" s="21"/>
      <c r="F3" s="21"/>
    </row>
    <row r="4" spans="1:6" ht="24" customHeight="1">
      <c r="A4" s="22" t="s">
        <v>22</v>
      </c>
      <c r="B4" s="23" t="s">
        <v>26</v>
      </c>
      <c r="C4" s="24" t="s">
        <v>27</v>
      </c>
      <c r="D4" s="25" t="s">
        <v>28</v>
      </c>
      <c r="E4" s="26" t="s">
        <v>29</v>
      </c>
      <c r="F4" s="27" t="s">
        <v>30</v>
      </c>
    </row>
    <row r="5" spans="1:6" ht="17.25" customHeight="1">
      <c r="A5" s="29" t="s">
        <v>33</v>
      </c>
      <c r="B5" s="29"/>
      <c r="C5" s="29" t="s">
        <v>34</v>
      </c>
      <c r="D5" s="29"/>
      <c r="E5" s="29" t="s">
        <v>96</v>
      </c>
      <c r="F5" s="29"/>
    </row>
    <row r="6" spans="1:6" ht="33" customHeight="1">
      <c r="A6" s="31">
        <f>Register!$M$18</f>
        <v>0</v>
      </c>
      <c r="B6" s="31"/>
      <c r="C6" s="32">
        <f>Register!$N$18</f>
        <v>0</v>
      </c>
      <c r="D6" s="32"/>
      <c r="E6" s="41">
        <f>Register!$M$18-Register!$N$18</f>
        <v>0</v>
      </c>
      <c r="F6" s="41"/>
    </row>
    <row r="7" spans="1:6" ht="6.75" customHeight="1"/>
    <row r="10" spans="1:6" ht="27.75" customHeight="1">
      <c r="A10" s="42" t="s">
        <v>39</v>
      </c>
      <c r="B10" s="42" t="s">
        <v>45</v>
      </c>
      <c r="C10" s="42" t="s">
        <v>47</v>
      </c>
      <c r="D10" s="42" t="s">
        <v>97</v>
      </c>
      <c r="E10" s="42" t="s">
        <v>98</v>
      </c>
    </row>
    <row r="11" spans="1:6" ht="24" customHeight="1">
      <c r="A11" s="43" t="s">
        <v>53</v>
      </c>
      <c r="B11" s="37">
        <f>COUNTIF(Register!$D$10:$D$17,$A11)</f>
        <v>0</v>
      </c>
      <c r="C11" s="37">
        <f>SUMIF(Register!$D$10:$D$17,$A11,Register!$K$10:$K$17)</f>
        <v>0</v>
      </c>
      <c r="D11" s="44" t="s">
        <v>99</v>
      </c>
      <c r="E11" s="45">
        <f>IF($B11=0,"—","ثبت شده")</f>
        <v>0</v>
      </c>
    </row>
    <row r="12" spans="1:6" ht="24" customHeight="1">
      <c r="A12" s="43" t="s">
        <v>70</v>
      </c>
      <c r="B12" s="37">
        <f>COUNTIF(Register!$D$10:$D$17,$A12)</f>
        <v>0</v>
      </c>
      <c r="C12" s="37">
        <f>SUMIF(Register!$D$10:$D$17,$A12,Register!$K$10:$K$17)</f>
        <v>0</v>
      </c>
      <c r="D12" s="44" t="s">
        <v>100</v>
      </c>
      <c r="E12" s="45">
        <f>IF($B12=0,"—","ثبت شده")</f>
        <v>0</v>
      </c>
    </row>
    <row r="13" spans="1:6" ht="24" customHeight="1">
      <c r="A13" s="43" t="s">
        <v>75</v>
      </c>
      <c r="B13" s="37">
        <f>COUNTIF(Register!$D$10:$D$17,$A13)</f>
        <v>0</v>
      </c>
      <c r="C13" s="37">
        <f>SUMIF(Register!$D$10:$D$17,$A13,Register!$K$10:$K$17)</f>
        <v>0</v>
      </c>
      <c r="D13" s="44" t="s">
        <v>101</v>
      </c>
      <c r="E13" s="45">
        <f>IF($B13=0,"—","ثبت شده")</f>
        <v>0</v>
      </c>
    </row>
    <row r="14" spans="1:6" ht="24" customHeight="1">
      <c r="A14" s="43" t="s">
        <v>80</v>
      </c>
      <c r="B14" s="37">
        <f>COUNTIF(Register!$D$10:$D$17,$A14)</f>
        <v>0</v>
      </c>
      <c r="C14" s="37">
        <f>SUMIF(Register!$D$10:$D$17,$A14,Register!$K$10:$K$17)</f>
        <v>0</v>
      </c>
      <c r="D14" s="44" t="s">
        <v>102</v>
      </c>
      <c r="E14" s="45">
        <f>IF($B14=0,"—","ثبت شده")</f>
        <v>0</v>
      </c>
    </row>
    <row r="15" spans="1:6" ht="24" customHeight="1">
      <c r="A15" s="43" t="s">
        <v>84</v>
      </c>
      <c r="B15" s="37">
        <f>COUNTIF(Register!$D$10:$D$17,$A15)</f>
        <v>0</v>
      </c>
      <c r="C15" s="37">
        <f>SUMIF(Register!$D$10:$D$17,$A15,Register!$K$10:$K$17)</f>
        <v>0</v>
      </c>
      <c r="D15" s="44" t="s">
        <v>103</v>
      </c>
      <c r="E15" s="45">
        <f>IF($B15=0,"—","ثبت شده")</f>
        <v>0</v>
      </c>
    </row>
    <row r="16" spans="1:6" ht="24" customHeight="1">
      <c r="A16" s="43" t="s">
        <v>89</v>
      </c>
      <c r="B16" s="37">
        <f>COUNTIF(Register!$D$10:$D$17,$A16)</f>
        <v>0</v>
      </c>
      <c r="C16" s="37">
        <f>SUMIF(Register!$D$10:$D$17,$A16,Register!$K$10:$K$17)</f>
        <v>0</v>
      </c>
      <c r="D16" s="44" t="s">
        <v>104</v>
      </c>
      <c r="E16" s="45">
        <f>IF($B16=0,"—","ثبت شده")</f>
        <v>0</v>
      </c>
    </row>
  </sheetData>
  <mergeCells count="9">
    <mergeCell ref="B1:F1"/>
    <mergeCell ref="A2:F2"/>
    <mergeCell ref="A3:F3"/>
    <mergeCell ref="A5:B5"/>
    <mergeCell ref="A6:B6"/>
    <mergeCell ref="C5:D5"/>
    <mergeCell ref="C6:D6"/>
    <mergeCell ref="E5:F5"/>
    <mergeCell ref="E6:F6"/>
  </mergeCells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46" t="s">
        <v>105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96" ht="27.75" customHeight="1">
      <c r="A2" s="47" t="s">
        <v>106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96">
      <c r="A3" s="48" t="s">
        <v>107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8" spans="1:96">
      <c r="B8" s="49" t="s">
        <v>108</v>
      </c>
      <c r="C8" s="49"/>
      <c r="D8" s="49"/>
      <c r="E8" s="49"/>
      <c r="F8" s="49"/>
      <c r="G8" s="49"/>
      <c r="I8" s="50" t="s">
        <v>498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Y8" s="51" t="s">
        <v>525</v>
      </c>
      <c r="Z8" s="51"/>
      <c r="AA8" s="51"/>
      <c r="AB8" s="51"/>
      <c r="AC8" s="51"/>
      <c r="AD8" s="51"/>
      <c r="AE8" s="51"/>
      <c r="AF8" s="51"/>
      <c r="AH8" s="52" t="s">
        <v>556</v>
      </c>
      <c r="AI8" s="52"/>
      <c r="AK8" s="53" t="s">
        <v>572</v>
      </c>
      <c r="AL8" s="53"/>
      <c r="AM8" s="53"/>
      <c r="AN8" s="53"/>
      <c r="AO8" s="54" t="s">
        <v>590</v>
      </c>
      <c r="AP8" s="54"/>
      <c r="AR8" s="55" t="s">
        <v>608</v>
      </c>
      <c r="AS8" s="55"/>
      <c r="AU8" s="49" t="s">
        <v>626</v>
      </c>
      <c r="AW8" s="49" t="s">
        <v>628</v>
      </c>
      <c r="AX8" s="49" t="s">
        <v>75</v>
      </c>
      <c r="AZ8" s="49" t="s">
        <v>631</v>
      </c>
    </row>
    <row r="9" spans="1:96" ht="12.75" customHeight="1">
      <c r="B9" s="56" t="s">
        <v>109</v>
      </c>
      <c r="C9" s="56"/>
      <c r="D9" s="56"/>
      <c r="E9" s="56"/>
      <c r="F9" s="56"/>
      <c r="G9" s="56"/>
      <c r="I9" s="57" t="s">
        <v>499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Y9" s="58" t="s">
        <v>526</v>
      </c>
      <c r="Z9" s="58"/>
      <c r="AA9" s="58"/>
      <c r="AB9" s="58"/>
      <c r="AC9" s="58"/>
      <c r="AD9" s="58"/>
      <c r="AE9" s="58"/>
      <c r="AF9" s="58"/>
      <c r="AH9" s="59" t="s">
        <v>557</v>
      </c>
      <c r="AI9" s="59"/>
      <c r="AK9" s="60" t="s">
        <v>573</v>
      </c>
      <c r="AL9" s="60"/>
      <c r="AM9" s="60"/>
      <c r="AN9" s="60"/>
      <c r="AO9" s="61" t="s">
        <v>591</v>
      </c>
      <c r="AP9" s="61"/>
      <c r="AR9" s="62" t="s">
        <v>609</v>
      </c>
      <c r="AS9" s="62"/>
      <c r="AU9" s="56" t="s">
        <v>627</v>
      </c>
      <c r="AW9" s="56" t="s">
        <v>629</v>
      </c>
      <c r="AX9" s="56" t="s">
        <v>630</v>
      </c>
      <c r="AZ9" s="56" t="s">
        <v>632</v>
      </c>
    </row>
    <row r="10" spans="1:96">
      <c r="B10" s="63" t="s">
        <v>54</v>
      </c>
      <c r="C10" s="36" t="s">
        <v>110</v>
      </c>
      <c r="D10" s="63" t="s">
        <v>111</v>
      </c>
      <c r="E10" s="36" t="s">
        <v>112</v>
      </c>
      <c r="F10" s="36" t="s">
        <v>113</v>
      </c>
      <c r="G10" s="64">
        <v>0</v>
      </c>
      <c r="I10" s="36" t="s">
        <v>53</v>
      </c>
      <c r="J10" s="63" t="s">
        <v>28</v>
      </c>
      <c r="K10" s="63" t="s">
        <v>500</v>
      </c>
      <c r="L10" s="63" t="s">
        <v>501</v>
      </c>
      <c r="M10" s="63" t="s">
        <v>501</v>
      </c>
      <c r="N10" s="63" t="s">
        <v>502</v>
      </c>
      <c r="O10" s="63" t="s">
        <v>49</v>
      </c>
      <c r="P10" s="63" t="s">
        <v>272</v>
      </c>
      <c r="Q10" s="63" t="s">
        <v>48</v>
      </c>
      <c r="R10" s="63" t="s">
        <v>503</v>
      </c>
      <c r="S10" s="63" t="s">
        <v>504</v>
      </c>
      <c r="T10" s="63"/>
      <c r="U10" s="63"/>
      <c r="V10" s="63"/>
      <c r="W10" s="63" t="s">
        <v>501</v>
      </c>
      <c r="Y10" s="36" t="s">
        <v>61</v>
      </c>
      <c r="Z10" s="63" t="s">
        <v>527</v>
      </c>
      <c r="AA10" s="36" t="s">
        <v>528</v>
      </c>
      <c r="AB10" s="64">
        <v>1.5</v>
      </c>
      <c r="AC10" s="64">
        <v>6</v>
      </c>
      <c r="AD10" s="64">
        <v>45000</v>
      </c>
      <c r="AE10" s="64">
        <v>55000</v>
      </c>
      <c r="AF10" s="64">
        <v>1200</v>
      </c>
      <c r="AH10" s="36" t="s">
        <v>60</v>
      </c>
      <c r="AI10" s="36" t="s">
        <v>558</v>
      </c>
      <c r="AK10" s="63" t="s">
        <v>574</v>
      </c>
      <c r="AL10" s="36" t="s">
        <v>333</v>
      </c>
      <c r="AM10" s="64">
        <v>500000000</v>
      </c>
      <c r="AN10" s="63" t="s">
        <v>332</v>
      </c>
      <c r="AO10" s="63" t="s">
        <v>592</v>
      </c>
      <c r="AP10" s="64">
        <v>1.5</v>
      </c>
      <c r="AR10" s="36" t="s">
        <v>111</v>
      </c>
      <c r="AS10" s="36" t="s">
        <v>610</v>
      </c>
      <c r="AU10" s="36" t="s">
        <v>111</v>
      </c>
      <c r="AW10" s="36" t="s">
        <v>84</v>
      </c>
      <c r="AX10" s="63" t="s">
        <v>76</v>
      </c>
      <c r="AZ10" s="36" t="s">
        <v>53</v>
      </c>
      <c r="CA10" s="36" t="s">
        <v>633</v>
      </c>
      <c r="CB10" s="36" t="s">
        <v>558</v>
      </c>
      <c r="CC10" s="36" t="s">
        <v>28</v>
      </c>
      <c r="CD10" s="36" t="s">
        <v>501</v>
      </c>
      <c r="CE10" s="36" t="s">
        <v>113</v>
      </c>
      <c r="CF10" s="36" t="s">
        <v>637</v>
      </c>
      <c r="CG10" s="36" t="s">
        <v>643</v>
      </c>
      <c r="CH10" s="36" t="s">
        <v>647</v>
      </c>
      <c r="CI10" s="36" t="s">
        <v>503</v>
      </c>
      <c r="CJ10" s="36" t="s">
        <v>48</v>
      </c>
      <c r="CK10" s="36" t="s">
        <v>48</v>
      </c>
      <c r="CL10" s="36" t="s">
        <v>500</v>
      </c>
      <c r="CM10" s="36" t="s">
        <v>650</v>
      </c>
      <c r="CN10" s="36" t="s">
        <v>652</v>
      </c>
      <c r="CO10" s="36" t="s">
        <v>502</v>
      </c>
      <c r="CP10" s="36" t="s">
        <v>662</v>
      </c>
      <c r="CQ10" s="36" t="s">
        <v>670</v>
      </c>
      <c r="CR10" s="36" t="s">
        <v>674</v>
      </c>
    </row>
    <row r="11" spans="1:96">
      <c r="B11" s="63" t="s">
        <v>90</v>
      </c>
      <c r="C11" s="36" t="s">
        <v>114</v>
      </c>
      <c r="D11" s="63" t="s">
        <v>111</v>
      </c>
      <c r="E11" s="36" t="s">
        <v>115</v>
      </c>
      <c r="F11" s="36" t="s">
        <v>113</v>
      </c>
      <c r="G11" s="64">
        <v>0</v>
      </c>
      <c r="I11" s="36" t="s">
        <v>70</v>
      </c>
      <c r="J11" s="63" t="s">
        <v>29</v>
      </c>
      <c r="K11" s="63" t="s">
        <v>505</v>
      </c>
      <c r="L11" s="63" t="s">
        <v>501</v>
      </c>
      <c r="M11" s="63" t="s">
        <v>501</v>
      </c>
      <c r="N11" s="63" t="s">
        <v>502</v>
      </c>
      <c r="O11" s="63" t="s">
        <v>48</v>
      </c>
      <c r="P11" s="63" t="s">
        <v>277</v>
      </c>
      <c r="Q11" s="63" t="s">
        <v>49</v>
      </c>
      <c r="R11" s="63" t="s">
        <v>506</v>
      </c>
      <c r="S11" s="63" t="s">
        <v>48</v>
      </c>
      <c r="T11" s="63" t="s">
        <v>507</v>
      </c>
      <c r="U11" s="63" t="s">
        <v>265</v>
      </c>
      <c r="V11" s="63"/>
      <c r="W11" s="63" t="s">
        <v>501</v>
      </c>
      <c r="Y11" s="36" t="s">
        <v>529</v>
      </c>
      <c r="Z11" s="63" t="s">
        <v>530</v>
      </c>
      <c r="AA11" s="36" t="s">
        <v>531</v>
      </c>
      <c r="AB11" s="64">
        <v>1.5</v>
      </c>
      <c r="AC11" s="64">
        <v>6</v>
      </c>
      <c r="AD11" s="64">
        <v>48000</v>
      </c>
      <c r="AE11" s="64">
        <v>58000</v>
      </c>
      <c r="AF11" s="64">
        <v>400</v>
      </c>
      <c r="AH11" s="36" t="s">
        <v>91</v>
      </c>
      <c r="AI11" s="36" t="s">
        <v>558</v>
      </c>
      <c r="AK11" s="63" t="s">
        <v>507</v>
      </c>
      <c r="AL11" s="36" t="s">
        <v>338</v>
      </c>
      <c r="AM11" s="64">
        <v>0</v>
      </c>
      <c r="AN11" s="63" t="s">
        <v>337</v>
      </c>
      <c r="AO11" s="63" t="s">
        <v>593</v>
      </c>
      <c r="AP11" s="64">
        <v>1</v>
      </c>
      <c r="AR11" s="36" t="s">
        <v>111</v>
      </c>
      <c r="AS11" s="36" t="s">
        <v>611</v>
      </c>
      <c r="AU11" s="36" t="s">
        <v>226</v>
      </c>
      <c r="AW11" s="36" t="s">
        <v>281</v>
      </c>
      <c r="AX11" s="63" t="s">
        <v>479</v>
      </c>
      <c r="AZ11" s="36" t="s">
        <v>70</v>
      </c>
      <c r="CA11" s="36" t="s">
        <v>43</v>
      </c>
      <c r="CB11" s="36" t="s">
        <v>562</v>
      </c>
      <c r="CC11" s="36" t="s">
        <v>29</v>
      </c>
      <c r="CD11" s="36" t="s">
        <v>511</v>
      </c>
      <c r="CE11" s="36" t="s">
        <v>268</v>
      </c>
      <c r="CF11" s="36" t="s">
        <v>638</v>
      </c>
      <c r="CG11" s="36" t="s">
        <v>644</v>
      </c>
      <c r="CH11" s="36" t="s">
        <v>648</v>
      </c>
      <c r="CI11" s="36" t="s">
        <v>506</v>
      </c>
      <c r="CJ11" s="36" t="s">
        <v>49</v>
      </c>
      <c r="CK11" s="36" t="s">
        <v>49</v>
      </c>
      <c r="CL11" s="36" t="s">
        <v>505</v>
      </c>
      <c r="CM11" s="36" t="s">
        <v>651</v>
      </c>
      <c r="CN11" s="36" t="s">
        <v>653</v>
      </c>
      <c r="CO11" s="36" t="s">
        <v>47</v>
      </c>
      <c r="CP11" s="36" t="s">
        <v>663</v>
      </c>
      <c r="CQ11" s="36" t="s">
        <v>671</v>
      </c>
      <c r="CR11" s="36" t="s">
        <v>675</v>
      </c>
    </row>
    <row r="12" spans="1:96">
      <c r="B12" s="63" t="s">
        <v>59</v>
      </c>
      <c r="C12" s="36" t="s">
        <v>116</v>
      </c>
      <c r="D12" s="63" t="s">
        <v>111</v>
      </c>
      <c r="E12" s="36" t="s">
        <v>117</v>
      </c>
      <c r="F12" s="36" t="s">
        <v>113</v>
      </c>
      <c r="G12" s="64">
        <v>0</v>
      </c>
      <c r="I12" s="36" t="s">
        <v>508</v>
      </c>
      <c r="J12" s="63" t="s">
        <v>29</v>
      </c>
      <c r="K12" s="63" t="s">
        <v>505</v>
      </c>
      <c r="L12" s="63" t="s">
        <v>501</v>
      </c>
      <c r="M12" s="63" t="s">
        <v>501</v>
      </c>
      <c r="N12" s="63" t="s">
        <v>502</v>
      </c>
      <c r="O12" s="63" t="s">
        <v>48</v>
      </c>
      <c r="P12" s="63" t="s">
        <v>277</v>
      </c>
      <c r="Q12" s="63" t="s">
        <v>49</v>
      </c>
      <c r="R12" s="63" t="s">
        <v>506</v>
      </c>
      <c r="S12" s="63" t="s">
        <v>48</v>
      </c>
      <c r="T12" s="63" t="s">
        <v>507</v>
      </c>
      <c r="U12" s="63" t="s">
        <v>265</v>
      </c>
      <c r="V12" s="63"/>
      <c r="W12" s="63" t="s">
        <v>501</v>
      </c>
      <c r="Y12" s="36" t="s">
        <v>56</v>
      </c>
      <c r="Z12" s="63" t="s">
        <v>532</v>
      </c>
      <c r="AA12" s="36" t="s">
        <v>533</v>
      </c>
      <c r="AB12" s="64">
        <v>1.9</v>
      </c>
      <c r="AC12" s="64">
        <v>9</v>
      </c>
      <c r="AD12" s="64">
        <v>62000</v>
      </c>
      <c r="AE12" s="64">
        <v>75000</v>
      </c>
      <c r="AF12" s="64">
        <v>800</v>
      </c>
      <c r="AH12" s="36" t="s">
        <v>559</v>
      </c>
      <c r="AI12" s="36" t="s">
        <v>558</v>
      </c>
      <c r="AK12" s="63" t="s">
        <v>575</v>
      </c>
      <c r="AL12" s="36" t="s">
        <v>576</v>
      </c>
      <c r="AM12" s="64">
        <v>0</v>
      </c>
      <c r="AN12" s="63" t="s">
        <v>339</v>
      </c>
      <c r="AO12" s="63" t="s">
        <v>594</v>
      </c>
      <c r="AP12" s="64">
        <v>1000</v>
      </c>
      <c r="AR12" s="36" t="s">
        <v>111</v>
      </c>
      <c r="AS12" s="36" t="s">
        <v>112</v>
      </c>
      <c r="AU12" s="36" t="s">
        <v>237</v>
      </c>
      <c r="AW12" s="36" t="s">
        <v>522</v>
      </c>
      <c r="AX12" s="63" t="s">
        <v>480</v>
      </c>
      <c r="AZ12" s="36" t="s">
        <v>508</v>
      </c>
      <c r="CA12" s="36" t="s">
        <v>634</v>
      </c>
      <c r="CB12" s="36" t="s">
        <v>566</v>
      </c>
      <c r="CC12" s="36" t="s">
        <v>504</v>
      </c>
      <c r="CF12" s="36" t="s">
        <v>639</v>
      </c>
      <c r="CG12" s="36" t="s">
        <v>645</v>
      </c>
      <c r="CI12" s="36" t="s">
        <v>509</v>
      </c>
      <c r="CJ12" s="36" t="s">
        <v>504</v>
      </c>
      <c r="CK12" s="36" t="s">
        <v>27</v>
      </c>
      <c r="CL12" s="36" t="s">
        <v>89</v>
      </c>
      <c r="CN12" s="36" t="s">
        <v>654</v>
      </c>
      <c r="CO12" s="36" t="s">
        <v>509</v>
      </c>
      <c r="CP12" s="36" t="s">
        <v>664</v>
      </c>
      <c r="CQ12" s="36" t="s">
        <v>672</v>
      </c>
    </row>
    <row r="13" spans="1:96">
      <c r="B13" s="63" t="s">
        <v>118</v>
      </c>
      <c r="C13" s="36" t="s">
        <v>119</v>
      </c>
      <c r="D13" s="63" t="s">
        <v>111</v>
      </c>
      <c r="E13" s="36"/>
      <c r="F13" s="36" t="s">
        <v>113</v>
      </c>
      <c r="G13" s="64">
        <v>0</v>
      </c>
      <c r="I13" s="36" t="s">
        <v>89</v>
      </c>
      <c r="J13" s="63" t="s">
        <v>29</v>
      </c>
      <c r="K13" s="63" t="s">
        <v>89</v>
      </c>
      <c r="L13" s="63" t="s">
        <v>501</v>
      </c>
      <c r="M13" s="63" t="s">
        <v>501</v>
      </c>
      <c r="N13" s="63" t="s">
        <v>47</v>
      </c>
      <c r="O13" s="63" t="s">
        <v>27</v>
      </c>
      <c r="P13" s="63" t="s">
        <v>282</v>
      </c>
      <c r="Q13" s="63" t="s">
        <v>27</v>
      </c>
      <c r="R13" s="63" t="s">
        <v>509</v>
      </c>
      <c r="S13" s="63" t="s">
        <v>504</v>
      </c>
      <c r="T13" s="63"/>
      <c r="U13" s="63"/>
      <c r="V13" s="63"/>
      <c r="W13" s="63" t="s">
        <v>501</v>
      </c>
      <c r="Y13" s="36" t="s">
        <v>534</v>
      </c>
      <c r="Z13" s="63" t="s">
        <v>535</v>
      </c>
      <c r="AA13" s="36" t="s">
        <v>536</v>
      </c>
      <c r="AB13" s="64">
        <v>1.3</v>
      </c>
      <c r="AC13" s="64">
        <v>5</v>
      </c>
      <c r="AD13" s="64">
        <v>40000</v>
      </c>
      <c r="AE13" s="64">
        <v>50000</v>
      </c>
      <c r="AF13" s="64">
        <v>300</v>
      </c>
      <c r="AH13" s="36" t="s">
        <v>560</v>
      </c>
      <c r="AI13" s="36" t="s">
        <v>558</v>
      </c>
      <c r="AK13" s="63" t="s">
        <v>577</v>
      </c>
      <c r="AL13" s="36" t="s">
        <v>578</v>
      </c>
      <c r="AM13" s="64">
        <v>0</v>
      </c>
      <c r="AN13" s="63" t="s">
        <v>341</v>
      </c>
      <c r="AO13" s="63" t="s">
        <v>595</v>
      </c>
      <c r="AP13" s="36" t="s">
        <v>596</v>
      </c>
      <c r="AR13" s="36" t="s">
        <v>111</v>
      </c>
      <c r="AS13" s="36" t="s">
        <v>117</v>
      </c>
      <c r="AU13" s="36" t="s">
        <v>618</v>
      </c>
      <c r="AW13" s="36" t="s">
        <v>523</v>
      </c>
      <c r="AX13" s="63" t="s">
        <v>481</v>
      </c>
      <c r="AZ13" s="36" t="s">
        <v>89</v>
      </c>
      <c r="CA13" s="36" t="s">
        <v>635</v>
      </c>
      <c r="CB13" s="36" t="s">
        <v>569</v>
      </c>
      <c r="CF13" s="36" t="s">
        <v>640</v>
      </c>
      <c r="CG13" s="36" t="s">
        <v>646</v>
      </c>
      <c r="CI13" s="36" t="s">
        <v>504</v>
      </c>
      <c r="CK13" s="36" t="s">
        <v>504</v>
      </c>
      <c r="CL13" s="36" t="s">
        <v>510</v>
      </c>
      <c r="CN13" s="36" t="s">
        <v>655</v>
      </c>
      <c r="CO13" s="36" t="s">
        <v>504</v>
      </c>
      <c r="CP13" s="36" t="s">
        <v>665</v>
      </c>
      <c r="CQ13" s="36" t="s">
        <v>673</v>
      </c>
    </row>
    <row r="14" spans="1:96">
      <c r="B14" s="63" t="s">
        <v>120</v>
      </c>
      <c r="C14" s="36" t="s">
        <v>121</v>
      </c>
      <c r="D14" s="63" t="s">
        <v>111</v>
      </c>
      <c r="E14" s="36"/>
      <c r="F14" s="36" t="s">
        <v>113</v>
      </c>
      <c r="G14" s="64">
        <v>0</v>
      </c>
      <c r="I14" s="36" t="s">
        <v>80</v>
      </c>
      <c r="J14" s="63" t="s">
        <v>504</v>
      </c>
      <c r="K14" s="63" t="s">
        <v>510</v>
      </c>
      <c r="L14" s="63" t="s">
        <v>511</v>
      </c>
      <c r="M14" s="63" t="s">
        <v>511</v>
      </c>
      <c r="N14" s="63" t="s">
        <v>47</v>
      </c>
      <c r="O14" s="63" t="s">
        <v>49</v>
      </c>
      <c r="P14" s="63" t="s">
        <v>507</v>
      </c>
      <c r="Q14" s="63" t="s">
        <v>48</v>
      </c>
      <c r="R14" s="63" t="s">
        <v>509</v>
      </c>
      <c r="S14" s="63" t="s">
        <v>504</v>
      </c>
      <c r="T14" s="63"/>
      <c r="U14" s="63"/>
      <c r="V14" s="63" t="s">
        <v>262</v>
      </c>
      <c r="W14" s="63" t="s">
        <v>501</v>
      </c>
      <c r="Y14" s="36" t="s">
        <v>537</v>
      </c>
      <c r="Z14" s="63" t="s">
        <v>538</v>
      </c>
      <c r="AA14" s="36" t="s">
        <v>539</v>
      </c>
      <c r="AB14" s="64">
        <v>2</v>
      </c>
      <c r="AC14" s="64">
        <v>10</v>
      </c>
      <c r="AD14" s="64">
        <v>70000</v>
      </c>
      <c r="AE14" s="64">
        <v>85000</v>
      </c>
      <c r="AF14" s="64">
        <v>250</v>
      </c>
      <c r="AH14" s="36" t="s">
        <v>561</v>
      </c>
      <c r="AI14" s="36" t="s">
        <v>558</v>
      </c>
      <c r="AK14" s="63" t="s">
        <v>579</v>
      </c>
      <c r="AL14" s="36" t="s">
        <v>580</v>
      </c>
      <c r="AM14" s="64">
        <v>0</v>
      </c>
      <c r="AN14" s="63" t="s">
        <v>343</v>
      </c>
      <c r="AO14" s="63" t="s">
        <v>597</v>
      </c>
      <c r="AP14" s="64">
        <v>100</v>
      </c>
      <c r="AR14" s="36" t="s">
        <v>111</v>
      </c>
      <c r="AS14" s="36" t="s">
        <v>115</v>
      </c>
      <c r="AU14" s="36" t="s">
        <v>245</v>
      </c>
      <c r="AW14" s="36" t="s">
        <v>524</v>
      </c>
      <c r="AX14" s="63" t="s">
        <v>482</v>
      </c>
      <c r="AZ14" s="36" t="s">
        <v>80</v>
      </c>
      <c r="CA14" s="36" t="s">
        <v>636</v>
      </c>
      <c r="CB14" s="36" t="s">
        <v>519</v>
      </c>
      <c r="CF14" s="36" t="s">
        <v>641</v>
      </c>
      <c r="CL14" s="36" t="s">
        <v>75</v>
      </c>
      <c r="CN14" s="36" t="s">
        <v>656</v>
      </c>
      <c r="CP14" s="36" t="s">
        <v>666</v>
      </c>
    </row>
    <row r="15" spans="1:96">
      <c r="B15" s="63" t="s">
        <v>65</v>
      </c>
      <c r="C15" s="36" t="s">
        <v>122</v>
      </c>
      <c r="D15" s="63" t="s">
        <v>111</v>
      </c>
      <c r="E15" s="36"/>
      <c r="F15" s="36" t="s">
        <v>113</v>
      </c>
      <c r="G15" s="64">
        <v>0</v>
      </c>
      <c r="I15" s="36" t="s">
        <v>75</v>
      </c>
      <c r="J15" s="63" t="s">
        <v>504</v>
      </c>
      <c r="K15" s="63" t="s">
        <v>75</v>
      </c>
      <c r="L15" s="63" t="s">
        <v>511</v>
      </c>
      <c r="M15" s="63" t="s">
        <v>501</v>
      </c>
      <c r="N15" s="63" t="s">
        <v>47</v>
      </c>
      <c r="O15" s="63" t="s">
        <v>48</v>
      </c>
      <c r="P15" s="63" t="s">
        <v>265</v>
      </c>
      <c r="Q15" s="63" t="s">
        <v>49</v>
      </c>
      <c r="R15" s="63" t="s">
        <v>509</v>
      </c>
      <c r="S15" s="63" t="s">
        <v>504</v>
      </c>
      <c r="T15" s="63"/>
      <c r="U15" s="63"/>
      <c r="V15" s="63"/>
      <c r="W15" s="63" t="s">
        <v>501</v>
      </c>
      <c r="Y15" s="36" t="s">
        <v>540</v>
      </c>
      <c r="Z15" s="63" t="s">
        <v>541</v>
      </c>
      <c r="AA15" s="36" t="s">
        <v>542</v>
      </c>
      <c r="AB15" s="64">
        <v>1.1</v>
      </c>
      <c r="AC15" s="64">
        <v>4</v>
      </c>
      <c r="AD15" s="64">
        <v>35000</v>
      </c>
      <c r="AE15" s="64">
        <v>45000</v>
      </c>
      <c r="AF15" s="64">
        <v>150</v>
      </c>
      <c r="AH15" s="36" t="s">
        <v>55</v>
      </c>
      <c r="AI15" s="36" t="s">
        <v>562</v>
      </c>
      <c r="AK15" s="63" t="s">
        <v>581</v>
      </c>
      <c r="AL15" s="36" t="s">
        <v>582</v>
      </c>
      <c r="AM15" s="64">
        <v>0</v>
      </c>
      <c r="AN15" s="63" t="s">
        <v>345</v>
      </c>
      <c r="AO15" s="63" t="s">
        <v>598</v>
      </c>
      <c r="AP15" s="64">
        <v>0</v>
      </c>
      <c r="AR15" s="36" t="s">
        <v>111</v>
      </c>
      <c r="AS15" s="36" t="s">
        <v>612</v>
      </c>
      <c r="AU15" s="36" t="s">
        <v>263</v>
      </c>
      <c r="AX15" s="63" t="s">
        <v>483</v>
      </c>
      <c r="AZ15" s="36" t="s">
        <v>75</v>
      </c>
      <c r="CA15" s="36" t="s">
        <v>606</v>
      </c>
      <c r="CF15" s="36" t="s">
        <v>642</v>
      </c>
      <c r="CL15" s="36" t="s">
        <v>279</v>
      </c>
      <c r="CN15" s="36" t="s">
        <v>657</v>
      </c>
      <c r="CP15" s="36" t="s">
        <v>667</v>
      </c>
    </row>
    <row r="16" spans="1:96">
      <c r="B16" s="63" t="s">
        <v>123</v>
      </c>
      <c r="C16" s="36" t="s">
        <v>124</v>
      </c>
      <c r="D16" s="63" t="s">
        <v>111</v>
      </c>
      <c r="E16" s="36"/>
      <c r="F16" s="36" t="s">
        <v>113</v>
      </c>
      <c r="G16" s="64">
        <v>0</v>
      </c>
      <c r="I16" s="36" t="s">
        <v>512</v>
      </c>
      <c r="J16" s="63" t="s">
        <v>504</v>
      </c>
      <c r="K16" s="63" t="s">
        <v>279</v>
      </c>
      <c r="L16" s="63" t="s">
        <v>511</v>
      </c>
      <c r="M16" s="63" t="s">
        <v>511</v>
      </c>
      <c r="N16" s="63" t="s">
        <v>47</v>
      </c>
      <c r="O16" s="63" t="s">
        <v>504</v>
      </c>
      <c r="P16" s="63"/>
      <c r="Q16" s="63" t="s">
        <v>504</v>
      </c>
      <c r="R16" s="63" t="s">
        <v>506</v>
      </c>
      <c r="S16" s="63" t="s">
        <v>48</v>
      </c>
      <c r="T16" s="63" t="s">
        <v>507</v>
      </c>
      <c r="U16" s="63" t="s">
        <v>265</v>
      </c>
      <c r="V16" s="63"/>
      <c r="W16" s="63" t="s">
        <v>501</v>
      </c>
      <c r="Y16" s="36" t="s">
        <v>543</v>
      </c>
      <c r="Z16" s="63" t="s">
        <v>544</v>
      </c>
      <c r="AA16" s="36" t="s">
        <v>545</v>
      </c>
      <c r="AB16" s="64">
        <v>1.8</v>
      </c>
      <c r="AC16" s="64">
        <v>8</v>
      </c>
      <c r="AD16" s="64">
        <v>58000</v>
      </c>
      <c r="AE16" s="64">
        <v>70000</v>
      </c>
      <c r="AF16" s="64">
        <v>200</v>
      </c>
      <c r="AH16" s="36" t="s">
        <v>563</v>
      </c>
      <c r="AI16" s="36" t="s">
        <v>562</v>
      </c>
      <c r="AK16" s="63" t="s">
        <v>583</v>
      </c>
      <c r="AL16" s="36" t="s">
        <v>584</v>
      </c>
      <c r="AM16" s="64">
        <v>0</v>
      </c>
      <c r="AN16" s="63" t="s">
        <v>347</v>
      </c>
      <c r="AO16" s="63" t="s">
        <v>599</v>
      </c>
      <c r="AP16" s="36" t="s">
        <v>600</v>
      </c>
      <c r="AR16" s="36" t="s">
        <v>226</v>
      </c>
      <c r="AS16" s="36" t="s">
        <v>227</v>
      </c>
      <c r="AU16" s="36" t="s">
        <v>75</v>
      </c>
      <c r="AX16" s="63" t="s">
        <v>484</v>
      </c>
      <c r="AZ16" s="36" t="s">
        <v>512</v>
      </c>
      <c r="CL16" s="36" t="s">
        <v>286</v>
      </c>
      <c r="CN16" s="36" t="s">
        <v>658</v>
      </c>
      <c r="CP16" s="36" t="s">
        <v>668</v>
      </c>
    </row>
    <row r="17" spans="2:94">
      <c r="B17" s="63" t="s">
        <v>125</v>
      </c>
      <c r="C17" s="36" t="s">
        <v>126</v>
      </c>
      <c r="D17" s="63" t="s">
        <v>111</v>
      </c>
      <c r="E17" s="36"/>
      <c r="F17" s="36" t="s">
        <v>113</v>
      </c>
      <c r="G17" s="64">
        <v>0</v>
      </c>
      <c r="I17" s="36" t="s">
        <v>513</v>
      </c>
      <c r="J17" s="63" t="s">
        <v>29</v>
      </c>
      <c r="K17" s="63" t="s">
        <v>500</v>
      </c>
      <c r="L17" s="63" t="s">
        <v>501</v>
      </c>
      <c r="M17" s="63" t="s">
        <v>501</v>
      </c>
      <c r="N17" s="63" t="s">
        <v>502</v>
      </c>
      <c r="O17" s="63" t="s">
        <v>48</v>
      </c>
      <c r="P17" s="63" t="s">
        <v>272</v>
      </c>
      <c r="Q17" s="63" t="s">
        <v>49</v>
      </c>
      <c r="R17" s="63" t="s">
        <v>503</v>
      </c>
      <c r="S17" s="63" t="s">
        <v>504</v>
      </c>
      <c r="T17" s="63"/>
      <c r="U17" s="63"/>
      <c r="V17" s="63"/>
      <c r="W17" s="63" t="s">
        <v>501</v>
      </c>
      <c r="Y17" s="36" t="s">
        <v>546</v>
      </c>
      <c r="Z17" s="63" t="s">
        <v>547</v>
      </c>
      <c r="AA17" s="36"/>
      <c r="AB17" s="64">
        <v>1.5</v>
      </c>
      <c r="AC17" s="64">
        <v>6</v>
      </c>
      <c r="AD17" s="64">
        <v>0</v>
      </c>
      <c r="AE17" s="64">
        <v>0</v>
      </c>
      <c r="AF17" s="64">
        <v>0</v>
      </c>
      <c r="AH17" s="36" t="s">
        <v>66</v>
      </c>
      <c r="AI17" s="36" t="s">
        <v>562</v>
      </c>
      <c r="AK17" s="63" t="s">
        <v>585</v>
      </c>
      <c r="AL17" s="36" t="s">
        <v>586</v>
      </c>
      <c r="AM17" s="64">
        <v>0</v>
      </c>
      <c r="AN17" s="63" t="s">
        <v>349</v>
      </c>
      <c r="AO17" s="63" t="s">
        <v>601</v>
      </c>
      <c r="AP17" s="36" t="s">
        <v>602</v>
      </c>
      <c r="AR17" s="36" t="s">
        <v>226</v>
      </c>
      <c r="AS17" s="36" t="s">
        <v>613</v>
      </c>
      <c r="AU17" s="36" t="s">
        <v>314</v>
      </c>
      <c r="AX17" s="63" t="s">
        <v>485</v>
      </c>
      <c r="AZ17" s="36" t="s">
        <v>513</v>
      </c>
      <c r="CL17" s="36" t="s">
        <v>517</v>
      </c>
      <c r="CN17" s="36" t="s">
        <v>659</v>
      </c>
      <c r="CP17" s="36" t="s">
        <v>669</v>
      </c>
    </row>
    <row r="18" spans="2:94">
      <c r="B18" s="63" t="s">
        <v>127</v>
      </c>
      <c r="C18" s="36" t="s">
        <v>128</v>
      </c>
      <c r="D18" s="63" t="s">
        <v>111</v>
      </c>
      <c r="E18" s="36"/>
      <c r="F18" s="36" t="s">
        <v>113</v>
      </c>
      <c r="G18" s="64">
        <v>0</v>
      </c>
      <c r="I18" s="36" t="s">
        <v>514</v>
      </c>
      <c r="J18" s="63" t="s">
        <v>28</v>
      </c>
      <c r="K18" s="63" t="s">
        <v>505</v>
      </c>
      <c r="L18" s="63" t="s">
        <v>501</v>
      </c>
      <c r="M18" s="63" t="s">
        <v>501</v>
      </c>
      <c r="N18" s="63" t="s">
        <v>502</v>
      </c>
      <c r="O18" s="63" t="s">
        <v>49</v>
      </c>
      <c r="P18" s="63" t="s">
        <v>277</v>
      </c>
      <c r="Q18" s="63" t="s">
        <v>48</v>
      </c>
      <c r="R18" s="63" t="s">
        <v>509</v>
      </c>
      <c r="S18" s="63" t="s">
        <v>504</v>
      </c>
      <c r="T18" s="63"/>
      <c r="U18" s="63"/>
      <c r="V18" s="63"/>
      <c r="W18" s="63" t="s">
        <v>501</v>
      </c>
      <c r="Y18" s="36" t="s">
        <v>548</v>
      </c>
      <c r="Z18" s="63" t="s">
        <v>549</v>
      </c>
      <c r="AA18" s="36"/>
      <c r="AB18" s="64">
        <v>1.5</v>
      </c>
      <c r="AC18" s="64">
        <v>6</v>
      </c>
      <c r="AD18" s="64">
        <v>0</v>
      </c>
      <c r="AE18" s="64">
        <v>0</v>
      </c>
      <c r="AF18" s="64">
        <v>0</v>
      </c>
      <c r="AH18" s="36" t="s">
        <v>564</v>
      </c>
      <c r="AI18" s="36" t="s">
        <v>562</v>
      </c>
      <c r="AK18" s="63" t="s">
        <v>587</v>
      </c>
      <c r="AL18" s="36" t="s">
        <v>588</v>
      </c>
      <c r="AM18" s="64">
        <v>0</v>
      </c>
      <c r="AN18" s="63" t="s">
        <v>351</v>
      </c>
      <c r="AO18" s="63" t="s">
        <v>603</v>
      </c>
      <c r="AP18" s="64">
        <v>500000000</v>
      </c>
      <c r="AR18" s="36" t="s">
        <v>226</v>
      </c>
      <c r="AS18" s="36" t="s">
        <v>115</v>
      </c>
      <c r="AU18" s="36" t="s">
        <v>324</v>
      </c>
      <c r="AX18" s="63" t="s">
        <v>486</v>
      </c>
      <c r="AZ18" s="36" t="s">
        <v>514</v>
      </c>
      <c r="CL18" s="36" t="s">
        <v>519</v>
      </c>
      <c r="CN18" s="36" t="s">
        <v>660</v>
      </c>
    </row>
    <row r="19" spans="2:94">
      <c r="B19" s="63" t="s">
        <v>129</v>
      </c>
      <c r="C19" s="36" t="s">
        <v>130</v>
      </c>
      <c r="D19" s="63" t="s">
        <v>111</v>
      </c>
      <c r="E19" s="36"/>
      <c r="F19" s="36" t="s">
        <v>113</v>
      </c>
      <c r="G19" s="64">
        <v>0</v>
      </c>
      <c r="I19" s="36" t="s">
        <v>515</v>
      </c>
      <c r="J19" s="63" t="s">
        <v>29</v>
      </c>
      <c r="K19" s="63" t="s">
        <v>286</v>
      </c>
      <c r="L19" s="63" t="s">
        <v>501</v>
      </c>
      <c r="M19" s="63" t="s">
        <v>501</v>
      </c>
      <c r="N19" s="63" t="s">
        <v>502</v>
      </c>
      <c r="O19" s="63" t="s">
        <v>49</v>
      </c>
      <c r="P19" s="63" t="s">
        <v>284</v>
      </c>
      <c r="Q19" s="63" t="s">
        <v>48</v>
      </c>
      <c r="R19" s="63" t="s">
        <v>509</v>
      </c>
      <c r="S19" s="63" t="s">
        <v>504</v>
      </c>
      <c r="T19" s="63"/>
      <c r="U19" s="63"/>
      <c r="V19" s="63" t="s">
        <v>272</v>
      </c>
      <c r="W19" s="63" t="s">
        <v>501</v>
      </c>
      <c r="Y19" s="36" t="s">
        <v>550</v>
      </c>
      <c r="Z19" s="63" t="s">
        <v>551</v>
      </c>
      <c r="AA19" s="36"/>
      <c r="AB19" s="64">
        <v>1.5</v>
      </c>
      <c r="AC19" s="64">
        <v>6</v>
      </c>
      <c r="AD19" s="64">
        <v>0</v>
      </c>
      <c r="AE19" s="64">
        <v>0</v>
      </c>
      <c r="AF19" s="64">
        <v>0</v>
      </c>
      <c r="AH19" s="36" t="s">
        <v>565</v>
      </c>
      <c r="AI19" s="36" t="s">
        <v>566</v>
      </c>
      <c r="AK19" s="63" t="s">
        <v>589</v>
      </c>
      <c r="AL19" s="36" t="s">
        <v>354</v>
      </c>
      <c r="AM19" s="64">
        <v>0</v>
      </c>
      <c r="AN19" s="63" t="s">
        <v>353</v>
      </c>
      <c r="AO19" s="63" t="s">
        <v>604</v>
      </c>
      <c r="AP19" s="64">
        <v>30</v>
      </c>
      <c r="AR19" s="36" t="s">
        <v>226</v>
      </c>
      <c r="AS19" s="36" t="s">
        <v>614</v>
      </c>
      <c r="AU19" s="36" t="s">
        <v>328</v>
      </c>
      <c r="AX19" s="63" t="s">
        <v>487</v>
      </c>
      <c r="AZ19" s="36" t="s">
        <v>515</v>
      </c>
      <c r="CL19" s="36" t="s">
        <v>649</v>
      </c>
      <c r="CN19" s="36" t="s">
        <v>661</v>
      </c>
    </row>
    <row r="20" spans="2:94">
      <c r="B20" s="63" t="s">
        <v>131</v>
      </c>
      <c r="C20" s="36" t="s">
        <v>132</v>
      </c>
      <c r="D20" s="63" t="s">
        <v>111</v>
      </c>
      <c r="E20" s="36"/>
      <c r="F20" s="36" t="s">
        <v>113</v>
      </c>
      <c r="G20" s="64">
        <v>0</v>
      </c>
      <c r="I20" s="36" t="s">
        <v>516</v>
      </c>
      <c r="J20" s="63" t="s">
        <v>29</v>
      </c>
      <c r="K20" s="63" t="s">
        <v>517</v>
      </c>
      <c r="L20" s="63" t="s">
        <v>501</v>
      </c>
      <c r="M20" s="63" t="s">
        <v>511</v>
      </c>
      <c r="N20" s="63" t="s">
        <v>509</v>
      </c>
      <c r="O20" s="63" t="s">
        <v>504</v>
      </c>
      <c r="P20" s="63"/>
      <c r="Q20" s="63" t="s">
        <v>504</v>
      </c>
      <c r="R20" s="63" t="s">
        <v>509</v>
      </c>
      <c r="S20" s="63" t="s">
        <v>504</v>
      </c>
      <c r="T20" s="63"/>
      <c r="U20" s="63"/>
      <c r="V20" s="63"/>
      <c r="W20" s="63" t="s">
        <v>501</v>
      </c>
      <c r="Y20" s="36" t="s">
        <v>552</v>
      </c>
      <c r="Z20" s="63" t="s">
        <v>553</v>
      </c>
      <c r="AA20" s="36"/>
      <c r="AB20" s="64">
        <v>1.5</v>
      </c>
      <c r="AC20" s="64">
        <v>6</v>
      </c>
      <c r="AD20" s="64">
        <v>0</v>
      </c>
      <c r="AE20" s="64">
        <v>0</v>
      </c>
      <c r="AF20" s="64">
        <v>0</v>
      </c>
      <c r="AH20" s="36" t="s">
        <v>567</v>
      </c>
      <c r="AI20" s="36" t="s">
        <v>566</v>
      </c>
      <c r="AO20" s="63" t="s">
        <v>605</v>
      </c>
      <c r="AP20" s="36" t="s">
        <v>606</v>
      </c>
      <c r="AR20" s="36" t="s">
        <v>226</v>
      </c>
      <c r="AS20" s="36" t="s">
        <v>615</v>
      </c>
      <c r="AU20" s="36" t="s">
        <v>334</v>
      </c>
      <c r="AX20" s="63" t="s">
        <v>488</v>
      </c>
      <c r="AZ20" s="36" t="s">
        <v>516</v>
      </c>
    </row>
    <row r="21" spans="2:94">
      <c r="B21" s="63" t="s">
        <v>133</v>
      </c>
      <c r="C21" s="36" t="s">
        <v>134</v>
      </c>
      <c r="D21" s="63" t="s">
        <v>111</v>
      </c>
      <c r="E21" s="36"/>
      <c r="F21" s="36" t="s">
        <v>113</v>
      </c>
      <c r="G21" s="64">
        <v>0</v>
      </c>
      <c r="I21" s="36" t="s">
        <v>518</v>
      </c>
      <c r="J21" s="63" t="s">
        <v>28</v>
      </c>
      <c r="K21" s="63" t="s">
        <v>519</v>
      </c>
      <c r="L21" s="63" t="s">
        <v>501</v>
      </c>
      <c r="M21" s="63" t="s">
        <v>501</v>
      </c>
      <c r="N21" s="63" t="s">
        <v>502</v>
      </c>
      <c r="O21" s="63" t="s">
        <v>49</v>
      </c>
      <c r="P21" s="63" t="s">
        <v>290</v>
      </c>
      <c r="Q21" s="63" t="s">
        <v>48</v>
      </c>
      <c r="R21" s="63" t="s">
        <v>503</v>
      </c>
      <c r="S21" s="63" t="s">
        <v>504</v>
      </c>
      <c r="T21" s="63"/>
      <c r="U21" s="63"/>
      <c r="V21" s="63"/>
      <c r="W21" s="63" t="s">
        <v>501</v>
      </c>
      <c r="Y21" s="36" t="s">
        <v>554</v>
      </c>
      <c r="Z21" s="63" t="s">
        <v>555</v>
      </c>
      <c r="AA21" s="36"/>
      <c r="AB21" s="64">
        <v>1.5</v>
      </c>
      <c r="AC21" s="64">
        <v>6</v>
      </c>
      <c r="AD21" s="64">
        <v>0</v>
      </c>
      <c r="AE21" s="64">
        <v>0</v>
      </c>
      <c r="AF21" s="64">
        <v>0</v>
      </c>
      <c r="AH21" s="36" t="s">
        <v>568</v>
      </c>
      <c r="AI21" s="36" t="s">
        <v>519</v>
      </c>
      <c r="AO21" s="63" t="s">
        <v>607</v>
      </c>
      <c r="AP21" s="36" t="s">
        <v>511</v>
      </c>
      <c r="AR21" s="36" t="s">
        <v>237</v>
      </c>
      <c r="AS21" s="36" t="s">
        <v>238</v>
      </c>
      <c r="AX21" s="63" t="s">
        <v>489</v>
      </c>
      <c r="AZ21" s="36" t="s">
        <v>518</v>
      </c>
    </row>
    <row r="22" spans="2:94">
      <c r="B22" s="63" t="s">
        <v>135</v>
      </c>
      <c r="C22" s="36" t="s">
        <v>136</v>
      </c>
      <c r="D22" s="63" t="s">
        <v>111</v>
      </c>
      <c r="E22" s="36"/>
      <c r="F22" s="36" t="s">
        <v>113</v>
      </c>
      <c r="G22" s="64">
        <v>0</v>
      </c>
      <c r="I22" s="36" t="s">
        <v>520</v>
      </c>
      <c r="J22" s="63" t="s">
        <v>29</v>
      </c>
      <c r="K22" s="63" t="s">
        <v>519</v>
      </c>
      <c r="L22" s="63" t="s">
        <v>501</v>
      </c>
      <c r="M22" s="63" t="s">
        <v>501</v>
      </c>
      <c r="N22" s="63" t="s">
        <v>502</v>
      </c>
      <c r="O22" s="63" t="s">
        <v>48</v>
      </c>
      <c r="P22" s="63" t="s">
        <v>290</v>
      </c>
      <c r="Q22" s="63" t="s">
        <v>49</v>
      </c>
      <c r="R22" s="63" t="s">
        <v>509</v>
      </c>
      <c r="S22" s="63" t="s">
        <v>504</v>
      </c>
      <c r="T22" s="63"/>
      <c r="U22" s="63"/>
      <c r="V22" s="63"/>
      <c r="W22" s="63" t="s">
        <v>501</v>
      </c>
      <c r="AH22" s="36" t="s">
        <v>569</v>
      </c>
      <c r="AI22" s="36" t="s">
        <v>569</v>
      </c>
      <c r="AR22" s="36" t="s">
        <v>237</v>
      </c>
      <c r="AS22" s="36" t="s">
        <v>616</v>
      </c>
      <c r="AX22" s="63" t="s">
        <v>490</v>
      </c>
      <c r="AZ22" s="36" t="s">
        <v>520</v>
      </c>
    </row>
    <row r="23" spans="2:94">
      <c r="B23" s="63" t="s">
        <v>137</v>
      </c>
      <c r="C23" s="36" t="s">
        <v>138</v>
      </c>
      <c r="D23" s="63" t="s">
        <v>111</v>
      </c>
      <c r="E23" s="36"/>
      <c r="F23" s="36" t="s">
        <v>113</v>
      </c>
      <c r="G23" s="64">
        <v>0</v>
      </c>
      <c r="I23" s="36" t="s">
        <v>521</v>
      </c>
      <c r="J23" s="63" t="s">
        <v>504</v>
      </c>
      <c r="K23" s="63" t="s">
        <v>279</v>
      </c>
      <c r="L23" s="63" t="s">
        <v>511</v>
      </c>
      <c r="M23" s="63" t="s">
        <v>511</v>
      </c>
      <c r="N23" s="63" t="s">
        <v>47</v>
      </c>
      <c r="O23" s="63" t="s">
        <v>504</v>
      </c>
      <c r="P23" s="63"/>
      <c r="Q23" s="63" t="s">
        <v>504</v>
      </c>
      <c r="R23" s="63" t="s">
        <v>506</v>
      </c>
      <c r="S23" s="63" t="s">
        <v>48</v>
      </c>
      <c r="T23" s="63" t="s">
        <v>507</v>
      </c>
      <c r="U23" s="63" t="s">
        <v>265</v>
      </c>
      <c r="V23" s="63"/>
      <c r="W23" s="63" t="s">
        <v>501</v>
      </c>
      <c r="AH23" s="36" t="s">
        <v>570</v>
      </c>
      <c r="AI23" s="36" t="s">
        <v>519</v>
      </c>
      <c r="AR23" s="36" t="s">
        <v>237</v>
      </c>
      <c r="AS23" s="36" t="s">
        <v>617</v>
      </c>
      <c r="AX23" s="63" t="s">
        <v>491</v>
      </c>
      <c r="AZ23" s="36" t="s">
        <v>521</v>
      </c>
    </row>
    <row r="24" spans="2:94">
      <c r="B24" s="63" t="s">
        <v>139</v>
      </c>
      <c r="C24" s="36" t="s">
        <v>140</v>
      </c>
      <c r="D24" s="63" t="s">
        <v>111</v>
      </c>
      <c r="E24" s="36"/>
      <c r="F24" s="36" t="s">
        <v>113</v>
      </c>
      <c r="G24" s="64">
        <v>0</v>
      </c>
      <c r="I24" s="36" t="s">
        <v>84</v>
      </c>
      <c r="J24" s="63" t="s">
        <v>28</v>
      </c>
      <c r="K24" s="63" t="s">
        <v>500</v>
      </c>
      <c r="L24" s="63" t="s">
        <v>511</v>
      </c>
      <c r="M24" s="63" t="s">
        <v>501</v>
      </c>
      <c r="N24" s="63" t="s">
        <v>47</v>
      </c>
      <c r="O24" s="63" t="s">
        <v>49</v>
      </c>
      <c r="P24" s="63" t="s">
        <v>275</v>
      </c>
      <c r="Q24" s="63" t="s">
        <v>48</v>
      </c>
      <c r="R24" s="63" t="s">
        <v>509</v>
      </c>
      <c r="S24" s="63" t="s">
        <v>504</v>
      </c>
      <c r="T24" s="63"/>
      <c r="U24" s="63"/>
      <c r="V24" s="63"/>
      <c r="W24" s="63" t="s">
        <v>511</v>
      </c>
      <c r="AH24" s="36" t="s">
        <v>571</v>
      </c>
      <c r="AI24" s="36" t="s">
        <v>519</v>
      </c>
      <c r="AR24" s="36" t="s">
        <v>237</v>
      </c>
      <c r="AS24" s="36" t="s">
        <v>519</v>
      </c>
      <c r="AX24" s="63" t="s">
        <v>492</v>
      </c>
    </row>
    <row r="25" spans="2:94">
      <c r="B25" s="63" t="s">
        <v>141</v>
      </c>
      <c r="C25" s="36" t="s">
        <v>142</v>
      </c>
      <c r="D25" s="63" t="s">
        <v>111</v>
      </c>
      <c r="E25" s="36"/>
      <c r="F25" s="36" t="s">
        <v>113</v>
      </c>
      <c r="G25" s="64">
        <v>0</v>
      </c>
      <c r="I25" s="36" t="s">
        <v>281</v>
      </c>
      <c r="J25" s="63" t="s">
        <v>29</v>
      </c>
      <c r="K25" s="63" t="s">
        <v>505</v>
      </c>
      <c r="L25" s="63" t="s">
        <v>511</v>
      </c>
      <c r="M25" s="63" t="s">
        <v>501</v>
      </c>
      <c r="N25" s="63" t="s">
        <v>47</v>
      </c>
      <c r="O25" s="63" t="s">
        <v>48</v>
      </c>
      <c r="P25" s="63" t="s">
        <v>280</v>
      </c>
      <c r="Q25" s="63" t="s">
        <v>49</v>
      </c>
      <c r="R25" s="63" t="s">
        <v>509</v>
      </c>
      <c r="S25" s="63" t="s">
        <v>504</v>
      </c>
      <c r="T25" s="63"/>
      <c r="U25" s="63"/>
      <c r="V25" s="63"/>
      <c r="W25" s="63" t="s">
        <v>511</v>
      </c>
      <c r="AH25" s="36"/>
      <c r="AI25" s="36"/>
      <c r="AR25" s="36" t="s">
        <v>618</v>
      </c>
      <c r="AS25" s="36" t="s">
        <v>619</v>
      </c>
      <c r="AX25" s="63" t="s">
        <v>493</v>
      </c>
    </row>
    <row r="26" spans="2:94">
      <c r="B26" s="63" t="s">
        <v>143</v>
      </c>
      <c r="C26" s="36" t="s">
        <v>144</v>
      </c>
      <c r="D26" s="63" t="s">
        <v>111</v>
      </c>
      <c r="E26" s="36"/>
      <c r="F26" s="36" t="s">
        <v>113</v>
      </c>
      <c r="G26" s="64">
        <v>0</v>
      </c>
      <c r="I26" s="36" t="s">
        <v>522</v>
      </c>
      <c r="J26" s="63" t="s">
        <v>29</v>
      </c>
      <c r="K26" s="63" t="s">
        <v>500</v>
      </c>
      <c r="L26" s="63" t="s">
        <v>511</v>
      </c>
      <c r="M26" s="63" t="s">
        <v>501</v>
      </c>
      <c r="N26" s="63" t="s">
        <v>47</v>
      </c>
      <c r="O26" s="63" t="s">
        <v>48</v>
      </c>
      <c r="P26" s="63" t="s">
        <v>275</v>
      </c>
      <c r="Q26" s="63" t="s">
        <v>49</v>
      </c>
      <c r="R26" s="63" t="s">
        <v>509</v>
      </c>
      <c r="S26" s="63" t="s">
        <v>504</v>
      </c>
      <c r="T26" s="63"/>
      <c r="U26" s="63"/>
      <c r="V26" s="63"/>
      <c r="W26" s="63" t="s">
        <v>511</v>
      </c>
      <c r="AH26" s="36"/>
      <c r="AI26" s="36"/>
      <c r="AR26" s="36" t="s">
        <v>618</v>
      </c>
      <c r="AS26" s="36" t="s">
        <v>620</v>
      </c>
      <c r="AX26" s="63" t="s">
        <v>494</v>
      </c>
    </row>
    <row r="27" spans="2:94">
      <c r="B27" s="63" t="s">
        <v>145</v>
      </c>
      <c r="C27" s="36" t="s">
        <v>146</v>
      </c>
      <c r="D27" s="63" t="s">
        <v>111</v>
      </c>
      <c r="E27" s="36"/>
      <c r="F27" s="36" t="s">
        <v>113</v>
      </c>
      <c r="G27" s="64">
        <v>0</v>
      </c>
      <c r="I27" s="36" t="s">
        <v>523</v>
      </c>
      <c r="J27" s="63" t="s">
        <v>28</v>
      </c>
      <c r="K27" s="63" t="s">
        <v>505</v>
      </c>
      <c r="L27" s="63" t="s">
        <v>511</v>
      </c>
      <c r="M27" s="63" t="s">
        <v>501</v>
      </c>
      <c r="N27" s="63" t="s">
        <v>47</v>
      </c>
      <c r="O27" s="63" t="s">
        <v>49</v>
      </c>
      <c r="P27" s="63" t="s">
        <v>280</v>
      </c>
      <c r="Q27" s="63" t="s">
        <v>48</v>
      </c>
      <c r="R27" s="63" t="s">
        <v>509</v>
      </c>
      <c r="S27" s="63" t="s">
        <v>504</v>
      </c>
      <c r="T27" s="63"/>
      <c r="U27" s="63"/>
      <c r="V27" s="63"/>
      <c r="W27" s="63" t="s">
        <v>511</v>
      </c>
      <c r="AH27" s="36"/>
      <c r="AI27" s="36"/>
      <c r="AR27" s="36" t="s">
        <v>618</v>
      </c>
      <c r="AS27" s="36" t="s">
        <v>621</v>
      </c>
      <c r="AX27" s="63" t="s">
        <v>495</v>
      </c>
    </row>
    <row r="28" spans="2:94">
      <c r="B28" s="63" t="s">
        <v>147</v>
      </c>
      <c r="C28" s="36" t="s">
        <v>148</v>
      </c>
      <c r="D28" s="63" t="s">
        <v>111</v>
      </c>
      <c r="E28" s="36"/>
      <c r="F28" s="36" t="s">
        <v>113</v>
      </c>
      <c r="G28" s="64">
        <v>0</v>
      </c>
      <c r="I28" s="36" t="s">
        <v>524</v>
      </c>
      <c r="J28" s="63" t="s">
        <v>29</v>
      </c>
      <c r="K28" s="63" t="s">
        <v>517</v>
      </c>
      <c r="L28" s="63" t="s">
        <v>511</v>
      </c>
      <c r="M28" s="63" t="s">
        <v>511</v>
      </c>
      <c r="N28" s="63" t="s">
        <v>509</v>
      </c>
      <c r="O28" s="63" t="s">
        <v>504</v>
      </c>
      <c r="P28" s="63"/>
      <c r="Q28" s="63" t="s">
        <v>504</v>
      </c>
      <c r="R28" s="63" t="s">
        <v>509</v>
      </c>
      <c r="S28" s="63" t="s">
        <v>504</v>
      </c>
      <c r="T28" s="63"/>
      <c r="U28" s="63"/>
      <c r="V28" s="63"/>
      <c r="W28" s="63" t="s">
        <v>511</v>
      </c>
      <c r="AH28" s="36"/>
      <c r="AI28" s="36"/>
      <c r="AR28" s="36" t="s">
        <v>618</v>
      </c>
      <c r="AS28" s="36" t="s">
        <v>622</v>
      </c>
      <c r="AX28" s="63" t="s">
        <v>496</v>
      </c>
    </row>
    <row r="29" spans="2:94">
      <c r="B29" s="63" t="s">
        <v>149</v>
      </c>
      <c r="C29" s="36" t="s">
        <v>150</v>
      </c>
      <c r="D29" s="63" t="s">
        <v>111</v>
      </c>
      <c r="E29" s="36"/>
      <c r="F29" s="36" t="s">
        <v>113</v>
      </c>
      <c r="G29" s="64">
        <v>0</v>
      </c>
      <c r="I29" s="36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AH29" s="36"/>
      <c r="AI29" s="36"/>
      <c r="AR29" s="36" t="s">
        <v>245</v>
      </c>
      <c r="AS29" s="36" t="s">
        <v>246</v>
      </c>
      <c r="AX29" s="63" t="s">
        <v>497</v>
      </c>
    </row>
    <row r="30" spans="2:94">
      <c r="B30" s="63" t="s">
        <v>151</v>
      </c>
      <c r="C30" s="36" t="s">
        <v>152</v>
      </c>
      <c r="D30" s="63" t="s">
        <v>111</v>
      </c>
      <c r="E30" s="36"/>
      <c r="F30" s="36" t="s">
        <v>113</v>
      </c>
      <c r="G30" s="64">
        <v>0</v>
      </c>
      <c r="I30" s="36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AR30" s="36" t="s">
        <v>245</v>
      </c>
      <c r="AS30" s="36" t="s">
        <v>249</v>
      </c>
    </row>
    <row r="31" spans="2:94">
      <c r="B31" s="63" t="s">
        <v>153</v>
      </c>
      <c r="C31" s="36" t="s">
        <v>154</v>
      </c>
      <c r="D31" s="63" t="s">
        <v>111</v>
      </c>
      <c r="E31" s="36"/>
      <c r="F31" s="36" t="s">
        <v>113</v>
      </c>
      <c r="G31" s="64">
        <v>0</v>
      </c>
      <c r="I31" s="36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AR31" s="36" t="s">
        <v>245</v>
      </c>
      <c r="AS31" s="36" t="s">
        <v>252</v>
      </c>
    </row>
    <row r="32" spans="2:94">
      <c r="B32" s="63" t="s">
        <v>155</v>
      </c>
      <c r="C32" s="36" t="s">
        <v>156</v>
      </c>
      <c r="D32" s="63" t="s">
        <v>111</v>
      </c>
      <c r="E32" s="36"/>
      <c r="F32" s="36" t="s">
        <v>113</v>
      </c>
      <c r="G32" s="64">
        <v>0</v>
      </c>
      <c r="I32" s="36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AR32" s="36" t="s">
        <v>245</v>
      </c>
      <c r="AS32" s="36" t="s">
        <v>255</v>
      </c>
    </row>
    <row r="33" spans="2:45">
      <c r="B33" s="63" t="s">
        <v>157</v>
      </c>
      <c r="C33" s="36" t="s">
        <v>158</v>
      </c>
      <c r="D33" s="63" t="s">
        <v>111</v>
      </c>
      <c r="E33" s="36"/>
      <c r="F33" s="36" t="s">
        <v>113</v>
      </c>
      <c r="G33" s="64">
        <v>0</v>
      </c>
      <c r="I33" s="36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AR33" s="36" t="s">
        <v>245</v>
      </c>
      <c r="AS33" s="36" t="s">
        <v>258</v>
      </c>
    </row>
    <row r="34" spans="2:45">
      <c r="B34" s="63" t="s">
        <v>159</v>
      </c>
      <c r="C34" s="36" t="s">
        <v>160</v>
      </c>
      <c r="D34" s="63" t="s">
        <v>111</v>
      </c>
      <c r="E34" s="36"/>
      <c r="F34" s="36" t="s">
        <v>113</v>
      </c>
      <c r="G34" s="64">
        <v>0</v>
      </c>
      <c r="AR34" s="36" t="s">
        <v>245</v>
      </c>
      <c r="AS34" s="36" t="s">
        <v>261</v>
      </c>
    </row>
    <row r="35" spans="2:45">
      <c r="B35" s="63" t="s">
        <v>161</v>
      </c>
      <c r="C35" s="36" t="s">
        <v>162</v>
      </c>
      <c r="D35" s="63" t="s">
        <v>111</v>
      </c>
      <c r="E35" s="36"/>
      <c r="F35" s="36" t="s">
        <v>113</v>
      </c>
      <c r="G35" s="64">
        <v>0</v>
      </c>
      <c r="AR35" s="36" t="s">
        <v>263</v>
      </c>
      <c r="AS35" s="36" t="s">
        <v>271</v>
      </c>
    </row>
    <row r="36" spans="2:45">
      <c r="B36" s="63" t="s">
        <v>163</v>
      </c>
      <c r="C36" s="36" t="s">
        <v>164</v>
      </c>
      <c r="D36" s="63" t="s">
        <v>111</v>
      </c>
      <c r="E36" s="36"/>
      <c r="F36" s="36" t="s">
        <v>113</v>
      </c>
      <c r="G36" s="64">
        <v>0</v>
      </c>
      <c r="AR36" s="36" t="s">
        <v>263</v>
      </c>
      <c r="AS36" s="36" t="s">
        <v>274</v>
      </c>
    </row>
    <row r="37" spans="2:45">
      <c r="B37" s="63" t="s">
        <v>165</v>
      </c>
      <c r="C37" s="36" t="s">
        <v>166</v>
      </c>
      <c r="D37" s="63" t="s">
        <v>111</v>
      </c>
      <c r="E37" s="36"/>
      <c r="F37" s="36" t="s">
        <v>113</v>
      </c>
      <c r="G37" s="64">
        <v>0</v>
      </c>
      <c r="AR37" s="36" t="s">
        <v>263</v>
      </c>
      <c r="AS37" s="36" t="s">
        <v>279</v>
      </c>
    </row>
    <row r="38" spans="2:45">
      <c r="B38" s="63" t="s">
        <v>167</v>
      </c>
      <c r="C38" s="36" t="s">
        <v>168</v>
      </c>
      <c r="D38" s="63" t="s">
        <v>111</v>
      </c>
      <c r="E38" s="36"/>
      <c r="F38" s="36" t="s">
        <v>113</v>
      </c>
      <c r="G38" s="64">
        <v>0</v>
      </c>
      <c r="AR38" s="36" t="s">
        <v>263</v>
      </c>
      <c r="AS38" s="36" t="s">
        <v>286</v>
      </c>
    </row>
    <row r="39" spans="2:45">
      <c r="B39" s="63" t="s">
        <v>169</v>
      </c>
      <c r="C39" s="36" t="s">
        <v>170</v>
      </c>
      <c r="D39" s="63" t="s">
        <v>111</v>
      </c>
      <c r="E39" s="36"/>
      <c r="F39" s="36" t="s">
        <v>113</v>
      </c>
      <c r="G39" s="64">
        <v>0</v>
      </c>
      <c r="AR39" s="36" t="s">
        <v>263</v>
      </c>
      <c r="AS39" s="36" t="s">
        <v>264</v>
      </c>
    </row>
    <row r="40" spans="2:45">
      <c r="B40" s="63" t="s">
        <v>171</v>
      </c>
      <c r="C40" s="36" t="s">
        <v>172</v>
      </c>
      <c r="D40" s="63" t="s">
        <v>111</v>
      </c>
      <c r="E40" s="36"/>
      <c r="F40" s="36" t="s">
        <v>113</v>
      </c>
      <c r="G40" s="64">
        <v>0</v>
      </c>
      <c r="AR40" s="36" t="s">
        <v>263</v>
      </c>
      <c r="AS40" s="36" t="s">
        <v>289</v>
      </c>
    </row>
    <row r="41" spans="2:45">
      <c r="B41" s="63" t="s">
        <v>173</v>
      </c>
      <c r="C41" s="36" t="s">
        <v>174</v>
      </c>
      <c r="D41" s="63" t="s">
        <v>111</v>
      </c>
      <c r="E41" s="36"/>
      <c r="F41" s="36" t="s">
        <v>113</v>
      </c>
      <c r="G41" s="64">
        <v>0</v>
      </c>
      <c r="AR41" s="36" t="s">
        <v>263</v>
      </c>
      <c r="AS41" s="36" t="s">
        <v>292</v>
      </c>
    </row>
    <row r="42" spans="2:45">
      <c r="B42" s="63" t="s">
        <v>175</v>
      </c>
      <c r="C42" s="36" t="s">
        <v>176</v>
      </c>
      <c r="D42" s="63" t="s">
        <v>111</v>
      </c>
      <c r="E42" s="36"/>
      <c r="F42" s="36" t="s">
        <v>113</v>
      </c>
      <c r="G42" s="64">
        <v>0</v>
      </c>
      <c r="AR42" s="36" t="s">
        <v>263</v>
      </c>
      <c r="AS42" s="36" t="s">
        <v>305</v>
      </c>
    </row>
    <row r="43" spans="2:45">
      <c r="B43" s="63" t="s">
        <v>177</v>
      </c>
      <c r="C43" s="36" t="s">
        <v>178</v>
      </c>
      <c r="D43" s="63" t="s">
        <v>111</v>
      </c>
      <c r="E43" s="36"/>
      <c r="F43" s="36" t="s">
        <v>113</v>
      </c>
      <c r="G43" s="64">
        <v>0</v>
      </c>
      <c r="AR43" s="36" t="s">
        <v>75</v>
      </c>
      <c r="AS43" s="36" t="s">
        <v>331</v>
      </c>
    </row>
    <row r="44" spans="2:45">
      <c r="B44" s="63" t="s">
        <v>179</v>
      </c>
      <c r="C44" s="36" t="s">
        <v>180</v>
      </c>
      <c r="D44" s="63" t="s">
        <v>111</v>
      </c>
      <c r="E44" s="36"/>
      <c r="F44" s="36" t="s">
        <v>113</v>
      </c>
      <c r="G44" s="64">
        <v>0</v>
      </c>
      <c r="AR44" s="36" t="s">
        <v>75</v>
      </c>
      <c r="AS44" s="36" t="s">
        <v>623</v>
      </c>
    </row>
    <row r="45" spans="2:45">
      <c r="B45" s="63" t="s">
        <v>181</v>
      </c>
      <c r="C45" s="36" t="s">
        <v>182</v>
      </c>
      <c r="D45" s="63" t="s">
        <v>111</v>
      </c>
      <c r="E45" s="36"/>
      <c r="F45" s="36" t="s">
        <v>113</v>
      </c>
      <c r="G45" s="64">
        <v>0</v>
      </c>
      <c r="AR45" s="36" t="s">
        <v>314</v>
      </c>
      <c r="AS45" s="36" t="s">
        <v>315</v>
      </c>
    </row>
    <row r="46" spans="2:45">
      <c r="B46" s="63" t="s">
        <v>183</v>
      </c>
      <c r="C46" s="36" t="s">
        <v>184</v>
      </c>
      <c r="D46" s="63" t="s">
        <v>111</v>
      </c>
      <c r="E46" s="36"/>
      <c r="F46" s="36" t="s">
        <v>113</v>
      </c>
      <c r="G46" s="64">
        <v>0</v>
      </c>
      <c r="AR46" s="36" t="s">
        <v>314</v>
      </c>
      <c r="AS46" s="36" t="s">
        <v>318</v>
      </c>
    </row>
    <row r="47" spans="2:45">
      <c r="B47" s="63" t="s">
        <v>185</v>
      </c>
      <c r="C47" s="36" t="s">
        <v>186</v>
      </c>
      <c r="D47" s="63" t="s">
        <v>111</v>
      </c>
      <c r="E47" s="36"/>
      <c r="F47" s="36" t="s">
        <v>113</v>
      </c>
      <c r="G47" s="64">
        <v>0</v>
      </c>
      <c r="AR47" s="36" t="s">
        <v>314</v>
      </c>
      <c r="AS47" s="36" t="s">
        <v>321</v>
      </c>
    </row>
    <row r="48" spans="2:45">
      <c r="B48" s="63" t="s">
        <v>187</v>
      </c>
      <c r="C48" s="36" t="s">
        <v>188</v>
      </c>
      <c r="D48" s="63" t="s">
        <v>111</v>
      </c>
      <c r="E48" s="36"/>
      <c r="F48" s="36" t="s">
        <v>113</v>
      </c>
      <c r="G48" s="64">
        <v>0</v>
      </c>
      <c r="AR48" s="36" t="s">
        <v>324</v>
      </c>
      <c r="AS48" s="36" t="s">
        <v>325</v>
      </c>
    </row>
    <row r="49" spans="2:45">
      <c r="B49" s="63" t="s">
        <v>189</v>
      </c>
      <c r="C49" s="36" t="s">
        <v>190</v>
      </c>
      <c r="D49" s="63" t="s">
        <v>111</v>
      </c>
      <c r="E49" s="36"/>
      <c r="F49" s="36" t="s">
        <v>113</v>
      </c>
      <c r="G49" s="64">
        <v>0</v>
      </c>
      <c r="AR49" s="36" t="s">
        <v>328</v>
      </c>
      <c r="AS49" s="36" t="s">
        <v>329</v>
      </c>
    </row>
    <row r="50" spans="2:45">
      <c r="B50" s="63" t="s">
        <v>191</v>
      </c>
      <c r="C50" s="36" t="s">
        <v>192</v>
      </c>
      <c r="D50" s="63" t="s">
        <v>111</v>
      </c>
      <c r="E50" s="36"/>
      <c r="F50" s="36" t="s">
        <v>113</v>
      </c>
      <c r="G50" s="64">
        <v>0</v>
      </c>
      <c r="AR50" s="36" t="s">
        <v>328</v>
      </c>
      <c r="AS50" s="36" t="s">
        <v>624</v>
      </c>
    </row>
    <row r="51" spans="2:45">
      <c r="B51" s="63" t="s">
        <v>193</v>
      </c>
      <c r="C51" s="36" t="s">
        <v>194</v>
      </c>
      <c r="D51" s="63" t="s">
        <v>111</v>
      </c>
      <c r="E51" s="36"/>
      <c r="F51" s="36" t="s">
        <v>113</v>
      </c>
      <c r="G51" s="64">
        <v>0</v>
      </c>
      <c r="AR51" s="36" t="s">
        <v>328</v>
      </c>
      <c r="AS51" s="36" t="s">
        <v>625</v>
      </c>
    </row>
    <row r="52" spans="2:45">
      <c r="B52" s="63" t="s">
        <v>195</v>
      </c>
      <c r="C52" s="36" t="s">
        <v>196</v>
      </c>
      <c r="D52" s="63" t="s">
        <v>111</v>
      </c>
      <c r="E52" s="36"/>
      <c r="F52" s="36" t="s">
        <v>113</v>
      </c>
      <c r="G52" s="64">
        <v>0</v>
      </c>
    </row>
    <row r="53" spans="2:45">
      <c r="B53" s="63" t="s">
        <v>197</v>
      </c>
      <c r="C53" s="36" t="s">
        <v>198</v>
      </c>
      <c r="D53" s="63" t="s">
        <v>111</v>
      </c>
      <c r="E53" s="36"/>
      <c r="F53" s="36" t="s">
        <v>113</v>
      </c>
      <c r="G53" s="64">
        <v>0</v>
      </c>
    </row>
    <row r="54" spans="2:45">
      <c r="B54" s="63" t="s">
        <v>199</v>
      </c>
      <c r="C54" s="36" t="s">
        <v>200</v>
      </c>
      <c r="D54" s="63" t="s">
        <v>111</v>
      </c>
      <c r="E54" s="36"/>
      <c r="F54" s="36" t="s">
        <v>113</v>
      </c>
      <c r="G54" s="64">
        <v>0</v>
      </c>
    </row>
    <row r="55" spans="2:45">
      <c r="B55" s="63" t="s">
        <v>201</v>
      </c>
      <c r="C55" s="36" t="s">
        <v>202</v>
      </c>
      <c r="D55" s="63" t="s">
        <v>111</v>
      </c>
      <c r="E55" s="36"/>
      <c r="F55" s="36" t="s">
        <v>113</v>
      </c>
      <c r="G55" s="64">
        <v>0</v>
      </c>
    </row>
    <row r="56" spans="2:45">
      <c r="B56" s="63" t="s">
        <v>203</v>
      </c>
      <c r="C56" s="36" t="s">
        <v>204</v>
      </c>
      <c r="D56" s="63" t="s">
        <v>111</v>
      </c>
      <c r="E56" s="36"/>
      <c r="F56" s="36" t="s">
        <v>113</v>
      </c>
      <c r="G56" s="64">
        <v>0</v>
      </c>
    </row>
    <row r="57" spans="2:45">
      <c r="B57" s="63" t="s">
        <v>205</v>
      </c>
      <c r="C57" s="36" t="s">
        <v>206</v>
      </c>
      <c r="D57" s="63" t="s">
        <v>111</v>
      </c>
      <c r="E57" s="36"/>
      <c r="F57" s="36" t="s">
        <v>113</v>
      </c>
      <c r="G57" s="64">
        <v>0</v>
      </c>
    </row>
    <row r="58" spans="2:45">
      <c r="B58" s="63" t="s">
        <v>207</v>
      </c>
      <c r="C58" s="36" t="s">
        <v>208</v>
      </c>
      <c r="D58" s="63" t="s">
        <v>111</v>
      </c>
      <c r="E58" s="36"/>
      <c r="F58" s="36" t="s">
        <v>113</v>
      </c>
      <c r="G58" s="64">
        <v>0</v>
      </c>
    </row>
    <row r="59" spans="2:45">
      <c r="B59" s="63" t="s">
        <v>209</v>
      </c>
      <c r="C59" s="36" t="s">
        <v>210</v>
      </c>
      <c r="D59" s="63" t="s">
        <v>111</v>
      </c>
      <c r="E59" s="36"/>
      <c r="F59" s="36" t="s">
        <v>113</v>
      </c>
      <c r="G59" s="64">
        <v>0</v>
      </c>
    </row>
    <row r="60" spans="2:45">
      <c r="B60" s="63" t="s">
        <v>211</v>
      </c>
      <c r="C60" s="36" t="s">
        <v>212</v>
      </c>
      <c r="D60" s="63" t="s">
        <v>111</v>
      </c>
      <c r="E60" s="36"/>
      <c r="F60" s="36" t="s">
        <v>113</v>
      </c>
      <c r="G60" s="64">
        <v>0</v>
      </c>
    </row>
    <row r="61" spans="2:45">
      <c r="B61" s="63" t="s">
        <v>213</v>
      </c>
      <c r="C61" s="36" t="s">
        <v>214</v>
      </c>
      <c r="D61" s="63" t="s">
        <v>111</v>
      </c>
      <c r="E61" s="36"/>
      <c r="F61" s="36" t="s">
        <v>113</v>
      </c>
      <c r="G61" s="64">
        <v>0</v>
      </c>
    </row>
    <row r="62" spans="2:45">
      <c r="B62" s="63" t="s">
        <v>215</v>
      </c>
      <c r="C62" s="36" t="s">
        <v>216</v>
      </c>
      <c r="D62" s="63" t="s">
        <v>111</v>
      </c>
      <c r="E62" s="36"/>
      <c r="F62" s="36" t="s">
        <v>113</v>
      </c>
      <c r="G62" s="64">
        <v>0</v>
      </c>
    </row>
    <row r="63" spans="2:45">
      <c r="B63" s="63" t="s">
        <v>217</v>
      </c>
      <c r="C63" s="36" t="s">
        <v>218</v>
      </c>
      <c r="D63" s="63" t="s">
        <v>111</v>
      </c>
      <c r="E63" s="36"/>
      <c r="F63" s="36" t="s">
        <v>113</v>
      </c>
      <c r="G63" s="64">
        <v>0</v>
      </c>
    </row>
    <row r="64" spans="2:45">
      <c r="B64" s="63" t="s">
        <v>219</v>
      </c>
      <c r="C64" s="36" t="s">
        <v>220</v>
      </c>
      <c r="D64" s="63" t="s">
        <v>111</v>
      </c>
      <c r="E64" s="36"/>
      <c r="F64" s="36" t="s">
        <v>113</v>
      </c>
      <c r="G64" s="64">
        <v>0</v>
      </c>
    </row>
    <row r="65" spans="2:7">
      <c r="B65" s="63" t="s">
        <v>221</v>
      </c>
      <c r="C65" s="36" t="s">
        <v>222</v>
      </c>
      <c r="D65" s="63" t="s">
        <v>111</v>
      </c>
      <c r="E65" s="36"/>
      <c r="F65" s="36" t="s">
        <v>113</v>
      </c>
      <c r="G65" s="64">
        <v>0</v>
      </c>
    </row>
    <row r="66" spans="2:7">
      <c r="B66" s="63" t="s">
        <v>223</v>
      </c>
      <c r="C66" s="36" t="s">
        <v>224</v>
      </c>
      <c r="D66" s="63" t="s">
        <v>111</v>
      </c>
      <c r="E66" s="36"/>
      <c r="F66" s="36" t="s">
        <v>113</v>
      </c>
      <c r="G66" s="64">
        <v>0</v>
      </c>
    </row>
    <row r="67" spans="2:7">
      <c r="B67" s="63" t="s">
        <v>71</v>
      </c>
      <c r="C67" s="36" t="s">
        <v>225</v>
      </c>
      <c r="D67" s="63" t="s">
        <v>226</v>
      </c>
      <c r="E67" s="36" t="s">
        <v>227</v>
      </c>
      <c r="F67" s="36" t="s">
        <v>113</v>
      </c>
      <c r="G67" s="64">
        <v>0</v>
      </c>
    </row>
    <row r="68" spans="2:7">
      <c r="B68" s="63" t="s">
        <v>228</v>
      </c>
      <c r="C68" s="36" t="s">
        <v>229</v>
      </c>
      <c r="D68" s="63" t="s">
        <v>226</v>
      </c>
      <c r="E68" s="36" t="s">
        <v>227</v>
      </c>
      <c r="F68" s="36" t="s">
        <v>113</v>
      </c>
      <c r="G68" s="64">
        <v>0</v>
      </c>
    </row>
    <row r="69" spans="2:7">
      <c r="B69" s="63" t="s">
        <v>230</v>
      </c>
      <c r="C69" s="36" t="s">
        <v>231</v>
      </c>
      <c r="D69" s="63" t="s">
        <v>226</v>
      </c>
      <c r="E69" s="36" t="s">
        <v>227</v>
      </c>
      <c r="F69" s="36" t="s">
        <v>113</v>
      </c>
      <c r="G69" s="64">
        <v>0</v>
      </c>
    </row>
    <row r="70" spans="2:7">
      <c r="B70" s="63" t="s">
        <v>232</v>
      </c>
      <c r="C70" s="36" t="s">
        <v>233</v>
      </c>
      <c r="D70" s="63" t="s">
        <v>226</v>
      </c>
      <c r="E70" s="36" t="s">
        <v>227</v>
      </c>
      <c r="F70" s="36" t="s">
        <v>113</v>
      </c>
      <c r="G70" s="64">
        <v>0</v>
      </c>
    </row>
    <row r="71" spans="2:7">
      <c r="B71" s="63" t="s">
        <v>234</v>
      </c>
      <c r="C71" s="36" t="s">
        <v>235</v>
      </c>
      <c r="D71" s="63" t="s">
        <v>226</v>
      </c>
      <c r="E71" s="36" t="s">
        <v>227</v>
      </c>
      <c r="F71" s="36" t="s">
        <v>113</v>
      </c>
      <c r="G71" s="64">
        <v>0</v>
      </c>
    </row>
    <row r="72" spans="2:7">
      <c r="B72" s="63" t="s">
        <v>85</v>
      </c>
      <c r="C72" s="36" t="s">
        <v>236</v>
      </c>
      <c r="D72" s="63" t="s">
        <v>237</v>
      </c>
      <c r="E72" s="36" t="s">
        <v>238</v>
      </c>
      <c r="F72" s="36" t="s">
        <v>113</v>
      </c>
      <c r="G72" s="64">
        <v>0</v>
      </c>
    </row>
    <row r="73" spans="2:7">
      <c r="B73" s="63" t="s">
        <v>239</v>
      </c>
      <c r="C73" s="36" t="s">
        <v>240</v>
      </c>
      <c r="D73" s="63" t="s">
        <v>237</v>
      </c>
      <c r="E73" s="36" t="s">
        <v>238</v>
      </c>
      <c r="F73" s="36" t="s">
        <v>113</v>
      </c>
      <c r="G73" s="64">
        <v>0</v>
      </c>
    </row>
    <row r="74" spans="2:7">
      <c r="B74" s="63" t="s">
        <v>241</v>
      </c>
      <c r="C74" s="36" t="s">
        <v>242</v>
      </c>
      <c r="D74" s="63" t="s">
        <v>237</v>
      </c>
      <c r="E74" s="36" t="s">
        <v>238</v>
      </c>
      <c r="F74" s="36" t="s">
        <v>113</v>
      </c>
      <c r="G74" s="64">
        <v>0</v>
      </c>
    </row>
    <row r="75" spans="2:7">
      <c r="B75" s="63" t="s">
        <v>243</v>
      </c>
      <c r="C75" s="36" t="s">
        <v>244</v>
      </c>
      <c r="D75" s="63" t="s">
        <v>245</v>
      </c>
      <c r="E75" s="36" t="s">
        <v>246</v>
      </c>
      <c r="F75" s="36" t="s">
        <v>113</v>
      </c>
      <c r="G75" s="64">
        <v>0</v>
      </c>
    </row>
    <row r="76" spans="2:7">
      <c r="B76" s="63" t="s">
        <v>247</v>
      </c>
      <c r="C76" s="36" t="s">
        <v>248</v>
      </c>
      <c r="D76" s="63" t="s">
        <v>245</v>
      </c>
      <c r="E76" s="36" t="s">
        <v>249</v>
      </c>
      <c r="F76" s="36" t="s">
        <v>113</v>
      </c>
      <c r="G76" s="64">
        <v>0</v>
      </c>
    </row>
    <row r="77" spans="2:7">
      <c r="B77" s="63" t="s">
        <v>250</v>
      </c>
      <c r="C77" s="36" t="s">
        <v>251</v>
      </c>
      <c r="D77" s="63" t="s">
        <v>245</v>
      </c>
      <c r="E77" s="36" t="s">
        <v>252</v>
      </c>
      <c r="F77" s="36" t="s">
        <v>113</v>
      </c>
      <c r="G77" s="64">
        <v>0</v>
      </c>
    </row>
    <row r="78" spans="2:7">
      <c r="B78" s="63" t="s">
        <v>253</v>
      </c>
      <c r="C78" s="36" t="s">
        <v>254</v>
      </c>
      <c r="D78" s="63" t="s">
        <v>245</v>
      </c>
      <c r="E78" s="36" t="s">
        <v>255</v>
      </c>
      <c r="F78" s="36" t="s">
        <v>113</v>
      </c>
      <c r="G78" s="64">
        <v>0</v>
      </c>
    </row>
    <row r="79" spans="2:7">
      <c r="B79" s="63" t="s">
        <v>256</v>
      </c>
      <c r="C79" s="36" t="s">
        <v>257</v>
      </c>
      <c r="D79" s="63" t="s">
        <v>245</v>
      </c>
      <c r="E79" s="36" t="s">
        <v>258</v>
      </c>
      <c r="F79" s="36" t="s">
        <v>113</v>
      </c>
      <c r="G79" s="64">
        <v>0</v>
      </c>
    </row>
    <row r="80" spans="2:7">
      <c r="B80" s="63" t="s">
        <v>259</v>
      </c>
      <c r="C80" s="36" t="s">
        <v>260</v>
      </c>
      <c r="D80" s="63" t="s">
        <v>245</v>
      </c>
      <c r="E80" s="36" t="s">
        <v>261</v>
      </c>
      <c r="F80" s="36" t="s">
        <v>113</v>
      </c>
      <c r="G80" s="64">
        <v>0</v>
      </c>
    </row>
    <row r="81" spans="2:7">
      <c r="B81" s="63" t="s">
        <v>262</v>
      </c>
      <c r="C81" s="36" t="s">
        <v>80</v>
      </c>
      <c r="D81" s="63" t="s">
        <v>263</v>
      </c>
      <c r="E81" s="36" t="s">
        <v>264</v>
      </c>
      <c r="F81" s="36" t="s">
        <v>113</v>
      </c>
      <c r="G81" s="64">
        <v>0</v>
      </c>
    </row>
    <row r="82" spans="2:7">
      <c r="B82" s="63" t="s">
        <v>265</v>
      </c>
      <c r="C82" s="36" t="s">
        <v>266</v>
      </c>
      <c r="D82" s="63" t="s">
        <v>263</v>
      </c>
      <c r="E82" s="36" t="s">
        <v>267</v>
      </c>
      <c r="F82" s="36" t="s">
        <v>268</v>
      </c>
      <c r="G82" s="64">
        <v>0</v>
      </c>
    </row>
    <row r="83" spans="2:7">
      <c r="B83" s="63" t="s">
        <v>269</v>
      </c>
      <c r="C83" s="36" t="s">
        <v>270</v>
      </c>
      <c r="D83" s="63" t="s">
        <v>263</v>
      </c>
      <c r="E83" s="36" t="s">
        <v>271</v>
      </c>
      <c r="F83" s="36" t="s">
        <v>268</v>
      </c>
      <c r="G83" s="64">
        <v>150000000</v>
      </c>
    </row>
    <row r="84" spans="2:7">
      <c r="B84" s="63" t="s">
        <v>272</v>
      </c>
      <c r="C84" s="36" t="s">
        <v>273</v>
      </c>
      <c r="D84" s="63" t="s">
        <v>263</v>
      </c>
      <c r="E84" s="36" t="s">
        <v>274</v>
      </c>
      <c r="F84" s="36" t="s">
        <v>268</v>
      </c>
      <c r="G84" s="64">
        <v>0</v>
      </c>
    </row>
    <row r="85" spans="2:7">
      <c r="B85" s="63" t="s">
        <v>275</v>
      </c>
      <c r="C85" s="36" t="s">
        <v>276</v>
      </c>
      <c r="D85" s="63" t="s">
        <v>263</v>
      </c>
      <c r="E85" s="36" t="s">
        <v>274</v>
      </c>
      <c r="F85" s="36" t="s">
        <v>268</v>
      </c>
      <c r="G85" s="64">
        <v>0</v>
      </c>
    </row>
    <row r="86" spans="2:7">
      <c r="B86" s="63" t="s">
        <v>277</v>
      </c>
      <c r="C86" s="36" t="s">
        <v>278</v>
      </c>
      <c r="D86" s="63" t="s">
        <v>263</v>
      </c>
      <c r="E86" s="36" t="s">
        <v>279</v>
      </c>
      <c r="F86" s="36" t="s">
        <v>268</v>
      </c>
      <c r="G86" s="64">
        <v>0</v>
      </c>
    </row>
    <row r="87" spans="2:7">
      <c r="B87" s="63" t="s">
        <v>280</v>
      </c>
      <c r="C87" s="36" t="s">
        <v>281</v>
      </c>
      <c r="D87" s="63" t="s">
        <v>263</v>
      </c>
      <c r="E87" s="36" t="s">
        <v>279</v>
      </c>
      <c r="F87" s="36" t="s">
        <v>268</v>
      </c>
      <c r="G87" s="64">
        <v>0</v>
      </c>
    </row>
    <row r="88" spans="2:7">
      <c r="B88" s="63" t="s">
        <v>282</v>
      </c>
      <c r="C88" s="36" t="s">
        <v>283</v>
      </c>
      <c r="D88" s="63" t="s">
        <v>263</v>
      </c>
      <c r="E88" s="36" t="s">
        <v>279</v>
      </c>
      <c r="F88" s="36" t="s">
        <v>268</v>
      </c>
      <c r="G88" s="64">
        <v>0</v>
      </c>
    </row>
    <row r="89" spans="2:7">
      <c r="B89" s="63" t="s">
        <v>284</v>
      </c>
      <c r="C89" s="36" t="s">
        <v>285</v>
      </c>
      <c r="D89" s="63" t="s">
        <v>263</v>
      </c>
      <c r="E89" s="36" t="s">
        <v>286</v>
      </c>
      <c r="F89" s="36" t="s">
        <v>268</v>
      </c>
      <c r="G89" s="64">
        <v>0</v>
      </c>
    </row>
    <row r="90" spans="2:7">
      <c r="B90" s="63" t="s">
        <v>287</v>
      </c>
      <c r="C90" s="36" t="s">
        <v>288</v>
      </c>
      <c r="D90" s="63" t="s">
        <v>263</v>
      </c>
      <c r="E90" s="36" t="s">
        <v>289</v>
      </c>
      <c r="F90" s="36" t="s">
        <v>268</v>
      </c>
      <c r="G90" s="64">
        <v>0</v>
      </c>
    </row>
    <row r="91" spans="2:7">
      <c r="B91" s="63" t="s">
        <v>290</v>
      </c>
      <c r="C91" s="36" t="s">
        <v>291</v>
      </c>
      <c r="D91" s="63" t="s">
        <v>263</v>
      </c>
      <c r="E91" s="36" t="s">
        <v>292</v>
      </c>
      <c r="F91" s="36" t="s">
        <v>268</v>
      </c>
      <c r="G91" s="64">
        <v>0</v>
      </c>
    </row>
    <row r="92" spans="2:7">
      <c r="B92" s="63" t="s">
        <v>293</v>
      </c>
      <c r="C92" s="36" t="s">
        <v>294</v>
      </c>
      <c r="D92" s="63" t="s">
        <v>263</v>
      </c>
      <c r="E92" s="36" t="s">
        <v>286</v>
      </c>
      <c r="F92" s="36" t="s">
        <v>268</v>
      </c>
      <c r="G92" s="64">
        <v>0</v>
      </c>
    </row>
    <row r="93" spans="2:7">
      <c r="B93" s="63" t="s">
        <v>295</v>
      </c>
      <c r="C93" s="36" t="s">
        <v>296</v>
      </c>
      <c r="D93" s="63" t="s">
        <v>263</v>
      </c>
      <c r="E93" s="36" t="s">
        <v>286</v>
      </c>
      <c r="F93" s="36" t="s">
        <v>268</v>
      </c>
      <c r="G93" s="64">
        <v>0</v>
      </c>
    </row>
    <row r="94" spans="2:7">
      <c r="B94" s="63" t="s">
        <v>297</v>
      </c>
      <c r="C94" s="36" t="s">
        <v>298</v>
      </c>
      <c r="D94" s="63" t="s">
        <v>263</v>
      </c>
      <c r="E94" s="36" t="s">
        <v>286</v>
      </c>
      <c r="F94" s="36" t="s">
        <v>268</v>
      </c>
      <c r="G94" s="64">
        <v>0</v>
      </c>
    </row>
    <row r="95" spans="2:7">
      <c r="B95" s="63" t="s">
        <v>299</v>
      </c>
      <c r="C95" s="36" t="s">
        <v>300</v>
      </c>
      <c r="D95" s="63" t="s">
        <v>263</v>
      </c>
      <c r="E95" s="36" t="s">
        <v>279</v>
      </c>
      <c r="F95" s="36" t="s">
        <v>268</v>
      </c>
      <c r="G95" s="64">
        <v>0</v>
      </c>
    </row>
    <row r="96" spans="2:7">
      <c r="B96" s="63" t="s">
        <v>301</v>
      </c>
      <c r="C96" s="36" t="s">
        <v>302</v>
      </c>
      <c r="D96" s="63" t="s">
        <v>263</v>
      </c>
      <c r="E96" s="36" t="s">
        <v>286</v>
      </c>
      <c r="F96" s="36" t="s">
        <v>268</v>
      </c>
      <c r="G96" s="64">
        <v>0</v>
      </c>
    </row>
    <row r="97" spans="2:7">
      <c r="B97" s="63" t="s">
        <v>303</v>
      </c>
      <c r="C97" s="36" t="s">
        <v>304</v>
      </c>
      <c r="D97" s="63" t="s">
        <v>263</v>
      </c>
      <c r="E97" s="36" t="s">
        <v>305</v>
      </c>
      <c r="F97" s="36" t="s">
        <v>268</v>
      </c>
      <c r="G97" s="64">
        <v>0</v>
      </c>
    </row>
    <row r="98" spans="2:7">
      <c r="B98" s="63" t="s">
        <v>306</v>
      </c>
      <c r="C98" s="36" t="s">
        <v>307</v>
      </c>
      <c r="D98" s="63" t="s">
        <v>263</v>
      </c>
      <c r="E98" s="36" t="s">
        <v>279</v>
      </c>
      <c r="F98" s="36" t="s">
        <v>268</v>
      </c>
      <c r="G98" s="64">
        <v>0</v>
      </c>
    </row>
    <row r="99" spans="2:7">
      <c r="B99" s="63" t="s">
        <v>308</v>
      </c>
      <c r="C99" s="36" t="s">
        <v>309</v>
      </c>
      <c r="D99" s="63" t="s">
        <v>263</v>
      </c>
      <c r="E99" s="36" t="s">
        <v>274</v>
      </c>
      <c r="F99" s="36" t="s">
        <v>268</v>
      </c>
      <c r="G99" s="64">
        <v>0</v>
      </c>
    </row>
    <row r="100" spans="2:7">
      <c r="B100" s="63" t="s">
        <v>310</v>
      </c>
      <c r="C100" s="36" t="s">
        <v>311</v>
      </c>
      <c r="D100" s="63" t="s">
        <v>263</v>
      </c>
      <c r="E100" s="36" t="s">
        <v>292</v>
      </c>
      <c r="F100" s="36" t="s">
        <v>268</v>
      </c>
      <c r="G100" s="64">
        <v>0</v>
      </c>
    </row>
    <row r="101" spans="2:7">
      <c r="B101" s="63" t="s">
        <v>312</v>
      </c>
      <c r="C101" s="36" t="s">
        <v>313</v>
      </c>
      <c r="D101" s="63" t="s">
        <v>314</v>
      </c>
      <c r="E101" s="36" t="s">
        <v>315</v>
      </c>
      <c r="F101" s="36" t="s">
        <v>113</v>
      </c>
      <c r="G101" s="64">
        <v>2000000000</v>
      </c>
    </row>
    <row r="102" spans="2:7">
      <c r="B102" s="63" t="s">
        <v>316</v>
      </c>
      <c r="C102" s="36" t="s">
        <v>317</v>
      </c>
      <c r="D102" s="63" t="s">
        <v>314</v>
      </c>
      <c r="E102" s="36" t="s">
        <v>318</v>
      </c>
      <c r="F102" s="36" t="s">
        <v>113</v>
      </c>
      <c r="G102" s="64">
        <v>0</v>
      </c>
    </row>
    <row r="103" spans="2:7">
      <c r="B103" s="63" t="s">
        <v>319</v>
      </c>
      <c r="C103" s="36" t="s">
        <v>320</v>
      </c>
      <c r="D103" s="63" t="s">
        <v>314</v>
      </c>
      <c r="E103" s="36" t="s">
        <v>321</v>
      </c>
      <c r="F103" s="36" t="s">
        <v>113</v>
      </c>
      <c r="G103" s="64">
        <v>0</v>
      </c>
    </row>
    <row r="104" spans="2:7">
      <c r="B104" s="63" t="s">
        <v>322</v>
      </c>
      <c r="C104" s="36" t="s">
        <v>323</v>
      </c>
      <c r="D104" s="63" t="s">
        <v>324</v>
      </c>
      <c r="E104" s="36" t="s">
        <v>325</v>
      </c>
      <c r="F104" s="36" t="s">
        <v>113</v>
      </c>
      <c r="G104" s="64">
        <v>0</v>
      </c>
    </row>
    <row r="105" spans="2:7">
      <c r="B105" s="63" t="s">
        <v>326</v>
      </c>
      <c r="C105" s="36" t="s">
        <v>327</v>
      </c>
      <c r="D105" s="63" t="s">
        <v>328</v>
      </c>
      <c r="E105" s="36" t="s">
        <v>329</v>
      </c>
      <c r="F105" s="36" t="s">
        <v>113</v>
      </c>
      <c r="G105" s="64">
        <v>-2650000000</v>
      </c>
    </row>
    <row r="106" spans="2:7">
      <c r="B106" s="63" t="s">
        <v>76</v>
      </c>
      <c r="C106" s="36" t="s">
        <v>330</v>
      </c>
      <c r="D106" s="63" t="s">
        <v>75</v>
      </c>
      <c r="E106" s="36" t="s">
        <v>331</v>
      </c>
      <c r="F106" s="36" t="s">
        <v>113</v>
      </c>
      <c r="G106" s="64">
        <v>0</v>
      </c>
    </row>
    <row r="107" spans="2:7">
      <c r="B107" s="63" t="s">
        <v>332</v>
      </c>
      <c r="C107" s="36" t="s">
        <v>333</v>
      </c>
      <c r="D107" s="63" t="s">
        <v>334</v>
      </c>
      <c r="E107" s="36" t="s">
        <v>335</v>
      </c>
      <c r="F107" s="36" t="s">
        <v>336</v>
      </c>
      <c r="G107" s="64">
        <v>0</v>
      </c>
    </row>
    <row r="108" spans="2:7">
      <c r="B108" s="63" t="s">
        <v>337</v>
      </c>
      <c r="C108" s="36" t="s">
        <v>338</v>
      </c>
      <c r="D108" s="63" t="s">
        <v>334</v>
      </c>
      <c r="E108" s="36" t="s">
        <v>335</v>
      </c>
      <c r="F108" s="36" t="s">
        <v>336</v>
      </c>
      <c r="G108" s="64">
        <v>0</v>
      </c>
    </row>
    <row r="109" spans="2:7">
      <c r="B109" s="63" t="s">
        <v>339</v>
      </c>
      <c r="C109" s="36" t="s">
        <v>340</v>
      </c>
      <c r="D109" s="63" t="s">
        <v>334</v>
      </c>
      <c r="E109" s="36" t="s">
        <v>335</v>
      </c>
      <c r="F109" s="36" t="s">
        <v>336</v>
      </c>
      <c r="G109" s="64">
        <v>0</v>
      </c>
    </row>
    <row r="110" spans="2:7">
      <c r="B110" s="63" t="s">
        <v>341</v>
      </c>
      <c r="C110" s="36" t="s">
        <v>342</v>
      </c>
      <c r="D110" s="63" t="s">
        <v>334</v>
      </c>
      <c r="E110" s="36" t="s">
        <v>335</v>
      </c>
      <c r="F110" s="36" t="s">
        <v>336</v>
      </c>
      <c r="G110" s="64">
        <v>0</v>
      </c>
    </row>
    <row r="111" spans="2:7">
      <c r="B111" s="63" t="s">
        <v>343</v>
      </c>
      <c r="C111" s="36" t="s">
        <v>344</v>
      </c>
      <c r="D111" s="63" t="s">
        <v>334</v>
      </c>
      <c r="E111" s="36" t="s">
        <v>335</v>
      </c>
      <c r="F111" s="36" t="s">
        <v>336</v>
      </c>
      <c r="G111" s="64">
        <v>0</v>
      </c>
    </row>
    <row r="112" spans="2:7">
      <c r="B112" s="63" t="s">
        <v>345</v>
      </c>
      <c r="C112" s="36" t="s">
        <v>346</v>
      </c>
      <c r="D112" s="63" t="s">
        <v>334</v>
      </c>
      <c r="E112" s="36" t="s">
        <v>335</v>
      </c>
      <c r="F112" s="36" t="s">
        <v>336</v>
      </c>
      <c r="G112" s="64">
        <v>0</v>
      </c>
    </row>
    <row r="113" spans="2:7">
      <c r="B113" s="63" t="s">
        <v>347</v>
      </c>
      <c r="C113" s="36" t="s">
        <v>348</v>
      </c>
      <c r="D113" s="63" t="s">
        <v>334</v>
      </c>
      <c r="E113" s="36" t="s">
        <v>335</v>
      </c>
      <c r="F113" s="36" t="s">
        <v>336</v>
      </c>
      <c r="G113" s="64">
        <v>0</v>
      </c>
    </row>
    <row r="114" spans="2:7">
      <c r="B114" s="63" t="s">
        <v>349</v>
      </c>
      <c r="C114" s="36" t="s">
        <v>350</v>
      </c>
      <c r="D114" s="63" t="s">
        <v>334</v>
      </c>
      <c r="E114" s="36" t="s">
        <v>335</v>
      </c>
      <c r="F114" s="36" t="s">
        <v>336</v>
      </c>
      <c r="G114" s="64">
        <v>0</v>
      </c>
    </row>
    <row r="115" spans="2:7">
      <c r="B115" s="63" t="s">
        <v>351</v>
      </c>
      <c r="C115" s="36" t="s">
        <v>352</v>
      </c>
      <c r="D115" s="63" t="s">
        <v>334</v>
      </c>
      <c r="E115" s="36" t="s">
        <v>335</v>
      </c>
      <c r="F115" s="36" t="s">
        <v>336</v>
      </c>
      <c r="G115" s="64">
        <v>0</v>
      </c>
    </row>
    <row r="116" spans="2:7">
      <c r="B116" s="63" t="s">
        <v>353</v>
      </c>
      <c r="C116" s="36" t="s">
        <v>354</v>
      </c>
      <c r="D116" s="63" t="s">
        <v>334</v>
      </c>
      <c r="E116" s="36" t="s">
        <v>335</v>
      </c>
      <c r="F116" s="36" t="s">
        <v>336</v>
      </c>
      <c r="G116" s="64">
        <v>0</v>
      </c>
    </row>
    <row r="117" spans="2:7">
      <c r="B117" s="65" t="s">
        <v>355</v>
      </c>
      <c r="C117" s="65"/>
      <c r="D117" s="65"/>
      <c r="E117" s="65"/>
      <c r="F117" s="65"/>
      <c r="G117" s="64">
        <v>0</v>
      </c>
    </row>
    <row r="118" spans="2:7">
      <c r="B118" s="65" t="s">
        <v>356</v>
      </c>
      <c r="C118" s="65"/>
      <c r="D118" s="65"/>
      <c r="E118" s="65"/>
      <c r="F118" s="65"/>
      <c r="G118" s="64">
        <v>0</v>
      </c>
    </row>
    <row r="119" spans="2:7">
      <c r="B119" s="65" t="s">
        <v>357</v>
      </c>
      <c r="C119" s="65"/>
      <c r="D119" s="65"/>
      <c r="E119" s="65"/>
      <c r="F119" s="65"/>
      <c r="G119" s="64">
        <v>0</v>
      </c>
    </row>
    <row r="120" spans="2:7">
      <c r="B120" s="65" t="s">
        <v>358</v>
      </c>
      <c r="C120" s="65"/>
      <c r="D120" s="65"/>
      <c r="E120" s="65"/>
      <c r="F120" s="65"/>
      <c r="G120" s="64">
        <v>0</v>
      </c>
    </row>
    <row r="121" spans="2:7">
      <c r="B121" s="65" t="s">
        <v>359</v>
      </c>
      <c r="C121" s="65"/>
      <c r="D121" s="65"/>
      <c r="E121" s="65"/>
      <c r="F121" s="65"/>
      <c r="G121" s="64">
        <v>0</v>
      </c>
    </row>
    <row r="122" spans="2:7">
      <c r="B122" s="65" t="s">
        <v>360</v>
      </c>
      <c r="C122" s="65"/>
      <c r="D122" s="65"/>
      <c r="E122" s="65"/>
      <c r="F122" s="65"/>
      <c r="G122" s="64">
        <v>0</v>
      </c>
    </row>
    <row r="123" spans="2:7">
      <c r="B123" s="65" t="s">
        <v>361</v>
      </c>
      <c r="C123" s="65"/>
      <c r="D123" s="65"/>
      <c r="E123" s="65"/>
      <c r="F123" s="65"/>
      <c r="G123" s="64">
        <v>0</v>
      </c>
    </row>
    <row r="124" spans="2:7">
      <c r="B124" s="65" t="s">
        <v>362</v>
      </c>
      <c r="C124" s="65"/>
      <c r="D124" s="65"/>
      <c r="E124" s="65"/>
      <c r="F124" s="65"/>
      <c r="G124" s="64">
        <v>0</v>
      </c>
    </row>
    <row r="125" spans="2:7">
      <c r="B125" s="65" t="s">
        <v>363</v>
      </c>
      <c r="C125" s="65"/>
      <c r="D125" s="65"/>
      <c r="E125" s="65"/>
      <c r="F125" s="65"/>
      <c r="G125" s="64">
        <v>0</v>
      </c>
    </row>
    <row r="126" spans="2:7">
      <c r="B126" s="65" t="s">
        <v>364</v>
      </c>
      <c r="C126" s="65"/>
      <c r="D126" s="65"/>
      <c r="E126" s="65"/>
      <c r="F126" s="65"/>
      <c r="G126" s="64">
        <v>0</v>
      </c>
    </row>
    <row r="127" spans="2:7">
      <c r="B127" s="65" t="s">
        <v>365</v>
      </c>
      <c r="C127" s="65"/>
      <c r="D127" s="65"/>
      <c r="E127" s="65"/>
      <c r="F127" s="65"/>
      <c r="G127" s="64">
        <v>0</v>
      </c>
    </row>
    <row r="128" spans="2:7">
      <c r="B128" s="65" t="s">
        <v>366</v>
      </c>
      <c r="C128" s="65"/>
      <c r="D128" s="65"/>
      <c r="E128" s="65"/>
      <c r="F128" s="65"/>
      <c r="G128" s="64">
        <v>0</v>
      </c>
    </row>
    <row r="129" spans="2:7">
      <c r="B129" s="65" t="s">
        <v>367</v>
      </c>
      <c r="C129" s="65"/>
      <c r="D129" s="65"/>
      <c r="E129" s="65"/>
      <c r="F129" s="65"/>
      <c r="G129" s="64">
        <v>0</v>
      </c>
    </row>
    <row r="130" spans="2:7">
      <c r="B130" s="65" t="s">
        <v>368</v>
      </c>
      <c r="C130" s="65"/>
      <c r="D130" s="65"/>
      <c r="E130" s="65"/>
      <c r="F130" s="65"/>
      <c r="G130" s="64">
        <v>0</v>
      </c>
    </row>
    <row r="131" spans="2:7">
      <c r="B131" s="65" t="s">
        <v>369</v>
      </c>
      <c r="C131" s="65"/>
      <c r="D131" s="65"/>
      <c r="E131" s="65"/>
      <c r="F131" s="65"/>
      <c r="G131" s="64">
        <v>0</v>
      </c>
    </row>
    <row r="132" spans="2:7">
      <c r="B132" s="65" t="s">
        <v>370</v>
      </c>
      <c r="C132" s="65"/>
      <c r="D132" s="65"/>
      <c r="E132" s="65"/>
      <c r="F132" s="65"/>
      <c r="G132" s="64">
        <v>0</v>
      </c>
    </row>
    <row r="133" spans="2:7">
      <c r="B133" s="65" t="s">
        <v>371</v>
      </c>
      <c r="C133" s="65"/>
      <c r="D133" s="65"/>
      <c r="E133" s="65"/>
      <c r="F133" s="65"/>
      <c r="G133" s="64">
        <v>0</v>
      </c>
    </row>
    <row r="134" spans="2:7">
      <c r="B134" s="65" t="s">
        <v>372</v>
      </c>
      <c r="C134" s="65"/>
      <c r="D134" s="65"/>
      <c r="E134" s="65"/>
      <c r="F134" s="65"/>
      <c r="G134" s="64">
        <v>0</v>
      </c>
    </row>
    <row r="135" spans="2:7">
      <c r="B135" s="65" t="s">
        <v>373</v>
      </c>
      <c r="C135" s="65"/>
      <c r="D135" s="65"/>
      <c r="E135" s="65"/>
      <c r="F135" s="65"/>
      <c r="G135" s="64">
        <v>0</v>
      </c>
    </row>
    <row r="136" spans="2:7">
      <c r="B136" s="65" t="s">
        <v>374</v>
      </c>
      <c r="C136" s="65"/>
      <c r="D136" s="65"/>
      <c r="E136" s="65"/>
      <c r="F136" s="65"/>
      <c r="G136" s="64">
        <v>0</v>
      </c>
    </row>
    <row r="137" spans="2:7">
      <c r="B137" s="65" t="s">
        <v>375</v>
      </c>
      <c r="C137" s="65"/>
      <c r="D137" s="65"/>
      <c r="E137" s="65"/>
      <c r="F137" s="65"/>
      <c r="G137" s="64">
        <v>0</v>
      </c>
    </row>
    <row r="138" spans="2:7">
      <c r="B138" s="65" t="s">
        <v>376</v>
      </c>
      <c r="C138" s="65"/>
      <c r="D138" s="65"/>
      <c r="E138" s="65"/>
      <c r="F138" s="65"/>
      <c r="G138" s="64">
        <v>0</v>
      </c>
    </row>
    <row r="139" spans="2:7">
      <c r="B139" s="65" t="s">
        <v>377</v>
      </c>
      <c r="C139" s="65"/>
      <c r="D139" s="65"/>
      <c r="E139" s="65"/>
      <c r="F139" s="65"/>
      <c r="G139" s="64">
        <v>0</v>
      </c>
    </row>
    <row r="140" spans="2:7">
      <c r="B140" s="65" t="s">
        <v>378</v>
      </c>
      <c r="C140" s="65"/>
      <c r="D140" s="65"/>
      <c r="E140" s="65"/>
      <c r="F140" s="65"/>
      <c r="G140" s="64">
        <v>0</v>
      </c>
    </row>
    <row r="141" spans="2:7">
      <c r="B141" s="65" t="s">
        <v>379</v>
      </c>
      <c r="C141" s="65"/>
      <c r="D141" s="65"/>
      <c r="E141" s="65"/>
      <c r="F141" s="65"/>
      <c r="G141" s="64">
        <v>0</v>
      </c>
    </row>
    <row r="142" spans="2:7">
      <c r="B142" s="65" t="s">
        <v>380</v>
      </c>
      <c r="C142" s="65"/>
      <c r="D142" s="65"/>
      <c r="E142" s="65"/>
      <c r="F142" s="65"/>
      <c r="G142" s="64">
        <v>0</v>
      </c>
    </row>
    <row r="143" spans="2:7">
      <c r="B143" s="65" t="s">
        <v>381</v>
      </c>
      <c r="C143" s="65"/>
      <c r="D143" s="65"/>
      <c r="E143" s="65"/>
      <c r="F143" s="65"/>
      <c r="G143" s="64">
        <v>0</v>
      </c>
    </row>
    <row r="144" spans="2:7">
      <c r="B144" s="65" t="s">
        <v>382</v>
      </c>
      <c r="C144" s="65"/>
      <c r="D144" s="65"/>
      <c r="E144" s="65"/>
      <c r="F144" s="65"/>
      <c r="G144" s="64">
        <v>0</v>
      </c>
    </row>
    <row r="145" spans="2:7">
      <c r="B145" s="65" t="s">
        <v>383</v>
      </c>
      <c r="C145" s="65"/>
      <c r="D145" s="65"/>
      <c r="E145" s="65"/>
      <c r="F145" s="65"/>
      <c r="G145" s="64">
        <v>0</v>
      </c>
    </row>
    <row r="146" spans="2:7">
      <c r="B146" s="65" t="s">
        <v>384</v>
      </c>
      <c r="C146" s="65"/>
      <c r="D146" s="65"/>
      <c r="E146" s="65"/>
      <c r="F146" s="65"/>
      <c r="G146" s="64">
        <v>0</v>
      </c>
    </row>
    <row r="147" spans="2:7">
      <c r="B147" s="65" t="s">
        <v>385</v>
      </c>
      <c r="C147" s="65"/>
      <c r="D147" s="65"/>
      <c r="E147" s="65"/>
      <c r="F147" s="65"/>
      <c r="G147" s="64">
        <v>0</v>
      </c>
    </row>
    <row r="148" spans="2:7">
      <c r="B148" s="65" t="s">
        <v>386</v>
      </c>
      <c r="C148" s="65"/>
      <c r="D148" s="65"/>
      <c r="E148" s="65"/>
      <c r="F148" s="65"/>
      <c r="G148" s="64">
        <v>0</v>
      </c>
    </row>
    <row r="149" spans="2:7">
      <c r="B149" s="65" t="s">
        <v>387</v>
      </c>
      <c r="C149" s="65"/>
      <c r="D149" s="65"/>
      <c r="E149" s="65"/>
      <c r="F149" s="65"/>
      <c r="G149" s="64">
        <v>0</v>
      </c>
    </row>
    <row r="150" spans="2:7">
      <c r="B150" s="65" t="s">
        <v>388</v>
      </c>
      <c r="C150" s="65"/>
      <c r="D150" s="65"/>
      <c r="E150" s="65"/>
      <c r="F150" s="65"/>
      <c r="G150" s="64">
        <v>0</v>
      </c>
    </row>
    <row r="151" spans="2:7">
      <c r="B151" s="65" t="s">
        <v>389</v>
      </c>
      <c r="C151" s="65"/>
      <c r="D151" s="65"/>
      <c r="E151" s="65"/>
      <c r="F151" s="65"/>
      <c r="G151" s="64">
        <v>0</v>
      </c>
    </row>
    <row r="152" spans="2:7">
      <c r="B152" s="65" t="s">
        <v>390</v>
      </c>
      <c r="C152" s="65"/>
      <c r="D152" s="65"/>
      <c r="E152" s="65"/>
      <c r="F152" s="65"/>
      <c r="G152" s="64">
        <v>0</v>
      </c>
    </row>
    <row r="153" spans="2:7">
      <c r="B153" s="65" t="s">
        <v>391</v>
      </c>
      <c r="C153" s="65"/>
      <c r="D153" s="65"/>
      <c r="E153" s="65"/>
      <c r="F153" s="65"/>
      <c r="G153" s="64">
        <v>0</v>
      </c>
    </row>
    <row r="154" spans="2:7">
      <c r="B154" s="65" t="s">
        <v>392</v>
      </c>
      <c r="C154" s="65"/>
      <c r="D154" s="65"/>
      <c r="E154" s="65"/>
      <c r="F154" s="65"/>
      <c r="G154" s="64">
        <v>0</v>
      </c>
    </row>
    <row r="155" spans="2:7">
      <c r="B155" s="65" t="s">
        <v>393</v>
      </c>
      <c r="C155" s="65"/>
      <c r="D155" s="65"/>
      <c r="E155" s="65"/>
      <c r="F155" s="65"/>
      <c r="G155" s="64">
        <v>0</v>
      </c>
    </row>
    <row r="156" spans="2:7">
      <c r="B156" s="65" t="s">
        <v>394</v>
      </c>
      <c r="C156" s="65"/>
      <c r="D156" s="65"/>
      <c r="E156" s="65"/>
      <c r="F156" s="65"/>
      <c r="G156" s="64">
        <v>0</v>
      </c>
    </row>
    <row r="157" spans="2:7">
      <c r="B157" s="65" t="s">
        <v>395</v>
      </c>
      <c r="C157" s="65"/>
      <c r="D157" s="65"/>
      <c r="E157" s="65"/>
      <c r="F157" s="65"/>
      <c r="G157" s="64">
        <v>0</v>
      </c>
    </row>
    <row r="158" spans="2:7">
      <c r="B158" s="65" t="s">
        <v>396</v>
      </c>
      <c r="C158" s="65"/>
      <c r="D158" s="65"/>
      <c r="E158" s="65"/>
      <c r="F158" s="65"/>
      <c r="G158" s="64">
        <v>0</v>
      </c>
    </row>
    <row r="159" spans="2:7">
      <c r="B159" s="65" t="s">
        <v>397</v>
      </c>
      <c r="C159" s="65"/>
      <c r="D159" s="65"/>
      <c r="E159" s="65"/>
      <c r="F159" s="65"/>
      <c r="G159" s="64">
        <v>0</v>
      </c>
    </row>
    <row r="160" spans="2:7">
      <c r="B160" s="65" t="s">
        <v>398</v>
      </c>
      <c r="C160" s="65"/>
      <c r="D160" s="65"/>
      <c r="E160" s="65"/>
      <c r="F160" s="65"/>
      <c r="G160" s="64">
        <v>0</v>
      </c>
    </row>
    <row r="161" spans="2:7">
      <c r="B161" s="65" t="s">
        <v>399</v>
      </c>
      <c r="C161" s="65"/>
      <c r="D161" s="65"/>
      <c r="E161" s="65"/>
      <c r="F161" s="65"/>
      <c r="G161" s="64">
        <v>0</v>
      </c>
    </row>
    <row r="162" spans="2:7">
      <c r="B162" s="65" t="s">
        <v>400</v>
      </c>
      <c r="C162" s="65"/>
      <c r="D162" s="65"/>
      <c r="E162" s="65"/>
      <c r="F162" s="65"/>
      <c r="G162" s="64">
        <v>0</v>
      </c>
    </row>
    <row r="163" spans="2:7">
      <c r="B163" s="65" t="s">
        <v>401</v>
      </c>
      <c r="C163" s="65"/>
      <c r="D163" s="65"/>
      <c r="E163" s="65"/>
      <c r="F163" s="65"/>
      <c r="G163" s="64">
        <v>0</v>
      </c>
    </row>
    <row r="164" spans="2:7">
      <c r="B164" s="65" t="s">
        <v>402</v>
      </c>
      <c r="C164" s="65"/>
      <c r="D164" s="65"/>
      <c r="E164" s="65"/>
      <c r="F164" s="65"/>
      <c r="G164" s="64">
        <v>0</v>
      </c>
    </row>
    <row r="165" spans="2:7">
      <c r="B165" s="65" t="s">
        <v>403</v>
      </c>
      <c r="C165" s="65"/>
      <c r="D165" s="65"/>
      <c r="E165" s="65"/>
      <c r="F165" s="65"/>
      <c r="G165" s="64">
        <v>0</v>
      </c>
    </row>
    <row r="166" spans="2:7">
      <c r="B166" s="65" t="s">
        <v>404</v>
      </c>
      <c r="C166" s="65"/>
      <c r="D166" s="65"/>
      <c r="E166" s="65"/>
      <c r="F166" s="65"/>
      <c r="G166" s="64">
        <v>0</v>
      </c>
    </row>
    <row r="167" spans="2:7">
      <c r="B167" s="65" t="s">
        <v>405</v>
      </c>
      <c r="C167" s="65"/>
      <c r="D167" s="65"/>
      <c r="E167" s="65"/>
      <c r="F167" s="65"/>
      <c r="G167" s="64">
        <v>0</v>
      </c>
    </row>
    <row r="168" spans="2:7">
      <c r="B168" s="65" t="s">
        <v>406</v>
      </c>
      <c r="C168" s="65"/>
      <c r="D168" s="65"/>
      <c r="E168" s="65"/>
      <c r="F168" s="65"/>
      <c r="G168" s="64">
        <v>0</v>
      </c>
    </row>
    <row r="169" spans="2:7">
      <c r="B169" s="65" t="s">
        <v>407</v>
      </c>
      <c r="C169" s="65"/>
      <c r="D169" s="65"/>
      <c r="E169" s="65"/>
      <c r="F169" s="65"/>
      <c r="G169" s="64">
        <v>0</v>
      </c>
    </row>
    <row r="170" spans="2:7">
      <c r="B170" s="65" t="s">
        <v>408</v>
      </c>
      <c r="C170" s="65"/>
      <c r="D170" s="65"/>
      <c r="E170" s="65"/>
      <c r="F170" s="65"/>
      <c r="G170" s="64">
        <v>0</v>
      </c>
    </row>
    <row r="171" spans="2:7">
      <c r="B171" s="65" t="s">
        <v>409</v>
      </c>
      <c r="C171" s="65"/>
      <c r="D171" s="65"/>
      <c r="E171" s="65"/>
      <c r="F171" s="65"/>
      <c r="G171" s="64">
        <v>0</v>
      </c>
    </row>
    <row r="172" spans="2:7">
      <c r="B172" s="65" t="s">
        <v>410</v>
      </c>
      <c r="C172" s="65"/>
      <c r="D172" s="65"/>
      <c r="E172" s="65"/>
      <c r="F172" s="65"/>
      <c r="G172" s="64">
        <v>0</v>
      </c>
    </row>
    <row r="173" spans="2:7">
      <c r="B173" s="65" t="s">
        <v>411</v>
      </c>
      <c r="C173" s="65"/>
      <c r="D173" s="65"/>
      <c r="E173" s="65"/>
      <c r="F173" s="65"/>
      <c r="G173" s="64">
        <v>0</v>
      </c>
    </row>
    <row r="174" spans="2:7">
      <c r="B174" s="65" t="s">
        <v>412</v>
      </c>
      <c r="C174" s="65"/>
      <c r="D174" s="65"/>
      <c r="E174" s="65"/>
      <c r="F174" s="65"/>
      <c r="G174" s="64">
        <v>0</v>
      </c>
    </row>
    <row r="175" spans="2:7">
      <c r="B175" s="65" t="s">
        <v>413</v>
      </c>
      <c r="C175" s="65"/>
      <c r="D175" s="65"/>
      <c r="E175" s="65"/>
      <c r="F175" s="65"/>
      <c r="G175" s="64">
        <v>0</v>
      </c>
    </row>
    <row r="176" spans="2:7">
      <c r="B176" s="65" t="s">
        <v>414</v>
      </c>
      <c r="C176" s="65"/>
      <c r="D176" s="65"/>
      <c r="E176" s="65"/>
      <c r="F176" s="65"/>
      <c r="G176" s="64">
        <v>0</v>
      </c>
    </row>
    <row r="177" spans="2:7">
      <c r="B177" s="65" t="s">
        <v>415</v>
      </c>
      <c r="C177" s="65"/>
      <c r="D177" s="65"/>
      <c r="E177" s="65"/>
      <c r="F177" s="65"/>
      <c r="G177" s="64">
        <v>0</v>
      </c>
    </row>
    <row r="178" spans="2:7">
      <c r="B178" s="65" t="s">
        <v>416</v>
      </c>
      <c r="C178" s="65"/>
      <c r="D178" s="65"/>
      <c r="E178" s="65"/>
      <c r="F178" s="65"/>
      <c r="G178" s="64">
        <v>0</v>
      </c>
    </row>
    <row r="179" spans="2:7">
      <c r="B179" s="65" t="s">
        <v>417</v>
      </c>
      <c r="C179" s="65"/>
      <c r="D179" s="65"/>
      <c r="E179" s="65"/>
      <c r="F179" s="65"/>
      <c r="G179" s="64">
        <v>0</v>
      </c>
    </row>
    <row r="180" spans="2:7">
      <c r="B180" s="65" t="s">
        <v>418</v>
      </c>
      <c r="C180" s="65"/>
      <c r="D180" s="65"/>
      <c r="E180" s="65"/>
      <c r="F180" s="65"/>
      <c r="G180" s="64">
        <v>0</v>
      </c>
    </row>
    <row r="181" spans="2:7">
      <c r="B181" s="65" t="s">
        <v>419</v>
      </c>
      <c r="C181" s="65"/>
      <c r="D181" s="65"/>
      <c r="E181" s="65"/>
      <c r="F181" s="65"/>
      <c r="G181" s="64">
        <v>0</v>
      </c>
    </row>
    <row r="182" spans="2:7">
      <c r="B182" s="65" t="s">
        <v>420</v>
      </c>
      <c r="C182" s="65"/>
      <c r="D182" s="65"/>
      <c r="E182" s="65"/>
      <c r="F182" s="65"/>
      <c r="G182" s="64">
        <v>0</v>
      </c>
    </row>
    <row r="183" spans="2:7">
      <c r="B183" s="65" t="s">
        <v>421</v>
      </c>
      <c r="C183" s="65"/>
      <c r="D183" s="65"/>
      <c r="E183" s="65"/>
      <c r="F183" s="65"/>
      <c r="G183" s="64">
        <v>0</v>
      </c>
    </row>
    <row r="184" spans="2:7">
      <c r="B184" s="65" t="s">
        <v>422</v>
      </c>
      <c r="C184" s="65"/>
      <c r="D184" s="65"/>
      <c r="E184" s="65"/>
      <c r="F184" s="65"/>
      <c r="G184" s="64">
        <v>0</v>
      </c>
    </row>
    <row r="185" spans="2:7">
      <c r="B185" s="65" t="s">
        <v>423</v>
      </c>
      <c r="C185" s="65"/>
      <c r="D185" s="65"/>
      <c r="E185" s="65"/>
      <c r="F185" s="65"/>
      <c r="G185" s="64">
        <v>0</v>
      </c>
    </row>
    <row r="186" spans="2:7">
      <c r="B186" s="65" t="s">
        <v>424</v>
      </c>
      <c r="C186" s="65"/>
      <c r="D186" s="65"/>
      <c r="E186" s="65"/>
      <c r="F186" s="65"/>
      <c r="G186" s="64">
        <v>0</v>
      </c>
    </row>
    <row r="187" spans="2:7">
      <c r="B187" s="65" t="s">
        <v>425</v>
      </c>
      <c r="C187" s="65"/>
      <c r="D187" s="65"/>
      <c r="E187" s="65"/>
      <c r="F187" s="65"/>
      <c r="G187" s="64">
        <v>0</v>
      </c>
    </row>
    <row r="188" spans="2:7">
      <c r="B188" s="65" t="s">
        <v>426</v>
      </c>
      <c r="C188" s="65"/>
      <c r="D188" s="65"/>
      <c r="E188" s="65"/>
      <c r="F188" s="65"/>
      <c r="G188" s="64">
        <v>0</v>
      </c>
    </row>
    <row r="189" spans="2:7">
      <c r="B189" s="65" t="s">
        <v>427</v>
      </c>
      <c r="C189" s="65"/>
      <c r="D189" s="65"/>
      <c r="E189" s="65"/>
      <c r="F189" s="65"/>
      <c r="G189" s="64">
        <v>0</v>
      </c>
    </row>
    <row r="190" spans="2:7">
      <c r="B190" s="65" t="s">
        <v>428</v>
      </c>
      <c r="C190" s="65"/>
      <c r="D190" s="65"/>
      <c r="E190" s="65"/>
      <c r="F190" s="65"/>
      <c r="G190" s="64">
        <v>0</v>
      </c>
    </row>
    <row r="191" spans="2:7">
      <c r="B191" s="65" t="s">
        <v>429</v>
      </c>
      <c r="C191" s="65"/>
      <c r="D191" s="65"/>
      <c r="E191" s="65"/>
      <c r="F191" s="65"/>
      <c r="G191" s="64">
        <v>0</v>
      </c>
    </row>
    <row r="192" spans="2:7">
      <c r="B192" s="65" t="s">
        <v>430</v>
      </c>
      <c r="C192" s="65"/>
      <c r="D192" s="65"/>
      <c r="E192" s="65"/>
      <c r="F192" s="65"/>
      <c r="G192" s="64">
        <v>0</v>
      </c>
    </row>
    <row r="193" spans="2:7">
      <c r="B193" s="65" t="s">
        <v>431</v>
      </c>
      <c r="C193" s="65"/>
      <c r="D193" s="65"/>
      <c r="E193" s="65"/>
      <c r="F193" s="65"/>
      <c r="G193" s="64">
        <v>0</v>
      </c>
    </row>
    <row r="194" spans="2:7">
      <c r="B194" s="65" t="s">
        <v>432</v>
      </c>
      <c r="C194" s="65"/>
      <c r="D194" s="65"/>
      <c r="E194" s="65"/>
      <c r="F194" s="65"/>
      <c r="G194" s="64">
        <v>0</v>
      </c>
    </row>
    <row r="195" spans="2:7">
      <c r="B195" s="65" t="s">
        <v>433</v>
      </c>
      <c r="C195" s="65"/>
      <c r="D195" s="65"/>
      <c r="E195" s="65"/>
      <c r="F195" s="65"/>
      <c r="G195" s="64">
        <v>0</v>
      </c>
    </row>
    <row r="196" spans="2:7">
      <c r="B196" s="65" t="s">
        <v>434</v>
      </c>
      <c r="C196" s="65"/>
      <c r="D196" s="65"/>
      <c r="E196" s="65"/>
      <c r="F196" s="65"/>
      <c r="G196" s="64">
        <v>0</v>
      </c>
    </row>
    <row r="197" spans="2:7">
      <c r="B197" s="65" t="s">
        <v>435</v>
      </c>
      <c r="C197" s="65"/>
      <c r="D197" s="65"/>
      <c r="E197" s="65"/>
      <c r="F197" s="65"/>
      <c r="G197" s="64">
        <v>0</v>
      </c>
    </row>
    <row r="198" spans="2:7">
      <c r="B198" s="65" t="s">
        <v>436</v>
      </c>
      <c r="C198" s="65"/>
      <c r="D198" s="65"/>
      <c r="E198" s="65"/>
      <c r="F198" s="65"/>
      <c r="G198" s="64">
        <v>0</v>
      </c>
    </row>
    <row r="199" spans="2:7">
      <c r="B199" s="65" t="s">
        <v>437</v>
      </c>
      <c r="C199" s="65"/>
      <c r="D199" s="65"/>
      <c r="E199" s="65"/>
      <c r="F199" s="65"/>
      <c r="G199" s="64">
        <v>0</v>
      </c>
    </row>
    <row r="200" spans="2:7">
      <c r="B200" s="65" t="s">
        <v>438</v>
      </c>
      <c r="C200" s="65"/>
      <c r="D200" s="65"/>
      <c r="E200" s="65"/>
      <c r="F200" s="65"/>
      <c r="G200" s="64">
        <v>0</v>
      </c>
    </row>
    <row r="201" spans="2:7">
      <c r="B201" s="65" t="s">
        <v>439</v>
      </c>
      <c r="C201" s="65"/>
      <c r="D201" s="65"/>
      <c r="E201" s="65"/>
      <c r="F201" s="65"/>
      <c r="G201" s="64">
        <v>0</v>
      </c>
    </row>
    <row r="202" spans="2:7">
      <c r="B202" s="65" t="s">
        <v>440</v>
      </c>
      <c r="C202" s="65"/>
      <c r="D202" s="65"/>
      <c r="E202" s="65"/>
      <c r="F202" s="65"/>
      <c r="G202" s="64">
        <v>0</v>
      </c>
    </row>
    <row r="203" spans="2:7">
      <c r="B203" s="65" t="s">
        <v>441</v>
      </c>
      <c r="C203" s="65"/>
      <c r="D203" s="65"/>
      <c r="E203" s="65"/>
      <c r="F203" s="65"/>
      <c r="G203" s="64">
        <v>0</v>
      </c>
    </row>
    <row r="204" spans="2:7">
      <c r="B204" s="65" t="s">
        <v>442</v>
      </c>
      <c r="C204" s="65"/>
      <c r="D204" s="65"/>
      <c r="E204" s="65"/>
      <c r="F204" s="65"/>
      <c r="G204" s="64">
        <v>0</v>
      </c>
    </row>
    <row r="205" spans="2:7">
      <c r="B205" s="65" t="s">
        <v>443</v>
      </c>
      <c r="C205" s="65"/>
      <c r="D205" s="65"/>
      <c r="E205" s="65"/>
      <c r="F205" s="65"/>
      <c r="G205" s="64">
        <v>0</v>
      </c>
    </row>
    <row r="206" spans="2:7">
      <c r="B206" s="65" t="s">
        <v>444</v>
      </c>
      <c r="C206" s="65"/>
      <c r="D206" s="65"/>
      <c r="E206" s="65"/>
      <c r="F206" s="65"/>
      <c r="G206" s="64">
        <v>0</v>
      </c>
    </row>
    <row r="207" spans="2:7">
      <c r="B207" s="65" t="s">
        <v>445</v>
      </c>
      <c r="C207" s="65"/>
      <c r="D207" s="65"/>
      <c r="E207" s="65"/>
      <c r="F207" s="65"/>
      <c r="G207" s="64">
        <v>0</v>
      </c>
    </row>
    <row r="208" spans="2:7">
      <c r="B208" s="65" t="s">
        <v>446</v>
      </c>
      <c r="C208" s="65"/>
      <c r="D208" s="65"/>
      <c r="E208" s="65"/>
      <c r="F208" s="65"/>
      <c r="G208" s="64">
        <v>0</v>
      </c>
    </row>
    <row r="209" spans="2:7">
      <c r="B209" s="65" t="s">
        <v>447</v>
      </c>
      <c r="C209" s="65"/>
      <c r="D209" s="65"/>
      <c r="E209" s="65"/>
      <c r="F209" s="65"/>
      <c r="G209" s="64">
        <v>0</v>
      </c>
    </row>
    <row r="210" spans="2:7">
      <c r="B210" s="65" t="s">
        <v>448</v>
      </c>
      <c r="C210" s="65"/>
      <c r="D210" s="65"/>
      <c r="E210" s="65"/>
      <c r="F210" s="65"/>
      <c r="G210" s="64">
        <v>0</v>
      </c>
    </row>
    <row r="211" spans="2:7">
      <c r="B211" s="65" t="s">
        <v>449</v>
      </c>
      <c r="C211" s="65"/>
      <c r="D211" s="65"/>
      <c r="E211" s="65"/>
      <c r="F211" s="65"/>
      <c r="G211" s="64">
        <v>0</v>
      </c>
    </row>
    <row r="212" spans="2:7">
      <c r="B212" s="65" t="s">
        <v>450</v>
      </c>
      <c r="C212" s="65"/>
      <c r="D212" s="65"/>
      <c r="E212" s="65"/>
      <c r="F212" s="65"/>
      <c r="G212" s="64">
        <v>0</v>
      </c>
    </row>
    <row r="213" spans="2:7">
      <c r="B213" s="65" t="s">
        <v>451</v>
      </c>
      <c r="C213" s="65"/>
      <c r="D213" s="65"/>
      <c r="E213" s="65"/>
      <c r="F213" s="65"/>
      <c r="G213" s="64">
        <v>0</v>
      </c>
    </row>
    <row r="214" spans="2:7">
      <c r="B214" s="65" t="s">
        <v>452</v>
      </c>
      <c r="C214" s="65"/>
      <c r="D214" s="65"/>
      <c r="E214" s="65"/>
      <c r="F214" s="65"/>
      <c r="G214" s="64">
        <v>0</v>
      </c>
    </row>
    <row r="215" spans="2:7">
      <c r="B215" s="65" t="s">
        <v>453</v>
      </c>
      <c r="C215" s="65"/>
      <c r="D215" s="65"/>
      <c r="E215" s="65"/>
      <c r="F215" s="65"/>
      <c r="G215" s="64">
        <v>0</v>
      </c>
    </row>
    <row r="216" spans="2:7">
      <c r="B216" s="65" t="s">
        <v>454</v>
      </c>
      <c r="C216" s="65"/>
      <c r="D216" s="65"/>
      <c r="E216" s="65"/>
      <c r="F216" s="65"/>
      <c r="G216" s="64">
        <v>0</v>
      </c>
    </row>
    <row r="217" spans="2:7">
      <c r="B217" s="65" t="s">
        <v>455</v>
      </c>
      <c r="C217" s="65"/>
      <c r="D217" s="65"/>
      <c r="E217" s="65"/>
      <c r="F217" s="65"/>
      <c r="G217" s="64">
        <v>0</v>
      </c>
    </row>
    <row r="218" spans="2:7">
      <c r="B218" s="65" t="s">
        <v>456</v>
      </c>
      <c r="C218" s="65"/>
      <c r="D218" s="65"/>
      <c r="E218" s="65"/>
      <c r="F218" s="65"/>
      <c r="G218" s="64">
        <v>0</v>
      </c>
    </row>
    <row r="219" spans="2:7">
      <c r="B219" s="65" t="s">
        <v>457</v>
      </c>
      <c r="C219" s="65"/>
      <c r="D219" s="65"/>
      <c r="E219" s="65"/>
      <c r="F219" s="65"/>
      <c r="G219" s="64">
        <v>0</v>
      </c>
    </row>
    <row r="220" spans="2:7">
      <c r="B220" s="65" t="s">
        <v>458</v>
      </c>
      <c r="C220" s="65"/>
      <c r="D220" s="65"/>
      <c r="E220" s="65"/>
      <c r="F220" s="65"/>
      <c r="G220" s="64">
        <v>0</v>
      </c>
    </row>
    <row r="221" spans="2:7">
      <c r="B221" s="65" t="s">
        <v>459</v>
      </c>
      <c r="C221" s="65"/>
      <c r="D221" s="65"/>
      <c r="E221" s="65"/>
      <c r="F221" s="65"/>
      <c r="G221" s="64">
        <v>0</v>
      </c>
    </row>
    <row r="222" spans="2:7">
      <c r="B222" s="65" t="s">
        <v>460</v>
      </c>
      <c r="C222" s="65"/>
      <c r="D222" s="65"/>
      <c r="E222" s="65"/>
      <c r="F222" s="65"/>
      <c r="G222" s="64">
        <v>0</v>
      </c>
    </row>
    <row r="223" spans="2:7">
      <c r="B223" s="65" t="s">
        <v>461</v>
      </c>
      <c r="C223" s="65"/>
      <c r="D223" s="65"/>
      <c r="E223" s="65"/>
      <c r="F223" s="65"/>
      <c r="G223" s="64">
        <v>0</v>
      </c>
    </row>
    <row r="224" spans="2:7">
      <c r="B224" s="65" t="s">
        <v>462</v>
      </c>
      <c r="C224" s="65"/>
      <c r="D224" s="65"/>
      <c r="E224" s="65"/>
      <c r="F224" s="65"/>
      <c r="G224" s="64">
        <v>0</v>
      </c>
    </row>
    <row r="225" spans="2:7">
      <c r="B225" s="65" t="s">
        <v>463</v>
      </c>
      <c r="C225" s="65"/>
      <c r="D225" s="65"/>
      <c r="E225" s="65"/>
      <c r="F225" s="65"/>
      <c r="G225" s="64">
        <v>0</v>
      </c>
    </row>
    <row r="226" spans="2:7">
      <c r="B226" s="65" t="s">
        <v>464</v>
      </c>
      <c r="C226" s="65"/>
      <c r="D226" s="65"/>
      <c r="E226" s="65"/>
      <c r="F226" s="65"/>
      <c r="G226" s="64">
        <v>0</v>
      </c>
    </row>
    <row r="227" spans="2:7">
      <c r="B227" s="65" t="s">
        <v>465</v>
      </c>
      <c r="C227" s="65"/>
      <c r="D227" s="65"/>
      <c r="E227" s="65"/>
      <c r="F227" s="65"/>
      <c r="G227" s="64">
        <v>0</v>
      </c>
    </row>
    <row r="228" spans="2:7">
      <c r="B228" s="65" t="s">
        <v>466</v>
      </c>
      <c r="C228" s="65"/>
      <c r="D228" s="65"/>
      <c r="E228" s="65"/>
      <c r="F228" s="65"/>
      <c r="G228" s="64">
        <v>0</v>
      </c>
    </row>
    <row r="229" spans="2:7">
      <c r="B229" s="65" t="s">
        <v>467</v>
      </c>
      <c r="C229" s="65"/>
      <c r="D229" s="65"/>
      <c r="E229" s="65"/>
      <c r="F229" s="65"/>
      <c r="G229" s="64">
        <v>0</v>
      </c>
    </row>
    <row r="230" spans="2:7">
      <c r="B230" s="65" t="s">
        <v>468</v>
      </c>
      <c r="C230" s="65"/>
      <c r="D230" s="65"/>
      <c r="E230" s="65"/>
      <c r="F230" s="65"/>
      <c r="G230" s="64">
        <v>0</v>
      </c>
    </row>
    <row r="231" spans="2:7">
      <c r="B231" s="65" t="s">
        <v>469</v>
      </c>
      <c r="C231" s="65"/>
      <c r="D231" s="65"/>
      <c r="E231" s="65"/>
      <c r="F231" s="65"/>
      <c r="G231" s="64">
        <v>0</v>
      </c>
    </row>
    <row r="232" spans="2:7">
      <c r="B232" s="65" t="s">
        <v>470</v>
      </c>
      <c r="C232" s="65"/>
      <c r="D232" s="65"/>
      <c r="E232" s="65"/>
      <c r="F232" s="65"/>
      <c r="G232" s="64">
        <v>0</v>
      </c>
    </row>
    <row r="233" spans="2:7">
      <c r="B233" s="65" t="s">
        <v>471</v>
      </c>
      <c r="C233" s="65"/>
      <c r="D233" s="65"/>
      <c r="E233" s="65"/>
      <c r="F233" s="65"/>
      <c r="G233" s="64">
        <v>0</v>
      </c>
    </row>
    <row r="234" spans="2:7">
      <c r="B234" s="65" t="s">
        <v>472</v>
      </c>
      <c r="C234" s="65"/>
      <c r="D234" s="65"/>
      <c r="E234" s="65"/>
      <c r="F234" s="65"/>
      <c r="G234" s="64">
        <v>0</v>
      </c>
    </row>
    <row r="235" spans="2:7">
      <c r="B235" s="65" t="s">
        <v>473</v>
      </c>
      <c r="C235" s="65"/>
      <c r="D235" s="65"/>
      <c r="E235" s="65"/>
      <c r="F235" s="65"/>
      <c r="G235" s="64">
        <v>0</v>
      </c>
    </row>
    <row r="236" spans="2:7">
      <c r="B236" s="65" t="s">
        <v>474</v>
      </c>
      <c r="C236" s="65"/>
      <c r="D236" s="65"/>
      <c r="E236" s="65"/>
      <c r="F236" s="65"/>
      <c r="G236" s="64">
        <v>0</v>
      </c>
    </row>
    <row r="237" spans="2:7">
      <c r="B237" s="65" t="s">
        <v>475</v>
      </c>
      <c r="C237" s="65"/>
      <c r="D237" s="65"/>
      <c r="E237" s="65"/>
      <c r="F237" s="65"/>
      <c r="G237" s="64">
        <v>0</v>
      </c>
    </row>
    <row r="238" spans="2:7">
      <c r="B238" s="65" t="s">
        <v>476</v>
      </c>
      <c r="C238" s="65"/>
      <c r="D238" s="65"/>
      <c r="E238" s="65"/>
      <c r="F238" s="65"/>
      <c r="G238" s="64">
        <v>0</v>
      </c>
    </row>
    <row r="239" spans="2:7">
      <c r="B239" s="65" t="s">
        <v>477</v>
      </c>
      <c r="C239" s="65"/>
      <c r="D239" s="65"/>
      <c r="E239" s="65"/>
      <c r="F239" s="65"/>
      <c r="G239" s="64">
        <v>0</v>
      </c>
    </row>
    <row r="240" spans="2:7">
      <c r="B240" s="65" t="s">
        <v>478</v>
      </c>
      <c r="C240" s="65"/>
      <c r="D240" s="65"/>
      <c r="E240" s="65"/>
      <c r="F240" s="65"/>
      <c r="G240" s="64">
        <v>0</v>
      </c>
    </row>
    <row r="241" spans="2:7">
      <c r="B241" s="65" t="s">
        <v>479</v>
      </c>
      <c r="C241" s="65"/>
      <c r="D241" s="65"/>
      <c r="E241" s="65"/>
      <c r="F241" s="65"/>
      <c r="G241" s="64">
        <v>0</v>
      </c>
    </row>
    <row r="242" spans="2:7">
      <c r="B242" s="65" t="s">
        <v>480</v>
      </c>
      <c r="C242" s="65"/>
      <c r="D242" s="65"/>
      <c r="E242" s="65"/>
      <c r="F242" s="65"/>
      <c r="G242" s="64">
        <v>0</v>
      </c>
    </row>
    <row r="243" spans="2:7">
      <c r="B243" s="65" t="s">
        <v>481</v>
      </c>
      <c r="C243" s="65"/>
      <c r="D243" s="65"/>
      <c r="E243" s="65"/>
      <c r="F243" s="65"/>
      <c r="G243" s="64">
        <v>0</v>
      </c>
    </row>
    <row r="244" spans="2:7">
      <c r="B244" s="65" t="s">
        <v>482</v>
      </c>
      <c r="C244" s="65"/>
      <c r="D244" s="65"/>
      <c r="E244" s="65"/>
      <c r="F244" s="65"/>
      <c r="G244" s="64">
        <v>0</v>
      </c>
    </row>
    <row r="245" spans="2:7">
      <c r="B245" s="65" t="s">
        <v>483</v>
      </c>
      <c r="C245" s="65"/>
      <c r="D245" s="65"/>
      <c r="E245" s="65"/>
      <c r="F245" s="65"/>
      <c r="G245" s="64">
        <v>0</v>
      </c>
    </row>
    <row r="246" spans="2:7">
      <c r="B246" s="65" t="s">
        <v>484</v>
      </c>
      <c r="C246" s="65"/>
      <c r="D246" s="65"/>
      <c r="E246" s="65"/>
      <c r="F246" s="65"/>
      <c r="G246" s="64">
        <v>0</v>
      </c>
    </row>
    <row r="247" spans="2:7">
      <c r="B247" s="65" t="s">
        <v>485</v>
      </c>
      <c r="C247" s="65"/>
      <c r="D247" s="65"/>
      <c r="E247" s="65"/>
      <c r="F247" s="65"/>
      <c r="G247" s="64">
        <v>0</v>
      </c>
    </row>
    <row r="248" spans="2:7">
      <c r="B248" s="65" t="s">
        <v>486</v>
      </c>
      <c r="C248" s="65"/>
      <c r="D248" s="65"/>
      <c r="E248" s="65"/>
      <c r="F248" s="65"/>
      <c r="G248" s="64">
        <v>0</v>
      </c>
    </row>
    <row r="249" spans="2:7">
      <c r="B249" s="65" t="s">
        <v>487</v>
      </c>
      <c r="C249" s="65"/>
      <c r="D249" s="65"/>
      <c r="E249" s="65"/>
      <c r="F249" s="65"/>
      <c r="G249" s="64">
        <v>0</v>
      </c>
    </row>
    <row r="250" spans="2:7">
      <c r="B250" s="65" t="s">
        <v>488</v>
      </c>
      <c r="C250" s="65"/>
      <c r="D250" s="65"/>
      <c r="E250" s="65"/>
      <c r="F250" s="65"/>
      <c r="G250" s="64">
        <v>0</v>
      </c>
    </row>
    <row r="251" spans="2:7">
      <c r="B251" s="65" t="s">
        <v>489</v>
      </c>
      <c r="C251" s="65"/>
      <c r="D251" s="65"/>
      <c r="E251" s="65"/>
      <c r="F251" s="65"/>
      <c r="G251" s="64">
        <v>0</v>
      </c>
    </row>
    <row r="252" spans="2:7">
      <c r="B252" s="65" t="s">
        <v>490</v>
      </c>
      <c r="C252" s="65"/>
      <c r="D252" s="65"/>
      <c r="E252" s="65"/>
      <c r="F252" s="65"/>
      <c r="G252" s="64">
        <v>0</v>
      </c>
    </row>
    <row r="253" spans="2:7">
      <c r="B253" s="65" t="s">
        <v>491</v>
      </c>
      <c r="C253" s="65"/>
      <c r="D253" s="65"/>
      <c r="E253" s="65"/>
      <c r="F253" s="65"/>
      <c r="G253" s="64">
        <v>0</v>
      </c>
    </row>
    <row r="254" spans="2:7">
      <c r="B254" s="65" t="s">
        <v>492</v>
      </c>
      <c r="C254" s="65"/>
      <c r="D254" s="65"/>
      <c r="E254" s="65"/>
      <c r="F254" s="65"/>
      <c r="G254" s="64">
        <v>0</v>
      </c>
    </row>
    <row r="255" spans="2:7">
      <c r="B255" s="65" t="s">
        <v>493</v>
      </c>
      <c r="C255" s="65"/>
      <c r="D255" s="65"/>
      <c r="E255" s="65"/>
      <c r="F255" s="65"/>
      <c r="G255" s="64">
        <v>0</v>
      </c>
    </row>
    <row r="256" spans="2:7">
      <c r="B256" s="65" t="s">
        <v>494</v>
      </c>
      <c r="C256" s="65"/>
      <c r="D256" s="65"/>
      <c r="E256" s="65"/>
      <c r="F256" s="65"/>
      <c r="G256" s="64">
        <v>0</v>
      </c>
    </row>
    <row r="257" spans="2:7">
      <c r="B257" s="65" t="s">
        <v>495</v>
      </c>
      <c r="C257" s="65"/>
      <c r="D257" s="65"/>
      <c r="E257" s="65"/>
      <c r="F257" s="65"/>
      <c r="G257" s="64">
        <v>0</v>
      </c>
    </row>
    <row r="258" spans="2:7">
      <c r="B258" s="65" t="s">
        <v>496</v>
      </c>
      <c r="C258" s="65"/>
      <c r="D258" s="65"/>
      <c r="E258" s="65"/>
      <c r="F258" s="65"/>
      <c r="G258" s="64">
        <v>0</v>
      </c>
    </row>
    <row r="259" spans="2:7">
      <c r="B259" s="65" t="s">
        <v>497</v>
      </c>
      <c r="C259" s="65"/>
      <c r="D259" s="65"/>
      <c r="E259" s="65"/>
      <c r="F259" s="65"/>
      <c r="G259" s="64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paperSize="9" fitToHeight="0" orientation="landscape"/>
  <headerFooter>
    <oddFooter>&amp;Lمازندشت — سورتینگ و بسته‌بندی مرکبات&amp;Cصفحه &amp;P از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18" t="s">
        <v>0</v>
      </c>
      <c r="B1" s="18"/>
      <c r="C1" s="18"/>
      <c r="D1" s="18"/>
      <c r="E1" s="19" t="s">
        <v>1</v>
      </c>
      <c r="F1" s="19"/>
      <c r="G1" s="19"/>
      <c r="H1" s="19"/>
      <c r="I1" s="19"/>
    </row>
    <row r="2" spans="1:9" ht="38.25" customHeight="1">
      <c r="A2" s="20" t="s">
        <v>676</v>
      </c>
      <c r="B2" s="20"/>
      <c r="C2" s="20"/>
      <c r="D2" s="20"/>
      <c r="E2" s="20"/>
      <c r="F2" s="20"/>
      <c r="G2" s="20"/>
      <c r="H2" s="20"/>
      <c r="I2" s="20"/>
    </row>
    <row r="3" spans="1:9" ht="45.75" customHeight="1">
      <c r="A3" s="21" t="s">
        <v>677</v>
      </c>
      <c r="B3" s="21"/>
      <c r="C3" s="21"/>
      <c r="D3" s="21"/>
      <c r="E3" s="21"/>
      <c r="F3" s="21"/>
      <c r="G3" s="21"/>
      <c r="H3" s="21"/>
      <c r="I3" s="21"/>
    </row>
    <row r="4" spans="1:9" ht="24" customHeight="1">
      <c r="A4" s="22" t="s">
        <v>22</v>
      </c>
      <c r="B4" s="23" t="s">
        <v>26</v>
      </c>
      <c r="C4" s="24" t="s">
        <v>27</v>
      </c>
      <c r="D4" s="25" t="s">
        <v>28</v>
      </c>
      <c r="E4" s="26" t="s">
        <v>29</v>
      </c>
      <c r="F4" s="27" t="s">
        <v>30</v>
      </c>
      <c r="G4" s="28" t="s">
        <v>31</v>
      </c>
      <c r="H4" s="28"/>
      <c r="I4" s="28"/>
    </row>
    <row r="5" spans="1:9" ht="17.25" customHeight="1">
      <c r="A5" s="66"/>
      <c r="B5" s="66"/>
      <c r="C5" s="66"/>
      <c r="D5" s="66"/>
      <c r="E5" s="66"/>
      <c r="F5" s="66"/>
      <c r="G5" s="66"/>
      <c r="H5" s="66"/>
      <c r="I5" s="66"/>
    </row>
    <row r="6" spans="1:9" ht="33" customHeight="1">
      <c r="A6" s="66"/>
      <c r="B6" s="66"/>
      <c r="C6" s="66"/>
      <c r="D6" s="66"/>
      <c r="E6" s="66"/>
      <c r="F6" s="66"/>
      <c r="G6" s="66"/>
      <c r="H6" s="66"/>
      <c r="I6" s="66"/>
    </row>
    <row r="7" spans="1:9" ht="6.75" customHeight="1">
      <c r="A7" s="67"/>
      <c r="B7" s="67"/>
      <c r="C7" s="67"/>
      <c r="D7" s="67"/>
      <c r="E7" s="67"/>
      <c r="F7" s="67"/>
      <c r="G7" s="67"/>
      <c r="H7" s="67"/>
      <c r="I7" s="67"/>
    </row>
    <row r="11" spans="1:9" ht="30" customHeight="1">
      <c r="A11" s="68"/>
      <c r="B11" s="5" t="s">
        <v>678</v>
      </c>
      <c r="C11" s="6" t="s">
        <v>679</v>
      </c>
      <c r="D11" s="6"/>
      <c r="E11" s="6"/>
      <c r="F11" s="6"/>
      <c r="G11" s="6"/>
      <c r="H11" s="6"/>
      <c r="I11" s="6"/>
    </row>
    <row r="12" spans="1:9" ht="21" customHeight="1">
      <c r="A12" s="69" t="s">
        <v>680</v>
      </c>
      <c r="B12" s="69"/>
      <c r="C12" s="69"/>
      <c r="D12" s="69"/>
      <c r="E12" s="69"/>
      <c r="F12" s="69"/>
      <c r="G12" s="69"/>
      <c r="H12" s="69"/>
      <c r="I12" s="69"/>
    </row>
    <row r="14" spans="1:9" ht="30" customHeight="1">
      <c r="A14" s="68"/>
      <c r="B14" s="5" t="s">
        <v>678</v>
      </c>
      <c r="C14" s="6" t="s">
        <v>681</v>
      </c>
      <c r="D14" s="6"/>
      <c r="E14" s="6"/>
      <c r="F14" s="6"/>
      <c r="G14" s="6"/>
      <c r="H14" s="6"/>
      <c r="I14" s="6"/>
    </row>
    <row r="15" spans="1:9" ht="21" customHeight="1">
      <c r="A15" s="69" t="s">
        <v>682</v>
      </c>
      <c r="B15" s="69"/>
      <c r="C15" s="69"/>
      <c r="D15" s="69"/>
      <c r="E15" s="69"/>
      <c r="F15" s="69"/>
      <c r="G15" s="69"/>
      <c r="H15" s="69"/>
      <c r="I15" s="69"/>
    </row>
    <row r="17" spans="1:9" ht="30" customHeight="1">
      <c r="A17" s="68"/>
      <c r="B17" s="5" t="s">
        <v>678</v>
      </c>
      <c r="C17" s="6" t="s">
        <v>683</v>
      </c>
      <c r="D17" s="6"/>
      <c r="E17" s="6"/>
      <c r="F17" s="6"/>
      <c r="G17" s="6"/>
      <c r="H17" s="6"/>
      <c r="I17" s="6"/>
    </row>
    <row r="18" spans="1:9" ht="21" customHeight="1">
      <c r="A18" s="69" t="s">
        <v>684</v>
      </c>
      <c r="B18" s="69"/>
      <c r="C18" s="69"/>
      <c r="D18" s="69"/>
      <c r="E18" s="69"/>
      <c r="F18" s="69"/>
      <c r="G18" s="69"/>
      <c r="H18" s="69"/>
      <c r="I18" s="69"/>
    </row>
    <row r="20" spans="1:9" ht="30" customHeight="1">
      <c r="A20" s="68"/>
      <c r="B20" s="5" t="s">
        <v>678</v>
      </c>
      <c r="C20" s="6" t="s">
        <v>685</v>
      </c>
      <c r="D20" s="6"/>
      <c r="E20" s="6"/>
      <c r="F20" s="6"/>
      <c r="G20" s="6"/>
      <c r="H20" s="6"/>
      <c r="I20" s="6"/>
    </row>
    <row r="21" spans="1:9" ht="36" customHeight="1">
      <c r="A21" s="69" t="s">
        <v>686</v>
      </c>
      <c r="B21" s="69"/>
      <c r="C21" s="69"/>
      <c r="D21" s="69"/>
      <c r="E21" s="69"/>
      <c r="F21" s="69"/>
      <c r="G21" s="69"/>
      <c r="H21" s="69"/>
      <c r="I21" s="69"/>
    </row>
    <row r="23" spans="1:9" ht="30" customHeight="1">
      <c r="A23" s="68"/>
      <c r="B23" s="5" t="s">
        <v>678</v>
      </c>
      <c r="C23" s="6" t="s">
        <v>687</v>
      </c>
      <c r="D23" s="6"/>
      <c r="E23" s="6"/>
      <c r="F23" s="6"/>
      <c r="G23" s="6"/>
      <c r="H23" s="6"/>
      <c r="I23" s="6"/>
    </row>
    <row r="24" spans="1:9" ht="36" customHeight="1">
      <c r="A24" s="69" t="s">
        <v>688</v>
      </c>
      <c r="B24" s="69"/>
      <c r="C24" s="69"/>
      <c r="D24" s="69"/>
      <c r="E24" s="69"/>
      <c r="F24" s="69"/>
      <c r="G24" s="69"/>
      <c r="H24" s="69"/>
      <c r="I24" s="69"/>
    </row>
    <row r="27" spans="1:9" ht="30" customHeight="1">
      <c r="A27" s="17" t="s">
        <v>689</v>
      </c>
      <c r="B27" s="17"/>
      <c r="C27" s="17"/>
      <c r="D27" s="17"/>
      <c r="E27" s="17"/>
      <c r="F27" s="17"/>
      <c r="G27" s="17"/>
      <c r="H27" s="17"/>
      <c r="I27" s="17"/>
    </row>
  </sheetData>
  <sheetProtection sheet="1" objects="1" scenarios="1" selectUnlockedCells="1"/>
  <mergeCells count="18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C23:I23"/>
    <mergeCell ref="A24:I24"/>
    <mergeCell ref="A27:I27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50</vt:i4>
      </vt:variant>
    </vt:vector>
  </HeadingPairs>
  <TitlesOfParts>
    <vt:vector size="55" baseType="lpstr">
      <vt:lpstr>Home</vt:lpstr>
      <vt:lpstr>Register</vt:lpstr>
      <vt:lpstr>Summary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Help!Print_Area</vt:lpstr>
      <vt:lpstr>Home!Print_Area</vt:lpstr>
      <vt:lpstr>Register!Print_Area</vt:lpstr>
      <vt:lpstr>Summary!Print_Area</vt:lpstr>
      <vt:lpstr>Sync!Print_Area</vt:lpstr>
      <vt:lpstr>Help!Print_Titles</vt:lpstr>
      <vt:lpstr>Home!Print_Titles</vt:lpstr>
      <vt:lpstr>Register!Print_Titles</vt:lpstr>
      <vt:lpstr>Summary!Print_Titles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نمونه ساده (۰۷)</dc:title>
  <dc:subject>یک فایل کوچک برای یادگیری کل چرخه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2026-10-23T20:13:07Z</dcterms:created>
  <dcterms:modified xsi:type="dcterms:W3CDTF">2026-10-23T20:13:07Z</dcterms:modified>
</cp:coreProperties>
</file>