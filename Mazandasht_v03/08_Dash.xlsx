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" sheetId="1" r:id="rId1"/>
    <sheet name="Pos" sheetId="2" r:id="rId2"/>
    <sheet name="Banks" sheetId="3" r:id="rId3"/>
    <sheet name="Time" sheetId="4" r:id="rId4"/>
    <sheet name="Ops" sheetId="5" r:id="rId5"/>
    <sheet name="Parties" sheetId="6" r:id="rId6"/>
    <sheet name="F1" sheetId="7" state="hidden" r:id="rId7"/>
    <sheet name="F2" sheetId="8" state="hidden" r:id="rId8"/>
    <sheet name="Sync" sheetId="9" r:id="rId9"/>
    <sheet name="Help" sheetId="10" r:id="rId10"/>
  </sheets>
  <externalReferences>
    <externalReference r:id="rId14"/>
    <externalReference r:id="rId15"/>
  </externalReferences>
  <definedNames>
    <definedName name="_xlnm.Print_Area" localSheetId="2">Banks!$A$1:$G$35</definedName>
    <definedName name="_xlnm.Print_Area" localSheetId="0">Dash!$A$1:$H$63</definedName>
    <definedName name="_xlnm.Print_Area" localSheetId="6">'F1'!$A$1:$O$1809</definedName>
    <definedName name="_xlnm.Print_Area" localSheetId="7">'F2'!$A$1:$L$293</definedName>
    <definedName name="_xlnm.Print_Area" localSheetId="9">Help!$A$1:$H$34</definedName>
    <definedName name="_xlnm.Print_Area" localSheetId="4">Ops!$A$1:$G$33</definedName>
    <definedName name="_xlnm.Print_Area" localSheetId="5">Parties!$A$1:$F$61</definedName>
    <definedName name="_xlnm.Print_Area" localSheetId="1">Pos!$A$1:$H$62</definedName>
    <definedName name="_xlnm.Print_Area" localSheetId="8">Sync!$A$1:$I$61</definedName>
    <definedName name="_xlnm.Print_Area" localSheetId="3">Time!$A$1:$G$43</definedName>
    <definedName name="_xlnm.Print_Titles" localSheetId="2">Banks!$12:$12</definedName>
    <definedName name="_xlnm.Print_Titles" localSheetId="6">'F1'!$8:$9</definedName>
    <definedName name="_xlnm.Print_Titles" localSheetId="7">'F2'!$8:$9</definedName>
    <definedName name="_xlnm.Print_Titles" localSheetId="9">Help!$8:$8</definedName>
    <definedName name="_xlnm.Print_Titles" localSheetId="4">Ops!$12:$12</definedName>
    <definedName name="_xlnm.Print_Titles" localSheetId="5">Parties!$12:$12</definedName>
    <definedName name="_xlnm.Print_Titles" localSheetId="1">Pos!$12:$12</definedName>
    <definedName name="_xlnm.Print_Titles" localSheetId="8">Sync!$9:$9</definedName>
    <definedName name="_xlnm.Print_Titles" localSheetId="3">Time!$12:$12</definedName>
  </definedNames>
  <calcPr calcId="124519" fullCalcOnLoad="1"/>
</workbook>
</file>

<file path=xl/sharedStrings.xml><?xml version="1.0" encoding="utf-8"?>
<sst xmlns="http://schemas.openxmlformats.org/spreadsheetml/2006/main" count="333" uniqueCount="233">
  <si>
    <t xml:space="preserve">   مازندشت  ·  سورتینگ و بسته‌بندی مرکبات    ·    MAZANDASHT · CITRUS SORTING &amp; PACKING</t>
  </si>
  <si>
    <t>داشبورد مدیریتی مازندشت</t>
  </si>
  <si>
    <t>یک نگاه به وزن، مبلغ، بانک، پز و طرف حساب‌ها  ·  همه اعداد از ثبت روزانه و فایل بانک</t>
  </si>
  <si>
    <t>کل وزن (kg)</t>
  </si>
  <si>
    <t>کل مبلغ</t>
  </si>
  <si>
    <t>جمع بدهکار</t>
  </si>
  <si>
    <t>اختلاف پز</t>
  </si>
  <si>
    <t>روند ماهانه — وزن و مبلغ    از دفتر ثبت روزانه</t>
  </si>
  <si>
    <t>۰۱</t>
  </si>
  <si>
    <t>ماه</t>
  </si>
  <si>
    <t>وزن (kg)</t>
  </si>
  <si>
    <t>مبلغ</t>
  </si>
  <si>
    <t>ترکیب عملیات    سهم هر نوع از مبلغ کل</t>
  </si>
  <si>
    <t>۰۲</t>
  </si>
  <si>
    <t>مانده بانک‌ها    از فایل تراکنش‌ها</t>
  </si>
  <si>
    <t>۰۳</t>
  </si>
  <si>
    <t>بانک</t>
  </si>
  <si>
    <t>دریافت</t>
  </si>
  <si>
    <t>پرداخت</t>
  </si>
  <si>
    <t>مانده</t>
  </si>
  <si>
    <t>هشدارها    مواردی که باید همین امروز بررسی شود</t>
  </si>
  <si>
    <t>۰۴</t>
  </si>
  <si>
    <t>ردیف‌های ناقص باسکول</t>
  </si>
  <si>
    <t>اختلاف بدهکار/بستانکار دفتر</t>
  </si>
  <si>
    <t>پز دفتر روزنامه منهای واریز پز به بانک</t>
  </si>
  <si>
    <t>مانده منفی بانک</t>
  </si>
  <si>
    <t>تعداد حساب‌هایی که مانده منفی دارند</t>
  </si>
  <si>
    <t>شیت‌های این داشبورد    روی هر کارت کلیک کنید</t>
  </si>
  <si>
    <t>۰۵</t>
  </si>
  <si>
    <t xml:space="preserve">    پز و واریزی  Pos</t>
  </si>
  <si>
    <t>کنترل روزانه پز دفتر روزنامه در برابر واریز پز به بانک</t>
  </si>
  <si>
    <t xml:space="preserve">    بانک‌ها  Banks</t>
  </si>
  <si>
    <t>مانده و سهم هر بانک از گردش</t>
  </si>
  <si>
    <t xml:space="preserve">    روند  Time</t>
  </si>
  <si>
    <t>وزن و مبلغ ماه به ماه</t>
  </si>
  <si>
    <t xml:space="preserve">    عملیات  Ops</t>
  </si>
  <si>
    <t>تحلیل نوع عملیات</t>
  </si>
  <si>
    <t xml:space="preserve">    طرف حساب‌ها  Parties</t>
  </si>
  <si>
    <t>باغدار، بارفروش و باسکول دیگران</t>
  </si>
  <si>
    <t xml:space="preserve">    راهنما  Help</t>
  </si>
  <si>
    <t>راهنمای کامل داشبورد و اتصال‌ها</t>
  </si>
  <si>
    <t>کنترل پز روزانه و واریز آن به بانک</t>
  </si>
  <si>
    <t>پز ثبت‌شده در دفتر روزنامه  ↔  واریزی همان روز به حساب بانکی  ↔  سایر واریزها</t>
  </si>
  <si>
    <t>پز دفتر روزنامه</t>
  </si>
  <si>
    <t>واریز پز به بانک</t>
  </si>
  <si>
    <t>سایر واریزها</t>
  </si>
  <si>
    <t>اختلاف</t>
  </si>
  <si>
    <t>تاریخ
Date</t>
  </si>
  <si>
    <t>تاریخ واریز
Deposit</t>
  </si>
  <si>
    <t>پز دفتر
Journal POS</t>
  </si>
  <si>
    <t>واریز پز به بانک
POS bank</t>
  </si>
  <si>
    <t>سایر واریزها
Other</t>
  </si>
  <si>
    <t>اختلاف
Diff</t>
  </si>
  <si>
    <t>وضعیت
Status</t>
  </si>
  <si>
    <t>1405/07/01</t>
  </si>
  <si>
    <t>1405/07/02</t>
  </si>
  <si>
    <t>1405/07/03</t>
  </si>
  <si>
    <t>1405/07/04</t>
  </si>
  <si>
    <t>1405/07/05</t>
  </si>
  <si>
    <t>1405/07/06</t>
  </si>
  <si>
    <t>1405/07/07</t>
  </si>
  <si>
    <t>1405/07/08</t>
  </si>
  <si>
    <t>1405/07/09</t>
  </si>
  <si>
    <t>1405/07/10</t>
  </si>
  <si>
    <t>1405/07/11</t>
  </si>
  <si>
    <t>1405/07/12</t>
  </si>
  <si>
    <t/>
  </si>
  <si>
    <t xml:space="preserve">     اختلاف بیش از ۱٬۰۰۰ ریال با ⚠ نمایش داده می‌شود. علت‌های رایج: واریزی پز در 02_Bank ثبت نشده، یا مبلغ پز در دفتر روزنامه اشتباه است. اعداد این نسخه نمونه‌اند.</t>
  </si>
  <si>
    <t>وضعیت بانک‌ها</t>
  </si>
  <si>
    <t>مانده هر حساب از دفتر تراکنش‌های بانکی + سهم از کل</t>
  </si>
  <si>
    <t>جمع مانده</t>
  </si>
  <si>
    <t>جمع دریافت</t>
  </si>
  <si>
    <t>جمع پرداخت</t>
  </si>
  <si>
    <t>خالص</t>
  </si>
  <si>
    <t>بانک
Bank</t>
  </si>
  <si>
    <t>دریافت
In</t>
  </si>
  <si>
    <t>پرداخت
Out</t>
  </si>
  <si>
    <t>مانده
Balance</t>
  </si>
  <si>
    <t>سهم
Share</t>
  </si>
  <si>
    <t>مانده اولیه
Opening</t>
  </si>
  <si>
    <t>حساب
Acct</t>
  </si>
  <si>
    <t>صادرات ۹۰۰۹ — جاری اصلی</t>
  </si>
  <si>
    <t>BN01</t>
  </si>
  <si>
    <t>صادرات ۲۰۰۶ — پوز باسکول</t>
  </si>
  <si>
    <t>BN02</t>
  </si>
  <si>
    <t>ملت</t>
  </si>
  <si>
    <t>BN03</t>
  </si>
  <si>
    <t>کشاورزی</t>
  </si>
  <si>
    <t>BN04</t>
  </si>
  <si>
    <t>سپه</t>
  </si>
  <si>
    <t>BN05</t>
  </si>
  <si>
    <t>مهر ایران</t>
  </si>
  <si>
    <t>BN06</t>
  </si>
  <si>
    <t>تجارت</t>
  </si>
  <si>
    <t>BN07</t>
  </si>
  <si>
    <t>پاسارگاد</t>
  </si>
  <si>
    <t>BN08</t>
  </si>
  <si>
    <t>رفاه</t>
  </si>
  <si>
    <t>BN09</t>
  </si>
  <si>
    <t>قرض‌الحسنه</t>
  </si>
  <si>
    <t>BN10</t>
  </si>
  <si>
    <t>روند ماهانه عملیات</t>
  </si>
  <si>
    <t>وزن، مبلغ و گردش هر ماه شمسی  ·  از دفتر ثبت روزانه</t>
  </si>
  <si>
    <t>کل بدهکار</t>
  </si>
  <si>
    <t>کل بستانکار</t>
  </si>
  <si>
    <t>ماه
Month</t>
  </si>
  <si>
    <t>تعداد گردش
Count</t>
  </si>
  <si>
    <t>وزن (kg)
Weight</t>
  </si>
  <si>
    <t>مبلغ
Amount</t>
  </si>
  <si>
    <t>بدهکار
Debit</t>
  </si>
  <si>
    <t>بستانکار
Credit</t>
  </si>
  <si>
    <t>خالص
Net</t>
  </si>
  <si>
    <t>تحلیل عملیات</t>
  </si>
  <si>
    <t>کدام نوع عملیات چقدر وزن و مبلغ جابه‌جا کرده است؟</t>
  </si>
  <si>
    <t>انواع عملیات</t>
  </si>
  <si>
    <t>بیشترین وزن</t>
  </si>
  <si>
    <t>بیشترین مبلغ</t>
  </si>
  <si>
    <t>ناترازها</t>
  </si>
  <si>
    <t>نوع عملیات
Operation</t>
  </si>
  <si>
    <t>تعداد
Count</t>
  </si>
  <si>
    <t>سهم مبلغ
Share</t>
  </si>
  <si>
    <t>خرید مرکبات</t>
  </si>
  <si>
    <t>فروش بار (بارفروش)</t>
  </si>
  <si>
    <t>فروش متفرقه / صادراتی</t>
  </si>
  <si>
    <t>آبگیری</t>
  </si>
  <si>
    <t>انعام مصطفی</t>
  </si>
  <si>
    <t>باسکول دیگران</t>
  </si>
  <si>
    <t>درآمد پوز باسکول (بدون طرف)</t>
  </si>
  <si>
    <t>مرجوعی خرید</t>
  </si>
  <si>
    <t>مرجوعی فروش</t>
  </si>
  <si>
    <t>ضایعات / افت انبار</t>
  </si>
  <si>
    <t>انتقال بین انبار</t>
  </si>
  <si>
    <t>سایر ورود</t>
  </si>
  <si>
    <t>سایر خروج</t>
  </si>
  <si>
    <t>هزینه باسکول نقدی (درآمد)</t>
  </si>
  <si>
    <t>خرید سبد</t>
  </si>
  <si>
    <t>فروش سبد</t>
  </si>
  <si>
    <t>طرف حساب‌ها</t>
  </si>
  <si>
    <t>باغداران، بارفروشان و باسکول‌های دیگران  ·  بدهکار، بستانکار و مانده</t>
  </si>
  <si>
    <t>کد
Code</t>
  </si>
  <si>
    <t>نام
Name</t>
  </si>
  <si>
    <t>گروه
Group</t>
  </si>
  <si>
    <t>C001</t>
  </si>
  <si>
    <t>زینب زاهدی</t>
  </si>
  <si>
    <t>باغدار</t>
  </si>
  <si>
    <t>C002</t>
  </si>
  <si>
    <t>سید عباس موسوی</t>
  </si>
  <si>
    <t>C003</t>
  </si>
  <si>
    <t>حاج احمد عیسی پور</t>
  </si>
  <si>
    <t>C004</t>
  </si>
  <si>
    <t>امید زاهدی</t>
  </si>
  <si>
    <t>C005</t>
  </si>
  <si>
    <t>بار شخصی قاسم زاهدی</t>
  </si>
  <si>
    <t>C006</t>
  </si>
  <si>
    <t>هوشنگ عیسی پور</t>
  </si>
  <si>
    <t>C007</t>
  </si>
  <si>
    <t>علی آهنگر</t>
  </si>
  <si>
    <t>C008</t>
  </si>
  <si>
    <t>صفدر مسلمی</t>
  </si>
  <si>
    <t>C009</t>
  </si>
  <si>
    <t>همایون بابایی</t>
  </si>
  <si>
    <t>C010</t>
  </si>
  <si>
    <t>دبیر فرجی</t>
  </si>
  <si>
    <t>SL001</t>
  </si>
  <si>
    <t>قم — سید حسین حسینی</t>
  </si>
  <si>
    <t>بارفروش</t>
  </si>
  <si>
    <t>SL002</t>
  </si>
  <si>
    <t>مشهد — محمد توکلی</t>
  </si>
  <si>
    <t>SL003</t>
  </si>
  <si>
    <t>اراک — پوریا خوش‌نمکیان</t>
  </si>
  <si>
    <t>SL004</t>
  </si>
  <si>
    <t>تبریز — نورزاده</t>
  </si>
  <si>
    <t>SL005</t>
  </si>
  <si>
    <t>زنجان — خانی</t>
  </si>
  <si>
    <t>BD001</t>
  </si>
  <si>
    <t>باسکول میدان بار (نمونه)</t>
  </si>
  <si>
    <t>تاریخ</t>
  </si>
  <si>
    <t>سند</t>
  </si>
  <si>
    <t>منبع</t>
  </si>
  <si>
    <t>حساب</t>
  </si>
  <si>
    <t>شرح</t>
  </si>
  <si>
    <t>محصول</t>
  </si>
  <si>
    <t>سبد</t>
  </si>
  <si>
    <t>وزن باسکول</t>
  </si>
  <si>
    <t>وزن خالص</t>
  </si>
  <si>
    <t>فی</t>
  </si>
  <si>
    <t>بدهکار</t>
  </si>
  <si>
    <t>بستانکار</t>
  </si>
  <si>
    <t>عملیات</t>
  </si>
  <si>
    <t>گروه</t>
  </si>
  <si>
    <t>نام</t>
  </si>
  <si>
    <t>مرجع قفل‌شده — کپی از فایل مادر و طرف حساب‌های کلیدی</t>
  </si>
  <si>
    <t>این شیت فقط برای نمایش است؛ تغییر در آن مجاز نیست.</t>
  </si>
  <si>
    <t>C001 – زینب زاهدی</t>
  </si>
  <si>
    <t>C002 – سید عباس موسوی</t>
  </si>
  <si>
    <t>C003 – حاج احمد عیسی پور</t>
  </si>
  <si>
    <t>C004 – امید زاهدی</t>
  </si>
  <si>
    <t>C005 – بار شخصی قاسم زاهدی</t>
  </si>
  <si>
    <t>C006 – هوشنگ عیسی پور</t>
  </si>
  <si>
    <t>C007 – علی آهنگر</t>
  </si>
  <si>
    <t>C008 – صفدر مسلمی</t>
  </si>
  <si>
    <t>C009 – همایون بابایی</t>
  </si>
  <si>
    <t>C010 – دبیر فرجی</t>
  </si>
  <si>
    <t>SL001 – قم — سید حسین حسینی</t>
  </si>
  <si>
    <t>SL002 – مشهد — محمد توکلی</t>
  </si>
  <si>
    <t>SL003 – اراک — پوریا خوش‌نمکیان</t>
  </si>
  <si>
    <t>SL004 – تبریز — نورزاده</t>
  </si>
  <si>
    <t>SL005 – زنجان — خانی</t>
  </si>
  <si>
    <t>BD001 – باسکول میدان بار (نمونه)</t>
  </si>
  <si>
    <t>راهنمای داشبورد</t>
  </si>
  <si>
    <t>این فایل چه می‌خواند، چگونه به‌روز می‌شود و هر نمودار چه می‌گوید</t>
  </si>
  <si>
    <t xml:space="preserve">داشبورد از کجا می‌خواند؟    </t>
  </si>
  <si>
    <t>داشبورد به دو فایل کنار خودش وصل است: دفتر ثبت روزانه (01_Entry → شیت Book) و دفتر تراکنش‌های بانکی (02_Bank → شیت Post). دو شیت مخفی F1 و F2 همین دو منبع را آینه می‌کنند.</t>
  </si>
  <si>
    <t xml:space="preserve">     •  برای دیدن اعداد تازه: هر دو فایل را ذخیره کنید، بعد داشبورد را باز کنید و Update Links بزنید.</t>
  </si>
  <si>
    <t xml:space="preserve">     •  اگر فایلی را جابه‌جا کردید، همه فایل‌ها را با هم جابه‌جا کنید (لینک‌ها نسبی‌اند).</t>
  </si>
  <si>
    <t xml:space="preserve">کارت‌های بالای صفحه    </t>
  </si>
  <si>
    <t xml:space="preserve">     •  کل وزن (kg): جمع وزن خالص همه ردیف‌های باسکول در کل دوره — همان عدد شیت Time.</t>
  </si>
  <si>
    <t xml:space="preserve">     •  کل مبلغ: جمع مبلغ تمام ردیف‌های دفتر (خرید، فروش، هزینه و …).</t>
  </si>
  <si>
    <t xml:space="preserve">     •  جمع بدهکار: جمع ستون بدهکار دفتر؛ در ثبت دوطرفه با جمع بستانکار برابر است.</t>
  </si>
  <si>
    <t xml:space="preserve">     •  اختلاف پز: پز ثبت‌شده در دفتر منهای واریز پز به بانک؛ باید نزدیک صفر باشد.</t>
  </si>
  <si>
    <t xml:space="preserve">شیت Pos    </t>
  </si>
  <si>
    <t>هر ردیف یک تاریخ است. اگر روز واریز با روز پز یکی نیست، تاریخ واریز را در ستون B بنویسید.</t>
  </si>
  <si>
    <t xml:space="preserve">     •  ستون «سایر واریزها» واریزهایی است که از راه واسط X011 به بانک رسیده و مربوط به پز نیست.</t>
  </si>
  <si>
    <t xml:space="preserve">     •  برای ماه جدید، یک تاریخ جدید در ستون A اضافه کنید.</t>
  </si>
  <si>
    <t xml:space="preserve">شیت Time و Ops    </t>
  </si>
  <si>
    <t xml:space="preserve">     •  Time روند ماهانه وزن و مبلغ است؛ ماه از تاریخ شمسی استخراج می‌شود.</t>
  </si>
  <si>
    <t xml:space="preserve">     •  Ops نشان می‌دهد هر نوع عملیات چقدر وزن و مبلغ جابه‌جا کرده و سهمش چقدر است.</t>
  </si>
  <si>
    <t xml:space="preserve">شیت Banks و Parties    </t>
  </si>
  <si>
    <t xml:space="preserve">     •  Banks مانده هر بانک را از دفتر تراکنش‌ها می‌سازد: مانده اولیه + دریافت − پرداخت.</t>
  </si>
  <si>
    <t xml:space="preserve">     •  Parties مانده باغداران، بارفروشان و باسکول‌های دیگران را نشان می‌دهد.</t>
  </si>
  <si>
    <t xml:space="preserve">چاپ    </t>
  </si>
  <si>
    <t>۰۶</t>
  </si>
  <si>
    <t>همه شیت‌ها A4، راست‌به‌چپ، با سربرگ/فوتر و در عرض یک صفحه تنظیم شده‌اند.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</si>
</sst>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;[Red]-#,##0"/>
    <numFmt numFmtId="166" formatCode="0.0%"/>
    <numFmt numFmtId="167" formatCode="00"/>
  </numFmts>
  <fonts count="38">
    <font>
      <sz val="10"/>
      <color theme="1"/>
      <name val="B Nazanin"/>
      <family val="2"/>
    </font>
    <font>
      <b/>
      <sz val="7.5"/>
      <color rgb="FFD8E6DF"/>
      <name val="Tahoma"/>
      <family val="2"/>
    </font>
    <font>
      <b/>
      <sz val="22"/>
      <color rgb="FFFFFFFF"/>
      <name val="B Titr"/>
      <family val="2"/>
    </font>
    <font>
      <sz val="11"/>
      <color rgb="FFD8E6DF"/>
      <name val="B Nazanin"/>
      <family val="2"/>
      <scheme val="minor"/>
    </font>
    <font>
      <b/>
      <sz val="8"/>
      <color rgb="FF6B7A76"/>
      <name val="B Nazanin"/>
      <family val="2"/>
      <scheme val="minor"/>
    </font>
    <font>
      <b/>
      <sz val="17"/>
      <color rgb="FF3F7A57"/>
      <name val="Tahoma"/>
      <family val="2"/>
    </font>
    <font>
      <b/>
      <sz val="17"/>
      <color rgb="FFC89B3C"/>
      <name val="Tahoma"/>
      <family val="2"/>
    </font>
    <font>
      <b/>
      <sz val="17"/>
      <color rgb="FF2B5C7A"/>
      <name val="Tahoma"/>
      <family val="2"/>
    </font>
    <font>
      <b/>
      <sz val="17"/>
      <color rgb="FFB4544A"/>
      <name val="Tahoma"/>
      <family val="2"/>
    </font>
    <font>
      <b/>
      <sz val="12"/>
      <color rgb="FFFFFFFF"/>
      <name val="B Nazanin"/>
      <family val="2"/>
      <scheme val="minor"/>
    </font>
    <font>
      <b/>
      <sz val="9"/>
      <color rgb="FFC89B3C"/>
      <name val="Tahoma"/>
      <family val="2"/>
    </font>
    <font>
      <b/>
      <sz val="8"/>
      <color rgb="FFFFFFFF"/>
      <name val="B Nazanin"/>
      <family val="2"/>
      <scheme val="minor"/>
    </font>
    <font>
      <sz val="8"/>
      <color theme="1"/>
      <name val="Tahoma"/>
      <family val="2"/>
    </font>
    <font>
      <sz val="8"/>
      <color theme="1"/>
      <name val="B Nazanin"/>
      <family val="2"/>
      <scheme val="minor"/>
    </font>
    <font>
      <b/>
      <sz val="8.5"/>
      <color rgb="FFFFFFFF"/>
      <name val="B Nazanin"/>
      <family val="2"/>
      <scheme val="minor"/>
    </font>
    <font>
      <sz val="8.5"/>
      <color theme="1"/>
      <name val="B Nazanin"/>
      <family val="2"/>
      <scheme val="minor"/>
    </font>
    <font>
      <sz val="8.5"/>
      <color theme="1"/>
      <name val="Tahoma"/>
      <family val="2"/>
    </font>
    <font>
      <b/>
      <sz val="8.5"/>
      <color theme="1"/>
      <name val="Tahoma"/>
      <family val="2"/>
    </font>
    <font>
      <b/>
      <sz val="9.5"/>
      <color theme="1"/>
      <name val="B Nazanin"/>
      <family val="2"/>
      <scheme val="minor"/>
    </font>
    <font>
      <b/>
      <sz val="12"/>
      <color rgb="FFC4623F"/>
      <name val="Tahoma"/>
      <family val="2"/>
    </font>
    <font>
      <sz val="8"/>
      <color rgb="FF6B7A76"/>
      <name val="B Nazanin"/>
      <family val="2"/>
      <scheme val="minor"/>
    </font>
    <font>
      <b/>
      <sz val="11"/>
      <color rgb="FFFFFFFF"/>
      <name val="B Nazanin"/>
      <family val="2"/>
      <scheme val="minor"/>
    </font>
    <font>
      <b/>
      <sz val="17"/>
      <color rgb="FF7FA99B"/>
      <name val="Tahoma"/>
      <family val="2"/>
    </font>
    <font>
      <b/>
      <sz val="9"/>
      <color rgb="FFFFFFFF"/>
      <name val="B Nazanin"/>
      <family val="2"/>
      <scheme val="minor"/>
    </font>
    <font>
      <sz val="9"/>
      <color theme="1"/>
      <name val="Tahoma"/>
      <family val="2"/>
    </font>
    <font>
      <b/>
      <sz val="9"/>
      <color theme="1"/>
      <name val="Tahoma"/>
      <family val="2"/>
    </font>
    <font>
      <b/>
      <sz val="9"/>
      <color theme="1"/>
      <name val="B Nazanin"/>
      <family val="2"/>
      <scheme val="minor"/>
    </font>
    <font>
      <sz val="9.5"/>
      <color rgb="FF2B2A26"/>
      <name val="B Nazanin"/>
      <family val="2"/>
      <scheme val="minor"/>
    </font>
    <font>
      <b/>
      <sz val="17"/>
      <color rgb="FF14453D"/>
      <name val="Tahoma"/>
      <family val="2"/>
    </font>
    <font>
      <b/>
      <sz val="9"/>
      <color rgb="FF14453D"/>
      <name val="B Nazanin"/>
      <family val="2"/>
      <scheme val="minor"/>
    </font>
    <font>
      <b/>
      <sz val="10"/>
      <color theme="1"/>
      <name val="Tahoma"/>
      <family val="2"/>
    </font>
    <font>
      <b/>
      <sz val="17"/>
      <color rgb="FFC4623F"/>
      <name val="Tahoma"/>
      <family val="2"/>
    </font>
    <font>
      <b/>
      <sz val="9"/>
      <color rgb="FF14453D"/>
      <name val="Tahoma"/>
      <family val="2"/>
    </font>
    <font>
      <sz val="9"/>
      <color theme="1"/>
      <name val="B Nazanin"/>
      <family val="2"/>
      <scheme val="minor"/>
    </font>
    <font>
      <b/>
      <sz val="14"/>
      <color rgb="FF14453D"/>
      <name val="B Titr"/>
      <family val="2"/>
    </font>
    <font>
      <sz val="9"/>
      <color rgb="FF6B7A76"/>
      <name val="B Nazanin"/>
      <family val="2"/>
      <scheme val="minor"/>
    </font>
    <font>
      <sz val="10"/>
      <color rgb="FF2B2A26"/>
      <name val="B Nazanin"/>
      <family val="2"/>
      <scheme val="minor"/>
    </font>
    <font>
      <sz val="10"/>
      <color rgb="FF14453D"/>
      <name val="B Nazanin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4453D"/>
        <bgColor indexed="64"/>
      </patternFill>
    </fill>
    <fill>
      <patternFill patternType="solid">
        <fgColor rgb="FFC89B3C"/>
        <bgColor indexed="64"/>
      </patternFill>
    </fill>
    <fill>
      <patternFill patternType="solid">
        <fgColor rgb="FFF7F1E6"/>
        <bgColor indexed="64"/>
      </patternFill>
    </fill>
    <fill>
      <patternFill patternType="solid">
        <fgColor rgb="FFFBF8F1"/>
        <bgColor indexed="64"/>
      </patternFill>
    </fill>
    <fill>
      <patternFill patternType="solid">
        <fgColor rgb="FF7FA99B"/>
        <bgColor indexed="64"/>
      </patternFill>
    </fill>
    <fill>
      <patternFill patternType="solid">
        <fgColor rgb="FF2B5C7A"/>
        <bgColor indexed="64"/>
      </patternFill>
    </fill>
    <fill>
      <patternFill patternType="solid">
        <fgColor rgb="FFC4623F"/>
        <bgColor indexed="64"/>
      </patternFill>
    </fill>
    <fill>
      <patternFill patternType="solid">
        <fgColor rgb="FF8E6C88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EFDFB8"/>
        <bgColor indexed="64"/>
      </patternFill>
    </fill>
    <fill>
      <patternFill patternType="solid">
        <fgColor rgb="FFE4F0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ADB"/>
        <bgColor indexed="64"/>
      </patternFill>
    </fill>
    <fill>
      <patternFill patternType="solid">
        <fgColor rgb="FFF2DCD3"/>
        <bgColor indexed="64"/>
      </patternFill>
    </fill>
    <fill>
      <patternFill patternType="solid">
        <fgColor rgb="FFF6F5F0"/>
        <bgColor indexed="64"/>
      </patternFill>
    </fill>
    <fill>
      <patternFill patternType="solid">
        <fgColor rgb="FF1E5D52"/>
        <bgColor indexed="64"/>
      </patternFill>
    </fill>
  </fills>
  <borders count="5">
    <border>
      <left/>
      <right/>
      <top/>
      <bottom/>
      <diagonal/>
    </border>
    <border>
      <left style="thin">
        <color rgb="FFDDD5C4"/>
      </left>
      <right style="thin">
        <color rgb="FFDDD5C4"/>
      </right>
      <top style="thin">
        <color rgb="FFDDD5C4"/>
      </top>
      <bottom style="thin">
        <color rgb="FFDDD5C4"/>
      </bottom>
      <diagonal/>
    </border>
    <border>
      <left style="thin">
        <color rgb="FF14453D"/>
      </left>
      <right style="thin">
        <color rgb="FF14453D"/>
      </right>
      <top style="thin">
        <color rgb="FF14453D"/>
      </top>
      <bottom style="thin">
        <color rgb="FF14453D"/>
      </bottom>
      <diagonal/>
    </border>
    <border>
      <left style="thin">
        <color rgb="FFEFDFB8"/>
      </left>
      <right style="thin">
        <color rgb="FFEFDFB8"/>
      </right>
      <top style="thin">
        <color rgb="FFEFDFB8"/>
      </top>
      <bottom style="thin">
        <color rgb="FFEFDFB8"/>
      </bottom>
      <diagonal/>
    </border>
    <border>
      <left style="thin">
        <color rgb="FFEDE6D8"/>
      </left>
      <right style="thin">
        <color rgb="FFEDE6D8"/>
      </right>
      <top style="thin">
        <color rgb="FFEDE6D8"/>
      </top>
      <bottom style="thin">
        <color rgb="FFEDE6D8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3" borderId="0" xfId="0" applyFill="1"/>
    <xf numFmtId="0" fontId="4" fillId="4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right"/>
    </xf>
    <xf numFmtId="0" fontId="14" fillId="2" borderId="0" xfId="0" applyFont="1" applyFill="1" applyAlignment="1">
      <alignment horizontal="center"/>
    </xf>
    <xf numFmtId="0" fontId="15" fillId="4" borderId="1" xfId="0" applyFont="1" applyFill="1" applyBorder="1" applyAlignment="1">
      <alignment horizontal="right"/>
    </xf>
    <xf numFmtId="164" fontId="16" fillId="0" borderId="0" xfId="0" applyNumberFormat="1" applyFont="1" applyAlignment="1">
      <alignment horizontal="center"/>
    </xf>
    <xf numFmtId="164" fontId="17" fillId="5" borderId="0" xfId="0" applyNumberFormat="1" applyFont="1" applyFill="1" applyAlignment="1">
      <alignment horizontal="center"/>
    </xf>
    <xf numFmtId="0" fontId="18" fillId="4" borderId="1" xfId="0" applyFont="1" applyFill="1" applyBorder="1" applyAlignment="1">
      <alignment horizontal="right" vertical="center"/>
    </xf>
    <xf numFmtId="164" fontId="19" fillId="5" borderId="1" xfId="0" applyNumberFormat="1" applyFont="1" applyFill="1" applyBorder="1" applyAlignment="1">
      <alignment horizontal="center"/>
    </xf>
    <xf numFmtId="0" fontId="20" fillId="0" borderId="0" xfId="0" applyFont="1" applyAlignment="1">
      <alignment horizontal="right" vertical="center"/>
    </xf>
    <xf numFmtId="0" fontId="21" fillId="3" borderId="0" xfId="0" applyFont="1" applyFill="1" applyAlignment="1">
      <alignment horizontal="right" vertical="center"/>
    </xf>
    <xf numFmtId="0" fontId="21" fillId="2" borderId="0" xfId="0" applyFont="1" applyFill="1" applyAlignment="1">
      <alignment horizontal="right" vertical="center"/>
    </xf>
    <xf numFmtId="0" fontId="21" fillId="6" borderId="0" xfId="0" applyFont="1" applyFill="1" applyAlignment="1">
      <alignment horizontal="right" vertical="center"/>
    </xf>
    <xf numFmtId="0" fontId="20" fillId="5" borderId="1" xfId="0" applyFont="1" applyFill="1" applyBorder="1" applyAlignment="1">
      <alignment horizontal="right" vertical="center" wrapText="1"/>
    </xf>
    <xf numFmtId="0" fontId="21" fillId="7" borderId="0" xfId="0" applyFont="1" applyFill="1" applyAlignment="1">
      <alignment horizontal="right" vertical="center"/>
    </xf>
    <xf numFmtId="0" fontId="21" fillId="8" borderId="0" xfId="0" applyFont="1" applyFill="1" applyAlignment="1">
      <alignment horizontal="right" vertical="center"/>
    </xf>
    <xf numFmtId="0" fontId="21" fillId="9" borderId="0" xfId="0" applyFont="1" applyFill="1" applyAlignment="1">
      <alignment horizontal="right" vertical="center"/>
    </xf>
    <xf numFmtId="164" fontId="22" fillId="5" borderId="1" xfId="0" applyNumberFormat="1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/>
    </xf>
    <xf numFmtId="164" fontId="24" fillId="11" borderId="4" xfId="0" applyNumberFormat="1" applyFont="1" applyFill="1" applyBorder="1" applyAlignment="1">
      <alignment horizontal="center"/>
    </xf>
    <xf numFmtId="164" fontId="24" fillId="12" borderId="4" xfId="0" applyNumberFormat="1" applyFont="1" applyFill="1" applyBorder="1" applyAlignment="1">
      <alignment horizontal="center"/>
    </xf>
    <xf numFmtId="164" fontId="24" fillId="13" borderId="4" xfId="0" applyNumberFormat="1" applyFont="1" applyFill="1" applyBorder="1" applyAlignment="1">
      <alignment horizontal="center"/>
    </xf>
    <xf numFmtId="165" fontId="25" fillId="5" borderId="4" xfId="0" applyNumberFormat="1" applyFont="1" applyFill="1" applyBorder="1" applyAlignment="1">
      <alignment horizontal="center"/>
    </xf>
    <xf numFmtId="0" fontId="26" fillId="5" borderId="4" xfId="0" applyFont="1" applyFill="1" applyBorder="1" applyAlignment="1">
      <alignment horizontal="center"/>
    </xf>
    <xf numFmtId="0" fontId="27" fillId="14" borderId="4" xfId="0" applyFont="1" applyFill="1" applyBorder="1" applyAlignment="1">
      <alignment horizontal="right" vertical="center" wrapText="1"/>
    </xf>
    <xf numFmtId="164" fontId="28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right"/>
    </xf>
    <xf numFmtId="164" fontId="24" fillId="15" borderId="4" xfId="0" applyNumberFormat="1" applyFont="1" applyFill="1" applyBorder="1" applyAlignment="1">
      <alignment horizontal="center"/>
    </xf>
    <xf numFmtId="165" fontId="30" fillId="5" borderId="4" xfId="0" applyNumberFormat="1" applyFont="1" applyFill="1" applyBorder="1" applyAlignment="1">
      <alignment horizontal="center"/>
    </xf>
    <xf numFmtId="166" fontId="16" fillId="13" borderId="4" xfId="0" applyNumberFormat="1" applyFont="1" applyFill="1" applyBorder="1" applyAlignment="1">
      <alignment horizontal="center"/>
    </xf>
    <xf numFmtId="164" fontId="24" fillId="16" borderId="4" xfId="0" applyNumberFormat="1" applyFont="1" applyFill="1" applyBorder="1" applyAlignment="1">
      <alignment horizontal="center"/>
    </xf>
    <xf numFmtId="0" fontId="16" fillId="16" borderId="4" xfId="0" applyFont="1" applyFill="1" applyBorder="1" applyAlignment="1">
      <alignment horizontal="center"/>
    </xf>
    <xf numFmtId="164" fontId="31" fillId="5" borderId="1" xfId="0" applyNumberFormat="1" applyFont="1" applyFill="1" applyBorder="1" applyAlignment="1">
      <alignment horizontal="center" vertical="center"/>
    </xf>
    <xf numFmtId="167" fontId="32" fillId="4" borderId="1" xfId="0" applyNumberFormat="1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 wrapText="1"/>
    </xf>
    <xf numFmtId="0" fontId="33" fillId="4" borderId="1" xfId="0" applyFont="1" applyFill="1" applyBorder="1" applyAlignment="1">
      <alignment horizontal="right"/>
    </xf>
    <xf numFmtId="0" fontId="16" fillId="4" borderId="1" xfId="0" applyFont="1" applyFill="1" applyBorder="1" applyAlignment="1">
      <alignment horizontal="center"/>
    </xf>
    <xf numFmtId="0" fontId="33" fillId="13" borderId="4" xfId="0" applyFont="1" applyFill="1" applyBorder="1" applyAlignment="1">
      <alignment horizontal="right"/>
    </xf>
    <xf numFmtId="0" fontId="15" fillId="13" borderId="4" xfId="0" applyFont="1" applyFill="1" applyBorder="1" applyAlignment="1">
      <alignment horizontal="center"/>
    </xf>
    <xf numFmtId="167" fontId="12" fillId="0" borderId="0" xfId="0" applyNumberFormat="1" applyFont="1" applyAlignment="1">
      <alignment horizontal="center"/>
    </xf>
    <xf numFmtId="0" fontId="11" fillId="17" borderId="0" xfId="0" applyFont="1" applyFill="1" applyAlignment="1">
      <alignment horizontal="center"/>
    </xf>
    <xf numFmtId="0" fontId="34" fillId="4" borderId="0" xfId="0" applyFont="1" applyFill="1" applyAlignment="1">
      <alignment horizontal="right"/>
    </xf>
    <xf numFmtId="0" fontId="35" fillId="0" borderId="0" xfId="0" applyFont="1" applyAlignment="1">
      <alignment horizontal="right"/>
    </xf>
    <xf numFmtId="0" fontId="23" fillId="2" borderId="0" xfId="0" applyFont="1" applyFill="1" applyAlignment="1">
      <alignment horizontal="center"/>
    </xf>
    <xf numFmtId="0" fontId="33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36" fillId="0" borderId="0" xfId="0" applyFont="1" applyAlignment="1">
      <alignment horizontal="right" vertical="top" wrapText="1"/>
    </xf>
    <xf numFmtId="0" fontId="37" fillId="5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3">
    <dxf>
      <font>
        <color rgb="FFC4623F"/>
      </font>
      <fill>
        <patternFill>
          <bgColor rgb="FFF2DCD3"/>
        </patternFill>
      </fill>
    </dxf>
    <dxf>
      <font>
        <b/>
        <color rgb="FF3F7A57"/>
      </font>
      <fill>
        <patternFill>
          <bgColor rgb="FFE4F0E8"/>
        </patternFill>
      </fill>
    </dxf>
    <dxf>
      <font>
        <b/>
        <color rgb="FFC4623F"/>
      </font>
      <fill>
        <patternFill>
          <bgColor rgb="FFFBE3D8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Relationship Id="rId14" Type="http://schemas.openxmlformats.org/officeDocument/2006/relationships/externalLink" Target="externalLinks/externalLink1.xml"/><Relationship Id="rId15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B Nazanin"/>
              </a:defRPr>
            </a:pPr>
            <a:r>
              <a:rPr lang="en-US" sz="1100" baseline="0">
                <a:latin typeface="B Nazanin"/>
              </a:rPr>
              <a:t>وزن ماهانه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وزن (kg)</c:v>
          </c:tx>
          <c:spPr>
            <a:solidFill>
              <a:srgbClr val="7FA99B"/>
            </a:solidFill>
          </c:spPr>
          <c:cat>
            <c:strRef>
              <c:f>Dash!$A$10:$A$21</c:f>
              <c:strCache>
                <c:ptCount val="12"/>
                <c:pt idx="0">
                  <c:v>ماه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Dash!$B$10:$B$21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50"/>
        <c:axId val="50010001"/>
        <c:axId val="50010002"/>
      </c:barChart>
      <c:lineChart>
        <c:grouping val="standard"/>
        <c:ser>
          <c:idx val="1"/>
          <c:order val="1"/>
          <c:tx>
            <c:v>مبلغ</c:v>
          </c:tx>
          <c:spPr>
            <a:ln w="28575">
              <a:solidFill>
                <a:srgbClr val="C89B3C"/>
              </a:solidFill>
            </a:ln>
          </c:spPr>
          <c:marker>
            <c:symbol val="none"/>
          </c:marker>
          <c:cat>
            <c:strRef>
              <c:f>Dash!$A$10:$A$21</c:f>
              <c:strCache>
                <c:ptCount val="12"/>
                <c:pt idx="0">
                  <c:v>ماه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strCache>
            </c:strRef>
          </c:cat>
          <c:val>
            <c:numRef>
              <c:f>Dash!$C$10:$C$21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  <c:spPr>
        <a:solidFill>
          <a:srgbClr val="FCFAF4"/>
        </a:solidFill>
      </c:spPr>
    </c:plotArea>
    <c:legend>
      <c:legendPos val="b"/>
      <c:layout/>
      <c:txPr>
        <a:bodyPr/>
        <a:lstStyle/>
        <a:p>
          <a:pPr>
            <a:defRPr sz="800" baseline="0">
              <a:latin typeface="B Nazanin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B Nazanin"/>
              </a:defRPr>
            </a:pPr>
            <a:r>
              <a:rPr lang="en-US" sz="1100" baseline="0">
                <a:latin typeface="B Nazanin"/>
              </a:rPr>
              <a:t>سهم عملیات از مبلغ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ترکیب عملیات</c:v>
          </c:tx>
          <c:dPt>
            <c:idx val="0"/>
            <c:spPr>
              <a:solidFill>
                <a:srgbClr val="14453D"/>
              </a:solidFill>
            </c:spPr>
          </c:dPt>
          <c:dPt>
            <c:idx val="1"/>
            <c:spPr>
              <a:solidFill>
                <a:srgbClr val="7FA99B"/>
              </a:solidFill>
            </c:spPr>
          </c:dPt>
          <c:dPt>
            <c:idx val="2"/>
            <c:spPr>
              <a:solidFill>
                <a:srgbClr val="C89B3C"/>
              </a:solidFill>
            </c:spPr>
          </c:dPt>
          <c:dPt>
            <c:idx val="3"/>
            <c:spPr>
              <a:solidFill>
                <a:srgbClr val="C4623F"/>
              </a:solidFill>
            </c:spPr>
          </c:dPt>
          <c:dPt>
            <c:idx val="4"/>
            <c:spPr>
              <a:solidFill>
                <a:srgbClr val="E0A458"/>
              </a:solidFill>
            </c:spPr>
          </c:dPt>
          <c:dPt>
            <c:idx val="5"/>
            <c:spPr>
              <a:solidFill>
                <a:srgbClr val="2B5C7A"/>
              </a:solidFill>
            </c:spPr>
          </c:dPt>
          <c:dLbls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Percent val="1"/>
          </c:dLbls>
          <c:cat>
            <c:strRef>
              <c:f>Dash!$A$24:$A$29</c:f>
              <c:strCache>
                <c:ptCount val="6"/>
                <c:pt idx="0">
                  <c:v>ترکیب عملیات    سهم هر نوع از مبلغ کل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strCache>
            </c:strRef>
          </c:cat>
          <c:val>
            <c:numRef>
              <c:f>Dash!$B$24:$B$29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800" baseline="0">
              <a:latin typeface="B Nazanin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B Nazanin"/>
              </a:defRPr>
            </a:pPr>
            <a:r>
              <a:rPr lang="en-US" sz="1100" baseline="0">
                <a:latin typeface="B Nazanin"/>
              </a:rPr>
              <a:t>پز دفتر در برابر واریز به بانک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پز دفتر روزنامه</c:v>
          </c:tx>
          <c:spPr>
            <a:ln w="31750">
              <a:solidFill>
                <a:srgbClr val="C89B3C"/>
              </a:solidFill>
            </a:ln>
          </c:spPr>
          <c:marker>
            <c:symbol val="circle"/>
            <c:size val="4"/>
            <c:spPr>
              <a:solidFill>
                <a:srgbClr val="FFFFFF"/>
              </a:solidFill>
              <a:ln>
                <a:solidFill>
                  <a:srgbClr val="C89B3C"/>
                </a:solidFill>
              </a:ln>
            </c:spPr>
          </c:marker>
          <c:cat>
            <c:strRef>
              <c:f>Pos!$A$13:$A$42</c:f>
              <c:strCache>
                <c:ptCount val="30"/>
                <c:pt idx="0">
                  <c:v>1405/07/01</c:v>
                </c:pt>
                <c:pt idx="1">
                  <c:v>1405/07/02</c:v>
                </c:pt>
                <c:pt idx="2">
                  <c:v>1405/07/03</c:v>
                </c:pt>
                <c:pt idx="3">
                  <c:v>1405/07/04</c:v>
                </c:pt>
                <c:pt idx="4">
                  <c:v>1405/07/05</c:v>
                </c:pt>
                <c:pt idx="5">
                  <c:v>1405/07/06</c:v>
                </c:pt>
                <c:pt idx="6">
                  <c:v>1405/07/07</c:v>
                </c:pt>
                <c:pt idx="7">
                  <c:v>1405/07/08</c:v>
                </c:pt>
                <c:pt idx="8">
                  <c:v>1405/07/09</c:v>
                </c:pt>
                <c:pt idx="9">
                  <c:v>1405/07/10</c:v>
                </c:pt>
                <c:pt idx="10">
                  <c:v>1405/07/11</c:v>
                </c:pt>
                <c:pt idx="11">
                  <c:v>1405/07/12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Pos!$C$13:$C$42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1"/>
          <c:order val="1"/>
          <c:tx>
            <c:v>واریز پز به بانک</c:v>
          </c:tx>
          <c:spPr>
            <a:ln w="28575">
              <a:solidFill>
                <a:srgbClr val="14453D"/>
              </a:solidFill>
            </a:ln>
          </c:spPr>
          <c:marker>
            <c:symbol val="square"/>
            <c:size val="4"/>
            <c:spPr>
              <a:solidFill>
                <a:srgbClr val="FFFFFF"/>
              </a:solidFill>
              <a:ln>
                <a:solidFill>
                  <a:srgbClr val="14453D"/>
                </a:solidFill>
              </a:ln>
            </c:spPr>
          </c:marker>
          <c:cat>
            <c:strRef>
              <c:f>Pos!$A$13:$A$42</c:f>
              <c:strCache>
                <c:ptCount val="30"/>
                <c:pt idx="0">
                  <c:v>1405/07/01</c:v>
                </c:pt>
                <c:pt idx="1">
                  <c:v>1405/07/02</c:v>
                </c:pt>
                <c:pt idx="2">
                  <c:v>1405/07/03</c:v>
                </c:pt>
                <c:pt idx="3">
                  <c:v>1405/07/04</c:v>
                </c:pt>
                <c:pt idx="4">
                  <c:v>1405/07/05</c:v>
                </c:pt>
                <c:pt idx="5">
                  <c:v>1405/07/06</c:v>
                </c:pt>
                <c:pt idx="6">
                  <c:v>1405/07/07</c:v>
                </c:pt>
                <c:pt idx="7">
                  <c:v>1405/07/08</c:v>
                </c:pt>
                <c:pt idx="8">
                  <c:v>1405/07/09</c:v>
                </c:pt>
                <c:pt idx="9">
                  <c:v>1405/07/10</c:v>
                </c:pt>
                <c:pt idx="10">
                  <c:v>1405/07/11</c:v>
                </c:pt>
                <c:pt idx="11">
                  <c:v>1405/07/12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Pos!$D$13:$D$42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spPr>
        <a:solidFill>
          <a:srgbClr val="FCFAF4"/>
        </a:solidFill>
      </c:spPr>
    </c:plotArea>
    <c:legend>
      <c:legendPos val="b"/>
      <c:layout/>
      <c:txPr>
        <a:bodyPr/>
        <a:lstStyle/>
        <a:p>
          <a:pPr>
            <a:defRPr sz="800" baseline="0">
              <a:latin typeface="B Nazanin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B Nazanin"/>
              </a:defRPr>
            </a:pPr>
            <a:r>
              <a:rPr lang="en-US" sz="1100" baseline="0">
                <a:latin typeface="B Nazanin"/>
              </a:rPr>
              <a:t>مانده هر بانک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مانده</c:v>
          </c:tx>
          <c:spPr>
            <a:solidFill>
              <a:srgbClr val="14453D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700" baseline="0"/>
                </a:pPr>
                <a:endParaRPr lang="en-US"/>
              </a:p>
            </c:txPr>
            <c:showVal val="1"/>
          </c:dLbls>
          <c:cat>
            <c:strRef>
              <c:f>Banks!$A$13:$A$22</c:f>
              <c:strCache>
                <c:ptCount val="10"/>
                <c:pt idx="0">
                  <c:v>صادرات ۹۰۰۹ — جاری اصلی</c:v>
                </c:pt>
                <c:pt idx="1">
                  <c:v>صادرات ۲۰۰۶ — پوز باسکول</c:v>
                </c:pt>
                <c:pt idx="2">
                  <c:v>ملت</c:v>
                </c:pt>
                <c:pt idx="3">
                  <c:v>کشاورزی</c:v>
                </c:pt>
                <c:pt idx="4">
                  <c:v>سپه</c:v>
                </c:pt>
                <c:pt idx="5">
                  <c:v>مهر ایران</c:v>
                </c:pt>
                <c:pt idx="6">
                  <c:v>تجارت</c:v>
                </c:pt>
                <c:pt idx="7">
                  <c:v>پاسارگاد</c:v>
                </c:pt>
                <c:pt idx="8">
                  <c:v>رفاه</c:v>
                </c:pt>
                <c:pt idx="9">
                  <c:v>قرض‌الحسنه</c:v>
                </c:pt>
              </c:strCache>
            </c:strRef>
          </c:cat>
          <c:val>
            <c:numRef>
              <c:f>Banks!$D$13:$D$22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  <c:spPr>
        <a:solidFill>
          <a:srgbClr val="FCFAF4"/>
        </a:soli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B Nazanin"/>
              </a:defRPr>
            </a:pPr>
            <a:r>
              <a:rPr lang="en-US" sz="1100" baseline="0">
                <a:latin typeface="B Nazanin"/>
              </a:rPr>
              <a:t>وزن و مبلغ ماهانه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وزن (kg)</c:v>
          </c:tx>
          <c:spPr>
            <a:solidFill>
              <a:srgbClr val="7FA99B"/>
            </a:solidFill>
          </c:spPr>
          <c:cat>
            <c:numRef>
              <c:f>Time!$A$13:$A$24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Time!$C$13:$C$24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50001"/>
        <c:axId val="50050002"/>
      </c:barChart>
      <c:lineChart>
        <c:grouping val="standard"/>
        <c:ser>
          <c:idx val="1"/>
          <c:order val="1"/>
          <c:tx>
            <c:v>مبلغ</c:v>
          </c:tx>
          <c:spPr>
            <a:ln w="31750">
              <a:solidFill>
                <a:srgbClr val="C89B3C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C89B3C"/>
                </a:solidFill>
              </a:ln>
            </c:spPr>
          </c:marker>
          <c:cat>
            <c:numRef>
              <c:f>Time!$A$13:$A$24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Time!$D$13:$D$24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60050001"/>
        <c:axId val="6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catAx>
        <c:axId val="60050001"/>
        <c:scaling>
          <c:orientation val="minMax"/>
        </c:scaling>
        <c:delete val="1"/>
        <c:axPos val="b"/>
        <c:numFmt formatCode="General" sourceLinked="1"/>
        <c:tickLblPos val="none"/>
        <c:crossAx val="60050002"/>
        <c:crosses val="autoZero"/>
        <c:auto val="1"/>
        <c:lblAlgn val="ctr"/>
        <c:lblOffset val="100"/>
      </c:catAx>
      <c:spPr>
        <a:solidFill>
          <a:srgbClr val="FCFAF4"/>
        </a:solidFill>
      </c:spPr>
    </c:plotArea>
    <c:legend>
      <c:legendPos val="b"/>
      <c:layout/>
      <c:txPr>
        <a:bodyPr/>
        <a:lstStyle/>
        <a:p>
          <a:pPr>
            <a:defRPr sz="800" baseline="0">
              <a:latin typeface="B Nazanin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B Nazanin"/>
              </a:defRPr>
            </a:pPr>
            <a:r>
              <a:rPr lang="en-US" sz="1100" baseline="0">
                <a:latin typeface="B Nazanin"/>
              </a:rPr>
              <a:t>وزن هر نوع عملیات (kg)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وزن</c:v>
          </c:tx>
          <c:spPr>
            <a:solidFill>
              <a:srgbClr val="7FA99B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700" baseline="0"/>
                </a:pPr>
                <a:endParaRPr lang="en-US"/>
              </a:p>
            </c:txPr>
            <c:showVal val="1"/>
          </c:dLbls>
          <c:cat>
            <c:strRef>
              <c:f>Ops!$A$12:$A$27</c:f>
              <c:strCache>
                <c:ptCount val="16"/>
                <c:pt idx="0">
                  <c:v>نوع عملیات
Operation</c:v>
                </c:pt>
                <c:pt idx="1">
                  <c:v>خرید مرکبات</c:v>
                </c:pt>
                <c:pt idx="2">
                  <c:v>فروش بار (بارفروش)</c:v>
                </c:pt>
                <c:pt idx="3">
                  <c:v>فروش متفرقه / صادراتی</c:v>
                </c:pt>
                <c:pt idx="4">
                  <c:v>آبگیری</c:v>
                </c:pt>
                <c:pt idx="5">
                  <c:v>انعام مصطفی</c:v>
                </c:pt>
                <c:pt idx="6">
                  <c:v>باسکول دیگران</c:v>
                </c:pt>
                <c:pt idx="7">
                  <c:v>درآمد پوز باسکول (بدون طرف)</c:v>
                </c:pt>
                <c:pt idx="8">
                  <c:v>مرجوعی خرید</c:v>
                </c:pt>
                <c:pt idx="9">
                  <c:v>مرجوعی فروش</c:v>
                </c:pt>
                <c:pt idx="10">
                  <c:v>ضایعات / افت انبار</c:v>
                </c:pt>
                <c:pt idx="11">
                  <c:v>انتقال بین انبار</c:v>
                </c:pt>
                <c:pt idx="12">
                  <c:v>سایر ورود</c:v>
                </c:pt>
                <c:pt idx="13">
                  <c:v>سایر خروج</c:v>
                </c:pt>
                <c:pt idx="14">
                  <c:v>هزینه باسکول نقدی (درآمد)</c:v>
                </c:pt>
                <c:pt idx="15">
                  <c:v>خرید سبد</c:v>
                </c:pt>
              </c:strCache>
            </c:strRef>
          </c:cat>
          <c:val>
            <c:numRef>
              <c:f>Ops!$C$12:$C$27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numFmt formatCode="General" sourceLinked="1"/>
        <c:tickLblPos val="nextTo"/>
        <c:crossAx val="50060001"/>
        <c:crosses val="autoZero"/>
        <c:crossBetween val="between"/>
      </c:valAx>
      <c:spPr>
        <a:solidFill>
          <a:srgbClr val="FCFAF4"/>
        </a:soli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B Nazanin"/>
              </a:defRPr>
            </a:pPr>
            <a:r>
              <a:rPr lang="en-US" sz="1100" baseline="0">
                <a:latin typeface="B Nazanin"/>
              </a:rPr>
              <a:t>مانده طرف حساب‌ها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مانده</c:v>
          </c:tx>
          <c:spPr>
            <a:solidFill>
              <a:srgbClr val="7FA99B"/>
            </a:solidFill>
          </c:spPr>
          <c:dLbls>
            <c:numFmt formatCode="#,##0" sourceLinked="0"/>
            <c:txPr>
              <a:bodyPr/>
              <a:lstStyle/>
              <a:p>
                <a:pPr>
                  <a:defRPr sz="650" baseline="0"/>
                </a:pPr>
                <a:endParaRPr lang="en-US"/>
              </a:p>
            </c:txPr>
            <c:showVal val="1"/>
          </c:dLbls>
          <c:cat>
            <c:strRef>
              <c:f>Parties!$B$13:$B$32</c:f>
              <c:strCache>
                <c:ptCount val="20"/>
                <c:pt idx="0">
                  <c:v>زینب زاهدی</c:v>
                </c:pt>
                <c:pt idx="1">
                  <c:v>سید عباس موسوی</c:v>
                </c:pt>
                <c:pt idx="2">
                  <c:v>حاج احمد عیسی پور</c:v>
                </c:pt>
                <c:pt idx="3">
                  <c:v>امید زاهدی</c:v>
                </c:pt>
                <c:pt idx="4">
                  <c:v>بار شخصی قاسم زاهدی</c:v>
                </c:pt>
                <c:pt idx="5">
                  <c:v>هوشنگ عیسی پور</c:v>
                </c:pt>
                <c:pt idx="6">
                  <c:v>علی آهنگر</c:v>
                </c:pt>
                <c:pt idx="7">
                  <c:v>صفدر مسلمی</c:v>
                </c:pt>
                <c:pt idx="8">
                  <c:v>همایون بابایی</c:v>
                </c:pt>
                <c:pt idx="9">
                  <c:v>دبیر فرجی</c:v>
                </c:pt>
                <c:pt idx="10">
                  <c:v>قم — سید حسین حسینی</c:v>
                </c:pt>
                <c:pt idx="11">
                  <c:v>مشهد — محمد توکلی</c:v>
                </c:pt>
                <c:pt idx="12">
                  <c:v>اراک — پوریا خوش‌نمکیان</c:v>
                </c:pt>
                <c:pt idx="13">
                  <c:v>تبریز — نورزاده</c:v>
                </c:pt>
                <c:pt idx="14">
                  <c:v>زنجان — خانی</c:v>
                </c:pt>
                <c:pt idx="15">
                  <c:v>باسکول میدان بار (نمونه)</c:v>
                </c:pt>
              </c:strCache>
            </c:strRef>
          </c:cat>
          <c:val>
            <c:numRef>
              <c:f>Parties!$F$13:$F$32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spPr>
        <a:solidFill>
          <a:srgbClr val="FCFAF4"/>
        </a:soli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chart" Target="../charts/chart1.xml"/><Relationship Id="rId1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Relationship Id="rId3" Type="http://schemas.openxmlformats.org/officeDocument/2006/relationships/image" Target="../media/image12.png"/><Relationship Id="rId4" Type="http://schemas.openxmlformats.org/officeDocument/2006/relationships/image" Target="../media/image5.png"/><Relationship Id="rId5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13.png"/><Relationship Id="rId5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chart" Target="../charts/chart5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chart" Target="../charts/chart6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chart" Target="../charts/chart7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57150</xdr:colOff>
      <xdr:row>2</xdr:row>
      <xdr:rowOff>57150</xdr:rowOff>
    </xdr:from>
    <xdr:to>
      <xdr:col>7</xdr:col>
      <xdr:colOff>331470</xdr:colOff>
      <xdr:row>2</xdr:row>
      <xdr:rowOff>331470</xdr:rowOff>
    </xdr:to>
    <xdr:pic>
      <xdr:nvPicPr>
        <xdr:cNvPr id="2" name="Picture 1" descr="gauge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4350" y="36195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1</xdr:col>
      <xdr:colOff>57150</xdr:colOff>
      <xdr:row>7</xdr:row>
      <xdr:rowOff>57150</xdr:rowOff>
    </xdr:from>
    <xdr:to>
      <xdr:col>1</xdr:col>
      <xdr:colOff>230886</xdr:colOff>
      <xdr:row>7</xdr:row>
      <xdr:rowOff>230886</xdr:rowOff>
    </xdr:to>
    <xdr:pic>
      <xdr:nvPicPr>
        <xdr:cNvPr id="3" name="Picture 2" descr="scale_fore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3</xdr:col>
      <xdr:colOff>57150</xdr:colOff>
      <xdr:row>7</xdr:row>
      <xdr:rowOff>57150</xdr:rowOff>
    </xdr:from>
    <xdr:to>
      <xdr:col>3</xdr:col>
      <xdr:colOff>230886</xdr:colOff>
      <xdr:row>7</xdr:row>
      <xdr:rowOff>230886</xdr:rowOff>
    </xdr:to>
    <xdr:pic>
      <xdr:nvPicPr>
        <xdr:cNvPr id="4" name="Picture 3" descr="money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59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7</xdr:row>
      <xdr:rowOff>57150</xdr:rowOff>
    </xdr:from>
    <xdr:to>
      <xdr:col>5</xdr:col>
      <xdr:colOff>230886</xdr:colOff>
      <xdr:row>7</xdr:row>
      <xdr:rowOff>230886</xdr:rowOff>
    </xdr:to>
    <xdr:pic>
      <xdr:nvPicPr>
        <xdr:cNvPr id="5" name="Picture 4" descr="transfer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051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7</xdr:col>
      <xdr:colOff>57150</xdr:colOff>
      <xdr:row>7</xdr:row>
      <xdr:rowOff>57150</xdr:rowOff>
    </xdr:from>
    <xdr:to>
      <xdr:col>7</xdr:col>
      <xdr:colOff>230886</xdr:colOff>
      <xdr:row>7</xdr:row>
      <xdr:rowOff>230886</xdr:rowOff>
    </xdr:to>
    <xdr:pic>
      <xdr:nvPicPr>
        <xdr:cNvPr id="6" name="Picture 5" descr="warn_fores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243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1</xdr:col>
      <xdr:colOff>57150</xdr:colOff>
      <xdr:row>46</xdr:row>
      <xdr:rowOff>57150</xdr:rowOff>
    </xdr:from>
    <xdr:to>
      <xdr:col>1</xdr:col>
      <xdr:colOff>258318</xdr:colOff>
      <xdr:row>46</xdr:row>
      <xdr:rowOff>258318</xdr:rowOff>
    </xdr:to>
    <xdr:pic>
      <xdr:nvPicPr>
        <xdr:cNvPr id="7" name="Picture 6" descr="card_white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0258425"/>
          <a:ext cx="201168" cy="201168"/>
        </a:xfrm>
        <a:prstGeom prst="rect">
          <a:avLst/>
        </a:prstGeom>
      </xdr:spPr>
    </xdr:pic>
    <xdr:clientData/>
  </xdr:twoCellAnchor>
  <xdr:twoCellAnchor editAs="absolute">
    <xdr:from>
      <xdr:col>3</xdr:col>
      <xdr:colOff>57150</xdr:colOff>
      <xdr:row>46</xdr:row>
      <xdr:rowOff>57150</xdr:rowOff>
    </xdr:from>
    <xdr:to>
      <xdr:col>3</xdr:col>
      <xdr:colOff>258318</xdr:colOff>
      <xdr:row>46</xdr:row>
      <xdr:rowOff>258318</xdr:rowOff>
    </xdr:to>
    <xdr:pic>
      <xdr:nvPicPr>
        <xdr:cNvPr id="8" name="Picture 7" descr="bank_white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85950" y="10258425"/>
          <a:ext cx="201168" cy="201168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46</xdr:row>
      <xdr:rowOff>57150</xdr:rowOff>
    </xdr:from>
    <xdr:to>
      <xdr:col>5</xdr:col>
      <xdr:colOff>258318</xdr:colOff>
      <xdr:row>46</xdr:row>
      <xdr:rowOff>258318</xdr:rowOff>
    </xdr:to>
    <xdr:pic>
      <xdr:nvPicPr>
        <xdr:cNvPr id="9" name="Picture 8" descr="chart_white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05150" y="10258425"/>
          <a:ext cx="201168" cy="201168"/>
        </a:xfrm>
        <a:prstGeom prst="rect">
          <a:avLst/>
        </a:prstGeom>
      </xdr:spPr>
    </xdr:pic>
    <xdr:clientData/>
  </xdr:twoCellAnchor>
  <xdr:twoCellAnchor editAs="absolute">
    <xdr:from>
      <xdr:col>1</xdr:col>
      <xdr:colOff>57150</xdr:colOff>
      <xdr:row>49</xdr:row>
      <xdr:rowOff>57150</xdr:rowOff>
    </xdr:from>
    <xdr:to>
      <xdr:col>1</xdr:col>
      <xdr:colOff>258318</xdr:colOff>
      <xdr:row>49</xdr:row>
      <xdr:rowOff>258318</xdr:rowOff>
    </xdr:to>
    <xdr:pic>
      <xdr:nvPicPr>
        <xdr:cNvPr id="10" name="Picture 9" descr="gauge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1163300"/>
          <a:ext cx="201168" cy="201168"/>
        </a:xfrm>
        <a:prstGeom prst="rect">
          <a:avLst/>
        </a:prstGeom>
      </xdr:spPr>
    </xdr:pic>
    <xdr:clientData/>
  </xdr:twoCellAnchor>
  <xdr:twoCellAnchor editAs="absolute">
    <xdr:from>
      <xdr:col>3</xdr:col>
      <xdr:colOff>57150</xdr:colOff>
      <xdr:row>49</xdr:row>
      <xdr:rowOff>57150</xdr:rowOff>
    </xdr:from>
    <xdr:to>
      <xdr:col>3</xdr:col>
      <xdr:colOff>258318</xdr:colOff>
      <xdr:row>49</xdr:row>
      <xdr:rowOff>258318</xdr:rowOff>
    </xdr:to>
    <xdr:pic>
      <xdr:nvPicPr>
        <xdr:cNvPr id="11" name="Picture 10" descr="people_white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85950" y="11163300"/>
          <a:ext cx="201168" cy="201168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49</xdr:row>
      <xdr:rowOff>57150</xdr:rowOff>
    </xdr:from>
    <xdr:to>
      <xdr:col>5</xdr:col>
      <xdr:colOff>258318</xdr:colOff>
      <xdr:row>49</xdr:row>
      <xdr:rowOff>258318</xdr:rowOff>
    </xdr:to>
    <xdr:pic>
      <xdr:nvPicPr>
        <xdr:cNvPr id="12" name="Picture 11" descr="help_white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05150" y="11163300"/>
          <a:ext cx="201168" cy="201168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8</xdr:row>
      <xdr:rowOff>38100</xdr:rowOff>
    </xdr:from>
    <xdr:to>
      <xdr:col>11</xdr:col>
      <xdr:colOff>495300</xdr:colOff>
      <xdr:row>19</xdr:row>
      <xdr:rowOff>180975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38100</xdr:colOff>
      <xdr:row>22</xdr:row>
      <xdr:rowOff>38100</xdr:rowOff>
    </xdr:from>
    <xdr:to>
      <xdr:col>9</xdr:col>
      <xdr:colOff>476250</xdr:colOff>
      <xdr:row>33</xdr:row>
      <xdr:rowOff>38100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57150</xdr:colOff>
      <xdr:row>2</xdr:row>
      <xdr:rowOff>57150</xdr:rowOff>
    </xdr:from>
    <xdr:to>
      <xdr:col>7</xdr:col>
      <xdr:colOff>331470</xdr:colOff>
      <xdr:row>2</xdr:row>
      <xdr:rowOff>331470</xdr:rowOff>
    </xdr:to>
    <xdr:pic>
      <xdr:nvPicPr>
        <xdr:cNvPr id="2" name="Picture 1" descr="card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400" y="36195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3</xdr:col>
      <xdr:colOff>57150</xdr:colOff>
      <xdr:row>7</xdr:row>
      <xdr:rowOff>57150</xdr:rowOff>
    </xdr:from>
    <xdr:to>
      <xdr:col>3</xdr:col>
      <xdr:colOff>230886</xdr:colOff>
      <xdr:row>7</xdr:row>
      <xdr:rowOff>230886</xdr:rowOff>
    </xdr:to>
    <xdr:pic>
      <xdr:nvPicPr>
        <xdr:cNvPr id="3" name="Picture 2" descr="bank_fore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70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7</xdr:row>
      <xdr:rowOff>57150</xdr:rowOff>
    </xdr:from>
    <xdr:to>
      <xdr:col>5</xdr:col>
      <xdr:colOff>230886</xdr:colOff>
      <xdr:row>7</xdr:row>
      <xdr:rowOff>230886</xdr:rowOff>
    </xdr:to>
    <xdr:pic>
      <xdr:nvPicPr>
        <xdr:cNvPr id="4" name="Picture 3" descr="card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2925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7</xdr:col>
      <xdr:colOff>57150</xdr:colOff>
      <xdr:row>7</xdr:row>
      <xdr:rowOff>57150</xdr:rowOff>
    </xdr:from>
    <xdr:to>
      <xdr:col>7</xdr:col>
      <xdr:colOff>230886</xdr:colOff>
      <xdr:row>7</xdr:row>
      <xdr:rowOff>230886</xdr:rowOff>
    </xdr:to>
    <xdr:pic>
      <xdr:nvPicPr>
        <xdr:cNvPr id="5" name="Picture 4" descr="warn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91400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0</xdr:col>
      <xdr:colOff>57150</xdr:colOff>
      <xdr:row>53</xdr:row>
      <xdr:rowOff>57150</xdr:rowOff>
    </xdr:from>
    <xdr:to>
      <xdr:col>0</xdr:col>
      <xdr:colOff>240030</xdr:colOff>
      <xdr:row>53</xdr:row>
      <xdr:rowOff>240030</xdr:rowOff>
    </xdr:to>
    <xdr:pic>
      <xdr:nvPicPr>
        <xdr:cNvPr id="6" name="Picture 5" descr="warn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" y="13477875"/>
          <a:ext cx="182880" cy="18288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54</xdr:row>
      <xdr:rowOff>57150</xdr:rowOff>
    </xdr:from>
    <xdr:to>
      <xdr:col>5</xdr:col>
      <xdr:colOff>609600</xdr:colOff>
      <xdr:row>66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57150</xdr:colOff>
      <xdr:row>2</xdr:row>
      <xdr:rowOff>57150</xdr:rowOff>
    </xdr:from>
    <xdr:to>
      <xdr:col>6</xdr:col>
      <xdr:colOff>331470</xdr:colOff>
      <xdr:row>2</xdr:row>
      <xdr:rowOff>331470</xdr:rowOff>
    </xdr:to>
    <xdr:pic>
      <xdr:nvPicPr>
        <xdr:cNvPr id="2" name="Picture 1" descr="bank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3725" y="36195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1</xdr:col>
      <xdr:colOff>57150</xdr:colOff>
      <xdr:row>7</xdr:row>
      <xdr:rowOff>57150</xdr:rowOff>
    </xdr:from>
    <xdr:to>
      <xdr:col>1</xdr:col>
      <xdr:colOff>230886</xdr:colOff>
      <xdr:row>7</xdr:row>
      <xdr:rowOff>230886</xdr:rowOff>
    </xdr:to>
    <xdr:pic>
      <xdr:nvPicPr>
        <xdr:cNvPr id="3" name="Picture 2" descr="money_fore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832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3</xdr:col>
      <xdr:colOff>57150</xdr:colOff>
      <xdr:row>7</xdr:row>
      <xdr:rowOff>57150</xdr:rowOff>
    </xdr:from>
    <xdr:to>
      <xdr:col>3</xdr:col>
      <xdr:colOff>230886</xdr:colOff>
      <xdr:row>7</xdr:row>
      <xdr:rowOff>230886</xdr:rowOff>
    </xdr:to>
    <xdr:pic>
      <xdr:nvPicPr>
        <xdr:cNvPr id="4" name="Picture 3" descr="transfer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717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7</xdr:row>
      <xdr:rowOff>57150</xdr:rowOff>
    </xdr:from>
    <xdr:to>
      <xdr:col>5</xdr:col>
      <xdr:colOff>230886</xdr:colOff>
      <xdr:row>7</xdr:row>
      <xdr:rowOff>230886</xdr:rowOff>
    </xdr:to>
    <xdr:pic>
      <xdr:nvPicPr>
        <xdr:cNvPr id="5" name="Picture 4" descr="transfer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9597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6</xdr:col>
      <xdr:colOff>57150</xdr:colOff>
      <xdr:row>7</xdr:row>
      <xdr:rowOff>57150</xdr:rowOff>
    </xdr:from>
    <xdr:to>
      <xdr:col>6</xdr:col>
      <xdr:colOff>230886</xdr:colOff>
      <xdr:row>7</xdr:row>
      <xdr:rowOff>230886</xdr:rowOff>
    </xdr:to>
    <xdr:pic>
      <xdr:nvPicPr>
        <xdr:cNvPr id="6" name="Picture 5" descr="chart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43725" y="1619250"/>
          <a:ext cx="173736" cy="173736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25</xdr:row>
      <xdr:rowOff>57150</xdr:rowOff>
    </xdr:from>
    <xdr:to>
      <xdr:col>3</xdr:col>
      <xdr:colOff>638175</xdr:colOff>
      <xdr:row>37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57150</xdr:colOff>
      <xdr:row>2</xdr:row>
      <xdr:rowOff>57150</xdr:rowOff>
    </xdr:from>
    <xdr:to>
      <xdr:col>6</xdr:col>
      <xdr:colOff>331470</xdr:colOff>
      <xdr:row>2</xdr:row>
      <xdr:rowOff>331470</xdr:rowOff>
    </xdr:to>
    <xdr:pic>
      <xdr:nvPicPr>
        <xdr:cNvPr id="2" name="Picture 1" descr="chart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0300" y="36195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1</xdr:col>
      <xdr:colOff>57150</xdr:colOff>
      <xdr:row>7</xdr:row>
      <xdr:rowOff>57150</xdr:rowOff>
    </xdr:from>
    <xdr:to>
      <xdr:col>1</xdr:col>
      <xdr:colOff>230886</xdr:colOff>
      <xdr:row>7</xdr:row>
      <xdr:rowOff>230886</xdr:rowOff>
    </xdr:to>
    <xdr:pic>
      <xdr:nvPicPr>
        <xdr:cNvPr id="3" name="Picture 2" descr="scale_fore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3</xdr:col>
      <xdr:colOff>57150</xdr:colOff>
      <xdr:row>7</xdr:row>
      <xdr:rowOff>57150</xdr:rowOff>
    </xdr:from>
    <xdr:to>
      <xdr:col>3</xdr:col>
      <xdr:colOff>230886</xdr:colOff>
      <xdr:row>7</xdr:row>
      <xdr:rowOff>230886</xdr:rowOff>
    </xdr:to>
    <xdr:pic>
      <xdr:nvPicPr>
        <xdr:cNvPr id="4" name="Picture 3" descr="money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367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7</xdr:row>
      <xdr:rowOff>57150</xdr:rowOff>
    </xdr:from>
    <xdr:to>
      <xdr:col>5</xdr:col>
      <xdr:colOff>230886</xdr:colOff>
      <xdr:row>7</xdr:row>
      <xdr:rowOff>230886</xdr:rowOff>
    </xdr:to>
    <xdr:pic>
      <xdr:nvPicPr>
        <xdr:cNvPr id="5" name="Picture 4" descr="transfer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9587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6</xdr:col>
      <xdr:colOff>57150</xdr:colOff>
      <xdr:row>7</xdr:row>
      <xdr:rowOff>57150</xdr:rowOff>
    </xdr:from>
    <xdr:to>
      <xdr:col>6</xdr:col>
      <xdr:colOff>230886</xdr:colOff>
      <xdr:row>7</xdr:row>
      <xdr:rowOff>230886</xdr:rowOff>
    </xdr:to>
    <xdr:pic>
      <xdr:nvPicPr>
        <xdr:cNvPr id="6" name="Picture 5" descr="transfer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10300" y="1619250"/>
          <a:ext cx="173736" cy="173736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26</xdr:row>
      <xdr:rowOff>57150</xdr:rowOff>
    </xdr:from>
    <xdr:to>
      <xdr:col>6</xdr:col>
      <xdr:colOff>19050</xdr:colOff>
      <xdr:row>40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57150</xdr:colOff>
      <xdr:row>2</xdr:row>
      <xdr:rowOff>57150</xdr:rowOff>
    </xdr:from>
    <xdr:to>
      <xdr:col>6</xdr:col>
      <xdr:colOff>331470</xdr:colOff>
      <xdr:row>2</xdr:row>
      <xdr:rowOff>331470</xdr:rowOff>
    </xdr:to>
    <xdr:pic>
      <xdr:nvPicPr>
        <xdr:cNvPr id="2" name="Picture 1" descr="gauge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0450" y="361950"/>
          <a:ext cx="274320" cy="274320"/>
        </a:xfrm>
        <a:prstGeom prst="rect">
          <a:avLst/>
        </a:prstGeom>
      </xdr:spPr>
    </xdr:pic>
    <xdr:clientData/>
  </xdr:twoCellAnchor>
  <xdr:twoCellAnchor editAs="absolute">
    <xdr:from>
      <xdr:col>1</xdr:col>
      <xdr:colOff>57150</xdr:colOff>
      <xdr:row>7</xdr:row>
      <xdr:rowOff>57150</xdr:rowOff>
    </xdr:from>
    <xdr:to>
      <xdr:col>1</xdr:col>
      <xdr:colOff>230886</xdr:colOff>
      <xdr:row>7</xdr:row>
      <xdr:rowOff>230886</xdr:rowOff>
    </xdr:to>
    <xdr:pic>
      <xdr:nvPicPr>
        <xdr:cNvPr id="3" name="Picture 2" descr="list_fores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502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3</xdr:col>
      <xdr:colOff>57150</xdr:colOff>
      <xdr:row>7</xdr:row>
      <xdr:rowOff>57150</xdr:rowOff>
    </xdr:from>
    <xdr:to>
      <xdr:col>3</xdr:col>
      <xdr:colOff>230886</xdr:colOff>
      <xdr:row>7</xdr:row>
      <xdr:rowOff>230886</xdr:rowOff>
    </xdr:to>
    <xdr:pic>
      <xdr:nvPicPr>
        <xdr:cNvPr id="4" name="Picture 3" descr="scale_fores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3382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5</xdr:col>
      <xdr:colOff>57150</xdr:colOff>
      <xdr:row>7</xdr:row>
      <xdr:rowOff>57150</xdr:rowOff>
    </xdr:from>
    <xdr:to>
      <xdr:col>5</xdr:col>
      <xdr:colOff>230886</xdr:colOff>
      <xdr:row>7</xdr:row>
      <xdr:rowOff>230886</xdr:rowOff>
    </xdr:to>
    <xdr:pic>
      <xdr:nvPicPr>
        <xdr:cNvPr id="5" name="Picture 4" descr="money_fores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96025" y="1619250"/>
          <a:ext cx="173736" cy="173736"/>
        </a:xfrm>
        <a:prstGeom prst="rect">
          <a:avLst/>
        </a:prstGeom>
      </xdr:spPr>
    </xdr:pic>
    <xdr:clientData/>
  </xdr:twoCellAnchor>
  <xdr:twoCellAnchor editAs="absolute">
    <xdr:from>
      <xdr:col>6</xdr:col>
      <xdr:colOff>57150</xdr:colOff>
      <xdr:row>7</xdr:row>
      <xdr:rowOff>57150</xdr:rowOff>
    </xdr:from>
    <xdr:to>
      <xdr:col>6</xdr:col>
      <xdr:colOff>230886</xdr:colOff>
      <xdr:row>7</xdr:row>
      <xdr:rowOff>230886</xdr:rowOff>
    </xdr:to>
    <xdr:pic>
      <xdr:nvPicPr>
        <xdr:cNvPr id="6" name="Picture 5" descr="warn_forest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10450" y="1619250"/>
          <a:ext cx="173736" cy="173736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29</xdr:row>
      <xdr:rowOff>57150</xdr:rowOff>
    </xdr:from>
    <xdr:to>
      <xdr:col>3</xdr:col>
      <xdr:colOff>1152525</xdr:colOff>
      <xdr:row>44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57150</xdr:colOff>
      <xdr:row>2</xdr:row>
      <xdr:rowOff>57150</xdr:rowOff>
    </xdr:from>
    <xdr:to>
      <xdr:col>5</xdr:col>
      <xdr:colOff>331470</xdr:colOff>
      <xdr:row>2</xdr:row>
      <xdr:rowOff>331470</xdr:rowOff>
    </xdr:to>
    <xdr:pic>
      <xdr:nvPicPr>
        <xdr:cNvPr id="2" name="Picture 1" descr="people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2625" y="361950"/>
          <a:ext cx="274320" cy="27432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34</xdr:row>
      <xdr:rowOff>57150</xdr:rowOff>
    </xdr:from>
    <xdr:to>
      <xdr:col>5</xdr:col>
      <xdr:colOff>276225</xdr:colOff>
      <xdr:row>47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57150</xdr:colOff>
      <xdr:row>2</xdr:row>
      <xdr:rowOff>57150</xdr:rowOff>
    </xdr:from>
    <xdr:to>
      <xdr:col>7</xdr:col>
      <xdr:colOff>331470</xdr:colOff>
      <xdr:row>2</xdr:row>
      <xdr:rowOff>331470</xdr:rowOff>
    </xdr:to>
    <xdr:pic>
      <xdr:nvPicPr>
        <xdr:cNvPr id="2" name="Picture 1" descr="help_whit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4350" y="361950"/>
          <a:ext cx="274320" cy="2743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01_Entry.xlsx" TargetMode="External"/></Relationships>
</file>

<file path=xl/externalLinks/_rels/externalLink2.xml.rels><?xml version="1.0" encoding="UTF-8" standalone="yes"?>
<Relationships xmlns="http://schemas.openxmlformats.org/package/2006/relationships"><Relationship Id="rId1" Type="http://schemas.openxmlformats.org/officeDocument/2006/relationships/externalLinkPath" Target="02_Bank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Book"/>
    </sheetNames>
    <sheetDataSet>
      <sheetData sheetId="0">
        <row r="10">
          <cell r="A10" t="str">
            <v>1405/07/01</v>
          </cell>
          <cell r="B10" t="str">
            <v>BS-001</v>
          </cell>
          <cell r="C10" t="str">
            <v>باسکول</v>
          </cell>
          <cell r="D10" t="str">
            <v>C001</v>
          </cell>
          <cell r="F10" t="str">
            <v>نارنگی پیچ</v>
          </cell>
          <cell r="G10">
            <v>139</v>
          </cell>
          <cell r="H10">
            <v>2290</v>
          </cell>
          <cell r="I10">
            <v>2005.641</v>
          </cell>
          <cell r="J10">
            <v>32000</v>
          </cell>
          <cell r="K10">
            <v>64181000</v>
          </cell>
          <cell r="M10">
            <v>64181000</v>
          </cell>
          <cell r="N10" t="str">
            <v>خرید مرکبات</v>
          </cell>
          <cell r="O10" t="str">
            <v>باغدار</v>
          </cell>
        </row>
        <row r="11">
          <cell r="A11" t="str">
            <v>1405/07/01</v>
          </cell>
          <cell r="B11" t="str">
            <v>BS-001</v>
          </cell>
          <cell r="C11" t="str">
            <v>باسکول</v>
          </cell>
          <cell r="D11" t="str">
            <v>X004</v>
          </cell>
          <cell r="E11" t="str">
            <v>مقابل: خرید مرکبات</v>
          </cell>
          <cell r="K11">
            <v>64181000</v>
          </cell>
          <cell r="L11">
            <v>64181000</v>
          </cell>
          <cell r="N11" t="str">
            <v>مقابل</v>
          </cell>
          <cell r="O11" t="str">
            <v>سایر حساب</v>
          </cell>
        </row>
        <row r="14">
          <cell r="A14" t="str">
            <v>1405/07/01</v>
          </cell>
          <cell r="B14" t="str">
            <v>BS-002</v>
          </cell>
          <cell r="C14" t="str">
            <v>باسکول</v>
          </cell>
          <cell r="D14" t="str">
            <v>C003</v>
          </cell>
          <cell r="F14" t="str">
            <v>پرتقال تامسون</v>
          </cell>
          <cell r="G14">
            <v>53</v>
          </cell>
          <cell r="H14">
            <v>910</v>
          </cell>
          <cell r="I14">
            <v>822.1949999999999</v>
          </cell>
          <cell r="J14">
            <v>35000</v>
          </cell>
          <cell r="K14">
            <v>28777000</v>
          </cell>
          <cell r="M14">
            <v>28777000</v>
          </cell>
          <cell r="N14" t="str">
            <v>خرید مرکبات</v>
          </cell>
          <cell r="O14" t="str">
            <v>باغدار</v>
          </cell>
        </row>
        <row r="15">
          <cell r="A15" t="str">
            <v>1405/07/01</v>
          </cell>
          <cell r="B15" t="str">
            <v>BS-002</v>
          </cell>
          <cell r="C15" t="str">
            <v>باسکول</v>
          </cell>
          <cell r="D15" t="str">
            <v>X004</v>
          </cell>
          <cell r="E15" t="str">
            <v>مقابل: خرید مرکبات</v>
          </cell>
          <cell r="K15">
            <v>28777000</v>
          </cell>
          <cell r="L15">
            <v>28777000</v>
          </cell>
          <cell r="N15" t="str">
            <v>مقابل</v>
          </cell>
          <cell r="O15" t="str">
            <v>سایر حساب</v>
          </cell>
        </row>
        <row r="18">
          <cell r="A18" t="str">
            <v>1405/07/02</v>
          </cell>
          <cell r="B18" t="str">
            <v>BS-003</v>
          </cell>
          <cell r="C18" t="str">
            <v>باسکول</v>
          </cell>
          <cell r="D18" t="str">
            <v>C006</v>
          </cell>
          <cell r="E18" t="str">
            <v>کرایه حمل ۵۰۰٬۰۰۰</v>
          </cell>
          <cell r="F18" t="str">
            <v>نارنگی اونشو</v>
          </cell>
          <cell r="G18">
            <v>85</v>
          </cell>
          <cell r="H18">
            <v>1385</v>
          </cell>
          <cell r="I18">
            <v>1244.925</v>
          </cell>
          <cell r="J18">
            <v>30000</v>
          </cell>
          <cell r="K18">
            <v>37848000</v>
          </cell>
          <cell r="M18">
            <v>37848000</v>
          </cell>
          <cell r="N18" t="str">
            <v>خرید مرکبات</v>
          </cell>
          <cell r="O18" t="str">
            <v>باغدار</v>
          </cell>
        </row>
        <row r="19">
          <cell r="A19" t="str">
            <v>1405/07/02</v>
          </cell>
          <cell r="B19" t="str">
            <v>BS-003</v>
          </cell>
          <cell r="C19" t="str">
            <v>باسکول</v>
          </cell>
          <cell r="D19" t="str">
            <v>X004</v>
          </cell>
          <cell r="E19" t="str">
            <v>مقابل: خرید مرکبات</v>
          </cell>
          <cell r="K19">
            <v>37848000</v>
          </cell>
          <cell r="L19">
            <v>37848000</v>
          </cell>
          <cell r="N19" t="str">
            <v>مقابل</v>
          </cell>
          <cell r="O19" t="str">
            <v>سایر حساب</v>
          </cell>
        </row>
        <row r="22">
          <cell r="A22" t="str">
            <v>1405/07/02</v>
          </cell>
          <cell r="B22" t="str">
            <v>BS-004</v>
          </cell>
          <cell r="C22" t="str">
            <v>باسکول</v>
          </cell>
          <cell r="D22" t="str">
            <v>C002</v>
          </cell>
          <cell r="F22" t="str">
            <v>پرتقال خونی</v>
          </cell>
          <cell r="G22">
            <v>36</v>
          </cell>
          <cell r="H22">
            <v>605</v>
          </cell>
          <cell r="I22">
            <v>531.234</v>
          </cell>
          <cell r="J22">
            <v>38000</v>
          </cell>
          <cell r="K22">
            <v>20187000</v>
          </cell>
          <cell r="M22">
            <v>20187000</v>
          </cell>
          <cell r="N22" t="str">
            <v>خرید مرکبات</v>
          </cell>
          <cell r="O22" t="str">
            <v>باغدار</v>
          </cell>
        </row>
        <row r="23">
          <cell r="A23" t="str">
            <v>1405/07/02</v>
          </cell>
          <cell r="B23" t="str">
            <v>BS-004</v>
          </cell>
          <cell r="C23" t="str">
            <v>باسکول</v>
          </cell>
          <cell r="D23" t="str">
            <v>X004</v>
          </cell>
          <cell r="E23" t="str">
            <v>مقابل: خرید مرکبات</v>
          </cell>
          <cell r="K23">
            <v>20187000</v>
          </cell>
          <cell r="L23">
            <v>20187000</v>
          </cell>
          <cell r="N23" t="str">
            <v>مقابل</v>
          </cell>
          <cell r="O23" t="str">
            <v>سایر حساب</v>
          </cell>
        </row>
        <row r="26">
          <cell r="A26" t="str">
            <v>1405/07/03</v>
          </cell>
          <cell r="B26" t="str">
            <v>BS-005</v>
          </cell>
          <cell r="C26" t="str">
            <v>باسکول</v>
          </cell>
          <cell r="D26" t="str">
            <v>C008</v>
          </cell>
          <cell r="F26" t="str">
            <v>نارنگی ژاپنی</v>
          </cell>
          <cell r="G26">
            <v>108</v>
          </cell>
          <cell r="H26">
            <v>1762</v>
          </cell>
          <cell r="I26">
            <v>1551.924</v>
          </cell>
          <cell r="J26">
            <v>31000</v>
          </cell>
          <cell r="K26">
            <v>48110000</v>
          </cell>
          <cell r="M26">
            <v>48110000</v>
          </cell>
          <cell r="N26" t="str">
            <v>خرید مرکبات</v>
          </cell>
          <cell r="O26" t="str">
            <v>باغدار</v>
          </cell>
        </row>
        <row r="27">
          <cell r="A27" t="str">
            <v>1405/07/03</v>
          </cell>
          <cell r="B27" t="str">
            <v>BS-005</v>
          </cell>
          <cell r="C27" t="str">
            <v>باسکول</v>
          </cell>
          <cell r="D27" t="str">
            <v>X004</v>
          </cell>
          <cell r="E27" t="str">
            <v>مقابل: خرید مرکبات</v>
          </cell>
          <cell r="K27">
            <v>48110000</v>
          </cell>
          <cell r="L27">
            <v>48110000</v>
          </cell>
          <cell r="N27" t="str">
            <v>مقابل</v>
          </cell>
          <cell r="O27" t="str">
            <v>سایر حساب</v>
          </cell>
        </row>
        <row r="30">
          <cell r="A30" t="str">
            <v>1405/07/03</v>
          </cell>
          <cell r="B30" t="str">
            <v>BS-006</v>
          </cell>
          <cell r="C30" t="str">
            <v>باسکول</v>
          </cell>
          <cell r="D30" t="str">
            <v>SL001</v>
          </cell>
          <cell r="E30" t="str">
            <v>هزینه باسکول پوز</v>
          </cell>
          <cell r="F30" t="str">
            <v>پرتقال تامسون</v>
          </cell>
          <cell r="H30">
            <v>2500</v>
          </cell>
          <cell r="I30">
            <v>2500</v>
          </cell>
          <cell r="J30">
            <v>58000</v>
          </cell>
          <cell r="K30">
            <v>145000000</v>
          </cell>
          <cell r="L30">
            <v>145000000</v>
          </cell>
          <cell r="N30" t="str">
            <v>فروش بار (بارفروش)</v>
          </cell>
          <cell r="O30" t="str">
            <v>بارفروش</v>
          </cell>
        </row>
        <row r="31">
          <cell r="A31" t="str">
            <v>1405/07/03</v>
          </cell>
          <cell r="B31" t="str">
            <v>BS-006</v>
          </cell>
          <cell r="C31" t="str">
            <v>باسکول</v>
          </cell>
          <cell r="D31" t="str">
            <v>X006</v>
          </cell>
          <cell r="E31" t="str">
            <v>مقابل: فروش بار (بارفروش)</v>
          </cell>
          <cell r="K31">
            <v>145000000</v>
          </cell>
          <cell r="M31">
            <v>145000000</v>
          </cell>
          <cell r="N31" t="str">
            <v>مقابل</v>
          </cell>
          <cell r="O31" t="str">
            <v>سایر حساب</v>
          </cell>
        </row>
        <row r="32">
          <cell r="A32" t="str">
            <v>1405/07/03</v>
          </cell>
          <cell r="B32" t="str">
            <v>BS-006</v>
          </cell>
          <cell r="C32" t="str">
            <v>باسکول</v>
          </cell>
          <cell r="D32" t="str">
            <v>X011</v>
          </cell>
          <cell r="E32" t="str">
            <v>پوز باسکول — فروش بار (بارفروش)</v>
          </cell>
          <cell r="K32">
            <v>120000</v>
          </cell>
          <cell r="L32">
            <v>120000</v>
          </cell>
          <cell r="N32" t="str">
            <v>پوز</v>
          </cell>
          <cell r="O32" t="str">
            <v>سایر حساب</v>
          </cell>
          <cell r="P32" t="str">
            <v>BN02</v>
          </cell>
        </row>
        <row r="33">
          <cell r="A33" t="str">
            <v>1405/07/03</v>
          </cell>
          <cell r="B33" t="str">
            <v>BS-006</v>
          </cell>
          <cell r="C33" t="str">
            <v>باسکول</v>
          </cell>
          <cell r="D33" t="str">
            <v>X002</v>
          </cell>
          <cell r="E33" t="str">
            <v>مقابل پوز — فروش بار (بارفروش)</v>
          </cell>
          <cell r="K33">
            <v>120000</v>
          </cell>
          <cell r="M33">
            <v>120000</v>
          </cell>
          <cell r="N33" t="str">
            <v>مقابل پوز</v>
          </cell>
          <cell r="O33" t="str">
            <v>سایر حساب</v>
          </cell>
        </row>
        <row r="34">
          <cell r="A34" t="str">
            <v>1405/07/04</v>
          </cell>
          <cell r="B34" t="str">
            <v>BS-007</v>
          </cell>
          <cell r="C34" t="str">
            <v>باسکول</v>
          </cell>
          <cell r="D34" t="str">
            <v>C004</v>
          </cell>
          <cell r="F34" t="str">
            <v>نارنگی پیچ</v>
          </cell>
          <cell r="G34">
            <v>38</v>
          </cell>
          <cell r="H34">
            <v>640</v>
          </cell>
          <cell r="I34">
            <v>577.17</v>
          </cell>
          <cell r="J34">
            <v>33000</v>
          </cell>
          <cell r="K34">
            <v>19047000</v>
          </cell>
          <cell r="M34">
            <v>19047000</v>
          </cell>
          <cell r="N34" t="str">
            <v>خرید مرکبات</v>
          </cell>
          <cell r="O34" t="str">
            <v>باغدار</v>
          </cell>
        </row>
        <row r="35">
          <cell r="A35" t="str">
            <v>1405/07/04</v>
          </cell>
          <cell r="B35" t="str">
            <v>BS-007</v>
          </cell>
          <cell r="C35" t="str">
            <v>باسکول</v>
          </cell>
          <cell r="D35" t="str">
            <v>X004</v>
          </cell>
          <cell r="E35" t="str">
            <v>مقابل: خرید مرکبات</v>
          </cell>
          <cell r="K35">
            <v>19047000</v>
          </cell>
          <cell r="L35">
            <v>19047000</v>
          </cell>
          <cell r="N35" t="str">
            <v>مقابل</v>
          </cell>
          <cell r="O35" t="str">
            <v>سایر حساب</v>
          </cell>
        </row>
        <row r="38">
          <cell r="A38" t="str">
            <v>1405/07/04</v>
          </cell>
          <cell r="B38" t="str">
            <v>BS-008</v>
          </cell>
          <cell r="C38" t="str">
            <v>باسکول</v>
          </cell>
          <cell r="D38" t="str">
            <v>SL002</v>
          </cell>
          <cell r="E38" t="str">
            <v>هزینه باسکول پوز</v>
          </cell>
          <cell r="F38" t="str">
            <v>نارنگی اونشو</v>
          </cell>
          <cell r="H38">
            <v>1800</v>
          </cell>
          <cell r="I38">
            <v>1800</v>
          </cell>
          <cell r="J38">
            <v>52000</v>
          </cell>
          <cell r="K38">
            <v>93600000</v>
          </cell>
          <cell r="L38">
            <v>93600000</v>
          </cell>
          <cell r="N38" t="str">
            <v>فروش بار (بارفروش)</v>
          </cell>
          <cell r="O38" t="str">
            <v>بارفروش</v>
          </cell>
        </row>
        <row r="39">
          <cell r="A39" t="str">
            <v>1405/07/04</v>
          </cell>
          <cell r="B39" t="str">
            <v>BS-008</v>
          </cell>
          <cell r="C39" t="str">
            <v>باسکول</v>
          </cell>
          <cell r="D39" t="str">
            <v>X006</v>
          </cell>
          <cell r="E39" t="str">
            <v>مقابل: فروش بار (بارفروش)</v>
          </cell>
          <cell r="K39">
            <v>93600000</v>
          </cell>
          <cell r="M39">
            <v>93600000</v>
          </cell>
          <cell r="N39" t="str">
            <v>مقابل</v>
          </cell>
          <cell r="O39" t="str">
            <v>سایر حساب</v>
          </cell>
        </row>
        <row r="40">
          <cell r="A40" t="str">
            <v>1405/07/04</v>
          </cell>
          <cell r="B40" t="str">
            <v>BS-008</v>
          </cell>
          <cell r="C40" t="str">
            <v>باسکول</v>
          </cell>
          <cell r="D40" t="str">
            <v>X011</v>
          </cell>
          <cell r="E40" t="str">
            <v>پوز باسکول — فروش بار (بارفروش)</v>
          </cell>
          <cell r="K40">
            <v>90000</v>
          </cell>
          <cell r="L40">
            <v>90000</v>
          </cell>
          <cell r="N40" t="str">
            <v>پوز</v>
          </cell>
          <cell r="O40" t="str">
            <v>سایر حساب</v>
          </cell>
          <cell r="P40" t="str">
            <v>BN02</v>
          </cell>
        </row>
        <row r="41">
          <cell r="A41" t="str">
            <v>1405/07/04</v>
          </cell>
          <cell r="B41" t="str">
            <v>BS-008</v>
          </cell>
          <cell r="C41" t="str">
            <v>باسکول</v>
          </cell>
          <cell r="D41" t="str">
            <v>X002</v>
          </cell>
          <cell r="E41" t="str">
            <v>مقابل پوز — فروش بار (بارفروش)</v>
          </cell>
          <cell r="K41">
            <v>90000</v>
          </cell>
          <cell r="M41">
            <v>90000</v>
          </cell>
          <cell r="N41" t="str">
            <v>مقابل پوز</v>
          </cell>
          <cell r="O41" t="str">
            <v>سایر حساب</v>
          </cell>
        </row>
        <row r="42">
          <cell r="A42" t="str">
            <v>1405/07/05</v>
          </cell>
          <cell r="B42" t="str">
            <v>BS-009</v>
          </cell>
          <cell r="C42" t="str">
            <v>باسکول</v>
          </cell>
          <cell r="D42" t="str">
            <v>C007</v>
          </cell>
          <cell r="E42" t="str">
            <v>آبگیری — طرف حساب بستانکار</v>
          </cell>
          <cell r="F42" t="str">
            <v>نارنگی پیچ</v>
          </cell>
          <cell r="H42">
            <v>800</v>
          </cell>
          <cell r="I42">
            <v>800</v>
          </cell>
          <cell r="K42">
            <v>12000000</v>
          </cell>
          <cell r="M42">
            <v>12000000</v>
          </cell>
          <cell r="N42" t="str">
            <v>آبگیری</v>
          </cell>
          <cell r="O42" t="str">
            <v>باغدار</v>
          </cell>
        </row>
        <row r="43">
          <cell r="A43" t="str">
            <v>1405/07/05</v>
          </cell>
          <cell r="B43" t="str">
            <v>BS-009</v>
          </cell>
          <cell r="C43" t="str">
            <v>باسکول</v>
          </cell>
          <cell r="D43" t="str">
            <v>X008</v>
          </cell>
          <cell r="E43" t="str">
            <v>مقابل: آبگیری</v>
          </cell>
          <cell r="K43">
            <v>12000000</v>
          </cell>
          <cell r="L43">
            <v>12000000</v>
          </cell>
          <cell r="N43" t="str">
            <v>مقابل</v>
          </cell>
          <cell r="O43" t="str">
            <v>سایر حساب</v>
          </cell>
        </row>
        <row r="46">
          <cell r="A46" t="str">
            <v>1405/07/05</v>
          </cell>
          <cell r="B46" t="str">
            <v>BS-010</v>
          </cell>
          <cell r="C46" t="str">
            <v>باسکول</v>
          </cell>
          <cell r="D46" t="str">
            <v>X011</v>
          </cell>
          <cell r="E46" t="str">
            <v>انعام از پوز باسکول</v>
          </cell>
          <cell r="K46">
            <v>500000</v>
          </cell>
          <cell r="M46">
            <v>500000</v>
          </cell>
          <cell r="N46" t="str">
            <v>انعام مصطفی</v>
          </cell>
          <cell r="O46" t="str">
            <v>سایر حساب</v>
          </cell>
          <cell r="P46" t="str">
            <v>BN02</v>
          </cell>
        </row>
        <row r="47">
          <cell r="A47" t="str">
            <v>1405/07/05</v>
          </cell>
          <cell r="B47" t="str">
            <v>BS-010</v>
          </cell>
          <cell r="C47" t="str">
            <v>باسکول</v>
          </cell>
          <cell r="D47" t="str">
            <v>X001</v>
          </cell>
          <cell r="E47" t="str">
            <v>مقابل: انعام مصطفی</v>
          </cell>
          <cell r="K47">
            <v>500000</v>
          </cell>
          <cell r="L47">
            <v>500000</v>
          </cell>
          <cell r="N47" t="str">
            <v>مقابل</v>
          </cell>
          <cell r="O47" t="str">
            <v>سایر حساب</v>
          </cell>
        </row>
        <row r="50">
          <cell r="A50" t="str">
            <v>1405/07/06</v>
          </cell>
          <cell r="B50" t="str">
            <v>BS-011</v>
          </cell>
          <cell r="C50" t="str">
            <v>باسکول</v>
          </cell>
          <cell r="D50" t="str">
            <v>BD001</v>
          </cell>
          <cell r="E50" t="str">
            <v>هزینه باسکول مهمان</v>
          </cell>
          <cell r="K50">
            <v>150000</v>
          </cell>
          <cell r="L50">
            <v>150000</v>
          </cell>
          <cell r="N50" t="str">
            <v>باسکول دیگران</v>
          </cell>
          <cell r="O50" t="str">
            <v>باسکول دیگران</v>
          </cell>
        </row>
        <row r="51">
          <cell r="A51" t="str">
            <v>1405/07/06</v>
          </cell>
          <cell r="B51" t="str">
            <v>BS-011</v>
          </cell>
          <cell r="C51" t="str">
            <v>باسکول</v>
          </cell>
          <cell r="D51" t="str">
            <v>X002</v>
          </cell>
          <cell r="E51" t="str">
            <v>مقابل: باسکول دیگران</v>
          </cell>
          <cell r="K51">
            <v>150000</v>
          </cell>
          <cell r="M51">
            <v>150000</v>
          </cell>
          <cell r="N51" t="str">
            <v>مقابل</v>
          </cell>
          <cell r="O51" t="str">
            <v>سایر حساب</v>
          </cell>
        </row>
        <row r="54">
          <cell r="A54" t="str">
            <v>1405/07/06</v>
          </cell>
          <cell r="B54" t="str">
            <v>BS-012</v>
          </cell>
          <cell r="C54" t="str">
            <v>باسکول</v>
          </cell>
          <cell r="D54" t="str">
            <v>C005</v>
          </cell>
          <cell r="F54" t="str">
            <v>پرتقال یافا</v>
          </cell>
          <cell r="G54">
            <v>195</v>
          </cell>
          <cell r="H54">
            <v>3200</v>
          </cell>
          <cell r="I54">
            <v>2801.205</v>
          </cell>
          <cell r="J54">
            <v>29000</v>
          </cell>
          <cell r="K54">
            <v>81235000</v>
          </cell>
          <cell r="M54">
            <v>81235000</v>
          </cell>
          <cell r="N54" t="str">
            <v>خرید مرکبات</v>
          </cell>
          <cell r="O54" t="str">
            <v>باغدار</v>
          </cell>
        </row>
        <row r="55">
          <cell r="A55" t="str">
            <v>1405/07/06</v>
          </cell>
          <cell r="B55" t="str">
            <v>BS-012</v>
          </cell>
          <cell r="C55" t="str">
            <v>باسکول</v>
          </cell>
          <cell r="D55" t="str">
            <v>X004</v>
          </cell>
          <cell r="E55" t="str">
            <v>مقابل: خرید مرکبات</v>
          </cell>
          <cell r="K55">
            <v>81235000</v>
          </cell>
          <cell r="L55">
            <v>81235000</v>
          </cell>
          <cell r="N55" t="str">
            <v>مقابل</v>
          </cell>
          <cell r="O55" t="str">
            <v>سایر حساب</v>
          </cell>
        </row>
        <row r="58">
          <cell r="A58" t="str">
            <v>1405/07/07</v>
          </cell>
          <cell r="B58" t="str">
            <v>BS-013</v>
          </cell>
          <cell r="C58" t="str">
            <v>باسکول</v>
          </cell>
          <cell r="D58" t="str">
            <v>C001</v>
          </cell>
          <cell r="E58" t="str">
            <v>برگشت ۱۲ سبد</v>
          </cell>
          <cell r="F58" t="str">
            <v>نارنگی پیچ</v>
          </cell>
          <cell r="G58">
            <v>12</v>
          </cell>
          <cell r="H58">
            <v>220</v>
          </cell>
          <cell r="I58">
            <v>199.98</v>
          </cell>
          <cell r="J58">
            <v>32000</v>
          </cell>
          <cell r="K58">
            <v>6399000</v>
          </cell>
          <cell r="L58">
            <v>6399000</v>
          </cell>
          <cell r="N58" t="str">
            <v>مرجوعی خرید</v>
          </cell>
          <cell r="O58" t="str">
            <v>باغدار</v>
          </cell>
        </row>
        <row r="59">
          <cell r="A59" t="str">
            <v>1405/07/07</v>
          </cell>
          <cell r="B59" t="str">
            <v>BS-013</v>
          </cell>
          <cell r="C59" t="str">
            <v>باسکول</v>
          </cell>
          <cell r="D59" t="str">
            <v>X004</v>
          </cell>
          <cell r="E59" t="str">
            <v>مقابل: مرجوعی خرید</v>
          </cell>
          <cell r="K59">
            <v>6399000</v>
          </cell>
          <cell r="M59">
            <v>6399000</v>
          </cell>
          <cell r="N59" t="str">
            <v>مقابل</v>
          </cell>
          <cell r="O59" t="str">
            <v>سایر حساب</v>
          </cell>
        </row>
        <row r="62">
          <cell r="A62" t="str">
            <v>1405/07/08</v>
          </cell>
          <cell r="B62" t="str">
            <v>BS-014</v>
          </cell>
          <cell r="C62" t="str">
            <v>باسکول</v>
          </cell>
          <cell r="D62" t="str">
            <v>C009</v>
          </cell>
          <cell r="F62" t="str">
            <v>نارنگی ژاپنی</v>
          </cell>
          <cell r="G62">
            <v>92</v>
          </cell>
          <cell r="H62">
            <v>1450</v>
          </cell>
          <cell r="I62">
            <v>1271.556</v>
          </cell>
          <cell r="J62">
            <v>30500</v>
          </cell>
          <cell r="K62">
            <v>38782000</v>
          </cell>
          <cell r="M62">
            <v>38782000</v>
          </cell>
          <cell r="N62" t="str">
            <v>خرید مرکبات</v>
          </cell>
          <cell r="O62" t="str">
            <v>باغدار</v>
          </cell>
        </row>
        <row r="63">
          <cell r="A63" t="str">
            <v>1405/07/08</v>
          </cell>
          <cell r="B63" t="str">
            <v>BS-014</v>
          </cell>
          <cell r="C63" t="str">
            <v>باسکول</v>
          </cell>
          <cell r="D63" t="str">
            <v>X004</v>
          </cell>
          <cell r="E63" t="str">
            <v>مقابل: خرید مرکبات</v>
          </cell>
          <cell r="K63">
            <v>38782000</v>
          </cell>
          <cell r="L63">
            <v>38782000</v>
          </cell>
          <cell r="N63" t="str">
            <v>مقابل</v>
          </cell>
          <cell r="O63" t="str">
            <v>سایر حساب</v>
          </cell>
        </row>
        <row r="66">
          <cell r="A66" t="str">
            <v>1405/07/09</v>
          </cell>
          <cell r="B66" t="str">
            <v>BS-015</v>
          </cell>
          <cell r="C66" t="str">
            <v>باسکول</v>
          </cell>
          <cell r="D66" t="str">
            <v>SL001</v>
          </cell>
          <cell r="E66" t="str">
            <v>هزینه باسکول پوز</v>
          </cell>
          <cell r="F66" t="str">
            <v>پرتقال تامسون</v>
          </cell>
          <cell r="H66">
            <v>1600</v>
          </cell>
          <cell r="I66">
            <v>1600</v>
          </cell>
          <cell r="J66">
            <v>60000</v>
          </cell>
          <cell r="K66">
            <v>96000000</v>
          </cell>
          <cell r="L66">
            <v>96000000</v>
          </cell>
          <cell r="N66" t="str">
            <v>فروش بار (بارفروش)</v>
          </cell>
          <cell r="O66" t="str">
            <v>بارفروش</v>
          </cell>
        </row>
        <row r="67">
          <cell r="A67" t="str">
            <v>1405/07/09</v>
          </cell>
          <cell r="B67" t="str">
            <v>BS-015</v>
          </cell>
          <cell r="C67" t="str">
            <v>باسکول</v>
          </cell>
          <cell r="D67" t="str">
            <v>X006</v>
          </cell>
          <cell r="E67" t="str">
            <v>مقابل: فروش بار (بارفروش)</v>
          </cell>
          <cell r="K67">
            <v>96000000</v>
          </cell>
          <cell r="M67">
            <v>96000000</v>
          </cell>
          <cell r="N67" t="str">
            <v>مقابل</v>
          </cell>
          <cell r="O67" t="str">
            <v>سایر حساب</v>
          </cell>
        </row>
        <row r="68">
          <cell r="A68" t="str">
            <v>1405/07/09</v>
          </cell>
          <cell r="B68" t="str">
            <v>BS-015</v>
          </cell>
          <cell r="C68" t="str">
            <v>باسکول</v>
          </cell>
          <cell r="D68" t="str">
            <v>X011</v>
          </cell>
          <cell r="E68" t="str">
            <v>پوز باسکول — فروش بار (بارفروش)</v>
          </cell>
          <cell r="K68">
            <v>80000</v>
          </cell>
          <cell r="L68">
            <v>80000</v>
          </cell>
          <cell r="N68" t="str">
            <v>پوز</v>
          </cell>
          <cell r="O68" t="str">
            <v>سایر حساب</v>
          </cell>
          <cell r="P68" t="str">
            <v>BN02</v>
          </cell>
        </row>
        <row r="69">
          <cell r="A69" t="str">
            <v>1405/07/09</v>
          </cell>
          <cell r="B69" t="str">
            <v>BS-015</v>
          </cell>
          <cell r="C69" t="str">
            <v>باسکول</v>
          </cell>
          <cell r="D69" t="str">
            <v>X002</v>
          </cell>
          <cell r="E69" t="str">
            <v>مقابل پوز — فروش بار (بارفروش)</v>
          </cell>
          <cell r="K69">
            <v>80000</v>
          </cell>
          <cell r="M69">
            <v>80000</v>
          </cell>
          <cell r="N69" t="str">
            <v>مقابل پوز</v>
          </cell>
          <cell r="O69" t="str">
            <v>سایر حساب</v>
          </cell>
        </row>
        <row r="70">
          <cell r="A70" t="str">
            <v>1405/07/10</v>
          </cell>
          <cell r="B70" t="str">
            <v>BS-016</v>
          </cell>
          <cell r="C70" t="str">
            <v>باسکول</v>
          </cell>
          <cell r="D70" t="str">
            <v>C010</v>
          </cell>
          <cell r="F70" t="str">
            <v>پرتقال کاراکارا</v>
          </cell>
          <cell r="G70">
            <v>58</v>
          </cell>
          <cell r="H70">
            <v>950</v>
          </cell>
          <cell r="I70">
            <v>831.4019999999999</v>
          </cell>
          <cell r="J70">
            <v>36000</v>
          </cell>
          <cell r="K70">
            <v>29930000</v>
          </cell>
          <cell r="M70">
            <v>29930000</v>
          </cell>
          <cell r="N70" t="str">
            <v>خرید مرکبات</v>
          </cell>
          <cell r="O70" t="str">
            <v>باغدار</v>
          </cell>
        </row>
        <row r="71">
          <cell r="A71" t="str">
            <v>1405/07/10</v>
          </cell>
          <cell r="B71" t="str">
            <v>BS-016</v>
          </cell>
          <cell r="C71" t="str">
            <v>باسکول</v>
          </cell>
          <cell r="D71" t="str">
            <v>X004</v>
          </cell>
          <cell r="E71" t="str">
            <v>مقابل: خرید مرکبات</v>
          </cell>
          <cell r="K71">
            <v>29930000</v>
          </cell>
          <cell r="L71">
            <v>29930000</v>
          </cell>
          <cell r="N71" t="str">
            <v>مقابل</v>
          </cell>
          <cell r="O71" t="str">
            <v>سایر حساب</v>
          </cell>
        </row>
        <row r="76">
          <cell r="A76" t="str">
            <v>1405/07/11</v>
          </cell>
          <cell r="B76" t="str">
            <v>BS-017</v>
          </cell>
          <cell r="C76" t="str">
            <v>باسکول</v>
          </cell>
          <cell r="D76" t="str">
            <v>X011</v>
          </cell>
          <cell r="E76" t="str">
            <v>پوز باسکول — درآمد پوز باسکول (بدون طرف)</v>
          </cell>
          <cell r="K76">
            <v>300000</v>
          </cell>
          <cell r="L76">
            <v>300000</v>
          </cell>
          <cell r="N76" t="str">
            <v>پوز</v>
          </cell>
          <cell r="O76" t="str">
            <v>سایر حساب</v>
          </cell>
          <cell r="P76" t="str">
            <v>BN02</v>
          </cell>
        </row>
        <row r="77">
          <cell r="A77" t="str">
            <v>1405/07/11</v>
          </cell>
          <cell r="B77" t="str">
            <v>BS-017</v>
          </cell>
          <cell r="C77" t="str">
            <v>باسکول</v>
          </cell>
          <cell r="D77" t="str">
            <v>X002</v>
          </cell>
          <cell r="E77" t="str">
            <v>مقابل پوز — درآمد پوز باسکول (بدون طرف)</v>
          </cell>
          <cell r="K77">
            <v>300000</v>
          </cell>
          <cell r="M77">
            <v>300000</v>
          </cell>
          <cell r="N77" t="str">
            <v>مقابل پوز</v>
          </cell>
          <cell r="O77" t="str">
            <v>سایر حساب</v>
          </cell>
        </row>
        <row r="78">
          <cell r="A78" t="str">
            <v>1405/07/12</v>
          </cell>
          <cell r="B78" t="str">
            <v>BS-018</v>
          </cell>
          <cell r="C78" t="str">
            <v>باسکول</v>
          </cell>
          <cell r="D78" t="str">
            <v>C011</v>
          </cell>
          <cell r="F78" t="str">
            <v>پرتقال بیروتی</v>
          </cell>
          <cell r="G78">
            <v>72</v>
          </cell>
          <cell r="H78">
            <v>1200</v>
          </cell>
          <cell r="I78">
            <v>1081.08</v>
          </cell>
          <cell r="J78">
            <v>34000</v>
          </cell>
          <cell r="K78">
            <v>36757000</v>
          </cell>
          <cell r="M78">
            <v>36757000</v>
          </cell>
          <cell r="N78" t="str">
            <v>خرید مرکبات</v>
          </cell>
          <cell r="O78" t="str">
            <v>باغدار</v>
          </cell>
        </row>
        <row r="79">
          <cell r="A79" t="str">
            <v>1405/07/12</v>
          </cell>
          <cell r="B79" t="str">
            <v>BS-018</v>
          </cell>
          <cell r="C79" t="str">
            <v>باسکول</v>
          </cell>
          <cell r="D79" t="str">
            <v>X004</v>
          </cell>
          <cell r="E79" t="str">
            <v>مقابل: خرید مرکبات</v>
          </cell>
          <cell r="K79">
            <v>36757000</v>
          </cell>
          <cell r="L79">
            <v>36757000</v>
          </cell>
          <cell r="N79" t="str">
            <v>مقابل</v>
          </cell>
          <cell r="O79" t="str">
            <v>سایر حساب</v>
          </cell>
        </row>
        <row r="1210">
          <cell r="A1210" t="str">
            <v>1405/07/06</v>
          </cell>
          <cell r="B1210" t="str">
            <v>PV-001</v>
          </cell>
          <cell r="C1210" t="str">
            <v>پرداخت</v>
          </cell>
          <cell r="D1210" t="str">
            <v>C001</v>
          </cell>
          <cell r="E1210" t="str">
            <v>علی‌الحساب خرید</v>
          </cell>
          <cell r="K1210">
            <v>150000000</v>
          </cell>
          <cell r="L1210">
            <v>150000000</v>
          </cell>
          <cell r="N1210" t="str">
            <v>پرداخت — نقد</v>
          </cell>
          <cell r="O1210" t="str">
            <v>باغدار</v>
          </cell>
        </row>
        <row r="1211">
          <cell r="A1211" t="str">
            <v>1405/07/06</v>
          </cell>
          <cell r="B1211" t="str">
            <v>PV-001</v>
          </cell>
          <cell r="C1211" t="str">
            <v>پرداخت</v>
          </cell>
          <cell r="D1211" t="str">
            <v>X003</v>
          </cell>
          <cell r="E1211" t="str">
            <v>علی‌الحساب خرید</v>
          </cell>
          <cell r="K1211">
            <v>150000000</v>
          </cell>
          <cell r="M1211">
            <v>150000000</v>
          </cell>
          <cell r="N1211" t="str">
            <v>پرداخت — نقد</v>
          </cell>
          <cell r="O1211" t="str">
            <v>سایر حساب</v>
          </cell>
        </row>
        <row r="1212">
          <cell r="A1212" t="str">
            <v>1405/07/06</v>
          </cell>
          <cell r="B1212" t="str">
            <v>RV-001</v>
          </cell>
          <cell r="C1212" t="str">
            <v>پرداخت</v>
          </cell>
          <cell r="D1212" t="str">
            <v>X011</v>
          </cell>
          <cell r="E1212" t="str">
            <v>تسویه بار</v>
          </cell>
          <cell r="K1212">
            <v>300000000</v>
          </cell>
          <cell r="L1212">
            <v>300000000</v>
          </cell>
          <cell r="N1212" t="str">
            <v>دریافت — انتقال بانکی</v>
          </cell>
          <cell r="O1212" t="str">
            <v>سایر حساب</v>
          </cell>
          <cell r="P1212" t="str">
            <v>BN01</v>
          </cell>
        </row>
        <row r="1213">
          <cell r="A1213" t="str">
            <v>1405/07/06</v>
          </cell>
          <cell r="B1213" t="str">
            <v>RV-001</v>
          </cell>
          <cell r="C1213" t="str">
            <v>پرداخت</v>
          </cell>
          <cell r="D1213" t="str">
            <v>SL001</v>
          </cell>
          <cell r="E1213" t="str">
            <v>تسویه بار</v>
          </cell>
          <cell r="K1213">
            <v>300000000</v>
          </cell>
          <cell r="M1213">
            <v>300000000</v>
          </cell>
          <cell r="N1213" t="str">
            <v>دریافت — انتقال بانکی</v>
          </cell>
          <cell r="O1213" t="str">
            <v>بارفروش</v>
          </cell>
        </row>
        <row r="1214">
          <cell r="A1214" t="str">
            <v>1405/07/07</v>
          </cell>
          <cell r="B1214" t="str">
            <v>PV-002</v>
          </cell>
          <cell r="C1214" t="str">
            <v>پرداخت</v>
          </cell>
          <cell r="D1214" t="str">
            <v>C002</v>
          </cell>
          <cell r="E1214" t="str">
            <v>چک ۳۰ روزه</v>
          </cell>
          <cell r="K1214">
            <v>200000000</v>
          </cell>
          <cell r="L1214">
            <v>200000000</v>
          </cell>
          <cell r="N1214" t="str">
            <v>پرداخت — چک</v>
          </cell>
          <cell r="O1214" t="str">
            <v>باغدار</v>
          </cell>
        </row>
        <row r="1215">
          <cell r="A1215" t="str">
            <v>1405/07/07</v>
          </cell>
          <cell r="B1215" t="str">
            <v>PV-002</v>
          </cell>
          <cell r="C1215" t="str">
            <v>پرداخت</v>
          </cell>
          <cell r="D1215" t="str">
            <v>X010</v>
          </cell>
          <cell r="E1215" t="str">
            <v>چک ۳۰ روزه</v>
          </cell>
          <cell r="K1215">
            <v>200000000</v>
          </cell>
          <cell r="M1215">
            <v>200000000</v>
          </cell>
          <cell r="N1215" t="str">
            <v>پرداخت — چک</v>
          </cell>
          <cell r="O1215" t="str">
            <v>سایر حساب</v>
          </cell>
        </row>
        <row r="1216">
          <cell r="A1216" t="str">
            <v>1405/07/08</v>
          </cell>
          <cell r="B1216" t="str">
            <v>PV-003</v>
          </cell>
          <cell r="C1216" t="str">
            <v>پرداخت</v>
          </cell>
          <cell r="D1216" t="str">
            <v>C003</v>
          </cell>
          <cell r="K1216">
            <v>80000000</v>
          </cell>
          <cell r="L1216">
            <v>80000000</v>
          </cell>
          <cell r="N1216" t="str">
            <v>پرداخت — انتقال بانکی</v>
          </cell>
          <cell r="O1216" t="str">
            <v>باغدار</v>
          </cell>
        </row>
        <row r="1217">
          <cell r="A1217" t="str">
            <v>1405/07/08</v>
          </cell>
          <cell r="B1217" t="str">
            <v>PV-003</v>
          </cell>
          <cell r="C1217" t="str">
            <v>پرداخت</v>
          </cell>
          <cell r="D1217" t="str">
            <v>X011</v>
          </cell>
          <cell r="K1217">
            <v>80000000</v>
          </cell>
          <cell r="M1217">
            <v>80000000</v>
          </cell>
          <cell r="N1217" t="str">
            <v>پرداخت — انتقال بانکی</v>
          </cell>
          <cell r="O1217" t="str">
            <v>سایر حساب</v>
          </cell>
          <cell r="P1217" t="str">
            <v>BN02</v>
          </cell>
        </row>
        <row r="1218">
          <cell r="A1218" t="str">
            <v>1405/07/09</v>
          </cell>
          <cell r="B1218" t="str">
            <v>RV-002</v>
          </cell>
          <cell r="C1218" t="str">
            <v>پرداخت</v>
          </cell>
          <cell r="D1218" t="str">
            <v>X011</v>
          </cell>
          <cell r="K1218">
            <v>120000000</v>
          </cell>
          <cell r="L1218">
            <v>120000000</v>
          </cell>
          <cell r="N1218" t="str">
            <v>دریافت — کارت/پوز</v>
          </cell>
          <cell r="O1218" t="str">
            <v>سایر حساب</v>
          </cell>
          <cell r="P1218" t="str">
            <v>BN02</v>
          </cell>
        </row>
        <row r="1219">
          <cell r="A1219" t="str">
            <v>1405/07/09</v>
          </cell>
          <cell r="B1219" t="str">
            <v>RV-002</v>
          </cell>
          <cell r="C1219" t="str">
            <v>پرداخت</v>
          </cell>
          <cell r="D1219" t="str">
            <v>SL002</v>
          </cell>
          <cell r="K1219">
            <v>120000000</v>
          </cell>
          <cell r="M1219">
            <v>120000000</v>
          </cell>
          <cell r="N1219" t="str">
            <v>دریافت — کارت/پوز</v>
          </cell>
          <cell r="O1219" t="str">
            <v>بارفروش</v>
          </cell>
        </row>
        <row r="1220">
          <cell r="A1220" t="str">
            <v>1405/07/10</v>
          </cell>
          <cell r="B1220" t="str">
            <v>PV-004</v>
          </cell>
          <cell r="C1220" t="str">
            <v>پرداخت</v>
          </cell>
          <cell r="D1220" t="str">
            <v>X010</v>
          </cell>
          <cell r="E1220" t="str">
            <v>پاس شدن چک</v>
          </cell>
          <cell r="K1220">
            <v>200000000</v>
          </cell>
          <cell r="L1220">
            <v>200000000</v>
          </cell>
          <cell r="N1220" t="str">
            <v>پرداخت — پاس چک</v>
          </cell>
          <cell r="O1220" t="str">
            <v>سایر حساب</v>
          </cell>
        </row>
        <row r="1221">
          <cell r="A1221" t="str">
            <v>1405/07/10</v>
          </cell>
          <cell r="B1221" t="str">
            <v>PV-004</v>
          </cell>
          <cell r="C1221" t="str">
            <v>پرداخت</v>
          </cell>
          <cell r="D1221" t="str">
            <v>X011</v>
          </cell>
          <cell r="E1221" t="str">
            <v>پاس شدن چک</v>
          </cell>
          <cell r="K1221">
            <v>200000000</v>
          </cell>
          <cell r="M1221">
            <v>200000000</v>
          </cell>
          <cell r="N1221" t="str">
            <v>پرداخت — پاس چک</v>
          </cell>
          <cell r="O1221" t="str">
            <v>سایر حساب</v>
          </cell>
          <cell r="P1221" t="str">
            <v>BN01</v>
          </cell>
        </row>
        <row r="1222">
          <cell r="A1222" t="str">
            <v>1405/07/10</v>
          </cell>
          <cell r="B1222" t="str">
            <v>PV-005</v>
          </cell>
          <cell r="C1222" t="str">
            <v>پرداخت</v>
          </cell>
          <cell r="D1222" t="str">
            <v>C006</v>
          </cell>
          <cell r="K1222">
            <v>30000000</v>
          </cell>
          <cell r="L1222">
            <v>30000000</v>
          </cell>
          <cell r="N1222" t="str">
            <v>پرداخت — نقد</v>
          </cell>
          <cell r="O1222" t="str">
            <v>باغدار</v>
          </cell>
        </row>
        <row r="1223">
          <cell r="A1223" t="str">
            <v>1405/07/10</v>
          </cell>
          <cell r="B1223" t="str">
            <v>PV-005</v>
          </cell>
          <cell r="C1223" t="str">
            <v>پرداخت</v>
          </cell>
          <cell r="D1223" t="str">
            <v>X003</v>
          </cell>
          <cell r="K1223">
            <v>30000000</v>
          </cell>
          <cell r="M1223">
            <v>30000000</v>
          </cell>
          <cell r="N1223" t="str">
            <v>پرداخت — نقد</v>
          </cell>
          <cell r="O1223" t="str">
            <v>سایر حساب</v>
          </cell>
        </row>
        <row r="1224">
          <cell r="A1224" t="str">
            <v>1405/07/11</v>
          </cell>
          <cell r="B1224" t="str">
            <v>RV-003</v>
          </cell>
          <cell r="C1224" t="str">
            <v>پرداخت</v>
          </cell>
          <cell r="D1224" t="str">
            <v>X011</v>
          </cell>
          <cell r="K1224">
            <v>100000000</v>
          </cell>
          <cell r="L1224">
            <v>100000000</v>
          </cell>
          <cell r="N1224" t="str">
            <v>دریافت — انتقال بانکی</v>
          </cell>
          <cell r="O1224" t="str">
            <v>سایر حساب</v>
          </cell>
          <cell r="P1224" t="str">
            <v>BN02</v>
          </cell>
        </row>
        <row r="1225">
          <cell r="A1225" t="str">
            <v>1405/07/11</v>
          </cell>
          <cell r="B1225" t="str">
            <v>RV-003</v>
          </cell>
          <cell r="C1225" t="str">
            <v>پرداخت</v>
          </cell>
          <cell r="D1225" t="str">
            <v>SL001</v>
          </cell>
          <cell r="K1225">
            <v>100000000</v>
          </cell>
          <cell r="M1225">
            <v>100000000</v>
          </cell>
          <cell r="N1225" t="str">
            <v>دریافت — انتقال بانکی</v>
          </cell>
          <cell r="O1225" t="str">
            <v>بارفروش</v>
          </cell>
        </row>
        <row r="1226">
          <cell r="A1226" t="str">
            <v>1405/07/11</v>
          </cell>
          <cell r="B1226" t="str">
            <v>PV-006</v>
          </cell>
          <cell r="C1226" t="str">
            <v>پرداخت</v>
          </cell>
          <cell r="D1226" t="str">
            <v>X001</v>
          </cell>
          <cell r="E1226" t="str">
            <v>تسویه انعام مصطفی</v>
          </cell>
          <cell r="K1226">
            <v>500000</v>
          </cell>
          <cell r="L1226">
            <v>500000</v>
          </cell>
          <cell r="N1226" t="str">
            <v>پرداخت — نقد</v>
          </cell>
          <cell r="O1226" t="str">
            <v>سایر حساب</v>
          </cell>
        </row>
        <row r="1227">
          <cell r="A1227" t="str">
            <v>1405/07/11</v>
          </cell>
          <cell r="B1227" t="str">
            <v>PV-006</v>
          </cell>
          <cell r="C1227" t="str">
            <v>پرداخت</v>
          </cell>
          <cell r="D1227" t="str">
            <v>X003</v>
          </cell>
          <cell r="E1227" t="str">
            <v>تسویه انعام مصطفی</v>
          </cell>
          <cell r="K1227">
            <v>500000</v>
          </cell>
          <cell r="M1227">
            <v>500000</v>
          </cell>
          <cell r="N1227" t="str">
            <v>پرداخت — نقد</v>
          </cell>
          <cell r="O1227" t="str">
            <v>سایر حساب</v>
          </cell>
        </row>
        <row r="1230">
          <cell r="A1230" t="str">
            <v>1405/07/07</v>
          </cell>
          <cell r="B1230" t="str">
            <v>PV-008</v>
          </cell>
          <cell r="C1230" t="str">
            <v>پرداخت</v>
          </cell>
          <cell r="D1230" t="str">
            <v>C004</v>
          </cell>
          <cell r="E1230" t="str">
            <v>در جریان</v>
          </cell>
          <cell r="K1230">
            <v>60000000</v>
          </cell>
          <cell r="L1230">
            <v>60000000</v>
          </cell>
          <cell r="N1230" t="str">
            <v>پرداخت — چک</v>
          </cell>
          <cell r="O1230" t="str">
            <v>باغدار</v>
          </cell>
        </row>
        <row r="1231">
          <cell r="A1231" t="str">
            <v>1405/07/07</v>
          </cell>
          <cell r="B1231" t="str">
            <v>PV-008</v>
          </cell>
          <cell r="C1231" t="str">
            <v>پرداخت</v>
          </cell>
          <cell r="D1231" t="str">
            <v>X010</v>
          </cell>
          <cell r="E1231" t="str">
            <v>در جریان</v>
          </cell>
          <cell r="K1231">
            <v>60000000</v>
          </cell>
          <cell r="M1231">
            <v>60000000</v>
          </cell>
          <cell r="N1231" t="str">
            <v>پرداخت — چک</v>
          </cell>
          <cell r="O1231" t="str">
            <v>سایر حساب</v>
          </cell>
        </row>
        <row r="1232">
          <cell r="A1232" t="str">
            <v>1405/07/12</v>
          </cell>
          <cell r="B1232" t="str">
            <v>RV-004</v>
          </cell>
          <cell r="C1232" t="str">
            <v>پرداخت</v>
          </cell>
          <cell r="D1232" t="str">
            <v>X011</v>
          </cell>
          <cell r="K1232">
            <v>50000000</v>
          </cell>
          <cell r="L1232">
            <v>50000000</v>
          </cell>
          <cell r="N1232" t="str">
            <v>دریافت — انتقال بانکی</v>
          </cell>
          <cell r="O1232" t="str">
            <v>سایر حساب</v>
          </cell>
          <cell r="P1232" t="str">
            <v>BN01</v>
          </cell>
        </row>
        <row r="1233">
          <cell r="A1233" t="str">
            <v>1405/07/12</v>
          </cell>
          <cell r="B1233" t="str">
            <v>RV-004</v>
          </cell>
          <cell r="C1233" t="str">
            <v>پرداخت</v>
          </cell>
          <cell r="D1233" t="str">
            <v>SL002</v>
          </cell>
          <cell r="K1233">
            <v>50000000</v>
          </cell>
          <cell r="M1233">
            <v>50000000</v>
          </cell>
          <cell r="N1233" t="str">
            <v>دریافت — انتقال بانکی</v>
          </cell>
          <cell r="O1233" t="str">
            <v>بارفروش</v>
          </cell>
        </row>
        <row r="1510">
          <cell r="A1510" t="str">
            <v>1405/07/01</v>
          </cell>
          <cell r="B1510" t="str">
            <v>BK-001</v>
          </cell>
          <cell r="C1510" t="str">
            <v>سبد</v>
          </cell>
          <cell r="D1510" t="str">
            <v>S001</v>
          </cell>
          <cell r="G1510">
            <v>500</v>
          </cell>
          <cell r="J1510">
            <v>45000</v>
          </cell>
          <cell r="K1510">
            <v>22500000</v>
          </cell>
          <cell r="M1510">
            <v>22500000</v>
          </cell>
          <cell r="N1510" t="str">
            <v>خرید سبد</v>
          </cell>
          <cell r="O1510" t="str">
            <v>فروشنده سبد</v>
          </cell>
        </row>
        <row r="1511">
          <cell r="A1511" t="str">
            <v>1405/07/01</v>
          </cell>
          <cell r="B1511" t="str">
            <v>BK-001</v>
          </cell>
          <cell r="C1511" t="str">
            <v>سبد</v>
          </cell>
          <cell r="D1511" t="str">
            <v>X005</v>
          </cell>
          <cell r="E1511" t="str">
            <v>مقابل: خرید سبد</v>
          </cell>
          <cell r="K1511">
            <v>22500000</v>
          </cell>
          <cell r="L1511">
            <v>22500000</v>
          </cell>
          <cell r="N1511" t="str">
            <v>مقابل</v>
          </cell>
          <cell r="O1511" t="str">
            <v>سایر حساب</v>
          </cell>
        </row>
        <row r="1512">
          <cell r="A1512" t="str">
            <v>1405/07/02</v>
          </cell>
          <cell r="B1512" t="str">
            <v>BK-002</v>
          </cell>
          <cell r="C1512" t="str">
            <v>سبد</v>
          </cell>
          <cell r="D1512" t="str">
            <v>S002</v>
          </cell>
          <cell r="G1512">
            <v>300</v>
          </cell>
          <cell r="J1512">
            <v>62000</v>
          </cell>
          <cell r="K1512">
            <v>18600000</v>
          </cell>
          <cell r="M1512">
            <v>18600000</v>
          </cell>
          <cell r="N1512" t="str">
            <v>خرید سبد</v>
          </cell>
          <cell r="O1512" t="str">
            <v>فروشنده سبد</v>
          </cell>
        </row>
        <row r="1513">
          <cell r="A1513" t="str">
            <v>1405/07/02</v>
          </cell>
          <cell r="B1513" t="str">
            <v>BK-002</v>
          </cell>
          <cell r="C1513" t="str">
            <v>سبد</v>
          </cell>
          <cell r="D1513" t="str">
            <v>X005</v>
          </cell>
          <cell r="E1513" t="str">
            <v>مقابل: خرید سبد</v>
          </cell>
          <cell r="K1513">
            <v>18600000</v>
          </cell>
          <cell r="L1513">
            <v>18600000</v>
          </cell>
          <cell r="N1513" t="str">
            <v>مقابل</v>
          </cell>
          <cell r="O1513" t="str">
            <v>سایر حساب</v>
          </cell>
        </row>
        <row r="1514">
          <cell r="A1514" t="str">
            <v>1405/07/04</v>
          </cell>
          <cell r="B1514" t="str">
            <v>BK-003</v>
          </cell>
          <cell r="C1514" t="str">
            <v>سبد</v>
          </cell>
          <cell r="D1514" t="str">
            <v>C003</v>
          </cell>
          <cell r="G1514">
            <v>150</v>
          </cell>
          <cell r="J1514">
            <v>58000</v>
          </cell>
          <cell r="K1514">
            <v>8700000</v>
          </cell>
          <cell r="L1514">
            <v>8700000</v>
          </cell>
          <cell r="N1514" t="str">
            <v>فروش سبد</v>
          </cell>
          <cell r="O1514" t="str">
            <v>باغدار</v>
          </cell>
        </row>
        <row r="1515">
          <cell r="A1515" t="str">
            <v>1405/07/04</v>
          </cell>
          <cell r="B1515" t="str">
            <v>BK-003</v>
          </cell>
          <cell r="C1515" t="str">
            <v>سبد</v>
          </cell>
          <cell r="D1515" t="str">
            <v>X007</v>
          </cell>
          <cell r="E1515" t="str">
            <v>مقابل: فروش سبد</v>
          </cell>
          <cell r="K1515">
            <v>8700000</v>
          </cell>
          <cell r="M1515">
            <v>8700000</v>
          </cell>
          <cell r="N1515" t="str">
            <v>مقابل</v>
          </cell>
          <cell r="O1515" t="str">
            <v>سایر حساب</v>
          </cell>
        </row>
        <row r="1516">
          <cell r="A1516" t="str">
            <v>1405/07/06</v>
          </cell>
          <cell r="B1516" t="str">
            <v>BK-004</v>
          </cell>
          <cell r="C1516" t="str">
            <v>سبد</v>
          </cell>
          <cell r="D1516" t="str">
            <v>C006</v>
          </cell>
          <cell r="G1516">
            <v>80</v>
          </cell>
          <cell r="J1516">
            <v>80000</v>
          </cell>
          <cell r="K1516">
            <v>6400000</v>
          </cell>
          <cell r="L1516">
            <v>6400000</v>
          </cell>
          <cell r="N1516" t="str">
            <v>فروش سبد</v>
          </cell>
          <cell r="O1516" t="str">
            <v>باغدار</v>
          </cell>
        </row>
        <row r="1517">
          <cell r="A1517" t="str">
            <v>1405/07/06</v>
          </cell>
          <cell r="B1517" t="str">
            <v>BK-004</v>
          </cell>
          <cell r="C1517" t="str">
            <v>سبد</v>
          </cell>
          <cell r="D1517" t="str">
            <v>X007</v>
          </cell>
          <cell r="E1517" t="str">
            <v>مقابل: فروش سبد</v>
          </cell>
          <cell r="K1517">
            <v>6400000</v>
          </cell>
          <cell r="M1517">
            <v>6400000</v>
          </cell>
          <cell r="N1517" t="str">
            <v>مقابل</v>
          </cell>
          <cell r="O1517" t="str">
            <v>سایر حساب</v>
          </cell>
        </row>
        <row r="1518">
          <cell r="A1518" t="str">
            <v>1405/07/08</v>
          </cell>
          <cell r="B1518" t="str">
            <v>BK-005</v>
          </cell>
          <cell r="C1518" t="str">
            <v>سبد</v>
          </cell>
          <cell r="D1518" t="str">
            <v>S003</v>
          </cell>
          <cell r="G1518">
            <v>200</v>
          </cell>
          <cell r="J1518">
            <v>58000</v>
          </cell>
          <cell r="K1518">
            <v>11600000</v>
          </cell>
          <cell r="M1518">
            <v>11600000</v>
          </cell>
          <cell r="N1518" t="str">
            <v>خرید سبد</v>
          </cell>
          <cell r="O1518" t="str">
            <v>فروشنده سبد</v>
          </cell>
        </row>
        <row r="1519">
          <cell r="A1519" t="str">
            <v>1405/07/08</v>
          </cell>
          <cell r="B1519" t="str">
            <v>BK-005</v>
          </cell>
          <cell r="C1519" t="str">
            <v>سبد</v>
          </cell>
          <cell r="D1519" t="str">
            <v>X005</v>
          </cell>
          <cell r="E1519" t="str">
            <v>مقابل: خرید سبد</v>
          </cell>
          <cell r="K1519">
            <v>11600000</v>
          </cell>
          <cell r="L1519">
            <v>11600000</v>
          </cell>
          <cell r="N1519" t="str">
            <v>مقابل</v>
          </cell>
          <cell r="O1519" t="str">
            <v>سایر حساب</v>
          </cell>
        </row>
        <row r="1520">
          <cell r="A1520" t="str">
            <v>1405/07/10</v>
          </cell>
          <cell r="B1520" t="str">
            <v>BK-006</v>
          </cell>
          <cell r="C1520" t="str">
            <v>سبد</v>
          </cell>
          <cell r="D1520" t="str">
            <v>S001</v>
          </cell>
          <cell r="E1520" t="str">
            <v>سبد سالم</v>
          </cell>
          <cell r="G1520">
            <v>20</v>
          </cell>
          <cell r="J1520">
            <v>45000</v>
          </cell>
          <cell r="K1520">
            <v>900000</v>
          </cell>
          <cell r="L1520">
            <v>900000</v>
          </cell>
          <cell r="N1520" t="str">
            <v>مرجوعی خرید سبد</v>
          </cell>
          <cell r="O1520" t="str">
            <v>فروشنده سبد</v>
          </cell>
        </row>
        <row r="1521">
          <cell r="A1521" t="str">
            <v>1405/07/10</v>
          </cell>
          <cell r="B1521" t="str">
            <v>BK-006</v>
          </cell>
          <cell r="C1521" t="str">
            <v>سبد</v>
          </cell>
          <cell r="D1521" t="str">
            <v>X005</v>
          </cell>
          <cell r="E1521" t="str">
            <v>مقابل: مرجوعی خرید سبد</v>
          </cell>
          <cell r="K1521">
            <v>900000</v>
          </cell>
          <cell r="M1521">
            <v>900000</v>
          </cell>
          <cell r="N1521" t="str">
            <v>مقابل</v>
          </cell>
          <cell r="O1521" t="str">
            <v>سایر حساب</v>
          </cell>
        </row>
        <row r="1522">
          <cell r="A1522" t="str">
            <v>1405/07/12</v>
          </cell>
          <cell r="B1522" t="str">
            <v>BK-007</v>
          </cell>
          <cell r="C1522" t="str">
            <v>سبد</v>
          </cell>
          <cell r="D1522" t="str">
            <v>C001</v>
          </cell>
          <cell r="G1522">
            <v>60</v>
          </cell>
          <cell r="J1522">
            <v>82000</v>
          </cell>
          <cell r="K1522">
            <v>4920000</v>
          </cell>
          <cell r="L1522">
            <v>4920000</v>
          </cell>
          <cell r="N1522" t="str">
            <v>فروش سبد</v>
          </cell>
          <cell r="O1522" t="str">
            <v>باغدار</v>
          </cell>
        </row>
        <row r="1523">
          <cell r="A1523" t="str">
            <v>1405/07/12</v>
          </cell>
          <cell r="B1523" t="str">
            <v>BK-007</v>
          </cell>
          <cell r="C1523" t="str">
            <v>سبد</v>
          </cell>
          <cell r="D1523" t="str">
            <v>X007</v>
          </cell>
          <cell r="E1523" t="str">
            <v>مقابل: فروش سبد</v>
          </cell>
          <cell r="K1523">
            <v>4920000</v>
          </cell>
          <cell r="M1523">
            <v>4920000</v>
          </cell>
          <cell r="N1523" t="str">
            <v>مقابل</v>
          </cell>
          <cell r="O1523" t="str">
            <v>سایر حساب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>
  <externalBook r:id="rId1">
    <sheetNames>
      <sheetName val="Post"/>
    </sheetNames>
    <sheetDataSet>
      <sheetData sheetId="0">
        <row r="13">
          <cell r="A13" t="str">
            <v>1405/07/03</v>
          </cell>
          <cell r="B13" t="str">
            <v>JB-BS-006</v>
          </cell>
          <cell r="C13" t="str">
            <v>تراکنش بانکی</v>
          </cell>
          <cell r="D13" t="str">
            <v>BN02</v>
          </cell>
          <cell r="E13" t="str">
            <v>صادرات ۲۰۰۶ — پوز باسکول</v>
          </cell>
          <cell r="F13" t="str">
            <v>بانک و صندوق</v>
          </cell>
          <cell r="G13" t="str">
            <v>واریز پز باسکول (۲۰۰۶)</v>
          </cell>
          <cell r="H13" t="str">
            <v>BN02</v>
          </cell>
          <cell r="I13">
            <v>120000</v>
          </cell>
          <cell r="K13">
            <v>7</v>
          </cell>
          <cell r="L13" t="str">
            <v>پوز باسکول — فروش بار (بارفروش)</v>
          </cell>
        </row>
        <row r="14">
          <cell r="A14" t="str">
            <v>1405/07/03</v>
          </cell>
          <cell r="B14" t="str">
            <v>JB-BS-006</v>
          </cell>
          <cell r="C14" t="str">
            <v>تراکنش بانکی</v>
          </cell>
          <cell r="D14" t="str">
            <v>X011</v>
          </cell>
          <cell r="E14" t="str">
            <v>حساب واسط بانک و پز (در راه)</v>
          </cell>
          <cell r="F14" t="str">
            <v>سایر حساب</v>
          </cell>
          <cell r="G14" t="str">
            <v>واریز پز باسکول (۲۰۰۶)</v>
          </cell>
          <cell r="H14" t="str">
            <v>BN02</v>
          </cell>
          <cell r="J14">
            <v>120000</v>
          </cell>
          <cell r="K14">
            <v>7</v>
          </cell>
          <cell r="L14" t="str">
            <v>طرف مقابل — پوز باسکول — فروش بار (بارفروش)</v>
          </cell>
        </row>
        <row r="15">
          <cell r="A15" t="str">
            <v>1405/07/04</v>
          </cell>
          <cell r="B15" t="str">
            <v>JB-BS-008</v>
          </cell>
          <cell r="C15" t="str">
            <v>تراکنش بانکی</v>
          </cell>
          <cell r="D15" t="str">
            <v>BN02</v>
          </cell>
          <cell r="E15" t="str">
            <v>صادرات ۲۰۰۶ — پوز باسکول</v>
          </cell>
          <cell r="F15" t="str">
            <v>بانک و صندوق</v>
          </cell>
          <cell r="G15" t="str">
            <v>واریز پز باسکول (۲۰۰۶)</v>
          </cell>
          <cell r="H15" t="str">
            <v>BN02</v>
          </cell>
          <cell r="I15">
            <v>90000</v>
          </cell>
          <cell r="K15">
            <v>7</v>
          </cell>
          <cell r="L15" t="str">
            <v>پوز باسکول — فروش بار (بارفروش)</v>
          </cell>
        </row>
        <row r="16">
          <cell r="A16" t="str">
            <v>1405/07/04</v>
          </cell>
          <cell r="B16" t="str">
            <v>JB-BS-008</v>
          </cell>
          <cell r="C16" t="str">
            <v>تراکنش بانکی</v>
          </cell>
          <cell r="D16" t="str">
            <v>X011</v>
          </cell>
          <cell r="E16" t="str">
            <v>حساب واسط بانک و پز (در راه)</v>
          </cell>
          <cell r="F16" t="str">
            <v>سایر حساب</v>
          </cell>
          <cell r="G16" t="str">
            <v>واریز پز باسکول (۲۰۰۶)</v>
          </cell>
          <cell r="H16" t="str">
            <v>BN02</v>
          </cell>
          <cell r="J16">
            <v>90000</v>
          </cell>
          <cell r="K16">
            <v>7</v>
          </cell>
          <cell r="L16" t="str">
            <v>طرف مقابل — پوز باسکول — فروش بار (بارفروش)</v>
          </cell>
        </row>
        <row r="17">
          <cell r="A17" t="str">
            <v>1405/07/05</v>
          </cell>
          <cell r="B17" t="str">
            <v>JB-BS-010</v>
          </cell>
          <cell r="C17" t="str">
            <v>تراکنش بانکی</v>
          </cell>
          <cell r="D17" t="str">
            <v>BN02</v>
          </cell>
          <cell r="E17" t="str">
            <v>صادرات ۲۰۰۶ — پوز باسکول</v>
          </cell>
          <cell r="F17" t="str">
            <v>بانک و صندوق</v>
          </cell>
          <cell r="G17" t="str">
            <v>تسویه پرداخت (واسط)</v>
          </cell>
          <cell r="H17" t="str">
            <v>BN02</v>
          </cell>
          <cell r="J17">
            <v>500000</v>
          </cell>
          <cell r="K17">
            <v>7</v>
          </cell>
          <cell r="L17" t="str">
            <v>انعام از پوز باسکول</v>
          </cell>
        </row>
        <row r="18">
          <cell r="A18" t="str">
            <v>1405/07/05</v>
          </cell>
          <cell r="B18" t="str">
            <v>JB-BS-010</v>
          </cell>
          <cell r="C18" t="str">
            <v>تراکنش بانکی</v>
          </cell>
          <cell r="D18" t="str">
            <v>X011</v>
          </cell>
          <cell r="E18" t="str">
            <v>حساب واسط بانک و پز (در راه)</v>
          </cell>
          <cell r="F18" t="str">
            <v>سایر حساب</v>
          </cell>
          <cell r="G18" t="str">
            <v>تسویه پرداخت (واسط)</v>
          </cell>
          <cell r="H18" t="str">
            <v>BN02</v>
          </cell>
          <cell r="I18">
            <v>500000</v>
          </cell>
          <cell r="K18">
            <v>7</v>
          </cell>
          <cell r="L18" t="str">
            <v>طرف مقابل — انعام از پوز باسکول</v>
          </cell>
        </row>
        <row r="19">
          <cell r="A19" t="str">
            <v>1405/07/06</v>
          </cell>
          <cell r="B19" t="str">
            <v>JB-RV-001</v>
          </cell>
          <cell r="C19" t="str">
            <v>تراکنش بانکی</v>
          </cell>
          <cell r="D19" t="str">
            <v>BN01</v>
          </cell>
          <cell r="E19" t="str">
            <v>صادرات ۹۰۰۹ — جاری اصلی</v>
          </cell>
          <cell r="F19" t="str">
            <v>بانک و صندوق</v>
          </cell>
          <cell r="G19" t="str">
            <v>تسویه دریافت (واسط)</v>
          </cell>
          <cell r="H19" t="str">
            <v>BN01</v>
          </cell>
          <cell r="I19">
            <v>300000000</v>
          </cell>
          <cell r="K19">
            <v>7</v>
          </cell>
          <cell r="L19" t="str">
            <v>تسویه بار</v>
          </cell>
        </row>
        <row r="20">
          <cell r="A20" t="str">
            <v>1405/07/06</v>
          </cell>
          <cell r="B20" t="str">
            <v>JB-RV-001</v>
          </cell>
          <cell r="C20" t="str">
            <v>تراکنش بانکی</v>
          </cell>
          <cell r="D20" t="str">
            <v>X011</v>
          </cell>
          <cell r="E20" t="str">
            <v>حساب واسط بانک و پز (در راه)</v>
          </cell>
          <cell r="F20" t="str">
            <v>سایر حساب</v>
          </cell>
          <cell r="G20" t="str">
            <v>تسویه دریافت (واسط)</v>
          </cell>
          <cell r="H20" t="str">
            <v>BN01</v>
          </cell>
          <cell r="J20">
            <v>300000000</v>
          </cell>
          <cell r="K20">
            <v>7</v>
          </cell>
          <cell r="L20" t="str">
            <v>طرف مقابل — تسویه بار</v>
          </cell>
        </row>
        <row r="21">
          <cell r="A21" t="str">
            <v>1405/07/08</v>
          </cell>
          <cell r="B21" t="str">
            <v>JB-PV-003</v>
          </cell>
          <cell r="C21" t="str">
            <v>تراکنش بانکی</v>
          </cell>
          <cell r="D21" t="str">
            <v>BN02</v>
          </cell>
          <cell r="E21" t="str">
            <v>صادرات ۲۰۰۶ — پوز باسکول</v>
          </cell>
          <cell r="F21" t="str">
            <v>بانک و صندوق</v>
          </cell>
          <cell r="G21" t="str">
            <v>تسویه پرداخت (واسط)</v>
          </cell>
          <cell r="H21" t="str">
            <v>BN02</v>
          </cell>
          <cell r="J21">
            <v>80000000</v>
          </cell>
          <cell r="K21">
            <v>7</v>
          </cell>
          <cell r="L21" t="str">
            <v>پرداخت از واسط</v>
          </cell>
        </row>
        <row r="22">
          <cell r="A22" t="str">
            <v>1405/07/08</v>
          </cell>
          <cell r="B22" t="str">
            <v>JB-PV-003</v>
          </cell>
          <cell r="C22" t="str">
            <v>تراکنش بانکی</v>
          </cell>
          <cell r="D22" t="str">
            <v>X011</v>
          </cell>
          <cell r="E22" t="str">
            <v>حساب واسط بانک و پز (در راه)</v>
          </cell>
          <cell r="F22" t="str">
            <v>سایر حساب</v>
          </cell>
          <cell r="G22" t="str">
            <v>تسویه پرداخت (واسط)</v>
          </cell>
          <cell r="H22" t="str">
            <v>BN02</v>
          </cell>
          <cell r="I22">
            <v>80000000</v>
          </cell>
          <cell r="K22">
            <v>7</v>
          </cell>
          <cell r="L22" t="str">
            <v>طرف مقابل — پرداخت از واسط</v>
          </cell>
        </row>
        <row r="23">
          <cell r="A23" t="str">
            <v>1405/07/09</v>
          </cell>
          <cell r="B23" t="str">
            <v>JB-RV-002</v>
          </cell>
          <cell r="C23" t="str">
            <v>تراکنش بانکی</v>
          </cell>
          <cell r="D23" t="str">
            <v>BN02</v>
          </cell>
          <cell r="E23" t="str">
            <v>صادرات ۲۰۰۶ — پوز باسکول</v>
          </cell>
          <cell r="F23" t="str">
            <v>بانک و صندوق</v>
          </cell>
          <cell r="G23" t="str">
            <v>تسویه دریافت (واسط)</v>
          </cell>
          <cell r="H23" t="str">
            <v>BN02</v>
          </cell>
          <cell r="I23">
            <v>120000000</v>
          </cell>
          <cell r="K23">
            <v>7</v>
          </cell>
          <cell r="L23" t="str">
            <v>واریز از واسط</v>
          </cell>
        </row>
        <row r="24">
          <cell r="A24" t="str">
            <v>1405/07/09</v>
          </cell>
          <cell r="B24" t="str">
            <v>JB-RV-002</v>
          </cell>
          <cell r="C24" t="str">
            <v>تراکنش بانکی</v>
          </cell>
          <cell r="D24" t="str">
            <v>X011</v>
          </cell>
          <cell r="E24" t="str">
            <v>حساب واسط بانک و پز (در راه)</v>
          </cell>
          <cell r="F24" t="str">
            <v>سایر حساب</v>
          </cell>
          <cell r="G24" t="str">
            <v>تسویه دریافت (واسط)</v>
          </cell>
          <cell r="H24" t="str">
            <v>BN02</v>
          </cell>
          <cell r="J24">
            <v>120000000</v>
          </cell>
          <cell r="K24">
            <v>7</v>
          </cell>
          <cell r="L24" t="str">
            <v>طرف مقابل — واریز از واسط</v>
          </cell>
        </row>
        <row r="25">
          <cell r="A25" t="str">
            <v>1405/07/09</v>
          </cell>
          <cell r="B25" t="str">
            <v>JB-BS-015</v>
          </cell>
          <cell r="C25" t="str">
            <v>تراکنش بانکی</v>
          </cell>
          <cell r="D25" t="str">
            <v>BN02</v>
          </cell>
          <cell r="E25" t="str">
            <v>صادرات ۲۰۰۶ — پوز باسکول</v>
          </cell>
          <cell r="F25" t="str">
            <v>بانک و صندوق</v>
          </cell>
          <cell r="G25" t="str">
            <v>واریز پز باسکول (۲۰۰۶)</v>
          </cell>
          <cell r="H25" t="str">
            <v>BN02</v>
          </cell>
          <cell r="I25">
            <v>80000</v>
          </cell>
          <cell r="K25">
            <v>7</v>
          </cell>
          <cell r="L25" t="str">
            <v>پوز باسکول — فروش بار (بارفروش)</v>
          </cell>
        </row>
        <row r="26">
          <cell r="A26" t="str">
            <v>1405/07/09</v>
          </cell>
          <cell r="B26" t="str">
            <v>JB-BS-015</v>
          </cell>
          <cell r="C26" t="str">
            <v>تراکنش بانکی</v>
          </cell>
          <cell r="D26" t="str">
            <v>X011</v>
          </cell>
          <cell r="E26" t="str">
            <v>حساب واسط بانک و پز (در راه)</v>
          </cell>
          <cell r="F26" t="str">
            <v>سایر حساب</v>
          </cell>
          <cell r="G26" t="str">
            <v>واریز پز باسکول (۲۰۰۶)</v>
          </cell>
          <cell r="H26" t="str">
            <v>BN02</v>
          </cell>
          <cell r="J26">
            <v>80000</v>
          </cell>
          <cell r="K26">
            <v>7</v>
          </cell>
          <cell r="L26" t="str">
            <v>طرف مقابل — پوز باسکول — فروش بار (بارفروش)</v>
          </cell>
        </row>
        <row r="27">
          <cell r="A27" t="str">
            <v>1405/07/10</v>
          </cell>
          <cell r="B27" t="str">
            <v>JB-PV-004</v>
          </cell>
          <cell r="C27" t="str">
            <v>تراکنش بانکی</v>
          </cell>
          <cell r="D27" t="str">
            <v>BN01</v>
          </cell>
          <cell r="E27" t="str">
            <v>صادرات ۹۰۰۹ — جاری اصلی</v>
          </cell>
          <cell r="F27" t="str">
            <v>بانک و صندوق</v>
          </cell>
          <cell r="G27" t="str">
            <v>تسویه پرداخت (واسط)</v>
          </cell>
          <cell r="H27" t="str">
            <v>BN01</v>
          </cell>
          <cell r="J27">
            <v>200000000</v>
          </cell>
          <cell r="K27">
            <v>7</v>
          </cell>
          <cell r="L27" t="str">
            <v>پاس شدن چک</v>
          </cell>
        </row>
        <row r="28">
          <cell r="A28" t="str">
            <v>1405/07/10</v>
          </cell>
          <cell r="B28" t="str">
            <v>JB-PV-004</v>
          </cell>
          <cell r="C28" t="str">
            <v>تراکنش بانکی</v>
          </cell>
          <cell r="D28" t="str">
            <v>X011</v>
          </cell>
          <cell r="E28" t="str">
            <v>حساب واسط بانک و پز (در راه)</v>
          </cell>
          <cell r="F28" t="str">
            <v>سایر حساب</v>
          </cell>
          <cell r="G28" t="str">
            <v>تسویه پرداخت (واسط)</v>
          </cell>
          <cell r="H28" t="str">
            <v>BN01</v>
          </cell>
          <cell r="I28">
            <v>200000000</v>
          </cell>
          <cell r="K28">
            <v>7</v>
          </cell>
          <cell r="L28" t="str">
            <v>طرف مقابل — پاس شدن چک</v>
          </cell>
        </row>
        <row r="29">
          <cell r="A29" t="str">
            <v>1405/07/11</v>
          </cell>
          <cell r="B29" t="str">
            <v>JB-RV-003</v>
          </cell>
          <cell r="C29" t="str">
            <v>تراکنش بانکی</v>
          </cell>
          <cell r="D29" t="str">
            <v>BN02</v>
          </cell>
          <cell r="E29" t="str">
            <v>صادرات ۲۰۰۶ — پوز باسکول</v>
          </cell>
          <cell r="F29" t="str">
            <v>بانک و صندوق</v>
          </cell>
          <cell r="G29" t="str">
            <v>تسویه دریافت (واسط)</v>
          </cell>
          <cell r="H29" t="str">
            <v>BN02</v>
          </cell>
          <cell r="I29">
            <v>100000000</v>
          </cell>
          <cell r="K29">
            <v>7</v>
          </cell>
          <cell r="L29" t="str">
            <v>واریز از واسط</v>
          </cell>
        </row>
        <row r="30">
          <cell r="A30" t="str">
            <v>1405/07/11</v>
          </cell>
          <cell r="B30" t="str">
            <v>JB-RV-003</v>
          </cell>
          <cell r="C30" t="str">
            <v>تراکنش بانکی</v>
          </cell>
          <cell r="D30" t="str">
            <v>X011</v>
          </cell>
          <cell r="E30" t="str">
            <v>حساب واسط بانک و پز (در راه)</v>
          </cell>
          <cell r="F30" t="str">
            <v>سایر حساب</v>
          </cell>
          <cell r="G30" t="str">
            <v>تسویه دریافت (واسط)</v>
          </cell>
          <cell r="H30" t="str">
            <v>BN02</v>
          </cell>
          <cell r="J30">
            <v>100000000</v>
          </cell>
          <cell r="K30">
            <v>7</v>
          </cell>
          <cell r="L30" t="str">
            <v>طرف مقابل — واریز از واسط</v>
          </cell>
        </row>
        <row r="31">
          <cell r="A31" t="str">
            <v>1405/07/11</v>
          </cell>
          <cell r="B31" t="str">
            <v>JB-BS-017</v>
          </cell>
          <cell r="C31" t="str">
            <v>تراکنش بانکی</v>
          </cell>
          <cell r="D31" t="str">
            <v>BN02</v>
          </cell>
          <cell r="E31" t="str">
            <v>صادرات ۲۰۰۶ — پوز باسکول</v>
          </cell>
          <cell r="F31" t="str">
            <v>بانک و صندوق</v>
          </cell>
          <cell r="G31" t="str">
            <v>واریز پز باسکول (۲۰۰۶)</v>
          </cell>
          <cell r="H31" t="str">
            <v>BN02</v>
          </cell>
          <cell r="I31">
            <v>300000</v>
          </cell>
          <cell r="K31">
            <v>7</v>
          </cell>
          <cell r="L31" t="str">
            <v>پوز باسکول — درآمد پوز باسکول (بدون طرف)</v>
          </cell>
        </row>
        <row r="32">
          <cell r="A32" t="str">
            <v>1405/07/11</v>
          </cell>
          <cell r="B32" t="str">
            <v>JB-BS-017</v>
          </cell>
          <cell r="C32" t="str">
            <v>تراکنش بانکی</v>
          </cell>
          <cell r="D32" t="str">
            <v>X011</v>
          </cell>
          <cell r="E32" t="str">
            <v>حساب واسط بانک و پز (در راه)</v>
          </cell>
          <cell r="F32" t="str">
            <v>سایر حساب</v>
          </cell>
          <cell r="G32" t="str">
            <v>واریز پز باسکول (۲۰۰۶)</v>
          </cell>
          <cell r="H32" t="str">
            <v>BN02</v>
          </cell>
          <cell r="J32">
            <v>300000</v>
          </cell>
          <cell r="K32">
            <v>7</v>
          </cell>
          <cell r="L32" t="str">
            <v>طرف مقابل — پوز باسکول — درآمد پوز باسکول (بدون طرف)</v>
          </cell>
        </row>
        <row r="33">
          <cell r="A33" t="str">
            <v>1405/07/12</v>
          </cell>
          <cell r="B33" t="str">
            <v>JB-RV-004</v>
          </cell>
          <cell r="C33" t="str">
            <v>تراکنش بانکی</v>
          </cell>
          <cell r="D33" t="str">
            <v>BN01</v>
          </cell>
          <cell r="E33" t="str">
            <v>صادرات ۹۰۰۹ — جاری اصلی</v>
          </cell>
          <cell r="F33" t="str">
            <v>بانک و صندوق</v>
          </cell>
          <cell r="G33" t="str">
            <v>تسویه دریافت (واسط)</v>
          </cell>
          <cell r="H33" t="str">
            <v>BN01</v>
          </cell>
          <cell r="I33">
            <v>50000000</v>
          </cell>
          <cell r="K33">
            <v>7</v>
          </cell>
          <cell r="L33" t="str">
            <v>واریز از واسط</v>
          </cell>
        </row>
        <row r="34">
          <cell r="A34" t="str">
            <v>1405/07/12</v>
          </cell>
          <cell r="B34" t="str">
            <v>JB-RV-004</v>
          </cell>
          <cell r="C34" t="str">
            <v>تراکنش بانکی</v>
          </cell>
          <cell r="D34" t="str">
            <v>X011</v>
          </cell>
          <cell r="E34" t="str">
            <v>حساب واسط بانک و پز (در راه)</v>
          </cell>
          <cell r="F34" t="str">
            <v>سایر حساب</v>
          </cell>
          <cell r="G34" t="str">
            <v>تسویه دریافت (واسط)</v>
          </cell>
          <cell r="H34" t="str">
            <v>BN01</v>
          </cell>
          <cell r="J34">
            <v>50000000</v>
          </cell>
          <cell r="K34">
            <v>7</v>
          </cell>
          <cell r="L34" t="str">
            <v>طرف مقابل — واریز از واسط</v>
          </cell>
        </row>
        <row r="35">
          <cell r="A35" t="str">
            <v>1405/07/13</v>
          </cell>
          <cell r="B35" t="str">
            <v>TB-901</v>
          </cell>
          <cell r="C35" t="str">
            <v>تراکنش بانکی</v>
          </cell>
          <cell r="D35" t="str">
            <v>BN01</v>
          </cell>
          <cell r="E35" t="str">
            <v>صادرات ۹۰۰۹ — جاری اصلی</v>
          </cell>
          <cell r="F35" t="str">
            <v>بانک و صندوق</v>
          </cell>
          <cell r="G35" t="str">
            <v>انتقال داخلی بین بانک‌ها</v>
          </cell>
          <cell r="H35" t="str">
            <v>BN01</v>
          </cell>
          <cell r="J35">
            <v>50000000</v>
          </cell>
          <cell r="K35">
            <v>7</v>
          </cell>
          <cell r="L35" t="str">
            <v>انتقال به حساب ملت</v>
          </cell>
        </row>
        <row r="36">
          <cell r="A36" t="str">
            <v>1405/07/13</v>
          </cell>
          <cell r="B36" t="str">
            <v>TB-901</v>
          </cell>
          <cell r="C36" t="str">
            <v>تراکنش بانکی</v>
          </cell>
          <cell r="D36" t="str">
            <v>BN03</v>
          </cell>
          <cell r="E36" t="str">
            <v>بانک ملت</v>
          </cell>
          <cell r="F36" t="str">
            <v>بانک و صندوق</v>
          </cell>
          <cell r="G36" t="str">
            <v>انتقال داخلی بین بانک‌ها</v>
          </cell>
          <cell r="H36" t="str">
            <v>BN01</v>
          </cell>
          <cell r="I36">
            <v>50000000</v>
          </cell>
          <cell r="K36">
            <v>7</v>
          </cell>
          <cell r="L36" t="str">
            <v>طرف مقابل — انتقال به حساب ملت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1"/>
  <sheetViews>
    <sheetView showGridLines="0" rightToLeft="1" tabSelected="1" zoomScale="85" zoomScaleNormal="85" workbookViewId="0"/>
  </sheetViews>
  <sheetFormatPr defaultRowHeight="15"/>
  <sheetData>
    <row r="1" spans="1:8" ht="6" customHeight="1">
      <c r="A1" s="1"/>
      <c r="B1" s="1"/>
      <c r="C1" s="1"/>
      <c r="D1" s="1"/>
      <c r="E1" s="1"/>
      <c r="F1" s="1"/>
      <c r="G1" s="1"/>
      <c r="H1" s="1"/>
    </row>
    <row r="2" spans="1:8" ht="18" customHeight="1">
      <c r="A2" s="2" t="s">
        <v>0</v>
      </c>
      <c r="B2" s="2"/>
      <c r="C2" s="2"/>
      <c r="D2" s="2"/>
      <c r="E2" s="2"/>
      <c r="F2" s="2"/>
      <c r="G2" s="2"/>
      <c r="H2" s="2"/>
    </row>
    <row r="3" spans="1:8" ht="38.25" customHeight="1">
      <c r="A3" s="3" t="s">
        <v>1</v>
      </c>
      <c r="B3" s="3"/>
      <c r="C3" s="3"/>
      <c r="D3" s="3"/>
      <c r="E3" s="3"/>
      <c r="F3" s="3"/>
      <c r="G3" s="3"/>
      <c r="H3" s="3"/>
    </row>
    <row r="4" spans="1:8" ht="21.75" customHeight="1">
      <c r="A4" s="4" t="s">
        <v>2</v>
      </c>
      <c r="B4" s="4"/>
      <c r="C4" s="4"/>
      <c r="D4" s="4"/>
      <c r="E4" s="4"/>
      <c r="F4" s="4"/>
      <c r="G4" s="4"/>
      <c r="H4" s="4"/>
    </row>
    <row r="5" spans="1:8" ht="3.75" customHeight="1">
      <c r="A5" s="5"/>
      <c r="B5" s="5"/>
      <c r="C5" s="5"/>
      <c r="D5" s="5"/>
      <c r="E5" s="5"/>
      <c r="F5" s="5"/>
      <c r="G5" s="5"/>
      <c r="H5" s="5"/>
    </row>
    <row r="7" spans="1:8" ht="20.25" customHeight="1">
      <c r="A7" s="6" t="s">
        <v>3</v>
      </c>
      <c r="B7" s="6"/>
      <c r="C7" s="6" t="s">
        <v>4</v>
      </c>
      <c r="D7" s="6"/>
      <c r="E7" s="6" t="s">
        <v>5</v>
      </c>
      <c r="F7" s="6"/>
      <c r="G7" s="6" t="s">
        <v>6</v>
      </c>
      <c r="H7" s="6"/>
    </row>
    <row r="8" spans="1:8" ht="33.75" customHeight="1">
      <c r="A8" s="7">
        <f>Time!A8</f>
        <v>0</v>
      </c>
      <c r="B8" s="7"/>
      <c r="C8" s="8">
        <f>Time!C8</f>
        <v>0</v>
      </c>
      <c r="D8" s="8"/>
      <c r="E8" s="9">
        <f>Time!E8</f>
        <v>0</v>
      </c>
      <c r="F8" s="9"/>
      <c r="G8" s="10">
        <f>Pos!G8</f>
        <v>0</v>
      </c>
      <c r="H8" s="10"/>
    </row>
    <row r="9" spans="1:8" ht="26.25" customHeight="1">
      <c r="A9" s="11" t="s">
        <v>7</v>
      </c>
      <c r="B9" s="11"/>
      <c r="C9" s="11"/>
      <c r="D9" s="11"/>
      <c r="E9" s="11"/>
      <c r="F9" s="11"/>
      <c r="G9" s="12" t="s">
        <v>8</v>
      </c>
      <c r="H9" s="12"/>
    </row>
    <row r="10" spans="1:8">
      <c r="A10" s="13" t="s">
        <v>9</v>
      </c>
      <c r="B10" s="13" t="s">
        <v>10</v>
      </c>
      <c r="C10" s="13" t="s">
        <v>11</v>
      </c>
    </row>
    <row r="11" spans="1:8">
      <c r="A11" s="14">
        <f>Time!$A$13</f>
        <v>0</v>
      </c>
      <c r="B11" s="15">
        <f>Time!$C$13</f>
        <v>0</v>
      </c>
      <c r="C11" s="15">
        <f>Time!$D$13</f>
        <v>0</v>
      </c>
    </row>
    <row r="12" spans="1:8">
      <c r="A12" s="14">
        <f>Time!$A$14</f>
        <v>0</v>
      </c>
      <c r="B12" s="15">
        <f>Time!$C$14</f>
        <v>0</v>
      </c>
      <c r="C12" s="15">
        <f>Time!$D$14</f>
        <v>0</v>
      </c>
    </row>
    <row r="13" spans="1:8">
      <c r="A13" s="14">
        <f>Time!$A$15</f>
        <v>0</v>
      </c>
      <c r="B13" s="15">
        <f>Time!$C$15</f>
        <v>0</v>
      </c>
      <c r="C13" s="15">
        <f>Time!$D$15</f>
        <v>0</v>
      </c>
    </row>
    <row r="14" spans="1:8">
      <c r="A14" s="14">
        <f>Time!$A$16</f>
        <v>0</v>
      </c>
      <c r="B14" s="15">
        <f>Time!$C$16</f>
        <v>0</v>
      </c>
      <c r="C14" s="15">
        <f>Time!$D$16</f>
        <v>0</v>
      </c>
    </row>
    <row r="15" spans="1:8">
      <c r="A15" s="14">
        <f>Time!$A$17</f>
        <v>0</v>
      </c>
      <c r="B15" s="15">
        <f>Time!$C$17</f>
        <v>0</v>
      </c>
      <c r="C15" s="15">
        <f>Time!$D$17</f>
        <v>0</v>
      </c>
    </row>
    <row r="16" spans="1:8">
      <c r="A16" s="14">
        <f>Time!$A$18</f>
        <v>0</v>
      </c>
      <c r="B16" s="15">
        <f>Time!$C$18</f>
        <v>0</v>
      </c>
      <c r="C16" s="15">
        <f>Time!$D$18</f>
        <v>0</v>
      </c>
    </row>
    <row r="17" spans="1:8">
      <c r="A17" s="14">
        <f>Time!$A$19</f>
        <v>0</v>
      </c>
      <c r="B17" s="15">
        <f>Time!$C$19</f>
        <v>0</v>
      </c>
      <c r="C17" s="15">
        <f>Time!$D$19</f>
        <v>0</v>
      </c>
    </row>
    <row r="18" spans="1:8">
      <c r="A18" s="14">
        <f>Time!$A$20</f>
        <v>0</v>
      </c>
      <c r="B18" s="15">
        <f>Time!$C$20</f>
        <v>0</v>
      </c>
      <c r="C18" s="15">
        <f>Time!$D$20</f>
        <v>0</v>
      </c>
    </row>
    <row r="19" spans="1:8">
      <c r="A19" s="14">
        <f>Time!$A$21</f>
        <v>0</v>
      </c>
      <c r="B19" s="15">
        <f>Time!$C$21</f>
        <v>0</v>
      </c>
      <c r="C19" s="15">
        <f>Time!$D$21</f>
        <v>0</v>
      </c>
    </row>
    <row r="20" spans="1:8">
      <c r="A20" s="14">
        <f>Time!$A$22</f>
        <v>0</v>
      </c>
      <c r="B20" s="15">
        <f>Time!$C$22</f>
        <v>0</v>
      </c>
      <c r="C20" s="15">
        <f>Time!$D$22</f>
        <v>0</v>
      </c>
    </row>
    <row r="21" spans="1:8">
      <c r="A21" s="14">
        <f>Time!$A$23</f>
        <v>0</v>
      </c>
      <c r="B21" s="15">
        <f>Time!$C$23</f>
        <v>0</v>
      </c>
      <c r="C21" s="15">
        <f>Time!$D$23</f>
        <v>0</v>
      </c>
    </row>
    <row r="22" spans="1:8">
      <c r="A22" s="14">
        <f>Time!$A$24</f>
        <v>0</v>
      </c>
      <c r="B22" s="15">
        <f>Time!$C$24</f>
        <v>0</v>
      </c>
      <c r="C22" s="15">
        <f>Time!$D$24</f>
        <v>0</v>
      </c>
    </row>
    <row r="24" spans="1:8" ht="26.25" customHeight="1">
      <c r="A24" s="11" t="s">
        <v>12</v>
      </c>
      <c r="B24" s="11"/>
      <c r="C24" s="11"/>
      <c r="D24" s="11"/>
      <c r="E24" s="11"/>
      <c r="F24" s="11"/>
      <c r="G24" s="12" t="s">
        <v>13</v>
      </c>
      <c r="H24" s="12"/>
    </row>
    <row r="25" spans="1:8">
      <c r="A25" s="16">
        <f>Ops!$A$13</f>
        <v>0</v>
      </c>
      <c r="B25" s="15">
        <f>Ops!$D$13</f>
        <v>0</v>
      </c>
    </row>
    <row r="26" spans="1:8">
      <c r="A26" s="16">
        <f>Ops!$A$14</f>
        <v>0</v>
      </c>
      <c r="B26" s="15">
        <f>Ops!$D$14</f>
        <v>0</v>
      </c>
    </row>
    <row r="27" spans="1:8">
      <c r="A27" s="16">
        <f>Ops!$A$15</f>
        <v>0</v>
      </c>
      <c r="B27" s="15">
        <f>Ops!$D$15</f>
        <v>0</v>
      </c>
    </row>
    <row r="28" spans="1:8">
      <c r="A28" s="16">
        <f>Ops!$A$16</f>
        <v>0</v>
      </c>
      <c r="B28" s="15">
        <f>Ops!$D$16</f>
        <v>0</v>
      </c>
    </row>
    <row r="29" spans="1:8">
      <c r="A29" s="16">
        <f>Ops!$A$17</f>
        <v>0</v>
      </c>
      <c r="B29" s="15">
        <f>Ops!$D$17</f>
        <v>0</v>
      </c>
    </row>
    <row r="30" spans="1:8">
      <c r="A30" s="16">
        <f>Ops!$A$18</f>
        <v>0</v>
      </c>
      <c r="B30" s="15">
        <f>Ops!$D$18</f>
        <v>0</v>
      </c>
    </row>
    <row r="33" spans="1:8" ht="26.25" customHeight="1">
      <c r="A33" s="11" t="s">
        <v>14</v>
      </c>
      <c r="B33" s="11"/>
      <c r="C33" s="11"/>
      <c r="D33" s="11"/>
      <c r="E33" s="11"/>
      <c r="F33" s="11"/>
      <c r="G33" s="12" t="s">
        <v>15</v>
      </c>
      <c r="H33" s="12"/>
    </row>
    <row r="34" spans="1:8">
      <c r="A34" s="17" t="s">
        <v>16</v>
      </c>
      <c r="B34" s="17" t="s">
        <v>17</v>
      </c>
      <c r="C34" s="17" t="s">
        <v>18</v>
      </c>
      <c r="D34" s="17" t="s">
        <v>19</v>
      </c>
    </row>
    <row r="35" spans="1:8">
      <c r="A35" s="18">
        <f>Banks!$A$13</f>
        <v>0</v>
      </c>
      <c r="B35" s="19">
        <f>Banks!$B$13</f>
        <v>0</v>
      </c>
      <c r="C35" s="19">
        <f>Banks!$C$13</f>
        <v>0</v>
      </c>
      <c r="D35" s="20">
        <f>Banks!$D$13</f>
        <v>0</v>
      </c>
    </row>
    <row r="36" spans="1:8">
      <c r="A36" s="18">
        <f>Banks!$A$14</f>
        <v>0</v>
      </c>
      <c r="B36" s="19">
        <f>Banks!$B$14</f>
        <v>0</v>
      </c>
      <c r="C36" s="19">
        <f>Banks!$C$14</f>
        <v>0</v>
      </c>
      <c r="D36" s="20">
        <f>Banks!$D$14</f>
        <v>0</v>
      </c>
    </row>
    <row r="37" spans="1:8">
      <c r="A37" s="18">
        <f>Banks!$A$15</f>
        <v>0</v>
      </c>
      <c r="B37" s="19">
        <f>Banks!$B$15</f>
        <v>0</v>
      </c>
      <c r="C37" s="19">
        <f>Banks!$C$15</f>
        <v>0</v>
      </c>
      <c r="D37" s="20">
        <f>Banks!$D$15</f>
        <v>0</v>
      </c>
    </row>
    <row r="38" spans="1:8">
      <c r="A38" s="18">
        <f>Banks!$A$16</f>
        <v>0</v>
      </c>
      <c r="B38" s="19">
        <f>Banks!$B$16</f>
        <v>0</v>
      </c>
      <c r="C38" s="19">
        <f>Banks!$C$16</f>
        <v>0</v>
      </c>
      <c r="D38" s="20">
        <f>Banks!$D$16</f>
        <v>0</v>
      </c>
    </row>
    <row r="39" spans="1:8">
      <c r="A39" s="18">
        <f>Banks!$A$17</f>
        <v>0</v>
      </c>
      <c r="B39" s="19">
        <f>Banks!$B$17</f>
        <v>0</v>
      </c>
      <c r="C39" s="19">
        <f>Banks!$C$17</f>
        <v>0</v>
      </c>
      <c r="D39" s="20">
        <f>Banks!$D$17</f>
        <v>0</v>
      </c>
    </row>
    <row r="41" spans="1:8" ht="26.25" customHeight="1">
      <c r="A41" s="11" t="s">
        <v>20</v>
      </c>
      <c r="B41" s="11"/>
      <c r="C41" s="11"/>
      <c r="D41" s="11"/>
      <c r="E41" s="11"/>
      <c r="F41" s="11"/>
      <c r="G41" s="12" t="s">
        <v>21</v>
      </c>
      <c r="H41" s="12"/>
    </row>
    <row r="42" spans="1:8" ht="21.75" customHeight="1">
      <c r="A42" s="21" t="s">
        <v>22</v>
      </c>
      <c r="B42" s="21"/>
      <c r="C42" s="21"/>
      <c r="D42" s="22">
        <f>SUM(F1!$L$10:$L$1808)-SUM(F1!$M$10:$M$1808)</f>
        <v>0</v>
      </c>
      <c r="E42" s="22"/>
      <c r="F42" s="23" t="s">
        <v>23</v>
      </c>
      <c r="G42" s="23"/>
      <c r="H42" s="23"/>
    </row>
    <row r="43" spans="1:8" ht="21.75" customHeight="1">
      <c r="A43" s="21" t="s">
        <v>6</v>
      </c>
      <c r="B43" s="21"/>
      <c r="C43" s="21"/>
      <c r="D43" s="22">
        <f>Pos!G8</f>
        <v>0</v>
      </c>
      <c r="E43" s="22"/>
      <c r="F43" s="23" t="s">
        <v>24</v>
      </c>
      <c r="G43" s="23"/>
      <c r="H43" s="23"/>
    </row>
    <row r="44" spans="1:8" ht="21.75" customHeight="1">
      <c r="A44" s="21" t="s">
        <v>25</v>
      </c>
      <c r="B44" s="21"/>
      <c r="C44" s="21"/>
      <c r="D44" s="22">
        <f>COUNTIF(Banks!$D$13:$D$22,"&lt;0")</f>
        <v>0</v>
      </c>
      <c r="E44" s="22"/>
      <c r="F44" s="23" t="s">
        <v>26</v>
      </c>
      <c r="G44" s="23"/>
      <c r="H44" s="23"/>
    </row>
    <row r="46" spans="1:8" ht="26.25" customHeight="1">
      <c r="A46" s="11" t="s">
        <v>27</v>
      </c>
      <c r="B46" s="11"/>
      <c r="C46" s="11"/>
      <c r="D46" s="11"/>
      <c r="E46" s="11"/>
      <c r="F46" s="11"/>
      <c r="G46" s="12" t="s">
        <v>28</v>
      </c>
      <c r="H46" s="12"/>
    </row>
    <row r="47" spans="1:8" ht="26.25" customHeight="1">
      <c r="A47" s="24" t="s">
        <v>29</v>
      </c>
      <c r="C47" s="25" t="s">
        <v>31</v>
      </c>
      <c r="E47" s="26" t="s">
        <v>33</v>
      </c>
    </row>
    <row r="48" spans="1:8" ht="30" customHeight="1">
      <c r="A48" s="27" t="s">
        <v>30</v>
      </c>
      <c r="B48" s="27"/>
      <c r="C48" s="27" t="s">
        <v>32</v>
      </c>
      <c r="D48" s="27"/>
      <c r="E48" s="27" t="s">
        <v>34</v>
      </c>
      <c r="F48" s="27"/>
    </row>
    <row r="50" spans="1:6" ht="26.25" customHeight="1">
      <c r="A50" s="28" t="s">
        <v>35</v>
      </c>
      <c r="C50" s="29" t="s">
        <v>37</v>
      </c>
      <c r="E50" s="30" t="s">
        <v>39</v>
      </c>
    </row>
    <row r="51" spans="1:6" ht="30" customHeight="1">
      <c r="A51" s="27" t="s">
        <v>36</v>
      </c>
      <c r="B51" s="27"/>
      <c r="C51" s="27" t="s">
        <v>38</v>
      </c>
      <c r="D51" s="27"/>
      <c r="E51" s="27" t="s">
        <v>40</v>
      </c>
      <c r="F51" s="27"/>
    </row>
  </sheetData>
  <mergeCells count="36">
    <mergeCell ref="A2:H2"/>
    <mergeCell ref="A3:H3"/>
    <mergeCell ref="A4:H4"/>
    <mergeCell ref="A7:B7"/>
    <mergeCell ref="A8:B8"/>
    <mergeCell ref="C7:D7"/>
    <mergeCell ref="C8:D8"/>
    <mergeCell ref="E7:F7"/>
    <mergeCell ref="E8:F8"/>
    <mergeCell ref="G7:H7"/>
    <mergeCell ref="G8:H8"/>
    <mergeCell ref="A9:F9"/>
    <mergeCell ref="G9:H9"/>
    <mergeCell ref="A24:F24"/>
    <mergeCell ref="G24:H24"/>
    <mergeCell ref="A33:F33"/>
    <mergeCell ref="G33:H33"/>
    <mergeCell ref="A41:F41"/>
    <mergeCell ref="G41:H41"/>
    <mergeCell ref="A42:C42"/>
    <mergeCell ref="D42:E42"/>
    <mergeCell ref="F42:H42"/>
    <mergeCell ref="A43:C43"/>
    <mergeCell ref="D43:E43"/>
    <mergeCell ref="F43:H43"/>
    <mergeCell ref="A44:C44"/>
    <mergeCell ref="D44:E44"/>
    <mergeCell ref="F44:H44"/>
    <mergeCell ref="A46:F46"/>
    <mergeCell ref="G46:H46"/>
    <mergeCell ref="A48:B48"/>
    <mergeCell ref="C48:D48"/>
    <mergeCell ref="E48:F48"/>
    <mergeCell ref="A51:B51"/>
    <mergeCell ref="C51:D51"/>
    <mergeCell ref="E51:F51"/>
  </mergeCells>
  <hyperlinks>
    <hyperlink ref="A47" location="Pos!A1" display="    پز و واریزی  Pos"/>
    <hyperlink ref="C47" location="Banks!A1" display="    بانک‌ها  Banks"/>
    <hyperlink ref="E47" location="Time!A1" display="    روند  Time"/>
    <hyperlink ref="A50" location="Ops!A1" display="    عملیات  Ops"/>
    <hyperlink ref="C50" location="Parties!A1" display="    طرف حساب‌ها  Parties"/>
    <hyperlink ref="E50" location="Help!A1" display="    راهنما  Help"/>
  </hyperlink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54"/>
  <sheetViews>
    <sheetView showGridLines="0" rightToLeft="1" zoomScale="85" zoomScaleNormal="85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/>
    </sheetView>
  </sheetViews>
  <sheetFormatPr defaultRowHeight="15"/>
  <cols>
    <col min="1" max="2" width="13.7109375" customWidth="1"/>
    <col min="3" max="5" width="17.7109375" customWidth="1"/>
    <col min="6" max="6" width="15.7109375" customWidth="1"/>
    <col min="7" max="7" width="13.7109375" customWidth="1"/>
  </cols>
  <sheetData>
    <row r="1" spans="1:8" ht="6" customHeight="1">
      <c r="A1" s="1"/>
      <c r="B1" s="1"/>
      <c r="C1" s="1"/>
      <c r="D1" s="1"/>
      <c r="E1" s="1"/>
      <c r="F1" s="1"/>
      <c r="G1" s="1"/>
      <c r="H1" s="1"/>
    </row>
    <row r="2" spans="1:8" ht="18" customHeight="1">
      <c r="A2" s="2" t="s">
        <v>0</v>
      </c>
      <c r="B2" s="2"/>
      <c r="C2" s="2"/>
      <c r="D2" s="2"/>
      <c r="E2" s="2"/>
      <c r="F2" s="2"/>
      <c r="G2" s="2"/>
      <c r="H2" s="2"/>
    </row>
    <row r="3" spans="1:8" ht="38.25" customHeight="1">
      <c r="A3" s="3" t="s">
        <v>41</v>
      </c>
      <c r="B3" s="3"/>
      <c r="C3" s="3"/>
      <c r="D3" s="3"/>
      <c r="E3" s="3"/>
      <c r="F3" s="3"/>
      <c r="G3" s="3"/>
      <c r="H3" s="3"/>
    </row>
    <row r="4" spans="1:8" ht="21.75" customHeight="1">
      <c r="A4" s="4" t="s">
        <v>42</v>
      </c>
      <c r="B4" s="4"/>
      <c r="C4" s="4"/>
      <c r="D4" s="4"/>
      <c r="E4" s="4"/>
      <c r="F4" s="4"/>
      <c r="G4" s="4"/>
      <c r="H4" s="4"/>
    </row>
    <row r="5" spans="1:8" ht="3.75" customHeight="1">
      <c r="A5" s="5"/>
      <c r="B5" s="5"/>
      <c r="C5" s="5"/>
      <c r="D5" s="5"/>
      <c r="E5" s="5"/>
      <c r="F5" s="5"/>
      <c r="G5" s="5"/>
      <c r="H5" s="5"/>
    </row>
    <row r="7" spans="1:8" ht="20.25" customHeight="1">
      <c r="A7" s="6" t="s">
        <v>43</v>
      </c>
      <c r="B7" s="6"/>
      <c r="C7" s="6" t="s">
        <v>44</v>
      </c>
      <c r="D7" s="6"/>
      <c r="E7" s="6" t="s">
        <v>45</v>
      </c>
      <c r="F7" s="6"/>
      <c r="G7" s="6" t="s">
        <v>46</v>
      </c>
      <c r="H7" s="6"/>
    </row>
    <row r="8" spans="1:8" ht="33.75" customHeight="1">
      <c r="A8" s="8">
        <f>SUM($C$13:$C$52)</f>
        <v>0</v>
      </c>
      <c r="B8" s="8"/>
      <c r="C8" s="7">
        <f>SUM($D$13:$D$52)</f>
        <v>0</v>
      </c>
      <c r="D8" s="7"/>
      <c r="E8" s="31">
        <f>SUM($E$13:$E$52)</f>
        <v>0</v>
      </c>
      <c r="F8" s="31"/>
      <c r="G8" s="10">
        <f>SUM($F$13:$F$52)</f>
        <v>0</v>
      </c>
      <c r="H8" s="10"/>
    </row>
    <row r="12" spans="1:8" ht="30" customHeight="1">
      <c r="A12" s="32" t="s">
        <v>47</v>
      </c>
      <c r="B12" s="32" t="s">
        <v>48</v>
      </c>
      <c r="C12" s="32" t="s">
        <v>49</v>
      </c>
      <c r="D12" s="32" t="s">
        <v>50</v>
      </c>
      <c r="E12" s="32" t="s">
        <v>51</v>
      </c>
      <c r="F12" s="32" t="s">
        <v>52</v>
      </c>
      <c r="G12" s="32" t="s">
        <v>53</v>
      </c>
    </row>
    <row r="13" spans="1:8" ht="20.25" customHeight="1">
      <c r="A13" s="33" t="s">
        <v>54</v>
      </c>
      <c r="B13" s="33"/>
      <c r="C13" s="34">
        <f>IF($A13="","",SUMIFS(F1!$L$10:$L$1808,F1!$A$10:$A$1808,$A13,F1!$D$10:$D$1808,"X011",F1!$N$10:$N$1808,"پوز"))</f>
        <v>0</v>
      </c>
      <c r="D13" s="35">
        <f>IF($A13="","",SUMIFS(F2!$I$10:$I$289,F2!$A$10:$A$289,IF($B13="",$A13,$B13),F2!$D$10:$D$289,"BN*",F2!$G$10:$G$289,"واریز پز باسکول (۲۰۰۶)"))</f>
        <v>0</v>
      </c>
      <c r="E13" s="36">
        <f>IF($A13="","",SUMIFS(F2!$I$10:$I$289,F2!$A$10:$A$289,IF($B13="",$A13,$B13),F2!$D$10:$D$289,"BN*",F2!$G$10:$G$289,"تسویه دریافت (واسط)"))</f>
        <v>0</v>
      </c>
      <c r="F13" s="37">
        <f>IF($A13="","",$C13-$D13)</f>
        <v>0</v>
      </c>
      <c r="G13" s="38">
        <f>IF($A13="","",IF(ABS($F13)&lt;=1000,"✓ تراز","⚠ بررسی شود"))</f>
        <v>0</v>
      </c>
    </row>
    <row r="14" spans="1:8" ht="20.25" customHeight="1">
      <c r="A14" s="33" t="s">
        <v>55</v>
      </c>
      <c r="B14" s="33"/>
      <c r="C14" s="34">
        <f>IF($A14="","",SUMIFS(F1!$L$10:$L$1808,F1!$A$10:$A$1808,$A14,F1!$D$10:$D$1808,"X011",F1!$N$10:$N$1808,"پوز"))</f>
        <v>0</v>
      </c>
      <c r="D14" s="35">
        <f>IF($A14="","",SUMIFS(F2!$I$10:$I$289,F2!$A$10:$A$289,IF($B14="",$A14,$B14),F2!$D$10:$D$289,"BN*",F2!$G$10:$G$289,"واریز پز باسکول (۲۰۰۶)"))</f>
        <v>0</v>
      </c>
      <c r="E14" s="36">
        <f>IF($A14="","",SUMIFS(F2!$I$10:$I$289,F2!$A$10:$A$289,IF($B14="",$A14,$B14),F2!$D$10:$D$289,"BN*",F2!$G$10:$G$289,"تسویه دریافت (واسط)"))</f>
        <v>0</v>
      </c>
      <c r="F14" s="37">
        <f>IF($A14="","",$C14-$D14)</f>
        <v>0</v>
      </c>
      <c r="G14" s="38">
        <f>IF($A14="","",IF(ABS($F14)&lt;=1000,"✓ تراز","⚠ بررسی شود"))</f>
        <v>0</v>
      </c>
    </row>
    <row r="15" spans="1:8" ht="20.25" customHeight="1">
      <c r="A15" s="33" t="s">
        <v>56</v>
      </c>
      <c r="B15" s="33"/>
      <c r="C15" s="34">
        <f>IF($A15="","",SUMIFS(F1!$L$10:$L$1808,F1!$A$10:$A$1808,$A15,F1!$D$10:$D$1808,"X011",F1!$N$10:$N$1808,"پوز"))</f>
        <v>0</v>
      </c>
      <c r="D15" s="35">
        <f>IF($A15="","",SUMIFS(F2!$I$10:$I$289,F2!$A$10:$A$289,IF($B15="",$A15,$B15),F2!$D$10:$D$289,"BN*",F2!$G$10:$G$289,"واریز پز باسکول (۲۰۰۶)"))</f>
        <v>0</v>
      </c>
      <c r="E15" s="36">
        <f>IF($A15="","",SUMIFS(F2!$I$10:$I$289,F2!$A$10:$A$289,IF($B15="",$A15,$B15),F2!$D$10:$D$289,"BN*",F2!$G$10:$G$289,"تسویه دریافت (واسط)"))</f>
        <v>0</v>
      </c>
      <c r="F15" s="37">
        <f>IF($A15="","",$C15-$D15)</f>
        <v>0</v>
      </c>
      <c r="G15" s="38">
        <f>IF($A15="","",IF(ABS($F15)&lt;=1000,"✓ تراز","⚠ بررسی شود"))</f>
        <v>0</v>
      </c>
    </row>
    <row r="16" spans="1:8" ht="20.25" customHeight="1">
      <c r="A16" s="33" t="s">
        <v>57</v>
      </c>
      <c r="B16" s="33"/>
      <c r="C16" s="34">
        <f>IF($A16="","",SUMIFS(F1!$L$10:$L$1808,F1!$A$10:$A$1808,$A16,F1!$D$10:$D$1808,"X011",F1!$N$10:$N$1808,"پوز"))</f>
        <v>0</v>
      </c>
      <c r="D16" s="35">
        <f>IF($A16="","",SUMIFS(F2!$I$10:$I$289,F2!$A$10:$A$289,IF($B16="",$A16,$B16),F2!$D$10:$D$289,"BN*",F2!$G$10:$G$289,"واریز پز باسکول (۲۰۰۶)"))</f>
        <v>0</v>
      </c>
      <c r="E16" s="36">
        <f>IF($A16="","",SUMIFS(F2!$I$10:$I$289,F2!$A$10:$A$289,IF($B16="",$A16,$B16),F2!$D$10:$D$289,"BN*",F2!$G$10:$G$289,"تسویه دریافت (واسط)"))</f>
        <v>0</v>
      </c>
      <c r="F16" s="37">
        <f>IF($A16="","",$C16-$D16)</f>
        <v>0</v>
      </c>
      <c r="G16" s="38">
        <f>IF($A16="","",IF(ABS($F16)&lt;=1000,"✓ تراز","⚠ بررسی شود"))</f>
        <v>0</v>
      </c>
    </row>
    <row r="17" spans="1:7" ht="20.25" customHeight="1">
      <c r="A17" s="33" t="s">
        <v>58</v>
      </c>
      <c r="B17" s="33"/>
      <c r="C17" s="34">
        <f>IF($A17="","",SUMIFS(F1!$L$10:$L$1808,F1!$A$10:$A$1808,$A17,F1!$D$10:$D$1808,"X011",F1!$N$10:$N$1808,"پوز"))</f>
        <v>0</v>
      </c>
      <c r="D17" s="35">
        <f>IF($A17="","",SUMIFS(F2!$I$10:$I$289,F2!$A$10:$A$289,IF($B17="",$A17,$B17),F2!$D$10:$D$289,"BN*",F2!$G$10:$G$289,"واریز پز باسکول (۲۰۰۶)"))</f>
        <v>0</v>
      </c>
      <c r="E17" s="36">
        <f>IF($A17="","",SUMIFS(F2!$I$10:$I$289,F2!$A$10:$A$289,IF($B17="",$A17,$B17),F2!$D$10:$D$289,"BN*",F2!$G$10:$G$289,"تسویه دریافت (واسط)"))</f>
        <v>0</v>
      </c>
      <c r="F17" s="37">
        <f>IF($A17="","",$C17-$D17)</f>
        <v>0</v>
      </c>
      <c r="G17" s="38">
        <f>IF($A17="","",IF(ABS($F17)&lt;=1000,"✓ تراز","⚠ بررسی شود"))</f>
        <v>0</v>
      </c>
    </row>
    <row r="18" spans="1:7" ht="20.25" customHeight="1">
      <c r="A18" s="33" t="s">
        <v>59</v>
      </c>
      <c r="B18" s="33"/>
      <c r="C18" s="34">
        <f>IF($A18="","",SUMIFS(F1!$L$10:$L$1808,F1!$A$10:$A$1808,$A18,F1!$D$10:$D$1808,"X011",F1!$N$10:$N$1808,"پوز"))</f>
        <v>0</v>
      </c>
      <c r="D18" s="35">
        <f>IF($A18="","",SUMIFS(F2!$I$10:$I$289,F2!$A$10:$A$289,IF($B18="",$A18,$B18),F2!$D$10:$D$289,"BN*",F2!$G$10:$G$289,"واریز پز باسکول (۲۰۰۶)"))</f>
        <v>0</v>
      </c>
      <c r="E18" s="36">
        <f>IF($A18="","",SUMIFS(F2!$I$10:$I$289,F2!$A$10:$A$289,IF($B18="",$A18,$B18),F2!$D$10:$D$289,"BN*",F2!$G$10:$G$289,"تسویه دریافت (واسط)"))</f>
        <v>0</v>
      </c>
      <c r="F18" s="37">
        <f>IF($A18="","",$C18-$D18)</f>
        <v>0</v>
      </c>
      <c r="G18" s="38">
        <f>IF($A18="","",IF(ABS($F18)&lt;=1000,"✓ تراز","⚠ بررسی شود"))</f>
        <v>0</v>
      </c>
    </row>
    <row r="19" spans="1:7" ht="20.25" customHeight="1">
      <c r="A19" s="33" t="s">
        <v>60</v>
      </c>
      <c r="B19" s="33"/>
      <c r="C19" s="34">
        <f>IF($A19="","",SUMIFS(F1!$L$10:$L$1808,F1!$A$10:$A$1808,$A19,F1!$D$10:$D$1808,"X011",F1!$N$10:$N$1808,"پوز"))</f>
        <v>0</v>
      </c>
      <c r="D19" s="35">
        <f>IF($A19="","",SUMIFS(F2!$I$10:$I$289,F2!$A$10:$A$289,IF($B19="",$A19,$B19),F2!$D$10:$D$289,"BN*",F2!$G$10:$G$289,"واریز پز باسکول (۲۰۰۶)"))</f>
        <v>0</v>
      </c>
      <c r="E19" s="36">
        <f>IF($A19="","",SUMIFS(F2!$I$10:$I$289,F2!$A$10:$A$289,IF($B19="",$A19,$B19),F2!$D$10:$D$289,"BN*",F2!$G$10:$G$289,"تسویه دریافت (واسط)"))</f>
        <v>0</v>
      </c>
      <c r="F19" s="37">
        <f>IF($A19="","",$C19-$D19)</f>
        <v>0</v>
      </c>
      <c r="G19" s="38">
        <f>IF($A19="","",IF(ABS($F19)&lt;=1000,"✓ تراز","⚠ بررسی شود"))</f>
        <v>0</v>
      </c>
    </row>
    <row r="20" spans="1:7" ht="20.25" customHeight="1">
      <c r="A20" s="33" t="s">
        <v>61</v>
      </c>
      <c r="B20" s="33"/>
      <c r="C20" s="34">
        <f>IF($A20="","",SUMIFS(F1!$L$10:$L$1808,F1!$A$10:$A$1808,$A20,F1!$D$10:$D$1808,"X011",F1!$N$10:$N$1808,"پوز"))</f>
        <v>0</v>
      </c>
      <c r="D20" s="35">
        <f>IF($A20="","",SUMIFS(F2!$I$10:$I$289,F2!$A$10:$A$289,IF($B20="",$A20,$B20),F2!$D$10:$D$289,"BN*",F2!$G$10:$G$289,"واریز پز باسکول (۲۰۰۶)"))</f>
        <v>0</v>
      </c>
      <c r="E20" s="36">
        <f>IF($A20="","",SUMIFS(F2!$I$10:$I$289,F2!$A$10:$A$289,IF($B20="",$A20,$B20),F2!$D$10:$D$289,"BN*",F2!$G$10:$G$289,"تسویه دریافت (واسط)"))</f>
        <v>0</v>
      </c>
      <c r="F20" s="37">
        <f>IF($A20="","",$C20-$D20)</f>
        <v>0</v>
      </c>
      <c r="G20" s="38">
        <f>IF($A20="","",IF(ABS($F20)&lt;=1000,"✓ تراز","⚠ بررسی شود"))</f>
        <v>0</v>
      </c>
    </row>
    <row r="21" spans="1:7" ht="20.25" customHeight="1">
      <c r="A21" s="33" t="s">
        <v>62</v>
      </c>
      <c r="B21" s="33"/>
      <c r="C21" s="34">
        <f>IF($A21="","",SUMIFS(F1!$L$10:$L$1808,F1!$A$10:$A$1808,$A21,F1!$D$10:$D$1808,"X011",F1!$N$10:$N$1808,"پوز"))</f>
        <v>0</v>
      </c>
      <c r="D21" s="35">
        <f>IF($A21="","",SUMIFS(F2!$I$10:$I$289,F2!$A$10:$A$289,IF($B21="",$A21,$B21),F2!$D$10:$D$289,"BN*",F2!$G$10:$G$289,"واریز پز باسکول (۲۰۰۶)"))</f>
        <v>0</v>
      </c>
      <c r="E21" s="36">
        <f>IF($A21="","",SUMIFS(F2!$I$10:$I$289,F2!$A$10:$A$289,IF($B21="",$A21,$B21),F2!$D$10:$D$289,"BN*",F2!$G$10:$G$289,"تسویه دریافت (واسط)"))</f>
        <v>0</v>
      </c>
      <c r="F21" s="37">
        <f>IF($A21="","",$C21-$D21)</f>
        <v>0</v>
      </c>
      <c r="G21" s="38">
        <f>IF($A21="","",IF(ABS($F21)&lt;=1000,"✓ تراز","⚠ بررسی شود"))</f>
        <v>0</v>
      </c>
    </row>
    <row r="22" spans="1:7" ht="20.25" customHeight="1">
      <c r="A22" s="33" t="s">
        <v>63</v>
      </c>
      <c r="B22" s="33"/>
      <c r="C22" s="34">
        <f>IF($A22="","",SUMIFS(F1!$L$10:$L$1808,F1!$A$10:$A$1808,$A22,F1!$D$10:$D$1808,"X011",F1!$N$10:$N$1808,"پوز"))</f>
        <v>0</v>
      </c>
      <c r="D22" s="35">
        <f>IF($A22="","",SUMIFS(F2!$I$10:$I$289,F2!$A$10:$A$289,IF($B22="",$A22,$B22),F2!$D$10:$D$289,"BN*",F2!$G$10:$G$289,"واریز پز باسکول (۲۰۰۶)"))</f>
        <v>0</v>
      </c>
      <c r="E22" s="36">
        <f>IF($A22="","",SUMIFS(F2!$I$10:$I$289,F2!$A$10:$A$289,IF($B22="",$A22,$B22),F2!$D$10:$D$289,"BN*",F2!$G$10:$G$289,"تسویه دریافت (واسط)"))</f>
        <v>0</v>
      </c>
      <c r="F22" s="37">
        <f>IF($A22="","",$C22-$D22)</f>
        <v>0</v>
      </c>
      <c r="G22" s="38">
        <f>IF($A22="","",IF(ABS($F22)&lt;=1000,"✓ تراز","⚠ بررسی شود"))</f>
        <v>0</v>
      </c>
    </row>
    <row r="23" spans="1:7" ht="20.25" customHeight="1">
      <c r="A23" s="33" t="s">
        <v>64</v>
      </c>
      <c r="B23" s="33"/>
      <c r="C23" s="34">
        <f>IF($A23="","",SUMIFS(F1!$L$10:$L$1808,F1!$A$10:$A$1808,$A23,F1!$D$10:$D$1808,"X011",F1!$N$10:$N$1808,"پوز"))</f>
        <v>0</v>
      </c>
      <c r="D23" s="35">
        <f>IF($A23="","",SUMIFS(F2!$I$10:$I$289,F2!$A$10:$A$289,IF($B23="",$A23,$B23),F2!$D$10:$D$289,"BN*",F2!$G$10:$G$289,"واریز پز باسکول (۲۰۰۶)"))</f>
        <v>0</v>
      </c>
      <c r="E23" s="36">
        <f>IF($A23="","",SUMIFS(F2!$I$10:$I$289,F2!$A$10:$A$289,IF($B23="",$A23,$B23),F2!$D$10:$D$289,"BN*",F2!$G$10:$G$289,"تسویه دریافت (واسط)"))</f>
        <v>0</v>
      </c>
      <c r="F23" s="37">
        <f>IF($A23="","",$C23-$D23)</f>
        <v>0</v>
      </c>
      <c r="G23" s="38">
        <f>IF($A23="","",IF(ABS($F23)&lt;=1000,"✓ تراز","⚠ بررسی شود"))</f>
        <v>0</v>
      </c>
    </row>
    <row r="24" spans="1:7" ht="20.25" customHeight="1">
      <c r="A24" s="33" t="s">
        <v>65</v>
      </c>
      <c r="B24" s="33"/>
      <c r="C24" s="34">
        <f>IF($A24="","",SUMIFS(F1!$L$10:$L$1808,F1!$A$10:$A$1808,$A24,F1!$D$10:$D$1808,"X011",F1!$N$10:$N$1808,"پوز"))</f>
        <v>0</v>
      </c>
      <c r="D24" s="35">
        <f>IF($A24="","",SUMIFS(F2!$I$10:$I$289,F2!$A$10:$A$289,IF($B24="",$A24,$B24),F2!$D$10:$D$289,"BN*",F2!$G$10:$G$289,"واریز پز باسکول (۲۰۰۶)"))</f>
        <v>0</v>
      </c>
      <c r="E24" s="36">
        <f>IF($A24="","",SUMIFS(F2!$I$10:$I$289,F2!$A$10:$A$289,IF($B24="",$A24,$B24),F2!$D$10:$D$289,"BN*",F2!$G$10:$G$289,"تسویه دریافت (واسط)"))</f>
        <v>0</v>
      </c>
      <c r="F24" s="37">
        <f>IF($A24="","",$C24-$D24)</f>
        <v>0</v>
      </c>
      <c r="G24" s="38">
        <f>IF($A24="","",IF(ABS($F24)&lt;=1000,"✓ تراز","⚠ بررسی شود"))</f>
        <v>0</v>
      </c>
    </row>
    <row r="25" spans="1:7" ht="20.25" customHeight="1">
      <c r="A25" s="33" t="s">
        <v>66</v>
      </c>
      <c r="B25" s="33"/>
      <c r="C25" s="34">
        <f>IF($A25="","",SUMIFS(F1!$L$10:$L$1808,F1!$A$10:$A$1808,$A25,F1!$D$10:$D$1808,"X011",F1!$N$10:$N$1808,"پوز"))</f>
        <v>0</v>
      </c>
      <c r="D25" s="35">
        <f>IF($A25="","",SUMIFS(F2!$I$10:$I$289,F2!$A$10:$A$289,IF($B25="",$A25,$B25),F2!$D$10:$D$289,"BN*",F2!$G$10:$G$289,"واریز پز باسکول (۲۰۰۶)"))</f>
        <v>0</v>
      </c>
      <c r="E25" s="36">
        <f>IF($A25="","",SUMIFS(F2!$I$10:$I$289,F2!$A$10:$A$289,IF($B25="",$A25,$B25),F2!$D$10:$D$289,"BN*",F2!$G$10:$G$289,"تسویه دریافت (واسط)"))</f>
        <v>0</v>
      </c>
      <c r="F25" s="37">
        <f>IF($A25="","",$C25-$D25)</f>
        <v>0</v>
      </c>
      <c r="G25" s="38">
        <f>IF($A25="","",IF(ABS($F25)&lt;=1000,"✓ تراز","⚠ بررسی شود"))</f>
        <v>0</v>
      </c>
    </row>
    <row r="26" spans="1:7" ht="20.25" customHeight="1">
      <c r="A26" s="33" t="s">
        <v>66</v>
      </c>
      <c r="B26" s="33"/>
      <c r="C26" s="34">
        <f>IF($A26="","",SUMIFS(F1!$L$10:$L$1808,F1!$A$10:$A$1808,$A26,F1!$D$10:$D$1808,"X011",F1!$N$10:$N$1808,"پوز"))</f>
        <v>0</v>
      </c>
      <c r="D26" s="35">
        <f>IF($A26="","",SUMIFS(F2!$I$10:$I$289,F2!$A$10:$A$289,IF($B26="",$A26,$B26),F2!$D$10:$D$289,"BN*",F2!$G$10:$G$289,"واریز پز باسکول (۲۰۰۶)"))</f>
        <v>0</v>
      </c>
      <c r="E26" s="36">
        <f>IF($A26="","",SUMIFS(F2!$I$10:$I$289,F2!$A$10:$A$289,IF($B26="",$A26,$B26),F2!$D$10:$D$289,"BN*",F2!$G$10:$G$289,"تسویه دریافت (واسط)"))</f>
        <v>0</v>
      </c>
      <c r="F26" s="37">
        <f>IF($A26="","",$C26-$D26)</f>
        <v>0</v>
      </c>
      <c r="G26" s="38">
        <f>IF($A26="","",IF(ABS($F26)&lt;=1000,"✓ تراز","⚠ بررسی شود"))</f>
        <v>0</v>
      </c>
    </row>
    <row r="27" spans="1:7" ht="20.25" customHeight="1">
      <c r="A27" s="33" t="s">
        <v>66</v>
      </c>
      <c r="B27" s="33"/>
      <c r="C27" s="34">
        <f>IF($A27="","",SUMIFS(F1!$L$10:$L$1808,F1!$A$10:$A$1808,$A27,F1!$D$10:$D$1808,"X011",F1!$N$10:$N$1808,"پوز"))</f>
        <v>0</v>
      </c>
      <c r="D27" s="35">
        <f>IF($A27="","",SUMIFS(F2!$I$10:$I$289,F2!$A$10:$A$289,IF($B27="",$A27,$B27),F2!$D$10:$D$289,"BN*",F2!$G$10:$G$289,"واریز پز باسکول (۲۰۰۶)"))</f>
        <v>0</v>
      </c>
      <c r="E27" s="36">
        <f>IF($A27="","",SUMIFS(F2!$I$10:$I$289,F2!$A$10:$A$289,IF($B27="",$A27,$B27),F2!$D$10:$D$289,"BN*",F2!$G$10:$G$289,"تسویه دریافت (واسط)"))</f>
        <v>0</v>
      </c>
      <c r="F27" s="37">
        <f>IF($A27="","",$C27-$D27)</f>
        <v>0</v>
      </c>
      <c r="G27" s="38">
        <f>IF($A27="","",IF(ABS($F27)&lt;=1000,"✓ تراز","⚠ بررسی شود"))</f>
        <v>0</v>
      </c>
    </row>
    <row r="28" spans="1:7" ht="20.25" customHeight="1">
      <c r="A28" s="33" t="s">
        <v>66</v>
      </c>
      <c r="B28" s="33"/>
      <c r="C28" s="34">
        <f>IF($A28="","",SUMIFS(F1!$L$10:$L$1808,F1!$A$10:$A$1808,$A28,F1!$D$10:$D$1808,"X011",F1!$N$10:$N$1808,"پوز"))</f>
        <v>0</v>
      </c>
      <c r="D28" s="35">
        <f>IF($A28="","",SUMIFS(F2!$I$10:$I$289,F2!$A$10:$A$289,IF($B28="",$A28,$B28),F2!$D$10:$D$289,"BN*",F2!$G$10:$G$289,"واریز پز باسکول (۲۰۰۶)"))</f>
        <v>0</v>
      </c>
      <c r="E28" s="36">
        <f>IF($A28="","",SUMIFS(F2!$I$10:$I$289,F2!$A$10:$A$289,IF($B28="",$A28,$B28),F2!$D$10:$D$289,"BN*",F2!$G$10:$G$289,"تسویه دریافت (واسط)"))</f>
        <v>0</v>
      </c>
      <c r="F28" s="37">
        <f>IF($A28="","",$C28-$D28)</f>
        <v>0</v>
      </c>
      <c r="G28" s="38">
        <f>IF($A28="","",IF(ABS($F28)&lt;=1000,"✓ تراز","⚠ بررسی شود"))</f>
        <v>0</v>
      </c>
    </row>
    <row r="29" spans="1:7" ht="20.25" customHeight="1">
      <c r="A29" s="33" t="s">
        <v>66</v>
      </c>
      <c r="B29" s="33"/>
      <c r="C29" s="34">
        <f>IF($A29="","",SUMIFS(F1!$L$10:$L$1808,F1!$A$10:$A$1808,$A29,F1!$D$10:$D$1808,"X011",F1!$N$10:$N$1808,"پوز"))</f>
        <v>0</v>
      </c>
      <c r="D29" s="35">
        <f>IF($A29="","",SUMIFS(F2!$I$10:$I$289,F2!$A$10:$A$289,IF($B29="",$A29,$B29),F2!$D$10:$D$289,"BN*",F2!$G$10:$G$289,"واریز پز باسکول (۲۰۰۶)"))</f>
        <v>0</v>
      </c>
      <c r="E29" s="36">
        <f>IF($A29="","",SUMIFS(F2!$I$10:$I$289,F2!$A$10:$A$289,IF($B29="",$A29,$B29),F2!$D$10:$D$289,"BN*",F2!$G$10:$G$289,"تسویه دریافت (واسط)"))</f>
        <v>0</v>
      </c>
      <c r="F29" s="37">
        <f>IF($A29="","",$C29-$D29)</f>
        <v>0</v>
      </c>
      <c r="G29" s="38">
        <f>IF($A29="","",IF(ABS($F29)&lt;=1000,"✓ تراز","⚠ بررسی شود"))</f>
        <v>0</v>
      </c>
    </row>
    <row r="30" spans="1:7" ht="20.25" customHeight="1">
      <c r="A30" s="33" t="s">
        <v>66</v>
      </c>
      <c r="B30" s="33"/>
      <c r="C30" s="34">
        <f>IF($A30="","",SUMIFS(F1!$L$10:$L$1808,F1!$A$10:$A$1808,$A30,F1!$D$10:$D$1808,"X011",F1!$N$10:$N$1808,"پوز"))</f>
        <v>0</v>
      </c>
      <c r="D30" s="35">
        <f>IF($A30="","",SUMIFS(F2!$I$10:$I$289,F2!$A$10:$A$289,IF($B30="",$A30,$B30),F2!$D$10:$D$289,"BN*",F2!$G$10:$G$289,"واریز پز باسکول (۲۰۰۶)"))</f>
        <v>0</v>
      </c>
      <c r="E30" s="36">
        <f>IF($A30="","",SUMIFS(F2!$I$10:$I$289,F2!$A$10:$A$289,IF($B30="",$A30,$B30),F2!$D$10:$D$289,"BN*",F2!$G$10:$G$289,"تسویه دریافت (واسط)"))</f>
        <v>0</v>
      </c>
      <c r="F30" s="37">
        <f>IF($A30="","",$C30-$D30)</f>
        <v>0</v>
      </c>
      <c r="G30" s="38">
        <f>IF($A30="","",IF(ABS($F30)&lt;=1000,"✓ تراز","⚠ بررسی شود"))</f>
        <v>0</v>
      </c>
    </row>
    <row r="31" spans="1:7" ht="20.25" customHeight="1">
      <c r="A31" s="33" t="s">
        <v>66</v>
      </c>
      <c r="B31" s="33"/>
      <c r="C31" s="34">
        <f>IF($A31="","",SUMIFS(F1!$L$10:$L$1808,F1!$A$10:$A$1808,$A31,F1!$D$10:$D$1808,"X011",F1!$N$10:$N$1808,"پوز"))</f>
        <v>0</v>
      </c>
      <c r="D31" s="35">
        <f>IF($A31="","",SUMIFS(F2!$I$10:$I$289,F2!$A$10:$A$289,IF($B31="",$A31,$B31),F2!$D$10:$D$289,"BN*",F2!$G$10:$G$289,"واریز پز باسکول (۲۰۰۶)"))</f>
        <v>0</v>
      </c>
      <c r="E31" s="36">
        <f>IF($A31="","",SUMIFS(F2!$I$10:$I$289,F2!$A$10:$A$289,IF($B31="",$A31,$B31),F2!$D$10:$D$289,"BN*",F2!$G$10:$G$289,"تسویه دریافت (واسط)"))</f>
        <v>0</v>
      </c>
      <c r="F31" s="37">
        <f>IF($A31="","",$C31-$D31)</f>
        <v>0</v>
      </c>
      <c r="G31" s="38">
        <f>IF($A31="","",IF(ABS($F31)&lt;=1000,"✓ تراز","⚠ بررسی شود"))</f>
        <v>0</v>
      </c>
    </row>
    <row r="32" spans="1:7" ht="20.25" customHeight="1">
      <c r="A32" s="33" t="s">
        <v>66</v>
      </c>
      <c r="B32" s="33"/>
      <c r="C32" s="34">
        <f>IF($A32="","",SUMIFS(F1!$L$10:$L$1808,F1!$A$10:$A$1808,$A32,F1!$D$10:$D$1808,"X011",F1!$N$10:$N$1808,"پوز"))</f>
        <v>0</v>
      </c>
      <c r="D32" s="35">
        <f>IF($A32="","",SUMIFS(F2!$I$10:$I$289,F2!$A$10:$A$289,IF($B32="",$A32,$B32),F2!$D$10:$D$289,"BN*",F2!$G$10:$G$289,"واریز پز باسکول (۲۰۰۶)"))</f>
        <v>0</v>
      </c>
      <c r="E32" s="36">
        <f>IF($A32="","",SUMIFS(F2!$I$10:$I$289,F2!$A$10:$A$289,IF($B32="",$A32,$B32),F2!$D$10:$D$289,"BN*",F2!$G$10:$G$289,"تسویه دریافت (واسط)"))</f>
        <v>0</v>
      </c>
      <c r="F32" s="37">
        <f>IF($A32="","",$C32-$D32)</f>
        <v>0</v>
      </c>
      <c r="G32" s="38">
        <f>IF($A32="","",IF(ABS($F32)&lt;=1000,"✓ تراز","⚠ بررسی شود"))</f>
        <v>0</v>
      </c>
    </row>
    <row r="33" spans="1:7" ht="20.25" customHeight="1">
      <c r="A33" s="33" t="s">
        <v>66</v>
      </c>
      <c r="B33" s="33"/>
      <c r="C33" s="34">
        <f>IF($A33="","",SUMIFS(F1!$L$10:$L$1808,F1!$A$10:$A$1808,$A33,F1!$D$10:$D$1808,"X011",F1!$N$10:$N$1808,"پوز"))</f>
        <v>0</v>
      </c>
      <c r="D33" s="35">
        <f>IF($A33="","",SUMIFS(F2!$I$10:$I$289,F2!$A$10:$A$289,IF($B33="",$A33,$B33),F2!$D$10:$D$289,"BN*",F2!$G$10:$G$289,"واریز پز باسکول (۲۰۰۶)"))</f>
        <v>0</v>
      </c>
      <c r="E33" s="36">
        <f>IF($A33="","",SUMIFS(F2!$I$10:$I$289,F2!$A$10:$A$289,IF($B33="",$A33,$B33),F2!$D$10:$D$289,"BN*",F2!$G$10:$G$289,"تسویه دریافت (واسط)"))</f>
        <v>0</v>
      </c>
      <c r="F33" s="37">
        <f>IF($A33="","",$C33-$D33)</f>
        <v>0</v>
      </c>
      <c r="G33" s="38">
        <f>IF($A33="","",IF(ABS($F33)&lt;=1000,"✓ تراز","⚠ بررسی شود"))</f>
        <v>0</v>
      </c>
    </row>
    <row r="34" spans="1:7" ht="20.25" customHeight="1">
      <c r="A34" s="33" t="s">
        <v>66</v>
      </c>
      <c r="B34" s="33"/>
      <c r="C34" s="34">
        <f>IF($A34="","",SUMIFS(F1!$L$10:$L$1808,F1!$A$10:$A$1808,$A34,F1!$D$10:$D$1808,"X011",F1!$N$10:$N$1808,"پوز"))</f>
        <v>0</v>
      </c>
      <c r="D34" s="35">
        <f>IF($A34="","",SUMIFS(F2!$I$10:$I$289,F2!$A$10:$A$289,IF($B34="",$A34,$B34),F2!$D$10:$D$289,"BN*",F2!$G$10:$G$289,"واریز پز باسکول (۲۰۰۶)"))</f>
        <v>0</v>
      </c>
      <c r="E34" s="36">
        <f>IF($A34="","",SUMIFS(F2!$I$10:$I$289,F2!$A$10:$A$289,IF($B34="",$A34,$B34),F2!$D$10:$D$289,"BN*",F2!$G$10:$G$289,"تسویه دریافت (واسط)"))</f>
        <v>0</v>
      </c>
      <c r="F34" s="37">
        <f>IF($A34="","",$C34-$D34)</f>
        <v>0</v>
      </c>
      <c r="G34" s="38">
        <f>IF($A34="","",IF(ABS($F34)&lt;=1000,"✓ تراز","⚠ بررسی شود"))</f>
        <v>0</v>
      </c>
    </row>
    <row r="35" spans="1:7" ht="20.25" customHeight="1">
      <c r="A35" s="33" t="s">
        <v>66</v>
      </c>
      <c r="B35" s="33"/>
      <c r="C35" s="34">
        <f>IF($A35="","",SUMIFS(F1!$L$10:$L$1808,F1!$A$10:$A$1808,$A35,F1!$D$10:$D$1808,"X011",F1!$N$10:$N$1808,"پوز"))</f>
        <v>0</v>
      </c>
      <c r="D35" s="35">
        <f>IF($A35="","",SUMIFS(F2!$I$10:$I$289,F2!$A$10:$A$289,IF($B35="",$A35,$B35),F2!$D$10:$D$289,"BN*",F2!$G$10:$G$289,"واریز پز باسکول (۲۰۰۶)"))</f>
        <v>0</v>
      </c>
      <c r="E35" s="36">
        <f>IF($A35="","",SUMIFS(F2!$I$10:$I$289,F2!$A$10:$A$289,IF($B35="",$A35,$B35),F2!$D$10:$D$289,"BN*",F2!$G$10:$G$289,"تسویه دریافت (واسط)"))</f>
        <v>0</v>
      </c>
      <c r="F35" s="37">
        <f>IF($A35="","",$C35-$D35)</f>
        <v>0</v>
      </c>
      <c r="G35" s="38">
        <f>IF($A35="","",IF(ABS($F35)&lt;=1000,"✓ تراز","⚠ بررسی شود"))</f>
        <v>0</v>
      </c>
    </row>
    <row r="36" spans="1:7" ht="20.25" customHeight="1">
      <c r="A36" s="33" t="s">
        <v>66</v>
      </c>
      <c r="B36" s="33"/>
      <c r="C36" s="34">
        <f>IF($A36="","",SUMIFS(F1!$L$10:$L$1808,F1!$A$10:$A$1808,$A36,F1!$D$10:$D$1808,"X011",F1!$N$10:$N$1808,"پوز"))</f>
        <v>0</v>
      </c>
      <c r="D36" s="35">
        <f>IF($A36="","",SUMIFS(F2!$I$10:$I$289,F2!$A$10:$A$289,IF($B36="",$A36,$B36),F2!$D$10:$D$289,"BN*",F2!$G$10:$G$289,"واریز پز باسکول (۲۰۰۶)"))</f>
        <v>0</v>
      </c>
      <c r="E36" s="36">
        <f>IF($A36="","",SUMIFS(F2!$I$10:$I$289,F2!$A$10:$A$289,IF($B36="",$A36,$B36),F2!$D$10:$D$289,"BN*",F2!$G$10:$G$289,"تسویه دریافت (واسط)"))</f>
        <v>0</v>
      </c>
      <c r="F36" s="37">
        <f>IF($A36="","",$C36-$D36)</f>
        <v>0</v>
      </c>
      <c r="G36" s="38">
        <f>IF($A36="","",IF(ABS($F36)&lt;=1000,"✓ تراز","⚠ بررسی شود"))</f>
        <v>0</v>
      </c>
    </row>
    <row r="37" spans="1:7" ht="20.25" customHeight="1">
      <c r="A37" s="33" t="s">
        <v>66</v>
      </c>
      <c r="B37" s="33"/>
      <c r="C37" s="34">
        <f>IF($A37="","",SUMIFS(F1!$L$10:$L$1808,F1!$A$10:$A$1808,$A37,F1!$D$10:$D$1808,"X011",F1!$N$10:$N$1808,"پوز"))</f>
        <v>0</v>
      </c>
      <c r="D37" s="35">
        <f>IF($A37="","",SUMIFS(F2!$I$10:$I$289,F2!$A$10:$A$289,IF($B37="",$A37,$B37),F2!$D$10:$D$289,"BN*",F2!$G$10:$G$289,"واریز پز باسکول (۲۰۰۶)"))</f>
        <v>0</v>
      </c>
      <c r="E37" s="36">
        <f>IF($A37="","",SUMIFS(F2!$I$10:$I$289,F2!$A$10:$A$289,IF($B37="",$A37,$B37),F2!$D$10:$D$289,"BN*",F2!$G$10:$G$289,"تسویه دریافت (واسط)"))</f>
        <v>0</v>
      </c>
      <c r="F37" s="37">
        <f>IF($A37="","",$C37-$D37)</f>
        <v>0</v>
      </c>
      <c r="G37" s="38">
        <f>IF($A37="","",IF(ABS($F37)&lt;=1000,"✓ تراز","⚠ بررسی شود"))</f>
        <v>0</v>
      </c>
    </row>
    <row r="38" spans="1:7" ht="20.25" customHeight="1">
      <c r="A38" s="33" t="s">
        <v>66</v>
      </c>
      <c r="B38" s="33"/>
      <c r="C38" s="34">
        <f>IF($A38="","",SUMIFS(F1!$L$10:$L$1808,F1!$A$10:$A$1808,$A38,F1!$D$10:$D$1808,"X011",F1!$N$10:$N$1808,"پوز"))</f>
        <v>0</v>
      </c>
      <c r="D38" s="35">
        <f>IF($A38="","",SUMIFS(F2!$I$10:$I$289,F2!$A$10:$A$289,IF($B38="",$A38,$B38),F2!$D$10:$D$289,"BN*",F2!$G$10:$G$289,"واریز پز باسکول (۲۰۰۶)"))</f>
        <v>0</v>
      </c>
      <c r="E38" s="36">
        <f>IF($A38="","",SUMIFS(F2!$I$10:$I$289,F2!$A$10:$A$289,IF($B38="",$A38,$B38),F2!$D$10:$D$289,"BN*",F2!$G$10:$G$289,"تسویه دریافت (واسط)"))</f>
        <v>0</v>
      </c>
      <c r="F38" s="37">
        <f>IF($A38="","",$C38-$D38)</f>
        <v>0</v>
      </c>
      <c r="G38" s="38">
        <f>IF($A38="","",IF(ABS($F38)&lt;=1000,"✓ تراز","⚠ بررسی شود"))</f>
        <v>0</v>
      </c>
    </row>
    <row r="39" spans="1:7" ht="20.25" customHeight="1">
      <c r="A39" s="33" t="s">
        <v>66</v>
      </c>
      <c r="B39" s="33"/>
      <c r="C39" s="34">
        <f>IF($A39="","",SUMIFS(F1!$L$10:$L$1808,F1!$A$10:$A$1808,$A39,F1!$D$10:$D$1808,"X011",F1!$N$10:$N$1808,"پوز"))</f>
        <v>0</v>
      </c>
      <c r="D39" s="35">
        <f>IF($A39="","",SUMIFS(F2!$I$10:$I$289,F2!$A$10:$A$289,IF($B39="",$A39,$B39),F2!$D$10:$D$289,"BN*",F2!$G$10:$G$289,"واریز پز باسکول (۲۰۰۶)"))</f>
        <v>0</v>
      </c>
      <c r="E39" s="36">
        <f>IF($A39="","",SUMIFS(F2!$I$10:$I$289,F2!$A$10:$A$289,IF($B39="",$A39,$B39),F2!$D$10:$D$289,"BN*",F2!$G$10:$G$289,"تسویه دریافت (واسط)"))</f>
        <v>0</v>
      </c>
      <c r="F39" s="37">
        <f>IF($A39="","",$C39-$D39)</f>
        <v>0</v>
      </c>
      <c r="G39" s="38">
        <f>IF($A39="","",IF(ABS($F39)&lt;=1000,"✓ تراز","⚠ بررسی شود"))</f>
        <v>0</v>
      </c>
    </row>
    <row r="40" spans="1:7" ht="20.25" customHeight="1">
      <c r="A40" s="33" t="s">
        <v>66</v>
      </c>
      <c r="B40" s="33"/>
      <c r="C40" s="34">
        <f>IF($A40="","",SUMIFS(F1!$L$10:$L$1808,F1!$A$10:$A$1808,$A40,F1!$D$10:$D$1808,"X011",F1!$N$10:$N$1808,"پوز"))</f>
        <v>0</v>
      </c>
      <c r="D40" s="35">
        <f>IF($A40="","",SUMIFS(F2!$I$10:$I$289,F2!$A$10:$A$289,IF($B40="",$A40,$B40),F2!$D$10:$D$289,"BN*",F2!$G$10:$G$289,"واریز پز باسکول (۲۰۰۶)"))</f>
        <v>0</v>
      </c>
      <c r="E40" s="36">
        <f>IF($A40="","",SUMIFS(F2!$I$10:$I$289,F2!$A$10:$A$289,IF($B40="",$A40,$B40),F2!$D$10:$D$289,"BN*",F2!$G$10:$G$289,"تسویه دریافت (واسط)"))</f>
        <v>0</v>
      </c>
      <c r="F40" s="37">
        <f>IF($A40="","",$C40-$D40)</f>
        <v>0</v>
      </c>
      <c r="G40" s="38">
        <f>IF($A40="","",IF(ABS($F40)&lt;=1000,"✓ تراز","⚠ بررسی شود"))</f>
        <v>0</v>
      </c>
    </row>
    <row r="41" spans="1:7" ht="20.25" customHeight="1">
      <c r="A41" s="33" t="s">
        <v>66</v>
      </c>
      <c r="B41" s="33"/>
      <c r="C41" s="34">
        <f>IF($A41="","",SUMIFS(F1!$L$10:$L$1808,F1!$A$10:$A$1808,$A41,F1!$D$10:$D$1808,"X011",F1!$N$10:$N$1808,"پوز"))</f>
        <v>0</v>
      </c>
      <c r="D41" s="35">
        <f>IF($A41="","",SUMIFS(F2!$I$10:$I$289,F2!$A$10:$A$289,IF($B41="",$A41,$B41),F2!$D$10:$D$289,"BN*",F2!$G$10:$G$289,"واریز پز باسکول (۲۰۰۶)"))</f>
        <v>0</v>
      </c>
      <c r="E41" s="36">
        <f>IF($A41="","",SUMIFS(F2!$I$10:$I$289,F2!$A$10:$A$289,IF($B41="",$A41,$B41),F2!$D$10:$D$289,"BN*",F2!$G$10:$G$289,"تسویه دریافت (واسط)"))</f>
        <v>0</v>
      </c>
      <c r="F41" s="37">
        <f>IF($A41="","",$C41-$D41)</f>
        <v>0</v>
      </c>
      <c r="G41" s="38">
        <f>IF($A41="","",IF(ABS($F41)&lt;=1000,"✓ تراز","⚠ بررسی شود"))</f>
        <v>0</v>
      </c>
    </row>
    <row r="42" spans="1:7" ht="20.25" customHeight="1">
      <c r="A42" s="33" t="s">
        <v>66</v>
      </c>
      <c r="B42" s="33"/>
      <c r="C42" s="34">
        <f>IF($A42="","",SUMIFS(F1!$L$10:$L$1808,F1!$A$10:$A$1808,$A42,F1!$D$10:$D$1808,"X011",F1!$N$10:$N$1808,"پوز"))</f>
        <v>0</v>
      </c>
      <c r="D42" s="35">
        <f>IF($A42="","",SUMIFS(F2!$I$10:$I$289,F2!$A$10:$A$289,IF($B42="",$A42,$B42),F2!$D$10:$D$289,"BN*",F2!$G$10:$G$289,"واریز پز باسکول (۲۰۰۶)"))</f>
        <v>0</v>
      </c>
      <c r="E42" s="36">
        <f>IF($A42="","",SUMIFS(F2!$I$10:$I$289,F2!$A$10:$A$289,IF($B42="",$A42,$B42),F2!$D$10:$D$289,"BN*",F2!$G$10:$G$289,"تسویه دریافت (واسط)"))</f>
        <v>0</v>
      </c>
      <c r="F42" s="37">
        <f>IF($A42="","",$C42-$D42)</f>
        <v>0</v>
      </c>
      <c r="G42" s="38">
        <f>IF($A42="","",IF(ABS($F42)&lt;=1000,"✓ تراز","⚠ بررسی شود"))</f>
        <v>0</v>
      </c>
    </row>
    <row r="43" spans="1:7" ht="20.25" customHeight="1">
      <c r="A43" s="33" t="s">
        <v>66</v>
      </c>
      <c r="B43" s="33"/>
      <c r="C43" s="34">
        <f>IF($A43="","",SUMIFS(F1!$L$10:$L$1808,F1!$A$10:$A$1808,$A43,F1!$D$10:$D$1808,"X011",F1!$N$10:$N$1808,"پوز"))</f>
        <v>0</v>
      </c>
      <c r="D43" s="35">
        <f>IF($A43="","",SUMIFS(F2!$I$10:$I$289,F2!$A$10:$A$289,IF($B43="",$A43,$B43),F2!$D$10:$D$289,"BN*",F2!$G$10:$G$289,"واریز پز باسکول (۲۰۰۶)"))</f>
        <v>0</v>
      </c>
      <c r="E43" s="36">
        <f>IF($A43="","",SUMIFS(F2!$I$10:$I$289,F2!$A$10:$A$289,IF($B43="",$A43,$B43),F2!$D$10:$D$289,"BN*",F2!$G$10:$G$289,"تسویه دریافت (واسط)"))</f>
        <v>0</v>
      </c>
      <c r="F43" s="37">
        <f>IF($A43="","",$C43-$D43)</f>
        <v>0</v>
      </c>
      <c r="G43" s="38">
        <f>IF($A43="","",IF(ABS($F43)&lt;=1000,"✓ تراز","⚠ بررسی شود"))</f>
        <v>0</v>
      </c>
    </row>
    <row r="44" spans="1:7" ht="20.25" customHeight="1">
      <c r="A44" s="33" t="s">
        <v>66</v>
      </c>
      <c r="B44" s="33"/>
      <c r="C44" s="34">
        <f>IF($A44="","",SUMIFS(F1!$L$10:$L$1808,F1!$A$10:$A$1808,$A44,F1!$D$10:$D$1808,"X011",F1!$N$10:$N$1808,"پوز"))</f>
        <v>0</v>
      </c>
      <c r="D44" s="35">
        <f>IF($A44="","",SUMIFS(F2!$I$10:$I$289,F2!$A$10:$A$289,IF($B44="",$A44,$B44),F2!$D$10:$D$289,"BN*",F2!$G$10:$G$289,"واریز پز باسکول (۲۰۰۶)"))</f>
        <v>0</v>
      </c>
      <c r="E44" s="36">
        <f>IF($A44="","",SUMIFS(F2!$I$10:$I$289,F2!$A$10:$A$289,IF($B44="",$A44,$B44),F2!$D$10:$D$289,"BN*",F2!$G$10:$G$289,"تسویه دریافت (واسط)"))</f>
        <v>0</v>
      </c>
      <c r="F44" s="37">
        <f>IF($A44="","",$C44-$D44)</f>
        <v>0</v>
      </c>
      <c r="G44" s="38">
        <f>IF($A44="","",IF(ABS($F44)&lt;=1000,"✓ تراز","⚠ بررسی شود"))</f>
        <v>0</v>
      </c>
    </row>
    <row r="45" spans="1:7" ht="20.25" customHeight="1">
      <c r="A45" s="33" t="s">
        <v>66</v>
      </c>
      <c r="B45" s="33"/>
      <c r="C45" s="34">
        <f>IF($A45="","",SUMIFS(F1!$L$10:$L$1808,F1!$A$10:$A$1808,$A45,F1!$D$10:$D$1808,"X011",F1!$N$10:$N$1808,"پوز"))</f>
        <v>0</v>
      </c>
      <c r="D45" s="35">
        <f>IF($A45="","",SUMIFS(F2!$I$10:$I$289,F2!$A$10:$A$289,IF($B45="",$A45,$B45),F2!$D$10:$D$289,"BN*",F2!$G$10:$G$289,"واریز پز باسکول (۲۰۰۶)"))</f>
        <v>0</v>
      </c>
      <c r="E45" s="36">
        <f>IF($A45="","",SUMIFS(F2!$I$10:$I$289,F2!$A$10:$A$289,IF($B45="",$A45,$B45),F2!$D$10:$D$289,"BN*",F2!$G$10:$G$289,"تسویه دریافت (واسط)"))</f>
        <v>0</v>
      </c>
      <c r="F45" s="37">
        <f>IF($A45="","",$C45-$D45)</f>
        <v>0</v>
      </c>
      <c r="G45" s="38">
        <f>IF($A45="","",IF(ABS($F45)&lt;=1000,"✓ تراز","⚠ بررسی شود"))</f>
        <v>0</v>
      </c>
    </row>
    <row r="46" spans="1:7" ht="20.25" customHeight="1">
      <c r="A46" s="33" t="s">
        <v>66</v>
      </c>
      <c r="B46" s="33"/>
      <c r="C46" s="34">
        <f>IF($A46="","",SUMIFS(F1!$L$10:$L$1808,F1!$A$10:$A$1808,$A46,F1!$D$10:$D$1808,"X011",F1!$N$10:$N$1808,"پوز"))</f>
        <v>0</v>
      </c>
      <c r="D46" s="35">
        <f>IF($A46="","",SUMIFS(F2!$I$10:$I$289,F2!$A$10:$A$289,IF($B46="",$A46,$B46),F2!$D$10:$D$289,"BN*",F2!$G$10:$G$289,"واریز پز باسکول (۲۰۰۶)"))</f>
        <v>0</v>
      </c>
      <c r="E46" s="36">
        <f>IF($A46="","",SUMIFS(F2!$I$10:$I$289,F2!$A$10:$A$289,IF($B46="",$A46,$B46),F2!$D$10:$D$289,"BN*",F2!$G$10:$G$289,"تسویه دریافت (واسط)"))</f>
        <v>0</v>
      </c>
      <c r="F46" s="37">
        <f>IF($A46="","",$C46-$D46)</f>
        <v>0</v>
      </c>
      <c r="G46" s="38">
        <f>IF($A46="","",IF(ABS($F46)&lt;=1000,"✓ تراز","⚠ بررسی شود"))</f>
        <v>0</v>
      </c>
    </row>
    <row r="47" spans="1:7" ht="20.25" customHeight="1">
      <c r="A47" s="33" t="s">
        <v>66</v>
      </c>
      <c r="B47" s="33"/>
      <c r="C47" s="34">
        <f>IF($A47="","",SUMIFS(F1!$L$10:$L$1808,F1!$A$10:$A$1808,$A47,F1!$D$10:$D$1808,"X011",F1!$N$10:$N$1808,"پوز"))</f>
        <v>0</v>
      </c>
      <c r="D47" s="35">
        <f>IF($A47="","",SUMIFS(F2!$I$10:$I$289,F2!$A$10:$A$289,IF($B47="",$A47,$B47),F2!$D$10:$D$289,"BN*",F2!$G$10:$G$289,"واریز پز باسکول (۲۰۰۶)"))</f>
        <v>0</v>
      </c>
      <c r="E47" s="36">
        <f>IF($A47="","",SUMIFS(F2!$I$10:$I$289,F2!$A$10:$A$289,IF($B47="",$A47,$B47),F2!$D$10:$D$289,"BN*",F2!$G$10:$G$289,"تسویه دریافت (واسط)"))</f>
        <v>0</v>
      </c>
      <c r="F47" s="37">
        <f>IF($A47="","",$C47-$D47)</f>
        <v>0</v>
      </c>
      <c r="G47" s="38">
        <f>IF($A47="","",IF(ABS($F47)&lt;=1000,"✓ تراز","⚠ بررسی شود"))</f>
        <v>0</v>
      </c>
    </row>
    <row r="48" spans="1:7" ht="20.25" customHeight="1">
      <c r="A48" s="33" t="s">
        <v>66</v>
      </c>
      <c r="B48" s="33"/>
      <c r="C48" s="34">
        <f>IF($A48="","",SUMIFS(F1!$L$10:$L$1808,F1!$A$10:$A$1808,$A48,F1!$D$10:$D$1808,"X011",F1!$N$10:$N$1808,"پوز"))</f>
        <v>0</v>
      </c>
      <c r="D48" s="35">
        <f>IF($A48="","",SUMIFS(F2!$I$10:$I$289,F2!$A$10:$A$289,IF($B48="",$A48,$B48),F2!$D$10:$D$289,"BN*",F2!$G$10:$G$289,"واریز پز باسکول (۲۰۰۶)"))</f>
        <v>0</v>
      </c>
      <c r="E48" s="36">
        <f>IF($A48="","",SUMIFS(F2!$I$10:$I$289,F2!$A$10:$A$289,IF($B48="",$A48,$B48),F2!$D$10:$D$289,"BN*",F2!$G$10:$G$289,"تسویه دریافت (واسط)"))</f>
        <v>0</v>
      </c>
      <c r="F48" s="37">
        <f>IF($A48="","",$C48-$D48)</f>
        <v>0</v>
      </c>
      <c r="G48" s="38">
        <f>IF($A48="","",IF(ABS($F48)&lt;=1000,"✓ تراز","⚠ بررسی شود"))</f>
        <v>0</v>
      </c>
    </row>
    <row r="49" spans="1:8" ht="20.25" customHeight="1">
      <c r="A49" s="33" t="s">
        <v>66</v>
      </c>
      <c r="B49" s="33"/>
      <c r="C49" s="34">
        <f>IF($A49="","",SUMIFS(F1!$L$10:$L$1808,F1!$A$10:$A$1808,$A49,F1!$D$10:$D$1808,"X011",F1!$N$10:$N$1808,"پوز"))</f>
        <v>0</v>
      </c>
      <c r="D49" s="35">
        <f>IF($A49="","",SUMIFS(F2!$I$10:$I$289,F2!$A$10:$A$289,IF($B49="",$A49,$B49),F2!$D$10:$D$289,"BN*",F2!$G$10:$G$289,"واریز پز باسکول (۲۰۰۶)"))</f>
        <v>0</v>
      </c>
      <c r="E49" s="36">
        <f>IF($A49="","",SUMIFS(F2!$I$10:$I$289,F2!$A$10:$A$289,IF($B49="",$A49,$B49),F2!$D$10:$D$289,"BN*",F2!$G$10:$G$289,"تسویه دریافت (واسط)"))</f>
        <v>0</v>
      </c>
      <c r="F49" s="37">
        <f>IF($A49="","",$C49-$D49)</f>
        <v>0</v>
      </c>
      <c r="G49" s="38">
        <f>IF($A49="","",IF(ABS($F49)&lt;=1000,"✓ تراز","⚠ بررسی شود"))</f>
        <v>0</v>
      </c>
    </row>
    <row r="50" spans="1:8" ht="20.25" customHeight="1">
      <c r="A50" s="33" t="s">
        <v>66</v>
      </c>
      <c r="B50" s="33"/>
      <c r="C50" s="34">
        <f>IF($A50="","",SUMIFS(F1!$L$10:$L$1808,F1!$A$10:$A$1808,$A50,F1!$D$10:$D$1808,"X011",F1!$N$10:$N$1808,"پوز"))</f>
        <v>0</v>
      </c>
      <c r="D50" s="35">
        <f>IF($A50="","",SUMIFS(F2!$I$10:$I$289,F2!$A$10:$A$289,IF($B50="",$A50,$B50),F2!$D$10:$D$289,"BN*",F2!$G$10:$G$289,"واریز پز باسکول (۲۰۰۶)"))</f>
        <v>0</v>
      </c>
      <c r="E50" s="36">
        <f>IF($A50="","",SUMIFS(F2!$I$10:$I$289,F2!$A$10:$A$289,IF($B50="",$A50,$B50),F2!$D$10:$D$289,"BN*",F2!$G$10:$G$289,"تسویه دریافت (واسط)"))</f>
        <v>0</v>
      </c>
      <c r="F50" s="37">
        <f>IF($A50="","",$C50-$D50)</f>
        <v>0</v>
      </c>
      <c r="G50" s="38">
        <f>IF($A50="","",IF(ABS($F50)&lt;=1000,"✓ تراز","⚠ بررسی شود"))</f>
        <v>0</v>
      </c>
    </row>
    <row r="51" spans="1:8" ht="20.25" customHeight="1">
      <c r="A51" s="33" t="s">
        <v>66</v>
      </c>
      <c r="B51" s="33"/>
      <c r="C51" s="34">
        <f>IF($A51="","",SUMIFS(F1!$L$10:$L$1808,F1!$A$10:$A$1808,$A51,F1!$D$10:$D$1808,"X011",F1!$N$10:$N$1808,"پوز"))</f>
        <v>0</v>
      </c>
      <c r="D51" s="35">
        <f>IF($A51="","",SUMIFS(F2!$I$10:$I$289,F2!$A$10:$A$289,IF($B51="",$A51,$B51),F2!$D$10:$D$289,"BN*",F2!$G$10:$G$289,"واریز پز باسکول (۲۰۰۶)"))</f>
        <v>0</v>
      </c>
      <c r="E51" s="36">
        <f>IF($A51="","",SUMIFS(F2!$I$10:$I$289,F2!$A$10:$A$289,IF($B51="",$A51,$B51),F2!$D$10:$D$289,"BN*",F2!$G$10:$G$289,"تسویه دریافت (واسط)"))</f>
        <v>0</v>
      </c>
      <c r="F51" s="37">
        <f>IF($A51="","",$C51-$D51)</f>
        <v>0</v>
      </c>
      <c r="G51" s="38">
        <f>IF($A51="","",IF(ABS($F51)&lt;=1000,"✓ تراز","⚠ بررسی شود"))</f>
        <v>0</v>
      </c>
    </row>
    <row r="52" spans="1:8" ht="20.25" customHeight="1">
      <c r="A52" s="33" t="s">
        <v>66</v>
      </c>
      <c r="B52" s="33"/>
      <c r="C52" s="34">
        <f>IF($A52="","",SUMIFS(F1!$L$10:$L$1808,F1!$A$10:$A$1808,$A52,F1!$D$10:$D$1808,"X011",F1!$N$10:$N$1808,"پوز"))</f>
        <v>0</v>
      </c>
      <c r="D52" s="35">
        <f>IF($A52="","",SUMIFS(F2!$I$10:$I$289,F2!$A$10:$A$289,IF($B52="",$A52,$B52),F2!$D$10:$D$289,"BN*",F2!$G$10:$G$289,"واریز پز باسکول (۲۰۰۶)"))</f>
        <v>0</v>
      </c>
      <c r="E52" s="36">
        <f>IF($A52="","",SUMIFS(F2!$I$10:$I$289,F2!$A$10:$A$289,IF($B52="",$A52,$B52),F2!$D$10:$D$289,"BN*",F2!$G$10:$G$289,"تسویه دریافت (واسط)"))</f>
        <v>0</v>
      </c>
      <c r="F52" s="37">
        <f>IF($A52="","",$C52-$D52)</f>
        <v>0</v>
      </c>
      <c r="G52" s="38">
        <f>IF($A52="","",IF(ABS($F52)&lt;=1000,"✓ تراز","⚠ بررسی شود"))</f>
        <v>0</v>
      </c>
    </row>
    <row r="54" spans="1:8" ht="33.75" customHeight="1">
      <c r="A54" s="39" t="s">
        <v>67</v>
      </c>
      <c r="B54" s="39"/>
      <c r="C54" s="39"/>
      <c r="D54" s="39"/>
      <c r="E54" s="39"/>
      <c r="F54" s="39"/>
      <c r="G54" s="39"/>
      <c r="H54" s="39"/>
    </row>
  </sheetData>
  <mergeCells count="12">
    <mergeCell ref="A2:H2"/>
    <mergeCell ref="A3:H3"/>
    <mergeCell ref="A4:H4"/>
    <mergeCell ref="A7:B7"/>
    <mergeCell ref="A8:B8"/>
    <mergeCell ref="C7:D7"/>
    <mergeCell ref="C8:D8"/>
    <mergeCell ref="E7:F7"/>
    <mergeCell ref="E8:F8"/>
    <mergeCell ref="G7:H7"/>
    <mergeCell ref="G8:H8"/>
    <mergeCell ref="A54:H54"/>
  </mergeCells>
  <conditionalFormatting sqref="F13:F52">
    <cfRule type="cellIs" dxfId="0" priority="1" operator="notEqual">
      <formula>0</formula>
    </cfRule>
  </conditionalFormatting>
  <conditionalFormatting sqref="G13:G52">
    <cfRule type="containsText" dxfId="1" priority="2" operator="containsText" text="✓">
      <formula>NOT(ISERROR(SEARCH("✓",G13)))</formula>
    </cfRule>
    <cfRule type="containsText" dxfId="2" priority="3" operator="containsText" text="⚠">
      <formula>NOT(ISERROR(SEARCH("⚠",G13)))</formula>
    </cfRule>
  </conditionalFormatting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2"/>
  <sheetViews>
    <sheetView showGridLines="0" rightToLeft="1" zoomScale="85" zoomScaleNormal="85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/>
    </sheetView>
  </sheetViews>
  <sheetFormatPr defaultRowHeight="15"/>
  <cols>
    <col min="1" max="1" width="26.7109375" customWidth="1"/>
    <col min="2" max="3" width="16.7109375" customWidth="1"/>
    <col min="4" max="4" width="17.7109375" customWidth="1"/>
    <col min="5" max="5" width="9.7109375" customWidth="1"/>
    <col min="6" max="6" width="15.7109375" customWidth="1"/>
    <col min="7" max="7" width="10.7109375" customWidth="1"/>
  </cols>
  <sheetData>
    <row r="1" spans="1:7" ht="6" customHeight="1">
      <c r="A1" s="1"/>
      <c r="B1" s="1"/>
      <c r="C1" s="1"/>
      <c r="D1" s="1"/>
      <c r="E1" s="1"/>
      <c r="F1" s="1"/>
      <c r="G1" s="1"/>
    </row>
    <row r="2" spans="1:7" ht="18" customHeight="1">
      <c r="A2" s="2" t="s">
        <v>0</v>
      </c>
      <c r="B2" s="2"/>
      <c r="C2" s="2"/>
      <c r="D2" s="2"/>
      <c r="E2" s="2"/>
      <c r="F2" s="2"/>
      <c r="G2" s="2"/>
    </row>
    <row r="3" spans="1:7" ht="38.25" customHeight="1">
      <c r="A3" s="3" t="s">
        <v>68</v>
      </c>
      <c r="B3" s="3"/>
      <c r="C3" s="3"/>
      <c r="D3" s="3"/>
      <c r="E3" s="3"/>
      <c r="F3" s="3"/>
      <c r="G3" s="3"/>
    </row>
    <row r="4" spans="1:7" ht="21.75" customHeight="1">
      <c r="A4" s="4" t="s">
        <v>69</v>
      </c>
      <c r="B4" s="4"/>
      <c r="C4" s="4"/>
      <c r="D4" s="4"/>
      <c r="E4" s="4"/>
      <c r="F4" s="4"/>
      <c r="G4" s="4"/>
    </row>
    <row r="5" spans="1:7" ht="3.75" customHeight="1">
      <c r="A5" s="5"/>
      <c r="B5" s="5"/>
      <c r="C5" s="5"/>
      <c r="D5" s="5"/>
      <c r="E5" s="5"/>
      <c r="F5" s="5"/>
      <c r="G5" s="5"/>
    </row>
    <row r="7" spans="1:7" ht="20.25" customHeight="1">
      <c r="A7" s="6" t="s">
        <v>70</v>
      </c>
      <c r="B7" s="6"/>
      <c r="C7" s="6" t="s">
        <v>71</v>
      </c>
      <c r="D7" s="6"/>
      <c r="E7" s="6" t="s">
        <v>72</v>
      </c>
      <c r="F7" s="6"/>
      <c r="G7" s="6" t="s">
        <v>73</v>
      </c>
    </row>
    <row r="8" spans="1:7" ht="33.75" customHeight="1">
      <c r="A8" s="40">
        <f>SUM($D$13:$D$22)</f>
        <v>0</v>
      </c>
      <c r="B8" s="40"/>
      <c r="C8" s="7">
        <f>SUM($B$13:$B$22)</f>
        <v>0</v>
      </c>
      <c r="D8" s="7"/>
      <c r="E8" s="41">
        <f>SUM($C$13:$C$22)</f>
        <v>0</v>
      </c>
      <c r="F8" s="41"/>
      <c r="G8" s="42">
        <f>$C$8-$E$8</f>
        <v>0</v>
      </c>
    </row>
    <row r="12" spans="1:7" ht="27.75" customHeight="1">
      <c r="A12" s="32" t="s">
        <v>74</v>
      </c>
      <c r="B12" s="32" t="s">
        <v>75</v>
      </c>
      <c r="C12" s="32" t="s">
        <v>76</v>
      </c>
      <c r="D12" s="32" t="s">
        <v>77</v>
      </c>
      <c r="E12" s="32" t="s">
        <v>78</v>
      </c>
      <c r="F12" s="32" t="s">
        <v>79</v>
      </c>
      <c r="G12" s="32" t="s">
        <v>80</v>
      </c>
    </row>
    <row r="13" spans="1:7">
      <c r="A13" s="43" t="s">
        <v>81</v>
      </c>
      <c r="B13" s="35">
        <f>SUMIF(F2!$D$10:$D$289,"BN01",F2!$I$10:$I$289)</f>
        <v>0</v>
      </c>
      <c r="C13" s="44">
        <f>SUMIF(F2!$D$10:$D$289,"BN01",F2!$J$10:$J$289)</f>
        <v>0</v>
      </c>
      <c r="D13" s="45">
        <f>$F13+$B13-$C13</f>
        <v>0</v>
      </c>
      <c r="E13" s="46">
        <f>IFERROR($D13/SUM($D$13:$D$22),0)</f>
        <v>0</v>
      </c>
      <c r="F13" s="47">
        <v>500000000</v>
      </c>
      <c r="G13" s="48" t="s">
        <v>82</v>
      </c>
    </row>
    <row r="14" spans="1:7">
      <c r="A14" s="43" t="s">
        <v>83</v>
      </c>
      <c r="B14" s="35">
        <f>SUMIF(F2!$D$10:$D$289,"BN02",F2!$I$10:$I$289)</f>
        <v>0</v>
      </c>
      <c r="C14" s="44">
        <f>SUMIF(F2!$D$10:$D$289,"BN02",F2!$J$10:$J$289)</f>
        <v>0</v>
      </c>
      <c r="D14" s="45">
        <f>$F14+$B14-$C14</f>
        <v>0</v>
      </c>
      <c r="E14" s="46">
        <f>IFERROR($D14/SUM($D$13:$D$22),0)</f>
        <v>0</v>
      </c>
      <c r="F14" s="47">
        <v>0</v>
      </c>
      <c r="G14" s="48" t="s">
        <v>84</v>
      </c>
    </row>
    <row r="15" spans="1:7">
      <c r="A15" s="43" t="s">
        <v>85</v>
      </c>
      <c r="B15" s="35">
        <f>SUMIF(F2!$D$10:$D$289,"BN03",F2!$I$10:$I$289)</f>
        <v>0</v>
      </c>
      <c r="C15" s="44">
        <f>SUMIF(F2!$D$10:$D$289,"BN03",F2!$J$10:$J$289)</f>
        <v>0</v>
      </c>
      <c r="D15" s="45">
        <f>$F15+$B15-$C15</f>
        <v>0</v>
      </c>
      <c r="E15" s="46">
        <f>IFERROR($D15/SUM($D$13:$D$22),0)</f>
        <v>0</v>
      </c>
      <c r="F15" s="47">
        <v>0</v>
      </c>
      <c r="G15" s="48" t="s">
        <v>86</v>
      </c>
    </row>
    <row r="16" spans="1:7">
      <c r="A16" s="43" t="s">
        <v>87</v>
      </c>
      <c r="B16" s="35">
        <f>SUMIF(F2!$D$10:$D$289,"BN04",F2!$I$10:$I$289)</f>
        <v>0</v>
      </c>
      <c r="C16" s="44">
        <f>SUMIF(F2!$D$10:$D$289,"BN04",F2!$J$10:$J$289)</f>
        <v>0</v>
      </c>
      <c r="D16" s="45">
        <f>$F16+$B16-$C16</f>
        <v>0</v>
      </c>
      <c r="E16" s="46">
        <f>IFERROR($D16/SUM($D$13:$D$22),0)</f>
        <v>0</v>
      </c>
      <c r="F16" s="47">
        <v>0</v>
      </c>
      <c r="G16" s="48" t="s">
        <v>88</v>
      </c>
    </row>
    <row r="17" spans="1:7">
      <c r="A17" s="43" t="s">
        <v>89</v>
      </c>
      <c r="B17" s="35">
        <f>SUMIF(F2!$D$10:$D$289,"BN05",F2!$I$10:$I$289)</f>
        <v>0</v>
      </c>
      <c r="C17" s="44">
        <f>SUMIF(F2!$D$10:$D$289,"BN05",F2!$J$10:$J$289)</f>
        <v>0</v>
      </c>
      <c r="D17" s="45">
        <f>$F17+$B17-$C17</f>
        <v>0</v>
      </c>
      <c r="E17" s="46">
        <f>IFERROR($D17/SUM($D$13:$D$22),0)</f>
        <v>0</v>
      </c>
      <c r="F17" s="47">
        <v>0</v>
      </c>
      <c r="G17" s="48" t="s">
        <v>90</v>
      </c>
    </row>
    <row r="18" spans="1:7">
      <c r="A18" s="43" t="s">
        <v>91</v>
      </c>
      <c r="B18" s="35">
        <f>SUMIF(F2!$D$10:$D$289,"BN06",F2!$I$10:$I$289)</f>
        <v>0</v>
      </c>
      <c r="C18" s="44">
        <f>SUMIF(F2!$D$10:$D$289,"BN06",F2!$J$10:$J$289)</f>
        <v>0</v>
      </c>
      <c r="D18" s="45">
        <f>$F18+$B18-$C18</f>
        <v>0</v>
      </c>
      <c r="E18" s="46">
        <f>IFERROR($D18/SUM($D$13:$D$22),0)</f>
        <v>0</v>
      </c>
      <c r="F18" s="47">
        <v>0</v>
      </c>
      <c r="G18" s="48" t="s">
        <v>92</v>
      </c>
    </row>
    <row r="19" spans="1:7">
      <c r="A19" s="43" t="s">
        <v>93</v>
      </c>
      <c r="B19" s="35">
        <f>SUMIF(F2!$D$10:$D$289,"BN07",F2!$I$10:$I$289)</f>
        <v>0</v>
      </c>
      <c r="C19" s="44">
        <f>SUMIF(F2!$D$10:$D$289,"BN07",F2!$J$10:$J$289)</f>
        <v>0</v>
      </c>
      <c r="D19" s="45">
        <f>$F19+$B19-$C19</f>
        <v>0</v>
      </c>
      <c r="E19" s="46">
        <f>IFERROR($D19/SUM($D$13:$D$22),0)</f>
        <v>0</v>
      </c>
      <c r="F19" s="47">
        <v>0</v>
      </c>
      <c r="G19" s="48" t="s">
        <v>94</v>
      </c>
    </row>
    <row r="20" spans="1:7">
      <c r="A20" s="43" t="s">
        <v>95</v>
      </c>
      <c r="B20" s="35">
        <f>SUMIF(F2!$D$10:$D$289,"BN08",F2!$I$10:$I$289)</f>
        <v>0</v>
      </c>
      <c r="C20" s="44">
        <f>SUMIF(F2!$D$10:$D$289,"BN08",F2!$J$10:$J$289)</f>
        <v>0</v>
      </c>
      <c r="D20" s="45">
        <f>$F20+$B20-$C20</f>
        <v>0</v>
      </c>
      <c r="E20" s="46">
        <f>IFERROR($D20/SUM($D$13:$D$22),0)</f>
        <v>0</v>
      </c>
      <c r="F20" s="47">
        <v>0</v>
      </c>
      <c r="G20" s="48" t="s">
        <v>96</v>
      </c>
    </row>
    <row r="21" spans="1:7">
      <c r="A21" s="43" t="s">
        <v>97</v>
      </c>
      <c r="B21" s="35">
        <f>SUMIF(F2!$D$10:$D$289,"BN09",F2!$I$10:$I$289)</f>
        <v>0</v>
      </c>
      <c r="C21" s="44">
        <f>SUMIF(F2!$D$10:$D$289,"BN09",F2!$J$10:$J$289)</f>
        <v>0</v>
      </c>
      <c r="D21" s="45">
        <f>$F21+$B21-$C21</f>
        <v>0</v>
      </c>
      <c r="E21" s="46">
        <f>IFERROR($D21/SUM($D$13:$D$22),0)</f>
        <v>0</v>
      </c>
      <c r="F21" s="47">
        <v>0</v>
      </c>
      <c r="G21" s="48" t="s">
        <v>98</v>
      </c>
    </row>
    <row r="22" spans="1:7">
      <c r="A22" s="43" t="s">
        <v>99</v>
      </c>
      <c r="B22" s="35">
        <f>SUMIF(F2!$D$10:$D$289,"BN10",F2!$I$10:$I$289)</f>
        <v>0</v>
      </c>
      <c r="C22" s="44">
        <f>SUMIF(F2!$D$10:$D$289,"BN10",F2!$J$10:$J$289)</f>
        <v>0</v>
      </c>
      <c r="D22" s="45">
        <f>$F22+$B22-$C22</f>
        <v>0</v>
      </c>
      <c r="E22" s="46">
        <f>IFERROR($D22/SUM($D$13:$D$22),0)</f>
        <v>0</v>
      </c>
      <c r="F22" s="47">
        <v>0</v>
      </c>
      <c r="G22" s="48" t="s">
        <v>100</v>
      </c>
    </row>
  </sheetData>
  <mergeCells count="9">
    <mergeCell ref="A2:G2"/>
    <mergeCell ref="A3:G3"/>
    <mergeCell ref="A4:G4"/>
    <mergeCell ref="A7:B7"/>
    <mergeCell ref="A8:B8"/>
    <mergeCell ref="C7:D7"/>
    <mergeCell ref="C8:D8"/>
    <mergeCell ref="E7:F7"/>
    <mergeCell ref="E8:F8"/>
  </mergeCell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4"/>
  <sheetViews>
    <sheetView showGridLines="0" rightToLeft="1" zoomScale="85" zoomScaleNormal="85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RowHeight="15"/>
  <cols>
    <col min="1" max="1" width="10.7109375" customWidth="1"/>
    <col min="2" max="2" width="12.7109375" customWidth="1"/>
    <col min="3" max="3" width="16.7109375" customWidth="1"/>
    <col min="4" max="4" width="18.7109375" customWidth="1"/>
    <col min="5" max="7" width="16.7109375" customWidth="1"/>
  </cols>
  <sheetData>
    <row r="1" spans="1:7" ht="6" customHeight="1">
      <c r="A1" s="1"/>
      <c r="B1" s="1"/>
      <c r="C1" s="1"/>
      <c r="D1" s="1"/>
      <c r="E1" s="1"/>
      <c r="F1" s="1"/>
      <c r="G1" s="1"/>
    </row>
    <row r="2" spans="1:7" ht="18" customHeight="1">
      <c r="A2" s="2" t="s">
        <v>0</v>
      </c>
      <c r="B2" s="2"/>
      <c r="C2" s="2"/>
      <c r="D2" s="2"/>
      <c r="E2" s="2"/>
      <c r="F2" s="2"/>
      <c r="G2" s="2"/>
    </row>
    <row r="3" spans="1:7" ht="38.25" customHeight="1">
      <c r="A3" s="3" t="s">
        <v>101</v>
      </c>
      <c r="B3" s="3"/>
      <c r="C3" s="3"/>
      <c r="D3" s="3"/>
      <c r="E3" s="3"/>
      <c r="F3" s="3"/>
      <c r="G3" s="3"/>
    </row>
    <row r="4" spans="1:7" ht="21.75" customHeight="1">
      <c r="A4" s="4" t="s">
        <v>102</v>
      </c>
      <c r="B4" s="4"/>
      <c r="C4" s="4"/>
      <c r="D4" s="4"/>
      <c r="E4" s="4"/>
      <c r="F4" s="4"/>
      <c r="G4" s="4"/>
    </row>
    <row r="5" spans="1:7" ht="3.75" customHeight="1">
      <c r="A5" s="5"/>
      <c r="B5" s="5"/>
      <c r="C5" s="5"/>
      <c r="D5" s="5"/>
      <c r="E5" s="5"/>
      <c r="F5" s="5"/>
      <c r="G5" s="5"/>
    </row>
    <row r="7" spans="1:7" ht="20.25" customHeight="1">
      <c r="A7" s="6" t="s">
        <v>3</v>
      </c>
      <c r="B7" s="6"/>
      <c r="C7" s="6" t="s">
        <v>4</v>
      </c>
      <c r="D7" s="6"/>
      <c r="E7" s="6" t="s">
        <v>103</v>
      </c>
      <c r="F7" s="6"/>
      <c r="G7" s="6" t="s">
        <v>104</v>
      </c>
    </row>
    <row r="8" spans="1:7" ht="33.75" customHeight="1">
      <c r="A8" s="7">
        <f>SUM($C$13:$C$24)</f>
        <v>0</v>
      </c>
      <c r="B8" s="7"/>
      <c r="C8" s="8">
        <f>SUM($D$13:$D$24)</f>
        <v>0</v>
      </c>
      <c r="D8" s="8"/>
      <c r="E8" s="9">
        <f>SUM($E$13:$E$24)</f>
        <v>0</v>
      </c>
      <c r="F8" s="9"/>
      <c r="G8" s="49">
        <f>SUM($F$13:$F$24)</f>
        <v>0</v>
      </c>
    </row>
    <row r="12" spans="1:7" ht="32.25" customHeight="1">
      <c r="A12" s="32" t="s">
        <v>105</v>
      </c>
      <c r="B12" s="32" t="s">
        <v>106</v>
      </c>
      <c r="C12" s="32" t="s">
        <v>107</v>
      </c>
      <c r="D12" s="32" t="s">
        <v>108</v>
      </c>
      <c r="E12" s="32" t="s">
        <v>109</v>
      </c>
      <c r="F12" s="32" t="s">
        <v>110</v>
      </c>
      <c r="G12" s="32" t="s">
        <v>111</v>
      </c>
    </row>
    <row r="13" spans="1:7" ht="21" customHeight="1">
      <c r="A13" s="50">
        <v>1</v>
      </c>
      <c r="B13" s="36">
        <f>COUNTIF(F1!$P$10:$P$1808,$A13)</f>
        <v>0</v>
      </c>
      <c r="C13" s="35">
        <f>SUMIF(F1!$P$10:$P$1808,$A13,F1!$H$10:$H$1808)</f>
        <v>0</v>
      </c>
      <c r="D13" s="34">
        <f>SUMIF(F1!$P$10:$P$1808,$A13,F1!$K$10:$K$1808)</f>
        <v>0</v>
      </c>
      <c r="E13" s="36">
        <f>SUMIF(F1!$P$10:$P$1808,$A13,F1!$L$10:$L$1808)</f>
        <v>0</v>
      </c>
      <c r="F13" s="36">
        <f>SUMIF(F1!$P$10:$P$1808,$A13,F1!$M$10:$M$1808)</f>
        <v>0</v>
      </c>
      <c r="G13" s="37">
        <f>$E13-$F13</f>
        <v>0</v>
      </c>
    </row>
    <row r="14" spans="1:7" ht="21" customHeight="1">
      <c r="A14" s="50">
        <v>2</v>
      </c>
      <c r="B14" s="36">
        <f>COUNTIF(F1!$P$10:$P$1808,$A14)</f>
        <v>0</v>
      </c>
      <c r="C14" s="35">
        <f>SUMIF(F1!$P$10:$P$1808,$A14,F1!$H$10:$H$1808)</f>
        <v>0</v>
      </c>
      <c r="D14" s="34">
        <f>SUMIF(F1!$P$10:$P$1808,$A14,F1!$K$10:$K$1808)</f>
        <v>0</v>
      </c>
      <c r="E14" s="36">
        <f>SUMIF(F1!$P$10:$P$1808,$A14,F1!$L$10:$L$1808)</f>
        <v>0</v>
      </c>
      <c r="F14" s="36">
        <f>SUMIF(F1!$P$10:$P$1808,$A14,F1!$M$10:$M$1808)</f>
        <v>0</v>
      </c>
      <c r="G14" s="37">
        <f>$E14-$F14</f>
        <v>0</v>
      </c>
    </row>
    <row r="15" spans="1:7" ht="21" customHeight="1">
      <c r="A15" s="50">
        <v>3</v>
      </c>
      <c r="B15" s="36">
        <f>COUNTIF(F1!$P$10:$P$1808,$A15)</f>
        <v>0</v>
      </c>
      <c r="C15" s="35">
        <f>SUMIF(F1!$P$10:$P$1808,$A15,F1!$H$10:$H$1808)</f>
        <v>0</v>
      </c>
      <c r="D15" s="34">
        <f>SUMIF(F1!$P$10:$P$1808,$A15,F1!$K$10:$K$1808)</f>
        <v>0</v>
      </c>
      <c r="E15" s="36">
        <f>SUMIF(F1!$P$10:$P$1808,$A15,F1!$L$10:$L$1808)</f>
        <v>0</v>
      </c>
      <c r="F15" s="36">
        <f>SUMIF(F1!$P$10:$P$1808,$A15,F1!$M$10:$M$1808)</f>
        <v>0</v>
      </c>
      <c r="G15" s="37">
        <f>$E15-$F15</f>
        <v>0</v>
      </c>
    </row>
    <row r="16" spans="1:7" ht="21" customHeight="1">
      <c r="A16" s="50">
        <v>4</v>
      </c>
      <c r="B16" s="36">
        <f>COUNTIF(F1!$P$10:$P$1808,$A16)</f>
        <v>0</v>
      </c>
      <c r="C16" s="35">
        <f>SUMIF(F1!$P$10:$P$1808,$A16,F1!$H$10:$H$1808)</f>
        <v>0</v>
      </c>
      <c r="D16" s="34">
        <f>SUMIF(F1!$P$10:$P$1808,$A16,F1!$K$10:$K$1808)</f>
        <v>0</v>
      </c>
      <c r="E16" s="36">
        <f>SUMIF(F1!$P$10:$P$1808,$A16,F1!$L$10:$L$1808)</f>
        <v>0</v>
      </c>
      <c r="F16" s="36">
        <f>SUMIF(F1!$P$10:$P$1808,$A16,F1!$M$10:$M$1808)</f>
        <v>0</v>
      </c>
      <c r="G16" s="37">
        <f>$E16-$F16</f>
        <v>0</v>
      </c>
    </row>
    <row r="17" spans="1:7" ht="21" customHeight="1">
      <c r="A17" s="50">
        <v>5</v>
      </c>
      <c r="B17" s="36">
        <f>COUNTIF(F1!$P$10:$P$1808,$A17)</f>
        <v>0</v>
      </c>
      <c r="C17" s="35">
        <f>SUMIF(F1!$P$10:$P$1808,$A17,F1!$H$10:$H$1808)</f>
        <v>0</v>
      </c>
      <c r="D17" s="34">
        <f>SUMIF(F1!$P$10:$P$1808,$A17,F1!$K$10:$K$1808)</f>
        <v>0</v>
      </c>
      <c r="E17" s="36">
        <f>SUMIF(F1!$P$10:$P$1808,$A17,F1!$L$10:$L$1808)</f>
        <v>0</v>
      </c>
      <c r="F17" s="36">
        <f>SUMIF(F1!$P$10:$P$1808,$A17,F1!$M$10:$M$1808)</f>
        <v>0</v>
      </c>
      <c r="G17" s="37">
        <f>$E17-$F17</f>
        <v>0</v>
      </c>
    </row>
    <row r="18" spans="1:7" ht="21" customHeight="1">
      <c r="A18" s="50">
        <v>6</v>
      </c>
      <c r="B18" s="36">
        <f>COUNTIF(F1!$P$10:$P$1808,$A18)</f>
        <v>0</v>
      </c>
      <c r="C18" s="35">
        <f>SUMIF(F1!$P$10:$P$1808,$A18,F1!$H$10:$H$1808)</f>
        <v>0</v>
      </c>
      <c r="D18" s="34">
        <f>SUMIF(F1!$P$10:$P$1808,$A18,F1!$K$10:$K$1808)</f>
        <v>0</v>
      </c>
      <c r="E18" s="36">
        <f>SUMIF(F1!$P$10:$P$1808,$A18,F1!$L$10:$L$1808)</f>
        <v>0</v>
      </c>
      <c r="F18" s="36">
        <f>SUMIF(F1!$P$10:$P$1808,$A18,F1!$M$10:$M$1808)</f>
        <v>0</v>
      </c>
      <c r="G18" s="37">
        <f>$E18-$F18</f>
        <v>0</v>
      </c>
    </row>
    <row r="19" spans="1:7" ht="21" customHeight="1">
      <c r="A19" s="50">
        <v>7</v>
      </c>
      <c r="B19" s="36">
        <f>COUNTIF(F1!$P$10:$P$1808,$A19)</f>
        <v>0</v>
      </c>
      <c r="C19" s="35">
        <f>SUMIF(F1!$P$10:$P$1808,$A19,F1!$H$10:$H$1808)</f>
        <v>0</v>
      </c>
      <c r="D19" s="34">
        <f>SUMIF(F1!$P$10:$P$1808,$A19,F1!$K$10:$K$1808)</f>
        <v>0</v>
      </c>
      <c r="E19" s="36">
        <f>SUMIF(F1!$P$10:$P$1808,$A19,F1!$L$10:$L$1808)</f>
        <v>0</v>
      </c>
      <c r="F19" s="36">
        <f>SUMIF(F1!$P$10:$P$1808,$A19,F1!$M$10:$M$1808)</f>
        <v>0</v>
      </c>
      <c r="G19" s="37">
        <f>$E19-$F19</f>
        <v>0</v>
      </c>
    </row>
    <row r="20" spans="1:7" ht="21" customHeight="1">
      <c r="A20" s="50">
        <v>8</v>
      </c>
      <c r="B20" s="36">
        <f>COUNTIF(F1!$P$10:$P$1808,$A20)</f>
        <v>0</v>
      </c>
      <c r="C20" s="35">
        <f>SUMIF(F1!$P$10:$P$1808,$A20,F1!$H$10:$H$1808)</f>
        <v>0</v>
      </c>
      <c r="D20" s="34">
        <f>SUMIF(F1!$P$10:$P$1808,$A20,F1!$K$10:$K$1808)</f>
        <v>0</v>
      </c>
      <c r="E20" s="36">
        <f>SUMIF(F1!$P$10:$P$1808,$A20,F1!$L$10:$L$1808)</f>
        <v>0</v>
      </c>
      <c r="F20" s="36">
        <f>SUMIF(F1!$P$10:$P$1808,$A20,F1!$M$10:$M$1808)</f>
        <v>0</v>
      </c>
      <c r="G20" s="37">
        <f>$E20-$F20</f>
        <v>0</v>
      </c>
    </row>
    <row r="21" spans="1:7" ht="21" customHeight="1">
      <c r="A21" s="50">
        <v>9</v>
      </c>
      <c r="B21" s="36">
        <f>COUNTIF(F1!$P$10:$P$1808,$A21)</f>
        <v>0</v>
      </c>
      <c r="C21" s="35">
        <f>SUMIF(F1!$P$10:$P$1808,$A21,F1!$H$10:$H$1808)</f>
        <v>0</v>
      </c>
      <c r="D21" s="34">
        <f>SUMIF(F1!$P$10:$P$1808,$A21,F1!$K$10:$K$1808)</f>
        <v>0</v>
      </c>
      <c r="E21" s="36">
        <f>SUMIF(F1!$P$10:$P$1808,$A21,F1!$L$10:$L$1808)</f>
        <v>0</v>
      </c>
      <c r="F21" s="36">
        <f>SUMIF(F1!$P$10:$P$1808,$A21,F1!$M$10:$M$1808)</f>
        <v>0</v>
      </c>
      <c r="G21" s="37">
        <f>$E21-$F21</f>
        <v>0</v>
      </c>
    </row>
    <row r="22" spans="1:7" ht="21" customHeight="1">
      <c r="A22" s="50">
        <v>10</v>
      </c>
      <c r="B22" s="36">
        <f>COUNTIF(F1!$P$10:$P$1808,$A22)</f>
        <v>0</v>
      </c>
      <c r="C22" s="35">
        <f>SUMIF(F1!$P$10:$P$1808,$A22,F1!$H$10:$H$1808)</f>
        <v>0</v>
      </c>
      <c r="D22" s="34">
        <f>SUMIF(F1!$P$10:$P$1808,$A22,F1!$K$10:$K$1808)</f>
        <v>0</v>
      </c>
      <c r="E22" s="36">
        <f>SUMIF(F1!$P$10:$P$1808,$A22,F1!$L$10:$L$1808)</f>
        <v>0</v>
      </c>
      <c r="F22" s="36">
        <f>SUMIF(F1!$P$10:$P$1808,$A22,F1!$M$10:$M$1808)</f>
        <v>0</v>
      </c>
      <c r="G22" s="37">
        <f>$E22-$F22</f>
        <v>0</v>
      </c>
    </row>
    <row r="23" spans="1:7" ht="21" customHeight="1">
      <c r="A23" s="50">
        <v>11</v>
      </c>
      <c r="B23" s="36">
        <f>COUNTIF(F1!$P$10:$P$1808,$A23)</f>
        <v>0</v>
      </c>
      <c r="C23" s="35">
        <f>SUMIF(F1!$P$10:$P$1808,$A23,F1!$H$10:$H$1808)</f>
        <v>0</v>
      </c>
      <c r="D23" s="34">
        <f>SUMIF(F1!$P$10:$P$1808,$A23,F1!$K$10:$K$1808)</f>
        <v>0</v>
      </c>
      <c r="E23" s="36">
        <f>SUMIF(F1!$P$10:$P$1808,$A23,F1!$L$10:$L$1808)</f>
        <v>0</v>
      </c>
      <c r="F23" s="36">
        <f>SUMIF(F1!$P$10:$P$1808,$A23,F1!$M$10:$M$1808)</f>
        <v>0</v>
      </c>
      <c r="G23" s="37">
        <f>$E23-$F23</f>
        <v>0</v>
      </c>
    </row>
    <row r="24" spans="1:7" ht="21" customHeight="1">
      <c r="A24" s="50">
        <v>12</v>
      </c>
      <c r="B24" s="36">
        <f>COUNTIF(F1!$P$10:$P$1808,$A24)</f>
        <v>0</v>
      </c>
      <c r="C24" s="35">
        <f>SUMIF(F1!$P$10:$P$1808,$A24,F1!$H$10:$H$1808)</f>
        <v>0</v>
      </c>
      <c r="D24" s="34">
        <f>SUMIF(F1!$P$10:$P$1808,$A24,F1!$K$10:$K$1808)</f>
        <v>0</v>
      </c>
      <c r="E24" s="36">
        <f>SUMIF(F1!$P$10:$P$1808,$A24,F1!$L$10:$L$1808)</f>
        <v>0</v>
      </c>
      <c r="F24" s="36">
        <f>SUMIF(F1!$P$10:$P$1808,$A24,F1!$M$10:$M$1808)</f>
        <v>0</v>
      </c>
      <c r="G24" s="37">
        <f>$E24-$F24</f>
        <v>0</v>
      </c>
    </row>
  </sheetData>
  <mergeCells count="9">
    <mergeCell ref="A2:G2"/>
    <mergeCell ref="A3:G3"/>
    <mergeCell ref="A4:G4"/>
    <mergeCell ref="A7:B7"/>
    <mergeCell ref="A8:B8"/>
    <mergeCell ref="C7:D7"/>
    <mergeCell ref="C8:D8"/>
    <mergeCell ref="E7:F7"/>
    <mergeCell ref="E8:F8"/>
  </mergeCell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8"/>
  <sheetViews>
    <sheetView showGridLines="0" rightToLeft="1" zoomScale="85" zoomScaleNormal="85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RowHeight="15"/>
  <cols>
    <col min="1" max="1" width="30.7109375" customWidth="1"/>
    <col min="2" max="2" width="10.7109375" customWidth="1"/>
    <col min="3" max="3" width="16.7109375" customWidth="1"/>
    <col min="4" max="4" width="18.7109375" customWidth="1"/>
    <col min="5" max="6" width="16.7109375" customWidth="1"/>
    <col min="7" max="7" width="10.7109375" customWidth="1"/>
  </cols>
  <sheetData>
    <row r="1" spans="1:7" ht="6" customHeight="1">
      <c r="A1" s="1"/>
      <c r="B1" s="1"/>
      <c r="C1" s="1"/>
      <c r="D1" s="1"/>
      <c r="E1" s="1"/>
      <c r="F1" s="1"/>
      <c r="G1" s="1"/>
    </row>
    <row r="2" spans="1:7" ht="18" customHeight="1">
      <c r="A2" s="2" t="s">
        <v>0</v>
      </c>
      <c r="B2" s="2"/>
      <c r="C2" s="2"/>
      <c r="D2" s="2"/>
      <c r="E2" s="2"/>
      <c r="F2" s="2"/>
      <c r="G2" s="2"/>
    </row>
    <row r="3" spans="1:7" ht="38.25" customHeight="1">
      <c r="A3" s="3" t="s">
        <v>112</v>
      </c>
      <c r="B3" s="3"/>
      <c r="C3" s="3"/>
      <c r="D3" s="3"/>
      <c r="E3" s="3"/>
      <c r="F3" s="3"/>
      <c r="G3" s="3"/>
    </row>
    <row r="4" spans="1:7" ht="21.75" customHeight="1">
      <c r="A4" s="4" t="s">
        <v>113</v>
      </c>
      <c r="B4" s="4"/>
      <c r="C4" s="4"/>
      <c r="D4" s="4"/>
      <c r="E4" s="4"/>
      <c r="F4" s="4"/>
      <c r="G4" s="4"/>
    </row>
    <row r="5" spans="1:7" ht="3.75" customHeight="1">
      <c r="A5" s="5"/>
      <c r="B5" s="5"/>
      <c r="C5" s="5"/>
      <c r="D5" s="5"/>
      <c r="E5" s="5"/>
      <c r="F5" s="5"/>
      <c r="G5" s="5"/>
    </row>
    <row r="7" spans="1:7" ht="20.25" customHeight="1">
      <c r="A7" s="6" t="s">
        <v>114</v>
      </c>
      <c r="B7" s="6"/>
      <c r="C7" s="6" t="s">
        <v>115</v>
      </c>
      <c r="D7" s="6"/>
      <c r="E7" s="6" t="s">
        <v>116</v>
      </c>
      <c r="F7" s="6"/>
      <c r="G7" s="6" t="s">
        <v>117</v>
      </c>
    </row>
    <row r="8" spans="1:7" ht="33.75" customHeight="1">
      <c r="A8" s="40">
        <f>19</f>
        <v>0</v>
      </c>
      <c r="B8" s="40"/>
      <c r="C8" s="7">
        <f>MAX($C$13:$C$28)</f>
        <v>0</v>
      </c>
      <c r="D8" s="7"/>
      <c r="E8" s="8">
        <f>MAX($E$13:$E$28)</f>
        <v>0</v>
      </c>
      <c r="F8" s="8"/>
      <c r="G8" s="49">
        <f>COUNTIF(F1!$L$10:$L$1808,"&gt;0")-COUNTIF(F1!$M$10:$M$1808,"&gt;0")</f>
        <v>0</v>
      </c>
    </row>
    <row r="12" spans="1:7" ht="30" customHeight="1">
      <c r="A12" s="51" t="s">
        <v>118</v>
      </c>
      <c r="B12" s="51" t="s">
        <v>119</v>
      </c>
      <c r="C12" s="51" t="s">
        <v>107</v>
      </c>
      <c r="D12" s="51" t="s">
        <v>108</v>
      </c>
      <c r="E12" s="51" t="s">
        <v>109</v>
      </c>
      <c r="F12" s="51" t="s">
        <v>110</v>
      </c>
      <c r="G12" s="51" t="s">
        <v>120</v>
      </c>
    </row>
    <row r="13" spans="1:7">
      <c r="A13" s="52" t="s">
        <v>121</v>
      </c>
      <c r="B13" s="36">
        <f>COUNTIF(F1!$N$10:$N$1808,$A13)</f>
        <v>0</v>
      </c>
      <c r="C13" s="35">
        <f>SUMIF(F1!$N$10:$N$1808,$A13,F1!$I$10:$I$1808)</f>
        <v>0</v>
      </c>
      <c r="D13" s="36">
        <f>SUMIF(F1!$N$10:$N$1808,$A13,F1!$K$10:$K$1808)</f>
        <v>0</v>
      </c>
      <c r="E13" s="36">
        <f>SUMIF(F1!$N$10:$N$1808,$A13,F1!$L$10:$L$1808)</f>
        <v>0</v>
      </c>
      <c r="F13" s="36">
        <f>SUMIF(F1!$N$10:$N$1808,$A13,F1!$M$10:$M$1808)</f>
        <v>0</v>
      </c>
      <c r="G13" s="46">
        <f>IFERROR($D13/SUM($D$13:$D$28),0)</f>
        <v>0</v>
      </c>
    </row>
    <row r="14" spans="1:7">
      <c r="A14" s="52" t="s">
        <v>122</v>
      </c>
      <c r="B14" s="36">
        <f>COUNTIF(F1!$N$10:$N$1808,$A14)</f>
        <v>0</v>
      </c>
      <c r="C14" s="35">
        <f>SUMIF(F1!$N$10:$N$1808,$A14,F1!$I$10:$I$1808)</f>
        <v>0</v>
      </c>
      <c r="D14" s="36">
        <f>SUMIF(F1!$N$10:$N$1808,$A14,F1!$K$10:$K$1808)</f>
        <v>0</v>
      </c>
      <c r="E14" s="36">
        <f>SUMIF(F1!$N$10:$N$1808,$A14,F1!$L$10:$L$1808)</f>
        <v>0</v>
      </c>
      <c r="F14" s="36">
        <f>SUMIF(F1!$N$10:$N$1808,$A14,F1!$M$10:$M$1808)</f>
        <v>0</v>
      </c>
      <c r="G14" s="46">
        <f>IFERROR($D14/SUM($D$13:$D$28),0)</f>
        <v>0</v>
      </c>
    </row>
    <row r="15" spans="1:7">
      <c r="A15" s="52" t="s">
        <v>123</v>
      </c>
      <c r="B15" s="36">
        <f>COUNTIF(F1!$N$10:$N$1808,$A15)</f>
        <v>0</v>
      </c>
      <c r="C15" s="35">
        <f>SUMIF(F1!$N$10:$N$1808,$A15,F1!$I$10:$I$1808)</f>
        <v>0</v>
      </c>
      <c r="D15" s="36">
        <f>SUMIF(F1!$N$10:$N$1808,$A15,F1!$K$10:$K$1808)</f>
        <v>0</v>
      </c>
      <c r="E15" s="36">
        <f>SUMIF(F1!$N$10:$N$1808,$A15,F1!$L$10:$L$1808)</f>
        <v>0</v>
      </c>
      <c r="F15" s="36">
        <f>SUMIF(F1!$N$10:$N$1808,$A15,F1!$M$10:$M$1808)</f>
        <v>0</v>
      </c>
      <c r="G15" s="46">
        <f>IFERROR($D15/SUM($D$13:$D$28),0)</f>
        <v>0</v>
      </c>
    </row>
    <row r="16" spans="1:7">
      <c r="A16" s="52" t="s">
        <v>124</v>
      </c>
      <c r="B16" s="36">
        <f>COUNTIF(F1!$N$10:$N$1808,$A16)</f>
        <v>0</v>
      </c>
      <c r="C16" s="35">
        <f>SUMIF(F1!$N$10:$N$1808,$A16,F1!$I$10:$I$1808)</f>
        <v>0</v>
      </c>
      <c r="D16" s="36">
        <f>SUMIF(F1!$N$10:$N$1808,$A16,F1!$K$10:$K$1808)</f>
        <v>0</v>
      </c>
      <c r="E16" s="36">
        <f>SUMIF(F1!$N$10:$N$1808,$A16,F1!$L$10:$L$1808)</f>
        <v>0</v>
      </c>
      <c r="F16" s="36">
        <f>SUMIF(F1!$N$10:$N$1808,$A16,F1!$M$10:$M$1808)</f>
        <v>0</v>
      </c>
      <c r="G16" s="46">
        <f>IFERROR($D16/SUM($D$13:$D$28),0)</f>
        <v>0</v>
      </c>
    </row>
    <row r="17" spans="1:7">
      <c r="A17" s="52" t="s">
        <v>125</v>
      </c>
      <c r="B17" s="36">
        <f>COUNTIF(F1!$N$10:$N$1808,$A17)</f>
        <v>0</v>
      </c>
      <c r="C17" s="35">
        <f>SUMIF(F1!$N$10:$N$1808,$A17,F1!$I$10:$I$1808)</f>
        <v>0</v>
      </c>
      <c r="D17" s="36">
        <f>SUMIF(F1!$N$10:$N$1808,$A17,F1!$K$10:$K$1808)</f>
        <v>0</v>
      </c>
      <c r="E17" s="36">
        <f>SUMIF(F1!$N$10:$N$1808,$A17,F1!$L$10:$L$1808)</f>
        <v>0</v>
      </c>
      <c r="F17" s="36">
        <f>SUMIF(F1!$N$10:$N$1808,$A17,F1!$M$10:$M$1808)</f>
        <v>0</v>
      </c>
      <c r="G17" s="46">
        <f>IFERROR($D17/SUM($D$13:$D$28),0)</f>
        <v>0</v>
      </c>
    </row>
    <row r="18" spans="1:7">
      <c r="A18" s="52" t="s">
        <v>126</v>
      </c>
      <c r="B18" s="36">
        <f>COUNTIF(F1!$N$10:$N$1808,$A18)</f>
        <v>0</v>
      </c>
      <c r="C18" s="35">
        <f>SUMIF(F1!$N$10:$N$1808,$A18,F1!$I$10:$I$1808)</f>
        <v>0</v>
      </c>
      <c r="D18" s="36">
        <f>SUMIF(F1!$N$10:$N$1808,$A18,F1!$K$10:$K$1808)</f>
        <v>0</v>
      </c>
      <c r="E18" s="36">
        <f>SUMIF(F1!$N$10:$N$1808,$A18,F1!$L$10:$L$1808)</f>
        <v>0</v>
      </c>
      <c r="F18" s="36">
        <f>SUMIF(F1!$N$10:$N$1808,$A18,F1!$M$10:$M$1808)</f>
        <v>0</v>
      </c>
      <c r="G18" s="46">
        <f>IFERROR($D18/SUM($D$13:$D$28),0)</f>
        <v>0</v>
      </c>
    </row>
    <row r="19" spans="1:7">
      <c r="A19" s="52" t="s">
        <v>127</v>
      </c>
      <c r="B19" s="36">
        <f>COUNTIF(F1!$N$10:$N$1808,$A19)</f>
        <v>0</v>
      </c>
      <c r="C19" s="35">
        <f>SUMIF(F1!$N$10:$N$1808,$A19,F1!$I$10:$I$1808)</f>
        <v>0</v>
      </c>
      <c r="D19" s="36">
        <f>SUMIF(F1!$N$10:$N$1808,$A19,F1!$K$10:$K$1808)</f>
        <v>0</v>
      </c>
      <c r="E19" s="36">
        <f>SUMIF(F1!$N$10:$N$1808,$A19,F1!$L$10:$L$1808)</f>
        <v>0</v>
      </c>
      <c r="F19" s="36">
        <f>SUMIF(F1!$N$10:$N$1808,$A19,F1!$M$10:$M$1808)</f>
        <v>0</v>
      </c>
      <c r="G19" s="46">
        <f>IFERROR($D19/SUM($D$13:$D$28),0)</f>
        <v>0</v>
      </c>
    </row>
    <row r="20" spans="1:7">
      <c r="A20" s="52" t="s">
        <v>128</v>
      </c>
      <c r="B20" s="36">
        <f>COUNTIF(F1!$N$10:$N$1808,$A20)</f>
        <v>0</v>
      </c>
      <c r="C20" s="35">
        <f>SUMIF(F1!$N$10:$N$1808,$A20,F1!$I$10:$I$1808)</f>
        <v>0</v>
      </c>
      <c r="D20" s="36">
        <f>SUMIF(F1!$N$10:$N$1808,$A20,F1!$K$10:$K$1808)</f>
        <v>0</v>
      </c>
      <c r="E20" s="36">
        <f>SUMIF(F1!$N$10:$N$1808,$A20,F1!$L$10:$L$1808)</f>
        <v>0</v>
      </c>
      <c r="F20" s="36">
        <f>SUMIF(F1!$N$10:$N$1808,$A20,F1!$M$10:$M$1808)</f>
        <v>0</v>
      </c>
      <c r="G20" s="46">
        <f>IFERROR($D20/SUM($D$13:$D$28),0)</f>
        <v>0</v>
      </c>
    </row>
    <row r="21" spans="1:7">
      <c r="A21" s="52" t="s">
        <v>129</v>
      </c>
      <c r="B21" s="36">
        <f>COUNTIF(F1!$N$10:$N$1808,$A21)</f>
        <v>0</v>
      </c>
      <c r="C21" s="35">
        <f>SUMIF(F1!$N$10:$N$1808,$A21,F1!$I$10:$I$1808)</f>
        <v>0</v>
      </c>
      <c r="D21" s="36">
        <f>SUMIF(F1!$N$10:$N$1808,$A21,F1!$K$10:$K$1808)</f>
        <v>0</v>
      </c>
      <c r="E21" s="36">
        <f>SUMIF(F1!$N$10:$N$1808,$A21,F1!$L$10:$L$1808)</f>
        <v>0</v>
      </c>
      <c r="F21" s="36">
        <f>SUMIF(F1!$N$10:$N$1808,$A21,F1!$M$10:$M$1808)</f>
        <v>0</v>
      </c>
      <c r="G21" s="46">
        <f>IFERROR($D21/SUM($D$13:$D$28),0)</f>
        <v>0</v>
      </c>
    </row>
    <row r="22" spans="1:7">
      <c r="A22" s="52" t="s">
        <v>130</v>
      </c>
      <c r="B22" s="36">
        <f>COUNTIF(F1!$N$10:$N$1808,$A22)</f>
        <v>0</v>
      </c>
      <c r="C22" s="35">
        <f>SUMIF(F1!$N$10:$N$1808,$A22,F1!$I$10:$I$1808)</f>
        <v>0</v>
      </c>
      <c r="D22" s="36">
        <f>SUMIF(F1!$N$10:$N$1808,$A22,F1!$K$10:$K$1808)</f>
        <v>0</v>
      </c>
      <c r="E22" s="36">
        <f>SUMIF(F1!$N$10:$N$1808,$A22,F1!$L$10:$L$1808)</f>
        <v>0</v>
      </c>
      <c r="F22" s="36">
        <f>SUMIF(F1!$N$10:$N$1808,$A22,F1!$M$10:$M$1808)</f>
        <v>0</v>
      </c>
      <c r="G22" s="46">
        <f>IFERROR($D22/SUM($D$13:$D$28),0)</f>
        <v>0</v>
      </c>
    </row>
    <row r="23" spans="1:7">
      <c r="A23" s="52" t="s">
        <v>131</v>
      </c>
      <c r="B23" s="36">
        <f>COUNTIF(F1!$N$10:$N$1808,$A23)</f>
        <v>0</v>
      </c>
      <c r="C23" s="35">
        <f>SUMIF(F1!$N$10:$N$1808,$A23,F1!$I$10:$I$1808)</f>
        <v>0</v>
      </c>
      <c r="D23" s="36">
        <f>SUMIF(F1!$N$10:$N$1808,$A23,F1!$K$10:$K$1808)</f>
        <v>0</v>
      </c>
      <c r="E23" s="36">
        <f>SUMIF(F1!$N$10:$N$1808,$A23,F1!$L$10:$L$1808)</f>
        <v>0</v>
      </c>
      <c r="F23" s="36">
        <f>SUMIF(F1!$N$10:$N$1808,$A23,F1!$M$10:$M$1808)</f>
        <v>0</v>
      </c>
      <c r="G23" s="46">
        <f>IFERROR($D23/SUM($D$13:$D$28),0)</f>
        <v>0</v>
      </c>
    </row>
    <row r="24" spans="1:7">
      <c r="A24" s="52" t="s">
        <v>132</v>
      </c>
      <c r="B24" s="36">
        <f>COUNTIF(F1!$N$10:$N$1808,$A24)</f>
        <v>0</v>
      </c>
      <c r="C24" s="35">
        <f>SUMIF(F1!$N$10:$N$1808,$A24,F1!$I$10:$I$1808)</f>
        <v>0</v>
      </c>
      <c r="D24" s="36">
        <f>SUMIF(F1!$N$10:$N$1808,$A24,F1!$K$10:$K$1808)</f>
        <v>0</v>
      </c>
      <c r="E24" s="36">
        <f>SUMIF(F1!$N$10:$N$1808,$A24,F1!$L$10:$L$1808)</f>
        <v>0</v>
      </c>
      <c r="F24" s="36">
        <f>SUMIF(F1!$N$10:$N$1808,$A24,F1!$M$10:$M$1808)</f>
        <v>0</v>
      </c>
      <c r="G24" s="46">
        <f>IFERROR($D24/SUM($D$13:$D$28),0)</f>
        <v>0</v>
      </c>
    </row>
    <row r="25" spans="1:7">
      <c r="A25" s="52" t="s">
        <v>133</v>
      </c>
      <c r="B25" s="36">
        <f>COUNTIF(F1!$N$10:$N$1808,$A25)</f>
        <v>0</v>
      </c>
      <c r="C25" s="35">
        <f>SUMIF(F1!$N$10:$N$1808,$A25,F1!$I$10:$I$1808)</f>
        <v>0</v>
      </c>
      <c r="D25" s="36">
        <f>SUMIF(F1!$N$10:$N$1808,$A25,F1!$K$10:$K$1808)</f>
        <v>0</v>
      </c>
      <c r="E25" s="36">
        <f>SUMIF(F1!$N$10:$N$1808,$A25,F1!$L$10:$L$1808)</f>
        <v>0</v>
      </c>
      <c r="F25" s="36">
        <f>SUMIF(F1!$N$10:$N$1808,$A25,F1!$M$10:$M$1808)</f>
        <v>0</v>
      </c>
      <c r="G25" s="46">
        <f>IFERROR($D25/SUM($D$13:$D$28),0)</f>
        <v>0</v>
      </c>
    </row>
    <row r="26" spans="1:7">
      <c r="A26" s="52" t="s">
        <v>134</v>
      </c>
      <c r="B26" s="36">
        <f>COUNTIF(F1!$N$10:$N$1808,$A26)</f>
        <v>0</v>
      </c>
      <c r="C26" s="35">
        <f>SUMIF(F1!$N$10:$N$1808,$A26,F1!$I$10:$I$1808)</f>
        <v>0</v>
      </c>
      <c r="D26" s="36">
        <f>SUMIF(F1!$N$10:$N$1808,$A26,F1!$K$10:$K$1808)</f>
        <v>0</v>
      </c>
      <c r="E26" s="36">
        <f>SUMIF(F1!$N$10:$N$1808,$A26,F1!$L$10:$L$1808)</f>
        <v>0</v>
      </c>
      <c r="F26" s="36">
        <f>SUMIF(F1!$N$10:$N$1808,$A26,F1!$M$10:$M$1808)</f>
        <v>0</v>
      </c>
      <c r="G26" s="46">
        <f>IFERROR($D26/SUM($D$13:$D$28),0)</f>
        <v>0</v>
      </c>
    </row>
    <row r="27" spans="1:7">
      <c r="A27" s="52" t="s">
        <v>135</v>
      </c>
      <c r="B27" s="36">
        <f>COUNTIF(F1!$N$10:$N$1808,$A27)</f>
        <v>0</v>
      </c>
      <c r="C27" s="35">
        <f>SUMIF(F1!$N$10:$N$1808,$A27,F1!$I$10:$I$1808)</f>
        <v>0</v>
      </c>
      <c r="D27" s="36">
        <f>SUMIF(F1!$N$10:$N$1808,$A27,F1!$K$10:$K$1808)</f>
        <v>0</v>
      </c>
      <c r="E27" s="36">
        <f>SUMIF(F1!$N$10:$N$1808,$A27,F1!$L$10:$L$1808)</f>
        <v>0</v>
      </c>
      <c r="F27" s="36">
        <f>SUMIF(F1!$N$10:$N$1808,$A27,F1!$M$10:$M$1808)</f>
        <v>0</v>
      </c>
      <c r="G27" s="46">
        <f>IFERROR($D27/SUM($D$13:$D$28),0)</f>
        <v>0</v>
      </c>
    </row>
    <row r="28" spans="1:7">
      <c r="A28" s="52" t="s">
        <v>136</v>
      </c>
      <c r="B28" s="36">
        <f>COUNTIF(F1!$N$10:$N$1808,$A28)</f>
        <v>0</v>
      </c>
      <c r="C28" s="35">
        <f>SUMIF(F1!$N$10:$N$1808,$A28,F1!$I$10:$I$1808)</f>
        <v>0</v>
      </c>
      <c r="D28" s="36">
        <f>SUMIF(F1!$N$10:$N$1808,$A28,F1!$K$10:$K$1808)</f>
        <v>0</v>
      </c>
      <c r="E28" s="36">
        <f>SUMIF(F1!$N$10:$N$1808,$A28,F1!$L$10:$L$1808)</f>
        <v>0</v>
      </c>
      <c r="F28" s="36">
        <f>SUMIF(F1!$N$10:$N$1808,$A28,F1!$M$10:$M$1808)</f>
        <v>0</v>
      </c>
      <c r="G28" s="46">
        <f>IFERROR($D28/SUM($D$13:$D$28),0)</f>
        <v>0</v>
      </c>
    </row>
  </sheetData>
  <mergeCells count="9">
    <mergeCell ref="A2:G2"/>
    <mergeCell ref="A3:G3"/>
    <mergeCell ref="A4:G4"/>
    <mergeCell ref="A7:B7"/>
    <mergeCell ref="A8:B8"/>
    <mergeCell ref="C7:D7"/>
    <mergeCell ref="C8:D8"/>
    <mergeCell ref="E7:F7"/>
    <mergeCell ref="E8:F8"/>
  </mergeCell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8"/>
  <sheetViews>
    <sheetView showGridLines="0" rightToLeft="1" zoomScale="85" zoomScaleNormal="85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/>
    </sheetView>
  </sheetViews>
  <sheetFormatPr defaultRowHeight="15"/>
  <cols>
    <col min="1" max="1" width="10.7109375" customWidth="1"/>
    <col min="2" max="2" width="26.7109375" customWidth="1"/>
    <col min="3" max="3" width="14.7109375" customWidth="1"/>
    <col min="4" max="6" width="16.7109375" customWidth="1"/>
  </cols>
  <sheetData>
    <row r="1" spans="1:6" ht="6" customHeight="1">
      <c r="A1" s="1"/>
      <c r="B1" s="1"/>
      <c r="C1" s="1"/>
      <c r="D1" s="1"/>
      <c r="E1" s="1"/>
      <c r="F1" s="1"/>
    </row>
    <row r="2" spans="1:6" ht="18" customHeight="1">
      <c r="A2" s="2" t="s">
        <v>0</v>
      </c>
      <c r="B2" s="2"/>
      <c r="C2" s="2"/>
      <c r="D2" s="2"/>
      <c r="E2" s="2"/>
      <c r="F2" s="2"/>
    </row>
    <row r="3" spans="1:6" ht="38.25" customHeight="1">
      <c r="A3" s="3" t="s">
        <v>137</v>
      </c>
      <c r="B3" s="3"/>
      <c r="C3" s="3"/>
      <c r="D3" s="3"/>
      <c r="E3" s="3"/>
      <c r="F3" s="3"/>
    </row>
    <row r="4" spans="1:6" ht="21.75" customHeight="1">
      <c r="A4" s="4" t="s">
        <v>138</v>
      </c>
      <c r="B4" s="4"/>
      <c r="C4" s="4"/>
      <c r="D4" s="4"/>
      <c r="E4" s="4"/>
      <c r="F4" s="4"/>
    </row>
    <row r="5" spans="1:6" ht="3.75" customHeight="1">
      <c r="A5" s="5"/>
      <c r="B5" s="5"/>
      <c r="C5" s="5"/>
      <c r="D5" s="5"/>
      <c r="E5" s="5"/>
      <c r="F5" s="5"/>
    </row>
    <row r="12" spans="1:6" ht="27.75" customHeight="1">
      <c r="A12" s="32" t="s">
        <v>139</v>
      </c>
      <c r="B12" s="32" t="s">
        <v>140</v>
      </c>
      <c r="C12" s="32" t="s">
        <v>141</v>
      </c>
      <c r="D12" s="32" t="s">
        <v>109</v>
      </c>
      <c r="E12" s="32" t="s">
        <v>110</v>
      </c>
      <c r="F12" s="32" t="s">
        <v>77</v>
      </c>
    </row>
    <row r="13" spans="1:6">
      <c r="A13" s="53" t="s">
        <v>142</v>
      </c>
      <c r="B13" s="54" t="s">
        <v>143</v>
      </c>
      <c r="C13" s="55" t="s">
        <v>144</v>
      </c>
      <c r="D13" s="36">
        <f>SUMIF(F1!$D$10:$D$1808,$A13,F1!$L$10:$L$1808)</f>
        <v>0</v>
      </c>
      <c r="E13" s="36">
        <f>SUMIF(F1!$D$10:$D$1808,$A13,F1!$M$10:$M$1808)</f>
        <v>0</v>
      </c>
      <c r="F13" s="37">
        <f>$D13-$E13</f>
        <v>0</v>
      </c>
    </row>
    <row r="14" spans="1:6">
      <c r="A14" s="53" t="s">
        <v>145</v>
      </c>
      <c r="B14" s="54" t="s">
        <v>146</v>
      </c>
      <c r="C14" s="55" t="s">
        <v>144</v>
      </c>
      <c r="D14" s="36">
        <f>SUMIF(F1!$D$10:$D$1808,$A14,F1!$L$10:$L$1808)</f>
        <v>0</v>
      </c>
      <c r="E14" s="36">
        <f>SUMIF(F1!$D$10:$D$1808,$A14,F1!$M$10:$M$1808)</f>
        <v>0</v>
      </c>
      <c r="F14" s="37">
        <f>$D14-$E14</f>
        <v>0</v>
      </c>
    </row>
    <row r="15" spans="1:6">
      <c r="A15" s="53" t="s">
        <v>147</v>
      </c>
      <c r="B15" s="54" t="s">
        <v>148</v>
      </c>
      <c r="C15" s="55" t="s">
        <v>144</v>
      </c>
      <c r="D15" s="36">
        <f>SUMIF(F1!$D$10:$D$1808,$A15,F1!$L$10:$L$1808)</f>
        <v>0</v>
      </c>
      <c r="E15" s="36">
        <f>SUMIF(F1!$D$10:$D$1808,$A15,F1!$M$10:$M$1808)</f>
        <v>0</v>
      </c>
      <c r="F15" s="37">
        <f>$D15-$E15</f>
        <v>0</v>
      </c>
    </row>
    <row r="16" spans="1:6">
      <c r="A16" s="53" t="s">
        <v>149</v>
      </c>
      <c r="B16" s="54" t="s">
        <v>150</v>
      </c>
      <c r="C16" s="55" t="s">
        <v>144</v>
      </c>
      <c r="D16" s="36">
        <f>SUMIF(F1!$D$10:$D$1808,$A16,F1!$L$10:$L$1808)</f>
        <v>0</v>
      </c>
      <c r="E16" s="36">
        <f>SUMIF(F1!$D$10:$D$1808,$A16,F1!$M$10:$M$1808)</f>
        <v>0</v>
      </c>
      <c r="F16" s="37">
        <f>$D16-$E16</f>
        <v>0</v>
      </c>
    </row>
    <row r="17" spans="1:6">
      <c r="A17" s="53" t="s">
        <v>151</v>
      </c>
      <c r="B17" s="54" t="s">
        <v>152</v>
      </c>
      <c r="C17" s="55" t="s">
        <v>144</v>
      </c>
      <c r="D17" s="36">
        <f>SUMIF(F1!$D$10:$D$1808,$A17,F1!$L$10:$L$1808)</f>
        <v>0</v>
      </c>
      <c r="E17" s="36">
        <f>SUMIF(F1!$D$10:$D$1808,$A17,F1!$M$10:$M$1808)</f>
        <v>0</v>
      </c>
      <c r="F17" s="37">
        <f>$D17-$E17</f>
        <v>0</v>
      </c>
    </row>
    <row r="18" spans="1:6">
      <c r="A18" s="53" t="s">
        <v>153</v>
      </c>
      <c r="B18" s="54" t="s">
        <v>154</v>
      </c>
      <c r="C18" s="55" t="s">
        <v>144</v>
      </c>
      <c r="D18" s="36">
        <f>SUMIF(F1!$D$10:$D$1808,$A18,F1!$L$10:$L$1808)</f>
        <v>0</v>
      </c>
      <c r="E18" s="36">
        <f>SUMIF(F1!$D$10:$D$1808,$A18,F1!$M$10:$M$1808)</f>
        <v>0</v>
      </c>
      <c r="F18" s="37">
        <f>$D18-$E18</f>
        <v>0</v>
      </c>
    </row>
    <row r="19" spans="1:6">
      <c r="A19" s="53" t="s">
        <v>155</v>
      </c>
      <c r="B19" s="54" t="s">
        <v>156</v>
      </c>
      <c r="C19" s="55" t="s">
        <v>144</v>
      </c>
      <c r="D19" s="36">
        <f>SUMIF(F1!$D$10:$D$1808,$A19,F1!$L$10:$L$1808)</f>
        <v>0</v>
      </c>
      <c r="E19" s="36">
        <f>SUMIF(F1!$D$10:$D$1808,$A19,F1!$M$10:$M$1808)</f>
        <v>0</v>
      </c>
      <c r="F19" s="37">
        <f>$D19-$E19</f>
        <v>0</v>
      </c>
    </row>
    <row r="20" spans="1:6">
      <c r="A20" s="53" t="s">
        <v>157</v>
      </c>
      <c r="B20" s="54" t="s">
        <v>158</v>
      </c>
      <c r="C20" s="55" t="s">
        <v>144</v>
      </c>
      <c r="D20" s="36">
        <f>SUMIF(F1!$D$10:$D$1808,$A20,F1!$L$10:$L$1808)</f>
        <v>0</v>
      </c>
      <c r="E20" s="36">
        <f>SUMIF(F1!$D$10:$D$1808,$A20,F1!$M$10:$M$1808)</f>
        <v>0</v>
      </c>
      <c r="F20" s="37">
        <f>$D20-$E20</f>
        <v>0</v>
      </c>
    </row>
    <row r="21" spans="1:6">
      <c r="A21" s="53" t="s">
        <v>159</v>
      </c>
      <c r="B21" s="54" t="s">
        <v>160</v>
      </c>
      <c r="C21" s="55" t="s">
        <v>144</v>
      </c>
      <c r="D21" s="36">
        <f>SUMIF(F1!$D$10:$D$1808,$A21,F1!$L$10:$L$1808)</f>
        <v>0</v>
      </c>
      <c r="E21" s="36">
        <f>SUMIF(F1!$D$10:$D$1808,$A21,F1!$M$10:$M$1808)</f>
        <v>0</v>
      </c>
      <c r="F21" s="37">
        <f>$D21-$E21</f>
        <v>0</v>
      </c>
    </row>
    <row r="22" spans="1:6">
      <c r="A22" s="53" t="s">
        <v>161</v>
      </c>
      <c r="B22" s="54" t="s">
        <v>162</v>
      </c>
      <c r="C22" s="55" t="s">
        <v>144</v>
      </c>
      <c r="D22" s="36">
        <f>SUMIF(F1!$D$10:$D$1808,$A22,F1!$L$10:$L$1808)</f>
        <v>0</v>
      </c>
      <c r="E22" s="36">
        <f>SUMIF(F1!$D$10:$D$1808,$A22,F1!$M$10:$M$1808)</f>
        <v>0</v>
      </c>
      <c r="F22" s="37">
        <f>$D22-$E22</f>
        <v>0</v>
      </c>
    </row>
    <row r="23" spans="1:6">
      <c r="A23" s="53" t="s">
        <v>163</v>
      </c>
      <c r="B23" s="54" t="s">
        <v>164</v>
      </c>
      <c r="C23" s="55" t="s">
        <v>165</v>
      </c>
      <c r="D23" s="36">
        <f>SUMIF(F1!$D$10:$D$1808,$A23,F1!$L$10:$L$1808)</f>
        <v>0</v>
      </c>
      <c r="E23" s="36">
        <f>SUMIF(F1!$D$10:$D$1808,$A23,F1!$M$10:$M$1808)</f>
        <v>0</v>
      </c>
      <c r="F23" s="37">
        <f>$D23-$E23</f>
        <v>0</v>
      </c>
    </row>
    <row r="24" spans="1:6">
      <c r="A24" s="53" t="s">
        <v>166</v>
      </c>
      <c r="B24" s="54" t="s">
        <v>167</v>
      </c>
      <c r="C24" s="55" t="s">
        <v>165</v>
      </c>
      <c r="D24" s="36">
        <f>SUMIF(F1!$D$10:$D$1808,$A24,F1!$L$10:$L$1808)</f>
        <v>0</v>
      </c>
      <c r="E24" s="36">
        <f>SUMIF(F1!$D$10:$D$1808,$A24,F1!$M$10:$M$1808)</f>
        <v>0</v>
      </c>
      <c r="F24" s="37">
        <f>$D24-$E24</f>
        <v>0</v>
      </c>
    </row>
    <row r="25" spans="1:6">
      <c r="A25" s="53" t="s">
        <v>168</v>
      </c>
      <c r="B25" s="54" t="s">
        <v>169</v>
      </c>
      <c r="C25" s="55" t="s">
        <v>165</v>
      </c>
      <c r="D25" s="36">
        <f>SUMIF(F1!$D$10:$D$1808,$A25,F1!$L$10:$L$1808)</f>
        <v>0</v>
      </c>
      <c r="E25" s="36">
        <f>SUMIF(F1!$D$10:$D$1808,$A25,F1!$M$10:$M$1808)</f>
        <v>0</v>
      </c>
      <c r="F25" s="37">
        <f>$D25-$E25</f>
        <v>0</v>
      </c>
    </row>
    <row r="26" spans="1:6">
      <c r="A26" s="53" t="s">
        <v>170</v>
      </c>
      <c r="B26" s="54" t="s">
        <v>171</v>
      </c>
      <c r="C26" s="55" t="s">
        <v>165</v>
      </c>
      <c r="D26" s="36">
        <f>SUMIF(F1!$D$10:$D$1808,$A26,F1!$L$10:$L$1808)</f>
        <v>0</v>
      </c>
      <c r="E26" s="36">
        <f>SUMIF(F1!$D$10:$D$1808,$A26,F1!$M$10:$M$1808)</f>
        <v>0</v>
      </c>
      <c r="F26" s="37">
        <f>$D26-$E26</f>
        <v>0</v>
      </c>
    </row>
    <row r="27" spans="1:6">
      <c r="A27" s="53" t="s">
        <v>172</v>
      </c>
      <c r="B27" s="54" t="s">
        <v>173</v>
      </c>
      <c r="C27" s="55" t="s">
        <v>165</v>
      </c>
      <c r="D27" s="36">
        <f>SUMIF(F1!$D$10:$D$1808,$A27,F1!$L$10:$L$1808)</f>
        <v>0</v>
      </c>
      <c r="E27" s="36">
        <f>SUMIF(F1!$D$10:$D$1808,$A27,F1!$M$10:$M$1808)</f>
        <v>0</v>
      </c>
      <c r="F27" s="37">
        <f>$D27-$E27</f>
        <v>0</v>
      </c>
    </row>
    <row r="28" spans="1:6">
      <c r="A28" s="53" t="s">
        <v>174</v>
      </c>
      <c r="B28" s="54" t="s">
        <v>175</v>
      </c>
      <c r="C28" s="55" t="s">
        <v>126</v>
      </c>
      <c r="D28" s="36">
        <f>SUMIF(F1!$D$10:$D$1808,$A28,F1!$L$10:$L$1808)</f>
        <v>0</v>
      </c>
      <c r="E28" s="36">
        <f>SUMIF(F1!$D$10:$D$1808,$A28,F1!$M$10:$M$1808)</f>
        <v>0</v>
      </c>
      <c r="F28" s="37">
        <f>$D28-$E28</f>
        <v>0</v>
      </c>
    </row>
  </sheetData>
  <mergeCells count="3">
    <mergeCell ref="A2:F2"/>
    <mergeCell ref="A3:F3"/>
    <mergeCell ref="A4:F4"/>
  </mergeCell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9:P1808"/>
  <sheetViews>
    <sheetView showGridLines="0" rightToLeft="1" zoomScale="85" zoomScaleNormal="85" workbookViewId="0"/>
  </sheetViews>
  <sheetFormatPr defaultRowHeight="15"/>
  <sheetData>
    <row r="9" spans="1:16">
      <c r="A9" s="13" t="s">
        <v>176</v>
      </c>
      <c r="B9" s="13" t="s">
        <v>177</v>
      </c>
      <c r="C9" s="13" t="s">
        <v>178</v>
      </c>
      <c r="D9" s="13" t="s">
        <v>179</v>
      </c>
      <c r="E9" s="13" t="s">
        <v>180</v>
      </c>
      <c r="F9" s="13" t="s">
        <v>181</v>
      </c>
      <c r="G9" s="13" t="s">
        <v>182</v>
      </c>
      <c r="H9" s="13" t="s">
        <v>183</v>
      </c>
      <c r="I9" s="13" t="s">
        <v>184</v>
      </c>
      <c r="J9" s="13" t="s">
        <v>185</v>
      </c>
      <c r="K9" s="13" t="s">
        <v>11</v>
      </c>
      <c r="L9" s="13" t="s">
        <v>186</v>
      </c>
      <c r="M9" s="13" t="s">
        <v>187</v>
      </c>
      <c r="N9" s="13" t="s">
        <v>188</v>
      </c>
      <c r="O9" s="13" t="s">
        <v>189</v>
      </c>
      <c r="P9" s="13" t="s">
        <v>9</v>
      </c>
    </row>
    <row r="10" spans="1:16">
      <c r="A10" s="16" t="str">
        <f>'[01_Entry.xlsx]Book'!A10</f>
        <v>1405/07/01</v>
      </c>
      <c r="B10" s="16" t="str">
        <f>'[01_Entry.xlsx]Book'!B10</f>
        <v>BS-001</v>
      </c>
      <c r="C10" s="16" t="str">
        <f>'[01_Entry.xlsx]Book'!C10</f>
        <v>باسکول</v>
      </c>
      <c r="D10" s="16" t="str">
        <f>'[01_Entry.xlsx]Book'!D10</f>
        <v>C001</v>
      </c>
      <c r="F10" s="16" t="str">
        <f>'[01_Entry.xlsx]Book'!F10</f>
        <v>نارنگی پیچ</v>
      </c>
      <c r="G10" s="15">
        <f>'[01_Entry.xlsx]Book'!G10</f>
        <v>139.0</v>
      </c>
      <c r="H10" s="15">
        <f>'[01_Entry.xlsx]Book'!H10</f>
        <v>2290.0</v>
      </c>
      <c r="I10" s="15">
        <f>'[01_Entry.xlsx]Book'!I10</f>
        <v>2005.641</v>
      </c>
      <c r="J10" s="16" t="str">
        <f>'[01_Entry.xlsx]Book'!J10</f>
        <v>32000</v>
      </c>
      <c r="K10" s="15">
        <f>'[01_Entry.xlsx]Book'!K10</f>
        <v>64181000.0</v>
      </c>
      <c r="L10" s="15">
        <f>'[01_Entry.xlsx]Book'!L10</f>
        <v>0.0</v>
      </c>
      <c r="M10" s="15">
        <f>'[01_Entry.xlsx]Book'!M10</f>
        <v>64181000.0</v>
      </c>
      <c r="N10" s="16" t="str">
        <f>'[01_Entry.xlsx]Book'!N10</f>
        <v>خرید مرکبات</v>
      </c>
      <c r="O10" s="16" t="str">
        <f>'[01_Entry.xlsx]Book'!O10</f>
        <v>باغدار</v>
      </c>
      <c r="P10" s="56">
        <f>IF($A10="","",IFERROR(VALUE(MID($A10,6,2)),""))</f>
        <v>7</v>
      </c>
    </row>
    <row r="11" spans="1:16">
      <c r="A11" s="16" t="str">
        <f>'[01_Entry.xlsx]Book'!A11</f>
        <v>1405/07/01</v>
      </c>
      <c r="B11" s="16" t="str">
        <f>'[01_Entry.xlsx]Book'!B11</f>
        <v>BS-001</v>
      </c>
      <c r="C11" s="16" t="str">
        <f>'[01_Entry.xlsx]Book'!C11</f>
        <v>باسکول</v>
      </c>
      <c r="D11" s="16" t="str">
        <f>'[01_Entry.xlsx]Book'!D11</f>
        <v>X004</v>
      </c>
      <c r="E11" s="16" t="str">
        <f>'[01_Entry.xlsx]Book'!E11</f>
        <v>مقابل: خرید مرکبات</v>
      </c>
      <c r="G11" s="15">
        <f>'[01_Entry.xlsx]Book'!G11</f>
        <v>0.0</v>
      </c>
      <c r="H11" s="15">
        <f>'[01_Entry.xlsx]Book'!H11</f>
        <v>0.0</v>
      </c>
      <c r="I11" s="15">
        <f>'[01_Entry.xlsx]Book'!I11</f>
        <v>0.0</v>
      </c>
      <c r="K11" s="15">
        <f>'[01_Entry.xlsx]Book'!K11</f>
        <v>64181000.0</v>
      </c>
      <c r="L11" s="15">
        <f>'[01_Entry.xlsx]Book'!L11</f>
        <v>64181000.0</v>
      </c>
      <c r="M11" s="15">
        <f>'[01_Entry.xlsx]Book'!M11</f>
        <v>0.0</v>
      </c>
      <c r="N11" s="16" t="str">
        <f>'[01_Entry.xlsx]Book'!N11</f>
        <v>مقابل</v>
      </c>
      <c r="O11" s="16" t="str">
        <f>'[01_Entry.xlsx]Book'!O11</f>
        <v>سایر حساب</v>
      </c>
      <c r="P11" s="56">
        <f>IF($A11="","",IFERROR(VALUE(MID($A11,6,2)),""))</f>
        <v>7</v>
      </c>
    </row>
    <row r="12" spans="1:16">
      <c r="G12" s="15">
        <f>'[01_Entry.xlsx]Book'!G12</f>
        <v>0.0</v>
      </c>
      <c r="H12" s="15">
        <f>'[01_Entry.xlsx]Book'!H12</f>
        <v>0.0</v>
      </c>
      <c r="I12" s="15">
        <f>'[01_Entry.xlsx]Book'!I12</f>
        <v>0.0</v>
      </c>
      <c r="K12" s="15">
        <f>'[01_Entry.xlsx]Book'!K12</f>
        <v>0.0</v>
      </c>
      <c r="L12" s="15">
        <f>'[01_Entry.xlsx]Book'!L12</f>
        <v>0.0</v>
      </c>
      <c r="M12" s="15">
        <f>'[01_Entry.xlsx]Book'!M12</f>
        <v>0.0</v>
      </c>
      <c r="P12" s="56">
        <f>IF($A12="","",IFERROR(VALUE(MID($A12,6,2)),""))</f>
        <v/>
      </c>
    </row>
    <row r="13" spans="1:16">
      <c r="G13" s="15">
        <f>'[01_Entry.xlsx]Book'!G13</f>
        <v>0.0</v>
      </c>
      <c r="H13" s="15">
        <f>'[01_Entry.xlsx]Book'!H13</f>
        <v>0.0</v>
      </c>
      <c r="I13" s="15">
        <f>'[01_Entry.xlsx]Book'!I13</f>
        <v>0.0</v>
      </c>
      <c r="K13" s="15">
        <f>'[01_Entry.xlsx]Book'!K13</f>
        <v>0.0</v>
      </c>
      <c r="L13" s="15">
        <f>'[01_Entry.xlsx]Book'!L13</f>
        <v>0.0</v>
      </c>
      <c r="M13" s="15">
        <f>'[01_Entry.xlsx]Book'!M13</f>
        <v>0.0</v>
      </c>
      <c r="P13" s="56">
        <f>IF($A13="","",IFERROR(VALUE(MID($A13,6,2)),""))</f>
        <v/>
      </c>
    </row>
    <row r="14" spans="1:16">
      <c r="A14" s="16" t="str">
        <f>'[01_Entry.xlsx]Book'!A14</f>
        <v>1405/07/01</v>
      </c>
      <c r="B14" s="16" t="str">
        <f>'[01_Entry.xlsx]Book'!B14</f>
        <v>BS-002</v>
      </c>
      <c r="C14" s="16" t="str">
        <f>'[01_Entry.xlsx]Book'!C14</f>
        <v>باسکول</v>
      </c>
      <c r="D14" s="16" t="str">
        <f>'[01_Entry.xlsx]Book'!D14</f>
        <v>C003</v>
      </c>
      <c r="F14" s="16" t="str">
        <f>'[01_Entry.xlsx]Book'!F14</f>
        <v>پرتقال تامسون</v>
      </c>
      <c r="G14" s="15">
        <f>'[01_Entry.xlsx]Book'!G14</f>
        <v>53.0</v>
      </c>
      <c r="H14" s="15">
        <f>'[01_Entry.xlsx]Book'!H14</f>
        <v>910.0</v>
      </c>
      <c r="I14" s="15">
        <f>'[01_Entry.xlsx]Book'!I14</f>
        <v>822.1949999999999</v>
      </c>
      <c r="J14" s="16" t="str">
        <f>'[01_Entry.xlsx]Book'!J14</f>
        <v>35000</v>
      </c>
      <c r="K14" s="15">
        <f>'[01_Entry.xlsx]Book'!K14</f>
        <v>28777000.0</v>
      </c>
      <c r="L14" s="15">
        <f>'[01_Entry.xlsx]Book'!L14</f>
        <v>0.0</v>
      </c>
      <c r="M14" s="15">
        <f>'[01_Entry.xlsx]Book'!M14</f>
        <v>28777000.0</v>
      </c>
      <c r="N14" s="16" t="str">
        <f>'[01_Entry.xlsx]Book'!N14</f>
        <v>خرید مرکبات</v>
      </c>
      <c r="O14" s="16" t="str">
        <f>'[01_Entry.xlsx]Book'!O14</f>
        <v>باغدار</v>
      </c>
      <c r="P14" s="56">
        <f>IF($A14="","",IFERROR(VALUE(MID($A14,6,2)),""))</f>
        <v>7</v>
      </c>
    </row>
    <row r="15" spans="1:16">
      <c r="A15" s="16" t="str">
        <f>'[01_Entry.xlsx]Book'!A15</f>
        <v>1405/07/01</v>
      </c>
      <c r="B15" s="16" t="str">
        <f>'[01_Entry.xlsx]Book'!B15</f>
        <v>BS-002</v>
      </c>
      <c r="C15" s="16" t="str">
        <f>'[01_Entry.xlsx]Book'!C15</f>
        <v>باسکول</v>
      </c>
      <c r="D15" s="16" t="str">
        <f>'[01_Entry.xlsx]Book'!D15</f>
        <v>X004</v>
      </c>
      <c r="E15" s="16" t="str">
        <f>'[01_Entry.xlsx]Book'!E15</f>
        <v>مقابل: خرید مرکبات</v>
      </c>
      <c r="G15" s="15">
        <f>'[01_Entry.xlsx]Book'!G15</f>
        <v>0.0</v>
      </c>
      <c r="H15" s="15">
        <f>'[01_Entry.xlsx]Book'!H15</f>
        <v>0.0</v>
      </c>
      <c r="I15" s="15">
        <f>'[01_Entry.xlsx]Book'!I15</f>
        <v>0.0</v>
      </c>
      <c r="K15" s="15">
        <f>'[01_Entry.xlsx]Book'!K15</f>
        <v>28777000.0</v>
      </c>
      <c r="L15" s="15">
        <f>'[01_Entry.xlsx]Book'!L15</f>
        <v>28777000.0</v>
      </c>
      <c r="M15" s="15">
        <f>'[01_Entry.xlsx]Book'!M15</f>
        <v>0.0</v>
      </c>
      <c r="N15" s="16" t="str">
        <f>'[01_Entry.xlsx]Book'!N15</f>
        <v>مقابل</v>
      </c>
      <c r="O15" s="16" t="str">
        <f>'[01_Entry.xlsx]Book'!O15</f>
        <v>سایر حساب</v>
      </c>
      <c r="P15" s="56">
        <f>IF($A15="","",IFERROR(VALUE(MID($A15,6,2)),""))</f>
        <v>7</v>
      </c>
    </row>
    <row r="16" spans="1:16">
      <c r="G16" s="15">
        <f>'[01_Entry.xlsx]Book'!G16</f>
        <v>0.0</v>
      </c>
      <c r="H16" s="15">
        <f>'[01_Entry.xlsx]Book'!H16</f>
        <v>0.0</v>
      </c>
      <c r="I16" s="15">
        <f>'[01_Entry.xlsx]Book'!I16</f>
        <v>0.0</v>
      </c>
      <c r="K16" s="15">
        <f>'[01_Entry.xlsx]Book'!K16</f>
        <v>0.0</v>
      </c>
      <c r="L16" s="15">
        <f>'[01_Entry.xlsx]Book'!L16</f>
        <v>0.0</v>
      </c>
      <c r="M16" s="15">
        <f>'[01_Entry.xlsx]Book'!M16</f>
        <v>0.0</v>
      </c>
      <c r="P16" s="56">
        <f>IF($A16="","",IFERROR(VALUE(MID($A16,6,2)),""))</f>
        <v/>
      </c>
    </row>
    <row r="17" spans="1:16">
      <c r="G17" s="15">
        <f>'[01_Entry.xlsx]Book'!G17</f>
        <v>0.0</v>
      </c>
      <c r="H17" s="15">
        <f>'[01_Entry.xlsx]Book'!H17</f>
        <v>0.0</v>
      </c>
      <c r="I17" s="15">
        <f>'[01_Entry.xlsx]Book'!I17</f>
        <v>0.0</v>
      </c>
      <c r="K17" s="15">
        <f>'[01_Entry.xlsx]Book'!K17</f>
        <v>0.0</v>
      </c>
      <c r="L17" s="15">
        <f>'[01_Entry.xlsx]Book'!L17</f>
        <v>0.0</v>
      </c>
      <c r="M17" s="15">
        <f>'[01_Entry.xlsx]Book'!M17</f>
        <v>0.0</v>
      </c>
      <c r="P17" s="56">
        <f>IF($A17="","",IFERROR(VALUE(MID($A17,6,2)),""))</f>
        <v/>
      </c>
    </row>
    <row r="18" spans="1:16">
      <c r="A18" s="16" t="str">
        <f>'[01_Entry.xlsx]Book'!A18</f>
        <v>1405/07/02</v>
      </c>
      <c r="B18" s="16" t="str">
        <f>'[01_Entry.xlsx]Book'!B18</f>
        <v>BS-003</v>
      </c>
      <c r="C18" s="16" t="str">
        <f>'[01_Entry.xlsx]Book'!C18</f>
        <v>باسکول</v>
      </c>
      <c r="D18" s="16" t="str">
        <f>'[01_Entry.xlsx]Book'!D18</f>
        <v>C006</v>
      </c>
      <c r="E18" s="16" t="str">
        <f>'[01_Entry.xlsx]Book'!E18</f>
        <v>کرایه حمل ۵۰۰٬۰۰۰</v>
      </c>
      <c r="F18" s="16" t="str">
        <f>'[01_Entry.xlsx]Book'!F18</f>
        <v>نارنگی اونشو</v>
      </c>
      <c r="G18" s="15">
        <f>'[01_Entry.xlsx]Book'!G18</f>
        <v>85.0</v>
      </c>
      <c r="H18" s="15">
        <f>'[01_Entry.xlsx]Book'!H18</f>
        <v>1385.0</v>
      </c>
      <c r="I18" s="15">
        <f>'[01_Entry.xlsx]Book'!I18</f>
        <v>1244.925</v>
      </c>
      <c r="J18" s="16" t="str">
        <f>'[01_Entry.xlsx]Book'!J18</f>
        <v>30000</v>
      </c>
      <c r="K18" s="15">
        <f>'[01_Entry.xlsx]Book'!K18</f>
        <v>37848000.0</v>
      </c>
      <c r="L18" s="15">
        <f>'[01_Entry.xlsx]Book'!L18</f>
        <v>0.0</v>
      </c>
      <c r="M18" s="15">
        <f>'[01_Entry.xlsx]Book'!M18</f>
        <v>37848000.0</v>
      </c>
      <c r="N18" s="16" t="str">
        <f>'[01_Entry.xlsx]Book'!N18</f>
        <v>خرید مرکبات</v>
      </c>
      <c r="O18" s="16" t="str">
        <f>'[01_Entry.xlsx]Book'!O18</f>
        <v>باغدار</v>
      </c>
      <c r="P18" s="56">
        <f>IF($A18="","",IFERROR(VALUE(MID($A18,6,2)),""))</f>
        <v>7</v>
      </c>
    </row>
    <row r="19" spans="1:16">
      <c r="A19" s="16" t="str">
        <f>'[01_Entry.xlsx]Book'!A19</f>
        <v>1405/07/02</v>
      </c>
      <c r="B19" s="16" t="str">
        <f>'[01_Entry.xlsx]Book'!B19</f>
        <v>BS-003</v>
      </c>
      <c r="C19" s="16" t="str">
        <f>'[01_Entry.xlsx]Book'!C19</f>
        <v>باسکول</v>
      </c>
      <c r="D19" s="16" t="str">
        <f>'[01_Entry.xlsx]Book'!D19</f>
        <v>X004</v>
      </c>
      <c r="E19" s="16" t="str">
        <f>'[01_Entry.xlsx]Book'!E19</f>
        <v>مقابل: خرید مرکبات</v>
      </c>
      <c r="G19" s="15">
        <f>'[01_Entry.xlsx]Book'!G19</f>
        <v>0.0</v>
      </c>
      <c r="H19" s="15">
        <f>'[01_Entry.xlsx]Book'!H19</f>
        <v>0.0</v>
      </c>
      <c r="I19" s="15">
        <f>'[01_Entry.xlsx]Book'!I19</f>
        <v>0.0</v>
      </c>
      <c r="K19" s="15">
        <f>'[01_Entry.xlsx]Book'!K19</f>
        <v>37848000.0</v>
      </c>
      <c r="L19" s="15">
        <f>'[01_Entry.xlsx]Book'!L19</f>
        <v>37848000.0</v>
      </c>
      <c r="M19" s="15">
        <f>'[01_Entry.xlsx]Book'!M19</f>
        <v>0.0</v>
      </c>
      <c r="N19" s="16" t="str">
        <f>'[01_Entry.xlsx]Book'!N19</f>
        <v>مقابل</v>
      </c>
      <c r="O19" s="16" t="str">
        <f>'[01_Entry.xlsx]Book'!O19</f>
        <v>سایر حساب</v>
      </c>
      <c r="P19" s="56">
        <f>IF($A19="","",IFERROR(VALUE(MID($A19,6,2)),""))</f>
        <v>7</v>
      </c>
    </row>
    <row r="20" spans="1:16">
      <c r="G20" s="15">
        <f>'[01_Entry.xlsx]Book'!G20</f>
        <v>0.0</v>
      </c>
      <c r="H20" s="15">
        <f>'[01_Entry.xlsx]Book'!H20</f>
        <v>0.0</v>
      </c>
      <c r="I20" s="15">
        <f>'[01_Entry.xlsx]Book'!I20</f>
        <v>0.0</v>
      </c>
      <c r="K20" s="15">
        <f>'[01_Entry.xlsx]Book'!K20</f>
        <v>0.0</v>
      </c>
      <c r="L20" s="15">
        <f>'[01_Entry.xlsx]Book'!L20</f>
        <v>0.0</v>
      </c>
      <c r="M20" s="15">
        <f>'[01_Entry.xlsx]Book'!M20</f>
        <v>0.0</v>
      </c>
      <c r="P20" s="56">
        <f>IF($A20="","",IFERROR(VALUE(MID($A20,6,2)),""))</f>
        <v/>
      </c>
    </row>
    <row r="21" spans="1:16">
      <c r="G21" s="15">
        <f>'[01_Entry.xlsx]Book'!G21</f>
        <v>0.0</v>
      </c>
      <c r="H21" s="15">
        <f>'[01_Entry.xlsx]Book'!H21</f>
        <v>0.0</v>
      </c>
      <c r="I21" s="15">
        <f>'[01_Entry.xlsx]Book'!I21</f>
        <v>0.0</v>
      </c>
      <c r="K21" s="15">
        <f>'[01_Entry.xlsx]Book'!K21</f>
        <v>0.0</v>
      </c>
      <c r="L21" s="15">
        <f>'[01_Entry.xlsx]Book'!L21</f>
        <v>0.0</v>
      </c>
      <c r="M21" s="15">
        <f>'[01_Entry.xlsx]Book'!M21</f>
        <v>0.0</v>
      </c>
      <c r="P21" s="56">
        <f>IF($A21="","",IFERROR(VALUE(MID($A21,6,2)),""))</f>
        <v/>
      </c>
    </row>
    <row r="22" spans="1:16">
      <c r="A22" s="16" t="str">
        <f>'[01_Entry.xlsx]Book'!A22</f>
        <v>1405/07/02</v>
      </c>
      <c r="B22" s="16" t="str">
        <f>'[01_Entry.xlsx]Book'!B22</f>
        <v>BS-004</v>
      </c>
      <c r="C22" s="16" t="str">
        <f>'[01_Entry.xlsx]Book'!C22</f>
        <v>باسکول</v>
      </c>
      <c r="D22" s="16" t="str">
        <f>'[01_Entry.xlsx]Book'!D22</f>
        <v>C002</v>
      </c>
      <c r="F22" s="16" t="str">
        <f>'[01_Entry.xlsx]Book'!F22</f>
        <v>پرتقال خونی</v>
      </c>
      <c r="G22" s="15">
        <f>'[01_Entry.xlsx]Book'!G22</f>
        <v>36.0</v>
      </c>
      <c r="H22" s="15">
        <f>'[01_Entry.xlsx]Book'!H22</f>
        <v>605.0</v>
      </c>
      <c r="I22" s="15">
        <f>'[01_Entry.xlsx]Book'!I22</f>
        <v>531.234</v>
      </c>
      <c r="J22" s="16" t="str">
        <f>'[01_Entry.xlsx]Book'!J22</f>
        <v>38000</v>
      </c>
      <c r="K22" s="15">
        <f>'[01_Entry.xlsx]Book'!K22</f>
        <v>20187000.0</v>
      </c>
      <c r="L22" s="15">
        <f>'[01_Entry.xlsx]Book'!L22</f>
        <v>0.0</v>
      </c>
      <c r="M22" s="15">
        <f>'[01_Entry.xlsx]Book'!M22</f>
        <v>20187000.0</v>
      </c>
      <c r="N22" s="16" t="str">
        <f>'[01_Entry.xlsx]Book'!N22</f>
        <v>خرید مرکبات</v>
      </c>
      <c r="O22" s="16" t="str">
        <f>'[01_Entry.xlsx]Book'!O22</f>
        <v>باغدار</v>
      </c>
      <c r="P22" s="56">
        <f>IF($A22="","",IFERROR(VALUE(MID($A22,6,2)),""))</f>
        <v>7</v>
      </c>
    </row>
    <row r="23" spans="1:16">
      <c r="A23" s="16" t="str">
        <f>'[01_Entry.xlsx]Book'!A23</f>
        <v>1405/07/02</v>
      </c>
      <c r="B23" s="16" t="str">
        <f>'[01_Entry.xlsx]Book'!B23</f>
        <v>BS-004</v>
      </c>
      <c r="C23" s="16" t="str">
        <f>'[01_Entry.xlsx]Book'!C23</f>
        <v>باسکول</v>
      </c>
      <c r="D23" s="16" t="str">
        <f>'[01_Entry.xlsx]Book'!D23</f>
        <v>X004</v>
      </c>
      <c r="E23" s="16" t="str">
        <f>'[01_Entry.xlsx]Book'!E23</f>
        <v>مقابل: خرید مرکبات</v>
      </c>
      <c r="G23" s="15">
        <f>'[01_Entry.xlsx]Book'!G23</f>
        <v>0.0</v>
      </c>
      <c r="H23" s="15">
        <f>'[01_Entry.xlsx]Book'!H23</f>
        <v>0.0</v>
      </c>
      <c r="I23" s="15">
        <f>'[01_Entry.xlsx]Book'!I23</f>
        <v>0.0</v>
      </c>
      <c r="K23" s="15">
        <f>'[01_Entry.xlsx]Book'!K23</f>
        <v>20187000.0</v>
      </c>
      <c r="L23" s="15">
        <f>'[01_Entry.xlsx]Book'!L23</f>
        <v>20187000.0</v>
      </c>
      <c r="M23" s="15">
        <f>'[01_Entry.xlsx]Book'!M23</f>
        <v>0.0</v>
      </c>
      <c r="N23" s="16" t="str">
        <f>'[01_Entry.xlsx]Book'!N23</f>
        <v>مقابل</v>
      </c>
      <c r="O23" s="16" t="str">
        <f>'[01_Entry.xlsx]Book'!O23</f>
        <v>سایر حساب</v>
      </c>
      <c r="P23" s="56">
        <f>IF($A23="","",IFERROR(VALUE(MID($A23,6,2)),""))</f>
        <v>7</v>
      </c>
    </row>
    <row r="24" spans="1:16">
      <c r="G24" s="15">
        <f>'[01_Entry.xlsx]Book'!G24</f>
        <v>0.0</v>
      </c>
      <c r="H24" s="15">
        <f>'[01_Entry.xlsx]Book'!H24</f>
        <v>0.0</v>
      </c>
      <c r="I24" s="15">
        <f>'[01_Entry.xlsx]Book'!I24</f>
        <v>0.0</v>
      </c>
      <c r="K24" s="15">
        <f>'[01_Entry.xlsx]Book'!K24</f>
        <v>0.0</v>
      </c>
      <c r="L24" s="15">
        <f>'[01_Entry.xlsx]Book'!L24</f>
        <v>0.0</v>
      </c>
      <c r="M24" s="15">
        <f>'[01_Entry.xlsx]Book'!M24</f>
        <v>0.0</v>
      </c>
      <c r="P24" s="56">
        <f>IF($A24="","",IFERROR(VALUE(MID($A24,6,2)),""))</f>
        <v/>
      </c>
    </row>
    <row r="25" spans="1:16">
      <c r="G25" s="15">
        <f>'[01_Entry.xlsx]Book'!G25</f>
        <v>0.0</v>
      </c>
      <c r="H25" s="15">
        <f>'[01_Entry.xlsx]Book'!H25</f>
        <v>0.0</v>
      </c>
      <c r="I25" s="15">
        <f>'[01_Entry.xlsx]Book'!I25</f>
        <v>0.0</v>
      </c>
      <c r="K25" s="15">
        <f>'[01_Entry.xlsx]Book'!K25</f>
        <v>0.0</v>
      </c>
      <c r="L25" s="15">
        <f>'[01_Entry.xlsx]Book'!L25</f>
        <v>0.0</v>
      </c>
      <c r="M25" s="15">
        <f>'[01_Entry.xlsx]Book'!M25</f>
        <v>0.0</v>
      </c>
      <c r="P25" s="56">
        <f>IF($A25="","",IFERROR(VALUE(MID($A25,6,2)),""))</f>
        <v/>
      </c>
    </row>
    <row r="26" spans="1:16">
      <c r="A26" s="16" t="str">
        <f>'[01_Entry.xlsx]Book'!A26</f>
        <v>1405/07/03</v>
      </c>
      <c r="B26" s="16" t="str">
        <f>'[01_Entry.xlsx]Book'!B26</f>
        <v>BS-005</v>
      </c>
      <c r="C26" s="16" t="str">
        <f>'[01_Entry.xlsx]Book'!C26</f>
        <v>باسکول</v>
      </c>
      <c r="D26" s="16" t="str">
        <f>'[01_Entry.xlsx]Book'!D26</f>
        <v>C008</v>
      </c>
      <c r="F26" s="16" t="str">
        <f>'[01_Entry.xlsx]Book'!F26</f>
        <v>نارنگی ژاپنی</v>
      </c>
      <c r="G26" s="15">
        <f>'[01_Entry.xlsx]Book'!G26</f>
        <v>108.0</v>
      </c>
      <c r="H26" s="15">
        <f>'[01_Entry.xlsx]Book'!H26</f>
        <v>1762.0</v>
      </c>
      <c r="I26" s="15">
        <f>'[01_Entry.xlsx]Book'!I26</f>
        <v>1551.924</v>
      </c>
      <c r="J26" s="16" t="str">
        <f>'[01_Entry.xlsx]Book'!J26</f>
        <v>31000</v>
      </c>
      <c r="K26" s="15">
        <f>'[01_Entry.xlsx]Book'!K26</f>
        <v>48110000.0</v>
      </c>
      <c r="L26" s="15">
        <f>'[01_Entry.xlsx]Book'!L26</f>
        <v>0.0</v>
      </c>
      <c r="M26" s="15">
        <f>'[01_Entry.xlsx]Book'!M26</f>
        <v>48110000.0</v>
      </c>
      <c r="N26" s="16" t="str">
        <f>'[01_Entry.xlsx]Book'!N26</f>
        <v>خرید مرکبات</v>
      </c>
      <c r="O26" s="16" t="str">
        <f>'[01_Entry.xlsx]Book'!O26</f>
        <v>باغدار</v>
      </c>
      <c r="P26" s="56">
        <f>IF($A26="","",IFERROR(VALUE(MID($A26,6,2)),""))</f>
        <v>7</v>
      </c>
    </row>
    <row r="27" spans="1:16">
      <c r="A27" s="16" t="str">
        <f>'[01_Entry.xlsx]Book'!A27</f>
        <v>1405/07/03</v>
      </c>
      <c r="B27" s="16" t="str">
        <f>'[01_Entry.xlsx]Book'!B27</f>
        <v>BS-005</v>
      </c>
      <c r="C27" s="16" t="str">
        <f>'[01_Entry.xlsx]Book'!C27</f>
        <v>باسکول</v>
      </c>
      <c r="D27" s="16" t="str">
        <f>'[01_Entry.xlsx]Book'!D27</f>
        <v>X004</v>
      </c>
      <c r="E27" s="16" t="str">
        <f>'[01_Entry.xlsx]Book'!E27</f>
        <v>مقابل: خرید مرکبات</v>
      </c>
      <c r="G27" s="15">
        <f>'[01_Entry.xlsx]Book'!G27</f>
        <v>0.0</v>
      </c>
      <c r="H27" s="15">
        <f>'[01_Entry.xlsx]Book'!H27</f>
        <v>0.0</v>
      </c>
      <c r="I27" s="15">
        <f>'[01_Entry.xlsx]Book'!I27</f>
        <v>0.0</v>
      </c>
      <c r="K27" s="15">
        <f>'[01_Entry.xlsx]Book'!K27</f>
        <v>48110000.0</v>
      </c>
      <c r="L27" s="15">
        <f>'[01_Entry.xlsx]Book'!L27</f>
        <v>48110000.0</v>
      </c>
      <c r="M27" s="15">
        <f>'[01_Entry.xlsx]Book'!M27</f>
        <v>0.0</v>
      </c>
      <c r="N27" s="16" t="str">
        <f>'[01_Entry.xlsx]Book'!N27</f>
        <v>مقابل</v>
      </c>
      <c r="O27" s="16" t="str">
        <f>'[01_Entry.xlsx]Book'!O27</f>
        <v>سایر حساب</v>
      </c>
      <c r="P27" s="56">
        <f>IF($A27="","",IFERROR(VALUE(MID($A27,6,2)),""))</f>
        <v>7</v>
      </c>
    </row>
    <row r="28" spans="1:16">
      <c r="G28" s="15">
        <f>'[01_Entry.xlsx]Book'!G28</f>
        <v>0.0</v>
      </c>
      <c r="H28" s="15">
        <f>'[01_Entry.xlsx]Book'!H28</f>
        <v>0.0</v>
      </c>
      <c r="I28" s="15">
        <f>'[01_Entry.xlsx]Book'!I28</f>
        <v>0.0</v>
      </c>
      <c r="K28" s="15">
        <f>'[01_Entry.xlsx]Book'!K28</f>
        <v>0.0</v>
      </c>
      <c r="L28" s="15">
        <f>'[01_Entry.xlsx]Book'!L28</f>
        <v>0.0</v>
      </c>
      <c r="M28" s="15">
        <f>'[01_Entry.xlsx]Book'!M28</f>
        <v>0.0</v>
      </c>
      <c r="P28" s="56">
        <f>IF($A28="","",IFERROR(VALUE(MID($A28,6,2)),""))</f>
        <v/>
      </c>
    </row>
    <row r="29" spans="1:16">
      <c r="G29" s="15">
        <f>'[01_Entry.xlsx]Book'!G29</f>
        <v>0.0</v>
      </c>
      <c r="H29" s="15">
        <f>'[01_Entry.xlsx]Book'!H29</f>
        <v>0.0</v>
      </c>
      <c r="I29" s="15">
        <f>'[01_Entry.xlsx]Book'!I29</f>
        <v>0.0</v>
      </c>
      <c r="K29" s="15">
        <f>'[01_Entry.xlsx]Book'!K29</f>
        <v>0.0</v>
      </c>
      <c r="L29" s="15">
        <f>'[01_Entry.xlsx]Book'!L29</f>
        <v>0.0</v>
      </c>
      <c r="M29" s="15">
        <f>'[01_Entry.xlsx]Book'!M29</f>
        <v>0.0</v>
      </c>
      <c r="P29" s="56">
        <f>IF($A29="","",IFERROR(VALUE(MID($A29,6,2)),""))</f>
        <v/>
      </c>
    </row>
    <row r="30" spans="1:16">
      <c r="A30" s="16" t="str">
        <f>'[01_Entry.xlsx]Book'!A30</f>
        <v>1405/07/03</v>
      </c>
      <c r="B30" s="16" t="str">
        <f>'[01_Entry.xlsx]Book'!B30</f>
        <v>BS-006</v>
      </c>
      <c r="C30" s="16" t="str">
        <f>'[01_Entry.xlsx]Book'!C30</f>
        <v>باسکول</v>
      </c>
      <c r="D30" s="16" t="str">
        <f>'[01_Entry.xlsx]Book'!D30</f>
        <v>SL001</v>
      </c>
      <c r="E30" s="16" t="str">
        <f>'[01_Entry.xlsx]Book'!E30</f>
        <v>هزینه باسکول پوز</v>
      </c>
      <c r="F30" s="16" t="str">
        <f>'[01_Entry.xlsx]Book'!F30</f>
        <v>پرتقال تامسون</v>
      </c>
      <c r="G30" s="15">
        <f>'[01_Entry.xlsx]Book'!G30</f>
        <v>0.0</v>
      </c>
      <c r="H30" s="15">
        <f>'[01_Entry.xlsx]Book'!H30</f>
        <v>2500.0</v>
      </c>
      <c r="I30" s="15">
        <f>'[01_Entry.xlsx]Book'!I30</f>
        <v>2500.0</v>
      </c>
      <c r="J30" s="16" t="str">
        <f>'[01_Entry.xlsx]Book'!J30</f>
        <v>58000</v>
      </c>
      <c r="K30" s="15">
        <f>'[01_Entry.xlsx]Book'!K30</f>
        <v>145000000.0</v>
      </c>
      <c r="L30" s="15">
        <f>'[01_Entry.xlsx]Book'!L30</f>
        <v>145000000.0</v>
      </c>
      <c r="M30" s="15">
        <f>'[01_Entry.xlsx]Book'!M30</f>
        <v>0.0</v>
      </c>
      <c r="N30" s="16" t="str">
        <f>'[01_Entry.xlsx]Book'!N30</f>
        <v>فروش بار (بارفروش)</v>
      </c>
      <c r="O30" s="16" t="str">
        <f>'[01_Entry.xlsx]Book'!O30</f>
        <v>بارفروش</v>
      </c>
      <c r="P30" s="56">
        <f>IF($A30="","",IFERROR(VALUE(MID($A30,6,2)),""))</f>
        <v>7</v>
      </c>
    </row>
    <row r="31" spans="1:16">
      <c r="A31" s="16" t="str">
        <f>'[01_Entry.xlsx]Book'!A31</f>
        <v>1405/07/03</v>
      </c>
      <c r="B31" s="16" t="str">
        <f>'[01_Entry.xlsx]Book'!B31</f>
        <v>BS-006</v>
      </c>
      <c r="C31" s="16" t="str">
        <f>'[01_Entry.xlsx]Book'!C31</f>
        <v>باسکول</v>
      </c>
      <c r="D31" s="16" t="str">
        <f>'[01_Entry.xlsx]Book'!D31</f>
        <v>X006</v>
      </c>
      <c r="E31" s="16" t="str">
        <f>'[01_Entry.xlsx]Book'!E31</f>
        <v>مقابل: فروش بار (بارفروش)</v>
      </c>
      <c r="G31" s="15">
        <f>'[01_Entry.xlsx]Book'!G31</f>
        <v>0.0</v>
      </c>
      <c r="H31" s="15">
        <f>'[01_Entry.xlsx]Book'!H31</f>
        <v>0.0</v>
      </c>
      <c r="I31" s="15">
        <f>'[01_Entry.xlsx]Book'!I31</f>
        <v>0.0</v>
      </c>
      <c r="K31" s="15">
        <f>'[01_Entry.xlsx]Book'!K31</f>
        <v>145000000.0</v>
      </c>
      <c r="L31" s="15">
        <f>'[01_Entry.xlsx]Book'!L31</f>
        <v>0.0</v>
      </c>
      <c r="M31" s="15">
        <f>'[01_Entry.xlsx]Book'!M31</f>
        <v>145000000.0</v>
      </c>
      <c r="N31" s="16" t="str">
        <f>'[01_Entry.xlsx]Book'!N31</f>
        <v>مقابل</v>
      </c>
      <c r="O31" s="16" t="str">
        <f>'[01_Entry.xlsx]Book'!O31</f>
        <v>سایر حساب</v>
      </c>
      <c r="P31" s="56">
        <f>IF($A31="","",IFERROR(VALUE(MID($A31,6,2)),""))</f>
        <v>7</v>
      </c>
    </row>
    <row r="32" spans="1:16">
      <c r="A32" s="16" t="str">
        <f>'[01_Entry.xlsx]Book'!A32</f>
        <v>1405/07/03</v>
      </c>
      <c r="B32" s="16" t="str">
        <f>'[01_Entry.xlsx]Book'!B32</f>
        <v>BS-006</v>
      </c>
      <c r="C32" s="16" t="str">
        <f>'[01_Entry.xlsx]Book'!C32</f>
        <v>باسکول</v>
      </c>
      <c r="D32" s="16" t="str">
        <f>'[01_Entry.xlsx]Book'!D32</f>
        <v>X011</v>
      </c>
      <c r="E32" s="16" t="str">
        <f>'[01_Entry.xlsx]Book'!E32</f>
        <v>پوز باسکول — فروش بار (بارفروش)</v>
      </c>
      <c r="G32" s="15">
        <f>'[01_Entry.xlsx]Book'!G32</f>
        <v>0.0</v>
      </c>
      <c r="H32" s="15">
        <f>'[01_Entry.xlsx]Book'!H32</f>
        <v>0.0</v>
      </c>
      <c r="I32" s="15">
        <f>'[01_Entry.xlsx]Book'!I32</f>
        <v>0.0</v>
      </c>
      <c r="K32" s="15">
        <f>'[01_Entry.xlsx]Book'!K32</f>
        <v>120000.0</v>
      </c>
      <c r="L32" s="15">
        <f>'[01_Entry.xlsx]Book'!L32</f>
        <v>120000.0</v>
      </c>
      <c r="M32" s="15">
        <f>'[01_Entry.xlsx]Book'!M32</f>
        <v>0.0</v>
      </c>
      <c r="N32" s="16" t="str">
        <f>'[01_Entry.xlsx]Book'!N32</f>
        <v>پوز</v>
      </c>
      <c r="O32" s="16" t="str">
        <f>'[01_Entry.xlsx]Book'!O32</f>
        <v>سایر حساب</v>
      </c>
      <c r="P32" s="56">
        <f>IF($A32="","",IFERROR(VALUE(MID($A32,6,2)),""))</f>
        <v>7</v>
      </c>
    </row>
    <row r="33" spans="1:16">
      <c r="A33" s="16" t="str">
        <f>'[01_Entry.xlsx]Book'!A33</f>
        <v>1405/07/03</v>
      </c>
      <c r="B33" s="16" t="str">
        <f>'[01_Entry.xlsx]Book'!B33</f>
        <v>BS-006</v>
      </c>
      <c r="C33" s="16" t="str">
        <f>'[01_Entry.xlsx]Book'!C33</f>
        <v>باسکول</v>
      </c>
      <c r="D33" s="16" t="str">
        <f>'[01_Entry.xlsx]Book'!D33</f>
        <v>X002</v>
      </c>
      <c r="E33" s="16" t="str">
        <f>'[01_Entry.xlsx]Book'!E33</f>
        <v>مقابل پوز — فروش بار (بارفروش)</v>
      </c>
      <c r="G33" s="15">
        <f>'[01_Entry.xlsx]Book'!G33</f>
        <v>0.0</v>
      </c>
      <c r="H33" s="15">
        <f>'[01_Entry.xlsx]Book'!H33</f>
        <v>0.0</v>
      </c>
      <c r="I33" s="15">
        <f>'[01_Entry.xlsx]Book'!I33</f>
        <v>0.0</v>
      </c>
      <c r="K33" s="15">
        <f>'[01_Entry.xlsx]Book'!K33</f>
        <v>120000.0</v>
      </c>
      <c r="L33" s="15">
        <f>'[01_Entry.xlsx]Book'!L33</f>
        <v>0.0</v>
      </c>
      <c r="M33" s="15">
        <f>'[01_Entry.xlsx]Book'!M33</f>
        <v>120000.0</v>
      </c>
      <c r="N33" s="16" t="str">
        <f>'[01_Entry.xlsx]Book'!N33</f>
        <v>مقابل پوز</v>
      </c>
      <c r="O33" s="16" t="str">
        <f>'[01_Entry.xlsx]Book'!O33</f>
        <v>سایر حساب</v>
      </c>
      <c r="P33" s="56">
        <f>IF($A33="","",IFERROR(VALUE(MID($A33,6,2)),""))</f>
        <v>7</v>
      </c>
    </row>
    <row r="34" spans="1:16">
      <c r="A34" s="16" t="str">
        <f>'[01_Entry.xlsx]Book'!A34</f>
        <v>1405/07/04</v>
      </c>
      <c r="B34" s="16" t="str">
        <f>'[01_Entry.xlsx]Book'!B34</f>
        <v>BS-007</v>
      </c>
      <c r="C34" s="16" t="str">
        <f>'[01_Entry.xlsx]Book'!C34</f>
        <v>باسکول</v>
      </c>
      <c r="D34" s="16" t="str">
        <f>'[01_Entry.xlsx]Book'!D34</f>
        <v>C004</v>
      </c>
      <c r="F34" s="16" t="str">
        <f>'[01_Entry.xlsx]Book'!F34</f>
        <v>نارنگی پیچ</v>
      </c>
      <c r="G34" s="15">
        <f>'[01_Entry.xlsx]Book'!G34</f>
        <v>38.0</v>
      </c>
      <c r="H34" s="15">
        <f>'[01_Entry.xlsx]Book'!H34</f>
        <v>640.0</v>
      </c>
      <c r="I34" s="15">
        <f>'[01_Entry.xlsx]Book'!I34</f>
        <v>577.17</v>
      </c>
      <c r="J34" s="16" t="str">
        <f>'[01_Entry.xlsx]Book'!J34</f>
        <v>33000</v>
      </c>
      <c r="K34" s="15">
        <f>'[01_Entry.xlsx]Book'!K34</f>
        <v>19047000.0</v>
      </c>
      <c r="L34" s="15">
        <f>'[01_Entry.xlsx]Book'!L34</f>
        <v>0.0</v>
      </c>
      <c r="M34" s="15">
        <f>'[01_Entry.xlsx]Book'!M34</f>
        <v>19047000.0</v>
      </c>
      <c r="N34" s="16" t="str">
        <f>'[01_Entry.xlsx]Book'!N34</f>
        <v>خرید مرکبات</v>
      </c>
      <c r="O34" s="16" t="str">
        <f>'[01_Entry.xlsx]Book'!O34</f>
        <v>باغدار</v>
      </c>
      <c r="P34" s="56">
        <f>IF($A34="","",IFERROR(VALUE(MID($A34,6,2)),""))</f>
        <v>7</v>
      </c>
    </row>
    <row r="35" spans="1:16">
      <c r="A35" s="16" t="str">
        <f>'[01_Entry.xlsx]Book'!A35</f>
        <v>1405/07/04</v>
      </c>
      <c r="B35" s="16" t="str">
        <f>'[01_Entry.xlsx]Book'!B35</f>
        <v>BS-007</v>
      </c>
      <c r="C35" s="16" t="str">
        <f>'[01_Entry.xlsx]Book'!C35</f>
        <v>باسکول</v>
      </c>
      <c r="D35" s="16" t="str">
        <f>'[01_Entry.xlsx]Book'!D35</f>
        <v>X004</v>
      </c>
      <c r="E35" s="16" t="str">
        <f>'[01_Entry.xlsx]Book'!E35</f>
        <v>مقابل: خرید مرکبات</v>
      </c>
      <c r="G35" s="15">
        <f>'[01_Entry.xlsx]Book'!G35</f>
        <v>0.0</v>
      </c>
      <c r="H35" s="15">
        <f>'[01_Entry.xlsx]Book'!H35</f>
        <v>0.0</v>
      </c>
      <c r="I35" s="15">
        <f>'[01_Entry.xlsx]Book'!I35</f>
        <v>0.0</v>
      </c>
      <c r="K35" s="15">
        <f>'[01_Entry.xlsx]Book'!K35</f>
        <v>19047000.0</v>
      </c>
      <c r="L35" s="15">
        <f>'[01_Entry.xlsx]Book'!L35</f>
        <v>19047000.0</v>
      </c>
      <c r="M35" s="15">
        <f>'[01_Entry.xlsx]Book'!M35</f>
        <v>0.0</v>
      </c>
      <c r="N35" s="16" t="str">
        <f>'[01_Entry.xlsx]Book'!N35</f>
        <v>مقابل</v>
      </c>
      <c r="O35" s="16" t="str">
        <f>'[01_Entry.xlsx]Book'!O35</f>
        <v>سایر حساب</v>
      </c>
      <c r="P35" s="56">
        <f>IF($A35="","",IFERROR(VALUE(MID($A35,6,2)),""))</f>
        <v>7</v>
      </c>
    </row>
    <row r="36" spans="1:16">
      <c r="G36" s="15">
        <f>'[01_Entry.xlsx]Book'!G36</f>
        <v>0.0</v>
      </c>
      <c r="H36" s="15">
        <f>'[01_Entry.xlsx]Book'!H36</f>
        <v>0.0</v>
      </c>
      <c r="I36" s="15">
        <f>'[01_Entry.xlsx]Book'!I36</f>
        <v>0.0</v>
      </c>
      <c r="K36" s="15">
        <f>'[01_Entry.xlsx]Book'!K36</f>
        <v>0.0</v>
      </c>
      <c r="L36" s="15">
        <f>'[01_Entry.xlsx]Book'!L36</f>
        <v>0.0</v>
      </c>
      <c r="M36" s="15">
        <f>'[01_Entry.xlsx]Book'!M36</f>
        <v>0.0</v>
      </c>
      <c r="P36" s="56">
        <f>IF($A36="","",IFERROR(VALUE(MID($A36,6,2)),""))</f>
        <v/>
      </c>
    </row>
    <row r="37" spans="1:16">
      <c r="G37" s="15">
        <f>'[01_Entry.xlsx]Book'!G37</f>
        <v>0.0</v>
      </c>
      <c r="H37" s="15">
        <f>'[01_Entry.xlsx]Book'!H37</f>
        <v>0.0</v>
      </c>
      <c r="I37" s="15">
        <f>'[01_Entry.xlsx]Book'!I37</f>
        <v>0.0</v>
      </c>
      <c r="K37" s="15">
        <f>'[01_Entry.xlsx]Book'!K37</f>
        <v>0.0</v>
      </c>
      <c r="L37" s="15">
        <f>'[01_Entry.xlsx]Book'!L37</f>
        <v>0.0</v>
      </c>
      <c r="M37" s="15">
        <f>'[01_Entry.xlsx]Book'!M37</f>
        <v>0.0</v>
      </c>
      <c r="P37" s="56">
        <f>IF($A37="","",IFERROR(VALUE(MID($A37,6,2)),""))</f>
        <v/>
      </c>
    </row>
    <row r="38" spans="1:16">
      <c r="A38" s="16" t="str">
        <f>'[01_Entry.xlsx]Book'!A38</f>
        <v>1405/07/04</v>
      </c>
      <c r="B38" s="16" t="str">
        <f>'[01_Entry.xlsx]Book'!B38</f>
        <v>BS-008</v>
      </c>
      <c r="C38" s="16" t="str">
        <f>'[01_Entry.xlsx]Book'!C38</f>
        <v>باسکول</v>
      </c>
      <c r="D38" s="16" t="str">
        <f>'[01_Entry.xlsx]Book'!D38</f>
        <v>SL002</v>
      </c>
      <c r="E38" s="16" t="str">
        <f>'[01_Entry.xlsx]Book'!E38</f>
        <v>هزینه باسکول پوز</v>
      </c>
      <c r="F38" s="16" t="str">
        <f>'[01_Entry.xlsx]Book'!F38</f>
        <v>نارنگی اونشو</v>
      </c>
      <c r="G38" s="15">
        <f>'[01_Entry.xlsx]Book'!G38</f>
        <v>0.0</v>
      </c>
      <c r="H38" s="15">
        <f>'[01_Entry.xlsx]Book'!H38</f>
        <v>1800.0</v>
      </c>
      <c r="I38" s="15">
        <f>'[01_Entry.xlsx]Book'!I38</f>
        <v>1800.0</v>
      </c>
      <c r="J38" s="16" t="str">
        <f>'[01_Entry.xlsx]Book'!J38</f>
        <v>52000</v>
      </c>
      <c r="K38" s="15">
        <f>'[01_Entry.xlsx]Book'!K38</f>
        <v>93600000.0</v>
      </c>
      <c r="L38" s="15">
        <f>'[01_Entry.xlsx]Book'!L38</f>
        <v>93600000.0</v>
      </c>
      <c r="M38" s="15">
        <f>'[01_Entry.xlsx]Book'!M38</f>
        <v>0.0</v>
      </c>
      <c r="N38" s="16" t="str">
        <f>'[01_Entry.xlsx]Book'!N38</f>
        <v>فروش بار (بارفروش)</v>
      </c>
      <c r="O38" s="16" t="str">
        <f>'[01_Entry.xlsx]Book'!O38</f>
        <v>بارفروش</v>
      </c>
      <c r="P38" s="56">
        <f>IF($A38="","",IFERROR(VALUE(MID($A38,6,2)),""))</f>
        <v>7</v>
      </c>
    </row>
    <row r="39" spans="1:16">
      <c r="A39" s="16" t="str">
        <f>'[01_Entry.xlsx]Book'!A39</f>
        <v>1405/07/04</v>
      </c>
      <c r="B39" s="16" t="str">
        <f>'[01_Entry.xlsx]Book'!B39</f>
        <v>BS-008</v>
      </c>
      <c r="C39" s="16" t="str">
        <f>'[01_Entry.xlsx]Book'!C39</f>
        <v>باسکول</v>
      </c>
      <c r="D39" s="16" t="str">
        <f>'[01_Entry.xlsx]Book'!D39</f>
        <v>X006</v>
      </c>
      <c r="E39" s="16" t="str">
        <f>'[01_Entry.xlsx]Book'!E39</f>
        <v>مقابل: فروش بار (بارفروش)</v>
      </c>
      <c r="G39" s="15">
        <f>'[01_Entry.xlsx]Book'!G39</f>
        <v>0.0</v>
      </c>
      <c r="H39" s="15">
        <f>'[01_Entry.xlsx]Book'!H39</f>
        <v>0.0</v>
      </c>
      <c r="I39" s="15">
        <f>'[01_Entry.xlsx]Book'!I39</f>
        <v>0.0</v>
      </c>
      <c r="K39" s="15">
        <f>'[01_Entry.xlsx]Book'!K39</f>
        <v>93600000.0</v>
      </c>
      <c r="L39" s="15">
        <f>'[01_Entry.xlsx]Book'!L39</f>
        <v>0.0</v>
      </c>
      <c r="M39" s="15">
        <f>'[01_Entry.xlsx]Book'!M39</f>
        <v>93600000.0</v>
      </c>
      <c r="N39" s="16" t="str">
        <f>'[01_Entry.xlsx]Book'!N39</f>
        <v>مقابل</v>
      </c>
      <c r="O39" s="16" t="str">
        <f>'[01_Entry.xlsx]Book'!O39</f>
        <v>سایر حساب</v>
      </c>
      <c r="P39" s="56">
        <f>IF($A39="","",IFERROR(VALUE(MID($A39,6,2)),""))</f>
        <v>7</v>
      </c>
    </row>
    <row r="40" spans="1:16">
      <c r="A40" s="16" t="str">
        <f>'[01_Entry.xlsx]Book'!A40</f>
        <v>1405/07/04</v>
      </c>
      <c r="B40" s="16" t="str">
        <f>'[01_Entry.xlsx]Book'!B40</f>
        <v>BS-008</v>
      </c>
      <c r="C40" s="16" t="str">
        <f>'[01_Entry.xlsx]Book'!C40</f>
        <v>باسکول</v>
      </c>
      <c r="D40" s="16" t="str">
        <f>'[01_Entry.xlsx]Book'!D40</f>
        <v>X011</v>
      </c>
      <c r="E40" s="16" t="str">
        <f>'[01_Entry.xlsx]Book'!E40</f>
        <v>پوز باسکول — فروش بار (بارفروش)</v>
      </c>
      <c r="G40" s="15">
        <f>'[01_Entry.xlsx]Book'!G40</f>
        <v>0.0</v>
      </c>
      <c r="H40" s="15">
        <f>'[01_Entry.xlsx]Book'!H40</f>
        <v>0.0</v>
      </c>
      <c r="I40" s="15">
        <f>'[01_Entry.xlsx]Book'!I40</f>
        <v>0.0</v>
      </c>
      <c r="K40" s="15">
        <f>'[01_Entry.xlsx]Book'!K40</f>
        <v>90000.0</v>
      </c>
      <c r="L40" s="15">
        <f>'[01_Entry.xlsx]Book'!L40</f>
        <v>90000.0</v>
      </c>
      <c r="M40" s="15">
        <f>'[01_Entry.xlsx]Book'!M40</f>
        <v>0.0</v>
      </c>
      <c r="N40" s="16" t="str">
        <f>'[01_Entry.xlsx]Book'!N40</f>
        <v>پوز</v>
      </c>
      <c r="O40" s="16" t="str">
        <f>'[01_Entry.xlsx]Book'!O40</f>
        <v>سایر حساب</v>
      </c>
      <c r="P40" s="56">
        <f>IF($A40="","",IFERROR(VALUE(MID($A40,6,2)),""))</f>
        <v>7</v>
      </c>
    </row>
    <row r="41" spans="1:16">
      <c r="A41" s="16" t="str">
        <f>'[01_Entry.xlsx]Book'!A41</f>
        <v>1405/07/04</v>
      </c>
      <c r="B41" s="16" t="str">
        <f>'[01_Entry.xlsx]Book'!B41</f>
        <v>BS-008</v>
      </c>
      <c r="C41" s="16" t="str">
        <f>'[01_Entry.xlsx]Book'!C41</f>
        <v>باسکول</v>
      </c>
      <c r="D41" s="16" t="str">
        <f>'[01_Entry.xlsx]Book'!D41</f>
        <v>X002</v>
      </c>
      <c r="E41" s="16" t="str">
        <f>'[01_Entry.xlsx]Book'!E41</f>
        <v>مقابل پوز — فروش بار (بارفروش)</v>
      </c>
      <c r="G41" s="15">
        <f>'[01_Entry.xlsx]Book'!G41</f>
        <v>0.0</v>
      </c>
      <c r="H41" s="15">
        <f>'[01_Entry.xlsx]Book'!H41</f>
        <v>0.0</v>
      </c>
      <c r="I41" s="15">
        <f>'[01_Entry.xlsx]Book'!I41</f>
        <v>0.0</v>
      </c>
      <c r="K41" s="15">
        <f>'[01_Entry.xlsx]Book'!K41</f>
        <v>90000.0</v>
      </c>
      <c r="L41" s="15">
        <f>'[01_Entry.xlsx]Book'!L41</f>
        <v>0.0</v>
      </c>
      <c r="M41" s="15">
        <f>'[01_Entry.xlsx]Book'!M41</f>
        <v>90000.0</v>
      </c>
      <c r="N41" s="16" t="str">
        <f>'[01_Entry.xlsx]Book'!N41</f>
        <v>مقابل پوز</v>
      </c>
      <c r="O41" s="16" t="str">
        <f>'[01_Entry.xlsx]Book'!O41</f>
        <v>سایر حساب</v>
      </c>
      <c r="P41" s="56">
        <f>IF($A41="","",IFERROR(VALUE(MID($A41,6,2)),""))</f>
        <v>7</v>
      </c>
    </row>
    <row r="42" spans="1:16">
      <c r="A42" s="16" t="str">
        <f>'[01_Entry.xlsx]Book'!A42</f>
        <v>1405/07/05</v>
      </c>
      <c r="B42" s="16" t="str">
        <f>'[01_Entry.xlsx]Book'!B42</f>
        <v>BS-009</v>
      </c>
      <c r="C42" s="16" t="str">
        <f>'[01_Entry.xlsx]Book'!C42</f>
        <v>باسکول</v>
      </c>
      <c r="D42" s="16" t="str">
        <f>'[01_Entry.xlsx]Book'!D42</f>
        <v>C007</v>
      </c>
      <c r="E42" s="16" t="str">
        <f>'[01_Entry.xlsx]Book'!E42</f>
        <v>آبگیری — طرف حساب بستانکار</v>
      </c>
      <c r="F42" s="16" t="str">
        <f>'[01_Entry.xlsx]Book'!F42</f>
        <v>نارنگی پیچ</v>
      </c>
      <c r="G42" s="15">
        <f>'[01_Entry.xlsx]Book'!G42</f>
        <v>0.0</v>
      </c>
      <c r="H42" s="15">
        <f>'[01_Entry.xlsx]Book'!H42</f>
        <v>800.0</v>
      </c>
      <c r="I42" s="15">
        <f>'[01_Entry.xlsx]Book'!I42</f>
        <v>800.0</v>
      </c>
      <c r="K42" s="15">
        <f>'[01_Entry.xlsx]Book'!K42</f>
        <v>12000000.0</v>
      </c>
      <c r="L42" s="15">
        <f>'[01_Entry.xlsx]Book'!L42</f>
        <v>0.0</v>
      </c>
      <c r="M42" s="15">
        <f>'[01_Entry.xlsx]Book'!M42</f>
        <v>12000000.0</v>
      </c>
      <c r="N42" s="16" t="str">
        <f>'[01_Entry.xlsx]Book'!N42</f>
        <v>آبگیری</v>
      </c>
      <c r="O42" s="16" t="str">
        <f>'[01_Entry.xlsx]Book'!O42</f>
        <v>باغدار</v>
      </c>
      <c r="P42" s="56">
        <f>IF($A42="","",IFERROR(VALUE(MID($A42,6,2)),""))</f>
        <v>7</v>
      </c>
    </row>
    <row r="43" spans="1:16">
      <c r="A43" s="16" t="str">
        <f>'[01_Entry.xlsx]Book'!A43</f>
        <v>1405/07/05</v>
      </c>
      <c r="B43" s="16" t="str">
        <f>'[01_Entry.xlsx]Book'!B43</f>
        <v>BS-009</v>
      </c>
      <c r="C43" s="16" t="str">
        <f>'[01_Entry.xlsx]Book'!C43</f>
        <v>باسکول</v>
      </c>
      <c r="D43" s="16" t="str">
        <f>'[01_Entry.xlsx]Book'!D43</f>
        <v>X008</v>
      </c>
      <c r="E43" s="16" t="str">
        <f>'[01_Entry.xlsx]Book'!E43</f>
        <v>مقابل: آبگیری</v>
      </c>
      <c r="G43" s="15">
        <f>'[01_Entry.xlsx]Book'!G43</f>
        <v>0.0</v>
      </c>
      <c r="H43" s="15">
        <f>'[01_Entry.xlsx]Book'!H43</f>
        <v>0.0</v>
      </c>
      <c r="I43" s="15">
        <f>'[01_Entry.xlsx]Book'!I43</f>
        <v>0.0</v>
      </c>
      <c r="K43" s="15">
        <f>'[01_Entry.xlsx]Book'!K43</f>
        <v>12000000.0</v>
      </c>
      <c r="L43" s="15">
        <f>'[01_Entry.xlsx]Book'!L43</f>
        <v>12000000.0</v>
      </c>
      <c r="M43" s="15">
        <f>'[01_Entry.xlsx]Book'!M43</f>
        <v>0.0</v>
      </c>
      <c r="N43" s="16" t="str">
        <f>'[01_Entry.xlsx]Book'!N43</f>
        <v>مقابل</v>
      </c>
      <c r="O43" s="16" t="str">
        <f>'[01_Entry.xlsx]Book'!O43</f>
        <v>سایر حساب</v>
      </c>
      <c r="P43" s="56">
        <f>IF($A43="","",IFERROR(VALUE(MID($A43,6,2)),""))</f>
        <v>7</v>
      </c>
    </row>
    <row r="44" spans="1:16">
      <c r="G44" s="15">
        <f>'[01_Entry.xlsx]Book'!G44</f>
        <v>0.0</v>
      </c>
      <c r="H44" s="15">
        <f>'[01_Entry.xlsx]Book'!H44</f>
        <v>0.0</v>
      </c>
      <c r="I44" s="15">
        <f>'[01_Entry.xlsx]Book'!I44</f>
        <v>0.0</v>
      </c>
      <c r="K44" s="15">
        <f>'[01_Entry.xlsx]Book'!K44</f>
        <v>0.0</v>
      </c>
      <c r="L44" s="15">
        <f>'[01_Entry.xlsx]Book'!L44</f>
        <v>0.0</v>
      </c>
      <c r="M44" s="15">
        <f>'[01_Entry.xlsx]Book'!M44</f>
        <v>0.0</v>
      </c>
      <c r="P44" s="56">
        <f>IF($A44="","",IFERROR(VALUE(MID($A44,6,2)),""))</f>
        <v/>
      </c>
    </row>
    <row r="45" spans="1:16">
      <c r="G45" s="15">
        <f>'[01_Entry.xlsx]Book'!G45</f>
        <v>0.0</v>
      </c>
      <c r="H45" s="15">
        <f>'[01_Entry.xlsx]Book'!H45</f>
        <v>0.0</v>
      </c>
      <c r="I45" s="15">
        <f>'[01_Entry.xlsx]Book'!I45</f>
        <v>0.0</v>
      </c>
      <c r="K45" s="15">
        <f>'[01_Entry.xlsx]Book'!K45</f>
        <v>0.0</v>
      </c>
      <c r="L45" s="15">
        <f>'[01_Entry.xlsx]Book'!L45</f>
        <v>0.0</v>
      </c>
      <c r="M45" s="15">
        <f>'[01_Entry.xlsx]Book'!M45</f>
        <v>0.0</v>
      </c>
      <c r="P45" s="56">
        <f>IF($A45="","",IFERROR(VALUE(MID($A45,6,2)),""))</f>
        <v/>
      </c>
    </row>
    <row r="46" spans="1:16">
      <c r="A46" s="16" t="str">
        <f>'[01_Entry.xlsx]Book'!A46</f>
        <v>1405/07/05</v>
      </c>
      <c r="B46" s="16" t="str">
        <f>'[01_Entry.xlsx]Book'!B46</f>
        <v>BS-010</v>
      </c>
      <c r="C46" s="16" t="str">
        <f>'[01_Entry.xlsx]Book'!C46</f>
        <v>باسکول</v>
      </c>
      <c r="D46" s="16" t="str">
        <f>'[01_Entry.xlsx]Book'!D46</f>
        <v>X011</v>
      </c>
      <c r="E46" s="16" t="str">
        <f>'[01_Entry.xlsx]Book'!E46</f>
        <v>انعام از پوز باسکول</v>
      </c>
      <c r="G46" s="15">
        <f>'[01_Entry.xlsx]Book'!G46</f>
        <v>0.0</v>
      </c>
      <c r="H46" s="15">
        <f>'[01_Entry.xlsx]Book'!H46</f>
        <v>0.0</v>
      </c>
      <c r="I46" s="15">
        <f>'[01_Entry.xlsx]Book'!I46</f>
        <v>0.0</v>
      </c>
      <c r="K46" s="15">
        <f>'[01_Entry.xlsx]Book'!K46</f>
        <v>500000.0</v>
      </c>
      <c r="L46" s="15">
        <f>'[01_Entry.xlsx]Book'!L46</f>
        <v>0.0</v>
      </c>
      <c r="M46" s="15">
        <f>'[01_Entry.xlsx]Book'!M46</f>
        <v>500000.0</v>
      </c>
      <c r="N46" s="16" t="str">
        <f>'[01_Entry.xlsx]Book'!N46</f>
        <v>انعام مصطفی</v>
      </c>
      <c r="O46" s="16" t="str">
        <f>'[01_Entry.xlsx]Book'!O46</f>
        <v>سایر حساب</v>
      </c>
      <c r="P46" s="56">
        <f>IF($A46="","",IFERROR(VALUE(MID($A46,6,2)),""))</f>
        <v>7</v>
      </c>
    </row>
    <row r="47" spans="1:16">
      <c r="A47" s="16" t="str">
        <f>'[01_Entry.xlsx]Book'!A47</f>
        <v>1405/07/05</v>
      </c>
      <c r="B47" s="16" t="str">
        <f>'[01_Entry.xlsx]Book'!B47</f>
        <v>BS-010</v>
      </c>
      <c r="C47" s="16" t="str">
        <f>'[01_Entry.xlsx]Book'!C47</f>
        <v>باسکول</v>
      </c>
      <c r="D47" s="16" t="str">
        <f>'[01_Entry.xlsx]Book'!D47</f>
        <v>X001</v>
      </c>
      <c r="E47" s="16" t="str">
        <f>'[01_Entry.xlsx]Book'!E47</f>
        <v>مقابل: انعام مصطفی</v>
      </c>
      <c r="G47" s="15">
        <f>'[01_Entry.xlsx]Book'!G47</f>
        <v>0.0</v>
      </c>
      <c r="H47" s="15">
        <f>'[01_Entry.xlsx]Book'!H47</f>
        <v>0.0</v>
      </c>
      <c r="I47" s="15">
        <f>'[01_Entry.xlsx]Book'!I47</f>
        <v>0.0</v>
      </c>
      <c r="K47" s="15">
        <f>'[01_Entry.xlsx]Book'!K47</f>
        <v>500000.0</v>
      </c>
      <c r="L47" s="15">
        <f>'[01_Entry.xlsx]Book'!L47</f>
        <v>500000.0</v>
      </c>
      <c r="M47" s="15">
        <f>'[01_Entry.xlsx]Book'!M47</f>
        <v>0.0</v>
      </c>
      <c r="N47" s="16" t="str">
        <f>'[01_Entry.xlsx]Book'!N47</f>
        <v>مقابل</v>
      </c>
      <c r="O47" s="16" t="str">
        <f>'[01_Entry.xlsx]Book'!O47</f>
        <v>سایر حساب</v>
      </c>
      <c r="P47" s="56">
        <f>IF($A47="","",IFERROR(VALUE(MID($A47,6,2)),""))</f>
        <v>7</v>
      </c>
    </row>
    <row r="48" spans="1:16">
      <c r="G48" s="15">
        <f>'[01_Entry.xlsx]Book'!G48</f>
        <v>0.0</v>
      </c>
      <c r="H48" s="15">
        <f>'[01_Entry.xlsx]Book'!H48</f>
        <v>0.0</v>
      </c>
      <c r="I48" s="15">
        <f>'[01_Entry.xlsx]Book'!I48</f>
        <v>0.0</v>
      </c>
      <c r="K48" s="15">
        <f>'[01_Entry.xlsx]Book'!K48</f>
        <v>0.0</v>
      </c>
      <c r="L48" s="15">
        <f>'[01_Entry.xlsx]Book'!L48</f>
        <v>0.0</v>
      </c>
      <c r="M48" s="15">
        <f>'[01_Entry.xlsx]Book'!M48</f>
        <v>0.0</v>
      </c>
      <c r="P48" s="56">
        <f>IF($A48="","",IFERROR(VALUE(MID($A48,6,2)),""))</f>
        <v/>
      </c>
    </row>
    <row r="49" spans="1:16">
      <c r="G49" s="15">
        <f>'[01_Entry.xlsx]Book'!G49</f>
        <v>0.0</v>
      </c>
      <c r="H49" s="15">
        <f>'[01_Entry.xlsx]Book'!H49</f>
        <v>0.0</v>
      </c>
      <c r="I49" s="15">
        <f>'[01_Entry.xlsx]Book'!I49</f>
        <v>0.0</v>
      </c>
      <c r="K49" s="15">
        <f>'[01_Entry.xlsx]Book'!K49</f>
        <v>0.0</v>
      </c>
      <c r="L49" s="15">
        <f>'[01_Entry.xlsx]Book'!L49</f>
        <v>0.0</v>
      </c>
      <c r="M49" s="15">
        <f>'[01_Entry.xlsx]Book'!M49</f>
        <v>0.0</v>
      </c>
      <c r="P49" s="56">
        <f>IF($A49="","",IFERROR(VALUE(MID($A49,6,2)),""))</f>
        <v/>
      </c>
    </row>
    <row r="50" spans="1:16">
      <c r="A50" s="16" t="str">
        <f>'[01_Entry.xlsx]Book'!A50</f>
        <v>1405/07/06</v>
      </c>
      <c r="B50" s="16" t="str">
        <f>'[01_Entry.xlsx]Book'!B50</f>
        <v>BS-011</v>
      </c>
      <c r="C50" s="16" t="str">
        <f>'[01_Entry.xlsx]Book'!C50</f>
        <v>باسکول</v>
      </c>
      <c r="D50" s="16" t="str">
        <f>'[01_Entry.xlsx]Book'!D50</f>
        <v>BD001</v>
      </c>
      <c r="E50" s="16" t="str">
        <f>'[01_Entry.xlsx]Book'!E50</f>
        <v>هزینه باسکول مهمان</v>
      </c>
      <c r="G50" s="15">
        <f>'[01_Entry.xlsx]Book'!G50</f>
        <v>0.0</v>
      </c>
      <c r="H50" s="15">
        <f>'[01_Entry.xlsx]Book'!H50</f>
        <v>0.0</v>
      </c>
      <c r="I50" s="15">
        <f>'[01_Entry.xlsx]Book'!I50</f>
        <v>0.0</v>
      </c>
      <c r="K50" s="15">
        <f>'[01_Entry.xlsx]Book'!K50</f>
        <v>150000.0</v>
      </c>
      <c r="L50" s="15">
        <f>'[01_Entry.xlsx]Book'!L50</f>
        <v>150000.0</v>
      </c>
      <c r="M50" s="15">
        <f>'[01_Entry.xlsx]Book'!M50</f>
        <v>0.0</v>
      </c>
      <c r="N50" s="16" t="str">
        <f>'[01_Entry.xlsx]Book'!N50</f>
        <v>باسکول دیگران</v>
      </c>
      <c r="O50" s="16" t="str">
        <f>'[01_Entry.xlsx]Book'!O50</f>
        <v>باسکول دیگران</v>
      </c>
      <c r="P50" s="56">
        <f>IF($A50="","",IFERROR(VALUE(MID($A50,6,2)),""))</f>
        <v>7</v>
      </c>
    </row>
    <row r="51" spans="1:16">
      <c r="A51" s="16" t="str">
        <f>'[01_Entry.xlsx]Book'!A51</f>
        <v>1405/07/06</v>
      </c>
      <c r="B51" s="16" t="str">
        <f>'[01_Entry.xlsx]Book'!B51</f>
        <v>BS-011</v>
      </c>
      <c r="C51" s="16" t="str">
        <f>'[01_Entry.xlsx]Book'!C51</f>
        <v>باسکول</v>
      </c>
      <c r="D51" s="16" t="str">
        <f>'[01_Entry.xlsx]Book'!D51</f>
        <v>X002</v>
      </c>
      <c r="E51" s="16" t="str">
        <f>'[01_Entry.xlsx]Book'!E51</f>
        <v>مقابل: باسکول دیگران</v>
      </c>
      <c r="G51" s="15">
        <f>'[01_Entry.xlsx]Book'!G51</f>
        <v>0.0</v>
      </c>
      <c r="H51" s="15">
        <f>'[01_Entry.xlsx]Book'!H51</f>
        <v>0.0</v>
      </c>
      <c r="I51" s="15">
        <f>'[01_Entry.xlsx]Book'!I51</f>
        <v>0.0</v>
      </c>
      <c r="K51" s="15">
        <f>'[01_Entry.xlsx]Book'!K51</f>
        <v>150000.0</v>
      </c>
      <c r="L51" s="15">
        <f>'[01_Entry.xlsx]Book'!L51</f>
        <v>0.0</v>
      </c>
      <c r="M51" s="15">
        <f>'[01_Entry.xlsx]Book'!M51</f>
        <v>150000.0</v>
      </c>
      <c r="N51" s="16" t="str">
        <f>'[01_Entry.xlsx]Book'!N51</f>
        <v>مقابل</v>
      </c>
      <c r="O51" s="16" t="str">
        <f>'[01_Entry.xlsx]Book'!O51</f>
        <v>سایر حساب</v>
      </c>
      <c r="P51" s="56">
        <f>IF($A51="","",IFERROR(VALUE(MID($A51,6,2)),""))</f>
        <v>7</v>
      </c>
    </row>
    <row r="52" spans="1:16">
      <c r="G52" s="15">
        <f>'[01_Entry.xlsx]Book'!G52</f>
        <v>0.0</v>
      </c>
      <c r="H52" s="15">
        <f>'[01_Entry.xlsx]Book'!H52</f>
        <v>0.0</v>
      </c>
      <c r="I52" s="15">
        <f>'[01_Entry.xlsx]Book'!I52</f>
        <v>0.0</v>
      </c>
      <c r="K52" s="15">
        <f>'[01_Entry.xlsx]Book'!K52</f>
        <v>0.0</v>
      </c>
      <c r="L52" s="15">
        <f>'[01_Entry.xlsx]Book'!L52</f>
        <v>0.0</v>
      </c>
      <c r="M52" s="15">
        <f>'[01_Entry.xlsx]Book'!M52</f>
        <v>0.0</v>
      </c>
      <c r="P52" s="56">
        <f>IF($A52="","",IFERROR(VALUE(MID($A52,6,2)),""))</f>
        <v/>
      </c>
    </row>
    <row r="53" spans="1:16">
      <c r="G53" s="15">
        <f>'[01_Entry.xlsx]Book'!G53</f>
        <v>0.0</v>
      </c>
      <c r="H53" s="15">
        <f>'[01_Entry.xlsx]Book'!H53</f>
        <v>0.0</v>
      </c>
      <c r="I53" s="15">
        <f>'[01_Entry.xlsx]Book'!I53</f>
        <v>0.0</v>
      </c>
      <c r="K53" s="15">
        <f>'[01_Entry.xlsx]Book'!K53</f>
        <v>0.0</v>
      </c>
      <c r="L53" s="15">
        <f>'[01_Entry.xlsx]Book'!L53</f>
        <v>0.0</v>
      </c>
      <c r="M53" s="15">
        <f>'[01_Entry.xlsx]Book'!M53</f>
        <v>0.0</v>
      </c>
      <c r="P53" s="56">
        <f>IF($A53="","",IFERROR(VALUE(MID($A53,6,2)),""))</f>
        <v/>
      </c>
    </row>
    <row r="54" spans="1:16">
      <c r="A54" s="16" t="str">
        <f>'[01_Entry.xlsx]Book'!A54</f>
        <v>1405/07/06</v>
      </c>
      <c r="B54" s="16" t="str">
        <f>'[01_Entry.xlsx]Book'!B54</f>
        <v>BS-012</v>
      </c>
      <c r="C54" s="16" t="str">
        <f>'[01_Entry.xlsx]Book'!C54</f>
        <v>باسکول</v>
      </c>
      <c r="D54" s="16" t="str">
        <f>'[01_Entry.xlsx]Book'!D54</f>
        <v>C005</v>
      </c>
      <c r="F54" s="16" t="str">
        <f>'[01_Entry.xlsx]Book'!F54</f>
        <v>پرتقال یافا</v>
      </c>
      <c r="G54" s="15">
        <f>'[01_Entry.xlsx]Book'!G54</f>
        <v>195.0</v>
      </c>
      <c r="H54" s="15">
        <f>'[01_Entry.xlsx]Book'!H54</f>
        <v>3200.0</v>
      </c>
      <c r="I54" s="15">
        <f>'[01_Entry.xlsx]Book'!I54</f>
        <v>2801.205</v>
      </c>
      <c r="J54" s="16" t="str">
        <f>'[01_Entry.xlsx]Book'!J54</f>
        <v>29000</v>
      </c>
      <c r="K54" s="15">
        <f>'[01_Entry.xlsx]Book'!K54</f>
        <v>81235000.0</v>
      </c>
      <c r="L54" s="15">
        <f>'[01_Entry.xlsx]Book'!L54</f>
        <v>0.0</v>
      </c>
      <c r="M54" s="15">
        <f>'[01_Entry.xlsx]Book'!M54</f>
        <v>81235000.0</v>
      </c>
      <c r="N54" s="16" t="str">
        <f>'[01_Entry.xlsx]Book'!N54</f>
        <v>خرید مرکبات</v>
      </c>
      <c r="O54" s="16" t="str">
        <f>'[01_Entry.xlsx]Book'!O54</f>
        <v>باغدار</v>
      </c>
      <c r="P54" s="56">
        <f>IF($A54="","",IFERROR(VALUE(MID($A54,6,2)),""))</f>
        <v>7</v>
      </c>
    </row>
    <row r="55" spans="1:16">
      <c r="A55" s="16" t="str">
        <f>'[01_Entry.xlsx]Book'!A55</f>
        <v>1405/07/06</v>
      </c>
      <c r="B55" s="16" t="str">
        <f>'[01_Entry.xlsx]Book'!B55</f>
        <v>BS-012</v>
      </c>
      <c r="C55" s="16" t="str">
        <f>'[01_Entry.xlsx]Book'!C55</f>
        <v>باسکول</v>
      </c>
      <c r="D55" s="16" t="str">
        <f>'[01_Entry.xlsx]Book'!D55</f>
        <v>X004</v>
      </c>
      <c r="E55" s="16" t="str">
        <f>'[01_Entry.xlsx]Book'!E55</f>
        <v>مقابل: خرید مرکبات</v>
      </c>
      <c r="G55" s="15">
        <f>'[01_Entry.xlsx]Book'!G55</f>
        <v>0.0</v>
      </c>
      <c r="H55" s="15">
        <f>'[01_Entry.xlsx]Book'!H55</f>
        <v>0.0</v>
      </c>
      <c r="I55" s="15">
        <f>'[01_Entry.xlsx]Book'!I55</f>
        <v>0.0</v>
      </c>
      <c r="K55" s="15">
        <f>'[01_Entry.xlsx]Book'!K55</f>
        <v>81235000.0</v>
      </c>
      <c r="L55" s="15">
        <f>'[01_Entry.xlsx]Book'!L55</f>
        <v>81235000.0</v>
      </c>
      <c r="M55" s="15">
        <f>'[01_Entry.xlsx]Book'!M55</f>
        <v>0.0</v>
      </c>
      <c r="N55" s="16" t="str">
        <f>'[01_Entry.xlsx]Book'!N55</f>
        <v>مقابل</v>
      </c>
      <c r="O55" s="16" t="str">
        <f>'[01_Entry.xlsx]Book'!O55</f>
        <v>سایر حساب</v>
      </c>
      <c r="P55" s="56">
        <f>IF($A55="","",IFERROR(VALUE(MID($A55,6,2)),""))</f>
        <v>7</v>
      </c>
    </row>
    <row r="56" spans="1:16">
      <c r="G56" s="15">
        <f>'[01_Entry.xlsx]Book'!G56</f>
        <v>0.0</v>
      </c>
      <c r="H56" s="15">
        <f>'[01_Entry.xlsx]Book'!H56</f>
        <v>0.0</v>
      </c>
      <c r="I56" s="15">
        <f>'[01_Entry.xlsx]Book'!I56</f>
        <v>0.0</v>
      </c>
      <c r="K56" s="15">
        <f>'[01_Entry.xlsx]Book'!K56</f>
        <v>0.0</v>
      </c>
      <c r="L56" s="15">
        <f>'[01_Entry.xlsx]Book'!L56</f>
        <v>0.0</v>
      </c>
      <c r="M56" s="15">
        <f>'[01_Entry.xlsx]Book'!M56</f>
        <v>0.0</v>
      </c>
      <c r="P56" s="56">
        <f>IF($A56="","",IFERROR(VALUE(MID($A56,6,2)),""))</f>
        <v/>
      </c>
    </row>
    <row r="57" spans="1:16">
      <c r="G57" s="15">
        <f>'[01_Entry.xlsx]Book'!G57</f>
        <v>0.0</v>
      </c>
      <c r="H57" s="15">
        <f>'[01_Entry.xlsx]Book'!H57</f>
        <v>0.0</v>
      </c>
      <c r="I57" s="15">
        <f>'[01_Entry.xlsx]Book'!I57</f>
        <v>0.0</v>
      </c>
      <c r="K57" s="15">
        <f>'[01_Entry.xlsx]Book'!K57</f>
        <v>0.0</v>
      </c>
      <c r="L57" s="15">
        <f>'[01_Entry.xlsx]Book'!L57</f>
        <v>0.0</v>
      </c>
      <c r="M57" s="15">
        <f>'[01_Entry.xlsx]Book'!M57</f>
        <v>0.0</v>
      </c>
      <c r="P57" s="56">
        <f>IF($A57="","",IFERROR(VALUE(MID($A57,6,2)),""))</f>
        <v/>
      </c>
    </row>
    <row r="58" spans="1:16">
      <c r="A58" s="16" t="str">
        <f>'[01_Entry.xlsx]Book'!A58</f>
        <v>1405/07/07</v>
      </c>
      <c r="B58" s="16" t="str">
        <f>'[01_Entry.xlsx]Book'!B58</f>
        <v>BS-013</v>
      </c>
      <c r="C58" s="16" t="str">
        <f>'[01_Entry.xlsx]Book'!C58</f>
        <v>باسکول</v>
      </c>
      <c r="D58" s="16" t="str">
        <f>'[01_Entry.xlsx]Book'!D58</f>
        <v>C001</v>
      </c>
      <c r="E58" s="16" t="str">
        <f>'[01_Entry.xlsx]Book'!E58</f>
        <v>برگشت ۱۲ سبد</v>
      </c>
      <c r="F58" s="16" t="str">
        <f>'[01_Entry.xlsx]Book'!F58</f>
        <v>نارنگی پیچ</v>
      </c>
      <c r="G58" s="15">
        <f>'[01_Entry.xlsx]Book'!G58</f>
        <v>12.0</v>
      </c>
      <c r="H58" s="15">
        <f>'[01_Entry.xlsx]Book'!H58</f>
        <v>220.0</v>
      </c>
      <c r="I58" s="15">
        <f>'[01_Entry.xlsx]Book'!I58</f>
        <v>199.98</v>
      </c>
      <c r="J58" s="16" t="str">
        <f>'[01_Entry.xlsx]Book'!J58</f>
        <v>32000</v>
      </c>
      <c r="K58" s="15">
        <f>'[01_Entry.xlsx]Book'!K58</f>
        <v>6399000.0</v>
      </c>
      <c r="L58" s="15">
        <f>'[01_Entry.xlsx]Book'!L58</f>
        <v>6399000.0</v>
      </c>
      <c r="M58" s="15">
        <f>'[01_Entry.xlsx]Book'!M58</f>
        <v>0.0</v>
      </c>
      <c r="N58" s="16" t="str">
        <f>'[01_Entry.xlsx]Book'!N58</f>
        <v>مرجوعی خرید</v>
      </c>
      <c r="O58" s="16" t="str">
        <f>'[01_Entry.xlsx]Book'!O58</f>
        <v>باغدار</v>
      </c>
      <c r="P58" s="56">
        <f>IF($A58="","",IFERROR(VALUE(MID($A58,6,2)),""))</f>
        <v>7</v>
      </c>
    </row>
    <row r="59" spans="1:16">
      <c r="A59" s="16" t="str">
        <f>'[01_Entry.xlsx]Book'!A59</f>
        <v>1405/07/07</v>
      </c>
      <c r="B59" s="16" t="str">
        <f>'[01_Entry.xlsx]Book'!B59</f>
        <v>BS-013</v>
      </c>
      <c r="C59" s="16" t="str">
        <f>'[01_Entry.xlsx]Book'!C59</f>
        <v>باسکول</v>
      </c>
      <c r="D59" s="16" t="str">
        <f>'[01_Entry.xlsx]Book'!D59</f>
        <v>X004</v>
      </c>
      <c r="E59" s="16" t="str">
        <f>'[01_Entry.xlsx]Book'!E59</f>
        <v>مقابل: مرجوعی خرید</v>
      </c>
      <c r="G59" s="15">
        <f>'[01_Entry.xlsx]Book'!G59</f>
        <v>0.0</v>
      </c>
      <c r="H59" s="15">
        <f>'[01_Entry.xlsx]Book'!H59</f>
        <v>0.0</v>
      </c>
      <c r="I59" s="15">
        <f>'[01_Entry.xlsx]Book'!I59</f>
        <v>0.0</v>
      </c>
      <c r="K59" s="15">
        <f>'[01_Entry.xlsx]Book'!K59</f>
        <v>6399000.0</v>
      </c>
      <c r="L59" s="15">
        <f>'[01_Entry.xlsx]Book'!L59</f>
        <v>0.0</v>
      </c>
      <c r="M59" s="15">
        <f>'[01_Entry.xlsx]Book'!M59</f>
        <v>6399000.0</v>
      </c>
      <c r="N59" s="16" t="str">
        <f>'[01_Entry.xlsx]Book'!N59</f>
        <v>مقابل</v>
      </c>
      <c r="O59" s="16" t="str">
        <f>'[01_Entry.xlsx]Book'!O59</f>
        <v>سایر حساب</v>
      </c>
      <c r="P59" s="56">
        <f>IF($A59="","",IFERROR(VALUE(MID($A59,6,2)),""))</f>
        <v>7</v>
      </c>
    </row>
    <row r="60" spans="1:16">
      <c r="G60" s="15">
        <f>'[01_Entry.xlsx]Book'!G60</f>
        <v>0.0</v>
      </c>
      <c r="H60" s="15">
        <f>'[01_Entry.xlsx]Book'!H60</f>
        <v>0.0</v>
      </c>
      <c r="I60" s="15">
        <f>'[01_Entry.xlsx]Book'!I60</f>
        <v>0.0</v>
      </c>
      <c r="K60" s="15">
        <f>'[01_Entry.xlsx]Book'!K60</f>
        <v>0.0</v>
      </c>
      <c r="L60" s="15">
        <f>'[01_Entry.xlsx]Book'!L60</f>
        <v>0.0</v>
      </c>
      <c r="M60" s="15">
        <f>'[01_Entry.xlsx]Book'!M60</f>
        <v>0.0</v>
      </c>
      <c r="P60" s="56">
        <f>IF($A60="","",IFERROR(VALUE(MID($A60,6,2)),""))</f>
        <v/>
      </c>
    </row>
    <row r="61" spans="1:16">
      <c r="G61" s="15">
        <f>'[01_Entry.xlsx]Book'!G61</f>
        <v>0.0</v>
      </c>
      <c r="H61" s="15">
        <f>'[01_Entry.xlsx]Book'!H61</f>
        <v>0.0</v>
      </c>
      <c r="I61" s="15">
        <f>'[01_Entry.xlsx]Book'!I61</f>
        <v>0.0</v>
      </c>
      <c r="K61" s="15">
        <f>'[01_Entry.xlsx]Book'!K61</f>
        <v>0.0</v>
      </c>
      <c r="L61" s="15">
        <f>'[01_Entry.xlsx]Book'!L61</f>
        <v>0.0</v>
      </c>
      <c r="M61" s="15">
        <f>'[01_Entry.xlsx]Book'!M61</f>
        <v>0.0</v>
      </c>
      <c r="P61" s="56">
        <f>IF($A61="","",IFERROR(VALUE(MID($A61,6,2)),""))</f>
        <v/>
      </c>
    </row>
    <row r="62" spans="1:16">
      <c r="A62" s="16" t="str">
        <f>'[01_Entry.xlsx]Book'!A62</f>
        <v>1405/07/08</v>
      </c>
      <c r="B62" s="16" t="str">
        <f>'[01_Entry.xlsx]Book'!B62</f>
        <v>BS-014</v>
      </c>
      <c r="C62" s="16" t="str">
        <f>'[01_Entry.xlsx]Book'!C62</f>
        <v>باسکول</v>
      </c>
      <c r="D62" s="16" t="str">
        <f>'[01_Entry.xlsx]Book'!D62</f>
        <v>C009</v>
      </c>
      <c r="F62" s="16" t="str">
        <f>'[01_Entry.xlsx]Book'!F62</f>
        <v>نارنگی ژاپنی</v>
      </c>
      <c r="G62" s="15">
        <f>'[01_Entry.xlsx]Book'!G62</f>
        <v>92.0</v>
      </c>
      <c r="H62" s="15">
        <f>'[01_Entry.xlsx]Book'!H62</f>
        <v>1450.0</v>
      </c>
      <c r="I62" s="15">
        <f>'[01_Entry.xlsx]Book'!I62</f>
        <v>1271.556</v>
      </c>
      <c r="J62" s="16" t="str">
        <f>'[01_Entry.xlsx]Book'!J62</f>
        <v>30500</v>
      </c>
      <c r="K62" s="15">
        <f>'[01_Entry.xlsx]Book'!K62</f>
        <v>38782000.0</v>
      </c>
      <c r="L62" s="15">
        <f>'[01_Entry.xlsx]Book'!L62</f>
        <v>0.0</v>
      </c>
      <c r="M62" s="15">
        <f>'[01_Entry.xlsx]Book'!M62</f>
        <v>38782000.0</v>
      </c>
      <c r="N62" s="16" t="str">
        <f>'[01_Entry.xlsx]Book'!N62</f>
        <v>خرید مرکبات</v>
      </c>
      <c r="O62" s="16" t="str">
        <f>'[01_Entry.xlsx]Book'!O62</f>
        <v>باغدار</v>
      </c>
      <c r="P62" s="56">
        <f>IF($A62="","",IFERROR(VALUE(MID($A62,6,2)),""))</f>
        <v>7</v>
      </c>
    </row>
    <row r="63" spans="1:16">
      <c r="A63" s="16" t="str">
        <f>'[01_Entry.xlsx]Book'!A63</f>
        <v>1405/07/08</v>
      </c>
      <c r="B63" s="16" t="str">
        <f>'[01_Entry.xlsx]Book'!B63</f>
        <v>BS-014</v>
      </c>
      <c r="C63" s="16" t="str">
        <f>'[01_Entry.xlsx]Book'!C63</f>
        <v>باسکول</v>
      </c>
      <c r="D63" s="16" t="str">
        <f>'[01_Entry.xlsx]Book'!D63</f>
        <v>X004</v>
      </c>
      <c r="E63" s="16" t="str">
        <f>'[01_Entry.xlsx]Book'!E63</f>
        <v>مقابل: خرید مرکبات</v>
      </c>
      <c r="G63" s="15">
        <f>'[01_Entry.xlsx]Book'!G63</f>
        <v>0.0</v>
      </c>
      <c r="H63" s="15">
        <f>'[01_Entry.xlsx]Book'!H63</f>
        <v>0.0</v>
      </c>
      <c r="I63" s="15">
        <f>'[01_Entry.xlsx]Book'!I63</f>
        <v>0.0</v>
      </c>
      <c r="K63" s="15">
        <f>'[01_Entry.xlsx]Book'!K63</f>
        <v>38782000.0</v>
      </c>
      <c r="L63" s="15">
        <f>'[01_Entry.xlsx]Book'!L63</f>
        <v>38782000.0</v>
      </c>
      <c r="M63" s="15">
        <f>'[01_Entry.xlsx]Book'!M63</f>
        <v>0.0</v>
      </c>
      <c r="N63" s="16" t="str">
        <f>'[01_Entry.xlsx]Book'!N63</f>
        <v>مقابل</v>
      </c>
      <c r="O63" s="16" t="str">
        <f>'[01_Entry.xlsx]Book'!O63</f>
        <v>سایر حساب</v>
      </c>
      <c r="P63" s="56">
        <f>IF($A63="","",IFERROR(VALUE(MID($A63,6,2)),""))</f>
        <v>7</v>
      </c>
    </row>
    <row r="64" spans="1:16">
      <c r="G64" s="15">
        <f>'[01_Entry.xlsx]Book'!G64</f>
        <v>0.0</v>
      </c>
      <c r="H64" s="15">
        <f>'[01_Entry.xlsx]Book'!H64</f>
        <v>0.0</v>
      </c>
      <c r="I64" s="15">
        <f>'[01_Entry.xlsx]Book'!I64</f>
        <v>0.0</v>
      </c>
      <c r="K64" s="15">
        <f>'[01_Entry.xlsx]Book'!K64</f>
        <v>0.0</v>
      </c>
      <c r="L64" s="15">
        <f>'[01_Entry.xlsx]Book'!L64</f>
        <v>0.0</v>
      </c>
      <c r="M64" s="15">
        <f>'[01_Entry.xlsx]Book'!M64</f>
        <v>0.0</v>
      </c>
      <c r="P64" s="56">
        <f>IF($A64="","",IFERROR(VALUE(MID($A64,6,2)),""))</f>
        <v/>
      </c>
    </row>
    <row r="65" spans="1:16">
      <c r="G65" s="15">
        <f>'[01_Entry.xlsx]Book'!G65</f>
        <v>0.0</v>
      </c>
      <c r="H65" s="15">
        <f>'[01_Entry.xlsx]Book'!H65</f>
        <v>0.0</v>
      </c>
      <c r="I65" s="15">
        <f>'[01_Entry.xlsx]Book'!I65</f>
        <v>0.0</v>
      </c>
      <c r="K65" s="15">
        <f>'[01_Entry.xlsx]Book'!K65</f>
        <v>0.0</v>
      </c>
      <c r="L65" s="15">
        <f>'[01_Entry.xlsx]Book'!L65</f>
        <v>0.0</v>
      </c>
      <c r="M65" s="15">
        <f>'[01_Entry.xlsx]Book'!M65</f>
        <v>0.0</v>
      </c>
      <c r="P65" s="56">
        <f>IF($A65="","",IFERROR(VALUE(MID($A65,6,2)),""))</f>
        <v/>
      </c>
    </row>
    <row r="66" spans="1:16">
      <c r="A66" s="16" t="str">
        <f>'[01_Entry.xlsx]Book'!A66</f>
        <v>1405/07/09</v>
      </c>
      <c r="B66" s="16" t="str">
        <f>'[01_Entry.xlsx]Book'!B66</f>
        <v>BS-015</v>
      </c>
      <c r="C66" s="16" t="str">
        <f>'[01_Entry.xlsx]Book'!C66</f>
        <v>باسکول</v>
      </c>
      <c r="D66" s="16" t="str">
        <f>'[01_Entry.xlsx]Book'!D66</f>
        <v>SL001</v>
      </c>
      <c r="E66" s="16" t="str">
        <f>'[01_Entry.xlsx]Book'!E66</f>
        <v>هزینه باسکول پوز</v>
      </c>
      <c r="F66" s="16" t="str">
        <f>'[01_Entry.xlsx]Book'!F66</f>
        <v>پرتقال تامسون</v>
      </c>
      <c r="G66" s="15">
        <f>'[01_Entry.xlsx]Book'!G66</f>
        <v>0.0</v>
      </c>
      <c r="H66" s="15">
        <f>'[01_Entry.xlsx]Book'!H66</f>
        <v>1600.0</v>
      </c>
      <c r="I66" s="15">
        <f>'[01_Entry.xlsx]Book'!I66</f>
        <v>1600.0</v>
      </c>
      <c r="J66" s="16" t="str">
        <f>'[01_Entry.xlsx]Book'!J66</f>
        <v>60000</v>
      </c>
      <c r="K66" s="15">
        <f>'[01_Entry.xlsx]Book'!K66</f>
        <v>96000000.0</v>
      </c>
      <c r="L66" s="15">
        <f>'[01_Entry.xlsx]Book'!L66</f>
        <v>96000000.0</v>
      </c>
      <c r="M66" s="15">
        <f>'[01_Entry.xlsx]Book'!M66</f>
        <v>0.0</v>
      </c>
      <c r="N66" s="16" t="str">
        <f>'[01_Entry.xlsx]Book'!N66</f>
        <v>فروش بار (بارفروش)</v>
      </c>
      <c r="O66" s="16" t="str">
        <f>'[01_Entry.xlsx]Book'!O66</f>
        <v>بارفروش</v>
      </c>
      <c r="P66" s="56">
        <f>IF($A66="","",IFERROR(VALUE(MID($A66,6,2)),""))</f>
        <v>7</v>
      </c>
    </row>
    <row r="67" spans="1:16">
      <c r="A67" s="16" t="str">
        <f>'[01_Entry.xlsx]Book'!A67</f>
        <v>1405/07/09</v>
      </c>
      <c r="B67" s="16" t="str">
        <f>'[01_Entry.xlsx]Book'!B67</f>
        <v>BS-015</v>
      </c>
      <c r="C67" s="16" t="str">
        <f>'[01_Entry.xlsx]Book'!C67</f>
        <v>باسکول</v>
      </c>
      <c r="D67" s="16" t="str">
        <f>'[01_Entry.xlsx]Book'!D67</f>
        <v>X006</v>
      </c>
      <c r="E67" s="16" t="str">
        <f>'[01_Entry.xlsx]Book'!E67</f>
        <v>مقابل: فروش بار (بارفروش)</v>
      </c>
      <c r="G67" s="15">
        <f>'[01_Entry.xlsx]Book'!G67</f>
        <v>0.0</v>
      </c>
      <c r="H67" s="15">
        <f>'[01_Entry.xlsx]Book'!H67</f>
        <v>0.0</v>
      </c>
      <c r="I67" s="15">
        <f>'[01_Entry.xlsx]Book'!I67</f>
        <v>0.0</v>
      </c>
      <c r="K67" s="15">
        <f>'[01_Entry.xlsx]Book'!K67</f>
        <v>96000000.0</v>
      </c>
      <c r="L67" s="15">
        <f>'[01_Entry.xlsx]Book'!L67</f>
        <v>0.0</v>
      </c>
      <c r="M67" s="15">
        <f>'[01_Entry.xlsx]Book'!M67</f>
        <v>96000000.0</v>
      </c>
      <c r="N67" s="16" t="str">
        <f>'[01_Entry.xlsx]Book'!N67</f>
        <v>مقابل</v>
      </c>
      <c r="O67" s="16" t="str">
        <f>'[01_Entry.xlsx]Book'!O67</f>
        <v>سایر حساب</v>
      </c>
      <c r="P67" s="56">
        <f>IF($A67="","",IFERROR(VALUE(MID($A67,6,2)),""))</f>
        <v>7</v>
      </c>
    </row>
    <row r="68" spans="1:16">
      <c r="A68" s="16" t="str">
        <f>'[01_Entry.xlsx]Book'!A68</f>
        <v>1405/07/09</v>
      </c>
      <c r="B68" s="16" t="str">
        <f>'[01_Entry.xlsx]Book'!B68</f>
        <v>BS-015</v>
      </c>
      <c r="C68" s="16" t="str">
        <f>'[01_Entry.xlsx]Book'!C68</f>
        <v>باسکول</v>
      </c>
      <c r="D68" s="16" t="str">
        <f>'[01_Entry.xlsx]Book'!D68</f>
        <v>X011</v>
      </c>
      <c r="E68" s="16" t="str">
        <f>'[01_Entry.xlsx]Book'!E68</f>
        <v>پوز باسکول — فروش بار (بارفروش)</v>
      </c>
      <c r="G68" s="15">
        <f>'[01_Entry.xlsx]Book'!G68</f>
        <v>0.0</v>
      </c>
      <c r="H68" s="15">
        <f>'[01_Entry.xlsx]Book'!H68</f>
        <v>0.0</v>
      </c>
      <c r="I68" s="15">
        <f>'[01_Entry.xlsx]Book'!I68</f>
        <v>0.0</v>
      </c>
      <c r="K68" s="15">
        <f>'[01_Entry.xlsx]Book'!K68</f>
        <v>80000.0</v>
      </c>
      <c r="L68" s="15">
        <f>'[01_Entry.xlsx]Book'!L68</f>
        <v>80000.0</v>
      </c>
      <c r="M68" s="15">
        <f>'[01_Entry.xlsx]Book'!M68</f>
        <v>0.0</v>
      </c>
      <c r="N68" s="16" t="str">
        <f>'[01_Entry.xlsx]Book'!N68</f>
        <v>پوز</v>
      </c>
      <c r="O68" s="16" t="str">
        <f>'[01_Entry.xlsx]Book'!O68</f>
        <v>سایر حساب</v>
      </c>
      <c r="P68" s="56">
        <f>IF($A68="","",IFERROR(VALUE(MID($A68,6,2)),""))</f>
        <v>7</v>
      </c>
    </row>
    <row r="69" spans="1:16">
      <c r="A69" s="16" t="str">
        <f>'[01_Entry.xlsx]Book'!A69</f>
        <v>1405/07/09</v>
      </c>
      <c r="B69" s="16" t="str">
        <f>'[01_Entry.xlsx]Book'!B69</f>
        <v>BS-015</v>
      </c>
      <c r="C69" s="16" t="str">
        <f>'[01_Entry.xlsx]Book'!C69</f>
        <v>باسکول</v>
      </c>
      <c r="D69" s="16" t="str">
        <f>'[01_Entry.xlsx]Book'!D69</f>
        <v>X002</v>
      </c>
      <c r="E69" s="16" t="str">
        <f>'[01_Entry.xlsx]Book'!E69</f>
        <v>مقابل پوز — فروش بار (بارفروش)</v>
      </c>
      <c r="G69" s="15">
        <f>'[01_Entry.xlsx]Book'!G69</f>
        <v>0.0</v>
      </c>
      <c r="H69" s="15">
        <f>'[01_Entry.xlsx]Book'!H69</f>
        <v>0.0</v>
      </c>
      <c r="I69" s="15">
        <f>'[01_Entry.xlsx]Book'!I69</f>
        <v>0.0</v>
      </c>
      <c r="K69" s="15">
        <f>'[01_Entry.xlsx]Book'!K69</f>
        <v>80000.0</v>
      </c>
      <c r="L69" s="15">
        <f>'[01_Entry.xlsx]Book'!L69</f>
        <v>0.0</v>
      </c>
      <c r="M69" s="15">
        <f>'[01_Entry.xlsx]Book'!M69</f>
        <v>80000.0</v>
      </c>
      <c r="N69" s="16" t="str">
        <f>'[01_Entry.xlsx]Book'!N69</f>
        <v>مقابل پوز</v>
      </c>
      <c r="O69" s="16" t="str">
        <f>'[01_Entry.xlsx]Book'!O69</f>
        <v>سایر حساب</v>
      </c>
      <c r="P69" s="56">
        <f>IF($A69="","",IFERROR(VALUE(MID($A69,6,2)),""))</f>
        <v>7</v>
      </c>
    </row>
    <row r="70" spans="1:16">
      <c r="A70" s="16" t="str">
        <f>'[01_Entry.xlsx]Book'!A70</f>
        <v>1405/07/10</v>
      </c>
      <c r="B70" s="16" t="str">
        <f>'[01_Entry.xlsx]Book'!B70</f>
        <v>BS-016</v>
      </c>
      <c r="C70" s="16" t="str">
        <f>'[01_Entry.xlsx]Book'!C70</f>
        <v>باسکول</v>
      </c>
      <c r="D70" s="16" t="str">
        <f>'[01_Entry.xlsx]Book'!D70</f>
        <v>C010</v>
      </c>
      <c r="F70" s="16" t="str">
        <f>'[01_Entry.xlsx]Book'!F70</f>
        <v>پرتقال کاراکارا</v>
      </c>
      <c r="G70" s="15">
        <f>'[01_Entry.xlsx]Book'!G70</f>
        <v>58.0</v>
      </c>
      <c r="H70" s="15">
        <f>'[01_Entry.xlsx]Book'!H70</f>
        <v>950.0</v>
      </c>
      <c r="I70" s="15">
        <f>'[01_Entry.xlsx]Book'!I70</f>
        <v>831.4019999999999</v>
      </c>
      <c r="J70" s="16" t="str">
        <f>'[01_Entry.xlsx]Book'!J70</f>
        <v>36000</v>
      </c>
      <c r="K70" s="15">
        <f>'[01_Entry.xlsx]Book'!K70</f>
        <v>29930000.0</v>
      </c>
      <c r="L70" s="15">
        <f>'[01_Entry.xlsx]Book'!L70</f>
        <v>0.0</v>
      </c>
      <c r="M70" s="15">
        <f>'[01_Entry.xlsx]Book'!M70</f>
        <v>29930000.0</v>
      </c>
      <c r="N70" s="16" t="str">
        <f>'[01_Entry.xlsx]Book'!N70</f>
        <v>خرید مرکبات</v>
      </c>
      <c r="O70" s="16" t="str">
        <f>'[01_Entry.xlsx]Book'!O70</f>
        <v>باغدار</v>
      </c>
      <c r="P70" s="56">
        <f>IF($A70="","",IFERROR(VALUE(MID($A70,6,2)),""))</f>
        <v>7</v>
      </c>
    </row>
    <row r="71" spans="1:16">
      <c r="A71" s="16" t="str">
        <f>'[01_Entry.xlsx]Book'!A71</f>
        <v>1405/07/10</v>
      </c>
      <c r="B71" s="16" t="str">
        <f>'[01_Entry.xlsx]Book'!B71</f>
        <v>BS-016</v>
      </c>
      <c r="C71" s="16" t="str">
        <f>'[01_Entry.xlsx]Book'!C71</f>
        <v>باسکول</v>
      </c>
      <c r="D71" s="16" t="str">
        <f>'[01_Entry.xlsx]Book'!D71</f>
        <v>X004</v>
      </c>
      <c r="E71" s="16" t="str">
        <f>'[01_Entry.xlsx]Book'!E71</f>
        <v>مقابل: خرید مرکبات</v>
      </c>
      <c r="G71" s="15">
        <f>'[01_Entry.xlsx]Book'!G71</f>
        <v>0.0</v>
      </c>
      <c r="H71" s="15">
        <f>'[01_Entry.xlsx]Book'!H71</f>
        <v>0.0</v>
      </c>
      <c r="I71" s="15">
        <f>'[01_Entry.xlsx]Book'!I71</f>
        <v>0.0</v>
      </c>
      <c r="K71" s="15">
        <f>'[01_Entry.xlsx]Book'!K71</f>
        <v>29930000.0</v>
      </c>
      <c r="L71" s="15">
        <f>'[01_Entry.xlsx]Book'!L71</f>
        <v>29930000.0</v>
      </c>
      <c r="M71" s="15">
        <f>'[01_Entry.xlsx]Book'!M71</f>
        <v>0.0</v>
      </c>
      <c r="N71" s="16" t="str">
        <f>'[01_Entry.xlsx]Book'!N71</f>
        <v>مقابل</v>
      </c>
      <c r="O71" s="16" t="str">
        <f>'[01_Entry.xlsx]Book'!O71</f>
        <v>سایر حساب</v>
      </c>
      <c r="P71" s="56">
        <f>IF($A71="","",IFERROR(VALUE(MID($A71,6,2)),""))</f>
        <v>7</v>
      </c>
    </row>
    <row r="72" spans="1:16">
      <c r="G72" s="15">
        <f>'[01_Entry.xlsx]Book'!G72</f>
        <v>0.0</v>
      </c>
      <c r="H72" s="15">
        <f>'[01_Entry.xlsx]Book'!H72</f>
        <v>0.0</v>
      </c>
      <c r="I72" s="15">
        <f>'[01_Entry.xlsx]Book'!I72</f>
        <v>0.0</v>
      </c>
      <c r="K72" s="15">
        <f>'[01_Entry.xlsx]Book'!K72</f>
        <v>0.0</v>
      </c>
      <c r="L72" s="15">
        <f>'[01_Entry.xlsx]Book'!L72</f>
        <v>0.0</v>
      </c>
      <c r="M72" s="15">
        <f>'[01_Entry.xlsx]Book'!M72</f>
        <v>0.0</v>
      </c>
      <c r="P72" s="56">
        <f>IF($A72="","",IFERROR(VALUE(MID($A72,6,2)),""))</f>
        <v/>
      </c>
    </row>
    <row r="73" spans="1:16">
      <c r="G73" s="15">
        <f>'[01_Entry.xlsx]Book'!G73</f>
        <v>0.0</v>
      </c>
      <c r="H73" s="15">
        <f>'[01_Entry.xlsx]Book'!H73</f>
        <v>0.0</v>
      </c>
      <c r="I73" s="15">
        <f>'[01_Entry.xlsx]Book'!I73</f>
        <v>0.0</v>
      </c>
      <c r="K73" s="15">
        <f>'[01_Entry.xlsx]Book'!K73</f>
        <v>0.0</v>
      </c>
      <c r="L73" s="15">
        <f>'[01_Entry.xlsx]Book'!L73</f>
        <v>0.0</v>
      </c>
      <c r="M73" s="15">
        <f>'[01_Entry.xlsx]Book'!M73</f>
        <v>0.0</v>
      </c>
      <c r="P73" s="56">
        <f>IF($A73="","",IFERROR(VALUE(MID($A73,6,2)),""))</f>
        <v/>
      </c>
    </row>
    <row r="74" spans="1:16">
      <c r="G74" s="15">
        <f>'[01_Entry.xlsx]Book'!G74</f>
        <v>0.0</v>
      </c>
      <c r="H74" s="15">
        <f>'[01_Entry.xlsx]Book'!H74</f>
        <v>0.0</v>
      </c>
      <c r="I74" s="15">
        <f>'[01_Entry.xlsx]Book'!I74</f>
        <v>0.0</v>
      </c>
      <c r="K74" s="15">
        <f>'[01_Entry.xlsx]Book'!K74</f>
        <v>0.0</v>
      </c>
      <c r="L74" s="15">
        <f>'[01_Entry.xlsx]Book'!L74</f>
        <v>0.0</v>
      </c>
      <c r="M74" s="15">
        <f>'[01_Entry.xlsx]Book'!M74</f>
        <v>0.0</v>
      </c>
      <c r="P74" s="56">
        <f>IF($A74="","",IFERROR(VALUE(MID($A74,6,2)),""))</f>
        <v/>
      </c>
    </row>
    <row r="75" spans="1:16">
      <c r="G75" s="15">
        <f>'[01_Entry.xlsx]Book'!G75</f>
        <v>0.0</v>
      </c>
      <c r="H75" s="15">
        <f>'[01_Entry.xlsx]Book'!H75</f>
        <v>0.0</v>
      </c>
      <c r="I75" s="15">
        <f>'[01_Entry.xlsx]Book'!I75</f>
        <v>0.0</v>
      </c>
      <c r="K75" s="15">
        <f>'[01_Entry.xlsx]Book'!K75</f>
        <v>0.0</v>
      </c>
      <c r="L75" s="15">
        <f>'[01_Entry.xlsx]Book'!L75</f>
        <v>0.0</v>
      </c>
      <c r="M75" s="15">
        <f>'[01_Entry.xlsx]Book'!M75</f>
        <v>0.0</v>
      </c>
      <c r="P75" s="56">
        <f>IF($A75="","",IFERROR(VALUE(MID($A75,6,2)),""))</f>
        <v/>
      </c>
    </row>
    <row r="76" spans="1:16">
      <c r="A76" s="16" t="str">
        <f>'[01_Entry.xlsx]Book'!A76</f>
        <v>1405/07/11</v>
      </c>
      <c r="B76" s="16" t="str">
        <f>'[01_Entry.xlsx]Book'!B76</f>
        <v>BS-017</v>
      </c>
      <c r="C76" s="16" t="str">
        <f>'[01_Entry.xlsx]Book'!C76</f>
        <v>باسکول</v>
      </c>
      <c r="D76" s="16" t="str">
        <f>'[01_Entry.xlsx]Book'!D76</f>
        <v>X011</v>
      </c>
      <c r="E76" s="16" t="str">
        <f>'[01_Entry.xlsx]Book'!E76</f>
        <v>پوز باسکول — درآمد پوز باسکول (بدون طرف)</v>
      </c>
      <c r="G76" s="15">
        <f>'[01_Entry.xlsx]Book'!G76</f>
        <v>0.0</v>
      </c>
      <c r="H76" s="15">
        <f>'[01_Entry.xlsx]Book'!H76</f>
        <v>0.0</v>
      </c>
      <c r="I76" s="15">
        <f>'[01_Entry.xlsx]Book'!I76</f>
        <v>0.0</v>
      </c>
      <c r="K76" s="15">
        <f>'[01_Entry.xlsx]Book'!K76</f>
        <v>300000.0</v>
      </c>
      <c r="L76" s="15">
        <f>'[01_Entry.xlsx]Book'!L76</f>
        <v>300000.0</v>
      </c>
      <c r="M76" s="15">
        <f>'[01_Entry.xlsx]Book'!M76</f>
        <v>0.0</v>
      </c>
      <c r="N76" s="16" t="str">
        <f>'[01_Entry.xlsx]Book'!N76</f>
        <v>پوز</v>
      </c>
      <c r="O76" s="16" t="str">
        <f>'[01_Entry.xlsx]Book'!O76</f>
        <v>سایر حساب</v>
      </c>
      <c r="P76" s="56">
        <f>IF($A76="","",IFERROR(VALUE(MID($A76,6,2)),""))</f>
        <v>7</v>
      </c>
    </row>
    <row r="77" spans="1:16">
      <c r="A77" s="16" t="str">
        <f>'[01_Entry.xlsx]Book'!A77</f>
        <v>1405/07/11</v>
      </c>
      <c r="B77" s="16" t="str">
        <f>'[01_Entry.xlsx]Book'!B77</f>
        <v>BS-017</v>
      </c>
      <c r="C77" s="16" t="str">
        <f>'[01_Entry.xlsx]Book'!C77</f>
        <v>باسکول</v>
      </c>
      <c r="D77" s="16" t="str">
        <f>'[01_Entry.xlsx]Book'!D77</f>
        <v>X002</v>
      </c>
      <c r="E77" s="16" t="str">
        <f>'[01_Entry.xlsx]Book'!E77</f>
        <v>مقابل پوز — درآمد پوز باسکول (بدون طرف)</v>
      </c>
      <c r="G77" s="15">
        <f>'[01_Entry.xlsx]Book'!G77</f>
        <v>0.0</v>
      </c>
      <c r="H77" s="15">
        <f>'[01_Entry.xlsx]Book'!H77</f>
        <v>0.0</v>
      </c>
      <c r="I77" s="15">
        <f>'[01_Entry.xlsx]Book'!I77</f>
        <v>0.0</v>
      </c>
      <c r="K77" s="15">
        <f>'[01_Entry.xlsx]Book'!K77</f>
        <v>300000.0</v>
      </c>
      <c r="L77" s="15">
        <f>'[01_Entry.xlsx]Book'!L77</f>
        <v>0.0</v>
      </c>
      <c r="M77" s="15">
        <f>'[01_Entry.xlsx]Book'!M77</f>
        <v>300000.0</v>
      </c>
      <c r="N77" s="16" t="str">
        <f>'[01_Entry.xlsx]Book'!N77</f>
        <v>مقابل پوز</v>
      </c>
      <c r="O77" s="16" t="str">
        <f>'[01_Entry.xlsx]Book'!O77</f>
        <v>سایر حساب</v>
      </c>
      <c r="P77" s="56">
        <f>IF($A77="","",IFERROR(VALUE(MID($A77,6,2)),""))</f>
        <v>7</v>
      </c>
    </row>
    <row r="78" spans="1:16">
      <c r="A78" s="16" t="str">
        <f>'[01_Entry.xlsx]Book'!A78</f>
        <v>1405/07/12</v>
      </c>
      <c r="B78" s="16" t="str">
        <f>'[01_Entry.xlsx]Book'!B78</f>
        <v>BS-018</v>
      </c>
      <c r="C78" s="16" t="str">
        <f>'[01_Entry.xlsx]Book'!C78</f>
        <v>باسکول</v>
      </c>
      <c r="D78" s="16" t="str">
        <f>'[01_Entry.xlsx]Book'!D78</f>
        <v>C011</v>
      </c>
      <c r="F78" s="16" t="str">
        <f>'[01_Entry.xlsx]Book'!F78</f>
        <v>پرتقال بیروتی</v>
      </c>
      <c r="G78" s="15">
        <f>'[01_Entry.xlsx]Book'!G78</f>
        <v>72.0</v>
      </c>
      <c r="H78" s="15">
        <f>'[01_Entry.xlsx]Book'!H78</f>
        <v>1200.0</v>
      </c>
      <c r="I78" s="15">
        <f>'[01_Entry.xlsx]Book'!I78</f>
        <v>1081.08</v>
      </c>
      <c r="J78" s="16" t="str">
        <f>'[01_Entry.xlsx]Book'!J78</f>
        <v>34000</v>
      </c>
      <c r="K78" s="15">
        <f>'[01_Entry.xlsx]Book'!K78</f>
        <v>36757000.0</v>
      </c>
      <c r="L78" s="15">
        <f>'[01_Entry.xlsx]Book'!L78</f>
        <v>0.0</v>
      </c>
      <c r="M78" s="15">
        <f>'[01_Entry.xlsx]Book'!M78</f>
        <v>36757000.0</v>
      </c>
      <c r="N78" s="16" t="str">
        <f>'[01_Entry.xlsx]Book'!N78</f>
        <v>خرید مرکبات</v>
      </c>
      <c r="O78" s="16" t="str">
        <f>'[01_Entry.xlsx]Book'!O78</f>
        <v>باغدار</v>
      </c>
      <c r="P78" s="56">
        <f>IF($A78="","",IFERROR(VALUE(MID($A78,6,2)),""))</f>
        <v>7</v>
      </c>
    </row>
    <row r="79" spans="1:16">
      <c r="A79" s="16" t="str">
        <f>'[01_Entry.xlsx]Book'!A79</f>
        <v>1405/07/12</v>
      </c>
      <c r="B79" s="16" t="str">
        <f>'[01_Entry.xlsx]Book'!B79</f>
        <v>BS-018</v>
      </c>
      <c r="C79" s="16" t="str">
        <f>'[01_Entry.xlsx]Book'!C79</f>
        <v>باسکول</v>
      </c>
      <c r="D79" s="16" t="str">
        <f>'[01_Entry.xlsx]Book'!D79</f>
        <v>X004</v>
      </c>
      <c r="E79" s="16" t="str">
        <f>'[01_Entry.xlsx]Book'!E79</f>
        <v>مقابل: خرید مرکبات</v>
      </c>
      <c r="G79" s="15">
        <f>'[01_Entry.xlsx]Book'!G79</f>
        <v>0.0</v>
      </c>
      <c r="H79" s="15">
        <f>'[01_Entry.xlsx]Book'!H79</f>
        <v>0.0</v>
      </c>
      <c r="I79" s="15">
        <f>'[01_Entry.xlsx]Book'!I79</f>
        <v>0.0</v>
      </c>
      <c r="K79" s="15">
        <f>'[01_Entry.xlsx]Book'!K79</f>
        <v>36757000.0</v>
      </c>
      <c r="L79" s="15">
        <f>'[01_Entry.xlsx]Book'!L79</f>
        <v>36757000.0</v>
      </c>
      <c r="M79" s="15">
        <f>'[01_Entry.xlsx]Book'!M79</f>
        <v>0.0</v>
      </c>
      <c r="N79" s="16" t="str">
        <f>'[01_Entry.xlsx]Book'!N79</f>
        <v>مقابل</v>
      </c>
      <c r="O79" s="16" t="str">
        <f>'[01_Entry.xlsx]Book'!O79</f>
        <v>سایر حساب</v>
      </c>
      <c r="P79" s="56">
        <f>IF($A79="","",IFERROR(VALUE(MID($A79,6,2)),""))</f>
        <v>7</v>
      </c>
    </row>
    <row r="80" spans="1:16">
      <c r="G80" s="15">
        <f>'[01_Entry.xlsx]Book'!G80</f>
        <v>0.0</v>
      </c>
      <c r="H80" s="15">
        <f>'[01_Entry.xlsx]Book'!H80</f>
        <v>0.0</v>
      </c>
      <c r="I80" s="15">
        <f>'[01_Entry.xlsx]Book'!I80</f>
        <v>0.0</v>
      </c>
      <c r="K80" s="15">
        <f>'[01_Entry.xlsx]Book'!K80</f>
        <v>0.0</v>
      </c>
      <c r="L80" s="15">
        <f>'[01_Entry.xlsx]Book'!L80</f>
        <v>0.0</v>
      </c>
      <c r="M80" s="15">
        <f>'[01_Entry.xlsx]Book'!M80</f>
        <v>0.0</v>
      </c>
      <c r="P80" s="56">
        <f>IF($A80="","",IFERROR(VALUE(MID($A80,6,2)),""))</f>
        <v/>
      </c>
    </row>
    <row r="81" spans="7:16">
      <c r="G81" s="15">
        <f>'[01_Entry.xlsx]Book'!G81</f>
        <v>0.0</v>
      </c>
      <c r="H81" s="15">
        <f>'[01_Entry.xlsx]Book'!H81</f>
        <v>0.0</v>
      </c>
      <c r="I81" s="15">
        <f>'[01_Entry.xlsx]Book'!I81</f>
        <v>0.0</v>
      </c>
      <c r="K81" s="15">
        <f>'[01_Entry.xlsx]Book'!K81</f>
        <v>0.0</v>
      </c>
      <c r="L81" s="15">
        <f>'[01_Entry.xlsx]Book'!L81</f>
        <v>0.0</v>
      </c>
      <c r="M81" s="15">
        <f>'[01_Entry.xlsx]Book'!M81</f>
        <v>0.0</v>
      </c>
      <c r="P81" s="56">
        <f>IF($A81="","",IFERROR(VALUE(MID($A81,6,2)),""))</f>
        <v/>
      </c>
    </row>
    <row r="82" spans="7:16">
      <c r="G82" s="15">
        <f>'[01_Entry.xlsx]Book'!G82</f>
        <v>0.0</v>
      </c>
      <c r="H82" s="15">
        <f>'[01_Entry.xlsx]Book'!H82</f>
        <v>0.0</v>
      </c>
      <c r="I82" s="15">
        <f>'[01_Entry.xlsx]Book'!I82</f>
        <v>0.0</v>
      </c>
      <c r="K82" s="15">
        <f>'[01_Entry.xlsx]Book'!K82</f>
        <v>0.0</v>
      </c>
      <c r="L82" s="15">
        <f>'[01_Entry.xlsx]Book'!L82</f>
        <v>0.0</v>
      </c>
      <c r="M82" s="15">
        <f>'[01_Entry.xlsx]Book'!M82</f>
        <v>0.0</v>
      </c>
      <c r="P82" s="56">
        <f>IF($A82="","",IFERROR(VALUE(MID($A82,6,2)),""))</f>
        <v/>
      </c>
    </row>
    <row r="83" spans="7:16">
      <c r="G83" s="15">
        <f>'[01_Entry.xlsx]Book'!G83</f>
        <v>0.0</v>
      </c>
      <c r="H83" s="15">
        <f>'[01_Entry.xlsx]Book'!H83</f>
        <v>0.0</v>
      </c>
      <c r="I83" s="15">
        <f>'[01_Entry.xlsx]Book'!I83</f>
        <v>0.0</v>
      </c>
      <c r="K83" s="15">
        <f>'[01_Entry.xlsx]Book'!K83</f>
        <v>0.0</v>
      </c>
      <c r="L83" s="15">
        <f>'[01_Entry.xlsx]Book'!L83</f>
        <v>0.0</v>
      </c>
      <c r="M83" s="15">
        <f>'[01_Entry.xlsx]Book'!M83</f>
        <v>0.0</v>
      </c>
      <c r="P83" s="56">
        <f>IF($A83="","",IFERROR(VALUE(MID($A83,6,2)),""))</f>
        <v/>
      </c>
    </row>
    <row r="84" spans="7:16">
      <c r="G84" s="15">
        <f>'[01_Entry.xlsx]Book'!G84</f>
        <v>0.0</v>
      </c>
      <c r="H84" s="15">
        <f>'[01_Entry.xlsx]Book'!H84</f>
        <v>0.0</v>
      </c>
      <c r="I84" s="15">
        <f>'[01_Entry.xlsx]Book'!I84</f>
        <v>0.0</v>
      </c>
      <c r="K84" s="15">
        <f>'[01_Entry.xlsx]Book'!K84</f>
        <v>0.0</v>
      </c>
      <c r="L84" s="15">
        <f>'[01_Entry.xlsx]Book'!L84</f>
        <v>0.0</v>
      </c>
      <c r="M84" s="15">
        <f>'[01_Entry.xlsx]Book'!M84</f>
        <v>0.0</v>
      </c>
      <c r="P84" s="56">
        <f>IF($A84="","",IFERROR(VALUE(MID($A84,6,2)),""))</f>
        <v/>
      </c>
    </row>
    <row r="85" spans="7:16">
      <c r="G85" s="15">
        <f>'[01_Entry.xlsx]Book'!G85</f>
        <v>0.0</v>
      </c>
      <c r="H85" s="15">
        <f>'[01_Entry.xlsx]Book'!H85</f>
        <v>0.0</v>
      </c>
      <c r="I85" s="15">
        <f>'[01_Entry.xlsx]Book'!I85</f>
        <v>0.0</v>
      </c>
      <c r="K85" s="15">
        <f>'[01_Entry.xlsx]Book'!K85</f>
        <v>0.0</v>
      </c>
      <c r="L85" s="15">
        <f>'[01_Entry.xlsx]Book'!L85</f>
        <v>0.0</v>
      </c>
      <c r="M85" s="15">
        <f>'[01_Entry.xlsx]Book'!M85</f>
        <v>0.0</v>
      </c>
      <c r="P85" s="56">
        <f>IF($A85="","",IFERROR(VALUE(MID($A85,6,2)),""))</f>
        <v/>
      </c>
    </row>
    <row r="86" spans="7:16">
      <c r="G86" s="15">
        <f>'[01_Entry.xlsx]Book'!G86</f>
        <v>0.0</v>
      </c>
      <c r="H86" s="15">
        <f>'[01_Entry.xlsx]Book'!H86</f>
        <v>0.0</v>
      </c>
      <c r="I86" s="15">
        <f>'[01_Entry.xlsx]Book'!I86</f>
        <v>0.0</v>
      </c>
      <c r="K86" s="15">
        <f>'[01_Entry.xlsx]Book'!K86</f>
        <v>0.0</v>
      </c>
      <c r="L86" s="15">
        <f>'[01_Entry.xlsx]Book'!L86</f>
        <v>0.0</v>
      </c>
      <c r="M86" s="15">
        <f>'[01_Entry.xlsx]Book'!M86</f>
        <v>0.0</v>
      </c>
      <c r="P86" s="56">
        <f>IF($A86="","",IFERROR(VALUE(MID($A86,6,2)),""))</f>
        <v/>
      </c>
    </row>
    <row r="87" spans="7:16">
      <c r="G87" s="15">
        <f>'[01_Entry.xlsx]Book'!G87</f>
        <v>0.0</v>
      </c>
      <c r="H87" s="15">
        <f>'[01_Entry.xlsx]Book'!H87</f>
        <v>0.0</v>
      </c>
      <c r="I87" s="15">
        <f>'[01_Entry.xlsx]Book'!I87</f>
        <v>0.0</v>
      </c>
      <c r="K87" s="15">
        <f>'[01_Entry.xlsx]Book'!K87</f>
        <v>0.0</v>
      </c>
      <c r="L87" s="15">
        <f>'[01_Entry.xlsx]Book'!L87</f>
        <v>0.0</v>
      </c>
      <c r="M87" s="15">
        <f>'[01_Entry.xlsx]Book'!M87</f>
        <v>0.0</v>
      </c>
      <c r="P87" s="56">
        <f>IF($A87="","",IFERROR(VALUE(MID($A87,6,2)),""))</f>
        <v/>
      </c>
    </row>
    <row r="88" spans="7:16">
      <c r="G88" s="15">
        <f>'[01_Entry.xlsx]Book'!G88</f>
        <v>0.0</v>
      </c>
      <c r="H88" s="15">
        <f>'[01_Entry.xlsx]Book'!H88</f>
        <v>0.0</v>
      </c>
      <c r="I88" s="15">
        <f>'[01_Entry.xlsx]Book'!I88</f>
        <v>0.0</v>
      </c>
      <c r="K88" s="15">
        <f>'[01_Entry.xlsx]Book'!K88</f>
        <v>0.0</v>
      </c>
      <c r="L88" s="15">
        <f>'[01_Entry.xlsx]Book'!L88</f>
        <v>0.0</v>
      </c>
      <c r="M88" s="15">
        <f>'[01_Entry.xlsx]Book'!M88</f>
        <v>0.0</v>
      </c>
      <c r="P88" s="56">
        <f>IF($A88="","",IFERROR(VALUE(MID($A88,6,2)),""))</f>
        <v/>
      </c>
    </row>
    <row r="89" spans="7:16">
      <c r="G89" s="15">
        <f>'[01_Entry.xlsx]Book'!G89</f>
        <v>0.0</v>
      </c>
      <c r="H89" s="15">
        <f>'[01_Entry.xlsx]Book'!H89</f>
        <v>0.0</v>
      </c>
      <c r="I89" s="15">
        <f>'[01_Entry.xlsx]Book'!I89</f>
        <v>0.0</v>
      </c>
      <c r="K89" s="15">
        <f>'[01_Entry.xlsx]Book'!K89</f>
        <v>0.0</v>
      </c>
      <c r="L89" s="15">
        <f>'[01_Entry.xlsx]Book'!L89</f>
        <v>0.0</v>
      </c>
      <c r="M89" s="15">
        <f>'[01_Entry.xlsx]Book'!M89</f>
        <v>0.0</v>
      </c>
      <c r="P89" s="56">
        <f>IF($A89="","",IFERROR(VALUE(MID($A89,6,2)),""))</f>
        <v/>
      </c>
    </row>
    <row r="90" spans="7:16">
      <c r="G90" s="15">
        <f>'[01_Entry.xlsx]Book'!G90</f>
        <v>0.0</v>
      </c>
      <c r="H90" s="15">
        <f>'[01_Entry.xlsx]Book'!H90</f>
        <v>0.0</v>
      </c>
      <c r="I90" s="15">
        <f>'[01_Entry.xlsx]Book'!I90</f>
        <v>0.0</v>
      </c>
      <c r="K90" s="15">
        <f>'[01_Entry.xlsx]Book'!K90</f>
        <v>0.0</v>
      </c>
      <c r="L90" s="15">
        <f>'[01_Entry.xlsx]Book'!L90</f>
        <v>0.0</v>
      </c>
      <c r="M90" s="15">
        <f>'[01_Entry.xlsx]Book'!M90</f>
        <v>0.0</v>
      </c>
      <c r="P90" s="56">
        <f>IF($A90="","",IFERROR(VALUE(MID($A90,6,2)),""))</f>
        <v/>
      </c>
    </row>
    <row r="91" spans="7:16">
      <c r="G91" s="15">
        <f>'[01_Entry.xlsx]Book'!G91</f>
        <v>0.0</v>
      </c>
      <c r="H91" s="15">
        <f>'[01_Entry.xlsx]Book'!H91</f>
        <v>0.0</v>
      </c>
      <c r="I91" s="15">
        <f>'[01_Entry.xlsx]Book'!I91</f>
        <v>0.0</v>
      </c>
      <c r="K91" s="15">
        <f>'[01_Entry.xlsx]Book'!K91</f>
        <v>0.0</v>
      </c>
      <c r="L91" s="15">
        <f>'[01_Entry.xlsx]Book'!L91</f>
        <v>0.0</v>
      </c>
      <c r="M91" s="15">
        <f>'[01_Entry.xlsx]Book'!M91</f>
        <v>0.0</v>
      </c>
      <c r="P91" s="56">
        <f>IF($A91="","",IFERROR(VALUE(MID($A91,6,2)),""))</f>
        <v/>
      </c>
    </row>
    <row r="92" spans="7:16">
      <c r="G92" s="15">
        <f>'[01_Entry.xlsx]Book'!G92</f>
        <v>0.0</v>
      </c>
      <c r="H92" s="15">
        <f>'[01_Entry.xlsx]Book'!H92</f>
        <v>0.0</v>
      </c>
      <c r="I92" s="15">
        <f>'[01_Entry.xlsx]Book'!I92</f>
        <v>0.0</v>
      </c>
      <c r="K92" s="15">
        <f>'[01_Entry.xlsx]Book'!K92</f>
        <v>0.0</v>
      </c>
      <c r="L92" s="15">
        <f>'[01_Entry.xlsx]Book'!L92</f>
        <v>0.0</v>
      </c>
      <c r="M92" s="15">
        <f>'[01_Entry.xlsx]Book'!M92</f>
        <v>0.0</v>
      </c>
      <c r="P92" s="56">
        <f>IF($A92="","",IFERROR(VALUE(MID($A92,6,2)),""))</f>
        <v/>
      </c>
    </row>
    <row r="93" spans="7:16">
      <c r="G93" s="15">
        <f>'[01_Entry.xlsx]Book'!G93</f>
        <v>0.0</v>
      </c>
      <c r="H93" s="15">
        <f>'[01_Entry.xlsx]Book'!H93</f>
        <v>0.0</v>
      </c>
      <c r="I93" s="15">
        <f>'[01_Entry.xlsx]Book'!I93</f>
        <v>0.0</v>
      </c>
      <c r="K93" s="15">
        <f>'[01_Entry.xlsx]Book'!K93</f>
        <v>0.0</v>
      </c>
      <c r="L93" s="15">
        <f>'[01_Entry.xlsx]Book'!L93</f>
        <v>0.0</v>
      </c>
      <c r="M93" s="15">
        <f>'[01_Entry.xlsx]Book'!M93</f>
        <v>0.0</v>
      </c>
      <c r="P93" s="56">
        <f>IF($A93="","",IFERROR(VALUE(MID($A93,6,2)),""))</f>
        <v/>
      </c>
    </row>
    <row r="94" spans="7:16">
      <c r="G94" s="15">
        <f>'[01_Entry.xlsx]Book'!G94</f>
        <v>0.0</v>
      </c>
      <c r="H94" s="15">
        <f>'[01_Entry.xlsx]Book'!H94</f>
        <v>0.0</v>
      </c>
      <c r="I94" s="15">
        <f>'[01_Entry.xlsx]Book'!I94</f>
        <v>0.0</v>
      </c>
      <c r="K94" s="15">
        <f>'[01_Entry.xlsx]Book'!K94</f>
        <v>0.0</v>
      </c>
      <c r="L94" s="15">
        <f>'[01_Entry.xlsx]Book'!L94</f>
        <v>0.0</v>
      </c>
      <c r="M94" s="15">
        <f>'[01_Entry.xlsx]Book'!M94</f>
        <v>0.0</v>
      </c>
      <c r="P94" s="56">
        <f>IF($A94="","",IFERROR(VALUE(MID($A94,6,2)),""))</f>
        <v/>
      </c>
    </row>
    <row r="95" spans="7:16">
      <c r="G95" s="15">
        <f>'[01_Entry.xlsx]Book'!G95</f>
        <v>0.0</v>
      </c>
      <c r="H95" s="15">
        <f>'[01_Entry.xlsx]Book'!H95</f>
        <v>0.0</v>
      </c>
      <c r="I95" s="15">
        <f>'[01_Entry.xlsx]Book'!I95</f>
        <v>0.0</v>
      </c>
      <c r="K95" s="15">
        <f>'[01_Entry.xlsx]Book'!K95</f>
        <v>0.0</v>
      </c>
      <c r="L95" s="15">
        <f>'[01_Entry.xlsx]Book'!L95</f>
        <v>0.0</v>
      </c>
      <c r="M95" s="15">
        <f>'[01_Entry.xlsx]Book'!M95</f>
        <v>0.0</v>
      </c>
      <c r="P95" s="56">
        <f>IF($A95="","",IFERROR(VALUE(MID($A95,6,2)),""))</f>
        <v/>
      </c>
    </row>
    <row r="96" spans="7:16">
      <c r="G96" s="15">
        <f>'[01_Entry.xlsx]Book'!G96</f>
        <v>0.0</v>
      </c>
      <c r="H96" s="15">
        <f>'[01_Entry.xlsx]Book'!H96</f>
        <v>0.0</v>
      </c>
      <c r="I96" s="15">
        <f>'[01_Entry.xlsx]Book'!I96</f>
        <v>0.0</v>
      </c>
      <c r="K96" s="15">
        <f>'[01_Entry.xlsx]Book'!K96</f>
        <v>0.0</v>
      </c>
      <c r="L96" s="15">
        <f>'[01_Entry.xlsx]Book'!L96</f>
        <v>0.0</v>
      </c>
      <c r="M96" s="15">
        <f>'[01_Entry.xlsx]Book'!M96</f>
        <v>0.0</v>
      </c>
      <c r="P96" s="56">
        <f>IF($A96="","",IFERROR(VALUE(MID($A96,6,2)),""))</f>
        <v/>
      </c>
    </row>
    <row r="97" spans="7:16">
      <c r="G97" s="15">
        <f>'[01_Entry.xlsx]Book'!G97</f>
        <v>0.0</v>
      </c>
      <c r="H97" s="15">
        <f>'[01_Entry.xlsx]Book'!H97</f>
        <v>0.0</v>
      </c>
      <c r="I97" s="15">
        <f>'[01_Entry.xlsx]Book'!I97</f>
        <v>0.0</v>
      </c>
      <c r="K97" s="15">
        <f>'[01_Entry.xlsx]Book'!K97</f>
        <v>0.0</v>
      </c>
      <c r="L97" s="15">
        <f>'[01_Entry.xlsx]Book'!L97</f>
        <v>0.0</v>
      </c>
      <c r="M97" s="15">
        <f>'[01_Entry.xlsx]Book'!M97</f>
        <v>0.0</v>
      </c>
      <c r="P97" s="56">
        <f>IF($A97="","",IFERROR(VALUE(MID($A97,6,2)),""))</f>
        <v/>
      </c>
    </row>
    <row r="98" spans="7:16">
      <c r="G98" s="15">
        <f>'[01_Entry.xlsx]Book'!G98</f>
        <v>0.0</v>
      </c>
      <c r="H98" s="15">
        <f>'[01_Entry.xlsx]Book'!H98</f>
        <v>0.0</v>
      </c>
      <c r="I98" s="15">
        <f>'[01_Entry.xlsx]Book'!I98</f>
        <v>0.0</v>
      </c>
      <c r="K98" s="15">
        <f>'[01_Entry.xlsx]Book'!K98</f>
        <v>0.0</v>
      </c>
      <c r="L98" s="15">
        <f>'[01_Entry.xlsx]Book'!L98</f>
        <v>0.0</v>
      </c>
      <c r="M98" s="15">
        <f>'[01_Entry.xlsx]Book'!M98</f>
        <v>0.0</v>
      </c>
      <c r="P98" s="56">
        <f>IF($A98="","",IFERROR(VALUE(MID($A98,6,2)),""))</f>
        <v/>
      </c>
    </row>
    <row r="99" spans="7:16">
      <c r="G99" s="15">
        <f>'[01_Entry.xlsx]Book'!G99</f>
        <v>0.0</v>
      </c>
      <c r="H99" s="15">
        <f>'[01_Entry.xlsx]Book'!H99</f>
        <v>0.0</v>
      </c>
      <c r="I99" s="15">
        <f>'[01_Entry.xlsx]Book'!I99</f>
        <v>0.0</v>
      </c>
      <c r="K99" s="15">
        <f>'[01_Entry.xlsx]Book'!K99</f>
        <v>0.0</v>
      </c>
      <c r="L99" s="15">
        <f>'[01_Entry.xlsx]Book'!L99</f>
        <v>0.0</v>
      </c>
      <c r="M99" s="15">
        <f>'[01_Entry.xlsx]Book'!M99</f>
        <v>0.0</v>
      </c>
      <c r="P99" s="56">
        <f>IF($A99="","",IFERROR(VALUE(MID($A99,6,2)),""))</f>
        <v/>
      </c>
    </row>
    <row r="100" spans="7:16">
      <c r="G100" s="15">
        <f>'[01_Entry.xlsx]Book'!G100</f>
        <v>0.0</v>
      </c>
      <c r="H100" s="15">
        <f>'[01_Entry.xlsx]Book'!H100</f>
        <v>0.0</v>
      </c>
      <c r="I100" s="15">
        <f>'[01_Entry.xlsx]Book'!I100</f>
        <v>0.0</v>
      </c>
      <c r="K100" s="15">
        <f>'[01_Entry.xlsx]Book'!K100</f>
        <v>0.0</v>
      </c>
      <c r="L100" s="15">
        <f>'[01_Entry.xlsx]Book'!L100</f>
        <v>0.0</v>
      </c>
      <c r="M100" s="15">
        <f>'[01_Entry.xlsx]Book'!M100</f>
        <v>0.0</v>
      </c>
      <c r="P100" s="56">
        <f>IF($A100="","",IFERROR(VALUE(MID($A100,6,2)),""))</f>
        <v/>
      </c>
    </row>
    <row r="101" spans="7:16">
      <c r="G101" s="15">
        <f>'[01_Entry.xlsx]Book'!G101</f>
        <v>0.0</v>
      </c>
      <c r="H101" s="15">
        <f>'[01_Entry.xlsx]Book'!H101</f>
        <v>0.0</v>
      </c>
      <c r="I101" s="15">
        <f>'[01_Entry.xlsx]Book'!I101</f>
        <v>0.0</v>
      </c>
      <c r="K101" s="15">
        <f>'[01_Entry.xlsx]Book'!K101</f>
        <v>0.0</v>
      </c>
      <c r="L101" s="15">
        <f>'[01_Entry.xlsx]Book'!L101</f>
        <v>0.0</v>
      </c>
      <c r="M101" s="15">
        <f>'[01_Entry.xlsx]Book'!M101</f>
        <v>0.0</v>
      </c>
      <c r="P101" s="56">
        <f>IF($A101="","",IFERROR(VALUE(MID($A101,6,2)),""))</f>
        <v/>
      </c>
    </row>
    <row r="102" spans="7:16">
      <c r="G102" s="15">
        <f>'[01_Entry.xlsx]Book'!G102</f>
        <v>0.0</v>
      </c>
      <c r="H102" s="15">
        <f>'[01_Entry.xlsx]Book'!H102</f>
        <v>0.0</v>
      </c>
      <c r="I102" s="15">
        <f>'[01_Entry.xlsx]Book'!I102</f>
        <v>0.0</v>
      </c>
      <c r="K102" s="15">
        <f>'[01_Entry.xlsx]Book'!K102</f>
        <v>0.0</v>
      </c>
      <c r="L102" s="15">
        <f>'[01_Entry.xlsx]Book'!L102</f>
        <v>0.0</v>
      </c>
      <c r="M102" s="15">
        <f>'[01_Entry.xlsx]Book'!M102</f>
        <v>0.0</v>
      </c>
      <c r="P102" s="56">
        <f>IF($A102="","",IFERROR(VALUE(MID($A102,6,2)),""))</f>
        <v/>
      </c>
    </row>
    <row r="103" spans="7:16">
      <c r="G103" s="15">
        <f>'[01_Entry.xlsx]Book'!G103</f>
        <v>0.0</v>
      </c>
      <c r="H103" s="15">
        <f>'[01_Entry.xlsx]Book'!H103</f>
        <v>0.0</v>
      </c>
      <c r="I103" s="15">
        <f>'[01_Entry.xlsx]Book'!I103</f>
        <v>0.0</v>
      </c>
      <c r="K103" s="15">
        <f>'[01_Entry.xlsx]Book'!K103</f>
        <v>0.0</v>
      </c>
      <c r="L103" s="15">
        <f>'[01_Entry.xlsx]Book'!L103</f>
        <v>0.0</v>
      </c>
      <c r="M103" s="15">
        <f>'[01_Entry.xlsx]Book'!M103</f>
        <v>0.0</v>
      </c>
      <c r="P103" s="56">
        <f>IF($A103="","",IFERROR(VALUE(MID($A103,6,2)),""))</f>
        <v/>
      </c>
    </row>
    <row r="104" spans="7:16">
      <c r="G104" s="15">
        <f>'[01_Entry.xlsx]Book'!G104</f>
        <v>0.0</v>
      </c>
      <c r="H104" s="15">
        <f>'[01_Entry.xlsx]Book'!H104</f>
        <v>0.0</v>
      </c>
      <c r="I104" s="15">
        <f>'[01_Entry.xlsx]Book'!I104</f>
        <v>0.0</v>
      </c>
      <c r="K104" s="15">
        <f>'[01_Entry.xlsx]Book'!K104</f>
        <v>0.0</v>
      </c>
      <c r="L104" s="15">
        <f>'[01_Entry.xlsx]Book'!L104</f>
        <v>0.0</v>
      </c>
      <c r="M104" s="15">
        <f>'[01_Entry.xlsx]Book'!M104</f>
        <v>0.0</v>
      </c>
      <c r="P104" s="56">
        <f>IF($A104="","",IFERROR(VALUE(MID($A104,6,2)),""))</f>
        <v/>
      </c>
    </row>
    <row r="105" spans="7:16">
      <c r="G105" s="15">
        <f>'[01_Entry.xlsx]Book'!G105</f>
        <v>0.0</v>
      </c>
      <c r="H105" s="15">
        <f>'[01_Entry.xlsx]Book'!H105</f>
        <v>0.0</v>
      </c>
      <c r="I105" s="15">
        <f>'[01_Entry.xlsx]Book'!I105</f>
        <v>0.0</v>
      </c>
      <c r="K105" s="15">
        <f>'[01_Entry.xlsx]Book'!K105</f>
        <v>0.0</v>
      </c>
      <c r="L105" s="15">
        <f>'[01_Entry.xlsx]Book'!L105</f>
        <v>0.0</v>
      </c>
      <c r="M105" s="15">
        <f>'[01_Entry.xlsx]Book'!M105</f>
        <v>0.0</v>
      </c>
      <c r="P105" s="56">
        <f>IF($A105="","",IFERROR(VALUE(MID($A105,6,2)),""))</f>
        <v/>
      </c>
    </row>
    <row r="106" spans="7:16">
      <c r="G106" s="15">
        <f>'[01_Entry.xlsx]Book'!G106</f>
        <v>0.0</v>
      </c>
      <c r="H106" s="15">
        <f>'[01_Entry.xlsx]Book'!H106</f>
        <v>0.0</v>
      </c>
      <c r="I106" s="15">
        <f>'[01_Entry.xlsx]Book'!I106</f>
        <v>0.0</v>
      </c>
      <c r="K106" s="15">
        <f>'[01_Entry.xlsx]Book'!K106</f>
        <v>0.0</v>
      </c>
      <c r="L106" s="15">
        <f>'[01_Entry.xlsx]Book'!L106</f>
        <v>0.0</v>
      </c>
      <c r="M106" s="15">
        <f>'[01_Entry.xlsx]Book'!M106</f>
        <v>0.0</v>
      </c>
      <c r="P106" s="56">
        <f>IF($A106="","",IFERROR(VALUE(MID($A106,6,2)),""))</f>
        <v/>
      </c>
    </row>
    <row r="107" spans="7:16">
      <c r="G107" s="15">
        <f>'[01_Entry.xlsx]Book'!G107</f>
        <v>0.0</v>
      </c>
      <c r="H107" s="15">
        <f>'[01_Entry.xlsx]Book'!H107</f>
        <v>0.0</v>
      </c>
      <c r="I107" s="15">
        <f>'[01_Entry.xlsx]Book'!I107</f>
        <v>0.0</v>
      </c>
      <c r="K107" s="15">
        <f>'[01_Entry.xlsx]Book'!K107</f>
        <v>0.0</v>
      </c>
      <c r="L107" s="15">
        <f>'[01_Entry.xlsx]Book'!L107</f>
        <v>0.0</v>
      </c>
      <c r="M107" s="15">
        <f>'[01_Entry.xlsx]Book'!M107</f>
        <v>0.0</v>
      </c>
      <c r="P107" s="56">
        <f>IF($A107="","",IFERROR(VALUE(MID($A107,6,2)),""))</f>
        <v/>
      </c>
    </row>
    <row r="108" spans="7:16">
      <c r="G108" s="15">
        <f>'[01_Entry.xlsx]Book'!G108</f>
        <v>0.0</v>
      </c>
      <c r="H108" s="15">
        <f>'[01_Entry.xlsx]Book'!H108</f>
        <v>0.0</v>
      </c>
      <c r="I108" s="15">
        <f>'[01_Entry.xlsx]Book'!I108</f>
        <v>0.0</v>
      </c>
      <c r="K108" s="15">
        <f>'[01_Entry.xlsx]Book'!K108</f>
        <v>0.0</v>
      </c>
      <c r="L108" s="15">
        <f>'[01_Entry.xlsx]Book'!L108</f>
        <v>0.0</v>
      </c>
      <c r="M108" s="15">
        <f>'[01_Entry.xlsx]Book'!M108</f>
        <v>0.0</v>
      </c>
      <c r="P108" s="56">
        <f>IF($A108="","",IFERROR(VALUE(MID($A108,6,2)),""))</f>
        <v/>
      </c>
    </row>
    <row r="109" spans="7:16">
      <c r="G109" s="15">
        <f>'[01_Entry.xlsx]Book'!G109</f>
        <v>0.0</v>
      </c>
      <c r="H109" s="15">
        <f>'[01_Entry.xlsx]Book'!H109</f>
        <v>0.0</v>
      </c>
      <c r="I109" s="15">
        <f>'[01_Entry.xlsx]Book'!I109</f>
        <v>0.0</v>
      </c>
      <c r="K109" s="15">
        <f>'[01_Entry.xlsx]Book'!K109</f>
        <v>0.0</v>
      </c>
      <c r="L109" s="15">
        <f>'[01_Entry.xlsx]Book'!L109</f>
        <v>0.0</v>
      </c>
      <c r="M109" s="15">
        <f>'[01_Entry.xlsx]Book'!M109</f>
        <v>0.0</v>
      </c>
      <c r="P109" s="56">
        <f>IF($A109="","",IFERROR(VALUE(MID($A109,6,2)),""))</f>
        <v/>
      </c>
    </row>
    <row r="110" spans="7:16">
      <c r="G110" s="15">
        <f>'[01_Entry.xlsx]Book'!G110</f>
        <v>0.0</v>
      </c>
      <c r="H110" s="15">
        <f>'[01_Entry.xlsx]Book'!H110</f>
        <v>0.0</v>
      </c>
      <c r="I110" s="15">
        <f>'[01_Entry.xlsx]Book'!I110</f>
        <v>0.0</v>
      </c>
      <c r="K110" s="15">
        <f>'[01_Entry.xlsx]Book'!K110</f>
        <v>0.0</v>
      </c>
      <c r="L110" s="15">
        <f>'[01_Entry.xlsx]Book'!L110</f>
        <v>0.0</v>
      </c>
      <c r="M110" s="15">
        <f>'[01_Entry.xlsx]Book'!M110</f>
        <v>0.0</v>
      </c>
      <c r="P110" s="56">
        <f>IF($A110="","",IFERROR(VALUE(MID($A110,6,2)),""))</f>
        <v/>
      </c>
    </row>
    <row r="111" spans="7:16">
      <c r="G111" s="15">
        <f>'[01_Entry.xlsx]Book'!G111</f>
        <v>0.0</v>
      </c>
      <c r="H111" s="15">
        <f>'[01_Entry.xlsx]Book'!H111</f>
        <v>0.0</v>
      </c>
      <c r="I111" s="15">
        <f>'[01_Entry.xlsx]Book'!I111</f>
        <v>0.0</v>
      </c>
      <c r="K111" s="15">
        <f>'[01_Entry.xlsx]Book'!K111</f>
        <v>0.0</v>
      </c>
      <c r="L111" s="15">
        <f>'[01_Entry.xlsx]Book'!L111</f>
        <v>0.0</v>
      </c>
      <c r="M111" s="15">
        <f>'[01_Entry.xlsx]Book'!M111</f>
        <v>0.0</v>
      </c>
      <c r="P111" s="56">
        <f>IF($A111="","",IFERROR(VALUE(MID($A111,6,2)),""))</f>
        <v/>
      </c>
    </row>
    <row r="112" spans="7:16">
      <c r="G112" s="15">
        <f>'[01_Entry.xlsx]Book'!G112</f>
        <v>0.0</v>
      </c>
      <c r="H112" s="15">
        <f>'[01_Entry.xlsx]Book'!H112</f>
        <v>0.0</v>
      </c>
      <c r="I112" s="15">
        <f>'[01_Entry.xlsx]Book'!I112</f>
        <v>0.0</v>
      </c>
      <c r="K112" s="15">
        <f>'[01_Entry.xlsx]Book'!K112</f>
        <v>0.0</v>
      </c>
      <c r="L112" s="15">
        <f>'[01_Entry.xlsx]Book'!L112</f>
        <v>0.0</v>
      </c>
      <c r="M112" s="15">
        <f>'[01_Entry.xlsx]Book'!M112</f>
        <v>0.0</v>
      </c>
      <c r="P112" s="56">
        <f>IF($A112="","",IFERROR(VALUE(MID($A112,6,2)),""))</f>
        <v/>
      </c>
    </row>
    <row r="113" spans="7:16">
      <c r="G113" s="15">
        <f>'[01_Entry.xlsx]Book'!G113</f>
        <v>0.0</v>
      </c>
      <c r="H113" s="15">
        <f>'[01_Entry.xlsx]Book'!H113</f>
        <v>0.0</v>
      </c>
      <c r="I113" s="15">
        <f>'[01_Entry.xlsx]Book'!I113</f>
        <v>0.0</v>
      </c>
      <c r="K113" s="15">
        <f>'[01_Entry.xlsx]Book'!K113</f>
        <v>0.0</v>
      </c>
      <c r="L113" s="15">
        <f>'[01_Entry.xlsx]Book'!L113</f>
        <v>0.0</v>
      </c>
      <c r="M113" s="15">
        <f>'[01_Entry.xlsx]Book'!M113</f>
        <v>0.0</v>
      </c>
      <c r="P113" s="56">
        <f>IF($A113="","",IFERROR(VALUE(MID($A113,6,2)),""))</f>
        <v/>
      </c>
    </row>
    <row r="114" spans="7:16">
      <c r="G114" s="15">
        <f>'[01_Entry.xlsx]Book'!G114</f>
        <v>0.0</v>
      </c>
      <c r="H114" s="15">
        <f>'[01_Entry.xlsx]Book'!H114</f>
        <v>0.0</v>
      </c>
      <c r="I114" s="15">
        <f>'[01_Entry.xlsx]Book'!I114</f>
        <v>0.0</v>
      </c>
      <c r="K114" s="15">
        <f>'[01_Entry.xlsx]Book'!K114</f>
        <v>0.0</v>
      </c>
      <c r="L114" s="15">
        <f>'[01_Entry.xlsx]Book'!L114</f>
        <v>0.0</v>
      </c>
      <c r="M114" s="15">
        <f>'[01_Entry.xlsx]Book'!M114</f>
        <v>0.0</v>
      </c>
      <c r="P114" s="56">
        <f>IF($A114="","",IFERROR(VALUE(MID($A114,6,2)),""))</f>
        <v/>
      </c>
    </row>
    <row r="115" spans="7:16">
      <c r="G115" s="15">
        <f>'[01_Entry.xlsx]Book'!G115</f>
        <v>0.0</v>
      </c>
      <c r="H115" s="15">
        <f>'[01_Entry.xlsx]Book'!H115</f>
        <v>0.0</v>
      </c>
      <c r="I115" s="15">
        <f>'[01_Entry.xlsx]Book'!I115</f>
        <v>0.0</v>
      </c>
      <c r="K115" s="15">
        <f>'[01_Entry.xlsx]Book'!K115</f>
        <v>0.0</v>
      </c>
      <c r="L115" s="15">
        <f>'[01_Entry.xlsx]Book'!L115</f>
        <v>0.0</v>
      </c>
      <c r="M115" s="15">
        <f>'[01_Entry.xlsx]Book'!M115</f>
        <v>0.0</v>
      </c>
      <c r="P115" s="56">
        <f>IF($A115="","",IFERROR(VALUE(MID($A115,6,2)),""))</f>
        <v/>
      </c>
    </row>
    <row r="116" spans="7:16">
      <c r="G116" s="15">
        <f>'[01_Entry.xlsx]Book'!G116</f>
        <v>0.0</v>
      </c>
      <c r="H116" s="15">
        <f>'[01_Entry.xlsx]Book'!H116</f>
        <v>0.0</v>
      </c>
      <c r="I116" s="15">
        <f>'[01_Entry.xlsx]Book'!I116</f>
        <v>0.0</v>
      </c>
      <c r="K116" s="15">
        <f>'[01_Entry.xlsx]Book'!K116</f>
        <v>0.0</v>
      </c>
      <c r="L116" s="15">
        <f>'[01_Entry.xlsx]Book'!L116</f>
        <v>0.0</v>
      </c>
      <c r="M116" s="15">
        <f>'[01_Entry.xlsx]Book'!M116</f>
        <v>0.0</v>
      </c>
      <c r="P116" s="56">
        <f>IF($A116="","",IFERROR(VALUE(MID($A116,6,2)),""))</f>
        <v/>
      </c>
    </row>
    <row r="117" spans="7:16">
      <c r="G117" s="15">
        <f>'[01_Entry.xlsx]Book'!G117</f>
        <v>0.0</v>
      </c>
      <c r="H117" s="15">
        <f>'[01_Entry.xlsx]Book'!H117</f>
        <v>0.0</v>
      </c>
      <c r="I117" s="15">
        <f>'[01_Entry.xlsx]Book'!I117</f>
        <v>0.0</v>
      </c>
      <c r="K117" s="15">
        <f>'[01_Entry.xlsx]Book'!K117</f>
        <v>0.0</v>
      </c>
      <c r="L117" s="15">
        <f>'[01_Entry.xlsx]Book'!L117</f>
        <v>0.0</v>
      </c>
      <c r="M117" s="15">
        <f>'[01_Entry.xlsx]Book'!M117</f>
        <v>0.0</v>
      </c>
      <c r="P117" s="56">
        <f>IF($A117="","",IFERROR(VALUE(MID($A117,6,2)),""))</f>
        <v/>
      </c>
    </row>
    <row r="118" spans="7:16">
      <c r="G118" s="15">
        <f>'[01_Entry.xlsx]Book'!G118</f>
        <v>0.0</v>
      </c>
      <c r="H118" s="15">
        <f>'[01_Entry.xlsx]Book'!H118</f>
        <v>0.0</v>
      </c>
      <c r="I118" s="15">
        <f>'[01_Entry.xlsx]Book'!I118</f>
        <v>0.0</v>
      </c>
      <c r="K118" s="15">
        <f>'[01_Entry.xlsx]Book'!K118</f>
        <v>0.0</v>
      </c>
      <c r="L118" s="15">
        <f>'[01_Entry.xlsx]Book'!L118</f>
        <v>0.0</v>
      </c>
      <c r="M118" s="15">
        <f>'[01_Entry.xlsx]Book'!M118</f>
        <v>0.0</v>
      </c>
      <c r="P118" s="56">
        <f>IF($A118="","",IFERROR(VALUE(MID($A118,6,2)),""))</f>
        <v/>
      </c>
    </row>
    <row r="119" spans="7:16">
      <c r="G119" s="15">
        <f>'[01_Entry.xlsx]Book'!G119</f>
        <v>0.0</v>
      </c>
      <c r="H119" s="15">
        <f>'[01_Entry.xlsx]Book'!H119</f>
        <v>0.0</v>
      </c>
      <c r="I119" s="15">
        <f>'[01_Entry.xlsx]Book'!I119</f>
        <v>0.0</v>
      </c>
      <c r="K119" s="15">
        <f>'[01_Entry.xlsx]Book'!K119</f>
        <v>0.0</v>
      </c>
      <c r="L119" s="15">
        <f>'[01_Entry.xlsx]Book'!L119</f>
        <v>0.0</v>
      </c>
      <c r="M119" s="15">
        <f>'[01_Entry.xlsx]Book'!M119</f>
        <v>0.0</v>
      </c>
      <c r="P119" s="56">
        <f>IF($A119="","",IFERROR(VALUE(MID($A119,6,2)),""))</f>
        <v/>
      </c>
    </row>
    <row r="120" spans="7:16">
      <c r="G120" s="15">
        <f>'[01_Entry.xlsx]Book'!G120</f>
        <v>0.0</v>
      </c>
      <c r="H120" s="15">
        <f>'[01_Entry.xlsx]Book'!H120</f>
        <v>0.0</v>
      </c>
      <c r="I120" s="15">
        <f>'[01_Entry.xlsx]Book'!I120</f>
        <v>0.0</v>
      </c>
      <c r="K120" s="15">
        <f>'[01_Entry.xlsx]Book'!K120</f>
        <v>0.0</v>
      </c>
      <c r="L120" s="15">
        <f>'[01_Entry.xlsx]Book'!L120</f>
        <v>0.0</v>
      </c>
      <c r="M120" s="15">
        <f>'[01_Entry.xlsx]Book'!M120</f>
        <v>0.0</v>
      </c>
      <c r="P120" s="56">
        <f>IF($A120="","",IFERROR(VALUE(MID($A120,6,2)),""))</f>
        <v/>
      </c>
    </row>
    <row r="121" spans="7:16">
      <c r="G121" s="15">
        <f>'[01_Entry.xlsx]Book'!G121</f>
        <v>0.0</v>
      </c>
      <c r="H121" s="15">
        <f>'[01_Entry.xlsx]Book'!H121</f>
        <v>0.0</v>
      </c>
      <c r="I121" s="15">
        <f>'[01_Entry.xlsx]Book'!I121</f>
        <v>0.0</v>
      </c>
      <c r="K121" s="15">
        <f>'[01_Entry.xlsx]Book'!K121</f>
        <v>0.0</v>
      </c>
      <c r="L121" s="15">
        <f>'[01_Entry.xlsx]Book'!L121</f>
        <v>0.0</v>
      </c>
      <c r="M121" s="15">
        <f>'[01_Entry.xlsx]Book'!M121</f>
        <v>0.0</v>
      </c>
      <c r="P121" s="56">
        <f>IF($A121="","",IFERROR(VALUE(MID($A121,6,2)),""))</f>
        <v/>
      </c>
    </row>
    <row r="122" spans="7:16">
      <c r="G122" s="15">
        <f>'[01_Entry.xlsx]Book'!G122</f>
        <v>0.0</v>
      </c>
      <c r="H122" s="15">
        <f>'[01_Entry.xlsx]Book'!H122</f>
        <v>0.0</v>
      </c>
      <c r="I122" s="15">
        <f>'[01_Entry.xlsx]Book'!I122</f>
        <v>0.0</v>
      </c>
      <c r="K122" s="15">
        <f>'[01_Entry.xlsx]Book'!K122</f>
        <v>0.0</v>
      </c>
      <c r="L122" s="15">
        <f>'[01_Entry.xlsx]Book'!L122</f>
        <v>0.0</v>
      </c>
      <c r="M122" s="15">
        <f>'[01_Entry.xlsx]Book'!M122</f>
        <v>0.0</v>
      </c>
      <c r="P122" s="56">
        <f>IF($A122="","",IFERROR(VALUE(MID($A122,6,2)),""))</f>
        <v/>
      </c>
    </row>
    <row r="123" spans="7:16">
      <c r="G123" s="15">
        <f>'[01_Entry.xlsx]Book'!G123</f>
        <v>0.0</v>
      </c>
      <c r="H123" s="15">
        <f>'[01_Entry.xlsx]Book'!H123</f>
        <v>0.0</v>
      </c>
      <c r="I123" s="15">
        <f>'[01_Entry.xlsx]Book'!I123</f>
        <v>0.0</v>
      </c>
      <c r="K123" s="15">
        <f>'[01_Entry.xlsx]Book'!K123</f>
        <v>0.0</v>
      </c>
      <c r="L123" s="15">
        <f>'[01_Entry.xlsx]Book'!L123</f>
        <v>0.0</v>
      </c>
      <c r="M123" s="15">
        <f>'[01_Entry.xlsx]Book'!M123</f>
        <v>0.0</v>
      </c>
      <c r="P123" s="56">
        <f>IF($A123="","",IFERROR(VALUE(MID($A123,6,2)),""))</f>
        <v/>
      </c>
    </row>
    <row r="124" spans="7:16">
      <c r="G124" s="15">
        <f>'[01_Entry.xlsx]Book'!G124</f>
        <v>0.0</v>
      </c>
      <c r="H124" s="15">
        <f>'[01_Entry.xlsx]Book'!H124</f>
        <v>0.0</v>
      </c>
      <c r="I124" s="15">
        <f>'[01_Entry.xlsx]Book'!I124</f>
        <v>0.0</v>
      </c>
      <c r="K124" s="15">
        <f>'[01_Entry.xlsx]Book'!K124</f>
        <v>0.0</v>
      </c>
      <c r="L124" s="15">
        <f>'[01_Entry.xlsx]Book'!L124</f>
        <v>0.0</v>
      </c>
      <c r="M124" s="15">
        <f>'[01_Entry.xlsx]Book'!M124</f>
        <v>0.0</v>
      </c>
      <c r="P124" s="56">
        <f>IF($A124="","",IFERROR(VALUE(MID($A124,6,2)),""))</f>
        <v/>
      </c>
    </row>
    <row r="125" spans="7:16">
      <c r="G125" s="15">
        <f>'[01_Entry.xlsx]Book'!G125</f>
        <v>0.0</v>
      </c>
      <c r="H125" s="15">
        <f>'[01_Entry.xlsx]Book'!H125</f>
        <v>0.0</v>
      </c>
      <c r="I125" s="15">
        <f>'[01_Entry.xlsx]Book'!I125</f>
        <v>0.0</v>
      </c>
      <c r="K125" s="15">
        <f>'[01_Entry.xlsx]Book'!K125</f>
        <v>0.0</v>
      </c>
      <c r="L125" s="15">
        <f>'[01_Entry.xlsx]Book'!L125</f>
        <v>0.0</v>
      </c>
      <c r="M125" s="15">
        <f>'[01_Entry.xlsx]Book'!M125</f>
        <v>0.0</v>
      </c>
      <c r="P125" s="56">
        <f>IF($A125="","",IFERROR(VALUE(MID($A125,6,2)),""))</f>
        <v/>
      </c>
    </row>
    <row r="126" spans="7:16">
      <c r="G126" s="15">
        <f>'[01_Entry.xlsx]Book'!G126</f>
        <v>0.0</v>
      </c>
      <c r="H126" s="15">
        <f>'[01_Entry.xlsx]Book'!H126</f>
        <v>0.0</v>
      </c>
      <c r="I126" s="15">
        <f>'[01_Entry.xlsx]Book'!I126</f>
        <v>0.0</v>
      </c>
      <c r="K126" s="15">
        <f>'[01_Entry.xlsx]Book'!K126</f>
        <v>0.0</v>
      </c>
      <c r="L126" s="15">
        <f>'[01_Entry.xlsx]Book'!L126</f>
        <v>0.0</v>
      </c>
      <c r="M126" s="15">
        <f>'[01_Entry.xlsx]Book'!M126</f>
        <v>0.0</v>
      </c>
      <c r="P126" s="56">
        <f>IF($A126="","",IFERROR(VALUE(MID($A126,6,2)),""))</f>
        <v/>
      </c>
    </row>
    <row r="127" spans="7:16">
      <c r="G127" s="15">
        <f>'[01_Entry.xlsx]Book'!G127</f>
        <v>0.0</v>
      </c>
      <c r="H127" s="15">
        <f>'[01_Entry.xlsx]Book'!H127</f>
        <v>0.0</v>
      </c>
      <c r="I127" s="15">
        <f>'[01_Entry.xlsx]Book'!I127</f>
        <v>0.0</v>
      </c>
      <c r="K127" s="15">
        <f>'[01_Entry.xlsx]Book'!K127</f>
        <v>0.0</v>
      </c>
      <c r="L127" s="15">
        <f>'[01_Entry.xlsx]Book'!L127</f>
        <v>0.0</v>
      </c>
      <c r="M127" s="15">
        <f>'[01_Entry.xlsx]Book'!M127</f>
        <v>0.0</v>
      </c>
      <c r="P127" s="56">
        <f>IF($A127="","",IFERROR(VALUE(MID($A127,6,2)),""))</f>
        <v/>
      </c>
    </row>
    <row r="128" spans="7:16">
      <c r="G128" s="15">
        <f>'[01_Entry.xlsx]Book'!G128</f>
        <v>0.0</v>
      </c>
      <c r="H128" s="15">
        <f>'[01_Entry.xlsx]Book'!H128</f>
        <v>0.0</v>
      </c>
      <c r="I128" s="15">
        <f>'[01_Entry.xlsx]Book'!I128</f>
        <v>0.0</v>
      </c>
      <c r="K128" s="15">
        <f>'[01_Entry.xlsx]Book'!K128</f>
        <v>0.0</v>
      </c>
      <c r="L128" s="15">
        <f>'[01_Entry.xlsx]Book'!L128</f>
        <v>0.0</v>
      </c>
      <c r="M128" s="15">
        <f>'[01_Entry.xlsx]Book'!M128</f>
        <v>0.0</v>
      </c>
      <c r="P128" s="56">
        <f>IF($A128="","",IFERROR(VALUE(MID($A128,6,2)),""))</f>
        <v/>
      </c>
    </row>
    <row r="129" spans="7:16">
      <c r="G129" s="15">
        <f>'[01_Entry.xlsx]Book'!G129</f>
        <v>0.0</v>
      </c>
      <c r="H129" s="15">
        <f>'[01_Entry.xlsx]Book'!H129</f>
        <v>0.0</v>
      </c>
      <c r="I129" s="15">
        <f>'[01_Entry.xlsx]Book'!I129</f>
        <v>0.0</v>
      </c>
      <c r="K129" s="15">
        <f>'[01_Entry.xlsx]Book'!K129</f>
        <v>0.0</v>
      </c>
      <c r="L129" s="15">
        <f>'[01_Entry.xlsx]Book'!L129</f>
        <v>0.0</v>
      </c>
      <c r="M129" s="15">
        <f>'[01_Entry.xlsx]Book'!M129</f>
        <v>0.0</v>
      </c>
      <c r="P129" s="56">
        <f>IF($A129="","",IFERROR(VALUE(MID($A129,6,2)),""))</f>
        <v/>
      </c>
    </row>
    <row r="130" spans="7:16">
      <c r="G130" s="15">
        <f>'[01_Entry.xlsx]Book'!G130</f>
        <v>0.0</v>
      </c>
      <c r="H130" s="15">
        <f>'[01_Entry.xlsx]Book'!H130</f>
        <v>0.0</v>
      </c>
      <c r="I130" s="15">
        <f>'[01_Entry.xlsx]Book'!I130</f>
        <v>0.0</v>
      </c>
      <c r="K130" s="15">
        <f>'[01_Entry.xlsx]Book'!K130</f>
        <v>0.0</v>
      </c>
      <c r="L130" s="15">
        <f>'[01_Entry.xlsx]Book'!L130</f>
        <v>0.0</v>
      </c>
      <c r="M130" s="15">
        <f>'[01_Entry.xlsx]Book'!M130</f>
        <v>0.0</v>
      </c>
      <c r="P130" s="56">
        <f>IF($A130="","",IFERROR(VALUE(MID($A130,6,2)),""))</f>
        <v/>
      </c>
    </row>
    <row r="131" spans="7:16">
      <c r="G131" s="15">
        <f>'[01_Entry.xlsx]Book'!G131</f>
        <v>0.0</v>
      </c>
      <c r="H131" s="15">
        <f>'[01_Entry.xlsx]Book'!H131</f>
        <v>0.0</v>
      </c>
      <c r="I131" s="15">
        <f>'[01_Entry.xlsx]Book'!I131</f>
        <v>0.0</v>
      </c>
      <c r="K131" s="15">
        <f>'[01_Entry.xlsx]Book'!K131</f>
        <v>0.0</v>
      </c>
      <c r="L131" s="15">
        <f>'[01_Entry.xlsx]Book'!L131</f>
        <v>0.0</v>
      </c>
      <c r="M131" s="15">
        <f>'[01_Entry.xlsx]Book'!M131</f>
        <v>0.0</v>
      </c>
      <c r="P131" s="56">
        <f>IF($A131="","",IFERROR(VALUE(MID($A131,6,2)),""))</f>
        <v/>
      </c>
    </row>
    <row r="132" spans="7:16">
      <c r="G132" s="15">
        <f>'[01_Entry.xlsx]Book'!G132</f>
        <v>0.0</v>
      </c>
      <c r="H132" s="15">
        <f>'[01_Entry.xlsx]Book'!H132</f>
        <v>0.0</v>
      </c>
      <c r="I132" s="15">
        <f>'[01_Entry.xlsx]Book'!I132</f>
        <v>0.0</v>
      </c>
      <c r="K132" s="15">
        <f>'[01_Entry.xlsx]Book'!K132</f>
        <v>0.0</v>
      </c>
      <c r="L132" s="15">
        <f>'[01_Entry.xlsx]Book'!L132</f>
        <v>0.0</v>
      </c>
      <c r="M132" s="15">
        <f>'[01_Entry.xlsx]Book'!M132</f>
        <v>0.0</v>
      </c>
      <c r="P132" s="56">
        <f>IF($A132="","",IFERROR(VALUE(MID($A132,6,2)),""))</f>
        <v/>
      </c>
    </row>
    <row r="133" spans="7:16">
      <c r="G133" s="15">
        <f>'[01_Entry.xlsx]Book'!G133</f>
        <v>0.0</v>
      </c>
      <c r="H133" s="15">
        <f>'[01_Entry.xlsx]Book'!H133</f>
        <v>0.0</v>
      </c>
      <c r="I133" s="15">
        <f>'[01_Entry.xlsx]Book'!I133</f>
        <v>0.0</v>
      </c>
      <c r="K133" s="15">
        <f>'[01_Entry.xlsx]Book'!K133</f>
        <v>0.0</v>
      </c>
      <c r="L133" s="15">
        <f>'[01_Entry.xlsx]Book'!L133</f>
        <v>0.0</v>
      </c>
      <c r="M133" s="15">
        <f>'[01_Entry.xlsx]Book'!M133</f>
        <v>0.0</v>
      </c>
      <c r="P133" s="56">
        <f>IF($A133="","",IFERROR(VALUE(MID($A133,6,2)),""))</f>
        <v/>
      </c>
    </row>
    <row r="134" spans="7:16">
      <c r="G134" s="15">
        <f>'[01_Entry.xlsx]Book'!G134</f>
        <v>0.0</v>
      </c>
      <c r="H134" s="15">
        <f>'[01_Entry.xlsx]Book'!H134</f>
        <v>0.0</v>
      </c>
      <c r="I134" s="15">
        <f>'[01_Entry.xlsx]Book'!I134</f>
        <v>0.0</v>
      </c>
      <c r="K134" s="15">
        <f>'[01_Entry.xlsx]Book'!K134</f>
        <v>0.0</v>
      </c>
      <c r="L134" s="15">
        <f>'[01_Entry.xlsx]Book'!L134</f>
        <v>0.0</v>
      </c>
      <c r="M134" s="15">
        <f>'[01_Entry.xlsx]Book'!M134</f>
        <v>0.0</v>
      </c>
      <c r="P134" s="56">
        <f>IF($A134="","",IFERROR(VALUE(MID($A134,6,2)),""))</f>
        <v/>
      </c>
    </row>
    <row r="135" spans="7:16">
      <c r="G135" s="15">
        <f>'[01_Entry.xlsx]Book'!G135</f>
        <v>0.0</v>
      </c>
      <c r="H135" s="15">
        <f>'[01_Entry.xlsx]Book'!H135</f>
        <v>0.0</v>
      </c>
      <c r="I135" s="15">
        <f>'[01_Entry.xlsx]Book'!I135</f>
        <v>0.0</v>
      </c>
      <c r="K135" s="15">
        <f>'[01_Entry.xlsx]Book'!K135</f>
        <v>0.0</v>
      </c>
      <c r="L135" s="15">
        <f>'[01_Entry.xlsx]Book'!L135</f>
        <v>0.0</v>
      </c>
      <c r="M135" s="15">
        <f>'[01_Entry.xlsx]Book'!M135</f>
        <v>0.0</v>
      </c>
      <c r="P135" s="56">
        <f>IF($A135="","",IFERROR(VALUE(MID($A135,6,2)),""))</f>
        <v/>
      </c>
    </row>
    <row r="136" spans="7:16">
      <c r="G136" s="15">
        <f>'[01_Entry.xlsx]Book'!G136</f>
        <v>0.0</v>
      </c>
      <c r="H136" s="15">
        <f>'[01_Entry.xlsx]Book'!H136</f>
        <v>0.0</v>
      </c>
      <c r="I136" s="15">
        <f>'[01_Entry.xlsx]Book'!I136</f>
        <v>0.0</v>
      </c>
      <c r="K136" s="15">
        <f>'[01_Entry.xlsx]Book'!K136</f>
        <v>0.0</v>
      </c>
      <c r="L136" s="15">
        <f>'[01_Entry.xlsx]Book'!L136</f>
        <v>0.0</v>
      </c>
      <c r="M136" s="15">
        <f>'[01_Entry.xlsx]Book'!M136</f>
        <v>0.0</v>
      </c>
      <c r="P136" s="56">
        <f>IF($A136="","",IFERROR(VALUE(MID($A136,6,2)),""))</f>
        <v/>
      </c>
    </row>
    <row r="137" spans="7:16">
      <c r="G137" s="15">
        <f>'[01_Entry.xlsx]Book'!G137</f>
        <v>0.0</v>
      </c>
      <c r="H137" s="15">
        <f>'[01_Entry.xlsx]Book'!H137</f>
        <v>0.0</v>
      </c>
      <c r="I137" s="15">
        <f>'[01_Entry.xlsx]Book'!I137</f>
        <v>0.0</v>
      </c>
      <c r="K137" s="15">
        <f>'[01_Entry.xlsx]Book'!K137</f>
        <v>0.0</v>
      </c>
      <c r="L137" s="15">
        <f>'[01_Entry.xlsx]Book'!L137</f>
        <v>0.0</v>
      </c>
      <c r="M137" s="15">
        <f>'[01_Entry.xlsx]Book'!M137</f>
        <v>0.0</v>
      </c>
      <c r="P137" s="56">
        <f>IF($A137="","",IFERROR(VALUE(MID($A137,6,2)),""))</f>
        <v/>
      </c>
    </row>
    <row r="138" spans="7:16">
      <c r="G138" s="15">
        <f>'[01_Entry.xlsx]Book'!G138</f>
        <v>0.0</v>
      </c>
      <c r="H138" s="15">
        <f>'[01_Entry.xlsx]Book'!H138</f>
        <v>0.0</v>
      </c>
      <c r="I138" s="15">
        <f>'[01_Entry.xlsx]Book'!I138</f>
        <v>0.0</v>
      </c>
      <c r="K138" s="15">
        <f>'[01_Entry.xlsx]Book'!K138</f>
        <v>0.0</v>
      </c>
      <c r="L138" s="15">
        <f>'[01_Entry.xlsx]Book'!L138</f>
        <v>0.0</v>
      </c>
      <c r="M138" s="15">
        <f>'[01_Entry.xlsx]Book'!M138</f>
        <v>0.0</v>
      </c>
      <c r="P138" s="56">
        <f>IF($A138="","",IFERROR(VALUE(MID($A138,6,2)),""))</f>
        <v/>
      </c>
    </row>
    <row r="139" spans="7:16">
      <c r="G139" s="15">
        <f>'[01_Entry.xlsx]Book'!G139</f>
        <v>0.0</v>
      </c>
      <c r="H139" s="15">
        <f>'[01_Entry.xlsx]Book'!H139</f>
        <v>0.0</v>
      </c>
      <c r="I139" s="15">
        <f>'[01_Entry.xlsx]Book'!I139</f>
        <v>0.0</v>
      </c>
      <c r="K139" s="15">
        <f>'[01_Entry.xlsx]Book'!K139</f>
        <v>0.0</v>
      </c>
      <c r="L139" s="15">
        <f>'[01_Entry.xlsx]Book'!L139</f>
        <v>0.0</v>
      </c>
      <c r="M139" s="15">
        <f>'[01_Entry.xlsx]Book'!M139</f>
        <v>0.0</v>
      </c>
      <c r="P139" s="56">
        <f>IF($A139="","",IFERROR(VALUE(MID($A139,6,2)),""))</f>
        <v/>
      </c>
    </row>
    <row r="140" spans="7:16">
      <c r="G140" s="15">
        <f>'[01_Entry.xlsx]Book'!G140</f>
        <v>0.0</v>
      </c>
      <c r="H140" s="15">
        <f>'[01_Entry.xlsx]Book'!H140</f>
        <v>0.0</v>
      </c>
      <c r="I140" s="15">
        <f>'[01_Entry.xlsx]Book'!I140</f>
        <v>0.0</v>
      </c>
      <c r="K140" s="15">
        <f>'[01_Entry.xlsx]Book'!K140</f>
        <v>0.0</v>
      </c>
      <c r="L140" s="15">
        <f>'[01_Entry.xlsx]Book'!L140</f>
        <v>0.0</v>
      </c>
      <c r="M140" s="15">
        <f>'[01_Entry.xlsx]Book'!M140</f>
        <v>0.0</v>
      </c>
      <c r="P140" s="56">
        <f>IF($A140="","",IFERROR(VALUE(MID($A140,6,2)),""))</f>
        <v/>
      </c>
    </row>
    <row r="141" spans="7:16">
      <c r="G141" s="15">
        <f>'[01_Entry.xlsx]Book'!G141</f>
        <v>0.0</v>
      </c>
      <c r="H141" s="15">
        <f>'[01_Entry.xlsx]Book'!H141</f>
        <v>0.0</v>
      </c>
      <c r="I141" s="15">
        <f>'[01_Entry.xlsx]Book'!I141</f>
        <v>0.0</v>
      </c>
      <c r="K141" s="15">
        <f>'[01_Entry.xlsx]Book'!K141</f>
        <v>0.0</v>
      </c>
      <c r="L141" s="15">
        <f>'[01_Entry.xlsx]Book'!L141</f>
        <v>0.0</v>
      </c>
      <c r="M141" s="15">
        <f>'[01_Entry.xlsx]Book'!M141</f>
        <v>0.0</v>
      </c>
      <c r="P141" s="56">
        <f>IF($A141="","",IFERROR(VALUE(MID($A141,6,2)),""))</f>
        <v/>
      </c>
    </row>
    <row r="142" spans="7:16">
      <c r="G142" s="15">
        <f>'[01_Entry.xlsx]Book'!G142</f>
        <v>0.0</v>
      </c>
      <c r="H142" s="15">
        <f>'[01_Entry.xlsx]Book'!H142</f>
        <v>0.0</v>
      </c>
      <c r="I142" s="15">
        <f>'[01_Entry.xlsx]Book'!I142</f>
        <v>0.0</v>
      </c>
      <c r="K142" s="15">
        <f>'[01_Entry.xlsx]Book'!K142</f>
        <v>0.0</v>
      </c>
      <c r="L142" s="15">
        <f>'[01_Entry.xlsx]Book'!L142</f>
        <v>0.0</v>
      </c>
      <c r="M142" s="15">
        <f>'[01_Entry.xlsx]Book'!M142</f>
        <v>0.0</v>
      </c>
      <c r="P142" s="56">
        <f>IF($A142="","",IFERROR(VALUE(MID($A142,6,2)),""))</f>
        <v/>
      </c>
    </row>
    <row r="143" spans="7:16">
      <c r="G143" s="15">
        <f>'[01_Entry.xlsx]Book'!G143</f>
        <v>0.0</v>
      </c>
      <c r="H143" s="15">
        <f>'[01_Entry.xlsx]Book'!H143</f>
        <v>0.0</v>
      </c>
      <c r="I143" s="15">
        <f>'[01_Entry.xlsx]Book'!I143</f>
        <v>0.0</v>
      </c>
      <c r="K143" s="15">
        <f>'[01_Entry.xlsx]Book'!K143</f>
        <v>0.0</v>
      </c>
      <c r="L143" s="15">
        <f>'[01_Entry.xlsx]Book'!L143</f>
        <v>0.0</v>
      </c>
      <c r="M143" s="15">
        <f>'[01_Entry.xlsx]Book'!M143</f>
        <v>0.0</v>
      </c>
      <c r="P143" s="56">
        <f>IF($A143="","",IFERROR(VALUE(MID($A143,6,2)),""))</f>
        <v/>
      </c>
    </row>
    <row r="144" spans="7:16">
      <c r="G144" s="15">
        <f>'[01_Entry.xlsx]Book'!G144</f>
        <v>0.0</v>
      </c>
      <c r="H144" s="15">
        <f>'[01_Entry.xlsx]Book'!H144</f>
        <v>0.0</v>
      </c>
      <c r="I144" s="15">
        <f>'[01_Entry.xlsx]Book'!I144</f>
        <v>0.0</v>
      </c>
      <c r="K144" s="15">
        <f>'[01_Entry.xlsx]Book'!K144</f>
        <v>0.0</v>
      </c>
      <c r="L144" s="15">
        <f>'[01_Entry.xlsx]Book'!L144</f>
        <v>0.0</v>
      </c>
      <c r="M144" s="15">
        <f>'[01_Entry.xlsx]Book'!M144</f>
        <v>0.0</v>
      </c>
      <c r="P144" s="56">
        <f>IF($A144="","",IFERROR(VALUE(MID($A144,6,2)),""))</f>
        <v/>
      </c>
    </row>
    <row r="145" spans="7:16">
      <c r="G145" s="15">
        <f>'[01_Entry.xlsx]Book'!G145</f>
        <v>0.0</v>
      </c>
      <c r="H145" s="15">
        <f>'[01_Entry.xlsx]Book'!H145</f>
        <v>0.0</v>
      </c>
      <c r="I145" s="15">
        <f>'[01_Entry.xlsx]Book'!I145</f>
        <v>0.0</v>
      </c>
      <c r="K145" s="15">
        <f>'[01_Entry.xlsx]Book'!K145</f>
        <v>0.0</v>
      </c>
      <c r="L145" s="15">
        <f>'[01_Entry.xlsx]Book'!L145</f>
        <v>0.0</v>
      </c>
      <c r="M145" s="15">
        <f>'[01_Entry.xlsx]Book'!M145</f>
        <v>0.0</v>
      </c>
      <c r="P145" s="56">
        <f>IF($A145="","",IFERROR(VALUE(MID($A145,6,2)),""))</f>
        <v/>
      </c>
    </row>
    <row r="146" spans="7:16">
      <c r="G146" s="15">
        <f>'[01_Entry.xlsx]Book'!G146</f>
        <v>0.0</v>
      </c>
      <c r="H146" s="15">
        <f>'[01_Entry.xlsx]Book'!H146</f>
        <v>0.0</v>
      </c>
      <c r="I146" s="15">
        <f>'[01_Entry.xlsx]Book'!I146</f>
        <v>0.0</v>
      </c>
      <c r="K146" s="15">
        <f>'[01_Entry.xlsx]Book'!K146</f>
        <v>0.0</v>
      </c>
      <c r="L146" s="15">
        <f>'[01_Entry.xlsx]Book'!L146</f>
        <v>0.0</v>
      </c>
      <c r="M146" s="15">
        <f>'[01_Entry.xlsx]Book'!M146</f>
        <v>0.0</v>
      </c>
      <c r="P146" s="56">
        <f>IF($A146="","",IFERROR(VALUE(MID($A146,6,2)),""))</f>
        <v/>
      </c>
    </row>
    <row r="147" spans="7:16">
      <c r="G147" s="15">
        <f>'[01_Entry.xlsx]Book'!G147</f>
        <v>0.0</v>
      </c>
      <c r="H147" s="15">
        <f>'[01_Entry.xlsx]Book'!H147</f>
        <v>0.0</v>
      </c>
      <c r="I147" s="15">
        <f>'[01_Entry.xlsx]Book'!I147</f>
        <v>0.0</v>
      </c>
      <c r="K147" s="15">
        <f>'[01_Entry.xlsx]Book'!K147</f>
        <v>0.0</v>
      </c>
      <c r="L147" s="15">
        <f>'[01_Entry.xlsx]Book'!L147</f>
        <v>0.0</v>
      </c>
      <c r="M147" s="15">
        <f>'[01_Entry.xlsx]Book'!M147</f>
        <v>0.0</v>
      </c>
      <c r="P147" s="56">
        <f>IF($A147="","",IFERROR(VALUE(MID($A147,6,2)),""))</f>
        <v/>
      </c>
    </row>
    <row r="148" spans="7:16">
      <c r="G148" s="15">
        <f>'[01_Entry.xlsx]Book'!G148</f>
        <v>0.0</v>
      </c>
      <c r="H148" s="15">
        <f>'[01_Entry.xlsx]Book'!H148</f>
        <v>0.0</v>
      </c>
      <c r="I148" s="15">
        <f>'[01_Entry.xlsx]Book'!I148</f>
        <v>0.0</v>
      </c>
      <c r="K148" s="15">
        <f>'[01_Entry.xlsx]Book'!K148</f>
        <v>0.0</v>
      </c>
      <c r="L148" s="15">
        <f>'[01_Entry.xlsx]Book'!L148</f>
        <v>0.0</v>
      </c>
      <c r="M148" s="15">
        <f>'[01_Entry.xlsx]Book'!M148</f>
        <v>0.0</v>
      </c>
      <c r="P148" s="56">
        <f>IF($A148="","",IFERROR(VALUE(MID($A148,6,2)),""))</f>
        <v/>
      </c>
    </row>
    <row r="149" spans="7:16">
      <c r="G149" s="15">
        <f>'[01_Entry.xlsx]Book'!G149</f>
        <v>0.0</v>
      </c>
      <c r="H149" s="15">
        <f>'[01_Entry.xlsx]Book'!H149</f>
        <v>0.0</v>
      </c>
      <c r="I149" s="15">
        <f>'[01_Entry.xlsx]Book'!I149</f>
        <v>0.0</v>
      </c>
      <c r="K149" s="15">
        <f>'[01_Entry.xlsx]Book'!K149</f>
        <v>0.0</v>
      </c>
      <c r="L149" s="15">
        <f>'[01_Entry.xlsx]Book'!L149</f>
        <v>0.0</v>
      </c>
      <c r="M149" s="15">
        <f>'[01_Entry.xlsx]Book'!M149</f>
        <v>0.0</v>
      </c>
      <c r="P149" s="56">
        <f>IF($A149="","",IFERROR(VALUE(MID($A149,6,2)),""))</f>
        <v/>
      </c>
    </row>
    <row r="150" spans="7:16">
      <c r="G150" s="15">
        <f>'[01_Entry.xlsx]Book'!G150</f>
        <v>0.0</v>
      </c>
      <c r="H150" s="15">
        <f>'[01_Entry.xlsx]Book'!H150</f>
        <v>0.0</v>
      </c>
      <c r="I150" s="15">
        <f>'[01_Entry.xlsx]Book'!I150</f>
        <v>0.0</v>
      </c>
      <c r="K150" s="15">
        <f>'[01_Entry.xlsx]Book'!K150</f>
        <v>0.0</v>
      </c>
      <c r="L150" s="15">
        <f>'[01_Entry.xlsx]Book'!L150</f>
        <v>0.0</v>
      </c>
      <c r="M150" s="15">
        <f>'[01_Entry.xlsx]Book'!M150</f>
        <v>0.0</v>
      </c>
      <c r="P150" s="56">
        <f>IF($A150="","",IFERROR(VALUE(MID($A150,6,2)),""))</f>
        <v/>
      </c>
    </row>
    <row r="151" spans="7:16">
      <c r="G151" s="15">
        <f>'[01_Entry.xlsx]Book'!G151</f>
        <v>0.0</v>
      </c>
      <c r="H151" s="15">
        <f>'[01_Entry.xlsx]Book'!H151</f>
        <v>0.0</v>
      </c>
      <c r="I151" s="15">
        <f>'[01_Entry.xlsx]Book'!I151</f>
        <v>0.0</v>
      </c>
      <c r="K151" s="15">
        <f>'[01_Entry.xlsx]Book'!K151</f>
        <v>0.0</v>
      </c>
      <c r="L151" s="15">
        <f>'[01_Entry.xlsx]Book'!L151</f>
        <v>0.0</v>
      </c>
      <c r="M151" s="15">
        <f>'[01_Entry.xlsx]Book'!M151</f>
        <v>0.0</v>
      </c>
      <c r="P151" s="56">
        <f>IF($A151="","",IFERROR(VALUE(MID($A151,6,2)),""))</f>
        <v/>
      </c>
    </row>
    <row r="152" spans="7:16">
      <c r="G152" s="15">
        <f>'[01_Entry.xlsx]Book'!G152</f>
        <v>0.0</v>
      </c>
      <c r="H152" s="15">
        <f>'[01_Entry.xlsx]Book'!H152</f>
        <v>0.0</v>
      </c>
      <c r="I152" s="15">
        <f>'[01_Entry.xlsx]Book'!I152</f>
        <v>0.0</v>
      </c>
      <c r="K152" s="15">
        <f>'[01_Entry.xlsx]Book'!K152</f>
        <v>0.0</v>
      </c>
      <c r="L152" s="15">
        <f>'[01_Entry.xlsx]Book'!L152</f>
        <v>0.0</v>
      </c>
      <c r="M152" s="15">
        <f>'[01_Entry.xlsx]Book'!M152</f>
        <v>0.0</v>
      </c>
      <c r="P152" s="56">
        <f>IF($A152="","",IFERROR(VALUE(MID($A152,6,2)),""))</f>
        <v/>
      </c>
    </row>
    <row r="153" spans="7:16">
      <c r="G153" s="15">
        <f>'[01_Entry.xlsx]Book'!G153</f>
        <v>0.0</v>
      </c>
      <c r="H153" s="15">
        <f>'[01_Entry.xlsx]Book'!H153</f>
        <v>0.0</v>
      </c>
      <c r="I153" s="15">
        <f>'[01_Entry.xlsx]Book'!I153</f>
        <v>0.0</v>
      </c>
      <c r="K153" s="15">
        <f>'[01_Entry.xlsx]Book'!K153</f>
        <v>0.0</v>
      </c>
      <c r="L153" s="15">
        <f>'[01_Entry.xlsx]Book'!L153</f>
        <v>0.0</v>
      </c>
      <c r="M153" s="15">
        <f>'[01_Entry.xlsx]Book'!M153</f>
        <v>0.0</v>
      </c>
      <c r="P153" s="56">
        <f>IF($A153="","",IFERROR(VALUE(MID($A153,6,2)),""))</f>
        <v/>
      </c>
    </row>
    <row r="154" spans="7:16">
      <c r="G154" s="15">
        <f>'[01_Entry.xlsx]Book'!G154</f>
        <v>0.0</v>
      </c>
      <c r="H154" s="15">
        <f>'[01_Entry.xlsx]Book'!H154</f>
        <v>0.0</v>
      </c>
      <c r="I154" s="15">
        <f>'[01_Entry.xlsx]Book'!I154</f>
        <v>0.0</v>
      </c>
      <c r="K154" s="15">
        <f>'[01_Entry.xlsx]Book'!K154</f>
        <v>0.0</v>
      </c>
      <c r="L154" s="15">
        <f>'[01_Entry.xlsx]Book'!L154</f>
        <v>0.0</v>
      </c>
      <c r="M154" s="15">
        <f>'[01_Entry.xlsx]Book'!M154</f>
        <v>0.0</v>
      </c>
      <c r="P154" s="56">
        <f>IF($A154="","",IFERROR(VALUE(MID($A154,6,2)),""))</f>
        <v/>
      </c>
    </row>
    <row r="155" spans="7:16">
      <c r="G155" s="15">
        <f>'[01_Entry.xlsx]Book'!G155</f>
        <v>0.0</v>
      </c>
      <c r="H155" s="15">
        <f>'[01_Entry.xlsx]Book'!H155</f>
        <v>0.0</v>
      </c>
      <c r="I155" s="15">
        <f>'[01_Entry.xlsx]Book'!I155</f>
        <v>0.0</v>
      </c>
      <c r="K155" s="15">
        <f>'[01_Entry.xlsx]Book'!K155</f>
        <v>0.0</v>
      </c>
      <c r="L155" s="15">
        <f>'[01_Entry.xlsx]Book'!L155</f>
        <v>0.0</v>
      </c>
      <c r="M155" s="15">
        <f>'[01_Entry.xlsx]Book'!M155</f>
        <v>0.0</v>
      </c>
      <c r="P155" s="56">
        <f>IF($A155="","",IFERROR(VALUE(MID($A155,6,2)),""))</f>
        <v/>
      </c>
    </row>
    <row r="156" spans="7:16">
      <c r="G156" s="15">
        <f>'[01_Entry.xlsx]Book'!G156</f>
        <v>0.0</v>
      </c>
      <c r="H156" s="15">
        <f>'[01_Entry.xlsx]Book'!H156</f>
        <v>0.0</v>
      </c>
      <c r="I156" s="15">
        <f>'[01_Entry.xlsx]Book'!I156</f>
        <v>0.0</v>
      </c>
      <c r="K156" s="15">
        <f>'[01_Entry.xlsx]Book'!K156</f>
        <v>0.0</v>
      </c>
      <c r="L156" s="15">
        <f>'[01_Entry.xlsx]Book'!L156</f>
        <v>0.0</v>
      </c>
      <c r="M156" s="15">
        <f>'[01_Entry.xlsx]Book'!M156</f>
        <v>0.0</v>
      </c>
      <c r="P156" s="56">
        <f>IF($A156="","",IFERROR(VALUE(MID($A156,6,2)),""))</f>
        <v/>
      </c>
    </row>
    <row r="157" spans="7:16">
      <c r="G157" s="15">
        <f>'[01_Entry.xlsx]Book'!G157</f>
        <v>0.0</v>
      </c>
      <c r="H157" s="15">
        <f>'[01_Entry.xlsx]Book'!H157</f>
        <v>0.0</v>
      </c>
      <c r="I157" s="15">
        <f>'[01_Entry.xlsx]Book'!I157</f>
        <v>0.0</v>
      </c>
      <c r="K157" s="15">
        <f>'[01_Entry.xlsx]Book'!K157</f>
        <v>0.0</v>
      </c>
      <c r="L157" s="15">
        <f>'[01_Entry.xlsx]Book'!L157</f>
        <v>0.0</v>
      </c>
      <c r="M157" s="15">
        <f>'[01_Entry.xlsx]Book'!M157</f>
        <v>0.0</v>
      </c>
      <c r="P157" s="56">
        <f>IF($A157="","",IFERROR(VALUE(MID($A157,6,2)),""))</f>
        <v/>
      </c>
    </row>
    <row r="158" spans="7:16">
      <c r="G158" s="15">
        <f>'[01_Entry.xlsx]Book'!G158</f>
        <v>0.0</v>
      </c>
      <c r="H158" s="15">
        <f>'[01_Entry.xlsx]Book'!H158</f>
        <v>0.0</v>
      </c>
      <c r="I158" s="15">
        <f>'[01_Entry.xlsx]Book'!I158</f>
        <v>0.0</v>
      </c>
      <c r="K158" s="15">
        <f>'[01_Entry.xlsx]Book'!K158</f>
        <v>0.0</v>
      </c>
      <c r="L158" s="15">
        <f>'[01_Entry.xlsx]Book'!L158</f>
        <v>0.0</v>
      </c>
      <c r="M158" s="15">
        <f>'[01_Entry.xlsx]Book'!M158</f>
        <v>0.0</v>
      </c>
      <c r="P158" s="56">
        <f>IF($A158="","",IFERROR(VALUE(MID($A158,6,2)),""))</f>
        <v/>
      </c>
    </row>
    <row r="159" spans="7:16">
      <c r="G159" s="15">
        <f>'[01_Entry.xlsx]Book'!G159</f>
        <v>0.0</v>
      </c>
      <c r="H159" s="15">
        <f>'[01_Entry.xlsx]Book'!H159</f>
        <v>0.0</v>
      </c>
      <c r="I159" s="15">
        <f>'[01_Entry.xlsx]Book'!I159</f>
        <v>0.0</v>
      </c>
      <c r="K159" s="15">
        <f>'[01_Entry.xlsx]Book'!K159</f>
        <v>0.0</v>
      </c>
      <c r="L159" s="15">
        <f>'[01_Entry.xlsx]Book'!L159</f>
        <v>0.0</v>
      </c>
      <c r="M159" s="15">
        <f>'[01_Entry.xlsx]Book'!M159</f>
        <v>0.0</v>
      </c>
      <c r="P159" s="56">
        <f>IF($A159="","",IFERROR(VALUE(MID($A159,6,2)),""))</f>
        <v/>
      </c>
    </row>
    <row r="160" spans="7:16">
      <c r="G160" s="15">
        <f>'[01_Entry.xlsx]Book'!G160</f>
        <v>0.0</v>
      </c>
      <c r="H160" s="15">
        <f>'[01_Entry.xlsx]Book'!H160</f>
        <v>0.0</v>
      </c>
      <c r="I160" s="15">
        <f>'[01_Entry.xlsx]Book'!I160</f>
        <v>0.0</v>
      </c>
      <c r="K160" s="15">
        <f>'[01_Entry.xlsx]Book'!K160</f>
        <v>0.0</v>
      </c>
      <c r="L160" s="15">
        <f>'[01_Entry.xlsx]Book'!L160</f>
        <v>0.0</v>
      </c>
      <c r="M160" s="15">
        <f>'[01_Entry.xlsx]Book'!M160</f>
        <v>0.0</v>
      </c>
      <c r="P160" s="56">
        <f>IF($A160="","",IFERROR(VALUE(MID($A160,6,2)),""))</f>
        <v/>
      </c>
    </row>
    <row r="161" spans="7:16">
      <c r="G161" s="15">
        <f>'[01_Entry.xlsx]Book'!G161</f>
        <v>0.0</v>
      </c>
      <c r="H161" s="15">
        <f>'[01_Entry.xlsx]Book'!H161</f>
        <v>0.0</v>
      </c>
      <c r="I161" s="15">
        <f>'[01_Entry.xlsx]Book'!I161</f>
        <v>0.0</v>
      </c>
      <c r="K161" s="15">
        <f>'[01_Entry.xlsx]Book'!K161</f>
        <v>0.0</v>
      </c>
      <c r="L161" s="15">
        <f>'[01_Entry.xlsx]Book'!L161</f>
        <v>0.0</v>
      </c>
      <c r="M161" s="15">
        <f>'[01_Entry.xlsx]Book'!M161</f>
        <v>0.0</v>
      </c>
      <c r="P161" s="56">
        <f>IF($A161="","",IFERROR(VALUE(MID($A161,6,2)),""))</f>
        <v/>
      </c>
    </row>
    <row r="162" spans="7:16">
      <c r="G162" s="15">
        <f>'[01_Entry.xlsx]Book'!G162</f>
        <v>0.0</v>
      </c>
      <c r="H162" s="15">
        <f>'[01_Entry.xlsx]Book'!H162</f>
        <v>0.0</v>
      </c>
      <c r="I162" s="15">
        <f>'[01_Entry.xlsx]Book'!I162</f>
        <v>0.0</v>
      </c>
      <c r="K162" s="15">
        <f>'[01_Entry.xlsx]Book'!K162</f>
        <v>0.0</v>
      </c>
      <c r="L162" s="15">
        <f>'[01_Entry.xlsx]Book'!L162</f>
        <v>0.0</v>
      </c>
      <c r="M162" s="15">
        <f>'[01_Entry.xlsx]Book'!M162</f>
        <v>0.0</v>
      </c>
      <c r="P162" s="56">
        <f>IF($A162="","",IFERROR(VALUE(MID($A162,6,2)),""))</f>
        <v/>
      </c>
    </row>
    <row r="163" spans="7:16">
      <c r="G163" s="15">
        <f>'[01_Entry.xlsx]Book'!G163</f>
        <v>0.0</v>
      </c>
      <c r="H163" s="15">
        <f>'[01_Entry.xlsx]Book'!H163</f>
        <v>0.0</v>
      </c>
      <c r="I163" s="15">
        <f>'[01_Entry.xlsx]Book'!I163</f>
        <v>0.0</v>
      </c>
      <c r="K163" s="15">
        <f>'[01_Entry.xlsx]Book'!K163</f>
        <v>0.0</v>
      </c>
      <c r="L163" s="15">
        <f>'[01_Entry.xlsx]Book'!L163</f>
        <v>0.0</v>
      </c>
      <c r="M163" s="15">
        <f>'[01_Entry.xlsx]Book'!M163</f>
        <v>0.0</v>
      </c>
      <c r="P163" s="56">
        <f>IF($A163="","",IFERROR(VALUE(MID($A163,6,2)),""))</f>
        <v/>
      </c>
    </row>
    <row r="164" spans="7:16">
      <c r="G164" s="15">
        <f>'[01_Entry.xlsx]Book'!G164</f>
        <v>0.0</v>
      </c>
      <c r="H164" s="15">
        <f>'[01_Entry.xlsx]Book'!H164</f>
        <v>0.0</v>
      </c>
      <c r="I164" s="15">
        <f>'[01_Entry.xlsx]Book'!I164</f>
        <v>0.0</v>
      </c>
      <c r="K164" s="15">
        <f>'[01_Entry.xlsx]Book'!K164</f>
        <v>0.0</v>
      </c>
      <c r="L164" s="15">
        <f>'[01_Entry.xlsx]Book'!L164</f>
        <v>0.0</v>
      </c>
      <c r="M164" s="15">
        <f>'[01_Entry.xlsx]Book'!M164</f>
        <v>0.0</v>
      </c>
      <c r="P164" s="56">
        <f>IF($A164="","",IFERROR(VALUE(MID($A164,6,2)),""))</f>
        <v/>
      </c>
    </row>
    <row r="165" spans="7:16">
      <c r="G165" s="15">
        <f>'[01_Entry.xlsx]Book'!G165</f>
        <v>0.0</v>
      </c>
      <c r="H165" s="15">
        <f>'[01_Entry.xlsx]Book'!H165</f>
        <v>0.0</v>
      </c>
      <c r="I165" s="15">
        <f>'[01_Entry.xlsx]Book'!I165</f>
        <v>0.0</v>
      </c>
      <c r="K165" s="15">
        <f>'[01_Entry.xlsx]Book'!K165</f>
        <v>0.0</v>
      </c>
      <c r="L165" s="15">
        <f>'[01_Entry.xlsx]Book'!L165</f>
        <v>0.0</v>
      </c>
      <c r="M165" s="15">
        <f>'[01_Entry.xlsx]Book'!M165</f>
        <v>0.0</v>
      </c>
      <c r="P165" s="56">
        <f>IF($A165="","",IFERROR(VALUE(MID($A165,6,2)),""))</f>
        <v/>
      </c>
    </row>
    <row r="166" spans="7:16">
      <c r="G166" s="15">
        <f>'[01_Entry.xlsx]Book'!G166</f>
        <v>0.0</v>
      </c>
      <c r="H166" s="15">
        <f>'[01_Entry.xlsx]Book'!H166</f>
        <v>0.0</v>
      </c>
      <c r="I166" s="15">
        <f>'[01_Entry.xlsx]Book'!I166</f>
        <v>0.0</v>
      </c>
      <c r="K166" s="15">
        <f>'[01_Entry.xlsx]Book'!K166</f>
        <v>0.0</v>
      </c>
      <c r="L166" s="15">
        <f>'[01_Entry.xlsx]Book'!L166</f>
        <v>0.0</v>
      </c>
      <c r="M166" s="15">
        <f>'[01_Entry.xlsx]Book'!M166</f>
        <v>0.0</v>
      </c>
      <c r="P166" s="56">
        <f>IF($A166="","",IFERROR(VALUE(MID($A166,6,2)),""))</f>
        <v/>
      </c>
    </row>
    <row r="167" spans="7:16">
      <c r="G167" s="15">
        <f>'[01_Entry.xlsx]Book'!G167</f>
        <v>0.0</v>
      </c>
      <c r="H167" s="15">
        <f>'[01_Entry.xlsx]Book'!H167</f>
        <v>0.0</v>
      </c>
      <c r="I167" s="15">
        <f>'[01_Entry.xlsx]Book'!I167</f>
        <v>0.0</v>
      </c>
      <c r="K167" s="15">
        <f>'[01_Entry.xlsx]Book'!K167</f>
        <v>0.0</v>
      </c>
      <c r="L167" s="15">
        <f>'[01_Entry.xlsx]Book'!L167</f>
        <v>0.0</v>
      </c>
      <c r="M167" s="15">
        <f>'[01_Entry.xlsx]Book'!M167</f>
        <v>0.0</v>
      </c>
      <c r="P167" s="56">
        <f>IF($A167="","",IFERROR(VALUE(MID($A167,6,2)),""))</f>
        <v/>
      </c>
    </row>
    <row r="168" spans="7:16">
      <c r="G168" s="15">
        <f>'[01_Entry.xlsx]Book'!G168</f>
        <v>0.0</v>
      </c>
      <c r="H168" s="15">
        <f>'[01_Entry.xlsx]Book'!H168</f>
        <v>0.0</v>
      </c>
      <c r="I168" s="15">
        <f>'[01_Entry.xlsx]Book'!I168</f>
        <v>0.0</v>
      </c>
      <c r="K168" s="15">
        <f>'[01_Entry.xlsx]Book'!K168</f>
        <v>0.0</v>
      </c>
      <c r="L168" s="15">
        <f>'[01_Entry.xlsx]Book'!L168</f>
        <v>0.0</v>
      </c>
      <c r="M168" s="15">
        <f>'[01_Entry.xlsx]Book'!M168</f>
        <v>0.0</v>
      </c>
      <c r="P168" s="56">
        <f>IF($A168="","",IFERROR(VALUE(MID($A168,6,2)),""))</f>
        <v/>
      </c>
    </row>
    <row r="169" spans="7:16">
      <c r="G169" s="15">
        <f>'[01_Entry.xlsx]Book'!G169</f>
        <v>0.0</v>
      </c>
      <c r="H169" s="15">
        <f>'[01_Entry.xlsx]Book'!H169</f>
        <v>0.0</v>
      </c>
      <c r="I169" s="15">
        <f>'[01_Entry.xlsx]Book'!I169</f>
        <v>0.0</v>
      </c>
      <c r="K169" s="15">
        <f>'[01_Entry.xlsx]Book'!K169</f>
        <v>0.0</v>
      </c>
      <c r="L169" s="15">
        <f>'[01_Entry.xlsx]Book'!L169</f>
        <v>0.0</v>
      </c>
      <c r="M169" s="15">
        <f>'[01_Entry.xlsx]Book'!M169</f>
        <v>0.0</v>
      </c>
      <c r="P169" s="56">
        <f>IF($A169="","",IFERROR(VALUE(MID($A169,6,2)),""))</f>
        <v/>
      </c>
    </row>
    <row r="170" spans="7:16">
      <c r="G170" s="15">
        <f>'[01_Entry.xlsx]Book'!G170</f>
        <v>0.0</v>
      </c>
      <c r="H170" s="15">
        <f>'[01_Entry.xlsx]Book'!H170</f>
        <v>0.0</v>
      </c>
      <c r="I170" s="15">
        <f>'[01_Entry.xlsx]Book'!I170</f>
        <v>0.0</v>
      </c>
      <c r="K170" s="15">
        <f>'[01_Entry.xlsx]Book'!K170</f>
        <v>0.0</v>
      </c>
      <c r="L170" s="15">
        <f>'[01_Entry.xlsx]Book'!L170</f>
        <v>0.0</v>
      </c>
      <c r="M170" s="15">
        <f>'[01_Entry.xlsx]Book'!M170</f>
        <v>0.0</v>
      </c>
      <c r="P170" s="56">
        <f>IF($A170="","",IFERROR(VALUE(MID($A170,6,2)),""))</f>
        <v/>
      </c>
    </row>
    <row r="171" spans="7:16">
      <c r="G171" s="15">
        <f>'[01_Entry.xlsx]Book'!G171</f>
        <v>0.0</v>
      </c>
      <c r="H171" s="15">
        <f>'[01_Entry.xlsx]Book'!H171</f>
        <v>0.0</v>
      </c>
      <c r="I171" s="15">
        <f>'[01_Entry.xlsx]Book'!I171</f>
        <v>0.0</v>
      </c>
      <c r="K171" s="15">
        <f>'[01_Entry.xlsx]Book'!K171</f>
        <v>0.0</v>
      </c>
      <c r="L171" s="15">
        <f>'[01_Entry.xlsx]Book'!L171</f>
        <v>0.0</v>
      </c>
      <c r="M171" s="15">
        <f>'[01_Entry.xlsx]Book'!M171</f>
        <v>0.0</v>
      </c>
      <c r="P171" s="56">
        <f>IF($A171="","",IFERROR(VALUE(MID($A171,6,2)),""))</f>
        <v/>
      </c>
    </row>
    <row r="172" spans="7:16">
      <c r="G172" s="15">
        <f>'[01_Entry.xlsx]Book'!G172</f>
        <v>0.0</v>
      </c>
      <c r="H172" s="15">
        <f>'[01_Entry.xlsx]Book'!H172</f>
        <v>0.0</v>
      </c>
      <c r="I172" s="15">
        <f>'[01_Entry.xlsx]Book'!I172</f>
        <v>0.0</v>
      </c>
      <c r="K172" s="15">
        <f>'[01_Entry.xlsx]Book'!K172</f>
        <v>0.0</v>
      </c>
      <c r="L172" s="15">
        <f>'[01_Entry.xlsx]Book'!L172</f>
        <v>0.0</v>
      </c>
      <c r="M172" s="15">
        <f>'[01_Entry.xlsx]Book'!M172</f>
        <v>0.0</v>
      </c>
      <c r="P172" s="56">
        <f>IF($A172="","",IFERROR(VALUE(MID($A172,6,2)),""))</f>
        <v/>
      </c>
    </row>
    <row r="173" spans="7:16">
      <c r="G173" s="15">
        <f>'[01_Entry.xlsx]Book'!G173</f>
        <v>0.0</v>
      </c>
      <c r="H173" s="15">
        <f>'[01_Entry.xlsx]Book'!H173</f>
        <v>0.0</v>
      </c>
      <c r="I173" s="15">
        <f>'[01_Entry.xlsx]Book'!I173</f>
        <v>0.0</v>
      </c>
      <c r="K173" s="15">
        <f>'[01_Entry.xlsx]Book'!K173</f>
        <v>0.0</v>
      </c>
      <c r="L173" s="15">
        <f>'[01_Entry.xlsx]Book'!L173</f>
        <v>0.0</v>
      </c>
      <c r="M173" s="15">
        <f>'[01_Entry.xlsx]Book'!M173</f>
        <v>0.0</v>
      </c>
      <c r="P173" s="56">
        <f>IF($A173="","",IFERROR(VALUE(MID($A173,6,2)),""))</f>
        <v/>
      </c>
    </row>
    <row r="174" spans="7:16">
      <c r="G174" s="15">
        <f>'[01_Entry.xlsx]Book'!G174</f>
        <v>0.0</v>
      </c>
      <c r="H174" s="15">
        <f>'[01_Entry.xlsx]Book'!H174</f>
        <v>0.0</v>
      </c>
      <c r="I174" s="15">
        <f>'[01_Entry.xlsx]Book'!I174</f>
        <v>0.0</v>
      </c>
      <c r="K174" s="15">
        <f>'[01_Entry.xlsx]Book'!K174</f>
        <v>0.0</v>
      </c>
      <c r="L174" s="15">
        <f>'[01_Entry.xlsx]Book'!L174</f>
        <v>0.0</v>
      </c>
      <c r="M174" s="15">
        <f>'[01_Entry.xlsx]Book'!M174</f>
        <v>0.0</v>
      </c>
      <c r="P174" s="56">
        <f>IF($A174="","",IFERROR(VALUE(MID($A174,6,2)),""))</f>
        <v/>
      </c>
    </row>
    <row r="175" spans="7:16">
      <c r="G175" s="15">
        <f>'[01_Entry.xlsx]Book'!G175</f>
        <v>0.0</v>
      </c>
      <c r="H175" s="15">
        <f>'[01_Entry.xlsx]Book'!H175</f>
        <v>0.0</v>
      </c>
      <c r="I175" s="15">
        <f>'[01_Entry.xlsx]Book'!I175</f>
        <v>0.0</v>
      </c>
      <c r="K175" s="15">
        <f>'[01_Entry.xlsx]Book'!K175</f>
        <v>0.0</v>
      </c>
      <c r="L175" s="15">
        <f>'[01_Entry.xlsx]Book'!L175</f>
        <v>0.0</v>
      </c>
      <c r="M175" s="15">
        <f>'[01_Entry.xlsx]Book'!M175</f>
        <v>0.0</v>
      </c>
      <c r="P175" s="56">
        <f>IF($A175="","",IFERROR(VALUE(MID($A175,6,2)),""))</f>
        <v/>
      </c>
    </row>
    <row r="176" spans="7:16">
      <c r="G176" s="15">
        <f>'[01_Entry.xlsx]Book'!G176</f>
        <v>0.0</v>
      </c>
      <c r="H176" s="15">
        <f>'[01_Entry.xlsx]Book'!H176</f>
        <v>0.0</v>
      </c>
      <c r="I176" s="15">
        <f>'[01_Entry.xlsx]Book'!I176</f>
        <v>0.0</v>
      </c>
      <c r="K176" s="15">
        <f>'[01_Entry.xlsx]Book'!K176</f>
        <v>0.0</v>
      </c>
      <c r="L176" s="15">
        <f>'[01_Entry.xlsx]Book'!L176</f>
        <v>0.0</v>
      </c>
      <c r="M176" s="15">
        <f>'[01_Entry.xlsx]Book'!M176</f>
        <v>0.0</v>
      </c>
      <c r="P176" s="56">
        <f>IF($A176="","",IFERROR(VALUE(MID($A176,6,2)),""))</f>
        <v/>
      </c>
    </row>
    <row r="177" spans="7:16">
      <c r="G177" s="15">
        <f>'[01_Entry.xlsx]Book'!G177</f>
        <v>0.0</v>
      </c>
      <c r="H177" s="15">
        <f>'[01_Entry.xlsx]Book'!H177</f>
        <v>0.0</v>
      </c>
      <c r="I177" s="15">
        <f>'[01_Entry.xlsx]Book'!I177</f>
        <v>0.0</v>
      </c>
      <c r="K177" s="15">
        <f>'[01_Entry.xlsx]Book'!K177</f>
        <v>0.0</v>
      </c>
      <c r="L177" s="15">
        <f>'[01_Entry.xlsx]Book'!L177</f>
        <v>0.0</v>
      </c>
      <c r="M177" s="15">
        <f>'[01_Entry.xlsx]Book'!M177</f>
        <v>0.0</v>
      </c>
      <c r="P177" s="56">
        <f>IF($A177="","",IFERROR(VALUE(MID($A177,6,2)),""))</f>
        <v/>
      </c>
    </row>
    <row r="178" spans="7:16">
      <c r="G178" s="15">
        <f>'[01_Entry.xlsx]Book'!G178</f>
        <v>0.0</v>
      </c>
      <c r="H178" s="15">
        <f>'[01_Entry.xlsx]Book'!H178</f>
        <v>0.0</v>
      </c>
      <c r="I178" s="15">
        <f>'[01_Entry.xlsx]Book'!I178</f>
        <v>0.0</v>
      </c>
      <c r="K178" s="15">
        <f>'[01_Entry.xlsx]Book'!K178</f>
        <v>0.0</v>
      </c>
      <c r="L178" s="15">
        <f>'[01_Entry.xlsx]Book'!L178</f>
        <v>0.0</v>
      </c>
      <c r="M178" s="15">
        <f>'[01_Entry.xlsx]Book'!M178</f>
        <v>0.0</v>
      </c>
      <c r="P178" s="56">
        <f>IF($A178="","",IFERROR(VALUE(MID($A178,6,2)),""))</f>
        <v/>
      </c>
    </row>
    <row r="179" spans="7:16">
      <c r="G179" s="15">
        <f>'[01_Entry.xlsx]Book'!G179</f>
        <v>0.0</v>
      </c>
      <c r="H179" s="15">
        <f>'[01_Entry.xlsx]Book'!H179</f>
        <v>0.0</v>
      </c>
      <c r="I179" s="15">
        <f>'[01_Entry.xlsx]Book'!I179</f>
        <v>0.0</v>
      </c>
      <c r="K179" s="15">
        <f>'[01_Entry.xlsx]Book'!K179</f>
        <v>0.0</v>
      </c>
      <c r="L179" s="15">
        <f>'[01_Entry.xlsx]Book'!L179</f>
        <v>0.0</v>
      </c>
      <c r="M179" s="15">
        <f>'[01_Entry.xlsx]Book'!M179</f>
        <v>0.0</v>
      </c>
      <c r="P179" s="56">
        <f>IF($A179="","",IFERROR(VALUE(MID($A179,6,2)),""))</f>
        <v/>
      </c>
    </row>
    <row r="180" spans="7:16">
      <c r="G180" s="15">
        <f>'[01_Entry.xlsx]Book'!G180</f>
        <v>0.0</v>
      </c>
      <c r="H180" s="15">
        <f>'[01_Entry.xlsx]Book'!H180</f>
        <v>0.0</v>
      </c>
      <c r="I180" s="15">
        <f>'[01_Entry.xlsx]Book'!I180</f>
        <v>0.0</v>
      </c>
      <c r="K180" s="15">
        <f>'[01_Entry.xlsx]Book'!K180</f>
        <v>0.0</v>
      </c>
      <c r="L180" s="15">
        <f>'[01_Entry.xlsx]Book'!L180</f>
        <v>0.0</v>
      </c>
      <c r="M180" s="15">
        <f>'[01_Entry.xlsx]Book'!M180</f>
        <v>0.0</v>
      </c>
      <c r="P180" s="56">
        <f>IF($A180="","",IFERROR(VALUE(MID($A180,6,2)),""))</f>
        <v/>
      </c>
    </row>
    <row r="181" spans="7:16">
      <c r="G181" s="15">
        <f>'[01_Entry.xlsx]Book'!G181</f>
        <v>0.0</v>
      </c>
      <c r="H181" s="15">
        <f>'[01_Entry.xlsx]Book'!H181</f>
        <v>0.0</v>
      </c>
      <c r="I181" s="15">
        <f>'[01_Entry.xlsx]Book'!I181</f>
        <v>0.0</v>
      </c>
      <c r="K181" s="15">
        <f>'[01_Entry.xlsx]Book'!K181</f>
        <v>0.0</v>
      </c>
      <c r="L181" s="15">
        <f>'[01_Entry.xlsx]Book'!L181</f>
        <v>0.0</v>
      </c>
      <c r="M181" s="15">
        <f>'[01_Entry.xlsx]Book'!M181</f>
        <v>0.0</v>
      </c>
      <c r="P181" s="56">
        <f>IF($A181="","",IFERROR(VALUE(MID($A181,6,2)),""))</f>
        <v/>
      </c>
    </row>
    <row r="182" spans="7:16">
      <c r="G182" s="15">
        <f>'[01_Entry.xlsx]Book'!G182</f>
        <v>0.0</v>
      </c>
      <c r="H182" s="15">
        <f>'[01_Entry.xlsx]Book'!H182</f>
        <v>0.0</v>
      </c>
      <c r="I182" s="15">
        <f>'[01_Entry.xlsx]Book'!I182</f>
        <v>0.0</v>
      </c>
      <c r="K182" s="15">
        <f>'[01_Entry.xlsx]Book'!K182</f>
        <v>0.0</v>
      </c>
      <c r="L182" s="15">
        <f>'[01_Entry.xlsx]Book'!L182</f>
        <v>0.0</v>
      </c>
      <c r="M182" s="15">
        <f>'[01_Entry.xlsx]Book'!M182</f>
        <v>0.0</v>
      </c>
      <c r="P182" s="56">
        <f>IF($A182="","",IFERROR(VALUE(MID($A182,6,2)),""))</f>
        <v/>
      </c>
    </row>
    <row r="183" spans="7:16">
      <c r="G183" s="15">
        <f>'[01_Entry.xlsx]Book'!G183</f>
        <v>0.0</v>
      </c>
      <c r="H183" s="15">
        <f>'[01_Entry.xlsx]Book'!H183</f>
        <v>0.0</v>
      </c>
      <c r="I183" s="15">
        <f>'[01_Entry.xlsx]Book'!I183</f>
        <v>0.0</v>
      </c>
      <c r="K183" s="15">
        <f>'[01_Entry.xlsx]Book'!K183</f>
        <v>0.0</v>
      </c>
      <c r="L183" s="15">
        <f>'[01_Entry.xlsx]Book'!L183</f>
        <v>0.0</v>
      </c>
      <c r="M183" s="15">
        <f>'[01_Entry.xlsx]Book'!M183</f>
        <v>0.0</v>
      </c>
      <c r="P183" s="56">
        <f>IF($A183="","",IFERROR(VALUE(MID($A183,6,2)),""))</f>
        <v/>
      </c>
    </row>
    <row r="184" spans="7:16">
      <c r="G184" s="15">
        <f>'[01_Entry.xlsx]Book'!G184</f>
        <v>0.0</v>
      </c>
      <c r="H184" s="15">
        <f>'[01_Entry.xlsx]Book'!H184</f>
        <v>0.0</v>
      </c>
      <c r="I184" s="15">
        <f>'[01_Entry.xlsx]Book'!I184</f>
        <v>0.0</v>
      </c>
      <c r="K184" s="15">
        <f>'[01_Entry.xlsx]Book'!K184</f>
        <v>0.0</v>
      </c>
      <c r="L184" s="15">
        <f>'[01_Entry.xlsx]Book'!L184</f>
        <v>0.0</v>
      </c>
      <c r="M184" s="15">
        <f>'[01_Entry.xlsx]Book'!M184</f>
        <v>0.0</v>
      </c>
      <c r="P184" s="56">
        <f>IF($A184="","",IFERROR(VALUE(MID($A184,6,2)),""))</f>
        <v/>
      </c>
    </row>
    <row r="185" spans="7:16">
      <c r="G185" s="15">
        <f>'[01_Entry.xlsx]Book'!G185</f>
        <v>0.0</v>
      </c>
      <c r="H185" s="15">
        <f>'[01_Entry.xlsx]Book'!H185</f>
        <v>0.0</v>
      </c>
      <c r="I185" s="15">
        <f>'[01_Entry.xlsx]Book'!I185</f>
        <v>0.0</v>
      </c>
      <c r="K185" s="15">
        <f>'[01_Entry.xlsx]Book'!K185</f>
        <v>0.0</v>
      </c>
      <c r="L185" s="15">
        <f>'[01_Entry.xlsx]Book'!L185</f>
        <v>0.0</v>
      </c>
      <c r="M185" s="15">
        <f>'[01_Entry.xlsx]Book'!M185</f>
        <v>0.0</v>
      </c>
      <c r="P185" s="56">
        <f>IF($A185="","",IFERROR(VALUE(MID($A185,6,2)),""))</f>
        <v/>
      </c>
    </row>
    <row r="186" spans="7:16">
      <c r="G186" s="15">
        <f>'[01_Entry.xlsx]Book'!G186</f>
        <v>0.0</v>
      </c>
      <c r="H186" s="15">
        <f>'[01_Entry.xlsx]Book'!H186</f>
        <v>0.0</v>
      </c>
      <c r="I186" s="15">
        <f>'[01_Entry.xlsx]Book'!I186</f>
        <v>0.0</v>
      </c>
      <c r="K186" s="15">
        <f>'[01_Entry.xlsx]Book'!K186</f>
        <v>0.0</v>
      </c>
      <c r="L186" s="15">
        <f>'[01_Entry.xlsx]Book'!L186</f>
        <v>0.0</v>
      </c>
      <c r="M186" s="15">
        <f>'[01_Entry.xlsx]Book'!M186</f>
        <v>0.0</v>
      </c>
      <c r="P186" s="56">
        <f>IF($A186="","",IFERROR(VALUE(MID($A186,6,2)),""))</f>
        <v/>
      </c>
    </row>
    <row r="187" spans="7:16">
      <c r="G187" s="15">
        <f>'[01_Entry.xlsx]Book'!G187</f>
        <v>0.0</v>
      </c>
      <c r="H187" s="15">
        <f>'[01_Entry.xlsx]Book'!H187</f>
        <v>0.0</v>
      </c>
      <c r="I187" s="15">
        <f>'[01_Entry.xlsx]Book'!I187</f>
        <v>0.0</v>
      </c>
      <c r="K187" s="15">
        <f>'[01_Entry.xlsx]Book'!K187</f>
        <v>0.0</v>
      </c>
      <c r="L187" s="15">
        <f>'[01_Entry.xlsx]Book'!L187</f>
        <v>0.0</v>
      </c>
      <c r="M187" s="15">
        <f>'[01_Entry.xlsx]Book'!M187</f>
        <v>0.0</v>
      </c>
      <c r="P187" s="56">
        <f>IF($A187="","",IFERROR(VALUE(MID($A187,6,2)),""))</f>
        <v/>
      </c>
    </row>
    <row r="188" spans="7:16">
      <c r="G188" s="15">
        <f>'[01_Entry.xlsx]Book'!G188</f>
        <v>0.0</v>
      </c>
      <c r="H188" s="15">
        <f>'[01_Entry.xlsx]Book'!H188</f>
        <v>0.0</v>
      </c>
      <c r="I188" s="15">
        <f>'[01_Entry.xlsx]Book'!I188</f>
        <v>0.0</v>
      </c>
      <c r="K188" s="15">
        <f>'[01_Entry.xlsx]Book'!K188</f>
        <v>0.0</v>
      </c>
      <c r="L188" s="15">
        <f>'[01_Entry.xlsx]Book'!L188</f>
        <v>0.0</v>
      </c>
      <c r="M188" s="15">
        <f>'[01_Entry.xlsx]Book'!M188</f>
        <v>0.0</v>
      </c>
      <c r="P188" s="56">
        <f>IF($A188="","",IFERROR(VALUE(MID($A188,6,2)),""))</f>
        <v/>
      </c>
    </row>
    <row r="189" spans="7:16">
      <c r="G189" s="15">
        <f>'[01_Entry.xlsx]Book'!G189</f>
        <v>0.0</v>
      </c>
      <c r="H189" s="15">
        <f>'[01_Entry.xlsx]Book'!H189</f>
        <v>0.0</v>
      </c>
      <c r="I189" s="15">
        <f>'[01_Entry.xlsx]Book'!I189</f>
        <v>0.0</v>
      </c>
      <c r="K189" s="15">
        <f>'[01_Entry.xlsx]Book'!K189</f>
        <v>0.0</v>
      </c>
      <c r="L189" s="15">
        <f>'[01_Entry.xlsx]Book'!L189</f>
        <v>0.0</v>
      </c>
      <c r="M189" s="15">
        <f>'[01_Entry.xlsx]Book'!M189</f>
        <v>0.0</v>
      </c>
      <c r="P189" s="56">
        <f>IF($A189="","",IFERROR(VALUE(MID($A189,6,2)),""))</f>
        <v/>
      </c>
    </row>
    <row r="190" spans="7:16">
      <c r="G190" s="15">
        <f>'[01_Entry.xlsx]Book'!G190</f>
        <v>0.0</v>
      </c>
      <c r="H190" s="15">
        <f>'[01_Entry.xlsx]Book'!H190</f>
        <v>0.0</v>
      </c>
      <c r="I190" s="15">
        <f>'[01_Entry.xlsx]Book'!I190</f>
        <v>0.0</v>
      </c>
      <c r="K190" s="15">
        <f>'[01_Entry.xlsx]Book'!K190</f>
        <v>0.0</v>
      </c>
      <c r="L190" s="15">
        <f>'[01_Entry.xlsx]Book'!L190</f>
        <v>0.0</v>
      </c>
      <c r="M190" s="15">
        <f>'[01_Entry.xlsx]Book'!M190</f>
        <v>0.0</v>
      </c>
      <c r="P190" s="56">
        <f>IF($A190="","",IFERROR(VALUE(MID($A190,6,2)),""))</f>
        <v/>
      </c>
    </row>
    <row r="191" spans="7:16">
      <c r="G191" s="15">
        <f>'[01_Entry.xlsx]Book'!G191</f>
        <v>0.0</v>
      </c>
      <c r="H191" s="15">
        <f>'[01_Entry.xlsx]Book'!H191</f>
        <v>0.0</v>
      </c>
      <c r="I191" s="15">
        <f>'[01_Entry.xlsx]Book'!I191</f>
        <v>0.0</v>
      </c>
      <c r="K191" s="15">
        <f>'[01_Entry.xlsx]Book'!K191</f>
        <v>0.0</v>
      </c>
      <c r="L191" s="15">
        <f>'[01_Entry.xlsx]Book'!L191</f>
        <v>0.0</v>
      </c>
      <c r="M191" s="15">
        <f>'[01_Entry.xlsx]Book'!M191</f>
        <v>0.0</v>
      </c>
      <c r="P191" s="56">
        <f>IF($A191="","",IFERROR(VALUE(MID($A191,6,2)),""))</f>
        <v/>
      </c>
    </row>
    <row r="192" spans="7:16">
      <c r="G192" s="15">
        <f>'[01_Entry.xlsx]Book'!G192</f>
        <v>0.0</v>
      </c>
      <c r="H192" s="15">
        <f>'[01_Entry.xlsx]Book'!H192</f>
        <v>0.0</v>
      </c>
      <c r="I192" s="15">
        <f>'[01_Entry.xlsx]Book'!I192</f>
        <v>0.0</v>
      </c>
      <c r="K192" s="15">
        <f>'[01_Entry.xlsx]Book'!K192</f>
        <v>0.0</v>
      </c>
      <c r="L192" s="15">
        <f>'[01_Entry.xlsx]Book'!L192</f>
        <v>0.0</v>
      </c>
      <c r="M192" s="15">
        <f>'[01_Entry.xlsx]Book'!M192</f>
        <v>0.0</v>
      </c>
      <c r="P192" s="56">
        <f>IF($A192="","",IFERROR(VALUE(MID($A192,6,2)),""))</f>
        <v/>
      </c>
    </row>
    <row r="193" spans="7:16">
      <c r="G193" s="15">
        <f>'[01_Entry.xlsx]Book'!G193</f>
        <v>0.0</v>
      </c>
      <c r="H193" s="15">
        <f>'[01_Entry.xlsx]Book'!H193</f>
        <v>0.0</v>
      </c>
      <c r="I193" s="15">
        <f>'[01_Entry.xlsx]Book'!I193</f>
        <v>0.0</v>
      </c>
      <c r="K193" s="15">
        <f>'[01_Entry.xlsx]Book'!K193</f>
        <v>0.0</v>
      </c>
      <c r="L193" s="15">
        <f>'[01_Entry.xlsx]Book'!L193</f>
        <v>0.0</v>
      </c>
      <c r="M193" s="15">
        <f>'[01_Entry.xlsx]Book'!M193</f>
        <v>0.0</v>
      </c>
      <c r="P193" s="56">
        <f>IF($A193="","",IFERROR(VALUE(MID($A193,6,2)),""))</f>
        <v/>
      </c>
    </row>
    <row r="194" spans="7:16">
      <c r="G194" s="15">
        <f>'[01_Entry.xlsx]Book'!G194</f>
        <v>0.0</v>
      </c>
      <c r="H194" s="15">
        <f>'[01_Entry.xlsx]Book'!H194</f>
        <v>0.0</v>
      </c>
      <c r="I194" s="15">
        <f>'[01_Entry.xlsx]Book'!I194</f>
        <v>0.0</v>
      </c>
      <c r="K194" s="15">
        <f>'[01_Entry.xlsx]Book'!K194</f>
        <v>0.0</v>
      </c>
      <c r="L194" s="15">
        <f>'[01_Entry.xlsx]Book'!L194</f>
        <v>0.0</v>
      </c>
      <c r="M194" s="15">
        <f>'[01_Entry.xlsx]Book'!M194</f>
        <v>0.0</v>
      </c>
      <c r="P194" s="56">
        <f>IF($A194="","",IFERROR(VALUE(MID($A194,6,2)),""))</f>
        <v/>
      </c>
    </row>
    <row r="195" spans="7:16">
      <c r="G195" s="15">
        <f>'[01_Entry.xlsx]Book'!G195</f>
        <v>0.0</v>
      </c>
      <c r="H195" s="15">
        <f>'[01_Entry.xlsx]Book'!H195</f>
        <v>0.0</v>
      </c>
      <c r="I195" s="15">
        <f>'[01_Entry.xlsx]Book'!I195</f>
        <v>0.0</v>
      </c>
      <c r="K195" s="15">
        <f>'[01_Entry.xlsx]Book'!K195</f>
        <v>0.0</v>
      </c>
      <c r="L195" s="15">
        <f>'[01_Entry.xlsx]Book'!L195</f>
        <v>0.0</v>
      </c>
      <c r="M195" s="15">
        <f>'[01_Entry.xlsx]Book'!M195</f>
        <v>0.0</v>
      </c>
      <c r="P195" s="56">
        <f>IF($A195="","",IFERROR(VALUE(MID($A195,6,2)),""))</f>
        <v/>
      </c>
    </row>
    <row r="196" spans="7:16">
      <c r="G196" s="15">
        <f>'[01_Entry.xlsx]Book'!G196</f>
        <v>0.0</v>
      </c>
      <c r="H196" s="15">
        <f>'[01_Entry.xlsx]Book'!H196</f>
        <v>0.0</v>
      </c>
      <c r="I196" s="15">
        <f>'[01_Entry.xlsx]Book'!I196</f>
        <v>0.0</v>
      </c>
      <c r="K196" s="15">
        <f>'[01_Entry.xlsx]Book'!K196</f>
        <v>0.0</v>
      </c>
      <c r="L196" s="15">
        <f>'[01_Entry.xlsx]Book'!L196</f>
        <v>0.0</v>
      </c>
      <c r="M196" s="15">
        <f>'[01_Entry.xlsx]Book'!M196</f>
        <v>0.0</v>
      </c>
      <c r="P196" s="56">
        <f>IF($A196="","",IFERROR(VALUE(MID($A196,6,2)),""))</f>
        <v/>
      </c>
    </row>
    <row r="197" spans="7:16">
      <c r="G197" s="15">
        <f>'[01_Entry.xlsx]Book'!G197</f>
        <v>0.0</v>
      </c>
      <c r="H197" s="15">
        <f>'[01_Entry.xlsx]Book'!H197</f>
        <v>0.0</v>
      </c>
      <c r="I197" s="15">
        <f>'[01_Entry.xlsx]Book'!I197</f>
        <v>0.0</v>
      </c>
      <c r="K197" s="15">
        <f>'[01_Entry.xlsx]Book'!K197</f>
        <v>0.0</v>
      </c>
      <c r="L197" s="15">
        <f>'[01_Entry.xlsx]Book'!L197</f>
        <v>0.0</v>
      </c>
      <c r="M197" s="15">
        <f>'[01_Entry.xlsx]Book'!M197</f>
        <v>0.0</v>
      </c>
      <c r="P197" s="56">
        <f>IF($A197="","",IFERROR(VALUE(MID($A197,6,2)),""))</f>
        <v/>
      </c>
    </row>
    <row r="198" spans="7:16">
      <c r="G198" s="15">
        <f>'[01_Entry.xlsx]Book'!G198</f>
        <v>0.0</v>
      </c>
      <c r="H198" s="15">
        <f>'[01_Entry.xlsx]Book'!H198</f>
        <v>0.0</v>
      </c>
      <c r="I198" s="15">
        <f>'[01_Entry.xlsx]Book'!I198</f>
        <v>0.0</v>
      </c>
      <c r="K198" s="15">
        <f>'[01_Entry.xlsx]Book'!K198</f>
        <v>0.0</v>
      </c>
      <c r="L198" s="15">
        <f>'[01_Entry.xlsx]Book'!L198</f>
        <v>0.0</v>
      </c>
      <c r="M198" s="15">
        <f>'[01_Entry.xlsx]Book'!M198</f>
        <v>0.0</v>
      </c>
      <c r="P198" s="56">
        <f>IF($A198="","",IFERROR(VALUE(MID($A198,6,2)),""))</f>
        <v/>
      </c>
    </row>
    <row r="199" spans="7:16">
      <c r="G199" s="15">
        <f>'[01_Entry.xlsx]Book'!G199</f>
        <v>0.0</v>
      </c>
      <c r="H199" s="15">
        <f>'[01_Entry.xlsx]Book'!H199</f>
        <v>0.0</v>
      </c>
      <c r="I199" s="15">
        <f>'[01_Entry.xlsx]Book'!I199</f>
        <v>0.0</v>
      </c>
      <c r="K199" s="15">
        <f>'[01_Entry.xlsx]Book'!K199</f>
        <v>0.0</v>
      </c>
      <c r="L199" s="15">
        <f>'[01_Entry.xlsx]Book'!L199</f>
        <v>0.0</v>
      </c>
      <c r="M199" s="15">
        <f>'[01_Entry.xlsx]Book'!M199</f>
        <v>0.0</v>
      </c>
      <c r="P199" s="56">
        <f>IF($A199="","",IFERROR(VALUE(MID($A199,6,2)),""))</f>
        <v/>
      </c>
    </row>
    <row r="200" spans="7:16">
      <c r="G200" s="15">
        <f>'[01_Entry.xlsx]Book'!G200</f>
        <v>0.0</v>
      </c>
      <c r="H200" s="15">
        <f>'[01_Entry.xlsx]Book'!H200</f>
        <v>0.0</v>
      </c>
      <c r="I200" s="15">
        <f>'[01_Entry.xlsx]Book'!I200</f>
        <v>0.0</v>
      </c>
      <c r="K200" s="15">
        <f>'[01_Entry.xlsx]Book'!K200</f>
        <v>0.0</v>
      </c>
      <c r="L200" s="15">
        <f>'[01_Entry.xlsx]Book'!L200</f>
        <v>0.0</v>
      </c>
      <c r="M200" s="15">
        <f>'[01_Entry.xlsx]Book'!M200</f>
        <v>0.0</v>
      </c>
      <c r="P200" s="56">
        <f>IF($A200="","",IFERROR(VALUE(MID($A200,6,2)),""))</f>
        <v/>
      </c>
    </row>
    <row r="201" spans="7:16">
      <c r="G201" s="15">
        <f>'[01_Entry.xlsx]Book'!G201</f>
        <v>0.0</v>
      </c>
      <c r="H201" s="15">
        <f>'[01_Entry.xlsx]Book'!H201</f>
        <v>0.0</v>
      </c>
      <c r="I201" s="15">
        <f>'[01_Entry.xlsx]Book'!I201</f>
        <v>0.0</v>
      </c>
      <c r="K201" s="15">
        <f>'[01_Entry.xlsx]Book'!K201</f>
        <v>0.0</v>
      </c>
      <c r="L201" s="15">
        <f>'[01_Entry.xlsx]Book'!L201</f>
        <v>0.0</v>
      </c>
      <c r="M201" s="15">
        <f>'[01_Entry.xlsx]Book'!M201</f>
        <v>0.0</v>
      </c>
      <c r="P201" s="56">
        <f>IF($A201="","",IFERROR(VALUE(MID($A201,6,2)),""))</f>
        <v/>
      </c>
    </row>
    <row r="202" spans="7:16">
      <c r="G202" s="15">
        <f>'[01_Entry.xlsx]Book'!G202</f>
        <v>0.0</v>
      </c>
      <c r="H202" s="15">
        <f>'[01_Entry.xlsx]Book'!H202</f>
        <v>0.0</v>
      </c>
      <c r="I202" s="15">
        <f>'[01_Entry.xlsx]Book'!I202</f>
        <v>0.0</v>
      </c>
      <c r="K202" s="15">
        <f>'[01_Entry.xlsx]Book'!K202</f>
        <v>0.0</v>
      </c>
      <c r="L202" s="15">
        <f>'[01_Entry.xlsx]Book'!L202</f>
        <v>0.0</v>
      </c>
      <c r="M202" s="15">
        <f>'[01_Entry.xlsx]Book'!M202</f>
        <v>0.0</v>
      </c>
      <c r="P202" s="56">
        <f>IF($A202="","",IFERROR(VALUE(MID($A202,6,2)),""))</f>
        <v/>
      </c>
    </row>
    <row r="203" spans="7:16">
      <c r="G203" s="15">
        <f>'[01_Entry.xlsx]Book'!G203</f>
        <v>0.0</v>
      </c>
      <c r="H203" s="15">
        <f>'[01_Entry.xlsx]Book'!H203</f>
        <v>0.0</v>
      </c>
      <c r="I203" s="15">
        <f>'[01_Entry.xlsx]Book'!I203</f>
        <v>0.0</v>
      </c>
      <c r="K203" s="15">
        <f>'[01_Entry.xlsx]Book'!K203</f>
        <v>0.0</v>
      </c>
      <c r="L203" s="15">
        <f>'[01_Entry.xlsx]Book'!L203</f>
        <v>0.0</v>
      </c>
      <c r="M203" s="15">
        <f>'[01_Entry.xlsx]Book'!M203</f>
        <v>0.0</v>
      </c>
      <c r="P203" s="56">
        <f>IF($A203="","",IFERROR(VALUE(MID($A203,6,2)),""))</f>
        <v/>
      </c>
    </row>
    <row r="204" spans="7:16">
      <c r="G204" s="15">
        <f>'[01_Entry.xlsx]Book'!G204</f>
        <v>0.0</v>
      </c>
      <c r="H204" s="15">
        <f>'[01_Entry.xlsx]Book'!H204</f>
        <v>0.0</v>
      </c>
      <c r="I204" s="15">
        <f>'[01_Entry.xlsx]Book'!I204</f>
        <v>0.0</v>
      </c>
      <c r="K204" s="15">
        <f>'[01_Entry.xlsx]Book'!K204</f>
        <v>0.0</v>
      </c>
      <c r="L204" s="15">
        <f>'[01_Entry.xlsx]Book'!L204</f>
        <v>0.0</v>
      </c>
      <c r="M204" s="15">
        <f>'[01_Entry.xlsx]Book'!M204</f>
        <v>0.0</v>
      </c>
      <c r="P204" s="56">
        <f>IF($A204="","",IFERROR(VALUE(MID($A204,6,2)),""))</f>
        <v/>
      </c>
    </row>
    <row r="205" spans="7:16">
      <c r="G205" s="15">
        <f>'[01_Entry.xlsx]Book'!G205</f>
        <v>0.0</v>
      </c>
      <c r="H205" s="15">
        <f>'[01_Entry.xlsx]Book'!H205</f>
        <v>0.0</v>
      </c>
      <c r="I205" s="15">
        <f>'[01_Entry.xlsx]Book'!I205</f>
        <v>0.0</v>
      </c>
      <c r="K205" s="15">
        <f>'[01_Entry.xlsx]Book'!K205</f>
        <v>0.0</v>
      </c>
      <c r="L205" s="15">
        <f>'[01_Entry.xlsx]Book'!L205</f>
        <v>0.0</v>
      </c>
      <c r="M205" s="15">
        <f>'[01_Entry.xlsx]Book'!M205</f>
        <v>0.0</v>
      </c>
      <c r="P205" s="56">
        <f>IF($A205="","",IFERROR(VALUE(MID($A205,6,2)),""))</f>
        <v/>
      </c>
    </row>
    <row r="206" spans="7:16">
      <c r="G206" s="15">
        <f>'[01_Entry.xlsx]Book'!G206</f>
        <v>0.0</v>
      </c>
      <c r="H206" s="15">
        <f>'[01_Entry.xlsx]Book'!H206</f>
        <v>0.0</v>
      </c>
      <c r="I206" s="15">
        <f>'[01_Entry.xlsx]Book'!I206</f>
        <v>0.0</v>
      </c>
      <c r="K206" s="15">
        <f>'[01_Entry.xlsx]Book'!K206</f>
        <v>0.0</v>
      </c>
      <c r="L206" s="15">
        <f>'[01_Entry.xlsx]Book'!L206</f>
        <v>0.0</v>
      </c>
      <c r="M206" s="15">
        <f>'[01_Entry.xlsx]Book'!M206</f>
        <v>0.0</v>
      </c>
      <c r="P206" s="56">
        <f>IF($A206="","",IFERROR(VALUE(MID($A206,6,2)),""))</f>
        <v/>
      </c>
    </row>
    <row r="207" spans="7:16">
      <c r="G207" s="15">
        <f>'[01_Entry.xlsx]Book'!G207</f>
        <v>0.0</v>
      </c>
      <c r="H207" s="15">
        <f>'[01_Entry.xlsx]Book'!H207</f>
        <v>0.0</v>
      </c>
      <c r="I207" s="15">
        <f>'[01_Entry.xlsx]Book'!I207</f>
        <v>0.0</v>
      </c>
      <c r="K207" s="15">
        <f>'[01_Entry.xlsx]Book'!K207</f>
        <v>0.0</v>
      </c>
      <c r="L207" s="15">
        <f>'[01_Entry.xlsx]Book'!L207</f>
        <v>0.0</v>
      </c>
      <c r="M207" s="15">
        <f>'[01_Entry.xlsx]Book'!M207</f>
        <v>0.0</v>
      </c>
      <c r="P207" s="56">
        <f>IF($A207="","",IFERROR(VALUE(MID($A207,6,2)),""))</f>
        <v/>
      </c>
    </row>
    <row r="208" spans="7:16">
      <c r="G208" s="15">
        <f>'[01_Entry.xlsx]Book'!G208</f>
        <v>0.0</v>
      </c>
      <c r="H208" s="15">
        <f>'[01_Entry.xlsx]Book'!H208</f>
        <v>0.0</v>
      </c>
      <c r="I208" s="15">
        <f>'[01_Entry.xlsx]Book'!I208</f>
        <v>0.0</v>
      </c>
      <c r="K208" s="15">
        <f>'[01_Entry.xlsx]Book'!K208</f>
        <v>0.0</v>
      </c>
      <c r="L208" s="15">
        <f>'[01_Entry.xlsx]Book'!L208</f>
        <v>0.0</v>
      </c>
      <c r="M208" s="15">
        <f>'[01_Entry.xlsx]Book'!M208</f>
        <v>0.0</v>
      </c>
      <c r="P208" s="56">
        <f>IF($A208="","",IFERROR(VALUE(MID($A208,6,2)),""))</f>
        <v/>
      </c>
    </row>
    <row r="209" spans="7:16">
      <c r="G209" s="15">
        <f>'[01_Entry.xlsx]Book'!G209</f>
        <v>0.0</v>
      </c>
      <c r="H209" s="15">
        <f>'[01_Entry.xlsx]Book'!H209</f>
        <v>0.0</v>
      </c>
      <c r="I209" s="15">
        <f>'[01_Entry.xlsx]Book'!I209</f>
        <v>0.0</v>
      </c>
      <c r="K209" s="15">
        <f>'[01_Entry.xlsx]Book'!K209</f>
        <v>0.0</v>
      </c>
      <c r="L209" s="15">
        <f>'[01_Entry.xlsx]Book'!L209</f>
        <v>0.0</v>
      </c>
      <c r="M209" s="15">
        <f>'[01_Entry.xlsx]Book'!M209</f>
        <v>0.0</v>
      </c>
      <c r="P209" s="56">
        <f>IF($A209="","",IFERROR(VALUE(MID($A209,6,2)),""))</f>
        <v/>
      </c>
    </row>
    <row r="210" spans="7:16">
      <c r="G210" s="15">
        <f>'[01_Entry.xlsx]Book'!G210</f>
        <v>0.0</v>
      </c>
      <c r="H210" s="15">
        <f>'[01_Entry.xlsx]Book'!H210</f>
        <v>0.0</v>
      </c>
      <c r="I210" s="15">
        <f>'[01_Entry.xlsx]Book'!I210</f>
        <v>0.0</v>
      </c>
      <c r="K210" s="15">
        <f>'[01_Entry.xlsx]Book'!K210</f>
        <v>0.0</v>
      </c>
      <c r="L210" s="15">
        <f>'[01_Entry.xlsx]Book'!L210</f>
        <v>0.0</v>
      </c>
      <c r="M210" s="15">
        <f>'[01_Entry.xlsx]Book'!M210</f>
        <v>0.0</v>
      </c>
      <c r="P210" s="56">
        <f>IF($A210="","",IFERROR(VALUE(MID($A210,6,2)),""))</f>
        <v/>
      </c>
    </row>
    <row r="211" spans="7:16">
      <c r="G211" s="15">
        <f>'[01_Entry.xlsx]Book'!G211</f>
        <v>0.0</v>
      </c>
      <c r="H211" s="15">
        <f>'[01_Entry.xlsx]Book'!H211</f>
        <v>0.0</v>
      </c>
      <c r="I211" s="15">
        <f>'[01_Entry.xlsx]Book'!I211</f>
        <v>0.0</v>
      </c>
      <c r="K211" s="15">
        <f>'[01_Entry.xlsx]Book'!K211</f>
        <v>0.0</v>
      </c>
      <c r="L211" s="15">
        <f>'[01_Entry.xlsx]Book'!L211</f>
        <v>0.0</v>
      </c>
      <c r="M211" s="15">
        <f>'[01_Entry.xlsx]Book'!M211</f>
        <v>0.0</v>
      </c>
      <c r="P211" s="56">
        <f>IF($A211="","",IFERROR(VALUE(MID($A211,6,2)),""))</f>
        <v/>
      </c>
    </row>
    <row r="212" spans="7:16">
      <c r="G212" s="15">
        <f>'[01_Entry.xlsx]Book'!G212</f>
        <v>0.0</v>
      </c>
      <c r="H212" s="15">
        <f>'[01_Entry.xlsx]Book'!H212</f>
        <v>0.0</v>
      </c>
      <c r="I212" s="15">
        <f>'[01_Entry.xlsx]Book'!I212</f>
        <v>0.0</v>
      </c>
      <c r="K212" s="15">
        <f>'[01_Entry.xlsx]Book'!K212</f>
        <v>0.0</v>
      </c>
      <c r="L212" s="15">
        <f>'[01_Entry.xlsx]Book'!L212</f>
        <v>0.0</v>
      </c>
      <c r="M212" s="15">
        <f>'[01_Entry.xlsx]Book'!M212</f>
        <v>0.0</v>
      </c>
      <c r="P212" s="56">
        <f>IF($A212="","",IFERROR(VALUE(MID($A212,6,2)),""))</f>
        <v/>
      </c>
    </row>
    <row r="213" spans="7:16">
      <c r="G213" s="15">
        <f>'[01_Entry.xlsx]Book'!G213</f>
        <v>0.0</v>
      </c>
      <c r="H213" s="15">
        <f>'[01_Entry.xlsx]Book'!H213</f>
        <v>0.0</v>
      </c>
      <c r="I213" s="15">
        <f>'[01_Entry.xlsx]Book'!I213</f>
        <v>0.0</v>
      </c>
      <c r="K213" s="15">
        <f>'[01_Entry.xlsx]Book'!K213</f>
        <v>0.0</v>
      </c>
      <c r="L213" s="15">
        <f>'[01_Entry.xlsx]Book'!L213</f>
        <v>0.0</v>
      </c>
      <c r="M213" s="15">
        <f>'[01_Entry.xlsx]Book'!M213</f>
        <v>0.0</v>
      </c>
      <c r="P213" s="56">
        <f>IF($A213="","",IFERROR(VALUE(MID($A213,6,2)),""))</f>
        <v/>
      </c>
    </row>
    <row r="214" spans="7:16">
      <c r="G214" s="15">
        <f>'[01_Entry.xlsx]Book'!G214</f>
        <v>0.0</v>
      </c>
      <c r="H214" s="15">
        <f>'[01_Entry.xlsx]Book'!H214</f>
        <v>0.0</v>
      </c>
      <c r="I214" s="15">
        <f>'[01_Entry.xlsx]Book'!I214</f>
        <v>0.0</v>
      </c>
      <c r="K214" s="15">
        <f>'[01_Entry.xlsx]Book'!K214</f>
        <v>0.0</v>
      </c>
      <c r="L214" s="15">
        <f>'[01_Entry.xlsx]Book'!L214</f>
        <v>0.0</v>
      </c>
      <c r="M214" s="15">
        <f>'[01_Entry.xlsx]Book'!M214</f>
        <v>0.0</v>
      </c>
      <c r="P214" s="56">
        <f>IF($A214="","",IFERROR(VALUE(MID($A214,6,2)),""))</f>
        <v/>
      </c>
    </row>
    <row r="215" spans="7:16">
      <c r="G215" s="15">
        <f>'[01_Entry.xlsx]Book'!G215</f>
        <v>0.0</v>
      </c>
      <c r="H215" s="15">
        <f>'[01_Entry.xlsx]Book'!H215</f>
        <v>0.0</v>
      </c>
      <c r="I215" s="15">
        <f>'[01_Entry.xlsx]Book'!I215</f>
        <v>0.0</v>
      </c>
      <c r="K215" s="15">
        <f>'[01_Entry.xlsx]Book'!K215</f>
        <v>0.0</v>
      </c>
      <c r="L215" s="15">
        <f>'[01_Entry.xlsx]Book'!L215</f>
        <v>0.0</v>
      </c>
      <c r="M215" s="15">
        <f>'[01_Entry.xlsx]Book'!M215</f>
        <v>0.0</v>
      </c>
      <c r="P215" s="56">
        <f>IF($A215="","",IFERROR(VALUE(MID($A215,6,2)),""))</f>
        <v/>
      </c>
    </row>
    <row r="216" spans="7:16">
      <c r="G216" s="15">
        <f>'[01_Entry.xlsx]Book'!G216</f>
        <v>0.0</v>
      </c>
      <c r="H216" s="15">
        <f>'[01_Entry.xlsx]Book'!H216</f>
        <v>0.0</v>
      </c>
      <c r="I216" s="15">
        <f>'[01_Entry.xlsx]Book'!I216</f>
        <v>0.0</v>
      </c>
      <c r="K216" s="15">
        <f>'[01_Entry.xlsx]Book'!K216</f>
        <v>0.0</v>
      </c>
      <c r="L216" s="15">
        <f>'[01_Entry.xlsx]Book'!L216</f>
        <v>0.0</v>
      </c>
      <c r="M216" s="15">
        <f>'[01_Entry.xlsx]Book'!M216</f>
        <v>0.0</v>
      </c>
      <c r="P216" s="56">
        <f>IF($A216="","",IFERROR(VALUE(MID($A216,6,2)),""))</f>
        <v/>
      </c>
    </row>
    <row r="217" spans="7:16">
      <c r="G217" s="15">
        <f>'[01_Entry.xlsx]Book'!G217</f>
        <v>0.0</v>
      </c>
      <c r="H217" s="15">
        <f>'[01_Entry.xlsx]Book'!H217</f>
        <v>0.0</v>
      </c>
      <c r="I217" s="15">
        <f>'[01_Entry.xlsx]Book'!I217</f>
        <v>0.0</v>
      </c>
      <c r="K217" s="15">
        <f>'[01_Entry.xlsx]Book'!K217</f>
        <v>0.0</v>
      </c>
      <c r="L217" s="15">
        <f>'[01_Entry.xlsx]Book'!L217</f>
        <v>0.0</v>
      </c>
      <c r="M217" s="15">
        <f>'[01_Entry.xlsx]Book'!M217</f>
        <v>0.0</v>
      </c>
      <c r="P217" s="56">
        <f>IF($A217="","",IFERROR(VALUE(MID($A217,6,2)),""))</f>
        <v/>
      </c>
    </row>
    <row r="218" spans="7:16">
      <c r="G218" s="15">
        <f>'[01_Entry.xlsx]Book'!G218</f>
        <v>0.0</v>
      </c>
      <c r="H218" s="15">
        <f>'[01_Entry.xlsx]Book'!H218</f>
        <v>0.0</v>
      </c>
      <c r="I218" s="15">
        <f>'[01_Entry.xlsx]Book'!I218</f>
        <v>0.0</v>
      </c>
      <c r="K218" s="15">
        <f>'[01_Entry.xlsx]Book'!K218</f>
        <v>0.0</v>
      </c>
      <c r="L218" s="15">
        <f>'[01_Entry.xlsx]Book'!L218</f>
        <v>0.0</v>
      </c>
      <c r="M218" s="15">
        <f>'[01_Entry.xlsx]Book'!M218</f>
        <v>0.0</v>
      </c>
      <c r="P218" s="56">
        <f>IF($A218="","",IFERROR(VALUE(MID($A218,6,2)),""))</f>
        <v/>
      </c>
    </row>
    <row r="219" spans="7:16">
      <c r="G219" s="15">
        <f>'[01_Entry.xlsx]Book'!G219</f>
        <v>0.0</v>
      </c>
      <c r="H219" s="15">
        <f>'[01_Entry.xlsx]Book'!H219</f>
        <v>0.0</v>
      </c>
      <c r="I219" s="15">
        <f>'[01_Entry.xlsx]Book'!I219</f>
        <v>0.0</v>
      </c>
      <c r="K219" s="15">
        <f>'[01_Entry.xlsx]Book'!K219</f>
        <v>0.0</v>
      </c>
      <c r="L219" s="15">
        <f>'[01_Entry.xlsx]Book'!L219</f>
        <v>0.0</v>
      </c>
      <c r="M219" s="15">
        <f>'[01_Entry.xlsx]Book'!M219</f>
        <v>0.0</v>
      </c>
      <c r="P219" s="56">
        <f>IF($A219="","",IFERROR(VALUE(MID($A219,6,2)),""))</f>
        <v/>
      </c>
    </row>
    <row r="220" spans="7:16">
      <c r="G220" s="15">
        <f>'[01_Entry.xlsx]Book'!G220</f>
        <v>0.0</v>
      </c>
      <c r="H220" s="15">
        <f>'[01_Entry.xlsx]Book'!H220</f>
        <v>0.0</v>
      </c>
      <c r="I220" s="15">
        <f>'[01_Entry.xlsx]Book'!I220</f>
        <v>0.0</v>
      </c>
      <c r="K220" s="15">
        <f>'[01_Entry.xlsx]Book'!K220</f>
        <v>0.0</v>
      </c>
      <c r="L220" s="15">
        <f>'[01_Entry.xlsx]Book'!L220</f>
        <v>0.0</v>
      </c>
      <c r="M220" s="15">
        <f>'[01_Entry.xlsx]Book'!M220</f>
        <v>0.0</v>
      </c>
      <c r="P220" s="56">
        <f>IF($A220="","",IFERROR(VALUE(MID($A220,6,2)),""))</f>
        <v/>
      </c>
    </row>
    <row r="221" spans="7:16">
      <c r="G221" s="15">
        <f>'[01_Entry.xlsx]Book'!G221</f>
        <v>0.0</v>
      </c>
      <c r="H221" s="15">
        <f>'[01_Entry.xlsx]Book'!H221</f>
        <v>0.0</v>
      </c>
      <c r="I221" s="15">
        <f>'[01_Entry.xlsx]Book'!I221</f>
        <v>0.0</v>
      </c>
      <c r="K221" s="15">
        <f>'[01_Entry.xlsx]Book'!K221</f>
        <v>0.0</v>
      </c>
      <c r="L221" s="15">
        <f>'[01_Entry.xlsx]Book'!L221</f>
        <v>0.0</v>
      </c>
      <c r="M221" s="15">
        <f>'[01_Entry.xlsx]Book'!M221</f>
        <v>0.0</v>
      </c>
      <c r="P221" s="56">
        <f>IF($A221="","",IFERROR(VALUE(MID($A221,6,2)),""))</f>
        <v/>
      </c>
    </row>
    <row r="222" spans="7:16">
      <c r="G222" s="15">
        <f>'[01_Entry.xlsx]Book'!G222</f>
        <v>0.0</v>
      </c>
      <c r="H222" s="15">
        <f>'[01_Entry.xlsx]Book'!H222</f>
        <v>0.0</v>
      </c>
      <c r="I222" s="15">
        <f>'[01_Entry.xlsx]Book'!I222</f>
        <v>0.0</v>
      </c>
      <c r="K222" s="15">
        <f>'[01_Entry.xlsx]Book'!K222</f>
        <v>0.0</v>
      </c>
      <c r="L222" s="15">
        <f>'[01_Entry.xlsx]Book'!L222</f>
        <v>0.0</v>
      </c>
      <c r="M222" s="15">
        <f>'[01_Entry.xlsx]Book'!M222</f>
        <v>0.0</v>
      </c>
      <c r="P222" s="56">
        <f>IF($A222="","",IFERROR(VALUE(MID($A222,6,2)),""))</f>
        <v/>
      </c>
    </row>
    <row r="223" spans="7:16">
      <c r="G223" s="15">
        <f>'[01_Entry.xlsx]Book'!G223</f>
        <v>0.0</v>
      </c>
      <c r="H223" s="15">
        <f>'[01_Entry.xlsx]Book'!H223</f>
        <v>0.0</v>
      </c>
      <c r="I223" s="15">
        <f>'[01_Entry.xlsx]Book'!I223</f>
        <v>0.0</v>
      </c>
      <c r="K223" s="15">
        <f>'[01_Entry.xlsx]Book'!K223</f>
        <v>0.0</v>
      </c>
      <c r="L223" s="15">
        <f>'[01_Entry.xlsx]Book'!L223</f>
        <v>0.0</v>
      </c>
      <c r="M223" s="15">
        <f>'[01_Entry.xlsx]Book'!M223</f>
        <v>0.0</v>
      </c>
      <c r="P223" s="56">
        <f>IF($A223="","",IFERROR(VALUE(MID($A223,6,2)),""))</f>
        <v/>
      </c>
    </row>
    <row r="224" spans="7:16">
      <c r="G224" s="15">
        <f>'[01_Entry.xlsx]Book'!G224</f>
        <v>0.0</v>
      </c>
      <c r="H224" s="15">
        <f>'[01_Entry.xlsx]Book'!H224</f>
        <v>0.0</v>
      </c>
      <c r="I224" s="15">
        <f>'[01_Entry.xlsx]Book'!I224</f>
        <v>0.0</v>
      </c>
      <c r="K224" s="15">
        <f>'[01_Entry.xlsx]Book'!K224</f>
        <v>0.0</v>
      </c>
      <c r="L224" s="15">
        <f>'[01_Entry.xlsx]Book'!L224</f>
        <v>0.0</v>
      </c>
      <c r="M224" s="15">
        <f>'[01_Entry.xlsx]Book'!M224</f>
        <v>0.0</v>
      </c>
      <c r="P224" s="56">
        <f>IF($A224="","",IFERROR(VALUE(MID($A224,6,2)),""))</f>
        <v/>
      </c>
    </row>
    <row r="225" spans="7:16">
      <c r="G225" s="15">
        <f>'[01_Entry.xlsx]Book'!G225</f>
        <v>0.0</v>
      </c>
      <c r="H225" s="15">
        <f>'[01_Entry.xlsx]Book'!H225</f>
        <v>0.0</v>
      </c>
      <c r="I225" s="15">
        <f>'[01_Entry.xlsx]Book'!I225</f>
        <v>0.0</v>
      </c>
      <c r="K225" s="15">
        <f>'[01_Entry.xlsx]Book'!K225</f>
        <v>0.0</v>
      </c>
      <c r="L225" s="15">
        <f>'[01_Entry.xlsx]Book'!L225</f>
        <v>0.0</v>
      </c>
      <c r="M225" s="15">
        <f>'[01_Entry.xlsx]Book'!M225</f>
        <v>0.0</v>
      </c>
      <c r="P225" s="56">
        <f>IF($A225="","",IFERROR(VALUE(MID($A225,6,2)),""))</f>
        <v/>
      </c>
    </row>
    <row r="226" spans="7:16">
      <c r="G226" s="15">
        <f>'[01_Entry.xlsx]Book'!G226</f>
        <v>0.0</v>
      </c>
      <c r="H226" s="15">
        <f>'[01_Entry.xlsx]Book'!H226</f>
        <v>0.0</v>
      </c>
      <c r="I226" s="15">
        <f>'[01_Entry.xlsx]Book'!I226</f>
        <v>0.0</v>
      </c>
      <c r="K226" s="15">
        <f>'[01_Entry.xlsx]Book'!K226</f>
        <v>0.0</v>
      </c>
      <c r="L226" s="15">
        <f>'[01_Entry.xlsx]Book'!L226</f>
        <v>0.0</v>
      </c>
      <c r="M226" s="15">
        <f>'[01_Entry.xlsx]Book'!M226</f>
        <v>0.0</v>
      </c>
      <c r="P226" s="56">
        <f>IF($A226="","",IFERROR(VALUE(MID($A226,6,2)),""))</f>
        <v/>
      </c>
    </row>
    <row r="227" spans="7:16">
      <c r="G227" s="15">
        <f>'[01_Entry.xlsx]Book'!G227</f>
        <v>0.0</v>
      </c>
      <c r="H227" s="15">
        <f>'[01_Entry.xlsx]Book'!H227</f>
        <v>0.0</v>
      </c>
      <c r="I227" s="15">
        <f>'[01_Entry.xlsx]Book'!I227</f>
        <v>0.0</v>
      </c>
      <c r="K227" s="15">
        <f>'[01_Entry.xlsx]Book'!K227</f>
        <v>0.0</v>
      </c>
      <c r="L227" s="15">
        <f>'[01_Entry.xlsx]Book'!L227</f>
        <v>0.0</v>
      </c>
      <c r="M227" s="15">
        <f>'[01_Entry.xlsx]Book'!M227</f>
        <v>0.0</v>
      </c>
      <c r="P227" s="56">
        <f>IF($A227="","",IFERROR(VALUE(MID($A227,6,2)),""))</f>
        <v/>
      </c>
    </row>
    <row r="228" spans="7:16">
      <c r="G228" s="15">
        <f>'[01_Entry.xlsx]Book'!G228</f>
        <v>0.0</v>
      </c>
      <c r="H228" s="15">
        <f>'[01_Entry.xlsx]Book'!H228</f>
        <v>0.0</v>
      </c>
      <c r="I228" s="15">
        <f>'[01_Entry.xlsx]Book'!I228</f>
        <v>0.0</v>
      </c>
      <c r="K228" s="15">
        <f>'[01_Entry.xlsx]Book'!K228</f>
        <v>0.0</v>
      </c>
      <c r="L228" s="15">
        <f>'[01_Entry.xlsx]Book'!L228</f>
        <v>0.0</v>
      </c>
      <c r="M228" s="15">
        <f>'[01_Entry.xlsx]Book'!M228</f>
        <v>0.0</v>
      </c>
      <c r="P228" s="56">
        <f>IF($A228="","",IFERROR(VALUE(MID($A228,6,2)),""))</f>
        <v/>
      </c>
    </row>
    <row r="229" spans="7:16">
      <c r="G229" s="15">
        <f>'[01_Entry.xlsx]Book'!G229</f>
        <v>0.0</v>
      </c>
      <c r="H229" s="15">
        <f>'[01_Entry.xlsx]Book'!H229</f>
        <v>0.0</v>
      </c>
      <c r="I229" s="15">
        <f>'[01_Entry.xlsx]Book'!I229</f>
        <v>0.0</v>
      </c>
      <c r="K229" s="15">
        <f>'[01_Entry.xlsx]Book'!K229</f>
        <v>0.0</v>
      </c>
      <c r="L229" s="15">
        <f>'[01_Entry.xlsx]Book'!L229</f>
        <v>0.0</v>
      </c>
      <c r="M229" s="15">
        <f>'[01_Entry.xlsx]Book'!M229</f>
        <v>0.0</v>
      </c>
      <c r="P229" s="56">
        <f>IF($A229="","",IFERROR(VALUE(MID($A229,6,2)),""))</f>
        <v/>
      </c>
    </row>
    <row r="230" spans="7:16">
      <c r="G230" s="15">
        <f>'[01_Entry.xlsx]Book'!G230</f>
        <v>0.0</v>
      </c>
      <c r="H230" s="15">
        <f>'[01_Entry.xlsx]Book'!H230</f>
        <v>0.0</v>
      </c>
      <c r="I230" s="15">
        <f>'[01_Entry.xlsx]Book'!I230</f>
        <v>0.0</v>
      </c>
      <c r="K230" s="15">
        <f>'[01_Entry.xlsx]Book'!K230</f>
        <v>0.0</v>
      </c>
      <c r="L230" s="15">
        <f>'[01_Entry.xlsx]Book'!L230</f>
        <v>0.0</v>
      </c>
      <c r="M230" s="15">
        <f>'[01_Entry.xlsx]Book'!M230</f>
        <v>0.0</v>
      </c>
      <c r="P230" s="56">
        <f>IF($A230="","",IFERROR(VALUE(MID($A230,6,2)),""))</f>
        <v/>
      </c>
    </row>
    <row r="231" spans="7:16">
      <c r="G231" s="15">
        <f>'[01_Entry.xlsx]Book'!G231</f>
        <v>0.0</v>
      </c>
      <c r="H231" s="15">
        <f>'[01_Entry.xlsx]Book'!H231</f>
        <v>0.0</v>
      </c>
      <c r="I231" s="15">
        <f>'[01_Entry.xlsx]Book'!I231</f>
        <v>0.0</v>
      </c>
      <c r="K231" s="15">
        <f>'[01_Entry.xlsx]Book'!K231</f>
        <v>0.0</v>
      </c>
      <c r="L231" s="15">
        <f>'[01_Entry.xlsx]Book'!L231</f>
        <v>0.0</v>
      </c>
      <c r="M231" s="15">
        <f>'[01_Entry.xlsx]Book'!M231</f>
        <v>0.0</v>
      </c>
      <c r="P231" s="56">
        <f>IF($A231="","",IFERROR(VALUE(MID($A231,6,2)),""))</f>
        <v/>
      </c>
    </row>
    <row r="232" spans="7:16">
      <c r="G232" s="15">
        <f>'[01_Entry.xlsx]Book'!G232</f>
        <v>0.0</v>
      </c>
      <c r="H232" s="15">
        <f>'[01_Entry.xlsx]Book'!H232</f>
        <v>0.0</v>
      </c>
      <c r="I232" s="15">
        <f>'[01_Entry.xlsx]Book'!I232</f>
        <v>0.0</v>
      </c>
      <c r="K232" s="15">
        <f>'[01_Entry.xlsx]Book'!K232</f>
        <v>0.0</v>
      </c>
      <c r="L232" s="15">
        <f>'[01_Entry.xlsx]Book'!L232</f>
        <v>0.0</v>
      </c>
      <c r="M232" s="15">
        <f>'[01_Entry.xlsx]Book'!M232</f>
        <v>0.0</v>
      </c>
      <c r="P232" s="56">
        <f>IF($A232="","",IFERROR(VALUE(MID($A232,6,2)),""))</f>
        <v/>
      </c>
    </row>
    <row r="233" spans="7:16">
      <c r="G233" s="15">
        <f>'[01_Entry.xlsx]Book'!G233</f>
        <v>0.0</v>
      </c>
      <c r="H233" s="15">
        <f>'[01_Entry.xlsx]Book'!H233</f>
        <v>0.0</v>
      </c>
      <c r="I233" s="15">
        <f>'[01_Entry.xlsx]Book'!I233</f>
        <v>0.0</v>
      </c>
      <c r="K233" s="15">
        <f>'[01_Entry.xlsx]Book'!K233</f>
        <v>0.0</v>
      </c>
      <c r="L233" s="15">
        <f>'[01_Entry.xlsx]Book'!L233</f>
        <v>0.0</v>
      </c>
      <c r="M233" s="15">
        <f>'[01_Entry.xlsx]Book'!M233</f>
        <v>0.0</v>
      </c>
      <c r="P233" s="56">
        <f>IF($A233="","",IFERROR(VALUE(MID($A233,6,2)),""))</f>
        <v/>
      </c>
    </row>
    <row r="234" spans="7:16">
      <c r="G234" s="15">
        <f>'[01_Entry.xlsx]Book'!G234</f>
        <v>0.0</v>
      </c>
      <c r="H234" s="15">
        <f>'[01_Entry.xlsx]Book'!H234</f>
        <v>0.0</v>
      </c>
      <c r="I234" s="15">
        <f>'[01_Entry.xlsx]Book'!I234</f>
        <v>0.0</v>
      </c>
      <c r="K234" s="15">
        <f>'[01_Entry.xlsx]Book'!K234</f>
        <v>0.0</v>
      </c>
      <c r="L234" s="15">
        <f>'[01_Entry.xlsx]Book'!L234</f>
        <v>0.0</v>
      </c>
      <c r="M234" s="15">
        <f>'[01_Entry.xlsx]Book'!M234</f>
        <v>0.0</v>
      </c>
      <c r="P234" s="56">
        <f>IF($A234="","",IFERROR(VALUE(MID($A234,6,2)),""))</f>
        <v/>
      </c>
    </row>
    <row r="235" spans="7:16">
      <c r="G235" s="15">
        <f>'[01_Entry.xlsx]Book'!G235</f>
        <v>0.0</v>
      </c>
      <c r="H235" s="15">
        <f>'[01_Entry.xlsx]Book'!H235</f>
        <v>0.0</v>
      </c>
      <c r="I235" s="15">
        <f>'[01_Entry.xlsx]Book'!I235</f>
        <v>0.0</v>
      </c>
      <c r="K235" s="15">
        <f>'[01_Entry.xlsx]Book'!K235</f>
        <v>0.0</v>
      </c>
      <c r="L235" s="15">
        <f>'[01_Entry.xlsx]Book'!L235</f>
        <v>0.0</v>
      </c>
      <c r="M235" s="15">
        <f>'[01_Entry.xlsx]Book'!M235</f>
        <v>0.0</v>
      </c>
      <c r="P235" s="56">
        <f>IF($A235="","",IFERROR(VALUE(MID($A235,6,2)),""))</f>
        <v/>
      </c>
    </row>
    <row r="236" spans="7:16">
      <c r="G236" s="15">
        <f>'[01_Entry.xlsx]Book'!G236</f>
        <v>0.0</v>
      </c>
      <c r="H236" s="15">
        <f>'[01_Entry.xlsx]Book'!H236</f>
        <v>0.0</v>
      </c>
      <c r="I236" s="15">
        <f>'[01_Entry.xlsx]Book'!I236</f>
        <v>0.0</v>
      </c>
      <c r="K236" s="15">
        <f>'[01_Entry.xlsx]Book'!K236</f>
        <v>0.0</v>
      </c>
      <c r="L236" s="15">
        <f>'[01_Entry.xlsx]Book'!L236</f>
        <v>0.0</v>
      </c>
      <c r="M236" s="15">
        <f>'[01_Entry.xlsx]Book'!M236</f>
        <v>0.0</v>
      </c>
      <c r="P236" s="56">
        <f>IF($A236="","",IFERROR(VALUE(MID($A236,6,2)),""))</f>
        <v/>
      </c>
    </row>
    <row r="237" spans="7:16">
      <c r="G237" s="15">
        <f>'[01_Entry.xlsx]Book'!G237</f>
        <v>0.0</v>
      </c>
      <c r="H237" s="15">
        <f>'[01_Entry.xlsx]Book'!H237</f>
        <v>0.0</v>
      </c>
      <c r="I237" s="15">
        <f>'[01_Entry.xlsx]Book'!I237</f>
        <v>0.0</v>
      </c>
      <c r="K237" s="15">
        <f>'[01_Entry.xlsx]Book'!K237</f>
        <v>0.0</v>
      </c>
      <c r="L237" s="15">
        <f>'[01_Entry.xlsx]Book'!L237</f>
        <v>0.0</v>
      </c>
      <c r="M237" s="15">
        <f>'[01_Entry.xlsx]Book'!M237</f>
        <v>0.0</v>
      </c>
      <c r="P237" s="56">
        <f>IF($A237="","",IFERROR(VALUE(MID($A237,6,2)),""))</f>
        <v/>
      </c>
    </row>
    <row r="238" spans="7:16">
      <c r="G238" s="15">
        <f>'[01_Entry.xlsx]Book'!G238</f>
        <v>0.0</v>
      </c>
      <c r="H238" s="15">
        <f>'[01_Entry.xlsx]Book'!H238</f>
        <v>0.0</v>
      </c>
      <c r="I238" s="15">
        <f>'[01_Entry.xlsx]Book'!I238</f>
        <v>0.0</v>
      </c>
      <c r="K238" s="15">
        <f>'[01_Entry.xlsx]Book'!K238</f>
        <v>0.0</v>
      </c>
      <c r="L238" s="15">
        <f>'[01_Entry.xlsx]Book'!L238</f>
        <v>0.0</v>
      </c>
      <c r="M238" s="15">
        <f>'[01_Entry.xlsx]Book'!M238</f>
        <v>0.0</v>
      </c>
      <c r="P238" s="56">
        <f>IF($A238="","",IFERROR(VALUE(MID($A238,6,2)),""))</f>
        <v/>
      </c>
    </row>
    <row r="239" spans="7:16">
      <c r="G239" s="15">
        <f>'[01_Entry.xlsx]Book'!G239</f>
        <v>0.0</v>
      </c>
      <c r="H239" s="15">
        <f>'[01_Entry.xlsx]Book'!H239</f>
        <v>0.0</v>
      </c>
      <c r="I239" s="15">
        <f>'[01_Entry.xlsx]Book'!I239</f>
        <v>0.0</v>
      </c>
      <c r="K239" s="15">
        <f>'[01_Entry.xlsx]Book'!K239</f>
        <v>0.0</v>
      </c>
      <c r="L239" s="15">
        <f>'[01_Entry.xlsx]Book'!L239</f>
        <v>0.0</v>
      </c>
      <c r="M239" s="15">
        <f>'[01_Entry.xlsx]Book'!M239</f>
        <v>0.0</v>
      </c>
      <c r="P239" s="56">
        <f>IF($A239="","",IFERROR(VALUE(MID($A239,6,2)),""))</f>
        <v/>
      </c>
    </row>
    <row r="240" spans="7:16">
      <c r="G240" s="15">
        <f>'[01_Entry.xlsx]Book'!G240</f>
        <v>0.0</v>
      </c>
      <c r="H240" s="15">
        <f>'[01_Entry.xlsx]Book'!H240</f>
        <v>0.0</v>
      </c>
      <c r="I240" s="15">
        <f>'[01_Entry.xlsx]Book'!I240</f>
        <v>0.0</v>
      </c>
      <c r="K240" s="15">
        <f>'[01_Entry.xlsx]Book'!K240</f>
        <v>0.0</v>
      </c>
      <c r="L240" s="15">
        <f>'[01_Entry.xlsx]Book'!L240</f>
        <v>0.0</v>
      </c>
      <c r="M240" s="15">
        <f>'[01_Entry.xlsx]Book'!M240</f>
        <v>0.0</v>
      </c>
      <c r="P240" s="56">
        <f>IF($A240="","",IFERROR(VALUE(MID($A240,6,2)),""))</f>
        <v/>
      </c>
    </row>
    <row r="241" spans="7:16">
      <c r="G241" s="15">
        <f>'[01_Entry.xlsx]Book'!G241</f>
        <v>0.0</v>
      </c>
      <c r="H241" s="15">
        <f>'[01_Entry.xlsx]Book'!H241</f>
        <v>0.0</v>
      </c>
      <c r="I241" s="15">
        <f>'[01_Entry.xlsx]Book'!I241</f>
        <v>0.0</v>
      </c>
      <c r="K241" s="15">
        <f>'[01_Entry.xlsx]Book'!K241</f>
        <v>0.0</v>
      </c>
      <c r="L241" s="15">
        <f>'[01_Entry.xlsx]Book'!L241</f>
        <v>0.0</v>
      </c>
      <c r="M241" s="15">
        <f>'[01_Entry.xlsx]Book'!M241</f>
        <v>0.0</v>
      </c>
      <c r="P241" s="56">
        <f>IF($A241="","",IFERROR(VALUE(MID($A241,6,2)),""))</f>
        <v/>
      </c>
    </row>
    <row r="242" spans="7:16">
      <c r="G242" s="15">
        <f>'[01_Entry.xlsx]Book'!G242</f>
        <v>0.0</v>
      </c>
      <c r="H242" s="15">
        <f>'[01_Entry.xlsx]Book'!H242</f>
        <v>0.0</v>
      </c>
      <c r="I242" s="15">
        <f>'[01_Entry.xlsx]Book'!I242</f>
        <v>0.0</v>
      </c>
      <c r="K242" s="15">
        <f>'[01_Entry.xlsx]Book'!K242</f>
        <v>0.0</v>
      </c>
      <c r="L242" s="15">
        <f>'[01_Entry.xlsx]Book'!L242</f>
        <v>0.0</v>
      </c>
      <c r="M242" s="15">
        <f>'[01_Entry.xlsx]Book'!M242</f>
        <v>0.0</v>
      </c>
      <c r="P242" s="56">
        <f>IF($A242="","",IFERROR(VALUE(MID($A242,6,2)),""))</f>
        <v/>
      </c>
    </row>
    <row r="243" spans="7:16">
      <c r="G243" s="15">
        <f>'[01_Entry.xlsx]Book'!G243</f>
        <v>0.0</v>
      </c>
      <c r="H243" s="15">
        <f>'[01_Entry.xlsx]Book'!H243</f>
        <v>0.0</v>
      </c>
      <c r="I243" s="15">
        <f>'[01_Entry.xlsx]Book'!I243</f>
        <v>0.0</v>
      </c>
      <c r="K243" s="15">
        <f>'[01_Entry.xlsx]Book'!K243</f>
        <v>0.0</v>
      </c>
      <c r="L243" s="15">
        <f>'[01_Entry.xlsx]Book'!L243</f>
        <v>0.0</v>
      </c>
      <c r="M243" s="15">
        <f>'[01_Entry.xlsx]Book'!M243</f>
        <v>0.0</v>
      </c>
      <c r="P243" s="56">
        <f>IF($A243="","",IFERROR(VALUE(MID($A243,6,2)),""))</f>
        <v/>
      </c>
    </row>
    <row r="244" spans="7:16">
      <c r="G244" s="15">
        <f>'[01_Entry.xlsx]Book'!G244</f>
        <v>0.0</v>
      </c>
      <c r="H244" s="15">
        <f>'[01_Entry.xlsx]Book'!H244</f>
        <v>0.0</v>
      </c>
      <c r="I244" s="15">
        <f>'[01_Entry.xlsx]Book'!I244</f>
        <v>0.0</v>
      </c>
      <c r="K244" s="15">
        <f>'[01_Entry.xlsx]Book'!K244</f>
        <v>0.0</v>
      </c>
      <c r="L244" s="15">
        <f>'[01_Entry.xlsx]Book'!L244</f>
        <v>0.0</v>
      </c>
      <c r="M244" s="15">
        <f>'[01_Entry.xlsx]Book'!M244</f>
        <v>0.0</v>
      </c>
      <c r="P244" s="56">
        <f>IF($A244="","",IFERROR(VALUE(MID($A244,6,2)),""))</f>
        <v/>
      </c>
    </row>
    <row r="245" spans="7:16">
      <c r="G245" s="15">
        <f>'[01_Entry.xlsx]Book'!G245</f>
        <v>0.0</v>
      </c>
      <c r="H245" s="15">
        <f>'[01_Entry.xlsx]Book'!H245</f>
        <v>0.0</v>
      </c>
      <c r="I245" s="15">
        <f>'[01_Entry.xlsx]Book'!I245</f>
        <v>0.0</v>
      </c>
      <c r="K245" s="15">
        <f>'[01_Entry.xlsx]Book'!K245</f>
        <v>0.0</v>
      </c>
      <c r="L245" s="15">
        <f>'[01_Entry.xlsx]Book'!L245</f>
        <v>0.0</v>
      </c>
      <c r="M245" s="15">
        <f>'[01_Entry.xlsx]Book'!M245</f>
        <v>0.0</v>
      </c>
      <c r="P245" s="56">
        <f>IF($A245="","",IFERROR(VALUE(MID($A245,6,2)),""))</f>
        <v/>
      </c>
    </row>
    <row r="246" spans="7:16">
      <c r="G246" s="15">
        <f>'[01_Entry.xlsx]Book'!G246</f>
        <v>0.0</v>
      </c>
      <c r="H246" s="15">
        <f>'[01_Entry.xlsx]Book'!H246</f>
        <v>0.0</v>
      </c>
      <c r="I246" s="15">
        <f>'[01_Entry.xlsx]Book'!I246</f>
        <v>0.0</v>
      </c>
      <c r="K246" s="15">
        <f>'[01_Entry.xlsx]Book'!K246</f>
        <v>0.0</v>
      </c>
      <c r="L246" s="15">
        <f>'[01_Entry.xlsx]Book'!L246</f>
        <v>0.0</v>
      </c>
      <c r="M246" s="15">
        <f>'[01_Entry.xlsx]Book'!M246</f>
        <v>0.0</v>
      </c>
      <c r="P246" s="56">
        <f>IF($A246="","",IFERROR(VALUE(MID($A246,6,2)),""))</f>
        <v/>
      </c>
    </row>
    <row r="247" spans="7:16">
      <c r="G247" s="15">
        <f>'[01_Entry.xlsx]Book'!G247</f>
        <v>0.0</v>
      </c>
      <c r="H247" s="15">
        <f>'[01_Entry.xlsx]Book'!H247</f>
        <v>0.0</v>
      </c>
      <c r="I247" s="15">
        <f>'[01_Entry.xlsx]Book'!I247</f>
        <v>0.0</v>
      </c>
      <c r="K247" s="15">
        <f>'[01_Entry.xlsx]Book'!K247</f>
        <v>0.0</v>
      </c>
      <c r="L247" s="15">
        <f>'[01_Entry.xlsx]Book'!L247</f>
        <v>0.0</v>
      </c>
      <c r="M247" s="15">
        <f>'[01_Entry.xlsx]Book'!M247</f>
        <v>0.0</v>
      </c>
      <c r="P247" s="56">
        <f>IF($A247="","",IFERROR(VALUE(MID($A247,6,2)),""))</f>
        <v/>
      </c>
    </row>
    <row r="248" spans="7:16">
      <c r="G248" s="15">
        <f>'[01_Entry.xlsx]Book'!G248</f>
        <v>0.0</v>
      </c>
      <c r="H248" s="15">
        <f>'[01_Entry.xlsx]Book'!H248</f>
        <v>0.0</v>
      </c>
      <c r="I248" s="15">
        <f>'[01_Entry.xlsx]Book'!I248</f>
        <v>0.0</v>
      </c>
      <c r="K248" s="15">
        <f>'[01_Entry.xlsx]Book'!K248</f>
        <v>0.0</v>
      </c>
      <c r="L248" s="15">
        <f>'[01_Entry.xlsx]Book'!L248</f>
        <v>0.0</v>
      </c>
      <c r="M248" s="15">
        <f>'[01_Entry.xlsx]Book'!M248</f>
        <v>0.0</v>
      </c>
      <c r="P248" s="56">
        <f>IF($A248="","",IFERROR(VALUE(MID($A248,6,2)),""))</f>
        <v/>
      </c>
    </row>
    <row r="249" spans="7:16">
      <c r="G249" s="15">
        <f>'[01_Entry.xlsx]Book'!G249</f>
        <v>0.0</v>
      </c>
      <c r="H249" s="15">
        <f>'[01_Entry.xlsx]Book'!H249</f>
        <v>0.0</v>
      </c>
      <c r="I249" s="15">
        <f>'[01_Entry.xlsx]Book'!I249</f>
        <v>0.0</v>
      </c>
      <c r="K249" s="15">
        <f>'[01_Entry.xlsx]Book'!K249</f>
        <v>0.0</v>
      </c>
      <c r="L249" s="15">
        <f>'[01_Entry.xlsx]Book'!L249</f>
        <v>0.0</v>
      </c>
      <c r="M249" s="15">
        <f>'[01_Entry.xlsx]Book'!M249</f>
        <v>0.0</v>
      </c>
      <c r="P249" s="56">
        <f>IF($A249="","",IFERROR(VALUE(MID($A249,6,2)),""))</f>
        <v/>
      </c>
    </row>
    <row r="250" spans="7:16">
      <c r="G250" s="15">
        <f>'[01_Entry.xlsx]Book'!G250</f>
        <v>0.0</v>
      </c>
      <c r="H250" s="15">
        <f>'[01_Entry.xlsx]Book'!H250</f>
        <v>0.0</v>
      </c>
      <c r="I250" s="15">
        <f>'[01_Entry.xlsx]Book'!I250</f>
        <v>0.0</v>
      </c>
      <c r="K250" s="15">
        <f>'[01_Entry.xlsx]Book'!K250</f>
        <v>0.0</v>
      </c>
      <c r="L250" s="15">
        <f>'[01_Entry.xlsx]Book'!L250</f>
        <v>0.0</v>
      </c>
      <c r="M250" s="15">
        <f>'[01_Entry.xlsx]Book'!M250</f>
        <v>0.0</v>
      </c>
      <c r="P250" s="56">
        <f>IF($A250="","",IFERROR(VALUE(MID($A250,6,2)),""))</f>
        <v/>
      </c>
    </row>
    <row r="251" spans="7:16">
      <c r="G251" s="15">
        <f>'[01_Entry.xlsx]Book'!G251</f>
        <v>0.0</v>
      </c>
      <c r="H251" s="15">
        <f>'[01_Entry.xlsx]Book'!H251</f>
        <v>0.0</v>
      </c>
      <c r="I251" s="15">
        <f>'[01_Entry.xlsx]Book'!I251</f>
        <v>0.0</v>
      </c>
      <c r="K251" s="15">
        <f>'[01_Entry.xlsx]Book'!K251</f>
        <v>0.0</v>
      </c>
      <c r="L251" s="15">
        <f>'[01_Entry.xlsx]Book'!L251</f>
        <v>0.0</v>
      </c>
      <c r="M251" s="15">
        <f>'[01_Entry.xlsx]Book'!M251</f>
        <v>0.0</v>
      </c>
      <c r="P251" s="56">
        <f>IF($A251="","",IFERROR(VALUE(MID($A251,6,2)),""))</f>
        <v/>
      </c>
    </row>
    <row r="252" spans="7:16">
      <c r="G252" s="15">
        <f>'[01_Entry.xlsx]Book'!G252</f>
        <v>0.0</v>
      </c>
      <c r="H252" s="15">
        <f>'[01_Entry.xlsx]Book'!H252</f>
        <v>0.0</v>
      </c>
      <c r="I252" s="15">
        <f>'[01_Entry.xlsx]Book'!I252</f>
        <v>0.0</v>
      </c>
      <c r="K252" s="15">
        <f>'[01_Entry.xlsx]Book'!K252</f>
        <v>0.0</v>
      </c>
      <c r="L252" s="15">
        <f>'[01_Entry.xlsx]Book'!L252</f>
        <v>0.0</v>
      </c>
      <c r="M252" s="15">
        <f>'[01_Entry.xlsx]Book'!M252</f>
        <v>0.0</v>
      </c>
      <c r="P252" s="56">
        <f>IF($A252="","",IFERROR(VALUE(MID($A252,6,2)),""))</f>
        <v/>
      </c>
    </row>
    <row r="253" spans="7:16">
      <c r="G253" s="15">
        <f>'[01_Entry.xlsx]Book'!G253</f>
        <v>0.0</v>
      </c>
      <c r="H253" s="15">
        <f>'[01_Entry.xlsx]Book'!H253</f>
        <v>0.0</v>
      </c>
      <c r="I253" s="15">
        <f>'[01_Entry.xlsx]Book'!I253</f>
        <v>0.0</v>
      </c>
      <c r="K253" s="15">
        <f>'[01_Entry.xlsx]Book'!K253</f>
        <v>0.0</v>
      </c>
      <c r="L253" s="15">
        <f>'[01_Entry.xlsx]Book'!L253</f>
        <v>0.0</v>
      </c>
      <c r="M253" s="15">
        <f>'[01_Entry.xlsx]Book'!M253</f>
        <v>0.0</v>
      </c>
      <c r="P253" s="56">
        <f>IF($A253="","",IFERROR(VALUE(MID($A253,6,2)),""))</f>
        <v/>
      </c>
    </row>
    <row r="254" spans="7:16">
      <c r="G254" s="15">
        <f>'[01_Entry.xlsx]Book'!G254</f>
        <v>0.0</v>
      </c>
      <c r="H254" s="15">
        <f>'[01_Entry.xlsx]Book'!H254</f>
        <v>0.0</v>
      </c>
      <c r="I254" s="15">
        <f>'[01_Entry.xlsx]Book'!I254</f>
        <v>0.0</v>
      </c>
      <c r="K254" s="15">
        <f>'[01_Entry.xlsx]Book'!K254</f>
        <v>0.0</v>
      </c>
      <c r="L254" s="15">
        <f>'[01_Entry.xlsx]Book'!L254</f>
        <v>0.0</v>
      </c>
      <c r="M254" s="15">
        <f>'[01_Entry.xlsx]Book'!M254</f>
        <v>0.0</v>
      </c>
      <c r="P254" s="56">
        <f>IF($A254="","",IFERROR(VALUE(MID($A254,6,2)),""))</f>
        <v/>
      </c>
    </row>
    <row r="255" spans="7:16">
      <c r="G255" s="15">
        <f>'[01_Entry.xlsx]Book'!G255</f>
        <v>0.0</v>
      </c>
      <c r="H255" s="15">
        <f>'[01_Entry.xlsx]Book'!H255</f>
        <v>0.0</v>
      </c>
      <c r="I255" s="15">
        <f>'[01_Entry.xlsx]Book'!I255</f>
        <v>0.0</v>
      </c>
      <c r="K255" s="15">
        <f>'[01_Entry.xlsx]Book'!K255</f>
        <v>0.0</v>
      </c>
      <c r="L255" s="15">
        <f>'[01_Entry.xlsx]Book'!L255</f>
        <v>0.0</v>
      </c>
      <c r="M255" s="15">
        <f>'[01_Entry.xlsx]Book'!M255</f>
        <v>0.0</v>
      </c>
      <c r="P255" s="56">
        <f>IF($A255="","",IFERROR(VALUE(MID($A255,6,2)),""))</f>
        <v/>
      </c>
    </row>
    <row r="256" spans="7:16">
      <c r="G256" s="15">
        <f>'[01_Entry.xlsx]Book'!G256</f>
        <v>0.0</v>
      </c>
      <c r="H256" s="15">
        <f>'[01_Entry.xlsx]Book'!H256</f>
        <v>0.0</v>
      </c>
      <c r="I256" s="15">
        <f>'[01_Entry.xlsx]Book'!I256</f>
        <v>0.0</v>
      </c>
      <c r="K256" s="15">
        <f>'[01_Entry.xlsx]Book'!K256</f>
        <v>0.0</v>
      </c>
      <c r="L256" s="15">
        <f>'[01_Entry.xlsx]Book'!L256</f>
        <v>0.0</v>
      </c>
      <c r="M256" s="15">
        <f>'[01_Entry.xlsx]Book'!M256</f>
        <v>0.0</v>
      </c>
      <c r="P256" s="56">
        <f>IF($A256="","",IFERROR(VALUE(MID($A256,6,2)),""))</f>
        <v/>
      </c>
    </row>
    <row r="257" spans="7:16">
      <c r="G257" s="15">
        <f>'[01_Entry.xlsx]Book'!G257</f>
        <v>0.0</v>
      </c>
      <c r="H257" s="15">
        <f>'[01_Entry.xlsx]Book'!H257</f>
        <v>0.0</v>
      </c>
      <c r="I257" s="15">
        <f>'[01_Entry.xlsx]Book'!I257</f>
        <v>0.0</v>
      </c>
      <c r="K257" s="15">
        <f>'[01_Entry.xlsx]Book'!K257</f>
        <v>0.0</v>
      </c>
      <c r="L257" s="15">
        <f>'[01_Entry.xlsx]Book'!L257</f>
        <v>0.0</v>
      </c>
      <c r="M257" s="15">
        <f>'[01_Entry.xlsx]Book'!M257</f>
        <v>0.0</v>
      </c>
      <c r="P257" s="56">
        <f>IF($A257="","",IFERROR(VALUE(MID($A257,6,2)),""))</f>
        <v/>
      </c>
    </row>
    <row r="258" spans="7:16">
      <c r="G258" s="15">
        <f>'[01_Entry.xlsx]Book'!G258</f>
        <v>0.0</v>
      </c>
      <c r="H258" s="15">
        <f>'[01_Entry.xlsx]Book'!H258</f>
        <v>0.0</v>
      </c>
      <c r="I258" s="15">
        <f>'[01_Entry.xlsx]Book'!I258</f>
        <v>0.0</v>
      </c>
      <c r="K258" s="15">
        <f>'[01_Entry.xlsx]Book'!K258</f>
        <v>0.0</v>
      </c>
      <c r="L258" s="15">
        <f>'[01_Entry.xlsx]Book'!L258</f>
        <v>0.0</v>
      </c>
      <c r="M258" s="15">
        <f>'[01_Entry.xlsx]Book'!M258</f>
        <v>0.0</v>
      </c>
      <c r="P258" s="56">
        <f>IF($A258="","",IFERROR(VALUE(MID($A258,6,2)),""))</f>
        <v/>
      </c>
    </row>
    <row r="259" spans="7:16">
      <c r="G259" s="15">
        <f>'[01_Entry.xlsx]Book'!G259</f>
        <v>0.0</v>
      </c>
      <c r="H259" s="15">
        <f>'[01_Entry.xlsx]Book'!H259</f>
        <v>0.0</v>
      </c>
      <c r="I259" s="15">
        <f>'[01_Entry.xlsx]Book'!I259</f>
        <v>0.0</v>
      </c>
      <c r="K259" s="15">
        <f>'[01_Entry.xlsx]Book'!K259</f>
        <v>0.0</v>
      </c>
      <c r="L259" s="15">
        <f>'[01_Entry.xlsx]Book'!L259</f>
        <v>0.0</v>
      </c>
      <c r="M259" s="15">
        <f>'[01_Entry.xlsx]Book'!M259</f>
        <v>0.0</v>
      </c>
      <c r="P259" s="56">
        <f>IF($A259="","",IFERROR(VALUE(MID($A259,6,2)),""))</f>
        <v/>
      </c>
    </row>
    <row r="260" spans="7:16">
      <c r="G260" s="15">
        <f>'[01_Entry.xlsx]Book'!G260</f>
        <v>0.0</v>
      </c>
      <c r="H260" s="15">
        <f>'[01_Entry.xlsx]Book'!H260</f>
        <v>0.0</v>
      </c>
      <c r="I260" s="15">
        <f>'[01_Entry.xlsx]Book'!I260</f>
        <v>0.0</v>
      </c>
      <c r="K260" s="15">
        <f>'[01_Entry.xlsx]Book'!K260</f>
        <v>0.0</v>
      </c>
      <c r="L260" s="15">
        <f>'[01_Entry.xlsx]Book'!L260</f>
        <v>0.0</v>
      </c>
      <c r="M260" s="15">
        <f>'[01_Entry.xlsx]Book'!M260</f>
        <v>0.0</v>
      </c>
      <c r="P260" s="56">
        <f>IF($A260="","",IFERROR(VALUE(MID($A260,6,2)),""))</f>
        <v/>
      </c>
    </row>
    <row r="261" spans="7:16">
      <c r="G261" s="15">
        <f>'[01_Entry.xlsx]Book'!G261</f>
        <v>0.0</v>
      </c>
      <c r="H261" s="15">
        <f>'[01_Entry.xlsx]Book'!H261</f>
        <v>0.0</v>
      </c>
      <c r="I261" s="15">
        <f>'[01_Entry.xlsx]Book'!I261</f>
        <v>0.0</v>
      </c>
      <c r="K261" s="15">
        <f>'[01_Entry.xlsx]Book'!K261</f>
        <v>0.0</v>
      </c>
      <c r="L261" s="15">
        <f>'[01_Entry.xlsx]Book'!L261</f>
        <v>0.0</v>
      </c>
      <c r="M261" s="15">
        <f>'[01_Entry.xlsx]Book'!M261</f>
        <v>0.0</v>
      </c>
      <c r="P261" s="56">
        <f>IF($A261="","",IFERROR(VALUE(MID($A261,6,2)),""))</f>
        <v/>
      </c>
    </row>
    <row r="262" spans="7:16">
      <c r="G262" s="15">
        <f>'[01_Entry.xlsx]Book'!G262</f>
        <v>0.0</v>
      </c>
      <c r="H262" s="15">
        <f>'[01_Entry.xlsx]Book'!H262</f>
        <v>0.0</v>
      </c>
      <c r="I262" s="15">
        <f>'[01_Entry.xlsx]Book'!I262</f>
        <v>0.0</v>
      </c>
      <c r="K262" s="15">
        <f>'[01_Entry.xlsx]Book'!K262</f>
        <v>0.0</v>
      </c>
      <c r="L262" s="15">
        <f>'[01_Entry.xlsx]Book'!L262</f>
        <v>0.0</v>
      </c>
      <c r="M262" s="15">
        <f>'[01_Entry.xlsx]Book'!M262</f>
        <v>0.0</v>
      </c>
      <c r="P262" s="56">
        <f>IF($A262="","",IFERROR(VALUE(MID($A262,6,2)),""))</f>
        <v/>
      </c>
    </row>
    <row r="263" spans="7:16">
      <c r="G263" s="15">
        <f>'[01_Entry.xlsx]Book'!G263</f>
        <v>0.0</v>
      </c>
      <c r="H263" s="15">
        <f>'[01_Entry.xlsx]Book'!H263</f>
        <v>0.0</v>
      </c>
      <c r="I263" s="15">
        <f>'[01_Entry.xlsx]Book'!I263</f>
        <v>0.0</v>
      </c>
      <c r="K263" s="15">
        <f>'[01_Entry.xlsx]Book'!K263</f>
        <v>0.0</v>
      </c>
      <c r="L263" s="15">
        <f>'[01_Entry.xlsx]Book'!L263</f>
        <v>0.0</v>
      </c>
      <c r="M263" s="15">
        <f>'[01_Entry.xlsx]Book'!M263</f>
        <v>0.0</v>
      </c>
      <c r="P263" s="56">
        <f>IF($A263="","",IFERROR(VALUE(MID($A263,6,2)),""))</f>
        <v/>
      </c>
    </row>
    <row r="264" spans="7:16">
      <c r="G264" s="15">
        <f>'[01_Entry.xlsx]Book'!G264</f>
        <v>0.0</v>
      </c>
      <c r="H264" s="15">
        <f>'[01_Entry.xlsx]Book'!H264</f>
        <v>0.0</v>
      </c>
      <c r="I264" s="15">
        <f>'[01_Entry.xlsx]Book'!I264</f>
        <v>0.0</v>
      </c>
      <c r="K264" s="15">
        <f>'[01_Entry.xlsx]Book'!K264</f>
        <v>0.0</v>
      </c>
      <c r="L264" s="15">
        <f>'[01_Entry.xlsx]Book'!L264</f>
        <v>0.0</v>
      </c>
      <c r="M264" s="15">
        <f>'[01_Entry.xlsx]Book'!M264</f>
        <v>0.0</v>
      </c>
      <c r="P264" s="56">
        <f>IF($A264="","",IFERROR(VALUE(MID($A264,6,2)),""))</f>
        <v/>
      </c>
    </row>
    <row r="265" spans="7:16">
      <c r="G265" s="15">
        <f>'[01_Entry.xlsx]Book'!G265</f>
        <v>0.0</v>
      </c>
      <c r="H265" s="15">
        <f>'[01_Entry.xlsx]Book'!H265</f>
        <v>0.0</v>
      </c>
      <c r="I265" s="15">
        <f>'[01_Entry.xlsx]Book'!I265</f>
        <v>0.0</v>
      </c>
      <c r="K265" s="15">
        <f>'[01_Entry.xlsx]Book'!K265</f>
        <v>0.0</v>
      </c>
      <c r="L265" s="15">
        <f>'[01_Entry.xlsx]Book'!L265</f>
        <v>0.0</v>
      </c>
      <c r="M265" s="15">
        <f>'[01_Entry.xlsx]Book'!M265</f>
        <v>0.0</v>
      </c>
      <c r="P265" s="56">
        <f>IF($A265="","",IFERROR(VALUE(MID($A265,6,2)),""))</f>
        <v/>
      </c>
    </row>
    <row r="266" spans="7:16">
      <c r="G266" s="15">
        <f>'[01_Entry.xlsx]Book'!G266</f>
        <v>0.0</v>
      </c>
      <c r="H266" s="15">
        <f>'[01_Entry.xlsx]Book'!H266</f>
        <v>0.0</v>
      </c>
      <c r="I266" s="15">
        <f>'[01_Entry.xlsx]Book'!I266</f>
        <v>0.0</v>
      </c>
      <c r="K266" s="15">
        <f>'[01_Entry.xlsx]Book'!K266</f>
        <v>0.0</v>
      </c>
      <c r="L266" s="15">
        <f>'[01_Entry.xlsx]Book'!L266</f>
        <v>0.0</v>
      </c>
      <c r="M266" s="15">
        <f>'[01_Entry.xlsx]Book'!M266</f>
        <v>0.0</v>
      </c>
      <c r="P266" s="56">
        <f>IF($A266="","",IFERROR(VALUE(MID($A266,6,2)),""))</f>
        <v/>
      </c>
    </row>
    <row r="267" spans="7:16">
      <c r="G267" s="15">
        <f>'[01_Entry.xlsx]Book'!G267</f>
        <v>0.0</v>
      </c>
      <c r="H267" s="15">
        <f>'[01_Entry.xlsx]Book'!H267</f>
        <v>0.0</v>
      </c>
      <c r="I267" s="15">
        <f>'[01_Entry.xlsx]Book'!I267</f>
        <v>0.0</v>
      </c>
      <c r="K267" s="15">
        <f>'[01_Entry.xlsx]Book'!K267</f>
        <v>0.0</v>
      </c>
      <c r="L267" s="15">
        <f>'[01_Entry.xlsx]Book'!L267</f>
        <v>0.0</v>
      </c>
      <c r="M267" s="15">
        <f>'[01_Entry.xlsx]Book'!M267</f>
        <v>0.0</v>
      </c>
      <c r="P267" s="56">
        <f>IF($A267="","",IFERROR(VALUE(MID($A267,6,2)),""))</f>
        <v/>
      </c>
    </row>
    <row r="268" spans="7:16">
      <c r="G268" s="15">
        <f>'[01_Entry.xlsx]Book'!G268</f>
        <v>0.0</v>
      </c>
      <c r="H268" s="15">
        <f>'[01_Entry.xlsx]Book'!H268</f>
        <v>0.0</v>
      </c>
      <c r="I268" s="15">
        <f>'[01_Entry.xlsx]Book'!I268</f>
        <v>0.0</v>
      </c>
      <c r="K268" s="15">
        <f>'[01_Entry.xlsx]Book'!K268</f>
        <v>0.0</v>
      </c>
      <c r="L268" s="15">
        <f>'[01_Entry.xlsx]Book'!L268</f>
        <v>0.0</v>
      </c>
      <c r="M268" s="15">
        <f>'[01_Entry.xlsx]Book'!M268</f>
        <v>0.0</v>
      </c>
      <c r="P268" s="56">
        <f>IF($A268="","",IFERROR(VALUE(MID($A268,6,2)),""))</f>
        <v/>
      </c>
    </row>
    <row r="269" spans="7:16">
      <c r="G269" s="15">
        <f>'[01_Entry.xlsx]Book'!G269</f>
        <v>0.0</v>
      </c>
      <c r="H269" s="15">
        <f>'[01_Entry.xlsx]Book'!H269</f>
        <v>0.0</v>
      </c>
      <c r="I269" s="15">
        <f>'[01_Entry.xlsx]Book'!I269</f>
        <v>0.0</v>
      </c>
      <c r="K269" s="15">
        <f>'[01_Entry.xlsx]Book'!K269</f>
        <v>0.0</v>
      </c>
      <c r="L269" s="15">
        <f>'[01_Entry.xlsx]Book'!L269</f>
        <v>0.0</v>
      </c>
      <c r="M269" s="15">
        <f>'[01_Entry.xlsx]Book'!M269</f>
        <v>0.0</v>
      </c>
      <c r="P269" s="56">
        <f>IF($A269="","",IFERROR(VALUE(MID($A269,6,2)),""))</f>
        <v/>
      </c>
    </row>
    <row r="270" spans="7:16">
      <c r="G270" s="15">
        <f>'[01_Entry.xlsx]Book'!G270</f>
        <v>0.0</v>
      </c>
      <c r="H270" s="15">
        <f>'[01_Entry.xlsx]Book'!H270</f>
        <v>0.0</v>
      </c>
      <c r="I270" s="15">
        <f>'[01_Entry.xlsx]Book'!I270</f>
        <v>0.0</v>
      </c>
      <c r="K270" s="15">
        <f>'[01_Entry.xlsx]Book'!K270</f>
        <v>0.0</v>
      </c>
      <c r="L270" s="15">
        <f>'[01_Entry.xlsx]Book'!L270</f>
        <v>0.0</v>
      </c>
      <c r="M270" s="15">
        <f>'[01_Entry.xlsx]Book'!M270</f>
        <v>0.0</v>
      </c>
      <c r="P270" s="56">
        <f>IF($A270="","",IFERROR(VALUE(MID($A270,6,2)),""))</f>
        <v/>
      </c>
    </row>
    <row r="271" spans="7:16">
      <c r="G271" s="15">
        <f>'[01_Entry.xlsx]Book'!G271</f>
        <v>0.0</v>
      </c>
      <c r="H271" s="15">
        <f>'[01_Entry.xlsx]Book'!H271</f>
        <v>0.0</v>
      </c>
      <c r="I271" s="15">
        <f>'[01_Entry.xlsx]Book'!I271</f>
        <v>0.0</v>
      </c>
      <c r="K271" s="15">
        <f>'[01_Entry.xlsx]Book'!K271</f>
        <v>0.0</v>
      </c>
      <c r="L271" s="15">
        <f>'[01_Entry.xlsx]Book'!L271</f>
        <v>0.0</v>
      </c>
      <c r="M271" s="15">
        <f>'[01_Entry.xlsx]Book'!M271</f>
        <v>0.0</v>
      </c>
      <c r="P271" s="56">
        <f>IF($A271="","",IFERROR(VALUE(MID($A271,6,2)),""))</f>
        <v/>
      </c>
    </row>
    <row r="272" spans="7:16">
      <c r="G272" s="15">
        <f>'[01_Entry.xlsx]Book'!G272</f>
        <v>0.0</v>
      </c>
      <c r="H272" s="15">
        <f>'[01_Entry.xlsx]Book'!H272</f>
        <v>0.0</v>
      </c>
      <c r="I272" s="15">
        <f>'[01_Entry.xlsx]Book'!I272</f>
        <v>0.0</v>
      </c>
      <c r="K272" s="15">
        <f>'[01_Entry.xlsx]Book'!K272</f>
        <v>0.0</v>
      </c>
      <c r="L272" s="15">
        <f>'[01_Entry.xlsx]Book'!L272</f>
        <v>0.0</v>
      </c>
      <c r="M272" s="15">
        <f>'[01_Entry.xlsx]Book'!M272</f>
        <v>0.0</v>
      </c>
      <c r="P272" s="56">
        <f>IF($A272="","",IFERROR(VALUE(MID($A272,6,2)),""))</f>
        <v/>
      </c>
    </row>
    <row r="273" spans="7:16">
      <c r="G273" s="15">
        <f>'[01_Entry.xlsx]Book'!G273</f>
        <v>0.0</v>
      </c>
      <c r="H273" s="15">
        <f>'[01_Entry.xlsx]Book'!H273</f>
        <v>0.0</v>
      </c>
      <c r="I273" s="15">
        <f>'[01_Entry.xlsx]Book'!I273</f>
        <v>0.0</v>
      </c>
      <c r="K273" s="15">
        <f>'[01_Entry.xlsx]Book'!K273</f>
        <v>0.0</v>
      </c>
      <c r="L273" s="15">
        <f>'[01_Entry.xlsx]Book'!L273</f>
        <v>0.0</v>
      </c>
      <c r="M273" s="15">
        <f>'[01_Entry.xlsx]Book'!M273</f>
        <v>0.0</v>
      </c>
      <c r="P273" s="56">
        <f>IF($A273="","",IFERROR(VALUE(MID($A273,6,2)),""))</f>
        <v/>
      </c>
    </row>
    <row r="274" spans="7:16">
      <c r="G274" s="15">
        <f>'[01_Entry.xlsx]Book'!G274</f>
        <v>0.0</v>
      </c>
      <c r="H274" s="15">
        <f>'[01_Entry.xlsx]Book'!H274</f>
        <v>0.0</v>
      </c>
      <c r="I274" s="15">
        <f>'[01_Entry.xlsx]Book'!I274</f>
        <v>0.0</v>
      </c>
      <c r="K274" s="15">
        <f>'[01_Entry.xlsx]Book'!K274</f>
        <v>0.0</v>
      </c>
      <c r="L274" s="15">
        <f>'[01_Entry.xlsx]Book'!L274</f>
        <v>0.0</v>
      </c>
      <c r="M274" s="15">
        <f>'[01_Entry.xlsx]Book'!M274</f>
        <v>0.0</v>
      </c>
      <c r="P274" s="56">
        <f>IF($A274="","",IFERROR(VALUE(MID($A274,6,2)),""))</f>
        <v/>
      </c>
    </row>
    <row r="275" spans="7:16">
      <c r="G275" s="15">
        <f>'[01_Entry.xlsx]Book'!G275</f>
        <v>0.0</v>
      </c>
      <c r="H275" s="15">
        <f>'[01_Entry.xlsx]Book'!H275</f>
        <v>0.0</v>
      </c>
      <c r="I275" s="15">
        <f>'[01_Entry.xlsx]Book'!I275</f>
        <v>0.0</v>
      </c>
      <c r="K275" s="15">
        <f>'[01_Entry.xlsx]Book'!K275</f>
        <v>0.0</v>
      </c>
      <c r="L275" s="15">
        <f>'[01_Entry.xlsx]Book'!L275</f>
        <v>0.0</v>
      </c>
      <c r="M275" s="15">
        <f>'[01_Entry.xlsx]Book'!M275</f>
        <v>0.0</v>
      </c>
      <c r="P275" s="56">
        <f>IF($A275="","",IFERROR(VALUE(MID($A275,6,2)),""))</f>
        <v/>
      </c>
    </row>
    <row r="276" spans="7:16">
      <c r="G276" s="15">
        <f>'[01_Entry.xlsx]Book'!G276</f>
        <v>0.0</v>
      </c>
      <c r="H276" s="15">
        <f>'[01_Entry.xlsx]Book'!H276</f>
        <v>0.0</v>
      </c>
      <c r="I276" s="15">
        <f>'[01_Entry.xlsx]Book'!I276</f>
        <v>0.0</v>
      </c>
      <c r="K276" s="15">
        <f>'[01_Entry.xlsx]Book'!K276</f>
        <v>0.0</v>
      </c>
      <c r="L276" s="15">
        <f>'[01_Entry.xlsx]Book'!L276</f>
        <v>0.0</v>
      </c>
      <c r="M276" s="15">
        <f>'[01_Entry.xlsx]Book'!M276</f>
        <v>0.0</v>
      </c>
      <c r="P276" s="56">
        <f>IF($A276="","",IFERROR(VALUE(MID($A276,6,2)),""))</f>
        <v/>
      </c>
    </row>
    <row r="277" spans="7:16">
      <c r="G277" s="15">
        <f>'[01_Entry.xlsx]Book'!G277</f>
        <v>0.0</v>
      </c>
      <c r="H277" s="15">
        <f>'[01_Entry.xlsx]Book'!H277</f>
        <v>0.0</v>
      </c>
      <c r="I277" s="15">
        <f>'[01_Entry.xlsx]Book'!I277</f>
        <v>0.0</v>
      </c>
      <c r="K277" s="15">
        <f>'[01_Entry.xlsx]Book'!K277</f>
        <v>0.0</v>
      </c>
      <c r="L277" s="15">
        <f>'[01_Entry.xlsx]Book'!L277</f>
        <v>0.0</v>
      </c>
      <c r="M277" s="15">
        <f>'[01_Entry.xlsx]Book'!M277</f>
        <v>0.0</v>
      </c>
      <c r="P277" s="56">
        <f>IF($A277="","",IFERROR(VALUE(MID($A277,6,2)),""))</f>
        <v/>
      </c>
    </row>
    <row r="278" spans="7:16">
      <c r="G278" s="15">
        <f>'[01_Entry.xlsx]Book'!G278</f>
        <v>0.0</v>
      </c>
      <c r="H278" s="15">
        <f>'[01_Entry.xlsx]Book'!H278</f>
        <v>0.0</v>
      </c>
      <c r="I278" s="15">
        <f>'[01_Entry.xlsx]Book'!I278</f>
        <v>0.0</v>
      </c>
      <c r="K278" s="15">
        <f>'[01_Entry.xlsx]Book'!K278</f>
        <v>0.0</v>
      </c>
      <c r="L278" s="15">
        <f>'[01_Entry.xlsx]Book'!L278</f>
        <v>0.0</v>
      </c>
      <c r="M278" s="15">
        <f>'[01_Entry.xlsx]Book'!M278</f>
        <v>0.0</v>
      </c>
      <c r="P278" s="56">
        <f>IF($A278="","",IFERROR(VALUE(MID($A278,6,2)),""))</f>
        <v/>
      </c>
    </row>
    <row r="279" spans="7:16">
      <c r="G279" s="15">
        <f>'[01_Entry.xlsx]Book'!G279</f>
        <v>0.0</v>
      </c>
      <c r="H279" s="15">
        <f>'[01_Entry.xlsx]Book'!H279</f>
        <v>0.0</v>
      </c>
      <c r="I279" s="15">
        <f>'[01_Entry.xlsx]Book'!I279</f>
        <v>0.0</v>
      </c>
      <c r="K279" s="15">
        <f>'[01_Entry.xlsx]Book'!K279</f>
        <v>0.0</v>
      </c>
      <c r="L279" s="15">
        <f>'[01_Entry.xlsx]Book'!L279</f>
        <v>0.0</v>
      </c>
      <c r="M279" s="15">
        <f>'[01_Entry.xlsx]Book'!M279</f>
        <v>0.0</v>
      </c>
      <c r="P279" s="56">
        <f>IF($A279="","",IFERROR(VALUE(MID($A279,6,2)),""))</f>
        <v/>
      </c>
    </row>
    <row r="280" spans="7:16">
      <c r="G280" s="15">
        <f>'[01_Entry.xlsx]Book'!G280</f>
        <v>0.0</v>
      </c>
      <c r="H280" s="15">
        <f>'[01_Entry.xlsx]Book'!H280</f>
        <v>0.0</v>
      </c>
      <c r="I280" s="15">
        <f>'[01_Entry.xlsx]Book'!I280</f>
        <v>0.0</v>
      </c>
      <c r="K280" s="15">
        <f>'[01_Entry.xlsx]Book'!K280</f>
        <v>0.0</v>
      </c>
      <c r="L280" s="15">
        <f>'[01_Entry.xlsx]Book'!L280</f>
        <v>0.0</v>
      </c>
      <c r="M280" s="15">
        <f>'[01_Entry.xlsx]Book'!M280</f>
        <v>0.0</v>
      </c>
      <c r="P280" s="56">
        <f>IF($A280="","",IFERROR(VALUE(MID($A280,6,2)),""))</f>
        <v/>
      </c>
    </row>
    <row r="281" spans="7:16">
      <c r="G281" s="15">
        <f>'[01_Entry.xlsx]Book'!G281</f>
        <v>0.0</v>
      </c>
      <c r="H281" s="15">
        <f>'[01_Entry.xlsx]Book'!H281</f>
        <v>0.0</v>
      </c>
      <c r="I281" s="15">
        <f>'[01_Entry.xlsx]Book'!I281</f>
        <v>0.0</v>
      </c>
      <c r="K281" s="15">
        <f>'[01_Entry.xlsx]Book'!K281</f>
        <v>0.0</v>
      </c>
      <c r="L281" s="15">
        <f>'[01_Entry.xlsx]Book'!L281</f>
        <v>0.0</v>
      </c>
      <c r="M281" s="15">
        <f>'[01_Entry.xlsx]Book'!M281</f>
        <v>0.0</v>
      </c>
      <c r="P281" s="56">
        <f>IF($A281="","",IFERROR(VALUE(MID($A281,6,2)),""))</f>
        <v/>
      </c>
    </row>
    <row r="282" spans="7:16">
      <c r="G282" s="15">
        <f>'[01_Entry.xlsx]Book'!G282</f>
        <v>0.0</v>
      </c>
      <c r="H282" s="15">
        <f>'[01_Entry.xlsx]Book'!H282</f>
        <v>0.0</v>
      </c>
      <c r="I282" s="15">
        <f>'[01_Entry.xlsx]Book'!I282</f>
        <v>0.0</v>
      </c>
      <c r="K282" s="15">
        <f>'[01_Entry.xlsx]Book'!K282</f>
        <v>0.0</v>
      </c>
      <c r="L282" s="15">
        <f>'[01_Entry.xlsx]Book'!L282</f>
        <v>0.0</v>
      </c>
      <c r="M282" s="15">
        <f>'[01_Entry.xlsx]Book'!M282</f>
        <v>0.0</v>
      </c>
      <c r="P282" s="56">
        <f>IF($A282="","",IFERROR(VALUE(MID($A282,6,2)),""))</f>
        <v/>
      </c>
    </row>
    <row r="283" spans="7:16">
      <c r="G283" s="15">
        <f>'[01_Entry.xlsx]Book'!G283</f>
        <v>0.0</v>
      </c>
      <c r="H283" s="15">
        <f>'[01_Entry.xlsx]Book'!H283</f>
        <v>0.0</v>
      </c>
      <c r="I283" s="15">
        <f>'[01_Entry.xlsx]Book'!I283</f>
        <v>0.0</v>
      </c>
      <c r="K283" s="15">
        <f>'[01_Entry.xlsx]Book'!K283</f>
        <v>0.0</v>
      </c>
      <c r="L283" s="15">
        <f>'[01_Entry.xlsx]Book'!L283</f>
        <v>0.0</v>
      </c>
      <c r="M283" s="15">
        <f>'[01_Entry.xlsx]Book'!M283</f>
        <v>0.0</v>
      </c>
      <c r="P283" s="56">
        <f>IF($A283="","",IFERROR(VALUE(MID($A283,6,2)),""))</f>
        <v/>
      </c>
    </row>
    <row r="284" spans="7:16">
      <c r="G284" s="15">
        <f>'[01_Entry.xlsx]Book'!G284</f>
        <v>0.0</v>
      </c>
      <c r="H284" s="15">
        <f>'[01_Entry.xlsx]Book'!H284</f>
        <v>0.0</v>
      </c>
      <c r="I284" s="15">
        <f>'[01_Entry.xlsx]Book'!I284</f>
        <v>0.0</v>
      </c>
      <c r="K284" s="15">
        <f>'[01_Entry.xlsx]Book'!K284</f>
        <v>0.0</v>
      </c>
      <c r="L284" s="15">
        <f>'[01_Entry.xlsx]Book'!L284</f>
        <v>0.0</v>
      </c>
      <c r="M284" s="15">
        <f>'[01_Entry.xlsx]Book'!M284</f>
        <v>0.0</v>
      </c>
      <c r="P284" s="56">
        <f>IF($A284="","",IFERROR(VALUE(MID($A284,6,2)),""))</f>
        <v/>
      </c>
    </row>
    <row r="285" spans="7:16">
      <c r="G285" s="15">
        <f>'[01_Entry.xlsx]Book'!G285</f>
        <v>0.0</v>
      </c>
      <c r="H285" s="15">
        <f>'[01_Entry.xlsx]Book'!H285</f>
        <v>0.0</v>
      </c>
      <c r="I285" s="15">
        <f>'[01_Entry.xlsx]Book'!I285</f>
        <v>0.0</v>
      </c>
      <c r="K285" s="15">
        <f>'[01_Entry.xlsx]Book'!K285</f>
        <v>0.0</v>
      </c>
      <c r="L285" s="15">
        <f>'[01_Entry.xlsx]Book'!L285</f>
        <v>0.0</v>
      </c>
      <c r="M285" s="15">
        <f>'[01_Entry.xlsx]Book'!M285</f>
        <v>0.0</v>
      </c>
      <c r="P285" s="56">
        <f>IF($A285="","",IFERROR(VALUE(MID($A285,6,2)),""))</f>
        <v/>
      </c>
    </row>
    <row r="286" spans="7:16">
      <c r="G286" s="15">
        <f>'[01_Entry.xlsx]Book'!G286</f>
        <v>0.0</v>
      </c>
      <c r="H286" s="15">
        <f>'[01_Entry.xlsx]Book'!H286</f>
        <v>0.0</v>
      </c>
      <c r="I286" s="15">
        <f>'[01_Entry.xlsx]Book'!I286</f>
        <v>0.0</v>
      </c>
      <c r="K286" s="15">
        <f>'[01_Entry.xlsx]Book'!K286</f>
        <v>0.0</v>
      </c>
      <c r="L286" s="15">
        <f>'[01_Entry.xlsx]Book'!L286</f>
        <v>0.0</v>
      </c>
      <c r="M286" s="15">
        <f>'[01_Entry.xlsx]Book'!M286</f>
        <v>0.0</v>
      </c>
      <c r="P286" s="56">
        <f>IF($A286="","",IFERROR(VALUE(MID($A286,6,2)),""))</f>
        <v/>
      </c>
    </row>
    <row r="287" spans="7:16">
      <c r="G287" s="15">
        <f>'[01_Entry.xlsx]Book'!G287</f>
        <v>0.0</v>
      </c>
      <c r="H287" s="15">
        <f>'[01_Entry.xlsx]Book'!H287</f>
        <v>0.0</v>
      </c>
      <c r="I287" s="15">
        <f>'[01_Entry.xlsx]Book'!I287</f>
        <v>0.0</v>
      </c>
      <c r="K287" s="15">
        <f>'[01_Entry.xlsx]Book'!K287</f>
        <v>0.0</v>
      </c>
      <c r="L287" s="15">
        <f>'[01_Entry.xlsx]Book'!L287</f>
        <v>0.0</v>
      </c>
      <c r="M287" s="15">
        <f>'[01_Entry.xlsx]Book'!M287</f>
        <v>0.0</v>
      </c>
      <c r="P287" s="56">
        <f>IF($A287="","",IFERROR(VALUE(MID($A287,6,2)),""))</f>
        <v/>
      </c>
    </row>
    <row r="288" spans="7:16">
      <c r="G288" s="15">
        <f>'[01_Entry.xlsx]Book'!G288</f>
        <v>0.0</v>
      </c>
      <c r="H288" s="15">
        <f>'[01_Entry.xlsx]Book'!H288</f>
        <v>0.0</v>
      </c>
      <c r="I288" s="15">
        <f>'[01_Entry.xlsx]Book'!I288</f>
        <v>0.0</v>
      </c>
      <c r="K288" s="15">
        <f>'[01_Entry.xlsx]Book'!K288</f>
        <v>0.0</v>
      </c>
      <c r="L288" s="15">
        <f>'[01_Entry.xlsx]Book'!L288</f>
        <v>0.0</v>
      </c>
      <c r="M288" s="15">
        <f>'[01_Entry.xlsx]Book'!M288</f>
        <v>0.0</v>
      </c>
      <c r="P288" s="56">
        <f>IF($A288="","",IFERROR(VALUE(MID($A288,6,2)),""))</f>
        <v/>
      </c>
    </row>
    <row r="289" spans="7:16">
      <c r="G289" s="15">
        <f>'[01_Entry.xlsx]Book'!G289</f>
        <v>0.0</v>
      </c>
      <c r="H289" s="15">
        <f>'[01_Entry.xlsx]Book'!H289</f>
        <v>0.0</v>
      </c>
      <c r="I289" s="15">
        <f>'[01_Entry.xlsx]Book'!I289</f>
        <v>0.0</v>
      </c>
      <c r="K289" s="15">
        <f>'[01_Entry.xlsx]Book'!K289</f>
        <v>0.0</v>
      </c>
      <c r="L289" s="15">
        <f>'[01_Entry.xlsx]Book'!L289</f>
        <v>0.0</v>
      </c>
      <c r="M289" s="15">
        <f>'[01_Entry.xlsx]Book'!M289</f>
        <v>0.0</v>
      </c>
      <c r="P289" s="56">
        <f>IF($A289="","",IFERROR(VALUE(MID($A289,6,2)),""))</f>
        <v/>
      </c>
    </row>
    <row r="290" spans="7:16">
      <c r="G290" s="15">
        <f>'[01_Entry.xlsx]Book'!G290</f>
        <v>0.0</v>
      </c>
      <c r="H290" s="15">
        <f>'[01_Entry.xlsx]Book'!H290</f>
        <v>0.0</v>
      </c>
      <c r="I290" s="15">
        <f>'[01_Entry.xlsx]Book'!I290</f>
        <v>0.0</v>
      </c>
      <c r="K290" s="15">
        <f>'[01_Entry.xlsx]Book'!K290</f>
        <v>0.0</v>
      </c>
      <c r="L290" s="15">
        <f>'[01_Entry.xlsx]Book'!L290</f>
        <v>0.0</v>
      </c>
      <c r="M290" s="15">
        <f>'[01_Entry.xlsx]Book'!M290</f>
        <v>0.0</v>
      </c>
      <c r="P290" s="56">
        <f>IF($A290="","",IFERROR(VALUE(MID($A290,6,2)),""))</f>
        <v/>
      </c>
    </row>
    <row r="291" spans="7:16">
      <c r="G291" s="15">
        <f>'[01_Entry.xlsx]Book'!G291</f>
        <v>0.0</v>
      </c>
      <c r="H291" s="15">
        <f>'[01_Entry.xlsx]Book'!H291</f>
        <v>0.0</v>
      </c>
      <c r="I291" s="15">
        <f>'[01_Entry.xlsx]Book'!I291</f>
        <v>0.0</v>
      </c>
      <c r="K291" s="15">
        <f>'[01_Entry.xlsx]Book'!K291</f>
        <v>0.0</v>
      </c>
      <c r="L291" s="15">
        <f>'[01_Entry.xlsx]Book'!L291</f>
        <v>0.0</v>
      </c>
      <c r="M291" s="15">
        <f>'[01_Entry.xlsx]Book'!M291</f>
        <v>0.0</v>
      </c>
      <c r="P291" s="56">
        <f>IF($A291="","",IFERROR(VALUE(MID($A291,6,2)),""))</f>
        <v/>
      </c>
    </row>
    <row r="292" spans="7:16">
      <c r="G292" s="15">
        <f>'[01_Entry.xlsx]Book'!G292</f>
        <v>0.0</v>
      </c>
      <c r="H292" s="15">
        <f>'[01_Entry.xlsx]Book'!H292</f>
        <v>0.0</v>
      </c>
      <c r="I292" s="15">
        <f>'[01_Entry.xlsx]Book'!I292</f>
        <v>0.0</v>
      </c>
      <c r="K292" s="15">
        <f>'[01_Entry.xlsx]Book'!K292</f>
        <v>0.0</v>
      </c>
      <c r="L292" s="15">
        <f>'[01_Entry.xlsx]Book'!L292</f>
        <v>0.0</v>
      </c>
      <c r="M292" s="15">
        <f>'[01_Entry.xlsx]Book'!M292</f>
        <v>0.0</v>
      </c>
      <c r="P292" s="56">
        <f>IF($A292="","",IFERROR(VALUE(MID($A292,6,2)),""))</f>
        <v/>
      </c>
    </row>
    <row r="293" spans="7:16">
      <c r="G293" s="15">
        <f>'[01_Entry.xlsx]Book'!G293</f>
        <v>0.0</v>
      </c>
      <c r="H293" s="15">
        <f>'[01_Entry.xlsx]Book'!H293</f>
        <v>0.0</v>
      </c>
      <c r="I293" s="15">
        <f>'[01_Entry.xlsx]Book'!I293</f>
        <v>0.0</v>
      </c>
      <c r="K293" s="15">
        <f>'[01_Entry.xlsx]Book'!K293</f>
        <v>0.0</v>
      </c>
      <c r="L293" s="15">
        <f>'[01_Entry.xlsx]Book'!L293</f>
        <v>0.0</v>
      </c>
      <c r="M293" s="15">
        <f>'[01_Entry.xlsx]Book'!M293</f>
        <v>0.0</v>
      </c>
      <c r="P293" s="56">
        <f>IF($A293="","",IFERROR(VALUE(MID($A293,6,2)),""))</f>
        <v/>
      </c>
    </row>
    <row r="294" spans="7:16">
      <c r="G294" s="15">
        <f>'[01_Entry.xlsx]Book'!G294</f>
        <v>0.0</v>
      </c>
      <c r="H294" s="15">
        <f>'[01_Entry.xlsx]Book'!H294</f>
        <v>0.0</v>
      </c>
      <c r="I294" s="15">
        <f>'[01_Entry.xlsx]Book'!I294</f>
        <v>0.0</v>
      </c>
      <c r="K294" s="15">
        <f>'[01_Entry.xlsx]Book'!K294</f>
        <v>0.0</v>
      </c>
      <c r="L294" s="15">
        <f>'[01_Entry.xlsx]Book'!L294</f>
        <v>0.0</v>
      </c>
      <c r="M294" s="15">
        <f>'[01_Entry.xlsx]Book'!M294</f>
        <v>0.0</v>
      </c>
      <c r="P294" s="56">
        <f>IF($A294="","",IFERROR(VALUE(MID($A294,6,2)),""))</f>
        <v/>
      </c>
    </row>
    <row r="295" spans="7:16">
      <c r="G295" s="15">
        <f>'[01_Entry.xlsx]Book'!G295</f>
        <v>0.0</v>
      </c>
      <c r="H295" s="15">
        <f>'[01_Entry.xlsx]Book'!H295</f>
        <v>0.0</v>
      </c>
      <c r="I295" s="15">
        <f>'[01_Entry.xlsx]Book'!I295</f>
        <v>0.0</v>
      </c>
      <c r="K295" s="15">
        <f>'[01_Entry.xlsx]Book'!K295</f>
        <v>0.0</v>
      </c>
      <c r="L295" s="15">
        <f>'[01_Entry.xlsx]Book'!L295</f>
        <v>0.0</v>
      </c>
      <c r="M295" s="15">
        <f>'[01_Entry.xlsx]Book'!M295</f>
        <v>0.0</v>
      </c>
      <c r="P295" s="56">
        <f>IF($A295="","",IFERROR(VALUE(MID($A295,6,2)),""))</f>
        <v/>
      </c>
    </row>
    <row r="296" spans="7:16">
      <c r="G296" s="15">
        <f>'[01_Entry.xlsx]Book'!G296</f>
        <v>0.0</v>
      </c>
      <c r="H296" s="15">
        <f>'[01_Entry.xlsx]Book'!H296</f>
        <v>0.0</v>
      </c>
      <c r="I296" s="15">
        <f>'[01_Entry.xlsx]Book'!I296</f>
        <v>0.0</v>
      </c>
      <c r="K296" s="15">
        <f>'[01_Entry.xlsx]Book'!K296</f>
        <v>0.0</v>
      </c>
      <c r="L296" s="15">
        <f>'[01_Entry.xlsx]Book'!L296</f>
        <v>0.0</v>
      </c>
      <c r="M296" s="15">
        <f>'[01_Entry.xlsx]Book'!M296</f>
        <v>0.0</v>
      </c>
      <c r="P296" s="56">
        <f>IF($A296="","",IFERROR(VALUE(MID($A296,6,2)),""))</f>
        <v/>
      </c>
    </row>
    <row r="297" spans="7:16">
      <c r="G297" s="15">
        <f>'[01_Entry.xlsx]Book'!G297</f>
        <v>0.0</v>
      </c>
      <c r="H297" s="15">
        <f>'[01_Entry.xlsx]Book'!H297</f>
        <v>0.0</v>
      </c>
      <c r="I297" s="15">
        <f>'[01_Entry.xlsx]Book'!I297</f>
        <v>0.0</v>
      </c>
      <c r="K297" s="15">
        <f>'[01_Entry.xlsx]Book'!K297</f>
        <v>0.0</v>
      </c>
      <c r="L297" s="15">
        <f>'[01_Entry.xlsx]Book'!L297</f>
        <v>0.0</v>
      </c>
      <c r="M297" s="15">
        <f>'[01_Entry.xlsx]Book'!M297</f>
        <v>0.0</v>
      </c>
      <c r="P297" s="56">
        <f>IF($A297="","",IFERROR(VALUE(MID($A297,6,2)),""))</f>
        <v/>
      </c>
    </row>
    <row r="298" spans="7:16">
      <c r="G298" s="15">
        <f>'[01_Entry.xlsx]Book'!G298</f>
        <v>0.0</v>
      </c>
      <c r="H298" s="15">
        <f>'[01_Entry.xlsx]Book'!H298</f>
        <v>0.0</v>
      </c>
      <c r="I298" s="15">
        <f>'[01_Entry.xlsx]Book'!I298</f>
        <v>0.0</v>
      </c>
      <c r="K298" s="15">
        <f>'[01_Entry.xlsx]Book'!K298</f>
        <v>0.0</v>
      </c>
      <c r="L298" s="15">
        <f>'[01_Entry.xlsx]Book'!L298</f>
        <v>0.0</v>
      </c>
      <c r="M298" s="15">
        <f>'[01_Entry.xlsx]Book'!M298</f>
        <v>0.0</v>
      </c>
      <c r="P298" s="56">
        <f>IF($A298="","",IFERROR(VALUE(MID($A298,6,2)),""))</f>
        <v/>
      </c>
    </row>
    <row r="299" spans="7:16">
      <c r="G299" s="15">
        <f>'[01_Entry.xlsx]Book'!G299</f>
        <v>0.0</v>
      </c>
      <c r="H299" s="15">
        <f>'[01_Entry.xlsx]Book'!H299</f>
        <v>0.0</v>
      </c>
      <c r="I299" s="15">
        <f>'[01_Entry.xlsx]Book'!I299</f>
        <v>0.0</v>
      </c>
      <c r="K299" s="15">
        <f>'[01_Entry.xlsx]Book'!K299</f>
        <v>0.0</v>
      </c>
      <c r="L299" s="15">
        <f>'[01_Entry.xlsx]Book'!L299</f>
        <v>0.0</v>
      </c>
      <c r="M299" s="15">
        <f>'[01_Entry.xlsx]Book'!M299</f>
        <v>0.0</v>
      </c>
      <c r="P299" s="56">
        <f>IF($A299="","",IFERROR(VALUE(MID($A299,6,2)),""))</f>
        <v/>
      </c>
    </row>
    <row r="300" spans="7:16">
      <c r="G300" s="15">
        <f>'[01_Entry.xlsx]Book'!G300</f>
        <v>0.0</v>
      </c>
      <c r="H300" s="15">
        <f>'[01_Entry.xlsx]Book'!H300</f>
        <v>0.0</v>
      </c>
      <c r="I300" s="15">
        <f>'[01_Entry.xlsx]Book'!I300</f>
        <v>0.0</v>
      </c>
      <c r="K300" s="15">
        <f>'[01_Entry.xlsx]Book'!K300</f>
        <v>0.0</v>
      </c>
      <c r="L300" s="15">
        <f>'[01_Entry.xlsx]Book'!L300</f>
        <v>0.0</v>
      </c>
      <c r="M300" s="15">
        <f>'[01_Entry.xlsx]Book'!M300</f>
        <v>0.0</v>
      </c>
      <c r="P300" s="56">
        <f>IF($A300="","",IFERROR(VALUE(MID($A300,6,2)),""))</f>
        <v/>
      </c>
    </row>
    <row r="301" spans="7:16">
      <c r="G301" s="15">
        <f>'[01_Entry.xlsx]Book'!G301</f>
        <v>0.0</v>
      </c>
      <c r="H301" s="15">
        <f>'[01_Entry.xlsx]Book'!H301</f>
        <v>0.0</v>
      </c>
      <c r="I301" s="15">
        <f>'[01_Entry.xlsx]Book'!I301</f>
        <v>0.0</v>
      </c>
      <c r="K301" s="15">
        <f>'[01_Entry.xlsx]Book'!K301</f>
        <v>0.0</v>
      </c>
      <c r="L301" s="15">
        <f>'[01_Entry.xlsx]Book'!L301</f>
        <v>0.0</v>
      </c>
      <c r="M301" s="15">
        <f>'[01_Entry.xlsx]Book'!M301</f>
        <v>0.0</v>
      </c>
      <c r="P301" s="56">
        <f>IF($A301="","",IFERROR(VALUE(MID($A301,6,2)),""))</f>
        <v/>
      </c>
    </row>
    <row r="302" spans="7:16">
      <c r="G302" s="15">
        <f>'[01_Entry.xlsx]Book'!G302</f>
        <v>0.0</v>
      </c>
      <c r="H302" s="15">
        <f>'[01_Entry.xlsx]Book'!H302</f>
        <v>0.0</v>
      </c>
      <c r="I302" s="15">
        <f>'[01_Entry.xlsx]Book'!I302</f>
        <v>0.0</v>
      </c>
      <c r="K302" s="15">
        <f>'[01_Entry.xlsx]Book'!K302</f>
        <v>0.0</v>
      </c>
      <c r="L302" s="15">
        <f>'[01_Entry.xlsx]Book'!L302</f>
        <v>0.0</v>
      </c>
      <c r="M302" s="15">
        <f>'[01_Entry.xlsx]Book'!M302</f>
        <v>0.0</v>
      </c>
      <c r="P302" s="56">
        <f>IF($A302="","",IFERROR(VALUE(MID($A302,6,2)),""))</f>
        <v/>
      </c>
    </row>
    <row r="303" spans="7:16">
      <c r="G303" s="15">
        <f>'[01_Entry.xlsx]Book'!G303</f>
        <v>0.0</v>
      </c>
      <c r="H303" s="15">
        <f>'[01_Entry.xlsx]Book'!H303</f>
        <v>0.0</v>
      </c>
      <c r="I303" s="15">
        <f>'[01_Entry.xlsx]Book'!I303</f>
        <v>0.0</v>
      </c>
      <c r="K303" s="15">
        <f>'[01_Entry.xlsx]Book'!K303</f>
        <v>0.0</v>
      </c>
      <c r="L303" s="15">
        <f>'[01_Entry.xlsx]Book'!L303</f>
        <v>0.0</v>
      </c>
      <c r="M303" s="15">
        <f>'[01_Entry.xlsx]Book'!M303</f>
        <v>0.0</v>
      </c>
      <c r="P303" s="56">
        <f>IF($A303="","",IFERROR(VALUE(MID($A303,6,2)),""))</f>
        <v/>
      </c>
    </row>
    <row r="304" spans="7:16">
      <c r="G304" s="15">
        <f>'[01_Entry.xlsx]Book'!G304</f>
        <v>0.0</v>
      </c>
      <c r="H304" s="15">
        <f>'[01_Entry.xlsx]Book'!H304</f>
        <v>0.0</v>
      </c>
      <c r="I304" s="15">
        <f>'[01_Entry.xlsx]Book'!I304</f>
        <v>0.0</v>
      </c>
      <c r="K304" s="15">
        <f>'[01_Entry.xlsx]Book'!K304</f>
        <v>0.0</v>
      </c>
      <c r="L304" s="15">
        <f>'[01_Entry.xlsx]Book'!L304</f>
        <v>0.0</v>
      </c>
      <c r="M304" s="15">
        <f>'[01_Entry.xlsx]Book'!M304</f>
        <v>0.0</v>
      </c>
      <c r="P304" s="56">
        <f>IF($A304="","",IFERROR(VALUE(MID($A304,6,2)),""))</f>
        <v/>
      </c>
    </row>
    <row r="305" spans="7:16">
      <c r="G305" s="15">
        <f>'[01_Entry.xlsx]Book'!G305</f>
        <v>0.0</v>
      </c>
      <c r="H305" s="15">
        <f>'[01_Entry.xlsx]Book'!H305</f>
        <v>0.0</v>
      </c>
      <c r="I305" s="15">
        <f>'[01_Entry.xlsx]Book'!I305</f>
        <v>0.0</v>
      </c>
      <c r="K305" s="15">
        <f>'[01_Entry.xlsx]Book'!K305</f>
        <v>0.0</v>
      </c>
      <c r="L305" s="15">
        <f>'[01_Entry.xlsx]Book'!L305</f>
        <v>0.0</v>
      </c>
      <c r="M305" s="15">
        <f>'[01_Entry.xlsx]Book'!M305</f>
        <v>0.0</v>
      </c>
      <c r="P305" s="56">
        <f>IF($A305="","",IFERROR(VALUE(MID($A305,6,2)),""))</f>
        <v/>
      </c>
    </row>
    <row r="306" spans="7:16">
      <c r="G306" s="15">
        <f>'[01_Entry.xlsx]Book'!G306</f>
        <v>0.0</v>
      </c>
      <c r="H306" s="15">
        <f>'[01_Entry.xlsx]Book'!H306</f>
        <v>0.0</v>
      </c>
      <c r="I306" s="15">
        <f>'[01_Entry.xlsx]Book'!I306</f>
        <v>0.0</v>
      </c>
      <c r="K306" s="15">
        <f>'[01_Entry.xlsx]Book'!K306</f>
        <v>0.0</v>
      </c>
      <c r="L306" s="15">
        <f>'[01_Entry.xlsx]Book'!L306</f>
        <v>0.0</v>
      </c>
      <c r="M306" s="15">
        <f>'[01_Entry.xlsx]Book'!M306</f>
        <v>0.0</v>
      </c>
      <c r="P306" s="56">
        <f>IF($A306="","",IFERROR(VALUE(MID($A306,6,2)),""))</f>
        <v/>
      </c>
    </row>
    <row r="307" spans="7:16">
      <c r="G307" s="15">
        <f>'[01_Entry.xlsx]Book'!G307</f>
        <v>0.0</v>
      </c>
      <c r="H307" s="15">
        <f>'[01_Entry.xlsx]Book'!H307</f>
        <v>0.0</v>
      </c>
      <c r="I307" s="15">
        <f>'[01_Entry.xlsx]Book'!I307</f>
        <v>0.0</v>
      </c>
      <c r="K307" s="15">
        <f>'[01_Entry.xlsx]Book'!K307</f>
        <v>0.0</v>
      </c>
      <c r="L307" s="15">
        <f>'[01_Entry.xlsx]Book'!L307</f>
        <v>0.0</v>
      </c>
      <c r="M307" s="15">
        <f>'[01_Entry.xlsx]Book'!M307</f>
        <v>0.0</v>
      </c>
      <c r="P307" s="56">
        <f>IF($A307="","",IFERROR(VALUE(MID($A307,6,2)),""))</f>
        <v/>
      </c>
    </row>
    <row r="308" spans="7:16">
      <c r="G308" s="15">
        <f>'[01_Entry.xlsx]Book'!G308</f>
        <v>0.0</v>
      </c>
      <c r="H308" s="15">
        <f>'[01_Entry.xlsx]Book'!H308</f>
        <v>0.0</v>
      </c>
      <c r="I308" s="15">
        <f>'[01_Entry.xlsx]Book'!I308</f>
        <v>0.0</v>
      </c>
      <c r="K308" s="15">
        <f>'[01_Entry.xlsx]Book'!K308</f>
        <v>0.0</v>
      </c>
      <c r="L308" s="15">
        <f>'[01_Entry.xlsx]Book'!L308</f>
        <v>0.0</v>
      </c>
      <c r="M308" s="15">
        <f>'[01_Entry.xlsx]Book'!M308</f>
        <v>0.0</v>
      </c>
      <c r="P308" s="56">
        <f>IF($A308="","",IFERROR(VALUE(MID($A308,6,2)),""))</f>
        <v/>
      </c>
    </row>
    <row r="309" spans="7:16">
      <c r="G309" s="15">
        <f>'[01_Entry.xlsx]Book'!G309</f>
        <v>0.0</v>
      </c>
      <c r="H309" s="15">
        <f>'[01_Entry.xlsx]Book'!H309</f>
        <v>0.0</v>
      </c>
      <c r="I309" s="15">
        <f>'[01_Entry.xlsx]Book'!I309</f>
        <v>0.0</v>
      </c>
      <c r="K309" s="15">
        <f>'[01_Entry.xlsx]Book'!K309</f>
        <v>0.0</v>
      </c>
      <c r="L309" s="15">
        <f>'[01_Entry.xlsx]Book'!L309</f>
        <v>0.0</v>
      </c>
      <c r="M309" s="15">
        <f>'[01_Entry.xlsx]Book'!M309</f>
        <v>0.0</v>
      </c>
      <c r="P309" s="56">
        <f>IF($A309="","",IFERROR(VALUE(MID($A309,6,2)),""))</f>
        <v/>
      </c>
    </row>
    <row r="310" spans="7:16">
      <c r="G310" s="15">
        <f>'[01_Entry.xlsx]Book'!G310</f>
        <v>0.0</v>
      </c>
      <c r="H310" s="15">
        <f>'[01_Entry.xlsx]Book'!H310</f>
        <v>0.0</v>
      </c>
      <c r="I310" s="15">
        <f>'[01_Entry.xlsx]Book'!I310</f>
        <v>0.0</v>
      </c>
      <c r="K310" s="15">
        <f>'[01_Entry.xlsx]Book'!K310</f>
        <v>0.0</v>
      </c>
      <c r="L310" s="15">
        <f>'[01_Entry.xlsx]Book'!L310</f>
        <v>0.0</v>
      </c>
      <c r="M310" s="15">
        <f>'[01_Entry.xlsx]Book'!M310</f>
        <v>0.0</v>
      </c>
      <c r="P310" s="56">
        <f>IF($A310="","",IFERROR(VALUE(MID($A310,6,2)),""))</f>
        <v/>
      </c>
    </row>
    <row r="311" spans="7:16">
      <c r="G311" s="15">
        <f>'[01_Entry.xlsx]Book'!G311</f>
        <v>0.0</v>
      </c>
      <c r="H311" s="15">
        <f>'[01_Entry.xlsx]Book'!H311</f>
        <v>0.0</v>
      </c>
      <c r="I311" s="15">
        <f>'[01_Entry.xlsx]Book'!I311</f>
        <v>0.0</v>
      </c>
      <c r="K311" s="15">
        <f>'[01_Entry.xlsx]Book'!K311</f>
        <v>0.0</v>
      </c>
      <c r="L311" s="15">
        <f>'[01_Entry.xlsx]Book'!L311</f>
        <v>0.0</v>
      </c>
      <c r="M311" s="15">
        <f>'[01_Entry.xlsx]Book'!M311</f>
        <v>0.0</v>
      </c>
      <c r="P311" s="56">
        <f>IF($A311="","",IFERROR(VALUE(MID($A311,6,2)),""))</f>
        <v/>
      </c>
    </row>
    <row r="312" spans="7:16">
      <c r="G312" s="15">
        <f>'[01_Entry.xlsx]Book'!G312</f>
        <v>0.0</v>
      </c>
      <c r="H312" s="15">
        <f>'[01_Entry.xlsx]Book'!H312</f>
        <v>0.0</v>
      </c>
      <c r="I312" s="15">
        <f>'[01_Entry.xlsx]Book'!I312</f>
        <v>0.0</v>
      </c>
      <c r="K312" s="15">
        <f>'[01_Entry.xlsx]Book'!K312</f>
        <v>0.0</v>
      </c>
      <c r="L312" s="15">
        <f>'[01_Entry.xlsx]Book'!L312</f>
        <v>0.0</v>
      </c>
      <c r="M312" s="15">
        <f>'[01_Entry.xlsx]Book'!M312</f>
        <v>0.0</v>
      </c>
      <c r="P312" s="56">
        <f>IF($A312="","",IFERROR(VALUE(MID($A312,6,2)),""))</f>
        <v/>
      </c>
    </row>
    <row r="313" spans="7:16">
      <c r="G313" s="15">
        <f>'[01_Entry.xlsx]Book'!G313</f>
        <v>0.0</v>
      </c>
      <c r="H313" s="15">
        <f>'[01_Entry.xlsx]Book'!H313</f>
        <v>0.0</v>
      </c>
      <c r="I313" s="15">
        <f>'[01_Entry.xlsx]Book'!I313</f>
        <v>0.0</v>
      </c>
      <c r="K313" s="15">
        <f>'[01_Entry.xlsx]Book'!K313</f>
        <v>0.0</v>
      </c>
      <c r="L313" s="15">
        <f>'[01_Entry.xlsx]Book'!L313</f>
        <v>0.0</v>
      </c>
      <c r="M313" s="15">
        <f>'[01_Entry.xlsx]Book'!M313</f>
        <v>0.0</v>
      </c>
      <c r="P313" s="56">
        <f>IF($A313="","",IFERROR(VALUE(MID($A313,6,2)),""))</f>
        <v/>
      </c>
    </row>
    <row r="314" spans="7:16">
      <c r="G314" s="15">
        <f>'[01_Entry.xlsx]Book'!G314</f>
        <v>0.0</v>
      </c>
      <c r="H314" s="15">
        <f>'[01_Entry.xlsx]Book'!H314</f>
        <v>0.0</v>
      </c>
      <c r="I314" s="15">
        <f>'[01_Entry.xlsx]Book'!I314</f>
        <v>0.0</v>
      </c>
      <c r="K314" s="15">
        <f>'[01_Entry.xlsx]Book'!K314</f>
        <v>0.0</v>
      </c>
      <c r="L314" s="15">
        <f>'[01_Entry.xlsx]Book'!L314</f>
        <v>0.0</v>
      </c>
      <c r="M314" s="15">
        <f>'[01_Entry.xlsx]Book'!M314</f>
        <v>0.0</v>
      </c>
      <c r="P314" s="56">
        <f>IF($A314="","",IFERROR(VALUE(MID($A314,6,2)),""))</f>
        <v/>
      </c>
    </row>
    <row r="315" spans="7:16">
      <c r="G315" s="15">
        <f>'[01_Entry.xlsx]Book'!G315</f>
        <v>0.0</v>
      </c>
      <c r="H315" s="15">
        <f>'[01_Entry.xlsx]Book'!H315</f>
        <v>0.0</v>
      </c>
      <c r="I315" s="15">
        <f>'[01_Entry.xlsx]Book'!I315</f>
        <v>0.0</v>
      </c>
      <c r="K315" s="15">
        <f>'[01_Entry.xlsx]Book'!K315</f>
        <v>0.0</v>
      </c>
      <c r="L315" s="15">
        <f>'[01_Entry.xlsx]Book'!L315</f>
        <v>0.0</v>
      </c>
      <c r="M315" s="15">
        <f>'[01_Entry.xlsx]Book'!M315</f>
        <v>0.0</v>
      </c>
      <c r="P315" s="56">
        <f>IF($A315="","",IFERROR(VALUE(MID($A315,6,2)),""))</f>
        <v/>
      </c>
    </row>
    <row r="316" spans="7:16">
      <c r="G316" s="15">
        <f>'[01_Entry.xlsx]Book'!G316</f>
        <v>0.0</v>
      </c>
      <c r="H316" s="15">
        <f>'[01_Entry.xlsx]Book'!H316</f>
        <v>0.0</v>
      </c>
      <c r="I316" s="15">
        <f>'[01_Entry.xlsx]Book'!I316</f>
        <v>0.0</v>
      </c>
      <c r="K316" s="15">
        <f>'[01_Entry.xlsx]Book'!K316</f>
        <v>0.0</v>
      </c>
      <c r="L316" s="15">
        <f>'[01_Entry.xlsx]Book'!L316</f>
        <v>0.0</v>
      </c>
      <c r="M316" s="15">
        <f>'[01_Entry.xlsx]Book'!M316</f>
        <v>0.0</v>
      </c>
      <c r="P316" s="56">
        <f>IF($A316="","",IFERROR(VALUE(MID($A316,6,2)),""))</f>
        <v/>
      </c>
    </row>
    <row r="317" spans="7:16">
      <c r="G317" s="15">
        <f>'[01_Entry.xlsx]Book'!G317</f>
        <v>0.0</v>
      </c>
      <c r="H317" s="15">
        <f>'[01_Entry.xlsx]Book'!H317</f>
        <v>0.0</v>
      </c>
      <c r="I317" s="15">
        <f>'[01_Entry.xlsx]Book'!I317</f>
        <v>0.0</v>
      </c>
      <c r="K317" s="15">
        <f>'[01_Entry.xlsx]Book'!K317</f>
        <v>0.0</v>
      </c>
      <c r="L317" s="15">
        <f>'[01_Entry.xlsx]Book'!L317</f>
        <v>0.0</v>
      </c>
      <c r="M317" s="15">
        <f>'[01_Entry.xlsx]Book'!M317</f>
        <v>0.0</v>
      </c>
      <c r="P317" s="56">
        <f>IF($A317="","",IFERROR(VALUE(MID($A317,6,2)),""))</f>
        <v/>
      </c>
    </row>
    <row r="318" spans="7:16">
      <c r="G318" s="15">
        <f>'[01_Entry.xlsx]Book'!G318</f>
        <v>0.0</v>
      </c>
      <c r="H318" s="15">
        <f>'[01_Entry.xlsx]Book'!H318</f>
        <v>0.0</v>
      </c>
      <c r="I318" s="15">
        <f>'[01_Entry.xlsx]Book'!I318</f>
        <v>0.0</v>
      </c>
      <c r="K318" s="15">
        <f>'[01_Entry.xlsx]Book'!K318</f>
        <v>0.0</v>
      </c>
      <c r="L318" s="15">
        <f>'[01_Entry.xlsx]Book'!L318</f>
        <v>0.0</v>
      </c>
      <c r="M318" s="15">
        <f>'[01_Entry.xlsx]Book'!M318</f>
        <v>0.0</v>
      </c>
      <c r="P318" s="56">
        <f>IF($A318="","",IFERROR(VALUE(MID($A318,6,2)),""))</f>
        <v/>
      </c>
    </row>
    <row r="319" spans="7:16">
      <c r="G319" s="15">
        <f>'[01_Entry.xlsx]Book'!G319</f>
        <v>0.0</v>
      </c>
      <c r="H319" s="15">
        <f>'[01_Entry.xlsx]Book'!H319</f>
        <v>0.0</v>
      </c>
      <c r="I319" s="15">
        <f>'[01_Entry.xlsx]Book'!I319</f>
        <v>0.0</v>
      </c>
      <c r="K319" s="15">
        <f>'[01_Entry.xlsx]Book'!K319</f>
        <v>0.0</v>
      </c>
      <c r="L319" s="15">
        <f>'[01_Entry.xlsx]Book'!L319</f>
        <v>0.0</v>
      </c>
      <c r="M319" s="15">
        <f>'[01_Entry.xlsx]Book'!M319</f>
        <v>0.0</v>
      </c>
      <c r="P319" s="56">
        <f>IF($A319="","",IFERROR(VALUE(MID($A319,6,2)),""))</f>
        <v/>
      </c>
    </row>
    <row r="320" spans="7:16">
      <c r="G320" s="15">
        <f>'[01_Entry.xlsx]Book'!G320</f>
        <v>0.0</v>
      </c>
      <c r="H320" s="15">
        <f>'[01_Entry.xlsx]Book'!H320</f>
        <v>0.0</v>
      </c>
      <c r="I320" s="15">
        <f>'[01_Entry.xlsx]Book'!I320</f>
        <v>0.0</v>
      </c>
      <c r="K320" s="15">
        <f>'[01_Entry.xlsx]Book'!K320</f>
        <v>0.0</v>
      </c>
      <c r="L320" s="15">
        <f>'[01_Entry.xlsx]Book'!L320</f>
        <v>0.0</v>
      </c>
      <c r="M320" s="15">
        <f>'[01_Entry.xlsx]Book'!M320</f>
        <v>0.0</v>
      </c>
      <c r="P320" s="56">
        <f>IF($A320="","",IFERROR(VALUE(MID($A320,6,2)),""))</f>
        <v/>
      </c>
    </row>
    <row r="321" spans="7:16">
      <c r="G321" s="15">
        <f>'[01_Entry.xlsx]Book'!G321</f>
        <v>0.0</v>
      </c>
      <c r="H321" s="15">
        <f>'[01_Entry.xlsx]Book'!H321</f>
        <v>0.0</v>
      </c>
      <c r="I321" s="15">
        <f>'[01_Entry.xlsx]Book'!I321</f>
        <v>0.0</v>
      </c>
      <c r="K321" s="15">
        <f>'[01_Entry.xlsx]Book'!K321</f>
        <v>0.0</v>
      </c>
      <c r="L321" s="15">
        <f>'[01_Entry.xlsx]Book'!L321</f>
        <v>0.0</v>
      </c>
      <c r="M321" s="15">
        <f>'[01_Entry.xlsx]Book'!M321</f>
        <v>0.0</v>
      </c>
      <c r="P321" s="56">
        <f>IF($A321="","",IFERROR(VALUE(MID($A321,6,2)),""))</f>
        <v/>
      </c>
    </row>
    <row r="322" spans="7:16">
      <c r="G322" s="15">
        <f>'[01_Entry.xlsx]Book'!G322</f>
        <v>0.0</v>
      </c>
      <c r="H322" s="15">
        <f>'[01_Entry.xlsx]Book'!H322</f>
        <v>0.0</v>
      </c>
      <c r="I322" s="15">
        <f>'[01_Entry.xlsx]Book'!I322</f>
        <v>0.0</v>
      </c>
      <c r="K322" s="15">
        <f>'[01_Entry.xlsx]Book'!K322</f>
        <v>0.0</v>
      </c>
      <c r="L322" s="15">
        <f>'[01_Entry.xlsx]Book'!L322</f>
        <v>0.0</v>
      </c>
      <c r="M322" s="15">
        <f>'[01_Entry.xlsx]Book'!M322</f>
        <v>0.0</v>
      </c>
      <c r="P322" s="56">
        <f>IF($A322="","",IFERROR(VALUE(MID($A322,6,2)),""))</f>
        <v/>
      </c>
    </row>
    <row r="323" spans="7:16">
      <c r="G323" s="15">
        <f>'[01_Entry.xlsx]Book'!G323</f>
        <v>0.0</v>
      </c>
      <c r="H323" s="15">
        <f>'[01_Entry.xlsx]Book'!H323</f>
        <v>0.0</v>
      </c>
      <c r="I323" s="15">
        <f>'[01_Entry.xlsx]Book'!I323</f>
        <v>0.0</v>
      </c>
      <c r="K323" s="15">
        <f>'[01_Entry.xlsx]Book'!K323</f>
        <v>0.0</v>
      </c>
      <c r="L323" s="15">
        <f>'[01_Entry.xlsx]Book'!L323</f>
        <v>0.0</v>
      </c>
      <c r="M323" s="15">
        <f>'[01_Entry.xlsx]Book'!M323</f>
        <v>0.0</v>
      </c>
      <c r="P323" s="56">
        <f>IF($A323="","",IFERROR(VALUE(MID($A323,6,2)),""))</f>
        <v/>
      </c>
    </row>
    <row r="324" spans="7:16">
      <c r="G324" s="15">
        <f>'[01_Entry.xlsx]Book'!G324</f>
        <v>0.0</v>
      </c>
      <c r="H324" s="15">
        <f>'[01_Entry.xlsx]Book'!H324</f>
        <v>0.0</v>
      </c>
      <c r="I324" s="15">
        <f>'[01_Entry.xlsx]Book'!I324</f>
        <v>0.0</v>
      </c>
      <c r="K324" s="15">
        <f>'[01_Entry.xlsx]Book'!K324</f>
        <v>0.0</v>
      </c>
      <c r="L324" s="15">
        <f>'[01_Entry.xlsx]Book'!L324</f>
        <v>0.0</v>
      </c>
      <c r="M324" s="15">
        <f>'[01_Entry.xlsx]Book'!M324</f>
        <v>0.0</v>
      </c>
      <c r="P324" s="56">
        <f>IF($A324="","",IFERROR(VALUE(MID($A324,6,2)),""))</f>
        <v/>
      </c>
    </row>
    <row r="325" spans="7:16">
      <c r="G325" s="15">
        <f>'[01_Entry.xlsx]Book'!G325</f>
        <v>0.0</v>
      </c>
      <c r="H325" s="15">
        <f>'[01_Entry.xlsx]Book'!H325</f>
        <v>0.0</v>
      </c>
      <c r="I325" s="15">
        <f>'[01_Entry.xlsx]Book'!I325</f>
        <v>0.0</v>
      </c>
      <c r="K325" s="15">
        <f>'[01_Entry.xlsx]Book'!K325</f>
        <v>0.0</v>
      </c>
      <c r="L325" s="15">
        <f>'[01_Entry.xlsx]Book'!L325</f>
        <v>0.0</v>
      </c>
      <c r="M325" s="15">
        <f>'[01_Entry.xlsx]Book'!M325</f>
        <v>0.0</v>
      </c>
      <c r="P325" s="56">
        <f>IF($A325="","",IFERROR(VALUE(MID($A325,6,2)),""))</f>
        <v/>
      </c>
    </row>
    <row r="326" spans="7:16">
      <c r="G326" s="15">
        <f>'[01_Entry.xlsx]Book'!G326</f>
        <v>0.0</v>
      </c>
      <c r="H326" s="15">
        <f>'[01_Entry.xlsx]Book'!H326</f>
        <v>0.0</v>
      </c>
      <c r="I326" s="15">
        <f>'[01_Entry.xlsx]Book'!I326</f>
        <v>0.0</v>
      </c>
      <c r="K326" s="15">
        <f>'[01_Entry.xlsx]Book'!K326</f>
        <v>0.0</v>
      </c>
      <c r="L326" s="15">
        <f>'[01_Entry.xlsx]Book'!L326</f>
        <v>0.0</v>
      </c>
      <c r="M326" s="15">
        <f>'[01_Entry.xlsx]Book'!M326</f>
        <v>0.0</v>
      </c>
      <c r="P326" s="56">
        <f>IF($A326="","",IFERROR(VALUE(MID($A326,6,2)),""))</f>
        <v/>
      </c>
    </row>
    <row r="327" spans="7:16">
      <c r="G327" s="15">
        <f>'[01_Entry.xlsx]Book'!G327</f>
        <v>0.0</v>
      </c>
      <c r="H327" s="15">
        <f>'[01_Entry.xlsx]Book'!H327</f>
        <v>0.0</v>
      </c>
      <c r="I327" s="15">
        <f>'[01_Entry.xlsx]Book'!I327</f>
        <v>0.0</v>
      </c>
      <c r="K327" s="15">
        <f>'[01_Entry.xlsx]Book'!K327</f>
        <v>0.0</v>
      </c>
      <c r="L327" s="15">
        <f>'[01_Entry.xlsx]Book'!L327</f>
        <v>0.0</v>
      </c>
      <c r="M327" s="15">
        <f>'[01_Entry.xlsx]Book'!M327</f>
        <v>0.0</v>
      </c>
      <c r="P327" s="56">
        <f>IF($A327="","",IFERROR(VALUE(MID($A327,6,2)),""))</f>
        <v/>
      </c>
    </row>
    <row r="328" spans="7:16">
      <c r="G328" s="15">
        <f>'[01_Entry.xlsx]Book'!G328</f>
        <v>0.0</v>
      </c>
      <c r="H328" s="15">
        <f>'[01_Entry.xlsx]Book'!H328</f>
        <v>0.0</v>
      </c>
      <c r="I328" s="15">
        <f>'[01_Entry.xlsx]Book'!I328</f>
        <v>0.0</v>
      </c>
      <c r="K328" s="15">
        <f>'[01_Entry.xlsx]Book'!K328</f>
        <v>0.0</v>
      </c>
      <c r="L328" s="15">
        <f>'[01_Entry.xlsx]Book'!L328</f>
        <v>0.0</v>
      </c>
      <c r="M328" s="15">
        <f>'[01_Entry.xlsx]Book'!M328</f>
        <v>0.0</v>
      </c>
      <c r="P328" s="56">
        <f>IF($A328="","",IFERROR(VALUE(MID($A328,6,2)),""))</f>
        <v/>
      </c>
    </row>
    <row r="329" spans="7:16">
      <c r="G329" s="15">
        <f>'[01_Entry.xlsx]Book'!G329</f>
        <v>0.0</v>
      </c>
      <c r="H329" s="15">
        <f>'[01_Entry.xlsx]Book'!H329</f>
        <v>0.0</v>
      </c>
      <c r="I329" s="15">
        <f>'[01_Entry.xlsx]Book'!I329</f>
        <v>0.0</v>
      </c>
      <c r="K329" s="15">
        <f>'[01_Entry.xlsx]Book'!K329</f>
        <v>0.0</v>
      </c>
      <c r="L329" s="15">
        <f>'[01_Entry.xlsx]Book'!L329</f>
        <v>0.0</v>
      </c>
      <c r="M329" s="15">
        <f>'[01_Entry.xlsx]Book'!M329</f>
        <v>0.0</v>
      </c>
      <c r="P329" s="56">
        <f>IF($A329="","",IFERROR(VALUE(MID($A329,6,2)),""))</f>
        <v/>
      </c>
    </row>
    <row r="330" spans="7:16">
      <c r="G330" s="15">
        <f>'[01_Entry.xlsx]Book'!G330</f>
        <v>0.0</v>
      </c>
      <c r="H330" s="15">
        <f>'[01_Entry.xlsx]Book'!H330</f>
        <v>0.0</v>
      </c>
      <c r="I330" s="15">
        <f>'[01_Entry.xlsx]Book'!I330</f>
        <v>0.0</v>
      </c>
      <c r="K330" s="15">
        <f>'[01_Entry.xlsx]Book'!K330</f>
        <v>0.0</v>
      </c>
      <c r="L330" s="15">
        <f>'[01_Entry.xlsx]Book'!L330</f>
        <v>0.0</v>
      </c>
      <c r="M330" s="15">
        <f>'[01_Entry.xlsx]Book'!M330</f>
        <v>0.0</v>
      </c>
      <c r="P330" s="56">
        <f>IF($A330="","",IFERROR(VALUE(MID($A330,6,2)),""))</f>
        <v/>
      </c>
    </row>
    <row r="331" spans="7:16">
      <c r="G331" s="15">
        <f>'[01_Entry.xlsx]Book'!G331</f>
        <v>0.0</v>
      </c>
      <c r="H331" s="15">
        <f>'[01_Entry.xlsx]Book'!H331</f>
        <v>0.0</v>
      </c>
      <c r="I331" s="15">
        <f>'[01_Entry.xlsx]Book'!I331</f>
        <v>0.0</v>
      </c>
      <c r="K331" s="15">
        <f>'[01_Entry.xlsx]Book'!K331</f>
        <v>0.0</v>
      </c>
      <c r="L331" s="15">
        <f>'[01_Entry.xlsx]Book'!L331</f>
        <v>0.0</v>
      </c>
      <c r="M331" s="15">
        <f>'[01_Entry.xlsx]Book'!M331</f>
        <v>0.0</v>
      </c>
      <c r="P331" s="56">
        <f>IF($A331="","",IFERROR(VALUE(MID($A331,6,2)),""))</f>
        <v/>
      </c>
    </row>
    <row r="332" spans="7:16">
      <c r="G332" s="15">
        <f>'[01_Entry.xlsx]Book'!G332</f>
        <v>0.0</v>
      </c>
      <c r="H332" s="15">
        <f>'[01_Entry.xlsx]Book'!H332</f>
        <v>0.0</v>
      </c>
      <c r="I332" s="15">
        <f>'[01_Entry.xlsx]Book'!I332</f>
        <v>0.0</v>
      </c>
      <c r="K332" s="15">
        <f>'[01_Entry.xlsx]Book'!K332</f>
        <v>0.0</v>
      </c>
      <c r="L332" s="15">
        <f>'[01_Entry.xlsx]Book'!L332</f>
        <v>0.0</v>
      </c>
      <c r="M332" s="15">
        <f>'[01_Entry.xlsx]Book'!M332</f>
        <v>0.0</v>
      </c>
      <c r="P332" s="56">
        <f>IF($A332="","",IFERROR(VALUE(MID($A332,6,2)),""))</f>
        <v/>
      </c>
    </row>
    <row r="333" spans="7:16">
      <c r="G333" s="15">
        <f>'[01_Entry.xlsx]Book'!G333</f>
        <v>0.0</v>
      </c>
      <c r="H333" s="15">
        <f>'[01_Entry.xlsx]Book'!H333</f>
        <v>0.0</v>
      </c>
      <c r="I333" s="15">
        <f>'[01_Entry.xlsx]Book'!I333</f>
        <v>0.0</v>
      </c>
      <c r="K333" s="15">
        <f>'[01_Entry.xlsx]Book'!K333</f>
        <v>0.0</v>
      </c>
      <c r="L333" s="15">
        <f>'[01_Entry.xlsx]Book'!L333</f>
        <v>0.0</v>
      </c>
      <c r="M333" s="15">
        <f>'[01_Entry.xlsx]Book'!M333</f>
        <v>0.0</v>
      </c>
      <c r="P333" s="56">
        <f>IF($A333="","",IFERROR(VALUE(MID($A333,6,2)),""))</f>
        <v/>
      </c>
    </row>
    <row r="334" spans="7:16">
      <c r="G334" s="15">
        <f>'[01_Entry.xlsx]Book'!G334</f>
        <v>0.0</v>
      </c>
      <c r="H334" s="15">
        <f>'[01_Entry.xlsx]Book'!H334</f>
        <v>0.0</v>
      </c>
      <c r="I334" s="15">
        <f>'[01_Entry.xlsx]Book'!I334</f>
        <v>0.0</v>
      </c>
      <c r="K334" s="15">
        <f>'[01_Entry.xlsx]Book'!K334</f>
        <v>0.0</v>
      </c>
      <c r="L334" s="15">
        <f>'[01_Entry.xlsx]Book'!L334</f>
        <v>0.0</v>
      </c>
      <c r="M334" s="15">
        <f>'[01_Entry.xlsx]Book'!M334</f>
        <v>0.0</v>
      </c>
      <c r="P334" s="56">
        <f>IF($A334="","",IFERROR(VALUE(MID($A334,6,2)),""))</f>
        <v/>
      </c>
    </row>
    <row r="335" spans="7:16">
      <c r="G335" s="15">
        <f>'[01_Entry.xlsx]Book'!G335</f>
        <v>0.0</v>
      </c>
      <c r="H335" s="15">
        <f>'[01_Entry.xlsx]Book'!H335</f>
        <v>0.0</v>
      </c>
      <c r="I335" s="15">
        <f>'[01_Entry.xlsx]Book'!I335</f>
        <v>0.0</v>
      </c>
      <c r="K335" s="15">
        <f>'[01_Entry.xlsx]Book'!K335</f>
        <v>0.0</v>
      </c>
      <c r="L335" s="15">
        <f>'[01_Entry.xlsx]Book'!L335</f>
        <v>0.0</v>
      </c>
      <c r="M335" s="15">
        <f>'[01_Entry.xlsx]Book'!M335</f>
        <v>0.0</v>
      </c>
      <c r="P335" s="56">
        <f>IF($A335="","",IFERROR(VALUE(MID($A335,6,2)),""))</f>
        <v/>
      </c>
    </row>
    <row r="336" spans="7:16">
      <c r="G336" s="15">
        <f>'[01_Entry.xlsx]Book'!G336</f>
        <v>0.0</v>
      </c>
      <c r="H336" s="15">
        <f>'[01_Entry.xlsx]Book'!H336</f>
        <v>0.0</v>
      </c>
      <c r="I336" s="15">
        <f>'[01_Entry.xlsx]Book'!I336</f>
        <v>0.0</v>
      </c>
      <c r="K336" s="15">
        <f>'[01_Entry.xlsx]Book'!K336</f>
        <v>0.0</v>
      </c>
      <c r="L336" s="15">
        <f>'[01_Entry.xlsx]Book'!L336</f>
        <v>0.0</v>
      </c>
      <c r="M336" s="15">
        <f>'[01_Entry.xlsx]Book'!M336</f>
        <v>0.0</v>
      </c>
      <c r="P336" s="56">
        <f>IF($A336="","",IFERROR(VALUE(MID($A336,6,2)),""))</f>
        <v/>
      </c>
    </row>
    <row r="337" spans="7:16">
      <c r="G337" s="15">
        <f>'[01_Entry.xlsx]Book'!G337</f>
        <v>0.0</v>
      </c>
      <c r="H337" s="15">
        <f>'[01_Entry.xlsx]Book'!H337</f>
        <v>0.0</v>
      </c>
      <c r="I337" s="15">
        <f>'[01_Entry.xlsx]Book'!I337</f>
        <v>0.0</v>
      </c>
      <c r="K337" s="15">
        <f>'[01_Entry.xlsx]Book'!K337</f>
        <v>0.0</v>
      </c>
      <c r="L337" s="15">
        <f>'[01_Entry.xlsx]Book'!L337</f>
        <v>0.0</v>
      </c>
      <c r="M337" s="15">
        <f>'[01_Entry.xlsx]Book'!M337</f>
        <v>0.0</v>
      </c>
      <c r="P337" s="56">
        <f>IF($A337="","",IFERROR(VALUE(MID($A337,6,2)),""))</f>
        <v/>
      </c>
    </row>
    <row r="338" spans="7:16">
      <c r="G338" s="15">
        <f>'[01_Entry.xlsx]Book'!G338</f>
        <v>0.0</v>
      </c>
      <c r="H338" s="15">
        <f>'[01_Entry.xlsx]Book'!H338</f>
        <v>0.0</v>
      </c>
      <c r="I338" s="15">
        <f>'[01_Entry.xlsx]Book'!I338</f>
        <v>0.0</v>
      </c>
      <c r="K338" s="15">
        <f>'[01_Entry.xlsx]Book'!K338</f>
        <v>0.0</v>
      </c>
      <c r="L338" s="15">
        <f>'[01_Entry.xlsx]Book'!L338</f>
        <v>0.0</v>
      </c>
      <c r="M338" s="15">
        <f>'[01_Entry.xlsx]Book'!M338</f>
        <v>0.0</v>
      </c>
      <c r="P338" s="56">
        <f>IF($A338="","",IFERROR(VALUE(MID($A338,6,2)),""))</f>
        <v/>
      </c>
    </row>
    <row r="339" spans="7:16">
      <c r="G339" s="15">
        <f>'[01_Entry.xlsx]Book'!G339</f>
        <v>0.0</v>
      </c>
      <c r="H339" s="15">
        <f>'[01_Entry.xlsx]Book'!H339</f>
        <v>0.0</v>
      </c>
      <c r="I339" s="15">
        <f>'[01_Entry.xlsx]Book'!I339</f>
        <v>0.0</v>
      </c>
      <c r="K339" s="15">
        <f>'[01_Entry.xlsx]Book'!K339</f>
        <v>0.0</v>
      </c>
      <c r="L339" s="15">
        <f>'[01_Entry.xlsx]Book'!L339</f>
        <v>0.0</v>
      </c>
      <c r="M339" s="15">
        <f>'[01_Entry.xlsx]Book'!M339</f>
        <v>0.0</v>
      </c>
      <c r="P339" s="56">
        <f>IF($A339="","",IFERROR(VALUE(MID($A339,6,2)),""))</f>
        <v/>
      </c>
    </row>
    <row r="340" spans="7:16">
      <c r="G340" s="15">
        <f>'[01_Entry.xlsx]Book'!G340</f>
        <v>0.0</v>
      </c>
      <c r="H340" s="15">
        <f>'[01_Entry.xlsx]Book'!H340</f>
        <v>0.0</v>
      </c>
      <c r="I340" s="15">
        <f>'[01_Entry.xlsx]Book'!I340</f>
        <v>0.0</v>
      </c>
      <c r="K340" s="15">
        <f>'[01_Entry.xlsx]Book'!K340</f>
        <v>0.0</v>
      </c>
      <c r="L340" s="15">
        <f>'[01_Entry.xlsx]Book'!L340</f>
        <v>0.0</v>
      </c>
      <c r="M340" s="15">
        <f>'[01_Entry.xlsx]Book'!M340</f>
        <v>0.0</v>
      </c>
      <c r="P340" s="56">
        <f>IF($A340="","",IFERROR(VALUE(MID($A340,6,2)),""))</f>
        <v/>
      </c>
    </row>
    <row r="341" spans="7:16">
      <c r="G341" s="15">
        <f>'[01_Entry.xlsx]Book'!G341</f>
        <v>0.0</v>
      </c>
      <c r="H341" s="15">
        <f>'[01_Entry.xlsx]Book'!H341</f>
        <v>0.0</v>
      </c>
      <c r="I341" s="15">
        <f>'[01_Entry.xlsx]Book'!I341</f>
        <v>0.0</v>
      </c>
      <c r="K341" s="15">
        <f>'[01_Entry.xlsx]Book'!K341</f>
        <v>0.0</v>
      </c>
      <c r="L341" s="15">
        <f>'[01_Entry.xlsx]Book'!L341</f>
        <v>0.0</v>
      </c>
      <c r="M341" s="15">
        <f>'[01_Entry.xlsx]Book'!M341</f>
        <v>0.0</v>
      </c>
      <c r="P341" s="56">
        <f>IF($A341="","",IFERROR(VALUE(MID($A341,6,2)),""))</f>
        <v/>
      </c>
    </row>
    <row r="342" spans="7:16">
      <c r="G342" s="15">
        <f>'[01_Entry.xlsx]Book'!G342</f>
        <v>0.0</v>
      </c>
      <c r="H342" s="15">
        <f>'[01_Entry.xlsx]Book'!H342</f>
        <v>0.0</v>
      </c>
      <c r="I342" s="15">
        <f>'[01_Entry.xlsx]Book'!I342</f>
        <v>0.0</v>
      </c>
      <c r="K342" s="15">
        <f>'[01_Entry.xlsx]Book'!K342</f>
        <v>0.0</v>
      </c>
      <c r="L342" s="15">
        <f>'[01_Entry.xlsx]Book'!L342</f>
        <v>0.0</v>
      </c>
      <c r="M342" s="15">
        <f>'[01_Entry.xlsx]Book'!M342</f>
        <v>0.0</v>
      </c>
      <c r="P342" s="56">
        <f>IF($A342="","",IFERROR(VALUE(MID($A342,6,2)),""))</f>
        <v/>
      </c>
    </row>
    <row r="343" spans="7:16">
      <c r="G343" s="15">
        <f>'[01_Entry.xlsx]Book'!G343</f>
        <v>0.0</v>
      </c>
      <c r="H343" s="15">
        <f>'[01_Entry.xlsx]Book'!H343</f>
        <v>0.0</v>
      </c>
      <c r="I343" s="15">
        <f>'[01_Entry.xlsx]Book'!I343</f>
        <v>0.0</v>
      </c>
      <c r="K343" s="15">
        <f>'[01_Entry.xlsx]Book'!K343</f>
        <v>0.0</v>
      </c>
      <c r="L343" s="15">
        <f>'[01_Entry.xlsx]Book'!L343</f>
        <v>0.0</v>
      </c>
      <c r="M343" s="15">
        <f>'[01_Entry.xlsx]Book'!M343</f>
        <v>0.0</v>
      </c>
      <c r="P343" s="56">
        <f>IF($A343="","",IFERROR(VALUE(MID($A343,6,2)),""))</f>
        <v/>
      </c>
    </row>
    <row r="344" spans="7:16">
      <c r="G344" s="15">
        <f>'[01_Entry.xlsx]Book'!G344</f>
        <v>0.0</v>
      </c>
      <c r="H344" s="15">
        <f>'[01_Entry.xlsx]Book'!H344</f>
        <v>0.0</v>
      </c>
      <c r="I344" s="15">
        <f>'[01_Entry.xlsx]Book'!I344</f>
        <v>0.0</v>
      </c>
      <c r="K344" s="15">
        <f>'[01_Entry.xlsx]Book'!K344</f>
        <v>0.0</v>
      </c>
      <c r="L344" s="15">
        <f>'[01_Entry.xlsx]Book'!L344</f>
        <v>0.0</v>
      </c>
      <c r="M344" s="15">
        <f>'[01_Entry.xlsx]Book'!M344</f>
        <v>0.0</v>
      </c>
      <c r="P344" s="56">
        <f>IF($A344="","",IFERROR(VALUE(MID($A344,6,2)),""))</f>
        <v/>
      </c>
    </row>
    <row r="345" spans="7:16">
      <c r="G345" s="15">
        <f>'[01_Entry.xlsx]Book'!G345</f>
        <v>0.0</v>
      </c>
      <c r="H345" s="15">
        <f>'[01_Entry.xlsx]Book'!H345</f>
        <v>0.0</v>
      </c>
      <c r="I345" s="15">
        <f>'[01_Entry.xlsx]Book'!I345</f>
        <v>0.0</v>
      </c>
      <c r="K345" s="15">
        <f>'[01_Entry.xlsx]Book'!K345</f>
        <v>0.0</v>
      </c>
      <c r="L345" s="15">
        <f>'[01_Entry.xlsx]Book'!L345</f>
        <v>0.0</v>
      </c>
      <c r="M345" s="15">
        <f>'[01_Entry.xlsx]Book'!M345</f>
        <v>0.0</v>
      </c>
      <c r="P345" s="56">
        <f>IF($A345="","",IFERROR(VALUE(MID($A345,6,2)),""))</f>
        <v/>
      </c>
    </row>
    <row r="346" spans="7:16">
      <c r="G346" s="15">
        <f>'[01_Entry.xlsx]Book'!G346</f>
        <v>0.0</v>
      </c>
      <c r="H346" s="15">
        <f>'[01_Entry.xlsx]Book'!H346</f>
        <v>0.0</v>
      </c>
      <c r="I346" s="15">
        <f>'[01_Entry.xlsx]Book'!I346</f>
        <v>0.0</v>
      </c>
      <c r="K346" s="15">
        <f>'[01_Entry.xlsx]Book'!K346</f>
        <v>0.0</v>
      </c>
      <c r="L346" s="15">
        <f>'[01_Entry.xlsx]Book'!L346</f>
        <v>0.0</v>
      </c>
      <c r="M346" s="15">
        <f>'[01_Entry.xlsx]Book'!M346</f>
        <v>0.0</v>
      </c>
      <c r="P346" s="56">
        <f>IF($A346="","",IFERROR(VALUE(MID($A346,6,2)),""))</f>
        <v/>
      </c>
    </row>
    <row r="347" spans="7:16">
      <c r="G347" s="15">
        <f>'[01_Entry.xlsx]Book'!G347</f>
        <v>0.0</v>
      </c>
      <c r="H347" s="15">
        <f>'[01_Entry.xlsx]Book'!H347</f>
        <v>0.0</v>
      </c>
      <c r="I347" s="15">
        <f>'[01_Entry.xlsx]Book'!I347</f>
        <v>0.0</v>
      </c>
      <c r="K347" s="15">
        <f>'[01_Entry.xlsx]Book'!K347</f>
        <v>0.0</v>
      </c>
      <c r="L347" s="15">
        <f>'[01_Entry.xlsx]Book'!L347</f>
        <v>0.0</v>
      </c>
      <c r="M347" s="15">
        <f>'[01_Entry.xlsx]Book'!M347</f>
        <v>0.0</v>
      </c>
      <c r="P347" s="56">
        <f>IF($A347="","",IFERROR(VALUE(MID($A347,6,2)),""))</f>
        <v/>
      </c>
    </row>
    <row r="348" spans="7:16">
      <c r="G348" s="15">
        <f>'[01_Entry.xlsx]Book'!G348</f>
        <v>0.0</v>
      </c>
      <c r="H348" s="15">
        <f>'[01_Entry.xlsx]Book'!H348</f>
        <v>0.0</v>
      </c>
      <c r="I348" s="15">
        <f>'[01_Entry.xlsx]Book'!I348</f>
        <v>0.0</v>
      </c>
      <c r="K348" s="15">
        <f>'[01_Entry.xlsx]Book'!K348</f>
        <v>0.0</v>
      </c>
      <c r="L348" s="15">
        <f>'[01_Entry.xlsx]Book'!L348</f>
        <v>0.0</v>
      </c>
      <c r="M348" s="15">
        <f>'[01_Entry.xlsx]Book'!M348</f>
        <v>0.0</v>
      </c>
      <c r="P348" s="56">
        <f>IF($A348="","",IFERROR(VALUE(MID($A348,6,2)),""))</f>
        <v/>
      </c>
    </row>
    <row r="349" spans="7:16">
      <c r="G349" s="15">
        <f>'[01_Entry.xlsx]Book'!G349</f>
        <v>0.0</v>
      </c>
      <c r="H349" s="15">
        <f>'[01_Entry.xlsx]Book'!H349</f>
        <v>0.0</v>
      </c>
      <c r="I349" s="15">
        <f>'[01_Entry.xlsx]Book'!I349</f>
        <v>0.0</v>
      </c>
      <c r="K349" s="15">
        <f>'[01_Entry.xlsx]Book'!K349</f>
        <v>0.0</v>
      </c>
      <c r="L349" s="15">
        <f>'[01_Entry.xlsx]Book'!L349</f>
        <v>0.0</v>
      </c>
      <c r="M349" s="15">
        <f>'[01_Entry.xlsx]Book'!M349</f>
        <v>0.0</v>
      </c>
      <c r="P349" s="56">
        <f>IF($A349="","",IFERROR(VALUE(MID($A349,6,2)),""))</f>
        <v/>
      </c>
    </row>
    <row r="350" spans="7:16">
      <c r="G350" s="15">
        <f>'[01_Entry.xlsx]Book'!G350</f>
        <v>0.0</v>
      </c>
      <c r="H350" s="15">
        <f>'[01_Entry.xlsx]Book'!H350</f>
        <v>0.0</v>
      </c>
      <c r="I350" s="15">
        <f>'[01_Entry.xlsx]Book'!I350</f>
        <v>0.0</v>
      </c>
      <c r="K350" s="15">
        <f>'[01_Entry.xlsx]Book'!K350</f>
        <v>0.0</v>
      </c>
      <c r="L350" s="15">
        <f>'[01_Entry.xlsx]Book'!L350</f>
        <v>0.0</v>
      </c>
      <c r="M350" s="15">
        <f>'[01_Entry.xlsx]Book'!M350</f>
        <v>0.0</v>
      </c>
      <c r="P350" s="56">
        <f>IF($A350="","",IFERROR(VALUE(MID($A350,6,2)),""))</f>
        <v/>
      </c>
    </row>
    <row r="351" spans="7:16">
      <c r="G351" s="15">
        <f>'[01_Entry.xlsx]Book'!G351</f>
        <v>0.0</v>
      </c>
      <c r="H351" s="15">
        <f>'[01_Entry.xlsx]Book'!H351</f>
        <v>0.0</v>
      </c>
      <c r="I351" s="15">
        <f>'[01_Entry.xlsx]Book'!I351</f>
        <v>0.0</v>
      </c>
      <c r="K351" s="15">
        <f>'[01_Entry.xlsx]Book'!K351</f>
        <v>0.0</v>
      </c>
      <c r="L351" s="15">
        <f>'[01_Entry.xlsx]Book'!L351</f>
        <v>0.0</v>
      </c>
      <c r="M351" s="15">
        <f>'[01_Entry.xlsx]Book'!M351</f>
        <v>0.0</v>
      </c>
      <c r="P351" s="56">
        <f>IF($A351="","",IFERROR(VALUE(MID($A351,6,2)),""))</f>
        <v/>
      </c>
    </row>
    <row r="352" spans="7:16">
      <c r="G352" s="15">
        <f>'[01_Entry.xlsx]Book'!G352</f>
        <v>0.0</v>
      </c>
      <c r="H352" s="15">
        <f>'[01_Entry.xlsx]Book'!H352</f>
        <v>0.0</v>
      </c>
      <c r="I352" s="15">
        <f>'[01_Entry.xlsx]Book'!I352</f>
        <v>0.0</v>
      </c>
      <c r="K352" s="15">
        <f>'[01_Entry.xlsx]Book'!K352</f>
        <v>0.0</v>
      </c>
      <c r="L352" s="15">
        <f>'[01_Entry.xlsx]Book'!L352</f>
        <v>0.0</v>
      </c>
      <c r="M352" s="15">
        <f>'[01_Entry.xlsx]Book'!M352</f>
        <v>0.0</v>
      </c>
      <c r="P352" s="56">
        <f>IF($A352="","",IFERROR(VALUE(MID($A352,6,2)),""))</f>
        <v/>
      </c>
    </row>
    <row r="353" spans="7:16">
      <c r="G353" s="15">
        <f>'[01_Entry.xlsx]Book'!G353</f>
        <v>0.0</v>
      </c>
      <c r="H353" s="15">
        <f>'[01_Entry.xlsx]Book'!H353</f>
        <v>0.0</v>
      </c>
      <c r="I353" s="15">
        <f>'[01_Entry.xlsx]Book'!I353</f>
        <v>0.0</v>
      </c>
      <c r="K353" s="15">
        <f>'[01_Entry.xlsx]Book'!K353</f>
        <v>0.0</v>
      </c>
      <c r="L353" s="15">
        <f>'[01_Entry.xlsx]Book'!L353</f>
        <v>0.0</v>
      </c>
      <c r="M353" s="15">
        <f>'[01_Entry.xlsx]Book'!M353</f>
        <v>0.0</v>
      </c>
      <c r="P353" s="56">
        <f>IF($A353="","",IFERROR(VALUE(MID($A353,6,2)),""))</f>
        <v/>
      </c>
    </row>
    <row r="354" spans="7:16">
      <c r="G354" s="15">
        <f>'[01_Entry.xlsx]Book'!G354</f>
        <v>0.0</v>
      </c>
      <c r="H354" s="15">
        <f>'[01_Entry.xlsx]Book'!H354</f>
        <v>0.0</v>
      </c>
      <c r="I354" s="15">
        <f>'[01_Entry.xlsx]Book'!I354</f>
        <v>0.0</v>
      </c>
      <c r="K354" s="15">
        <f>'[01_Entry.xlsx]Book'!K354</f>
        <v>0.0</v>
      </c>
      <c r="L354" s="15">
        <f>'[01_Entry.xlsx]Book'!L354</f>
        <v>0.0</v>
      </c>
      <c r="M354" s="15">
        <f>'[01_Entry.xlsx]Book'!M354</f>
        <v>0.0</v>
      </c>
      <c r="P354" s="56">
        <f>IF($A354="","",IFERROR(VALUE(MID($A354,6,2)),""))</f>
        <v/>
      </c>
    </row>
    <row r="355" spans="7:16">
      <c r="G355" s="15">
        <f>'[01_Entry.xlsx]Book'!G355</f>
        <v>0.0</v>
      </c>
      <c r="H355" s="15">
        <f>'[01_Entry.xlsx]Book'!H355</f>
        <v>0.0</v>
      </c>
      <c r="I355" s="15">
        <f>'[01_Entry.xlsx]Book'!I355</f>
        <v>0.0</v>
      </c>
      <c r="K355" s="15">
        <f>'[01_Entry.xlsx]Book'!K355</f>
        <v>0.0</v>
      </c>
      <c r="L355" s="15">
        <f>'[01_Entry.xlsx]Book'!L355</f>
        <v>0.0</v>
      </c>
      <c r="M355" s="15">
        <f>'[01_Entry.xlsx]Book'!M355</f>
        <v>0.0</v>
      </c>
      <c r="P355" s="56">
        <f>IF($A355="","",IFERROR(VALUE(MID($A355,6,2)),""))</f>
        <v/>
      </c>
    </row>
    <row r="356" spans="7:16">
      <c r="G356" s="15">
        <f>'[01_Entry.xlsx]Book'!G356</f>
        <v>0.0</v>
      </c>
      <c r="H356" s="15">
        <f>'[01_Entry.xlsx]Book'!H356</f>
        <v>0.0</v>
      </c>
      <c r="I356" s="15">
        <f>'[01_Entry.xlsx]Book'!I356</f>
        <v>0.0</v>
      </c>
      <c r="K356" s="15">
        <f>'[01_Entry.xlsx]Book'!K356</f>
        <v>0.0</v>
      </c>
      <c r="L356" s="15">
        <f>'[01_Entry.xlsx]Book'!L356</f>
        <v>0.0</v>
      </c>
      <c r="M356" s="15">
        <f>'[01_Entry.xlsx]Book'!M356</f>
        <v>0.0</v>
      </c>
      <c r="P356" s="56">
        <f>IF($A356="","",IFERROR(VALUE(MID($A356,6,2)),""))</f>
        <v/>
      </c>
    </row>
    <row r="357" spans="7:16">
      <c r="G357" s="15">
        <f>'[01_Entry.xlsx]Book'!G357</f>
        <v>0.0</v>
      </c>
      <c r="H357" s="15">
        <f>'[01_Entry.xlsx]Book'!H357</f>
        <v>0.0</v>
      </c>
      <c r="I357" s="15">
        <f>'[01_Entry.xlsx]Book'!I357</f>
        <v>0.0</v>
      </c>
      <c r="K357" s="15">
        <f>'[01_Entry.xlsx]Book'!K357</f>
        <v>0.0</v>
      </c>
      <c r="L357" s="15">
        <f>'[01_Entry.xlsx]Book'!L357</f>
        <v>0.0</v>
      </c>
      <c r="M357" s="15">
        <f>'[01_Entry.xlsx]Book'!M357</f>
        <v>0.0</v>
      </c>
      <c r="P357" s="56">
        <f>IF($A357="","",IFERROR(VALUE(MID($A357,6,2)),""))</f>
        <v/>
      </c>
    </row>
    <row r="358" spans="7:16">
      <c r="G358" s="15">
        <f>'[01_Entry.xlsx]Book'!G358</f>
        <v>0.0</v>
      </c>
      <c r="H358" s="15">
        <f>'[01_Entry.xlsx]Book'!H358</f>
        <v>0.0</v>
      </c>
      <c r="I358" s="15">
        <f>'[01_Entry.xlsx]Book'!I358</f>
        <v>0.0</v>
      </c>
      <c r="K358" s="15">
        <f>'[01_Entry.xlsx]Book'!K358</f>
        <v>0.0</v>
      </c>
      <c r="L358" s="15">
        <f>'[01_Entry.xlsx]Book'!L358</f>
        <v>0.0</v>
      </c>
      <c r="M358" s="15">
        <f>'[01_Entry.xlsx]Book'!M358</f>
        <v>0.0</v>
      </c>
      <c r="P358" s="56">
        <f>IF($A358="","",IFERROR(VALUE(MID($A358,6,2)),""))</f>
        <v/>
      </c>
    </row>
    <row r="359" spans="7:16">
      <c r="G359" s="15">
        <f>'[01_Entry.xlsx]Book'!G359</f>
        <v>0.0</v>
      </c>
      <c r="H359" s="15">
        <f>'[01_Entry.xlsx]Book'!H359</f>
        <v>0.0</v>
      </c>
      <c r="I359" s="15">
        <f>'[01_Entry.xlsx]Book'!I359</f>
        <v>0.0</v>
      </c>
      <c r="K359" s="15">
        <f>'[01_Entry.xlsx]Book'!K359</f>
        <v>0.0</v>
      </c>
      <c r="L359" s="15">
        <f>'[01_Entry.xlsx]Book'!L359</f>
        <v>0.0</v>
      </c>
      <c r="M359" s="15">
        <f>'[01_Entry.xlsx]Book'!M359</f>
        <v>0.0</v>
      </c>
      <c r="P359" s="56">
        <f>IF($A359="","",IFERROR(VALUE(MID($A359,6,2)),""))</f>
        <v/>
      </c>
    </row>
    <row r="360" spans="7:16">
      <c r="G360" s="15">
        <f>'[01_Entry.xlsx]Book'!G360</f>
        <v>0.0</v>
      </c>
      <c r="H360" s="15">
        <f>'[01_Entry.xlsx]Book'!H360</f>
        <v>0.0</v>
      </c>
      <c r="I360" s="15">
        <f>'[01_Entry.xlsx]Book'!I360</f>
        <v>0.0</v>
      </c>
      <c r="K360" s="15">
        <f>'[01_Entry.xlsx]Book'!K360</f>
        <v>0.0</v>
      </c>
      <c r="L360" s="15">
        <f>'[01_Entry.xlsx]Book'!L360</f>
        <v>0.0</v>
      </c>
      <c r="M360" s="15">
        <f>'[01_Entry.xlsx]Book'!M360</f>
        <v>0.0</v>
      </c>
      <c r="P360" s="56">
        <f>IF($A360="","",IFERROR(VALUE(MID($A360,6,2)),""))</f>
        <v/>
      </c>
    </row>
    <row r="361" spans="7:16">
      <c r="G361" s="15">
        <f>'[01_Entry.xlsx]Book'!G361</f>
        <v>0.0</v>
      </c>
      <c r="H361" s="15">
        <f>'[01_Entry.xlsx]Book'!H361</f>
        <v>0.0</v>
      </c>
      <c r="I361" s="15">
        <f>'[01_Entry.xlsx]Book'!I361</f>
        <v>0.0</v>
      </c>
      <c r="K361" s="15">
        <f>'[01_Entry.xlsx]Book'!K361</f>
        <v>0.0</v>
      </c>
      <c r="L361" s="15">
        <f>'[01_Entry.xlsx]Book'!L361</f>
        <v>0.0</v>
      </c>
      <c r="M361" s="15">
        <f>'[01_Entry.xlsx]Book'!M361</f>
        <v>0.0</v>
      </c>
      <c r="P361" s="56">
        <f>IF($A361="","",IFERROR(VALUE(MID($A361,6,2)),""))</f>
        <v/>
      </c>
    </row>
    <row r="362" spans="7:16">
      <c r="G362" s="15">
        <f>'[01_Entry.xlsx]Book'!G362</f>
        <v>0.0</v>
      </c>
      <c r="H362" s="15">
        <f>'[01_Entry.xlsx]Book'!H362</f>
        <v>0.0</v>
      </c>
      <c r="I362" s="15">
        <f>'[01_Entry.xlsx]Book'!I362</f>
        <v>0.0</v>
      </c>
      <c r="K362" s="15">
        <f>'[01_Entry.xlsx]Book'!K362</f>
        <v>0.0</v>
      </c>
      <c r="L362" s="15">
        <f>'[01_Entry.xlsx]Book'!L362</f>
        <v>0.0</v>
      </c>
      <c r="M362" s="15">
        <f>'[01_Entry.xlsx]Book'!M362</f>
        <v>0.0</v>
      </c>
      <c r="P362" s="56">
        <f>IF($A362="","",IFERROR(VALUE(MID($A362,6,2)),""))</f>
        <v/>
      </c>
    </row>
    <row r="363" spans="7:16">
      <c r="G363" s="15">
        <f>'[01_Entry.xlsx]Book'!G363</f>
        <v>0.0</v>
      </c>
      <c r="H363" s="15">
        <f>'[01_Entry.xlsx]Book'!H363</f>
        <v>0.0</v>
      </c>
      <c r="I363" s="15">
        <f>'[01_Entry.xlsx]Book'!I363</f>
        <v>0.0</v>
      </c>
      <c r="K363" s="15">
        <f>'[01_Entry.xlsx]Book'!K363</f>
        <v>0.0</v>
      </c>
      <c r="L363" s="15">
        <f>'[01_Entry.xlsx]Book'!L363</f>
        <v>0.0</v>
      </c>
      <c r="M363" s="15">
        <f>'[01_Entry.xlsx]Book'!M363</f>
        <v>0.0</v>
      </c>
      <c r="P363" s="56">
        <f>IF($A363="","",IFERROR(VALUE(MID($A363,6,2)),""))</f>
        <v/>
      </c>
    </row>
    <row r="364" spans="7:16">
      <c r="G364" s="15">
        <f>'[01_Entry.xlsx]Book'!G364</f>
        <v>0.0</v>
      </c>
      <c r="H364" s="15">
        <f>'[01_Entry.xlsx]Book'!H364</f>
        <v>0.0</v>
      </c>
      <c r="I364" s="15">
        <f>'[01_Entry.xlsx]Book'!I364</f>
        <v>0.0</v>
      </c>
      <c r="K364" s="15">
        <f>'[01_Entry.xlsx]Book'!K364</f>
        <v>0.0</v>
      </c>
      <c r="L364" s="15">
        <f>'[01_Entry.xlsx]Book'!L364</f>
        <v>0.0</v>
      </c>
      <c r="M364" s="15">
        <f>'[01_Entry.xlsx]Book'!M364</f>
        <v>0.0</v>
      </c>
      <c r="P364" s="56">
        <f>IF($A364="","",IFERROR(VALUE(MID($A364,6,2)),""))</f>
        <v/>
      </c>
    </row>
    <row r="365" spans="7:16">
      <c r="G365" s="15">
        <f>'[01_Entry.xlsx]Book'!G365</f>
        <v>0.0</v>
      </c>
      <c r="H365" s="15">
        <f>'[01_Entry.xlsx]Book'!H365</f>
        <v>0.0</v>
      </c>
      <c r="I365" s="15">
        <f>'[01_Entry.xlsx]Book'!I365</f>
        <v>0.0</v>
      </c>
      <c r="K365" s="15">
        <f>'[01_Entry.xlsx]Book'!K365</f>
        <v>0.0</v>
      </c>
      <c r="L365" s="15">
        <f>'[01_Entry.xlsx]Book'!L365</f>
        <v>0.0</v>
      </c>
      <c r="M365" s="15">
        <f>'[01_Entry.xlsx]Book'!M365</f>
        <v>0.0</v>
      </c>
      <c r="P365" s="56">
        <f>IF($A365="","",IFERROR(VALUE(MID($A365,6,2)),""))</f>
        <v/>
      </c>
    </row>
    <row r="366" spans="7:16">
      <c r="G366" s="15">
        <f>'[01_Entry.xlsx]Book'!G366</f>
        <v>0.0</v>
      </c>
      <c r="H366" s="15">
        <f>'[01_Entry.xlsx]Book'!H366</f>
        <v>0.0</v>
      </c>
      <c r="I366" s="15">
        <f>'[01_Entry.xlsx]Book'!I366</f>
        <v>0.0</v>
      </c>
      <c r="K366" s="15">
        <f>'[01_Entry.xlsx]Book'!K366</f>
        <v>0.0</v>
      </c>
      <c r="L366" s="15">
        <f>'[01_Entry.xlsx]Book'!L366</f>
        <v>0.0</v>
      </c>
      <c r="M366" s="15">
        <f>'[01_Entry.xlsx]Book'!M366</f>
        <v>0.0</v>
      </c>
      <c r="P366" s="56">
        <f>IF($A366="","",IFERROR(VALUE(MID($A366,6,2)),""))</f>
        <v/>
      </c>
    </row>
    <row r="367" spans="7:16">
      <c r="G367" s="15">
        <f>'[01_Entry.xlsx]Book'!G367</f>
        <v>0.0</v>
      </c>
      <c r="H367" s="15">
        <f>'[01_Entry.xlsx]Book'!H367</f>
        <v>0.0</v>
      </c>
      <c r="I367" s="15">
        <f>'[01_Entry.xlsx]Book'!I367</f>
        <v>0.0</v>
      </c>
      <c r="K367" s="15">
        <f>'[01_Entry.xlsx]Book'!K367</f>
        <v>0.0</v>
      </c>
      <c r="L367" s="15">
        <f>'[01_Entry.xlsx]Book'!L367</f>
        <v>0.0</v>
      </c>
      <c r="M367" s="15">
        <f>'[01_Entry.xlsx]Book'!M367</f>
        <v>0.0</v>
      </c>
      <c r="P367" s="56">
        <f>IF($A367="","",IFERROR(VALUE(MID($A367,6,2)),""))</f>
        <v/>
      </c>
    </row>
    <row r="368" spans="7:16">
      <c r="G368" s="15">
        <f>'[01_Entry.xlsx]Book'!G368</f>
        <v>0.0</v>
      </c>
      <c r="H368" s="15">
        <f>'[01_Entry.xlsx]Book'!H368</f>
        <v>0.0</v>
      </c>
      <c r="I368" s="15">
        <f>'[01_Entry.xlsx]Book'!I368</f>
        <v>0.0</v>
      </c>
      <c r="K368" s="15">
        <f>'[01_Entry.xlsx]Book'!K368</f>
        <v>0.0</v>
      </c>
      <c r="L368" s="15">
        <f>'[01_Entry.xlsx]Book'!L368</f>
        <v>0.0</v>
      </c>
      <c r="M368" s="15">
        <f>'[01_Entry.xlsx]Book'!M368</f>
        <v>0.0</v>
      </c>
      <c r="P368" s="56">
        <f>IF($A368="","",IFERROR(VALUE(MID($A368,6,2)),""))</f>
        <v/>
      </c>
    </row>
    <row r="369" spans="7:16">
      <c r="G369" s="15">
        <f>'[01_Entry.xlsx]Book'!G369</f>
        <v>0.0</v>
      </c>
      <c r="H369" s="15">
        <f>'[01_Entry.xlsx]Book'!H369</f>
        <v>0.0</v>
      </c>
      <c r="I369" s="15">
        <f>'[01_Entry.xlsx]Book'!I369</f>
        <v>0.0</v>
      </c>
      <c r="K369" s="15">
        <f>'[01_Entry.xlsx]Book'!K369</f>
        <v>0.0</v>
      </c>
      <c r="L369" s="15">
        <f>'[01_Entry.xlsx]Book'!L369</f>
        <v>0.0</v>
      </c>
      <c r="M369" s="15">
        <f>'[01_Entry.xlsx]Book'!M369</f>
        <v>0.0</v>
      </c>
      <c r="P369" s="56">
        <f>IF($A369="","",IFERROR(VALUE(MID($A369,6,2)),""))</f>
        <v/>
      </c>
    </row>
    <row r="370" spans="7:16">
      <c r="G370" s="15">
        <f>'[01_Entry.xlsx]Book'!G370</f>
        <v>0.0</v>
      </c>
      <c r="H370" s="15">
        <f>'[01_Entry.xlsx]Book'!H370</f>
        <v>0.0</v>
      </c>
      <c r="I370" s="15">
        <f>'[01_Entry.xlsx]Book'!I370</f>
        <v>0.0</v>
      </c>
      <c r="K370" s="15">
        <f>'[01_Entry.xlsx]Book'!K370</f>
        <v>0.0</v>
      </c>
      <c r="L370" s="15">
        <f>'[01_Entry.xlsx]Book'!L370</f>
        <v>0.0</v>
      </c>
      <c r="M370" s="15">
        <f>'[01_Entry.xlsx]Book'!M370</f>
        <v>0.0</v>
      </c>
      <c r="P370" s="56">
        <f>IF($A370="","",IFERROR(VALUE(MID($A370,6,2)),""))</f>
        <v/>
      </c>
    </row>
    <row r="371" spans="7:16">
      <c r="G371" s="15">
        <f>'[01_Entry.xlsx]Book'!G371</f>
        <v>0.0</v>
      </c>
      <c r="H371" s="15">
        <f>'[01_Entry.xlsx]Book'!H371</f>
        <v>0.0</v>
      </c>
      <c r="I371" s="15">
        <f>'[01_Entry.xlsx]Book'!I371</f>
        <v>0.0</v>
      </c>
      <c r="K371" s="15">
        <f>'[01_Entry.xlsx]Book'!K371</f>
        <v>0.0</v>
      </c>
      <c r="L371" s="15">
        <f>'[01_Entry.xlsx]Book'!L371</f>
        <v>0.0</v>
      </c>
      <c r="M371" s="15">
        <f>'[01_Entry.xlsx]Book'!M371</f>
        <v>0.0</v>
      </c>
      <c r="P371" s="56">
        <f>IF($A371="","",IFERROR(VALUE(MID($A371,6,2)),""))</f>
        <v/>
      </c>
    </row>
    <row r="372" spans="7:16">
      <c r="G372" s="15">
        <f>'[01_Entry.xlsx]Book'!G372</f>
        <v>0.0</v>
      </c>
      <c r="H372" s="15">
        <f>'[01_Entry.xlsx]Book'!H372</f>
        <v>0.0</v>
      </c>
      <c r="I372" s="15">
        <f>'[01_Entry.xlsx]Book'!I372</f>
        <v>0.0</v>
      </c>
      <c r="K372" s="15">
        <f>'[01_Entry.xlsx]Book'!K372</f>
        <v>0.0</v>
      </c>
      <c r="L372" s="15">
        <f>'[01_Entry.xlsx]Book'!L372</f>
        <v>0.0</v>
      </c>
      <c r="M372" s="15">
        <f>'[01_Entry.xlsx]Book'!M372</f>
        <v>0.0</v>
      </c>
      <c r="P372" s="56">
        <f>IF($A372="","",IFERROR(VALUE(MID($A372,6,2)),""))</f>
        <v/>
      </c>
    </row>
    <row r="373" spans="7:16">
      <c r="G373" s="15">
        <f>'[01_Entry.xlsx]Book'!G373</f>
        <v>0.0</v>
      </c>
      <c r="H373" s="15">
        <f>'[01_Entry.xlsx]Book'!H373</f>
        <v>0.0</v>
      </c>
      <c r="I373" s="15">
        <f>'[01_Entry.xlsx]Book'!I373</f>
        <v>0.0</v>
      </c>
      <c r="K373" s="15">
        <f>'[01_Entry.xlsx]Book'!K373</f>
        <v>0.0</v>
      </c>
      <c r="L373" s="15">
        <f>'[01_Entry.xlsx]Book'!L373</f>
        <v>0.0</v>
      </c>
      <c r="M373" s="15">
        <f>'[01_Entry.xlsx]Book'!M373</f>
        <v>0.0</v>
      </c>
      <c r="P373" s="56">
        <f>IF($A373="","",IFERROR(VALUE(MID($A373,6,2)),""))</f>
        <v/>
      </c>
    </row>
    <row r="374" spans="7:16">
      <c r="G374" s="15">
        <f>'[01_Entry.xlsx]Book'!G374</f>
        <v>0.0</v>
      </c>
      <c r="H374" s="15">
        <f>'[01_Entry.xlsx]Book'!H374</f>
        <v>0.0</v>
      </c>
      <c r="I374" s="15">
        <f>'[01_Entry.xlsx]Book'!I374</f>
        <v>0.0</v>
      </c>
      <c r="K374" s="15">
        <f>'[01_Entry.xlsx]Book'!K374</f>
        <v>0.0</v>
      </c>
      <c r="L374" s="15">
        <f>'[01_Entry.xlsx]Book'!L374</f>
        <v>0.0</v>
      </c>
      <c r="M374" s="15">
        <f>'[01_Entry.xlsx]Book'!M374</f>
        <v>0.0</v>
      </c>
      <c r="P374" s="56">
        <f>IF($A374="","",IFERROR(VALUE(MID($A374,6,2)),""))</f>
        <v/>
      </c>
    </row>
    <row r="375" spans="7:16">
      <c r="G375" s="15">
        <f>'[01_Entry.xlsx]Book'!G375</f>
        <v>0.0</v>
      </c>
      <c r="H375" s="15">
        <f>'[01_Entry.xlsx]Book'!H375</f>
        <v>0.0</v>
      </c>
      <c r="I375" s="15">
        <f>'[01_Entry.xlsx]Book'!I375</f>
        <v>0.0</v>
      </c>
      <c r="K375" s="15">
        <f>'[01_Entry.xlsx]Book'!K375</f>
        <v>0.0</v>
      </c>
      <c r="L375" s="15">
        <f>'[01_Entry.xlsx]Book'!L375</f>
        <v>0.0</v>
      </c>
      <c r="M375" s="15">
        <f>'[01_Entry.xlsx]Book'!M375</f>
        <v>0.0</v>
      </c>
      <c r="P375" s="56">
        <f>IF($A375="","",IFERROR(VALUE(MID($A375,6,2)),""))</f>
        <v/>
      </c>
    </row>
    <row r="376" spans="7:16">
      <c r="G376" s="15">
        <f>'[01_Entry.xlsx]Book'!G376</f>
        <v>0.0</v>
      </c>
      <c r="H376" s="15">
        <f>'[01_Entry.xlsx]Book'!H376</f>
        <v>0.0</v>
      </c>
      <c r="I376" s="15">
        <f>'[01_Entry.xlsx]Book'!I376</f>
        <v>0.0</v>
      </c>
      <c r="K376" s="15">
        <f>'[01_Entry.xlsx]Book'!K376</f>
        <v>0.0</v>
      </c>
      <c r="L376" s="15">
        <f>'[01_Entry.xlsx]Book'!L376</f>
        <v>0.0</v>
      </c>
      <c r="M376" s="15">
        <f>'[01_Entry.xlsx]Book'!M376</f>
        <v>0.0</v>
      </c>
      <c r="P376" s="56">
        <f>IF($A376="","",IFERROR(VALUE(MID($A376,6,2)),""))</f>
        <v/>
      </c>
    </row>
    <row r="377" spans="7:16">
      <c r="G377" s="15">
        <f>'[01_Entry.xlsx]Book'!G377</f>
        <v>0.0</v>
      </c>
      <c r="H377" s="15">
        <f>'[01_Entry.xlsx]Book'!H377</f>
        <v>0.0</v>
      </c>
      <c r="I377" s="15">
        <f>'[01_Entry.xlsx]Book'!I377</f>
        <v>0.0</v>
      </c>
      <c r="K377" s="15">
        <f>'[01_Entry.xlsx]Book'!K377</f>
        <v>0.0</v>
      </c>
      <c r="L377" s="15">
        <f>'[01_Entry.xlsx]Book'!L377</f>
        <v>0.0</v>
      </c>
      <c r="M377" s="15">
        <f>'[01_Entry.xlsx]Book'!M377</f>
        <v>0.0</v>
      </c>
      <c r="P377" s="56">
        <f>IF($A377="","",IFERROR(VALUE(MID($A377,6,2)),""))</f>
        <v/>
      </c>
    </row>
    <row r="378" spans="7:16">
      <c r="G378" s="15">
        <f>'[01_Entry.xlsx]Book'!G378</f>
        <v>0.0</v>
      </c>
      <c r="H378" s="15">
        <f>'[01_Entry.xlsx]Book'!H378</f>
        <v>0.0</v>
      </c>
      <c r="I378" s="15">
        <f>'[01_Entry.xlsx]Book'!I378</f>
        <v>0.0</v>
      </c>
      <c r="K378" s="15">
        <f>'[01_Entry.xlsx]Book'!K378</f>
        <v>0.0</v>
      </c>
      <c r="L378" s="15">
        <f>'[01_Entry.xlsx]Book'!L378</f>
        <v>0.0</v>
      </c>
      <c r="M378" s="15">
        <f>'[01_Entry.xlsx]Book'!M378</f>
        <v>0.0</v>
      </c>
      <c r="P378" s="56">
        <f>IF($A378="","",IFERROR(VALUE(MID($A378,6,2)),""))</f>
        <v/>
      </c>
    </row>
    <row r="379" spans="7:16">
      <c r="G379" s="15">
        <f>'[01_Entry.xlsx]Book'!G379</f>
        <v>0.0</v>
      </c>
      <c r="H379" s="15">
        <f>'[01_Entry.xlsx]Book'!H379</f>
        <v>0.0</v>
      </c>
      <c r="I379" s="15">
        <f>'[01_Entry.xlsx]Book'!I379</f>
        <v>0.0</v>
      </c>
      <c r="K379" s="15">
        <f>'[01_Entry.xlsx]Book'!K379</f>
        <v>0.0</v>
      </c>
      <c r="L379" s="15">
        <f>'[01_Entry.xlsx]Book'!L379</f>
        <v>0.0</v>
      </c>
      <c r="M379" s="15">
        <f>'[01_Entry.xlsx]Book'!M379</f>
        <v>0.0</v>
      </c>
      <c r="P379" s="56">
        <f>IF($A379="","",IFERROR(VALUE(MID($A379,6,2)),""))</f>
        <v/>
      </c>
    </row>
    <row r="380" spans="7:16">
      <c r="G380" s="15">
        <f>'[01_Entry.xlsx]Book'!G380</f>
        <v>0.0</v>
      </c>
      <c r="H380" s="15">
        <f>'[01_Entry.xlsx]Book'!H380</f>
        <v>0.0</v>
      </c>
      <c r="I380" s="15">
        <f>'[01_Entry.xlsx]Book'!I380</f>
        <v>0.0</v>
      </c>
      <c r="K380" s="15">
        <f>'[01_Entry.xlsx]Book'!K380</f>
        <v>0.0</v>
      </c>
      <c r="L380" s="15">
        <f>'[01_Entry.xlsx]Book'!L380</f>
        <v>0.0</v>
      </c>
      <c r="M380" s="15">
        <f>'[01_Entry.xlsx]Book'!M380</f>
        <v>0.0</v>
      </c>
      <c r="P380" s="56">
        <f>IF($A380="","",IFERROR(VALUE(MID($A380,6,2)),""))</f>
        <v/>
      </c>
    </row>
    <row r="381" spans="7:16">
      <c r="G381" s="15">
        <f>'[01_Entry.xlsx]Book'!G381</f>
        <v>0.0</v>
      </c>
      <c r="H381" s="15">
        <f>'[01_Entry.xlsx]Book'!H381</f>
        <v>0.0</v>
      </c>
      <c r="I381" s="15">
        <f>'[01_Entry.xlsx]Book'!I381</f>
        <v>0.0</v>
      </c>
      <c r="K381" s="15">
        <f>'[01_Entry.xlsx]Book'!K381</f>
        <v>0.0</v>
      </c>
      <c r="L381" s="15">
        <f>'[01_Entry.xlsx]Book'!L381</f>
        <v>0.0</v>
      </c>
      <c r="M381" s="15">
        <f>'[01_Entry.xlsx]Book'!M381</f>
        <v>0.0</v>
      </c>
      <c r="P381" s="56">
        <f>IF($A381="","",IFERROR(VALUE(MID($A381,6,2)),""))</f>
        <v/>
      </c>
    </row>
    <row r="382" spans="7:16">
      <c r="G382" s="15">
        <f>'[01_Entry.xlsx]Book'!G382</f>
        <v>0.0</v>
      </c>
      <c r="H382" s="15">
        <f>'[01_Entry.xlsx]Book'!H382</f>
        <v>0.0</v>
      </c>
      <c r="I382" s="15">
        <f>'[01_Entry.xlsx]Book'!I382</f>
        <v>0.0</v>
      </c>
      <c r="K382" s="15">
        <f>'[01_Entry.xlsx]Book'!K382</f>
        <v>0.0</v>
      </c>
      <c r="L382" s="15">
        <f>'[01_Entry.xlsx]Book'!L382</f>
        <v>0.0</v>
      </c>
      <c r="M382" s="15">
        <f>'[01_Entry.xlsx]Book'!M382</f>
        <v>0.0</v>
      </c>
      <c r="P382" s="56">
        <f>IF($A382="","",IFERROR(VALUE(MID($A382,6,2)),""))</f>
        <v/>
      </c>
    </row>
    <row r="383" spans="7:16">
      <c r="G383" s="15">
        <f>'[01_Entry.xlsx]Book'!G383</f>
        <v>0.0</v>
      </c>
      <c r="H383" s="15">
        <f>'[01_Entry.xlsx]Book'!H383</f>
        <v>0.0</v>
      </c>
      <c r="I383" s="15">
        <f>'[01_Entry.xlsx]Book'!I383</f>
        <v>0.0</v>
      </c>
      <c r="K383" s="15">
        <f>'[01_Entry.xlsx]Book'!K383</f>
        <v>0.0</v>
      </c>
      <c r="L383" s="15">
        <f>'[01_Entry.xlsx]Book'!L383</f>
        <v>0.0</v>
      </c>
      <c r="M383" s="15">
        <f>'[01_Entry.xlsx]Book'!M383</f>
        <v>0.0</v>
      </c>
      <c r="P383" s="56">
        <f>IF($A383="","",IFERROR(VALUE(MID($A383,6,2)),""))</f>
        <v/>
      </c>
    </row>
    <row r="384" spans="7:16">
      <c r="G384" s="15">
        <f>'[01_Entry.xlsx]Book'!G384</f>
        <v>0.0</v>
      </c>
      <c r="H384" s="15">
        <f>'[01_Entry.xlsx]Book'!H384</f>
        <v>0.0</v>
      </c>
      <c r="I384" s="15">
        <f>'[01_Entry.xlsx]Book'!I384</f>
        <v>0.0</v>
      </c>
      <c r="K384" s="15">
        <f>'[01_Entry.xlsx]Book'!K384</f>
        <v>0.0</v>
      </c>
      <c r="L384" s="15">
        <f>'[01_Entry.xlsx]Book'!L384</f>
        <v>0.0</v>
      </c>
      <c r="M384" s="15">
        <f>'[01_Entry.xlsx]Book'!M384</f>
        <v>0.0</v>
      </c>
      <c r="P384" s="56">
        <f>IF($A384="","",IFERROR(VALUE(MID($A384,6,2)),""))</f>
        <v/>
      </c>
    </row>
    <row r="385" spans="7:16">
      <c r="G385" s="15">
        <f>'[01_Entry.xlsx]Book'!G385</f>
        <v>0.0</v>
      </c>
      <c r="H385" s="15">
        <f>'[01_Entry.xlsx]Book'!H385</f>
        <v>0.0</v>
      </c>
      <c r="I385" s="15">
        <f>'[01_Entry.xlsx]Book'!I385</f>
        <v>0.0</v>
      </c>
      <c r="K385" s="15">
        <f>'[01_Entry.xlsx]Book'!K385</f>
        <v>0.0</v>
      </c>
      <c r="L385" s="15">
        <f>'[01_Entry.xlsx]Book'!L385</f>
        <v>0.0</v>
      </c>
      <c r="M385" s="15">
        <f>'[01_Entry.xlsx]Book'!M385</f>
        <v>0.0</v>
      </c>
      <c r="P385" s="56">
        <f>IF($A385="","",IFERROR(VALUE(MID($A385,6,2)),""))</f>
        <v/>
      </c>
    </row>
    <row r="386" spans="7:16">
      <c r="G386" s="15">
        <f>'[01_Entry.xlsx]Book'!G386</f>
        <v>0.0</v>
      </c>
      <c r="H386" s="15">
        <f>'[01_Entry.xlsx]Book'!H386</f>
        <v>0.0</v>
      </c>
      <c r="I386" s="15">
        <f>'[01_Entry.xlsx]Book'!I386</f>
        <v>0.0</v>
      </c>
      <c r="K386" s="15">
        <f>'[01_Entry.xlsx]Book'!K386</f>
        <v>0.0</v>
      </c>
      <c r="L386" s="15">
        <f>'[01_Entry.xlsx]Book'!L386</f>
        <v>0.0</v>
      </c>
      <c r="M386" s="15">
        <f>'[01_Entry.xlsx]Book'!M386</f>
        <v>0.0</v>
      </c>
      <c r="P386" s="56">
        <f>IF($A386="","",IFERROR(VALUE(MID($A386,6,2)),""))</f>
        <v/>
      </c>
    </row>
    <row r="387" spans="7:16">
      <c r="G387" s="15">
        <f>'[01_Entry.xlsx]Book'!G387</f>
        <v>0.0</v>
      </c>
      <c r="H387" s="15">
        <f>'[01_Entry.xlsx]Book'!H387</f>
        <v>0.0</v>
      </c>
      <c r="I387" s="15">
        <f>'[01_Entry.xlsx]Book'!I387</f>
        <v>0.0</v>
      </c>
      <c r="K387" s="15">
        <f>'[01_Entry.xlsx]Book'!K387</f>
        <v>0.0</v>
      </c>
      <c r="L387" s="15">
        <f>'[01_Entry.xlsx]Book'!L387</f>
        <v>0.0</v>
      </c>
      <c r="M387" s="15">
        <f>'[01_Entry.xlsx]Book'!M387</f>
        <v>0.0</v>
      </c>
      <c r="P387" s="56">
        <f>IF($A387="","",IFERROR(VALUE(MID($A387,6,2)),""))</f>
        <v/>
      </c>
    </row>
    <row r="388" spans="7:16">
      <c r="G388" s="15">
        <f>'[01_Entry.xlsx]Book'!G388</f>
        <v>0.0</v>
      </c>
      <c r="H388" s="15">
        <f>'[01_Entry.xlsx]Book'!H388</f>
        <v>0.0</v>
      </c>
      <c r="I388" s="15">
        <f>'[01_Entry.xlsx]Book'!I388</f>
        <v>0.0</v>
      </c>
      <c r="K388" s="15">
        <f>'[01_Entry.xlsx]Book'!K388</f>
        <v>0.0</v>
      </c>
      <c r="L388" s="15">
        <f>'[01_Entry.xlsx]Book'!L388</f>
        <v>0.0</v>
      </c>
      <c r="M388" s="15">
        <f>'[01_Entry.xlsx]Book'!M388</f>
        <v>0.0</v>
      </c>
      <c r="P388" s="56">
        <f>IF($A388="","",IFERROR(VALUE(MID($A388,6,2)),""))</f>
        <v/>
      </c>
    </row>
    <row r="389" spans="7:16">
      <c r="G389" s="15">
        <f>'[01_Entry.xlsx]Book'!G389</f>
        <v>0.0</v>
      </c>
      <c r="H389" s="15">
        <f>'[01_Entry.xlsx]Book'!H389</f>
        <v>0.0</v>
      </c>
      <c r="I389" s="15">
        <f>'[01_Entry.xlsx]Book'!I389</f>
        <v>0.0</v>
      </c>
      <c r="K389" s="15">
        <f>'[01_Entry.xlsx]Book'!K389</f>
        <v>0.0</v>
      </c>
      <c r="L389" s="15">
        <f>'[01_Entry.xlsx]Book'!L389</f>
        <v>0.0</v>
      </c>
      <c r="M389" s="15">
        <f>'[01_Entry.xlsx]Book'!M389</f>
        <v>0.0</v>
      </c>
      <c r="P389" s="56">
        <f>IF($A389="","",IFERROR(VALUE(MID($A389,6,2)),""))</f>
        <v/>
      </c>
    </row>
    <row r="390" spans="7:16">
      <c r="G390" s="15">
        <f>'[01_Entry.xlsx]Book'!G390</f>
        <v>0.0</v>
      </c>
      <c r="H390" s="15">
        <f>'[01_Entry.xlsx]Book'!H390</f>
        <v>0.0</v>
      </c>
      <c r="I390" s="15">
        <f>'[01_Entry.xlsx]Book'!I390</f>
        <v>0.0</v>
      </c>
      <c r="K390" s="15">
        <f>'[01_Entry.xlsx]Book'!K390</f>
        <v>0.0</v>
      </c>
      <c r="L390" s="15">
        <f>'[01_Entry.xlsx]Book'!L390</f>
        <v>0.0</v>
      </c>
      <c r="M390" s="15">
        <f>'[01_Entry.xlsx]Book'!M390</f>
        <v>0.0</v>
      </c>
      <c r="P390" s="56">
        <f>IF($A390="","",IFERROR(VALUE(MID($A390,6,2)),""))</f>
        <v/>
      </c>
    </row>
    <row r="391" spans="7:16">
      <c r="G391" s="15">
        <f>'[01_Entry.xlsx]Book'!G391</f>
        <v>0.0</v>
      </c>
      <c r="H391" s="15">
        <f>'[01_Entry.xlsx]Book'!H391</f>
        <v>0.0</v>
      </c>
      <c r="I391" s="15">
        <f>'[01_Entry.xlsx]Book'!I391</f>
        <v>0.0</v>
      </c>
      <c r="K391" s="15">
        <f>'[01_Entry.xlsx]Book'!K391</f>
        <v>0.0</v>
      </c>
      <c r="L391" s="15">
        <f>'[01_Entry.xlsx]Book'!L391</f>
        <v>0.0</v>
      </c>
      <c r="M391" s="15">
        <f>'[01_Entry.xlsx]Book'!M391</f>
        <v>0.0</v>
      </c>
      <c r="P391" s="56">
        <f>IF($A391="","",IFERROR(VALUE(MID($A391,6,2)),""))</f>
        <v/>
      </c>
    </row>
    <row r="392" spans="7:16">
      <c r="G392" s="15">
        <f>'[01_Entry.xlsx]Book'!G392</f>
        <v>0.0</v>
      </c>
      <c r="H392" s="15">
        <f>'[01_Entry.xlsx]Book'!H392</f>
        <v>0.0</v>
      </c>
      <c r="I392" s="15">
        <f>'[01_Entry.xlsx]Book'!I392</f>
        <v>0.0</v>
      </c>
      <c r="K392" s="15">
        <f>'[01_Entry.xlsx]Book'!K392</f>
        <v>0.0</v>
      </c>
      <c r="L392" s="15">
        <f>'[01_Entry.xlsx]Book'!L392</f>
        <v>0.0</v>
      </c>
      <c r="M392" s="15">
        <f>'[01_Entry.xlsx]Book'!M392</f>
        <v>0.0</v>
      </c>
      <c r="P392" s="56">
        <f>IF($A392="","",IFERROR(VALUE(MID($A392,6,2)),""))</f>
        <v/>
      </c>
    </row>
    <row r="393" spans="7:16">
      <c r="G393" s="15">
        <f>'[01_Entry.xlsx]Book'!G393</f>
        <v>0.0</v>
      </c>
      <c r="H393" s="15">
        <f>'[01_Entry.xlsx]Book'!H393</f>
        <v>0.0</v>
      </c>
      <c r="I393" s="15">
        <f>'[01_Entry.xlsx]Book'!I393</f>
        <v>0.0</v>
      </c>
      <c r="K393" s="15">
        <f>'[01_Entry.xlsx]Book'!K393</f>
        <v>0.0</v>
      </c>
      <c r="L393" s="15">
        <f>'[01_Entry.xlsx]Book'!L393</f>
        <v>0.0</v>
      </c>
      <c r="M393" s="15">
        <f>'[01_Entry.xlsx]Book'!M393</f>
        <v>0.0</v>
      </c>
      <c r="P393" s="56">
        <f>IF($A393="","",IFERROR(VALUE(MID($A393,6,2)),""))</f>
        <v/>
      </c>
    </row>
    <row r="394" spans="7:16">
      <c r="G394" s="15">
        <f>'[01_Entry.xlsx]Book'!G394</f>
        <v>0.0</v>
      </c>
      <c r="H394" s="15">
        <f>'[01_Entry.xlsx]Book'!H394</f>
        <v>0.0</v>
      </c>
      <c r="I394" s="15">
        <f>'[01_Entry.xlsx]Book'!I394</f>
        <v>0.0</v>
      </c>
      <c r="K394" s="15">
        <f>'[01_Entry.xlsx]Book'!K394</f>
        <v>0.0</v>
      </c>
      <c r="L394" s="15">
        <f>'[01_Entry.xlsx]Book'!L394</f>
        <v>0.0</v>
      </c>
      <c r="M394" s="15">
        <f>'[01_Entry.xlsx]Book'!M394</f>
        <v>0.0</v>
      </c>
      <c r="P394" s="56">
        <f>IF($A394="","",IFERROR(VALUE(MID($A394,6,2)),""))</f>
        <v/>
      </c>
    </row>
    <row r="395" spans="7:16">
      <c r="G395" s="15">
        <f>'[01_Entry.xlsx]Book'!G395</f>
        <v>0.0</v>
      </c>
      <c r="H395" s="15">
        <f>'[01_Entry.xlsx]Book'!H395</f>
        <v>0.0</v>
      </c>
      <c r="I395" s="15">
        <f>'[01_Entry.xlsx]Book'!I395</f>
        <v>0.0</v>
      </c>
      <c r="K395" s="15">
        <f>'[01_Entry.xlsx]Book'!K395</f>
        <v>0.0</v>
      </c>
      <c r="L395" s="15">
        <f>'[01_Entry.xlsx]Book'!L395</f>
        <v>0.0</v>
      </c>
      <c r="M395" s="15">
        <f>'[01_Entry.xlsx]Book'!M395</f>
        <v>0.0</v>
      </c>
      <c r="P395" s="56">
        <f>IF($A395="","",IFERROR(VALUE(MID($A395,6,2)),""))</f>
        <v/>
      </c>
    </row>
    <row r="396" spans="7:16">
      <c r="G396" s="15">
        <f>'[01_Entry.xlsx]Book'!G396</f>
        <v>0.0</v>
      </c>
      <c r="H396" s="15">
        <f>'[01_Entry.xlsx]Book'!H396</f>
        <v>0.0</v>
      </c>
      <c r="I396" s="15">
        <f>'[01_Entry.xlsx]Book'!I396</f>
        <v>0.0</v>
      </c>
      <c r="K396" s="15">
        <f>'[01_Entry.xlsx]Book'!K396</f>
        <v>0.0</v>
      </c>
      <c r="L396" s="15">
        <f>'[01_Entry.xlsx]Book'!L396</f>
        <v>0.0</v>
      </c>
      <c r="M396" s="15">
        <f>'[01_Entry.xlsx]Book'!M396</f>
        <v>0.0</v>
      </c>
      <c r="P396" s="56">
        <f>IF($A396="","",IFERROR(VALUE(MID($A396,6,2)),""))</f>
        <v/>
      </c>
    </row>
    <row r="397" spans="7:16">
      <c r="G397" s="15">
        <f>'[01_Entry.xlsx]Book'!G397</f>
        <v>0.0</v>
      </c>
      <c r="H397" s="15">
        <f>'[01_Entry.xlsx]Book'!H397</f>
        <v>0.0</v>
      </c>
      <c r="I397" s="15">
        <f>'[01_Entry.xlsx]Book'!I397</f>
        <v>0.0</v>
      </c>
      <c r="K397" s="15">
        <f>'[01_Entry.xlsx]Book'!K397</f>
        <v>0.0</v>
      </c>
      <c r="L397" s="15">
        <f>'[01_Entry.xlsx]Book'!L397</f>
        <v>0.0</v>
      </c>
      <c r="M397" s="15">
        <f>'[01_Entry.xlsx]Book'!M397</f>
        <v>0.0</v>
      </c>
      <c r="P397" s="56">
        <f>IF($A397="","",IFERROR(VALUE(MID($A397,6,2)),""))</f>
        <v/>
      </c>
    </row>
    <row r="398" spans="7:16">
      <c r="G398" s="15">
        <f>'[01_Entry.xlsx]Book'!G398</f>
        <v>0.0</v>
      </c>
      <c r="H398" s="15">
        <f>'[01_Entry.xlsx]Book'!H398</f>
        <v>0.0</v>
      </c>
      <c r="I398" s="15">
        <f>'[01_Entry.xlsx]Book'!I398</f>
        <v>0.0</v>
      </c>
      <c r="K398" s="15">
        <f>'[01_Entry.xlsx]Book'!K398</f>
        <v>0.0</v>
      </c>
      <c r="L398" s="15">
        <f>'[01_Entry.xlsx]Book'!L398</f>
        <v>0.0</v>
      </c>
      <c r="M398" s="15">
        <f>'[01_Entry.xlsx]Book'!M398</f>
        <v>0.0</v>
      </c>
      <c r="P398" s="56">
        <f>IF($A398="","",IFERROR(VALUE(MID($A398,6,2)),""))</f>
        <v/>
      </c>
    </row>
    <row r="399" spans="7:16">
      <c r="G399" s="15">
        <f>'[01_Entry.xlsx]Book'!G399</f>
        <v>0.0</v>
      </c>
      <c r="H399" s="15">
        <f>'[01_Entry.xlsx]Book'!H399</f>
        <v>0.0</v>
      </c>
      <c r="I399" s="15">
        <f>'[01_Entry.xlsx]Book'!I399</f>
        <v>0.0</v>
      </c>
      <c r="K399" s="15">
        <f>'[01_Entry.xlsx]Book'!K399</f>
        <v>0.0</v>
      </c>
      <c r="L399" s="15">
        <f>'[01_Entry.xlsx]Book'!L399</f>
        <v>0.0</v>
      </c>
      <c r="M399" s="15">
        <f>'[01_Entry.xlsx]Book'!M399</f>
        <v>0.0</v>
      </c>
      <c r="P399" s="56">
        <f>IF($A399="","",IFERROR(VALUE(MID($A399,6,2)),""))</f>
        <v/>
      </c>
    </row>
    <row r="400" spans="7:16">
      <c r="G400" s="15">
        <f>'[01_Entry.xlsx]Book'!G400</f>
        <v>0.0</v>
      </c>
      <c r="H400" s="15">
        <f>'[01_Entry.xlsx]Book'!H400</f>
        <v>0.0</v>
      </c>
      <c r="I400" s="15">
        <f>'[01_Entry.xlsx]Book'!I400</f>
        <v>0.0</v>
      </c>
      <c r="K400" s="15">
        <f>'[01_Entry.xlsx]Book'!K400</f>
        <v>0.0</v>
      </c>
      <c r="L400" s="15">
        <f>'[01_Entry.xlsx]Book'!L400</f>
        <v>0.0</v>
      </c>
      <c r="M400" s="15">
        <f>'[01_Entry.xlsx]Book'!M400</f>
        <v>0.0</v>
      </c>
      <c r="P400" s="56">
        <f>IF($A400="","",IFERROR(VALUE(MID($A400,6,2)),""))</f>
        <v/>
      </c>
    </row>
    <row r="401" spans="7:16">
      <c r="G401" s="15">
        <f>'[01_Entry.xlsx]Book'!G401</f>
        <v>0.0</v>
      </c>
      <c r="H401" s="15">
        <f>'[01_Entry.xlsx]Book'!H401</f>
        <v>0.0</v>
      </c>
      <c r="I401" s="15">
        <f>'[01_Entry.xlsx]Book'!I401</f>
        <v>0.0</v>
      </c>
      <c r="K401" s="15">
        <f>'[01_Entry.xlsx]Book'!K401</f>
        <v>0.0</v>
      </c>
      <c r="L401" s="15">
        <f>'[01_Entry.xlsx]Book'!L401</f>
        <v>0.0</v>
      </c>
      <c r="M401" s="15">
        <f>'[01_Entry.xlsx]Book'!M401</f>
        <v>0.0</v>
      </c>
      <c r="P401" s="56">
        <f>IF($A401="","",IFERROR(VALUE(MID($A401,6,2)),""))</f>
        <v/>
      </c>
    </row>
    <row r="402" spans="7:16">
      <c r="G402" s="15">
        <f>'[01_Entry.xlsx]Book'!G402</f>
        <v>0.0</v>
      </c>
      <c r="H402" s="15">
        <f>'[01_Entry.xlsx]Book'!H402</f>
        <v>0.0</v>
      </c>
      <c r="I402" s="15">
        <f>'[01_Entry.xlsx]Book'!I402</f>
        <v>0.0</v>
      </c>
      <c r="K402" s="15">
        <f>'[01_Entry.xlsx]Book'!K402</f>
        <v>0.0</v>
      </c>
      <c r="L402" s="15">
        <f>'[01_Entry.xlsx]Book'!L402</f>
        <v>0.0</v>
      </c>
      <c r="M402" s="15">
        <f>'[01_Entry.xlsx]Book'!M402</f>
        <v>0.0</v>
      </c>
      <c r="P402" s="56">
        <f>IF($A402="","",IFERROR(VALUE(MID($A402,6,2)),""))</f>
        <v/>
      </c>
    </row>
    <row r="403" spans="7:16">
      <c r="G403" s="15">
        <f>'[01_Entry.xlsx]Book'!G403</f>
        <v>0.0</v>
      </c>
      <c r="H403" s="15">
        <f>'[01_Entry.xlsx]Book'!H403</f>
        <v>0.0</v>
      </c>
      <c r="I403" s="15">
        <f>'[01_Entry.xlsx]Book'!I403</f>
        <v>0.0</v>
      </c>
      <c r="K403" s="15">
        <f>'[01_Entry.xlsx]Book'!K403</f>
        <v>0.0</v>
      </c>
      <c r="L403" s="15">
        <f>'[01_Entry.xlsx]Book'!L403</f>
        <v>0.0</v>
      </c>
      <c r="M403" s="15">
        <f>'[01_Entry.xlsx]Book'!M403</f>
        <v>0.0</v>
      </c>
      <c r="P403" s="56">
        <f>IF($A403="","",IFERROR(VALUE(MID($A403,6,2)),""))</f>
        <v/>
      </c>
    </row>
    <row r="404" spans="7:16">
      <c r="G404" s="15">
        <f>'[01_Entry.xlsx]Book'!G404</f>
        <v>0.0</v>
      </c>
      <c r="H404" s="15">
        <f>'[01_Entry.xlsx]Book'!H404</f>
        <v>0.0</v>
      </c>
      <c r="I404" s="15">
        <f>'[01_Entry.xlsx]Book'!I404</f>
        <v>0.0</v>
      </c>
      <c r="K404" s="15">
        <f>'[01_Entry.xlsx]Book'!K404</f>
        <v>0.0</v>
      </c>
      <c r="L404" s="15">
        <f>'[01_Entry.xlsx]Book'!L404</f>
        <v>0.0</v>
      </c>
      <c r="M404" s="15">
        <f>'[01_Entry.xlsx]Book'!M404</f>
        <v>0.0</v>
      </c>
      <c r="P404" s="56">
        <f>IF($A404="","",IFERROR(VALUE(MID($A404,6,2)),""))</f>
        <v/>
      </c>
    </row>
    <row r="405" spans="7:16">
      <c r="G405" s="15">
        <f>'[01_Entry.xlsx]Book'!G405</f>
        <v>0.0</v>
      </c>
      <c r="H405" s="15">
        <f>'[01_Entry.xlsx]Book'!H405</f>
        <v>0.0</v>
      </c>
      <c r="I405" s="15">
        <f>'[01_Entry.xlsx]Book'!I405</f>
        <v>0.0</v>
      </c>
      <c r="K405" s="15">
        <f>'[01_Entry.xlsx]Book'!K405</f>
        <v>0.0</v>
      </c>
      <c r="L405" s="15">
        <f>'[01_Entry.xlsx]Book'!L405</f>
        <v>0.0</v>
      </c>
      <c r="M405" s="15">
        <f>'[01_Entry.xlsx]Book'!M405</f>
        <v>0.0</v>
      </c>
      <c r="P405" s="56">
        <f>IF($A405="","",IFERROR(VALUE(MID($A405,6,2)),""))</f>
        <v/>
      </c>
    </row>
    <row r="406" spans="7:16">
      <c r="G406" s="15">
        <f>'[01_Entry.xlsx]Book'!G406</f>
        <v>0.0</v>
      </c>
      <c r="H406" s="15">
        <f>'[01_Entry.xlsx]Book'!H406</f>
        <v>0.0</v>
      </c>
      <c r="I406" s="15">
        <f>'[01_Entry.xlsx]Book'!I406</f>
        <v>0.0</v>
      </c>
      <c r="K406" s="15">
        <f>'[01_Entry.xlsx]Book'!K406</f>
        <v>0.0</v>
      </c>
      <c r="L406" s="15">
        <f>'[01_Entry.xlsx]Book'!L406</f>
        <v>0.0</v>
      </c>
      <c r="M406" s="15">
        <f>'[01_Entry.xlsx]Book'!M406</f>
        <v>0.0</v>
      </c>
      <c r="P406" s="56">
        <f>IF($A406="","",IFERROR(VALUE(MID($A406,6,2)),""))</f>
        <v/>
      </c>
    </row>
    <row r="407" spans="7:16">
      <c r="G407" s="15">
        <f>'[01_Entry.xlsx]Book'!G407</f>
        <v>0.0</v>
      </c>
      <c r="H407" s="15">
        <f>'[01_Entry.xlsx]Book'!H407</f>
        <v>0.0</v>
      </c>
      <c r="I407" s="15">
        <f>'[01_Entry.xlsx]Book'!I407</f>
        <v>0.0</v>
      </c>
      <c r="K407" s="15">
        <f>'[01_Entry.xlsx]Book'!K407</f>
        <v>0.0</v>
      </c>
      <c r="L407" s="15">
        <f>'[01_Entry.xlsx]Book'!L407</f>
        <v>0.0</v>
      </c>
      <c r="M407" s="15">
        <f>'[01_Entry.xlsx]Book'!M407</f>
        <v>0.0</v>
      </c>
      <c r="P407" s="56">
        <f>IF($A407="","",IFERROR(VALUE(MID($A407,6,2)),""))</f>
        <v/>
      </c>
    </row>
    <row r="408" spans="7:16">
      <c r="G408" s="15">
        <f>'[01_Entry.xlsx]Book'!G408</f>
        <v>0.0</v>
      </c>
      <c r="H408" s="15">
        <f>'[01_Entry.xlsx]Book'!H408</f>
        <v>0.0</v>
      </c>
      <c r="I408" s="15">
        <f>'[01_Entry.xlsx]Book'!I408</f>
        <v>0.0</v>
      </c>
      <c r="K408" s="15">
        <f>'[01_Entry.xlsx]Book'!K408</f>
        <v>0.0</v>
      </c>
      <c r="L408" s="15">
        <f>'[01_Entry.xlsx]Book'!L408</f>
        <v>0.0</v>
      </c>
      <c r="M408" s="15">
        <f>'[01_Entry.xlsx]Book'!M408</f>
        <v>0.0</v>
      </c>
      <c r="P408" s="56">
        <f>IF($A408="","",IFERROR(VALUE(MID($A408,6,2)),""))</f>
        <v/>
      </c>
    </row>
    <row r="409" spans="7:16">
      <c r="G409" s="15">
        <f>'[01_Entry.xlsx]Book'!G409</f>
        <v>0.0</v>
      </c>
      <c r="H409" s="15">
        <f>'[01_Entry.xlsx]Book'!H409</f>
        <v>0.0</v>
      </c>
      <c r="I409" s="15">
        <f>'[01_Entry.xlsx]Book'!I409</f>
        <v>0.0</v>
      </c>
      <c r="K409" s="15">
        <f>'[01_Entry.xlsx]Book'!K409</f>
        <v>0.0</v>
      </c>
      <c r="L409" s="15">
        <f>'[01_Entry.xlsx]Book'!L409</f>
        <v>0.0</v>
      </c>
      <c r="M409" s="15">
        <f>'[01_Entry.xlsx]Book'!M409</f>
        <v>0.0</v>
      </c>
      <c r="P409" s="56">
        <f>IF($A409="","",IFERROR(VALUE(MID($A409,6,2)),""))</f>
        <v/>
      </c>
    </row>
    <row r="410" spans="7:16">
      <c r="G410" s="15">
        <f>'[01_Entry.xlsx]Book'!G410</f>
        <v>0.0</v>
      </c>
      <c r="H410" s="15">
        <f>'[01_Entry.xlsx]Book'!H410</f>
        <v>0.0</v>
      </c>
      <c r="I410" s="15">
        <f>'[01_Entry.xlsx]Book'!I410</f>
        <v>0.0</v>
      </c>
      <c r="K410" s="15">
        <f>'[01_Entry.xlsx]Book'!K410</f>
        <v>0.0</v>
      </c>
      <c r="L410" s="15">
        <f>'[01_Entry.xlsx]Book'!L410</f>
        <v>0.0</v>
      </c>
      <c r="M410" s="15">
        <f>'[01_Entry.xlsx]Book'!M410</f>
        <v>0.0</v>
      </c>
      <c r="P410" s="56">
        <f>IF($A410="","",IFERROR(VALUE(MID($A410,6,2)),""))</f>
        <v/>
      </c>
    </row>
    <row r="411" spans="7:16">
      <c r="G411" s="15">
        <f>'[01_Entry.xlsx]Book'!G411</f>
        <v>0.0</v>
      </c>
      <c r="H411" s="15">
        <f>'[01_Entry.xlsx]Book'!H411</f>
        <v>0.0</v>
      </c>
      <c r="I411" s="15">
        <f>'[01_Entry.xlsx]Book'!I411</f>
        <v>0.0</v>
      </c>
      <c r="K411" s="15">
        <f>'[01_Entry.xlsx]Book'!K411</f>
        <v>0.0</v>
      </c>
      <c r="L411" s="15">
        <f>'[01_Entry.xlsx]Book'!L411</f>
        <v>0.0</v>
      </c>
      <c r="M411" s="15">
        <f>'[01_Entry.xlsx]Book'!M411</f>
        <v>0.0</v>
      </c>
      <c r="P411" s="56">
        <f>IF($A411="","",IFERROR(VALUE(MID($A411,6,2)),""))</f>
        <v/>
      </c>
    </row>
    <row r="412" spans="7:16">
      <c r="G412" s="15">
        <f>'[01_Entry.xlsx]Book'!G412</f>
        <v>0.0</v>
      </c>
      <c r="H412" s="15">
        <f>'[01_Entry.xlsx]Book'!H412</f>
        <v>0.0</v>
      </c>
      <c r="I412" s="15">
        <f>'[01_Entry.xlsx]Book'!I412</f>
        <v>0.0</v>
      </c>
      <c r="K412" s="15">
        <f>'[01_Entry.xlsx]Book'!K412</f>
        <v>0.0</v>
      </c>
      <c r="L412" s="15">
        <f>'[01_Entry.xlsx]Book'!L412</f>
        <v>0.0</v>
      </c>
      <c r="M412" s="15">
        <f>'[01_Entry.xlsx]Book'!M412</f>
        <v>0.0</v>
      </c>
      <c r="P412" s="56">
        <f>IF($A412="","",IFERROR(VALUE(MID($A412,6,2)),""))</f>
        <v/>
      </c>
    </row>
    <row r="413" spans="7:16">
      <c r="G413" s="15">
        <f>'[01_Entry.xlsx]Book'!G413</f>
        <v>0.0</v>
      </c>
      <c r="H413" s="15">
        <f>'[01_Entry.xlsx]Book'!H413</f>
        <v>0.0</v>
      </c>
      <c r="I413" s="15">
        <f>'[01_Entry.xlsx]Book'!I413</f>
        <v>0.0</v>
      </c>
      <c r="K413" s="15">
        <f>'[01_Entry.xlsx]Book'!K413</f>
        <v>0.0</v>
      </c>
      <c r="L413" s="15">
        <f>'[01_Entry.xlsx]Book'!L413</f>
        <v>0.0</v>
      </c>
      <c r="M413" s="15">
        <f>'[01_Entry.xlsx]Book'!M413</f>
        <v>0.0</v>
      </c>
      <c r="P413" s="56">
        <f>IF($A413="","",IFERROR(VALUE(MID($A413,6,2)),""))</f>
        <v/>
      </c>
    </row>
    <row r="414" spans="7:16">
      <c r="G414" s="15">
        <f>'[01_Entry.xlsx]Book'!G414</f>
        <v>0.0</v>
      </c>
      <c r="H414" s="15">
        <f>'[01_Entry.xlsx]Book'!H414</f>
        <v>0.0</v>
      </c>
      <c r="I414" s="15">
        <f>'[01_Entry.xlsx]Book'!I414</f>
        <v>0.0</v>
      </c>
      <c r="K414" s="15">
        <f>'[01_Entry.xlsx]Book'!K414</f>
        <v>0.0</v>
      </c>
      <c r="L414" s="15">
        <f>'[01_Entry.xlsx]Book'!L414</f>
        <v>0.0</v>
      </c>
      <c r="M414" s="15">
        <f>'[01_Entry.xlsx]Book'!M414</f>
        <v>0.0</v>
      </c>
      <c r="P414" s="56">
        <f>IF($A414="","",IFERROR(VALUE(MID($A414,6,2)),""))</f>
        <v/>
      </c>
    </row>
    <row r="415" spans="7:16">
      <c r="G415" s="15">
        <f>'[01_Entry.xlsx]Book'!G415</f>
        <v>0.0</v>
      </c>
      <c r="H415" s="15">
        <f>'[01_Entry.xlsx]Book'!H415</f>
        <v>0.0</v>
      </c>
      <c r="I415" s="15">
        <f>'[01_Entry.xlsx]Book'!I415</f>
        <v>0.0</v>
      </c>
      <c r="K415" s="15">
        <f>'[01_Entry.xlsx]Book'!K415</f>
        <v>0.0</v>
      </c>
      <c r="L415" s="15">
        <f>'[01_Entry.xlsx]Book'!L415</f>
        <v>0.0</v>
      </c>
      <c r="M415" s="15">
        <f>'[01_Entry.xlsx]Book'!M415</f>
        <v>0.0</v>
      </c>
      <c r="P415" s="56">
        <f>IF($A415="","",IFERROR(VALUE(MID($A415,6,2)),""))</f>
        <v/>
      </c>
    </row>
    <row r="416" spans="7:16">
      <c r="G416" s="15">
        <f>'[01_Entry.xlsx]Book'!G416</f>
        <v>0.0</v>
      </c>
      <c r="H416" s="15">
        <f>'[01_Entry.xlsx]Book'!H416</f>
        <v>0.0</v>
      </c>
      <c r="I416" s="15">
        <f>'[01_Entry.xlsx]Book'!I416</f>
        <v>0.0</v>
      </c>
      <c r="K416" s="15">
        <f>'[01_Entry.xlsx]Book'!K416</f>
        <v>0.0</v>
      </c>
      <c r="L416" s="15">
        <f>'[01_Entry.xlsx]Book'!L416</f>
        <v>0.0</v>
      </c>
      <c r="M416" s="15">
        <f>'[01_Entry.xlsx]Book'!M416</f>
        <v>0.0</v>
      </c>
      <c r="P416" s="56">
        <f>IF($A416="","",IFERROR(VALUE(MID($A416,6,2)),""))</f>
        <v/>
      </c>
    </row>
    <row r="417" spans="7:16">
      <c r="G417" s="15">
        <f>'[01_Entry.xlsx]Book'!G417</f>
        <v>0.0</v>
      </c>
      <c r="H417" s="15">
        <f>'[01_Entry.xlsx]Book'!H417</f>
        <v>0.0</v>
      </c>
      <c r="I417" s="15">
        <f>'[01_Entry.xlsx]Book'!I417</f>
        <v>0.0</v>
      </c>
      <c r="K417" s="15">
        <f>'[01_Entry.xlsx]Book'!K417</f>
        <v>0.0</v>
      </c>
      <c r="L417" s="15">
        <f>'[01_Entry.xlsx]Book'!L417</f>
        <v>0.0</v>
      </c>
      <c r="M417" s="15">
        <f>'[01_Entry.xlsx]Book'!M417</f>
        <v>0.0</v>
      </c>
      <c r="P417" s="56">
        <f>IF($A417="","",IFERROR(VALUE(MID($A417,6,2)),""))</f>
        <v/>
      </c>
    </row>
    <row r="418" spans="7:16">
      <c r="G418" s="15">
        <f>'[01_Entry.xlsx]Book'!G418</f>
        <v>0.0</v>
      </c>
      <c r="H418" s="15">
        <f>'[01_Entry.xlsx]Book'!H418</f>
        <v>0.0</v>
      </c>
      <c r="I418" s="15">
        <f>'[01_Entry.xlsx]Book'!I418</f>
        <v>0.0</v>
      </c>
      <c r="K418" s="15">
        <f>'[01_Entry.xlsx]Book'!K418</f>
        <v>0.0</v>
      </c>
      <c r="L418" s="15">
        <f>'[01_Entry.xlsx]Book'!L418</f>
        <v>0.0</v>
      </c>
      <c r="M418" s="15">
        <f>'[01_Entry.xlsx]Book'!M418</f>
        <v>0.0</v>
      </c>
      <c r="P418" s="56">
        <f>IF($A418="","",IFERROR(VALUE(MID($A418,6,2)),""))</f>
        <v/>
      </c>
    </row>
    <row r="419" spans="7:16">
      <c r="G419" s="15">
        <f>'[01_Entry.xlsx]Book'!G419</f>
        <v>0.0</v>
      </c>
      <c r="H419" s="15">
        <f>'[01_Entry.xlsx]Book'!H419</f>
        <v>0.0</v>
      </c>
      <c r="I419" s="15">
        <f>'[01_Entry.xlsx]Book'!I419</f>
        <v>0.0</v>
      </c>
      <c r="K419" s="15">
        <f>'[01_Entry.xlsx]Book'!K419</f>
        <v>0.0</v>
      </c>
      <c r="L419" s="15">
        <f>'[01_Entry.xlsx]Book'!L419</f>
        <v>0.0</v>
      </c>
      <c r="M419" s="15">
        <f>'[01_Entry.xlsx]Book'!M419</f>
        <v>0.0</v>
      </c>
      <c r="P419" s="56">
        <f>IF($A419="","",IFERROR(VALUE(MID($A419,6,2)),""))</f>
        <v/>
      </c>
    </row>
    <row r="420" spans="7:16">
      <c r="G420" s="15">
        <f>'[01_Entry.xlsx]Book'!G420</f>
        <v>0.0</v>
      </c>
      <c r="H420" s="15">
        <f>'[01_Entry.xlsx]Book'!H420</f>
        <v>0.0</v>
      </c>
      <c r="I420" s="15">
        <f>'[01_Entry.xlsx]Book'!I420</f>
        <v>0.0</v>
      </c>
      <c r="K420" s="15">
        <f>'[01_Entry.xlsx]Book'!K420</f>
        <v>0.0</v>
      </c>
      <c r="L420" s="15">
        <f>'[01_Entry.xlsx]Book'!L420</f>
        <v>0.0</v>
      </c>
      <c r="M420" s="15">
        <f>'[01_Entry.xlsx]Book'!M420</f>
        <v>0.0</v>
      </c>
      <c r="P420" s="56">
        <f>IF($A420="","",IFERROR(VALUE(MID($A420,6,2)),""))</f>
        <v/>
      </c>
    </row>
    <row r="421" spans="7:16">
      <c r="G421" s="15">
        <f>'[01_Entry.xlsx]Book'!G421</f>
        <v>0.0</v>
      </c>
      <c r="H421" s="15">
        <f>'[01_Entry.xlsx]Book'!H421</f>
        <v>0.0</v>
      </c>
      <c r="I421" s="15">
        <f>'[01_Entry.xlsx]Book'!I421</f>
        <v>0.0</v>
      </c>
      <c r="K421" s="15">
        <f>'[01_Entry.xlsx]Book'!K421</f>
        <v>0.0</v>
      </c>
      <c r="L421" s="15">
        <f>'[01_Entry.xlsx]Book'!L421</f>
        <v>0.0</v>
      </c>
      <c r="M421" s="15">
        <f>'[01_Entry.xlsx]Book'!M421</f>
        <v>0.0</v>
      </c>
      <c r="P421" s="56">
        <f>IF($A421="","",IFERROR(VALUE(MID($A421,6,2)),""))</f>
        <v/>
      </c>
    </row>
    <row r="422" spans="7:16">
      <c r="G422" s="15">
        <f>'[01_Entry.xlsx]Book'!G422</f>
        <v>0.0</v>
      </c>
      <c r="H422" s="15">
        <f>'[01_Entry.xlsx]Book'!H422</f>
        <v>0.0</v>
      </c>
      <c r="I422" s="15">
        <f>'[01_Entry.xlsx]Book'!I422</f>
        <v>0.0</v>
      </c>
      <c r="K422" s="15">
        <f>'[01_Entry.xlsx]Book'!K422</f>
        <v>0.0</v>
      </c>
      <c r="L422" s="15">
        <f>'[01_Entry.xlsx]Book'!L422</f>
        <v>0.0</v>
      </c>
      <c r="M422" s="15">
        <f>'[01_Entry.xlsx]Book'!M422</f>
        <v>0.0</v>
      </c>
      <c r="P422" s="56">
        <f>IF($A422="","",IFERROR(VALUE(MID($A422,6,2)),""))</f>
        <v/>
      </c>
    </row>
    <row r="423" spans="7:16">
      <c r="G423" s="15">
        <f>'[01_Entry.xlsx]Book'!G423</f>
        <v>0.0</v>
      </c>
      <c r="H423" s="15">
        <f>'[01_Entry.xlsx]Book'!H423</f>
        <v>0.0</v>
      </c>
      <c r="I423" s="15">
        <f>'[01_Entry.xlsx]Book'!I423</f>
        <v>0.0</v>
      </c>
      <c r="K423" s="15">
        <f>'[01_Entry.xlsx]Book'!K423</f>
        <v>0.0</v>
      </c>
      <c r="L423" s="15">
        <f>'[01_Entry.xlsx]Book'!L423</f>
        <v>0.0</v>
      </c>
      <c r="M423" s="15">
        <f>'[01_Entry.xlsx]Book'!M423</f>
        <v>0.0</v>
      </c>
      <c r="P423" s="56">
        <f>IF($A423="","",IFERROR(VALUE(MID($A423,6,2)),""))</f>
        <v/>
      </c>
    </row>
    <row r="424" spans="7:16">
      <c r="G424" s="15">
        <f>'[01_Entry.xlsx]Book'!G424</f>
        <v>0.0</v>
      </c>
      <c r="H424" s="15">
        <f>'[01_Entry.xlsx]Book'!H424</f>
        <v>0.0</v>
      </c>
      <c r="I424" s="15">
        <f>'[01_Entry.xlsx]Book'!I424</f>
        <v>0.0</v>
      </c>
      <c r="K424" s="15">
        <f>'[01_Entry.xlsx]Book'!K424</f>
        <v>0.0</v>
      </c>
      <c r="L424" s="15">
        <f>'[01_Entry.xlsx]Book'!L424</f>
        <v>0.0</v>
      </c>
      <c r="M424" s="15">
        <f>'[01_Entry.xlsx]Book'!M424</f>
        <v>0.0</v>
      </c>
      <c r="P424" s="56">
        <f>IF($A424="","",IFERROR(VALUE(MID($A424,6,2)),""))</f>
        <v/>
      </c>
    </row>
    <row r="425" spans="7:16">
      <c r="G425" s="15">
        <f>'[01_Entry.xlsx]Book'!G425</f>
        <v>0.0</v>
      </c>
      <c r="H425" s="15">
        <f>'[01_Entry.xlsx]Book'!H425</f>
        <v>0.0</v>
      </c>
      <c r="I425" s="15">
        <f>'[01_Entry.xlsx]Book'!I425</f>
        <v>0.0</v>
      </c>
      <c r="K425" s="15">
        <f>'[01_Entry.xlsx]Book'!K425</f>
        <v>0.0</v>
      </c>
      <c r="L425" s="15">
        <f>'[01_Entry.xlsx]Book'!L425</f>
        <v>0.0</v>
      </c>
      <c r="M425" s="15">
        <f>'[01_Entry.xlsx]Book'!M425</f>
        <v>0.0</v>
      </c>
      <c r="P425" s="56">
        <f>IF($A425="","",IFERROR(VALUE(MID($A425,6,2)),""))</f>
        <v/>
      </c>
    </row>
    <row r="426" spans="7:16">
      <c r="G426" s="15">
        <f>'[01_Entry.xlsx]Book'!G426</f>
        <v>0.0</v>
      </c>
      <c r="H426" s="15">
        <f>'[01_Entry.xlsx]Book'!H426</f>
        <v>0.0</v>
      </c>
      <c r="I426" s="15">
        <f>'[01_Entry.xlsx]Book'!I426</f>
        <v>0.0</v>
      </c>
      <c r="K426" s="15">
        <f>'[01_Entry.xlsx]Book'!K426</f>
        <v>0.0</v>
      </c>
      <c r="L426" s="15">
        <f>'[01_Entry.xlsx]Book'!L426</f>
        <v>0.0</v>
      </c>
      <c r="M426" s="15">
        <f>'[01_Entry.xlsx]Book'!M426</f>
        <v>0.0</v>
      </c>
      <c r="P426" s="56">
        <f>IF($A426="","",IFERROR(VALUE(MID($A426,6,2)),""))</f>
        <v/>
      </c>
    </row>
    <row r="427" spans="7:16">
      <c r="G427" s="15">
        <f>'[01_Entry.xlsx]Book'!G427</f>
        <v>0.0</v>
      </c>
      <c r="H427" s="15">
        <f>'[01_Entry.xlsx]Book'!H427</f>
        <v>0.0</v>
      </c>
      <c r="I427" s="15">
        <f>'[01_Entry.xlsx]Book'!I427</f>
        <v>0.0</v>
      </c>
      <c r="K427" s="15">
        <f>'[01_Entry.xlsx]Book'!K427</f>
        <v>0.0</v>
      </c>
      <c r="L427" s="15">
        <f>'[01_Entry.xlsx]Book'!L427</f>
        <v>0.0</v>
      </c>
      <c r="M427" s="15">
        <f>'[01_Entry.xlsx]Book'!M427</f>
        <v>0.0</v>
      </c>
      <c r="P427" s="56">
        <f>IF($A427="","",IFERROR(VALUE(MID($A427,6,2)),""))</f>
        <v/>
      </c>
    </row>
    <row r="428" spans="7:16">
      <c r="G428" s="15">
        <f>'[01_Entry.xlsx]Book'!G428</f>
        <v>0.0</v>
      </c>
      <c r="H428" s="15">
        <f>'[01_Entry.xlsx]Book'!H428</f>
        <v>0.0</v>
      </c>
      <c r="I428" s="15">
        <f>'[01_Entry.xlsx]Book'!I428</f>
        <v>0.0</v>
      </c>
      <c r="K428" s="15">
        <f>'[01_Entry.xlsx]Book'!K428</f>
        <v>0.0</v>
      </c>
      <c r="L428" s="15">
        <f>'[01_Entry.xlsx]Book'!L428</f>
        <v>0.0</v>
      </c>
      <c r="M428" s="15">
        <f>'[01_Entry.xlsx]Book'!M428</f>
        <v>0.0</v>
      </c>
      <c r="P428" s="56">
        <f>IF($A428="","",IFERROR(VALUE(MID($A428,6,2)),""))</f>
        <v/>
      </c>
    </row>
    <row r="429" spans="7:16">
      <c r="G429" s="15">
        <f>'[01_Entry.xlsx]Book'!G429</f>
        <v>0.0</v>
      </c>
      <c r="H429" s="15">
        <f>'[01_Entry.xlsx]Book'!H429</f>
        <v>0.0</v>
      </c>
      <c r="I429" s="15">
        <f>'[01_Entry.xlsx]Book'!I429</f>
        <v>0.0</v>
      </c>
      <c r="K429" s="15">
        <f>'[01_Entry.xlsx]Book'!K429</f>
        <v>0.0</v>
      </c>
      <c r="L429" s="15">
        <f>'[01_Entry.xlsx]Book'!L429</f>
        <v>0.0</v>
      </c>
      <c r="M429" s="15">
        <f>'[01_Entry.xlsx]Book'!M429</f>
        <v>0.0</v>
      </c>
      <c r="P429" s="56">
        <f>IF($A429="","",IFERROR(VALUE(MID($A429,6,2)),""))</f>
        <v/>
      </c>
    </row>
    <row r="430" spans="7:16">
      <c r="G430" s="15">
        <f>'[01_Entry.xlsx]Book'!G430</f>
        <v>0.0</v>
      </c>
      <c r="H430" s="15">
        <f>'[01_Entry.xlsx]Book'!H430</f>
        <v>0.0</v>
      </c>
      <c r="I430" s="15">
        <f>'[01_Entry.xlsx]Book'!I430</f>
        <v>0.0</v>
      </c>
      <c r="K430" s="15">
        <f>'[01_Entry.xlsx]Book'!K430</f>
        <v>0.0</v>
      </c>
      <c r="L430" s="15">
        <f>'[01_Entry.xlsx]Book'!L430</f>
        <v>0.0</v>
      </c>
      <c r="M430" s="15">
        <f>'[01_Entry.xlsx]Book'!M430</f>
        <v>0.0</v>
      </c>
      <c r="P430" s="56">
        <f>IF($A430="","",IFERROR(VALUE(MID($A430,6,2)),""))</f>
        <v/>
      </c>
    </row>
    <row r="431" spans="7:16">
      <c r="G431" s="15">
        <f>'[01_Entry.xlsx]Book'!G431</f>
        <v>0.0</v>
      </c>
      <c r="H431" s="15">
        <f>'[01_Entry.xlsx]Book'!H431</f>
        <v>0.0</v>
      </c>
      <c r="I431" s="15">
        <f>'[01_Entry.xlsx]Book'!I431</f>
        <v>0.0</v>
      </c>
      <c r="K431" s="15">
        <f>'[01_Entry.xlsx]Book'!K431</f>
        <v>0.0</v>
      </c>
      <c r="L431" s="15">
        <f>'[01_Entry.xlsx]Book'!L431</f>
        <v>0.0</v>
      </c>
      <c r="M431" s="15">
        <f>'[01_Entry.xlsx]Book'!M431</f>
        <v>0.0</v>
      </c>
      <c r="P431" s="56">
        <f>IF($A431="","",IFERROR(VALUE(MID($A431,6,2)),""))</f>
        <v/>
      </c>
    </row>
    <row r="432" spans="7:16">
      <c r="G432" s="15">
        <f>'[01_Entry.xlsx]Book'!G432</f>
        <v>0.0</v>
      </c>
      <c r="H432" s="15">
        <f>'[01_Entry.xlsx]Book'!H432</f>
        <v>0.0</v>
      </c>
      <c r="I432" s="15">
        <f>'[01_Entry.xlsx]Book'!I432</f>
        <v>0.0</v>
      </c>
      <c r="K432" s="15">
        <f>'[01_Entry.xlsx]Book'!K432</f>
        <v>0.0</v>
      </c>
      <c r="L432" s="15">
        <f>'[01_Entry.xlsx]Book'!L432</f>
        <v>0.0</v>
      </c>
      <c r="M432" s="15">
        <f>'[01_Entry.xlsx]Book'!M432</f>
        <v>0.0</v>
      </c>
      <c r="P432" s="56">
        <f>IF($A432="","",IFERROR(VALUE(MID($A432,6,2)),""))</f>
        <v/>
      </c>
    </row>
    <row r="433" spans="7:16">
      <c r="G433" s="15">
        <f>'[01_Entry.xlsx]Book'!G433</f>
        <v>0.0</v>
      </c>
      <c r="H433" s="15">
        <f>'[01_Entry.xlsx]Book'!H433</f>
        <v>0.0</v>
      </c>
      <c r="I433" s="15">
        <f>'[01_Entry.xlsx]Book'!I433</f>
        <v>0.0</v>
      </c>
      <c r="K433" s="15">
        <f>'[01_Entry.xlsx]Book'!K433</f>
        <v>0.0</v>
      </c>
      <c r="L433" s="15">
        <f>'[01_Entry.xlsx]Book'!L433</f>
        <v>0.0</v>
      </c>
      <c r="M433" s="15">
        <f>'[01_Entry.xlsx]Book'!M433</f>
        <v>0.0</v>
      </c>
      <c r="P433" s="56">
        <f>IF($A433="","",IFERROR(VALUE(MID($A433,6,2)),""))</f>
        <v/>
      </c>
    </row>
    <row r="434" spans="7:16">
      <c r="G434" s="15">
        <f>'[01_Entry.xlsx]Book'!G434</f>
        <v>0.0</v>
      </c>
      <c r="H434" s="15">
        <f>'[01_Entry.xlsx]Book'!H434</f>
        <v>0.0</v>
      </c>
      <c r="I434" s="15">
        <f>'[01_Entry.xlsx]Book'!I434</f>
        <v>0.0</v>
      </c>
      <c r="K434" s="15">
        <f>'[01_Entry.xlsx]Book'!K434</f>
        <v>0.0</v>
      </c>
      <c r="L434" s="15">
        <f>'[01_Entry.xlsx]Book'!L434</f>
        <v>0.0</v>
      </c>
      <c r="M434" s="15">
        <f>'[01_Entry.xlsx]Book'!M434</f>
        <v>0.0</v>
      </c>
      <c r="P434" s="56">
        <f>IF($A434="","",IFERROR(VALUE(MID($A434,6,2)),""))</f>
        <v/>
      </c>
    </row>
    <row r="435" spans="7:16">
      <c r="G435" s="15">
        <f>'[01_Entry.xlsx]Book'!G435</f>
        <v>0.0</v>
      </c>
      <c r="H435" s="15">
        <f>'[01_Entry.xlsx]Book'!H435</f>
        <v>0.0</v>
      </c>
      <c r="I435" s="15">
        <f>'[01_Entry.xlsx]Book'!I435</f>
        <v>0.0</v>
      </c>
      <c r="K435" s="15">
        <f>'[01_Entry.xlsx]Book'!K435</f>
        <v>0.0</v>
      </c>
      <c r="L435" s="15">
        <f>'[01_Entry.xlsx]Book'!L435</f>
        <v>0.0</v>
      </c>
      <c r="M435" s="15">
        <f>'[01_Entry.xlsx]Book'!M435</f>
        <v>0.0</v>
      </c>
      <c r="P435" s="56">
        <f>IF($A435="","",IFERROR(VALUE(MID($A435,6,2)),""))</f>
        <v/>
      </c>
    </row>
    <row r="436" spans="7:16">
      <c r="G436" s="15">
        <f>'[01_Entry.xlsx]Book'!G436</f>
        <v>0.0</v>
      </c>
      <c r="H436" s="15">
        <f>'[01_Entry.xlsx]Book'!H436</f>
        <v>0.0</v>
      </c>
      <c r="I436" s="15">
        <f>'[01_Entry.xlsx]Book'!I436</f>
        <v>0.0</v>
      </c>
      <c r="K436" s="15">
        <f>'[01_Entry.xlsx]Book'!K436</f>
        <v>0.0</v>
      </c>
      <c r="L436" s="15">
        <f>'[01_Entry.xlsx]Book'!L436</f>
        <v>0.0</v>
      </c>
      <c r="M436" s="15">
        <f>'[01_Entry.xlsx]Book'!M436</f>
        <v>0.0</v>
      </c>
      <c r="P436" s="56">
        <f>IF($A436="","",IFERROR(VALUE(MID($A436,6,2)),""))</f>
        <v/>
      </c>
    </row>
    <row r="437" spans="7:16">
      <c r="G437" s="15">
        <f>'[01_Entry.xlsx]Book'!G437</f>
        <v>0.0</v>
      </c>
      <c r="H437" s="15">
        <f>'[01_Entry.xlsx]Book'!H437</f>
        <v>0.0</v>
      </c>
      <c r="I437" s="15">
        <f>'[01_Entry.xlsx]Book'!I437</f>
        <v>0.0</v>
      </c>
      <c r="K437" s="15">
        <f>'[01_Entry.xlsx]Book'!K437</f>
        <v>0.0</v>
      </c>
      <c r="L437" s="15">
        <f>'[01_Entry.xlsx]Book'!L437</f>
        <v>0.0</v>
      </c>
      <c r="M437" s="15">
        <f>'[01_Entry.xlsx]Book'!M437</f>
        <v>0.0</v>
      </c>
      <c r="P437" s="56">
        <f>IF($A437="","",IFERROR(VALUE(MID($A437,6,2)),""))</f>
        <v/>
      </c>
    </row>
    <row r="438" spans="7:16">
      <c r="G438" s="15">
        <f>'[01_Entry.xlsx]Book'!G438</f>
        <v>0.0</v>
      </c>
      <c r="H438" s="15">
        <f>'[01_Entry.xlsx]Book'!H438</f>
        <v>0.0</v>
      </c>
      <c r="I438" s="15">
        <f>'[01_Entry.xlsx]Book'!I438</f>
        <v>0.0</v>
      </c>
      <c r="K438" s="15">
        <f>'[01_Entry.xlsx]Book'!K438</f>
        <v>0.0</v>
      </c>
      <c r="L438" s="15">
        <f>'[01_Entry.xlsx]Book'!L438</f>
        <v>0.0</v>
      </c>
      <c r="M438" s="15">
        <f>'[01_Entry.xlsx]Book'!M438</f>
        <v>0.0</v>
      </c>
      <c r="P438" s="56">
        <f>IF($A438="","",IFERROR(VALUE(MID($A438,6,2)),""))</f>
        <v/>
      </c>
    </row>
    <row r="439" spans="7:16">
      <c r="G439" s="15">
        <f>'[01_Entry.xlsx]Book'!G439</f>
        <v>0.0</v>
      </c>
      <c r="H439" s="15">
        <f>'[01_Entry.xlsx]Book'!H439</f>
        <v>0.0</v>
      </c>
      <c r="I439" s="15">
        <f>'[01_Entry.xlsx]Book'!I439</f>
        <v>0.0</v>
      </c>
      <c r="K439" s="15">
        <f>'[01_Entry.xlsx]Book'!K439</f>
        <v>0.0</v>
      </c>
      <c r="L439" s="15">
        <f>'[01_Entry.xlsx]Book'!L439</f>
        <v>0.0</v>
      </c>
      <c r="M439" s="15">
        <f>'[01_Entry.xlsx]Book'!M439</f>
        <v>0.0</v>
      </c>
      <c r="P439" s="56">
        <f>IF($A439="","",IFERROR(VALUE(MID($A439,6,2)),""))</f>
        <v/>
      </c>
    </row>
    <row r="440" spans="7:16">
      <c r="G440" s="15">
        <f>'[01_Entry.xlsx]Book'!G440</f>
        <v>0.0</v>
      </c>
      <c r="H440" s="15">
        <f>'[01_Entry.xlsx]Book'!H440</f>
        <v>0.0</v>
      </c>
      <c r="I440" s="15">
        <f>'[01_Entry.xlsx]Book'!I440</f>
        <v>0.0</v>
      </c>
      <c r="K440" s="15">
        <f>'[01_Entry.xlsx]Book'!K440</f>
        <v>0.0</v>
      </c>
      <c r="L440" s="15">
        <f>'[01_Entry.xlsx]Book'!L440</f>
        <v>0.0</v>
      </c>
      <c r="M440" s="15">
        <f>'[01_Entry.xlsx]Book'!M440</f>
        <v>0.0</v>
      </c>
      <c r="P440" s="56">
        <f>IF($A440="","",IFERROR(VALUE(MID($A440,6,2)),""))</f>
        <v/>
      </c>
    </row>
    <row r="441" spans="7:16">
      <c r="G441" s="15">
        <f>'[01_Entry.xlsx]Book'!G441</f>
        <v>0.0</v>
      </c>
      <c r="H441" s="15">
        <f>'[01_Entry.xlsx]Book'!H441</f>
        <v>0.0</v>
      </c>
      <c r="I441" s="15">
        <f>'[01_Entry.xlsx]Book'!I441</f>
        <v>0.0</v>
      </c>
      <c r="K441" s="15">
        <f>'[01_Entry.xlsx]Book'!K441</f>
        <v>0.0</v>
      </c>
      <c r="L441" s="15">
        <f>'[01_Entry.xlsx]Book'!L441</f>
        <v>0.0</v>
      </c>
      <c r="M441" s="15">
        <f>'[01_Entry.xlsx]Book'!M441</f>
        <v>0.0</v>
      </c>
      <c r="P441" s="56">
        <f>IF($A441="","",IFERROR(VALUE(MID($A441,6,2)),""))</f>
        <v/>
      </c>
    </row>
    <row r="442" spans="7:16">
      <c r="G442" s="15">
        <f>'[01_Entry.xlsx]Book'!G442</f>
        <v>0.0</v>
      </c>
      <c r="H442" s="15">
        <f>'[01_Entry.xlsx]Book'!H442</f>
        <v>0.0</v>
      </c>
      <c r="I442" s="15">
        <f>'[01_Entry.xlsx]Book'!I442</f>
        <v>0.0</v>
      </c>
      <c r="K442" s="15">
        <f>'[01_Entry.xlsx]Book'!K442</f>
        <v>0.0</v>
      </c>
      <c r="L442" s="15">
        <f>'[01_Entry.xlsx]Book'!L442</f>
        <v>0.0</v>
      </c>
      <c r="M442" s="15">
        <f>'[01_Entry.xlsx]Book'!M442</f>
        <v>0.0</v>
      </c>
      <c r="P442" s="56">
        <f>IF($A442="","",IFERROR(VALUE(MID($A442,6,2)),""))</f>
        <v/>
      </c>
    </row>
    <row r="443" spans="7:16">
      <c r="G443" s="15">
        <f>'[01_Entry.xlsx]Book'!G443</f>
        <v>0.0</v>
      </c>
      <c r="H443" s="15">
        <f>'[01_Entry.xlsx]Book'!H443</f>
        <v>0.0</v>
      </c>
      <c r="I443" s="15">
        <f>'[01_Entry.xlsx]Book'!I443</f>
        <v>0.0</v>
      </c>
      <c r="K443" s="15">
        <f>'[01_Entry.xlsx]Book'!K443</f>
        <v>0.0</v>
      </c>
      <c r="L443" s="15">
        <f>'[01_Entry.xlsx]Book'!L443</f>
        <v>0.0</v>
      </c>
      <c r="M443" s="15">
        <f>'[01_Entry.xlsx]Book'!M443</f>
        <v>0.0</v>
      </c>
      <c r="P443" s="56">
        <f>IF($A443="","",IFERROR(VALUE(MID($A443,6,2)),""))</f>
        <v/>
      </c>
    </row>
    <row r="444" spans="7:16">
      <c r="G444" s="15">
        <f>'[01_Entry.xlsx]Book'!G444</f>
        <v>0.0</v>
      </c>
      <c r="H444" s="15">
        <f>'[01_Entry.xlsx]Book'!H444</f>
        <v>0.0</v>
      </c>
      <c r="I444" s="15">
        <f>'[01_Entry.xlsx]Book'!I444</f>
        <v>0.0</v>
      </c>
      <c r="K444" s="15">
        <f>'[01_Entry.xlsx]Book'!K444</f>
        <v>0.0</v>
      </c>
      <c r="L444" s="15">
        <f>'[01_Entry.xlsx]Book'!L444</f>
        <v>0.0</v>
      </c>
      <c r="M444" s="15">
        <f>'[01_Entry.xlsx]Book'!M444</f>
        <v>0.0</v>
      </c>
      <c r="P444" s="56">
        <f>IF($A444="","",IFERROR(VALUE(MID($A444,6,2)),""))</f>
        <v/>
      </c>
    </row>
    <row r="445" spans="7:16">
      <c r="G445" s="15">
        <f>'[01_Entry.xlsx]Book'!G445</f>
        <v>0.0</v>
      </c>
      <c r="H445" s="15">
        <f>'[01_Entry.xlsx]Book'!H445</f>
        <v>0.0</v>
      </c>
      <c r="I445" s="15">
        <f>'[01_Entry.xlsx]Book'!I445</f>
        <v>0.0</v>
      </c>
      <c r="K445" s="15">
        <f>'[01_Entry.xlsx]Book'!K445</f>
        <v>0.0</v>
      </c>
      <c r="L445" s="15">
        <f>'[01_Entry.xlsx]Book'!L445</f>
        <v>0.0</v>
      </c>
      <c r="M445" s="15">
        <f>'[01_Entry.xlsx]Book'!M445</f>
        <v>0.0</v>
      </c>
      <c r="P445" s="56">
        <f>IF($A445="","",IFERROR(VALUE(MID($A445,6,2)),""))</f>
        <v/>
      </c>
    </row>
    <row r="446" spans="7:16">
      <c r="G446" s="15">
        <f>'[01_Entry.xlsx]Book'!G446</f>
        <v>0.0</v>
      </c>
      <c r="H446" s="15">
        <f>'[01_Entry.xlsx]Book'!H446</f>
        <v>0.0</v>
      </c>
      <c r="I446" s="15">
        <f>'[01_Entry.xlsx]Book'!I446</f>
        <v>0.0</v>
      </c>
      <c r="K446" s="15">
        <f>'[01_Entry.xlsx]Book'!K446</f>
        <v>0.0</v>
      </c>
      <c r="L446" s="15">
        <f>'[01_Entry.xlsx]Book'!L446</f>
        <v>0.0</v>
      </c>
      <c r="M446" s="15">
        <f>'[01_Entry.xlsx]Book'!M446</f>
        <v>0.0</v>
      </c>
      <c r="P446" s="56">
        <f>IF($A446="","",IFERROR(VALUE(MID($A446,6,2)),""))</f>
        <v/>
      </c>
    </row>
    <row r="447" spans="7:16">
      <c r="G447" s="15">
        <f>'[01_Entry.xlsx]Book'!G447</f>
        <v>0.0</v>
      </c>
      <c r="H447" s="15">
        <f>'[01_Entry.xlsx]Book'!H447</f>
        <v>0.0</v>
      </c>
      <c r="I447" s="15">
        <f>'[01_Entry.xlsx]Book'!I447</f>
        <v>0.0</v>
      </c>
      <c r="K447" s="15">
        <f>'[01_Entry.xlsx]Book'!K447</f>
        <v>0.0</v>
      </c>
      <c r="L447" s="15">
        <f>'[01_Entry.xlsx]Book'!L447</f>
        <v>0.0</v>
      </c>
      <c r="M447" s="15">
        <f>'[01_Entry.xlsx]Book'!M447</f>
        <v>0.0</v>
      </c>
      <c r="P447" s="56">
        <f>IF($A447="","",IFERROR(VALUE(MID($A447,6,2)),""))</f>
        <v/>
      </c>
    </row>
    <row r="448" spans="7:16">
      <c r="G448" s="15">
        <f>'[01_Entry.xlsx]Book'!G448</f>
        <v>0.0</v>
      </c>
      <c r="H448" s="15">
        <f>'[01_Entry.xlsx]Book'!H448</f>
        <v>0.0</v>
      </c>
      <c r="I448" s="15">
        <f>'[01_Entry.xlsx]Book'!I448</f>
        <v>0.0</v>
      </c>
      <c r="K448" s="15">
        <f>'[01_Entry.xlsx]Book'!K448</f>
        <v>0.0</v>
      </c>
      <c r="L448" s="15">
        <f>'[01_Entry.xlsx]Book'!L448</f>
        <v>0.0</v>
      </c>
      <c r="M448" s="15">
        <f>'[01_Entry.xlsx]Book'!M448</f>
        <v>0.0</v>
      </c>
      <c r="P448" s="56">
        <f>IF($A448="","",IFERROR(VALUE(MID($A448,6,2)),""))</f>
        <v/>
      </c>
    </row>
    <row r="449" spans="7:16">
      <c r="G449" s="15">
        <f>'[01_Entry.xlsx]Book'!G449</f>
        <v>0.0</v>
      </c>
      <c r="H449" s="15">
        <f>'[01_Entry.xlsx]Book'!H449</f>
        <v>0.0</v>
      </c>
      <c r="I449" s="15">
        <f>'[01_Entry.xlsx]Book'!I449</f>
        <v>0.0</v>
      </c>
      <c r="K449" s="15">
        <f>'[01_Entry.xlsx]Book'!K449</f>
        <v>0.0</v>
      </c>
      <c r="L449" s="15">
        <f>'[01_Entry.xlsx]Book'!L449</f>
        <v>0.0</v>
      </c>
      <c r="M449" s="15">
        <f>'[01_Entry.xlsx]Book'!M449</f>
        <v>0.0</v>
      </c>
      <c r="P449" s="56">
        <f>IF($A449="","",IFERROR(VALUE(MID($A449,6,2)),""))</f>
        <v/>
      </c>
    </row>
    <row r="450" spans="7:16">
      <c r="G450" s="15">
        <f>'[01_Entry.xlsx]Book'!G450</f>
        <v>0.0</v>
      </c>
      <c r="H450" s="15">
        <f>'[01_Entry.xlsx]Book'!H450</f>
        <v>0.0</v>
      </c>
      <c r="I450" s="15">
        <f>'[01_Entry.xlsx]Book'!I450</f>
        <v>0.0</v>
      </c>
      <c r="K450" s="15">
        <f>'[01_Entry.xlsx]Book'!K450</f>
        <v>0.0</v>
      </c>
      <c r="L450" s="15">
        <f>'[01_Entry.xlsx]Book'!L450</f>
        <v>0.0</v>
      </c>
      <c r="M450" s="15">
        <f>'[01_Entry.xlsx]Book'!M450</f>
        <v>0.0</v>
      </c>
      <c r="P450" s="56">
        <f>IF($A450="","",IFERROR(VALUE(MID($A450,6,2)),""))</f>
        <v/>
      </c>
    </row>
    <row r="451" spans="7:16">
      <c r="G451" s="15">
        <f>'[01_Entry.xlsx]Book'!G451</f>
        <v>0.0</v>
      </c>
      <c r="H451" s="15">
        <f>'[01_Entry.xlsx]Book'!H451</f>
        <v>0.0</v>
      </c>
      <c r="I451" s="15">
        <f>'[01_Entry.xlsx]Book'!I451</f>
        <v>0.0</v>
      </c>
      <c r="K451" s="15">
        <f>'[01_Entry.xlsx]Book'!K451</f>
        <v>0.0</v>
      </c>
      <c r="L451" s="15">
        <f>'[01_Entry.xlsx]Book'!L451</f>
        <v>0.0</v>
      </c>
      <c r="M451" s="15">
        <f>'[01_Entry.xlsx]Book'!M451</f>
        <v>0.0</v>
      </c>
      <c r="P451" s="56">
        <f>IF($A451="","",IFERROR(VALUE(MID($A451,6,2)),""))</f>
        <v/>
      </c>
    </row>
    <row r="452" spans="7:16">
      <c r="G452" s="15">
        <f>'[01_Entry.xlsx]Book'!G452</f>
        <v>0.0</v>
      </c>
      <c r="H452" s="15">
        <f>'[01_Entry.xlsx]Book'!H452</f>
        <v>0.0</v>
      </c>
      <c r="I452" s="15">
        <f>'[01_Entry.xlsx]Book'!I452</f>
        <v>0.0</v>
      </c>
      <c r="K452" s="15">
        <f>'[01_Entry.xlsx]Book'!K452</f>
        <v>0.0</v>
      </c>
      <c r="L452" s="15">
        <f>'[01_Entry.xlsx]Book'!L452</f>
        <v>0.0</v>
      </c>
      <c r="M452" s="15">
        <f>'[01_Entry.xlsx]Book'!M452</f>
        <v>0.0</v>
      </c>
      <c r="P452" s="56">
        <f>IF($A452="","",IFERROR(VALUE(MID($A452,6,2)),""))</f>
        <v/>
      </c>
    </row>
    <row r="453" spans="7:16">
      <c r="G453" s="15">
        <f>'[01_Entry.xlsx]Book'!G453</f>
        <v>0.0</v>
      </c>
      <c r="H453" s="15">
        <f>'[01_Entry.xlsx]Book'!H453</f>
        <v>0.0</v>
      </c>
      <c r="I453" s="15">
        <f>'[01_Entry.xlsx]Book'!I453</f>
        <v>0.0</v>
      </c>
      <c r="K453" s="15">
        <f>'[01_Entry.xlsx]Book'!K453</f>
        <v>0.0</v>
      </c>
      <c r="L453" s="15">
        <f>'[01_Entry.xlsx]Book'!L453</f>
        <v>0.0</v>
      </c>
      <c r="M453" s="15">
        <f>'[01_Entry.xlsx]Book'!M453</f>
        <v>0.0</v>
      </c>
      <c r="P453" s="56">
        <f>IF($A453="","",IFERROR(VALUE(MID($A453,6,2)),""))</f>
        <v/>
      </c>
    </row>
    <row r="454" spans="7:16">
      <c r="G454" s="15">
        <f>'[01_Entry.xlsx]Book'!G454</f>
        <v>0.0</v>
      </c>
      <c r="H454" s="15">
        <f>'[01_Entry.xlsx]Book'!H454</f>
        <v>0.0</v>
      </c>
      <c r="I454" s="15">
        <f>'[01_Entry.xlsx]Book'!I454</f>
        <v>0.0</v>
      </c>
      <c r="K454" s="15">
        <f>'[01_Entry.xlsx]Book'!K454</f>
        <v>0.0</v>
      </c>
      <c r="L454" s="15">
        <f>'[01_Entry.xlsx]Book'!L454</f>
        <v>0.0</v>
      </c>
      <c r="M454" s="15">
        <f>'[01_Entry.xlsx]Book'!M454</f>
        <v>0.0</v>
      </c>
      <c r="P454" s="56">
        <f>IF($A454="","",IFERROR(VALUE(MID($A454,6,2)),""))</f>
        <v/>
      </c>
    </row>
    <row r="455" spans="7:16">
      <c r="G455" s="15">
        <f>'[01_Entry.xlsx]Book'!G455</f>
        <v>0.0</v>
      </c>
      <c r="H455" s="15">
        <f>'[01_Entry.xlsx]Book'!H455</f>
        <v>0.0</v>
      </c>
      <c r="I455" s="15">
        <f>'[01_Entry.xlsx]Book'!I455</f>
        <v>0.0</v>
      </c>
      <c r="K455" s="15">
        <f>'[01_Entry.xlsx]Book'!K455</f>
        <v>0.0</v>
      </c>
      <c r="L455" s="15">
        <f>'[01_Entry.xlsx]Book'!L455</f>
        <v>0.0</v>
      </c>
      <c r="M455" s="15">
        <f>'[01_Entry.xlsx]Book'!M455</f>
        <v>0.0</v>
      </c>
      <c r="P455" s="56">
        <f>IF($A455="","",IFERROR(VALUE(MID($A455,6,2)),""))</f>
        <v/>
      </c>
    </row>
    <row r="456" spans="7:16">
      <c r="G456" s="15">
        <f>'[01_Entry.xlsx]Book'!G456</f>
        <v>0.0</v>
      </c>
      <c r="H456" s="15">
        <f>'[01_Entry.xlsx]Book'!H456</f>
        <v>0.0</v>
      </c>
      <c r="I456" s="15">
        <f>'[01_Entry.xlsx]Book'!I456</f>
        <v>0.0</v>
      </c>
      <c r="K456" s="15">
        <f>'[01_Entry.xlsx]Book'!K456</f>
        <v>0.0</v>
      </c>
      <c r="L456" s="15">
        <f>'[01_Entry.xlsx]Book'!L456</f>
        <v>0.0</v>
      </c>
      <c r="M456" s="15">
        <f>'[01_Entry.xlsx]Book'!M456</f>
        <v>0.0</v>
      </c>
      <c r="P456" s="56">
        <f>IF($A456="","",IFERROR(VALUE(MID($A456,6,2)),""))</f>
        <v/>
      </c>
    </row>
    <row r="457" spans="7:16">
      <c r="G457" s="15">
        <f>'[01_Entry.xlsx]Book'!G457</f>
        <v>0.0</v>
      </c>
      <c r="H457" s="15">
        <f>'[01_Entry.xlsx]Book'!H457</f>
        <v>0.0</v>
      </c>
      <c r="I457" s="15">
        <f>'[01_Entry.xlsx]Book'!I457</f>
        <v>0.0</v>
      </c>
      <c r="K457" s="15">
        <f>'[01_Entry.xlsx]Book'!K457</f>
        <v>0.0</v>
      </c>
      <c r="L457" s="15">
        <f>'[01_Entry.xlsx]Book'!L457</f>
        <v>0.0</v>
      </c>
      <c r="M457" s="15">
        <f>'[01_Entry.xlsx]Book'!M457</f>
        <v>0.0</v>
      </c>
      <c r="P457" s="56">
        <f>IF($A457="","",IFERROR(VALUE(MID($A457,6,2)),""))</f>
        <v/>
      </c>
    </row>
    <row r="458" spans="7:16">
      <c r="G458" s="15">
        <f>'[01_Entry.xlsx]Book'!G458</f>
        <v>0.0</v>
      </c>
      <c r="H458" s="15">
        <f>'[01_Entry.xlsx]Book'!H458</f>
        <v>0.0</v>
      </c>
      <c r="I458" s="15">
        <f>'[01_Entry.xlsx]Book'!I458</f>
        <v>0.0</v>
      </c>
      <c r="K458" s="15">
        <f>'[01_Entry.xlsx]Book'!K458</f>
        <v>0.0</v>
      </c>
      <c r="L458" s="15">
        <f>'[01_Entry.xlsx]Book'!L458</f>
        <v>0.0</v>
      </c>
      <c r="M458" s="15">
        <f>'[01_Entry.xlsx]Book'!M458</f>
        <v>0.0</v>
      </c>
      <c r="P458" s="56">
        <f>IF($A458="","",IFERROR(VALUE(MID($A458,6,2)),""))</f>
        <v/>
      </c>
    </row>
    <row r="459" spans="7:16">
      <c r="G459" s="15">
        <f>'[01_Entry.xlsx]Book'!G459</f>
        <v>0.0</v>
      </c>
      <c r="H459" s="15">
        <f>'[01_Entry.xlsx]Book'!H459</f>
        <v>0.0</v>
      </c>
      <c r="I459" s="15">
        <f>'[01_Entry.xlsx]Book'!I459</f>
        <v>0.0</v>
      </c>
      <c r="K459" s="15">
        <f>'[01_Entry.xlsx]Book'!K459</f>
        <v>0.0</v>
      </c>
      <c r="L459" s="15">
        <f>'[01_Entry.xlsx]Book'!L459</f>
        <v>0.0</v>
      </c>
      <c r="M459" s="15">
        <f>'[01_Entry.xlsx]Book'!M459</f>
        <v>0.0</v>
      </c>
      <c r="P459" s="56">
        <f>IF($A459="","",IFERROR(VALUE(MID($A459,6,2)),""))</f>
        <v/>
      </c>
    </row>
    <row r="460" spans="7:16">
      <c r="G460" s="15">
        <f>'[01_Entry.xlsx]Book'!G460</f>
        <v>0.0</v>
      </c>
      <c r="H460" s="15">
        <f>'[01_Entry.xlsx]Book'!H460</f>
        <v>0.0</v>
      </c>
      <c r="I460" s="15">
        <f>'[01_Entry.xlsx]Book'!I460</f>
        <v>0.0</v>
      </c>
      <c r="K460" s="15">
        <f>'[01_Entry.xlsx]Book'!K460</f>
        <v>0.0</v>
      </c>
      <c r="L460" s="15">
        <f>'[01_Entry.xlsx]Book'!L460</f>
        <v>0.0</v>
      </c>
      <c r="M460" s="15">
        <f>'[01_Entry.xlsx]Book'!M460</f>
        <v>0.0</v>
      </c>
      <c r="P460" s="56">
        <f>IF($A460="","",IFERROR(VALUE(MID($A460,6,2)),""))</f>
        <v/>
      </c>
    </row>
    <row r="461" spans="7:16">
      <c r="G461" s="15">
        <f>'[01_Entry.xlsx]Book'!G461</f>
        <v>0.0</v>
      </c>
      <c r="H461" s="15">
        <f>'[01_Entry.xlsx]Book'!H461</f>
        <v>0.0</v>
      </c>
      <c r="I461" s="15">
        <f>'[01_Entry.xlsx]Book'!I461</f>
        <v>0.0</v>
      </c>
      <c r="K461" s="15">
        <f>'[01_Entry.xlsx]Book'!K461</f>
        <v>0.0</v>
      </c>
      <c r="L461" s="15">
        <f>'[01_Entry.xlsx]Book'!L461</f>
        <v>0.0</v>
      </c>
      <c r="M461" s="15">
        <f>'[01_Entry.xlsx]Book'!M461</f>
        <v>0.0</v>
      </c>
      <c r="P461" s="56">
        <f>IF($A461="","",IFERROR(VALUE(MID($A461,6,2)),""))</f>
        <v/>
      </c>
    </row>
    <row r="462" spans="7:16">
      <c r="G462" s="15">
        <f>'[01_Entry.xlsx]Book'!G462</f>
        <v>0.0</v>
      </c>
      <c r="H462" s="15">
        <f>'[01_Entry.xlsx]Book'!H462</f>
        <v>0.0</v>
      </c>
      <c r="I462" s="15">
        <f>'[01_Entry.xlsx]Book'!I462</f>
        <v>0.0</v>
      </c>
      <c r="K462" s="15">
        <f>'[01_Entry.xlsx]Book'!K462</f>
        <v>0.0</v>
      </c>
      <c r="L462" s="15">
        <f>'[01_Entry.xlsx]Book'!L462</f>
        <v>0.0</v>
      </c>
      <c r="M462" s="15">
        <f>'[01_Entry.xlsx]Book'!M462</f>
        <v>0.0</v>
      </c>
      <c r="P462" s="56">
        <f>IF($A462="","",IFERROR(VALUE(MID($A462,6,2)),""))</f>
        <v/>
      </c>
    </row>
    <row r="463" spans="7:16">
      <c r="G463" s="15">
        <f>'[01_Entry.xlsx]Book'!G463</f>
        <v>0.0</v>
      </c>
      <c r="H463" s="15">
        <f>'[01_Entry.xlsx]Book'!H463</f>
        <v>0.0</v>
      </c>
      <c r="I463" s="15">
        <f>'[01_Entry.xlsx]Book'!I463</f>
        <v>0.0</v>
      </c>
      <c r="K463" s="15">
        <f>'[01_Entry.xlsx]Book'!K463</f>
        <v>0.0</v>
      </c>
      <c r="L463" s="15">
        <f>'[01_Entry.xlsx]Book'!L463</f>
        <v>0.0</v>
      </c>
      <c r="M463" s="15">
        <f>'[01_Entry.xlsx]Book'!M463</f>
        <v>0.0</v>
      </c>
      <c r="P463" s="56">
        <f>IF($A463="","",IFERROR(VALUE(MID($A463,6,2)),""))</f>
        <v/>
      </c>
    </row>
    <row r="464" spans="7:16">
      <c r="G464" s="15">
        <f>'[01_Entry.xlsx]Book'!G464</f>
        <v>0.0</v>
      </c>
      <c r="H464" s="15">
        <f>'[01_Entry.xlsx]Book'!H464</f>
        <v>0.0</v>
      </c>
      <c r="I464" s="15">
        <f>'[01_Entry.xlsx]Book'!I464</f>
        <v>0.0</v>
      </c>
      <c r="K464" s="15">
        <f>'[01_Entry.xlsx]Book'!K464</f>
        <v>0.0</v>
      </c>
      <c r="L464" s="15">
        <f>'[01_Entry.xlsx]Book'!L464</f>
        <v>0.0</v>
      </c>
      <c r="M464" s="15">
        <f>'[01_Entry.xlsx]Book'!M464</f>
        <v>0.0</v>
      </c>
      <c r="P464" s="56">
        <f>IF($A464="","",IFERROR(VALUE(MID($A464,6,2)),""))</f>
        <v/>
      </c>
    </row>
    <row r="465" spans="7:16">
      <c r="G465" s="15">
        <f>'[01_Entry.xlsx]Book'!G465</f>
        <v>0.0</v>
      </c>
      <c r="H465" s="15">
        <f>'[01_Entry.xlsx]Book'!H465</f>
        <v>0.0</v>
      </c>
      <c r="I465" s="15">
        <f>'[01_Entry.xlsx]Book'!I465</f>
        <v>0.0</v>
      </c>
      <c r="K465" s="15">
        <f>'[01_Entry.xlsx]Book'!K465</f>
        <v>0.0</v>
      </c>
      <c r="L465" s="15">
        <f>'[01_Entry.xlsx]Book'!L465</f>
        <v>0.0</v>
      </c>
      <c r="M465" s="15">
        <f>'[01_Entry.xlsx]Book'!M465</f>
        <v>0.0</v>
      </c>
      <c r="P465" s="56">
        <f>IF($A465="","",IFERROR(VALUE(MID($A465,6,2)),""))</f>
        <v/>
      </c>
    </row>
    <row r="466" spans="7:16">
      <c r="G466" s="15">
        <f>'[01_Entry.xlsx]Book'!G466</f>
        <v>0.0</v>
      </c>
      <c r="H466" s="15">
        <f>'[01_Entry.xlsx]Book'!H466</f>
        <v>0.0</v>
      </c>
      <c r="I466" s="15">
        <f>'[01_Entry.xlsx]Book'!I466</f>
        <v>0.0</v>
      </c>
      <c r="K466" s="15">
        <f>'[01_Entry.xlsx]Book'!K466</f>
        <v>0.0</v>
      </c>
      <c r="L466" s="15">
        <f>'[01_Entry.xlsx]Book'!L466</f>
        <v>0.0</v>
      </c>
      <c r="M466" s="15">
        <f>'[01_Entry.xlsx]Book'!M466</f>
        <v>0.0</v>
      </c>
      <c r="P466" s="56">
        <f>IF($A466="","",IFERROR(VALUE(MID($A466,6,2)),""))</f>
        <v/>
      </c>
    </row>
    <row r="467" spans="7:16">
      <c r="G467" s="15">
        <f>'[01_Entry.xlsx]Book'!G467</f>
        <v>0.0</v>
      </c>
      <c r="H467" s="15">
        <f>'[01_Entry.xlsx]Book'!H467</f>
        <v>0.0</v>
      </c>
      <c r="I467" s="15">
        <f>'[01_Entry.xlsx]Book'!I467</f>
        <v>0.0</v>
      </c>
      <c r="K467" s="15">
        <f>'[01_Entry.xlsx]Book'!K467</f>
        <v>0.0</v>
      </c>
      <c r="L467" s="15">
        <f>'[01_Entry.xlsx]Book'!L467</f>
        <v>0.0</v>
      </c>
      <c r="M467" s="15">
        <f>'[01_Entry.xlsx]Book'!M467</f>
        <v>0.0</v>
      </c>
      <c r="P467" s="56">
        <f>IF($A467="","",IFERROR(VALUE(MID($A467,6,2)),""))</f>
        <v/>
      </c>
    </row>
    <row r="468" spans="7:16">
      <c r="G468" s="15">
        <f>'[01_Entry.xlsx]Book'!G468</f>
        <v>0.0</v>
      </c>
      <c r="H468" s="15">
        <f>'[01_Entry.xlsx]Book'!H468</f>
        <v>0.0</v>
      </c>
      <c r="I468" s="15">
        <f>'[01_Entry.xlsx]Book'!I468</f>
        <v>0.0</v>
      </c>
      <c r="K468" s="15">
        <f>'[01_Entry.xlsx]Book'!K468</f>
        <v>0.0</v>
      </c>
      <c r="L468" s="15">
        <f>'[01_Entry.xlsx]Book'!L468</f>
        <v>0.0</v>
      </c>
      <c r="M468" s="15">
        <f>'[01_Entry.xlsx]Book'!M468</f>
        <v>0.0</v>
      </c>
      <c r="P468" s="56">
        <f>IF($A468="","",IFERROR(VALUE(MID($A468,6,2)),""))</f>
        <v/>
      </c>
    </row>
    <row r="469" spans="7:16">
      <c r="G469" s="15">
        <f>'[01_Entry.xlsx]Book'!G469</f>
        <v>0.0</v>
      </c>
      <c r="H469" s="15">
        <f>'[01_Entry.xlsx]Book'!H469</f>
        <v>0.0</v>
      </c>
      <c r="I469" s="15">
        <f>'[01_Entry.xlsx]Book'!I469</f>
        <v>0.0</v>
      </c>
      <c r="K469" s="15">
        <f>'[01_Entry.xlsx]Book'!K469</f>
        <v>0.0</v>
      </c>
      <c r="L469" s="15">
        <f>'[01_Entry.xlsx]Book'!L469</f>
        <v>0.0</v>
      </c>
      <c r="M469" s="15">
        <f>'[01_Entry.xlsx]Book'!M469</f>
        <v>0.0</v>
      </c>
      <c r="P469" s="56">
        <f>IF($A469="","",IFERROR(VALUE(MID($A469,6,2)),""))</f>
        <v/>
      </c>
    </row>
    <row r="470" spans="7:16">
      <c r="G470" s="15">
        <f>'[01_Entry.xlsx]Book'!G470</f>
        <v>0.0</v>
      </c>
      <c r="H470" s="15">
        <f>'[01_Entry.xlsx]Book'!H470</f>
        <v>0.0</v>
      </c>
      <c r="I470" s="15">
        <f>'[01_Entry.xlsx]Book'!I470</f>
        <v>0.0</v>
      </c>
      <c r="K470" s="15">
        <f>'[01_Entry.xlsx]Book'!K470</f>
        <v>0.0</v>
      </c>
      <c r="L470" s="15">
        <f>'[01_Entry.xlsx]Book'!L470</f>
        <v>0.0</v>
      </c>
      <c r="M470" s="15">
        <f>'[01_Entry.xlsx]Book'!M470</f>
        <v>0.0</v>
      </c>
      <c r="P470" s="56">
        <f>IF($A470="","",IFERROR(VALUE(MID($A470,6,2)),""))</f>
        <v/>
      </c>
    </row>
    <row r="471" spans="7:16">
      <c r="G471" s="15">
        <f>'[01_Entry.xlsx]Book'!G471</f>
        <v>0.0</v>
      </c>
      <c r="H471" s="15">
        <f>'[01_Entry.xlsx]Book'!H471</f>
        <v>0.0</v>
      </c>
      <c r="I471" s="15">
        <f>'[01_Entry.xlsx]Book'!I471</f>
        <v>0.0</v>
      </c>
      <c r="K471" s="15">
        <f>'[01_Entry.xlsx]Book'!K471</f>
        <v>0.0</v>
      </c>
      <c r="L471" s="15">
        <f>'[01_Entry.xlsx]Book'!L471</f>
        <v>0.0</v>
      </c>
      <c r="M471" s="15">
        <f>'[01_Entry.xlsx]Book'!M471</f>
        <v>0.0</v>
      </c>
      <c r="P471" s="56">
        <f>IF($A471="","",IFERROR(VALUE(MID($A471,6,2)),""))</f>
        <v/>
      </c>
    </row>
    <row r="472" spans="7:16">
      <c r="G472" s="15">
        <f>'[01_Entry.xlsx]Book'!G472</f>
        <v>0.0</v>
      </c>
      <c r="H472" s="15">
        <f>'[01_Entry.xlsx]Book'!H472</f>
        <v>0.0</v>
      </c>
      <c r="I472" s="15">
        <f>'[01_Entry.xlsx]Book'!I472</f>
        <v>0.0</v>
      </c>
      <c r="K472" s="15">
        <f>'[01_Entry.xlsx]Book'!K472</f>
        <v>0.0</v>
      </c>
      <c r="L472" s="15">
        <f>'[01_Entry.xlsx]Book'!L472</f>
        <v>0.0</v>
      </c>
      <c r="M472" s="15">
        <f>'[01_Entry.xlsx]Book'!M472</f>
        <v>0.0</v>
      </c>
      <c r="P472" s="56">
        <f>IF($A472="","",IFERROR(VALUE(MID($A472,6,2)),""))</f>
        <v/>
      </c>
    </row>
    <row r="473" spans="7:16">
      <c r="G473" s="15">
        <f>'[01_Entry.xlsx]Book'!G473</f>
        <v>0.0</v>
      </c>
      <c r="H473" s="15">
        <f>'[01_Entry.xlsx]Book'!H473</f>
        <v>0.0</v>
      </c>
      <c r="I473" s="15">
        <f>'[01_Entry.xlsx]Book'!I473</f>
        <v>0.0</v>
      </c>
      <c r="K473" s="15">
        <f>'[01_Entry.xlsx]Book'!K473</f>
        <v>0.0</v>
      </c>
      <c r="L473" s="15">
        <f>'[01_Entry.xlsx]Book'!L473</f>
        <v>0.0</v>
      </c>
      <c r="M473" s="15">
        <f>'[01_Entry.xlsx]Book'!M473</f>
        <v>0.0</v>
      </c>
      <c r="P473" s="56">
        <f>IF($A473="","",IFERROR(VALUE(MID($A473,6,2)),""))</f>
        <v/>
      </c>
    </row>
    <row r="474" spans="7:16">
      <c r="G474" s="15">
        <f>'[01_Entry.xlsx]Book'!G474</f>
        <v>0.0</v>
      </c>
      <c r="H474" s="15">
        <f>'[01_Entry.xlsx]Book'!H474</f>
        <v>0.0</v>
      </c>
      <c r="I474" s="15">
        <f>'[01_Entry.xlsx]Book'!I474</f>
        <v>0.0</v>
      </c>
      <c r="K474" s="15">
        <f>'[01_Entry.xlsx]Book'!K474</f>
        <v>0.0</v>
      </c>
      <c r="L474" s="15">
        <f>'[01_Entry.xlsx]Book'!L474</f>
        <v>0.0</v>
      </c>
      <c r="M474" s="15">
        <f>'[01_Entry.xlsx]Book'!M474</f>
        <v>0.0</v>
      </c>
      <c r="P474" s="56">
        <f>IF($A474="","",IFERROR(VALUE(MID($A474,6,2)),""))</f>
        <v/>
      </c>
    </row>
    <row r="475" spans="7:16">
      <c r="G475" s="15">
        <f>'[01_Entry.xlsx]Book'!G475</f>
        <v>0.0</v>
      </c>
      <c r="H475" s="15">
        <f>'[01_Entry.xlsx]Book'!H475</f>
        <v>0.0</v>
      </c>
      <c r="I475" s="15">
        <f>'[01_Entry.xlsx]Book'!I475</f>
        <v>0.0</v>
      </c>
      <c r="K475" s="15">
        <f>'[01_Entry.xlsx]Book'!K475</f>
        <v>0.0</v>
      </c>
      <c r="L475" s="15">
        <f>'[01_Entry.xlsx]Book'!L475</f>
        <v>0.0</v>
      </c>
      <c r="M475" s="15">
        <f>'[01_Entry.xlsx]Book'!M475</f>
        <v>0.0</v>
      </c>
      <c r="P475" s="56">
        <f>IF($A475="","",IFERROR(VALUE(MID($A475,6,2)),""))</f>
        <v/>
      </c>
    </row>
    <row r="476" spans="7:16">
      <c r="G476" s="15">
        <f>'[01_Entry.xlsx]Book'!G476</f>
        <v>0.0</v>
      </c>
      <c r="H476" s="15">
        <f>'[01_Entry.xlsx]Book'!H476</f>
        <v>0.0</v>
      </c>
      <c r="I476" s="15">
        <f>'[01_Entry.xlsx]Book'!I476</f>
        <v>0.0</v>
      </c>
      <c r="K476" s="15">
        <f>'[01_Entry.xlsx]Book'!K476</f>
        <v>0.0</v>
      </c>
      <c r="L476" s="15">
        <f>'[01_Entry.xlsx]Book'!L476</f>
        <v>0.0</v>
      </c>
      <c r="M476" s="15">
        <f>'[01_Entry.xlsx]Book'!M476</f>
        <v>0.0</v>
      </c>
      <c r="P476" s="56">
        <f>IF($A476="","",IFERROR(VALUE(MID($A476,6,2)),""))</f>
        <v/>
      </c>
    </row>
    <row r="477" spans="7:16">
      <c r="G477" s="15">
        <f>'[01_Entry.xlsx]Book'!G477</f>
        <v>0.0</v>
      </c>
      <c r="H477" s="15">
        <f>'[01_Entry.xlsx]Book'!H477</f>
        <v>0.0</v>
      </c>
      <c r="I477" s="15">
        <f>'[01_Entry.xlsx]Book'!I477</f>
        <v>0.0</v>
      </c>
      <c r="K477" s="15">
        <f>'[01_Entry.xlsx]Book'!K477</f>
        <v>0.0</v>
      </c>
      <c r="L477" s="15">
        <f>'[01_Entry.xlsx]Book'!L477</f>
        <v>0.0</v>
      </c>
      <c r="M477" s="15">
        <f>'[01_Entry.xlsx]Book'!M477</f>
        <v>0.0</v>
      </c>
      <c r="P477" s="56">
        <f>IF($A477="","",IFERROR(VALUE(MID($A477,6,2)),""))</f>
        <v/>
      </c>
    </row>
    <row r="478" spans="7:16">
      <c r="G478" s="15">
        <f>'[01_Entry.xlsx]Book'!G478</f>
        <v>0.0</v>
      </c>
      <c r="H478" s="15">
        <f>'[01_Entry.xlsx]Book'!H478</f>
        <v>0.0</v>
      </c>
      <c r="I478" s="15">
        <f>'[01_Entry.xlsx]Book'!I478</f>
        <v>0.0</v>
      </c>
      <c r="K478" s="15">
        <f>'[01_Entry.xlsx]Book'!K478</f>
        <v>0.0</v>
      </c>
      <c r="L478" s="15">
        <f>'[01_Entry.xlsx]Book'!L478</f>
        <v>0.0</v>
      </c>
      <c r="M478" s="15">
        <f>'[01_Entry.xlsx]Book'!M478</f>
        <v>0.0</v>
      </c>
      <c r="P478" s="56">
        <f>IF($A478="","",IFERROR(VALUE(MID($A478,6,2)),""))</f>
        <v/>
      </c>
    </row>
    <row r="479" spans="7:16">
      <c r="G479" s="15">
        <f>'[01_Entry.xlsx]Book'!G479</f>
        <v>0.0</v>
      </c>
      <c r="H479" s="15">
        <f>'[01_Entry.xlsx]Book'!H479</f>
        <v>0.0</v>
      </c>
      <c r="I479" s="15">
        <f>'[01_Entry.xlsx]Book'!I479</f>
        <v>0.0</v>
      </c>
      <c r="K479" s="15">
        <f>'[01_Entry.xlsx]Book'!K479</f>
        <v>0.0</v>
      </c>
      <c r="L479" s="15">
        <f>'[01_Entry.xlsx]Book'!L479</f>
        <v>0.0</v>
      </c>
      <c r="M479" s="15">
        <f>'[01_Entry.xlsx]Book'!M479</f>
        <v>0.0</v>
      </c>
      <c r="P479" s="56">
        <f>IF($A479="","",IFERROR(VALUE(MID($A479,6,2)),""))</f>
        <v/>
      </c>
    </row>
    <row r="480" spans="7:16">
      <c r="G480" s="15">
        <f>'[01_Entry.xlsx]Book'!G480</f>
        <v>0.0</v>
      </c>
      <c r="H480" s="15">
        <f>'[01_Entry.xlsx]Book'!H480</f>
        <v>0.0</v>
      </c>
      <c r="I480" s="15">
        <f>'[01_Entry.xlsx]Book'!I480</f>
        <v>0.0</v>
      </c>
      <c r="K480" s="15">
        <f>'[01_Entry.xlsx]Book'!K480</f>
        <v>0.0</v>
      </c>
      <c r="L480" s="15">
        <f>'[01_Entry.xlsx]Book'!L480</f>
        <v>0.0</v>
      </c>
      <c r="M480" s="15">
        <f>'[01_Entry.xlsx]Book'!M480</f>
        <v>0.0</v>
      </c>
      <c r="P480" s="56">
        <f>IF($A480="","",IFERROR(VALUE(MID($A480,6,2)),""))</f>
        <v/>
      </c>
    </row>
    <row r="481" spans="7:16">
      <c r="G481" s="15">
        <f>'[01_Entry.xlsx]Book'!G481</f>
        <v>0.0</v>
      </c>
      <c r="H481" s="15">
        <f>'[01_Entry.xlsx]Book'!H481</f>
        <v>0.0</v>
      </c>
      <c r="I481" s="15">
        <f>'[01_Entry.xlsx]Book'!I481</f>
        <v>0.0</v>
      </c>
      <c r="K481" s="15">
        <f>'[01_Entry.xlsx]Book'!K481</f>
        <v>0.0</v>
      </c>
      <c r="L481" s="15">
        <f>'[01_Entry.xlsx]Book'!L481</f>
        <v>0.0</v>
      </c>
      <c r="M481" s="15">
        <f>'[01_Entry.xlsx]Book'!M481</f>
        <v>0.0</v>
      </c>
      <c r="P481" s="56">
        <f>IF($A481="","",IFERROR(VALUE(MID($A481,6,2)),""))</f>
        <v/>
      </c>
    </row>
    <row r="482" spans="7:16">
      <c r="G482" s="15">
        <f>'[01_Entry.xlsx]Book'!G482</f>
        <v>0.0</v>
      </c>
      <c r="H482" s="15">
        <f>'[01_Entry.xlsx]Book'!H482</f>
        <v>0.0</v>
      </c>
      <c r="I482" s="15">
        <f>'[01_Entry.xlsx]Book'!I482</f>
        <v>0.0</v>
      </c>
      <c r="K482" s="15">
        <f>'[01_Entry.xlsx]Book'!K482</f>
        <v>0.0</v>
      </c>
      <c r="L482" s="15">
        <f>'[01_Entry.xlsx]Book'!L482</f>
        <v>0.0</v>
      </c>
      <c r="M482" s="15">
        <f>'[01_Entry.xlsx]Book'!M482</f>
        <v>0.0</v>
      </c>
      <c r="P482" s="56">
        <f>IF($A482="","",IFERROR(VALUE(MID($A482,6,2)),""))</f>
        <v/>
      </c>
    </row>
    <row r="483" spans="7:16">
      <c r="G483" s="15">
        <f>'[01_Entry.xlsx]Book'!G483</f>
        <v>0.0</v>
      </c>
      <c r="H483" s="15">
        <f>'[01_Entry.xlsx]Book'!H483</f>
        <v>0.0</v>
      </c>
      <c r="I483" s="15">
        <f>'[01_Entry.xlsx]Book'!I483</f>
        <v>0.0</v>
      </c>
      <c r="K483" s="15">
        <f>'[01_Entry.xlsx]Book'!K483</f>
        <v>0.0</v>
      </c>
      <c r="L483" s="15">
        <f>'[01_Entry.xlsx]Book'!L483</f>
        <v>0.0</v>
      </c>
      <c r="M483" s="15">
        <f>'[01_Entry.xlsx]Book'!M483</f>
        <v>0.0</v>
      </c>
      <c r="P483" s="56">
        <f>IF($A483="","",IFERROR(VALUE(MID($A483,6,2)),""))</f>
        <v/>
      </c>
    </row>
    <row r="484" spans="7:16">
      <c r="G484" s="15">
        <f>'[01_Entry.xlsx]Book'!G484</f>
        <v>0.0</v>
      </c>
      <c r="H484" s="15">
        <f>'[01_Entry.xlsx]Book'!H484</f>
        <v>0.0</v>
      </c>
      <c r="I484" s="15">
        <f>'[01_Entry.xlsx]Book'!I484</f>
        <v>0.0</v>
      </c>
      <c r="K484" s="15">
        <f>'[01_Entry.xlsx]Book'!K484</f>
        <v>0.0</v>
      </c>
      <c r="L484" s="15">
        <f>'[01_Entry.xlsx]Book'!L484</f>
        <v>0.0</v>
      </c>
      <c r="M484" s="15">
        <f>'[01_Entry.xlsx]Book'!M484</f>
        <v>0.0</v>
      </c>
      <c r="P484" s="56">
        <f>IF($A484="","",IFERROR(VALUE(MID($A484,6,2)),""))</f>
        <v/>
      </c>
    </row>
    <row r="485" spans="7:16">
      <c r="G485" s="15">
        <f>'[01_Entry.xlsx]Book'!G485</f>
        <v>0.0</v>
      </c>
      <c r="H485" s="15">
        <f>'[01_Entry.xlsx]Book'!H485</f>
        <v>0.0</v>
      </c>
      <c r="I485" s="15">
        <f>'[01_Entry.xlsx]Book'!I485</f>
        <v>0.0</v>
      </c>
      <c r="K485" s="15">
        <f>'[01_Entry.xlsx]Book'!K485</f>
        <v>0.0</v>
      </c>
      <c r="L485" s="15">
        <f>'[01_Entry.xlsx]Book'!L485</f>
        <v>0.0</v>
      </c>
      <c r="M485" s="15">
        <f>'[01_Entry.xlsx]Book'!M485</f>
        <v>0.0</v>
      </c>
      <c r="P485" s="56">
        <f>IF($A485="","",IFERROR(VALUE(MID($A485,6,2)),""))</f>
        <v/>
      </c>
    </row>
    <row r="486" spans="7:16">
      <c r="G486" s="15">
        <f>'[01_Entry.xlsx]Book'!G486</f>
        <v>0.0</v>
      </c>
      <c r="H486" s="15">
        <f>'[01_Entry.xlsx]Book'!H486</f>
        <v>0.0</v>
      </c>
      <c r="I486" s="15">
        <f>'[01_Entry.xlsx]Book'!I486</f>
        <v>0.0</v>
      </c>
      <c r="K486" s="15">
        <f>'[01_Entry.xlsx]Book'!K486</f>
        <v>0.0</v>
      </c>
      <c r="L486" s="15">
        <f>'[01_Entry.xlsx]Book'!L486</f>
        <v>0.0</v>
      </c>
      <c r="M486" s="15">
        <f>'[01_Entry.xlsx]Book'!M486</f>
        <v>0.0</v>
      </c>
      <c r="P486" s="56">
        <f>IF($A486="","",IFERROR(VALUE(MID($A486,6,2)),""))</f>
        <v/>
      </c>
    </row>
    <row r="487" spans="7:16">
      <c r="G487" s="15">
        <f>'[01_Entry.xlsx]Book'!G487</f>
        <v>0.0</v>
      </c>
      <c r="H487" s="15">
        <f>'[01_Entry.xlsx]Book'!H487</f>
        <v>0.0</v>
      </c>
      <c r="I487" s="15">
        <f>'[01_Entry.xlsx]Book'!I487</f>
        <v>0.0</v>
      </c>
      <c r="K487" s="15">
        <f>'[01_Entry.xlsx]Book'!K487</f>
        <v>0.0</v>
      </c>
      <c r="L487" s="15">
        <f>'[01_Entry.xlsx]Book'!L487</f>
        <v>0.0</v>
      </c>
      <c r="M487" s="15">
        <f>'[01_Entry.xlsx]Book'!M487</f>
        <v>0.0</v>
      </c>
      <c r="P487" s="56">
        <f>IF($A487="","",IFERROR(VALUE(MID($A487,6,2)),""))</f>
        <v/>
      </c>
    </row>
    <row r="488" spans="7:16">
      <c r="G488" s="15">
        <f>'[01_Entry.xlsx]Book'!G488</f>
        <v>0.0</v>
      </c>
      <c r="H488" s="15">
        <f>'[01_Entry.xlsx]Book'!H488</f>
        <v>0.0</v>
      </c>
      <c r="I488" s="15">
        <f>'[01_Entry.xlsx]Book'!I488</f>
        <v>0.0</v>
      </c>
      <c r="K488" s="15">
        <f>'[01_Entry.xlsx]Book'!K488</f>
        <v>0.0</v>
      </c>
      <c r="L488" s="15">
        <f>'[01_Entry.xlsx]Book'!L488</f>
        <v>0.0</v>
      </c>
      <c r="M488" s="15">
        <f>'[01_Entry.xlsx]Book'!M488</f>
        <v>0.0</v>
      </c>
      <c r="P488" s="56">
        <f>IF($A488="","",IFERROR(VALUE(MID($A488,6,2)),""))</f>
        <v/>
      </c>
    </row>
    <row r="489" spans="7:16">
      <c r="G489" s="15">
        <f>'[01_Entry.xlsx]Book'!G489</f>
        <v>0.0</v>
      </c>
      <c r="H489" s="15">
        <f>'[01_Entry.xlsx]Book'!H489</f>
        <v>0.0</v>
      </c>
      <c r="I489" s="15">
        <f>'[01_Entry.xlsx]Book'!I489</f>
        <v>0.0</v>
      </c>
      <c r="K489" s="15">
        <f>'[01_Entry.xlsx]Book'!K489</f>
        <v>0.0</v>
      </c>
      <c r="L489" s="15">
        <f>'[01_Entry.xlsx]Book'!L489</f>
        <v>0.0</v>
      </c>
      <c r="M489" s="15">
        <f>'[01_Entry.xlsx]Book'!M489</f>
        <v>0.0</v>
      </c>
      <c r="P489" s="56">
        <f>IF($A489="","",IFERROR(VALUE(MID($A489,6,2)),""))</f>
        <v/>
      </c>
    </row>
    <row r="490" spans="7:16">
      <c r="G490" s="15">
        <f>'[01_Entry.xlsx]Book'!G490</f>
        <v>0.0</v>
      </c>
      <c r="H490" s="15">
        <f>'[01_Entry.xlsx]Book'!H490</f>
        <v>0.0</v>
      </c>
      <c r="I490" s="15">
        <f>'[01_Entry.xlsx]Book'!I490</f>
        <v>0.0</v>
      </c>
      <c r="K490" s="15">
        <f>'[01_Entry.xlsx]Book'!K490</f>
        <v>0.0</v>
      </c>
      <c r="L490" s="15">
        <f>'[01_Entry.xlsx]Book'!L490</f>
        <v>0.0</v>
      </c>
      <c r="M490" s="15">
        <f>'[01_Entry.xlsx]Book'!M490</f>
        <v>0.0</v>
      </c>
      <c r="P490" s="56">
        <f>IF($A490="","",IFERROR(VALUE(MID($A490,6,2)),""))</f>
        <v/>
      </c>
    </row>
    <row r="491" spans="7:16">
      <c r="G491" s="15">
        <f>'[01_Entry.xlsx]Book'!G491</f>
        <v>0.0</v>
      </c>
      <c r="H491" s="15">
        <f>'[01_Entry.xlsx]Book'!H491</f>
        <v>0.0</v>
      </c>
      <c r="I491" s="15">
        <f>'[01_Entry.xlsx]Book'!I491</f>
        <v>0.0</v>
      </c>
      <c r="K491" s="15">
        <f>'[01_Entry.xlsx]Book'!K491</f>
        <v>0.0</v>
      </c>
      <c r="L491" s="15">
        <f>'[01_Entry.xlsx]Book'!L491</f>
        <v>0.0</v>
      </c>
      <c r="M491" s="15">
        <f>'[01_Entry.xlsx]Book'!M491</f>
        <v>0.0</v>
      </c>
      <c r="P491" s="56">
        <f>IF($A491="","",IFERROR(VALUE(MID($A491,6,2)),""))</f>
        <v/>
      </c>
    </row>
    <row r="492" spans="7:16">
      <c r="G492" s="15">
        <f>'[01_Entry.xlsx]Book'!G492</f>
        <v>0.0</v>
      </c>
      <c r="H492" s="15">
        <f>'[01_Entry.xlsx]Book'!H492</f>
        <v>0.0</v>
      </c>
      <c r="I492" s="15">
        <f>'[01_Entry.xlsx]Book'!I492</f>
        <v>0.0</v>
      </c>
      <c r="K492" s="15">
        <f>'[01_Entry.xlsx]Book'!K492</f>
        <v>0.0</v>
      </c>
      <c r="L492" s="15">
        <f>'[01_Entry.xlsx]Book'!L492</f>
        <v>0.0</v>
      </c>
      <c r="M492" s="15">
        <f>'[01_Entry.xlsx]Book'!M492</f>
        <v>0.0</v>
      </c>
      <c r="P492" s="56">
        <f>IF($A492="","",IFERROR(VALUE(MID($A492,6,2)),""))</f>
        <v/>
      </c>
    </row>
    <row r="493" spans="7:16">
      <c r="G493" s="15">
        <f>'[01_Entry.xlsx]Book'!G493</f>
        <v>0.0</v>
      </c>
      <c r="H493" s="15">
        <f>'[01_Entry.xlsx]Book'!H493</f>
        <v>0.0</v>
      </c>
      <c r="I493" s="15">
        <f>'[01_Entry.xlsx]Book'!I493</f>
        <v>0.0</v>
      </c>
      <c r="K493" s="15">
        <f>'[01_Entry.xlsx]Book'!K493</f>
        <v>0.0</v>
      </c>
      <c r="L493" s="15">
        <f>'[01_Entry.xlsx]Book'!L493</f>
        <v>0.0</v>
      </c>
      <c r="M493" s="15">
        <f>'[01_Entry.xlsx]Book'!M493</f>
        <v>0.0</v>
      </c>
      <c r="P493" s="56">
        <f>IF($A493="","",IFERROR(VALUE(MID($A493,6,2)),""))</f>
        <v/>
      </c>
    </row>
    <row r="494" spans="7:16">
      <c r="G494" s="15">
        <f>'[01_Entry.xlsx]Book'!G494</f>
        <v>0.0</v>
      </c>
      <c r="H494" s="15">
        <f>'[01_Entry.xlsx]Book'!H494</f>
        <v>0.0</v>
      </c>
      <c r="I494" s="15">
        <f>'[01_Entry.xlsx]Book'!I494</f>
        <v>0.0</v>
      </c>
      <c r="K494" s="15">
        <f>'[01_Entry.xlsx]Book'!K494</f>
        <v>0.0</v>
      </c>
      <c r="L494" s="15">
        <f>'[01_Entry.xlsx]Book'!L494</f>
        <v>0.0</v>
      </c>
      <c r="M494" s="15">
        <f>'[01_Entry.xlsx]Book'!M494</f>
        <v>0.0</v>
      </c>
      <c r="P494" s="56">
        <f>IF($A494="","",IFERROR(VALUE(MID($A494,6,2)),""))</f>
        <v/>
      </c>
    </row>
    <row r="495" spans="7:16">
      <c r="G495" s="15">
        <f>'[01_Entry.xlsx]Book'!G495</f>
        <v>0.0</v>
      </c>
      <c r="H495" s="15">
        <f>'[01_Entry.xlsx]Book'!H495</f>
        <v>0.0</v>
      </c>
      <c r="I495" s="15">
        <f>'[01_Entry.xlsx]Book'!I495</f>
        <v>0.0</v>
      </c>
      <c r="K495" s="15">
        <f>'[01_Entry.xlsx]Book'!K495</f>
        <v>0.0</v>
      </c>
      <c r="L495" s="15">
        <f>'[01_Entry.xlsx]Book'!L495</f>
        <v>0.0</v>
      </c>
      <c r="M495" s="15">
        <f>'[01_Entry.xlsx]Book'!M495</f>
        <v>0.0</v>
      </c>
      <c r="P495" s="56">
        <f>IF($A495="","",IFERROR(VALUE(MID($A495,6,2)),""))</f>
        <v/>
      </c>
    </row>
    <row r="496" spans="7:16">
      <c r="G496" s="15">
        <f>'[01_Entry.xlsx]Book'!G496</f>
        <v>0.0</v>
      </c>
      <c r="H496" s="15">
        <f>'[01_Entry.xlsx]Book'!H496</f>
        <v>0.0</v>
      </c>
      <c r="I496" s="15">
        <f>'[01_Entry.xlsx]Book'!I496</f>
        <v>0.0</v>
      </c>
      <c r="K496" s="15">
        <f>'[01_Entry.xlsx]Book'!K496</f>
        <v>0.0</v>
      </c>
      <c r="L496" s="15">
        <f>'[01_Entry.xlsx]Book'!L496</f>
        <v>0.0</v>
      </c>
      <c r="M496" s="15">
        <f>'[01_Entry.xlsx]Book'!M496</f>
        <v>0.0</v>
      </c>
      <c r="P496" s="56">
        <f>IF($A496="","",IFERROR(VALUE(MID($A496,6,2)),""))</f>
        <v/>
      </c>
    </row>
    <row r="497" spans="7:16">
      <c r="G497" s="15">
        <f>'[01_Entry.xlsx]Book'!G497</f>
        <v>0.0</v>
      </c>
      <c r="H497" s="15">
        <f>'[01_Entry.xlsx]Book'!H497</f>
        <v>0.0</v>
      </c>
      <c r="I497" s="15">
        <f>'[01_Entry.xlsx]Book'!I497</f>
        <v>0.0</v>
      </c>
      <c r="K497" s="15">
        <f>'[01_Entry.xlsx]Book'!K497</f>
        <v>0.0</v>
      </c>
      <c r="L497" s="15">
        <f>'[01_Entry.xlsx]Book'!L497</f>
        <v>0.0</v>
      </c>
      <c r="M497" s="15">
        <f>'[01_Entry.xlsx]Book'!M497</f>
        <v>0.0</v>
      </c>
      <c r="P497" s="56">
        <f>IF($A497="","",IFERROR(VALUE(MID($A497,6,2)),""))</f>
        <v/>
      </c>
    </row>
    <row r="498" spans="7:16">
      <c r="G498" s="15">
        <f>'[01_Entry.xlsx]Book'!G498</f>
        <v>0.0</v>
      </c>
      <c r="H498" s="15">
        <f>'[01_Entry.xlsx]Book'!H498</f>
        <v>0.0</v>
      </c>
      <c r="I498" s="15">
        <f>'[01_Entry.xlsx]Book'!I498</f>
        <v>0.0</v>
      </c>
      <c r="K498" s="15">
        <f>'[01_Entry.xlsx]Book'!K498</f>
        <v>0.0</v>
      </c>
      <c r="L498" s="15">
        <f>'[01_Entry.xlsx]Book'!L498</f>
        <v>0.0</v>
      </c>
      <c r="M498" s="15">
        <f>'[01_Entry.xlsx]Book'!M498</f>
        <v>0.0</v>
      </c>
      <c r="P498" s="56">
        <f>IF($A498="","",IFERROR(VALUE(MID($A498,6,2)),""))</f>
        <v/>
      </c>
    </row>
    <row r="499" spans="7:16">
      <c r="G499" s="15">
        <f>'[01_Entry.xlsx]Book'!G499</f>
        <v>0.0</v>
      </c>
      <c r="H499" s="15">
        <f>'[01_Entry.xlsx]Book'!H499</f>
        <v>0.0</v>
      </c>
      <c r="I499" s="15">
        <f>'[01_Entry.xlsx]Book'!I499</f>
        <v>0.0</v>
      </c>
      <c r="K499" s="15">
        <f>'[01_Entry.xlsx]Book'!K499</f>
        <v>0.0</v>
      </c>
      <c r="L499" s="15">
        <f>'[01_Entry.xlsx]Book'!L499</f>
        <v>0.0</v>
      </c>
      <c r="M499" s="15">
        <f>'[01_Entry.xlsx]Book'!M499</f>
        <v>0.0</v>
      </c>
      <c r="P499" s="56">
        <f>IF($A499="","",IFERROR(VALUE(MID($A499,6,2)),""))</f>
        <v/>
      </c>
    </row>
    <row r="500" spans="7:16">
      <c r="G500" s="15">
        <f>'[01_Entry.xlsx]Book'!G500</f>
        <v>0.0</v>
      </c>
      <c r="H500" s="15">
        <f>'[01_Entry.xlsx]Book'!H500</f>
        <v>0.0</v>
      </c>
      <c r="I500" s="15">
        <f>'[01_Entry.xlsx]Book'!I500</f>
        <v>0.0</v>
      </c>
      <c r="K500" s="15">
        <f>'[01_Entry.xlsx]Book'!K500</f>
        <v>0.0</v>
      </c>
      <c r="L500" s="15">
        <f>'[01_Entry.xlsx]Book'!L500</f>
        <v>0.0</v>
      </c>
      <c r="M500" s="15">
        <f>'[01_Entry.xlsx]Book'!M500</f>
        <v>0.0</v>
      </c>
      <c r="P500" s="56">
        <f>IF($A500="","",IFERROR(VALUE(MID($A500,6,2)),""))</f>
        <v/>
      </c>
    </row>
    <row r="501" spans="7:16">
      <c r="G501" s="15">
        <f>'[01_Entry.xlsx]Book'!G501</f>
        <v>0.0</v>
      </c>
      <c r="H501" s="15">
        <f>'[01_Entry.xlsx]Book'!H501</f>
        <v>0.0</v>
      </c>
      <c r="I501" s="15">
        <f>'[01_Entry.xlsx]Book'!I501</f>
        <v>0.0</v>
      </c>
      <c r="K501" s="15">
        <f>'[01_Entry.xlsx]Book'!K501</f>
        <v>0.0</v>
      </c>
      <c r="L501" s="15">
        <f>'[01_Entry.xlsx]Book'!L501</f>
        <v>0.0</v>
      </c>
      <c r="M501" s="15">
        <f>'[01_Entry.xlsx]Book'!M501</f>
        <v>0.0</v>
      </c>
      <c r="P501" s="56">
        <f>IF($A501="","",IFERROR(VALUE(MID($A501,6,2)),""))</f>
        <v/>
      </c>
    </row>
    <row r="502" spans="7:16">
      <c r="G502" s="15">
        <f>'[01_Entry.xlsx]Book'!G502</f>
        <v>0.0</v>
      </c>
      <c r="H502" s="15">
        <f>'[01_Entry.xlsx]Book'!H502</f>
        <v>0.0</v>
      </c>
      <c r="I502" s="15">
        <f>'[01_Entry.xlsx]Book'!I502</f>
        <v>0.0</v>
      </c>
      <c r="K502" s="15">
        <f>'[01_Entry.xlsx]Book'!K502</f>
        <v>0.0</v>
      </c>
      <c r="L502" s="15">
        <f>'[01_Entry.xlsx]Book'!L502</f>
        <v>0.0</v>
      </c>
      <c r="M502" s="15">
        <f>'[01_Entry.xlsx]Book'!M502</f>
        <v>0.0</v>
      </c>
      <c r="P502" s="56">
        <f>IF($A502="","",IFERROR(VALUE(MID($A502,6,2)),""))</f>
        <v/>
      </c>
    </row>
    <row r="503" spans="7:16">
      <c r="G503" s="15">
        <f>'[01_Entry.xlsx]Book'!G503</f>
        <v>0.0</v>
      </c>
      <c r="H503" s="15">
        <f>'[01_Entry.xlsx]Book'!H503</f>
        <v>0.0</v>
      </c>
      <c r="I503" s="15">
        <f>'[01_Entry.xlsx]Book'!I503</f>
        <v>0.0</v>
      </c>
      <c r="K503" s="15">
        <f>'[01_Entry.xlsx]Book'!K503</f>
        <v>0.0</v>
      </c>
      <c r="L503" s="15">
        <f>'[01_Entry.xlsx]Book'!L503</f>
        <v>0.0</v>
      </c>
      <c r="M503" s="15">
        <f>'[01_Entry.xlsx]Book'!M503</f>
        <v>0.0</v>
      </c>
      <c r="P503" s="56">
        <f>IF($A503="","",IFERROR(VALUE(MID($A503,6,2)),""))</f>
        <v/>
      </c>
    </row>
    <row r="504" spans="7:16">
      <c r="G504" s="15">
        <f>'[01_Entry.xlsx]Book'!G504</f>
        <v>0.0</v>
      </c>
      <c r="H504" s="15">
        <f>'[01_Entry.xlsx]Book'!H504</f>
        <v>0.0</v>
      </c>
      <c r="I504" s="15">
        <f>'[01_Entry.xlsx]Book'!I504</f>
        <v>0.0</v>
      </c>
      <c r="K504" s="15">
        <f>'[01_Entry.xlsx]Book'!K504</f>
        <v>0.0</v>
      </c>
      <c r="L504" s="15">
        <f>'[01_Entry.xlsx]Book'!L504</f>
        <v>0.0</v>
      </c>
      <c r="M504" s="15">
        <f>'[01_Entry.xlsx]Book'!M504</f>
        <v>0.0</v>
      </c>
      <c r="P504" s="56">
        <f>IF($A504="","",IFERROR(VALUE(MID($A504,6,2)),""))</f>
        <v/>
      </c>
    </row>
    <row r="505" spans="7:16">
      <c r="G505" s="15">
        <f>'[01_Entry.xlsx]Book'!G505</f>
        <v>0.0</v>
      </c>
      <c r="H505" s="15">
        <f>'[01_Entry.xlsx]Book'!H505</f>
        <v>0.0</v>
      </c>
      <c r="I505" s="15">
        <f>'[01_Entry.xlsx]Book'!I505</f>
        <v>0.0</v>
      </c>
      <c r="K505" s="15">
        <f>'[01_Entry.xlsx]Book'!K505</f>
        <v>0.0</v>
      </c>
      <c r="L505" s="15">
        <f>'[01_Entry.xlsx]Book'!L505</f>
        <v>0.0</v>
      </c>
      <c r="M505" s="15">
        <f>'[01_Entry.xlsx]Book'!M505</f>
        <v>0.0</v>
      </c>
      <c r="P505" s="56">
        <f>IF($A505="","",IFERROR(VALUE(MID($A505,6,2)),""))</f>
        <v/>
      </c>
    </row>
    <row r="506" spans="7:16">
      <c r="G506" s="15">
        <f>'[01_Entry.xlsx]Book'!G506</f>
        <v>0.0</v>
      </c>
      <c r="H506" s="15">
        <f>'[01_Entry.xlsx]Book'!H506</f>
        <v>0.0</v>
      </c>
      <c r="I506" s="15">
        <f>'[01_Entry.xlsx]Book'!I506</f>
        <v>0.0</v>
      </c>
      <c r="K506" s="15">
        <f>'[01_Entry.xlsx]Book'!K506</f>
        <v>0.0</v>
      </c>
      <c r="L506" s="15">
        <f>'[01_Entry.xlsx]Book'!L506</f>
        <v>0.0</v>
      </c>
      <c r="M506" s="15">
        <f>'[01_Entry.xlsx]Book'!M506</f>
        <v>0.0</v>
      </c>
      <c r="P506" s="56">
        <f>IF($A506="","",IFERROR(VALUE(MID($A506,6,2)),""))</f>
        <v/>
      </c>
    </row>
    <row r="507" spans="7:16">
      <c r="G507" s="15">
        <f>'[01_Entry.xlsx]Book'!G507</f>
        <v>0.0</v>
      </c>
      <c r="H507" s="15">
        <f>'[01_Entry.xlsx]Book'!H507</f>
        <v>0.0</v>
      </c>
      <c r="I507" s="15">
        <f>'[01_Entry.xlsx]Book'!I507</f>
        <v>0.0</v>
      </c>
      <c r="K507" s="15">
        <f>'[01_Entry.xlsx]Book'!K507</f>
        <v>0.0</v>
      </c>
      <c r="L507" s="15">
        <f>'[01_Entry.xlsx]Book'!L507</f>
        <v>0.0</v>
      </c>
      <c r="M507" s="15">
        <f>'[01_Entry.xlsx]Book'!M507</f>
        <v>0.0</v>
      </c>
      <c r="P507" s="56">
        <f>IF($A507="","",IFERROR(VALUE(MID($A507,6,2)),""))</f>
        <v/>
      </c>
    </row>
    <row r="508" spans="7:16">
      <c r="G508" s="15">
        <f>'[01_Entry.xlsx]Book'!G508</f>
        <v>0.0</v>
      </c>
      <c r="H508" s="15">
        <f>'[01_Entry.xlsx]Book'!H508</f>
        <v>0.0</v>
      </c>
      <c r="I508" s="15">
        <f>'[01_Entry.xlsx]Book'!I508</f>
        <v>0.0</v>
      </c>
      <c r="K508" s="15">
        <f>'[01_Entry.xlsx]Book'!K508</f>
        <v>0.0</v>
      </c>
      <c r="L508" s="15">
        <f>'[01_Entry.xlsx]Book'!L508</f>
        <v>0.0</v>
      </c>
      <c r="M508" s="15">
        <f>'[01_Entry.xlsx]Book'!M508</f>
        <v>0.0</v>
      </c>
      <c r="P508" s="56">
        <f>IF($A508="","",IFERROR(VALUE(MID($A508,6,2)),""))</f>
        <v/>
      </c>
    </row>
    <row r="509" spans="7:16">
      <c r="G509" s="15">
        <f>'[01_Entry.xlsx]Book'!G509</f>
        <v>0.0</v>
      </c>
      <c r="H509" s="15">
        <f>'[01_Entry.xlsx]Book'!H509</f>
        <v>0.0</v>
      </c>
      <c r="I509" s="15">
        <f>'[01_Entry.xlsx]Book'!I509</f>
        <v>0.0</v>
      </c>
      <c r="K509" s="15">
        <f>'[01_Entry.xlsx]Book'!K509</f>
        <v>0.0</v>
      </c>
      <c r="L509" s="15">
        <f>'[01_Entry.xlsx]Book'!L509</f>
        <v>0.0</v>
      </c>
      <c r="M509" s="15">
        <f>'[01_Entry.xlsx]Book'!M509</f>
        <v>0.0</v>
      </c>
      <c r="P509" s="56">
        <f>IF($A509="","",IFERROR(VALUE(MID($A509,6,2)),""))</f>
        <v/>
      </c>
    </row>
    <row r="510" spans="7:16">
      <c r="G510" s="15">
        <f>'[01_Entry.xlsx]Book'!G510</f>
        <v>0.0</v>
      </c>
      <c r="H510" s="15">
        <f>'[01_Entry.xlsx]Book'!H510</f>
        <v>0.0</v>
      </c>
      <c r="I510" s="15">
        <f>'[01_Entry.xlsx]Book'!I510</f>
        <v>0.0</v>
      </c>
      <c r="K510" s="15">
        <f>'[01_Entry.xlsx]Book'!K510</f>
        <v>0.0</v>
      </c>
      <c r="L510" s="15">
        <f>'[01_Entry.xlsx]Book'!L510</f>
        <v>0.0</v>
      </c>
      <c r="M510" s="15">
        <f>'[01_Entry.xlsx]Book'!M510</f>
        <v>0.0</v>
      </c>
      <c r="P510" s="56">
        <f>IF($A510="","",IFERROR(VALUE(MID($A510,6,2)),""))</f>
        <v/>
      </c>
    </row>
    <row r="511" spans="7:16">
      <c r="G511" s="15">
        <f>'[01_Entry.xlsx]Book'!G511</f>
        <v>0.0</v>
      </c>
      <c r="H511" s="15">
        <f>'[01_Entry.xlsx]Book'!H511</f>
        <v>0.0</v>
      </c>
      <c r="I511" s="15">
        <f>'[01_Entry.xlsx]Book'!I511</f>
        <v>0.0</v>
      </c>
      <c r="K511" s="15">
        <f>'[01_Entry.xlsx]Book'!K511</f>
        <v>0.0</v>
      </c>
      <c r="L511" s="15">
        <f>'[01_Entry.xlsx]Book'!L511</f>
        <v>0.0</v>
      </c>
      <c r="M511" s="15">
        <f>'[01_Entry.xlsx]Book'!M511</f>
        <v>0.0</v>
      </c>
      <c r="P511" s="56">
        <f>IF($A511="","",IFERROR(VALUE(MID($A511,6,2)),""))</f>
        <v/>
      </c>
    </row>
    <row r="512" spans="7:16">
      <c r="G512" s="15">
        <f>'[01_Entry.xlsx]Book'!G512</f>
        <v>0.0</v>
      </c>
      <c r="H512" s="15">
        <f>'[01_Entry.xlsx]Book'!H512</f>
        <v>0.0</v>
      </c>
      <c r="I512" s="15">
        <f>'[01_Entry.xlsx]Book'!I512</f>
        <v>0.0</v>
      </c>
      <c r="K512" s="15">
        <f>'[01_Entry.xlsx]Book'!K512</f>
        <v>0.0</v>
      </c>
      <c r="L512" s="15">
        <f>'[01_Entry.xlsx]Book'!L512</f>
        <v>0.0</v>
      </c>
      <c r="M512" s="15">
        <f>'[01_Entry.xlsx]Book'!M512</f>
        <v>0.0</v>
      </c>
      <c r="P512" s="56">
        <f>IF($A512="","",IFERROR(VALUE(MID($A512,6,2)),""))</f>
        <v/>
      </c>
    </row>
    <row r="513" spans="7:16">
      <c r="G513" s="15">
        <f>'[01_Entry.xlsx]Book'!G513</f>
        <v>0.0</v>
      </c>
      <c r="H513" s="15">
        <f>'[01_Entry.xlsx]Book'!H513</f>
        <v>0.0</v>
      </c>
      <c r="I513" s="15">
        <f>'[01_Entry.xlsx]Book'!I513</f>
        <v>0.0</v>
      </c>
      <c r="K513" s="15">
        <f>'[01_Entry.xlsx]Book'!K513</f>
        <v>0.0</v>
      </c>
      <c r="L513" s="15">
        <f>'[01_Entry.xlsx]Book'!L513</f>
        <v>0.0</v>
      </c>
      <c r="M513" s="15">
        <f>'[01_Entry.xlsx]Book'!M513</f>
        <v>0.0</v>
      </c>
      <c r="P513" s="56">
        <f>IF($A513="","",IFERROR(VALUE(MID($A513,6,2)),""))</f>
        <v/>
      </c>
    </row>
    <row r="514" spans="7:16">
      <c r="G514" s="15">
        <f>'[01_Entry.xlsx]Book'!G514</f>
        <v>0.0</v>
      </c>
      <c r="H514" s="15">
        <f>'[01_Entry.xlsx]Book'!H514</f>
        <v>0.0</v>
      </c>
      <c r="I514" s="15">
        <f>'[01_Entry.xlsx]Book'!I514</f>
        <v>0.0</v>
      </c>
      <c r="K514" s="15">
        <f>'[01_Entry.xlsx]Book'!K514</f>
        <v>0.0</v>
      </c>
      <c r="L514" s="15">
        <f>'[01_Entry.xlsx]Book'!L514</f>
        <v>0.0</v>
      </c>
      <c r="M514" s="15">
        <f>'[01_Entry.xlsx]Book'!M514</f>
        <v>0.0</v>
      </c>
      <c r="P514" s="56">
        <f>IF($A514="","",IFERROR(VALUE(MID($A514,6,2)),""))</f>
        <v/>
      </c>
    </row>
    <row r="515" spans="7:16">
      <c r="G515" s="15">
        <f>'[01_Entry.xlsx]Book'!G515</f>
        <v>0.0</v>
      </c>
      <c r="H515" s="15">
        <f>'[01_Entry.xlsx]Book'!H515</f>
        <v>0.0</v>
      </c>
      <c r="I515" s="15">
        <f>'[01_Entry.xlsx]Book'!I515</f>
        <v>0.0</v>
      </c>
      <c r="K515" s="15">
        <f>'[01_Entry.xlsx]Book'!K515</f>
        <v>0.0</v>
      </c>
      <c r="L515" s="15">
        <f>'[01_Entry.xlsx]Book'!L515</f>
        <v>0.0</v>
      </c>
      <c r="M515" s="15">
        <f>'[01_Entry.xlsx]Book'!M515</f>
        <v>0.0</v>
      </c>
      <c r="P515" s="56">
        <f>IF($A515="","",IFERROR(VALUE(MID($A515,6,2)),""))</f>
        <v/>
      </c>
    </row>
    <row r="516" spans="7:16">
      <c r="G516" s="15">
        <f>'[01_Entry.xlsx]Book'!G516</f>
        <v>0.0</v>
      </c>
      <c r="H516" s="15">
        <f>'[01_Entry.xlsx]Book'!H516</f>
        <v>0.0</v>
      </c>
      <c r="I516" s="15">
        <f>'[01_Entry.xlsx]Book'!I516</f>
        <v>0.0</v>
      </c>
      <c r="K516" s="15">
        <f>'[01_Entry.xlsx]Book'!K516</f>
        <v>0.0</v>
      </c>
      <c r="L516" s="15">
        <f>'[01_Entry.xlsx]Book'!L516</f>
        <v>0.0</v>
      </c>
      <c r="M516" s="15">
        <f>'[01_Entry.xlsx]Book'!M516</f>
        <v>0.0</v>
      </c>
      <c r="P516" s="56">
        <f>IF($A516="","",IFERROR(VALUE(MID($A516,6,2)),""))</f>
        <v/>
      </c>
    </row>
    <row r="517" spans="7:16">
      <c r="G517" s="15">
        <f>'[01_Entry.xlsx]Book'!G517</f>
        <v>0.0</v>
      </c>
      <c r="H517" s="15">
        <f>'[01_Entry.xlsx]Book'!H517</f>
        <v>0.0</v>
      </c>
      <c r="I517" s="15">
        <f>'[01_Entry.xlsx]Book'!I517</f>
        <v>0.0</v>
      </c>
      <c r="K517" s="15">
        <f>'[01_Entry.xlsx]Book'!K517</f>
        <v>0.0</v>
      </c>
      <c r="L517" s="15">
        <f>'[01_Entry.xlsx]Book'!L517</f>
        <v>0.0</v>
      </c>
      <c r="M517" s="15">
        <f>'[01_Entry.xlsx]Book'!M517</f>
        <v>0.0</v>
      </c>
      <c r="P517" s="56">
        <f>IF($A517="","",IFERROR(VALUE(MID($A517,6,2)),""))</f>
        <v/>
      </c>
    </row>
    <row r="518" spans="7:16">
      <c r="G518" s="15">
        <f>'[01_Entry.xlsx]Book'!G518</f>
        <v>0.0</v>
      </c>
      <c r="H518" s="15">
        <f>'[01_Entry.xlsx]Book'!H518</f>
        <v>0.0</v>
      </c>
      <c r="I518" s="15">
        <f>'[01_Entry.xlsx]Book'!I518</f>
        <v>0.0</v>
      </c>
      <c r="K518" s="15">
        <f>'[01_Entry.xlsx]Book'!K518</f>
        <v>0.0</v>
      </c>
      <c r="L518" s="15">
        <f>'[01_Entry.xlsx]Book'!L518</f>
        <v>0.0</v>
      </c>
      <c r="M518" s="15">
        <f>'[01_Entry.xlsx]Book'!M518</f>
        <v>0.0</v>
      </c>
      <c r="P518" s="56">
        <f>IF($A518="","",IFERROR(VALUE(MID($A518,6,2)),""))</f>
        <v/>
      </c>
    </row>
    <row r="519" spans="7:16">
      <c r="G519" s="15">
        <f>'[01_Entry.xlsx]Book'!G519</f>
        <v>0.0</v>
      </c>
      <c r="H519" s="15">
        <f>'[01_Entry.xlsx]Book'!H519</f>
        <v>0.0</v>
      </c>
      <c r="I519" s="15">
        <f>'[01_Entry.xlsx]Book'!I519</f>
        <v>0.0</v>
      </c>
      <c r="K519" s="15">
        <f>'[01_Entry.xlsx]Book'!K519</f>
        <v>0.0</v>
      </c>
      <c r="L519" s="15">
        <f>'[01_Entry.xlsx]Book'!L519</f>
        <v>0.0</v>
      </c>
      <c r="M519" s="15">
        <f>'[01_Entry.xlsx]Book'!M519</f>
        <v>0.0</v>
      </c>
      <c r="P519" s="56">
        <f>IF($A519="","",IFERROR(VALUE(MID($A519,6,2)),""))</f>
        <v/>
      </c>
    </row>
    <row r="520" spans="7:16">
      <c r="G520" s="15">
        <f>'[01_Entry.xlsx]Book'!G520</f>
        <v>0.0</v>
      </c>
      <c r="H520" s="15">
        <f>'[01_Entry.xlsx]Book'!H520</f>
        <v>0.0</v>
      </c>
      <c r="I520" s="15">
        <f>'[01_Entry.xlsx]Book'!I520</f>
        <v>0.0</v>
      </c>
      <c r="K520" s="15">
        <f>'[01_Entry.xlsx]Book'!K520</f>
        <v>0.0</v>
      </c>
      <c r="L520" s="15">
        <f>'[01_Entry.xlsx]Book'!L520</f>
        <v>0.0</v>
      </c>
      <c r="M520" s="15">
        <f>'[01_Entry.xlsx]Book'!M520</f>
        <v>0.0</v>
      </c>
      <c r="P520" s="56">
        <f>IF($A520="","",IFERROR(VALUE(MID($A520,6,2)),""))</f>
        <v/>
      </c>
    </row>
    <row r="521" spans="7:16">
      <c r="G521" s="15">
        <f>'[01_Entry.xlsx]Book'!G521</f>
        <v>0.0</v>
      </c>
      <c r="H521" s="15">
        <f>'[01_Entry.xlsx]Book'!H521</f>
        <v>0.0</v>
      </c>
      <c r="I521" s="15">
        <f>'[01_Entry.xlsx]Book'!I521</f>
        <v>0.0</v>
      </c>
      <c r="K521" s="15">
        <f>'[01_Entry.xlsx]Book'!K521</f>
        <v>0.0</v>
      </c>
      <c r="L521" s="15">
        <f>'[01_Entry.xlsx]Book'!L521</f>
        <v>0.0</v>
      </c>
      <c r="M521" s="15">
        <f>'[01_Entry.xlsx]Book'!M521</f>
        <v>0.0</v>
      </c>
      <c r="P521" s="56">
        <f>IF($A521="","",IFERROR(VALUE(MID($A521,6,2)),""))</f>
        <v/>
      </c>
    </row>
    <row r="522" spans="7:16">
      <c r="G522" s="15">
        <f>'[01_Entry.xlsx]Book'!G522</f>
        <v>0.0</v>
      </c>
      <c r="H522" s="15">
        <f>'[01_Entry.xlsx]Book'!H522</f>
        <v>0.0</v>
      </c>
      <c r="I522" s="15">
        <f>'[01_Entry.xlsx]Book'!I522</f>
        <v>0.0</v>
      </c>
      <c r="K522" s="15">
        <f>'[01_Entry.xlsx]Book'!K522</f>
        <v>0.0</v>
      </c>
      <c r="L522" s="15">
        <f>'[01_Entry.xlsx]Book'!L522</f>
        <v>0.0</v>
      </c>
      <c r="M522" s="15">
        <f>'[01_Entry.xlsx]Book'!M522</f>
        <v>0.0</v>
      </c>
      <c r="P522" s="56">
        <f>IF($A522="","",IFERROR(VALUE(MID($A522,6,2)),""))</f>
        <v/>
      </c>
    </row>
    <row r="523" spans="7:16">
      <c r="G523" s="15">
        <f>'[01_Entry.xlsx]Book'!G523</f>
        <v>0.0</v>
      </c>
      <c r="H523" s="15">
        <f>'[01_Entry.xlsx]Book'!H523</f>
        <v>0.0</v>
      </c>
      <c r="I523" s="15">
        <f>'[01_Entry.xlsx]Book'!I523</f>
        <v>0.0</v>
      </c>
      <c r="K523" s="15">
        <f>'[01_Entry.xlsx]Book'!K523</f>
        <v>0.0</v>
      </c>
      <c r="L523" s="15">
        <f>'[01_Entry.xlsx]Book'!L523</f>
        <v>0.0</v>
      </c>
      <c r="M523" s="15">
        <f>'[01_Entry.xlsx]Book'!M523</f>
        <v>0.0</v>
      </c>
      <c r="P523" s="56">
        <f>IF($A523="","",IFERROR(VALUE(MID($A523,6,2)),""))</f>
        <v/>
      </c>
    </row>
    <row r="524" spans="7:16">
      <c r="G524" s="15">
        <f>'[01_Entry.xlsx]Book'!G524</f>
        <v>0.0</v>
      </c>
      <c r="H524" s="15">
        <f>'[01_Entry.xlsx]Book'!H524</f>
        <v>0.0</v>
      </c>
      <c r="I524" s="15">
        <f>'[01_Entry.xlsx]Book'!I524</f>
        <v>0.0</v>
      </c>
      <c r="K524" s="15">
        <f>'[01_Entry.xlsx]Book'!K524</f>
        <v>0.0</v>
      </c>
      <c r="L524" s="15">
        <f>'[01_Entry.xlsx]Book'!L524</f>
        <v>0.0</v>
      </c>
      <c r="M524" s="15">
        <f>'[01_Entry.xlsx]Book'!M524</f>
        <v>0.0</v>
      </c>
      <c r="P524" s="56">
        <f>IF($A524="","",IFERROR(VALUE(MID($A524,6,2)),""))</f>
        <v/>
      </c>
    </row>
    <row r="525" spans="7:16">
      <c r="G525" s="15">
        <f>'[01_Entry.xlsx]Book'!G525</f>
        <v>0.0</v>
      </c>
      <c r="H525" s="15">
        <f>'[01_Entry.xlsx]Book'!H525</f>
        <v>0.0</v>
      </c>
      <c r="I525" s="15">
        <f>'[01_Entry.xlsx]Book'!I525</f>
        <v>0.0</v>
      </c>
      <c r="K525" s="15">
        <f>'[01_Entry.xlsx]Book'!K525</f>
        <v>0.0</v>
      </c>
      <c r="L525" s="15">
        <f>'[01_Entry.xlsx]Book'!L525</f>
        <v>0.0</v>
      </c>
      <c r="M525" s="15">
        <f>'[01_Entry.xlsx]Book'!M525</f>
        <v>0.0</v>
      </c>
      <c r="P525" s="56">
        <f>IF($A525="","",IFERROR(VALUE(MID($A525,6,2)),""))</f>
        <v/>
      </c>
    </row>
    <row r="526" spans="7:16">
      <c r="G526" s="15">
        <f>'[01_Entry.xlsx]Book'!G526</f>
        <v>0.0</v>
      </c>
      <c r="H526" s="15">
        <f>'[01_Entry.xlsx]Book'!H526</f>
        <v>0.0</v>
      </c>
      <c r="I526" s="15">
        <f>'[01_Entry.xlsx]Book'!I526</f>
        <v>0.0</v>
      </c>
      <c r="K526" s="15">
        <f>'[01_Entry.xlsx]Book'!K526</f>
        <v>0.0</v>
      </c>
      <c r="L526" s="15">
        <f>'[01_Entry.xlsx]Book'!L526</f>
        <v>0.0</v>
      </c>
      <c r="M526" s="15">
        <f>'[01_Entry.xlsx]Book'!M526</f>
        <v>0.0</v>
      </c>
      <c r="P526" s="56">
        <f>IF($A526="","",IFERROR(VALUE(MID($A526,6,2)),""))</f>
        <v/>
      </c>
    </row>
    <row r="527" spans="7:16">
      <c r="G527" s="15">
        <f>'[01_Entry.xlsx]Book'!G527</f>
        <v>0.0</v>
      </c>
      <c r="H527" s="15">
        <f>'[01_Entry.xlsx]Book'!H527</f>
        <v>0.0</v>
      </c>
      <c r="I527" s="15">
        <f>'[01_Entry.xlsx]Book'!I527</f>
        <v>0.0</v>
      </c>
      <c r="K527" s="15">
        <f>'[01_Entry.xlsx]Book'!K527</f>
        <v>0.0</v>
      </c>
      <c r="L527" s="15">
        <f>'[01_Entry.xlsx]Book'!L527</f>
        <v>0.0</v>
      </c>
      <c r="M527" s="15">
        <f>'[01_Entry.xlsx]Book'!M527</f>
        <v>0.0</v>
      </c>
      <c r="P527" s="56">
        <f>IF($A527="","",IFERROR(VALUE(MID($A527,6,2)),""))</f>
        <v/>
      </c>
    </row>
    <row r="528" spans="7:16">
      <c r="G528" s="15">
        <f>'[01_Entry.xlsx]Book'!G528</f>
        <v>0.0</v>
      </c>
      <c r="H528" s="15">
        <f>'[01_Entry.xlsx]Book'!H528</f>
        <v>0.0</v>
      </c>
      <c r="I528" s="15">
        <f>'[01_Entry.xlsx]Book'!I528</f>
        <v>0.0</v>
      </c>
      <c r="K528" s="15">
        <f>'[01_Entry.xlsx]Book'!K528</f>
        <v>0.0</v>
      </c>
      <c r="L528" s="15">
        <f>'[01_Entry.xlsx]Book'!L528</f>
        <v>0.0</v>
      </c>
      <c r="M528" s="15">
        <f>'[01_Entry.xlsx]Book'!M528</f>
        <v>0.0</v>
      </c>
      <c r="P528" s="56">
        <f>IF($A528="","",IFERROR(VALUE(MID($A528,6,2)),""))</f>
        <v/>
      </c>
    </row>
    <row r="529" spans="7:16">
      <c r="G529" s="15">
        <f>'[01_Entry.xlsx]Book'!G529</f>
        <v>0.0</v>
      </c>
      <c r="H529" s="15">
        <f>'[01_Entry.xlsx]Book'!H529</f>
        <v>0.0</v>
      </c>
      <c r="I529" s="15">
        <f>'[01_Entry.xlsx]Book'!I529</f>
        <v>0.0</v>
      </c>
      <c r="K529" s="15">
        <f>'[01_Entry.xlsx]Book'!K529</f>
        <v>0.0</v>
      </c>
      <c r="L529" s="15">
        <f>'[01_Entry.xlsx]Book'!L529</f>
        <v>0.0</v>
      </c>
      <c r="M529" s="15">
        <f>'[01_Entry.xlsx]Book'!M529</f>
        <v>0.0</v>
      </c>
      <c r="P529" s="56">
        <f>IF($A529="","",IFERROR(VALUE(MID($A529,6,2)),""))</f>
        <v/>
      </c>
    </row>
    <row r="530" spans="7:16">
      <c r="G530" s="15">
        <f>'[01_Entry.xlsx]Book'!G530</f>
        <v>0.0</v>
      </c>
      <c r="H530" s="15">
        <f>'[01_Entry.xlsx]Book'!H530</f>
        <v>0.0</v>
      </c>
      <c r="I530" s="15">
        <f>'[01_Entry.xlsx]Book'!I530</f>
        <v>0.0</v>
      </c>
      <c r="K530" s="15">
        <f>'[01_Entry.xlsx]Book'!K530</f>
        <v>0.0</v>
      </c>
      <c r="L530" s="15">
        <f>'[01_Entry.xlsx]Book'!L530</f>
        <v>0.0</v>
      </c>
      <c r="M530" s="15">
        <f>'[01_Entry.xlsx]Book'!M530</f>
        <v>0.0</v>
      </c>
      <c r="P530" s="56">
        <f>IF($A530="","",IFERROR(VALUE(MID($A530,6,2)),""))</f>
        <v/>
      </c>
    </row>
    <row r="531" spans="7:16">
      <c r="G531" s="15">
        <f>'[01_Entry.xlsx]Book'!G531</f>
        <v>0.0</v>
      </c>
      <c r="H531" s="15">
        <f>'[01_Entry.xlsx]Book'!H531</f>
        <v>0.0</v>
      </c>
      <c r="I531" s="15">
        <f>'[01_Entry.xlsx]Book'!I531</f>
        <v>0.0</v>
      </c>
      <c r="K531" s="15">
        <f>'[01_Entry.xlsx]Book'!K531</f>
        <v>0.0</v>
      </c>
      <c r="L531" s="15">
        <f>'[01_Entry.xlsx]Book'!L531</f>
        <v>0.0</v>
      </c>
      <c r="M531" s="15">
        <f>'[01_Entry.xlsx]Book'!M531</f>
        <v>0.0</v>
      </c>
      <c r="P531" s="56">
        <f>IF($A531="","",IFERROR(VALUE(MID($A531,6,2)),""))</f>
        <v/>
      </c>
    </row>
    <row r="532" spans="7:16">
      <c r="G532" s="15">
        <f>'[01_Entry.xlsx]Book'!G532</f>
        <v>0.0</v>
      </c>
      <c r="H532" s="15">
        <f>'[01_Entry.xlsx]Book'!H532</f>
        <v>0.0</v>
      </c>
      <c r="I532" s="15">
        <f>'[01_Entry.xlsx]Book'!I532</f>
        <v>0.0</v>
      </c>
      <c r="K532" s="15">
        <f>'[01_Entry.xlsx]Book'!K532</f>
        <v>0.0</v>
      </c>
      <c r="L532" s="15">
        <f>'[01_Entry.xlsx]Book'!L532</f>
        <v>0.0</v>
      </c>
      <c r="M532" s="15">
        <f>'[01_Entry.xlsx]Book'!M532</f>
        <v>0.0</v>
      </c>
      <c r="P532" s="56">
        <f>IF($A532="","",IFERROR(VALUE(MID($A532,6,2)),""))</f>
        <v/>
      </c>
    </row>
    <row r="533" spans="7:16">
      <c r="G533" s="15">
        <f>'[01_Entry.xlsx]Book'!G533</f>
        <v>0.0</v>
      </c>
      <c r="H533" s="15">
        <f>'[01_Entry.xlsx]Book'!H533</f>
        <v>0.0</v>
      </c>
      <c r="I533" s="15">
        <f>'[01_Entry.xlsx]Book'!I533</f>
        <v>0.0</v>
      </c>
      <c r="K533" s="15">
        <f>'[01_Entry.xlsx]Book'!K533</f>
        <v>0.0</v>
      </c>
      <c r="L533" s="15">
        <f>'[01_Entry.xlsx]Book'!L533</f>
        <v>0.0</v>
      </c>
      <c r="M533" s="15">
        <f>'[01_Entry.xlsx]Book'!M533</f>
        <v>0.0</v>
      </c>
      <c r="P533" s="56">
        <f>IF($A533="","",IFERROR(VALUE(MID($A533,6,2)),""))</f>
        <v/>
      </c>
    </row>
    <row r="534" spans="7:16">
      <c r="G534" s="15">
        <f>'[01_Entry.xlsx]Book'!G534</f>
        <v>0.0</v>
      </c>
      <c r="H534" s="15">
        <f>'[01_Entry.xlsx]Book'!H534</f>
        <v>0.0</v>
      </c>
      <c r="I534" s="15">
        <f>'[01_Entry.xlsx]Book'!I534</f>
        <v>0.0</v>
      </c>
      <c r="K534" s="15">
        <f>'[01_Entry.xlsx]Book'!K534</f>
        <v>0.0</v>
      </c>
      <c r="L534" s="15">
        <f>'[01_Entry.xlsx]Book'!L534</f>
        <v>0.0</v>
      </c>
      <c r="M534" s="15">
        <f>'[01_Entry.xlsx]Book'!M534</f>
        <v>0.0</v>
      </c>
      <c r="P534" s="56">
        <f>IF($A534="","",IFERROR(VALUE(MID($A534,6,2)),""))</f>
        <v/>
      </c>
    </row>
    <row r="535" spans="7:16">
      <c r="G535" s="15">
        <f>'[01_Entry.xlsx]Book'!G535</f>
        <v>0.0</v>
      </c>
      <c r="H535" s="15">
        <f>'[01_Entry.xlsx]Book'!H535</f>
        <v>0.0</v>
      </c>
      <c r="I535" s="15">
        <f>'[01_Entry.xlsx]Book'!I535</f>
        <v>0.0</v>
      </c>
      <c r="K535" s="15">
        <f>'[01_Entry.xlsx]Book'!K535</f>
        <v>0.0</v>
      </c>
      <c r="L535" s="15">
        <f>'[01_Entry.xlsx]Book'!L535</f>
        <v>0.0</v>
      </c>
      <c r="M535" s="15">
        <f>'[01_Entry.xlsx]Book'!M535</f>
        <v>0.0</v>
      </c>
      <c r="P535" s="56">
        <f>IF($A535="","",IFERROR(VALUE(MID($A535,6,2)),""))</f>
        <v/>
      </c>
    </row>
    <row r="536" spans="7:16">
      <c r="G536" s="15">
        <f>'[01_Entry.xlsx]Book'!G536</f>
        <v>0.0</v>
      </c>
      <c r="H536" s="15">
        <f>'[01_Entry.xlsx]Book'!H536</f>
        <v>0.0</v>
      </c>
      <c r="I536" s="15">
        <f>'[01_Entry.xlsx]Book'!I536</f>
        <v>0.0</v>
      </c>
      <c r="K536" s="15">
        <f>'[01_Entry.xlsx]Book'!K536</f>
        <v>0.0</v>
      </c>
      <c r="L536" s="15">
        <f>'[01_Entry.xlsx]Book'!L536</f>
        <v>0.0</v>
      </c>
      <c r="M536" s="15">
        <f>'[01_Entry.xlsx]Book'!M536</f>
        <v>0.0</v>
      </c>
      <c r="P536" s="56">
        <f>IF($A536="","",IFERROR(VALUE(MID($A536,6,2)),""))</f>
        <v/>
      </c>
    </row>
    <row r="537" spans="7:16">
      <c r="G537" s="15">
        <f>'[01_Entry.xlsx]Book'!G537</f>
        <v>0.0</v>
      </c>
      <c r="H537" s="15">
        <f>'[01_Entry.xlsx]Book'!H537</f>
        <v>0.0</v>
      </c>
      <c r="I537" s="15">
        <f>'[01_Entry.xlsx]Book'!I537</f>
        <v>0.0</v>
      </c>
      <c r="K537" s="15">
        <f>'[01_Entry.xlsx]Book'!K537</f>
        <v>0.0</v>
      </c>
      <c r="L537" s="15">
        <f>'[01_Entry.xlsx]Book'!L537</f>
        <v>0.0</v>
      </c>
      <c r="M537" s="15">
        <f>'[01_Entry.xlsx]Book'!M537</f>
        <v>0.0</v>
      </c>
      <c r="P537" s="56">
        <f>IF($A537="","",IFERROR(VALUE(MID($A537,6,2)),""))</f>
        <v/>
      </c>
    </row>
    <row r="538" spans="7:16">
      <c r="G538" s="15">
        <f>'[01_Entry.xlsx]Book'!G538</f>
        <v>0.0</v>
      </c>
      <c r="H538" s="15">
        <f>'[01_Entry.xlsx]Book'!H538</f>
        <v>0.0</v>
      </c>
      <c r="I538" s="15">
        <f>'[01_Entry.xlsx]Book'!I538</f>
        <v>0.0</v>
      </c>
      <c r="K538" s="15">
        <f>'[01_Entry.xlsx]Book'!K538</f>
        <v>0.0</v>
      </c>
      <c r="L538" s="15">
        <f>'[01_Entry.xlsx]Book'!L538</f>
        <v>0.0</v>
      </c>
      <c r="M538" s="15">
        <f>'[01_Entry.xlsx]Book'!M538</f>
        <v>0.0</v>
      </c>
      <c r="P538" s="56">
        <f>IF($A538="","",IFERROR(VALUE(MID($A538,6,2)),""))</f>
        <v/>
      </c>
    </row>
    <row r="539" spans="7:16">
      <c r="G539" s="15">
        <f>'[01_Entry.xlsx]Book'!G539</f>
        <v>0.0</v>
      </c>
      <c r="H539" s="15">
        <f>'[01_Entry.xlsx]Book'!H539</f>
        <v>0.0</v>
      </c>
      <c r="I539" s="15">
        <f>'[01_Entry.xlsx]Book'!I539</f>
        <v>0.0</v>
      </c>
      <c r="K539" s="15">
        <f>'[01_Entry.xlsx]Book'!K539</f>
        <v>0.0</v>
      </c>
      <c r="L539" s="15">
        <f>'[01_Entry.xlsx]Book'!L539</f>
        <v>0.0</v>
      </c>
      <c r="M539" s="15">
        <f>'[01_Entry.xlsx]Book'!M539</f>
        <v>0.0</v>
      </c>
      <c r="P539" s="56">
        <f>IF($A539="","",IFERROR(VALUE(MID($A539,6,2)),""))</f>
        <v/>
      </c>
    </row>
    <row r="540" spans="7:16">
      <c r="G540" s="15">
        <f>'[01_Entry.xlsx]Book'!G540</f>
        <v>0.0</v>
      </c>
      <c r="H540" s="15">
        <f>'[01_Entry.xlsx]Book'!H540</f>
        <v>0.0</v>
      </c>
      <c r="I540" s="15">
        <f>'[01_Entry.xlsx]Book'!I540</f>
        <v>0.0</v>
      </c>
      <c r="K540" s="15">
        <f>'[01_Entry.xlsx]Book'!K540</f>
        <v>0.0</v>
      </c>
      <c r="L540" s="15">
        <f>'[01_Entry.xlsx]Book'!L540</f>
        <v>0.0</v>
      </c>
      <c r="M540" s="15">
        <f>'[01_Entry.xlsx]Book'!M540</f>
        <v>0.0</v>
      </c>
      <c r="P540" s="56">
        <f>IF($A540="","",IFERROR(VALUE(MID($A540,6,2)),""))</f>
        <v/>
      </c>
    </row>
    <row r="541" spans="7:16">
      <c r="G541" s="15">
        <f>'[01_Entry.xlsx]Book'!G541</f>
        <v>0.0</v>
      </c>
      <c r="H541" s="15">
        <f>'[01_Entry.xlsx]Book'!H541</f>
        <v>0.0</v>
      </c>
      <c r="I541" s="15">
        <f>'[01_Entry.xlsx]Book'!I541</f>
        <v>0.0</v>
      </c>
      <c r="K541" s="15">
        <f>'[01_Entry.xlsx]Book'!K541</f>
        <v>0.0</v>
      </c>
      <c r="L541" s="15">
        <f>'[01_Entry.xlsx]Book'!L541</f>
        <v>0.0</v>
      </c>
      <c r="M541" s="15">
        <f>'[01_Entry.xlsx]Book'!M541</f>
        <v>0.0</v>
      </c>
      <c r="P541" s="56">
        <f>IF($A541="","",IFERROR(VALUE(MID($A541,6,2)),""))</f>
        <v/>
      </c>
    </row>
    <row r="542" spans="7:16">
      <c r="G542" s="15">
        <f>'[01_Entry.xlsx]Book'!G542</f>
        <v>0.0</v>
      </c>
      <c r="H542" s="15">
        <f>'[01_Entry.xlsx]Book'!H542</f>
        <v>0.0</v>
      </c>
      <c r="I542" s="15">
        <f>'[01_Entry.xlsx]Book'!I542</f>
        <v>0.0</v>
      </c>
      <c r="K542" s="15">
        <f>'[01_Entry.xlsx]Book'!K542</f>
        <v>0.0</v>
      </c>
      <c r="L542" s="15">
        <f>'[01_Entry.xlsx]Book'!L542</f>
        <v>0.0</v>
      </c>
      <c r="M542" s="15">
        <f>'[01_Entry.xlsx]Book'!M542</f>
        <v>0.0</v>
      </c>
      <c r="P542" s="56">
        <f>IF($A542="","",IFERROR(VALUE(MID($A542,6,2)),""))</f>
        <v/>
      </c>
    </row>
    <row r="543" spans="7:16">
      <c r="G543" s="15">
        <f>'[01_Entry.xlsx]Book'!G543</f>
        <v>0.0</v>
      </c>
      <c r="H543" s="15">
        <f>'[01_Entry.xlsx]Book'!H543</f>
        <v>0.0</v>
      </c>
      <c r="I543" s="15">
        <f>'[01_Entry.xlsx]Book'!I543</f>
        <v>0.0</v>
      </c>
      <c r="K543" s="15">
        <f>'[01_Entry.xlsx]Book'!K543</f>
        <v>0.0</v>
      </c>
      <c r="L543" s="15">
        <f>'[01_Entry.xlsx]Book'!L543</f>
        <v>0.0</v>
      </c>
      <c r="M543" s="15">
        <f>'[01_Entry.xlsx]Book'!M543</f>
        <v>0.0</v>
      </c>
      <c r="P543" s="56">
        <f>IF($A543="","",IFERROR(VALUE(MID($A543,6,2)),""))</f>
        <v/>
      </c>
    </row>
    <row r="544" spans="7:16">
      <c r="G544" s="15">
        <f>'[01_Entry.xlsx]Book'!G544</f>
        <v>0.0</v>
      </c>
      <c r="H544" s="15">
        <f>'[01_Entry.xlsx]Book'!H544</f>
        <v>0.0</v>
      </c>
      <c r="I544" s="15">
        <f>'[01_Entry.xlsx]Book'!I544</f>
        <v>0.0</v>
      </c>
      <c r="K544" s="15">
        <f>'[01_Entry.xlsx]Book'!K544</f>
        <v>0.0</v>
      </c>
      <c r="L544" s="15">
        <f>'[01_Entry.xlsx]Book'!L544</f>
        <v>0.0</v>
      </c>
      <c r="M544" s="15">
        <f>'[01_Entry.xlsx]Book'!M544</f>
        <v>0.0</v>
      </c>
      <c r="P544" s="56">
        <f>IF($A544="","",IFERROR(VALUE(MID($A544,6,2)),""))</f>
        <v/>
      </c>
    </row>
    <row r="545" spans="7:16">
      <c r="G545" s="15">
        <f>'[01_Entry.xlsx]Book'!G545</f>
        <v>0.0</v>
      </c>
      <c r="H545" s="15">
        <f>'[01_Entry.xlsx]Book'!H545</f>
        <v>0.0</v>
      </c>
      <c r="I545" s="15">
        <f>'[01_Entry.xlsx]Book'!I545</f>
        <v>0.0</v>
      </c>
      <c r="K545" s="15">
        <f>'[01_Entry.xlsx]Book'!K545</f>
        <v>0.0</v>
      </c>
      <c r="L545" s="15">
        <f>'[01_Entry.xlsx]Book'!L545</f>
        <v>0.0</v>
      </c>
      <c r="M545" s="15">
        <f>'[01_Entry.xlsx]Book'!M545</f>
        <v>0.0</v>
      </c>
      <c r="P545" s="56">
        <f>IF($A545="","",IFERROR(VALUE(MID($A545,6,2)),""))</f>
        <v/>
      </c>
    </row>
    <row r="546" spans="7:16">
      <c r="G546" s="15">
        <f>'[01_Entry.xlsx]Book'!G546</f>
        <v>0.0</v>
      </c>
      <c r="H546" s="15">
        <f>'[01_Entry.xlsx]Book'!H546</f>
        <v>0.0</v>
      </c>
      <c r="I546" s="15">
        <f>'[01_Entry.xlsx]Book'!I546</f>
        <v>0.0</v>
      </c>
      <c r="K546" s="15">
        <f>'[01_Entry.xlsx]Book'!K546</f>
        <v>0.0</v>
      </c>
      <c r="L546" s="15">
        <f>'[01_Entry.xlsx]Book'!L546</f>
        <v>0.0</v>
      </c>
      <c r="M546" s="15">
        <f>'[01_Entry.xlsx]Book'!M546</f>
        <v>0.0</v>
      </c>
      <c r="P546" s="56">
        <f>IF($A546="","",IFERROR(VALUE(MID($A546,6,2)),""))</f>
        <v/>
      </c>
    </row>
    <row r="547" spans="7:16">
      <c r="G547" s="15">
        <f>'[01_Entry.xlsx]Book'!G547</f>
        <v>0.0</v>
      </c>
      <c r="H547" s="15">
        <f>'[01_Entry.xlsx]Book'!H547</f>
        <v>0.0</v>
      </c>
      <c r="I547" s="15">
        <f>'[01_Entry.xlsx]Book'!I547</f>
        <v>0.0</v>
      </c>
      <c r="K547" s="15">
        <f>'[01_Entry.xlsx]Book'!K547</f>
        <v>0.0</v>
      </c>
      <c r="L547" s="15">
        <f>'[01_Entry.xlsx]Book'!L547</f>
        <v>0.0</v>
      </c>
      <c r="M547" s="15">
        <f>'[01_Entry.xlsx]Book'!M547</f>
        <v>0.0</v>
      </c>
      <c r="P547" s="56">
        <f>IF($A547="","",IFERROR(VALUE(MID($A547,6,2)),""))</f>
        <v/>
      </c>
    </row>
    <row r="548" spans="7:16">
      <c r="G548" s="15">
        <f>'[01_Entry.xlsx]Book'!G548</f>
        <v>0.0</v>
      </c>
      <c r="H548" s="15">
        <f>'[01_Entry.xlsx]Book'!H548</f>
        <v>0.0</v>
      </c>
      <c r="I548" s="15">
        <f>'[01_Entry.xlsx]Book'!I548</f>
        <v>0.0</v>
      </c>
      <c r="K548" s="15">
        <f>'[01_Entry.xlsx]Book'!K548</f>
        <v>0.0</v>
      </c>
      <c r="L548" s="15">
        <f>'[01_Entry.xlsx]Book'!L548</f>
        <v>0.0</v>
      </c>
      <c r="M548" s="15">
        <f>'[01_Entry.xlsx]Book'!M548</f>
        <v>0.0</v>
      </c>
      <c r="P548" s="56">
        <f>IF($A548="","",IFERROR(VALUE(MID($A548,6,2)),""))</f>
        <v/>
      </c>
    </row>
    <row r="549" spans="7:16">
      <c r="G549" s="15">
        <f>'[01_Entry.xlsx]Book'!G549</f>
        <v>0.0</v>
      </c>
      <c r="H549" s="15">
        <f>'[01_Entry.xlsx]Book'!H549</f>
        <v>0.0</v>
      </c>
      <c r="I549" s="15">
        <f>'[01_Entry.xlsx]Book'!I549</f>
        <v>0.0</v>
      </c>
      <c r="K549" s="15">
        <f>'[01_Entry.xlsx]Book'!K549</f>
        <v>0.0</v>
      </c>
      <c r="L549" s="15">
        <f>'[01_Entry.xlsx]Book'!L549</f>
        <v>0.0</v>
      </c>
      <c r="M549" s="15">
        <f>'[01_Entry.xlsx]Book'!M549</f>
        <v>0.0</v>
      </c>
      <c r="P549" s="56">
        <f>IF($A549="","",IFERROR(VALUE(MID($A549,6,2)),""))</f>
        <v/>
      </c>
    </row>
    <row r="550" spans="7:16">
      <c r="G550" s="15">
        <f>'[01_Entry.xlsx]Book'!G550</f>
        <v>0.0</v>
      </c>
      <c r="H550" s="15">
        <f>'[01_Entry.xlsx]Book'!H550</f>
        <v>0.0</v>
      </c>
      <c r="I550" s="15">
        <f>'[01_Entry.xlsx]Book'!I550</f>
        <v>0.0</v>
      </c>
      <c r="K550" s="15">
        <f>'[01_Entry.xlsx]Book'!K550</f>
        <v>0.0</v>
      </c>
      <c r="L550" s="15">
        <f>'[01_Entry.xlsx]Book'!L550</f>
        <v>0.0</v>
      </c>
      <c r="M550" s="15">
        <f>'[01_Entry.xlsx]Book'!M550</f>
        <v>0.0</v>
      </c>
      <c r="P550" s="56">
        <f>IF($A550="","",IFERROR(VALUE(MID($A550,6,2)),""))</f>
        <v/>
      </c>
    </row>
    <row r="551" spans="7:16">
      <c r="G551" s="15">
        <f>'[01_Entry.xlsx]Book'!G551</f>
        <v>0.0</v>
      </c>
      <c r="H551" s="15">
        <f>'[01_Entry.xlsx]Book'!H551</f>
        <v>0.0</v>
      </c>
      <c r="I551" s="15">
        <f>'[01_Entry.xlsx]Book'!I551</f>
        <v>0.0</v>
      </c>
      <c r="K551" s="15">
        <f>'[01_Entry.xlsx]Book'!K551</f>
        <v>0.0</v>
      </c>
      <c r="L551" s="15">
        <f>'[01_Entry.xlsx]Book'!L551</f>
        <v>0.0</v>
      </c>
      <c r="M551" s="15">
        <f>'[01_Entry.xlsx]Book'!M551</f>
        <v>0.0</v>
      </c>
      <c r="P551" s="56">
        <f>IF($A551="","",IFERROR(VALUE(MID($A551,6,2)),""))</f>
        <v/>
      </c>
    </row>
    <row r="552" spans="7:16">
      <c r="G552" s="15">
        <f>'[01_Entry.xlsx]Book'!G552</f>
        <v>0.0</v>
      </c>
      <c r="H552" s="15">
        <f>'[01_Entry.xlsx]Book'!H552</f>
        <v>0.0</v>
      </c>
      <c r="I552" s="15">
        <f>'[01_Entry.xlsx]Book'!I552</f>
        <v>0.0</v>
      </c>
      <c r="K552" s="15">
        <f>'[01_Entry.xlsx]Book'!K552</f>
        <v>0.0</v>
      </c>
      <c r="L552" s="15">
        <f>'[01_Entry.xlsx]Book'!L552</f>
        <v>0.0</v>
      </c>
      <c r="M552" s="15">
        <f>'[01_Entry.xlsx]Book'!M552</f>
        <v>0.0</v>
      </c>
      <c r="P552" s="56">
        <f>IF($A552="","",IFERROR(VALUE(MID($A552,6,2)),""))</f>
        <v/>
      </c>
    </row>
    <row r="553" spans="7:16">
      <c r="G553" s="15">
        <f>'[01_Entry.xlsx]Book'!G553</f>
        <v>0.0</v>
      </c>
      <c r="H553" s="15">
        <f>'[01_Entry.xlsx]Book'!H553</f>
        <v>0.0</v>
      </c>
      <c r="I553" s="15">
        <f>'[01_Entry.xlsx]Book'!I553</f>
        <v>0.0</v>
      </c>
      <c r="K553" s="15">
        <f>'[01_Entry.xlsx]Book'!K553</f>
        <v>0.0</v>
      </c>
      <c r="L553" s="15">
        <f>'[01_Entry.xlsx]Book'!L553</f>
        <v>0.0</v>
      </c>
      <c r="M553" s="15">
        <f>'[01_Entry.xlsx]Book'!M553</f>
        <v>0.0</v>
      </c>
      <c r="P553" s="56">
        <f>IF($A553="","",IFERROR(VALUE(MID($A553,6,2)),""))</f>
        <v/>
      </c>
    </row>
    <row r="554" spans="7:16">
      <c r="G554" s="15">
        <f>'[01_Entry.xlsx]Book'!G554</f>
        <v>0.0</v>
      </c>
      <c r="H554" s="15">
        <f>'[01_Entry.xlsx]Book'!H554</f>
        <v>0.0</v>
      </c>
      <c r="I554" s="15">
        <f>'[01_Entry.xlsx]Book'!I554</f>
        <v>0.0</v>
      </c>
      <c r="K554" s="15">
        <f>'[01_Entry.xlsx]Book'!K554</f>
        <v>0.0</v>
      </c>
      <c r="L554" s="15">
        <f>'[01_Entry.xlsx]Book'!L554</f>
        <v>0.0</v>
      </c>
      <c r="M554" s="15">
        <f>'[01_Entry.xlsx]Book'!M554</f>
        <v>0.0</v>
      </c>
      <c r="P554" s="56">
        <f>IF($A554="","",IFERROR(VALUE(MID($A554,6,2)),""))</f>
        <v/>
      </c>
    </row>
    <row r="555" spans="7:16">
      <c r="G555" s="15">
        <f>'[01_Entry.xlsx]Book'!G555</f>
        <v>0.0</v>
      </c>
      <c r="H555" s="15">
        <f>'[01_Entry.xlsx]Book'!H555</f>
        <v>0.0</v>
      </c>
      <c r="I555" s="15">
        <f>'[01_Entry.xlsx]Book'!I555</f>
        <v>0.0</v>
      </c>
      <c r="K555" s="15">
        <f>'[01_Entry.xlsx]Book'!K555</f>
        <v>0.0</v>
      </c>
      <c r="L555" s="15">
        <f>'[01_Entry.xlsx]Book'!L555</f>
        <v>0.0</v>
      </c>
      <c r="M555" s="15">
        <f>'[01_Entry.xlsx]Book'!M555</f>
        <v>0.0</v>
      </c>
      <c r="P555" s="56">
        <f>IF($A555="","",IFERROR(VALUE(MID($A555,6,2)),""))</f>
        <v/>
      </c>
    </row>
    <row r="556" spans="7:16">
      <c r="G556" s="15">
        <f>'[01_Entry.xlsx]Book'!G556</f>
        <v>0.0</v>
      </c>
      <c r="H556" s="15">
        <f>'[01_Entry.xlsx]Book'!H556</f>
        <v>0.0</v>
      </c>
      <c r="I556" s="15">
        <f>'[01_Entry.xlsx]Book'!I556</f>
        <v>0.0</v>
      </c>
      <c r="K556" s="15">
        <f>'[01_Entry.xlsx]Book'!K556</f>
        <v>0.0</v>
      </c>
      <c r="L556" s="15">
        <f>'[01_Entry.xlsx]Book'!L556</f>
        <v>0.0</v>
      </c>
      <c r="M556" s="15">
        <f>'[01_Entry.xlsx]Book'!M556</f>
        <v>0.0</v>
      </c>
      <c r="P556" s="56">
        <f>IF($A556="","",IFERROR(VALUE(MID($A556,6,2)),""))</f>
        <v/>
      </c>
    </row>
    <row r="557" spans="7:16">
      <c r="G557" s="15">
        <f>'[01_Entry.xlsx]Book'!G557</f>
        <v>0.0</v>
      </c>
      <c r="H557" s="15">
        <f>'[01_Entry.xlsx]Book'!H557</f>
        <v>0.0</v>
      </c>
      <c r="I557" s="15">
        <f>'[01_Entry.xlsx]Book'!I557</f>
        <v>0.0</v>
      </c>
      <c r="K557" s="15">
        <f>'[01_Entry.xlsx]Book'!K557</f>
        <v>0.0</v>
      </c>
      <c r="L557" s="15">
        <f>'[01_Entry.xlsx]Book'!L557</f>
        <v>0.0</v>
      </c>
      <c r="M557" s="15">
        <f>'[01_Entry.xlsx]Book'!M557</f>
        <v>0.0</v>
      </c>
      <c r="P557" s="56">
        <f>IF($A557="","",IFERROR(VALUE(MID($A557,6,2)),""))</f>
        <v/>
      </c>
    </row>
    <row r="558" spans="7:16">
      <c r="G558" s="15">
        <f>'[01_Entry.xlsx]Book'!G558</f>
        <v>0.0</v>
      </c>
      <c r="H558" s="15">
        <f>'[01_Entry.xlsx]Book'!H558</f>
        <v>0.0</v>
      </c>
      <c r="I558" s="15">
        <f>'[01_Entry.xlsx]Book'!I558</f>
        <v>0.0</v>
      </c>
      <c r="K558" s="15">
        <f>'[01_Entry.xlsx]Book'!K558</f>
        <v>0.0</v>
      </c>
      <c r="L558" s="15">
        <f>'[01_Entry.xlsx]Book'!L558</f>
        <v>0.0</v>
      </c>
      <c r="M558" s="15">
        <f>'[01_Entry.xlsx]Book'!M558</f>
        <v>0.0</v>
      </c>
      <c r="P558" s="56">
        <f>IF($A558="","",IFERROR(VALUE(MID($A558,6,2)),""))</f>
        <v/>
      </c>
    </row>
    <row r="559" spans="7:16">
      <c r="G559" s="15">
        <f>'[01_Entry.xlsx]Book'!G559</f>
        <v>0.0</v>
      </c>
      <c r="H559" s="15">
        <f>'[01_Entry.xlsx]Book'!H559</f>
        <v>0.0</v>
      </c>
      <c r="I559" s="15">
        <f>'[01_Entry.xlsx]Book'!I559</f>
        <v>0.0</v>
      </c>
      <c r="K559" s="15">
        <f>'[01_Entry.xlsx]Book'!K559</f>
        <v>0.0</v>
      </c>
      <c r="L559" s="15">
        <f>'[01_Entry.xlsx]Book'!L559</f>
        <v>0.0</v>
      </c>
      <c r="M559" s="15">
        <f>'[01_Entry.xlsx]Book'!M559</f>
        <v>0.0</v>
      </c>
      <c r="P559" s="56">
        <f>IF($A559="","",IFERROR(VALUE(MID($A559,6,2)),""))</f>
        <v/>
      </c>
    </row>
    <row r="560" spans="7:16">
      <c r="G560" s="15">
        <f>'[01_Entry.xlsx]Book'!G560</f>
        <v>0.0</v>
      </c>
      <c r="H560" s="15">
        <f>'[01_Entry.xlsx]Book'!H560</f>
        <v>0.0</v>
      </c>
      <c r="I560" s="15">
        <f>'[01_Entry.xlsx]Book'!I560</f>
        <v>0.0</v>
      </c>
      <c r="K560" s="15">
        <f>'[01_Entry.xlsx]Book'!K560</f>
        <v>0.0</v>
      </c>
      <c r="L560" s="15">
        <f>'[01_Entry.xlsx]Book'!L560</f>
        <v>0.0</v>
      </c>
      <c r="M560" s="15">
        <f>'[01_Entry.xlsx]Book'!M560</f>
        <v>0.0</v>
      </c>
      <c r="P560" s="56">
        <f>IF($A560="","",IFERROR(VALUE(MID($A560,6,2)),""))</f>
        <v/>
      </c>
    </row>
    <row r="561" spans="7:16">
      <c r="G561" s="15">
        <f>'[01_Entry.xlsx]Book'!G561</f>
        <v>0.0</v>
      </c>
      <c r="H561" s="15">
        <f>'[01_Entry.xlsx]Book'!H561</f>
        <v>0.0</v>
      </c>
      <c r="I561" s="15">
        <f>'[01_Entry.xlsx]Book'!I561</f>
        <v>0.0</v>
      </c>
      <c r="K561" s="15">
        <f>'[01_Entry.xlsx]Book'!K561</f>
        <v>0.0</v>
      </c>
      <c r="L561" s="15">
        <f>'[01_Entry.xlsx]Book'!L561</f>
        <v>0.0</v>
      </c>
      <c r="M561" s="15">
        <f>'[01_Entry.xlsx]Book'!M561</f>
        <v>0.0</v>
      </c>
      <c r="P561" s="56">
        <f>IF($A561="","",IFERROR(VALUE(MID($A561,6,2)),""))</f>
        <v/>
      </c>
    </row>
    <row r="562" spans="7:16">
      <c r="G562" s="15">
        <f>'[01_Entry.xlsx]Book'!G562</f>
        <v>0.0</v>
      </c>
      <c r="H562" s="15">
        <f>'[01_Entry.xlsx]Book'!H562</f>
        <v>0.0</v>
      </c>
      <c r="I562" s="15">
        <f>'[01_Entry.xlsx]Book'!I562</f>
        <v>0.0</v>
      </c>
      <c r="K562" s="15">
        <f>'[01_Entry.xlsx]Book'!K562</f>
        <v>0.0</v>
      </c>
      <c r="L562" s="15">
        <f>'[01_Entry.xlsx]Book'!L562</f>
        <v>0.0</v>
      </c>
      <c r="M562" s="15">
        <f>'[01_Entry.xlsx]Book'!M562</f>
        <v>0.0</v>
      </c>
      <c r="P562" s="56">
        <f>IF($A562="","",IFERROR(VALUE(MID($A562,6,2)),""))</f>
        <v/>
      </c>
    </row>
    <row r="563" spans="7:16">
      <c r="G563" s="15">
        <f>'[01_Entry.xlsx]Book'!G563</f>
        <v>0.0</v>
      </c>
      <c r="H563" s="15">
        <f>'[01_Entry.xlsx]Book'!H563</f>
        <v>0.0</v>
      </c>
      <c r="I563" s="15">
        <f>'[01_Entry.xlsx]Book'!I563</f>
        <v>0.0</v>
      </c>
      <c r="K563" s="15">
        <f>'[01_Entry.xlsx]Book'!K563</f>
        <v>0.0</v>
      </c>
      <c r="L563" s="15">
        <f>'[01_Entry.xlsx]Book'!L563</f>
        <v>0.0</v>
      </c>
      <c r="M563" s="15">
        <f>'[01_Entry.xlsx]Book'!M563</f>
        <v>0.0</v>
      </c>
      <c r="P563" s="56">
        <f>IF($A563="","",IFERROR(VALUE(MID($A563,6,2)),""))</f>
        <v/>
      </c>
    </row>
    <row r="564" spans="7:16">
      <c r="G564" s="15">
        <f>'[01_Entry.xlsx]Book'!G564</f>
        <v>0.0</v>
      </c>
      <c r="H564" s="15">
        <f>'[01_Entry.xlsx]Book'!H564</f>
        <v>0.0</v>
      </c>
      <c r="I564" s="15">
        <f>'[01_Entry.xlsx]Book'!I564</f>
        <v>0.0</v>
      </c>
      <c r="K564" s="15">
        <f>'[01_Entry.xlsx]Book'!K564</f>
        <v>0.0</v>
      </c>
      <c r="L564" s="15">
        <f>'[01_Entry.xlsx]Book'!L564</f>
        <v>0.0</v>
      </c>
      <c r="M564" s="15">
        <f>'[01_Entry.xlsx]Book'!M564</f>
        <v>0.0</v>
      </c>
      <c r="P564" s="56">
        <f>IF($A564="","",IFERROR(VALUE(MID($A564,6,2)),""))</f>
        <v/>
      </c>
    </row>
    <row r="565" spans="7:16">
      <c r="G565" s="15">
        <f>'[01_Entry.xlsx]Book'!G565</f>
        <v>0.0</v>
      </c>
      <c r="H565" s="15">
        <f>'[01_Entry.xlsx]Book'!H565</f>
        <v>0.0</v>
      </c>
      <c r="I565" s="15">
        <f>'[01_Entry.xlsx]Book'!I565</f>
        <v>0.0</v>
      </c>
      <c r="K565" s="15">
        <f>'[01_Entry.xlsx]Book'!K565</f>
        <v>0.0</v>
      </c>
      <c r="L565" s="15">
        <f>'[01_Entry.xlsx]Book'!L565</f>
        <v>0.0</v>
      </c>
      <c r="M565" s="15">
        <f>'[01_Entry.xlsx]Book'!M565</f>
        <v>0.0</v>
      </c>
      <c r="P565" s="56">
        <f>IF($A565="","",IFERROR(VALUE(MID($A565,6,2)),""))</f>
        <v/>
      </c>
    </row>
    <row r="566" spans="7:16">
      <c r="G566" s="15">
        <f>'[01_Entry.xlsx]Book'!G566</f>
        <v>0.0</v>
      </c>
      <c r="H566" s="15">
        <f>'[01_Entry.xlsx]Book'!H566</f>
        <v>0.0</v>
      </c>
      <c r="I566" s="15">
        <f>'[01_Entry.xlsx]Book'!I566</f>
        <v>0.0</v>
      </c>
      <c r="K566" s="15">
        <f>'[01_Entry.xlsx]Book'!K566</f>
        <v>0.0</v>
      </c>
      <c r="L566" s="15">
        <f>'[01_Entry.xlsx]Book'!L566</f>
        <v>0.0</v>
      </c>
      <c r="M566" s="15">
        <f>'[01_Entry.xlsx]Book'!M566</f>
        <v>0.0</v>
      </c>
      <c r="P566" s="56">
        <f>IF($A566="","",IFERROR(VALUE(MID($A566,6,2)),""))</f>
        <v/>
      </c>
    </row>
    <row r="567" spans="7:16">
      <c r="G567" s="15">
        <f>'[01_Entry.xlsx]Book'!G567</f>
        <v>0.0</v>
      </c>
      <c r="H567" s="15">
        <f>'[01_Entry.xlsx]Book'!H567</f>
        <v>0.0</v>
      </c>
      <c r="I567" s="15">
        <f>'[01_Entry.xlsx]Book'!I567</f>
        <v>0.0</v>
      </c>
      <c r="K567" s="15">
        <f>'[01_Entry.xlsx]Book'!K567</f>
        <v>0.0</v>
      </c>
      <c r="L567" s="15">
        <f>'[01_Entry.xlsx]Book'!L567</f>
        <v>0.0</v>
      </c>
      <c r="M567" s="15">
        <f>'[01_Entry.xlsx]Book'!M567</f>
        <v>0.0</v>
      </c>
      <c r="P567" s="56">
        <f>IF($A567="","",IFERROR(VALUE(MID($A567,6,2)),""))</f>
        <v/>
      </c>
    </row>
    <row r="568" spans="7:16">
      <c r="G568" s="15">
        <f>'[01_Entry.xlsx]Book'!G568</f>
        <v>0.0</v>
      </c>
      <c r="H568" s="15">
        <f>'[01_Entry.xlsx]Book'!H568</f>
        <v>0.0</v>
      </c>
      <c r="I568" s="15">
        <f>'[01_Entry.xlsx]Book'!I568</f>
        <v>0.0</v>
      </c>
      <c r="K568" s="15">
        <f>'[01_Entry.xlsx]Book'!K568</f>
        <v>0.0</v>
      </c>
      <c r="L568" s="15">
        <f>'[01_Entry.xlsx]Book'!L568</f>
        <v>0.0</v>
      </c>
      <c r="M568" s="15">
        <f>'[01_Entry.xlsx]Book'!M568</f>
        <v>0.0</v>
      </c>
      <c r="P568" s="56">
        <f>IF($A568="","",IFERROR(VALUE(MID($A568,6,2)),""))</f>
        <v/>
      </c>
    </row>
    <row r="569" spans="7:16">
      <c r="G569" s="15">
        <f>'[01_Entry.xlsx]Book'!G569</f>
        <v>0.0</v>
      </c>
      <c r="H569" s="15">
        <f>'[01_Entry.xlsx]Book'!H569</f>
        <v>0.0</v>
      </c>
      <c r="I569" s="15">
        <f>'[01_Entry.xlsx]Book'!I569</f>
        <v>0.0</v>
      </c>
      <c r="K569" s="15">
        <f>'[01_Entry.xlsx]Book'!K569</f>
        <v>0.0</v>
      </c>
      <c r="L569" s="15">
        <f>'[01_Entry.xlsx]Book'!L569</f>
        <v>0.0</v>
      </c>
      <c r="M569" s="15">
        <f>'[01_Entry.xlsx]Book'!M569</f>
        <v>0.0</v>
      </c>
      <c r="P569" s="56">
        <f>IF($A569="","",IFERROR(VALUE(MID($A569,6,2)),""))</f>
        <v/>
      </c>
    </row>
    <row r="570" spans="7:16">
      <c r="G570" s="15">
        <f>'[01_Entry.xlsx]Book'!G570</f>
        <v>0.0</v>
      </c>
      <c r="H570" s="15">
        <f>'[01_Entry.xlsx]Book'!H570</f>
        <v>0.0</v>
      </c>
      <c r="I570" s="15">
        <f>'[01_Entry.xlsx]Book'!I570</f>
        <v>0.0</v>
      </c>
      <c r="K570" s="15">
        <f>'[01_Entry.xlsx]Book'!K570</f>
        <v>0.0</v>
      </c>
      <c r="L570" s="15">
        <f>'[01_Entry.xlsx]Book'!L570</f>
        <v>0.0</v>
      </c>
      <c r="M570" s="15">
        <f>'[01_Entry.xlsx]Book'!M570</f>
        <v>0.0</v>
      </c>
      <c r="P570" s="56">
        <f>IF($A570="","",IFERROR(VALUE(MID($A570,6,2)),""))</f>
        <v/>
      </c>
    </row>
    <row r="571" spans="7:16">
      <c r="G571" s="15">
        <f>'[01_Entry.xlsx]Book'!G571</f>
        <v>0.0</v>
      </c>
      <c r="H571" s="15">
        <f>'[01_Entry.xlsx]Book'!H571</f>
        <v>0.0</v>
      </c>
      <c r="I571" s="15">
        <f>'[01_Entry.xlsx]Book'!I571</f>
        <v>0.0</v>
      </c>
      <c r="K571" s="15">
        <f>'[01_Entry.xlsx]Book'!K571</f>
        <v>0.0</v>
      </c>
      <c r="L571" s="15">
        <f>'[01_Entry.xlsx]Book'!L571</f>
        <v>0.0</v>
      </c>
      <c r="M571" s="15">
        <f>'[01_Entry.xlsx]Book'!M571</f>
        <v>0.0</v>
      </c>
      <c r="P571" s="56">
        <f>IF($A571="","",IFERROR(VALUE(MID($A571,6,2)),""))</f>
        <v/>
      </c>
    </row>
    <row r="572" spans="7:16">
      <c r="G572" s="15">
        <f>'[01_Entry.xlsx]Book'!G572</f>
        <v>0.0</v>
      </c>
      <c r="H572" s="15">
        <f>'[01_Entry.xlsx]Book'!H572</f>
        <v>0.0</v>
      </c>
      <c r="I572" s="15">
        <f>'[01_Entry.xlsx]Book'!I572</f>
        <v>0.0</v>
      </c>
      <c r="K572" s="15">
        <f>'[01_Entry.xlsx]Book'!K572</f>
        <v>0.0</v>
      </c>
      <c r="L572" s="15">
        <f>'[01_Entry.xlsx]Book'!L572</f>
        <v>0.0</v>
      </c>
      <c r="M572" s="15">
        <f>'[01_Entry.xlsx]Book'!M572</f>
        <v>0.0</v>
      </c>
      <c r="P572" s="56">
        <f>IF($A572="","",IFERROR(VALUE(MID($A572,6,2)),""))</f>
        <v/>
      </c>
    </row>
    <row r="573" spans="7:16">
      <c r="G573" s="15">
        <f>'[01_Entry.xlsx]Book'!G573</f>
        <v>0.0</v>
      </c>
      <c r="H573" s="15">
        <f>'[01_Entry.xlsx]Book'!H573</f>
        <v>0.0</v>
      </c>
      <c r="I573" s="15">
        <f>'[01_Entry.xlsx]Book'!I573</f>
        <v>0.0</v>
      </c>
      <c r="K573" s="15">
        <f>'[01_Entry.xlsx]Book'!K573</f>
        <v>0.0</v>
      </c>
      <c r="L573" s="15">
        <f>'[01_Entry.xlsx]Book'!L573</f>
        <v>0.0</v>
      </c>
      <c r="M573" s="15">
        <f>'[01_Entry.xlsx]Book'!M573</f>
        <v>0.0</v>
      </c>
      <c r="P573" s="56">
        <f>IF($A573="","",IFERROR(VALUE(MID($A573,6,2)),""))</f>
        <v/>
      </c>
    </row>
    <row r="574" spans="7:16">
      <c r="G574" s="15">
        <f>'[01_Entry.xlsx]Book'!G574</f>
        <v>0.0</v>
      </c>
      <c r="H574" s="15">
        <f>'[01_Entry.xlsx]Book'!H574</f>
        <v>0.0</v>
      </c>
      <c r="I574" s="15">
        <f>'[01_Entry.xlsx]Book'!I574</f>
        <v>0.0</v>
      </c>
      <c r="K574" s="15">
        <f>'[01_Entry.xlsx]Book'!K574</f>
        <v>0.0</v>
      </c>
      <c r="L574" s="15">
        <f>'[01_Entry.xlsx]Book'!L574</f>
        <v>0.0</v>
      </c>
      <c r="M574" s="15">
        <f>'[01_Entry.xlsx]Book'!M574</f>
        <v>0.0</v>
      </c>
      <c r="P574" s="56">
        <f>IF($A574="","",IFERROR(VALUE(MID($A574,6,2)),""))</f>
        <v/>
      </c>
    </row>
    <row r="575" spans="7:16">
      <c r="G575" s="15">
        <f>'[01_Entry.xlsx]Book'!G575</f>
        <v>0.0</v>
      </c>
      <c r="H575" s="15">
        <f>'[01_Entry.xlsx]Book'!H575</f>
        <v>0.0</v>
      </c>
      <c r="I575" s="15">
        <f>'[01_Entry.xlsx]Book'!I575</f>
        <v>0.0</v>
      </c>
      <c r="K575" s="15">
        <f>'[01_Entry.xlsx]Book'!K575</f>
        <v>0.0</v>
      </c>
      <c r="L575" s="15">
        <f>'[01_Entry.xlsx]Book'!L575</f>
        <v>0.0</v>
      </c>
      <c r="M575" s="15">
        <f>'[01_Entry.xlsx]Book'!M575</f>
        <v>0.0</v>
      </c>
      <c r="P575" s="56">
        <f>IF($A575="","",IFERROR(VALUE(MID($A575,6,2)),""))</f>
        <v/>
      </c>
    </row>
    <row r="576" spans="7:16">
      <c r="G576" s="15">
        <f>'[01_Entry.xlsx]Book'!G576</f>
        <v>0.0</v>
      </c>
      <c r="H576" s="15">
        <f>'[01_Entry.xlsx]Book'!H576</f>
        <v>0.0</v>
      </c>
      <c r="I576" s="15">
        <f>'[01_Entry.xlsx]Book'!I576</f>
        <v>0.0</v>
      </c>
      <c r="K576" s="15">
        <f>'[01_Entry.xlsx]Book'!K576</f>
        <v>0.0</v>
      </c>
      <c r="L576" s="15">
        <f>'[01_Entry.xlsx]Book'!L576</f>
        <v>0.0</v>
      </c>
      <c r="M576" s="15">
        <f>'[01_Entry.xlsx]Book'!M576</f>
        <v>0.0</v>
      </c>
      <c r="P576" s="56">
        <f>IF($A576="","",IFERROR(VALUE(MID($A576,6,2)),""))</f>
        <v/>
      </c>
    </row>
    <row r="577" spans="7:16">
      <c r="G577" s="15">
        <f>'[01_Entry.xlsx]Book'!G577</f>
        <v>0.0</v>
      </c>
      <c r="H577" s="15">
        <f>'[01_Entry.xlsx]Book'!H577</f>
        <v>0.0</v>
      </c>
      <c r="I577" s="15">
        <f>'[01_Entry.xlsx]Book'!I577</f>
        <v>0.0</v>
      </c>
      <c r="K577" s="15">
        <f>'[01_Entry.xlsx]Book'!K577</f>
        <v>0.0</v>
      </c>
      <c r="L577" s="15">
        <f>'[01_Entry.xlsx]Book'!L577</f>
        <v>0.0</v>
      </c>
      <c r="M577" s="15">
        <f>'[01_Entry.xlsx]Book'!M577</f>
        <v>0.0</v>
      </c>
      <c r="P577" s="56">
        <f>IF($A577="","",IFERROR(VALUE(MID($A577,6,2)),""))</f>
        <v/>
      </c>
    </row>
    <row r="578" spans="7:16">
      <c r="G578" s="15">
        <f>'[01_Entry.xlsx]Book'!G578</f>
        <v>0.0</v>
      </c>
      <c r="H578" s="15">
        <f>'[01_Entry.xlsx]Book'!H578</f>
        <v>0.0</v>
      </c>
      <c r="I578" s="15">
        <f>'[01_Entry.xlsx]Book'!I578</f>
        <v>0.0</v>
      </c>
      <c r="K578" s="15">
        <f>'[01_Entry.xlsx]Book'!K578</f>
        <v>0.0</v>
      </c>
      <c r="L578" s="15">
        <f>'[01_Entry.xlsx]Book'!L578</f>
        <v>0.0</v>
      </c>
      <c r="M578" s="15">
        <f>'[01_Entry.xlsx]Book'!M578</f>
        <v>0.0</v>
      </c>
      <c r="P578" s="56">
        <f>IF($A578="","",IFERROR(VALUE(MID($A578,6,2)),""))</f>
        <v/>
      </c>
    </row>
    <row r="579" spans="7:16">
      <c r="G579" s="15">
        <f>'[01_Entry.xlsx]Book'!G579</f>
        <v>0.0</v>
      </c>
      <c r="H579" s="15">
        <f>'[01_Entry.xlsx]Book'!H579</f>
        <v>0.0</v>
      </c>
      <c r="I579" s="15">
        <f>'[01_Entry.xlsx]Book'!I579</f>
        <v>0.0</v>
      </c>
      <c r="K579" s="15">
        <f>'[01_Entry.xlsx]Book'!K579</f>
        <v>0.0</v>
      </c>
      <c r="L579" s="15">
        <f>'[01_Entry.xlsx]Book'!L579</f>
        <v>0.0</v>
      </c>
      <c r="M579" s="15">
        <f>'[01_Entry.xlsx]Book'!M579</f>
        <v>0.0</v>
      </c>
      <c r="P579" s="56">
        <f>IF($A579="","",IFERROR(VALUE(MID($A579,6,2)),""))</f>
        <v/>
      </c>
    </row>
    <row r="580" spans="7:16">
      <c r="G580" s="15">
        <f>'[01_Entry.xlsx]Book'!G580</f>
        <v>0.0</v>
      </c>
      <c r="H580" s="15">
        <f>'[01_Entry.xlsx]Book'!H580</f>
        <v>0.0</v>
      </c>
      <c r="I580" s="15">
        <f>'[01_Entry.xlsx]Book'!I580</f>
        <v>0.0</v>
      </c>
      <c r="K580" s="15">
        <f>'[01_Entry.xlsx]Book'!K580</f>
        <v>0.0</v>
      </c>
      <c r="L580" s="15">
        <f>'[01_Entry.xlsx]Book'!L580</f>
        <v>0.0</v>
      </c>
      <c r="M580" s="15">
        <f>'[01_Entry.xlsx]Book'!M580</f>
        <v>0.0</v>
      </c>
      <c r="P580" s="56">
        <f>IF($A580="","",IFERROR(VALUE(MID($A580,6,2)),""))</f>
        <v/>
      </c>
    </row>
    <row r="581" spans="7:16">
      <c r="G581" s="15">
        <f>'[01_Entry.xlsx]Book'!G581</f>
        <v>0.0</v>
      </c>
      <c r="H581" s="15">
        <f>'[01_Entry.xlsx]Book'!H581</f>
        <v>0.0</v>
      </c>
      <c r="I581" s="15">
        <f>'[01_Entry.xlsx]Book'!I581</f>
        <v>0.0</v>
      </c>
      <c r="K581" s="15">
        <f>'[01_Entry.xlsx]Book'!K581</f>
        <v>0.0</v>
      </c>
      <c r="L581" s="15">
        <f>'[01_Entry.xlsx]Book'!L581</f>
        <v>0.0</v>
      </c>
      <c r="M581" s="15">
        <f>'[01_Entry.xlsx]Book'!M581</f>
        <v>0.0</v>
      </c>
      <c r="P581" s="56">
        <f>IF($A581="","",IFERROR(VALUE(MID($A581,6,2)),""))</f>
        <v/>
      </c>
    </row>
    <row r="582" spans="7:16">
      <c r="G582" s="15">
        <f>'[01_Entry.xlsx]Book'!G582</f>
        <v>0.0</v>
      </c>
      <c r="H582" s="15">
        <f>'[01_Entry.xlsx]Book'!H582</f>
        <v>0.0</v>
      </c>
      <c r="I582" s="15">
        <f>'[01_Entry.xlsx]Book'!I582</f>
        <v>0.0</v>
      </c>
      <c r="K582" s="15">
        <f>'[01_Entry.xlsx]Book'!K582</f>
        <v>0.0</v>
      </c>
      <c r="L582" s="15">
        <f>'[01_Entry.xlsx]Book'!L582</f>
        <v>0.0</v>
      </c>
      <c r="M582" s="15">
        <f>'[01_Entry.xlsx]Book'!M582</f>
        <v>0.0</v>
      </c>
      <c r="P582" s="56">
        <f>IF($A582="","",IFERROR(VALUE(MID($A582,6,2)),""))</f>
        <v/>
      </c>
    </row>
    <row r="583" spans="7:16">
      <c r="G583" s="15">
        <f>'[01_Entry.xlsx]Book'!G583</f>
        <v>0.0</v>
      </c>
      <c r="H583" s="15">
        <f>'[01_Entry.xlsx]Book'!H583</f>
        <v>0.0</v>
      </c>
      <c r="I583" s="15">
        <f>'[01_Entry.xlsx]Book'!I583</f>
        <v>0.0</v>
      </c>
      <c r="K583" s="15">
        <f>'[01_Entry.xlsx]Book'!K583</f>
        <v>0.0</v>
      </c>
      <c r="L583" s="15">
        <f>'[01_Entry.xlsx]Book'!L583</f>
        <v>0.0</v>
      </c>
      <c r="M583" s="15">
        <f>'[01_Entry.xlsx]Book'!M583</f>
        <v>0.0</v>
      </c>
      <c r="P583" s="56">
        <f>IF($A583="","",IFERROR(VALUE(MID($A583,6,2)),""))</f>
        <v/>
      </c>
    </row>
    <row r="584" spans="7:16">
      <c r="G584" s="15">
        <f>'[01_Entry.xlsx]Book'!G584</f>
        <v>0.0</v>
      </c>
      <c r="H584" s="15">
        <f>'[01_Entry.xlsx]Book'!H584</f>
        <v>0.0</v>
      </c>
      <c r="I584" s="15">
        <f>'[01_Entry.xlsx]Book'!I584</f>
        <v>0.0</v>
      </c>
      <c r="K584" s="15">
        <f>'[01_Entry.xlsx]Book'!K584</f>
        <v>0.0</v>
      </c>
      <c r="L584" s="15">
        <f>'[01_Entry.xlsx]Book'!L584</f>
        <v>0.0</v>
      </c>
      <c r="M584" s="15">
        <f>'[01_Entry.xlsx]Book'!M584</f>
        <v>0.0</v>
      </c>
      <c r="P584" s="56">
        <f>IF($A584="","",IFERROR(VALUE(MID($A584,6,2)),""))</f>
        <v/>
      </c>
    </row>
    <row r="585" spans="7:16">
      <c r="G585" s="15">
        <f>'[01_Entry.xlsx]Book'!G585</f>
        <v>0.0</v>
      </c>
      <c r="H585" s="15">
        <f>'[01_Entry.xlsx]Book'!H585</f>
        <v>0.0</v>
      </c>
      <c r="I585" s="15">
        <f>'[01_Entry.xlsx]Book'!I585</f>
        <v>0.0</v>
      </c>
      <c r="K585" s="15">
        <f>'[01_Entry.xlsx]Book'!K585</f>
        <v>0.0</v>
      </c>
      <c r="L585" s="15">
        <f>'[01_Entry.xlsx]Book'!L585</f>
        <v>0.0</v>
      </c>
      <c r="M585" s="15">
        <f>'[01_Entry.xlsx]Book'!M585</f>
        <v>0.0</v>
      </c>
      <c r="P585" s="56">
        <f>IF($A585="","",IFERROR(VALUE(MID($A585,6,2)),""))</f>
        <v/>
      </c>
    </row>
    <row r="586" spans="7:16">
      <c r="G586" s="15">
        <f>'[01_Entry.xlsx]Book'!G586</f>
        <v>0.0</v>
      </c>
      <c r="H586" s="15">
        <f>'[01_Entry.xlsx]Book'!H586</f>
        <v>0.0</v>
      </c>
      <c r="I586" s="15">
        <f>'[01_Entry.xlsx]Book'!I586</f>
        <v>0.0</v>
      </c>
      <c r="K586" s="15">
        <f>'[01_Entry.xlsx]Book'!K586</f>
        <v>0.0</v>
      </c>
      <c r="L586" s="15">
        <f>'[01_Entry.xlsx]Book'!L586</f>
        <v>0.0</v>
      </c>
      <c r="M586" s="15">
        <f>'[01_Entry.xlsx]Book'!M586</f>
        <v>0.0</v>
      </c>
      <c r="P586" s="56">
        <f>IF($A586="","",IFERROR(VALUE(MID($A586,6,2)),""))</f>
        <v/>
      </c>
    </row>
    <row r="587" spans="7:16">
      <c r="G587" s="15">
        <f>'[01_Entry.xlsx]Book'!G587</f>
        <v>0.0</v>
      </c>
      <c r="H587" s="15">
        <f>'[01_Entry.xlsx]Book'!H587</f>
        <v>0.0</v>
      </c>
      <c r="I587" s="15">
        <f>'[01_Entry.xlsx]Book'!I587</f>
        <v>0.0</v>
      </c>
      <c r="K587" s="15">
        <f>'[01_Entry.xlsx]Book'!K587</f>
        <v>0.0</v>
      </c>
      <c r="L587" s="15">
        <f>'[01_Entry.xlsx]Book'!L587</f>
        <v>0.0</v>
      </c>
      <c r="M587" s="15">
        <f>'[01_Entry.xlsx]Book'!M587</f>
        <v>0.0</v>
      </c>
      <c r="P587" s="56">
        <f>IF($A587="","",IFERROR(VALUE(MID($A587,6,2)),""))</f>
        <v/>
      </c>
    </row>
    <row r="588" spans="7:16">
      <c r="G588" s="15">
        <f>'[01_Entry.xlsx]Book'!G588</f>
        <v>0.0</v>
      </c>
      <c r="H588" s="15">
        <f>'[01_Entry.xlsx]Book'!H588</f>
        <v>0.0</v>
      </c>
      <c r="I588" s="15">
        <f>'[01_Entry.xlsx]Book'!I588</f>
        <v>0.0</v>
      </c>
      <c r="K588" s="15">
        <f>'[01_Entry.xlsx]Book'!K588</f>
        <v>0.0</v>
      </c>
      <c r="L588" s="15">
        <f>'[01_Entry.xlsx]Book'!L588</f>
        <v>0.0</v>
      </c>
      <c r="M588" s="15">
        <f>'[01_Entry.xlsx]Book'!M588</f>
        <v>0.0</v>
      </c>
      <c r="P588" s="56">
        <f>IF($A588="","",IFERROR(VALUE(MID($A588,6,2)),""))</f>
        <v/>
      </c>
    </row>
    <row r="589" spans="7:16">
      <c r="G589" s="15">
        <f>'[01_Entry.xlsx]Book'!G589</f>
        <v>0.0</v>
      </c>
      <c r="H589" s="15">
        <f>'[01_Entry.xlsx]Book'!H589</f>
        <v>0.0</v>
      </c>
      <c r="I589" s="15">
        <f>'[01_Entry.xlsx]Book'!I589</f>
        <v>0.0</v>
      </c>
      <c r="K589" s="15">
        <f>'[01_Entry.xlsx]Book'!K589</f>
        <v>0.0</v>
      </c>
      <c r="L589" s="15">
        <f>'[01_Entry.xlsx]Book'!L589</f>
        <v>0.0</v>
      </c>
      <c r="M589" s="15">
        <f>'[01_Entry.xlsx]Book'!M589</f>
        <v>0.0</v>
      </c>
      <c r="P589" s="56">
        <f>IF($A589="","",IFERROR(VALUE(MID($A589,6,2)),""))</f>
        <v/>
      </c>
    </row>
    <row r="590" spans="7:16">
      <c r="G590" s="15">
        <f>'[01_Entry.xlsx]Book'!G590</f>
        <v>0.0</v>
      </c>
      <c r="H590" s="15">
        <f>'[01_Entry.xlsx]Book'!H590</f>
        <v>0.0</v>
      </c>
      <c r="I590" s="15">
        <f>'[01_Entry.xlsx]Book'!I590</f>
        <v>0.0</v>
      </c>
      <c r="K590" s="15">
        <f>'[01_Entry.xlsx]Book'!K590</f>
        <v>0.0</v>
      </c>
      <c r="L590" s="15">
        <f>'[01_Entry.xlsx]Book'!L590</f>
        <v>0.0</v>
      </c>
      <c r="M590" s="15">
        <f>'[01_Entry.xlsx]Book'!M590</f>
        <v>0.0</v>
      </c>
      <c r="P590" s="56">
        <f>IF($A590="","",IFERROR(VALUE(MID($A590,6,2)),""))</f>
        <v/>
      </c>
    </row>
    <row r="591" spans="7:16">
      <c r="G591" s="15">
        <f>'[01_Entry.xlsx]Book'!G591</f>
        <v>0.0</v>
      </c>
      <c r="H591" s="15">
        <f>'[01_Entry.xlsx]Book'!H591</f>
        <v>0.0</v>
      </c>
      <c r="I591" s="15">
        <f>'[01_Entry.xlsx]Book'!I591</f>
        <v>0.0</v>
      </c>
      <c r="K591" s="15">
        <f>'[01_Entry.xlsx]Book'!K591</f>
        <v>0.0</v>
      </c>
      <c r="L591" s="15">
        <f>'[01_Entry.xlsx]Book'!L591</f>
        <v>0.0</v>
      </c>
      <c r="M591" s="15">
        <f>'[01_Entry.xlsx]Book'!M591</f>
        <v>0.0</v>
      </c>
      <c r="P591" s="56">
        <f>IF($A591="","",IFERROR(VALUE(MID($A591,6,2)),""))</f>
        <v/>
      </c>
    </row>
    <row r="592" spans="7:16">
      <c r="G592" s="15">
        <f>'[01_Entry.xlsx]Book'!G592</f>
        <v>0.0</v>
      </c>
      <c r="H592" s="15">
        <f>'[01_Entry.xlsx]Book'!H592</f>
        <v>0.0</v>
      </c>
      <c r="I592" s="15">
        <f>'[01_Entry.xlsx]Book'!I592</f>
        <v>0.0</v>
      </c>
      <c r="K592" s="15">
        <f>'[01_Entry.xlsx]Book'!K592</f>
        <v>0.0</v>
      </c>
      <c r="L592" s="15">
        <f>'[01_Entry.xlsx]Book'!L592</f>
        <v>0.0</v>
      </c>
      <c r="M592" s="15">
        <f>'[01_Entry.xlsx]Book'!M592</f>
        <v>0.0</v>
      </c>
      <c r="P592" s="56">
        <f>IF($A592="","",IFERROR(VALUE(MID($A592,6,2)),""))</f>
        <v/>
      </c>
    </row>
    <row r="593" spans="7:16">
      <c r="G593" s="15">
        <f>'[01_Entry.xlsx]Book'!G593</f>
        <v>0.0</v>
      </c>
      <c r="H593" s="15">
        <f>'[01_Entry.xlsx]Book'!H593</f>
        <v>0.0</v>
      </c>
      <c r="I593" s="15">
        <f>'[01_Entry.xlsx]Book'!I593</f>
        <v>0.0</v>
      </c>
      <c r="K593" s="15">
        <f>'[01_Entry.xlsx]Book'!K593</f>
        <v>0.0</v>
      </c>
      <c r="L593" s="15">
        <f>'[01_Entry.xlsx]Book'!L593</f>
        <v>0.0</v>
      </c>
      <c r="M593" s="15">
        <f>'[01_Entry.xlsx]Book'!M593</f>
        <v>0.0</v>
      </c>
      <c r="P593" s="56">
        <f>IF($A593="","",IFERROR(VALUE(MID($A593,6,2)),""))</f>
        <v/>
      </c>
    </row>
    <row r="594" spans="7:16">
      <c r="G594" s="15">
        <f>'[01_Entry.xlsx]Book'!G594</f>
        <v>0.0</v>
      </c>
      <c r="H594" s="15">
        <f>'[01_Entry.xlsx]Book'!H594</f>
        <v>0.0</v>
      </c>
      <c r="I594" s="15">
        <f>'[01_Entry.xlsx]Book'!I594</f>
        <v>0.0</v>
      </c>
      <c r="K594" s="15">
        <f>'[01_Entry.xlsx]Book'!K594</f>
        <v>0.0</v>
      </c>
      <c r="L594" s="15">
        <f>'[01_Entry.xlsx]Book'!L594</f>
        <v>0.0</v>
      </c>
      <c r="M594" s="15">
        <f>'[01_Entry.xlsx]Book'!M594</f>
        <v>0.0</v>
      </c>
      <c r="P594" s="56">
        <f>IF($A594="","",IFERROR(VALUE(MID($A594,6,2)),""))</f>
        <v/>
      </c>
    </row>
    <row r="595" spans="7:16">
      <c r="G595" s="15">
        <f>'[01_Entry.xlsx]Book'!G595</f>
        <v>0.0</v>
      </c>
      <c r="H595" s="15">
        <f>'[01_Entry.xlsx]Book'!H595</f>
        <v>0.0</v>
      </c>
      <c r="I595" s="15">
        <f>'[01_Entry.xlsx]Book'!I595</f>
        <v>0.0</v>
      </c>
      <c r="K595" s="15">
        <f>'[01_Entry.xlsx]Book'!K595</f>
        <v>0.0</v>
      </c>
      <c r="L595" s="15">
        <f>'[01_Entry.xlsx]Book'!L595</f>
        <v>0.0</v>
      </c>
      <c r="M595" s="15">
        <f>'[01_Entry.xlsx]Book'!M595</f>
        <v>0.0</v>
      </c>
      <c r="P595" s="56">
        <f>IF($A595="","",IFERROR(VALUE(MID($A595,6,2)),""))</f>
        <v/>
      </c>
    </row>
    <row r="596" spans="7:16">
      <c r="G596" s="15">
        <f>'[01_Entry.xlsx]Book'!G596</f>
        <v>0.0</v>
      </c>
      <c r="H596" s="15">
        <f>'[01_Entry.xlsx]Book'!H596</f>
        <v>0.0</v>
      </c>
      <c r="I596" s="15">
        <f>'[01_Entry.xlsx]Book'!I596</f>
        <v>0.0</v>
      </c>
      <c r="K596" s="15">
        <f>'[01_Entry.xlsx]Book'!K596</f>
        <v>0.0</v>
      </c>
      <c r="L596" s="15">
        <f>'[01_Entry.xlsx]Book'!L596</f>
        <v>0.0</v>
      </c>
      <c r="M596" s="15">
        <f>'[01_Entry.xlsx]Book'!M596</f>
        <v>0.0</v>
      </c>
      <c r="P596" s="56">
        <f>IF($A596="","",IFERROR(VALUE(MID($A596,6,2)),""))</f>
        <v/>
      </c>
    </row>
    <row r="597" spans="7:16">
      <c r="G597" s="15">
        <f>'[01_Entry.xlsx]Book'!G597</f>
        <v>0.0</v>
      </c>
      <c r="H597" s="15">
        <f>'[01_Entry.xlsx]Book'!H597</f>
        <v>0.0</v>
      </c>
      <c r="I597" s="15">
        <f>'[01_Entry.xlsx]Book'!I597</f>
        <v>0.0</v>
      </c>
      <c r="K597" s="15">
        <f>'[01_Entry.xlsx]Book'!K597</f>
        <v>0.0</v>
      </c>
      <c r="L597" s="15">
        <f>'[01_Entry.xlsx]Book'!L597</f>
        <v>0.0</v>
      </c>
      <c r="M597" s="15">
        <f>'[01_Entry.xlsx]Book'!M597</f>
        <v>0.0</v>
      </c>
      <c r="P597" s="56">
        <f>IF($A597="","",IFERROR(VALUE(MID($A597,6,2)),""))</f>
        <v/>
      </c>
    </row>
    <row r="598" spans="7:16">
      <c r="G598" s="15">
        <f>'[01_Entry.xlsx]Book'!G598</f>
        <v>0.0</v>
      </c>
      <c r="H598" s="15">
        <f>'[01_Entry.xlsx]Book'!H598</f>
        <v>0.0</v>
      </c>
      <c r="I598" s="15">
        <f>'[01_Entry.xlsx]Book'!I598</f>
        <v>0.0</v>
      </c>
      <c r="K598" s="15">
        <f>'[01_Entry.xlsx]Book'!K598</f>
        <v>0.0</v>
      </c>
      <c r="L598" s="15">
        <f>'[01_Entry.xlsx]Book'!L598</f>
        <v>0.0</v>
      </c>
      <c r="M598" s="15">
        <f>'[01_Entry.xlsx]Book'!M598</f>
        <v>0.0</v>
      </c>
      <c r="P598" s="56">
        <f>IF($A598="","",IFERROR(VALUE(MID($A598,6,2)),""))</f>
        <v/>
      </c>
    </row>
    <row r="599" spans="7:16">
      <c r="G599" s="15">
        <f>'[01_Entry.xlsx]Book'!G599</f>
        <v>0.0</v>
      </c>
      <c r="H599" s="15">
        <f>'[01_Entry.xlsx]Book'!H599</f>
        <v>0.0</v>
      </c>
      <c r="I599" s="15">
        <f>'[01_Entry.xlsx]Book'!I599</f>
        <v>0.0</v>
      </c>
      <c r="K599" s="15">
        <f>'[01_Entry.xlsx]Book'!K599</f>
        <v>0.0</v>
      </c>
      <c r="L599" s="15">
        <f>'[01_Entry.xlsx]Book'!L599</f>
        <v>0.0</v>
      </c>
      <c r="M599" s="15">
        <f>'[01_Entry.xlsx]Book'!M599</f>
        <v>0.0</v>
      </c>
      <c r="P599" s="56">
        <f>IF($A599="","",IFERROR(VALUE(MID($A599,6,2)),""))</f>
        <v/>
      </c>
    </row>
    <row r="600" spans="7:16">
      <c r="G600" s="15">
        <f>'[01_Entry.xlsx]Book'!G600</f>
        <v>0.0</v>
      </c>
      <c r="H600" s="15">
        <f>'[01_Entry.xlsx]Book'!H600</f>
        <v>0.0</v>
      </c>
      <c r="I600" s="15">
        <f>'[01_Entry.xlsx]Book'!I600</f>
        <v>0.0</v>
      </c>
      <c r="K600" s="15">
        <f>'[01_Entry.xlsx]Book'!K600</f>
        <v>0.0</v>
      </c>
      <c r="L600" s="15">
        <f>'[01_Entry.xlsx]Book'!L600</f>
        <v>0.0</v>
      </c>
      <c r="M600" s="15">
        <f>'[01_Entry.xlsx]Book'!M600</f>
        <v>0.0</v>
      </c>
      <c r="P600" s="56">
        <f>IF($A600="","",IFERROR(VALUE(MID($A600,6,2)),""))</f>
        <v/>
      </c>
    </row>
    <row r="601" spans="7:16">
      <c r="G601" s="15">
        <f>'[01_Entry.xlsx]Book'!G601</f>
        <v>0.0</v>
      </c>
      <c r="H601" s="15">
        <f>'[01_Entry.xlsx]Book'!H601</f>
        <v>0.0</v>
      </c>
      <c r="I601" s="15">
        <f>'[01_Entry.xlsx]Book'!I601</f>
        <v>0.0</v>
      </c>
      <c r="K601" s="15">
        <f>'[01_Entry.xlsx]Book'!K601</f>
        <v>0.0</v>
      </c>
      <c r="L601" s="15">
        <f>'[01_Entry.xlsx]Book'!L601</f>
        <v>0.0</v>
      </c>
      <c r="M601" s="15">
        <f>'[01_Entry.xlsx]Book'!M601</f>
        <v>0.0</v>
      </c>
      <c r="P601" s="56">
        <f>IF($A601="","",IFERROR(VALUE(MID($A601,6,2)),""))</f>
        <v/>
      </c>
    </row>
    <row r="602" spans="7:16">
      <c r="G602" s="15">
        <f>'[01_Entry.xlsx]Book'!G602</f>
        <v>0.0</v>
      </c>
      <c r="H602" s="15">
        <f>'[01_Entry.xlsx]Book'!H602</f>
        <v>0.0</v>
      </c>
      <c r="I602" s="15">
        <f>'[01_Entry.xlsx]Book'!I602</f>
        <v>0.0</v>
      </c>
      <c r="K602" s="15">
        <f>'[01_Entry.xlsx]Book'!K602</f>
        <v>0.0</v>
      </c>
      <c r="L602" s="15">
        <f>'[01_Entry.xlsx]Book'!L602</f>
        <v>0.0</v>
      </c>
      <c r="M602" s="15">
        <f>'[01_Entry.xlsx]Book'!M602</f>
        <v>0.0</v>
      </c>
      <c r="P602" s="56">
        <f>IF($A602="","",IFERROR(VALUE(MID($A602,6,2)),""))</f>
        <v/>
      </c>
    </row>
    <row r="603" spans="7:16">
      <c r="G603" s="15">
        <f>'[01_Entry.xlsx]Book'!G603</f>
        <v>0.0</v>
      </c>
      <c r="H603" s="15">
        <f>'[01_Entry.xlsx]Book'!H603</f>
        <v>0.0</v>
      </c>
      <c r="I603" s="15">
        <f>'[01_Entry.xlsx]Book'!I603</f>
        <v>0.0</v>
      </c>
      <c r="K603" s="15">
        <f>'[01_Entry.xlsx]Book'!K603</f>
        <v>0.0</v>
      </c>
      <c r="L603" s="15">
        <f>'[01_Entry.xlsx]Book'!L603</f>
        <v>0.0</v>
      </c>
      <c r="M603" s="15">
        <f>'[01_Entry.xlsx]Book'!M603</f>
        <v>0.0</v>
      </c>
      <c r="P603" s="56">
        <f>IF($A603="","",IFERROR(VALUE(MID($A603,6,2)),""))</f>
        <v/>
      </c>
    </row>
    <row r="604" spans="7:16">
      <c r="G604" s="15">
        <f>'[01_Entry.xlsx]Book'!G604</f>
        <v>0.0</v>
      </c>
      <c r="H604" s="15">
        <f>'[01_Entry.xlsx]Book'!H604</f>
        <v>0.0</v>
      </c>
      <c r="I604" s="15">
        <f>'[01_Entry.xlsx]Book'!I604</f>
        <v>0.0</v>
      </c>
      <c r="K604" s="15">
        <f>'[01_Entry.xlsx]Book'!K604</f>
        <v>0.0</v>
      </c>
      <c r="L604" s="15">
        <f>'[01_Entry.xlsx]Book'!L604</f>
        <v>0.0</v>
      </c>
      <c r="M604" s="15">
        <f>'[01_Entry.xlsx]Book'!M604</f>
        <v>0.0</v>
      </c>
      <c r="P604" s="56">
        <f>IF($A604="","",IFERROR(VALUE(MID($A604,6,2)),""))</f>
        <v/>
      </c>
    </row>
    <row r="605" spans="7:16">
      <c r="G605" s="15">
        <f>'[01_Entry.xlsx]Book'!G605</f>
        <v>0.0</v>
      </c>
      <c r="H605" s="15">
        <f>'[01_Entry.xlsx]Book'!H605</f>
        <v>0.0</v>
      </c>
      <c r="I605" s="15">
        <f>'[01_Entry.xlsx]Book'!I605</f>
        <v>0.0</v>
      </c>
      <c r="K605" s="15">
        <f>'[01_Entry.xlsx]Book'!K605</f>
        <v>0.0</v>
      </c>
      <c r="L605" s="15">
        <f>'[01_Entry.xlsx]Book'!L605</f>
        <v>0.0</v>
      </c>
      <c r="M605" s="15">
        <f>'[01_Entry.xlsx]Book'!M605</f>
        <v>0.0</v>
      </c>
      <c r="P605" s="56">
        <f>IF($A605="","",IFERROR(VALUE(MID($A605,6,2)),""))</f>
        <v/>
      </c>
    </row>
    <row r="606" spans="7:16">
      <c r="G606" s="15">
        <f>'[01_Entry.xlsx]Book'!G606</f>
        <v>0.0</v>
      </c>
      <c r="H606" s="15">
        <f>'[01_Entry.xlsx]Book'!H606</f>
        <v>0.0</v>
      </c>
      <c r="I606" s="15">
        <f>'[01_Entry.xlsx]Book'!I606</f>
        <v>0.0</v>
      </c>
      <c r="K606" s="15">
        <f>'[01_Entry.xlsx]Book'!K606</f>
        <v>0.0</v>
      </c>
      <c r="L606" s="15">
        <f>'[01_Entry.xlsx]Book'!L606</f>
        <v>0.0</v>
      </c>
      <c r="M606" s="15">
        <f>'[01_Entry.xlsx]Book'!M606</f>
        <v>0.0</v>
      </c>
      <c r="P606" s="56">
        <f>IF($A606="","",IFERROR(VALUE(MID($A606,6,2)),""))</f>
        <v/>
      </c>
    </row>
    <row r="607" spans="7:16">
      <c r="G607" s="15">
        <f>'[01_Entry.xlsx]Book'!G607</f>
        <v>0.0</v>
      </c>
      <c r="H607" s="15">
        <f>'[01_Entry.xlsx]Book'!H607</f>
        <v>0.0</v>
      </c>
      <c r="I607" s="15">
        <f>'[01_Entry.xlsx]Book'!I607</f>
        <v>0.0</v>
      </c>
      <c r="K607" s="15">
        <f>'[01_Entry.xlsx]Book'!K607</f>
        <v>0.0</v>
      </c>
      <c r="L607" s="15">
        <f>'[01_Entry.xlsx]Book'!L607</f>
        <v>0.0</v>
      </c>
      <c r="M607" s="15">
        <f>'[01_Entry.xlsx]Book'!M607</f>
        <v>0.0</v>
      </c>
      <c r="P607" s="56">
        <f>IF($A607="","",IFERROR(VALUE(MID($A607,6,2)),""))</f>
        <v/>
      </c>
    </row>
    <row r="608" spans="7:16">
      <c r="G608" s="15">
        <f>'[01_Entry.xlsx]Book'!G608</f>
        <v>0.0</v>
      </c>
      <c r="H608" s="15">
        <f>'[01_Entry.xlsx]Book'!H608</f>
        <v>0.0</v>
      </c>
      <c r="I608" s="15">
        <f>'[01_Entry.xlsx]Book'!I608</f>
        <v>0.0</v>
      </c>
      <c r="K608" s="15">
        <f>'[01_Entry.xlsx]Book'!K608</f>
        <v>0.0</v>
      </c>
      <c r="L608" s="15">
        <f>'[01_Entry.xlsx]Book'!L608</f>
        <v>0.0</v>
      </c>
      <c r="M608" s="15">
        <f>'[01_Entry.xlsx]Book'!M608</f>
        <v>0.0</v>
      </c>
      <c r="P608" s="56">
        <f>IF($A608="","",IFERROR(VALUE(MID($A608,6,2)),""))</f>
        <v/>
      </c>
    </row>
    <row r="609" spans="7:16">
      <c r="G609" s="15">
        <f>'[01_Entry.xlsx]Book'!G609</f>
        <v>0.0</v>
      </c>
      <c r="H609" s="15">
        <f>'[01_Entry.xlsx]Book'!H609</f>
        <v>0.0</v>
      </c>
      <c r="I609" s="15">
        <f>'[01_Entry.xlsx]Book'!I609</f>
        <v>0.0</v>
      </c>
      <c r="K609" s="15">
        <f>'[01_Entry.xlsx]Book'!K609</f>
        <v>0.0</v>
      </c>
      <c r="L609" s="15">
        <f>'[01_Entry.xlsx]Book'!L609</f>
        <v>0.0</v>
      </c>
      <c r="M609" s="15">
        <f>'[01_Entry.xlsx]Book'!M609</f>
        <v>0.0</v>
      </c>
      <c r="P609" s="56">
        <f>IF($A609="","",IFERROR(VALUE(MID($A609,6,2)),""))</f>
        <v/>
      </c>
    </row>
    <row r="610" spans="7:16">
      <c r="G610" s="15">
        <f>'[01_Entry.xlsx]Book'!G610</f>
        <v>0.0</v>
      </c>
      <c r="H610" s="15">
        <f>'[01_Entry.xlsx]Book'!H610</f>
        <v>0.0</v>
      </c>
      <c r="I610" s="15">
        <f>'[01_Entry.xlsx]Book'!I610</f>
        <v>0.0</v>
      </c>
      <c r="K610" s="15">
        <f>'[01_Entry.xlsx]Book'!K610</f>
        <v>0.0</v>
      </c>
      <c r="L610" s="15">
        <f>'[01_Entry.xlsx]Book'!L610</f>
        <v>0.0</v>
      </c>
      <c r="M610" s="15">
        <f>'[01_Entry.xlsx]Book'!M610</f>
        <v>0.0</v>
      </c>
      <c r="P610" s="56">
        <f>IF($A610="","",IFERROR(VALUE(MID($A610,6,2)),""))</f>
        <v/>
      </c>
    </row>
    <row r="611" spans="7:16">
      <c r="G611" s="15">
        <f>'[01_Entry.xlsx]Book'!G611</f>
        <v>0.0</v>
      </c>
      <c r="H611" s="15">
        <f>'[01_Entry.xlsx]Book'!H611</f>
        <v>0.0</v>
      </c>
      <c r="I611" s="15">
        <f>'[01_Entry.xlsx]Book'!I611</f>
        <v>0.0</v>
      </c>
      <c r="K611" s="15">
        <f>'[01_Entry.xlsx]Book'!K611</f>
        <v>0.0</v>
      </c>
      <c r="L611" s="15">
        <f>'[01_Entry.xlsx]Book'!L611</f>
        <v>0.0</v>
      </c>
      <c r="M611" s="15">
        <f>'[01_Entry.xlsx]Book'!M611</f>
        <v>0.0</v>
      </c>
      <c r="P611" s="56">
        <f>IF($A611="","",IFERROR(VALUE(MID($A611,6,2)),""))</f>
        <v/>
      </c>
    </row>
    <row r="612" spans="7:16">
      <c r="G612" s="15">
        <f>'[01_Entry.xlsx]Book'!G612</f>
        <v>0.0</v>
      </c>
      <c r="H612" s="15">
        <f>'[01_Entry.xlsx]Book'!H612</f>
        <v>0.0</v>
      </c>
      <c r="I612" s="15">
        <f>'[01_Entry.xlsx]Book'!I612</f>
        <v>0.0</v>
      </c>
      <c r="K612" s="15">
        <f>'[01_Entry.xlsx]Book'!K612</f>
        <v>0.0</v>
      </c>
      <c r="L612" s="15">
        <f>'[01_Entry.xlsx]Book'!L612</f>
        <v>0.0</v>
      </c>
      <c r="M612" s="15">
        <f>'[01_Entry.xlsx]Book'!M612</f>
        <v>0.0</v>
      </c>
      <c r="P612" s="56">
        <f>IF($A612="","",IFERROR(VALUE(MID($A612,6,2)),""))</f>
        <v/>
      </c>
    </row>
    <row r="613" spans="7:16">
      <c r="G613" s="15">
        <f>'[01_Entry.xlsx]Book'!G613</f>
        <v>0.0</v>
      </c>
      <c r="H613" s="15">
        <f>'[01_Entry.xlsx]Book'!H613</f>
        <v>0.0</v>
      </c>
      <c r="I613" s="15">
        <f>'[01_Entry.xlsx]Book'!I613</f>
        <v>0.0</v>
      </c>
      <c r="K613" s="15">
        <f>'[01_Entry.xlsx]Book'!K613</f>
        <v>0.0</v>
      </c>
      <c r="L613" s="15">
        <f>'[01_Entry.xlsx]Book'!L613</f>
        <v>0.0</v>
      </c>
      <c r="M613" s="15">
        <f>'[01_Entry.xlsx]Book'!M613</f>
        <v>0.0</v>
      </c>
      <c r="P613" s="56">
        <f>IF($A613="","",IFERROR(VALUE(MID($A613,6,2)),""))</f>
        <v/>
      </c>
    </row>
    <row r="614" spans="7:16">
      <c r="G614" s="15">
        <f>'[01_Entry.xlsx]Book'!G614</f>
        <v>0.0</v>
      </c>
      <c r="H614" s="15">
        <f>'[01_Entry.xlsx]Book'!H614</f>
        <v>0.0</v>
      </c>
      <c r="I614" s="15">
        <f>'[01_Entry.xlsx]Book'!I614</f>
        <v>0.0</v>
      </c>
      <c r="K614" s="15">
        <f>'[01_Entry.xlsx]Book'!K614</f>
        <v>0.0</v>
      </c>
      <c r="L614" s="15">
        <f>'[01_Entry.xlsx]Book'!L614</f>
        <v>0.0</v>
      </c>
      <c r="M614" s="15">
        <f>'[01_Entry.xlsx]Book'!M614</f>
        <v>0.0</v>
      </c>
      <c r="P614" s="56">
        <f>IF($A614="","",IFERROR(VALUE(MID($A614,6,2)),""))</f>
        <v/>
      </c>
    </row>
    <row r="615" spans="7:16">
      <c r="G615" s="15">
        <f>'[01_Entry.xlsx]Book'!G615</f>
        <v>0.0</v>
      </c>
      <c r="H615" s="15">
        <f>'[01_Entry.xlsx]Book'!H615</f>
        <v>0.0</v>
      </c>
      <c r="I615" s="15">
        <f>'[01_Entry.xlsx]Book'!I615</f>
        <v>0.0</v>
      </c>
      <c r="K615" s="15">
        <f>'[01_Entry.xlsx]Book'!K615</f>
        <v>0.0</v>
      </c>
      <c r="L615" s="15">
        <f>'[01_Entry.xlsx]Book'!L615</f>
        <v>0.0</v>
      </c>
      <c r="M615" s="15">
        <f>'[01_Entry.xlsx]Book'!M615</f>
        <v>0.0</v>
      </c>
      <c r="P615" s="56">
        <f>IF($A615="","",IFERROR(VALUE(MID($A615,6,2)),""))</f>
        <v/>
      </c>
    </row>
    <row r="616" spans="7:16">
      <c r="G616" s="15">
        <f>'[01_Entry.xlsx]Book'!G616</f>
        <v>0.0</v>
      </c>
      <c r="H616" s="15">
        <f>'[01_Entry.xlsx]Book'!H616</f>
        <v>0.0</v>
      </c>
      <c r="I616" s="15">
        <f>'[01_Entry.xlsx]Book'!I616</f>
        <v>0.0</v>
      </c>
      <c r="K616" s="15">
        <f>'[01_Entry.xlsx]Book'!K616</f>
        <v>0.0</v>
      </c>
      <c r="L616" s="15">
        <f>'[01_Entry.xlsx]Book'!L616</f>
        <v>0.0</v>
      </c>
      <c r="M616" s="15">
        <f>'[01_Entry.xlsx]Book'!M616</f>
        <v>0.0</v>
      </c>
      <c r="P616" s="56">
        <f>IF($A616="","",IFERROR(VALUE(MID($A616,6,2)),""))</f>
        <v/>
      </c>
    </row>
    <row r="617" spans="7:16">
      <c r="G617" s="15">
        <f>'[01_Entry.xlsx]Book'!G617</f>
        <v>0.0</v>
      </c>
      <c r="H617" s="15">
        <f>'[01_Entry.xlsx]Book'!H617</f>
        <v>0.0</v>
      </c>
      <c r="I617" s="15">
        <f>'[01_Entry.xlsx]Book'!I617</f>
        <v>0.0</v>
      </c>
      <c r="K617" s="15">
        <f>'[01_Entry.xlsx]Book'!K617</f>
        <v>0.0</v>
      </c>
      <c r="L617" s="15">
        <f>'[01_Entry.xlsx]Book'!L617</f>
        <v>0.0</v>
      </c>
      <c r="M617" s="15">
        <f>'[01_Entry.xlsx]Book'!M617</f>
        <v>0.0</v>
      </c>
      <c r="P617" s="56">
        <f>IF($A617="","",IFERROR(VALUE(MID($A617,6,2)),""))</f>
        <v/>
      </c>
    </row>
    <row r="618" spans="7:16">
      <c r="G618" s="15">
        <f>'[01_Entry.xlsx]Book'!G618</f>
        <v>0.0</v>
      </c>
      <c r="H618" s="15">
        <f>'[01_Entry.xlsx]Book'!H618</f>
        <v>0.0</v>
      </c>
      <c r="I618" s="15">
        <f>'[01_Entry.xlsx]Book'!I618</f>
        <v>0.0</v>
      </c>
      <c r="K618" s="15">
        <f>'[01_Entry.xlsx]Book'!K618</f>
        <v>0.0</v>
      </c>
      <c r="L618" s="15">
        <f>'[01_Entry.xlsx]Book'!L618</f>
        <v>0.0</v>
      </c>
      <c r="M618" s="15">
        <f>'[01_Entry.xlsx]Book'!M618</f>
        <v>0.0</v>
      </c>
      <c r="P618" s="56">
        <f>IF($A618="","",IFERROR(VALUE(MID($A618,6,2)),""))</f>
        <v/>
      </c>
    </row>
    <row r="619" spans="7:16">
      <c r="G619" s="15">
        <f>'[01_Entry.xlsx]Book'!G619</f>
        <v>0.0</v>
      </c>
      <c r="H619" s="15">
        <f>'[01_Entry.xlsx]Book'!H619</f>
        <v>0.0</v>
      </c>
      <c r="I619" s="15">
        <f>'[01_Entry.xlsx]Book'!I619</f>
        <v>0.0</v>
      </c>
      <c r="K619" s="15">
        <f>'[01_Entry.xlsx]Book'!K619</f>
        <v>0.0</v>
      </c>
      <c r="L619" s="15">
        <f>'[01_Entry.xlsx]Book'!L619</f>
        <v>0.0</v>
      </c>
      <c r="M619" s="15">
        <f>'[01_Entry.xlsx]Book'!M619</f>
        <v>0.0</v>
      </c>
      <c r="P619" s="56">
        <f>IF($A619="","",IFERROR(VALUE(MID($A619,6,2)),""))</f>
        <v/>
      </c>
    </row>
    <row r="620" spans="7:16">
      <c r="G620" s="15">
        <f>'[01_Entry.xlsx]Book'!G620</f>
        <v>0.0</v>
      </c>
      <c r="H620" s="15">
        <f>'[01_Entry.xlsx]Book'!H620</f>
        <v>0.0</v>
      </c>
      <c r="I620" s="15">
        <f>'[01_Entry.xlsx]Book'!I620</f>
        <v>0.0</v>
      </c>
      <c r="K620" s="15">
        <f>'[01_Entry.xlsx]Book'!K620</f>
        <v>0.0</v>
      </c>
      <c r="L620" s="15">
        <f>'[01_Entry.xlsx]Book'!L620</f>
        <v>0.0</v>
      </c>
      <c r="M620" s="15">
        <f>'[01_Entry.xlsx]Book'!M620</f>
        <v>0.0</v>
      </c>
      <c r="P620" s="56">
        <f>IF($A620="","",IFERROR(VALUE(MID($A620,6,2)),""))</f>
        <v/>
      </c>
    </row>
    <row r="621" spans="7:16">
      <c r="G621" s="15">
        <f>'[01_Entry.xlsx]Book'!G621</f>
        <v>0.0</v>
      </c>
      <c r="H621" s="15">
        <f>'[01_Entry.xlsx]Book'!H621</f>
        <v>0.0</v>
      </c>
      <c r="I621" s="15">
        <f>'[01_Entry.xlsx]Book'!I621</f>
        <v>0.0</v>
      </c>
      <c r="K621" s="15">
        <f>'[01_Entry.xlsx]Book'!K621</f>
        <v>0.0</v>
      </c>
      <c r="L621" s="15">
        <f>'[01_Entry.xlsx]Book'!L621</f>
        <v>0.0</v>
      </c>
      <c r="M621" s="15">
        <f>'[01_Entry.xlsx]Book'!M621</f>
        <v>0.0</v>
      </c>
      <c r="P621" s="56">
        <f>IF($A621="","",IFERROR(VALUE(MID($A621,6,2)),""))</f>
        <v/>
      </c>
    </row>
    <row r="622" spans="7:16">
      <c r="G622" s="15">
        <f>'[01_Entry.xlsx]Book'!G622</f>
        <v>0.0</v>
      </c>
      <c r="H622" s="15">
        <f>'[01_Entry.xlsx]Book'!H622</f>
        <v>0.0</v>
      </c>
      <c r="I622" s="15">
        <f>'[01_Entry.xlsx]Book'!I622</f>
        <v>0.0</v>
      </c>
      <c r="K622" s="15">
        <f>'[01_Entry.xlsx]Book'!K622</f>
        <v>0.0</v>
      </c>
      <c r="L622" s="15">
        <f>'[01_Entry.xlsx]Book'!L622</f>
        <v>0.0</v>
      </c>
      <c r="M622" s="15">
        <f>'[01_Entry.xlsx]Book'!M622</f>
        <v>0.0</v>
      </c>
      <c r="P622" s="56">
        <f>IF($A622="","",IFERROR(VALUE(MID($A622,6,2)),""))</f>
        <v/>
      </c>
    </row>
    <row r="623" spans="7:16">
      <c r="G623" s="15">
        <f>'[01_Entry.xlsx]Book'!G623</f>
        <v>0.0</v>
      </c>
      <c r="H623" s="15">
        <f>'[01_Entry.xlsx]Book'!H623</f>
        <v>0.0</v>
      </c>
      <c r="I623" s="15">
        <f>'[01_Entry.xlsx]Book'!I623</f>
        <v>0.0</v>
      </c>
      <c r="K623" s="15">
        <f>'[01_Entry.xlsx]Book'!K623</f>
        <v>0.0</v>
      </c>
      <c r="L623" s="15">
        <f>'[01_Entry.xlsx]Book'!L623</f>
        <v>0.0</v>
      </c>
      <c r="M623" s="15">
        <f>'[01_Entry.xlsx]Book'!M623</f>
        <v>0.0</v>
      </c>
      <c r="P623" s="56">
        <f>IF($A623="","",IFERROR(VALUE(MID($A623,6,2)),""))</f>
        <v/>
      </c>
    </row>
    <row r="624" spans="7:16">
      <c r="G624" s="15">
        <f>'[01_Entry.xlsx]Book'!G624</f>
        <v>0.0</v>
      </c>
      <c r="H624" s="15">
        <f>'[01_Entry.xlsx]Book'!H624</f>
        <v>0.0</v>
      </c>
      <c r="I624" s="15">
        <f>'[01_Entry.xlsx]Book'!I624</f>
        <v>0.0</v>
      </c>
      <c r="K624" s="15">
        <f>'[01_Entry.xlsx]Book'!K624</f>
        <v>0.0</v>
      </c>
      <c r="L624" s="15">
        <f>'[01_Entry.xlsx]Book'!L624</f>
        <v>0.0</v>
      </c>
      <c r="M624" s="15">
        <f>'[01_Entry.xlsx]Book'!M624</f>
        <v>0.0</v>
      </c>
      <c r="P624" s="56">
        <f>IF($A624="","",IFERROR(VALUE(MID($A624,6,2)),""))</f>
        <v/>
      </c>
    </row>
    <row r="625" spans="7:16">
      <c r="G625" s="15">
        <f>'[01_Entry.xlsx]Book'!G625</f>
        <v>0.0</v>
      </c>
      <c r="H625" s="15">
        <f>'[01_Entry.xlsx]Book'!H625</f>
        <v>0.0</v>
      </c>
      <c r="I625" s="15">
        <f>'[01_Entry.xlsx]Book'!I625</f>
        <v>0.0</v>
      </c>
      <c r="K625" s="15">
        <f>'[01_Entry.xlsx]Book'!K625</f>
        <v>0.0</v>
      </c>
      <c r="L625" s="15">
        <f>'[01_Entry.xlsx]Book'!L625</f>
        <v>0.0</v>
      </c>
      <c r="M625" s="15">
        <f>'[01_Entry.xlsx]Book'!M625</f>
        <v>0.0</v>
      </c>
      <c r="P625" s="56">
        <f>IF($A625="","",IFERROR(VALUE(MID($A625,6,2)),""))</f>
        <v/>
      </c>
    </row>
    <row r="626" spans="7:16">
      <c r="G626" s="15">
        <f>'[01_Entry.xlsx]Book'!G626</f>
        <v>0.0</v>
      </c>
      <c r="H626" s="15">
        <f>'[01_Entry.xlsx]Book'!H626</f>
        <v>0.0</v>
      </c>
      <c r="I626" s="15">
        <f>'[01_Entry.xlsx]Book'!I626</f>
        <v>0.0</v>
      </c>
      <c r="K626" s="15">
        <f>'[01_Entry.xlsx]Book'!K626</f>
        <v>0.0</v>
      </c>
      <c r="L626" s="15">
        <f>'[01_Entry.xlsx]Book'!L626</f>
        <v>0.0</v>
      </c>
      <c r="M626" s="15">
        <f>'[01_Entry.xlsx]Book'!M626</f>
        <v>0.0</v>
      </c>
      <c r="P626" s="56">
        <f>IF($A626="","",IFERROR(VALUE(MID($A626,6,2)),""))</f>
        <v/>
      </c>
    </row>
    <row r="627" spans="7:16">
      <c r="G627" s="15">
        <f>'[01_Entry.xlsx]Book'!G627</f>
        <v>0.0</v>
      </c>
      <c r="H627" s="15">
        <f>'[01_Entry.xlsx]Book'!H627</f>
        <v>0.0</v>
      </c>
      <c r="I627" s="15">
        <f>'[01_Entry.xlsx]Book'!I627</f>
        <v>0.0</v>
      </c>
      <c r="K627" s="15">
        <f>'[01_Entry.xlsx]Book'!K627</f>
        <v>0.0</v>
      </c>
      <c r="L627" s="15">
        <f>'[01_Entry.xlsx]Book'!L627</f>
        <v>0.0</v>
      </c>
      <c r="M627" s="15">
        <f>'[01_Entry.xlsx]Book'!M627</f>
        <v>0.0</v>
      </c>
      <c r="P627" s="56">
        <f>IF($A627="","",IFERROR(VALUE(MID($A627,6,2)),""))</f>
        <v/>
      </c>
    </row>
    <row r="628" spans="7:16">
      <c r="G628" s="15">
        <f>'[01_Entry.xlsx]Book'!G628</f>
        <v>0.0</v>
      </c>
      <c r="H628" s="15">
        <f>'[01_Entry.xlsx]Book'!H628</f>
        <v>0.0</v>
      </c>
      <c r="I628" s="15">
        <f>'[01_Entry.xlsx]Book'!I628</f>
        <v>0.0</v>
      </c>
      <c r="K628" s="15">
        <f>'[01_Entry.xlsx]Book'!K628</f>
        <v>0.0</v>
      </c>
      <c r="L628" s="15">
        <f>'[01_Entry.xlsx]Book'!L628</f>
        <v>0.0</v>
      </c>
      <c r="M628" s="15">
        <f>'[01_Entry.xlsx]Book'!M628</f>
        <v>0.0</v>
      </c>
      <c r="P628" s="56">
        <f>IF($A628="","",IFERROR(VALUE(MID($A628,6,2)),""))</f>
        <v/>
      </c>
    </row>
    <row r="629" spans="7:16">
      <c r="G629" s="15">
        <f>'[01_Entry.xlsx]Book'!G629</f>
        <v>0.0</v>
      </c>
      <c r="H629" s="15">
        <f>'[01_Entry.xlsx]Book'!H629</f>
        <v>0.0</v>
      </c>
      <c r="I629" s="15">
        <f>'[01_Entry.xlsx]Book'!I629</f>
        <v>0.0</v>
      </c>
      <c r="K629" s="15">
        <f>'[01_Entry.xlsx]Book'!K629</f>
        <v>0.0</v>
      </c>
      <c r="L629" s="15">
        <f>'[01_Entry.xlsx]Book'!L629</f>
        <v>0.0</v>
      </c>
      <c r="M629" s="15">
        <f>'[01_Entry.xlsx]Book'!M629</f>
        <v>0.0</v>
      </c>
      <c r="P629" s="56">
        <f>IF($A629="","",IFERROR(VALUE(MID($A629,6,2)),""))</f>
        <v/>
      </c>
    </row>
    <row r="630" spans="7:16">
      <c r="G630" s="15">
        <f>'[01_Entry.xlsx]Book'!G630</f>
        <v>0.0</v>
      </c>
      <c r="H630" s="15">
        <f>'[01_Entry.xlsx]Book'!H630</f>
        <v>0.0</v>
      </c>
      <c r="I630" s="15">
        <f>'[01_Entry.xlsx]Book'!I630</f>
        <v>0.0</v>
      </c>
      <c r="K630" s="15">
        <f>'[01_Entry.xlsx]Book'!K630</f>
        <v>0.0</v>
      </c>
      <c r="L630" s="15">
        <f>'[01_Entry.xlsx]Book'!L630</f>
        <v>0.0</v>
      </c>
      <c r="M630" s="15">
        <f>'[01_Entry.xlsx]Book'!M630</f>
        <v>0.0</v>
      </c>
      <c r="P630" s="56">
        <f>IF($A630="","",IFERROR(VALUE(MID($A630,6,2)),""))</f>
        <v/>
      </c>
    </row>
    <row r="631" spans="7:16">
      <c r="G631" s="15">
        <f>'[01_Entry.xlsx]Book'!G631</f>
        <v>0.0</v>
      </c>
      <c r="H631" s="15">
        <f>'[01_Entry.xlsx]Book'!H631</f>
        <v>0.0</v>
      </c>
      <c r="I631" s="15">
        <f>'[01_Entry.xlsx]Book'!I631</f>
        <v>0.0</v>
      </c>
      <c r="K631" s="15">
        <f>'[01_Entry.xlsx]Book'!K631</f>
        <v>0.0</v>
      </c>
      <c r="L631" s="15">
        <f>'[01_Entry.xlsx]Book'!L631</f>
        <v>0.0</v>
      </c>
      <c r="M631" s="15">
        <f>'[01_Entry.xlsx]Book'!M631</f>
        <v>0.0</v>
      </c>
      <c r="P631" s="56">
        <f>IF($A631="","",IFERROR(VALUE(MID($A631,6,2)),""))</f>
        <v/>
      </c>
    </row>
    <row r="632" spans="7:16">
      <c r="G632" s="15">
        <f>'[01_Entry.xlsx]Book'!G632</f>
        <v>0.0</v>
      </c>
      <c r="H632" s="15">
        <f>'[01_Entry.xlsx]Book'!H632</f>
        <v>0.0</v>
      </c>
      <c r="I632" s="15">
        <f>'[01_Entry.xlsx]Book'!I632</f>
        <v>0.0</v>
      </c>
      <c r="K632" s="15">
        <f>'[01_Entry.xlsx]Book'!K632</f>
        <v>0.0</v>
      </c>
      <c r="L632" s="15">
        <f>'[01_Entry.xlsx]Book'!L632</f>
        <v>0.0</v>
      </c>
      <c r="M632" s="15">
        <f>'[01_Entry.xlsx]Book'!M632</f>
        <v>0.0</v>
      </c>
      <c r="P632" s="56">
        <f>IF($A632="","",IFERROR(VALUE(MID($A632,6,2)),""))</f>
        <v/>
      </c>
    </row>
    <row r="633" spans="7:16">
      <c r="G633" s="15">
        <f>'[01_Entry.xlsx]Book'!G633</f>
        <v>0.0</v>
      </c>
      <c r="H633" s="15">
        <f>'[01_Entry.xlsx]Book'!H633</f>
        <v>0.0</v>
      </c>
      <c r="I633" s="15">
        <f>'[01_Entry.xlsx]Book'!I633</f>
        <v>0.0</v>
      </c>
      <c r="K633" s="15">
        <f>'[01_Entry.xlsx]Book'!K633</f>
        <v>0.0</v>
      </c>
      <c r="L633" s="15">
        <f>'[01_Entry.xlsx]Book'!L633</f>
        <v>0.0</v>
      </c>
      <c r="M633" s="15">
        <f>'[01_Entry.xlsx]Book'!M633</f>
        <v>0.0</v>
      </c>
      <c r="P633" s="56">
        <f>IF($A633="","",IFERROR(VALUE(MID($A633,6,2)),""))</f>
        <v/>
      </c>
    </row>
    <row r="634" spans="7:16">
      <c r="G634" s="15">
        <f>'[01_Entry.xlsx]Book'!G634</f>
        <v>0.0</v>
      </c>
      <c r="H634" s="15">
        <f>'[01_Entry.xlsx]Book'!H634</f>
        <v>0.0</v>
      </c>
      <c r="I634" s="15">
        <f>'[01_Entry.xlsx]Book'!I634</f>
        <v>0.0</v>
      </c>
      <c r="K634" s="15">
        <f>'[01_Entry.xlsx]Book'!K634</f>
        <v>0.0</v>
      </c>
      <c r="L634" s="15">
        <f>'[01_Entry.xlsx]Book'!L634</f>
        <v>0.0</v>
      </c>
      <c r="M634" s="15">
        <f>'[01_Entry.xlsx]Book'!M634</f>
        <v>0.0</v>
      </c>
      <c r="P634" s="56">
        <f>IF($A634="","",IFERROR(VALUE(MID($A634,6,2)),""))</f>
        <v/>
      </c>
    </row>
    <row r="635" spans="7:16">
      <c r="G635" s="15">
        <f>'[01_Entry.xlsx]Book'!G635</f>
        <v>0.0</v>
      </c>
      <c r="H635" s="15">
        <f>'[01_Entry.xlsx]Book'!H635</f>
        <v>0.0</v>
      </c>
      <c r="I635" s="15">
        <f>'[01_Entry.xlsx]Book'!I635</f>
        <v>0.0</v>
      </c>
      <c r="K635" s="15">
        <f>'[01_Entry.xlsx]Book'!K635</f>
        <v>0.0</v>
      </c>
      <c r="L635" s="15">
        <f>'[01_Entry.xlsx]Book'!L635</f>
        <v>0.0</v>
      </c>
      <c r="M635" s="15">
        <f>'[01_Entry.xlsx]Book'!M635</f>
        <v>0.0</v>
      </c>
      <c r="P635" s="56">
        <f>IF($A635="","",IFERROR(VALUE(MID($A635,6,2)),""))</f>
        <v/>
      </c>
    </row>
    <row r="636" spans="7:16">
      <c r="G636" s="15">
        <f>'[01_Entry.xlsx]Book'!G636</f>
        <v>0.0</v>
      </c>
      <c r="H636" s="15">
        <f>'[01_Entry.xlsx]Book'!H636</f>
        <v>0.0</v>
      </c>
      <c r="I636" s="15">
        <f>'[01_Entry.xlsx]Book'!I636</f>
        <v>0.0</v>
      </c>
      <c r="K636" s="15">
        <f>'[01_Entry.xlsx]Book'!K636</f>
        <v>0.0</v>
      </c>
      <c r="L636" s="15">
        <f>'[01_Entry.xlsx]Book'!L636</f>
        <v>0.0</v>
      </c>
      <c r="M636" s="15">
        <f>'[01_Entry.xlsx]Book'!M636</f>
        <v>0.0</v>
      </c>
      <c r="P636" s="56">
        <f>IF($A636="","",IFERROR(VALUE(MID($A636,6,2)),""))</f>
        <v/>
      </c>
    </row>
    <row r="637" spans="7:16">
      <c r="G637" s="15">
        <f>'[01_Entry.xlsx]Book'!G637</f>
        <v>0.0</v>
      </c>
      <c r="H637" s="15">
        <f>'[01_Entry.xlsx]Book'!H637</f>
        <v>0.0</v>
      </c>
      <c r="I637" s="15">
        <f>'[01_Entry.xlsx]Book'!I637</f>
        <v>0.0</v>
      </c>
      <c r="K637" s="15">
        <f>'[01_Entry.xlsx]Book'!K637</f>
        <v>0.0</v>
      </c>
      <c r="L637" s="15">
        <f>'[01_Entry.xlsx]Book'!L637</f>
        <v>0.0</v>
      </c>
      <c r="M637" s="15">
        <f>'[01_Entry.xlsx]Book'!M637</f>
        <v>0.0</v>
      </c>
      <c r="P637" s="56">
        <f>IF($A637="","",IFERROR(VALUE(MID($A637,6,2)),""))</f>
        <v/>
      </c>
    </row>
    <row r="638" spans="7:16">
      <c r="G638" s="15">
        <f>'[01_Entry.xlsx]Book'!G638</f>
        <v>0.0</v>
      </c>
      <c r="H638" s="15">
        <f>'[01_Entry.xlsx]Book'!H638</f>
        <v>0.0</v>
      </c>
      <c r="I638" s="15">
        <f>'[01_Entry.xlsx]Book'!I638</f>
        <v>0.0</v>
      </c>
      <c r="K638" s="15">
        <f>'[01_Entry.xlsx]Book'!K638</f>
        <v>0.0</v>
      </c>
      <c r="L638" s="15">
        <f>'[01_Entry.xlsx]Book'!L638</f>
        <v>0.0</v>
      </c>
      <c r="M638" s="15">
        <f>'[01_Entry.xlsx]Book'!M638</f>
        <v>0.0</v>
      </c>
      <c r="P638" s="56">
        <f>IF($A638="","",IFERROR(VALUE(MID($A638,6,2)),""))</f>
        <v/>
      </c>
    </row>
    <row r="639" spans="7:16">
      <c r="G639" s="15">
        <f>'[01_Entry.xlsx]Book'!G639</f>
        <v>0.0</v>
      </c>
      <c r="H639" s="15">
        <f>'[01_Entry.xlsx]Book'!H639</f>
        <v>0.0</v>
      </c>
      <c r="I639" s="15">
        <f>'[01_Entry.xlsx]Book'!I639</f>
        <v>0.0</v>
      </c>
      <c r="K639" s="15">
        <f>'[01_Entry.xlsx]Book'!K639</f>
        <v>0.0</v>
      </c>
      <c r="L639" s="15">
        <f>'[01_Entry.xlsx]Book'!L639</f>
        <v>0.0</v>
      </c>
      <c r="M639" s="15">
        <f>'[01_Entry.xlsx]Book'!M639</f>
        <v>0.0</v>
      </c>
      <c r="P639" s="56">
        <f>IF($A639="","",IFERROR(VALUE(MID($A639,6,2)),""))</f>
        <v/>
      </c>
    </row>
    <row r="640" spans="7:16">
      <c r="G640" s="15">
        <f>'[01_Entry.xlsx]Book'!G640</f>
        <v>0.0</v>
      </c>
      <c r="H640" s="15">
        <f>'[01_Entry.xlsx]Book'!H640</f>
        <v>0.0</v>
      </c>
      <c r="I640" s="15">
        <f>'[01_Entry.xlsx]Book'!I640</f>
        <v>0.0</v>
      </c>
      <c r="K640" s="15">
        <f>'[01_Entry.xlsx]Book'!K640</f>
        <v>0.0</v>
      </c>
      <c r="L640" s="15">
        <f>'[01_Entry.xlsx]Book'!L640</f>
        <v>0.0</v>
      </c>
      <c r="M640" s="15">
        <f>'[01_Entry.xlsx]Book'!M640</f>
        <v>0.0</v>
      </c>
      <c r="P640" s="56">
        <f>IF($A640="","",IFERROR(VALUE(MID($A640,6,2)),""))</f>
        <v/>
      </c>
    </row>
    <row r="641" spans="7:16">
      <c r="G641" s="15">
        <f>'[01_Entry.xlsx]Book'!G641</f>
        <v>0.0</v>
      </c>
      <c r="H641" s="15">
        <f>'[01_Entry.xlsx]Book'!H641</f>
        <v>0.0</v>
      </c>
      <c r="I641" s="15">
        <f>'[01_Entry.xlsx]Book'!I641</f>
        <v>0.0</v>
      </c>
      <c r="K641" s="15">
        <f>'[01_Entry.xlsx]Book'!K641</f>
        <v>0.0</v>
      </c>
      <c r="L641" s="15">
        <f>'[01_Entry.xlsx]Book'!L641</f>
        <v>0.0</v>
      </c>
      <c r="M641" s="15">
        <f>'[01_Entry.xlsx]Book'!M641</f>
        <v>0.0</v>
      </c>
      <c r="P641" s="56">
        <f>IF($A641="","",IFERROR(VALUE(MID($A641,6,2)),""))</f>
        <v/>
      </c>
    </row>
    <row r="642" spans="7:16">
      <c r="G642" s="15">
        <f>'[01_Entry.xlsx]Book'!G642</f>
        <v>0.0</v>
      </c>
      <c r="H642" s="15">
        <f>'[01_Entry.xlsx]Book'!H642</f>
        <v>0.0</v>
      </c>
      <c r="I642" s="15">
        <f>'[01_Entry.xlsx]Book'!I642</f>
        <v>0.0</v>
      </c>
      <c r="K642" s="15">
        <f>'[01_Entry.xlsx]Book'!K642</f>
        <v>0.0</v>
      </c>
      <c r="L642" s="15">
        <f>'[01_Entry.xlsx]Book'!L642</f>
        <v>0.0</v>
      </c>
      <c r="M642" s="15">
        <f>'[01_Entry.xlsx]Book'!M642</f>
        <v>0.0</v>
      </c>
      <c r="P642" s="56">
        <f>IF($A642="","",IFERROR(VALUE(MID($A642,6,2)),""))</f>
        <v/>
      </c>
    </row>
    <row r="643" spans="7:16">
      <c r="G643" s="15">
        <f>'[01_Entry.xlsx]Book'!G643</f>
        <v>0.0</v>
      </c>
      <c r="H643" s="15">
        <f>'[01_Entry.xlsx]Book'!H643</f>
        <v>0.0</v>
      </c>
      <c r="I643" s="15">
        <f>'[01_Entry.xlsx]Book'!I643</f>
        <v>0.0</v>
      </c>
      <c r="K643" s="15">
        <f>'[01_Entry.xlsx]Book'!K643</f>
        <v>0.0</v>
      </c>
      <c r="L643" s="15">
        <f>'[01_Entry.xlsx]Book'!L643</f>
        <v>0.0</v>
      </c>
      <c r="M643" s="15">
        <f>'[01_Entry.xlsx]Book'!M643</f>
        <v>0.0</v>
      </c>
      <c r="P643" s="56">
        <f>IF($A643="","",IFERROR(VALUE(MID($A643,6,2)),""))</f>
        <v/>
      </c>
    </row>
    <row r="644" spans="7:16">
      <c r="G644" s="15">
        <f>'[01_Entry.xlsx]Book'!G644</f>
        <v>0.0</v>
      </c>
      <c r="H644" s="15">
        <f>'[01_Entry.xlsx]Book'!H644</f>
        <v>0.0</v>
      </c>
      <c r="I644" s="15">
        <f>'[01_Entry.xlsx]Book'!I644</f>
        <v>0.0</v>
      </c>
      <c r="K644" s="15">
        <f>'[01_Entry.xlsx]Book'!K644</f>
        <v>0.0</v>
      </c>
      <c r="L644" s="15">
        <f>'[01_Entry.xlsx]Book'!L644</f>
        <v>0.0</v>
      </c>
      <c r="M644" s="15">
        <f>'[01_Entry.xlsx]Book'!M644</f>
        <v>0.0</v>
      </c>
      <c r="P644" s="56">
        <f>IF($A644="","",IFERROR(VALUE(MID($A644,6,2)),""))</f>
        <v/>
      </c>
    </row>
    <row r="645" spans="7:16">
      <c r="G645" s="15">
        <f>'[01_Entry.xlsx]Book'!G645</f>
        <v>0.0</v>
      </c>
      <c r="H645" s="15">
        <f>'[01_Entry.xlsx]Book'!H645</f>
        <v>0.0</v>
      </c>
      <c r="I645" s="15">
        <f>'[01_Entry.xlsx]Book'!I645</f>
        <v>0.0</v>
      </c>
      <c r="K645" s="15">
        <f>'[01_Entry.xlsx]Book'!K645</f>
        <v>0.0</v>
      </c>
      <c r="L645" s="15">
        <f>'[01_Entry.xlsx]Book'!L645</f>
        <v>0.0</v>
      </c>
      <c r="M645" s="15">
        <f>'[01_Entry.xlsx]Book'!M645</f>
        <v>0.0</v>
      </c>
      <c r="P645" s="56">
        <f>IF($A645="","",IFERROR(VALUE(MID($A645,6,2)),""))</f>
        <v/>
      </c>
    </row>
    <row r="646" spans="7:16">
      <c r="G646" s="15">
        <f>'[01_Entry.xlsx]Book'!G646</f>
        <v>0.0</v>
      </c>
      <c r="H646" s="15">
        <f>'[01_Entry.xlsx]Book'!H646</f>
        <v>0.0</v>
      </c>
      <c r="I646" s="15">
        <f>'[01_Entry.xlsx]Book'!I646</f>
        <v>0.0</v>
      </c>
      <c r="K646" s="15">
        <f>'[01_Entry.xlsx]Book'!K646</f>
        <v>0.0</v>
      </c>
      <c r="L646" s="15">
        <f>'[01_Entry.xlsx]Book'!L646</f>
        <v>0.0</v>
      </c>
      <c r="M646" s="15">
        <f>'[01_Entry.xlsx]Book'!M646</f>
        <v>0.0</v>
      </c>
      <c r="P646" s="56">
        <f>IF($A646="","",IFERROR(VALUE(MID($A646,6,2)),""))</f>
        <v/>
      </c>
    </row>
    <row r="647" spans="7:16">
      <c r="G647" s="15">
        <f>'[01_Entry.xlsx]Book'!G647</f>
        <v>0.0</v>
      </c>
      <c r="H647" s="15">
        <f>'[01_Entry.xlsx]Book'!H647</f>
        <v>0.0</v>
      </c>
      <c r="I647" s="15">
        <f>'[01_Entry.xlsx]Book'!I647</f>
        <v>0.0</v>
      </c>
      <c r="K647" s="15">
        <f>'[01_Entry.xlsx]Book'!K647</f>
        <v>0.0</v>
      </c>
      <c r="L647" s="15">
        <f>'[01_Entry.xlsx]Book'!L647</f>
        <v>0.0</v>
      </c>
      <c r="M647" s="15">
        <f>'[01_Entry.xlsx]Book'!M647</f>
        <v>0.0</v>
      </c>
      <c r="P647" s="56">
        <f>IF($A647="","",IFERROR(VALUE(MID($A647,6,2)),""))</f>
        <v/>
      </c>
    </row>
    <row r="648" spans="7:16">
      <c r="G648" s="15">
        <f>'[01_Entry.xlsx]Book'!G648</f>
        <v>0.0</v>
      </c>
      <c r="H648" s="15">
        <f>'[01_Entry.xlsx]Book'!H648</f>
        <v>0.0</v>
      </c>
      <c r="I648" s="15">
        <f>'[01_Entry.xlsx]Book'!I648</f>
        <v>0.0</v>
      </c>
      <c r="K648" s="15">
        <f>'[01_Entry.xlsx]Book'!K648</f>
        <v>0.0</v>
      </c>
      <c r="L648" s="15">
        <f>'[01_Entry.xlsx]Book'!L648</f>
        <v>0.0</v>
      </c>
      <c r="M648" s="15">
        <f>'[01_Entry.xlsx]Book'!M648</f>
        <v>0.0</v>
      </c>
      <c r="P648" s="56">
        <f>IF($A648="","",IFERROR(VALUE(MID($A648,6,2)),""))</f>
        <v/>
      </c>
    </row>
    <row r="649" spans="7:16">
      <c r="G649" s="15">
        <f>'[01_Entry.xlsx]Book'!G649</f>
        <v>0.0</v>
      </c>
      <c r="H649" s="15">
        <f>'[01_Entry.xlsx]Book'!H649</f>
        <v>0.0</v>
      </c>
      <c r="I649" s="15">
        <f>'[01_Entry.xlsx]Book'!I649</f>
        <v>0.0</v>
      </c>
      <c r="K649" s="15">
        <f>'[01_Entry.xlsx]Book'!K649</f>
        <v>0.0</v>
      </c>
      <c r="L649" s="15">
        <f>'[01_Entry.xlsx]Book'!L649</f>
        <v>0.0</v>
      </c>
      <c r="M649" s="15">
        <f>'[01_Entry.xlsx]Book'!M649</f>
        <v>0.0</v>
      </c>
      <c r="P649" s="56">
        <f>IF($A649="","",IFERROR(VALUE(MID($A649,6,2)),""))</f>
        <v/>
      </c>
    </row>
    <row r="650" spans="7:16">
      <c r="G650" s="15">
        <f>'[01_Entry.xlsx]Book'!G650</f>
        <v>0.0</v>
      </c>
      <c r="H650" s="15">
        <f>'[01_Entry.xlsx]Book'!H650</f>
        <v>0.0</v>
      </c>
      <c r="I650" s="15">
        <f>'[01_Entry.xlsx]Book'!I650</f>
        <v>0.0</v>
      </c>
      <c r="K650" s="15">
        <f>'[01_Entry.xlsx]Book'!K650</f>
        <v>0.0</v>
      </c>
      <c r="L650" s="15">
        <f>'[01_Entry.xlsx]Book'!L650</f>
        <v>0.0</v>
      </c>
      <c r="M650" s="15">
        <f>'[01_Entry.xlsx]Book'!M650</f>
        <v>0.0</v>
      </c>
      <c r="P650" s="56">
        <f>IF($A650="","",IFERROR(VALUE(MID($A650,6,2)),""))</f>
        <v/>
      </c>
    </row>
    <row r="651" spans="7:16">
      <c r="G651" s="15">
        <f>'[01_Entry.xlsx]Book'!G651</f>
        <v>0.0</v>
      </c>
      <c r="H651" s="15">
        <f>'[01_Entry.xlsx]Book'!H651</f>
        <v>0.0</v>
      </c>
      <c r="I651" s="15">
        <f>'[01_Entry.xlsx]Book'!I651</f>
        <v>0.0</v>
      </c>
      <c r="K651" s="15">
        <f>'[01_Entry.xlsx]Book'!K651</f>
        <v>0.0</v>
      </c>
      <c r="L651" s="15">
        <f>'[01_Entry.xlsx]Book'!L651</f>
        <v>0.0</v>
      </c>
      <c r="M651" s="15">
        <f>'[01_Entry.xlsx]Book'!M651</f>
        <v>0.0</v>
      </c>
      <c r="P651" s="56">
        <f>IF($A651="","",IFERROR(VALUE(MID($A651,6,2)),""))</f>
        <v/>
      </c>
    </row>
    <row r="652" spans="7:16">
      <c r="G652" s="15">
        <f>'[01_Entry.xlsx]Book'!G652</f>
        <v>0.0</v>
      </c>
      <c r="H652" s="15">
        <f>'[01_Entry.xlsx]Book'!H652</f>
        <v>0.0</v>
      </c>
      <c r="I652" s="15">
        <f>'[01_Entry.xlsx]Book'!I652</f>
        <v>0.0</v>
      </c>
      <c r="K652" s="15">
        <f>'[01_Entry.xlsx]Book'!K652</f>
        <v>0.0</v>
      </c>
      <c r="L652" s="15">
        <f>'[01_Entry.xlsx]Book'!L652</f>
        <v>0.0</v>
      </c>
      <c r="M652" s="15">
        <f>'[01_Entry.xlsx]Book'!M652</f>
        <v>0.0</v>
      </c>
      <c r="P652" s="56">
        <f>IF($A652="","",IFERROR(VALUE(MID($A652,6,2)),""))</f>
        <v/>
      </c>
    </row>
    <row r="653" spans="7:16">
      <c r="G653" s="15">
        <f>'[01_Entry.xlsx]Book'!G653</f>
        <v>0.0</v>
      </c>
      <c r="H653" s="15">
        <f>'[01_Entry.xlsx]Book'!H653</f>
        <v>0.0</v>
      </c>
      <c r="I653" s="15">
        <f>'[01_Entry.xlsx]Book'!I653</f>
        <v>0.0</v>
      </c>
      <c r="K653" s="15">
        <f>'[01_Entry.xlsx]Book'!K653</f>
        <v>0.0</v>
      </c>
      <c r="L653" s="15">
        <f>'[01_Entry.xlsx]Book'!L653</f>
        <v>0.0</v>
      </c>
      <c r="M653" s="15">
        <f>'[01_Entry.xlsx]Book'!M653</f>
        <v>0.0</v>
      </c>
      <c r="P653" s="56">
        <f>IF($A653="","",IFERROR(VALUE(MID($A653,6,2)),""))</f>
        <v/>
      </c>
    </row>
    <row r="654" spans="7:16">
      <c r="G654" s="15">
        <f>'[01_Entry.xlsx]Book'!G654</f>
        <v>0.0</v>
      </c>
      <c r="H654" s="15">
        <f>'[01_Entry.xlsx]Book'!H654</f>
        <v>0.0</v>
      </c>
      <c r="I654" s="15">
        <f>'[01_Entry.xlsx]Book'!I654</f>
        <v>0.0</v>
      </c>
      <c r="K654" s="15">
        <f>'[01_Entry.xlsx]Book'!K654</f>
        <v>0.0</v>
      </c>
      <c r="L654" s="15">
        <f>'[01_Entry.xlsx]Book'!L654</f>
        <v>0.0</v>
      </c>
      <c r="M654" s="15">
        <f>'[01_Entry.xlsx]Book'!M654</f>
        <v>0.0</v>
      </c>
      <c r="P654" s="56">
        <f>IF($A654="","",IFERROR(VALUE(MID($A654,6,2)),""))</f>
        <v/>
      </c>
    </row>
    <row r="655" spans="7:16">
      <c r="G655" s="15">
        <f>'[01_Entry.xlsx]Book'!G655</f>
        <v>0.0</v>
      </c>
      <c r="H655" s="15">
        <f>'[01_Entry.xlsx]Book'!H655</f>
        <v>0.0</v>
      </c>
      <c r="I655" s="15">
        <f>'[01_Entry.xlsx]Book'!I655</f>
        <v>0.0</v>
      </c>
      <c r="K655" s="15">
        <f>'[01_Entry.xlsx]Book'!K655</f>
        <v>0.0</v>
      </c>
      <c r="L655" s="15">
        <f>'[01_Entry.xlsx]Book'!L655</f>
        <v>0.0</v>
      </c>
      <c r="M655" s="15">
        <f>'[01_Entry.xlsx]Book'!M655</f>
        <v>0.0</v>
      </c>
      <c r="P655" s="56">
        <f>IF($A655="","",IFERROR(VALUE(MID($A655,6,2)),""))</f>
        <v/>
      </c>
    </row>
    <row r="656" spans="7:16">
      <c r="G656" s="15">
        <f>'[01_Entry.xlsx]Book'!G656</f>
        <v>0.0</v>
      </c>
      <c r="H656" s="15">
        <f>'[01_Entry.xlsx]Book'!H656</f>
        <v>0.0</v>
      </c>
      <c r="I656" s="15">
        <f>'[01_Entry.xlsx]Book'!I656</f>
        <v>0.0</v>
      </c>
      <c r="K656" s="15">
        <f>'[01_Entry.xlsx]Book'!K656</f>
        <v>0.0</v>
      </c>
      <c r="L656" s="15">
        <f>'[01_Entry.xlsx]Book'!L656</f>
        <v>0.0</v>
      </c>
      <c r="M656" s="15">
        <f>'[01_Entry.xlsx]Book'!M656</f>
        <v>0.0</v>
      </c>
      <c r="P656" s="56">
        <f>IF($A656="","",IFERROR(VALUE(MID($A656,6,2)),""))</f>
        <v/>
      </c>
    </row>
    <row r="657" spans="7:16">
      <c r="G657" s="15">
        <f>'[01_Entry.xlsx]Book'!G657</f>
        <v>0.0</v>
      </c>
      <c r="H657" s="15">
        <f>'[01_Entry.xlsx]Book'!H657</f>
        <v>0.0</v>
      </c>
      <c r="I657" s="15">
        <f>'[01_Entry.xlsx]Book'!I657</f>
        <v>0.0</v>
      </c>
      <c r="K657" s="15">
        <f>'[01_Entry.xlsx]Book'!K657</f>
        <v>0.0</v>
      </c>
      <c r="L657" s="15">
        <f>'[01_Entry.xlsx]Book'!L657</f>
        <v>0.0</v>
      </c>
      <c r="M657" s="15">
        <f>'[01_Entry.xlsx]Book'!M657</f>
        <v>0.0</v>
      </c>
      <c r="P657" s="56">
        <f>IF($A657="","",IFERROR(VALUE(MID($A657,6,2)),""))</f>
        <v/>
      </c>
    </row>
    <row r="658" spans="7:16">
      <c r="G658" s="15">
        <f>'[01_Entry.xlsx]Book'!G658</f>
        <v>0.0</v>
      </c>
      <c r="H658" s="15">
        <f>'[01_Entry.xlsx]Book'!H658</f>
        <v>0.0</v>
      </c>
      <c r="I658" s="15">
        <f>'[01_Entry.xlsx]Book'!I658</f>
        <v>0.0</v>
      </c>
      <c r="K658" s="15">
        <f>'[01_Entry.xlsx]Book'!K658</f>
        <v>0.0</v>
      </c>
      <c r="L658" s="15">
        <f>'[01_Entry.xlsx]Book'!L658</f>
        <v>0.0</v>
      </c>
      <c r="M658" s="15">
        <f>'[01_Entry.xlsx]Book'!M658</f>
        <v>0.0</v>
      </c>
      <c r="P658" s="56">
        <f>IF($A658="","",IFERROR(VALUE(MID($A658,6,2)),""))</f>
        <v/>
      </c>
    </row>
    <row r="659" spans="7:16">
      <c r="G659" s="15">
        <f>'[01_Entry.xlsx]Book'!G659</f>
        <v>0.0</v>
      </c>
      <c r="H659" s="15">
        <f>'[01_Entry.xlsx]Book'!H659</f>
        <v>0.0</v>
      </c>
      <c r="I659" s="15">
        <f>'[01_Entry.xlsx]Book'!I659</f>
        <v>0.0</v>
      </c>
      <c r="K659" s="15">
        <f>'[01_Entry.xlsx]Book'!K659</f>
        <v>0.0</v>
      </c>
      <c r="L659" s="15">
        <f>'[01_Entry.xlsx]Book'!L659</f>
        <v>0.0</v>
      </c>
      <c r="M659" s="15">
        <f>'[01_Entry.xlsx]Book'!M659</f>
        <v>0.0</v>
      </c>
      <c r="P659" s="56">
        <f>IF($A659="","",IFERROR(VALUE(MID($A659,6,2)),""))</f>
        <v/>
      </c>
    </row>
    <row r="660" spans="7:16">
      <c r="G660" s="15">
        <f>'[01_Entry.xlsx]Book'!G660</f>
        <v>0.0</v>
      </c>
      <c r="H660" s="15">
        <f>'[01_Entry.xlsx]Book'!H660</f>
        <v>0.0</v>
      </c>
      <c r="I660" s="15">
        <f>'[01_Entry.xlsx]Book'!I660</f>
        <v>0.0</v>
      </c>
      <c r="K660" s="15">
        <f>'[01_Entry.xlsx]Book'!K660</f>
        <v>0.0</v>
      </c>
      <c r="L660" s="15">
        <f>'[01_Entry.xlsx]Book'!L660</f>
        <v>0.0</v>
      </c>
      <c r="M660" s="15">
        <f>'[01_Entry.xlsx]Book'!M660</f>
        <v>0.0</v>
      </c>
      <c r="P660" s="56">
        <f>IF($A660="","",IFERROR(VALUE(MID($A660,6,2)),""))</f>
        <v/>
      </c>
    </row>
    <row r="661" spans="7:16">
      <c r="G661" s="15">
        <f>'[01_Entry.xlsx]Book'!G661</f>
        <v>0.0</v>
      </c>
      <c r="H661" s="15">
        <f>'[01_Entry.xlsx]Book'!H661</f>
        <v>0.0</v>
      </c>
      <c r="I661" s="15">
        <f>'[01_Entry.xlsx]Book'!I661</f>
        <v>0.0</v>
      </c>
      <c r="K661" s="15">
        <f>'[01_Entry.xlsx]Book'!K661</f>
        <v>0.0</v>
      </c>
      <c r="L661" s="15">
        <f>'[01_Entry.xlsx]Book'!L661</f>
        <v>0.0</v>
      </c>
      <c r="M661" s="15">
        <f>'[01_Entry.xlsx]Book'!M661</f>
        <v>0.0</v>
      </c>
      <c r="P661" s="56">
        <f>IF($A661="","",IFERROR(VALUE(MID($A661,6,2)),""))</f>
        <v/>
      </c>
    </row>
    <row r="662" spans="7:16">
      <c r="G662" s="15">
        <f>'[01_Entry.xlsx]Book'!G662</f>
        <v>0.0</v>
      </c>
      <c r="H662" s="15">
        <f>'[01_Entry.xlsx]Book'!H662</f>
        <v>0.0</v>
      </c>
      <c r="I662" s="15">
        <f>'[01_Entry.xlsx]Book'!I662</f>
        <v>0.0</v>
      </c>
      <c r="K662" s="15">
        <f>'[01_Entry.xlsx]Book'!K662</f>
        <v>0.0</v>
      </c>
      <c r="L662" s="15">
        <f>'[01_Entry.xlsx]Book'!L662</f>
        <v>0.0</v>
      </c>
      <c r="M662" s="15">
        <f>'[01_Entry.xlsx]Book'!M662</f>
        <v>0.0</v>
      </c>
      <c r="P662" s="56">
        <f>IF($A662="","",IFERROR(VALUE(MID($A662,6,2)),""))</f>
        <v/>
      </c>
    </row>
    <row r="663" spans="7:16">
      <c r="G663" s="15">
        <f>'[01_Entry.xlsx]Book'!G663</f>
        <v>0.0</v>
      </c>
      <c r="H663" s="15">
        <f>'[01_Entry.xlsx]Book'!H663</f>
        <v>0.0</v>
      </c>
      <c r="I663" s="15">
        <f>'[01_Entry.xlsx]Book'!I663</f>
        <v>0.0</v>
      </c>
      <c r="K663" s="15">
        <f>'[01_Entry.xlsx]Book'!K663</f>
        <v>0.0</v>
      </c>
      <c r="L663" s="15">
        <f>'[01_Entry.xlsx]Book'!L663</f>
        <v>0.0</v>
      </c>
      <c r="M663" s="15">
        <f>'[01_Entry.xlsx]Book'!M663</f>
        <v>0.0</v>
      </c>
      <c r="P663" s="56">
        <f>IF($A663="","",IFERROR(VALUE(MID($A663,6,2)),""))</f>
        <v/>
      </c>
    </row>
    <row r="664" spans="7:16">
      <c r="G664" s="15">
        <f>'[01_Entry.xlsx]Book'!G664</f>
        <v>0.0</v>
      </c>
      <c r="H664" s="15">
        <f>'[01_Entry.xlsx]Book'!H664</f>
        <v>0.0</v>
      </c>
      <c r="I664" s="15">
        <f>'[01_Entry.xlsx]Book'!I664</f>
        <v>0.0</v>
      </c>
      <c r="K664" s="15">
        <f>'[01_Entry.xlsx]Book'!K664</f>
        <v>0.0</v>
      </c>
      <c r="L664" s="15">
        <f>'[01_Entry.xlsx]Book'!L664</f>
        <v>0.0</v>
      </c>
      <c r="M664" s="15">
        <f>'[01_Entry.xlsx]Book'!M664</f>
        <v>0.0</v>
      </c>
      <c r="P664" s="56">
        <f>IF($A664="","",IFERROR(VALUE(MID($A664,6,2)),""))</f>
        <v/>
      </c>
    </row>
    <row r="665" spans="7:16">
      <c r="G665" s="15">
        <f>'[01_Entry.xlsx]Book'!G665</f>
        <v>0.0</v>
      </c>
      <c r="H665" s="15">
        <f>'[01_Entry.xlsx]Book'!H665</f>
        <v>0.0</v>
      </c>
      <c r="I665" s="15">
        <f>'[01_Entry.xlsx]Book'!I665</f>
        <v>0.0</v>
      </c>
      <c r="K665" s="15">
        <f>'[01_Entry.xlsx]Book'!K665</f>
        <v>0.0</v>
      </c>
      <c r="L665" s="15">
        <f>'[01_Entry.xlsx]Book'!L665</f>
        <v>0.0</v>
      </c>
      <c r="M665" s="15">
        <f>'[01_Entry.xlsx]Book'!M665</f>
        <v>0.0</v>
      </c>
      <c r="P665" s="56">
        <f>IF($A665="","",IFERROR(VALUE(MID($A665,6,2)),""))</f>
        <v/>
      </c>
    </row>
    <row r="666" spans="7:16">
      <c r="G666" s="15">
        <f>'[01_Entry.xlsx]Book'!G666</f>
        <v>0.0</v>
      </c>
      <c r="H666" s="15">
        <f>'[01_Entry.xlsx]Book'!H666</f>
        <v>0.0</v>
      </c>
      <c r="I666" s="15">
        <f>'[01_Entry.xlsx]Book'!I666</f>
        <v>0.0</v>
      </c>
      <c r="K666" s="15">
        <f>'[01_Entry.xlsx]Book'!K666</f>
        <v>0.0</v>
      </c>
      <c r="L666" s="15">
        <f>'[01_Entry.xlsx]Book'!L666</f>
        <v>0.0</v>
      </c>
      <c r="M666" s="15">
        <f>'[01_Entry.xlsx]Book'!M666</f>
        <v>0.0</v>
      </c>
      <c r="P666" s="56">
        <f>IF($A666="","",IFERROR(VALUE(MID($A666,6,2)),""))</f>
        <v/>
      </c>
    </row>
    <row r="667" spans="7:16">
      <c r="G667" s="15">
        <f>'[01_Entry.xlsx]Book'!G667</f>
        <v>0.0</v>
      </c>
      <c r="H667" s="15">
        <f>'[01_Entry.xlsx]Book'!H667</f>
        <v>0.0</v>
      </c>
      <c r="I667" s="15">
        <f>'[01_Entry.xlsx]Book'!I667</f>
        <v>0.0</v>
      </c>
      <c r="K667" s="15">
        <f>'[01_Entry.xlsx]Book'!K667</f>
        <v>0.0</v>
      </c>
      <c r="L667" s="15">
        <f>'[01_Entry.xlsx]Book'!L667</f>
        <v>0.0</v>
      </c>
      <c r="M667" s="15">
        <f>'[01_Entry.xlsx]Book'!M667</f>
        <v>0.0</v>
      </c>
      <c r="P667" s="56">
        <f>IF($A667="","",IFERROR(VALUE(MID($A667,6,2)),""))</f>
        <v/>
      </c>
    </row>
    <row r="668" spans="7:16">
      <c r="G668" s="15">
        <f>'[01_Entry.xlsx]Book'!G668</f>
        <v>0.0</v>
      </c>
      <c r="H668" s="15">
        <f>'[01_Entry.xlsx]Book'!H668</f>
        <v>0.0</v>
      </c>
      <c r="I668" s="15">
        <f>'[01_Entry.xlsx]Book'!I668</f>
        <v>0.0</v>
      </c>
      <c r="K668" s="15">
        <f>'[01_Entry.xlsx]Book'!K668</f>
        <v>0.0</v>
      </c>
      <c r="L668" s="15">
        <f>'[01_Entry.xlsx]Book'!L668</f>
        <v>0.0</v>
      </c>
      <c r="M668" s="15">
        <f>'[01_Entry.xlsx]Book'!M668</f>
        <v>0.0</v>
      </c>
      <c r="P668" s="56">
        <f>IF($A668="","",IFERROR(VALUE(MID($A668,6,2)),""))</f>
        <v/>
      </c>
    </row>
    <row r="669" spans="7:16">
      <c r="G669" s="15">
        <f>'[01_Entry.xlsx]Book'!G669</f>
        <v>0.0</v>
      </c>
      <c r="H669" s="15">
        <f>'[01_Entry.xlsx]Book'!H669</f>
        <v>0.0</v>
      </c>
      <c r="I669" s="15">
        <f>'[01_Entry.xlsx]Book'!I669</f>
        <v>0.0</v>
      </c>
      <c r="K669" s="15">
        <f>'[01_Entry.xlsx]Book'!K669</f>
        <v>0.0</v>
      </c>
      <c r="L669" s="15">
        <f>'[01_Entry.xlsx]Book'!L669</f>
        <v>0.0</v>
      </c>
      <c r="M669" s="15">
        <f>'[01_Entry.xlsx]Book'!M669</f>
        <v>0.0</v>
      </c>
      <c r="P669" s="56">
        <f>IF($A669="","",IFERROR(VALUE(MID($A669,6,2)),""))</f>
        <v/>
      </c>
    </row>
    <row r="670" spans="7:16">
      <c r="G670" s="15">
        <f>'[01_Entry.xlsx]Book'!G670</f>
        <v>0.0</v>
      </c>
      <c r="H670" s="15">
        <f>'[01_Entry.xlsx]Book'!H670</f>
        <v>0.0</v>
      </c>
      <c r="I670" s="15">
        <f>'[01_Entry.xlsx]Book'!I670</f>
        <v>0.0</v>
      </c>
      <c r="K670" s="15">
        <f>'[01_Entry.xlsx]Book'!K670</f>
        <v>0.0</v>
      </c>
      <c r="L670" s="15">
        <f>'[01_Entry.xlsx]Book'!L670</f>
        <v>0.0</v>
      </c>
      <c r="M670" s="15">
        <f>'[01_Entry.xlsx]Book'!M670</f>
        <v>0.0</v>
      </c>
      <c r="P670" s="56">
        <f>IF($A670="","",IFERROR(VALUE(MID($A670,6,2)),""))</f>
        <v/>
      </c>
    </row>
    <row r="671" spans="7:16">
      <c r="G671" s="15">
        <f>'[01_Entry.xlsx]Book'!G671</f>
        <v>0.0</v>
      </c>
      <c r="H671" s="15">
        <f>'[01_Entry.xlsx]Book'!H671</f>
        <v>0.0</v>
      </c>
      <c r="I671" s="15">
        <f>'[01_Entry.xlsx]Book'!I671</f>
        <v>0.0</v>
      </c>
      <c r="K671" s="15">
        <f>'[01_Entry.xlsx]Book'!K671</f>
        <v>0.0</v>
      </c>
      <c r="L671" s="15">
        <f>'[01_Entry.xlsx]Book'!L671</f>
        <v>0.0</v>
      </c>
      <c r="M671" s="15">
        <f>'[01_Entry.xlsx]Book'!M671</f>
        <v>0.0</v>
      </c>
      <c r="P671" s="56">
        <f>IF($A671="","",IFERROR(VALUE(MID($A671,6,2)),""))</f>
        <v/>
      </c>
    </row>
    <row r="672" spans="7:16">
      <c r="G672" s="15">
        <f>'[01_Entry.xlsx]Book'!G672</f>
        <v>0.0</v>
      </c>
      <c r="H672" s="15">
        <f>'[01_Entry.xlsx]Book'!H672</f>
        <v>0.0</v>
      </c>
      <c r="I672" s="15">
        <f>'[01_Entry.xlsx]Book'!I672</f>
        <v>0.0</v>
      </c>
      <c r="K672" s="15">
        <f>'[01_Entry.xlsx]Book'!K672</f>
        <v>0.0</v>
      </c>
      <c r="L672" s="15">
        <f>'[01_Entry.xlsx]Book'!L672</f>
        <v>0.0</v>
      </c>
      <c r="M672" s="15">
        <f>'[01_Entry.xlsx]Book'!M672</f>
        <v>0.0</v>
      </c>
      <c r="P672" s="56">
        <f>IF($A672="","",IFERROR(VALUE(MID($A672,6,2)),""))</f>
        <v/>
      </c>
    </row>
    <row r="673" spans="7:16">
      <c r="G673" s="15">
        <f>'[01_Entry.xlsx]Book'!G673</f>
        <v>0.0</v>
      </c>
      <c r="H673" s="15">
        <f>'[01_Entry.xlsx]Book'!H673</f>
        <v>0.0</v>
      </c>
      <c r="I673" s="15">
        <f>'[01_Entry.xlsx]Book'!I673</f>
        <v>0.0</v>
      </c>
      <c r="K673" s="15">
        <f>'[01_Entry.xlsx]Book'!K673</f>
        <v>0.0</v>
      </c>
      <c r="L673" s="15">
        <f>'[01_Entry.xlsx]Book'!L673</f>
        <v>0.0</v>
      </c>
      <c r="M673" s="15">
        <f>'[01_Entry.xlsx]Book'!M673</f>
        <v>0.0</v>
      </c>
      <c r="P673" s="56">
        <f>IF($A673="","",IFERROR(VALUE(MID($A673,6,2)),""))</f>
        <v/>
      </c>
    </row>
    <row r="674" spans="7:16">
      <c r="G674" s="15">
        <f>'[01_Entry.xlsx]Book'!G674</f>
        <v>0.0</v>
      </c>
      <c r="H674" s="15">
        <f>'[01_Entry.xlsx]Book'!H674</f>
        <v>0.0</v>
      </c>
      <c r="I674" s="15">
        <f>'[01_Entry.xlsx]Book'!I674</f>
        <v>0.0</v>
      </c>
      <c r="K674" s="15">
        <f>'[01_Entry.xlsx]Book'!K674</f>
        <v>0.0</v>
      </c>
      <c r="L674" s="15">
        <f>'[01_Entry.xlsx]Book'!L674</f>
        <v>0.0</v>
      </c>
      <c r="M674" s="15">
        <f>'[01_Entry.xlsx]Book'!M674</f>
        <v>0.0</v>
      </c>
      <c r="P674" s="56">
        <f>IF($A674="","",IFERROR(VALUE(MID($A674,6,2)),""))</f>
        <v/>
      </c>
    </row>
    <row r="675" spans="7:16">
      <c r="G675" s="15">
        <f>'[01_Entry.xlsx]Book'!G675</f>
        <v>0.0</v>
      </c>
      <c r="H675" s="15">
        <f>'[01_Entry.xlsx]Book'!H675</f>
        <v>0.0</v>
      </c>
      <c r="I675" s="15">
        <f>'[01_Entry.xlsx]Book'!I675</f>
        <v>0.0</v>
      </c>
      <c r="K675" s="15">
        <f>'[01_Entry.xlsx]Book'!K675</f>
        <v>0.0</v>
      </c>
      <c r="L675" s="15">
        <f>'[01_Entry.xlsx]Book'!L675</f>
        <v>0.0</v>
      </c>
      <c r="M675" s="15">
        <f>'[01_Entry.xlsx]Book'!M675</f>
        <v>0.0</v>
      </c>
      <c r="P675" s="56">
        <f>IF($A675="","",IFERROR(VALUE(MID($A675,6,2)),""))</f>
        <v/>
      </c>
    </row>
    <row r="676" spans="7:16">
      <c r="G676" s="15">
        <f>'[01_Entry.xlsx]Book'!G676</f>
        <v>0.0</v>
      </c>
      <c r="H676" s="15">
        <f>'[01_Entry.xlsx]Book'!H676</f>
        <v>0.0</v>
      </c>
      <c r="I676" s="15">
        <f>'[01_Entry.xlsx]Book'!I676</f>
        <v>0.0</v>
      </c>
      <c r="K676" s="15">
        <f>'[01_Entry.xlsx]Book'!K676</f>
        <v>0.0</v>
      </c>
      <c r="L676" s="15">
        <f>'[01_Entry.xlsx]Book'!L676</f>
        <v>0.0</v>
      </c>
      <c r="M676" s="15">
        <f>'[01_Entry.xlsx]Book'!M676</f>
        <v>0.0</v>
      </c>
      <c r="P676" s="56">
        <f>IF($A676="","",IFERROR(VALUE(MID($A676,6,2)),""))</f>
        <v/>
      </c>
    </row>
    <row r="677" spans="7:16">
      <c r="G677" s="15">
        <f>'[01_Entry.xlsx]Book'!G677</f>
        <v>0.0</v>
      </c>
      <c r="H677" s="15">
        <f>'[01_Entry.xlsx]Book'!H677</f>
        <v>0.0</v>
      </c>
      <c r="I677" s="15">
        <f>'[01_Entry.xlsx]Book'!I677</f>
        <v>0.0</v>
      </c>
      <c r="K677" s="15">
        <f>'[01_Entry.xlsx]Book'!K677</f>
        <v>0.0</v>
      </c>
      <c r="L677" s="15">
        <f>'[01_Entry.xlsx]Book'!L677</f>
        <v>0.0</v>
      </c>
      <c r="M677" s="15">
        <f>'[01_Entry.xlsx]Book'!M677</f>
        <v>0.0</v>
      </c>
      <c r="P677" s="56">
        <f>IF($A677="","",IFERROR(VALUE(MID($A677,6,2)),""))</f>
        <v/>
      </c>
    </row>
    <row r="678" spans="7:16">
      <c r="G678" s="15">
        <f>'[01_Entry.xlsx]Book'!G678</f>
        <v>0.0</v>
      </c>
      <c r="H678" s="15">
        <f>'[01_Entry.xlsx]Book'!H678</f>
        <v>0.0</v>
      </c>
      <c r="I678" s="15">
        <f>'[01_Entry.xlsx]Book'!I678</f>
        <v>0.0</v>
      </c>
      <c r="K678" s="15">
        <f>'[01_Entry.xlsx]Book'!K678</f>
        <v>0.0</v>
      </c>
      <c r="L678" s="15">
        <f>'[01_Entry.xlsx]Book'!L678</f>
        <v>0.0</v>
      </c>
      <c r="M678" s="15">
        <f>'[01_Entry.xlsx]Book'!M678</f>
        <v>0.0</v>
      </c>
      <c r="P678" s="56">
        <f>IF($A678="","",IFERROR(VALUE(MID($A678,6,2)),""))</f>
        <v/>
      </c>
    </row>
    <row r="679" spans="7:16">
      <c r="G679" s="15">
        <f>'[01_Entry.xlsx]Book'!G679</f>
        <v>0.0</v>
      </c>
      <c r="H679" s="15">
        <f>'[01_Entry.xlsx]Book'!H679</f>
        <v>0.0</v>
      </c>
      <c r="I679" s="15">
        <f>'[01_Entry.xlsx]Book'!I679</f>
        <v>0.0</v>
      </c>
      <c r="K679" s="15">
        <f>'[01_Entry.xlsx]Book'!K679</f>
        <v>0.0</v>
      </c>
      <c r="L679" s="15">
        <f>'[01_Entry.xlsx]Book'!L679</f>
        <v>0.0</v>
      </c>
      <c r="M679" s="15">
        <f>'[01_Entry.xlsx]Book'!M679</f>
        <v>0.0</v>
      </c>
      <c r="P679" s="56">
        <f>IF($A679="","",IFERROR(VALUE(MID($A679,6,2)),""))</f>
        <v/>
      </c>
    </row>
    <row r="680" spans="7:16">
      <c r="G680" s="15">
        <f>'[01_Entry.xlsx]Book'!G680</f>
        <v>0.0</v>
      </c>
      <c r="H680" s="15">
        <f>'[01_Entry.xlsx]Book'!H680</f>
        <v>0.0</v>
      </c>
      <c r="I680" s="15">
        <f>'[01_Entry.xlsx]Book'!I680</f>
        <v>0.0</v>
      </c>
      <c r="K680" s="15">
        <f>'[01_Entry.xlsx]Book'!K680</f>
        <v>0.0</v>
      </c>
      <c r="L680" s="15">
        <f>'[01_Entry.xlsx]Book'!L680</f>
        <v>0.0</v>
      </c>
      <c r="M680" s="15">
        <f>'[01_Entry.xlsx]Book'!M680</f>
        <v>0.0</v>
      </c>
      <c r="P680" s="56">
        <f>IF($A680="","",IFERROR(VALUE(MID($A680,6,2)),""))</f>
        <v/>
      </c>
    </row>
    <row r="681" spans="7:16">
      <c r="G681" s="15">
        <f>'[01_Entry.xlsx]Book'!G681</f>
        <v>0.0</v>
      </c>
      <c r="H681" s="15">
        <f>'[01_Entry.xlsx]Book'!H681</f>
        <v>0.0</v>
      </c>
      <c r="I681" s="15">
        <f>'[01_Entry.xlsx]Book'!I681</f>
        <v>0.0</v>
      </c>
      <c r="K681" s="15">
        <f>'[01_Entry.xlsx]Book'!K681</f>
        <v>0.0</v>
      </c>
      <c r="L681" s="15">
        <f>'[01_Entry.xlsx]Book'!L681</f>
        <v>0.0</v>
      </c>
      <c r="M681" s="15">
        <f>'[01_Entry.xlsx]Book'!M681</f>
        <v>0.0</v>
      </c>
      <c r="P681" s="56">
        <f>IF($A681="","",IFERROR(VALUE(MID($A681,6,2)),""))</f>
        <v/>
      </c>
    </row>
    <row r="682" spans="7:16">
      <c r="G682" s="15">
        <f>'[01_Entry.xlsx]Book'!G682</f>
        <v>0.0</v>
      </c>
      <c r="H682" s="15">
        <f>'[01_Entry.xlsx]Book'!H682</f>
        <v>0.0</v>
      </c>
      <c r="I682" s="15">
        <f>'[01_Entry.xlsx]Book'!I682</f>
        <v>0.0</v>
      </c>
      <c r="K682" s="15">
        <f>'[01_Entry.xlsx]Book'!K682</f>
        <v>0.0</v>
      </c>
      <c r="L682" s="15">
        <f>'[01_Entry.xlsx]Book'!L682</f>
        <v>0.0</v>
      </c>
      <c r="M682" s="15">
        <f>'[01_Entry.xlsx]Book'!M682</f>
        <v>0.0</v>
      </c>
      <c r="P682" s="56">
        <f>IF($A682="","",IFERROR(VALUE(MID($A682,6,2)),""))</f>
        <v/>
      </c>
    </row>
    <row r="683" spans="7:16">
      <c r="G683" s="15">
        <f>'[01_Entry.xlsx]Book'!G683</f>
        <v>0.0</v>
      </c>
      <c r="H683" s="15">
        <f>'[01_Entry.xlsx]Book'!H683</f>
        <v>0.0</v>
      </c>
      <c r="I683" s="15">
        <f>'[01_Entry.xlsx]Book'!I683</f>
        <v>0.0</v>
      </c>
      <c r="K683" s="15">
        <f>'[01_Entry.xlsx]Book'!K683</f>
        <v>0.0</v>
      </c>
      <c r="L683" s="15">
        <f>'[01_Entry.xlsx]Book'!L683</f>
        <v>0.0</v>
      </c>
      <c r="M683" s="15">
        <f>'[01_Entry.xlsx]Book'!M683</f>
        <v>0.0</v>
      </c>
      <c r="P683" s="56">
        <f>IF($A683="","",IFERROR(VALUE(MID($A683,6,2)),""))</f>
        <v/>
      </c>
    </row>
    <row r="684" spans="7:16">
      <c r="G684" s="15">
        <f>'[01_Entry.xlsx]Book'!G684</f>
        <v>0.0</v>
      </c>
      <c r="H684" s="15">
        <f>'[01_Entry.xlsx]Book'!H684</f>
        <v>0.0</v>
      </c>
      <c r="I684" s="15">
        <f>'[01_Entry.xlsx]Book'!I684</f>
        <v>0.0</v>
      </c>
      <c r="K684" s="15">
        <f>'[01_Entry.xlsx]Book'!K684</f>
        <v>0.0</v>
      </c>
      <c r="L684" s="15">
        <f>'[01_Entry.xlsx]Book'!L684</f>
        <v>0.0</v>
      </c>
      <c r="M684" s="15">
        <f>'[01_Entry.xlsx]Book'!M684</f>
        <v>0.0</v>
      </c>
      <c r="P684" s="56">
        <f>IF($A684="","",IFERROR(VALUE(MID($A684,6,2)),""))</f>
        <v/>
      </c>
    </row>
    <row r="685" spans="7:16">
      <c r="G685" s="15">
        <f>'[01_Entry.xlsx]Book'!G685</f>
        <v>0.0</v>
      </c>
      <c r="H685" s="15">
        <f>'[01_Entry.xlsx]Book'!H685</f>
        <v>0.0</v>
      </c>
      <c r="I685" s="15">
        <f>'[01_Entry.xlsx]Book'!I685</f>
        <v>0.0</v>
      </c>
      <c r="K685" s="15">
        <f>'[01_Entry.xlsx]Book'!K685</f>
        <v>0.0</v>
      </c>
      <c r="L685" s="15">
        <f>'[01_Entry.xlsx]Book'!L685</f>
        <v>0.0</v>
      </c>
      <c r="M685" s="15">
        <f>'[01_Entry.xlsx]Book'!M685</f>
        <v>0.0</v>
      </c>
      <c r="P685" s="56">
        <f>IF($A685="","",IFERROR(VALUE(MID($A685,6,2)),""))</f>
        <v/>
      </c>
    </row>
    <row r="686" spans="7:16">
      <c r="G686" s="15">
        <f>'[01_Entry.xlsx]Book'!G686</f>
        <v>0.0</v>
      </c>
      <c r="H686" s="15">
        <f>'[01_Entry.xlsx]Book'!H686</f>
        <v>0.0</v>
      </c>
      <c r="I686" s="15">
        <f>'[01_Entry.xlsx]Book'!I686</f>
        <v>0.0</v>
      </c>
      <c r="K686" s="15">
        <f>'[01_Entry.xlsx]Book'!K686</f>
        <v>0.0</v>
      </c>
      <c r="L686" s="15">
        <f>'[01_Entry.xlsx]Book'!L686</f>
        <v>0.0</v>
      </c>
      <c r="M686" s="15">
        <f>'[01_Entry.xlsx]Book'!M686</f>
        <v>0.0</v>
      </c>
      <c r="P686" s="56">
        <f>IF($A686="","",IFERROR(VALUE(MID($A686,6,2)),""))</f>
        <v/>
      </c>
    </row>
    <row r="687" spans="7:16">
      <c r="G687" s="15">
        <f>'[01_Entry.xlsx]Book'!G687</f>
        <v>0.0</v>
      </c>
      <c r="H687" s="15">
        <f>'[01_Entry.xlsx]Book'!H687</f>
        <v>0.0</v>
      </c>
      <c r="I687" s="15">
        <f>'[01_Entry.xlsx]Book'!I687</f>
        <v>0.0</v>
      </c>
      <c r="K687" s="15">
        <f>'[01_Entry.xlsx]Book'!K687</f>
        <v>0.0</v>
      </c>
      <c r="L687" s="15">
        <f>'[01_Entry.xlsx]Book'!L687</f>
        <v>0.0</v>
      </c>
      <c r="M687" s="15">
        <f>'[01_Entry.xlsx]Book'!M687</f>
        <v>0.0</v>
      </c>
      <c r="P687" s="56">
        <f>IF($A687="","",IFERROR(VALUE(MID($A687,6,2)),""))</f>
        <v/>
      </c>
    </row>
    <row r="688" spans="7:16">
      <c r="G688" s="15">
        <f>'[01_Entry.xlsx]Book'!G688</f>
        <v>0.0</v>
      </c>
      <c r="H688" s="15">
        <f>'[01_Entry.xlsx]Book'!H688</f>
        <v>0.0</v>
      </c>
      <c r="I688" s="15">
        <f>'[01_Entry.xlsx]Book'!I688</f>
        <v>0.0</v>
      </c>
      <c r="K688" s="15">
        <f>'[01_Entry.xlsx]Book'!K688</f>
        <v>0.0</v>
      </c>
      <c r="L688" s="15">
        <f>'[01_Entry.xlsx]Book'!L688</f>
        <v>0.0</v>
      </c>
      <c r="M688" s="15">
        <f>'[01_Entry.xlsx]Book'!M688</f>
        <v>0.0</v>
      </c>
      <c r="P688" s="56">
        <f>IF($A688="","",IFERROR(VALUE(MID($A688,6,2)),""))</f>
        <v/>
      </c>
    </row>
    <row r="689" spans="7:16">
      <c r="G689" s="15">
        <f>'[01_Entry.xlsx]Book'!G689</f>
        <v>0.0</v>
      </c>
      <c r="H689" s="15">
        <f>'[01_Entry.xlsx]Book'!H689</f>
        <v>0.0</v>
      </c>
      <c r="I689" s="15">
        <f>'[01_Entry.xlsx]Book'!I689</f>
        <v>0.0</v>
      </c>
      <c r="K689" s="15">
        <f>'[01_Entry.xlsx]Book'!K689</f>
        <v>0.0</v>
      </c>
      <c r="L689" s="15">
        <f>'[01_Entry.xlsx]Book'!L689</f>
        <v>0.0</v>
      </c>
      <c r="M689" s="15">
        <f>'[01_Entry.xlsx]Book'!M689</f>
        <v>0.0</v>
      </c>
      <c r="P689" s="56">
        <f>IF($A689="","",IFERROR(VALUE(MID($A689,6,2)),""))</f>
        <v/>
      </c>
    </row>
    <row r="690" spans="7:16">
      <c r="G690" s="15">
        <f>'[01_Entry.xlsx]Book'!G690</f>
        <v>0.0</v>
      </c>
      <c r="H690" s="15">
        <f>'[01_Entry.xlsx]Book'!H690</f>
        <v>0.0</v>
      </c>
      <c r="I690" s="15">
        <f>'[01_Entry.xlsx]Book'!I690</f>
        <v>0.0</v>
      </c>
      <c r="K690" s="15">
        <f>'[01_Entry.xlsx]Book'!K690</f>
        <v>0.0</v>
      </c>
      <c r="L690" s="15">
        <f>'[01_Entry.xlsx]Book'!L690</f>
        <v>0.0</v>
      </c>
      <c r="M690" s="15">
        <f>'[01_Entry.xlsx]Book'!M690</f>
        <v>0.0</v>
      </c>
      <c r="P690" s="56">
        <f>IF($A690="","",IFERROR(VALUE(MID($A690,6,2)),""))</f>
        <v/>
      </c>
    </row>
    <row r="691" spans="7:16">
      <c r="G691" s="15">
        <f>'[01_Entry.xlsx]Book'!G691</f>
        <v>0.0</v>
      </c>
      <c r="H691" s="15">
        <f>'[01_Entry.xlsx]Book'!H691</f>
        <v>0.0</v>
      </c>
      <c r="I691" s="15">
        <f>'[01_Entry.xlsx]Book'!I691</f>
        <v>0.0</v>
      </c>
      <c r="K691" s="15">
        <f>'[01_Entry.xlsx]Book'!K691</f>
        <v>0.0</v>
      </c>
      <c r="L691" s="15">
        <f>'[01_Entry.xlsx]Book'!L691</f>
        <v>0.0</v>
      </c>
      <c r="M691" s="15">
        <f>'[01_Entry.xlsx]Book'!M691</f>
        <v>0.0</v>
      </c>
      <c r="P691" s="56">
        <f>IF($A691="","",IFERROR(VALUE(MID($A691,6,2)),""))</f>
        <v/>
      </c>
    </row>
    <row r="692" spans="7:16">
      <c r="G692" s="15">
        <f>'[01_Entry.xlsx]Book'!G692</f>
        <v>0.0</v>
      </c>
      <c r="H692" s="15">
        <f>'[01_Entry.xlsx]Book'!H692</f>
        <v>0.0</v>
      </c>
      <c r="I692" s="15">
        <f>'[01_Entry.xlsx]Book'!I692</f>
        <v>0.0</v>
      </c>
      <c r="K692" s="15">
        <f>'[01_Entry.xlsx]Book'!K692</f>
        <v>0.0</v>
      </c>
      <c r="L692" s="15">
        <f>'[01_Entry.xlsx]Book'!L692</f>
        <v>0.0</v>
      </c>
      <c r="M692" s="15">
        <f>'[01_Entry.xlsx]Book'!M692</f>
        <v>0.0</v>
      </c>
      <c r="P692" s="56">
        <f>IF($A692="","",IFERROR(VALUE(MID($A692,6,2)),""))</f>
        <v/>
      </c>
    </row>
    <row r="693" spans="7:16">
      <c r="G693" s="15">
        <f>'[01_Entry.xlsx]Book'!G693</f>
        <v>0.0</v>
      </c>
      <c r="H693" s="15">
        <f>'[01_Entry.xlsx]Book'!H693</f>
        <v>0.0</v>
      </c>
      <c r="I693" s="15">
        <f>'[01_Entry.xlsx]Book'!I693</f>
        <v>0.0</v>
      </c>
      <c r="K693" s="15">
        <f>'[01_Entry.xlsx]Book'!K693</f>
        <v>0.0</v>
      </c>
      <c r="L693" s="15">
        <f>'[01_Entry.xlsx]Book'!L693</f>
        <v>0.0</v>
      </c>
      <c r="M693" s="15">
        <f>'[01_Entry.xlsx]Book'!M693</f>
        <v>0.0</v>
      </c>
      <c r="P693" s="56">
        <f>IF($A693="","",IFERROR(VALUE(MID($A693,6,2)),""))</f>
        <v/>
      </c>
    </row>
    <row r="694" spans="7:16">
      <c r="G694" s="15">
        <f>'[01_Entry.xlsx]Book'!G694</f>
        <v>0.0</v>
      </c>
      <c r="H694" s="15">
        <f>'[01_Entry.xlsx]Book'!H694</f>
        <v>0.0</v>
      </c>
      <c r="I694" s="15">
        <f>'[01_Entry.xlsx]Book'!I694</f>
        <v>0.0</v>
      </c>
      <c r="K694" s="15">
        <f>'[01_Entry.xlsx]Book'!K694</f>
        <v>0.0</v>
      </c>
      <c r="L694" s="15">
        <f>'[01_Entry.xlsx]Book'!L694</f>
        <v>0.0</v>
      </c>
      <c r="M694" s="15">
        <f>'[01_Entry.xlsx]Book'!M694</f>
        <v>0.0</v>
      </c>
      <c r="P694" s="56">
        <f>IF($A694="","",IFERROR(VALUE(MID($A694,6,2)),""))</f>
        <v/>
      </c>
    </row>
    <row r="695" spans="7:16">
      <c r="G695" s="15">
        <f>'[01_Entry.xlsx]Book'!G695</f>
        <v>0.0</v>
      </c>
      <c r="H695" s="15">
        <f>'[01_Entry.xlsx]Book'!H695</f>
        <v>0.0</v>
      </c>
      <c r="I695" s="15">
        <f>'[01_Entry.xlsx]Book'!I695</f>
        <v>0.0</v>
      </c>
      <c r="K695" s="15">
        <f>'[01_Entry.xlsx]Book'!K695</f>
        <v>0.0</v>
      </c>
      <c r="L695" s="15">
        <f>'[01_Entry.xlsx]Book'!L695</f>
        <v>0.0</v>
      </c>
      <c r="M695" s="15">
        <f>'[01_Entry.xlsx]Book'!M695</f>
        <v>0.0</v>
      </c>
      <c r="P695" s="56">
        <f>IF($A695="","",IFERROR(VALUE(MID($A695,6,2)),""))</f>
        <v/>
      </c>
    </row>
    <row r="696" spans="7:16">
      <c r="G696" s="15">
        <f>'[01_Entry.xlsx]Book'!G696</f>
        <v>0.0</v>
      </c>
      <c r="H696" s="15">
        <f>'[01_Entry.xlsx]Book'!H696</f>
        <v>0.0</v>
      </c>
      <c r="I696" s="15">
        <f>'[01_Entry.xlsx]Book'!I696</f>
        <v>0.0</v>
      </c>
      <c r="K696" s="15">
        <f>'[01_Entry.xlsx]Book'!K696</f>
        <v>0.0</v>
      </c>
      <c r="L696" s="15">
        <f>'[01_Entry.xlsx]Book'!L696</f>
        <v>0.0</v>
      </c>
      <c r="M696" s="15">
        <f>'[01_Entry.xlsx]Book'!M696</f>
        <v>0.0</v>
      </c>
      <c r="P696" s="56">
        <f>IF($A696="","",IFERROR(VALUE(MID($A696,6,2)),""))</f>
        <v/>
      </c>
    </row>
    <row r="697" spans="7:16">
      <c r="G697" s="15">
        <f>'[01_Entry.xlsx]Book'!G697</f>
        <v>0.0</v>
      </c>
      <c r="H697" s="15">
        <f>'[01_Entry.xlsx]Book'!H697</f>
        <v>0.0</v>
      </c>
      <c r="I697" s="15">
        <f>'[01_Entry.xlsx]Book'!I697</f>
        <v>0.0</v>
      </c>
      <c r="K697" s="15">
        <f>'[01_Entry.xlsx]Book'!K697</f>
        <v>0.0</v>
      </c>
      <c r="L697" s="15">
        <f>'[01_Entry.xlsx]Book'!L697</f>
        <v>0.0</v>
      </c>
      <c r="M697" s="15">
        <f>'[01_Entry.xlsx]Book'!M697</f>
        <v>0.0</v>
      </c>
      <c r="P697" s="56">
        <f>IF($A697="","",IFERROR(VALUE(MID($A697,6,2)),""))</f>
        <v/>
      </c>
    </row>
    <row r="698" spans="7:16">
      <c r="G698" s="15">
        <f>'[01_Entry.xlsx]Book'!G698</f>
        <v>0.0</v>
      </c>
      <c r="H698" s="15">
        <f>'[01_Entry.xlsx]Book'!H698</f>
        <v>0.0</v>
      </c>
      <c r="I698" s="15">
        <f>'[01_Entry.xlsx]Book'!I698</f>
        <v>0.0</v>
      </c>
      <c r="K698" s="15">
        <f>'[01_Entry.xlsx]Book'!K698</f>
        <v>0.0</v>
      </c>
      <c r="L698" s="15">
        <f>'[01_Entry.xlsx]Book'!L698</f>
        <v>0.0</v>
      </c>
      <c r="M698" s="15">
        <f>'[01_Entry.xlsx]Book'!M698</f>
        <v>0.0</v>
      </c>
      <c r="P698" s="56">
        <f>IF($A698="","",IFERROR(VALUE(MID($A698,6,2)),""))</f>
        <v/>
      </c>
    </row>
    <row r="699" spans="7:16">
      <c r="G699" s="15">
        <f>'[01_Entry.xlsx]Book'!G699</f>
        <v>0.0</v>
      </c>
      <c r="H699" s="15">
        <f>'[01_Entry.xlsx]Book'!H699</f>
        <v>0.0</v>
      </c>
      <c r="I699" s="15">
        <f>'[01_Entry.xlsx]Book'!I699</f>
        <v>0.0</v>
      </c>
      <c r="K699" s="15">
        <f>'[01_Entry.xlsx]Book'!K699</f>
        <v>0.0</v>
      </c>
      <c r="L699" s="15">
        <f>'[01_Entry.xlsx]Book'!L699</f>
        <v>0.0</v>
      </c>
      <c r="M699" s="15">
        <f>'[01_Entry.xlsx]Book'!M699</f>
        <v>0.0</v>
      </c>
      <c r="P699" s="56">
        <f>IF($A699="","",IFERROR(VALUE(MID($A699,6,2)),""))</f>
        <v/>
      </c>
    </row>
    <row r="700" spans="7:16">
      <c r="G700" s="15">
        <f>'[01_Entry.xlsx]Book'!G700</f>
        <v>0.0</v>
      </c>
      <c r="H700" s="15">
        <f>'[01_Entry.xlsx]Book'!H700</f>
        <v>0.0</v>
      </c>
      <c r="I700" s="15">
        <f>'[01_Entry.xlsx]Book'!I700</f>
        <v>0.0</v>
      </c>
      <c r="K700" s="15">
        <f>'[01_Entry.xlsx]Book'!K700</f>
        <v>0.0</v>
      </c>
      <c r="L700" s="15">
        <f>'[01_Entry.xlsx]Book'!L700</f>
        <v>0.0</v>
      </c>
      <c r="M700" s="15">
        <f>'[01_Entry.xlsx]Book'!M700</f>
        <v>0.0</v>
      </c>
      <c r="P700" s="56">
        <f>IF($A700="","",IFERROR(VALUE(MID($A700,6,2)),""))</f>
        <v/>
      </c>
    </row>
    <row r="701" spans="7:16">
      <c r="G701" s="15">
        <f>'[01_Entry.xlsx]Book'!G701</f>
        <v>0.0</v>
      </c>
      <c r="H701" s="15">
        <f>'[01_Entry.xlsx]Book'!H701</f>
        <v>0.0</v>
      </c>
      <c r="I701" s="15">
        <f>'[01_Entry.xlsx]Book'!I701</f>
        <v>0.0</v>
      </c>
      <c r="K701" s="15">
        <f>'[01_Entry.xlsx]Book'!K701</f>
        <v>0.0</v>
      </c>
      <c r="L701" s="15">
        <f>'[01_Entry.xlsx]Book'!L701</f>
        <v>0.0</v>
      </c>
      <c r="M701" s="15">
        <f>'[01_Entry.xlsx]Book'!M701</f>
        <v>0.0</v>
      </c>
      <c r="P701" s="56">
        <f>IF($A701="","",IFERROR(VALUE(MID($A701,6,2)),""))</f>
        <v/>
      </c>
    </row>
    <row r="702" spans="7:16">
      <c r="G702" s="15">
        <f>'[01_Entry.xlsx]Book'!G702</f>
        <v>0.0</v>
      </c>
      <c r="H702" s="15">
        <f>'[01_Entry.xlsx]Book'!H702</f>
        <v>0.0</v>
      </c>
      <c r="I702" s="15">
        <f>'[01_Entry.xlsx]Book'!I702</f>
        <v>0.0</v>
      </c>
      <c r="K702" s="15">
        <f>'[01_Entry.xlsx]Book'!K702</f>
        <v>0.0</v>
      </c>
      <c r="L702" s="15">
        <f>'[01_Entry.xlsx]Book'!L702</f>
        <v>0.0</v>
      </c>
      <c r="M702" s="15">
        <f>'[01_Entry.xlsx]Book'!M702</f>
        <v>0.0</v>
      </c>
      <c r="P702" s="56">
        <f>IF($A702="","",IFERROR(VALUE(MID($A702,6,2)),""))</f>
        <v/>
      </c>
    </row>
    <row r="703" spans="7:16">
      <c r="G703" s="15">
        <f>'[01_Entry.xlsx]Book'!G703</f>
        <v>0.0</v>
      </c>
      <c r="H703" s="15">
        <f>'[01_Entry.xlsx]Book'!H703</f>
        <v>0.0</v>
      </c>
      <c r="I703" s="15">
        <f>'[01_Entry.xlsx]Book'!I703</f>
        <v>0.0</v>
      </c>
      <c r="K703" s="15">
        <f>'[01_Entry.xlsx]Book'!K703</f>
        <v>0.0</v>
      </c>
      <c r="L703" s="15">
        <f>'[01_Entry.xlsx]Book'!L703</f>
        <v>0.0</v>
      </c>
      <c r="M703" s="15">
        <f>'[01_Entry.xlsx]Book'!M703</f>
        <v>0.0</v>
      </c>
      <c r="P703" s="56">
        <f>IF($A703="","",IFERROR(VALUE(MID($A703,6,2)),""))</f>
        <v/>
      </c>
    </row>
    <row r="704" spans="7:16">
      <c r="G704" s="15">
        <f>'[01_Entry.xlsx]Book'!G704</f>
        <v>0.0</v>
      </c>
      <c r="H704" s="15">
        <f>'[01_Entry.xlsx]Book'!H704</f>
        <v>0.0</v>
      </c>
      <c r="I704" s="15">
        <f>'[01_Entry.xlsx]Book'!I704</f>
        <v>0.0</v>
      </c>
      <c r="K704" s="15">
        <f>'[01_Entry.xlsx]Book'!K704</f>
        <v>0.0</v>
      </c>
      <c r="L704" s="15">
        <f>'[01_Entry.xlsx]Book'!L704</f>
        <v>0.0</v>
      </c>
      <c r="M704" s="15">
        <f>'[01_Entry.xlsx]Book'!M704</f>
        <v>0.0</v>
      </c>
      <c r="P704" s="56">
        <f>IF($A704="","",IFERROR(VALUE(MID($A704,6,2)),""))</f>
        <v/>
      </c>
    </row>
    <row r="705" spans="7:16">
      <c r="G705" s="15">
        <f>'[01_Entry.xlsx]Book'!G705</f>
        <v>0.0</v>
      </c>
      <c r="H705" s="15">
        <f>'[01_Entry.xlsx]Book'!H705</f>
        <v>0.0</v>
      </c>
      <c r="I705" s="15">
        <f>'[01_Entry.xlsx]Book'!I705</f>
        <v>0.0</v>
      </c>
      <c r="K705" s="15">
        <f>'[01_Entry.xlsx]Book'!K705</f>
        <v>0.0</v>
      </c>
      <c r="L705" s="15">
        <f>'[01_Entry.xlsx]Book'!L705</f>
        <v>0.0</v>
      </c>
      <c r="M705" s="15">
        <f>'[01_Entry.xlsx]Book'!M705</f>
        <v>0.0</v>
      </c>
      <c r="P705" s="56">
        <f>IF($A705="","",IFERROR(VALUE(MID($A705,6,2)),""))</f>
        <v/>
      </c>
    </row>
    <row r="706" spans="7:16">
      <c r="G706" s="15">
        <f>'[01_Entry.xlsx]Book'!G706</f>
        <v>0.0</v>
      </c>
      <c r="H706" s="15">
        <f>'[01_Entry.xlsx]Book'!H706</f>
        <v>0.0</v>
      </c>
      <c r="I706" s="15">
        <f>'[01_Entry.xlsx]Book'!I706</f>
        <v>0.0</v>
      </c>
      <c r="K706" s="15">
        <f>'[01_Entry.xlsx]Book'!K706</f>
        <v>0.0</v>
      </c>
      <c r="L706" s="15">
        <f>'[01_Entry.xlsx]Book'!L706</f>
        <v>0.0</v>
      </c>
      <c r="M706" s="15">
        <f>'[01_Entry.xlsx]Book'!M706</f>
        <v>0.0</v>
      </c>
      <c r="P706" s="56">
        <f>IF($A706="","",IFERROR(VALUE(MID($A706,6,2)),""))</f>
        <v/>
      </c>
    </row>
    <row r="707" spans="7:16">
      <c r="G707" s="15">
        <f>'[01_Entry.xlsx]Book'!G707</f>
        <v>0.0</v>
      </c>
      <c r="H707" s="15">
        <f>'[01_Entry.xlsx]Book'!H707</f>
        <v>0.0</v>
      </c>
      <c r="I707" s="15">
        <f>'[01_Entry.xlsx]Book'!I707</f>
        <v>0.0</v>
      </c>
      <c r="K707" s="15">
        <f>'[01_Entry.xlsx]Book'!K707</f>
        <v>0.0</v>
      </c>
      <c r="L707" s="15">
        <f>'[01_Entry.xlsx]Book'!L707</f>
        <v>0.0</v>
      </c>
      <c r="M707" s="15">
        <f>'[01_Entry.xlsx]Book'!M707</f>
        <v>0.0</v>
      </c>
      <c r="P707" s="56">
        <f>IF($A707="","",IFERROR(VALUE(MID($A707,6,2)),""))</f>
        <v/>
      </c>
    </row>
    <row r="708" spans="7:16">
      <c r="G708" s="15">
        <f>'[01_Entry.xlsx]Book'!G708</f>
        <v>0.0</v>
      </c>
      <c r="H708" s="15">
        <f>'[01_Entry.xlsx]Book'!H708</f>
        <v>0.0</v>
      </c>
      <c r="I708" s="15">
        <f>'[01_Entry.xlsx]Book'!I708</f>
        <v>0.0</v>
      </c>
      <c r="K708" s="15">
        <f>'[01_Entry.xlsx]Book'!K708</f>
        <v>0.0</v>
      </c>
      <c r="L708" s="15">
        <f>'[01_Entry.xlsx]Book'!L708</f>
        <v>0.0</v>
      </c>
      <c r="M708" s="15">
        <f>'[01_Entry.xlsx]Book'!M708</f>
        <v>0.0</v>
      </c>
      <c r="P708" s="56">
        <f>IF($A708="","",IFERROR(VALUE(MID($A708,6,2)),""))</f>
        <v/>
      </c>
    </row>
    <row r="709" spans="7:16">
      <c r="G709" s="15">
        <f>'[01_Entry.xlsx]Book'!G709</f>
        <v>0.0</v>
      </c>
      <c r="H709" s="15">
        <f>'[01_Entry.xlsx]Book'!H709</f>
        <v>0.0</v>
      </c>
      <c r="I709" s="15">
        <f>'[01_Entry.xlsx]Book'!I709</f>
        <v>0.0</v>
      </c>
      <c r="K709" s="15">
        <f>'[01_Entry.xlsx]Book'!K709</f>
        <v>0.0</v>
      </c>
      <c r="L709" s="15">
        <f>'[01_Entry.xlsx]Book'!L709</f>
        <v>0.0</v>
      </c>
      <c r="M709" s="15">
        <f>'[01_Entry.xlsx]Book'!M709</f>
        <v>0.0</v>
      </c>
      <c r="P709" s="56">
        <f>IF($A709="","",IFERROR(VALUE(MID($A709,6,2)),""))</f>
        <v/>
      </c>
    </row>
    <row r="710" spans="7:16">
      <c r="G710" s="15">
        <f>'[01_Entry.xlsx]Book'!G710</f>
        <v>0.0</v>
      </c>
      <c r="H710" s="15">
        <f>'[01_Entry.xlsx]Book'!H710</f>
        <v>0.0</v>
      </c>
      <c r="I710" s="15">
        <f>'[01_Entry.xlsx]Book'!I710</f>
        <v>0.0</v>
      </c>
      <c r="K710" s="15">
        <f>'[01_Entry.xlsx]Book'!K710</f>
        <v>0.0</v>
      </c>
      <c r="L710" s="15">
        <f>'[01_Entry.xlsx]Book'!L710</f>
        <v>0.0</v>
      </c>
      <c r="M710" s="15">
        <f>'[01_Entry.xlsx]Book'!M710</f>
        <v>0.0</v>
      </c>
      <c r="P710" s="56">
        <f>IF($A710="","",IFERROR(VALUE(MID($A710,6,2)),""))</f>
        <v/>
      </c>
    </row>
    <row r="711" spans="7:16">
      <c r="G711" s="15">
        <f>'[01_Entry.xlsx]Book'!G711</f>
        <v>0.0</v>
      </c>
      <c r="H711" s="15">
        <f>'[01_Entry.xlsx]Book'!H711</f>
        <v>0.0</v>
      </c>
      <c r="I711" s="15">
        <f>'[01_Entry.xlsx]Book'!I711</f>
        <v>0.0</v>
      </c>
      <c r="K711" s="15">
        <f>'[01_Entry.xlsx]Book'!K711</f>
        <v>0.0</v>
      </c>
      <c r="L711" s="15">
        <f>'[01_Entry.xlsx]Book'!L711</f>
        <v>0.0</v>
      </c>
      <c r="M711" s="15">
        <f>'[01_Entry.xlsx]Book'!M711</f>
        <v>0.0</v>
      </c>
      <c r="P711" s="56">
        <f>IF($A711="","",IFERROR(VALUE(MID($A711,6,2)),""))</f>
        <v/>
      </c>
    </row>
    <row r="712" spans="7:16">
      <c r="G712" s="15">
        <f>'[01_Entry.xlsx]Book'!G712</f>
        <v>0.0</v>
      </c>
      <c r="H712" s="15">
        <f>'[01_Entry.xlsx]Book'!H712</f>
        <v>0.0</v>
      </c>
      <c r="I712" s="15">
        <f>'[01_Entry.xlsx]Book'!I712</f>
        <v>0.0</v>
      </c>
      <c r="K712" s="15">
        <f>'[01_Entry.xlsx]Book'!K712</f>
        <v>0.0</v>
      </c>
      <c r="L712" s="15">
        <f>'[01_Entry.xlsx]Book'!L712</f>
        <v>0.0</v>
      </c>
      <c r="M712" s="15">
        <f>'[01_Entry.xlsx]Book'!M712</f>
        <v>0.0</v>
      </c>
      <c r="P712" s="56">
        <f>IF($A712="","",IFERROR(VALUE(MID($A712,6,2)),""))</f>
        <v/>
      </c>
    </row>
    <row r="713" spans="7:16">
      <c r="G713" s="15">
        <f>'[01_Entry.xlsx]Book'!G713</f>
        <v>0.0</v>
      </c>
      <c r="H713" s="15">
        <f>'[01_Entry.xlsx]Book'!H713</f>
        <v>0.0</v>
      </c>
      <c r="I713" s="15">
        <f>'[01_Entry.xlsx]Book'!I713</f>
        <v>0.0</v>
      </c>
      <c r="K713" s="15">
        <f>'[01_Entry.xlsx]Book'!K713</f>
        <v>0.0</v>
      </c>
      <c r="L713" s="15">
        <f>'[01_Entry.xlsx]Book'!L713</f>
        <v>0.0</v>
      </c>
      <c r="M713" s="15">
        <f>'[01_Entry.xlsx]Book'!M713</f>
        <v>0.0</v>
      </c>
      <c r="P713" s="56">
        <f>IF($A713="","",IFERROR(VALUE(MID($A713,6,2)),""))</f>
        <v/>
      </c>
    </row>
    <row r="714" spans="7:16">
      <c r="G714" s="15">
        <f>'[01_Entry.xlsx]Book'!G714</f>
        <v>0.0</v>
      </c>
      <c r="H714" s="15">
        <f>'[01_Entry.xlsx]Book'!H714</f>
        <v>0.0</v>
      </c>
      <c r="I714" s="15">
        <f>'[01_Entry.xlsx]Book'!I714</f>
        <v>0.0</v>
      </c>
      <c r="K714" s="15">
        <f>'[01_Entry.xlsx]Book'!K714</f>
        <v>0.0</v>
      </c>
      <c r="L714" s="15">
        <f>'[01_Entry.xlsx]Book'!L714</f>
        <v>0.0</v>
      </c>
      <c r="M714" s="15">
        <f>'[01_Entry.xlsx]Book'!M714</f>
        <v>0.0</v>
      </c>
      <c r="P714" s="56">
        <f>IF($A714="","",IFERROR(VALUE(MID($A714,6,2)),""))</f>
        <v/>
      </c>
    </row>
    <row r="715" spans="7:16">
      <c r="G715" s="15">
        <f>'[01_Entry.xlsx]Book'!G715</f>
        <v>0.0</v>
      </c>
      <c r="H715" s="15">
        <f>'[01_Entry.xlsx]Book'!H715</f>
        <v>0.0</v>
      </c>
      <c r="I715" s="15">
        <f>'[01_Entry.xlsx]Book'!I715</f>
        <v>0.0</v>
      </c>
      <c r="K715" s="15">
        <f>'[01_Entry.xlsx]Book'!K715</f>
        <v>0.0</v>
      </c>
      <c r="L715" s="15">
        <f>'[01_Entry.xlsx]Book'!L715</f>
        <v>0.0</v>
      </c>
      <c r="M715" s="15">
        <f>'[01_Entry.xlsx]Book'!M715</f>
        <v>0.0</v>
      </c>
      <c r="P715" s="56">
        <f>IF($A715="","",IFERROR(VALUE(MID($A715,6,2)),""))</f>
        <v/>
      </c>
    </row>
    <row r="716" spans="7:16">
      <c r="G716" s="15">
        <f>'[01_Entry.xlsx]Book'!G716</f>
        <v>0.0</v>
      </c>
      <c r="H716" s="15">
        <f>'[01_Entry.xlsx]Book'!H716</f>
        <v>0.0</v>
      </c>
      <c r="I716" s="15">
        <f>'[01_Entry.xlsx]Book'!I716</f>
        <v>0.0</v>
      </c>
      <c r="K716" s="15">
        <f>'[01_Entry.xlsx]Book'!K716</f>
        <v>0.0</v>
      </c>
      <c r="L716" s="15">
        <f>'[01_Entry.xlsx]Book'!L716</f>
        <v>0.0</v>
      </c>
      <c r="M716" s="15">
        <f>'[01_Entry.xlsx]Book'!M716</f>
        <v>0.0</v>
      </c>
      <c r="P716" s="56">
        <f>IF($A716="","",IFERROR(VALUE(MID($A716,6,2)),""))</f>
        <v/>
      </c>
    </row>
    <row r="717" spans="7:16">
      <c r="G717" s="15">
        <f>'[01_Entry.xlsx]Book'!G717</f>
        <v>0.0</v>
      </c>
      <c r="H717" s="15">
        <f>'[01_Entry.xlsx]Book'!H717</f>
        <v>0.0</v>
      </c>
      <c r="I717" s="15">
        <f>'[01_Entry.xlsx]Book'!I717</f>
        <v>0.0</v>
      </c>
      <c r="K717" s="15">
        <f>'[01_Entry.xlsx]Book'!K717</f>
        <v>0.0</v>
      </c>
      <c r="L717" s="15">
        <f>'[01_Entry.xlsx]Book'!L717</f>
        <v>0.0</v>
      </c>
      <c r="M717" s="15">
        <f>'[01_Entry.xlsx]Book'!M717</f>
        <v>0.0</v>
      </c>
      <c r="P717" s="56">
        <f>IF($A717="","",IFERROR(VALUE(MID($A717,6,2)),""))</f>
        <v/>
      </c>
    </row>
    <row r="718" spans="7:16">
      <c r="G718" s="15">
        <f>'[01_Entry.xlsx]Book'!G718</f>
        <v>0.0</v>
      </c>
      <c r="H718" s="15">
        <f>'[01_Entry.xlsx]Book'!H718</f>
        <v>0.0</v>
      </c>
      <c r="I718" s="15">
        <f>'[01_Entry.xlsx]Book'!I718</f>
        <v>0.0</v>
      </c>
      <c r="K718" s="15">
        <f>'[01_Entry.xlsx]Book'!K718</f>
        <v>0.0</v>
      </c>
      <c r="L718" s="15">
        <f>'[01_Entry.xlsx]Book'!L718</f>
        <v>0.0</v>
      </c>
      <c r="M718" s="15">
        <f>'[01_Entry.xlsx]Book'!M718</f>
        <v>0.0</v>
      </c>
      <c r="P718" s="56">
        <f>IF($A718="","",IFERROR(VALUE(MID($A718,6,2)),""))</f>
        <v/>
      </c>
    </row>
    <row r="719" spans="7:16">
      <c r="G719" s="15">
        <f>'[01_Entry.xlsx]Book'!G719</f>
        <v>0.0</v>
      </c>
      <c r="H719" s="15">
        <f>'[01_Entry.xlsx]Book'!H719</f>
        <v>0.0</v>
      </c>
      <c r="I719" s="15">
        <f>'[01_Entry.xlsx]Book'!I719</f>
        <v>0.0</v>
      </c>
      <c r="K719" s="15">
        <f>'[01_Entry.xlsx]Book'!K719</f>
        <v>0.0</v>
      </c>
      <c r="L719" s="15">
        <f>'[01_Entry.xlsx]Book'!L719</f>
        <v>0.0</v>
      </c>
      <c r="M719" s="15">
        <f>'[01_Entry.xlsx]Book'!M719</f>
        <v>0.0</v>
      </c>
      <c r="P719" s="56">
        <f>IF($A719="","",IFERROR(VALUE(MID($A719,6,2)),""))</f>
        <v/>
      </c>
    </row>
    <row r="720" spans="7:16">
      <c r="G720" s="15">
        <f>'[01_Entry.xlsx]Book'!G720</f>
        <v>0.0</v>
      </c>
      <c r="H720" s="15">
        <f>'[01_Entry.xlsx]Book'!H720</f>
        <v>0.0</v>
      </c>
      <c r="I720" s="15">
        <f>'[01_Entry.xlsx]Book'!I720</f>
        <v>0.0</v>
      </c>
      <c r="K720" s="15">
        <f>'[01_Entry.xlsx]Book'!K720</f>
        <v>0.0</v>
      </c>
      <c r="L720" s="15">
        <f>'[01_Entry.xlsx]Book'!L720</f>
        <v>0.0</v>
      </c>
      <c r="M720" s="15">
        <f>'[01_Entry.xlsx]Book'!M720</f>
        <v>0.0</v>
      </c>
      <c r="P720" s="56">
        <f>IF($A720="","",IFERROR(VALUE(MID($A720,6,2)),""))</f>
        <v/>
      </c>
    </row>
    <row r="721" spans="7:16">
      <c r="G721" s="15">
        <f>'[01_Entry.xlsx]Book'!G721</f>
        <v>0.0</v>
      </c>
      <c r="H721" s="15">
        <f>'[01_Entry.xlsx]Book'!H721</f>
        <v>0.0</v>
      </c>
      <c r="I721" s="15">
        <f>'[01_Entry.xlsx]Book'!I721</f>
        <v>0.0</v>
      </c>
      <c r="K721" s="15">
        <f>'[01_Entry.xlsx]Book'!K721</f>
        <v>0.0</v>
      </c>
      <c r="L721" s="15">
        <f>'[01_Entry.xlsx]Book'!L721</f>
        <v>0.0</v>
      </c>
      <c r="M721" s="15">
        <f>'[01_Entry.xlsx]Book'!M721</f>
        <v>0.0</v>
      </c>
      <c r="P721" s="56">
        <f>IF($A721="","",IFERROR(VALUE(MID($A721,6,2)),""))</f>
        <v/>
      </c>
    </row>
    <row r="722" spans="7:16">
      <c r="G722" s="15">
        <f>'[01_Entry.xlsx]Book'!G722</f>
        <v>0.0</v>
      </c>
      <c r="H722" s="15">
        <f>'[01_Entry.xlsx]Book'!H722</f>
        <v>0.0</v>
      </c>
      <c r="I722" s="15">
        <f>'[01_Entry.xlsx]Book'!I722</f>
        <v>0.0</v>
      </c>
      <c r="K722" s="15">
        <f>'[01_Entry.xlsx]Book'!K722</f>
        <v>0.0</v>
      </c>
      <c r="L722" s="15">
        <f>'[01_Entry.xlsx]Book'!L722</f>
        <v>0.0</v>
      </c>
      <c r="M722" s="15">
        <f>'[01_Entry.xlsx]Book'!M722</f>
        <v>0.0</v>
      </c>
      <c r="P722" s="56">
        <f>IF($A722="","",IFERROR(VALUE(MID($A722,6,2)),""))</f>
        <v/>
      </c>
    </row>
    <row r="723" spans="7:16">
      <c r="G723" s="15">
        <f>'[01_Entry.xlsx]Book'!G723</f>
        <v>0.0</v>
      </c>
      <c r="H723" s="15">
        <f>'[01_Entry.xlsx]Book'!H723</f>
        <v>0.0</v>
      </c>
      <c r="I723" s="15">
        <f>'[01_Entry.xlsx]Book'!I723</f>
        <v>0.0</v>
      </c>
      <c r="K723" s="15">
        <f>'[01_Entry.xlsx]Book'!K723</f>
        <v>0.0</v>
      </c>
      <c r="L723" s="15">
        <f>'[01_Entry.xlsx]Book'!L723</f>
        <v>0.0</v>
      </c>
      <c r="M723" s="15">
        <f>'[01_Entry.xlsx]Book'!M723</f>
        <v>0.0</v>
      </c>
      <c r="P723" s="56">
        <f>IF($A723="","",IFERROR(VALUE(MID($A723,6,2)),""))</f>
        <v/>
      </c>
    </row>
    <row r="724" spans="7:16">
      <c r="G724" s="15">
        <f>'[01_Entry.xlsx]Book'!G724</f>
        <v>0.0</v>
      </c>
      <c r="H724" s="15">
        <f>'[01_Entry.xlsx]Book'!H724</f>
        <v>0.0</v>
      </c>
      <c r="I724" s="15">
        <f>'[01_Entry.xlsx]Book'!I724</f>
        <v>0.0</v>
      </c>
      <c r="K724" s="15">
        <f>'[01_Entry.xlsx]Book'!K724</f>
        <v>0.0</v>
      </c>
      <c r="L724" s="15">
        <f>'[01_Entry.xlsx]Book'!L724</f>
        <v>0.0</v>
      </c>
      <c r="M724" s="15">
        <f>'[01_Entry.xlsx]Book'!M724</f>
        <v>0.0</v>
      </c>
      <c r="P724" s="56">
        <f>IF($A724="","",IFERROR(VALUE(MID($A724,6,2)),""))</f>
        <v/>
      </c>
    </row>
    <row r="725" spans="7:16">
      <c r="G725" s="15">
        <f>'[01_Entry.xlsx]Book'!G725</f>
        <v>0.0</v>
      </c>
      <c r="H725" s="15">
        <f>'[01_Entry.xlsx]Book'!H725</f>
        <v>0.0</v>
      </c>
      <c r="I725" s="15">
        <f>'[01_Entry.xlsx]Book'!I725</f>
        <v>0.0</v>
      </c>
      <c r="K725" s="15">
        <f>'[01_Entry.xlsx]Book'!K725</f>
        <v>0.0</v>
      </c>
      <c r="L725" s="15">
        <f>'[01_Entry.xlsx]Book'!L725</f>
        <v>0.0</v>
      </c>
      <c r="M725" s="15">
        <f>'[01_Entry.xlsx]Book'!M725</f>
        <v>0.0</v>
      </c>
      <c r="P725" s="56">
        <f>IF($A725="","",IFERROR(VALUE(MID($A725,6,2)),""))</f>
        <v/>
      </c>
    </row>
    <row r="726" spans="7:16">
      <c r="G726" s="15">
        <f>'[01_Entry.xlsx]Book'!G726</f>
        <v>0.0</v>
      </c>
      <c r="H726" s="15">
        <f>'[01_Entry.xlsx]Book'!H726</f>
        <v>0.0</v>
      </c>
      <c r="I726" s="15">
        <f>'[01_Entry.xlsx]Book'!I726</f>
        <v>0.0</v>
      </c>
      <c r="K726" s="15">
        <f>'[01_Entry.xlsx]Book'!K726</f>
        <v>0.0</v>
      </c>
      <c r="L726" s="15">
        <f>'[01_Entry.xlsx]Book'!L726</f>
        <v>0.0</v>
      </c>
      <c r="M726" s="15">
        <f>'[01_Entry.xlsx]Book'!M726</f>
        <v>0.0</v>
      </c>
      <c r="P726" s="56">
        <f>IF($A726="","",IFERROR(VALUE(MID($A726,6,2)),""))</f>
        <v/>
      </c>
    </row>
    <row r="727" spans="7:16">
      <c r="G727" s="15">
        <f>'[01_Entry.xlsx]Book'!G727</f>
        <v>0.0</v>
      </c>
      <c r="H727" s="15">
        <f>'[01_Entry.xlsx]Book'!H727</f>
        <v>0.0</v>
      </c>
      <c r="I727" s="15">
        <f>'[01_Entry.xlsx]Book'!I727</f>
        <v>0.0</v>
      </c>
      <c r="K727" s="15">
        <f>'[01_Entry.xlsx]Book'!K727</f>
        <v>0.0</v>
      </c>
      <c r="L727" s="15">
        <f>'[01_Entry.xlsx]Book'!L727</f>
        <v>0.0</v>
      </c>
      <c r="M727" s="15">
        <f>'[01_Entry.xlsx]Book'!M727</f>
        <v>0.0</v>
      </c>
      <c r="P727" s="56">
        <f>IF($A727="","",IFERROR(VALUE(MID($A727,6,2)),""))</f>
        <v/>
      </c>
    </row>
    <row r="728" spans="7:16">
      <c r="G728" s="15">
        <f>'[01_Entry.xlsx]Book'!G728</f>
        <v>0.0</v>
      </c>
      <c r="H728" s="15">
        <f>'[01_Entry.xlsx]Book'!H728</f>
        <v>0.0</v>
      </c>
      <c r="I728" s="15">
        <f>'[01_Entry.xlsx]Book'!I728</f>
        <v>0.0</v>
      </c>
      <c r="K728" s="15">
        <f>'[01_Entry.xlsx]Book'!K728</f>
        <v>0.0</v>
      </c>
      <c r="L728" s="15">
        <f>'[01_Entry.xlsx]Book'!L728</f>
        <v>0.0</v>
      </c>
      <c r="M728" s="15">
        <f>'[01_Entry.xlsx]Book'!M728</f>
        <v>0.0</v>
      </c>
      <c r="P728" s="56">
        <f>IF($A728="","",IFERROR(VALUE(MID($A728,6,2)),""))</f>
        <v/>
      </c>
    </row>
    <row r="729" spans="7:16">
      <c r="G729" s="15">
        <f>'[01_Entry.xlsx]Book'!G729</f>
        <v>0.0</v>
      </c>
      <c r="H729" s="15">
        <f>'[01_Entry.xlsx]Book'!H729</f>
        <v>0.0</v>
      </c>
      <c r="I729" s="15">
        <f>'[01_Entry.xlsx]Book'!I729</f>
        <v>0.0</v>
      </c>
      <c r="K729" s="15">
        <f>'[01_Entry.xlsx]Book'!K729</f>
        <v>0.0</v>
      </c>
      <c r="L729" s="15">
        <f>'[01_Entry.xlsx]Book'!L729</f>
        <v>0.0</v>
      </c>
      <c r="M729" s="15">
        <f>'[01_Entry.xlsx]Book'!M729</f>
        <v>0.0</v>
      </c>
      <c r="P729" s="56">
        <f>IF($A729="","",IFERROR(VALUE(MID($A729,6,2)),""))</f>
        <v/>
      </c>
    </row>
    <row r="730" spans="7:16">
      <c r="G730" s="15">
        <f>'[01_Entry.xlsx]Book'!G730</f>
        <v>0.0</v>
      </c>
      <c r="H730" s="15">
        <f>'[01_Entry.xlsx]Book'!H730</f>
        <v>0.0</v>
      </c>
      <c r="I730" s="15">
        <f>'[01_Entry.xlsx]Book'!I730</f>
        <v>0.0</v>
      </c>
      <c r="K730" s="15">
        <f>'[01_Entry.xlsx]Book'!K730</f>
        <v>0.0</v>
      </c>
      <c r="L730" s="15">
        <f>'[01_Entry.xlsx]Book'!L730</f>
        <v>0.0</v>
      </c>
      <c r="M730" s="15">
        <f>'[01_Entry.xlsx]Book'!M730</f>
        <v>0.0</v>
      </c>
      <c r="P730" s="56">
        <f>IF($A730="","",IFERROR(VALUE(MID($A730,6,2)),""))</f>
        <v/>
      </c>
    </row>
    <row r="731" spans="7:16">
      <c r="G731" s="15">
        <f>'[01_Entry.xlsx]Book'!G731</f>
        <v>0.0</v>
      </c>
      <c r="H731" s="15">
        <f>'[01_Entry.xlsx]Book'!H731</f>
        <v>0.0</v>
      </c>
      <c r="I731" s="15">
        <f>'[01_Entry.xlsx]Book'!I731</f>
        <v>0.0</v>
      </c>
      <c r="K731" s="15">
        <f>'[01_Entry.xlsx]Book'!K731</f>
        <v>0.0</v>
      </c>
      <c r="L731" s="15">
        <f>'[01_Entry.xlsx]Book'!L731</f>
        <v>0.0</v>
      </c>
      <c r="M731" s="15">
        <f>'[01_Entry.xlsx]Book'!M731</f>
        <v>0.0</v>
      </c>
      <c r="P731" s="56">
        <f>IF($A731="","",IFERROR(VALUE(MID($A731,6,2)),""))</f>
        <v/>
      </c>
    </row>
    <row r="732" spans="7:16">
      <c r="G732" s="15">
        <f>'[01_Entry.xlsx]Book'!G732</f>
        <v>0.0</v>
      </c>
      <c r="H732" s="15">
        <f>'[01_Entry.xlsx]Book'!H732</f>
        <v>0.0</v>
      </c>
      <c r="I732" s="15">
        <f>'[01_Entry.xlsx]Book'!I732</f>
        <v>0.0</v>
      </c>
      <c r="K732" s="15">
        <f>'[01_Entry.xlsx]Book'!K732</f>
        <v>0.0</v>
      </c>
      <c r="L732" s="15">
        <f>'[01_Entry.xlsx]Book'!L732</f>
        <v>0.0</v>
      </c>
      <c r="M732" s="15">
        <f>'[01_Entry.xlsx]Book'!M732</f>
        <v>0.0</v>
      </c>
      <c r="P732" s="56">
        <f>IF($A732="","",IFERROR(VALUE(MID($A732,6,2)),""))</f>
        <v/>
      </c>
    </row>
    <row r="733" spans="7:16">
      <c r="G733" s="15">
        <f>'[01_Entry.xlsx]Book'!G733</f>
        <v>0.0</v>
      </c>
      <c r="H733" s="15">
        <f>'[01_Entry.xlsx]Book'!H733</f>
        <v>0.0</v>
      </c>
      <c r="I733" s="15">
        <f>'[01_Entry.xlsx]Book'!I733</f>
        <v>0.0</v>
      </c>
      <c r="K733" s="15">
        <f>'[01_Entry.xlsx]Book'!K733</f>
        <v>0.0</v>
      </c>
      <c r="L733" s="15">
        <f>'[01_Entry.xlsx]Book'!L733</f>
        <v>0.0</v>
      </c>
      <c r="M733" s="15">
        <f>'[01_Entry.xlsx]Book'!M733</f>
        <v>0.0</v>
      </c>
      <c r="P733" s="56">
        <f>IF($A733="","",IFERROR(VALUE(MID($A733,6,2)),""))</f>
        <v/>
      </c>
    </row>
    <row r="734" spans="7:16">
      <c r="G734" s="15">
        <f>'[01_Entry.xlsx]Book'!G734</f>
        <v>0.0</v>
      </c>
      <c r="H734" s="15">
        <f>'[01_Entry.xlsx]Book'!H734</f>
        <v>0.0</v>
      </c>
      <c r="I734" s="15">
        <f>'[01_Entry.xlsx]Book'!I734</f>
        <v>0.0</v>
      </c>
      <c r="K734" s="15">
        <f>'[01_Entry.xlsx]Book'!K734</f>
        <v>0.0</v>
      </c>
      <c r="L734" s="15">
        <f>'[01_Entry.xlsx]Book'!L734</f>
        <v>0.0</v>
      </c>
      <c r="M734" s="15">
        <f>'[01_Entry.xlsx]Book'!M734</f>
        <v>0.0</v>
      </c>
      <c r="P734" s="56">
        <f>IF($A734="","",IFERROR(VALUE(MID($A734,6,2)),""))</f>
        <v/>
      </c>
    </row>
    <row r="735" spans="7:16">
      <c r="G735" s="15">
        <f>'[01_Entry.xlsx]Book'!G735</f>
        <v>0.0</v>
      </c>
      <c r="H735" s="15">
        <f>'[01_Entry.xlsx]Book'!H735</f>
        <v>0.0</v>
      </c>
      <c r="I735" s="15">
        <f>'[01_Entry.xlsx]Book'!I735</f>
        <v>0.0</v>
      </c>
      <c r="K735" s="15">
        <f>'[01_Entry.xlsx]Book'!K735</f>
        <v>0.0</v>
      </c>
      <c r="L735" s="15">
        <f>'[01_Entry.xlsx]Book'!L735</f>
        <v>0.0</v>
      </c>
      <c r="M735" s="15">
        <f>'[01_Entry.xlsx]Book'!M735</f>
        <v>0.0</v>
      </c>
      <c r="P735" s="56">
        <f>IF($A735="","",IFERROR(VALUE(MID($A735,6,2)),""))</f>
        <v/>
      </c>
    </row>
    <row r="736" spans="7:16">
      <c r="G736" s="15">
        <f>'[01_Entry.xlsx]Book'!G736</f>
        <v>0.0</v>
      </c>
      <c r="H736" s="15">
        <f>'[01_Entry.xlsx]Book'!H736</f>
        <v>0.0</v>
      </c>
      <c r="I736" s="15">
        <f>'[01_Entry.xlsx]Book'!I736</f>
        <v>0.0</v>
      </c>
      <c r="K736" s="15">
        <f>'[01_Entry.xlsx]Book'!K736</f>
        <v>0.0</v>
      </c>
      <c r="L736" s="15">
        <f>'[01_Entry.xlsx]Book'!L736</f>
        <v>0.0</v>
      </c>
      <c r="M736" s="15">
        <f>'[01_Entry.xlsx]Book'!M736</f>
        <v>0.0</v>
      </c>
      <c r="P736" s="56">
        <f>IF($A736="","",IFERROR(VALUE(MID($A736,6,2)),""))</f>
        <v/>
      </c>
    </row>
    <row r="737" spans="7:16">
      <c r="G737" s="15">
        <f>'[01_Entry.xlsx]Book'!G737</f>
        <v>0.0</v>
      </c>
      <c r="H737" s="15">
        <f>'[01_Entry.xlsx]Book'!H737</f>
        <v>0.0</v>
      </c>
      <c r="I737" s="15">
        <f>'[01_Entry.xlsx]Book'!I737</f>
        <v>0.0</v>
      </c>
      <c r="K737" s="15">
        <f>'[01_Entry.xlsx]Book'!K737</f>
        <v>0.0</v>
      </c>
      <c r="L737" s="15">
        <f>'[01_Entry.xlsx]Book'!L737</f>
        <v>0.0</v>
      </c>
      <c r="M737" s="15">
        <f>'[01_Entry.xlsx]Book'!M737</f>
        <v>0.0</v>
      </c>
      <c r="P737" s="56">
        <f>IF($A737="","",IFERROR(VALUE(MID($A737,6,2)),""))</f>
        <v/>
      </c>
    </row>
    <row r="738" spans="7:16">
      <c r="G738" s="15">
        <f>'[01_Entry.xlsx]Book'!G738</f>
        <v>0.0</v>
      </c>
      <c r="H738" s="15">
        <f>'[01_Entry.xlsx]Book'!H738</f>
        <v>0.0</v>
      </c>
      <c r="I738" s="15">
        <f>'[01_Entry.xlsx]Book'!I738</f>
        <v>0.0</v>
      </c>
      <c r="K738" s="15">
        <f>'[01_Entry.xlsx]Book'!K738</f>
        <v>0.0</v>
      </c>
      <c r="L738" s="15">
        <f>'[01_Entry.xlsx]Book'!L738</f>
        <v>0.0</v>
      </c>
      <c r="M738" s="15">
        <f>'[01_Entry.xlsx]Book'!M738</f>
        <v>0.0</v>
      </c>
      <c r="P738" s="56">
        <f>IF($A738="","",IFERROR(VALUE(MID($A738,6,2)),""))</f>
        <v/>
      </c>
    </row>
    <row r="739" spans="7:16">
      <c r="G739" s="15">
        <f>'[01_Entry.xlsx]Book'!G739</f>
        <v>0.0</v>
      </c>
      <c r="H739" s="15">
        <f>'[01_Entry.xlsx]Book'!H739</f>
        <v>0.0</v>
      </c>
      <c r="I739" s="15">
        <f>'[01_Entry.xlsx]Book'!I739</f>
        <v>0.0</v>
      </c>
      <c r="K739" s="15">
        <f>'[01_Entry.xlsx]Book'!K739</f>
        <v>0.0</v>
      </c>
      <c r="L739" s="15">
        <f>'[01_Entry.xlsx]Book'!L739</f>
        <v>0.0</v>
      </c>
      <c r="M739" s="15">
        <f>'[01_Entry.xlsx]Book'!M739</f>
        <v>0.0</v>
      </c>
      <c r="P739" s="56">
        <f>IF($A739="","",IFERROR(VALUE(MID($A739,6,2)),""))</f>
        <v/>
      </c>
    </row>
    <row r="740" spans="7:16">
      <c r="G740" s="15">
        <f>'[01_Entry.xlsx]Book'!G740</f>
        <v>0.0</v>
      </c>
      <c r="H740" s="15">
        <f>'[01_Entry.xlsx]Book'!H740</f>
        <v>0.0</v>
      </c>
      <c r="I740" s="15">
        <f>'[01_Entry.xlsx]Book'!I740</f>
        <v>0.0</v>
      </c>
      <c r="K740" s="15">
        <f>'[01_Entry.xlsx]Book'!K740</f>
        <v>0.0</v>
      </c>
      <c r="L740" s="15">
        <f>'[01_Entry.xlsx]Book'!L740</f>
        <v>0.0</v>
      </c>
      <c r="M740" s="15">
        <f>'[01_Entry.xlsx]Book'!M740</f>
        <v>0.0</v>
      </c>
      <c r="P740" s="56">
        <f>IF($A740="","",IFERROR(VALUE(MID($A740,6,2)),""))</f>
        <v/>
      </c>
    </row>
    <row r="741" spans="7:16">
      <c r="G741" s="15">
        <f>'[01_Entry.xlsx]Book'!G741</f>
        <v>0.0</v>
      </c>
      <c r="H741" s="15">
        <f>'[01_Entry.xlsx]Book'!H741</f>
        <v>0.0</v>
      </c>
      <c r="I741" s="15">
        <f>'[01_Entry.xlsx]Book'!I741</f>
        <v>0.0</v>
      </c>
      <c r="K741" s="15">
        <f>'[01_Entry.xlsx]Book'!K741</f>
        <v>0.0</v>
      </c>
      <c r="L741" s="15">
        <f>'[01_Entry.xlsx]Book'!L741</f>
        <v>0.0</v>
      </c>
      <c r="M741" s="15">
        <f>'[01_Entry.xlsx]Book'!M741</f>
        <v>0.0</v>
      </c>
      <c r="P741" s="56">
        <f>IF($A741="","",IFERROR(VALUE(MID($A741,6,2)),""))</f>
        <v/>
      </c>
    </row>
    <row r="742" spans="7:16">
      <c r="G742" s="15">
        <f>'[01_Entry.xlsx]Book'!G742</f>
        <v>0.0</v>
      </c>
      <c r="H742" s="15">
        <f>'[01_Entry.xlsx]Book'!H742</f>
        <v>0.0</v>
      </c>
      <c r="I742" s="15">
        <f>'[01_Entry.xlsx]Book'!I742</f>
        <v>0.0</v>
      </c>
      <c r="K742" s="15">
        <f>'[01_Entry.xlsx]Book'!K742</f>
        <v>0.0</v>
      </c>
      <c r="L742" s="15">
        <f>'[01_Entry.xlsx]Book'!L742</f>
        <v>0.0</v>
      </c>
      <c r="M742" s="15">
        <f>'[01_Entry.xlsx]Book'!M742</f>
        <v>0.0</v>
      </c>
      <c r="P742" s="56">
        <f>IF($A742="","",IFERROR(VALUE(MID($A742,6,2)),""))</f>
        <v/>
      </c>
    </row>
    <row r="743" spans="7:16">
      <c r="G743" s="15">
        <f>'[01_Entry.xlsx]Book'!G743</f>
        <v>0.0</v>
      </c>
      <c r="H743" s="15">
        <f>'[01_Entry.xlsx]Book'!H743</f>
        <v>0.0</v>
      </c>
      <c r="I743" s="15">
        <f>'[01_Entry.xlsx]Book'!I743</f>
        <v>0.0</v>
      </c>
      <c r="K743" s="15">
        <f>'[01_Entry.xlsx]Book'!K743</f>
        <v>0.0</v>
      </c>
      <c r="L743" s="15">
        <f>'[01_Entry.xlsx]Book'!L743</f>
        <v>0.0</v>
      </c>
      <c r="M743" s="15">
        <f>'[01_Entry.xlsx]Book'!M743</f>
        <v>0.0</v>
      </c>
      <c r="P743" s="56">
        <f>IF($A743="","",IFERROR(VALUE(MID($A743,6,2)),""))</f>
        <v/>
      </c>
    </row>
    <row r="744" spans="7:16">
      <c r="G744" s="15">
        <f>'[01_Entry.xlsx]Book'!G744</f>
        <v>0.0</v>
      </c>
      <c r="H744" s="15">
        <f>'[01_Entry.xlsx]Book'!H744</f>
        <v>0.0</v>
      </c>
      <c r="I744" s="15">
        <f>'[01_Entry.xlsx]Book'!I744</f>
        <v>0.0</v>
      </c>
      <c r="K744" s="15">
        <f>'[01_Entry.xlsx]Book'!K744</f>
        <v>0.0</v>
      </c>
      <c r="L744" s="15">
        <f>'[01_Entry.xlsx]Book'!L744</f>
        <v>0.0</v>
      </c>
      <c r="M744" s="15">
        <f>'[01_Entry.xlsx]Book'!M744</f>
        <v>0.0</v>
      </c>
      <c r="P744" s="56">
        <f>IF($A744="","",IFERROR(VALUE(MID($A744,6,2)),""))</f>
        <v/>
      </c>
    </row>
    <row r="745" spans="7:16">
      <c r="G745" s="15">
        <f>'[01_Entry.xlsx]Book'!G745</f>
        <v>0.0</v>
      </c>
      <c r="H745" s="15">
        <f>'[01_Entry.xlsx]Book'!H745</f>
        <v>0.0</v>
      </c>
      <c r="I745" s="15">
        <f>'[01_Entry.xlsx]Book'!I745</f>
        <v>0.0</v>
      </c>
      <c r="K745" s="15">
        <f>'[01_Entry.xlsx]Book'!K745</f>
        <v>0.0</v>
      </c>
      <c r="L745" s="15">
        <f>'[01_Entry.xlsx]Book'!L745</f>
        <v>0.0</v>
      </c>
      <c r="M745" s="15">
        <f>'[01_Entry.xlsx]Book'!M745</f>
        <v>0.0</v>
      </c>
      <c r="P745" s="56">
        <f>IF($A745="","",IFERROR(VALUE(MID($A745,6,2)),""))</f>
        <v/>
      </c>
    </row>
    <row r="746" spans="7:16">
      <c r="G746" s="15">
        <f>'[01_Entry.xlsx]Book'!G746</f>
        <v>0.0</v>
      </c>
      <c r="H746" s="15">
        <f>'[01_Entry.xlsx]Book'!H746</f>
        <v>0.0</v>
      </c>
      <c r="I746" s="15">
        <f>'[01_Entry.xlsx]Book'!I746</f>
        <v>0.0</v>
      </c>
      <c r="K746" s="15">
        <f>'[01_Entry.xlsx]Book'!K746</f>
        <v>0.0</v>
      </c>
      <c r="L746" s="15">
        <f>'[01_Entry.xlsx]Book'!L746</f>
        <v>0.0</v>
      </c>
      <c r="M746" s="15">
        <f>'[01_Entry.xlsx]Book'!M746</f>
        <v>0.0</v>
      </c>
      <c r="P746" s="56">
        <f>IF($A746="","",IFERROR(VALUE(MID($A746,6,2)),""))</f>
        <v/>
      </c>
    </row>
    <row r="747" spans="7:16">
      <c r="G747" s="15">
        <f>'[01_Entry.xlsx]Book'!G747</f>
        <v>0.0</v>
      </c>
      <c r="H747" s="15">
        <f>'[01_Entry.xlsx]Book'!H747</f>
        <v>0.0</v>
      </c>
      <c r="I747" s="15">
        <f>'[01_Entry.xlsx]Book'!I747</f>
        <v>0.0</v>
      </c>
      <c r="K747" s="15">
        <f>'[01_Entry.xlsx]Book'!K747</f>
        <v>0.0</v>
      </c>
      <c r="L747" s="15">
        <f>'[01_Entry.xlsx]Book'!L747</f>
        <v>0.0</v>
      </c>
      <c r="M747" s="15">
        <f>'[01_Entry.xlsx]Book'!M747</f>
        <v>0.0</v>
      </c>
      <c r="P747" s="56">
        <f>IF($A747="","",IFERROR(VALUE(MID($A747,6,2)),""))</f>
        <v/>
      </c>
    </row>
    <row r="748" spans="7:16">
      <c r="G748" s="15">
        <f>'[01_Entry.xlsx]Book'!G748</f>
        <v>0.0</v>
      </c>
      <c r="H748" s="15">
        <f>'[01_Entry.xlsx]Book'!H748</f>
        <v>0.0</v>
      </c>
      <c r="I748" s="15">
        <f>'[01_Entry.xlsx]Book'!I748</f>
        <v>0.0</v>
      </c>
      <c r="K748" s="15">
        <f>'[01_Entry.xlsx]Book'!K748</f>
        <v>0.0</v>
      </c>
      <c r="L748" s="15">
        <f>'[01_Entry.xlsx]Book'!L748</f>
        <v>0.0</v>
      </c>
      <c r="M748" s="15">
        <f>'[01_Entry.xlsx]Book'!M748</f>
        <v>0.0</v>
      </c>
      <c r="P748" s="56">
        <f>IF($A748="","",IFERROR(VALUE(MID($A748,6,2)),""))</f>
        <v/>
      </c>
    </row>
    <row r="749" spans="7:16">
      <c r="G749" s="15">
        <f>'[01_Entry.xlsx]Book'!G749</f>
        <v>0.0</v>
      </c>
      <c r="H749" s="15">
        <f>'[01_Entry.xlsx]Book'!H749</f>
        <v>0.0</v>
      </c>
      <c r="I749" s="15">
        <f>'[01_Entry.xlsx]Book'!I749</f>
        <v>0.0</v>
      </c>
      <c r="K749" s="15">
        <f>'[01_Entry.xlsx]Book'!K749</f>
        <v>0.0</v>
      </c>
      <c r="L749" s="15">
        <f>'[01_Entry.xlsx]Book'!L749</f>
        <v>0.0</v>
      </c>
      <c r="M749" s="15">
        <f>'[01_Entry.xlsx]Book'!M749</f>
        <v>0.0</v>
      </c>
      <c r="P749" s="56">
        <f>IF($A749="","",IFERROR(VALUE(MID($A749,6,2)),""))</f>
        <v/>
      </c>
    </row>
    <row r="750" spans="7:16">
      <c r="G750" s="15">
        <f>'[01_Entry.xlsx]Book'!G750</f>
        <v>0.0</v>
      </c>
      <c r="H750" s="15">
        <f>'[01_Entry.xlsx]Book'!H750</f>
        <v>0.0</v>
      </c>
      <c r="I750" s="15">
        <f>'[01_Entry.xlsx]Book'!I750</f>
        <v>0.0</v>
      </c>
      <c r="K750" s="15">
        <f>'[01_Entry.xlsx]Book'!K750</f>
        <v>0.0</v>
      </c>
      <c r="L750" s="15">
        <f>'[01_Entry.xlsx]Book'!L750</f>
        <v>0.0</v>
      </c>
      <c r="M750" s="15">
        <f>'[01_Entry.xlsx]Book'!M750</f>
        <v>0.0</v>
      </c>
      <c r="P750" s="56">
        <f>IF($A750="","",IFERROR(VALUE(MID($A750,6,2)),""))</f>
        <v/>
      </c>
    </row>
    <row r="751" spans="7:16">
      <c r="G751" s="15">
        <f>'[01_Entry.xlsx]Book'!G751</f>
        <v>0.0</v>
      </c>
      <c r="H751" s="15">
        <f>'[01_Entry.xlsx]Book'!H751</f>
        <v>0.0</v>
      </c>
      <c r="I751" s="15">
        <f>'[01_Entry.xlsx]Book'!I751</f>
        <v>0.0</v>
      </c>
      <c r="K751" s="15">
        <f>'[01_Entry.xlsx]Book'!K751</f>
        <v>0.0</v>
      </c>
      <c r="L751" s="15">
        <f>'[01_Entry.xlsx]Book'!L751</f>
        <v>0.0</v>
      </c>
      <c r="M751" s="15">
        <f>'[01_Entry.xlsx]Book'!M751</f>
        <v>0.0</v>
      </c>
      <c r="P751" s="56">
        <f>IF($A751="","",IFERROR(VALUE(MID($A751,6,2)),""))</f>
        <v/>
      </c>
    </row>
    <row r="752" spans="7:16">
      <c r="G752" s="15">
        <f>'[01_Entry.xlsx]Book'!G752</f>
        <v>0.0</v>
      </c>
      <c r="H752" s="15">
        <f>'[01_Entry.xlsx]Book'!H752</f>
        <v>0.0</v>
      </c>
      <c r="I752" s="15">
        <f>'[01_Entry.xlsx]Book'!I752</f>
        <v>0.0</v>
      </c>
      <c r="K752" s="15">
        <f>'[01_Entry.xlsx]Book'!K752</f>
        <v>0.0</v>
      </c>
      <c r="L752" s="15">
        <f>'[01_Entry.xlsx]Book'!L752</f>
        <v>0.0</v>
      </c>
      <c r="M752" s="15">
        <f>'[01_Entry.xlsx]Book'!M752</f>
        <v>0.0</v>
      </c>
      <c r="P752" s="56">
        <f>IF($A752="","",IFERROR(VALUE(MID($A752,6,2)),""))</f>
        <v/>
      </c>
    </row>
    <row r="753" spans="7:16">
      <c r="G753" s="15">
        <f>'[01_Entry.xlsx]Book'!G753</f>
        <v>0.0</v>
      </c>
      <c r="H753" s="15">
        <f>'[01_Entry.xlsx]Book'!H753</f>
        <v>0.0</v>
      </c>
      <c r="I753" s="15">
        <f>'[01_Entry.xlsx]Book'!I753</f>
        <v>0.0</v>
      </c>
      <c r="K753" s="15">
        <f>'[01_Entry.xlsx]Book'!K753</f>
        <v>0.0</v>
      </c>
      <c r="L753" s="15">
        <f>'[01_Entry.xlsx]Book'!L753</f>
        <v>0.0</v>
      </c>
      <c r="M753" s="15">
        <f>'[01_Entry.xlsx]Book'!M753</f>
        <v>0.0</v>
      </c>
      <c r="P753" s="56">
        <f>IF($A753="","",IFERROR(VALUE(MID($A753,6,2)),""))</f>
        <v/>
      </c>
    </row>
    <row r="754" spans="7:16">
      <c r="G754" s="15">
        <f>'[01_Entry.xlsx]Book'!G754</f>
        <v>0.0</v>
      </c>
      <c r="H754" s="15">
        <f>'[01_Entry.xlsx]Book'!H754</f>
        <v>0.0</v>
      </c>
      <c r="I754" s="15">
        <f>'[01_Entry.xlsx]Book'!I754</f>
        <v>0.0</v>
      </c>
      <c r="K754" s="15">
        <f>'[01_Entry.xlsx]Book'!K754</f>
        <v>0.0</v>
      </c>
      <c r="L754" s="15">
        <f>'[01_Entry.xlsx]Book'!L754</f>
        <v>0.0</v>
      </c>
      <c r="M754" s="15">
        <f>'[01_Entry.xlsx]Book'!M754</f>
        <v>0.0</v>
      </c>
      <c r="P754" s="56">
        <f>IF($A754="","",IFERROR(VALUE(MID($A754,6,2)),""))</f>
        <v/>
      </c>
    </row>
    <row r="755" spans="7:16">
      <c r="G755" s="15">
        <f>'[01_Entry.xlsx]Book'!G755</f>
        <v>0.0</v>
      </c>
      <c r="H755" s="15">
        <f>'[01_Entry.xlsx]Book'!H755</f>
        <v>0.0</v>
      </c>
      <c r="I755" s="15">
        <f>'[01_Entry.xlsx]Book'!I755</f>
        <v>0.0</v>
      </c>
      <c r="K755" s="15">
        <f>'[01_Entry.xlsx]Book'!K755</f>
        <v>0.0</v>
      </c>
      <c r="L755" s="15">
        <f>'[01_Entry.xlsx]Book'!L755</f>
        <v>0.0</v>
      </c>
      <c r="M755" s="15">
        <f>'[01_Entry.xlsx]Book'!M755</f>
        <v>0.0</v>
      </c>
      <c r="P755" s="56">
        <f>IF($A755="","",IFERROR(VALUE(MID($A755,6,2)),""))</f>
        <v/>
      </c>
    </row>
    <row r="756" spans="7:16">
      <c r="G756" s="15">
        <f>'[01_Entry.xlsx]Book'!G756</f>
        <v>0.0</v>
      </c>
      <c r="H756" s="15">
        <f>'[01_Entry.xlsx]Book'!H756</f>
        <v>0.0</v>
      </c>
      <c r="I756" s="15">
        <f>'[01_Entry.xlsx]Book'!I756</f>
        <v>0.0</v>
      </c>
      <c r="K756" s="15">
        <f>'[01_Entry.xlsx]Book'!K756</f>
        <v>0.0</v>
      </c>
      <c r="L756" s="15">
        <f>'[01_Entry.xlsx]Book'!L756</f>
        <v>0.0</v>
      </c>
      <c r="M756" s="15">
        <f>'[01_Entry.xlsx]Book'!M756</f>
        <v>0.0</v>
      </c>
      <c r="P756" s="56">
        <f>IF($A756="","",IFERROR(VALUE(MID($A756,6,2)),""))</f>
        <v/>
      </c>
    </row>
    <row r="757" spans="7:16">
      <c r="G757" s="15">
        <f>'[01_Entry.xlsx]Book'!G757</f>
        <v>0.0</v>
      </c>
      <c r="H757" s="15">
        <f>'[01_Entry.xlsx]Book'!H757</f>
        <v>0.0</v>
      </c>
      <c r="I757" s="15">
        <f>'[01_Entry.xlsx]Book'!I757</f>
        <v>0.0</v>
      </c>
      <c r="K757" s="15">
        <f>'[01_Entry.xlsx]Book'!K757</f>
        <v>0.0</v>
      </c>
      <c r="L757" s="15">
        <f>'[01_Entry.xlsx]Book'!L757</f>
        <v>0.0</v>
      </c>
      <c r="M757" s="15">
        <f>'[01_Entry.xlsx]Book'!M757</f>
        <v>0.0</v>
      </c>
      <c r="P757" s="56">
        <f>IF($A757="","",IFERROR(VALUE(MID($A757,6,2)),""))</f>
        <v/>
      </c>
    </row>
    <row r="758" spans="7:16">
      <c r="G758" s="15">
        <f>'[01_Entry.xlsx]Book'!G758</f>
        <v>0.0</v>
      </c>
      <c r="H758" s="15">
        <f>'[01_Entry.xlsx]Book'!H758</f>
        <v>0.0</v>
      </c>
      <c r="I758" s="15">
        <f>'[01_Entry.xlsx]Book'!I758</f>
        <v>0.0</v>
      </c>
      <c r="K758" s="15">
        <f>'[01_Entry.xlsx]Book'!K758</f>
        <v>0.0</v>
      </c>
      <c r="L758" s="15">
        <f>'[01_Entry.xlsx]Book'!L758</f>
        <v>0.0</v>
      </c>
      <c r="M758" s="15">
        <f>'[01_Entry.xlsx]Book'!M758</f>
        <v>0.0</v>
      </c>
      <c r="P758" s="56">
        <f>IF($A758="","",IFERROR(VALUE(MID($A758,6,2)),""))</f>
        <v/>
      </c>
    </row>
    <row r="759" spans="7:16">
      <c r="G759" s="15">
        <f>'[01_Entry.xlsx]Book'!G759</f>
        <v>0.0</v>
      </c>
      <c r="H759" s="15">
        <f>'[01_Entry.xlsx]Book'!H759</f>
        <v>0.0</v>
      </c>
      <c r="I759" s="15">
        <f>'[01_Entry.xlsx]Book'!I759</f>
        <v>0.0</v>
      </c>
      <c r="K759" s="15">
        <f>'[01_Entry.xlsx]Book'!K759</f>
        <v>0.0</v>
      </c>
      <c r="L759" s="15">
        <f>'[01_Entry.xlsx]Book'!L759</f>
        <v>0.0</v>
      </c>
      <c r="M759" s="15">
        <f>'[01_Entry.xlsx]Book'!M759</f>
        <v>0.0</v>
      </c>
      <c r="P759" s="56">
        <f>IF($A759="","",IFERROR(VALUE(MID($A759,6,2)),""))</f>
        <v/>
      </c>
    </row>
    <row r="760" spans="7:16">
      <c r="G760" s="15">
        <f>'[01_Entry.xlsx]Book'!G760</f>
        <v>0.0</v>
      </c>
      <c r="H760" s="15">
        <f>'[01_Entry.xlsx]Book'!H760</f>
        <v>0.0</v>
      </c>
      <c r="I760" s="15">
        <f>'[01_Entry.xlsx]Book'!I760</f>
        <v>0.0</v>
      </c>
      <c r="K760" s="15">
        <f>'[01_Entry.xlsx]Book'!K760</f>
        <v>0.0</v>
      </c>
      <c r="L760" s="15">
        <f>'[01_Entry.xlsx]Book'!L760</f>
        <v>0.0</v>
      </c>
      <c r="M760" s="15">
        <f>'[01_Entry.xlsx]Book'!M760</f>
        <v>0.0</v>
      </c>
      <c r="P760" s="56">
        <f>IF($A760="","",IFERROR(VALUE(MID($A760,6,2)),""))</f>
        <v/>
      </c>
    </row>
    <row r="761" spans="7:16">
      <c r="G761" s="15">
        <f>'[01_Entry.xlsx]Book'!G761</f>
        <v>0.0</v>
      </c>
      <c r="H761" s="15">
        <f>'[01_Entry.xlsx]Book'!H761</f>
        <v>0.0</v>
      </c>
      <c r="I761" s="15">
        <f>'[01_Entry.xlsx]Book'!I761</f>
        <v>0.0</v>
      </c>
      <c r="K761" s="15">
        <f>'[01_Entry.xlsx]Book'!K761</f>
        <v>0.0</v>
      </c>
      <c r="L761" s="15">
        <f>'[01_Entry.xlsx]Book'!L761</f>
        <v>0.0</v>
      </c>
      <c r="M761" s="15">
        <f>'[01_Entry.xlsx]Book'!M761</f>
        <v>0.0</v>
      </c>
      <c r="P761" s="56">
        <f>IF($A761="","",IFERROR(VALUE(MID($A761,6,2)),""))</f>
        <v/>
      </c>
    </row>
    <row r="762" spans="7:16">
      <c r="G762" s="15">
        <f>'[01_Entry.xlsx]Book'!G762</f>
        <v>0.0</v>
      </c>
      <c r="H762" s="15">
        <f>'[01_Entry.xlsx]Book'!H762</f>
        <v>0.0</v>
      </c>
      <c r="I762" s="15">
        <f>'[01_Entry.xlsx]Book'!I762</f>
        <v>0.0</v>
      </c>
      <c r="K762" s="15">
        <f>'[01_Entry.xlsx]Book'!K762</f>
        <v>0.0</v>
      </c>
      <c r="L762" s="15">
        <f>'[01_Entry.xlsx]Book'!L762</f>
        <v>0.0</v>
      </c>
      <c r="M762" s="15">
        <f>'[01_Entry.xlsx]Book'!M762</f>
        <v>0.0</v>
      </c>
      <c r="P762" s="56">
        <f>IF($A762="","",IFERROR(VALUE(MID($A762,6,2)),""))</f>
        <v/>
      </c>
    </row>
    <row r="763" spans="7:16">
      <c r="G763" s="15">
        <f>'[01_Entry.xlsx]Book'!G763</f>
        <v>0.0</v>
      </c>
      <c r="H763" s="15">
        <f>'[01_Entry.xlsx]Book'!H763</f>
        <v>0.0</v>
      </c>
      <c r="I763" s="15">
        <f>'[01_Entry.xlsx]Book'!I763</f>
        <v>0.0</v>
      </c>
      <c r="K763" s="15">
        <f>'[01_Entry.xlsx]Book'!K763</f>
        <v>0.0</v>
      </c>
      <c r="L763" s="15">
        <f>'[01_Entry.xlsx]Book'!L763</f>
        <v>0.0</v>
      </c>
      <c r="M763" s="15">
        <f>'[01_Entry.xlsx]Book'!M763</f>
        <v>0.0</v>
      </c>
      <c r="P763" s="56">
        <f>IF($A763="","",IFERROR(VALUE(MID($A763,6,2)),""))</f>
        <v/>
      </c>
    </row>
    <row r="764" spans="7:16">
      <c r="G764" s="15">
        <f>'[01_Entry.xlsx]Book'!G764</f>
        <v>0.0</v>
      </c>
      <c r="H764" s="15">
        <f>'[01_Entry.xlsx]Book'!H764</f>
        <v>0.0</v>
      </c>
      <c r="I764" s="15">
        <f>'[01_Entry.xlsx]Book'!I764</f>
        <v>0.0</v>
      </c>
      <c r="K764" s="15">
        <f>'[01_Entry.xlsx]Book'!K764</f>
        <v>0.0</v>
      </c>
      <c r="L764" s="15">
        <f>'[01_Entry.xlsx]Book'!L764</f>
        <v>0.0</v>
      </c>
      <c r="M764" s="15">
        <f>'[01_Entry.xlsx]Book'!M764</f>
        <v>0.0</v>
      </c>
      <c r="P764" s="56">
        <f>IF($A764="","",IFERROR(VALUE(MID($A764,6,2)),""))</f>
        <v/>
      </c>
    </row>
    <row r="765" spans="7:16">
      <c r="G765" s="15">
        <f>'[01_Entry.xlsx]Book'!G765</f>
        <v>0.0</v>
      </c>
      <c r="H765" s="15">
        <f>'[01_Entry.xlsx]Book'!H765</f>
        <v>0.0</v>
      </c>
      <c r="I765" s="15">
        <f>'[01_Entry.xlsx]Book'!I765</f>
        <v>0.0</v>
      </c>
      <c r="K765" s="15">
        <f>'[01_Entry.xlsx]Book'!K765</f>
        <v>0.0</v>
      </c>
      <c r="L765" s="15">
        <f>'[01_Entry.xlsx]Book'!L765</f>
        <v>0.0</v>
      </c>
      <c r="M765" s="15">
        <f>'[01_Entry.xlsx]Book'!M765</f>
        <v>0.0</v>
      </c>
      <c r="P765" s="56">
        <f>IF($A765="","",IFERROR(VALUE(MID($A765,6,2)),""))</f>
        <v/>
      </c>
    </row>
    <row r="766" spans="7:16">
      <c r="G766" s="15">
        <f>'[01_Entry.xlsx]Book'!G766</f>
        <v>0.0</v>
      </c>
      <c r="H766" s="15">
        <f>'[01_Entry.xlsx]Book'!H766</f>
        <v>0.0</v>
      </c>
      <c r="I766" s="15">
        <f>'[01_Entry.xlsx]Book'!I766</f>
        <v>0.0</v>
      </c>
      <c r="K766" s="15">
        <f>'[01_Entry.xlsx]Book'!K766</f>
        <v>0.0</v>
      </c>
      <c r="L766" s="15">
        <f>'[01_Entry.xlsx]Book'!L766</f>
        <v>0.0</v>
      </c>
      <c r="M766" s="15">
        <f>'[01_Entry.xlsx]Book'!M766</f>
        <v>0.0</v>
      </c>
      <c r="P766" s="56">
        <f>IF($A766="","",IFERROR(VALUE(MID($A766,6,2)),""))</f>
        <v/>
      </c>
    </row>
    <row r="767" spans="7:16">
      <c r="G767" s="15">
        <f>'[01_Entry.xlsx]Book'!G767</f>
        <v>0.0</v>
      </c>
      <c r="H767" s="15">
        <f>'[01_Entry.xlsx]Book'!H767</f>
        <v>0.0</v>
      </c>
      <c r="I767" s="15">
        <f>'[01_Entry.xlsx]Book'!I767</f>
        <v>0.0</v>
      </c>
      <c r="K767" s="15">
        <f>'[01_Entry.xlsx]Book'!K767</f>
        <v>0.0</v>
      </c>
      <c r="L767" s="15">
        <f>'[01_Entry.xlsx]Book'!L767</f>
        <v>0.0</v>
      </c>
      <c r="M767" s="15">
        <f>'[01_Entry.xlsx]Book'!M767</f>
        <v>0.0</v>
      </c>
      <c r="P767" s="56">
        <f>IF($A767="","",IFERROR(VALUE(MID($A767,6,2)),""))</f>
        <v/>
      </c>
    </row>
    <row r="768" spans="7:16">
      <c r="G768" s="15">
        <f>'[01_Entry.xlsx]Book'!G768</f>
        <v>0.0</v>
      </c>
      <c r="H768" s="15">
        <f>'[01_Entry.xlsx]Book'!H768</f>
        <v>0.0</v>
      </c>
      <c r="I768" s="15">
        <f>'[01_Entry.xlsx]Book'!I768</f>
        <v>0.0</v>
      </c>
      <c r="K768" s="15">
        <f>'[01_Entry.xlsx]Book'!K768</f>
        <v>0.0</v>
      </c>
      <c r="L768" s="15">
        <f>'[01_Entry.xlsx]Book'!L768</f>
        <v>0.0</v>
      </c>
      <c r="M768" s="15">
        <f>'[01_Entry.xlsx]Book'!M768</f>
        <v>0.0</v>
      </c>
      <c r="P768" s="56">
        <f>IF($A768="","",IFERROR(VALUE(MID($A768,6,2)),""))</f>
        <v/>
      </c>
    </row>
    <row r="769" spans="7:16">
      <c r="G769" s="15">
        <f>'[01_Entry.xlsx]Book'!G769</f>
        <v>0.0</v>
      </c>
      <c r="H769" s="15">
        <f>'[01_Entry.xlsx]Book'!H769</f>
        <v>0.0</v>
      </c>
      <c r="I769" s="15">
        <f>'[01_Entry.xlsx]Book'!I769</f>
        <v>0.0</v>
      </c>
      <c r="K769" s="15">
        <f>'[01_Entry.xlsx]Book'!K769</f>
        <v>0.0</v>
      </c>
      <c r="L769" s="15">
        <f>'[01_Entry.xlsx]Book'!L769</f>
        <v>0.0</v>
      </c>
      <c r="M769" s="15">
        <f>'[01_Entry.xlsx]Book'!M769</f>
        <v>0.0</v>
      </c>
      <c r="P769" s="56">
        <f>IF($A769="","",IFERROR(VALUE(MID($A769,6,2)),""))</f>
        <v/>
      </c>
    </row>
    <row r="770" spans="7:16">
      <c r="G770" s="15">
        <f>'[01_Entry.xlsx]Book'!G770</f>
        <v>0.0</v>
      </c>
      <c r="H770" s="15">
        <f>'[01_Entry.xlsx]Book'!H770</f>
        <v>0.0</v>
      </c>
      <c r="I770" s="15">
        <f>'[01_Entry.xlsx]Book'!I770</f>
        <v>0.0</v>
      </c>
      <c r="K770" s="15">
        <f>'[01_Entry.xlsx]Book'!K770</f>
        <v>0.0</v>
      </c>
      <c r="L770" s="15">
        <f>'[01_Entry.xlsx]Book'!L770</f>
        <v>0.0</v>
      </c>
      <c r="M770" s="15">
        <f>'[01_Entry.xlsx]Book'!M770</f>
        <v>0.0</v>
      </c>
      <c r="P770" s="56">
        <f>IF($A770="","",IFERROR(VALUE(MID($A770,6,2)),""))</f>
        <v/>
      </c>
    </row>
    <row r="771" spans="7:16">
      <c r="G771" s="15">
        <f>'[01_Entry.xlsx]Book'!G771</f>
        <v>0.0</v>
      </c>
      <c r="H771" s="15">
        <f>'[01_Entry.xlsx]Book'!H771</f>
        <v>0.0</v>
      </c>
      <c r="I771" s="15">
        <f>'[01_Entry.xlsx]Book'!I771</f>
        <v>0.0</v>
      </c>
      <c r="K771" s="15">
        <f>'[01_Entry.xlsx]Book'!K771</f>
        <v>0.0</v>
      </c>
      <c r="L771" s="15">
        <f>'[01_Entry.xlsx]Book'!L771</f>
        <v>0.0</v>
      </c>
      <c r="M771" s="15">
        <f>'[01_Entry.xlsx]Book'!M771</f>
        <v>0.0</v>
      </c>
      <c r="P771" s="56">
        <f>IF($A771="","",IFERROR(VALUE(MID($A771,6,2)),""))</f>
        <v/>
      </c>
    </row>
    <row r="772" spans="7:16">
      <c r="G772" s="15">
        <f>'[01_Entry.xlsx]Book'!G772</f>
        <v>0.0</v>
      </c>
      <c r="H772" s="15">
        <f>'[01_Entry.xlsx]Book'!H772</f>
        <v>0.0</v>
      </c>
      <c r="I772" s="15">
        <f>'[01_Entry.xlsx]Book'!I772</f>
        <v>0.0</v>
      </c>
      <c r="K772" s="15">
        <f>'[01_Entry.xlsx]Book'!K772</f>
        <v>0.0</v>
      </c>
      <c r="L772" s="15">
        <f>'[01_Entry.xlsx]Book'!L772</f>
        <v>0.0</v>
      </c>
      <c r="M772" s="15">
        <f>'[01_Entry.xlsx]Book'!M772</f>
        <v>0.0</v>
      </c>
      <c r="P772" s="56">
        <f>IF($A772="","",IFERROR(VALUE(MID($A772,6,2)),""))</f>
        <v/>
      </c>
    </row>
    <row r="773" spans="7:16">
      <c r="G773" s="15">
        <f>'[01_Entry.xlsx]Book'!G773</f>
        <v>0.0</v>
      </c>
      <c r="H773" s="15">
        <f>'[01_Entry.xlsx]Book'!H773</f>
        <v>0.0</v>
      </c>
      <c r="I773" s="15">
        <f>'[01_Entry.xlsx]Book'!I773</f>
        <v>0.0</v>
      </c>
      <c r="K773" s="15">
        <f>'[01_Entry.xlsx]Book'!K773</f>
        <v>0.0</v>
      </c>
      <c r="L773" s="15">
        <f>'[01_Entry.xlsx]Book'!L773</f>
        <v>0.0</v>
      </c>
      <c r="M773" s="15">
        <f>'[01_Entry.xlsx]Book'!M773</f>
        <v>0.0</v>
      </c>
      <c r="P773" s="56">
        <f>IF($A773="","",IFERROR(VALUE(MID($A773,6,2)),""))</f>
        <v/>
      </c>
    </row>
    <row r="774" spans="7:16">
      <c r="G774" s="15">
        <f>'[01_Entry.xlsx]Book'!G774</f>
        <v>0.0</v>
      </c>
      <c r="H774" s="15">
        <f>'[01_Entry.xlsx]Book'!H774</f>
        <v>0.0</v>
      </c>
      <c r="I774" s="15">
        <f>'[01_Entry.xlsx]Book'!I774</f>
        <v>0.0</v>
      </c>
      <c r="K774" s="15">
        <f>'[01_Entry.xlsx]Book'!K774</f>
        <v>0.0</v>
      </c>
      <c r="L774" s="15">
        <f>'[01_Entry.xlsx]Book'!L774</f>
        <v>0.0</v>
      </c>
      <c r="M774" s="15">
        <f>'[01_Entry.xlsx]Book'!M774</f>
        <v>0.0</v>
      </c>
      <c r="P774" s="56">
        <f>IF($A774="","",IFERROR(VALUE(MID($A774,6,2)),""))</f>
        <v/>
      </c>
    </row>
    <row r="775" spans="7:16">
      <c r="G775" s="15">
        <f>'[01_Entry.xlsx]Book'!G775</f>
        <v>0.0</v>
      </c>
      <c r="H775" s="15">
        <f>'[01_Entry.xlsx]Book'!H775</f>
        <v>0.0</v>
      </c>
      <c r="I775" s="15">
        <f>'[01_Entry.xlsx]Book'!I775</f>
        <v>0.0</v>
      </c>
      <c r="K775" s="15">
        <f>'[01_Entry.xlsx]Book'!K775</f>
        <v>0.0</v>
      </c>
      <c r="L775" s="15">
        <f>'[01_Entry.xlsx]Book'!L775</f>
        <v>0.0</v>
      </c>
      <c r="M775" s="15">
        <f>'[01_Entry.xlsx]Book'!M775</f>
        <v>0.0</v>
      </c>
      <c r="P775" s="56">
        <f>IF($A775="","",IFERROR(VALUE(MID($A775,6,2)),""))</f>
        <v/>
      </c>
    </row>
    <row r="776" spans="7:16">
      <c r="G776" s="15">
        <f>'[01_Entry.xlsx]Book'!G776</f>
        <v>0.0</v>
      </c>
      <c r="H776" s="15">
        <f>'[01_Entry.xlsx]Book'!H776</f>
        <v>0.0</v>
      </c>
      <c r="I776" s="15">
        <f>'[01_Entry.xlsx]Book'!I776</f>
        <v>0.0</v>
      </c>
      <c r="K776" s="15">
        <f>'[01_Entry.xlsx]Book'!K776</f>
        <v>0.0</v>
      </c>
      <c r="L776" s="15">
        <f>'[01_Entry.xlsx]Book'!L776</f>
        <v>0.0</v>
      </c>
      <c r="M776" s="15">
        <f>'[01_Entry.xlsx]Book'!M776</f>
        <v>0.0</v>
      </c>
      <c r="P776" s="56">
        <f>IF($A776="","",IFERROR(VALUE(MID($A776,6,2)),""))</f>
        <v/>
      </c>
    </row>
    <row r="777" spans="7:16">
      <c r="G777" s="15">
        <f>'[01_Entry.xlsx]Book'!G777</f>
        <v>0.0</v>
      </c>
      <c r="H777" s="15">
        <f>'[01_Entry.xlsx]Book'!H777</f>
        <v>0.0</v>
      </c>
      <c r="I777" s="15">
        <f>'[01_Entry.xlsx]Book'!I777</f>
        <v>0.0</v>
      </c>
      <c r="K777" s="15">
        <f>'[01_Entry.xlsx]Book'!K777</f>
        <v>0.0</v>
      </c>
      <c r="L777" s="15">
        <f>'[01_Entry.xlsx]Book'!L777</f>
        <v>0.0</v>
      </c>
      <c r="M777" s="15">
        <f>'[01_Entry.xlsx]Book'!M777</f>
        <v>0.0</v>
      </c>
      <c r="P777" s="56">
        <f>IF($A777="","",IFERROR(VALUE(MID($A777,6,2)),""))</f>
        <v/>
      </c>
    </row>
    <row r="778" spans="7:16">
      <c r="G778" s="15">
        <f>'[01_Entry.xlsx]Book'!G778</f>
        <v>0.0</v>
      </c>
      <c r="H778" s="15">
        <f>'[01_Entry.xlsx]Book'!H778</f>
        <v>0.0</v>
      </c>
      <c r="I778" s="15">
        <f>'[01_Entry.xlsx]Book'!I778</f>
        <v>0.0</v>
      </c>
      <c r="K778" s="15">
        <f>'[01_Entry.xlsx]Book'!K778</f>
        <v>0.0</v>
      </c>
      <c r="L778" s="15">
        <f>'[01_Entry.xlsx]Book'!L778</f>
        <v>0.0</v>
      </c>
      <c r="M778" s="15">
        <f>'[01_Entry.xlsx]Book'!M778</f>
        <v>0.0</v>
      </c>
      <c r="P778" s="56">
        <f>IF($A778="","",IFERROR(VALUE(MID($A778,6,2)),""))</f>
        <v/>
      </c>
    </row>
    <row r="779" spans="7:16">
      <c r="G779" s="15">
        <f>'[01_Entry.xlsx]Book'!G779</f>
        <v>0.0</v>
      </c>
      <c r="H779" s="15">
        <f>'[01_Entry.xlsx]Book'!H779</f>
        <v>0.0</v>
      </c>
      <c r="I779" s="15">
        <f>'[01_Entry.xlsx]Book'!I779</f>
        <v>0.0</v>
      </c>
      <c r="K779" s="15">
        <f>'[01_Entry.xlsx]Book'!K779</f>
        <v>0.0</v>
      </c>
      <c r="L779" s="15">
        <f>'[01_Entry.xlsx]Book'!L779</f>
        <v>0.0</v>
      </c>
      <c r="M779" s="15">
        <f>'[01_Entry.xlsx]Book'!M779</f>
        <v>0.0</v>
      </c>
      <c r="P779" s="56">
        <f>IF($A779="","",IFERROR(VALUE(MID($A779,6,2)),""))</f>
        <v/>
      </c>
    </row>
    <row r="780" spans="7:16">
      <c r="G780" s="15">
        <f>'[01_Entry.xlsx]Book'!G780</f>
        <v>0.0</v>
      </c>
      <c r="H780" s="15">
        <f>'[01_Entry.xlsx]Book'!H780</f>
        <v>0.0</v>
      </c>
      <c r="I780" s="15">
        <f>'[01_Entry.xlsx]Book'!I780</f>
        <v>0.0</v>
      </c>
      <c r="K780" s="15">
        <f>'[01_Entry.xlsx]Book'!K780</f>
        <v>0.0</v>
      </c>
      <c r="L780" s="15">
        <f>'[01_Entry.xlsx]Book'!L780</f>
        <v>0.0</v>
      </c>
      <c r="M780" s="15">
        <f>'[01_Entry.xlsx]Book'!M780</f>
        <v>0.0</v>
      </c>
      <c r="P780" s="56">
        <f>IF($A780="","",IFERROR(VALUE(MID($A780,6,2)),""))</f>
        <v/>
      </c>
    </row>
    <row r="781" spans="7:16">
      <c r="G781" s="15">
        <f>'[01_Entry.xlsx]Book'!G781</f>
        <v>0.0</v>
      </c>
      <c r="H781" s="15">
        <f>'[01_Entry.xlsx]Book'!H781</f>
        <v>0.0</v>
      </c>
      <c r="I781" s="15">
        <f>'[01_Entry.xlsx]Book'!I781</f>
        <v>0.0</v>
      </c>
      <c r="K781" s="15">
        <f>'[01_Entry.xlsx]Book'!K781</f>
        <v>0.0</v>
      </c>
      <c r="L781" s="15">
        <f>'[01_Entry.xlsx]Book'!L781</f>
        <v>0.0</v>
      </c>
      <c r="M781" s="15">
        <f>'[01_Entry.xlsx]Book'!M781</f>
        <v>0.0</v>
      </c>
      <c r="P781" s="56">
        <f>IF($A781="","",IFERROR(VALUE(MID($A781,6,2)),""))</f>
        <v/>
      </c>
    </row>
    <row r="782" spans="7:16">
      <c r="G782" s="15">
        <f>'[01_Entry.xlsx]Book'!G782</f>
        <v>0.0</v>
      </c>
      <c r="H782" s="15">
        <f>'[01_Entry.xlsx]Book'!H782</f>
        <v>0.0</v>
      </c>
      <c r="I782" s="15">
        <f>'[01_Entry.xlsx]Book'!I782</f>
        <v>0.0</v>
      </c>
      <c r="K782" s="15">
        <f>'[01_Entry.xlsx]Book'!K782</f>
        <v>0.0</v>
      </c>
      <c r="L782" s="15">
        <f>'[01_Entry.xlsx]Book'!L782</f>
        <v>0.0</v>
      </c>
      <c r="M782" s="15">
        <f>'[01_Entry.xlsx]Book'!M782</f>
        <v>0.0</v>
      </c>
      <c r="P782" s="56">
        <f>IF($A782="","",IFERROR(VALUE(MID($A782,6,2)),""))</f>
        <v/>
      </c>
    </row>
    <row r="783" spans="7:16">
      <c r="G783" s="15">
        <f>'[01_Entry.xlsx]Book'!G783</f>
        <v>0.0</v>
      </c>
      <c r="H783" s="15">
        <f>'[01_Entry.xlsx]Book'!H783</f>
        <v>0.0</v>
      </c>
      <c r="I783" s="15">
        <f>'[01_Entry.xlsx]Book'!I783</f>
        <v>0.0</v>
      </c>
      <c r="K783" s="15">
        <f>'[01_Entry.xlsx]Book'!K783</f>
        <v>0.0</v>
      </c>
      <c r="L783" s="15">
        <f>'[01_Entry.xlsx]Book'!L783</f>
        <v>0.0</v>
      </c>
      <c r="M783" s="15">
        <f>'[01_Entry.xlsx]Book'!M783</f>
        <v>0.0</v>
      </c>
      <c r="P783" s="56">
        <f>IF($A783="","",IFERROR(VALUE(MID($A783,6,2)),""))</f>
        <v/>
      </c>
    </row>
    <row r="784" spans="7:16">
      <c r="G784" s="15">
        <f>'[01_Entry.xlsx]Book'!G784</f>
        <v>0.0</v>
      </c>
      <c r="H784" s="15">
        <f>'[01_Entry.xlsx]Book'!H784</f>
        <v>0.0</v>
      </c>
      <c r="I784" s="15">
        <f>'[01_Entry.xlsx]Book'!I784</f>
        <v>0.0</v>
      </c>
      <c r="K784" s="15">
        <f>'[01_Entry.xlsx]Book'!K784</f>
        <v>0.0</v>
      </c>
      <c r="L784" s="15">
        <f>'[01_Entry.xlsx]Book'!L784</f>
        <v>0.0</v>
      </c>
      <c r="M784" s="15">
        <f>'[01_Entry.xlsx]Book'!M784</f>
        <v>0.0</v>
      </c>
      <c r="P784" s="56">
        <f>IF($A784="","",IFERROR(VALUE(MID($A784,6,2)),""))</f>
        <v/>
      </c>
    </row>
    <row r="785" spans="7:16">
      <c r="G785" s="15">
        <f>'[01_Entry.xlsx]Book'!G785</f>
        <v>0.0</v>
      </c>
      <c r="H785" s="15">
        <f>'[01_Entry.xlsx]Book'!H785</f>
        <v>0.0</v>
      </c>
      <c r="I785" s="15">
        <f>'[01_Entry.xlsx]Book'!I785</f>
        <v>0.0</v>
      </c>
      <c r="K785" s="15">
        <f>'[01_Entry.xlsx]Book'!K785</f>
        <v>0.0</v>
      </c>
      <c r="L785" s="15">
        <f>'[01_Entry.xlsx]Book'!L785</f>
        <v>0.0</v>
      </c>
      <c r="M785" s="15">
        <f>'[01_Entry.xlsx]Book'!M785</f>
        <v>0.0</v>
      </c>
      <c r="P785" s="56">
        <f>IF($A785="","",IFERROR(VALUE(MID($A785,6,2)),""))</f>
        <v/>
      </c>
    </row>
    <row r="786" spans="7:16">
      <c r="G786" s="15">
        <f>'[01_Entry.xlsx]Book'!G786</f>
        <v>0.0</v>
      </c>
      <c r="H786" s="15">
        <f>'[01_Entry.xlsx]Book'!H786</f>
        <v>0.0</v>
      </c>
      <c r="I786" s="15">
        <f>'[01_Entry.xlsx]Book'!I786</f>
        <v>0.0</v>
      </c>
      <c r="K786" s="15">
        <f>'[01_Entry.xlsx]Book'!K786</f>
        <v>0.0</v>
      </c>
      <c r="L786" s="15">
        <f>'[01_Entry.xlsx]Book'!L786</f>
        <v>0.0</v>
      </c>
      <c r="M786" s="15">
        <f>'[01_Entry.xlsx]Book'!M786</f>
        <v>0.0</v>
      </c>
      <c r="P786" s="56">
        <f>IF($A786="","",IFERROR(VALUE(MID($A786,6,2)),""))</f>
        <v/>
      </c>
    </row>
    <row r="787" spans="7:16">
      <c r="G787" s="15">
        <f>'[01_Entry.xlsx]Book'!G787</f>
        <v>0.0</v>
      </c>
      <c r="H787" s="15">
        <f>'[01_Entry.xlsx]Book'!H787</f>
        <v>0.0</v>
      </c>
      <c r="I787" s="15">
        <f>'[01_Entry.xlsx]Book'!I787</f>
        <v>0.0</v>
      </c>
      <c r="K787" s="15">
        <f>'[01_Entry.xlsx]Book'!K787</f>
        <v>0.0</v>
      </c>
      <c r="L787" s="15">
        <f>'[01_Entry.xlsx]Book'!L787</f>
        <v>0.0</v>
      </c>
      <c r="M787" s="15">
        <f>'[01_Entry.xlsx]Book'!M787</f>
        <v>0.0</v>
      </c>
      <c r="P787" s="56">
        <f>IF($A787="","",IFERROR(VALUE(MID($A787,6,2)),""))</f>
        <v/>
      </c>
    </row>
    <row r="788" spans="7:16">
      <c r="G788" s="15">
        <f>'[01_Entry.xlsx]Book'!G788</f>
        <v>0.0</v>
      </c>
      <c r="H788" s="15">
        <f>'[01_Entry.xlsx]Book'!H788</f>
        <v>0.0</v>
      </c>
      <c r="I788" s="15">
        <f>'[01_Entry.xlsx]Book'!I788</f>
        <v>0.0</v>
      </c>
      <c r="K788" s="15">
        <f>'[01_Entry.xlsx]Book'!K788</f>
        <v>0.0</v>
      </c>
      <c r="L788" s="15">
        <f>'[01_Entry.xlsx]Book'!L788</f>
        <v>0.0</v>
      </c>
      <c r="M788" s="15">
        <f>'[01_Entry.xlsx]Book'!M788</f>
        <v>0.0</v>
      </c>
      <c r="P788" s="56">
        <f>IF($A788="","",IFERROR(VALUE(MID($A788,6,2)),""))</f>
        <v/>
      </c>
    </row>
    <row r="789" spans="7:16">
      <c r="G789" s="15">
        <f>'[01_Entry.xlsx]Book'!G789</f>
        <v>0.0</v>
      </c>
      <c r="H789" s="15">
        <f>'[01_Entry.xlsx]Book'!H789</f>
        <v>0.0</v>
      </c>
      <c r="I789" s="15">
        <f>'[01_Entry.xlsx]Book'!I789</f>
        <v>0.0</v>
      </c>
      <c r="K789" s="15">
        <f>'[01_Entry.xlsx]Book'!K789</f>
        <v>0.0</v>
      </c>
      <c r="L789" s="15">
        <f>'[01_Entry.xlsx]Book'!L789</f>
        <v>0.0</v>
      </c>
      <c r="M789" s="15">
        <f>'[01_Entry.xlsx]Book'!M789</f>
        <v>0.0</v>
      </c>
      <c r="P789" s="56">
        <f>IF($A789="","",IFERROR(VALUE(MID($A789,6,2)),""))</f>
        <v/>
      </c>
    </row>
    <row r="790" spans="7:16">
      <c r="G790" s="15">
        <f>'[01_Entry.xlsx]Book'!G790</f>
        <v>0.0</v>
      </c>
      <c r="H790" s="15">
        <f>'[01_Entry.xlsx]Book'!H790</f>
        <v>0.0</v>
      </c>
      <c r="I790" s="15">
        <f>'[01_Entry.xlsx]Book'!I790</f>
        <v>0.0</v>
      </c>
      <c r="K790" s="15">
        <f>'[01_Entry.xlsx]Book'!K790</f>
        <v>0.0</v>
      </c>
      <c r="L790" s="15">
        <f>'[01_Entry.xlsx]Book'!L790</f>
        <v>0.0</v>
      </c>
      <c r="M790" s="15">
        <f>'[01_Entry.xlsx]Book'!M790</f>
        <v>0.0</v>
      </c>
      <c r="P790" s="56">
        <f>IF($A790="","",IFERROR(VALUE(MID($A790,6,2)),""))</f>
        <v/>
      </c>
    </row>
    <row r="791" spans="7:16">
      <c r="G791" s="15">
        <f>'[01_Entry.xlsx]Book'!G791</f>
        <v>0.0</v>
      </c>
      <c r="H791" s="15">
        <f>'[01_Entry.xlsx]Book'!H791</f>
        <v>0.0</v>
      </c>
      <c r="I791" s="15">
        <f>'[01_Entry.xlsx]Book'!I791</f>
        <v>0.0</v>
      </c>
      <c r="K791" s="15">
        <f>'[01_Entry.xlsx]Book'!K791</f>
        <v>0.0</v>
      </c>
      <c r="L791" s="15">
        <f>'[01_Entry.xlsx]Book'!L791</f>
        <v>0.0</v>
      </c>
      <c r="M791" s="15">
        <f>'[01_Entry.xlsx]Book'!M791</f>
        <v>0.0</v>
      </c>
      <c r="P791" s="56">
        <f>IF($A791="","",IFERROR(VALUE(MID($A791,6,2)),""))</f>
        <v/>
      </c>
    </row>
    <row r="792" spans="7:16">
      <c r="G792" s="15">
        <f>'[01_Entry.xlsx]Book'!G792</f>
        <v>0.0</v>
      </c>
      <c r="H792" s="15">
        <f>'[01_Entry.xlsx]Book'!H792</f>
        <v>0.0</v>
      </c>
      <c r="I792" s="15">
        <f>'[01_Entry.xlsx]Book'!I792</f>
        <v>0.0</v>
      </c>
      <c r="K792" s="15">
        <f>'[01_Entry.xlsx]Book'!K792</f>
        <v>0.0</v>
      </c>
      <c r="L792" s="15">
        <f>'[01_Entry.xlsx]Book'!L792</f>
        <v>0.0</v>
      </c>
      <c r="M792" s="15">
        <f>'[01_Entry.xlsx]Book'!M792</f>
        <v>0.0</v>
      </c>
      <c r="P792" s="56">
        <f>IF($A792="","",IFERROR(VALUE(MID($A792,6,2)),""))</f>
        <v/>
      </c>
    </row>
    <row r="793" spans="7:16">
      <c r="G793" s="15">
        <f>'[01_Entry.xlsx]Book'!G793</f>
        <v>0.0</v>
      </c>
      <c r="H793" s="15">
        <f>'[01_Entry.xlsx]Book'!H793</f>
        <v>0.0</v>
      </c>
      <c r="I793" s="15">
        <f>'[01_Entry.xlsx]Book'!I793</f>
        <v>0.0</v>
      </c>
      <c r="K793" s="15">
        <f>'[01_Entry.xlsx]Book'!K793</f>
        <v>0.0</v>
      </c>
      <c r="L793" s="15">
        <f>'[01_Entry.xlsx]Book'!L793</f>
        <v>0.0</v>
      </c>
      <c r="M793" s="15">
        <f>'[01_Entry.xlsx]Book'!M793</f>
        <v>0.0</v>
      </c>
      <c r="P793" s="56">
        <f>IF($A793="","",IFERROR(VALUE(MID($A793,6,2)),""))</f>
        <v/>
      </c>
    </row>
    <row r="794" spans="7:16">
      <c r="G794" s="15">
        <f>'[01_Entry.xlsx]Book'!G794</f>
        <v>0.0</v>
      </c>
      <c r="H794" s="15">
        <f>'[01_Entry.xlsx]Book'!H794</f>
        <v>0.0</v>
      </c>
      <c r="I794" s="15">
        <f>'[01_Entry.xlsx]Book'!I794</f>
        <v>0.0</v>
      </c>
      <c r="K794" s="15">
        <f>'[01_Entry.xlsx]Book'!K794</f>
        <v>0.0</v>
      </c>
      <c r="L794" s="15">
        <f>'[01_Entry.xlsx]Book'!L794</f>
        <v>0.0</v>
      </c>
      <c r="M794" s="15">
        <f>'[01_Entry.xlsx]Book'!M794</f>
        <v>0.0</v>
      </c>
      <c r="P794" s="56">
        <f>IF($A794="","",IFERROR(VALUE(MID($A794,6,2)),""))</f>
        <v/>
      </c>
    </row>
    <row r="795" spans="7:16">
      <c r="G795" s="15">
        <f>'[01_Entry.xlsx]Book'!G795</f>
        <v>0.0</v>
      </c>
      <c r="H795" s="15">
        <f>'[01_Entry.xlsx]Book'!H795</f>
        <v>0.0</v>
      </c>
      <c r="I795" s="15">
        <f>'[01_Entry.xlsx]Book'!I795</f>
        <v>0.0</v>
      </c>
      <c r="K795" s="15">
        <f>'[01_Entry.xlsx]Book'!K795</f>
        <v>0.0</v>
      </c>
      <c r="L795" s="15">
        <f>'[01_Entry.xlsx]Book'!L795</f>
        <v>0.0</v>
      </c>
      <c r="M795" s="15">
        <f>'[01_Entry.xlsx]Book'!M795</f>
        <v>0.0</v>
      </c>
      <c r="P795" s="56">
        <f>IF($A795="","",IFERROR(VALUE(MID($A795,6,2)),""))</f>
        <v/>
      </c>
    </row>
    <row r="796" spans="7:16">
      <c r="G796" s="15">
        <f>'[01_Entry.xlsx]Book'!G796</f>
        <v>0.0</v>
      </c>
      <c r="H796" s="15">
        <f>'[01_Entry.xlsx]Book'!H796</f>
        <v>0.0</v>
      </c>
      <c r="I796" s="15">
        <f>'[01_Entry.xlsx]Book'!I796</f>
        <v>0.0</v>
      </c>
      <c r="K796" s="15">
        <f>'[01_Entry.xlsx]Book'!K796</f>
        <v>0.0</v>
      </c>
      <c r="L796" s="15">
        <f>'[01_Entry.xlsx]Book'!L796</f>
        <v>0.0</v>
      </c>
      <c r="M796" s="15">
        <f>'[01_Entry.xlsx]Book'!M796</f>
        <v>0.0</v>
      </c>
      <c r="P796" s="56">
        <f>IF($A796="","",IFERROR(VALUE(MID($A796,6,2)),""))</f>
        <v/>
      </c>
    </row>
    <row r="797" spans="7:16">
      <c r="G797" s="15">
        <f>'[01_Entry.xlsx]Book'!G797</f>
        <v>0.0</v>
      </c>
      <c r="H797" s="15">
        <f>'[01_Entry.xlsx]Book'!H797</f>
        <v>0.0</v>
      </c>
      <c r="I797" s="15">
        <f>'[01_Entry.xlsx]Book'!I797</f>
        <v>0.0</v>
      </c>
      <c r="K797" s="15">
        <f>'[01_Entry.xlsx]Book'!K797</f>
        <v>0.0</v>
      </c>
      <c r="L797" s="15">
        <f>'[01_Entry.xlsx]Book'!L797</f>
        <v>0.0</v>
      </c>
      <c r="M797" s="15">
        <f>'[01_Entry.xlsx]Book'!M797</f>
        <v>0.0</v>
      </c>
      <c r="P797" s="56">
        <f>IF($A797="","",IFERROR(VALUE(MID($A797,6,2)),""))</f>
        <v/>
      </c>
    </row>
    <row r="798" spans="7:16">
      <c r="G798" s="15">
        <f>'[01_Entry.xlsx]Book'!G798</f>
        <v>0.0</v>
      </c>
      <c r="H798" s="15">
        <f>'[01_Entry.xlsx]Book'!H798</f>
        <v>0.0</v>
      </c>
      <c r="I798" s="15">
        <f>'[01_Entry.xlsx]Book'!I798</f>
        <v>0.0</v>
      </c>
      <c r="K798" s="15">
        <f>'[01_Entry.xlsx]Book'!K798</f>
        <v>0.0</v>
      </c>
      <c r="L798" s="15">
        <f>'[01_Entry.xlsx]Book'!L798</f>
        <v>0.0</v>
      </c>
      <c r="M798" s="15">
        <f>'[01_Entry.xlsx]Book'!M798</f>
        <v>0.0</v>
      </c>
      <c r="P798" s="56">
        <f>IF($A798="","",IFERROR(VALUE(MID($A798,6,2)),""))</f>
        <v/>
      </c>
    </row>
    <row r="799" spans="7:16">
      <c r="G799" s="15">
        <f>'[01_Entry.xlsx]Book'!G799</f>
        <v>0.0</v>
      </c>
      <c r="H799" s="15">
        <f>'[01_Entry.xlsx]Book'!H799</f>
        <v>0.0</v>
      </c>
      <c r="I799" s="15">
        <f>'[01_Entry.xlsx]Book'!I799</f>
        <v>0.0</v>
      </c>
      <c r="K799" s="15">
        <f>'[01_Entry.xlsx]Book'!K799</f>
        <v>0.0</v>
      </c>
      <c r="L799" s="15">
        <f>'[01_Entry.xlsx]Book'!L799</f>
        <v>0.0</v>
      </c>
      <c r="M799" s="15">
        <f>'[01_Entry.xlsx]Book'!M799</f>
        <v>0.0</v>
      </c>
      <c r="P799" s="56">
        <f>IF($A799="","",IFERROR(VALUE(MID($A799,6,2)),""))</f>
        <v/>
      </c>
    </row>
    <row r="800" spans="7:16">
      <c r="G800" s="15">
        <f>'[01_Entry.xlsx]Book'!G800</f>
        <v>0.0</v>
      </c>
      <c r="H800" s="15">
        <f>'[01_Entry.xlsx]Book'!H800</f>
        <v>0.0</v>
      </c>
      <c r="I800" s="15">
        <f>'[01_Entry.xlsx]Book'!I800</f>
        <v>0.0</v>
      </c>
      <c r="K800" s="15">
        <f>'[01_Entry.xlsx]Book'!K800</f>
        <v>0.0</v>
      </c>
      <c r="L800" s="15">
        <f>'[01_Entry.xlsx]Book'!L800</f>
        <v>0.0</v>
      </c>
      <c r="M800" s="15">
        <f>'[01_Entry.xlsx]Book'!M800</f>
        <v>0.0</v>
      </c>
      <c r="P800" s="56">
        <f>IF($A800="","",IFERROR(VALUE(MID($A800,6,2)),""))</f>
        <v/>
      </c>
    </row>
    <row r="801" spans="7:16">
      <c r="G801" s="15">
        <f>'[01_Entry.xlsx]Book'!G801</f>
        <v>0.0</v>
      </c>
      <c r="H801" s="15">
        <f>'[01_Entry.xlsx]Book'!H801</f>
        <v>0.0</v>
      </c>
      <c r="I801" s="15">
        <f>'[01_Entry.xlsx]Book'!I801</f>
        <v>0.0</v>
      </c>
      <c r="K801" s="15">
        <f>'[01_Entry.xlsx]Book'!K801</f>
        <v>0.0</v>
      </c>
      <c r="L801" s="15">
        <f>'[01_Entry.xlsx]Book'!L801</f>
        <v>0.0</v>
      </c>
      <c r="M801" s="15">
        <f>'[01_Entry.xlsx]Book'!M801</f>
        <v>0.0</v>
      </c>
      <c r="P801" s="56">
        <f>IF($A801="","",IFERROR(VALUE(MID($A801,6,2)),""))</f>
        <v/>
      </c>
    </row>
    <row r="802" spans="7:16">
      <c r="G802" s="15">
        <f>'[01_Entry.xlsx]Book'!G802</f>
        <v>0.0</v>
      </c>
      <c r="H802" s="15">
        <f>'[01_Entry.xlsx]Book'!H802</f>
        <v>0.0</v>
      </c>
      <c r="I802" s="15">
        <f>'[01_Entry.xlsx]Book'!I802</f>
        <v>0.0</v>
      </c>
      <c r="K802" s="15">
        <f>'[01_Entry.xlsx]Book'!K802</f>
        <v>0.0</v>
      </c>
      <c r="L802" s="15">
        <f>'[01_Entry.xlsx]Book'!L802</f>
        <v>0.0</v>
      </c>
      <c r="M802" s="15">
        <f>'[01_Entry.xlsx]Book'!M802</f>
        <v>0.0</v>
      </c>
      <c r="P802" s="56">
        <f>IF($A802="","",IFERROR(VALUE(MID($A802,6,2)),""))</f>
        <v/>
      </c>
    </row>
    <row r="803" spans="7:16">
      <c r="G803" s="15">
        <f>'[01_Entry.xlsx]Book'!G803</f>
        <v>0.0</v>
      </c>
      <c r="H803" s="15">
        <f>'[01_Entry.xlsx]Book'!H803</f>
        <v>0.0</v>
      </c>
      <c r="I803" s="15">
        <f>'[01_Entry.xlsx]Book'!I803</f>
        <v>0.0</v>
      </c>
      <c r="K803" s="15">
        <f>'[01_Entry.xlsx]Book'!K803</f>
        <v>0.0</v>
      </c>
      <c r="L803" s="15">
        <f>'[01_Entry.xlsx]Book'!L803</f>
        <v>0.0</v>
      </c>
      <c r="M803" s="15">
        <f>'[01_Entry.xlsx]Book'!M803</f>
        <v>0.0</v>
      </c>
      <c r="P803" s="56">
        <f>IF($A803="","",IFERROR(VALUE(MID($A803,6,2)),""))</f>
        <v/>
      </c>
    </row>
    <row r="804" spans="7:16">
      <c r="G804" s="15">
        <f>'[01_Entry.xlsx]Book'!G804</f>
        <v>0.0</v>
      </c>
      <c r="H804" s="15">
        <f>'[01_Entry.xlsx]Book'!H804</f>
        <v>0.0</v>
      </c>
      <c r="I804" s="15">
        <f>'[01_Entry.xlsx]Book'!I804</f>
        <v>0.0</v>
      </c>
      <c r="K804" s="15">
        <f>'[01_Entry.xlsx]Book'!K804</f>
        <v>0.0</v>
      </c>
      <c r="L804" s="15">
        <f>'[01_Entry.xlsx]Book'!L804</f>
        <v>0.0</v>
      </c>
      <c r="M804" s="15">
        <f>'[01_Entry.xlsx]Book'!M804</f>
        <v>0.0</v>
      </c>
      <c r="P804" s="56">
        <f>IF($A804="","",IFERROR(VALUE(MID($A804,6,2)),""))</f>
        <v/>
      </c>
    </row>
    <row r="805" spans="7:16">
      <c r="G805" s="15">
        <f>'[01_Entry.xlsx]Book'!G805</f>
        <v>0.0</v>
      </c>
      <c r="H805" s="15">
        <f>'[01_Entry.xlsx]Book'!H805</f>
        <v>0.0</v>
      </c>
      <c r="I805" s="15">
        <f>'[01_Entry.xlsx]Book'!I805</f>
        <v>0.0</v>
      </c>
      <c r="K805" s="15">
        <f>'[01_Entry.xlsx]Book'!K805</f>
        <v>0.0</v>
      </c>
      <c r="L805" s="15">
        <f>'[01_Entry.xlsx]Book'!L805</f>
        <v>0.0</v>
      </c>
      <c r="M805" s="15">
        <f>'[01_Entry.xlsx]Book'!M805</f>
        <v>0.0</v>
      </c>
      <c r="P805" s="56">
        <f>IF($A805="","",IFERROR(VALUE(MID($A805,6,2)),""))</f>
        <v/>
      </c>
    </row>
    <row r="806" spans="7:16">
      <c r="G806" s="15">
        <f>'[01_Entry.xlsx]Book'!G806</f>
        <v>0.0</v>
      </c>
      <c r="H806" s="15">
        <f>'[01_Entry.xlsx]Book'!H806</f>
        <v>0.0</v>
      </c>
      <c r="I806" s="15">
        <f>'[01_Entry.xlsx]Book'!I806</f>
        <v>0.0</v>
      </c>
      <c r="K806" s="15">
        <f>'[01_Entry.xlsx]Book'!K806</f>
        <v>0.0</v>
      </c>
      <c r="L806" s="15">
        <f>'[01_Entry.xlsx]Book'!L806</f>
        <v>0.0</v>
      </c>
      <c r="M806" s="15">
        <f>'[01_Entry.xlsx]Book'!M806</f>
        <v>0.0</v>
      </c>
      <c r="P806" s="56">
        <f>IF($A806="","",IFERROR(VALUE(MID($A806,6,2)),""))</f>
        <v/>
      </c>
    </row>
    <row r="807" spans="7:16">
      <c r="G807" s="15">
        <f>'[01_Entry.xlsx]Book'!G807</f>
        <v>0.0</v>
      </c>
      <c r="H807" s="15">
        <f>'[01_Entry.xlsx]Book'!H807</f>
        <v>0.0</v>
      </c>
      <c r="I807" s="15">
        <f>'[01_Entry.xlsx]Book'!I807</f>
        <v>0.0</v>
      </c>
      <c r="K807" s="15">
        <f>'[01_Entry.xlsx]Book'!K807</f>
        <v>0.0</v>
      </c>
      <c r="L807" s="15">
        <f>'[01_Entry.xlsx]Book'!L807</f>
        <v>0.0</v>
      </c>
      <c r="M807" s="15">
        <f>'[01_Entry.xlsx]Book'!M807</f>
        <v>0.0</v>
      </c>
      <c r="P807" s="56">
        <f>IF($A807="","",IFERROR(VALUE(MID($A807,6,2)),""))</f>
        <v/>
      </c>
    </row>
    <row r="808" spans="7:16">
      <c r="G808" s="15">
        <f>'[01_Entry.xlsx]Book'!G808</f>
        <v>0.0</v>
      </c>
      <c r="H808" s="15">
        <f>'[01_Entry.xlsx]Book'!H808</f>
        <v>0.0</v>
      </c>
      <c r="I808" s="15">
        <f>'[01_Entry.xlsx]Book'!I808</f>
        <v>0.0</v>
      </c>
      <c r="K808" s="15">
        <f>'[01_Entry.xlsx]Book'!K808</f>
        <v>0.0</v>
      </c>
      <c r="L808" s="15">
        <f>'[01_Entry.xlsx]Book'!L808</f>
        <v>0.0</v>
      </c>
      <c r="M808" s="15">
        <f>'[01_Entry.xlsx]Book'!M808</f>
        <v>0.0</v>
      </c>
      <c r="P808" s="56">
        <f>IF($A808="","",IFERROR(VALUE(MID($A808,6,2)),""))</f>
        <v/>
      </c>
    </row>
    <row r="809" spans="7:16">
      <c r="G809" s="15">
        <f>'[01_Entry.xlsx]Book'!G809</f>
        <v>0.0</v>
      </c>
      <c r="H809" s="15">
        <f>'[01_Entry.xlsx]Book'!H809</f>
        <v>0.0</v>
      </c>
      <c r="I809" s="15">
        <f>'[01_Entry.xlsx]Book'!I809</f>
        <v>0.0</v>
      </c>
      <c r="K809" s="15">
        <f>'[01_Entry.xlsx]Book'!K809</f>
        <v>0.0</v>
      </c>
      <c r="L809" s="15">
        <f>'[01_Entry.xlsx]Book'!L809</f>
        <v>0.0</v>
      </c>
      <c r="M809" s="15">
        <f>'[01_Entry.xlsx]Book'!M809</f>
        <v>0.0</v>
      </c>
      <c r="P809" s="56">
        <f>IF($A809="","",IFERROR(VALUE(MID($A809,6,2)),""))</f>
        <v/>
      </c>
    </row>
    <row r="810" spans="7:16">
      <c r="G810" s="15">
        <f>'[01_Entry.xlsx]Book'!G810</f>
        <v>0.0</v>
      </c>
      <c r="H810" s="15">
        <f>'[01_Entry.xlsx]Book'!H810</f>
        <v>0.0</v>
      </c>
      <c r="I810" s="15">
        <f>'[01_Entry.xlsx]Book'!I810</f>
        <v>0.0</v>
      </c>
      <c r="K810" s="15">
        <f>'[01_Entry.xlsx]Book'!K810</f>
        <v>0.0</v>
      </c>
      <c r="L810" s="15">
        <f>'[01_Entry.xlsx]Book'!L810</f>
        <v>0.0</v>
      </c>
      <c r="M810" s="15">
        <f>'[01_Entry.xlsx]Book'!M810</f>
        <v>0.0</v>
      </c>
      <c r="P810" s="56">
        <f>IF($A810="","",IFERROR(VALUE(MID($A810,6,2)),""))</f>
        <v/>
      </c>
    </row>
    <row r="811" spans="7:16">
      <c r="G811" s="15">
        <f>'[01_Entry.xlsx]Book'!G811</f>
        <v>0.0</v>
      </c>
      <c r="H811" s="15">
        <f>'[01_Entry.xlsx]Book'!H811</f>
        <v>0.0</v>
      </c>
      <c r="I811" s="15">
        <f>'[01_Entry.xlsx]Book'!I811</f>
        <v>0.0</v>
      </c>
      <c r="K811" s="15">
        <f>'[01_Entry.xlsx]Book'!K811</f>
        <v>0.0</v>
      </c>
      <c r="L811" s="15">
        <f>'[01_Entry.xlsx]Book'!L811</f>
        <v>0.0</v>
      </c>
      <c r="M811" s="15">
        <f>'[01_Entry.xlsx]Book'!M811</f>
        <v>0.0</v>
      </c>
      <c r="P811" s="56">
        <f>IF($A811="","",IFERROR(VALUE(MID($A811,6,2)),""))</f>
        <v/>
      </c>
    </row>
    <row r="812" spans="7:16">
      <c r="G812" s="15">
        <f>'[01_Entry.xlsx]Book'!G812</f>
        <v>0.0</v>
      </c>
      <c r="H812" s="15">
        <f>'[01_Entry.xlsx]Book'!H812</f>
        <v>0.0</v>
      </c>
      <c r="I812" s="15">
        <f>'[01_Entry.xlsx]Book'!I812</f>
        <v>0.0</v>
      </c>
      <c r="K812" s="15">
        <f>'[01_Entry.xlsx]Book'!K812</f>
        <v>0.0</v>
      </c>
      <c r="L812" s="15">
        <f>'[01_Entry.xlsx]Book'!L812</f>
        <v>0.0</v>
      </c>
      <c r="M812" s="15">
        <f>'[01_Entry.xlsx]Book'!M812</f>
        <v>0.0</v>
      </c>
      <c r="P812" s="56">
        <f>IF($A812="","",IFERROR(VALUE(MID($A812,6,2)),""))</f>
        <v/>
      </c>
    </row>
    <row r="813" spans="7:16">
      <c r="G813" s="15">
        <f>'[01_Entry.xlsx]Book'!G813</f>
        <v>0.0</v>
      </c>
      <c r="H813" s="15">
        <f>'[01_Entry.xlsx]Book'!H813</f>
        <v>0.0</v>
      </c>
      <c r="I813" s="15">
        <f>'[01_Entry.xlsx]Book'!I813</f>
        <v>0.0</v>
      </c>
      <c r="K813" s="15">
        <f>'[01_Entry.xlsx]Book'!K813</f>
        <v>0.0</v>
      </c>
      <c r="L813" s="15">
        <f>'[01_Entry.xlsx]Book'!L813</f>
        <v>0.0</v>
      </c>
      <c r="M813" s="15">
        <f>'[01_Entry.xlsx]Book'!M813</f>
        <v>0.0</v>
      </c>
      <c r="P813" s="56">
        <f>IF($A813="","",IFERROR(VALUE(MID($A813,6,2)),""))</f>
        <v/>
      </c>
    </row>
    <row r="814" spans="7:16">
      <c r="G814" s="15">
        <f>'[01_Entry.xlsx]Book'!G814</f>
        <v>0.0</v>
      </c>
      <c r="H814" s="15">
        <f>'[01_Entry.xlsx]Book'!H814</f>
        <v>0.0</v>
      </c>
      <c r="I814" s="15">
        <f>'[01_Entry.xlsx]Book'!I814</f>
        <v>0.0</v>
      </c>
      <c r="K814" s="15">
        <f>'[01_Entry.xlsx]Book'!K814</f>
        <v>0.0</v>
      </c>
      <c r="L814" s="15">
        <f>'[01_Entry.xlsx]Book'!L814</f>
        <v>0.0</v>
      </c>
      <c r="M814" s="15">
        <f>'[01_Entry.xlsx]Book'!M814</f>
        <v>0.0</v>
      </c>
      <c r="P814" s="56">
        <f>IF($A814="","",IFERROR(VALUE(MID($A814,6,2)),""))</f>
        <v/>
      </c>
    </row>
    <row r="815" spans="7:16">
      <c r="G815" s="15">
        <f>'[01_Entry.xlsx]Book'!G815</f>
        <v>0.0</v>
      </c>
      <c r="H815" s="15">
        <f>'[01_Entry.xlsx]Book'!H815</f>
        <v>0.0</v>
      </c>
      <c r="I815" s="15">
        <f>'[01_Entry.xlsx]Book'!I815</f>
        <v>0.0</v>
      </c>
      <c r="K815" s="15">
        <f>'[01_Entry.xlsx]Book'!K815</f>
        <v>0.0</v>
      </c>
      <c r="L815" s="15">
        <f>'[01_Entry.xlsx]Book'!L815</f>
        <v>0.0</v>
      </c>
      <c r="M815" s="15">
        <f>'[01_Entry.xlsx]Book'!M815</f>
        <v>0.0</v>
      </c>
      <c r="P815" s="56">
        <f>IF($A815="","",IFERROR(VALUE(MID($A815,6,2)),""))</f>
        <v/>
      </c>
    </row>
    <row r="816" spans="7:16">
      <c r="G816" s="15">
        <f>'[01_Entry.xlsx]Book'!G816</f>
        <v>0.0</v>
      </c>
      <c r="H816" s="15">
        <f>'[01_Entry.xlsx]Book'!H816</f>
        <v>0.0</v>
      </c>
      <c r="I816" s="15">
        <f>'[01_Entry.xlsx]Book'!I816</f>
        <v>0.0</v>
      </c>
      <c r="K816" s="15">
        <f>'[01_Entry.xlsx]Book'!K816</f>
        <v>0.0</v>
      </c>
      <c r="L816" s="15">
        <f>'[01_Entry.xlsx]Book'!L816</f>
        <v>0.0</v>
      </c>
      <c r="M816" s="15">
        <f>'[01_Entry.xlsx]Book'!M816</f>
        <v>0.0</v>
      </c>
      <c r="P816" s="56">
        <f>IF($A816="","",IFERROR(VALUE(MID($A816,6,2)),""))</f>
        <v/>
      </c>
    </row>
    <row r="817" spans="7:16">
      <c r="G817" s="15">
        <f>'[01_Entry.xlsx]Book'!G817</f>
        <v>0.0</v>
      </c>
      <c r="H817" s="15">
        <f>'[01_Entry.xlsx]Book'!H817</f>
        <v>0.0</v>
      </c>
      <c r="I817" s="15">
        <f>'[01_Entry.xlsx]Book'!I817</f>
        <v>0.0</v>
      </c>
      <c r="K817" s="15">
        <f>'[01_Entry.xlsx]Book'!K817</f>
        <v>0.0</v>
      </c>
      <c r="L817" s="15">
        <f>'[01_Entry.xlsx]Book'!L817</f>
        <v>0.0</v>
      </c>
      <c r="M817" s="15">
        <f>'[01_Entry.xlsx]Book'!M817</f>
        <v>0.0</v>
      </c>
      <c r="P817" s="56">
        <f>IF($A817="","",IFERROR(VALUE(MID($A817,6,2)),""))</f>
        <v/>
      </c>
    </row>
    <row r="818" spans="7:16">
      <c r="G818" s="15">
        <f>'[01_Entry.xlsx]Book'!G818</f>
        <v>0.0</v>
      </c>
      <c r="H818" s="15">
        <f>'[01_Entry.xlsx]Book'!H818</f>
        <v>0.0</v>
      </c>
      <c r="I818" s="15">
        <f>'[01_Entry.xlsx]Book'!I818</f>
        <v>0.0</v>
      </c>
      <c r="K818" s="15">
        <f>'[01_Entry.xlsx]Book'!K818</f>
        <v>0.0</v>
      </c>
      <c r="L818" s="15">
        <f>'[01_Entry.xlsx]Book'!L818</f>
        <v>0.0</v>
      </c>
      <c r="M818" s="15">
        <f>'[01_Entry.xlsx]Book'!M818</f>
        <v>0.0</v>
      </c>
      <c r="P818" s="56">
        <f>IF($A818="","",IFERROR(VALUE(MID($A818,6,2)),""))</f>
        <v/>
      </c>
    </row>
    <row r="819" spans="7:16">
      <c r="G819" s="15">
        <f>'[01_Entry.xlsx]Book'!G819</f>
        <v>0.0</v>
      </c>
      <c r="H819" s="15">
        <f>'[01_Entry.xlsx]Book'!H819</f>
        <v>0.0</v>
      </c>
      <c r="I819" s="15">
        <f>'[01_Entry.xlsx]Book'!I819</f>
        <v>0.0</v>
      </c>
      <c r="K819" s="15">
        <f>'[01_Entry.xlsx]Book'!K819</f>
        <v>0.0</v>
      </c>
      <c r="L819" s="15">
        <f>'[01_Entry.xlsx]Book'!L819</f>
        <v>0.0</v>
      </c>
      <c r="M819" s="15">
        <f>'[01_Entry.xlsx]Book'!M819</f>
        <v>0.0</v>
      </c>
      <c r="P819" s="56">
        <f>IF($A819="","",IFERROR(VALUE(MID($A819,6,2)),""))</f>
        <v/>
      </c>
    </row>
    <row r="820" spans="7:16">
      <c r="G820" s="15">
        <f>'[01_Entry.xlsx]Book'!G820</f>
        <v>0.0</v>
      </c>
      <c r="H820" s="15">
        <f>'[01_Entry.xlsx]Book'!H820</f>
        <v>0.0</v>
      </c>
      <c r="I820" s="15">
        <f>'[01_Entry.xlsx]Book'!I820</f>
        <v>0.0</v>
      </c>
      <c r="K820" s="15">
        <f>'[01_Entry.xlsx]Book'!K820</f>
        <v>0.0</v>
      </c>
      <c r="L820" s="15">
        <f>'[01_Entry.xlsx]Book'!L820</f>
        <v>0.0</v>
      </c>
      <c r="M820" s="15">
        <f>'[01_Entry.xlsx]Book'!M820</f>
        <v>0.0</v>
      </c>
      <c r="P820" s="56">
        <f>IF($A820="","",IFERROR(VALUE(MID($A820,6,2)),""))</f>
        <v/>
      </c>
    </row>
    <row r="821" spans="7:16">
      <c r="G821" s="15">
        <f>'[01_Entry.xlsx]Book'!G821</f>
        <v>0.0</v>
      </c>
      <c r="H821" s="15">
        <f>'[01_Entry.xlsx]Book'!H821</f>
        <v>0.0</v>
      </c>
      <c r="I821" s="15">
        <f>'[01_Entry.xlsx]Book'!I821</f>
        <v>0.0</v>
      </c>
      <c r="K821" s="15">
        <f>'[01_Entry.xlsx]Book'!K821</f>
        <v>0.0</v>
      </c>
      <c r="L821" s="15">
        <f>'[01_Entry.xlsx]Book'!L821</f>
        <v>0.0</v>
      </c>
      <c r="M821" s="15">
        <f>'[01_Entry.xlsx]Book'!M821</f>
        <v>0.0</v>
      </c>
      <c r="P821" s="56">
        <f>IF($A821="","",IFERROR(VALUE(MID($A821,6,2)),""))</f>
        <v/>
      </c>
    </row>
    <row r="822" spans="7:16">
      <c r="G822" s="15">
        <f>'[01_Entry.xlsx]Book'!G822</f>
        <v>0.0</v>
      </c>
      <c r="H822" s="15">
        <f>'[01_Entry.xlsx]Book'!H822</f>
        <v>0.0</v>
      </c>
      <c r="I822" s="15">
        <f>'[01_Entry.xlsx]Book'!I822</f>
        <v>0.0</v>
      </c>
      <c r="K822" s="15">
        <f>'[01_Entry.xlsx]Book'!K822</f>
        <v>0.0</v>
      </c>
      <c r="L822" s="15">
        <f>'[01_Entry.xlsx]Book'!L822</f>
        <v>0.0</v>
      </c>
      <c r="M822" s="15">
        <f>'[01_Entry.xlsx]Book'!M822</f>
        <v>0.0</v>
      </c>
      <c r="P822" s="56">
        <f>IF($A822="","",IFERROR(VALUE(MID($A822,6,2)),""))</f>
        <v/>
      </c>
    </row>
    <row r="823" spans="7:16">
      <c r="G823" s="15">
        <f>'[01_Entry.xlsx]Book'!G823</f>
        <v>0.0</v>
      </c>
      <c r="H823" s="15">
        <f>'[01_Entry.xlsx]Book'!H823</f>
        <v>0.0</v>
      </c>
      <c r="I823" s="15">
        <f>'[01_Entry.xlsx]Book'!I823</f>
        <v>0.0</v>
      </c>
      <c r="K823" s="15">
        <f>'[01_Entry.xlsx]Book'!K823</f>
        <v>0.0</v>
      </c>
      <c r="L823" s="15">
        <f>'[01_Entry.xlsx]Book'!L823</f>
        <v>0.0</v>
      </c>
      <c r="M823" s="15">
        <f>'[01_Entry.xlsx]Book'!M823</f>
        <v>0.0</v>
      </c>
      <c r="P823" s="56">
        <f>IF($A823="","",IFERROR(VALUE(MID($A823,6,2)),""))</f>
        <v/>
      </c>
    </row>
    <row r="824" spans="7:16">
      <c r="G824" s="15">
        <f>'[01_Entry.xlsx]Book'!G824</f>
        <v>0.0</v>
      </c>
      <c r="H824" s="15">
        <f>'[01_Entry.xlsx]Book'!H824</f>
        <v>0.0</v>
      </c>
      <c r="I824" s="15">
        <f>'[01_Entry.xlsx]Book'!I824</f>
        <v>0.0</v>
      </c>
      <c r="K824" s="15">
        <f>'[01_Entry.xlsx]Book'!K824</f>
        <v>0.0</v>
      </c>
      <c r="L824" s="15">
        <f>'[01_Entry.xlsx]Book'!L824</f>
        <v>0.0</v>
      </c>
      <c r="M824" s="15">
        <f>'[01_Entry.xlsx]Book'!M824</f>
        <v>0.0</v>
      </c>
      <c r="P824" s="56">
        <f>IF($A824="","",IFERROR(VALUE(MID($A824,6,2)),""))</f>
        <v/>
      </c>
    </row>
    <row r="825" spans="7:16">
      <c r="G825" s="15">
        <f>'[01_Entry.xlsx]Book'!G825</f>
        <v>0.0</v>
      </c>
      <c r="H825" s="15">
        <f>'[01_Entry.xlsx]Book'!H825</f>
        <v>0.0</v>
      </c>
      <c r="I825" s="15">
        <f>'[01_Entry.xlsx]Book'!I825</f>
        <v>0.0</v>
      </c>
      <c r="K825" s="15">
        <f>'[01_Entry.xlsx]Book'!K825</f>
        <v>0.0</v>
      </c>
      <c r="L825" s="15">
        <f>'[01_Entry.xlsx]Book'!L825</f>
        <v>0.0</v>
      </c>
      <c r="M825" s="15">
        <f>'[01_Entry.xlsx]Book'!M825</f>
        <v>0.0</v>
      </c>
      <c r="P825" s="56">
        <f>IF($A825="","",IFERROR(VALUE(MID($A825,6,2)),""))</f>
        <v/>
      </c>
    </row>
    <row r="826" spans="7:16">
      <c r="G826" s="15">
        <f>'[01_Entry.xlsx]Book'!G826</f>
        <v>0.0</v>
      </c>
      <c r="H826" s="15">
        <f>'[01_Entry.xlsx]Book'!H826</f>
        <v>0.0</v>
      </c>
      <c r="I826" s="15">
        <f>'[01_Entry.xlsx]Book'!I826</f>
        <v>0.0</v>
      </c>
      <c r="K826" s="15">
        <f>'[01_Entry.xlsx]Book'!K826</f>
        <v>0.0</v>
      </c>
      <c r="L826" s="15">
        <f>'[01_Entry.xlsx]Book'!L826</f>
        <v>0.0</v>
      </c>
      <c r="M826" s="15">
        <f>'[01_Entry.xlsx]Book'!M826</f>
        <v>0.0</v>
      </c>
      <c r="P826" s="56">
        <f>IF($A826="","",IFERROR(VALUE(MID($A826,6,2)),""))</f>
        <v/>
      </c>
    </row>
    <row r="827" spans="7:16">
      <c r="G827" s="15">
        <f>'[01_Entry.xlsx]Book'!G827</f>
        <v>0.0</v>
      </c>
      <c r="H827" s="15">
        <f>'[01_Entry.xlsx]Book'!H827</f>
        <v>0.0</v>
      </c>
      <c r="I827" s="15">
        <f>'[01_Entry.xlsx]Book'!I827</f>
        <v>0.0</v>
      </c>
      <c r="K827" s="15">
        <f>'[01_Entry.xlsx]Book'!K827</f>
        <v>0.0</v>
      </c>
      <c r="L827" s="15">
        <f>'[01_Entry.xlsx]Book'!L827</f>
        <v>0.0</v>
      </c>
      <c r="M827" s="15">
        <f>'[01_Entry.xlsx]Book'!M827</f>
        <v>0.0</v>
      </c>
      <c r="P827" s="56">
        <f>IF($A827="","",IFERROR(VALUE(MID($A827,6,2)),""))</f>
        <v/>
      </c>
    </row>
    <row r="828" spans="7:16">
      <c r="G828" s="15">
        <f>'[01_Entry.xlsx]Book'!G828</f>
        <v>0.0</v>
      </c>
      <c r="H828" s="15">
        <f>'[01_Entry.xlsx]Book'!H828</f>
        <v>0.0</v>
      </c>
      <c r="I828" s="15">
        <f>'[01_Entry.xlsx]Book'!I828</f>
        <v>0.0</v>
      </c>
      <c r="K828" s="15">
        <f>'[01_Entry.xlsx]Book'!K828</f>
        <v>0.0</v>
      </c>
      <c r="L828" s="15">
        <f>'[01_Entry.xlsx]Book'!L828</f>
        <v>0.0</v>
      </c>
      <c r="M828" s="15">
        <f>'[01_Entry.xlsx]Book'!M828</f>
        <v>0.0</v>
      </c>
      <c r="P828" s="56">
        <f>IF($A828="","",IFERROR(VALUE(MID($A828,6,2)),""))</f>
        <v/>
      </c>
    </row>
    <row r="829" spans="7:16">
      <c r="G829" s="15">
        <f>'[01_Entry.xlsx]Book'!G829</f>
        <v>0.0</v>
      </c>
      <c r="H829" s="15">
        <f>'[01_Entry.xlsx]Book'!H829</f>
        <v>0.0</v>
      </c>
      <c r="I829" s="15">
        <f>'[01_Entry.xlsx]Book'!I829</f>
        <v>0.0</v>
      </c>
      <c r="K829" s="15">
        <f>'[01_Entry.xlsx]Book'!K829</f>
        <v>0.0</v>
      </c>
      <c r="L829" s="15">
        <f>'[01_Entry.xlsx]Book'!L829</f>
        <v>0.0</v>
      </c>
      <c r="M829" s="15">
        <f>'[01_Entry.xlsx]Book'!M829</f>
        <v>0.0</v>
      </c>
      <c r="P829" s="56">
        <f>IF($A829="","",IFERROR(VALUE(MID($A829,6,2)),""))</f>
        <v/>
      </c>
    </row>
    <row r="830" spans="7:16">
      <c r="G830" s="15">
        <f>'[01_Entry.xlsx]Book'!G830</f>
        <v>0.0</v>
      </c>
      <c r="H830" s="15">
        <f>'[01_Entry.xlsx]Book'!H830</f>
        <v>0.0</v>
      </c>
      <c r="I830" s="15">
        <f>'[01_Entry.xlsx]Book'!I830</f>
        <v>0.0</v>
      </c>
      <c r="K830" s="15">
        <f>'[01_Entry.xlsx]Book'!K830</f>
        <v>0.0</v>
      </c>
      <c r="L830" s="15">
        <f>'[01_Entry.xlsx]Book'!L830</f>
        <v>0.0</v>
      </c>
      <c r="M830" s="15">
        <f>'[01_Entry.xlsx]Book'!M830</f>
        <v>0.0</v>
      </c>
      <c r="P830" s="56">
        <f>IF($A830="","",IFERROR(VALUE(MID($A830,6,2)),""))</f>
        <v/>
      </c>
    </row>
    <row r="831" spans="7:16">
      <c r="G831" s="15">
        <f>'[01_Entry.xlsx]Book'!G831</f>
        <v>0.0</v>
      </c>
      <c r="H831" s="15">
        <f>'[01_Entry.xlsx]Book'!H831</f>
        <v>0.0</v>
      </c>
      <c r="I831" s="15">
        <f>'[01_Entry.xlsx]Book'!I831</f>
        <v>0.0</v>
      </c>
      <c r="K831" s="15">
        <f>'[01_Entry.xlsx]Book'!K831</f>
        <v>0.0</v>
      </c>
      <c r="L831" s="15">
        <f>'[01_Entry.xlsx]Book'!L831</f>
        <v>0.0</v>
      </c>
      <c r="M831" s="15">
        <f>'[01_Entry.xlsx]Book'!M831</f>
        <v>0.0</v>
      </c>
      <c r="P831" s="56">
        <f>IF($A831="","",IFERROR(VALUE(MID($A831,6,2)),""))</f>
        <v/>
      </c>
    </row>
    <row r="832" spans="7:16">
      <c r="G832" s="15">
        <f>'[01_Entry.xlsx]Book'!G832</f>
        <v>0.0</v>
      </c>
      <c r="H832" s="15">
        <f>'[01_Entry.xlsx]Book'!H832</f>
        <v>0.0</v>
      </c>
      <c r="I832" s="15">
        <f>'[01_Entry.xlsx]Book'!I832</f>
        <v>0.0</v>
      </c>
      <c r="K832" s="15">
        <f>'[01_Entry.xlsx]Book'!K832</f>
        <v>0.0</v>
      </c>
      <c r="L832" s="15">
        <f>'[01_Entry.xlsx]Book'!L832</f>
        <v>0.0</v>
      </c>
      <c r="M832" s="15">
        <f>'[01_Entry.xlsx]Book'!M832</f>
        <v>0.0</v>
      </c>
      <c r="P832" s="56">
        <f>IF($A832="","",IFERROR(VALUE(MID($A832,6,2)),""))</f>
        <v/>
      </c>
    </row>
    <row r="833" spans="7:16">
      <c r="G833" s="15">
        <f>'[01_Entry.xlsx]Book'!G833</f>
        <v>0.0</v>
      </c>
      <c r="H833" s="15">
        <f>'[01_Entry.xlsx]Book'!H833</f>
        <v>0.0</v>
      </c>
      <c r="I833" s="15">
        <f>'[01_Entry.xlsx]Book'!I833</f>
        <v>0.0</v>
      </c>
      <c r="K833" s="15">
        <f>'[01_Entry.xlsx]Book'!K833</f>
        <v>0.0</v>
      </c>
      <c r="L833" s="15">
        <f>'[01_Entry.xlsx]Book'!L833</f>
        <v>0.0</v>
      </c>
      <c r="M833" s="15">
        <f>'[01_Entry.xlsx]Book'!M833</f>
        <v>0.0</v>
      </c>
      <c r="P833" s="56">
        <f>IF($A833="","",IFERROR(VALUE(MID($A833,6,2)),""))</f>
        <v/>
      </c>
    </row>
    <row r="834" spans="7:16">
      <c r="G834" s="15">
        <f>'[01_Entry.xlsx]Book'!G834</f>
        <v>0.0</v>
      </c>
      <c r="H834" s="15">
        <f>'[01_Entry.xlsx]Book'!H834</f>
        <v>0.0</v>
      </c>
      <c r="I834" s="15">
        <f>'[01_Entry.xlsx]Book'!I834</f>
        <v>0.0</v>
      </c>
      <c r="K834" s="15">
        <f>'[01_Entry.xlsx]Book'!K834</f>
        <v>0.0</v>
      </c>
      <c r="L834" s="15">
        <f>'[01_Entry.xlsx]Book'!L834</f>
        <v>0.0</v>
      </c>
      <c r="M834" s="15">
        <f>'[01_Entry.xlsx]Book'!M834</f>
        <v>0.0</v>
      </c>
      <c r="P834" s="56">
        <f>IF($A834="","",IFERROR(VALUE(MID($A834,6,2)),""))</f>
        <v/>
      </c>
    </row>
    <row r="835" spans="7:16">
      <c r="G835" s="15">
        <f>'[01_Entry.xlsx]Book'!G835</f>
        <v>0.0</v>
      </c>
      <c r="H835" s="15">
        <f>'[01_Entry.xlsx]Book'!H835</f>
        <v>0.0</v>
      </c>
      <c r="I835" s="15">
        <f>'[01_Entry.xlsx]Book'!I835</f>
        <v>0.0</v>
      </c>
      <c r="K835" s="15">
        <f>'[01_Entry.xlsx]Book'!K835</f>
        <v>0.0</v>
      </c>
      <c r="L835" s="15">
        <f>'[01_Entry.xlsx]Book'!L835</f>
        <v>0.0</v>
      </c>
      <c r="M835" s="15">
        <f>'[01_Entry.xlsx]Book'!M835</f>
        <v>0.0</v>
      </c>
      <c r="P835" s="56">
        <f>IF($A835="","",IFERROR(VALUE(MID($A835,6,2)),""))</f>
        <v/>
      </c>
    </row>
    <row r="836" spans="7:16">
      <c r="G836" s="15">
        <f>'[01_Entry.xlsx]Book'!G836</f>
        <v>0.0</v>
      </c>
      <c r="H836" s="15">
        <f>'[01_Entry.xlsx]Book'!H836</f>
        <v>0.0</v>
      </c>
      <c r="I836" s="15">
        <f>'[01_Entry.xlsx]Book'!I836</f>
        <v>0.0</v>
      </c>
      <c r="K836" s="15">
        <f>'[01_Entry.xlsx]Book'!K836</f>
        <v>0.0</v>
      </c>
      <c r="L836" s="15">
        <f>'[01_Entry.xlsx]Book'!L836</f>
        <v>0.0</v>
      </c>
      <c r="M836" s="15">
        <f>'[01_Entry.xlsx]Book'!M836</f>
        <v>0.0</v>
      </c>
      <c r="P836" s="56">
        <f>IF($A836="","",IFERROR(VALUE(MID($A836,6,2)),""))</f>
        <v/>
      </c>
    </row>
    <row r="837" spans="7:16">
      <c r="G837" s="15">
        <f>'[01_Entry.xlsx]Book'!G837</f>
        <v>0.0</v>
      </c>
      <c r="H837" s="15">
        <f>'[01_Entry.xlsx]Book'!H837</f>
        <v>0.0</v>
      </c>
      <c r="I837" s="15">
        <f>'[01_Entry.xlsx]Book'!I837</f>
        <v>0.0</v>
      </c>
      <c r="K837" s="15">
        <f>'[01_Entry.xlsx]Book'!K837</f>
        <v>0.0</v>
      </c>
      <c r="L837" s="15">
        <f>'[01_Entry.xlsx]Book'!L837</f>
        <v>0.0</v>
      </c>
      <c r="M837" s="15">
        <f>'[01_Entry.xlsx]Book'!M837</f>
        <v>0.0</v>
      </c>
      <c r="P837" s="56">
        <f>IF($A837="","",IFERROR(VALUE(MID($A837,6,2)),""))</f>
        <v/>
      </c>
    </row>
    <row r="838" spans="7:16">
      <c r="G838" s="15">
        <f>'[01_Entry.xlsx]Book'!G838</f>
        <v>0.0</v>
      </c>
      <c r="H838" s="15">
        <f>'[01_Entry.xlsx]Book'!H838</f>
        <v>0.0</v>
      </c>
      <c r="I838" s="15">
        <f>'[01_Entry.xlsx]Book'!I838</f>
        <v>0.0</v>
      </c>
      <c r="K838" s="15">
        <f>'[01_Entry.xlsx]Book'!K838</f>
        <v>0.0</v>
      </c>
      <c r="L838" s="15">
        <f>'[01_Entry.xlsx]Book'!L838</f>
        <v>0.0</v>
      </c>
      <c r="M838" s="15">
        <f>'[01_Entry.xlsx]Book'!M838</f>
        <v>0.0</v>
      </c>
      <c r="P838" s="56">
        <f>IF($A838="","",IFERROR(VALUE(MID($A838,6,2)),""))</f>
        <v/>
      </c>
    </row>
    <row r="839" spans="7:16">
      <c r="G839" s="15">
        <f>'[01_Entry.xlsx]Book'!G839</f>
        <v>0.0</v>
      </c>
      <c r="H839" s="15">
        <f>'[01_Entry.xlsx]Book'!H839</f>
        <v>0.0</v>
      </c>
      <c r="I839" s="15">
        <f>'[01_Entry.xlsx]Book'!I839</f>
        <v>0.0</v>
      </c>
      <c r="K839" s="15">
        <f>'[01_Entry.xlsx]Book'!K839</f>
        <v>0.0</v>
      </c>
      <c r="L839" s="15">
        <f>'[01_Entry.xlsx]Book'!L839</f>
        <v>0.0</v>
      </c>
      <c r="M839" s="15">
        <f>'[01_Entry.xlsx]Book'!M839</f>
        <v>0.0</v>
      </c>
      <c r="P839" s="56">
        <f>IF($A839="","",IFERROR(VALUE(MID($A839,6,2)),""))</f>
        <v/>
      </c>
    </row>
    <row r="840" spans="7:16">
      <c r="G840" s="15">
        <f>'[01_Entry.xlsx]Book'!G840</f>
        <v>0.0</v>
      </c>
      <c r="H840" s="15">
        <f>'[01_Entry.xlsx]Book'!H840</f>
        <v>0.0</v>
      </c>
      <c r="I840" s="15">
        <f>'[01_Entry.xlsx]Book'!I840</f>
        <v>0.0</v>
      </c>
      <c r="K840" s="15">
        <f>'[01_Entry.xlsx]Book'!K840</f>
        <v>0.0</v>
      </c>
      <c r="L840" s="15">
        <f>'[01_Entry.xlsx]Book'!L840</f>
        <v>0.0</v>
      </c>
      <c r="M840" s="15">
        <f>'[01_Entry.xlsx]Book'!M840</f>
        <v>0.0</v>
      </c>
      <c r="P840" s="56">
        <f>IF($A840="","",IFERROR(VALUE(MID($A840,6,2)),""))</f>
        <v/>
      </c>
    </row>
    <row r="841" spans="7:16">
      <c r="G841" s="15">
        <f>'[01_Entry.xlsx]Book'!G841</f>
        <v>0.0</v>
      </c>
      <c r="H841" s="15">
        <f>'[01_Entry.xlsx]Book'!H841</f>
        <v>0.0</v>
      </c>
      <c r="I841" s="15">
        <f>'[01_Entry.xlsx]Book'!I841</f>
        <v>0.0</v>
      </c>
      <c r="K841" s="15">
        <f>'[01_Entry.xlsx]Book'!K841</f>
        <v>0.0</v>
      </c>
      <c r="L841" s="15">
        <f>'[01_Entry.xlsx]Book'!L841</f>
        <v>0.0</v>
      </c>
      <c r="M841" s="15">
        <f>'[01_Entry.xlsx]Book'!M841</f>
        <v>0.0</v>
      </c>
      <c r="P841" s="56">
        <f>IF($A841="","",IFERROR(VALUE(MID($A841,6,2)),""))</f>
        <v/>
      </c>
    </row>
    <row r="842" spans="7:16">
      <c r="G842" s="15">
        <f>'[01_Entry.xlsx]Book'!G842</f>
        <v>0.0</v>
      </c>
      <c r="H842" s="15">
        <f>'[01_Entry.xlsx]Book'!H842</f>
        <v>0.0</v>
      </c>
      <c r="I842" s="15">
        <f>'[01_Entry.xlsx]Book'!I842</f>
        <v>0.0</v>
      </c>
      <c r="K842" s="15">
        <f>'[01_Entry.xlsx]Book'!K842</f>
        <v>0.0</v>
      </c>
      <c r="L842" s="15">
        <f>'[01_Entry.xlsx]Book'!L842</f>
        <v>0.0</v>
      </c>
      <c r="M842" s="15">
        <f>'[01_Entry.xlsx]Book'!M842</f>
        <v>0.0</v>
      </c>
      <c r="P842" s="56">
        <f>IF($A842="","",IFERROR(VALUE(MID($A842,6,2)),""))</f>
        <v/>
      </c>
    </row>
    <row r="843" spans="7:16">
      <c r="G843" s="15">
        <f>'[01_Entry.xlsx]Book'!G843</f>
        <v>0.0</v>
      </c>
      <c r="H843" s="15">
        <f>'[01_Entry.xlsx]Book'!H843</f>
        <v>0.0</v>
      </c>
      <c r="I843" s="15">
        <f>'[01_Entry.xlsx]Book'!I843</f>
        <v>0.0</v>
      </c>
      <c r="K843" s="15">
        <f>'[01_Entry.xlsx]Book'!K843</f>
        <v>0.0</v>
      </c>
      <c r="L843" s="15">
        <f>'[01_Entry.xlsx]Book'!L843</f>
        <v>0.0</v>
      </c>
      <c r="M843" s="15">
        <f>'[01_Entry.xlsx]Book'!M843</f>
        <v>0.0</v>
      </c>
      <c r="P843" s="56">
        <f>IF($A843="","",IFERROR(VALUE(MID($A843,6,2)),""))</f>
        <v/>
      </c>
    </row>
    <row r="844" spans="7:16">
      <c r="G844" s="15">
        <f>'[01_Entry.xlsx]Book'!G844</f>
        <v>0.0</v>
      </c>
      <c r="H844" s="15">
        <f>'[01_Entry.xlsx]Book'!H844</f>
        <v>0.0</v>
      </c>
      <c r="I844" s="15">
        <f>'[01_Entry.xlsx]Book'!I844</f>
        <v>0.0</v>
      </c>
      <c r="K844" s="15">
        <f>'[01_Entry.xlsx]Book'!K844</f>
        <v>0.0</v>
      </c>
      <c r="L844" s="15">
        <f>'[01_Entry.xlsx]Book'!L844</f>
        <v>0.0</v>
      </c>
      <c r="M844" s="15">
        <f>'[01_Entry.xlsx]Book'!M844</f>
        <v>0.0</v>
      </c>
      <c r="P844" s="56">
        <f>IF($A844="","",IFERROR(VALUE(MID($A844,6,2)),""))</f>
        <v/>
      </c>
    </row>
    <row r="845" spans="7:16">
      <c r="G845" s="15">
        <f>'[01_Entry.xlsx]Book'!G845</f>
        <v>0.0</v>
      </c>
      <c r="H845" s="15">
        <f>'[01_Entry.xlsx]Book'!H845</f>
        <v>0.0</v>
      </c>
      <c r="I845" s="15">
        <f>'[01_Entry.xlsx]Book'!I845</f>
        <v>0.0</v>
      </c>
      <c r="K845" s="15">
        <f>'[01_Entry.xlsx]Book'!K845</f>
        <v>0.0</v>
      </c>
      <c r="L845" s="15">
        <f>'[01_Entry.xlsx]Book'!L845</f>
        <v>0.0</v>
      </c>
      <c r="M845" s="15">
        <f>'[01_Entry.xlsx]Book'!M845</f>
        <v>0.0</v>
      </c>
      <c r="P845" s="56">
        <f>IF($A845="","",IFERROR(VALUE(MID($A845,6,2)),""))</f>
        <v/>
      </c>
    </row>
    <row r="846" spans="7:16">
      <c r="G846" s="15">
        <f>'[01_Entry.xlsx]Book'!G846</f>
        <v>0.0</v>
      </c>
      <c r="H846" s="15">
        <f>'[01_Entry.xlsx]Book'!H846</f>
        <v>0.0</v>
      </c>
      <c r="I846" s="15">
        <f>'[01_Entry.xlsx]Book'!I846</f>
        <v>0.0</v>
      </c>
      <c r="K846" s="15">
        <f>'[01_Entry.xlsx]Book'!K846</f>
        <v>0.0</v>
      </c>
      <c r="L846" s="15">
        <f>'[01_Entry.xlsx]Book'!L846</f>
        <v>0.0</v>
      </c>
      <c r="M846" s="15">
        <f>'[01_Entry.xlsx]Book'!M846</f>
        <v>0.0</v>
      </c>
      <c r="P846" s="56">
        <f>IF($A846="","",IFERROR(VALUE(MID($A846,6,2)),""))</f>
        <v/>
      </c>
    </row>
    <row r="847" spans="7:16">
      <c r="G847" s="15">
        <f>'[01_Entry.xlsx]Book'!G847</f>
        <v>0.0</v>
      </c>
      <c r="H847" s="15">
        <f>'[01_Entry.xlsx]Book'!H847</f>
        <v>0.0</v>
      </c>
      <c r="I847" s="15">
        <f>'[01_Entry.xlsx]Book'!I847</f>
        <v>0.0</v>
      </c>
      <c r="K847" s="15">
        <f>'[01_Entry.xlsx]Book'!K847</f>
        <v>0.0</v>
      </c>
      <c r="L847" s="15">
        <f>'[01_Entry.xlsx]Book'!L847</f>
        <v>0.0</v>
      </c>
      <c r="M847" s="15">
        <f>'[01_Entry.xlsx]Book'!M847</f>
        <v>0.0</v>
      </c>
      <c r="P847" s="56">
        <f>IF($A847="","",IFERROR(VALUE(MID($A847,6,2)),""))</f>
        <v/>
      </c>
    </row>
    <row r="848" spans="7:16">
      <c r="G848" s="15">
        <f>'[01_Entry.xlsx]Book'!G848</f>
        <v>0.0</v>
      </c>
      <c r="H848" s="15">
        <f>'[01_Entry.xlsx]Book'!H848</f>
        <v>0.0</v>
      </c>
      <c r="I848" s="15">
        <f>'[01_Entry.xlsx]Book'!I848</f>
        <v>0.0</v>
      </c>
      <c r="K848" s="15">
        <f>'[01_Entry.xlsx]Book'!K848</f>
        <v>0.0</v>
      </c>
      <c r="L848" s="15">
        <f>'[01_Entry.xlsx]Book'!L848</f>
        <v>0.0</v>
      </c>
      <c r="M848" s="15">
        <f>'[01_Entry.xlsx]Book'!M848</f>
        <v>0.0</v>
      </c>
      <c r="P848" s="56">
        <f>IF($A848="","",IFERROR(VALUE(MID($A848,6,2)),""))</f>
        <v/>
      </c>
    </row>
    <row r="849" spans="7:16">
      <c r="G849" s="15">
        <f>'[01_Entry.xlsx]Book'!G849</f>
        <v>0.0</v>
      </c>
      <c r="H849" s="15">
        <f>'[01_Entry.xlsx]Book'!H849</f>
        <v>0.0</v>
      </c>
      <c r="I849" s="15">
        <f>'[01_Entry.xlsx]Book'!I849</f>
        <v>0.0</v>
      </c>
      <c r="K849" s="15">
        <f>'[01_Entry.xlsx]Book'!K849</f>
        <v>0.0</v>
      </c>
      <c r="L849" s="15">
        <f>'[01_Entry.xlsx]Book'!L849</f>
        <v>0.0</v>
      </c>
      <c r="M849" s="15">
        <f>'[01_Entry.xlsx]Book'!M849</f>
        <v>0.0</v>
      </c>
      <c r="P849" s="56">
        <f>IF($A849="","",IFERROR(VALUE(MID($A849,6,2)),""))</f>
        <v/>
      </c>
    </row>
    <row r="850" spans="7:16">
      <c r="G850" s="15">
        <f>'[01_Entry.xlsx]Book'!G850</f>
        <v>0.0</v>
      </c>
      <c r="H850" s="15">
        <f>'[01_Entry.xlsx]Book'!H850</f>
        <v>0.0</v>
      </c>
      <c r="I850" s="15">
        <f>'[01_Entry.xlsx]Book'!I850</f>
        <v>0.0</v>
      </c>
      <c r="K850" s="15">
        <f>'[01_Entry.xlsx]Book'!K850</f>
        <v>0.0</v>
      </c>
      <c r="L850" s="15">
        <f>'[01_Entry.xlsx]Book'!L850</f>
        <v>0.0</v>
      </c>
      <c r="M850" s="15">
        <f>'[01_Entry.xlsx]Book'!M850</f>
        <v>0.0</v>
      </c>
      <c r="P850" s="56">
        <f>IF($A850="","",IFERROR(VALUE(MID($A850,6,2)),""))</f>
        <v/>
      </c>
    </row>
    <row r="851" spans="7:16">
      <c r="G851" s="15">
        <f>'[01_Entry.xlsx]Book'!G851</f>
        <v>0.0</v>
      </c>
      <c r="H851" s="15">
        <f>'[01_Entry.xlsx]Book'!H851</f>
        <v>0.0</v>
      </c>
      <c r="I851" s="15">
        <f>'[01_Entry.xlsx]Book'!I851</f>
        <v>0.0</v>
      </c>
      <c r="K851" s="15">
        <f>'[01_Entry.xlsx]Book'!K851</f>
        <v>0.0</v>
      </c>
      <c r="L851" s="15">
        <f>'[01_Entry.xlsx]Book'!L851</f>
        <v>0.0</v>
      </c>
      <c r="M851" s="15">
        <f>'[01_Entry.xlsx]Book'!M851</f>
        <v>0.0</v>
      </c>
      <c r="P851" s="56">
        <f>IF($A851="","",IFERROR(VALUE(MID($A851,6,2)),""))</f>
        <v/>
      </c>
    </row>
    <row r="852" spans="7:16">
      <c r="G852" s="15">
        <f>'[01_Entry.xlsx]Book'!G852</f>
        <v>0.0</v>
      </c>
      <c r="H852" s="15">
        <f>'[01_Entry.xlsx]Book'!H852</f>
        <v>0.0</v>
      </c>
      <c r="I852" s="15">
        <f>'[01_Entry.xlsx]Book'!I852</f>
        <v>0.0</v>
      </c>
      <c r="K852" s="15">
        <f>'[01_Entry.xlsx]Book'!K852</f>
        <v>0.0</v>
      </c>
      <c r="L852" s="15">
        <f>'[01_Entry.xlsx]Book'!L852</f>
        <v>0.0</v>
      </c>
      <c r="M852" s="15">
        <f>'[01_Entry.xlsx]Book'!M852</f>
        <v>0.0</v>
      </c>
      <c r="P852" s="56">
        <f>IF($A852="","",IFERROR(VALUE(MID($A852,6,2)),""))</f>
        <v/>
      </c>
    </row>
    <row r="853" spans="7:16">
      <c r="G853" s="15">
        <f>'[01_Entry.xlsx]Book'!G853</f>
        <v>0.0</v>
      </c>
      <c r="H853" s="15">
        <f>'[01_Entry.xlsx]Book'!H853</f>
        <v>0.0</v>
      </c>
      <c r="I853" s="15">
        <f>'[01_Entry.xlsx]Book'!I853</f>
        <v>0.0</v>
      </c>
      <c r="K853" s="15">
        <f>'[01_Entry.xlsx]Book'!K853</f>
        <v>0.0</v>
      </c>
      <c r="L853" s="15">
        <f>'[01_Entry.xlsx]Book'!L853</f>
        <v>0.0</v>
      </c>
      <c r="M853" s="15">
        <f>'[01_Entry.xlsx]Book'!M853</f>
        <v>0.0</v>
      </c>
      <c r="P853" s="56">
        <f>IF($A853="","",IFERROR(VALUE(MID($A853,6,2)),""))</f>
        <v/>
      </c>
    </row>
    <row r="854" spans="7:16">
      <c r="G854" s="15">
        <f>'[01_Entry.xlsx]Book'!G854</f>
        <v>0.0</v>
      </c>
      <c r="H854" s="15">
        <f>'[01_Entry.xlsx]Book'!H854</f>
        <v>0.0</v>
      </c>
      <c r="I854" s="15">
        <f>'[01_Entry.xlsx]Book'!I854</f>
        <v>0.0</v>
      </c>
      <c r="K854" s="15">
        <f>'[01_Entry.xlsx]Book'!K854</f>
        <v>0.0</v>
      </c>
      <c r="L854" s="15">
        <f>'[01_Entry.xlsx]Book'!L854</f>
        <v>0.0</v>
      </c>
      <c r="M854" s="15">
        <f>'[01_Entry.xlsx]Book'!M854</f>
        <v>0.0</v>
      </c>
      <c r="P854" s="56">
        <f>IF($A854="","",IFERROR(VALUE(MID($A854,6,2)),""))</f>
        <v/>
      </c>
    </row>
    <row r="855" spans="7:16">
      <c r="G855" s="15">
        <f>'[01_Entry.xlsx]Book'!G855</f>
        <v>0.0</v>
      </c>
      <c r="H855" s="15">
        <f>'[01_Entry.xlsx]Book'!H855</f>
        <v>0.0</v>
      </c>
      <c r="I855" s="15">
        <f>'[01_Entry.xlsx]Book'!I855</f>
        <v>0.0</v>
      </c>
      <c r="K855" s="15">
        <f>'[01_Entry.xlsx]Book'!K855</f>
        <v>0.0</v>
      </c>
      <c r="L855" s="15">
        <f>'[01_Entry.xlsx]Book'!L855</f>
        <v>0.0</v>
      </c>
      <c r="M855" s="15">
        <f>'[01_Entry.xlsx]Book'!M855</f>
        <v>0.0</v>
      </c>
      <c r="P855" s="56">
        <f>IF($A855="","",IFERROR(VALUE(MID($A855,6,2)),""))</f>
        <v/>
      </c>
    </row>
    <row r="856" spans="7:16">
      <c r="G856" s="15">
        <f>'[01_Entry.xlsx]Book'!G856</f>
        <v>0.0</v>
      </c>
      <c r="H856" s="15">
        <f>'[01_Entry.xlsx]Book'!H856</f>
        <v>0.0</v>
      </c>
      <c r="I856" s="15">
        <f>'[01_Entry.xlsx]Book'!I856</f>
        <v>0.0</v>
      </c>
      <c r="K856" s="15">
        <f>'[01_Entry.xlsx]Book'!K856</f>
        <v>0.0</v>
      </c>
      <c r="L856" s="15">
        <f>'[01_Entry.xlsx]Book'!L856</f>
        <v>0.0</v>
      </c>
      <c r="M856" s="15">
        <f>'[01_Entry.xlsx]Book'!M856</f>
        <v>0.0</v>
      </c>
      <c r="P856" s="56">
        <f>IF($A856="","",IFERROR(VALUE(MID($A856,6,2)),""))</f>
        <v/>
      </c>
    </row>
    <row r="857" spans="7:16">
      <c r="G857" s="15">
        <f>'[01_Entry.xlsx]Book'!G857</f>
        <v>0.0</v>
      </c>
      <c r="H857" s="15">
        <f>'[01_Entry.xlsx]Book'!H857</f>
        <v>0.0</v>
      </c>
      <c r="I857" s="15">
        <f>'[01_Entry.xlsx]Book'!I857</f>
        <v>0.0</v>
      </c>
      <c r="K857" s="15">
        <f>'[01_Entry.xlsx]Book'!K857</f>
        <v>0.0</v>
      </c>
      <c r="L857" s="15">
        <f>'[01_Entry.xlsx]Book'!L857</f>
        <v>0.0</v>
      </c>
      <c r="M857" s="15">
        <f>'[01_Entry.xlsx]Book'!M857</f>
        <v>0.0</v>
      </c>
      <c r="P857" s="56">
        <f>IF($A857="","",IFERROR(VALUE(MID($A857,6,2)),""))</f>
        <v/>
      </c>
    </row>
    <row r="858" spans="7:16">
      <c r="G858" s="15">
        <f>'[01_Entry.xlsx]Book'!G858</f>
        <v>0.0</v>
      </c>
      <c r="H858" s="15">
        <f>'[01_Entry.xlsx]Book'!H858</f>
        <v>0.0</v>
      </c>
      <c r="I858" s="15">
        <f>'[01_Entry.xlsx]Book'!I858</f>
        <v>0.0</v>
      </c>
      <c r="K858" s="15">
        <f>'[01_Entry.xlsx]Book'!K858</f>
        <v>0.0</v>
      </c>
      <c r="L858" s="15">
        <f>'[01_Entry.xlsx]Book'!L858</f>
        <v>0.0</v>
      </c>
      <c r="M858" s="15">
        <f>'[01_Entry.xlsx]Book'!M858</f>
        <v>0.0</v>
      </c>
      <c r="P858" s="56">
        <f>IF($A858="","",IFERROR(VALUE(MID($A858,6,2)),""))</f>
        <v/>
      </c>
    </row>
    <row r="859" spans="7:16">
      <c r="G859" s="15">
        <f>'[01_Entry.xlsx]Book'!G859</f>
        <v>0.0</v>
      </c>
      <c r="H859" s="15">
        <f>'[01_Entry.xlsx]Book'!H859</f>
        <v>0.0</v>
      </c>
      <c r="I859" s="15">
        <f>'[01_Entry.xlsx]Book'!I859</f>
        <v>0.0</v>
      </c>
      <c r="K859" s="15">
        <f>'[01_Entry.xlsx]Book'!K859</f>
        <v>0.0</v>
      </c>
      <c r="L859" s="15">
        <f>'[01_Entry.xlsx]Book'!L859</f>
        <v>0.0</v>
      </c>
      <c r="M859" s="15">
        <f>'[01_Entry.xlsx]Book'!M859</f>
        <v>0.0</v>
      </c>
      <c r="P859" s="56">
        <f>IF($A859="","",IFERROR(VALUE(MID($A859,6,2)),""))</f>
        <v/>
      </c>
    </row>
    <row r="860" spans="7:16">
      <c r="G860" s="15">
        <f>'[01_Entry.xlsx]Book'!G860</f>
        <v>0.0</v>
      </c>
      <c r="H860" s="15">
        <f>'[01_Entry.xlsx]Book'!H860</f>
        <v>0.0</v>
      </c>
      <c r="I860" s="15">
        <f>'[01_Entry.xlsx]Book'!I860</f>
        <v>0.0</v>
      </c>
      <c r="K860" s="15">
        <f>'[01_Entry.xlsx]Book'!K860</f>
        <v>0.0</v>
      </c>
      <c r="L860" s="15">
        <f>'[01_Entry.xlsx]Book'!L860</f>
        <v>0.0</v>
      </c>
      <c r="M860" s="15">
        <f>'[01_Entry.xlsx]Book'!M860</f>
        <v>0.0</v>
      </c>
      <c r="P860" s="56">
        <f>IF($A860="","",IFERROR(VALUE(MID($A860,6,2)),""))</f>
        <v/>
      </c>
    </row>
    <row r="861" spans="7:16">
      <c r="G861" s="15">
        <f>'[01_Entry.xlsx]Book'!G861</f>
        <v>0.0</v>
      </c>
      <c r="H861" s="15">
        <f>'[01_Entry.xlsx]Book'!H861</f>
        <v>0.0</v>
      </c>
      <c r="I861" s="15">
        <f>'[01_Entry.xlsx]Book'!I861</f>
        <v>0.0</v>
      </c>
      <c r="K861" s="15">
        <f>'[01_Entry.xlsx]Book'!K861</f>
        <v>0.0</v>
      </c>
      <c r="L861" s="15">
        <f>'[01_Entry.xlsx]Book'!L861</f>
        <v>0.0</v>
      </c>
      <c r="M861" s="15">
        <f>'[01_Entry.xlsx]Book'!M861</f>
        <v>0.0</v>
      </c>
      <c r="P861" s="56">
        <f>IF($A861="","",IFERROR(VALUE(MID($A861,6,2)),""))</f>
        <v/>
      </c>
    </row>
    <row r="862" spans="7:16">
      <c r="G862" s="15">
        <f>'[01_Entry.xlsx]Book'!G862</f>
        <v>0.0</v>
      </c>
      <c r="H862" s="15">
        <f>'[01_Entry.xlsx]Book'!H862</f>
        <v>0.0</v>
      </c>
      <c r="I862" s="15">
        <f>'[01_Entry.xlsx]Book'!I862</f>
        <v>0.0</v>
      </c>
      <c r="K862" s="15">
        <f>'[01_Entry.xlsx]Book'!K862</f>
        <v>0.0</v>
      </c>
      <c r="L862" s="15">
        <f>'[01_Entry.xlsx]Book'!L862</f>
        <v>0.0</v>
      </c>
      <c r="M862" s="15">
        <f>'[01_Entry.xlsx]Book'!M862</f>
        <v>0.0</v>
      </c>
      <c r="P862" s="56">
        <f>IF($A862="","",IFERROR(VALUE(MID($A862,6,2)),""))</f>
        <v/>
      </c>
    </row>
    <row r="863" spans="7:16">
      <c r="G863" s="15">
        <f>'[01_Entry.xlsx]Book'!G863</f>
        <v>0.0</v>
      </c>
      <c r="H863" s="15">
        <f>'[01_Entry.xlsx]Book'!H863</f>
        <v>0.0</v>
      </c>
      <c r="I863" s="15">
        <f>'[01_Entry.xlsx]Book'!I863</f>
        <v>0.0</v>
      </c>
      <c r="K863" s="15">
        <f>'[01_Entry.xlsx]Book'!K863</f>
        <v>0.0</v>
      </c>
      <c r="L863" s="15">
        <f>'[01_Entry.xlsx]Book'!L863</f>
        <v>0.0</v>
      </c>
      <c r="M863" s="15">
        <f>'[01_Entry.xlsx]Book'!M863</f>
        <v>0.0</v>
      </c>
      <c r="P863" s="56">
        <f>IF($A863="","",IFERROR(VALUE(MID($A863,6,2)),""))</f>
        <v/>
      </c>
    </row>
    <row r="864" spans="7:16">
      <c r="G864" s="15">
        <f>'[01_Entry.xlsx]Book'!G864</f>
        <v>0.0</v>
      </c>
      <c r="H864" s="15">
        <f>'[01_Entry.xlsx]Book'!H864</f>
        <v>0.0</v>
      </c>
      <c r="I864" s="15">
        <f>'[01_Entry.xlsx]Book'!I864</f>
        <v>0.0</v>
      </c>
      <c r="K864" s="15">
        <f>'[01_Entry.xlsx]Book'!K864</f>
        <v>0.0</v>
      </c>
      <c r="L864" s="15">
        <f>'[01_Entry.xlsx]Book'!L864</f>
        <v>0.0</v>
      </c>
      <c r="M864" s="15">
        <f>'[01_Entry.xlsx]Book'!M864</f>
        <v>0.0</v>
      </c>
      <c r="P864" s="56">
        <f>IF($A864="","",IFERROR(VALUE(MID($A864,6,2)),""))</f>
        <v/>
      </c>
    </row>
    <row r="865" spans="7:16">
      <c r="G865" s="15">
        <f>'[01_Entry.xlsx]Book'!G865</f>
        <v>0.0</v>
      </c>
      <c r="H865" s="15">
        <f>'[01_Entry.xlsx]Book'!H865</f>
        <v>0.0</v>
      </c>
      <c r="I865" s="15">
        <f>'[01_Entry.xlsx]Book'!I865</f>
        <v>0.0</v>
      </c>
      <c r="K865" s="15">
        <f>'[01_Entry.xlsx]Book'!K865</f>
        <v>0.0</v>
      </c>
      <c r="L865" s="15">
        <f>'[01_Entry.xlsx]Book'!L865</f>
        <v>0.0</v>
      </c>
      <c r="M865" s="15">
        <f>'[01_Entry.xlsx]Book'!M865</f>
        <v>0.0</v>
      </c>
      <c r="P865" s="56">
        <f>IF($A865="","",IFERROR(VALUE(MID($A865,6,2)),""))</f>
        <v/>
      </c>
    </row>
    <row r="866" spans="7:16">
      <c r="G866" s="15">
        <f>'[01_Entry.xlsx]Book'!G866</f>
        <v>0.0</v>
      </c>
      <c r="H866" s="15">
        <f>'[01_Entry.xlsx]Book'!H866</f>
        <v>0.0</v>
      </c>
      <c r="I866" s="15">
        <f>'[01_Entry.xlsx]Book'!I866</f>
        <v>0.0</v>
      </c>
      <c r="K866" s="15">
        <f>'[01_Entry.xlsx]Book'!K866</f>
        <v>0.0</v>
      </c>
      <c r="L866" s="15">
        <f>'[01_Entry.xlsx]Book'!L866</f>
        <v>0.0</v>
      </c>
      <c r="M866" s="15">
        <f>'[01_Entry.xlsx]Book'!M866</f>
        <v>0.0</v>
      </c>
      <c r="P866" s="56">
        <f>IF($A866="","",IFERROR(VALUE(MID($A866,6,2)),""))</f>
        <v/>
      </c>
    </row>
    <row r="867" spans="7:16">
      <c r="G867" s="15">
        <f>'[01_Entry.xlsx]Book'!G867</f>
        <v>0.0</v>
      </c>
      <c r="H867" s="15">
        <f>'[01_Entry.xlsx]Book'!H867</f>
        <v>0.0</v>
      </c>
      <c r="I867" s="15">
        <f>'[01_Entry.xlsx]Book'!I867</f>
        <v>0.0</v>
      </c>
      <c r="K867" s="15">
        <f>'[01_Entry.xlsx]Book'!K867</f>
        <v>0.0</v>
      </c>
      <c r="L867" s="15">
        <f>'[01_Entry.xlsx]Book'!L867</f>
        <v>0.0</v>
      </c>
      <c r="M867" s="15">
        <f>'[01_Entry.xlsx]Book'!M867</f>
        <v>0.0</v>
      </c>
      <c r="P867" s="56">
        <f>IF($A867="","",IFERROR(VALUE(MID($A867,6,2)),""))</f>
        <v/>
      </c>
    </row>
    <row r="868" spans="7:16">
      <c r="G868" s="15">
        <f>'[01_Entry.xlsx]Book'!G868</f>
        <v>0.0</v>
      </c>
      <c r="H868" s="15">
        <f>'[01_Entry.xlsx]Book'!H868</f>
        <v>0.0</v>
      </c>
      <c r="I868" s="15">
        <f>'[01_Entry.xlsx]Book'!I868</f>
        <v>0.0</v>
      </c>
      <c r="K868" s="15">
        <f>'[01_Entry.xlsx]Book'!K868</f>
        <v>0.0</v>
      </c>
      <c r="L868" s="15">
        <f>'[01_Entry.xlsx]Book'!L868</f>
        <v>0.0</v>
      </c>
      <c r="M868" s="15">
        <f>'[01_Entry.xlsx]Book'!M868</f>
        <v>0.0</v>
      </c>
      <c r="P868" s="56">
        <f>IF($A868="","",IFERROR(VALUE(MID($A868,6,2)),""))</f>
        <v/>
      </c>
    </row>
    <row r="869" spans="7:16">
      <c r="G869" s="15">
        <f>'[01_Entry.xlsx]Book'!G869</f>
        <v>0.0</v>
      </c>
      <c r="H869" s="15">
        <f>'[01_Entry.xlsx]Book'!H869</f>
        <v>0.0</v>
      </c>
      <c r="I869" s="15">
        <f>'[01_Entry.xlsx]Book'!I869</f>
        <v>0.0</v>
      </c>
      <c r="K869" s="15">
        <f>'[01_Entry.xlsx]Book'!K869</f>
        <v>0.0</v>
      </c>
      <c r="L869" s="15">
        <f>'[01_Entry.xlsx]Book'!L869</f>
        <v>0.0</v>
      </c>
      <c r="M869" s="15">
        <f>'[01_Entry.xlsx]Book'!M869</f>
        <v>0.0</v>
      </c>
      <c r="P869" s="56">
        <f>IF($A869="","",IFERROR(VALUE(MID($A869,6,2)),""))</f>
        <v/>
      </c>
    </row>
    <row r="870" spans="7:16">
      <c r="G870" s="15">
        <f>'[01_Entry.xlsx]Book'!G870</f>
        <v>0.0</v>
      </c>
      <c r="H870" s="15">
        <f>'[01_Entry.xlsx]Book'!H870</f>
        <v>0.0</v>
      </c>
      <c r="I870" s="15">
        <f>'[01_Entry.xlsx]Book'!I870</f>
        <v>0.0</v>
      </c>
      <c r="K870" s="15">
        <f>'[01_Entry.xlsx]Book'!K870</f>
        <v>0.0</v>
      </c>
      <c r="L870" s="15">
        <f>'[01_Entry.xlsx]Book'!L870</f>
        <v>0.0</v>
      </c>
      <c r="M870" s="15">
        <f>'[01_Entry.xlsx]Book'!M870</f>
        <v>0.0</v>
      </c>
      <c r="P870" s="56">
        <f>IF($A870="","",IFERROR(VALUE(MID($A870,6,2)),""))</f>
        <v/>
      </c>
    </row>
    <row r="871" spans="7:16">
      <c r="G871" s="15">
        <f>'[01_Entry.xlsx]Book'!G871</f>
        <v>0.0</v>
      </c>
      <c r="H871" s="15">
        <f>'[01_Entry.xlsx]Book'!H871</f>
        <v>0.0</v>
      </c>
      <c r="I871" s="15">
        <f>'[01_Entry.xlsx]Book'!I871</f>
        <v>0.0</v>
      </c>
      <c r="K871" s="15">
        <f>'[01_Entry.xlsx]Book'!K871</f>
        <v>0.0</v>
      </c>
      <c r="L871" s="15">
        <f>'[01_Entry.xlsx]Book'!L871</f>
        <v>0.0</v>
      </c>
      <c r="M871" s="15">
        <f>'[01_Entry.xlsx]Book'!M871</f>
        <v>0.0</v>
      </c>
      <c r="P871" s="56">
        <f>IF($A871="","",IFERROR(VALUE(MID($A871,6,2)),""))</f>
        <v/>
      </c>
    </row>
    <row r="872" spans="7:16">
      <c r="G872" s="15">
        <f>'[01_Entry.xlsx]Book'!G872</f>
        <v>0.0</v>
      </c>
      <c r="H872" s="15">
        <f>'[01_Entry.xlsx]Book'!H872</f>
        <v>0.0</v>
      </c>
      <c r="I872" s="15">
        <f>'[01_Entry.xlsx]Book'!I872</f>
        <v>0.0</v>
      </c>
      <c r="K872" s="15">
        <f>'[01_Entry.xlsx]Book'!K872</f>
        <v>0.0</v>
      </c>
      <c r="L872" s="15">
        <f>'[01_Entry.xlsx]Book'!L872</f>
        <v>0.0</v>
      </c>
      <c r="M872" s="15">
        <f>'[01_Entry.xlsx]Book'!M872</f>
        <v>0.0</v>
      </c>
      <c r="P872" s="56">
        <f>IF($A872="","",IFERROR(VALUE(MID($A872,6,2)),""))</f>
        <v/>
      </c>
    </row>
    <row r="873" spans="7:16">
      <c r="G873" s="15">
        <f>'[01_Entry.xlsx]Book'!G873</f>
        <v>0.0</v>
      </c>
      <c r="H873" s="15">
        <f>'[01_Entry.xlsx]Book'!H873</f>
        <v>0.0</v>
      </c>
      <c r="I873" s="15">
        <f>'[01_Entry.xlsx]Book'!I873</f>
        <v>0.0</v>
      </c>
      <c r="K873" s="15">
        <f>'[01_Entry.xlsx]Book'!K873</f>
        <v>0.0</v>
      </c>
      <c r="L873" s="15">
        <f>'[01_Entry.xlsx]Book'!L873</f>
        <v>0.0</v>
      </c>
      <c r="M873" s="15">
        <f>'[01_Entry.xlsx]Book'!M873</f>
        <v>0.0</v>
      </c>
      <c r="P873" s="56">
        <f>IF($A873="","",IFERROR(VALUE(MID($A873,6,2)),""))</f>
        <v/>
      </c>
    </row>
    <row r="874" spans="7:16">
      <c r="G874" s="15">
        <f>'[01_Entry.xlsx]Book'!G874</f>
        <v>0.0</v>
      </c>
      <c r="H874" s="15">
        <f>'[01_Entry.xlsx]Book'!H874</f>
        <v>0.0</v>
      </c>
      <c r="I874" s="15">
        <f>'[01_Entry.xlsx]Book'!I874</f>
        <v>0.0</v>
      </c>
      <c r="K874" s="15">
        <f>'[01_Entry.xlsx]Book'!K874</f>
        <v>0.0</v>
      </c>
      <c r="L874" s="15">
        <f>'[01_Entry.xlsx]Book'!L874</f>
        <v>0.0</v>
      </c>
      <c r="M874" s="15">
        <f>'[01_Entry.xlsx]Book'!M874</f>
        <v>0.0</v>
      </c>
      <c r="P874" s="56">
        <f>IF($A874="","",IFERROR(VALUE(MID($A874,6,2)),""))</f>
        <v/>
      </c>
    </row>
    <row r="875" spans="7:16">
      <c r="G875" s="15">
        <f>'[01_Entry.xlsx]Book'!G875</f>
        <v>0.0</v>
      </c>
      <c r="H875" s="15">
        <f>'[01_Entry.xlsx]Book'!H875</f>
        <v>0.0</v>
      </c>
      <c r="I875" s="15">
        <f>'[01_Entry.xlsx]Book'!I875</f>
        <v>0.0</v>
      </c>
      <c r="K875" s="15">
        <f>'[01_Entry.xlsx]Book'!K875</f>
        <v>0.0</v>
      </c>
      <c r="L875" s="15">
        <f>'[01_Entry.xlsx]Book'!L875</f>
        <v>0.0</v>
      </c>
      <c r="M875" s="15">
        <f>'[01_Entry.xlsx]Book'!M875</f>
        <v>0.0</v>
      </c>
      <c r="P875" s="56">
        <f>IF($A875="","",IFERROR(VALUE(MID($A875,6,2)),""))</f>
        <v/>
      </c>
    </row>
    <row r="876" spans="7:16">
      <c r="G876" s="15">
        <f>'[01_Entry.xlsx]Book'!G876</f>
        <v>0.0</v>
      </c>
      <c r="H876" s="15">
        <f>'[01_Entry.xlsx]Book'!H876</f>
        <v>0.0</v>
      </c>
      <c r="I876" s="15">
        <f>'[01_Entry.xlsx]Book'!I876</f>
        <v>0.0</v>
      </c>
      <c r="K876" s="15">
        <f>'[01_Entry.xlsx]Book'!K876</f>
        <v>0.0</v>
      </c>
      <c r="L876" s="15">
        <f>'[01_Entry.xlsx]Book'!L876</f>
        <v>0.0</v>
      </c>
      <c r="M876" s="15">
        <f>'[01_Entry.xlsx]Book'!M876</f>
        <v>0.0</v>
      </c>
      <c r="P876" s="56">
        <f>IF($A876="","",IFERROR(VALUE(MID($A876,6,2)),""))</f>
        <v/>
      </c>
    </row>
    <row r="877" spans="7:16">
      <c r="G877" s="15">
        <f>'[01_Entry.xlsx]Book'!G877</f>
        <v>0.0</v>
      </c>
      <c r="H877" s="15">
        <f>'[01_Entry.xlsx]Book'!H877</f>
        <v>0.0</v>
      </c>
      <c r="I877" s="15">
        <f>'[01_Entry.xlsx]Book'!I877</f>
        <v>0.0</v>
      </c>
      <c r="K877" s="15">
        <f>'[01_Entry.xlsx]Book'!K877</f>
        <v>0.0</v>
      </c>
      <c r="L877" s="15">
        <f>'[01_Entry.xlsx]Book'!L877</f>
        <v>0.0</v>
      </c>
      <c r="M877" s="15">
        <f>'[01_Entry.xlsx]Book'!M877</f>
        <v>0.0</v>
      </c>
      <c r="P877" s="56">
        <f>IF($A877="","",IFERROR(VALUE(MID($A877,6,2)),""))</f>
        <v/>
      </c>
    </row>
    <row r="878" spans="7:16">
      <c r="G878" s="15">
        <f>'[01_Entry.xlsx]Book'!G878</f>
        <v>0.0</v>
      </c>
      <c r="H878" s="15">
        <f>'[01_Entry.xlsx]Book'!H878</f>
        <v>0.0</v>
      </c>
      <c r="I878" s="15">
        <f>'[01_Entry.xlsx]Book'!I878</f>
        <v>0.0</v>
      </c>
      <c r="K878" s="15">
        <f>'[01_Entry.xlsx]Book'!K878</f>
        <v>0.0</v>
      </c>
      <c r="L878" s="15">
        <f>'[01_Entry.xlsx]Book'!L878</f>
        <v>0.0</v>
      </c>
      <c r="M878" s="15">
        <f>'[01_Entry.xlsx]Book'!M878</f>
        <v>0.0</v>
      </c>
      <c r="P878" s="56">
        <f>IF($A878="","",IFERROR(VALUE(MID($A878,6,2)),""))</f>
        <v/>
      </c>
    </row>
    <row r="879" spans="7:16">
      <c r="G879" s="15">
        <f>'[01_Entry.xlsx]Book'!G879</f>
        <v>0.0</v>
      </c>
      <c r="H879" s="15">
        <f>'[01_Entry.xlsx]Book'!H879</f>
        <v>0.0</v>
      </c>
      <c r="I879" s="15">
        <f>'[01_Entry.xlsx]Book'!I879</f>
        <v>0.0</v>
      </c>
      <c r="K879" s="15">
        <f>'[01_Entry.xlsx]Book'!K879</f>
        <v>0.0</v>
      </c>
      <c r="L879" s="15">
        <f>'[01_Entry.xlsx]Book'!L879</f>
        <v>0.0</v>
      </c>
      <c r="M879" s="15">
        <f>'[01_Entry.xlsx]Book'!M879</f>
        <v>0.0</v>
      </c>
      <c r="P879" s="56">
        <f>IF($A879="","",IFERROR(VALUE(MID($A879,6,2)),""))</f>
        <v/>
      </c>
    </row>
    <row r="880" spans="7:16">
      <c r="G880" s="15">
        <f>'[01_Entry.xlsx]Book'!G880</f>
        <v>0.0</v>
      </c>
      <c r="H880" s="15">
        <f>'[01_Entry.xlsx]Book'!H880</f>
        <v>0.0</v>
      </c>
      <c r="I880" s="15">
        <f>'[01_Entry.xlsx]Book'!I880</f>
        <v>0.0</v>
      </c>
      <c r="K880" s="15">
        <f>'[01_Entry.xlsx]Book'!K880</f>
        <v>0.0</v>
      </c>
      <c r="L880" s="15">
        <f>'[01_Entry.xlsx]Book'!L880</f>
        <v>0.0</v>
      </c>
      <c r="M880" s="15">
        <f>'[01_Entry.xlsx]Book'!M880</f>
        <v>0.0</v>
      </c>
      <c r="P880" s="56">
        <f>IF($A880="","",IFERROR(VALUE(MID($A880,6,2)),""))</f>
        <v/>
      </c>
    </row>
    <row r="881" spans="7:16">
      <c r="G881" s="15">
        <f>'[01_Entry.xlsx]Book'!G881</f>
        <v>0.0</v>
      </c>
      <c r="H881" s="15">
        <f>'[01_Entry.xlsx]Book'!H881</f>
        <v>0.0</v>
      </c>
      <c r="I881" s="15">
        <f>'[01_Entry.xlsx]Book'!I881</f>
        <v>0.0</v>
      </c>
      <c r="K881" s="15">
        <f>'[01_Entry.xlsx]Book'!K881</f>
        <v>0.0</v>
      </c>
      <c r="L881" s="15">
        <f>'[01_Entry.xlsx]Book'!L881</f>
        <v>0.0</v>
      </c>
      <c r="M881" s="15">
        <f>'[01_Entry.xlsx]Book'!M881</f>
        <v>0.0</v>
      </c>
      <c r="P881" s="56">
        <f>IF($A881="","",IFERROR(VALUE(MID($A881,6,2)),""))</f>
        <v/>
      </c>
    </row>
    <row r="882" spans="7:16">
      <c r="G882" s="15">
        <f>'[01_Entry.xlsx]Book'!G882</f>
        <v>0.0</v>
      </c>
      <c r="H882" s="15">
        <f>'[01_Entry.xlsx]Book'!H882</f>
        <v>0.0</v>
      </c>
      <c r="I882" s="15">
        <f>'[01_Entry.xlsx]Book'!I882</f>
        <v>0.0</v>
      </c>
      <c r="K882" s="15">
        <f>'[01_Entry.xlsx]Book'!K882</f>
        <v>0.0</v>
      </c>
      <c r="L882" s="15">
        <f>'[01_Entry.xlsx]Book'!L882</f>
        <v>0.0</v>
      </c>
      <c r="M882" s="15">
        <f>'[01_Entry.xlsx]Book'!M882</f>
        <v>0.0</v>
      </c>
      <c r="P882" s="56">
        <f>IF($A882="","",IFERROR(VALUE(MID($A882,6,2)),""))</f>
        <v/>
      </c>
    </row>
    <row r="883" spans="7:16">
      <c r="G883" s="15">
        <f>'[01_Entry.xlsx]Book'!G883</f>
        <v>0.0</v>
      </c>
      <c r="H883" s="15">
        <f>'[01_Entry.xlsx]Book'!H883</f>
        <v>0.0</v>
      </c>
      <c r="I883" s="15">
        <f>'[01_Entry.xlsx]Book'!I883</f>
        <v>0.0</v>
      </c>
      <c r="K883" s="15">
        <f>'[01_Entry.xlsx]Book'!K883</f>
        <v>0.0</v>
      </c>
      <c r="L883" s="15">
        <f>'[01_Entry.xlsx]Book'!L883</f>
        <v>0.0</v>
      </c>
      <c r="M883" s="15">
        <f>'[01_Entry.xlsx]Book'!M883</f>
        <v>0.0</v>
      </c>
      <c r="P883" s="56">
        <f>IF($A883="","",IFERROR(VALUE(MID($A883,6,2)),""))</f>
        <v/>
      </c>
    </row>
    <row r="884" spans="7:16">
      <c r="G884" s="15">
        <f>'[01_Entry.xlsx]Book'!G884</f>
        <v>0.0</v>
      </c>
      <c r="H884" s="15">
        <f>'[01_Entry.xlsx]Book'!H884</f>
        <v>0.0</v>
      </c>
      <c r="I884" s="15">
        <f>'[01_Entry.xlsx]Book'!I884</f>
        <v>0.0</v>
      </c>
      <c r="K884" s="15">
        <f>'[01_Entry.xlsx]Book'!K884</f>
        <v>0.0</v>
      </c>
      <c r="L884" s="15">
        <f>'[01_Entry.xlsx]Book'!L884</f>
        <v>0.0</v>
      </c>
      <c r="M884" s="15">
        <f>'[01_Entry.xlsx]Book'!M884</f>
        <v>0.0</v>
      </c>
      <c r="P884" s="56">
        <f>IF($A884="","",IFERROR(VALUE(MID($A884,6,2)),""))</f>
        <v/>
      </c>
    </row>
    <row r="885" spans="7:16">
      <c r="G885" s="15">
        <f>'[01_Entry.xlsx]Book'!G885</f>
        <v>0.0</v>
      </c>
      <c r="H885" s="15">
        <f>'[01_Entry.xlsx]Book'!H885</f>
        <v>0.0</v>
      </c>
      <c r="I885" s="15">
        <f>'[01_Entry.xlsx]Book'!I885</f>
        <v>0.0</v>
      </c>
      <c r="K885" s="15">
        <f>'[01_Entry.xlsx]Book'!K885</f>
        <v>0.0</v>
      </c>
      <c r="L885" s="15">
        <f>'[01_Entry.xlsx]Book'!L885</f>
        <v>0.0</v>
      </c>
      <c r="M885" s="15">
        <f>'[01_Entry.xlsx]Book'!M885</f>
        <v>0.0</v>
      </c>
      <c r="P885" s="56">
        <f>IF($A885="","",IFERROR(VALUE(MID($A885,6,2)),""))</f>
        <v/>
      </c>
    </row>
    <row r="886" spans="7:16">
      <c r="G886" s="15">
        <f>'[01_Entry.xlsx]Book'!G886</f>
        <v>0.0</v>
      </c>
      <c r="H886" s="15">
        <f>'[01_Entry.xlsx]Book'!H886</f>
        <v>0.0</v>
      </c>
      <c r="I886" s="15">
        <f>'[01_Entry.xlsx]Book'!I886</f>
        <v>0.0</v>
      </c>
      <c r="K886" s="15">
        <f>'[01_Entry.xlsx]Book'!K886</f>
        <v>0.0</v>
      </c>
      <c r="L886" s="15">
        <f>'[01_Entry.xlsx]Book'!L886</f>
        <v>0.0</v>
      </c>
      <c r="M886" s="15">
        <f>'[01_Entry.xlsx]Book'!M886</f>
        <v>0.0</v>
      </c>
      <c r="P886" s="56">
        <f>IF($A886="","",IFERROR(VALUE(MID($A886,6,2)),""))</f>
        <v/>
      </c>
    </row>
    <row r="887" spans="7:16">
      <c r="G887" s="15">
        <f>'[01_Entry.xlsx]Book'!G887</f>
        <v>0.0</v>
      </c>
      <c r="H887" s="15">
        <f>'[01_Entry.xlsx]Book'!H887</f>
        <v>0.0</v>
      </c>
      <c r="I887" s="15">
        <f>'[01_Entry.xlsx]Book'!I887</f>
        <v>0.0</v>
      </c>
      <c r="K887" s="15">
        <f>'[01_Entry.xlsx]Book'!K887</f>
        <v>0.0</v>
      </c>
      <c r="L887" s="15">
        <f>'[01_Entry.xlsx]Book'!L887</f>
        <v>0.0</v>
      </c>
      <c r="M887" s="15">
        <f>'[01_Entry.xlsx]Book'!M887</f>
        <v>0.0</v>
      </c>
      <c r="P887" s="56">
        <f>IF($A887="","",IFERROR(VALUE(MID($A887,6,2)),""))</f>
        <v/>
      </c>
    </row>
    <row r="888" spans="7:16">
      <c r="G888" s="15">
        <f>'[01_Entry.xlsx]Book'!G888</f>
        <v>0.0</v>
      </c>
      <c r="H888" s="15">
        <f>'[01_Entry.xlsx]Book'!H888</f>
        <v>0.0</v>
      </c>
      <c r="I888" s="15">
        <f>'[01_Entry.xlsx]Book'!I888</f>
        <v>0.0</v>
      </c>
      <c r="K888" s="15">
        <f>'[01_Entry.xlsx]Book'!K888</f>
        <v>0.0</v>
      </c>
      <c r="L888" s="15">
        <f>'[01_Entry.xlsx]Book'!L888</f>
        <v>0.0</v>
      </c>
      <c r="M888" s="15">
        <f>'[01_Entry.xlsx]Book'!M888</f>
        <v>0.0</v>
      </c>
      <c r="P888" s="56">
        <f>IF($A888="","",IFERROR(VALUE(MID($A888,6,2)),""))</f>
        <v/>
      </c>
    </row>
    <row r="889" spans="7:16">
      <c r="G889" s="15">
        <f>'[01_Entry.xlsx]Book'!G889</f>
        <v>0.0</v>
      </c>
      <c r="H889" s="15">
        <f>'[01_Entry.xlsx]Book'!H889</f>
        <v>0.0</v>
      </c>
      <c r="I889" s="15">
        <f>'[01_Entry.xlsx]Book'!I889</f>
        <v>0.0</v>
      </c>
      <c r="K889" s="15">
        <f>'[01_Entry.xlsx]Book'!K889</f>
        <v>0.0</v>
      </c>
      <c r="L889" s="15">
        <f>'[01_Entry.xlsx]Book'!L889</f>
        <v>0.0</v>
      </c>
      <c r="M889" s="15">
        <f>'[01_Entry.xlsx]Book'!M889</f>
        <v>0.0</v>
      </c>
      <c r="P889" s="56">
        <f>IF($A889="","",IFERROR(VALUE(MID($A889,6,2)),""))</f>
        <v/>
      </c>
    </row>
    <row r="890" spans="7:16">
      <c r="G890" s="15">
        <f>'[01_Entry.xlsx]Book'!G890</f>
        <v>0.0</v>
      </c>
      <c r="H890" s="15">
        <f>'[01_Entry.xlsx]Book'!H890</f>
        <v>0.0</v>
      </c>
      <c r="I890" s="15">
        <f>'[01_Entry.xlsx]Book'!I890</f>
        <v>0.0</v>
      </c>
      <c r="K890" s="15">
        <f>'[01_Entry.xlsx]Book'!K890</f>
        <v>0.0</v>
      </c>
      <c r="L890" s="15">
        <f>'[01_Entry.xlsx]Book'!L890</f>
        <v>0.0</v>
      </c>
      <c r="M890" s="15">
        <f>'[01_Entry.xlsx]Book'!M890</f>
        <v>0.0</v>
      </c>
      <c r="P890" s="56">
        <f>IF($A890="","",IFERROR(VALUE(MID($A890,6,2)),""))</f>
        <v/>
      </c>
    </row>
    <row r="891" spans="7:16">
      <c r="G891" s="15">
        <f>'[01_Entry.xlsx]Book'!G891</f>
        <v>0.0</v>
      </c>
      <c r="H891" s="15">
        <f>'[01_Entry.xlsx]Book'!H891</f>
        <v>0.0</v>
      </c>
      <c r="I891" s="15">
        <f>'[01_Entry.xlsx]Book'!I891</f>
        <v>0.0</v>
      </c>
      <c r="K891" s="15">
        <f>'[01_Entry.xlsx]Book'!K891</f>
        <v>0.0</v>
      </c>
      <c r="L891" s="15">
        <f>'[01_Entry.xlsx]Book'!L891</f>
        <v>0.0</v>
      </c>
      <c r="M891" s="15">
        <f>'[01_Entry.xlsx]Book'!M891</f>
        <v>0.0</v>
      </c>
      <c r="P891" s="56">
        <f>IF($A891="","",IFERROR(VALUE(MID($A891,6,2)),""))</f>
        <v/>
      </c>
    </row>
    <row r="892" spans="7:16">
      <c r="G892" s="15">
        <f>'[01_Entry.xlsx]Book'!G892</f>
        <v>0.0</v>
      </c>
      <c r="H892" s="15">
        <f>'[01_Entry.xlsx]Book'!H892</f>
        <v>0.0</v>
      </c>
      <c r="I892" s="15">
        <f>'[01_Entry.xlsx]Book'!I892</f>
        <v>0.0</v>
      </c>
      <c r="K892" s="15">
        <f>'[01_Entry.xlsx]Book'!K892</f>
        <v>0.0</v>
      </c>
      <c r="L892" s="15">
        <f>'[01_Entry.xlsx]Book'!L892</f>
        <v>0.0</v>
      </c>
      <c r="M892" s="15">
        <f>'[01_Entry.xlsx]Book'!M892</f>
        <v>0.0</v>
      </c>
      <c r="P892" s="56">
        <f>IF($A892="","",IFERROR(VALUE(MID($A892,6,2)),""))</f>
        <v/>
      </c>
    </row>
    <row r="893" spans="7:16">
      <c r="G893" s="15">
        <f>'[01_Entry.xlsx]Book'!G893</f>
        <v>0.0</v>
      </c>
      <c r="H893" s="15">
        <f>'[01_Entry.xlsx]Book'!H893</f>
        <v>0.0</v>
      </c>
      <c r="I893" s="15">
        <f>'[01_Entry.xlsx]Book'!I893</f>
        <v>0.0</v>
      </c>
      <c r="K893" s="15">
        <f>'[01_Entry.xlsx]Book'!K893</f>
        <v>0.0</v>
      </c>
      <c r="L893" s="15">
        <f>'[01_Entry.xlsx]Book'!L893</f>
        <v>0.0</v>
      </c>
      <c r="M893" s="15">
        <f>'[01_Entry.xlsx]Book'!M893</f>
        <v>0.0</v>
      </c>
      <c r="P893" s="56">
        <f>IF($A893="","",IFERROR(VALUE(MID($A893,6,2)),""))</f>
        <v/>
      </c>
    </row>
    <row r="894" spans="7:16">
      <c r="G894" s="15">
        <f>'[01_Entry.xlsx]Book'!G894</f>
        <v>0.0</v>
      </c>
      <c r="H894" s="15">
        <f>'[01_Entry.xlsx]Book'!H894</f>
        <v>0.0</v>
      </c>
      <c r="I894" s="15">
        <f>'[01_Entry.xlsx]Book'!I894</f>
        <v>0.0</v>
      </c>
      <c r="K894" s="15">
        <f>'[01_Entry.xlsx]Book'!K894</f>
        <v>0.0</v>
      </c>
      <c r="L894" s="15">
        <f>'[01_Entry.xlsx]Book'!L894</f>
        <v>0.0</v>
      </c>
      <c r="M894" s="15">
        <f>'[01_Entry.xlsx]Book'!M894</f>
        <v>0.0</v>
      </c>
      <c r="P894" s="56">
        <f>IF($A894="","",IFERROR(VALUE(MID($A894,6,2)),""))</f>
        <v/>
      </c>
    </row>
    <row r="895" spans="7:16">
      <c r="G895" s="15">
        <f>'[01_Entry.xlsx]Book'!G895</f>
        <v>0.0</v>
      </c>
      <c r="H895" s="15">
        <f>'[01_Entry.xlsx]Book'!H895</f>
        <v>0.0</v>
      </c>
      <c r="I895" s="15">
        <f>'[01_Entry.xlsx]Book'!I895</f>
        <v>0.0</v>
      </c>
      <c r="K895" s="15">
        <f>'[01_Entry.xlsx]Book'!K895</f>
        <v>0.0</v>
      </c>
      <c r="L895" s="15">
        <f>'[01_Entry.xlsx]Book'!L895</f>
        <v>0.0</v>
      </c>
      <c r="M895" s="15">
        <f>'[01_Entry.xlsx]Book'!M895</f>
        <v>0.0</v>
      </c>
      <c r="P895" s="56">
        <f>IF($A895="","",IFERROR(VALUE(MID($A895,6,2)),""))</f>
        <v/>
      </c>
    </row>
    <row r="896" spans="7:16">
      <c r="G896" s="15">
        <f>'[01_Entry.xlsx]Book'!G896</f>
        <v>0.0</v>
      </c>
      <c r="H896" s="15">
        <f>'[01_Entry.xlsx]Book'!H896</f>
        <v>0.0</v>
      </c>
      <c r="I896" s="15">
        <f>'[01_Entry.xlsx]Book'!I896</f>
        <v>0.0</v>
      </c>
      <c r="K896" s="15">
        <f>'[01_Entry.xlsx]Book'!K896</f>
        <v>0.0</v>
      </c>
      <c r="L896" s="15">
        <f>'[01_Entry.xlsx]Book'!L896</f>
        <v>0.0</v>
      </c>
      <c r="M896" s="15">
        <f>'[01_Entry.xlsx]Book'!M896</f>
        <v>0.0</v>
      </c>
      <c r="P896" s="56">
        <f>IF($A896="","",IFERROR(VALUE(MID($A896,6,2)),""))</f>
        <v/>
      </c>
    </row>
    <row r="897" spans="7:16">
      <c r="G897" s="15">
        <f>'[01_Entry.xlsx]Book'!G897</f>
        <v>0.0</v>
      </c>
      <c r="H897" s="15">
        <f>'[01_Entry.xlsx]Book'!H897</f>
        <v>0.0</v>
      </c>
      <c r="I897" s="15">
        <f>'[01_Entry.xlsx]Book'!I897</f>
        <v>0.0</v>
      </c>
      <c r="K897" s="15">
        <f>'[01_Entry.xlsx]Book'!K897</f>
        <v>0.0</v>
      </c>
      <c r="L897" s="15">
        <f>'[01_Entry.xlsx]Book'!L897</f>
        <v>0.0</v>
      </c>
      <c r="M897" s="15">
        <f>'[01_Entry.xlsx]Book'!M897</f>
        <v>0.0</v>
      </c>
      <c r="P897" s="56">
        <f>IF($A897="","",IFERROR(VALUE(MID($A897,6,2)),""))</f>
        <v/>
      </c>
    </row>
    <row r="898" spans="7:16">
      <c r="G898" s="15">
        <f>'[01_Entry.xlsx]Book'!G898</f>
        <v>0.0</v>
      </c>
      <c r="H898" s="15">
        <f>'[01_Entry.xlsx]Book'!H898</f>
        <v>0.0</v>
      </c>
      <c r="I898" s="15">
        <f>'[01_Entry.xlsx]Book'!I898</f>
        <v>0.0</v>
      </c>
      <c r="K898" s="15">
        <f>'[01_Entry.xlsx]Book'!K898</f>
        <v>0.0</v>
      </c>
      <c r="L898" s="15">
        <f>'[01_Entry.xlsx]Book'!L898</f>
        <v>0.0</v>
      </c>
      <c r="M898" s="15">
        <f>'[01_Entry.xlsx]Book'!M898</f>
        <v>0.0</v>
      </c>
      <c r="P898" s="56">
        <f>IF($A898="","",IFERROR(VALUE(MID($A898,6,2)),""))</f>
        <v/>
      </c>
    </row>
    <row r="899" spans="7:16">
      <c r="G899" s="15">
        <f>'[01_Entry.xlsx]Book'!G899</f>
        <v>0.0</v>
      </c>
      <c r="H899" s="15">
        <f>'[01_Entry.xlsx]Book'!H899</f>
        <v>0.0</v>
      </c>
      <c r="I899" s="15">
        <f>'[01_Entry.xlsx]Book'!I899</f>
        <v>0.0</v>
      </c>
      <c r="K899" s="15">
        <f>'[01_Entry.xlsx]Book'!K899</f>
        <v>0.0</v>
      </c>
      <c r="L899" s="15">
        <f>'[01_Entry.xlsx]Book'!L899</f>
        <v>0.0</v>
      </c>
      <c r="M899" s="15">
        <f>'[01_Entry.xlsx]Book'!M899</f>
        <v>0.0</v>
      </c>
      <c r="P899" s="56">
        <f>IF($A899="","",IFERROR(VALUE(MID($A899,6,2)),""))</f>
        <v/>
      </c>
    </row>
    <row r="900" spans="7:16">
      <c r="G900" s="15">
        <f>'[01_Entry.xlsx]Book'!G900</f>
        <v>0.0</v>
      </c>
      <c r="H900" s="15">
        <f>'[01_Entry.xlsx]Book'!H900</f>
        <v>0.0</v>
      </c>
      <c r="I900" s="15">
        <f>'[01_Entry.xlsx]Book'!I900</f>
        <v>0.0</v>
      </c>
      <c r="K900" s="15">
        <f>'[01_Entry.xlsx]Book'!K900</f>
        <v>0.0</v>
      </c>
      <c r="L900" s="15">
        <f>'[01_Entry.xlsx]Book'!L900</f>
        <v>0.0</v>
      </c>
      <c r="M900" s="15">
        <f>'[01_Entry.xlsx]Book'!M900</f>
        <v>0.0</v>
      </c>
      <c r="P900" s="56">
        <f>IF($A900="","",IFERROR(VALUE(MID($A900,6,2)),""))</f>
        <v/>
      </c>
    </row>
    <row r="901" spans="7:16">
      <c r="G901" s="15">
        <f>'[01_Entry.xlsx]Book'!G901</f>
        <v>0.0</v>
      </c>
      <c r="H901" s="15">
        <f>'[01_Entry.xlsx]Book'!H901</f>
        <v>0.0</v>
      </c>
      <c r="I901" s="15">
        <f>'[01_Entry.xlsx]Book'!I901</f>
        <v>0.0</v>
      </c>
      <c r="K901" s="15">
        <f>'[01_Entry.xlsx]Book'!K901</f>
        <v>0.0</v>
      </c>
      <c r="L901" s="15">
        <f>'[01_Entry.xlsx]Book'!L901</f>
        <v>0.0</v>
      </c>
      <c r="M901" s="15">
        <f>'[01_Entry.xlsx]Book'!M901</f>
        <v>0.0</v>
      </c>
      <c r="P901" s="56">
        <f>IF($A901="","",IFERROR(VALUE(MID($A901,6,2)),""))</f>
        <v/>
      </c>
    </row>
    <row r="902" spans="7:16">
      <c r="G902" s="15">
        <f>'[01_Entry.xlsx]Book'!G902</f>
        <v>0.0</v>
      </c>
      <c r="H902" s="15">
        <f>'[01_Entry.xlsx]Book'!H902</f>
        <v>0.0</v>
      </c>
      <c r="I902" s="15">
        <f>'[01_Entry.xlsx]Book'!I902</f>
        <v>0.0</v>
      </c>
      <c r="K902" s="15">
        <f>'[01_Entry.xlsx]Book'!K902</f>
        <v>0.0</v>
      </c>
      <c r="L902" s="15">
        <f>'[01_Entry.xlsx]Book'!L902</f>
        <v>0.0</v>
      </c>
      <c r="M902" s="15">
        <f>'[01_Entry.xlsx]Book'!M902</f>
        <v>0.0</v>
      </c>
      <c r="P902" s="56">
        <f>IF($A902="","",IFERROR(VALUE(MID($A902,6,2)),""))</f>
        <v/>
      </c>
    </row>
    <row r="903" spans="7:16">
      <c r="G903" s="15">
        <f>'[01_Entry.xlsx]Book'!G903</f>
        <v>0.0</v>
      </c>
      <c r="H903" s="15">
        <f>'[01_Entry.xlsx]Book'!H903</f>
        <v>0.0</v>
      </c>
      <c r="I903" s="15">
        <f>'[01_Entry.xlsx]Book'!I903</f>
        <v>0.0</v>
      </c>
      <c r="K903" s="15">
        <f>'[01_Entry.xlsx]Book'!K903</f>
        <v>0.0</v>
      </c>
      <c r="L903" s="15">
        <f>'[01_Entry.xlsx]Book'!L903</f>
        <v>0.0</v>
      </c>
      <c r="M903" s="15">
        <f>'[01_Entry.xlsx]Book'!M903</f>
        <v>0.0</v>
      </c>
      <c r="P903" s="56">
        <f>IF($A903="","",IFERROR(VALUE(MID($A903,6,2)),""))</f>
        <v/>
      </c>
    </row>
    <row r="904" spans="7:16">
      <c r="G904" s="15">
        <f>'[01_Entry.xlsx]Book'!G904</f>
        <v>0.0</v>
      </c>
      <c r="H904" s="15">
        <f>'[01_Entry.xlsx]Book'!H904</f>
        <v>0.0</v>
      </c>
      <c r="I904" s="15">
        <f>'[01_Entry.xlsx]Book'!I904</f>
        <v>0.0</v>
      </c>
      <c r="K904" s="15">
        <f>'[01_Entry.xlsx]Book'!K904</f>
        <v>0.0</v>
      </c>
      <c r="L904" s="15">
        <f>'[01_Entry.xlsx]Book'!L904</f>
        <v>0.0</v>
      </c>
      <c r="M904" s="15">
        <f>'[01_Entry.xlsx]Book'!M904</f>
        <v>0.0</v>
      </c>
      <c r="P904" s="56">
        <f>IF($A904="","",IFERROR(VALUE(MID($A904,6,2)),""))</f>
        <v/>
      </c>
    </row>
    <row r="905" spans="7:16">
      <c r="G905" s="15">
        <f>'[01_Entry.xlsx]Book'!G905</f>
        <v>0.0</v>
      </c>
      <c r="H905" s="15">
        <f>'[01_Entry.xlsx]Book'!H905</f>
        <v>0.0</v>
      </c>
      <c r="I905" s="15">
        <f>'[01_Entry.xlsx]Book'!I905</f>
        <v>0.0</v>
      </c>
      <c r="K905" s="15">
        <f>'[01_Entry.xlsx]Book'!K905</f>
        <v>0.0</v>
      </c>
      <c r="L905" s="15">
        <f>'[01_Entry.xlsx]Book'!L905</f>
        <v>0.0</v>
      </c>
      <c r="M905" s="15">
        <f>'[01_Entry.xlsx]Book'!M905</f>
        <v>0.0</v>
      </c>
      <c r="P905" s="56">
        <f>IF($A905="","",IFERROR(VALUE(MID($A905,6,2)),""))</f>
        <v/>
      </c>
    </row>
    <row r="906" spans="7:16">
      <c r="G906" s="15">
        <f>'[01_Entry.xlsx]Book'!G906</f>
        <v>0.0</v>
      </c>
      <c r="H906" s="15">
        <f>'[01_Entry.xlsx]Book'!H906</f>
        <v>0.0</v>
      </c>
      <c r="I906" s="15">
        <f>'[01_Entry.xlsx]Book'!I906</f>
        <v>0.0</v>
      </c>
      <c r="K906" s="15">
        <f>'[01_Entry.xlsx]Book'!K906</f>
        <v>0.0</v>
      </c>
      <c r="L906" s="15">
        <f>'[01_Entry.xlsx]Book'!L906</f>
        <v>0.0</v>
      </c>
      <c r="M906" s="15">
        <f>'[01_Entry.xlsx]Book'!M906</f>
        <v>0.0</v>
      </c>
      <c r="P906" s="56">
        <f>IF($A906="","",IFERROR(VALUE(MID($A906,6,2)),""))</f>
        <v/>
      </c>
    </row>
    <row r="907" spans="7:16">
      <c r="G907" s="15">
        <f>'[01_Entry.xlsx]Book'!G907</f>
        <v>0.0</v>
      </c>
      <c r="H907" s="15">
        <f>'[01_Entry.xlsx]Book'!H907</f>
        <v>0.0</v>
      </c>
      <c r="I907" s="15">
        <f>'[01_Entry.xlsx]Book'!I907</f>
        <v>0.0</v>
      </c>
      <c r="K907" s="15">
        <f>'[01_Entry.xlsx]Book'!K907</f>
        <v>0.0</v>
      </c>
      <c r="L907" s="15">
        <f>'[01_Entry.xlsx]Book'!L907</f>
        <v>0.0</v>
      </c>
      <c r="M907" s="15">
        <f>'[01_Entry.xlsx]Book'!M907</f>
        <v>0.0</v>
      </c>
      <c r="P907" s="56">
        <f>IF($A907="","",IFERROR(VALUE(MID($A907,6,2)),""))</f>
        <v/>
      </c>
    </row>
    <row r="908" spans="7:16">
      <c r="G908" s="15">
        <f>'[01_Entry.xlsx]Book'!G908</f>
        <v>0.0</v>
      </c>
      <c r="H908" s="15">
        <f>'[01_Entry.xlsx]Book'!H908</f>
        <v>0.0</v>
      </c>
      <c r="I908" s="15">
        <f>'[01_Entry.xlsx]Book'!I908</f>
        <v>0.0</v>
      </c>
      <c r="K908" s="15">
        <f>'[01_Entry.xlsx]Book'!K908</f>
        <v>0.0</v>
      </c>
      <c r="L908" s="15">
        <f>'[01_Entry.xlsx]Book'!L908</f>
        <v>0.0</v>
      </c>
      <c r="M908" s="15">
        <f>'[01_Entry.xlsx]Book'!M908</f>
        <v>0.0</v>
      </c>
      <c r="P908" s="56">
        <f>IF($A908="","",IFERROR(VALUE(MID($A908,6,2)),""))</f>
        <v/>
      </c>
    </row>
    <row r="909" spans="7:16">
      <c r="G909" s="15">
        <f>'[01_Entry.xlsx]Book'!G909</f>
        <v>0.0</v>
      </c>
      <c r="H909" s="15">
        <f>'[01_Entry.xlsx]Book'!H909</f>
        <v>0.0</v>
      </c>
      <c r="I909" s="15">
        <f>'[01_Entry.xlsx]Book'!I909</f>
        <v>0.0</v>
      </c>
      <c r="K909" s="15">
        <f>'[01_Entry.xlsx]Book'!K909</f>
        <v>0.0</v>
      </c>
      <c r="L909" s="15">
        <f>'[01_Entry.xlsx]Book'!L909</f>
        <v>0.0</v>
      </c>
      <c r="M909" s="15">
        <f>'[01_Entry.xlsx]Book'!M909</f>
        <v>0.0</v>
      </c>
      <c r="P909" s="56">
        <f>IF($A909="","",IFERROR(VALUE(MID($A909,6,2)),""))</f>
        <v/>
      </c>
    </row>
    <row r="910" spans="7:16">
      <c r="G910" s="15">
        <f>'[01_Entry.xlsx]Book'!G910</f>
        <v>0.0</v>
      </c>
      <c r="H910" s="15">
        <f>'[01_Entry.xlsx]Book'!H910</f>
        <v>0.0</v>
      </c>
      <c r="I910" s="15">
        <f>'[01_Entry.xlsx]Book'!I910</f>
        <v>0.0</v>
      </c>
      <c r="K910" s="15">
        <f>'[01_Entry.xlsx]Book'!K910</f>
        <v>0.0</v>
      </c>
      <c r="L910" s="15">
        <f>'[01_Entry.xlsx]Book'!L910</f>
        <v>0.0</v>
      </c>
      <c r="M910" s="15">
        <f>'[01_Entry.xlsx]Book'!M910</f>
        <v>0.0</v>
      </c>
      <c r="P910" s="56">
        <f>IF($A910="","",IFERROR(VALUE(MID($A910,6,2)),""))</f>
        <v/>
      </c>
    </row>
    <row r="911" spans="7:16">
      <c r="G911" s="15">
        <f>'[01_Entry.xlsx]Book'!G911</f>
        <v>0.0</v>
      </c>
      <c r="H911" s="15">
        <f>'[01_Entry.xlsx]Book'!H911</f>
        <v>0.0</v>
      </c>
      <c r="I911" s="15">
        <f>'[01_Entry.xlsx]Book'!I911</f>
        <v>0.0</v>
      </c>
      <c r="K911" s="15">
        <f>'[01_Entry.xlsx]Book'!K911</f>
        <v>0.0</v>
      </c>
      <c r="L911" s="15">
        <f>'[01_Entry.xlsx]Book'!L911</f>
        <v>0.0</v>
      </c>
      <c r="M911" s="15">
        <f>'[01_Entry.xlsx]Book'!M911</f>
        <v>0.0</v>
      </c>
      <c r="P911" s="56">
        <f>IF($A911="","",IFERROR(VALUE(MID($A911,6,2)),""))</f>
        <v/>
      </c>
    </row>
    <row r="912" spans="7:16">
      <c r="G912" s="15">
        <f>'[01_Entry.xlsx]Book'!G912</f>
        <v>0.0</v>
      </c>
      <c r="H912" s="15">
        <f>'[01_Entry.xlsx]Book'!H912</f>
        <v>0.0</v>
      </c>
      <c r="I912" s="15">
        <f>'[01_Entry.xlsx]Book'!I912</f>
        <v>0.0</v>
      </c>
      <c r="K912" s="15">
        <f>'[01_Entry.xlsx]Book'!K912</f>
        <v>0.0</v>
      </c>
      <c r="L912" s="15">
        <f>'[01_Entry.xlsx]Book'!L912</f>
        <v>0.0</v>
      </c>
      <c r="M912" s="15">
        <f>'[01_Entry.xlsx]Book'!M912</f>
        <v>0.0</v>
      </c>
      <c r="P912" s="56">
        <f>IF($A912="","",IFERROR(VALUE(MID($A912,6,2)),""))</f>
        <v/>
      </c>
    </row>
    <row r="913" spans="7:16">
      <c r="G913" s="15">
        <f>'[01_Entry.xlsx]Book'!G913</f>
        <v>0.0</v>
      </c>
      <c r="H913" s="15">
        <f>'[01_Entry.xlsx]Book'!H913</f>
        <v>0.0</v>
      </c>
      <c r="I913" s="15">
        <f>'[01_Entry.xlsx]Book'!I913</f>
        <v>0.0</v>
      </c>
      <c r="K913" s="15">
        <f>'[01_Entry.xlsx]Book'!K913</f>
        <v>0.0</v>
      </c>
      <c r="L913" s="15">
        <f>'[01_Entry.xlsx]Book'!L913</f>
        <v>0.0</v>
      </c>
      <c r="M913" s="15">
        <f>'[01_Entry.xlsx]Book'!M913</f>
        <v>0.0</v>
      </c>
      <c r="P913" s="56">
        <f>IF($A913="","",IFERROR(VALUE(MID($A913,6,2)),""))</f>
        <v/>
      </c>
    </row>
    <row r="914" spans="7:16">
      <c r="G914" s="15">
        <f>'[01_Entry.xlsx]Book'!G914</f>
        <v>0.0</v>
      </c>
      <c r="H914" s="15">
        <f>'[01_Entry.xlsx]Book'!H914</f>
        <v>0.0</v>
      </c>
      <c r="I914" s="15">
        <f>'[01_Entry.xlsx]Book'!I914</f>
        <v>0.0</v>
      </c>
      <c r="K914" s="15">
        <f>'[01_Entry.xlsx]Book'!K914</f>
        <v>0.0</v>
      </c>
      <c r="L914" s="15">
        <f>'[01_Entry.xlsx]Book'!L914</f>
        <v>0.0</v>
      </c>
      <c r="M914" s="15">
        <f>'[01_Entry.xlsx]Book'!M914</f>
        <v>0.0</v>
      </c>
      <c r="P914" s="56">
        <f>IF($A914="","",IFERROR(VALUE(MID($A914,6,2)),""))</f>
        <v/>
      </c>
    </row>
    <row r="915" spans="7:16">
      <c r="G915" s="15">
        <f>'[01_Entry.xlsx]Book'!G915</f>
        <v>0.0</v>
      </c>
      <c r="H915" s="15">
        <f>'[01_Entry.xlsx]Book'!H915</f>
        <v>0.0</v>
      </c>
      <c r="I915" s="15">
        <f>'[01_Entry.xlsx]Book'!I915</f>
        <v>0.0</v>
      </c>
      <c r="K915" s="15">
        <f>'[01_Entry.xlsx]Book'!K915</f>
        <v>0.0</v>
      </c>
      <c r="L915" s="15">
        <f>'[01_Entry.xlsx]Book'!L915</f>
        <v>0.0</v>
      </c>
      <c r="M915" s="15">
        <f>'[01_Entry.xlsx]Book'!M915</f>
        <v>0.0</v>
      </c>
      <c r="P915" s="56">
        <f>IF($A915="","",IFERROR(VALUE(MID($A915,6,2)),""))</f>
        <v/>
      </c>
    </row>
    <row r="916" spans="7:16">
      <c r="G916" s="15">
        <f>'[01_Entry.xlsx]Book'!G916</f>
        <v>0.0</v>
      </c>
      <c r="H916" s="15">
        <f>'[01_Entry.xlsx]Book'!H916</f>
        <v>0.0</v>
      </c>
      <c r="I916" s="15">
        <f>'[01_Entry.xlsx]Book'!I916</f>
        <v>0.0</v>
      </c>
      <c r="K916" s="15">
        <f>'[01_Entry.xlsx]Book'!K916</f>
        <v>0.0</v>
      </c>
      <c r="L916" s="15">
        <f>'[01_Entry.xlsx]Book'!L916</f>
        <v>0.0</v>
      </c>
      <c r="M916" s="15">
        <f>'[01_Entry.xlsx]Book'!M916</f>
        <v>0.0</v>
      </c>
      <c r="P916" s="56">
        <f>IF($A916="","",IFERROR(VALUE(MID($A916,6,2)),""))</f>
        <v/>
      </c>
    </row>
    <row r="917" spans="7:16">
      <c r="G917" s="15">
        <f>'[01_Entry.xlsx]Book'!G917</f>
        <v>0.0</v>
      </c>
      <c r="H917" s="15">
        <f>'[01_Entry.xlsx]Book'!H917</f>
        <v>0.0</v>
      </c>
      <c r="I917" s="15">
        <f>'[01_Entry.xlsx]Book'!I917</f>
        <v>0.0</v>
      </c>
      <c r="K917" s="15">
        <f>'[01_Entry.xlsx]Book'!K917</f>
        <v>0.0</v>
      </c>
      <c r="L917" s="15">
        <f>'[01_Entry.xlsx]Book'!L917</f>
        <v>0.0</v>
      </c>
      <c r="M917" s="15">
        <f>'[01_Entry.xlsx]Book'!M917</f>
        <v>0.0</v>
      </c>
      <c r="P917" s="56">
        <f>IF($A917="","",IFERROR(VALUE(MID($A917,6,2)),""))</f>
        <v/>
      </c>
    </row>
    <row r="918" spans="7:16">
      <c r="G918" s="15">
        <f>'[01_Entry.xlsx]Book'!G918</f>
        <v>0.0</v>
      </c>
      <c r="H918" s="15">
        <f>'[01_Entry.xlsx]Book'!H918</f>
        <v>0.0</v>
      </c>
      <c r="I918" s="15">
        <f>'[01_Entry.xlsx]Book'!I918</f>
        <v>0.0</v>
      </c>
      <c r="K918" s="15">
        <f>'[01_Entry.xlsx]Book'!K918</f>
        <v>0.0</v>
      </c>
      <c r="L918" s="15">
        <f>'[01_Entry.xlsx]Book'!L918</f>
        <v>0.0</v>
      </c>
      <c r="M918" s="15">
        <f>'[01_Entry.xlsx]Book'!M918</f>
        <v>0.0</v>
      </c>
      <c r="P918" s="56">
        <f>IF($A918="","",IFERROR(VALUE(MID($A918,6,2)),""))</f>
        <v/>
      </c>
    </row>
    <row r="919" spans="7:16">
      <c r="G919" s="15">
        <f>'[01_Entry.xlsx]Book'!G919</f>
        <v>0.0</v>
      </c>
      <c r="H919" s="15">
        <f>'[01_Entry.xlsx]Book'!H919</f>
        <v>0.0</v>
      </c>
      <c r="I919" s="15">
        <f>'[01_Entry.xlsx]Book'!I919</f>
        <v>0.0</v>
      </c>
      <c r="K919" s="15">
        <f>'[01_Entry.xlsx]Book'!K919</f>
        <v>0.0</v>
      </c>
      <c r="L919" s="15">
        <f>'[01_Entry.xlsx]Book'!L919</f>
        <v>0.0</v>
      </c>
      <c r="M919" s="15">
        <f>'[01_Entry.xlsx]Book'!M919</f>
        <v>0.0</v>
      </c>
      <c r="P919" s="56">
        <f>IF($A919="","",IFERROR(VALUE(MID($A919,6,2)),""))</f>
        <v/>
      </c>
    </row>
    <row r="920" spans="7:16">
      <c r="G920" s="15">
        <f>'[01_Entry.xlsx]Book'!G920</f>
        <v>0.0</v>
      </c>
      <c r="H920" s="15">
        <f>'[01_Entry.xlsx]Book'!H920</f>
        <v>0.0</v>
      </c>
      <c r="I920" s="15">
        <f>'[01_Entry.xlsx]Book'!I920</f>
        <v>0.0</v>
      </c>
      <c r="K920" s="15">
        <f>'[01_Entry.xlsx]Book'!K920</f>
        <v>0.0</v>
      </c>
      <c r="L920" s="15">
        <f>'[01_Entry.xlsx]Book'!L920</f>
        <v>0.0</v>
      </c>
      <c r="M920" s="15">
        <f>'[01_Entry.xlsx]Book'!M920</f>
        <v>0.0</v>
      </c>
      <c r="P920" s="56">
        <f>IF($A920="","",IFERROR(VALUE(MID($A920,6,2)),""))</f>
        <v/>
      </c>
    </row>
    <row r="921" spans="7:16">
      <c r="G921" s="15">
        <f>'[01_Entry.xlsx]Book'!G921</f>
        <v>0.0</v>
      </c>
      <c r="H921" s="15">
        <f>'[01_Entry.xlsx]Book'!H921</f>
        <v>0.0</v>
      </c>
      <c r="I921" s="15">
        <f>'[01_Entry.xlsx]Book'!I921</f>
        <v>0.0</v>
      </c>
      <c r="K921" s="15">
        <f>'[01_Entry.xlsx]Book'!K921</f>
        <v>0.0</v>
      </c>
      <c r="L921" s="15">
        <f>'[01_Entry.xlsx]Book'!L921</f>
        <v>0.0</v>
      </c>
      <c r="M921" s="15">
        <f>'[01_Entry.xlsx]Book'!M921</f>
        <v>0.0</v>
      </c>
      <c r="P921" s="56">
        <f>IF($A921="","",IFERROR(VALUE(MID($A921,6,2)),""))</f>
        <v/>
      </c>
    </row>
    <row r="922" spans="7:16">
      <c r="G922" s="15">
        <f>'[01_Entry.xlsx]Book'!G922</f>
        <v>0.0</v>
      </c>
      <c r="H922" s="15">
        <f>'[01_Entry.xlsx]Book'!H922</f>
        <v>0.0</v>
      </c>
      <c r="I922" s="15">
        <f>'[01_Entry.xlsx]Book'!I922</f>
        <v>0.0</v>
      </c>
      <c r="K922" s="15">
        <f>'[01_Entry.xlsx]Book'!K922</f>
        <v>0.0</v>
      </c>
      <c r="L922" s="15">
        <f>'[01_Entry.xlsx]Book'!L922</f>
        <v>0.0</v>
      </c>
      <c r="M922" s="15">
        <f>'[01_Entry.xlsx]Book'!M922</f>
        <v>0.0</v>
      </c>
      <c r="P922" s="56">
        <f>IF($A922="","",IFERROR(VALUE(MID($A922,6,2)),""))</f>
        <v/>
      </c>
    </row>
    <row r="923" spans="7:16">
      <c r="G923" s="15">
        <f>'[01_Entry.xlsx]Book'!G923</f>
        <v>0.0</v>
      </c>
      <c r="H923" s="15">
        <f>'[01_Entry.xlsx]Book'!H923</f>
        <v>0.0</v>
      </c>
      <c r="I923" s="15">
        <f>'[01_Entry.xlsx]Book'!I923</f>
        <v>0.0</v>
      </c>
      <c r="K923" s="15">
        <f>'[01_Entry.xlsx]Book'!K923</f>
        <v>0.0</v>
      </c>
      <c r="L923" s="15">
        <f>'[01_Entry.xlsx]Book'!L923</f>
        <v>0.0</v>
      </c>
      <c r="M923" s="15">
        <f>'[01_Entry.xlsx]Book'!M923</f>
        <v>0.0</v>
      </c>
      <c r="P923" s="56">
        <f>IF($A923="","",IFERROR(VALUE(MID($A923,6,2)),""))</f>
        <v/>
      </c>
    </row>
    <row r="924" spans="7:16">
      <c r="G924" s="15">
        <f>'[01_Entry.xlsx]Book'!G924</f>
        <v>0.0</v>
      </c>
      <c r="H924" s="15">
        <f>'[01_Entry.xlsx]Book'!H924</f>
        <v>0.0</v>
      </c>
      <c r="I924" s="15">
        <f>'[01_Entry.xlsx]Book'!I924</f>
        <v>0.0</v>
      </c>
      <c r="K924" s="15">
        <f>'[01_Entry.xlsx]Book'!K924</f>
        <v>0.0</v>
      </c>
      <c r="L924" s="15">
        <f>'[01_Entry.xlsx]Book'!L924</f>
        <v>0.0</v>
      </c>
      <c r="M924" s="15">
        <f>'[01_Entry.xlsx]Book'!M924</f>
        <v>0.0</v>
      </c>
      <c r="P924" s="56">
        <f>IF($A924="","",IFERROR(VALUE(MID($A924,6,2)),""))</f>
        <v/>
      </c>
    </row>
    <row r="925" spans="7:16">
      <c r="G925" s="15">
        <f>'[01_Entry.xlsx]Book'!G925</f>
        <v>0.0</v>
      </c>
      <c r="H925" s="15">
        <f>'[01_Entry.xlsx]Book'!H925</f>
        <v>0.0</v>
      </c>
      <c r="I925" s="15">
        <f>'[01_Entry.xlsx]Book'!I925</f>
        <v>0.0</v>
      </c>
      <c r="K925" s="15">
        <f>'[01_Entry.xlsx]Book'!K925</f>
        <v>0.0</v>
      </c>
      <c r="L925" s="15">
        <f>'[01_Entry.xlsx]Book'!L925</f>
        <v>0.0</v>
      </c>
      <c r="M925" s="15">
        <f>'[01_Entry.xlsx]Book'!M925</f>
        <v>0.0</v>
      </c>
      <c r="P925" s="56">
        <f>IF($A925="","",IFERROR(VALUE(MID($A925,6,2)),""))</f>
        <v/>
      </c>
    </row>
    <row r="926" spans="7:16">
      <c r="G926" s="15">
        <f>'[01_Entry.xlsx]Book'!G926</f>
        <v>0.0</v>
      </c>
      <c r="H926" s="15">
        <f>'[01_Entry.xlsx]Book'!H926</f>
        <v>0.0</v>
      </c>
      <c r="I926" s="15">
        <f>'[01_Entry.xlsx]Book'!I926</f>
        <v>0.0</v>
      </c>
      <c r="K926" s="15">
        <f>'[01_Entry.xlsx]Book'!K926</f>
        <v>0.0</v>
      </c>
      <c r="L926" s="15">
        <f>'[01_Entry.xlsx]Book'!L926</f>
        <v>0.0</v>
      </c>
      <c r="M926" s="15">
        <f>'[01_Entry.xlsx]Book'!M926</f>
        <v>0.0</v>
      </c>
      <c r="P926" s="56">
        <f>IF($A926="","",IFERROR(VALUE(MID($A926,6,2)),""))</f>
        <v/>
      </c>
    </row>
    <row r="927" spans="7:16">
      <c r="G927" s="15">
        <f>'[01_Entry.xlsx]Book'!G927</f>
        <v>0.0</v>
      </c>
      <c r="H927" s="15">
        <f>'[01_Entry.xlsx]Book'!H927</f>
        <v>0.0</v>
      </c>
      <c r="I927" s="15">
        <f>'[01_Entry.xlsx]Book'!I927</f>
        <v>0.0</v>
      </c>
      <c r="K927" s="15">
        <f>'[01_Entry.xlsx]Book'!K927</f>
        <v>0.0</v>
      </c>
      <c r="L927" s="15">
        <f>'[01_Entry.xlsx]Book'!L927</f>
        <v>0.0</v>
      </c>
      <c r="M927" s="15">
        <f>'[01_Entry.xlsx]Book'!M927</f>
        <v>0.0</v>
      </c>
      <c r="P927" s="56">
        <f>IF($A927="","",IFERROR(VALUE(MID($A927,6,2)),""))</f>
        <v/>
      </c>
    </row>
    <row r="928" spans="7:16">
      <c r="G928" s="15">
        <f>'[01_Entry.xlsx]Book'!G928</f>
        <v>0.0</v>
      </c>
      <c r="H928" s="15">
        <f>'[01_Entry.xlsx]Book'!H928</f>
        <v>0.0</v>
      </c>
      <c r="I928" s="15">
        <f>'[01_Entry.xlsx]Book'!I928</f>
        <v>0.0</v>
      </c>
      <c r="K928" s="15">
        <f>'[01_Entry.xlsx]Book'!K928</f>
        <v>0.0</v>
      </c>
      <c r="L928" s="15">
        <f>'[01_Entry.xlsx]Book'!L928</f>
        <v>0.0</v>
      </c>
      <c r="M928" s="15">
        <f>'[01_Entry.xlsx]Book'!M928</f>
        <v>0.0</v>
      </c>
      <c r="P928" s="56">
        <f>IF($A928="","",IFERROR(VALUE(MID($A928,6,2)),""))</f>
        <v/>
      </c>
    </row>
    <row r="929" spans="7:16">
      <c r="G929" s="15">
        <f>'[01_Entry.xlsx]Book'!G929</f>
        <v>0.0</v>
      </c>
      <c r="H929" s="15">
        <f>'[01_Entry.xlsx]Book'!H929</f>
        <v>0.0</v>
      </c>
      <c r="I929" s="15">
        <f>'[01_Entry.xlsx]Book'!I929</f>
        <v>0.0</v>
      </c>
      <c r="K929" s="15">
        <f>'[01_Entry.xlsx]Book'!K929</f>
        <v>0.0</v>
      </c>
      <c r="L929" s="15">
        <f>'[01_Entry.xlsx]Book'!L929</f>
        <v>0.0</v>
      </c>
      <c r="M929" s="15">
        <f>'[01_Entry.xlsx]Book'!M929</f>
        <v>0.0</v>
      </c>
      <c r="P929" s="56">
        <f>IF($A929="","",IFERROR(VALUE(MID($A929,6,2)),""))</f>
        <v/>
      </c>
    </row>
    <row r="930" spans="7:16">
      <c r="G930" s="15">
        <f>'[01_Entry.xlsx]Book'!G930</f>
        <v>0.0</v>
      </c>
      <c r="H930" s="15">
        <f>'[01_Entry.xlsx]Book'!H930</f>
        <v>0.0</v>
      </c>
      <c r="I930" s="15">
        <f>'[01_Entry.xlsx]Book'!I930</f>
        <v>0.0</v>
      </c>
      <c r="K930" s="15">
        <f>'[01_Entry.xlsx]Book'!K930</f>
        <v>0.0</v>
      </c>
      <c r="L930" s="15">
        <f>'[01_Entry.xlsx]Book'!L930</f>
        <v>0.0</v>
      </c>
      <c r="M930" s="15">
        <f>'[01_Entry.xlsx]Book'!M930</f>
        <v>0.0</v>
      </c>
      <c r="P930" s="56">
        <f>IF($A930="","",IFERROR(VALUE(MID($A930,6,2)),""))</f>
        <v/>
      </c>
    </row>
    <row r="931" spans="7:16">
      <c r="G931" s="15">
        <f>'[01_Entry.xlsx]Book'!G931</f>
        <v>0.0</v>
      </c>
      <c r="H931" s="15">
        <f>'[01_Entry.xlsx]Book'!H931</f>
        <v>0.0</v>
      </c>
      <c r="I931" s="15">
        <f>'[01_Entry.xlsx]Book'!I931</f>
        <v>0.0</v>
      </c>
      <c r="K931" s="15">
        <f>'[01_Entry.xlsx]Book'!K931</f>
        <v>0.0</v>
      </c>
      <c r="L931" s="15">
        <f>'[01_Entry.xlsx]Book'!L931</f>
        <v>0.0</v>
      </c>
      <c r="M931" s="15">
        <f>'[01_Entry.xlsx]Book'!M931</f>
        <v>0.0</v>
      </c>
      <c r="P931" s="56">
        <f>IF($A931="","",IFERROR(VALUE(MID($A931,6,2)),""))</f>
        <v/>
      </c>
    </row>
    <row r="932" spans="7:16">
      <c r="G932" s="15">
        <f>'[01_Entry.xlsx]Book'!G932</f>
        <v>0.0</v>
      </c>
      <c r="H932" s="15">
        <f>'[01_Entry.xlsx]Book'!H932</f>
        <v>0.0</v>
      </c>
      <c r="I932" s="15">
        <f>'[01_Entry.xlsx]Book'!I932</f>
        <v>0.0</v>
      </c>
      <c r="K932" s="15">
        <f>'[01_Entry.xlsx]Book'!K932</f>
        <v>0.0</v>
      </c>
      <c r="L932" s="15">
        <f>'[01_Entry.xlsx]Book'!L932</f>
        <v>0.0</v>
      </c>
      <c r="M932" s="15">
        <f>'[01_Entry.xlsx]Book'!M932</f>
        <v>0.0</v>
      </c>
      <c r="P932" s="56">
        <f>IF($A932="","",IFERROR(VALUE(MID($A932,6,2)),""))</f>
        <v/>
      </c>
    </row>
    <row r="933" spans="7:16">
      <c r="G933" s="15">
        <f>'[01_Entry.xlsx]Book'!G933</f>
        <v>0.0</v>
      </c>
      <c r="H933" s="15">
        <f>'[01_Entry.xlsx]Book'!H933</f>
        <v>0.0</v>
      </c>
      <c r="I933" s="15">
        <f>'[01_Entry.xlsx]Book'!I933</f>
        <v>0.0</v>
      </c>
      <c r="K933" s="15">
        <f>'[01_Entry.xlsx]Book'!K933</f>
        <v>0.0</v>
      </c>
      <c r="L933" s="15">
        <f>'[01_Entry.xlsx]Book'!L933</f>
        <v>0.0</v>
      </c>
      <c r="M933" s="15">
        <f>'[01_Entry.xlsx]Book'!M933</f>
        <v>0.0</v>
      </c>
      <c r="P933" s="56">
        <f>IF($A933="","",IFERROR(VALUE(MID($A933,6,2)),""))</f>
        <v/>
      </c>
    </row>
    <row r="934" spans="7:16">
      <c r="G934" s="15">
        <f>'[01_Entry.xlsx]Book'!G934</f>
        <v>0.0</v>
      </c>
      <c r="H934" s="15">
        <f>'[01_Entry.xlsx]Book'!H934</f>
        <v>0.0</v>
      </c>
      <c r="I934" s="15">
        <f>'[01_Entry.xlsx]Book'!I934</f>
        <v>0.0</v>
      </c>
      <c r="K934" s="15">
        <f>'[01_Entry.xlsx]Book'!K934</f>
        <v>0.0</v>
      </c>
      <c r="L934" s="15">
        <f>'[01_Entry.xlsx]Book'!L934</f>
        <v>0.0</v>
      </c>
      <c r="M934" s="15">
        <f>'[01_Entry.xlsx]Book'!M934</f>
        <v>0.0</v>
      </c>
      <c r="P934" s="56">
        <f>IF($A934="","",IFERROR(VALUE(MID($A934,6,2)),""))</f>
        <v/>
      </c>
    </row>
    <row r="935" spans="7:16">
      <c r="G935" s="15">
        <f>'[01_Entry.xlsx]Book'!G935</f>
        <v>0.0</v>
      </c>
      <c r="H935" s="15">
        <f>'[01_Entry.xlsx]Book'!H935</f>
        <v>0.0</v>
      </c>
      <c r="I935" s="15">
        <f>'[01_Entry.xlsx]Book'!I935</f>
        <v>0.0</v>
      </c>
      <c r="K935" s="15">
        <f>'[01_Entry.xlsx]Book'!K935</f>
        <v>0.0</v>
      </c>
      <c r="L935" s="15">
        <f>'[01_Entry.xlsx]Book'!L935</f>
        <v>0.0</v>
      </c>
      <c r="M935" s="15">
        <f>'[01_Entry.xlsx]Book'!M935</f>
        <v>0.0</v>
      </c>
      <c r="P935" s="56">
        <f>IF($A935="","",IFERROR(VALUE(MID($A935,6,2)),""))</f>
        <v/>
      </c>
    </row>
    <row r="936" spans="7:16">
      <c r="G936" s="15">
        <f>'[01_Entry.xlsx]Book'!G936</f>
        <v>0.0</v>
      </c>
      <c r="H936" s="15">
        <f>'[01_Entry.xlsx]Book'!H936</f>
        <v>0.0</v>
      </c>
      <c r="I936" s="15">
        <f>'[01_Entry.xlsx]Book'!I936</f>
        <v>0.0</v>
      </c>
      <c r="K936" s="15">
        <f>'[01_Entry.xlsx]Book'!K936</f>
        <v>0.0</v>
      </c>
      <c r="L936" s="15">
        <f>'[01_Entry.xlsx]Book'!L936</f>
        <v>0.0</v>
      </c>
      <c r="M936" s="15">
        <f>'[01_Entry.xlsx]Book'!M936</f>
        <v>0.0</v>
      </c>
      <c r="P936" s="56">
        <f>IF($A936="","",IFERROR(VALUE(MID($A936,6,2)),""))</f>
        <v/>
      </c>
    </row>
    <row r="937" spans="7:16">
      <c r="G937" s="15">
        <f>'[01_Entry.xlsx]Book'!G937</f>
        <v>0.0</v>
      </c>
      <c r="H937" s="15">
        <f>'[01_Entry.xlsx]Book'!H937</f>
        <v>0.0</v>
      </c>
      <c r="I937" s="15">
        <f>'[01_Entry.xlsx]Book'!I937</f>
        <v>0.0</v>
      </c>
      <c r="K937" s="15">
        <f>'[01_Entry.xlsx]Book'!K937</f>
        <v>0.0</v>
      </c>
      <c r="L937" s="15">
        <f>'[01_Entry.xlsx]Book'!L937</f>
        <v>0.0</v>
      </c>
      <c r="M937" s="15">
        <f>'[01_Entry.xlsx]Book'!M937</f>
        <v>0.0</v>
      </c>
      <c r="P937" s="56">
        <f>IF($A937="","",IFERROR(VALUE(MID($A937,6,2)),""))</f>
        <v/>
      </c>
    </row>
    <row r="938" spans="7:16">
      <c r="G938" s="15">
        <f>'[01_Entry.xlsx]Book'!G938</f>
        <v>0.0</v>
      </c>
      <c r="H938" s="15">
        <f>'[01_Entry.xlsx]Book'!H938</f>
        <v>0.0</v>
      </c>
      <c r="I938" s="15">
        <f>'[01_Entry.xlsx]Book'!I938</f>
        <v>0.0</v>
      </c>
      <c r="K938" s="15">
        <f>'[01_Entry.xlsx]Book'!K938</f>
        <v>0.0</v>
      </c>
      <c r="L938" s="15">
        <f>'[01_Entry.xlsx]Book'!L938</f>
        <v>0.0</v>
      </c>
      <c r="M938" s="15">
        <f>'[01_Entry.xlsx]Book'!M938</f>
        <v>0.0</v>
      </c>
      <c r="P938" s="56">
        <f>IF($A938="","",IFERROR(VALUE(MID($A938,6,2)),""))</f>
        <v/>
      </c>
    </row>
    <row r="939" spans="7:16">
      <c r="G939" s="15">
        <f>'[01_Entry.xlsx]Book'!G939</f>
        <v>0.0</v>
      </c>
      <c r="H939" s="15">
        <f>'[01_Entry.xlsx]Book'!H939</f>
        <v>0.0</v>
      </c>
      <c r="I939" s="15">
        <f>'[01_Entry.xlsx]Book'!I939</f>
        <v>0.0</v>
      </c>
      <c r="K939" s="15">
        <f>'[01_Entry.xlsx]Book'!K939</f>
        <v>0.0</v>
      </c>
      <c r="L939" s="15">
        <f>'[01_Entry.xlsx]Book'!L939</f>
        <v>0.0</v>
      </c>
      <c r="M939" s="15">
        <f>'[01_Entry.xlsx]Book'!M939</f>
        <v>0.0</v>
      </c>
      <c r="P939" s="56">
        <f>IF($A939="","",IFERROR(VALUE(MID($A939,6,2)),""))</f>
        <v/>
      </c>
    </row>
    <row r="940" spans="7:16">
      <c r="G940" s="15">
        <f>'[01_Entry.xlsx]Book'!G940</f>
        <v>0.0</v>
      </c>
      <c r="H940" s="15">
        <f>'[01_Entry.xlsx]Book'!H940</f>
        <v>0.0</v>
      </c>
      <c r="I940" s="15">
        <f>'[01_Entry.xlsx]Book'!I940</f>
        <v>0.0</v>
      </c>
      <c r="K940" s="15">
        <f>'[01_Entry.xlsx]Book'!K940</f>
        <v>0.0</v>
      </c>
      <c r="L940" s="15">
        <f>'[01_Entry.xlsx]Book'!L940</f>
        <v>0.0</v>
      </c>
      <c r="M940" s="15">
        <f>'[01_Entry.xlsx]Book'!M940</f>
        <v>0.0</v>
      </c>
      <c r="P940" s="56">
        <f>IF($A940="","",IFERROR(VALUE(MID($A940,6,2)),""))</f>
        <v/>
      </c>
    </row>
    <row r="941" spans="7:16">
      <c r="G941" s="15">
        <f>'[01_Entry.xlsx]Book'!G941</f>
        <v>0.0</v>
      </c>
      <c r="H941" s="15">
        <f>'[01_Entry.xlsx]Book'!H941</f>
        <v>0.0</v>
      </c>
      <c r="I941" s="15">
        <f>'[01_Entry.xlsx]Book'!I941</f>
        <v>0.0</v>
      </c>
      <c r="K941" s="15">
        <f>'[01_Entry.xlsx]Book'!K941</f>
        <v>0.0</v>
      </c>
      <c r="L941" s="15">
        <f>'[01_Entry.xlsx]Book'!L941</f>
        <v>0.0</v>
      </c>
      <c r="M941" s="15">
        <f>'[01_Entry.xlsx]Book'!M941</f>
        <v>0.0</v>
      </c>
      <c r="P941" s="56">
        <f>IF($A941="","",IFERROR(VALUE(MID($A941,6,2)),""))</f>
        <v/>
      </c>
    </row>
    <row r="942" spans="7:16">
      <c r="G942" s="15">
        <f>'[01_Entry.xlsx]Book'!G942</f>
        <v>0.0</v>
      </c>
      <c r="H942" s="15">
        <f>'[01_Entry.xlsx]Book'!H942</f>
        <v>0.0</v>
      </c>
      <c r="I942" s="15">
        <f>'[01_Entry.xlsx]Book'!I942</f>
        <v>0.0</v>
      </c>
      <c r="K942" s="15">
        <f>'[01_Entry.xlsx]Book'!K942</f>
        <v>0.0</v>
      </c>
      <c r="L942" s="15">
        <f>'[01_Entry.xlsx]Book'!L942</f>
        <v>0.0</v>
      </c>
      <c r="M942" s="15">
        <f>'[01_Entry.xlsx]Book'!M942</f>
        <v>0.0</v>
      </c>
      <c r="P942" s="56">
        <f>IF($A942="","",IFERROR(VALUE(MID($A942,6,2)),""))</f>
        <v/>
      </c>
    </row>
    <row r="943" spans="7:16">
      <c r="G943" s="15">
        <f>'[01_Entry.xlsx]Book'!G943</f>
        <v>0.0</v>
      </c>
      <c r="H943" s="15">
        <f>'[01_Entry.xlsx]Book'!H943</f>
        <v>0.0</v>
      </c>
      <c r="I943" s="15">
        <f>'[01_Entry.xlsx]Book'!I943</f>
        <v>0.0</v>
      </c>
      <c r="K943" s="15">
        <f>'[01_Entry.xlsx]Book'!K943</f>
        <v>0.0</v>
      </c>
      <c r="L943" s="15">
        <f>'[01_Entry.xlsx]Book'!L943</f>
        <v>0.0</v>
      </c>
      <c r="M943" s="15">
        <f>'[01_Entry.xlsx]Book'!M943</f>
        <v>0.0</v>
      </c>
      <c r="P943" s="56">
        <f>IF($A943="","",IFERROR(VALUE(MID($A943,6,2)),""))</f>
        <v/>
      </c>
    </row>
    <row r="944" spans="7:16">
      <c r="G944" s="15">
        <f>'[01_Entry.xlsx]Book'!G944</f>
        <v>0.0</v>
      </c>
      <c r="H944" s="15">
        <f>'[01_Entry.xlsx]Book'!H944</f>
        <v>0.0</v>
      </c>
      <c r="I944" s="15">
        <f>'[01_Entry.xlsx]Book'!I944</f>
        <v>0.0</v>
      </c>
      <c r="K944" s="15">
        <f>'[01_Entry.xlsx]Book'!K944</f>
        <v>0.0</v>
      </c>
      <c r="L944" s="15">
        <f>'[01_Entry.xlsx]Book'!L944</f>
        <v>0.0</v>
      </c>
      <c r="M944" s="15">
        <f>'[01_Entry.xlsx]Book'!M944</f>
        <v>0.0</v>
      </c>
      <c r="P944" s="56">
        <f>IF($A944="","",IFERROR(VALUE(MID($A944,6,2)),""))</f>
        <v/>
      </c>
    </row>
    <row r="945" spans="7:16">
      <c r="G945" s="15">
        <f>'[01_Entry.xlsx]Book'!G945</f>
        <v>0.0</v>
      </c>
      <c r="H945" s="15">
        <f>'[01_Entry.xlsx]Book'!H945</f>
        <v>0.0</v>
      </c>
      <c r="I945" s="15">
        <f>'[01_Entry.xlsx]Book'!I945</f>
        <v>0.0</v>
      </c>
      <c r="K945" s="15">
        <f>'[01_Entry.xlsx]Book'!K945</f>
        <v>0.0</v>
      </c>
      <c r="L945" s="15">
        <f>'[01_Entry.xlsx]Book'!L945</f>
        <v>0.0</v>
      </c>
      <c r="M945" s="15">
        <f>'[01_Entry.xlsx]Book'!M945</f>
        <v>0.0</v>
      </c>
      <c r="P945" s="56">
        <f>IF($A945="","",IFERROR(VALUE(MID($A945,6,2)),""))</f>
        <v/>
      </c>
    </row>
    <row r="946" spans="7:16">
      <c r="G946" s="15">
        <f>'[01_Entry.xlsx]Book'!G946</f>
        <v>0.0</v>
      </c>
      <c r="H946" s="15">
        <f>'[01_Entry.xlsx]Book'!H946</f>
        <v>0.0</v>
      </c>
      <c r="I946" s="15">
        <f>'[01_Entry.xlsx]Book'!I946</f>
        <v>0.0</v>
      </c>
      <c r="K946" s="15">
        <f>'[01_Entry.xlsx]Book'!K946</f>
        <v>0.0</v>
      </c>
      <c r="L946" s="15">
        <f>'[01_Entry.xlsx]Book'!L946</f>
        <v>0.0</v>
      </c>
      <c r="M946" s="15">
        <f>'[01_Entry.xlsx]Book'!M946</f>
        <v>0.0</v>
      </c>
      <c r="P946" s="56">
        <f>IF($A946="","",IFERROR(VALUE(MID($A946,6,2)),""))</f>
        <v/>
      </c>
    </row>
    <row r="947" spans="7:16">
      <c r="G947" s="15">
        <f>'[01_Entry.xlsx]Book'!G947</f>
        <v>0.0</v>
      </c>
      <c r="H947" s="15">
        <f>'[01_Entry.xlsx]Book'!H947</f>
        <v>0.0</v>
      </c>
      <c r="I947" s="15">
        <f>'[01_Entry.xlsx]Book'!I947</f>
        <v>0.0</v>
      </c>
      <c r="K947" s="15">
        <f>'[01_Entry.xlsx]Book'!K947</f>
        <v>0.0</v>
      </c>
      <c r="L947" s="15">
        <f>'[01_Entry.xlsx]Book'!L947</f>
        <v>0.0</v>
      </c>
      <c r="M947" s="15">
        <f>'[01_Entry.xlsx]Book'!M947</f>
        <v>0.0</v>
      </c>
      <c r="P947" s="56">
        <f>IF($A947="","",IFERROR(VALUE(MID($A947,6,2)),""))</f>
        <v/>
      </c>
    </row>
    <row r="948" spans="7:16">
      <c r="G948" s="15">
        <f>'[01_Entry.xlsx]Book'!G948</f>
        <v>0.0</v>
      </c>
      <c r="H948" s="15">
        <f>'[01_Entry.xlsx]Book'!H948</f>
        <v>0.0</v>
      </c>
      <c r="I948" s="15">
        <f>'[01_Entry.xlsx]Book'!I948</f>
        <v>0.0</v>
      </c>
      <c r="K948" s="15">
        <f>'[01_Entry.xlsx]Book'!K948</f>
        <v>0.0</v>
      </c>
      <c r="L948" s="15">
        <f>'[01_Entry.xlsx]Book'!L948</f>
        <v>0.0</v>
      </c>
      <c r="M948" s="15">
        <f>'[01_Entry.xlsx]Book'!M948</f>
        <v>0.0</v>
      </c>
      <c r="P948" s="56">
        <f>IF($A948="","",IFERROR(VALUE(MID($A948,6,2)),""))</f>
        <v/>
      </c>
    </row>
    <row r="949" spans="7:16">
      <c r="G949" s="15">
        <f>'[01_Entry.xlsx]Book'!G949</f>
        <v>0.0</v>
      </c>
      <c r="H949" s="15">
        <f>'[01_Entry.xlsx]Book'!H949</f>
        <v>0.0</v>
      </c>
      <c r="I949" s="15">
        <f>'[01_Entry.xlsx]Book'!I949</f>
        <v>0.0</v>
      </c>
      <c r="K949" s="15">
        <f>'[01_Entry.xlsx]Book'!K949</f>
        <v>0.0</v>
      </c>
      <c r="L949" s="15">
        <f>'[01_Entry.xlsx]Book'!L949</f>
        <v>0.0</v>
      </c>
      <c r="M949" s="15">
        <f>'[01_Entry.xlsx]Book'!M949</f>
        <v>0.0</v>
      </c>
      <c r="P949" s="56">
        <f>IF($A949="","",IFERROR(VALUE(MID($A949,6,2)),""))</f>
        <v/>
      </c>
    </row>
    <row r="950" spans="7:16">
      <c r="G950" s="15">
        <f>'[01_Entry.xlsx]Book'!G950</f>
        <v>0.0</v>
      </c>
      <c r="H950" s="15">
        <f>'[01_Entry.xlsx]Book'!H950</f>
        <v>0.0</v>
      </c>
      <c r="I950" s="15">
        <f>'[01_Entry.xlsx]Book'!I950</f>
        <v>0.0</v>
      </c>
      <c r="K950" s="15">
        <f>'[01_Entry.xlsx]Book'!K950</f>
        <v>0.0</v>
      </c>
      <c r="L950" s="15">
        <f>'[01_Entry.xlsx]Book'!L950</f>
        <v>0.0</v>
      </c>
      <c r="M950" s="15">
        <f>'[01_Entry.xlsx]Book'!M950</f>
        <v>0.0</v>
      </c>
      <c r="P950" s="56">
        <f>IF($A950="","",IFERROR(VALUE(MID($A950,6,2)),""))</f>
        <v/>
      </c>
    </row>
    <row r="951" spans="7:16">
      <c r="G951" s="15">
        <f>'[01_Entry.xlsx]Book'!G951</f>
        <v>0.0</v>
      </c>
      <c r="H951" s="15">
        <f>'[01_Entry.xlsx]Book'!H951</f>
        <v>0.0</v>
      </c>
      <c r="I951" s="15">
        <f>'[01_Entry.xlsx]Book'!I951</f>
        <v>0.0</v>
      </c>
      <c r="K951" s="15">
        <f>'[01_Entry.xlsx]Book'!K951</f>
        <v>0.0</v>
      </c>
      <c r="L951" s="15">
        <f>'[01_Entry.xlsx]Book'!L951</f>
        <v>0.0</v>
      </c>
      <c r="M951" s="15">
        <f>'[01_Entry.xlsx]Book'!M951</f>
        <v>0.0</v>
      </c>
      <c r="P951" s="56">
        <f>IF($A951="","",IFERROR(VALUE(MID($A951,6,2)),""))</f>
        <v/>
      </c>
    </row>
    <row r="952" spans="7:16">
      <c r="G952" s="15">
        <f>'[01_Entry.xlsx]Book'!G952</f>
        <v>0.0</v>
      </c>
      <c r="H952" s="15">
        <f>'[01_Entry.xlsx]Book'!H952</f>
        <v>0.0</v>
      </c>
      <c r="I952" s="15">
        <f>'[01_Entry.xlsx]Book'!I952</f>
        <v>0.0</v>
      </c>
      <c r="K952" s="15">
        <f>'[01_Entry.xlsx]Book'!K952</f>
        <v>0.0</v>
      </c>
      <c r="L952" s="15">
        <f>'[01_Entry.xlsx]Book'!L952</f>
        <v>0.0</v>
      </c>
      <c r="M952" s="15">
        <f>'[01_Entry.xlsx]Book'!M952</f>
        <v>0.0</v>
      </c>
      <c r="P952" s="56">
        <f>IF($A952="","",IFERROR(VALUE(MID($A952,6,2)),""))</f>
        <v/>
      </c>
    </row>
    <row r="953" spans="7:16">
      <c r="G953" s="15">
        <f>'[01_Entry.xlsx]Book'!G953</f>
        <v>0.0</v>
      </c>
      <c r="H953" s="15">
        <f>'[01_Entry.xlsx]Book'!H953</f>
        <v>0.0</v>
      </c>
      <c r="I953" s="15">
        <f>'[01_Entry.xlsx]Book'!I953</f>
        <v>0.0</v>
      </c>
      <c r="K953" s="15">
        <f>'[01_Entry.xlsx]Book'!K953</f>
        <v>0.0</v>
      </c>
      <c r="L953" s="15">
        <f>'[01_Entry.xlsx]Book'!L953</f>
        <v>0.0</v>
      </c>
      <c r="M953" s="15">
        <f>'[01_Entry.xlsx]Book'!M953</f>
        <v>0.0</v>
      </c>
      <c r="P953" s="56">
        <f>IF($A953="","",IFERROR(VALUE(MID($A953,6,2)),""))</f>
        <v/>
      </c>
    </row>
    <row r="954" spans="7:16">
      <c r="G954" s="15">
        <f>'[01_Entry.xlsx]Book'!G954</f>
        <v>0.0</v>
      </c>
      <c r="H954" s="15">
        <f>'[01_Entry.xlsx]Book'!H954</f>
        <v>0.0</v>
      </c>
      <c r="I954" s="15">
        <f>'[01_Entry.xlsx]Book'!I954</f>
        <v>0.0</v>
      </c>
      <c r="K954" s="15">
        <f>'[01_Entry.xlsx]Book'!K954</f>
        <v>0.0</v>
      </c>
      <c r="L954" s="15">
        <f>'[01_Entry.xlsx]Book'!L954</f>
        <v>0.0</v>
      </c>
      <c r="M954" s="15">
        <f>'[01_Entry.xlsx]Book'!M954</f>
        <v>0.0</v>
      </c>
      <c r="P954" s="56">
        <f>IF($A954="","",IFERROR(VALUE(MID($A954,6,2)),""))</f>
        <v/>
      </c>
    </row>
    <row r="955" spans="7:16">
      <c r="G955" s="15">
        <f>'[01_Entry.xlsx]Book'!G955</f>
        <v>0.0</v>
      </c>
      <c r="H955" s="15">
        <f>'[01_Entry.xlsx]Book'!H955</f>
        <v>0.0</v>
      </c>
      <c r="I955" s="15">
        <f>'[01_Entry.xlsx]Book'!I955</f>
        <v>0.0</v>
      </c>
      <c r="K955" s="15">
        <f>'[01_Entry.xlsx]Book'!K955</f>
        <v>0.0</v>
      </c>
      <c r="L955" s="15">
        <f>'[01_Entry.xlsx]Book'!L955</f>
        <v>0.0</v>
      </c>
      <c r="M955" s="15">
        <f>'[01_Entry.xlsx]Book'!M955</f>
        <v>0.0</v>
      </c>
      <c r="P955" s="56">
        <f>IF($A955="","",IFERROR(VALUE(MID($A955,6,2)),""))</f>
        <v/>
      </c>
    </row>
    <row r="956" spans="7:16">
      <c r="G956" s="15">
        <f>'[01_Entry.xlsx]Book'!G956</f>
        <v>0.0</v>
      </c>
      <c r="H956" s="15">
        <f>'[01_Entry.xlsx]Book'!H956</f>
        <v>0.0</v>
      </c>
      <c r="I956" s="15">
        <f>'[01_Entry.xlsx]Book'!I956</f>
        <v>0.0</v>
      </c>
      <c r="K956" s="15">
        <f>'[01_Entry.xlsx]Book'!K956</f>
        <v>0.0</v>
      </c>
      <c r="L956" s="15">
        <f>'[01_Entry.xlsx]Book'!L956</f>
        <v>0.0</v>
      </c>
      <c r="M956" s="15">
        <f>'[01_Entry.xlsx]Book'!M956</f>
        <v>0.0</v>
      </c>
      <c r="P956" s="56">
        <f>IF($A956="","",IFERROR(VALUE(MID($A956,6,2)),""))</f>
        <v/>
      </c>
    </row>
    <row r="957" spans="7:16">
      <c r="G957" s="15">
        <f>'[01_Entry.xlsx]Book'!G957</f>
        <v>0.0</v>
      </c>
      <c r="H957" s="15">
        <f>'[01_Entry.xlsx]Book'!H957</f>
        <v>0.0</v>
      </c>
      <c r="I957" s="15">
        <f>'[01_Entry.xlsx]Book'!I957</f>
        <v>0.0</v>
      </c>
      <c r="K957" s="15">
        <f>'[01_Entry.xlsx]Book'!K957</f>
        <v>0.0</v>
      </c>
      <c r="L957" s="15">
        <f>'[01_Entry.xlsx]Book'!L957</f>
        <v>0.0</v>
      </c>
      <c r="M957" s="15">
        <f>'[01_Entry.xlsx]Book'!M957</f>
        <v>0.0</v>
      </c>
      <c r="P957" s="56">
        <f>IF($A957="","",IFERROR(VALUE(MID($A957,6,2)),""))</f>
        <v/>
      </c>
    </row>
    <row r="958" spans="7:16">
      <c r="G958" s="15">
        <f>'[01_Entry.xlsx]Book'!G958</f>
        <v>0.0</v>
      </c>
      <c r="H958" s="15">
        <f>'[01_Entry.xlsx]Book'!H958</f>
        <v>0.0</v>
      </c>
      <c r="I958" s="15">
        <f>'[01_Entry.xlsx]Book'!I958</f>
        <v>0.0</v>
      </c>
      <c r="K958" s="15">
        <f>'[01_Entry.xlsx]Book'!K958</f>
        <v>0.0</v>
      </c>
      <c r="L958" s="15">
        <f>'[01_Entry.xlsx]Book'!L958</f>
        <v>0.0</v>
      </c>
      <c r="M958" s="15">
        <f>'[01_Entry.xlsx]Book'!M958</f>
        <v>0.0</v>
      </c>
      <c r="P958" s="56">
        <f>IF($A958="","",IFERROR(VALUE(MID($A958,6,2)),""))</f>
        <v/>
      </c>
    </row>
    <row r="959" spans="7:16">
      <c r="G959" s="15">
        <f>'[01_Entry.xlsx]Book'!G959</f>
        <v>0.0</v>
      </c>
      <c r="H959" s="15">
        <f>'[01_Entry.xlsx]Book'!H959</f>
        <v>0.0</v>
      </c>
      <c r="I959" s="15">
        <f>'[01_Entry.xlsx]Book'!I959</f>
        <v>0.0</v>
      </c>
      <c r="K959" s="15">
        <f>'[01_Entry.xlsx]Book'!K959</f>
        <v>0.0</v>
      </c>
      <c r="L959" s="15">
        <f>'[01_Entry.xlsx]Book'!L959</f>
        <v>0.0</v>
      </c>
      <c r="M959" s="15">
        <f>'[01_Entry.xlsx]Book'!M959</f>
        <v>0.0</v>
      </c>
      <c r="P959" s="56">
        <f>IF($A959="","",IFERROR(VALUE(MID($A959,6,2)),""))</f>
        <v/>
      </c>
    </row>
    <row r="960" spans="7:16">
      <c r="G960" s="15">
        <f>'[01_Entry.xlsx]Book'!G960</f>
        <v>0.0</v>
      </c>
      <c r="H960" s="15">
        <f>'[01_Entry.xlsx]Book'!H960</f>
        <v>0.0</v>
      </c>
      <c r="I960" s="15">
        <f>'[01_Entry.xlsx]Book'!I960</f>
        <v>0.0</v>
      </c>
      <c r="K960" s="15">
        <f>'[01_Entry.xlsx]Book'!K960</f>
        <v>0.0</v>
      </c>
      <c r="L960" s="15">
        <f>'[01_Entry.xlsx]Book'!L960</f>
        <v>0.0</v>
      </c>
      <c r="M960" s="15">
        <f>'[01_Entry.xlsx]Book'!M960</f>
        <v>0.0</v>
      </c>
      <c r="P960" s="56">
        <f>IF($A960="","",IFERROR(VALUE(MID($A960,6,2)),""))</f>
        <v/>
      </c>
    </row>
    <row r="961" spans="7:16">
      <c r="G961" s="15">
        <f>'[01_Entry.xlsx]Book'!G961</f>
        <v>0.0</v>
      </c>
      <c r="H961" s="15">
        <f>'[01_Entry.xlsx]Book'!H961</f>
        <v>0.0</v>
      </c>
      <c r="I961" s="15">
        <f>'[01_Entry.xlsx]Book'!I961</f>
        <v>0.0</v>
      </c>
      <c r="K961" s="15">
        <f>'[01_Entry.xlsx]Book'!K961</f>
        <v>0.0</v>
      </c>
      <c r="L961" s="15">
        <f>'[01_Entry.xlsx]Book'!L961</f>
        <v>0.0</v>
      </c>
      <c r="M961" s="15">
        <f>'[01_Entry.xlsx]Book'!M961</f>
        <v>0.0</v>
      </c>
      <c r="P961" s="56">
        <f>IF($A961="","",IFERROR(VALUE(MID($A961,6,2)),""))</f>
        <v/>
      </c>
    </row>
    <row r="962" spans="7:16">
      <c r="G962" s="15">
        <f>'[01_Entry.xlsx]Book'!G962</f>
        <v>0.0</v>
      </c>
      <c r="H962" s="15">
        <f>'[01_Entry.xlsx]Book'!H962</f>
        <v>0.0</v>
      </c>
      <c r="I962" s="15">
        <f>'[01_Entry.xlsx]Book'!I962</f>
        <v>0.0</v>
      </c>
      <c r="K962" s="15">
        <f>'[01_Entry.xlsx]Book'!K962</f>
        <v>0.0</v>
      </c>
      <c r="L962" s="15">
        <f>'[01_Entry.xlsx]Book'!L962</f>
        <v>0.0</v>
      </c>
      <c r="M962" s="15">
        <f>'[01_Entry.xlsx]Book'!M962</f>
        <v>0.0</v>
      </c>
      <c r="P962" s="56">
        <f>IF($A962="","",IFERROR(VALUE(MID($A962,6,2)),""))</f>
        <v/>
      </c>
    </row>
    <row r="963" spans="7:16">
      <c r="G963" s="15">
        <f>'[01_Entry.xlsx]Book'!G963</f>
        <v>0.0</v>
      </c>
      <c r="H963" s="15">
        <f>'[01_Entry.xlsx]Book'!H963</f>
        <v>0.0</v>
      </c>
      <c r="I963" s="15">
        <f>'[01_Entry.xlsx]Book'!I963</f>
        <v>0.0</v>
      </c>
      <c r="K963" s="15">
        <f>'[01_Entry.xlsx]Book'!K963</f>
        <v>0.0</v>
      </c>
      <c r="L963" s="15">
        <f>'[01_Entry.xlsx]Book'!L963</f>
        <v>0.0</v>
      </c>
      <c r="M963" s="15">
        <f>'[01_Entry.xlsx]Book'!M963</f>
        <v>0.0</v>
      </c>
      <c r="P963" s="56">
        <f>IF($A963="","",IFERROR(VALUE(MID($A963,6,2)),""))</f>
        <v/>
      </c>
    </row>
    <row r="964" spans="7:16">
      <c r="G964" s="15">
        <f>'[01_Entry.xlsx]Book'!G964</f>
        <v>0.0</v>
      </c>
      <c r="H964" s="15">
        <f>'[01_Entry.xlsx]Book'!H964</f>
        <v>0.0</v>
      </c>
      <c r="I964" s="15">
        <f>'[01_Entry.xlsx]Book'!I964</f>
        <v>0.0</v>
      </c>
      <c r="K964" s="15">
        <f>'[01_Entry.xlsx]Book'!K964</f>
        <v>0.0</v>
      </c>
      <c r="L964" s="15">
        <f>'[01_Entry.xlsx]Book'!L964</f>
        <v>0.0</v>
      </c>
      <c r="M964" s="15">
        <f>'[01_Entry.xlsx]Book'!M964</f>
        <v>0.0</v>
      </c>
      <c r="P964" s="56">
        <f>IF($A964="","",IFERROR(VALUE(MID($A964,6,2)),""))</f>
        <v/>
      </c>
    </row>
    <row r="965" spans="7:16">
      <c r="G965" s="15">
        <f>'[01_Entry.xlsx]Book'!G965</f>
        <v>0.0</v>
      </c>
      <c r="H965" s="15">
        <f>'[01_Entry.xlsx]Book'!H965</f>
        <v>0.0</v>
      </c>
      <c r="I965" s="15">
        <f>'[01_Entry.xlsx]Book'!I965</f>
        <v>0.0</v>
      </c>
      <c r="K965" s="15">
        <f>'[01_Entry.xlsx]Book'!K965</f>
        <v>0.0</v>
      </c>
      <c r="L965" s="15">
        <f>'[01_Entry.xlsx]Book'!L965</f>
        <v>0.0</v>
      </c>
      <c r="M965" s="15">
        <f>'[01_Entry.xlsx]Book'!M965</f>
        <v>0.0</v>
      </c>
      <c r="P965" s="56">
        <f>IF($A965="","",IFERROR(VALUE(MID($A965,6,2)),""))</f>
        <v/>
      </c>
    </row>
    <row r="966" spans="7:16">
      <c r="G966" s="15">
        <f>'[01_Entry.xlsx]Book'!G966</f>
        <v>0.0</v>
      </c>
      <c r="H966" s="15">
        <f>'[01_Entry.xlsx]Book'!H966</f>
        <v>0.0</v>
      </c>
      <c r="I966" s="15">
        <f>'[01_Entry.xlsx]Book'!I966</f>
        <v>0.0</v>
      </c>
      <c r="K966" s="15">
        <f>'[01_Entry.xlsx]Book'!K966</f>
        <v>0.0</v>
      </c>
      <c r="L966" s="15">
        <f>'[01_Entry.xlsx]Book'!L966</f>
        <v>0.0</v>
      </c>
      <c r="M966" s="15">
        <f>'[01_Entry.xlsx]Book'!M966</f>
        <v>0.0</v>
      </c>
      <c r="P966" s="56">
        <f>IF($A966="","",IFERROR(VALUE(MID($A966,6,2)),""))</f>
        <v/>
      </c>
    </row>
    <row r="967" spans="7:16">
      <c r="G967" s="15">
        <f>'[01_Entry.xlsx]Book'!G967</f>
        <v>0.0</v>
      </c>
      <c r="H967" s="15">
        <f>'[01_Entry.xlsx]Book'!H967</f>
        <v>0.0</v>
      </c>
      <c r="I967" s="15">
        <f>'[01_Entry.xlsx]Book'!I967</f>
        <v>0.0</v>
      </c>
      <c r="K967" s="15">
        <f>'[01_Entry.xlsx]Book'!K967</f>
        <v>0.0</v>
      </c>
      <c r="L967" s="15">
        <f>'[01_Entry.xlsx]Book'!L967</f>
        <v>0.0</v>
      </c>
      <c r="M967" s="15">
        <f>'[01_Entry.xlsx]Book'!M967</f>
        <v>0.0</v>
      </c>
      <c r="P967" s="56">
        <f>IF($A967="","",IFERROR(VALUE(MID($A967,6,2)),""))</f>
        <v/>
      </c>
    </row>
    <row r="968" spans="7:16">
      <c r="G968" s="15">
        <f>'[01_Entry.xlsx]Book'!G968</f>
        <v>0.0</v>
      </c>
      <c r="H968" s="15">
        <f>'[01_Entry.xlsx]Book'!H968</f>
        <v>0.0</v>
      </c>
      <c r="I968" s="15">
        <f>'[01_Entry.xlsx]Book'!I968</f>
        <v>0.0</v>
      </c>
      <c r="K968" s="15">
        <f>'[01_Entry.xlsx]Book'!K968</f>
        <v>0.0</v>
      </c>
      <c r="L968" s="15">
        <f>'[01_Entry.xlsx]Book'!L968</f>
        <v>0.0</v>
      </c>
      <c r="M968" s="15">
        <f>'[01_Entry.xlsx]Book'!M968</f>
        <v>0.0</v>
      </c>
      <c r="P968" s="56">
        <f>IF($A968="","",IFERROR(VALUE(MID($A968,6,2)),""))</f>
        <v/>
      </c>
    </row>
    <row r="969" spans="7:16">
      <c r="G969" s="15">
        <f>'[01_Entry.xlsx]Book'!G969</f>
        <v>0.0</v>
      </c>
      <c r="H969" s="15">
        <f>'[01_Entry.xlsx]Book'!H969</f>
        <v>0.0</v>
      </c>
      <c r="I969" s="15">
        <f>'[01_Entry.xlsx]Book'!I969</f>
        <v>0.0</v>
      </c>
      <c r="K969" s="15">
        <f>'[01_Entry.xlsx]Book'!K969</f>
        <v>0.0</v>
      </c>
      <c r="L969" s="15">
        <f>'[01_Entry.xlsx]Book'!L969</f>
        <v>0.0</v>
      </c>
      <c r="M969" s="15">
        <f>'[01_Entry.xlsx]Book'!M969</f>
        <v>0.0</v>
      </c>
      <c r="P969" s="56">
        <f>IF($A969="","",IFERROR(VALUE(MID($A969,6,2)),""))</f>
        <v/>
      </c>
    </row>
    <row r="970" spans="7:16">
      <c r="G970" s="15">
        <f>'[01_Entry.xlsx]Book'!G970</f>
        <v>0.0</v>
      </c>
      <c r="H970" s="15">
        <f>'[01_Entry.xlsx]Book'!H970</f>
        <v>0.0</v>
      </c>
      <c r="I970" s="15">
        <f>'[01_Entry.xlsx]Book'!I970</f>
        <v>0.0</v>
      </c>
      <c r="K970" s="15">
        <f>'[01_Entry.xlsx]Book'!K970</f>
        <v>0.0</v>
      </c>
      <c r="L970" s="15">
        <f>'[01_Entry.xlsx]Book'!L970</f>
        <v>0.0</v>
      </c>
      <c r="M970" s="15">
        <f>'[01_Entry.xlsx]Book'!M970</f>
        <v>0.0</v>
      </c>
      <c r="P970" s="56">
        <f>IF($A970="","",IFERROR(VALUE(MID($A970,6,2)),""))</f>
        <v/>
      </c>
    </row>
    <row r="971" spans="7:16">
      <c r="G971" s="15">
        <f>'[01_Entry.xlsx]Book'!G971</f>
        <v>0.0</v>
      </c>
      <c r="H971" s="15">
        <f>'[01_Entry.xlsx]Book'!H971</f>
        <v>0.0</v>
      </c>
      <c r="I971" s="15">
        <f>'[01_Entry.xlsx]Book'!I971</f>
        <v>0.0</v>
      </c>
      <c r="K971" s="15">
        <f>'[01_Entry.xlsx]Book'!K971</f>
        <v>0.0</v>
      </c>
      <c r="L971" s="15">
        <f>'[01_Entry.xlsx]Book'!L971</f>
        <v>0.0</v>
      </c>
      <c r="M971" s="15">
        <f>'[01_Entry.xlsx]Book'!M971</f>
        <v>0.0</v>
      </c>
      <c r="P971" s="56">
        <f>IF($A971="","",IFERROR(VALUE(MID($A971,6,2)),""))</f>
        <v/>
      </c>
    </row>
    <row r="972" spans="7:16">
      <c r="G972" s="15">
        <f>'[01_Entry.xlsx]Book'!G972</f>
        <v>0.0</v>
      </c>
      <c r="H972" s="15">
        <f>'[01_Entry.xlsx]Book'!H972</f>
        <v>0.0</v>
      </c>
      <c r="I972" s="15">
        <f>'[01_Entry.xlsx]Book'!I972</f>
        <v>0.0</v>
      </c>
      <c r="K972" s="15">
        <f>'[01_Entry.xlsx]Book'!K972</f>
        <v>0.0</v>
      </c>
      <c r="L972" s="15">
        <f>'[01_Entry.xlsx]Book'!L972</f>
        <v>0.0</v>
      </c>
      <c r="M972" s="15">
        <f>'[01_Entry.xlsx]Book'!M972</f>
        <v>0.0</v>
      </c>
      <c r="P972" s="56">
        <f>IF($A972="","",IFERROR(VALUE(MID($A972,6,2)),""))</f>
        <v/>
      </c>
    </row>
    <row r="973" spans="7:16">
      <c r="G973" s="15">
        <f>'[01_Entry.xlsx]Book'!G973</f>
        <v>0.0</v>
      </c>
      <c r="H973" s="15">
        <f>'[01_Entry.xlsx]Book'!H973</f>
        <v>0.0</v>
      </c>
      <c r="I973" s="15">
        <f>'[01_Entry.xlsx]Book'!I973</f>
        <v>0.0</v>
      </c>
      <c r="K973" s="15">
        <f>'[01_Entry.xlsx]Book'!K973</f>
        <v>0.0</v>
      </c>
      <c r="L973" s="15">
        <f>'[01_Entry.xlsx]Book'!L973</f>
        <v>0.0</v>
      </c>
      <c r="M973" s="15">
        <f>'[01_Entry.xlsx]Book'!M973</f>
        <v>0.0</v>
      </c>
      <c r="P973" s="56">
        <f>IF($A973="","",IFERROR(VALUE(MID($A973,6,2)),""))</f>
        <v/>
      </c>
    </row>
    <row r="974" spans="7:16">
      <c r="G974" s="15">
        <f>'[01_Entry.xlsx]Book'!G974</f>
        <v>0.0</v>
      </c>
      <c r="H974" s="15">
        <f>'[01_Entry.xlsx]Book'!H974</f>
        <v>0.0</v>
      </c>
      <c r="I974" s="15">
        <f>'[01_Entry.xlsx]Book'!I974</f>
        <v>0.0</v>
      </c>
      <c r="K974" s="15">
        <f>'[01_Entry.xlsx]Book'!K974</f>
        <v>0.0</v>
      </c>
      <c r="L974" s="15">
        <f>'[01_Entry.xlsx]Book'!L974</f>
        <v>0.0</v>
      </c>
      <c r="M974" s="15">
        <f>'[01_Entry.xlsx]Book'!M974</f>
        <v>0.0</v>
      </c>
      <c r="P974" s="56">
        <f>IF($A974="","",IFERROR(VALUE(MID($A974,6,2)),""))</f>
        <v/>
      </c>
    </row>
    <row r="975" spans="7:16">
      <c r="G975" s="15">
        <f>'[01_Entry.xlsx]Book'!G975</f>
        <v>0.0</v>
      </c>
      <c r="H975" s="15">
        <f>'[01_Entry.xlsx]Book'!H975</f>
        <v>0.0</v>
      </c>
      <c r="I975" s="15">
        <f>'[01_Entry.xlsx]Book'!I975</f>
        <v>0.0</v>
      </c>
      <c r="K975" s="15">
        <f>'[01_Entry.xlsx]Book'!K975</f>
        <v>0.0</v>
      </c>
      <c r="L975" s="15">
        <f>'[01_Entry.xlsx]Book'!L975</f>
        <v>0.0</v>
      </c>
      <c r="M975" s="15">
        <f>'[01_Entry.xlsx]Book'!M975</f>
        <v>0.0</v>
      </c>
      <c r="P975" s="56">
        <f>IF($A975="","",IFERROR(VALUE(MID($A975,6,2)),""))</f>
        <v/>
      </c>
    </row>
    <row r="976" spans="7:16">
      <c r="G976" s="15">
        <f>'[01_Entry.xlsx]Book'!G976</f>
        <v>0.0</v>
      </c>
      <c r="H976" s="15">
        <f>'[01_Entry.xlsx]Book'!H976</f>
        <v>0.0</v>
      </c>
      <c r="I976" s="15">
        <f>'[01_Entry.xlsx]Book'!I976</f>
        <v>0.0</v>
      </c>
      <c r="K976" s="15">
        <f>'[01_Entry.xlsx]Book'!K976</f>
        <v>0.0</v>
      </c>
      <c r="L976" s="15">
        <f>'[01_Entry.xlsx]Book'!L976</f>
        <v>0.0</v>
      </c>
      <c r="M976" s="15">
        <f>'[01_Entry.xlsx]Book'!M976</f>
        <v>0.0</v>
      </c>
      <c r="P976" s="56">
        <f>IF($A976="","",IFERROR(VALUE(MID($A976,6,2)),""))</f>
        <v/>
      </c>
    </row>
    <row r="977" spans="7:16">
      <c r="G977" s="15">
        <f>'[01_Entry.xlsx]Book'!G977</f>
        <v>0.0</v>
      </c>
      <c r="H977" s="15">
        <f>'[01_Entry.xlsx]Book'!H977</f>
        <v>0.0</v>
      </c>
      <c r="I977" s="15">
        <f>'[01_Entry.xlsx]Book'!I977</f>
        <v>0.0</v>
      </c>
      <c r="K977" s="15">
        <f>'[01_Entry.xlsx]Book'!K977</f>
        <v>0.0</v>
      </c>
      <c r="L977" s="15">
        <f>'[01_Entry.xlsx]Book'!L977</f>
        <v>0.0</v>
      </c>
      <c r="M977" s="15">
        <f>'[01_Entry.xlsx]Book'!M977</f>
        <v>0.0</v>
      </c>
      <c r="P977" s="56">
        <f>IF($A977="","",IFERROR(VALUE(MID($A977,6,2)),""))</f>
        <v/>
      </c>
    </row>
    <row r="978" spans="7:16">
      <c r="G978" s="15">
        <f>'[01_Entry.xlsx]Book'!G978</f>
        <v>0.0</v>
      </c>
      <c r="H978" s="15">
        <f>'[01_Entry.xlsx]Book'!H978</f>
        <v>0.0</v>
      </c>
      <c r="I978" s="15">
        <f>'[01_Entry.xlsx]Book'!I978</f>
        <v>0.0</v>
      </c>
      <c r="K978" s="15">
        <f>'[01_Entry.xlsx]Book'!K978</f>
        <v>0.0</v>
      </c>
      <c r="L978" s="15">
        <f>'[01_Entry.xlsx]Book'!L978</f>
        <v>0.0</v>
      </c>
      <c r="M978" s="15">
        <f>'[01_Entry.xlsx]Book'!M978</f>
        <v>0.0</v>
      </c>
      <c r="P978" s="56">
        <f>IF($A978="","",IFERROR(VALUE(MID($A978,6,2)),""))</f>
        <v/>
      </c>
    </row>
    <row r="979" spans="7:16">
      <c r="G979" s="15">
        <f>'[01_Entry.xlsx]Book'!G979</f>
        <v>0.0</v>
      </c>
      <c r="H979" s="15">
        <f>'[01_Entry.xlsx]Book'!H979</f>
        <v>0.0</v>
      </c>
      <c r="I979" s="15">
        <f>'[01_Entry.xlsx]Book'!I979</f>
        <v>0.0</v>
      </c>
      <c r="K979" s="15">
        <f>'[01_Entry.xlsx]Book'!K979</f>
        <v>0.0</v>
      </c>
      <c r="L979" s="15">
        <f>'[01_Entry.xlsx]Book'!L979</f>
        <v>0.0</v>
      </c>
      <c r="M979" s="15">
        <f>'[01_Entry.xlsx]Book'!M979</f>
        <v>0.0</v>
      </c>
      <c r="P979" s="56">
        <f>IF($A979="","",IFERROR(VALUE(MID($A979,6,2)),""))</f>
        <v/>
      </c>
    </row>
    <row r="980" spans="7:16">
      <c r="G980" s="15">
        <f>'[01_Entry.xlsx]Book'!G980</f>
        <v>0.0</v>
      </c>
      <c r="H980" s="15">
        <f>'[01_Entry.xlsx]Book'!H980</f>
        <v>0.0</v>
      </c>
      <c r="I980" s="15">
        <f>'[01_Entry.xlsx]Book'!I980</f>
        <v>0.0</v>
      </c>
      <c r="K980" s="15">
        <f>'[01_Entry.xlsx]Book'!K980</f>
        <v>0.0</v>
      </c>
      <c r="L980" s="15">
        <f>'[01_Entry.xlsx]Book'!L980</f>
        <v>0.0</v>
      </c>
      <c r="M980" s="15">
        <f>'[01_Entry.xlsx]Book'!M980</f>
        <v>0.0</v>
      </c>
      <c r="P980" s="56">
        <f>IF($A980="","",IFERROR(VALUE(MID($A980,6,2)),""))</f>
        <v/>
      </c>
    </row>
    <row r="981" spans="7:16">
      <c r="G981" s="15">
        <f>'[01_Entry.xlsx]Book'!G981</f>
        <v>0.0</v>
      </c>
      <c r="H981" s="15">
        <f>'[01_Entry.xlsx]Book'!H981</f>
        <v>0.0</v>
      </c>
      <c r="I981" s="15">
        <f>'[01_Entry.xlsx]Book'!I981</f>
        <v>0.0</v>
      </c>
      <c r="K981" s="15">
        <f>'[01_Entry.xlsx]Book'!K981</f>
        <v>0.0</v>
      </c>
      <c r="L981" s="15">
        <f>'[01_Entry.xlsx]Book'!L981</f>
        <v>0.0</v>
      </c>
      <c r="M981" s="15">
        <f>'[01_Entry.xlsx]Book'!M981</f>
        <v>0.0</v>
      </c>
      <c r="P981" s="56">
        <f>IF($A981="","",IFERROR(VALUE(MID($A981,6,2)),""))</f>
        <v/>
      </c>
    </row>
    <row r="982" spans="7:16">
      <c r="G982" s="15">
        <f>'[01_Entry.xlsx]Book'!G982</f>
        <v>0.0</v>
      </c>
      <c r="H982" s="15">
        <f>'[01_Entry.xlsx]Book'!H982</f>
        <v>0.0</v>
      </c>
      <c r="I982" s="15">
        <f>'[01_Entry.xlsx]Book'!I982</f>
        <v>0.0</v>
      </c>
      <c r="K982" s="15">
        <f>'[01_Entry.xlsx]Book'!K982</f>
        <v>0.0</v>
      </c>
      <c r="L982" s="15">
        <f>'[01_Entry.xlsx]Book'!L982</f>
        <v>0.0</v>
      </c>
      <c r="M982" s="15">
        <f>'[01_Entry.xlsx]Book'!M982</f>
        <v>0.0</v>
      </c>
      <c r="P982" s="56">
        <f>IF($A982="","",IFERROR(VALUE(MID($A982,6,2)),""))</f>
        <v/>
      </c>
    </row>
    <row r="983" spans="7:16">
      <c r="G983" s="15">
        <f>'[01_Entry.xlsx]Book'!G983</f>
        <v>0.0</v>
      </c>
      <c r="H983" s="15">
        <f>'[01_Entry.xlsx]Book'!H983</f>
        <v>0.0</v>
      </c>
      <c r="I983" s="15">
        <f>'[01_Entry.xlsx]Book'!I983</f>
        <v>0.0</v>
      </c>
      <c r="K983" s="15">
        <f>'[01_Entry.xlsx]Book'!K983</f>
        <v>0.0</v>
      </c>
      <c r="L983" s="15">
        <f>'[01_Entry.xlsx]Book'!L983</f>
        <v>0.0</v>
      </c>
      <c r="M983" s="15">
        <f>'[01_Entry.xlsx]Book'!M983</f>
        <v>0.0</v>
      </c>
      <c r="P983" s="56">
        <f>IF($A983="","",IFERROR(VALUE(MID($A983,6,2)),""))</f>
        <v/>
      </c>
    </row>
    <row r="984" spans="7:16">
      <c r="G984" s="15">
        <f>'[01_Entry.xlsx]Book'!G984</f>
        <v>0.0</v>
      </c>
      <c r="H984" s="15">
        <f>'[01_Entry.xlsx]Book'!H984</f>
        <v>0.0</v>
      </c>
      <c r="I984" s="15">
        <f>'[01_Entry.xlsx]Book'!I984</f>
        <v>0.0</v>
      </c>
      <c r="K984" s="15">
        <f>'[01_Entry.xlsx]Book'!K984</f>
        <v>0.0</v>
      </c>
      <c r="L984" s="15">
        <f>'[01_Entry.xlsx]Book'!L984</f>
        <v>0.0</v>
      </c>
      <c r="M984" s="15">
        <f>'[01_Entry.xlsx]Book'!M984</f>
        <v>0.0</v>
      </c>
      <c r="P984" s="56">
        <f>IF($A984="","",IFERROR(VALUE(MID($A984,6,2)),""))</f>
        <v/>
      </c>
    </row>
    <row r="985" spans="7:16">
      <c r="G985" s="15">
        <f>'[01_Entry.xlsx]Book'!G985</f>
        <v>0.0</v>
      </c>
      <c r="H985" s="15">
        <f>'[01_Entry.xlsx]Book'!H985</f>
        <v>0.0</v>
      </c>
      <c r="I985" s="15">
        <f>'[01_Entry.xlsx]Book'!I985</f>
        <v>0.0</v>
      </c>
      <c r="K985" s="15">
        <f>'[01_Entry.xlsx]Book'!K985</f>
        <v>0.0</v>
      </c>
      <c r="L985" s="15">
        <f>'[01_Entry.xlsx]Book'!L985</f>
        <v>0.0</v>
      </c>
      <c r="M985" s="15">
        <f>'[01_Entry.xlsx]Book'!M985</f>
        <v>0.0</v>
      </c>
      <c r="P985" s="56">
        <f>IF($A985="","",IFERROR(VALUE(MID($A985,6,2)),""))</f>
        <v/>
      </c>
    </row>
    <row r="986" spans="7:16">
      <c r="G986" s="15">
        <f>'[01_Entry.xlsx]Book'!G986</f>
        <v>0.0</v>
      </c>
      <c r="H986" s="15">
        <f>'[01_Entry.xlsx]Book'!H986</f>
        <v>0.0</v>
      </c>
      <c r="I986" s="15">
        <f>'[01_Entry.xlsx]Book'!I986</f>
        <v>0.0</v>
      </c>
      <c r="K986" s="15">
        <f>'[01_Entry.xlsx]Book'!K986</f>
        <v>0.0</v>
      </c>
      <c r="L986" s="15">
        <f>'[01_Entry.xlsx]Book'!L986</f>
        <v>0.0</v>
      </c>
      <c r="M986" s="15">
        <f>'[01_Entry.xlsx]Book'!M986</f>
        <v>0.0</v>
      </c>
      <c r="P986" s="56">
        <f>IF($A986="","",IFERROR(VALUE(MID($A986,6,2)),""))</f>
        <v/>
      </c>
    </row>
    <row r="987" spans="7:16">
      <c r="G987" s="15">
        <f>'[01_Entry.xlsx]Book'!G987</f>
        <v>0.0</v>
      </c>
      <c r="H987" s="15">
        <f>'[01_Entry.xlsx]Book'!H987</f>
        <v>0.0</v>
      </c>
      <c r="I987" s="15">
        <f>'[01_Entry.xlsx]Book'!I987</f>
        <v>0.0</v>
      </c>
      <c r="K987" s="15">
        <f>'[01_Entry.xlsx]Book'!K987</f>
        <v>0.0</v>
      </c>
      <c r="L987" s="15">
        <f>'[01_Entry.xlsx]Book'!L987</f>
        <v>0.0</v>
      </c>
      <c r="M987" s="15">
        <f>'[01_Entry.xlsx]Book'!M987</f>
        <v>0.0</v>
      </c>
      <c r="P987" s="56">
        <f>IF($A987="","",IFERROR(VALUE(MID($A987,6,2)),""))</f>
        <v/>
      </c>
    </row>
    <row r="988" spans="7:16">
      <c r="G988" s="15">
        <f>'[01_Entry.xlsx]Book'!G988</f>
        <v>0.0</v>
      </c>
      <c r="H988" s="15">
        <f>'[01_Entry.xlsx]Book'!H988</f>
        <v>0.0</v>
      </c>
      <c r="I988" s="15">
        <f>'[01_Entry.xlsx]Book'!I988</f>
        <v>0.0</v>
      </c>
      <c r="K988" s="15">
        <f>'[01_Entry.xlsx]Book'!K988</f>
        <v>0.0</v>
      </c>
      <c r="L988" s="15">
        <f>'[01_Entry.xlsx]Book'!L988</f>
        <v>0.0</v>
      </c>
      <c r="M988" s="15">
        <f>'[01_Entry.xlsx]Book'!M988</f>
        <v>0.0</v>
      </c>
      <c r="P988" s="56">
        <f>IF($A988="","",IFERROR(VALUE(MID($A988,6,2)),""))</f>
        <v/>
      </c>
    </row>
    <row r="989" spans="7:16">
      <c r="G989" s="15">
        <f>'[01_Entry.xlsx]Book'!G989</f>
        <v>0.0</v>
      </c>
      <c r="H989" s="15">
        <f>'[01_Entry.xlsx]Book'!H989</f>
        <v>0.0</v>
      </c>
      <c r="I989" s="15">
        <f>'[01_Entry.xlsx]Book'!I989</f>
        <v>0.0</v>
      </c>
      <c r="K989" s="15">
        <f>'[01_Entry.xlsx]Book'!K989</f>
        <v>0.0</v>
      </c>
      <c r="L989" s="15">
        <f>'[01_Entry.xlsx]Book'!L989</f>
        <v>0.0</v>
      </c>
      <c r="M989" s="15">
        <f>'[01_Entry.xlsx]Book'!M989</f>
        <v>0.0</v>
      </c>
      <c r="P989" s="56">
        <f>IF($A989="","",IFERROR(VALUE(MID($A989,6,2)),""))</f>
        <v/>
      </c>
    </row>
    <row r="990" spans="7:16">
      <c r="G990" s="15">
        <f>'[01_Entry.xlsx]Book'!G990</f>
        <v>0.0</v>
      </c>
      <c r="H990" s="15">
        <f>'[01_Entry.xlsx]Book'!H990</f>
        <v>0.0</v>
      </c>
      <c r="I990" s="15">
        <f>'[01_Entry.xlsx]Book'!I990</f>
        <v>0.0</v>
      </c>
      <c r="K990" s="15">
        <f>'[01_Entry.xlsx]Book'!K990</f>
        <v>0.0</v>
      </c>
      <c r="L990" s="15">
        <f>'[01_Entry.xlsx]Book'!L990</f>
        <v>0.0</v>
      </c>
      <c r="M990" s="15">
        <f>'[01_Entry.xlsx]Book'!M990</f>
        <v>0.0</v>
      </c>
      <c r="P990" s="56">
        <f>IF($A990="","",IFERROR(VALUE(MID($A990,6,2)),""))</f>
        <v/>
      </c>
    </row>
    <row r="991" spans="7:16">
      <c r="G991" s="15">
        <f>'[01_Entry.xlsx]Book'!G991</f>
        <v>0.0</v>
      </c>
      <c r="H991" s="15">
        <f>'[01_Entry.xlsx]Book'!H991</f>
        <v>0.0</v>
      </c>
      <c r="I991" s="15">
        <f>'[01_Entry.xlsx]Book'!I991</f>
        <v>0.0</v>
      </c>
      <c r="K991" s="15">
        <f>'[01_Entry.xlsx]Book'!K991</f>
        <v>0.0</v>
      </c>
      <c r="L991" s="15">
        <f>'[01_Entry.xlsx]Book'!L991</f>
        <v>0.0</v>
      </c>
      <c r="M991" s="15">
        <f>'[01_Entry.xlsx]Book'!M991</f>
        <v>0.0</v>
      </c>
      <c r="P991" s="56">
        <f>IF($A991="","",IFERROR(VALUE(MID($A991,6,2)),""))</f>
        <v/>
      </c>
    </row>
    <row r="992" spans="7:16">
      <c r="G992" s="15">
        <f>'[01_Entry.xlsx]Book'!G992</f>
        <v>0.0</v>
      </c>
      <c r="H992" s="15">
        <f>'[01_Entry.xlsx]Book'!H992</f>
        <v>0.0</v>
      </c>
      <c r="I992" s="15">
        <f>'[01_Entry.xlsx]Book'!I992</f>
        <v>0.0</v>
      </c>
      <c r="K992" s="15">
        <f>'[01_Entry.xlsx]Book'!K992</f>
        <v>0.0</v>
      </c>
      <c r="L992" s="15">
        <f>'[01_Entry.xlsx]Book'!L992</f>
        <v>0.0</v>
      </c>
      <c r="M992" s="15">
        <f>'[01_Entry.xlsx]Book'!M992</f>
        <v>0.0</v>
      </c>
      <c r="P992" s="56">
        <f>IF($A992="","",IFERROR(VALUE(MID($A992,6,2)),""))</f>
        <v/>
      </c>
    </row>
    <row r="993" spans="7:16">
      <c r="G993" s="15">
        <f>'[01_Entry.xlsx]Book'!G993</f>
        <v>0.0</v>
      </c>
      <c r="H993" s="15">
        <f>'[01_Entry.xlsx]Book'!H993</f>
        <v>0.0</v>
      </c>
      <c r="I993" s="15">
        <f>'[01_Entry.xlsx]Book'!I993</f>
        <v>0.0</v>
      </c>
      <c r="K993" s="15">
        <f>'[01_Entry.xlsx]Book'!K993</f>
        <v>0.0</v>
      </c>
      <c r="L993" s="15">
        <f>'[01_Entry.xlsx]Book'!L993</f>
        <v>0.0</v>
      </c>
      <c r="M993" s="15">
        <f>'[01_Entry.xlsx]Book'!M993</f>
        <v>0.0</v>
      </c>
      <c r="P993" s="56">
        <f>IF($A993="","",IFERROR(VALUE(MID($A993,6,2)),""))</f>
        <v/>
      </c>
    </row>
    <row r="994" spans="7:16">
      <c r="G994" s="15">
        <f>'[01_Entry.xlsx]Book'!G994</f>
        <v>0.0</v>
      </c>
      <c r="H994" s="15">
        <f>'[01_Entry.xlsx]Book'!H994</f>
        <v>0.0</v>
      </c>
      <c r="I994" s="15">
        <f>'[01_Entry.xlsx]Book'!I994</f>
        <v>0.0</v>
      </c>
      <c r="K994" s="15">
        <f>'[01_Entry.xlsx]Book'!K994</f>
        <v>0.0</v>
      </c>
      <c r="L994" s="15">
        <f>'[01_Entry.xlsx]Book'!L994</f>
        <v>0.0</v>
      </c>
      <c r="M994" s="15">
        <f>'[01_Entry.xlsx]Book'!M994</f>
        <v>0.0</v>
      </c>
      <c r="P994" s="56">
        <f>IF($A994="","",IFERROR(VALUE(MID($A994,6,2)),""))</f>
        <v/>
      </c>
    </row>
    <row r="995" spans="7:16">
      <c r="G995" s="15">
        <f>'[01_Entry.xlsx]Book'!G995</f>
        <v>0.0</v>
      </c>
      <c r="H995" s="15">
        <f>'[01_Entry.xlsx]Book'!H995</f>
        <v>0.0</v>
      </c>
      <c r="I995" s="15">
        <f>'[01_Entry.xlsx]Book'!I995</f>
        <v>0.0</v>
      </c>
      <c r="K995" s="15">
        <f>'[01_Entry.xlsx]Book'!K995</f>
        <v>0.0</v>
      </c>
      <c r="L995" s="15">
        <f>'[01_Entry.xlsx]Book'!L995</f>
        <v>0.0</v>
      </c>
      <c r="M995" s="15">
        <f>'[01_Entry.xlsx]Book'!M995</f>
        <v>0.0</v>
      </c>
      <c r="P995" s="56">
        <f>IF($A995="","",IFERROR(VALUE(MID($A995,6,2)),""))</f>
        <v/>
      </c>
    </row>
    <row r="996" spans="7:16">
      <c r="G996" s="15">
        <f>'[01_Entry.xlsx]Book'!G996</f>
        <v>0.0</v>
      </c>
      <c r="H996" s="15">
        <f>'[01_Entry.xlsx]Book'!H996</f>
        <v>0.0</v>
      </c>
      <c r="I996" s="15">
        <f>'[01_Entry.xlsx]Book'!I996</f>
        <v>0.0</v>
      </c>
      <c r="K996" s="15">
        <f>'[01_Entry.xlsx]Book'!K996</f>
        <v>0.0</v>
      </c>
      <c r="L996" s="15">
        <f>'[01_Entry.xlsx]Book'!L996</f>
        <v>0.0</v>
      </c>
      <c r="M996" s="15">
        <f>'[01_Entry.xlsx]Book'!M996</f>
        <v>0.0</v>
      </c>
      <c r="P996" s="56">
        <f>IF($A996="","",IFERROR(VALUE(MID($A996,6,2)),""))</f>
        <v/>
      </c>
    </row>
    <row r="997" spans="7:16">
      <c r="G997" s="15">
        <f>'[01_Entry.xlsx]Book'!G997</f>
        <v>0.0</v>
      </c>
      <c r="H997" s="15">
        <f>'[01_Entry.xlsx]Book'!H997</f>
        <v>0.0</v>
      </c>
      <c r="I997" s="15">
        <f>'[01_Entry.xlsx]Book'!I997</f>
        <v>0.0</v>
      </c>
      <c r="K997" s="15">
        <f>'[01_Entry.xlsx]Book'!K997</f>
        <v>0.0</v>
      </c>
      <c r="L997" s="15">
        <f>'[01_Entry.xlsx]Book'!L997</f>
        <v>0.0</v>
      </c>
      <c r="M997" s="15">
        <f>'[01_Entry.xlsx]Book'!M997</f>
        <v>0.0</v>
      </c>
      <c r="P997" s="56">
        <f>IF($A997="","",IFERROR(VALUE(MID($A997,6,2)),""))</f>
        <v/>
      </c>
    </row>
    <row r="998" spans="7:16">
      <c r="G998" s="15">
        <f>'[01_Entry.xlsx]Book'!G998</f>
        <v>0.0</v>
      </c>
      <c r="H998" s="15">
        <f>'[01_Entry.xlsx]Book'!H998</f>
        <v>0.0</v>
      </c>
      <c r="I998" s="15">
        <f>'[01_Entry.xlsx]Book'!I998</f>
        <v>0.0</v>
      </c>
      <c r="K998" s="15">
        <f>'[01_Entry.xlsx]Book'!K998</f>
        <v>0.0</v>
      </c>
      <c r="L998" s="15">
        <f>'[01_Entry.xlsx]Book'!L998</f>
        <v>0.0</v>
      </c>
      <c r="M998" s="15">
        <f>'[01_Entry.xlsx]Book'!M998</f>
        <v>0.0</v>
      </c>
      <c r="P998" s="56">
        <f>IF($A998="","",IFERROR(VALUE(MID($A998,6,2)),""))</f>
        <v/>
      </c>
    </row>
    <row r="999" spans="7:16">
      <c r="G999" s="15">
        <f>'[01_Entry.xlsx]Book'!G999</f>
        <v>0.0</v>
      </c>
      <c r="H999" s="15">
        <f>'[01_Entry.xlsx]Book'!H999</f>
        <v>0.0</v>
      </c>
      <c r="I999" s="15">
        <f>'[01_Entry.xlsx]Book'!I999</f>
        <v>0.0</v>
      </c>
      <c r="K999" s="15">
        <f>'[01_Entry.xlsx]Book'!K999</f>
        <v>0.0</v>
      </c>
      <c r="L999" s="15">
        <f>'[01_Entry.xlsx]Book'!L999</f>
        <v>0.0</v>
      </c>
      <c r="M999" s="15">
        <f>'[01_Entry.xlsx]Book'!M999</f>
        <v>0.0</v>
      </c>
      <c r="P999" s="56">
        <f>IF($A999="","",IFERROR(VALUE(MID($A999,6,2)),""))</f>
        <v/>
      </c>
    </row>
    <row r="1000" spans="7:16">
      <c r="G1000" s="15">
        <f>'[01_Entry.xlsx]Book'!G1000</f>
        <v>0.0</v>
      </c>
      <c r="H1000" s="15">
        <f>'[01_Entry.xlsx]Book'!H1000</f>
        <v>0.0</v>
      </c>
      <c r="I1000" s="15">
        <f>'[01_Entry.xlsx]Book'!I1000</f>
        <v>0.0</v>
      </c>
      <c r="K1000" s="15">
        <f>'[01_Entry.xlsx]Book'!K1000</f>
        <v>0.0</v>
      </c>
      <c r="L1000" s="15">
        <f>'[01_Entry.xlsx]Book'!L1000</f>
        <v>0.0</v>
      </c>
      <c r="M1000" s="15">
        <f>'[01_Entry.xlsx]Book'!M1000</f>
        <v>0.0</v>
      </c>
      <c r="P1000" s="56">
        <f>IF($A1000="","",IFERROR(VALUE(MID($A1000,6,2)),""))</f>
        <v/>
      </c>
    </row>
    <row r="1001" spans="7:16">
      <c r="G1001" s="15">
        <f>'[01_Entry.xlsx]Book'!G1001</f>
        <v>0.0</v>
      </c>
      <c r="H1001" s="15">
        <f>'[01_Entry.xlsx]Book'!H1001</f>
        <v>0.0</v>
      </c>
      <c r="I1001" s="15">
        <f>'[01_Entry.xlsx]Book'!I1001</f>
        <v>0.0</v>
      </c>
      <c r="K1001" s="15">
        <f>'[01_Entry.xlsx]Book'!K1001</f>
        <v>0.0</v>
      </c>
      <c r="L1001" s="15">
        <f>'[01_Entry.xlsx]Book'!L1001</f>
        <v>0.0</v>
      </c>
      <c r="M1001" s="15">
        <f>'[01_Entry.xlsx]Book'!M1001</f>
        <v>0.0</v>
      </c>
      <c r="P1001" s="56">
        <f>IF($A1001="","",IFERROR(VALUE(MID($A1001,6,2)),""))</f>
        <v/>
      </c>
    </row>
    <row r="1002" spans="7:16">
      <c r="G1002" s="15">
        <f>'[01_Entry.xlsx]Book'!G1002</f>
        <v>0.0</v>
      </c>
      <c r="H1002" s="15">
        <f>'[01_Entry.xlsx]Book'!H1002</f>
        <v>0.0</v>
      </c>
      <c r="I1002" s="15">
        <f>'[01_Entry.xlsx]Book'!I1002</f>
        <v>0.0</v>
      </c>
      <c r="K1002" s="15">
        <f>'[01_Entry.xlsx]Book'!K1002</f>
        <v>0.0</v>
      </c>
      <c r="L1002" s="15">
        <f>'[01_Entry.xlsx]Book'!L1002</f>
        <v>0.0</v>
      </c>
      <c r="M1002" s="15">
        <f>'[01_Entry.xlsx]Book'!M1002</f>
        <v>0.0</v>
      </c>
      <c r="P1002" s="56">
        <f>IF($A1002="","",IFERROR(VALUE(MID($A1002,6,2)),""))</f>
        <v/>
      </c>
    </row>
    <row r="1003" spans="7:16">
      <c r="G1003" s="15">
        <f>'[01_Entry.xlsx]Book'!G1003</f>
        <v>0.0</v>
      </c>
      <c r="H1003" s="15">
        <f>'[01_Entry.xlsx]Book'!H1003</f>
        <v>0.0</v>
      </c>
      <c r="I1003" s="15">
        <f>'[01_Entry.xlsx]Book'!I1003</f>
        <v>0.0</v>
      </c>
      <c r="K1003" s="15">
        <f>'[01_Entry.xlsx]Book'!K1003</f>
        <v>0.0</v>
      </c>
      <c r="L1003" s="15">
        <f>'[01_Entry.xlsx]Book'!L1003</f>
        <v>0.0</v>
      </c>
      <c r="M1003" s="15">
        <f>'[01_Entry.xlsx]Book'!M1003</f>
        <v>0.0</v>
      </c>
      <c r="P1003" s="56">
        <f>IF($A1003="","",IFERROR(VALUE(MID($A1003,6,2)),""))</f>
        <v/>
      </c>
    </row>
    <row r="1004" spans="7:16">
      <c r="G1004" s="15">
        <f>'[01_Entry.xlsx]Book'!G1004</f>
        <v>0.0</v>
      </c>
      <c r="H1004" s="15">
        <f>'[01_Entry.xlsx]Book'!H1004</f>
        <v>0.0</v>
      </c>
      <c r="I1004" s="15">
        <f>'[01_Entry.xlsx]Book'!I1004</f>
        <v>0.0</v>
      </c>
      <c r="K1004" s="15">
        <f>'[01_Entry.xlsx]Book'!K1004</f>
        <v>0.0</v>
      </c>
      <c r="L1004" s="15">
        <f>'[01_Entry.xlsx]Book'!L1004</f>
        <v>0.0</v>
      </c>
      <c r="M1004" s="15">
        <f>'[01_Entry.xlsx]Book'!M1004</f>
        <v>0.0</v>
      </c>
      <c r="P1004" s="56">
        <f>IF($A1004="","",IFERROR(VALUE(MID($A1004,6,2)),""))</f>
        <v/>
      </c>
    </row>
    <row r="1005" spans="7:16">
      <c r="G1005" s="15">
        <f>'[01_Entry.xlsx]Book'!G1005</f>
        <v>0.0</v>
      </c>
      <c r="H1005" s="15">
        <f>'[01_Entry.xlsx]Book'!H1005</f>
        <v>0.0</v>
      </c>
      <c r="I1005" s="15">
        <f>'[01_Entry.xlsx]Book'!I1005</f>
        <v>0.0</v>
      </c>
      <c r="K1005" s="15">
        <f>'[01_Entry.xlsx]Book'!K1005</f>
        <v>0.0</v>
      </c>
      <c r="L1005" s="15">
        <f>'[01_Entry.xlsx]Book'!L1005</f>
        <v>0.0</v>
      </c>
      <c r="M1005" s="15">
        <f>'[01_Entry.xlsx]Book'!M1005</f>
        <v>0.0</v>
      </c>
      <c r="P1005" s="56">
        <f>IF($A1005="","",IFERROR(VALUE(MID($A1005,6,2)),""))</f>
        <v/>
      </c>
    </row>
    <row r="1006" spans="7:16">
      <c r="G1006" s="15">
        <f>'[01_Entry.xlsx]Book'!G1006</f>
        <v>0.0</v>
      </c>
      <c r="H1006" s="15">
        <f>'[01_Entry.xlsx]Book'!H1006</f>
        <v>0.0</v>
      </c>
      <c r="I1006" s="15">
        <f>'[01_Entry.xlsx]Book'!I1006</f>
        <v>0.0</v>
      </c>
      <c r="K1006" s="15">
        <f>'[01_Entry.xlsx]Book'!K1006</f>
        <v>0.0</v>
      </c>
      <c r="L1006" s="15">
        <f>'[01_Entry.xlsx]Book'!L1006</f>
        <v>0.0</v>
      </c>
      <c r="M1006" s="15">
        <f>'[01_Entry.xlsx]Book'!M1006</f>
        <v>0.0</v>
      </c>
      <c r="P1006" s="56">
        <f>IF($A1006="","",IFERROR(VALUE(MID($A1006,6,2)),""))</f>
        <v/>
      </c>
    </row>
    <row r="1007" spans="7:16">
      <c r="G1007" s="15">
        <f>'[01_Entry.xlsx]Book'!G1007</f>
        <v>0.0</v>
      </c>
      <c r="H1007" s="15">
        <f>'[01_Entry.xlsx]Book'!H1007</f>
        <v>0.0</v>
      </c>
      <c r="I1007" s="15">
        <f>'[01_Entry.xlsx]Book'!I1007</f>
        <v>0.0</v>
      </c>
      <c r="K1007" s="15">
        <f>'[01_Entry.xlsx]Book'!K1007</f>
        <v>0.0</v>
      </c>
      <c r="L1007" s="15">
        <f>'[01_Entry.xlsx]Book'!L1007</f>
        <v>0.0</v>
      </c>
      <c r="M1007" s="15">
        <f>'[01_Entry.xlsx]Book'!M1007</f>
        <v>0.0</v>
      </c>
      <c r="P1007" s="56">
        <f>IF($A1007="","",IFERROR(VALUE(MID($A1007,6,2)),""))</f>
        <v/>
      </c>
    </row>
    <row r="1008" spans="7:16">
      <c r="G1008" s="15">
        <f>'[01_Entry.xlsx]Book'!G1008</f>
        <v>0.0</v>
      </c>
      <c r="H1008" s="15">
        <f>'[01_Entry.xlsx]Book'!H1008</f>
        <v>0.0</v>
      </c>
      <c r="I1008" s="15">
        <f>'[01_Entry.xlsx]Book'!I1008</f>
        <v>0.0</v>
      </c>
      <c r="K1008" s="15">
        <f>'[01_Entry.xlsx]Book'!K1008</f>
        <v>0.0</v>
      </c>
      <c r="L1008" s="15">
        <f>'[01_Entry.xlsx]Book'!L1008</f>
        <v>0.0</v>
      </c>
      <c r="M1008" s="15">
        <f>'[01_Entry.xlsx]Book'!M1008</f>
        <v>0.0</v>
      </c>
      <c r="P1008" s="56">
        <f>IF($A1008="","",IFERROR(VALUE(MID($A1008,6,2)),""))</f>
        <v/>
      </c>
    </row>
    <row r="1009" spans="7:16">
      <c r="G1009" s="15">
        <f>'[01_Entry.xlsx]Book'!G1009</f>
        <v>0.0</v>
      </c>
      <c r="H1009" s="15">
        <f>'[01_Entry.xlsx]Book'!H1009</f>
        <v>0.0</v>
      </c>
      <c r="I1009" s="15">
        <f>'[01_Entry.xlsx]Book'!I1009</f>
        <v>0.0</v>
      </c>
      <c r="K1009" s="15">
        <f>'[01_Entry.xlsx]Book'!K1009</f>
        <v>0.0</v>
      </c>
      <c r="L1009" s="15">
        <f>'[01_Entry.xlsx]Book'!L1009</f>
        <v>0.0</v>
      </c>
      <c r="M1009" s="15">
        <f>'[01_Entry.xlsx]Book'!M1009</f>
        <v>0.0</v>
      </c>
      <c r="P1009" s="56">
        <f>IF($A1009="","",IFERROR(VALUE(MID($A1009,6,2)),""))</f>
        <v/>
      </c>
    </row>
    <row r="1010" spans="7:16">
      <c r="G1010" s="15">
        <f>'[01_Entry.xlsx]Book'!G1010</f>
        <v>0.0</v>
      </c>
      <c r="H1010" s="15">
        <f>'[01_Entry.xlsx]Book'!H1010</f>
        <v>0.0</v>
      </c>
      <c r="I1010" s="15">
        <f>'[01_Entry.xlsx]Book'!I1010</f>
        <v>0.0</v>
      </c>
      <c r="K1010" s="15">
        <f>'[01_Entry.xlsx]Book'!K1010</f>
        <v>0.0</v>
      </c>
      <c r="L1010" s="15">
        <f>'[01_Entry.xlsx]Book'!L1010</f>
        <v>0.0</v>
      </c>
      <c r="M1010" s="15">
        <f>'[01_Entry.xlsx]Book'!M1010</f>
        <v>0.0</v>
      </c>
      <c r="P1010" s="56">
        <f>IF($A1010="","",IFERROR(VALUE(MID($A1010,6,2)),""))</f>
        <v/>
      </c>
    </row>
    <row r="1011" spans="7:16">
      <c r="G1011" s="15">
        <f>'[01_Entry.xlsx]Book'!G1011</f>
        <v>0.0</v>
      </c>
      <c r="H1011" s="15">
        <f>'[01_Entry.xlsx]Book'!H1011</f>
        <v>0.0</v>
      </c>
      <c r="I1011" s="15">
        <f>'[01_Entry.xlsx]Book'!I1011</f>
        <v>0.0</v>
      </c>
      <c r="K1011" s="15">
        <f>'[01_Entry.xlsx]Book'!K1011</f>
        <v>0.0</v>
      </c>
      <c r="L1011" s="15">
        <f>'[01_Entry.xlsx]Book'!L1011</f>
        <v>0.0</v>
      </c>
      <c r="M1011" s="15">
        <f>'[01_Entry.xlsx]Book'!M1011</f>
        <v>0.0</v>
      </c>
      <c r="P1011" s="56">
        <f>IF($A1011="","",IFERROR(VALUE(MID($A1011,6,2)),""))</f>
        <v/>
      </c>
    </row>
    <row r="1012" spans="7:16">
      <c r="G1012" s="15">
        <f>'[01_Entry.xlsx]Book'!G1012</f>
        <v>0.0</v>
      </c>
      <c r="H1012" s="15">
        <f>'[01_Entry.xlsx]Book'!H1012</f>
        <v>0.0</v>
      </c>
      <c r="I1012" s="15">
        <f>'[01_Entry.xlsx]Book'!I1012</f>
        <v>0.0</v>
      </c>
      <c r="K1012" s="15">
        <f>'[01_Entry.xlsx]Book'!K1012</f>
        <v>0.0</v>
      </c>
      <c r="L1012" s="15">
        <f>'[01_Entry.xlsx]Book'!L1012</f>
        <v>0.0</v>
      </c>
      <c r="M1012" s="15">
        <f>'[01_Entry.xlsx]Book'!M1012</f>
        <v>0.0</v>
      </c>
      <c r="P1012" s="56">
        <f>IF($A1012="","",IFERROR(VALUE(MID($A1012,6,2)),""))</f>
        <v/>
      </c>
    </row>
    <row r="1013" spans="7:16">
      <c r="G1013" s="15">
        <f>'[01_Entry.xlsx]Book'!G1013</f>
        <v>0.0</v>
      </c>
      <c r="H1013" s="15">
        <f>'[01_Entry.xlsx]Book'!H1013</f>
        <v>0.0</v>
      </c>
      <c r="I1013" s="15">
        <f>'[01_Entry.xlsx]Book'!I1013</f>
        <v>0.0</v>
      </c>
      <c r="K1013" s="15">
        <f>'[01_Entry.xlsx]Book'!K1013</f>
        <v>0.0</v>
      </c>
      <c r="L1013" s="15">
        <f>'[01_Entry.xlsx]Book'!L1013</f>
        <v>0.0</v>
      </c>
      <c r="M1013" s="15">
        <f>'[01_Entry.xlsx]Book'!M1013</f>
        <v>0.0</v>
      </c>
      <c r="P1013" s="56">
        <f>IF($A1013="","",IFERROR(VALUE(MID($A1013,6,2)),""))</f>
        <v/>
      </c>
    </row>
    <row r="1014" spans="7:16">
      <c r="G1014" s="15">
        <f>'[01_Entry.xlsx]Book'!G1014</f>
        <v>0.0</v>
      </c>
      <c r="H1014" s="15">
        <f>'[01_Entry.xlsx]Book'!H1014</f>
        <v>0.0</v>
      </c>
      <c r="I1014" s="15">
        <f>'[01_Entry.xlsx]Book'!I1014</f>
        <v>0.0</v>
      </c>
      <c r="K1014" s="15">
        <f>'[01_Entry.xlsx]Book'!K1014</f>
        <v>0.0</v>
      </c>
      <c r="L1014" s="15">
        <f>'[01_Entry.xlsx]Book'!L1014</f>
        <v>0.0</v>
      </c>
      <c r="M1014" s="15">
        <f>'[01_Entry.xlsx]Book'!M1014</f>
        <v>0.0</v>
      </c>
      <c r="P1014" s="56">
        <f>IF($A1014="","",IFERROR(VALUE(MID($A1014,6,2)),""))</f>
        <v/>
      </c>
    </row>
    <row r="1015" spans="7:16">
      <c r="G1015" s="15">
        <f>'[01_Entry.xlsx]Book'!G1015</f>
        <v>0.0</v>
      </c>
      <c r="H1015" s="15">
        <f>'[01_Entry.xlsx]Book'!H1015</f>
        <v>0.0</v>
      </c>
      <c r="I1015" s="15">
        <f>'[01_Entry.xlsx]Book'!I1015</f>
        <v>0.0</v>
      </c>
      <c r="K1015" s="15">
        <f>'[01_Entry.xlsx]Book'!K1015</f>
        <v>0.0</v>
      </c>
      <c r="L1015" s="15">
        <f>'[01_Entry.xlsx]Book'!L1015</f>
        <v>0.0</v>
      </c>
      <c r="M1015" s="15">
        <f>'[01_Entry.xlsx]Book'!M1015</f>
        <v>0.0</v>
      </c>
      <c r="P1015" s="56">
        <f>IF($A1015="","",IFERROR(VALUE(MID($A1015,6,2)),""))</f>
        <v/>
      </c>
    </row>
    <row r="1016" spans="7:16">
      <c r="G1016" s="15">
        <f>'[01_Entry.xlsx]Book'!G1016</f>
        <v>0.0</v>
      </c>
      <c r="H1016" s="15">
        <f>'[01_Entry.xlsx]Book'!H1016</f>
        <v>0.0</v>
      </c>
      <c r="I1016" s="15">
        <f>'[01_Entry.xlsx]Book'!I1016</f>
        <v>0.0</v>
      </c>
      <c r="K1016" s="15">
        <f>'[01_Entry.xlsx]Book'!K1016</f>
        <v>0.0</v>
      </c>
      <c r="L1016" s="15">
        <f>'[01_Entry.xlsx]Book'!L1016</f>
        <v>0.0</v>
      </c>
      <c r="M1016" s="15">
        <f>'[01_Entry.xlsx]Book'!M1016</f>
        <v>0.0</v>
      </c>
      <c r="P1016" s="56">
        <f>IF($A1016="","",IFERROR(VALUE(MID($A1016,6,2)),""))</f>
        <v/>
      </c>
    </row>
    <row r="1017" spans="7:16">
      <c r="G1017" s="15">
        <f>'[01_Entry.xlsx]Book'!G1017</f>
        <v>0.0</v>
      </c>
      <c r="H1017" s="15">
        <f>'[01_Entry.xlsx]Book'!H1017</f>
        <v>0.0</v>
      </c>
      <c r="I1017" s="15">
        <f>'[01_Entry.xlsx]Book'!I1017</f>
        <v>0.0</v>
      </c>
      <c r="K1017" s="15">
        <f>'[01_Entry.xlsx]Book'!K1017</f>
        <v>0.0</v>
      </c>
      <c r="L1017" s="15">
        <f>'[01_Entry.xlsx]Book'!L1017</f>
        <v>0.0</v>
      </c>
      <c r="M1017" s="15">
        <f>'[01_Entry.xlsx]Book'!M1017</f>
        <v>0.0</v>
      </c>
      <c r="P1017" s="56">
        <f>IF($A1017="","",IFERROR(VALUE(MID($A1017,6,2)),""))</f>
        <v/>
      </c>
    </row>
    <row r="1018" spans="7:16">
      <c r="G1018" s="15">
        <f>'[01_Entry.xlsx]Book'!G1018</f>
        <v>0.0</v>
      </c>
      <c r="H1018" s="15">
        <f>'[01_Entry.xlsx]Book'!H1018</f>
        <v>0.0</v>
      </c>
      <c r="I1018" s="15">
        <f>'[01_Entry.xlsx]Book'!I1018</f>
        <v>0.0</v>
      </c>
      <c r="K1018" s="15">
        <f>'[01_Entry.xlsx]Book'!K1018</f>
        <v>0.0</v>
      </c>
      <c r="L1018" s="15">
        <f>'[01_Entry.xlsx]Book'!L1018</f>
        <v>0.0</v>
      </c>
      <c r="M1018" s="15">
        <f>'[01_Entry.xlsx]Book'!M1018</f>
        <v>0.0</v>
      </c>
      <c r="P1018" s="56">
        <f>IF($A1018="","",IFERROR(VALUE(MID($A1018,6,2)),""))</f>
        <v/>
      </c>
    </row>
    <row r="1019" spans="7:16">
      <c r="G1019" s="15">
        <f>'[01_Entry.xlsx]Book'!G1019</f>
        <v>0.0</v>
      </c>
      <c r="H1019" s="15">
        <f>'[01_Entry.xlsx]Book'!H1019</f>
        <v>0.0</v>
      </c>
      <c r="I1019" s="15">
        <f>'[01_Entry.xlsx]Book'!I1019</f>
        <v>0.0</v>
      </c>
      <c r="K1019" s="15">
        <f>'[01_Entry.xlsx]Book'!K1019</f>
        <v>0.0</v>
      </c>
      <c r="L1019" s="15">
        <f>'[01_Entry.xlsx]Book'!L1019</f>
        <v>0.0</v>
      </c>
      <c r="M1019" s="15">
        <f>'[01_Entry.xlsx]Book'!M1019</f>
        <v>0.0</v>
      </c>
      <c r="P1019" s="56">
        <f>IF($A1019="","",IFERROR(VALUE(MID($A1019,6,2)),""))</f>
        <v/>
      </c>
    </row>
    <row r="1020" spans="7:16">
      <c r="G1020" s="15">
        <f>'[01_Entry.xlsx]Book'!G1020</f>
        <v>0.0</v>
      </c>
      <c r="H1020" s="15">
        <f>'[01_Entry.xlsx]Book'!H1020</f>
        <v>0.0</v>
      </c>
      <c r="I1020" s="15">
        <f>'[01_Entry.xlsx]Book'!I1020</f>
        <v>0.0</v>
      </c>
      <c r="K1020" s="15">
        <f>'[01_Entry.xlsx]Book'!K1020</f>
        <v>0.0</v>
      </c>
      <c r="L1020" s="15">
        <f>'[01_Entry.xlsx]Book'!L1020</f>
        <v>0.0</v>
      </c>
      <c r="M1020" s="15">
        <f>'[01_Entry.xlsx]Book'!M1020</f>
        <v>0.0</v>
      </c>
      <c r="P1020" s="56">
        <f>IF($A1020="","",IFERROR(VALUE(MID($A1020,6,2)),""))</f>
        <v/>
      </c>
    </row>
    <row r="1021" spans="7:16">
      <c r="G1021" s="15">
        <f>'[01_Entry.xlsx]Book'!G1021</f>
        <v>0.0</v>
      </c>
      <c r="H1021" s="15">
        <f>'[01_Entry.xlsx]Book'!H1021</f>
        <v>0.0</v>
      </c>
      <c r="I1021" s="15">
        <f>'[01_Entry.xlsx]Book'!I1021</f>
        <v>0.0</v>
      </c>
      <c r="K1021" s="15">
        <f>'[01_Entry.xlsx]Book'!K1021</f>
        <v>0.0</v>
      </c>
      <c r="L1021" s="15">
        <f>'[01_Entry.xlsx]Book'!L1021</f>
        <v>0.0</v>
      </c>
      <c r="M1021" s="15">
        <f>'[01_Entry.xlsx]Book'!M1021</f>
        <v>0.0</v>
      </c>
      <c r="P1021" s="56">
        <f>IF($A1021="","",IFERROR(VALUE(MID($A1021,6,2)),""))</f>
        <v/>
      </c>
    </row>
    <row r="1022" spans="7:16">
      <c r="G1022" s="15">
        <f>'[01_Entry.xlsx]Book'!G1022</f>
        <v>0.0</v>
      </c>
      <c r="H1022" s="15">
        <f>'[01_Entry.xlsx]Book'!H1022</f>
        <v>0.0</v>
      </c>
      <c r="I1022" s="15">
        <f>'[01_Entry.xlsx]Book'!I1022</f>
        <v>0.0</v>
      </c>
      <c r="K1022" s="15">
        <f>'[01_Entry.xlsx]Book'!K1022</f>
        <v>0.0</v>
      </c>
      <c r="L1022" s="15">
        <f>'[01_Entry.xlsx]Book'!L1022</f>
        <v>0.0</v>
      </c>
      <c r="M1022" s="15">
        <f>'[01_Entry.xlsx]Book'!M1022</f>
        <v>0.0</v>
      </c>
      <c r="P1022" s="56">
        <f>IF($A1022="","",IFERROR(VALUE(MID($A1022,6,2)),""))</f>
        <v/>
      </c>
    </row>
    <row r="1023" spans="7:16">
      <c r="G1023" s="15">
        <f>'[01_Entry.xlsx]Book'!G1023</f>
        <v>0.0</v>
      </c>
      <c r="H1023" s="15">
        <f>'[01_Entry.xlsx]Book'!H1023</f>
        <v>0.0</v>
      </c>
      <c r="I1023" s="15">
        <f>'[01_Entry.xlsx]Book'!I1023</f>
        <v>0.0</v>
      </c>
      <c r="K1023" s="15">
        <f>'[01_Entry.xlsx]Book'!K1023</f>
        <v>0.0</v>
      </c>
      <c r="L1023" s="15">
        <f>'[01_Entry.xlsx]Book'!L1023</f>
        <v>0.0</v>
      </c>
      <c r="M1023" s="15">
        <f>'[01_Entry.xlsx]Book'!M1023</f>
        <v>0.0</v>
      </c>
      <c r="P1023" s="56">
        <f>IF($A1023="","",IFERROR(VALUE(MID($A1023,6,2)),""))</f>
        <v/>
      </c>
    </row>
    <row r="1024" spans="7:16">
      <c r="G1024" s="15">
        <f>'[01_Entry.xlsx]Book'!G1024</f>
        <v>0.0</v>
      </c>
      <c r="H1024" s="15">
        <f>'[01_Entry.xlsx]Book'!H1024</f>
        <v>0.0</v>
      </c>
      <c r="I1024" s="15">
        <f>'[01_Entry.xlsx]Book'!I1024</f>
        <v>0.0</v>
      </c>
      <c r="K1024" s="15">
        <f>'[01_Entry.xlsx]Book'!K1024</f>
        <v>0.0</v>
      </c>
      <c r="L1024" s="15">
        <f>'[01_Entry.xlsx]Book'!L1024</f>
        <v>0.0</v>
      </c>
      <c r="M1024" s="15">
        <f>'[01_Entry.xlsx]Book'!M1024</f>
        <v>0.0</v>
      </c>
      <c r="P1024" s="56">
        <f>IF($A1024="","",IFERROR(VALUE(MID($A1024,6,2)),""))</f>
        <v/>
      </c>
    </row>
    <row r="1025" spans="7:16">
      <c r="G1025" s="15">
        <f>'[01_Entry.xlsx]Book'!G1025</f>
        <v>0.0</v>
      </c>
      <c r="H1025" s="15">
        <f>'[01_Entry.xlsx]Book'!H1025</f>
        <v>0.0</v>
      </c>
      <c r="I1025" s="15">
        <f>'[01_Entry.xlsx]Book'!I1025</f>
        <v>0.0</v>
      </c>
      <c r="K1025" s="15">
        <f>'[01_Entry.xlsx]Book'!K1025</f>
        <v>0.0</v>
      </c>
      <c r="L1025" s="15">
        <f>'[01_Entry.xlsx]Book'!L1025</f>
        <v>0.0</v>
      </c>
      <c r="M1025" s="15">
        <f>'[01_Entry.xlsx]Book'!M1025</f>
        <v>0.0</v>
      </c>
      <c r="P1025" s="56">
        <f>IF($A1025="","",IFERROR(VALUE(MID($A1025,6,2)),""))</f>
        <v/>
      </c>
    </row>
    <row r="1026" spans="7:16">
      <c r="G1026" s="15">
        <f>'[01_Entry.xlsx]Book'!G1026</f>
        <v>0.0</v>
      </c>
      <c r="H1026" s="15">
        <f>'[01_Entry.xlsx]Book'!H1026</f>
        <v>0.0</v>
      </c>
      <c r="I1026" s="15">
        <f>'[01_Entry.xlsx]Book'!I1026</f>
        <v>0.0</v>
      </c>
      <c r="K1026" s="15">
        <f>'[01_Entry.xlsx]Book'!K1026</f>
        <v>0.0</v>
      </c>
      <c r="L1026" s="15">
        <f>'[01_Entry.xlsx]Book'!L1026</f>
        <v>0.0</v>
      </c>
      <c r="M1026" s="15">
        <f>'[01_Entry.xlsx]Book'!M1026</f>
        <v>0.0</v>
      </c>
      <c r="P1026" s="56">
        <f>IF($A1026="","",IFERROR(VALUE(MID($A1026,6,2)),""))</f>
        <v/>
      </c>
    </row>
    <row r="1027" spans="7:16">
      <c r="G1027" s="15">
        <f>'[01_Entry.xlsx]Book'!G1027</f>
        <v>0.0</v>
      </c>
      <c r="H1027" s="15">
        <f>'[01_Entry.xlsx]Book'!H1027</f>
        <v>0.0</v>
      </c>
      <c r="I1027" s="15">
        <f>'[01_Entry.xlsx]Book'!I1027</f>
        <v>0.0</v>
      </c>
      <c r="K1027" s="15">
        <f>'[01_Entry.xlsx]Book'!K1027</f>
        <v>0.0</v>
      </c>
      <c r="L1027" s="15">
        <f>'[01_Entry.xlsx]Book'!L1027</f>
        <v>0.0</v>
      </c>
      <c r="M1027" s="15">
        <f>'[01_Entry.xlsx]Book'!M1027</f>
        <v>0.0</v>
      </c>
      <c r="P1027" s="56">
        <f>IF($A1027="","",IFERROR(VALUE(MID($A1027,6,2)),""))</f>
        <v/>
      </c>
    </row>
    <row r="1028" spans="7:16">
      <c r="G1028" s="15">
        <f>'[01_Entry.xlsx]Book'!G1028</f>
        <v>0.0</v>
      </c>
      <c r="H1028" s="15">
        <f>'[01_Entry.xlsx]Book'!H1028</f>
        <v>0.0</v>
      </c>
      <c r="I1028" s="15">
        <f>'[01_Entry.xlsx]Book'!I1028</f>
        <v>0.0</v>
      </c>
      <c r="K1028" s="15">
        <f>'[01_Entry.xlsx]Book'!K1028</f>
        <v>0.0</v>
      </c>
      <c r="L1028" s="15">
        <f>'[01_Entry.xlsx]Book'!L1028</f>
        <v>0.0</v>
      </c>
      <c r="M1028" s="15">
        <f>'[01_Entry.xlsx]Book'!M1028</f>
        <v>0.0</v>
      </c>
      <c r="P1028" s="56">
        <f>IF($A1028="","",IFERROR(VALUE(MID($A1028,6,2)),""))</f>
        <v/>
      </c>
    </row>
    <row r="1029" spans="7:16">
      <c r="G1029" s="15">
        <f>'[01_Entry.xlsx]Book'!G1029</f>
        <v>0.0</v>
      </c>
      <c r="H1029" s="15">
        <f>'[01_Entry.xlsx]Book'!H1029</f>
        <v>0.0</v>
      </c>
      <c r="I1029" s="15">
        <f>'[01_Entry.xlsx]Book'!I1029</f>
        <v>0.0</v>
      </c>
      <c r="K1029" s="15">
        <f>'[01_Entry.xlsx]Book'!K1029</f>
        <v>0.0</v>
      </c>
      <c r="L1029" s="15">
        <f>'[01_Entry.xlsx]Book'!L1029</f>
        <v>0.0</v>
      </c>
      <c r="M1029" s="15">
        <f>'[01_Entry.xlsx]Book'!M1029</f>
        <v>0.0</v>
      </c>
      <c r="P1029" s="56">
        <f>IF($A1029="","",IFERROR(VALUE(MID($A1029,6,2)),""))</f>
        <v/>
      </c>
    </row>
    <row r="1030" spans="7:16">
      <c r="G1030" s="15">
        <f>'[01_Entry.xlsx]Book'!G1030</f>
        <v>0.0</v>
      </c>
      <c r="H1030" s="15">
        <f>'[01_Entry.xlsx]Book'!H1030</f>
        <v>0.0</v>
      </c>
      <c r="I1030" s="15">
        <f>'[01_Entry.xlsx]Book'!I1030</f>
        <v>0.0</v>
      </c>
      <c r="K1030" s="15">
        <f>'[01_Entry.xlsx]Book'!K1030</f>
        <v>0.0</v>
      </c>
      <c r="L1030" s="15">
        <f>'[01_Entry.xlsx]Book'!L1030</f>
        <v>0.0</v>
      </c>
      <c r="M1030" s="15">
        <f>'[01_Entry.xlsx]Book'!M1030</f>
        <v>0.0</v>
      </c>
      <c r="P1030" s="56">
        <f>IF($A1030="","",IFERROR(VALUE(MID($A1030,6,2)),""))</f>
        <v/>
      </c>
    </row>
    <row r="1031" spans="7:16">
      <c r="G1031" s="15">
        <f>'[01_Entry.xlsx]Book'!G1031</f>
        <v>0.0</v>
      </c>
      <c r="H1031" s="15">
        <f>'[01_Entry.xlsx]Book'!H1031</f>
        <v>0.0</v>
      </c>
      <c r="I1031" s="15">
        <f>'[01_Entry.xlsx]Book'!I1031</f>
        <v>0.0</v>
      </c>
      <c r="K1031" s="15">
        <f>'[01_Entry.xlsx]Book'!K1031</f>
        <v>0.0</v>
      </c>
      <c r="L1031" s="15">
        <f>'[01_Entry.xlsx]Book'!L1031</f>
        <v>0.0</v>
      </c>
      <c r="M1031" s="15">
        <f>'[01_Entry.xlsx]Book'!M1031</f>
        <v>0.0</v>
      </c>
      <c r="P1031" s="56">
        <f>IF($A1031="","",IFERROR(VALUE(MID($A1031,6,2)),""))</f>
        <v/>
      </c>
    </row>
    <row r="1032" spans="7:16">
      <c r="G1032" s="15">
        <f>'[01_Entry.xlsx]Book'!G1032</f>
        <v>0.0</v>
      </c>
      <c r="H1032" s="15">
        <f>'[01_Entry.xlsx]Book'!H1032</f>
        <v>0.0</v>
      </c>
      <c r="I1032" s="15">
        <f>'[01_Entry.xlsx]Book'!I1032</f>
        <v>0.0</v>
      </c>
      <c r="K1032" s="15">
        <f>'[01_Entry.xlsx]Book'!K1032</f>
        <v>0.0</v>
      </c>
      <c r="L1032" s="15">
        <f>'[01_Entry.xlsx]Book'!L1032</f>
        <v>0.0</v>
      </c>
      <c r="M1032" s="15">
        <f>'[01_Entry.xlsx]Book'!M1032</f>
        <v>0.0</v>
      </c>
      <c r="P1032" s="56">
        <f>IF($A1032="","",IFERROR(VALUE(MID($A1032,6,2)),""))</f>
        <v/>
      </c>
    </row>
    <row r="1033" spans="7:16">
      <c r="G1033" s="15">
        <f>'[01_Entry.xlsx]Book'!G1033</f>
        <v>0.0</v>
      </c>
      <c r="H1033" s="15">
        <f>'[01_Entry.xlsx]Book'!H1033</f>
        <v>0.0</v>
      </c>
      <c r="I1033" s="15">
        <f>'[01_Entry.xlsx]Book'!I1033</f>
        <v>0.0</v>
      </c>
      <c r="K1033" s="15">
        <f>'[01_Entry.xlsx]Book'!K1033</f>
        <v>0.0</v>
      </c>
      <c r="L1033" s="15">
        <f>'[01_Entry.xlsx]Book'!L1033</f>
        <v>0.0</v>
      </c>
      <c r="M1033" s="15">
        <f>'[01_Entry.xlsx]Book'!M1033</f>
        <v>0.0</v>
      </c>
      <c r="P1033" s="56">
        <f>IF($A1033="","",IFERROR(VALUE(MID($A1033,6,2)),""))</f>
        <v/>
      </c>
    </row>
    <row r="1034" spans="7:16">
      <c r="G1034" s="15">
        <f>'[01_Entry.xlsx]Book'!G1034</f>
        <v>0.0</v>
      </c>
      <c r="H1034" s="15">
        <f>'[01_Entry.xlsx]Book'!H1034</f>
        <v>0.0</v>
      </c>
      <c r="I1034" s="15">
        <f>'[01_Entry.xlsx]Book'!I1034</f>
        <v>0.0</v>
      </c>
      <c r="K1034" s="15">
        <f>'[01_Entry.xlsx]Book'!K1034</f>
        <v>0.0</v>
      </c>
      <c r="L1034" s="15">
        <f>'[01_Entry.xlsx]Book'!L1034</f>
        <v>0.0</v>
      </c>
      <c r="M1034" s="15">
        <f>'[01_Entry.xlsx]Book'!M1034</f>
        <v>0.0</v>
      </c>
      <c r="P1034" s="56">
        <f>IF($A1034="","",IFERROR(VALUE(MID($A1034,6,2)),""))</f>
        <v/>
      </c>
    </row>
    <row r="1035" spans="7:16">
      <c r="G1035" s="15">
        <f>'[01_Entry.xlsx]Book'!G1035</f>
        <v>0.0</v>
      </c>
      <c r="H1035" s="15">
        <f>'[01_Entry.xlsx]Book'!H1035</f>
        <v>0.0</v>
      </c>
      <c r="I1035" s="15">
        <f>'[01_Entry.xlsx]Book'!I1035</f>
        <v>0.0</v>
      </c>
      <c r="K1035" s="15">
        <f>'[01_Entry.xlsx]Book'!K1035</f>
        <v>0.0</v>
      </c>
      <c r="L1035" s="15">
        <f>'[01_Entry.xlsx]Book'!L1035</f>
        <v>0.0</v>
      </c>
      <c r="M1035" s="15">
        <f>'[01_Entry.xlsx]Book'!M1035</f>
        <v>0.0</v>
      </c>
      <c r="P1035" s="56">
        <f>IF($A1035="","",IFERROR(VALUE(MID($A1035,6,2)),""))</f>
        <v/>
      </c>
    </row>
    <row r="1036" spans="7:16">
      <c r="G1036" s="15">
        <f>'[01_Entry.xlsx]Book'!G1036</f>
        <v>0.0</v>
      </c>
      <c r="H1036" s="15">
        <f>'[01_Entry.xlsx]Book'!H1036</f>
        <v>0.0</v>
      </c>
      <c r="I1036" s="15">
        <f>'[01_Entry.xlsx]Book'!I1036</f>
        <v>0.0</v>
      </c>
      <c r="K1036" s="15">
        <f>'[01_Entry.xlsx]Book'!K1036</f>
        <v>0.0</v>
      </c>
      <c r="L1036" s="15">
        <f>'[01_Entry.xlsx]Book'!L1036</f>
        <v>0.0</v>
      </c>
      <c r="M1036" s="15">
        <f>'[01_Entry.xlsx]Book'!M1036</f>
        <v>0.0</v>
      </c>
      <c r="P1036" s="56">
        <f>IF($A1036="","",IFERROR(VALUE(MID($A1036,6,2)),""))</f>
        <v/>
      </c>
    </row>
    <row r="1037" spans="7:16">
      <c r="G1037" s="15">
        <f>'[01_Entry.xlsx]Book'!G1037</f>
        <v>0.0</v>
      </c>
      <c r="H1037" s="15">
        <f>'[01_Entry.xlsx]Book'!H1037</f>
        <v>0.0</v>
      </c>
      <c r="I1037" s="15">
        <f>'[01_Entry.xlsx]Book'!I1037</f>
        <v>0.0</v>
      </c>
      <c r="K1037" s="15">
        <f>'[01_Entry.xlsx]Book'!K1037</f>
        <v>0.0</v>
      </c>
      <c r="L1037" s="15">
        <f>'[01_Entry.xlsx]Book'!L1037</f>
        <v>0.0</v>
      </c>
      <c r="M1037" s="15">
        <f>'[01_Entry.xlsx]Book'!M1037</f>
        <v>0.0</v>
      </c>
      <c r="P1037" s="56">
        <f>IF($A1037="","",IFERROR(VALUE(MID($A1037,6,2)),""))</f>
        <v/>
      </c>
    </row>
    <row r="1038" spans="7:16">
      <c r="G1038" s="15">
        <f>'[01_Entry.xlsx]Book'!G1038</f>
        <v>0.0</v>
      </c>
      <c r="H1038" s="15">
        <f>'[01_Entry.xlsx]Book'!H1038</f>
        <v>0.0</v>
      </c>
      <c r="I1038" s="15">
        <f>'[01_Entry.xlsx]Book'!I1038</f>
        <v>0.0</v>
      </c>
      <c r="K1038" s="15">
        <f>'[01_Entry.xlsx]Book'!K1038</f>
        <v>0.0</v>
      </c>
      <c r="L1038" s="15">
        <f>'[01_Entry.xlsx]Book'!L1038</f>
        <v>0.0</v>
      </c>
      <c r="M1038" s="15">
        <f>'[01_Entry.xlsx]Book'!M1038</f>
        <v>0.0</v>
      </c>
      <c r="P1038" s="56">
        <f>IF($A1038="","",IFERROR(VALUE(MID($A1038,6,2)),""))</f>
        <v/>
      </c>
    </row>
    <row r="1039" spans="7:16">
      <c r="G1039" s="15">
        <f>'[01_Entry.xlsx]Book'!G1039</f>
        <v>0.0</v>
      </c>
      <c r="H1039" s="15">
        <f>'[01_Entry.xlsx]Book'!H1039</f>
        <v>0.0</v>
      </c>
      <c r="I1039" s="15">
        <f>'[01_Entry.xlsx]Book'!I1039</f>
        <v>0.0</v>
      </c>
      <c r="K1039" s="15">
        <f>'[01_Entry.xlsx]Book'!K1039</f>
        <v>0.0</v>
      </c>
      <c r="L1039" s="15">
        <f>'[01_Entry.xlsx]Book'!L1039</f>
        <v>0.0</v>
      </c>
      <c r="M1039" s="15">
        <f>'[01_Entry.xlsx]Book'!M1039</f>
        <v>0.0</v>
      </c>
      <c r="P1039" s="56">
        <f>IF($A1039="","",IFERROR(VALUE(MID($A1039,6,2)),""))</f>
        <v/>
      </c>
    </row>
    <row r="1040" spans="7:16">
      <c r="G1040" s="15">
        <f>'[01_Entry.xlsx]Book'!G1040</f>
        <v>0.0</v>
      </c>
      <c r="H1040" s="15">
        <f>'[01_Entry.xlsx]Book'!H1040</f>
        <v>0.0</v>
      </c>
      <c r="I1040" s="15">
        <f>'[01_Entry.xlsx]Book'!I1040</f>
        <v>0.0</v>
      </c>
      <c r="K1040" s="15">
        <f>'[01_Entry.xlsx]Book'!K1040</f>
        <v>0.0</v>
      </c>
      <c r="L1040" s="15">
        <f>'[01_Entry.xlsx]Book'!L1040</f>
        <v>0.0</v>
      </c>
      <c r="M1040" s="15">
        <f>'[01_Entry.xlsx]Book'!M1040</f>
        <v>0.0</v>
      </c>
      <c r="P1040" s="56">
        <f>IF($A1040="","",IFERROR(VALUE(MID($A1040,6,2)),""))</f>
        <v/>
      </c>
    </row>
    <row r="1041" spans="7:16">
      <c r="G1041" s="15">
        <f>'[01_Entry.xlsx]Book'!G1041</f>
        <v>0.0</v>
      </c>
      <c r="H1041" s="15">
        <f>'[01_Entry.xlsx]Book'!H1041</f>
        <v>0.0</v>
      </c>
      <c r="I1041" s="15">
        <f>'[01_Entry.xlsx]Book'!I1041</f>
        <v>0.0</v>
      </c>
      <c r="K1041" s="15">
        <f>'[01_Entry.xlsx]Book'!K1041</f>
        <v>0.0</v>
      </c>
      <c r="L1041" s="15">
        <f>'[01_Entry.xlsx]Book'!L1041</f>
        <v>0.0</v>
      </c>
      <c r="M1041" s="15">
        <f>'[01_Entry.xlsx]Book'!M1041</f>
        <v>0.0</v>
      </c>
      <c r="P1041" s="56">
        <f>IF($A1041="","",IFERROR(VALUE(MID($A1041,6,2)),""))</f>
        <v/>
      </c>
    </row>
    <row r="1042" spans="7:16">
      <c r="G1042" s="15">
        <f>'[01_Entry.xlsx]Book'!G1042</f>
        <v>0.0</v>
      </c>
      <c r="H1042" s="15">
        <f>'[01_Entry.xlsx]Book'!H1042</f>
        <v>0.0</v>
      </c>
      <c r="I1042" s="15">
        <f>'[01_Entry.xlsx]Book'!I1042</f>
        <v>0.0</v>
      </c>
      <c r="K1042" s="15">
        <f>'[01_Entry.xlsx]Book'!K1042</f>
        <v>0.0</v>
      </c>
      <c r="L1042" s="15">
        <f>'[01_Entry.xlsx]Book'!L1042</f>
        <v>0.0</v>
      </c>
      <c r="M1042" s="15">
        <f>'[01_Entry.xlsx]Book'!M1042</f>
        <v>0.0</v>
      </c>
      <c r="P1042" s="56">
        <f>IF($A1042="","",IFERROR(VALUE(MID($A1042,6,2)),""))</f>
        <v/>
      </c>
    </row>
    <row r="1043" spans="7:16">
      <c r="G1043" s="15">
        <f>'[01_Entry.xlsx]Book'!G1043</f>
        <v>0.0</v>
      </c>
      <c r="H1043" s="15">
        <f>'[01_Entry.xlsx]Book'!H1043</f>
        <v>0.0</v>
      </c>
      <c r="I1043" s="15">
        <f>'[01_Entry.xlsx]Book'!I1043</f>
        <v>0.0</v>
      </c>
      <c r="K1043" s="15">
        <f>'[01_Entry.xlsx]Book'!K1043</f>
        <v>0.0</v>
      </c>
      <c r="L1043" s="15">
        <f>'[01_Entry.xlsx]Book'!L1043</f>
        <v>0.0</v>
      </c>
      <c r="M1043" s="15">
        <f>'[01_Entry.xlsx]Book'!M1043</f>
        <v>0.0</v>
      </c>
      <c r="P1043" s="56">
        <f>IF($A1043="","",IFERROR(VALUE(MID($A1043,6,2)),""))</f>
        <v/>
      </c>
    </row>
    <row r="1044" spans="7:16">
      <c r="G1044" s="15">
        <f>'[01_Entry.xlsx]Book'!G1044</f>
        <v>0.0</v>
      </c>
      <c r="H1044" s="15">
        <f>'[01_Entry.xlsx]Book'!H1044</f>
        <v>0.0</v>
      </c>
      <c r="I1044" s="15">
        <f>'[01_Entry.xlsx]Book'!I1044</f>
        <v>0.0</v>
      </c>
      <c r="K1044" s="15">
        <f>'[01_Entry.xlsx]Book'!K1044</f>
        <v>0.0</v>
      </c>
      <c r="L1044" s="15">
        <f>'[01_Entry.xlsx]Book'!L1044</f>
        <v>0.0</v>
      </c>
      <c r="M1044" s="15">
        <f>'[01_Entry.xlsx]Book'!M1044</f>
        <v>0.0</v>
      </c>
      <c r="P1044" s="56">
        <f>IF($A1044="","",IFERROR(VALUE(MID($A1044,6,2)),""))</f>
        <v/>
      </c>
    </row>
    <row r="1045" spans="7:16">
      <c r="G1045" s="15">
        <f>'[01_Entry.xlsx]Book'!G1045</f>
        <v>0.0</v>
      </c>
      <c r="H1045" s="15">
        <f>'[01_Entry.xlsx]Book'!H1045</f>
        <v>0.0</v>
      </c>
      <c r="I1045" s="15">
        <f>'[01_Entry.xlsx]Book'!I1045</f>
        <v>0.0</v>
      </c>
      <c r="K1045" s="15">
        <f>'[01_Entry.xlsx]Book'!K1045</f>
        <v>0.0</v>
      </c>
      <c r="L1045" s="15">
        <f>'[01_Entry.xlsx]Book'!L1045</f>
        <v>0.0</v>
      </c>
      <c r="M1045" s="15">
        <f>'[01_Entry.xlsx]Book'!M1045</f>
        <v>0.0</v>
      </c>
      <c r="P1045" s="56">
        <f>IF($A1045="","",IFERROR(VALUE(MID($A1045,6,2)),""))</f>
        <v/>
      </c>
    </row>
    <row r="1046" spans="7:16">
      <c r="G1046" s="15">
        <f>'[01_Entry.xlsx]Book'!G1046</f>
        <v>0.0</v>
      </c>
      <c r="H1046" s="15">
        <f>'[01_Entry.xlsx]Book'!H1046</f>
        <v>0.0</v>
      </c>
      <c r="I1046" s="15">
        <f>'[01_Entry.xlsx]Book'!I1046</f>
        <v>0.0</v>
      </c>
      <c r="K1046" s="15">
        <f>'[01_Entry.xlsx]Book'!K1046</f>
        <v>0.0</v>
      </c>
      <c r="L1046" s="15">
        <f>'[01_Entry.xlsx]Book'!L1046</f>
        <v>0.0</v>
      </c>
      <c r="M1046" s="15">
        <f>'[01_Entry.xlsx]Book'!M1046</f>
        <v>0.0</v>
      </c>
      <c r="P1046" s="56">
        <f>IF($A1046="","",IFERROR(VALUE(MID($A1046,6,2)),""))</f>
        <v/>
      </c>
    </row>
    <row r="1047" spans="7:16">
      <c r="G1047" s="15">
        <f>'[01_Entry.xlsx]Book'!G1047</f>
        <v>0.0</v>
      </c>
      <c r="H1047" s="15">
        <f>'[01_Entry.xlsx]Book'!H1047</f>
        <v>0.0</v>
      </c>
      <c r="I1047" s="15">
        <f>'[01_Entry.xlsx]Book'!I1047</f>
        <v>0.0</v>
      </c>
      <c r="K1047" s="15">
        <f>'[01_Entry.xlsx]Book'!K1047</f>
        <v>0.0</v>
      </c>
      <c r="L1047" s="15">
        <f>'[01_Entry.xlsx]Book'!L1047</f>
        <v>0.0</v>
      </c>
      <c r="M1047" s="15">
        <f>'[01_Entry.xlsx]Book'!M1047</f>
        <v>0.0</v>
      </c>
      <c r="P1047" s="56">
        <f>IF($A1047="","",IFERROR(VALUE(MID($A1047,6,2)),""))</f>
        <v/>
      </c>
    </row>
    <row r="1048" spans="7:16">
      <c r="G1048" s="15">
        <f>'[01_Entry.xlsx]Book'!G1048</f>
        <v>0.0</v>
      </c>
      <c r="H1048" s="15">
        <f>'[01_Entry.xlsx]Book'!H1048</f>
        <v>0.0</v>
      </c>
      <c r="I1048" s="15">
        <f>'[01_Entry.xlsx]Book'!I1048</f>
        <v>0.0</v>
      </c>
      <c r="K1048" s="15">
        <f>'[01_Entry.xlsx]Book'!K1048</f>
        <v>0.0</v>
      </c>
      <c r="L1048" s="15">
        <f>'[01_Entry.xlsx]Book'!L1048</f>
        <v>0.0</v>
      </c>
      <c r="M1048" s="15">
        <f>'[01_Entry.xlsx]Book'!M1048</f>
        <v>0.0</v>
      </c>
      <c r="P1048" s="56">
        <f>IF($A1048="","",IFERROR(VALUE(MID($A1048,6,2)),""))</f>
        <v/>
      </c>
    </row>
    <row r="1049" spans="7:16">
      <c r="G1049" s="15">
        <f>'[01_Entry.xlsx]Book'!G1049</f>
        <v>0.0</v>
      </c>
      <c r="H1049" s="15">
        <f>'[01_Entry.xlsx]Book'!H1049</f>
        <v>0.0</v>
      </c>
      <c r="I1049" s="15">
        <f>'[01_Entry.xlsx]Book'!I1049</f>
        <v>0.0</v>
      </c>
      <c r="K1049" s="15">
        <f>'[01_Entry.xlsx]Book'!K1049</f>
        <v>0.0</v>
      </c>
      <c r="L1049" s="15">
        <f>'[01_Entry.xlsx]Book'!L1049</f>
        <v>0.0</v>
      </c>
      <c r="M1049" s="15">
        <f>'[01_Entry.xlsx]Book'!M1049</f>
        <v>0.0</v>
      </c>
      <c r="P1049" s="56">
        <f>IF($A1049="","",IFERROR(VALUE(MID($A1049,6,2)),""))</f>
        <v/>
      </c>
    </row>
    <row r="1050" spans="7:16">
      <c r="G1050" s="15">
        <f>'[01_Entry.xlsx]Book'!G1050</f>
        <v>0.0</v>
      </c>
      <c r="H1050" s="15">
        <f>'[01_Entry.xlsx]Book'!H1050</f>
        <v>0.0</v>
      </c>
      <c r="I1050" s="15">
        <f>'[01_Entry.xlsx]Book'!I1050</f>
        <v>0.0</v>
      </c>
      <c r="K1050" s="15">
        <f>'[01_Entry.xlsx]Book'!K1050</f>
        <v>0.0</v>
      </c>
      <c r="L1050" s="15">
        <f>'[01_Entry.xlsx]Book'!L1050</f>
        <v>0.0</v>
      </c>
      <c r="M1050" s="15">
        <f>'[01_Entry.xlsx]Book'!M1050</f>
        <v>0.0</v>
      </c>
      <c r="P1050" s="56">
        <f>IF($A1050="","",IFERROR(VALUE(MID($A1050,6,2)),""))</f>
        <v/>
      </c>
    </row>
    <row r="1051" spans="7:16">
      <c r="G1051" s="15">
        <f>'[01_Entry.xlsx]Book'!G1051</f>
        <v>0.0</v>
      </c>
      <c r="H1051" s="15">
        <f>'[01_Entry.xlsx]Book'!H1051</f>
        <v>0.0</v>
      </c>
      <c r="I1051" s="15">
        <f>'[01_Entry.xlsx]Book'!I1051</f>
        <v>0.0</v>
      </c>
      <c r="K1051" s="15">
        <f>'[01_Entry.xlsx]Book'!K1051</f>
        <v>0.0</v>
      </c>
      <c r="L1051" s="15">
        <f>'[01_Entry.xlsx]Book'!L1051</f>
        <v>0.0</v>
      </c>
      <c r="M1051" s="15">
        <f>'[01_Entry.xlsx]Book'!M1051</f>
        <v>0.0</v>
      </c>
      <c r="P1051" s="56">
        <f>IF($A1051="","",IFERROR(VALUE(MID($A1051,6,2)),""))</f>
        <v/>
      </c>
    </row>
    <row r="1052" spans="7:16">
      <c r="G1052" s="15">
        <f>'[01_Entry.xlsx]Book'!G1052</f>
        <v>0.0</v>
      </c>
      <c r="H1052" s="15">
        <f>'[01_Entry.xlsx]Book'!H1052</f>
        <v>0.0</v>
      </c>
      <c r="I1052" s="15">
        <f>'[01_Entry.xlsx]Book'!I1052</f>
        <v>0.0</v>
      </c>
      <c r="K1052" s="15">
        <f>'[01_Entry.xlsx]Book'!K1052</f>
        <v>0.0</v>
      </c>
      <c r="L1052" s="15">
        <f>'[01_Entry.xlsx]Book'!L1052</f>
        <v>0.0</v>
      </c>
      <c r="M1052" s="15">
        <f>'[01_Entry.xlsx]Book'!M1052</f>
        <v>0.0</v>
      </c>
      <c r="P1052" s="56">
        <f>IF($A1052="","",IFERROR(VALUE(MID($A1052,6,2)),""))</f>
        <v/>
      </c>
    </row>
    <row r="1053" spans="7:16">
      <c r="G1053" s="15">
        <f>'[01_Entry.xlsx]Book'!G1053</f>
        <v>0.0</v>
      </c>
      <c r="H1053" s="15">
        <f>'[01_Entry.xlsx]Book'!H1053</f>
        <v>0.0</v>
      </c>
      <c r="I1053" s="15">
        <f>'[01_Entry.xlsx]Book'!I1053</f>
        <v>0.0</v>
      </c>
      <c r="K1053" s="15">
        <f>'[01_Entry.xlsx]Book'!K1053</f>
        <v>0.0</v>
      </c>
      <c r="L1053" s="15">
        <f>'[01_Entry.xlsx]Book'!L1053</f>
        <v>0.0</v>
      </c>
      <c r="M1053" s="15">
        <f>'[01_Entry.xlsx]Book'!M1053</f>
        <v>0.0</v>
      </c>
      <c r="P1053" s="56">
        <f>IF($A1053="","",IFERROR(VALUE(MID($A1053,6,2)),""))</f>
        <v/>
      </c>
    </row>
    <row r="1054" spans="7:16">
      <c r="G1054" s="15">
        <f>'[01_Entry.xlsx]Book'!G1054</f>
        <v>0.0</v>
      </c>
      <c r="H1054" s="15">
        <f>'[01_Entry.xlsx]Book'!H1054</f>
        <v>0.0</v>
      </c>
      <c r="I1054" s="15">
        <f>'[01_Entry.xlsx]Book'!I1054</f>
        <v>0.0</v>
      </c>
      <c r="K1054" s="15">
        <f>'[01_Entry.xlsx]Book'!K1054</f>
        <v>0.0</v>
      </c>
      <c r="L1054" s="15">
        <f>'[01_Entry.xlsx]Book'!L1054</f>
        <v>0.0</v>
      </c>
      <c r="M1054" s="15">
        <f>'[01_Entry.xlsx]Book'!M1054</f>
        <v>0.0</v>
      </c>
      <c r="P1054" s="56">
        <f>IF($A1054="","",IFERROR(VALUE(MID($A1054,6,2)),""))</f>
        <v/>
      </c>
    </row>
    <row r="1055" spans="7:16">
      <c r="G1055" s="15">
        <f>'[01_Entry.xlsx]Book'!G1055</f>
        <v>0.0</v>
      </c>
      <c r="H1055" s="15">
        <f>'[01_Entry.xlsx]Book'!H1055</f>
        <v>0.0</v>
      </c>
      <c r="I1055" s="15">
        <f>'[01_Entry.xlsx]Book'!I1055</f>
        <v>0.0</v>
      </c>
      <c r="K1055" s="15">
        <f>'[01_Entry.xlsx]Book'!K1055</f>
        <v>0.0</v>
      </c>
      <c r="L1055" s="15">
        <f>'[01_Entry.xlsx]Book'!L1055</f>
        <v>0.0</v>
      </c>
      <c r="M1055" s="15">
        <f>'[01_Entry.xlsx]Book'!M1055</f>
        <v>0.0</v>
      </c>
      <c r="P1055" s="56">
        <f>IF($A1055="","",IFERROR(VALUE(MID($A1055,6,2)),""))</f>
        <v/>
      </c>
    </row>
    <row r="1056" spans="7:16">
      <c r="G1056" s="15">
        <f>'[01_Entry.xlsx]Book'!G1056</f>
        <v>0.0</v>
      </c>
      <c r="H1056" s="15">
        <f>'[01_Entry.xlsx]Book'!H1056</f>
        <v>0.0</v>
      </c>
      <c r="I1056" s="15">
        <f>'[01_Entry.xlsx]Book'!I1056</f>
        <v>0.0</v>
      </c>
      <c r="K1056" s="15">
        <f>'[01_Entry.xlsx]Book'!K1056</f>
        <v>0.0</v>
      </c>
      <c r="L1056" s="15">
        <f>'[01_Entry.xlsx]Book'!L1056</f>
        <v>0.0</v>
      </c>
      <c r="M1056" s="15">
        <f>'[01_Entry.xlsx]Book'!M1056</f>
        <v>0.0</v>
      </c>
      <c r="P1056" s="56">
        <f>IF($A1056="","",IFERROR(VALUE(MID($A1056,6,2)),""))</f>
        <v/>
      </c>
    </row>
    <row r="1057" spans="7:16">
      <c r="G1057" s="15">
        <f>'[01_Entry.xlsx]Book'!G1057</f>
        <v>0.0</v>
      </c>
      <c r="H1057" s="15">
        <f>'[01_Entry.xlsx]Book'!H1057</f>
        <v>0.0</v>
      </c>
      <c r="I1057" s="15">
        <f>'[01_Entry.xlsx]Book'!I1057</f>
        <v>0.0</v>
      </c>
      <c r="K1057" s="15">
        <f>'[01_Entry.xlsx]Book'!K1057</f>
        <v>0.0</v>
      </c>
      <c r="L1057" s="15">
        <f>'[01_Entry.xlsx]Book'!L1057</f>
        <v>0.0</v>
      </c>
      <c r="M1057" s="15">
        <f>'[01_Entry.xlsx]Book'!M1057</f>
        <v>0.0</v>
      </c>
      <c r="P1057" s="56">
        <f>IF($A1057="","",IFERROR(VALUE(MID($A1057,6,2)),""))</f>
        <v/>
      </c>
    </row>
    <row r="1058" spans="7:16">
      <c r="G1058" s="15">
        <f>'[01_Entry.xlsx]Book'!G1058</f>
        <v>0.0</v>
      </c>
      <c r="H1058" s="15">
        <f>'[01_Entry.xlsx]Book'!H1058</f>
        <v>0.0</v>
      </c>
      <c r="I1058" s="15">
        <f>'[01_Entry.xlsx]Book'!I1058</f>
        <v>0.0</v>
      </c>
      <c r="K1058" s="15">
        <f>'[01_Entry.xlsx]Book'!K1058</f>
        <v>0.0</v>
      </c>
      <c r="L1058" s="15">
        <f>'[01_Entry.xlsx]Book'!L1058</f>
        <v>0.0</v>
      </c>
      <c r="M1058" s="15">
        <f>'[01_Entry.xlsx]Book'!M1058</f>
        <v>0.0</v>
      </c>
      <c r="P1058" s="56">
        <f>IF($A1058="","",IFERROR(VALUE(MID($A1058,6,2)),""))</f>
        <v/>
      </c>
    </row>
    <row r="1059" spans="7:16">
      <c r="G1059" s="15">
        <f>'[01_Entry.xlsx]Book'!G1059</f>
        <v>0.0</v>
      </c>
      <c r="H1059" s="15">
        <f>'[01_Entry.xlsx]Book'!H1059</f>
        <v>0.0</v>
      </c>
      <c r="I1059" s="15">
        <f>'[01_Entry.xlsx]Book'!I1059</f>
        <v>0.0</v>
      </c>
      <c r="K1059" s="15">
        <f>'[01_Entry.xlsx]Book'!K1059</f>
        <v>0.0</v>
      </c>
      <c r="L1059" s="15">
        <f>'[01_Entry.xlsx]Book'!L1059</f>
        <v>0.0</v>
      </c>
      <c r="M1059" s="15">
        <f>'[01_Entry.xlsx]Book'!M1059</f>
        <v>0.0</v>
      </c>
      <c r="P1059" s="56">
        <f>IF($A1059="","",IFERROR(VALUE(MID($A1059,6,2)),""))</f>
        <v/>
      </c>
    </row>
    <row r="1060" spans="7:16">
      <c r="G1060" s="15">
        <f>'[01_Entry.xlsx]Book'!G1060</f>
        <v>0.0</v>
      </c>
      <c r="H1060" s="15">
        <f>'[01_Entry.xlsx]Book'!H1060</f>
        <v>0.0</v>
      </c>
      <c r="I1060" s="15">
        <f>'[01_Entry.xlsx]Book'!I1060</f>
        <v>0.0</v>
      </c>
      <c r="K1060" s="15">
        <f>'[01_Entry.xlsx]Book'!K1060</f>
        <v>0.0</v>
      </c>
      <c r="L1060" s="15">
        <f>'[01_Entry.xlsx]Book'!L1060</f>
        <v>0.0</v>
      </c>
      <c r="M1060" s="15">
        <f>'[01_Entry.xlsx]Book'!M1060</f>
        <v>0.0</v>
      </c>
      <c r="P1060" s="56">
        <f>IF($A1060="","",IFERROR(VALUE(MID($A1060,6,2)),""))</f>
        <v/>
      </c>
    </row>
    <row r="1061" spans="7:16">
      <c r="G1061" s="15">
        <f>'[01_Entry.xlsx]Book'!G1061</f>
        <v>0.0</v>
      </c>
      <c r="H1061" s="15">
        <f>'[01_Entry.xlsx]Book'!H1061</f>
        <v>0.0</v>
      </c>
      <c r="I1061" s="15">
        <f>'[01_Entry.xlsx]Book'!I1061</f>
        <v>0.0</v>
      </c>
      <c r="K1061" s="15">
        <f>'[01_Entry.xlsx]Book'!K1061</f>
        <v>0.0</v>
      </c>
      <c r="L1061" s="15">
        <f>'[01_Entry.xlsx]Book'!L1061</f>
        <v>0.0</v>
      </c>
      <c r="M1061" s="15">
        <f>'[01_Entry.xlsx]Book'!M1061</f>
        <v>0.0</v>
      </c>
      <c r="P1061" s="56">
        <f>IF($A1061="","",IFERROR(VALUE(MID($A1061,6,2)),""))</f>
        <v/>
      </c>
    </row>
    <row r="1062" spans="7:16">
      <c r="G1062" s="15">
        <f>'[01_Entry.xlsx]Book'!G1062</f>
        <v>0.0</v>
      </c>
      <c r="H1062" s="15">
        <f>'[01_Entry.xlsx]Book'!H1062</f>
        <v>0.0</v>
      </c>
      <c r="I1062" s="15">
        <f>'[01_Entry.xlsx]Book'!I1062</f>
        <v>0.0</v>
      </c>
      <c r="K1062" s="15">
        <f>'[01_Entry.xlsx]Book'!K1062</f>
        <v>0.0</v>
      </c>
      <c r="L1062" s="15">
        <f>'[01_Entry.xlsx]Book'!L1062</f>
        <v>0.0</v>
      </c>
      <c r="M1062" s="15">
        <f>'[01_Entry.xlsx]Book'!M1062</f>
        <v>0.0</v>
      </c>
      <c r="P1062" s="56">
        <f>IF($A1062="","",IFERROR(VALUE(MID($A1062,6,2)),""))</f>
        <v/>
      </c>
    </row>
    <row r="1063" spans="7:16">
      <c r="G1063" s="15">
        <f>'[01_Entry.xlsx]Book'!G1063</f>
        <v>0.0</v>
      </c>
      <c r="H1063" s="15">
        <f>'[01_Entry.xlsx]Book'!H1063</f>
        <v>0.0</v>
      </c>
      <c r="I1063" s="15">
        <f>'[01_Entry.xlsx]Book'!I1063</f>
        <v>0.0</v>
      </c>
      <c r="K1063" s="15">
        <f>'[01_Entry.xlsx]Book'!K1063</f>
        <v>0.0</v>
      </c>
      <c r="L1063" s="15">
        <f>'[01_Entry.xlsx]Book'!L1063</f>
        <v>0.0</v>
      </c>
      <c r="M1063" s="15">
        <f>'[01_Entry.xlsx]Book'!M1063</f>
        <v>0.0</v>
      </c>
      <c r="P1063" s="56">
        <f>IF($A1063="","",IFERROR(VALUE(MID($A1063,6,2)),""))</f>
        <v/>
      </c>
    </row>
    <row r="1064" spans="7:16">
      <c r="G1064" s="15">
        <f>'[01_Entry.xlsx]Book'!G1064</f>
        <v>0.0</v>
      </c>
      <c r="H1064" s="15">
        <f>'[01_Entry.xlsx]Book'!H1064</f>
        <v>0.0</v>
      </c>
      <c r="I1064" s="15">
        <f>'[01_Entry.xlsx]Book'!I1064</f>
        <v>0.0</v>
      </c>
      <c r="K1064" s="15">
        <f>'[01_Entry.xlsx]Book'!K1064</f>
        <v>0.0</v>
      </c>
      <c r="L1064" s="15">
        <f>'[01_Entry.xlsx]Book'!L1064</f>
        <v>0.0</v>
      </c>
      <c r="M1064" s="15">
        <f>'[01_Entry.xlsx]Book'!M1064</f>
        <v>0.0</v>
      </c>
      <c r="P1064" s="56">
        <f>IF($A1064="","",IFERROR(VALUE(MID($A1064,6,2)),""))</f>
        <v/>
      </c>
    </row>
    <row r="1065" spans="7:16">
      <c r="G1065" s="15">
        <f>'[01_Entry.xlsx]Book'!G1065</f>
        <v>0.0</v>
      </c>
      <c r="H1065" s="15">
        <f>'[01_Entry.xlsx]Book'!H1065</f>
        <v>0.0</v>
      </c>
      <c r="I1065" s="15">
        <f>'[01_Entry.xlsx]Book'!I1065</f>
        <v>0.0</v>
      </c>
      <c r="K1065" s="15">
        <f>'[01_Entry.xlsx]Book'!K1065</f>
        <v>0.0</v>
      </c>
      <c r="L1065" s="15">
        <f>'[01_Entry.xlsx]Book'!L1065</f>
        <v>0.0</v>
      </c>
      <c r="M1065" s="15">
        <f>'[01_Entry.xlsx]Book'!M1065</f>
        <v>0.0</v>
      </c>
      <c r="P1065" s="56">
        <f>IF($A1065="","",IFERROR(VALUE(MID($A1065,6,2)),""))</f>
        <v/>
      </c>
    </row>
    <row r="1066" spans="7:16">
      <c r="G1066" s="15">
        <f>'[01_Entry.xlsx]Book'!G1066</f>
        <v>0.0</v>
      </c>
      <c r="H1066" s="15">
        <f>'[01_Entry.xlsx]Book'!H1066</f>
        <v>0.0</v>
      </c>
      <c r="I1066" s="15">
        <f>'[01_Entry.xlsx]Book'!I1066</f>
        <v>0.0</v>
      </c>
      <c r="K1066" s="15">
        <f>'[01_Entry.xlsx]Book'!K1066</f>
        <v>0.0</v>
      </c>
      <c r="L1066" s="15">
        <f>'[01_Entry.xlsx]Book'!L1066</f>
        <v>0.0</v>
      </c>
      <c r="M1066" s="15">
        <f>'[01_Entry.xlsx]Book'!M1066</f>
        <v>0.0</v>
      </c>
      <c r="P1066" s="56">
        <f>IF($A1066="","",IFERROR(VALUE(MID($A1066,6,2)),""))</f>
        <v/>
      </c>
    </row>
    <row r="1067" spans="7:16">
      <c r="G1067" s="15">
        <f>'[01_Entry.xlsx]Book'!G1067</f>
        <v>0.0</v>
      </c>
      <c r="H1067" s="15">
        <f>'[01_Entry.xlsx]Book'!H1067</f>
        <v>0.0</v>
      </c>
      <c r="I1067" s="15">
        <f>'[01_Entry.xlsx]Book'!I1067</f>
        <v>0.0</v>
      </c>
      <c r="K1067" s="15">
        <f>'[01_Entry.xlsx]Book'!K1067</f>
        <v>0.0</v>
      </c>
      <c r="L1067" s="15">
        <f>'[01_Entry.xlsx]Book'!L1067</f>
        <v>0.0</v>
      </c>
      <c r="M1067" s="15">
        <f>'[01_Entry.xlsx]Book'!M1067</f>
        <v>0.0</v>
      </c>
      <c r="P1067" s="56">
        <f>IF($A1067="","",IFERROR(VALUE(MID($A1067,6,2)),""))</f>
        <v/>
      </c>
    </row>
    <row r="1068" spans="7:16">
      <c r="G1068" s="15">
        <f>'[01_Entry.xlsx]Book'!G1068</f>
        <v>0.0</v>
      </c>
      <c r="H1068" s="15">
        <f>'[01_Entry.xlsx]Book'!H1068</f>
        <v>0.0</v>
      </c>
      <c r="I1068" s="15">
        <f>'[01_Entry.xlsx]Book'!I1068</f>
        <v>0.0</v>
      </c>
      <c r="K1068" s="15">
        <f>'[01_Entry.xlsx]Book'!K1068</f>
        <v>0.0</v>
      </c>
      <c r="L1068" s="15">
        <f>'[01_Entry.xlsx]Book'!L1068</f>
        <v>0.0</v>
      </c>
      <c r="M1068" s="15">
        <f>'[01_Entry.xlsx]Book'!M1068</f>
        <v>0.0</v>
      </c>
      <c r="P1068" s="56">
        <f>IF($A1068="","",IFERROR(VALUE(MID($A1068,6,2)),""))</f>
        <v/>
      </c>
    </row>
    <row r="1069" spans="7:16">
      <c r="G1069" s="15">
        <f>'[01_Entry.xlsx]Book'!G1069</f>
        <v>0.0</v>
      </c>
      <c r="H1069" s="15">
        <f>'[01_Entry.xlsx]Book'!H1069</f>
        <v>0.0</v>
      </c>
      <c r="I1069" s="15">
        <f>'[01_Entry.xlsx]Book'!I1069</f>
        <v>0.0</v>
      </c>
      <c r="K1069" s="15">
        <f>'[01_Entry.xlsx]Book'!K1069</f>
        <v>0.0</v>
      </c>
      <c r="L1069" s="15">
        <f>'[01_Entry.xlsx]Book'!L1069</f>
        <v>0.0</v>
      </c>
      <c r="M1069" s="15">
        <f>'[01_Entry.xlsx]Book'!M1069</f>
        <v>0.0</v>
      </c>
      <c r="P1069" s="56">
        <f>IF($A1069="","",IFERROR(VALUE(MID($A1069,6,2)),""))</f>
        <v/>
      </c>
    </row>
    <row r="1070" spans="7:16">
      <c r="G1070" s="15">
        <f>'[01_Entry.xlsx]Book'!G1070</f>
        <v>0.0</v>
      </c>
      <c r="H1070" s="15">
        <f>'[01_Entry.xlsx]Book'!H1070</f>
        <v>0.0</v>
      </c>
      <c r="I1070" s="15">
        <f>'[01_Entry.xlsx]Book'!I1070</f>
        <v>0.0</v>
      </c>
      <c r="K1070" s="15">
        <f>'[01_Entry.xlsx]Book'!K1070</f>
        <v>0.0</v>
      </c>
      <c r="L1070" s="15">
        <f>'[01_Entry.xlsx]Book'!L1070</f>
        <v>0.0</v>
      </c>
      <c r="M1070" s="15">
        <f>'[01_Entry.xlsx]Book'!M1070</f>
        <v>0.0</v>
      </c>
      <c r="P1070" s="56">
        <f>IF($A1070="","",IFERROR(VALUE(MID($A1070,6,2)),""))</f>
        <v/>
      </c>
    </row>
    <row r="1071" spans="7:16">
      <c r="G1071" s="15">
        <f>'[01_Entry.xlsx]Book'!G1071</f>
        <v>0.0</v>
      </c>
      <c r="H1071" s="15">
        <f>'[01_Entry.xlsx]Book'!H1071</f>
        <v>0.0</v>
      </c>
      <c r="I1071" s="15">
        <f>'[01_Entry.xlsx]Book'!I1071</f>
        <v>0.0</v>
      </c>
      <c r="K1071" s="15">
        <f>'[01_Entry.xlsx]Book'!K1071</f>
        <v>0.0</v>
      </c>
      <c r="L1071" s="15">
        <f>'[01_Entry.xlsx]Book'!L1071</f>
        <v>0.0</v>
      </c>
      <c r="M1071" s="15">
        <f>'[01_Entry.xlsx]Book'!M1071</f>
        <v>0.0</v>
      </c>
      <c r="P1071" s="56">
        <f>IF($A1071="","",IFERROR(VALUE(MID($A1071,6,2)),""))</f>
        <v/>
      </c>
    </row>
    <row r="1072" spans="7:16">
      <c r="G1072" s="15">
        <f>'[01_Entry.xlsx]Book'!G1072</f>
        <v>0.0</v>
      </c>
      <c r="H1072" s="15">
        <f>'[01_Entry.xlsx]Book'!H1072</f>
        <v>0.0</v>
      </c>
      <c r="I1072" s="15">
        <f>'[01_Entry.xlsx]Book'!I1072</f>
        <v>0.0</v>
      </c>
      <c r="K1072" s="15">
        <f>'[01_Entry.xlsx]Book'!K1072</f>
        <v>0.0</v>
      </c>
      <c r="L1072" s="15">
        <f>'[01_Entry.xlsx]Book'!L1072</f>
        <v>0.0</v>
      </c>
      <c r="M1072" s="15">
        <f>'[01_Entry.xlsx]Book'!M1072</f>
        <v>0.0</v>
      </c>
      <c r="P1072" s="56">
        <f>IF($A1072="","",IFERROR(VALUE(MID($A1072,6,2)),""))</f>
        <v/>
      </c>
    </row>
    <row r="1073" spans="7:16">
      <c r="G1073" s="15">
        <f>'[01_Entry.xlsx]Book'!G1073</f>
        <v>0.0</v>
      </c>
      <c r="H1073" s="15">
        <f>'[01_Entry.xlsx]Book'!H1073</f>
        <v>0.0</v>
      </c>
      <c r="I1073" s="15">
        <f>'[01_Entry.xlsx]Book'!I1073</f>
        <v>0.0</v>
      </c>
      <c r="K1073" s="15">
        <f>'[01_Entry.xlsx]Book'!K1073</f>
        <v>0.0</v>
      </c>
      <c r="L1073" s="15">
        <f>'[01_Entry.xlsx]Book'!L1073</f>
        <v>0.0</v>
      </c>
      <c r="M1073" s="15">
        <f>'[01_Entry.xlsx]Book'!M1073</f>
        <v>0.0</v>
      </c>
      <c r="P1073" s="56">
        <f>IF($A1073="","",IFERROR(VALUE(MID($A1073,6,2)),""))</f>
        <v/>
      </c>
    </row>
    <row r="1074" spans="7:16">
      <c r="G1074" s="15">
        <f>'[01_Entry.xlsx]Book'!G1074</f>
        <v>0.0</v>
      </c>
      <c r="H1074" s="15">
        <f>'[01_Entry.xlsx]Book'!H1074</f>
        <v>0.0</v>
      </c>
      <c r="I1074" s="15">
        <f>'[01_Entry.xlsx]Book'!I1074</f>
        <v>0.0</v>
      </c>
      <c r="K1074" s="15">
        <f>'[01_Entry.xlsx]Book'!K1074</f>
        <v>0.0</v>
      </c>
      <c r="L1074" s="15">
        <f>'[01_Entry.xlsx]Book'!L1074</f>
        <v>0.0</v>
      </c>
      <c r="M1074" s="15">
        <f>'[01_Entry.xlsx]Book'!M1074</f>
        <v>0.0</v>
      </c>
      <c r="P1074" s="56">
        <f>IF($A1074="","",IFERROR(VALUE(MID($A1074,6,2)),""))</f>
        <v/>
      </c>
    </row>
    <row r="1075" spans="7:16">
      <c r="G1075" s="15">
        <f>'[01_Entry.xlsx]Book'!G1075</f>
        <v>0.0</v>
      </c>
      <c r="H1075" s="15">
        <f>'[01_Entry.xlsx]Book'!H1075</f>
        <v>0.0</v>
      </c>
      <c r="I1075" s="15">
        <f>'[01_Entry.xlsx]Book'!I1075</f>
        <v>0.0</v>
      </c>
      <c r="K1075" s="15">
        <f>'[01_Entry.xlsx]Book'!K1075</f>
        <v>0.0</v>
      </c>
      <c r="L1075" s="15">
        <f>'[01_Entry.xlsx]Book'!L1075</f>
        <v>0.0</v>
      </c>
      <c r="M1075" s="15">
        <f>'[01_Entry.xlsx]Book'!M1075</f>
        <v>0.0</v>
      </c>
      <c r="P1075" s="56">
        <f>IF($A1075="","",IFERROR(VALUE(MID($A1075,6,2)),""))</f>
        <v/>
      </c>
    </row>
    <row r="1076" spans="7:16">
      <c r="G1076" s="15">
        <f>'[01_Entry.xlsx]Book'!G1076</f>
        <v>0.0</v>
      </c>
      <c r="H1076" s="15">
        <f>'[01_Entry.xlsx]Book'!H1076</f>
        <v>0.0</v>
      </c>
      <c r="I1076" s="15">
        <f>'[01_Entry.xlsx]Book'!I1076</f>
        <v>0.0</v>
      </c>
      <c r="K1076" s="15">
        <f>'[01_Entry.xlsx]Book'!K1076</f>
        <v>0.0</v>
      </c>
      <c r="L1076" s="15">
        <f>'[01_Entry.xlsx]Book'!L1076</f>
        <v>0.0</v>
      </c>
      <c r="M1076" s="15">
        <f>'[01_Entry.xlsx]Book'!M1076</f>
        <v>0.0</v>
      </c>
      <c r="P1076" s="56">
        <f>IF($A1076="","",IFERROR(VALUE(MID($A1076,6,2)),""))</f>
        <v/>
      </c>
    </row>
    <row r="1077" spans="7:16">
      <c r="G1077" s="15">
        <f>'[01_Entry.xlsx]Book'!G1077</f>
        <v>0.0</v>
      </c>
      <c r="H1077" s="15">
        <f>'[01_Entry.xlsx]Book'!H1077</f>
        <v>0.0</v>
      </c>
      <c r="I1077" s="15">
        <f>'[01_Entry.xlsx]Book'!I1077</f>
        <v>0.0</v>
      </c>
      <c r="K1077" s="15">
        <f>'[01_Entry.xlsx]Book'!K1077</f>
        <v>0.0</v>
      </c>
      <c r="L1077" s="15">
        <f>'[01_Entry.xlsx]Book'!L1077</f>
        <v>0.0</v>
      </c>
      <c r="M1077" s="15">
        <f>'[01_Entry.xlsx]Book'!M1077</f>
        <v>0.0</v>
      </c>
      <c r="P1077" s="56">
        <f>IF($A1077="","",IFERROR(VALUE(MID($A1077,6,2)),""))</f>
        <v/>
      </c>
    </row>
    <row r="1078" spans="7:16">
      <c r="G1078" s="15">
        <f>'[01_Entry.xlsx]Book'!G1078</f>
        <v>0.0</v>
      </c>
      <c r="H1078" s="15">
        <f>'[01_Entry.xlsx]Book'!H1078</f>
        <v>0.0</v>
      </c>
      <c r="I1078" s="15">
        <f>'[01_Entry.xlsx]Book'!I1078</f>
        <v>0.0</v>
      </c>
      <c r="K1078" s="15">
        <f>'[01_Entry.xlsx]Book'!K1078</f>
        <v>0.0</v>
      </c>
      <c r="L1078" s="15">
        <f>'[01_Entry.xlsx]Book'!L1078</f>
        <v>0.0</v>
      </c>
      <c r="M1078" s="15">
        <f>'[01_Entry.xlsx]Book'!M1078</f>
        <v>0.0</v>
      </c>
      <c r="P1078" s="56">
        <f>IF($A1078="","",IFERROR(VALUE(MID($A1078,6,2)),""))</f>
        <v/>
      </c>
    </row>
    <row r="1079" spans="7:16">
      <c r="G1079" s="15">
        <f>'[01_Entry.xlsx]Book'!G1079</f>
        <v>0.0</v>
      </c>
      <c r="H1079" s="15">
        <f>'[01_Entry.xlsx]Book'!H1079</f>
        <v>0.0</v>
      </c>
      <c r="I1079" s="15">
        <f>'[01_Entry.xlsx]Book'!I1079</f>
        <v>0.0</v>
      </c>
      <c r="K1079" s="15">
        <f>'[01_Entry.xlsx]Book'!K1079</f>
        <v>0.0</v>
      </c>
      <c r="L1079" s="15">
        <f>'[01_Entry.xlsx]Book'!L1079</f>
        <v>0.0</v>
      </c>
      <c r="M1079" s="15">
        <f>'[01_Entry.xlsx]Book'!M1079</f>
        <v>0.0</v>
      </c>
      <c r="P1079" s="56">
        <f>IF($A1079="","",IFERROR(VALUE(MID($A1079,6,2)),""))</f>
        <v/>
      </c>
    </row>
    <row r="1080" spans="7:16">
      <c r="G1080" s="15">
        <f>'[01_Entry.xlsx]Book'!G1080</f>
        <v>0.0</v>
      </c>
      <c r="H1080" s="15">
        <f>'[01_Entry.xlsx]Book'!H1080</f>
        <v>0.0</v>
      </c>
      <c r="I1080" s="15">
        <f>'[01_Entry.xlsx]Book'!I1080</f>
        <v>0.0</v>
      </c>
      <c r="K1080" s="15">
        <f>'[01_Entry.xlsx]Book'!K1080</f>
        <v>0.0</v>
      </c>
      <c r="L1080" s="15">
        <f>'[01_Entry.xlsx]Book'!L1080</f>
        <v>0.0</v>
      </c>
      <c r="M1080" s="15">
        <f>'[01_Entry.xlsx]Book'!M1080</f>
        <v>0.0</v>
      </c>
      <c r="P1080" s="56">
        <f>IF($A1080="","",IFERROR(VALUE(MID($A1080,6,2)),""))</f>
        <v/>
      </c>
    </row>
    <row r="1081" spans="7:16">
      <c r="G1081" s="15">
        <f>'[01_Entry.xlsx]Book'!G1081</f>
        <v>0.0</v>
      </c>
      <c r="H1081" s="15">
        <f>'[01_Entry.xlsx]Book'!H1081</f>
        <v>0.0</v>
      </c>
      <c r="I1081" s="15">
        <f>'[01_Entry.xlsx]Book'!I1081</f>
        <v>0.0</v>
      </c>
      <c r="K1081" s="15">
        <f>'[01_Entry.xlsx]Book'!K1081</f>
        <v>0.0</v>
      </c>
      <c r="L1081" s="15">
        <f>'[01_Entry.xlsx]Book'!L1081</f>
        <v>0.0</v>
      </c>
      <c r="M1081" s="15">
        <f>'[01_Entry.xlsx]Book'!M1081</f>
        <v>0.0</v>
      </c>
      <c r="P1081" s="56">
        <f>IF($A1081="","",IFERROR(VALUE(MID($A1081,6,2)),""))</f>
        <v/>
      </c>
    </row>
    <row r="1082" spans="7:16">
      <c r="G1082" s="15">
        <f>'[01_Entry.xlsx]Book'!G1082</f>
        <v>0.0</v>
      </c>
      <c r="H1082" s="15">
        <f>'[01_Entry.xlsx]Book'!H1082</f>
        <v>0.0</v>
      </c>
      <c r="I1082" s="15">
        <f>'[01_Entry.xlsx]Book'!I1082</f>
        <v>0.0</v>
      </c>
      <c r="K1082" s="15">
        <f>'[01_Entry.xlsx]Book'!K1082</f>
        <v>0.0</v>
      </c>
      <c r="L1082" s="15">
        <f>'[01_Entry.xlsx]Book'!L1082</f>
        <v>0.0</v>
      </c>
      <c r="M1082" s="15">
        <f>'[01_Entry.xlsx]Book'!M1082</f>
        <v>0.0</v>
      </c>
      <c r="P1082" s="56">
        <f>IF($A1082="","",IFERROR(VALUE(MID($A1082,6,2)),""))</f>
        <v/>
      </c>
    </row>
    <row r="1083" spans="7:16">
      <c r="G1083" s="15">
        <f>'[01_Entry.xlsx]Book'!G1083</f>
        <v>0.0</v>
      </c>
      <c r="H1083" s="15">
        <f>'[01_Entry.xlsx]Book'!H1083</f>
        <v>0.0</v>
      </c>
      <c r="I1083" s="15">
        <f>'[01_Entry.xlsx]Book'!I1083</f>
        <v>0.0</v>
      </c>
      <c r="K1083" s="15">
        <f>'[01_Entry.xlsx]Book'!K1083</f>
        <v>0.0</v>
      </c>
      <c r="L1083" s="15">
        <f>'[01_Entry.xlsx]Book'!L1083</f>
        <v>0.0</v>
      </c>
      <c r="M1083" s="15">
        <f>'[01_Entry.xlsx]Book'!M1083</f>
        <v>0.0</v>
      </c>
      <c r="P1083" s="56">
        <f>IF($A1083="","",IFERROR(VALUE(MID($A1083,6,2)),""))</f>
        <v/>
      </c>
    </row>
    <row r="1084" spans="7:16">
      <c r="G1084" s="15">
        <f>'[01_Entry.xlsx]Book'!G1084</f>
        <v>0.0</v>
      </c>
      <c r="H1084" s="15">
        <f>'[01_Entry.xlsx]Book'!H1084</f>
        <v>0.0</v>
      </c>
      <c r="I1084" s="15">
        <f>'[01_Entry.xlsx]Book'!I1084</f>
        <v>0.0</v>
      </c>
      <c r="K1084" s="15">
        <f>'[01_Entry.xlsx]Book'!K1084</f>
        <v>0.0</v>
      </c>
      <c r="L1084" s="15">
        <f>'[01_Entry.xlsx]Book'!L1084</f>
        <v>0.0</v>
      </c>
      <c r="M1084" s="15">
        <f>'[01_Entry.xlsx]Book'!M1084</f>
        <v>0.0</v>
      </c>
      <c r="P1084" s="56">
        <f>IF($A1084="","",IFERROR(VALUE(MID($A1084,6,2)),""))</f>
        <v/>
      </c>
    </row>
    <row r="1085" spans="7:16">
      <c r="G1085" s="15">
        <f>'[01_Entry.xlsx]Book'!G1085</f>
        <v>0.0</v>
      </c>
      <c r="H1085" s="15">
        <f>'[01_Entry.xlsx]Book'!H1085</f>
        <v>0.0</v>
      </c>
      <c r="I1085" s="15">
        <f>'[01_Entry.xlsx]Book'!I1085</f>
        <v>0.0</v>
      </c>
      <c r="K1085" s="15">
        <f>'[01_Entry.xlsx]Book'!K1085</f>
        <v>0.0</v>
      </c>
      <c r="L1085" s="15">
        <f>'[01_Entry.xlsx]Book'!L1085</f>
        <v>0.0</v>
      </c>
      <c r="M1085" s="15">
        <f>'[01_Entry.xlsx]Book'!M1085</f>
        <v>0.0</v>
      </c>
      <c r="P1085" s="56">
        <f>IF($A1085="","",IFERROR(VALUE(MID($A1085,6,2)),""))</f>
        <v/>
      </c>
    </row>
    <row r="1086" spans="7:16">
      <c r="G1086" s="15">
        <f>'[01_Entry.xlsx]Book'!G1086</f>
        <v>0.0</v>
      </c>
      <c r="H1086" s="15">
        <f>'[01_Entry.xlsx]Book'!H1086</f>
        <v>0.0</v>
      </c>
      <c r="I1086" s="15">
        <f>'[01_Entry.xlsx]Book'!I1086</f>
        <v>0.0</v>
      </c>
      <c r="K1086" s="15">
        <f>'[01_Entry.xlsx]Book'!K1086</f>
        <v>0.0</v>
      </c>
      <c r="L1086" s="15">
        <f>'[01_Entry.xlsx]Book'!L1086</f>
        <v>0.0</v>
      </c>
      <c r="M1086" s="15">
        <f>'[01_Entry.xlsx]Book'!M1086</f>
        <v>0.0</v>
      </c>
      <c r="P1086" s="56">
        <f>IF($A1086="","",IFERROR(VALUE(MID($A1086,6,2)),""))</f>
        <v/>
      </c>
    </row>
    <row r="1087" spans="7:16">
      <c r="G1087" s="15">
        <f>'[01_Entry.xlsx]Book'!G1087</f>
        <v>0.0</v>
      </c>
      <c r="H1087" s="15">
        <f>'[01_Entry.xlsx]Book'!H1087</f>
        <v>0.0</v>
      </c>
      <c r="I1087" s="15">
        <f>'[01_Entry.xlsx]Book'!I1087</f>
        <v>0.0</v>
      </c>
      <c r="K1087" s="15">
        <f>'[01_Entry.xlsx]Book'!K1087</f>
        <v>0.0</v>
      </c>
      <c r="L1087" s="15">
        <f>'[01_Entry.xlsx]Book'!L1087</f>
        <v>0.0</v>
      </c>
      <c r="M1087" s="15">
        <f>'[01_Entry.xlsx]Book'!M1087</f>
        <v>0.0</v>
      </c>
      <c r="P1087" s="56">
        <f>IF($A1087="","",IFERROR(VALUE(MID($A1087,6,2)),""))</f>
        <v/>
      </c>
    </row>
    <row r="1088" spans="7:16">
      <c r="G1088" s="15">
        <f>'[01_Entry.xlsx]Book'!G1088</f>
        <v>0.0</v>
      </c>
      <c r="H1088" s="15">
        <f>'[01_Entry.xlsx]Book'!H1088</f>
        <v>0.0</v>
      </c>
      <c r="I1088" s="15">
        <f>'[01_Entry.xlsx]Book'!I1088</f>
        <v>0.0</v>
      </c>
      <c r="K1088" s="15">
        <f>'[01_Entry.xlsx]Book'!K1088</f>
        <v>0.0</v>
      </c>
      <c r="L1088" s="15">
        <f>'[01_Entry.xlsx]Book'!L1088</f>
        <v>0.0</v>
      </c>
      <c r="M1088" s="15">
        <f>'[01_Entry.xlsx]Book'!M1088</f>
        <v>0.0</v>
      </c>
      <c r="P1088" s="56">
        <f>IF($A1088="","",IFERROR(VALUE(MID($A1088,6,2)),""))</f>
        <v/>
      </c>
    </row>
    <row r="1089" spans="7:16">
      <c r="G1089" s="15">
        <f>'[01_Entry.xlsx]Book'!G1089</f>
        <v>0.0</v>
      </c>
      <c r="H1089" s="15">
        <f>'[01_Entry.xlsx]Book'!H1089</f>
        <v>0.0</v>
      </c>
      <c r="I1089" s="15">
        <f>'[01_Entry.xlsx]Book'!I1089</f>
        <v>0.0</v>
      </c>
      <c r="K1089" s="15">
        <f>'[01_Entry.xlsx]Book'!K1089</f>
        <v>0.0</v>
      </c>
      <c r="L1089" s="15">
        <f>'[01_Entry.xlsx]Book'!L1089</f>
        <v>0.0</v>
      </c>
      <c r="M1089" s="15">
        <f>'[01_Entry.xlsx]Book'!M1089</f>
        <v>0.0</v>
      </c>
      <c r="P1089" s="56">
        <f>IF($A1089="","",IFERROR(VALUE(MID($A1089,6,2)),""))</f>
        <v/>
      </c>
    </row>
    <row r="1090" spans="7:16">
      <c r="G1090" s="15">
        <f>'[01_Entry.xlsx]Book'!G1090</f>
        <v>0.0</v>
      </c>
      <c r="H1090" s="15">
        <f>'[01_Entry.xlsx]Book'!H1090</f>
        <v>0.0</v>
      </c>
      <c r="I1090" s="15">
        <f>'[01_Entry.xlsx]Book'!I1090</f>
        <v>0.0</v>
      </c>
      <c r="K1090" s="15">
        <f>'[01_Entry.xlsx]Book'!K1090</f>
        <v>0.0</v>
      </c>
      <c r="L1090" s="15">
        <f>'[01_Entry.xlsx]Book'!L1090</f>
        <v>0.0</v>
      </c>
      <c r="M1090" s="15">
        <f>'[01_Entry.xlsx]Book'!M1090</f>
        <v>0.0</v>
      </c>
      <c r="P1090" s="56">
        <f>IF($A1090="","",IFERROR(VALUE(MID($A1090,6,2)),""))</f>
        <v/>
      </c>
    </row>
    <row r="1091" spans="7:16">
      <c r="G1091" s="15">
        <f>'[01_Entry.xlsx]Book'!G1091</f>
        <v>0.0</v>
      </c>
      <c r="H1091" s="15">
        <f>'[01_Entry.xlsx]Book'!H1091</f>
        <v>0.0</v>
      </c>
      <c r="I1091" s="15">
        <f>'[01_Entry.xlsx]Book'!I1091</f>
        <v>0.0</v>
      </c>
      <c r="K1091" s="15">
        <f>'[01_Entry.xlsx]Book'!K1091</f>
        <v>0.0</v>
      </c>
      <c r="L1091" s="15">
        <f>'[01_Entry.xlsx]Book'!L1091</f>
        <v>0.0</v>
      </c>
      <c r="M1091" s="15">
        <f>'[01_Entry.xlsx]Book'!M1091</f>
        <v>0.0</v>
      </c>
      <c r="P1091" s="56">
        <f>IF($A1091="","",IFERROR(VALUE(MID($A1091,6,2)),""))</f>
        <v/>
      </c>
    </row>
    <row r="1092" spans="7:16">
      <c r="G1092" s="15">
        <f>'[01_Entry.xlsx]Book'!G1092</f>
        <v>0.0</v>
      </c>
      <c r="H1092" s="15">
        <f>'[01_Entry.xlsx]Book'!H1092</f>
        <v>0.0</v>
      </c>
      <c r="I1092" s="15">
        <f>'[01_Entry.xlsx]Book'!I1092</f>
        <v>0.0</v>
      </c>
      <c r="K1092" s="15">
        <f>'[01_Entry.xlsx]Book'!K1092</f>
        <v>0.0</v>
      </c>
      <c r="L1092" s="15">
        <f>'[01_Entry.xlsx]Book'!L1092</f>
        <v>0.0</v>
      </c>
      <c r="M1092" s="15">
        <f>'[01_Entry.xlsx]Book'!M1092</f>
        <v>0.0</v>
      </c>
      <c r="P1092" s="56">
        <f>IF($A1092="","",IFERROR(VALUE(MID($A1092,6,2)),""))</f>
        <v/>
      </c>
    </row>
    <row r="1093" spans="7:16">
      <c r="G1093" s="15">
        <f>'[01_Entry.xlsx]Book'!G1093</f>
        <v>0.0</v>
      </c>
      <c r="H1093" s="15">
        <f>'[01_Entry.xlsx]Book'!H1093</f>
        <v>0.0</v>
      </c>
      <c r="I1093" s="15">
        <f>'[01_Entry.xlsx]Book'!I1093</f>
        <v>0.0</v>
      </c>
      <c r="K1093" s="15">
        <f>'[01_Entry.xlsx]Book'!K1093</f>
        <v>0.0</v>
      </c>
      <c r="L1093" s="15">
        <f>'[01_Entry.xlsx]Book'!L1093</f>
        <v>0.0</v>
      </c>
      <c r="M1093" s="15">
        <f>'[01_Entry.xlsx]Book'!M1093</f>
        <v>0.0</v>
      </c>
      <c r="P1093" s="56">
        <f>IF($A1093="","",IFERROR(VALUE(MID($A1093,6,2)),""))</f>
        <v/>
      </c>
    </row>
    <row r="1094" spans="7:16">
      <c r="G1094" s="15">
        <f>'[01_Entry.xlsx]Book'!G1094</f>
        <v>0.0</v>
      </c>
      <c r="H1094" s="15">
        <f>'[01_Entry.xlsx]Book'!H1094</f>
        <v>0.0</v>
      </c>
      <c r="I1094" s="15">
        <f>'[01_Entry.xlsx]Book'!I1094</f>
        <v>0.0</v>
      </c>
      <c r="K1094" s="15">
        <f>'[01_Entry.xlsx]Book'!K1094</f>
        <v>0.0</v>
      </c>
      <c r="L1094" s="15">
        <f>'[01_Entry.xlsx]Book'!L1094</f>
        <v>0.0</v>
      </c>
      <c r="M1094" s="15">
        <f>'[01_Entry.xlsx]Book'!M1094</f>
        <v>0.0</v>
      </c>
      <c r="P1094" s="56">
        <f>IF($A1094="","",IFERROR(VALUE(MID($A1094,6,2)),""))</f>
        <v/>
      </c>
    </row>
    <row r="1095" spans="7:16">
      <c r="G1095" s="15">
        <f>'[01_Entry.xlsx]Book'!G1095</f>
        <v>0.0</v>
      </c>
      <c r="H1095" s="15">
        <f>'[01_Entry.xlsx]Book'!H1095</f>
        <v>0.0</v>
      </c>
      <c r="I1095" s="15">
        <f>'[01_Entry.xlsx]Book'!I1095</f>
        <v>0.0</v>
      </c>
      <c r="K1095" s="15">
        <f>'[01_Entry.xlsx]Book'!K1095</f>
        <v>0.0</v>
      </c>
      <c r="L1095" s="15">
        <f>'[01_Entry.xlsx]Book'!L1095</f>
        <v>0.0</v>
      </c>
      <c r="M1095" s="15">
        <f>'[01_Entry.xlsx]Book'!M1095</f>
        <v>0.0</v>
      </c>
      <c r="P1095" s="56">
        <f>IF($A1095="","",IFERROR(VALUE(MID($A1095,6,2)),""))</f>
        <v/>
      </c>
    </row>
    <row r="1096" spans="7:16">
      <c r="G1096" s="15">
        <f>'[01_Entry.xlsx]Book'!G1096</f>
        <v>0.0</v>
      </c>
      <c r="H1096" s="15">
        <f>'[01_Entry.xlsx]Book'!H1096</f>
        <v>0.0</v>
      </c>
      <c r="I1096" s="15">
        <f>'[01_Entry.xlsx]Book'!I1096</f>
        <v>0.0</v>
      </c>
      <c r="K1096" s="15">
        <f>'[01_Entry.xlsx]Book'!K1096</f>
        <v>0.0</v>
      </c>
      <c r="L1096" s="15">
        <f>'[01_Entry.xlsx]Book'!L1096</f>
        <v>0.0</v>
      </c>
      <c r="M1096" s="15">
        <f>'[01_Entry.xlsx]Book'!M1096</f>
        <v>0.0</v>
      </c>
      <c r="P1096" s="56">
        <f>IF($A1096="","",IFERROR(VALUE(MID($A1096,6,2)),""))</f>
        <v/>
      </c>
    </row>
    <row r="1097" spans="7:16">
      <c r="G1097" s="15">
        <f>'[01_Entry.xlsx]Book'!G1097</f>
        <v>0.0</v>
      </c>
      <c r="H1097" s="15">
        <f>'[01_Entry.xlsx]Book'!H1097</f>
        <v>0.0</v>
      </c>
      <c r="I1097" s="15">
        <f>'[01_Entry.xlsx]Book'!I1097</f>
        <v>0.0</v>
      </c>
      <c r="K1097" s="15">
        <f>'[01_Entry.xlsx]Book'!K1097</f>
        <v>0.0</v>
      </c>
      <c r="L1097" s="15">
        <f>'[01_Entry.xlsx]Book'!L1097</f>
        <v>0.0</v>
      </c>
      <c r="M1097" s="15">
        <f>'[01_Entry.xlsx]Book'!M1097</f>
        <v>0.0</v>
      </c>
      <c r="P1097" s="56">
        <f>IF($A1097="","",IFERROR(VALUE(MID($A1097,6,2)),""))</f>
        <v/>
      </c>
    </row>
    <row r="1098" spans="7:16">
      <c r="G1098" s="15">
        <f>'[01_Entry.xlsx]Book'!G1098</f>
        <v>0.0</v>
      </c>
      <c r="H1098" s="15">
        <f>'[01_Entry.xlsx]Book'!H1098</f>
        <v>0.0</v>
      </c>
      <c r="I1098" s="15">
        <f>'[01_Entry.xlsx]Book'!I1098</f>
        <v>0.0</v>
      </c>
      <c r="K1098" s="15">
        <f>'[01_Entry.xlsx]Book'!K1098</f>
        <v>0.0</v>
      </c>
      <c r="L1098" s="15">
        <f>'[01_Entry.xlsx]Book'!L1098</f>
        <v>0.0</v>
      </c>
      <c r="M1098" s="15">
        <f>'[01_Entry.xlsx]Book'!M1098</f>
        <v>0.0</v>
      </c>
      <c r="P1098" s="56">
        <f>IF($A1098="","",IFERROR(VALUE(MID($A1098,6,2)),""))</f>
        <v/>
      </c>
    </row>
    <row r="1099" spans="7:16">
      <c r="G1099" s="15">
        <f>'[01_Entry.xlsx]Book'!G1099</f>
        <v>0.0</v>
      </c>
      <c r="H1099" s="15">
        <f>'[01_Entry.xlsx]Book'!H1099</f>
        <v>0.0</v>
      </c>
      <c r="I1099" s="15">
        <f>'[01_Entry.xlsx]Book'!I1099</f>
        <v>0.0</v>
      </c>
      <c r="K1099" s="15">
        <f>'[01_Entry.xlsx]Book'!K1099</f>
        <v>0.0</v>
      </c>
      <c r="L1099" s="15">
        <f>'[01_Entry.xlsx]Book'!L1099</f>
        <v>0.0</v>
      </c>
      <c r="M1099" s="15">
        <f>'[01_Entry.xlsx]Book'!M1099</f>
        <v>0.0</v>
      </c>
      <c r="P1099" s="56">
        <f>IF($A1099="","",IFERROR(VALUE(MID($A1099,6,2)),""))</f>
        <v/>
      </c>
    </row>
    <row r="1100" spans="7:16">
      <c r="G1100" s="15">
        <f>'[01_Entry.xlsx]Book'!G1100</f>
        <v>0.0</v>
      </c>
      <c r="H1100" s="15">
        <f>'[01_Entry.xlsx]Book'!H1100</f>
        <v>0.0</v>
      </c>
      <c r="I1100" s="15">
        <f>'[01_Entry.xlsx]Book'!I1100</f>
        <v>0.0</v>
      </c>
      <c r="K1100" s="15">
        <f>'[01_Entry.xlsx]Book'!K1100</f>
        <v>0.0</v>
      </c>
      <c r="L1100" s="15">
        <f>'[01_Entry.xlsx]Book'!L1100</f>
        <v>0.0</v>
      </c>
      <c r="M1100" s="15">
        <f>'[01_Entry.xlsx]Book'!M1100</f>
        <v>0.0</v>
      </c>
      <c r="P1100" s="56">
        <f>IF($A1100="","",IFERROR(VALUE(MID($A1100,6,2)),""))</f>
        <v/>
      </c>
    </row>
    <row r="1101" spans="7:16">
      <c r="G1101" s="15">
        <f>'[01_Entry.xlsx]Book'!G1101</f>
        <v>0.0</v>
      </c>
      <c r="H1101" s="15">
        <f>'[01_Entry.xlsx]Book'!H1101</f>
        <v>0.0</v>
      </c>
      <c r="I1101" s="15">
        <f>'[01_Entry.xlsx]Book'!I1101</f>
        <v>0.0</v>
      </c>
      <c r="K1101" s="15">
        <f>'[01_Entry.xlsx]Book'!K1101</f>
        <v>0.0</v>
      </c>
      <c r="L1101" s="15">
        <f>'[01_Entry.xlsx]Book'!L1101</f>
        <v>0.0</v>
      </c>
      <c r="M1101" s="15">
        <f>'[01_Entry.xlsx]Book'!M1101</f>
        <v>0.0</v>
      </c>
      <c r="P1101" s="56">
        <f>IF($A1101="","",IFERROR(VALUE(MID($A1101,6,2)),""))</f>
        <v/>
      </c>
    </row>
    <row r="1102" spans="7:16">
      <c r="G1102" s="15">
        <f>'[01_Entry.xlsx]Book'!G1102</f>
        <v>0.0</v>
      </c>
      <c r="H1102" s="15">
        <f>'[01_Entry.xlsx]Book'!H1102</f>
        <v>0.0</v>
      </c>
      <c r="I1102" s="15">
        <f>'[01_Entry.xlsx]Book'!I1102</f>
        <v>0.0</v>
      </c>
      <c r="K1102" s="15">
        <f>'[01_Entry.xlsx]Book'!K1102</f>
        <v>0.0</v>
      </c>
      <c r="L1102" s="15">
        <f>'[01_Entry.xlsx]Book'!L1102</f>
        <v>0.0</v>
      </c>
      <c r="M1102" s="15">
        <f>'[01_Entry.xlsx]Book'!M1102</f>
        <v>0.0</v>
      </c>
      <c r="P1102" s="56">
        <f>IF($A1102="","",IFERROR(VALUE(MID($A1102,6,2)),""))</f>
        <v/>
      </c>
    </row>
    <row r="1103" spans="7:16">
      <c r="G1103" s="15">
        <f>'[01_Entry.xlsx]Book'!G1103</f>
        <v>0.0</v>
      </c>
      <c r="H1103" s="15">
        <f>'[01_Entry.xlsx]Book'!H1103</f>
        <v>0.0</v>
      </c>
      <c r="I1103" s="15">
        <f>'[01_Entry.xlsx]Book'!I1103</f>
        <v>0.0</v>
      </c>
      <c r="K1103" s="15">
        <f>'[01_Entry.xlsx]Book'!K1103</f>
        <v>0.0</v>
      </c>
      <c r="L1103" s="15">
        <f>'[01_Entry.xlsx]Book'!L1103</f>
        <v>0.0</v>
      </c>
      <c r="M1103" s="15">
        <f>'[01_Entry.xlsx]Book'!M1103</f>
        <v>0.0</v>
      </c>
      <c r="P1103" s="56">
        <f>IF($A1103="","",IFERROR(VALUE(MID($A1103,6,2)),""))</f>
        <v/>
      </c>
    </row>
    <row r="1104" spans="7:16">
      <c r="G1104" s="15">
        <f>'[01_Entry.xlsx]Book'!G1104</f>
        <v>0.0</v>
      </c>
      <c r="H1104" s="15">
        <f>'[01_Entry.xlsx]Book'!H1104</f>
        <v>0.0</v>
      </c>
      <c r="I1104" s="15">
        <f>'[01_Entry.xlsx]Book'!I1104</f>
        <v>0.0</v>
      </c>
      <c r="K1104" s="15">
        <f>'[01_Entry.xlsx]Book'!K1104</f>
        <v>0.0</v>
      </c>
      <c r="L1104" s="15">
        <f>'[01_Entry.xlsx]Book'!L1104</f>
        <v>0.0</v>
      </c>
      <c r="M1104" s="15">
        <f>'[01_Entry.xlsx]Book'!M1104</f>
        <v>0.0</v>
      </c>
      <c r="P1104" s="56">
        <f>IF($A1104="","",IFERROR(VALUE(MID($A1104,6,2)),""))</f>
        <v/>
      </c>
    </row>
    <row r="1105" spans="7:16">
      <c r="G1105" s="15">
        <f>'[01_Entry.xlsx]Book'!G1105</f>
        <v>0.0</v>
      </c>
      <c r="H1105" s="15">
        <f>'[01_Entry.xlsx]Book'!H1105</f>
        <v>0.0</v>
      </c>
      <c r="I1105" s="15">
        <f>'[01_Entry.xlsx]Book'!I1105</f>
        <v>0.0</v>
      </c>
      <c r="K1105" s="15">
        <f>'[01_Entry.xlsx]Book'!K1105</f>
        <v>0.0</v>
      </c>
      <c r="L1105" s="15">
        <f>'[01_Entry.xlsx]Book'!L1105</f>
        <v>0.0</v>
      </c>
      <c r="M1105" s="15">
        <f>'[01_Entry.xlsx]Book'!M1105</f>
        <v>0.0</v>
      </c>
      <c r="P1105" s="56">
        <f>IF($A1105="","",IFERROR(VALUE(MID($A1105,6,2)),""))</f>
        <v/>
      </c>
    </row>
    <row r="1106" spans="7:16">
      <c r="G1106" s="15">
        <f>'[01_Entry.xlsx]Book'!G1106</f>
        <v>0.0</v>
      </c>
      <c r="H1106" s="15">
        <f>'[01_Entry.xlsx]Book'!H1106</f>
        <v>0.0</v>
      </c>
      <c r="I1106" s="15">
        <f>'[01_Entry.xlsx]Book'!I1106</f>
        <v>0.0</v>
      </c>
      <c r="K1106" s="15">
        <f>'[01_Entry.xlsx]Book'!K1106</f>
        <v>0.0</v>
      </c>
      <c r="L1106" s="15">
        <f>'[01_Entry.xlsx]Book'!L1106</f>
        <v>0.0</v>
      </c>
      <c r="M1106" s="15">
        <f>'[01_Entry.xlsx]Book'!M1106</f>
        <v>0.0</v>
      </c>
      <c r="P1106" s="56">
        <f>IF($A1106="","",IFERROR(VALUE(MID($A1106,6,2)),""))</f>
        <v/>
      </c>
    </row>
    <row r="1107" spans="7:16">
      <c r="G1107" s="15">
        <f>'[01_Entry.xlsx]Book'!G1107</f>
        <v>0.0</v>
      </c>
      <c r="H1107" s="15">
        <f>'[01_Entry.xlsx]Book'!H1107</f>
        <v>0.0</v>
      </c>
      <c r="I1107" s="15">
        <f>'[01_Entry.xlsx]Book'!I1107</f>
        <v>0.0</v>
      </c>
      <c r="K1107" s="15">
        <f>'[01_Entry.xlsx]Book'!K1107</f>
        <v>0.0</v>
      </c>
      <c r="L1107" s="15">
        <f>'[01_Entry.xlsx]Book'!L1107</f>
        <v>0.0</v>
      </c>
      <c r="M1107" s="15">
        <f>'[01_Entry.xlsx]Book'!M1107</f>
        <v>0.0</v>
      </c>
      <c r="P1107" s="56">
        <f>IF($A1107="","",IFERROR(VALUE(MID($A1107,6,2)),""))</f>
        <v/>
      </c>
    </row>
    <row r="1108" spans="7:16">
      <c r="G1108" s="15">
        <f>'[01_Entry.xlsx]Book'!G1108</f>
        <v>0.0</v>
      </c>
      <c r="H1108" s="15">
        <f>'[01_Entry.xlsx]Book'!H1108</f>
        <v>0.0</v>
      </c>
      <c r="I1108" s="15">
        <f>'[01_Entry.xlsx]Book'!I1108</f>
        <v>0.0</v>
      </c>
      <c r="K1108" s="15">
        <f>'[01_Entry.xlsx]Book'!K1108</f>
        <v>0.0</v>
      </c>
      <c r="L1108" s="15">
        <f>'[01_Entry.xlsx]Book'!L1108</f>
        <v>0.0</v>
      </c>
      <c r="M1108" s="15">
        <f>'[01_Entry.xlsx]Book'!M1108</f>
        <v>0.0</v>
      </c>
      <c r="P1108" s="56">
        <f>IF($A1108="","",IFERROR(VALUE(MID($A1108,6,2)),""))</f>
        <v/>
      </c>
    </row>
    <row r="1109" spans="7:16">
      <c r="G1109" s="15">
        <f>'[01_Entry.xlsx]Book'!G1109</f>
        <v>0.0</v>
      </c>
      <c r="H1109" s="15">
        <f>'[01_Entry.xlsx]Book'!H1109</f>
        <v>0.0</v>
      </c>
      <c r="I1109" s="15">
        <f>'[01_Entry.xlsx]Book'!I1109</f>
        <v>0.0</v>
      </c>
      <c r="K1109" s="15">
        <f>'[01_Entry.xlsx]Book'!K1109</f>
        <v>0.0</v>
      </c>
      <c r="L1109" s="15">
        <f>'[01_Entry.xlsx]Book'!L1109</f>
        <v>0.0</v>
      </c>
      <c r="M1109" s="15">
        <f>'[01_Entry.xlsx]Book'!M1109</f>
        <v>0.0</v>
      </c>
      <c r="P1109" s="56">
        <f>IF($A1109="","",IFERROR(VALUE(MID($A1109,6,2)),""))</f>
        <v/>
      </c>
    </row>
    <row r="1110" spans="7:16">
      <c r="G1110" s="15">
        <f>'[01_Entry.xlsx]Book'!G1110</f>
        <v>0.0</v>
      </c>
      <c r="H1110" s="15">
        <f>'[01_Entry.xlsx]Book'!H1110</f>
        <v>0.0</v>
      </c>
      <c r="I1110" s="15">
        <f>'[01_Entry.xlsx]Book'!I1110</f>
        <v>0.0</v>
      </c>
      <c r="K1110" s="15">
        <f>'[01_Entry.xlsx]Book'!K1110</f>
        <v>0.0</v>
      </c>
      <c r="L1110" s="15">
        <f>'[01_Entry.xlsx]Book'!L1110</f>
        <v>0.0</v>
      </c>
      <c r="M1110" s="15">
        <f>'[01_Entry.xlsx]Book'!M1110</f>
        <v>0.0</v>
      </c>
      <c r="P1110" s="56">
        <f>IF($A1110="","",IFERROR(VALUE(MID($A1110,6,2)),""))</f>
        <v/>
      </c>
    </row>
    <row r="1111" spans="7:16">
      <c r="G1111" s="15">
        <f>'[01_Entry.xlsx]Book'!G1111</f>
        <v>0.0</v>
      </c>
      <c r="H1111" s="15">
        <f>'[01_Entry.xlsx]Book'!H1111</f>
        <v>0.0</v>
      </c>
      <c r="I1111" s="15">
        <f>'[01_Entry.xlsx]Book'!I1111</f>
        <v>0.0</v>
      </c>
      <c r="K1111" s="15">
        <f>'[01_Entry.xlsx]Book'!K1111</f>
        <v>0.0</v>
      </c>
      <c r="L1111" s="15">
        <f>'[01_Entry.xlsx]Book'!L1111</f>
        <v>0.0</v>
      </c>
      <c r="M1111" s="15">
        <f>'[01_Entry.xlsx]Book'!M1111</f>
        <v>0.0</v>
      </c>
      <c r="P1111" s="56">
        <f>IF($A1111="","",IFERROR(VALUE(MID($A1111,6,2)),""))</f>
        <v/>
      </c>
    </row>
    <row r="1112" spans="7:16">
      <c r="G1112" s="15">
        <f>'[01_Entry.xlsx]Book'!G1112</f>
        <v>0.0</v>
      </c>
      <c r="H1112" s="15">
        <f>'[01_Entry.xlsx]Book'!H1112</f>
        <v>0.0</v>
      </c>
      <c r="I1112" s="15">
        <f>'[01_Entry.xlsx]Book'!I1112</f>
        <v>0.0</v>
      </c>
      <c r="K1112" s="15">
        <f>'[01_Entry.xlsx]Book'!K1112</f>
        <v>0.0</v>
      </c>
      <c r="L1112" s="15">
        <f>'[01_Entry.xlsx]Book'!L1112</f>
        <v>0.0</v>
      </c>
      <c r="M1112" s="15">
        <f>'[01_Entry.xlsx]Book'!M1112</f>
        <v>0.0</v>
      </c>
      <c r="P1112" s="56">
        <f>IF($A1112="","",IFERROR(VALUE(MID($A1112,6,2)),""))</f>
        <v/>
      </c>
    </row>
    <row r="1113" spans="7:16">
      <c r="G1113" s="15">
        <f>'[01_Entry.xlsx]Book'!G1113</f>
        <v>0.0</v>
      </c>
      <c r="H1113" s="15">
        <f>'[01_Entry.xlsx]Book'!H1113</f>
        <v>0.0</v>
      </c>
      <c r="I1113" s="15">
        <f>'[01_Entry.xlsx]Book'!I1113</f>
        <v>0.0</v>
      </c>
      <c r="K1113" s="15">
        <f>'[01_Entry.xlsx]Book'!K1113</f>
        <v>0.0</v>
      </c>
      <c r="L1113" s="15">
        <f>'[01_Entry.xlsx]Book'!L1113</f>
        <v>0.0</v>
      </c>
      <c r="M1113" s="15">
        <f>'[01_Entry.xlsx]Book'!M1113</f>
        <v>0.0</v>
      </c>
      <c r="P1113" s="56">
        <f>IF($A1113="","",IFERROR(VALUE(MID($A1113,6,2)),""))</f>
        <v/>
      </c>
    </row>
    <row r="1114" spans="7:16">
      <c r="G1114" s="15">
        <f>'[01_Entry.xlsx]Book'!G1114</f>
        <v>0.0</v>
      </c>
      <c r="H1114" s="15">
        <f>'[01_Entry.xlsx]Book'!H1114</f>
        <v>0.0</v>
      </c>
      <c r="I1114" s="15">
        <f>'[01_Entry.xlsx]Book'!I1114</f>
        <v>0.0</v>
      </c>
      <c r="K1114" s="15">
        <f>'[01_Entry.xlsx]Book'!K1114</f>
        <v>0.0</v>
      </c>
      <c r="L1114" s="15">
        <f>'[01_Entry.xlsx]Book'!L1114</f>
        <v>0.0</v>
      </c>
      <c r="M1114" s="15">
        <f>'[01_Entry.xlsx]Book'!M1114</f>
        <v>0.0</v>
      </c>
      <c r="P1114" s="56">
        <f>IF($A1114="","",IFERROR(VALUE(MID($A1114,6,2)),""))</f>
        <v/>
      </c>
    </row>
    <row r="1115" spans="7:16">
      <c r="G1115" s="15">
        <f>'[01_Entry.xlsx]Book'!G1115</f>
        <v>0.0</v>
      </c>
      <c r="H1115" s="15">
        <f>'[01_Entry.xlsx]Book'!H1115</f>
        <v>0.0</v>
      </c>
      <c r="I1115" s="15">
        <f>'[01_Entry.xlsx]Book'!I1115</f>
        <v>0.0</v>
      </c>
      <c r="K1115" s="15">
        <f>'[01_Entry.xlsx]Book'!K1115</f>
        <v>0.0</v>
      </c>
      <c r="L1115" s="15">
        <f>'[01_Entry.xlsx]Book'!L1115</f>
        <v>0.0</v>
      </c>
      <c r="M1115" s="15">
        <f>'[01_Entry.xlsx]Book'!M1115</f>
        <v>0.0</v>
      </c>
      <c r="P1115" s="56">
        <f>IF($A1115="","",IFERROR(VALUE(MID($A1115,6,2)),""))</f>
        <v/>
      </c>
    </row>
    <row r="1116" spans="7:16">
      <c r="G1116" s="15">
        <f>'[01_Entry.xlsx]Book'!G1116</f>
        <v>0.0</v>
      </c>
      <c r="H1116" s="15">
        <f>'[01_Entry.xlsx]Book'!H1116</f>
        <v>0.0</v>
      </c>
      <c r="I1116" s="15">
        <f>'[01_Entry.xlsx]Book'!I1116</f>
        <v>0.0</v>
      </c>
      <c r="K1116" s="15">
        <f>'[01_Entry.xlsx]Book'!K1116</f>
        <v>0.0</v>
      </c>
      <c r="L1116" s="15">
        <f>'[01_Entry.xlsx]Book'!L1116</f>
        <v>0.0</v>
      </c>
      <c r="M1116" s="15">
        <f>'[01_Entry.xlsx]Book'!M1116</f>
        <v>0.0</v>
      </c>
      <c r="P1116" s="56">
        <f>IF($A1116="","",IFERROR(VALUE(MID($A1116,6,2)),""))</f>
        <v/>
      </c>
    </row>
    <row r="1117" spans="7:16">
      <c r="G1117" s="15">
        <f>'[01_Entry.xlsx]Book'!G1117</f>
        <v>0.0</v>
      </c>
      <c r="H1117" s="15">
        <f>'[01_Entry.xlsx]Book'!H1117</f>
        <v>0.0</v>
      </c>
      <c r="I1117" s="15">
        <f>'[01_Entry.xlsx]Book'!I1117</f>
        <v>0.0</v>
      </c>
      <c r="K1117" s="15">
        <f>'[01_Entry.xlsx]Book'!K1117</f>
        <v>0.0</v>
      </c>
      <c r="L1117" s="15">
        <f>'[01_Entry.xlsx]Book'!L1117</f>
        <v>0.0</v>
      </c>
      <c r="M1117" s="15">
        <f>'[01_Entry.xlsx]Book'!M1117</f>
        <v>0.0</v>
      </c>
      <c r="P1117" s="56">
        <f>IF($A1117="","",IFERROR(VALUE(MID($A1117,6,2)),""))</f>
        <v/>
      </c>
    </row>
    <row r="1118" spans="7:16">
      <c r="G1118" s="15">
        <f>'[01_Entry.xlsx]Book'!G1118</f>
        <v>0.0</v>
      </c>
      <c r="H1118" s="15">
        <f>'[01_Entry.xlsx]Book'!H1118</f>
        <v>0.0</v>
      </c>
      <c r="I1118" s="15">
        <f>'[01_Entry.xlsx]Book'!I1118</f>
        <v>0.0</v>
      </c>
      <c r="K1118" s="15">
        <f>'[01_Entry.xlsx]Book'!K1118</f>
        <v>0.0</v>
      </c>
      <c r="L1118" s="15">
        <f>'[01_Entry.xlsx]Book'!L1118</f>
        <v>0.0</v>
      </c>
      <c r="M1118" s="15">
        <f>'[01_Entry.xlsx]Book'!M1118</f>
        <v>0.0</v>
      </c>
      <c r="P1118" s="56">
        <f>IF($A1118="","",IFERROR(VALUE(MID($A1118,6,2)),""))</f>
        <v/>
      </c>
    </row>
    <row r="1119" spans="7:16">
      <c r="G1119" s="15">
        <f>'[01_Entry.xlsx]Book'!G1119</f>
        <v>0.0</v>
      </c>
      <c r="H1119" s="15">
        <f>'[01_Entry.xlsx]Book'!H1119</f>
        <v>0.0</v>
      </c>
      <c r="I1119" s="15">
        <f>'[01_Entry.xlsx]Book'!I1119</f>
        <v>0.0</v>
      </c>
      <c r="K1119" s="15">
        <f>'[01_Entry.xlsx]Book'!K1119</f>
        <v>0.0</v>
      </c>
      <c r="L1119" s="15">
        <f>'[01_Entry.xlsx]Book'!L1119</f>
        <v>0.0</v>
      </c>
      <c r="M1119" s="15">
        <f>'[01_Entry.xlsx]Book'!M1119</f>
        <v>0.0</v>
      </c>
      <c r="P1119" s="56">
        <f>IF($A1119="","",IFERROR(VALUE(MID($A1119,6,2)),""))</f>
        <v/>
      </c>
    </row>
    <row r="1120" spans="7:16">
      <c r="G1120" s="15">
        <f>'[01_Entry.xlsx]Book'!G1120</f>
        <v>0.0</v>
      </c>
      <c r="H1120" s="15">
        <f>'[01_Entry.xlsx]Book'!H1120</f>
        <v>0.0</v>
      </c>
      <c r="I1120" s="15">
        <f>'[01_Entry.xlsx]Book'!I1120</f>
        <v>0.0</v>
      </c>
      <c r="K1120" s="15">
        <f>'[01_Entry.xlsx]Book'!K1120</f>
        <v>0.0</v>
      </c>
      <c r="L1120" s="15">
        <f>'[01_Entry.xlsx]Book'!L1120</f>
        <v>0.0</v>
      </c>
      <c r="M1120" s="15">
        <f>'[01_Entry.xlsx]Book'!M1120</f>
        <v>0.0</v>
      </c>
      <c r="P1120" s="56">
        <f>IF($A1120="","",IFERROR(VALUE(MID($A1120,6,2)),""))</f>
        <v/>
      </c>
    </row>
    <row r="1121" spans="7:16">
      <c r="G1121" s="15">
        <f>'[01_Entry.xlsx]Book'!G1121</f>
        <v>0.0</v>
      </c>
      <c r="H1121" s="15">
        <f>'[01_Entry.xlsx]Book'!H1121</f>
        <v>0.0</v>
      </c>
      <c r="I1121" s="15">
        <f>'[01_Entry.xlsx]Book'!I1121</f>
        <v>0.0</v>
      </c>
      <c r="K1121" s="15">
        <f>'[01_Entry.xlsx]Book'!K1121</f>
        <v>0.0</v>
      </c>
      <c r="L1121" s="15">
        <f>'[01_Entry.xlsx]Book'!L1121</f>
        <v>0.0</v>
      </c>
      <c r="M1121" s="15">
        <f>'[01_Entry.xlsx]Book'!M1121</f>
        <v>0.0</v>
      </c>
      <c r="P1121" s="56">
        <f>IF($A1121="","",IFERROR(VALUE(MID($A1121,6,2)),""))</f>
        <v/>
      </c>
    </row>
    <row r="1122" spans="7:16">
      <c r="G1122" s="15">
        <f>'[01_Entry.xlsx]Book'!G1122</f>
        <v>0.0</v>
      </c>
      <c r="H1122" s="15">
        <f>'[01_Entry.xlsx]Book'!H1122</f>
        <v>0.0</v>
      </c>
      <c r="I1122" s="15">
        <f>'[01_Entry.xlsx]Book'!I1122</f>
        <v>0.0</v>
      </c>
      <c r="K1122" s="15">
        <f>'[01_Entry.xlsx]Book'!K1122</f>
        <v>0.0</v>
      </c>
      <c r="L1122" s="15">
        <f>'[01_Entry.xlsx]Book'!L1122</f>
        <v>0.0</v>
      </c>
      <c r="M1122" s="15">
        <f>'[01_Entry.xlsx]Book'!M1122</f>
        <v>0.0</v>
      </c>
      <c r="P1122" s="56">
        <f>IF($A1122="","",IFERROR(VALUE(MID($A1122,6,2)),""))</f>
        <v/>
      </c>
    </row>
    <row r="1123" spans="7:16">
      <c r="G1123" s="15">
        <f>'[01_Entry.xlsx]Book'!G1123</f>
        <v>0.0</v>
      </c>
      <c r="H1123" s="15">
        <f>'[01_Entry.xlsx]Book'!H1123</f>
        <v>0.0</v>
      </c>
      <c r="I1123" s="15">
        <f>'[01_Entry.xlsx]Book'!I1123</f>
        <v>0.0</v>
      </c>
      <c r="K1123" s="15">
        <f>'[01_Entry.xlsx]Book'!K1123</f>
        <v>0.0</v>
      </c>
      <c r="L1123" s="15">
        <f>'[01_Entry.xlsx]Book'!L1123</f>
        <v>0.0</v>
      </c>
      <c r="M1123" s="15">
        <f>'[01_Entry.xlsx]Book'!M1123</f>
        <v>0.0</v>
      </c>
      <c r="P1123" s="56">
        <f>IF($A1123="","",IFERROR(VALUE(MID($A1123,6,2)),""))</f>
        <v/>
      </c>
    </row>
    <row r="1124" spans="7:16">
      <c r="G1124" s="15">
        <f>'[01_Entry.xlsx]Book'!G1124</f>
        <v>0.0</v>
      </c>
      <c r="H1124" s="15">
        <f>'[01_Entry.xlsx]Book'!H1124</f>
        <v>0.0</v>
      </c>
      <c r="I1124" s="15">
        <f>'[01_Entry.xlsx]Book'!I1124</f>
        <v>0.0</v>
      </c>
      <c r="K1124" s="15">
        <f>'[01_Entry.xlsx]Book'!K1124</f>
        <v>0.0</v>
      </c>
      <c r="L1124" s="15">
        <f>'[01_Entry.xlsx]Book'!L1124</f>
        <v>0.0</v>
      </c>
      <c r="M1124" s="15">
        <f>'[01_Entry.xlsx]Book'!M1124</f>
        <v>0.0</v>
      </c>
      <c r="P1124" s="56">
        <f>IF($A1124="","",IFERROR(VALUE(MID($A1124,6,2)),""))</f>
        <v/>
      </c>
    </row>
    <row r="1125" spans="7:16">
      <c r="G1125" s="15">
        <f>'[01_Entry.xlsx]Book'!G1125</f>
        <v>0.0</v>
      </c>
      <c r="H1125" s="15">
        <f>'[01_Entry.xlsx]Book'!H1125</f>
        <v>0.0</v>
      </c>
      <c r="I1125" s="15">
        <f>'[01_Entry.xlsx]Book'!I1125</f>
        <v>0.0</v>
      </c>
      <c r="K1125" s="15">
        <f>'[01_Entry.xlsx]Book'!K1125</f>
        <v>0.0</v>
      </c>
      <c r="L1125" s="15">
        <f>'[01_Entry.xlsx]Book'!L1125</f>
        <v>0.0</v>
      </c>
      <c r="M1125" s="15">
        <f>'[01_Entry.xlsx]Book'!M1125</f>
        <v>0.0</v>
      </c>
      <c r="P1125" s="56">
        <f>IF($A1125="","",IFERROR(VALUE(MID($A1125,6,2)),""))</f>
        <v/>
      </c>
    </row>
    <row r="1126" spans="7:16">
      <c r="G1126" s="15">
        <f>'[01_Entry.xlsx]Book'!G1126</f>
        <v>0.0</v>
      </c>
      <c r="H1126" s="15">
        <f>'[01_Entry.xlsx]Book'!H1126</f>
        <v>0.0</v>
      </c>
      <c r="I1126" s="15">
        <f>'[01_Entry.xlsx]Book'!I1126</f>
        <v>0.0</v>
      </c>
      <c r="K1126" s="15">
        <f>'[01_Entry.xlsx]Book'!K1126</f>
        <v>0.0</v>
      </c>
      <c r="L1126" s="15">
        <f>'[01_Entry.xlsx]Book'!L1126</f>
        <v>0.0</v>
      </c>
      <c r="M1126" s="15">
        <f>'[01_Entry.xlsx]Book'!M1126</f>
        <v>0.0</v>
      </c>
      <c r="P1126" s="56">
        <f>IF($A1126="","",IFERROR(VALUE(MID($A1126,6,2)),""))</f>
        <v/>
      </c>
    </row>
    <row r="1127" spans="7:16">
      <c r="G1127" s="15">
        <f>'[01_Entry.xlsx]Book'!G1127</f>
        <v>0.0</v>
      </c>
      <c r="H1127" s="15">
        <f>'[01_Entry.xlsx]Book'!H1127</f>
        <v>0.0</v>
      </c>
      <c r="I1127" s="15">
        <f>'[01_Entry.xlsx]Book'!I1127</f>
        <v>0.0</v>
      </c>
      <c r="K1127" s="15">
        <f>'[01_Entry.xlsx]Book'!K1127</f>
        <v>0.0</v>
      </c>
      <c r="L1127" s="15">
        <f>'[01_Entry.xlsx]Book'!L1127</f>
        <v>0.0</v>
      </c>
      <c r="M1127" s="15">
        <f>'[01_Entry.xlsx]Book'!M1127</f>
        <v>0.0</v>
      </c>
      <c r="P1127" s="56">
        <f>IF($A1127="","",IFERROR(VALUE(MID($A1127,6,2)),""))</f>
        <v/>
      </c>
    </row>
    <row r="1128" spans="7:16">
      <c r="G1128" s="15">
        <f>'[01_Entry.xlsx]Book'!G1128</f>
        <v>0.0</v>
      </c>
      <c r="H1128" s="15">
        <f>'[01_Entry.xlsx]Book'!H1128</f>
        <v>0.0</v>
      </c>
      <c r="I1128" s="15">
        <f>'[01_Entry.xlsx]Book'!I1128</f>
        <v>0.0</v>
      </c>
      <c r="K1128" s="15">
        <f>'[01_Entry.xlsx]Book'!K1128</f>
        <v>0.0</v>
      </c>
      <c r="L1128" s="15">
        <f>'[01_Entry.xlsx]Book'!L1128</f>
        <v>0.0</v>
      </c>
      <c r="M1128" s="15">
        <f>'[01_Entry.xlsx]Book'!M1128</f>
        <v>0.0</v>
      </c>
      <c r="P1128" s="56">
        <f>IF($A1128="","",IFERROR(VALUE(MID($A1128,6,2)),""))</f>
        <v/>
      </c>
    </row>
    <row r="1129" spans="7:16">
      <c r="G1129" s="15">
        <f>'[01_Entry.xlsx]Book'!G1129</f>
        <v>0.0</v>
      </c>
      <c r="H1129" s="15">
        <f>'[01_Entry.xlsx]Book'!H1129</f>
        <v>0.0</v>
      </c>
      <c r="I1129" s="15">
        <f>'[01_Entry.xlsx]Book'!I1129</f>
        <v>0.0</v>
      </c>
      <c r="K1129" s="15">
        <f>'[01_Entry.xlsx]Book'!K1129</f>
        <v>0.0</v>
      </c>
      <c r="L1129" s="15">
        <f>'[01_Entry.xlsx]Book'!L1129</f>
        <v>0.0</v>
      </c>
      <c r="M1129" s="15">
        <f>'[01_Entry.xlsx]Book'!M1129</f>
        <v>0.0</v>
      </c>
      <c r="P1129" s="56">
        <f>IF($A1129="","",IFERROR(VALUE(MID($A1129,6,2)),""))</f>
        <v/>
      </c>
    </row>
    <row r="1130" spans="7:16">
      <c r="G1130" s="15">
        <f>'[01_Entry.xlsx]Book'!G1130</f>
        <v>0.0</v>
      </c>
      <c r="H1130" s="15">
        <f>'[01_Entry.xlsx]Book'!H1130</f>
        <v>0.0</v>
      </c>
      <c r="I1130" s="15">
        <f>'[01_Entry.xlsx]Book'!I1130</f>
        <v>0.0</v>
      </c>
      <c r="K1130" s="15">
        <f>'[01_Entry.xlsx]Book'!K1130</f>
        <v>0.0</v>
      </c>
      <c r="L1130" s="15">
        <f>'[01_Entry.xlsx]Book'!L1130</f>
        <v>0.0</v>
      </c>
      <c r="M1130" s="15">
        <f>'[01_Entry.xlsx]Book'!M1130</f>
        <v>0.0</v>
      </c>
      <c r="P1130" s="56">
        <f>IF($A1130="","",IFERROR(VALUE(MID($A1130,6,2)),""))</f>
        <v/>
      </c>
    </row>
    <row r="1131" spans="7:16">
      <c r="G1131" s="15">
        <f>'[01_Entry.xlsx]Book'!G1131</f>
        <v>0.0</v>
      </c>
      <c r="H1131" s="15">
        <f>'[01_Entry.xlsx]Book'!H1131</f>
        <v>0.0</v>
      </c>
      <c r="I1131" s="15">
        <f>'[01_Entry.xlsx]Book'!I1131</f>
        <v>0.0</v>
      </c>
      <c r="K1131" s="15">
        <f>'[01_Entry.xlsx]Book'!K1131</f>
        <v>0.0</v>
      </c>
      <c r="L1131" s="15">
        <f>'[01_Entry.xlsx]Book'!L1131</f>
        <v>0.0</v>
      </c>
      <c r="M1131" s="15">
        <f>'[01_Entry.xlsx]Book'!M1131</f>
        <v>0.0</v>
      </c>
      <c r="P1131" s="56">
        <f>IF($A1131="","",IFERROR(VALUE(MID($A1131,6,2)),""))</f>
        <v/>
      </c>
    </row>
    <row r="1132" spans="7:16">
      <c r="G1132" s="15">
        <f>'[01_Entry.xlsx]Book'!G1132</f>
        <v>0.0</v>
      </c>
      <c r="H1132" s="15">
        <f>'[01_Entry.xlsx]Book'!H1132</f>
        <v>0.0</v>
      </c>
      <c r="I1132" s="15">
        <f>'[01_Entry.xlsx]Book'!I1132</f>
        <v>0.0</v>
      </c>
      <c r="K1132" s="15">
        <f>'[01_Entry.xlsx]Book'!K1132</f>
        <v>0.0</v>
      </c>
      <c r="L1132" s="15">
        <f>'[01_Entry.xlsx]Book'!L1132</f>
        <v>0.0</v>
      </c>
      <c r="M1132" s="15">
        <f>'[01_Entry.xlsx]Book'!M1132</f>
        <v>0.0</v>
      </c>
      <c r="P1132" s="56">
        <f>IF($A1132="","",IFERROR(VALUE(MID($A1132,6,2)),""))</f>
        <v/>
      </c>
    </row>
    <row r="1133" spans="7:16">
      <c r="G1133" s="15">
        <f>'[01_Entry.xlsx]Book'!G1133</f>
        <v>0.0</v>
      </c>
      <c r="H1133" s="15">
        <f>'[01_Entry.xlsx]Book'!H1133</f>
        <v>0.0</v>
      </c>
      <c r="I1133" s="15">
        <f>'[01_Entry.xlsx]Book'!I1133</f>
        <v>0.0</v>
      </c>
      <c r="K1133" s="15">
        <f>'[01_Entry.xlsx]Book'!K1133</f>
        <v>0.0</v>
      </c>
      <c r="L1133" s="15">
        <f>'[01_Entry.xlsx]Book'!L1133</f>
        <v>0.0</v>
      </c>
      <c r="M1133" s="15">
        <f>'[01_Entry.xlsx]Book'!M1133</f>
        <v>0.0</v>
      </c>
      <c r="P1133" s="56">
        <f>IF($A1133="","",IFERROR(VALUE(MID($A1133,6,2)),""))</f>
        <v/>
      </c>
    </row>
    <row r="1134" spans="7:16">
      <c r="G1134" s="15">
        <f>'[01_Entry.xlsx]Book'!G1134</f>
        <v>0.0</v>
      </c>
      <c r="H1134" s="15">
        <f>'[01_Entry.xlsx]Book'!H1134</f>
        <v>0.0</v>
      </c>
      <c r="I1134" s="15">
        <f>'[01_Entry.xlsx]Book'!I1134</f>
        <v>0.0</v>
      </c>
      <c r="K1134" s="15">
        <f>'[01_Entry.xlsx]Book'!K1134</f>
        <v>0.0</v>
      </c>
      <c r="L1134" s="15">
        <f>'[01_Entry.xlsx]Book'!L1134</f>
        <v>0.0</v>
      </c>
      <c r="M1134" s="15">
        <f>'[01_Entry.xlsx]Book'!M1134</f>
        <v>0.0</v>
      </c>
      <c r="P1134" s="56">
        <f>IF($A1134="","",IFERROR(VALUE(MID($A1134,6,2)),""))</f>
        <v/>
      </c>
    </row>
    <row r="1135" spans="7:16">
      <c r="G1135" s="15">
        <f>'[01_Entry.xlsx]Book'!G1135</f>
        <v>0.0</v>
      </c>
      <c r="H1135" s="15">
        <f>'[01_Entry.xlsx]Book'!H1135</f>
        <v>0.0</v>
      </c>
      <c r="I1135" s="15">
        <f>'[01_Entry.xlsx]Book'!I1135</f>
        <v>0.0</v>
      </c>
      <c r="K1135" s="15">
        <f>'[01_Entry.xlsx]Book'!K1135</f>
        <v>0.0</v>
      </c>
      <c r="L1135" s="15">
        <f>'[01_Entry.xlsx]Book'!L1135</f>
        <v>0.0</v>
      </c>
      <c r="M1135" s="15">
        <f>'[01_Entry.xlsx]Book'!M1135</f>
        <v>0.0</v>
      </c>
      <c r="P1135" s="56">
        <f>IF($A1135="","",IFERROR(VALUE(MID($A1135,6,2)),""))</f>
        <v/>
      </c>
    </row>
    <row r="1136" spans="7:16">
      <c r="G1136" s="15">
        <f>'[01_Entry.xlsx]Book'!G1136</f>
        <v>0.0</v>
      </c>
      <c r="H1136" s="15">
        <f>'[01_Entry.xlsx]Book'!H1136</f>
        <v>0.0</v>
      </c>
      <c r="I1136" s="15">
        <f>'[01_Entry.xlsx]Book'!I1136</f>
        <v>0.0</v>
      </c>
      <c r="K1136" s="15">
        <f>'[01_Entry.xlsx]Book'!K1136</f>
        <v>0.0</v>
      </c>
      <c r="L1136" s="15">
        <f>'[01_Entry.xlsx]Book'!L1136</f>
        <v>0.0</v>
      </c>
      <c r="M1136" s="15">
        <f>'[01_Entry.xlsx]Book'!M1136</f>
        <v>0.0</v>
      </c>
      <c r="P1136" s="56">
        <f>IF($A1136="","",IFERROR(VALUE(MID($A1136,6,2)),""))</f>
        <v/>
      </c>
    </row>
    <row r="1137" spans="7:16">
      <c r="G1137" s="15">
        <f>'[01_Entry.xlsx]Book'!G1137</f>
        <v>0.0</v>
      </c>
      <c r="H1137" s="15">
        <f>'[01_Entry.xlsx]Book'!H1137</f>
        <v>0.0</v>
      </c>
      <c r="I1137" s="15">
        <f>'[01_Entry.xlsx]Book'!I1137</f>
        <v>0.0</v>
      </c>
      <c r="K1137" s="15">
        <f>'[01_Entry.xlsx]Book'!K1137</f>
        <v>0.0</v>
      </c>
      <c r="L1137" s="15">
        <f>'[01_Entry.xlsx]Book'!L1137</f>
        <v>0.0</v>
      </c>
      <c r="M1137" s="15">
        <f>'[01_Entry.xlsx]Book'!M1137</f>
        <v>0.0</v>
      </c>
      <c r="P1137" s="56">
        <f>IF($A1137="","",IFERROR(VALUE(MID($A1137,6,2)),""))</f>
        <v/>
      </c>
    </row>
    <row r="1138" spans="7:16">
      <c r="G1138" s="15">
        <f>'[01_Entry.xlsx]Book'!G1138</f>
        <v>0.0</v>
      </c>
      <c r="H1138" s="15">
        <f>'[01_Entry.xlsx]Book'!H1138</f>
        <v>0.0</v>
      </c>
      <c r="I1138" s="15">
        <f>'[01_Entry.xlsx]Book'!I1138</f>
        <v>0.0</v>
      </c>
      <c r="K1138" s="15">
        <f>'[01_Entry.xlsx]Book'!K1138</f>
        <v>0.0</v>
      </c>
      <c r="L1138" s="15">
        <f>'[01_Entry.xlsx]Book'!L1138</f>
        <v>0.0</v>
      </c>
      <c r="M1138" s="15">
        <f>'[01_Entry.xlsx]Book'!M1138</f>
        <v>0.0</v>
      </c>
      <c r="P1138" s="56">
        <f>IF($A1138="","",IFERROR(VALUE(MID($A1138,6,2)),""))</f>
        <v/>
      </c>
    </row>
    <row r="1139" spans="7:16">
      <c r="G1139" s="15">
        <f>'[01_Entry.xlsx]Book'!G1139</f>
        <v>0.0</v>
      </c>
      <c r="H1139" s="15">
        <f>'[01_Entry.xlsx]Book'!H1139</f>
        <v>0.0</v>
      </c>
      <c r="I1139" s="15">
        <f>'[01_Entry.xlsx]Book'!I1139</f>
        <v>0.0</v>
      </c>
      <c r="K1139" s="15">
        <f>'[01_Entry.xlsx]Book'!K1139</f>
        <v>0.0</v>
      </c>
      <c r="L1139" s="15">
        <f>'[01_Entry.xlsx]Book'!L1139</f>
        <v>0.0</v>
      </c>
      <c r="M1139" s="15">
        <f>'[01_Entry.xlsx]Book'!M1139</f>
        <v>0.0</v>
      </c>
      <c r="P1139" s="56">
        <f>IF($A1139="","",IFERROR(VALUE(MID($A1139,6,2)),""))</f>
        <v/>
      </c>
    </row>
    <row r="1140" spans="7:16">
      <c r="G1140" s="15">
        <f>'[01_Entry.xlsx]Book'!G1140</f>
        <v>0.0</v>
      </c>
      <c r="H1140" s="15">
        <f>'[01_Entry.xlsx]Book'!H1140</f>
        <v>0.0</v>
      </c>
      <c r="I1140" s="15">
        <f>'[01_Entry.xlsx]Book'!I1140</f>
        <v>0.0</v>
      </c>
      <c r="K1140" s="15">
        <f>'[01_Entry.xlsx]Book'!K1140</f>
        <v>0.0</v>
      </c>
      <c r="L1140" s="15">
        <f>'[01_Entry.xlsx]Book'!L1140</f>
        <v>0.0</v>
      </c>
      <c r="M1140" s="15">
        <f>'[01_Entry.xlsx]Book'!M1140</f>
        <v>0.0</v>
      </c>
      <c r="P1140" s="56">
        <f>IF($A1140="","",IFERROR(VALUE(MID($A1140,6,2)),""))</f>
        <v/>
      </c>
    </row>
    <row r="1141" spans="7:16">
      <c r="G1141" s="15">
        <f>'[01_Entry.xlsx]Book'!G1141</f>
        <v>0.0</v>
      </c>
      <c r="H1141" s="15">
        <f>'[01_Entry.xlsx]Book'!H1141</f>
        <v>0.0</v>
      </c>
      <c r="I1141" s="15">
        <f>'[01_Entry.xlsx]Book'!I1141</f>
        <v>0.0</v>
      </c>
      <c r="K1141" s="15">
        <f>'[01_Entry.xlsx]Book'!K1141</f>
        <v>0.0</v>
      </c>
      <c r="L1141" s="15">
        <f>'[01_Entry.xlsx]Book'!L1141</f>
        <v>0.0</v>
      </c>
      <c r="M1141" s="15">
        <f>'[01_Entry.xlsx]Book'!M1141</f>
        <v>0.0</v>
      </c>
      <c r="P1141" s="56">
        <f>IF($A1141="","",IFERROR(VALUE(MID($A1141,6,2)),""))</f>
        <v/>
      </c>
    </row>
    <row r="1142" spans="7:16">
      <c r="G1142" s="15">
        <f>'[01_Entry.xlsx]Book'!G1142</f>
        <v>0.0</v>
      </c>
      <c r="H1142" s="15">
        <f>'[01_Entry.xlsx]Book'!H1142</f>
        <v>0.0</v>
      </c>
      <c r="I1142" s="15">
        <f>'[01_Entry.xlsx]Book'!I1142</f>
        <v>0.0</v>
      </c>
      <c r="K1142" s="15">
        <f>'[01_Entry.xlsx]Book'!K1142</f>
        <v>0.0</v>
      </c>
      <c r="L1142" s="15">
        <f>'[01_Entry.xlsx]Book'!L1142</f>
        <v>0.0</v>
      </c>
      <c r="M1142" s="15">
        <f>'[01_Entry.xlsx]Book'!M1142</f>
        <v>0.0</v>
      </c>
      <c r="P1142" s="56">
        <f>IF($A1142="","",IFERROR(VALUE(MID($A1142,6,2)),""))</f>
        <v/>
      </c>
    </row>
    <row r="1143" spans="7:16">
      <c r="G1143" s="15">
        <f>'[01_Entry.xlsx]Book'!G1143</f>
        <v>0.0</v>
      </c>
      <c r="H1143" s="15">
        <f>'[01_Entry.xlsx]Book'!H1143</f>
        <v>0.0</v>
      </c>
      <c r="I1143" s="15">
        <f>'[01_Entry.xlsx]Book'!I1143</f>
        <v>0.0</v>
      </c>
      <c r="K1143" s="15">
        <f>'[01_Entry.xlsx]Book'!K1143</f>
        <v>0.0</v>
      </c>
      <c r="L1143" s="15">
        <f>'[01_Entry.xlsx]Book'!L1143</f>
        <v>0.0</v>
      </c>
      <c r="M1143" s="15">
        <f>'[01_Entry.xlsx]Book'!M1143</f>
        <v>0.0</v>
      </c>
      <c r="P1143" s="56">
        <f>IF($A1143="","",IFERROR(VALUE(MID($A1143,6,2)),""))</f>
        <v/>
      </c>
    </row>
    <row r="1144" spans="7:16">
      <c r="G1144" s="15">
        <f>'[01_Entry.xlsx]Book'!G1144</f>
        <v>0.0</v>
      </c>
      <c r="H1144" s="15">
        <f>'[01_Entry.xlsx]Book'!H1144</f>
        <v>0.0</v>
      </c>
      <c r="I1144" s="15">
        <f>'[01_Entry.xlsx]Book'!I1144</f>
        <v>0.0</v>
      </c>
      <c r="K1144" s="15">
        <f>'[01_Entry.xlsx]Book'!K1144</f>
        <v>0.0</v>
      </c>
      <c r="L1144" s="15">
        <f>'[01_Entry.xlsx]Book'!L1144</f>
        <v>0.0</v>
      </c>
      <c r="M1144" s="15">
        <f>'[01_Entry.xlsx]Book'!M1144</f>
        <v>0.0</v>
      </c>
      <c r="P1144" s="56">
        <f>IF($A1144="","",IFERROR(VALUE(MID($A1144,6,2)),""))</f>
        <v/>
      </c>
    </row>
    <row r="1145" spans="7:16">
      <c r="G1145" s="15">
        <f>'[01_Entry.xlsx]Book'!G1145</f>
        <v>0.0</v>
      </c>
      <c r="H1145" s="15">
        <f>'[01_Entry.xlsx]Book'!H1145</f>
        <v>0.0</v>
      </c>
      <c r="I1145" s="15">
        <f>'[01_Entry.xlsx]Book'!I1145</f>
        <v>0.0</v>
      </c>
      <c r="K1145" s="15">
        <f>'[01_Entry.xlsx]Book'!K1145</f>
        <v>0.0</v>
      </c>
      <c r="L1145" s="15">
        <f>'[01_Entry.xlsx]Book'!L1145</f>
        <v>0.0</v>
      </c>
      <c r="M1145" s="15">
        <f>'[01_Entry.xlsx]Book'!M1145</f>
        <v>0.0</v>
      </c>
      <c r="P1145" s="56">
        <f>IF($A1145="","",IFERROR(VALUE(MID($A1145,6,2)),""))</f>
        <v/>
      </c>
    </row>
    <row r="1146" spans="7:16">
      <c r="G1146" s="15">
        <f>'[01_Entry.xlsx]Book'!G1146</f>
        <v>0.0</v>
      </c>
      <c r="H1146" s="15">
        <f>'[01_Entry.xlsx]Book'!H1146</f>
        <v>0.0</v>
      </c>
      <c r="I1146" s="15">
        <f>'[01_Entry.xlsx]Book'!I1146</f>
        <v>0.0</v>
      </c>
      <c r="K1146" s="15">
        <f>'[01_Entry.xlsx]Book'!K1146</f>
        <v>0.0</v>
      </c>
      <c r="L1146" s="15">
        <f>'[01_Entry.xlsx]Book'!L1146</f>
        <v>0.0</v>
      </c>
      <c r="M1146" s="15">
        <f>'[01_Entry.xlsx]Book'!M1146</f>
        <v>0.0</v>
      </c>
      <c r="P1146" s="56">
        <f>IF($A1146="","",IFERROR(VALUE(MID($A1146,6,2)),""))</f>
        <v/>
      </c>
    </row>
    <row r="1147" spans="7:16">
      <c r="G1147" s="15">
        <f>'[01_Entry.xlsx]Book'!G1147</f>
        <v>0.0</v>
      </c>
      <c r="H1147" s="15">
        <f>'[01_Entry.xlsx]Book'!H1147</f>
        <v>0.0</v>
      </c>
      <c r="I1147" s="15">
        <f>'[01_Entry.xlsx]Book'!I1147</f>
        <v>0.0</v>
      </c>
      <c r="K1147" s="15">
        <f>'[01_Entry.xlsx]Book'!K1147</f>
        <v>0.0</v>
      </c>
      <c r="L1147" s="15">
        <f>'[01_Entry.xlsx]Book'!L1147</f>
        <v>0.0</v>
      </c>
      <c r="M1147" s="15">
        <f>'[01_Entry.xlsx]Book'!M1147</f>
        <v>0.0</v>
      </c>
      <c r="P1147" s="56">
        <f>IF($A1147="","",IFERROR(VALUE(MID($A1147,6,2)),""))</f>
        <v/>
      </c>
    </row>
    <row r="1148" spans="7:16">
      <c r="G1148" s="15">
        <f>'[01_Entry.xlsx]Book'!G1148</f>
        <v>0.0</v>
      </c>
      <c r="H1148" s="15">
        <f>'[01_Entry.xlsx]Book'!H1148</f>
        <v>0.0</v>
      </c>
      <c r="I1148" s="15">
        <f>'[01_Entry.xlsx]Book'!I1148</f>
        <v>0.0</v>
      </c>
      <c r="K1148" s="15">
        <f>'[01_Entry.xlsx]Book'!K1148</f>
        <v>0.0</v>
      </c>
      <c r="L1148" s="15">
        <f>'[01_Entry.xlsx]Book'!L1148</f>
        <v>0.0</v>
      </c>
      <c r="M1148" s="15">
        <f>'[01_Entry.xlsx]Book'!M1148</f>
        <v>0.0</v>
      </c>
      <c r="P1148" s="56">
        <f>IF($A1148="","",IFERROR(VALUE(MID($A1148,6,2)),""))</f>
        <v/>
      </c>
    </row>
    <row r="1149" spans="7:16">
      <c r="G1149" s="15">
        <f>'[01_Entry.xlsx]Book'!G1149</f>
        <v>0.0</v>
      </c>
      <c r="H1149" s="15">
        <f>'[01_Entry.xlsx]Book'!H1149</f>
        <v>0.0</v>
      </c>
      <c r="I1149" s="15">
        <f>'[01_Entry.xlsx]Book'!I1149</f>
        <v>0.0</v>
      </c>
      <c r="K1149" s="15">
        <f>'[01_Entry.xlsx]Book'!K1149</f>
        <v>0.0</v>
      </c>
      <c r="L1149" s="15">
        <f>'[01_Entry.xlsx]Book'!L1149</f>
        <v>0.0</v>
      </c>
      <c r="M1149" s="15">
        <f>'[01_Entry.xlsx]Book'!M1149</f>
        <v>0.0</v>
      </c>
      <c r="P1149" s="56">
        <f>IF($A1149="","",IFERROR(VALUE(MID($A1149,6,2)),""))</f>
        <v/>
      </c>
    </row>
    <row r="1150" spans="7:16">
      <c r="G1150" s="15">
        <f>'[01_Entry.xlsx]Book'!G1150</f>
        <v>0.0</v>
      </c>
      <c r="H1150" s="15">
        <f>'[01_Entry.xlsx]Book'!H1150</f>
        <v>0.0</v>
      </c>
      <c r="I1150" s="15">
        <f>'[01_Entry.xlsx]Book'!I1150</f>
        <v>0.0</v>
      </c>
      <c r="K1150" s="15">
        <f>'[01_Entry.xlsx]Book'!K1150</f>
        <v>0.0</v>
      </c>
      <c r="L1150" s="15">
        <f>'[01_Entry.xlsx]Book'!L1150</f>
        <v>0.0</v>
      </c>
      <c r="M1150" s="15">
        <f>'[01_Entry.xlsx]Book'!M1150</f>
        <v>0.0</v>
      </c>
      <c r="P1150" s="56">
        <f>IF($A1150="","",IFERROR(VALUE(MID($A1150,6,2)),""))</f>
        <v/>
      </c>
    </row>
    <row r="1151" spans="7:16">
      <c r="G1151" s="15">
        <f>'[01_Entry.xlsx]Book'!G1151</f>
        <v>0.0</v>
      </c>
      <c r="H1151" s="15">
        <f>'[01_Entry.xlsx]Book'!H1151</f>
        <v>0.0</v>
      </c>
      <c r="I1151" s="15">
        <f>'[01_Entry.xlsx]Book'!I1151</f>
        <v>0.0</v>
      </c>
      <c r="K1151" s="15">
        <f>'[01_Entry.xlsx]Book'!K1151</f>
        <v>0.0</v>
      </c>
      <c r="L1151" s="15">
        <f>'[01_Entry.xlsx]Book'!L1151</f>
        <v>0.0</v>
      </c>
      <c r="M1151" s="15">
        <f>'[01_Entry.xlsx]Book'!M1151</f>
        <v>0.0</v>
      </c>
      <c r="P1151" s="56">
        <f>IF($A1151="","",IFERROR(VALUE(MID($A1151,6,2)),""))</f>
        <v/>
      </c>
    </row>
    <row r="1152" spans="7:16">
      <c r="G1152" s="15">
        <f>'[01_Entry.xlsx]Book'!G1152</f>
        <v>0.0</v>
      </c>
      <c r="H1152" s="15">
        <f>'[01_Entry.xlsx]Book'!H1152</f>
        <v>0.0</v>
      </c>
      <c r="I1152" s="15">
        <f>'[01_Entry.xlsx]Book'!I1152</f>
        <v>0.0</v>
      </c>
      <c r="K1152" s="15">
        <f>'[01_Entry.xlsx]Book'!K1152</f>
        <v>0.0</v>
      </c>
      <c r="L1152" s="15">
        <f>'[01_Entry.xlsx]Book'!L1152</f>
        <v>0.0</v>
      </c>
      <c r="M1152" s="15">
        <f>'[01_Entry.xlsx]Book'!M1152</f>
        <v>0.0</v>
      </c>
      <c r="P1152" s="56">
        <f>IF($A1152="","",IFERROR(VALUE(MID($A1152,6,2)),""))</f>
        <v/>
      </c>
    </row>
    <row r="1153" spans="7:16">
      <c r="G1153" s="15">
        <f>'[01_Entry.xlsx]Book'!G1153</f>
        <v>0.0</v>
      </c>
      <c r="H1153" s="15">
        <f>'[01_Entry.xlsx]Book'!H1153</f>
        <v>0.0</v>
      </c>
      <c r="I1153" s="15">
        <f>'[01_Entry.xlsx]Book'!I1153</f>
        <v>0.0</v>
      </c>
      <c r="K1153" s="15">
        <f>'[01_Entry.xlsx]Book'!K1153</f>
        <v>0.0</v>
      </c>
      <c r="L1153" s="15">
        <f>'[01_Entry.xlsx]Book'!L1153</f>
        <v>0.0</v>
      </c>
      <c r="M1153" s="15">
        <f>'[01_Entry.xlsx]Book'!M1153</f>
        <v>0.0</v>
      </c>
      <c r="P1153" s="56">
        <f>IF($A1153="","",IFERROR(VALUE(MID($A1153,6,2)),""))</f>
        <v/>
      </c>
    </row>
    <row r="1154" spans="7:16">
      <c r="G1154" s="15">
        <f>'[01_Entry.xlsx]Book'!G1154</f>
        <v>0.0</v>
      </c>
      <c r="H1154" s="15">
        <f>'[01_Entry.xlsx]Book'!H1154</f>
        <v>0.0</v>
      </c>
      <c r="I1154" s="15">
        <f>'[01_Entry.xlsx]Book'!I1154</f>
        <v>0.0</v>
      </c>
      <c r="K1154" s="15">
        <f>'[01_Entry.xlsx]Book'!K1154</f>
        <v>0.0</v>
      </c>
      <c r="L1154" s="15">
        <f>'[01_Entry.xlsx]Book'!L1154</f>
        <v>0.0</v>
      </c>
      <c r="M1154" s="15">
        <f>'[01_Entry.xlsx]Book'!M1154</f>
        <v>0.0</v>
      </c>
      <c r="P1154" s="56">
        <f>IF($A1154="","",IFERROR(VALUE(MID($A1154,6,2)),""))</f>
        <v/>
      </c>
    </row>
    <row r="1155" spans="7:16">
      <c r="G1155" s="15">
        <f>'[01_Entry.xlsx]Book'!G1155</f>
        <v>0.0</v>
      </c>
      <c r="H1155" s="15">
        <f>'[01_Entry.xlsx]Book'!H1155</f>
        <v>0.0</v>
      </c>
      <c r="I1155" s="15">
        <f>'[01_Entry.xlsx]Book'!I1155</f>
        <v>0.0</v>
      </c>
      <c r="K1155" s="15">
        <f>'[01_Entry.xlsx]Book'!K1155</f>
        <v>0.0</v>
      </c>
      <c r="L1155" s="15">
        <f>'[01_Entry.xlsx]Book'!L1155</f>
        <v>0.0</v>
      </c>
      <c r="M1155" s="15">
        <f>'[01_Entry.xlsx]Book'!M1155</f>
        <v>0.0</v>
      </c>
      <c r="P1155" s="56">
        <f>IF($A1155="","",IFERROR(VALUE(MID($A1155,6,2)),""))</f>
        <v/>
      </c>
    </row>
    <row r="1156" spans="7:16">
      <c r="G1156" s="15">
        <f>'[01_Entry.xlsx]Book'!G1156</f>
        <v>0.0</v>
      </c>
      <c r="H1156" s="15">
        <f>'[01_Entry.xlsx]Book'!H1156</f>
        <v>0.0</v>
      </c>
      <c r="I1156" s="15">
        <f>'[01_Entry.xlsx]Book'!I1156</f>
        <v>0.0</v>
      </c>
      <c r="K1156" s="15">
        <f>'[01_Entry.xlsx]Book'!K1156</f>
        <v>0.0</v>
      </c>
      <c r="L1156" s="15">
        <f>'[01_Entry.xlsx]Book'!L1156</f>
        <v>0.0</v>
      </c>
      <c r="M1156" s="15">
        <f>'[01_Entry.xlsx]Book'!M1156</f>
        <v>0.0</v>
      </c>
      <c r="P1156" s="56">
        <f>IF($A1156="","",IFERROR(VALUE(MID($A1156,6,2)),""))</f>
        <v/>
      </c>
    </row>
    <row r="1157" spans="7:16">
      <c r="G1157" s="15">
        <f>'[01_Entry.xlsx]Book'!G1157</f>
        <v>0.0</v>
      </c>
      <c r="H1157" s="15">
        <f>'[01_Entry.xlsx]Book'!H1157</f>
        <v>0.0</v>
      </c>
      <c r="I1157" s="15">
        <f>'[01_Entry.xlsx]Book'!I1157</f>
        <v>0.0</v>
      </c>
      <c r="K1157" s="15">
        <f>'[01_Entry.xlsx]Book'!K1157</f>
        <v>0.0</v>
      </c>
      <c r="L1157" s="15">
        <f>'[01_Entry.xlsx]Book'!L1157</f>
        <v>0.0</v>
      </c>
      <c r="M1157" s="15">
        <f>'[01_Entry.xlsx]Book'!M1157</f>
        <v>0.0</v>
      </c>
      <c r="P1157" s="56">
        <f>IF($A1157="","",IFERROR(VALUE(MID($A1157,6,2)),""))</f>
        <v/>
      </c>
    </row>
    <row r="1158" spans="7:16">
      <c r="G1158" s="15">
        <f>'[01_Entry.xlsx]Book'!G1158</f>
        <v>0.0</v>
      </c>
      <c r="H1158" s="15">
        <f>'[01_Entry.xlsx]Book'!H1158</f>
        <v>0.0</v>
      </c>
      <c r="I1158" s="15">
        <f>'[01_Entry.xlsx]Book'!I1158</f>
        <v>0.0</v>
      </c>
      <c r="K1158" s="15">
        <f>'[01_Entry.xlsx]Book'!K1158</f>
        <v>0.0</v>
      </c>
      <c r="L1158" s="15">
        <f>'[01_Entry.xlsx]Book'!L1158</f>
        <v>0.0</v>
      </c>
      <c r="M1158" s="15">
        <f>'[01_Entry.xlsx]Book'!M1158</f>
        <v>0.0</v>
      </c>
      <c r="P1158" s="56">
        <f>IF($A1158="","",IFERROR(VALUE(MID($A1158,6,2)),""))</f>
        <v/>
      </c>
    </row>
    <row r="1159" spans="7:16">
      <c r="G1159" s="15">
        <f>'[01_Entry.xlsx]Book'!G1159</f>
        <v>0.0</v>
      </c>
      <c r="H1159" s="15">
        <f>'[01_Entry.xlsx]Book'!H1159</f>
        <v>0.0</v>
      </c>
      <c r="I1159" s="15">
        <f>'[01_Entry.xlsx]Book'!I1159</f>
        <v>0.0</v>
      </c>
      <c r="K1159" s="15">
        <f>'[01_Entry.xlsx]Book'!K1159</f>
        <v>0.0</v>
      </c>
      <c r="L1159" s="15">
        <f>'[01_Entry.xlsx]Book'!L1159</f>
        <v>0.0</v>
      </c>
      <c r="M1159" s="15">
        <f>'[01_Entry.xlsx]Book'!M1159</f>
        <v>0.0</v>
      </c>
      <c r="P1159" s="56">
        <f>IF($A1159="","",IFERROR(VALUE(MID($A1159,6,2)),""))</f>
        <v/>
      </c>
    </row>
    <row r="1160" spans="7:16">
      <c r="G1160" s="15">
        <f>'[01_Entry.xlsx]Book'!G1160</f>
        <v>0.0</v>
      </c>
      <c r="H1160" s="15">
        <f>'[01_Entry.xlsx]Book'!H1160</f>
        <v>0.0</v>
      </c>
      <c r="I1160" s="15">
        <f>'[01_Entry.xlsx]Book'!I1160</f>
        <v>0.0</v>
      </c>
      <c r="K1160" s="15">
        <f>'[01_Entry.xlsx]Book'!K1160</f>
        <v>0.0</v>
      </c>
      <c r="L1160" s="15">
        <f>'[01_Entry.xlsx]Book'!L1160</f>
        <v>0.0</v>
      </c>
      <c r="M1160" s="15">
        <f>'[01_Entry.xlsx]Book'!M1160</f>
        <v>0.0</v>
      </c>
      <c r="P1160" s="56">
        <f>IF($A1160="","",IFERROR(VALUE(MID($A1160,6,2)),""))</f>
        <v/>
      </c>
    </row>
    <row r="1161" spans="7:16">
      <c r="G1161" s="15">
        <f>'[01_Entry.xlsx]Book'!G1161</f>
        <v>0.0</v>
      </c>
      <c r="H1161" s="15">
        <f>'[01_Entry.xlsx]Book'!H1161</f>
        <v>0.0</v>
      </c>
      <c r="I1161" s="15">
        <f>'[01_Entry.xlsx]Book'!I1161</f>
        <v>0.0</v>
      </c>
      <c r="K1161" s="15">
        <f>'[01_Entry.xlsx]Book'!K1161</f>
        <v>0.0</v>
      </c>
      <c r="L1161" s="15">
        <f>'[01_Entry.xlsx]Book'!L1161</f>
        <v>0.0</v>
      </c>
      <c r="M1161" s="15">
        <f>'[01_Entry.xlsx]Book'!M1161</f>
        <v>0.0</v>
      </c>
      <c r="P1161" s="56">
        <f>IF($A1161="","",IFERROR(VALUE(MID($A1161,6,2)),""))</f>
        <v/>
      </c>
    </row>
    <row r="1162" spans="7:16">
      <c r="G1162" s="15">
        <f>'[01_Entry.xlsx]Book'!G1162</f>
        <v>0.0</v>
      </c>
      <c r="H1162" s="15">
        <f>'[01_Entry.xlsx]Book'!H1162</f>
        <v>0.0</v>
      </c>
      <c r="I1162" s="15">
        <f>'[01_Entry.xlsx]Book'!I1162</f>
        <v>0.0</v>
      </c>
      <c r="K1162" s="15">
        <f>'[01_Entry.xlsx]Book'!K1162</f>
        <v>0.0</v>
      </c>
      <c r="L1162" s="15">
        <f>'[01_Entry.xlsx]Book'!L1162</f>
        <v>0.0</v>
      </c>
      <c r="M1162" s="15">
        <f>'[01_Entry.xlsx]Book'!M1162</f>
        <v>0.0</v>
      </c>
      <c r="P1162" s="56">
        <f>IF($A1162="","",IFERROR(VALUE(MID($A1162,6,2)),""))</f>
        <v/>
      </c>
    </row>
    <row r="1163" spans="7:16">
      <c r="G1163" s="15">
        <f>'[01_Entry.xlsx]Book'!G1163</f>
        <v>0.0</v>
      </c>
      <c r="H1163" s="15">
        <f>'[01_Entry.xlsx]Book'!H1163</f>
        <v>0.0</v>
      </c>
      <c r="I1163" s="15">
        <f>'[01_Entry.xlsx]Book'!I1163</f>
        <v>0.0</v>
      </c>
      <c r="K1163" s="15">
        <f>'[01_Entry.xlsx]Book'!K1163</f>
        <v>0.0</v>
      </c>
      <c r="L1163" s="15">
        <f>'[01_Entry.xlsx]Book'!L1163</f>
        <v>0.0</v>
      </c>
      <c r="M1163" s="15">
        <f>'[01_Entry.xlsx]Book'!M1163</f>
        <v>0.0</v>
      </c>
      <c r="P1163" s="56">
        <f>IF($A1163="","",IFERROR(VALUE(MID($A1163,6,2)),""))</f>
        <v/>
      </c>
    </row>
    <row r="1164" spans="7:16">
      <c r="G1164" s="15">
        <f>'[01_Entry.xlsx]Book'!G1164</f>
        <v>0.0</v>
      </c>
      <c r="H1164" s="15">
        <f>'[01_Entry.xlsx]Book'!H1164</f>
        <v>0.0</v>
      </c>
      <c r="I1164" s="15">
        <f>'[01_Entry.xlsx]Book'!I1164</f>
        <v>0.0</v>
      </c>
      <c r="K1164" s="15">
        <f>'[01_Entry.xlsx]Book'!K1164</f>
        <v>0.0</v>
      </c>
      <c r="L1164" s="15">
        <f>'[01_Entry.xlsx]Book'!L1164</f>
        <v>0.0</v>
      </c>
      <c r="M1164" s="15">
        <f>'[01_Entry.xlsx]Book'!M1164</f>
        <v>0.0</v>
      </c>
      <c r="P1164" s="56">
        <f>IF($A1164="","",IFERROR(VALUE(MID($A1164,6,2)),""))</f>
        <v/>
      </c>
    </row>
    <row r="1165" spans="7:16">
      <c r="G1165" s="15">
        <f>'[01_Entry.xlsx]Book'!G1165</f>
        <v>0.0</v>
      </c>
      <c r="H1165" s="15">
        <f>'[01_Entry.xlsx]Book'!H1165</f>
        <v>0.0</v>
      </c>
      <c r="I1165" s="15">
        <f>'[01_Entry.xlsx]Book'!I1165</f>
        <v>0.0</v>
      </c>
      <c r="K1165" s="15">
        <f>'[01_Entry.xlsx]Book'!K1165</f>
        <v>0.0</v>
      </c>
      <c r="L1165" s="15">
        <f>'[01_Entry.xlsx]Book'!L1165</f>
        <v>0.0</v>
      </c>
      <c r="M1165" s="15">
        <f>'[01_Entry.xlsx]Book'!M1165</f>
        <v>0.0</v>
      </c>
      <c r="P1165" s="56">
        <f>IF($A1165="","",IFERROR(VALUE(MID($A1165,6,2)),""))</f>
        <v/>
      </c>
    </row>
    <row r="1166" spans="7:16">
      <c r="G1166" s="15">
        <f>'[01_Entry.xlsx]Book'!G1166</f>
        <v>0.0</v>
      </c>
      <c r="H1166" s="15">
        <f>'[01_Entry.xlsx]Book'!H1166</f>
        <v>0.0</v>
      </c>
      <c r="I1166" s="15">
        <f>'[01_Entry.xlsx]Book'!I1166</f>
        <v>0.0</v>
      </c>
      <c r="K1166" s="15">
        <f>'[01_Entry.xlsx]Book'!K1166</f>
        <v>0.0</v>
      </c>
      <c r="L1166" s="15">
        <f>'[01_Entry.xlsx]Book'!L1166</f>
        <v>0.0</v>
      </c>
      <c r="M1166" s="15">
        <f>'[01_Entry.xlsx]Book'!M1166</f>
        <v>0.0</v>
      </c>
      <c r="P1166" s="56">
        <f>IF($A1166="","",IFERROR(VALUE(MID($A1166,6,2)),""))</f>
        <v/>
      </c>
    </row>
    <row r="1167" spans="7:16">
      <c r="G1167" s="15">
        <f>'[01_Entry.xlsx]Book'!G1167</f>
        <v>0.0</v>
      </c>
      <c r="H1167" s="15">
        <f>'[01_Entry.xlsx]Book'!H1167</f>
        <v>0.0</v>
      </c>
      <c r="I1167" s="15">
        <f>'[01_Entry.xlsx]Book'!I1167</f>
        <v>0.0</v>
      </c>
      <c r="K1167" s="15">
        <f>'[01_Entry.xlsx]Book'!K1167</f>
        <v>0.0</v>
      </c>
      <c r="L1167" s="15">
        <f>'[01_Entry.xlsx]Book'!L1167</f>
        <v>0.0</v>
      </c>
      <c r="M1167" s="15">
        <f>'[01_Entry.xlsx]Book'!M1167</f>
        <v>0.0</v>
      </c>
      <c r="P1167" s="56">
        <f>IF($A1167="","",IFERROR(VALUE(MID($A1167,6,2)),""))</f>
        <v/>
      </c>
    </row>
    <row r="1168" spans="7:16">
      <c r="G1168" s="15">
        <f>'[01_Entry.xlsx]Book'!G1168</f>
        <v>0.0</v>
      </c>
      <c r="H1168" s="15">
        <f>'[01_Entry.xlsx]Book'!H1168</f>
        <v>0.0</v>
      </c>
      <c r="I1168" s="15">
        <f>'[01_Entry.xlsx]Book'!I1168</f>
        <v>0.0</v>
      </c>
      <c r="K1168" s="15">
        <f>'[01_Entry.xlsx]Book'!K1168</f>
        <v>0.0</v>
      </c>
      <c r="L1168" s="15">
        <f>'[01_Entry.xlsx]Book'!L1168</f>
        <v>0.0</v>
      </c>
      <c r="M1168" s="15">
        <f>'[01_Entry.xlsx]Book'!M1168</f>
        <v>0.0</v>
      </c>
      <c r="P1168" s="56">
        <f>IF($A1168="","",IFERROR(VALUE(MID($A1168,6,2)),""))</f>
        <v/>
      </c>
    </row>
    <row r="1169" spans="7:16">
      <c r="G1169" s="15">
        <f>'[01_Entry.xlsx]Book'!G1169</f>
        <v>0.0</v>
      </c>
      <c r="H1169" s="15">
        <f>'[01_Entry.xlsx]Book'!H1169</f>
        <v>0.0</v>
      </c>
      <c r="I1169" s="15">
        <f>'[01_Entry.xlsx]Book'!I1169</f>
        <v>0.0</v>
      </c>
      <c r="K1169" s="15">
        <f>'[01_Entry.xlsx]Book'!K1169</f>
        <v>0.0</v>
      </c>
      <c r="L1169" s="15">
        <f>'[01_Entry.xlsx]Book'!L1169</f>
        <v>0.0</v>
      </c>
      <c r="M1169" s="15">
        <f>'[01_Entry.xlsx]Book'!M1169</f>
        <v>0.0</v>
      </c>
      <c r="P1169" s="56">
        <f>IF($A1169="","",IFERROR(VALUE(MID($A1169,6,2)),""))</f>
        <v/>
      </c>
    </row>
    <row r="1170" spans="7:16">
      <c r="G1170" s="15">
        <f>'[01_Entry.xlsx]Book'!G1170</f>
        <v>0.0</v>
      </c>
      <c r="H1170" s="15">
        <f>'[01_Entry.xlsx]Book'!H1170</f>
        <v>0.0</v>
      </c>
      <c r="I1170" s="15">
        <f>'[01_Entry.xlsx]Book'!I1170</f>
        <v>0.0</v>
      </c>
      <c r="K1170" s="15">
        <f>'[01_Entry.xlsx]Book'!K1170</f>
        <v>0.0</v>
      </c>
      <c r="L1170" s="15">
        <f>'[01_Entry.xlsx]Book'!L1170</f>
        <v>0.0</v>
      </c>
      <c r="M1170" s="15">
        <f>'[01_Entry.xlsx]Book'!M1170</f>
        <v>0.0</v>
      </c>
      <c r="P1170" s="56">
        <f>IF($A1170="","",IFERROR(VALUE(MID($A1170,6,2)),""))</f>
        <v/>
      </c>
    </row>
    <row r="1171" spans="7:16">
      <c r="G1171" s="15">
        <f>'[01_Entry.xlsx]Book'!G1171</f>
        <v>0.0</v>
      </c>
      <c r="H1171" s="15">
        <f>'[01_Entry.xlsx]Book'!H1171</f>
        <v>0.0</v>
      </c>
      <c r="I1171" s="15">
        <f>'[01_Entry.xlsx]Book'!I1171</f>
        <v>0.0</v>
      </c>
      <c r="K1171" s="15">
        <f>'[01_Entry.xlsx]Book'!K1171</f>
        <v>0.0</v>
      </c>
      <c r="L1171" s="15">
        <f>'[01_Entry.xlsx]Book'!L1171</f>
        <v>0.0</v>
      </c>
      <c r="M1171" s="15">
        <f>'[01_Entry.xlsx]Book'!M1171</f>
        <v>0.0</v>
      </c>
      <c r="P1171" s="56">
        <f>IF($A1171="","",IFERROR(VALUE(MID($A1171,6,2)),""))</f>
        <v/>
      </c>
    </row>
    <row r="1172" spans="7:16">
      <c r="G1172" s="15">
        <f>'[01_Entry.xlsx]Book'!G1172</f>
        <v>0.0</v>
      </c>
      <c r="H1172" s="15">
        <f>'[01_Entry.xlsx]Book'!H1172</f>
        <v>0.0</v>
      </c>
      <c r="I1172" s="15">
        <f>'[01_Entry.xlsx]Book'!I1172</f>
        <v>0.0</v>
      </c>
      <c r="K1172" s="15">
        <f>'[01_Entry.xlsx]Book'!K1172</f>
        <v>0.0</v>
      </c>
      <c r="L1172" s="15">
        <f>'[01_Entry.xlsx]Book'!L1172</f>
        <v>0.0</v>
      </c>
      <c r="M1172" s="15">
        <f>'[01_Entry.xlsx]Book'!M1172</f>
        <v>0.0</v>
      </c>
      <c r="P1172" s="56">
        <f>IF($A1172="","",IFERROR(VALUE(MID($A1172,6,2)),""))</f>
        <v/>
      </c>
    </row>
    <row r="1173" spans="7:16">
      <c r="G1173" s="15">
        <f>'[01_Entry.xlsx]Book'!G1173</f>
        <v>0.0</v>
      </c>
      <c r="H1173" s="15">
        <f>'[01_Entry.xlsx]Book'!H1173</f>
        <v>0.0</v>
      </c>
      <c r="I1173" s="15">
        <f>'[01_Entry.xlsx]Book'!I1173</f>
        <v>0.0</v>
      </c>
      <c r="K1173" s="15">
        <f>'[01_Entry.xlsx]Book'!K1173</f>
        <v>0.0</v>
      </c>
      <c r="L1173" s="15">
        <f>'[01_Entry.xlsx]Book'!L1173</f>
        <v>0.0</v>
      </c>
      <c r="M1173" s="15">
        <f>'[01_Entry.xlsx]Book'!M1173</f>
        <v>0.0</v>
      </c>
      <c r="P1173" s="56">
        <f>IF($A1173="","",IFERROR(VALUE(MID($A1173,6,2)),""))</f>
        <v/>
      </c>
    </row>
    <row r="1174" spans="7:16">
      <c r="G1174" s="15">
        <f>'[01_Entry.xlsx]Book'!G1174</f>
        <v>0.0</v>
      </c>
      <c r="H1174" s="15">
        <f>'[01_Entry.xlsx]Book'!H1174</f>
        <v>0.0</v>
      </c>
      <c r="I1174" s="15">
        <f>'[01_Entry.xlsx]Book'!I1174</f>
        <v>0.0</v>
      </c>
      <c r="K1174" s="15">
        <f>'[01_Entry.xlsx]Book'!K1174</f>
        <v>0.0</v>
      </c>
      <c r="L1174" s="15">
        <f>'[01_Entry.xlsx]Book'!L1174</f>
        <v>0.0</v>
      </c>
      <c r="M1174" s="15">
        <f>'[01_Entry.xlsx]Book'!M1174</f>
        <v>0.0</v>
      </c>
      <c r="P1174" s="56">
        <f>IF($A1174="","",IFERROR(VALUE(MID($A1174,6,2)),""))</f>
        <v/>
      </c>
    </row>
    <row r="1175" spans="7:16">
      <c r="G1175" s="15">
        <f>'[01_Entry.xlsx]Book'!G1175</f>
        <v>0.0</v>
      </c>
      <c r="H1175" s="15">
        <f>'[01_Entry.xlsx]Book'!H1175</f>
        <v>0.0</v>
      </c>
      <c r="I1175" s="15">
        <f>'[01_Entry.xlsx]Book'!I1175</f>
        <v>0.0</v>
      </c>
      <c r="K1175" s="15">
        <f>'[01_Entry.xlsx]Book'!K1175</f>
        <v>0.0</v>
      </c>
      <c r="L1175" s="15">
        <f>'[01_Entry.xlsx]Book'!L1175</f>
        <v>0.0</v>
      </c>
      <c r="M1175" s="15">
        <f>'[01_Entry.xlsx]Book'!M1175</f>
        <v>0.0</v>
      </c>
      <c r="P1175" s="56">
        <f>IF($A1175="","",IFERROR(VALUE(MID($A1175,6,2)),""))</f>
        <v/>
      </c>
    </row>
    <row r="1176" spans="7:16">
      <c r="G1176" s="15">
        <f>'[01_Entry.xlsx]Book'!G1176</f>
        <v>0.0</v>
      </c>
      <c r="H1176" s="15">
        <f>'[01_Entry.xlsx]Book'!H1176</f>
        <v>0.0</v>
      </c>
      <c r="I1176" s="15">
        <f>'[01_Entry.xlsx]Book'!I1176</f>
        <v>0.0</v>
      </c>
      <c r="K1176" s="15">
        <f>'[01_Entry.xlsx]Book'!K1176</f>
        <v>0.0</v>
      </c>
      <c r="L1176" s="15">
        <f>'[01_Entry.xlsx]Book'!L1176</f>
        <v>0.0</v>
      </c>
      <c r="M1176" s="15">
        <f>'[01_Entry.xlsx]Book'!M1176</f>
        <v>0.0</v>
      </c>
      <c r="P1176" s="56">
        <f>IF($A1176="","",IFERROR(VALUE(MID($A1176,6,2)),""))</f>
        <v/>
      </c>
    </row>
    <row r="1177" spans="7:16">
      <c r="G1177" s="15">
        <f>'[01_Entry.xlsx]Book'!G1177</f>
        <v>0.0</v>
      </c>
      <c r="H1177" s="15">
        <f>'[01_Entry.xlsx]Book'!H1177</f>
        <v>0.0</v>
      </c>
      <c r="I1177" s="15">
        <f>'[01_Entry.xlsx]Book'!I1177</f>
        <v>0.0</v>
      </c>
      <c r="K1177" s="15">
        <f>'[01_Entry.xlsx]Book'!K1177</f>
        <v>0.0</v>
      </c>
      <c r="L1177" s="15">
        <f>'[01_Entry.xlsx]Book'!L1177</f>
        <v>0.0</v>
      </c>
      <c r="M1177" s="15">
        <f>'[01_Entry.xlsx]Book'!M1177</f>
        <v>0.0</v>
      </c>
      <c r="P1177" s="56">
        <f>IF($A1177="","",IFERROR(VALUE(MID($A1177,6,2)),""))</f>
        <v/>
      </c>
    </row>
    <row r="1178" spans="7:16">
      <c r="G1178" s="15">
        <f>'[01_Entry.xlsx]Book'!G1178</f>
        <v>0.0</v>
      </c>
      <c r="H1178" s="15">
        <f>'[01_Entry.xlsx]Book'!H1178</f>
        <v>0.0</v>
      </c>
      <c r="I1178" s="15">
        <f>'[01_Entry.xlsx]Book'!I1178</f>
        <v>0.0</v>
      </c>
      <c r="K1178" s="15">
        <f>'[01_Entry.xlsx]Book'!K1178</f>
        <v>0.0</v>
      </c>
      <c r="L1178" s="15">
        <f>'[01_Entry.xlsx]Book'!L1178</f>
        <v>0.0</v>
      </c>
      <c r="M1178" s="15">
        <f>'[01_Entry.xlsx]Book'!M1178</f>
        <v>0.0</v>
      </c>
      <c r="P1178" s="56">
        <f>IF($A1178="","",IFERROR(VALUE(MID($A1178,6,2)),""))</f>
        <v/>
      </c>
    </row>
    <row r="1179" spans="7:16">
      <c r="G1179" s="15">
        <f>'[01_Entry.xlsx]Book'!G1179</f>
        <v>0.0</v>
      </c>
      <c r="H1179" s="15">
        <f>'[01_Entry.xlsx]Book'!H1179</f>
        <v>0.0</v>
      </c>
      <c r="I1179" s="15">
        <f>'[01_Entry.xlsx]Book'!I1179</f>
        <v>0.0</v>
      </c>
      <c r="K1179" s="15">
        <f>'[01_Entry.xlsx]Book'!K1179</f>
        <v>0.0</v>
      </c>
      <c r="L1179" s="15">
        <f>'[01_Entry.xlsx]Book'!L1179</f>
        <v>0.0</v>
      </c>
      <c r="M1179" s="15">
        <f>'[01_Entry.xlsx]Book'!M1179</f>
        <v>0.0</v>
      </c>
      <c r="P1179" s="56">
        <f>IF($A1179="","",IFERROR(VALUE(MID($A1179,6,2)),""))</f>
        <v/>
      </c>
    </row>
    <row r="1180" spans="7:16">
      <c r="G1180" s="15">
        <f>'[01_Entry.xlsx]Book'!G1180</f>
        <v>0.0</v>
      </c>
      <c r="H1180" s="15">
        <f>'[01_Entry.xlsx]Book'!H1180</f>
        <v>0.0</v>
      </c>
      <c r="I1180" s="15">
        <f>'[01_Entry.xlsx]Book'!I1180</f>
        <v>0.0</v>
      </c>
      <c r="K1180" s="15">
        <f>'[01_Entry.xlsx]Book'!K1180</f>
        <v>0.0</v>
      </c>
      <c r="L1180" s="15">
        <f>'[01_Entry.xlsx]Book'!L1180</f>
        <v>0.0</v>
      </c>
      <c r="M1180" s="15">
        <f>'[01_Entry.xlsx]Book'!M1180</f>
        <v>0.0</v>
      </c>
      <c r="P1180" s="56">
        <f>IF($A1180="","",IFERROR(VALUE(MID($A1180,6,2)),""))</f>
        <v/>
      </c>
    </row>
    <row r="1181" spans="7:16">
      <c r="G1181" s="15">
        <f>'[01_Entry.xlsx]Book'!G1181</f>
        <v>0.0</v>
      </c>
      <c r="H1181" s="15">
        <f>'[01_Entry.xlsx]Book'!H1181</f>
        <v>0.0</v>
      </c>
      <c r="I1181" s="15">
        <f>'[01_Entry.xlsx]Book'!I1181</f>
        <v>0.0</v>
      </c>
      <c r="K1181" s="15">
        <f>'[01_Entry.xlsx]Book'!K1181</f>
        <v>0.0</v>
      </c>
      <c r="L1181" s="15">
        <f>'[01_Entry.xlsx]Book'!L1181</f>
        <v>0.0</v>
      </c>
      <c r="M1181" s="15">
        <f>'[01_Entry.xlsx]Book'!M1181</f>
        <v>0.0</v>
      </c>
      <c r="P1181" s="56">
        <f>IF($A1181="","",IFERROR(VALUE(MID($A1181,6,2)),""))</f>
        <v/>
      </c>
    </row>
    <row r="1182" spans="7:16">
      <c r="G1182" s="15">
        <f>'[01_Entry.xlsx]Book'!G1182</f>
        <v>0.0</v>
      </c>
      <c r="H1182" s="15">
        <f>'[01_Entry.xlsx]Book'!H1182</f>
        <v>0.0</v>
      </c>
      <c r="I1182" s="15">
        <f>'[01_Entry.xlsx]Book'!I1182</f>
        <v>0.0</v>
      </c>
      <c r="K1182" s="15">
        <f>'[01_Entry.xlsx]Book'!K1182</f>
        <v>0.0</v>
      </c>
      <c r="L1182" s="15">
        <f>'[01_Entry.xlsx]Book'!L1182</f>
        <v>0.0</v>
      </c>
      <c r="M1182" s="15">
        <f>'[01_Entry.xlsx]Book'!M1182</f>
        <v>0.0</v>
      </c>
      <c r="P1182" s="56">
        <f>IF($A1182="","",IFERROR(VALUE(MID($A1182,6,2)),""))</f>
        <v/>
      </c>
    </row>
    <row r="1183" spans="7:16">
      <c r="G1183" s="15">
        <f>'[01_Entry.xlsx]Book'!G1183</f>
        <v>0.0</v>
      </c>
      <c r="H1183" s="15">
        <f>'[01_Entry.xlsx]Book'!H1183</f>
        <v>0.0</v>
      </c>
      <c r="I1183" s="15">
        <f>'[01_Entry.xlsx]Book'!I1183</f>
        <v>0.0</v>
      </c>
      <c r="K1183" s="15">
        <f>'[01_Entry.xlsx]Book'!K1183</f>
        <v>0.0</v>
      </c>
      <c r="L1183" s="15">
        <f>'[01_Entry.xlsx]Book'!L1183</f>
        <v>0.0</v>
      </c>
      <c r="M1183" s="15">
        <f>'[01_Entry.xlsx]Book'!M1183</f>
        <v>0.0</v>
      </c>
      <c r="P1183" s="56">
        <f>IF($A1183="","",IFERROR(VALUE(MID($A1183,6,2)),""))</f>
        <v/>
      </c>
    </row>
    <row r="1184" spans="7:16">
      <c r="G1184" s="15">
        <f>'[01_Entry.xlsx]Book'!G1184</f>
        <v>0.0</v>
      </c>
      <c r="H1184" s="15">
        <f>'[01_Entry.xlsx]Book'!H1184</f>
        <v>0.0</v>
      </c>
      <c r="I1184" s="15">
        <f>'[01_Entry.xlsx]Book'!I1184</f>
        <v>0.0</v>
      </c>
      <c r="K1184" s="15">
        <f>'[01_Entry.xlsx]Book'!K1184</f>
        <v>0.0</v>
      </c>
      <c r="L1184" s="15">
        <f>'[01_Entry.xlsx]Book'!L1184</f>
        <v>0.0</v>
      </c>
      <c r="M1184" s="15">
        <f>'[01_Entry.xlsx]Book'!M1184</f>
        <v>0.0</v>
      </c>
      <c r="P1184" s="56">
        <f>IF($A1184="","",IFERROR(VALUE(MID($A1184,6,2)),""))</f>
        <v/>
      </c>
    </row>
    <row r="1185" spans="7:16">
      <c r="G1185" s="15">
        <f>'[01_Entry.xlsx]Book'!G1185</f>
        <v>0.0</v>
      </c>
      <c r="H1185" s="15">
        <f>'[01_Entry.xlsx]Book'!H1185</f>
        <v>0.0</v>
      </c>
      <c r="I1185" s="15">
        <f>'[01_Entry.xlsx]Book'!I1185</f>
        <v>0.0</v>
      </c>
      <c r="K1185" s="15">
        <f>'[01_Entry.xlsx]Book'!K1185</f>
        <v>0.0</v>
      </c>
      <c r="L1185" s="15">
        <f>'[01_Entry.xlsx]Book'!L1185</f>
        <v>0.0</v>
      </c>
      <c r="M1185" s="15">
        <f>'[01_Entry.xlsx]Book'!M1185</f>
        <v>0.0</v>
      </c>
      <c r="P1185" s="56">
        <f>IF($A1185="","",IFERROR(VALUE(MID($A1185,6,2)),""))</f>
        <v/>
      </c>
    </row>
    <row r="1186" spans="7:16">
      <c r="G1186" s="15">
        <f>'[01_Entry.xlsx]Book'!G1186</f>
        <v>0.0</v>
      </c>
      <c r="H1186" s="15">
        <f>'[01_Entry.xlsx]Book'!H1186</f>
        <v>0.0</v>
      </c>
      <c r="I1186" s="15">
        <f>'[01_Entry.xlsx]Book'!I1186</f>
        <v>0.0</v>
      </c>
      <c r="K1186" s="15">
        <f>'[01_Entry.xlsx]Book'!K1186</f>
        <v>0.0</v>
      </c>
      <c r="L1186" s="15">
        <f>'[01_Entry.xlsx]Book'!L1186</f>
        <v>0.0</v>
      </c>
      <c r="M1186" s="15">
        <f>'[01_Entry.xlsx]Book'!M1186</f>
        <v>0.0</v>
      </c>
      <c r="P1186" s="56">
        <f>IF($A1186="","",IFERROR(VALUE(MID($A1186,6,2)),""))</f>
        <v/>
      </c>
    </row>
    <row r="1187" spans="7:16">
      <c r="G1187" s="15">
        <f>'[01_Entry.xlsx]Book'!G1187</f>
        <v>0.0</v>
      </c>
      <c r="H1187" s="15">
        <f>'[01_Entry.xlsx]Book'!H1187</f>
        <v>0.0</v>
      </c>
      <c r="I1187" s="15">
        <f>'[01_Entry.xlsx]Book'!I1187</f>
        <v>0.0</v>
      </c>
      <c r="K1187" s="15">
        <f>'[01_Entry.xlsx]Book'!K1187</f>
        <v>0.0</v>
      </c>
      <c r="L1187" s="15">
        <f>'[01_Entry.xlsx]Book'!L1187</f>
        <v>0.0</v>
      </c>
      <c r="M1187" s="15">
        <f>'[01_Entry.xlsx]Book'!M1187</f>
        <v>0.0</v>
      </c>
      <c r="P1187" s="56">
        <f>IF($A1187="","",IFERROR(VALUE(MID($A1187,6,2)),""))</f>
        <v/>
      </c>
    </row>
    <row r="1188" spans="7:16">
      <c r="G1188" s="15">
        <f>'[01_Entry.xlsx]Book'!G1188</f>
        <v>0.0</v>
      </c>
      <c r="H1188" s="15">
        <f>'[01_Entry.xlsx]Book'!H1188</f>
        <v>0.0</v>
      </c>
      <c r="I1188" s="15">
        <f>'[01_Entry.xlsx]Book'!I1188</f>
        <v>0.0</v>
      </c>
      <c r="K1188" s="15">
        <f>'[01_Entry.xlsx]Book'!K1188</f>
        <v>0.0</v>
      </c>
      <c r="L1188" s="15">
        <f>'[01_Entry.xlsx]Book'!L1188</f>
        <v>0.0</v>
      </c>
      <c r="M1188" s="15">
        <f>'[01_Entry.xlsx]Book'!M1188</f>
        <v>0.0</v>
      </c>
      <c r="P1188" s="56">
        <f>IF($A1188="","",IFERROR(VALUE(MID($A1188,6,2)),""))</f>
        <v/>
      </c>
    </row>
    <row r="1189" spans="7:16">
      <c r="G1189" s="15">
        <f>'[01_Entry.xlsx]Book'!G1189</f>
        <v>0.0</v>
      </c>
      <c r="H1189" s="15">
        <f>'[01_Entry.xlsx]Book'!H1189</f>
        <v>0.0</v>
      </c>
      <c r="I1189" s="15">
        <f>'[01_Entry.xlsx]Book'!I1189</f>
        <v>0.0</v>
      </c>
      <c r="K1189" s="15">
        <f>'[01_Entry.xlsx]Book'!K1189</f>
        <v>0.0</v>
      </c>
      <c r="L1189" s="15">
        <f>'[01_Entry.xlsx]Book'!L1189</f>
        <v>0.0</v>
      </c>
      <c r="M1189" s="15">
        <f>'[01_Entry.xlsx]Book'!M1189</f>
        <v>0.0</v>
      </c>
      <c r="P1189" s="56">
        <f>IF($A1189="","",IFERROR(VALUE(MID($A1189,6,2)),""))</f>
        <v/>
      </c>
    </row>
    <row r="1190" spans="7:16">
      <c r="G1190" s="15">
        <f>'[01_Entry.xlsx]Book'!G1190</f>
        <v>0.0</v>
      </c>
      <c r="H1190" s="15">
        <f>'[01_Entry.xlsx]Book'!H1190</f>
        <v>0.0</v>
      </c>
      <c r="I1190" s="15">
        <f>'[01_Entry.xlsx]Book'!I1190</f>
        <v>0.0</v>
      </c>
      <c r="K1190" s="15">
        <f>'[01_Entry.xlsx]Book'!K1190</f>
        <v>0.0</v>
      </c>
      <c r="L1190" s="15">
        <f>'[01_Entry.xlsx]Book'!L1190</f>
        <v>0.0</v>
      </c>
      <c r="M1190" s="15">
        <f>'[01_Entry.xlsx]Book'!M1190</f>
        <v>0.0</v>
      </c>
      <c r="P1190" s="56">
        <f>IF($A1190="","",IFERROR(VALUE(MID($A1190,6,2)),""))</f>
        <v/>
      </c>
    </row>
    <row r="1191" spans="7:16">
      <c r="G1191" s="15">
        <f>'[01_Entry.xlsx]Book'!G1191</f>
        <v>0.0</v>
      </c>
      <c r="H1191" s="15">
        <f>'[01_Entry.xlsx]Book'!H1191</f>
        <v>0.0</v>
      </c>
      <c r="I1191" s="15">
        <f>'[01_Entry.xlsx]Book'!I1191</f>
        <v>0.0</v>
      </c>
      <c r="K1191" s="15">
        <f>'[01_Entry.xlsx]Book'!K1191</f>
        <v>0.0</v>
      </c>
      <c r="L1191" s="15">
        <f>'[01_Entry.xlsx]Book'!L1191</f>
        <v>0.0</v>
      </c>
      <c r="M1191" s="15">
        <f>'[01_Entry.xlsx]Book'!M1191</f>
        <v>0.0</v>
      </c>
      <c r="P1191" s="56">
        <f>IF($A1191="","",IFERROR(VALUE(MID($A1191,6,2)),""))</f>
        <v/>
      </c>
    </row>
    <row r="1192" spans="7:16">
      <c r="G1192" s="15">
        <f>'[01_Entry.xlsx]Book'!G1192</f>
        <v>0.0</v>
      </c>
      <c r="H1192" s="15">
        <f>'[01_Entry.xlsx]Book'!H1192</f>
        <v>0.0</v>
      </c>
      <c r="I1192" s="15">
        <f>'[01_Entry.xlsx]Book'!I1192</f>
        <v>0.0</v>
      </c>
      <c r="K1192" s="15">
        <f>'[01_Entry.xlsx]Book'!K1192</f>
        <v>0.0</v>
      </c>
      <c r="L1192" s="15">
        <f>'[01_Entry.xlsx]Book'!L1192</f>
        <v>0.0</v>
      </c>
      <c r="M1192" s="15">
        <f>'[01_Entry.xlsx]Book'!M1192</f>
        <v>0.0</v>
      </c>
      <c r="P1192" s="56">
        <f>IF($A1192="","",IFERROR(VALUE(MID($A1192,6,2)),""))</f>
        <v/>
      </c>
    </row>
    <row r="1193" spans="7:16">
      <c r="G1193" s="15">
        <f>'[01_Entry.xlsx]Book'!G1193</f>
        <v>0.0</v>
      </c>
      <c r="H1193" s="15">
        <f>'[01_Entry.xlsx]Book'!H1193</f>
        <v>0.0</v>
      </c>
      <c r="I1193" s="15">
        <f>'[01_Entry.xlsx]Book'!I1193</f>
        <v>0.0</v>
      </c>
      <c r="K1193" s="15">
        <f>'[01_Entry.xlsx]Book'!K1193</f>
        <v>0.0</v>
      </c>
      <c r="L1193" s="15">
        <f>'[01_Entry.xlsx]Book'!L1193</f>
        <v>0.0</v>
      </c>
      <c r="M1193" s="15">
        <f>'[01_Entry.xlsx]Book'!M1193</f>
        <v>0.0</v>
      </c>
      <c r="P1193" s="56">
        <f>IF($A1193="","",IFERROR(VALUE(MID($A1193,6,2)),""))</f>
        <v/>
      </c>
    </row>
    <row r="1194" spans="7:16">
      <c r="G1194" s="15">
        <f>'[01_Entry.xlsx]Book'!G1194</f>
        <v>0.0</v>
      </c>
      <c r="H1194" s="15">
        <f>'[01_Entry.xlsx]Book'!H1194</f>
        <v>0.0</v>
      </c>
      <c r="I1194" s="15">
        <f>'[01_Entry.xlsx]Book'!I1194</f>
        <v>0.0</v>
      </c>
      <c r="K1194" s="15">
        <f>'[01_Entry.xlsx]Book'!K1194</f>
        <v>0.0</v>
      </c>
      <c r="L1194" s="15">
        <f>'[01_Entry.xlsx]Book'!L1194</f>
        <v>0.0</v>
      </c>
      <c r="M1194" s="15">
        <f>'[01_Entry.xlsx]Book'!M1194</f>
        <v>0.0</v>
      </c>
      <c r="P1194" s="56">
        <f>IF($A1194="","",IFERROR(VALUE(MID($A1194,6,2)),""))</f>
        <v/>
      </c>
    </row>
    <row r="1195" spans="7:16">
      <c r="G1195" s="15">
        <f>'[01_Entry.xlsx]Book'!G1195</f>
        <v>0.0</v>
      </c>
      <c r="H1195" s="15">
        <f>'[01_Entry.xlsx]Book'!H1195</f>
        <v>0.0</v>
      </c>
      <c r="I1195" s="15">
        <f>'[01_Entry.xlsx]Book'!I1195</f>
        <v>0.0</v>
      </c>
      <c r="K1195" s="15">
        <f>'[01_Entry.xlsx]Book'!K1195</f>
        <v>0.0</v>
      </c>
      <c r="L1195" s="15">
        <f>'[01_Entry.xlsx]Book'!L1195</f>
        <v>0.0</v>
      </c>
      <c r="M1195" s="15">
        <f>'[01_Entry.xlsx]Book'!M1195</f>
        <v>0.0</v>
      </c>
      <c r="P1195" s="56">
        <f>IF($A1195="","",IFERROR(VALUE(MID($A1195,6,2)),""))</f>
        <v/>
      </c>
    </row>
    <row r="1196" spans="7:16">
      <c r="G1196" s="15">
        <f>'[01_Entry.xlsx]Book'!G1196</f>
        <v>0.0</v>
      </c>
      <c r="H1196" s="15">
        <f>'[01_Entry.xlsx]Book'!H1196</f>
        <v>0.0</v>
      </c>
      <c r="I1196" s="15">
        <f>'[01_Entry.xlsx]Book'!I1196</f>
        <v>0.0</v>
      </c>
      <c r="K1196" s="15">
        <f>'[01_Entry.xlsx]Book'!K1196</f>
        <v>0.0</v>
      </c>
      <c r="L1196" s="15">
        <f>'[01_Entry.xlsx]Book'!L1196</f>
        <v>0.0</v>
      </c>
      <c r="M1196" s="15">
        <f>'[01_Entry.xlsx]Book'!M1196</f>
        <v>0.0</v>
      </c>
      <c r="P1196" s="56">
        <f>IF($A1196="","",IFERROR(VALUE(MID($A1196,6,2)),""))</f>
        <v/>
      </c>
    </row>
    <row r="1197" spans="7:16">
      <c r="G1197" s="15">
        <f>'[01_Entry.xlsx]Book'!G1197</f>
        <v>0.0</v>
      </c>
      <c r="H1197" s="15">
        <f>'[01_Entry.xlsx]Book'!H1197</f>
        <v>0.0</v>
      </c>
      <c r="I1197" s="15">
        <f>'[01_Entry.xlsx]Book'!I1197</f>
        <v>0.0</v>
      </c>
      <c r="K1197" s="15">
        <f>'[01_Entry.xlsx]Book'!K1197</f>
        <v>0.0</v>
      </c>
      <c r="L1197" s="15">
        <f>'[01_Entry.xlsx]Book'!L1197</f>
        <v>0.0</v>
      </c>
      <c r="M1197" s="15">
        <f>'[01_Entry.xlsx]Book'!M1197</f>
        <v>0.0</v>
      </c>
      <c r="P1197" s="56">
        <f>IF($A1197="","",IFERROR(VALUE(MID($A1197,6,2)),""))</f>
        <v/>
      </c>
    </row>
    <row r="1198" spans="7:16">
      <c r="G1198" s="15">
        <f>'[01_Entry.xlsx]Book'!G1198</f>
        <v>0.0</v>
      </c>
      <c r="H1198" s="15">
        <f>'[01_Entry.xlsx]Book'!H1198</f>
        <v>0.0</v>
      </c>
      <c r="I1198" s="15">
        <f>'[01_Entry.xlsx]Book'!I1198</f>
        <v>0.0</v>
      </c>
      <c r="K1198" s="15">
        <f>'[01_Entry.xlsx]Book'!K1198</f>
        <v>0.0</v>
      </c>
      <c r="L1198" s="15">
        <f>'[01_Entry.xlsx]Book'!L1198</f>
        <v>0.0</v>
      </c>
      <c r="M1198" s="15">
        <f>'[01_Entry.xlsx]Book'!M1198</f>
        <v>0.0</v>
      </c>
      <c r="P1198" s="56">
        <f>IF($A1198="","",IFERROR(VALUE(MID($A1198,6,2)),""))</f>
        <v/>
      </c>
    </row>
    <row r="1199" spans="7:16">
      <c r="G1199" s="15">
        <f>'[01_Entry.xlsx]Book'!G1199</f>
        <v>0.0</v>
      </c>
      <c r="H1199" s="15">
        <f>'[01_Entry.xlsx]Book'!H1199</f>
        <v>0.0</v>
      </c>
      <c r="I1199" s="15">
        <f>'[01_Entry.xlsx]Book'!I1199</f>
        <v>0.0</v>
      </c>
      <c r="K1199" s="15">
        <f>'[01_Entry.xlsx]Book'!K1199</f>
        <v>0.0</v>
      </c>
      <c r="L1199" s="15">
        <f>'[01_Entry.xlsx]Book'!L1199</f>
        <v>0.0</v>
      </c>
      <c r="M1199" s="15">
        <f>'[01_Entry.xlsx]Book'!M1199</f>
        <v>0.0</v>
      </c>
      <c r="P1199" s="56">
        <f>IF($A1199="","",IFERROR(VALUE(MID($A1199,6,2)),""))</f>
        <v/>
      </c>
    </row>
    <row r="1200" spans="7:16">
      <c r="G1200" s="15">
        <f>'[01_Entry.xlsx]Book'!G1200</f>
        <v>0.0</v>
      </c>
      <c r="H1200" s="15">
        <f>'[01_Entry.xlsx]Book'!H1200</f>
        <v>0.0</v>
      </c>
      <c r="I1200" s="15">
        <f>'[01_Entry.xlsx]Book'!I1200</f>
        <v>0.0</v>
      </c>
      <c r="K1200" s="15">
        <f>'[01_Entry.xlsx]Book'!K1200</f>
        <v>0.0</v>
      </c>
      <c r="L1200" s="15">
        <f>'[01_Entry.xlsx]Book'!L1200</f>
        <v>0.0</v>
      </c>
      <c r="M1200" s="15">
        <f>'[01_Entry.xlsx]Book'!M1200</f>
        <v>0.0</v>
      </c>
      <c r="P1200" s="56">
        <f>IF($A1200="","",IFERROR(VALUE(MID($A1200,6,2)),""))</f>
        <v/>
      </c>
    </row>
    <row r="1201" spans="1:16">
      <c r="G1201" s="15">
        <f>'[01_Entry.xlsx]Book'!G1201</f>
        <v>0.0</v>
      </c>
      <c r="H1201" s="15">
        <f>'[01_Entry.xlsx]Book'!H1201</f>
        <v>0.0</v>
      </c>
      <c r="I1201" s="15">
        <f>'[01_Entry.xlsx]Book'!I1201</f>
        <v>0.0</v>
      </c>
      <c r="K1201" s="15">
        <f>'[01_Entry.xlsx]Book'!K1201</f>
        <v>0.0</v>
      </c>
      <c r="L1201" s="15">
        <f>'[01_Entry.xlsx]Book'!L1201</f>
        <v>0.0</v>
      </c>
      <c r="M1201" s="15">
        <f>'[01_Entry.xlsx]Book'!M1201</f>
        <v>0.0</v>
      </c>
      <c r="P1201" s="56">
        <f>IF($A1201="","",IFERROR(VALUE(MID($A1201,6,2)),""))</f>
        <v/>
      </c>
    </row>
    <row r="1202" spans="1:16">
      <c r="G1202" s="15">
        <f>'[01_Entry.xlsx]Book'!G1202</f>
        <v>0.0</v>
      </c>
      <c r="H1202" s="15">
        <f>'[01_Entry.xlsx]Book'!H1202</f>
        <v>0.0</v>
      </c>
      <c r="I1202" s="15">
        <f>'[01_Entry.xlsx]Book'!I1202</f>
        <v>0.0</v>
      </c>
      <c r="K1202" s="15">
        <f>'[01_Entry.xlsx]Book'!K1202</f>
        <v>0.0</v>
      </c>
      <c r="L1202" s="15">
        <f>'[01_Entry.xlsx]Book'!L1202</f>
        <v>0.0</v>
      </c>
      <c r="M1202" s="15">
        <f>'[01_Entry.xlsx]Book'!M1202</f>
        <v>0.0</v>
      </c>
      <c r="P1202" s="56">
        <f>IF($A1202="","",IFERROR(VALUE(MID($A1202,6,2)),""))</f>
        <v/>
      </c>
    </row>
    <row r="1203" spans="1:16">
      <c r="G1203" s="15">
        <f>'[01_Entry.xlsx]Book'!G1203</f>
        <v>0.0</v>
      </c>
      <c r="H1203" s="15">
        <f>'[01_Entry.xlsx]Book'!H1203</f>
        <v>0.0</v>
      </c>
      <c r="I1203" s="15">
        <f>'[01_Entry.xlsx]Book'!I1203</f>
        <v>0.0</v>
      </c>
      <c r="K1203" s="15">
        <f>'[01_Entry.xlsx]Book'!K1203</f>
        <v>0.0</v>
      </c>
      <c r="L1203" s="15">
        <f>'[01_Entry.xlsx]Book'!L1203</f>
        <v>0.0</v>
      </c>
      <c r="M1203" s="15">
        <f>'[01_Entry.xlsx]Book'!M1203</f>
        <v>0.0</v>
      </c>
      <c r="P1203" s="56">
        <f>IF($A1203="","",IFERROR(VALUE(MID($A1203,6,2)),""))</f>
        <v/>
      </c>
    </row>
    <row r="1204" spans="1:16">
      <c r="G1204" s="15">
        <f>'[01_Entry.xlsx]Book'!G1204</f>
        <v>0.0</v>
      </c>
      <c r="H1204" s="15">
        <f>'[01_Entry.xlsx]Book'!H1204</f>
        <v>0.0</v>
      </c>
      <c r="I1204" s="15">
        <f>'[01_Entry.xlsx]Book'!I1204</f>
        <v>0.0</v>
      </c>
      <c r="K1204" s="15">
        <f>'[01_Entry.xlsx]Book'!K1204</f>
        <v>0.0</v>
      </c>
      <c r="L1204" s="15">
        <f>'[01_Entry.xlsx]Book'!L1204</f>
        <v>0.0</v>
      </c>
      <c r="M1204" s="15">
        <f>'[01_Entry.xlsx]Book'!M1204</f>
        <v>0.0</v>
      </c>
      <c r="P1204" s="56">
        <f>IF($A1204="","",IFERROR(VALUE(MID($A1204,6,2)),""))</f>
        <v/>
      </c>
    </row>
    <row r="1205" spans="1:16">
      <c r="G1205" s="15">
        <f>'[01_Entry.xlsx]Book'!G1205</f>
        <v>0.0</v>
      </c>
      <c r="H1205" s="15">
        <f>'[01_Entry.xlsx]Book'!H1205</f>
        <v>0.0</v>
      </c>
      <c r="I1205" s="15">
        <f>'[01_Entry.xlsx]Book'!I1205</f>
        <v>0.0</v>
      </c>
      <c r="K1205" s="15">
        <f>'[01_Entry.xlsx]Book'!K1205</f>
        <v>0.0</v>
      </c>
      <c r="L1205" s="15">
        <f>'[01_Entry.xlsx]Book'!L1205</f>
        <v>0.0</v>
      </c>
      <c r="M1205" s="15">
        <f>'[01_Entry.xlsx]Book'!M1205</f>
        <v>0.0</v>
      </c>
      <c r="P1205" s="56">
        <f>IF($A1205="","",IFERROR(VALUE(MID($A1205,6,2)),""))</f>
        <v/>
      </c>
    </row>
    <row r="1206" spans="1:16">
      <c r="G1206" s="15">
        <f>'[01_Entry.xlsx]Book'!G1206</f>
        <v>0.0</v>
      </c>
      <c r="H1206" s="15">
        <f>'[01_Entry.xlsx]Book'!H1206</f>
        <v>0.0</v>
      </c>
      <c r="I1206" s="15">
        <f>'[01_Entry.xlsx]Book'!I1206</f>
        <v>0.0</v>
      </c>
      <c r="K1206" s="15">
        <f>'[01_Entry.xlsx]Book'!K1206</f>
        <v>0.0</v>
      </c>
      <c r="L1206" s="15">
        <f>'[01_Entry.xlsx]Book'!L1206</f>
        <v>0.0</v>
      </c>
      <c r="M1206" s="15">
        <f>'[01_Entry.xlsx]Book'!M1206</f>
        <v>0.0</v>
      </c>
      <c r="P1206" s="56">
        <f>IF($A1206="","",IFERROR(VALUE(MID($A1206,6,2)),""))</f>
        <v/>
      </c>
    </row>
    <row r="1207" spans="1:16">
      <c r="G1207" s="15">
        <f>'[01_Entry.xlsx]Book'!G1207</f>
        <v>0.0</v>
      </c>
      <c r="H1207" s="15">
        <f>'[01_Entry.xlsx]Book'!H1207</f>
        <v>0.0</v>
      </c>
      <c r="I1207" s="15">
        <f>'[01_Entry.xlsx]Book'!I1207</f>
        <v>0.0</v>
      </c>
      <c r="K1207" s="15">
        <f>'[01_Entry.xlsx]Book'!K1207</f>
        <v>0.0</v>
      </c>
      <c r="L1207" s="15">
        <f>'[01_Entry.xlsx]Book'!L1207</f>
        <v>0.0</v>
      </c>
      <c r="M1207" s="15">
        <f>'[01_Entry.xlsx]Book'!M1207</f>
        <v>0.0</v>
      </c>
      <c r="P1207" s="56">
        <f>IF($A1207="","",IFERROR(VALUE(MID($A1207,6,2)),""))</f>
        <v/>
      </c>
    </row>
    <row r="1208" spans="1:16">
      <c r="G1208" s="15">
        <f>'[01_Entry.xlsx]Book'!G1208</f>
        <v>0.0</v>
      </c>
      <c r="H1208" s="15">
        <f>'[01_Entry.xlsx]Book'!H1208</f>
        <v>0.0</v>
      </c>
      <c r="I1208" s="15">
        <f>'[01_Entry.xlsx]Book'!I1208</f>
        <v>0.0</v>
      </c>
      <c r="K1208" s="15">
        <f>'[01_Entry.xlsx]Book'!K1208</f>
        <v>0.0</v>
      </c>
      <c r="L1208" s="15">
        <f>'[01_Entry.xlsx]Book'!L1208</f>
        <v>0.0</v>
      </c>
      <c r="M1208" s="15">
        <f>'[01_Entry.xlsx]Book'!M1208</f>
        <v>0.0</v>
      </c>
      <c r="P1208" s="56">
        <f>IF($A1208="","",IFERROR(VALUE(MID($A1208,6,2)),""))</f>
        <v/>
      </c>
    </row>
    <row r="1209" spans="1:16">
      <c r="G1209" s="15">
        <f>'[01_Entry.xlsx]Book'!G1209</f>
        <v>0.0</v>
      </c>
      <c r="H1209" s="15">
        <f>'[01_Entry.xlsx]Book'!H1209</f>
        <v>0.0</v>
      </c>
      <c r="I1209" s="15">
        <f>'[01_Entry.xlsx]Book'!I1209</f>
        <v>0.0</v>
      </c>
      <c r="K1209" s="15">
        <f>'[01_Entry.xlsx]Book'!K1209</f>
        <v>0.0</v>
      </c>
      <c r="L1209" s="15">
        <f>'[01_Entry.xlsx]Book'!L1209</f>
        <v>0.0</v>
      </c>
      <c r="M1209" s="15">
        <f>'[01_Entry.xlsx]Book'!M1209</f>
        <v>0.0</v>
      </c>
      <c r="P1209" s="56">
        <f>IF($A1209="","",IFERROR(VALUE(MID($A1209,6,2)),""))</f>
        <v/>
      </c>
    </row>
    <row r="1210" spans="1:16">
      <c r="A1210" s="16" t="str">
        <f>'[01_Entry.xlsx]Book'!A1210</f>
        <v>1405/07/06</v>
      </c>
      <c r="B1210" s="16" t="str">
        <f>'[01_Entry.xlsx]Book'!B1210</f>
        <v>PV-001</v>
      </c>
      <c r="C1210" s="16" t="str">
        <f>'[01_Entry.xlsx]Book'!C1210</f>
        <v>پرداخت</v>
      </c>
      <c r="D1210" s="16" t="str">
        <f>'[01_Entry.xlsx]Book'!D1210</f>
        <v>C001</v>
      </c>
      <c r="E1210" s="16" t="str">
        <f>'[01_Entry.xlsx]Book'!E1210</f>
        <v>علی‌الحساب خرید</v>
      </c>
      <c r="G1210" s="15">
        <f>'[01_Entry.xlsx]Book'!G1210</f>
        <v>0.0</v>
      </c>
      <c r="H1210" s="15">
        <f>'[01_Entry.xlsx]Book'!H1210</f>
        <v>0.0</v>
      </c>
      <c r="I1210" s="15">
        <f>'[01_Entry.xlsx]Book'!I1210</f>
        <v>0.0</v>
      </c>
      <c r="K1210" s="15">
        <f>'[01_Entry.xlsx]Book'!K1210</f>
        <v>150000000.0</v>
      </c>
      <c r="L1210" s="15">
        <f>'[01_Entry.xlsx]Book'!L1210</f>
        <v>150000000.0</v>
      </c>
      <c r="M1210" s="15">
        <f>'[01_Entry.xlsx]Book'!M1210</f>
        <v>0.0</v>
      </c>
      <c r="N1210" s="16" t="str">
        <f>'[01_Entry.xlsx]Book'!N1210</f>
        <v>پرداخت — نقد</v>
      </c>
      <c r="O1210" s="16" t="str">
        <f>'[01_Entry.xlsx]Book'!O1210</f>
        <v>باغدار</v>
      </c>
      <c r="P1210" s="56">
        <f>IF($A1210="","",IFERROR(VALUE(MID($A1210,6,2)),""))</f>
        <v>7</v>
      </c>
    </row>
    <row r="1211" spans="1:16">
      <c r="A1211" s="16" t="str">
        <f>'[01_Entry.xlsx]Book'!A1211</f>
        <v>1405/07/06</v>
      </c>
      <c r="B1211" s="16" t="str">
        <f>'[01_Entry.xlsx]Book'!B1211</f>
        <v>PV-001</v>
      </c>
      <c r="C1211" s="16" t="str">
        <f>'[01_Entry.xlsx]Book'!C1211</f>
        <v>پرداخت</v>
      </c>
      <c r="D1211" s="16" t="str">
        <f>'[01_Entry.xlsx]Book'!D1211</f>
        <v>X003</v>
      </c>
      <c r="E1211" s="16" t="str">
        <f>'[01_Entry.xlsx]Book'!E1211</f>
        <v>علی‌الحساب خرید</v>
      </c>
      <c r="G1211" s="15">
        <f>'[01_Entry.xlsx]Book'!G1211</f>
        <v>0.0</v>
      </c>
      <c r="H1211" s="15">
        <f>'[01_Entry.xlsx]Book'!H1211</f>
        <v>0.0</v>
      </c>
      <c r="I1211" s="15">
        <f>'[01_Entry.xlsx]Book'!I1211</f>
        <v>0.0</v>
      </c>
      <c r="K1211" s="15">
        <f>'[01_Entry.xlsx]Book'!K1211</f>
        <v>150000000.0</v>
      </c>
      <c r="L1211" s="15">
        <f>'[01_Entry.xlsx]Book'!L1211</f>
        <v>0.0</v>
      </c>
      <c r="M1211" s="15">
        <f>'[01_Entry.xlsx]Book'!M1211</f>
        <v>150000000.0</v>
      </c>
      <c r="N1211" s="16" t="str">
        <f>'[01_Entry.xlsx]Book'!N1211</f>
        <v>پرداخت — نقد</v>
      </c>
      <c r="O1211" s="16" t="str">
        <f>'[01_Entry.xlsx]Book'!O1211</f>
        <v>سایر حساب</v>
      </c>
      <c r="P1211" s="56">
        <f>IF($A1211="","",IFERROR(VALUE(MID($A1211,6,2)),""))</f>
        <v>7</v>
      </c>
    </row>
    <row r="1212" spans="1:16">
      <c r="A1212" s="16" t="str">
        <f>'[01_Entry.xlsx]Book'!A1212</f>
        <v>1405/07/06</v>
      </c>
      <c r="B1212" s="16" t="str">
        <f>'[01_Entry.xlsx]Book'!B1212</f>
        <v>RV-001</v>
      </c>
      <c r="C1212" s="16" t="str">
        <f>'[01_Entry.xlsx]Book'!C1212</f>
        <v>پرداخت</v>
      </c>
      <c r="D1212" s="16" t="str">
        <f>'[01_Entry.xlsx]Book'!D1212</f>
        <v>X011</v>
      </c>
      <c r="E1212" s="16" t="str">
        <f>'[01_Entry.xlsx]Book'!E1212</f>
        <v>تسویه بار</v>
      </c>
      <c r="G1212" s="15">
        <f>'[01_Entry.xlsx]Book'!G1212</f>
        <v>0.0</v>
      </c>
      <c r="H1212" s="15">
        <f>'[01_Entry.xlsx]Book'!H1212</f>
        <v>0.0</v>
      </c>
      <c r="I1212" s="15">
        <f>'[01_Entry.xlsx]Book'!I1212</f>
        <v>0.0</v>
      </c>
      <c r="K1212" s="15">
        <f>'[01_Entry.xlsx]Book'!K1212</f>
        <v>300000000.0</v>
      </c>
      <c r="L1212" s="15">
        <f>'[01_Entry.xlsx]Book'!L1212</f>
        <v>300000000.0</v>
      </c>
      <c r="M1212" s="15">
        <f>'[01_Entry.xlsx]Book'!M1212</f>
        <v>0.0</v>
      </c>
      <c r="N1212" s="16" t="str">
        <f>'[01_Entry.xlsx]Book'!N1212</f>
        <v>دریافت — انتقال بانکی</v>
      </c>
      <c r="O1212" s="16" t="str">
        <f>'[01_Entry.xlsx]Book'!O1212</f>
        <v>سایر حساب</v>
      </c>
      <c r="P1212" s="56">
        <f>IF($A1212="","",IFERROR(VALUE(MID($A1212,6,2)),""))</f>
        <v>7</v>
      </c>
    </row>
    <row r="1213" spans="1:16">
      <c r="A1213" s="16" t="str">
        <f>'[01_Entry.xlsx]Book'!A1213</f>
        <v>1405/07/06</v>
      </c>
      <c r="B1213" s="16" t="str">
        <f>'[01_Entry.xlsx]Book'!B1213</f>
        <v>RV-001</v>
      </c>
      <c r="C1213" s="16" t="str">
        <f>'[01_Entry.xlsx]Book'!C1213</f>
        <v>پرداخت</v>
      </c>
      <c r="D1213" s="16" t="str">
        <f>'[01_Entry.xlsx]Book'!D1213</f>
        <v>SL001</v>
      </c>
      <c r="E1213" s="16" t="str">
        <f>'[01_Entry.xlsx]Book'!E1213</f>
        <v>تسویه بار</v>
      </c>
      <c r="G1213" s="15">
        <f>'[01_Entry.xlsx]Book'!G1213</f>
        <v>0.0</v>
      </c>
      <c r="H1213" s="15">
        <f>'[01_Entry.xlsx]Book'!H1213</f>
        <v>0.0</v>
      </c>
      <c r="I1213" s="15">
        <f>'[01_Entry.xlsx]Book'!I1213</f>
        <v>0.0</v>
      </c>
      <c r="K1213" s="15">
        <f>'[01_Entry.xlsx]Book'!K1213</f>
        <v>300000000.0</v>
      </c>
      <c r="L1213" s="15">
        <f>'[01_Entry.xlsx]Book'!L1213</f>
        <v>0.0</v>
      </c>
      <c r="M1213" s="15">
        <f>'[01_Entry.xlsx]Book'!M1213</f>
        <v>300000000.0</v>
      </c>
      <c r="N1213" s="16" t="str">
        <f>'[01_Entry.xlsx]Book'!N1213</f>
        <v>دریافت — انتقال بانکی</v>
      </c>
      <c r="O1213" s="16" t="str">
        <f>'[01_Entry.xlsx]Book'!O1213</f>
        <v>بارفروش</v>
      </c>
      <c r="P1213" s="56">
        <f>IF($A1213="","",IFERROR(VALUE(MID($A1213,6,2)),""))</f>
        <v>7</v>
      </c>
    </row>
    <row r="1214" spans="1:16">
      <c r="A1214" s="16" t="str">
        <f>'[01_Entry.xlsx]Book'!A1214</f>
        <v>1405/07/07</v>
      </c>
      <c r="B1214" s="16" t="str">
        <f>'[01_Entry.xlsx]Book'!B1214</f>
        <v>PV-002</v>
      </c>
      <c r="C1214" s="16" t="str">
        <f>'[01_Entry.xlsx]Book'!C1214</f>
        <v>پرداخت</v>
      </c>
      <c r="D1214" s="16" t="str">
        <f>'[01_Entry.xlsx]Book'!D1214</f>
        <v>C002</v>
      </c>
      <c r="E1214" s="16" t="str">
        <f>'[01_Entry.xlsx]Book'!E1214</f>
        <v>چک ۳۰ روزه</v>
      </c>
      <c r="G1214" s="15">
        <f>'[01_Entry.xlsx]Book'!G1214</f>
        <v>0.0</v>
      </c>
      <c r="H1214" s="15">
        <f>'[01_Entry.xlsx]Book'!H1214</f>
        <v>0.0</v>
      </c>
      <c r="I1214" s="15">
        <f>'[01_Entry.xlsx]Book'!I1214</f>
        <v>0.0</v>
      </c>
      <c r="K1214" s="15">
        <f>'[01_Entry.xlsx]Book'!K1214</f>
        <v>200000000.0</v>
      </c>
      <c r="L1214" s="15">
        <f>'[01_Entry.xlsx]Book'!L1214</f>
        <v>200000000.0</v>
      </c>
      <c r="M1214" s="15">
        <f>'[01_Entry.xlsx]Book'!M1214</f>
        <v>0.0</v>
      </c>
      <c r="N1214" s="16" t="str">
        <f>'[01_Entry.xlsx]Book'!N1214</f>
        <v>پرداخت — چک</v>
      </c>
      <c r="O1214" s="16" t="str">
        <f>'[01_Entry.xlsx]Book'!O1214</f>
        <v>باغدار</v>
      </c>
      <c r="P1214" s="56">
        <f>IF($A1214="","",IFERROR(VALUE(MID($A1214,6,2)),""))</f>
        <v>7</v>
      </c>
    </row>
    <row r="1215" spans="1:16">
      <c r="A1215" s="16" t="str">
        <f>'[01_Entry.xlsx]Book'!A1215</f>
        <v>1405/07/07</v>
      </c>
      <c r="B1215" s="16" t="str">
        <f>'[01_Entry.xlsx]Book'!B1215</f>
        <v>PV-002</v>
      </c>
      <c r="C1215" s="16" t="str">
        <f>'[01_Entry.xlsx]Book'!C1215</f>
        <v>پرداخت</v>
      </c>
      <c r="D1215" s="16" t="str">
        <f>'[01_Entry.xlsx]Book'!D1215</f>
        <v>X010</v>
      </c>
      <c r="E1215" s="16" t="str">
        <f>'[01_Entry.xlsx]Book'!E1215</f>
        <v>چک ۳۰ روزه</v>
      </c>
      <c r="G1215" s="15">
        <f>'[01_Entry.xlsx]Book'!G1215</f>
        <v>0.0</v>
      </c>
      <c r="H1215" s="15">
        <f>'[01_Entry.xlsx]Book'!H1215</f>
        <v>0.0</v>
      </c>
      <c r="I1215" s="15">
        <f>'[01_Entry.xlsx]Book'!I1215</f>
        <v>0.0</v>
      </c>
      <c r="K1215" s="15">
        <f>'[01_Entry.xlsx]Book'!K1215</f>
        <v>200000000.0</v>
      </c>
      <c r="L1215" s="15">
        <f>'[01_Entry.xlsx]Book'!L1215</f>
        <v>0.0</v>
      </c>
      <c r="M1215" s="15">
        <f>'[01_Entry.xlsx]Book'!M1215</f>
        <v>200000000.0</v>
      </c>
      <c r="N1215" s="16" t="str">
        <f>'[01_Entry.xlsx]Book'!N1215</f>
        <v>پرداخت — چک</v>
      </c>
      <c r="O1215" s="16" t="str">
        <f>'[01_Entry.xlsx]Book'!O1215</f>
        <v>سایر حساب</v>
      </c>
      <c r="P1215" s="56">
        <f>IF($A1215="","",IFERROR(VALUE(MID($A1215,6,2)),""))</f>
        <v>7</v>
      </c>
    </row>
    <row r="1216" spans="1:16">
      <c r="A1216" s="16" t="str">
        <f>'[01_Entry.xlsx]Book'!A1216</f>
        <v>1405/07/08</v>
      </c>
      <c r="B1216" s="16" t="str">
        <f>'[01_Entry.xlsx]Book'!B1216</f>
        <v>PV-003</v>
      </c>
      <c r="C1216" s="16" t="str">
        <f>'[01_Entry.xlsx]Book'!C1216</f>
        <v>پرداخت</v>
      </c>
      <c r="D1216" s="16" t="str">
        <f>'[01_Entry.xlsx]Book'!D1216</f>
        <v>C003</v>
      </c>
      <c r="G1216" s="15">
        <f>'[01_Entry.xlsx]Book'!G1216</f>
        <v>0.0</v>
      </c>
      <c r="H1216" s="15">
        <f>'[01_Entry.xlsx]Book'!H1216</f>
        <v>0.0</v>
      </c>
      <c r="I1216" s="15">
        <f>'[01_Entry.xlsx]Book'!I1216</f>
        <v>0.0</v>
      </c>
      <c r="K1216" s="15">
        <f>'[01_Entry.xlsx]Book'!K1216</f>
        <v>80000000.0</v>
      </c>
      <c r="L1216" s="15">
        <f>'[01_Entry.xlsx]Book'!L1216</f>
        <v>80000000.0</v>
      </c>
      <c r="M1216" s="15">
        <f>'[01_Entry.xlsx]Book'!M1216</f>
        <v>0.0</v>
      </c>
      <c r="N1216" s="16" t="str">
        <f>'[01_Entry.xlsx]Book'!N1216</f>
        <v>پرداخت — انتقال بانکی</v>
      </c>
      <c r="O1216" s="16" t="str">
        <f>'[01_Entry.xlsx]Book'!O1216</f>
        <v>باغدار</v>
      </c>
      <c r="P1216" s="56">
        <f>IF($A1216="","",IFERROR(VALUE(MID($A1216,6,2)),""))</f>
        <v>7</v>
      </c>
    </row>
    <row r="1217" spans="1:16">
      <c r="A1217" s="16" t="str">
        <f>'[01_Entry.xlsx]Book'!A1217</f>
        <v>1405/07/08</v>
      </c>
      <c r="B1217" s="16" t="str">
        <f>'[01_Entry.xlsx]Book'!B1217</f>
        <v>PV-003</v>
      </c>
      <c r="C1217" s="16" t="str">
        <f>'[01_Entry.xlsx]Book'!C1217</f>
        <v>پرداخت</v>
      </c>
      <c r="D1217" s="16" t="str">
        <f>'[01_Entry.xlsx]Book'!D1217</f>
        <v>X011</v>
      </c>
      <c r="G1217" s="15">
        <f>'[01_Entry.xlsx]Book'!G1217</f>
        <v>0.0</v>
      </c>
      <c r="H1217" s="15">
        <f>'[01_Entry.xlsx]Book'!H1217</f>
        <v>0.0</v>
      </c>
      <c r="I1217" s="15">
        <f>'[01_Entry.xlsx]Book'!I1217</f>
        <v>0.0</v>
      </c>
      <c r="K1217" s="15">
        <f>'[01_Entry.xlsx]Book'!K1217</f>
        <v>80000000.0</v>
      </c>
      <c r="L1217" s="15">
        <f>'[01_Entry.xlsx]Book'!L1217</f>
        <v>0.0</v>
      </c>
      <c r="M1217" s="15">
        <f>'[01_Entry.xlsx]Book'!M1217</f>
        <v>80000000.0</v>
      </c>
      <c r="N1217" s="16" t="str">
        <f>'[01_Entry.xlsx]Book'!N1217</f>
        <v>پرداخت — انتقال بانکی</v>
      </c>
      <c r="O1217" s="16" t="str">
        <f>'[01_Entry.xlsx]Book'!O1217</f>
        <v>سایر حساب</v>
      </c>
      <c r="P1217" s="56">
        <f>IF($A1217="","",IFERROR(VALUE(MID($A1217,6,2)),""))</f>
        <v>7</v>
      </c>
    </row>
    <row r="1218" spans="1:16">
      <c r="A1218" s="16" t="str">
        <f>'[01_Entry.xlsx]Book'!A1218</f>
        <v>1405/07/09</v>
      </c>
      <c r="B1218" s="16" t="str">
        <f>'[01_Entry.xlsx]Book'!B1218</f>
        <v>RV-002</v>
      </c>
      <c r="C1218" s="16" t="str">
        <f>'[01_Entry.xlsx]Book'!C1218</f>
        <v>پرداخت</v>
      </c>
      <c r="D1218" s="16" t="str">
        <f>'[01_Entry.xlsx]Book'!D1218</f>
        <v>X011</v>
      </c>
      <c r="G1218" s="15">
        <f>'[01_Entry.xlsx]Book'!G1218</f>
        <v>0.0</v>
      </c>
      <c r="H1218" s="15">
        <f>'[01_Entry.xlsx]Book'!H1218</f>
        <v>0.0</v>
      </c>
      <c r="I1218" s="15">
        <f>'[01_Entry.xlsx]Book'!I1218</f>
        <v>0.0</v>
      </c>
      <c r="K1218" s="15">
        <f>'[01_Entry.xlsx]Book'!K1218</f>
        <v>120000000.0</v>
      </c>
      <c r="L1218" s="15">
        <f>'[01_Entry.xlsx]Book'!L1218</f>
        <v>120000000.0</v>
      </c>
      <c r="M1218" s="15">
        <f>'[01_Entry.xlsx]Book'!M1218</f>
        <v>0.0</v>
      </c>
      <c r="N1218" s="16" t="str">
        <f>'[01_Entry.xlsx]Book'!N1218</f>
        <v>دریافت — کارت/پوز</v>
      </c>
      <c r="O1218" s="16" t="str">
        <f>'[01_Entry.xlsx]Book'!O1218</f>
        <v>سایر حساب</v>
      </c>
      <c r="P1218" s="56">
        <f>IF($A1218="","",IFERROR(VALUE(MID($A1218,6,2)),""))</f>
        <v>7</v>
      </c>
    </row>
    <row r="1219" spans="1:16">
      <c r="A1219" s="16" t="str">
        <f>'[01_Entry.xlsx]Book'!A1219</f>
        <v>1405/07/09</v>
      </c>
      <c r="B1219" s="16" t="str">
        <f>'[01_Entry.xlsx]Book'!B1219</f>
        <v>RV-002</v>
      </c>
      <c r="C1219" s="16" t="str">
        <f>'[01_Entry.xlsx]Book'!C1219</f>
        <v>پرداخت</v>
      </c>
      <c r="D1219" s="16" t="str">
        <f>'[01_Entry.xlsx]Book'!D1219</f>
        <v>SL002</v>
      </c>
      <c r="G1219" s="15">
        <f>'[01_Entry.xlsx]Book'!G1219</f>
        <v>0.0</v>
      </c>
      <c r="H1219" s="15">
        <f>'[01_Entry.xlsx]Book'!H1219</f>
        <v>0.0</v>
      </c>
      <c r="I1219" s="15">
        <f>'[01_Entry.xlsx]Book'!I1219</f>
        <v>0.0</v>
      </c>
      <c r="K1219" s="15">
        <f>'[01_Entry.xlsx]Book'!K1219</f>
        <v>120000000.0</v>
      </c>
      <c r="L1219" s="15">
        <f>'[01_Entry.xlsx]Book'!L1219</f>
        <v>0.0</v>
      </c>
      <c r="M1219" s="15">
        <f>'[01_Entry.xlsx]Book'!M1219</f>
        <v>120000000.0</v>
      </c>
      <c r="N1219" s="16" t="str">
        <f>'[01_Entry.xlsx]Book'!N1219</f>
        <v>دریافت — کارت/پوز</v>
      </c>
      <c r="O1219" s="16" t="str">
        <f>'[01_Entry.xlsx]Book'!O1219</f>
        <v>بارفروش</v>
      </c>
      <c r="P1219" s="56">
        <f>IF($A1219="","",IFERROR(VALUE(MID($A1219,6,2)),""))</f>
        <v>7</v>
      </c>
    </row>
    <row r="1220" spans="1:16">
      <c r="A1220" s="16" t="str">
        <f>'[01_Entry.xlsx]Book'!A1220</f>
        <v>1405/07/10</v>
      </c>
      <c r="B1220" s="16" t="str">
        <f>'[01_Entry.xlsx]Book'!B1220</f>
        <v>PV-004</v>
      </c>
      <c r="C1220" s="16" t="str">
        <f>'[01_Entry.xlsx]Book'!C1220</f>
        <v>پرداخت</v>
      </c>
      <c r="D1220" s="16" t="str">
        <f>'[01_Entry.xlsx]Book'!D1220</f>
        <v>X010</v>
      </c>
      <c r="E1220" s="16" t="str">
        <f>'[01_Entry.xlsx]Book'!E1220</f>
        <v>پاس شدن چک</v>
      </c>
      <c r="G1220" s="15">
        <f>'[01_Entry.xlsx]Book'!G1220</f>
        <v>0.0</v>
      </c>
      <c r="H1220" s="15">
        <f>'[01_Entry.xlsx]Book'!H1220</f>
        <v>0.0</v>
      </c>
      <c r="I1220" s="15">
        <f>'[01_Entry.xlsx]Book'!I1220</f>
        <v>0.0</v>
      </c>
      <c r="K1220" s="15">
        <f>'[01_Entry.xlsx]Book'!K1220</f>
        <v>200000000.0</v>
      </c>
      <c r="L1220" s="15">
        <f>'[01_Entry.xlsx]Book'!L1220</f>
        <v>200000000.0</v>
      </c>
      <c r="M1220" s="15">
        <f>'[01_Entry.xlsx]Book'!M1220</f>
        <v>0.0</v>
      </c>
      <c r="N1220" s="16" t="str">
        <f>'[01_Entry.xlsx]Book'!N1220</f>
        <v>پرداخت — پاس چک</v>
      </c>
      <c r="O1220" s="16" t="str">
        <f>'[01_Entry.xlsx]Book'!O1220</f>
        <v>سایر حساب</v>
      </c>
      <c r="P1220" s="56">
        <f>IF($A1220="","",IFERROR(VALUE(MID($A1220,6,2)),""))</f>
        <v>7</v>
      </c>
    </row>
    <row r="1221" spans="1:16">
      <c r="A1221" s="16" t="str">
        <f>'[01_Entry.xlsx]Book'!A1221</f>
        <v>1405/07/10</v>
      </c>
      <c r="B1221" s="16" t="str">
        <f>'[01_Entry.xlsx]Book'!B1221</f>
        <v>PV-004</v>
      </c>
      <c r="C1221" s="16" t="str">
        <f>'[01_Entry.xlsx]Book'!C1221</f>
        <v>پرداخت</v>
      </c>
      <c r="D1221" s="16" t="str">
        <f>'[01_Entry.xlsx]Book'!D1221</f>
        <v>X011</v>
      </c>
      <c r="E1221" s="16" t="str">
        <f>'[01_Entry.xlsx]Book'!E1221</f>
        <v>پاس شدن چک</v>
      </c>
      <c r="G1221" s="15">
        <f>'[01_Entry.xlsx]Book'!G1221</f>
        <v>0.0</v>
      </c>
      <c r="H1221" s="15">
        <f>'[01_Entry.xlsx]Book'!H1221</f>
        <v>0.0</v>
      </c>
      <c r="I1221" s="15">
        <f>'[01_Entry.xlsx]Book'!I1221</f>
        <v>0.0</v>
      </c>
      <c r="K1221" s="15">
        <f>'[01_Entry.xlsx]Book'!K1221</f>
        <v>200000000.0</v>
      </c>
      <c r="L1221" s="15">
        <f>'[01_Entry.xlsx]Book'!L1221</f>
        <v>0.0</v>
      </c>
      <c r="M1221" s="15">
        <f>'[01_Entry.xlsx]Book'!M1221</f>
        <v>200000000.0</v>
      </c>
      <c r="N1221" s="16" t="str">
        <f>'[01_Entry.xlsx]Book'!N1221</f>
        <v>پرداخت — پاس چک</v>
      </c>
      <c r="O1221" s="16" t="str">
        <f>'[01_Entry.xlsx]Book'!O1221</f>
        <v>سایر حساب</v>
      </c>
      <c r="P1221" s="56">
        <f>IF($A1221="","",IFERROR(VALUE(MID($A1221,6,2)),""))</f>
        <v>7</v>
      </c>
    </row>
    <row r="1222" spans="1:16">
      <c r="A1222" s="16" t="str">
        <f>'[01_Entry.xlsx]Book'!A1222</f>
        <v>1405/07/10</v>
      </c>
      <c r="B1222" s="16" t="str">
        <f>'[01_Entry.xlsx]Book'!B1222</f>
        <v>PV-005</v>
      </c>
      <c r="C1222" s="16" t="str">
        <f>'[01_Entry.xlsx]Book'!C1222</f>
        <v>پرداخت</v>
      </c>
      <c r="D1222" s="16" t="str">
        <f>'[01_Entry.xlsx]Book'!D1222</f>
        <v>C006</v>
      </c>
      <c r="G1222" s="15">
        <f>'[01_Entry.xlsx]Book'!G1222</f>
        <v>0.0</v>
      </c>
      <c r="H1222" s="15">
        <f>'[01_Entry.xlsx]Book'!H1222</f>
        <v>0.0</v>
      </c>
      <c r="I1222" s="15">
        <f>'[01_Entry.xlsx]Book'!I1222</f>
        <v>0.0</v>
      </c>
      <c r="K1222" s="15">
        <f>'[01_Entry.xlsx]Book'!K1222</f>
        <v>30000000.0</v>
      </c>
      <c r="L1222" s="15">
        <f>'[01_Entry.xlsx]Book'!L1222</f>
        <v>30000000.0</v>
      </c>
      <c r="M1222" s="15">
        <f>'[01_Entry.xlsx]Book'!M1222</f>
        <v>0.0</v>
      </c>
      <c r="N1222" s="16" t="str">
        <f>'[01_Entry.xlsx]Book'!N1222</f>
        <v>پرداخت — نقد</v>
      </c>
      <c r="O1222" s="16" t="str">
        <f>'[01_Entry.xlsx]Book'!O1222</f>
        <v>باغدار</v>
      </c>
      <c r="P1222" s="56">
        <f>IF($A1222="","",IFERROR(VALUE(MID($A1222,6,2)),""))</f>
        <v>7</v>
      </c>
    </row>
    <row r="1223" spans="1:16">
      <c r="A1223" s="16" t="str">
        <f>'[01_Entry.xlsx]Book'!A1223</f>
        <v>1405/07/10</v>
      </c>
      <c r="B1223" s="16" t="str">
        <f>'[01_Entry.xlsx]Book'!B1223</f>
        <v>PV-005</v>
      </c>
      <c r="C1223" s="16" t="str">
        <f>'[01_Entry.xlsx]Book'!C1223</f>
        <v>پرداخت</v>
      </c>
      <c r="D1223" s="16" t="str">
        <f>'[01_Entry.xlsx]Book'!D1223</f>
        <v>X003</v>
      </c>
      <c r="G1223" s="15">
        <f>'[01_Entry.xlsx]Book'!G1223</f>
        <v>0.0</v>
      </c>
      <c r="H1223" s="15">
        <f>'[01_Entry.xlsx]Book'!H1223</f>
        <v>0.0</v>
      </c>
      <c r="I1223" s="15">
        <f>'[01_Entry.xlsx]Book'!I1223</f>
        <v>0.0</v>
      </c>
      <c r="K1223" s="15">
        <f>'[01_Entry.xlsx]Book'!K1223</f>
        <v>30000000.0</v>
      </c>
      <c r="L1223" s="15">
        <f>'[01_Entry.xlsx]Book'!L1223</f>
        <v>0.0</v>
      </c>
      <c r="M1223" s="15">
        <f>'[01_Entry.xlsx]Book'!M1223</f>
        <v>30000000.0</v>
      </c>
      <c r="N1223" s="16" t="str">
        <f>'[01_Entry.xlsx]Book'!N1223</f>
        <v>پرداخت — نقد</v>
      </c>
      <c r="O1223" s="16" t="str">
        <f>'[01_Entry.xlsx]Book'!O1223</f>
        <v>سایر حساب</v>
      </c>
      <c r="P1223" s="56">
        <f>IF($A1223="","",IFERROR(VALUE(MID($A1223,6,2)),""))</f>
        <v>7</v>
      </c>
    </row>
    <row r="1224" spans="1:16">
      <c r="A1224" s="16" t="str">
        <f>'[01_Entry.xlsx]Book'!A1224</f>
        <v>1405/07/11</v>
      </c>
      <c r="B1224" s="16" t="str">
        <f>'[01_Entry.xlsx]Book'!B1224</f>
        <v>RV-003</v>
      </c>
      <c r="C1224" s="16" t="str">
        <f>'[01_Entry.xlsx]Book'!C1224</f>
        <v>پرداخت</v>
      </c>
      <c r="D1224" s="16" t="str">
        <f>'[01_Entry.xlsx]Book'!D1224</f>
        <v>X011</v>
      </c>
      <c r="G1224" s="15">
        <f>'[01_Entry.xlsx]Book'!G1224</f>
        <v>0.0</v>
      </c>
      <c r="H1224" s="15">
        <f>'[01_Entry.xlsx]Book'!H1224</f>
        <v>0.0</v>
      </c>
      <c r="I1224" s="15">
        <f>'[01_Entry.xlsx]Book'!I1224</f>
        <v>0.0</v>
      </c>
      <c r="K1224" s="15">
        <f>'[01_Entry.xlsx]Book'!K1224</f>
        <v>100000000.0</v>
      </c>
      <c r="L1224" s="15">
        <f>'[01_Entry.xlsx]Book'!L1224</f>
        <v>100000000.0</v>
      </c>
      <c r="M1224" s="15">
        <f>'[01_Entry.xlsx]Book'!M1224</f>
        <v>0.0</v>
      </c>
      <c r="N1224" s="16" t="str">
        <f>'[01_Entry.xlsx]Book'!N1224</f>
        <v>دریافت — انتقال بانکی</v>
      </c>
      <c r="O1224" s="16" t="str">
        <f>'[01_Entry.xlsx]Book'!O1224</f>
        <v>سایر حساب</v>
      </c>
      <c r="P1224" s="56">
        <f>IF($A1224="","",IFERROR(VALUE(MID($A1224,6,2)),""))</f>
        <v>7</v>
      </c>
    </row>
    <row r="1225" spans="1:16">
      <c r="A1225" s="16" t="str">
        <f>'[01_Entry.xlsx]Book'!A1225</f>
        <v>1405/07/11</v>
      </c>
      <c r="B1225" s="16" t="str">
        <f>'[01_Entry.xlsx]Book'!B1225</f>
        <v>RV-003</v>
      </c>
      <c r="C1225" s="16" t="str">
        <f>'[01_Entry.xlsx]Book'!C1225</f>
        <v>پرداخت</v>
      </c>
      <c r="D1225" s="16" t="str">
        <f>'[01_Entry.xlsx]Book'!D1225</f>
        <v>SL001</v>
      </c>
      <c r="G1225" s="15">
        <f>'[01_Entry.xlsx]Book'!G1225</f>
        <v>0.0</v>
      </c>
      <c r="H1225" s="15">
        <f>'[01_Entry.xlsx]Book'!H1225</f>
        <v>0.0</v>
      </c>
      <c r="I1225" s="15">
        <f>'[01_Entry.xlsx]Book'!I1225</f>
        <v>0.0</v>
      </c>
      <c r="K1225" s="15">
        <f>'[01_Entry.xlsx]Book'!K1225</f>
        <v>100000000.0</v>
      </c>
      <c r="L1225" s="15">
        <f>'[01_Entry.xlsx]Book'!L1225</f>
        <v>0.0</v>
      </c>
      <c r="M1225" s="15">
        <f>'[01_Entry.xlsx]Book'!M1225</f>
        <v>100000000.0</v>
      </c>
      <c r="N1225" s="16" t="str">
        <f>'[01_Entry.xlsx]Book'!N1225</f>
        <v>دریافت — انتقال بانکی</v>
      </c>
      <c r="O1225" s="16" t="str">
        <f>'[01_Entry.xlsx]Book'!O1225</f>
        <v>بارفروش</v>
      </c>
      <c r="P1225" s="56">
        <f>IF($A1225="","",IFERROR(VALUE(MID($A1225,6,2)),""))</f>
        <v>7</v>
      </c>
    </row>
    <row r="1226" spans="1:16">
      <c r="A1226" s="16" t="str">
        <f>'[01_Entry.xlsx]Book'!A1226</f>
        <v>1405/07/11</v>
      </c>
      <c r="B1226" s="16" t="str">
        <f>'[01_Entry.xlsx]Book'!B1226</f>
        <v>PV-006</v>
      </c>
      <c r="C1226" s="16" t="str">
        <f>'[01_Entry.xlsx]Book'!C1226</f>
        <v>پرداخت</v>
      </c>
      <c r="D1226" s="16" t="str">
        <f>'[01_Entry.xlsx]Book'!D1226</f>
        <v>X001</v>
      </c>
      <c r="E1226" s="16" t="str">
        <f>'[01_Entry.xlsx]Book'!E1226</f>
        <v>تسویه انعام مصطفی</v>
      </c>
      <c r="G1226" s="15">
        <f>'[01_Entry.xlsx]Book'!G1226</f>
        <v>0.0</v>
      </c>
      <c r="H1226" s="15">
        <f>'[01_Entry.xlsx]Book'!H1226</f>
        <v>0.0</v>
      </c>
      <c r="I1226" s="15">
        <f>'[01_Entry.xlsx]Book'!I1226</f>
        <v>0.0</v>
      </c>
      <c r="K1226" s="15">
        <f>'[01_Entry.xlsx]Book'!K1226</f>
        <v>500000.0</v>
      </c>
      <c r="L1226" s="15">
        <f>'[01_Entry.xlsx]Book'!L1226</f>
        <v>500000.0</v>
      </c>
      <c r="M1226" s="15">
        <f>'[01_Entry.xlsx]Book'!M1226</f>
        <v>0.0</v>
      </c>
      <c r="N1226" s="16" t="str">
        <f>'[01_Entry.xlsx]Book'!N1226</f>
        <v>پرداخت — نقد</v>
      </c>
      <c r="O1226" s="16" t="str">
        <f>'[01_Entry.xlsx]Book'!O1226</f>
        <v>سایر حساب</v>
      </c>
      <c r="P1226" s="56">
        <f>IF($A1226="","",IFERROR(VALUE(MID($A1226,6,2)),""))</f>
        <v>7</v>
      </c>
    </row>
    <row r="1227" spans="1:16">
      <c r="A1227" s="16" t="str">
        <f>'[01_Entry.xlsx]Book'!A1227</f>
        <v>1405/07/11</v>
      </c>
      <c r="B1227" s="16" t="str">
        <f>'[01_Entry.xlsx]Book'!B1227</f>
        <v>PV-006</v>
      </c>
      <c r="C1227" s="16" t="str">
        <f>'[01_Entry.xlsx]Book'!C1227</f>
        <v>پرداخت</v>
      </c>
      <c r="D1227" s="16" t="str">
        <f>'[01_Entry.xlsx]Book'!D1227</f>
        <v>X003</v>
      </c>
      <c r="E1227" s="16" t="str">
        <f>'[01_Entry.xlsx]Book'!E1227</f>
        <v>تسویه انعام مصطفی</v>
      </c>
      <c r="G1227" s="15">
        <f>'[01_Entry.xlsx]Book'!G1227</f>
        <v>0.0</v>
      </c>
      <c r="H1227" s="15">
        <f>'[01_Entry.xlsx]Book'!H1227</f>
        <v>0.0</v>
      </c>
      <c r="I1227" s="15">
        <f>'[01_Entry.xlsx]Book'!I1227</f>
        <v>0.0</v>
      </c>
      <c r="K1227" s="15">
        <f>'[01_Entry.xlsx]Book'!K1227</f>
        <v>500000.0</v>
      </c>
      <c r="L1227" s="15">
        <f>'[01_Entry.xlsx]Book'!L1227</f>
        <v>0.0</v>
      </c>
      <c r="M1227" s="15">
        <f>'[01_Entry.xlsx]Book'!M1227</f>
        <v>500000.0</v>
      </c>
      <c r="N1227" s="16" t="str">
        <f>'[01_Entry.xlsx]Book'!N1227</f>
        <v>پرداخت — نقد</v>
      </c>
      <c r="O1227" s="16" t="str">
        <f>'[01_Entry.xlsx]Book'!O1227</f>
        <v>سایر حساب</v>
      </c>
      <c r="P1227" s="56">
        <f>IF($A1227="","",IFERROR(VALUE(MID($A1227,6,2)),""))</f>
        <v>7</v>
      </c>
    </row>
    <row r="1228" spans="1:16">
      <c r="G1228" s="15">
        <f>'[01_Entry.xlsx]Book'!G1228</f>
        <v>0.0</v>
      </c>
      <c r="H1228" s="15">
        <f>'[01_Entry.xlsx]Book'!H1228</f>
        <v>0.0</v>
      </c>
      <c r="I1228" s="15">
        <f>'[01_Entry.xlsx]Book'!I1228</f>
        <v>0.0</v>
      </c>
      <c r="K1228" s="15">
        <f>'[01_Entry.xlsx]Book'!K1228</f>
        <v>0.0</v>
      </c>
      <c r="L1228" s="15">
        <f>'[01_Entry.xlsx]Book'!L1228</f>
        <v>0.0</v>
      </c>
      <c r="M1228" s="15">
        <f>'[01_Entry.xlsx]Book'!M1228</f>
        <v>0.0</v>
      </c>
      <c r="P1228" s="56">
        <f>IF($A1228="","",IFERROR(VALUE(MID($A1228,6,2)),""))</f>
        <v/>
      </c>
    </row>
    <row r="1229" spans="1:16">
      <c r="G1229" s="15">
        <f>'[01_Entry.xlsx]Book'!G1229</f>
        <v>0.0</v>
      </c>
      <c r="H1229" s="15">
        <f>'[01_Entry.xlsx]Book'!H1229</f>
        <v>0.0</v>
      </c>
      <c r="I1229" s="15">
        <f>'[01_Entry.xlsx]Book'!I1229</f>
        <v>0.0</v>
      </c>
      <c r="K1229" s="15">
        <f>'[01_Entry.xlsx]Book'!K1229</f>
        <v>0.0</v>
      </c>
      <c r="L1229" s="15">
        <f>'[01_Entry.xlsx]Book'!L1229</f>
        <v>0.0</v>
      </c>
      <c r="M1229" s="15">
        <f>'[01_Entry.xlsx]Book'!M1229</f>
        <v>0.0</v>
      </c>
      <c r="P1229" s="56">
        <f>IF($A1229="","",IFERROR(VALUE(MID($A1229,6,2)),""))</f>
        <v/>
      </c>
    </row>
    <row r="1230" spans="1:16">
      <c r="A1230" s="16" t="str">
        <f>'[01_Entry.xlsx]Book'!A1230</f>
        <v>1405/07/07</v>
      </c>
      <c r="B1230" s="16" t="str">
        <f>'[01_Entry.xlsx]Book'!B1230</f>
        <v>PV-008</v>
      </c>
      <c r="C1230" s="16" t="str">
        <f>'[01_Entry.xlsx]Book'!C1230</f>
        <v>پرداخت</v>
      </c>
      <c r="D1230" s="16" t="str">
        <f>'[01_Entry.xlsx]Book'!D1230</f>
        <v>C004</v>
      </c>
      <c r="E1230" s="16" t="str">
        <f>'[01_Entry.xlsx]Book'!E1230</f>
        <v>در جریان</v>
      </c>
      <c r="G1230" s="15">
        <f>'[01_Entry.xlsx]Book'!G1230</f>
        <v>0.0</v>
      </c>
      <c r="H1230" s="15">
        <f>'[01_Entry.xlsx]Book'!H1230</f>
        <v>0.0</v>
      </c>
      <c r="I1230" s="15">
        <f>'[01_Entry.xlsx]Book'!I1230</f>
        <v>0.0</v>
      </c>
      <c r="K1230" s="15">
        <f>'[01_Entry.xlsx]Book'!K1230</f>
        <v>60000000.0</v>
      </c>
      <c r="L1230" s="15">
        <f>'[01_Entry.xlsx]Book'!L1230</f>
        <v>60000000.0</v>
      </c>
      <c r="M1230" s="15">
        <f>'[01_Entry.xlsx]Book'!M1230</f>
        <v>0.0</v>
      </c>
      <c r="N1230" s="16" t="str">
        <f>'[01_Entry.xlsx]Book'!N1230</f>
        <v>پرداخت — چک</v>
      </c>
      <c r="O1230" s="16" t="str">
        <f>'[01_Entry.xlsx]Book'!O1230</f>
        <v>باغدار</v>
      </c>
      <c r="P1230" s="56">
        <f>IF($A1230="","",IFERROR(VALUE(MID($A1230,6,2)),""))</f>
        <v>7</v>
      </c>
    </row>
    <row r="1231" spans="1:16">
      <c r="A1231" s="16" t="str">
        <f>'[01_Entry.xlsx]Book'!A1231</f>
        <v>1405/07/07</v>
      </c>
      <c r="B1231" s="16" t="str">
        <f>'[01_Entry.xlsx]Book'!B1231</f>
        <v>PV-008</v>
      </c>
      <c r="C1231" s="16" t="str">
        <f>'[01_Entry.xlsx]Book'!C1231</f>
        <v>پرداخت</v>
      </c>
      <c r="D1231" s="16" t="str">
        <f>'[01_Entry.xlsx]Book'!D1231</f>
        <v>X010</v>
      </c>
      <c r="E1231" s="16" t="str">
        <f>'[01_Entry.xlsx]Book'!E1231</f>
        <v>در جریان</v>
      </c>
      <c r="G1231" s="15">
        <f>'[01_Entry.xlsx]Book'!G1231</f>
        <v>0.0</v>
      </c>
      <c r="H1231" s="15">
        <f>'[01_Entry.xlsx]Book'!H1231</f>
        <v>0.0</v>
      </c>
      <c r="I1231" s="15">
        <f>'[01_Entry.xlsx]Book'!I1231</f>
        <v>0.0</v>
      </c>
      <c r="K1231" s="15">
        <f>'[01_Entry.xlsx]Book'!K1231</f>
        <v>60000000.0</v>
      </c>
      <c r="L1231" s="15">
        <f>'[01_Entry.xlsx]Book'!L1231</f>
        <v>0.0</v>
      </c>
      <c r="M1231" s="15">
        <f>'[01_Entry.xlsx]Book'!M1231</f>
        <v>60000000.0</v>
      </c>
      <c r="N1231" s="16" t="str">
        <f>'[01_Entry.xlsx]Book'!N1231</f>
        <v>پرداخت — چک</v>
      </c>
      <c r="O1231" s="16" t="str">
        <f>'[01_Entry.xlsx]Book'!O1231</f>
        <v>سایر حساب</v>
      </c>
      <c r="P1231" s="56">
        <f>IF($A1231="","",IFERROR(VALUE(MID($A1231,6,2)),""))</f>
        <v>7</v>
      </c>
    </row>
    <row r="1232" spans="1:16">
      <c r="A1232" s="16" t="str">
        <f>'[01_Entry.xlsx]Book'!A1232</f>
        <v>1405/07/12</v>
      </c>
      <c r="B1232" s="16" t="str">
        <f>'[01_Entry.xlsx]Book'!B1232</f>
        <v>RV-004</v>
      </c>
      <c r="C1232" s="16" t="str">
        <f>'[01_Entry.xlsx]Book'!C1232</f>
        <v>پرداخت</v>
      </c>
      <c r="D1232" s="16" t="str">
        <f>'[01_Entry.xlsx]Book'!D1232</f>
        <v>X011</v>
      </c>
      <c r="G1232" s="15">
        <f>'[01_Entry.xlsx]Book'!G1232</f>
        <v>0.0</v>
      </c>
      <c r="H1232" s="15">
        <f>'[01_Entry.xlsx]Book'!H1232</f>
        <v>0.0</v>
      </c>
      <c r="I1232" s="15">
        <f>'[01_Entry.xlsx]Book'!I1232</f>
        <v>0.0</v>
      </c>
      <c r="K1232" s="15">
        <f>'[01_Entry.xlsx]Book'!K1232</f>
        <v>50000000.0</v>
      </c>
      <c r="L1232" s="15">
        <f>'[01_Entry.xlsx]Book'!L1232</f>
        <v>50000000.0</v>
      </c>
      <c r="M1232" s="15">
        <f>'[01_Entry.xlsx]Book'!M1232</f>
        <v>0.0</v>
      </c>
      <c r="N1232" s="16" t="str">
        <f>'[01_Entry.xlsx]Book'!N1232</f>
        <v>دریافت — انتقال بانکی</v>
      </c>
      <c r="O1232" s="16" t="str">
        <f>'[01_Entry.xlsx]Book'!O1232</f>
        <v>سایر حساب</v>
      </c>
      <c r="P1232" s="56">
        <f>IF($A1232="","",IFERROR(VALUE(MID($A1232,6,2)),""))</f>
        <v>7</v>
      </c>
    </row>
    <row r="1233" spans="1:16">
      <c r="A1233" s="16" t="str">
        <f>'[01_Entry.xlsx]Book'!A1233</f>
        <v>1405/07/12</v>
      </c>
      <c r="B1233" s="16" t="str">
        <f>'[01_Entry.xlsx]Book'!B1233</f>
        <v>RV-004</v>
      </c>
      <c r="C1233" s="16" t="str">
        <f>'[01_Entry.xlsx]Book'!C1233</f>
        <v>پرداخت</v>
      </c>
      <c r="D1233" s="16" t="str">
        <f>'[01_Entry.xlsx]Book'!D1233</f>
        <v>SL002</v>
      </c>
      <c r="G1233" s="15">
        <f>'[01_Entry.xlsx]Book'!G1233</f>
        <v>0.0</v>
      </c>
      <c r="H1233" s="15">
        <f>'[01_Entry.xlsx]Book'!H1233</f>
        <v>0.0</v>
      </c>
      <c r="I1233" s="15">
        <f>'[01_Entry.xlsx]Book'!I1233</f>
        <v>0.0</v>
      </c>
      <c r="K1233" s="15">
        <f>'[01_Entry.xlsx]Book'!K1233</f>
        <v>50000000.0</v>
      </c>
      <c r="L1233" s="15">
        <f>'[01_Entry.xlsx]Book'!L1233</f>
        <v>0.0</v>
      </c>
      <c r="M1233" s="15">
        <f>'[01_Entry.xlsx]Book'!M1233</f>
        <v>50000000.0</v>
      </c>
      <c r="N1233" s="16" t="str">
        <f>'[01_Entry.xlsx]Book'!N1233</f>
        <v>دریافت — انتقال بانکی</v>
      </c>
      <c r="O1233" s="16" t="str">
        <f>'[01_Entry.xlsx]Book'!O1233</f>
        <v>بارفروش</v>
      </c>
      <c r="P1233" s="56">
        <f>IF($A1233="","",IFERROR(VALUE(MID($A1233,6,2)),""))</f>
        <v>7</v>
      </c>
    </row>
    <row r="1234" spans="1:16">
      <c r="G1234" s="15">
        <f>'[01_Entry.xlsx]Book'!G1234</f>
        <v>0.0</v>
      </c>
      <c r="H1234" s="15">
        <f>'[01_Entry.xlsx]Book'!H1234</f>
        <v>0.0</v>
      </c>
      <c r="I1234" s="15">
        <f>'[01_Entry.xlsx]Book'!I1234</f>
        <v>0.0</v>
      </c>
      <c r="K1234" s="15">
        <f>'[01_Entry.xlsx]Book'!K1234</f>
        <v>0.0</v>
      </c>
      <c r="L1234" s="15">
        <f>'[01_Entry.xlsx]Book'!L1234</f>
        <v>0.0</v>
      </c>
      <c r="M1234" s="15">
        <f>'[01_Entry.xlsx]Book'!M1234</f>
        <v>0.0</v>
      </c>
      <c r="P1234" s="56">
        <f>IF($A1234="","",IFERROR(VALUE(MID($A1234,6,2)),""))</f>
        <v/>
      </c>
    </row>
    <row r="1235" spans="1:16">
      <c r="G1235" s="15">
        <f>'[01_Entry.xlsx]Book'!G1235</f>
        <v>0.0</v>
      </c>
      <c r="H1235" s="15">
        <f>'[01_Entry.xlsx]Book'!H1235</f>
        <v>0.0</v>
      </c>
      <c r="I1235" s="15">
        <f>'[01_Entry.xlsx]Book'!I1235</f>
        <v>0.0</v>
      </c>
      <c r="K1235" s="15">
        <f>'[01_Entry.xlsx]Book'!K1235</f>
        <v>0.0</v>
      </c>
      <c r="L1235" s="15">
        <f>'[01_Entry.xlsx]Book'!L1235</f>
        <v>0.0</v>
      </c>
      <c r="M1235" s="15">
        <f>'[01_Entry.xlsx]Book'!M1235</f>
        <v>0.0</v>
      </c>
      <c r="P1235" s="56">
        <f>IF($A1235="","",IFERROR(VALUE(MID($A1235,6,2)),""))</f>
        <v/>
      </c>
    </row>
    <row r="1236" spans="1:16">
      <c r="G1236" s="15">
        <f>'[01_Entry.xlsx]Book'!G1236</f>
        <v>0.0</v>
      </c>
      <c r="H1236" s="15">
        <f>'[01_Entry.xlsx]Book'!H1236</f>
        <v>0.0</v>
      </c>
      <c r="I1236" s="15">
        <f>'[01_Entry.xlsx]Book'!I1236</f>
        <v>0.0</v>
      </c>
      <c r="K1236" s="15">
        <f>'[01_Entry.xlsx]Book'!K1236</f>
        <v>0.0</v>
      </c>
      <c r="L1236" s="15">
        <f>'[01_Entry.xlsx]Book'!L1236</f>
        <v>0.0</v>
      </c>
      <c r="M1236" s="15">
        <f>'[01_Entry.xlsx]Book'!M1236</f>
        <v>0.0</v>
      </c>
      <c r="P1236" s="56">
        <f>IF($A1236="","",IFERROR(VALUE(MID($A1236,6,2)),""))</f>
        <v/>
      </c>
    </row>
    <row r="1237" spans="1:16">
      <c r="G1237" s="15">
        <f>'[01_Entry.xlsx]Book'!G1237</f>
        <v>0.0</v>
      </c>
      <c r="H1237" s="15">
        <f>'[01_Entry.xlsx]Book'!H1237</f>
        <v>0.0</v>
      </c>
      <c r="I1237" s="15">
        <f>'[01_Entry.xlsx]Book'!I1237</f>
        <v>0.0</v>
      </c>
      <c r="K1237" s="15">
        <f>'[01_Entry.xlsx]Book'!K1237</f>
        <v>0.0</v>
      </c>
      <c r="L1237" s="15">
        <f>'[01_Entry.xlsx]Book'!L1237</f>
        <v>0.0</v>
      </c>
      <c r="M1237" s="15">
        <f>'[01_Entry.xlsx]Book'!M1237</f>
        <v>0.0</v>
      </c>
      <c r="P1237" s="56">
        <f>IF($A1237="","",IFERROR(VALUE(MID($A1237,6,2)),""))</f>
        <v/>
      </c>
    </row>
    <row r="1238" spans="1:16">
      <c r="G1238" s="15">
        <f>'[01_Entry.xlsx]Book'!G1238</f>
        <v>0.0</v>
      </c>
      <c r="H1238" s="15">
        <f>'[01_Entry.xlsx]Book'!H1238</f>
        <v>0.0</v>
      </c>
      <c r="I1238" s="15">
        <f>'[01_Entry.xlsx]Book'!I1238</f>
        <v>0.0</v>
      </c>
      <c r="K1238" s="15">
        <f>'[01_Entry.xlsx]Book'!K1238</f>
        <v>0.0</v>
      </c>
      <c r="L1238" s="15">
        <f>'[01_Entry.xlsx]Book'!L1238</f>
        <v>0.0</v>
      </c>
      <c r="M1238" s="15">
        <f>'[01_Entry.xlsx]Book'!M1238</f>
        <v>0.0</v>
      </c>
      <c r="P1238" s="56">
        <f>IF($A1238="","",IFERROR(VALUE(MID($A1238,6,2)),""))</f>
        <v/>
      </c>
    </row>
    <row r="1239" spans="1:16">
      <c r="G1239" s="15">
        <f>'[01_Entry.xlsx]Book'!G1239</f>
        <v>0.0</v>
      </c>
      <c r="H1239" s="15">
        <f>'[01_Entry.xlsx]Book'!H1239</f>
        <v>0.0</v>
      </c>
      <c r="I1239" s="15">
        <f>'[01_Entry.xlsx]Book'!I1239</f>
        <v>0.0</v>
      </c>
      <c r="K1239" s="15">
        <f>'[01_Entry.xlsx]Book'!K1239</f>
        <v>0.0</v>
      </c>
      <c r="L1239" s="15">
        <f>'[01_Entry.xlsx]Book'!L1239</f>
        <v>0.0</v>
      </c>
      <c r="M1239" s="15">
        <f>'[01_Entry.xlsx]Book'!M1239</f>
        <v>0.0</v>
      </c>
      <c r="P1239" s="56">
        <f>IF($A1239="","",IFERROR(VALUE(MID($A1239,6,2)),""))</f>
        <v/>
      </c>
    </row>
    <row r="1240" spans="1:16">
      <c r="G1240" s="15">
        <f>'[01_Entry.xlsx]Book'!G1240</f>
        <v>0.0</v>
      </c>
      <c r="H1240" s="15">
        <f>'[01_Entry.xlsx]Book'!H1240</f>
        <v>0.0</v>
      </c>
      <c r="I1240" s="15">
        <f>'[01_Entry.xlsx]Book'!I1240</f>
        <v>0.0</v>
      </c>
      <c r="K1240" s="15">
        <f>'[01_Entry.xlsx]Book'!K1240</f>
        <v>0.0</v>
      </c>
      <c r="L1240" s="15">
        <f>'[01_Entry.xlsx]Book'!L1240</f>
        <v>0.0</v>
      </c>
      <c r="M1240" s="15">
        <f>'[01_Entry.xlsx]Book'!M1240</f>
        <v>0.0</v>
      </c>
      <c r="P1240" s="56">
        <f>IF($A1240="","",IFERROR(VALUE(MID($A1240,6,2)),""))</f>
        <v/>
      </c>
    </row>
    <row r="1241" spans="1:16">
      <c r="G1241" s="15">
        <f>'[01_Entry.xlsx]Book'!G1241</f>
        <v>0.0</v>
      </c>
      <c r="H1241" s="15">
        <f>'[01_Entry.xlsx]Book'!H1241</f>
        <v>0.0</v>
      </c>
      <c r="I1241" s="15">
        <f>'[01_Entry.xlsx]Book'!I1241</f>
        <v>0.0</v>
      </c>
      <c r="K1241" s="15">
        <f>'[01_Entry.xlsx]Book'!K1241</f>
        <v>0.0</v>
      </c>
      <c r="L1241" s="15">
        <f>'[01_Entry.xlsx]Book'!L1241</f>
        <v>0.0</v>
      </c>
      <c r="M1241" s="15">
        <f>'[01_Entry.xlsx]Book'!M1241</f>
        <v>0.0</v>
      </c>
      <c r="P1241" s="56">
        <f>IF($A1241="","",IFERROR(VALUE(MID($A1241,6,2)),""))</f>
        <v/>
      </c>
    </row>
    <row r="1242" spans="1:16">
      <c r="G1242" s="15">
        <f>'[01_Entry.xlsx]Book'!G1242</f>
        <v>0.0</v>
      </c>
      <c r="H1242" s="15">
        <f>'[01_Entry.xlsx]Book'!H1242</f>
        <v>0.0</v>
      </c>
      <c r="I1242" s="15">
        <f>'[01_Entry.xlsx]Book'!I1242</f>
        <v>0.0</v>
      </c>
      <c r="K1242" s="15">
        <f>'[01_Entry.xlsx]Book'!K1242</f>
        <v>0.0</v>
      </c>
      <c r="L1242" s="15">
        <f>'[01_Entry.xlsx]Book'!L1242</f>
        <v>0.0</v>
      </c>
      <c r="M1242" s="15">
        <f>'[01_Entry.xlsx]Book'!M1242</f>
        <v>0.0</v>
      </c>
      <c r="P1242" s="56">
        <f>IF($A1242="","",IFERROR(VALUE(MID($A1242,6,2)),""))</f>
        <v/>
      </c>
    </row>
    <row r="1243" spans="1:16">
      <c r="G1243" s="15">
        <f>'[01_Entry.xlsx]Book'!G1243</f>
        <v>0.0</v>
      </c>
      <c r="H1243" s="15">
        <f>'[01_Entry.xlsx]Book'!H1243</f>
        <v>0.0</v>
      </c>
      <c r="I1243" s="15">
        <f>'[01_Entry.xlsx]Book'!I1243</f>
        <v>0.0</v>
      </c>
      <c r="K1243" s="15">
        <f>'[01_Entry.xlsx]Book'!K1243</f>
        <v>0.0</v>
      </c>
      <c r="L1243" s="15">
        <f>'[01_Entry.xlsx]Book'!L1243</f>
        <v>0.0</v>
      </c>
      <c r="M1243" s="15">
        <f>'[01_Entry.xlsx]Book'!M1243</f>
        <v>0.0</v>
      </c>
      <c r="P1243" s="56">
        <f>IF($A1243="","",IFERROR(VALUE(MID($A1243,6,2)),""))</f>
        <v/>
      </c>
    </row>
    <row r="1244" spans="1:16">
      <c r="G1244" s="15">
        <f>'[01_Entry.xlsx]Book'!G1244</f>
        <v>0.0</v>
      </c>
      <c r="H1244" s="15">
        <f>'[01_Entry.xlsx]Book'!H1244</f>
        <v>0.0</v>
      </c>
      <c r="I1244" s="15">
        <f>'[01_Entry.xlsx]Book'!I1244</f>
        <v>0.0</v>
      </c>
      <c r="K1244" s="15">
        <f>'[01_Entry.xlsx]Book'!K1244</f>
        <v>0.0</v>
      </c>
      <c r="L1244" s="15">
        <f>'[01_Entry.xlsx]Book'!L1244</f>
        <v>0.0</v>
      </c>
      <c r="M1244" s="15">
        <f>'[01_Entry.xlsx]Book'!M1244</f>
        <v>0.0</v>
      </c>
      <c r="P1244" s="56">
        <f>IF($A1244="","",IFERROR(VALUE(MID($A1244,6,2)),""))</f>
        <v/>
      </c>
    </row>
    <row r="1245" spans="1:16">
      <c r="G1245" s="15">
        <f>'[01_Entry.xlsx]Book'!G1245</f>
        <v>0.0</v>
      </c>
      <c r="H1245" s="15">
        <f>'[01_Entry.xlsx]Book'!H1245</f>
        <v>0.0</v>
      </c>
      <c r="I1245" s="15">
        <f>'[01_Entry.xlsx]Book'!I1245</f>
        <v>0.0</v>
      </c>
      <c r="K1245" s="15">
        <f>'[01_Entry.xlsx]Book'!K1245</f>
        <v>0.0</v>
      </c>
      <c r="L1245" s="15">
        <f>'[01_Entry.xlsx]Book'!L1245</f>
        <v>0.0</v>
      </c>
      <c r="M1245" s="15">
        <f>'[01_Entry.xlsx]Book'!M1245</f>
        <v>0.0</v>
      </c>
      <c r="P1245" s="56">
        <f>IF($A1245="","",IFERROR(VALUE(MID($A1245,6,2)),""))</f>
        <v/>
      </c>
    </row>
    <row r="1246" spans="1:16">
      <c r="G1246" s="15">
        <f>'[01_Entry.xlsx]Book'!G1246</f>
        <v>0.0</v>
      </c>
      <c r="H1246" s="15">
        <f>'[01_Entry.xlsx]Book'!H1246</f>
        <v>0.0</v>
      </c>
      <c r="I1246" s="15">
        <f>'[01_Entry.xlsx]Book'!I1246</f>
        <v>0.0</v>
      </c>
      <c r="K1246" s="15">
        <f>'[01_Entry.xlsx]Book'!K1246</f>
        <v>0.0</v>
      </c>
      <c r="L1246" s="15">
        <f>'[01_Entry.xlsx]Book'!L1246</f>
        <v>0.0</v>
      </c>
      <c r="M1246" s="15">
        <f>'[01_Entry.xlsx]Book'!M1246</f>
        <v>0.0</v>
      </c>
      <c r="P1246" s="56">
        <f>IF($A1246="","",IFERROR(VALUE(MID($A1246,6,2)),""))</f>
        <v/>
      </c>
    </row>
    <row r="1247" spans="1:16">
      <c r="G1247" s="15">
        <f>'[01_Entry.xlsx]Book'!G1247</f>
        <v>0.0</v>
      </c>
      <c r="H1247" s="15">
        <f>'[01_Entry.xlsx]Book'!H1247</f>
        <v>0.0</v>
      </c>
      <c r="I1247" s="15">
        <f>'[01_Entry.xlsx]Book'!I1247</f>
        <v>0.0</v>
      </c>
      <c r="K1247" s="15">
        <f>'[01_Entry.xlsx]Book'!K1247</f>
        <v>0.0</v>
      </c>
      <c r="L1247" s="15">
        <f>'[01_Entry.xlsx]Book'!L1247</f>
        <v>0.0</v>
      </c>
      <c r="M1247" s="15">
        <f>'[01_Entry.xlsx]Book'!M1247</f>
        <v>0.0</v>
      </c>
      <c r="P1247" s="56">
        <f>IF($A1247="","",IFERROR(VALUE(MID($A1247,6,2)),""))</f>
        <v/>
      </c>
    </row>
    <row r="1248" spans="1:16">
      <c r="G1248" s="15">
        <f>'[01_Entry.xlsx]Book'!G1248</f>
        <v>0.0</v>
      </c>
      <c r="H1248" s="15">
        <f>'[01_Entry.xlsx]Book'!H1248</f>
        <v>0.0</v>
      </c>
      <c r="I1248" s="15">
        <f>'[01_Entry.xlsx]Book'!I1248</f>
        <v>0.0</v>
      </c>
      <c r="K1248" s="15">
        <f>'[01_Entry.xlsx]Book'!K1248</f>
        <v>0.0</v>
      </c>
      <c r="L1248" s="15">
        <f>'[01_Entry.xlsx]Book'!L1248</f>
        <v>0.0</v>
      </c>
      <c r="M1248" s="15">
        <f>'[01_Entry.xlsx]Book'!M1248</f>
        <v>0.0</v>
      </c>
      <c r="P1248" s="56">
        <f>IF($A1248="","",IFERROR(VALUE(MID($A1248,6,2)),""))</f>
        <v/>
      </c>
    </row>
    <row r="1249" spans="7:16">
      <c r="G1249" s="15">
        <f>'[01_Entry.xlsx]Book'!G1249</f>
        <v>0.0</v>
      </c>
      <c r="H1249" s="15">
        <f>'[01_Entry.xlsx]Book'!H1249</f>
        <v>0.0</v>
      </c>
      <c r="I1249" s="15">
        <f>'[01_Entry.xlsx]Book'!I1249</f>
        <v>0.0</v>
      </c>
      <c r="K1249" s="15">
        <f>'[01_Entry.xlsx]Book'!K1249</f>
        <v>0.0</v>
      </c>
      <c r="L1249" s="15">
        <f>'[01_Entry.xlsx]Book'!L1249</f>
        <v>0.0</v>
      </c>
      <c r="M1249" s="15">
        <f>'[01_Entry.xlsx]Book'!M1249</f>
        <v>0.0</v>
      </c>
      <c r="P1249" s="56">
        <f>IF($A1249="","",IFERROR(VALUE(MID($A1249,6,2)),""))</f>
        <v/>
      </c>
    </row>
    <row r="1250" spans="7:16">
      <c r="G1250" s="15">
        <f>'[01_Entry.xlsx]Book'!G1250</f>
        <v>0.0</v>
      </c>
      <c r="H1250" s="15">
        <f>'[01_Entry.xlsx]Book'!H1250</f>
        <v>0.0</v>
      </c>
      <c r="I1250" s="15">
        <f>'[01_Entry.xlsx]Book'!I1250</f>
        <v>0.0</v>
      </c>
      <c r="K1250" s="15">
        <f>'[01_Entry.xlsx]Book'!K1250</f>
        <v>0.0</v>
      </c>
      <c r="L1250" s="15">
        <f>'[01_Entry.xlsx]Book'!L1250</f>
        <v>0.0</v>
      </c>
      <c r="M1250" s="15">
        <f>'[01_Entry.xlsx]Book'!M1250</f>
        <v>0.0</v>
      </c>
      <c r="P1250" s="56">
        <f>IF($A1250="","",IFERROR(VALUE(MID($A1250,6,2)),""))</f>
        <v/>
      </c>
    </row>
    <row r="1251" spans="7:16">
      <c r="G1251" s="15">
        <f>'[01_Entry.xlsx]Book'!G1251</f>
        <v>0.0</v>
      </c>
      <c r="H1251" s="15">
        <f>'[01_Entry.xlsx]Book'!H1251</f>
        <v>0.0</v>
      </c>
      <c r="I1251" s="15">
        <f>'[01_Entry.xlsx]Book'!I1251</f>
        <v>0.0</v>
      </c>
      <c r="K1251" s="15">
        <f>'[01_Entry.xlsx]Book'!K1251</f>
        <v>0.0</v>
      </c>
      <c r="L1251" s="15">
        <f>'[01_Entry.xlsx]Book'!L1251</f>
        <v>0.0</v>
      </c>
      <c r="M1251" s="15">
        <f>'[01_Entry.xlsx]Book'!M1251</f>
        <v>0.0</v>
      </c>
      <c r="P1251" s="56">
        <f>IF($A1251="","",IFERROR(VALUE(MID($A1251,6,2)),""))</f>
        <v/>
      </c>
    </row>
    <row r="1252" spans="7:16">
      <c r="G1252" s="15">
        <f>'[01_Entry.xlsx]Book'!G1252</f>
        <v>0.0</v>
      </c>
      <c r="H1252" s="15">
        <f>'[01_Entry.xlsx]Book'!H1252</f>
        <v>0.0</v>
      </c>
      <c r="I1252" s="15">
        <f>'[01_Entry.xlsx]Book'!I1252</f>
        <v>0.0</v>
      </c>
      <c r="K1252" s="15">
        <f>'[01_Entry.xlsx]Book'!K1252</f>
        <v>0.0</v>
      </c>
      <c r="L1252" s="15">
        <f>'[01_Entry.xlsx]Book'!L1252</f>
        <v>0.0</v>
      </c>
      <c r="M1252" s="15">
        <f>'[01_Entry.xlsx]Book'!M1252</f>
        <v>0.0</v>
      </c>
      <c r="P1252" s="56">
        <f>IF($A1252="","",IFERROR(VALUE(MID($A1252,6,2)),""))</f>
        <v/>
      </c>
    </row>
    <row r="1253" spans="7:16">
      <c r="G1253" s="15">
        <f>'[01_Entry.xlsx]Book'!G1253</f>
        <v>0.0</v>
      </c>
      <c r="H1253" s="15">
        <f>'[01_Entry.xlsx]Book'!H1253</f>
        <v>0.0</v>
      </c>
      <c r="I1253" s="15">
        <f>'[01_Entry.xlsx]Book'!I1253</f>
        <v>0.0</v>
      </c>
      <c r="K1253" s="15">
        <f>'[01_Entry.xlsx]Book'!K1253</f>
        <v>0.0</v>
      </c>
      <c r="L1253" s="15">
        <f>'[01_Entry.xlsx]Book'!L1253</f>
        <v>0.0</v>
      </c>
      <c r="M1253" s="15">
        <f>'[01_Entry.xlsx]Book'!M1253</f>
        <v>0.0</v>
      </c>
      <c r="P1253" s="56">
        <f>IF($A1253="","",IFERROR(VALUE(MID($A1253,6,2)),""))</f>
        <v/>
      </c>
    </row>
    <row r="1254" spans="7:16">
      <c r="G1254" s="15">
        <f>'[01_Entry.xlsx]Book'!G1254</f>
        <v>0.0</v>
      </c>
      <c r="H1254" s="15">
        <f>'[01_Entry.xlsx]Book'!H1254</f>
        <v>0.0</v>
      </c>
      <c r="I1254" s="15">
        <f>'[01_Entry.xlsx]Book'!I1254</f>
        <v>0.0</v>
      </c>
      <c r="K1254" s="15">
        <f>'[01_Entry.xlsx]Book'!K1254</f>
        <v>0.0</v>
      </c>
      <c r="L1254" s="15">
        <f>'[01_Entry.xlsx]Book'!L1254</f>
        <v>0.0</v>
      </c>
      <c r="M1254" s="15">
        <f>'[01_Entry.xlsx]Book'!M1254</f>
        <v>0.0</v>
      </c>
      <c r="P1254" s="56">
        <f>IF($A1254="","",IFERROR(VALUE(MID($A1254,6,2)),""))</f>
        <v/>
      </c>
    </row>
    <row r="1255" spans="7:16">
      <c r="G1255" s="15">
        <f>'[01_Entry.xlsx]Book'!G1255</f>
        <v>0.0</v>
      </c>
      <c r="H1255" s="15">
        <f>'[01_Entry.xlsx]Book'!H1255</f>
        <v>0.0</v>
      </c>
      <c r="I1255" s="15">
        <f>'[01_Entry.xlsx]Book'!I1255</f>
        <v>0.0</v>
      </c>
      <c r="K1255" s="15">
        <f>'[01_Entry.xlsx]Book'!K1255</f>
        <v>0.0</v>
      </c>
      <c r="L1255" s="15">
        <f>'[01_Entry.xlsx]Book'!L1255</f>
        <v>0.0</v>
      </c>
      <c r="M1255" s="15">
        <f>'[01_Entry.xlsx]Book'!M1255</f>
        <v>0.0</v>
      </c>
      <c r="P1255" s="56">
        <f>IF($A1255="","",IFERROR(VALUE(MID($A1255,6,2)),""))</f>
        <v/>
      </c>
    </row>
    <row r="1256" spans="7:16">
      <c r="G1256" s="15">
        <f>'[01_Entry.xlsx]Book'!G1256</f>
        <v>0.0</v>
      </c>
      <c r="H1256" s="15">
        <f>'[01_Entry.xlsx]Book'!H1256</f>
        <v>0.0</v>
      </c>
      <c r="I1256" s="15">
        <f>'[01_Entry.xlsx]Book'!I1256</f>
        <v>0.0</v>
      </c>
      <c r="K1256" s="15">
        <f>'[01_Entry.xlsx]Book'!K1256</f>
        <v>0.0</v>
      </c>
      <c r="L1256" s="15">
        <f>'[01_Entry.xlsx]Book'!L1256</f>
        <v>0.0</v>
      </c>
      <c r="M1256" s="15">
        <f>'[01_Entry.xlsx]Book'!M1256</f>
        <v>0.0</v>
      </c>
      <c r="P1256" s="56">
        <f>IF($A1256="","",IFERROR(VALUE(MID($A1256,6,2)),""))</f>
        <v/>
      </c>
    </row>
    <row r="1257" spans="7:16">
      <c r="G1257" s="15">
        <f>'[01_Entry.xlsx]Book'!G1257</f>
        <v>0.0</v>
      </c>
      <c r="H1257" s="15">
        <f>'[01_Entry.xlsx]Book'!H1257</f>
        <v>0.0</v>
      </c>
      <c r="I1257" s="15">
        <f>'[01_Entry.xlsx]Book'!I1257</f>
        <v>0.0</v>
      </c>
      <c r="K1257" s="15">
        <f>'[01_Entry.xlsx]Book'!K1257</f>
        <v>0.0</v>
      </c>
      <c r="L1257" s="15">
        <f>'[01_Entry.xlsx]Book'!L1257</f>
        <v>0.0</v>
      </c>
      <c r="M1257" s="15">
        <f>'[01_Entry.xlsx]Book'!M1257</f>
        <v>0.0</v>
      </c>
      <c r="P1257" s="56">
        <f>IF($A1257="","",IFERROR(VALUE(MID($A1257,6,2)),""))</f>
        <v/>
      </c>
    </row>
    <row r="1258" spans="7:16">
      <c r="G1258" s="15">
        <f>'[01_Entry.xlsx]Book'!G1258</f>
        <v>0.0</v>
      </c>
      <c r="H1258" s="15">
        <f>'[01_Entry.xlsx]Book'!H1258</f>
        <v>0.0</v>
      </c>
      <c r="I1258" s="15">
        <f>'[01_Entry.xlsx]Book'!I1258</f>
        <v>0.0</v>
      </c>
      <c r="K1258" s="15">
        <f>'[01_Entry.xlsx]Book'!K1258</f>
        <v>0.0</v>
      </c>
      <c r="L1258" s="15">
        <f>'[01_Entry.xlsx]Book'!L1258</f>
        <v>0.0</v>
      </c>
      <c r="M1258" s="15">
        <f>'[01_Entry.xlsx]Book'!M1258</f>
        <v>0.0</v>
      </c>
      <c r="P1258" s="56">
        <f>IF($A1258="","",IFERROR(VALUE(MID($A1258,6,2)),""))</f>
        <v/>
      </c>
    </row>
    <row r="1259" spans="7:16">
      <c r="G1259" s="15">
        <f>'[01_Entry.xlsx]Book'!G1259</f>
        <v>0.0</v>
      </c>
      <c r="H1259" s="15">
        <f>'[01_Entry.xlsx]Book'!H1259</f>
        <v>0.0</v>
      </c>
      <c r="I1259" s="15">
        <f>'[01_Entry.xlsx]Book'!I1259</f>
        <v>0.0</v>
      </c>
      <c r="K1259" s="15">
        <f>'[01_Entry.xlsx]Book'!K1259</f>
        <v>0.0</v>
      </c>
      <c r="L1259" s="15">
        <f>'[01_Entry.xlsx]Book'!L1259</f>
        <v>0.0</v>
      </c>
      <c r="M1259" s="15">
        <f>'[01_Entry.xlsx]Book'!M1259</f>
        <v>0.0</v>
      </c>
      <c r="P1259" s="56">
        <f>IF($A1259="","",IFERROR(VALUE(MID($A1259,6,2)),""))</f>
        <v/>
      </c>
    </row>
    <row r="1260" spans="7:16">
      <c r="G1260" s="15">
        <f>'[01_Entry.xlsx]Book'!G1260</f>
        <v>0.0</v>
      </c>
      <c r="H1260" s="15">
        <f>'[01_Entry.xlsx]Book'!H1260</f>
        <v>0.0</v>
      </c>
      <c r="I1260" s="15">
        <f>'[01_Entry.xlsx]Book'!I1260</f>
        <v>0.0</v>
      </c>
      <c r="K1260" s="15">
        <f>'[01_Entry.xlsx]Book'!K1260</f>
        <v>0.0</v>
      </c>
      <c r="L1260" s="15">
        <f>'[01_Entry.xlsx]Book'!L1260</f>
        <v>0.0</v>
      </c>
      <c r="M1260" s="15">
        <f>'[01_Entry.xlsx]Book'!M1260</f>
        <v>0.0</v>
      </c>
      <c r="P1260" s="56">
        <f>IF($A1260="","",IFERROR(VALUE(MID($A1260,6,2)),""))</f>
        <v/>
      </c>
    </row>
    <row r="1261" spans="7:16">
      <c r="G1261" s="15">
        <f>'[01_Entry.xlsx]Book'!G1261</f>
        <v>0.0</v>
      </c>
      <c r="H1261" s="15">
        <f>'[01_Entry.xlsx]Book'!H1261</f>
        <v>0.0</v>
      </c>
      <c r="I1261" s="15">
        <f>'[01_Entry.xlsx]Book'!I1261</f>
        <v>0.0</v>
      </c>
      <c r="K1261" s="15">
        <f>'[01_Entry.xlsx]Book'!K1261</f>
        <v>0.0</v>
      </c>
      <c r="L1261" s="15">
        <f>'[01_Entry.xlsx]Book'!L1261</f>
        <v>0.0</v>
      </c>
      <c r="M1261" s="15">
        <f>'[01_Entry.xlsx]Book'!M1261</f>
        <v>0.0</v>
      </c>
      <c r="P1261" s="56">
        <f>IF($A1261="","",IFERROR(VALUE(MID($A1261,6,2)),""))</f>
        <v/>
      </c>
    </row>
    <row r="1262" spans="7:16">
      <c r="G1262" s="15">
        <f>'[01_Entry.xlsx]Book'!G1262</f>
        <v>0.0</v>
      </c>
      <c r="H1262" s="15">
        <f>'[01_Entry.xlsx]Book'!H1262</f>
        <v>0.0</v>
      </c>
      <c r="I1262" s="15">
        <f>'[01_Entry.xlsx]Book'!I1262</f>
        <v>0.0</v>
      </c>
      <c r="K1262" s="15">
        <f>'[01_Entry.xlsx]Book'!K1262</f>
        <v>0.0</v>
      </c>
      <c r="L1262" s="15">
        <f>'[01_Entry.xlsx]Book'!L1262</f>
        <v>0.0</v>
      </c>
      <c r="M1262" s="15">
        <f>'[01_Entry.xlsx]Book'!M1262</f>
        <v>0.0</v>
      </c>
      <c r="P1262" s="56">
        <f>IF($A1262="","",IFERROR(VALUE(MID($A1262,6,2)),""))</f>
        <v/>
      </c>
    </row>
    <row r="1263" spans="7:16">
      <c r="G1263" s="15">
        <f>'[01_Entry.xlsx]Book'!G1263</f>
        <v>0.0</v>
      </c>
      <c r="H1263" s="15">
        <f>'[01_Entry.xlsx]Book'!H1263</f>
        <v>0.0</v>
      </c>
      <c r="I1263" s="15">
        <f>'[01_Entry.xlsx]Book'!I1263</f>
        <v>0.0</v>
      </c>
      <c r="K1263" s="15">
        <f>'[01_Entry.xlsx]Book'!K1263</f>
        <v>0.0</v>
      </c>
      <c r="L1263" s="15">
        <f>'[01_Entry.xlsx]Book'!L1263</f>
        <v>0.0</v>
      </c>
      <c r="M1263" s="15">
        <f>'[01_Entry.xlsx]Book'!M1263</f>
        <v>0.0</v>
      </c>
      <c r="P1263" s="56">
        <f>IF($A1263="","",IFERROR(VALUE(MID($A1263,6,2)),""))</f>
        <v/>
      </c>
    </row>
    <row r="1264" spans="7:16">
      <c r="G1264" s="15">
        <f>'[01_Entry.xlsx]Book'!G1264</f>
        <v>0.0</v>
      </c>
      <c r="H1264" s="15">
        <f>'[01_Entry.xlsx]Book'!H1264</f>
        <v>0.0</v>
      </c>
      <c r="I1264" s="15">
        <f>'[01_Entry.xlsx]Book'!I1264</f>
        <v>0.0</v>
      </c>
      <c r="K1264" s="15">
        <f>'[01_Entry.xlsx]Book'!K1264</f>
        <v>0.0</v>
      </c>
      <c r="L1264" s="15">
        <f>'[01_Entry.xlsx]Book'!L1264</f>
        <v>0.0</v>
      </c>
      <c r="M1264" s="15">
        <f>'[01_Entry.xlsx]Book'!M1264</f>
        <v>0.0</v>
      </c>
      <c r="P1264" s="56">
        <f>IF($A1264="","",IFERROR(VALUE(MID($A1264,6,2)),""))</f>
        <v/>
      </c>
    </row>
    <row r="1265" spans="7:16">
      <c r="G1265" s="15">
        <f>'[01_Entry.xlsx]Book'!G1265</f>
        <v>0.0</v>
      </c>
      <c r="H1265" s="15">
        <f>'[01_Entry.xlsx]Book'!H1265</f>
        <v>0.0</v>
      </c>
      <c r="I1265" s="15">
        <f>'[01_Entry.xlsx]Book'!I1265</f>
        <v>0.0</v>
      </c>
      <c r="K1265" s="15">
        <f>'[01_Entry.xlsx]Book'!K1265</f>
        <v>0.0</v>
      </c>
      <c r="L1265" s="15">
        <f>'[01_Entry.xlsx]Book'!L1265</f>
        <v>0.0</v>
      </c>
      <c r="M1265" s="15">
        <f>'[01_Entry.xlsx]Book'!M1265</f>
        <v>0.0</v>
      </c>
      <c r="P1265" s="56">
        <f>IF($A1265="","",IFERROR(VALUE(MID($A1265,6,2)),""))</f>
        <v/>
      </c>
    </row>
    <row r="1266" spans="7:16">
      <c r="G1266" s="15">
        <f>'[01_Entry.xlsx]Book'!G1266</f>
        <v>0.0</v>
      </c>
      <c r="H1266" s="15">
        <f>'[01_Entry.xlsx]Book'!H1266</f>
        <v>0.0</v>
      </c>
      <c r="I1266" s="15">
        <f>'[01_Entry.xlsx]Book'!I1266</f>
        <v>0.0</v>
      </c>
      <c r="K1266" s="15">
        <f>'[01_Entry.xlsx]Book'!K1266</f>
        <v>0.0</v>
      </c>
      <c r="L1266" s="15">
        <f>'[01_Entry.xlsx]Book'!L1266</f>
        <v>0.0</v>
      </c>
      <c r="M1266" s="15">
        <f>'[01_Entry.xlsx]Book'!M1266</f>
        <v>0.0</v>
      </c>
      <c r="P1266" s="56">
        <f>IF($A1266="","",IFERROR(VALUE(MID($A1266,6,2)),""))</f>
        <v/>
      </c>
    </row>
    <row r="1267" spans="7:16">
      <c r="G1267" s="15">
        <f>'[01_Entry.xlsx]Book'!G1267</f>
        <v>0.0</v>
      </c>
      <c r="H1267" s="15">
        <f>'[01_Entry.xlsx]Book'!H1267</f>
        <v>0.0</v>
      </c>
      <c r="I1267" s="15">
        <f>'[01_Entry.xlsx]Book'!I1267</f>
        <v>0.0</v>
      </c>
      <c r="K1267" s="15">
        <f>'[01_Entry.xlsx]Book'!K1267</f>
        <v>0.0</v>
      </c>
      <c r="L1267" s="15">
        <f>'[01_Entry.xlsx]Book'!L1267</f>
        <v>0.0</v>
      </c>
      <c r="M1267" s="15">
        <f>'[01_Entry.xlsx]Book'!M1267</f>
        <v>0.0</v>
      </c>
      <c r="P1267" s="56">
        <f>IF($A1267="","",IFERROR(VALUE(MID($A1267,6,2)),""))</f>
        <v/>
      </c>
    </row>
    <row r="1268" spans="7:16">
      <c r="G1268" s="15">
        <f>'[01_Entry.xlsx]Book'!G1268</f>
        <v>0.0</v>
      </c>
      <c r="H1268" s="15">
        <f>'[01_Entry.xlsx]Book'!H1268</f>
        <v>0.0</v>
      </c>
      <c r="I1268" s="15">
        <f>'[01_Entry.xlsx]Book'!I1268</f>
        <v>0.0</v>
      </c>
      <c r="K1268" s="15">
        <f>'[01_Entry.xlsx]Book'!K1268</f>
        <v>0.0</v>
      </c>
      <c r="L1268" s="15">
        <f>'[01_Entry.xlsx]Book'!L1268</f>
        <v>0.0</v>
      </c>
      <c r="M1268" s="15">
        <f>'[01_Entry.xlsx]Book'!M1268</f>
        <v>0.0</v>
      </c>
      <c r="P1268" s="56">
        <f>IF($A1268="","",IFERROR(VALUE(MID($A1268,6,2)),""))</f>
        <v/>
      </c>
    </row>
    <row r="1269" spans="7:16">
      <c r="G1269" s="15">
        <f>'[01_Entry.xlsx]Book'!G1269</f>
        <v>0.0</v>
      </c>
      <c r="H1269" s="15">
        <f>'[01_Entry.xlsx]Book'!H1269</f>
        <v>0.0</v>
      </c>
      <c r="I1269" s="15">
        <f>'[01_Entry.xlsx]Book'!I1269</f>
        <v>0.0</v>
      </c>
      <c r="K1269" s="15">
        <f>'[01_Entry.xlsx]Book'!K1269</f>
        <v>0.0</v>
      </c>
      <c r="L1269" s="15">
        <f>'[01_Entry.xlsx]Book'!L1269</f>
        <v>0.0</v>
      </c>
      <c r="M1269" s="15">
        <f>'[01_Entry.xlsx]Book'!M1269</f>
        <v>0.0</v>
      </c>
      <c r="P1269" s="56">
        <f>IF($A1269="","",IFERROR(VALUE(MID($A1269,6,2)),""))</f>
        <v/>
      </c>
    </row>
    <row r="1270" spans="7:16">
      <c r="G1270" s="15">
        <f>'[01_Entry.xlsx]Book'!G1270</f>
        <v>0.0</v>
      </c>
      <c r="H1270" s="15">
        <f>'[01_Entry.xlsx]Book'!H1270</f>
        <v>0.0</v>
      </c>
      <c r="I1270" s="15">
        <f>'[01_Entry.xlsx]Book'!I1270</f>
        <v>0.0</v>
      </c>
      <c r="K1270" s="15">
        <f>'[01_Entry.xlsx]Book'!K1270</f>
        <v>0.0</v>
      </c>
      <c r="L1270" s="15">
        <f>'[01_Entry.xlsx]Book'!L1270</f>
        <v>0.0</v>
      </c>
      <c r="M1270" s="15">
        <f>'[01_Entry.xlsx]Book'!M1270</f>
        <v>0.0</v>
      </c>
      <c r="P1270" s="56">
        <f>IF($A1270="","",IFERROR(VALUE(MID($A1270,6,2)),""))</f>
        <v/>
      </c>
    </row>
    <row r="1271" spans="7:16">
      <c r="G1271" s="15">
        <f>'[01_Entry.xlsx]Book'!G1271</f>
        <v>0.0</v>
      </c>
      <c r="H1271" s="15">
        <f>'[01_Entry.xlsx]Book'!H1271</f>
        <v>0.0</v>
      </c>
      <c r="I1271" s="15">
        <f>'[01_Entry.xlsx]Book'!I1271</f>
        <v>0.0</v>
      </c>
      <c r="K1271" s="15">
        <f>'[01_Entry.xlsx]Book'!K1271</f>
        <v>0.0</v>
      </c>
      <c r="L1271" s="15">
        <f>'[01_Entry.xlsx]Book'!L1271</f>
        <v>0.0</v>
      </c>
      <c r="M1271" s="15">
        <f>'[01_Entry.xlsx]Book'!M1271</f>
        <v>0.0</v>
      </c>
      <c r="P1271" s="56">
        <f>IF($A1271="","",IFERROR(VALUE(MID($A1271,6,2)),""))</f>
        <v/>
      </c>
    </row>
    <row r="1272" spans="7:16">
      <c r="G1272" s="15">
        <f>'[01_Entry.xlsx]Book'!G1272</f>
        <v>0.0</v>
      </c>
      <c r="H1272" s="15">
        <f>'[01_Entry.xlsx]Book'!H1272</f>
        <v>0.0</v>
      </c>
      <c r="I1272" s="15">
        <f>'[01_Entry.xlsx]Book'!I1272</f>
        <v>0.0</v>
      </c>
      <c r="K1272" s="15">
        <f>'[01_Entry.xlsx]Book'!K1272</f>
        <v>0.0</v>
      </c>
      <c r="L1272" s="15">
        <f>'[01_Entry.xlsx]Book'!L1272</f>
        <v>0.0</v>
      </c>
      <c r="M1272" s="15">
        <f>'[01_Entry.xlsx]Book'!M1272</f>
        <v>0.0</v>
      </c>
      <c r="P1272" s="56">
        <f>IF($A1272="","",IFERROR(VALUE(MID($A1272,6,2)),""))</f>
        <v/>
      </c>
    </row>
    <row r="1273" spans="7:16">
      <c r="G1273" s="15">
        <f>'[01_Entry.xlsx]Book'!G1273</f>
        <v>0.0</v>
      </c>
      <c r="H1273" s="15">
        <f>'[01_Entry.xlsx]Book'!H1273</f>
        <v>0.0</v>
      </c>
      <c r="I1273" s="15">
        <f>'[01_Entry.xlsx]Book'!I1273</f>
        <v>0.0</v>
      </c>
      <c r="K1273" s="15">
        <f>'[01_Entry.xlsx]Book'!K1273</f>
        <v>0.0</v>
      </c>
      <c r="L1273" s="15">
        <f>'[01_Entry.xlsx]Book'!L1273</f>
        <v>0.0</v>
      </c>
      <c r="M1273" s="15">
        <f>'[01_Entry.xlsx]Book'!M1273</f>
        <v>0.0</v>
      </c>
      <c r="P1273" s="56">
        <f>IF($A1273="","",IFERROR(VALUE(MID($A1273,6,2)),""))</f>
        <v/>
      </c>
    </row>
    <row r="1274" spans="7:16">
      <c r="G1274" s="15">
        <f>'[01_Entry.xlsx]Book'!G1274</f>
        <v>0.0</v>
      </c>
      <c r="H1274" s="15">
        <f>'[01_Entry.xlsx]Book'!H1274</f>
        <v>0.0</v>
      </c>
      <c r="I1274" s="15">
        <f>'[01_Entry.xlsx]Book'!I1274</f>
        <v>0.0</v>
      </c>
      <c r="K1274" s="15">
        <f>'[01_Entry.xlsx]Book'!K1274</f>
        <v>0.0</v>
      </c>
      <c r="L1274" s="15">
        <f>'[01_Entry.xlsx]Book'!L1274</f>
        <v>0.0</v>
      </c>
      <c r="M1274" s="15">
        <f>'[01_Entry.xlsx]Book'!M1274</f>
        <v>0.0</v>
      </c>
      <c r="P1274" s="56">
        <f>IF($A1274="","",IFERROR(VALUE(MID($A1274,6,2)),""))</f>
        <v/>
      </c>
    </row>
    <row r="1275" spans="7:16">
      <c r="G1275" s="15">
        <f>'[01_Entry.xlsx]Book'!G1275</f>
        <v>0.0</v>
      </c>
      <c r="H1275" s="15">
        <f>'[01_Entry.xlsx]Book'!H1275</f>
        <v>0.0</v>
      </c>
      <c r="I1275" s="15">
        <f>'[01_Entry.xlsx]Book'!I1275</f>
        <v>0.0</v>
      </c>
      <c r="K1275" s="15">
        <f>'[01_Entry.xlsx]Book'!K1275</f>
        <v>0.0</v>
      </c>
      <c r="L1275" s="15">
        <f>'[01_Entry.xlsx]Book'!L1275</f>
        <v>0.0</v>
      </c>
      <c r="M1275" s="15">
        <f>'[01_Entry.xlsx]Book'!M1275</f>
        <v>0.0</v>
      </c>
      <c r="P1275" s="56">
        <f>IF($A1275="","",IFERROR(VALUE(MID($A1275,6,2)),""))</f>
        <v/>
      </c>
    </row>
    <row r="1276" spans="7:16">
      <c r="G1276" s="15">
        <f>'[01_Entry.xlsx]Book'!G1276</f>
        <v>0.0</v>
      </c>
      <c r="H1276" s="15">
        <f>'[01_Entry.xlsx]Book'!H1276</f>
        <v>0.0</v>
      </c>
      <c r="I1276" s="15">
        <f>'[01_Entry.xlsx]Book'!I1276</f>
        <v>0.0</v>
      </c>
      <c r="K1276" s="15">
        <f>'[01_Entry.xlsx]Book'!K1276</f>
        <v>0.0</v>
      </c>
      <c r="L1276" s="15">
        <f>'[01_Entry.xlsx]Book'!L1276</f>
        <v>0.0</v>
      </c>
      <c r="M1276" s="15">
        <f>'[01_Entry.xlsx]Book'!M1276</f>
        <v>0.0</v>
      </c>
      <c r="P1276" s="56">
        <f>IF($A1276="","",IFERROR(VALUE(MID($A1276,6,2)),""))</f>
        <v/>
      </c>
    </row>
    <row r="1277" spans="7:16">
      <c r="G1277" s="15">
        <f>'[01_Entry.xlsx]Book'!G1277</f>
        <v>0.0</v>
      </c>
      <c r="H1277" s="15">
        <f>'[01_Entry.xlsx]Book'!H1277</f>
        <v>0.0</v>
      </c>
      <c r="I1277" s="15">
        <f>'[01_Entry.xlsx]Book'!I1277</f>
        <v>0.0</v>
      </c>
      <c r="K1277" s="15">
        <f>'[01_Entry.xlsx]Book'!K1277</f>
        <v>0.0</v>
      </c>
      <c r="L1277" s="15">
        <f>'[01_Entry.xlsx]Book'!L1277</f>
        <v>0.0</v>
      </c>
      <c r="M1277" s="15">
        <f>'[01_Entry.xlsx]Book'!M1277</f>
        <v>0.0</v>
      </c>
      <c r="P1277" s="56">
        <f>IF($A1277="","",IFERROR(VALUE(MID($A1277,6,2)),""))</f>
        <v/>
      </c>
    </row>
    <row r="1278" spans="7:16">
      <c r="G1278" s="15">
        <f>'[01_Entry.xlsx]Book'!G1278</f>
        <v>0.0</v>
      </c>
      <c r="H1278" s="15">
        <f>'[01_Entry.xlsx]Book'!H1278</f>
        <v>0.0</v>
      </c>
      <c r="I1278" s="15">
        <f>'[01_Entry.xlsx]Book'!I1278</f>
        <v>0.0</v>
      </c>
      <c r="K1278" s="15">
        <f>'[01_Entry.xlsx]Book'!K1278</f>
        <v>0.0</v>
      </c>
      <c r="L1278" s="15">
        <f>'[01_Entry.xlsx]Book'!L1278</f>
        <v>0.0</v>
      </c>
      <c r="M1278" s="15">
        <f>'[01_Entry.xlsx]Book'!M1278</f>
        <v>0.0</v>
      </c>
      <c r="P1278" s="56">
        <f>IF($A1278="","",IFERROR(VALUE(MID($A1278,6,2)),""))</f>
        <v/>
      </c>
    </row>
    <row r="1279" spans="7:16">
      <c r="G1279" s="15">
        <f>'[01_Entry.xlsx]Book'!G1279</f>
        <v>0.0</v>
      </c>
      <c r="H1279" s="15">
        <f>'[01_Entry.xlsx]Book'!H1279</f>
        <v>0.0</v>
      </c>
      <c r="I1279" s="15">
        <f>'[01_Entry.xlsx]Book'!I1279</f>
        <v>0.0</v>
      </c>
      <c r="K1279" s="15">
        <f>'[01_Entry.xlsx]Book'!K1279</f>
        <v>0.0</v>
      </c>
      <c r="L1279" s="15">
        <f>'[01_Entry.xlsx]Book'!L1279</f>
        <v>0.0</v>
      </c>
      <c r="M1279" s="15">
        <f>'[01_Entry.xlsx]Book'!M1279</f>
        <v>0.0</v>
      </c>
      <c r="P1279" s="56">
        <f>IF($A1279="","",IFERROR(VALUE(MID($A1279,6,2)),""))</f>
        <v/>
      </c>
    </row>
    <row r="1280" spans="7:16">
      <c r="G1280" s="15">
        <f>'[01_Entry.xlsx]Book'!G1280</f>
        <v>0.0</v>
      </c>
      <c r="H1280" s="15">
        <f>'[01_Entry.xlsx]Book'!H1280</f>
        <v>0.0</v>
      </c>
      <c r="I1280" s="15">
        <f>'[01_Entry.xlsx]Book'!I1280</f>
        <v>0.0</v>
      </c>
      <c r="K1280" s="15">
        <f>'[01_Entry.xlsx]Book'!K1280</f>
        <v>0.0</v>
      </c>
      <c r="L1280" s="15">
        <f>'[01_Entry.xlsx]Book'!L1280</f>
        <v>0.0</v>
      </c>
      <c r="M1280" s="15">
        <f>'[01_Entry.xlsx]Book'!M1280</f>
        <v>0.0</v>
      </c>
      <c r="P1280" s="56">
        <f>IF($A1280="","",IFERROR(VALUE(MID($A1280,6,2)),""))</f>
        <v/>
      </c>
    </row>
    <row r="1281" spans="7:16">
      <c r="G1281" s="15">
        <f>'[01_Entry.xlsx]Book'!G1281</f>
        <v>0.0</v>
      </c>
      <c r="H1281" s="15">
        <f>'[01_Entry.xlsx]Book'!H1281</f>
        <v>0.0</v>
      </c>
      <c r="I1281" s="15">
        <f>'[01_Entry.xlsx]Book'!I1281</f>
        <v>0.0</v>
      </c>
      <c r="K1281" s="15">
        <f>'[01_Entry.xlsx]Book'!K1281</f>
        <v>0.0</v>
      </c>
      <c r="L1281" s="15">
        <f>'[01_Entry.xlsx]Book'!L1281</f>
        <v>0.0</v>
      </c>
      <c r="M1281" s="15">
        <f>'[01_Entry.xlsx]Book'!M1281</f>
        <v>0.0</v>
      </c>
      <c r="P1281" s="56">
        <f>IF($A1281="","",IFERROR(VALUE(MID($A1281,6,2)),""))</f>
        <v/>
      </c>
    </row>
    <row r="1282" spans="7:16">
      <c r="G1282" s="15">
        <f>'[01_Entry.xlsx]Book'!G1282</f>
        <v>0.0</v>
      </c>
      <c r="H1282" s="15">
        <f>'[01_Entry.xlsx]Book'!H1282</f>
        <v>0.0</v>
      </c>
      <c r="I1282" s="15">
        <f>'[01_Entry.xlsx]Book'!I1282</f>
        <v>0.0</v>
      </c>
      <c r="K1282" s="15">
        <f>'[01_Entry.xlsx]Book'!K1282</f>
        <v>0.0</v>
      </c>
      <c r="L1282" s="15">
        <f>'[01_Entry.xlsx]Book'!L1282</f>
        <v>0.0</v>
      </c>
      <c r="M1282" s="15">
        <f>'[01_Entry.xlsx]Book'!M1282</f>
        <v>0.0</v>
      </c>
      <c r="P1282" s="56">
        <f>IF($A1282="","",IFERROR(VALUE(MID($A1282,6,2)),""))</f>
        <v/>
      </c>
    </row>
    <row r="1283" spans="7:16">
      <c r="G1283" s="15">
        <f>'[01_Entry.xlsx]Book'!G1283</f>
        <v>0.0</v>
      </c>
      <c r="H1283" s="15">
        <f>'[01_Entry.xlsx]Book'!H1283</f>
        <v>0.0</v>
      </c>
      <c r="I1283" s="15">
        <f>'[01_Entry.xlsx]Book'!I1283</f>
        <v>0.0</v>
      </c>
      <c r="K1283" s="15">
        <f>'[01_Entry.xlsx]Book'!K1283</f>
        <v>0.0</v>
      </c>
      <c r="L1283" s="15">
        <f>'[01_Entry.xlsx]Book'!L1283</f>
        <v>0.0</v>
      </c>
      <c r="M1283" s="15">
        <f>'[01_Entry.xlsx]Book'!M1283</f>
        <v>0.0</v>
      </c>
      <c r="P1283" s="56">
        <f>IF($A1283="","",IFERROR(VALUE(MID($A1283,6,2)),""))</f>
        <v/>
      </c>
    </row>
    <row r="1284" spans="7:16">
      <c r="G1284" s="15">
        <f>'[01_Entry.xlsx]Book'!G1284</f>
        <v>0.0</v>
      </c>
      <c r="H1284" s="15">
        <f>'[01_Entry.xlsx]Book'!H1284</f>
        <v>0.0</v>
      </c>
      <c r="I1284" s="15">
        <f>'[01_Entry.xlsx]Book'!I1284</f>
        <v>0.0</v>
      </c>
      <c r="K1284" s="15">
        <f>'[01_Entry.xlsx]Book'!K1284</f>
        <v>0.0</v>
      </c>
      <c r="L1284" s="15">
        <f>'[01_Entry.xlsx]Book'!L1284</f>
        <v>0.0</v>
      </c>
      <c r="M1284" s="15">
        <f>'[01_Entry.xlsx]Book'!M1284</f>
        <v>0.0</v>
      </c>
      <c r="P1284" s="56">
        <f>IF($A1284="","",IFERROR(VALUE(MID($A1284,6,2)),""))</f>
        <v/>
      </c>
    </row>
    <row r="1285" spans="7:16">
      <c r="G1285" s="15">
        <f>'[01_Entry.xlsx]Book'!G1285</f>
        <v>0.0</v>
      </c>
      <c r="H1285" s="15">
        <f>'[01_Entry.xlsx]Book'!H1285</f>
        <v>0.0</v>
      </c>
      <c r="I1285" s="15">
        <f>'[01_Entry.xlsx]Book'!I1285</f>
        <v>0.0</v>
      </c>
      <c r="K1285" s="15">
        <f>'[01_Entry.xlsx]Book'!K1285</f>
        <v>0.0</v>
      </c>
      <c r="L1285" s="15">
        <f>'[01_Entry.xlsx]Book'!L1285</f>
        <v>0.0</v>
      </c>
      <c r="M1285" s="15">
        <f>'[01_Entry.xlsx]Book'!M1285</f>
        <v>0.0</v>
      </c>
      <c r="P1285" s="56">
        <f>IF($A1285="","",IFERROR(VALUE(MID($A1285,6,2)),""))</f>
        <v/>
      </c>
    </row>
    <row r="1286" spans="7:16">
      <c r="G1286" s="15">
        <f>'[01_Entry.xlsx]Book'!G1286</f>
        <v>0.0</v>
      </c>
      <c r="H1286" s="15">
        <f>'[01_Entry.xlsx]Book'!H1286</f>
        <v>0.0</v>
      </c>
      <c r="I1286" s="15">
        <f>'[01_Entry.xlsx]Book'!I1286</f>
        <v>0.0</v>
      </c>
      <c r="K1286" s="15">
        <f>'[01_Entry.xlsx]Book'!K1286</f>
        <v>0.0</v>
      </c>
      <c r="L1286" s="15">
        <f>'[01_Entry.xlsx]Book'!L1286</f>
        <v>0.0</v>
      </c>
      <c r="M1286" s="15">
        <f>'[01_Entry.xlsx]Book'!M1286</f>
        <v>0.0</v>
      </c>
      <c r="P1286" s="56">
        <f>IF($A1286="","",IFERROR(VALUE(MID($A1286,6,2)),""))</f>
        <v/>
      </c>
    </row>
    <row r="1287" spans="7:16">
      <c r="G1287" s="15">
        <f>'[01_Entry.xlsx]Book'!G1287</f>
        <v>0.0</v>
      </c>
      <c r="H1287" s="15">
        <f>'[01_Entry.xlsx]Book'!H1287</f>
        <v>0.0</v>
      </c>
      <c r="I1287" s="15">
        <f>'[01_Entry.xlsx]Book'!I1287</f>
        <v>0.0</v>
      </c>
      <c r="K1287" s="15">
        <f>'[01_Entry.xlsx]Book'!K1287</f>
        <v>0.0</v>
      </c>
      <c r="L1287" s="15">
        <f>'[01_Entry.xlsx]Book'!L1287</f>
        <v>0.0</v>
      </c>
      <c r="M1287" s="15">
        <f>'[01_Entry.xlsx]Book'!M1287</f>
        <v>0.0</v>
      </c>
      <c r="P1287" s="56">
        <f>IF($A1287="","",IFERROR(VALUE(MID($A1287,6,2)),""))</f>
        <v/>
      </c>
    </row>
    <row r="1288" spans="7:16">
      <c r="G1288" s="15">
        <f>'[01_Entry.xlsx]Book'!G1288</f>
        <v>0.0</v>
      </c>
      <c r="H1288" s="15">
        <f>'[01_Entry.xlsx]Book'!H1288</f>
        <v>0.0</v>
      </c>
      <c r="I1288" s="15">
        <f>'[01_Entry.xlsx]Book'!I1288</f>
        <v>0.0</v>
      </c>
      <c r="K1288" s="15">
        <f>'[01_Entry.xlsx]Book'!K1288</f>
        <v>0.0</v>
      </c>
      <c r="L1288" s="15">
        <f>'[01_Entry.xlsx]Book'!L1288</f>
        <v>0.0</v>
      </c>
      <c r="M1288" s="15">
        <f>'[01_Entry.xlsx]Book'!M1288</f>
        <v>0.0</v>
      </c>
      <c r="P1288" s="56">
        <f>IF($A1288="","",IFERROR(VALUE(MID($A1288,6,2)),""))</f>
        <v/>
      </c>
    </row>
    <row r="1289" spans="7:16">
      <c r="G1289" s="15">
        <f>'[01_Entry.xlsx]Book'!G1289</f>
        <v>0.0</v>
      </c>
      <c r="H1289" s="15">
        <f>'[01_Entry.xlsx]Book'!H1289</f>
        <v>0.0</v>
      </c>
      <c r="I1289" s="15">
        <f>'[01_Entry.xlsx]Book'!I1289</f>
        <v>0.0</v>
      </c>
      <c r="K1289" s="15">
        <f>'[01_Entry.xlsx]Book'!K1289</f>
        <v>0.0</v>
      </c>
      <c r="L1289" s="15">
        <f>'[01_Entry.xlsx]Book'!L1289</f>
        <v>0.0</v>
      </c>
      <c r="M1289" s="15">
        <f>'[01_Entry.xlsx]Book'!M1289</f>
        <v>0.0</v>
      </c>
      <c r="P1289" s="56">
        <f>IF($A1289="","",IFERROR(VALUE(MID($A1289,6,2)),""))</f>
        <v/>
      </c>
    </row>
    <row r="1290" spans="7:16">
      <c r="G1290" s="15">
        <f>'[01_Entry.xlsx]Book'!G1290</f>
        <v>0.0</v>
      </c>
      <c r="H1290" s="15">
        <f>'[01_Entry.xlsx]Book'!H1290</f>
        <v>0.0</v>
      </c>
      <c r="I1290" s="15">
        <f>'[01_Entry.xlsx]Book'!I1290</f>
        <v>0.0</v>
      </c>
      <c r="K1290" s="15">
        <f>'[01_Entry.xlsx]Book'!K1290</f>
        <v>0.0</v>
      </c>
      <c r="L1290" s="15">
        <f>'[01_Entry.xlsx]Book'!L1290</f>
        <v>0.0</v>
      </c>
      <c r="M1290" s="15">
        <f>'[01_Entry.xlsx]Book'!M1290</f>
        <v>0.0</v>
      </c>
      <c r="P1290" s="56">
        <f>IF($A1290="","",IFERROR(VALUE(MID($A1290,6,2)),""))</f>
        <v/>
      </c>
    </row>
    <row r="1291" spans="7:16">
      <c r="G1291" s="15">
        <f>'[01_Entry.xlsx]Book'!G1291</f>
        <v>0.0</v>
      </c>
      <c r="H1291" s="15">
        <f>'[01_Entry.xlsx]Book'!H1291</f>
        <v>0.0</v>
      </c>
      <c r="I1291" s="15">
        <f>'[01_Entry.xlsx]Book'!I1291</f>
        <v>0.0</v>
      </c>
      <c r="K1291" s="15">
        <f>'[01_Entry.xlsx]Book'!K1291</f>
        <v>0.0</v>
      </c>
      <c r="L1291" s="15">
        <f>'[01_Entry.xlsx]Book'!L1291</f>
        <v>0.0</v>
      </c>
      <c r="M1291" s="15">
        <f>'[01_Entry.xlsx]Book'!M1291</f>
        <v>0.0</v>
      </c>
      <c r="P1291" s="56">
        <f>IF($A1291="","",IFERROR(VALUE(MID($A1291,6,2)),""))</f>
        <v/>
      </c>
    </row>
    <row r="1292" spans="7:16">
      <c r="G1292" s="15">
        <f>'[01_Entry.xlsx]Book'!G1292</f>
        <v>0.0</v>
      </c>
      <c r="H1292" s="15">
        <f>'[01_Entry.xlsx]Book'!H1292</f>
        <v>0.0</v>
      </c>
      <c r="I1292" s="15">
        <f>'[01_Entry.xlsx]Book'!I1292</f>
        <v>0.0</v>
      </c>
      <c r="K1292" s="15">
        <f>'[01_Entry.xlsx]Book'!K1292</f>
        <v>0.0</v>
      </c>
      <c r="L1292" s="15">
        <f>'[01_Entry.xlsx]Book'!L1292</f>
        <v>0.0</v>
      </c>
      <c r="M1292" s="15">
        <f>'[01_Entry.xlsx]Book'!M1292</f>
        <v>0.0</v>
      </c>
      <c r="P1292" s="56">
        <f>IF($A1292="","",IFERROR(VALUE(MID($A1292,6,2)),""))</f>
        <v/>
      </c>
    </row>
    <row r="1293" spans="7:16">
      <c r="G1293" s="15">
        <f>'[01_Entry.xlsx]Book'!G1293</f>
        <v>0.0</v>
      </c>
      <c r="H1293" s="15">
        <f>'[01_Entry.xlsx]Book'!H1293</f>
        <v>0.0</v>
      </c>
      <c r="I1293" s="15">
        <f>'[01_Entry.xlsx]Book'!I1293</f>
        <v>0.0</v>
      </c>
      <c r="K1293" s="15">
        <f>'[01_Entry.xlsx]Book'!K1293</f>
        <v>0.0</v>
      </c>
      <c r="L1293" s="15">
        <f>'[01_Entry.xlsx]Book'!L1293</f>
        <v>0.0</v>
      </c>
      <c r="M1293" s="15">
        <f>'[01_Entry.xlsx]Book'!M1293</f>
        <v>0.0</v>
      </c>
      <c r="P1293" s="56">
        <f>IF($A1293="","",IFERROR(VALUE(MID($A1293,6,2)),""))</f>
        <v/>
      </c>
    </row>
    <row r="1294" spans="7:16">
      <c r="G1294" s="15">
        <f>'[01_Entry.xlsx]Book'!G1294</f>
        <v>0.0</v>
      </c>
      <c r="H1294" s="15">
        <f>'[01_Entry.xlsx]Book'!H1294</f>
        <v>0.0</v>
      </c>
      <c r="I1294" s="15">
        <f>'[01_Entry.xlsx]Book'!I1294</f>
        <v>0.0</v>
      </c>
      <c r="K1294" s="15">
        <f>'[01_Entry.xlsx]Book'!K1294</f>
        <v>0.0</v>
      </c>
      <c r="L1294" s="15">
        <f>'[01_Entry.xlsx]Book'!L1294</f>
        <v>0.0</v>
      </c>
      <c r="M1294" s="15">
        <f>'[01_Entry.xlsx]Book'!M1294</f>
        <v>0.0</v>
      </c>
      <c r="P1294" s="56">
        <f>IF($A1294="","",IFERROR(VALUE(MID($A1294,6,2)),""))</f>
        <v/>
      </c>
    </row>
    <row r="1295" spans="7:16">
      <c r="G1295" s="15">
        <f>'[01_Entry.xlsx]Book'!G1295</f>
        <v>0.0</v>
      </c>
      <c r="H1295" s="15">
        <f>'[01_Entry.xlsx]Book'!H1295</f>
        <v>0.0</v>
      </c>
      <c r="I1295" s="15">
        <f>'[01_Entry.xlsx]Book'!I1295</f>
        <v>0.0</v>
      </c>
      <c r="K1295" s="15">
        <f>'[01_Entry.xlsx]Book'!K1295</f>
        <v>0.0</v>
      </c>
      <c r="L1295" s="15">
        <f>'[01_Entry.xlsx]Book'!L1295</f>
        <v>0.0</v>
      </c>
      <c r="M1295" s="15">
        <f>'[01_Entry.xlsx]Book'!M1295</f>
        <v>0.0</v>
      </c>
      <c r="P1295" s="56">
        <f>IF($A1295="","",IFERROR(VALUE(MID($A1295,6,2)),""))</f>
        <v/>
      </c>
    </row>
    <row r="1296" spans="7:16">
      <c r="G1296" s="15">
        <f>'[01_Entry.xlsx]Book'!G1296</f>
        <v>0.0</v>
      </c>
      <c r="H1296" s="15">
        <f>'[01_Entry.xlsx]Book'!H1296</f>
        <v>0.0</v>
      </c>
      <c r="I1296" s="15">
        <f>'[01_Entry.xlsx]Book'!I1296</f>
        <v>0.0</v>
      </c>
      <c r="K1296" s="15">
        <f>'[01_Entry.xlsx]Book'!K1296</f>
        <v>0.0</v>
      </c>
      <c r="L1296" s="15">
        <f>'[01_Entry.xlsx]Book'!L1296</f>
        <v>0.0</v>
      </c>
      <c r="M1296" s="15">
        <f>'[01_Entry.xlsx]Book'!M1296</f>
        <v>0.0</v>
      </c>
      <c r="P1296" s="56">
        <f>IF($A1296="","",IFERROR(VALUE(MID($A1296,6,2)),""))</f>
        <v/>
      </c>
    </row>
    <row r="1297" spans="7:16">
      <c r="G1297" s="15">
        <f>'[01_Entry.xlsx]Book'!G1297</f>
        <v>0.0</v>
      </c>
      <c r="H1297" s="15">
        <f>'[01_Entry.xlsx]Book'!H1297</f>
        <v>0.0</v>
      </c>
      <c r="I1297" s="15">
        <f>'[01_Entry.xlsx]Book'!I1297</f>
        <v>0.0</v>
      </c>
      <c r="K1297" s="15">
        <f>'[01_Entry.xlsx]Book'!K1297</f>
        <v>0.0</v>
      </c>
      <c r="L1297" s="15">
        <f>'[01_Entry.xlsx]Book'!L1297</f>
        <v>0.0</v>
      </c>
      <c r="M1297" s="15">
        <f>'[01_Entry.xlsx]Book'!M1297</f>
        <v>0.0</v>
      </c>
      <c r="P1297" s="56">
        <f>IF($A1297="","",IFERROR(VALUE(MID($A1297,6,2)),""))</f>
        <v/>
      </c>
    </row>
    <row r="1298" spans="7:16">
      <c r="G1298" s="15">
        <f>'[01_Entry.xlsx]Book'!G1298</f>
        <v>0.0</v>
      </c>
      <c r="H1298" s="15">
        <f>'[01_Entry.xlsx]Book'!H1298</f>
        <v>0.0</v>
      </c>
      <c r="I1298" s="15">
        <f>'[01_Entry.xlsx]Book'!I1298</f>
        <v>0.0</v>
      </c>
      <c r="K1298" s="15">
        <f>'[01_Entry.xlsx]Book'!K1298</f>
        <v>0.0</v>
      </c>
      <c r="L1298" s="15">
        <f>'[01_Entry.xlsx]Book'!L1298</f>
        <v>0.0</v>
      </c>
      <c r="M1298" s="15">
        <f>'[01_Entry.xlsx]Book'!M1298</f>
        <v>0.0</v>
      </c>
      <c r="P1298" s="56">
        <f>IF($A1298="","",IFERROR(VALUE(MID($A1298,6,2)),""))</f>
        <v/>
      </c>
    </row>
    <row r="1299" spans="7:16">
      <c r="G1299" s="15">
        <f>'[01_Entry.xlsx]Book'!G1299</f>
        <v>0.0</v>
      </c>
      <c r="H1299" s="15">
        <f>'[01_Entry.xlsx]Book'!H1299</f>
        <v>0.0</v>
      </c>
      <c r="I1299" s="15">
        <f>'[01_Entry.xlsx]Book'!I1299</f>
        <v>0.0</v>
      </c>
      <c r="K1299" s="15">
        <f>'[01_Entry.xlsx]Book'!K1299</f>
        <v>0.0</v>
      </c>
      <c r="L1299" s="15">
        <f>'[01_Entry.xlsx]Book'!L1299</f>
        <v>0.0</v>
      </c>
      <c r="M1299" s="15">
        <f>'[01_Entry.xlsx]Book'!M1299</f>
        <v>0.0</v>
      </c>
      <c r="P1299" s="56">
        <f>IF($A1299="","",IFERROR(VALUE(MID($A1299,6,2)),""))</f>
        <v/>
      </c>
    </row>
    <row r="1300" spans="7:16">
      <c r="G1300" s="15">
        <f>'[01_Entry.xlsx]Book'!G1300</f>
        <v>0.0</v>
      </c>
      <c r="H1300" s="15">
        <f>'[01_Entry.xlsx]Book'!H1300</f>
        <v>0.0</v>
      </c>
      <c r="I1300" s="15">
        <f>'[01_Entry.xlsx]Book'!I1300</f>
        <v>0.0</v>
      </c>
      <c r="K1300" s="15">
        <f>'[01_Entry.xlsx]Book'!K1300</f>
        <v>0.0</v>
      </c>
      <c r="L1300" s="15">
        <f>'[01_Entry.xlsx]Book'!L1300</f>
        <v>0.0</v>
      </c>
      <c r="M1300" s="15">
        <f>'[01_Entry.xlsx]Book'!M1300</f>
        <v>0.0</v>
      </c>
      <c r="P1300" s="56">
        <f>IF($A1300="","",IFERROR(VALUE(MID($A1300,6,2)),""))</f>
        <v/>
      </c>
    </row>
    <row r="1301" spans="7:16">
      <c r="G1301" s="15">
        <f>'[01_Entry.xlsx]Book'!G1301</f>
        <v>0.0</v>
      </c>
      <c r="H1301" s="15">
        <f>'[01_Entry.xlsx]Book'!H1301</f>
        <v>0.0</v>
      </c>
      <c r="I1301" s="15">
        <f>'[01_Entry.xlsx]Book'!I1301</f>
        <v>0.0</v>
      </c>
      <c r="K1301" s="15">
        <f>'[01_Entry.xlsx]Book'!K1301</f>
        <v>0.0</v>
      </c>
      <c r="L1301" s="15">
        <f>'[01_Entry.xlsx]Book'!L1301</f>
        <v>0.0</v>
      </c>
      <c r="M1301" s="15">
        <f>'[01_Entry.xlsx]Book'!M1301</f>
        <v>0.0</v>
      </c>
      <c r="P1301" s="56">
        <f>IF($A1301="","",IFERROR(VALUE(MID($A1301,6,2)),""))</f>
        <v/>
      </c>
    </row>
    <row r="1302" spans="7:16">
      <c r="G1302" s="15">
        <f>'[01_Entry.xlsx]Book'!G1302</f>
        <v>0.0</v>
      </c>
      <c r="H1302" s="15">
        <f>'[01_Entry.xlsx]Book'!H1302</f>
        <v>0.0</v>
      </c>
      <c r="I1302" s="15">
        <f>'[01_Entry.xlsx]Book'!I1302</f>
        <v>0.0</v>
      </c>
      <c r="K1302" s="15">
        <f>'[01_Entry.xlsx]Book'!K1302</f>
        <v>0.0</v>
      </c>
      <c r="L1302" s="15">
        <f>'[01_Entry.xlsx]Book'!L1302</f>
        <v>0.0</v>
      </c>
      <c r="M1302" s="15">
        <f>'[01_Entry.xlsx]Book'!M1302</f>
        <v>0.0</v>
      </c>
      <c r="P1302" s="56">
        <f>IF($A1302="","",IFERROR(VALUE(MID($A1302,6,2)),""))</f>
        <v/>
      </c>
    </row>
    <row r="1303" spans="7:16">
      <c r="G1303" s="15">
        <f>'[01_Entry.xlsx]Book'!G1303</f>
        <v>0.0</v>
      </c>
      <c r="H1303" s="15">
        <f>'[01_Entry.xlsx]Book'!H1303</f>
        <v>0.0</v>
      </c>
      <c r="I1303" s="15">
        <f>'[01_Entry.xlsx]Book'!I1303</f>
        <v>0.0</v>
      </c>
      <c r="K1303" s="15">
        <f>'[01_Entry.xlsx]Book'!K1303</f>
        <v>0.0</v>
      </c>
      <c r="L1303" s="15">
        <f>'[01_Entry.xlsx]Book'!L1303</f>
        <v>0.0</v>
      </c>
      <c r="M1303" s="15">
        <f>'[01_Entry.xlsx]Book'!M1303</f>
        <v>0.0</v>
      </c>
      <c r="P1303" s="56">
        <f>IF($A1303="","",IFERROR(VALUE(MID($A1303,6,2)),""))</f>
        <v/>
      </c>
    </row>
    <row r="1304" spans="7:16">
      <c r="G1304" s="15">
        <f>'[01_Entry.xlsx]Book'!G1304</f>
        <v>0.0</v>
      </c>
      <c r="H1304" s="15">
        <f>'[01_Entry.xlsx]Book'!H1304</f>
        <v>0.0</v>
      </c>
      <c r="I1304" s="15">
        <f>'[01_Entry.xlsx]Book'!I1304</f>
        <v>0.0</v>
      </c>
      <c r="K1304" s="15">
        <f>'[01_Entry.xlsx]Book'!K1304</f>
        <v>0.0</v>
      </c>
      <c r="L1304" s="15">
        <f>'[01_Entry.xlsx]Book'!L1304</f>
        <v>0.0</v>
      </c>
      <c r="M1304" s="15">
        <f>'[01_Entry.xlsx]Book'!M1304</f>
        <v>0.0</v>
      </c>
      <c r="P1304" s="56">
        <f>IF($A1304="","",IFERROR(VALUE(MID($A1304,6,2)),""))</f>
        <v/>
      </c>
    </row>
    <row r="1305" spans="7:16">
      <c r="G1305" s="15">
        <f>'[01_Entry.xlsx]Book'!G1305</f>
        <v>0.0</v>
      </c>
      <c r="H1305" s="15">
        <f>'[01_Entry.xlsx]Book'!H1305</f>
        <v>0.0</v>
      </c>
      <c r="I1305" s="15">
        <f>'[01_Entry.xlsx]Book'!I1305</f>
        <v>0.0</v>
      </c>
      <c r="K1305" s="15">
        <f>'[01_Entry.xlsx]Book'!K1305</f>
        <v>0.0</v>
      </c>
      <c r="L1305" s="15">
        <f>'[01_Entry.xlsx]Book'!L1305</f>
        <v>0.0</v>
      </c>
      <c r="M1305" s="15">
        <f>'[01_Entry.xlsx]Book'!M1305</f>
        <v>0.0</v>
      </c>
      <c r="P1305" s="56">
        <f>IF($A1305="","",IFERROR(VALUE(MID($A1305,6,2)),""))</f>
        <v/>
      </c>
    </row>
    <row r="1306" spans="7:16">
      <c r="G1306" s="15">
        <f>'[01_Entry.xlsx]Book'!G1306</f>
        <v>0.0</v>
      </c>
      <c r="H1306" s="15">
        <f>'[01_Entry.xlsx]Book'!H1306</f>
        <v>0.0</v>
      </c>
      <c r="I1306" s="15">
        <f>'[01_Entry.xlsx]Book'!I1306</f>
        <v>0.0</v>
      </c>
      <c r="K1306" s="15">
        <f>'[01_Entry.xlsx]Book'!K1306</f>
        <v>0.0</v>
      </c>
      <c r="L1306" s="15">
        <f>'[01_Entry.xlsx]Book'!L1306</f>
        <v>0.0</v>
      </c>
      <c r="M1306" s="15">
        <f>'[01_Entry.xlsx]Book'!M1306</f>
        <v>0.0</v>
      </c>
      <c r="P1306" s="56">
        <f>IF($A1306="","",IFERROR(VALUE(MID($A1306,6,2)),""))</f>
        <v/>
      </c>
    </row>
    <row r="1307" spans="7:16">
      <c r="G1307" s="15">
        <f>'[01_Entry.xlsx]Book'!G1307</f>
        <v>0.0</v>
      </c>
      <c r="H1307" s="15">
        <f>'[01_Entry.xlsx]Book'!H1307</f>
        <v>0.0</v>
      </c>
      <c r="I1307" s="15">
        <f>'[01_Entry.xlsx]Book'!I1307</f>
        <v>0.0</v>
      </c>
      <c r="K1307" s="15">
        <f>'[01_Entry.xlsx]Book'!K1307</f>
        <v>0.0</v>
      </c>
      <c r="L1307" s="15">
        <f>'[01_Entry.xlsx]Book'!L1307</f>
        <v>0.0</v>
      </c>
      <c r="M1307" s="15">
        <f>'[01_Entry.xlsx]Book'!M1307</f>
        <v>0.0</v>
      </c>
      <c r="P1307" s="56">
        <f>IF($A1307="","",IFERROR(VALUE(MID($A1307,6,2)),""))</f>
        <v/>
      </c>
    </row>
    <row r="1308" spans="7:16">
      <c r="G1308" s="15">
        <f>'[01_Entry.xlsx]Book'!G1308</f>
        <v>0.0</v>
      </c>
      <c r="H1308" s="15">
        <f>'[01_Entry.xlsx]Book'!H1308</f>
        <v>0.0</v>
      </c>
      <c r="I1308" s="15">
        <f>'[01_Entry.xlsx]Book'!I1308</f>
        <v>0.0</v>
      </c>
      <c r="K1308" s="15">
        <f>'[01_Entry.xlsx]Book'!K1308</f>
        <v>0.0</v>
      </c>
      <c r="L1308" s="15">
        <f>'[01_Entry.xlsx]Book'!L1308</f>
        <v>0.0</v>
      </c>
      <c r="M1308" s="15">
        <f>'[01_Entry.xlsx]Book'!M1308</f>
        <v>0.0</v>
      </c>
      <c r="P1308" s="56">
        <f>IF($A1308="","",IFERROR(VALUE(MID($A1308,6,2)),""))</f>
        <v/>
      </c>
    </row>
    <row r="1309" spans="7:16">
      <c r="G1309" s="15">
        <f>'[01_Entry.xlsx]Book'!G1309</f>
        <v>0.0</v>
      </c>
      <c r="H1309" s="15">
        <f>'[01_Entry.xlsx]Book'!H1309</f>
        <v>0.0</v>
      </c>
      <c r="I1309" s="15">
        <f>'[01_Entry.xlsx]Book'!I1309</f>
        <v>0.0</v>
      </c>
      <c r="K1309" s="15">
        <f>'[01_Entry.xlsx]Book'!K1309</f>
        <v>0.0</v>
      </c>
      <c r="L1309" s="15">
        <f>'[01_Entry.xlsx]Book'!L1309</f>
        <v>0.0</v>
      </c>
      <c r="M1309" s="15">
        <f>'[01_Entry.xlsx]Book'!M1309</f>
        <v>0.0</v>
      </c>
      <c r="P1309" s="56">
        <f>IF($A1309="","",IFERROR(VALUE(MID($A1309,6,2)),""))</f>
        <v/>
      </c>
    </row>
    <row r="1310" spans="7:16">
      <c r="G1310" s="15">
        <f>'[01_Entry.xlsx]Book'!G1310</f>
        <v>0.0</v>
      </c>
      <c r="H1310" s="15">
        <f>'[01_Entry.xlsx]Book'!H1310</f>
        <v>0.0</v>
      </c>
      <c r="I1310" s="15">
        <f>'[01_Entry.xlsx]Book'!I1310</f>
        <v>0.0</v>
      </c>
      <c r="K1310" s="15">
        <f>'[01_Entry.xlsx]Book'!K1310</f>
        <v>0.0</v>
      </c>
      <c r="L1310" s="15">
        <f>'[01_Entry.xlsx]Book'!L1310</f>
        <v>0.0</v>
      </c>
      <c r="M1310" s="15">
        <f>'[01_Entry.xlsx]Book'!M1310</f>
        <v>0.0</v>
      </c>
      <c r="P1310" s="56">
        <f>IF($A1310="","",IFERROR(VALUE(MID($A1310,6,2)),""))</f>
        <v/>
      </c>
    </row>
    <row r="1311" spans="7:16">
      <c r="G1311" s="15">
        <f>'[01_Entry.xlsx]Book'!G1311</f>
        <v>0.0</v>
      </c>
      <c r="H1311" s="15">
        <f>'[01_Entry.xlsx]Book'!H1311</f>
        <v>0.0</v>
      </c>
      <c r="I1311" s="15">
        <f>'[01_Entry.xlsx]Book'!I1311</f>
        <v>0.0</v>
      </c>
      <c r="K1311" s="15">
        <f>'[01_Entry.xlsx]Book'!K1311</f>
        <v>0.0</v>
      </c>
      <c r="L1311" s="15">
        <f>'[01_Entry.xlsx]Book'!L1311</f>
        <v>0.0</v>
      </c>
      <c r="M1311" s="15">
        <f>'[01_Entry.xlsx]Book'!M1311</f>
        <v>0.0</v>
      </c>
      <c r="P1311" s="56">
        <f>IF($A1311="","",IFERROR(VALUE(MID($A1311,6,2)),""))</f>
        <v/>
      </c>
    </row>
    <row r="1312" spans="7:16">
      <c r="G1312" s="15">
        <f>'[01_Entry.xlsx]Book'!G1312</f>
        <v>0.0</v>
      </c>
      <c r="H1312" s="15">
        <f>'[01_Entry.xlsx]Book'!H1312</f>
        <v>0.0</v>
      </c>
      <c r="I1312" s="15">
        <f>'[01_Entry.xlsx]Book'!I1312</f>
        <v>0.0</v>
      </c>
      <c r="K1312" s="15">
        <f>'[01_Entry.xlsx]Book'!K1312</f>
        <v>0.0</v>
      </c>
      <c r="L1312" s="15">
        <f>'[01_Entry.xlsx]Book'!L1312</f>
        <v>0.0</v>
      </c>
      <c r="M1312" s="15">
        <f>'[01_Entry.xlsx]Book'!M1312</f>
        <v>0.0</v>
      </c>
      <c r="P1312" s="56">
        <f>IF($A1312="","",IFERROR(VALUE(MID($A1312,6,2)),""))</f>
        <v/>
      </c>
    </row>
    <row r="1313" spans="7:16">
      <c r="G1313" s="15">
        <f>'[01_Entry.xlsx]Book'!G1313</f>
        <v>0.0</v>
      </c>
      <c r="H1313" s="15">
        <f>'[01_Entry.xlsx]Book'!H1313</f>
        <v>0.0</v>
      </c>
      <c r="I1313" s="15">
        <f>'[01_Entry.xlsx]Book'!I1313</f>
        <v>0.0</v>
      </c>
      <c r="K1313" s="15">
        <f>'[01_Entry.xlsx]Book'!K1313</f>
        <v>0.0</v>
      </c>
      <c r="L1313" s="15">
        <f>'[01_Entry.xlsx]Book'!L1313</f>
        <v>0.0</v>
      </c>
      <c r="M1313" s="15">
        <f>'[01_Entry.xlsx]Book'!M1313</f>
        <v>0.0</v>
      </c>
      <c r="P1313" s="56">
        <f>IF($A1313="","",IFERROR(VALUE(MID($A1313,6,2)),""))</f>
        <v/>
      </c>
    </row>
    <row r="1314" spans="7:16">
      <c r="G1314" s="15">
        <f>'[01_Entry.xlsx]Book'!G1314</f>
        <v>0.0</v>
      </c>
      <c r="H1314" s="15">
        <f>'[01_Entry.xlsx]Book'!H1314</f>
        <v>0.0</v>
      </c>
      <c r="I1314" s="15">
        <f>'[01_Entry.xlsx]Book'!I1314</f>
        <v>0.0</v>
      </c>
      <c r="K1314" s="15">
        <f>'[01_Entry.xlsx]Book'!K1314</f>
        <v>0.0</v>
      </c>
      <c r="L1314" s="15">
        <f>'[01_Entry.xlsx]Book'!L1314</f>
        <v>0.0</v>
      </c>
      <c r="M1314" s="15">
        <f>'[01_Entry.xlsx]Book'!M1314</f>
        <v>0.0</v>
      </c>
      <c r="P1314" s="56">
        <f>IF($A1314="","",IFERROR(VALUE(MID($A1314,6,2)),""))</f>
        <v/>
      </c>
    </row>
    <row r="1315" spans="7:16">
      <c r="G1315" s="15">
        <f>'[01_Entry.xlsx]Book'!G1315</f>
        <v>0.0</v>
      </c>
      <c r="H1315" s="15">
        <f>'[01_Entry.xlsx]Book'!H1315</f>
        <v>0.0</v>
      </c>
      <c r="I1315" s="15">
        <f>'[01_Entry.xlsx]Book'!I1315</f>
        <v>0.0</v>
      </c>
      <c r="K1315" s="15">
        <f>'[01_Entry.xlsx]Book'!K1315</f>
        <v>0.0</v>
      </c>
      <c r="L1315" s="15">
        <f>'[01_Entry.xlsx]Book'!L1315</f>
        <v>0.0</v>
      </c>
      <c r="M1315" s="15">
        <f>'[01_Entry.xlsx]Book'!M1315</f>
        <v>0.0</v>
      </c>
      <c r="P1315" s="56">
        <f>IF($A1315="","",IFERROR(VALUE(MID($A1315,6,2)),""))</f>
        <v/>
      </c>
    </row>
    <row r="1316" spans="7:16">
      <c r="G1316" s="15">
        <f>'[01_Entry.xlsx]Book'!G1316</f>
        <v>0.0</v>
      </c>
      <c r="H1316" s="15">
        <f>'[01_Entry.xlsx]Book'!H1316</f>
        <v>0.0</v>
      </c>
      <c r="I1316" s="15">
        <f>'[01_Entry.xlsx]Book'!I1316</f>
        <v>0.0</v>
      </c>
      <c r="K1316" s="15">
        <f>'[01_Entry.xlsx]Book'!K1316</f>
        <v>0.0</v>
      </c>
      <c r="L1316" s="15">
        <f>'[01_Entry.xlsx]Book'!L1316</f>
        <v>0.0</v>
      </c>
      <c r="M1316" s="15">
        <f>'[01_Entry.xlsx]Book'!M1316</f>
        <v>0.0</v>
      </c>
      <c r="P1316" s="56">
        <f>IF($A1316="","",IFERROR(VALUE(MID($A1316,6,2)),""))</f>
        <v/>
      </c>
    </row>
    <row r="1317" spans="7:16">
      <c r="G1317" s="15">
        <f>'[01_Entry.xlsx]Book'!G1317</f>
        <v>0.0</v>
      </c>
      <c r="H1317" s="15">
        <f>'[01_Entry.xlsx]Book'!H1317</f>
        <v>0.0</v>
      </c>
      <c r="I1317" s="15">
        <f>'[01_Entry.xlsx]Book'!I1317</f>
        <v>0.0</v>
      </c>
      <c r="K1317" s="15">
        <f>'[01_Entry.xlsx]Book'!K1317</f>
        <v>0.0</v>
      </c>
      <c r="L1317" s="15">
        <f>'[01_Entry.xlsx]Book'!L1317</f>
        <v>0.0</v>
      </c>
      <c r="M1317" s="15">
        <f>'[01_Entry.xlsx]Book'!M1317</f>
        <v>0.0</v>
      </c>
      <c r="P1317" s="56">
        <f>IF($A1317="","",IFERROR(VALUE(MID($A1317,6,2)),""))</f>
        <v/>
      </c>
    </row>
    <row r="1318" spans="7:16">
      <c r="G1318" s="15">
        <f>'[01_Entry.xlsx]Book'!G1318</f>
        <v>0.0</v>
      </c>
      <c r="H1318" s="15">
        <f>'[01_Entry.xlsx]Book'!H1318</f>
        <v>0.0</v>
      </c>
      <c r="I1318" s="15">
        <f>'[01_Entry.xlsx]Book'!I1318</f>
        <v>0.0</v>
      </c>
      <c r="K1318" s="15">
        <f>'[01_Entry.xlsx]Book'!K1318</f>
        <v>0.0</v>
      </c>
      <c r="L1318" s="15">
        <f>'[01_Entry.xlsx]Book'!L1318</f>
        <v>0.0</v>
      </c>
      <c r="M1318" s="15">
        <f>'[01_Entry.xlsx]Book'!M1318</f>
        <v>0.0</v>
      </c>
      <c r="P1318" s="56">
        <f>IF($A1318="","",IFERROR(VALUE(MID($A1318,6,2)),""))</f>
        <v/>
      </c>
    </row>
    <row r="1319" spans="7:16">
      <c r="G1319" s="15">
        <f>'[01_Entry.xlsx]Book'!G1319</f>
        <v>0.0</v>
      </c>
      <c r="H1319" s="15">
        <f>'[01_Entry.xlsx]Book'!H1319</f>
        <v>0.0</v>
      </c>
      <c r="I1319" s="15">
        <f>'[01_Entry.xlsx]Book'!I1319</f>
        <v>0.0</v>
      </c>
      <c r="K1319" s="15">
        <f>'[01_Entry.xlsx]Book'!K1319</f>
        <v>0.0</v>
      </c>
      <c r="L1319" s="15">
        <f>'[01_Entry.xlsx]Book'!L1319</f>
        <v>0.0</v>
      </c>
      <c r="M1319" s="15">
        <f>'[01_Entry.xlsx]Book'!M1319</f>
        <v>0.0</v>
      </c>
      <c r="P1319" s="56">
        <f>IF($A1319="","",IFERROR(VALUE(MID($A1319,6,2)),""))</f>
        <v/>
      </c>
    </row>
    <row r="1320" spans="7:16">
      <c r="G1320" s="15">
        <f>'[01_Entry.xlsx]Book'!G1320</f>
        <v>0.0</v>
      </c>
      <c r="H1320" s="15">
        <f>'[01_Entry.xlsx]Book'!H1320</f>
        <v>0.0</v>
      </c>
      <c r="I1320" s="15">
        <f>'[01_Entry.xlsx]Book'!I1320</f>
        <v>0.0</v>
      </c>
      <c r="K1320" s="15">
        <f>'[01_Entry.xlsx]Book'!K1320</f>
        <v>0.0</v>
      </c>
      <c r="L1320" s="15">
        <f>'[01_Entry.xlsx]Book'!L1320</f>
        <v>0.0</v>
      </c>
      <c r="M1320" s="15">
        <f>'[01_Entry.xlsx]Book'!M1320</f>
        <v>0.0</v>
      </c>
      <c r="P1320" s="56">
        <f>IF($A1320="","",IFERROR(VALUE(MID($A1320,6,2)),""))</f>
        <v/>
      </c>
    </row>
    <row r="1321" spans="7:16">
      <c r="G1321" s="15">
        <f>'[01_Entry.xlsx]Book'!G1321</f>
        <v>0.0</v>
      </c>
      <c r="H1321" s="15">
        <f>'[01_Entry.xlsx]Book'!H1321</f>
        <v>0.0</v>
      </c>
      <c r="I1321" s="15">
        <f>'[01_Entry.xlsx]Book'!I1321</f>
        <v>0.0</v>
      </c>
      <c r="K1321" s="15">
        <f>'[01_Entry.xlsx]Book'!K1321</f>
        <v>0.0</v>
      </c>
      <c r="L1321" s="15">
        <f>'[01_Entry.xlsx]Book'!L1321</f>
        <v>0.0</v>
      </c>
      <c r="M1321" s="15">
        <f>'[01_Entry.xlsx]Book'!M1321</f>
        <v>0.0</v>
      </c>
      <c r="P1321" s="56">
        <f>IF($A1321="","",IFERROR(VALUE(MID($A1321,6,2)),""))</f>
        <v/>
      </c>
    </row>
    <row r="1322" spans="7:16">
      <c r="G1322" s="15">
        <f>'[01_Entry.xlsx]Book'!G1322</f>
        <v>0.0</v>
      </c>
      <c r="H1322" s="15">
        <f>'[01_Entry.xlsx]Book'!H1322</f>
        <v>0.0</v>
      </c>
      <c r="I1322" s="15">
        <f>'[01_Entry.xlsx]Book'!I1322</f>
        <v>0.0</v>
      </c>
      <c r="K1322" s="15">
        <f>'[01_Entry.xlsx]Book'!K1322</f>
        <v>0.0</v>
      </c>
      <c r="L1322" s="15">
        <f>'[01_Entry.xlsx]Book'!L1322</f>
        <v>0.0</v>
      </c>
      <c r="M1322" s="15">
        <f>'[01_Entry.xlsx]Book'!M1322</f>
        <v>0.0</v>
      </c>
      <c r="P1322" s="56">
        <f>IF($A1322="","",IFERROR(VALUE(MID($A1322,6,2)),""))</f>
        <v/>
      </c>
    </row>
    <row r="1323" spans="7:16">
      <c r="G1323" s="15">
        <f>'[01_Entry.xlsx]Book'!G1323</f>
        <v>0.0</v>
      </c>
      <c r="H1323" s="15">
        <f>'[01_Entry.xlsx]Book'!H1323</f>
        <v>0.0</v>
      </c>
      <c r="I1323" s="15">
        <f>'[01_Entry.xlsx]Book'!I1323</f>
        <v>0.0</v>
      </c>
      <c r="K1323" s="15">
        <f>'[01_Entry.xlsx]Book'!K1323</f>
        <v>0.0</v>
      </c>
      <c r="L1323" s="15">
        <f>'[01_Entry.xlsx]Book'!L1323</f>
        <v>0.0</v>
      </c>
      <c r="M1323" s="15">
        <f>'[01_Entry.xlsx]Book'!M1323</f>
        <v>0.0</v>
      </c>
      <c r="P1323" s="56">
        <f>IF($A1323="","",IFERROR(VALUE(MID($A1323,6,2)),""))</f>
        <v/>
      </c>
    </row>
    <row r="1324" spans="7:16">
      <c r="G1324" s="15">
        <f>'[01_Entry.xlsx]Book'!G1324</f>
        <v>0.0</v>
      </c>
      <c r="H1324" s="15">
        <f>'[01_Entry.xlsx]Book'!H1324</f>
        <v>0.0</v>
      </c>
      <c r="I1324" s="15">
        <f>'[01_Entry.xlsx]Book'!I1324</f>
        <v>0.0</v>
      </c>
      <c r="K1324" s="15">
        <f>'[01_Entry.xlsx]Book'!K1324</f>
        <v>0.0</v>
      </c>
      <c r="L1324" s="15">
        <f>'[01_Entry.xlsx]Book'!L1324</f>
        <v>0.0</v>
      </c>
      <c r="M1324" s="15">
        <f>'[01_Entry.xlsx]Book'!M1324</f>
        <v>0.0</v>
      </c>
      <c r="P1324" s="56">
        <f>IF($A1324="","",IFERROR(VALUE(MID($A1324,6,2)),""))</f>
        <v/>
      </c>
    </row>
    <row r="1325" spans="7:16">
      <c r="G1325" s="15">
        <f>'[01_Entry.xlsx]Book'!G1325</f>
        <v>0.0</v>
      </c>
      <c r="H1325" s="15">
        <f>'[01_Entry.xlsx]Book'!H1325</f>
        <v>0.0</v>
      </c>
      <c r="I1325" s="15">
        <f>'[01_Entry.xlsx]Book'!I1325</f>
        <v>0.0</v>
      </c>
      <c r="K1325" s="15">
        <f>'[01_Entry.xlsx]Book'!K1325</f>
        <v>0.0</v>
      </c>
      <c r="L1325" s="15">
        <f>'[01_Entry.xlsx]Book'!L1325</f>
        <v>0.0</v>
      </c>
      <c r="M1325" s="15">
        <f>'[01_Entry.xlsx]Book'!M1325</f>
        <v>0.0</v>
      </c>
      <c r="P1325" s="56">
        <f>IF($A1325="","",IFERROR(VALUE(MID($A1325,6,2)),""))</f>
        <v/>
      </c>
    </row>
    <row r="1326" spans="7:16">
      <c r="G1326" s="15">
        <f>'[01_Entry.xlsx]Book'!G1326</f>
        <v>0.0</v>
      </c>
      <c r="H1326" s="15">
        <f>'[01_Entry.xlsx]Book'!H1326</f>
        <v>0.0</v>
      </c>
      <c r="I1326" s="15">
        <f>'[01_Entry.xlsx]Book'!I1326</f>
        <v>0.0</v>
      </c>
      <c r="K1326" s="15">
        <f>'[01_Entry.xlsx]Book'!K1326</f>
        <v>0.0</v>
      </c>
      <c r="L1326" s="15">
        <f>'[01_Entry.xlsx]Book'!L1326</f>
        <v>0.0</v>
      </c>
      <c r="M1326" s="15">
        <f>'[01_Entry.xlsx]Book'!M1326</f>
        <v>0.0</v>
      </c>
      <c r="P1326" s="56">
        <f>IF($A1326="","",IFERROR(VALUE(MID($A1326,6,2)),""))</f>
        <v/>
      </c>
    </row>
    <row r="1327" spans="7:16">
      <c r="G1327" s="15">
        <f>'[01_Entry.xlsx]Book'!G1327</f>
        <v>0.0</v>
      </c>
      <c r="H1327" s="15">
        <f>'[01_Entry.xlsx]Book'!H1327</f>
        <v>0.0</v>
      </c>
      <c r="I1327" s="15">
        <f>'[01_Entry.xlsx]Book'!I1327</f>
        <v>0.0</v>
      </c>
      <c r="K1327" s="15">
        <f>'[01_Entry.xlsx]Book'!K1327</f>
        <v>0.0</v>
      </c>
      <c r="L1327" s="15">
        <f>'[01_Entry.xlsx]Book'!L1327</f>
        <v>0.0</v>
      </c>
      <c r="M1327" s="15">
        <f>'[01_Entry.xlsx]Book'!M1327</f>
        <v>0.0</v>
      </c>
      <c r="P1327" s="56">
        <f>IF($A1327="","",IFERROR(VALUE(MID($A1327,6,2)),""))</f>
        <v/>
      </c>
    </row>
    <row r="1328" spans="7:16">
      <c r="G1328" s="15">
        <f>'[01_Entry.xlsx]Book'!G1328</f>
        <v>0.0</v>
      </c>
      <c r="H1328" s="15">
        <f>'[01_Entry.xlsx]Book'!H1328</f>
        <v>0.0</v>
      </c>
      <c r="I1328" s="15">
        <f>'[01_Entry.xlsx]Book'!I1328</f>
        <v>0.0</v>
      </c>
      <c r="K1328" s="15">
        <f>'[01_Entry.xlsx]Book'!K1328</f>
        <v>0.0</v>
      </c>
      <c r="L1328" s="15">
        <f>'[01_Entry.xlsx]Book'!L1328</f>
        <v>0.0</v>
      </c>
      <c r="M1328" s="15">
        <f>'[01_Entry.xlsx]Book'!M1328</f>
        <v>0.0</v>
      </c>
      <c r="P1328" s="56">
        <f>IF($A1328="","",IFERROR(VALUE(MID($A1328,6,2)),""))</f>
        <v/>
      </c>
    </row>
    <row r="1329" spans="7:16">
      <c r="G1329" s="15">
        <f>'[01_Entry.xlsx]Book'!G1329</f>
        <v>0.0</v>
      </c>
      <c r="H1329" s="15">
        <f>'[01_Entry.xlsx]Book'!H1329</f>
        <v>0.0</v>
      </c>
      <c r="I1329" s="15">
        <f>'[01_Entry.xlsx]Book'!I1329</f>
        <v>0.0</v>
      </c>
      <c r="K1329" s="15">
        <f>'[01_Entry.xlsx]Book'!K1329</f>
        <v>0.0</v>
      </c>
      <c r="L1329" s="15">
        <f>'[01_Entry.xlsx]Book'!L1329</f>
        <v>0.0</v>
      </c>
      <c r="M1329" s="15">
        <f>'[01_Entry.xlsx]Book'!M1329</f>
        <v>0.0</v>
      </c>
      <c r="P1329" s="56">
        <f>IF($A1329="","",IFERROR(VALUE(MID($A1329,6,2)),""))</f>
        <v/>
      </c>
    </row>
    <row r="1330" spans="7:16">
      <c r="G1330" s="15">
        <f>'[01_Entry.xlsx]Book'!G1330</f>
        <v>0.0</v>
      </c>
      <c r="H1330" s="15">
        <f>'[01_Entry.xlsx]Book'!H1330</f>
        <v>0.0</v>
      </c>
      <c r="I1330" s="15">
        <f>'[01_Entry.xlsx]Book'!I1330</f>
        <v>0.0</v>
      </c>
      <c r="K1330" s="15">
        <f>'[01_Entry.xlsx]Book'!K1330</f>
        <v>0.0</v>
      </c>
      <c r="L1330" s="15">
        <f>'[01_Entry.xlsx]Book'!L1330</f>
        <v>0.0</v>
      </c>
      <c r="M1330" s="15">
        <f>'[01_Entry.xlsx]Book'!M1330</f>
        <v>0.0</v>
      </c>
      <c r="P1330" s="56">
        <f>IF($A1330="","",IFERROR(VALUE(MID($A1330,6,2)),""))</f>
        <v/>
      </c>
    </row>
    <row r="1331" spans="7:16">
      <c r="G1331" s="15">
        <f>'[01_Entry.xlsx]Book'!G1331</f>
        <v>0.0</v>
      </c>
      <c r="H1331" s="15">
        <f>'[01_Entry.xlsx]Book'!H1331</f>
        <v>0.0</v>
      </c>
      <c r="I1331" s="15">
        <f>'[01_Entry.xlsx]Book'!I1331</f>
        <v>0.0</v>
      </c>
      <c r="K1331" s="15">
        <f>'[01_Entry.xlsx]Book'!K1331</f>
        <v>0.0</v>
      </c>
      <c r="L1331" s="15">
        <f>'[01_Entry.xlsx]Book'!L1331</f>
        <v>0.0</v>
      </c>
      <c r="M1331" s="15">
        <f>'[01_Entry.xlsx]Book'!M1331</f>
        <v>0.0</v>
      </c>
      <c r="P1331" s="56">
        <f>IF($A1331="","",IFERROR(VALUE(MID($A1331,6,2)),""))</f>
        <v/>
      </c>
    </row>
    <row r="1332" spans="7:16">
      <c r="G1332" s="15">
        <f>'[01_Entry.xlsx]Book'!G1332</f>
        <v>0.0</v>
      </c>
      <c r="H1332" s="15">
        <f>'[01_Entry.xlsx]Book'!H1332</f>
        <v>0.0</v>
      </c>
      <c r="I1332" s="15">
        <f>'[01_Entry.xlsx]Book'!I1332</f>
        <v>0.0</v>
      </c>
      <c r="K1332" s="15">
        <f>'[01_Entry.xlsx]Book'!K1332</f>
        <v>0.0</v>
      </c>
      <c r="L1332" s="15">
        <f>'[01_Entry.xlsx]Book'!L1332</f>
        <v>0.0</v>
      </c>
      <c r="M1332" s="15">
        <f>'[01_Entry.xlsx]Book'!M1332</f>
        <v>0.0</v>
      </c>
      <c r="P1332" s="56">
        <f>IF($A1332="","",IFERROR(VALUE(MID($A1332,6,2)),""))</f>
        <v/>
      </c>
    </row>
    <row r="1333" spans="7:16">
      <c r="G1333" s="15">
        <f>'[01_Entry.xlsx]Book'!G1333</f>
        <v>0.0</v>
      </c>
      <c r="H1333" s="15">
        <f>'[01_Entry.xlsx]Book'!H1333</f>
        <v>0.0</v>
      </c>
      <c r="I1333" s="15">
        <f>'[01_Entry.xlsx]Book'!I1333</f>
        <v>0.0</v>
      </c>
      <c r="K1333" s="15">
        <f>'[01_Entry.xlsx]Book'!K1333</f>
        <v>0.0</v>
      </c>
      <c r="L1333" s="15">
        <f>'[01_Entry.xlsx]Book'!L1333</f>
        <v>0.0</v>
      </c>
      <c r="M1333" s="15">
        <f>'[01_Entry.xlsx]Book'!M1333</f>
        <v>0.0</v>
      </c>
      <c r="P1333" s="56">
        <f>IF($A1333="","",IFERROR(VALUE(MID($A1333,6,2)),""))</f>
        <v/>
      </c>
    </row>
    <row r="1334" spans="7:16">
      <c r="G1334" s="15">
        <f>'[01_Entry.xlsx]Book'!G1334</f>
        <v>0.0</v>
      </c>
      <c r="H1334" s="15">
        <f>'[01_Entry.xlsx]Book'!H1334</f>
        <v>0.0</v>
      </c>
      <c r="I1334" s="15">
        <f>'[01_Entry.xlsx]Book'!I1334</f>
        <v>0.0</v>
      </c>
      <c r="K1334" s="15">
        <f>'[01_Entry.xlsx]Book'!K1334</f>
        <v>0.0</v>
      </c>
      <c r="L1334" s="15">
        <f>'[01_Entry.xlsx]Book'!L1334</f>
        <v>0.0</v>
      </c>
      <c r="M1334" s="15">
        <f>'[01_Entry.xlsx]Book'!M1334</f>
        <v>0.0</v>
      </c>
      <c r="P1334" s="56">
        <f>IF($A1334="","",IFERROR(VALUE(MID($A1334,6,2)),""))</f>
        <v/>
      </c>
    </row>
    <row r="1335" spans="7:16">
      <c r="G1335" s="15">
        <f>'[01_Entry.xlsx]Book'!G1335</f>
        <v>0.0</v>
      </c>
      <c r="H1335" s="15">
        <f>'[01_Entry.xlsx]Book'!H1335</f>
        <v>0.0</v>
      </c>
      <c r="I1335" s="15">
        <f>'[01_Entry.xlsx]Book'!I1335</f>
        <v>0.0</v>
      </c>
      <c r="K1335" s="15">
        <f>'[01_Entry.xlsx]Book'!K1335</f>
        <v>0.0</v>
      </c>
      <c r="L1335" s="15">
        <f>'[01_Entry.xlsx]Book'!L1335</f>
        <v>0.0</v>
      </c>
      <c r="M1335" s="15">
        <f>'[01_Entry.xlsx]Book'!M1335</f>
        <v>0.0</v>
      </c>
      <c r="P1335" s="56">
        <f>IF($A1335="","",IFERROR(VALUE(MID($A1335,6,2)),""))</f>
        <v/>
      </c>
    </row>
    <row r="1336" spans="7:16">
      <c r="G1336" s="15">
        <f>'[01_Entry.xlsx]Book'!G1336</f>
        <v>0.0</v>
      </c>
      <c r="H1336" s="15">
        <f>'[01_Entry.xlsx]Book'!H1336</f>
        <v>0.0</v>
      </c>
      <c r="I1336" s="15">
        <f>'[01_Entry.xlsx]Book'!I1336</f>
        <v>0.0</v>
      </c>
      <c r="K1336" s="15">
        <f>'[01_Entry.xlsx]Book'!K1336</f>
        <v>0.0</v>
      </c>
      <c r="L1336" s="15">
        <f>'[01_Entry.xlsx]Book'!L1336</f>
        <v>0.0</v>
      </c>
      <c r="M1336" s="15">
        <f>'[01_Entry.xlsx]Book'!M1336</f>
        <v>0.0</v>
      </c>
      <c r="P1336" s="56">
        <f>IF($A1336="","",IFERROR(VALUE(MID($A1336,6,2)),""))</f>
        <v/>
      </c>
    </row>
    <row r="1337" spans="7:16">
      <c r="G1337" s="15">
        <f>'[01_Entry.xlsx]Book'!G1337</f>
        <v>0.0</v>
      </c>
      <c r="H1337" s="15">
        <f>'[01_Entry.xlsx]Book'!H1337</f>
        <v>0.0</v>
      </c>
      <c r="I1337" s="15">
        <f>'[01_Entry.xlsx]Book'!I1337</f>
        <v>0.0</v>
      </c>
      <c r="K1337" s="15">
        <f>'[01_Entry.xlsx]Book'!K1337</f>
        <v>0.0</v>
      </c>
      <c r="L1337" s="15">
        <f>'[01_Entry.xlsx]Book'!L1337</f>
        <v>0.0</v>
      </c>
      <c r="M1337" s="15">
        <f>'[01_Entry.xlsx]Book'!M1337</f>
        <v>0.0</v>
      </c>
      <c r="P1337" s="56">
        <f>IF($A1337="","",IFERROR(VALUE(MID($A1337,6,2)),""))</f>
        <v/>
      </c>
    </row>
    <row r="1338" spans="7:16">
      <c r="G1338" s="15">
        <f>'[01_Entry.xlsx]Book'!G1338</f>
        <v>0.0</v>
      </c>
      <c r="H1338" s="15">
        <f>'[01_Entry.xlsx]Book'!H1338</f>
        <v>0.0</v>
      </c>
      <c r="I1338" s="15">
        <f>'[01_Entry.xlsx]Book'!I1338</f>
        <v>0.0</v>
      </c>
      <c r="K1338" s="15">
        <f>'[01_Entry.xlsx]Book'!K1338</f>
        <v>0.0</v>
      </c>
      <c r="L1338" s="15">
        <f>'[01_Entry.xlsx]Book'!L1338</f>
        <v>0.0</v>
      </c>
      <c r="M1338" s="15">
        <f>'[01_Entry.xlsx]Book'!M1338</f>
        <v>0.0</v>
      </c>
      <c r="P1338" s="56">
        <f>IF($A1338="","",IFERROR(VALUE(MID($A1338,6,2)),""))</f>
        <v/>
      </c>
    </row>
    <row r="1339" spans="7:16">
      <c r="G1339" s="15">
        <f>'[01_Entry.xlsx]Book'!G1339</f>
        <v>0.0</v>
      </c>
      <c r="H1339" s="15">
        <f>'[01_Entry.xlsx]Book'!H1339</f>
        <v>0.0</v>
      </c>
      <c r="I1339" s="15">
        <f>'[01_Entry.xlsx]Book'!I1339</f>
        <v>0.0</v>
      </c>
      <c r="K1339" s="15">
        <f>'[01_Entry.xlsx]Book'!K1339</f>
        <v>0.0</v>
      </c>
      <c r="L1339" s="15">
        <f>'[01_Entry.xlsx]Book'!L1339</f>
        <v>0.0</v>
      </c>
      <c r="M1339" s="15">
        <f>'[01_Entry.xlsx]Book'!M1339</f>
        <v>0.0</v>
      </c>
      <c r="P1339" s="56">
        <f>IF($A1339="","",IFERROR(VALUE(MID($A1339,6,2)),""))</f>
        <v/>
      </c>
    </row>
    <row r="1340" spans="7:16">
      <c r="G1340" s="15">
        <f>'[01_Entry.xlsx]Book'!G1340</f>
        <v>0.0</v>
      </c>
      <c r="H1340" s="15">
        <f>'[01_Entry.xlsx]Book'!H1340</f>
        <v>0.0</v>
      </c>
      <c r="I1340" s="15">
        <f>'[01_Entry.xlsx]Book'!I1340</f>
        <v>0.0</v>
      </c>
      <c r="K1340" s="15">
        <f>'[01_Entry.xlsx]Book'!K1340</f>
        <v>0.0</v>
      </c>
      <c r="L1340" s="15">
        <f>'[01_Entry.xlsx]Book'!L1340</f>
        <v>0.0</v>
      </c>
      <c r="M1340" s="15">
        <f>'[01_Entry.xlsx]Book'!M1340</f>
        <v>0.0</v>
      </c>
      <c r="P1340" s="56">
        <f>IF($A1340="","",IFERROR(VALUE(MID($A1340,6,2)),""))</f>
        <v/>
      </c>
    </row>
    <row r="1341" spans="7:16">
      <c r="G1341" s="15">
        <f>'[01_Entry.xlsx]Book'!G1341</f>
        <v>0.0</v>
      </c>
      <c r="H1341" s="15">
        <f>'[01_Entry.xlsx]Book'!H1341</f>
        <v>0.0</v>
      </c>
      <c r="I1341" s="15">
        <f>'[01_Entry.xlsx]Book'!I1341</f>
        <v>0.0</v>
      </c>
      <c r="K1341" s="15">
        <f>'[01_Entry.xlsx]Book'!K1341</f>
        <v>0.0</v>
      </c>
      <c r="L1341" s="15">
        <f>'[01_Entry.xlsx]Book'!L1341</f>
        <v>0.0</v>
      </c>
      <c r="M1341" s="15">
        <f>'[01_Entry.xlsx]Book'!M1341</f>
        <v>0.0</v>
      </c>
      <c r="P1341" s="56">
        <f>IF($A1341="","",IFERROR(VALUE(MID($A1341,6,2)),""))</f>
        <v/>
      </c>
    </row>
    <row r="1342" spans="7:16">
      <c r="G1342" s="15">
        <f>'[01_Entry.xlsx]Book'!G1342</f>
        <v>0.0</v>
      </c>
      <c r="H1342" s="15">
        <f>'[01_Entry.xlsx]Book'!H1342</f>
        <v>0.0</v>
      </c>
      <c r="I1342" s="15">
        <f>'[01_Entry.xlsx]Book'!I1342</f>
        <v>0.0</v>
      </c>
      <c r="K1342" s="15">
        <f>'[01_Entry.xlsx]Book'!K1342</f>
        <v>0.0</v>
      </c>
      <c r="L1342" s="15">
        <f>'[01_Entry.xlsx]Book'!L1342</f>
        <v>0.0</v>
      </c>
      <c r="M1342" s="15">
        <f>'[01_Entry.xlsx]Book'!M1342</f>
        <v>0.0</v>
      </c>
      <c r="P1342" s="56">
        <f>IF($A1342="","",IFERROR(VALUE(MID($A1342,6,2)),""))</f>
        <v/>
      </c>
    </row>
    <row r="1343" spans="7:16">
      <c r="G1343" s="15">
        <f>'[01_Entry.xlsx]Book'!G1343</f>
        <v>0.0</v>
      </c>
      <c r="H1343" s="15">
        <f>'[01_Entry.xlsx]Book'!H1343</f>
        <v>0.0</v>
      </c>
      <c r="I1343" s="15">
        <f>'[01_Entry.xlsx]Book'!I1343</f>
        <v>0.0</v>
      </c>
      <c r="K1343" s="15">
        <f>'[01_Entry.xlsx]Book'!K1343</f>
        <v>0.0</v>
      </c>
      <c r="L1343" s="15">
        <f>'[01_Entry.xlsx]Book'!L1343</f>
        <v>0.0</v>
      </c>
      <c r="M1343" s="15">
        <f>'[01_Entry.xlsx]Book'!M1343</f>
        <v>0.0</v>
      </c>
      <c r="P1343" s="56">
        <f>IF($A1343="","",IFERROR(VALUE(MID($A1343,6,2)),""))</f>
        <v/>
      </c>
    </row>
    <row r="1344" spans="7:16">
      <c r="G1344" s="15">
        <f>'[01_Entry.xlsx]Book'!G1344</f>
        <v>0.0</v>
      </c>
      <c r="H1344" s="15">
        <f>'[01_Entry.xlsx]Book'!H1344</f>
        <v>0.0</v>
      </c>
      <c r="I1344" s="15">
        <f>'[01_Entry.xlsx]Book'!I1344</f>
        <v>0.0</v>
      </c>
      <c r="K1344" s="15">
        <f>'[01_Entry.xlsx]Book'!K1344</f>
        <v>0.0</v>
      </c>
      <c r="L1344" s="15">
        <f>'[01_Entry.xlsx]Book'!L1344</f>
        <v>0.0</v>
      </c>
      <c r="M1344" s="15">
        <f>'[01_Entry.xlsx]Book'!M1344</f>
        <v>0.0</v>
      </c>
      <c r="P1344" s="56">
        <f>IF($A1344="","",IFERROR(VALUE(MID($A1344,6,2)),""))</f>
        <v/>
      </c>
    </row>
    <row r="1345" spans="7:16">
      <c r="G1345" s="15">
        <f>'[01_Entry.xlsx]Book'!G1345</f>
        <v>0.0</v>
      </c>
      <c r="H1345" s="15">
        <f>'[01_Entry.xlsx]Book'!H1345</f>
        <v>0.0</v>
      </c>
      <c r="I1345" s="15">
        <f>'[01_Entry.xlsx]Book'!I1345</f>
        <v>0.0</v>
      </c>
      <c r="K1345" s="15">
        <f>'[01_Entry.xlsx]Book'!K1345</f>
        <v>0.0</v>
      </c>
      <c r="L1345" s="15">
        <f>'[01_Entry.xlsx]Book'!L1345</f>
        <v>0.0</v>
      </c>
      <c r="M1345" s="15">
        <f>'[01_Entry.xlsx]Book'!M1345</f>
        <v>0.0</v>
      </c>
      <c r="P1345" s="56">
        <f>IF($A1345="","",IFERROR(VALUE(MID($A1345,6,2)),""))</f>
        <v/>
      </c>
    </row>
    <row r="1346" spans="7:16">
      <c r="G1346" s="15">
        <f>'[01_Entry.xlsx]Book'!G1346</f>
        <v>0.0</v>
      </c>
      <c r="H1346" s="15">
        <f>'[01_Entry.xlsx]Book'!H1346</f>
        <v>0.0</v>
      </c>
      <c r="I1346" s="15">
        <f>'[01_Entry.xlsx]Book'!I1346</f>
        <v>0.0</v>
      </c>
      <c r="K1346" s="15">
        <f>'[01_Entry.xlsx]Book'!K1346</f>
        <v>0.0</v>
      </c>
      <c r="L1346" s="15">
        <f>'[01_Entry.xlsx]Book'!L1346</f>
        <v>0.0</v>
      </c>
      <c r="M1346" s="15">
        <f>'[01_Entry.xlsx]Book'!M1346</f>
        <v>0.0</v>
      </c>
      <c r="P1346" s="56">
        <f>IF($A1346="","",IFERROR(VALUE(MID($A1346,6,2)),""))</f>
        <v/>
      </c>
    </row>
    <row r="1347" spans="7:16">
      <c r="G1347" s="15">
        <f>'[01_Entry.xlsx]Book'!G1347</f>
        <v>0.0</v>
      </c>
      <c r="H1347" s="15">
        <f>'[01_Entry.xlsx]Book'!H1347</f>
        <v>0.0</v>
      </c>
      <c r="I1347" s="15">
        <f>'[01_Entry.xlsx]Book'!I1347</f>
        <v>0.0</v>
      </c>
      <c r="K1347" s="15">
        <f>'[01_Entry.xlsx]Book'!K1347</f>
        <v>0.0</v>
      </c>
      <c r="L1347" s="15">
        <f>'[01_Entry.xlsx]Book'!L1347</f>
        <v>0.0</v>
      </c>
      <c r="M1347" s="15">
        <f>'[01_Entry.xlsx]Book'!M1347</f>
        <v>0.0</v>
      </c>
      <c r="P1347" s="56">
        <f>IF($A1347="","",IFERROR(VALUE(MID($A1347,6,2)),""))</f>
        <v/>
      </c>
    </row>
    <row r="1348" spans="7:16">
      <c r="G1348" s="15">
        <f>'[01_Entry.xlsx]Book'!G1348</f>
        <v>0.0</v>
      </c>
      <c r="H1348" s="15">
        <f>'[01_Entry.xlsx]Book'!H1348</f>
        <v>0.0</v>
      </c>
      <c r="I1348" s="15">
        <f>'[01_Entry.xlsx]Book'!I1348</f>
        <v>0.0</v>
      </c>
      <c r="K1348" s="15">
        <f>'[01_Entry.xlsx]Book'!K1348</f>
        <v>0.0</v>
      </c>
      <c r="L1348" s="15">
        <f>'[01_Entry.xlsx]Book'!L1348</f>
        <v>0.0</v>
      </c>
      <c r="M1348" s="15">
        <f>'[01_Entry.xlsx]Book'!M1348</f>
        <v>0.0</v>
      </c>
      <c r="P1348" s="56">
        <f>IF($A1348="","",IFERROR(VALUE(MID($A1348,6,2)),""))</f>
        <v/>
      </c>
    </row>
    <row r="1349" spans="7:16">
      <c r="G1349" s="15">
        <f>'[01_Entry.xlsx]Book'!G1349</f>
        <v>0.0</v>
      </c>
      <c r="H1349" s="15">
        <f>'[01_Entry.xlsx]Book'!H1349</f>
        <v>0.0</v>
      </c>
      <c r="I1349" s="15">
        <f>'[01_Entry.xlsx]Book'!I1349</f>
        <v>0.0</v>
      </c>
      <c r="K1349" s="15">
        <f>'[01_Entry.xlsx]Book'!K1349</f>
        <v>0.0</v>
      </c>
      <c r="L1349" s="15">
        <f>'[01_Entry.xlsx]Book'!L1349</f>
        <v>0.0</v>
      </c>
      <c r="M1349" s="15">
        <f>'[01_Entry.xlsx]Book'!M1349</f>
        <v>0.0</v>
      </c>
      <c r="P1349" s="56">
        <f>IF($A1349="","",IFERROR(VALUE(MID($A1349,6,2)),""))</f>
        <v/>
      </c>
    </row>
    <row r="1350" spans="7:16">
      <c r="G1350" s="15">
        <f>'[01_Entry.xlsx]Book'!G1350</f>
        <v>0.0</v>
      </c>
      <c r="H1350" s="15">
        <f>'[01_Entry.xlsx]Book'!H1350</f>
        <v>0.0</v>
      </c>
      <c r="I1350" s="15">
        <f>'[01_Entry.xlsx]Book'!I1350</f>
        <v>0.0</v>
      </c>
      <c r="K1350" s="15">
        <f>'[01_Entry.xlsx]Book'!K1350</f>
        <v>0.0</v>
      </c>
      <c r="L1350" s="15">
        <f>'[01_Entry.xlsx]Book'!L1350</f>
        <v>0.0</v>
      </c>
      <c r="M1350" s="15">
        <f>'[01_Entry.xlsx]Book'!M1350</f>
        <v>0.0</v>
      </c>
      <c r="P1350" s="56">
        <f>IF($A1350="","",IFERROR(VALUE(MID($A1350,6,2)),""))</f>
        <v/>
      </c>
    </row>
    <row r="1351" spans="7:16">
      <c r="G1351" s="15">
        <f>'[01_Entry.xlsx]Book'!G1351</f>
        <v>0.0</v>
      </c>
      <c r="H1351" s="15">
        <f>'[01_Entry.xlsx]Book'!H1351</f>
        <v>0.0</v>
      </c>
      <c r="I1351" s="15">
        <f>'[01_Entry.xlsx]Book'!I1351</f>
        <v>0.0</v>
      </c>
      <c r="K1351" s="15">
        <f>'[01_Entry.xlsx]Book'!K1351</f>
        <v>0.0</v>
      </c>
      <c r="L1351" s="15">
        <f>'[01_Entry.xlsx]Book'!L1351</f>
        <v>0.0</v>
      </c>
      <c r="M1351" s="15">
        <f>'[01_Entry.xlsx]Book'!M1351</f>
        <v>0.0</v>
      </c>
      <c r="P1351" s="56">
        <f>IF($A1351="","",IFERROR(VALUE(MID($A1351,6,2)),""))</f>
        <v/>
      </c>
    </row>
    <row r="1352" spans="7:16">
      <c r="G1352" s="15">
        <f>'[01_Entry.xlsx]Book'!G1352</f>
        <v>0.0</v>
      </c>
      <c r="H1352" s="15">
        <f>'[01_Entry.xlsx]Book'!H1352</f>
        <v>0.0</v>
      </c>
      <c r="I1352" s="15">
        <f>'[01_Entry.xlsx]Book'!I1352</f>
        <v>0.0</v>
      </c>
      <c r="K1352" s="15">
        <f>'[01_Entry.xlsx]Book'!K1352</f>
        <v>0.0</v>
      </c>
      <c r="L1352" s="15">
        <f>'[01_Entry.xlsx]Book'!L1352</f>
        <v>0.0</v>
      </c>
      <c r="M1352" s="15">
        <f>'[01_Entry.xlsx]Book'!M1352</f>
        <v>0.0</v>
      </c>
      <c r="P1352" s="56">
        <f>IF($A1352="","",IFERROR(VALUE(MID($A1352,6,2)),""))</f>
        <v/>
      </c>
    </row>
    <row r="1353" spans="7:16">
      <c r="G1353" s="15">
        <f>'[01_Entry.xlsx]Book'!G1353</f>
        <v>0.0</v>
      </c>
      <c r="H1353" s="15">
        <f>'[01_Entry.xlsx]Book'!H1353</f>
        <v>0.0</v>
      </c>
      <c r="I1353" s="15">
        <f>'[01_Entry.xlsx]Book'!I1353</f>
        <v>0.0</v>
      </c>
      <c r="K1353" s="15">
        <f>'[01_Entry.xlsx]Book'!K1353</f>
        <v>0.0</v>
      </c>
      <c r="L1353" s="15">
        <f>'[01_Entry.xlsx]Book'!L1353</f>
        <v>0.0</v>
      </c>
      <c r="M1353" s="15">
        <f>'[01_Entry.xlsx]Book'!M1353</f>
        <v>0.0</v>
      </c>
      <c r="P1353" s="56">
        <f>IF($A1353="","",IFERROR(VALUE(MID($A1353,6,2)),""))</f>
        <v/>
      </c>
    </row>
    <row r="1354" spans="7:16">
      <c r="G1354" s="15">
        <f>'[01_Entry.xlsx]Book'!G1354</f>
        <v>0.0</v>
      </c>
      <c r="H1354" s="15">
        <f>'[01_Entry.xlsx]Book'!H1354</f>
        <v>0.0</v>
      </c>
      <c r="I1354" s="15">
        <f>'[01_Entry.xlsx]Book'!I1354</f>
        <v>0.0</v>
      </c>
      <c r="K1354" s="15">
        <f>'[01_Entry.xlsx]Book'!K1354</f>
        <v>0.0</v>
      </c>
      <c r="L1354" s="15">
        <f>'[01_Entry.xlsx]Book'!L1354</f>
        <v>0.0</v>
      </c>
      <c r="M1354" s="15">
        <f>'[01_Entry.xlsx]Book'!M1354</f>
        <v>0.0</v>
      </c>
      <c r="P1354" s="56">
        <f>IF($A1354="","",IFERROR(VALUE(MID($A1354,6,2)),""))</f>
        <v/>
      </c>
    </row>
    <row r="1355" spans="7:16">
      <c r="G1355" s="15">
        <f>'[01_Entry.xlsx]Book'!G1355</f>
        <v>0.0</v>
      </c>
      <c r="H1355" s="15">
        <f>'[01_Entry.xlsx]Book'!H1355</f>
        <v>0.0</v>
      </c>
      <c r="I1355" s="15">
        <f>'[01_Entry.xlsx]Book'!I1355</f>
        <v>0.0</v>
      </c>
      <c r="K1355" s="15">
        <f>'[01_Entry.xlsx]Book'!K1355</f>
        <v>0.0</v>
      </c>
      <c r="L1355" s="15">
        <f>'[01_Entry.xlsx]Book'!L1355</f>
        <v>0.0</v>
      </c>
      <c r="M1355" s="15">
        <f>'[01_Entry.xlsx]Book'!M1355</f>
        <v>0.0</v>
      </c>
      <c r="P1355" s="56">
        <f>IF($A1355="","",IFERROR(VALUE(MID($A1355,6,2)),""))</f>
        <v/>
      </c>
    </row>
    <row r="1356" spans="7:16">
      <c r="G1356" s="15">
        <f>'[01_Entry.xlsx]Book'!G1356</f>
        <v>0.0</v>
      </c>
      <c r="H1356" s="15">
        <f>'[01_Entry.xlsx]Book'!H1356</f>
        <v>0.0</v>
      </c>
      <c r="I1356" s="15">
        <f>'[01_Entry.xlsx]Book'!I1356</f>
        <v>0.0</v>
      </c>
      <c r="K1356" s="15">
        <f>'[01_Entry.xlsx]Book'!K1356</f>
        <v>0.0</v>
      </c>
      <c r="L1356" s="15">
        <f>'[01_Entry.xlsx]Book'!L1356</f>
        <v>0.0</v>
      </c>
      <c r="M1356" s="15">
        <f>'[01_Entry.xlsx]Book'!M1356</f>
        <v>0.0</v>
      </c>
      <c r="P1356" s="56">
        <f>IF($A1356="","",IFERROR(VALUE(MID($A1356,6,2)),""))</f>
        <v/>
      </c>
    </row>
    <row r="1357" spans="7:16">
      <c r="G1357" s="15">
        <f>'[01_Entry.xlsx]Book'!G1357</f>
        <v>0.0</v>
      </c>
      <c r="H1357" s="15">
        <f>'[01_Entry.xlsx]Book'!H1357</f>
        <v>0.0</v>
      </c>
      <c r="I1357" s="15">
        <f>'[01_Entry.xlsx]Book'!I1357</f>
        <v>0.0</v>
      </c>
      <c r="K1357" s="15">
        <f>'[01_Entry.xlsx]Book'!K1357</f>
        <v>0.0</v>
      </c>
      <c r="L1357" s="15">
        <f>'[01_Entry.xlsx]Book'!L1357</f>
        <v>0.0</v>
      </c>
      <c r="M1357" s="15">
        <f>'[01_Entry.xlsx]Book'!M1357</f>
        <v>0.0</v>
      </c>
      <c r="P1357" s="56">
        <f>IF($A1357="","",IFERROR(VALUE(MID($A1357,6,2)),""))</f>
        <v/>
      </c>
    </row>
    <row r="1358" spans="7:16">
      <c r="G1358" s="15">
        <f>'[01_Entry.xlsx]Book'!G1358</f>
        <v>0.0</v>
      </c>
      <c r="H1358" s="15">
        <f>'[01_Entry.xlsx]Book'!H1358</f>
        <v>0.0</v>
      </c>
      <c r="I1358" s="15">
        <f>'[01_Entry.xlsx]Book'!I1358</f>
        <v>0.0</v>
      </c>
      <c r="K1358" s="15">
        <f>'[01_Entry.xlsx]Book'!K1358</f>
        <v>0.0</v>
      </c>
      <c r="L1358" s="15">
        <f>'[01_Entry.xlsx]Book'!L1358</f>
        <v>0.0</v>
      </c>
      <c r="M1358" s="15">
        <f>'[01_Entry.xlsx]Book'!M1358</f>
        <v>0.0</v>
      </c>
      <c r="P1358" s="56">
        <f>IF($A1358="","",IFERROR(VALUE(MID($A1358,6,2)),""))</f>
        <v/>
      </c>
    </row>
    <row r="1359" spans="7:16">
      <c r="G1359" s="15">
        <f>'[01_Entry.xlsx]Book'!G1359</f>
        <v>0.0</v>
      </c>
      <c r="H1359" s="15">
        <f>'[01_Entry.xlsx]Book'!H1359</f>
        <v>0.0</v>
      </c>
      <c r="I1359" s="15">
        <f>'[01_Entry.xlsx]Book'!I1359</f>
        <v>0.0</v>
      </c>
      <c r="K1359" s="15">
        <f>'[01_Entry.xlsx]Book'!K1359</f>
        <v>0.0</v>
      </c>
      <c r="L1359" s="15">
        <f>'[01_Entry.xlsx]Book'!L1359</f>
        <v>0.0</v>
      </c>
      <c r="M1359" s="15">
        <f>'[01_Entry.xlsx]Book'!M1359</f>
        <v>0.0</v>
      </c>
      <c r="P1359" s="56">
        <f>IF($A1359="","",IFERROR(VALUE(MID($A1359,6,2)),""))</f>
        <v/>
      </c>
    </row>
    <row r="1360" spans="7:16">
      <c r="G1360" s="15">
        <f>'[01_Entry.xlsx]Book'!G1360</f>
        <v>0.0</v>
      </c>
      <c r="H1360" s="15">
        <f>'[01_Entry.xlsx]Book'!H1360</f>
        <v>0.0</v>
      </c>
      <c r="I1360" s="15">
        <f>'[01_Entry.xlsx]Book'!I1360</f>
        <v>0.0</v>
      </c>
      <c r="K1360" s="15">
        <f>'[01_Entry.xlsx]Book'!K1360</f>
        <v>0.0</v>
      </c>
      <c r="L1360" s="15">
        <f>'[01_Entry.xlsx]Book'!L1360</f>
        <v>0.0</v>
      </c>
      <c r="M1360" s="15">
        <f>'[01_Entry.xlsx]Book'!M1360</f>
        <v>0.0</v>
      </c>
      <c r="P1360" s="56">
        <f>IF($A1360="","",IFERROR(VALUE(MID($A1360,6,2)),""))</f>
        <v/>
      </c>
    </row>
    <row r="1361" spans="7:16">
      <c r="G1361" s="15">
        <f>'[01_Entry.xlsx]Book'!G1361</f>
        <v>0.0</v>
      </c>
      <c r="H1361" s="15">
        <f>'[01_Entry.xlsx]Book'!H1361</f>
        <v>0.0</v>
      </c>
      <c r="I1361" s="15">
        <f>'[01_Entry.xlsx]Book'!I1361</f>
        <v>0.0</v>
      </c>
      <c r="K1361" s="15">
        <f>'[01_Entry.xlsx]Book'!K1361</f>
        <v>0.0</v>
      </c>
      <c r="L1361" s="15">
        <f>'[01_Entry.xlsx]Book'!L1361</f>
        <v>0.0</v>
      </c>
      <c r="M1361" s="15">
        <f>'[01_Entry.xlsx]Book'!M1361</f>
        <v>0.0</v>
      </c>
      <c r="P1361" s="56">
        <f>IF($A1361="","",IFERROR(VALUE(MID($A1361,6,2)),""))</f>
        <v/>
      </c>
    </row>
    <row r="1362" spans="7:16">
      <c r="G1362" s="15">
        <f>'[01_Entry.xlsx]Book'!G1362</f>
        <v>0.0</v>
      </c>
      <c r="H1362" s="15">
        <f>'[01_Entry.xlsx]Book'!H1362</f>
        <v>0.0</v>
      </c>
      <c r="I1362" s="15">
        <f>'[01_Entry.xlsx]Book'!I1362</f>
        <v>0.0</v>
      </c>
      <c r="K1362" s="15">
        <f>'[01_Entry.xlsx]Book'!K1362</f>
        <v>0.0</v>
      </c>
      <c r="L1362" s="15">
        <f>'[01_Entry.xlsx]Book'!L1362</f>
        <v>0.0</v>
      </c>
      <c r="M1362" s="15">
        <f>'[01_Entry.xlsx]Book'!M1362</f>
        <v>0.0</v>
      </c>
      <c r="P1362" s="56">
        <f>IF($A1362="","",IFERROR(VALUE(MID($A1362,6,2)),""))</f>
        <v/>
      </c>
    </row>
    <row r="1363" spans="7:16">
      <c r="G1363" s="15">
        <f>'[01_Entry.xlsx]Book'!G1363</f>
        <v>0.0</v>
      </c>
      <c r="H1363" s="15">
        <f>'[01_Entry.xlsx]Book'!H1363</f>
        <v>0.0</v>
      </c>
      <c r="I1363" s="15">
        <f>'[01_Entry.xlsx]Book'!I1363</f>
        <v>0.0</v>
      </c>
      <c r="K1363" s="15">
        <f>'[01_Entry.xlsx]Book'!K1363</f>
        <v>0.0</v>
      </c>
      <c r="L1363" s="15">
        <f>'[01_Entry.xlsx]Book'!L1363</f>
        <v>0.0</v>
      </c>
      <c r="M1363" s="15">
        <f>'[01_Entry.xlsx]Book'!M1363</f>
        <v>0.0</v>
      </c>
      <c r="P1363" s="56">
        <f>IF($A1363="","",IFERROR(VALUE(MID($A1363,6,2)),""))</f>
        <v/>
      </c>
    </row>
    <row r="1364" spans="7:16">
      <c r="G1364" s="15">
        <f>'[01_Entry.xlsx]Book'!G1364</f>
        <v>0.0</v>
      </c>
      <c r="H1364" s="15">
        <f>'[01_Entry.xlsx]Book'!H1364</f>
        <v>0.0</v>
      </c>
      <c r="I1364" s="15">
        <f>'[01_Entry.xlsx]Book'!I1364</f>
        <v>0.0</v>
      </c>
      <c r="K1364" s="15">
        <f>'[01_Entry.xlsx]Book'!K1364</f>
        <v>0.0</v>
      </c>
      <c r="L1364" s="15">
        <f>'[01_Entry.xlsx]Book'!L1364</f>
        <v>0.0</v>
      </c>
      <c r="M1364" s="15">
        <f>'[01_Entry.xlsx]Book'!M1364</f>
        <v>0.0</v>
      </c>
      <c r="P1364" s="56">
        <f>IF($A1364="","",IFERROR(VALUE(MID($A1364,6,2)),""))</f>
        <v/>
      </c>
    </row>
    <row r="1365" spans="7:16">
      <c r="G1365" s="15">
        <f>'[01_Entry.xlsx]Book'!G1365</f>
        <v>0.0</v>
      </c>
      <c r="H1365" s="15">
        <f>'[01_Entry.xlsx]Book'!H1365</f>
        <v>0.0</v>
      </c>
      <c r="I1365" s="15">
        <f>'[01_Entry.xlsx]Book'!I1365</f>
        <v>0.0</v>
      </c>
      <c r="K1365" s="15">
        <f>'[01_Entry.xlsx]Book'!K1365</f>
        <v>0.0</v>
      </c>
      <c r="L1365" s="15">
        <f>'[01_Entry.xlsx]Book'!L1365</f>
        <v>0.0</v>
      </c>
      <c r="M1365" s="15">
        <f>'[01_Entry.xlsx]Book'!M1365</f>
        <v>0.0</v>
      </c>
      <c r="P1365" s="56">
        <f>IF($A1365="","",IFERROR(VALUE(MID($A1365,6,2)),""))</f>
        <v/>
      </c>
    </row>
    <row r="1366" spans="7:16">
      <c r="G1366" s="15">
        <f>'[01_Entry.xlsx]Book'!G1366</f>
        <v>0.0</v>
      </c>
      <c r="H1366" s="15">
        <f>'[01_Entry.xlsx]Book'!H1366</f>
        <v>0.0</v>
      </c>
      <c r="I1366" s="15">
        <f>'[01_Entry.xlsx]Book'!I1366</f>
        <v>0.0</v>
      </c>
      <c r="K1366" s="15">
        <f>'[01_Entry.xlsx]Book'!K1366</f>
        <v>0.0</v>
      </c>
      <c r="L1366" s="15">
        <f>'[01_Entry.xlsx]Book'!L1366</f>
        <v>0.0</v>
      </c>
      <c r="M1366" s="15">
        <f>'[01_Entry.xlsx]Book'!M1366</f>
        <v>0.0</v>
      </c>
      <c r="P1366" s="56">
        <f>IF($A1366="","",IFERROR(VALUE(MID($A1366,6,2)),""))</f>
        <v/>
      </c>
    </row>
    <row r="1367" spans="7:16">
      <c r="G1367" s="15">
        <f>'[01_Entry.xlsx]Book'!G1367</f>
        <v>0.0</v>
      </c>
      <c r="H1367" s="15">
        <f>'[01_Entry.xlsx]Book'!H1367</f>
        <v>0.0</v>
      </c>
      <c r="I1367" s="15">
        <f>'[01_Entry.xlsx]Book'!I1367</f>
        <v>0.0</v>
      </c>
      <c r="K1367" s="15">
        <f>'[01_Entry.xlsx]Book'!K1367</f>
        <v>0.0</v>
      </c>
      <c r="L1367" s="15">
        <f>'[01_Entry.xlsx]Book'!L1367</f>
        <v>0.0</v>
      </c>
      <c r="M1367" s="15">
        <f>'[01_Entry.xlsx]Book'!M1367</f>
        <v>0.0</v>
      </c>
      <c r="P1367" s="56">
        <f>IF($A1367="","",IFERROR(VALUE(MID($A1367,6,2)),""))</f>
        <v/>
      </c>
    </row>
    <row r="1368" spans="7:16">
      <c r="G1368" s="15">
        <f>'[01_Entry.xlsx]Book'!G1368</f>
        <v>0.0</v>
      </c>
      <c r="H1368" s="15">
        <f>'[01_Entry.xlsx]Book'!H1368</f>
        <v>0.0</v>
      </c>
      <c r="I1368" s="15">
        <f>'[01_Entry.xlsx]Book'!I1368</f>
        <v>0.0</v>
      </c>
      <c r="K1368" s="15">
        <f>'[01_Entry.xlsx]Book'!K1368</f>
        <v>0.0</v>
      </c>
      <c r="L1368" s="15">
        <f>'[01_Entry.xlsx]Book'!L1368</f>
        <v>0.0</v>
      </c>
      <c r="M1368" s="15">
        <f>'[01_Entry.xlsx]Book'!M1368</f>
        <v>0.0</v>
      </c>
      <c r="P1368" s="56">
        <f>IF($A1368="","",IFERROR(VALUE(MID($A1368,6,2)),""))</f>
        <v/>
      </c>
    </row>
    <row r="1369" spans="7:16">
      <c r="G1369" s="15">
        <f>'[01_Entry.xlsx]Book'!G1369</f>
        <v>0.0</v>
      </c>
      <c r="H1369" s="15">
        <f>'[01_Entry.xlsx]Book'!H1369</f>
        <v>0.0</v>
      </c>
      <c r="I1369" s="15">
        <f>'[01_Entry.xlsx]Book'!I1369</f>
        <v>0.0</v>
      </c>
      <c r="K1369" s="15">
        <f>'[01_Entry.xlsx]Book'!K1369</f>
        <v>0.0</v>
      </c>
      <c r="L1369" s="15">
        <f>'[01_Entry.xlsx]Book'!L1369</f>
        <v>0.0</v>
      </c>
      <c r="M1369" s="15">
        <f>'[01_Entry.xlsx]Book'!M1369</f>
        <v>0.0</v>
      </c>
      <c r="P1369" s="56">
        <f>IF($A1369="","",IFERROR(VALUE(MID($A1369,6,2)),""))</f>
        <v/>
      </c>
    </row>
    <row r="1370" spans="7:16">
      <c r="G1370" s="15">
        <f>'[01_Entry.xlsx]Book'!G1370</f>
        <v>0.0</v>
      </c>
      <c r="H1370" s="15">
        <f>'[01_Entry.xlsx]Book'!H1370</f>
        <v>0.0</v>
      </c>
      <c r="I1370" s="15">
        <f>'[01_Entry.xlsx]Book'!I1370</f>
        <v>0.0</v>
      </c>
      <c r="K1370" s="15">
        <f>'[01_Entry.xlsx]Book'!K1370</f>
        <v>0.0</v>
      </c>
      <c r="L1370" s="15">
        <f>'[01_Entry.xlsx]Book'!L1370</f>
        <v>0.0</v>
      </c>
      <c r="M1370" s="15">
        <f>'[01_Entry.xlsx]Book'!M1370</f>
        <v>0.0</v>
      </c>
      <c r="P1370" s="56">
        <f>IF($A1370="","",IFERROR(VALUE(MID($A1370,6,2)),""))</f>
        <v/>
      </c>
    </row>
    <row r="1371" spans="7:16">
      <c r="G1371" s="15">
        <f>'[01_Entry.xlsx]Book'!G1371</f>
        <v>0.0</v>
      </c>
      <c r="H1371" s="15">
        <f>'[01_Entry.xlsx]Book'!H1371</f>
        <v>0.0</v>
      </c>
      <c r="I1371" s="15">
        <f>'[01_Entry.xlsx]Book'!I1371</f>
        <v>0.0</v>
      </c>
      <c r="K1371" s="15">
        <f>'[01_Entry.xlsx]Book'!K1371</f>
        <v>0.0</v>
      </c>
      <c r="L1371" s="15">
        <f>'[01_Entry.xlsx]Book'!L1371</f>
        <v>0.0</v>
      </c>
      <c r="M1371" s="15">
        <f>'[01_Entry.xlsx]Book'!M1371</f>
        <v>0.0</v>
      </c>
      <c r="P1371" s="56">
        <f>IF($A1371="","",IFERROR(VALUE(MID($A1371,6,2)),""))</f>
        <v/>
      </c>
    </row>
    <row r="1372" spans="7:16">
      <c r="G1372" s="15">
        <f>'[01_Entry.xlsx]Book'!G1372</f>
        <v>0.0</v>
      </c>
      <c r="H1372" s="15">
        <f>'[01_Entry.xlsx]Book'!H1372</f>
        <v>0.0</v>
      </c>
      <c r="I1372" s="15">
        <f>'[01_Entry.xlsx]Book'!I1372</f>
        <v>0.0</v>
      </c>
      <c r="K1372" s="15">
        <f>'[01_Entry.xlsx]Book'!K1372</f>
        <v>0.0</v>
      </c>
      <c r="L1372" s="15">
        <f>'[01_Entry.xlsx]Book'!L1372</f>
        <v>0.0</v>
      </c>
      <c r="M1372" s="15">
        <f>'[01_Entry.xlsx]Book'!M1372</f>
        <v>0.0</v>
      </c>
      <c r="P1372" s="56">
        <f>IF($A1372="","",IFERROR(VALUE(MID($A1372,6,2)),""))</f>
        <v/>
      </c>
    </row>
    <row r="1373" spans="7:16">
      <c r="G1373" s="15">
        <f>'[01_Entry.xlsx]Book'!G1373</f>
        <v>0.0</v>
      </c>
      <c r="H1373" s="15">
        <f>'[01_Entry.xlsx]Book'!H1373</f>
        <v>0.0</v>
      </c>
      <c r="I1373" s="15">
        <f>'[01_Entry.xlsx]Book'!I1373</f>
        <v>0.0</v>
      </c>
      <c r="K1373" s="15">
        <f>'[01_Entry.xlsx]Book'!K1373</f>
        <v>0.0</v>
      </c>
      <c r="L1373" s="15">
        <f>'[01_Entry.xlsx]Book'!L1373</f>
        <v>0.0</v>
      </c>
      <c r="M1373" s="15">
        <f>'[01_Entry.xlsx]Book'!M1373</f>
        <v>0.0</v>
      </c>
      <c r="P1373" s="56">
        <f>IF($A1373="","",IFERROR(VALUE(MID($A1373,6,2)),""))</f>
        <v/>
      </c>
    </row>
    <row r="1374" spans="7:16">
      <c r="G1374" s="15">
        <f>'[01_Entry.xlsx]Book'!G1374</f>
        <v>0.0</v>
      </c>
      <c r="H1374" s="15">
        <f>'[01_Entry.xlsx]Book'!H1374</f>
        <v>0.0</v>
      </c>
      <c r="I1374" s="15">
        <f>'[01_Entry.xlsx]Book'!I1374</f>
        <v>0.0</v>
      </c>
      <c r="K1374" s="15">
        <f>'[01_Entry.xlsx]Book'!K1374</f>
        <v>0.0</v>
      </c>
      <c r="L1374" s="15">
        <f>'[01_Entry.xlsx]Book'!L1374</f>
        <v>0.0</v>
      </c>
      <c r="M1374" s="15">
        <f>'[01_Entry.xlsx]Book'!M1374</f>
        <v>0.0</v>
      </c>
      <c r="P1374" s="56">
        <f>IF($A1374="","",IFERROR(VALUE(MID($A1374,6,2)),""))</f>
        <v/>
      </c>
    </row>
    <row r="1375" spans="7:16">
      <c r="G1375" s="15">
        <f>'[01_Entry.xlsx]Book'!G1375</f>
        <v>0.0</v>
      </c>
      <c r="H1375" s="15">
        <f>'[01_Entry.xlsx]Book'!H1375</f>
        <v>0.0</v>
      </c>
      <c r="I1375" s="15">
        <f>'[01_Entry.xlsx]Book'!I1375</f>
        <v>0.0</v>
      </c>
      <c r="K1375" s="15">
        <f>'[01_Entry.xlsx]Book'!K1375</f>
        <v>0.0</v>
      </c>
      <c r="L1375" s="15">
        <f>'[01_Entry.xlsx]Book'!L1375</f>
        <v>0.0</v>
      </c>
      <c r="M1375" s="15">
        <f>'[01_Entry.xlsx]Book'!M1375</f>
        <v>0.0</v>
      </c>
      <c r="P1375" s="56">
        <f>IF($A1375="","",IFERROR(VALUE(MID($A1375,6,2)),""))</f>
        <v/>
      </c>
    </row>
    <row r="1376" spans="7:16">
      <c r="G1376" s="15">
        <f>'[01_Entry.xlsx]Book'!G1376</f>
        <v>0.0</v>
      </c>
      <c r="H1376" s="15">
        <f>'[01_Entry.xlsx]Book'!H1376</f>
        <v>0.0</v>
      </c>
      <c r="I1376" s="15">
        <f>'[01_Entry.xlsx]Book'!I1376</f>
        <v>0.0</v>
      </c>
      <c r="K1376" s="15">
        <f>'[01_Entry.xlsx]Book'!K1376</f>
        <v>0.0</v>
      </c>
      <c r="L1376" s="15">
        <f>'[01_Entry.xlsx]Book'!L1376</f>
        <v>0.0</v>
      </c>
      <c r="M1376" s="15">
        <f>'[01_Entry.xlsx]Book'!M1376</f>
        <v>0.0</v>
      </c>
      <c r="P1376" s="56">
        <f>IF($A1376="","",IFERROR(VALUE(MID($A1376,6,2)),""))</f>
        <v/>
      </c>
    </row>
    <row r="1377" spans="7:16">
      <c r="G1377" s="15">
        <f>'[01_Entry.xlsx]Book'!G1377</f>
        <v>0.0</v>
      </c>
      <c r="H1377" s="15">
        <f>'[01_Entry.xlsx]Book'!H1377</f>
        <v>0.0</v>
      </c>
      <c r="I1377" s="15">
        <f>'[01_Entry.xlsx]Book'!I1377</f>
        <v>0.0</v>
      </c>
      <c r="K1377" s="15">
        <f>'[01_Entry.xlsx]Book'!K1377</f>
        <v>0.0</v>
      </c>
      <c r="L1377" s="15">
        <f>'[01_Entry.xlsx]Book'!L1377</f>
        <v>0.0</v>
      </c>
      <c r="M1377" s="15">
        <f>'[01_Entry.xlsx]Book'!M1377</f>
        <v>0.0</v>
      </c>
      <c r="P1377" s="56">
        <f>IF($A1377="","",IFERROR(VALUE(MID($A1377,6,2)),""))</f>
        <v/>
      </c>
    </row>
    <row r="1378" spans="7:16">
      <c r="G1378" s="15">
        <f>'[01_Entry.xlsx]Book'!G1378</f>
        <v>0.0</v>
      </c>
      <c r="H1378" s="15">
        <f>'[01_Entry.xlsx]Book'!H1378</f>
        <v>0.0</v>
      </c>
      <c r="I1378" s="15">
        <f>'[01_Entry.xlsx]Book'!I1378</f>
        <v>0.0</v>
      </c>
      <c r="K1378" s="15">
        <f>'[01_Entry.xlsx]Book'!K1378</f>
        <v>0.0</v>
      </c>
      <c r="L1378" s="15">
        <f>'[01_Entry.xlsx]Book'!L1378</f>
        <v>0.0</v>
      </c>
      <c r="M1378" s="15">
        <f>'[01_Entry.xlsx]Book'!M1378</f>
        <v>0.0</v>
      </c>
      <c r="P1378" s="56">
        <f>IF($A1378="","",IFERROR(VALUE(MID($A1378,6,2)),""))</f>
        <v/>
      </c>
    </row>
    <row r="1379" spans="7:16">
      <c r="G1379" s="15">
        <f>'[01_Entry.xlsx]Book'!G1379</f>
        <v>0.0</v>
      </c>
      <c r="H1379" s="15">
        <f>'[01_Entry.xlsx]Book'!H1379</f>
        <v>0.0</v>
      </c>
      <c r="I1379" s="15">
        <f>'[01_Entry.xlsx]Book'!I1379</f>
        <v>0.0</v>
      </c>
      <c r="K1379" s="15">
        <f>'[01_Entry.xlsx]Book'!K1379</f>
        <v>0.0</v>
      </c>
      <c r="L1379" s="15">
        <f>'[01_Entry.xlsx]Book'!L1379</f>
        <v>0.0</v>
      </c>
      <c r="M1379" s="15">
        <f>'[01_Entry.xlsx]Book'!M1379</f>
        <v>0.0</v>
      </c>
      <c r="P1379" s="56">
        <f>IF($A1379="","",IFERROR(VALUE(MID($A1379,6,2)),""))</f>
        <v/>
      </c>
    </row>
    <row r="1380" spans="7:16">
      <c r="G1380" s="15">
        <f>'[01_Entry.xlsx]Book'!G1380</f>
        <v>0.0</v>
      </c>
      <c r="H1380" s="15">
        <f>'[01_Entry.xlsx]Book'!H1380</f>
        <v>0.0</v>
      </c>
      <c r="I1380" s="15">
        <f>'[01_Entry.xlsx]Book'!I1380</f>
        <v>0.0</v>
      </c>
      <c r="K1380" s="15">
        <f>'[01_Entry.xlsx]Book'!K1380</f>
        <v>0.0</v>
      </c>
      <c r="L1380" s="15">
        <f>'[01_Entry.xlsx]Book'!L1380</f>
        <v>0.0</v>
      </c>
      <c r="M1380" s="15">
        <f>'[01_Entry.xlsx]Book'!M1380</f>
        <v>0.0</v>
      </c>
      <c r="P1380" s="56">
        <f>IF($A1380="","",IFERROR(VALUE(MID($A1380,6,2)),""))</f>
        <v/>
      </c>
    </row>
    <row r="1381" spans="7:16">
      <c r="G1381" s="15">
        <f>'[01_Entry.xlsx]Book'!G1381</f>
        <v>0.0</v>
      </c>
      <c r="H1381" s="15">
        <f>'[01_Entry.xlsx]Book'!H1381</f>
        <v>0.0</v>
      </c>
      <c r="I1381" s="15">
        <f>'[01_Entry.xlsx]Book'!I1381</f>
        <v>0.0</v>
      </c>
      <c r="K1381" s="15">
        <f>'[01_Entry.xlsx]Book'!K1381</f>
        <v>0.0</v>
      </c>
      <c r="L1381" s="15">
        <f>'[01_Entry.xlsx]Book'!L1381</f>
        <v>0.0</v>
      </c>
      <c r="M1381" s="15">
        <f>'[01_Entry.xlsx]Book'!M1381</f>
        <v>0.0</v>
      </c>
      <c r="P1381" s="56">
        <f>IF($A1381="","",IFERROR(VALUE(MID($A1381,6,2)),""))</f>
        <v/>
      </c>
    </row>
    <row r="1382" spans="7:16">
      <c r="G1382" s="15">
        <f>'[01_Entry.xlsx]Book'!G1382</f>
        <v>0.0</v>
      </c>
      <c r="H1382" s="15">
        <f>'[01_Entry.xlsx]Book'!H1382</f>
        <v>0.0</v>
      </c>
      <c r="I1382" s="15">
        <f>'[01_Entry.xlsx]Book'!I1382</f>
        <v>0.0</v>
      </c>
      <c r="K1382" s="15">
        <f>'[01_Entry.xlsx]Book'!K1382</f>
        <v>0.0</v>
      </c>
      <c r="L1382" s="15">
        <f>'[01_Entry.xlsx]Book'!L1382</f>
        <v>0.0</v>
      </c>
      <c r="M1382" s="15">
        <f>'[01_Entry.xlsx]Book'!M1382</f>
        <v>0.0</v>
      </c>
      <c r="P1382" s="56">
        <f>IF($A1382="","",IFERROR(VALUE(MID($A1382,6,2)),""))</f>
        <v/>
      </c>
    </row>
    <row r="1383" spans="7:16">
      <c r="G1383" s="15">
        <f>'[01_Entry.xlsx]Book'!G1383</f>
        <v>0.0</v>
      </c>
      <c r="H1383" s="15">
        <f>'[01_Entry.xlsx]Book'!H1383</f>
        <v>0.0</v>
      </c>
      <c r="I1383" s="15">
        <f>'[01_Entry.xlsx]Book'!I1383</f>
        <v>0.0</v>
      </c>
      <c r="K1383" s="15">
        <f>'[01_Entry.xlsx]Book'!K1383</f>
        <v>0.0</v>
      </c>
      <c r="L1383" s="15">
        <f>'[01_Entry.xlsx]Book'!L1383</f>
        <v>0.0</v>
      </c>
      <c r="M1383" s="15">
        <f>'[01_Entry.xlsx]Book'!M1383</f>
        <v>0.0</v>
      </c>
      <c r="P1383" s="56">
        <f>IF($A1383="","",IFERROR(VALUE(MID($A1383,6,2)),""))</f>
        <v/>
      </c>
    </row>
    <row r="1384" spans="7:16">
      <c r="G1384" s="15">
        <f>'[01_Entry.xlsx]Book'!G1384</f>
        <v>0.0</v>
      </c>
      <c r="H1384" s="15">
        <f>'[01_Entry.xlsx]Book'!H1384</f>
        <v>0.0</v>
      </c>
      <c r="I1384" s="15">
        <f>'[01_Entry.xlsx]Book'!I1384</f>
        <v>0.0</v>
      </c>
      <c r="K1384" s="15">
        <f>'[01_Entry.xlsx]Book'!K1384</f>
        <v>0.0</v>
      </c>
      <c r="L1384" s="15">
        <f>'[01_Entry.xlsx]Book'!L1384</f>
        <v>0.0</v>
      </c>
      <c r="M1384" s="15">
        <f>'[01_Entry.xlsx]Book'!M1384</f>
        <v>0.0</v>
      </c>
      <c r="P1384" s="56">
        <f>IF($A1384="","",IFERROR(VALUE(MID($A1384,6,2)),""))</f>
        <v/>
      </c>
    </row>
    <row r="1385" spans="7:16">
      <c r="G1385" s="15">
        <f>'[01_Entry.xlsx]Book'!G1385</f>
        <v>0.0</v>
      </c>
      <c r="H1385" s="15">
        <f>'[01_Entry.xlsx]Book'!H1385</f>
        <v>0.0</v>
      </c>
      <c r="I1385" s="15">
        <f>'[01_Entry.xlsx]Book'!I1385</f>
        <v>0.0</v>
      </c>
      <c r="K1385" s="15">
        <f>'[01_Entry.xlsx]Book'!K1385</f>
        <v>0.0</v>
      </c>
      <c r="L1385" s="15">
        <f>'[01_Entry.xlsx]Book'!L1385</f>
        <v>0.0</v>
      </c>
      <c r="M1385" s="15">
        <f>'[01_Entry.xlsx]Book'!M1385</f>
        <v>0.0</v>
      </c>
      <c r="P1385" s="56">
        <f>IF($A1385="","",IFERROR(VALUE(MID($A1385,6,2)),""))</f>
        <v/>
      </c>
    </row>
    <row r="1386" spans="7:16">
      <c r="G1386" s="15">
        <f>'[01_Entry.xlsx]Book'!G1386</f>
        <v>0.0</v>
      </c>
      <c r="H1386" s="15">
        <f>'[01_Entry.xlsx]Book'!H1386</f>
        <v>0.0</v>
      </c>
      <c r="I1386" s="15">
        <f>'[01_Entry.xlsx]Book'!I1386</f>
        <v>0.0</v>
      </c>
      <c r="K1386" s="15">
        <f>'[01_Entry.xlsx]Book'!K1386</f>
        <v>0.0</v>
      </c>
      <c r="L1386" s="15">
        <f>'[01_Entry.xlsx]Book'!L1386</f>
        <v>0.0</v>
      </c>
      <c r="M1386" s="15">
        <f>'[01_Entry.xlsx]Book'!M1386</f>
        <v>0.0</v>
      </c>
      <c r="P1386" s="56">
        <f>IF($A1386="","",IFERROR(VALUE(MID($A1386,6,2)),""))</f>
        <v/>
      </c>
    </row>
    <row r="1387" spans="7:16">
      <c r="G1387" s="15">
        <f>'[01_Entry.xlsx]Book'!G1387</f>
        <v>0.0</v>
      </c>
      <c r="H1387" s="15">
        <f>'[01_Entry.xlsx]Book'!H1387</f>
        <v>0.0</v>
      </c>
      <c r="I1387" s="15">
        <f>'[01_Entry.xlsx]Book'!I1387</f>
        <v>0.0</v>
      </c>
      <c r="K1387" s="15">
        <f>'[01_Entry.xlsx]Book'!K1387</f>
        <v>0.0</v>
      </c>
      <c r="L1387" s="15">
        <f>'[01_Entry.xlsx]Book'!L1387</f>
        <v>0.0</v>
      </c>
      <c r="M1387" s="15">
        <f>'[01_Entry.xlsx]Book'!M1387</f>
        <v>0.0</v>
      </c>
      <c r="P1387" s="56">
        <f>IF($A1387="","",IFERROR(VALUE(MID($A1387,6,2)),""))</f>
        <v/>
      </c>
    </row>
    <row r="1388" spans="7:16">
      <c r="G1388" s="15">
        <f>'[01_Entry.xlsx]Book'!G1388</f>
        <v>0.0</v>
      </c>
      <c r="H1388" s="15">
        <f>'[01_Entry.xlsx]Book'!H1388</f>
        <v>0.0</v>
      </c>
      <c r="I1388" s="15">
        <f>'[01_Entry.xlsx]Book'!I1388</f>
        <v>0.0</v>
      </c>
      <c r="K1388" s="15">
        <f>'[01_Entry.xlsx]Book'!K1388</f>
        <v>0.0</v>
      </c>
      <c r="L1388" s="15">
        <f>'[01_Entry.xlsx]Book'!L1388</f>
        <v>0.0</v>
      </c>
      <c r="M1388" s="15">
        <f>'[01_Entry.xlsx]Book'!M1388</f>
        <v>0.0</v>
      </c>
      <c r="P1388" s="56">
        <f>IF($A1388="","",IFERROR(VALUE(MID($A1388,6,2)),""))</f>
        <v/>
      </c>
    </row>
    <row r="1389" spans="7:16">
      <c r="G1389" s="15">
        <f>'[01_Entry.xlsx]Book'!G1389</f>
        <v>0.0</v>
      </c>
      <c r="H1389" s="15">
        <f>'[01_Entry.xlsx]Book'!H1389</f>
        <v>0.0</v>
      </c>
      <c r="I1389" s="15">
        <f>'[01_Entry.xlsx]Book'!I1389</f>
        <v>0.0</v>
      </c>
      <c r="K1389" s="15">
        <f>'[01_Entry.xlsx]Book'!K1389</f>
        <v>0.0</v>
      </c>
      <c r="L1389" s="15">
        <f>'[01_Entry.xlsx]Book'!L1389</f>
        <v>0.0</v>
      </c>
      <c r="M1389" s="15">
        <f>'[01_Entry.xlsx]Book'!M1389</f>
        <v>0.0</v>
      </c>
      <c r="P1389" s="56">
        <f>IF($A1389="","",IFERROR(VALUE(MID($A1389,6,2)),""))</f>
        <v/>
      </c>
    </row>
    <row r="1390" spans="7:16">
      <c r="G1390" s="15">
        <f>'[01_Entry.xlsx]Book'!G1390</f>
        <v>0.0</v>
      </c>
      <c r="H1390" s="15">
        <f>'[01_Entry.xlsx]Book'!H1390</f>
        <v>0.0</v>
      </c>
      <c r="I1390" s="15">
        <f>'[01_Entry.xlsx]Book'!I1390</f>
        <v>0.0</v>
      </c>
      <c r="K1390" s="15">
        <f>'[01_Entry.xlsx]Book'!K1390</f>
        <v>0.0</v>
      </c>
      <c r="L1390" s="15">
        <f>'[01_Entry.xlsx]Book'!L1390</f>
        <v>0.0</v>
      </c>
      <c r="M1390" s="15">
        <f>'[01_Entry.xlsx]Book'!M1390</f>
        <v>0.0</v>
      </c>
      <c r="P1390" s="56">
        <f>IF($A1390="","",IFERROR(VALUE(MID($A1390,6,2)),""))</f>
        <v/>
      </c>
    </row>
    <row r="1391" spans="7:16">
      <c r="G1391" s="15">
        <f>'[01_Entry.xlsx]Book'!G1391</f>
        <v>0.0</v>
      </c>
      <c r="H1391" s="15">
        <f>'[01_Entry.xlsx]Book'!H1391</f>
        <v>0.0</v>
      </c>
      <c r="I1391" s="15">
        <f>'[01_Entry.xlsx]Book'!I1391</f>
        <v>0.0</v>
      </c>
      <c r="K1391" s="15">
        <f>'[01_Entry.xlsx]Book'!K1391</f>
        <v>0.0</v>
      </c>
      <c r="L1391" s="15">
        <f>'[01_Entry.xlsx]Book'!L1391</f>
        <v>0.0</v>
      </c>
      <c r="M1391" s="15">
        <f>'[01_Entry.xlsx]Book'!M1391</f>
        <v>0.0</v>
      </c>
      <c r="P1391" s="56">
        <f>IF($A1391="","",IFERROR(VALUE(MID($A1391,6,2)),""))</f>
        <v/>
      </c>
    </row>
    <row r="1392" spans="7:16">
      <c r="G1392" s="15">
        <f>'[01_Entry.xlsx]Book'!G1392</f>
        <v>0.0</v>
      </c>
      <c r="H1392" s="15">
        <f>'[01_Entry.xlsx]Book'!H1392</f>
        <v>0.0</v>
      </c>
      <c r="I1392" s="15">
        <f>'[01_Entry.xlsx]Book'!I1392</f>
        <v>0.0</v>
      </c>
      <c r="K1392" s="15">
        <f>'[01_Entry.xlsx]Book'!K1392</f>
        <v>0.0</v>
      </c>
      <c r="L1392" s="15">
        <f>'[01_Entry.xlsx]Book'!L1392</f>
        <v>0.0</v>
      </c>
      <c r="M1392" s="15">
        <f>'[01_Entry.xlsx]Book'!M1392</f>
        <v>0.0</v>
      </c>
      <c r="P1392" s="56">
        <f>IF($A1392="","",IFERROR(VALUE(MID($A1392,6,2)),""))</f>
        <v/>
      </c>
    </row>
    <row r="1393" spans="7:16">
      <c r="G1393" s="15">
        <f>'[01_Entry.xlsx]Book'!G1393</f>
        <v>0.0</v>
      </c>
      <c r="H1393" s="15">
        <f>'[01_Entry.xlsx]Book'!H1393</f>
        <v>0.0</v>
      </c>
      <c r="I1393" s="15">
        <f>'[01_Entry.xlsx]Book'!I1393</f>
        <v>0.0</v>
      </c>
      <c r="K1393" s="15">
        <f>'[01_Entry.xlsx]Book'!K1393</f>
        <v>0.0</v>
      </c>
      <c r="L1393" s="15">
        <f>'[01_Entry.xlsx]Book'!L1393</f>
        <v>0.0</v>
      </c>
      <c r="M1393" s="15">
        <f>'[01_Entry.xlsx]Book'!M1393</f>
        <v>0.0</v>
      </c>
      <c r="P1393" s="56">
        <f>IF($A1393="","",IFERROR(VALUE(MID($A1393,6,2)),""))</f>
        <v/>
      </c>
    </row>
    <row r="1394" spans="7:16">
      <c r="G1394" s="15">
        <f>'[01_Entry.xlsx]Book'!G1394</f>
        <v>0.0</v>
      </c>
      <c r="H1394" s="15">
        <f>'[01_Entry.xlsx]Book'!H1394</f>
        <v>0.0</v>
      </c>
      <c r="I1394" s="15">
        <f>'[01_Entry.xlsx]Book'!I1394</f>
        <v>0.0</v>
      </c>
      <c r="K1394" s="15">
        <f>'[01_Entry.xlsx]Book'!K1394</f>
        <v>0.0</v>
      </c>
      <c r="L1394" s="15">
        <f>'[01_Entry.xlsx]Book'!L1394</f>
        <v>0.0</v>
      </c>
      <c r="M1394" s="15">
        <f>'[01_Entry.xlsx]Book'!M1394</f>
        <v>0.0</v>
      </c>
      <c r="P1394" s="56">
        <f>IF($A1394="","",IFERROR(VALUE(MID($A1394,6,2)),""))</f>
        <v/>
      </c>
    </row>
    <row r="1395" spans="7:16">
      <c r="G1395" s="15">
        <f>'[01_Entry.xlsx]Book'!G1395</f>
        <v>0.0</v>
      </c>
      <c r="H1395" s="15">
        <f>'[01_Entry.xlsx]Book'!H1395</f>
        <v>0.0</v>
      </c>
      <c r="I1395" s="15">
        <f>'[01_Entry.xlsx]Book'!I1395</f>
        <v>0.0</v>
      </c>
      <c r="K1395" s="15">
        <f>'[01_Entry.xlsx]Book'!K1395</f>
        <v>0.0</v>
      </c>
      <c r="L1395" s="15">
        <f>'[01_Entry.xlsx]Book'!L1395</f>
        <v>0.0</v>
      </c>
      <c r="M1395" s="15">
        <f>'[01_Entry.xlsx]Book'!M1395</f>
        <v>0.0</v>
      </c>
      <c r="P1395" s="56">
        <f>IF($A1395="","",IFERROR(VALUE(MID($A1395,6,2)),""))</f>
        <v/>
      </c>
    </row>
    <row r="1396" spans="7:16">
      <c r="G1396" s="15">
        <f>'[01_Entry.xlsx]Book'!G1396</f>
        <v>0.0</v>
      </c>
      <c r="H1396" s="15">
        <f>'[01_Entry.xlsx]Book'!H1396</f>
        <v>0.0</v>
      </c>
      <c r="I1396" s="15">
        <f>'[01_Entry.xlsx]Book'!I1396</f>
        <v>0.0</v>
      </c>
      <c r="K1396" s="15">
        <f>'[01_Entry.xlsx]Book'!K1396</f>
        <v>0.0</v>
      </c>
      <c r="L1396" s="15">
        <f>'[01_Entry.xlsx]Book'!L1396</f>
        <v>0.0</v>
      </c>
      <c r="M1396" s="15">
        <f>'[01_Entry.xlsx]Book'!M1396</f>
        <v>0.0</v>
      </c>
      <c r="P1396" s="56">
        <f>IF($A1396="","",IFERROR(VALUE(MID($A1396,6,2)),""))</f>
        <v/>
      </c>
    </row>
    <row r="1397" spans="7:16">
      <c r="G1397" s="15">
        <f>'[01_Entry.xlsx]Book'!G1397</f>
        <v>0.0</v>
      </c>
      <c r="H1397" s="15">
        <f>'[01_Entry.xlsx]Book'!H1397</f>
        <v>0.0</v>
      </c>
      <c r="I1397" s="15">
        <f>'[01_Entry.xlsx]Book'!I1397</f>
        <v>0.0</v>
      </c>
      <c r="K1397" s="15">
        <f>'[01_Entry.xlsx]Book'!K1397</f>
        <v>0.0</v>
      </c>
      <c r="L1397" s="15">
        <f>'[01_Entry.xlsx]Book'!L1397</f>
        <v>0.0</v>
      </c>
      <c r="M1397" s="15">
        <f>'[01_Entry.xlsx]Book'!M1397</f>
        <v>0.0</v>
      </c>
      <c r="P1397" s="56">
        <f>IF($A1397="","",IFERROR(VALUE(MID($A1397,6,2)),""))</f>
        <v/>
      </c>
    </row>
    <row r="1398" spans="7:16">
      <c r="G1398" s="15">
        <f>'[01_Entry.xlsx]Book'!G1398</f>
        <v>0.0</v>
      </c>
      <c r="H1398" s="15">
        <f>'[01_Entry.xlsx]Book'!H1398</f>
        <v>0.0</v>
      </c>
      <c r="I1398" s="15">
        <f>'[01_Entry.xlsx]Book'!I1398</f>
        <v>0.0</v>
      </c>
      <c r="K1398" s="15">
        <f>'[01_Entry.xlsx]Book'!K1398</f>
        <v>0.0</v>
      </c>
      <c r="L1398" s="15">
        <f>'[01_Entry.xlsx]Book'!L1398</f>
        <v>0.0</v>
      </c>
      <c r="M1398" s="15">
        <f>'[01_Entry.xlsx]Book'!M1398</f>
        <v>0.0</v>
      </c>
      <c r="P1398" s="56">
        <f>IF($A1398="","",IFERROR(VALUE(MID($A1398,6,2)),""))</f>
        <v/>
      </c>
    </row>
    <row r="1399" spans="7:16">
      <c r="G1399" s="15">
        <f>'[01_Entry.xlsx]Book'!G1399</f>
        <v>0.0</v>
      </c>
      <c r="H1399" s="15">
        <f>'[01_Entry.xlsx]Book'!H1399</f>
        <v>0.0</v>
      </c>
      <c r="I1399" s="15">
        <f>'[01_Entry.xlsx]Book'!I1399</f>
        <v>0.0</v>
      </c>
      <c r="K1399" s="15">
        <f>'[01_Entry.xlsx]Book'!K1399</f>
        <v>0.0</v>
      </c>
      <c r="L1399" s="15">
        <f>'[01_Entry.xlsx]Book'!L1399</f>
        <v>0.0</v>
      </c>
      <c r="M1399" s="15">
        <f>'[01_Entry.xlsx]Book'!M1399</f>
        <v>0.0</v>
      </c>
      <c r="P1399" s="56">
        <f>IF($A1399="","",IFERROR(VALUE(MID($A1399,6,2)),""))</f>
        <v/>
      </c>
    </row>
    <row r="1400" spans="7:16">
      <c r="G1400" s="15">
        <f>'[01_Entry.xlsx]Book'!G1400</f>
        <v>0.0</v>
      </c>
      <c r="H1400" s="15">
        <f>'[01_Entry.xlsx]Book'!H1400</f>
        <v>0.0</v>
      </c>
      <c r="I1400" s="15">
        <f>'[01_Entry.xlsx]Book'!I1400</f>
        <v>0.0</v>
      </c>
      <c r="K1400" s="15">
        <f>'[01_Entry.xlsx]Book'!K1400</f>
        <v>0.0</v>
      </c>
      <c r="L1400" s="15">
        <f>'[01_Entry.xlsx]Book'!L1400</f>
        <v>0.0</v>
      </c>
      <c r="M1400" s="15">
        <f>'[01_Entry.xlsx]Book'!M1400</f>
        <v>0.0</v>
      </c>
      <c r="P1400" s="56">
        <f>IF($A1400="","",IFERROR(VALUE(MID($A1400,6,2)),""))</f>
        <v/>
      </c>
    </row>
    <row r="1401" spans="7:16">
      <c r="G1401" s="15">
        <f>'[01_Entry.xlsx]Book'!G1401</f>
        <v>0.0</v>
      </c>
      <c r="H1401" s="15">
        <f>'[01_Entry.xlsx]Book'!H1401</f>
        <v>0.0</v>
      </c>
      <c r="I1401" s="15">
        <f>'[01_Entry.xlsx]Book'!I1401</f>
        <v>0.0</v>
      </c>
      <c r="K1401" s="15">
        <f>'[01_Entry.xlsx]Book'!K1401</f>
        <v>0.0</v>
      </c>
      <c r="L1401" s="15">
        <f>'[01_Entry.xlsx]Book'!L1401</f>
        <v>0.0</v>
      </c>
      <c r="M1401" s="15">
        <f>'[01_Entry.xlsx]Book'!M1401</f>
        <v>0.0</v>
      </c>
      <c r="P1401" s="56">
        <f>IF($A1401="","",IFERROR(VALUE(MID($A1401,6,2)),""))</f>
        <v/>
      </c>
    </row>
    <row r="1402" spans="7:16">
      <c r="G1402" s="15">
        <f>'[01_Entry.xlsx]Book'!G1402</f>
        <v>0.0</v>
      </c>
      <c r="H1402" s="15">
        <f>'[01_Entry.xlsx]Book'!H1402</f>
        <v>0.0</v>
      </c>
      <c r="I1402" s="15">
        <f>'[01_Entry.xlsx]Book'!I1402</f>
        <v>0.0</v>
      </c>
      <c r="K1402" s="15">
        <f>'[01_Entry.xlsx]Book'!K1402</f>
        <v>0.0</v>
      </c>
      <c r="L1402" s="15">
        <f>'[01_Entry.xlsx]Book'!L1402</f>
        <v>0.0</v>
      </c>
      <c r="M1402" s="15">
        <f>'[01_Entry.xlsx]Book'!M1402</f>
        <v>0.0</v>
      </c>
      <c r="P1402" s="56">
        <f>IF($A1402="","",IFERROR(VALUE(MID($A1402,6,2)),""))</f>
        <v/>
      </c>
    </row>
    <row r="1403" spans="7:16">
      <c r="G1403" s="15">
        <f>'[01_Entry.xlsx]Book'!G1403</f>
        <v>0.0</v>
      </c>
      <c r="H1403" s="15">
        <f>'[01_Entry.xlsx]Book'!H1403</f>
        <v>0.0</v>
      </c>
      <c r="I1403" s="15">
        <f>'[01_Entry.xlsx]Book'!I1403</f>
        <v>0.0</v>
      </c>
      <c r="K1403" s="15">
        <f>'[01_Entry.xlsx]Book'!K1403</f>
        <v>0.0</v>
      </c>
      <c r="L1403" s="15">
        <f>'[01_Entry.xlsx]Book'!L1403</f>
        <v>0.0</v>
      </c>
      <c r="M1403" s="15">
        <f>'[01_Entry.xlsx]Book'!M1403</f>
        <v>0.0</v>
      </c>
      <c r="P1403" s="56">
        <f>IF($A1403="","",IFERROR(VALUE(MID($A1403,6,2)),""))</f>
        <v/>
      </c>
    </row>
    <row r="1404" spans="7:16">
      <c r="G1404" s="15">
        <f>'[01_Entry.xlsx]Book'!G1404</f>
        <v>0.0</v>
      </c>
      <c r="H1404" s="15">
        <f>'[01_Entry.xlsx]Book'!H1404</f>
        <v>0.0</v>
      </c>
      <c r="I1404" s="15">
        <f>'[01_Entry.xlsx]Book'!I1404</f>
        <v>0.0</v>
      </c>
      <c r="K1404" s="15">
        <f>'[01_Entry.xlsx]Book'!K1404</f>
        <v>0.0</v>
      </c>
      <c r="L1404" s="15">
        <f>'[01_Entry.xlsx]Book'!L1404</f>
        <v>0.0</v>
      </c>
      <c r="M1404" s="15">
        <f>'[01_Entry.xlsx]Book'!M1404</f>
        <v>0.0</v>
      </c>
      <c r="P1404" s="56">
        <f>IF($A1404="","",IFERROR(VALUE(MID($A1404,6,2)),""))</f>
        <v/>
      </c>
    </row>
    <row r="1405" spans="7:16">
      <c r="G1405" s="15">
        <f>'[01_Entry.xlsx]Book'!G1405</f>
        <v>0.0</v>
      </c>
      <c r="H1405" s="15">
        <f>'[01_Entry.xlsx]Book'!H1405</f>
        <v>0.0</v>
      </c>
      <c r="I1405" s="15">
        <f>'[01_Entry.xlsx]Book'!I1405</f>
        <v>0.0</v>
      </c>
      <c r="K1405" s="15">
        <f>'[01_Entry.xlsx]Book'!K1405</f>
        <v>0.0</v>
      </c>
      <c r="L1405" s="15">
        <f>'[01_Entry.xlsx]Book'!L1405</f>
        <v>0.0</v>
      </c>
      <c r="M1405" s="15">
        <f>'[01_Entry.xlsx]Book'!M1405</f>
        <v>0.0</v>
      </c>
      <c r="P1405" s="56">
        <f>IF($A1405="","",IFERROR(VALUE(MID($A1405,6,2)),""))</f>
        <v/>
      </c>
    </row>
    <row r="1406" spans="7:16">
      <c r="G1406" s="15">
        <f>'[01_Entry.xlsx]Book'!G1406</f>
        <v>0.0</v>
      </c>
      <c r="H1406" s="15">
        <f>'[01_Entry.xlsx]Book'!H1406</f>
        <v>0.0</v>
      </c>
      <c r="I1406" s="15">
        <f>'[01_Entry.xlsx]Book'!I1406</f>
        <v>0.0</v>
      </c>
      <c r="K1406" s="15">
        <f>'[01_Entry.xlsx]Book'!K1406</f>
        <v>0.0</v>
      </c>
      <c r="L1406" s="15">
        <f>'[01_Entry.xlsx]Book'!L1406</f>
        <v>0.0</v>
      </c>
      <c r="M1406" s="15">
        <f>'[01_Entry.xlsx]Book'!M1406</f>
        <v>0.0</v>
      </c>
      <c r="P1406" s="56">
        <f>IF($A1406="","",IFERROR(VALUE(MID($A1406,6,2)),""))</f>
        <v/>
      </c>
    </row>
    <row r="1407" spans="7:16">
      <c r="G1407" s="15">
        <f>'[01_Entry.xlsx]Book'!G1407</f>
        <v>0.0</v>
      </c>
      <c r="H1407" s="15">
        <f>'[01_Entry.xlsx]Book'!H1407</f>
        <v>0.0</v>
      </c>
      <c r="I1407" s="15">
        <f>'[01_Entry.xlsx]Book'!I1407</f>
        <v>0.0</v>
      </c>
      <c r="K1407" s="15">
        <f>'[01_Entry.xlsx]Book'!K1407</f>
        <v>0.0</v>
      </c>
      <c r="L1407" s="15">
        <f>'[01_Entry.xlsx]Book'!L1407</f>
        <v>0.0</v>
      </c>
      <c r="M1407" s="15">
        <f>'[01_Entry.xlsx]Book'!M1407</f>
        <v>0.0</v>
      </c>
      <c r="P1407" s="56">
        <f>IF($A1407="","",IFERROR(VALUE(MID($A1407,6,2)),""))</f>
        <v/>
      </c>
    </row>
    <row r="1408" spans="7:16">
      <c r="G1408" s="15">
        <f>'[01_Entry.xlsx]Book'!G1408</f>
        <v>0.0</v>
      </c>
      <c r="H1408" s="15">
        <f>'[01_Entry.xlsx]Book'!H1408</f>
        <v>0.0</v>
      </c>
      <c r="I1408" s="15">
        <f>'[01_Entry.xlsx]Book'!I1408</f>
        <v>0.0</v>
      </c>
      <c r="K1408" s="15">
        <f>'[01_Entry.xlsx]Book'!K1408</f>
        <v>0.0</v>
      </c>
      <c r="L1408" s="15">
        <f>'[01_Entry.xlsx]Book'!L1408</f>
        <v>0.0</v>
      </c>
      <c r="M1408" s="15">
        <f>'[01_Entry.xlsx]Book'!M1408</f>
        <v>0.0</v>
      </c>
      <c r="P1408" s="56">
        <f>IF($A1408="","",IFERROR(VALUE(MID($A1408,6,2)),""))</f>
        <v/>
      </c>
    </row>
    <row r="1409" spans="7:16">
      <c r="G1409" s="15">
        <f>'[01_Entry.xlsx]Book'!G1409</f>
        <v>0.0</v>
      </c>
      <c r="H1409" s="15">
        <f>'[01_Entry.xlsx]Book'!H1409</f>
        <v>0.0</v>
      </c>
      <c r="I1409" s="15">
        <f>'[01_Entry.xlsx]Book'!I1409</f>
        <v>0.0</v>
      </c>
      <c r="K1409" s="15">
        <f>'[01_Entry.xlsx]Book'!K1409</f>
        <v>0.0</v>
      </c>
      <c r="L1409" s="15">
        <f>'[01_Entry.xlsx]Book'!L1409</f>
        <v>0.0</v>
      </c>
      <c r="M1409" s="15">
        <f>'[01_Entry.xlsx]Book'!M1409</f>
        <v>0.0</v>
      </c>
      <c r="P1409" s="56">
        <f>IF($A1409="","",IFERROR(VALUE(MID($A1409,6,2)),""))</f>
        <v/>
      </c>
    </row>
    <row r="1410" spans="7:16">
      <c r="G1410" s="15">
        <f>'[01_Entry.xlsx]Book'!G1410</f>
        <v>0.0</v>
      </c>
      <c r="H1410" s="15">
        <f>'[01_Entry.xlsx]Book'!H1410</f>
        <v>0.0</v>
      </c>
      <c r="I1410" s="15">
        <f>'[01_Entry.xlsx]Book'!I1410</f>
        <v>0.0</v>
      </c>
      <c r="K1410" s="15">
        <f>'[01_Entry.xlsx]Book'!K1410</f>
        <v>0.0</v>
      </c>
      <c r="L1410" s="15">
        <f>'[01_Entry.xlsx]Book'!L1410</f>
        <v>0.0</v>
      </c>
      <c r="M1410" s="15">
        <f>'[01_Entry.xlsx]Book'!M1410</f>
        <v>0.0</v>
      </c>
      <c r="P1410" s="56">
        <f>IF($A1410="","",IFERROR(VALUE(MID($A1410,6,2)),""))</f>
        <v/>
      </c>
    </row>
    <row r="1411" spans="7:16">
      <c r="G1411" s="15">
        <f>'[01_Entry.xlsx]Book'!G1411</f>
        <v>0.0</v>
      </c>
      <c r="H1411" s="15">
        <f>'[01_Entry.xlsx]Book'!H1411</f>
        <v>0.0</v>
      </c>
      <c r="I1411" s="15">
        <f>'[01_Entry.xlsx]Book'!I1411</f>
        <v>0.0</v>
      </c>
      <c r="K1411" s="15">
        <f>'[01_Entry.xlsx]Book'!K1411</f>
        <v>0.0</v>
      </c>
      <c r="L1411" s="15">
        <f>'[01_Entry.xlsx]Book'!L1411</f>
        <v>0.0</v>
      </c>
      <c r="M1411" s="15">
        <f>'[01_Entry.xlsx]Book'!M1411</f>
        <v>0.0</v>
      </c>
      <c r="P1411" s="56">
        <f>IF($A1411="","",IFERROR(VALUE(MID($A1411,6,2)),""))</f>
        <v/>
      </c>
    </row>
    <row r="1412" spans="7:16">
      <c r="G1412" s="15">
        <f>'[01_Entry.xlsx]Book'!G1412</f>
        <v>0.0</v>
      </c>
      <c r="H1412" s="15">
        <f>'[01_Entry.xlsx]Book'!H1412</f>
        <v>0.0</v>
      </c>
      <c r="I1412" s="15">
        <f>'[01_Entry.xlsx]Book'!I1412</f>
        <v>0.0</v>
      </c>
      <c r="K1412" s="15">
        <f>'[01_Entry.xlsx]Book'!K1412</f>
        <v>0.0</v>
      </c>
      <c r="L1412" s="15">
        <f>'[01_Entry.xlsx]Book'!L1412</f>
        <v>0.0</v>
      </c>
      <c r="M1412" s="15">
        <f>'[01_Entry.xlsx]Book'!M1412</f>
        <v>0.0</v>
      </c>
      <c r="P1412" s="56">
        <f>IF($A1412="","",IFERROR(VALUE(MID($A1412,6,2)),""))</f>
        <v/>
      </c>
    </row>
    <row r="1413" spans="7:16">
      <c r="G1413" s="15">
        <f>'[01_Entry.xlsx]Book'!G1413</f>
        <v>0.0</v>
      </c>
      <c r="H1413" s="15">
        <f>'[01_Entry.xlsx]Book'!H1413</f>
        <v>0.0</v>
      </c>
      <c r="I1413" s="15">
        <f>'[01_Entry.xlsx]Book'!I1413</f>
        <v>0.0</v>
      </c>
      <c r="K1413" s="15">
        <f>'[01_Entry.xlsx]Book'!K1413</f>
        <v>0.0</v>
      </c>
      <c r="L1413" s="15">
        <f>'[01_Entry.xlsx]Book'!L1413</f>
        <v>0.0</v>
      </c>
      <c r="M1413" s="15">
        <f>'[01_Entry.xlsx]Book'!M1413</f>
        <v>0.0</v>
      </c>
      <c r="P1413" s="56">
        <f>IF($A1413="","",IFERROR(VALUE(MID($A1413,6,2)),""))</f>
        <v/>
      </c>
    </row>
    <row r="1414" spans="7:16">
      <c r="G1414" s="15">
        <f>'[01_Entry.xlsx]Book'!G1414</f>
        <v>0.0</v>
      </c>
      <c r="H1414" s="15">
        <f>'[01_Entry.xlsx]Book'!H1414</f>
        <v>0.0</v>
      </c>
      <c r="I1414" s="15">
        <f>'[01_Entry.xlsx]Book'!I1414</f>
        <v>0.0</v>
      </c>
      <c r="K1414" s="15">
        <f>'[01_Entry.xlsx]Book'!K1414</f>
        <v>0.0</v>
      </c>
      <c r="L1414" s="15">
        <f>'[01_Entry.xlsx]Book'!L1414</f>
        <v>0.0</v>
      </c>
      <c r="M1414" s="15">
        <f>'[01_Entry.xlsx]Book'!M1414</f>
        <v>0.0</v>
      </c>
      <c r="P1414" s="56">
        <f>IF($A1414="","",IFERROR(VALUE(MID($A1414,6,2)),""))</f>
        <v/>
      </c>
    </row>
    <row r="1415" spans="7:16">
      <c r="G1415" s="15">
        <f>'[01_Entry.xlsx]Book'!G1415</f>
        <v>0.0</v>
      </c>
      <c r="H1415" s="15">
        <f>'[01_Entry.xlsx]Book'!H1415</f>
        <v>0.0</v>
      </c>
      <c r="I1415" s="15">
        <f>'[01_Entry.xlsx]Book'!I1415</f>
        <v>0.0</v>
      </c>
      <c r="K1415" s="15">
        <f>'[01_Entry.xlsx]Book'!K1415</f>
        <v>0.0</v>
      </c>
      <c r="L1415" s="15">
        <f>'[01_Entry.xlsx]Book'!L1415</f>
        <v>0.0</v>
      </c>
      <c r="M1415" s="15">
        <f>'[01_Entry.xlsx]Book'!M1415</f>
        <v>0.0</v>
      </c>
      <c r="P1415" s="56">
        <f>IF($A1415="","",IFERROR(VALUE(MID($A1415,6,2)),""))</f>
        <v/>
      </c>
    </row>
    <row r="1416" spans="7:16">
      <c r="G1416" s="15">
        <f>'[01_Entry.xlsx]Book'!G1416</f>
        <v>0.0</v>
      </c>
      <c r="H1416" s="15">
        <f>'[01_Entry.xlsx]Book'!H1416</f>
        <v>0.0</v>
      </c>
      <c r="I1416" s="15">
        <f>'[01_Entry.xlsx]Book'!I1416</f>
        <v>0.0</v>
      </c>
      <c r="K1416" s="15">
        <f>'[01_Entry.xlsx]Book'!K1416</f>
        <v>0.0</v>
      </c>
      <c r="L1416" s="15">
        <f>'[01_Entry.xlsx]Book'!L1416</f>
        <v>0.0</v>
      </c>
      <c r="M1416" s="15">
        <f>'[01_Entry.xlsx]Book'!M1416</f>
        <v>0.0</v>
      </c>
      <c r="P1416" s="56">
        <f>IF($A1416="","",IFERROR(VALUE(MID($A1416,6,2)),""))</f>
        <v/>
      </c>
    </row>
    <row r="1417" spans="7:16">
      <c r="G1417" s="15">
        <f>'[01_Entry.xlsx]Book'!G1417</f>
        <v>0.0</v>
      </c>
      <c r="H1417" s="15">
        <f>'[01_Entry.xlsx]Book'!H1417</f>
        <v>0.0</v>
      </c>
      <c r="I1417" s="15">
        <f>'[01_Entry.xlsx]Book'!I1417</f>
        <v>0.0</v>
      </c>
      <c r="K1417" s="15">
        <f>'[01_Entry.xlsx]Book'!K1417</f>
        <v>0.0</v>
      </c>
      <c r="L1417" s="15">
        <f>'[01_Entry.xlsx]Book'!L1417</f>
        <v>0.0</v>
      </c>
      <c r="M1417" s="15">
        <f>'[01_Entry.xlsx]Book'!M1417</f>
        <v>0.0</v>
      </c>
      <c r="P1417" s="56">
        <f>IF($A1417="","",IFERROR(VALUE(MID($A1417,6,2)),""))</f>
        <v/>
      </c>
    </row>
    <row r="1418" spans="7:16">
      <c r="G1418" s="15">
        <f>'[01_Entry.xlsx]Book'!G1418</f>
        <v>0.0</v>
      </c>
      <c r="H1418" s="15">
        <f>'[01_Entry.xlsx]Book'!H1418</f>
        <v>0.0</v>
      </c>
      <c r="I1418" s="15">
        <f>'[01_Entry.xlsx]Book'!I1418</f>
        <v>0.0</v>
      </c>
      <c r="K1418" s="15">
        <f>'[01_Entry.xlsx]Book'!K1418</f>
        <v>0.0</v>
      </c>
      <c r="L1418" s="15">
        <f>'[01_Entry.xlsx]Book'!L1418</f>
        <v>0.0</v>
      </c>
      <c r="M1418" s="15">
        <f>'[01_Entry.xlsx]Book'!M1418</f>
        <v>0.0</v>
      </c>
      <c r="P1418" s="56">
        <f>IF($A1418="","",IFERROR(VALUE(MID($A1418,6,2)),""))</f>
        <v/>
      </c>
    </row>
    <row r="1419" spans="7:16">
      <c r="G1419" s="15">
        <f>'[01_Entry.xlsx]Book'!G1419</f>
        <v>0.0</v>
      </c>
      <c r="H1419" s="15">
        <f>'[01_Entry.xlsx]Book'!H1419</f>
        <v>0.0</v>
      </c>
      <c r="I1419" s="15">
        <f>'[01_Entry.xlsx]Book'!I1419</f>
        <v>0.0</v>
      </c>
      <c r="K1419" s="15">
        <f>'[01_Entry.xlsx]Book'!K1419</f>
        <v>0.0</v>
      </c>
      <c r="L1419" s="15">
        <f>'[01_Entry.xlsx]Book'!L1419</f>
        <v>0.0</v>
      </c>
      <c r="M1419" s="15">
        <f>'[01_Entry.xlsx]Book'!M1419</f>
        <v>0.0</v>
      </c>
      <c r="P1419" s="56">
        <f>IF($A1419="","",IFERROR(VALUE(MID($A1419,6,2)),""))</f>
        <v/>
      </c>
    </row>
    <row r="1420" spans="7:16">
      <c r="G1420" s="15">
        <f>'[01_Entry.xlsx]Book'!G1420</f>
        <v>0.0</v>
      </c>
      <c r="H1420" s="15">
        <f>'[01_Entry.xlsx]Book'!H1420</f>
        <v>0.0</v>
      </c>
      <c r="I1420" s="15">
        <f>'[01_Entry.xlsx]Book'!I1420</f>
        <v>0.0</v>
      </c>
      <c r="K1420" s="15">
        <f>'[01_Entry.xlsx]Book'!K1420</f>
        <v>0.0</v>
      </c>
      <c r="L1420" s="15">
        <f>'[01_Entry.xlsx]Book'!L1420</f>
        <v>0.0</v>
      </c>
      <c r="M1420" s="15">
        <f>'[01_Entry.xlsx]Book'!M1420</f>
        <v>0.0</v>
      </c>
      <c r="P1420" s="56">
        <f>IF($A1420="","",IFERROR(VALUE(MID($A1420,6,2)),""))</f>
        <v/>
      </c>
    </row>
    <row r="1421" spans="7:16">
      <c r="G1421" s="15">
        <f>'[01_Entry.xlsx]Book'!G1421</f>
        <v>0.0</v>
      </c>
      <c r="H1421" s="15">
        <f>'[01_Entry.xlsx]Book'!H1421</f>
        <v>0.0</v>
      </c>
      <c r="I1421" s="15">
        <f>'[01_Entry.xlsx]Book'!I1421</f>
        <v>0.0</v>
      </c>
      <c r="K1421" s="15">
        <f>'[01_Entry.xlsx]Book'!K1421</f>
        <v>0.0</v>
      </c>
      <c r="L1421" s="15">
        <f>'[01_Entry.xlsx]Book'!L1421</f>
        <v>0.0</v>
      </c>
      <c r="M1421" s="15">
        <f>'[01_Entry.xlsx]Book'!M1421</f>
        <v>0.0</v>
      </c>
      <c r="P1421" s="56">
        <f>IF($A1421="","",IFERROR(VALUE(MID($A1421,6,2)),""))</f>
        <v/>
      </c>
    </row>
    <row r="1422" spans="7:16">
      <c r="G1422" s="15">
        <f>'[01_Entry.xlsx]Book'!G1422</f>
        <v>0.0</v>
      </c>
      <c r="H1422" s="15">
        <f>'[01_Entry.xlsx]Book'!H1422</f>
        <v>0.0</v>
      </c>
      <c r="I1422" s="15">
        <f>'[01_Entry.xlsx]Book'!I1422</f>
        <v>0.0</v>
      </c>
      <c r="K1422" s="15">
        <f>'[01_Entry.xlsx]Book'!K1422</f>
        <v>0.0</v>
      </c>
      <c r="L1422" s="15">
        <f>'[01_Entry.xlsx]Book'!L1422</f>
        <v>0.0</v>
      </c>
      <c r="M1422" s="15">
        <f>'[01_Entry.xlsx]Book'!M1422</f>
        <v>0.0</v>
      </c>
      <c r="P1422" s="56">
        <f>IF($A1422="","",IFERROR(VALUE(MID($A1422,6,2)),""))</f>
        <v/>
      </c>
    </row>
    <row r="1423" spans="7:16">
      <c r="G1423" s="15">
        <f>'[01_Entry.xlsx]Book'!G1423</f>
        <v>0.0</v>
      </c>
      <c r="H1423" s="15">
        <f>'[01_Entry.xlsx]Book'!H1423</f>
        <v>0.0</v>
      </c>
      <c r="I1423" s="15">
        <f>'[01_Entry.xlsx]Book'!I1423</f>
        <v>0.0</v>
      </c>
      <c r="K1423" s="15">
        <f>'[01_Entry.xlsx]Book'!K1423</f>
        <v>0.0</v>
      </c>
      <c r="L1423" s="15">
        <f>'[01_Entry.xlsx]Book'!L1423</f>
        <v>0.0</v>
      </c>
      <c r="M1423" s="15">
        <f>'[01_Entry.xlsx]Book'!M1423</f>
        <v>0.0</v>
      </c>
      <c r="P1423" s="56">
        <f>IF($A1423="","",IFERROR(VALUE(MID($A1423,6,2)),""))</f>
        <v/>
      </c>
    </row>
    <row r="1424" spans="7:16">
      <c r="G1424" s="15">
        <f>'[01_Entry.xlsx]Book'!G1424</f>
        <v>0.0</v>
      </c>
      <c r="H1424" s="15">
        <f>'[01_Entry.xlsx]Book'!H1424</f>
        <v>0.0</v>
      </c>
      <c r="I1424" s="15">
        <f>'[01_Entry.xlsx]Book'!I1424</f>
        <v>0.0</v>
      </c>
      <c r="K1424" s="15">
        <f>'[01_Entry.xlsx]Book'!K1424</f>
        <v>0.0</v>
      </c>
      <c r="L1424" s="15">
        <f>'[01_Entry.xlsx]Book'!L1424</f>
        <v>0.0</v>
      </c>
      <c r="M1424" s="15">
        <f>'[01_Entry.xlsx]Book'!M1424</f>
        <v>0.0</v>
      </c>
      <c r="P1424" s="56">
        <f>IF($A1424="","",IFERROR(VALUE(MID($A1424,6,2)),""))</f>
        <v/>
      </c>
    </row>
    <row r="1425" spans="7:16">
      <c r="G1425" s="15">
        <f>'[01_Entry.xlsx]Book'!G1425</f>
        <v>0.0</v>
      </c>
      <c r="H1425" s="15">
        <f>'[01_Entry.xlsx]Book'!H1425</f>
        <v>0.0</v>
      </c>
      <c r="I1425" s="15">
        <f>'[01_Entry.xlsx]Book'!I1425</f>
        <v>0.0</v>
      </c>
      <c r="K1425" s="15">
        <f>'[01_Entry.xlsx]Book'!K1425</f>
        <v>0.0</v>
      </c>
      <c r="L1425" s="15">
        <f>'[01_Entry.xlsx]Book'!L1425</f>
        <v>0.0</v>
      </c>
      <c r="M1425" s="15">
        <f>'[01_Entry.xlsx]Book'!M1425</f>
        <v>0.0</v>
      </c>
      <c r="P1425" s="56">
        <f>IF($A1425="","",IFERROR(VALUE(MID($A1425,6,2)),""))</f>
        <v/>
      </c>
    </row>
    <row r="1426" spans="7:16">
      <c r="G1426" s="15">
        <f>'[01_Entry.xlsx]Book'!G1426</f>
        <v>0.0</v>
      </c>
      <c r="H1426" s="15">
        <f>'[01_Entry.xlsx]Book'!H1426</f>
        <v>0.0</v>
      </c>
      <c r="I1426" s="15">
        <f>'[01_Entry.xlsx]Book'!I1426</f>
        <v>0.0</v>
      </c>
      <c r="K1426" s="15">
        <f>'[01_Entry.xlsx]Book'!K1426</f>
        <v>0.0</v>
      </c>
      <c r="L1426" s="15">
        <f>'[01_Entry.xlsx]Book'!L1426</f>
        <v>0.0</v>
      </c>
      <c r="M1426" s="15">
        <f>'[01_Entry.xlsx]Book'!M1426</f>
        <v>0.0</v>
      </c>
      <c r="P1426" s="56">
        <f>IF($A1426="","",IFERROR(VALUE(MID($A1426,6,2)),""))</f>
        <v/>
      </c>
    </row>
    <row r="1427" spans="7:16">
      <c r="G1427" s="15">
        <f>'[01_Entry.xlsx]Book'!G1427</f>
        <v>0.0</v>
      </c>
      <c r="H1427" s="15">
        <f>'[01_Entry.xlsx]Book'!H1427</f>
        <v>0.0</v>
      </c>
      <c r="I1427" s="15">
        <f>'[01_Entry.xlsx]Book'!I1427</f>
        <v>0.0</v>
      </c>
      <c r="K1427" s="15">
        <f>'[01_Entry.xlsx]Book'!K1427</f>
        <v>0.0</v>
      </c>
      <c r="L1427" s="15">
        <f>'[01_Entry.xlsx]Book'!L1427</f>
        <v>0.0</v>
      </c>
      <c r="M1427" s="15">
        <f>'[01_Entry.xlsx]Book'!M1427</f>
        <v>0.0</v>
      </c>
      <c r="P1427" s="56">
        <f>IF($A1427="","",IFERROR(VALUE(MID($A1427,6,2)),""))</f>
        <v/>
      </c>
    </row>
    <row r="1428" spans="7:16">
      <c r="G1428" s="15">
        <f>'[01_Entry.xlsx]Book'!G1428</f>
        <v>0.0</v>
      </c>
      <c r="H1428" s="15">
        <f>'[01_Entry.xlsx]Book'!H1428</f>
        <v>0.0</v>
      </c>
      <c r="I1428" s="15">
        <f>'[01_Entry.xlsx]Book'!I1428</f>
        <v>0.0</v>
      </c>
      <c r="K1428" s="15">
        <f>'[01_Entry.xlsx]Book'!K1428</f>
        <v>0.0</v>
      </c>
      <c r="L1428" s="15">
        <f>'[01_Entry.xlsx]Book'!L1428</f>
        <v>0.0</v>
      </c>
      <c r="M1428" s="15">
        <f>'[01_Entry.xlsx]Book'!M1428</f>
        <v>0.0</v>
      </c>
      <c r="P1428" s="56">
        <f>IF($A1428="","",IFERROR(VALUE(MID($A1428,6,2)),""))</f>
        <v/>
      </c>
    </row>
    <row r="1429" spans="7:16">
      <c r="G1429" s="15">
        <f>'[01_Entry.xlsx]Book'!G1429</f>
        <v>0.0</v>
      </c>
      <c r="H1429" s="15">
        <f>'[01_Entry.xlsx]Book'!H1429</f>
        <v>0.0</v>
      </c>
      <c r="I1429" s="15">
        <f>'[01_Entry.xlsx]Book'!I1429</f>
        <v>0.0</v>
      </c>
      <c r="K1429" s="15">
        <f>'[01_Entry.xlsx]Book'!K1429</f>
        <v>0.0</v>
      </c>
      <c r="L1429" s="15">
        <f>'[01_Entry.xlsx]Book'!L1429</f>
        <v>0.0</v>
      </c>
      <c r="M1429" s="15">
        <f>'[01_Entry.xlsx]Book'!M1429</f>
        <v>0.0</v>
      </c>
      <c r="P1429" s="56">
        <f>IF($A1429="","",IFERROR(VALUE(MID($A1429,6,2)),""))</f>
        <v/>
      </c>
    </row>
    <row r="1430" spans="7:16">
      <c r="G1430" s="15">
        <f>'[01_Entry.xlsx]Book'!G1430</f>
        <v>0.0</v>
      </c>
      <c r="H1430" s="15">
        <f>'[01_Entry.xlsx]Book'!H1430</f>
        <v>0.0</v>
      </c>
      <c r="I1430" s="15">
        <f>'[01_Entry.xlsx]Book'!I1430</f>
        <v>0.0</v>
      </c>
      <c r="K1430" s="15">
        <f>'[01_Entry.xlsx]Book'!K1430</f>
        <v>0.0</v>
      </c>
      <c r="L1430" s="15">
        <f>'[01_Entry.xlsx]Book'!L1430</f>
        <v>0.0</v>
      </c>
      <c r="M1430" s="15">
        <f>'[01_Entry.xlsx]Book'!M1430</f>
        <v>0.0</v>
      </c>
      <c r="P1430" s="56">
        <f>IF($A1430="","",IFERROR(VALUE(MID($A1430,6,2)),""))</f>
        <v/>
      </c>
    </row>
    <row r="1431" spans="7:16">
      <c r="G1431" s="15">
        <f>'[01_Entry.xlsx]Book'!G1431</f>
        <v>0.0</v>
      </c>
      <c r="H1431" s="15">
        <f>'[01_Entry.xlsx]Book'!H1431</f>
        <v>0.0</v>
      </c>
      <c r="I1431" s="15">
        <f>'[01_Entry.xlsx]Book'!I1431</f>
        <v>0.0</v>
      </c>
      <c r="K1431" s="15">
        <f>'[01_Entry.xlsx]Book'!K1431</f>
        <v>0.0</v>
      </c>
      <c r="L1431" s="15">
        <f>'[01_Entry.xlsx]Book'!L1431</f>
        <v>0.0</v>
      </c>
      <c r="M1431" s="15">
        <f>'[01_Entry.xlsx]Book'!M1431</f>
        <v>0.0</v>
      </c>
      <c r="P1431" s="56">
        <f>IF($A1431="","",IFERROR(VALUE(MID($A1431,6,2)),""))</f>
        <v/>
      </c>
    </row>
    <row r="1432" spans="7:16">
      <c r="G1432" s="15">
        <f>'[01_Entry.xlsx]Book'!G1432</f>
        <v>0.0</v>
      </c>
      <c r="H1432" s="15">
        <f>'[01_Entry.xlsx]Book'!H1432</f>
        <v>0.0</v>
      </c>
      <c r="I1432" s="15">
        <f>'[01_Entry.xlsx]Book'!I1432</f>
        <v>0.0</v>
      </c>
      <c r="K1432" s="15">
        <f>'[01_Entry.xlsx]Book'!K1432</f>
        <v>0.0</v>
      </c>
      <c r="L1432" s="15">
        <f>'[01_Entry.xlsx]Book'!L1432</f>
        <v>0.0</v>
      </c>
      <c r="M1432" s="15">
        <f>'[01_Entry.xlsx]Book'!M1432</f>
        <v>0.0</v>
      </c>
      <c r="P1432" s="56">
        <f>IF($A1432="","",IFERROR(VALUE(MID($A1432,6,2)),""))</f>
        <v/>
      </c>
    </row>
    <row r="1433" spans="7:16">
      <c r="G1433" s="15">
        <f>'[01_Entry.xlsx]Book'!G1433</f>
        <v>0.0</v>
      </c>
      <c r="H1433" s="15">
        <f>'[01_Entry.xlsx]Book'!H1433</f>
        <v>0.0</v>
      </c>
      <c r="I1433" s="15">
        <f>'[01_Entry.xlsx]Book'!I1433</f>
        <v>0.0</v>
      </c>
      <c r="K1433" s="15">
        <f>'[01_Entry.xlsx]Book'!K1433</f>
        <v>0.0</v>
      </c>
      <c r="L1433" s="15">
        <f>'[01_Entry.xlsx]Book'!L1433</f>
        <v>0.0</v>
      </c>
      <c r="M1433" s="15">
        <f>'[01_Entry.xlsx]Book'!M1433</f>
        <v>0.0</v>
      </c>
      <c r="P1433" s="56">
        <f>IF($A1433="","",IFERROR(VALUE(MID($A1433,6,2)),""))</f>
        <v/>
      </c>
    </row>
    <row r="1434" spans="7:16">
      <c r="G1434" s="15">
        <f>'[01_Entry.xlsx]Book'!G1434</f>
        <v>0.0</v>
      </c>
      <c r="H1434" s="15">
        <f>'[01_Entry.xlsx]Book'!H1434</f>
        <v>0.0</v>
      </c>
      <c r="I1434" s="15">
        <f>'[01_Entry.xlsx]Book'!I1434</f>
        <v>0.0</v>
      </c>
      <c r="K1434" s="15">
        <f>'[01_Entry.xlsx]Book'!K1434</f>
        <v>0.0</v>
      </c>
      <c r="L1434" s="15">
        <f>'[01_Entry.xlsx]Book'!L1434</f>
        <v>0.0</v>
      </c>
      <c r="M1434" s="15">
        <f>'[01_Entry.xlsx]Book'!M1434</f>
        <v>0.0</v>
      </c>
      <c r="P1434" s="56">
        <f>IF($A1434="","",IFERROR(VALUE(MID($A1434,6,2)),""))</f>
        <v/>
      </c>
    </row>
    <row r="1435" spans="7:16">
      <c r="G1435" s="15">
        <f>'[01_Entry.xlsx]Book'!G1435</f>
        <v>0.0</v>
      </c>
      <c r="H1435" s="15">
        <f>'[01_Entry.xlsx]Book'!H1435</f>
        <v>0.0</v>
      </c>
      <c r="I1435" s="15">
        <f>'[01_Entry.xlsx]Book'!I1435</f>
        <v>0.0</v>
      </c>
      <c r="K1435" s="15">
        <f>'[01_Entry.xlsx]Book'!K1435</f>
        <v>0.0</v>
      </c>
      <c r="L1435" s="15">
        <f>'[01_Entry.xlsx]Book'!L1435</f>
        <v>0.0</v>
      </c>
      <c r="M1435" s="15">
        <f>'[01_Entry.xlsx]Book'!M1435</f>
        <v>0.0</v>
      </c>
      <c r="P1435" s="56">
        <f>IF($A1435="","",IFERROR(VALUE(MID($A1435,6,2)),""))</f>
        <v/>
      </c>
    </row>
    <row r="1436" spans="7:16">
      <c r="G1436" s="15">
        <f>'[01_Entry.xlsx]Book'!G1436</f>
        <v>0.0</v>
      </c>
      <c r="H1436" s="15">
        <f>'[01_Entry.xlsx]Book'!H1436</f>
        <v>0.0</v>
      </c>
      <c r="I1436" s="15">
        <f>'[01_Entry.xlsx]Book'!I1436</f>
        <v>0.0</v>
      </c>
      <c r="K1436" s="15">
        <f>'[01_Entry.xlsx]Book'!K1436</f>
        <v>0.0</v>
      </c>
      <c r="L1436" s="15">
        <f>'[01_Entry.xlsx]Book'!L1436</f>
        <v>0.0</v>
      </c>
      <c r="M1436" s="15">
        <f>'[01_Entry.xlsx]Book'!M1436</f>
        <v>0.0</v>
      </c>
      <c r="P1436" s="56">
        <f>IF($A1436="","",IFERROR(VALUE(MID($A1436,6,2)),""))</f>
        <v/>
      </c>
    </row>
    <row r="1437" spans="7:16">
      <c r="G1437" s="15">
        <f>'[01_Entry.xlsx]Book'!G1437</f>
        <v>0.0</v>
      </c>
      <c r="H1437" s="15">
        <f>'[01_Entry.xlsx]Book'!H1437</f>
        <v>0.0</v>
      </c>
      <c r="I1437" s="15">
        <f>'[01_Entry.xlsx]Book'!I1437</f>
        <v>0.0</v>
      </c>
      <c r="K1437" s="15">
        <f>'[01_Entry.xlsx]Book'!K1437</f>
        <v>0.0</v>
      </c>
      <c r="L1437" s="15">
        <f>'[01_Entry.xlsx]Book'!L1437</f>
        <v>0.0</v>
      </c>
      <c r="M1437" s="15">
        <f>'[01_Entry.xlsx]Book'!M1437</f>
        <v>0.0</v>
      </c>
      <c r="P1437" s="56">
        <f>IF($A1437="","",IFERROR(VALUE(MID($A1437,6,2)),""))</f>
        <v/>
      </c>
    </row>
    <row r="1438" spans="7:16">
      <c r="G1438" s="15">
        <f>'[01_Entry.xlsx]Book'!G1438</f>
        <v>0.0</v>
      </c>
      <c r="H1438" s="15">
        <f>'[01_Entry.xlsx]Book'!H1438</f>
        <v>0.0</v>
      </c>
      <c r="I1438" s="15">
        <f>'[01_Entry.xlsx]Book'!I1438</f>
        <v>0.0</v>
      </c>
      <c r="K1438" s="15">
        <f>'[01_Entry.xlsx]Book'!K1438</f>
        <v>0.0</v>
      </c>
      <c r="L1438" s="15">
        <f>'[01_Entry.xlsx]Book'!L1438</f>
        <v>0.0</v>
      </c>
      <c r="M1438" s="15">
        <f>'[01_Entry.xlsx]Book'!M1438</f>
        <v>0.0</v>
      </c>
      <c r="P1438" s="56">
        <f>IF($A1438="","",IFERROR(VALUE(MID($A1438,6,2)),""))</f>
        <v/>
      </c>
    </row>
    <row r="1439" spans="7:16">
      <c r="G1439" s="15">
        <f>'[01_Entry.xlsx]Book'!G1439</f>
        <v>0.0</v>
      </c>
      <c r="H1439" s="15">
        <f>'[01_Entry.xlsx]Book'!H1439</f>
        <v>0.0</v>
      </c>
      <c r="I1439" s="15">
        <f>'[01_Entry.xlsx]Book'!I1439</f>
        <v>0.0</v>
      </c>
      <c r="K1439" s="15">
        <f>'[01_Entry.xlsx]Book'!K1439</f>
        <v>0.0</v>
      </c>
      <c r="L1439" s="15">
        <f>'[01_Entry.xlsx]Book'!L1439</f>
        <v>0.0</v>
      </c>
      <c r="M1439" s="15">
        <f>'[01_Entry.xlsx]Book'!M1439</f>
        <v>0.0</v>
      </c>
      <c r="P1439" s="56">
        <f>IF($A1439="","",IFERROR(VALUE(MID($A1439,6,2)),""))</f>
        <v/>
      </c>
    </row>
    <row r="1440" spans="7:16">
      <c r="G1440" s="15">
        <f>'[01_Entry.xlsx]Book'!G1440</f>
        <v>0.0</v>
      </c>
      <c r="H1440" s="15">
        <f>'[01_Entry.xlsx]Book'!H1440</f>
        <v>0.0</v>
      </c>
      <c r="I1440" s="15">
        <f>'[01_Entry.xlsx]Book'!I1440</f>
        <v>0.0</v>
      </c>
      <c r="K1440" s="15">
        <f>'[01_Entry.xlsx]Book'!K1440</f>
        <v>0.0</v>
      </c>
      <c r="L1440" s="15">
        <f>'[01_Entry.xlsx]Book'!L1440</f>
        <v>0.0</v>
      </c>
      <c r="M1440" s="15">
        <f>'[01_Entry.xlsx]Book'!M1440</f>
        <v>0.0</v>
      </c>
      <c r="P1440" s="56">
        <f>IF($A1440="","",IFERROR(VALUE(MID($A1440,6,2)),""))</f>
        <v/>
      </c>
    </row>
    <row r="1441" spans="7:16">
      <c r="G1441" s="15">
        <f>'[01_Entry.xlsx]Book'!G1441</f>
        <v>0.0</v>
      </c>
      <c r="H1441" s="15">
        <f>'[01_Entry.xlsx]Book'!H1441</f>
        <v>0.0</v>
      </c>
      <c r="I1441" s="15">
        <f>'[01_Entry.xlsx]Book'!I1441</f>
        <v>0.0</v>
      </c>
      <c r="K1441" s="15">
        <f>'[01_Entry.xlsx]Book'!K1441</f>
        <v>0.0</v>
      </c>
      <c r="L1441" s="15">
        <f>'[01_Entry.xlsx]Book'!L1441</f>
        <v>0.0</v>
      </c>
      <c r="M1441" s="15">
        <f>'[01_Entry.xlsx]Book'!M1441</f>
        <v>0.0</v>
      </c>
      <c r="P1441" s="56">
        <f>IF($A1441="","",IFERROR(VALUE(MID($A1441,6,2)),""))</f>
        <v/>
      </c>
    </row>
    <row r="1442" spans="7:16">
      <c r="G1442" s="15">
        <f>'[01_Entry.xlsx]Book'!G1442</f>
        <v>0.0</v>
      </c>
      <c r="H1442" s="15">
        <f>'[01_Entry.xlsx]Book'!H1442</f>
        <v>0.0</v>
      </c>
      <c r="I1442" s="15">
        <f>'[01_Entry.xlsx]Book'!I1442</f>
        <v>0.0</v>
      </c>
      <c r="K1442" s="15">
        <f>'[01_Entry.xlsx]Book'!K1442</f>
        <v>0.0</v>
      </c>
      <c r="L1442" s="15">
        <f>'[01_Entry.xlsx]Book'!L1442</f>
        <v>0.0</v>
      </c>
      <c r="M1442" s="15">
        <f>'[01_Entry.xlsx]Book'!M1442</f>
        <v>0.0</v>
      </c>
      <c r="P1442" s="56">
        <f>IF($A1442="","",IFERROR(VALUE(MID($A1442,6,2)),""))</f>
        <v/>
      </c>
    </row>
    <row r="1443" spans="7:16">
      <c r="G1443" s="15">
        <f>'[01_Entry.xlsx]Book'!G1443</f>
        <v>0.0</v>
      </c>
      <c r="H1443" s="15">
        <f>'[01_Entry.xlsx]Book'!H1443</f>
        <v>0.0</v>
      </c>
      <c r="I1443" s="15">
        <f>'[01_Entry.xlsx]Book'!I1443</f>
        <v>0.0</v>
      </c>
      <c r="K1443" s="15">
        <f>'[01_Entry.xlsx]Book'!K1443</f>
        <v>0.0</v>
      </c>
      <c r="L1443" s="15">
        <f>'[01_Entry.xlsx]Book'!L1443</f>
        <v>0.0</v>
      </c>
      <c r="M1443" s="15">
        <f>'[01_Entry.xlsx]Book'!M1443</f>
        <v>0.0</v>
      </c>
      <c r="P1443" s="56">
        <f>IF($A1443="","",IFERROR(VALUE(MID($A1443,6,2)),""))</f>
        <v/>
      </c>
    </row>
    <row r="1444" spans="7:16">
      <c r="G1444" s="15">
        <f>'[01_Entry.xlsx]Book'!G1444</f>
        <v>0.0</v>
      </c>
      <c r="H1444" s="15">
        <f>'[01_Entry.xlsx]Book'!H1444</f>
        <v>0.0</v>
      </c>
      <c r="I1444" s="15">
        <f>'[01_Entry.xlsx]Book'!I1444</f>
        <v>0.0</v>
      </c>
      <c r="K1444" s="15">
        <f>'[01_Entry.xlsx]Book'!K1444</f>
        <v>0.0</v>
      </c>
      <c r="L1444" s="15">
        <f>'[01_Entry.xlsx]Book'!L1444</f>
        <v>0.0</v>
      </c>
      <c r="M1444" s="15">
        <f>'[01_Entry.xlsx]Book'!M1444</f>
        <v>0.0</v>
      </c>
      <c r="P1444" s="56">
        <f>IF($A1444="","",IFERROR(VALUE(MID($A1444,6,2)),""))</f>
        <v/>
      </c>
    </row>
    <row r="1445" spans="7:16">
      <c r="G1445" s="15">
        <f>'[01_Entry.xlsx]Book'!G1445</f>
        <v>0.0</v>
      </c>
      <c r="H1445" s="15">
        <f>'[01_Entry.xlsx]Book'!H1445</f>
        <v>0.0</v>
      </c>
      <c r="I1445" s="15">
        <f>'[01_Entry.xlsx]Book'!I1445</f>
        <v>0.0</v>
      </c>
      <c r="K1445" s="15">
        <f>'[01_Entry.xlsx]Book'!K1445</f>
        <v>0.0</v>
      </c>
      <c r="L1445" s="15">
        <f>'[01_Entry.xlsx]Book'!L1445</f>
        <v>0.0</v>
      </c>
      <c r="M1445" s="15">
        <f>'[01_Entry.xlsx]Book'!M1445</f>
        <v>0.0</v>
      </c>
      <c r="P1445" s="56">
        <f>IF($A1445="","",IFERROR(VALUE(MID($A1445,6,2)),""))</f>
        <v/>
      </c>
    </row>
    <row r="1446" spans="7:16">
      <c r="G1446" s="15">
        <f>'[01_Entry.xlsx]Book'!G1446</f>
        <v>0.0</v>
      </c>
      <c r="H1446" s="15">
        <f>'[01_Entry.xlsx]Book'!H1446</f>
        <v>0.0</v>
      </c>
      <c r="I1446" s="15">
        <f>'[01_Entry.xlsx]Book'!I1446</f>
        <v>0.0</v>
      </c>
      <c r="K1446" s="15">
        <f>'[01_Entry.xlsx]Book'!K1446</f>
        <v>0.0</v>
      </c>
      <c r="L1446" s="15">
        <f>'[01_Entry.xlsx]Book'!L1446</f>
        <v>0.0</v>
      </c>
      <c r="M1446" s="15">
        <f>'[01_Entry.xlsx]Book'!M1446</f>
        <v>0.0</v>
      </c>
      <c r="P1446" s="56">
        <f>IF($A1446="","",IFERROR(VALUE(MID($A1446,6,2)),""))</f>
        <v/>
      </c>
    </row>
    <row r="1447" spans="7:16">
      <c r="G1447" s="15">
        <f>'[01_Entry.xlsx]Book'!G1447</f>
        <v>0.0</v>
      </c>
      <c r="H1447" s="15">
        <f>'[01_Entry.xlsx]Book'!H1447</f>
        <v>0.0</v>
      </c>
      <c r="I1447" s="15">
        <f>'[01_Entry.xlsx]Book'!I1447</f>
        <v>0.0</v>
      </c>
      <c r="K1447" s="15">
        <f>'[01_Entry.xlsx]Book'!K1447</f>
        <v>0.0</v>
      </c>
      <c r="L1447" s="15">
        <f>'[01_Entry.xlsx]Book'!L1447</f>
        <v>0.0</v>
      </c>
      <c r="M1447" s="15">
        <f>'[01_Entry.xlsx]Book'!M1447</f>
        <v>0.0</v>
      </c>
      <c r="P1447" s="56">
        <f>IF($A1447="","",IFERROR(VALUE(MID($A1447,6,2)),""))</f>
        <v/>
      </c>
    </row>
    <row r="1448" spans="7:16">
      <c r="G1448" s="15">
        <f>'[01_Entry.xlsx]Book'!G1448</f>
        <v>0.0</v>
      </c>
      <c r="H1448" s="15">
        <f>'[01_Entry.xlsx]Book'!H1448</f>
        <v>0.0</v>
      </c>
      <c r="I1448" s="15">
        <f>'[01_Entry.xlsx]Book'!I1448</f>
        <v>0.0</v>
      </c>
      <c r="K1448" s="15">
        <f>'[01_Entry.xlsx]Book'!K1448</f>
        <v>0.0</v>
      </c>
      <c r="L1448" s="15">
        <f>'[01_Entry.xlsx]Book'!L1448</f>
        <v>0.0</v>
      </c>
      <c r="M1448" s="15">
        <f>'[01_Entry.xlsx]Book'!M1448</f>
        <v>0.0</v>
      </c>
      <c r="P1448" s="56">
        <f>IF($A1448="","",IFERROR(VALUE(MID($A1448,6,2)),""))</f>
        <v/>
      </c>
    </row>
    <row r="1449" spans="7:16">
      <c r="G1449" s="15">
        <f>'[01_Entry.xlsx]Book'!G1449</f>
        <v>0.0</v>
      </c>
      <c r="H1449" s="15">
        <f>'[01_Entry.xlsx]Book'!H1449</f>
        <v>0.0</v>
      </c>
      <c r="I1449" s="15">
        <f>'[01_Entry.xlsx]Book'!I1449</f>
        <v>0.0</v>
      </c>
      <c r="K1449" s="15">
        <f>'[01_Entry.xlsx]Book'!K1449</f>
        <v>0.0</v>
      </c>
      <c r="L1449" s="15">
        <f>'[01_Entry.xlsx]Book'!L1449</f>
        <v>0.0</v>
      </c>
      <c r="M1449" s="15">
        <f>'[01_Entry.xlsx]Book'!M1449</f>
        <v>0.0</v>
      </c>
      <c r="P1449" s="56">
        <f>IF($A1449="","",IFERROR(VALUE(MID($A1449,6,2)),""))</f>
        <v/>
      </c>
    </row>
    <row r="1450" spans="7:16">
      <c r="G1450" s="15">
        <f>'[01_Entry.xlsx]Book'!G1450</f>
        <v>0.0</v>
      </c>
      <c r="H1450" s="15">
        <f>'[01_Entry.xlsx]Book'!H1450</f>
        <v>0.0</v>
      </c>
      <c r="I1450" s="15">
        <f>'[01_Entry.xlsx]Book'!I1450</f>
        <v>0.0</v>
      </c>
      <c r="K1450" s="15">
        <f>'[01_Entry.xlsx]Book'!K1450</f>
        <v>0.0</v>
      </c>
      <c r="L1450" s="15">
        <f>'[01_Entry.xlsx]Book'!L1450</f>
        <v>0.0</v>
      </c>
      <c r="M1450" s="15">
        <f>'[01_Entry.xlsx]Book'!M1450</f>
        <v>0.0</v>
      </c>
      <c r="P1450" s="56">
        <f>IF($A1450="","",IFERROR(VALUE(MID($A1450,6,2)),""))</f>
        <v/>
      </c>
    </row>
    <row r="1451" spans="7:16">
      <c r="G1451" s="15">
        <f>'[01_Entry.xlsx]Book'!G1451</f>
        <v>0.0</v>
      </c>
      <c r="H1451" s="15">
        <f>'[01_Entry.xlsx]Book'!H1451</f>
        <v>0.0</v>
      </c>
      <c r="I1451" s="15">
        <f>'[01_Entry.xlsx]Book'!I1451</f>
        <v>0.0</v>
      </c>
      <c r="K1451" s="15">
        <f>'[01_Entry.xlsx]Book'!K1451</f>
        <v>0.0</v>
      </c>
      <c r="L1451" s="15">
        <f>'[01_Entry.xlsx]Book'!L1451</f>
        <v>0.0</v>
      </c>
      <c r="M1451" s="15">
        <f>'[01_Entry.xlsx]Book'!M1451</f>
        <v>0.0</v>
      </c>
      <c r="P1451" s="56">
        <f>IF($A1451="","",IFERROR(VALUE(MID($A1451,6,2)),""))</f>
        <v/>
      </c>
    </row>
    <row r="1452" spans="7:16">
      <c r="G1452" s="15">
        <f>'[01_Entry.xlsx]Book'!G1452</f>
        <v>0.0</v>
      </c>
      <c r="H1452" s="15">
        <f>'[01_Entry.xlsx]Book'!H1452</f>
        <v>0.0</v>
      </c>
      <c r="I1452" s="15">
        <f>'[01_Entry.xlsx]Book'!I1452</f>
        <v>0.0</v>
      </c>
      <c r="K1452" s="15">
        <f>'[01_Entry.xlsx]Book'!K1452</f>
        <v>0.0</v>
      </c>
      <c r="L1452" s="15">
        <f>'[01_Entry.xlsx]Book'!L1452</f>
        <v>0.0</v>
      </c>
      <c r="M1452" s="15">
        <f>'[01_Entry.xlsx]Book'!M1452</f>
        <v>0.0</v>
      </c>
      <c r="P1452" s="56">
        <f>IF($A1452="","",IFERROR(VALUE(MID($A1452,6,2)),""))</f>
        <v/>
      </c>
    </row>
    <row r="1453" spans="7:16">
      <c r="G1453" s="15">
        <f>'[01_Entry.xlsx]Book'!G1453</f>
        <v>0.0</v>
      </c>
      <c r="H1453" s="15">
        <f>'[01_Entry.xlsx]Book'!H1453</f>
        <v>0.0</v>
      </c>
      <c r="I1453" s="15">
        <f>'[01_Entry.xlsx]Book'!I1453</f>
        <v>0.0</v>
      </c>
      <c r="K1453" s="15">
        <f>'[01_Entry.xlsx]Book'!K1453</f>
        <v>0.0</v>
      </c>
      <c r="L1453" s="15">
        <f>'[01_Entry.xlsx]Book'!L1453</f>
        <v>0.0</v>
      </c>
      <c r="M1453" s="15">
        <f>'[01_Entry.xlsx]Book'!M1453</f>
        <v>0.0</v>
      </c>
      <c r="P1453" s="56">
        <f>IF($A1453="","",IFERROR(VALUE(MID($A1453,6,2)),""))</f>
        <v/>
      </c>
    </row>
    <row r="1454" spans="7:16">
      <c r="G1454" s="15">
        <f>'[01_Entry.xlsx]Book'!G1454</f>
        <v>0.0</v>
      </c>
      <c r="H1454" s="15">
        <f>'[01_Entry.xlsx]Book'!H1454</f>
        <v>0.0</v>
      </c>
      <c r="I1454" s="15">
        <f>'[01_Entry.xlsx]Book'!I1454</f>
        <v>0.0</v>
      </c>
      <c r="K1454" s="15">
        <f>'[01_Entry.xlsx]Book'!K1454</f>
        <v>0.0</v>
      </c>
      <c r="L1454" s="15">
        <f>'[01_Entry.xlsx]Book'!L1454</f>
        <v>0.0</v>
      </c>
      <c r="M1454" s="15">
        <f>'[01_Entry.xlsx]Book'!M1454</f>
        <v>0.0</v>
      </c>
      <c r="P1454" s="56">
        <f>IF($A1454="","",IFERROR(VALUE(MID($A1454,6,2)),""))</f>
        <v/>
      </c>
    </row>
    <row r="1455" spans="7:16">
      <c r="G1455" s="15">
        <f>'[01_Entry.xlsx]Book'!G1455</f>
        <v>0.0</v>
      </c>
      <c r="H1455" s="15">
        <f>'[01_Entry.xlsx]Book'!H1455</f>
        <v>0.0</v>
      </c>
      <c r="I1455" s="15">
        <f>'[01_Entry.xlsx]Book'!I1455</f>
        <v>0.0</v>
      </c>
      <c r="K1455" s="15">
        <f>'[01_Entry.xlsx]Book'!K1455</f>
        <v>0.0</v>
      </c>
      <c r="L1455" s="15">
        <f>'[01_Entry.xlsx]Book'!L1455</f>
        <v>0.0</v>
      </c>
      <c r="M1455" s="15">
        <f>'[01_Entry.xlsx]Book'!M1455</f>
        <v>0.0</v>
      </c>
      <c r="P1455" s="56">
        <f>IF($A1455="","",IFERROR(VALUE(MID($A1455,6,2)),""))</f>
        <v/>
      </c>
    </row>
    <row r="1456" spans="7:16">
      <c r="G1456" s="15">
        <f>'[01_Entry.xlsx]Book'!G1456</f>
        <v>0.0</v>
      </c>
      <c r="H1456" s="15">
        <f>'[01_Entry.xlsx]Book'!H1456</f>
        <v>0.0</v>
      </c>
      <c r="I1456" s="15">
        <f>'[01_Entry.xlsx]Book'!I1456</f>
        <v>0.0</v>
      </c>
      <c r="K1456" s="15">
        <f>'[01_Entry.xlsx]Book'!K1456</f>
        <v>0.0</v>
      </c>
      <c r="L1456" s="15">
        <f>'[01_Entry.xlsx]Book'!L1456</f>
        <v>0.0</v>
      </c>
      <c r="M1456" s="15">
        <f>'[01_Entry.xlsx]Book'!M1456</f>
        <v>0.0</v>
      </c>
      <c r="P1456" s="56">
        <f>IF($A1456="","",IFERROR(VALUE(MID($A1456,6,2)),""))</f>
        <v/>
      </c>
    </row>
    <row r="1457" spans="7:16">
      <c r="G1457" s="15">
        <f>'[01_Entry.xlsx]Book'!G1457</f>
        <v>0.0</v>
      </c>
      <c r="H1457" s="15">
        <f>'[01_Entry.xlsx]Book'!H1457</f>
        <v>0.0</v>
      </c>
      <c r="I1457" s="15">
        <f>'[01_Entry.xlsx]Book'!I1457</f>
        <v>0.0</v>
      </c>
      <c r="K1457" s="15">
        <f>'[01_Entry.xlsx]Book'!K1457</f>
        <v>0.0</v>
      </c>
      <c r="L1457" s="15">
        <f>'[01_Entry.xlsx]Book'!L1457</f>
        <v>0.0</v>
      </c>
      <c r="M1457" s="15">
        <f>'[01_Entry.xlsx]Book'!M1457</f>
        <v>0.0</v>
      </c>
      <c r="P1457" s="56">
        <f>IF($A1457="","",IFERROR(VALUE(MID($A1457,6,2)),""))</f>
        <v/>
      </c>
    </row>
    <row r="1458" spans="7:16">
      <c r="G1458" s="15">
        <f>'[01_Entry.xlsx]Book'!G1458</f>
        <v>0.0</v>
      </c>
      <c r="H1458" s="15">
        <f>'[01_Entry.xlsx]Book'!H1458</f>
        <v>0.0</v>
      </c>
      <c r="I1458" s="15">
        <f>'[01_Entry.xlsx]Book'!I1458</f>
        <v>0.0</v>
      </c>
      <c r="K1458" s="15">
        <f>'[01_Entry.xlsx]Book'!K1458</f>
        <v>0.0</v>
      </c>
      <c r="L1458" s="15">
        <f>'[01_Entry.xlsx]Book'!L1458</f>
        <v>0.0</v>
      </c>
      <c r="M1458" s="15">
        <f>'[01_Entry.xlsx]Book'!M1458</f>
        <v>0.0</v>
      </c>
      <c r="P1458" s="56">
        <f>IF($A1458="","",IFERROR(VALUE(MID($A1458,6,2)),""))</f>
        <v/>
      </c>
    </row>
    <row r="1459" spans="7:16">
      <c r="G1459" s="15">
        <f>'[01_Entry.xlsx]Book'!G1459</f>
        <v>0.0</v>
      </c>
      <c r="H1459" s="15">
        <f>'[01_Entry.xlsx]Book'!H1459</f>
        <v>0.0</v>
      </c>
      <c r="I1459" s="15">
        <f>'[01_Entry.xlsx]Book'!I1459</f>
        <v>0.0</v>
      </c>
      <c r="K1459" s="15">
        <f>'[01_Entry.xlsx]Book'!K1459</f>
        <v>0.0</v>
      </c>
      <c r="L1459" s="15">
        <f>'[01_Entry.xlsx]Book'!L1459</f>
        <v>0.0</v>
      </c>
      <c r="M1459" s="15">
        <f>'[01_Entry.xlsx]Book'!M1459</f>
        <v>0.0</v>
      </c>
      <c r="P1459" s="56">
        <f>IF($A1459="","",IFERROR(VALUE(MID($A1459,6,2)),""))</f>
        <v/>
      </c>
    </row>
    <row r="1460" spans="7:16">
      <c r="G1460" s="15">
        <f>'[01_Entry.xlsx]Book'!G1460</f>
        <v>0.0</v>
      </c>
      <c r="H1460" s="15">
        <f>'[01_Entry.xlsx]Book'!H1460</f>
        <v>0.0</v>
      </c>
      <c r="I1460" s="15">
        <f>'[01_Entry.xlsx]Book'!I1460</f>
        <v>0.0</v>
      </c>
      <c r="K1460" s="15">
        <f>'[01_Entry.xlsx]Book'!K1460</f>
        <v>0.0</v>
      </c>
      <c r="L1460" s="15">
        <f>'[01_Entry.xlsx]Book'!L1460</f>
        <v>0.0</v>
      </c>
      <c r="M1460" s="15">
        <f>'[01_Entry.xlsx]Book'!M1460</f>
        <v>0.0</v>
      </c>
      <c r="P1460" s="56">
        <f>IF($A1460="","",IFERROR(VALUE(MID($A1460,6,2)),""))</f>
        <v/>
      </c>
    </row>
    <row r="1461" spans="7:16">
      <c r="G1461" s="15">
        <f>'[01_Entry.xlsx]Book'!G1461</f>
        <v>0.0</v>
      </c>
      <c r="H1461" s="15">
        <f>'[01_Entry.xlsx]Book'!H1461</f>
        <v>0.0</v>
      </c>
      <c r="I1461" s="15">
        <f>'[01_Entry.xlsx]Book'!I1461</f>
        <v>0.0</v>
      </c>
      <c r="K1461" s="15">
        <f>'[01_Entry.xlsx]Book'!K1461</f>
        <v>0.0</v>
      </c>
      <c r="L1461" s="15">
        <f>'[01_Entry.xlsx]Book'!L1461</f>
        <v>0.0</v>
      </c>
      <c r="M1461" s="15">
        <f>'[01_Entry.xlsx]Book'!M1461</f>
        <v>0.0</v>
      </c>
      <c r="P1461" s="56">
        <f>IF($A1461="","",IFERROR(VALUE(MID($A1461,6,2)),""))</f>
        <v/>
      </c>
    </row>
    <row r="1462" spans="7:16">
      <c r="G1462" s="15">
        <f>'[01_Entry.xlsx]Book'!G1462</f>
        <v>0.0</v>
      </c>
      <c r="H1462" s="15">
        <f>'[01_Entry.xlsx]Book'!H1462</f>
        <v>0.0</v>
      </c>
      <c r="I1462" s="15">
        <f>'[01_Entry.xlsx]Book'!I1462</f>
        <v>0.0</v>
      </c>
      <c r="K1462" s="15">
        <f>'[01_Entry.xlsx]Book'!K1462</f>
        <v>0.0</v>
      </c>
      <c r="L1462" s="15">
        <f>'[01_Entry.xlsx]Book'!L1462</f>
        <v>0.0</v>
      </c>
      <c r="M1462" s="15">
        <f>'[01_Entry.xlsx]Book'!M1462</f>
        <v>0.0</v>
      </c>
      <c r="P1462" s="56">
        <f>IF($A1462="","",IFERROR(VALUE(MID($A1462,6,2)),""))</f>
        <v/>
      </c>
    </row>
    <row r="1463" spans="7:16">
      <c r="G1463" s="15">
        <f>'[01_Entry.xlsx]Book'!G1463</f>
        <v>0.0</v>
      </c>
      <c r="H1463" s="15">
        <f>'[01_Entry.xlsx]Book'!H1463</f>
        <v>0.0</v>
      </c>
      <c r="I1463" s="15">
        <f>'[01_Entry.xlsx]Book'!I1463</f>
        <v>0.0</v>
      </c>
      <c r="K1463" s="15">
        <f>'[01_Entry.xlsx]Book'!K1463</f>
        <v>0.0</v>
      </c>
      <c r="L1463" s="15">
        <f>'[01_Entry.xlsx]Book'!L1463</f>
        <v>0.0</v>
      </c>
      <c r="M1463" s="15">
        <f>'[01_Entry.xlsx]Book'!M1463</f>
        <v>0.0</v>
      </c>
      <c r="P1463" s="56">
        <f>IF($A1463="","",IFERROR(VALUE(MID($A1463,6,2)),""))</f>
        <v/>
      </c>
    </row>
    <row r="1464" spans="7:16">
      <c r="G1464" s="15">
        <f>'[01_Entry.xlsx]Book'!G1464</f>
        <v>0.0</v>
      </c>
      <c r="H1464" s="15">
        <f>'[01_Entry.xlsx]Book'!H1464</f>
        <v>0.0</v>
      </c>
      <c r="I1464" s="15">
        <f>'[01_Entry.xlsx]Book'!I1464</f>
        <v>0.0</v>
      </c>
      <c r="K1464" s="15">
        <f>'[01_Entry.xlsx]Book'!K1464</f>
        <v>0.0</v>
      </c>
      <c r="L1464" s="15">
        <f>'[01_Entry.xlsx]Book'!L1464</f>
        <v>0.0</v>
      </c>
      <c r="M1464" s="15">
        <f>'[01_Entry.xlsx]Book'!M1464</f>
        <v>0.0</v>
      </c>
      <c r="P1464" s="56">
        <f>IF($A1464="","",IFERROR(VALUE(MID($A1464,6,2)),""))</f>
        <v/>
      </c>
    </row>
    <row r="1465" spans="7:16">
      <c r="G1465" s="15">
        <f>'[01_Entry.xlsx]Book'!G1465</f>
        <v>0.0</v>
      </c>
      <c r="H1465" s="15">
        <f>'[01_Entry.xlsx]Book'!H1465</f>
        <v>0.0</v>
      </c>
      <c r="I1465" s="15">
        <f>'[01_Entry.xlsx]Book'!I1465</f>
        <v>0.0</v>
      </c>
      <c r="K1465" s="15">
        <f>'[01_Entry.xlsx]Book'!K1465</f>
        <v>0.0</v>
      </c>
      <c r="L1465" s="15">
        <f>'[01_Entry.xlsx]Book'!L1465</f>
        <v>0.0</v>
      </c>
      <c r="M1465" s="15">
        <f>'[01_Entry.xlsx]Book'!M1465</f>
        <v>0.0</v>
      </c>
      <c r="P1465" s="56">
        <f>IF($A1465="","",IFERROR(VALUE(MID($A1465,6,2)),""))</f>
        <v/>
      </c>
    </row>
    <row r="1466" spans="7:16">
      <c r="G1466" s="15">
        <f>'[01_Entry.xlsx]Book'!G1466</f>
        <v>0.0</v>
      </c>
      <c r="H1466" s="15">
        <f>'[01_Entry.xlsx]Book'!H1466</f>
        <v>0.0</v>
      </c>
      <c r="I1466" s="15">
        <f>'[01_Entry.xlsx]Book'!I1466</f>
        <v>0.0</v>
      </c>
      <c r="K1466" s="15">
        <f>'[01_Entry.xlsx]Book'!K1466</f>
        <v>0.0</v>
      </c>
      <c r="L1466" s="15">
        <f>'[01_Entry.xlsx]Book'!L1466</f>
        <v>0.0</v>
      </c>
      <c r="M1466" s="15">
        <f>'[01_Entry.xlsx]Book'!M1466</f>
        <v>0.0</v>
      </c>
      <c r="P1466" s="56">
        <f>IF($A1466="","",IFERROR(VALUE(MID($A1466,6,2)),""))</f>
        <v/>
      </c>
    </row>
    <row r="1467" spans="7:16">
      <c r="G1467" s="15">
        <f>'[01_Entry.xlsx]Book'!G1467</f>
        <v>0.0</v>
      </c>
      <c r="H1467" s="15">
        <f>'[01_Entry.xlsx]Book'!H1467</f>
        <v>0.0</v>
      </c>
      <c r="I1467" s="15">
        <f>'[01_Entry.xlsx]Book'!I1467</f>
        <v>0.0</v>
      </c>
      <c r="K1467" s="15">
        <f>'[01_Entry.xlsx]Book'!K1467</f>
        <v>0.0</v>
      </c>
      <c r="L1467" s="15">
        <f>'[01_Entry.xlsx]Book'!L1467</f>
        <v>0.0</v>
      </c>
      <c r="M1467" s="15">
        <f>'[01_Entry.xlsx]Book'!M1467</f>
        <v>0.0</v>
      </c>
      <c r="P1467" s="56">
        <f>IF($A1467="","",IFERROR(VALUE(MID($A1467,6,2)),""))</f>
        <v/>
      </c>
    </row>
    <row r="1468" spans="7:16">
      <c r="G1468" s="15">
        <f>'[01_Entry.xlsx]Book'!G1468</f>
        <v>0.0</v>
      </c>
      <c r="H1468" s="15">
        <f>'[01_Entry.xlsx]Book'!H1468</f>
        <v>0.0</v>
      </c>
      <c r="I1468" s="15">
        <f>'[01_Entry.xlsx]Book'!I1468</f>
        <v>0.0</v>
      </c>
      <c r="K1468" s="15">
        <f>'[01_Entry.xlsx]Book'!K1468</f>
        <v>0.0</v>
      </c>
      <c r="L1468" s="15">
        <f>'[01_Entry.xlsx]Book'!L1468</f>
        <v>0.0</v>
      </c>
      <c r="M1468" s="15">
        <f>'[01_Entry.xlsx]Book'!M1468</f>
        <v>0.0</v>
      </c>
      <c r="P1468" s="56">
        <f>IF($A1468="","",IFERROR(VALUE(MID($A1468,6,2)),""))</f>
        <v/>
      </c>
    </row>
    <row r="1469" spans="7:16">
      <c r="G1469" s="15">
        <f>'[01_Entry.xlsx]Book'!G1469</f>
        <v>0.0</v>
      </c>
      <c r="H1469" s="15">
        <f>'[01_Entry.xlsx]Book'!H1469</f>
        <v>0.0</v>
      </c>
      <c r="I1469" s="15">
        <f>'[01_Entry.xlsx]Book'!I1469</f>
        <v>0.0</v>
      </c>
      <c r="K1469" s="15">
        <f>'[01_Entry.xlsx]Book'!K1469</f>
        <v>0.0</v>
      </c>
      <c r="L1469" s="15">
        <f>'[01_Entry.xlsx]Book'!L1469</f>
        <v>0.0</v>
      </c>
      <c r="M1469" s="15">
        <f>'[01_Entry.xlsx]Book'!M1469</f>
        <v>0.0</v>
      </c>
      <c r="P1469" s="56">
        <f>IF($A1469="","",IFERROR(VALUE(MID($A1469,6,2)),""))</f>
        <v/>
      </c>
    </row>
    <row r="1470" spans="7:16">
      <c r="G1470" s="15">
        <f>'[01_Entry.xlsx]Book'!G1470</f>
        <v>0.0</v>
      </c>
      <c r="H1470" s="15">
        <f>'[01_Entry.xlsx]Book'!H1470</f>
        <v>0.0</v>
      </c>
      <c r="I1470" s="15">
        <f>'[01_Entry.xlsx]Book'!I1470</f>
        <v>0.0</v>
      </c>
      <c r="K1470" s="15">
        <f>'[01_Entry.xlsx]Book'!K1470</f>
        <v>0.0</v>
      </c>
      <c r="L1470" s="15">
        <f>'[01_Entry.xlsx]Book'!L1470</f>
        <v>0.0</v>
      </c>
      <c r="M1470" s="15">
        <f>'[01_Entry.xlsx]Book'!M1470</f>
        <v>0.0</v>
      </c>
      <c r="P1470" s="56">
        <f>IF($A1470="","",IFERROR(VALUE(MID($A1470,6,2)),""))</f>
        <v/>
      </c>
    </row>
    <row r="1471" spans="7:16">
      <c r="G1471" s="15">
        <f>'[01_Entry.xlsx]Book'!G1471</f>
        <v>0.0</v>
      </c>
      <c r="H1471" s="15">
        <f>'[01_Entry.xlsx]Book'!H1471</f>
        <v>0.0</v>
      </c>
      <c r="I1471" s="15">
        <f>'[01_Entry.xlsx]Book'!I1471</f>
        <v>0.0</v>
      </c>
      <c r="K1471" s="15">
        <f>'[01_Entry.xlsx]Book'!K1471</f>
        <v>0.0</v>
      </c>
      <c r="L1471" s="15">
        <f>'[01_Entry.xlsx]Book'!L1471</f>
        <v>0.0</v>
      </c>
      <c r="M1471" s="15">
        <f>'[01_Entry.xlsx]Book'!M1471</f>
        <v>0.0</v>
      </c>
      <c r="P1471" s="56">
        <f>IF($A1471="","",IFERROR(VALUE(MID($A1471,6,2)),""))</f>
        <v/>
      </c>
    </row>
    <row r="1472" spans="7:16">
      <c r="G1472" s="15">
        <f>'[01_Entry.xlsx]Book'!G1472</f>
        <v>0.0</v>
      </c>
      <c r="H1472" s="15">
        <f>'[01_Entry.xlsx]Book'!H1472</f>
        <v>0.0</v>
      </c>
      <c r="I1472" s="15">
        <f>'[01_Entry.xlsx]Book'!I1472</f>
        <v>0.0</v>
      </c>
      <c r="K1472" s="15">
        <f>'[01_Entry.xlsx]Book'!K1472</f>
        <v>0.0</v>
      </c>
      <c r="L1472" s="15">
        <f>'[01_Entry.xlsx]Book'!L1472</f>
        <v>0.0</v>
      </c>
      <c r="M1472" s="15">
        <f>'[01_Entry.xlsx]Book'!M1472</f>
        <v>0.0</v>
      </c>
      <c r="P1472" s="56">
        <f>IF($A1472="","",IFERROR(VALUE(MID($A1472,6,2)),""))</f>
        <v/>
      </c>
    </row>
    <row r="1473" spans="7:16">
      <c r="G1473" s="15">
        <f>'[01_Entry.xlsx]Book'!G1473</f>
        <v>0.0</v>
      </c>
      <c r="H1473" s="15">
        <f>'[01_Entry.xlsx]Book'!H1473</f>
        <v>0.0</v>
      </c>
      <c r="I1473" s="15">
        <f>'[01_Entry.xlsx]Book'!I1473</f>
        <v>0.0</v>
      </c>
      <c r="K1473" s="15">
        <f>'[01_Entry.xlsx]Book'!K1473</f>
        <v>0.0</v>
      </c>
      <c r="L1473" s="15">
        <f>'[01_Entry.xlsx]Book'!L1473</f>
        <v>0.0</v>
      </c>
      <c r="M1473" s="15">
        <f>'[01_Entry.xlsx]Book'!M1473</f>
        <v>0.0</v>
      </c>
      <c r="P1473" s="56">
        <f>IF($A1473="","",IFERROR(VALUE(MID($A1473,6,2)),""))</f>
        <v/>
      </c>
    </row>
    <row r="1474" spans="7:16">
      <c r="G1474" s="15">
        <f>'[01_Entry.xlsx]Book'!G1474</f>
        <v>0.0</v>
      </c>
      <c r="H1474" s="15">
        <f>'[01_Entry.xlsx]Book'!H1474</f>
        <v>0.0</v>
      </c>
      <c r="I1474" s="15">
        <f>'[01_Entry.xlsx]Book'!I1474</f>
        <v>0.0</v>
      </c>
      <c r="K1474" s="15">
        <f>'[01_Entry.xlsx]Book'!K1474</f>
        <v>0.0</v>
      </c>
      <c r="L1474" s="15">
        <f>'[01_Entry.xlsx]Book'!L1474</f>
        <v>0.0</v>
      </c>
      <c r="M1474" s="15">
        <f>'[01_Entry.xlsx]Book'!M1474</f>
        <v>0.0</v>
      </c>
      <c r="P1474" s="56">
        <f>IF($A1474="","",IFERROR(VALUE(MID($A1474,6,2)),""))</f>
        <v/>
      </c>
    </row>
    <row r="1475" spans="7:16">
      <c r="G1475" s="15">
        <f>'[01_Entry.xlsx]Book'!G1475</f>
        <v>0.0</v>
      </c>
      <c r="H1475" s="15">
        <f>'[01_Entry.xlsx]Book'!H1475</f>
        <v>0.0</v>
      </c>
      <c r="I1475" s="15">
        <f>'[01_Entry.xlsx]Book'!I1475</f>
        <v>0.0</v>
      </c>
      <c r="K1475" s="15">
        <f>'[01_Entry.xlsx]Book'!K1475</f>
        <v>0.0</v>
      </c>
      <c r="L1475" s="15">
        <f>'[01_Entry.xlsx]Book'!L1475</f>
        <v>0.0</v>
      </c>
      <c r="M1475" s="15">
        <f>'[01_Entry.xlsx]Book'!M1475</f>
        <v>0.0</v>
      </c>
      <c r="P1475" s="56">
        <f>IF($A1475="","",IFERROR(VALUE(MID($A1475,6,2)),""))</f>
        <v/>
      </c>
    </row>
    <row r="1476" spans="7:16">
      <c r="G1476" s="15">
        <f>'[01_Entry.xlsx]Book'!G1476</f>
        <v>0.0</v>
      </c>
      <c r="H1476" s="15">
        <f>'[01_Entry.xlsx]Book'!H1476</f>
        <v>0.0</v>
      </c>
      <c r="I1476" s="15">
        <f>'[01_Entry.xlsx]Book'!I1476</f>
        <v>0.0</v>
      </c>
      <c r="K1476" s="15">
        <f>'[01_Entry.xlsx]Book'!K1476</f>
        <v>0.0</v>
      </c>
      <c r="L1476" s="15">
        <f>'[01_Entry.xlsx]Book'!L1476</f>
        <v>0.0</v>
      </c>
      <c r="M1476" s="15">
        <f>'[01_Entry.xlsx]Book'!M1476</f>
        <v>0.0</v>
      </c>
      <c r="P1476" s="56">
        <f>IF($A1476="","",IFERROR(VALUE(MID($A1476,6,2)),""))</f>
        <v/>
      </c>
    </row>
    <row r="1477" spans="7:16">
      <c r="G1477" s="15">
        <f>'[01_Entry.xlsx]Book'!G1477</f>
        <v>0.0</v>
      </c>
      <c r="H1477" s="15">
        <f>'[01_Entry.xlsx]Book'!H1477</f>
        <v>0.0</v>
      </c>
      <c r="I1477" s="15">
        <f>'[01_Entry.xlsx]Book'!I1477</f>
        <v>0.0</v>
      </c>
      <c r="K1477" s="15">
        <f>'[01_Entry.xlsx]Book'!K1477</f>
        <v>0.0</v>
      </c>
      <c r="L1477" s="15">
        <f>'[01_Entry.xlsx]Book'!L1477</f>
        <v>0.0</v>
      </c>
      <c r="M1477" s="15">
        <f>'[01_Entry.xlsx]Book'!M1477</f>
        <v>0.0</v>
      </c>
      <c r="P1477" s="56">
        <f>IF($A1477="","",IFERROR(VALUE(MID($A1477,6,2)),""))</f>
        <v/>
      </c>
    </row>
    <row r="1478" spans="7:16">
      <c r="G1478" s="15">
        <f>'[01_Entry.xlsx]Book'!G1478</f>
        <v>0.0</v>
      </c>
      <c r="H1478" s="15">
        <f>'[01_Entry.xlsx]Book'!H1478</f>
        <v>0.0</v>
      </c>
      <c r="I1478" s="15">
        <f>'[01_Entry.xlsx]Book'!I1478</f>
        <v>0.0</v>
      </c>
      <c r="K1478" s="15">
        <f>'[01_Entry.xlsx]Book'!K1478</f>
        <v>0.0</v>
      </c>
      <c r="L1478" s="15">
        <f>'[01_Entry.xlsx]Book'!L1478</f>
        <v>0.0</v>
      </c>
      <c r="M1478" s="15">
        <f>'[01_Entry.xlsx]Book'!M1478</f>
        <v>0.0</v>
      </c>
      <c r="P1478" s="56">
        <f>IF($A1478="","",IFERROR(VALUE(MID($A1478,6,2)),""))</f>
        <v/>
      </c>
    </row>
    <row r="1479" spans="7:16">
      <c r="G1479" s="15">
        <f>'[01_Entry.xlsx]Book'!G1479</f>
        <v>0.0</v>
      </c>
      <c r="H1479" s="15">
        <f>'[01_Entry.xlsx]Book'!H1479</f>
        <v>0.0</v>
      </c>
      <c r="I1479" s="15">
        <f>'[01_Entry.xlsx]Book'!I1479</f>
        <v>0.0</v>
      </c>
      <c r="K1479" s="15">
        <f>'[01_Entry.xlsx]Book'!K1479</f>
        <v>0.0</v>
      </c>
      <c r="L1479" s="15">
        <f>'[01_Entry.xlsx]Book'!L1479</f>
        <v>0.0</v>
      </c>
      <c r="M1479" s="15">
        <f>'[01_Entry.xlsx]Book'!M1479</f>
        <v>0.0</v>
      </c>
      <c r="P1479" s="56">
        <f>IF($A1479="","",IFERROR(VALUE(MID($A1479,6,2)),""))</f>
        <v/>
      </c>
    </row>
    <row r="1480" spans="7:16">
      <c r="G1480" s="15">
        <f>'[01_Entry.xlsx]Book'!G1480</f>
        <v>0.0</v>
      </c>
      <c r="H1480" s="15">
        <f>'[01_Entry.xlsx]Book'!H1480</f>
        <v>0.0</v>
      </c>
      <c r="I1480" s="15">
        <f>'[01_Entry.xlsx]Book'!I1480</f>
        <v>0.0</v>
      </c>
      <c r="K1480" s="15">
        <f>'[01_Entry.xlsx]Book'!K1480</f>
        <v>0.0</v>
      </c>
      <c r="L1480" s="15">
        <f>'[01_Entry.xlsx]Book'!L1480</f>
        <v>0.0</v>
      </c>
      <c r="M1480" s="15">
        <f>'[01_Entry.xlsx]Book'!M1480</f>
        <v>0.0</v>
      </c>
      <c r="P1480" s="56">
        <f>IF($A1480="","",IFERROR(VALUE(MID($A1480,6,2)),""))</f>
        <v/>
      </c>
    </row>
    <row r="1481" spans="7:16">
      <c r="G1481" s="15">
        <f>'[01_Entry.xlsx]Book'!G1481</f>
        <v>0.0</v>
      </c>
      <c r="H1481" s="15">
        <f>'[01_Entry.xlsx]Book'!H1481</f>
        <v>0.0</v>
      </c>
      <c r="I1481" s="15">
        <f>'[01_Entry.xlsx]Book'!I1481</f>
        <v>0.0</v>
      </c>
      <c r="K1481" s="15">
        <f>'[01_Entry.xlsx]Book'!K1481</f>
        <v>0.0</v>
      </c>
      <c r="L1481" s="15">
        <f>'[01_Entry.xlsx]Book'!L1481</f>
        <v>0.0</v>
      </c>
      <c r="M1481" s="15">
        <f>'[01_Entry.xlsx]Book'!M1481</f>
        <v>0.0</v>
      </c>
      <c r="P1481" s="56">
        <f>IF($A1481="","",IFERROR(VALUE(MID($A1481,6,2)),""))</f>
        <v/>
      </c>
    </row>
    <row r="1482" spans="7:16">
      <c r="G1482" s="15">
        <f>'[01_Entry.xlsx]Book'!G1482</f>
        <v>0.0</v>
      </c>
      <c r="H1482" s="15">
        <f>'[01_Entry.xlsx]Book'!H1482</f>
        <v>0.0</v>
      </c>
      <c r="I1482" s="15">
        <f>'[01_Entry.xlsx]Book'!I1482</f>
        <v>0.0</v>
      </c>
      <c r="K1482" s="15">
        <f>'[01_Entry.xlsx]Book'!K1482</f>
        <v>0.0</v>
      </c>
      <c r="L1482" s="15">
        <f>'[01_Entry.xlsx]Book'!L1482</f>
        <v>0.0</v>
      </c>
      <c r="M1482" s="15">
        <f>'[01_Entry.xlsx]Book'!M1482</f>
        <v>0.0</v>
      </c>
      <c r="P1482" s="56">
        <f>IF($A1482="","",IFERROR(VALUE(MID($A1482,6,2)),""))</f>
        <v/>
      </c>
    </row>
    <row r="1483" spans="7:16">
      <c r="G1483" s="15">
        <f>'[01_Entry.xlsx]Book'!G1483</f>
        <v>0.0</v>
      </c>
      <c r="H1483" s="15">
        <f>'[01_Entry.xlsx]Book'!H1483</f>
        <v>0.0</v>
      </c>
      <c r="I1483" s="15">
        <f>'[01_Entry.xlsx]Book'!I1483</f>
        <v>0.0</v>
      </c>
      <c r="K1483" s="15">
        <f>'[01_Entry.xlsx]Book'!K1483</f>
        <v>0.0</v>
      </c>
      <c r="L1483" s="15">
        <f>'[01_Entry.xlsx]Book'!L1483</f>
        <v>0.0</v>
      </c>
      <c r="M1483" s="15">
        <f>'[01_Entry.xlsx]Book'!M1483</f>
        <v>0.0</v>
      </c>
      <c r="P1483" s="56">
        <f>IF($A1483="","",IFERROR(VALUE(MID($A1483,6,2)),""))</f>
        <v/>
      </c>
    </row>
    <row r="1484" spans="7:16">
      <c r="G1484" s="15">
        <f>'[01_Entry.xlsx]Book'!G1484</f>
        <v>0.0</v>
      </c>
      <c r="H1484" s="15">
        <f>'[01_Entry.xlsx]Book'!H1484</f>
        <v>0.0</v>
      </c>
      <c r="I1484" s="15">
        <f>'[01_Entry.xlsx]Book'!I1484</f>
        <v>0.0</v>
      </c>
      <c r="K1484" s="15">
        <f>'[01_Entry.xlsx]Book'!K1484</f>
        <v>0.0</v>
      </c>
      <c r="L1484" s="15">
        <f>'[01_Entry.xlsx]Book'!L1484</f>
        <v>0.0</v>
      </c>
      <c r="M1484" s="15">
        <f>'[01_Entry.xlsx]Book'!M1484</f>
        <v>0.0</v>
      </c>
      <c r="P1484" s="56">
        <f>IF($A1484="","",IFERROR(VALUE(MID($A1484,6,2)),""))</f>
        <v/>
      </c>
    </row>
    <row r="1485" spans="7:16">
      <c r="G1485" s="15">
        <f>'[01_Entry.xlsx]Book'!G1485</f>
        <v>0.0</v>
      </c>
      <c r="H1485" s="15">
        <f>'[01_Entry.xlsx]Book'!H1485</f>
        <v>0.0</v>
      </c>
      <c r="I1485" s="15">
        <f>'[01_Entry.xlsx]Book'!I1485</f>
        <v>0.0</v>
      </c>
      <c r="K1485" s="15">
        <f>'[01_Entry.xlsx]Book'!K1485</f>
        <v>0.0</v>
      </c>
      <c r="L1485" s="15">
        <f>'[01_Entry.xlsx]Book'!L1485</f>
        <v>0.0</v>
      </c>
      <c r="M1485" s="15">
        <f>'[01_Entry.xlsx]Book'!M1485</f>
        <v>0.0</v>
      </c>
      <c r="P1485" s="56">
        <f>IF($A1485="","",IFERROR(VALUE(MID($A1485,6,2)),""))</f>
        <v/>
      </c>
    </row>
    <row r="1486" spans="7:16">
      <c r="G1486" s="15">
        <f>'[01_Entry.xlsx]Book'!G1486</f>
        <v>0.0</v>
      </c>
      <c r="H1486" s="15">
        <f>'[01_Entry.xlsx]Book'!H1486</f>
        <v>0.0</v>
      </c>
      <c r="I1486" s="15">
        <f>'[01_Entry.xlsx]Book'!I1486</f>
        <v>0.0</v>
      </c>
      <c r="K1486" s="15">
        <f>'[01_Entry.xlsx]Book'!K1486</f>
        <v>0.0</v>
      </c>
      <c r="L1486" s="15">
        <f>'[01_Entry.xlsx]Book'!L1486</f>
        <v>0.0</v>
      </c>
      <c r="M1486" s="15">
        <f>'[01_Entry.xlsx]Book'!M1486</f>
        <v>0.0</v>
      </c>
      <c r="P1486" s="56">
        <f>IF($A1486="","",IFERROR(VALUE(MID($A1486,6,2)),""))</f>
        <v/>
      </c>
    </row>
    <row r="1487" spans="7:16">
      <c r="G1487" s="15">
        <f>'[01_Entry.xlsx]Book'!G1487</f>
        <v>0.0</v>
      </c>
      <c r="H1487" s="15">
        <f>'[01_Entry.xlsx]Book'!H1487</f>
        <v>0.0</v>
      </c>
      <c r="I1487" s="15">
        <f>'[01_Entry.xlsx]Book'!I1487</f>
        <v>0.0</v>
      </c>
      <c r="K1487" s="15">
        <f>'[01_Entry.xlsx]Book'!K1487</f>
        <v>0.0</v>
      </c>
      <c r="L1487" s="15">
        <f>'[01_Entry.xlsx]Book'!L1487</f>
        <v>0.0</v>
      </c>
      <c r="M1487" s="15">
        <f>'[01_Entry.xlsx]Book'!M1487</f>
        <v>0.0</v>
      </c>
      <c r="P1487" s="56">
        <f>IF($A1487="","",IFERROR(VALUE(MID($A1487,6,2)),""))</f>
        <v/>
      </c>
    </row>
    <row r="1488" spans="7:16">
      <c r="G1488" s="15">
        <f>'[01_Entry.xlsx]Book'!G1488</f>
        <v>0.0</v>
      </c>
      <c r="H1488" s="15">
        <f>'[01_Entry.xlsx]Book'!H1488</f>
        <v>0.0</v>
      </c>
      <c r="I1488" s="15">
        <f>'[01_Entry.xlsx]Book'!I1488</f>
        <v>0.0</v>
      </c>
      <c r="K1488" s="15">
        <f>'[01_Entry.xlsx]Book'!K1488</f>
        <v>0.0</v>
      </c>
      <c r="L1488" s="15">
        <f>'[01_Entry.xlsx]Book'!L1488</f>
        <v>0.0</v>
      </c>
      <c r="M1488" s="15">
        <f>'[01_Entry.xlsx]Book'!M1488</f>
        <v>0.0</v>
      </c>
      <c r="P1488" s="56">
        <f>IF($A1488="","",IFERROR(VALUE(MID($A1488,6,2)),""))</f>
        <v/>
      </c>
    </row>
    <row r="1489" spans="7:16">
      <c r="G1489" s="15">
        <f>'[01_Entry.xlsx]Book'!G1489</f>
        <v>0.0</v>
      </c>
      <c r="H1489" s="15">
        <f>'[01_Entry.xlsx]Book'!H1489</f>
        <v>0.0</v>
      </c>
      <c r="I1489" s="15">
        <f>'[01_Entry.xlsx]Book'!I1489</f>
        <v>0.0</v>
      </c>
      <c r="K1489" s="15">
        <f>'[01_Entry.xlsx]Book'!K1489</f>
        <v>0.0</v>
      </c>
      <c r="L1489" s="15">
        <f>'[01_Entry.xlsx]Book'!L1489</f>
        <v>0.0</v>
      </c>
      <c r="M1489" s="15">
        <f>'[01_Entry.xlsx]Book'!M1489</f>
        <v>0.0</v>
      </c>
      <c r="P1489" s="56">
        <f>IF($A1489="","",IFERROR(VALUE(MID($A1489,6,2)),""))</f>
        <v/>
      </c>
    </row>
    <row r="1490" spans="7:16">
      <c r="G1490" s="15">
        <f>'[01_Entry.xlsx]Book'!G1490</f>
        <v>0.0</v>
      </c>
      <c r="H1490" s="15">
        <f>'[01_Entry.xlsx]Book'!H1490</f>
        <v>0.0</v>
      </c>
      <c r="I1490" s="15">
        <f>'[01_Entry.xlsx]Book'!I1490</f>
        <v>0.0</v>
      </c>
      <c r="K1490" s="15">
        <f>'[01_Entry.xlsx]Book'!K1490</f>
        <v>0.0</v>
      </c>
      <c r="L1490" s="15">
        <f>'[01_Entry.xlsx]Book'!L1490</f>
        <v>0.0</v>
      </c>
      <c r="M1490" s="15">
        <f>'[01_Entry.xlsx]Book'!M1490</f>
        <v>0.0</v>
      </c>
      <c r="P1490" s="56">
        <f>IF($A1490="","",IFERROR(VALUE(MID($A1490,6,2)),""))</f>
        <v/>
      </c>
    </row>
    <row r="1491" spans="7:16">
      <c r="G1491" s="15">
        <f>'[01_Entry.xlsx]Book'!G1491</f>
        <v>0.0</v>
      </c>
      <c r="H1491" s="15">
        <f>'[01_Entry.xlsx]Book'!H1491</f>
        <v>0.0</v>
      </c>
      <c r="I1491" s="15">
        <f>'[01_Entry.xlsx]Book'!I1491</f>
        <v>0.0</v>
      </c>
      <c r="K1491" s="15">
        <f>'[01_Entry.xlsx]Book'!K1491</f>
        <v>0.0</v>
      </c>
      <c r="L1491" s="15">
        <f>'[01_Entry.xlsx]Book'!L1491</f>
        <v>0.0</v>
      </c>
      <c r="M1491" s="15">
        <f>'[01_Entry.xlsx]Book'!M1491</f>
        <v>0.0</v>
      </c>
      <c r="P1491" s="56">
        <f>IF($A1491="","",IFERROR(VALUE(MID($A1491,6,2)),""))</f>
        <v/>
      </c>
    </row>
    <row r="1492" spans="7:16">
      <c r="G1492" s="15">
        <f>'[01_Entry.xlsx]Book'!G1492</f>
        <v>0.0</v>
      </c>
      <c r="H1492" s="15">
        <f>'[01_Entry.xlsx]Book'!H1492</f>
        <v>0.0</v>
      </c>
      <c r="I1492" s="15">
        <f>'[01_Entry.xlsx]Book'!I1492</f>
        <v>0.0</v>
      </c>
      <c r="K1492" s="15">
        <f>'[01_Entry.xlsx]Book'!K1492</f>
        <v>0.0</v>
      </c>
      <c r="L1492" s="15">
        <f>'[01_Entry.xlsx]Book'!L1492</f>
        <v>0.0</v>
      </c>
      <c r="M1492" s="15">
        <f>'[01_Entry.xlsx]Book'!M1492</f>
        <v>0.0</v>
      </c>
      <c r="P1492" s="56">
        <f>IF($A1492="","",IFERROR(VALUE(MID($A1492,6,2)),""))</f>
        <v/>
      </c>
    </row>
    <row r="1493" spans="7:16">
      <c r="G1493" s="15">
        <f>'[01_Entry.xlsx]Book'!G1493</f>
        <v>0.0</v>
      </c>
      <c r="H1493" s="15">
        <f>'[01_Entry.xlsx]Book'!H1493</f>
        <v>0.0</v>
      </c>
      <c r="I1493" s="15">
        <f>'[01_Entry.xlsx]Book'!I1493</f>
        <v>0.0</v>
      </c>
      <c r="K1493" s="15">
        <f>'[01_Entry.xlsx]Book'!K1493</f>
        <v>0.0</v>
      </c>
      <c r="L1493" s="15">
        <f>'[01_Entry.xlsx]Book'!L1493</f>
        <v>0.0</v>
      </c>
      <c r="M1493" s="15">
        <f>'[01_Entry.xlsx]Book'!M1493</f>
        <v>0.0</v>
      </c>
      <c r="P1493" s="56">
        <f>IF($A1493="","",IFERROR(VALUE(MID($A1493,6,2)),""))</f>
        <v/>
      </c>
    </row>
    <row r="1494" spans="7:16">
      <c r="G1494" s="15">
        <f>'[01_Entry.xlsx]Book'!G1494</f>
        <v>0.0</v>
      </c>
      <c r="H1494" s="15">
        <f>'[01_Entry.xlsx]Book'!H1494</f>
        <v>0.0</v>
      </c>
      <c r="I1494" s="15">
        <f>'[01_Entry.xlsx]Book'!I1494</f>
        <v>0.0</v>
      </c>
      <c r="K1494" s="15">
        <f>'[01_Entry.xlsx]Book'!K1494</f>
        <v>0.0</v>
      </c>
      <c r="L1494" s="15">
        <f>'[01_Entry.xlsx]Book'!L1494</f>
        <v>0.0</v>
      </c>
      <c r="M1494" s="15">
        <f>'[01_Entry.xlsx]Book'!M1494</f>
        <v>0.0</v>
      </c>
      <c r="P1494" s="56">
        <f>IF($A1494="","",IFERROR(VALUE(MID($A1494,6,2)),""))</f>
        <v/>
      </c>
    </row>
    <row r="1495" spans="7:16">
      <c r="G1495" s="15">
        <f>'[01_Entry.xlsx]Book'!G1495</f>
        <v>0.0</v>
      </c>
      <c r="H1495" s="15">
        <f>'[01_Entry.xlsx]Book'!H1495</f>
        <v>0.0</v>
      </c>
      <c r="I1495" s="15">
        <f>'[01_Entry.xlsx]Book'!I1495</f>
        <v>0.0</v>
      </c>
      <c r="K1495" s="15">
        <f>'[01_Entry.xlsx]Book'!K1495</f>
        <v>0.0</v>
      </c>
      <c r="L1495" s="15">
        <f>'[01_Entry.xlsx]Book'!L1495</f>
        <v>0.0</v>
      </c>
      <c r="M1495" s="15">
        <f>'[01_Entry.xlsx]Book'!M1495</f>
        <v>0.0</v>
      </c>
      <c r="P1495" s="56">
        <f>IF($A1495="","",IFERROR(VALUE(MID($A1495,6,2)),""))</f>
        <v/>
      </c>
    </row>
    <row r="1496" spans="7:16">
      <c r="G1496" s="15">
        <f>'[01_Entry.xlsx]Book'!G1496</f>
        <v>0.0</v>
      </c>
      <c r="H1496" s="15">
        <f>'[01_Entry.xlsx]Book'!H1496</f>
        <v>0.0</v>
      </c>
      <c r="I1496" s="15">
        <f>'[01_Entry.xlsx]Book'!I1496</f>
        <v>0.0</v>
      </c>
      <c r="K1496" s="15">
        <f>'[01_Entry.xlsx]Book'!K1496</f>
        <v>0.0</v>
      </c>
      <c r="L1496" s="15">
        <f>'[01_Entry.xlsx]Book'!L1496</f>
        <v>0.0</v>
      </c>
      <c r="M1496" s="15">
        <f>'[01_Entry.xlsx]Book'!M1496</f>
        <v>0.0</v>
      </c>
      <c r="P1496" s="56">
        <f>IF($A1496="","",IFERROR(VALUE(MID($A1496,6,2)),""))</f>
        <v/>
      </c>
    </row>
    <row r="1497" spans="7:16">
      <c r="G1497" s="15">
        <f>'[01_Entry.xlsx]Book'!G1497</f>
        <v>0.0</v>
      </c>
      <c r="H1497" s="15">
        <f>'[01_Entry.xlsx]Book'!H1497</f>
        <v>0.0</v>
      </c>
      <c r="I1497" s="15">
        <f>'[01_Entry.xlsx]Book'!I1497</f>
        <v>0.0</v>
      </c>
      <c r="K1497" s="15">
        <f>'[01_Entry.xlsx]Book'!K1497</f>
        <v>0.0</v>
      </c>
      <c r="L1497" s="15">
        <f>'[01_Entry.xlsx]Book'!L1497</f>
        <v>0.0</v>
      </c>
      <c r="M1497" s="15">
        <f>'[01_Entry.xlsx]Book'!M1497</f>
        <v>0.0</v>
      </c>
      <c r="P1497" s="56">
        <f>IF($A1497="","",IFERROR(VALUE(MID($A1497,6,2)),""))</f>
        <v/>
      </c>
    </row>
    <row r="1498" spans="7:16">
      <c r="G1498" s="15">
        <f>'[01_Entry.xlsx]Book'!G1498</f>
        <v>0.0</v>
      </c>
      <c r="H1498" s="15">
        <f>'[01_Entry.xlsx]Book'!H1498</f>
        <v>0.0</v>
      </c>
      <c r="I1498" s="15">
        <f>'[01_Entry.xlsx]Book'!I1498</f>
        <v>0.0</v>
      </c>
      <c r="K1498" s="15">
        <f>'[01_Entry.xlsx]Book'!K1498</f>
        <v>0.0</v>
      </c>
      <c r="L1498" s="15">
        <f>'[01_Entry.xlsx]Book'!L1498</f>
        <v>0.0</v>
      </c>
      <c r="M1498" s="15">
        <f>'[01_Entry.xlsx]Book'!M1498</f>
        <v>0.0</v>
      </c>
      <c r="P1498" s="56">
        <f>IF($A1498="","",IFERROR(VALUE(MID($A1498,6,2)),""))</f>
        <v/>
      </c>
    </row>
    <row r="1499" spans="7:16">
      <c r="G1499" s="15">
        <f>'[01_Entry.xlsx]Book'!G1499</f>
        <v>0.0</v>
      </c>
      <c r="H1499" s="15">
        <f>'[01_Entry.xlsx]Book'!H1499</f>
        <v>0.0</v>
      </c>
      <c r="I1499" s="15">
        <f>'[01_Entry.xlsx]Book'!I1499</f>
        <v>0.0</v>
      </c>
      <c r="K1499" s="15">
        <f>'[01_Entry.xlsx]Book'!K1499</f>
        <v>0.0</v>
      </c>
      <c r="L1499" s="15">
        <f>'[01_Entry.xlsx]Book'!L1499</f>
        <v>0.0</v>
      </c>
      <c r="M1499" s="15">
        <f>'[01_Entry.xlsx]Book'!M1499</f>
        <v>0.0</v>
      </c>
      <c r="P1499" s="56">
        <f>IF($A1499="","",IFERROR(VALUE(MID($A1499,6,2)),""))</f>
        <v/>
      </c>
    </row>
    <row r="1500" spans="7:16">
      <c r="G1500" s="15">
        <f>'[01_Entry.xlsx]Book'!G1500</f>
        <v>0.0</v>
      </c>
      <c r="H1500" s="15">
        <f>'[01_Entry.xlsx]Book'!H1500</f>
        <v>0.0</v>
      </c>
      <c r="I1500" s="15">
        <f>'[01_Entry.xlsx]Book'!I1500</f>
        <v>0.0</v>
      </c>
      <c r="K1500" s="15">
        <f>'[01_Entry.xlsx]Book'!K1500</f>
        <v>0.0</v>
      </c>
      <c r="L1500" s="15">
        <f>'[01_Entry.xlsx]Book'!L1500</f>
        <v>0.0</v>
      </c>
      <c r="M1500" s="15">
        <f>'[01_Entry.xlsx]Book'!M1500</f>
        <v>0.0</v>
      </c>
      <c r="P1500" s="56">
        <f>IF($A1500="","",IFERROR(VALUE(MID($A1500,6,2)),""))</f>
        <v/>
      </c>
    </row>
    <row r="1501" spans="7:16">
      <c r="G1501" s="15">
        <f>'[01_Entry.xlsx]Book'!G1501</f>
        <v>0.0</v>
      </c>
      <c r="H1501" s="15">
        <f>'[01_Entry.xlsx]Book'!H1501</f>
        <v>0.0</v>
      </c>
      <c r="I1501" s="15">
        <f>'[01_Entry.xlsx]Book'!I1501</f>
        <v>0.0</v>
      </c>
      <c r="K1501" s="15">
        <f>'[01_Entry.xlsx]Book'!K1501</f>
        <v>0.0</v>
      </c>
      <c r="L1501" s="15">
        <f>'[01_Entry.xlsx]Book'!L1501</f>
        <v>0.0</v>
      </c>
      <c r="M1501" s="15">
        <f>'[01_Entry.xlsx]Book'!M1501</f>
        <v>0.0</v>
      </c>
      <c r="P1501" s="56">
        <f>IF($A1501="","",IFERROR(VALUE(MID($A1501,6,2)),""))</f>
        <v/>
      </c>
    </row>
    <row r="1502" spans="7:16">
      <c r="G1502" s="15">
        <f>'[01_Entry.xlsx]Book'!G1502</f>
        <v>0.0</v>
      </c>
      <c r="H1502" s="15">
        <f>'[01_Entry.xlsx]Book'!H1502</f>
        <v>0.0</v>
      </c>
      <c r="I1502" s="15">
        <f>'[01_Entry.xlsx]Book'!I1502</f>
        <v>0.0</v>
      </c>
      <c r="K1502" s="15">
        <f>'[01_Entry.xlsx]Book'!K1502</f>
        <v>0.0</v>
      </c>
      <c r="L1502" s="15">
        <f>'[01_Entry.xlsx]Book'!L1502</f>
        <v>0.0</v>
      </c>
      <c r="M1502" s="15">
        <f>'[01_Entry.xlsx]Book'!M1502</f>
        <v>0.0</v>
      </c>
      <c r="P1502" s="56">
        <f>IF($A1502="","",IFERROR(VALUE(MID($A1502,6,2)),""))</f>
        <v/>
      </c>
    </row>
    <row r="1503" spans="7:16">
      <c r="G1503" s="15">
        <f>'[01_Entry.xlsx]Book'!G1503</f>
        <v>0.0</v>
      </c>
      <c r="H1503" s="15">
        <f>'[01_Entry.xlsx]Book'!H1503</f>
        <v>0.0</v>
      </c>
      <c r="I1503" s="15">
        <f>'[01_Entry.xlsx]Book'!I1503</f>
        <v>0.0</v>
      </c>
      <c r="K1503" s="15">
        <f>'[01_Entry.xlsx]Book'!K1503</f>
        <v>0.0</v>
      </c>
      <c r="L1503" s="15">
        <f>'[01_Entry.xlsx]Book'!L1503</f>
        <v>0.0</v>
      </c>
      <c r="M1503" s="15">
        <f>'[01_Entry.xlsx]Book'!M1503</f>
        <v>0.0</v>
      </c>
      <c r="P1503" s="56">
        <f>IF($A1503="","",IFERROR(VALUE(MID($A1503,6,2)),""))</f>
        <v/>
      </c>
    </row>
    <row r="1504" spans="7:16">
      <c r="G1504" s="15">
        <f>'[01_Entry.xlsx]Book'!G1504</f>
        <v>0.0</v>
      </c>
      <c r="H1504" s="15">
        <f>'[01_Entry.xlsx]Book'!H1504</f>
        <v>0.0</v>
      </c>
      <c r="I1504" s="15">
        <f>'[01_Entry.xlsx]Book'!I1504</f>
        <v>0.0</v>
      </c>
      <c r="K1504" s="15">
        <f>'[01_Entry.xlsx]Book'!K1504</f>
        <v>0.0</v>
      </c>
      <c r="L1504" s="15">
        <f>'[01_Entry.xlsx]Book'!L1504</f>
        <v>0.0</v>
      </c>
      <c r="M1504" s="15">
        <f>'[01_Entry.xlsx]Book'!M1504</f>
        <v>0.0</v>
      </c>
      <c r="P1504" s="56">
        <f>IF($A1504="","",IFERROR(VALUE(MID($A1504,6,2)),""))</f>
        <v/>
      </c>
    </row>
    <row r="1505" spans="1:16">
      <c r="G1505" s="15">
        <f>'[01_Entry.xlsx]Book'!G1505</f>
        <v>0.0</v>
      </c>
      <c r="H1505" s="15">
        <f>'[01_Entry.xlsx]Book'!H1505</f>
        <v>0.0</v>
      </c>
      <c r="I1505" s="15">
        <f>'[01_Entry.xlsx]Book'!I1505</f>
        <v>0.0</v>
      </c>
      <c r="K1505" s="15">
        <f>'[01_Entry.xlsx]Book'!K1505</f>
        <v>0.0</v>
      </c>
      <c r="L1505" s="15">
        <f>'[01_Entry.xlsx]Book'!L1505</f>
        <v>0.0</v>
      </c>
      <c r="M1505" s="15">
        <f>'[01_Entry.xlsx]Book'!M1505</f>
        <v>0.0</v>
      </c>
      <c r="P1505" s="56">
        <f>IF($A1505="","",IFERROR(VALUE(MID($A1505,6,2)),""))</f>
        <v/>
      </c>
    </row>
    <row r="1506" spans="1:16">
      <c r="G1506" s="15">
        <f>'[01_Entry.xlsx]Book'!G1506</f>
        <v>0.0</v>
      </c>
      <c r="H1506" s="15">
        <f>'[01_Entry.xlsx]Book'!H1506</f>
        <v>0.0</v>
      </c>
      <c r="I1506" s="15">
        <f>'[01_Entry.xlsx]Book'!I1506</f>
        <v>0.0</v>
      </c>
      <c r="K1506" s="15">
        <f>'[01_Entry.xlsx]Book'!K1506</f>
        <v>0.0</v>
      </c>
      <c r="L1506" s="15">
        <f>'[01_Entry.xlsx]Book'!L1506</f>
        <v>0.0</v>
      </c>
      <c r="M1506" s="15">
        <f>'[01_Entry.xlsx]Book'!M1506</f>
        <v>0.0</v>
      </c>
      <c r="P1506" s="56">
        <f>IF($A1506="","",IFERROR(VALUE(MID($A1506,6,2)),""))</f>
        <v/>
      </c>
    </row>
    <row r="1507" spans="1:16">
      <c r="G1507" s="15">
        <f>'[01_Entry.xlsx]Book'!G1507</f>
        <v>0.0</v>
      </c>
      <c r="H1507" s="15">
        <f>'[01_Entry.xlsx]Book'!H1507</f>
        <v>0.0</v>
      </c>
      <c r="I1507" s="15">
        <f>'[01_Entry.xlsx]Book'!I1507</f>
        <v>0.0</v>
      </c>
      <c r="K1507" s="15">
        <f>'[01_Entry.xlsx]Book'!K1507</f>
        <v>0.0</v>
      </c>
      <c r="L1507" s="15">
        <f>'[01_Entry.xlsx]Book'!L1507</f>
        <v>0.0</v>
      </c>
      <c r="M1507" s="15">
        <f>'[01_Entry.xlsx]Book'!M1507</f>
        <v>0.0</v>
      </c>
      <c r="P1507" s="56">
        <f>IF($A1507="","",IFERROR(VALUE(MID($A1507,6,2)),""))</f>
        <v/>
      </c>
    </row>
    <row r="1508" spans="1:16">
      <c r="G1508" s="15">
        <f>'[01_Entry.xlsx]Book'!G1508</f>
        <v>0.0</v>
      </c>
      <c r="H1508" s="15">
        <f>'[01_Entry.xlsx]Book'!H1508</f>
        <v>0.0</v>
      </c>
      <c r="I1508" s="15">
        <f>'[01_Entry.xlsx]Book'!I1508</f>
        <v>0.0</v>
      </c>
      <c r="K1508" s="15">
        <f>'[01_Entry.xlsx]Book'!K1508</f>
        <v>0.0</v>
      </c>
      <c r="L1508" s="15">
        <f>'[01_Entry.xlsx]Book'!L1508</f>
        <v>0.0</v>
      </c>
      <c r="M1508" s="15">
        <f>'[01_Entry.xlsx]Book'!M1508</f>
        <v>0.0</v>
      </c>
      <c r="P1508" s="56">
        <f>IF($A1508="","",IFERROR(VALUE(MID($A1508,6,2)),""))</f>
        <v/>
      </c>
    </row>
    <row r="1509" spans="1:16">
      <c r="G1509" s="15">
        <f>'[01_Entry.xlsx]Book'!G1509</f>
        <v>0.0</v>
      </c>
      <c r="H1509" s="15">
        <f>'[01_Entry.xlsx]Book'!H1509</f>
        <v>0.0</v>
      </c>
      <c r="I1509" s="15">
        <f>'[01_Entry.xlsx]Book'!I1509</f>
        <v>0.0</v>
      </c>
      <c r="K1509" s="15">
        <f>'[01_Entry.xlsx]Book'!K1509</f>
        <v>0.0</v>
      </c>
      <c r="L1509" s="15">
        <f>'[01_Entry.xlsx]Book'!L1509</f>
        <v>0.0</v>
      </c>
      <c r="M1509" s="15">
        <f>'[01_Entry.xlsx]Book'!M1509</f>
        <v>0.0</v>
      </c>
      <c r="P1509" s="56">
        <f>IF($A1509="","",IFERROR(VALUE(MID($A1509,6,2)),""))</f>
        <v/>
      </c>
    </row>
    <row r="1510" spans="1:16">
      <c r="A1510" s="16" t="str">
        <f>'[01_Entry.xlsx]Book'!A1510</f>
        <v>1405/07/01</v>
      </c>
      <c r="B1510" s="16" t="str">
        <f>'[01_Entry.xlsx]Book'!B1510</f>
        <v>BK-001</v>
      </c>
      <c r="C1510" s="16" t="str">
        <f>'[01_Entry.xlsx]Book'!C1510</f>
        <v>سبد</v>
      </c>
      <c r="D1510" s="16" t="str">
        <f>'[01_Entry.xlsx]Book'!D1510</f>
        <v>S001</v>
      </c>
      <c r="G1510" s="15">
        <f>'[01_Entry.xlsx]Book'!G1510</f>
        <v>500.0</v>
      </c>
      <c r="H1510" s="15">
        <f>'[01_Entry.xlsx]Book'!H1510</f>
        <v>0.0</v>
      </c>
      <c r="I1510" s="15">
        <f>'[01_Entry.xlsx]Book'!I1510</f>
        <v>0.0</v>
      </c>
      <c r="J1510" s="16" t="str">
        <f>'[01_Entry.xlsx]Book'!J1510</f>
        <v>45000</v>
      </c>
      <c r="K1510" s="15">
        <f>'[01_Entry.xlsx]Book'!K1510</f>
        <v>22500000.0</v>
      </c>
      <c r="L1510" s="15">
        <f>'[01_Entry.xlsx]Book'!L1510</f>
        <v>0.0</v>
      </c>
      <c r="M1510" s="15">
        <f>'[01_Entry.xlsx]Book'!M1510</f>
        <v>22500000.0</v>
      </c>
      <c r="N1510" s="16" t="str">
        <f>'[01_Entry.xlsx]Book'!N1510</f>
        <v>خرید سبد</v>
      </c>
      <c r="O1510" s="16" t="str">
        <f>'[01_Entry.xlsx]Book'!O1510</f>
        <v>فروشنده سبد</v>
      </c>
      <c r="P1510" s="56">
        <f>IF($A1510="","",IFERROR(VALUE(MID($A1510,6,2)),""))</f>
        <v>7</v>
      </c>
    </row>
    <row r="1511" spans="1:16">
      <c r="A1511" s="16" t="str">
        <f>'[01_Entry.xlsx]Book'!A1511</f>
        <v>1405/07/01</v>
      </c>
      <c r="B1511" s="16" t="str">
        <f>'[01_Entry.xlsx]Book'!B1511</f>
        <v>BK-001</v>
      </c>
      <c r="C1511" s="16" t="str">
        <f>'[01_Entry.xlsx]Book'!C1511</f>
        <v>سبد</v>
      </c>
      <c r="D1511" s="16" t="str">
        <f>'[01_Entry.xlsx]Book'!D1511</f>
        <v>X005</v>
      </c>
      <c r="E1511" s="16" t="str">
        <f>'[01_Entry.xlsx]Book'!E1511</f>
        <v>مقابل: خرید سبد</v>
      </c>
      <c r="G1511" s="15">
        <f>'[01_Entry.xlsx]Book'!G1511</f>
        <v>0.0</v>
      </c>
      <c r="H1511" s="15">
        <f>'[01_Entry.xlsx]Book'!H1511</f>
        <v>0.0</v>
      </c>
      <c r="I1511" s="15">
        <f>'[01_Entry.xlsx]Book'!I1511</f>
        <v>0.0</v>
      </c>
      <c r="K1511" s="15">
        <f>'[01_Entry.xlsx]Book'!K1511</f>
        <v>22500000.0</v>
      </c>
      <c r="L1511" s="15">
        <f>'[01_Entry.xlsx]Book'!L1511</f>
        <v>22500000.0</v>
      </c>
      <c r="M1511" s="15">
        <f>'[01_Entry.xlsx]Book'!M1511</f>
        <v>0.0</v>
      </c>
      <c r="N1511" s="16" t="str">
        <f>'[01_Entry.xlsx]Book'!N1511</f>
        <v>مقابل</v>
      </c>
      <c r="O1511" s="16" t="str">
        <f>'[01_Entry.xlsx]Book'!O1511</f>
        <v>سایر حساب</v>
      </c>
      <c r="P1511" s="56">
        <f>IF($A1511="","",IFERROR(VALUE(MID($A1511,6,2)),""))</f>
        <v>7</v>
      </c>
    </row>
    <row r="1512" spans="1:16">
      <c r="A1512" s="16" t="str">
        <f>'[01_Entry.xlsx]Book'!A1512</f>
        <v>1405/07/02</v>
      </c>
      <c r="B1512" s="16" t="str">
        <f>'[01_Entry.xlsx]Book'!B1512</f>
        <v>BK-002</v>
      </c>
      <c r="C1512" s="16" t="str">
        <f>'[01_Entry.xlsx]Book'!C1512</f>
        <v>سبد</v>
      </c>
      <c r="D1512" s="16" t="str">
        <f>'[01_Entry.xlsx]Book'!D1512</f>
        <v>S002</v>
      </c>
      <c r="G1512" s="15">
        <f>'[01_Entry.xlsx]Book'!G1512</f>
        <v>300.0</v>
      </c>
      <c r="H1512" s="15">
        <f>'[01_Entry.xlsx]Book'!H1512</f>
        <v>0.0</v>
      </c>
      <c r="I1512" s="15">
        <f>'[01_Entry.xlsx]Book'!I1512</f>
        <v>0.0</v>
      </c>
      <c r="J1512" s="16" t="str">
        <f>'[01_Entry.xlsx]Book'!J1512</f>
        <v>62000</v>
      </c>
      <c r="K1512" s="15">
        <f>'[01_Entry.xlsx]Book'!K1512</f>
        <v>18600000.0</v>
      </c>
      <c r="L1512" s="15">
        <f>'[01_Entry.xlsx]Book'!L1512</f>
        <v>0.0</v>
      </c>
      <c r="M1512" s="15">
        <f>'[01_Entry.xlsx]Book'!M1512</f>
        <v>18600000.0</v>
      </c>
      <c r="N1512" s="16" t="str">
        <f>'[01_Entry.xlsx]Book'!N1512</f>
        <v>خرید سبد</v>
      </c>
      <c r="O1512" s="16" t="str">
        <f>'[01_Entry.xlsx]Book'!O1512</f>
        <v>فروشنده سبد</v>
      </c>
      <c r="P1512" s="56">
        <f>IF($A1512="","",IFERROR(VALUE(MID($A1512,6,2)),""))</f>
        <v>7</v>
      </c>
    </row>
    <row r="1513" spans="1:16">
      <c r="A1513" s="16" t="str">
        <f>'[01_Entry.xlsx]Book'!A1513</f>
        <v>1405/07/02</v>
      </c>
      <c r="B1513" s="16" t="str">
        <f>'[01_Entry.xlsx]Book'!B1513</f>
        <v>BK-002</v>
      </c>
      <c r="C1513" s="16" t="str">
        <f>'[01_Entry.xlsx]Book'!C1513</f>
        <v>سبد</v>
      </c>
      <c r="D1513" s="16" t="str">
        <f>'[01_Entry.xlsx]Book'!D1513</f>
        <v>X005</v>
      </c>
      <c r="E1513" s="16" t="str">
        <f>'[01_Entry.xlsx]Book'!E1513</f>
        <v>مقابل: خرید سبد</v>
      </c>
      <c r="G1513" s="15">
        <f>'[01_Entry.xlsx]Book'!G1513</f>
        <v>0.0</v>
      </c>
      <c r="H1513" s="15">
        <f>'[01_Entry.xlsx]Book'!H1513</f>
        <v>0.0</v>
      </c>
      <c r="I1513" s="15">
        <f>'[01_Entry.xlsx]Book'!I1513</f>
        <v>0.0</v>
      </c>
      <c r="K1513" s="15">
        <f>'[01_Entry.xlsx]Book'!K1513</f>
        <v>18600000.0</v>
      </c>
      <c r="L1513" s="15">
        <f>'[01_Entry.xlsx]Book'!L1513</f>
        <v>18600000.0</v>
      </c>
      <c r="M1513" s="15">
        <f>'[01_Entry.xlsx]Book'!M1513</f>
        <v>0.0</v>
      </c>
      <c r="N1513" s="16" t="str">
        <f>'[01_Entry.xlsx]Book'!N1513</f>
        <v>مقابل</v>
      </c>
      <c r="O1513" s="16" t="str">
        <f>'[01_Entry.xlsx]Book'!O1513</f>
        <v>سایر حساب</v>
      </c>
      <c r="P1513" s="56">
        <f>IF($A1513="","",IFERROR(VALUE(MID($A1513,6,2)),""))</f>
        <v>7</v>
      </c>
    </row>
    <row r="1514" spans="1:16">
      <c r="A1514" s="16" t="str">
        <f>'[01_Entry.xlsx]Book'!A1514</f>
        <v>1405/07/04</v>
      </c>
      <c r="B1514" s="16" t="str">
        <f>'[01_Entry.xlsx]Book'!B1514</f>
        <v>BK-003</v>
      </c>
      <c r="C1514" s="16" t="str">
        <f>'[01_Entry.xlsx]Book'!C1514</f>
        <v>سبد</v>
      </c>
      <c r="D1514" s="16" t="str">
        <f>'[01_Entry.xlsx]Book'!D1514</f>
        <v>C003</v>
      </c>
      <c r="G1514" s="15">
        <f>'[01_Entry.xlsx]Book'!G1514</f>
        <v>150.0</v>
      </c>
      <c r="H1514" s="15">
        <f>'[01_Entry.xlsx]Book'!H1514</f>
        <v>0.0</v>
      </c>
      <c r="I1514" s="15">
        <f>'[01_Entry.xlsx]Book'!I1514</f>
        <v>0.0</v>
      </c>
      <c r="J1514" s="16" t="str">
        <f>'[01_Entry.xlsx]Book'!J1514</f>
        <v>58000</v>
      </c>
      <c r="K1514" s="15">
        <f>'[01_Entry.xlsx]Book'!K1514</f>
        <v>8700000.0</v>
      </c>
      <c r="L1514" s="15">
        <f>'[01_Entry.xlsx]Book'!L1514</f>
        <v>8700000.0</v>
      </c>
      <c r="M1514" s="15">
        <f>'[01_Entry.xlsx]Book'!M1514</f>
        <v>0.0</v>
      </c>
      <c r="N1514" s="16" t="str">
        <f>'[01_Entry.xlsx]Book'!N1514</f>
        <v>فروش سبد</v>
      </c>
      <c r="O1514" s="16" t="str">
        <f>'[01_Entry.xlsx]Book'!O1514</f>
        <v>باغدار</v>
      </c>
      <c r="P1514" s="56">
        <f>IF($A1514="","",IFERROR(VALUE(MID($A1514,6,2)),""))</f>
        <v>7</v>
      </c>
    </row>
    <row r="1515" spans="1:16">
      <c r="A1515" s="16" t="str">
        <f>'[01_Entry.xlsx]Book'!A1515</f>
        <v>1405/07/04</v>
      </c>
      <c r="B1515" s="16" t="str">
        <f>'[01_Entry.xlsx]Book'!B1515</f>
        <v>BK-003</v>
      </c>
      <c r="C1515" s="16" t="str">
        <f>'[01_Entry.xlsx]Book'!C1515</f>
        <v>سبد</v>
      </c>
      <c r="D1515" s="16" t="str">
        <f>'[01_Entry.xlsx]Book'!D1515</f>
        <v>X007</v>
      </c>
      <c r="E1515" s="16" t="str">
        <f>'[01_Entry.xlsx]Book'!E1515</f>
        <v>مقابل: فروش سبد</v>
      </c>
      <c r="G1515" s="15">
        <f>'[01_Entry.xlsx]Book'!G1515</f>
        <v>0.0</v>
      </c>
      <c r="H1515" s="15">
        <f>'[01_Entry.xlsx]Book'!H1515</f>
        <v>0.0</v>
      </c>
      <c r="I1515" s="15">
        <f>'[01_Entry.xlsx]Book'!I1515</f>
        <v>0.0</v>
      </c>
      <c r="K1515" s="15">
        <f>'[01_Entry.xlsx]Book'!K1515</f>
        <v>8700000.0</v>
      </c>
      <c r="L1515" s="15">
        <f>'[01_Entry.xlsx]Book'!L1515</f>
        <v>0.0</v>
      </c>
      <c r="M1515" s="15">
        <f>'[01_Entry.xlsx]Book'!M1515</f>
        <v>8700000.0</v>
      </c>
      <c r="N1515" s="16" t="str">
        <f>'[01_Entry.xlsx]Book'!N1515</f>
        <v>مقابل</v>
      </c>
      <c r="O1515" s="16" t="str">
        <f>'[01_Entry.xlsx]Book'!O1515</f>
        <v>سایر حساب</v>
      </c>
      <c r="P1515" s="56">
        <f>IF($A1515="","",IFERROR(VALUE(MID($A1515,6,2)),""))</f>
        <v>7</v>
      </c>
    </row>
    <row r="1516" spans="1:16">
      <c r="A1516" s="16" t="str">
        <f>'[01_Entry.xlsx]Book'!A1516</f>
        <v>1405/07/06</v>
      </c>
      <c r="B1516" s="16" t="str">
        <f>'[01_Entry.xlsx]Book'!B1516</f>
        <v>BK-004</v>
      </c>
      <c r="C1516" s="16" t="str">
        <f>'[01_Entry.xlsx]Book'!C1516</f>
        <v>سبد</v>
      </c>
      <c r="D1516" s="16" t="str">
        <f>'[01_Entry.xlsx]Book'!D1516</f>
        <v>C006</v>
      </c>
      <c r="G1516" s="15">
        <f>'[01_Entry.xlsx]Book'!G1516</f>
        <v>80.0</v>
      </c>
      <c r="H1516" s="15">
        <f>'[01_Entry.xlsx]Book'!H1516</f>
        <v>0.0</v>
      </c>
      <c r="I1516" s="15">
        <f>'[01_Entry.xlsx]Book'!I1516</f>
        <v>0.0</v>
      </c>
      <c r="J1516" s="16" t="str">
        <f>'[01_Entry.xlsx]Book'!J1516</f>
        <v>80000</v>
      </c>
      <c r="K1516" s="15">
        <f>'[01_Entry.xlsx]Book'!K1516</f>
        <v>6400000.0</v>
      </c>
      <c r="L1516" s="15">
        <f>'[01_Entry.xlsx]Book'!L1516</f>
        <v>6400000.0</v>
      </c>
      <c r="M1516" s="15">
        <f>'[01_Entry.xlsx]Book'!M1516</f>
        <v>0.0</v>
      </c>
      <c r="N1516" s="16" t="str">
        <f>'[01_Entry.xlsx]Book'!N1516</f>
        <v>فروش سبد</v>
      </c>
      <c r="O1516" s="16" t="str">
        <f>'[01_Entry.xlsx]Book'!O1516</f>
        <v>باغدار</v>
      </c>
      <c r="P1516" s="56">
        <f>IF($A1516="","",IFERROR(VALUE(MID($A1516,6,2)),""))</f>
        <v>7</v>
      </c>
    </row>
    <row r="1517" spans="1:16">
      <c r="A1517" s="16" t="str">
        <f>'[01_Entry.xlsx]Book'!A1517</f>
        <v>1405/07/06</v>
      </c>
      <c r="B1517" s="16" t="str">
        <f>'[01_Entry.xlsx]Book'!B1517</f>
        <v>BK-004</v>
      </c>
      <c r="C1517" s="16" t="str">
        <f>'[01_Entry.xlsx]Book'!C1517</f>
        <v>سبد</v>
      </c>
      <c r="D1517" s="16" t="str">
        <f>'[01_Entry.xlsx]Book'!D1517</f>
        <v>X007</v>
      </c>
      <c r="E1517" s="16" t="str">
        <f>'[01_Entry.xlsx]Book'!E1517</f>
        <v>مقابل: فروش سبد</v>
      </c>
      <c r="G1517" s="15">
        <f>'[01_Entry.xlsx]Book'!G1517</f>
        <v>0.0</v>
      </c>
      <c r="H1517" s="15">
        <f>'[01_Entry.xlsx]Book'!H1517</f>
        <v>0.0</v>
      </c>
      <c r="I1517" s="15">
        <f>'[01_Entry.xlsx]Book'!I1517</f>
        <v>0.0</v>
      </c>
      <c r="K1517" s="15">
        <f>'[01_Entry.xlsx]Book'!K1517</f>
        <v>6400000.0</v>
      </c>
      <c r="L1517" s="15">
        <f>'[01_Entry.xlsx]Book'!L1517</f>
        <v>0.0</v>
      </c>
      <c r="M1517" s="15">
        <f>'[01_Entry.xlsx]Book'!M1517</f>
        <v>6400000.0</v>
      </c>
      <c r="N1517" s="16" t="str">
        <f>'[01_Entry.xlsx]Book'!N1517</f>
        <v>مقابل</v>
      </c>
      <c r="O1517" s="16" t="str">
        <f>'[01_Entry.xlsx]Book'!O1517</f>
        <v>سایر حساب</v>
      </c>
      <c r="P1517" s="56">
        <f>IF($A1517="","",IFERROR(VALUE(MID($A1517,6,2)),""))</f>
        <v>7</v>
      </c>
    </row>
    <row r="1518" spans="1:16">
      <c r="A1518" s="16" t="str">
        <f>'[01_Entry.xlsx]Book'!A1518</f>
        <v>1405/07/08</v>
      </c>
      <c r="B1518" s="16" t="str">
        <f>'[01_Entry.xlsx]Book'!B1518</f>
        <v>BK-005</v>
      </c>
      <c r="C1518" s="16" t="str">
        <f>'[01_Entry.xlsx]Book'!C1518</f>
        <v>سبد</v>
      </c>
      <c r="D1518" s="16" t="str">
        <f>'[01_Entry.xlsx]Book'!D1518</f>
        <v>S003</v>
      </c>
      <c r="G1518" s="15">
        <f>'[01_Entry.xlsx]Book'!G1518</f>
        <v>200.0</v>
      </c>
      <c r="H1518" s="15">
        <f>'[01_Entry.xlsx]Book'!H1518</f>
        <v>0.0</v>
      </c>
      <c r="I1518" s="15">
        <f>'[01_Entry.xlsx]Book'!I1518</f>
        <v>0.0</v>
      </c>
      <c r="J1518" s="16" t="str">
        <f>'[01_Entry.xlsx]Book'!J1518</f>
        <v>58000</v>
      </c>
      <c r="K1518" s="15">
        <f>'[01_Entry.xlsx]Book'!K1518</f>
        <v>11600000.0</v>
      </c>
      <c r="L1518" s="15">
        <f>'[01_Entry.xlsx]Book'!L1518</f>
        <v>0.0</v>
      </c>
      <c r="M1518" s="15">
        <f>'[01_Entry.xlsx]Book'!M1518</f>
        <v>11600000.0</v>
      </c>
      <c r="N1518" s="16" t="str">
        <f>'[01_Entry.xlsx]Book'!N1518</f>
        <v>خرید سبد</v>
      </c>
      <c r="O1518" s="16" t="str">
        <f>'[01_Entry.xlsx]Book'!O1518</f>
        <v>فروشنده سبد</v>
      </c>
      <c r="P1518" s="56">
        <f>IF($A1518="","",IFERROR(VALUE(MID($A1518,6,2)),""))</f>
        <v>7</v>
      </c>
    </row>
    <row r="1519" spans="1:16">
      <c r="A1519" s="16" t="str">
        <f>'[01_Entry.xlsx]Book'!A1519</f>
        <v>1405/07/08</v>
      </c>
      <c r="B1519" s="16" t="str">
        <f>'[01_Entry.xlsx]Book'!B1519</f>
        <v>BK-005</v>
      </c>
      <c r="C1519" s="16" t="str">
        <f>'[01_Entry.xlsx]Book'!C1519</f>
        <v>سبد</v>
      </c>
      <c r="D1519" s="16" t="str">
        <f>'[01_Entry.xlsx]Book'!D1519</f>
        <v>X005</v>
      </c>
      <c r="E1519" s="16" t="str">
        <f>'[01_Entry.xlsx]Book'!E1519</f>
        <v>مقابل: خرید سبد</v>
      </c>
      <c r="G1519" s="15">
        <f>'[01_Entry.xlsx]Book'!G1519</f>
        <v>0.0</v>
      </c>
      <c r="H1519" s="15">
        <f>'[01_Entry.xlsx]Book'!H1519</f>
        <v>0.0</v>
      </c>
      <c r="I1519" s="15">
        <f>'[01_Entry.xlsx]Book'!I1519</f>
        <v>0.0</v>
      </c>
      <c r="K1519" s="15">
        <f>'[01_Entry.xlsx]Book'!K1519</f>
        <v>11600000.0</v>
      </c>
      <c r="L1519" s="15">
        <f>'[01_Entry.xlsx]Book'!L1519</f>
        <v>11600000.0</v>
      </c>
      <c r="M1519" s="15">
        <f>'[01_Entry.xlsx]Book'!M1519</f>
        <v>0.0</v>
      </c>
      <c r="N1519" s="16" t="str">
        <f>'[01_Entry.xlsx]Book'!N1519</f>
        <v>مقابل</v>
      </c>
      <c r="O1519" s="16" t="str">
        <f>'[01_Entry.xlsx]Book'!O1519</f>
        <v>سایر حساب</v>
      </c>
      <c r="P1519" s="56">
        <f>IF($A1519="","",IFERROR(VALUE(MID($A1519,6,2)),""))</f>
        <v>7</v>
      </c>
    </row>
    <row r="1520" spans="1:16">
      <c r="A1520" s="16" t="str">
        <f>'[01_Entry.xlsx]Book'!A1520</f>
        <v>1405/07/10</v>
      </c>
      <c r="B1520" s="16" t="str">
        <f>'[01_Entry.xlsx]Book'!B1520</f>
        <v>BK-006</v>
      </c>
      <c r="C1520" s="16" t="str">
        <f>'[01_Entry.xlsx]Book'!C1520</f>
        <v>سبد</v>
      </c>
      <c r="D1520" s="16" t="str">
        <f>'[01_Entry.xlsx]Book'!D1520</f>
        <v>S001</v>
      </c>
      <c r="E1520" s="16" t="str">
        <f>'[01_Entry.xlsx]Book'!E1520</f>
        <v>سبد سالم</v>
      </c>
      <c r="G1520" s="15">
        <f>'[01_Entry.xlsx]Book'!G1520</f>
        <v>20.0</v>
      </c>
      <c r="H1520" s="15">
        <f>'[01_Entry.xlsx]Book'!H1520</f>
        <v>0.0</v>
      </c>
      <c r="I1520" s="15">
        <f>'[01_Entry.xlsx]Book'!I1520</f>
        <v>0.0</v>
      </c>
      <c r="J1520" s="16" t="str">
        <f>'[01_Entry.xlsx]Book'!J1520</f>
        <v>45000</v>
      </c>
      <c r="K1520" s="15">
        <f>'[01_Entry.xlsx]Book'!K1520</f>
        <v>900000.0</v>
      </c>
      <c r="L1520" s="15">
        <f>'[01_Entry.xlsx]Book'!L1520</f>
        <v>900000.0</v>
      </c>
      <c r="M1520" s="15">
        <f>'[01_Entry.xlsx]Book'!M1520</f>
        <v>0.0</v>
      </c>
      <c r="N1520" s="16" t="str">
        <f>'[01_Entry.xlsx]Book'!N1520</f>
        <v>مرجوعی خرید سبد</v>
      </c>
      <c r="O1520" s="16" t="str">
        <f>'[01_Entry.xlsx]Book'!O1520</f>
        <v>فروشنده سبد</v>
      </c>
      <c r="P1520" s="56">
        <f>IF($A1520="","",IFERROR(VALUE(MID($A1520,6,2)),""))</f>
        <v>7</v>
      </c>
    </row>
    <row r="1521" spans="1:16">
      <c r="A1521" s="16" t="str">
        <f>'[01_Entry.xlsx]Book'!A1521</f>
        <v>1405/07/10</v>
      </c>
      <c r="B1521" s="16" t="str">
        <f>'[01_Entry.xlsx]Book'!B1521</f>
        <v>BK-006</v>
      </c>
      <c r="C1521" s="16" t="str">
        <f>'[01_Entry.xlsx]Book'!C1521</f>
        <v>سبد</v>
      </c>
      <c r="D1521" s="16" t="str">
        <f>'[01_Entry.xlsx]Book'!D1521</f>
        <v>X005</v>
      </c>
      <c r="E1521" s="16" t="str">
        <f>'[01_Entry.xlsx]Book'!E1521</f>
        <v>مقابل: مرجوعی خرید سبد</v>
      </c>
      <c r="G1521" s="15">
        <f>'[01_Entry.xlsx]Book'!G1521</f>
        <v>0.0</v>
      </c>
      <c r="H1521" s="15">
        <f>'[01_Entry.xlsx]Book'!H1521</f>
        <v>0.0</v>
      </c>
      <c r="I1521" s="15">
        <f>'[01_Entry.xlsx]Book'!I1521</f>
        <v>0.0</v>
      </c>
      <c r="K1521" s="15">
        <f>'[01_Entry.xlsx]Book'!K1521</f>
        <v>900000.0</v>
      </c>
      <c r="L1521" s="15">
        <f>'[01_Entry.xlsx]Book'!L1521</f>
        <v>0.0</v>
      </c>
      <c r="M1521" s="15">
        <f>'[01_Entry.xlsx]Book'!M1521</f>
        <v>900000.0</v>
      </c>
      <c r="N1521" s="16" t="str">
        <f>'[01_Entry.xlsx]Book'!N1521</f>
        <v>مقابل</v>
      </c>
      <c r="O1521" s="16" t="str">
        <f>'[01_Entry.xlsx]Book'!O1521</f>
        <v>سایر حساب</v>
      </c>
      <c r="P1521" s="56">
        <f>IF($A1521="","",IFERROR(VALUE(MID($A1521,6,2)),""))</f>
        <v>7</v>
      </c>
    </row>
    <row r="1522" spans="1:16">
      <c r="A1522" s="16" t="str">
        <f>'[01_Entry.xlsx]Book'!A1522</f>
        <v>1405/07/12</v>
      </c>
      <c r="B1522" s="16" t="str">
        <f>'[01_Entry.xlsx]Book'!B1522</f>
        <v>BK-007</v>
      </c>
      <c r="C1522" s="16" t="str">
        <f>'[01_Entry.xlsx]Book'!C1522</f>
        <v>سبد</v>
      </c>
      <c r="D1522" s="16" t="str">
        <f>'[01_Entry.xlsx]Book'!D1522</f>
        <v>C001</v>
      </c>
      <c r="G1522" s="15">
        <f>'[01_Entry.xlsx]Book'!G1522</f>
        <v>60.0</v>
      </c>
      <c r="H1522" s="15">
        <f>'[01_Entry.xlsx]Book'!H1522</f>
        <v>0.0</v>
      </c>
      <c r="I1522" s="15">
        <f>'[01_Entry.xlsx]Book'!I1522</f>
        <v>0.0</v>
      </c>
      <c r="J1522" s="16" t="str">
        <f>'[01_Entry.xlsx]Book'!J1522</f>
        <v>82000</v>
      </c>
      <c r="K1522" s="15">
        <f>'[01_Entry.xlsx]Book'!K1522</f>
        <v>4920000.0</v>
      </c>
      <c r="L1522" s="15">
        <f>'[01_Entry.xlsx]Book'!L1522</f>
        <v>4920000.0</v>
      </c>
      <c r="M1522" s="15">
        <f>'[01_Entry.xlsx]Book'!M1522</f>
        <v>0.0</v>
      </c>
      <c r="N1522" s="16" t="str">
        <f>'[01_Entry.xlsx]Book'!N1522</f>
        <v>فروش سبد</v>
      </c>
      <c r="O1522" s="16" t="str">
        <f>'[01_Entry.xlsx]Book'!O1522</f>
        <v>باغدار</v>
      </c>
      <c r="P1522" s="56">
        <f>IF($A1522="","",IFERROR(VALUE(MID($A1522,6,2)),""))</f>
        <v>7</v>
      </c>
    </row>
    <row r="1523" spans="1:16">
      <c r="A1523" s="16" t="str">
        <f>'[01_Entry.xlsx]Book'!A1523</f>
        <v>1405/07/12</v>
      </c>
      <c r="B1523" s="16" t="str">
        <f>'[01_Entry.xlsx]Book'!B1523</f>
        <v>BK-007</v>
      </c>
      <c r="C1523" s="16" t="str">
        <f>'[01_Entry.xlsx]Book'!C1523</f>
        <v>سبد</v>
      </c>
      <c r="D1523" s="16" t="str">
        <f>'[01_Entry.xlsx]Book'!D1523</f>
        <v>X007</v>
      </c>
      <c r="E1523" s="16" t="str">
        <f>'[01_Entry.xlsx]Book'!E1523</f>
        <v>مقابل: فروش سبد</v>
      </c>
      <c r="G1523" s="15">
        <f>'[01_Entry.xlsx]Book'!G1523</f>
        <v>0.0</v>
      </c>
      <c r="H1523" s="15">
        <f>'[01_Entry.xlsx]Book'!H1523</f>
        <v>0.0</v>
      </c>
      <c r="I1523" s="15">
        <f>'[01_Entry.xlsx]Book'!I1523</f>
        <v>0.0</v>
      </c>
      <c r="K1523" s="15">
        <f>'[01_Entry.xlsx]Book'!K1523</f>
        <v>4920000.0</v>
      </c>
      <c r="L1523" s="15">
        <f>'[01_Entry.xlsx]Book'!L1523</f>
        <v>0.0</v>
      </c>
      <c r="M1523" s="15">
        <f>'[01_Entry.xlsx]Book'!M1523</f>
        <v>4920000.0</v>
      </c>
      <c r="N1523" s="16" t="str">
        <f>'[01_Entry.xlsx]Book'!N1523</f>
        <v>مقابل</v>
      </c>
      <c r="O1523" s="16" t="str">
        <f>'[01_Entry.xlsx]Book'!O1523</f>
        <v>سایر حساب</v>
      </c>
      <c r="P1523" s="56">
        <f>IF($A1523="","",IFERROR(VALUE(MID($A1523,6,2)),""))</f>
        <v>7</v>
      </c>
    </row>
    <row r="1524" spans="1:16">
      <c r="G1524" s="15">
        <f>'[01_Entry.xlsx]Book'!G1524</f>
        <v>0.0</v>
      </c>
      <c r="H1524" s="15">
        <f>'[01_Entry.xlsx]Book'!H1524</f>
        <v>0.0</v>
      </c>
      <c r="I1524" s="15">
        <f>'[01_Entry.xlsx]Book'!I1524</f>
        <v>0.0</v>
      </c>
      <c r="K1524" s="15">
        <f>'[01_Entry.xlsx]Book'!K1524</f>
        <v>0.0</v>
      </c>
      <c r="L1524" s="15">
        <f>'[01_Entry.xlsx]Book'!L1524</f>
        <v>0.0</v>
      </c>
      <c r="M1524" s="15">
        <f>'[01_Entry.xlsx]Book'!M1524</f>
        <v>0.0</v>
      </c>
      <c r="P1524" s="56">
        <f>IF($A1524="","",IFERROR(VALUE(MID($A1524,6,2)),""))</f>
        <v/>
      </c>
    </row>
    <row r="1525" spans="1:16">
      <c r="G1525" s="15">
        <f>'[01_Entry.xlsx]Book'!G1525</f>
        <v>0.0</v>
      </c>
      <c r="H1525" s="15">
        <f>'[01_Entry.xlsx]Book'!H1525</f>
        <v>0.0</v>
      </c>
      <c r="I1525" s="15">
        <f>'[01_Entry.xlsx]Book'!I1525</f>
        <v>0.0</v>
      </c>
      <c r="K1525" s="15">
        <f>'[01_Entry.xlsx]Book'!K1525</f>
        <v>0.0</v>
      </c>
      <c r="L1525" s="15">
        <f>'[01_Entry.xlsx]Book'!L1525</f>
        <v>0.0</v>
      </c>
      <c r="M1525" s="15">
        <f>'[01_Entry.xlsx]Book'!M1525</f>
        <v>0.0</v>
      </c>
      <c r="P1525" s="56">
        <f>IF($A1525="","",IFERROR(VALUE(MID($A1525,6,2)),""))</f>
        <v/>
      </c>
    </row>
    <row r="1526" spans="1:16">
      <c r="G1526" s="15">
        <f>'[01_Entry.xlsx]Book'!G1526</f>
        <v>0.0</v>
      </c>
      <c r="H1526" s="15">
        <f>'[01_Entry.xlsx]Book'!H1526</f>
        <v>0.0</v>
      </c>
      <c r="I1526" s="15">
        <f>'[01_Entry.xlsx]Book'!I1526</f>
        <v>0.0</v>
      </c>
      <c r="K1526" s="15">
        <f>'[01_Entry.xlsx]Book'!K1526</f>
        <v>0.0</v>
      </c>
      <c r="L1526" s="15">
        <f>'[01_Entry.xlsx]Book'!L1526</f>
        <v>0.0</v>
      </c>
      <c r="M1526" s="15">
        <f>'[01_Entry.xlsx]Book'!M1526</f>
        <v>0.0</v>
      </c>
      <c r="P1526" s="56">
        <f>IF($A1526="","",IFERROR(VALUE(MID($A1526,6,2)),""))</f>
        <v/>
      </c>
    </row>
    <row r="1527" spans="1:16">
      <c r="G1527" s="15">
        <f>'[01_Entry.xlsx]Book'!G1527</f>
        <v>0.0</v>
      </c>
      <c r="H1527" s="15">
        <f>'[01_Entry.xlsx]Book'!H1527</f>
        <v>0.0</v>
      </c>
      <c r="I1527" s="15">
        <f>'[01_Entry.xlsx]Book'!I1527</f>
        <v>0.0</v>
      </c>
      <c r="K1527" s="15">
        <f>'[01_Entry.xlsx]Book'!K1527</f>
        <v>0.0</v>
      </c>
      <c r="L1527" s="15">
        <f>'[01_Entry.xlsx]Book'!L1527</f>
        <v>0.0</v>
      </c>
      <c r="M1527" s="15">
        <f>'[01_Entry.xlsx]Book'!M1527</f>
        <v>0.0</v>
      </c>
      <c r="P1527" s="56">
        <f>IF($A1527="","",IFERROR(VALUE(MID($A1527,6,2)),""))</f>
        <v/>
      </c>
    </row>
    <row r="1528" spans="1:16">
      <c r="G1528" s="15">
        <f>'[01_Entry.xlsx]Book'!G1528</f>
        <v>0.0</v>
      </c>
      <c r="H1528" s="15">
        <f>'[01_Entry.xlsx]Book'!H1528</f>
        <v>0.0</v>
      </c>
      <c r="I1528" s="15">
        <f>'[01_Entry.xlsx]Book'!I1528</f>
        <v>0.0</v>
      </c>
      <c r="K1528" s="15">
        <f>'[01_Entry.xlsx]Book'!K1528</f>
        <v>0.0</v>
      </c>
      <c r="L1528" s="15">
        <f>'[01_Entry.xlsx]Book'!L1528</f>
        <v>0.0</v>
      </c>
      <c r="M1528" s="15">
        <f>'[01_Entry.xlsx]Book'!M1528</f>
        <v>0.0</v>
      </c>
      <c r="P1528" s="56">
        <f>IF($A1528="","",IFERROR(VALUE(MID($A1528,6,2)),""))</f>
        <v/>
      </c>
    </row>
    <row r="1529" spans="1:16">
      <c r="G1529" s="15">
        <f>'[01_Entry.xlsx]Book'!G1529</f>
        <v>0.0</v>
      </c>
      <c r="H1529" s="15">
        <f>'[01_Entry.xlsx]Book'!H1529</f>
        <v>0.0</v>
      </c>
      <c r="I1529" s="15">
        <f>'[01_Entry.xlsx]Book'!I1529</f>
        <v>0.0</v>
      </c>
      <c r="K1529" s="15">
        <f>'[01_Entry.xlsx]Book'!K1529</f>
        <v>0.0</v>
      </c>
      <c r="L1529" s="15">
        <f>'[01_Entry.xlsx]Book'!L1529</f>
        <v>0.0</v>
      </c>
      <c r="M1529" s="15">
        <f>'[01_Entry.xlsx]Book'!M1529</f>
        <v>0.0</v>
      </c>
      <c r="P1529" s="56">
        <f>IF($A1529="","",IFERROR(VALUE(MID($A1529,6,2)),""))</f>
        <v/>
      </c>
    </row>
    <row r="1530" spans="1:16">
      <c r="G1530" s="15">
        <f>'[01_Entry.xlsx]Book'!G1530</f>
        <v>0.0</v>
      </c>
      <c r="H1530" s="15">
        <f>'[01_Entry.xlsx]Book'!H1530</f>
        <v>0.0</v>
      </c>
      <c r="I1530" s="15">
        <f>'[01_Entry.xlsx]Book'!I1530</f>
        <v>0.0</v>
      </c>
      <c r="K1530" s="15">
        <f>'[01_Entry.xlsx]Book'!K1530</f>
        <v>0.0</v>
      </c>
      <c r="L1530" s="15">
        <f>'[01_Entry.xlsx]Book'!L1530</f>
        <v>0.0</v>
      </c>
      <c r="M1530" s="15">
        <f>'[01_Entry.xlsx]Book'!M1530</f>
        <v>0.0</v>
      </c>
      <c r="P1530" s="56">
        <f>IF($A1530="","",IFERROR(VALUE(MID($A1530,6,2)),""))</f>
        <v/>
      </c>
    </row>
    <row r="1531" spans="1:16">
      <c r="G1531" s="15">
        <f>'[01_Entry.xlsx]Book'!G1531</f>
        <v>0.0</v>
      </c>
      <c r="H1531" s="15">
        <f>'[01_Entry.xlsx]Book'!H1531</f>
        <v>0.0</v>
      </c>
      <c r="I1531" s="15">
        <f>'[01_Entry.xlsx]Book'!I1531</f>
        <v>0.0</v>
      </c>
      <c r="K1531" s="15">
        <f>'[01_Entry.xlsx]Book'!K1531</f>
        <v>0.0</v>
      </c>
      <c r="L1531" s="15">
        <f>'[01_Entry.xlsx]Book'!L1531</f>
        <v>0.0</v>
      </c>
      <c r="M1531" s="15">
        <f>'[01_Entry.xlsx]Book'!M1531</f>
        <v>0.0</v>
      </c>
      <c r="P1531" s="56">
        <f>IF($A1531="","",IFERROR(VALUE(MID($A1531,6,2)),""))</f>
        <v/>
      </c>
    </row>
    <row r="1532" spans="1:16">
      <c r="G1532" s="15">
        <f>'[01_Entry.xlsx]Book'!G1532</f>
        <v>0.0</v>
      </c>
      <c r="H1532" s="15">
        <f>'[01_Entry.xlsx]Book'!H1532</f>
        <v>0.0</v>
      </c>
      <c r="I1532" s="15">
        <f>'[01_Entry.xlsx]Book'!I1532</f>
        <v>0.0</v>
      </c>
      <c r="K1532" s="15">
        <f>'[01_Entry.xlsx]Book'!K1532</f>
        <v>0.0</v>
      </c>
      <c r="L1532" s="15">
        <f>'[01_Entry.xlsx]Book'!L1532</f>
        <v>0.0</v>
      </c>
      <c r="M1532" s="15">
        <f>'[01_Entry.xlsx]Book'!M1532</f>
        <v>0.0</v>
      </c>
      <c r="P1532" s="56">
        <f>IF($A1532="","",IFERROR(VALUE(MID($A1532,6,2)),""))</f>
        <v/>
      </c>
    </row>
    <row r="1533" spans="1:16">
      <c r="G1533" s="15">
        <f>'[01_Entry.xlsx]Book'!G1533</f>
        <v>0.0</v>
      </c>
      <c r="H1533" s="15">
        <f>'[01_Entry.xlsx]Book'!H1533</f>
        <v>0.0</v>
      </c>
      <c r="I1533" s="15">
        <f>'[01_Entry.xlsx]Book'!I1533</f>
        <v>0.0</v>
      </c>
      <c r="K1533" s="15">
        <f>'[01_Entry.xlsx]Book'!K1533</f>
        <v>0.0</v>
      </c>
      <c r="L1533" s="15">
        <f>'[01_Entry.xlsx]Book'!L1533</f>
        <v>0.0</v>
      </c>
      <c r="M1533" s="15">
        <f>'[01_Entry.xlsx]Book'!M1533</f>
        <v>0.0</v>
      </c>
      <c r="P1533" s="56">
        <f>IF($A1533="","",IFERROR(VALUE(MID($A1533,6,2)),""))</f>
        <v/>
      </c>
    </row>
    <row r="1534" spans="1:16">
      <c r="G1534" s="15">
        <f>'[01_Entry.xlsx]Book'!G1534</f>
        <v>0.0</v>
      </c>
      <c r="H1534" s="15">
        <f>'[01_Entry.xlsx]Book'!H1534</f>
        <v>0.0</v>
      </c>
      <c r="I1534" s="15">
        <f>'[01_Entry.xlsx]Book'!I1534</f>
        <v>0.0</v>
      </c>
      <c r="K1534" s="15">
        <f>'[01_Entry.xlsx]Book'!K1534</f>
        <v>0.0</v>
      </c>
      <c r="L1534" s="15">
        <f>'[01_Entry.xlsx]Book'!L1534</f>
        <v>0.0</v>
      </c>
      <c r="M1534" s="15">
        <f>'[01_Entry.xlsx]Book'!M1534</f>
        <v>0.0</v>
      </c>
      <c r="P1534" s="56">
        <f>IF($A1534="","",IFERROR(VALUE(MID($A1534,6,2)),""))</f>
        <v/>
      </c>
    </row>
    <row r="1535" spans="1:16">
      <c r="G1535" s="15">
        <f>'[01_Entry.xlsx]Book'!G1535</f>
        <v>0.0</v>
      </c>
      <c r="H1535" s="15">
        <f>'[01_Entry.xlsx]Book'!H1535</f>
        <v>0.0</v>
      </c>
      <c r="I1535" s="15">
        <f>'[01_Entry.xlsx]Book'!I1535</f>
        <v>0.0</v>
      </c>
      <c r="K1535" s="15">
        <f>'[01_Entry.xlsx]Book'!K1535</f>
        <v>0.0</v>
      </c>
      <c r="L1535" s="15">
        <f>'[01_Entry.xlsx]Book'!L1535</f>
        <v>0.0</v>
      </c>
      <c r="M1535" s="15">
        <f>'[01_Entry.xlsx]Book'!M1535</f>
        <v>0.0</v>
      </c>
      <c r="P1535" s="56">
        <f>IF($A1535="","",IFERROR(VALUE(MID($A1535,6,2)),""))</f>
        <v/>
      </c>
    </row>
    <row r="1536" spans="1:16">
      <c r="G1536" s="15">
        <f>'[01_Entry.xlsx]Book'!G1536</f>
        <v>0.0</v>
      </c>
      <c r="H1536" s="15">
        <f>'[01_Entry.xlsx]Book'!H1536</f>
        <v>0.0</v>
      </c>
      <c r="I1536" s="15">
        <f>'[01_Entry.xlsx]Book'!I1536</f>
        <v>0.0</v>
      </c>
      <c r="K1536" s="15">
        <f>'[01_Entry.xlsx]Book'!K1536</f>
        <v>0.0</v>
      </c>
      <c r="L1536" s="15">
        <f>'[01_Entry.xlsx]Book'!L1536</f>
        <v>0.0</v>
      </c>
      <c r="M1536" s="15">
        <f>'[01_Entry.xlsx]Book'!M1536</f>
        <v>0.0</v>
      </c>
      <c r="P1536" s="56">
        <f>IF($A1536="","",IFERROR(VALUE(MID($A1536,6,2)),""))</f>
        <v/>
      </c>
    </row>
    <row r="1537" spans="7:16">
      <c r="G1537" s="15">
        <f>'[01_Entry.xlsx]Book'!G1537</f>
        <v>0.0</v>
      </c>
      <c r="H1537" s="15">
        <f>'[01_Entry.xlsx]Book'!H1537</f>
        <v>0.0</v>
      </c>
      <c r="I1537" s="15">
        <f>'[01_Entry.xlsx]Book'!I1537</f>
        <v>0.0</v>
      </c>
      <c r="K1537" s="15">
        <f>'[01_Entry.xlsx]Book'!K1537</f>
        <v>0.0</v>
      </c>
      <c r="L1537" s="15">
        <f>'[01_Entry.xlsx]Book'!L1537</f>
        <v>0.0</v>
      </c>
      <c r="M1537" s="15">
        <f>'[01_Entry.xlsx]Book'!M1537</f>
        <v>0.0</v>
      </c>
      <c r="P1537" s="56">
        <f>IF($A1537="","",IFERROR(VALUE(MID($A1537,6,2)),""))</f>
        <v/>
      </c>
    </row>
    <row r="1538" spans="7:16">
      <c r="G1538" s="15">
        <f>'[01_Entry.xlsx]Book'!G1538</f>
        <v>0.0</v>
      </c>
      <c r="H1538" s="15">
        <f>'[01_Entry.xlsx]Book'!H1538</f>
        <v>0.0</v>
      </c>
      <c r="I1538" s="15">
        <f>'[01_Entry.xlsx]Book'!I1538</f>
        <v>0.0</v>
      </c>
      <c r="K1538" s="15">
        <f>'[01_Entry.xlsx]Book'!K1538</f>
        <v>0.0</v>
      </c>
      <c r="L1538" s="15">
        <f>'[01_Entry.xlsx]Book'!L1538</f>
        <v>0.0</v>
      </c>
      <c r="M1538" s="15">
        <f>'[01_Entry.xlsx]Book'!M1538</f>
        <v>0.0</v>
      </c>
      <c r="P1538" s="56">
        <f>IF($A1538="","",IFERROR(VALUE(MID($A1538,6,2)),""))</f>
        <v/>
      </c>
    </row>
    <row r="1539" spans="7:16">
      <c r="G1539" s="15">
        <f>'[01_Entry.xlsx]Book'!G1539</f>
        <v>0.0</v>
      </c>
      <c r="H1539" s="15">
        <f>'[01_Entry.xlsx]Book'!H1539</f>
        <v>0.0</v>
      </c>
      <c r="I1539" s="15">
        <f>'[01_Entry.xlsx]Book'!I1539</f>
        <v>0.0</v>
      </c>
      <c r="K1539" s="15">
        <f>'[01_Entry.xlsx]Book'!K1539</f>
        <v>0.0</v>
      </c>
      <c r="L1539" s="15">
        <f>'[01_Entry.xlsx]Book'!L1539</f>
        <v>0.0</v>
      </c>
      <c r="M1539" s="15">
        <f>'[01_Entry.xlsx]Book'!M1539</f>
        <v>0.0</v>
      </c>
      <c r="P1539" s="56">
        <f>IF($A1539="","",IFERROR(VALUE(MID($A1539,6,2)),""))</f>
        <v/>
      </c>
    </row>
    <row r="1540" spans="7:16">
      <c r="G1540" s="15">
        <f>'[01_Entry.xlsx]Book'!G1540</f>
        <v>0.0</v>
      </c>
      <c r="H1540" s="15">
        <f>'[01_Entry.xlsx]Book'!H1540</f>
        <v>0.0</v>
      </c>
      <c r="I1540" s="15">
        <f>'[01_Entry.xlsx]Book'!I1540</f>
        <v>0.0</v>
      </c>
      <c r="K1540" s="15">
        <f>'[01_Entry.xlsx]Book'!K1540</f>
        <v>0.0</v>
      </c>
      <c r="L1540" s="15">
        <f>'[01_Entry.xlsx]Book'!L1540</f>
        <v>0.0</v>
      </c>
      <c r="M1540" s="15">
        <f>'[01_Entry.xlsx]Book'!M1540</f>
        <v>0.0</v>
      </c>
      <c r="P1540" s="56">
        <f>IF($A1540="","",IFERROR(VALUE(MID($A1540,6,2)),""))</f>
        <v/>
      </c>
    </row>
    <row r="1541" spans="7:16">
      <c r="G1541" s="15">
        <f>'[01_Entry.xlsx]Book'!G1541</f>
        <v>0.0</v>
      </c>
      <c r="H1541" s="15">
        <f>'[01_Entry.xlsx]Book'!H1541</f>
        <v>0.0</v>
      </c>
      <c r="I1541" s="15">
        <f>'[01_Entry.xlsx]Book'!I1541</f>
        <v>0.0</v>
      </c>
      <c r="K1541" s="15">
        <f>'[01_Entry.xlsx]Book'!K1541</f>
        <v>0.0</v>
      </c>
      <c r="L1541" s="15">
        <f>'[01_Entry.xlsx]Book'!L1541</f>
        <v>0.0</v>
      </c>
      <c r="M1541" s="15">
        <f>'[01_Entry.xlsx]Book'!M1541</f>
        <v>0.0</v>
      </c>
      <c r="P1541" s="56">
        <f>IF($A1541="","",IFERROR(VALUE(MID($A1541,6,2)),""))</f>
        <v/>
      </c>
    </row>
    <row r="1542" spans="7:16">
      <c r="G1542" s="15">
        <f>'[01_Entry.xlsx]Book'!G1542</f>
        <v>0.0</v>
      </c>
      <c r="H1542" s="15">
        <f>'[01_Entry.xlsx]Book'!H1542</f>
        <v>0.0</v>
      </c>
      <c r="I1542" s="15">
        <f>'[01_Entry.xlsx]Book'!I1542</f>
        <v>0.0</v>
      </c>
      <c r="K1542" s="15">
        <f>'[01_Entry.xlsx]Book'!K1542</f>
        <v>0.0</v>
      </c>
      <c r="L1542" s="15">
        <f>'[01_Entry.xlsx]Book'!L1542</f>
        <v>0.0</v>
      </c>
      <c r="M1542" s="15">
        <f>'[01_Entry.xlsx]Book'!M1542</f>
        <v>0.0</v>
      </c>
      <c r="P1542" s="56">
        <f>IF($A1542="","",IFERROR(VALUE(MID($A1542,6,2)),""))</f>
        <v/>
      </c>
    </row>
    <row r="1543" spans="7:16">
      <c r="G1543" s="15">
        <f>'[01_Entry.xlsx]Book'!G1543</f>
        <v>0.0</v>
      </c>
      <c r="H1543" s="15">
        <f>'[01_Entry.xlsx]Book'!H1543</f>
        <v>0.0</v>
      </c>
      <c r="I1543" s="15">
        <f>'[01_Entry.xlsx]Book'!I1543</f>
        <v>0.0</v>
      </c>
      <c r="K1543" s="15">
        <f>'[01_Entry.xlsx]Book'!K1543</f>
        <v>0.0</v>
      </c>
      <c r="L1543" s="15">
        <f>'[01_Entry.xlsx]Book'!L1543</f>
        <v>0.0</v>
      </c>
      <c r="M1543" s="15">
        <f>'[01_Entry.xlsx]Book'!M1543</f>
        <v>0.0</v>
      </c>
      <c r="P1543" s="56">
        <f>IF($A1543="","",IFERROR(VALUE(MID($A1543,6,2)),""))</f>
        <v/>
      </c>
    </row>
    <row r="1544" spans="7:16">
      <c r="G1544" s="15">
        <f>'[01_Entry.xlsx]Book'!G1544</f>
        <v>0.0</v>
      </c>
      <c r="H1544" s="15">
        <f>'[01_Entry.xlsx]Book'!H1544</f>
        <v>0.0</v>
      </c>
      <c r="I1544" s="15">
        <f>'[01_Entry.xlsx]Book'!I1544</f>
        <v>0.0</v>
      </c>
      <c r="K1544" s="15">
        <f>'[01_Entry.xlsx]Book'!K1544</f>
        <v>0.0</v>
      </c>
      <c r="L1544" s="15">
        <f>'[01_Entry.xlsx]Book'!L1544</f>
        <v>0.0</v>
      </c>
      <c r="M1544" s="15">
        <f>'[01_Entry.xlsx]Book'!M1544</f>
        <v>0.0</v>
      </c>
      <c r="P1544" s="56">
        <f>IF($A1544="","",IFERROR(VALUE(MID($A1544,6,2)),""))</f>
        <v/>
      </c>
    </row>
    <row r="1545" spans="7:16">
      <c r="G1545" s="15">
        <f>'[01_Entry.xlsx]Book'!G1545</f>
        <v>0.0</v>
      </c>
      <c r="H1545" s="15">
        <f>'[01_Entry.xlsx]Book'!H1545</f>
        <v>0.0</v>
      </c>
      <c r="I1545" s="15">
        <f>'[01_Entry.xlsx]Book'!I1545</f>
        <v>0.0</v>
      </c>
      <c r="K1545" s="15">
        <f>'[01_Entry.xlsx]Book'!K1545</f>
        <v>0.0</v>
      </c>
      <c r="L1545" s="15">
        <f>'[01_Entry.xlsx]Book'!L1545</f>
        <v>0.0</v>
      </c>
      <c r="M1545" s="15">
        <f>'[01_Entry.xlsx]Book'!M1545</f>
        <v>0.0</v>
      </c>
      <c r="P1545" s="56">
        <f>IF($A1545="","",IFERROR(VALUE(MID($A1545,6,2)),""))</f>
        <v/>
      </c>
    </row>
    <row r="1546" spans="7:16">
      <c r="G1546" s="15">
        <f>'[01_Entry.xlsx]Book'!G1546</f>
        <v>0.0</v>
      </c>
      <c r="H1546" s="15">
        <f>'[01_Entry.xlsx]Book'!H1546</f>
        <v>0.0</v>
      </c>
      <c r="I1546" s="15">
        <f>'[01_Entry.xlsx]Book'!I1546</f>
        <v>0.0</v>
      </c>
      <c r="K1546" s="15">
        <f>'[01_Entry.xlsx]Book'!K1546</f>
        <v>0.0</v>
      </c>
      <c r="L1546" s="15">
        <f>'[01_Entry.xlsx]Book'!L1546</f>
        <v>0.0</v>
      </c>
      <c r="M1546" s="15">
        <f>'[01_Entry.xlsx]Book'!M1546</f>
        <v>0.0</v>
      </c>
      <c r="P1546" s="56">
        <f>IF($A1546="","",IFERROR(VALUE(MID($A1546,6,2)),""))</f>
        <v/>
      </c>
    </row>
    <row r="1547" spans="7:16">
      <c r="G1547" s="15">
        <f>'[01_Entry.xlsx]Book'!G1547</f>
        <v>0.0</v>
      </c>
      <c r="H1547" s="15">
        <f>'[01_Entry.xlsx]Book'!H1547</f>
        <v>0.0</v>
      </c>
      <c r="I1547" s="15">
        <f>'[01_Entry.xlsx]Book'!I1547</f>
        <v>0.0</v>
      </c>
      <c r="K1547" s="15">
        <f>'[01_Entry.xlsx]Book'!K1547</f>
        <v>0.0</v>
      </c>
      <c r="L1547" s="15">
        <f>'[01_Entry.xlsx]Book'!L1547</f>
        <v>0.0</v>
      </c>
      <c r="M1547" s="15">
        <f>'[01_Entry.xlsx]Book'!M1547</f>
        <v>0.0</v>
      </c>
      <c r="P1547" s="56">
        <f>IF($A1547="","",IFERROR(VALUE(MID($A1547,6,2)),""))</f>
        <v/>
      </c>
    </row>
    <row r="1548" spans="7:16">
      <c r="G1548" s="15">
        <f>'[01_Entry.xlsx]Book'!G1548</f>
        <v>0.0</v>
      </c>
      <c r="H1548" s="15">
        <f>'[01_Entry.xlsx]Book'!H1548</f>
        <v>0.0</v>
      </c>
      <c r="I1548" s="15">
        <f>'[01_Entry.xlsx]Book'!I1548</f>
        <v>0.0</v>
      </c>
      <c r="K1548" s="15">
        <f>'[01_Entry.xlsx]Book'!K1548</f>
        <v>0.0</v>
      </c>
      <c r="L1548" s="15">
        <f>'[01_Entry.xlsx]Book'!L1548</f>
        <v>0.0</v>
      </c>
      <c r="M1548" s="15">
        <f>'[01_Entry.xlsx]Book'!M1548</f>
        <v>0.0</v>
      </c>
      <c r="P1548" s="56">
        <f>IF($A1548="","",IFERROR(VALUE(MID($A1548,6,2)),""))</f>
        <v/>
      </c>
    </row>
    <row r="1549" spans="7:16">
      <c r="G1549" s="15">
        <f>'[01_Entry.xlsx]Book'!G1549</f>
        <v>0.0</v>
      </c>
      <c r="H1549" s="15">
        <f>'[01_Entry.xlsx]Book'!H1549</f>
        <v>0.0</v>
      </c>
      <c r="I1549" s="15">
        <f>'[01_Entry.xlsx]Book'!I1549</f>
        <v>0.0</v>
      </c>
      <c r="K1549" s="15">
        <f>'[01_Entry.xlsx]Book'!K1549</f>
        <v>0.0</v>
      </c>
      <c r="L1549" s="15">
        <f>'[01_Entry.xlsx]Book'!L1549</f>
        <v>0.0</v>
      </c>
      <c r="M1549" s="15">
        <f>'[01_Entry.xlsx]Book'!M1549</f>
        <v>0.0</v>
      </c>
      <c r="P1549" s="56">
        <f>IF($A1549="","",IFERROR(VALUE(MID($A1549,6,2)),""))</f>
        <v/>
      </c>
    </row>
    <row r="1550" spans="7:16">
      <c r="G1550" s="15">
        <f>'[01_Entry.xlsx]Book'!G1550</f>
        <v>0.0</v>
      </c>
      <c r="H1550" s="15">
        <f>'[01_Entry.xlsx]Book'!H1550</f>
        <v>0.0</v>
      </c>
      <c r="I1550" s="15">
        <f>'[01_Entry.xlsx]Book'!I1550</f>
        <v>0.0</v>
      </c>
      <c r="K1550" s="15">
        <f>'[01_Entry.xlsx]Book'!K1550</f>
        <v>0.0</v>
      </c>
      <c r="L1550" s="15">
        <f>'[01_Entry.xlsx]Book'!L1550</f>
        <v>0.0</v>
      </c>
      <c r="M1550" s="15">
        <f>'[01_Entry.xlsx]Book'!M1550</f>
        <v>0.0</v>
      </c>
      <c r="P1550" s="56">
        <f>IF($A1550="","",IFERROR(VALUE(MID($A1550,6,2)),""))</f>
        <v/>
      </c>
    </row>
    <row r="1551" spans="7:16">
      <c r="G1551" s="15">
        <f>'[01_Entry.xlsx]Book'!G1551</f>
        <v>0.0</v>
      </c>
      <c r="H1551" s="15">
        <f>'[01_Entry.xlsx]Book'!H1551</f>
        <v>0.0</v>
      </c>
      <c r="I1551" s="15">
        <f>'[01_Entry.xlsx]Book'!I1551</f>
        <v>0.0</v>
      </c>
      <c r="K1551" s="15">
        <f>'[01_Entry.xlsx]Book'!K1551</f>
        <v>0.0</v>
      </c>
      <c r="L1551" s="15">
        <f>'[01_Entry.xlsx]Book'!L1551</f>
        <v>0.0</v>
      </c>
      <c r="M1551" s="15">
        <f>'[01_Entry.xlsx]Book'!M1551</f>
        <v>0.0</v>
      </c>
      <c r="P1551" s="56">
        <f>IF($A1551="","",IFERROR(VALUE(MID($A1551,6,2)),""))</f>
        <v/>
      </c>
    </row>
    <row r="1552" spans="7:16">
      <c r="G1552" s="15">
        <f>'[01_Entry.xlsx]Book'!G1552</f>
        <v>0.0</v>
      </c>
      <c r="H1552" s="15">
        <f>'[01_Entry.xlsx]Book'!H1552</f>
        <v>0.0</v>
      </c>
      <c r="I1552" s="15">
        <f>'[01_Entry.xlsx]Book'!I1552</f>
        <v>0.0</v>
      </c>
      <c r="K1552" s="15">
        <f>'[01_Entry.xlsx]Book'!K1552</f>
        <v>0.0</v>
      </c>
      <c r="L1552" s="15">
        <f>'[01_Entry.xlsx]Book'!L1552</f>
        <v>0.0</v>
      </c>
      <c r="M1552" s="15">
        <f>'[01_Entry.xlsx]Book'!M1552</f>
        <v>0.0</v>
      </c>
      <c r="P1552" s="56">
        <f>IF($A1552="","",IFERROR(VALUE(MID($A1552,6,2)),""))</f>
        <v/>
      </c>
    </row>
    <row r="1553" spans="7:16">
      <c r="G1553" s="15">
        <f>'[01_Entry.xlsx]Book'!G1553</f>
        <v>0.0</v>
      </c>
      <c r="H1553" s="15">
        <f>'[01_Entry.xlsx]Book'!H1553</f>
        <v>0.0</v>
      </c>
      <c r="I1553" s="15">
        <f>'[01_Entry.xlsx]Book'!I1553</f>
        <v>0.0</v>
      </c>
      <c r="K1553" s="15">
        <f>'[01_Entry.xlsx]Book'!K1553</f>
        <v>0.0</v>
      </c>
      <c r="L1553" s="15">
        <f>'[01_Entry.xlsx]Book'!L1553</f>
        <v>0.0</v>
      </c>
      <c r="M1553" s="15">
        <f>'[01_Entry.xlsx]Book'!M1553</f>
        <v>0.0</v>
      </c>
      <c r="P1553" s="56">
        <f>IF($A1553="","",IFERROR(VALUE(MID($A1553,6,2)),""))</f>
        <v/>
      </c>
    </row>
    <row r="1554" spans="7:16">
      <c r="G1554" s="15">
        <f>'[01_Entry.xlsx]Book'!G1554</f>
        <v>0.0</v>
      </c>
      <c r="H1554" s="15">
        <f>'[01_Entry.xlsx]Book'!H1554</f>
        <v>0.0</v>
      </c>
      <c r="I1554" s="15">
        <f>'[01_Entry.xlsx]Book'!I1554</f>
        <v>0.0</v>
      </c>
      <c r="K1554" s="15">
        <f>'[01_Entry.xlsx]Book'!K1554</f>
        <v>0.0</v>
      </c>
      <c r="L1554" s="15">
        <f>'[01_Entry.xlsx]Book'!L1554</f>
        <v>0.0</v>
      </c>
      <c r="M1554" s="15">
        <f>'[01_Entry.xlsx]Book'!M1554</f>
        <v>0.0</v>
      </c>
      <c r="P1554" s="56">
        <f>IF($A1554="","",IFERROR(VALUE(MID($A1554,6,2)),""))</f>
        <v/>
      </c>
    </row>
    <row r="1555" spans="7:16">
      <c r="G1555" s="15">
        <f>'[01_Entry.xlsx]Book'!G1555</f>
        <v>0.0</v>
      </c>
      <c r="H1555" s="15">
        <f>'[01_Entry.xlsx]Book'!H1555</f>
        <v>0.0</v>
      </c>
      <c r="I1555" s="15">
        <f>'[01_Entry.xlsx]Book'!I1555</f>
        <v>0.0</v>
      </c>
      <c r="K1555" s="15">
        <f>'[01_Entry.xlsx]Book'!K1555</f>
        <v>0.0</v>
      </c>
      <c r="L1555" s="15">
        <f>'[01_Entry.xlsx]Book'!L1555</f>
        <v>0.0</v>
      </c>
      <c r="M1555" s="15">
        <f>'[01_Entry.xlsx]Book'!M1555</f>
        <v>0.0</v>
      </c>
      <c r="P1555" s="56">
        <f>IF($A1555="","",IFERROR(VALUE(MID($A1555,6,2)),""))</f>
        <v/>
      </c>
    </row>
    <row r="1556" spans="7:16">
      <c r="G1556" s="15">
        <f>'[01_Entry.xlsx]Book'!G1556</f>
        <v>0.0</v>
      </c>
      <c r="H1556" s="15">
        <f>'[01_Entry.xlsx]Book'!H1556</f>
        <v>0.0</v>
      </c>
      <c r="I1556" s="15">
        <f>'[01_Entry.xlsx]Book'!I1556</f>
        <v>0.0</v>
      </c>
      <c r="K1556" s="15">
        <f>'[01_Entry.xlsx]Book'!K1556</f>
        <v>0.0</v>
      </c>
      <c r="L1556" s="15">
        <f>'[01_Entry.xlsx]Book'!L1556</f>
        <v>0.0</v>
      </c>
      <c r="M1556" s="15">
        <f>'[01_Entry.xlsx]Book'!M1556</f>
        <v>0.0</v>
      </c>
      <c r="P1556" s="56">
        <f>IF($A1556="","",IFERROR(VALUE(MID($A1556,6,2)),""))</f>
        <v/>
      </c>
    </row>
    <row r="1557" spans="7:16">
      <c r="G1557" s="15">
        <f>'[01_Entry.xlsx]Book'!G1557</f>
        <v>0.0</v>
      </c>
      <c r="H1557" s="15">
        <f>'[01_Entry.xlsx]Book'!H1557</f>
        <v>0.0</v>
      </c>
      <c r="I1557" s="15">
        <f>'[01_Entry.xlsx]Book'!I1557</f>
        <v>0.0</v>
      </c>
      <c r="K1557" s="15">
        <f>'[01_Entry.xlsx]Book'!K1557</f>
        <v>0.0</v>
      </c>
      <c r="L1557" s="15">
        <f>'[01_Entry.xlsx]Book'!L1557</f>
        <v>0.0</v>
      </c>
      <c r="M1557" s="15">
        <f>'[01_Entry.xlsx]Book'!M1557</f>
        <v>0.0</v>
      </c>
      <c r="P1557" s="56">
        <f>IF($A1557="","",IFERROR(VALUE(MID($A1557,6,2)),""))</f>
        <v/>
      </c>
    </row>
    <row r="1558" spans="7:16">
      <c r="G1558" s="15">
        <f>'[01_Entry.xlsx]Book'!G1558</f>
        <v>0.0</v>
      </c>
      <c r="H1558" s="15">
        <f>'[01_Entry.xlsx]Book'!H1558</f>
        <v>0.0</v>
      </c>
      <c r="I1558" s="15">
        <f>'[01_Entry.xlsx]Book'!I1558</f>
        <v>0.0</v>
      </c>
      <c r="K1558" s="15">
        <f>'[01_Entry.xlsx]Book'!K1558</f>
        <v>0.0</v>
      </c>
      <c r="L1558" s="15">
        <f>'[01_Entry.xlsx]Book'!L1558</f>
        <v>0.0</v>
      </c>
      <c r="M1558" s="15">
        <f>'[01_Entry.xlsx]Book'!M1558</f>
        <v>0.0</v>
      </c>
      <c r="P1558" s="56">
        <f>IF($A1558="","",IFERROR(VALUE(MID($A1558,6,2)),""))</f>
        <v/>
      </c>
    </row>
    <row r="1559" spans="7:16">
      <c r="G1559" s="15">
        <f>'[01_Entry.xlsx]Book'!G1559</f>
        <v>0.0</v>
      </c>
      <c r="H1559" s="15">
        <f>'[01_Entry.xlsx]Book'!H1559</f>
        <v>0.0</v>
      </c>
      <c r="I1559" s="15">
        <f>'[01_Entry.xlsx]Book'!I1559</f>
        <v>0.0</v>
      </c>
      <c r="K1559" s="15">
        <f>'[01_Entry.xlsx]Book'!K1559</f>
        <v>0.0</v>
      </c>
      <c r="L1559" s="15">
        <f>'[01_Entry.xlsx]Book'!L1559</f>
        <v>0.0</v>
      </c>
      <c r="M1559" s="15">
        <f>'[01_Entry.xlsx]Book'!M1559</f>
        <v>0.0</v>
      </c>
      <c r="P1559" s="56">
        <f>IF($A1559="","",IFERROR(VALUE(MID($A1559,6,2)),""))</f>
        <v/>
      </c>
    </row>
    <row r="1560" spans="7:16">
      <c r="G1560" s="15">
        <f>'[01_Entry.xlsx]Book'!G1560</f>
        <v>0.0</v>
      </c>
      <c r="H1560" s="15">
        <f>'[01_Entry.xlsx]Book'!H1560</f>
        <v>0.0</v>
      </c>
      <c r="I1560" s="15">
        <f>'[01_Entry.xlsx]Book'!I1560</f>
        <v>0.0</v>
      </c>
      <c r="K1560" s="15">
        <f>'[01_Entry.xlsx]Book'!K1560</f>
        <v>0.0</v>
      </c>
      <c r="L1560" s="15">
        <f>'[01_Entry.xlsx]Book'!L1560</f>
        <v>0.0</v>
      </c>
      <c r="M1560" s="15">
        <f>'[01_Entry.xlsx]Book'!M1560</f>
        <v>0.0</v>
      </c>
      <c r="P1560" s="56">
        <f>IF($A1560="","",IFERROR(VALUE(MID($A1560,6,2)),""))</f>
        <v/>
      </c>
    </row>
    <row r="1561" spans="7:16">
      <c r="G1561" s="15">
        <f>'[01_Entry.xlsx]Book'!G1561</f>
        <v>0.0</v>
      </c>
      <c r="H1561" s="15">
        <f>'[01_Entry.xlsx]Book'!H1561</f>
        <v>0.0</v>
      </c>
      <c r="I1561" s="15">
        <f>'[01_Entry.xlsx]Book'!I1561</f>
        <v>0.0</v>
      </c>
      <c r="K1561" s="15">
        <f>'[01_Entry.xlsx]Book'!K1561</f>
        <v>0.0</v>
      </c>
      <c r="L1561" s="15">
        <f>'[01_Entry.xlsx]Book'!L1561</f>
        <v>0.0</v>
      </c>
      <c r="M1561" s="15">
        <f>'[01_Entry.xlsx]Book'!M1561</f>
        <v>0.0</v>
      </c>
      <c r="P1561" s="56">
        <f>IF($A1561="","",IFERROR(VALUE(MID($A1561,6,2)),""))</f>
        <v/>
      </c>
    </row>
    <row r="1562" spans="7:16">
      <c r="G1562" s="15">
        <f>'[01_Entry.xlsx]Book'!G1562</f>
        <v>0.0</v>
      </c>
      <c r="H1562" s="15">
        <f>'[01_Entry.xlsx]Book'!H1562</f>
        <v>0.0</v>
      </c>
      <c r="I1562" s="15">
        <f>'[01_Entry.xlsx]Book'!I1562</f>
        <v>0.0</v>
      </c>
      <c r="K1562" s="15">
        <f>'[01_Entry.xlsx]Book'!K1562</f>
        <v>0.0</v>
      </c>
      <c r="L1562" s="15">
        <f>'[01_Entry.xlsx]Book'!L1562</f>
        <v>0.0</v>
      </c>
      <c r="M1562" s="15">
        <f>'[01_Entry.xlsx]Book'!M1562</f>
        <v>0.0</v>
      </c>
      <c r="P1562" s="56">
        <f>IF($A1562="","",IFERROR(VALUE(MID($A1562,6,2)),""))</f>
        <v/>
      </c>
    </row>
    <row r="1563" spans="7:16">
      <c r="G1563" s="15">
        <f>'[01_Entry.xlsx]Book'!G1563</f>
        <v>0.0</v>
      </c>
      <c r="H1563" s="15">
        <f>'[01_Entry.xlsx]Book'!H1563</f>
        <v>0.0</v>
      </c>
      <c r="I1563" s="15">
        <f>'[01_Entry.xlsx]Book'!I1563</f>
        <v>0.0</v>
      </c>
      <c r="K1563" s="15">
        <f>'[01_Entry.xlsx]Book'!K1563</f>
        <v>0.0</v>
      </c>
      <c r="L1563" s="15">
        <f>'[01_Entry.xlsx]Book'!L1563</f>
        <v>0.0</v>
      </c>
      <c r="M1563" s="15">
        <f>'[01_Entry.xlsx]Book'!M1563</f>
        <v>0.0</v>
      </c>
      <c r="P1563" s="56">
        <f>IF($A1563="","",IFERROR(VALUE(MID($A1563,6,2)),""))</f>
        <v/>
      </c>
    </row>
    <row r="1564" spans="7:16">
      <c r="G1564" s="15">
        <f>'[01_Entry.xlsx]Book'!G1564</f>
        <v>0.0</v>
      </c>
      <c r="H1564" s="15">
        <f>'[01_Entry.xlsx]Book'!H1564</f>
        <v>0.0</v>
      </c>
      <c r="I1564" s="15">
        <f>'[01_Entry.xlsx]Book'!I1564</f>
        <v>0.0</v>
      </c>
      <c r="K1564" s="15">
        <f>'[01_Entry.xlsx]Book'!K1564</f>
        <v>0.0</v>
      </c>
      <c r="L1564" s="15">
        <f>'[01_Entry.xlsx]Book'!L1564</f>
        <v>0.0</v>
      </c>
      <c r="M1564" s="15">
        <f>'[01_Entry.xlsx]Book'!M1564</f>
        <v>0.0</v>
      </c>
      <c r="P1564" s="56">
        <f>IF($A1564="","",IFERROR(VALUE(MID($A1564,6,2)),""))</f>
        <v/>
      </c>
    </row>
    <row r="1565" spans="7:16">
      <c r="G1565" s="15">
        <f>'[01_Entry.xlsx]Book'!G1565</f>
        <v>0.0</v>
      </c>
      <c r="H1565" s="15">
        <f>'[01_Entry.xlsx]Book'!H1565</f>
        <v>0.0</v>
      </c>
      <c r="I1565" s="15">
        <f>'[01_Entry.xlsx]Book'!I1565</f>
        <v>0.0</v>
      </c>
      <c r="K1565" s="15">
        <f>'[01_Entry.xlsx]Book'!K1565</f>
        <v>0.0</v>
      </c>
      <c r="L1565" s="15">
        <f>'[01_Entry.xlsx]Book'!L1565</f>
        <v>0.0</v>
      </c>
      <c r="M1565" s="15">
        <f>'[01_Entry.xlsx]Book'!M1565</f>
        <v>0.0</v>
      </c>
      <c r="P1565" s="56">
        <f>IF($A1565="","",IFERROR(VALUE(MID($A1565,6,2)),""))</f>
        <v/>
      </c>
    </row>
    <row r="1566" spans="7:16">
      <c r="G1566" s="15">
        <f>'[01_Entry.xlsx]Book'!G1566</f>
        <v>0.0</v>
      </c>
      <c r="H1566" s="15">
        <f>'[01_Entry.xlsx]Book'!H1566</f>
        <v>0.0</v>
      </c>
      <c r="I1566" s="15">
        <f>'[01_Entry.xlsx]Book'!I1566</f>
        <v>0.0</v>
      </c>
      <c r="K1566" s="15">
        <f>'[01_Entry.xlsx]Book'!K1566</f>
        <v>0.0</v>
      </c>
      <c r="L1566" s="15">
        <f>'[01_Entry.xlsx]Book'!L1566</f>
        <v>0.0</v>
      </c>
      <c r="M1566" s="15">
        <f>'[01_Entry.xlsx]Book'!M1566</f>
        <v>0.0</v>
      </c>
      <c r="P1566" s="56">
        <f>IF($A1566="","",IFERROR(VALUE(MID($A1566,6,2)),""))</f>
        <v/>
      </c>
    </row>
    <row r="1567" spans="7:16">
      <c r="G1567" s="15">
        <f>'[01_Entry.xlsx]Book'!G1567</f>
        <v>0.0</v>
      </c>
      <c r="H1567" s="15">
        <f>'[01_Entry.xlsx]Book'!H1567</f>
        <v>0.0</v>
      </c>
      <c r="I1567" s="15">
        <f>'[01_Entry.xlsx]Book'!I1567</f>
        <v>0.0</v>
      </c>
      <c r="K1567" s="15">
        <f>'[01_Entry.xlsx]Book'!K1567</f>
        <v>0.0</v>
      </c>
      <c r="L1567" s="15">
        <f>'[01_Entry.xlsx]Book'!L1567</f>
        <v>0.0</v>
      </c>
      <c r="M1567" s="15">
        <f>'[01_Entry.xlsx]Book'!M1567</f>
        <v>0.0</v>
      </c>
      <c r="P1567" s="56">
        <f>IF($A1567="","",IFERROR(VALUE(MID($A1567,6,2)),""))</f>
        <v/>
      </c>
    </row>
    <row r="1568" spans="7:16">
      <c r="G1568" s="15">
        <f>'[01_Entry.xlsx]Book'!G1568</f>
        <v>0.0</v>
      </c>
      <c r="H1568" s="15">
        <f>'[01_Entry.xlsx]Book'!H1568</f>
        <v>0.0</v>
      </c>
      <c r="I1568" s="15">
        <f>'[01_Entry.xlsx]Book'!I1568</f>
        <v>0.0</v>
      </c>
      <c r="K1568" s="15">
        <f>'[01_Entry.xlsx]Book'!K1568</f>
        <v>0.0</v>
      </c>
      <c r="L1568" s="15">
        <f>'[01_Entry.xlsx]Book'!L1568</f>
        <v>0.0</v>
      </c>
      <c r="M1568" s="15">
        <f>'[01_Entry.xlsx]Book'!M1568</f>
        <v>0.0</v>
      </c>
      <c r="P1568" s="56">
        <f>IF($A1568="","",IFERROR(VALUE(MID($A1568,6,2)),""))</f>
        <v/>
      </c>
    </row>
    <row r="1569" spans="7:16">
      <c r="G1569" s="15">
        <f>'[01_Entry.xlsx]Book'!G1569</f>
        <v>0.0</v>
      </c>
      <c r="H1569" s="15">
        <f>'[01_Entry.xlsx]Book'!H1569</f>
        <v>0.0</v>
      </c>
      <c r="I1569" s="15">
        <f>'[01_Entry.xlsx]Book'!I1569</f>
        <v>0.0</v>
      </c>
      <c r="K1569" s="15">
        <f>'[01_Entry.xlsx]Book'!K1569</f>
        <v>0.0</v>
      </c>
      <c r="L1569" s="15">
        <f>'[01_Entry.xlsx]Book'!L1569</f>
        <v>0.0</v>
      </c>
      <c r="M1569" s="15">
        <f>'[01_Entry.xlsx]Book'!M1569</f>
        <v>0.0</v>
      </c>
      <c r="P1569" s="56">
        <f>IF($A1569="","",IFERROR(VALUE(MID($A1569,6,2)),""))</f>
        <v/>
      </c>
    </row>
    <row r="1570" spans="7:16">
      <c r="G1570" s="15">
        <f>'[01_Entry.xlsx]Book'!G1570</f>
        <v>0.0</v>
      </c>
      <c r="H1570" s="15">
        <f>'[01_Entry.xlsx]Book'!H1570</f>
        <v>0.0</v>
      </c>
      <c r="I1570" s="15">
        <f>'[01_Entry.xlsx]Book'!I1570</f>
        <v>0.0</v>
      </c>
      <c r="K1570" s="15">
        <f>'[01_Entry.xlsx]Book'!K1570</f>
        <v>0.0</v>
      </c>
      <c r="L1570" s="15">
        <f>'[01_Entry.xlsx]Book'!L1570</f>
        <v>0.0</v>
      </c>
      <c r="M1570" s="15">
        <f>'[01_Entry.xlsx]Book'!M1570</f>
        <v>0.0</v>
      </c>
      <c r="P1570" s="56">
        <f>IF($A1570="","",IFERROR(VALUE(MID($A1570,6,2)),""))</f>
        <v/>
      </c>
    </row>
    <row r="1571" spans="7:16">
      <c r="G1571" s="15">
        <f>'[01_Entry.xlsx]Book'!G1571</f>
        <v>0.0</v>
      </c>
      <c r="H1571" s="15">
        <f>'[01_Entry.xlsx]Book'!H1571</f>
        <v>0.0</v>
      </c>
      <c r="I1571" s="15">
        <f>'[01_Entry.xlsx]Book'!I1571</f>
        <v>0.0</v>
      </c>
      <c r="K1571" s="15">
        <f>'[01_Entry.xlsx]Book'!K1571</f>
        <v>0.0</v>
      </c>
      <c r="L1571" s="15">
        <f>'[01_Entry.xlsx]Book'!L1571</f>
        <v>0.0</v>
      </c>
      <c r="M1571" s="15">
        <f>'[01_Entry.xlsx]Book'!M1571</f>
        <v>0.0</v>
      </c>
      <c r="P1571" s="56">
        <f>IF($A1571="","",IFERROR(VALUE(MID($A1571,6,2)),""))</f>
        <v/>
      </c>
    </row>
    <row r="1572" spans="7:16">
      <c r="G1572" s="15">
        <f>'[01_Entry.xlsx]Book'!G1572</f>
        <v>0.0</v>
      </c>
      <c r="H1572" s="15">
        <f>'[01_Entry.xlsx]Book'!H1572</f>
        <v>0.0</v>
      </c>
      <c r="I1572" s="15">
        <f>'[01_Entry.xlsx]Book'!I1572</f>
        <v>0.0</v>
      </c>
      <c r="K1572" s="15">
        <f>'[01_Entry.xlsx]Book'!K1572</f>
        <v>0.0</v>
      </c>
      <c r="L1572" s="15">
        <f>'[01_Entry.xlsx]Book'!L1572</f>
        <v>0.0</v>
      </c>
      <c r="M1572" s="15">
        <f>'[01_Entry.xlsx]Book'!M1572</f>
        <v>0.0</v>
      </c>
      <c r="P1572" s="56">
        <f>IF($A1572="","",IFERROR(VALUE(MID($A1572,6,2)),""))</f>
        <v/>
      </c>
    </row>
    <row r="1573" spans="7:16">
      <c r="G1573" s="15">
        <f>'[01_Entry.xlsx]Book'!G1573</f>
        <v>0.0</v>
      </c>
      <c r="H1573" s="15">
        <f>'[01_Entry.xlsx]Book'!H1573</f>
        <v>0.0</v>
      </c>
      <c r="I1573" s="15">
        <f>'[01_Entry.xlsx]Book'!I1573</f>
        <v>0.0</v>
      </c>
      <c r="K1573" s="15">
        <f>'[01_Entry.xlsx]Book'!K1573</f>
        <v>0.0</v>
      </c>
      <c r="L1573" s="15">
        <f>'[01_Entry.xlsx]Book'!L1573</f>
        <v>0.0</v>
      </c>
      <c r="M1573" s="15">
        <f>'[01_Entry.xlsx]Book'!M1573</f>
        <v>0.0</v>
      </c>
      <c r="P1573" s="56">
        <f>IF($A1573="","",IFERROR(VALUE(MID($A1573,6,2)),""))</f>
        <v/>
      </c>
    </row>
    <row r="1574" spans="7:16">
      <c r="G1574" s="15">
        <f>'[01_Entry.xlsx]Book'!G1574</f>
        <v>0.0</v>
      </c>
      <c r="H1574" s="15">
        <f>'[01_Entry.xlsx]Book'!H1574</f>
        <v>0.0</v>
      </c>
      <c r="I1574" s="15">
        <f>'[01_Entry.xlsx]Book'!I1574</f>
        <v>0.0</v>
      </c>
      <c r="K1574" s="15">
        <f>'[01_Entry.xlsx]Book'!K1574</f>
        <v>0.0</v>
      </c>
      <c r="L1574" s="15">
        <f>'[01_Entry.xlsx]Book'!L1574</f>
        <v>0.0</v>
      </c>
      <c r="M1574" s="15">
        <f>'[01_Entry.xlsx]Book'!M1574</f>
        <v>0.0</v>
      </c>
      <c r="P1574" s="56">
        <f>IF($A1574="","",IFERROR(VALUE(MID($A1574,6,2)),""))</f>
        <v/>
      </c>
    </row>
    <row r="1575" spans="7:16">
      <c r="G1575" s="15">
        <f>'[01_Entry.xlsx]Book'!G1575</f>
        <v>0.0</v>
      </c>
      <c r="H1575" s="15">
        <f>'[01_Entry.xlsx]Book'!H1575</f>
        <v>0.0</v>
      </c>
      <c r="I1575" s="15">
        <f>'[01_Entry.xlsx]Book'!I1575</f>
        <v>0.0</v>
      </c>
      <c r="K1575" s="15">
        <f>'[01_Entry.xlsx]Book'!K1575</f>
        <v>0.0</v>
      </c>
      <c r="L1575" s="15">
        <f>'[01_Entry.xlsx]Book'!L1575</f>
        <v>0.0</v>
      </c>
      <c r="M1575" s="15">
        <f>'[01_Entry.xlsx]Book'!M1575</f>
        <v>0.0</v>
      </c>
      <c r="P1575" s="56">
        <f>IF($A1575="","",IFERROR(VALUE(MID($A1575,6,2)),""))</f>
        <v/>
      </c>
    </row>
    <row r="1576" spans="7:16">
      <c r="G1576" s="15">
        <f>'[01_Entry.xlsx]Book'!G1576</f>
        <v>0.0</v>
      </c>
      <c r="H1576" s="15">
        <f>'[01_Entry.xlsx]Book'!H1576</f>
        <v>0.0</v>
      </c>
      <c r="I1576" s="15">
        <f>'[01_Entry.xlsx]Book'!I1576</f>
        <v>0.0</v>
      </c>
      <c r="K1576" s="15">
        <f>'[01_Entry.xlsx]Book'!K1576</f>
        <v>0.0</v>
      </c>
      <c r="L1576" s="15">
        <f>'[01_Entry.xlsx]Book'!L1576</f>
        <v>0.0</v>
      </c>
      <c r="M1576" s="15">
        <f>'[01_Entry.xlsx]Book'!M1576</f>
        <v>0.0</v>
      </c>
      <c r="P1576" s="56">
        <f>IF($A1576="","",IFERROR(VALUE(MID($A1576,6,2)),""))</f>
        <v/>
      </c>
    </row>
    <row r="1577" spans="7:16">
      <c r="G1577" s="15">
        <f>'[01_Entry.xlsx]Book'!G1577</f>
        <v>0.0</v>
      </c>
      <c r="H1577" s="15">
        <f>'[01_Entry.xlsx]Book'!H1577</f>
        <v>0.0</v>
      </c>
      <c r="I1577" s="15">
        <f>'[01_Entry.xlsx]Book'!I1577</f>
        <v>0.0</v>
      </c>
      <c r="K1577" s="15">
        <f>'[01_Entry.xlsx]Book'!K1577</f>
        <v>0.0</v>
      </c>
      <c r="L1577" s="15">
        <f>'[01_Entry.xlsx]Book'!L1577</f>
        <v>0.0</v>
      </c>
      <c r="M1577" s="15">
        <f>'[01_Entry.xlsx]Book'!M1577</f>
        <v>0.0</v>
      </c>
      <c r="P1577" s="56">
        <f>IF($A1577="","",IFERROR(VALUE(MID($A1577,6,2)),""))</f>
        <v/>
      </c>
    </row>
    <row r="1578" spans="7:16">
      <c r="G1578" s="15">
        <f>'[01_Entry.xlsx]Book'!G1578</f>
        <v>0.0</v>
      </c>
      <c r="H1578" s="15">
        <f>'[01_Entry.xlsx]Book'!H1578</f>
        <v>0.0</v>
      </c>
      <c r="I1578" s="15">
        <f>'[01_Entry.xlsx]Book'!I1578</f>
        <v>0.0</v>
      </c>
      <c r="K1578" s="15">
        <f>'[01_Entry.xlsx]Book'!K1578</f>
        <v>0.0</v>
      </c>
      <c r="L1578" s="15">
        <f>'[01_Entry.xlsx]Book'!L1578</f>
        <v>0.0</v>
      </c>
      <c r="M1578" s="15">
        <f>'[01_Entry.xlsx]Book'!M1578</f>
        <v>0.0</v>
      </c>
      <c r="P1578" s="56">
        <f>IF($A1578="","",IFERROR(VALUE(MID($A1578,6,2)),""))</f>
        <v/>
      </c>
    </row>
    <row r="1579" spans="7:16">
      <c r="G1579" s="15">
        <f>'[01_Entry.xlsx]Book'!G1579</f>
        <v>0.0</v>
      </c>
      <c r="H1579" s="15">
        <f>'[01_Entry.xlsx]Book'!H1579</f>
        <v>0.0</v>
      </c>
      <c r="I1579" s="15">
        <f>'[01_Entry.xlsx]Book'!I1579</f>
        <v>0.0</v>
      </c>
      <c r="K1579" s="15">
        <f>'[01_Entry.xlsx]Book'!K1579</f>
        <v>0.0</v>
      </c>
      <c r="L1579" s="15">
        <f>'[01_Entry.xlsx]Book'!L1579</f>
        <v>0.0</v>
      </c>
      <c r="M1579" s="15">
        <f>'[01_Entry.xlsx]Book'!M1579</f>
        <v>0.0</v>
      </c>
      <c r="P1579" s="56">
        <f>IF($A1579="","",IFERROR(VALUE(MID($A1579,6,2)),""))</f>
        <v/>
      </c>
    </row>
    <row r="1580" spans="7:16">
      <c r="G1580" s="15">
        <f>'[01_Entry.xlsx]Book'!G1580</f>
        <v>0.0</v>
      </c>
      <c r="H1580" s="15">
        <f>'[01_Entry.xlsx]Book'!H1580</f>
        <v>0.0</v>
      </c>
      <c r="I1580" s="15">
        <f>'[01_Entry.xlsx]Book'!I1580</f>
        <v>0.0</v>
      </c>
      <c r="K1580" s="15">
        <f>'[01_Entry.xlsx]Book'!K1580</f>
        <v>0.0</v>
      </c>
      <c r="L1580" s="15">
        <f>'[01_Entry.xlsx]Book'!L1580</f>
        <v>0.0</v>
      </c>
      <c r="M1580" s="15">
        <f>'[01_Entry.xlsx]Book'!M1580</f>
        <v>0.0</v>
      </c>
      <c r="P1580" s="56">
        <f>IF($A1580="","",IFERROR(VALUE(MID($A1580,6,2)),""))</f>
        <v/>
      </c>
    </row>
    <row r="1581" spans="7:16">
      <c r="G1581" s="15">
        <f>'[01_Entry.xlsx]Book'!G1581</f>
        <v>0.0</v>
      </c>
      <c r="H1581" s="15">
        <f>'[01_Entry.xlsx]Book'!H1581</f>
        <v>0.0</v>
      </c>
      <c r="I1581" s="15">
        <f>'[01_Entry.xlsx]Book'!I1581</f>
        <v>0.0</v>
      </c>
      <c r="K1581" s="15">
        <f>'[01_Entry.xlsx]Book'!K1581</f>
        <v>0.0</v>
      </c>
      <c r="L1581" s="15">
        <f>'[01_Entry.xlsx]Book'!L1581</f>
        <v>0.0</v>
      </c>
      <c r="M1581" s="15">
        <f>'[01_Entry.xlsx]Book'!M1581</f>
        <v>0.0</v>
      </c>
      <c r="P1581" s="56">
        <f>IF($A1581="","",IFERROR(VALUE(MID($A1581,6,2)),""))</f>
        <v/>
      </c>
    </row>
    <row r="1582" spans="7:16">
      <c r="G1582" s="15">
        <f>'[01_Entry.xlsx]Book'!G1582</f>
        <v>0.0</v>
      </c>
      <c r="H1582" s="15">
        <f>'[01_Entry.xlsx]Book'!H1582</f>
        <v>0.0</v>
      </c>
      <c r="I1582" s="15">
        <f>'[01_Entry.xlsx]Book'!I1582</f>
        <v>0.0</v>
      </c>
      <c r="K1582" s="15">
        <f>'[01_Entry.xlsx]Book'!K1582</f>
        <v>0.0</v>
      </c>
      <c r="L1582" s="15">
        <f>'[01_Entry.xlsx]Book'!L1582</f>
        <v>0.0</v>
      </c>
      <c r="M1582" s="15">
        <f>'[01_Entry.xlsx]Book'!M1582</f>
        <v>0.0</v>
      </c>
      <c r="P1582" s="56">
        <f>IF($A1582="","",IFERROR(VALUE(MID($A1582,6,2)),""))</f>
        <v/>
      </c>
    </row>
    <row r="1583" spans="7:16">
      <c r="G1583" s="15">
        <f>'[01_Entry.xlsx]Book'!G1583</f>
        <v>0.0</v>
      </c>
      <c r="H1583" s="15">
        <f>'[01_Entry.xlsx]Book'!H1583</f>
        <v>0.0</v>
      </c>
      <c r="I1583" s="15">
        <f>'[01_Entry.xlsx]Book'!I1583</f>
        <v>0.0</v>
      </c>
      <c r="K1583" s="15">
        <f>'[01_Entry.xlsx]Book'!K1583</f>
        <v>0.0</v>
      </c>
      <c r="L1583" s="15">
        <f>'[01_Entry.xlsx]Book'!L1583</f>
        <v>0.0</v>
      </c>
      <c r="M1583" s="15">
        <f>'[01_Entry.xlsx]Book'!M1583</f>
        <v>0.0</v>
      </c>
      <c r="P1583" s="56">
        <f>IF($A1583="","",IFERROR(VALUE(MID($A1583,6,2)),""))</f>
        <v/>
      </c>
    </row>
    <row r="1584" spans="7:16">
      <c r="G1584" s="15">
        <f>'[01_Entry.xlsx]Book'!G1584</f>
        <v>0.0</v>
      </c>
      <c r="H1584" s="15">
        <f>'[01_Entry.xlsx]Book'!H1584</f>
        <v>0.0</v>
      </c>
      <c r="I1584" s="15">
        <f>'[01_Entry.xlsx]Book'!I1584</f>
        <v>0.0</v>
      </c>
      <c r="K1584" s="15">
        <f>'[01_Entry.xlsx]Book'!K1584</f>
        <v>0.0</v>
      </c>
      <c r="L1584" s="15">
        <f>'[01_Entry.xlsx]Book'!L1584</f>
        <v>0.0</v>
      </c>
      <c r="M1584" s="15">
        <f>'[01_Entry.xlsx]Book'!M1584</f>
        <v>0.0</v>
      </c>
      <c r="P1584" s="56">
        <f>IF($A1584="","",IFERROR(VALUE(MID($A1584,6,2)),""))</f>
        <v/>
      </c>
    </row>
    <row r="1585" spans="7:16">
      <c r="G1585" s="15">
        <f>'[01_Entry.xlsx]Book'!G1585</f>
        <v>0.0</v>
      </c>
      <c r="H1585" s="15">
        <f>'[01_Entry.xlsx]Book'!H1585</f>
        <v>0.0</v>
      </c>
      <c r="I1585" s="15">
        <f>'[01_Entry.xlsx]Book'!I1585</f>
        <v>0.0</v>
      </c>
      <c r="K1585" s="15">
        <f>'[01_Entry.xlsx]Book'!K1585</f>
        <v>0.0</v>
      </c>
      <c r="L1585" s="15">
        <f>'[01_Entry.xlsx]Book'!L1585</f>
        <v>0.0</v>
      </c>
      <c r="M1585" s="15">
        <f>'[01_Entry.xlsx]Book'!M1585</f>
        <v>0.0</v>
      </c>
      <c r="P1585" s="56">
        <f>IF($A1585="","",IFERROR(VALUE(MID($A1585,6,2)),""))</f>
        <v/>
      </c>
    </row>
    <row r="1586" spans="7:16">
      <c r="G1586" s="15">
        <f>'[01_Entry.xlsx]Book'!G1586</f>
        <v>0.0</v>
      </c>
      <c r="H1586" s="15">
        <f>'[01_Entry.xlsx]Book'!H1586</f>
        <v>0.0</v>
      </c>
      <c r="I1586" s="15">
        <f>'[01_Entry.xlsx]Book'!I1586</f>
        <v>0.0</v>
      </c>
      <c r="K1586" s="15">
        <f>'[01_Entry.xlsx]Book'!K1586</f>
        <v>0.0</v>
      </c>
      <c r="L1586" s="15">
        <f>'[01_Entry.xlsx]Book'!L1586</f>
        <v>0.0</v>
      </c>
      <c r="M1586" s="15">
        <f>'[01_Entry.xlsx]Book'!M1586</f>
        <v>0.0</v>
      </c>
      <c r="P1586" s="56">
        <f>IF($A1586="","",IFERROR(VALUE(MID($A1586,6,2)),""))</f>
        <v/>
      </c>
    </row>
    <row r="1587" spans="7:16">
      <c r="G1587" s="15">
        <f>'[01_Entry.xlsx]Book'!G1587</f>
        <v>0.0</v>
      </c>
      <c r="H1587" s="15">
        <f>'[01_Entry.xlsx]Book'!H1587</f>
        <v>0.0</v>
      </c>
      <c r="I1587" s="15">
        <f>'[01_Entry.xlsx]Book'!I1587</f>
        <v>0.0</v>
      </c>
      <c r="K1587" s="15">
        <f>'[01_Entry.xlsx]Book'!K1587</f>
        <v>0.0</v>
      </c>
      <c r="L1587" s="15">
        <f>'[01_Entry.xlsx]Book'!L1587</f>
        <v>0.0</v>
      </c>
      <c r="M1587" s="15">
        <f>'[01_Entry.xlsx]Book'!M1587</f>
        <v>0.0</v>
      </c>
      <c r="P1587" s="56">
        <f>IF($A1587="","",IFERROR(VALUE(MID($A1587,6,2)),""))</f>
        <v/>
      </c>
    </row>
    <row r="1588" spans="7:16">
      <c r="G1588" s="15">
        <f>'[01_Entry.xlsx]Book'!G1588</f>
        <v>0.0</v>
      </c>
      <c r="H1588" s="15">
        <f>'[01_Entry.xlsx]Book'!H1588</f>
        <v>0.0</v>
      </c>
      <c r="I1588" s="15">
        <f>'[01_Entry.xlsx]Book'!I1588</f>
        <v>0.0</v>
      </c>
      <c r="K1588" s="15">
        <f>'[01_Entry.xlsx]Book'!K1588</f>
        <v>0.0</v>
      </c>
      <c r="L1588" s="15">
        <f>'[01_Entry.xlsx]Book'!L1588</f>
        <v>0.0</v>
      </c>
      <c r="M1588" s="15">
        <f>'[01_Entry.xlsx]Book'!M1588</f>
        <v>0.0</v>
      </c>
      <c r="P1588" s="56">
        <f>IF($A1588="","",IFERROR(VALUE(MID($A1588,6,2)),""))</f>
        <v/>
      </c>
    </row>
    <row r="1589" spans="7:16">
      <c r="G1589" s="15">
        <f>'[01_Entry.xlsx]Book'!G1589</f>
        <v>0.0</v>
      </c>
      <c r="H1589" s="15">
        <f>'[01_Entry.xlsx]Book'!H1589</f>
        <v>0.0</v>
      </c>
      <c r="I1589" s="15">
        <f>'[01_Entry.xlsx]Book'!I1589</f>
        <v>0.0</v>
      </c>
      <c r="K1589" s="15">
        <f>'[01_Entry.xlsx]Book'!K1589</f>
        <v>0.0</v>
      </c>
      <c r="L1589" s="15">
        <f>'[01_Entry.xlsx]Book'!L1589</f>
        <v>0.0</v>
      </c>
      <c r="M1589" s="15">
        <f>'[01_Entry.xlsx]Book'!M1589</f>
        <v>0.0</v>
      </c>
      <c r="P1589" s="56">
        <f>IF($A1589="","",IFERROR(VALUE(MID($A1589,6,2)),""))</f>
        <v/>
      </c>
    </row>
    <row r="1590" spans="7:16">
      <c r="G1590" s="15">
        <f>'[01_Entry.xlsx]Book'!G1590</f>
        <v>0.0</v>
      </c>
      <c r="H1590" s="15">
        <f>'[01_Entry.xlsx]Book'!H1590</f>
        <v>0.0</v>
      </c>
      <c r="I1590" s="15">
        <f>'[01_Entry.xlsx]Book'!I1590</f>
        <v>0.0</v>
      </c>
      <c r="K1590" s="15">
        <f>'[01_Entry.xlsx]Book'!K1590</f>
        <v>0.0</v>
      </c>
      <c r="L1590" s="15">
        <f>'[01_Entry.xlsx]Book'!L1590</f>
        <v>0.0</v>
      </c>
      <c r="M1590" s="15">
        <f>'[01_Entry.xlsx]Book'!M1590</f>
        <v>0.0</v>
      </c>
      <c r="P1590" s="56">
        <f>IF($A1590="","",IFERROR(VALUE(MID($A1590,6,2)),""))</f>
        <v/>
      </c>
    </row>
    <row r="1591" spans="7:16">
      <c r="G1591" s="15">
        <f>'[01_Entry.xlsx]Book'!G1591</f>
        <v>0.0</v>
      </c>
      <c r="H1591" s="15">
        <f>'[01_Entry.xlsx]Book'!H1591</f>
        <v>0.0</v>
      </c>
      <c r="I1591" s="15">
        <f>'[01_Entry.xlsx]Book'!I1591</f>
        <v>0.0</v>
      </c>
      <c r="K1591" s="15">
        <f>'[01_Entry.xlsx]Book'!K1591</f>
        <v>0.0</v>
      </c>
      <c r="L1591" s="15">
        <f>'[01_Entry.xlsx]Book'!L1591</f>
        <v>0.0</v>
      </c>
      <c r="M1591" s="15">
        <f>'[01_Entry.xlsx]Book'!M1591</f>
        <v>0.0</v>
      </c>
      <c r="P1591" s="56">
        <f>IF($A1591="","",IFERROR(VALUE(MID($A1591,6,2)),""))</f>
        <v/>
      </c>
    </row>
    <row r="1592" spans="7:16">
      <c r="G1592" s="15">
        <f>'[01_Entry.xlsx]Book'!G1592</f>
        <v>0.0</v>
      </c>
      <c r="H1592" s="15">
        <f>'[01_Entry.xlsx]Book'!H1592</f>
        <v>0.0</v>
      </c>
      <c r="I1592" s="15">
        <f>'[01_Entry.xlsx]Book'!I1592</f>
        <v>0.0</v>
      </c>
      <c r="K1592" s="15">
        <f>'[01_Entry.xlsx]Book'!K1592</f>
        <v>0.0</v>
      </c>
      <c r="L1592" s="15">
        <f>'[01_Entry.xlsx]Book'!L1592</f>
        <v>0.0</v>
      </c>
      <c r="M1592" s="15">
        <f>'[01_Entry.xlsx]Book'!M1592</f>
        <v>0.0</v>
      </c>
      <c r="P1592" s="56">
        <f>IF($A1592="","",IFERROR(VALUE(MID($A1592,6,2)),""))</f>
        <v/>
      </c>
    </row>
    <row r="1593" spans="7:16">
      <c r="G1593" s="15">
        <f>'[01_Entry.xlsx]Book'!G1593</f>
        <v>0.0</v>
      </c>
      <c r="H1593" s="15">
        <f>'[01_Entry.xlsx]Book'!H1593</f>
        <v>0.0</v>
      </c>
      <c r="I1593" s="15">
        <f>'[01_Entry.xlsx]Book'!I1593</f>
        <v>0.0</v>
      </c>
      <c r="K1593" s="15">
        <f>'[01_Entry.xlsx]Book'!K1593</f>
        <v>0.0</v>
      </c>
      <c r="L1593" s="15">
        <f>'[01_Entry.xlsx]Book'!L1593</f>
        <v>0.0</v>
      </c>
      <c r="M1593" s="15">
        <f>'[01_Entry.xlsx]Book'!M1593</f>
        <v>0.0</v>
      </c>
      <c r="P1593" s="56">
        <f>IF($A1593="","",IFERROR(VALUE(MID($A1593,6,2)),""))</f>
        <v/>
      </c>
    </row>
    <row r="1594" spans="7:16">
      <c r="G1594" s="15">
        <f>'[01_Entry.xlsx]Book'!G1594</f>
        <v>0.0</v>
      </c>
      <c r="H1594" s="15">
        <f>'[01_Entry.xlsx]Book'!H1594</f>
        <v>0.0</v>
      </c>
      <c r="I1594" s="15">
        <f>'[01_Entry.xlsx]Book'!I1594</f>
        <v>0.0</v>
      </c>
      <c r="K1594" s="15">
        <f>'[01_Entry.xlsx]Book'!K1594</f>
        <v>0.0</v>
      </c>
      <c r="L1594" s="15">
        <f>'[01_Entry.xlsx]Book'!L1594</f>
        <v>0.0</v>
      </c>
      <c r="M1594" s="15">
        <f>'[01_Entry.xlsx]Book'!M1594</f>
        <v>0.0</v>
      </c>
      <c r="P1594" s="56">
        <f>IF($A1594="","",IFERROR(VALUE(MID($A1594,6,2)),""))</f>
        <v/>
      </c>
    </row>
    <row r="1595" spans="7:16">
      <c r="G1595" s="15">
        <f>'[01_Entry.xlsx]Book'!G1595</f>
        <v>0.0</v>
      </c>
      <c r="H1595" s="15">
        <f>'[01_Entry.xlsx]Book'!H1595</f>
        <v>0.0</v>
      </c>
      <c r="I1595" s="15">
        <f>'[01_Entry.xlsx]Book'!I1595</f>
        <v>0.0</v>
      </c>
      <c r="K1595" s="15">
        <f>'[01_Entry.xlsx]Book'!K1595</f>
        <v>0.0</v>
      </c>
      <c r="L1595" s="15">
        <f>'[01_Entry.xlsx]Book'!L1595</f>
        <v>0.0</v>
      </c>
      <c r="M1595" s="15">
        <f>'[01_Entry.xlsx]Book'!M1595</f>
        <v>0.0</v>
      </c>
      <c r="P1595" s="56">
        <f>IF($A1595="","",IFERROR(VALUE(MID($A1595,6,2)),""))</f>
        <v/>
      </c>
    </row>
    <row r="1596" spans="7:16">
      <c r="G1596" s="15">
        <f>'[01_Entry.xlsx]Book'!G1596</f>
        <v>0.0</v>
      </c>
      <c r="H1596" s="15">
        <f>'[01_Entry.xlsx]Book'!H1596</f>
        <v>0.0</v>
      </c>
      <c r="I1596" s="15">
        <f>'[01_Entry.xlsx]Book'!I1596</f>
        <v>0.0</v>
      </c>
      <c r="K1596" s="15">
        <f>'[01_Entry.xlsx]Book'!K1596</f>
        <v>0.0</v>
      </c>
      <c r="L1596" s="15">
        <f>'[01_Entry.xlsx]Book'!L1596</f>
        <v>0.0</v>
      </c>
      <c r="M1596" s="15">
        <f>'[01_Entry.xlsx]Book'!M1596</f>
        <v>0.0</v>
      </c>
      <c r="P1596" s="56">
        <f>IF($A1596="","",IFERROR(VALUE(MID($A1596,6,2)),""))</f>
        <v/>
      </c>
    </row>
    <row r="1597" spans="7:16">
      <c r="G1597" s="15">
        <f>'[01_Entry.xlsx]Book'!G1597</f>
        <v>0.0</v>
      </c>
      <c r="H1597" s="15">
        <f>'[01_Entry.xlsx]Book'!H1597</f>
        <v>0.0</v>
      </c>
      <c r="I1597" s="15">
        <f>'[01_Entry.xlsx]Book'!I1597</f>
        <v>0.0</v>
      </c>
      <c r="K1597" s="15">
        <f>'[01_Entry.xlsx]Book'!K1597</f>
        <v>0.0</v>
      </c>
      <c r="L1597" s="15">
        <f>'[01_Entry.xlsx]Book'!L1597</f>
        <v>0.0</v>
      </c>
      <c r="M1597" s="15">
        <f>'[01_Entry.xlsx]Book'!M1597</f>
        <v>0.0</v>
      </c>
      <c r="P1597" s="56">
        <f>IF($A1597="","",IFERROR(VALUE(MID($A1597,6,2)),""))</f>
        <v/>
      </c>
    </row>
    <row r="1598" spans="7:16">
      <c r="G1598" s="15">
        <f>'[01_Entry.xlsx]Book'!G1598</f>
        <v>0.0</v>
      </c>
      <c r="H1598" s="15">
        <f>'[01_Entry.xlsx]Book'!H1598</f>
        <v>0.0</v>
      </c>
      <c r="I1598" s="15">
        <f>'[01_Entry.xlsx]Book'!I1598</f>
        <v>0.0</v>
      </c>
      <c r="K1598" s="15">
        <f>'[01_Entry.xlsx]Book'!K1598</f>
        <v>0.0</v>
      </c>
      <c r="L1598" s="15">
        <f>'[01_Entry.xlsx]Book'!L1598</f>
        <v>0.0</v>
      </c>
      <c r="M1598" s="15">
        <f>'[01_Entry.xlsx]Book'!M1598</f>
        <v>0.0</v>
      </c>
      <c r="P1598" s="56">
        <f>IF($A1598="","",IFERROR(VALUE(MID($A1598,6,2)),""))</f>
        <v/>
      </c>
    </row>
    <row r="1599" spans="7:16">
      <c r="G1599" s="15">
        <f>'[01_Entry.xlsx]Book'!G1599</f>
        <v>0.0</v>
      </c>
      <c r="H1599" s="15">
        <f>'[01_Entry.xlsx]Book'!H1599</f>
        <v>0.0</v>
      </c>
      <c r="I1599" s="15">
        <f>'[01_Entry.xlsx]Book'!I1599</f>
        <v>0.0</v>
      </c>
      <c r="K1599" s="15">
        <f>'[01_Entry.xlsx]Book'!K1599</f>
        <v>0.0</v>
      </c>
      <c r="L1599" s="15">
        <f>'[01_Entry.xlsx]Book'!L1599</f>
        <v>0.0</v>
      </c>
      <c r="M1599" s="15">
        <f>'[01_Entry.xlsx]Book'!M1599</f>
        <v>0.0</v>
      </c>
      <c r="P1599" s="56">
        <f>IF($A1599="","",IFERROR(VALUE(MID($A1599,6,2)),""))</f>
        <v/>
      </c>
    </row>
    <row r="1600" spans="7:16">
      <c r="G1600" s="15">
        <f>'[01_Entry.xlsx]Book'!G1600</f>
        <v>0.0</v>
      </c>
      <c r="H1600" s="15">
        <f>'[01_Entry.xlsx]Book'!H1600</f>
        <v>0.0</v>
      </c>
      <c r="I1600" s="15">
        <f>'[01_Entry.xlsx]Book'!I1600</f>
        <v>0.0</v>
      </c>
      <c r="K1600" s="15">
        <f>'[01_Entry.xlsx]Book'!K1600</f>
        <v>0.0</v>
      </c>
      <c r="L1600" s="15">
        <f>'[01_Entry.xlsx]Book'!L1600</f>
        <v>0.0</v>
      </c>
      <c r="M1600" s="15">
        <f>'[01_Entry.xlsx]Book'!M1600</f>
        <v>0.0</v>
      </c>
      <c r="P1600" s="56">
        <f>IF($A1600="","",IFERROR(VALUE(MID($A1600,6,2)),""))</f>
        <v/>
      </c>
    </row>
    <row r="1601" spans="7:16">
      <c r="G1601" s="15">
        <f>'[01_Entry.xlsx]Book'!G1601</f>
        <v>0.0</v>
      </c>
      <c r="H1601" s="15">
        <f>'[01_Entry.xlsx]Book'!H1601</f>
        <v>0.0</v>
      </c>
      <c r="I1601" s="15">
        <f>'[01_Entry.xlsx]Book'!I1601</f>
        <v>0.0</v>
      </c>
      <c r="K1601" s="15">
        <f>'[01_Entry.xlsx]Book'!K1601</f>
        <v>0.0</v>
      </c>
      <c r="L1601" s="15">
        <f>'[01_Entry.xlsx]Book'!L1601</f>
        <v>0.0</v>
      </c>
      <c r="M1601" s="15">
        <f>'[01_Entry.xlsx]Book'!M1601</f>
        <v>0.0</v>
      </c>
      <c r="P1601" s="56">
        <f>IF($A1601="","",IFERROR(VALUE(MID($A1601,6,2)),""))</f>
        <v/>
      </c>
    </row>
    <row r="1602" spans="7:16">
      <c r="G1602" s="15">
        <f>'[01_Entry.xlsx]Book'!G1602</f>
        <v>0.0</v>
      </c>
      <c r="H1602" s="15">
        <f>'[01_Entry.xlsx]Book'!H1602</f>
        <v>0.0</v>
      </c>
      <c r="I1602" s="15">
        <f>'[01_Entry.xlsx]Book'!I1602</f>
        <v>0.0</v>
      </c>
      <c r="K1602" s="15">
        <f>'[01_Entry.xlsx]Book'!K1602</f>
        <v>0.0</v>
      </c>
      <c r="L1602" s="15">
        <f>'[01_Entry.xlsx]Book'!L1602</f>
        <v>0.0</v>
      </c>
      <c r="M1602" s="15">
        <f>'[01_Entry.xlsx]Book'!M1602</f>
        <v>0.0</v>
      </c>
      <c r="P1602" s="56">
        <f>IF($A1602="","",IFERROR(VALUE(MID($A1602,6,2)),""))</f>
        <v/>
      </c>
    </row>
    <row r="1603" spans="7:16">
      <c r="G1603" s="15">
        <f>'[01_Entry.xlsx]Book'!G1603</f>
        <v>0.0</v>
      </c>
      <c r="H1603" s="15">
        <f>'[01_Entry.xlsx]Book'!H1603</f>
        <v>0.0</v>
      </c>
      <c r="I1603" s="15">
        <f>'[01_Entry.xlsx]Book'!I1603</f>
        <v>0.0</v>
      </c>
      <c r="K1603" s="15">
        <f>'[01_Entry.xlsx]Book'!K1603</f>
        <v>0.0</v>
      </c>
      <c r="L1603" s="15">
        <f>'[01_Entry.xlsx]Book'!L1603</f>
        <v>0.0</v>
      </c>
      <c r="M1603" s="15">
        <f>'[01_Entry.xlsx]Book'!M1603</f>
        <v>0.0</v>
      </c>
      <c r="P1603" s="56">
        <f>IF($A1603="","",IFERROR(VALUE(MID($A1603,6,2)),""))</f>
        <v/>
      </c>
    </row>
    <row r="1604" spans="7:16">
      <c r="G1604" s="15">
        <f>'[01_Entry.xlsx]Book'!G1604</f>
        <v>0.0</v>
      </c>
      <c r="H1604" s="15">
        <f>'[01_Entry.xlsx]Book'!H1604</f>
        <v>0.0</v>
      </c>
      <c r="I1604" s="15">
        <f>'[01_Entry.xlsx]Book'!I1604</f>
        <v>0.0</v>
      </c>
      <c r="K1604" s="15">
        <f>'[01_Entry.xlsx]Book'!K1604</f>
        <v>0.0</v>
      </c>
      <c r="L1604" s="15">
        <f>'[01_Entry.xlsx]Book'!L1604</f>
        <v>0.0</v>
      </c>
      <c r="M1604" s="15">
        <f>'[01_Entry.xlsx]Book'!M1604</f>
        <v>0.0</v>
      </c>
      <c r="P1604" s="56">
        <f>IF($A1604="","",IFERROR(VALUE(MID($A1604,6,2)),""))</f>
        <v/>
      </c>
    </row>
    <row r="1605" spans="7:16">
      <c r="G1605" s="15">
        <f>'[01_Entry.xlsx]Book'!G1605</f>
        <v>0.0</v>
      </c>
      <c r="H1605" s="15">
        <f>'[01_Entry.xlsx]Book'!H1605</f>
        <v>0.0</v>
      </c>
      <c r="I1605" s="15">
        <f>'[01_Entry.xlsx]Book'!I1605</f>
        <v>0.0</v>
      </c>
      <c r="K1605" s="15">
        <f>'[01_Entry.xlsx]Book'!K1605</f>
        <v>0.0</v>
      </c>
      <c r="L1605" s="15">
        <f>'[01_Entry.xlsx]Book'!L1605</f>
        <v>0.0</v>
      </c>
      <c r="M1605" s="15">
        <f>'[01_Entry.xlsx]Book'!M1605</f>
        <v>0.0</v>
      </c>
      <c r="P1605" s="56">
        <f>IF($A1605="","",IFERROR(VALUE(MID($A1605,6,2)),""))</f>
        <v/>
      </c>
    </row>
    <row r="1606" spans="7:16">
      <c r="G1606" s="15">
        <f>'[01_Entry.xlsx]Book'!G1606</f>
        <v>0.0</v>
      </c>
      <c r="H1606" s="15">
        <f>'[01_Entry.xlsx]Book'!H1606</f>
        <v>0.0</v>
      </c>
      <c r="I1606" s="15">
        <f>'[01_Entry.xlsx]Book'!I1606</f>
        <v>0.0</v>
      </c>
      <c r="K1606" s="15">
        <f>'[01_Entry.xlsx]Book'!K1606</f>
        <v>0.0</v>
      </c>
      <c r="L1606" s="15">
        <f>'[01_Entry.xlsx]Book'!L1606</f>
        <v>0.0</v>
      </c>
      <c r="M1606" s="15">
        <f>'[01_Entry.xlsx]Book'!M1606</f>
        <v>0.0</v>
      </c>
      <c r="P1606" s="56">
        <f>IF($A1606="","",IFERROR(VALUE(MID($A1606,6,2)),""))</f>
        <v/>
      </c>
    </row>
    <row r="1607" spans="7:16">
      <c r="G1607" s="15">
        <f>'[01_Entry.xlsx]Book'!G1607</f>
        <v>0.0</v>
      </c>
      <c r="H1607" s="15">
        <f>'[01_Entry.xlsx]Book'!H1607</f>
        <v>0.0</v>
      </c>
      <c r="I1607" s="15">
        <f>'[01_Entry.xlsx]Book'!I1607</f>
        <v>0.0</v>
      </c>
      <c r="K1607" s="15">
        <f>'[01_Entry.xlsx]Book'!K1607</f>
        <v>0.0</v>
      </c>
      <c r="L1607" s="15">
        <f>'[01_Entry.xlsx]Book'!L1607</f>
        <v>0.0</v>
      </c>
      <c r="M1607" s="15">
        <f>'[01_Entry.xlsx]Book'!M1607</f>
        <v>0.0</v>
      </c>
      <c r="P1607" s="56">
        <f>IF($A1607="","",IFERROR(VALUE(MID($A1607,6,2)),""))</f>
        <v/>
      </c>
    </row>
    <row r="1608" spans="7:16">
      <c r="G1608" s="15">
        <f>'[01_Entry.xlsx]Book'!G1608</f>
        <v>0.0</v>
      </c>
      <c r="H1608" s="15">
        <f>'[01_Entry.xlsx]Book'!H1608</f>
        <v>0.0</v>
      </c>
      <c r="I1608" s="15">
        <f>'[01_Entry.xlsx]Book'!I1608</f>
        <v>0.0</v>
      </c>
      <c r="K1608" s="15">
        <f>'[01_Entry.xlsx]Book'!K1608</f>
        <v>0.0</v>
      </c>
      <c r="L1608" s="15">
        <f>'[01_Entry.xlsx]Book'!L1608</f>
        <v>0.0</v>
      </c>
      <c r="M1608" s="15">
        <f>'[01_Entry.xlsx]Book'!M1608</f>
        <v>0.0</v>
      </c>
      <c r="P1608" s="56">
        <f>IF($A1608="","",IFERROR(VALUE(MID($A1608,6,2)),""))</f>
        <v/>
      </c>
    </row>
    <row r="1609" spans="7:16">
      <c r="G1609" s="15">
        <f>'[01_Entry.xlsx]Book'!G1609</f>
        <v>0.0</v>
      </c>
      <c r="H1609" s="15">
        <f>'[01_Entry.xlsx]Book'!H1609</f>
        <v>0.0</v>
      </c>
      <c r="I1609" s="15">
        <f>'[01_Entry.xlsx]Book'!I1609</f>
        <v>0.0</v>
      </c>
      <c r="K1609" s="15">
        <f>'[01_Entry.xlsx]Book'!K1609</f>
        <v>0.0</v>
      </c>
      <c r="L1609" s="15">
        <f>'[01_Entry.xlsx]Book'!L1609</f>
        <v>0.0</v>
      </c>
      <c r="M1609" s="15">
        <f>'[01_Entry.xlsx]Book'!M1609</f>
        <v>0.0</v>
      </c>
      <c r="P1609" s="56">
        <f>IF($A1609="","",IFERROR(VALUE(MID($A1609,6,2)),""))</f>
        <v/>
      </c>
    </row>
    <row r="1610" spans="7:16">
      <c r="G1610" s="15">
        <f>'[01_Entry.xlsx]Book'!G1610</f>
        <v>0.0</v>
      </c>
      <c r="H1610" s="15">
        <f>'[01_Entry.xlsx]Book'!H1610</f>
        <v>0.0</v>
      </c>
      <c r="I1610" s="15">
        <f>'[01_Entry.xlsx]Book'!I1610</f>
        <v>0.0</v>
      </c>
      <c r="K1610" s="15">
        <f>'[01_Entry.xlsx]Book'!K1610</f>
        <v>0.0</v>
      </c>
      <c r="L1610" s="15">
        <f>'[01_Entry.xlsx]Book'!L1610</f>
        <v>0.0</v>
      </c>
      <c r="M1610" s="15">
        <f>'[01_Entry.xlsx]Book'!M1610</f>
        <v>0.0</v>
      </c>
      <c r="P1610" s="56">
        <f>IF($A1610="","",IFERROR(VALUE(MID($A1610,6,2)),""))</f>
        <v/>
      </c>
    </row>
    <row r="1611" spans="7:16">
      <c r="G1611" s="15">
        <f>'[01_Entry.xlsx]Book'!G1611</f>
        <v>0.0</v>
      </c>
      <c r="H1611" s="15">
        <f>'[01_Entry.xlsx]Book'!H1611</f>
        <v>0.0</v>
      </c>
      <c r="I1611" s="15">
        <f>'[01_Entry.xlsx]Book'!I1611</f>
        <v>0.0</v>
      </c>
      <c r="K1611" s="15">
        <f>'[01_Entry.xlsx]Book'!K1611</f>
        <v>0.0</v>
      </c>
      <c r="L1611" s="15">
        <f>'[01_Entry.xlsx]Book'!L1611</f>
        <v>0.0</v>
      </c>
      <c r="M1611" s="15">
        <f>'[01_Entry.xlsx]Book'!M1611</f>
        <v>0.0</v>
      </c>
      <c r="P1611" s="56">
        <f>IF($A1611="","",IFERROR(VALUE(MID($A1611,6,2)),""))</f>
        <v/>
      </c>
    </row>
    <row r="1612" spans="7:16">
      <c r="G1612" s="15">
        <f>'[01_Entry.xlsx]Book'!G1612</f>
        <v>0.0</v>
      </c>
      <c r="H1612" s="15">
        <f>'[01_Entry.xlsx]Book'!H1612</f>
        <v>0.0</v>
      </c>
      <c r="I1612" s="15">
        <f>'[01_Entry.xlsx]Book'!I1612</f>
        <v>0.0</v>
      </c>
      <c r="K1612" s="15">
        <f>'[01_Entry.xlsx]Book'!K1612</f>
        <v>0.0</v>
      </c>
      <c r="L1612" s="15">
        <f>'[01_Entry.xlsx]Book'!L1612</f>
        <v>0.0</v>
      </c>
      <c r="M1612" s="15">
        <f>'[01_Entry.xlsx]Book'!M1612</f>
        <v>0.0</v>
      </c>
      <c r="P1612" s="56">
        <f>IF($A1612="","",IFERROR(VALUE(MID($A1612,6,2)),""))</f>
        <v/>
      </c>
    </row>
    <row r="1613" spans="7:16">
      <c r="G1613" s="15">
        <f>'[01_Entry.xlsx]Book'!G1613</f>
        <v>0.0</v>
      </c>
      <c r="H1613" s="15">
        <f>'[01_Entry.xlsx]Book'!H1613</f>
        <v>0.0</v>
      </c>
      <c r="I1613" s="15">
        <f>'[01_Entry.xlsx]Book'!I1613</f>
        <v>0.0</v>
      </c>
      <c r="K1613" s="15">
        <f>'[01_Entry.xlsx]Book'!K1613</f>
        <v>0.0</v>
      </c>
      <c r="L1613" s="15">
        <f>'[01_Entry.xlsx]Book'!L1613</f>
        <v>0.0</v>
      </c>
      <c r="M1613" s="15">
        <f>'[01_Entry.xlsx]Book'!M1613</f>
        <v>0.0</v>
      </c>
      <c r="P1613" s="56">
        <f>IF($A1613="","",IFERROR(VALUE(MID($A1613,6,2)),""))</f>
        <v/>
      </c>
    </row>
    <row r="1614" spans="7:16">
      <c r="G1614" s="15">
        <f>'[01_Entry.xlsx]Book'!G1614</f>
        <v>0.0</v>
      </c>
      <c r="H1614" s="15">
        <f>'[01_Entry.xlsx]Book'!H1614</f>
        <v>0.0</v>
      </c>
      <c r="I1614" s="15">
        <f>'[01_Entry.xlsx]Book'!I1614</f>
        <v>0.0</v>
      </c>
      <c r="K1614" s="15">
        <f>'[01_Entry.xlsx]Book'!K1614</f>
        <v>0.0</v>
      </c>
      <c r="L1614" s="15">
        <f>'[01_Entry.xlsx]Book'!L1614</f>
        <v>0.0</v>
      </c>
      <c r="M1614" s="15">
        <f>'[01_Entry.xlsx]Book'!M1614</f>
        <v>0.0</v>
      </c>
      <c r="P1614" s="56">
        <f>IF($A1614="","",IFERROR(VALUE(MID($A1614,6,2)),""))</f>
        <v/>
      </c>
    </row>
    <row r="1615" spans="7:16">
      <c r="G1615" s="15">
        <f>'[01_Entry.xlsx]Book'!G1615</f>
        <v>0.0</v>
      </c>
      <c r="H1615" s="15">
        <f>'[01_Entry.xlsx]Book'!H1615</f>
        <v>0.0</v>
      </c>
      <c r="I1615" s="15">
        <f>'[01_Entry.xlsx]Book'!I1615</f>
        <v>0.0</v>
      </c>
      <c r="K1615" s="15">
        <f>'[01_Entry.xlsx]Book'!K1615</f>
        <v>0.0</v>
      </c>
      <c r="L1615" s="15">
        <f>'[01_Entry.xlsx]Book'!L1615</f>
        <v>0.0</v>
      </c>
      <c r="M1615" s="15">
        <f>'[01_Entry.xlsx]Book'!M1615</f>
        <v>0.0</v>
      </c>
      <c r="P1615" s="56">
        <f>IF($A1615="","",IFERROR(VALUE(MID($A1615,6,2)),""))</f>
        <v/>
      </c>
    </row>
    <row r="1616" spans="7:16">
      <c r="G1616" s="15">
        <f>'[01_Entry.xlsx]Book'!G1616</f>
        <v>0.0</v>
      </c>
      <c r="H1616" s="15">
        <f>'[01_Entry.xlsx]Book'!H1616</f>
        <v>0.0</v>
      </c>
      <c r="I1616" s="15">
        <f>'[01_Entry.xlsx]Book'!I1616</f>
        <v>0.0</v>
      </c>
      <c r="K1616" s="15">
        <f>'[01_Entry.xlsx]Book'!K1616</f>
        <v>0.0</v>
      </c>
      <c r="L1616" s="15">
        <f>'[01_Entry.xlsx]Book'!L1616</f>
        <v>0.0</v>
      </c>
      <c r="M1616" s="15">
        <f>'[01_Entry.xlsx]Book'!M1616</f>
        <v>0.0</v>
      </c>
      <c r="P1616" s="56">
        <f>IF($A1616="","",IFERROR(VALUE(MID($A1616,6,2)),""))</f>
        <v/>
      </c>
    </row>
    <row r="1617" spans="7:16">
      <c r="G1617" s="15">
        <f>'[01_Entry.xlsx]Book'!G1617</f>
        <v>0.0</v>
      </c>
      <c r="H1617" s="15">
        <f>'[01_Entry.xlsx]Book'!H1617</f>
        <v>0.0</v>
      </c>
      <c r="I1617" s="15">
        <f>'[01_Entry.xlsx]Book'!I1617</f>
        <v>0.0</v>
      </c>
      <c r="K1617" s="15">
        <f>'[01_Entry.xlsx]Book'!K1617</f>
        <v>0.0</v>
      </c>
      <c r="L1617" s="15">
        <f>'[01_Entry.xlsx]Book'!L1617</f>
        <v>0.0</v>
      </c>
      <c r="M1617" s="15">
        <f>'[01_Entry.xlsx]Book'!M1617</f>
        <v>0.0</v>
      </c>
      <c r="P1617" s="56">
        <f>IF($A1617="","",IFERROR(VALUE(MID($A1617,6,2)),""))</f>
        <v/>
      </c>
    </row>
    <row r="1618" spans="7:16">
      <c r="G1618" s="15">
        <f>'[01_Entry.xlsx]Book'!G1618</f>
        <v>0.0</v>
      </c>
      <c r="H1618" s="15">
        <f>'[01_Entry.xlsx]Book'!H1618</f>
        <v>0.0</v>
      </c>
      <c r="I1618" s="15">
        <f>'[01_Entry.xlsx]Book'!I1618</f>
        <v>0.0</v>
      </c>
      <c r="K1618" s="15">
        <f>'[01_Entry.xlsx]Book'!K1618</f>
        <v>0.0</v>
      </c>
      <c r="L1618" s="15">
        <f>'[01_Entry.xlsx]Book'!L1618</f>
        <v>0.0</v>
      </c>
      <c r="M1618" s="15">
        <f>'[01_Entry.xlsx]Book'!M1618</f>
        <v>0.0</v>
      </c>
      <c r="P1618" s="56">
        <f>IF($A1618="","",IFERROR(VALUE(MID($A1618,6,2)),""))</f>
        <v/>
      </c>
    </row>
    <row r="1619" spans="7:16">
      <c r="G1619" s="15">
        <f>'[01_Entry.xlsx]Book'!G1619</f>
        <v>0.0</v>
      </c>
      <c r="H1619" s="15">
        <f>'[01_Entry.xlsx]Book'!H1619</f>
        <v>0.0</v>
      </c>
      <c r="I1619" s="15">
        <f>'[01_Entry.xlsx]Book'!I1619</f>
        <v>0.0</v>
      </c>
      <c r="K1619" s="15">
        <f>'[01_Entry.xlsx]Book'!K1619</f>
        <v>0.0</v>
      </c>
      <c r="L1619" s="15">
        <f>'[01_Entry.xlsx]Book'!L1619</f>
        <v>0.0</v>
      </c>
      <c r="M1619" s="15">
        <f>'[01_Entry.xlsx]Book'!M1619</f>
        <v>0.0</v>
      </c>
      <c r="P1619" s="56">
        <f>IF($A1619="","",IFERROR(VALUE(MID($A1619,6,2)),""))</f>
        <v/>
      </c>
    </row>
    <row r="1620" spans="7:16">
      <c r="G1620" s="15">
        <f>'[01_Entry.xlsx]Book'!G1620</f>
        <v>0.0</v>
      </c>
      <c r="H1620" s="15">
        <f>'[01_Entry.xlsx]Book'!H1620</f>
        <v>0.0</v>
      </c>
      <c r="I1620" s="15">
        <f>'[01_Entry.xlsx]Book'!I1620</f>
        <v>0.0</v>
      </c>
      <c r="K1620" s="15">
        <f>'[01_Entry.xlsx]Book'!K1620</f>
        <v>0.0</v>
      </c>
      <c r="L1620" s="15">
        <f>'[01_Entry.xlsx]Book'!L1620</f>
        <v>0.0</v>
      </c>
      <c r="M1620" s="15">
        <f>'[01_Entry.xlsx]Book'!M1620</f>
        <v>0.0</v>
      </c>
      <c r="P1620" s="56">
        <f>IF($A1620="","",IFERROR(VALUE(MID($A1620,6,2)),""))</f>
        <v/>
      </c>
    </row>
    <row r="1621" spans="7:16">
      <c r="G1621" s="15">
        <f>'[01_Entry.xlsx]Book'!G1621</f>
        <v>0.0</v>
      </c>
      <c r="H1621" s="15">
        <f>'[01_Entry.xlsx]Book'!H1621</f>
        <v>0.0</v>
      </c>
      <c r="I1621" s="15">
        <f>'[01_Entry.xlsx]Book'!I1621</f>
        <v>0.0</v>
      </c>
      <c r="K1621" s="15">
        <f>'[01_Entry.xlsx]Book'!K1621</f>
        <v>0.0</v>
      </c>
      <c r="L1621" s="15">
        <f>'[01_Entry.xlsx]Book'!L1621</f>
        <v>0.0</v>
      </c>
      <c r="M1621" s="15">
        <f>'[01_Entry.xlsx]Book'!M1621</f>
        <v>0.0</v>
      </c>
      <c r="P1621" s="56">
        <f>IF($A1621="","",IFERROR(VALUE(MID($A1621,6,2)),""))</f>
        <v/>
      </c>
    </row>
    <row r="1622" spans="7:16">
      <c r="G1622" s="15">
        <f>'[01_Entry.xlsx]Book'!G1622</f>
        <v>0.0</v>
      </c>
      <c r="H1622" s="15">
        <f>'[01_Entry.xlsx]Book'!H1622</f>
        <v>0.0</v>
      </c>
      <c r="I1622" s="15">
        <f>'[01_Entry.xlsx]Book'!I1622</f>
        <v>0.0</v>
      </c>
      <c r="K1622" s="15">
        <f>'[01_Entry.xlsx]Book'!K1622</f>
        <v>0.0</v>
      </c>
      <c r="L1622" s="15">
        <f>'[01_Entry.xlsx]Book'!L1622</f>
        <v>0.0</v>
      </c>
      <c r="M1622" s="15">
        <f>'[01_Entry.xlsx]Book'!M1622</f>
        <v>0.0</v>
      </c>
      <c r="P1622" s="56">
        <f>IF($A1622="","",IFERROR(VALUE(MID($A1622,6,2)),""))</f>
        <v/>
      </c>
    </row>
    <row r="1623" spans="7:16">
      <c r="G1623" s="15">
        <f>'[01_Entry.xlsx]Book'!G1623</f>
        <v>0.0</v>
      </c>
      <c r="H1623" s="15">
        <f>'[01_Entry.xlsx]Book'!H1623</f>
        <v>0.0</v>
      </c>
      <c r="I1623" s="15">
        <f>'[01_Entry.xlsx]Book'!I1623</f>
        <v>0.0</v>
      </c>
      <c r="K1623" s="15">
        <f>'[01_Entry.xlsx]Book'!K1623</f>
        <v>0.0</v>
      </c>
      <c r="L1623" s="15">
        <f>'[01_Entry.xlsx]Book'!L1623</f>
        <v>0.0</v>
      </c>
      <c r="M1623" s="15">
        <f>'[01_Entry.xlsx]Book'!M1623</f>
        <v>0.0</v>
      </c>
      <c r="P1623" s="56">
        <f>IF($A1623="","",IFERROR(VALUE(MID($A1623,6,2)),""))</f>
        <v/>
      </c>
    </row>
    <row r="1624" spans="7:16">
      <c r="G1624" s="15">
        <f>'[01_Entry.xlsx]Book'!G1624</f>
        <v>0.0</v>
      </c>
      <c r="H1624" s="15">
        <f>'[01_Entry.xlsx]Book'!H1624</f>
        <v>0.0</v>
      </c>
      <c r="I1624" s="15">
        <f>'[01_Entry.xlsx]Book'!I1624</f>
        <v>0.0</v>
      </c>
      <c r="K1624" s="15">
        <f>'[01_Entry.xlsx]Book'!K1624</f>
        <v>0.0</v>
      </c>
      <c r="L1624" s="15">
        <f>'[01_Entry.xlsx]Book'!L1624</f>
        <v>0.0</v>
      </c>
      <c r="M1624" s="15">
        <f>'[01_Entry.xlsx]Book'!M1624</f>
        <v>0.0</v>
      </c>
      <c r="P1624" s="56">
        <f>IF($A1624="","",IFERROR(VALUE(MID($A1624,6,2)),""))</f>
        <v/>
      </c>
    </row>
    <row r="1625" spans="7:16">
      <c r="G1625" s="15">
        <f>'[01_Entry.xlsx]Book'!G1625</f>
        <v>0.0</v>
      </c>
      <c r="H1625" s="15">
        <f>'[01_Entry.xlsx]Book'!H1625</f>
        <v>0.0</v>
      </c>
      <c r="I1625" s="15">
        <f>'[01_Entry.xlsx]Book'!I1625</f>
        <v>0.0</v>
      </c>
      <c r="K1625" s="15">
        <f>'[01_Entry.xlsx]Book'!K1625</f>
        <v>0.0</v>
      </c>
      <c r="L1625" s="15">
        <f>'[01_Entry.xlsx]Book'!L1625</f>
        <v>0.0</v>
      </c>
      <c r="M1625" s="15">
        <f>'[01_Entry.xlsx]Book'!M1625</f>
        <v>0.0</v>
      </c>
      <c r="P1625" s="56">
        <f>IF($A1625="","",IFERROR(VALUE(MID($A1625,6,2)),""))</f>
        <v/>
      </c>
    </row>
    <row r="1626" spans="7:16">
      <c r="G1626" s="15">
        <f>'[01_Entry.xlsx]Book'!G1626</f>
        <v>0.0</v>
      </c>
      <c r="H1626" s="15">
        <f>'[01_Entry.xlsx]Book'!H1626</f>
        <v>0.0</v>
      </c>
      <c r="I1626" s="15">
        <f>'[01_Entry.xlsx]Book'!I1626</f>
        <v>0.0</v>
      </c>
      <c r="K1626" s="15">
        <f>'[01_Entry.xlsx]Book'!K1626</f>
        <v>0.0</v>
      </c>
      <c r="L1626" s="15">
        <f>'[01_Entry.xlsx]Book'!L1626</f>
        <v>0.0</v>
      </c>
      <c r="M1626" s="15">
        <f>'[01_Entry.xlsx]Book'!M1626</f>
        <v>0.0</v>
      </c>
      <c r="P1626" s="56">
        <f>IF($A1626="","",IFERROR(VALUE(MID($A1626,6,2)),""))</f>
        <v/>
      </c>
    </row>
    <row r="1627" spans="7:16">
      <c r="G1627" s="15">
        <f>'[01_Entry.xlsx]Book'!G1627</f>
        <v>0.0</v>
      </c>
      <c r="H1627" s="15">
        <f>'[01_Entry.xlsx]Book'!H1627</f>
        <v>0.0</v>
      </c>
      <c r="I1627" s="15">
        <f>'[01_Entry.xlsx]Book'!I1627</f>
        <v>0.0</v>
      </c>
      <c r="K1627" s="15">
        <f>'[01_Entry.xlsx]Book'!K1627</f>
        <v>0.0</v>
      </c>
      <c r="L1627" s="15">
        <f>'[01_Entry.xlsx]Book'!L1627</f>
        <v>0.0</v>
      </c>
      <c r="M1627" s="15">
        <f>'[01_Entry.xlsx]Book'!M1627</f>
        <v>0.0</v>
      </c>
      <c r="P1627" s="56">
        <f>IF($A1627="","",IFERROR(VALUE(MID($A1627,6,2)),""))</f>
        <v/>
      </c>
    </row>
    <row r="1628" spans="7:16">
      <c r="G1628" s="15">
        <f>'[01_Entry.xlsx]Book'!G1628</f>
        <v>0.0</v>
      </c>
      <c r="H1628" s="15">
        <f>'[01_Entry.xlsx]Book'!H1628</f>
        <v>0.0</v>
      </c>
      <c r="I1628" s="15">
        <f>'[01_Entry.xlsx]Book'!I1628</f>
        <v>0.0</v>
      </c>
      <c r="K1628" s="15">
        <f>'[01_Entry.xlsx]Book'!K1628</f>
        <v>0.0</v>
      </c>
      <c r="L1628" s="15">
        <f>'[01_Entry.xlsx]Book'!L1628</f>
        <v>0.0</v>
      </c>
      <c r="M1628" s="15">
        <f>'[01_Entry.xlsx]Book'!M1628</f>
        <v>0.0</v>
      </c>
      <c r="P1628" s="56">
        <f>IF($A1628="","",IFERROR(VALUE(MID($A1628,6,2)),""))</f>
        <v/>
      </c>
    </row>
    <row r="1629" spans="7:16">
      <c r="G1629" s="15">
        <f>'[01_Entry.xlsx]Book'!G1629</f>
        <v>0.0</v>
      </c>
      <c r="H1629" s="15">
        <f>'[01_Entry.xlsx]Book'!H1629</f>
        <v>0.0</v>
      </c>
      <c r="I1629" s="15">
        <f>'[01_Entry.xlsx]Book'!I1629</f>
        <v>0.0</v>
      </c>
      <c r="K1629" s="15">
        <f>'[01_Entry.xlsx]Book'!K1629</f>
        <v>0.0</v>
      </c>
      <c r="L1629" s="15">
        <f>'[01_Entry.xlsx]Book'!L1629</f>
        <v>0.0</v>
      </c>
      <c r="M1629" s="15">
        <f>'[01_Entry.xlsx]Book'!M1629</f>
        <v>0.0</v>
      </c>
      <c r="P1629" s="56">
        <f>IF($A1629="","",IFERROR(VALUE(MID($A1629,6,2)),""))</f>
        <v/>
      </c>
    </row>
    <row r="1630" spans="7:16">
      <c r="G1630" s="15">
        <f>'[01_Entry.xlsx]Book'!G1630</f>
        <v>0.0</v>
      </c>
      <c r="H1630" s="15">
        <f>'[01_Entry.xlsx]Book'!H1630</f>
        <v>0.0</v>
      </c>
      <c r="I1630" s="15">
        <f>'[01_Entry.xlsx]Book'!I1630</f>
        <v>0.0</v>
      </c>
      <c r="K1630" s="15">
        <f>'[01_Entry.xlsx]Book'!K1630</f>
        <v>0.0</v>
      </c>
      <c r="L1630" s="15">
        <f>'[01_Entry.xlsx]Book'!L1630</f>
        <v>0.0</v>
      </c>
      <c r="M1630" s="15">
        <f>'[01_Entry.xlsx]Book'!M1630</f>
        <v>0.0</v>
      </c>
      <c r="P1630" s="56">
        <f>IF($A1630="","",IFERROR(VALUE(MID($A1630,6,2)),""))</f>
        <v/>
      </c>
    </row>
    <row r="1631" spans="7:16">
      <c r="G1631" s="15">
        <f>'[01_Entry.xlsx]Book'!G1631</f>
        <v>0.0</v>
      </c>
      <c r="H1631" s="15">
        <f>'[01_Entry.xlsx]Book'!H1631</f>
        <v>0.0</v>
      </c>
      <c r="I1631" s="15">
        <f>'[01_Entry.xlsx]Book'!I1631</f>
        <v>0.0</v>
      </c>
      <c r="K1631" s="15">
        <f>'[01_Entry.xlsx]Book'!K1631</f>
        <v>0.0</v>
      </c>
      <c r="L1631" s="15">
        <f>'[01_Entry.xlsx]Book'!L1631</f>
        <v>0.0</v>
      </c>
      <c r="M1631" s="15">
        <f>'[01_Entry.xlsx]Book'!M1631</f>
        <v>0.0</v>
      </c>
      <c r="P1631" s="56">
        <f>IF($A1631="","",IFERROR(VALUE(MID($A1631,6,2)),""))</f>
        <v/>
      </c>
    </row>
    <row r="1632" spans="7:16">
      <c r="G1632" s="15">
        <f>'[01_Entry.xlsx]Book'!G1632</f>
        <v>0.0</v>
      </c>
      <c r="H1632" s="15">
        <f>'[01_Entry.xlsx]Book'!H1632</f>
        <v>0.0</v>
      </c>
      <c r="I1632" s="15">
        <f>'[01_Entry.xlsx]Book'!I1632</f>
        <v>0.0</v>
      </c>
      <c r="K1632" s="15">
        <f>'[01_Entry.xlsx]Book'!K1632</f>
        <v>0.0</v>
      </c>
      <c r="L1632" s="15">
        <f>'[01_Entry.xlsx]Book'!L1632</f>
        <v>0.0</v>
      </c>
      <c r="M1632" s="15">
        <f>'[01_Entry.xlsx]Book'!M1632</f>
        <v>0.0</v>
      </c>
      <c r="P1632" s="56">
        <f>IF($A1632="","",IFERROR(VALUE(MID($A1632,6,2)),""))</f>
        <v/>
      </c>
    </row>
    <row r="1633" spans="7:16">
      <c r="G1633" s="15">
        <f>'[01_Entry.xlsx]Book'!G1633</f>
        <v>0.0</v>
      </c>
      <c r="H1633" s="15">
        <f>'[01_Entry.xlsx]Book'!H1633</f>
        <v>0.0</v>
      </c>
      <c r="I1633" s="15">
        <f>'[01_Entry.xlsx]Book'!I1633</f>
        <v>0.0</v>
      </c>
      <c r="K1633" s="15">
        <f>'[01_Entry.xlsx]Book'!K1633</f>
        <v>0.0</v>
      </c>
      <c r="L1633" s="15">
        <f>'[01_Entry.xlsx]Book'!L1633</f>
        <v>0.0</v>
      </c>
      <c r="M1633" s="15">
        <f>'[01_Entry.xlsx]Book'!M1633</f>
        <v>0.0</v>
      </c>
      <c r="P1633" s="56">
        <f>IF($A1633="","",IFERROR(VALUE(MID($A1633,6,2)),""))</f>
        <v/>
      </c>
    </row>
    <row r="1634" spans="7:16">
      <c r="G1634" s="15">
        <f>'[01_Entry.xlsx]Book'!G1634</f>
        <v>0.0</v>
      </c>
      <c r="H1634" s="15">
        <f>'[01_Entry.xlsx]Book'!H1634</f>
        <v>0.0</v>
      </c>
      <c r="I1634" s="15">
        <f>'[01_Entry.xlsx]Book'!I1634</f>
        <v>0.0</v>
      </c>
      <c r="K1634" s="15">
        <f>'[01_Entry.xlsx]Book'!K1634</f>
        <v>0.0</v>
      </c>
      <c r="L1634" s="15">
        <f>'[01_Entry.xlsx]Book'!L1634</f>
        <v>0.0</v>
      </c>
      <c r="M1634" s="15">
        <f>'[01_Entry.xlsx]Book'!M1634</f>
        <v>0.0</v>
      </c>
      <c r="P1634" s="56">
        <f>IF($A1634="","",IFERROR(VALUE(MID($A1634,6,2)),""))</f>
        <v/>
      </c>
    </row>
    <row r="1635" spans="7:16">
      <c r="G1635" s="15">
        <f>'[01_Entry.xlsx]Book'!G1635</f>
        <v>0.0</v>
      </c>
      <c r="H1635" s="15">
        <f>'[01_Entry.xlsx]Book'!H1635</f>
        <v>0.0</v>
      </c>
      <c r="I1635" s="15">
        <f>'[01_Entry.xlsx]Book'!I1635</f>
        <v>0.0</v>
      </c>
      <c r="K1635" s="15">
        <f>'[01_Entry.xlsx]Book'!K1635</f>
        <v>0.0</v>
      </c>
      <c r="L1635" s="15">
        <f>'[01_Entry.xlsx]Book'!L1635</f>
        <v>0.0</v>
      </c>
      <c r="M1635" s="15">
        <f>'[01_Entry.xlsx]Book'!M1635</f>
        <v>0.0</v>
      </c>
      <c r="P1635" s="56">
        <f>IF($A1635="","",IFERROR(VALUE(MID($A1635,6,2)),""))</f>
        <v/>
      </c>
    </row>
    <row r="1636" spans="7:16">
      <c r="G1636" s="15">
        <f>'[01_Entry.xlsx]Book'!G1636</f>
        <v>0.0</v>
      </c>
      <c r="H1636" s="15">
        <f>'[01_Entry.xlsx]Book'!H1636</f>
        <v>0.0</v>
      </c>
      <c r="I1636" s="15">
        <f>'[01_Entry.xlsx]Book'!I1636</f>
        <v>0.0</v>
      </c>
      <c r="K1636" s="15">
        <f>'[01_Entry.xlsx]Book'!K1636</f>
        <v>0.0</v>
      </c>
      <c r="L1636" s="15">
        <f>'[01_Entry.xlsx]Book'!L1636</f>
        <v>0.0</v>
      </c>
      <c r="M1636" s="15">
        <f>'[01_Entry.xlsx]Book'!M1636</f>
        <v>0.0</v>
      </c>
      <c r="P1636" s="56">
        <f>IF($A1636="","",IFERROR(VALUE(MID($A1636,6,2)),""))</f>
        <v/>
      </c>
    </row>
    <row r="1637" spans="7:16">
      <c r="G1637" s="15">
        <f>'[01_Entry.xlsx]Book'!G1637</f>
        <v>0.0</v>
      </c>
      <c r="H1637" s="15">
        <f>'[01_Entry.xlsx]Book'!H1637</f>
        <v>0.0</v>
      </c>
      <c r="I1637" s="15">
        <f>'[01_Entry.xlsx]Book'!I1637</f>
        <v>0.0</v>
      </c>
      <c r="K1637" s="15">
        <f>'[01_Entry.xlsx]Book'!K1637</f>
        <v>0.0</v>
      </c>
      <c r="L1637" s="15">
        <f>'[01_Entry.xlsx]Book'!L1637</f>
        <v>0.0</v>
      </c>
      <c r="M1637" s="15">
        <f>'[01_Entry.xlsx]Book'!M1637</f>
        <v>0.0</v>
      </c>
      <c r="P1637" s="56">
        <f>IF($A1637="","",IFERROR(VALUE(MID($A1637,6,2)),""))</f>
        <v/>
      </c>
    </row>
    <row r="1638" spans="7:16">
      <c r="G1638" s="15">
        <f>'[01_Entry.xlsx]Book'!G1638</f>
        <v>0.0</v>
      </c>
      <c r="H1638" s="15">
        <f>'[01_Entry.xlsx]Book'!H1638</f>
        <v>0.0</v>
      </c>
      <c r="I1638" s="15">
        <f>'[01_Entry.xlsx]Book'!I1638</f>
        <v>0.0</v>
      </c>
      <c r="K1638" s="15">
        <f>'[01_Entry.xlsx]Book'!K1638</f>
        <v>0.0</v>
      </c>
      <c r="L1638" s="15">
        <f>'[01_Entry.xlsx]Book'!L1638</f>
        <v>0.0</v>
      </c>
      <c r="M1638" s="15">
        <f>'[01_Entry.xlsx]Book'!M1638</f>
        <v>0.0</v>
      </c>
      <c r="P1638" s="56">
        <f>IF($A1638="","",IFERROR(VALUE(MID($A1638,6,2)),""))</f>
        <v/>
      </c>
    </row>
    <row r="1639" spans="7:16">
      <c r="G1639" s="15">
        <f>'[01_Entry.xlsx]Book'!G1639</f>
        <v>0.0</v>
      </c>
      <c r="H1639" s="15">
        <f>'[01_Entry.xlsx]Book'!H1639</f>
        <v>0.0</v>
      </c>
      <c r="I1639" s="15">
        <f>'[01_Entry.xlsx]Book'!I1639</f>
        <v>0.0</v>
      </c>
      <c r="K1639" s="15">
        <f>'[01_Entry.xlsx]Book'!K1639</f>
        <v>0.0</v>
      </c>
      <c r="L1639" s="15">
        <f>'[01_Entry.xlsx]Book'!L1639</f>
        <v>0.0</v>
      </c>
      <c r="M1639" s="15">
        <f>'[01_Entry.xlsx]Book'!M1639</f>
        <v>0.0</v>
      </c>
      <c r="P1639" s="56">
        <f>IF($A1639="","",IFERROR(VALUE(MID($A1639,6,2)),""))</f>
        <v/>
      </c>
    </row>
    <row r="1640" spans="7:16">
      <c r="G1640" s="15">
        <f>'[01_Entry.xlsx]Book'!G1640</f>
        <v>0.0</v>
      </c>
      <c r="H1640" s="15">
        <f>'[01_Entry.xlsx]Book'!H1640</f>
        <v>0.0</v>
      </c>
      <c r="I1640" s="15">
        <f>'[01_Entry.xlsx]Book'!I1640</f>
        <v>0.0</v>
      </c>
      <c r="K1640" s="15">
        <f>'[01_Entry.xlsx]Book'!K1640</f>
        <v>0.0</v>
      </c>
      <c r="L1640" s="15">
        <f>'[01_Entry.xlsx]Book'!L1640</f>
        <v>0.0</v>
      </c>
      <c r="M1640" s="15">
        <f>'[01_Entry.xlsx]Book'!M1640</f>
        <v>0.0</v>
      </c>
      <c r="P1640" s="56">
        <f>IF($A1640="","",IFERROR(VALUE(MID($A1640,6,2)),""))</f>
        <v/>
      </c>
    </row>
    <row r="1641" spans="7:16">
      <c r="G1641" s="15">
        <f>'[01_Entry.xlsx]Book'!G1641</f>
        <v>0.0</v>
      </c>
      <c r="H1641" s="15">
        <f>'[01_Entry.xlsx]Book'!H1641</f>
        <v>0.0</v>
      </c>
      <c r="I1641" s="15">
        <f>'[01_Entry.xlsx]Book'!I1641</f>
        <v>0.0</v>
      </c>
      <c r="K1641" s="15">
        <f>'[01_Entry.xlsx]Book'!K1641</f>
        <v>0.0</v>
      </c>
      <c r="L1641" s="15">
        <f>'[01_Entry.xlsx]Book'!L1641</f>
        <v>0.0</v>
      </c>
      <c r="M1641" s="15">
        <f>'[01_Entry.xlsx]Book'!M1641</f>
        <v>0.0</v>
      </c>
      <c r="P1641" s="56">
        <f>IF($A1641="","",IFERROR(VALUE(MID($A1641,6,2)),""))</f>
        <v/>
      </c>
    </row>
    <row r="1642" spans="7:16">
      <c r="G1642" s="15">
        <f>'[01_Entry.xlsx]Book'!G1642</f>
        <v>0.0</v>
      </c>
      <c r="H1642" s="15">
        <f>'[01_Entry.xlsx]Book'!H1642</f>
        <v>0.0</v>
      </c>
      <c r="I1642" s="15">
        <f>'[01_Entry.xlsx]Book'!I1642</f>
        <v>0.0</v>
      </c>
      <c r="K1642" s="15">
        <f>'[01_Entry.xlsx]Book'!K1642</f>
        <v>0.0</v>
      </c>
      <c r="L1642" s="15">
        <f>'[01_Entry.xlsx]Book'!L1642</f>
        <v>0.0</v>
      </c>
      <c r="M1642" s="15">
        <f>'[01_Entry.xlsx]Book'!M1642</f>
        <v>0.0</v>
      </c>
      <c r="P1642" s="56">
        <f>IF($A1642="","",IFERROR(VALUE(MID($A1642,6,2)),""))</f>
        <v/>
      </c>
    </row>
    <row r="1643" spans="7:16">
      <c r="G1643" s="15">
        <f>'[01_Entry.xlsx]Book'!G1643</f>
        <v>0.0</v>
      </c>
      <c r="H1643" s="15">
        <f>'[01_Entry.xlsx]Book'!H1643</f>
        <v>0.0</v>
      </c>
      <c r="I1643" s="15">
        <f>'[01_Entry.xlsx]Book'!I1643</f>
        <v>0.0</v>
      </c>
      <c r="K1643" s="15">
        <f>'[01_Entry.xlsx]Book'!K1643</f>
        <v>0.0</v>
      </c>
      <c r="L1643" s="15">
        <f>'[01_Entry.xlsx]Book'!L1643</f>
        <v>0.0</v>
      </c>
      <c r="M1643" s="15">
        <f>'[01_Entry.xlsx]Book'!M1643</f>
        <v>0.0</v>
      </c>
      <c r="P1643" s="56">
        <f>IF($A1643="","",IFERROR(VALUE(MID($A1643,6,2)),""))</f>
        <v/>
      </c>
    </row>
    <row r="1644" spans="7:16">
      <c r="G1644" s="15">
        <f>'[01_Entry.xlsx]Book'!G1644</f>
        <v>0.0</v>
      </c>
      <c r="H1644" s="15">
        <f>'[01_Entry.xlsx]Book'!H1644</f>
        <v>0.0</v>
      </c>
      <c r="I1644" s="15">
        <f>'[01_Entry.xlsx]Book'!I1644</f>
        <v>0.0</v>
      </c>
      <c r="K1644" s="15">
        <f>'[01_Entry.xlsx]Book'!K1644</f>
        <v>0.0</v>
      </c>
      <c r="L1644" s="15">
        <f>'[01_Entry.xlsx]Book'!L1644</f>
        <v>0.0</v>
      </c>
      <c r="M1644" s="15">
        <f>'[01_Entry.xlsx]Book'!M1644</f>
        <v>0.0</v>
      </c>
      <c r="P1644" s="56">
        <f>IF($A1644="","",IFERROR(VALUE(MID($A1644,6,2)),""))</f>
        <v/>
      </c>
    </row>
    <row r="1645" spans="7:16">
      <c r="G1645" s="15">
        <f>'[01_Entry.xlsx]Book'!G1645</f>
        <v>0.0</v>
      </c>
      <c r="H1645" s="15">
        <f>'[01_Entry.xlsx]Book'!H1645</f>
        <v>0.0</v>
      </c>
      <c r="I1645" s="15">
        <f>'[01_Entry.xlsx]Book'!I1645</f>
        <v>0.0</v>
      </c>
      <c r="K1645" s="15">
        <f>'[01_Entry.xlsx]Book'!K1645</f>
        <v>0.0</v>
      </c>
      <c r="L1645" s="15">
        <f>'[01_Entry.xlsx]Book'!L1645</f>
        <v>0.0</v>
      </c>
      <c r="M1645" s="15">
        <f>'[01_Entry.xlsx]Book'!M1645</f>
        <v>0.0</v>
      </c>
      <c r="P1645" s="56">
        <f>IF($A1645="","",IFERROR(VALUE(MID($A1645,6,2)),""))</f>
        <v/>
      </c>
    </row>
    <row r="1646" spans="7:16">
      <c r="G1646" s="15">
        <f>'[01_Entry.xlsx]Book'!G1646</f>
        <v>0.0</v>
      </c>
      <c r="H1646" s="15">
        <f>'[01_Entry.xlsx]Book'!H1646</f>
        <v>0.0</v>
      </c>
      <c r="I1646" s="15">
        <f>'[01_Entry.xlsx]Book'!I1646</f>
        <v>0.0</v>
      </c>
      <c r="K1646" s="15">
        <f>'[01_Entry.xlsx]Book'!K1646</f>
        <v>0.0</v>
      </c>
      <c r="L1646" s="15">
        <f>'[01_Entry.xlsx]Book'!L1646</f>
        <v>0.0</v>
      </c>
      <c r="M1646" s="15">
        <f>'[01_Entry.xlsx]Book'!M1646</f>
        <v>0.0</v>
      </c>
      <c r="P1646" s="56">
        <f>IF($A1646="","",IFERROR(VALUE(MID($A1646,6,2)),""))</f>
        <v/>
      </c>
    </row>
    <row r="1647" spans="7:16">
      <c r="G1647" s="15">
        <f>'[01_Entry.xlsx]Book'!G1647</f>
        <v>0.0</v>
      </c>
      <c r="H1647" s="15">
        <f>'[01_Entry.xlsx]Book'!H1647</f>
        <v>0.0</v>
      </c>
      <c r="I1647" s="15">
        <f>'[01_Entry.xlsx]Book'!I1647</f>
        <v>0.0</v>
      </c>
      <c r="K1647" s="15">
        <f>'[01_Entry.xlsx]Book'!K1647</f>
        <v>0.0</v>
      </c>
      <c r="L1647" s="15">
        <f>'[01_Entry.xlsx]Book'!L1647</f>
        <v>0.0</v>
      </c>
      <c r="M1647" s="15">
        <f>'[01_Entry.xlsx]Book'!M1647</f>
        <v>0.0</v>
      </c>
      <c r="P1647" s="56">
        <f>IF($A1647="","",IFERROR(VALUE(MID($A1647,6,2)),""))</f>
        <v/>
      </c>
    </row>
    <row r="1648" spans="7:16">
      <c r="G1648" s="15">
        <f>'[01_Entry.xlsx]Book'!G1648</f>
        <v>0.0</v>
      </c>
      <c r="H1648" s="15">
        <f>'[01_Entry.xlsx]Book'!H1648</f>
        <v>0.0</v>
      </c>
      <c r="I1648" s="15">
        <f>'[01_Entry.xlsx]Book'!I1648</f>
        <v>0.0</v>
      </c>
      <c r="K1648" s="15">
        <f>'[01_Entry.xlsx]Book'!K1648</f>
        <v>0.0</v>
      </c>
      <c r="L1648" s="15">
        <f>'[01_Entry.xlsx]Book'!L1648</f>
        <v>0.0</v>
      </c>
      <c r="M1648" s="15">
        <f>'[01_Entry.xlsx]Book'!M1648</f>
        <v>0.0</v>
      </c>
      <c r="P1648" s="56">
        <f>IF($A1648="","",IFERROR(VALUE(MID($A1648,6,2)),""))</f>
        <v/>
      </c>
    </row>
    <row r="1649" spans="7:16">
      <c r="G1649" s="15">
        <f>'[01_Entry.xlsx]Book'!G1649</f>
        <v>0.0</v>
      </c>
      <c r="H1649" s="15">
        <f>'[01_Entry.xlsx]Book'!H1649</f>
        <v>0.0</v>
      </c>
      <c r="I1649" s="15">
        <f>'[01_Entry.xlsx]Book'!I1649</f>
        <v>0.0</v>
      </c>
      <c r="K1649" s="15">
        <f>'[01_Entry.xlsx]Book'!K1649</f>
        <v>0.0</v>
      </c>
      <c r="L1649" s="15">
        <f>'[01_Entry.xlsx]Book'!L1649</f>
        <v>0.0</v>
      </c>
      <c r="M1649" s="15">
        <f>'[01_Entry.xlsx]Book'!M1649</f>
        <v>0.0</v>
      </c>
      <c r="P1649" s="56">
        <f>IF($A1649="","",IFERROR(VALUE(MID($A1649,6,2)),""))</f>
        <v/>
      </c>
    </row>
    <row r="1650" spans="7:16">
      <c r="G1650" s="15">
        <f>'[01_Entry.xlsx]Book'!G1650</f>
        <v>0.0</v>
      </c>
      <c r="H1650" s="15">
        <f>'[01_Entry.xlsx]Book'!H1650</f>
        <v>0.0</v>
      </c>
      <c r="I1650" s="15">
        <f>'[01_Entry.xlsx]Book'!I1650</f>
        <v>0.0</v>
      </c>
      <c r="K1650" s="15">
        <f>'[01_Entry.xlsx]Book'!K1650</f>
        <v>0.0</v>
      </c>
      <c r="L1650" s="15">
        <f>'[01_Entry.xlsx]Book'!L1650</f>
        <v>0.0</v>
      </c>
      <c r="M1650" s="15">
        <f>'[01_Entry.xlsx]Book'!M1650</f>
        <v>0.0</v>
      </c>
      <c r="P1650" s="56">
        <f>IF($A1650="","",IFERROR(VALUE(MID($A1650,6,2)),""))</f>
        <v/>
      </c>
    </row>
    <row r="1651" spans="7:16">
      <c r="G1651" s="15">
        <f>'[01_Entry.xlsx]Book'!G1651</f>
        <v>0.0</v>
      </c>
      <c r="H1651" s="15">
        <f>'[01_Entry.xlsx]Book'!H1651</f>
        <v>0.0</v>
      </c>
      <c r="I1651" s="15">
        <f>'[01_Entry.xlsx]Book'!I1651</f>
        <v>0.0</v>
      </c>
      <c r="K1651" s="15">
        <f>'[01_Entry.xlsx]Book'!K1651</f>
        <v>0.0</v>
      </c>
      <c r="L1651" s="15">
        <f>'[01_Entry.xlsx]Book'!L1651</f>
        <v>0.0</v>
      </c>
      <c r="M1651" s="15">
        <f>'[01_Entry.xlsx]Book'!M1651</f>
        <v>0.0</v>
      </c>
      <c r="P1651" s="56">
        <f>IF($A1651="","",IFERROR(VALUE(MID($A1651,6,2)),""))</f>
        <v/>
      </c>
    </row>
    <row r="1652" spans="7:16">
      <c r="G1652" s="15">
        <f>'[01_Entry.xlsx]Book'!G1652</f>
        <v>0.0</v>
      </c>
      <c r="H1652" s="15">
        <f>'[01_Entry.xlsx]Book'!H1652</f>
        <v>0.0</v>
      </c>
      <c r="I1652" s="15">
        <f>'[01_Entry.xlsx]Book'!I1652</f>
        <v>0.0</v>
      </c>
      <c r="K1652" s="15">
        <f>'[01_Entry.xlsx]Book'!K1652</f>
        <v>0.0</v>
      </c>
      <c r="L1652" s="15">
        <f>'[01_Entry.xlsx]Book'!L1652</f>
        <v>0.0</v>
      </c>
      <c r="M1652" s="15">
        <f>'[01_Entry.xlsx]Book'!M1652</f>
        <v>0.0</v>
      </c>
      <c r="P1652" s="56">
        <f>IF($A1652="","",IFERROR(VALUE(MID($A1652,6,2)),""))</f>
        <v/>
      </c>
    </row>
    <row r="1653" spans="7:16">
      <c r="G1653" s="15">
        <f>'[01_Entry.xlsx]Book'!G1653</f>
        <v>0.0</v>
      </c>
      <c r="H1653" s="15">
        <f>'[01_Entry.xlsx]Book'!H1653</f>
        <v>0.0</v>
      </c>
      <c r="I1653" s="15">
        <f>'[01_Entry.xlsx]Book'!I1653</f>
        <v>0.0</v>
      </c>
      <c r="K1653" s="15">
        <f>'[01_Entry.xlsx]Book'!K1653</f>
        <v>0.0</v>
      </c>
      <c r="L1653" s="15">
        <f>'[01_Entry.xlsx]Book'!L1653</f>
        <v>0.0</v>
      </c>
      <c r="M1653" s="15">
        <f>'[01_Entry.xlsx]Book'!M1653</f>
        <v>0.0</v>
      </c>
      <c r="P1653" s="56">
        <f>IF($A1653="","",IFERROR(VALUE(MID($A1653,6,2)),""))</f>
        <v/>
      </c>
    </row>
    <row r="1654" spans="7:16">
      <c r="G1654" s="15">
        <f>'[01_Entry.xlsx]Book'!G1654</f>
        <v>0.0</v>
      </c>
      <c r="H1654" s="15">
        <f>'[01_Entry.xlsx]Book'!H1654</f>
        <v>0.0</v>
      </c>
      <c r="I1654" s="15">
        <f>'[01_Entry.xlsx]Book'!I1654</f>
        <v>0.0</v>
      </c>
      <c r="K1654" s="15">
        <f>'[01_Entry.xlsx]Book'!K1654</f>
        <v>0.0</v>
      </c>
      <c r="L1654" s="15">
        <f>'[01_Entry.xlsx]Book'!L1654</f>
        <v>0.0</v>
      </c>
      <c r="M1654" s="15">
        <f>'[01_Entry.xlsx]Book'!M1654</f>
        <v>0.0</v>
      </c>
      <c r="P1654" s="56">
        <f>IF($A1654="","",IFERROR(VALUE(MID($A1654,6,2)),""))</f>
        <v/>
      </c>
    </row>
    <row r="1655" spans="7:16">
      <c r="G1655" s="15">
        <f>'[01_Entry.xlsx]Book'!G1655</f>
        <v>0.0</v>
      </c>
      <c r="H1655" s="15">
        <f>'[01_Entry.xlsx]Book'!H1655</f>
        <v>0.0</v>
      </c>
      <c r="I1655" s="15">
        <f>'[01_Entry.xlsx]Book'!I1655</f>
        <v>0.0</v>
      </c>
      <c r="K1655" s="15">
        <f>'[01_Entry.xlsx]Book'!K1655</f>
        <v>0.0</v>
      </c>
      <c r="L1655" s="15">
        <f>'[01_Entry.xlsx]Book'!L1655</f>
        <v>0.0</v>
      </c>
      <c r="M1655" s="15">
        <f>'[01_Entry.xlsx]Book'!M1655</f>
        <v>0.0</v>
      </c>
      <c r="P1655" s="56">
        <f>IF($A1655="","",IFERROR(VALUE(MID($A1655,6,2)),""))</f>
        <v/>
      </c>
    </row>
    <row r="1656" spans="7:16">
      <c r="G1656" s="15">
        <f>'[01_Entry.xlsx]Book'!G1656</f>
        <v>0.0</v>
      </c>
      <c r="H1656" s="15">
        <f>'[01_Entry.xlsx]Book'!H1656</f>
        <v>0.0</v>
      </c>
      <c r="I1656" s="15">
        <f>'[01_Entry.xlsx]Book'!I1656</f>
        <v>0.0</v>
      </c>
      <c r="K1656" s="15">
        <f>'[01_Entry.xlsx]Book'!K1656</f>
        <v>0.0</v>
      </c>
      <c r="L1656" s="15">
        <f>'[01_Entry.xlsx]Book'!L1656</f>
        <v>0.0</v>
      </c>
      <c r="M1656" s="15">
        <f>'[01_Entry.xlsx]Book'!M1656</f>
        <v>0.0</v>
      </c>
      <c r="P1656" s="56">
        <f>IF($A1656="","",IFERROR(VALUE(MID($A1656,6,2)),""))</f>
        <v/>
      </c>
    </row>
    <row r="1657" spans="7:16">
      <c r="G1657" s="15">
        <f>'[01_Entry.xlsx]Book'!G1657</f>
        <v>0.0</v>
      </c>
      <c r="H1657" s="15">
        <f>'[01_Entry.xlsx]Book'!H1657</f>
        <v>0.0</v>
      </c>
      <c r="I1657" s="15">
        <f>'[01_Entry.xlsx]Book'!I1657</f>
        <v>0.0</v>
      </c>
      <c r="K1657" s="15">
        <f>'[01_Entry.xlsx]Book'!K1657</f>
        <v>0.0</v>
      </c>
      <c r="L1657" s="15">
        <f>'[01_Entry.xlsx]Book'!L1657</f>
        <v>0.0</v>
      </c>
      <c r="M1657" s="15">
        <f>'[01_Entry.xlsx]Book'!M1657</f>
        <v>0.0</v>
      </c>
      <c r="P1657" s="56">
        <f>IF($A1657="","",IFERROR(VALUE(MID($A1657,6,2)),""))</f>
        <v/>
      </c>
    </row>
    <row r="1658" spans="7:16">
      <c r="G1658" s="15">
        <f>'[01_Entry.xlsx]Book'!G1658</f>
        <v>0.0</v>
      </c>
      <c r="H1658" s="15">
        <f>'[01_Entry.xlsx]Book'!H1658</f>
        <v>0.0</v>
      </c>
      <c r="I1658" s="15">
        <f>'[01_Entry.xlsx]Book'!I1658</f>
        <v>0.0</v>
      </c>
      <c r="K1658" s="15">
        <f>'[01_Entry.xlsx]Book'!K1658</f>
        <v>0.0</v>
      </c>
      <c r="L1658" s="15">
        <f>'[01_Entry.xlsx]Book'!L1658</f>
        <v>0.0</v>
      </c>
      <c r="M1658" s="15">
        <f>'[01_Entry.xlsx]Book'!M1658</f>
        <v>0.0</v>
      </c>
      <c r="P1658" s="56">
        <f>IF($A1658="","",IFERROR(VALUE(MID($A1658,6,2)),""))</f>
        <v/>
      </c>
    </row>
    <row r="1659" spans="7:16">
      <c r="G1659" s="15">
        <f>'[01_Entry.xlsx]Book'!G1659</f>
        <v>0.0</v>
      </c>
      <c r="H1659" s="15">
        <f>'[01_Entry.xlsx]Book'!H1659</f>
        <v>0.0</v>
      </c>
      <c r="I1659" s="15">
        <f>'[01_Entry.xlsx]Book'!I1659</f>
        <v>0.0</v>
      </c>
      <c r="K1659" s="15">
        <f>'[01_Entry.xlsx]Book'!K1659</f>
        <v>0.0</v>
      </c>
      <c r="L1659" s="15">
        <f>'[01_Entry.xlsx]Book'!L1659</f>
        <v>0.0</v>
      </c>
      <c r="M1659" s="15">
        <f>'[01_Entry.xlsx]Book'!M1659</f>
        <v>0.0</v>
      </c>
      <c r="P1659" s="56">
        <f>IF($A1659="","",IFERROR(VALUE(MID($A1659,6,2)),""))</f>
        <v/>
      </c>
    </row>
    <row r="1660" spans="7:16">
      <c r="G1660" s="15">
        <f>'[01_Entry.xlsx]Book'!G1660</f>
        <v>0.0</v>
      </c>
      <c r="H1660" s="15">
        <f>'[01_Entry.xlsx]Book'!H1660</f>
        <v>0.0</v>
      </c>
      <c r="I1660" s="15">
        <f>'[01_Entry.xlsx]Book'!I1660</f>
        <v>0.0</v>
      </c>
      <c r="K1660" s="15">
        <f>'[01_Entry.xlsx]Book'!K1660</f>
        <v>0.0</v>
      </c>
      <c r="L1660" s="15">
        <f>'[01_Entry.xlsx]Book'!L1660</f>
        <v>0.0</v>
      </c>
      <c r="M1660" s="15">
        <f>'[01_Entry.xlsx]Book'!M1660</f>
        <v>0.0</v>
      </c>
      <c r="P1660" s="56">
        <f>IF($A1660="","",IFERROR(VALUE(MID($A1660,6,2)),""))</f>
        <v/>
      </c>
    </row>
    <row r="1661" spans="7:16">
      <c r="G1661" s="15">
        <f>'[01_Entry.xlsx]Book'!G1661</f>
        <v>0.0</v>
      </c>
      <c r="H1661" s="15">
        <f>'[01_Entry.xlsx]Book'!H1661</f>
        <v>0.0</v>
      </c>
      <c r="I1661" s="15">
        <f>'[01_Entry.xlsx]Book'!I1661</f>
        <v>0.0</v>
      </c>
      <c r="K1661" s="15">
        <f>'[01_Entry.xlsx]Book'!K1661</f>
        <v>0.0</v>
      </c>
      <c r="L1661" s="15">
        <f>'[01_Entry.xlsx]Book'!L1661</f>
        <v>0.0</v>
      </c>
      <c r="M1661" s="15">
        <f>'[01_Entry.xlsx]Book'!M1661</f>
        <v>0.0</v>
      </c>
      <c r="P1661" s="56">
        <f>IF($A1661="","",IFERROR(VALUE(MID($A1661,6,2)),""))</f>
        <v/>
      </c>
    </row>
    <row r="1662" spans="7:16">
      <c r="G1662" s="15">
        <f>'[01_Entry.xlsx]Book'!G1662</f>
        <v>0.0</v>
      </c>
      <c r="H1662" s="15">
        <f>'[01_Entry.xlsx]Book'!H1662</f>
        <v>0.0</v>
      </c>
      <c r="I1662" s="15">
        <f>'[01_Entry.xlsx]Book'!I1662</f>
        <v>0.0</v>
      </c>
      <c r="K1662" s="15">
        <f>'[01_Entry.xlsx]Book'!K1662</f>
        <v>0.0</v>
      </c>
      <c r="L1662" s="15">
        <f>'[01_Entry.xlsx]Book'!L1662</f>
        <v>0.0</v>
      </c>
      <c r="M1662" s="15">
        <f>'[01_Entry.xlsx]Book'!M1662</f>
        <v>0.0</v>
      </c>
      <c r="P1662" s="56">
        <f>IF($A1662="","",IFERROR(VALUE(MID($A1662,6,2)),""))</f>
        <v/>
      </c>
    </row>
    <row r="1663" spans="7:16">
      <c r="G1663" s="15">
        <f>'[01_Entry.xlsx]Book'!G1663</f>
        <v>0.0</v>
      </c>
      <c r="H1663" s="15">
        <f>'[01_Entry.xlsx]Book'!H1663</f>
        <v>0.0</v>
      </c>
      <c r="I1663" s="15">
        <f>'[01_Entry.xlsx]Book'!I1663</f>
        <v>0.0</v>
      </c>
      <c r="K1663" s="15">
        <f>'[01_Entry.xlsx]Book'!K1663</f>
        <v>0.0</v>
      </c>
      <c r="L1663" s="15">
        <f>'[01_Entry.xlsx]Book'!L1663</f>
        <v>0.0</v>
      </c>
      <c r="M1663" s="15">
        <f>'[01_Entry.xlsx]Book'!M1663</f>
        <v>0.0</v>
      </c>
      <c r="P1663" s="56">
        <f>IF($A1663="","",IFERROR(VALUE(MID($A1663,6,2)),""))</f>
        <v/>
      </c>
    </row>
    <row r="1664" spans="7:16">
      <c r="G1664" s="15">
        <f>'[01_Entry.xlsx]Book'!G1664</f>
        <v>0.0</v>
      </c>
      <c r="H1664" s="15">
        <f>'[01_Entry.xlsx]Book'!H1664</f>
        <v>0.0</v>
      </c>
      <c r="I1664" s="15">
        <f>'[01_Entry.xlsx]Book'!I1664</f>
        <v>0.0</v>
      </c>
      <c r="K1664" s="15">
        <f>'[01_Entry.xlsx]Book'!K1664</f>
        <v>0.0</v>
      </c>
      <c r="L1664" s="15">
        <f>'[01_Entry.xlsx]Book'!L1664</f>
        <v>0.0</v>
      </c>
      <c r="M1664" s="15">
        <f>'[01_Entry.xlsx]Book'!M1664</f>
        <v>0.0</v>
      </c>
      <c r="P1664" s="56">
        <f>IF($A1664="","",IFERROR(VALUE(MID($A1664,6,2)),""))</f>
        <v/>
      </c>
    </row>
    <row r="1665" spans="7:16">
      <c r="G1665" s="15">
        <f>'[01_Entry.xlsx]Book'!G1665</f>
        <v>0.0</v>
      </c>
      <c r="H1665" s="15">
        <f>'[01_Entry.xlsx]Book'!H1665</f>
        <v>0.0</v>
      </c>
      <c r="I1665" s="15">
        <f>'[01_Entry.xlsx]Book'!I1665</f>
        <v>0.0</v>
      </c>
      <c r="K1665" s="15">
        <f>'[01_Entry.xlsx]Book'!K1665</f>
        <v>0.0</v>
      </c>
      <c r="L1665" s="15">
        <f>'[01_Entry.xlsx]Book'!L1665</f>
        <v>0.0</v>
      </c>
      <c r="M1665" s="15">
        <f>'[01_Entry.xlsx]Book'!M1665</f>
        <v>0.0</v>
      </c>
      <c r="P1665" s="56">
        <f>IF($A1665="","",IFERROR(VALUE(MID($A1665,6,2)),""))</f>
        <v/>
      </c>
    </row>
    <row r="1666" spans="7:16">
      <c r="G1666" s="15">
        <f>'[01_Entry.xlsx]Book'!G1666</f>
        <v>0.0</v>
      </c>
      <c r="H1666" s="15">
        <f>'[01_Entry.xlsx]Book'!H1666</f>
        <v>0.0</v>
      </c>
      <c r="I1666" s="15">
        <f>'[01_Entry.xlsx]Book'!I1666</f>
        <v>0.0</v>
      </c>
      <c r="K1666" s="15">
        <f>'[01_Entry.xlsx]Book'!K1666</f>
        <v>0.0</v>
      </c>
      <c r="L1666" s="15">
        <f>'[01_Entry.xlsx]Book'!L1666</f>
        <v>0.0</v>
      </c>
      <c r="M1666" s="15">
        <f>'[01_Entry.xlsx]Book'!M1666</f>
        <v>0.0</v>
      </c>
      <c r="P1666" s="56">
        <f>IF($A1666="","",IFERROR(VALUE(MID($A1666,6,2)),""))</f>
        <v/>
      </c>
    </row>
    <row r="1667" spans="7:16">
      <c r="G1667" s="15">
        <f>'[01_Entry.xlsx]Book'!G1667</f>
        <v>0.0</v>
      </c>
      <c r="H1667" s="15">
        <f>'[01_Entry.xlsx]Book'!H1667</f>
        <v>0.0</v>
      </c>
      <c r="I1667" s="15">
        <f>'[01_Entry.xlsx]Book'!I1667</f>
        <v>0.0</v>
      </c>
      <c r="K1667" s="15">
        <f>'[01_Entry.xlsx]Book'!K1667</f>
        <v>0.0</v>
      </c>
      <c r="L1667" s="15">
        <f>'[01_Entry.xlsx]Book'!L1667</f>
        <v>0.0</v>
      </c>
      <c r="M1667" s="15">
        <f>'[01_Entry.xlsx]Book'!M1667</f>
        <v>0.0</v>
      </c>
      <c r="P1667" s="56">
        <f>IF($A1667="","",IFERROR(VALUE(MID($A1667,6,2)),""))</f>
        <v/>
      </c>
    </row>
    <row r="1668" spans="7:16">
      <c r="G1668" s="15">
        <f>'[01_Entry.xlsx]Book'!G1668</f>
        <v>0.0</v>
      </c>
      <c r="H1668" s="15">
        <f>'[01_Entry.xlsx]Book'!H1668</f>
        <v>0.0</v>
      </c>
      <c r="I1668" s="15">
        <f>'[01_Entry.xlsx]Book'!I1668</f>
        <v>0.0</v>
      </c>
      <c r="K1668" s="15">
        <f>'[01_Entry.xlsx]Book'!K1668</f>
        <v>0.0</v>
      </c>
      <c r="L1668" s="15">
        <f>'[01_Entry.xlsx]Book'!L1668</f>
        <v>0.0</v>
      </c>
      <c r="M1668" s="15">
        <f>'[01_Entry.xlsx]Book'!M1668</f>
        <v>0.0</v>
      </c>
      <c r="P1668" s="56">
        <f>IF($A1668="","",IFERROR(VALUE(MID($A1668,6,2)),""))</f>
        <v/>
      </c>
    </row>
    <row r="1669" spans="7:16">
      <c r="G1669" s="15">
        <f>'[01_Entry.xlsx]Book'!G1669</f>
        <v>0.0</v>
      </c>
      <c r="H1669" s="15">
        <f>'[01_Entry.xlsx]Book'!H1669</f>
        <v>0.0</v>
      </c>
      <c r="I1669" s="15">
        <f>'[01_Entry.xlsx]Book'!I1669</f>
        <v>0.0</v>
      </c>
      <c r="K1669" s="15">
        <f>'[01_Entry.xlsx]Book'!K1669</f>
        <v>0.0</v>
      </c>
      <c r="L1669" s="15">
        <f>'[01_Entry.xlsx]Book'!L1669</f>
        <v>0.0</v>
      </c>
      <c r="M1669" s="15">
        <f>'[01_Entry.xlsx]Book'!M1669</f>
        <v>0.0</v>
      </c>
      <c r="P1669" s="56">
        <f>IF($A1669="","",IFERROR(VALUE(MID($A1669,6,2)),""))</f>
        <v/>
      </c>
    </row>
    <row r="1670" spans="7:16">
      <c r="G1670" s="15">
        <f>'[01_Entry.xlsx]Book'!G1670</f>
        <v>0.0</v>
      </c>
      <c r="H1670" s="15">
        <f>'[01_Entry.xlsx]Book'!H1670</f>
        <v>0.0</v>
      </c>
      <c r="I1670" s="15">
        <f>'[01_Entry.xlsx]Book'!I1670</f>
        <v>0.0</v>
      </c>
      <c r="K1670" s="15">
        <f>'[01_Entry.xlsx]Book'!K1670</f>
        <v>0.0</v>
      </c>
      <c r="L1670" s="15">
        <f>'[01_Entry.xlsx]Book'!L1670</f>
        <v>0.0</v>
      </c>
      <c r="M1670" s="15">
        <f>'[01_Entry.xlsx]Book'!M1670</f>
        <v>0.0</v>
      </c>
      <c r="P1670" s="56">
        <f>IF($A1670="","",IFERROR(VALUE(MID($A1670,6,2)),""))</f>
        <v/>
      </c>
    </row>
    <row r="1671" spans="7:16">
      <c r="G1671" s="15">
        <f>'[01_Entry.xlsx]Book'!G1671</f>
        <v>0.0</v>
      </c>
      <c r="H1671" s="15">
        <f>'[01_Entry.xlsx]Book'!H1671</f>
        <v>0.0</v>
      </c>
      <c r="I1671" s="15">
        <f>'[01_Entry.xlsx]Book'!I1671</f>
        <v>0.0</v>
      </c>
      <c r="K1671" s="15">
        <f>'[01_Entry.xlsx]Book'!K1671</f>
        <v>0.0</v>
      </c>
      <c r="L1671" s="15">
        <f>'[01_Entry.xlsx]Book'!L1671</f>
        <v>0.0</v>
      </c>
      <c r="M1671" s="15">
        <f>'[01_Entry.xlsx]Book'!M1671</f>
        <v>0.0</v>
      </c>
      <c r="P1671" s="56">
        <f>IF($A1671="","",IFERROR(VALUE(MID($A1671,6,2)),""))</f>
        <v/>
      </c>
    </row>
    <row r="1672" spans="7:16">
      <c r="G1672" s="15">
        <f>'[01_Entry.xlsx]Book'!G1672</f>
        <v>0.0</v>
      </c>
      <c r="H1672" s="15">
        <f>'[01_Entry.xlsx]Book'!H1672</f>
        <v>0.0</v>
      </c>
      <c r="I1672" s="15">
        <f>'[01_Entry.xlsx]Book'!I1672</f>
        <v>0.0</v>
      </c>
      <c r="K1672" s="15">
        <f>'[01_Entry.xlsx]Book'!K1672</f>
        <v>0.0</v>
      </c>
      <c r="L1672" s="15">
        <f>'[01_Entry.xlsx]Book'!L1672</f>
        <v>0.0</v>
      </c>
      <c r="M1672" s="15">
        <f>'[01_Entry.xlsx]Book'!M1672</f>
        <v>0.0</v>
      </c>
      <c r="P1672" s="56">
        <f>IF($A1672="","",IFERROR(VALUE(MID($A1672,6,2)),""))</f>
        <v/>
      </c>
    </row>
    <row r="1673" spans="7:16">
      <c r="G1673" s="15">
        <f>'[01_Entry.xlsx]Book'!G1673</f>
        <v>0.0</v>
      </c>
      <c r="H1673" s="15">
        <f>'[01_Entry.xlsx]Book'!H1673</f>
        <v>0.0</v>
      </c>
      <c r="I1673" s="15">
        <f>'[01_Entry.xlsx]Book'!I1673</f>
        <v>0.0</v>
      </c>
      <c r="K1673" s="15">
        <f>'[01_Entry.xlsx]Book'!K1673</f>
        <v>0.0</v>
      </c>
      <c r="L1673" s="15">
        <f>'[01_Entry.xlsx]Book'!L1673</f>
        <v>0.0</v>
      </c>
      <c r="M1673" s="15">
        <f>'[01_Entry.xlsx]Book'!M1673</f>
        <v>0.0</v>
      </c>
      <c r="P1673" s="56">
        <f>IF($A1673="","",IFERROR(VALUE(MID($A1673,6,2)),""))</f>
        <v/>
      </c>
    </row>
    <row r="1674" spans="7:16">
      <c r="G1674" s="15">
        <f>'[01_Entry.xlsx]Book'!G1674</f>
        <v>0.0</v>
      </c>
      <c r="H1674" s="15">
        <f>'[01_Entry.xlsx]Book'!H1674</f>
        <v>0.0</v>
      </c>
      <c r="I1674" s="15">
        <f>'[01_Entry.xlsx]Book'!I1674</f>
        <v>0.0</v>
      </c>
      <c r="K1674" s="15">
        <f>'[01_Entry.xlsx]Book'!K1674</f>
        <v>0.0</v>
      </c>
      <c r="L1674" s="15">
        <f>'[01_Entry.xlsx]Book'!L1674</f>
        <v>0.0</v>
      </c>
      <c r="M1674" s="15">
        <f>'[01_Entry.xlsx]Book'!M1674</f>
        <v>0.0</v>
      </c>
      <c r="P1674" s="56">
        <f>IF($A1674="","",IFERROR(VALUE(MID($A1674,6,2)),""))</f>
        <v/>
      </c>
    </row>
    <row r="1675" spans="7:16">
      <c r="G1675" s="15">
        <f>'[01_Entry.xlsx]Book'!G1675</f>
        <v>0.0</v>
      </c>
      <c r="H1675" s="15">
        <f>'[01_Entry.xlsx]Book'!H1675</f>
        <v>0.0</v>
      </c>
      <c r="I1675" s="15">
        <f>'[01_Entry.xlsx]Book'!I1675</f>
        <v>0.0</v>
      </c>
      <c r="K1675" s="15">
        <f>'[01_Entry.xlsx]Book'!K1675</f>
        <v>0.0</v>
      </c>
      <c r="L1675" s="15">
        <f>'[01_Entry.xlsx]Book'!L1675</f>
        <v>0.0</v>
      </c>
      <c r="M1675" s="15">
        <f>'[01_Entry.xlsx]Book'!M1675</f>
        <v>0.0</v>
      </c>
      <c r="P1675" s="56">
        <f>IF($A1675="","",IFERROR(VALUE(MID($A1675,6,2)),""))</f>
        <v/>
      </c>
    </row>
    <row r="1676" spans="7:16">
      <c r="G1676" s="15">
        <f>'[01_Entry.xlsx]Book'!G1676</f>
        <v>0.0</v>
      </c>
      <c r="H1676" s="15">
        <f>'[01_Entry.xlsx]Book'!H1676</f>
        <v>0.0</v>
      </c>
      <c r="I1676" s="15">
        <f>'[01_Entry.xlsx]Book'!I1676</f>
        <v>0.0</v>
      </c>
      <c r="K1676" s="15">
        <f>'[01_Entry.xlsx]Book'!K1676</f>
        <v>0.0</v>
      </c>
      <c r="L1676" s="15">
        <f>'[01_Entry.xlsx]Book'!L1676</f>
        <v>0.0</v>
      </c>
      <c r="M1676" s="15">
        <f>'[01_Entry.xlsx]Book'!M1676</f>
        <v>0.0</v>
      </c>
      <c r="P1676" s="56">
        <f>IF($A1676="","",IFERROR(VALUE(MID($A1676,6,2)),""))</f>
        <v/>
      </c>
    </row>
    <row r="1677" spans="7:16">
      <c r="G1677" s="15">
        <f>'[01_Entry.xlsx]Book'!G1677</f>
        <v>0.0</v>
      </c>
      <c r="H1677" s="15">
        <f>'[01_Entry.xlsx]Book'!H1677</f>
        <v>0.0</v>
      </c>
      <c r="I1677" s="15">
        <f>'[01_Entry.xlsx]Book'!I1677</f>
        <v>0.0</v>
      </c>
      <c r="K1677" s="15">
        <f>'[01_Entry.xlsx]Book'!K1677</f>
        <v>0.0</v>
      </c>
      <c r="L1677" s="15">
        <f>'[01_Entry.xlsx]Book'!L1677</f>
        <v>0.0</v>
      </c>
      <c r="M1677" s="15">
        <f>'[01_Entry.xlsx]Book'!M1677</f>
        <v>0.0</v>
      </c>
      <c r="P1677" s="56">
        <f>IF($A1677="","",IFERROR(VALUE(MID($A1677,6,2)),""))</f>
        <v/>
      </c>
    </row>
    <row r="1678" spans="7:16">
      <c r="G1678" s="15">
        <f>'[01_Entry.xlsx]Book'!G1678</f>
        <v>0.0</v>
      </c>
      <c r="H1678" s="15">
        <f>'[01_Entry.xlsx]Book'!H1678</f>
        <v>0.0</v>
      </c>
      <c r="I1678" s="15">
        <f>'[01_Entry.xlsx]Book'!I1678</f>
        <v>0.0</v>
      </c>
      <c r="K1678" s="15">
        <f>'[01_Entry.xlsx]Book'!K1678</f>
        <v>0.0</v>
      </c>
      <c r="L1678" s="15">
        <f>'[01_Entry.xlsx]Book'!L1678</f>
        <v>0.0</v>
      </c>
      <c r="M1678" s="15">
        <f>'[01_Entry.xlsx]Book'!M1678</f>
        <v>0.0</v>
      </c>
      <c r="P1678" s="56">
        <f>IF($A1678="","",IFERROR(VALUE(MID($A1678,6,2)),""))</f>
        <v/>
      </c>
    </row>
    <row r="1679" spans="7:16">
      <c r="G1679" s="15">
        <f>'[01_Entry.xlsx]Book'!G1679</f>
        <v>0.0</v>
      </c>
      <c r="H1679" s="15">
        <f>'[01_Entry.xlsx]Book'!H1679</f>
        <v>0.0</v>
      </c>
      <c r="I1679" s="15">
        <f>'[01_Entry.xlsx]Book'!I1679</f>
        <v>0.0</v>
      </c>
      <c r="K1679" s="15">
        <f>'[01_Entry.xlsx]Book'!K1679</f>
        <v>0.0</v>
      </c>
      <c r="L1679" s="15">
        <f>'[01_Entry.xlsx]Book'!L1679</f>
        <v>0.0</v>
      </c>
      <c r="M1679" s="15">
        <f>'[01_Entry.xlsx]Book'!M1679</f>
        <v>0.0</v>
      </c>
      <c r="P1679" s="56">
        <f>IF($A1679="","",IFERROR(VALUE(MID($A1679,6,2)),""))</f>
        <v/>
      </c>
    </row>
    <row r="1680" spans="7:16">
      <c r="G1680" s="15">
        <f>'[01_Entry.xlsx]Book'!G1680</f>
        <v>0.0</v>
      </c>
      <c r="H1680" s="15">
        <f>'[01_Entry.xlsx]Book'!H1680</f>
        <v>0.0</v>
      </c>
      <c r="I1680" s="15">
        <f>'[01_Entry.xlsx]Book'!I1680</f>
        <v>0.0</v>
      </c>
      <c r="K1680" s="15">
        <f>'[01_Entry.xlsx]Book'!K1680</f>
        <v>0.0</v>
      </c>
      <c r="L1680" s="15">
        <f>'[01_Entry.xlsx]Book'!L1680</f>
        <v>0.0</v>
      </c>
      <c r="M1680" s="15">
        <f>'[01_Entry.xlsx]Book'!M1680</f>
        <v>0.0</v>
      </c>
      <c r="P1680" s="56">
        <f>IF($A1680="","",IFERROR(VALUE(MID($A1680,6,2)),""))</f>
        <v/>
      </c>
    </row>
    <row r="1681" spans="7:16">
      <c r="G1681" s="15">
        <f>'[01_Entry.xlsx]Book'!G1681</f>
        <v>0.0</v>
      </c>
      <c r="H1681" s="15">
        <f>'[01_Entry.xlsx]Book'!H1681</f>
        <v>0.0</v>
      </c>
      <c r="I1681" s="15">
        <f>'[01_Entry.xlsx]Book'!I1681</f>
        <v>0.0</v>
      </c>
      <c r="K1681" s="15">
        <f>'[01_Entry.xlsx]Book'!K1681</f>
        <v>0.0</v>
      </c>
      <c r="L1681" s="15">
        <f>'[01_Entry.xlsx]Book'!L1681</f>
        <v>0.0</v>
      </c>
      <c r="M1681" s="15">
        <f>'[01_Entry.xlsx]Book'!M1681</f>
        <v>0.0</v>
      </c>
      <c r="P1681" s="56">
        <f>IF($A1681="","",IFERROR(VALUE(MID($A1681,6,2)),""))</f>
        <v/>
      </c>
    </row>
    <row r="1682" spans="7:16">
      <c r="G1682" s="15">
        <f>'[01_Entry.xlsx]Book'!G1682</f>
        <v>0.0</v>
      </c>
      <c r="H1682" s="15">
        <f>'[01_Entry.xlsx]Book'!H1682</f>
        <v>0.0</v>
      </c>
      <c r="I1682" s="15">
        <f>'[01_Entry.xlsx]Book'!I1682</f>
        <v>0.0</v>
      </c>
      <c r="K1682" s="15">
        <f>'[01_Entry.xlsx]Book'!K1682</f>
        <v>0.0</v>
      </c>
      <c r="L1682" s="15">
        <f>'[01_Entry.xlsx]Book'!L1682</f>
        <v>0.0</v>
      </c>
      <c r="M1682" s="15">
        <f>'[01_Entry.xlsx]Book'!M1682</f>
        <v>0.0</v>
      </c>
      <c r="P1682" s="56">
        <f>IF($A1682="","",IFERROR(VALUE(MID($A1682,6,2)),""))</f>
        <v/>
      </c>
    </row>
    <row r="1683" spans="7:16">
      <c r="G1683" s="15">
        <f>'[01_Entry.xlsx]Book'!G1683</f>
        <v>0.0</v>
      </c>
      <c r="H1683" s="15">
        <f>'[01_Entry.xlsx]Book'!H1683</f>
        <v>0.0</v>
      </c>
      <c r="I1683" s="15">
        <f>'[01_Entry.xlsx]Book'!I1683</f>
        <v>0.0</v>
      </c>
      <c r="K1683" s="15">
        <f>'[01_Entry.xlsx]Book'!K1683</f>
        <v>0.0</v>
      </c>
      <c r="L1683" s="15">
        <f>'[01_Entry.xlsx]Book'!L1683</f>
        <v>0.0</v>
      </c>
      <c r="M1683" s="15">
        <f>'[01_Entry.xlsx]Book'!M1683</f>
        <v>0.0</v>
      </c>
      <c r="P1683" s="56">
        <f>IF($A1683="","",IFERROR(VALUE(MID($A1683,6,2)),""))</f>
        <v/>
      </c>
    </row>
    <row r="1684" spans="7:16">
      <c r="G1684" s="15">
        <f>'[01_Entry.xlsx]Book'!G1684</f>
        <v>0.0</v>
      </c>
      <c r="H1684" s="15">
        <f>'[01_Entry.xlsx]Book'!H1684</f>
        <v>0.0</v>
      </c>
      <c r="I1684" s="15">
        <f>'[01_Entry.xlsx]Book'!I1684</f>
        <v>0.0</v>
      </c>
      <c r="K1684" s="15">
        <f>'[01_Entry.xlsx]Book'!K1684</f>
        <v>0.0</v>
      </c>
      <c r="L1684" s="15">
        <f>'[01_Entry.xlsx]Book'!L1684</f>
        <v>0.0</v>
      </c>
      <c r="M1684" s="15">
        <f>'[01_Entry.xlsx]Book'!M1684</f>
        <v>0.0</v>
      </c>
      <c r="P1684" s="56">
        <f>IF($A1684="","",IFERROR(VALUE(MID($A1684,6,2)),""))</f>
        <v/>
      </c>
    </row>
    <row r="1685" spans="7:16">
      <c r="G1685" s="15">
        <f>'[01_Entry.xlsx]Book'!G1685</f>
        <v>0.0</v>
      </c>
      <c r="H1685" s="15">
        <f>'[01_Entry.xlsx]Book'!H1685</f>
        <v>0.0</v>
      </c>
      <c r="I1685" s="15">
        <f>'[01_Entry.xlsx]Book'!I1685</f>
        <v>0.0</v>
      </c>
      <c r="K1685" s="15">
        <f>'[01_Entry.xlsx]Book'!K1685</f>
        <v>0.0</v>
      </c>
      <c r="L1685" s="15">
        <f>'[01_Entry.xlsx]Book'!L1685</f>
        <v>0.0</v>
      </c>
      <c r="M1685" s="15">
        <f>'[01_Entry.xlsx]Book'!M1685</f>
        <v>0.0</v>
      </c>
      <c r="P1685" s="56">
        <f>IF($A1685="","",IFERROR(VALUE(MID($A1685,6,2)),""))</f>
        <v/>
      </c>
    </row>
    <row r="1686" spans="7:16">
      <c r="G1686" s="15">
        <f>'[01_Entry.xlsx]Book'!G1686</f>
        <v>0.0</v>
      </c>
      <c r="H1686" s="15">
        <f>'[01_Entry.xlsx]Book'!H1686</f>
        <v>0.0</v>
      </c>
      <c r="I1686" s="15">
        <f>'[01_Entry.xlsx]Book'!I1686</f>
        <v>0.0</v>
      </c>
      <c r="K1686" s="15">
        <f>'[01_Entry.xlsx]Book'!K1686</f>
        <v>0.0</v>
      </c>
      <c r="L1686" s="15">
        <f>'[01_Entry.xlsx]Book'!L1686</f>
        <v>0.0</v>
      </c>
      <c r="M1686" s="15">
        <f>'[01_Entry.xlsx]Book'!M1686</f>
        <v>0.0</v>
      </c>
      <c r="P1686" s="56">
        <f>IF($A1686="","",IFERROR(VALUE(MID($A1686,6,2)),""))</f>
        <v/>
      </c>
    </row>
    <row r="1687" spans="7:16">
      <c r="G1687" s="15">
        <f>'[01_Entry.xlsx]Book'!G1687</f>
        <v>0.0</v>
      </c>
      <c r="H1687" s="15">
        <f>'[01_Entry.xlsx]Book'!H1687</f>
        <v>0.0</v>
      </c>
      <c r="I1687" s="15">
        <f>'[01_Entry.xlsx]Book'!I1687</f>
        <v>0.0</v>
      </c>
      <c r="K1687" s="15">
        <f>'[01_Entry.xlsx]Book'!K1687</f>
        <v>0.0</v>
      </c>
      <c r="L1687" s="15">
        <f>'[01_Entry.xlsx]Book'!L1687</f>
        <v>0.0</v>
      </c>
      <c r="M1687" s="15">
        <f>'[01_Entry.xlsx]Book'!M1687</f>
        <v>0.0</v>
      </c>
      <c r="P1687" s="56">
        <f>IF($A1687="","",IFERROR(VALUE(MID($A1687,6,2)),""))</f>
        <v/>
      </c>
    </row>
    <row r="1688" spans="7:16">
      <c r="G1688" s="15">
        <f>'[01_Entry.xlsx]Book'!G1688</f>
        <v>0.0</v>
      </c>
      <c r="H1688" s="15">
        <f>'[01_Entry.xlsx]Book'!H1688</f>
        <v>0.0</v>
      </c>
      <c r="I1688" s="15">
        <f>'[01_Entry.xlsx]Book'!I1688</f>
        <v>0.0</v>
      </c>
      <c r="K1688" s="15">
        <f>'[01_Entry.xlsx]Book'!K1688</f>
        <v>0.0</v>
      </c>
      <c r="L1688" s="15">
        <f>'[01_Entry.xlsx]Book'!L1688</f>
        <v>0.0</v>
      </c>
      <c r="M1688" s="15">
        <f>'[01_Entry.xlsx]Book'!M1688</f>
        <v>0.0</v>
      </c>
      <c r="P1688" s="56">
        <f>IF($A1688="","",IFERROR(VALUE(MID($A1688,6,2)),""))</f>
        <v/>
      </c>
    </row>
    <row r="1689" spans="7:16">
      <c r="G1689" s="15">
        <f>'[01_Entry.xlsx]Book'!G1689</f>
        <v>0.0</v>
      </c>
      <c r="H1689" s="15">
        <f>'[01_Entry.xlsx]Book'!H1689</f>
        <v>0.0</v>
      </c>
      <c r="I1689" s="15">
        <f>'[01_Entry.xlsx]Book'!I1689</f>
        <v>0.0</v>
      </c>
      <c r="K1689" s="15">
        <f>'[01_Entry.xlsx]Book'!K1689</f>
        <v>0.0</v>
      </c>
      <c r="L1689" s="15">
        <f>'[01_Entry.xlsx]Book'!L1689</f>
        <v>0.0</v>
      </c>
      <c r="M1689" s="15">
        <f>'[01_Entry.xlsx]Book'!M1689</f>
        <v>0.0</v>
      </c>
      <c r="P1689" s="56">
        <f>IF($A1689="","",IFERROR(VALUE(MID($A1689,6,2)),""))</f>
        <v/>
      </c>
    </row>
    <row r="1690" spans="7:16">
      <c r="G1690" s="15">
        <f>'[01_Entry.xlsx]Book'!G1690</f>
        <v>0.0</v>
      </c>
      <c r="H1690" s="15">
        <f>'[01_Entry.xlsx]Book'!H1690</f>
        <v>0.0</v>
      </c>
      <c r="I1690" s="15">
        <f>'[01_Entry.xlsx]Book'!I1690</f>
        <v>0.0</v>
      </c>
      <c r="K1690" s="15">
        <f>'[01_Entry.xlsx]Book'!K1690</f>
        <v>0.0</v>
      </c>
      <c r="L1690" s="15">
        <f>'[01_Entry.xlsx]Book'!L1690</f>
        <v>0.0</v>
      </c>
      <c r="M1690" s="15">
        <f>'[01_Entry.xlsx]Book'!M1690</f>
        <v>0.0</v>
      </c>
      <c r="P1690" s="56">
        <f>IF($A1690="","",IFERROR(VALUE(MID($A1690,6,2)),""))</f>
        <v/>
      </c>
    </row>
    <row r="1691" spans="7:16">
      <c r="G1691" s="15">
        <f>'[01_Entry.xlsx]Book'!G1691</f>
        <v>0.0</v>
      </c>
      <c r="H1691" s="15">
        <f>'[01_Entry.xlsx]Book'!H1691</f>
        <v>0.0</v>
      </c>
      <c r="I1691" s="15">
        <f>'[01_Entry.xlsx]Book'!I1691</f>
        <v>0.0</v>
      </c>
      <c r="K1691" s="15">
        <f>'[01_Entry.xlsx]Book'!K1691</f>
        <v>0.0</v>
      </c>
      <c r="L1691" s="15">
        <f>'[01_Entry.xlsx]Book'!L1691</f>
        <v>0.0</v>
      </c>
      <c r="M1691" s="15">
        <f>'[01_Entry.xlsx]Book'!M1691</f>
        <v>0.0</v>
      </c>
      <c r="P1691" s="56">
        <f>IF($A1691="","",IFERROR(VALUE(MID($A1691,6,2)),""))</f>
        <v/>
      </c>
    </row>
    <row r="1692" spans="7:16">
      <c r="G1692" s="15">
        <f>'[01_Entry.xlsx]Book'!G1692</f>
        <v>0.0</v>
      </c>
      <c r="H1692" s="15">
        <f>'[01_Entry.xlsx]Book'!H1692</f>
        <v>0.0</v>
      </c>
      <c r="I1692" s="15">
        <f>'[01_Entry.xlsx]Book'!I1692</f>
        <v>0.0</v>
      </c>
      <c r="K1692" s="15">
        <f>'[01_Entry.xlsx]Book'!K1692</f>
        <v>0.0</v>
      </c>
      <c r="L1692" s="15">
        <f>'[01_Entry.xlsx]Book'!L1692</f>
        <v>0.0</v>
      </c>
      <c r="M1692" s="15">
        <f>'[01_Entry.xlsx]Book'!M1692</f>
        <v>0.0</v>
      </c>
      <c r="P1692" s="56">
        <f>IF($A1692="","",IFERROR(VALUE(MID($A1692,6,2)),""))</f>
        <v/>
      </c>
    </row>
    <row r="1693" spans="7:16">
      <c r="G1693" s="15">
        <f>'[01_Entry.xlsx]Book'!G1693</f>
        <v>0.0</v>
      </c>
      <c r="H1693" s="15">
        <f>'[01_Entry.xlsx]Book'!H1693</f>
        <v>0.0</v>
      </c>
      <c r="I1693" s="15">
        <f>'[01_Entry.xlsx]Book'!I1693</f>
        <v>0.0</v>
      </c>
      <c r="K1693" s="15">
        <f>'[01_Entry.xlsx]Book'!K1693</f>
        <v>0.0</v>
      </c>
      <c r="L1693" s="15">
        <f>'[01_Entry.xlsx]Book'!L1693</f>
        <v>0.0</v>
      </c>
      <c r="M1693" s="15">
        <f>'[01_Entry.xlsx]Book'!M1693</f>
        <v>0.0</v>
      </c>
      <c r="P1693" s="56">
        <f>IF($A1693="","",IFERROR(VALUE(MID($A1693,6,2)),""))</f>
        <v/>
      </c>
    </row>
    <row r="1694" spans="7:16">
      <c r="G1694" s="15">
        <f>'[01_Entry.xlsx]Book'!G1694</f>
        <v>0.0</v>
      </c>
      <c r="H1694" s="15">
        <f>'[01_Entry.xlsx]Book'!H1694</f>
        <v>0.0</v>
      </c>
      <c r="I1694" s="15">
        <f>'[01_Entry.xlsx]Book'!I1694</f>
        <v>0.0</v>
      </c>
      <c r="K1694" s="15">
        <f>'[01_Entry.xlsx]Book'!K1694</f>
        <v>0.0</v>
      </c>
      <c r="L1694" s="15">
        <f>'[01_Entry.xlsx]Book'!L1694</f>
        <v>0.0</v>
      </c>
      <c r="M1694" s="15">
        <f>'[01_Entry.xlsx]Book'!M1694</f>
        <v>0.0</v>
      </c>
      <c r="P1694" s="56">
        <f>IF($A1694="","",IFERROR(VALUE(MID($A1694,6,2)),""))</f>
        <v/>
      </c>
    </row>
    <row r="1695" spans="7:16">
      <c r="G1695" s="15">
        <f>'[01_Entry.xlsx]Book'!G1695</f>
        <v>0.0</v>
      </c>
      <c r="H1695" s="15">
        <f>'[01_Entry.xlsx]Book'!H1695</f>
        <v>0.0</v>
      </c>
      <c r="I1695" s="15">
        <f>'[01_Entry.xlsx]Book'!I1695</f>
        <v>0.0</v>
      </c>
      <c r="K1695" s="15">
        <f>'[01_Entry.xlsx]Book'!K1695</f>
        <v>0.0</v>
      </c>
      <c r="L1695" s="15">
        <f>'[01_Entry.xlsx]Book'!L1695</f>
        <v>0.0</v>
      </c>
      <c r="M1695" s="15">
        <f>'[01_Entry.xlsx]Book'!M1695</f>
        <v>0.0</v>
      </c>
      <c r="P1695" s="56">
        <f>IF($A1695="","",IFERROR(VALUE(MID($A1695,6,2)),""))</f>
        <v/>
      </c>
    </row>
    <row r="1696" spans="7:16">
      <c r="G1696" s="15">
        <f>'[01_Entry.xlsx]Book'!G1696</f>
        <v>0.0</v>
      </c>
      <c r="H1696" s="15">
        <f>'[01_Entry.xlsx]Book'!H1696</f>
        <v>0.0</v>
      </c>
      <c r="I1696" s="15">
        <f>'[01_Entry.xlsx]Book'!I1696</f>
        <v>0.0</v>
      </c>
      <c r="K1696" s="15">
        <f>'[01_Entry.xlsx]Book'!K1696</f>
        <v>0.0</v>
      </c>
      <c r="L1696" s="15">
        <f>'[01_Entry.xlsx]Book'!L1696</f>
        <v>0.0</v>
      </c>
      <c r="M1696" s="15">
        <f>'[01_Entry.xlsx]Book'!M1696</f>
        <v>0.0</v>
      </c>
      <c r="P1696" s="56">
        <f>IF($A1696="","",IFERROR(VALUE(MID($A1696,6,2)),""))</f>
        <v/>
      </c>
    </row>
    <row r="1697" spans="7:16">
      <c r="G1697" s="15">
        <f>'[01_Entry.xlsx]Book'!G1697</f>
        <v>0.0</v>
      </c>
      <c r="H1697" s="15">
        <f>'[01_Entry.xlsx]Book'!H1697</f>
        <v>0.0</v>
      </c>
      <c r="I1697" s="15">
        <f>'[01_Entry.xlsx]Book'!I1697</f>
        <v>0.0</v>
      </c>
      <c r="K1697" s="15">
        <f>'[01_Entry.xlsx]Book'!K1697</f>
        <v>0.0</v>
      </c>
      <c r="L1697" s="15">
        <f>'[01_Entry.xlsx]Book'!L1697</f>
        <v>0.0</v>
      </c>
      <c r="M1697" s="15">
        <f>'[01_Entry.xlsx]Book'!M1697</f>
        <v>0.0</v>
      </c>
      <c r="P1697" s="56">
        <f>IF($A1697="","",IFERROR(VALUE(MID($A1697,6,2)),""))</f>
        <v/>
      </c>
    </row>
    <row r="1698" spans="7:16">
      <c r="G1698" s="15">
        <f>'[01_Entry.xlsx]Book'!G1698</f>
        <v>0.0</v>
      </c>
      <c r="H1698" s="15">
        <f>'[01_Entry.xlsx]Book'!H1698</f>
        <v>0.0</v>
      </c>
      <c r="I1698" s="15">
        <f>'[01_Entry.xlsx]Book'!I1698</f>
        <v>0.0</v>
      </c>
      <c r="K1698" s="15">
        <f>'[01_Entry.xlsx]Book'!K1698</f>
        <v>0.0</v>
      </c>
      <c r="L1698" s="15">
        <f>'[01_Entry.xlsx]Book'!L1698</f>
        <v>0.0</v>
      </c>
      <c r="M1698" s="15">
        <f>'[01_Entry.xlsx]Book'!M1698</f>
        <v>0.0</v>
      </c>
      <c r="P1698" s="56">
        <f>IF($A1698="","",IFERROR(VALUE(MID($A1698,6,2)),""))</f>
        <v/>
      </c>
    </row>
    <row r="1699" spans="7:16">
      <c r="G1699" s="15">
        <f>'[01_Entry.xlsx]Book'!G1699</f>
        <v>0.0</v>
      </c>
      <c r="H1699" s="15">
        <f>'[01_Entry.xlsx]Book'!H1699</f>
        <v>0.0</v>
      </c>
      <c r="I1699" s="15">
        <f>'[01_Entry.xlsx]Book'!I1699</f>
        <v>0.0</v>
      </c>
      <c r="K1699" s="15">
        <f>'[01_Entry.xlsx]Book'!K1699</f>
        <v>0.0</v>
      </c>
      <c r="L1699" s="15">
        <f>'[01_Entry.xlsx]Book'!L1699</f>
        <v>0.0</v>
      </c>
      <c r="M1699" s="15">
        <f>'[01_Entry.xlsx]Book'!M1699</f>
        <v>0.0</v>
      </c>
      <c r="P1699" s="56">
        <f>IF($A1699="","",IFERROR(VALUE(MID($A1699,6,2)),""))</f>
        <v/>
      </c>
    </row>
    <row r="1700" spans="7:16">
      <c r="G1700" s="15">
        <f>'[01_Entry.xlsx]Book'!G1700</f>
        <v>0.0</v>
      </c>
      <c r="H1700" s="15">
        <f>'[01_Entry.xlsx]Book'!H1700</f>
        <v>0.0</v>
      </c>
      <c r="I1700" s="15">
        <f>'[01_Entry.xlsx]Book'!I1700</f>
        <v>0.0</v>
      </c>
      <c r="K1700" s="15">
        <f>'[01_Entry.xlsx]Book'!K1700</f>
        <v>0.0</v>
      </c>
      <c r="L1700" s="15">
        <f>'[01_Entry.xlsx]Book'!L1700</f>
        <v>0.0</v>
      </c>
      <c r="M1700" s="15">
        <f>'[01_Entry.xlsx]Book'!M1700</f>
        <v>0.0</v>
      </c>
      <c r="P1700" s="56">
        <f>IF($A1700="","",IFERROR(VALUE(MID($A1700,6,2)),""))</f>
        <v/>
      </c>
    </row>
    <row r="1701" spans="7:16">
      <c r="G1701" s="15">
        <f>'[01_Entry.xlsx]Book'!G1701</f>
        <v>0.0</v>
      </c>
      <c r="H1701" s="15">
        <f>'[01_Entry.xlsx]Book'!H1701</f>
        <v>0.0</v>
      </c>
      <c r="I1701" s="15">
        <f>'[01_Entry.xlsx]Book'!I1701</f>
        <v>0.0</v>
      </c>
      <c r="K1701" s="15">
        <f>'[01_Entry.xlsx]Book'!K1701</f>
        <v>0.0</v>
      </c>
      <c r="L1701" s="15">
        <f>'[01_Entry.xlsx]Book'!L1701</f>
        <v>0.0</v>
      </c>
      <c r="M1701" s="15">
        <f>'[01_Entry.xlsx]Book'!M1701</f>
        <v>0.0</v>
      </c>
      <c r="P1701" s="56">
        <f>IF($A1701="","",IFERROR(VALUE(MID($A1701,6,2)),""))</f>
        <v/>
      </c>
    </row>
    <row r="1702" spans="7:16">
      <c r="G1702" s="15">
        <f>'[01_Entry.xlsx]Book'!G1702</f>
        <v>0.0</v>
      </c>
      <c r="H1702" s="15">
        <f>'[01_Entry.xlsx]Book'!H1702</f>
        <v>0.0</v>
      </c>
      <c r="I1702" s="15">
        <f>'[01_Entry.xlsx]Book'!I1702</f>
        <v>0.0</v>
      </c>
      <c r="K1702" s="15">
        <f>'[01_Entry.xlsx]Book'!K1702</f>
        <v>0.0</v>
      </c>
      <c r="L1702" s="15">
        <f>'[01_Entry.xlsx]Book'!L1702</f>
        <v>0.0</v>
      </c>
      <c r="M1702" s="15">
        <f>'[01_Entry.xlsx]Book'!M1702</f>
        <v>0.0</v>
      </c>
      <c r="P1702" s="56">
        <f>IF($A1702="","",IFERROR(VALUE(MID($A1702,6,2)),""))</f>
        <v/>
      </c>
    </row>
    <row r="1703" spans="7:16">
      <c r="G1703" s="15">
        <f>'[01_Entry.xlsx]Book'!G1703</f>
        <v>0.0</v>
      </c>
      <c r="H1703" s="15">
        <f>'[01_Entry.xlsx]Book'!H1703</f>
        <v>0.0</v>
      </c>
      <c r="I1703" s="15">
        <f>'[01_Entry.xlsx]Book'!I1703</f>
        <v>0.0</v>
      </c>
      <c r="K1703" s="15">
        <f>'[01_Entry.xlsx]Book'!K1703</f>
        <v>0.0</v>
      </c>
      <c r="L1703" s="15">
        <f>'[01_Entry.xlsx]Book'!L1703</f>
        <v>0.0</v>
      </c>
      <c r="M1703" s="15">
        <f>'[01_Entry.xlsx]Book'!M1703</f>
        <v>0.0</v>
      </c>
      <c r="P1703" s="56">
        <f>IF($A1703="","",IFERROR(VALUE(MID($A1703,6,2)),""))</f>
        <v/>
      </c>
    </row>
    <row r="1704" spans="7:16">
      <c r="G1704" s="15">
        <f>'[01_Entry.xlsx]Book'!G1704</f>
        <v>0.0</v>
      </c>
      <c r="H1704" s="15">
        <f>'[01_Entry.xlsx]Book'!H1704</f>
        <v>0.0</v>
      </c>
      <c r="I1704" s="15">
        <f>'[01_Entry.xlsx]Book'!I1704</f>
        <v>0.0</v>
      </c>
      <c r="K1704" s="15">
        <f>'[01_Entry.xlsx]Book'!K1704</f>
        <v>0.0</v>
      </c>
      <c r="L1704" s="15">
        <f>'[01_Entry.xlsx]Book'!L1704</f>
        <v>0.0</v>
      </c>
      <c r="M1704" s="15">
        <f>'[01_Entry.xlsx]Book'!M1704</f>
        <v>0.0</v>
      </c>
      <c r="P1704" s="56">
        <f>IF($A1704="","",IFERROR(VALUE(MID($A1704,6,2)),""))</f>
        <v/>
      </c>
    </row>
    <row r="1705" spans="7:16">
      <c r="G1705" s="15">
        <f>'[01_Entry.xlsx]Book'!G1705</f>
        <v>0.0</v>
      </c>
      <c r="H1705" s="15">
        <f>'[01_Entry.xlsx]Book'!H1705</f>
        <v>0.0</v>
      </c>
      <c r="I1705" s="15">
        <f>'[01_Entry.xlsx]Book'!I1705</f>
        <v>0.0</v>
      </c>
      <c r="K1705" s="15">
        <f>'[01_Entry.xlsx]Book'!K1705</f>
        <v>0.0</v>
      </c>
      <c r="L1705" s="15">
        <f>'[01_Entry.xlsx]Book'!L1705</f>
        <v>0.0</v>
      </c>
      <c r="M1705" s="15">
        <f>'[01_Entry.xlsx]Book'!M1705</f>
        <v>0.0</v>
      </c>
      <c r="P1705" s="56">
        <f>IF($A1705="","",IFERROR(VALUE(MID($A1705,6,2)),""))</f>
        <v/>
      </c>
    </row>
    <row r="1706" spans="7:16">
      <c r="G1706" s="15">
        <f>'[01_Entry.xlsx]Book'!G1706</f>
        <v>0.0</v>
      </c>
      <c r="H1706" s="15">
        <f>'[01_Entry.xlsx]Book'!H1706</f>
        <v>0.0</v>
      </c>
      <c r="I1706" s="15">
        <f>'[01_Entry.xlsx]Book'!I1706</f>
        <v>0.0</v>
      </c>
      <c r="K1706" s="15">
        <f>'[01_Entry.xlsx]Book'!K1706</f>
        <v>0.0</v>
      </c>
      <c r="L1706" s="15">
        <f>'[01_Entry.xlsx]Book'!L1706</f>
        <v>0.0</v>
      </c>
      <c r="M1706" s="15">
        <f>'[01_Entry.xlsx]Book'!M1706</f>
        <v>0.0</v>
      </c>
      <c r="P1706" s="56">
        <f>IF($A1706="","",IFERROR(VALUE(MID($A1706,6,2)),""))</f>
        <v/>
      </c>
    </row>
    <row r="1707" spans="7:16">
      <c r="G1707" s="15">
        <f>'[01_Entry.xlsx]Book'!G1707</f>
        <v>0.0</v>
      </c>
      <c r="H1707" s="15">
        <f>'[01_Entry.xlsx]Book'!H1707</f>
        <v>0.0</v>
      </c>
      <c r="I1707" s="15">
        <f>'[01_Entry.xlsx]Book'!I1707</f>
        <v>0.0</v>
      </c>
      <c r="K1707" s="15">
        <f>'[01_Entry.xlsx]Book'!K1707</f>
        <v>0.0</v>
      </c>
      <c r="L1707" s="15">
        <f>'[01_Entry.xlsx]Book'!L1707</f>
        <v>0.0</v>
      </c>
      <c r="M1707" s="15">
        <f>'[01_Entry.xlsx]Book'!M1707</f>
        <v>0.0</v>
      </c>
      <c r="P1707" s="56">
        <f>IF($A1707="","",IFERROR(VALUE(MID($A1707,6,2)),""))</f>
        <v/>
      </c>
    </row>
    <row r="1708" spans="7:16">
      <c r="G1708" s="15">
        <f>'[01_Entry.xlsx]Book'!G1708</f>
        <v>0.0</v>
      </c>
      <c r="H1708" s="15">
        <f>'[01_Entry.xlsx]Book'!H1708</f>
        <v>0.0</v>
      </c>
      <c r="I1708" s="15">
        <f>'[01_Entry.xlsx]Book'!I1708</f>
        <v>0.0</v>
      </c>
      <c r="K1708" s="15">
        <f>'[01_Entry.xlsx]Book'!K1708</f>
        <v>0.0</v>
      </c>
      <c r="L1708" s="15">
        <f>'[01_Entry.xlsx]Book'!L1708</f>
        <v>0.0</v>
      </c>
      <c r="M1708" s="15">
        <f>'[01_Entry.xlsx]Book'!M1708</f>
        <v>0.0</v>
      </c>
      <c r="P1708" s="56">
        <f>IF($A1708="","",IFERROR(VALUE(MID($A1708,6,2)),""))</f>
        <v/>
      </c>
    </row>
    <row r="1709" spans="7:16">
      <c r="G1709" s="15">
        <f>'[01_Entry.xlsx]Book'!G1709</f>
        <v>0.0</v>
      </c>
      <c r="H1709" s="15">
        <f>'[01_Entry.xlsx]Book'!H1709</f>
        <v>0.0</v>
      </c>
      <c r="I1709" s="15">
        <f>'[01_Entry.xlsx]Book'!I1709</f>
        <v>0.0</v>
      </c>
      <c r="K1709" s="15">
        <f>'[01_Entry.xlsx]Book'!K1709</f>
        <v>0.0</v>
      </c>
      <c r="L1709" s="15">
        <f>'[01_Entry.xlsx]Book'!L1709</f>
        <v>0.0</v>
      </c>
      <c r="M1709" s="15">
        <f>'[01_Entry.xlsx]Book'!M1709</f>
        <v>0.0</v>
      </c>
      <c r="P1709" s="56">
        <f>IF($A1709="","",IFERROR(VALUE(MID($A1709,6,2)),""))</f>
        <v/>
      </c>
    </row>
    <row r="1710" spans="7:16">
      <c r="G1710" s="15">
        <f>'[01_Entry.xlsx]Book'!G1710</f>
        <v>0.0</v>
      </c>
      <c r="H1710" s="15">
        <f>'[01_Entry.xlsx]Book'!H1710</f>
        <v>0.0</v>
      </c>
      <c r="I1710" s="15">
        <f>'[01_Entry.xlsx]Book'!I1710</f>
        <v>0.0</v>
      </c>
      <c r="K1710" s="15">
        <f>'[01_Entry.xlsx]Book'!K1710</f>
        <v>0.0</v>
      </c>
      <c r="L1710" s="15">
        <f>'[01_Entry.xlsx]Book'!L1710</f>
        <v>0.0</v>
      </c>
      <c r="M1710" s="15">
        <f>'[01_Entry.xlsx]Book'!M1710</f>
        <v>0.0</v>
      </c>
      <c r="P1710" s="56">
        <f>IF($A1710="","",IFERROR(VALUE(MID($A1710,6,2)),""))</f>
        <v/>
      </c>
    </row>
    <row r="1711" spans="7:16">
      <c r="G1711" s="15">
        <f>'[01_Entry.xlsx]Book'!G1711</f>
        <v>0.0</v>
      </c>
      <c r="H1711" s="15">
        <f>'[01_Entry.xlsx]Book'!H1711</f>
        <v>0.0</v>
      </c>
      <c r="I1711" s="15">
        <f>'[01_Entry.xlsx]Book'!I1711</f>
        <v>0.0</v>
      </c>
      <c r="K1711" s="15">
        <f>'[01_Entry.xlsx]Book'!K1711</f>
        <v>0.0</v>
      </c>
      <c r="L1711" s="15">
        <f>'[01_Entry.xlsx]Book'!L1711</f>
        <v>0.0</v>
      </c>
      <c r="M1711" s="15">
        <f>'[01_Entry.xlsx]Book'!M1711</f>
        <v>0.0</v>
      </c>
      <c r="P1711" s="56">
        <f>IF($A1711="","",IFERROR(VALUE(MID($A1711,6,2)),""))</f>
        <v/>
      </c>
    </row>
    <row r="1712" spans="7:16">
      <c r="G1712" s="15">
        <f>'[01_Entry.xlsx]Book'!G1712</f>
        <v>0.0</v>
      </c>
      <c r="H1712" s="15">
        <f>'[01_Entry.xlsx]Book'!H1712</f>
        <v>0.0</v>
      </c>
      <c r="I1712" s="15">
        <f>'[01_Entry.xlsx]Book'!I1712</f>
        <v>0.0</v>
      </c>
      <c r="K1712" s="15">
        <f>'[01_Entry.xlsx]Book'!K1712</f>
        <v>0.0</v>
      </c>
      <c r="L1712" s="15">
        <f>'[01_Entry.xlsx]Book'!L1712</f>
        <v>0.0</v>
      </c>
      <c r="M1712" s="15">
        <f>'[01_Entry.xlsx]Book'!M1712</f>
        <v>0.0</v>
      </c>
      <c r="P1712" s="56">
        <f>IF($A1712="","",IFERROR(VALUE(MID($A1712,6,2)),""))</f>
        <v/>
      </c>
    </row>
    <row r="1713" spans="7:16">
      <c r="G1713" s="15">
        <f>'[01_Entry.xlsx]Book'!G1713</f>
        <v>0.0</v>
      </c>
      <c r="H1713" s="15">
        <f>'[01_Entry.xlsx]Book'!H1713</f>
        <v>0.0</v>
      </c>
      <c r="I1713" s="15">
        <f>'[01_Entry.xlsx]Book'!I1713</f>
        <v>0.0</v>
      </c>
      <c r="K1713" s="15">
        <f>'[01_Entry.xlsx]Book'!K1713</f>
        <v>0.0</v>
      </c>
      <c r="L1713" s="15">
        <f>'[01_Entry.xlsx]Book'!L1713</f>
        <v>0.0</v>
      </c>
      <c r="M1713" s="15">
        <f>'[01_Entry.xlsx]Book'!M1713</f>
        <v>0.0</v>
      </c>
      <c r="P1713" s="56">
        <f>IF($A1713="","",IFERROR(VALUE(MID($A1713,6,2)),""))</f>
        <v/>
      </c>
    </row>
    <row r="1714" spans="7:16">
      <c r="G1714" s="15">
        <f>'[01_Entry.xlsx]Book'!G1714</f>
        <v>0.0</v>
      </c>
      <c r="H1714" s="15">
        <f>'[01_Entry.xlsx]Book'!H1714</f>
        <v>0.0</v>
      </c>
      <c r="I1714" s="15">
        <f>'[01_Entry.xlsx]Book'!I1714</f>
        <v>0.0</v>
      </c>
      <c r="K1714" s="15">
        <f>'[01_Entry.xlsx]Book'!K1714</f>
        <v>0.0</v>
      </c>
      <c r="L1714" s="15">
        <f>'[01_Entry.xlsx]Book'!L1714</f>
        <v>0.0</v>
      </c>
      <c r="M1714" s="15">
        <f>'[01_Entry.xlsx]Book'!M1714</f>
        <v>0.0</v>
      </c>
      <c r="P1714" s="56">
        <f>IF($A1714="","",IFERROR(VALUE(MID($A1714,6,2)),""))</f>
        <v/>
      </c>
    </row>
    <row r="1715" spans="7:16">
      <c r="G1715" s="15">
        <f>'[01_Entry.xlsx]Book'!G1715</f>
        <v>0.0</v>
      </c>
      <c r="H1715" s="15">
        <f>'[01_Entry.xlsx]Book'!H1715</f>
        <v>0.0</v>
      </c>
      <c r="I1715" s="15">
        <f>'[01_Entry.xlsx]Book'!I1715</f>
        <v>0.0</v>
      </c>
      <c r="K1715" s="15">
        <f>'[01_Entry.xlsx]Book'!K1715</f>
        <v>0.0</v>
      </c>
      <c r="L1715" s="15">
        <f>'[01_Entry.xlsx]Book'!L1715</f>
        <v>0.0</v>
      </c>
      <c r="M1715" s="15">
        <f>'[01_Entry.xlsx]Book'!M1715</f>
        <v>0.0</v>
      </c>
      <c r="P1715" s="56">
        <f>IF($A1715="","",IFERROR(VALUE(MID($A1715,6,2)),""))</f>
        <v/>
      </c>
    </row>
    <row r="1716" spans="7:16">
      <c r="G1716" s="15">
        <f>'[01_Entry.xlsx]Book'!G1716</f>
        <v>0.0</v>
      </c>
      <c r="H1716" s="15">
        <f>'[01_Entry.xlsx]Book'!H1716</f>
        <v>0.0</v>
      </c>
      <c r="I1716" s="15">
        <f>'[01_Entry.xlsx]Book'!I1716</f>
        <v>0.0</v>
      </c>
      <c r="K1716" s="15">
        <f>'[01_Entry.xlsx]Book'!K1716</f>
        <v>0.0</v>
      </c>
      <c r="L1716" s="15">
        <f>'[01_Entry.xlsx]Book'!L1716</f>
        <v>0.0</v>
      </c>
      <c r="M1716" s="15">
        <f>'[01_Entry.xlsx]Book'!M1716</f>
        <v>0.0</v>
      </c>
      <c r="P1716" s="56">
        <f>IF($A1716="","",IFERROR(VALUE(MID($A1716,6,2)),""))</f>
        <v/>
      </c>
    </row>
    <row r="1717" spans="7:16">
      <c r="G1717" s="15">
        <f>'[01_Entry.xlsx]Book'!G1717</f>
        <v>0.0</v>
      </c>
      <c r="H1717" s="15">
        <f>'[01_Entry.xlsx]Book'!H1717</f>
        <v>0.0</v>
      </c>
      <c r="I1717" s="15">
        <f>'[01_Entry.xlsx]Book'!I1717</f>
        <v>0.0</v>
      </c>
      <c r="K1717" s="15">
        <f>'[01_Entry.xlsx]Book'!K1717</f>
        <v>0.0</v>
      </c>
      <c r="L1717" s="15">
        <f>'[01_Entry.xlsx]Book'!L1717</f>
        <v>0.0</v>
      </c>
      <c r="M1717" s="15">
        <f>'[01_Entry.xlsx]Book'!M1717</f>
        <v>0.0</v>
      </c>
      <c r="P1717" s="56">
        <f>IF($A1717="","",IFERROR(VALUE(MID($A1717,6,2)),""))</f>
        <v/>
      </c>
    </row>
    <row r="1718" spans="7:16">
      <c r="G1718" s="15">
        <f>'[01_Entry.xlsx]Book'!G1718</f>
        <v>0.0</v>
      </c>
      <c r="H1718" s="15">
        <f>'[01_Entry.xlsx]Book'!H1718</f>
        <v>0.0</v>
      </c>
      <c r="I1718" s="15">
        <f>'[01_Entry.xlsx]Book'!I1718</f>
        <v>0.0</v>
      </c>
      <c r="K1718" s="15">
        <f>'[01_Entry.xlsx]Book'!K1718</f>
        <v>0.0</v>
      </c>
      <c r="L1718" s="15">
        <f>'[01_Entry.xlsx]Book'!L1718</f>
        <v>0.0</v>
      </c>
      <c r="M1718" s="15">
        <f>'[01_Entry.xlsx]Book'!M1718</f>
        <v>0.0</v>
      </c>
      <c r="P1718" s="56">
        <f>IF($A1718="","",IFERROR(VALUE(MID($A1718,6,2)),""))</f>
        <v/>
      </c>
    </row>
    <row r="1719" spans="7:16">
      <c r="G1719" s="15">
        <f>'[01_Entry.xlsx]Book'!G1719</f>
        <v>0.0</v>
      </c>
      <c r="H1719" s="15">
        <f>'[01_Entry.xlsx]Book'!H1719</f>
        <v>0.0</v>
      </c>
      <c r="I1719" s="15">
        <f>'[01_Entry.xlsx]Book'!I1719</f>
        <v>0.0</v>
      </c>
      <c r="K1719" s="15">
        <f>'[01_Entry.xlsx]Book'!K1719</f>
        <v>0.0</v>
      </c>
      <c r="L1719" s="15">
        <f>'[01_Entry.xlsx]Book'!L1719</f>
        <v>0.0</v>
      </c>
      <c r="M1719" s="15">
        <f>'[01_Entry.xlsx]Book'!M1719</f>
        <v>0.0</v>
      </c>
      <c r="P1719" s="56">
        <f>IF($A1719="","",IFERROR(VALUE(MID($A1719,6,2)),""))</f>
        <v/>
      </c>
    </row>
    <row r="1720" spans="7:16">
      <c r="G1720" s="15">
        <f>'[01_Entry.xlsx]Book'!G1720</f>
        <v>0.0</v>
      </c>
      <c r="H1720" s="15">
        <f>'[01_Entry.xlsx]Book'!H1720</f>
        <v>0.0</v>
      </c>
      <c r="I1720" s="15">
        <f>'[01_Entry.xlsx]Book'!I1720</f>
        <v>0.0</v>
      </c>
      <c r="K1720" s="15">
        <f>'[01_Entry.xlsx]Book'!K1720</f>
        <v>0.0</v>
      </c>
      <c r="L1720" s="15">
        <f>'[01_Entry.xlsx]Book'!L1720</f>
        <v>0.0</v>
      </c>
      <c r="M1720" s="15">
        <f>'[01_Entry.xlsx]Book'!M1720</f>
        <v>0.0</v>
      </c>
      <c r="P1720" s="56">
        <f>IF($A1720="","",IFERROR(VALUE(MID($A1720,6,2)),""))</f>
        <v/>
      </c>
    </row>
    <row r="1721" spans="7:16">
      <c r="G1721" s="15">
        <f>'[01_Entry.xlsx]Book'!G1721</f>
        <v>0.0</v>
      </c>
      <c r="H1721" s="15">
        <f>'[01_Entry.xlsx]Book'!H1721</f>
        <v>0.0</v>
      </c>
      <c r="I1721" s="15">
        <f>'[01_Entry.xlsx]Book'!I1721</f>
        <v>0.0</v>
      </c>
      <c r="K1721" s="15">
        <f>'[01_Entry.xlsx]Book'!K1721</f>
        <v>0.0</v>
      </c>
      <c r="L1721" s="15">
        <f>'[01_Entry.xlsx]Book'!L1721</f>
        <v>0.0</v>
      </c>
      <c r="M1721" s="15">
        <f>'[01_Entry.xlsx]Book'!M1721</f>
        <v>0.0</v>
      </c>
      <c r="P1721" s="56">
        <f>IF($A1721="","",IFERROR(VALUE(MID($A1721,6,2)),""))</f>
        <v/>
      </c>
    </row>
    <row r="1722" spans="7:16">
      <c r="G1722" s="15">
        <f>'[01_Entry.xlsx]Book'!G1722</f>
        <v>0.0</v>
      </c>
      <c r="H1722" s="15">
        <f>'[01_Entry.xlsx]Book'!H1722</f>
        <v>0.0</v>
      </c>
      <c r="I1722" s="15">
        <f>'[01_Entry.xlsx]Book'!I1722</f>
        <v>0.0</v>
      </c>
      <c r="K1722" s="15">
        <f>'[01_Entry.xlsx]Book'!K1722</f>
        <v>0.0</v>
      </c>
      <c r="L1722" s="15">
        <f>'[01_Entry.xlsx]Book'!L1722</f>
        <v>0.0</v>
      </c>
      <c r="M1722" s="15">
        <f>'[01_Entry.xlsx]Book'!M1722</f>
        <v>0.0</v>
      </c>
      <c r="P1722" s="56">
        <f>IF($A1722="","",IFERROR(VALUE(MID($A1722,6,2)),""))</f>
        <v/>
      </c>
    </row>
    <row r="1723" spans="7:16">
      <c r="G1723" s="15">
        <f>'[01_Entry.xlsx]Book'!G1723</f>
        <v>0.0</v>
      </c>
      <c r="H1723" s="15">
        <f>'[01_Entry.xlsx]Book'!H1723</f>
        <v>0.0</v>
      </c>
      <c r="I1723" s="15">
        <f>'[01_Entry.xlsx]Book'!I1723</f>
        <v>0.0</v>
      </c>
      <c r="K1723" s="15">
        <f>'[01_Entry.xlsx]Book'!K1723</f>
        <v>0.0</v>
      </c>
      <c r="L1723" s="15">
        <f>'[01_Entry.xlsx]Book'!L1723</f>
        <v>0.0</v>
      </c>
      <c r="M1723" s="15">
        <f>'[01_Entry.xlsx]Book'!M1723</f>
        <v>0.0</v>
      </c>
      <c r="P1723" s="56">
        <f>IF($A1723="","",IFERROR(VALUE(MID($A1723,6,2)),""))</f>
        <v/>
      </c>
    </row>
    <row r="1724" spans="7:16">
      <c r="G1724" s="15">
        <f>'[01_Entry.xlsx]Book'!G1724</f>
        <v>0.0</v>
      </c>
      <c r="H1724" s="15">
        <f>'[01_Entry.xlsx]Book'!H1724</f>
        <v>0.0</v>
      </c>
      <c r="I1724" s="15">
        <f>'[01_Entry.xlsx]Book'!I1724</f>
        <v>0.0</v>
      </c>
      <c r="K1724" s="15">
        <f>'[01_Entry.xlsx]Book'!K1724</f>
        <v>0.0</v>
      </c>
      <c r="L1724" s="15">
        <f>'[01_Entry.xlsx]Book'!L1724</f>
        <v>0.0</v>
      </c>
      <c r="M1724" s="15">
        <f>'[01_Entry.xlsx]Book'!M1724</f>
        <v>0.0</v>
      </c>
      <c r="P1724" s="56">
        <f>IF($A1724="","",IFERROR(VALUE(MID($A1724,6,2)),""))</f>
        <v/>
      </c>
    </row>
    <row r="1725" spans="7:16">
      <c r="G1725" s="15">
        <f>'[01_Entry.xlsx]Book'!G1725</f>
        <v>0.0</v>
      </c>
      <c r="H1725" s="15">
        <f>'[01_Entry.xlsx]Book'!H1725</f>
        <v>0.0</v>
      </c>
      <c r="I1725" s="15">
        <f>'[01_Entry.xlsx]Book'!I1725</f>
        <v>0.0</v>
      </c>
      <c r="K1725" s="15">
        <f>'[01_Entry.xlsx]Book'!K1725</f>
        <v>0.0</v>
      </c>
      <c r="L1725" s="15">
        <f>'[01_Entry.xlsx]Book'!L1725</f>
        <v>0.0</v>
      </c>
      <c r="M1725" s="15">
        <f>'[01_Entry.xlsx]Book'!M1725</f>
        <v>0.0</v>
      </c>
      <c r="P1725" s="56">
        <f>IF($A1725="","",IFERROR(VALUE(MID($A1725,6,2)),""))</f>
        <v/>
      </c>
    </row>
    <row r="1726" spans="7:16">
      <c r="G1726" s="15">
        <f>'[01_Entry.xlsx]Book'!G1726</f>
        <v>0.0</v>
      </c>
      <c r="H1726" s="15">
        <f>'[01_Entry.xlsx]Book'!H1726</f>
        <v>0.0</v>
      </c>
      <c r="I1726" s="15">
        <f>'[01_Entry.xlsx]Book'!I1726</f>
        <v>0.0</v>
      </c>
      <c r="K1726" s="15">
        <f>'[01_Entry.xlsx]Book'!K1726</f>
        <v>0.0</v>
      </c>
      <c r="L1726" s="15">
        <f>'[01_Entry.xlsx]Book'!L1726</f>
        <v>0.0</v>
      </c>
      <c r="M1726" s="15">
        <f>'[01_Entry.xlsx]Book'!M1726</f>
        <v>0.0</v>
      </c>
      <c r="P1726" s="56">
        <f>IF($A1726="","",IFERROR(VALUE(MID($A1726,6,2)),""))</f>
        <v/>
      </c>
    </row>
    <row r="1727" spans="7:16">
      <c r="G1727" s="15">
        <f>'[01_Entry.xlsx]Book'!G1727</f>
        <v>0.0</v>
      </c>
      <c r="H1727" s="15">
        <f>'[01_Entry.xlsx]Book'!H1727</f>
        <v>0.0</v>
      </c>
      <c r="I1727" s="15">
        <f>'[01_Entry.xlsx]Book'!I1727</f>
        <v>0.0</v>
      </c>
      <c r="K1727" s="15">
        <f>'[01_Entry.xlsx]Book'!K1727</f>
        <v>0.0</v>
      </c>
      <c r="L1727" s="15">
        <f>'[01_Entry.xlsx]Book'!L1727</f>
        <v>0.0</v>
      </c>
      <c r="M1727" s="15">
        <f>'[01_Entry.xlsx]Book'!M1727</f>
        <v>0.0</v>
      </c>
      <c r="P1727" s="56">
        <f>IF($A1727="","",IFERROR(VALUE(MID($A1727,6,2)),""))</f>
        <v/>
      </c>
    </row>
    <row r="1728" spans="7:16">
      <c r="G1728" s="15">
        <f>'[01_Entry.xlsx]Book'!G1728</f>
        <v>0.0</v>
      </c>
      <c r="H1728" s="15">
        <f>'[01_Entry.xlsx]Book'!H1728</f>
        <v>0.0</v>
      </c>
      <c r="I1728" s="15">
        <f>'[01_Entry.xlsx]Book'!I1728</f>
        <v>0.0</v>
      </c>
      <c r="K1728" s="15">
        <f>'[01_Entry.xlsx]Book'!K1728</f>
        <v>0.0</v>
      </c>
      <c r="L1728" s="15">
        <f>'[01_Entry.xlsx]Book'!L1728</f>
        <v>0.0</v>
      </c>
      <c r="M1728" s="15">
        <f>'[01_Entry.xlsx]Book'!M1728</f>
        <v>0.0</v>
      </c>
      <c r="P1728" s="56">
        <f>IF($A1728="","",IFERROR(VALUE(MID($A1728,6,2)),""))</f>
        <v/>
      </c>
    </row>
    <row r="1729" spans="7:16">
      <c r="G1729" s="15">
        <f>'[01_Entry.xlsx]Book'!G1729</f>
        <v>0.0</v>
      </c>
      <c r="H1729" s="15">
        <f>'[01_Entry.xlsx]Book'!H1729</f>
        <v>0.0</v>
      </c>
      <c r="I1729" s="15">
        <f>'[01_Entry.xlsx]Book'!I1729</f>
        <v>0.0</v>
      </c>
      <c r="K1729" s="15">
        <f>'[01_Entry.xlsx]Book'!K1729</f>
        <v>0.0</v>
      </c>
      <c r="L1729" s="15">
        <f>'[01_Entry.xlsx]Book'!L1729</f>
        <v>0.0</v>
      </c>
      <c r="M1729" s="15">
        <f>'[01_Entry.xlsx]Book'!M1729</f>
        <v>0.0</v>
      </c>
      <c r="P1729" s="56">
        <f>IF($A1729="","",IFERROR(VALUE(MID($A1729,6,2)),""))</f>
        <v/>
      </c>
    </row>
    <row r="1730" spans="7:16">
      <c r="G1730" s="15">
        <f>'[01_Entry.xlsx]Book'!G1730</f>
        <v>0.0</v>
      </c>
      <c r="H1730" s="15">
        <f>'[01_Entry.xlsx]Book'!H1730</f>
        <v>0.0</v>
      </c>
      <c r="I1730" s="15">
        <f>'[01_Entry.xlsx]Book'!I1730</f>
        <v>0.0</v>
      </c>
      <c r="K1730" s="15">
        <f>'[01_Entry.xlsx]Book'!K1730</f>
        <v>0.0</v>
      </c>
      <c r="L1730" s="15">
        <f>'[01_Entry.xlsx]Book'!L1730</f>
        <v>0.0</v>
      </c>
      <c r="M1730" s="15">
        <f>'[01_Entry.xlsx]Book'!M1730</f>
        <v>0.0</v>
      </c>
      <c r="P1730" s="56">
        <f>IF($A1730="","",IFERROR(VALUE(MID($A1730,6,2)),""))</f>
        <v/>
      </c>
    </row>
    <row r="1731" spans="7:16">
      <c r="G1731" s="15">
        <f>'[01_Entry.xlsx]Book'!G1731</f>
        <v>0.0</v>
      </c>
      <c r="H1731" s="15">
        <f>'[01_Entry.xlsx]Book'!H1731</f>
        <v>0.0</v>
      </c>
      <c r="I1731" s="15">
        <f>'[01_Entry.xlsx]Book'!I1731</f>
        <v>0.0</v>
      </c>
      <c r="K1731" s="15">
        <f>'[01_Entry.xlsx]Book'!K1731</f>
        <v>0.0</v>
      </c>
      <c r="L1731" s="15">
        <f>'[01_Entry.xlsx]Book'!L1731</f>
        <v>0.0</v>
      </c>
      <c r="M1731" s="15">
        <f>'[01_Entry.xlsx]Book'!M1731</f>
        <v>0.0</v>
      </c>
      <c r="P1731" s="56">
        <f>IF($A1731="","",IFERROR(VALUE(MID($A1731,6,2)),""))</f>
        <v/>
      </c>
    </row>
    <row r="1732" spans="7:16">
      <c r="G1732" s="15">
        <f>'[01_Entry.xlsx]Book'!G1732</f>
        <v>0.0</v>
      </c>
      <c r="H1732" s="15">
        <f>'[01_Entry.xlsx]Book'!H1732</f>
        <v>0.0</v>
      </c>
      <c r="I1732" s="15">
        <f>'[01_Entry.xlsx]Book'!I1732</f>
        <v>0.0</v>
      </c>
      <c r="K1732" s="15">
        <f>'[01_Entry.xlsx]Book'!K1732</f>
        <v>0.0</v>
      </c>
      <c r="L1732" s="15">
        <f>'[01_Entry.xlsx]Book'!L1732</f>
        <v>0.0</v>
      </c>
      <c r="M1732" s="15">
        <f>'[01_Entry.xlsx]Book'!M1732</f>
        <v>0.0</v>
      </c>
      <c r="P1732" s="56">
        <f>IF($A1732="","",IFERROR(VALUE(MID($A1732,6,2)),""))</f>
        <v/>
      </c>
    </row>
    <row r="1733" spans="7:16">
      <c r="G1733" s="15">
        <f>'[01_Entry.xlsx]Book'!G1733</f>
        <v>0.0</v>
      </c>
      <c r="H1733" s="15">
        <f>'[01_Entry.xlsx]Book'!H1733</f>
        <v>0.0</v>
      </c>
      <c r="I1733" s="15">
        <f>'[01_Entry.xlsx]Book'!I1733</f>
        <v>0.0</v>
      </c>
      <c r="K1733" s="15">
        <f>'[01_Entry.xlsx]Book'!K1733</f>
        <v>0.0</v>
      </c>
      <c r="L1733" s="15">
        <f>'[01_Entry.xlsx]Book'!L1733</f>
        <v>0.0</v>
      </c>
      <c r="M1733" s="15">
        <f>'[01_Entry.xlsx]Book'!M1733</f>
        <v>0.0</v>
      </c>
      <c r="P1733" s="56">
        <f>IF($A1733="","",IFERROR(VALUE(MID($A1733,6,2)),""))</f>
        <v/>
      </c>
    </row>
    <row r="1734" spans="7:16">
      <c r="G1734" s="15">
        <f>'[01_Entry.xlsx]Book'!G1734</f>
        <v>0.0</v>
      </c>
      <c r="H1734" s="15">
        <f>'[01_Entry.xlsx]Book'!H1734</f>
        <v>0.0</v>
      </c>
      <c r="I1734" s="15">
        <f>'[01_Entry.xlsx]Book'!I1734</f>
        <v>0.0</v>
      </c>
      <c r="K1734" s="15">
        <f>'[01_Entry.xlsx]Book'!K1734</f>
        <v>0.0</v>
      </c>
      <c r="L1734" s="15">
        <f>'[01_Entry.xlsx]Book'!L1734</f>
        <v>0.0</v>
      </c>
      <c r="M1734" s="15">
        <f>'[01_Entry.xlsx]Book'!M1734</f>
        <v>0.0</v>
      </c>
      <c r="P1734" s="56">
        <f>IF($A1734="","",IFERROR(VALUE(MID($A1734,6,2)),""))</f>
        <v/>
      </c>
    </row>
    <row r="1735" spans="7:16">
      <c r="G1735" s="15">
        <f>'[01_Entry.xlsx]Book'!G1735</f>
        <v>0.0</v>
      </c>
      <c r="H1735" s="15">
        <f>'[01_Entry.xlsx]Book'!H1735</f>
        <v>0.0</v>
      </c>
      <c r="I1735" s="15">
        <f>'[01_Entry.xlsx]Book'!I1735</f>
        <v>0.0</v>
      </c>
      <c r="K1735" s="15">
        <f>'[01_Entry.xlsx]Book'!K1735</f>
        <v>0.0</v>
      </c>
      <c r="L1735" s="15">
        <f>'[01_Entry.xlsx]Book'!L1735</f>
        <v>0.0</v>
      </c>
      <c r="M1735" s="15">
        <f>'[01_Entry.xlsx]Book'!M1735</f>
        <v>0.0</v>
      </c>
      <c r="P1735" s="56">
        <f>IF($A1735="","",IFERROR(VALUE(MID($A1735,6,2)),""))</f>
        <v/>
      </c>
    </row>
    <row r="1736" spans="7:16">
      <c r="G1736" s="15">
        <f>'[01_Entry.xlsx]Book'!G1736</f>
        <v>0.0</v>
      </c>
      <c r="H1736" s="15">
        <f>'[01_Entry.xlsx]Book'!H1736</f>
        <v>0.0</v>
      </c>
      <c r="I1736" s="15">
        <f>'[01_Entry.xlsx]Book'!I1736</f>
        <v>0.0</v>
      </c>
      <c r="K1736" s="15">
        <f>'[01_Entry.xlsx]Book'!K1736</f>
        <v>0.0</v>
      </c>
      <c r="L1736" s="15">
        <f>'[01_Entry.xlsx]Book'!L1736</f>
        <v>0.0</v>
      </c>
      <c r="M1736" s="15">
        <f>'[01_Entry.xlsx]Book'!M1736</f>
        <v>0.0</v>
      </c>
      <c r="P1736" s="56">
        <f>IF($A1736="","",IFERROR(VALUE(MID($A1736,6,2)),""))</f>
        <v/>
      </c>
    </row>
    <row r="1737" spans="7:16">
      <c r="G1737" s="15">
        <f>'[01_Entry.xlsx]Book'!G1737</f>
        <v>0.0</v>
      </c>
      <c r="H1737" s="15">
        <f>'[01_Entry.xlsx]Book'!H1737</f>
        <v>0.0</v>
      </c>
      <c r="I1737" s="15">
        <f>'[01_Entry.xlsx]Book'!I1737</f>
        <v>0.0</v>
      </c>
      <c r="K1737" s="15">
        <f>'[01_Entry.xlsx]Book'!K1737</f>
        <v>0.0</v>
      </c>
      <c r="L1737" s="15">
        <f>'[01_Entry.xlsx]Book'!L1737</f>
        <v>0.0</v>
      </c>
      <c r="M1737" s="15">
        <f>'[01_Entry.xlsx]Book'!M1737</f>
        <v>0.0</v>
      </c>
      <c r="P1737" s="56">
        <f>IF($A1737="","",IFERROR(VALUE(MID($A1737,6,2)),""))</f>
        <v/>
      </c>
    </row>
    <row r="1738" spans="7:16">
      <c r="G1738" s="15">
        <f>'[01_Entry.xlsx]Book'!G1738</f>
        <v>0.0</v>
      </c>
      <c r="H1738" s="15">
        <f>'[01_Entry.xlsx]Book'!H1738</f>
        <v>0.0</v>
      </c>
      <c r="I1738" s="15">
        <f>'[01_Entry.xlsx]Book'!I1738</f>
        <v>0.0</v>
      </c>
      <c r="K1738" s="15">
        <f>'[01_Entry.xlsx]Book'!K1738</f>
        <v>0.0</v>
      </c>
      <c r="L1738" s="15">
        <f>'[01_Entry.xlsx]Book'!L1738</f>
        <v>0.0</v>
      </c>
      <c r="M1738" s="15">
        <f>'[01_Entry.xlsx]Book'!M1738</f>
        <v>0.0</v>
      </c>
      <c r="P1738" s="56">
        <f>IF($A1738="","",IFERROR(VALUE(MID($A1738,6,2)),""))</f>
        <v/>
      </c>
    </row>
    <row r="1739" spans="7:16">
      <c r="G1739" s="15">
        <f>'[01_Entry.xlsx]Book'!G1739</f>
        <v>0.0</v>
      </c>
      <c r="H1739" s="15">
        <f>'[01_Entry.xlsx]Book'!H1739</f>
        <v>0.0</v>
      </c>
      <c r="I1739" s="15">
        <f>'[01_Entry.xlsx]Book'!I1739</f>
        <v>0.0</v>
      </c>
      <c r="K1739" s="15">
        <f>'[01_Entry.xlsx]Book'!K1739</f>
        <v>0.0</v>
      </c>
      <c r="L1739" s="15">
        <f>'[01_Entry.xlsx]Book'!L1739</f>
        <v>0.0</v>
      </c>
      <c r="M1739" s="15">
        <f>'[01_Entry.xlsx]Book'!M1739</f>
        <v>0.0</v>
      </c>
      <c r="P1739" s="56">
        <f>IF($A1739="","",IFERROR(VALUE(MID($A1739,6,2)),""))</f>
        <v/>
      </c>
    </row>
    <row r="1740" spans="7:16">
      <c r="G1740" s="15">
        <f>'[01_Entry.xlsx]Book'!G1740</f>
        <v>0.0</v>
      </c>
      <c r="H1740" s="15">
        <f>'[01_Entry.xlsx]Book'!H1740</f>
        <v>0.0</v>
      </c>
      <c r="I1740" s="15">
        <f>'[01_Entry.xlsx]Book'!I1740</f>
        <v>0.0</v>
      </c>
      <c r="K1740" s="15">
        <f>'[01_Entry.xlsx]Book'!K1740</f>
        <v>0.0</v>
      </c>
      <c r="L1740" s="15">
        <f>'[01_Entry.xlsx]Book'!L1740</f>
        <v>0.0</v>
      </c>
      <c r="M1740" s="15">
        <f>'[01_Entry.xlsx]Book'!M1740</f>
        <v>0.0</v>
      </c>
      <c r="P1740" s="56">
        <f>IF($A1740="","",IFERROR(VALUE(MID($A1740,6,2)),""))</f>
        <v/>
      </c>
    </row>
    <row r="1741" spans="7:16">
      <c r="G1741" s="15">
        <f>'[01_Entry.xlsx]Book'!G1741</f>
        <v>0.0</v>
      </c>
      <c r="H1741" s="15">
        <f>'[01_Entry.xlsx]Book'!H1741</f>
        <v>0.0</v>
      </c>
      <c r="I1741" s="15">
        <f>'[01_Entry.xlsx]Book'!I1741</f>
        <v>0.0</v>
      </c>
      <c r="K1741" s="15">
        <f>'[01_Entry.xlsx]Book'!K1741</f>
        <v>0.0</v>
      </c>
      <c r="L1741" s="15">
        <f>'[01_Entry.xlsx]Book'!L1741</f>
        <v>0.0</v>
      </c>
      <c r="M1741" s="15">
        <f>'[01_Entry.xlsx]Book'!M1741</f>
        <v>0.0</v>
      </c>
      <c r="P1741" s="56">
        <f>IF($A1741="","",IFERROR(VALUE(MID($A1741,6,2)),""))</f>
        <v/>
      </c>
    </row>
    <row r="1742" spans="7:16">
      <c r="G1742" s="15">
        <f>'[01_Entry.xlsx]Book'!G1742</f>
        <v>0.0</v>
      </c>
      <c r="H1742" s="15">
        <f>'[01_Entry.xlsx]Book'!H1742</f>
        <v>0.0</v>
      </c>
      <c r="I1742" s="15">
        <f>'[01_Entry.xlsx]Book'!I1742</f>
        <v>0.0</v>
      </c>
      <c r="K1742" s="15">
        <f>'[01_Entry.xlsx]Book'!K1742</f>
        <v>0.0</v>
      </c>
      <c r="L1742" s="15">
        <f>'[01_Entry.xlsx]Book'!L1742</f>
        <v>0.0</v>
      </c>
      <c r="M1742" s="15">
        <f>'[01_Entry.xlsx]Book'!M1742</f>
        <v>0.0</v>
      </c>
      <c r="P1742" s="56">
        <f>IF($A1742="","",IFERROR(VALUE(MID($A1742,6,2)),""))</f>
        <v/>
      </c>
    </row>
    <row r="1743" spans="7:16">
      <c r="G1743" s="15">
        <f>'[01_Entry.xlsx]Book'!G1743</f>
        <v>0.0</v>
      </c>
      <c r="H1743" s="15">
        <f>'[01_Entry.xlsx]Book'!H1743</f>
        <v>0.0</v>
      </c>
      <c r="I1743" s="15">
        <f>'[01_Entry.xlsx]Book'!I1743</f>
        <v>0.0</v>
      </c>
      <c r="K1743" s="15">
        <f>'[01_Entry.xlsx]Book'!K1743</f>
        <v>0.0</v>
      </c>
      <c r="L1743" s="15">
        <f>'[01_Entry.xlsx]Book'!L1743</f>
        <v>0.0</v>
      </c>
      <c r="M1743" s="15">
        <f>'[01_Entry.xlsx]Book'!M1743</f>
        <v>0.0</v>
      </c>
      <c r="P1743" s="56">
        <f>IF($A1743="","",IFERROR(VALUE(MID($A1743,6,2)),""))</f>
        <v/>
      </c>
    </row>
    <row r="1744" spans="7:16">
      <c r="G1744" s="15">
        <f>'[01_Entry.xlsx]Book'!G1744</f>
        <v>0.0</v>
      </c>
      <c r="H1744" s="15">
        <f>'[01_Entry.xlsx]Book'!H1744</f>
        <v>0.0</v>
      </c>
      <c r="I1744" s="15">
        <f>'[01_Entry.xlsx]Book'!I1744</f>
        <v>0.0</v>
      </c>
      <c r="K1744" s="15">
        <f>'[01_Entry.xlsx]Book'!K1744</f>
        <v>0.0</v>
      </c>
      <c r="L1744" s="15">
        <f>'[01_Entry.xlsx]Book'!L1744</f>
        <v>0.0</v>
      </c>
      <c r="M1744" s="15">
        <f>'[01_Entry.xlsx]Book'!M1744</f>
        <v>0.0</v>
      </c>
      <c r="P1744" s="56">
        <f>IF($A1744="","",IFERROR(VALUE(MID($A1744,6,2)),""))</f>
        <v/>
      </c>
    </row>
    <row r="1745" spans="7:16">
      <c r="G1745" s="15">
        <f>'[01_Entry.xlsx]Book'!G1745</f>
        <v>0.0</v>
      </c>
      <c r="H1745" s="15">
        <f>'[01_Entry.xlsx]Book'!H1745</f>
        <v>0.0</v>
      </c>
      <c r="I1745" s="15">
        <f>'[01_Entry.xlsx]Book'!I1745</f>
        <v>0.0</v>
      </c>
      <c r="K1745" s="15">
        <f>'[01_Entry.xlsx]Book'!K1745</f>
        <v>0.0</v>
      </c>
      <c r="L1745" s="15">
        <f>'[01_Entry.xlsx]Book'!L1745</f>
        <v>0.0</v>
      </c>
      <c r="M1745" s="15">
        <f>'[01_Entry.xlsx]Book'!M1745</f>
        <v>0.0</v>
      </c>
      <c r="P1745" s="56">
        <f>IF($A1745="","",IFERROR(VALUE(MID($A1745,6,2)),""))</f>
        <v/>
      </c>
    </row>
    <row r="1746" spans="7:16">
      <c r="G1746" s="15">
        <f>'[01_Entry.xlsx]Book'!G1746</f>
        <v>0.0</v>
      </c>
      <c r="H1746" s="15">
        <f>'[01_Entry.xlsx]Book'!H1746</f>
        <v>0.0</v>
      </c>
      <c r="I1746" s="15">
        <f>'[01_Entry.xlsx]Book'!I1746</f>
        <v>0.0</v>
      </c>
      <c r="K1746" s="15">
        <f>'[01_Entry.xlsx]Book'!K1746</f>
        <v>0.0</v>
      </c>
      <c r="L1746" s="15">
        <f>'[01_Entry.xlsx]Book'!L1746</f>
        <v>0.0</v>
      </c>
      <c r="M1746" s="15">
        <f>'[01_Entry.xlsx]Book'!M1746</f>
        <v>0.0</v>
      </c>
      <c r="P1746" s="56">
        <f>IF($A1746="","",IFERROR(VALUE(MID($A1746,6,2)),""))</f>
        <v/>
      </c>
    </row>
    <row r="1747" spans="7:16">
      <c r="G1747" s="15">
        <f>'[01_Entry.xlsx]Book'!G1747</f>
        <v>0.0</v>
      </c>
      <c r="H1747" s="15">
        <f>'[01_Entry.xlsx]Book'!H1747</f>
        <v>0.0</v>
      </c>
      <c r="I1747" s="15">
        <f>'[01_Entry.xlsx]Book'!I1747</f>
        <v>0.0</v>
      </c>
      <c r="K1747" s="15">
        <f>'[01_Entry.xlsx]Book'!K1747</f>
        <v>0.0</v>
      </c>
      <c r="L1747" s="15">
        <f>'[01_Entry.xlsx]Book'!L1747</f>
        <v>0.0</v>
      </c>
      <c r="M1747" s="15">
        <f>'[01_Entry.xlsx]Book'!M1747</f>
        <v>0.0</v>
      </c>
      <c r="P1747" s="56">
        <f>IF($A1747="","",IFERROR(VALUE(MID($A1747,6,2)),""))</f>
        <v/>
      </c>
    </row>
    <row r="1748" spans="7:16">
      <c r="G1748" s="15">
        <f>'[01_Entry.xlsx]Book'!G1748</f>
        <v>0.0</v>
      </c>
      <c r="H1748" s="15">
        <f>'[01_Entry.xlsx]Book'!H1748</f>
        <v>0.0</v>
      </c>
      <c r="I1748" s="15">
        <f>'[01_Entry.xlsx]Book'!I1748</f>
        <v>0.0</v>
      </c>
      <c r="K1748" s="15">
        <f>'[01_Entry.xlsx]Book'!K1748</f>
        <v>0.0</v>
      </c>
      <c r="L1748" s="15">
        <f>'[01_Entry.xlsx]Book'!L1748</f>
        <v>0.0</v>
      </c>
      <c r="M1748" s="15">
        <f>'[01_Entry.xlsx]Book'!M1748</f>
        <v>0.0</v>
      </c>
      <c r="P1748" s="56">
        <f>IF($A1748="","",IFERROR(VALUE(MID($A1748,6,2)),""))</f>
        <v/>
      </c>
    </row>
    <row r="1749" spans="7:16">
      <c r="G1749" s="15">
        <f>'[01_Entry.xlsx]Book'!G1749</f>
        <v>0.0</v>
      </c>
      <c r="H1749" s="15">
        <f>'[01_Entry.xlsx]Book'!H1749</f>
        <v>0.0</v>
      </c>
      <c r="I1749" s="15">
        <f>'[01_Entry.xlsx]Book'!I1749</f>
        <v>0.0</v>
      </c>
      <c r="K1749" s="15">
        <f>'[01_Entry.xlsx]Book'!K1749</f>
        <v>0.0</v>
      </c>
      <c r="L1749" s="15">
        <f>'[01_Entry.xlsx]Book'!L1749</f>
        <v>0.0</v>
      </c>
      <c r="M1749" s="15">
        <f>'[01_Entry.xlsx]Book'!M1749</f>
        <v>0.0</v>
      </c>
      <c r="P1749" s="56">
        <f>IF($A1749="","",IFERROR(VALUE(MID($A1749,6,2)),""))</f>
        <v/>
      </c>
    </row>
    <row r="1750" spans="7:16">
      <c r="G1750" s="15">
        <f>'[01_Entry.xlsx]Book'!G1750</f>
        <v>0.0</v>
      </c>
      <c r="H1750" s="15">
        <f>'[01_Entry.xlsx]Book'!H1750</f>
        <v>0.0</v>
      </c>
      <c r="I1750" s="15">
        <f>'[01_Entry.xlsx]Book'!I1750</f>
        <v>0.0</v>
      </c>
      <c r="K1750" s="15">
        <f>'[01_Entry.xlsx]Book'!K1750</f>
        <v>0.0</v>
      </c>
      <c r="L1750" s="15">
        <f>'[01_Entry.xlsx]Book'!L1750</f>
        <v>0.0</v>
      </c>
      <c r="M1750" s="15">
        <f>'[01_Entry.xlsx]Book'!M1750</f>
        <v>0.0</v>
      </c>
      <c r="P1750" s="56">
        <f>IF($A1750="","",IFERROR(VALUE(MID($A1750,6,2)),""))</f>
        <v/>
      </c>
    </row>
    <row r="1751" spans="7:16">
      <c r="G1751" s="15">
        <f>'[01_Entry.xlsx]Book'!G1751</f>
        <v>0.0</v>
      </c>
      <c r="H1751" s="15">
        <f>'[01_Entry.xlsx]Book'!H1751</f>
        <v>0.0</v>
      </c>
      <c r="I1751" s="15">
        <f>'[01_Entry.xlsx]Book'!I1751</f>
        <v>0.0</v>
      </c>
      <c r="K1751" s="15">
        <f>'[01_Entry.xlsx]Book'!K1751</f>
        <v>0.0</v>
      </c>
      <c r="L1751" s="15">
        <f>'[01_Entry.xlsx]Book'!L1751</f>
        <v>0.0</v>
      </c>
      <c r="M1751" s="15">
        <f>'[01_Entry.xlsx]Book'!M1751</f>
        <v>0.0</v>
      </c>
      <c r="P1751" s="56">
        <f>IF($A1751="","",IFERROR(VALUE(MID($A1751,6,2)),""))</f>
        <v/>
      </c>
    </row>
    <row r="1752" spans="7:16">
      <c r="G1752" s="15">
        <f>'[01_Entry.xlsx]Book'!G1752</f>
        <v>0.0</v>
      </c>
      <c r="H1752" s="15">
        <f>'[01_Entry.xlsx]Book'!H1752</f>
        <v>0.0</v>
      </c>
      <c r="I1752" s="15">
        <f>'[01_Entry.xlsx]Book'!I1752</f>
        <v>0.0</v>
      </c>
      <c r="K1752" s="15">
        <f>'[01_Entry.xlsx]Book'!K1752</f>
        <v>0.0</v>
      </c>
      <c r="L1752" s="15">
        <f>'[01_Entry.xlsx]Book'!L1752</f>
        <v>0.0</v>
      </c>
      <c r="M1752" s="15">
        <f>'[01_Entry.xlsx]Book'!M1752</f>
        <v>0.0</v>
      </c>
      <c r="P1752" s="56">
        <f>IF($A1752="","",IFERROR(VALUE(MID($A1752,6,2)),""))</f>
        <v/>
      </c>
    </row>
    <row r="1753" spans="7:16">
      <c r="G1753" s="15">
        <f>'[01_Entry.xlsx]Book'!G1753</f>
        <v>0.0</v>
      </c>
      <c r="H1753" s="15">
        <f>'[01_Entry.xlsx]Book'!H1753</f>
        <v>0.0</v>
      </c>
      <c r="I1753" s="15">
        <f>'[01_Entry.xlsx]Book'!I1753</f>
        <v>0.0</v>
      </c>
      <c r="K1753" s="15">
        <f>'[01_Entry.xlsx]Book'!K1753</f>
        <v>0.0</v>
      </c>
      <c r="L1753" s="15">
        <f>'[01_Entry.xlsx]Book'!L1753</f>
        <v>0.0</v>
      </c>
      <c r="M1753" s="15">
        <f>'[01_Entry.xlsx]Book'!M1753</f>
        <v>0.0</v>
      </c>
      <c r="P1753" s="56">
        <f>IF($A1753="","",IFERROR(VALUE(MID($A1753,6,2)),""))</f>
        <v/>
      </c>
    </row>
    <row r="1754" spans="7:16">
      <c r="G1754" s="15">
        <f>'[01_Entry.xlsx]Book'!G1754</f>
        <v>0.0</v>
      </c>
      <c r="H1754" s="15">
        <f>'[01_Entry.xlsx]Book'!H1754</f>
        <v>0.0</v>
      </c>
      <c r="I1754" s="15">
        <f>'[01_Entry.xlsx]Book'!I1754</f>
        <v>0.0</v>
      </c>
      <c r="K1754" s="15">
        <f>'[01_Entry.xlsx]Book'!K1754</f>
        <v>0.0</v>
      </c>
      <c r="L1754" s="15">
        <f>'[01_Entry.xlsx]Book'!L1754</f>
        <v>0.0</v>
      </c>
      <c r="M1754" s="15">
        <f>'[01_Entry.xlsx]Book'!M1754</f>
        <v>0.0</v>
      </c>
      <c r="P1754" s="56">
        <f>IF($A1754="","",IFERROR(VALUE(MID($A1754,6,2)),""))</f>
        <v/>
      </c>
    </row>
    <row r="1755" spans="7:16">
      <c r="G1755" s="15">
        <f>'[01_Entry.xlsx]Book'!G1755</f>
        <v>0.0</v>
      </c>
      <c r="H1755" s="15">
        <f>'[01_Entry.xlsx]Book'!H1755</f>
        <v>0.0</v>
      </c>
      <c r="I1755" s="15">
        <f>'[01_Entry.xlsx]Book'!I1755</f>
        <v>0.0</v>
      </c>
      <c r="K1755" s="15">
        <f>'[01_Entry.xlsx]Book'!K1755</f>
        <v>0.0</v>
      </c>
      <c r="L1755" s="15">
        <f>'[01_Entry.xlsx]Book'!L1755</f>
        <v>0.0</v>
      </c>
      <c r="M1755" s="15">
        <f>'[01_Entry.xlsx]Book'!M1755</f>
        <v>0.0</v>
      </c>
      <c r="P1755" s="56">
        <f>IF($A1755="","",IFERROR(VALUE(MID($A1755,6,2)),""))</f>
        <v/>
      </c>
    </row>
    <row r="1756" spans="7:16">
      <c r="G1756" s="15">
        <f>'[01_Entry.xlsx]Book'!G1756</f>
        <v>0.0</v>
      </c>
      <c r="H1756" s="15">
        <f>'[01_Entry.xlsx]Book'!H1756</f>
        <v>0.0</v>
      </c>
      <c r="I1756" s="15">
        <f>'[01_Entry.xlsx]Book'!I1756</f>
        <v>0.0</v>
      </c>
      <c r="K1756" s="15">
        <f>'[01_Entry.xlsx]Book'!K1756</f>
        <v>0.0</v>
      </c>
      <c r="L1756" s="15">
        <f>'[01_Entry.xlsx]Book'!L1756</f>
        <v>0.0</v>
      </c>
      <c r="M1756" s="15">
        <f>'[01_Entry.xlsx]Book'!M1756</f>
        <v>0.0</v>
      </c>
      <c r="P1756" s="56">
        <f>IF($A1756="","",IFERROR(VALUE(MID($A1756,6,2)),""))</f>
        <v/>
      </c>
    </row>
    <row r="1757" spans="7:16">
      <c r="G1757" s="15">
        <f>'[01_Entry.xlsx]Book'!G1757</f>
        <v>0.0</v>
      </c>
      <c r="H1757" s="15">
        <f>'[01_Entry.xlsx]Book'!H1757</f>
        <v>0.0</v>
      </c>
      <c r="I1757" s="15">
        <f>'[01_Entry.xlsx]Book'!I1757</f>
        <v>0.0</v>
      </c>
      <c r="K1757" s="15">
        <f>'[01_Entry.xlsx]Book'!K1757</f>
        <v>0.0</v>
      </c>
      <c r="L1757" s="15">
        <f>'[01_Entry.xlsx]Book'!L1757</f>
        <v>0.0</v>
      </c>
      <c r="M1757" s="15">
        <f>'[01_Entry.xlsx]Book'!M1757</f>
        <v>0.0</v>
      </c>
      <c r="P1757" s="56">
        <f>IF($A1757="","",IFERROR(VALUE(MID($A1757,6,2)),""))</f>
        <v/>
      </c>
    </row>
    <row r="1758" spans="7:16">
      <c r="G1758" s="15">
        <f>'[01_Entry.xlsx]Book'!G1758</f>
        <v>0.0</v>
      </c>
      <c r="H1758" s="15">
        <f>'[01_Entry.xlsx]Book'!H1758</f>
        <v>0.0</v>
      </c>
      <c r="I1758" s="15">
        <f>'[01_Entry.xlsx]Book'!I1758</f>
        <v>0.0</v>
      </c>
      <c r="K1758" s="15">
        <f>'[01_Entry.xlsx]Book'!K1758</f>
        <v>0.0</v>
      </c>
      <c r="L1758" s="15">
        <f>'[01_Entry.xlsx]Book'!L1758</f>
        <v>0.0</v>
      </c>
      <c r="M1758" s="15">
        <f>'[01_Entry.xlsx]Book'!M1758</f>
        <v>0.0</v>
      </c>
      <c r="P1758" s="56">
        <f>IF($A1758="","",IFERROR(VALUE(MID($A1758,6,2)),""))</f>
        <v/>
      </c>
    </row>
    <row r="1759" spans="7:16">
      <c r="G1759" s="15">
        <f>'[01_Entry.xlsx]Book'!G1759</f>
        <v>0.0</v>
      </c>
      <c r="H1759" s="15">
        <f>'[01_Entry.xlsx]Book'!H1759</f>
        <v>0.0</v>
      </c>
      <c r="I1759" s="15">
        <f>'[01_Entry.xlsx]Book'!I1759</f>
        <v>0.0</v>
      </c>
      <c r="K1759" s="15">
        <f>'[01_Entry.xlsx]Book'!K1759</f>
        <v>0.0</v>
      </c>
      <c r="L1759" s="15">
        <f>'[01_Entry.xlsx]Book'!L1759</f>
        <v>0.0</v>
      </c>
      <c r="M1759" s="15">
        <f>'[01_Entry.xlsx]Book'!M1759</f>
        <v>0.0</v>
      </c>
      <c r="P1759" s="56">
        <f>IF($A1759="","",IFERROR(VALUE(MID($A1759,6,2)),""))</f>
        <v/>
      </c>
    </row>
    <row r="1760" spans="7:16">
      <c r="G1760" s="15">
        <f>'[01_Entry.xlsx]Book'!G1760</f>
        <v>0.0</v>
      </c>
      <c r="H1760" s="15">
        <f>'[01_Entry.xlsx]Book'!H1760</f>
        <v>0.0</v>
      </c>
      <c r="I1760" s="15">
        <f>'[01_Entry.xlsx]Book'!I1760</f>
        <v>0.0</v>
      </c>
      <c r="K1760" s="15">
        <f>'[01_Entry.xlsx]Book'!K1760</f>
        <v>0.0</v>
      </c>
      <c r="L1760" s="15">
        <f>'[01_Entry.xlsx]Book'!L1760</f>
        <v>0.0</v>
      </c>
      <c r="M1760" s="15">
        <f>'[01_Entry.xlsx]Book'!M1760</f>
        <v>0.0</v>
      </c>
      <c r="P1760" s="56">
        <f>IF($A1760="","",IFERROR(VALUE(MID($A1760,6,2)),""))</f>
        <v/>
      </c>
    </row>
    <row r="1761" spans="7:16">
      <c r="G1761" s="15">
        <f>'[01_Entry.xlsx]Book'!G1761</f>
        <v>0.0</v>
      </c>
      <c r="H1761" s="15">
        <f>'[01_Entry.xlsx]Book'!H1761</f>
        <v>0.0</v>
      </c>
      <c r="I1761" s="15">
        <f>'[01_Entry.xlsx]Book'!I1761</f>
        <v>0.0</v>
      </c>
      <c r="K1761" s="15">
        <f>'[01_Entry.xlsx]Book'!K1761</f>
        <v>0.0</v>
      </c>
      <c r="L1761" s="15">
        <f>'[01_Entry.xlsx]Book'!L1761</f>
        <v>0.0</v>
      </c>
      <c r="M1761" s="15">
        <f>'[01_Entry.xlsx]Book'!M1761</f>
        <v>0.0</v>
      </c>
      <c r="P1761" s="56">
        <f>IF($A1761="","",IFERROR(VALUE(MID($A1761,6,2)),""))</f>
        <v/>
      </c>
    </row>
    <row r="1762" spans="7:16">
      <c r="G1762" s="15">
        <f>'[01_Entry.xlsx]Book'!G1762</f>
        <v>0.0</v>
      </c>
      <c r="H1762" s="15">
        <f>'[01_Entry.xlsx]Book'!H1762</f>
        <v>0.0</v>
      </c>
      <c r="I1762" s="15">
        <f>'[01_Entry.xlsx]Book'!I1762</f>
        <v>0.0</v>
      </c>
      <c r="K1762" s="15">
        <f>'[01_Entry.xlsx]Book'!K1762</f>
        <v>0.0</v>
      </c>
      <c r="L1762" s="15">
        <f>'[01_Entry.xlsx]Book'!L1762</f>
        <v>0.0</v>
      </c>
      <c r="M1762" s="15">
        <f>'[01_Entry.xlsx]Book'!M1762</f>
        <v>0.0</v>
      </c>
      <c r="P1762" s="56">
        <f>IF($A1762="","",IFERROR(VALUE(MID($A1762,6,2)),""))</f>
        <v/>
      </c>
    </row>
    <row r="1763" spans="7:16">
      <c r="G1763" s="15">
        <f>'[01_Entry.xlsx]Book'!G1763</f>
        <v>0.0</v>
      </c>
      <c r="H1763" s="15">
        <f>'[01_Entry.xlsx]Book'!H1763</f>
        <v>0.0</v>
      </c>
      <c r="I1763" s="15">
        <f>'[01_Entry.xlsx]Book'!I1763</f>
        <v>0.0</v>
      </c>
      <c r="K1763" s="15">
        <f>'[01_Entry.xlsx]Book'!K1763</f>
        <v>0.0</v>
      </c>
      <c r="L1763" s="15">
        <f>'[01_Entry.xlsx]Book'!L1763</f>
        <v>0.0</v>
      </c>
      <c r="M1763" s="15">
        <f>'[01_Entry.xlsx]Book'!M1763</f>
        <v>0.0</v>
      </c>
      <c r="P1763" s="56">
        <f>IF($A1763="","",IFERROR(VALUE(MID($A1763,6,2)),""))</f>
        <v/>
      </c>
    </row>
    <row r="1764" spans="7:16">
      <c r="G1764" s="15">
        <f>'[01_Entry.xlsx]Book'!G1764</f>
        <v>0.0</v>
      </c>
      <c r="H1764" s="15">
        <f>'[01_Entry.xlsx]Book'!H1764</f>
        <v>0.0</v>
      </c>
      <c r="I1764" s="15">
        <f>'[01_Entry.xlsx]Book'!I1764</f>
        <v>0.0</v>
      </c>
      <c r="K1764" s="15">
        <f>'[01_Entry.xlsx]Book'!K1764</f>
        <v>0.0</v>
      </c>
      <c r="L1764" s="15">
        <f>'[01_Entry.xlsx]Book'!L1764</f>
        <v>0.0</v>
      </c>
      <c r="M1764" s="15">
        <f>'[01_Entry.xlsx]Book'!M1764</f>
        <v>0.0</v>
      </c>
      <c r="P1764" s="56">
        <f>IF($A1764="","",IFERROR(VALUE(MID($A1764,6,2)),""))</f>
        <v/>
      </c>
    </row>
    <row r="1765" spans="7:16">
      <c r="G1765" s="15">
        <f>'[01_Entry.xlsx]Book'!G1765</f>
        <v>0.0</v>
      </c>
      <c r="H1765" s="15">
        <f>'[01_Entry.xlsx]Book'!H1765</f>
        <v>0.0</v>
      </c>
      <c r="I1765" s="15">
        <f>'[01_Entry.xlsx]Book'!I1765</f>
        <v>0.0</v>
      </c>
      <c r="K1765" s="15">
        <f>'[01_Entry.xlsx]Book'!K1765</f>
        <v>0.0</v>
      </c>
      <c r="L1765" s="15">
        <f>'[01_Entry.xlsx]Book'!L1765</f>
        <v>0.0</v>
      </c>
      <c r="M1765" s="15">
        <f>'[01_Entry.xlsx]Book'!M1765</f>
        <v>0.0</v>
      </c>
      <c r="P1765" s="56">
        <f>IF($A1765="","",IFERROR(VALUE(MID($A1765,6,2)),""))</f>
        <v/>
      </c>
    </row>
    <row r="1766" spans="7:16">
      <c r="G1766" s="15">
        <f>'[01_Entry.xlsx]Book'!G1766</f>
        <v>0.0</v>
      </c>
      <c r="H1766" s="15">
        <f>'[01_Entry.xlsx]Book'!H1766</f>
        <v>0.0</v>
      </c>
      <c r="I1766" s="15">
        <f>'[01_Entry.xlsx]Book'!I1766</f>
        <v>0.0</v>
      </c>
      <c r="K1766" s="15">
        <f>'[01_Entry.xlsx]Book'!K1766</f>
        <v>0.0</v>
      </c>
      <c r="L1766" s="15">
        <f>'[01_Entry.xlsx]Book'!L1766</f>
        <v>0.0</v>
      </c>
      <c r="M1766" s="15">
        <f>'[01_Entry.xlsx]Book'!M1766</f>
        <v>0.0</v>
      </c>
      <c r="P1766" s="56">
        <f>IF($A1766="","",IFERROR(VALUE(MID($A1766,6,2)),""))</f>
        <v/>
      </c>
    </row>
    <row r="1767" spans="7:16">
      <c r="G1767" s="15">
        <f>'[01_Entry.xlsx]Book'!G1767</f>
        <v>0.0</v>
      </c>
      <c r="H1767" s="15">
        <f>'[01_Entry.xlsx]Book'!H1767</f>
        <v>0.0</v>
      </c>
      <c r="I1767" s="15">
        <f>'[01_Entry.xlsx]Book'!I1767</f>
        <v>0.0</v>
      </c>
      <c r="K1767" s="15">
        <f>'[01_Entry.xlsx]Book'!K1767</f>
        <v>0.0</v>
      </c>
      <c r="L1767" s="15">
        <f>'[01_Entry.xlsx]Book'!L1767</f>
        <v>0.0</v>
      </c>
      <c r="M1767" s="15">
        <f>'[01_Entry.xlsx]Book'!M1767</f>
        <v>0.0</v>
      </c>
      <c r="P1767" s="56">
        <f>IF($A1767="","",IFERROR(VALUE(MID($A1767,6,2)),""))</f>
        <v/>
      </c>
    </row>
    <row r="1768" spans="7:16">
      <c r="G1768" s="15">
        <f>'[01_Entry.xlsx]Book'!G1768</f>
        <v>0.0</v>
      </c>
      <c r="H1768" s="15">
        <f>'[01_Entry.xlsx]Book'!H1768</f>
        <v>0.0</v>
      </c>
      <c r="I1768" s="15">
        <f>'[01_Entry.xlsx]Book'!I1768</f>
        <v>0.0</v>
      </c>
      <c r="K1768" s="15">
        <f>'[01_Entry.xlsx]Book'!K1768</f>
        <v>0.0</v>
      </c>
      <c r="L1768" s="15">
        <f>'[01_Entry.xlsx]Book'!L1768</f>
        <v>0.0</v>
      </c>
      <c r="M1768" s="15">
        <f>'[01_Entry.xlsx]Book'!M1768</f>
        <v>0.0</v>
      </c>
      <c r="P1768" s="56">
        <f>IF($A1768="","",IFERROR(VALUE(MID($A1768,6,2)),""))</f>
        <v/>
      </c>
    </row>
    <row r="1769" spans="7:16">
      <c r="G1769" s="15">
        <f>'[01_Entry.xlsx]Book'!G1769</f>
        <v>0.0</v>
      </c>
      <c r="H1769" s="15">
        <f>'[01_Entry.xlsx]Book'!H1769</f>
        <v>0.0</v>
      </c>
      <c r="I1769" s="15">
        <f>'[01_Entry.xlsx]Book'!I1769</f>
        <v>0.0</v>
      </c>
      <c r="K1769" s="15">
        <f>'[01_Entry.xlsx]Book'!K1769</f>
        <v>0.0</v>
      </c>
      <c r="L1769" s="15">
        <f>'[01_Entry.xlsx]Book'!L1769</f>
        <v>0.0</v>
      </c>
      <c r="M1769" s="15">
        <f>'[01_Entry.xlsx]Book'!M1769</f>
        <v>0.0</v>
      </c>
      <c r="P1769" s="56">
        <f>IF($A1769="","",IFERROR(VALUE(MID($A1769,6,2)),""))</f>
        <v/>
      </c>
    </row>
    <row r="1770" spans="7:16">
      <c r="G1770" s="15">
        <f>'[01_Entry.xlsx]Book'!G1770</f>
        <v>0.0</v>
      </c>
      <c r="H1770" s="15">
        <f>'[01_Entry.xlsx]Book'!H1770</f>
        <v>0.0</v>
      </c>
      <c r="I1770" s="15">
        <f>'[01_Entry.xlsx]Book'!I1770</f>
        <v>0.0</v>
      </c>
      <c r="K1770" s="15">
        <f>'[01_Entry.xlsx]Book'!K1770</f>
        <v>0.0</v>
      </c>
      <c r="L1770" s="15">
        <f>'[01_Entry.xlsx]Book'!L1770</f>
        <v>0.0</v>
      </c>
      <c r="M1770" s="15">
        <f>'[01_Entry.xlsx]Book'!M1770</f>
        <v>0.0</v>
      </c>
      <c r="P1770" s="56">
        <f>IF($A1770="","",IFERROR(VALUE(MID($A1770,6,2)),""))</f>
        <v/>
      </c>
    </row>
    <row r="1771" spans="7:16">
      <c r="G1771" s="15">
        <f>'[01_Entry.xlsx]Book'!G1771</f>
        <v>0.0</v>
      </c>
      <c r="H1771" s="15">
        <f>'[01_Entry.xlsx]Book'!H1771</f>
        <v>0.0</v>
      </c>
      <c r="I1771" s="15">
        <f>'[01_Entry.xlsx]Book'!I1771</f>
        <v>0.0</v>
      </c>
      <c r="K1771" s="15">
        <f>'[01_Entry.xlsx]Book'!K1771</f>
        <v>0.0</v>
      </c>
      <c r="L1771" s="15">
        <f>'[01_Entry.xlsx]Book'!L1771</f>
        <v>0.0</v>
      </c>
      <c r="M1771" s="15">
        <f>'[01_Entry.xlsx]Book'!M1771</f>
        <v>0.0</v>
      </c>
      <c r="P1771" s="56">
        <f>IF($A1771="","",IFERROR(VALUE(MID($A1771,6,2)),""))</f>
        <v/>
      </c>
    </row>
    <row r="1772" spans="7:16">
      <c r="G1772" s="15">
        <f>'[01_Entry.xlsx]Book'!G1772</f>
        <v>0.0</v>
      </c>
      <c r="H1772" s="15">
        <f>'[01_Entry.xlsx]Book'!H1772</f>
        <v>0.0</v>
      </c>
      <c r="I1772" s="15">
        <f>'[01_Entry.xlsx]Book'!I1772</f>
        <v>0.0</v>
      </c>
      <c r="K1772" s="15">
        <f>'[01_Entry.xlsx]Book'!K1772</f>
        <v>0.0</v>
      </c>
      <c r="L1772" s="15">
        <f>'[01_Entry.xlsx]Book'!L1772</f>
        <v>0.0</v>
      </c>
      <c r="M1772" s="15">
        <f>'[01_Entry.xlsx]Book'!M1772</f>
        <v>0.0</v>
      </c>
      <c r="P1772" s="56">
        <f>IF($A1772="","",IFERROR(VALUE(MID($A1772,6,2)),""))</f>
        <v/>
      </c>
    </row>
    <row r="1773" spans="7:16">
      <c r="G1773" s="15">
        <f>'[01_Entry.xlsx]Book'!G1773</f>
        <v>0.0</v>
      </c>
      <c r="H1773" s="15">
        <f>'[01_Entry.xlsx]Book'!H1773</f>
        <v>0.0</v>
      </c>
      <c r="I1773" s="15">
        <f>'[01_Entry.xlsx]Book'!I1773</f>
        <v>0.0</v>
      </c>
      <c r="K1773" s="15">
        <f>'[01_Entry.xlsx]Book'!K1773</f>
        <v>0.0</v>
      </c>
      <c r="L1773" s="15">
        <f>'[01_Entry.xlsx]Book'!L1773</f>
        <v>0.0</v>
      </c>
      <c r="M1773" s="15">
        <f>'[01_Entry.xlsx]Book'!M1773</f>
        <v>0.0</v>
      </c>
      <c r="P1773" s="56">
        <f>IF($A1773="","",IFERROR(VALUE(MID($A1773,6,2)),""))</f>
        <v/>
      </c>
    </row>
    <row r="1774" spans="7:16">
      <c r="G1774" s="15">
        <f>'[01_Entry.xlsx]Book'!G1774</f>
        <v>0.0</v>
      </c>
      <c r="H1774" s="15">
        <f>'[01_Entry.xlsx]Book'!H1774</f>
        <v>0.0</v>
      </c>
      <c r="I1774" s="15">
        <f>'[01_Entry.xlsx]Book'!I1774</f>
        <v>0.0</v>
      </c>
      <c r="K1774" s="15">
        <f>'[01_Entry.xlsx]Book'!K1774</f>
        <v>0.0</v>
      </c>
      <c r="L1774" s="15">
        <f>'[01_Entry.xlsx]Book'!L1774</f>
        <v>0.0</v>
      </c>
      <c r="M1774" s="15">
        <f>'[01_Entry.xlsx]Book'!M1774</f>
        <v>0.0</v>
      </c>
      <c r="P1774" s="56">
        <f>IF($A1774="","",IFERROR(VALUE(MID($A1774,6,2)),""))</f>
        <v/>
      </c>
    </row>
    <row r="1775" spans="7:16">
      <c r="G1775" s="15">
        <f>'[01_Entry.xlsx]Book'!G1775</f>
        <v>0.0</v>
      </c>
      <c r="H1775" s="15">
        <f>'[01_Entry.xlsx]Book'!H1775</f>
        <v>0.0</v>
      </c>
      <c r="I1775" s="15">
        <f>'[01_Entry.xlsx]Book'!I1775</f>
        <v>0.0</v>
      </c>
      <c r="K1775" s="15">
        <f>'[01_Entry.xlsx]Book'!K1775</f>
        <v>0.0</v>
      </c>
      <c r="L1775" s="15">
        <f>'[01_Entry.xlsx]Book'!L1775</f>
        <v>0.0</v>
      </c>
      <c r="M1775" s="15">
        <f>'[01_Entry.xlsx]Book'!M1775</f>
        <v>0.0</v>
      </c>
      <c r="P1775" s="56">
        <f>IF($A1775="","",IFERROR(VALUE(MID($A1775,6,2)),""))</f>
        <v/>
      </c>
    </row>
    <row r="1776" spans="7:16">
      <c r="G1776" s="15">
        <f>'[01_Entry.xlsx]Book'!G1776</f>
        <v>0.0</v>
      </c>
      <c r="H1776" s="15">
        <f>'[01_Entry.xlsx]Book'!H1776</f>
        <v>0.0</v>
      </c>
      <c r="I1776" s="15">
        <f>'[01_Entry.xlsx]Book'!I1776</f>
        <v>0.0</v>
      </c>
      <c r="K1776" s="15">
        <f>'[01_Entry.xlsx]Book'!K1776</f>
        <v>0.0</v>
      </c>
      <c r="L1776" s="15">
        <f>'[01_Entry.xlsx]Book'!L1776</f>
        <v>0.0</v>
      </c>
      <c r="M1776" s="15">
        <f>'[01_Entry.xlsx]Book'!M1776</f>
        <v>0.0</v>
      </c>
      <c r="P1776" s="56">
        <f>IF($A1776="","",IFERROR(VALUE(MID($A1776,6,2)),""))</f>
        <v/>
      </c>
    </row>
    <row r="1777" spans="7:16">
      <c r="G1777" s="15">
        <f>'[01_Entry.xlsx]Book'!G1777</f>
        <v>0.0</v>
      </c>
      <c r="H1777" s="15">
        <f>'[01_Entry.xlsx]Book'!H1777</f>
        <v>0.0</v>
      </c>
      <c r="I1777" s="15">
        <f>'[01_Entry.xlsx]Book'!I1777</f>
        <v>0.0</v>
      </c>
      <c r="K1777" s="15">
        <f>'[01_Entry.xlsx]Book'!K1777</f>
        <v>0.0</v>
      </c>
      <c r="L1777" s="15">
        <f>'[01_Entry.xlsx]Book'!L1777</f>
        <v>0.0</v>
      </c>
      <c r="M1777" s="15">
        <f>'[01_Entry.xlsx]Book'!M1777</f>
        <v>0.0</v>
      </c>
      <c r="P1777" s="56">
        <f>IF($A1777="","",IFERROR(VALUE(MID($A1777,6,2)),""))</f>
        <v/>
      </c>
    </row>
    <row r="1778" spans="7:16">
      <c r="G1778" s="15">
        <f>'[01_Entry.xlsx]Book'!G1778</f>
        <v>0.0</v>
      </c>
      <c r="H1778" s="15">
        <f>'[01_Entry.xlsx]Book'!H1778</f>
        <v>0.0</v>
      </c>
      <c r="I1778" s="15">
        <f>'[01_Entry.xlsx]Book'!I1778</f>
        <v>0.0</v>
      </c>
      <c r="K1778" s="15">
        <f>'[01_Entry.xlsx]Book'!K1778</f>
        <v>0.0</v>
      </c>
      <c r="L1778" s="15">
        <f>'[01_Entry.xlsx]Book'!L1778</f>
        <v>0.0</v>
      </c>
      <c r="M1778" s="15">
        <f>'[01_Entry.xlsx]Book'!M1778</f>
        <v>0.0</v>
      </c>
      <c r="P1778" s="56">
        <f>IF($A1778="","",IFERROR(VALUE(MID($A1778,6,2)),""))</f>
        <v/>
      </c>
    </row>
    <row r="1779" spans="7:16">
      <c r="G1779" s="15">
        <f>'[01_Entry.xlsx]Book'!G1779</f>
        <v>0.0</v>
      </c>
      <c r="H1779" s="15">
        <f>'[01_Entry.xlsx]Book'!H1779</f>
        <v>0.0</v>
      </c>
      <c r="I1779" s="15">
        <f>'[01_Entry.xlsx]Book'!I1779</f>
        <v>0.0</v>
      </c>
      <c r="K1779" s="15">
        <f>'[01_Entry.xlsx]Book'!K1779</f>
        <v>0.0</v>
      </c>
      <c r="L1779" s="15">
        <f>'[01_Entry.xlsx]Book'!L1779</f>
        <v>0.0</v>
      </c>
      <c r="M1779" s="15">
        <f>'[01_Entry.xlsx]Book'!M1779</f>
        <v>0.0</v>
      </c>
      <c r="P1779" s="56">
        <f>IF($A1779="","",IFERROR(VALUE(MID($A1779,6,2)),""))</f>
        <v/>
      </c>
    </row>
    <row r="1780" spans="7:16">
      <c r="G1780" s="15">
        <f>'[01_Entry.xlsx]Book'!G1780</f>
        <v>0.0</v>
      </c>
      <c r="H1780" s="15">
        <f>'[01_Entry.xlsx]Book'!H1780</f>
        <v>0.0</v>
      </c>
      <c r="I1780" s="15">
        <f>'[01_Entry.xlsx]Book'!I1780</f>
        <v>0.0</v>
      </c>
      <c r="K1780" s="15">
        <f>'[01_Entry.xlsx]Book'!K1780</f>
        <v>0.0</v>
      </c>
      <c r="L1780" s="15">
        <f>'[01_Entry.xlsx]Book'!L1780</f>
        <v>0.0</v>
      </c>
      <c r="M1780" s="15">
        <f>'[01_Entry.xlsx]Book'!M1780</f>
        <v>0.0</v>
      </c>
      <c r="P1780" s="56">
        <f>IF($A1780="","",IFERROR(VALUE(MID($A1780,6,2)),""))</f>
        <v/>
      </c>
    </row>
    <row r="1781" spans="7:16">
      <c r="G1781" s="15">
        <f>'[01_Entry.xlsx]Book'!G1781</f>
        <v>0.0</v>
      </c>
      <c r="H1781" s="15">
        <f>'[01_Entry.xlsx]Book'!H1781</f>
        <v>0.0</v>
      </c>
      <c r="I1781" s="15">
        <f>'[01_Entry.xlsx]Book'!I1781</f>
        <v>0.0</v>
      </c>
      <c r="K1781" s="15">
        <f>'[01_Entry.xlsx]Book'!K1781</f>
        <v>0.0</v>
      </c>
      <c r="L1781" s="15">
        <f>'[01_Entry.xlsx]Book'!L1781</f>
        <v>0.0</v>
      </c>
      <c r="M1781" s="15">
        <f>'[01_Entry.xlsx]Book'!M1781</f>
        <v>0.0</v>
      </c>
      <c r="P1781" s="56">
        <f>IF($A1781="","",IFERROR(VALUE(MID($A1781,6,2)),""))</f>
        <v/>
      </c>
    </row>
    <row r="1782" spans="7:16">
      <c r="G1782" s="15">
        <f>'[01_Entry.xlsx]Book'!G1782</f>
        <v>0.0</v>
      </c>
      <c r="H1782" s="15">
        <f>'[01_Entry.xlsx]Book'!H1782</f>
        <v>0.0</v>
      </c>
      <c r="I1782" s="15">
        <f>'[01_Entry.xlsx]Book'!I1782</f>
        <v>0.0</v>
      </c>
      <c r="K1782" s="15">
        <f>'[01_Entry.xlsx]Book'!K1782</f>
        <v>0.0</v>
      </c>
      <c r="L1782" s="15">
        <f>'[01_Entry.xlsx]Book'!L1782</f>
        <v>0.0</v>
      </c>
      <c r="M1782" s="15">
        <f>'[01_Entry.xlsx]Book'!M1782</f>
        <v>0.0</v>
      </c>
      <c r="P1782" s="56">
        <f>IF($A1782="","",IFERROR(VALUE(MID($A1782,6,2)),""))</f>
        <v/>
      </c>
    </row>
    <row r="1783" spans="7:16">
      <c r="G1783" s="15">
        <f>'[01_Entry.xlsx]Book'!G1783</f>
        <v>0.0</v>
      </c>
      <c r="H1783" s="15">
        <f>'[01_Entry.xlsx]Book'!H1783</f>
        <v>0.0</v>
      </c>
      <c r="I1783" s="15">
        <f>'[01_Entry.xlsx]Book'!I1783</f>
        <v>0.0</v>
      </c>
      <c r="K1783" s="15">
        <f>'[01_Entry.xlsx]Book'!K1783</f>
        <v>0.0</v>
      </c>
      <c r="L1783" s="15">
        <f>'[01_Entry.xlsx]Book'!L1783</f>
        <v>0.0</v>
      </c>
      <c r="M1783" s="15">
        <f>'[01_Entry.xlsx]Book'!M1783</f>
        <v>0.0</v>
      </c>
      <c r="P1783" s="56">
        <f>IF($A1783="","",IFERROR(VALUE(MID($A1783,6,2)),""))</f>
        <v/>
      </c>
    </row>
    <row r="1784" spans="7:16">
      <c r="G1784" s="15">
        <f>'[01_Entry.xlsx]Book'!G1784</f>
        <v>0.0</v>
      </c>
      <c r="H1784" s="15">
        <f>'[01_Entry.xlsx]Book'!H1784</f>
        <v>0.0</v>
      </c>
      <c r="I1784" s="15">
        <f>'[01_Entry.xlsx]Book'!I1784</f>
        <v>0.0</v>
      </c>
      <c r="K1784" s="15">
        <f>'[01_Entry.xlsx]Book'!K1784</f>
        <v>0.0</v>
      </c>
      <c r="L1784" s="15">
        <f>'[01_Entry.xlsx]Book'!L1784</f>
        <v>0.0</v>
      </c>
      <c r="M1784" s="15">
        <f>'[01_Entry.xlsx]Book'!M1784</f>
        <v>0.0</v>
      </c>
      <c r="P1784" s="56">
        <f>IF($A1784="","",IFERROR(VALUE(MID($A1784,6,2)),""))</f>
        <v/>
      </c>
    </row>
    <row r="1785" spans="7:16">
      <c r="G1785" s="15">
        <f>'[01_Entry.xlsx]Book'!G1785</f>
        <v>0.0</v>
      </c>
      <c r="H1785" s="15">
        <f>'[01_Entry.xlsx]Book'!H1785</f>
        <v>0.0</v>
      </c>
      <c r="I1785" s="15">
        <f>'[01_Entry.xlsx]Book'!I1785</f>
        <v>0.0</v>
      </c>
      <c r="K1785" s="15">
        <f>'[01_Entry.xlsx]Book'!K1785</f>
        <v>0.0</v>
      </c>
      <c r="L1785" s="15">
        <f>'[01_Entry.xlsx]Book'!L1785</f>
        <v>0.0</v>
      </c>
      <c r="M1785" s="15">
        <f>'[01_Entry.xlsx]Book'!M1785</f>
        <v>0.0</v>
      </c>
      <c r="P1785" s="56">
        <f>IF($A1785="","",IFERROR(VALUE(MID($A1785,6,2)),""))</f>
        <v/>
      </c>
    </row>
    <row r="1786" spans="7:16">
      <c r="G1786" s="15">
        <f>'[01_Entry.xlsx]Book'!G1786</f>
        <v>0.0</v>
      </c>
      <c r="H1786" s="15">
        <f>'[01_Entry.xlsx]Book'!H1786</f>
        <v>0.0</v>
      </c>
      <c r="I1786" s="15">
        <f>'[01_Entry.xlsx]Book'!I1786</f>
        <v>0.0</v>
      </c>
      <c r="K1786" s="15">
        <f>'[01_Entry.xlsx]Book'!K1786</f>
        <v>0.0</v>
      </c>
      <c r="L1786" s="15">
        <f>'[01_Entry.xlsx]Book'!L1786</f>
        <v>0.0</v>
      </c>
      <c r="M1786" s="15">
        <f>'[01_Entry.xlsx]Book'!M1786</f>
        <v>0.0</v>
      </c>
      <c r="P1786" s="56">
        <f>IF($A1786="","",IFERROR(VALUE(MID($A1786,6,2)),""))</f>
        <v/>
      </c>
    </row>
    <row r="1787" spans="7:16">
      <c r="G1787" s="15">
        <f>'[01_Entry.xlsx]Book'!G1787</f>
        <v>0.0</v>
      </c>
      <c r="H1787" s="15">
        <f>'[01_Entry.xlsx]Book'!H1787</f>
        <v>0.0</v>
      </c>
      <c r="I1787" s="15">
        <f>'[01_Entry.xlsx]Book'!I1787</f>
        <v>0.0</v>
      </c>
      <c r="K1787" s="15">
        <f>'[01_Entry.xlsx]Book'!K1787</f>
        <v>0.0</v>
      </c>
      <c r="L1787" s="15">
        <f>'[01_Entry.xlsx]Book'!L1787</f>
        <v>0.0</v>
      </c>
      <c r="M1787" s="15">
        <f>'[01_Entry.xlsx]Book'!M1787</f>
        <v>0.0</v>
      </c>
      <c r="P1787" s="56">
        <f>IF($A1787="","",IFERROR(VALUE(MID($A1787,6,2)),""))</f>
        <v/>
      </c>
    </row>
    <row r="1788" spans="7:16">
      <c r="G1788" s="15">
        <f>'[01_Entry.xlsx]Book'!G1788</f>
        <v>0.0</v>
      </c>
      <c r="H1788" s="15">
        <f>'[01_Entry.xlsx]Book'!H1788</f>
        <v>0.0</v>
      </c>
      <c r="I1788" s="15">
        <f>'[01_Entry.xlsx]Book'!I1788</f>
        <v>0.0</v>
      </c>
      <c r="K1788" s="15">
        <f>'[01_Entry.xlsx]Book'!K1788</f>
        <v>0.0</v>
      </c>
      <c r="L1788" s="15">
        <f>'[01_Entry.xlsx]Book'!L1788</f>
        <v>0.0</v>
      </c>
      <c r="M1788" s="15">
        <f>'[01_Entry.xlsx]Book'!M1788</f>
        <v>0.0</v>
      </c>
      <c r="P1788" s="56">
        <f>IF($A1788="","",IFERROR(VALUE(MID($A1788,6,2)),""))</f>
        <v/>
      </c>
    </row>
    <row r="1789" spans="7:16">
      <c r="G1789" s="15">
        <f>'[01_Entry.xlsx]Book'!G1789</f>
        <v>0.0</v>
      </c>
      <c r="H1789" s="15">
        <f>'[01_Entry.xlsx]Book'!H1789</f>
        <v>0.0</v>
      </c>
      <c r="I1789" s="15">
        <f>'[01_Entry.xlsx]Book'!I1789</f>
        <v>0.0</v>
      </c>
      <c r="K1789" s="15">
        <f>'[01_Entry.xlsx]Book'!K1789</f>
        <v>0.0</v>
      </c>
      <c r="L1789" s="15">
        <f>'[01_Entry.xlsx]Book'!L1789</f>
        <v>0.0</v>
      </c>
      <c r="M1789" s="15">
        <f>'[01_Entry.xlsx]Book'!M1789</f>
        <v>0.0</v>
      </c>
      <c r="P1789" s="56">
        <f>IF($A1789="","",IFERROR(VALUE(MID($A1789,6,2)),""))</f>
        <v/>
      </c>
    </row>
    <row r="1790" spans="7:16">
      <c r="G1790" s="15">
        <f>'[01_Entry.xlsx]Book'!G1790</f>
        <v>0.0</v>
      </c>
      <c r="H1790" s="15">
        <f>'[01_Entry.xlsx]Book'!H1790</f>
        <v>0.0</v>
      </c>
      <c r="I1790" s="15">
        <f>'[01_Entry.xlsx]Book'!I1790</f>
        <v>0.0</v>
      </c>
      <c r="K1790" s="15">
        <f>'[01_Entry.xlsx]Book'!K1790</f>
        <v>0.0</v>
      </c>
      <c r="L1790" s="15">
        <f>'[01_Entry.xlsx]Book'!L1790</f>
        <v>0.0</v>
      </c>
      <c r="M1790" s="15">
        <f>'[01_Entry.xlsx]Book'!M1790</f>
        <v>0.0</v>
      </c>
      <c r="P1790" s="56">
        <f>IF($A1790="","",IFERROR(VALUE(MID($A1790,6,2)),""))</f>
        <v/>
      </c>
    </row>
    <row r="1791" spans="7:16">
      <c r="G1791" s="15">
        <f>'[01_Entry.xlsx]Book'!G1791</f>
        <v>0.0</v>
      </c>
      <c r="H1791" s="15">
        <f>'[01_Entry.xlsx]Book'!H1791</f>
        <v>0.0</v>
      </c>
      <c r="I1791" s="15">
        <f>'[01_Entry.xlsx]Book'!I1791</f>
        <v>0.0</v>
      </c>
      <c r="K1791" s="15">
        <f>'[01_Entry.xlsx]Book'!K1791</f>
        <v>0.0</v>
      </c>
      <c r="L1791" s="15">
        <f>'[01_Entry.xlsx]Book'!L1791</f>
        <v>0.0</v>
      </c>
      <c r="M1791" s="15">
        <f>'[01_Entry.xlsx]Book'!M1791</f>
        <v>0.0</v>
      </c>
      <c r="P1791" s="56">
        <f>IF($A1791="","",IFERROR(VALUE(MID($A1791,6,2)),""))</f>
        <v/>
      </c>
    </row>
    <row r="1792" spans="7:16">
      <c r="G1792" s="15">
        <f>'[01_Entry.xlsx]Book'!G1792</f>
        <v>0.0</v>
      </c>
      <c r="H1792" s="15">
        <f>'[01_Entry.xlsx]Book'!H1792</f>
        <v>0.0</v>
      </c>
      <c r="I1792" s="15">
        <f>'[01_Entry.xlsx]Book'!I1792</f>
        <v>0.0</v>
      </c>
      <c r="K1792" s="15">
        <f>'[01_Entry.xlsx]Book'!K1792</f>
        <v>0.0</v>
      </c>
      <c r="L1792" s="15">
        <f>'[01_Entry.xlsx]Book'!L1792</f>
        <v>0.0</v>
      </c>
      <c r="M1792" s="15">
        <f>'[01_Entry.xlsx]Book'!M1792</f>
        <v>0.0</v>
      </c>
      <c r="P1792" s="56">
        <f>IF($A1792="","",IFERROR(VALUE(MID($A1792,6,2)),""))</f>
        <v/>
      </c>
    </row>
    <row r="1793" spans="7:16">
      <c r="G1793" s="15">
        <f>'[01_Entry.xlsx]Book'!G1793</f>
        <v>0.0</v>
      </c>
      <c r="H1793" s="15">
        <f>'[01_Entry.xlsx]Book'!H1793</f>
        <v>0.0</v>
      </c>
      <c r="I1793" s="15">
        <f>'[01_Entry.xlsx]Book'!I1793</f>
        <v>0.0</v>
      </c>
      <c r="K1793" s="15">
        <f>'[01_Entry.xlsx]Book'!K1793</f>
        <v>0.0</v>
      </c>
      <c r="L1793" s="15">
        <f>'[01_Entry.xlsx]Book'!L1793</f>
        <v>0.0</v>
      </c>
      <c r="M1793" s="15">
        <f>'[01_Entry.xlsx]Book'!M1793</f>
        <v>0.0</v>
      </c>
      <c r="P1793" s="56">
        <f>IF($A1793="","",IFERROR(VALUE(MID($A1793,6,2)),""))</f>
        <v/>
      </c>
    </row>
    <row r="1794" spans="7:16">
      <c r="G1794" s="15">
        <f>'[01_Entry.xlsx]Book'!G1794</f>
        <v>0.0</v>
      </c>
      <c r="H1794" s="15">
        <f>'[01_Entry.xlsx]Book'!H1794</f>
        <v>0.0</v>
      </c>
      <c r="I1794" s="15">
        <f>'[01_Entry.xlsx]Book'!I1794</f>
        <v>0.0</v>
      </c>
      <c r="K1794" s="15">
        <f>'[01_Entry.xlsx]Book'!K1794</f>
        <v>0.0</v>
      </c>
      <c r="L1794" s="15">
        <f>'[01_Entry.xlsx]Book'!L1794</f>
        <v>0.0</v>
      </c>
      <c r="M1794" s="15">
        <f>'[01_Entry.xlsx]Book'!M1794</f>
        <v>0.0</v>
      </c>
      <c r="P1794" s="56">
        <f>IF($A1794="","",IFERROR(VALUE(MID($A1794,6,2)),""))</f>
        <v/>
      </c>
    </row>
    <row r="1795" spans="7:16">
      <c r="G1795" s="15">
        <f>'[01_Entry.xlsx]Book'!G1795</f>
        <v>0.0</v>
      </c>
      <c r="H1795" s="15">
        <f>'[01_Entry.xlsx]Book'!H1795</f>
        <v>0.0</v>
      </c>
      <c r="I1795" s="15">
        <f>'[01_Entry.xlsx]Book'!I1795</f>
        <v>0.0</v>
      </c>
      <c r="K1795" s="15">
        <f>'[01_Entry.xlsx]Book'!K1795</f>
        <v>0.0</v>
      </c>
      <c r="L1795" s="15">
        <f>'[01_Entry.xlsx]Book'!L1795</f>
        <v>0.0</v>
      </c>
      <c r="M1795" s="15">
        <f>'[01_Entry.xlsx]Book'!M1795</f>
        <v>0.0</v>
      </c>
      <c r="P1795" s="56">
        <f>IF($A1795="","",IFERROR(VALUE(MID($A1795,6,2)),""))</f>
        <v/>
      </c>
    </row>
    <row r="1796" spans="7:16">
      <c r="G1796" s="15">
        <f>'[01_Entry.xlsx]Book'!G1796</f>
        <v>0.0</v>
      </c>
      <c r="H1796" s="15">
        <f>'[01_Entry.xlsx]Book'!H1796</f>
        <v>0.0</v>
      </c>
      <c r="I1796" s="15">
        <f>'[01_Entry.xlsx]Book'!I1796</f>
        <v>0.0</v>
      </c>
      <c r="K1796" s="15">
        <f>'[01_Entry.xlsx]Book'!K1796</f>
        <v>0.0</v>
      </c>
      <c r="L1796" s="15">
        <f>'[01_Entry.xlsx]Book'!L1796</f>
        <v>0.0</v>
      </c>
      <c r="M1796" s="15">
        <f>'[01_Entry.xlsx]Book'!M1796</f>
        <v>0.0</v>
      </c>
      <c r="P1796" s="56">
        <f>IF($A1796="","",IFERROR(VALUE(MID($A1796,6,2)),""))</f>
        <v/>
      </c>
    </row>
    <row r="1797" spans="7:16">
      <c r="G1797" s="15">
        <f>'[01_Entry.xlsx]Book'!G1797</f>
        <v>0.0</v>
      </c>
      <c r="H1797" s="15">
        <f>'[01_Entry.xlsx]Book'!H1797</f>
        <v>0.0</v>
      </c>
      <c r="I1797" s="15">
        <f>'[01_Entry.xlsx]Book'!I1797</f>
        <v>0.0</v>
      </c>
      <c r="K1797" s="15">
        <f>'[01_Entry.xlsx]Book'!K1797</f>
        <v>0.0</v>
      </c>
      <c r="L1797" s="15">
        <f>'[01_Entry.xlsx]Book'!L1797</f>
        <v>0.0</v>
      </c>
      <c r="M1797" s="15">
        <f>'[01_Entry.xlsx]Book'!M1797</f>
        <v>0.0</v>
      </c>
      <c r="P1797" s="56">
        <f>IF($A1797="","",IFERROR(VALUE(MID($A1797,6,2)),""))</f>
        <v/>
      </c>
    </row>
    <row r="1798" spans="7:16">
      <c r="G1798" s="15">
        <f>'[01_Entry.xlsx]Book'!G1798</f>
        <v>0.0</v>
      </c>
      <c r="H1798" s="15">
        <f>'[01_Entry.xlsx]Book'!H1798</f>
        <v>0.0</v>
      </c>
      <c r="I1798" s="15">
        <f>'[01_Entry.xlsx]Book'!I1798</f>
        <v>0.0</v>
      </c>
      <c r="K1798" s="15">
        <f>'[01_Entry.xlsx]Book'!K1798</f>
        <v>0.0</v>
      </c>
      <c r="L1798" s="15">
        <f>'[01_Entry.xlsx]Book'!L1798</f>
        <v>0.0</v>
      </c>
      <c r="M1798" s="15">
        <f>'[01_Entry.xlsx]Book'!M1798</f>
        <v>0.0</v>
      </c>
      <c r="P1798" s="56">
        <f>IF($A1798="","",IFERROR(VALUE(MID($A1798,6,2)),""))</f>
        <v/>
      </c>
    </row>
    <row r="1799" spans="7:16">
      <c r="G1799" s="15">
        <f>'[01_Entry.xlsx]Book'!G1799</f>
        <v>0.0</v>
      </c>
      <c r="H1799" s="15">
        <f>'[01_Entry.xlsx]Book'!H1799</f>
        <v>0.0</v>
      </c>
      <c r="I1799" s="15">
        <f>'[01_Entry.xlsx]Book'!I1799</f>
        <v>0.0</v>
      </c>
      <c r="K1799" s="15">
        <f>'[01_Entry.xlsx]Book'!K1799</f>
        <v>0.0</v>
      </c>
      <c r="L1799" s="15">
        <f>'[01_Entry.xlsx]Book'!L1799</f>
        <v>0.0</v>
      </c>
      <c r="M1799" s="15">
        <f>'[01_Entry.xlsx]Book'!M1799</f>
        <v>0.0</v>
      </c>
      <c r="P1799" s="56">
        <f>IF($A1799="","",IFERROR(VALUE(MID($A1799,6,2)),""))</f>
        <v/>
      </c>
    </row>
    <row r="1800" spans="7:16">
      <c r="G1800" s="15">
        <f>'[01_Entry.xlsx]Book'!G1800</f>
        <v>0.0</v>
      </c>
      <c r="H1800" s="15">
        <f>'[01_Entry.xlsx]Book'!H1800</f>
        <v>0.0</v>
      </c>
      <c r="I1800" s="15">
        <f>'[01_Entry.xlsx]Book'!I1800</f>
        <v>0.0</v>
      </c>
      <c r="K1800" s="15">
        <f>'[01_Entry.xlsx]Book'!K1800</f>
        <v>0.0</v>
      </c>
      <c r="L1800" s="15">
        <f>'[01_Entry.xlsx]Book'!L1800</f>
        <v>0.0</v>
      </c>
      <c r="M1800" s="15">
        <f>'[01_Entry.xlsx]Book'!M1800</f>
        <v>0.0</v>
      </c>
      <c r="P1800" s="56">
        <f>IF($A1800="","",IFERROR(VALUE(MID($A1800,6,2)),""))</f>
        <v/>
      </c>
    </row>
    <row r="1801" spans="7:16">
      <c r="G1801" s="15">
        <f>'[01_Entry.xlsx]Book'!G1801</f>
        <v>0.0</v>
      </c>
      <c r="H1801" s="15">
        <f>'[01_Entry.xlsx]Book'!H1801</f>
        <v>0.0</v>
      </c>
      <c r="I1801" s="15">
        <f>'[01_Entry.xlsx]Book'!I1801</f>
        <v>0.0</v>
      </c>
      <c r="K1801" s="15">
        <f>'[01_Entry.xlsx]Book'!K1801</f>
        <v>0.0</v>
      </c>
      <c r="L1801" s="15">
        <f>'[01_Entry.xlsx]Book'!L1801</f>
        <v>0.0</v>
      </c>
      <c r="M1801" s="15">
        <f>'[01_Entry.xlsx]Book'!M1801</f>
        <v>0.0</v>
      </c>
      <c r="P1801" s="56">
        <f>IF($A1801="","",IFERROR(VALUE(MID($A1801,6,2)),""))</f>
        <v/>
      </c>
    </row>
    <row r="1802" spans="7:16">
      <c r="G1802" s="15">
        <f>'[01_Entry.xlsx]Book'!G1802</f>
        <v>0.0</v>
      </c>
      <c r="H1802" s="15">
        <f>'[01_Entry.xlsx]Book'!H1802</f>
        <v>0.0</v>
      </c>
      <c r="I1802" s="15">
        <f>'[01_Entry.xlsx]Book'!I1802</f>
        <v>0.0</v>
      </c>
      <c r="K1802" s="15">
        <f>'[01_Entry.xlsx]Book'!K1802</f>
        <v>0.0</v>
      </c>
      <c r="L1802" s="15">
        <f>'[01_Entry.xlsx]Book'!L1802</f>
        <v>0.0</v>
      </c>
      <c r="M1802" s="15">
        <f>'[01_Entry.xlsx]Book'!M1802</f>
        <v>0.0</v>
      </c>
      <c r="P1802" s="56">
        <f>IF($A1802="","",IFERROR(VALUE(MID($A1802,6,2)),""))</f>
        <v/>
      </c>
    </row>
    <row r="1803" spans="7:16">
      <c r="G1803" s="15">
        <f>'[01_Entry.xlsx]Book'!G1803</f>
        <v>0.0</v>
      </c>
      <c r="H1803" s="15">
        <f>'[01_Entry.xlsx]Book'!H1803</f>
        <v>0.0</v>
      </c>
      <c r="I1803" s="15">
        <f>'[01_Entry.xlsx]Book'!I1803</f>
        <v>0.0</v>
      </c>
      <c r="K1803" s="15">
        <f>'[01_Entry.xlsx]Book'!K1803</f>
        <v>0.0</v>
      </c>
      <c r="L1803" s="15">
        <f>'[01_Entry.xlsx]Book'!L1803</f>
        <v>0.0</v>
      </c>
      <c r="M1803" s="15">
        <f>'[01_Entry.xlsx]Book'!M1803</f>
        <v>0.0</v>
      </c>
      <c r="P1803" s="56">
        <f>IF($A1803="","",IFERROR(VALUE(MID($A1803,6,2)),""))</f>
        <v/>
      </c>
    </row>
    <row r="1804" spans="7:16">
      <c r="G1804" s="15">
        <f>'[01_Entry.xlsx]Book'!G1804</f>
        <v>0.0</v>
      </c>
      <c r="H1804" s="15">
        <f>'[01_Entry.xlsx]Book'!H1804</f>
        <v>0.0</v>
      </c>
      <c r="I1804" s="15">
        <f>'[01_Entry.xlsx]Book'!I1804</f>
        <v>0.0</v>
      </c>
      <c r="K1804" s="15">
        <f>'[01_Entry.xlsx]Book'!K1804</f>
        <v>0.0</v>
      </c>
      <c r="L1804" s="15">
        <f>'[01_Entry.xlsx]Book'!L1804</f>
        <v>0.0</v>
      </c>
      <c r="M1804" s="15">
        <f>'[01_Entry.xlsx]Book'!M1804</f>
        <v>0.0</v>
      </c>
      <c r="P1804" s="56">
        <f>IF($A1804="","",IFERROR(VALUE(MID($A1804,6,2)),""))</f>
        <v/>
      </c>
    </row>
    <row r="1805" spans="7:16">
      <c r="G1805" s="15">
        <f>'[01_Entry.xlsx]Book'!G1805</f>
        <v>0.0</v>
      </c>
      <c r="H1805" s="15">
        <f>'[01_Entry.xlsx]Book'!H1805</f>
        <v>0.0</v>
      </c>
      <c r="I1805" s="15">
        <f>'[01_Entry.xlsx]Book'!I1805</f>
        <v>0.0</v>
      </c>
      <c r="K1805" s="15">
        <f>'[01_Entry.xlsx]Book'!K1805</f>
        <v>0.0</v>
      </c>
      <c r="L1805" s="15">
        <f>'[01_Entry.xlsx]Book'!L1805</f>
        <v>0.0</v>
      </c>
      <c r="M1805" s="15">
        <f>'[01_Entry.xlsx]Book'!M1805</f>
        <v>0.0</v>
      </c>
      <c r="P1805" s="56">
        <f>IF($A1805="","",IFERROR(VALUE(MID($A1805,6,2)),""))</f>
        <v/>
      </c>
    </row>
    <row r="1806" spans="7:16">
      <c r="G1806" s="15">
        <f>'[01_Entry.xlsx]Book'!G1806</f>
        <v>0.0</v>
      </c>
      <c r="H1806" s="15">
        <f>'[01_Entry.xlsx]Book'!H1806</f>
        <v>0.0</v>
      </c>
      <c r="I1806" s="15">
        <f>'[01_Entry.xlsx]Book'!I1806</f>
        <v>0.0</v>
      </c>
      <c r="K1806" s="15">
        <f>'[01_Entry.xlsx]Book'!K1806</f>
        <v>0.0</v>
      </c>
      <c r="L1806" s="15">
        <f>'[01_Entry.xlsx]Book'!L1806</f>
        <v>0.0</v>
      </c>
      <c r="M1806" s="15">
        <f>'[01_Entry.xlsx]Book'!M1806</f>
        <v>0.0</v>
      </c>
      <c r="P1806" s="56">
        <f>IF($A1806="","",IFERROR(VALUE(MID($A1806,6,2)),""))</f>
        <v/>
      </c>
    </row>
    <row r="1807" spans="7:16">
      <c r="G1807" s="15">
        <f>'[01_Entry.xlsx]Book'!G1807</f>
        <v>0.0</v>
      </c>
      <c r="H1807" s="15">
        <f>'[01_Entry.xlsx]Book'!H1807</f>
        <v>0.0</v>
      </c>
      <c r="I1807" s="15">
        <f>'[01_Entry.xlsx]Book'!I1807</f>
        <v>0.0</v>
      </c>
      <c r="K1807" s="15">
        <f>'[01_Entry.xlsx]Book'!K1807</f>
        <v>0.0</v>
      </c>
      <c r="L1807" s="15">
        <f>'[01_Entry.xlsx]Book'!L1807</f>
        <v>0.0</v>
      </c>
      <c r="M1807" s="15">
        <f>'[01_Entry.xlsx]Book'!M1807</f>
        <v>0.0</v>
      </c>
      <c r="P1807" s="56">
        <f>IF($A1807="","",IFERROR(VALUE(MID($A1807,6,2)),""))</f>
        <v/>
      </c>
    </row>
    <row r="1808" spans="7:16">
      <c r="G1808" s="15">
        <f>'[01_Entry.xlsx]Book'!G1808</f>
        <v>0.0</v>
      </c>
      <c r="H1808" s="15">
        <f>'[01_Entry.xlsx]Book'!H1808</f>
        <v>0.0</v>
      </c>
      <c r="I1808" s="15">
        <f>'[01_Entry.xlsx]Book'!I1808</f>
        <v>0.0</v>
      </c>
      <c r="K1808" s="15">
        <f>'[01_Entry.xlsx]Book'!K1808</f>
        <v>0.0</v>
      </c>
      <c r="L1808" s="15">
        <f>'[01_Entry.xlsx]Book'!L1808</f>
        <v>0.0</v>
      </c>
      <c r="M1808" s="15">
        <f>'[01_Entry.xlsx]Book'!M1808</f>
        <v>0.0</v>
      </c>
      <c r="P1808" s="56">
        <f>IF($A1808="","",IFERROR(VALUE(MID($A1808,6,2)),""))</f>
        <v/>
      </c>
    </row>
  </sheetData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9:L289"/>
  <sheetViews>
    <sheetView showGridLines="0" rightToLeft="1" zoomScale="85" zoomScaleNormal="85" workbookViewId="0"/>
  </sheetViews>
  <sheetFormatPr defaultRowHeight="15"/>
  <sheetData>
    <row r="9" spans="1:12">
      <c r="A9" s="57" t="s">
        <v>176</v>
      </c>
      <c r="B9" s="57" t="s">
        <v>177</v>
      </c>
      <c r="C9" s="57" t="s">
        <v>178</v>
      </c>
      <c r="D9" s="57" t="s">
        <v>179</v>
      </c>
      <c r="E9" s="57" t="s">
        <v>190</v>
      </c>
      <c r="F9" s="57" t="s">
        <v>189</v>
      </c>
      <c r="G9" s="57" t="s">
        <v>188</v>
      </c>
      <c r="H9" s="57" t="s">
        <v>16</v>
      </c>
      <c r="I9" s="57" t="s">
        <v>186</v>
      </c>
      <c r="J9" s="57" t="s">
        <v>187</v>
      </c>
      <c r="K9" s="57" t="s">
        <v>9</v>
      </c>
      <c r="L9" s="57" t="s">
        <v>180</v>
      </c>
    </row>
    <row r="10" spans="1:12">
      <c r="A10" s="16" t="str">
        <f>'[02_Bank.xlsx]Post'!A13</f>
        <v>1405/07/03</v>
      </c>
      <c r="B10" s="16" t="str">
        <f>'[02_Bank.xlsx]Post'!B13</f>
        <v>JB-BS-006</v>
      </c>
      <c r="C10" s="16" t="str">
        <f>'[02_Bank.xlsx]Post'!C13</f>
        <v>تراکنش بانکی</v>
      </c>
      <c r="D10" s="16" t="str">
        <f>'[02_Bank.xlsx]Post'!D13</f>
        <v>BN02</v>
      </c>
      <c r="E10" s="16" t="str">
        <f>'[02_Bank.xlsx]Post'!E13</f>
        <v>صادرات ۲۰۰۶ — پوز باسکول</v>
      </c>
      <c r="F10" s="16" t="str">
        <f>'[02_Bank.xlsx]Post'!F13</f>
        <v>بانک و صندوق</v>
      </c>
      <c r="G10" s="16" t="str">
        <f>'[02_Bank.xlsx]Post'!G13</f>
        <v>واریز پز باسکول (۲۰۰۶)</v>
      </c>
      <c r="H10" s="16" t="str">
        <f>'[02_Bank.xlsx]Post'!H13</f>
        <v>BN02</v>
      </c>
      <c r="I10" s="15">
        <f>'[02_Bank.xlsx]Post'!I13</f>
        <v>120000.0</v>
      </c>
      <c r="J10" s="15">
        <f>'[02_Bank.xlsx]Post'!J13</f>
        <v>0.0</v>
      </c>
      <c r="K10" s="15">
        <f>'[02_Bank.xlsx]Post'!K13</f>
        <v>7.0</v>
      </c>
      <c r="L10" s="16" t="str">
        <f>'[02_Bank.xlsx]Post'!L13</f>
        <v>پوز باسکول — فروش بار (بارفروش)</v>
      </c>
    </row>
    <row r="11" spans="1:12">
      <c r="A11" s="16" t="str">
        <f>'[02_Bank.xlsx]Post'!A14</f>
        <v>1405/07/03</v>
      </c>
      <c r="B11" s="16" t="str">
        <f>'[02_Bank.xlsx]Post'!B14</f>
        <v>JB-BS-006</v>
      </c>
      <c r="C11" s="16" t="str">
        <f>'[02_Bank.xlsx]Post'!C14</f>
        <v>تراکنش بانکی</v>
      </c>
      <c r="D11" s="16" t="str">
        <f>'[02_Bank.xlsx]Post'!D14</f>
        <v>X011</v>
      </c>
      <c r="E11" s="16" t="str">
        <f>'[02_Bank.xlsx]Post'!E14</f>
        <v>حساب واسط بانک و پز (در راه)</v>
      </c>
      <c r="F11" s="16" t="str">
        <f>'[02_Bank.xlsx]Post'!F14</f>
        <v>سایر حساب</v>
      </c>
      <c r="G11" s="16" t="str">
        <f>'[02_Bank.xlsx]Post'!G14</f>
        <v>واریز پز باسکول (۲۰۰۶)</v>
      </c>
      <c r="H11" s="16" t="str">
        <f>'[02_Bank.xlsx]Post'!H14</f>
        <v>BN02</v>
      </c>
      <c r="I11" s="15">
        <f>'[02_Bank.xlsx]Post'!I14</f>
        <v>0.0</v>
      </c>
      <c r="J11" s="15">
        <f>'[02_Bank.xlsx]Post'!J14</f>
        <v>120000.0</v>
      </c>
      <c r="K11" s="15">
        <f>'[02_Bank.xlsx]Post'!K14</f>
        <v>7.0</v>
      </c>
      <c r="L11" s="16" t="str">
        <f>'[02_Bank.xlsx]Post'!L14</f>
        <v>طرف مقابل — پوز باسکول — فروش بار (بارفروش)</v>
      </c>
    </row>
    <row r="12" spans="1:12">
      <c r="A12" s="16" t="str">
        <f>'[02_Bank.xlsx]Post'!A15</f>
        <v>1405/07/04</v>
      </c>
      <c r="B12" s="16" t="str">
        <f>'[02_Bank.xlsx]Post'!B15</f>
        <v>JB-BS-008</v>
      </c>
      <c r="C12" s="16" t="str">
        <f>'[02_Bank.xlsx]Post'!C15</f>
        <v>تراکنش بانکی</v>
      </c>
      <c r="D12" s="16" t="str">
        <f>'[02_Bank.xlsx]Post'!D15</f>
        <v>BN02</v>
      </c>
      <c r="E12" s="16" t="str">
        <f>'[02_Bank.xlsx]Post'!E15</f>
        <v>صادرات ۲۰۰۶ — پوز باسکول</v>
      </c>
      <c r="F12" s="16" t="str">
        <f>'[02_Bank.xlsx]Post'!F15</f>
        <v>بانک و صندوق</v>
      </c>
      <c r="G12" s="16" t="str">
        <f>'[02_Bank.xlsx]Post'!G15</f>
        <v>واریز پز باسکول (۲۰۰۶)</v>
      </c>
      <c r="H12" s="16" t="str">
        <f>'[02_Bank.xlsx]Post'!H15</f>
        <v>BN02</v>
      </c>
      <c r="I12" s="15">
        <f>'[02_Bank.xlsx]Post'!I15</f>
        <v>90000.0</v>
      </c>
      <c r="J12" s="15">
        <f>'[02_Bank.xlsx]Post'!J15</f>
        <v>0.0</v>
      </c>
      <c r="K12" s="15">
        <f>'[02_Bank.xlsx]Post'!K15</f>
        <v>7.0</v>
      </c>
      <c r="L12" s="16" t="str">
        <f>'[02_Bank.xlsx]Post'!L15</f>
        <v>پوز باسکول — فروش بار (بارفروش)</v>
      </c>
    </row>
    <row r="13" spans="1:12">
      <c r="A13" s="16" t="str">
        <f>'[02_Bank.xlsx]Post'!A16</f>
        <v>1405/07/04</v>
      </c>
      <c r="B13" s="16" t="str">
        <f>'[02_Bank.xlsx]Post'!B16</f>
        <v>JB-BS-008</v>
      </c>
      <c r="C13" s="16" t="str">
        <f>'[02_Bank.xlsx]Post'!C16</f>
        <v>تراکنش بانکی</v>
      </c>
      <c r="D13" s="16" t="str">
        <f>'[02_Bank.xlsx]Post'!D16</f>
        <v>X011</v>
      </c>
      <c r="E13" s="16" t="str">
        <f>'[02_Bank.xlsx]Post'!E16</f>
        <v>حساب واسط بانک و پز (در راه)</v>
      </c>
      <c r="F13" s="16" t="str">
        <f>'[02_Bank.xlsx]Post'!F16</f>
        <v>سایر حساب</v>
      </c>
      <c r="G13" s="16" t="str">
        <f>'[02_Bank.xlsx]Post'!G16</f>
        <v>واریز پز باسکول (۲۰۰۶)</v>
      </c>
      <c r="H13" s="16" t="str">
        <f>'[02_Bank.xlsx]Post'!H16</f>
        <v>BN02</v>
      </c>
      <c r="I13" s="15">
        <f>'[02_Bank.xlsx]Post'!I16</f>
        <v>0.0</v>
      </c>
      <c r="J13" s="15">
        <f>'[02_Bank.xlsx]Post'!J16</f>
        <v>90000.0</v>
      </c>
      <c r="K13" s="15">
        <f>'[02_Bank.xlsx]Post'!K16</f>
        <v>7.0</v>
      </c>
      <c r="L13" s="16" t="str">
        <f>'[02_Bank.xlsx]Post'!L16</f>
        <v>طرف مقابل — پوز باسکول — فروش بار (بارفروش)</v>
      </c>
    </row>
    <row r="14" spans="1:12">
      <c r="A14" s="16" t="str">
        <f>'[02_Bank.xlsx]Post'!A17</f>
        <v>1405/07/05</v>
      </c>
      <c r="B14" s="16" t="str">
        <f>'[02_Bank.xlsx]Post'!B17</f>
        <v>JB-BS-010</v>
      </c>
      <c r="C14" s="16" t="str">
        <f>'[02_Bank.xlsx]Post'!C17</f>
        <v>تراکنش بانکی</v>
      </c>
      <c r="D14" s="16" t="str">
        <f>'[02_Bank.xlsx]Post'!D17</f>
        <v>BN02</v>
      </c>
      <c r="E14" s="16" t="str">
        <f>'[02_Bank.xlsx]Post'!E17</f>
        <v>صادرات ۲۰۰۶ — پوز باسکول</v>
      </c>
      <c r="F14" s="16" t="str">
        <f>'[02_Bank.xlsx]Post'!F17</f>
        <v>بانک و صندوق</v>
      </c>
      <c r="G14" s="16" t="str">
        <f>'[02_Bank.xlsx]Post'!G17</f>
        <v>تسویه پرداخت (واسط)</v>
      </c>
      <c r="H14" s="16" t="str">
        <f>'[02_Bank.xlsx]Post'!H17</f>
        <v>BN02</v>
      </c>
      <c r="I14" s="15">
        <f>'[02_Bank.xlsx]Post'!I17</f>
        <v>0.0</v>
      </c>
      <c r="J14" s="15">
        <f>'[02_Bank.xlsx]Post'!J17</f>
        <v>500000.0</v>
      </c>
      <c r="K14" s="15">
        <f>'[02_Bank.xlsx]Post'!K17</f>
        <v>7.0</v>
      </c>
      <c r="L14" s="16" t="str">
        <f>'[02_Bank.xlsx]Post'!L17</f>
        <v>انعام از پوز باسکول</v>
      </c>
    </row>
    <row r="15" spans="1:12">
      <c r="A15" s="16" t="str">
        <f>'[02_Bank.xlsx]Post'!A18</f>
        <v>1405/07/05</v>
      </c>
      <c r="B15" s="16" t="str">
        <f>'[02_Bank.xlsx]Post'!B18</f>
        <v>JB-BS-010</v>
      </c>
      <c r="C15" s="16" t="str">
        <f>'[02_Bank.xlsx]Post'!C18</f>
        <v>تراکنش بانکی</v>
      </c>
      <c r="D15" s="16" t="str">
        <f>'[02_Bank.xlsx]Post'!D18</f>
        <v>X011</v>
      </c>
      <c r="E15" s="16" t="str">
        <f>'[02_Bank.xlsx]Post'!E18</f>
        <v>حساب واسط بانک و پز (در راه)</v>
      </c>
      <c r="F15" s="16" t="str">
        <f>'[02_Bank.xlsx]Post'!F18</f>
        <v>سایر حساب</v>
      </c>
      <c r="G15" s="16" t="str">
        <f>'[02_Bank.xlsx]Post'!G18</f>
        <v>تسویه پرداخت (واسط)</v>
      </c>
      <c r="H15" s="16" t="str">
        <f>'[02_Bank.xlsx]Post'!H18</f>
        <v>BN02</v>
      </c>
      <c r="I15" s="15">
        <f>'[02_Bank.xlsx]Post'!I18</f>
        <v>500000.0</v>
      </c>
      <c r="J15" s="15">
        <f>'[02_Bank.xlsx]Post'!J18</f>
        <v>0.0</v>
      </c>
      <c r="K15" s="15">
        <f>'[02_Bank.xlsx]Post'!K18</f>
        <v>7.0</v>
      </c>
      <c r="L15" s="16" t="str">
        <f>'[02_Bank.xlsx]Post'!L18</f>
        <v>طرف مقابل — انعام از پوز باسکول</v>
      </c>
    </row>
    <row r="16" spans="1:12">
      <c r="A16" s="16" t="str">
        <f>'[02_Bank.xlsx]Post'!A19</f>
        <v>1405/07/06</v>
      </c>
      <c r="B16" s="16" t="str">
        <f>'[02_Bank.xlsx]Post'!B19</f>
        <v>JB-RV-001</v>
      </c>
      <c r="C16" s="16" t="str">
        <f>'[02_Bank.xlsx]Post'!C19</f>
        <v>تراکنش بانکی</v>
      </c>
      <c r="D16" s="16" t="str">
        <f>'[02_Bank.xlsx]Post'!D19</f>
        <v>BN01</v>
      </c>
      <c r="E16" s="16" t="str">
        <f>'[02_Bank.xlsx]Post'!E19</f>
        <v>صادرات ۹۰۰۹ — جاری اصلی</v>
      </c>
      <c r="F16" s="16" t="str">
        <f>'[02_Bank.xlsx]Post'!F19</f>
        <v>بانک و صندوق</v>
      </c>
      <c r="G16" s="16" t="str">
        <f>'[02_Bank.xlsx]Post'!G19</f>
        <v>تسویه دریافت (واسط)</v>
      </c>
      <c r="H16" s="16" t="str">
        <f>'[02_Bank.xlsx]Post'!H19</f>
        <v>BN01</v>
      </c>
      <c r="I16" s="15">
        <f>'[02_Bank.xlsx]Post'!I19</f>
        <v>300000000.0</v>
      </c>
      <c r="J16" s="15">
        <f>'[02_Bank.xlsx]Post'!J19</f>
        <v>0.0</v>
      </c>
      <c r="K16" s="15">
        <f>'[02_Bank.xlsx]Post'!K19</f>
        <v>7.0</v>
      </c>
      <c r="L16" s="16" t="str">
        <f>'[02_Bank.xlsx]Post'!L19</f>
        <v>تسویه بار</v>
      </c>
    </row>
    <row r="17" spans="1:12">
      <c r="A17" s="16" t="str">
        <f>'[02_Bank.xlsx]Post'!A20</f>
        <v>1405/07/06</v>
      </c>
      <c r="B17" s="16" t="str">
        <f>'[02_Bank.xlsx]Post'!B20</f>
        <v>JB-RV-001</v>
      </c>
      <c r="C17" s="16" t="str">
        <f>'[02_Bank.xlsx]Post'!C20</f>
        <v>تراکنش بانکی</v>
      </c>
      <c r="D17" s="16" t="str">
        <f>'[02_Bank.xlsx]Post'!D20</f>
        <v>X011</v>
      </c>
      <c r="E17" s="16" t="str">
        <f>'[02_Bank.xlsx]Post'!E20</f>
        <v>حساب واسط بانک و پز (در راه)</v>
      </c>
      <c r="F17" s="16" t="str">
        <f>'[02_Bank.xlsx]Post'!F20</f>
        <v>سایر حساب</v>
      </c>
      <c r="G17" s="16" t="str">
        <f>'[02_Bank.xlsx]Post'!G20</f>
        <v>تسویه دریافت (واسط)</v>
      </c>
      <c r="H17" s="16" t="str">
        <f>'[02_Bank.xlsx]Post'!H20</f>
        <v>BN01</v>
      </c>
      <c r="I17" s="15">
        <f>'[02_Bank.xlsx]Post'!I20</f>
        <v>0.0</v>
      </c>
      <c r="J17" s="15">
        <f>'[02_Bank.xlsx]Post'!J20</f>
        <v>300000000.0</v>
      </c>
      <c r="K17" s="15">
        <f>'[02_Bank.xlsx]Post'!K20</f>
        <v>7.0</v>
      </c>
      <c r="L17" s="16" t="str">
        <f>'[02_Bank.xlsx]Post'!L20</f>
        <v>طرف مقابل — تسویه بار</v>
      </c>
    </row>
    <row r="18" spans="1:12">
      <c r="A18" s="16" t="str">
        <f>'[02_Bank.xlsx]Post'!A21</f>
        <v>1405/07/08</v>
      </c>
      <c r="B18" s="16" t="str">
        <f>'[02_Bank.xlsx]Post'!B21</f>
        <v>JB-PV-003</v>
      </c>
      <c r="C18" s="16" t="str">
        <f>'[02_Bank.xlsx]Post'!C21</f>
        <v>تراکنش بانکی</v>
      </c>
      <c r="D18" s="16" t="str">
        <f>'[02_Bank.xlsx]Post'!D21</f>
        <v>BN02</v>
      </c>
      <c r="E18" s="16" t="str">
        <f>'[02_Bank.xlsx]Post'!E21</f>
        <v>صادرات ۲۰۰۶ — پوز باسکول</v>
      </c>
      <c r="F18" s="16" t="str">
        <f>'[02_Bank.xlsx]Post'!F21</f>
        <v>بانک و صندوق</v>
      </c>
      <c r="G18" s="16" t="str">
        <f>'[02_Bank.xlsx]Post'!G21</f>
        <v>تسویه پرداخت (واسط)</v>
      </c>
      <c r="H18" s="16" t="str">
        <f>'[02_Bank.xlsx]Post'!H21</f>
        <v>BN02</v>
      </c>
      <c r="I18" s="15">
        <f>'[02_Bank.xlsx]Post'!I21</f>
        <v>0.0</v>
      </c>
      <c r="J18" s="15">
        <f>'[02_Bank.xlsx]Post'!J21</f>
        <v>80000000.0</v>
      </c>
      <c r="K18" s="15">
        <f>'[02_Bank.xlsx]Post'!K21</f>
        <v>7.0</v>
      </c>
      <c r="L18" s="16" t="str">
        <f>'[02_Bank.xlsx]Post'!L21</f>
        <v>پرداخت از واسط</v>
      </c>
    </row>
    <row r="19" spans="1:12">
      <c r="A19" s="16" t="str">
        <f>'[02_Bank.xlsx]Post'!A22</f>
        <v>1405/07/08</v>
      </c>
      <c r="B19" s="16" t="str">
        <f>'[02_Bank.xlsx]Post'!B22</f>
        <v>JB-PV-003</v>
      </c>
      <c r="C19" s="16" t="str">
        <f>'[02_Bank.xlsx]Post'!C22</f>
        <v>تراکنش بانکی</v>
      </c>
      <c r="D19" s="16" t="str">
        <f>'[02_Bank.xlsx]Post'!D22</f>
        <v>X011</v>
      </c>
      <c r="E19" s="16" t="str">
        <f>'[02_Bank.xlsx]Post'!E22</f>
        <v>حساب واسط بانک و پز (در راه)</v>
      </c>
      <c r="F19" s="16" t="str">
        <f>'[02_Bank.xlsx]Post'!F22</f>
        <v>سایر حساب</v>
      </c>
      <c r="G19" s="16" t="str">
        <f>'[02_Bank.xlsx]Post'!G22</f>
        <v>تسویه پرداخت (واسط)</v>
      </c>
      <c r="H19" s="16" t="str">
        <f>'[02_Bank.xlsx]Post'!H22</f>
        <v>BN02</v>
      </c>
      <c r="I19" s="15">
        <f>'[02_Bank.xlsx]Post'!I22</f>
        <v>80000000.0</v>
      </c>
      <c r="J19" s="15">
        <f>'[02_Bank.xlsx]Post'!J22</f>
        <v>0.0</v>
      </c>
      <c r="K19" s="15">
        <f>'[02_Bank.xlsx]Post'!K22</f>
        <v>7.0</v>
      </c>
      <c r="L19" s="16" t="str">
        <f>'[02_Bank.xlsx]Post'!L22</f>
        <v>طرف مقابل — پرداخت از واسط</v>
      </c>
    </row>
    <row r="20" spans="1:12">
      <c r="A20" s="16" t="str">
        <f>'[02_Bank.xlsx]Post'!A23</f>
        <v>1405/07/09</v>
      </c>
      <c r="B20" s="16" t="str">
        <f>'[02_Bank.xlsx]Post'!B23</f>
        <v>JB-RV-002</v>
      </c>
      <c r="C20" s="16" t="str">
        <f>'[02_Bank.xlsx]Post'!C23</f>
        <v>تراکنش بانکی</v>
      </c>
      <c r="D20" s="16" t="str">
        <f>'[02_Bank.xlsx]Post'!D23</f>
        <v>BN02</v>
      </c>
      <c r="E20" s="16" t="str">
        <f>'[02_Bank.xlsx]Post'!E23</f>
        <v>صادرات ۲۰۰۶ — پوز باسکول</v>
      </c>
      <c r="F20" s="16" t="str">
        <f>'[02_Bank.xlsx]Post'!F23</f>
        <v>بانک و صندوق</v>
      </c>
      <c r="G20" s="16" t="str">
        <f>'[02_Bank.xlsx]Post'!G23</f>
        <v>تسویه دریافت (واسط)</v>
      </c>
      <c r="H20" s="16" t="str">
        <f>'[02_Bank.xlsx]Post'!H23</f>
        <v>BN02</v>
      </c>
      <c r="I20" s="15">
        <f>'[02_Bank.xlsx]Post'!I23</f>
        <v>120000000.0</v>
      </c>
      <c r="J20" s="15">
        <f>'[02_Bank.xlsx]Post'!J23</f>
        <v>0.0</v>
      </c>
      <c r="K20" s="15">
        <f>'[02_Bank.xlsx]Post'!K23</f>
        <v>7.0</v>
      </c>
      <c r="L20" s="16" t="str">
        <f>'[02_Bank.xlsx]Post'!L23</f>
        <v>واریز از واسط</v>
      </c>
    </row>
    <row r="21" spans="1:12">
      <c r="A21" s="16" t="str">
        <f>'[02_Bank.xlsx]Post'!A24</f>
        <v>1405/07/09</v>
      </c>
      <c r="B21" s="16" t="str">
        <f>'[02_Bank.xlsx]Post'!B24</f>
        <v>JB-RV-002</v>
      </c>
      <c r="C21" s="16" t="str">
        <f>'[02_Bank.xlsx]Post'!C24</f>
        <v>تراکنش بانکی</v>
      </c>
      <c r="D21" s="16" t="str">
        <f>'[02_Bank.xlsx]Post'!D24</f>
        <v>X011</v>
      </c>
      <c r="E21" s="16" t="str">
        <f>'[02_Bank.xlsx]Post'!E24</f>
        <v>حساب واسط بانک و پز (در راه)</v>
      </c>
      <c r="F21" s="16" t="str">
        <f>'[02_Bank.xlsx]Post'!F24</f>
        <v>سایر حساب</v>
      </c>
      <c r="G21" s="16" t="str">
        <f>'[02_Bank.xlsx]Post'!G24</f>
        <v>تسویه دریافت (واسط)</v>
      </c>
      <c r="H21" s="16" t="str">
        <f>'[02_Bank.xlsx]Post'!H24</f>
        <v>BN02</v>
      </c>
      <c r="I21" s="15">
        <f>'[02_Bank.xlsx]Post'!I24</f>
        <v>0.0</v>
      </c>
      <c r="J21" s="15">
        <f>'[02_Bank.xlsx]Post'!J24</f>
        <v>120000000.0</v>
      </c>
      <c r="K21" s="15">
        <f>'[02_Bank.xlsx]Post'!K24</f>
        <v>7.0</v>
      </c>
      <c r="L21" s="16" t="str">
        <f>'[02_Bank.xlsx]Post'!L24</f>
        <v>طرف مقابل — واریز از واسط</v>
      </c>
    </row>
    <row r="22" spans="1:12">
      <c r="A22" s="16" t="str">
        <f>'[02_Bank.xlsx]Post'!A25</f>
        <v>1405/07/09</v>
      </c>
      <c r="B22" s="16" t="str">
        <f>'[02_Bank.xlsx]Post'!B25</f>
        <v>JB-BS-015</v>
      </c>
      <c r="C22" s="16" t="str">
        <f>'[02_Bank.xlsx]Post'!C25</f>
        <v>تراکنش بانکی</v>
      </c>
      <c r="D22" s="16" t="str">
        <f>'[02_Bank.xlsx]Post'!D25</f>
        <v>BN02</v>
      </c>
      <c r="E22" s="16" t="str">
        <f>'[02_Bank.xlsx]Post'!E25</f>
        <v>صادرات ۲۰۰۶ — پوز باسکول</v>
      </c>
      <c r="F22" s="16" t="str">
        <f>'[02_Bank.xlsx]Post'!F25</f>
        <v>بانک و صندوق</v>
      </c>
      <c r="G22" s="16" t="str">
        <f>'[02_Bank.xlsx]Post'!G25</f>
        <v>واریز پز باسکول (۲۰۰۶)</v>
      </c>
      <c r="H22" s="16" t="str">
        <f>'[02_Bank.xlsx]Post'!H25</f>
        <v>BN02</v>
      </c>
      <c r="I22" s="15">
        <f>'[02_Bank.xlsx]Post'!I25</f>
        <v>80000.0</v>
      </c>
      <c r="J22" s="15">
        <f>'[02_Bank.xlsx]Post'!J25</f>
        <v>0.0</v>
      </c>
      <c r="K22" s="15">
        <f>'[02_Bank.xlsx]Post'!K25</f>
        <v>7.0</v>
      </c>
      <c r="L22" s="16" t="str">
        <f>'[02_Bank.xlsx]Post'!L25</f>
        <v>پوز باسکول — فروش بار (بارفروش)</v>
      </c>
    </row>
    <row r="23" spans="1:12">
      <c r="A23" s="16" t="str">
        <f>'[02_Bank.xlsx]Post'!A26</f>
        <v>1405/07/09</v>
      </c>
      <c r="B23" s="16" t="str">
        <f>'[02_Bank.xlsx]Post'!B26</f>
        <v>JB-BS-015</v>
      </c>
      <c r="C23" s="16" t="str">
        <f>'[02_Bank.xlsx]Post'!C26</f>
        <v>تراکنش بانکی</v>
      </c>
      <c r="D23" s="16" t="str">
        <f>'[02_Bank.xlsx]Post'!D26</f>
        <v>X011</v>
      </c>
      <c r="E23" s="16" t="str">
        <f>'[02_Bank.xlsx]Post'!E26</f>
        <v>حساب واسط بانک و پز (در راه)</v>
      </c>
      <c r="F23" s="16" t="str">
        <f>'[02_Bank.xlsx]Post'!F26</f>
        <v>سایر حساب</v>
      </c>
      <c r="G23" s="16" t="str">
        <f>'[02_Bank.xlsx]Post'!G26</f>
        <v>واریز پز باسکول (۲۰۰۶)</v>
      </c>
      <c r="H23" s="16" t="str">
        <f>'[02_Bank.xlsx]Post'!H26</f>
        <v>BN02</v>
      </c>
      <c r="I23" s="15">
        <f>'[02_Bank.xlsx]Post'!I26</f>
        <v>0.0</v>
      </c>
      <c r="J23" s="15">
        <f>'[02_Bank.xlsx]Post'!J26</f>
        <v>80000.0</v>
      </c>
      <c r="K23" s="15">
        <f>'[02_Bank.xlsx]Post'!K26</f>
        <v>7.0</v>
      </c>
      <c r="L23" s="16" t="str">
        <f>'[02_Bank.xlsx]Post'!L26</f>
        <v>طرف مقابل — پوز باسکول — فروش بار (بارفروش)</v>
      </c>
    </row>
    <row r="24" spans="1:12">
      <c r="A24" s="16" t="str">
        <f>'[02_Bank.xlsx]Post'!A27</f>
        <v>1405/07/10</v>
      </c>
      <c r="B24" s="16" t="str">
        <f>'[02_Bank.xlsx]Post'!B27</f>
        <v>JB-PV-004</v>
      </c>
      <c r="C24" s="16" t="str">
        <f>'[02_Bank.xlsx]Post'!C27</f>
        <v>تراکنش بانکی</v>
      </c>
      <c r="D24" s="16" t="str">
        <f>'[02_Bank.xlsx]Post'!D27</f>
        <v>BN01</v>
      </c>
      <c r="E24" s="16" t="str">
        <f>'[02_Bank.xlsx]Post'!E27</f>
        <v>صادرات ۹۰۰۹ — جاری اصلی</v>
      </c>
      <c r="F24" s="16" t="str">
        <f>'[02_Bank.xlsx]Post'!F27</f>
        <v>بانک و صندوق</v>
      </c>
      <c r="G24" s="16" t="str">
        <f>'[02_Bank.xlsx]Post'!G27</f>
        <v>تسویه پرداخت (واسط)</v>
      </c>
      <c r="H24" s="16" t="str">
        <f>'[02_Bank.xlsx]Post'!H27</f>
        <v>BN01</v>
      </c>
      <c r="I24" s="15">
        <f>'[02_Bank.xlsx]Post'!I27</f>
        <v>0.0</v>
      </c>
      <c r="J24" s="15">
        <f>'[02_Bank.xlsx]Post'!J27</f>
        <v>200000000.0</v>
      </c>
      <c r="K24" s="15">
        <f>'[02_Bank.xlsx]Post'!K27</f>
        <v>7.0</v>
      </c>
      <c r="L24" s="16" t="str">
        <f>'[02_Bank.xlsx]Post'!L27</f>
        <v>پاس شدن چک</v>
      </c>
    </row>
    <row r="25" spans="1:12">
      <c r="A25" s="16" t="str">
        <f>'[02_Bank.xlsx]Post'!A28</f>
        <v>1405/07/10</v>
      </c>
      <c r="B25" s="16" t="str">
        <f>'[02_Bank.xlsx]Post'!B28</f>
        <v>JB-PV-004</v>
      </c>
      <c r="C25" s="16" t="str">
        <f>'[02_Bank.xlsx]Post'!C28</f>
        <v>تراکنش بانکی</v>
      </c>
      <c r="D25" s="16" t="str">
        <f>'[02_Bank.xlsx]Post'!D28</f>
        <v>X011</v>
      </c>
      <c r="E25" s="16" t="str">
        <f>'[02_Bank.xlsx]Post'!E28</f>
        <v>حساب واسط بانک و پز (در راه)</v>
      </c>
      <c r="F25" s="16" t="str">
        <f>'[02_Bank.xlsx]Post'!F28</f>
        <v>سایر حساب</v>
      </c>
      <c r="G25" s="16" t="str">
        <f>'[02_Bank.xlsx]Post'!G28</f>
        <v>تسویه پرداخت (واسط)</v>
      </c>
      <c r="H25" s="16" t="str">
        <f>'[02_Bank.xlsx]Post'!H28</f>
        <v>BN01</v>
      </c>
      <c r="I25" s="15">
        <f>'[02_Bank.xlsx]Post'!I28</f>
        <v>200000000.0</v>
      </c>
      <c r="J25" s="15">
        <f>'[02_Bank.xlsx]Post'!J28</f>
        <v>0.0</v>
      </c>
      <c r="K25" s="15">
        <f>'[02_Bank.xlsx]Post'!K28</f>
        <v>7.0</v>
      </c>
      <c r="L25" s="16" t="str">
        <f>'[02_Bank.xlsx]Post'!L28</f>
        <v>طرف مقابل — پاس شدن چک</v>
      </c>
    </row>
    <row r="26" spans="1:12">
      <c r="A26" s="16" t="str">
        <f>'[02_Bank.xlsx]Post'!A29</f>
        <v>1405/07/11</v>
      </c>
      <c r="B26" s="16" t="str">
        <f>'[02_Bank.xlsx]Post'!B29</f>
        <v>JB-RV-003</v>
      </c>
      <c r="C26" s="16" t="str">
        <f>'[02_Bank.xlsx]Post'!C29</f>
        <v>تراکنش بانکی</v>
      </c>
      <c r="D26" s="16" t="str">
        <f>'[02_Bank.xlsx]Post'!D29</f>
        <v>BN02</v>
      </c>
      <c r="E26" s="16" t="str">
        <f>'[02_Bank.xlsx]Post'!E29</f>
        <v>صادرات ۲۰۰۶ — پوز باسکول</v>
      </c>
      <c r="F26" s="16" t="str">
        <f>'[02_Bank.xlsx]Post'!F29</f>
        <v>بانک و صندوق</v>
      </c>
      <c r="G26" s="16" t="str">
        <f>'[02_Bank.xlsx]Post'!G29</f>
        <v>تسویه دریافت (واسط)</v>
      </c>
      <c r="H26" s="16" t="str">
        <f>'[02_Bank.xlsx]Post'!H29</f>
        <v>BN02</v>
      </c>
      <c r="I26" s="15">
        <f>'[02_Bank.xlsx]Post'!I29</f>
        <v>100000000.0</v>
      </c>
      <c r="J26" s="15">
        <f>'[02_Bank.xlsx]Post'!J29</f>
        <v>0.0</v>
      </c>
      <c r="K26" s="15">
        <f>'[02_Bank.xlsx]Post'!K29</f>
        <v>7.0</v>
      </c>
      <c r="L26" s="16" t="str">
        <f>'[02_Bank.xlsx]Post'!L29</f>
        <v>واریز از واسط</v>
      </c>
    </row>
    <row r="27" spans="1:12">
      <c r="A27" s="16" t="str">
        <f>'[02_Bank.xlsx]Post'!A30</f>
        <v>1405/07/11</v>
      </c>
      <c r="B27" s="16" t="str">
        <f>'[02_Bank.xlsx]Post'!B30</f>
        <v>JB-RV-003</v>
      </c>
      <c r="C27" s="16" t="str">
        <f>'[02_Bank.xlsx]Post'!C30</f>
        <v>تراکنش بانکی</v>
      </c>
      <c r="D27" s="16" t="str">
        <f>'[02_Bank.xlsx]Post'!D30</f>
        <v>X011</v>
      </c>
      <c r="E27" s="16" t="str">
        <f>'[02_Bank.xlsx]Post'!E30</f>
        <v>حساب واسط بانک و پز (در راه)</v>
      </c>
      <c r="F27" s="16" t="str">
        <f>'[02_Bank.xlsx]Post'!F30</f>
        <v>سایر حساب</v>
      </c>
      <c r="G27" s="16" t="str">
        <f>'[02_Bank.xlsx]Post'!G30</f>
        <v>تسویه دریافت (واسط)</v>
      </c>
      <c r="H27" s="16" t="str">
        <f>'[02_Bank.xlsx]Post'!H30</f>
        <v>BN02</v>
      </c>
      <c r="I27" s="15">
        <f>'[02_Bank.xlsx]Post'!I30</f>
        <v>0.0</v>
      </c>
      <c r="J27" s="15">
        <f>'[02_Bank.xlsx]Post'!J30</f>
        <v>100000000.0</v>
      </c>
      <c r="K27" s="15">
        <f>'[02_Bank.xlsx]Post'!K30</f>
        <v>7.0</v>
      </c>
      <c r="L27" s="16" t="str">
        <f>'[02_Bank.xlsx]Post'!L30</f>
        <v>طرف مقابل — واریز از واسط</v>
      </c>
    </row>
    <row r="28" spans="1:12">
      <c r="A28" s="16" t="str">
        <f>'[02_Bank.xlsx]Post'!A31</f>
        <v>1405/07/11</v>
      </c>
      <c r="B28" s="16" t="str">
        <f>'[02_Bank.xlsx]Post'!B31</f>
        <v>JB-BS-017</v>
      </c>
      <c r="C28" s="16" t="str">
        <f>'[02_Bank.xlsx]Post'!C31</f>
        <v>تراکنش بانکی</v>
      </c>
      <c r="D28" s="16" t="str">
        <f>'[02_Bank.xlsx]Post'!D31</f>
        <v>BN02</v>
      </c>
      <c r="E28" s="16" t="str">
        <f>'[02_Bank.xlsx]Post'!E31</f>
        <v>صادرات ۲۰۰۶ — پوز باسکول</v>
      </c>
      <c r="F28" s="16" t="str">
        <f>'[02_Bank.xlsx]Post'!F31</f>
        <v>بانک و صندوق</v>
      </c>
      <c r="G28" s="16" t="str">
        <f>'[02_Bank.xlsx]Post'!G31</f>
        <v>واریز پز باسکول (۲۰۰۶)</v>
      </c>
      <c r="H28" s="16" t="str">
        <f>'[02_Bank.xlsx]Post'!H31</f>
        <v>BN02</v>
      </c>
      <c r="I28" s="15">
        <f>'[02_Bank.xlsx]Post'!I31</f>
        <v>300000.0</v>
      </c>
      <c r="J28" s="15">
        <f>'[02_Bank.xlsx]Post'!J31</f>
        <v>0.0</v>
      </c>
      <c r="K28" s="15">
        <f>'[02_Bank.xlsx]Post'!K31</f>
        <v>7.0</v>
      </c>
      <c r="L28" s="16" t="str">
        <f>'[02_Bank.xlsx]Post'!L31</f>
        <v>پوز باسکول — درآمد پوز باسکول (بدون طرف)</v>
      </c>
    </row>
    <row r="29" spans="1:12">
      <c r="A29" s="16" t="str">
        <f>'[02_Bank.xlsx]Post'!A32</f>
        <v>1405/07/11</v>
      </c>
      <c r="B29" s="16" t="str">
        <f>'[02_Bank.xlsx]Post'!B32</f>
        <v>JB-BS-017</v>
      </c>
      <c r="C29" s="16" t="str">
        <f>'[02_Bank.xlsx]Post'!C32</f>
        <v>تراکنش بانکی</v>
      </c>
      <c r="D29" s="16" t="str">
        <f>'[02_Bank.xlsx]Post'!D32</f>
        <v>X011</v>
      </c>
      <c r="E29" s="16" t="str">
        <f>'[02_Bank.xlsx]Post'!E32</f>
        <v>حساب واسط بانک و پز (در راه)</v>
      </c>
      <c r="F29" s="16" t="str">
        <f>'[02_Bank.xlsx]Post'!F32</f>
        <v>سایر حساب</v>
      </c>
      <c r="G29" s="16" t="str">
        <f>'[02_Bank.xlsx]Post'!G32</f>
        <v>واریز پز باسکول (۲۰۰۶)</v>
      </c>
      <c r="H29" s="16" t="str">
        <f>'[02_Bank.xlsx]Post'!H32</f>
        <v>BN02</v>
      </c>
      <c r="I29" s="15">
        <f>'[02_Bank.xlsx]Post'!I32</f>
        <v>0.0</v>
      </c>
      <c r="J29" s="15">
        <f>'[02_Bank.xlsx]Post'!J32</f>
        <v>300000.0</v>
      </c>
      <c r="K29" s="15">
        <f>'[02_Bank.xlsx]Post'!K32</f>
        <v>7.0</v>
      </c>
      <c r="L29" s="16" t="str">
        <f>'[02_Bank.xlsx]Post'!L32</f>
        <v>طرف مقابل — پوز باسکول — درآمد پوز باسکول (بدون طرف)</v>
      </c>
    </row>
    <row r="30" spans="1:12">
      <c r="A30" s="16" t="str">
        <f>'[02_Bank.xlsx]Post'!A33</f>
        <v>1405/07/12</v>
      </c>
      <c r="B30" s="16" t="str">
        <f>'[02_Bank.xlsx]Post'!B33</f>
        <v>JB-RV-004</v>
      </c>
      <c r="C30" s="16" t="str">
        <f>'[02_Bank.xlsx]Post'!C33</f>
        <v>تراکنش بانکی</v>
      </c>
      <c r="D30" s="16" t="str">
        <f>'[02_Bank.xlsx]Post'!D33</f>
        <v>BN01</v>
      </c>
      <c r="E30" s="16" t="str">
        <f>'[02_Bank.xlsx]Post'!E33</f>
        <v>صادرات ۹۰۰۹ — جاری اصلی</v>
      </c>
      <c r="F30" s="16" t="str">
        <f>'[02_Bank.xlsx]Post'!F33</f>
        <v>بانک و صندوق</v>
      </c>
      <c r="G30" s="16" t="str">
        <f>'[02_Bank.xlsx]Post'!G33</f>
        <v>تسویه دریافت (واسط)</v>
      </c>
      <c r="H30" s="16" t="str">
        <f>'[02_Bank.xlsx]Post'!H33</f>
        <v>BN01</v>
      </c>
      <c r="I30" s="15">
        <f>'[02_Bank.xlsx]Post'!I33</f>
        <v>50000000.0</v>
      </c>
      <c r="J30" s="15">
        <f>'[02_Bank.xlsx]Post'!J33</f>
        <v>0.0</v>
      </c>
      <c r="K30" s="15">
        <f>'[02_Bank.xlsx]Post'!K33</f>
        <v>7.0</v>
      </c>
      <c r="L30" s="16" t="str">
        <f>'[02_Bank.xlsx]Post'!L33</f>
        <v>واریز از واسط</v>
      </c>
    </row>
    <row r="31" spans="1:12">
      <c r="A31" s="16" t="str">
        <f>'[02_Bank.xlsx]Post'!A34</f>
        <v>1405/07/12</v>
      </c>
      <c r="B31" s="16" t="str">
        <f>'[02_Bank.xlsx]Post'!B34</f>
        <v>JB-RV-004</v>
      </c>
      <c r="C31" s="16" t="str">
        <f>'[02_Bank.xlsx]Post'!C34</f>
        <v>تراکنش بانکی</v>
      </c>
      <c r="D31" s="16" t="str">
        <f>'[02_Bank.xlsx]Post'!D34</f>
        <v>X011</v>
      </c>
      <c r="E31" s="16" t="str">
        <f>'[02_Bank.xlsx]Post'!E34</f>
        <v>حساب واسط بانک و پز (در راه)</v>
      </c>
      <c r="F31" s="16" t="str">
        <f>'[02_Bank.xlsx]Post'!F34</f>
        <v>سایر حساب</v>
      </c>
      <c r="G31" s="16" t="str">
        <f>'[02_Bank.xlsx]Post'!G34</f>
        <v>تسویه دریافت (واسط)</v>
      </c>
      <c r="H31" s="16" t="str">
        <f>'[02_Bank.xlsx]Post'!H34</f>
        <v>BN01</v>
      </c>
      <c r="I31" s="15">
        <f>'[02_Bank.xlsx]Post'!I34</f>
        <v>0.0</v>
      </c>
      <c r="J31" s="15">
        <f>'[02_Bank.xlsx]Post'!J34</f>
        <v>50000000.0</v>
      </c>
      <c r="K31" s="15">
        <f>'[02_Bank.xlsx]Post'!K34</f>
        <v>7.0</v>
      </c>
      <c r="L31" s="16" t="str">
        <f>'[02_Bank.xlsx]Post'!L34</f>
        <v>طرف مقابل — واریز از واسط</v>
      </c>
    </row>
    <row r="32" spans="1:12">
      <c r="A32" s="16" t="str">
        <f>'[02_Bank.xlsx]Post'!A35</f>
        <v>1405/07/13</v>
      </c>
      <c r="B32" s="16" t="str">
        <f>'[02_Bank.xlsx]Post'!B35</f>
        <v>TB-901</v>
      </c>
      <c r="C32" s="16" t="str">
        <f>'[02_Bank.xlsx]Post'!C35</f>
        <v>تراکنش بانکی</v>
      </c>
      <c r="D32" s="16" t="str">
        <f>'[02_Bank.xlsx]Post'!D35</f>
        <v>BN01</v>
      </c>
      <c r="E32" s="16" t="str">
        <f>'[02_Bank.xlsx]Post'!E35</f>
        <v>صادرات ۹۰۰۹ — جاری اصلی</v>
      </c>
      <c r="F32" s="16" t="str">
        <f>'[02_Bank.xlsx]Post'!F35</f>
        <v>بانک و صندوق</v>
      </c>
      <c r="G32" s="16" t="str">
        <f>'[02_Bank.xlsx]Post'!G35</f>
        <v>انتقال داخلی بین بانک‌ها</v>
      </c>
      <c r="H32" s="16" t="str">
        <f>'[02_Bank.xlsx]Post'!H35</f>
        <v>BN01</v>
      </c>
      <c r="I32" s="15">
        <f>'[02_Bank.xlsx]Post'!I35</f>
        <v>0.0</v>
      </c>
      <c r="J32" s="15">
        <f>'[02_Bank.xlsx]Post'!J35</f>
        <v>50000000.0</v>
      </c>
      <c r="K32" s="15">
        <f>'[02_Bank.xlsx]Post'!K35</f>
        <v>7.0</v>
      </c>
      <c r="L32" s="16" t="str">
        <f>'[02_Bank.xlsx]Post'!L35</f>
        <v>انتقال به حساب ملت</v>
      </c>
    </row>
    <row r="33" spans="1:12">
      <c r="A33" s="16" t="str">
        <f>'[02_Bank.xlsx]Post'!A36</f>
        <v>1405/07/13</v>
      </c>
      <c r="B33" s="16" t="str">
        <f>'[02_Bank.xlsx]Post'!B36</f>
        <v>TB-901</v>
      </c>
      <c r="C33" s="16" t="str">
        <f>'[02_Bank.xlsx]Post'!C36</f>
        <v>تراکنش بانکی</v>
      </c>
      <c r="D33" s="16" t="str">
        <f>'[02_Bank.xlsx]Post'!D36</f>
        <v>BN03</v>
      </c>
      <c r="E33" s="16" t="str">
        <f>'[02_Bank.xlsx]Post'!E36</f>
        <v>بانک ملت</v>
      </c>
      <c r="F33" s="16" t="str">
        <f>'[02_Bank.xlsx]Post'!F36</f>
        <v>بانک و صندوق</v>
      </c>
      <c r="G33" s="16" t="str">
        <f>'[02_Bank.xlsx]Post'!G36</f>
        <v>انتقال داخلی بین بانک‌ها</v>
      </c>
      <c r="H33" s="16" t="str">
        <f>'[02_Bank.xlsx]Post'!H36</f>
        <v>BN01</v>
      </c>
      <c r="I33" s="15">
        <f>'[02_Bank.xlsx]Post'!I36</f>
        <v>50000000.0</v>
      </c>
      <c r="J33" s="15">
        <f>'[02_Bank.xlsx]Post'!J36</f>
        <v>0.0</v>
      </c>
      <c r="K33" s="15">
        <f>'[02_Bank.xlsx]Post'!K36</f>
        <v>7.0</v>
      </c>
      <c r="L33" s="16" t="str">
        <f>'[02_Bank.xlsx]Post'!L36</f>
        <v>طرف مقابل — انتقال به حساب ملت</v>
      </c>
    </row>
    <row r="34" spans="1:12">
      <c r="I34" s="15">
        <f>'[02_Bank.xlsx]Post'!I37</f>
        <v>0.0</v>
      </c>
      <c r="J34" s="15">
        <f>'[02_Bank.xlsx]Post'!J37</f>
        <v>0.0</v>
      </c>
      <c r="K34" s="15">
        <f>'[02_Bank.xlsx]Post'!K37</f>
        <v>0.0</v>
      </c>
    </row>
    <row r="35" spans="1:12">
      <c r="I35" s="15">
        <f>'[02_Bank.xlsx]Post'!I38</f>
        <v>0.0</v>
      </c>
      <c r="J35" s="15">
        <f>'[02_Bank.xlsx]Post'!J38</f>
        <v>0.0</v>
      </c>
      <c r="K35" s="15">
        <f>'[02_Bank.xlsx]Post'!K38</f>
        <v>0.0</v>
      </c>
    </row>
    <row r="36" spans="1:12">
      <c r="I36" s="15">
        <f>'[02_Bank.xlsx]Post'!I39</f>
        <v>0.0</v>
      </c>
      <c r="J36" s="15">
        <f>'[02_Bank.xlsx]Post'!J39</f>
        <v>0.0</v>
      </c>
      <c r="K36" s="15">
        <f>'[02_Bank.xlsx]Post'!K39</f>
        <v>0.0</v>
      </c>
    </row>
    <row r="37" spans="1:12">
      <c r="I37" s="15">
        <f>'[02_Bank.xlsx]Post'!I40</f>
        <v>0.0</v>
      </c>
      <c r="J37" s="15">
        <f>'[02_Bank.xlsx]Post'!J40</f>
        <v>0.0</v>
      </c>
      <c r="K37" s="15">
        <f>'[02_Bank.xlsx]Post'!K40</f>
        <v>0.0</v>
      </c>
    </row>
    <row r="38" spans="1:12">
      <c r="I38" s="15">
        <f>'[02_Bank.xlsx]Post'!I41</f>
        <v>0.0</v>
      </c>
      <c r="J38" s="15">
        <f>'[02_Bank.xlsx]Post'!J41</f>
        <v>0.0</v>
      </c>
      <c r="K38" s="15">
        <f>'[02_Bank.xlsx]Post'!K41</f>
        <v>0.0</v>
      </c>
    </row>
    <row r="39" spans="1:12">
      <c r="I39" s="15">
        <f>'[02_Bank.xlsx]Post'!I42</f>
        <v>0.0</v>
      </c>
      <c r="J39" s="15">
        <f>'[02_Bank.xlsx]Post'!J42</f>
        <v>0.0</v>
      </c>
      <c r="K39" s="15">
        <f>'[02_Bank.xlsx]Post'!K42</f>
        <v>0.0</v>
      </c>
    </row>
    <row r="40" spans="1:12">
      <c r="I40" s="15">
        <f>'[02_Bank.xlsx]Post'!I43</f>
        <v>0.0</v>
      </c>
      <c r="J40" s="15">
        <f>'[02_Bank.xlsx]Post'!J43</f>
        <v>0.0</v>
      </c>
      <c r="K40" s="15">
        <f>'[02_Bank.xlsx]Post'!K43</f>
        <v>0.0</v>
      </c>
    </row>
    <row r="41" spans="1:12">
      <c r="I41" s="15">
        <f>'[02_Bank.xlsx]Post'!I44</f>
        <v>0.0</v>
      </c>
      <c r="J41" s="15">
        <f>'[02_Bank.xlsx]Post'!J44</f>
        <v>0.0</v>
      </c>
      <c r="K41" s="15">
        <f>'[02_Bank.xlsx]Post'!K44</f>
        <v>0.0</v>
      </c>
    </row>
    <row r="42" spans="1:12">
      <c r="I42" s="15">
        <f>'[02_Bank.xlsx]Post'!I45</f>
        <v>0.0</v>
      </c>
      <c r="J42" s="15">
        <f>'[02_Bank.xlsx]Post'!J45</f>
        <v>0.0</v>
      </c>
      <c r="K42" s="15">
        <f>'[02_Bank.xlsx]Post'!K45</f>
        <v>0.0</v>
      </c>
    </row>
    <row r="43" spans="1:12">
      <c r="I43" s="15">
        <f>'[02_Bank.xlsx]Post'!I46</f>
        <v>0.0</v>
      </c>
      <c r="J43" s="15">
        <f>'[02_Bank.xlsx]Post'!J46</f>
        <v>0.0</v>
      </c>
      <c r="K43" s="15">
        <f>'[02_Bank.xlsx]Post'!K46</f>
        <v>0.0</v>
      </c>
    </row>
    <row r="44" spans="1:12">
      <c r="I44" s="15">
        <f>'[02_Bank.xlsx]Post'!I47</f>
        <v>0.0</v>
      </c>
      <c r="J44" s="15">
        <f>'[02_Bank.xlsx]Post'!J47</f>
        <v>0.0</v>
      </c>
      <c r="K44" s="15">
        <f>'[02_Bank.xlsx]Post'!K47</f>
        <v>0.0</v>
      </c>
    </row>
    <row r="45" spans="1:12">
      <c r="I45" s="15">
        <f>'[02_Bank.xlsx]Post'!I48</f>
        <v>0.0</v>
      </c>
      <c r="J45" s="15">
        <f>'[02_Bank.xlsx]Post'!J48</f>
        <v>0.0</v>
      </c>
      <c r="K45" s="15">
        <f>'[02_Bank.xlsx]Post'!K48</f>
        <v>0.0</v>
      </c>
    </row>
    <row r="46" spans="1:12">
      <c r="I46" s="15">
        <f>'[02_Bank.xlsx]Post'!I49</f>
        <v>0.0</v>
      </c>
      <c r="J46" s="15">
        <f>'[02_Bank.xlsx]Post'!J49</f>
        <v>0.0</v>
      </c>
      <c r="K46" s="15">
        <f>'[02_Bank.xlsx]Post'!K49</f>
        <v>0.0</v>
      </c>
    </row>
    <row r="47" spans="1:12">
      <c r="I47" s="15">
        <f>'[02_Bank.xlsx]Post'!I50</f>
        <v>0.0</v>
      </c>
      <c r="J47" s="15">
        <f>'[02_Bank.xlsx]Post'!J50</f>
        <v>0.0</v>
      </c>
      <c r="K47" s="15">
        <f>'[02_Bank.xlsx]Post'!K50</f>
        <v>0.0</v>
      </c>
    </row>
    <row r="48" spans="1:12">
      <c r="I48" s="15">
        <f>'[02_Bank.xlsx]Post'!I51</f>
        <v>0.0</v>
      </c>
      <c r="J48" s="15">
        <f>'[02_Bank.xlsx]Post'!J51</f>
        <v>0.0</v>
      </c>
      <c r="K48" s="15">
        <f>'[02_Bank.xlsx]Post'!K51</f>
        <v>0.0</v>
      </c>
    </row>
    <row r="49" spans="9:11">
      <c r="I49" s="15">
        <f>'[02_Bank.xlsx]Post'!I52</f>
        <v>0.0</v>
      </c>
      <c r="J49" s="15">
        <f>'[02_Bank.xlsx]Post'!J52</f>
        <v>0.0</v>
      </c>
      <c r="K49" s="15">
        <f>'[02_Bank.xlsx]Post'!K52</f>
        <v>0.0</v>
      </c>
    </row>
    <row r="50" spans="9:11">
      <c r="I50" s="15">
        <f>'[02_Bank.xlsx]Post'!I53</f>
        <v>0.0</v>
      </c>
      <c r="J50" s="15">
        <f>'[02_Bank.xlsx]Post'!J53</f>
        <v>0.0</v>
      </c>
      <c r="K50" s="15">
        <f>'[02_Bank.xlsx]Post'!K53</f>
        <v>0.0</v>
      </c>
    </row>
    <row r="51" spans="9:11">
      <c r="I51" s="15">
        <f>'[02_Bank.xlsx]Post'!I54</f>
        <v>0.0</v>
      </c>
      <c r="J51" s="15">
        <f>'[02_Bank.xlsx]Post'!J54</f>
        <v>0.0</v>
      </c>
      <c r="K51" s="15">
        <f>'[02_Bank.xlsx]Post'!K54</f>
        <v>0.0</v>
      </c>
    </row>
    <row r="52" spans="9:11">
      <c r="I52" s="15">
        <f>'[02_Bank.xlsx]Post'!I55</f>
        <v>0.0</v>
      </c>
      <c r="J52" s="15">
        <f>'[02_Bank.xlsx]Post'!J55</f>
        <v>0.0</v>
      </c>
      <c r="K52" s="15">
        <f>'[02_Bank.xlsx]Post'!K55</f>
        <v>0.0</v>
      </c>
    </row>
    <row r="53" spans="9:11">
      <c r="I53" s="15">
        <f>'[02_Bank.xlsx]Post'!I56</f>
        <v>0.0</v>
      </c>
      <c r="J53" s="15">
        <f>'[02_Bank.xlsx]Post'!J56</f>
        <v>0.0</v>
      </c>
      <c r="K53" s="15">
        <f>'[02_Bank.xlsx]Post'!K56</f>
        <v>0.0</v>
      </c>
    </row>
    <row r="54" spans="9:11">
      <c r="I54" s="15">
        <f>'[02_Bank.xlsx]Post'!I57</f>
        <v>0.0</v>
      </c>
      <c r="J54" s="15">
        <f>'[02_Bank.xlsx]Post'!J57</f>
        <v>0.0</v>
      </c>
      <c r="K54" s="15">
        <f>'[02_Bank.xlsx]Post'!K57</f>
        <v>0.0</v>
      </c>
    </row>
    <row r="55" spans="9:11">
      <c r="I55" s="15">
        <f>'[02_Bank.xlsx]Post'!I58</f>
        <v>0.0</v>
      </c>
      <c r="J55" s="15">
        <f>'[02_Bank.xlsx]Post'!J58</f>
        <v>0.0</v>
      </c>
      <c r="K55" s="15">
        <f>'[02_Bank.xlsx]Post'!K58</f>
        <v>0.0</v>
      </c>
    </row>
    <row r="56" spans="9:11">
      <c r="I56" s="15">
        <f>'[02_Bank.xlsx]Post'!I59</f>
        <v>0.0</v>
      </c>
      <c r="J56" s="15">
        <f>'[02_Bank.xlsx]Post'!J59</f>
        <v>0.0</v>
      </c>
      <c r="K56" s="15">
        <f>'[02_Bank.xlsx]Post'!K59</f>
        <v>0.0</v>
      </c>
    </row>
    <row r="57" spans="9:11">
      <c r="I57" s="15">
        <f>'[02_Bank.xlsx]Post'!I60</f>
        <v>0.0</v>
      </c>
      <c r="J57" s="15">
        <f>'[02_Bank.xlsx]Post'!J60</f>
        <v>0.0</v>
      </c>
      <c r="K57" s="15">
        <f>'[02_Bank.xlsx]Post'!K60</f>
        <v>0.0</v>
      </c>
    </row>
    <row r="58" spans="9:11">
      <c r="I58" s="15">
        <f>'[02_Bank.xlsx]Post'!I61</f>
        <v>0.0</v>
      </c>
      <c r="J58" s="15">
        <f>'[02_Bank.xlsx]Post'!J61</f>
        <v>0.0</v>
      </c>
      <c r="K58" s="15">
        <f>'[02_Bank.xlsx]Post'!K61</f>
        <v>0.0</v>
      </c>
    </row>
    <row r="59" spans="9:11">
      <c r="I59" s="15">
        <f>'[02_Bank.xlsx]Post'!I62</f>
        <v>0.0</v>
      </c>
      <c r="J59" s="15">
        <f>'[02_Bank.xlsx]Post'!J62</f>
        <v>0.0</v>
      </c>
      <c r="K59" s="15">
        <f>'[02_Bank.xlsx]Post'!K62</f>
        <v>0.0</v>
      </c>
    </row>
    <row r="60" spans="9:11">
      <c r="I60" s="15">
        <f>'[02_Bank.xlsx]Post'!I63</f>
        <v>0.0</v>
      </c>
      <c r="J60" s="15">
        <f>'[02_Bank.xlsx]Post'!J63</f>
        <v>0.0</v>
      </c>
      <c r="K60" s="15">
        <f>'[02_Bank.xlsx]Post'!K63</f>
        <v>0.0</v>
      </c>
    </row>
    <row r="61" spans="9:11">
      <c r="I61" s="15">
        <f>'[02_Bank.xlsx]Post'!I64</f>
        <v>0.0</v>
      </c>
      <c r="J61" s="15">
        <f>'[02_Bank.xlsx]Post'!J64</f>
        <v>0.0</v>
      </c>
      <c r="K61" s="15">
        <f>'[02_Bank.xlsx]Post'!K64</f>
        <v>0.0</v>
      </c>
    </row>
    <row r="62" spans="9:11">
      <c r="I62" s="15">
        <f>'[02_Bank.xlsx]Post'!I65</f>
        <v>0.0</v>
      </c>
      <c r="J62" s="15">
        <f>'[02_Bank.xlsx]Post'!J65</f>
        <v>0.0</v>
      </c>
      <c r="K62" s="15">
        <f>'[02_Bank.xlsx]Post'!K65</f>
        <v>0.0</v>
      </c>
    </row>
    <row r="63" spans="9:11">
      <c r="I63" s="15">
        <f>'[02_Bank.xlsx]Post'!I66</f>
        <v>0.0</v>
      </c>
      <c r="J63" s="15">
        <f>'[02_Bank.xlsx]Post'!J66</f>
        <v>0.0</v>
      </c>
      <c r="K63" s="15">
        <f>'[02_Bank.xlsx]Post'!K66</f>
        <v>0.0</v>
      </c>
    </row>
    <row r="64" spans="9:11">
      <c r="I64" s="15">
        <f>'[02_Bank.xlsx]Post'!I67</f>
        <v>0.0</v>
      </c>
      <c r="J64" s="15">
        <f>'[02_Bank.xlsx]Post'!J67</f>
        <v>0.0</v>
      </c>
      <c r="K64" s="15">
        <f>'[02_Bank.xlsx]Post'!K67</f>
        <v>0.0</v>
      </c>
    </row>
    <row r="65" spans="9:11">
      <c r="I65" s="15">
        <f>'[02_Bank.xlsx]Post'!I68</f>
        <v>0.0</v>
      </c>
      <c r="J65" s="15">
        <f>'[02_Bank.xlsx]Post'!J68</f>
        <v>0.0</v>
      </c>
      <c r="K65" s="15">
        <f>'[02_Bank.xlsx]Post'!K68</f>
        <v>0.0</v>
      </c>
    </row>
    <row r="66" spans="9:11">
      <c r="I66" s="15">
        <f>'[02_Bank.xlsx]Post'!I69</f>
        <v>0.0</v>
      </c>
      <c r="J66" s="15">
        <f>'[02_Bank.xlsx]Post'!J69</f>
        <v>0.0</v>
      </c>
      <c r="K66" s="15">
        <f>'[02_Bank.xlsx]Post'!K69</f>
        <v>0.0</v>
      </c>
    </row>
    <row r="67" spans="9:11">
      <c r="I67" s="15">
        <f>'[02_Bank.xlsx]Post'!I70</f>
        <v>0.0</v>
      </c>
      <c r="J67" s="15">
        <f>'[02_Bank.xlsx]Post'!J70</f>
        <v>0.0</v>
      </c>
      <c r="K67" s="15">
        <f>'[02_Bank.xlsx]Post'!K70</f>
        <v>0.0</v>
      </c>
    </row>
    <row r="68" spans="9:11">
      <c r="I68" s="15">
        <f>'[02_Bank.xlsx]Post'!I71</f>
        <v>0.0</v>
      </c>
      <c r="J68" s="15">
        <f>'[02_Bank.xlsx]Post'!J71</f>
        <v>0.0</v>
      </c>
      <c r="K68" s="15">
        <f>'[02_Bank.xlsx]Post'!K71</f>
        <v>0.0</v>
      </c>
    </row>
    <row r="69" spans="9:11">
      <c r="I69" s="15">
        <f>'[02_Bank.xlsx]Post'!I72</f>
        <v>0.0</v>
      </c>
      <c r="J69" s="15">
        <f>'[02_Bank.xlsx]Post'!J72</f>
        <v>0.0</v>
      </c>
      <c r="K69" s="15">
        <f>'[02_Bank.xlsx]Post'!K72</f>
        <v>0.0</v>
      </c>
    </row>
    <row r="70" spans="9:11">
      <c r="I70" s="15">
        <f>'[02_Bank.xlsx]Post'!I73</f>
        <v>0.0</v>
      </c>
      <c r="J70" s="15">
        <f>'[02_Bank.xlsx]Post'!J73</f>
        <v>0.0</v>
      </c>
      <c r="K70" s="15">
        <f>'[02_Bank.xlsx]Post'!K73</f>
        <v>0.0</v>
      </c>
    </row>
    <row r="71" spans="9:11">
      <c r="I71" s="15">
        <f>'[02_Bank.xlsx]Post'!I74</f>
        <v>0.0</v>
      </c>
      <c r="J71" s="15">
        <f>'[02_Bank.xlsx]Post'!J74</f>
        <v>0.0</v>
      </c>
      <c r="K71" s="15">
        <f>'[02_Bank.xlsx]Post'!K74</f>
        <v>0.0</v>
      </c>
    </row>
    <row r="72" spans="9:11">
      <c r="I72" s="15">
        <f>'[02_Bank.xlsx]Post'!I75</f>
        <v>0.0</v>
      </c>
      <c r="J72" s="15">
        <f>'[02_Bank.xlsx]Post'!J75</f>
        <v>0.0</v>
      </c>
      <c r="K72" s="15">
        <f>'[02_Bank.xlsx]Post'!K75</f>
        <v>0.0</v>
      </c>
    </row>
    <row r="73" spans="9:11">
      <c r="I73" s="15">
        <f>'[02_Bank.xlsx]Post'!I76</f>
        <v>0.0</v>
      </c>
      <c r="J73" s="15">
        <f>'[02_Bank.xlsx]Post'!J76</f>
        <v>0.0</v>
      </c>
      <c r="K73" s="15">
        <f>'[02_Bank.xlsx]Post'!K76</f>
        <v>0.0</v>
      </c>
    </row>
    <row r="74" spans="9:11">
      <c r="I74" s="15">
        <f>'[02_Bank.xlsx]Post'!I77</f>
        <v>0.0</v>
      </c>
      <c r="J74" s="15">
        <f>'[02_Bank.xlsx]Post'!J77</f>
        <v>0.0</v>
      </c>
      <c r="K74" s="15">
        <f>'[02_Bank.xlsx]Post'!K77</f>
        <v>0.0</v>
      </c>
    </row>
    <row r="75" spans="9:11">
      <c r="I75" s="15">
        <f>'[02_Bank.xlsx]Post'!I78</f>
        <v>0.0</v>
      </c>
      <c r="J75" s="15">
        <f>'[02_Bank.xlsx]Post'!J78</f>
        <v>0.0</v>
      </c>
      <c r="K75" s="15">
        <f>'[02_Bank.xlsx]Post'!K78</f>
        <v>0.0</v>
      </c>
    </row>
    <row r="76" spans="9:11">
      <c r="I76" s="15">
        <f>'[02_Bank.xlsx]Post'!I79</f>
        <v>0.0</v>
      </c>
      <c r="J76" s="15">
        <f>'[02_Bank.xlsx]Post'!J79</f>
        <v>0.0</v>
      </c>
      <c r="K76" s="15">
        <f>'[02_Bank.xlsx]Post'!K79</f>
        <v>0.0</v>
      </c>
    </row>
    <row r="77" spans="9:11">
      <c r="I77" s="15">
        <f>'[02_Bank.xlsx]Post'!I80</f>
        <v>0.0</v>
      </c>
      <c r="J77" s="15">
        <f>'[02_Bank.xlsx]Post'!J80</f>
        <v>0.0</v>
      </c>
      <c r="K77" s="15">
        <f>'[02_Bank.xlsx]Post'!K80</f>
        <v>0.0</v>
      </c>
    </row>
    <row r="78" spans="9:11">
      <c r="I78" s="15">
        <f>'[02_Bank.xlsx]Post'!I81</f>
        <v>0.0</v>
      </c>
      <c r="J78" s="15">
        <f>'[02_Bank.xlsx]Post'!J81</f>
        <v>0.0</v>
      </c>
      <c r="K78" s="15">
        <f>'[02_Bank.xlsx]Post'!K81</f>
        <v>0.0</v>
      </c>
    </row>
    <row r="79" spans="9:11">
      <c r="I79" s="15">
        <f>'[02_Bank.xlsx]Post'!I82</f>
        <v>0.0</v>
      </c>
      <c r="J79" s="15">
        <f>'[02_Bank.xlsx]Post'!J82</f>
        <v>0.0</v>
      </c>
      <c r="K79" s="15">
        <f>'[02_Bank.xlsx]Post'!K82</f>
        <v>0.0</v>
      </c>
    </row>
    <row r="80" spans="9:11">
      <c r="I80" s="15">
        <f>'[02_Bank.xlsx]Post'!I83</f>
        <v>0.0</v>
      </c>
      <c r="J80" s="15">
        <f>'[02_Bank.xlsx]Post'!J83</f>
        <v>0.0</v>
      </c>
      <c r="K80" s="15">
        <f>'[02_Bank.xlsx]Post'!K83</f>
        <v>0.0</v>
      </c>
    </row>
    <row r="81" spans="9:11">
      <c r="I81" s="15">
        <f>'[02_Bank.xlsx]Post'!I84</f>
        <v>0.0</v>
      </c>
      <c r="J81" s="15">
        <f>'[02_Bank.xlsx]Post'!J84</f>
        <v>0.0</v>
      </c>
      <c r="K81" s="15">
        <f>'[02_Bank.xlsx]Post'!K84</f>
        <v>0.0</v>
      </c>
    </row>
    <row r="82" spans="9:11">
      <c r="I82" s="15">
        <f>'[02_Bank.xlsx]Post'!I85</f>
        <v>0.0</v>
      </c>
      <c r="J82" s="15">
        <f>'[02_Bank.xlsx]Post'!J85</f>
        <v>0.0</v>
      </c>
      <c r="K82" s="15">
        <f>'[02_Bank.xlsx]Post'!K85</f>
        <v>0.0</v>
      </c>
    </row>
    <row r="83" spans="9:11">
      <c r="I83" s="15">
        <f>'[02_Bank.xlsx]Post'!I86</f>
        <v>0.0</v>
      </c>
      <c r="J83" s="15">
        <f>'[02_Bank.xlsx]Post'!J86</f>
        <v>0.0</v>
      </c>
      <c r="K83" s="15">
        <f>'[02_Bank.xlsx]Post'!K86</f>
        <v>0.0</v>
      </c>
    </row>
    <row r="84" spans="9:11">
      <c r="I84" s="15">
        <f>'[02_Bank.xlsx]Post'!I87</f>
        <v>0.0</v>
      </c>
      <c r="J84" s="15">
        <f>'[02_Bank.xlsx]Post'!J87</f>
        <v>0.0</v>
      </c>
      <c r="K84" s="15">
        <f>'[02_Bank.xlsx]Post'!K87</f>
        <v>0.0</v>
      </c>
    </row>
    <row r="85" spans="9:11">
      <c r="I85" s="15">
        <f>'[02_Bank.xlsx]Post'!I88</f>
        <v>0.0</v>
      </c>
      <c r="J85" s="15">
        <f>'[02_Bank.xlsx]Post'!J88</f>
        <v>0.0</v>
      </c>
      <c r="K85" s="15">
        <f>'[02_Bank.xlsx]Post'!K88</f>
        <v>0.0</v>
      </c>
    </row>
    <row r="86" spans="9:11">
      <c r="I86" s="15">
        <f>'[02_Bank.xlsx]Post'!I89</f>
        <v>0.0</v>
      </c>
      <c r="J86" s="15">
        <f>'[02_Bank.xlsx]Post'!J89</f>
        <v>0.0</v>
      </c>
      <c r="K86" s="15">
        <f>'[02_Bank.xlsx]Post'!K89</f>
        <v>0.0</v>
      </c>
    </row>
    <row r="87" spans="9:11">
      <c r="I87" s="15">
        <f>'[02_Bank.xlsx]Post'!I90</f>
        <v>0.0</v>
      </c>
      <c r="J87" s="15">
        <f>'[02_Bank.xlsx]Post'!J90</f>
        <v>0.0</v>
      </c>
      <c r="K87" s="15">
        <f>'[02_Bank.xlsx]Post'!K90</f>
        <v>0.0</v>
      </c>
    </row>
    <row r="88" spans="9:11">
      <c r="I88" s="15">
        <f>'[02_Bank.xlsx]Post'!I91</f>
        <v>0.0</v>
      </c>
      <c r="J88" s="15">
        <f>'[02_Bank.xlsx]Post'!J91</f>
        <v>0.0</v>
      </c>
      <c r="K88" s="15">
        <f>'[02_Bank.xlsx]Post'!K91</f>
        <v>0.0</v>
      </c>
    </row>
    <row r="89" spans="9:11">
      <c r="I89" s="15">
        <f>'[02_Bank.xlsx]Post'!I92</f>
        <v>0.0</v>
      </c>
      <c r="J89" s="15">
        <f>'[02_Bank.xlsx]Post'!J92</f>
        <v>0.0</v>
      </c>
      <c r="K89" s="15">
        <f>'[02_Bank.xlsx]Post'!K92</f>
        <v>0.0</v>
      </c>
    </row>
    <row r="90" spans="9:11">
      <c r="I90" s="15">
        <f>'[02_Bank.xlsx]Post'!I93</f>
        <v>0.0</v>
      </c>
      <c r="J90" s="15">
        <f>'[02_Bank.xlsx]Post'!J93</f>
        <v>0.0</v>
      </c>
      <c r="K90" s="15">
        <f>'[02_Bank.xlsx]Post'!K93</f>
        <v>0.0</v>
      </c>
    </row>
    <row r="91" spans="9:11">
      <c r="I91" s="15">
        <f>'[02_Bank.xlsx]Post'!I94</f>
        <v>0.0</v>
      </c>
      <c r="J91" s="15">
        <f>'[02_Bank.xlsx]Post'!J94</f>
        <v>0.0</v>
      </c>
      <c r="K91" s="15">
        <f>'[02_Bank.xlsx]Post'!K94</f>
        <v>0.0</v>
      </c>
    </row>
    <row r="92" spans="9:11">
      <c r="I92" s="15">
        <f>'[02_Bank.xlsx]Post'!I95</f>
        <v>0.0</v>
      </c>
      <c r="J92" s="15">
        <f>'[02_Bank.xlsx]Post'!J95</f>
        <v>0.0</v>
      </c>
      <c r="K92" s="15">
        <f>'[02_Bank.xlsx]Post'!K95</f>
        <v>0.0</v>
      </c>
    </row>
    <row r="93" spans="9:11">
      <c r="I93" s="15">
        <f>'[02_Bank.xlsx]Post'!I96</f>
        <v>0.0</v>
      </c>
      <c r="J93" s="15">
        <f>'[02_Bank.xlsx]Post'!J96</f>
        <v>0.0</v>
      </c>
      <c r="K93" s="15">
        <f>'[02_Bank.xlsx]Post'!K96</f>
        <v>0.0</v>
      </c>
    </row>
    <row r="94" spans="9:11">
      <c r="I94" s="15">
        <f>'[02_Bank.xlsx]Post'!I97</f>
        <v>0.0</v>
      </c>
      <c r="J94" s="15">
        <f>'[02_Bank.xlsx]Post'!J97</f>
        <v>0.0</v>
      </c>
      <c r="K94" s="15">
        <f>'[02_Bank.xlsx]Post'!K97</f>
        <v>0.0</v>
      </c>
    </row>
    <row r="95" spans="9:11">
      <c r="I95" s="15">
        <f>'[02_Bank.xlsx]Post'!I98</f>
        <v>0.0</v>
      </c>
      <c r="J95" s="15">
        <f>'[02_Bank.xlsx]Post'!J98</f>
        <v>0.0</v>
      </c>
      <c r="K95" s="15">
        <f>'[02_Bank.xlsx]Post'!K98</f>
        <v>0.0</v>
      </c>
    </row>
    <row r="96" spans="9:11">
      <c r="I96" s="15">
        <f>'[02_Bank.xlsx]Post'!I99</f>
        <v>0.0</v>
      </c>
      <c r="J96" s="15">
        <f>'[02_Bank.xlsx]Post'!J99</f>
        <v>0.0</v>
      </c>
      <c r="K96" s="15">
        <f>'[02_Bank.xlsx]Post'!K99</f>
        <v>0.0</v>
      </c>
    </row>
    <row r="97" spans="9:11">
      <c r="I97" s="15">
        <f>'[02_Bank.xlsx]Post'!I100</f>
        <v>0.0</v>
      </c>
      <c r="J97" s="15">
        <f>'[02_Bank.xlsx]Post'!J100</f>
        <v>0.0</v>
      </c>
      <c r="K97" s="15">
        <f>'[02_Bank.xlsx]Post'!K100</f>
        <v>0.0</v>
      </c>
    </row>
    <row r="98" spans="9:11">
      <c r="I98" s="15">
        <f>'[02_Bank.xlsx]Post'!I101</f>
        <v>0.0</v>
      </c>
      <c r="J98" s="15">
        <f>'[02_Bank.xlsx]Post'!J101</f>
        <v>0.0</v>
      </c>
      <c r="K98" s="15">
        <f>'[02_Bank.xlsx]Post'!K101</f>
        <v>0.0</v>
      </c>
    </row>
    <row r="99" spans="9:11">
      <c r="I99" s="15">
        <f>'[02_Bank.xlsx]Post'!I102</f>
        <v>0.0</v>
      </c>
      <c r="J99" s="15">
        <f>'[02_Bank.xlsx]Post'!J102</f>
        <v>0.0</v>
      </c>
      <c r="K99" s="15">
        <f>'[02_Bank.xlsx]Post'!K102</f>
        <v>0.0</v>
      </c>
    </row>
    <row r="100" spans="9:11">
      <c r="I100" s="15">
        <f>'[02_Bank.xlsx]Post'!I103</f>
        <v>0.0</v>
      </c>
      <c r="J100" s="15">
        <f>'[02_Bank.xlsx]Post'!J103</f>
        <v>0.0</v>
      </c>
      <c r="K100" s="15">
        <f>'[02_Bank.xlsx]Post'!K103</f>
        <v>0.0</v>
      </c>
    </row>
    <row r="101" spans="9:11">
      <c r="I101" s="15">
        <f>'[02_Bank.xlsx]Post'!I104</f>
        <v>0.0</v>
      </c>
      <c r="J101" s="15">
        <f>'[02_Bank.xlsx]Post'!J104</f>
        <v>0.0</v>
      </c>
      <c r="K101" s="15">
        <f>'[02_Bank.xlsx]Post'!K104</f>
        <v>0.0</v>
      </c>
    </row>
    <row r="102" spans="9:11">
      <c r="I102" s="15">
        <f>'[02_Bank.xlsx]Post'!I105</f>
        <v>0.0</v>
      </c>
      <c r="J102" s="15">
        <f>'[02_Bank.xlsx]Post'!J105</f>
        <v>0.0</v>
      </c>
      <c r="K102" s="15">
        <f>'[02_Bank.xlsx]Post'!K105</f>
        <v>0.0</v>
      </c>
    </row>
    <row r="103" spans="9:11">
      <c r="I103" s="15">
        <f>'[02_Bank.xlsx]Post'!I106</f>
        <v>0.0</v>
      </c>
      <c r="J103" s="15">
        <f>'[02_Bank.xlsx]Post'!J106</f>
        <v>0.0</v>
      </c>
      <c r="K103" s="15">
        <f>'[02_Bank.xlsx]Post'!K106</f>
        <v>0.0</v>
      </c>
    </row>
    <row r="104" spans="9:11">
      <c r="I104" s="15">
        <f>'[02_Bank.xlsx]Post'!I107</f>
        <v>0.0</v>
      </c>
      <c r="J104" s="15">
        <f>'[02_Bank.xlsx]Post'!J107</f>
        <v>0.0</v>
      </c>
      <c r="K104" s="15">
        <f>'[02_Bank.xlsx]Post'!K107</f>
        <v>0.0</v>
      </c>
    </row>
    <row r="105" spans="9:11">
      <c r="I105" s="15">
        <f>'[02_Bank.xlsx]Post'!I108</f>
        <v>0.0</v>
      </c>
      <c r="J105" s="15">
        <f>'[02_Bank.xlsx]Post'!J108</f>
        <v>0.0</v>
      </c>
      <c r="K105" s="15">
        <f>'[02_Bank.xlsx]Post'!K108</f>
        <v>0.0</v>
      </c>
    </row>
    <row r="106" spans="9:11">
      <c r="I106" s="15">
        <f>'[02_Bank.xlsx]Post'!I109</f>
        <v>0.0</v>
      </c>
      <c r="J106" s="15">
        <f>'[02_Bank.xlsx]Post'!J109</f>
        <v>0.0</v>
      </c>
      <c r="K106" s="15">
        <f>'[02_Bank.xlsx]Post'!K109</f>
        <v>0.0</v>
      </c>
    </row>
    <row r="107" spans="9:11">
      <c r="I107" s="15">
        <f>'[02_Bank.xlsx]Post'!I110</f>
        <v>0.0</v>
      </c>
      <c r="J107" s="15">
        <f>'[02_Bank.xlsx]Post'!J110</f>
        <v>0.0</v>
      </c>
      <c r="K107" s="15">
        <f>'[02_Bank.xlsx]Post'!K110</f>
        <v>0.0</v>
      </c>
    </row>
    <row r="108" spans="9:11">
      <c r="I108" s="15">
        <f>'[02_Bank.xlsx]Post'!I111</f>
        <v>0.0</v>
      </c>
      <c r="J108" s="15">
        <f>'[02_Bank.xlsx]Post'!J111</f>
        <v>0.0</v>
      </c>
      <c r="K108" s="15">
        <f>'[02_Bank.xlsx]Post'!K111</f>
        <v>0.0</v>
      </c>
    </row>
    <row r="109" spans="9:11">
      <c r="I109" s="15">
        <f>'[02_Bank.xlsx]Post'!I112</f>
        <v>0.0</v>
      </c>
      <c r="J109" s="15">
        <f>'[02_Bank.xlsx]Post'!J112</f>
        <v>0.0</v>
      </c>
      <c r="K109" s="15">
        <f>'[02_Bank.xlsx]Post'!K112</f>
        <v>0.0</v>
      </c>
    </row>
    <row r="110" spans="9:11">
      <c r="I110" s="15">
        <f>'[02_Bank.xlsx]Post'!I113</f>
        <v>0.0</v>
      </c>
      <c r="J110" s="15">
        <f>'[02_Bank.xlsx]Post'!J113</f>
        <v>0.0</v>
      </c>
      <c r="K110" s="15">
        <f>'[02_Bank.xlsx]Post'!K113</f>
        <v>0.0</v>
      </c>
    </row>
    <row r="111" spans="9:11">
      <c r="I111" s="15">
        <f>'[02_Bank.xlsx]Post'!I114</f>
        <v>0.0</v>
      </c>
      <c r="J111" s="15">
        <f>'[02_Bank.xlsx]Post'!J114</f>
        <v>0.0</v>
      </c>
      <c r="K111" s="15">
        <f>'[02_Bank.xlsx]Post'!K114</f>
        <v>0.0</v>
      </c>
    </row>
    <row r="112" spans="9:11">
      <c r="I112" s="15">
        <f>'[02_Bank.xlsx]Post'!I115</f>
        <v>0.0</v>
      </c>
      <c r="J112" s="15">
        <f>'[02_Bank.xlsx]Post'!J115</f>
        <v>0.0</v>
      </c>
      <c r="K112" s="15">
        <f>'[02_Bank.xlsx]Post'!K115</f>
        <v>0.0</v>
      </c>
    </row>
    <row r="113" spans="9:11">
      <c r="I113" s="15">
        <f>'[02_Bank.xlsx]Post'!I116</f>
        <v>0.0</v>
      </c>
      <c r="J113" s="15">
        <f>'[02_Bank.xlsx]Post'!J116</f>
        <v>0.0</v>
      </c>
      <c r="K113" s="15">
        <f>'[02_Bank.xlsx]Post'!K116</f>
        <v>0.0</v>
      </c>
    </row>
    <row r="114" spans="9:11">
      <c r="I114" s="15">
        <f>'[02_Bank.xlsx]Post'!I117</f>
        <v>0.0</v>
      </c>
      <c r="J114" s="15">
        <f>'[02_Bank.xlsx]Post'!J117</f>
        <v>0.0</v>
      </c>
      <c r="K114" s="15">
        <f>'[02_Bank.xlsx]Post'!K117</f>
        <v>0.0</v>
      </c>
    </row>
    <row r="115" spans="9:11">
      <c r="I115" s="15">
        <f>'[02_Bank.xlsx]Post'!I118</f>
        <v>0.0</v>
      </c>
      <c r="J115" s="15">
        <f>'[02_Bank.xlsx]Post'!J118</f>
        <v>0.0</v>
      </c>
      <c r="K115" s="15">
        <f>'[02_Bank.xlsx]Post'!K118</f>
        <v>0.0</v>
      </c>
    </row>
    <row r="116" spans="9:11">
      <c r="I116" s="15">
        <f>'[02_Bank.xlsx]Post'!I119</f>
        <v>0.0</v>
      </c>
      <c r="J116" s="15">
        <f>'[02_Bank.xlsx]Post'!J119</f>
        <v>0.0</v>
      </c>
      <c r="K116" s="15">
        <f>'[02_Bank.xlsx]Post'!K119</f>
        <v>0.0</v>
      </c>
    </row>
    <row r="117" spans="9:11">
      <c r="I117" s="15">
        <f>'[02_Bank.xlsx]Post'!I120</f>
        <v>0.0</v>
      </c>
      <c r="J117" s="15">
        <f>'[02_Bank.xlsx]Post'!J120</f>
        <v>0.0</v>
      </c>
      <c r="K117" s="15">
        <f>'[02_Bank.xlsx]Post'!K120</f>
        <v>0.0</v>
      </c>
    </row>
    <row r="118" spans="9:11">
      <c r="I118" s="15">
        <f>'[02_Bank.xlsx]Post'!I121</f>
        <v>0.0</v>
      </c>
      <c r="J118" s="15">
        <f>'[02_Bank.xlsx]Post'!J121</f>
        <v>0.0</v>
      </c>
      <c r="K118" s="15">
        <f>'[02_Bank.xlsx]Post'!K121</f>
        <v>0.0</v>
      </c>
    </row>
    <row r="119" spans="9:11">
      <c r="I119" s="15">
        <f>'[02_Bank.xlsx]Post'!I122</f>
        <v>0.0</v>
      </c>
      <c r="J119" s="15">
        <f>'[02_Bank.xlsx]Post'!J122</f>
        <v>0.0</v>
      </c>
      <c r="K119" s="15">
        <f>'[02_Bank.xlsx]Post'!K122</f>
        <v>0.0</v>
      </c>
    </row>
    <row r="120" spans="9:11">
      <c r="I120" s="15">
        <f>'[02_Bank.xlsx]Post'!I123</f>
        <v>0.0</v>
      </c>
      <c r="J120" s="15">
        <f>'[02_Bank.xlsx]Post'!J123</f>
        <v>0.0</v>
      </c>
      <c r="K120" s="15">
        <f>'[02_Bank.xlsx]Post'!K123</f>
        <v>0.0</v>
      </c>
    </row>
    <row r="121" spans="9:11">
      <c r="I121" s="15">
        <f>'[02_Bank.xlsx]Post'!I124</f>
        <v>0.0</v>
      </c>
      <c r="J121" s="15">
        <f>'[02_Bank.xlsx]Post'!J124</f>
        <v>0.0</v>
      </c>
      <c r="K121" s="15">
        <f>'[02_Bank.xlsx]Post'!K124</f>
        <v>0.0</v>
      </c>
    </row>
    <row r="122" spans="9:11">
      <c r="I122" s="15">
        <f>'[02_Bank.xlsx]Post'!I125</f>
        <v>0.0</v>
      </c>
      <c r="J122" s="15">
        <f>'[02_Bank.xlsx]Post'!J125</f>
        <v>0.0</v>
      </c>
      <c r="K122" s="15">
        <f>'[02_Bank.xlsx]Post'!K125</f>
        <v>0.0</v>
      </c>
    </row>
    <row r="123" spans="9:11">
      <c r="I123" s="15">
        <f>'[02_Bank.xlsx]Post'!I126</f>
        <v>0.0</v>
      </c>
      <c r="J123" s="15">
        <f>'[02_Bank.xlsx]Post'!J126</f>
        <v>0.0</v>
      </c>
      <c r="K123" s="15">
        <f>'[02_Bank.xlsx]Post'!K126</f>
        <v>0.0</v>
      </c>
    </row>
    <row r="124" spans="9:11">
      <c r="I124" s="15">
        <f>'[02_Bank.xlsx]Post'!I127</f>
        <v>0.0</v>
      </c>
      <c r="J124" s="15">
        <f>'[02_Bank.xlsx]Post'!J127</f>
        <v>0.0</v>
      </c>
      <c r="K124" s="15">
        <f>'[02_Bank.xlsx]Post'!K127</f>
        <v>0.0</v>
      </c>
    </row>
    <row r="125" spans="9:11">
      <c r="I125" s="15">
        <f>'[02_Bank.xlsx]Post'!I128</f>
        <v>0.0</v>
      </c>
      <c r="J125" s="15">
        <f>'[02_Bank.xlsx]Post'!J128</f>
        <v>0.0</v>
      </c>
      <c r="K125" s="15">
        <f>'[02_Bank.xlsx]Post'!K128</f>
        <v>0.0</v>
      </c>
    </row>
    <row r="126" spans="9:11">
      <c r="I126" s="15">
        <f>'[02_Bank.xlsx]Post'!I129</f>
        <v>0.0</v>
      </c>
      <c r="J126" s="15">
        <f>'[02_Bank.xlsx]Post'!J129</f>
        <v>0.0</v>
      </c>
      <c r="K126" s="15">
        <f>'[02_Bank.xlsx]Post'!K129</f>
        <v>0.0</v>
      </c>
    </row>
    <row r="127" spans="9:11">
      <c r="I127" s="15">
        <f>'[02_Bank.xlsx]Post'!I130</f>
        <v>0.0</v>
      </c>
      <c r="J127" s="15">
        <f>'[02_Bank.xlsx]Post'!J130</f>
        <v>0.0</v>
      </c>
      <c r="K127" s="15">
        <f>'[02_Bank.xlsx]Post'!K130</f>
        <v>0.0</v>
      </c>
    </row>
    <row r="128" spans="9:11">
      <c r="I128" s="15">
        <f>'[02_Bank.xlsx]Post'!I131</f>
        <v>0.0</v>
      </c>
      <c r="J128" s="15">
        <f>'[02_Bank.xlsx]Post'!J131</f>
        <v>0.0</v>
      </c>
      <c r="K128" s="15">
        <f>'[02_Bank.xlsx]Post'!K131</f>
        <v>0.0</v>
      </c>
    </row>
    <row r="129" spans="9:11">
      <c r="I129" s="15">
        <f>'[02_Bank.xlsx]Post'!I132</f>
        <v>0.0</v>
      </c>
      <c r="J129" s="15">
        <f>'[02_Bank.xlsx]Post'!J132</f>
        <v>0.0</v>
      </c>
      <c r="K129" s="15">
        <f>'[02_Bank.xlsx]Post'!K132</f>
        <v>0.0</v>
      </c>
    </row>
    <row r="130" spans="9:11">
      <c r="I130" s="15">
        <f>'[02_Bank.xlsx]Post'!I133</f>
        <v>0.0</v>
      </c>
      <c r="J130" s="15">
        <f>'[02_Bank.xlsx]Post'!J133</f>
        <v>0.0</v>
      </c>
      <c r="K130" s="15">
        <f>'[02_Bank.xlsx]Post'!K133</f>
        <v>0.0</v>
      </c>
    </row>
    <row r="131" spans="9:11">
      <c r="I131" s="15">
        <f>'[02_Bank.xlsx]Post'!I134</f>
        <v>0.0</v>
      </c>
      <c r="J131" s="15">
        <f>'[02_Bank.xlsx]Post'!J134</f>
        <v>0.0</v>
      </c>
      <c r="K131" s="15">
        <f>'[02_Bank.xlsx]Post'!K134</f>
        <v>0.0</v>
      </c>
    </row>
    <row r="132" spans="9:11">
      <c r="I132" s="15">
        <f>'[02_Bank.xlsx]Post'!I135</f>
        <v>0.0</v>
      </c>
      <c r="J132" s="15">
        <f>'[02_Bank.xlsx]Post'!J135</f>
        <v>0.0</v>
      </c>
      <c r="K132" s="15">
        <f>'[02_Bank.xlsx]Post'!K135</f>
        <v>0.0</v>
      </c>
    </row>
    <row r="133" spans="9:11">
      <c r="I133" s="15">
        <f>'[02_Bank.xlsx]Post'!I136</f>
        <v>0.0</v>
      </c>
      <c r="J133" s="15">
        <f>'[02_Bank.xlsx]Post'!J136</f>
        <v>0.0</v>
      </c>
      <c r="K133" s="15">
        <f>'[02_Bank.xlsx]Post'!K136</f>
        <v>0.0</v>
      </c>
    </row>
    <row r="134" spans="9:11">
      <c r="I134" s="15">
        <f>'[02_Bank.xlsx]Post'!I137</f>
        <v>0.0</v>
      </c>
      <c r="J134" s="15">
        <f>'[02_Bank.xlsx]Post'!J137</f>
        <v>0.0</v>
      </c>
      <c r="K134" s="15">
        <f>'[02_Bank.xlsx]Post'!K137</f>
        <v>0.0</v>
      </c>
    </row>
    <row r="135" spans="9:11">
      <c r="I135" s="15">
        <f>'[02_Bank.xlsx]Post'!I138</f>
        <v>0.0</v>
      </c>
      <c r="J135" s="15">
        <f>'[02_Bank.xlsx]Post'!J138</f>
        <v>0.0</v>
      </c>
      <c r="K135" s="15">
        <f>'[02_Bank.xlsx]Post'!K138</f>
        <v>0.0</v>
      </c>
    </row>
    <row r="136" spans="9:11">
      <c r="I136" s="15">
        <f>'[02_Bank.xlsx]Post'!I139</f>
        <v>0.0</v>
      </c>
      <c r="J136" s="15">
        <f>'[02_Bank.xlsx]Post'!J139</f>
        <v>0.0</v>
      </c>
      <c r="K136" s="15">
        <f>'[02_Bank.xlsx]Post'!K139</f>
        <v>0.0</v>
      </c>
    </row>
    <row r="137" spans="9:11">
      <c r="I137" s="15">
        <f>'[02_Bank.xlsx]Post'!I140</f>
        <v>0.0</v>
      </c>
      <c r="J137" s="15">
        <f>'[02_Bank.xlsx]Post'!J140</f>
        <v>0.0</v>
      </c>
      <c r="K137" s="15">
        <f>'[02_Bank.xlsx]Post'!K140</f>
        <v>0.0</v>
      </c>
    </row>
    <row r="138" spans="9:11">
      <c r="I138" s="15">
        <f>'[02_Bank.xlsx]Post'!I141</f>
        <v>0.0</v>
      </c>
      <c r="J138" s="15">
        <f>'[02_Bank.xlsx]Post'!J141</f>
        <v>0.0</v>
      </c>
      <c r="K138" s="15">
        <f>'[02_Bank.xlsx]Post'!K141</f>
        <v>0.0</v>
      </c>
    </row>
    <row r="139" spans="9:11">
      <c r="I139" s="15">
        <f>'[02_Bank.xlsx]Post'!I142</f>
        <v>0.0</v>
      </c>
      <c r="J139" s="15">
        <f>'[02_Bank.xlsx]Post'!J142</f>
        <v>0.0</v>
      </c>
      <c r="K139" s="15">
        <f>'[02_Bank.xlsx]Post'!K142</f>
        <v>0.0</v>
      </c>
    </row>
    <row r="140" spans="9:11">
      <c r="I140" s="15">
        <f>'[02_Bank.xlsx]Post'!I143</f>
        <v>0.0</v>
      </c>
      <c r="J140" s="15">
        <f>'[02_Bank.xlsx]Post'!J143</f>
        <v>0.0</v>
      </c>
      <c r="K140" s="15">
        <f>'[02_Bank.xlsx]Post'!K143</f>
        <v>0.0</v>
      </c>
    </row>
    <row r="141" spans="9:11">
      <c r="I141" s="15">
        <f>'[02_Bank.xlsx]Post'!I144</f>
        <v>0.0</v>
      </c>
      <c r="J141" s="15">
        <f>'[02_Bank.xlsx]Post'!J144</f>
        <v>0.0</v>
      </c>
      <c r="K141" s="15">
        <f>'[02_Bank.xlsx]Post'!K144</f>
        <v>0.0</v>
      </c>
    </row>
    <row r="142" spans="9:11">
      <c r="I142" s="15">
        <f>'[02_Bank.xlsx]Post'!I145</f>
        <v>0.0</v>
      </c>
      <c r="J142" s="15">
        <f>'[02_Bank.xlsx]Post'!J145</f>
        <v>0.0</v>
      </c>
      <c r="K142" s="15">
        <f>'[02_Bank.xlsx]Post'!K145</f>
        <v>0.0</v>
      </c>
    </row>
    <row r="143" spans="9:11">
      <c r="I143" s="15">
        <f>'[02_Bank.xlsx]Post'!I146</f>
        <v>0.0</v>
      </c>
      <c r="J143" s="15">
        <f>'[02_Bank.xlsx]Post'!J146</f>
        <v>0.0</v>
      </c>
      <c r="K143" s="15">
        <f>'[02_Bank.xlsx]Post'!K146</f>
        <v>0.0</v>
      </c>
    </row>
    <row r="144" spans="9:11">
      <c r="I144" s="15">
        <f>'[02_Bank.xlsx]Post'!I147</f>
        <v>0.0</v>
      </c>
      <c r="J144" s="15">
        <f>'[02_Bank.xlsx]Post'!J147</f>
        <v>0.0</v>
      </c>
      <c r="K144" s="15">
        <f>'[02_Bank.xlsx]Post'!K147</f>
        <v>0.0</v>
      </c>
    </row>
    <row r="145" spans="9:11">
      <c r="I145" s="15">
        <f>'[02_Bank.xlsx]Post'!I148</f>
        <v>0.0</v>
      </c>
      <c r="J145" s="15">
        <f>'[02_Bank.xlsx]Post'!J148</f>
        <v>0.0</v>
      </c>
      <c r="K145" s="15">
        <f>'[02_Bank.xlsx]Post'!K148</f>
        <v>0.0</v>
      </c>
    </row>
    <row r="146" spans="9:11">
      <c r="I146" s="15">
        <f>'[02_Bank.xlsx]Post'!I149</f>
        <v>0.0</v>
      </c>
      <c r="J146" s="15">
        <f>'[02_Bank.xlsx]Post'!J149</f>
        <v>0.0</v>
      </c>
      <c r="K146" s="15">
        <f>'[02_Bank.xlsx]Post'!K149</f>
        <v>0.0</v>
      </c>
    </row>
    <row r="147" spans="9:11">
      <c r="I147" s="15">
        <f>'[02_Bank.xlsx]Post'!I150</f>
        <v>0.0</v>
      </c>
      <c r="J147" s="15">
        <f>'[02_Bank.xlsx]Post'!J150</f>
        <v>0.0</v>
      </c>
      <c r="K147" s="15">
        <f>'[02_Bank.xlsx]Post'!K150</f>
        <v>0.0</v>
      </c>
    </row>
    <row r="148" spans="9:11">
      <c r="I148" s="15">
        <f>'[02_Bank.xlsx]Post'!I151</f>
        <v>0.0</v>
      </c>
      <c r="J148" s="15">
        <f>'[02_Bank.xlsx]Post'!J151</f>
        <v>0.0</v>
      </c>
      <c r="K148" s="15">
        <f>'[02_Bank.xlsx]Post'!K151</f>
        <v>0.0</v>
      </c>
    </row>
    <row r="149" spans="9:11">
      <c r="I149" s="15">
        <f>'[02_Bank.xlsx]Post'!I152</f>
        <v>0.0</v>
      </c>
      <c r="J149" s="15">
        <f>'[02_Bank.xlsx]Post'!J152</f>
        <v>0.0</v>
      </c>
      <c r="K149" s="15">
        <f>'[02_Bank.xlsx]Post'!K152</f>
        <v>0.0</v>
      </c>
    </row>
    <row r="150" spans="9:11">
      <c r="I150" s="15">
        <f>'[02_Bank.xlsx]Post'!I153</f>
        <v>0.0</v>
      </c>
      <c r="J150" s="15">
        <f>'[02_Bank.xlsx]Post'!J153</f>
        <v>0.0</v>
      </c>
      <c r="K150" s="15">
        <f>'[02_Bank.xlsx]Post'!K153</f>
        <v>0.0</v>
      </c>
    </row>
    <row r="151" spans="9:11">
      <c r="I151" s="15">
        <f>'[02_Bank.xlsx]Post'!I154</f>
        <v>0.0</v>
      </c>
      <c r="J151" s="15">
        <f>'[02_Bank.xlsx]Post'!J154</f>
        <v>0.0</v>
      </c>
      <c r="K151" s="15">
        <f>'[02_Bank.xlsx]Post'!K154</f>
        <v>0.0</v>
      </c>
    </row>
    <row r="152" spans="9:11">
      <c r="I152" s="15">
        <f>'[02_Bank.xlsx]Post'!I155</f>
        <v>0.0</v>
      </c>
      <c r="J152" s="15">
        <f>'[02_Bank.xlsx]Post'!J155</f>
        <v>0.0</v>
      </c>
      <c r="K152" s="15">
        <f>'[02_Bank.xlsx]Post'!K155</f>
        <v>0.0</v>
      </c>
    </row>
    <row r="153" spans="9:11">
      <c r="I153" s="15">
        <f>'[02_Bank.xlsx]Post'!I156</f>
        <v>0.0</v>
      </c>
      <c r="J153" s="15">
        <f>'[02_Bank.xlsx]Post'!J156</f>
        <v>0.0</v>
      </c>
      <c r="K153" s="15">
        <f>'[02_Bank.xlsx]Post'!K156</f>
        <v>0.0</v>
      </c>
    </row>
    <row r="154" spans="9:11">
      <c r="I154" s="15">
        <f>'[02_Bank.xlsx]Post'!I157</f>
        <v>0.0</v>
      </c>
      <c r="J154" s="15">
        <f>'[02_Bank.xlsx]Post'!J157</f>
        <v>0.0</v>
      </c>
      <c r="K154" s="15">
        <f>'[02_Bank.xlsx]Post'!K157</f>
        <v>0.0</v>
      </c>
    </row>
    <row r="155" spans="9:11">
      <c r="I155" s="15">
        <f>'[02_Bank.xlsx]Post'!I158</f>
        <v>0.0</v>
      </c>
      <c r="J155" s="15">
        <f>'[02_Bank.xlsx]Post'!J158</f>
        <v>0.0</v>
      </c>
      <c r="K155" s="15">
        <f>'[02_Bank.xlsx]Post'!K158</f>
        <v>0.0</v>
      </c>
    </row>
    <row r="156" spans="9:11">
      <c r="I156" s="15">
        <f>'[02_Bank.xlsx]Post'!I159</f>
        <v>0.0</v>
      </c>
      <c r="J156" s="15">
        <f>'[02_Bank.xlsx]Post'!J159</f>
        <v>0.0</v>
      </c>
      <c r="K156" s="15">
        <f>'[02_Bank.xlsx]Post'!K159</f>
        <v>0.0</v>
      </c>
    </row>
    <row r="157" spans="9:11">
      <c r="I157" s="15">
        <f>'[02_Bank.xlsx]Post'!I160</f>
        <v>0.0</v>
      </c>
      <c r="J157" s="15">
        <f>'[02_Bank.xlsx]Post'!J160</f>
        <v>0.0</v>
      </c>
      <c r="K157" s="15">
        <f>'[02_Bank.xlsx]Post'!K160</f>
        <v>0.0</v>
      </c>
    </row>
    <row r="158" spans="9:11">
      <c r="I158" s="15">
        <f>'[02_Bank.xlsx]Post'!I161</f>
        <v>0.0</v>
      </c>
      <c r="J158" s="15">
        <f>'[02_Bank.xlsx]Post'!J161</f>
        <v>0.0</v>
      </c>
      <c r="K158" s="15">
        <f>'[02_Bank.xlsx]Post'!K161</f>
        <v>0.0</v>
      </c>
    </row>
    <row r="159" spans="9:11">
      <c r="I159" s="15">
        <f>'[02_Bank.xlsx]Post'!I162</f>
        <v>0.0</v>
      </c>
      <c r="J159" s="15">
        <f>'[02_Bank.xlsx]Post'!J162</f>
        <v>0.0</v>
      </c>
      <c r="K159" s="15">
        <f>'[02_Bank.xlsx]Post'!K162</f>
        <v>0.0</v>
      </c>
    </row>
    <row r="160" spans="9:11">
      <c r="I160" s="15">
        <f>'[02_Bank.xlsx]Post'!I163</f>
        <v>0.0</v>
      </c>
      <c r="J160" s="15">
        <f>'[02_Bank.xlsx]Post'!J163</f>
        <v>0.0</v>
      </c>
      <c r="K160" s="15">
        <f>'[02_Bank.xlsx]Post'!K163</f>
        <v>0.0</v>
      </c>
    </row>
    <row r="161" spans="9:11">
      <c r="I161" s="15">
        <f>'[02_Bank.xlsx]Post'!I164</f>
        <v>0.0</v>
      </c>
      <c r="J161" s="15">
        <f>'[02_Bank.xlsx]Post'!J164</f>
        <v>0.0</v>
      </c>
      <c r="K161" s="15">
        <f>'[02_Bank.xlsx]Post'!K164</f>
        <v>0.0</v>
      </c>
    </row>
    <row r="162" spans="9:11">
      <c r="I162" s="15">
        <f>'[02_Bank.xlsx]Post'!I165</f>
        <v>0.0</v>
      </c>
      <c r="J162" s="15">
        <f>'[02_Bank.xlsx]Post'!J165</f>
        <v>0.0</v>
      </c>
      <c r="K162" s="15">
        <f>'[02_Bank.xlsx]Post'!K165</f>
        <v>0.0</v>
      </c>
    </row>
    <row r="163" spans="9:11">
      <c r="I163" s="15">
        <f>'[02_Bank.xlsx]Post'!I166</f>
        <v>0.0</v>
      </c>
      <c r="J163" s="15">
        <f>'[02_Bank.xlsx]Post'!J166</f>
        <v>0.0</v>
      </c>
      <c r="K163" s="15">
        <f>'[02_Bank.xlsx]Post'!K166</f>
        <v>0.0</v>
      </c>
    </row>
    <row r="164" spans="9:11">
      <c r="I164" s="15">
        <f>'[02_Bank.xlsx]Post'!I167</f>
        <v>0.0</v>
      </c>
      <c r="J164" s="15">
        <f>'[02_Bank.xlsx]Post'!J167</f>
        <v>0.0</v>
      </c>
      <c r="K164" s="15">
        <f>'[02_Bank.xlsx]Post'!K167</f>
        <v>0.0</v>
      </c>
    </row>
    <row r="165" spans="9:11">
      <c r="I165" s="15">
        <f>'[02_Bank.xlsx]Post'!I168</f>
        <v>0.0</v>
      </c>
      <c r="J165" s="15">
        <f>'[02_Bank.xlsx]Post'!J168</f>
        <v>0.0</v>
      </c>
      <c r="K165" s="15">
        <f>'[02_Bank.xlsx]Post'!K168</f>
        <v>0.0</v>
      </c>
    </row>
    <row r="166" spans="9:11">
      <c r="I166" s="15">
        <f>'[02_Bank.xlsx]Post'!I169</f>
        <v>0.0</v>
      </c>
      <c r="J166" s="15">
        <f>'[02_Bank.xlsx]Post'!J169</f>
        <v>0.0</v>
      </c>
      <c r="K166" s="15">
        <f>'[02_Bank.xlsx]Post'!K169</f>
        <v>0.0</v>
      </c>
    </row>
    <row r="167" spans="9:11">
      <c r="I167" s="15">
        <f>'[02_Bank.xlsx]Post'!I170</f>
        <v>0.0</v>
      </c>
      <c r="J167" s="15">
        <f>'[02_Bank.xlsx]Post'!J170</f>
        <v>0.0</v>
      </c>
      <c r="K167" s="15">
        <f>'[02_Bank.xlsx]Post'!K170</f>
        <v>0.0</v>
      </c>
    </row>
    <row r="168" spans="9:11">
      <c r="I168" s="15">
        <f>'[02_Bank.xlsx]Post'!I171</f>
        <v>0.0</v>
      </c>
      <c r="J168" s="15">
        <f>'[02_Bank.xlsx]Post'!J171</f>
        <v>0.0</v>
      </c>
      <c r="K168" s="15">
        <f>'[02_Bank.xlsx]Post'!K171</f>
        <v>0.0</v>
      </c>
    </row>
    <row r="169" spans="9:11">
      <c r="I169" s="15">
        <f>'[02_Bank.xlsx]Post'!I172</f>
        <v>0.0</v>
      </c>
      <c r="J169" s="15">
        <f>'[02_Bank.xlsx]Post'!J172</f>
        <v>0.0</v>
      </c>
      <c r="K169" s="15">
        <f>'[02_Bank.xlsx]Post'!K172</f>
        <v>0.0</v>
      </c>
    </row>
    <row r="170" spans="9:11">
      <c r="I170" s="15">
        <f>'[02_Bank.xlsx]Post'!I173</f>
        <v>0.0</v>
      </c>
      <c r="J170" s="15">
        <f>'[02_Bank.xlsx]Post'!J173</f>
        <v>0.0</v>
      </c>
      <c r="K170" s="15">
        <f>'[02_Bank.xlsx]Post'!K173</f>
        <v>0.0</v>
      </c>
    </row>
    <row r="171" spans="9:11">
      <c r="I171" s="15">
        <f>'[02_Bank.xlsx]Post'!I174</f>
        <v>0.0</v>
      </c>
      <c r="J171" s="15">
        <f>'[02_Bank.xlsx]Post'!J174</f>
        <v>0.0</v>
      </c>
      <c r="K171" s="15">
        <f>'[02_Bank.xlsx]Post'!K174</f>
        <v>0.0</v>
      </c>
    </row>
    <row r="172" spans="9:11">
      <c r="I172" s="15">
        <f>'[02_Bank.xlsx]Post'!I175</f>
        <v>0.0</v>
      </c>
      <c r="J172" s="15">
        <f>'[02_Bank.xlsx]Post'!J175</f>
        <v>0.0</v>
      </c>
      <c r="K172" s="15">
        <f>'[02_Bank.xlsx]Post'!K175</f>
        <v>0.0</v>
      </c>
    </row>
    <row r="173" spans="9:11">
      <c r="I173" s="15">
        <f>'[02_Bank.xlsx]Post'!I176</f>
        <v>0.0</v>
      </c>
      <c r="J173" s="15">
        <f>'[02_Bank.xlsx]Post'!J176</f>
        <v>0.0</v>
      </c>
      <c r="K173" s="15">
        <f>'[02_Bank.xlsx]Post'!K176</f>
        <v>0.0</v>
      </c>
    </row>
    <row r="174" spans="9:11">
      <c r="I174" s="15">
        <f>'[02_Bank.xlsx]Post'!I177</f>
        <v>0.0</v>
      </c>
      <c r="J174" s="15">
        <f>'[02_Bank.xlsx]Post'!J177</f>
        <v>0.0</v>
      </c>
      <c r="K174" s="15">
        <f>'[02_Bank.xlsx]Post'!K177</f>
        <v>0.0</v>
      </c>
    </row>
    <row r="175" spans="9:11">
      <c r="I175" s="15">
        <f>'[02_Bank.xlsx]Post'!I178</f>
        <v>0.0</v>
      </c>
      <c r="J175" s="15">
        <f>'[02_Bank.xlsx]Post'!J178</f>
        <v>0.0</v>
      </c>
      <c r="K175" s="15">
        <f>'[02_Bank.xlsx]Post'!K178</f>
        <v>0.0</v>
      </c>
    </row>
    <row r="176" spans="9:11">
      <c r="I176" s="15">
        <f>'[02_Bank.xlsx]Post'!I179</f>
        <v>0.0</v>
      </c>
      <c r="J176" s="15">
        <f>'[02_Bank.xlsx]Post'!J179</f>
        <v>0.0</v>
      </c>
      <c r="K176" s="15">
        <f>'[02_Bank.xlsx]Post'!K179</f>
        <v>0.0</v>
      </c>
    </row>
    <row r="177" spans="9:11">
      <c r="I177" s="15">
        <f>'[02_Bank.xlsx]Post'!I180</f>
        <v>0.0</v>
      </c>
      <c r="J177" s="15">
        <f>'[02_Bank.xlsx]Post'!J180</f>
        <v>0.0</v>
      </c>
      <c r="K177" s="15">
        <f>'[02_Bank.xlsx]Post'!K180</f>
        <v>0.0</v>
      </c>
    </row>
    <row r="178" spans="9:11">
      <c r="I178" s="15">
        <f>'[02_Bank.xlsx]Post'!I181</f>
        <v>0.0</v>
      </c>
      <c r="J178" s="15">
        <f>'[02_Bank.xlsx]Post'!J181</f>
        <v>0.0</v>
      </c>
      <c r="K178" s="15">
        <f>'[02_Bank.xlsx]Post'!K181</f>
        <v>0.0</v>
      </c>
    </row>
    <row r="179" spans="9:11">
      <c r="I179" s="15">
        <f>'[02_Bank.xlsx]Post'!I182</f>
        <v>0.0</v>
      </c>
      <c r="J179" s="15">
        <f>'[02_Bank.xlsx]Post'!J182</f>
        <v>0.0</v>
      </c>
      <c r="K179" s="15">
        <f>'[02_Bank.xlsx]Post'!K182</f>
        <v>0.0</v>
      </c>
    </row>
    <row r="180" spans="9:11">
      <c r="I180" s="15">
        <f>'[02_Bank.xlsx]Post'!I183</f>
        <v>0.0</v>
      </c>
      <c r="J180" s="15">
        <f>'[02_Bank.xlsx]Post'!J183</f>
        <v>0.0</v>
      </c>
      <c r="K180" s="15">
        <f>'[02_Bank.xlsx]Post'!K183</f>
        <v>0.0</v>
      </c>
    </row>
    <row r="181" spans="9:11">
      <c r="I181" s="15">
        <f>'[02_Bank.xlsx]Post'!I184</f>
        <v>0.0</v>
      </c>
      <c r="J181" s="15">
        <f>'[02_Bank.xlsx]Post'!J184</f>
        <v>0.0</v>
      </c>
      <c r="K181" s="15">
        <f>'[02_Bank.xlsx]Post'!K184</f>
        <v>0.0</v>
      </c>
    </row>
    <row r="182" spans="9:11">
      <c r="I182" s="15">
        <f>'[02_Bank.xlsx]Post'!I185</f>
        <v>0.0</v>
      </c>
      <c r="J182" s="15">
        <f>'[02_Bank.xlsx]Post'!J185</f>
        <v>0.0</v>
      </c>
      <c r="K182" s="15">
        <f>'[02_Bank.xlsx]Post'!K185</f>
        <v>0.0</v>
      </c>
    </row>
    <row r="183" spans="9:11">
      <c r="I183" s="15">
        <f>'[02_Bank.xlsx]Post'!I186</f>
        <v>0.0</v>
      </c>
      <c r="J183" s="15">
        <f>'[02_Bank.xlsx]Post'!J186</f>
        <v>0.0</v>
      </c>
      <c r="K183" s="15">
        <f>'[02_Bank.xlsx]Post'!K186</f>
        <v>0.0</v>
      </c>
    </row>
    <row r="184" spans="9:11">
      <c r="I184" s="15">
        <f>'[02_Bank.xlsx]Post'!I187</f>
        <v>0.0</v>
      </c>
      <c r="J184" s="15">
        <f>'[02_Bank.xlsx]Post'!J187</f>
        <v>0.0</v>
      </c>
      <c r="K184" s="15">
        <f>'[02_Bank.xlsx]Post'!K187</f>
        <v>0.0</v>
      </c>
    </row>
    <row r="185" spans="9:11">
      <c r="I185" s="15">
        <f>'[02_Bank.xlsx]Post'!I188</f>
        <v>0.0</v>
      </c>
      <c r="J185" s="15">
        <f>'[02_Bank.xlsx]Post'!J188</f>
        <v>0.0</v>
      </c>
      <c r="K185" s="15">
        <f>'[02_Bank.xlsx]Post'!K188</f>
        <v>0.0</v>
      </c>
    </row>
    <row r="186" spans="9:11">
      <c r="I186" s="15">
        <f>'[02_Bank.xlsx]Post'!I189</f>
        <v>0.0</v>
      </c>
      <c r="J186" s="15">
        <f>'[02_Bank.xlsx]Post'!J189</f>
        <v>0.0</v>
      </c>
      <c r="K186" s="15">
        <f>'[02_Bank.xlsx]Post'!K189</f>
        <v>0.0</v>
      </c>
    </row>
    <row r="187" spans="9:11">
      <c r="I187" s="15">
        <f>'[02_Bank.xlsx]Post'!I190</f>
        <v>0.0</v>
      </c>
      <c r="J187" s="15">
        <f>'[02_Bank.xlsx]Post'!J190</f>
        <v>0.0</v>
      </c>
      <c r="K187" s="15">
        <f>'[02_Bank.xlsx]Post'!K190</f>
        <v>0.0</v>
      </c>
    </row>
    <row r="188" spans="9:11">
      <c r="I188" s="15">
        <f>'[02_Bank.xlsx]Post'!I191</f>
        <v>0.0</v>
      </c>
      <c r="J188" s="15">
        <f>'[02_Bank.xlsx]Post'!J191</f>
        <v>0.0</v>
      </c>
      <c r="K188" s="15">
        <f>'[02_Bank.xlsx]Post'!K191</f>
        <v>0.0</v>
      </c>
    </row>
    <row r="189" spans="9:11">
      <c r="I189" s="15">
        <f>'[02_Bank.xlsx]Post'!I192</f>
        <v>0.0</v>
      </c>
      <c r="J189" s="15">
        <f>'[02_Bank.xlsx]Post'!J192</f>
        <v>0.0</v>
      </c>
      <c r="K189" s="15">
        <f>'[02_Bank.xlsx]Post'!K192</f>
        <v>0.0</v>
      </c>
    </row>
    <row r="190" spans="9:11">
      <c r="I190" s="15">
        <f>'[02_Bank.xlsx]Post'!I193</f>
        <v>0.0</v>
      </c>
      <c r="J190" s="15">
        <f>'[02_Bank.xlsx]Post'!J193</f>
        <v>0.0</v>
      </c>
      <c r="K190" s="15">
        <f>'[02_Bank.xlsx]Post'!K193</f>
        <v>0.0</v>
      </c>
    </row>
    <row r="191" spans="9:11">
      <c r="I191" s="15">
        <f>'[02_Bank.xlsx]Post'!I194</f>
        <v>0.0</v>
      </c>
      <c r="J191" s="15">
        <f>'[02_Bank.xlsx]Post'!J194</f>
        <v>0.0</v>
      </c>
      <c r="K191" s="15">
        <f>'[02_Bank.xlsx]Post'!K194</f>
        <v>0.0</v>
      </c>
    </row>
    <row r="192" spans="9:11">
      <c r="I192" s="15">
        <f>'[02_Bank.xlsx]Post'!I195</f>
        <v>0.0</v>
      </c>
      <c r="J192" s="15">
        <f>'[02_Bank.xlsx]Post'!J195</f>
        <v>0.0</v>
      </c>
      <c r="K192" s="15">
        <f>'[02_Bank.xlsx]Post'!K195</f>
        <v>0.0</v>
      </c>
    </row>
    <row r="193" spans="9:11">
      <c r="I193" s="15">
        <f>'[02_Bank.xlsx]Post'!I196</f>
        <v>0.0</v>
      </c>
      <c r="J193" s="15">
        <f>'[02_Bank.xlsx]Post'!J196</f>
        <v>0.0</v>
      </c>
      <c r="K193" s="15">
        <f>'[02_Bank.xlsx]Post'!K196</f>
        <v>0.0</v>
      </c>
    </row>
    <row r="194" spans="9:11">
      <c r="I194" s="15">
        <f>'[02_Bank.xlsx]Post'!I197</f>
        <v>0.0</v>
      </c>
      <c r="J194" s="15">
        <f>'[02_Bank.xlsx]Post'!J197</f>
        <v>0.0</v>
      </c>
      <c r="K194" s="15">
        <f>'[02_Bank.xlsx]Post'!K197</f>
        <v>0.0</v>
      </c>
    </row>
    <row r="195" spans="9:11">
      <c r="I195" s="15">
        <f>'[02_Bank.xlsx]Post'!I198</f>
        <v>0.0</v>
      </c>
      <c r="J195" s="15">
        <f>'[02_Bank.xlsx]Post'!J198</f>
        <v>0.0</v>
      </c>
      <c r="K195" s="15">
        <f>'[02_Bank.xlsx]Post'!K198</f>
        <v>0.0</v>
      </c>
    </row>
    <row r="196" spans="9:11">
      <c r="I196" s="15">
        <f>'[02_Bank.xlsx]Post'!I199</f>
        <v>0.0</v>
      </c>
      <c r="J196" s="15">
        <f>'[02_Bank.xlsx]Post'!J199</f>
        <v>0.0</v>
      </c>
      <c r="K196" s="15">
        <f>'[02_Bank.xlsx]Post'!K199</f>
        <v>0.0</v>
      </c>
    </row>
    <row r="197" spans="9:11">
      <c r="I197" s="15">
        <f>'[02_Bank.xlsx]Post'!I200</f>
        <v>0.0</v>
      </c>
      <c r="J197" s="15">
        <f>'[02_Bank.xlsx]Post'!J200</f>
        <v>0.0</v>
      </c>
      <c r="K197" s="15">
        <f>'[02_Bank.xlsx]Post'!K200</f>
        <v>0.0</v>
      </c>
    </row>
    <row r="198" spans="9:11">
      <c r="I198" s="15">
        <f>'[02_Bank.xlsx]Post'!I201</f>
        <v>0.0</v>
      </c>
      <c r="J198" s="15">
        <f>'[02_Bank.xlsx]Post'!J201</f>
        <v>0.0</v>
      </c>
      <c r="K198" s="15">
        <f>'[02_Bank.xlsx]Post'!K201</f>
        <v>0.0</v>
      </c>
    </row>
    <row r="199" spans="9:11">
      <c r="I199" s="15">
        <f>'[02_Bank.xlsx]Post'!I202</f>
        <v>0.0</v>
      </c>
      <c r="J199" s="15">
        <f>'[02_Bank.xlsx]Post'!J202</f>
        <v>0.0</v>
      </c>
      <c r="K199" s="15">
        <f>'[02_Bank.xlsx]Post'!K202</f>
        <v>0.0</v>
      </c>
    </row>
    <row r="200" spans="9:11">
      <c r="I200" s="15">
        <f>'[02_Bank.xlsx]Post'!I203</f>
        <v>0.0</v>
      </c>
      <c r="J200" s="15">
        <f>'[02_Bank.xlsx]Post'!J203</f>
        <v>0.0</v>
      </c>
      <c r="K200" s="15">
        <f>'[02_Bank.xlsx]Post'!K203</f>
        <v>0.0</v>
      </c>
    </row>
    <row r="201" spans="9:11">
      <c r="I201" s="15">
        <f>'[02_Bank.xlsx]Post'!I204</f>
        <v>0.0</v>
      </c>
      <c r="J201" s="15">
        <f>'[02_Bank.xlsx]Post'!J204</f>
        <v>0.0</v>
      </c>
      <c r="K201" s="15">
        <f>'[02_Bank.xlsx]Post'!K204</f>
        <v>0.0</v>
      </c>
    </row>
    <row r="202" spans="9:11">
      <c r="I202" s="15">
        <f>'[02_Bank.xlsx]Post'!I205</f>
        <v>0.0</v>
      </c>
      <c r="J202" s="15">
        <f>'[02_Bank.xlsx]Post'!J205</f>
        <v>0.0</v>
      </c>
      <c r="K202" s="15">
        <f>'[02_Bank.xlsx]Post'!K205</f>
        <v>0.0</v>
      </c>
    </row>
    <row r="203" spans="9:11">
      <c r="I203" s="15">
        <f>'[02_Bank.xlsx]Post'!I206</f>
        <v>0.0</v>
      </c>
      <c r="J203" s="15">
        <f>'[02_Bank.xlsx]Post'!J206</f>
        <v>0.0</v>
      </c>
      <c r="K203" s="15">
        <f>'[02_Bank.xlsx]Post'!K206</f>
        <v>0.0</v>
      </c>
    </row>
    <row r="204" spans="9:11">
      <c r="I204" s="15">
        <f>'[02_Bank.xlsx]Post'!I207</f>
        <v>0.0</v>
      </c>
      <c r="J204" s="15">
        <f>'[02_Bank.xlsx]Post'!J207</f>
        <v>0.0</v>
      </c>
      <c r="K204" s="15">
        <f>'[02_Bank.xlsx]Post'!K207</f>
        <v>0.0</v>
      </c>
    </row>
    <row r="205" spans="9:11">
      <c r="I205" s="15">
        <f>'[02_Bank.xlsx]Post'!I208</f>
        <v>0.0</v>
      </c>
      <c r="J205" s="15">
        <f>'[02_Bank.xlsx]Post'!J208</f>
        <v>0.0</v>
      </c>
      <c r="K205" s="15">
        <f>'[02_Bank.xlsx]Post'!K208</f>
        <v>0.0</v>
      </c>
    </row>
    <row r="206" spans="9:11">
      <c r="I206" s="15">
        <f>'[02_Bank.xlsx]Post'!I209</f>
        <v>0.0</v>
      </c>
      <c r="J206" s="15">
        <f>'[02_Bank.xlsx]Post'!J209</f>
        <v>0.0</v>
      </c>
      <c r="K206" s="15">
        <f>'[02_Bank.xlsx]Post'!K209</f>
        <v>0.0</v>
      </c>
    </row>
    <row r="207" spans="9:11">
      <c r="I207" s="15">
        <f>'[02_Bank.xlsx]Post'!I210</f>
        <v>0.0</v>
      </c>
      <c r="J207" s="15">
        <f>'[02_Bank.xlsx]Post'!J210</f>
        <v>0.0</v>
      </c>
      <c r="K207" s="15">
        <f>'[02_Bank.xlsx]Post'!K210</f>
        <v>0.0</v>
      </c>
    </row>
    <row r="208" spans="9:11">
      <c r="I208" s="15">
        <f>'[02_Bank.xlsx]Post'!I211</f>
        <v>0.0</v>
      </c>
      <c r="J208" s="15">
        <f>'[02_Bank.xlsx]Post'!J211</f>
        <v>0.0</v>
      </c>
      <c r="K208" s="15">
        <f>'[02_Bank.xlsx]Post'!K211</f>
        <v>0.0</v>
      </c>
    </row>
    <row r="209" spans="9:11">
      <c r="I209" s="15">
        <f>'[02_Bank.xlsx]Post'!I212</f>
        <v>0.0</v>
      </c>
      <c r="J209" s="15">
        <f>'[02_Bank.xlsx]Post'!J212</f>
        <v>0.0</v>
      </c>
      <c r="K209" s="15">
        <f>'[02_Bank.xlsx]Post'!K212</f>
        <v>0.0</v>
      </c>
    </row>
    <row r="210" spans="9:11">
      <c r="I210" s="15">
        <f>'[02_Bank.xlsx]Post'!I213</f>
        <v>0.0</v>
      </c>
      <c r="J210" s="15">
        <f>'[02_Bank.xlsx]Post'!J213</f>
        <v>0.0</v>
      </c>
      <c r="K210" s="15">
        <f>'[02_Bank.xlsx]Post'!K213</f>
        <v>0.0</v>
      </c>
    </row>
    <row r="211" spans="9:11">
      <c r="I211" s="15">
        <f>'[02_Bank.xlsx]Post'!I214</f>
        <v>0.0</v>
      </c>
      <c r="J211" s="15">
        <f>'[02_Bank.xlsx]Post'!J214</f>
        <v>0.0</v>
      </c>
      <c r="K211" s="15">
        <f>'[02_Bank.xlsx]Post'!K214</f>
        <v>0.0</v>
      </c>
    </row>
    <row r="212" spans="9:11">
      <c r="I212" s="15">
        <f>'[02_Bank.xlsx]Post'!I215</f>
        <v>0.0</v>
      </c>
      <c r="J212" s="15">
        <f>'[02_Bank.xlsx]Post'!J215</f>
        <v>0.0</v>
      </c>
      <c r="K212" s="15">
        <f>'[02_Bank.xlsx]Post'!K215</f>
        <v>0.0</v>
      </c>
    </row>
    <row r="213" spans="9:11">
      <c r="I213" s="15">
        <f>'[02_Bank.xlsx]Post'!I216</f>
        <v>0.0</v>
      </c>
      <c r="J213" s="15">
        <f>'[02_Bank.xlsx]Post'!J216</f>
        <v>0.0</v>
      </c>
      <c r="K213" s="15">
        <f>'[02_Bank.xlsx]Post'!K216</f>
        <v>0.0</v>
      </c>
    </row>
    <row r="214" spans="9:11">
      <c r="I214" s="15">
        <f>'[02_Bank.xlsx]Post'!I217</f>
        <v>0.0</v>
      </c>
      <c r="J214" s="15">
        <f>'[02_Bank.xlsx]Post'!J217</f>
        <v>0.0</v>
      </c>
      <c r="K214" s="15">
        <f>'[02_Bank.xlsx]Post'!K217</f>
        <v>0.0</v>
      </c>
    </row>
    <row r="215" spans="9:11">
      <c r="I215" s="15">
        <f>'[02_Bank.xlsx]Post'!I218</f>
        <v>0.0</v>
      </c>
      <c r="J215" s="15">
        <f>'[02_Bank.xlsx]Post'!J218</f>
        <v>0.0</v>
      </c>
      <c r="K215" s="15">
        <f>'[02_Bank.xlsx]Post'!K218</f>
        <v>0.0</v>
      </c>
    </row>
    <row r="216" spans="9:11">
      <c r="I216" s="15">
        <f>'[02_Bank.xlsx]Post'!I219</f>
        <v>0.0</v>
      </c>
      <c r="J216" s="15">
        <f>'[02_Bank.xlsx]Post'!J219</f>
        <v>0.0</v>
      </c>
      <c r="K216" s="15">
        <f>'[02_Bank.xlsx]Post'!K219</f>
        <v>0.0</v>
      </c>
    </row>
    <row r="217" spans="9:11">
      <c r="I217" s="15">
        <f>'[02_Bank.xlsx]Post'!I220</f>
        <v>0.0</v>
      </c>
      <c r="J217" s="15">
        <f>'[02_Bank.xlsx]Post'!J220</f>
        <v>0.0</v>
      </c>
      <c r="K217" s="15">
        <f>'[02_Bank.xlsx]Post'!K220</f>
        <v>0.0</v>
      </c>
    </row>
    <row r="218" spans="9:11">
      <c r="I218" s="15">
        <f>'[02_Bank.xlsx]Post'!I221</f>
        <v>0.0</v>
      </c>
      <c r="J218" s="15">
        <f>'[02_Bank.xlsx]Post'!J221</f>
        <v>0.0</v>
      </c>
      <c r="K218" s="15">
        <f>'[02_Bank.xlsx]Post'!K221</f>
        <v>0.0</v>
      </c>
    </row>
    <row r="219" spans="9:11">
      <c r="I219" s="15">
        <f>'[02_Bank.xlsx]Post'!I222</f>
        <v>0.0</v>
      </c>
      <c r="J219" s="15">
        <f>'[02_Bank.xlsx]Post'!J222</f>
        <v>0.0</v>
      </c>
      <c r="K219" s="15">
        <f>'[02_Bank.xlsx]Post'!K222</f>
        <v>0.0</v>
      </c>
    </row>
    <row r="220" spans="9:11">
      <c r="I220" s="15">
        <f>'[02_Bank.xlsx]Post'!I223</f>
        <v>0.0</v>
      </c>
      <c r="J220" s="15">
        <f>'[02_Bank.xlsx]Post'!J223</f>
        <v>0.0</v>
      </c>
      <c r="K220" s="15">
        <f>'[02_Bank.xlsx]Post'!K223</f>
        <v>0.0</v>
      </c>
    </row>
    <row r="221" spans="9:11">
      <c r="I221" s="15">
        <f>'[02_Bank.xlsx]Post'!I224</f>
        <v>0.0</v>
      </c>
      <c r="J221" s="15">
        <f>'[02_Bank.xlsx]Post'!J224</f>
        <v>0.0</v>
      </c>
      <c r="K221" s="15">
        <f>'[02_Bank.xlsx]Post'!K224</f>
        <v>0.0</v>
      </c>
    </row>
    <row r="222" spans="9:11">
      <c r="I222" s="15">
        <f>'[02_Bank.xlsx]Post'!I225</f>
        <v>0.0</v>
      </c>
      <c r="J222" s="15">
        <f>'[02_Bank.xlsx]Post'!J225</f>
        <v>0.0</v>
      </c>
      <c r="K222" s="15">
        <f>'[02_Bank.xlsx]Post'!K225</f>
        <v>0.0</v>
      </c>
    </row>
    <row r="223" spans="9:11">
      <c r="I223" s="15">
        <f>'[02_Bank.xlsx]Post'!I226</f>
        <v>0.0</v>
      </c>
      <c r="J223" s="15">
        <f>'[02_Bank.xlsx]Post'!J226</f>
        <v>0.0</v>
      </c>
      <c r="K223" s="15">
        <f>'[02_Bank.xlsx]Post'!K226</f>
        <v>0.0</v>
      </c>
    </row>
    <row r="224" spans="9:11">
      <c r="I224" s="15">
        <f>'[02_Bank.xlsx]Post'!I227</f>
        <v>0.0</v>
      </c>
      <c r="J224" s="15">
        <f>'[02_Bank.xlsx]Post'!J227</f>
        <v>0.0</v>
      </c>
      <c r="K224" s="15">
        <f>'[02_Bank.xlsx]Post'!K227</f>
        <v>0.0</v>
      </c>
    </row>
    <row r="225" spans="9:11">
      <c r="I225" s="15">
        <f>'[02_Bank.xlsx]Post'!I228</f>
        <v>0.0</v>
      </c>
      <c r="J225" s="15">
        <f>'[02_Bank.xlsx]Post'!J228</f>
        <v>0.0</v>
      </c>
      <c r="K225" s="15">
        <f>'[02_Bank.xlsx]Post'!K228</f>
        <v>0.0</v>
      </c>
    </row>
    <row r="226" spans="9:11">
      <c r="I226" s="15">
        <f>'[02_Bank.xlsx]Post'!I229</f>
        <v>0.0</v>
      </c>
      <c r="J226" s="15">
        <f>'[02_Bank.xlsx]Post'!J229</f>
        <v>0.0</v>
      </c>
      <c r="K226" s="15">
        <f>'[02_Bank.xlsx]Post'!K229</f>
        <v>0.0</v>
      </c>
    </row>
    <row r="227" spans="9:11">
      <c r="I227" s="15">
        <f>'[02_Bank.xlsx]Post'!I230</f>
        <v>0.0</v>
      </c>
      <c r="J227" s="15">
        <f>'[02_Bank.xlsx]Post'!J230</f>
        <v>0.0</v>
      </c>
      <c r="K227" s="15">
        <f>'[02_Bank.xlsx]Post'!K230</f>
        <v>0.0</v>
      </c>
    </row>
    <row r="228" spans="9:11">
      <c r="I228" s="15">
        <f>'[02_Bank.xlsx]Post'!I231</f>
        <v>0.0</v>
      </c>
      <c r="J228" s="15">
        <f>'[02_Bank.xlsx]Post'!J231</f>
        <v>0.0</v>
      </c>
      <c r="K228" s="15">
        <f>'[02_Bank.xlsx]Post'!K231</f>
        <v>0.0</v>
      </c>
    </row>
    <row r="229" spans="9:11">
      <c r="I229" s="15">
        <f>'[02_Bank.xlsx]Post'!I232</f>
        <v>0.0</v>
      </c>
      <c r="J229" s="15">
        <f>'[02_Bank.xlsx]Post'!J232</f>
        <v>0.0</v>
      </c>
      <c r="K229" s="15">
        <f>'[02_Bank.xlsx]Post'!K232</f>
        <v>0.0</v>
      </c>
    </row>
    <row r="230" spans="9:11">
      <c r="I230" s="15">
        <f>'[02_Bank.xlsx]Post'!I233</f>
        <v>0.0</v>
      </c>
      <c r="J230" s="15">
        <f>'[02_Bank.xlsx]Post'!J233</f>
        <v>0.0</v>
      </c>
      <c r="K230" s="15">
        <f>'[02_Bank.xlsx]Post'!K233</f>
        <v>0.0</v>
      </c>
    </row>
    <row r="231" spans="9:11">
      <c r="I231" s="15">
        <f>'[02_Bank.xlsx]Post'!I234</f>
        <v>0.0</v>
      </c>
      <c r="J231" s="15">
        <f>'[02_Bank.xlsx]Post'!J234</f>
        <v>0.0</v>
      </c>
      <c r="K231" s="15">
        <f>'[02_Bank.xlsx]Post'!K234</f>
        <v>0.0</v>
      </c>
    </row>
    <row r="232" spans="9:11">
      <c r="I232" s="15">
        <f>'[02_Bank.xlsx]Post'!I235</f>
        <v>0.0</v>
      </c>
      <c r="J232" s="15">
        <f>'[02_Bank.xlsx]Post'!J235</f>
        <v>0.0</v>
      </c>
      <c r="K232" s="15">
        <f>'[02_Bank.xlsx]Post'!K235</f>
        <v>0.0</v>
      </c>
    </row>
    <row r="233" spans="9:11">
      <c r="I233" s="15">
        <f>'[02_Bank.xlsx]Post'!I236</f>
        <v>0.0</v>
      </c>
      <c r="J233" s="15">
        <f>'[02_Bank.xlsx]Post'!J236</f>
        <v>0.0</v>
      </c>
      <c r="K233" s="15">
        <f>'[02_Bank.xlsx]Post'!K236</f>
        <v>0.0</v>
      </c>
    </row>
    <row r="234" spans="9:11">
      <c r="I234" s="15">
        <f>'[02_Bank.xlsx]Post'!I237</f>
        <v>0.0</v>
      </c>
      <c r="J234" s="15">
        <f>'[02_Bank.xlsx]Post'!J237</f>
        <v>0.0</v>
      </c>
      <c r="K234" s="15">
        <f>'[02_Bank.xlsx]Post'!K237</f>
        <v>0.0</v>
      </c>
    </row>
    <row r="235" spans="9:11">
      <c r="I235" s="15">
        <f>'[02_Bank.xlsx]Post'!I238</f>
        <v>0.0</v>
      </c>
      <c r="J235" s="15">
        <f>'[02_Bank.xlsx]Post'!J238</f>
        <v>0.0</v>
      </c>
      <c r="K235" s="15">
        <f>'[02_Bank.xlsx]Post'!K238</f>
        <v>0.0</v>
      </c>
    </row>
    <row r="236" spans="9:11">
      <c r="I236" s="15">
        <f>'[02_Bank.xlsx]Post'!I239</f>
        <v>0.0</v>
      </c>
      <c r="J236" s="15">
        <f>'[02_Bank.xlsx]Post'!J239</f>
        <v>0.0</v>
      </c>
      <c r="K236" s="15">
        <f>'[02_Bank.xlsx]Post'!K239</f>
        <v>0.0</v>
      </c>
    </row>
    <row r="237" spans="9:11">
      <c r="I237" s="15">
        <f>'[02_Bank.xlsx]Post'!I240</f>
        <v>0.0</v>
      </c>
      <c r="J237" s="15">
        <f>'[02_Bank.xlsx]Post'!J240</f>
        <v>0.0</v>
      </c>
      <c r="K237" s="15">
        <f>'[02_Bank.xlsx]Post'!K240</f>
        <v>0.0</v>
      </c>
    </row>
    <row r="238" spans="9:11">
      <c r="I238" s="15">
        <f>'[02_Bank.xlsx]Post'!I241</f>
        <v>0.0</v>
      </c>
      <c r="J238" s="15">
        <f>'[02_Bank.xlsx]Post'!J241</f>
        <v>0.0</v>
      </c>
      <c r="K238" s="15">
        <f>'[02_Bank.xlsx]Post'!K241</f>
        <v>0.0</v>
      </c>
    </row>
    <row r="239" spans="9:11">
      <c r="I239" s="15">
        <f>'[02_Bank.xlsx]Post'!I242</f>
        <v>0.0</v>
      </c>
      <c r="J239" s="15">
        <f>'[02_Bank.xlsx]Post'!J242</f>
        <v>0.0</v>
      </c>
      <c r="K239" s="15">
        <f>'[02_Bank.xlsx]Post'!K242</f>
        <v>0.0</v>
      </c>
    </row>
    <row r="240" spans="9:11">
      <c r="I240" s="15">
        <f>'[02_Bank.xlsx]Post'!I243</f>
        <v>0.0</v>
      </c>
      <c r="J240" s="15">
        <f>'[02_Bank.xlsx]Post'!J243</f>
        <v>0.0</v>
      </c>
      <c r="K240" s="15">
        <f>'[02_Bank.xlsx]Post'!K243</f>
        <v>0.0</v>
      </c>
    </row>
    <row r="241" spans="9:11">
      <c r="I241" s="15">
        <f>'[02_Bank.xlsx]Post'!I244</f>
        <v>0.0</v>
      </c>
      <c r="J241" s="15">
        <f>'[02_Bank.xlsx]Post'!J244</f>
        <v>0.0</v>
      </c>
      <c r="K241" s="15">
        <f>'[02_Bank.xlsx]Post'!K244</f>
        <v>0.0</v>
      </c>
    </row>
    <row r="242" spans="9:11">
      <c r="I242" s="15">
        <f>'[02_Bank.xlsx]Post'!I245</f>
        <v>0.0</v>
      </c>
      <c r="J242" s="15">
        <f>'[02_Bank.xlsx]Post'!J245</f>
        <v>0.0</v>
      </c>
      <c r="K242" s="15">
        <f>'[02_Bank.xlsx]Post'!K245</f>
        <v>0.0</v>
      </c>
    </row>
    <row r="243" spans="9:11">
      <c r="I243" s="15">
        <f>'[02_Bank.xlsx]Post'!I246</f>
        <v>0.0</v>
      </c>
      <c r="J243" s="15">
        <f>'[02_Bank.xlsx]Post'!J246</f>
        <v>0.0</v>
      </c>
      <c r="K243" s="15">
        <f>'[02_Bank.xlsx]Post'!K246</f>
        <v>0.0</v>
      </c>
    </row>
    <row r="244" spans="9:11">
      <c r="I244" s="15">
        <f>'[02_Bank.xlsx]Post'!I247</f>
        <v>0.0</v>
      </c>
      <c r="J244" s="15">
        <f>'[02_Bank.xlsx]Post'!J247</f>
        <v>0.0</v>
      </c>
      <c r="K244" s="15">
        <f>'[02_Bank.xlsx]Post'!K247</f>
        <v>0.0</v>
      </c>
    </row>
    <row r="245" spans="9:11">
      <c r="I245" s="15">
        <f>'[02_Bank.xlsx]Post'!I248</f>
        <v>0.0</v>
      </c>
      <c r="J245" s="15">
        <f>'[02_Bank.xlsx]Post'!J248</f>
        <v>0.0</v>
      </c>
      <c r="K245" s="15">
        <f>'[02_Bank.xlsx]Post'!K248</f>
        <v>0.0</v>
      </c>
    </row>
    <row r="246" spans="9:11">
      <c r="I246" s="15">
        <f>'[02_Bank.xlsx]Post'!I249</f>
        <v>0.0</v>
      </c>
      <c r="J246" s="15">
        <f>'[02_Bank.xlsx]Post'!J249</f>
        <v>0.0</v>
      </c>
      <c r="K246" s="15">
        <f>'[02_Bank.xlsx]Post'!K249</f>
        <v>0.0</v>
      </c>
    </row>
    <row r="247" spans="9:11">
      <c r="I247" s="15">
        <f>'[02_Bank.xlsx]Post'!I250</f>
        <v>0.0</v>
      </c>
      <c r="J247" s="15">
        <f>'[02_Bank.xlsx]Post'!J250</f>
        <v>0.0</v>
      </c>
      <c r="K247" s="15">
        <f>'[02_Bank.xlsx]Post'!K250</f>
        <v>0.0</v>
      </c>
    </row>
    <row r="248" spans="9:11">
      <c r="I248" s="15">
        <f>'[02_Bank.xlsx]Post'!I251</f>
        <v>0.0</v>
      </c>
      <c r="J248" s="15">
        <f>'[02_Bank.xlsx]Post'!J251</f>
        <v>0.0</v>
      </c>
      <c r="K248" s="15">
        <f>'[02_Bank.xlsx]Post'!K251</f>
        <v>0.0</v>
      </c>
    </row>
    <row r="249" spans="9:11">
      <c r="I249" s="15">
        <f>'[02_Bank.xlsx]Post'!I252</f>
        <v>0.0</v>
      </c>
      <c r="J249" s="15">
        <f>'[02_Bank.xlsx]Post'!J252</f>
        <v>0.0</v>
      </c>
      <c r="K249" s="15">
        <f>'[02_Bank.xlsx]Post'!K252</f>
        <v>0.0</v>
      </c>
    </row>
    <row r="250" spans="9:11">
      <c r="I250" s="15">
        <f>'[02_Bank.xlsx]Post'!I253</f>
        <v>0.0</v>
      </c>
      <c r="J250" s="15">
        <f>'[02_Bank.xlsx]Post'!J253</f>
        <v>0.0</v>
      </c>
      <c r="K250" s="15">
        <f>'[02_Bank.xlsx]Post'!K253</f>
        <v>0.0</v>
      </c>
    </row>
    <row r="251" spans="9:11">
      <c r="I251" s="15">
        <f>'[02_Bank.xlsx]Post'!I254</f>
        <v>0.0</v>
      </c>
      <c r="J251" s="15">
        <f>'[02_Bank.xlsx]Post'!J254</f>
        <v>0.0</v>
      </c>
      <c r="K251" s="15">
        <f>'[02_Bank.xlsx]Post'!K254</f>
        <v>0.0</v>
      </c>
    </row>
    <row r="252" spans="9:11">
      <c r="I252" s="15">
        <f>'[02_Bank.xlsx]Post'!I255</f>
        <v>0.0</v>
      </c>
      <c r="J252" s="15">
        <f>'[02_Bank.xlsx]Post'!J255</f>
        <v>0.0</v>
      </c>
      <c r="K252" s="15">
        <f>'[02_Bank.xlsx]Post'!K255</f>
        <v>0.0</v>
      </c>
    </row>
    <row r="253" spans="9:11">
      <c r="I253" s="15">
        <f>'[02_Bank.xlsx]Post'!I256</f>
        <v>0.0</v>
      </c>
      <c r="J253" s="15">
        <f>'[02_Bank.xlsx]Post'!J256</f>
        <v>0.0</v>
      </c>
      <c r="K253" s="15">
        <f>'[02_Bank.xlsx]Post'!K256</f>
        <v>0.0</v>
      </c>
    </row>
    <row r="254" spans="9:11">
      <c r="I254" s="15">
        <f>'[02_Bank.xlsx]Post'!I257</f>
        <v>0.0</v>
      </c>
      <c r="J254" s="15">
        <f>'[02_Bank.xlsx]Post'!J257</f>
        <v>0.0</v>
      </c>
      <c r="K254" s="15">
        <f>'[02_Bank.xlsx]Post'!K257</f>
        <v>0.0</v>
      </c>
    </row>
    <row r="255" spans="9:11">
      <c r="I255" s="15">
        <f>'[02_Bank.xlsx]Post'!I258</f>
        <v>0.0</v>
      </c>
      <c r="J255" s="15">
        <f>'[02_Bank.xlsx]Post'!J258</f>
        <v>0.0</v>
      </c>
      <c r="K255" s="15">
        <f>'[02_Bank.xlsx]Post'!K258</f>
        <v>0.0</v>
      </c>
    </row>
    <row r="256" spans="9:11">
      <c r="I256" s="15">
        <f>'[02_Bank.xlsx]Post'!I259</f>
        <v>0.0</v>
      </c>
      <c r="J256" s="15">
        <f>'[02_Bank.xlsx]Post'!J259</f>
        <v>0.0</v>
      </c>
      <c r="K256" s="15">
        <f>'[02_Bank.xlsx]Post'!K259</f>
        <v>0.0</v>
      </c>
    </row>
    <row r="257" spans="9:11">
      <c r="I257" s="15">
        <f>'[02_Bank.xlsx]Post'!I260</f>
        <v>0.0</v>
      </c>
      <c r="J257" s="15">
        <f>'[02_Bank.xlsx]Post'!J260</f>
        <v>0.0</v>
      </c>
      <c r="K257" s="15">
        <f>'[02_Bank.xlsx]Post'!K260</f>
        <v>0.0</v>
      </c>
    </row>
    <row r="258" spans="9:11">
      <c r="I258" s="15">
        <f>'[02_Bank.xlsx]Post'!I261</f>
        <v>0.0</v>
      </c>
      <c r="J258" s="15">
        <f>'[02_Bank.xlsx]Post'!J261</f>
        <v>0.0</v>
      </c>
      <c r="K258" s="15">
        <f>'[02_Bank.xlsx]Post'!K261</f>
        <v>0.0</v>
      </c>
    </row>
    <row r="259" spans="9:11">
      <c r="I259" s="15">
        <f>'[02_Bank.xlsx]Post'!I262</f>
        <v>0.0</v>
      </c>
      <c r="J259" s="15">
        <f>'[02_Bank.xlsx]Post'!J262</f>
        <v>0.0</v>
      </c>
      <c r="K259" s="15">
        <f>'[02_Bank.xlsx]Post'!K262</f>
        <v>0.0</v>
      </c>
    </row>
    <row r="260" spans="9:11">
      <c r="I260" s="15">
        <f>'[02_Bank.xlsx]Post'!I263</f>
        <v>0.0</v>
      </c>
      <c r="J260" s="15">
        <f>'[02_Bank.xlsx]Post'!J263</f>
        <v>0.0</v>
      </c>
      <c r="K260" s="15">
        <f>'[02_Bank.xlsx]Post'!K263</f>
        <v>0.0</v>
      </c>
    </row>
    <row r="261" spans="9:11">
      <c r="I261" s="15">
        <f>'[02_Bank.xlsx]Post'!I264</f>
        <v>0.0</v>
      </c>
      <c r="J261" s="15">
        <f>'[02_Bank.xlsx]Post'!J264</f>
        <v>0.0</v>
      </c>
      <c r="K261" s="15">
        <f>'[02_Bank.xlsx]Post'!K264</f>
        <v>0.0</v>
      </c>
    </row>
    <row r="262" spans="9:11">
      <c r="I262" s="15">
        <f>'[02_Bank.xlsx]Post'!I265</f>
        <v>0.0</v>
      </c>
      <c r="J262" s="15">
        <f>'[02_Bank.xlsx]Post'!J265</f>
        <v>0.0</v>
      </c>
      <c r="K262" s="15">
        <f>'[02_Bank.xlsx]Post'!K265</f>
        <v>0.0</v>
      </c>
    </row>
    <row r="263" spans="9:11">
      <c r="I263" s="15">
        <f>'[02_Bank.xlsx]Post'!I266</f>
        <v>0.0</v>
      </c>
      <c r="J263" s="15">
        <f>'[02_Bank.xlsx]Post'!J266</f>
        <v>0.0</v>
      </c>
      <c r="K263" s="15">
        <f>'[02_Bank.xlsx]Post'!K266</f>
        <v>0.0</v>
      </c>
    </row>
    <row r="264" spans="9:11">
      <c r="I264" s="15">
        <f>'[02_Bank.xlsx]Post'!I267</f>
        <v>0.0</v>
      </c>
      <c r="J264" s="15">
        <f>'[02_Bank.xlsx]Post'!J267</f>
        <v>0.0</v>
      </c>
      <c r="K264" s="15">
        <f>'[02_Bank.xlsx]Post'!K267</f>
        <v>0.0</v>
      </c>
    </row>
    <row r="265" spans="9:11">
      <c r="I265" s="15">
        <f>'[02_Bank.xlsx]Post'!I268</f>
        <v>0.0</v>
      </c>
      <c r="J265" s="15">
        <f>'[02_Bank.xlsx]Post'!J268</f>
        <v>0.0</v>
      </c>
      <c r="K265" s="15">
        <f>'[02_Bank.xlsx]Post'!K268</f>
        <v>0.0</v>
      </c>
    </row>
    <row r="266" spans="9:11">
      <c r="I266" s="15">
        <f>'[02_Bank.xlsx]Post'!I269</f>
        <v>0.0</v>
      </c>
      <c r="J266" s="15">
        <f>'[02_Bank.xlsx]Post'!J269</f>
        <v>0.0</v>
      </c>
      <c r="K266" s="15">
        <f>'[02_Bank.xlsx]Post'!K269</f>
        <v>0.0</v>
      </c>
    </row>
    <row r="267" spans="9:11">
      <c r="I267" s="15">
        <f>'[02_Bank.xlsx]Post'!I270</f>
        <v>0.0</v>
      </c>
      <c r="J267" s="15">
        <f>'[02_Bank.xlsx]Post'!J270</f>
        <v>0.0</v>
      </c>
      <c r="K267" s="15">
        <f>'[02_Bank.xlsx]Post'!K270</f>
        <v>0.0</v>
      </c>
    </row>
    <row r="268" spans="9:11">
      <c r="I268" s="15">
        <f>'[02_Bank.xlsx]Post'!I271</f>
        <v>0.0</v>
      </c>
      <c r="J268" s="15">
        <f>'[02_Bank.xlsx]Post'!J271</f>
        <v>0.0</v>
      </c>
      <c r="K268" s="15">
        <f>'[02_Bank.xlsx]Post'!K271</f>
        <v>0.0</v>
      </c>
    </row>
    <row r="269" spans="9:11">
      <c r="I269" s="15">
        <f>'[02_Bank.xlsx]Post'!I272</f>
        <v>0.0</v>
      </c>
      <c r="J269" s="15">
        <f>'[02_Bank.xlsx]Post'!J272</f>
        <v>0.0</v>
      </c>
      <c r="K269" s="15">
        <f>'[02_Bank.xlsx]Post'!K272</f>
        <v>0.0</v>
      </c>
    </row>
    <row r="270" spans="9:11">
      <c r="I270" s="15">
        <f>'[02_Bank.xlsx]Post'!I273</f>
        <v>0.0</v>
      </c>
      <c r="J270" s="15">
        <f>'[02_Bank.xlsx]Post'!J273</f>
        <v>0.0</v>
      </c>
      <c r="K270" s="15">
        <f>'[02_Bank.xlsx]Post'!K273</f>
        <v>0.0</v>
      </c>
    </row>
    <row r="271" spans="9:11">
      <c r="I271" s="15">
        <f>'[02_Bank.xlsx]Post'!I274</f>
        <v>0.0</v>
      </c>
      <c r="J271" s="15">
        <f>'[02_Bank.xlsx]Post'!J274</f>
        <v>0.0</v>
      </c>
      <c r="K271" s="15">
        <f>'[02_Bank.xlsx]Post'!K274</f>
        <v>0.0</v>
      </c>
    </row>
    <row r="272" spans="9:11">
      <c r="I272" s="15">
        <f>'[02_Bank.xlsx]Post'!I275</f>
        <v>0.0</v>
      </c>
      <c r="J272" s="15">
        <f>'[02_Bank.xlsx]Post'!J275</f>
        <v>0.0</v>
      </c>
      <c r="K272" s="15">
        <f>'[02_Bank.xlsx]Post'!K275</f>
        <v>0.0</v>
      </c>
    </row>
    <row r="273" spans="9:11">
      <c r="I273" s="15">
        <f>'[02_Bank.xlsx]Post'!I276</f>
        <v>0.0</v>
      </c>
      <c r="J273" s="15">
        <f>'[02_Bank.xlsx]Post'!J276</f>
        <v>0.0</v>
      </c>
      <c r="K273" s="15">
        <f>'[02_Bank.xlsx]Post'!K276</f>
        <v>0.0</v>
      </c>
    </row>
    <row r="274" spans="9:11">
      <c r="I274" s="15">
        <f>'[02_Bank.xlsx]Post'!I277</f>
        <v>0.0</v>
      </c>
      <c r="J274" s="15">
        <f>'[02_Bank.xlsx]Post'!J277</f>
        <v>0.0</v>
      </c>
      <c r="K274" s="15">
        <f>'[02_Bank.xlsx]Post'!K277</f>
        <v>0.0</v>
      </c>
    </row>
    <row r="275" spans="9:11">
      <c r="I275" s="15">
        <f>'[02_Bank.xlsx]Post'!I278</f>
        <v>0.0</v>
      </c>
      <c r="J275" s="15">
        <f>'[02_Bank.xlsx]Post'!J278</f>
        <v>0.0</v>
      </c>
      <c r="K275" s="15">
        <f>'[02_Bank.xlsx]Post'!K278</f>
        <v>0.0</v>
      </c>
    </row>
    <row r="276" spans="9:11">
      <c r="I276" s="15">
        <f>'[02_Bank.xlsx]Post'!I279</f>
        <v>0.0</v>
      </c>
      <c r="J276" s="15">
        <f>'[02_Bank.xlsx]Post'!J279</f>
        <v>0.0</v>
      </c>
      <c r="K276" s="15">
        <f>'[02_Bank.xlsx]Post'!K279</f>
        <v>0.0</v>
      </c>
    </row>
    <row r="277" spans="9:11">
      <c r="I277" s="15">
        <f>'[02_Bank.xlsx]Post'!I280</f>
        <v>0.0</v>
      </c>
      <c r="J277" s="15">
        <f>'[02_Bank.xlsx]Post'!J280</f>
        <v>0.0</v>
      </c>
      <c r="K277" s="15">
        <f>'[02_Bank.xlsx]Post'!K280</f>
        <v>0.0</v>
      </c>
    </row>
    <row r="278" spans="9:11">
      <c r="I278" s="15">
        <f>'[02_Bank.xlsx]Post'!I281</f>
        <v>0.0</v>
      </c>
      <c r="J278" s="15">
        <f>'[02_Bank.xlsx]Post'!J281</f>
        <v>0.0</v>
      </c>
      <c r="K278" s="15">
        <f>'[02_Bank.xlsx]Post'!K281</f>
        <v>0.0</v>
      </c>
    </row>
    <row r="279" spans="9:11">
      <c r="I279" s="15">
        <f>'[02_Bank.xlsx]Post'!I282</f>
        <v>0.0</v>
      </c>
      <c r="J279" s="15">
        <f>'[02_Bank.xlsx]Post'!J282</f>
        <v>0.0</v>
      </c>
      <c r="K279" s="15">
        <f>'[02_Bank.xlsx]Post'!K282</f>
        <v>0.0</v>
      </c>
    </row>
    <row r="280" spans="9:11">
      <c r="I280" s="15">
        <f>'[02_Bank.xlsx]Post'!I283</f>
        <v>0.0</v>
      </c>
      <c r="J280" s="15">
        <f>'[02_Bank.xlsx]Post'!J283</f>
        <v>0.0</v>
      </c>
      <c r="K280" s="15">
        <f>'[02_Bank.xlsx]Post'!K283</f>
        <v>0.0</v>
      </c>
    </row>
    <row r="281" spans="9:11">
      <c r="I281" s="15">
        <f>'[02_Bank.xlsx]Post'!I284</f>
        <v>0.0</v>
      </c>
      <c r="J281" s="15">
        <f>'[02_Bank.xlsx]Post'!J284</f>
        <v>0.0</v>
      </c>
      <c r="K281" s="15">
        <f>'[02_Bank.xlsx]Post'!K284</f>
        <v>0.0</v>
      </c>
    </row>
    <row r="282" spans="9:11">
      <c r="I282" s="15">
        <f>'[02_Bank.xlsx]Post'!I285</f>
        <v>0.0</v>
      </c>
      <c r="J282" s="15">
        <f>'[02_Bank.xlsx]Post'!J285</f>
        <v>0.0</v>
      </c>
      <c r="K282" s="15">
        <f>'[02_Bank.xlsx]Post'!K285</f>
        <v>0.0</v>
      </c>
    </row>
    <row r="283" spans="9:11">
      <c r="I283" s="15">
        <f>'[02_Bank.xlsx]Post'!I286</f>
        <v>0.0</v>
      </c>
      <c r="J283" s="15">
        <f>'[02_Bank.xlsx]Post'!J286</f>
        <v>0.0</v>
      </c>
      <c r="K283" s="15">
        <f>'[02_Bank.xlsx]Post'!K286</f>
        <v>0.0</v>
      </c>
    </row>
    <row r="284" spans="9:11">
      <c r="I284" s="15">
        <f>'[02_Bank.xlsx]Post'!I287</f>
        <v>0.0</v>
      </c>
      <c r="J284" s="15">
        <f>'[02_Bank.xlsx]Post'!J287</f>
        <v>0.0</v>
      </c>
      <c r="K284" s="15">
        <f>'[02_Bank.xlsx]Post'!K287</f>
        <v>0.0</v>
      </c>
    </row>
    <row r="285" spans="9:11">
      <c r="I285" s="15">
        <f>'[02_Bank.xlsx]Post'!I288</f>
        <v>0.0</v>
      </c>
      <c r="J285" s="15">
        <f>'[02_Bank.xlsx]Post'!J288</f>
        <v>0.0</v>
      </c>
      <c r="K285" s="15">
        <f>'[02_Bank.xlsx]Post'!K288</f>
        <v>0.0</v>
      </c>
    </row>
    <row r="286" spans="9:11">
      <c r="I286" s="15">
        <f>'[02_Bank.xlsx]Post'!I289</f>
        <v>0.0</v>
      </c>
      <c r="J286" s="15">
        <f>'[02_Bank.xlsx]Post'!J289</f>
        <v>0.0</v>
      </c>
      <c r="K286" s="15">
        <f>'[02_Bank.xlsx]Post'!K289</f>
        <v>0.0</v>
      </c>
    </row>
    <row r="287" spans="9:11">
      <c r="I287" s="15">
        <f>'[02_Bank.xlsx]Post'!I290</f>
        <v>0.0</v>
      </c>
      <c r="J287" s="15">
        <f>'[02_Bank.xlsx]Post'!J290</f>
        <v>0.0</v>
      </c>
      <c r="K287" s="15">
        <f>'[02_Bank.xlsx]Post'!K290</f>
        <v>0.0</v>
      </c>
    </row>
    <row r="288" spans="9:11">
      <c r="I288" s="15">
        <f>'[02_Bank.xlsx]Post'!I291</f>
        <v>0.0</v>
      </c>
      <c r="J288" s="15">
        <f>'[02_Bank.xlsx]Post'!J291</f>
        <v>0.0</v>
      </c>
      <c r="K288" s="15">
        <f>'[02_Bank.xlsx]Post'!K291</f>
        <v>0.0</v>
      </c>
    </row>
    <row r="289" spans="9:11">
      <c r="I289" s="15">
        <f>'[02_Bank.xlsx]Post'!I292</f>
        <v>0.0</v>
      </c>
      <c r="J289" s="15">
        <f>'[02_Bank.xlsx]Post'!J292</f>
        <v>0.0</v>
      </c>
      <c r="K289" s="15">
        <f>'[02_Bank.xlsx]Post'!K292</f>
        <v>0.0</v>
      </c>
    </row>
  </sheetData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6"/>
  <sheetViews>
    <sheetView showGridLines="0" rightToLeft="1" zoomScale="85" zoomScaleNormal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/>
  <sheetData>
    <row r="1" spans="1:9">
      <c r="A1" s="58" t="s">
        <v>191</v>
      </c>
      <c r="B1" s="58"/>
      <c r="C1" s="58"/>
      <c r="D1" s="58"/>
      <c r="E1" s="58"/>
      <c r="F1" s="58"/>
      <c r="G1" s="58"/>
      <c r="H1" s="58"/>
      <c r="I1" s="58"/>
    </row>
    <row r="2" spans="1:9">
      <c r="A2" s="59" t="s">
        <v>192</v>
      </c>
      <c r="B2" s="59"/>
      <c r="C2" s="59"/>
      <c r="D2" s="59"/>
      <c r="E2" s="59"/>
      <c r="F2" s="59"/>
      <c r="G2" s="59"/>
      <c r="H2" s="59"/>
      <c r="I2" s="59"/>
    </row>
    <row r="6" spans="1:9">
      <c r="A6" s="60" t="s">
        <v>16</v>
      </c>
      <c r="B6" s="60" t="s">
        <v>179</v>
      </c>
      <c r="D6" s="60" t="s">
        <v>144</v>
      </c>
      <c r="E6" s="60" t="s">
        <v>165</v>
      </c>
      <c r="F6" s="60" t="s">
        <v>126</v>
      </c>
    </row>
    <row r="7" spans="1:9">
      <c r="A7" s="61" t="s">
        <v>81</v>
      </c>
      <c r="B7" s="62" t="s">
        <v>82</v>
      </c>
      <c r="D7" s="61" t="s">
        <v>193</v>
      </c>
      <c r="E7" s="61" t="s">
        <v>203</v>
      </c>
      <c r="F7" s="61" t="s">
        <v>208</v>
      </c>
    </row>
    <row r="8" spans="1:9">
      <c r="A8" s="61" t="s">
        <v>83</v>
      </c>
      <c r="B8" s="62" t="s">
        <v>84</v>
      </c>
      <c r="D8" s="61" t="s">
        <v>194</v>
      </c>
      <c r="E8" s="61" t="s">
        <v>204</v>
      </c>
    </row>
    <row r="9" spans="1:9">
      <c r="A9" s="61" t="s">
        <v>85</v>
      </c>
      <c r="B9" s="62" t="s">
        <v>86</v>
      </c>
      <c r="D9" s="61" t="s">
        <v>195</v>
      </c>
      <c r="E9" s="61" t="s">
        <v>205</v>
      </c>
    </row>
    <row r="10" spans="1:9">
      <c r="A10" s="61" t="s">
        <v>87</v>
      </c>
      <c r="B10" s="62" t="s">
        <v>88</v>
      </c>
      <c r="D10" s="61" t="s">
        <v>196</v>
      </c>
      <c r="E10" s="61" t="s">
        <v>206</v>
      </c>
    </row>
    <row r="11" spans="1:9">
      <c r="A11" s="61" t="s">
        <v>89</v>
      </c>
      <c r="B11" s="62" t="s">
        <v>90</v>
      </c>
      <c r="D11" s="61" t="s">
        <v>197</v>
      </c>
      <c r="E11" s="61" t="s">
        <v>207</v>
      </c>
    </row>
    <row r="12" spans="1:9">
      <c r="A12" s="61" t="s">
        <v>91</v>
      </c>
      <c r="B12" s="62" t="s">
        <v>92</v>
      </c>
      <c r="D12" s="61" t="s">
        <v>198</v>
      </c>
    </row>
    <row r="13" spans="1:9">
      <c r="A13" s="61" t="s">
        <v>93</v>
      </c>
      <c r="B13" s="62" t="s">
        <v>94</v>
      </c>
      <c r="D13" s="61" t="s">
        <v>199</v>
      </c>
    </row>
    <row r="14" spans="1:9">
      <c r="A14" s="61" t="s">
        <v>95</v>
      </c>
      <c r="B14" s="62" t="s">
        <v>96</v>
      </c>
      <c r="D14" s="61" t="s">
        <v>200</v>
      </c>
    </row>
    <row r="15" spans="1:9">
      <c r="A15" s="61" t="s">
        <v>97</v>
      </c>
      <c r="B15" s="62" t="s">
        <v>98</v>
      </c>
      <c r="D15" s="61" t="s">
        <v>201</v>
      </c>
    </row>
    <row r="16" spans="1:9">
      <c r="A16" s="61" t="s">
        <v>99</v>
      </c>
      <c r="B16" s="62" t="s">
        <v>100</v>
      </c>
      <c r="D16" s="61" t="s">
        <v>202</v>
      </c>
    </row>
  </sheetData>
  <sheetProtection sheet="1" objects="1" scenarios="1"/>
  <mergeCells count="2">
    <mergeCell ref="A1:I1"/>
    <mergeCell ref="A2:I2"/>
  </mergeCells>
  <printOptions horizontalCentered="1"/>
  <pageMargins left="0.28" right="0.28" top="0.42" bottom="0.48" header="0.22" footer="0.22"/>
  <pageSetup paperSize="9" fitToHeight="0" orientation="landscape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2"/>
  <sheetViews>
    <sheetView showGridLines="0" rightToLeft="1" zoomScale="85" zoomScaleNormal="85" workbookViewId="0"/>
  </sheetViews>
  <sheetFormatPr defaultRowHeight="15"/>
  <sheetData>
    <row r="1" spans="1:8" ht="6" customHeight="1">
      <c r="A1" s="1"/>
      <c r="B1" s="1"/>
      <c r="C1" s="1"/>
      <c r="D1" s="1"/>
      <c r="E1" s="1"/>
      <c r="F1" s="1"/>
      <c r="G1" s="1"/>
      <c r="H1" s="1"/>
    </row>
    <row r="2" spans="1:8" ht="18" customHeight="1">
      <c r="A2" s="2" t="s">
        <v>0</v>
      </c>
      <c r="B2" s="2"/>
      <c r="C2" s="2"/>
      <c r="D2" s="2"/>
      <c r="E2" s="2"/>
      <c r="F2" s="2"/>
      <c r="G2" s="2"/>
      <c r="H2" s="2"/>
    </row>
    <row r="3" spans="1:8" ht="38.25" customHeight="1">
      <c r="A3" s="3" t="s">
        <v>209</v>
      </c>
      <c r="B3" s="3"/>
      <c r="C3" s="3"/>
      <c r="D3" s="3"/>
      <c r="E3" s="3"/>
      <c r="F3" s="3"/>
      <c r="G3" s="3"/>
      <c r="H3" s="3"/>
    </row>
    <row r="4" spans="1:8" ht="21.75" customHeight="1">
      <c r="A4" s="4" t="s">
        <v>210</v>
      </c>
      <c r="B4" s="4"/>
      <c r="C4" s="4"/>
      <c r="D4" s="4"/>
      <c r="E4" s="4"/>
      <c r="F4" s="4"/>
      <c r="G4" s="4"/>
      <c r="H4" s="4"/>
    </row>
    <row r="5" spans="1:8" ht="3.75" customHeight="1">
      <c r="A5" s="5"/>
      <c r="B5" s="5"/>
      <c r="C5" s="5"/>
      <c r="D5" s="5"/>
      <c r="E5" s="5"/>
      <c r="F5" s="5"/>
      <c r="G5" s="5"/>
      <c r="H5" s="5"/>
    </row>
    <row r="7" spans="1:8" ht="26.25" customHeight="1">
      <c r="A7" s="11" t="s">
        <v>211</v>
      </c>
      <c r="B7" s="11"/>
      <c r="C7" s="11"/>
      <c r="D7" s="11"/>
      <c r="E7" s="11"/>
      <c r="F7" s="11"/>
      <c r="G7" s="12" t="s">
        <v>8</v>
      </c>
      <c r="H7" s="12"/>
    </row>
    <row r="8" spans="1:8" ht="32.25" customHeight="1">
      <c r="A8" s="63" t="s">
        <v>212</v>
      </c>
      <c r="B8" s="63"/>
      <c r="C8" s="63"/>
      <c r="D8" s="63"/>
      <c r="E8" s="63"/>
      <c r="F8" s="63"/>
      <c r="G8" s="63"/>
      <c r="H8" s="63"/>
    </row>
    <row r="9" spans="1:8" ht="26.25" customHeight="1">
      <c r="A9" s="64" t="s">
        <v>213</v>
      </c>
      <c r="B9" s="64"/>
      <c r="C9" s="64"/>
      <c r="D9" s="64"/>
      <c r="E9" s="64"/>
      <c r="F9" s="64"/>
      <c r="G9" s="64"/>
      <c r="H9" s="64"/>
    </row>
    <row r="10" spans="1:8" ht="26.25" customHeight="1">
      <c r="A10" s="64" t="s">
        <v>214</v>
      </c>
      <c r="B10" s="64"/>
      <c r="C10" s="64"/>
      <c r="D10" s="64"/>
      <c r="E10" s="64"/>
      <c r="F10" s="64"/>
      <c r="G10" s="64"/>
      <c r="H10" s="64"/>
    </row>
    <row r="12" spans="1:8" ht="26.25" customHeight="1">
      <c r="A12" s="11" t="s">
        <v>215</v>
      </c>
      <c r="B12" s="11"/>
      <c r="C12" s="11"/>
      <c r="D12" s="11"/>
      <c r="E12" s="11"/>
      <c r="F12" s="11"/>
      <c r="G12" s="12" t="s">
        <v>13</v>
      </c>
      <c r="H12" s="12"/>
    </row>
    <row r="13" spans="1:8" ht="26.25" customHeight="1">
      <c r="A13" s="64" t="s">
        <v>216</v>
      </c>
      <c r="B13" s="64"/>
      <c r="C13" s="64"/>
      <c r="D13" s="64"/>
      <c r="E13" s="64"/>
      <c r="F13" s="64"/>
      <c r="G13" s="64"/>
      <c r="H13" s="64"/>
    </row>
    <row r="14" spans="1:8" ht="26.25" customHeight="1">
      <c r="A14" s="64" t="s">
        <v>217</v>
      </c>
      <c r="B14" s="64"/>
      <c r="C14" s="64"/>
      <c r="D14" s="64"/>
      <c r="E14" s="64"/>
      <c r="F14" s="64"/>
      <c r="G14" s="64"/>
      <c r="H14" s="64"/>
    </row>
    <row r="15" spans="1:8" ht="26.25" customHeight="1">
      <c r="A15" s="64" t="s">
        <v>218</v>
      </c>
      <c r="B15" s="64"/>
      <c r="C15" s="64"/>
      <c r="D15" s="64"/>
      <c r="E15" s="64"/>
      <c r="F15" s="64"/>
      <c r="G15" s="64"/>
      <c r="H15" s="64"/>
    </row>
    <row r="16" spans="1:8" ht="26.25" customHeight="1">
      <c r="A16" s="64" t="s">
        <v>219</v>
      </c>
      <c r="B16" s="64"/>
      <c r="C16" s="64"/>
      <c r="D16" s="64"/>
      <c r="E16" s="64"/>
      <c r="F16" s="64"/>
      <c r="G16" s="64"/>
      <c r="H16" s="64"/>
    </row>
    <row r="18" spans="1:8" ht="26.25" customHeight="1">
      <c r="A18" s="11" t="s">
        <v>220</v>
      </c>
      <c r="B18" s="11"/>
      <c r="C18" s="11"/>
      <c r="D18" s="11"/>
      <c r="E18" s="11"/>
      <c r="F18" s="11"/>
      <c r="G18" s="12" t="s">
        <v>15</v>
      </c>
      <c r="H18" s="12"/>
    </row>
    <row r="19" spans="1:8" ht="32.25" customHeight="1">
      <c r="A19" s="63" t="s">
        <v>221</v>
      </c>
      <c r="B19" s="63"/>
      <c r="C19" s="63"/>
      <c r="D19" s="63"/>
      <c r="E19" s="63"/>
      <c r="F19" s="63"/>
      <c r="G19" s="63"/>
      <c r="H19" s="63"/>
    </row>
    <row r="20" spans="1:8" ht="26.25" customHeight="1">
      <c r="A20" s="64" t="s">
        <v>222</v>
      </c>
      <c r="B20" s="64"/>
      <c r="C20" s="64"/>
      <c r="D20" s="64"/>
      <c r="E20" s="64"/>
      <c r="F20" s="64"/>
      <c r="G20" s="64"/>
      <c r="H20" s="64"/>
    </row>
    <row r="21" spans="1:8" ht="26.25" customHeight="1">
      <c r="A21" s="64" t="s">
        <v>223</v>
      </c>
      <c r="B21" s="64"/>
      <c r="C21" s="64"/>
      <c r="D21" s="64"/>
      <c r="E21" s="64"/>
      <c r="F21" s="64"/>
      <c r="G21" s="64"/>
      <c r="H21" s="64"/>
    </row>
    <row r="23" spans="1:8" ht="26.25" customHeight="1">
      <c r="A23" s="11" t="s">
        <v>224</v>
      </c>
      <c r="B23" s="11"/>
      <c r="C23" s="11"/>
      <c r="D23" s="11"/>
      <c r="E23" s="11"/>
      <c r="F23" s="11"/>
      <c r="G23" s="12" t="s">
        <v>21</v>
      </c>
      <c r="H23" s="12"/>
    </row>
    <row r="24" spans="1:8" ht="26.25" customHeight="1">
      <c r="A24" s="64" t="s">
        <v>225</v>
      </c>
      <c r="B24" s="64"/>
      <c r="C24" s="64"/>
      <c r="D24" s="64"/>
      <c r="E24" s="64"/>
      <c r="F24" s="64"/>
      <c r="G24" s="64"/>
      <c r="H24" s="64"/>
    </row>
    <row r="25" spans="1:8" ht="26.25" customHeight="1">
      <c r="A25" s="64" t="s">
        <v>226</v>
      </c>
      <c r="B25" s="64"/>
      <c r="C25" s="64"/>
      <c r="D25" s="64"/>
      <c r="E25" s="64"/>
      <c r="F25" s="64"/>
      <c r="G25" s="64"/>
      <c r="H25" s="64"/>
    </row>
    <row r="27" spans="1:8" ht="26.25" customHeight="1">
      <c r="A27" s="11" t="s">
        <v>227</v>
      </c>
      <c r="B27" s="11"/>
      <c r="C27" s="11"/>
      <c r="D27" s="11"/>
      <c r="E27" s="11"/>
      <c r="F27" s="11"/>
      <c r="G27" s="12" t="s">
        <v>28</v>
      </c>
      <c r="H27" s="12"/>
    </row>
    <row r="28" spans="1:8" ht="26.25" customHeight="1">
      <c r="A28" s="64" t="s">
        <v>228</v>
      </c>
      <c r="B28" s="64"/>
      <c r="C28" s="64"/>
      <c r="D28" s="64"/>
      <c r="E28" s="64"/>
      <c r="F28" s="64"/>
      <c r="G28" s="64"/>
      <c r="H28" s="64"/>
    </row>
    <row r="29" spans="1:8" ht="26.25" customHeight="1">
      <c r="A29" s="64" t="s">
        <v>229</v>
      </c>
      <c r="B29" s="64"/>
      <c r="C29" s="64"/>
      <c r="D29" s="64"/>
      <c r="E29" s="64"/>
      <c r="F29" s="64"/>
      <c r="G29" s="64"/>
      <c r="H29" s="64"/>
    </row>
    <row r="31" spans="1:8" ht="26.25" customHeight="1">
      <c r="A31" s="11" t="s">
        <v>230</v>
      </c>
      <c r="B31" s="11"/>
      <c r="C31" s="11"/>
      <c r="D31" s="11"/>
      <c r="E31" s="11"/>
      <c r="F31" s="11"/>
      <c r="G31" s="12" t="s">
        <v>231</v>
      </c>
      <c r="H31" s="12"/>
    </row>
    <row r="32" spans="1:8" ht="32.25" customHeight="1">
      <c r="A32" s="63" t="s">
        <v>232</v>
      </c>
      <c r="B32" s="63"/>
      <c r="C32" s="63"/>
      <c r="D32" s="63"/>
      <c r="E32" s="63"/>
      <c r="F32" s="63"/>
      <c r="G32" s="63"/>
      <c r="H32" s="63"/>
    </row>
  </sheetData>
  <mergeCells count="30">
    <mergeCell ref="A2:H2"/>
    <mergeCell ref="A3:H3"/>
    <mergeCell ref="A4:H4"/>
    <mergeCell ref="A7:F7"/>
    <mergeCell ref="G7:H7"/>
    <mergeCell ref="A8:H8"/>
    <mergeCell ref="A9:H9"/>
    <mergeCell ref="A10:H10"/>
    <mergeCell ref="A12:F12"/>
    <mergeCell ref="G12:H12"/>
    <mergeCell ref="A13:H13"/>
    <mergeCell ref="A14:H14"/>
    <mergeCell ref="A15:H15"/>
    <mergeCell ref="A16:H16"/>
    <mergeCell ref="A18:F18"/>
    <mergeCell ref="G18:H18"/>
    <mergeCell ref="A19:H19"/>
    <mergeCell ref="A20:H20"/>
    <mergeCell ref="A21:H21"/>
    <mergeCell ref="A23:F23"/>
    <mergeCell ref="G23:H23"/>
    <mergeCell ref="A24:H24"/>
    <mergeCell ref="A25:H25"/>
    <mergeCell ref="A27:F27"/>
    <mergeCell ref="G27:H27"/>
    <mergeCell ref="A28:H28"/>
    <mergeCell ref="A29:H29"/>
    <mergeCell ref="A31:F31"/>
    <mergeCell ref="G31:H31"/>
    <mergeCell ref="A32:H32"/>
  </mergeCells>
  <printOptions horizontalCentered="1"/>
  <pageMargins left="0.28" right="0.28" top="0.42" bottom="0.48" header="0.22" footer="0.22"/>
  <pageSetup paperSize="9" fitToHeight="0" orientation="portrait"/>
  <headerFooter>
    <oddHeader>&amp;Lمازندشت  ·  سورتینگ و بسته‌بندی مرکبات&amp;C&amp;"Tahoma,Italic"&amp;8 MAZANDASHT · CITRUS SORTING &amp; PACKING&amp;R&amp;A</oddHeader>
    <oddFooter>&amp;L&amp;F&amp;Cصفحه &amp;P از &amp;N&amp;RMAZANDASHT · 1405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</vt:i4>
      </vt:variant>
    </vt:vector>
  </HeadingPairs>
  <TitlesOfParts>
    <vt:vector size="29" baseType="lpstr">
      <vt:lpstr>Dash</vt:lpstr>
      <vt:lpstr>Pos</vt:lpstr>
      <vt:lpstr>Banks</vt:lpstr>
      <vt:lpstr>Time</vt:lpstr>
      <vt:lpstr>Ops</vt:lpstr>
      <vt:lpstr>Parties</vt:lpstr>
      <vt:lpstr>F1</vt:lpstr>
      <vt:lpstr>F2</vt:lpstr>
      <vt:lpstr>Sync</vt:lpstr>
      <vt:lpstr>Help</vt:lpstr>
      <vt:lpstr>Banks!Print_Area</vt:lpstr>
      <vt:lpstr>Dash!Print_Area</vt:lpstr>
      <vt:lpstr>'F1'!Print_Area</vt:lpstr>
      <vt:lpstr>'F2'!Print_Area</vt:lpstr>
      <vt:lpstr>Help!Print_Area</vt:lpstr>
      <vt:lpstr>Ops!Print_Area</vt:lpstr>
      <vt:lpstr>Parties!Print_Area</vt:lpstr>
      <vt:lpstr>Pos!Print_Area</vt:lpstr>
      <vt:lpstr>Sync!Print_Area</vt:lpstr>
      <vt:lpstr>Time!Print_Area</vt:lpstr>
      <vt:lpstr>Banks!Print_Titles</vt:lpstr>
      <vt:lpstr>'F1'!Print_Titles</vt:lpstr>
      <vt:lpstr>'F2'!Print_Titles</vt:lpstr>
      <vt:lpstr>Help!Print_Titles</vt:lpstr>
      <vt:lpstr>Ops!Print_Titles</vt:lpstr>
      <vt:lpstr>Parties!Print_Titles</vt:lpstr>
      <vt:lpstr>Pos!Print_Titles</vt:lpstr>
      <vt:lpstr>Sync!Print_Titles</vt:lpstr>
      <vt:lpstr>Time!Print_Titles</vt:lpstr>
    </vt:vector>
  </TitlesOfParts>
  <Company>سورتینگ و بسته‌بندی مرکبات مازندشت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مازندشت — داشبورد مدیریتی</dc:title>
  <dc:subject>داشبورد و تحلیل</dc:subject>
  <dc:creator>MAZANDASHT</dc:creator>
  <cp:lastModifiedBy>MAZANDASHT</cp:lastModifiedBy>
  <dcterms:created xsi:type="dcterms:W3CDTF">2026-10-24T09:59:25Z</dcterms:created>
  <dcterms:modified xsi:type="dcterms:W3CDTF">2026-10-24T09:59:25Z</dcterms:modified>
</cp:coreProperties>
</file>