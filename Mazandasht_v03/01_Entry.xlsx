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Home" sheetId="1" state="visible" r:id="rId1"/>
    <sheet name="Scale" sheetId="2" state="visible" r:id="rId2"/>
    <sheet name="Crate" sheetId="3" state="visible" r:id="rId3"/>
    <sheet name="Pay" sheetId="4" state="visible" r:id="rId4"/>
    <sheet name="Book" sheetId="5" state="visible" r:id="rId5"/>
    <sheet name="Sum" sheetId="6" state="visible" r:id="rId6"/>
    <sheet name="POS" sheetId="7" state="visible" r:id="rId7"/>
    <sheet name="Sync" sheetId="8" state="visible" r:id="rId8"/>
    <sheet name="Help" sheetId="9" state="visible" r:id="rId9"/>
  </sheets>
  <definedNames>
    <definedName name="AcctCodes">Sync!$B$10:$B$259</definedName>
    <definedName name="AcctTbl">Sync!$B$10:$G$259</definedName>
    <definedName name="BankCodes">Sync!$AK$10:$AK$19</definedName>
    <definedName name="BankTbl">Sync!$AK$10:$AN$19</definedName>
    <definedName name="BasketCodeCol">Sync!$Z$10:$Z$21</definedName>
    <definedName name="BasketTbl">Sync!$Y$10:$AF$21</definedName>
    <definedName name="GroupTbl">Sync!$AR$10:$AS$51</definedName>
    <definedName name="ListAllCodes">OFFSET(Sync!$B$10,0,0,MAX(COUNTIF(Sync!$C$10:$C$259,"?*"),1),1)</definedName>
    <definedName name="ListBasketOps">OFFSET(Sync!$AW$10,0,0,MAX(COUNTIF(Sync!$AW$10:$AW$14,"?*"),1),1)</definedName>
    <definedName name="ListBaskets">OFFSET(Sync!$Y$10,0,0,MAX(COUNTIF(Sync!$Y$10:$Y$21,"?*"),1),1)</definedName>
    <definedName name="ListBasketSellerCodes">OFFSET(Sync!$B$72,0,0,MAX(COUNTIF(Sync!$C$72:$C$74,"?*"),1),1)</definedName>
    <definedName name="ListBaskolOps">OFFSET(Sync!$AZ$10,0,0,MAX(COUNTIF(Sync!$AZ$10:$AZ$23,"?*"),1),1)</definedName>
    <definedName name="ListCategories">OFFSET(Sync!$CB$10,0,0,MAX(COUNTIF(Sync!$CB$10:$CB$29,"?*"),1),1)</definedName>
    <definedName name="ListChequeStatus">OFFSET(Sync!$CG$10,0,0,MAX(COUNTIF(Sync!$CG$10:$CG$29,"?*"),1),1)</definedName>
    <definedName name="ListColorKeys">OFFSET(Sync!$CP$10,0,0,MAX(COUNTIF(Sync!$CP$10:$CP$29,"?*"),1),1)</definedName>
    <definedName name="ListDirections">OFFSET(Sync!$CC$10,0,0,MAX(COUNTIF(Sync!$CC$10:$CC$29,"?*"),1),1)</definedName>
    <definedName name="ListGroups">Sync!$AU$10:$AU$19</definedName>
    <definedName name="ListGrowerCodes">OFFSET(Sync!$B$10,0,0,MAX(COUNTIF(Sync!$C$10:$C$66,"?*"),1),1)</definedName>
    <definedName name="ListInclude">OFFSET(Sync!$CH$10,0,0,MAX(COUNTIF(Sync!$CH$10:$CH$29,"?*"),1),1)</definedName>
    <definedName name="ListLoadBuyerCodes">OFFSET(Sync!$B$67,0,0,MAX(COUNTIF(Sync!$C$67:$C$71,"?*"),1),1)</definedName>
    <definedName name="ListManualRoles">OFFSET(Sync!$CI$10,0,0,MAX(COUNTIF(Sync!$CI$10:$CI$29,"?*"),1),1)</definedName>
    <definedName name="ListOpCategories">OFFSET(Sync!$CL$10,0,0,MAX(COUNTIF(Sync!$CL$10:$CL$29,"?*"),1),1)</definedName>
    <definedName name="ListOps">OFFSET(Sync!$I$10,0,0,MAX(COUNTIF(Sync!$I$10:$I$33,"?*"),1),1)</definedName>
    <definedName name="ListOtherScaleCodes">Sync!$AX$10:$AX$29</definedName>
    <definedName name="ListPartyBasis">OFFSET(Sync!$CO$10,0,0,MAX(COUNTIF(Sync!$CO$10:$CO$29,"?*"),1),1)</definedName>
    <definedName name="ListPartyTypes">OFFSET(Sync!$CE$10,0,0,MAX(COUNTIF(Sync!$CE$10:$CE$29,"?*"),1),1)</definedName>
    <definedName name="ListPayMethods">OFFSET(Sync!$CF$10,0,0,MAX(COUNTIF(Sync!$CF$10:$CF$29,"?*"),1),1)</definedName>
    <definedName name="ListPosEffects">OFFSET(Sync!$CJ$10,0,0,MAX(COUNTIF(Sync!$CJ$10:$CJ$29,"?*"),1),1)</definedName>
    <definedName name="ListProducts">OFFSET(Sync!$AH$10,0,0,MAX(COUNTIF(Sync!$AH$10:$AH$29,"?*"),1),1)</definedName>
    <definedName name="ListReportSheets">OFFSET(Sync!$CN$10,0,0,MAX(COUNTIF(Sync!$CN$10:$CN$29,"?*"),1),1)</definedName>
    <definedName name="ListSeasons">OFFSET(Sync!$CQ$10,0,0,MAX(COUNTIF(Sync!$CQ$10:$CQ$29,"?*"),1),1)</definedName>
    <definedName name="ListSides">OFFSET(Sync!$CK$10,0,0,MAX(COUNTIF(Sync!$CK$10:$CK$29,"?*"),1),1)</definedName>
    <definedName name="ListStatus">OFFSET(Sync!$CM$10,0,0,MAX(COUNTIF(Sync!$CM$10:$CM$29,"?*"),1),1)</definedName>
    <definedName name="ListSubgroups">OFFSET(Sync!$AR$10,0,0,MAX(COUNTIF(Sync!$AS$10:$AS$51,"?*"),1),1)</definedName>
    <definedName name="ListTxnDirections">OFFSET(Sync!$CR$10,0,0,MAX(COUNTIF(Sync!$CR$10:$CR$29,"?*"),1),1)</definedName>
    <definedName name="ListUnits">OFFSET(Sync!$CA$10,0,0,MAX(COUNTIF(Sync!$CA$10:$CA$29,"?*"),1),1)</definedName>
    <definedName name="ListYesNo">OFFSET(Sync!$CD$10,0,0,MAX(COUNTIF(Sync!$CD$10:$CD$29,"?*"),1),1)</definedName>
    <definedName name="OpTbl">Sync!$I$10:$W$33</definedName>
    <definedName name="ParamTbl">Sync!$AO$10:$AP$21</definedName>
    <definedName name="ProductTbl">Sync!$AH$10:$AI$29</definedName>
    <definedName name="ListBanks">Sync!$AK$10:$AK$19</definedName>
    <definedName name="_xlnm.Print_Area" localSheetId="0">'Home'!$A$1:$J$40</definedName>
    <definedName name="_xlnm._FilterDatabase" localSheetId="1" hidden="1">'Scale'!$A$8:$T$309</definedName>
    <definedName name="_xlnm.Print_Titles" localSheetId="1">'Scale'!$8:$9</definedName>
    <definedName name="_xlnm.Print_Area" localSheetId="1">'Scale'!$A$1:$T$309</definedName>
    <definedName name="_xlnm._FilterDatabase" localSheetId="2" hidden="1">'Crate'!$A$8:$M$159</definedName>
    <definedName name="_xlnm.Print_Titles" localSheetId="2">'Crate'!$8:$9</definedName>
    <definedName name="_xlnm.Print_Area" localSheetId="2">'Crate'!$A$1:$M$159</definedName>
    <definedName name="_xlnm._FilterDatabase" localSheetId="3" hidden="1">'Pay'!$A$8:$R$159</definedName>
    <definedName name="_xlnm.Print_Titles" localSheetId="3">'Pay'!$8:$9</definedName>
    <definedName name="_xlnm.Print_Area" localSheetId="3">'Pay'!$A$1:$R$159</definedName>
    <definedName name="_xlnm._FilterDatabase" localSheetId="4" hidden="1">'Book'!$A$8:$Q$1808</definedName>
    <definedName name="_xlnm.Print_Titles" localSheetId="4">'Book'!$8:$9</definedName>
    <definedName name="_xlnm.Print_Area" localSheetId="4">'Book'!$A$1:$Q$1810</definedName>
    <definedName name="_xlnm.Print_Titles" localSheetId="5">'Sum'!$2:$2</definedName>
    <definedName name="_xlnm.Print_Area" localSheetId="5">'Sum'!$A$1:$I$50</definedName>
    <definedName name="_xlnm.Print_Area" localSheetId="6">'POS'!$A$1:$H$69</definedName>
    <definedName name="_xlnm.Print_Area" localSheetId="7">'Sync'!$A$1:$CR$260</definedName>
    <definedName name="_xlnm.Print_Area" localSheetId="8">'Help'!$A$1:$J$80</definedName>
  </definedNames>
  <calcPr calcId="124519" fullCalcOnLoad="1"/>
</workbook>
</file>

<file path=xl/styles.xml><?xml version="1.0" encoding="utf-8"?>
<styleSheet xmlns="http://schemas.openxmlformats.org/spreadsheetml/2006/main">
  <numFmts count="3">
    <numFmt numFmtId="164" formatCode="#,##0;[Red]-#,##0"/>
    <numFmt numFmtId="165" formatCode="#,##0.00;[Red]-#,##0.00"/>
    <numFmt numFmtId="166" formatCode="0.0%"/>
  </numFmts>
  <fonts count="87">
    <font>
      <name val="Calibri"/>
      <family val="2"/>
      <color theme="1"/>
      <sz val="11"/>
      <scheme val="minor"/>
    </font>
    <font>
      <name val="B Nazanin"/>
      <family val="2"/>
      <b val="1"/>
      <color rgb="FF14453D"/>
      <sz val="10"/>
    </font>
    <font>
      <name val="Tahoma"/>
      <family val="2"/>
      <b val="1"/>
      <color rgb="FFC89B3C"/>
      <sz val="7"/>
    </font>
    <font>
      <name val="B Nazanin"/>
      <family val="2"/>
      <b val="1"/>
      <color rgb="FF14453D"/>
      <sz val="19"/>
    </font>
    <font>
      <name val="B Nazanin"/>
      <family val="2"/>
      <color rgb="FF6B7A76"/>
      <sz val="10.5"/>
    </font>
    <font>
      <name val="Tahoma"/>
      <family val="2"/>
      <b val="1"/>
      <color rgb="FF6B7A76"/>
      <sz val="7.5"/>
    </font>
    <font>
      <name val="B Nazanin"/>
      <family val="2"/>
      <b val="1"/>
      <color rgb="FF14453D"/>
      <sz val="20"/>
    </font>
    <font>
      <name val="B Nazanin"/>
      <family val="2"/>
      <b val="1"/>
      <color rgb="FF2E6B4F"/>
      <sz val="20"/>
    </font>
    <font>
      <name val="B Nazanin"/>
      <family val="2"/>
      <b val="1"/>
      <color rgb="FF2B5C7A"/>
      <sz val="20"/>
    </font>
    <font>
      <name val="B Nazanin"/>
      <family val="2"/>
      <b val="1"/>
      <color rgb="FFC89B3C"/>
      <sz val="20"/>
    </font>
    <font>
      <name val="Tahoma"/>
      <family val="2"/>
      <b val="1"/>
      <color rgb="FFFFFFFF"/>
      <sz val="9"/>
    </font>
    <font>
      <name val="B Nazanin"/>
      <family val="2"/>
      <b val="1"/>
      <color rgb="FF14453D"/>
      <sz val="14"/>
    </font>
    <font>
      <name val="B Nazanin"/>
      <family val="2"/>
      <b val="1"/>
      <color rgb="FFFFFFFF"/>
      <sz val="11"/>
    </font>
    <font>
      <name val="Tahoma"/>
      <family val="2"/>
      <color rgb="FF6B7A76"/>
      <sz val="7.5"/>
    </font>
    <font>
      <name val="Tahoma"/>
      <family val="2"/>
      <b val="1"/>
      <color rgb="FFFFFFFF"/>
      <sz val="10"/>
    </font>
    <font>
      <name val="B Nazanin"/>
      <family val="2"/>
      <color rgb="FF1E2A2B"/>
      <sz val="10.5"/>
    </font>
    <font>
      <name val="B Nazanin"/>
      <family val="2"/>
      <color rgb="FF1E2A2B"/>
      <sz val="9.5"/>
    </font>
    <font>
      <name val="B Nazanin"/>
      <family val="2"/>
      <b val="1"/>
      <color rgb="FFFFFFFF"/>
      <sz val="10"/>
    </font>
    <font>
      <name val="B Nazanin"/>
      <family val="2"/>
      <color rgb="FF6B7A76"/>
      <sz val="8"/>
    </font>
    <font>
      <name val="B Nazanin"/>
      <family val="2"/>
      <b val="1"/>
      <color rgb="FF14453D"/>
      <sz val="10.5"/>
    </font>
    <font>
      <name val="Tahoma"/>
      <family val="2"/>
      <b val="1"/>
      <color rgb="FFC89B3C"/>
      <sz val="7.5"/>
    </font>
    <font>
      <name val="B Nazanin"/>
      <family val="2"/>
      <b val="1"/>
      <color rgb="FF14453D"/>
      <sz val="23"/>
    </font>
    <font>
      <name val="B Nazanin"/>
      <family val="2"/>
      <color rgb="FF6B7A76"/>
      <sz val="11.5"/>
    </font>
    <font>
      <name val="Tahoma"/>
      <family val="2"/>
      <b val="1"/>
      <color rgb="FFFFFFFF"/>
      <sz val="7.5"/>
    </font>
    <font>
      <name val="Tahoma"/>
      <family val="2"/>
      <color rgb="FF5A4A2A"/>
      <sz val="7.5"/>
    </font>
    <font>
      <name val="Tahoma"/>
      <family val="2"/>
      <color rgb="FF6B7A76"/>
      <sz val="7.5"/>
    </font>
    <font>
      <name val="Tahoma"/>
      <family val="2"/>
      <color rgb="FF2E6B4F"/>
      <sz val="7.5"/>
    </font>
    <font>
      <name val="Tahoma"/>
      <family val="2"/>
      <color rgb="FF2B5C7A"/>
      <sz val="7.5"/>
    </font>
    <font>
      <name val="Tahoma"/>
      <family val="2"/>
      <color rgb="FFB4452F"/>
      <sz val="7.5"/>
    </font>
    <font>
      <name val="B Nazanin"/>
      <family val="2"/>
      <color rgb="FF6B7A76"/>
      <sz val="10"/>
    </font>
    <font>
      <name val="B Nazanin"/>
      <family val="2"/>
      <b val="1"/>
      <color rgb="FF14453D"/>
      <sz val="17"/>
    </font>
    <font>
      <name val="B Nazanin"/>
      <family val="2"/>
      <b val="1"/>
      <color rgb="FF2E6B4F"/>
      <sz val="17"/>
    </font>
    <font>
      <name val="B Nazanin"/>
      <family val="2"/>
      <b val="1"/>
      <color rgb="FF2B5C7A"/>
      <sz val="17"/>
    </font>
    <font>
      <name val="B Nazanin"/>
      <family val="2"/>
      <b val="1"/>
      <color rgb="FFC89B3C"/>
      <sz val="17"/>
    </font>
    <font>
      <name val="B Nazanin"/>
      <family val="2"/>
      <b val="1"/>
      <color rgb="FFB4452F"/>
      <sz val="17"/>
    </font>
    <font>
      <name val="Tahoma"/>
      <family val="2"/>
      <b val="1"/>
      <color rgb="FF14453D"/>
      <sz val="8"/>
    </font>
    <font>
      <name val="Tahoma"/>
      <family val="2"/>
      <i val="1"/>
      <color rgb="FFCFE0D8"/>
      <sz val="6.5"/>
    </font>
    <font>
      <name val="Tahoma"/>
      <family val="2"/>
      <color rgb="FF6B7A76"/>
      <sz val="8.5"/>
    </font>
    <font>
      <name val="Tahoma"/>
      <family val="2"/>
      <color rgb="FF3A3327"/>
      <sz val="9"/>
    </font>
    <font>
      <name val="B Nazanin"/>
      <family val="2"/>
      <color rgb="FF3A3327"/>
      <sz val="10"/>
    </font>
    <font>
      <name val="B Nazanin"/>
      <family val="2"/>
      <color rgb="FF6B7A76"/>
      <sz val="9"/>
    </font>
    <font>
      <name val="Tahoma"/>
      <family val="2"/>
      <color rgb="FF6B7A76"/>
      <sz val="9"/>
    </font>
    <font>
      <name val="B Nazanin"/>
      <family val="2"/>
      <b val="1"/>
      <color rgb="FF6B7A76"/>
      <sz val="9"/>
    </font>
    <font>
      <name val="B Nazanin"/>
      <family val="2"/>
      <b val="1"/>
      <color rgb="FFC4623F"/>
      <sz val="17"/>
    </font>
    <font>
      <name val="Tahoma"/>
      <family val="2"/>
      <color theme="1"/>
      <sz val="8.5"/>
    </font>
    <font>
      <name val="B Nazanin"/>
      <family val="2"/>
      <color theme="1"/>
      <sz val="9"/>
    </font>
    <font>
      <name val="Tahoma"/>
      <family val="2"/>
      <color theme="1"/>
      <sz val="9"/>
    </font>
    <font>
      <name val="Tahoma"/>
      <family val="2"/>
      <color theme="1"/>
      <sz val="8"/>
    </font>
    <font>
      <name val="Tahoma"/>
      <family val="2"/>
      <b val="1"/>
      <color rgb="FFFFFFFF"/>
      <sz val="12"/>
    </font>
    <font>
      <name val="B Nazanin"/>
      <family val="2"/>
      <b val="1"/>
      <color rgb="FFFFFFFF"/>
      <sz val="9.5"/>
    </font>
    <font>
      <name val="Tahoma"/>
      <family val="2"/>
      <b val="1"/>
      <color theme="1"/>
      <sz val="9"/>
    </font>
    <font>
      <name val="B Nazanin"/>
      <family val="2"/>
      <b val="1"/>
      <color rgb="FFFFFFFF"/>
      <sz val="9"/>
    </font>
    <font>
      <name val="Tahoma"/>
      <family val="2"/>
      <b val="1"/>
      <color rgb="FF6B7A76"/>
      <sz val="8.5"/>
    </font>
    <font>
      <name val="Tahoma"/>
      <family val="2"/>
      <b val="1"/>
      <color rgb="FF14453D"/>
      <sz val="9"/>
    </font>
    <font>
      <name val="B Nazanin"/>
      <family val="2"/>
      <b val="1"/>
      <color rgb="FF14453D"/>
      <sz val="16"/>
    </font>
    <font>
      <name val="Tahoma"/>
      <family val="2"/>
      <i val="1"/>
      <color rgb="FFD8E6DF"/>
      <sz val="6.5"/>
    </font>
    <font>
      <name val="Tahoma"/>
      <family val="2"/>
      <b val="1"/>
      <color rgb="FFC89B3C"/>
      <sz val="8.5"/>
    </font>
    <font>
      <name val="B Nazanin"/>
      <family val="2"/>
      <color rgb="FF14453D"/>
      <sz val="11"/>
    </font>
    <font>
      <name val="B Nazanin"/>
      <family val="2"/>
      <color rgb="FF1E2A2B"/>
      <sz val="10.5"/>
    </font>
    <font>
      <name val="B Nazanin"/>
      <family val="2"/>
      <color rgb="FF14453D"/>
      <sz val="10"/>
    </font>
    <font>
      <name val="Tahoma"/>
      <family val="2"/>
      <color indexed="81"/>
      <sz val="8"/>
    </font>
    <font>
      <name val="B Nazanin"/>
      <b val="1"/>
      <color rgb="FF14453D"/>
      <sz val="10.5"/>
    </font>
    <font>
      <name val="B Nazanin"/>
      <b val="1"/>
      <color rgb="FF14453D"/>
      <sz val="21"/>
    </font>
    <font>
      <name val="B Nazanin"/>
      <color rgb="FF6B7A76"/>
      <sz val="10.5"/>
    </font>
    <font>
      <name val="B Nazanin"/>
      <color rgb="FF3A3327"/>
      <sz val="9.5"/>
    </font>
    <font>
      <name val="B Nazanin"/>
      <b val="1"/>
      <color rgb="FF6B7A76"/>
      <sz val="8"/>
    </font>
    <font>
      <name val="B Nazanin"/>
      <b val="1"/>
      <color rgb="FF14453D"/>
      <sz val="18"/>
    </font>
    <font>
      <name val="B Nazanin"/>
      <b val="1"/>
      <color rgb="FF3F7A57"/>
      <sz val="18"/>
    </font>
    <font>
      <name val="B Nazanin"/>
      <b val="1"/>
      <color rgb="FFC89B3C"/>
      <sz val="18"/>
    </font>
    <font>
      <name val="B Nazanin"/>
      <b val="1"/>
      <color rgb="FFC4623F"/>
      <sz val="18"/>
    </font>
    <font>
      <name val="B Nazanin"/>
      <b val="1"/>
      <color rgb="FFFFFFFF"/>
      <sz val="12"/>
    </font>
    <font>
      <name val="B Nazanin"/>
      <b val="1"/>
      <color rgb="FFFFFFFF"/>
      <sz val="9.5"/>
    </font>
    <font>
      <name val="Tahoma"/>
      <color rgb="FFD8E6DF"/>
      <sz val="7"/>
    </font>
    <font>
      <name val="Tahoma"/>
      <color rgb="FF2B2A26"/>
      <sz val="9"/>
    </font>
    <font>
      <name val="Tahoma"/>
      <color rgb="FF6B7A76"/>
      <sz val="9"/>
    </font>
    <font>
      <name val="Tahoma"/>
      <b val="1"/>
      <color rgb="FF2B2A26"/>
      <sz val="9"/>
    </font>
    <font>
      <name val="B Nazanin"/>
      <b val="1"/>
      <color rgb="FF2B2A26"/>
      <sz val="9.5"/>
    </font>
    <font>
      <name val="B Nazanin"/>
      <color rgb="FF2B2A26"/>
      <sz val="9"/>
    </font>
    <font>
      <name val="B Nazanin"/>
      <b val="1"/>
      <color rgb="FFFFFFFF"/>
      <sz val="10"/>
    </font>
    <font>
      <name val="Tahoma"/>
      <b val="1"/>
      <color rgb="FFFFFFFF"/>
      <sz val="10"/>
    </font>
    <font>
      <name val="B Nazanin"/>
      <color rgb="FF2B2A26"/>
      <sz val="10"/>
    </font>
    <font>
      <name val="Tahoma"/>
      <b val="1"/>
      <color rgb="FF14453D"/>
      <sz val="10"/>
    </font>
    <font>
      <name val="B Nazanin"/>
      <b val="1"/>
      <color rgb="FF2B2A26"/>
      <sz val="10"/>
    </font>
    <font>
      <name val="B Nazanin"/>
      <color rgb="FF2B2A26"/>
      <sz val="9.5"/>
    </font>
    <font>
      <name val="B Nazanin"/>
      <b val="1"/>
      <color rgb="FFFFFFFF"/>
      <sz val="11"/>
    </font>
    <font>
      <name val="B Nazanin"/>
      <color rgb="FF2B2A26"/>
      <sz val="10.5"/>
    </font>
    <font>
      <name val="B Nazanin"/>
      <color rgb="FF2A3B35"/>
      <sz val="10.5"/>
    </font>
  </fonts>
  <fills count="35">
    <fill>
      <patternFill/>
    </fill>
    <fill>
      <patternFill patternType="gray125"/>
    </fill>
    <fill>
      <patternFill patternType="solid">
        <fgColor rgb="FFF7F1E4"/>
        <bgColor indexed="64"/>
      </patternFill>
    </fill>
    <fill>
      <patternFill patternType="solid">
        <fgColor rgb="FFFBF8F1"/>
        <bgColor indexed="64"/>
      </patternFill>
    </fill>
    <fill>
      <patternFill patternType="solid">
        <fgColor rgb="FFC89B3C"/>
        <bgColor indexed="64"/>
      </patternFill>
    </fill>
    <fill>
      <patternFill patternType="solid">
        <fgColor rgb="FF14453D"/>
        <bgColor indexed="64"/>
      </patternFill>
    </fill>
    <fill>
      <patternFill patternType="solid">
        <fgColor rgb="FF6B4E9E"/>
        <bgColor indexed="64"/>
      </patternFill>
    </fill>
    <fill>
      <patternFill patternType="solid">
        <fgColor rgb="FFC4623F"/>
        <bgColor indexed="64"/>
      </patternFill>
    </fill>
    <fill>
      <patternFill patternType="solid">
        <fgColor rgb="FF7FA99B"/>
        <bgColor indexed="64"/>
      </patternFill>
    </fill>
    <fill>
      <patternFill patternType="solid">
        <fgColor rgb="FF2B5C7A"/>
        <bgColor indexed="64"/>
      </patternFill>
    </fill>
    <fill>
      <patternFill patternType="solid">
        <fgColor rgb="FFFFFFFF"/>
        <bgColor indexed="64"/>
      </patternFill>
    </fill>
    <fill>
      <patternFill patternType="solid">
        <fgColor rgb="FFEAF4EC"/>
        <bgColor indexed="64"/>
      </patternFill>
    </fill>
    <fill>
      <patternFill patternType="solid">
        <fgColor rgb="FFEAF1F7"/>
        <bgColor indexed="64"/>
      </patternFill>
    </fill>
    <fill>
      <patternFill patternType="solid">
        <fgColor rgb="FFF0EBF7"/>
        <bgColor indexed="64"/>
      </patternFill>
    </fill>
    <fill>
      <patternFill patternType="solid">
        <fgColor rgb="FFFBEDE7"/>
        <bgColor indexed="64"/>
      </patternFill>
    </fill>
    <fill>
      <patternFill patternType="solid">
        <fgColor rgb="FFF3EADB"/>
        <bgColor indexed="64"/>
      </patternFill>
    </fill>
    <fill>
      <patternFill patternType="solid">
        <fgColor rgb="FFF4F3EE"/>
        <bgColor indexed="64"/>
      </patternFill>
    </fill>
    <fill>
      <patternFill patternType="solid">
        <fgColor rgb="FFFDEFE4"/>
        <bgColor indexed="64"/>
      </patternFill>
    </fill>
    <fill>
      <patternFill patternType="solid">
        <fgColor rgb="FF2E6B4F"/>
        <bgColor indexed="64"/>
      </patternFill>
    </fill>
    <fill>
      <patternFill patternType="solid">
        <fgColor rgb="FFFFF4D6"/>
        <bgColor indexed="64"/>
      </patternFill>
    </fill>
    <fill>
      <patternFill patternType="solid">
        <fgColor rgb="FFF1F0EB"/>
        <bgColor indexed="64"/>
      </patternFill>
    </fill>
    <fill>
      <patternFill patternType="solid">
        <fgColor rgb="FFDCE9E2"/>
        <bgColor indexed="64"/>
      </patternFill>
    </fill>
    <fill>
      <patternFill patternType="solid">
        <fgColor rgb="FFF6F5F0"/>
        <bgColor indexed="64"/>
      </patternFill>
    </fill>
    <fill>
      <patternFill patternType="solid">
        <fgColor rgb="FFFCFAF3"/>
        <bgColor indexed="64"/>
      </patternFill>
    </fill>
    <fill>
      <patternFill patternType="solid">
        <fgColor rgb="FFE0A458"/>
        <bgColor indexed="64"/>
      </patternFill>
    </fill>
    <fill>
      <patternFill patternType="solid">
        <fgColor rgb="FFF3EADB"/>
      </patternFill>
    </fill>
    <fill>
      <patternFill patternType="solid">
        <fgColor rgb="FFF7F1E6"/>
      </patternFill>
    </fill>
    <fill>
      <patternFill patternType="solid">
        <fgColor rgb="FFFBF8F1"/>
      </patternFill>
    </fill>
    <fill>
      <patternFill patternType="solid">
        <fgColor rgb="FF14453D"/>
      </patternFill>
    </fill>
    <fill>
      <patternFill patternType="solid">
        <fgColor rgb="FFFFF4D6"/>
      </patternFill>
    </fill>
    <fill>
      <patternFill patternType="solid">
        <fgColor rgb="FFF6F5F0"/>
      </patternFill>
    </fill>
    <fill>
      <patternFill patternType="solid">
        <fgColor rgb="FFC89B3C"/>
      </patternFill>
    </fill>
    <fill>
      <patternFill patternType="solid">
        <fgColor rgb="FFFFFFFF"/>
      </patternFill>
    </fill>
    <fill>
      <patternFill patternType="solid">
        <fgColor rgb="FF7FA99B"/>
      </patternFill>
    </fill>
    <fill>
      <patternFill patternType="solid">
        <fgColor rgb="FFE4F0E8"/>
      </patternFill>
    </fill>
  </fills>
  <borders count="41">
    <border>
      <left/>
      <right/>
      <top/>
      <bottom/>
      <diagonal/>
    </border>
    <border>
      <left style="thin">
        <color rgb="FFDCD5C6"/>
      </left>
      <right style="thin">
        <color rgb="FFDCD5C6"/>
      </right>
      <top style="dashed">
        <color rgb="FFC89B3C"/>
      </top>
      <bottom style="thin">
        <color rgb="FFDCD5C6"/>
      </bottom>
      <diagonal/>
    </border>
    <border>
      <left style="thin">
        <color rgb="FFDCD5C6"/>
      </left>
      <right style="thin">
        <color rgb="FFDCD5C6"/>
      </right>
      <top style="thin">
        <color rgb="FFDCD5C6"/>
      </top>
      <bottom style="thin">
        <color rgb="FFDCD5C6"/>
      </bottom>
      <diagonal/>
    </border>
    <border>
      <left/>
      <right/>
      <top/>
      <bottom style="medium">
        <color rgb="FFC89B3C"/>
      </bottom>
      <diagonal/>
    </border>
    <border>
      <left style="thin">
        <color rgb="FFFFFFFF"/>
      </left>
      <right style="thin">
        <color rgb="FFFFFFFF"/>
      </right>
      <top style="thin">
        <color rgb="FFFFFFFF"/>
      </top>
      <bottom style="thin">
        <color rgb="FFFFFFFF"/>
      </bottom>
      <diagonal/>
    </border>
    <border>
      <left style="dashed">
        <color rgb="FFC89B3C"/>
      </left>
      <right style="thin">
        <color rgb="FFFFFFFF"/>
      </right>
      <top style="thin">
        <color rgb="FFFFFFFF"/>
      </top>
      <bottom style="thin">
        <color rgb="FFFFFFFF"/>
      </bottom>
      <diagonal/>
    </border>
    <border>
      <left style="thin">
        <color rgb="FFEAE4D7"/>
      </left>
      <right style="thin">
        <color rgb="FFEAE4D7"/>
      </right>
      <top style="thin">
        <color rgb="FFEAE4D7"/>
      </top>
      <bottom style="thin">
        <color rgb="FFEAE4D7"/>
      </bottom>
      <diagonal/>
    </border>
    <border>
      <left style="thin">
        <color rgb="FFC89B3C"/>
      </left>
      <right style="thin">
        <color rgb="FFC89B3C"/>
      </right>
      <top style="thin">
        <color rgb="FFC89B3C"/>
      </top>
      <bottom style="thin">
        <color rgb="FFC89B3C"/>
      </bottom>
      <diagonal/>
    </border>
    <border>
      <left style="thin">
        <color rgb="FF1F5C4D"/>
      </left>
      <right style="thin">
        <color rgb="FF1F5C4D"/>
      </right>
      <top style="thin">
        <color rgb="FF1F5C4D"/>
      </top>
      <bottom style="thin">
        <color rgb="FF1F5C4D"/>
      </bottom>
      <diagonal/>
    </border>
    <border>
      <left style="thin">
        <color rgb="FF1F5C4D"/>
      </left>
      <right style="thin">
        <color rgb="FF1F5C4D"/>
      </right>
      <top style="thin">
        <color rgb="FF1F5C4D"/>
      </top>
      <bottom style="medium">
        <color rgb="FFC89B3C"/>
      </bottom>
      <diagonal/>
    </border>
    <border>
      <left style="thin">
        <color rgb="FFEBD9AE"/>
      </left>
      <right style="thin">
        <color rgb="FFEBD9AE"/>
      </right>
      <top style="thin">
        <color rgb="FFEBD9AE"/>
      </top>
      <bottom style="thin">
        <color rgb="FFEBD9AE"/>
      </bottom>
      <diagonal/>
    </border>
    <border>
      <left style="thin">
        <color rgb="FFF1ECDF"/>
      </left>
      <right style="thin">
        <color rgb="FFF1ECDF"/>
      </right>
      <top style="thin">
        <color rgb="FFF1ECDF"/>
      </top>
      <bottom style="thin">
        <color rgb="FFF1ECDF"/>
      </bottom>
      <diagonal/>
    </border>
    <border>
      <left/>
      <right/>
      <top/>
      <bottom/>
      <diagonal/>
    </border>
    <border>
      <left/>
      <right/>
      <top style="dashed">
        <color rgb="FFC89B3C"/>
      </top>
      <bottom/>
      <diagonal/>
    </border>
    <border>
      <left/>
      <right style="thin">
        <color rgb="FFDCD5C6"/>
      </right>
      <top style="dashed">
        <color rgb="FFC89B3C"/>
      </top>
      <bottom/>
      <diagonal/>
    </border>
    <border>
      <left/>
      <right style="thin">
        <color rgb="FFDCD5C6"/>
      </right>
      <top style="dashed">
        <color rgb="FFC89B3C"/>
      </top>
      <bottom style="thin">
        <color rgb="FFDCD5C6"/>
      </bottom>
      <diagonal/>
    </border>
    <border>
      <left/>
      <right/>
      <top style="thin">
        <color rgb="FFDCD5C6"/>
      </top>
      <bottom/>
      <diagonal/>
    </border>
    <border>
      <left/>
      <right style="thin">
        <color rgb="FFDCD5C6"/>
      </right>
      <top style="thin">
        <color rgb="FFDCD5C6"/>
      </top>
      <bottom/>
      <diagonal/>
    </border>
    <border>
      <left/>
      <right style="thin">
        <color rgb="FFDCD5C6"/>
      </right>
      <top style="thin">
        <color rgb="FFDCD5C6"/>
      </top>
      <bottom style="thin">
        <color rgb="FFDCD5C6"/>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DCD5C6"/>
      </top>
      <bottom style="thin">
        <color rgb="FFDCD5C6"/>
      </bottom>
      <diagonal/>
    </border>
    <border>
      <left/>
      <right/>
      <top style="thin">
        <color rgb="FFEAE4D7"/>
      </top>
      <bottom/>
      <diagonal/>
    </border>
    <border>
      <left/>
      <right style="thin">
        <color rgb="FFEAE4D7"/>
      </right>
      <top style="thin">
        <color rgb="FFEAE4D7"/>
      </top>
      <bottom/>
      <diagonal/>
    </border>
    <border>
      <left/>
      <right/>
      <top style="thin">
        <color rgb="FFEAE4D7"/>
      </top>
      <bottom style="thin">
        <color rgb="FFEAE4D7"/>
      </bottom>
      <diagonal/>
    </border>
    <border>
      <left/>
      <right style="thin">
        <color rgb="FFEAE4D7"/>
      </right>
      <top style="thin">
        <color rgb="FFEAE4D7"/>
      </top>
      <bottom style="thin">
        <color rgb="FFEAE4D7"/>
      </bottom>
      <diagonal/>
    </border>
    <border>
      <left/>
      <right/>
      <top style="thin">
        <color rgb="FFC89B3C"/>
      </top>
      <bottom/>
      <diagonal/>
    </border>
    <border>
      <left/>
      <right style="thin">
        <color rgb="FFC89B3C"/>
      </right>
      <top style="thin">
        <color rgb="FFC89B3C"/>
      </top>
      <bottom/>
      <diagonal/>
    </border>
    <border>
      <left/>
      <right/>
      <top style="thin">
        <color rgb="FFC89B3C"/>
      </top>
      <bottom style="thin">
        <color rgb="FFC89B3C"/>
      </bottom>
      <diagonal/>
    </border>
    <border>
      <left/>
      <right style="thin">
        <color rgb="FFC89B3C"/>
      </right>
      <top style="thin">
        <color rgb="FFC89B3C"/>
      </top>
      <bottom style="thin">
        <color rgb="FFC89B3C"/>
      </bottom>
      <diagonal/>
    </border>
    <border>
      <left/>
      <right/>
      <top style="dashed">
        <color rgb="FFC89B3C"/>
      </top>
      <bottom style="thin">
        <color rgb="FFDCD5C6"/>
      </bottom>
      <diagonal/>
    </border>
    <border>
      <left/>
      <right/>
      <top style="thin">
        <color rgb="FF1F5C4D"/>
      </top>
      <bottom/>
      <diagonal/>
    </border>
    <border>
      <left/>
      <right style="thin">
        <color rgb="FF1F5C4D"/>
      </right>
      <top style="thin">
        <color rgb="FF1F5C4D"/>
      </top>
      <bottom/>
      <diagonal/>
    </border>
    <border>
      <left/>
      <right style="thin">
        <color rgb="FF1F5C4D"/>
      </right>
      <top style="thin">
        <color rgb="FF1F5C4D"/>
      </top>
      <bottom style="thin">
        <color rgb="FF1F5C4D"/>
      </bottom>
      <diagonal/>
    </border>
    <border>
      <left style="thin">
        <color rgb="FFDDD5C4"/>
      </left>
      <right style="thin">
        <color rgb="FFDDD5C4"/>
      </right>
      <top style="thin">
        <color rgb="FFDDD5C4"/>
      </top>
      <bottom style="thin">
        <color rgb="FFDDD5C4"/>
      </bottom>
    </border>
    <border>
      <left/>
      <right/>
      <top style="thin">
        <color rgb="FFDDD5C4"/>
      </top>
      <bottom/>
      <diagonal/>
    </border>
    <border>
      <left/>
      <right style="thin">
        <color rgb="FFDDD5C4"/>
      </right>
      <top style="thin">
        <color rgb="FFDDD5C4"/>
      </top>
      <bottom/>
      <diagonal/>
    </border>
    <border>
      <left/>
      <right/>
      <top style="thin">
        <color rgb="FFDDD5C4"/>
      </top>
      <bottom style="thin">
        <color rgb="FFDDD5C4"/>
      </bottom>
      <diagonal/>
    </border>
    <border>
      <left/>
      <right style="thin">
        <color rgb="FFDDD5C4"/>
      </right>
      <top style="thin">
        <color rgb="FFDDD5C4"/>
      </top>
      <bottom style="thin">
        <color rgb="FFDDD5C4"/>
      </bottom>
      <diagonal/>
    </border>
  </borders>
  <cellStyleXfs count="1">
    <xf numFmtId="0" fontId="0" fillId="0" borderId="12"/>
  </cellStyleXfs>
  <cellXfs count="204">
    <xf numFmtId="0" fontId="0" fillId="0" borderId="0" pivotButton="0" quotePrefix="0" xfId="0"/>
    <xf numFmtId="0" fontId="1" fillId="0" borderId="0" applyAlignment="1" pivotButton="0" quotePrefix="0" xfId="0">
      <alignment horizontal="right"/>
    </xf>
    <xf numFmtId="0" fontId="2"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right"/>
    </xf>
    <xf numFmtId="0" fontId="5" fillId="2" borderId="1" applyAlignment="1" pivotButton="0" quotePrefix="0" xfId="0">
      <alignment horizontal="center" vertical="center"/>
    </xf>
    <xf numFmtId="164" fontId="6" fillId="3" borderId="2" applyAlignment="1" pivotButton="0" quotePrefix="0" xfId="0">
      <alignment horizontal="center" vertical="center"/>
    </xf>
    <xf numFmtId="164" fontId="7" fillId="3" borderId="2" applyAlignment="1" pivotButton="0" quotePrefix="0" xfId="0">
      <alignment horizontal="center" vertical="center"/>
    </xf>
    <xf numFmtId="164" fontId="8" fillId="3" borderId="2" applyAlignment="1" pivotButton="0" quotePrefix="0" xfId="0">
      <alignment horizontal="center" vertical="center"/>
    </xf>
    <xf numFmtId="164" fontId="9" fillId="3" borderId="2" applyAlignment="1" pivotButton="0" quotePrefix="0" xfId="0">
      <alignment horizontal="center" vertical="center"/>
    </xf>
    <xf numFmtId="49" fontId="7" fillId="3" borderId="2" applyAlignment="1" pivotButton="0" quotePrefix="0" xfId="0">
      <alignment horizontal="center" vertical="center"/>
    </xf>
    <xf numFmtId="0" fontId="10" fillId="4" borderId="0" applyAlignment="1" pivotButton="0" quotePrefix="0" xfId="0">
      <alignment horizontal="center" vertical="center"/>
    </xf>
    <xf numFmtId="0" fontId="11" fillId="2" borderId="3" applyAlignment="1" pivotButton="0" quotePrefix="0" xfId="0">
      <alignment horizontal="right" vertical="center"/>
    </xf>
    <xf numFmtId="0" fontId="12" fillId="5" borderId="4" applyAlignment="1" pivotButton="0" quotePrefix="0" xfId="0">
      <alignment horizontal="right" vertical="center"/>
    </xf>
    <xf numFmtId="0" fontId="12" fillId="5" borderId="5" applyAlignment="1" pivotButton="0" quotePrefix="0" xfId="0">
      <alignment horizontal="right" vertical="center"/>
    </xf>
    <xf numFmtId="0" fontId="12" fillId="6" borderId="4" applyAlignment="1" pivotButton="0" quotePrefix="0" xfId="0">
      <alignment horizontal="right" vertical="center"/>
    </xf>
    <xf numFmtId="0" fontId="12" fillId="6" borderId="5" applyAlignment="1" pivotButton="0" quotePrefix="0" xfId="0">
      <alignment horizontal="right" vertical="center"/>
    </xf>
    <xf numFmtId="0" fontId="12" fillId="7" borderId="4" applyAlignment="1" pivotButton="0" quotePrefix="0" xfId="0">
      <alignment horizontal="right" vertical="center"/>
    </xf>
    <xf numFmtId="0" fontId="12" fillId="7" borderId="5" applyAlignment="1" pivotButton="0" quotePrefix="0" xfId="0">
      <alignment horizontal="right" vertical="center"/>
    </xf>
    <xf numFmtId="0" fontId="13" fillId="3" borderId="2" applyAlignment="1" pivotButton="0" quotePrefix="0" xfId="0">
      <alignment horizontal="right" vertical="top" wrapText="1"/>
    </xf>
    <xf numFmtId="0" fontId="12" fillId="8" borderId="4" applyAlignment="1" pivotButton="0" quotePrefix="0" xfId="0">
      <alignment horizontal="right" vertical="center"/>
    </xf>
    <xf numFmtId="0" fontId="12" fillId="8" borderId="5" applyAlignment="1" pivotButton="0" quotePrefix="0" xfId="0">
      <alignment horizontal="right" vertical="center"/>
    </xf>
    <xf numFmtId="0" fontId="12" fillId="9" borderId="4" applyAlignment="1" pivotButton="0" quotePrefix="0" xfId="0">
      <alignment horizontal="right" vertical="center"/>
    </xf>
    <xf numFmtId="0" fontId="12" fillId="9" borderId="5" applyAlignment="1" pivotButton="0" quotePrefix="0" xfId="0">
      <alignment horizontal="right" vertical="center"/>
    </xf>
    <xf numFmtId="0" fontId="12" fillId="4" borderId="4" applyAlignment="1" pivotButton="0" quotePrefix="0" xfId="0">
      <alignment horizontal="right" vertical="center"/>
    </xf>
    <xf numFmtId="0" fontId="12" fillId="4" borderId="5" applyAlignment="1" pivotButton="0" quotePrefix="0" xfId="0">
      <alignment horizontal="right" vertical="center"/>
    </xf>
    <xf numFmtId="0" fontId="14" fillId="4" borderId="0" applyAlignment="1" pivotButton="0" quotePrefix="0" xfId="0">
      <alignment horizontal="center" vertical="center"/>
    </xf>
    <xf numFmtId="0" fontId="15" fillId="10" borderId="6" applyAlignment="1" pivotButton="0" quotePrefix="0" xfId="0">
      <alignment horizontal="right"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1" fillId="15" borderId="4" applyAlignment="1" pivotButton="0" quotePrefix="0" xfId="0">
      <alignment horizontal="center" vertical="center"/>
    </xf>
    <xf numFmtId="0" fontId="1" fillId="16" borderId="4" applyAlignment="1" pivotButton="0" quotePrefix="0" xfId="0">
      <alignment horizontal="center" vertical="center"/>
    </xf>
    <xf numFmtId="0" fontId="1" fillId="17" borderId="4" applyAlignment="1" pivotButton="0" quotePrefix="0" xfId="0">
      <alignment horizontal="center" vertical="center"/>
    </xf>
    <xf numFmtId="0" fontId="16" fillId="2" borderId="6" applyAlignment="1" pivotButton="0" quotePrefix="0" xfId="0">
      <alignment horizontal="right" vertical="center" wrapText="1"/>
    </xf>
    <xf numFmtId="0" fontId="12" fillId="4" borderId="7" applyAlignment="1" pivotButton="0" quotePrefix="0" xfId="0">
      <alignment horizontal="center" vertical="center"/>
    </xf>
    <xf numFmtId="0" fontId="0" fillId="3" borderId="0" pivotButton="0" quotePrefix="0" xfId="0"/>
    <xf numFmtId="0" fontId="17" fillId="18" borderId="4" applyAlignment="1" pivotButton="0" quotePrefix="0" xfId="0">
      <alignment horizontal="right" vertical="center"/>
    </xf>
    <xf numFmtId="0" fontId="17" fillId="11" borderId="4" applyAlignment="1" pivotButton="0" quotePrefix="0" xfId="0">
      <alignment horizontal="right" vertical="center"/>
    </xf>
    <xf numFmtId="0" fontId="17" fillId="4" borderId="4" applyAlignment="1" pivotButton="0" quotePrefix="0" xfId="0">
      <alignment horizontal="right" vertical="center"/>
    </xf>
    <xf numFmtId="0" fontId="18" fillId="3" borderId="2" applyAlignment="1" pivotButton="0" quotePrefix="0" xfId="0">
      <alignment horizontal="right" vertical="center"/>
    </xf>
    <xf numFmtId="0" fontId="17" fillId="12" borderId="4" applyAlignment="1" pivotButton="0" quotePrefix="0" xfId="0">
      <alignment horizontal="right" vertical="center"/>
    </xf>
    <xf numFmtId="0" fontId="17" fillId="7" borderId="4" applyAlignment="1" pivotButton="0" quotePrefix="0" xfId="0">
      <alignment horizontal="right" vertical="center"/>
    </xf>
    <xf numFmtId="0" fontId="17" fillId="16" borderId="4" applyAlignment="1" pivotButton="0" quotePrefix="0" xfId="0">
      <alignment horizontal="right" vertical="center"/>
    </xf>
    <xf numFmtId="0" fontId="19" fillId="0" borderId="0" applyAlignment="1" pivotButton="0" quotePrefix="0" xfId="0">
      <alignment horizontal="right" vertical="center"/>
    </xf>
    <xf numFmtId="0" fontId="20" fillId="0" borderId="0" applyAlignment="1" pivotButton="0" quotePrefix="0" xfId="0">
      <alignment horizontal="left" vertical="center"/>
    </xf>
    <xf numFmtId="0" fontId="21" fillId="0" borderId="0" applyAlignment="1" pivotButton="0" quotePrefix="0" xfId="0">
      <alignment horizontal="right" vertical="center"/>
    </xf>
    <xf numFmtId="0" fontId="22" fillId="0" borderId="0" applyAlignment="1" pivotButton="0" quotePrefix="0" xfId="0">
      <alignment horizontal="right" vertical="top" wrapText="1"/>
    </xf>
    <xf numFmtId="0" fontId="23" fillId="5" borderId="4" applyAlignment="1" pivotButton="0" quotePrefix="0" xfId="0">
      <alignment horizontal="center" vertical="center"/>
    </xf>
    <xf numFmtId="0" fontId="24" fillId="19" borderId="4" applyAlignment="1" pivotButton="0" quotePrefix="0" xfId="0">
      <alignment horizontal="center" vertical="center"/>
    </xf>
    <xf numFmtId="0" fontId="25" fillId="20" borderId="4" applyAlignment="1" pivotButton="0" quotePrefix="0" xfId="0">
      <alignment horizontal="center" vertical="center"/>
    </xf>
    <xf numFmtId="0" fontId="26" fillId="11" borderId="4" applyAlignment="1" pivotButton="0" quotePrefix="0" xfId="0">
      <alignment horizontal="center" vertical="center"/>
    </xf>
    <xf numFmtId="0" fontId="27" fillId="12" borderId="4" applyAlignment="1" pivotButton="0" quotePrefix="0" xfId="0">
      <alignment horizontal="center" vertical="center"/>
    </xf>
    <xf numFmtId="0" fontId="28" fillId="14" borderId="4" applyAlignment="1" pivotButton="0" quotePrefix="0" xfId="0">
      <alignment horizontal="center" vertical="center"/>
    </xf>
    <xf numFmtId="0" fontId="29" fillId="0" borderId="0" applyAlignment="1" pivotButton="0" quotePrefix="0" xfId="0">
      <alignment horizontal="right" vertical="center"/>
    </xf>
    <xf numFmtId="164" fontId="30" fillId="3" borderId="2" applyAlignment="1" pivotButton="0" quotePrefix="0" xfId="0">
      <alignment horizontal="center" vertical="center"/>
    </xf>
    <xf numFmtId="164" fontId="31" fillId="3" borderId="2" applyAlignment="1" pivotButton="0" quotePrefix="0" xfId="0">
      <alignment horizontal="center" vertical="center"/>
    </xf>
    <xf numFmtId="164" fontId="32" fillId="3" borderId="2" applyAlignment="1" pivotButton="0" quotePrefix="0" xfId="0">
      <alignment horizontal="center" vertical="center"/>
    </xf>
    <xf numFmtId="164" fontId="33" fillId="3" borderId="2" applyAlignment="1" pivotButton="0" quotePrefix="0" xfId="0">
      <alignment horizontal="center" vertical="center"/>
    </xf>
    <xf numFmtId="164" fontId="34" fillId="3" borderId="2" applyAlignment="1" pivotButton="0" quotePrefix="0" xfId="0">
      <alignment horizontal="center" vertical="center"/>
    </xf>
    <xf numFmtId="0" fontId="35" fillId="21" borderId="4" applyAlignment="1" pivotButton="0" quotePrefix="0" xfId="0">
      <alignment horizontal="center" vertical="center"/>
    </xf>
    <xf numFmtId="0" fontId="35" fillId="11" borderId="4" applyAlignment="1" pivotButton="0" quotePrefix="0" xfId="0">
      <alignment horizontal="center" vertical="center"/>
    </xf>
    <xf numFmtId="0" fontId="35" fillId="13" borderId="4" applyAlignment="1" pivotButton="0" quotePrefix="0" xfId="0">
      <alignment horizontal="center" vertical="center"/>
    </xf>
    <xf numFmtId="0" fontId="35" fillId="12" borderId="4" applyAlignment="1" pivotButton="0" quotePrefix="0" xfId="0">
      <alignment horizontal="center" vertical="center"/>
    </xf>
    <xf numFmtId="0" fontId="35" fillId="15" borderId="4" applyAlignment="1" pivotButton="0" quotePrefix="0" xfId="0">
      <alignment horizontal="center" vertical="center"/>
    </xf>
    <xf numFmtId="0" fontId="35" fillId="14" borderId="4" applyAlignment="1" pivotButton="0" quotePrefix="0" xfId="0">
      <alignment horizontal="center" vertical="center"/>
    </xf>
    <xf numFmtId="0" fontId="35" fillId="16" borderId="4" applyAlignment="1" pivotButton="0" quotePrefix="0" xfId="0">
      <alignment horizontal="center" vertical="center"/>
    </xf>
    <xf numFmtId="0" fontId="17" fillId="5" borderId="8" applyAlignment="1" pivotButton="0" quotePrefix="0" xfId="0">
      <alignment horizontal="center" vertical="center" wrapText="1"/>
    </xf>
    <xf numFmtId="0" fontId="36" fillId="5" borderId="9" applyAlignment="1" pivotButton="0" quotePrefix="0" xfId="0">
      <alignment horizontal="center" vertical="center"/>
    </xf>
    <xf numFmtId="0" fontId="37" fillId="22" borderId="6" applyAlignment="1" pivotButton="0" quotePrefix="0" xfId="0">
      <alignment horizontal="center" vertical="center" wrapText="1"/>
    </xf>
    <xf numFmtId="0" fontId="38" fillId="19" borderId="10" applyAlignment="1" pivotButton="0" quotePrefix="0" xfId="0">
      <alignment horizontal="center" vertical="center" wrapText="1"/>
    </xf>
    <xf numFmtId="0" fontId="39" fillId="19" borderId="10" applyAlignment="1" pivotButton="0" quotePrefix="0" xfId="0">
      <alignment horizontal="right" vertical="center" wrapText="1"/>
    </xf>
    <xf numFmtId="0" fontId="40" fillId="22" borderId="6" applyAlignment="1" pivotButton="0" quotePrefix="0" xfId="0">
      <alignment horizontal="right" vertical="center" wrapText="1"/>
    </xf>
    <xf numFmtId="164" fontId="38" fillId="19" borderId="10" applyAlignment="1" pivotButton="0" quotePrefix="0" xfId="0">
      <alignment horizontal="center" vertical="center" wrapText="1"/>
    </xf>
    <xf numFmtId="165" fontId="41" fillId="22" borderId="6" applyAlignment="1" pivotButton="0" quotePrefix="0" xfId="0">
      <alignment horizontal="center" vertical="center" wrapText="1"/>
    </xf>
    <xf numFmtId="164" fontId="41" fillId="22" borderId="6" applyAlignment="1" pivotButton="0" quotePrefix="0" xfId="0">
      <alignment horizontal="center" vertical="center" wrapText="1"/>
    </xf>
    <xf numFmtId="0" fontId="42" fillId="22" borderId="6" applyAlignment="1" pivotButton="0" quotePrefix="0" xfId="0">
      <alignment horizontal="center" vertical="center" wrapText="1"/>
    </xf>
    <xf numFmtId="164" fontId="43" fillId="3" borderId="2" applyAlignment="1" pivotButton="0" quotePrefix="0" xfId="0">
      <alignment horizontal="center" vertical="center"/>
    </xf>
    <xf numFmtId="49" fontId="31" fillId="3" borderId="2" applyAlignment="1" pivotButton="0" quotePrefix="0" xfId="0">
      <alignment horizontal="center" vertical="center"/>
    </xf>
    <xf numFmtId="0" fontId="44" fillId="10" borderId="6" applyAlignment="1" pivotButton="0" quotePrefix="0" xfId="0">
      <alignment horizontal="center" vertical="center"/>
    </xf>
    <xf numFmtId="0" fontId="45" fillId="10" borderId="6" applyAlignment="1" pivotButton="0" quotePrefix="0" xfId="0">
      <alignment horizontal="right" vertical="center"/>
    </xf>
    <xf numFmtId="164" fontId="46" fillId="10" borderId="6" applyAlignment="1" pivotButton="0" quotePrefix="0" xfId="0">
      <alignment horizontal="center" vertical="center"/>
    </xf>
    <xf numFmtId="0" fontId="47" fillId="23" borderId="11" applyAlignment="1" pivotButton="0" quotePrefix="0" xfId="0">
      <alignment horizontal="center" vertical="center"/>
    </xf>
    <xf numFmtId="0" fontId="12" fillId="5" borderId="0" applyAlignment="1" pivotButton="0" quotePrefix="0" xfId="0">
      <alignment horizontal="right" vertical="center"/>
    </xf>
    <xf numFmtId="164" fontId="14" fillId="5" borderId="0" applyAlignment="1" pivotButton="0" quotePrefix="0" xfId="0">
      <alignment horizontal="center" vertical="center"/>
    </xf>
    <xf numFmtId="0" fontId="0" fillId="5" borderId="0" pivotButton="0" quotePrefix="0" xfId="0"/>
    <xf numFmtId="0" fontId="48" fillId="5" borderId="0" applyAlignment="1" pivotButton="0" quotePrefix="0" xfId="0">
      <alignment horizontal="center" vertical="center"/>
    </xf>
    <xf numFmtId="0" fontId="49" fillId="5" borderId="8" applyAlignment="1" pivotButton="0" quotePrefix="0" xfId="0">
      <alignment horizontal="center" vertical="center"/>
    </xf>
    <xf numFmtId="0" fontId="1" fillId="2" borderId="2" applyAlignment="1" pivotButton="0" quotePrefix="0" xfId="0">
      <alignment horizontal="right" vertical="center"/>
    </xf>
    <xf numFmtId="0" fontId="0" fillId="10" borderId="6" pivotButton="0" quotePrefix="0" xfId="0"/>
    <xf numFmtId="164" fontId="50" fillId="3" borderId="6" applyAlignment="1" pivotButton="0" quotePrefix="0" xfId="0">
      <alignment horizontal="center" vertical="center"/>
    </xf>
    <xf numFmtId="0" fontId="51" fillId="5" borderId="8" applyAlignment="1" pivotButton="0" quotePrefix="0" xfId="0">
      <alignment horizontal="center" vertical="center" wrapText="1"/>
    </xf>
    <xf numFmtId="164" fontId="37" fillId="22" borderId="6" applyAlignment="1" pivotButton="0" quotePrefix="0" xfId="0">
      <alignment horizontal="center" vertical="center" wrapText="1"/>
    </xf>
    <xf numFmtId="164" fontId="52" fillId="22" borderId="6" applyAlignment="1" pivotButton="0" quotePrefix="0" xfId="0">
      <alignment horizontal="center" vertical="center" wrapText="1"/>
    </xf>
    <xf numFmtId="166" fontId="37" fillId="22" borderId="6" applyAlignment="1" pivotButton="0" quotePrefix="0" xfId="0">
      <alignment horizontal="center" vertical="center" wrapText="1"/>
    </xf>
    <xf numFmtId="0" fontId="17" fillId="4" borderId="7" applyAlignment="1" pivotButton="0" quotePrefix="0" xfId="0">
      <alignment horizontal="center" vertical="center"/>
    </xf>
    <xf numFmtId="164" fontId="10" fillId="4" borderId="7" applyAlignment="1" pivotButton="0" quotePrefix="0" xfId="0">
      <alignment horizontal="center" vertical="center"/>
    </xf>
    <xf numFmtId="166" fontId="10" fillId="4" borderId="7" applyAlignment="1" pivotButton="0" quotePrefix="0" xfId="0">
      <alignment horizontal="center" vertical="center"/>
    </xf>
    <xf numFmtId="0" fontId="51" fillId="5" borderId="8" applyAlignment="1" pivotButton="0" quotePrefix="0" xfId="0">
      <alignment horizontal="center" vertical="center"/>
    </xf>
    <xf numFmtId="0" fontId="53" fillId="2" borderId="2" applyAlignment="1" pivotButton="0" quotePrefix="0" xfId="0">
      <alignment horizontal="center" vertical="center"/>
    </xf>
    <xf numFmtId="0" fontId="54" fillId="2" borderId="3" applyAlignment="1" pivotButton="0" quotePrefix="0" xfId="0">
      <alignment horizontal="right" vertical="center"/>
    </xf>
    <xf numFmtId="0" fontId="29" fillId="0" borderId="0" applyAlignment="1" pivotButton="0" quotePrefix="0" xfId="0">
      <alignment horizontal="right" vertical="center" wrapText="1"/>
    </xf>
    <xf numFmtId="0" fontId="2" fillId="0" borderId="0" applyAlignment="1" pivotButton="0" quotePrefix="0" xfId="0">
      <alignment horizontal="left" vertical="center"/>
    </xf>
    <xf numFmtId="0" fontId="51" fillId="5" borderId="4" applyAlignment="1" pivotButton="0" quotePrefix="0" xfId="0">
      <alignment horizontal="center" vertical="center"/>
    </xf>
    <xf numFmtId="0" fontId="51" fillId="7" borderId="4" applyAlignment="1" pivotButton="0" quotePrefix="0" xfId="0">
      <alignment horizontal="center" vertical="center"/>
    </xf>
    <xf numFmtId="0" fontId="51" fillId="6" borderId="4" applyAlignment="1" pivotButton="0" quotePrefix="0" xfId="0">
      <alignment horizontal="center" vertical="center"/>
    </xf>
    <xf numFmtId="0" fontId="51" fillId="24" borderId="4" applyAlignment="1" pivotButton="0" quotePrefix="0" xfId="0">
      <alignment horizontal="center" vertical="center"/>
    </xf>
    <xf numFmtId="0" fontId="51" fillId="18" borderId="4" applyAlignment="1" pivotButton="0" quotePrefix="0" xfId="0">
      <alignment horizontal="center" vertical="center"/>
    </xf>
    <xf numFmtId="0" fontId="51" fillId="4" borderId="4" applyAlignment="1" pivotButton="0" quotePrefix="0" xfId="0">
      <alignment horizontal="center" vertical="center"/>
    </xf>
    <xf numFmtId="0" fontId="51" fillId="8" borderId="4" applyAlignment="1" pivotButton="0" quotePrefix="0" xfId="0">
      <alignment horizontal="center" vertical="center"/>
    </xf>
    <xf numFmtId="0" fontId="55" fillId="5" borderId="0" applyAlignment="1" pivotButton="0" quotePrefix="0" xfId="0">
      <alignment horizontal="center" vertical="center"/>
    </xf>
    <xf numFmtId="0" fontId="55" fillId="7" borderId="0" applyAlignment="1" pivotButton="0" quotePrefix="0" xfId="0">
      <alignment horizontal="center" vertical="center"/>
    </xf>
    <xf numFmtId="0" fontId="55" fillId="6" borderId="0" applyAlignment="1" pivotButton="0" quotePrefix="0" xfId="0">
      <alignment horizontal="center" vertical="center"/>
    </xf>
    <xf numFmtId="0" fontId="55" fillId="24" borderId="0" applyAlignment="1" pivotButton="0" quotePrefix="0" xfId="0">
      <alignment horizontal="center" vertical="center"/>
    </xf>
    <xf numFmtId="0" fontId="55" fillId="18" borderId="0" applyAlignment="1" pivotButton="0" quotePrefix="0" xfId="0">
      <alignment horizontal="center" vertical="center"/>
    </xf>
    <xf numFmtId="0" fontId="55" fillId="4" borderId="0" applyAlignment="1" pivotButton="0" quotePrefix="0" xfId="0">
      <alignment horizontal="center" vertical="center"/>
    </xf>
    <xf numFmtId="0" fontId="55" fillId="8" borderId="0" applyAlignment="1" pivotButton="0" quotePrefix="0" xfId="0">
      <alignment horizontal="center" vertical="center"/>
    </xf>
    <xf numFmtId="0" fontId="47" fillId="10" borderId="6" applyAlignment="1" pivotButton="0" quotePrefix="0" xfId="0">
      <alignment horizontal="center" vertical="center"/>
    </xf>
    <xf numFmtId="164" fontId="44" fillId="10" borderId="6" applyAlignment="1" pivotButton="0" quotePrefix="0" xfId="0">
      <alignment horizontal="center" vertical="center"/>
    </xf>
    <xf numFmtId="0" fontId="56" fillId="0" borderId="0" applyAlignment="1" pivotButton="0" quotePrefix="0" xfId="0">
      <alignment horizontal="center" vertical="center"/>
    </xf>
    <xf numFmtId="0" fontId="57" fillId="0" borderId="0" applyAlignment="1" pivotButton="0" quotePrefix="0" xfId="0">
      <alignment horizontal="right" vertical="center"/>
    </xf>
    <xf numFmtId="0" fontId="58" fillId="10" borderId="12" applyAlignment="1" pivotButton="0" quotePrefix="0" xfId="0">
      <alignment horizontal="right" vertical="center" wrapText="1"/>
    </xf>
    <xf numFmtId="0" fontId="15" fillId="0" borderId="0" applyAlignment="1" pivotButton="0" quotePrefix="0" xfId="0">
      <alignment horizontal="right" vertical="center" wrapText="1" indent="1"/>
    </xf>
    <xf numFmtId="0" fontId="59" fillId="11" borderId="6" applyAlignment="1" pivotButton="0" quotePrefix="0" xfId="0">
      <alignment horizontal="right" vertical="center" wrapText="1"/>
    </xf>
    <xf numFmtId="0" fontId="1" fillId="0" borderId="12" applyAlignment="1" pivotButton="0" quotePrefix="0" xfId="0">
      <alignment horizontal="right"/>
    </xf>
    <xf numFmtId="0" fontId="2" fillId="0" borderId="12" applyAlignment="1" pivotButton="0" quotePrefix="0" xfId="0">
      <alignment horizontal="left"/>
    </xf>
    <xf numFmtId="0" fontId="3" fillId="0" borderId="12" applyAlignment="1" pivotButton="0" quotePrefix="0" xfId="0">
      <alignment horizontal="right"/>
    </xf>
    <xf numFmtId="0" fontId="4" fillId="0" borderId="12" applyAlignment="1" pivotButton="0" quotePrefix="0" xfId="0">
      <alignment horizontal="right"/>
    </xf>
    <xf numFmtId="0" fontId="0" fillId="0" borderId="15" pivotButton="0" quotePrefix="0" xfId="0"/>
    <xf numFmtId="0" fontId="0" fillId="0" borderId="18" pivotButton="0" quotePrefix="0" xfId="0"/>
    <xf numFmtId="49" fontId="7" fillId="3" borderId="2" applyAlignment="1" pivotButton="0" quotePrefix="0" xfId="0">
      <alignment horizontal="center" vertical="center"/>
    </xf>
    <xf numFmtId="0" fontId="0" fillId="0" borderId="3"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0" fontId="86" fillId="34" borderId="36" applyAlignment="1" pivotButton="0" quotePrefix="0" xfId="0">
      <alignment horizontal="right" vertical="center" wrapText="1" readingOrder="2"/>
    </xf>
    <xf numFmtId="0" fontId="86" fillId="25" borderId="36" applyAlignment="1" pivotButton="0" quotePrefix="0" xfId="0">
      <alignment horizontal="right" vertical="center" wrapText="1" readingOrder="2"/>
    </xf>
    <xf numFmtId="0" fontId="19" fillId="0" borderId="12" applyAlignment="1" pivotButton="0" quotePrefix="0" xfId="0">
      <alignment horizontal="right" vertical="center"/>
    </xf>
    <xf numFmtId="0" fontId="20" fillId="0" borderId="12" applyAlignment="1" pivotButton="0" quotePrefix="0" xfId="0">
      <alignment horizontal="left" vertical="center"/>
    </xf>
    <xf numFmtId="0" fontId="21" fillId="0" borderId="12" applyAlignment="1" pivotButton="0" quotePrefix="0" xfId="0">
      <alignment horizontal="right" vertical="center"/>
    </xf>
    <xf numFmtId="0" fontId="22" fillId="0" borderId="12" applyAlignment="1" pivotButton="0" quotePrefix="0" xfId="0">
      <alignment horizontal="right" vertical="top" wrapText="1"/>
    </xf>
    <xf numFmtId="0" fontId="29" fillId="0" borderId="12" applyAlignment="1" pivotButton="0" quotePrefix="0" xfId="0">
      <alignment horizontal="right" vertical="center"/>
    </xf>
    <xf numFmtId="0" fontId="0" fillId="0" borderId="32" pivotButton="0" quotePrefix="0" xfId="0"/>
    <xf numFmtId="165" fontId="41" fillId="22" borderId="6" applyAlignment="1" pivotButton="0" quotePrefix="0" xfId="0">
      <alignment horizontal="center" vertical="center" wrapText="1"/>
    </xf>
    <xf numFmtId="49" fontId="31" fillId="3" borderId="2" applyAlignment="1" pivotButton="0" quotePrefix="0" xfId="0">
      <alignment horizontal="center" vertical="center"/>
    </xf>
    <xf numFmtId="0" fontId="12" fillId="5" borderId="12" applyAlignment="1" pivotButton="0" quotePrefix="0" xfId="0">
      <alignment horizontal="right" vertical="center"/>
    </xf>
    <xf numFmtId="0" fontId="0" fillId="5" borderId="12" pivotButton="0" quotePrefix="0" xfId="0"/>
    <xf numFmtId="0" fontId="0" fillId="0" borderId="35" pivotButton="0" quotePrefix="0" xfId="0"/>
    <xf numFmtId="166" fontId="37" fillId="22" borderId="6" applyAlignment="1" pivotButton="0" quotePrefix="0" xfId="0">
      <alignment horizontal="center" vertical="center" wrapText="1"/>
    </xf>
    <xf numFmtId="166" fontId="10" fillId="4" borderId="7" applyAlignment="1" pivotButton="0" quotePrefix="0" xfId="0">
      <alignment horizontal="center" vertical="center"/>
    </xf>
    <xf numFmtId="0" fontId="61" fillId="0" borderId="0" applyAlignment="1" pivotButton="0" quotePrefix="0" xfId="0">
      <alignment horizontal="right" vertical="center" readingOrder="2"/>
    </xf>
    <xf numFmtId="0" fontId="62" fillId="0" borderId="0" applyAlignment="1" pivotButton="0" quotePrefix="0" xfId="0">
      <alignment horizontal="right" vertical="center" readingOrder="2"/>
    </xf>
    <xf numFmtId="0" fontId="63" fillId="0" borderId="0" applyAlignment="1" pivotButton="0" quotePrefix="0" xfId="0">
      <alignment horizontal="right" vertical="center" readingOrder="2"/>
    </xf>
    <xf numFmtId="0" fontId="64" fillId="25" borderId="36" applyAlignment="1" pivotButton="0" quotePrefix="0" xfId="0">
      <alignment horizontal="right" vertical="center" wrapText="1" readingOrder="2"/>
    </xf>
    <xf numFmtId="0" fontId="65" fillId="26" borderId="36" applyAlignment="1" pivotButton="0" quotePrefix="0" xfId="0">
      <alignment horizontal="center" vertical="center" readingOrder="2"/>
    </xf>
    <xf numFmtId="3" fontId="66" fillId="27" borderId="36" applyAlignment="1" pivotButton="0" quotePrefix="0" xfId="0">
      <alignment horizontal="center" vertical="center" readingOrder="2"/>
    </xf>
    <xf numFmtId="3" fontId="67" fillId="27" borderId="36" applyAlignment="1" pivotButton="0" quotePrefix="0" xfId="0">
      <alignment horizontal="center" vertical="center" readingOrder="2"/>
    </xf>
    <xf numFmtId="3" fontId="68" fillId="27" borderId="36" applyAlignment="1" pivotButton="0" quotePrefix="0" xfId="0">
      <alignment horizontal="center" vertical="center" readingOrder="2"/>
    </xf>
    <xf numFmtId="3" fontId="69" fillId="27" borderId="36" applyAlignment="1" pivotButton="0" quotePrefix="0" xfId="0">
      <alignment horizontal="center" vertical="center" readingOrder="2"/>
    </xf>
    <xf numFmtId="0" fontId="70" fillId="28" borderId="0" applyAlignment="1" pivotButton="0" quotePrefix="0" xfId="0">
      <alignment horizontal="right" vertical="center" readingOrder="2"/>
    </xf>
    <xf numFmtId="0" fontId="71" fillId="28" borderId="36" applyAlignment="1" pivotButton="0" quotePrefix="0" xfId="0">
      <alignment horizontal="center" vertical="center" wrapText="1" readingOrder="2"/>
    </xf>
    <xf numFmtId="0" fontId="72" fillId="28" borderId="36" applyAlignment="1" pivotButton="0" quotePrefix="0" xfId="0">
      <alignment horizontal="center" vertical="center" readingOrder="2"/>
    </xf>
    <xf numFmtId="0" fontId="73" fillId="29" borderId="36" applyAlignment="1" pivotButton="0" quotePrefix="0" xfId="0">
      <alignment horizontal="center" vertical="center" readingOrder="2"/>
    </xf>
    <xf numFmtId="3" fontId="74" fillId="30" borderId="36" applyAlignment="1" pivotButton="0" quotePrefix="0" xfId="0">
      <alignment horizontal="center" vertical="center" readingOrder="2"/>
    </xf>
    <xf numFmtId="164" fontId="75" fillId="27" borderId="36" applyAlignment="1" pivotButton="0" quotePrefix="0" xfId="0">
      <alignment horizontal="center" vertical="center" readingOrder="2"/>
    </xf>
    <xf numFmtId="0" fontId="76" fillId="27" borderId="36" applyAlignment="1" pivotButton="0" quotePrefix="0" xfId="0">
      <alignment horizontal="center" vertical="center" readingOrder="2"/>
    </xf>
    <xf numFmtId="0" fontId="77" fillId="29" borderId="36" applyAlignment="1" pivotButton="0" quotePrefix="0" xfId="0">
      <alignment horizontal="right" vertical="center" readingOrder="2"/>
    </xf>
    <xf numFmtId="0" fontId="78" fillId="31" borderId="36" applyAlignment="1" pivotButton="0" quotePrefix="0" xfId="0">
      <alignment horizontal="center" vertical="center" readingOrder="2"/>
    </xf>
    <xf numFmtId="164" fontId="79" fillId="31" borderId="36" applyAlignment="1" pivotButton="0" quotePrefix="0" xfId="0">
      <alignment horizontal="center" vertical="center" readingOrder="2"/>
    </xf>
    <xf numFmtId="0" fontId="71" fillId="31" borderId="36" applyAlignment="1" pivotButton="0" quotePrefix="0" xfId="0">
      <alignment horizontal="center" vertical="center" readingOrder="2"/>
    </xf>
    <xf numFmtId="0" fontId="80" fillId="26" borderId="36" applyAlignment="1" pivotButton="0" quotePrefix="0" xfId="0">
      <alignment horizontal="right" vertical="center" readingOrder="2"/>
    </xf>
    <xf numFmtId="164" fontId="81" fillId="27" borderId="36" applyAlignment="1" pivotButton="0" quotePrefix="0" xfId="0">
      <alignment horizontal="center" vertical="center" readingOrder="2"/>
    </xf>
    <xf numFmtId="0" fontId="80" fillId="32" borderId="36" applyAlignment="1" pivotButton="0" quotePrefix="0" xfId="0">
      <alignment horizontal="right" vertical="center" readingOrder="2"/>
    </xf>
    <xf numFmtId="0" fontId="82" fillId="32" borderId="36" applyAlignment="1" pivotButton="0" quotePrefix="0" xfId="0">
      <alignment horizontal="right" vertical="center" readingOrder="2"/>
    </xf>
    <xf numFmtId="0" fontId="70" fillId="33" borderId="0" applyAlignment="1" pivotButton="0" quotePrefix="0" xfId="0">
      <alignment horizontal="right" vertical="center" readingOrder="2"/>
    </xf>
    <xf numFmtId="0" fontId="83" fillId="27" borderId="36" applyAlignment="1" pivotButton="0" quotePrefix="0" xfId="0">
      <alignment horizontal="right" vertical="center" wrapText="1" readingOrder="2"/>
    </xf>
    <xf numFmtId="0" fontId="83" fillId="32" borderId="36" applyAlignment="1" pivotButton="0" quotePrefix="0" xfId="0">
      <alignment horizontal="right" vertical="center" wrapText="1" readingOrder="2"/>
    </xf>
    <xf numFmtId="0" fontId="29" fillId="0" borderId="12" applyAlignment="1" pivotButton="0" quotePrefix="0" xfId="0">
      <alignment horizontal="right" vertical="center" wrapText="1"/>
    </xf>
    <xf numFmtId="0" fontId="2" fillId="0" borderId="12" applyAlignment="1" pivotButton="0" quotePrefix="0" xfId="0">
      <alignment horizontal="left" vertical="center"/>
    </xf>
    <xf numFmtId="0" fontId="55" fillId="5" borderId="12" applyAlignment="1" pivotButton="0" quotePrefix="0" xfId="0">
      <alignment horizontal="center" vertical="center"/>
    </xf>
    <xf numFmtId="0" fontId="55" fillId="7" borderId="12" applyAlignment="1" pivotButton="0" quotePrefix="0" xfId="0">
      <alignment horizontal="center" vertical="center"/>
    </xf>
    <xf numFmtId="0" fontId="55" fillId="6" borderId="12" applyAlignment="1" pivotButton="0" quotePrefix="0" xfId="0">
      <alignment horizontal="center" vertical="center"/>
    </xf>
    <xf numFmtId="0" fontId="55" fillId="24" borderId="12" applyAlignment="1" pivotButton="0" quotePrefix="0" xfId="0">
      <alignment horizontal="center" vertical="center"/>
    </xf>
    <xf numFmtId="0" fontId="55" fillId="18" borderId="12" applyAlignment="1" pivotButton="0" quotePrefix="0" xfId="0">
      <alignment horizontal="center" vertical="center"/>
    </xf>
    <xf numFmtId="0" fontId="55" fillId="4" borderId="12" applyAlignment="1" pivotButton="0" quotePrefix="0" xfId="0">
      <alignment horizontal="center" vertical="center"/>
    </xf>
    <xf numFmtId="0" fontId="55" fillId="8" borderId="12" applyAlignment="1" pivotButton="0" quotePrefix="0" xfId="0">
      <alignment horizontal="center" vertical="center"/>
    </xf>
    <xf numFmtId="0" fontId="57" fillId="0" borderId="12" applyAlignment="1" pivotButton="0" quotePrefix="0" xfId="0">
      <alignment horizontal="right" vertical="center"/>
    </xf>
    <xf numFmtId="0" fontId="15" fillId="0" borderId="12" applyAlignment="1" pivotButton="0" quotePrefix="0" xfId="0">
      <alignment horizontal="right" vertical="center" wrapText="1" indent="1"/>
    </xf>
    <xf numFmtId="0" fontId="84" fillId="28" borderId="36" applyAlignment="1" pivotButton="0" quotePrefix="0" xfId="0">
      <alignment horizontal="right" vertical="center" wrapText="1" readingOrder="2"/>
    </xf>
    <xf numFmtId="0" fontId="85" fillId="0" borderId="0" applyAlignment="1" pivotButton="0" quotePrefix="0" xfId="0">
      <alignment horizontal="right" vertical="center" wrapText="1" readingOrder="2"/>
    </xf>
    <xf numFmtId="0" fontId="85" fillId="34" borderId="36" applyAlignment="1" pivotButton="0" quotePrefix="0" xfId="0">
      <alignment horizontal="right" vertical="center" wrapText="1" readingOrder="2"/>
    </xf>
    <xf numFmtId="0" fontId="0" fillId="0" borderId="39" pivotButton="0" quotePrefix="0" xfId="0"/>
    <xf numFmtId="0" fontId="0" fillId="0" borderId="40" pivotButton="0" quotePrefix="0" xfId="0"/>
    <xf numFmtId="166" fontId="74" fillId="30" borderId="36" applyAlignment="1" pivotButton="0" quotePrefix="0" xfId="0">
      <alignment horizontal="center" vertical="center" readingOrder="2"/>
    </xf>
    <xf numFmtId="3" fontId="75" fillId="27" borderId="36" applyAlignment="1" pivotButton="0" quotePrefix="0" xfId="0">
      <alignment horizontal="center" vertical="center" readingOrder="2"/>
    </xf>
    <xf numFmtId="166" fontId="0" fillId="0" borderId="0" pivotButton="0" quotePrefix="0" xfId="0"/>
    <xf numFmtId="3" fontId="0" fillId="0" borderId="0" pivotButton="0" quotePrefix="0" xfId="0"/>
    <xf numFmtId="166" fontId="79" fillId="31" borderId="36" applyAlignment="1" pivotButton="0" quotePrefix="0" xfId="0">
      <alignment horizontal="center" vertical="center" readingOrder="2"/>
    </xf>
    <xf numFmtId="3" fontId="79" fillId="31" borderId="36" applyAlignment="1" pivotButton="0" quotePrefix="0" xfId="0">
      <alignment horizontal="center" vertical="center" readingOrder="2"/>
    </xf>
  </cellXfs>
  <cellStyles count="1">
    <cellStyle name="Normal" xfId="0" builtinId="0"/>
  </cellStyles>
  <dxfs count="13">
    <dxf>
      <fill>
        <patternFill>
          <bgColor rgb="FFEAF4EC"/>
        </patternFill>
      </fill>
    </dxf>
    <dxf>
      <fill>
        <patternFill>
          <bgColor rgb="FFEAF1F7"/>
        </patternFill>
      </fill>
    </dxf>
    <dxf>
      <fill>
        <patternFill>
          <bgColor rgb="FFF0EBF7"/>
        </patternFill>
      </fill>
    </dxf>
    <dxf>
      <fill>
        <patternFill>
          <bgColor rgb="FFFBEDE7"/>
        </patternFill>
      </fill>
    </dxf>
    <dxf>
      <fill>
        <patternFill>
          <bgColor rgb="FFF3EADB"/>
        </patternFill>
      </fill>
    </dxf>
    <dxf>
      <fill>
        <patternFill>
          <bgColor rgb="FFF4F3EE"/>
        </patternFill>
      </fill>
    </dxf>
    <dxf>
      <fill>
        <patternFill>
          <bgColor rgb="FFFDEFE4"/>
        </patternFill>
      </fill>
    </dxf>
    <dxf>
      <fill>
        <patternFill>
          <bgColor rgb="FFF1EDE3"/>
        </patternFill>
      </fill>
    </dxf>
    <dxf>
      <fill>
        <patternFill>
          <bgColor rgb="FFE4F1F0"/>
        </patternFill>
      </fill>
    </dxf>
    <dxf>
      <font>
        <b val="1"/>
        <color rgb="FFB4452F"/>
      </font>
      <fill>
        <patternFill>
          <bgColor rgb="FFFBEDE7"/>
        </patternFill>
      </fill>
    </dxf>
    <dxf>
      <font>
        <b val="1"/>
        <color rgb="FF2E6B4F"/>
      </font>
    </dxf>
    <dxf>
      <font>
        <color rgb="FFB4452F"/>
      </font>
      <fill>
        <patternFill>
          <bgColor rgb="FFFBEDE7"/>
        </patternFill>
      </fill>
    </dxf>
    <dxf>
      <fill>
        <patternFill>
          <bgColor rgb="FFF7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راهنمای مازندشت</author>
  </authors>
  <commentList>
    <comment ref="A8" authorId="0" shapeId="0">
      <text>
        <t>شماره خودکار ردیف.</t>
      </text>
    </comment>
    <comment ref="B8" authorId="0" shapeId="0">
      <text>
        <t>تاریخ شمسی: 1405/07/10</t>
      </text>
    </comment>
    <comment ref="C8" authorId="0" shapeId="0">
      <text>
        <t>ساعت: 09:30 یا 9:30</t>
      </text>
    </comment>
    <comment ref="D8" authorId="0" shapeId="0">
      <text>
        <t>شماره فاکتور/رسید/بارنامه.</t>
      </text>
    </comment>
    <comment ref="E8" authorId="0" shapeId="0">
      <text>
        <t>از کشو انتخاب کنید: خرید، فروش، آبگیری، انعام، باسکول دیگران، درآمد، مرجوعی، ضایعات…</t>
      </text>
    </comment>
    <comment ref="F8" authorId="0" shapeId="0">
      <text>
        <t>خودکار از قواعد عملیات (ورود/خروج/—).</t>
      </text>
    </comment>
    <comment ref="G8" authorId="0" shapeId="0">
      <text>
        <t>کد طرف حساب از INFO/Accounts. برای عملیات با طرف ثابت (انعام/ضایعات) خالی بگذارید.</t>
      </text>
    </comment>
    <comment ref="H8" authorId="0" shapeId="0">
      <text>
        <t>خودکار از INFO.</t>
      </text>
    </comment>
    <comment ref="I8" authorId="0" shapeId="0">
      <text>
        <t>خودکار از INFO.</t>
      </text>
    </comment>
    <comment ref="J8" authorId="0" shapeId="0">
      <text>
        <t>نوع مرکبات/محصول از کشو.</t>
      </text>
    </comment>
    <comment ref="K8" authorId="0" shapeId="0">
      <text>
        <t>نوع سبد؛ وزن تار آن از INFO خوانده می‌شود.</t>
      </text>
    </comment>
    <comment ref="L8" authorId="0" shapeId="0">
      <text>
        <t>وزن خام روی باسکول.</t>
      </text>
    </comment>
    <comment ref="M8" authorId="0" shapeId="0">
      <text>
        <t>تعداد سبدهای این بار.</t>
      </text>
    </comment>
    <comment ref="N8" authorId="0" shapeId="0">
      <text>
        <t>خودکار: (باسکول − تعداد×تار) × (۱−افت) — افت فقط برای خرید.</t>
      </text>
    </comment>
    <comment ref="O8" authorId="0" shapeId="0">
      <text>
        <t>قیمت هر کیلو (یا هر سبد در عملیات مبلغی).</t>
      </text>
    </comment>
    <comment ref="P8" authorId="0" shapeId="0">
      <text>
        <t>خودکار: وزن خالص × فی (یا وزن/تعداد × فی برای عملیات مبلغی).</t>
      </text>
    </comment>
    <comment ref="Q8" authorId="0" shapeId="0">
      <text>
        <t>خرید: به بستانکاری باغدار اضافه می‌شود. فروش: هزینه باسکول از پوز. انعام/آبگیری/باسکول دیگران: مبلغ اصلی.</t>
      </text>
    </comment>
    <comment ref="R8" authorId="0" shapeId="0">
      <text>
        <t>فقط برای عملیات «خودکار» (مثل آبگیری): بدهکار یا بستانکار طرف حساب.</t>
      </text>
    </comment>
    <comment ref="S8" authorId="0" shapeId="0">
      <text>
        <t>✓ سالم، ⚠ ناتراز/وزن/حساب/مبلغ.</t>
      </text>
    </comment>
    <comment ref="T8" authorId="0" shapeId="0">
      <text>
        <t>هر یادداشت: کرایه، شماره قبض، نام راننده…</t>
      </text>
    </comment>
  </commentList>
</comments>
</file>

<file path=xl/comments/comment2.xml><?xml version="1.0" encoding="utf-8"?>
<comments xmlns="http://schemas.openxmlformats.org/spreadsheetml/2006/main">
  <authors>
    <author>راهنمای مازندشت</author>
  </authors>
  <commentList>
    <comment ref="A8" authorId="0" shapeId="0">
      <text>
        <t>شماره خودکار.</t>
      </text>
    </comment>
    <comment ref="B8" authorId="0" shapeId="0">
      <text>
        <t>شمسی 1405/07/10</t>
      </text>
    </comment>
    <comment ref="C8" authorId="0" shapeId="0">
      <text>
        <t>شماره رسید/فاکتور.</t>
      </text>
    </comment>
    <comment ref="D8" authorId="0" shapeId="0">
      <text>
        <t>خرید سبد، فروش سبد، مرجوعی خرید سبد، مرجوعی فروش سبد، انتقال.</t>
      </text>
    </comment>
    <comment ref="E8" authorId="0" shapeId="0">
      <text>
        <t>فروشنده سبد (S…) یا خریدار سبد.</t>
      </text>
    </comment>
    <comment ref="F8" authorId="0" shapeId="0">
      <text>
        <t>خودکار.</t>
      </text>
    </comment>
    <comment ref="G8" authorId="0" shapeId="0">
      <text>
        <t>خودکار.</t>
      </text>
    </comment>
    <comment ref="H8" authorId="0" shapeId="0">
      <text>
        <t>از کشو؛ وزن تار در INFO/باسکتس.</t>
      </text>
    </comment>
    <comment ref="I8" authorId="0" shapeId="0">
      <text>
        <t>تعداد سبد.</t>
      </text>
    </comment>
    <comment ref="J8" authorId="0" shapeId="0">
      <text>
        <t>قیمت هر سبد.</t>
      </text>
    </comment>
    <comment ref="K8" authorId="0" shapeId="0">
      <text>
        <t>خودکار: تعداد × فی.</t>
      </text>
    </comment>
    <comment ref="L8" authorId="0" shapeId="0">
      <text>
        <t>✓ سالم / ⚠ ناتراز.</t>
      </text>
    </comment>
  </commentList>
</comments>
</file>

<file path=xl/comments/comment3.xml><?xml version="1.0" encoding="utf-8"?>
<comments xmlns="http://schemas.openxmlformats.org/spreadsheetml/2006/main">
  <authors>
    <author>راهنمای مازندشت</author>
  </authors>
  <commentList>
    <comment ref="A8" authorId="0" shapeId="0">
      <text>
        <t>شماره خودکار.</t>
      </text>
    </comment>
    <comment ref="B8" authorId="0" shapeId="0">
      <text>
        <t>شمسی 1405/07/10</t>
      </text>
    </comment>
    <comment ref="C8" authorId="0" shapeId="0">
      <text>
        <t>شماره پرداخت/دریافت.</t>
      </text>
    </comment>
    <comment ref="D8" authorId="0" shapeId="0">
      <text>
        <t>پرداخت (از ما به طرف) یا دریافت (از طرف به ما).</t>
      </text>
    </comment>
    <comment ref="E8" authorId="0" shapeId="0">
      <text>
        <t>نقد، چک، انتقال بانکی، کارت/پوز، پاس چک، برگشت چک، انتقال داخلی.</t>
      </text>
    </comment>
    <comment ref="F8" authorId="0" shapeId="0">
      <text>
        <t>طرف حساب. برای پاس/برگشت چک و انتقال داخلی خالی بگذارید.</t>
      </text>
    </comment>
    <comment ref="G8" authorId="0" shapeId="0">
      <text>
        <t>خودکار.</t>
      </text>
    </comment>
    <comment ref="H8" authorId="0" shapeId="0">
      <text>
        <t>خودکار.</t>
      </text>
    </comment>
    <comment ref="I8" authorId="0" shapeId="0">
      <text>
        <t>بانک طرف پرداخت/دریافت. برای نقد خالی؛ برای انتقال داخلی، بانک مقصد.</t>
      </text>
    </comment>
    <comment ref="J8" authorId="0" shapeId="0">
      <text>
        <t>برای روش چک/پاس/برگشت.</t>
      </text>
    </comment>
    <comment ref="K8" authorId="0" shapeId="0">
      <text>
        <t>مبلغ تسویه.</t>
      </text>
    </comment>
    <comment ref="L8" authorId="0" shapeId="0">
      <text>
        <t>در جریان، پاس شده، برگشتی، باطل.</t>
      </text>
    </comment>
    <comment ref="M8" authorId="0" shapeId="0">
      <text>
        <t>تاریخ سررسید چک.</t>
      </text>
    </comment>
    <comment ref="N8" authorId="0" shapeId="0">
      <text>
        <t>فقط برای انتقال داخلی.</t>
      </text>
    </comment>
    <comment ref="O8" authorId="0" shapeId="0">
      <text>
        <t>شماره سند مرتبط (اختیاری).</t>
      </text>
    </comment>
    <comment ref="P8" authorId="0" shapeId="0">
      <text>
        <t>شرح پرداخت/دریافت.</t>
      </text>
    </comment>
    <comment ref="Q8" authorId="0" shapeId="0">
      <text>
        <t>مثلاً «تسویه باغدار» یا «فروش بار».</t>
      </text>
    </comment>
    <comment ref="R8" authorId="0" shapeId="0">
      <text>
        <t>✓ سالم / ⚠ ناتراز.</t>
      </text>
    </comment>
  </commentList>
</comments>
</file>

<file path=xl/comments/comment4.xml><?xml version="1.0" encoding="utf-8"?>
<comments xmlns="http://schemas.openxmlformats.org/spreadsheetml/2006/main">
  <authors>
    <author>راهنمای مازندشت</author>
  </authors>
  <commentList>
    <comment ref="A8" authorId="0" shapeId="0">
      <text>
        <t>تاریخ سند.</t>
      </text>
    </comment>
    <comment ref="B8" authorId="0" shapeId="0">
      <text>
        <t>شماره سند.</t>
      </text>
    </comment>
    <comment ref="C8" authorId="0" shapeId="0">
      <text>
        <t>باسکول / پرداخت / سبد.</t>
      </text>
    </comment>
    <comment ref="D8" authorId="0" shapeId="0">
      <text>
        <t>حساب این سطر.</t>
      </text>
    </comment>
    <comment ref="E8" authorId="0" shapeId="0">
      <text>
        <t>شرح عملیات.</t>
      </text>
    </comment>
    <comment ref="F8" authorId="0" shapeId="0">
      <text>
        <t>برای ردیف‌های باسکول.</t>
      </text>
    </comment>
    <comment ref="K8" authorId="0" shapeId="0">
      <text>
        <t>مبلغ کل سند.</t>
      </text>
    </comment>
    <comment ref="L8" authorId="0" shapeId="0">
      <text>
        <t>بدهکار این حساب.</t>
      </text>
    </comment>
    <comment ref="M8" authorId="0" shapeId="0">
      <text>
        <t>بستانکار این حساب.</t>
      </text>
    </comment>
    <comment ref="O8" authorId="0" shapeId="0">
      <text>
        <t>خودکار از INFO.</t>
      </text>
    </comment>
    <comment ref="P8" authorId="0" shapeId="0">
      <text>
        <t>برای گزارش بارفروشان.</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Master.xlsx" TargetMode="External" Id="rId1" /><Relationship Type="http://schemas.openxmlformats.org/officeDocument/2006/relationships/hyperlink" Target="02_Bank.xlsx" TargetMode="External" Id="rId2" /><Relationship Type="http://schemas.openxmlformats.org/officeDocument/2006/relationships/hyperlink" Target="03_Report.xlsx" TargetMode="External" Id="rId3" /><Relationship Type="http://schemas.openxmlformats.org/officeDocument/2006/relationships/hyperlink" Target="04_Inv.xlsx" TargetMode="External" Id="rId4" /><Relationship Type="http://schemas.openxmlformats.org/officeDocument/2006/relationships/hyperlink" Target="05_Bal.xlsx" TargetMode="External" Id="rId5" /><Relationship Type="http://schemas.openxmlformats.org/officeDocument/2006/relationships/hyperlink" Target="06_Buyers.xlsx" TargetMode="External" Id="rId6" /><Relationship Type="http://schemas.openxmlformats.org/officeDocument/2006/relationships/hyperlink" Target="07_Demo.xlsx" TargetMode="External" Id="rId7"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14453D"/>
    <outlinePr summaryBelow="1" summaryRight="1"/>
    <pageSetUpPr fitToPage="1"/>
  </sheetPr>
  <dimension ref="A1:J40"/>
  <sheetViews>
    <sheetView showGridLines="0" rightToLeft="1" tabSelected="1" zoomScale="88" zoomScaleNormal="88" workbookViewId="0">
      <pane ySplit="9" topLeftCell="A10" activePane="bottomLeft" state="frozen"/>
      <selection pane="bottomLeft" activeCell="A1" sqref="A1"/>
    </sheetView>
  </sheetViews>
  <sheetFormatPr baseColWidth="8" defaultRowHeight="15"/>
  <cols>
    <col width="16.7109375" customWidth="1" min="1" max="10"/>
  </cols>
  <sheetData>
    <row r="1" ht="18" customHeight="1">
      <c r="A1" s="125" t="inlineStr">
        <is>
          <t>مازندشت — سورتینگ و بسته‌بندی مرکبات</t>
        </is>
      </c>
      <c r="G1" s="126" t="inlineStr">
        <is>
          <t>MAZANDASHT  ·  CITRUS SORTING &amp; PACKING</t>
        </is>
      </c>
    </row>
    <row r="2" ht="30" customHeight="1">
      <c r="A2" s="127" t="inlineStr">
        <is>
          <t>ثبت روزانه — باسکول، سبد و پرداخت</t>
        </is>
      </c>
    </row>
    <row r="3" ht="20.25" customHeight="1">
      <c r="A3" s="128" t="inlineStr">
        <is>
          <t>تنها فایل ورود داده  ·  همه گزارش‌ها و ترازنامه‌ها از همین‌جا می‌خوانند  ·  نسخه ۰۱</t>
        </is>
      </c>
    </row>
    <row r="4" ht="8.25" customHeight="1"/>
    <row r="5" ht="18" customHeight="1">
      <c r="A5" s="5" t="inlineStr">
        <is>
          <t>توزین‌های ثبت‌شده</t>
        </is>
      </c>
      <c r="B5" s="129" t="n"/>
      <c r="C5" s="5" t="inlineStr">
        <is>
          <t>جمع خالص ورود (kg)</t>
        </is>
      </c>
      <c r="D5" s="129" t="n"/>
      <c r="E5" s="5" t="inlineStr">
        <is>
          <t>جمع خالص خروج (kg)</t>
        </is>
      </c>
      <c r="F5" s="129" t="n"/>
      <c r="G5" s="5" t="inlineStr">
        <is>
          <t>جمع مبالغ (ریال)</t>
        </is>
      </c>
      <c r="H5" s="129" t="n"/>
      <c r="I5" s="5" t="inlineStr">
        <is>
          <t>وضعیت تراز</t>
        </is>
      </c>
      <c r="J5" s="129" t="n"/>
    </row>
    <row r="6" ht="32.25" customHeight="1">
      <c r="A6" s="6">
        <f>COUNTA(Scale!$B$10:$B$309)</f>
        <v/>
      </c>
      <c r="B6" s="130" t="n"/>
      <c r="C6" s="7">
        <f>SUMIF(Scale!$F$10:$F$309,"ورود",Scale!$N$10:$N$309)</f>
        <v/>
      </c>
      <c r="D6" s="130" t="n"/>
      <c r="E6" s="8">
        <f>SUMIF(Scale!$F$10:$F$309,"خروج",Scale!$N$10:$N$309)</f>
        <v/>
      </c>
      <c r="F6" s="130" t="n"/>
      <c r="G6" s="9">
        <f>SUM(Book!$K$10:$K$1808)</f>
        <v/>
      </c>
      <c r="H6" s="130" t="n"/>
      <c r="I6" s="131">
        <f>IF(ROUND(SUM(Book!$L$10:$L$1808)-SUM(Book!$M$10:$M$1808),0)=0,"✓ تراز","⚠ ناتراز")</f>
        <v/>
      </c>
      <c r="J6" s="130" t="n"/>
    </row>
    <row r="8" ht="30" customHeight="1">
      <c r="A8" s="11" t="inlineStr">
        <is>
          <t>۰۱</t>
        </is>
      </c>
      <c r="B8" s="12" t="inlineStr">
        <is>
          <t>شیت‌های این فایل  —  روی هر کارت کلیک کنید</t>
        </is>
      </c>
      <c r="C8" s="132" t="n"/>
      <c r="D8" s="132" t="n"/>
      <c r="E8" s="132" t="n"/>
      <c r="F8" s="132" t="n"/>
      <c r="G8" s="132" t="n"/>
      <c r="H8" s="132" t="n"/>
      <c r="I8" s="132" t="n"/>
      <c r="J8" s="132" t="n"/>
    </row>
    <row r="9" ht="24" customHeight="1">
      <c r="A9" s="13" t="inlineStr">
        <is>
          <t>باسکول</t>
        </is>
      </c>
      <c r="B9" s="133" t="n"/>
      <c r="C9" s="134" t="n"/>
      <c r="D9" s="15" t="inlineStr">
        <is>
          <t>سبد</t>
        </is>
      </c>
      <c r="E9" s="133" t="n"/>
      <c r="F9" s="134" t="n"/>
      <c r="G9" s="17" t="inlineStr">
        <is>
          <t>پرداخت</t>
        </is>
      </c>
      <c r="H9" s="133" t="n"/>
      <c r="I9" s="134" t="n"/>
    </row>
    <row r="10" ht="27.75" customHeight="1">
      <c r="A10" s="19" t="inlineStr">
        <is>
          <t>ثبت ورود/خروج بار، خرید باغدار، فروش بارفروش، آبگیری، انعام و باسکول دیگران</t>
        </is>
      </c>
      <c r="B10" s="135" t="n"/>
      <c r="C10" s="130" t="n"/>
      <c r="D10" s="19" t="inlineStr">
        <is>
          <t>خرید، فروش و مرجوعی سبد به‌همراه موجودی خودکار</t>
        </is>
      </c>
      <c r="E10" s="135" t="n"/>
      <c r="F10" s="130" t="n"/>
      <c r="G10" s="19" t="inlineStr">
        <is>
          <t>پرداخت و دریافت نقدی/بانکی/چک، پاس چک و انتقال داخلی</t>
        </is>
      </c>
      <c r="H10" s="135" t="n"/>
      <c r="I10" s="130" t="n"/>
    </row>
    <row r="11" ht="12" customHeight="1"/>
    <row r="12" ht="24" customHeight="1">
      <c r="A12" s="20" t="inlineStr">
        <is>
          <t>دفتر معین</t>
        </is>
      </c>
      <c r="B12" s="133" t="n"/>
      <c r="C12" s="134" t="n"/>
      <c r="D12" s="22" t="inlineStr">
        <is>
          <t>خلاصه</t>
        </is>
      </c>
      <c r="E12" s="133" t="n"/>
      <c r="F12" s="134" t="n"/>
      <c r="G12" s="24" t="inlineStr">
        <is>
          <t>راهنما</t>
        </is>
      </c>
      <c r="H12" s="133" t="n"/>
      <c r="I12" s="134" t="n"/>
    </row>
    <row r="13" ht="27.75" customHeight="1">
      <c r="A13" s="19" t="inlineStr">
        <is>
          <t>همه گردش‌های طرف حساب‌ها یک‌جا — منبع گزارش‌ها</t>
        </is>
      </c>
      <c r="B13" s="135" t="n"/>
      <c r="C13" s="130" t="n"/>
      <c r="D13" s="19" t="inlineStr">
        <is>
          <t>تراز دفتر، گردش گروه‌ها، موجودی سبد و آمار ماهانه</t>
        </is>
      </c>
      <c r="E13" s="135" t="n"/>
      <c r="F13" s="130" t="n"/>
      <c r="G13" s="19" t="inlineStr">
        <is>
          <t>آموزش کامل این فایل و قواعد بدهکار/بستانکار</t>
        </is>
      </c>
      <c r="H13" s="135" t="n"/>
      <c r="I13" s="130" t="n"/>
    </row>
    <row r="14" ht="12" customHeight="1"/>
    <row r="18" ht="30" customHeight="1">
      <c r="A18" s="11" t="inlineStr">
        <is>
          <t>۰۲</t>
        </is>
      </c>
      <c r="B18" s="12" t="inlineStr">
        <is>
          <t>شروع سریع — پنج گام  —  هر روز همین ترتیب را برو</t>
        </is>
      </c>
      <c r="C18" s="132" t="n"/>
      <c r="D18" s="132" t="n"/>
      <c r="E18" s="132" t="n"/>
      <c r="F18" s="132" t="n"/>
      <c r="G18" s="132" t="n"/>
      <c r="H18" s="132" t="n"/>
      <c r="I18" s="132" t="n"/>
      <c r="J18" s="132" t="n"/>
    </row>
    <row r="19" ht="24" customHeight="1">
      <c r="A19" s="26" t="inlineStr">
        <is>
          <t>۱</t>
        </is>
      </c>
      <c r="B19" s="27" t="inlineStr">
        <is>
          <t>اول INFO را باز کنید و اگر حساب/عملیات جدیدی دارید اضافه کنید؛ بعد Update Links.</t>
        </is>
      </c>
      <c r="C19" s="136" t="n"/>
      <c r="D19" s="136" t="n"/>
      <c r="E19" s="136" t="n"/>
      <c r="F19" s="136" t="n"/>
      <c r="G19" s="136" t="n"/>
      <c r="H19" s="136" t="n"/>
      <c r="I19" s="136" t="n"/>
      <c r="J19" s="137" t="n"/>
    </row>
    <row r="20" ht="24" customHeight="1">
      <c r="A20" s="26" t="inlineStr">
        <is>
          <t>۲</t>
        </is>
      </c>
      <c r="B20" s="27" t="inlineStr">
        <is>
          <t>در شیت باسکول، نوع عملیات را انتخاب کنید؛ جهت، نام و گروه خودکار می‌آید.</t>
        </is>
      </c>
      <c r="C20" s="136" t="n"/>
      <c r="D20" s="136" t="n"/>
      <c r="E20" s="136" t="n"/>
      <c r="F20" s="136" t="n"/>
      <c r="G20" s="136" t="n"/>
      <c r="H20" s="136" t="n"/>
      <c r="I20" s="136" t="n"/>
      <c r="J20" s="137" t="n"/>
    </row>
    <row r="21" ht="24" customHeight="1">
      <c r="A21" s="26" t="inlineStr">
        <is>
          <t>۳</t>
        </is>
      </c>
      <c r="B21" s="27" t="inlineStr">
        <is>
          <t>وزن باسکول، تعداد سبد و فی را وارد کنید؛ وزن خالص و مبلغ خودکار محاسبه می‌شود.</t>
        </is>
      </c>
      <c r="C21" s="136" t="n"/>
      <c r="D21" s="136" t="n"/>
      <c r="E21" s="136" t="n"/>
      <c r="F21" s="136" t="n"/>
      <c r="G21" s="136" t="n"/>
      <c r="H21" s="136" t="n"/>
      <c r="I21" s="136" t="n"/>
      <c r="J21" s="137" t="n"/>
    </row>
    <row r="22" ht="24" customHeight="1">
      <c r="A22" s="26" t="inlineStr">
        <is>
          <t>۴</t>
        </is>
      </c>
      <c r="B22" s="27" t="inlineStr">
        <is>
          <t>پول‌ها را در شیت پرداخت ثبت کنید (نقد، بانک، چک، پاس چک).</t>
        </is>
      </c>
      <c r="C22" s="136" t="n"/>
      <c r="D22" s="136" t="n"/>
      <c r="E22" s="136" t="n"/>
      <c r="F22" s="136" t="n"/>
      <c r="G22" s="136" t="n"/>
      <c r="H22" s="136" t="n"/>
      <c r="I22" s="136" t="n"/>
      <c r="J22" s="137" t="n"/>
    </row>
    <row r="23" ht="24" customHeight="1">
      <c r="A23" s="26" t="inlineStr">
        <is>
          <t>۵</t>
        </is>
      </c>
      <c r="B23" s="27" t="inlineStr">
        <is>
          <t>شیت خلاصه را ببینید؛ اگر تراز سبز بود، گزارش/فاکتور/ترازنامه را باز کنید.</t>
        </is>
      </c>
      <c r="C23" s="136" t="n"/>
      <c r="D23" s="136" t="n"/>
      <c r="E23" s="136" t="n"/>
      <c r="F23" s="136" t="n"/>
      <c r="G23" s="136" t="n"/>
      <c r="H23" s="136" t="n"/>
      <c r="I23" s="136" t="n"/>
      <c r="J23" s="137" t="n"/>
    </row>
    <row r="25" ht="30" customHeight="1">
      <c r="A25" s="11" t="inlineStr">
        <is>
          <t>۰۳</t>
        </is>
      </c>
      <c r="B25" s="12" t="inlineStr">
        <is>
          <t>رنگ‌ها و معنی آن‌ها</t>
        </is>
      </c>
      <c r="C25" s="132" t="n"/>
      <c r="D25" s="132" t="n"/>
      <c r="E25" s="132" t="n"/>
      <c r="F25" s="132" t="n"/>
      <c r="G25" s="132" t="n"/>
      <c r="H25" s="132" t="n"/>
      <c r="I25" s="132" t="n"/>
      <c r="J25" s="132" t="n"/>
    </row>
    <row r="26" ht="21.75" customHeight="1">
      <c r="A26" s="28" t="inlineStr">
        <is>
          <t>خرید مرکبات</t>
        </is>
      </c>
      <c r="B26" s="134" t="n"/>
      <c r="C26" s="29" t="inlineStr">
        <is>
          <t>فروش بار</t>
        </is>
      </c>
      <c r="D26" s="134" t="n"/>
      <c r="E26" s="30" t="inlineStr">
        <is>
          <t>آبگیری</t>
        </is>
      </c>
      <c r="F26" s="134" t="n"/>
      <c r="G26" s="31" t="inlineStr">
        <is>
          <t>انعام مصطفی</t>
        </is>
      </c>
      <c r="H26" s="134" t="n"/>
    </row>
    <row r="27" ht="21.75" customHeight="1">
      <c r="A27" s="32" t="inlineStr">
        <is>
          <t>باسکول دیگران</t>
        </is>
      </c>
      <c r="B27" s="134" t="n"/>
      <c r="C27" s="33" t="inlineStr">
        <is>
          <t>مرجوعی/ضایعات</t>
        </is>
      </c>
      <c r="D27" s="134" t="n"/>
      <c r="E27" s="34" t="inlineStr">
        <is>
          <t>درآمد پوز</t>
        </is>
      </c>
      <c r="F27" s="134" t="n"/>
      <c r="G27" s="31" t="inlineStr">
        <is>
          <t>⚠ ناتراز</t>
        </is>
      </c>
      <c r="H27" s="134" t="n"/>
    </row>
    <row r="30" ht="39.75" customHeight="1">
      <c r="A30" s="35" t="inlineStr">
        <is>
          <t>این فایل هیچ تعریفی از خودش ندارد: کد حساب‌ها، عملیات، وزن سبد و پارامترها همه از INFO می‌آیند. اگر فایلی را جابه‌جا کردید، هر دو فایل را با هم جابه‌جا کنید و در Excel: Data ← Edit Links ← Update Values.</t>
        </is>
      </c>
      <c r="B30" s="136" t="n"/>
      <c r="C30" s="136" t="n"/>
      <c r="D30" s="136" t="n"/>
      <c r="E30" s="136" t="n"/>
      <c r="F30" s="136" t="n"/>
      <c r="G30" s="136" t="n"/>
      <c r="H30" s="136" t="n"/>
      <c r="I30" s="136" t="n"/>
      <c r="J30" s="137" t="n"/>
    </row>
    <row r="31" ht="27.75" customHeight="1">
      <c r="A31" s="36" t="inlineStr">
        <is>
          <t>باز کردن فایل مادر INFO</t>
        </is>
      </c>
      <c r="B31" s="138" t="n"/>
      <c r="C31" s="138" t="n"/>
      <c r="D31" s="138" t="n"/>
      <c r="E31" s="138" t="n"/>
      <c r="F31" s="138" t="n"/>
      <c r="G31" s="138" t="n"/>
      <c r="H31" s="138" t="n"/>
      <c r="I31" s="138" t="n"/>
      <c r="J31" s="139" t="n"/>
    </row>
    <row r="33" ht="30" customHeight="1">
      <c r="A33" s="11" t="inlineStr">
        <is>
          <t>۰۴</t>
        </is>
      </c>
      <c r="B33" s="12" t="inlineStr">
        <is>
          <t>فایل‌های دیگر مجموعه  —  همه در همین پوشه  ·  داده‌ها از همین فایل خوانده می‌شود</t>
        </is>
      </c>
      <c r="C33" s="132" t="n"/>
      <c r="D33" s="132" t="n"/>
      <c r="E33" s="132" t="n"/>
      <c r="F33" s="132" t="n"/>
      <c r="G33" s="132" t="n"/>
      <c r="H33" s="132" t="n"/>
      <c r="I33" s="132" t="n"/>
      <c r="J33" s="132" t="n"/>
    </row>
    <row r="34" ht="24" customHeight="1">
      <c r="A34" s="38" t="inlineStr">
        <is>
          <t>بانک  ·  02_Bank.xlsx</t>
        </is>
      </c>
      <c r="B34" s="133" t="n"/>
      <c r="C34" s="134" t="n"/>
      <c r="D34" s="39" t="inlineStr">
        <is>
          <t>گزارش  ·  03_Report.xlsx</t>
        </is>
      </c>
      <c r="E34" s="133" t="n"/>
      <c r="F34" s="134" t="n"/>
      <c r="G34" s="40" t="inlineStr">
        <is>
          <t>فاکتور  ·  04_Inv.xlsx</t>
        </is>
      </c>
      <c r="H34" s="133" t="n"/>
      <c r="I34" s="134" t="n"/>
    </row>
    <row r="35" ht="18" customHeight="1">
      <c r="A35" s="41" t="inlineStr">
        <is>
          <t>تراکنش بانکی، چک، مغایرت‌گیری</t>
        </is>
      </c>
      <c r="B35" s="135" t="n"/>
      <c r="C35" s="130" t="n"/>
      <c r="D35" s="41" t="inlineStr">
        <is>
          <t>صورت‌حساب باغدار و بارفروش</t>
        </is>
      </c>
      <c r="E35" s="135" t="n"/>
      <c r="F35" s="130" t="n"/>
      <c r="G35" s="41" t="inlineStr">
        <is>
          <t>تیک زدن سطرها و چاپ فاکتور</t>
        </is>
      </c>
      <c r="H35" s="135" t="n"/>
      <c r="I35" s="130" t="n"/>
    </row>
    <row r="36" ht="24" customHeight="1">
      <c r="A36" s="42" t="inlineStr">
        <is>
          <t>ترازنامه  ·  05_Bal.xlsx</t>
        </is>
      </c>
      <c r="B36" s="133" t="n"/>
      <c r="C36" s="134" t="n"/>
      <c r="D36" s="43" t="inlineStr">
        <is>
          <t>بارفروشان  ·  06_Buyers.xlsx</t>
        </is>
      </c>
      <c r="E36" s="133" t="n"/>
      <c r="F36" s="134" t="n"/>
      <c r="G36" s="44" t="inlineStr">
        <is>
          <t>نمونه  ·  07_Demo.xlsx</t>
        </is>
      </c>
      <c r="H36" s="133" t="n"/>
      <c r="I36" s="134" t="n"/>
    </row>
    <row r="37" ht="18" customHeight="1">
      <c r="A37" s="41" t="inlineStr">
        <is>
          <t>تراز ۴ و ۶ ستونی و کنترل</t>
        </is>
      </c>
      <c r="B37" s="135" t="n"/>
      <c r="C37" s="130" t="n"/>
      <c r="D37" s="41" t="inlineStr">
        <is>
          <t>ریز بار، ماهانه و مانده</t>
        </is>
      </c>
      <c r="E37" s="135" t="n"/>
      <c r="F37" s="130" t="n"/>
      <c r="G37" s="41" t="inlineStr">
        <is>
          <t>نمونه ساده برای یادگیری</t>
        </is>
      </c>
      <c r="H37" s="135" t="n"/>
      <c r="I37" s="130" t="n"/>
    </row>
    <row r="39" ht="26" customHeight="1">
      <c r="A39" s="140" t="inlineStr">
        <is>
          <t>شیت POS  ·  کنترل روزانه پز باسکول در برابر واریزی روز بعد به حساب ۲۰۰۶ صادرات؛ اگر تراز نباشد، هشدار ⚠ می‌دهد.</t>
        </is>
      </c>
      <c r="B39" s="196" t="n"/>
      <c r="C39" s="196" t="n"/>
      <c r="D39" s="196" t="n"/>
      <c r="E39" s="196" t="n"/>
      <c r="F39" s="196" t="n"/>
      <c r="G39" s="196" t="n"/>
      <c r="H39" s="196" t="n"/>
      <c r="I39" s="196" t="n"/>
      <c r="J39" s="197" t="n"/>
    </row>
    <row r="40" ht="30" customHeight="1">
      <c r="A40" s="141" t="inlineStr">
        <is>
          <t>قاعده جدید: هر مبلغی که برای خروج بار ثبت شود درآمد باسکول است و به ۲۰۰۶ می‌رود؛ برای فروش متفرقه، ستون «کد حساب / مقصد وجه» همان حسابی است که پول به آن واریز شده.</t>
        </is>
      </c>
      <c r="B40" s="196" t="n"/>
      <c r="C40" s="196" t="n"/>
      <c r="D40" s="196" t="n"/>
      <c r="E40" s="196" t="n"/>
      <c r="F40" s="196" t="n"/>
      <c r="G40" s="196" t="n"/>
      <c r="H40" s="196" t="n"/>
      <c r="I40" s="196" t="n"/>
      <c r="J40" s="197" t="n"/>
    </row>
  </sheetData>
  <mergeCells count="59">
    <mergeCell ref="D13:F13"/>
    <mergeCell ref="G10:I10"/>
    <mergeCell ref="C6:D6"/>
    <mergeCell ref="I6:J6"/>
    <mergeCell ref="G13:I13"/>
    <mergeCell ref="A37:C37"/>
    <mergeCell ref="G37:I37"/>
    <mergeCell ref="C5:D5"/>
    <mergeCell ref="G27:H27"/>
    <mergeCell ref="E5:F5"/>
    <mergeCell ref="B23:J23"/>
    <mergeCell ref="B8:J8"/>
    <mergeCell ref="G34:I34"/>
    <mergeCell ref="G1:J1"/>
    <mergeCell ref="A12:C12"/>
    <mergeCell ref="C26:D26"/>
    <mergeCell ref="A6:B6"/>
    <mergeCell ref="B19:J19"/>
    <mergeCell ref="A31:J31"/>
    <mergeCell ref="D37:F37"/>
    <mergeCell ref="A40:J40"/>
    <mergeCell ref="A30:J30"/>
    <mergeCell ref="D12:F12"/>
    <mergeCell ref="A39:J39"/>
    <mergeCell ref="G35:I35"/>
    <mergeCell ref="D9:F9"/>
    <mergeCell ref="G6:H6"/>
    <mergeCell ref="A35:C35"/>
    <mergeCell ref="A27:B27"/>
    <mergeCell ref="A10:C10"/>
    <mergeCell ref="B33:J33"/>
    <mergeCell ref="A26:B26"/>
    <mergeCell ref="E6:F6"/>
    <mergeCell ref="A13:C13"/>
    <mergeCell ref="B20:J20"/>
    <mergeCell ref="C27:D27"/>
    <mergeCell ref="A5:B5"/>
    <mergeCell ref="G5:H5"/>
    <mergeCell ref="A9:C9"/>
    <mergeCell ref="G9:I9"/>
    <mergeCell ref="I5:J5"/>
    <mergeCell ref="E27:F27"/>
    <mergeCell ref="D35:F35"/>
    <mergeCell ref="G12:I12"/>
    <mergeCell ref="A34:C34"/>
    <mergeCell ref="E26:F26"/>
    <mergeCell ref="G26:H26"/>
    <mergeCell ref="D34:F34"/>
    <mergeCell ref="D10:F10"/>
    <mergeCell ref="B25:J25"/>
    <mergeCell ref="A36:C36"/>
    <mergeCell ref="G36:I36"/>
    <mergeCell ref="A1:F1"/>
    <mergeCell ref="B22:J22"/>
    <mergeCell ref="A3:J3"/>
    <mergeCell ref="D36:F36"/>
    <mergeCell ref="B18:J18"/>
    <mergeCell ref="A2:J2"/>
    <mergeCell ref="B21:J21"/>
  </mergeCells>
  <hyperlinks>
    <hyperlink ref="A9" location="Scale!A1" display="باسکول"/>
    <hyperlink ref="D9" location="Crate!A1" display="سبد"/>
    <hyperlink ref="G9" location="Pay!A1" display="پرداخت"/>
    <hyperlink ref="A12" location="Book!A1" display="دفتر معین"/>
    <hyperlink ref="D12" location="Sum!A1" display="خلاصه"/>
    <hyperlink ref="G12" location="Help!A1" display="راهنما"/>
    <hyperlink xmlns:r="http://schemas.openxmlformats.org/officeDocument/2006/relationships" ref="A31" r:id="rId1"/>
    <hyperlink xmlns:r="http://schemas.openxmlformats.org/officeDocument/2006/relationships" ref="A34" r:id="rId2"/>
    <hyperlink xmlns:r="http://schemas.openxmlformats.org/officeDocument/2006/relationships" ref="D34" r:id="rId3"/>
    <hyperlink xmlns:r="http://schemas.openxmlformats.org/officeDocument/2006/relationships" ref="G34" r:id="rId4"/>
    <hyperlink xmlns:r="http://schemas.openxmlformats.org/officeDocument/2006/relationships" ref="A36" r:id="rId5"/>
    <hyperlink xmlns:r="http://schemas.openxmlformats.org/officeDocument/2006/relationships" ref="D36" r:id="rId6"/>
    <hyperlink xmlns:r="http://schemas.openxmlformats.org/officeDocument/2006/relationships" ref="G36" r:id="rId7"/>
  </hyperlinks>
  <printOptions horizontalCentered="1"/>
  <pageMargins left="0.3" right="0.3"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2.xml><?xml version="1.0" encoding="utf-8"?>
<worksheet xmlns="http://schemas.openxmlformats.org/spreadsheetml/2006/main">
  <sheetPr>
    <tabColor rgb="FF14453D"/>
    <outlinePr summaryBelow="1" summaryRight="1"/>
    <pageSetUpPr fitToPage="1"/>
  </sheetPr>
  <dimension ref="A1:AP30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7.7109375" customWidth="1" min="3" max="3"/>
    <col width="12.7109375" customWidth="1" min="4" max="4"/>
    <col width="22.7109375" customWidth="1" min="5" max="5"/>
    <col width="7.7109375" customWidth="1" min="6" max="6"/>
    <col width="10.7109375" customWidth="1" min="7" max="7"/>
    <col width="22.7109375" customWidth="1" min="8" max="8"/>
    <col width="14.7109375" customWidth="1" min="9" max="9"/>
    <col width="18.7109375" customWidth="1" min="10" max="10"/>
    <col width="13.7109375" customWidth="1" min="11" max="11"/>
    <col width="10.7109375" customWidth="1" min="12" max="12"/>
    <col width="9.7109375" customWidth="1" min="13" max="13"/>
    <col width="10.7109375" customWidth="1" min="14" max="15"/>
    <col width="13.7109375" customWidth="1" min="16" max="17"/>
    <col width="9.7109375" customWidth="1" min="18" max="19"/>
    <col width="24.7109375" customWidth="1" min="20" max="20"/>
    <col hidden="1" width="8.7109375" customWidth="1" min="21" max="42"/>
  </cols>
  <sheetData>
    <row r="1" ht="20.25" customHeight="1">
      <c r="A1" s="142" t="inlineStr">
        <is>
          <t>مازندشت — سورتینگ و بسته‌بندی مرکبات</t>
        </is>
      </c>
      <c r="P1" s="143" t="inlineStr">
        <is>
          <t>MAZANDASHT  ·  CITRUS SORTING &amp; PACKING</t>
        </is>
      </c>
    </row>
    <row r="2" ht="38.25" customHeight="1">
      <c r="A2" s="144" t="inlineStr">
        <is>
          <t>دفتر باسکول — ثبت ورود و خروج بار</t>
        </is>
      </c>
    </row>
    <row r="3" ht="45.75" customHeight="1">
      <c r="A3" s="145" t="inlineStr">
        <is>
          <t>هر ردیف یک توزین  ·  ابتدا نوع عملیات، بعد کد حساب، وزن، تعداد سبد و فی  ·  ستون‌های خاکستری خودکارند</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توزین</t>
        </is>
      </c>
      <c r="B5" s="147" t="n"/>
      <c r="C5" s="147" t="n"/>
      <c r="D5" s="129" t="n"/>
      <c r="E5" s="5" t="inlineStr">
        <is>
          <t>جمع خالص ورود (kg)</t>
        </is>
      </c>
      <c r="F5" s="147" t="n"/>
      <c r="G5" s="147" t="n"/>
      <c r="H5" s="129" t="n"/>
      <c r="I5" s="5" t="inlineStr">
        <is>
          <t>جمع خالص خروج (kg)</t>
        </is>
      </c>
      <c r="J5" s="147" t="n"/>
      <c r="K5" s="147" t="n"/>
      <c r="L5" s="129" t="n"/>
      <c r="M5" s="5" t="inlineStr">
        <is>
          <t>جمع مبالغ (ریال)</t>
        </is>
      </c>
      <c r="N5" s="147" t="n"/>
      <c r="O5" s="147" t="n"/>
      <c r="P5" s="129" t="n"/>
      <c r="Q5" s="5" t="inlineStr">
        <is>
          <t>ردیف‌های ناتراز</t>
        </is>
      </c>
      <c r="R5" s="147" t="n"/>
      <c r="S5" s="147" t="n"/>
      <c r="T5" s="129" t="n"/>
    </row>
    <row r="6" ht="33" customHeight="1">
      <c r="A6" s="56">
        <f>COUNTA($B$10:$B$309)</f>
        <v/>
      </c>
      <c r="B6" s="135" t="n"/>
      <c r="C6" s="135" t="n"/>
      <c r="D6" s="130" t="n"/>
      <c r="E6" s="57">
        <f>SUMIF($F$10:$F$309,"ورود",$N$10:$N$309)</f>
        <v/>
      </c>
      <c r="F6" s="135" t="n"/>
      <c r="G6" s="135" t="n"/>
      <c r="H6" s="130" t="n"/>
      <c r="I6" s="58">
        <f>SUMIF($F$10:$F$309,"خروج",$N$10:$N$309)</f>
        <v/>
      </c>
      <c r="J6" s="135" t="n"/>
      <c r="K6" s="135" t="n"/>
      <c r="L6" s="130" t="n"/>
      <c r="M6" s="59">
        <f>SUM($P$10:$P$309)</f>
        <v/>
      </c>
      <c r="N6" s="135" t="n"/>
      <c r="O6" s="135" t="n"/>
      <c r="P6" s="130" t="n"/>
      <c r="Q6" s="60">
        <f>COUNTIF($AI$10:$AI$309,"⚠")</f>
        <v/>
      </c>
      <c r="R6" s="135" t="n"/>
      <c r="S6" s="135" t="n"/>
      <c r="T6" s="130" t="n"/>
    </row>
    <row r="7" ht="20.25" customHeight="1">
      <c r="A7" s="61" t="inlineStr">
        <is>
          <t>ردیف</t>
        </is>
      </c>
      <c r="B7" s="62" t="inlineStr">
        <is>
          <t>تاریخ و سند</t>
        </is>
      </c>
      <c r="C7" s="133" t="n"/>
      <c r="D7" s="134" t="n"/>
      <c r="E7" s="63" t="inlineStr">
        <is>
          <t>عملیات</t>
        </is>
      </c>
      <c r="F7" s="134" t="n"/>
      <c r="G7" s="64" t="inlineStr">
        <is>
          <t>طرف حساب</t>
        </is>
      </c>
      <c r="H7" s="133" t="n"/>
      <c r="I7" s="134" t="n"/>
      <c r="J7" s="65" t="inlineStr">
        <is>
          <t>بار و وزن</t>
        </is>
      </c>
      <c r="K7" s="133" t="n"/>
      <c r="L7" s="133" t="n"/>
      <c r="M7" s="133" t="n"/>
      <c r="N7" s="133" t="n"/>
      <c r="O7" s="134" t="n"/>
      <c r="P7" s="66" t="inlineStr">
        <is>
          <t>مبلغ</t>
        </is>
      </c>
      <c r="Q7" s="134" t="n"/>
      <c r="R7" s="67" t="inlineStr">
        <is>
          <t>سمت / وضعیت / توضیح</t>
        </is>
      </c>
      <c r="S7" s="133" t="n"/>
      <c r="T7" s="134" t="n"/>
    </row>
    <row r="8" ht="33.75" customHeight="1">
      <c r="A8" s="68" t="inlineStr">
        <is>
          <t>ردیف</t>
        </is>
      </c>
      <c r="B8" s="68" t="inlineStr">
        <is>
          <t>تاریخ</t>
        </is>
      </c>
      <c r="C8" s="68" t="inlineStr">
        <is>
          <t>ساعت</t>
        </is>
      </c>
      <c r="D8" s="68" t="inlineStr">
        <is>
          <t>شماره سند</t>
        </is>
      </c>
      <c r="E8" s="68" t="inlineStr">
        <is>
          <t>نوع عملیات</t>
        </is>
      </c>
      <c r="F8" s="68" t="inlineStr">
        <is>
          <t>جهت</t>
        </is>
      </c>
      <c r="G8" s="68" t="inlineStr">
        <is>
          <t>کد حساب / مقصد وجه</t>
        </is>
      </c>
      <c r="H8" s="68" t="inlineStr">
        <is>
          <t>نام حساب</t>
        </is>
      </c>
      <c r="I8" s="68" t="inlineStr">
        <is>
          <t>گروه</t>
        </is>
      </c>
      <c r="J8" s="68" t="inlineStr">
        <is>
          <t>محصول</t>
        </is>
      </c>
      <c r="K8" s="68" t="inlineStr">
        <is>
          <t>سبد</t>
        </is>
      </c>
      <c r="L8" s="68" t="inlineStr">
        <is>
          <t>وزن باسکول</t>
        </is>
      </c>
      <c r="M8" s="68" t="inlineStr">
        <is>
          <t>تعداد سبد</t>
        </is>
      </c>
      <c r="N8" s="68" t="inlineStr">
        <is>
          <t>وزن خالص</t>
        </is>
      </c>
      <c r="O8" s="68" t="inlineStr">
        <is>
          <t>فی خرید</t>
        </is>
      </c>
      <c r="P8" s="68" t="inlineStr">
        <is>
          <t>مبلغ محاسبه</t>
        </is>
      </c>
      <c r="Q8" s="68" t="inlineStr">
        <is>
          <t>مبلغ پوز/باسکول (درآمد)</t>
        </is>
      </c>
      <c r="R8" s="68" t="inlineStr">
        <is>
          <t>سمت حساب</t>
        </is>
      </c>
      <c r="S8" s="68" t="inlineStr">
        <is>
          <t>وضعیت</t>
        </is>
      </c>
      <c r="T8" s="68" t="inlineStr">
        <is>
          <t>توضیحات</t>
        </is>
      </c>
    </row>
    <row r="9">
      <c r="A9" s="69" t="inlineStr">
        <is>
          <t>No.</t>
        </is>
      </c>
      <c r="B9" s="69" t="inlineStr">
        <is>
          <t>Date</t>
        </is>
      </c>
      <c r="C9" s="69" t="inlineStr">
        <is>
          <t>Time</t>
        </is>
      </c>
      <c r="D9" s="69" t="inlineStr">
        <is>
          <t>Doc</t>
        </is>
      </c>
      <c r="E9" s="69" t="inlineStr">
        <is>
          <t>Operation</t>
        </is>
      </c>
      <c r="F9" s="69" t="inlineStr">
        <is>
          <t>Direction</t>
        </is>
      </c>
      <c r="G9" s="69" t="inlineStr">
        <is>
          <t>Account / Money-to</t>
        </is>
      </c>
      <c r="H9" s="69" t="inlineStr">
        <is>
          <t>Account Name</t>
        </is>
      </c>
      <c r="I9" s="69" t="inlineStr">
        <is>
          <t>Group</t>
        </is>
      </c>
      <c r="J9" s="69" t="inlineStr">
        <is>
          <t>Product</t>
        </is>
      </c>
      <c r="K9" s="69" t="inlineStr">
        <is>
          <t>Basket</t>
        </is>
      </c>
      <c r="L9" s="69" t="inlineStr">
        <is>
          <t>Scale kg</t>
        </is>
      </c>
      <c r="M9" s="69" t="inlineStr">
        <is>
          <t>Baskets</t>
        </is>
      </c>
      <c r="N9" s="69" t="inlineStr">
        <is>
          <t>Net kg</t>
        </is>
      </c>
      <c r="O9" s="69" t="inlineStr">
        <is>
          <t>Price</t>
        </is>
      </c>
      <c r="P9" s="69" t="inlineStr">
        <is>
          <t>Amount</t>
        </is>
      </c>
      <c r="Q9" s="69" t="inlineStr">
        <is>
          <t>POS / Fee amount</t>
        </is>
      </c>
      <c r="R9" s="69" t="inlineStr">
        <is>
          <t>Side</t>
        </is>
      </c>
      <c r="S9" s="69" t="inlineStr">
        <is>
          <t>Status</t>
        </is>
      </c>
      <c r="T9" s="69" t="inlineStr">
        <is>
          <t>Notes</t>
        </is>
      </c>
    </row>
    <row r="10" ht="21.75" customHeight="1">
      <c r="A10" s="70">
        <f>IF($B10="","",COUNTA($B$10:$B10))</f>
        <v/>
      </c>
      <c r="B10" s="71" t="inlineStr">
        <is>
          <t>1405/07/01</t>
        </is>
      </c>
      <c r="C10" s="71" t="inlineStr">
        <is>
          <t>07:45</t>
        </is>
      </c>
      <c r="D10" s="71" t="inlineStr">
        <is>
          <t>BS-001</t>
        </is>
      </c>
      <c r="E10" s="72" t="inlineStr">
        <is>
          <t>خرید مرکبات</t>
        </is>
      </c>
      <c r="F10" s="70">
        <f>IF($E10="","",IFERROR(VLOOKUP($E10,OpTbl,2,0),""))</f>
        <v/>
      </c>
      <c r="G10" s="71" t="inlineStr">
        <is>
          <t>C001</t>
        </is>
      </c>
      <c r="H10" s="73">
        <f>IF($U10="","",IFERROR(VLOOKUP($U10,AcctTbl,2,0),"کد ناشناخته"))</f>
        <v/>
      </c>
      <c r="I10" s="70">
        <f>IF($U10="","",IFERROR(VLOOKUP($U10,AcctTbl,3,0),""))</f>
        <v/>
      </c>
      <c r="J10" s="72" t="inlineStr">
        <is>
          <t>نارنگی پیچ</t>
        </is>
      </c>
      <c r="K10" s="71" t="inlineStr">
        <is>
          <t>BK03 – ۹ک مشکی</t>
        </is>
      </c>
      <c r="L10" s="74" t="n">
        <v>2290</v>
      </c>
      <c r="M10" s="74" t="n">
        <v>139</v>
      </c>
      <c r="N10" s="148">
        <f>IF(OR($E10="",$L10=""),"",IFERROR(($L10-IF($M10="",0,$M10)*IFERROR(VLOOKUP($K10,BasketTbl,4,0),IFERROR(INDEX(BasketTbl,MATCH($K10,BasketCodeCol,0),4),VLOOKUP("P01",ParamTbl,2,0))))*(1-IF(VLOOKUP($E10,OpTbl,3,0)="خرید",VLOOKUP("P02",ParamTbl,2,0),0)/100),""))</f>
        <v/>
      </c>
      <c r="O10" s="74" t="n">
        <v>32000</v>
      </c>
      <c r="P10" s="76">
        <f>IF(OR($E10="",$L10=""),"",IFERROR(IF(VLOOKUP($E10,OpTbl,6,0)="وزن",ROUND($N10*$O10,-3),IF(VLOOKUP($E10,OpTbl,6,0)="مبلغ",ROUND($L10*$O10,-3),0)),""))</f>
        <v/>
      </c>
      <c r="Q10" s="74" t="n">
        <v>0</v>
      </c>
      <c r="R10" s="71" t="n"/>
      <c r="S10" s="77">
        <f>IF($E10="","",IF($AI10="⚠","⚠ ناتراز",IF(AND(IFERROR(VLOOKUP($E10,OpTbl,4,0),"")="بله",$L10=""),"⚠ وزن",IF(AND(IFERROR(VLOOKUP($E10,OpTbl,5,0),"")="بله",$U10=""),"⚠ حساب",IF(AND(IFERROR(VLOOKUP($E10,OpTbl,6,0),"")="مبلغ",$Q10=""),"⚠ مبلغ","✓")))))</f>
        <v/>
      </c>
      <c r="T10" s="72" t="n"/>
      <c r="U10" s="70">
        <f>IF($E10="","",IFERROR(IF(VLOOKUP($E10,OpTbl,14,0)&lt;&gt;"",VLOOKUP($E10,OpTbl,14,0),$G10),""))</f>
        <v/>
      </c>
      <c r="V10" s="76">
        <f>IF(OR($AJ10="",$AJ10=0,$AL10&lt;&gt;"بدهکار"),"",$AJ10)</f>
        <v/>
      </c>
      <c r="W10" s="76">
        <f>IF(OR($AJ10="",$AJ10=0,$AL10&lt;&gt;"بستانکار"),"",$AJ10)</f>
        <v/>
      </c>
      <c r="X10" s="70">
        <f>IF($E10="","",IFERROR(VLOOKUP($E10,OpTbl,8,0),""))</f>
        <v/>
      </c>
      <c r="Y10" s="76">
        <f>IF(OR($X10="",$AJ10="",$AJ10=0,$AM10&lt;&gt;"بدهکار"),"",$AJ10)</f>
        <v/>
      </c>
      <c r="Z10" s="76">
        <f>IF(OR($X10="",$AJ10="",$AJ10=0,$AM10&lt;&gt;"بستانکار"),"",$AJ10)</f>
        <v/>
      </c>
      <c r="AA10" s="70">
        <f>IF(OR($E10="",$AN10="—",$AN10=""),"",IFERROR(VLOOKUP($E10,OpTbl,12,0),""))</f>
        <v/>
      </c>
      <c r="AB10" s="76">
        <f>IF(OR($AA10="",$Q10="",$Q10=0,$AN10&lt;&gt;"بدهکار"),"",$Q10)</f>
        <v/>
      </c>
      <c r="AC10" s="76">
        <f>IF(OR($AA10="",$Q10="",$Q10=0,$AN10&lt;&gt;"بستانکار"),"",$Q10)</f>
        <v/>
      </c>
      <c r="AD10" s="70">
        <f>IF($AA10="","",IFERROR(VLOOKUP($E10,OpTbl,13,0),""))</f>
        <v/>
      </c>
      <c r="AE10" s="76">
        <f>IF(OR($AD10="",$Q10="",$Q10=0,$AN10&lt;&gt;"بستانکار"),"",$Q10)</f>
        <v/>
      </c>
      <c r="AF10" s="76">
        <f>IF(OR($AD10="",$Q10="",$Q10=0,$AN10&lt;&gt;"بدهکار"),"",$Q10)</f>
        <v/>
      </c>
      <c r="AG10" s="76">
        <f>SUM($V10,$Y10,$AB10,$AE10)</f>
        <v/>
      </c>
      <c r="AH10" s="76">
        <f>SUM($W10,$Z10,$AC10,$AF10)</f>
        <v/>
      </c>
      <c r="AI10" s="70">
        <f>IF($E10="","",IF(ROUND($AG10-$AH10,0)=0,"✓","⚠"))</f>
        <v/>
      </c>
      <c r="AJ10" s="76">
        <f>IF(OR($E10="",$U10=""),"",IFERROR(IF(VLOOKUP($E10,OpTbl,6,0)="وزن",IF($P10="",0,$P10),IF(VLOOKUP($E10,OpTbl,6,0)="مبلغ",IF(AND($Q10&lt;&gt;"",$Q10&lt;&gt;0),$Q10,$P10),0))+IF(VLOOKUP($E10,OpTbl,10,0)="افزودن",IF($Q10="",0,$Q10),0),0))</f>
        <v/>
      </c>
      <c r="AK10" s="70">
        <f>IF($E10="","",IFERROR(VLOOKUP($E10,OpTbl,10,0),""))</f>
        <v/>
      </c>
      <c r="AL10" s="70">
        <f>IF(OR($E10="",$U10=""),"",IFERROR(IF(VLOOKUP($E10,OpTbl,7,0)="خودکار",$R10,VLOOKUP($E10,OpTbl,7,0)),""))</f>
        <v/>
      </c>
      <c r="AM10" s="70">
        <f>IF(OR($E10="",$X10=""),"",IFERROR(IF(VLOOKUP($E10,OpTbl,9,0)="خودکار",IF($AL10="بدهکار","بستانکار",IF($AL10="بستانکار","بدهکار","")),VLOOKUP($E10,OpTbl,9,0)),""))</f>
        <v/>
      </c>
      <c r="AN10" s="70">
        <f>IF($E10="","",IFERROR(VLOOKUP($E10,OpTbl,11,0),""))</f>
        <v/>
      </c>
      <c r="AO10" s="70">
        <f>IF($B10="","",MID($B10,6,2))</f>
        <v/>
      </c>
      <c r="AP10" s="76">
        <f>IF($B10="",0,1)</f>
        <v/>
      </c>
    </row>
    <row r="11" ht="21.75" customHeight="1">
      <c r="A11" s="70">
        <f>IF($B11="","",COUNTA($B$10:$B11))</f>
        <v/>
      </c>
      <c r="B11" s="71" t="inlineStr">
        <is>
          <t>1405/07/01</t>
        </is>
      </c>
      <c r="C11" s="71" t="inlineStr">
        <is>
          <t>09:10</t>
        </is>
      </c>
      <c r="D11" s="71" t="inlineStr">
        <is>
          <t>BS-002</t>
        </is>
      </c>
      <c r="E11" s="72" t="inlineStr">
        <is>
          <t>خرید مرکبات</t>
        </is>
      </c>
      <c r="F11" s="70">
        <f>IF($E11="","",IFERROR(VLOOKUP($E11,OpTbl,2,0),""))</f>
        <v/>
      </c>
      <c r="G11" s="71" t="inlineStr">
        <is>
          <t>C003</t>
        </is>
      </c>
      <c r="H11" s="73">
        <f>IF($U11="","",IFERROR(VLOOKUP($U11,AcctTbl,2,0),"کد ناشناخته"))</f>
        <v/>
      </c>
      <c r="I11" s="70">
        <f>IF($U11="","",IFERROR(VLOOKUP($U11,AcctTbl,3,0),""))</f>
        <v/>
      </c>
      <c r="J11" s="72" t="inlineStr">
        <is>
          <t>پرتقال تامسون</t>
        </is>
      </c>
      <c r="K11" s="71" t="inlineStr">
        <is>
          <t>BK01 – ۶ک مشکی</t>
        </is>
      </c>
      <c r="L11" s="74" t="n">
        <v>910</v>
      </c>
      <c r="M11" s="74" t="n">
        <v>53</v>
      </c>
      <c r="N11" s="148">
        <f>IF(OR($E11="",$L11=""),"",IFERROR(($L11-IF($M11="",0,$M11)*IFERROR(VLOOKUP($K11,BasketTbl,4,0),IFERROR(INDEX(BasketTbl,MATCH($K11,BasketCodeCol,0),4),VLOOKUP("P01",ParamTbl,2,0))))*(1-IF(VLOOKUP($E11,OpTbl,3,0)="خرید",VLOOKUP("P02",ParamTbl,2,0),0)/100),""))</f>
        <v/>
      </c>
      <c r="O11" s="74" t="n">
        <v>35000</v>
      </c>
      <c r="P11" s="76">
        <f>IF(OR($E11="",$L11=""),"",IFERROR(IF(VLOOKUP($E11,OpTbl,6,0)="وزن",ROUND($N11*$O11,-3),IF(VLOOKUP($E11,OpTbl,6,0)="مبلغ",ROUND($L11*$O11,-3),0)),""))</f>
        <v/>
      </c>
      <c r="Q11" s="74" t="n">
        <v>0</v>
      </c>
      <c r="R11" s="71" t="n"/>
      <c r="S11" s="77">
        <f>IF($E11="","",IF($AI11="⚠","⚠ ناتراز",IF(AND(IFERROR(VLOOKUP($E11,OpTbl,4,0),"")="بله",$L11=""),"⚠ وزن",IF(AND(IFERROR(VLOOKUP($E11,OpTbl,5,0),"")="بله",$U11=""),"⚠ حساب",IF(AND(IFERROR(VLOOKUP($E11,OpTbl,6,0),"")="مبلغ",$Q11=""),"⚠ مبلغ","✓")))))</f>
        <v/>
      </c>
      <c r="T11" s="72" t="n"/>
      <c r="U11" s="70">
        <f>IF($E11="","",IFERROR(IF(VLOOKUP($E11,OpTbl,14,0)&lt;&gt;"",VLOOKUP($E11,OpTbl,14,0),$G11),""))</f>
        <v/>
      </c>
      <c r="V11" s="76">
        <f>IF(OR($AJ11="",$AJ11=0,$AL11&lt;&gt;"بدهکار"),"",$AJ11)</f>
        <v/>
      </c>
      <c r="W11" s="76">
        <f>IF(OR($AJ11="",$AJ11=0,$AL11&lt;&gt;"بستانکار"),"",$AJ11)</f>
        <v/>
      </c>
      <c r="X11" s="70">
        <f>IF($E11="","",IFERROR(VLOOKUP($E11,OpTbl,8,0),""))</f>
        <v/>
      </c>
      <c r="Y11" s="76">
        <f>IF(OR($X11="",$AJ11="",$AJ11=0,$AM11&lt;&gt;"بدهکار"),"",$AJ11)</f>
        <v/>
      </c>
      <c r="Z11" s="76">
        <f>IF(OR($X11="",$AJ11="",$AJ11=0,$AM11&lt;&gt;"بستانکار"),"",$AJ11)</f>
        <v/>
      </c>
      <c r="AA11" s="70">
        <f>IF(OR($E11="",$AN11="—",$AN11=""),"",IFERROR(VLOOKUP($E11,OpTbl,12,0),""))</f>
        <v/>
      </c>
      <c r="AB11" s="76">
        <f>IF(OR($AA11="",$Q11="",$Q11=0,$AN11&lt;&gt;"بدهکار"),"",$Q11)</f>
        <v/>
      </c>
      <c r="AC11" s="76">
        <f>IF(OR($AA11="",$Q11="",$Q11=0,$AN11&lt;&gt;"بستانکار"),"",$Q11)</f>
        <v/>
      </c>
      <c r="AD11" s="70">
        <f>IF($AA11="","",IFERROR(VLOOKUP($E11,OpTbl,13,0),""))</f>
        <v/>
      </c>
      <c r="AE11" s="76">
        <f>IF(OR($AD11="",$Q11="",$Q11=0,$AN11&lt;&gt;"بستانکار"),"",$Q11)</f>
        <v/>
      </c>
      <c r="AF11" s="76">
        <f>IF(OR($AD11="",$Q11="",$Q11=0,$AN11&lt;&gt;"بدهکار"),"",$Q11)</f>
        <v/>
      </c>
      <c r="AG11" s="76">
        <f>SUM($V11,$Y11,$AB11,$AE11)</f>
        <v/>
      </c>
      <c r="AH11" s="76">
        <f>SUM($W11,$Z11,$AC11,$AF11)</f>
        <v/>
      </c>
      <c r="AI11" s="70">
        <f>IF($E11="","",IF(ROUND($AG11-$AH11,0)=0,"✓","⚠"))</f>
        <v/>
      </c>
      <c r="AJ11" s="76">
        <f>IF(OR($E11="",$U11=""),"",IFERROR(IF(VLOOKUP($E11,OpTbl,6,0)="وزن",IF($P11="",0,$P11),IF(VLOOKUP($E11,OpTbl,6,0)="مبلغ",IF(AND($Q11&lt;&gt;"",$Q11&lt;&gt;0),$Q11,$P11),0))+IF(VLOOKUP($E11,OpTbl,10,0)="افزودن",IF($Q11="",0,$Q11),0),0))</f>
        <v/>
      </c>
      <c r="AK11" s="70">
        <f>IF($E11="","",IFERROR(VLOOKUP($E11,OpTbl,10,0),""))</f>
        <v/>
      </c>
      <c r="AL11" s="70">
        <f>IF(OR($E11="",$U11=""),"",IFERROR(IF(VLOOKUP($E11,OpTbl,7,0)="خودکار",$R11,VLOOKUP($E11,OpTbl,7,0)),""))</f>
        <v/>
      </c>
      <c r="AM11" s="70">
        <f>IF(OR($E11="",$X11=""),"",IFERROR(IF(VLOOKUP($E11,OpTbl,9,0)="خودکار",IF($AL11="بدهکار","بستانکار",IF($AL11="بستانکار","بدهکار","")),VLOOKUP($E11,OpTbl,9,0)),""))</f>
        <v/>
      </c>
      <c r="AN11" s="70">
        <f>IF($E11="","",IFERROR(VLOOKUP($E11,OpTbl,11,0),""))</f>
        <v/>
      </c>
      <c r="AO11" s="70">
        <f>IF($B11="","",MID($B11,6,2))</f>
        <v/>
      </c>
      <c r="AP11" s="76">
        <f>IF($B11="",0,1)</f>
        <v/>
      </c>
    </row>
    <row r="12" ht="21.75" customHeight="1">
      <c r="A12" s="70">
        <f>IF($B12="","",COUNTA($B$10:$B12))</f>
        <v/>
      </c>
      <c r="B12" s="71" t="inlineStr">
        <is>
          <t>1405/07/02</t>
        </is>
      </c>
      <c r="C12" s="71" t="inlineStr">
        <is>
          <t>08:20</t>
        </is>
      </c>
      <c r="D12" s="71" t="inlineStr">
        <is>
          <t>BS-003</t>
        </is>
      </c>
      <c r="E12" s="72" t="inlineStr">
        <is>
          <t>خرید مرکبات</t>
        </is>
      </c>
      <c r="F12" s="70">
        <f>IF($E12="","",IFERROR(VLOOKUP($E12,OpTbl,2,0),""))</f>
        <v/>
      </c>
      <c r="G12" s="71" t="inlineStr">
        <is>
          <t>C006</t>
        </is>
      </c>
      <c r="H12" s="73">
        <f>IF($U12="","",IFERROR(VLOOKUP($U12,AcctTbl,2,0),"کد ناشناخته"))</f>
        <v/>
      </c>
      <c r="I12" s="70">
        <f>IF($U12="","",IFERROR(VLOOKUP($U12,AcctTbl,3,0),""))</f>
        <v/>
      </c>
      <c r="J12" s="72" t="inlineStr">
        <is>
          <t>نارنگی اونشو</t>
        </is>
      </c>
      <c r="K12" s="71" t="inlineStr">
        <is>
          <t>BK01 – ۶ک مشکی</t>
        </is>
      </c>
      <c r="L12" s="74" t="n">
        <v>1385</v>
      </c>
      <c r="M12" s="74" t="n">
        <v>85</v>
      </c>
      <c r="N12" s="148">
        <f>IF(OR($E12="",$L12=""),"",IFERROR(($L12-IF($M12="",0,$M12)*IFERROR(VLOOKUP($K12,BasketTbl,4,0),IFERROR(INDEX(BasketTbl,MATCH($K12,BasketCodeCol,0),4),VLOOKUP("P01",ParamTbl,2,0))))*(1-IF(VLOOKUP($E12,OpTbl,3,0)="خرید",VLOOKUP("P02",ParamTbl,2,0),0)/100),""))</f>
        <v/>
      </c>
      <c r="O12" s="74" t="n">
        <v>30000</v>
      </c>
      <c r="P12" s="76">
        <f>IF(OR($E12="",$L12=""),"",IFERROR(IF(VLOOKUP($E12,OpTbl,6,0)="وزن",ROUND($N12*$O12,-3),IF(VLOOKUP($E12,OpTbl,6,0)="مبلغ",ROUND($L12*$O12,-3),0)),""))</f>
        <v/>
      </c>
      <c r="Q12" s="74" t="n">
        <v>500000</v>
      </c>
      <c r="R12" s="71" t="n"/>
      <c r="S12" s="77">
        <f>IF($E12="","",IF($AI12="⚠","⚠ ناتراز",IF(AND(IFERROR(VLOOKUP($E12,OpTbl,4,0),"")="بله",$L12=""),"⚠ وزن",IF(AND(IFERROR(VLOOKUP($E12,OpTbl,5,0),"")="بله",$U12=""),"⚠ حساب",IF(AND(IFERROR(VLOOKUP($E12,OpTbl,6,0),"")="مبلغ",$Q12=""),"⚠ مبلغ","✓")))))</f>
        <v/>
      </c>
      <c r="T12" s="72" t="inlineStr">
        <is>
          <t>کرایه حمل ۵۰۰٬۰۰۰</t>
        </is>
      </c>
      <c r="U12" s="70">
        <f>IF($E12="","",IFERROR(IF(VLOOKUP($E12,OpTbl,14,0)&lt;&gt;"",VLOOKUP($E12,OpTbl,14,0),$G12),""))</f>
        <v/>
      </c>
      <c r="V12" s="76">
        <f>IF(OR($AJ12="",$AJ12=0,$AL12&lt;&gt;"بدهکار"),"",$AJ12)</f>
        <v/>
      </c>
      <c r="W12" s="76">
        <f>IF(OR($AJ12="",$AJ12=0,$AL12&lt;&gt;"بستانکار"),"",$AJ12)</f>
        <v/>
      </c>
      <c r="X12" s="70">
        <f>IF($E12="","",IFERROR(VLOOKUP($E12,OpTbl,8,0),""))</f>
        <v/>
      </c>
      <c r="Y12" s="76">
        <f>IF(OR($X12="",$AJ12="",$AJ12=0,$AM12&lt;&gt;"بدهکار"),"",$AJ12)</f>
        <v/>
      </c>
      <c r="Z12" s="76">
        <f>IF(OR($X12="",$AJ12="",$AJ12=0,$AM12&lt;&gt;"بستانکار"),"",$AJ12)</f>
        <v/>
      </c>
      <c r="AA12" s="70">
        <f>IF(OR($E12="",$AN12="—",$AN12=""),"",IFERROR(VLOOKUP($E12,OpTbl,12,0),""))</f>
        <v/>
      </c>
      <c r="AB12" s="76">
        <f>IF(OR($AA12="",$Q12="",$Q12=0,$AN12&lt;&gt;"بدهکار"),"",$Q12)</f>
        <v/>
      </c>
      <c r="AC12" s="76">
        <f>IF(OR($AA12="",$Q12="",$Q12=0,$AN12&lt;&gt;"بستانکار"),"",$Q12)</f>
        <v/>
      </c>
      <c r="AD12" s="70">
        <f>IF($AA12="","",IFERROR(VLOOKUP($E12,OpTbl,13,0),""))</f>
        <v/>
      </c>
      <c r="AE12" s="76">
        <f>IF(OR($AD12="",$Q12="",$Q12=0,$AN12&lt;&gt;"بستانکار"),"",$Q12)</f>
        <v/>
      </c>
      <c r="AF12" s="76">
        <f>IF(OR($AD12="",$Q12="",$Q12=0,$AN12&lt;&gt;"بدهکار"),"",$Q12)</f>
        <v/>
      </c>
      <c r="AG12" s="76">
        <f>SUM($V12,$Y12,$AB12,$AE12)</f>
        <v/>
      </c>
      <c r="AH12" s="76">
        <f>SUM($W12,$Z12,$AC12,$AF12)</f>
        <v/>
      </c>
      <c r="AI12" s="70">
        <f>IF($E12="","",IF(ROUND($AG12-$AH12,0)=0,"✓","⚠"))</f>
        <v/>
      </c>
      <c r="AJ12" s="76">
        <f>IF(OR($E12="",$U12=""),"",IFERROR(IF(VLOOKUP($E12,OpTbl,6,0)="وزن",IF($P12="",0,$P12),IF(VLOOKUP($E12,OpTbl,6,0)="مبلغ",IF(AND($Q12&lt;&gt;"",$Q12&lt;&gt;0),$Q12,$P12),0))+IF(VLOOKUP($E12,OpTbl,10,0)="افزودن",IF($Q12="",0,$Q12),0),0))</f>
        <v/>
      </c>
      <c r="AK12" s="70">
        <f>IF($E12="","",IFERROR(VLOOKUP($E12,OpTbl,10,0),""))</f>
        <v/>
      </c>
      <c r="AL12" s="70">
        <f>IF(OR($E12="",$U12=""),"",IFERROR(IF(VLOOKUP($E12,OpTbl,7,0)="خودکار",$R12,VLOOKUP($E12,OpTbl,7,0)),""))</f>
        <v/>
      </c>
      <c r="AM12" s="70">
        <f>IF(OR($E12="",$X12=""),"",IFERROR(IF(VLOOKUP($E12,OpTbl,9,0)="خودکار",IF($AL12="بدهکار","بستانکار",IF($AL12="بستانکار","بدهکار","")),VLOOKUP($E12,OpTbl,9,0)),""))</f>
        <v/>
      </c>
      <c r="AN12" s="70">
        <f>IF($E12="","",IFERROR(VLOOKUP($E12,OpTbl,11,0),""))</f>
        <v/>
      </c>
      <c r="AO12" s="70">
        <f>IF($B12="","",MID($B12,6,2))</f>
        <v/>
      </c>
      <c r="AP12" s="76">
        <f>IF($B12="",0,1)</f>
        <v/>
      </c>
    </row>
    <row r="13" ht="21.75" customHeight="1">
      <c r="A13" s="70">
        <f>IF($B13="","",COUNTA($B$10:$B13))</f>
        <v/>
      </c>
      <c r="B13" s="71" t="inlineStr">
        <is>
          <t>1405/07/02</t>
        </is>
      </c>
      <c r="C13" s="71" t="inlineStr">
        <is>
          <t>11:30</t>
        </is>
      </c>
      <c r="D13" s="71" t="inlineStr">
        <is>
          <t>BS-004</t>
        </is>
      </c>
      <c r="E13" s="72" t="inlineStr">
        <is>
          <t>خرید مرکبات</t>
        </is>
      </c>
      <c r="F13" s="70">
        <f>IF($E13="","",IFERROR(VLOOKUP($E13,OpTbl,2,0),""))</f>
        <v/>
      </c>
      <c r="G13" s="71" t="inlineStr">
        <is>
          <t>C002</t>
        </is>
      </c>
      <c r="H13" s="73">
        <f>IF($U13="","",IFERROR(VLOOKUP($U13,AcctTbl,2,0),"کد ناشناخته"))</f>
        <v/>
      </c>
      <c r="I13" s="70">
        <f>IF($U13="","",IFERROR(VLOOKUP($U13,AcctTbl,3,0),""))</f>
        <v/>
      </c>
      <c r="J13" s="72" t="inlineStr">
        <is>
          <t>پرتقال خونی</t>
        </is>
      </c>
      <c r="K13" s="71" t="inlineStr">
        <is>
          <t>BK03 – ۹ک مشکی</t>
        </is>
      </c>
      <c r="L13" s="74" t="n">
        <v>605</v>
      </c>
      <c r="M13" s="74" t="n">
        <v>36</v>
      </c>
      <c r="N13" s="148">
        <f>IF(OR($E13="",$L13=""),"",IFERROR(($L13-IF($M13="",0,$M13)*IFERROR(VLOOKUP($K13,BasketTbl,4,0),IFERROR(INDEX(BasketTbl,MATCH($K13,BasketCodeCol,0),4),VLOOKUP("P01",ParamTbl,2,0))))*(1-IF(VLOOKUP($E13,OpTbl,3,0)="خرید",VLOOKUP("P02",ParamTbl,2,0),0)/100),""))</f>
        <v/>
      </c>
      <c r="O13" s="74" t="n">
        <v>38000</v>
      </c>
      <c r="P13" s="76">
        <f>IF(OR($E13="",$L13=""),"",IFERROR(IF(VLOOKUP($E13,OpTbl,6,0)="وزن",ROUND($N13*$O13,-3),IF(VLOOKUP($E13,OpTbl,6,0)="مبلغ",ROUND($L13*$O13,-3),0)),""))</f>
        <v/>
      </c>
      <c r="Q13" s="74" t="n">
        <v>0</v>
      </c>
      <c r="R13" s="71" t="n"/>
      <c r="S13" s="77">
        <f>IF($E13="","",IF($AI13="⚠","⚠ ناتراز",IF(AND(IFERROR(VLOOKUP($E13,OpTbl,4,0),"")="بله",$L13=""),"⚠ وزن",IF(AND(IFERROR(VLOOKUP($E13,OpTbl,5,0),"")="بله",$U13=""),"⚠ حساب",IF(AND(IFERROR(VLOOKUP($E13,OpTbl,6,0),"")="مبلغ",$Q13=""),"⚠ مبلغ","✓")))))</f>
        <v/>
      </c>
      <c r="T13" s="72" t="n"/>
      <c r="U13" s="70">
        <f>IF($E13="","",IFERROR(IF(VLOOKUP($E13,OpTbl,14,0)&lt;&gt;"",VLOOKUP($E13,OpTbl,14,0),$G13),""))</f>
        <v/>
      </c>
      <c r="V13" s="76">
        <f>IF(OR($AJ13="",$AJ13=0,$AL13&lt;&gt;"بدهکار"),"",$AJ13)</f>
        <v/>
      </c>
      <c r="W13" s="76">
        <f>IF(OR($AJ13="",$AJ13=0,$AL13&lt;&gt;"بستانکار"),"",$AJ13)</f>
        <v/>
      </c>
      <c r="X13" s="70">
        <f>IF($E13="","",IFERROR(VLOOKUP($E13,OpTbl,8,0),""))</f>
        <v/>
      </c>
      <c r="Y13" s="76">
        <f>IF(OR($X13="",$AJ13="",$AJ13=0,$AM13&lt;&gt;"بدهکار"),"",$AJ13)</f>
        <v/>
      </c>
      <c r="Z13" s="76">
        <f>IF(OR($X13="",$AJ13="",$AJ13=0,$AM13&lt;&gt;"بستانکار"),"",$AJ13)</f>
        <v/>
      </c>
      <c r="AA13" s="70">
        <f>IF(OR($E13="",$AN13="—",$AN13=""),"",IFERROR(VLOOKUP($E13,OpTbl,12,0),""))</f>
        <v/>
      </c>
      <c r="AB13" s="76">
        <f>IF(OR($AA13="",$Q13="",$Q13=0,$AN13&lt;&gt;"بدهکار"),"",$Q13)</f>
        <v/>
      </c>
      <c r="AC13" s="76">
        <f>IF(OR($AA13="",$Q13="",$Q13=0,$AN13&lt;&gt;"بستانکار"),"",$Q13)</f>
        <v/>
      </c>
      <c r="AD13" s="70">
        <f>IF($AA13="","",IFERROR(VLOOKUP($E13,OpTbl,13,0),""))</f>
        <v/>
      </c>
      <c r="AE13" s="76">
        <f>IF(OR($AD13="",$Q13="",$Q13=0,$AN13&lt;&gt;"بستانکار"),"",$Q13)</f>
        <v/>
      </c>
      <c r="AF13" s="76">
        <f>IF(OR($AD13="",$Q13="",$Q13=0,$AN13&lt;&gt;"بدهکار"),"",$Q13)</f>
        <v/>
      </c>
      <c r="AG13" s="76">
        <f>SUM($V13,$Y13,$AB13,$AE13)</f>
        <v/>
      </c>
      <c r="AH13" s="76">
        <f>SUM($W13,$Z13,$AC13,$AF13)</f>
        <v/>
      </c>
      <c r="AI13" s="70">
        <f>IF($E13="","",IF(ROUND($AG13-$AH13,0)=0,"✓","⚠"))</f>
        <v/>
      </c>
      <c r="AJ13" s="76">
        <f>IF(OR($E13="",$U13=""),"",IFERROR(IF(VLOOKUP($E13,OpTbl,6,0)="وزن",IF($P13="",0,$P13),IF(VLOOKUP($E13,OpTbl,6,0)="مبلغ",IF(AND($Q13&lt;&gt;"",$Q13&lt;&gt;0),$Q13,$P13),0))+IF(VLOOKUP($E13,OpTbl,10,0)="افزودن",IF($Q13="",0,$Q13),0),0))</f>
        <v/>
      </c>
      <c r="AK13" s="70">
        <f>IF($E13="","",IFERROR(VLOOKUP($E13,OpTbl,10,0),""))</f>
        <v/>
      </c>
      <c r="AL13" s="70">
        <f>IF(OR($E13="",$U13=""),"",IFERROR(IF(VLOOKUP($E13,OpTbl,7,0)="خودکار",$R13,VLOOKUP($E13,OpTbl,7,0)),""))</f>
        <v/>
      </c>
      <c r="AM13" s="70">
        <f>IF(OR($E13="",$X13=""),"",IFERROR(IF(VLOOKUP($E13,OpTbl,9,0)="خودکار",IF($AL13="بدهکار","بستانکار",IF($AL13="بستانکار","بدهکار","")),VLOOKUP($E13,OpTbl,9,0)),""))</f>
        <v/>
      </c>
      <c r="AN13" s="70">
        <f>IF($E13="","",IFERROR(VLOOKUP($E13,OpTbl,11,0),""))</f>
        <v/>
      </c>
      <c r="AO13" s="70">
        <f>IF($B13="","",MID($B13,6,2))</f>
        <v/>
      </c>
      <c r="AP13" s="76">
        <f>IF($B13="",0,1)</f>
        <v/>
      </c>
    </row>
    <row r="14" ht="21.75" customHeight="1">
      <c r="A14" s="70">
        <f>IF($B14="","",COUNTA($B$10:$B14))</f>
        <v/>
      </c>
      <c r="B14" s="71" t="inlineStr">
        <is>
          <t>1405/07/03</t>
        </is>
      </c>
      <c r="C14" s="71" t="inlineStr">
        <is>
          <t>07:50</t>
        </is>
      </c>
      <c r="D14" s="71" t="inlineStr">
        <is>
          <t>BS-005</t>
        </is>
      </c>
      <c r="E14" s="72" t="inlineStr">
        <is>
          <t>خرید مرکبات</t>
        </is>
      </c>
      <c r="F14" s="70">
        <f>IF($E14="","",IFERROR(VLOOKUP($E14,OpTbl,2,0),""))</f>
        <v/>
      </c>
      <c r="G14" s="71" t="inlineStr">
        <is>
          <t>C008</t>
        </is>
      </c>
      <c r="H14" s="73">
        <f>IF($U14="","",IFERROR(VLOOKUP($U14,AcctTbl,2,0),"کد ناشناخته"))</f>
        <v/>
      </c>
      <c r="I14" s="70">
        <f>IF($U14="","",IFERROR(VLOOKUP($U14,AcctTbl,3,0),""))</f>
        <v/>
      </c>
      <c r="J14" s="72" t="inlineStr">
        <is>
          <t>نارنگی ژاپنی</t>
        </is>
      </c>
      <c r="K14" s="71" t="inlineStr">
        <is>
          <t>BK07 – ۸ک مشکی</t>
        </is>
      </c>
      <c r="L14" s="74" t="n">
        <v>1762</v>
      </c>
      <c r="M14" s="74" t="n">
        <v>108</v>
      </c>
      <c r="N14" s="148">
        <f>IF(OR($E14="",$L14=""),"",IFERROR(($L14-IF($M14="",0,$M14)*IFERROR(VLOOKUP($K14,BasketTbl,4,0),IFERROR(INDEX(BasketTbl,MATCH($K14,BasketCodeCol,0),4),VLOOKUP("P01",ParamTbl,2,0))))*(1-IF(VLOOKUP($E14,OpTbl,3,0)="خرید",VLOOKUP("P02",ParamTbl,2,0),0)/100),""))</f>
        <v/>
      </c>
      <c r="O14" s="74" t="n">
        <v>31000</v>
      </c>
      <c r="P14" s="76">
        <f>IF(OR($E14="",$L14=""),"",IFERROR(IF(VLOOKUP($E14,OpTbl,6,0)="وزن",ROUND($N14*$O14,-3),IF(VLOOKUP($E14,OpTbl,6,0)="مبلغ",ROUND($L14*$O14,-3),0)),""))</f>
        <v/>
      </c>
      <c r="Q14" s="74" t="n">
        <v>0</v>
      </c>
      <c r="R14" s="71" t="n"/>
      <c r="S14" s="77">
        <f>IF($E14="","",IF($AI14="⚠","⚠ ناتراز",IF(AND(IFERROR(VLOOKUP($E14,OpTbl,4,0),"")="بله",$L14=""),"⚠ وزن",IF(AND(IFERROR(VLOOKUP($E14,OpTbl,5,0),"")="بله",$U14=""),"⚠ حساب",IF(AND(IFERROR(VLOOKUP($E14,OpTbl,6,0),"")="مبلغ",$Q14=""),"⚠ مبلغ","✓")))))</f>
        <v/>
      </c>
      <c r="T14" s="72" t="n"/>
      <c r="U14" s="70">
        <f>IF($E14="","",IFERROR(IF(VLOOKUP($E14,OpTbl,14,0)&lt;&gt;"",VLOOKUP($E14,OpTbl,14,0),$G14),""))</f>
        <v/>
      </c>
      <c r="V14" s="76">
        <f>IF(OR($AJ14="",$AJ14=0,$AL14&lt;&gt;"بدهکار"),"",$AJ14)</f>
        <v/>
      </c>
      <c r="W14" s="76">
        <f>IF(OR($AJ14="",$AJ14=0,$AL14&lt;&gt;"بستانکار"),"",$AJ14)</f>
        <v/>
      </c>
      <c r="X14" s="70">
        <f>IF($E14="","",IFERROR(VLOOKUP($E14,OpTbl,8,0),""))</f>
        <v/>
      </c>
      <c r="Y14" s="76">
        <f>IF(OR($X14="",$AJ14="",$AJ14=0,$AM14&lt;&gt;"بدهکار"),"",$AJ14)</f>
        <v/>
      </c>
      <c r="Z14" s="76">
        <f>IF(OR($X14="",$AJ14="",$AJ14=0,$AM14&lt;&gt;"بستانکار"),"",$AJ14)</f>
        <v/>
      </c>
      <c r="AA14" s="70">
        <f>IF(OR($E14="",$AN14="—",$AN14=""),"",IFERROR(VLOOKUP($E14,OpTbl,12,0),""))</f>
        <v/>
      </c>
      <c r="AB14" s="76">
        <f>IF(OR($AA14="",$Q14="",$Q14=0,$AN14&lt;&gt;"بدهکار"),"",$Q14)</f>
        <v/>
      </c>
      <c r="AC14" s="76">
        <f>IF(OR($AA14="",$Q14="",$Q14=0,$AN14&lt;&gt;"بستانکار"),"",$Q14)</f>
        <v/>
      </c>
      <c r="AD14" s="70">
        <f>IF($AA14="","",IFERROR(VLOOKUP($E14,OpTbl,13,0),""))</f>
        <v/>
      </c>
      <c r="AE14" s="76">
        <f>IF(OR($AD14="",$Q14="",$Q14=0,$AN14&lt;&gt;"بستانکار"),"",$Q14)</f>
        <v/>
      </c>
      <c r="AF14" s="76">
        <f>IF(OR($AD14="",$Q14="",$Q14=0,$AN14&lt;&gt;"بدهکار"),"",$Q14)</f>
        <v/>
      </c>
      <c r="AG14" s="76">
        <f>SUM($V14,$Y14,$AB14,$AE14)</f>
        <v/>
      </c>
      <c r="AH14" s="76">
        <f>SUM($W14,$Z14,$AC14,$AF14)</f>
        <v/>
      </c>
      <c r="AI14" s="70">
        <f>IF($E14="","",IF(ROUND($AG14-$AH14,0)=0,"✓","⚠"))</f>
        <v/>
      </c>
      <c r="AJ14" s="76">
        <f>IF(OR($E14="",$U14=""),"",IFERROR(IF(VLOOKUP($E14,OpTbl,6,0)="وزن",IF($P14="",0,$P14),IF(VLOOKUP($E14,OpTbl,6,0)="مبلغ",IF(AND($Q14&lt;&gt;"",$Q14&lt;&gt;0),$Q14,$P14),0))+IF(VLOOKUP($E14,OpTbl,10,0)="افزودن",IF($Q14="",0,$Q14),0),0))</f>
        <v/>
      </c>
      <c r="AK14" s="70">
        <f>IF($E14="","",IFERROR(VLOOKUP($E14,OpTbl,10,0),""))</f>
        <v/>
      </c>
      <c r="AL14" s="70">
        <f>IF(OR($E14="",$U14=""),"",IFERROR(IF(VLOOKUP($E14,OpTbl,7,0)="خودکار",$R14,VLOOKUP($E14,OpTbl,7,0)),""))</f>
        <v/>
      </c>
      <c r="AM14" s="70">
        <f>IF(OR($E14="",$X14=""),"",IFERROR(IF(VLOOKUP($E14,OpTbl,9,0)="خودکار",IF($AL14="بدهکار","بستانکار",IF($AL14="بستانکار","بدهکار","")),VLOOKUP($E14,OpTbl,9,0)),""))</f>
        <v/>
      </c>
      <c r="AN14" s="70">
        <f>IF($E14="","",IFERROR(VLOOKUP($E14,OpTbl,11,0),""))</f>
        <v/>
      </c>
      <c r="AO14" s="70">
        <f>IF($B14="","",MID($B14,6,2))</f>
        <v/>
      </c>
      <c r="AP14" s="76">
        <f>IF($B14="",0,1)</f>
        <v/>
      </c>
    </row>
    <row r="15" ht="21.75" customHeight="1">
      <c r="A15" s="70">
        <f>IF($B15="","",COUNTA($B$10:$B15))</f>
        <v/>
      </c>
      <c r="B15" s="71" t="inlineStr">
        <is>
          <t>1405/07/03</t>
        </is>
      </c>
      <c r="C15" s="71" t="inlineStr">
        <is>
          <t>10:15</t>
        </is>
      </c>
      <c r="D15" s="71" t="inlineStr">
        <is>
          <t>BS-006</t>
        </is>
      </c>
      <c r="E15" s="72" t="inlineStr">
        <is>
          <t>فروش بار (بارفروش)</t>
        </is>
      </c>
      <c r="F15" s="70">
        <f>IF($E15="","",IFERROR(VLOOKUP($E15,OpTbl,2,0),""))</f>
        <v/>
      </c>
      <c r="G15" s="71" t="inlineStr">
        <is>
          <t>SL001</t>
        </is>
      </c>
      <c r="H15" s="73">
        <f>IF($U15="","",IFERROR(VLOOKUP($U15,AcctTbl,2,0),"کد ناشناخته"))</f>
        <v/>
      </c>
      <c r="I15" s="70">
        <f>IF($U15="","",IFERROR(VLOOKUP($U15,AcctTbl,3,0),""))</f>
        <v/>
      </c>
      <c r="J15" s="72" t="inlineStr">
        <is>
          <t>پرتقال تامسون</t>
        </is>
      </c>
      <c r="K15" s="71" t="inlineStr">
        <is>
          <t>BK03 – ۹ک مشکی</t>
        </is>
      </c>
      <c r="L15" s="74" t="n">
        <v>2500</v>
      </c>
      <c r="M15" s="74" t="n">
        <v>0</v>
      </c>
      <c r="N15" s="148">
        <f>IF(OR($E15="",$L15=""),"",IFERROR(($L15-IF($M15="",0,$M15)*IFERROR(VLOOKUP($K15,BasketTbl,4,0),IFERROR(INDEX(BasketTbl,MATCH($K15,BasketCodeCol,0),4),VLOOKUP("P01",ParamTbl,2,0))))*(1-IF(VLOOKUP($E15,OpTbl,3,0)="خرید",VLOOKUP("P02",ParamTbl,2,0),0)/100),""))</f>
        <v/>
      </c>
      <c r="O15" s="74" t="n">
        <v>58000</v>
      </c>
      <c r="P15" s="76">
        <f>IF(OR($E15="",$L15=""),"",IFERROR(IF(VLOOKUP($E15,OpTbl,6,0)="وزن",ROUND($N15*$O15,-3),IF(VLOOKUP($E15,OpTbl,6,0)="مبلغ",ROUND($L15*$O15,-3),0)),""))</f>
        <v/>
      </c>
      <c r="Q15" s="74" t="n">
        <v>120000</v>
      </c>
      <c r="R15" s="71" t="n"/>
      <c r="S15" s="77">
        <f>IF($E15="","",IF($AI15="⚠","⚠ ناتراز",IF(AND(IFERROR(VLOOKUP($E15,OpTbl,4,0),"")="بله",$L15=""),"⚠ وزن",IF(AND(IFERROR(VLOOKUP($E15,OpTbl,5,0),"")="بله",$U15=""),"⚠ حساب",IF(AND(IFERROR(VLOOKUP($E15,OpTbl,6,0),"")="مبلغ",$Q15=""),"⚠ مبلغ","✓")))))</f>
        <v/>
      </c>
      <c r="T15" s="72" t="inlineStr">
        <is>
          <t>هزینه باسکول پوز</t>
        </is>
      </c>
      <c r="U15" s="70">
        <f>IF($E15="","",IFERROR(IF(VLOOKUP($E15,OpTbl,14,0)&lt;&gt;"",VLOOKUP($E15,OpTbl,14,0),$G15),""))</f>
        <v/>
      </c>
      <c r="V15" s="76">
        <f>IF(OR($AJ15="",$AJ15=0,$AL15&lt;&gt;"بدهکار"),"",$AJ15)</f>
        <v/>
      </c>
      <c r="W15" s="76">
        <f>IF(OR($AJ15="",$AJ15=0,$AL15&lt;&gt;"بستانکار"),"",$AJ15)</f>
        <v/>
      </c>
      <c r="X15" s="70">
        <f>IF($E15="","",IFERROR(VLOOKUP($E15,OpTbl,8,0),""))</f>
        <v/>
      </c>
      <c r="Y15" s="76">
        <f>IF(OR($X15="",$AJ15="",$AJ15=0,$AM15&lt;&gt;"بدهکار"),"",$AJ15)</f>
        <v/>
      </c>
      <c r="Z15" s="76">
        <f>IF(OR($X15="",$AJ15="",$AJ15=0,$AM15&lt;&gt;"بستانکار"),"",$AJ15)</f>
        <v/>
      </c>
      <c r="AA15" s="70">
        <f>IF(OR($E15="",$AN15="—",$AN15=""),"",IFERROR(VLOOKUP($E15,OpTbl,12,0),""))</f>
        <v/>
      </c>
      <c r="AB15" s="76">
        <f>IF(OR($AA15="",$Q15="",$Q15=0,$AN15&lt;&gt;"بدهکار"),"",$Q15)</f>
        <v/>
      </c>
      <c r="AC15" s="76">
        <f>IF(OR($AA15="",$Q15="",$Q15=0,$AN15&lt;&gt;"بستانکار"),"",$Q15)</f>
        <v/>
      </c>
      <c r="AD15" s="70">
        <f>IF($AA15="","",IFERROR(VLOOKUP($E15,OpTbl,13,0),""))</f>
        <v/>
      </c>
      <c r="AE15" s="76">
        <f>IF(OR($AD15="",$Q15="",$Q15=0,$AN15&lt;&gt;"بستانکار"),"",$Q15)</f>
        <v/>
      </c>
      <c r="AF15" s="76">
        <f>IF(OR($AD15="",$Q15="",$Q15=0,$AN15&lt;&gt;"بدهکار"),"",$Q15)</f>
        <v/>
      </c>
      <c r="AG15" s="76">
        <f>SUM($V15,$Y15,$AB15,$AE15)</f>
        <v/>
      </c>
      <c r="AH15" s="76">
        <f>SUM($W15,$Z15,$AC15,$AF15)</f>
        <v/>
      </c>
      <c r="AI15" s="70">
        <f>IF($E15="","",IF(ROUND($AG15-$AH15,0)=0,"✓","⚠"))</f>
        <v/>
      </c>
      <c r="AJ15" s="76">
        <f>IF(OR($E15="",$U15=""),"",IFERROR(IF(VLOOKUP($E15,OpTbl,6,0)="وزن",IF($P15="",0,$P15),IF(VLOOKUP($E15,OpTbl,6,0)="مبلغ",IF(AND($Q15&lt;&gt;"",$Q15&lt;&gt;0),$Q15,$P15),0))+IF(VLOOKUP($E15,OpTbl,10,0)="افزودن",IF($Q15="",0,$Q15),0),0))</f>
        <v/>
      </c>
      <c r="AK15" s="70">
        <f>IF($E15="","",IFERROR(VLOOKUP($E15,OpTbl,10,0),""))</f>
        <v/>
      </c>
      <c r="AL15" s="70">
        <f>IF(OR($E15="",$U15=""),"",IFERROR(IF(VLOOKUP($E15,OpTbl,7,0)="خودکار",$R15,VLOOKUP($E15,OpTbl,7,0)),""))</f>
        <v/>
      </c>
      <c r="AM15" s="70">
        <f>IF(OR($E15="",$X15=""),"",IFERROR(IF(VLOOKUP($E15,OpTbl,9,0)="خودکار",IF($AL15="بدهکار","بستانکار",IF($AL15="بستانکار","بدهکار","")),VLOOKUP($E15,OpTbl,9,0)),""))</f>
        <v/>
      </c>
      <c r="AN15" s="70">
        <f>IF($E15="","",IFERROR(VLOOKUP($E15,OpTbl,11,0),""))</f>
        <v/>
      </c>
      <c r="AO15" s="70">
        <f>IF($B15="","",MID($B15,6,2))</f>
        <v/>
      </c>
      <c r="AP15" s="76">
        <f>IF($B15="",0,1)</f>
        <v/>
      </c>
    </row>
    <row r="16" ht="21.75" customHeight="1">
      <c r="A16" s="70">
        <f>IF($B16="","",COUNTA($B$10:$B16))</f>
        <v/>
      </c>
      <c r="B16" s="71" t="inlineStr">
        <is>
          <t>1405/07/04</t>
        </is>
      </c>
      <c r="C16" s="71" t="inlineStr">
        <is>
          <t>09:00</t>
        </is>
      </c>
      <c r="D16" s="71" t="inlineStr">
        <is>
          <t>BS-007</t>
        </is>
      </c>
      <c r="E16" s="72" t="inlineStr">
        <is>
          <t>خرید مرکبات</t>
        </is>
      </c>
      <c r="F16" s="70">
        <f>IF($E16="","",IFERROR(VLOOKUP($E16,OpTbl,2,0),""))</f>
        <v/>
      </c>
      <c r="G16" s="71" t="inlineStr">
        <is>
          <t>C004</t>
        </is>
      </c>
      <c r="H16" s="73">
        <f>IF($U16="","",IFERROR(VLOOKUP($U16,AcctTbl,2,0),"کد ناشناخته"))</f>
        <v/>
      </c>
      <c r="I16" s="70">
        <f>IF($U16="","",IFERROR(VLOOKUP($U16,AcctTbl,3,0),""))</f>
        <v/>
      </c>
      <c r="J16" s="72" t="inlineStr">
        <is>
          <t>نارنگی پیچ</t>
        </is>
      </c>
      <c r="K16" s="71" t="inlineStr">
        <is>
          <t>BK01 – ۶ک مشکی</t>
        </is>
      </c>
      <c r="L16" s="74" t="n">
        <v>640</v>
      </c>
      <c r="M16" s="74" t="n">
        <v>38</v>
      </c>
      <c r="N16" s="148">
        <f>IF(OR($E16="",$L16=""),"",IFERROR(($L16-IF($M16="",0,$M16)*IFERROR(VLOOKUP($K16,BasketTbl,4,0),IFERROR(INDEX(BasketTbl,MATCH($K16,BasketCodeCol,0),4),VLOOKUP("P01",ParamTbl,2,0))))*(1-IF(VLOOKUP($E16,OpTbl,3,0)="خرید",VLOOKUP("P02",ParamTbl,2,0),0)/100),""))</f>
        <v/>
      </c>
      <c r="O16" s="74" t="n">
        <v>33000</v>
      </c>
      <c r="P16" s="76">
        <f>IF(OR($E16="",$L16=""),"",IFERROR(IF(VLOOKUP($E16,OpTbl,6,0)="وزن",ROUND($N16*$O16,-3),IF(VLOOKUP($E16,OpTbl,6,0)="مبلغ",ROUND($L16*$O16,-3),0)),""))</f>
        <v/>
      </c>
      <c r="Q16" s="74" t="n">
        <v>0</v>
      </c>
      <c r="R16" s="71" t="n"/>
      <c r="S16" s="77">
        <f>IF($E16="","",IF($AI16="⚠","⚠ ناتراز",IF(AND(IFERROR(VLOOKUP($E16,OpTbl,4,0),"")="بله",$L16=""),"⚠ وزن",IF(AND(IFERROR(VLOOKUP($E16,OpTbl,5,0),"")="بله",$U16=""),"⚠ حساب",IF(AND(IFERROR(VLOOKUP($E16,OpTbl,6,0),"")="مبلغ",$Q16=""),"⚠ مبلغ","✓")))))</f>
        <v/>
      </c>
      <c r="T16" s="72" t="n"/>
      <c r="U16" s="70">
        <f>IF($E16="","",IFERROR(IF(VLOOKUP($E16,OpTbl,14,0)&lt;&gt;"",VLOOKUP($E16,OpTbl,14,0),$G16),""))</f>
        <v/>
      </c>
      <c r="V16" s="76">
        <f>IF(OR($AJ16="",$AJ16=0,$AL16&lt;&gt;"بدهکار"),"",$AJ16)</f>
        <v/>
      </c>
      <c r="W16" s="76">
        <f>IF(OR($AJ16="",$AJ16=0,$AL16&lt;&gt;"بستانکار"),"",$AJ16)</f>
        <v/>
      </c>
      <c r="X16" s="70">
        <f>IF($E16="","",IFERROR(VLOOKUP($E16,OpTbl,8,0),""))</f>
        <v/>
      </c>
      <c r="Y16" s="76">
        <f>IF(OR($X16="",$AJ16="",$AJ16=0,$AM16&lt;&gt;"بدهکار"),"",$AJ16)</f>
        <v/>
      </c>
      <c r="Z16" s="76">
        <f>IF(OR($X16="",$AJ16="",$AJ16=0,$AM16&lt;&gt;"بستانکار"),"",$AJ16)</f>
        <v/>
      </c>
      <c r="AA16" s="70">
        <f>IF(OR($E16="",$AN16="—",$AN16=""),"",IFERROR(VLOOKUP($E16,OpTbl,12,0),""))</f>
        <v/>
      </c>
      <c r="AB16" s="76">
        <f>IF(OR($AA16="",$Q16="",$Q16=0,$AN16&lt;&gt;"بدهکار"),"",$Q16)</f>
        <v/>
      </c>
      <c r="AC16" s="76">
        <f>IF(OR($AA16="",$Q16="",$Q16=0,$AN16&lt;&gt;"بستانکار"),"",$Q16)</f>
        <v/>
      </c>
      <c r="AD16" s="70">
        <f>IF($AA16="","",IFERROR(VLOOKUP($E16,OpTbl,13,0),""))</f>
        <v/>
      </c>
      <c r="AE16" s="76">
        <f>IF(OR($AD16="",$Q16="",$Q16=0,$AN16&lt;&gt;"بستانکار"),"",$Q16)</f>
        <v/>
      </c>
      <c r="AF16" s="76">
        <f>IF(OR($AD16="",$Q16="",$Q16=0,$AN16&lt;&gt;"بدهکار"),"",$Q16)</f>
        <v/>
      </c>
      <c r="AG16" s="76">
        <f>SUM($V16,$Y16,$AB16,$AE16)</f>
        <v/>
      </c>
      <c r="AH16" s="76">
        <f>SUM($W16,$Z16,$AC16,$AF16)</f>
        <v/>
      </c>
      <c r="AI16" s="70">
        <f>IF($E16="","",IF(ROUND($AG16-$AH16,0)=0,"✓","⚠"))</f>
        <v/>
      </c>
      <c r="AJ16" s="76">
        <f>IF(OR($E16="",$U16=""),"",IFERROR(IF(VLOOKUP($E16,OpTbl,6,0)="وزن",IF($P16="",0,$P16),IF(VLOOKUP($E16,OpTbl,6,0)="مبلغ",IF(AND($Q16&lt;&gt;"",$Q16&lt;&gt;0),$Q16,$P16),0))+IF(VLOOKUP($E16,OpTbl,10,0)="افزودن",IF($Q16="",0,$Q16),0),0))</f>
        <v/>
      </c>
      <c r="AK16" s="70">
        <f>IF($E16="","",IFERROR(VLOOKUP($E16,OpTbl,10,0),""))</f>
        <v/>
      </c>
      <c r="AL16" s="70">
        <f>IF(OR($E16="",$U16=""),"",IFERROR(IF(VLOOKUP($E16,OpTbl,7,0)="خودکار",$R16,VLOOKUP($E16,OpTbl,7,0)),""))</f>
        <v/>
      </c>
      <c r="AM16" s="70">
        <f>IF(OR($E16="",$X16=""),"",IFERROR(IF(VLOOKUP($E16,OpTbl,9,0)="خودکار",IF($AL16="بدهکار","بستانکار",IF($AL16="بستانکار","بدهکار","")),VLOOKUP($E16,OpTbl,9,0)),""))</f>
        <v/>
      </c>
      <c r="AN16" s="70">
        <f>IF($E16="","",IFERROR(VLOOKUP($E16,OpTbl,11,0),""))</f>
        <v/>
      </c>
      <c r="AO16" s="70">
        <f>IF($B16="","",MID($B16,6,2))</f>
        <v/>
      </c>
      <c r="AP16" s="76">
        <f>IF($B16="",0,1)</f>
        <v/>
      </c>
    </row>
    <row r="17" ht="21.75" customHeight="1">
      <c r="A17" s="70">
        <f>IF($B17="","",COUNTA($B$10:$B17))</f>
        <v/>
      </c>
      <c r="B17" s="71" t="inlineStr">
        <is>
          <t>1405/07/04</t>
        </is>
      </c>
      <c r="C17" s="71" t="inlineStr">
        <is>
          <t>13:20</t>
        </is>
      </c>
      <c r="D17" s="71" t="inlineStr">
        <is>
          <t>BS-008</t>
        </is>
      </c>
      <c r="E17" s="72" t="inlineStr">
        <is>
          <t>فروش بار (بارفروش)</t>
        </is>
      </c>
      <c r="F17" s="70">
        <f>IF($E17="","",IFERROR(VLOOKUP($E17,OpTbl,2,0),""))</f>
        <v/>
      </c>
      <c r="G17" s="71" t="inlineStr">
        <is>
          <t>SL002</t>
        </is>
      </c>
      <c r="H17" s="73">
        <f>IF($U17="","",IFERROR(VLOOKUP($U17,AcctTbl,2,0),"کد ناشناخته"))</f>
        <v/>
      </c>
      <c r="I17" s="70">
        <f>IF($U17="","",IFERROR(VLOOKUP($U17,AcctTbl,3,0),""))</f>
        <v/>
      </c>
      <c r="J17" s="72" t="inlineStr">
        <is>
          <t>نارنگی اونشو</t>
        </is>
      </c>
      <c r="K17" s="71" t="inlineStr">
        <is>
          <t>BK03 – ۹ک مشکی</t>
        </is>
      </c>
      <c r="L17" s="74" t="n">
        <v>1800</v>
      </c>
      <c r="M17" s="74" t="n">
        <v>0</v>
      </c>
      <c r="N17" s="148">
        <f>IF(OR($E17="",$L17=""),"",IFERROR(($L17-IF($M17="",0,$M17)*IFERROR(VLOOKUP($K17,BasketTbl,4,0),IFERROR(INDEX(BasketTbl,MATCH($K17,BasketCodeCol,0),4),VLOOKUP("P01",ParamTbl,2,0))))*(1-IF(VLOOKUP($E17,OpTbl,3,0)="خرید",VLOOKUP("P02",ParamTbl,2,0),0)/100),""))</f>
        <v/>
      </c>
      <c r="O17" s="74" t="n">
        <v>52000</v>
      </c>
      <c r="P17" s="76">
        <f>IF(OR($E17="",$L17=""),"",IFERROR(IF(VLOOKUP($E17,OpTbl,6,0)="وزن",ROUND($N17*$O17,-3),IF(VLOOKUP($E17,OpTbl,6,0)="مبلغ",ROUND($L17*$O17,-3),0)),""))</f>
        <v/>
      </c>
      <c r="Q17" s="74" t="n">
        <v>90000</v>
      </c>
      <c r="R17" s="71" t="n"/>
      <c r="S17" s="77">
        <f>IF($E17="","",IF($AI17="⚠","⚠ ناتراز",IF(AND(IFERROR(VLOOKUP($E17,OpTbl,4,0),"")="بله",$L17=""),"⚠ وزن",IF(AND(IFERROR(VLOOKUP($E17,OpTbl,5,0),"")="بله",$U17=""),"⚠ حساب",IF(AND(IFERROR(VLOOKUP($E17,OpTbl,6,0),"")="مبلغ",$Q17=""),"⚠ مبلغ","✓")))))</f>
        <v/>
      </c>
      <c r="T17" s="72" t="inlineStr">
        <is>
          <t>هزینه باسکول پوز</t>
        </is>
      </c>
      <c r="U17" s="70">
        <f>IF($E17="","",IFERROR(IF(VLOOKUP($E17,OpTbl,14,0)&lt;&gt;"",VLOOKUP($E17,OpTbl,14,0),$G17),""))</f>
        <v/>
      </c>
      <c r="V17" s="76">
        <f>IF(OR($AJ17="",$AJ17=0,$AL17&lt;&gt;"بدهکار"),"",$AJ17)</f>
        <v/>
      </c>
      <c r="W17" s="76">
        <f>IF(OR($AJ17="",$AJ17=0,$AL17&lt;&gt;"بستانکار"),"",$AJ17)</f>
        <v/>
      </c>
      <c r="X17" s="70">
        <f>IF($E17="","",IFERROR(VLOOKUP($E17,OpTbl,8,0),""))</f>
        <v/>
      </c>
      <c r="Y17" s="76">
        <f>IF(OR($X17="",$AJ17="",$AJ17=0,$AM17&lt;&gt;"بدهکار"),"",$AJ17)</f>
        <v/>
      </c>
      <c r="Z17" s="76">
        <f>IF(OR($X17="",$AJ17="",$AJ17=0,$AM17&lt;&gt;"بستانکار"),"",$AJ17)</f>
        <v/>
      </c>
      <c r="AA17" s="70">
        <f>IF(OR($E17="",$AN17="—",$AN17=""),"",IFERROR(VLOOKUP($E17,OpTbl,12,0),""))</f>
        <v/>
      </c>
      <c r="AB17" s="76">
        <f>IF(OR($AA17="",$Q17="",$Q17=0,$AN17&lt;&gt;"بدهکار"),"",$Q17)</f>
        <v/>
      </c>
      <c r="AC17" s="76">
        <f>IF(OR($AA17="",$Q17="",$Q17=0,$AN17&lt;&gt;"بستانکار"),"",$Q17)</f>
        <v/>
      </c>
      <c r="AD17" s="70">
        <f>IF($AA17="","",IFERROR(VLOOKUP($E17,OpTbl,13,0),""))</f>
        <v/>
      </c>
      <c r="AE17" s="76">
        <f>IF(OR($AD17="",$Q17="",$Q17=0,$AN17&lt;&gt;"بستانکار"),"",$Q17)</f>
        <v/>
      </c>
      <c r="AF17" s="76">
        <f>IF(OR($AD17="",$Q17="",$Q17=0,$AN17&lt;&gt;"بدهکار"),"",$Q17)</f>
        <v/>
      </c>
      <c r="AG17" s="76">
        <f>SUM($V17,$Y17,$AB17,$AE17)</f>
        <v/>
      </c>
      <c r="AH17" s="76">
        <f>SUM($W17,$Z17,$AC17,$AF17)</f>
        <v/>
      </c>
      <c r="AI17" s="70">
        <f>IF($E17="","",IF(ROUND($AG17-$AH17,0)=0,"✓","⚠"))</f>
        <v/>
      </c>
      <c r="AJ17" s="76">
        <f>IF(OR($E17="",$U17=""),"",IFERROR(IF(VLOOKUP($E17,OpTbl,6,0)="وزن",IF($P17="",0,$P17),IF(VLOOKUP($E17,OpTbl,6,0)="مبلغ",IF(AND($Q17&lt;&gt;"",$Q17&lt;&gt;0),$Q17,$P17),0))+IF(VLOOKUP($E17,OpTbl,10,0)="افزودن",IF($Q17="",0,$Q17),0),0))</f>
        <v/>
      </c>
      <c r="AK17" s="70">
        <f>IF($E17="","",IFERROR(VLOOKUP($E17,OpTbl,10,0),""))</f>
        <v/>
      </c>
      <c r="AL17" s="70">
        <f>IF(OR($E17="",$U17=""),"",IFERROR(IF(VLOOKUP($E17,OpTbl,7,0)="خودکار",$R17,VLOOKUP($E17,OpTbl,7,0)),""))</f>
        <v/>
      </c>
      <c r="AM17" s="70">
        <f>IF(OR($E17="",$X17=""),"",IFERROR(IF(VLOOKUP($E17,OpTbl,9,0)="خودکار",IF($AL17="بدهکار","بستانکار",IF($AL17="بستانکار","بدهکار","")),VLOOKUP($E17,OpTbl,9,0)),""))</f>
        <v/>
      </c>
      <c r="AN17" s="70">
        <f>IF($E17="","",IFERROR(VLOOKUP($E17,OpTbl,11,0),""))</f>
        <v/>
      </c>
      <c r="AO17" s="70">
        <f>IF($B17="","",MID($B17,6,2))</f>
        <v/>
      </c>
      <c r="AP17" s="76">
        <f>IF($B17="",0,1)</f>
        <v/>
      </c>
    </row>
    <row r="18" ht="21.75" customHeight="1">
      <c r="A18" s="70">
        <f>IF($B18="","",COUNTA($B$10:$B18))</f>
        <v/>
      </c>
      <c r="B18" s="71" t="inlineStr">
        <is>
          <t>1405/07/05</t>
        </is>
      </c>
      <c r="C18" s="71" t="inlineStr">
        <is>
          <t>08:05</t>
        </is>
      </c>
      <c r="D18" s="71" t="inlineStr">
        <is>
          <t>BS-009</t>
        </is>
      </c>
      <c r="E18" s="72" t="inlineStr">
        <is>
          <t>آبگیری</t>
        </is>
      </c>
      <c r="F18" s="70">
        <f>IF($E18="","",IFERROR(VLOOKUP($E18,OpTbl,2,0),""))</f>
        <v/>
      </c>
      <c r="G18" s="71" t="inlineStr">
        <is>
          <t>C007</t>
        </is>
      </c>
      <c r="H18" s="73">
        <f>IF($U18="","",IFERROR(VLOOKUP($U18,AcctTbl,2,0),"کد ناشناخته"))</f>
        <v/>
      </c>
      <c r="I18" s="70">
        <f>IF($U18="","",IFERROR(VLOOKUP($U18,AcctTbl,3,0),""))</f>
        <v/>
      </c>
      <c r="J18" s="72" t="inlineStr">
        <is>
          <t>نارنگی پیچ</t>
        </is>
      </c>
      <c r="K18" s="71" t="inlineStr">
        <is>
          <t>BK01 – ۶ک مشکی</t>
        </is>
      </c>
      <c r="L18" s="74" t="n">
        <v>800</v>
      </c>
      <c r="M18" s="74" t="n">
        <v>0</v>
      </c>
      <c r="N18" s="148">
        <f>IF(OR($E18="",$L18=""),"",IFERROR(($L18-IF($M18="",0,$M18)*IFERROR(VLOOKUP($K18,BasketTbl,4,0),IFERROR(INDEX(BasketTbl,MATCH($K18,BasketCodeCol,0),4),VLOOKUP("P01",ParamTbl,2,0))))*(1-IF(VLOOKUP($E18,OpTbl,3,0)="خرید",VLOOKUP("P02",ParamTbl,2,0),0)/100),""))</f>
        <v/>
      </c>
      <c r="O18" s="74" t="n">
        <v>0</v>
      </c>
      <c r="P18" s="76">
        <f>IF(OR($E18="",$L18=""),"",IFERROR(IF(VLOOKUP($E18,OpTbl,6,0)="وزن",ROUND($N18*$O18,-3),IF(VLOOKUP($E18,OpTbl,6,0)="مبلغ",ROUND($L18*$O18,-3),0)),""))</f>
        <v/>
      </c>
      <c r="Q18" s="74" t="n">
        <v>12000000</v>
      </c>
      <c r="R18" s="71" t="inlineStr">
        <is>
          <t>بستانکار</t>
        </is>
      </c>
      <c r="S18" s="77">
        <f>IF($E18="","",IF($AI18="⚠","⚠ ناتراز",IF(AND(IFERROR(VLOOKUP($E18,OpTbl,4,0),"")="بله",$L18=""),"⚠ وزن",IF(AND(IFERROR(VLOOKUP($E18,OpTbl,5,0),"")="بله",$U18=""),"⚠ حساب",IF(AND(IFERROR(VLOOKUP($E18,OpTbl,6,0),"")="مبلغ",$Q18=""),"⚠ مبلغ","✓")))))</f>
        <v/>
      </c>
      <c r="T18" s="72" t="inlineStr">
        <is>
          <t>آبگیری — طرف حساب بستانکار</t>
        </is>
      </c>
      <c r="U18" s="70">
        <f>IF($E18="","",IFERROR(IF(VLOOKUP($E18,OpTbl,14,0)&lt;&gt;"",VLOOKUP($E18,OpTbl,14,0),$G18),""))</f>
        <v/>
      </c>
      <c r="V18" s="76">
        <f>IF(OR($AJ18="",$AJ18=0,$AL18&lt;&gt;"بدهکار"),"",$AJ18)</f>
        <v/>
      </c>
      <c r="W18" s="76">
        <f>IF(OR($AJ18="",$AJ18=0,$AL18&lt;&gt;"بستانکار"),"",$AJ18)</f>
        <v/>
      </c>
      <c r="X18" s="70">
        <f>IF($E18="","",IFERROR(VLOOKUP($E18,OpTbl,8,0),""))</f>
        <v/>
      </c>
      <c r="Y18" s="76">
        <f>IF(OR($X18="",$AJ18="",$AJ18=0,$AM18&lt;&gt;"بدهکار"),"",$AJ18)</f>
        <v/>
      </c>
      <c r="Z18" s="76">
        <f>IF(OR($X18="",$AJ18="",$AJ18=0,$AM18&lt;&gt;"بستانکار"),"",$AJ18)</f>
        <v/>
      </c>
      <c r="AA18" s="70">
        <f>IF(OR($E18="",$AN18="—",$AN18=""),"",IFERROR(VLOOKUP($E18,OpTbl,12,0),""))</f>
        <v/>
      </c>
      <c r="AB18" s="76">
        <f>IF(OR($AA18="",$Q18="",$Q18=0,$AN18&lt;&gt;"بدهکار"),"",$Q18)</f>
        <v/>
      </c>
      <c r="AC18" s="76">
        <f>IF(OR($AA18="",$Q18="",$Q18=0,$AN18&lt;&gt;"بستانکار"),"",$Q18)</f>
        <v/>
      </c>
      <c r="AD18" s="70">
        <f>IF($AA18="","",IFERROR(VLOOKUP($E18,OpTbl,13,0),""))</f>
        <v/>
      </c>
      <c r="AE18" s="76">
        <f>IF(OR($AD18="",$Q18="",$Q18=0,$AN18&lt;&gt;"بستانکار"),"",$Q18)</f>
        <v/>
      </c>
      <c r="AF18" s="76">
        <f>IF(OR($AD18="",$Q18="",$Q18=0,$AN18&lt;&gt;"بدهکار"),"",$Q18)</f>
        <v/>
      </c>
      <c r="AG18" s="76">
        <f>SUM($V18,$Y18,$AB18,$AE18)</f>
        <v/>
      </c>
      <c r="AH18" s="76">
        <f>SUM($W18,$Z18,$AC18,$AF18)</f>
        <v/>
      </c>
      <c r="AI18" s="70">
        <f>IF($E18="","",IF(ROUND($AG18-$AH18,0)=0,"✓","⚠"))</f>
        <v/>
      </c>
      <c r="AJ18" s="76">
        <f>IF(OR($E18="",$U18=""),"",IFERROR(IF(VLOOKUP($E18,OpTbl,6,0)="وزن",IF($P18="",0,$P18),IF(VLOOKUP($E18,OpTbl,6,0)="مبلغ",IF(AND($Q18&lt;&gt;"",$Q18&lt;&gt;0),$Q18,$P18),0))+IF(VLOOKUP($E18,OpTbl,10,0)="افزودن",IF($Q18="",0,$Q18),0),0))</f>
        <v/>
      </c>
      <c r="AK18" s="70">
        <f>IF($E18="","",IFERROR(VLOOKUP($E18,OpTbl,10,0),""))</f>
        <v/>
      </c>
      <c r="AL18" s="70">
        <f>IF(OR($E18="",$U18=""),"",IFERROR(IF(VLOOKUP($E18,OpTbl,7,0)="خودکار",$R18,VLOOKUP($E18,OpTbl,7,0)),""))</f>
        <v/>
      </c>
      <c r="AM18" s="70">
        <f>IF(OR($E18="",$X18=""),"",IFERROR(IF(VLOOKUP($E18,OpTbl,9,0)="خودکار",IF($AL18="بدهکار","بستانکار",IF($AL18="بستانکار","بدهکار","")),VLOOKUP($E18,OpTbl,9,0)),""))</f>
        <v/>
      </c>
      <c r="AN18" s="70">
        <f>IF($E18="","",IFERROR(VLOOKUP($E18,OpTbl,11,0),""))</f>
        <v/>
      </c>
      <c r="AO18" s="70">
        <f>IF($B18="","",MID($B18,6,2))</f>
        <v/>
      </c>
      <c r="AP18" s="76">
        <f>IF($B18="",0,1)</f>
        <v/>
      </c>
    </row>
    <row r="19" ht="21.75" customHeight="1">
      <c r="A19" s="70">
        <f>IF($B19="","",COUNTA($B$10:$B19))</f>
        <v/>
      </c>
      <c r="B19" s="71" t="inlineStr">
        <is>
          <t>1405/07/05</t>
        </is>
      </c>
      <c r="C19" s="71" t="inlineStr">
        <is>
          <t>10:40</t>
        </is>
      </c>
      <c r="D19" s="71" t="inlineStr">
        <is>
          <t>BS-010</t>
        </is>
      </c>
      <c r="E19" s="72" t="inlineStr">
        <is>
          <t>انعام مصطفی</t>
        </is>
      </c>
      <c r="F19" s="70">
        <f>IF($E19="","",IFERROR(VLOOKUP($E19,OpTbl,2,0),""))</f>
        <v/>
      </c>
      <c r="G19" s="71" t="n"/>
      <c r="H19" s="73">
        <f>IF($U19="","",IFERROR(VLOOKUP($U19,AcctTbl,2,0),"کد ناشناخته"))</f>
        <v/>
      </c>
      <c r="I19" s="70">
        <f>IF($U19="","",IFERROR(VLOOKUP($U19,AcctTbl,3,0),""))</f>
        <v/>
      </c>
      <c r="J19" s="72" t="n"/>
      <c r="K19" s="71" t="n"/>
      <c r="L19" s="74" t="n">
        <v>0</v>
      </c>
      <c r="M19" s="74" t="n">
        <v>0</v>
      </c>
      <c r="N19" s="148">
        <f>IF(OR($E19="",$L19=""),"",IFERROR(($L19-IF($M19="",0,$M19)*IFERROR(VLOOKUP($K19,BasketTbl,4,0),IFERROR(INDEX(BasketTbl,MATCH($K19,BasketCodeCol,0),4),VLOOKUP("P01",ParamTbl,2,0))))*(1-IF(VLOOKUP($E19,OpTbl,3,0)="خرید",VLOOKUP("P02",ParamTbl,2,0),0)/100),""))</f>
        <v/>
      </c>
      <c r="O19" s="74" t="n">
        <v>0</v>
      </c>
      <c r="P19" s="76">
        <f>IF(OR($E19="",$L19=""),"",IFERROR(IF(VLOOKUP($E19,OpTbl,6,0)="وزن",ROUND($N19*$O19,-3),IF(VLOOKUP($E19,OpTbl,6,0)="مبلغ",ROUND($L19*$O19,-3),0)),""))</f>
        <v/>
      </c>
      <c r="Q19" s="74" t="n">
        <v>500000</v>
      </c>
      <c r="R19" s="71" t="n"/>
      <c r="S19" s="77">
        <f>IF($E19="","",IF($AI19="⚠","⚠ ناتراز",IF(AND(IFERROR(VLOOKUP($E19,OpTbl,4,0),"")="بله",$L19=""),"⚠ وزن",IF(AND(IFERROR(VLOOKUP($E19,OpTbl,5,0),"")="بله",$U19=""),"⚠ حساب",IF(AND(IFERROR(VLOOKUP($E19,OpTbl,6,0),"")="مبلغ",$Q19=""),"⚠ مبلغ","✓")))))</f>
        <v/>
      </c>
      <c r="T19" s="72" t="inlineStr">
        <is>
          <t>انعام از پوز باسکول</t>
        </is>
      </c>
      <c r="U19" s="70">
        <f>IF($E19="","",IFERROR(IF(VLOOKUP($E19,OpTbl,14,0)&lt;&gt;"",VLOOKUP($E19,OpTbl,14,0),$G19),""))</f>
        <v/>
      </c>
      <c r="V19" s="76">
        <f>IF(OR($AJ19="",$AJ19=0,$AL19&lt;&gt;"بدهکار"),"",$AJ19)</f>
        <v/>
      </c>
      <c r="W19" s="76">
        <f>IF(OR($AJ19="",$AJ19=0,$AL19&lt;&gt;"بستانکار"),"",$AJ19)</f>
        <v/>
      </c>
      <c r="X19" s="70">
        <f>IF($E19="","",IFERROR(VLOOKUP($E19,OpTbl,8,0),""))</f>
        <v/>
      </c>
      <c r="Y19" s="76">
        <f>IF(OR($X19="",$AJ19="",$AJ19=0,$AM19&lt;&gt;"بدهکار"),"",$AJ19)</f>
        <v/>
      </c>
      <c r="Z19" s="76">
        <f>IF(OR($X19="",$AJ19="",$AJ19=0,$AM19&lt;&gt;"بستانکار"),"",$AJ19)</f>
        <v/>
      </c>
      <c r="AA19" s="70">
        <f>IF(OR($E19="",$AN19="—",$AN19=""),"",IFERROR(VLOOKUP($E19,OpTbl,12,0),""))</f>
        <v/>
      </c>
      <c r="AB19" s="76">
        <f>IF(OR($AA19="",$Q19="",$Q19=0,$AN19&lt;&gt;"بدهکار"),"",$Q19)</f>
        <v/>
      </c>
      <c r="AC19" s="76">
        <f>IF(OR($AA19="",$Q19="",$Q19=0,$AN19&lt;&gt;"بستانکار"),"",$Q19)</f>
        <v/>
      </c>
      <c r="AD19" s="70">
        <f>IF($AA19="","",IFERROR(VLOOKUP($E19,OpTbl,13,0),""))</f>
        <v/>
      </c>
      <c r="AE19" s="76">
        <f>IF(OR($AD19="",$Q19="",$Q19=0,$AN19&lt;&gt;"بستانکار"),"",$Q19)</f>
        <v/>
      </c>
      <c r="AF19" s="76">
        <f>IF(OR($AD19="",$Q19="",$Q19=0,$AN19&lt;&gt;"بدهکار"),"",$Q19)</f>
        <v/>
      </c>
      <c r="AG19" s="76">
        <f>SUM($V19,$Y19,$AB19,$AE19)</f>
        <v/>
      </c>
      <c r="AH19" s="76">
        <f>SUM($W19,$Z19,$AC19,$AF19)</f>
        <v/>
      </c>
      <c r="AI19" s="70">
        <f>IF($E19="","",IF(ROUND($AG19-$AH19,0)=0,"✓","⚠"))</f>
        <v/>
      </c>
      <c r="AJ19" s="76">
        <f>IF(OR($E19="",$U19=""),"",IFERROR(IF(VLOOKUP($E19,OpTbl,6,0)="وزن",IF($P19="",0,$P19),IF(VLOOKUP($E19,OpTbl,6,0)="مبلغ",IF(AND($Q19&lt;&gt;"",$Q19&lt;&gt;0),$Q19,$P19),0))+IF(VLOOKUP($E19,OpTbl,10,0)="افزودن",IF($Q19="",0,$Q19),0),0))</f>
        <v/>
      </c>
      <c r="AK19" s="70">
        <f>IF($E19="","",IFERROR(VLOOKUP($E19,OpTbl,10,0),""))</f>
        <v/>
      </c>
      <c r="AL19" s="70">
        <f>IF(OR($E19="",$U19=""),"",IFERROR(IF(VLOOKUP($E19,OpTbl,7,0)="خودکار",$R19,VLOOKUP($E19,OpTbl,7,0)),""))</f>
        <v/>
      </c>
      <c r="AM19" s="70">
        <f>IF(OR($E19="",$X19=""),"",IFERROR(IF(VLOOKUP($E19,OpTbl,9,0)="خودکار",IF($AL19="بدهکار","بستانکار",IF($AL19="بستانکار","بدهکار","")),VLOOKUP($E19,OpTbl,9,0)),""))</f>
        <v/>
      </c>
      <c r="AN19" s="70">
        <f>IF($E19="","",IFERROR(VLOOKUP($E19,OpTbl,11,0),""))</f>
        <v/>
      </c>
      <c r="AO19" s="70">
        <f>IF($B19="","",MID($B19,6,2))</f>
        <v/>
      </c>
      <c r="AP19" s="76">
        <f>IF($B19="",0,1)</f>
        <v/>
      </c>
    </row>
    <row r="20" ht="21.75" customHeight="1">
      <c r="A20" s="70">
        <f>IF($B20="","",COUNTA($B$10:$B20))</f>
        <v/>
      </c>
      <c r="B20" s="71" t="inlineStr">
        <is>
          <t>1405/07/06</t>
        </is>
      </c>
      <c r="C20" s="71" t="inlineStr">
        <is>
          <t>09:15</t>
        </is>
      </c>
      <c r="D20" s="71" t="inlineStr">
        <is>
          <t>BS-011</t>
        </is>
      </c>
      <c r="E20" s="72" t="inlineStr">
        <is>
          <t>باسکول دیگران</t>
        </is>
      </c>
      <c r="F20" s="70">
        <f>IF($E20="","",IFERROR(VLOOKUP($E20,OpTbl,2,0),""))</f>
        <v/>
      </c>
      <c r="G20" s="71" t="inlineStr">
        <is>
          <t>BD001</t>
        </is>
      </c>
      <c r="H20" s="73">
        <f>IF($U20="","",IFERROR(VLOOKUP($U20,AcctTbl,2,0),"کد ناشناخته"))</f>
        <v/>
      </c>
      <c r="I20" s="70">
        <f>IF($U20="","",IFERROR(VLOOKUP($U20,AcctTbl,3,0),""))</f>
        <v/>
      </c>
      <c r="J20" s="72" t="n"/>
      <c r="K20" s="71" t="n"/>
      <c r="L20" s="74" t="n">
        <v>0</v>
      </c>
      <c r="M20" s="74" t="n">
        <v>0</v>
      </c>
      <c r="N20" s="148">
        <f>IF(OR($E20="",$L20=""),"",IFERROR(($L20-IF($M20="",0,$M20)*IFERROR(VLOOKUP($K20,BasketTbl,4,0),IFERROR(INDEX(BasketTbl,MATCH($K20,BasketCodeCol,0),4),VLOOKUP("P01",ParamTbl,2,0))))*(1-IF(VLOOKUP($E20,OpTbl,3,0)="خرید",VLOOKUP("P02",ParamTbl,2,0),0)/100),""))</f>
        <v/>
      </c>
      <c r="O20" s="74" t="n">
        <v>0</v>
      </c>
      <c r="P20" s="76">
        <f>IF(OR($E20="",$L20=""),"",IFERROR(IF(VLOOKUP($E20,OpTbl,6,0)="وزن",ROUND($N20*$O20,-3),IF(VLOOKUP($E20,OpTbl,6,0)="مبلغ",ROUND($L20*$O20,-3),0)),""))</f>
        <v/>
      </c>
      <c r="Q20" s="74" t="n">
        <v>150000</v>
      </c>
      <c r="R20" s="71" t="n"/>
      <c r="S20" s="77">
        <f>IF($E20="","",IF($AI20="⚠","⚠ ناتراز",IF(AND(IFERROR(VLOOKUP($E20,OpTbl,4,0),"")="بله",$L20=""),"⚠ وزن",IF(AND(IFERROR(VLOOKUP($E20,OpTbl,5,0),"")="بله",$U20=""),"⚠ حساب",IF(AND(IFERROR(VLOOKUP($E20,OpTbl,6,0),"")="مبلغ",$Q20=""),"⚠ مبلغ","✓")))))</f>
        <v/>
      </c>
      <c r="T20" s="72" t="inlineStr">
        <is>
          <t>هزینه باسکول مهمان</t>
        </is>
      </c>
      <c r="U20" s="70">
        <f>IF($E20="","",IFERROR(IF(VLOOKUP($E20,OpTbl,14,0)&lt;&gt;"",VLOOKUP($E20,OpTbl,14,0),$G20),""))</f>
        <v/>
      </c>
      <c r="V20" s="76">
        <f>IF(OR($AJ20="",$AJ20=0,$AL20&lt;&gt;"بدهکار"),"",$AJ20)</f>
        <v/>
      </c>
      <c r="W20" s="76">
        <f>IF(OR($AJ20="",$AJ20=0,$AL20&lt;&gt;"بستانکار"),"",$AJ20)</f>
        <v/>
      </c>
      <c r="X20" s="70">
        <f>IF($E20="","",IFERROR(VLOOKUP($E20,OpTbl,8,0),""))</f>
        <v/>
      </c>
      <c r="Y20" s="76">
        <f>IF(OR($X20="",$AJ20="",$AJ20=0,$AM20&lt;&gt;"بدهکار"),"",$AJ20)</f>
        <v/>
      </c>
      <c r="Z20" s="76">
        <f>IF(OR($X20="",$AJ20="",$AJ20=0,$AM20&lt;&gt;"بستانکار"),"",$AJ20)</f>
        <v/>
      </c>
      <c r="AA20" s="70">
        <f>IF(OR($E20="",$AN20="—",$AN20=""),"",IFERROR(VLOOKUP($E20,OpTbl,12,0),""))</f>
        <v/>
      </c>
      <c r="AB20" s="76">
        <f>IF(OR($AA20="",$Q20="",$Q20=0,$AN20&lt;&gt;"بدهکار"),"",$Q20)</f>
        <v/>
      </c>
      <c r="AC20" s="76">
        <f>IF(OR($AA20="",$Q20="",$Q20=0,$AN20&lt;&gt;"بستانکار"),"",$Q20)</f>
        <v/>
      </c>
      <c r="AD20" s="70">
        <f>IF($AA20="","",IFERROR(VLOOKUP($E20,OpTbl,13,0),""))</f>
        <v/>
      </c>
      <c r="AE20" s="76">
        <f>IF(OR($AD20="",$Q20="",$Q20=0,$AN20&lt;&gt;"بستانکار"),"",$Q20)</f>
        <v/>
      </c>
      <c r="AF20" s="76">
        <f>IF(OR($AD20="",$Q20="",$Q20=0,$AN20&lt;&gt;"بدهکار"),"",$Q20)</f>
        <v/>
      </c>
      <c r="AG20" s="76">
        <f>SUM($V20,$Y20,$AB20,$AE20)</f>
        <v/>
      </c>
      <c r="AH20" s="76">
        <f>SUM($W20,$Z20,$AC20,$AF20)</f>
        <v/>
      </c>
      <c r="AI20" s="70">
        <f>IF($E20="","",IF(ROUND($AG20-$AH20,0)=0,"✓","⚠"))</f>
        <v/>
      </c>
      <c r="AJ20" s="76">
        <f>IF(OR($E20="",$U20=""),"",IFERROR(IF(VLOOKUP($E20,OpTbl,6,0)="وزن",IF($P20="",0,$P20),IF(VLOOKUP($E20,OpTbl,6,0)="مبلغ",IF(AND($Q20&lt;&gt;"",$Q20&lt;&gt;0),$Q20,$P20),0))+IF(VLOOKUP($E20,OpTbl,10,0)="افزودن",IF($Q20="",0,$Q20),0),0))</f>
        <v/>
      </c>
      <c r="AK20" s="70">
        <f>IF($E20="","",IFERROR(VLOOKUP($E20,OpTbl,10,0),""))</f>
        <v/>
      </c>
      <c r="AL20" s="70">
        <f>IF(OR($E20="",$U20=""),"",IFERROR(IF(VLOOKUP($E20,OpTbl,7,0)="خودکار",$R20,VLOOKUP($E20,OpTbl,7,0)),""))</f>
        <v/>
      </c>
      <c r="AM20" s="70">
        <f>IF(OR($E20="",$X20=""),"",IFERROR(IF(VLOOKUP($E20,OpTbl,9,0)="خودکار",IF($AL20="بدهکار","بستانکار",IF($AL20="بستانکار","بدهکار","")),VLOOKUP($E20,OpTbl,9,0)),""))</f>
        <v/>
      </c>
      <c r="AN20" s="70">
        <f>IF($E20="","",IFERROR(VLOOKUP($E20,OpTbl,11,0),""))</f>
        <v/>
      </c>
      <c r="AO20" s="70">
        <f>IF($B20="","",MID($B20,6,2))</f>
        <v/>
      </c>
      <c r="AP20" s="76">
        <f>IF($B20="",0,1)</f>
        <v/>
      </c>
    </row>
    <row r="21" ht="21.75" customHeight="1">
      <c r="A21" s="70">
        <f>IF($B21="","",COUNTA($B$10:$B21))</f>
        <v/>
      </c>
      <c r="B21" s="71" t="inlineStr">
        <is>
          <t>1405/07/06</t>
        </is>
      </c>
      <c r="C21" s="71" t="inlineStr">
        <is>
          <t>12:00</t>
        </is>
      </c>
      <c r="D21" s="71" t="inlineStr">
        <is>
          <t>BS-012</t>
        </is>
      </c>
      <c r="E21" s="72" t="inlineStr">
        <is>
          <t>خرید مرکبات</t>
        </is>
      </c>
      <c r="F21" s="70">
        <f>IF($E21="","",IFERROR(VLOOKUP($E21,OpTbl,2,0),""))</f>
        <v/>
      </c>
      <c r="G21" s="71" t="inlineStr">
        <is>
          <t>C005</t>
        </is>
      </c>
      <c r="H21" s="73">
        <f>IF($U21="","",IFERROR(VLOOKUP($U21,AcctTbl,2,0),"کد ناشناخته"))</f>
        <v/>
      </c>
      <c r="I21" s="70">
        <f>IF($U21="","",IFERROR(VLOOKUP($U21,AcctTbl,3,0),""))</f>
        <v/>
      </c>
      <c r="J21" s="72" t="inlineStr">
        <is>
          <t>پرتقال یافا</t>
        </is>
      </c>
      <c r="K21" s="71" t="inlineStr">
        <is>
          <t>BK03 – ۹ک مشکی</t>
        </is>
      </c>
      <c r="L21" s="74" t="n">
        <v>3200</v>
      </c>
      <c r="M21" s="74" t="n">
        <v>195</v>
      </c>
      <c r="N21" s="148">
        <f>IF(OR($E21="",$L21=""),"",IFERROR(($L21-IF($M21="",0,$M21)*IFERROR(VLOOKUP($K21,BasketTbl,4,0),IFERROR(INDEX(BasketTbl,MATCH($K21,BasketCodeCol,0),4),VLOOKUP("P01",ParamTbl,2,0))))*(1-IF(VLOOKUP($E21,OpTbl,3,0)="خرید",VLOOKUP("P02",ParamTbl,2,0),0)/100),""))</f>
        <v/>
      </c>
      <c r="O21" s="74" t="n">
        <v>29000</v>
      </c>
      <c r="P21" s="76">
        <f>IF(OR($E21="",$L21=""),"",IFERROR(IF(VLOOKUP($E21,OpTbl,6,0)="وزن",ROUND($N21*$O21,-3),IF(VLOOKUP($E21,OpTbl,6,0)="مبلغ",ROUND($L21*$O21,-3),0)),""))</f>
        <v/>
      </c>
      <c r="Q21" s="74" t="n">
        <v>0</v>
      </c>
      <c r="R21" s="71" t="n"/>
      <c r="S21" s="77">
        <f>IF($E21="","",IF($AI21="⚠","⚠ ناتراز",IF(AND(IFERROR(VLOOKUP($E21,OpTbl,4,0),"")="بله",$L21=""),"⚠ وزن",IF(AND(IFERROR(VLOOKUP($E21,OpTbl,5,0),"")="بله",$U21=""),"⚠ حساب",IF(AND(IFERROR(VLOOKUP($E21,OpTbl,6,0),"")="مبلغ",$Q21=""),"⚠ مبلغ","✓")))))</f>
        <v/>
      </c>
      <c r="T21" s="72" t="n"/>
      <c r="U21" s="70">
        <f>IF($E21="","",IFERROR(IF(VLOOKUP($E21,OpTbl,14,0)&lt;&gt;"",VLOOKUP($E21,OpTbl,14,0),$G21),""))</f>
        <v/>
      </c>
      <c r="V21" s="76">
        <f>IF(OR($AJ21="",$AJ21=0,$AL21&lt;&gt;"بدهکار"),"",$AJ21)</f>
        <v/>
      </c>
      <c r="W21" s="76">
        <f>IF(OR($AJ21="",$AJ21=0,$AL21&lt;&gt;"بستانکار"),"",$AJ21)</f>
        <v/>
      </c>
      <c r="X21" s="70">
        <f>IF($E21="","",IFERROR(VLOOKUP($E21,OpTbl,8,0),""))</f>
        <v/>
      </c>
      <c r="Y21" s="76">
        <f>IF(OR($X21="",$AJ21="",$AJ21=0,$AM21&lt;&gt;"بدهکار"),"",$AJ21)</f>
        <v/>
      </c>
      <c r="Z21" s="76">
        <f>IF(OR($X21="",$AJ21="",$AJ21=0,$AM21&lt;&gt;"بستانکار"),"",$AJ21)</f>
        <v/>
      </c>
      <c r="AA21" s="70">
        <f>IF(OR($E21="",$AN21="—",$AN21=""),"",IFERROR(VLOOKUP($E21,OpTbl,12,0),""))</f>
        <v/>
      </c>
      <c r="AB21" s="76">
        <f>IF(OR($AA21="",$Q21="",$Q21=0,$AN21&lt;&gt;"بدهکار"),"",$Q21)</f>
        <v/>
      </c>
      <c r="AC21" s="76">
        <f>IF(OR($AA21="",$Q21="",$Q21=0,$AN21&lt;&gt;"بستانکار"),"",$Q21)</f>
        <v/>
      </c>
      <c r="AD21" s="70">
        <f>IF($AA21="","",IFERROR(VLOOKUP($E21,OpTbl,13,0),""))</f>
        <v/>
      </c>
      <c r="AE21" s="76">
        <f>IF(OR($AD21="",$Q21="",$Q21=0,$AN21&lt;&gt;"بستانکار"),"",$Q21)</f>
        <v/>
      </c>
      <c r="AF21" s="76">
        <f>IF(OR($AD21="",$Q21="",$Q21=0,$AN21&lt;&gt;"بدهکار"),"",$Q21)</f>
        <v/>
      </c>
      <c r="AG21" s="76">
        <f>SUM($V21,$Y21,$AB21,$AE21)</f>
        <v/>
      </c>
      <c r="AH21" s="76">
        <f>SUM($W21,$Z21,$AC21,$AF21)</f>
        <v/>
      </c>
      <c r="AI21" s="70">
        <f>IF($E21="","",IF(ROUND($AG21-$AH21,0)=0,"✓","⚠"))</f>
        <v/>
      </c>
      <c r="AJ21" s="76">
        <f>IF(OR($E21="",$U21=""),"",IFERROR(IF(VLOOKUP($E21,OpTbl,6,0)="وزن",IF($P21="",0,$P21),IF(VLOOKUP($E21,OpTbl,6,0)="مبلغ",IF(AND($Q21&lt;&gt;"",$Q21&lt;&gt;0),$Q21,$P21),0))+IF(VLOOKUP($E21,OpTbl,10,0)="افزودن",IF($Q21="",0,$Q21),0),0))</f>
        <v/>
      </c>
      <c r="AK21" s="70">
        <f>IF($E21="","",IFERROR(VLOOKUP($E21,OpTbl,10,0),""))</f>
        <v/>
      </c>
      <c r="AL21" s="70">
        <f>IF(OR($E21="",$U21=""),"",IFERROR(IF(VLOOKUP($E21,OpTbl,7,0)="خودکار",$R21,VLOOKUP($E21,OpTbl,7,0)),""))</f>
        <v/>
      </c>
      <c r="AM21" s="70">
        <f>IF(OR($E21="",$X21=""),"",IFERROR(IF(VLOOKUP($E21,OpTbl,9,0)="خودکار",IF($AL21="بدهکار","بستانکار",IF($AL21="بستانکار","بدهکار","")),VLOOKUP($E21,OpTbl,9,0)),""))</f>
        <v/>
      </c>
      <c r="AN21" s="70">
        <f>IF($E21="","",IFERROR(VLOOKUP($E21,OpTbl,11,0),""))</f>
        <v/>
      </c>
      <c r="AO21" s="70">
        <f>IF($B21="","",MID($B21,6,2))</f>
        <v/>
      </c>
      <c r="AP21" s="76">
        <f>IF($B21="",0,1)</f>
        <v/>
      </c>
    </row>
    <row r="22" ht="21.75" customHeight="1">
      <c r="A22" s="70">
        <f>IF($B22="","",COUNTA($B$10:$B22))</f>
        <v/>
      </c>
      <c r="B22" s="71" t="inlineStr">
        <is>
          <t>1405/07/07</t>
        </is>
      </c>
      <c r="C22" s="71" t="inlineStr">
        <is>
          <t>08:30</t>
        </is>
      </c>
      <c r="D22" s="71" t="inlineStr">
        <is>
          <t>BS-013</t>
        </is>
      </c>
      <c r="E22" s="72" t="inlineStr">
        <is>
          <t>مرجوعی خرید</t>
        </is>
      </c>
      <c r="F22" s="70">
        <f>IF($E22="","",IFERROR(VLOOKUP($E22,OpTbl,2,0),""))</f>
        <v/>
      </c>
      <c r="G22" s="71" t="inlineStr">
        <is>
          <t>C001</t>
        </is>
      </c>
      <c r="H22" s="73">
        <f>IF($U22="","",IFERROR(VLOOKUP($U22,AcctTbl,2,0),"کد ناشناخته"))</f>
        <v/>
      </c>
      <c r="I22" s="70">
        <f>IF($U22="","",IFERROR(VLOOKUP($U22,AcctTbl,3,0),""))</f>
        <v/>
      </c>
      <c r="J22" s="72" t="inlineStr">
        <is>
          <t>نارنگی پیچ</t>
        </is>
      </c>
      <c r="K22" s="71" t="inlineStr">
        <is>
          <t>BK01 – ۶ک مشکی</t>
        </is>
      </c>
      <c r="L22" s="74" t="n">
        <v>220</v>
      </c>
      <c r="M22" s="74" t="n">
        <v>12</v>
      </c>
      <c r="N22" s="148">
        <f>IF(OR($E22="",$L22=""),"",IFERROR(($L22-IF($M22="",0,$M22)*IFERROR(VLOOKUP($K22,BasketTbl,4,0),IFERROR(INDEX(BasketTbl,MATCH($K22,BasketCodeCol,0),4),VLOOKUP("P01",ParamTbl,2,0))))*(1-IF(VLOOKUP($E22,OpTbl,3,0)="خرید",VLOOKUP("P02",ParamTbl,2,0),0)/100),""))</f>
        <v/>
      </c>
      <c r="O22" s="74" t="n">
        <v>32000</v>
      </c>
      <c r="P22" s="76">
        <f>IF(OR($E22="",$L22=""),"",IFERROR(IF(VLOOKUP($E22,OpTbl,6,0)="وزن",ROUND($N22*$O22,-3),IF(VLOOKUP($E22,OpTbl,6,0)="مبلغ",ROUND($L22*$O22,-3),0)),""))</f>
        <v/>
      </c>
      <c r="Q22" s="74" t="n">
        <v>0</v>
      </c>
      <c r="R22" s="71" t="n"/>
      <c r="S22" s="77">
        <f>IF($E22="","",IF($AI22="⚠","⚠ ناتراز",IF(AND(IFERROR(VLOOKUP($E22,OpTbl,4,0),"")="بله",$L22=""),"⚠ وزن",IF(AND(IFERROR(VLOOKUP($E22,OpTbl,5,0),"")="بله",$U22=""),"⚠ حساب",IF(AND(IFERROR(VLOOKUP($E22,OpTbl,6,0),"")="مبلغ",$Q22=""),"⚠ مبلغ","✓")))))</f>
        <v/>
      </c>
      <c r="T22" s="72" t="inlineStr">
        <is>
          <t>برگشت ۱۲ سبد</t>
        </is>
      </c>
      <c r="U22" s="70">
        <f>IF($E22="","",IFERROR(IF(VLOOKUP($E22,OpTbl,14,0)&lt;&gt;"",VLOOKUP($E22,OpTbl,14,0),$G22),""))</f>
        <v/>
      </c>
      <c r="V22" s="76">
        <f>IF(OR($AJ22="",$AJ22=0,$AL22&lt;&gt;"بدهکار"),"",$AJ22)</f>
        <v/>
      </c>
      <c r="W22" s="76">
        <f>IF(OR($AJ22="",$AJ22=0,$AL22&lt;&gt;"بستانکار"),"",$AJ22)</f>
        <v/>
      </c>
      <c r="X22" s="70">
        <f>IF($E22="","",IFERROR(VLOOKUP($E22,OpTbl,8,0),""))</f>
        <v/>
      </c>
      <c r="Y22" s="76">
        <f>IF(OR($X22="",$AJ22="",$AJ22=0,$AM22&lt;&gt;"بدهکار"),"",$AJ22)</f>
        <v/>
      </c>
      <c r="Z22" s="76">
        <f>IF(OR($X22="",$AJ22="",$AJ22=0,$AM22&lt;&gt;"بستانکار"),"",$AJ22)</f>
        <v/>
      </c>
      <c r="AA22" s="70">
        <f>IF(OR($E22="",$AN22="—",$AN22=""),"",IFERROR(VLOOKUP($E22,OpTbl,12,0),""))</f>
        <v/>
      </c>
      <c r="AB22" s="76">
        <f>IF(OR($AA22="",$Q22="",$Q22=0,$AN22&lt;&gt;"بدهکار"),"",$Q22)</f>
        <v/>
      </c>
      <c r="AC22" s="76">
        <f>IF(OR($AA22="",$Q22="",$Q22=0,$AN22&lt;&gt;"بستانکار"),"",$Q22)</f>
        <v/>
      </c>
      <c r="AD22" s="70">
        <f>IF($AA22="","",IFERROR(VLOOKUP($E22,OpTbl,13,0),""))</f>
        <v/>
      </c>
      <c r="AE22" s="76">
        <f>IF(OR($AD22="",$Q22="",$Q22=0,$AN22&lt;&gt;"بستانکار"),"",$Q22)</f>
        <v/>
      </c>
      <c r="AF22" s="76">
        <f>IF(OR($AD22="",$Q22="",$Q22=0,$AN22&lt;&gt;"بدهکار"),"",$Q22)</f>
        <v/>
      </c>
      <c r="AG22" s="76">
        <f>SUM($V22,$Y22,$AB22,$AE22)</f>
        <v/>
      </c>
      <c r="AH22" s="76">
        <f>SUM($W22,$Z22,$AC22,$AF22)</f>
        <v/>
      </c>
      <c r="AI22" s="70">
        <f>IF($E22="","",IF(ROUND($AG22-$AH22,0)=0,"✓","⚠"))</f>
        <v/>
      </c>
      <c r="AJ22" s="76">
        <f>IF(OR($E22="",$U22=""),"",IFERROR(IF(VLOOKUP($E22,OpTbl,6,0)="وزن",IF($P22="",0,$P22),IF(VLOOKUP($E22,OpTbl,6,0)="مبلغ",IF(AND($Q22&lt;&gt;"",$Q22&lt;&gt;0),$Q22,$P22),0))+IF(VLOOKUP($E22,OpTbl,10,0)="افزودن",IF($Q22="",0,$Q22),0),0))</f>
        <v/>
      </c>
      <c r="AK22" s="70">
        <f>IF($E22="","",IFERROR(VLOOKUP($E22,OpTbl,10,0),""))</f>
        <v/>
      </c>
      <c r="AL22" s="70">
        <f>IF(OR($E22="",$U22=""),"",IFERROR(IF(VLOOKUP($E22,OpTbl,7,0)="خودکار",$R22,VLOOKUP($E22,OpTbl,7,0)),""))</f>
        <v/>
      </c>
      <c r="AM22" s="70">
        <f>IF(OR($E22="",$X22=""),"",IFERROR(IF(VLOOKUP($E22,OpTbl,9,0)="خودکار",IF($AL22="بدهکار","بستانکار",IF($AL22="بستانکار","بدهکار","")),VLOOKUP($E22,OpTbl,9,0)),""))</f>
        <v/>
      </c>
      <c r="AN22" s="70">
        <f>IF($E22="","",IFERROR(VLOOKUP($E22,OpTbl,11,0),""))</f>
        <v/>
      </c>
      <c r="AO22" s="70">
        <f>IF($B22="","",MID($B22,6,2))</f>
        <v/>
      </c>
      <c r="AP22" s="76">
        <f>IF($B22="",0,1)</f>
        <v/>
      </c>
    </row>
    <row r="23" ht="21.75" customHeight="1">
      <c r="A23" s="70">
        <f>IF($B23="","",COUNTA($B$10:$B23))</f>
        <v/>
      </c>
      <c r="B23" s="71" t="inlineStr">
        <is>
          <t>1405/07/08</t>
        </is>
      </c>
      <c r="C23" s="71" t="inlineStr">
        <is>
          <t>09:50</t>
        </is>
      </c>
      <c r="D23" s="71" t="inlineStr">
        <is>
          <t>BS-014</t>
        </is>
      </c>
      <c r="E23" s="72" t="inlineStr">
        <is>
          <t>خرید مرکبات</t>
        </is>
      </c>
      <c r="F23" s="70">
        <f>IF($E23="","",IFERROR(VLOOKUP($E23,OpTbl,2,0),""))</f>
        <v/>
      </c>
      <c r="G23" s="71" t="inlineStr">
        <is>
          <t>C009</t>
        </is>
      </c>
      <c r="H23" s="73">
        <f>IF($U23="","",IFERROR(VLOOKUP($U23,AcctTbl,2,0),"کد ناشناخته"))</f>
        <v/>
      </c>
      <c r="I23" s="70">
        <f>IF($U23="","",IFERROR(VLOOKUP($U23,AcctTbl,3,0),""))</f>
        <v/>
      </c>
      <c r="J23" s="72" t="inlineStr">
        <is>
          <t>نارنگی ژاپنی</t>
        </is>
      </c>
      <c r="K23" s="71" t="inlineStr">
        <is>
          <t>BK07 – ۸ک مشکی</t>
        </is>
      </c>
      <c r="L23" s="74" t="n">
        <v>1450</v>
      </c>
      <c r="M23" s="74" t="n">
        <v>92</v>
      </c>
      <c r="N23" s="148">
        <f>IF(OR($E23="",$L23=""),"",IFERROR(($L23-IF($M23="",0,$M23)*IFERROR(VLOOKUP($K23,BasketTbl,4,0),IFERROR(INDEX(BasketTbl,MATCH($K23,BasketCodeCol,0),4),VLOOKUP("P01",ParamTbl,2,0))))*(1-IF(VLOOKUP($E23,OpTbl,3,0)="خرید",VLOOKUP("P02",ParamTbl,2,0),0)/100),""))</f>
        <v/>
      </c>
      <c r="O23" s="74" t="n">
        <v>30500</v>
      </c>
      <c r="P23" s="76">
        <f>IF(OR($E23="",$L23=""),"",IFERROR(IF(VLOOKUP($E23,OpTbl,6,0)="وزن",ROUND($N23*$O23,-3),IF(VLOOKUP($E23,OpTbl,6,0)="مبلغ",ROUND($L23*$O23,-3),0)),""))</f>
        <v/>
      </c>
      <c r="Q23" s="74" t="n">
        <v>0</v>
      </c>
      <c r="R23" s="71" t="n"/>
      <c r="S23" s="77">
        <f>IF($E23="","",IF($AI23="⚠","⚠ ناتراز",IF(AND(IFERROR(VLOOKUP($E23,OpTbl,4,0),"")="بله",$L23=""),"⚠ وزن",IF(AND(IFERROR(VLOOKUP($E23,OpTbl,5,0),"")="بله",$U23=""),"⚠ حساب",IF(AND(IFERROR(VLOOKUP($E23,OpTbl,6,0),"")="مبلغ",$Q23=""),"⚠ مبلغ","✓")))))</f>
        <v/>
      </c>
      <c r="T23" s="72" t="n"/>
      <c r="U23" s="70">
        <f>IF($E23="","",IFERROR(IF(VLOOKUP($E23,OpTbl,14,0)&lt;&gt;"",VLOOKUP($E23,OpTbl,14,0),$G23),""))</f>
        <v/>
      </c>
      <c r="V23" s="76">
        <f>IF(OR($AJ23="",$AJ23=0,$AL23&lt;&gt;"بدهکار"),"",$AJ23)</f>
        <v/>
      </c>
      <c r="W23" s="76">
        <f>IF(OR($AJ23="",$AJ23=0,$AL23&lt;&gt;"بستانکار"),"",$AJ23)</f>
        <v/>
      </c>
      <c r="X23" s="70">
        <f>IF($E23="","",IFERROR(VLOOKUP($E23,OpTbl,8,0),""))</f>
        <v/>
      </c>
      <c r="Y23" s="76">
        <f>IF(OR($X23="",$AJ23="",$AJ23=0,$AM23&lt;&gt;"بدهکار"),"",$AJ23)</f>
        <v/>
      </c>
      <c r="Z23" s="76">
        <f>IF(OR($X23="",$AJ23="",$AJ23=0,$AM23&lt;&gt;"بستانکار"),"",$AJ23)</f>
        <v/>
      </c>
      <c r="AA23" s="70">
        <f>IF(OR($E23="",$AN23="—",$AN23=""),"",IFERROR(VLOOKUP($E23,OpTbl,12,0),""))</f>
        <v/>
      </c>
      <c r="AB23" s="76">
        <f>IF(OR($AA23="",$Q23="",$Q23=0,$AN23&lt;&gt;"بدهکار"),"",$Q23)</f>
        <v/>
      </c>
      <c r="AC23" s="76">
        <f>IF(OR($AA23="",$Q23="",$Q23=0,$AN23&lt;&gt;"بستانکار"),"",$Q23)</f>
        <v/>
      </c>
      <c r="AD23" s="70">
        <f>IF($AA23="","",IFERROR(VLOOKUP($E23,OpTbl,13,0),""))</f>
        <v/>
      </c>
      <c r="AE23" s="76">
        <f>IF(OR($AD23="",$Q23="",$Q23=0,$AN23&lt;&gt;"بستانکار"),"",$Q23)</f>
        <v/>
      </c>
      <c r="AF23" s="76">
        <f>IF(OR($AD23="",$Q23="",$Q23=0,$AN23&lt;&gt;"بدهکار"),"",$Q23)</f>
        <v/>
      </c>
      <c r="AG23" s="76">
        <f>SUM($V23,$Y23,$AB23,$AE23)</f>
        <v/>
      </c>
      <c r="AH23" s="76">
        <f>SUM($W23,$Z23,$AC23,$AF23)</f>
        <v/>
      </c>
      <c r="AI23" s="70">
        <f>IF($E23="","",IF(ROUND($AG23-$AH23,0)=0,"✓","⚠"))</f>
        <v/>
      </c>
      <c r="AJ23" s="76">
        <f>IF(OR($E23="",$U23=""),"",IFERROR(IF(VLOOKUP($E23,OpTbl,6,0)="وزن",IF($P23="",0,$P23),IF(VLOOKUP($E23,OpTbl,6,0)="مبلغ",IF(AND($Q23&lt;&gt;"",$Q23&lt;&gt;0),$Q23,$P23),0))+IF(VLOOKUP($E23,OpTbl,10,0)="افزودن",IF($Q23="",0,$Q23),0),0))</f>
        <v/>
      </c>
      <c r="AK23" s="70">
        <f>IF($E23="","",IFERROR(VLOOKUP($E23,OpTbl,10,0),""))</f>
        <v/>
      </c>
      <c r="AL23" s="70">
        <f>IF(OR($E23="",$U23=""),"",IFERROR(IF(VLOOKUP($E23,OpTbl,7,0)="خودکار",$R23,VLOOKUP($E23,OpTbl,7,0)),""))</f>
        <v/>
      </c>
      <c r="AM23" s="70">
        <f>IF(OR($E23="",$X23=""),"",IFERROR(IF(VLOOKUP($E23,OpTbl,9,0)="خودکار",IF($AL23="بدهکار","بستانکار",IF($AL23="بستانکار","بدهکار","")),VLOOKUP($E23,OpTbl,9,0)),""))</f>
        <v/>
      </c>
      <c r="AN23" s="70">
        <f>IF($E23="","",IFERROR(VLOOKUP($E23,OpTbl,11,0),""))</f>
        <v/>
      </c>
      <c r="AO23" s="70">
        <f>IF($B23="","",MID($B23,6,2))</f>
        <v/>
      </c>
      <c r="AP23" s="76">
        <f>IF($B23="",0,1)</f>
        <v/>
      </c>
    </row>
    <row r="24" ht="21.75" customHeight="1">
      <c r="A24" s="70">
        <f>IF($B24="","",COUNTA($B$10:$B24))</f>
        <v/>
      </c>
      <c r="B24" s="71" t="inlineStr">
        <is>
          <t>1405/07/09</t>
        </is>
      </c>
      <c r="C24" s="71" t="inlineStr">
        <is>
          <t>11:10</t>
        </is>
      </c>
      <c r="D24" s="71" t="inlineStr">
        <is>
          <t>BS-015</t>
        </is>
      </c>
      <c r="E24" s="72" t="inlineStr">
        <is>
          <t>فروش بار (بارفروش)</t>
        </is>
      </c>
      <c r="F24" s="70">
        <f>IF($E24="","",IFERROR(VLOOKUP($E24,OpTbl,2,0),""))</f>
        <v/>
      </c>
      <c r="G24" s="71" t="inlineStr">
        <is>
          <t>SL001</t>
        </is>
      </c>
      <c r="H24" s="73">
        <f>IF($U24="","",IFERROR(VLOOKUP($U24,AcctTbl,2,0),"کد ناشناخته"))</f>
        <v/>
      </c>
      <c r="I24" s="70">
        <f>IF($U24="","",IFERROR(VLOOKUP($U24,AcctTbl,3,0),""))</f>
        <v/>
      </c>
      <c r="J24" s="72" t="inlineStr">
        <is>
          <t>پرتقال تامسون</t>
        </is>
      </c>
      <c r="K24" s="71" t="inlineStr">
        <is>
          <t>BK03 – ۹ک مشکی</t>
        </is>
      </c>
      <c r="L24" s="74" t="n">
        <v>1600</v>
      </c>
      <c r="M24" s="74" t="n">
        <v>0</v>
      </c>
      <c r="N24" s="148">
        <f>IF(OR($E24="",$L24=""),"",IFERROR(($L24-IF($M24="",0,$M24)*IFERROR(VLOOKUP($K24,BasketTbl,4,0),IFERROR(INDEX(BasketTbl,MATCH($K24,BasketCodeCol,0),4),VLOOKUP("P01",ParamTbl,2,0))))*(1-IF(VLOOKUP($E24,OpTbl,3,0)="خرید",VLOOKUP("P02",ParamTbl,2,0),0)/100),""))</f>
        <v/>
      </c>
      <c r="O24" s="74" t="n">
        <v>60000</v>
      </c>
      <c r="P24" s="76">
        <f>IF(OR($E24="",$L24=""),"",IFERROR(IF(VLOOKUP($E24,OpTbl,6,0)="وزن",ROUND($N24*$O24,-3),IF(VLOOKUP($E24,OpTbl,6,0)="مبلغ",ROUND($L24*$O24,-3),0)),""))</f>
        <v/>
      </c>
      <c r="Q24" s="74" t="n">
        <v>80000</v>
      </c>
      <c r="R24" s="71" t="n"/>
      <c r="S24" s="77">
        <f>IF($E24="","",IF($AI24="⚠","⚠ ناتراز",IF(AND(IFERROR(VLOOKUP($E24,OpTbl,4,0),"")="بله",$L24=""),"⚠ وزن",IF(AND(IFERROR(VLOOKUP($E24,OpTbl,5,0),"")="بله",$U24=""),"⚠ حساب",IF(AND(IFERROR(VLOOKUP($E24,OpTbl,6,0),"")="مبلغ",$Q24=""),"⚠ مبلغ","✓")))))</f>
        <v/>
      </c>
      <c r="T24" s="72" t="inlineStr">
        <is>
          <t>هزینه باسکول پوز</t>
        </is>
      </c>
      <c r="U24" s="70">
        <f>IF($E24="","",IFERROR(IF(VLOOKUP($E24,OpTbl,14,0)&lt;&gt;"",VLOOKUP($E24,OpTbl,14,0),$G24),""))</f>
        <v/>
      </c>
      <c r="V24" s="76">
        <f>IF(OR($AJ24="",$AJ24=0,$AL24&lt;&gt;"بدهکار"),"",$AJ24)</f>
        <v/>
      </c>
      <c r="W24" s="76">
        <f>IF(OR($AJ24="",$AJ24=0,$AL24&lt;&gt;"بستانکار"),"",$AJ24)</f>
        <v/>
      </c>
      <c r="X24" s="70">
        <f>IF($E24="","",IFERROR(VLOOKUP($E24,OpTbl,8,0),""))</f>
        <v/>
      </c>
      <c r="Y24" s="76">
        <f>IF(OR($X24="",$AJ24="",$AJ24=0,$AM24&lt;&gt;"بدهکار"),"",$AJ24)</f>
        <v/>
      </c>
      <c r="Z24" s="76">
        <f>IF(OR($X24="",$AJ24="",$AJ24=0,$AM24&lt;&gt;"بستانکار"),"",$AJ24)</f>
        <v/>
      </c>
      <c r="AA24" s="70">
        <f>IF(OR($E24="",$AN24="—",$AN24=""),"",IFERROR(VLOOKUP($E24,OpTbl,12,0),""))</f>
        <v/>
      </c>
      <c r="AB24" s="76">
        <f>IF(OR($AA24="",$Q24="",$Q24=0,$AN24&lt;&gt;"بدهکار"),"",$Q24)</f>
        <v/>
      </c>
      <c r="AC24" s="76">
        <f>IF(OR($AA24="",$Q24="",$Q24=0,$AN24&lt;&gt;"بستانکار"),"",$Q24)</f>
        <v/>
      </c>
      <c r="AD24" s="70">
        <f>IF($AA24="","",IFERROR(VLOOKUP($E24,OpTbl,13,0),""))</f>
        <v/>
      </c>
      <c r="AE24" s="76">
        <f>IF(OR($AD24="",$Q24="",$Q24=0,$AN24&lt;&gt;"بستانکار"),"",$Q24)</f>
        <v/>
      </c>
      <c r="AF24" s="76">
        <f>IF(OR($AD24="",$Q24="",$Q24=0,$AN24&lt;&gt;"بدهکار"),"",$Q24)</f>
        <v/>
      </c>
      <c r="AG24" s="76">
        <f>SUM($V24,$Y24,$AB24,$AE24)</f>
        <v/>
      </c>
      <c r="AH24" s="76">
        <f>SUM($W24,$Z24,$AC24,$AF24)</f>
        <v/>
      </c>
      <c r="AI24" s="70">
        <f>IF($E24="","",IF(ROUND($AG24-$AH24,0)=0,"✓","⚠"))</f>
        <v/>
      </c>
      <c r="AJ24" s="76">
        <f>IF(OR($E24="",$U24=""),"",IFERROR(IF(VLOOKUP($E24,OpTbl,6,0)="وزن",IF($P24="",0,$P24),IF(VLOOKUP($E24,OpTbl,6,0)="مبلغ",IF(AND($Q24&lt;&gt;"",$Q24&lt;&gt;0),$Q24,$P24),0))+IF(VLOOKUP($E24,OpTbl,10,0)="افزودن",IF($Q24="",0,$Q24),0),0))</f>
        <v/>
      </c>
      <c r="AK24" s="70">
        <f>IF($E24="","",IFERROR(VLOOKUP($E24,OpTbl,10,0),""))</f>
        <v/>
      </c>
      <c r="AL24" s="70">
        <f>IF(OR($E24="",$U24=""),"",IFERROR(IF(VLOOKUP($E24,OpTbl,7,0)="خودکار",$R24,VLOOKUP($E24,OpTbl,7,0)),""))</f>
        <v/>
      </c>
      <c r="AM24" s="70">
        <f>IF(OR($E24="",$X24=""),"",IFERROR(IF(VLOOKUP($E24,OpTbl,9,0)="خودکار",IF($AL24="بدهکار","بستانکار",IF($AL24="بستانکار","بدهکار","")),VLOOKUP($E24,OpTbl,9,0)),""))</f>
        <v/>
      </c>
      <c r="AN24" s="70">
        <f>IF($E24="","",IFERROR(VLOOKUP($E24,OpTbl,11,0),""))</f>
        <v/>
      </c>
      <c r="AO24" s="70">
        <f>IF($B24="","",MID($B24,6,2))</f>
        <v/>
      </c>
      <c r="AP24" s="76">
        <f>IF($B24="",0,1)</f>
        <v/>
      </c>
    </row>
    <row r="25" ht="21.75" customHeight="1">
      <c r="A25" s="70">
        <f>IF($B25="","",COUNTA($B$10:$B25))</f>
        <v/>
      </c>
      <c r="B25" s="71" t="inlineStr">
        <is>
          <t>1405/07/10</t>
        </is>
      </c>
      <c r="C25" s="71" t="inlineStr">
        <is>
          <t>07:30</t>
        </is>
      </c>
      <c r="D25" s="71" t="inlineStr">
        <is>
          <t>BS-016</t>
        </is>
      </c>
      <c r="E25" s="72" t="inlineStr">
        <is>
          <t>خرید مرکبات</t>
        </is>
      </c>
      <c r="F25" s="70">
        <f>IF($E25="","",IFERROR(VLOOKUP($E25,OpTbl,2,0),""))</f>
        <v/>
      </c>
      <c r="G25" s="71" t="inlineStr">
        <is>
          <t>C010</t>
        </is>
      </c>
      <c r="H25" s="73">
        <f>IF($U25="","",IFERROR(VLOOKUP($U25,AcctTbl,2,0),"کد ناشناخته"))</f>
        <v/>
      </c>
      <c r="I25" s="70">
        <f>IF($U25="","",IFERROR(VLOOKUP($U25,AcctTbl,3,0),""))</f>
        <v/>
      </c>
      <c r="J25" s="72" t="inlineStr">
        <is>
          <t>پرتقال کاراکارا</t>
        </is>
      </c>
      <c r="K25" s="71" t="inlineStr">
        <is>
          <t>BK03 – ۹ک مشکی</t>
        </is>
      </c>
      <c r="L25" s="74" t="n">
        <v>950</v>
      </c>
      <c r="M25" s="74" t="n">
        <v>58</v>
      </c>
      <c r="N25" s="148">
        <f>IF(OR($E25="",$L25=""),"",IFERROR(($L25-IF($M25="",0,$M25)*IFERROR(VLOOKUP($K25,BasketTbl,4,0),IFERROR(INDEX(BasketTbl,MATCH($K25,BasketCodeCol,0),4),VLOOKUP("P01",ParamTbl,2,0))))*(1-IF(VLOOKUP($E25,OpTbl,3,0)="خرید",VLOOKUP("P02",ParamTbl,2,0),0)/100),""))</f>
        <v/>
      </c>
      <c r="O25" s="74" t="n">
        <v>36000</v>
      </c>
      <c r="P25" s="76">
        <f>IF(OR($E25="",$L25=""),"",IFERROR(IF(VLOOKUP($E25,OpTbl,6,0)="وزن",ROUND($N25*$O25,-3),IF(VLOOKUP($E25,OpTbl,6,0)="مبلغ",ROUND($L25*$O25,-3),0)),""))</f>
        <v/>
      </c>
      <c r="Q25" s="74" t="n">
        <v>0</v>
      </c>
      <c r="R25" s="71" t="n"/>
      <c r="S25" s="77">
        <f>IF($E25="","",IF($AI25="⚠","⚠ ناتراز",IF(AND(IFERROR(VLOOKUP($E25,OpTbl,4,0),"")="بله",$L25=""),"⚠ وزن",IF(AND(IFERROR(VLOOKUP($E25,OpTbl,5,0),"")="بله",$U25=""),"⚠ حساب",IF(AND(IFERROR(VLOOKUP($E25,OpTbl,6,0),"")="مبلغ",$Q25=""),"⚠ مبلغ","✓")))))</f>
        <v/>
      </c>
      <c r="T25" s="72" t="n"/>
      <c r="U25" s="70">
        <f>IF($E25="","",IFERROR(IF(VLOOKUP($E25,OpTbl,14,0)&lt;&gt;"",VLOOKUP($E25,OpTbl,14,0),$G25),""))</f>
        <v/>
      </c>
      <c r="V25" s="76">
        <f>IF(OR($AJ25="",$AJ25=0,$AL25&lt;&gt;"بدهکار"),"",$AJ25)</f>
        <v/>
      </c>
      <c r="W25" s="76">
        <f>IF(OR($AJ25="",$AJ25=0,$AL25&lt;&gt;"بستانکار"),"",$AJ25)</f>
        <v/>
      </c>
      <c r="X25" s="70">
        <f>IF($E25="","",IFERROR(VLOOKUP($E25,OpTbl,8,0),""))</f>
        <v/>
      </c>
      <c r="Y25" s="76">
        <f>IF(OR($X25="",$AJ25="",$AJ25=0,$AM25&lt;&gt;"بدهکار"),"",$AJ25)</f>
        <v/>
      </c>
      <c r="Z25" s="76">
        <f>IF(OR($X25="",$AJ25="",$AJ25=0,$AM25&lt;&gt;"بستانکار"),"",$AJ25)</f>
        <v/>
      </c>
      <c r="AA25" s="70">
        <f>IF(OR($E25="",$AN25="—",$AN25=""),"",IFERROR(VLOOKUP($E25,OpTbl,12,0),""))</f>
        <v/>
      </c>
      <c r="AB25" s="76">
        <f>IF(OR($AA25="",$Q25="",$Q25=0,$AN25&lt;&gt;"بدهکار"),"",$Q25)</f>
        <v/>
      </c>
      <c r="AC25" s="76">
        <f>IF(OR($AA25="",$Q25="",$Q25=0,$AN25&lt;&gt;"بستانکار"),"",$Q25)</f>
        <v/>
      </c>
      <c r="AD25" s="70">
        <f>IF($AA25="","",IFERROR(VLOOKUP($E25,OpTbl,13,0),""))</f>
        <v/>
      </c>
      <c r="AE25" s="76">
        <f>IF(OR($AD25="",$Q25="",$Q25=0,$AN25&lt;&gt;"بستانکار"),"",$Q25)</f>
        <v/>
      </c>
      <c r="AF25" s="76">
        <f>IF(OR($AD25="",$Q25="",$Q25=0,$AN25&lt;&gt;"بدهکار"),"",$Q25)</f>
        <v/>
      </c>
      <c r="AG25" s="76">
        <f>SUM($V25,$Y25,$AB25,$AE25)</f>
        <v/>
      </c>
      <c r="AH25" s="76">
        <f>SUM($W25,$Z25,$AC25,$AF25)</f>
        <v/>
      </c>
      <c r="AI25" s="70">
        <f>IF($E25="","",IF(ROUND($AG25-$AH25,0)=0,"✓","⚠"))</f>
        <v/>
      </c>
      <c r="AJ25" s="76">
        <f>IF(OR($E25="",$U25=""),"",IFERROR(IF(VLOOKUP($E25,OpTbl,6,0)="وزن",IF($P25="",0,$P25),IF(VLOOKUP($E25,OpTbl,6,0)="مبلغ",IF(AND($Q25&lt;&gt;"",$Q25&lt;&gt;0),$Q25,$P25),0))+IF(VLOOKUP($E25,OpTbl,10,0)="افزودن",IF($Q25="",0,$Q25),0),0))</f>
        <v/>
      </c>
      <c r="AK25" s="70">
        <f>IF($E25="","",IFERROR(VLOOKUP($E25,OpTbl,10,0),""))</f>
        <v/>
      </c>
      <c r="AL25" s="70">
        <f>IF(OR($E25="",$U25=""),"",IFERROR(IF(VLOOKUP($E25,OpTbl,7,0)="خودکار",$R25,VLOOKUP($E25,OpTbl,7,0)),""))</f>
        <v/>
      </c>
      <c r="AM25" s="70">
        <f>IF(OR($E25="",$X25=""),"",IFERROR(IF(VLOOKUP($E25,OpTbl,9,0)="خودکار",IF($AL25="بدهکار","بستانکار",IF($AL25="بستانکار","بدهکار","")),VLOOKUP($E25,OpTbl,9,0)),""))</f>
        <v/>
      </c>
      <c r="AN25" s="70">
        <f>IF($E25="","",IFERROR(VLOOKUP($E25,OpTbl,11,0),""))</f>
        <v/>
      </c>
      <c r="AO25" s="70">
        <f>IF($B25="","",MID($B25,6,2))</f>
        <v/>
      </c>
      <c r="AP25" s="76">
        <f>IF($B25="",0,1)</f>
        <v/>
      </c>
    </row>
    <row r="26" ht="21.75" customHeight="1">
      <c r="A26" s="70">
        <f>IF($B26="","",COUNTA($B$10:$B26))</f>
        <v/>
      </c>
      <c r="B26" s="71" t="inlineStr">
        <is>
          <t>1405/07/11</t>
        </is>
      </c>
      <c r="C26" s="71" t="inlineStr">
        <is>
          <t>10:05</t>
        </is>
      </c>
      <c r="D26" s="71" t="inlineStr">
        <is>
          <t>BS-017</t>
        </is>
      </c>
      <c r="E26" s="72" t="inlineStr">
        <is>
          <t>درآمد پوز باسکول (بدون طرف)</t>
        </is>
      </c>
      <c r="F26" s="70">
        <f>IF($E26="","",IFERROR(VLOOKUP($E26,OpTbl,2,0),""))</f>
        <v/>
      </c>
      <c r="G26" s="71" t="n"/>
      <c r="H26" s="73">
        <f>IF($U26="","",IFERROR(VLOOKUP($U26,AcctTbl,2,0),"کد ناشناخته"))</f>
        <v/>
      </c>
      <c r="I26" s="70">
        <f>IF($U26="","",IFERROR(VLOOKUP($U26,AcctTbl,3,0),""))</f>
        <v/>
      </c>
      <c r="J26" s="72" t="n"/>
      <c r="K26" s="71" t="n"/>
      <c r="L26" s="74" t="n">
        <v>0</v>
      </c>
      <c r="M26" s="74" t="n">
        <v>0</v>
      </c>
      <c r="N26" s="148">
        <f>IF(OR($E26="",$L26=""),"",IFERROR(($L26-IF($M26="",0,$M26)*IFERROR(VLOOKUP($K26,BasketTbl,4,0),IFERROR(INDEX(BasketTbl,MATCH($K26,BasketCodeCol,0),4),VLOOKUP("P01",ParamTbl,2,0))))*(1-IF(VLOOKUP($E26,OpTbl,3,0)="خرید",VLOOKUP("P02",ParamTbl,2,0),0)/100),""))</f>
        <v/>
      </c>
      <c r="O26" s="74" t="n">
        <v>0</v>
      </c>
      <c r="P26" s="76">
        <f>IF(OR($E26="",$L26=""),"",IFERROR(IF(VLOOKUP($E26,OpTbl,6,0)="وزن",ROUND($N26*$O26,-3),IF(VLOOKUP($E26,OpTbl,6,0)="مبلغ",ROUND($L26*$O26,-3),0)),""))</f>
        <v/>
      </c>
      <c r="Q26" s="74" t="n">
        <v>300000</v>
      </c>
      <c r="R26" s="71" t="n"/>
      <c r="S26" s="77">
        <f>IF($E26="","",IF($AI26="⚠","⚠ ناتراز",IF(AND(IFERROR(VLOOKUP($E26,OpTbl,4,0),"")="بله",$L26=""),"⚠ وزن",IF(AND(IFERROR(VLOOKUP($E26,OpTbl,5,0),"")="بله",$U26=""),"⚠ حساب",IF(AND(IFERROR(VLOOKUP($E26,OpTbl,6,0),"")="مبلغ",$Q26=""),"⚠ مبلغ","✓")))))</f>
        <v/>
      </c>
      <c r="T26" s="72" t="inlineStr">
        <is>
          <t>هزینه باسکول نقدی</t>
        </is>
      </c>
      <c r="U26" s="70">
        <f>IF($E26="","",IFERROR(IF(VLOOKUP($E26,OpTbl,14,0)&lt;&gt;"",VLOOKUP($E26,OpTbl,14,0),$G26),""))</f>
        <v/>
      </c>
      <c r="V26" s="76">
        <f>IF(OR($AJ26="",$AJ26=0,$AL26&lt;&gt;"بدهکار"),"",$AJ26)</f>
        <v/>
      </c>
      <c r="W26" s="76">
        <f>IF(OR($AJ26="",$AJ26=0,$AL26&lt;&gt;"بستانکار"),"",$AJ26)</f>
        <v/>
      </c>
      <c r="X26" s="70">
        <f>IF($E26="","",IFERROR(VLOOKUP($E26,OpTbl,8,0),""))</f>
        <v/>
      </c>
      <c r="Y26" s="76">
        <f>IF(OR($X26="",$AJ26="",$AJ26=0,$AM26&lt;&gt;"بدهکار"),"",$AJ26)</f>
        <v/>
      </c>
      <c r="Z26" s="76">
        <f>IF(OR($X26="",$AJ26="",$AJ26=0,$AM26&lt;&gt;"بستانکار"),"",$AJ26)</f>
        <v/>
      </c>
      <c r="AA26" s="70">
        <f>IF(OR($E26="",$AN26="—",$AN26=""),"",IFERROR(VLOOKUP($E26,OpTbl,12,0),""))</f>
        <v/>
      </c>
      <c r="AB26" s="76">
        <f>IF(OR($AA26="",$Q26="",$Q26=0,$AN26&lt;&gt;"بدهکار"),"",$Q26)</f>
        <v/>
      </c>
      <c r="AC26" s="76">
        <f>IF(OR($AA26="",$Q26="",$Q26=0,$AN26&lt;&gt;"بستانکار"),"",$Q26)</f>
        <v/>
      </c>
      <c r="AD26" s="70">
        <f>IF($AA26="","",IFERROR(VLOOKUP($E26,OpTbl,13,0),""))</f>
        <v/>
      </c>
      <c r="AE26" s="76">
        <f>IF(OR($AD26="",$Q26="",$Q26=0,$AN26&lt;&gt;"بستانکار"),"",$Q26)</f>
        <v/>
      </c>
      <c r="AF26" s="76">
        <f>IF(OR($AD26="",$Q26="",$Q26=0,$AN26&lt;&gt;"بدهکار"),"",$Q26)</f>
        <v/>
      </c>
      <c r="AG26" s="76">
        <f>SUM($V26,$Y26,$AB26,$AE26)</f>
        <v/>
      </c>
      <c r="AH26" s="76">
        <f>SUM($W26,$Z26,$AC26,$AF26)</f>
        <v/>
      </c>
      <c r="AI26" s="70">
        <f>IF($E26="","",IF(ROUND($AG26-$AH26,0)=0,"✓","⚠"))</f>
        <v/>
      </c>
      <c r="AJ26" s="76">
        <f>IF(OR($E26="",$U26=""),"",IFERROR(IF(VLOOKUP($E26,OpTbl,6,0)="وزن",IF($P26="",0,$P26),IF(VLOOKUP($E26,OpTbl,6,0)="مبلغ",IF(AND($Q26&lt;&gt;"",$Q26&lt;&gt;0),$Q26,$P26),0))+IF(VLOOKUP($E26,OpTbl,10,0)="افزودن",IF($Q26="",0,$Q26),0),0))</f>
        <v/>
      </c>
      <c r="AK26" s="70">
        <f>IF($E26="","",IFERROR(VLOOKUP($E26,OpTbl,10,0),""))</f>
        <v/>
      </c>
      <c r="AL26" s="70">
        <f>IF(OR($E26="",$U26=""),"",IFERROR(IF(VLOOKUP($E26,OpTbl,7,0)="خودکار",$R26,VLOOKUP($E26,OpTbl,7,0)),""))</f>
        <v/>
      </c>
      <c r="AM26" s="70">
        <f>IF(OR($E26="",$X26=""),"",IFERROR(IF(VLOOKUP($E26,OpTbl,9,0)="خودکار",IF($AL26="بدهکار","بستانکار",IF($AL26="بستانکار","بدهکار","")),VLOOKUP($E26,OpTbl,9,0)),""))</f>
        <v/>
      </c>
      <c r="AN26" s="70">
        <f>IF($E26="","",IFERROR(VLOOKUP($E26,OpTbl,11,0),""))</f>
        <v/>
      </c>
      <c r="AO26" s="70">
        <f>IF($B26="","",MID($B26,6,2))</f>
        <v/>
      </c>
      <c r="AP26" s="76">
        <f>IF($B26="",0,1)</f>
        <v/>
      </c>
    </row>
    <row r="27" ht="21.75" customHeight="1">
      <c r="A27" s="70">
        <f>IF($B27="","",COUNTA($B$10:$B27))</f>
        <v/>
      </c>
      <c r="B27" s="71" t="inlineStr">
        <is>
          <t>1405/07/12</t>
        </is>
      </c>
      <c r="C27" s="71" t="inlineStr">
        <is>
          <t>08:45</t>
        </is>
      </c>
      <c r="D27" s="71" t="inlineStr">
        <is>
          <t>BS-018</t>
        </is>
      </c>
      <c r="E27" s="72" t="inlineStr">
        <is>
          <t>خرید مرکبات</t>
        </is>
      </c>
      <c r="F27" s="70">
        <f>IF($E27="","",IFERROR(VLOOKUP($E27,OpTbl,2,0),""))</f>
        <v/>
      </c>
      <c r="G27" s="71" t="inlineStr">
        <is>
          <t>C011</t>
        </is>
      </c>
      <c r="H27" s="73">
        <f>IF($U27="","",IFERROR(VLOOKUP($U27,AcctTbl,2,0),"کد ناشناخته"))</f>
        <v/>
      </c>
      <c r="I27" s="70">
        <f>IF($U27="","",IFERROR(VLOOKUP($U27,AcctTbl,3,0),""))</f>
        <v/>
      </c>
      <c r="J27" s="72" t="inlineStr">
        <is>
          <t>پرتقال بیروتی</t>
        </is>
      </c>
      <c r="K27" s="71" t="inlineStr">
        <is>
          <t>BK01 – ۶ک مشکی</t>
        </is>
      </c>
      <c r="L27" s="74" t="n">
        <v>1200</v>
      </c>
      <c r="M27" s="74" t="n">
        <v>72</v>
      </c>
      <c r="N27" s="148">
        <f>IF(OR($E27="",$L27=""),"",IFERROR(($L27-IF($M27="",0,$M27)*IFERROR(VLOOKUP($K27,BasketTbl,4,0),IFERROR(INDEX(BasketTbl,MATCH($K27,BasketCodeCol,0),4),VLOOKUP("P01",ParamTbl,2,0))))*(1-IF(VLOOKUP($E27,OpTbl,3,0)="خرید",VLOOKUP("P02",ParamTbl,2,0),0)/100),""))</f>
        <v/>
      </c>
      <c r="O27" s="74" t="n">
        <v>34000</v>
      </c>
      <c r="P27" s="76">
        <f>IF(OR($E27="",$L27=""),"",IFERROR(IF(VLOOKUP($E27,OpTbl,6,0)="وزن",ROUND($N27*$O27,-3),IF(VLOOKUP($E27,OpTbl,6,0)="مبلغ",ROUND($L27*$O27,-3),0)),""))</f>
        <v/>
      </c>
      <c r="Q27" s="74" t="n">
        <v>0</v>
      </c>
      <c r="R27" s="71" t="n"/>
      <c r="S27" s="77">
        <f>IF($E27="","",IF($AI27="⚠","⚠ ناتراز",IF(AND(IFERROR(VLOOKUP($E27,OpTbl,4,0),"")="بله",$L27=""),"⚠ وزن",IF(AND(IFERROR(VLOOKUP($E27,OpTbl,5,0),"")="بله",$U27=""),"⚠ حساب",IF(AND(IFERROR(VLOOKUP($E27,OpTbl,6,0),"")="مبلغ",$Q27=""),"⚠ مبلغ","✓")))))</f>
        <v/>
      </c>
      <c r="T27" s="72" t="n"/>
      <c r="U27" s="70">
        <f>IF($E27="","",IFERROR(IF(VLOOKUP($E27,OpTbl,14,0)&lt;&gt;"",VLOOKUP($E27,OpTbl,14,0),$G27),""))</f>
        <v/>
      </c>
      <c r="V27" s="76">
        <f>IF(OR($AJ27="",$AJ27=0,$AL27&lt;&gt;"بدهکار"),"",$AJ27)</f>
        <v/>
      </c>
      <c r="W27" s="76">
        <f>IF(OR($AJ27="",$AJ27=0,$AL27&lt;&gt;"بستانکار"),"",$AJ27)</f>
        <v/>
      </c>
      <c r="X27" s="70">
        <f>IF($E27="","",IFERROR(VLOOKUP($E27,OpTbl,8,0),""))</f>
        <v/>
      </c>
      <c r="Y27" s="76">
        <f>IF(OR($X27="",$AJ27="",$AJ27=0,$AM27&lt;&gt;"بدهکار"),"",$AJ27)</f>
        <v/>
      </c>
      <c r="Z27" s="76">
        <f>IF(OR($X27="",$AJ27="",$AJ27=0,$AM27&lt;&gt;"بستانکار"),"",$AJ27)</f>
        <v/>
      </c>
      <c r="AA27" s="70">
        <f>IF(OR($E27="",$AN27="—",$AN27=""),"",IFERROR(VLOOKUP($E27,OpTbl,12,0),""))</f>
        <v/>
      </c>
      <c r="AB27" s="76">
        <f>IF(OR($AA27="",$Q27="",$Q27=0,$AN27&lt;&gt;"بدهکار"),"",$Q27)</f>
        <v/>
      </c>
      <c r="AC27" s="76">
        <f>IF(OR($AA27="",$Q27="",$Q27=0,$AN27&lt;&gt;"بستانکار"),"",$Q27)</f>
        <v/>
      </c>
      <c r="AD27" s="70">
        <f>IF($AA27="","",IFERROR(VLOOKUP($E27,OpTbl,13,0),""))</f>
        <v/>
      </c>
      <c r="AE27" s="76">
        <f>IF(OR($AD27="",$Q27="",$Q27=0,$AN27&lt;&gt;"بستانکار"),"",$Q27)</f>
        <v/>
      </c>
      <c r="AF27" s="76">
        <f>IF(OR($AD27="",$Q27="",$Q27=0,$AN27&lt;&gt;"بدهکار"),"",$Q27)</f>
        <v/>
      </c>
      <c r="AG27" s="76">
        <f>SUM($V27,$Y27,$AB27,$AE27)</f>
        <v/>
      </c>
      <c r="AH27" s="76">
        <f>SUM($W27,$Z27,$AC27,$AF27)</f>
        <v/>
      </c>
      <c r="AI27" s="70">
        <f>IF($E27="","",IF(ROUND($AG27-$AH27,0)=0,"✓","⚠"))</f>
        <v/>
      </c>
      <c r="AJ27" s="76">
        <f>IF(OR($E27="",$U27=""),"",IFERROR(IF(VLOOKUP($E27,OpTbl,6,0)="وزن",IF($P27="",0,$P27),IF(VLOOKUP($E27,OpTbl,6,0)="مبلغ",IF(AND($Q27&lt;&gt;"",$Q27&lt;&gt;0),$Q27,$P27),0))+IF(VLOOKUP($E27,OpTbl,10,0)="افزودن",IF($Q27="",0,$Q27),0),0))</f>
        <v/>
      </c>
      <c r="AK27" s="70">
        <f>IF($E27="","",IFERROR(VLOOKUP($E27,OpTbl,10,0),""))</f>
        <v/>
      </c>
      <c r="AL27" s="70">
        <f>IF(OR($E27="",$U27=""),"",IFERROR(IF(VLOOKUP($E27,OpTbl,7,0)="خودکار",$R27,VLOOKUP($E27,OpTbl,7,0)),""))</f>
        <v/>
      </c>
      <c r="AM27" s="70">
        <f>IF(OR($E27="",$X27=""),"",IFERROR(IF(VLOOKUP($E27,OpTbl,9,0)="خودکار",IF($AL27="بدهکار","بستانکار",IF($AL27="بستانکار","بدهکار","")),VLOOKUP($E27,OpTbl,9,0)),""))</f>
        <v/>
      </c>
      <c r="AN27" s="70">
        <f>IF($E27="","",IFERROR(VLOOKUP($E27,OpTbl,11,0),""))</f>
        <v/>
      </c>
      <c r="AO27" s="70">
        <f>IF($B27="","",MID($B27,6,2))</f>
        <v/>
      </c>
      <c r="AP27" s="76">
        <f>IF($B27="",0,1)</f>
        <v/>
      </c>
    </row>
    <row r="28" ht="21.75" customHeight="1">
      <c r="A28" s="70">
        <f>IF($B28="","",COUNTA($B$10:$B28))</f>
        <v/>
      </c>
      <c r="B28" s="71" t="n"/>
      <c r="C28" s="71" t="n"/>
      <c r="D28" s="71" t="n"/>
      <c r="E28" s="71" t="n"/>
      <c r="F28" s="70">
        <f>IF($E28="","",IFERROR(VLOOKUP($E28,OpTbl,2,0),""))</f>
        <v/>
      </c>
      <c r="G28" s="71" t="n"/>
      <c r="H28" s="73">
        <f>IF($U28="","",IFERROR(VLOOKUP($U28,AcctTbl,2,0),"کد ناشناخته"))</f>
        <v/>
      </c>
      <c r="I28" s="70">
        <f>IF($U28="","",IFERROR(VLOOKUP($U28,AcctTbl,3,0),""))</f>
        <v/>
      </c>
      <c r="J28" s="72" t="n"/>
      <c r="K28" s="71" t="n"/>
      <c r="L28" s="74" t="n"/>
      <c r="M28" s="74" t="n"/>
      <c r="N28" s="148">
        <f>IF(OR($E28="",$L28=""),"",IFERROR(($L28-IF($M28="",0,$M28)*IFERROR(VLOOKUP($K28,BasketTbl,4,0),IFERROR(INDEX(BasketTbl,MATCH($K28,BasketCodeCol,0),4),VLOOKUP("P01",ParamTbl,2,0))))*(1-IF(VLOOKUP($E28,OpTbl,3,0)="خرید",VLOOKUP("P02",ParamTbl,2,0),0)/100),""))</f>
        <v/>
      </c>
      <c r="O28" s="74" t="n"/>
      <c r="P28" s="76">
        <f>IF(OR($E28="",$L28=""),"",IFERROR(IF(VLOOKUP($E28,OpTbl,6,0)="وزن",ROUND($N28*$O28,-3),IF(VLOOKUP($E28,OpTbl,6,0)="مبلغ",ROUND($L28*$O28,-3),0)),""))</f>
        <v/>
      </c>
      <c r="Q28" s="74" t="n"/>
      <c r="R28" s="71" t="n"/>
      <c r="S28" s="77">
        <f>IF($E28="","",IF($AI28="⚠","⚠ ناتراز",IF(AND(IFERROR(VLOOKUP($E28,OpTbl,4,0),"")="بله",$L28=""),"⚠ وزن",IF(AND(IFERROR(VLOOKUP($E28,OpTbl,5,0),"")="بله",$U28=""),"⚠ حساب",IF(AND(IFERROR(VLOOKUP($E28,OpTbl,6,0),"")="مبلغ",$Q28=""),"⚠ مبلغ","✓")))))</f>
        <v/>
      </c>
      <c r="T28" s="72" t="n"/>
      <c r="U28" s="70">
        <f>IF($E28="","",IFERROR(IF(VLOOKUP($E28,OpTbl,14,0)&lt;&gt;"",VLOOKUP($E28,OpTbl,14,0),$G28),""))</f>
        <v/>
      </c>
      <c r="V28" s="76">
        <f>IF(OR($AJ28="",$AJ28=0,$AL28&lt;&gt;"بدهکار"),"",$AJ28)</f>
        <v/>
      </c>
      <c r="W28" s="76">
        <f>IF(OR($AJ28="",$AJ28=0,$AL28&lt;&gt;"بستانکار"),"",$AJ28)</f>
        <v/>
      </c>
      <c r="X28" s="70">
        <f>IF($E28="","",IFERROR(VLOOKUP($E28,OpTbl,8,0),""))</f>
        <v/>
      </c>
      <c r="Y28" s="76">
        <f>IF(OR($X28="",$AJ28="",$AJ28=0,$AM28&lt;&gt;"بدهکار"),"",$AJ28)</f>
        <v/>
      </c>
      <c r="Z28" s="76">
        <f>IF(OR($X28="",$AJ28="",$AJ28=0,$AM28&lt;&gt;"بستانکار"),"",$AJ28)</f>
        <v/>
      </c>
      <c r="AA28" s="70">
        <f>IF(OR($E28="",$AN28="—",$AN28=""),"",IFERROR(VLOOKUP($E28,OpTbl,12,0),""))</f>
        <v/>
      </c>
      <c r="AB28" s="76">
        <f>IF(OR($AA28="",$Q28="",$Q28=0,$AN28&lt;&gt;"بدهکار"),"",$Q28)</f>
        <v/>
      </c>
      <c r="AC28" s="76">
        <f>IF(OR($AA28="",$Q28="",$Q28=0,$AN28&lt;&gt;"بستانکار"),"",$Q28)</f>
        <v/>
      </c>
      <c r="AD28" s="70">
        <f>IF($AA28="","",IFERROR(VLOOKUP($E28,OpTbl,13,0),""))</f>
        <v/>
      </c>
      <c r="AE28" s="76">
        <f>IF(OR($AD28="",$Q28="",$Q28=0,$AN28&lt;&gt;"بستانکار"),"",$Q28)</f>
        <v/>
      </c>
      <c r="AF28" s="76">
        <f>IF(OR($AD28="",$Q28="",$Q28=0,$AN28&lt;&gt;"بدهکار"),"",$Q28)</f>
        <v/>
      </c>
      <c r="AG28" s="76">
        <f>SUM($V28,$Y28,$AB28,$AE28)</f>
        <v/>
      </c>
      <c r="AH28" s="76">
        <f>SUM($W28,$Z28,$AC28,$AF28)</f>
        <v/>
      </c>
      <c r="AI28" s="70">
        <f>IF($E28="","",IF(ROUND($AG28-$AH28,0)=0,"✓","⚠"))</f>
        <v/>
      </c>
      <c r="AJ28" s="76">
        <f>IF(OR($E28="",$U28=""),"",IFERROR(IF(VLOOKUP($E28,OpTbl,6,0)="وزن",IF($P28="",0,$P28),IF(VLOOKUP($E28,OpTbl,6,0)="مبلغ",IF(AND($Q28&lt;&gt;"",$Q28&lt;&gt;0),$Q28,$P28),0))+IF(VLOOKUP($E28,OpTbl,10,0)="افزودن",IF($Q28="",0,$Q28),0),0))</f>
        <v/>
      </c>
      <c r="AK28" s="70">
        <f>IF($E28="","",IFERROR(VLOOKUP($E28,OpTbl,10,0),""))</f>
        <v/>
      </c>
      <c r="AL28" s="70">
        <f>IF(OR($E28="",$U28=""),"",IFERROR(IF(VLOOKUP($E28,OpTbl,7,0)="خودکار",$R28,VLOOKUP($E28,OpTbl,7,0)),""))</f>
        <v/>
      </c>
      <c r="AM28" s="70">
        <f>IF(OR($E28="",$X28=""),"",IFERROR(IF(VLOOKUP($E28,OpTbl,9,0)="خودکار",IF($AL28="بدهکار","بستانکار",IF($AL28="بستانکار","بدهکار","")),VLOOKUP($E28,OpTbl,9,0)),""))</f>
        <v/>
      </c>
      <c r="AN28" s="70">
        <f>IF($E28="","",IFERROR(VLOOKUP($E28,OpTbl,11,0),""))</f>
        <v/>
      </c>
      <c r="AO28" s="70">
        <f>IF($B28="","",MID($B28,6,2))</f>
        <v/>
      </c>
      <c r="AP28" s="76">
        <f>IF($B28="",0,1)</f>
        <v/>
      </c>
    </row>
    <row r="29" ht="21.75" customHeight="1">
      <c r="A29" s="70">
        <f>IF($B29="","",COUNTA($B$10:$B29))</f>
        <v/>
      </c>
      <c r="B29" s="71" t="n"/>
      <c r="C29" s="71" t="n"/>
      <c r="D29" s="71" t="n"/>
      <c r="E29" s="71" t="n"/>
      <c r="F29" s="70">
        <f>IF($E29="","",IFERROR(VLOOKUP($E29,OpTbl,2,0),""))</f>
        <v/>
      </c>
      <c r="G29" s="71" t="n"/>
      <c r="H29" s="73">
        <f>IF($U29="","",IFERROR(VLOOKUP($U29,AcctTbl,2,0),"کد ناشناخته"))</f>
        <v/>
      </c>
      <c r="I29" s="70">
        <f>IF($U29="","",IFERROR(VLOOKUP($U29,AcctTbl,3,0),""))</f>
        <v/>
      </c>
      <c r="J29" s="72" t="n"/>
      <c r="K29" s="71" t="n"/>
      <c r="L29" s="74" t="n"/>
      <c r="M29" s="74" t="n"/>
      <c r="N29" s="148">
        <f>IF(OR($E29="",$L29=""),"",IFERROR(($L29-IF($M29="",0,$M29)*IFERROR(VLOOKUP($K29,BasketTbl,4,0),IFERROR(INDEX(BasketTbl,MATCH($K29,BasketCodeCol,0),4),VLOOKUP("P01",ParamTbl,2,0))))*(1-IF(VLOOKUP($E29,OpTbl,3,0)="خرید",VLOOKUP("P02",ParamTbl,2,0),0)/100),""))</f>
        <v/>
      </c>
      <c r="O29" s="74" t="n"/>
      <c r="P29" s="76">
        <f>IF(OR($E29="",$L29=""),"",IFERROR(IF(VLOOKUP($E29,OpTbl,6,0)="وزن",ROUND($N29*$O29,-3),IF(VLOOKUP($E29,OpTbl,6,0)="مبلغ",ROUND($L29*$O29,-3),0)),""))</f>
        <v/>
      </c>
      <c r="Q29" s="74" t="n"/>
      <c r="R29" s="71" t="n"/>
      <c r="S29" s="77">
        <f>IF($E29="","",IF($AI29="⚠","⚠ ناتراز",IF(AND(IFERROR(VLOOKUP($E29,OpTbl,4,0),"")="بله",$L29=""),"⚠ وزن",IF(AND(IFERROR(VLOOKUP($E29,OpTbl,5,0),"")="بله",$U29=""),"⚠ حساب",IF(AND(IFERROR(VLOOKUP($E29,OpTbl,6,0),"")="مبلغ",$Q29=""),"⚠ مبلغ","✓")))))</f>
        <v/>
      </c>
      <c r="T29" s="72" t="n"/>
      <c r="U29" s="70">
        <f>IF($E29="","",IFERROR(IF(VLOOKUP($E29,OpTbl,14,0)&lt;&gt;"",VLOOKUP($E29,OpTbl,14,0),$G29),""))</f>
        <v/>
      </c>
      <c r="V29" s="76">
        <f>IF(OR($AJ29="",$AJ29=0,$AL29&lt;&gt;"بدهکار"),"",$AJ29)</f>
        <v/>
      </c>
      <c r="W29" s="76">
        <f>IF(OR($AJ29="",$AJ29=0,$AL29&lt;&gt;"بستانکار"),"",$AJ29)</f>
        <v/>
      </c>
      <c r="X29" s="70">
        <f>IF($E29="","",IFERROR(VLOOKUP($E29,OpTbl,8,0),""))</f>
        <v/>
      </c>
      <c r="Y29" s="76">
        <f>IF(OR($X29="",$AJ29="",$AJ29=0,$AM29&lt;&gt;"بدهکار"),"",$AJ29)</f>
        <v/>
      </c>
      <c r="Z29" s="76">
        <f>IF(OR($X29="",$AJ29="",$AJ29=0,$AM29&lt;&gt;"بستانکار"),"",$AJ29)</f>
        <v/>
      </c>
      <c r="AA29" s="70">
        <f>IF(OR($E29="",$AN29="—",$AN29=""),"",IFERROR(VLOOKUP($E29,OpTbl,12,0),""))</f>
        <v/>
      </c>
      <c r="AB29" s="76">
        <f>IF(OR($AA29="",$Q29="",$Q29=0,$AN29&lt;&gt;"بدهکار"),"",$Q29)</f>
        <v/>
      </c>
      <c r="AC29" s="76">
        <f>IF(OR($AA29="",$Q29="",$Q29=0,$AN29&lt;&gt;"بستانکار"),"",$Q29)</f>
        <v/>
      </c>
      <c r="AD29" s="70">
        <f>IF($AA29="","",IFERROR(VLOOKUP($E29,OpTbl,13,0),""))</f>
        <v/>
      </c>
      <c r="AE29" s="76">
        <f>IF(OR($AD29="",$Q29="",$Q29=0,$AN29&lt;&gt;"بستانکار"),"",$Q29)</f>
        <v/>
      </c>
      <c r="AF29" s="76">
        <f>IF(OR($AD29="",$Q29="",$Q29=0,$AN29&lt;&gt;"بدهکار"),"",$Q29)</f>
        <v/>
      </c>
      <c r="AG29" s="76">
        <f>SUM($V29,$Y29,$AB29,$AE29)</f>
        <v/>
      </c>
      <c r="AH29" s="76">
        <f>SUM($W29,$Z29,$AC29,$AF29)</f>
        <v/>
      </c>
      <c r="AI29" s="70">
        <f>IF($E29="","",IF(ROUND($AG29-$AH29,0)=0,"✓","⚠"))</f>
        <v/>
      </c>
      <c r="AJ29" s="76">
        <f>IF(OR($E29="",$U29=""),"",IFERROR(IF(VLOOKUP($E29,OpTbl,6,0)="وزن",IF($P29="",0,$P29),IF(VLOOKUP($E29,OpTbl,6,0)="مبلغ",IF(AND($Q29&lt;&gt;"",$Q29&lt;&gt;0),$Q29,$P29),0))+IF(VLOOKUP($E29,OpTbl,10,0)="افزودن",IF($Q29="",0,$Q29),0),0))</f>
        <v/>
      </c>
      <c r="AK29" s="70">
        <f>IF($E29="","",IFERROR(VLOOKUP($E29,OpTbl,10,0),""))</f>
        <v/>
      </c>
      <c r="AL29" s="70">
        <f>IF(OR($E29="",$U29=""),"",IFERROR(IF(VLOOKUP($E29,OpTbl,7,0)="خودکار",$R29,VLOOKUP($E29,OpTbl,7,0)),""))</f>
        <v/>
      </c>
      <c r="AM29" s="70">
        <f>IF(OR($E29="",$X29=""),"",IFERROR(IF(VLOOKUP($E29,OpTbl,9,0)="خودکار",IF($AL29="بدهکار","بستانکار",IF($AL29="بستانکار","بدهکار","")),VLOOKUP($E29,OpTbl,9,0)),""))</f>
        <v/>
      </c>
      <c r="AN29" s="70">
        <f>IF($E29="","",IFERROR(VLOOKUP($E29,OpTbl,11,0),""))</f>
        <v/>
      </c>
      <c r="AO29" s="70">
        <f>IF($B29="","",MID($B29,6,2))</f>
        <v/>
      </c>
      <c r="AP29" s="76">
        <f>IF($B29="",0,1)</f>
        <v/>
      </c>
    </row>
    <row r="30" ht="21.75" customHeight="1">
      <c r="A30" s="70">
        <f>IF($B30="","",COUNTA($B$10:$B30))</f>
        <v/>
      </c>
      <c r="B30" s="71" t="n"/>
      <c r="C30" s="71" t="n"/>
      <c r="D30" s="71" t="n"/>
      <c r="E30" s="71" t="n"/>
      <c r="F30" s="70">
        <f>IF($E30="","",IFERROR(VLOOKUP($E30,OpTbl,2,0),""))</f>
        <v/>
      </c>
      <c r="G30" s="71" t="n"/>
      <c r="H30" s="73">
        <f>IF($U30="","",IFERROR(VLOOKUP($U30,AcctTbl,2,0),"کد ناشناخته"))</f>
        <v/>
      </c>
      <c r="I30" s="70">
        <f>IF($U30="","",IFERROR(VLOOKUP($U30,AcctTbl,3,0),""))</f>
        <v/>
      </c>
      <c r="J30" s="72" t="n"/>
      <c r="K30" s="71" t="n"/>
      <c r="L30" s="74" t="n"/>
      <c r="M30" s="74" t="n"/>
      <c r="N30" s="148">
        <f>IF(OR($E30="",$L30=""),"",IFERROR(($L30-IF($M30="",0,$M30)*IFERROR(VLOOKUP($K30,BasketTbl,4,0),IFERROR(INDEX(BasketTbl,MATCH($K30,BasketCodeCol,0),4),VLOOKUP("P01",ParamTbl,2,0))))*(1-IF(VLOOKUP($E30,OpTbl,3,0)="خرید",VLOOKUP("P02",ParamTbl,2,0),0)/100),""))</f>
        <v/>
      </c>
      <c r="O30" s="74" t="n"/>
      <c r="P30" s="76">
        <f>IF(OR($E30="",$L30=""),"",IFERROR(IF(VLOOKUP($E30,OpTbl,6,0)="وزن",ROUND($N30*$O30,-3),IF(VLOOKUP($E30,OpTbl,6,0)="مبلغ",ROUND($L30*$O30,-3),0)),""))</f>
        <v/>
      </c>
      <c r="Q30" s="74" t="n"/>
      <c r="R30" s="71" t="n"/>
      <c r="S30" s="77">
        <f>IF($E30="","",IF($AI30="⚠","⚠ ناتراز",IF(AND(IFERROR(VLOOKUP($E30,OpTbl,4,0),"")="بله",$L30=""),"⚠ وزن",IF(AND(IFERROR(VLOOKUP($E30,OpTbl,5,0),"")="بله",$U30=""),"⚠ حساب",IF(AND(IFERROR(VLOOKUP($E30,OpTbl,6,0),"")="مبلغ",$Q30=""),"⚠ مبلغ","✓")))))</f>
        <v/>
      </c>
      <c r="T30" s="72" t="n"/>
      <c r="U30" s="70">
        <f>IF($E30="","",IFERROR(IF(VLOOKUP($E30,OpTbl,14,0)&lt;&gt;"",VLOOKUP($E30,OpTbl,14,0),$G30),""))</f>
        <v/>
      </c>
      <c r="V30" s="76">
        <f>IF(OR($AJ30="",$AJ30=0,$AL30&lt;&gt;"بدهکار"),"",$AJ30)</f>
        <v/>
      </c>
      <c r="W30" s="76">
        <f>IF(OR($AJ30="",$AJ30=0,$AL30&lt;&gt;"بستانکار"),"",$AJ30)</f>
        <v/>
      </c>
      <c r="X30" s="70">
        <f>IF($E30="","",IFERROR(VLOOKUP($E30,OpTbl,8,0),""))</f>
        <v/>
      </c>
      <c r="Y30" s="76">
        <f>IF(OR($X30="",$AJ30="",$AJ30=0,$AM30&lt;&gt;"بدهکار"),"",$AJ30)</f>
        <v/>
      </c>
      <c r="Z30" s="76">
        <f>IF(OR($X30="",$AJ30="",$AJ30=0,$AM30&lt;&gt;"بستانکار"),"",$AJ30)</f>
        <v/>
      </c>
      <c r="AA30" s="70">
        <f>IF(OR($E30="",$AN30="—",$AN30=""),"",IFERROR(VLOOKUP($E30,OpTbl,12,0),""))</f>
        <v/>
      </c>
      <c r="AB30" s="76">
        <f>IF(OR($AA30="",$Q30="",$Q30=0,$AN30&lt;&gt;"بدهکار"),"",$Q30)</f>
        <v/>
      </c>
      <c r="AC30" s="76">
        <f>IF(OR($AA30="",$Q30="",$Q30=0,$AN30&lt;&gt;"بستانکار"),"",$Q30)</f>
        <v/>
      </c>
      <c r="AD30" s="70">
        <f>IF($AA30="","",IFERROR(VLOOKUP($E30,OpTbl,13,0),""))</f>
        <v/>
      </c>
      <c r="AE30" s="76">
        <f>IF(OR($AD30="",$Q30="",$Q30=0,$AN30&lt;&gt;"بستانکار"),"",$Q30)</f>
        <v/>
      </c>
      <c r="AF30" s="76">
        <f>IF(OR($AD30="",$Q30="",$Q30=0,$AN30&lt;&gt;"بدهکار"),"",$Q30)</f>
        <v/>
      </c>
      <c r="AG30" s="76">
        <f>SUM($V30,$Y30,$AB30,$AE30)</f>
        <v/>
      </c>
      <c r="AH30" s="76">
        <f>SUM($W30,$Z30,$AC30,$AF30)</f>
        <v/>
      </c>
      <c r="AI30" s="70">
        <f>IF($E30="","",IF(ROUND($AG30-$AH30,0)=0,"✓","⚠"))</f>
        <v/>
      </c>
      <c r="AJ30" s="76">
        <f>IF(OR($E30="",$U30=""),"",IFERROR(IF(VLOOKUP($E30,OpTbl,6,0)="وزن",IF($P30="",0,$P30),IF(VLOOKUP($E30,OpTbl,6,0)="مبلغ",IF(AND($Q30&lt;&gt;"",$Q30&lt;&gt;0),$Q30,$P30),0))+IF(VLOOKUP($E30,OpTbl,10,0)="افزودن",IF($Q30="",0,$Q30),0),0))</f>
        <v/>
      </c>
      <c r="AK30" s="70">
        <f>IF($E30="","",IFERROR(VLOOKUP($E30,OpTbl,10,0),""))</f>
        <v/>
      </c>
      <c r="AL30" s="70">
        <f>IF(OR($E30="",$U30=""),"",IFERROR(IF(VLOOKUP($E30,OpTbl,7,0)="خودکار",$R30,VLOOKUP($E30,OpTbl,7,0)),""))</f>
        <v/>
      </c>
      <c r="AM30" s="70">
        <f>IF(OR($E30="",$X30=""),"",IFERROR(IF(VLOOKUP($E30,OpTbl,9,0)="خودکار",IF($AL30="بدهکار","بستانکار",IF($AL30="بستانکار","بدهکار","")),VLOOKUP($E30,OpTbl,9,0)),""))</f>
        <v/>
      </c>
      <c r="AN30" s="70">
        <f>IF($E30="","",IFERROR(VLOOKUP($E30,OpTbl,11,0),""))</f>
        <v/>
      </c>
      <c r="AO30" s="70">
        <f>IF($B30="","",MID($B30,6,2))</f>
        <v/>
      </c>
      <c r="AP30" s="76">
        <f>IF($B30="",0,1)</f>
        <v/>
      </c>
    </row>
    <row r="31" ht="21.75" customHeight="1">
      <c r="A31" s="70">
        <f>IF($B31="","",COUNTA($B$10:$B31))</f>
        <v/>
      </c>
      <c r="B31" s="71" t="n"/>
      <c r="C31" s="71" t="n"/>
      <c r="D31" s="71" t="n"/>
      <c r="E31" s="71" t="n"/>
      <c r="F31" s="70">
        <f>IF($E31="","",IFERROR(VLOOKUP($E31,OpTbl,2,0),""))</f>
        <v/>
      </c>
      <c r="G31" s="71" t="n"/>
      <c r="H31" s="73">
        <f>IF($U31="","",IFERROR(VLOOKUP($U31,AcctTbl,2,0),"کد ناشناخته"))</f>
        <v/>
      </c>
      <c r="I31" s="70">
        <f>IF($U31="","",IFERROR(VLOOKUP($U31,AcctTbl,3,0),""))</f>
        <v/>
      </c>
      <c r="J31" s="72" t="n"/>
      <c r="K31" s="71" t="n"/>
      <c r="L31" s="74" t="n"/>
      <c r="M31" s="74" t="n"/>
      <c r="N31" s="148">
        <f>IF(OR($E31="",$L31=""),"",IFERROR(($L31-IF($M31="",0,$M31)*IFERROR(VLOOKUP($K31,BasketTbl,4,0),IFERROR(INDEX(BasketTbl,MATCH($K31,BasketCodeCol,0),4),VLOOKUP("P01",ParamTbl,2,0))))*(1-IF(VLOOKUP($E31,OpTbl,3,0)="خرید",VLOOKUP("P02",ParamTbl,2,0),0)/100),""))</f>
        <v/>
      </c>
      <c r="O31" s="74" t="n"/>
      <c r="P31" s="76">
        <f>IF(OR($E31="",$L31=""),"",IFERROR(IF(VLOOKUP($E31,OpTbl,6,0)="وزن",ROUND($N31*$O31,-3),IF(VLOOKUP($E31,OpTbl,6,0)="مبلغ",ROUND($L31*$O31,-3),0)),""))</f>
        <v/>
      </c>
      <c r="Q31" s="74" t="n"/>
      <c r="R31" s="71" t="n"/>
      <c r="S31" s="77">
        <f>IF($E31="","",IF($AI31="⚠","⚠ ناتراز",IF(AND(IFERROR(VLOOKUP($E31,OpTbl,4,0),"")="بله",$L31=""),"⚠ وزن",IF(AND(IFERROR(VLOOKUP($E31,OpTbl,5,0),"")="بله",$U31=""),"⚠ حساب",IF(AND(IFERROR(VLOOKUP($E31,OpTbl,6,0),"")="مبلغ",$Q31=""),"⚠ مبلغ","✓")))))</f>
        <v/>
      </c>
      <c r="T31" s="72" t="n"/>
      <c r="U31" s="70">
        <f>IF($E31="","",IFERROR(IF(VLOOKUP($E31,OpTbl,14,0)&lt;&gt;"",VLOOKUP($E31,OpTbl,14,0),$G31),""))</f>
        <v/>
      </c>
      <c r="V31" s="76">
        <f>IF(OR($AJ31="",$AJ31=0,$AL31&lt;&gt;"بدهکار"),"",$AJ31)</f>
        <v/>
      </c>
      <c r="W31" s="76">
        <f>IF(OR($AJ31="",$AJ31=0,$AL31&lt;&gt;"بستانکار"),"",$AJ31)</f>
        <v/>
      </c>
      <c r="X31" s="70">
        <f>IF($E31="","",IFERROR(VLOOKUP($E31,OpTbl,8,0),""))</f>
        <v/>
      </c>
      <c r="Y31" s="76">
        <f>IF(OR($X31="",$AJ31="",$AJ31=0,$AM31&lt;&gt;"بدهکار"),"",$AJ31)</f>
        <v/>
      </c>
      <c r="Z31" s="76">
        <f>IF(OR($X31="",$AJ31="",$AJ31=0,$AM31&lt;&gt;"بستانکار"),"",$AJ31)</f>
        <v/>
      </c>
      <c r="AA31" s="70">
        <f>IF(OR($E31="",$AN31="—",$AN31=""),"",IFERROR(VLOOKUP($E31,OpTbl,12,0),""))</f>
        <v/>
      </c>
      <c r="AB31" s="76">
        <f>IF(OR($AA31="",$Q31="",$Q31=0,$AN31&lt;&gt;"بدهکار"),"",$Q31)</f>
        <v/>
      </c>
      <c r="AC31" s="76">
        <f>IF(OR($AA31="",$Q31="",$Q31=0,$AN31&lt;&gt;"بستانکار"),"",$Q31)</f>
        <v/>
      </c>
      <c r="AD31" s="70">
        <f>IF($AA31="","",IFERROR(VLOOKUP($E31,OpTbl,13,0),""))</f>
        <v/>
      </c>
      <c r="AE31" s="76">
        <f>IF(OR($AD31="",$Q31="",$Q31=0,$AN31&lt;&gt;"بستانکار"),"",$Q31)</f>
        <v/>
      </c>
      <c r="AF31" s="76">
        <f>IF(OR($AD31="",$Q31="",$Q31=0,$AN31&lt;&gt;"بدهکار"),"",$Q31)</f>
        <v/>
      </c>
      <c r="AG31" s="76">
        <f>SUM($V31,$Y31,$AB31,$AE31)</f>
        <v/>
      </c>
      <c r="AH31" s="76">
        <f>SUM($W31,$Z31,$AC31,$AF31)</f>
        <v/>
      </c>
      <c r="AI31" s="70">
        <f>IF($E31="","",IF(ROUND($AG31-$AH31,0)=0,"✓","⚠"))</f>
        <v/>
      </c>
      <c r="AJ31" s="76">
        <f>IF(OR($E31="",$U31=""),"",IFERROR(IF(VLOOKUP($E31,OpTbl,6,0)="وزن",IF($P31="",0,$P31),IF(VLOOKUP($E31,OpTbl,6,0)="مبلغ",IF(AND($Q31&lt;&gt;"",$Q31&lt;&gt;0),$Q31,$P31),0))+IF(VLOOKUP($E31,OpTbl,10,0)="افزودن",IF($Q31="",0,$Q31),0),0))</f>
        <v/>
      </c>
      <c r="AK31" s="70">
        <f>IF($E31="","",IFERROR(VLOOKUP($E31,OpTbl,10,0),""))</f>
        <v/>
      </c>
      <c r="AL31" s="70">
        <f>IF(OR($E31="",$U31=""),"",IFERROR(IF(VLOOKUP($E31,OpTbl,7,0)="خودکار",$R31,VLOOKUP($E31,OpTbl,7,0)),""))</f>
        <v/>
      </c>
      <c r="AM31" s="70">
        <f>IF(OR($E31="",$X31=""),"",IFERROR(IF(VLOOKUP($E31,OpTbl,9,0)="خودکار",IF($AL31="بدهکار","بستانکار",IF($AL31="بستانکار","بدهکار","")),VLOOKUP($E31,OpTbl,9,0)),""))</f>
        <v/>
      </c>
      <c r="AN31" s="70">
        <f>IF($E31="","",IFERROR(VLOOKUP($E31,OpTbl,11,0),""))</f>
        <v/>
      </c>
      <c r="AO31" s="70">
        <f>IF($B31="","",MID($B31,6,2))</f>
        <v/>
      </c>
      <c r="AP31" s="76">
        <f>IF($B31="",0,1)</f>
        <v/>
      </c>
    </row>
    <row r="32" ht="21.75" customHeight="1">
      <c r="A32" s="70">
        <f>IF($B32="","",COUNTA($B$10:$B32))</f>
        <v/>
      </c>
      <c r="B32" s="71" t="n"/>
      <c r="C32" s="71" t="n"/>
      <c r="D32" s="71" t="n"/>
      <c r="E32" s="71" t="n"/>
      <c r="F32" s="70">
        <f>IF($E32="","",IFERROR(VLOOKUP($E32,OpTbl,2,0),""))</f>
        <v/>
      </c>
      <c r="G32" s="71" t="n"/>
      <c r="H32" s="73">
        <f>IF($U32="","",IFERROR(VLOOKUP($U32,AcctTbl,2,0),"کد ناشناخته"))</f>
        <v/>
      </c>
      <c r="I32" s="70">
        <f>IF($U32="","",IFERROR(VLOOKUP($U32,AcctTbl,3,0),""))</f>
        <v/>
      </c>
      <c r="J32" s="72" t="n"/>
      <c r="K32" s="71" t="n"/>
      <c r="L32" s="74" t="n"/>
      <c r="M32" s="74" t="n"/>
      <c r="N32" s="148">
        <f>IF(OR($E32="",$L32=""),"",IFERROR(($L32-IF($M32="",0,$M32)*IFERROR(VLOOKUP($K32,BasketTbl,4,0),IFERROR(INDEX(BasketTbl,MATCH($K32,BasketCodeCol,0),4),VLOOKUP("P01",ParamTbl,2,0))))*(1-IF(VLOOKUP($E32,OpTbl,3,0)="خرید",VLOOKUP("P02",ParamTbl,2,0),0)/100),""))</f>
        <v/>
      </c>
      <c r="O32" s="74" t="n"/>
      <c r="P32" s="76">
        <f>IF(OR($E32="",$L32=""),"",IFERROR(IF(VLOOKUP($E32,OpTbl,6,0)="وزن",ROUND($N32*$O32,-3),IF(VLOOKUP($E32,OpTbl,6,0)="مبلغ",ROUND($L32*$O32,-3),0)),""))</f>
        <v/>
      </c>
      <c r="Q32" s="74" t="n"/>
      <c r="R32" s="71" t="n"/>
      <c r="S32" s="77">
        <f>IF($E32="","",IF($AI32="⚠","⚠ ناتراز",IF(AND(IFERROR(VLOOKUP($E32,OpTbl,4,0),"")="بله",$L32=""),"⚠ وزن",IF(AND(IFERROR(VLOOKUP($E32,OpTbl,5,0),"")="بله",$U32=""),"⚠ حساب",IF(AND(IFERROR(VLOOKUP($E32,OpTbl,6,0),"")="مبلغ",$Q32=""),"⚠ مبلغ","✓")))))</f>
        <v/>
      </c>
      <c r="T32" s="72" t="n"/>
      <c r="U32" s="70">
        <f>IF($E32="","",IFERROR(IF(VLOOKUP($E32,OpTbl,14,0)&lt;&gt;"",VLOOKUP($E32,OpTbl,14,0),$G32),""))</f>
        <v/>
      </c>
      <c r="V32" s="76">
        <f>IF(OR($AJ32="",$AJ32=0,$AL32&lt;&gt;"بدهکار"),"",$AJ32)</f>
        <v/>
      </c>
      <c r="W32" s="76">
        <f>IF(OR($AJ32="",$AJ32=0,$AL32&lt;&gt;"بستانکار"),"",$AJ32)</f>
        <v/>
      </c>
      <c r="X32" s="70">
        <f>IF($E32="","",IFERROR(VLOOKUP($E32,OpTbl,8,0),""))</f>
        <v/>
      </c>
      <c r="Y32" s="76">
        <f>IF(OR($X32="",$AJ32="",$AJ32=0,$AM32&lt;&gt;"بدهکار"),"",$AJ32)</f>
        <v/>
      </c>
      <c r="Z32" s="76">
        <f>IF(OR($X32="",$AJ32="",$AJ32=0,$AM32&lt;&gt;"بستانکار"),"",$AJ32)</f>
        <v/>
      </c>
      <c r="AA32" s="70">
        <f>IF(OR($E32="",$AN32="—",$AN32=""),"",IFERROR(VLOOKUP($E32,OpTbl,12,0),""))</f>
        <v/>
      </c>
      <c r="AB32" s="76">
        <f>IF(OR($AA32="",$Q32="",$Q32=0,$AN32&lt;&gt;"بدهکار"),"",$Q32)</f>
        <v/>
      </c>
      <c r="AC32" s="76">
        <f>IF(OR($AA32="",$Q32="",$Q32=0,$AN32&lt;&gt;"بستانکار"),"",$Q32)</f>
        <v/>
      </c>
      <c r="AD32" s="70">
        <f>IF($AA32="","",IFERROR(VLOOKUP($E32,OpTbl,13,0),""))</f>
        <v/>
      </c>
      <c r="AE32" s="76">
        <f>IF(OR($AD32="",$Q32="",$Q32=0,$AN32&lt;&gt;"بستانکار"),"",$Q32)</f>
        <v/>
      </c>
      <c r="AF32" s="76">
        <f>IF(OR($AD32="",$Q32="",$Q32=0,$AN32&lt;&gt;"بدهکار"),"",$Q32)</f>
        <v/>
      </c>
      <c r="AG32" s="76">
        <f>SUM($V32,$Y32,$AB32,$AE32)</f>
        <v/>
      </c>
      <c r="AH32" s="76">
        <f>SUM($W32,$Z32,$AC32,$AF32)</f>
        <v/>
      </c>
      <c r="AI32" s="70">
        <f>IF($E32="","",IF(ROUND($AG32-$AH32,0)=0,"✓","⚠"))</f>
        <v/>
      </c>
      <c r="AJ32" s="76">
        <f>IF(OR($E32="",$U32=""),"",IFERROR(IF(VLOOKUP($E32,OpTbl,6,0)="وزن",IF($P32="",0,$P32),IF(VLOOKUP($E32,OpTbl,6,0)="مبلغ",IF(AND($Q32&lt;&gt;"",$Q32&lt;&gt;0),$Q32,$P32),0))+IF(VLOOKUP($E32,OpTbl,10,0)="افزودن",IF($Q32="",0,$Q32),0),0))</f>
        <v/>
      </c>
      <c r="AK32" s="70">
        <f>IF($E32="","",IFERROR(VLOOKUP($E32,OpTbl,10,0),""))</f>
        <v/>
      </c>
      <c r="AL32" s="70">
        <f>IF(OR($E32="",$U32=""),"",IFERROR(IF(VLOOKUP($E32,OpTbl,7,0)="خودکار",$R32,VLOOKUP($E32,OpTbl,7,0)),""))</f>
        <v/>
      </c>
      <c r="AM32" s="70">
        <f>IF(OR($E32="",$X32=""),"",IFERROR(IF(VLOOKUP($E32,OpTbl,9,0)="خودکار",IF($AL32="بدهکار","بستانکار",IF($AL32="بستانکار","بدهکار","")),VLOOKUP($E32,OpTbl,9,0)),""))</f>
        <v/>
      </c>
      <c r="AN32" s="70">
        <f>IF($E32="","",IFERROR(VLOOKUP($E32,OpTbl,11,0),""))</f>
        <v/>
      </c>
      <c r="AO32" s="70">
        <f>IF($B32="","",MID($B32,6,2))</f>
        <v/>
      </c>
      <c r="AP32" s="76">
        <f>IF($B32="",0,1)</f>
        <v/>
      </c>
    </row>
    <row r="33" ht="21.75" customHeight="1">
      <c r="A33" s="70">
        <f>IF($B33="","",COUNTA($B$10:$B33))</f>
        <v/>
      </c>
      <c r="B33" s="71" t="n"/>
      <c r="C33" s="71" t="n"/>
      <c r="D33" s="71" t="n"/>
      <c r="E33" s="71" t="n"/>
      <c r="F33" s="70">
        <f>IF($E33="","",IFERROR(VLOOKUP($E33,OpTbl,2,0),""))</f>
        <v/>
      </c>
      <c r="G33" s="71" t="n"/>
      <c r="H33" s="73">
        <f>IF($U33="","",IFERROR(VLOOKUP($U33,AcctTbl,2,0),"کد ناشناخته"))</f>
        <v/>
      </c>
      <c r="I33" s="70">
        <f>IF($U33="","",IFERROR(VLOOKUP($U33,AcctTbl,3,0),""))</f>
        <v/>
      </c>
      <c r="J33" s="72" t="n"/>
      <c r="K33" s="71" t="n"/>
      <c r="L33" s="74" t="n"/>
      <c r="M33" s="74" t="n"/>
      <c r="N33" s="148">
        <f>IF(OR($E33="",$L33=""),"",IFERROR(($L33-IF($M33="",0,$M33)*IFERROR(VLOOKUP($K33,BasketTbl,4,0),IFERROR(INDEX(BasketTbl,MATCH($K33,BasketCodeCol,0),4),VLOOKUP("P01",ParamTbl,2,0))))*(1-IF(VLOOKUP($E33,OpTbl,3,0)="خرید",VLOOKUP("P02",ParamTbl,2,0),0)/100),""))</f>
        <v/>
      </c>
      <c r="O33" s="74" t="n"/>
      <c r="P33" s="76">
        <f>IF(OR($E33="",$L33=""),"",IFERROR(IF(VLOOKUP($E33,OpTbl,6,0)="وزن",ROUND($N33*$O33,-3),IF(VLOOKUP($E33,OpTbl,6,0)="مبلغ",ROUND($L33*$O33,-3),0)),""))</f>
        <v/>
      </c>
      <c r="Q33" s="74" t="n"/>
      <c r="R33" s="71" t="n"/>
      <c r="S33" s="77">
        <f>IF($E33="","",IF($AI33="⚠","⚠ ناتراز",IF(AND(IFERROR(VLOOKUP($E33,OpTbl,4,0),"")="بله",$L33=""),"⚠ وزن",IF(AND(IFERROR(VLOOKUP($E33,OpTbl,5,0),"")="بله",$U33=""),"⚠ حساب",IF(AND(IFERROR(VLOOKUP($E33,OpTbl,6,0),"")="مبلغ",$Q33=""),"⚠ مبلغ","✓")))))</f>
        <v/>
      </c>
      <c r="T33" s="72" t="n"/>
      <c r="U33" s="70">
        <f>IF($E33="","",IFERROR(IF(VLOOKUP($E33,OpTbl,14,0)&lt;&gt;"",VLOOKUP($E33,OpTbl,14,0),$G33),""))</f>
        <v/>
      </c>
      <c r="V33" s="76">
        <f>IF(OR($AJ33="",$AJ33=0,$AL33&lt;&gt;"بدهکار"),"",$AJ33)</f>
        <v/>
      </c>
      <c r="W33" s="76">
        <f>IF(OR($AJ33="",$AJ33=0,$AL33&lt;&gt;"بستانکار"),"",$AJ33)</f>
        <v/>
      </c>
      <c r="X33" s="70">
        <f>IF($E33="","",IFERROR(VLOOKUP($E33,OpTbl,8,0),""))</f>
        <v/>
      </c>
      <c r="Y33" s="76">
        <f>IF(OR($X33="",$AJ33="",$AJ33=0,$AM33&lt;&gt;"بدهکار"),"",$AJ33)</f>
        <v/>
      </c>
      <c r="Z33" s="76">
        <f>IF(OR($X33="",$AJ33="",$AJ33=0,$AM33&lt;&gt;"بستانکار"),"",$AJ33)</f>
        <v/>
      </c>
      <c r="AA33" s="70">
        <f>IF(OR($E33="",$AN33="—",$AN33=""),"",IFERROR(VLOOKUP($E33,OpTbl,12,0),""))</f>
        <v/>
      </c>
      <c r="AB33" s="76">
        <f>IF(OR($AA33="",$Q33="",$Q33=0,$AN33&lt;&gt;"بدهکار"),"",$Q33)</f>
        <v/>
      </c>
      <c r="AC33" s="76">
        <f>IF(OR($AA33="",$Q33="",$Q33=0,$AN33&lt;&gt;"بستانکار"),"",$Q33)</f>
        <v/>
      </c>
      <c r="AD33" s="70">
        <f>IF($AA33="","",IFERROR(VLOOKUP($E33,OpTbl,13,0),""))</f>
        <v/>
      </c>
      <c r="AE33" s="76">
        <f>IF(OR($AD33="",$Q33="",$Q33=0,$AN33&lt;&gt;"بستانکار"),"",$Q33)</f>
        <v/>
      </c>
      <c r="AF33" s="76">
        <f>IF(OR($AD33="",$Q33="",$Q33=0,$AN33&lt;&gt;"بدهکار"),"",$Q33)</f>
        <v/>
      </c>
      <c r="AG33" s="76">
        <f>SUM($V33,$Y33,$AB33,$AE33)</f>
        <v/>
      </c>
      <c r="AH33" s="76">
        <f>SUM($W33,$Z33,$AC33,$AF33)</f>
        <v/>
      </c>
      <c r="AI33" s="70">
        <f>IF($E33="","",IF(ROUND($AG33-$AH33,0)=0,"✓","⚠"))</f>
        <v/>
      </c>
      <c r="AJ33" s="76">
        <f>IF(OR($E33="",$U33=""),"",IFERROR(IF(VLOOKUP($E33,OpTbl,6,0)="وزن",IF($P33="",0,$P33),IF(VLOOKUP($E33,OpTbl,6,0)="مبلغ",IF(AND($Q33&lt;&gt;"",$Q33&lt;&gt;0),$Q33,$P33),0))+IF(VLOOKUP($E33,OpTbl,10,0)="افزودن",IF($Q33="",0,$Q33),0),0))</f>
        <v/>
      </c>
      <c r="AK33" s="70">
        <f>IF($E33="","",IFERROR(VLOOKUP($E33,OpTbl,10,0),""))</f>
        <v/>
      </c>
      <c r="AL33" s="70">
        <f>IF(OR($E33="",$U33=""),"",IFERROR(IF(VLOOKUP($E33,OpTbl,7,0)="خودکار",$R33,VLOOKUP($E33,OpTbl,7,0)),""))</f>
        <v/>
      </c>
      <c r="AM33" s="70">
        <f>IF(OR($E33="",$X33=""),"",IFERROR(IF(VLOOKUP($E33,OpTbl,9,0)="خودکار",IF($AL33="بدهکار","بستانکار",IF($AL33="بستانکار","بدهکار","")),VLOOKUP($E33,OpTbl,9,0)),""))</f>
        <v/>
      </c>
      <c r="AN33" s="70">
        <f>IF($E33="","",IFERROR(VLOOKUP($E33,OpTbl,11,0),""))</f>
        <v/>
      </c>
      <c r="AO33" s="70">
        <f>IF($B33="","",MID($B33,6,2))</f>
        <v/>
      </c>
      <c r="AP33" s="76">
        <f>IF($B33="",0,1)</f>
        <v/>
      </c>
    </row>
    <row r="34" ht="21.75" customHeight="1">
      <c r="A34" s="70">
        <f>IF($B34="","",COUNTA($B$10:$B34))</f>
        <v/>
      </c>
      <c r="B34" s="71" t="n"/>
      <c r="C34" s="71" t="n"/>
      <c r="D34" s="71" t="n"/>
      <c r="E34" s="71" t="n"/>
      <c r="F34" s="70">
        <f>IF($E34="","",IFERROR(VLOOKUP($E34,OpTbl,2,0),""))</f>
        <v/>
      </c>
      <c r="G34" s="71" t="n"/>
      <c r="H34" s="73">
        <f>IF($U34="","",IFERROR(VLOOKUP($U34,AcctTbl,2,0),"کد ناشناخته"))</f>
        <v/>
      </c>
      <c r="I34" s="70">
        <f>IF($U34="","",IFERROR(VLOOKUP($U34,AcctTbl,3,0),""))</f>
        <v/>
      </c>
      <c r="J34" s="72" t="n"/>
      <c r="K34" s="71" t="n"/>
      <c r="L34" s="74" t="n"/>
      <c r="M34" s="74" t="n"/>
      <c r="N34" s="148">
        <f>IF(OR($E34="",$L34=""),"",IFERROR(($L34-IF($M34="",0,$M34)*IFERROR(VLOOKUP($K34,BasketTbl,4,0),IFERROR(INDEX(BasketTbl,MATCH($K34,BasketCodeCol,0),4),VLOOKUP("P01",ParamTbl,2,0))))*(1-IF(VLOOKUP($E34,OpTbl,3,0)="خرید",VLOOKUP("P02",ParamTbl,2,0),0)/100),""))</f>
        <v/>
      </c>
      <c r="O34" s="74" t="n"/>
      <c r="P34" s="76">
        <f>IF(OR($E34="",$L34=""),"",IFERROR(IF(VLOOKUP($E34,OpTbl,6,0)="وزن",ROUND($N34*$O34,-3),IF(VLOOKUP($E34,OpTbl,6,0)="مبلغ",ROUND($L34*$O34,-3),0)),""))</f>
        <v/>
      </c>
      <c r="Q34" s="74" t="n"/>
      <c r="R34" s="71" t="n"/>
      <c r="S34" s="77">
        <f>IF($E34="","",IF($AI34="⚠","⚠ ناتراز",IF(AND(IFERROR(VLOOKUP($E34,OpTbl,4,0),"")="بله",$L34=""),"⚠ وزن",IF(AND(IFERROR(VLOOKUP($E34,OpTbl,5,0),"")="بله",$U34=""),"⚠ حساب",IF(AND(IFERROR(VLOOKUP($E34,OpTbl,6,0),"")="مبلغ",$Q34=""),"⚠ مبلغ","✓")))))</f>
        <v/>
      </c>
      <c r="T34" s="72" t="n"/>
      <c r="U34" s="70">
        <f>IF($E34="","",IFERROR(IF(VLOOKUP($E34,OpTbl,14,0)&lt;&gt;"",VLOOKUP($E34,OpTbl,14,0),$G34),""))</f>
        <v/>
      </c>
      <c r="V34" s="76">
        <f>IF(OR($AJ34="",$AJ34=0,$AL34&lt;&gt;"بدهکار"),"",$AJ34)</f>
        <v/>
      </c>
      <c r="W34" s="76">
        <f>IF(OR($AJ34="",$AJ34=0,$AL34&lt;&gt;"بستانکار"),"",$AJ34)</f>
        <v/>
      </c>
      <c r="X34" s="70">
        <f>IF($E34="","",IFERROR(VLOOKUP($E34,OpTbl,8,0),""))</f>
        <v/>
      </c>
      <c r="Y34" s="76">
        <f>IF(OR($X34="",$AJ34="",$AJ34=0,$AM34&lt;&gt;"بدهکار"),"",$AJ34)</f>
        <v/>
      </c>
      <c r="Z34" s="76">
        <f>IF(OR($X34="",$AJ34="",$AJ34=0,$AM34&lt;&gt;"بستانکار"),"",$AJ34)</f>
        <v/>
      </c>
      <c r="AA34" s="70">
        <f>IF(OR($E34="",$AN34="—",$AN34=""),"",IFERROR(VLOOKUP($E34,OpTbl,12,0),""))</f>
        <v/>
      </c>
      <c r="AB34" s="76">
        <f>IF(OR($AA34="",$Q34="",$Q34=0,$AN34&lt;&gt;"بدهکار"),"",$Q34)</f>
        <v/>
      </c>
      <c r="AC34" s="76">
        <f>IF(OR($AA34="",$Q34="",$Q34=0,$AN34&lt;&gt;"بستانکار"),"",$Q34)</f>
        <v/>
      </c>
      <c r="AD34" s="70">
        <f>IF($AA34="","",IFERROR(VLOOKUP($E34,OpTbl,13,0),""))</f>
        <v/>
      </c>
      <c r="AE34" s="76">
        <f>IF(OR($AD34="",$Q34="",$Q34=0,$AN34&lt;&gt;"بستانکار"),"",$Q34)</f>
        <v/>
      </c>
      <c r="AF34" s="76">
        <f>IF(OR($AD34="",$Q34="",$Q34=0,$AN34&lt;&gt;"بدهکار"),"",$Q34)</f>
        <v/>
      </c>
      <c r="AG34" s="76">
        <f>SUM($V34,$Y34,$AB34,$AE34)</f>
        <v/>
      </c>
      <c r="AH34" s="76">
        <f>SUM($W34,$Z34,$AC34,$AF34)</f>
        <v/>
      </c>
      <c r="AI34" s="70">
        <f>IF($E34="","",IF(ROUND($AG34-$AH34,0)=0,"✓","⚠"))</f>
        <v/>
      </c>
      <c r="AJ34" s="76">
        <f>IF(OR($E34="",$U34=""),"",IFERROR(IF(VLOOKUP($E34,OpTbl,6,0)="وزن",IF($P34="",0,$P34),IF(VLOOKUP($E34,OpTbl,6,0)="مبلغ",IF(AND($Q34&lt;&gt;"",$Q34&lt;&gt;0),$Q34,$P34),0))+IF(VLOOKUP($E34,OpTbl,10,0)="افزودن",IF($Q34="",0,$Q34),0),0))</f>
        <v/>
      </c>
      <c r="AK34" s="70">
        <f>IF($E34="","",IFERROR(VLOOKUP($E34,OpTbl,10,0),""))</f>
        <v/>
      </c>
      <c r="AL34" s="70">
        <f>IF(OR($E34="",$U34=""),"",IFERROR(IF(VLOOKUP($E34,OpTbl,7,0)="خودکار",$R34,VLOOKUP($E34,OpTbl,7,0)),""))</f>
        <v/>
      </c>
      <c r="AM34" s="70">
        <f>IF(OR($E34="",$X34=""),"",IFERROR(IF(VLOOKUP($E34,OpTbl,9,0)="خودکار",IF($AL34="بدهکار","بستانکار",IF($AL34="بستانکار","بدهکار","")),VLOOKUP($E34,OpTbl,9,0)),""))</f>
        <v/>
      </c>
      <c r="AN34" s="70">
        <f>IF($E34="","",IFERROR(VLOOKUP($E34,OpTbl,11,0),""))</f>
        <v/>
      </c>
      <c r="AO34" s="70">
        <f>IF($B34="","",MID($B34,6,2))</f>
        <v/>
      </c>
      <c r="AP34" s="76">
        <f>IF($B34="",0,1)</f>
        <v/>
      </c>
    </row>
    <row r="35" ht="21.75" customHeight="1">
      <c r="A35" s="70">
        <f>IF($B35="","",COUNTA($B$10:$B35))</f>
        <v/>
      </c>
      <c r="B35" s="71" t="n"/>
      <c r="C35" s="71" t="n"/>
      <c r="D35" s="71" t="n"/>
      <c r="E35" s="71" t="n"/>
      <c r="F35" s="70">
        <f>IF($E35="","",IFERROR(VLOOKUP($E35,OpTbl,2,0),""))</f>
        <v/>
      </c>
      <c r="G35" s="71" t="n"/>
      <c r="H35" s="73">
        <f>IF($U35="","",IFERROR(VLOOKUP($U35,AcctTbl,2,0),"کد ناشناخته"))</f>
        <v/>
      </c>
      <c r="I35" s="70">
        <f>IF($U35="","",IFERROR(VLOOKUP($U35,AcctTbl,3,0),""))</f>
        <v/>
      </c>
      <c r="J35" s="72" t="n"/>
      <c r="K35" s="71" t="n"/>
      <c r="L35" s="74" t="n"/>
      <c r="M35" s="74" t="n"/>
      <c r="N35" s="148">
        <f>IF(OR($E35="",$L35=""),"",IFERROR(($L35-IF($M35="",0,$M35)*IFERROR(VLOOKUP($K35,BasketTbl,4,0),IFERROR(INDEX(BasketTbl,MATCH($K35,BasketCodeCol,0),4),VLOOKUP("P01",ParamTbl,2,0))))*(1-IF(VLOOKUP($E35,OpTbl,3,0)="خرید",VLOOKUP("P02",ParamTbl,2,0),0)/100),""))</f>
        <v/>
      </c>
      <c r="O35" s="74" t="n"/>
      <c r="P35" s="76">
        <f>IF(OR($E35="",$L35=""),"",IFERROR(IF(VLOOKUP($E35,OpTbl,6,0)="وزن",ROUND($N35*$O35,-3),IF(VLOOKUP($E35,OpTbl,6,0)="مبلغ",ROUND($L35*$O35,-3),0)),""))</f>
        <v/>
      </c>
      <c r="Q35" s="74" t="n"/>
      <c r="R35" s="71" t="n"/>
      <c r="S35" s="77">
        <f>IF($E35="","",IF($AI35="⚠","⚠ ناتراز",IF(AND(IFERROR(VLOOKUP($E35,OpTbl,4,0),"")="بله",$L35=""),"⚠ وزن",IF(AND(IFERROR(VLOOKUP($E35,OpTbl,5,0),"")="بله",$U35=""),"⚠ حساب",IF(AND(IFERROR(VLOOKUP($E35,OpTbl,6,0),"")="مبلغ",$Q35=""),"⚠ مبلغ","✓")))))</f>
        <v/>
      </c>
      <c r="T35" s="72" t="n"/>
      <c r="U35" s="70">
        <f>IF($E35="","",IFERROR(IF(VLOOKUP($E35,OpTbl,14,0)&lt;&gt;"",VLOOKUP($E35,OpTbl,14,0),$G35),""))</f>
        <v/>
      </c>
      <c r="V35" s="76">
        <f>IF(OR($AJ35="",$AJ35=0,$AL35&lt;&gt;"بدهکار"),"",$AJ35)</f>
        <v/>
      </c>
      <c r="W35" s="76">
        <f>IF(OR($AJ35="",$AJ35=0,$AL35&lt;&gt;"بستانکار"),"",$AJ35)</f>
        <v/>
      </c>
      <c r="X35" s="70">
        <f>IF($E35="","",IFERROR(VLOOKUP($E35,OpTbl,8,0),""))</f>
        <v/>
      </c>
      <c r="Y35" s="76">
        <f>IF(OR($X35="",$AJ35="",$AJ35=0,$AM35&lt;&gt;"بدهکار"),"",$AJ35)</f>
        <v/>
      </c>
      <c r="Z35" s="76">
        <f>IF(OR($X35="",$AJ35="",$AJ35=0,$AM35&lt;&gt;"بستانکار"),"",$AJ35)</f>
        <v/>
      </c>
      <c r="AA35" s="70">
        <f>IF(OR($E35="",$AN35="—",$AN35=""),"",IFERROR(VLOOKUP($E35,OpTbl,12,0),""))</f>
        <v/>
      </c>
      <c r="AB35" s="76">
        <f>IF(OR($AA35="",$Q35="",$Q35=0,$AN35&lt;&gt;"بدهکار"),"",$Q35)</f>
        <v/>
      </c>
      <c r="AC35" s="76">
        <f>IF(OR($AA35="",$Q35="",$Q35=0,$AN35&lt;&gt;"بستانکار"),"",$Q35)</f>
        <v/>
      </c>
      <c r="AD35" s="70">
        <f>IF($AA35="","",IFERROR(VLOOKUP($E35,OpTbl,13,0),""))</f>
        <v/>
      </c>
      <c r="AE35" s="76">
        <f>IF(OR($AD35="",$Q35="",$Q35=0,$AN35&lt;&gt;"بستانکار"),"",$Q35)</f>
        <v/>
      </c>
      <c r="AF35" s="76">
        <f>IF(OR($AD35="",$Q35="",$Q35=0,$AN35&lt;&gt;"بدهکار"),"",$Q35)</f>
        <v/>
      </c>
      <c r="AG35" s="76">
        <f>SUM($V35,$Y35,$AB35,$AE35)</f>
        <v/>
      </c>
      <c r="AH35" s="76">
        <f>SUM($W35,$Z35,$AC35,$AF35)</f>
        <v/>
      </c>
      <c r="AI35" s="70">
        <f>IF($E35="","",IF(ROUND($AG35-$AH35,0)=0,"✓","⚠"))</f>
        <v/>
      </c>
      <c r="AJ35" s="76">
        <f>IF(OR($E35="",$U35=""),"",IFERROR(IF(VLOOKUP($E35,OpTbl,6,0)="وزن",IF($P35="",0,$P35),IF(VLOOKUP($E35,OpTbl,6,0)="مبلغ",IF(AND($Q35&lt;&gt;"",$Q35&lt;&gt;0),$Q35,$P35),0))+IF(VLOOKUP($E35,OpTbl,10,0)="افزودن",IF($Q35="",0,$Q35),0),0))</f>
        <v/>
      </c>
      <c r="AK35" s="70">
        <f>IF($E35="","",IFERROR(VLOOKUP($E35,OpTbl,10,0),""))</f>
        <v/>
      </c>
      <c r="AL35" s="70">
        <f>IF(OR($E35="",$U35=""),"",IFERROR(IF(VLOOKUP($E35,OpTbl,7,0)="خودکار",$R35,VLOOKUP($E35,OpTbl,7,0)),""))</f>
        <v/>
      </c>
      <c r="AM35" s="70">
        <f>IF(OR($E35="",$X35=""),"",IFERROR(IF(VLOOKUP($E35,OpTbl,9,0)="خودکار",IF($AL35="بدهکار","بستانکار",IF($AL35="بستانکار","بدهکار","")),VLOOKUP($E35,OpTbl,9,0)),""))</f>
        <v/>
      </c>
      <c r="AN35" s="70">
        <f>IF($E35="","",IFERROR(VLOOKUP($E35,OpTbl,11,0),""))</f>
        <v/>
      </c>
      <c r="AO35" s="70">
        <f>IF($B35="","",MID($B35,6,2))</f>
        <v/>
      </c>
      <c r="AP35" s="76">
        <f>IF($B35="",0,1)</f>
        <v/>
      </c>
    </row>
    <row r="36" ht="21.75" customHeight="1">
      <c r="A36" s="70">
        <f>IF($B36="","",COUNTA($B$10:$B36))</f>
        <v/>
      </c>
      <c r="B36" s="71" t="n"/>
      <c r="C36" s="71" t="n"/>
      <c r="D36" s="71" t="n"/>
      <c r="E36" s="71" t="n"/>
      <c r="F36" s="70">
        <f>IF($E36="","",IFERROR(VLOOKUP($E36,OpTbl,2,0),""))</f>
        <v/>
      </c>
      <c r="G36" s="71" t="n"/>
      <c r="H36" s="73">
        <f>IF($U36="","",IFERROR(VLOOKUP($U36,AcctTbl,2,0),"کد ناشناخته"))</f>
        <v/>
      </c>
      <c r="I36" s="70">
        <f>IF($U36="","",IFERROR(VLOOKUP($U36,AcctTbl,3,0),""))</f>
        <v/>
      </c>
      <c r="J36" s="72" t="n"/>
      <c r="K36" s="71" t="n"/>
      <c r="L36" s="74" t="n"/>
      <c r="M36" s="74" t="n"/>
      <c r="N36" s="148">
        <f>IF(OR($E36="",$L36=""),"",IFERROR(($L36-IF($M36="",0,$M36)*IFERROR(VLOOKUP($K36,BasketTbl,4,0),IFERROR(INDEX(BasketTbl,MATCH($K36,BasketCodeCol,0),4),VLOOKUP("P01",ParamTbl,2,0))))*(1-IF(VLOOKUP($E36,OpTbl,3,0)="خرید",VLOOKUP("P02",ParamTbl,2,0),0)/100),""))</f>
        <v/>
      </c>
      <c r="O36" s="74" t="n"/>
      <c r="P36" s="76">
        <f>IF(OR($E36="",$L36=""),"",IFERROR(IF(VLOOKUP($E36,OpTbl,6,0)="وزن",ROUND($N36*$O36,-3),IF(VLOOKUP($E36,OpTbl,6,0)="مبلغ",ROUND($L36*$O36,-3),0)),""))</f>
        <v/>
      </c>
      <c r="Q36" s="74" t="n"/>
      <c r="R36" s="71" t="n"/>
      <c r="S36" s="77">
        <f>IF($E36="","",IF($AI36="⚠","⚠ ناتراز",IF(AND(IFERROR(VLOOKUP($E36,OpTbl,4,0),"")="بله",$L36=""),"⚠ وزن",IF(AND(IFERROR(VLOOKUP($E36,OpTbl,5,0),"")="بله",$U36=""),"⚠ حساب",IF(AND(IFERROR(VLOOKUP($E36,OpTbl,6,0),"")="مبلغ",$Q36=""),"⚠ مبلغ","✓")))))</f>
        <v/>
      </c>
      <c r="T36" s="72" t="n"/>
      <c r="U36" s="70">
        <f>IF($E36="","",IFERROR(IF(VLOOKUP($E36,OpTbl,14,0)&lt;&gt;"",VLOOKUP($E36,OpTbl,14,0),$G36),""))</f>
        <v/>
      </c>
      <c r="V36" s="76">
        <f>IF(OR($AJ36="",$AJ36=0,$AL36&lt;&gt;"بدهکار"),"",$AJ36)</f>
        <v/>
      </c>
      <c r="W36" s="76">
        <f>IF(OR($AJ36="",$AJ36=0,$AL36&lt;&gt;"بستانکار"),"",$AJ36)</f>
        <v/>
      </c>
      <c r="X36" s="70">
        <f>IF($E36="","",IFERROR(VLOOKUP($E36,OpTbl,8,0),""))</f>
        <v/>
      </c>
      <c r="Y36" s="76">
        <f>IF(OR($X36="",$AJ36="",$AJ36=0,$AM36&lt;&gt;"بدهکار"),"",$AJ36)</f>
        <v/>
      </c>
      <c r="Z36" s="76">
        <f>IF(OR($X36="",$AJ36="",$AJ36=0,$AM36&lt;&gt;"بستانکار"),"",$AJ36)</f>
        <v/>
      </c>
      <c r="AA36" s="70">
        <f>IF(OR($E36="",$AN36="—",$AN36=""),"",IFERROR(VLOOKUP($E36,OpTbl,12,0),""))</f>
        <v/>
      </c>
      <c r="AB36" s="76">
        <f>IF(OR($AA36="",$Q36="",$Q36=0,$AN36&lt;&gt;"بدهکار"),"",$Q36)</f>
        <v/>
      </c>
      <c r="AC36" s="76">
        <f>IF(OR($AA36="",$Q36="",$Q36=0,$AN36&lt;&gt;"بستانکار"),"",$Q36)</f>
        <v/>
      </c>
      <c r="AD36" s="70">
        <f>IF($AA36="","",IFERROR(VLOOKUP($E36,OpTbl,13,0),""))</f>
        <v/>
      </c>
      <c r="AE36" s="76">
        <f>IF(OR($AD36="",$Q36="",$Q36=0,$AN36&lt;&gt;"بستانکار"),"",$Q36)</f>
        <v/>
      </c>
      <c r="AF36" s="76">
        <f>IF(OR($AD36="",$Q36="",$Q36=0,$AN36&lt;&gt;"بدهکار"),"",$Q36)</f>
        <v/>
      </c>
      <c r="AG36" s="76">
        <f>SUM($V36,$Y36,$AB36,$AE36)</f>
        <v/>
      </c>
      <c r="AH36" s="76">
        <f>SUM($W36,$Z36,$AC36,$AF36)</f>
        <v/>
      </c>
      <c r="AI36" s="70">
        <f>IF($E36="","",IF(ROUND($AG36-$AH36,0)=0,"✓","⚠"))</f>
        <v/>
      </c>
      <c r="AJ36" s="76">
        <f>IF(OR($E36="",$U36=""),"",IFERROR(IF(VLOOKUP($E36,OpTbl,6,0)="وزن",IF($P36="",0,$P36),IF(VLOOKUP($E36,OpTbl,6,0)="مبلغ",IF(AND($Q36&lt;&gt;"",$Q36&lt;&gt;0),$Q36,$P36),0))+IF(VLOOKUP($E36,OpTbl,10,0)="افزودن",IF($Q36="",0,$Q36),0),0))</f>
        <v/>
      </c>
      <c r="AK36" s="70">
        <f>IF($E36="","",IFERROR(VLOOKUP($E36,OpTbl,10,0),""))</f>
        <v/>
      </c>
      <c r="AL36" s="70">
        <f>IF(OR($E36="",$U36=""),"",IFERROR(IF(VLOOKUP($E36,OpTbl,7,0)="خودکار",$R36,VLOOKUP($E36,OpTbl,7,0)),""))</f>
        <v/>
      </c>
      <c r="AM36" s="70">
        <f>IF(OR($E36="",$X36=""),"",IFERROR(IF(VLOOKUP($E36,OpTbl,9,0)="خودکار",IF($AL36="بدهکار","بستانکار",IF($AL36="بستانکار","بدهکار","")),VLOOKUP($E36,OpTbl,9,0)),""))</f>
        <v/>
      </c>
      <c r="AN36" s="70">
        <f>IF($E36="","",IFERROR(VLOOKUP($E36,OpTbl,11,0),""))</f>
        <v/>
      </c>
      <c r="AO36" s="70">
        <f>IF($B36="","",MID($B36,6,2))</f>
        <v/>
      </c>
      <c r="AP36" s="76">
        <f>IF($B36="",0,1)</f>
        <v/>
      </c>
    </row>
    <row r="37" ht="21.75" customHeight="1">
      <c r="A37" s="70">
        <f>IF($B37="","",COUNTA($B$10:$B37))</f>
        <v/>
      </c>
      <c r="B37" s="71" t="n"/>
      <c r="C37" s="71" t="n"/>
      <c r="D37" s="71" t="n"/>
      <c r="E37" s="71" t="n"/>
      <c r="F37" s="70">
        <f>IF($E37="","",IFERROR(VLOOKUP($E37,OpTbl,2,0),""))</f>
        <v/>
      </c>
      <c r="G37" s="71" t="n"/>
      <c r="H37" s="73">
        <f>IF($U37="","",IFERROR(VLOOKUP($U37,AcctTbl,2,0),"کد ناشناخته"))</f>
        <v/>
      </c>
      <c r="I37" s="70">
        <f>IF($U37="","",IFERROR(VLOOKUP($U37,AcctTbl,3,0),""))</f>
        <v/>
      </c>
      <c r="J37" s="72" t="n"/>
      <c r="K37" s="71" t="n"/>
      <c r="L37" s="74" t="n"/>
      <c r="M37" s="74" t="n"/>
      <c r="N37" s="148">
        <f>IF(OR($E37="",$L37=""),"",IFERROR(($L37-IF($M37="",0,$M37)*IFERROR(VLOOKUP($K37,BasketTbl,4,0),IFERROR(INDEX(BasketTbl,MATCH($K37,BasketCodeCol,0),4),VLOOKUP("P01",ParamTbl,2,0))))*(1-IF(VLOOKUP($E37,OpTbl,3,0)="خرید",VLOOKUP("P02",ParamTbl,2,0),0)/100),""))</f>
        <v/>
      </c>
      <c r="O37" s="74" t="n"/>
      <c r="P37" s="76">
        <f>IF(OR($E37="",$L37=""),"",IFERROR(IF(VLOOKUP($E37,OpTbl,6,0)="وزن",ROUND($N37*$O37,-3),IF(VLOOKUP($E37,OpTbl,6,0)="مبلغ",ROUND($L37*$O37,-3),0)),""))</f>
        <v/>
      </c>
      <c r="Q37" s="74" t="n"/>
      <c r="R37" s="71" t="n"/>
      <c r="S37" s="77">
        <f>IF($E37="","",IF($AI37="⚠","⚠ ناتراز",IF(AND(IFERROR(VLOOKUP($E37,OpTbl,4,0),"")="بله",$L37=""),"⚠ وزن",IF(AND(IFERROR(VLOOKUP($E37,OpTbl,5,0),"")="بله",$U37=""),"⚠ حساب",IF(AND(IFERROR(VLOOKUP($E37,OpTbl,6,0),"")="مبلغ",$Q37=""),"⚠ مبلغ","✓")))))</f>
        <v/>
      </c>
      <c r="T37" s="72" t="n"/>
      <c r="U37" s="70">
        <f>IF($E37="","",IFERROR(IF(VLOOKUP($E37,OpTbl,14,0)&lt;&gt;"",VLOOKUP($E37,OpTbl,14,0),$G37),""))</f>
        <v/>
      </c>
      <c r="V37" s="76">
        <f>IF(OR($AJ37="",$AJ37=0,$AL37&lt;&gt;"بدهکار"),"",$AJ37)</f>
        <v/>
      </c>
      <c r="W37" s="76">
        <f>IF(OR($AJ37="",$AJ37=0,$AL37&lt;&gt;"بستانکار"),"",$AJ37)</f>
        <v/>
      </c>
      <c r="X37" s="70">
        <f>IF($E37="","",IFERROR(VLOOKUP($E37,OpTbl,8,0),""))</f>
        <v/>
      </c>
      <c r="Y37" s="76">
        <f>IF(OR($X37="",$AJ37="",$AJ37=0,$AM37&lt;&gt;"بدهکار"),"",$AJ37)</f>
        <v/>
      </c>
      <c r="Z37" s="76">
        <f>IF(OR($X37="",$AJ37="",$AJ37=0,$AM37&lt;&gt;"بستانکار"),"",$AJ37)</f>
        <v/>
      </c>
      <c r="AA37" s="70">
        <f>IF(OR($E37="",$AN37="—",$AN37=""),"",IFERROR(VLOOKUP($E37,OpTbl,12,0),""))</f>
        <v/>
      </c>
      <c r="AB37" s="76">
        <f>IF(OR($AA37="",$Q37="",$Q37=0,$AN37&lt;&gt;"بدهکار"),"",$Q37)</f>
        <v/>
      </c>
      <c r="AC37" s="76">
        <f>IF(OR($AA37="",$Q37="",$Q37=0,$AN37&lt;&gt;"بستانکار"),"",$Q37)</f>
        <v/>
      </c>
      <c r="AD37" s="70">
        <f>IF($AA37="","",IFERROR(VLOOKUP($E37,OpTbl,13,0),""))</f>
        <v/>
      </c>
      <c r="AE37" s="76">
        <f>IF(OR($AD37="",$Q37="",$Q37=0,$AN37&lt;&gt;"بستانکار"),"",$Q37)</f>
        <v/>
      </c>
      <c r="AF37" s="76">
        <f>IF(OR($AD37="",$Q37="",$Q37=0,$AN37&lt;&gt;"بدهکار"),"",$Q37)</f>
        <v/>
      </c>
      <c r="AG37" s="76">
        <f>SUM($V37,$Y37,$AB37,$AE37)</f>
        <v/>
      </c>
      <c r="AH37" s="76">
        <f>SUM($W37,$Z37,$AC37,$AF37)</f>
        <v/>
      </c>
      <c r="AI37" s="70">
        <f>IF($E37="","",IF(ROUND($AG37-$AH37,0)=0,"✓","⚠"))</f>
        <v/>
      </c>
      <c r="AJ37" s="76">
        <f>IF(OR($E37="",$U37=""),"",IFERROR(IF(VLOOKUP($E37,OpTbl,6,0)="وزن",IF($P37="",0,$P37),IF(VLOOKUP($E37,OpTbl,6,0)="مبلغ",IF(AND($Q37&lt;&gt;"",$Q37&lt;&gt;0),$Q37,$P37),0))+IF(VLOOKUP($E37,OpTbl,10,0)="افزودن",IF($Q37="",0,$Q37),0),0))</f>
        <v/>
      </c>
      <c r="AK37" s="70">
        <f>IF($E37="","",IFERROR(VLOOKUP($E37,OpTbl,10,0),""))</f>
        <v/>
      </c>
      <c r="AL37" s="70">
        <f>IF(OR($E37="",$U37=""),"",IFERROR(IF(VLOOKUP($E37,OpTbl,7,0)="خودکار",$R37,VLOOKUP($E37,OpTbl,7,0)),""))</f>
        <v/>
      </c>
      <c r="AM37" s="70">
        <f>IF(OR($E37="",$X37=""),"",IFERROR(IF(VLOOKUP($E37,OpTbl,9,0)="خودکار",IF($AL37="بدهکار","بستانکار",IF($AL37="بستانکار","بدهکار","")),VLOOKUP($E37,OpTbl,9,0)),""))</f>
        <v/>
      </c>
      <c r="AN37" s="70">
        <f>IF($E37="","",IFERROR(VLOOKUP($E37,OpTbl,11,0),""))</f>
        <v/>
      </c>
      <c r="AO37" s="70">
        <f>IF($B37="","",MID($B37,6,2))</f>
        <v/>
      </c>
      <c r="AP37" s="76">
        <f>IF($B37="",0,1)</f>
        <v/>
      </c>
    </row>
    <row r="38" ht="21.75" customHeight="1">
      <c r="A38" s="70">
        <f>IF($B38="","",COUNTA($B$10:$B38))</f>
        <v/>
      </c>
      <c r="B38" s="71" t="n"/>
      <c r="C38" s="71" t="n"/>
      <c r="D38" s="71" t="n"/>
      <c r="E38" s="71" t="n"/>
      <c r="F38" s="70">
        <f>IF($E38="","",IFERROR(VLOOKUP($E38,OpTbl,2,0),""))</f>
        <v/>
      </c>
      <c r="G38" s="71" t="n"/>
      <c r="H38" s="73">
        <f>IF($U38="","",IFERROR(VLOOKUP($U38,AcctTbl,2,0),"کد ناشناخته"))</f>
        <v/>
      </c>
      <c r="I38" s="70">
        <f>IF($U38="","",IFERROR(VLOOKUP($U38,AcctTbl,3,0),""))</f>
        <v/>
      </c>
      <c r="J38" s="72" t="n"/>
      <c r="K38" s="71" t="n"/>
      <c r="L38" s="74" t="n"/>
      <c r="M38" s="74" t="n"/>
      <c r="N38" s="148">
        <f>IF(OR($E38="",$L38=""),"",IFERROR(($L38-IF($M38="",0,$M38)*IFERROR(VLOOKUP($K38,BasketTbl,4,0),IFERROR(INDEX(BasketTbl,MATCH($K38,BasketCodeCol,0),4),VLOOKUP("P01",ParamTbl,2,0))))*(1-IF(VLOOKUP($E38,OpTbl,3,0)="خرید",VLOOKUP("P02",ParamTbl,2,0),0)/100),""))</f>
        <v/>
      </c>
      <c r="O38" s="74" t="n"/>
      <c r="P38" s="76">
        <f>IF(OR($E38="",$L38=""),"",IFERROR(IF(VLOOKUP($E38,OpTbl,6,0)="وزن",ROUND($N38*$O38,-3),IF(VLOOKUP($E38,OpTbl,6,0)="مبلغ",ROUND($L38*$O38,-3),0)),""))</f>
        <v/>
      </c>
      <c r="Q38" s="74" t="n"/>
      <c r="R38" s="71" t="n"/>
      <c r="S38" s="77">
        <f>IF($E38="","",IF($AI38="⚠","⚠ ناتراز",IF(AND(IFERROR(VLOOKUP($E38,OpTbl,4,0),"")="بله",$L38=""),"⚠ وزن",IF(AND(IFERROR(VLOOKUP($E38,OpTbl,5,0),"")="بله",$U38=""),"⚠ حساب",IF(AND(IFERROR(VLOOKUP($E38,OpTbl,6,0),"")="مبلغ",$Q38=""),"⚠ مبلغ","✓")))))</f>
        <v/>
      </c>
      <c r="T38" s="72" t="n"/>
      <c r="U38" s="70">
        <f>IF($E38="","",IFERROR(IF(VLOOKUP($E38,OpTbl,14,0)&lt;&gt;"",VLOOKUP($E38,OpTbl,14,0),$G38),""))</f>
        <v/>
      </c>
      <c r="V38" s="76">
        <f>IF(OR($AJ38="",$AJ38=0,$AL38&lt;&gt;"بدهکار"),"",$AJ38)</f>
        <v/>
      </c>
      <c r="W38" s="76">
        <f>IF(OR($AJ38="",$AJ38=0,$AL38&lt;&gt;"بستانکار"),"",$AJ38)</f>
        <v/>
      </c>
      <c r="X38" s="70">
        <f>IF($E38="","",IFERROR(VLOOKUP($E38,OpTbl,8,0),""))</f>
        <v/>
      </c>
      <c r="Y38" s="76">
        <f>IF(OR($X38="",$AJ38="",$AJ38=0,$AM38&lt;&gt;"بدهکار"),"",$AJ38)</f>
        <v/>
      </c>
      <c r="Z38" s="76">
        <f>IF(OR($X38="",$AJ38="",$AJ38=0,$AM38&lt;&gt;"بستانکار"),"",$AJ38)</f>
        <v/>
      </c>
      <c r="AA38" s="70">
        <f>IF(OR($E38="",$AN38="—",$AN38=""),"",IFERROR(VLOOKUP($E38,OpTbl,12,0),""))</f>
        <v/>
      </c>
      <c r="AB38" s="76">
        <f>IF(OR($AA38="",$Q38="",$Q38=0,$AN38&lt;&gt;"بدهکار"),"",$Q38)</f>
        <v/>
      </c>
      <c r="AC38" s="76">
        <f>IF(OR($AA38="",$Q38="",$Q38=0,$AN38&lt;&gt;"بستانکار"),"",$Q38)</f>
        <v/>
      </c>
      <c r="AD38" s="70">
        <f>IF($AA38="","",IFERROR(VLOOKUP($E38,OpTbl,13,0),""))</f>
        <v/>
      </c>
      <c r="AE38" s="76">
        <f>IF(OR($AD38="",$Q38="",$Q38=0,$AN38&lt;&gt;"بستانکار"),"",$Q38)</f>
        <v/>
      </c>
      <c r="AF38" s="76">
        <f>IF(OR($AD38="",$Q38="",$Q38=0,$AN38&lt;&gt;"بدهکار"),"",$Q38)</f>
        <v/>
      </c>
      <c r="AG38" s="76">
        <f>SUM($V38,$Y38,$AB38,$AE38)</f>
        <v/>
      </c>
      <c r="AH38" s="76">
        <f>SUM($W38,$Z38,$AC38,$AF38)</f>
        <v/>
      </c>
      <c r="AI38" s="70">
        <f>IF($E38="","",IF(ROUND($AG38-$AH38,0)=0,"✓","⚠"))</f>
        <v/>
      </c>
      <c r="AJ38" s="76">
        <f>IF(OR($E38="",$U38=""),"",IFERROR(IF(VLOOKUP($E38,OpTbl,6,0)="وزن",IF($P38="",0,$P38),IF(VLOOKUP($E38,OpTbl,6,0)="مبلغ",IF(AND($Q38&lt;&gt;"",$Q38&lt;&gt;0),$Q38,$P38),0))+IF(VLOOKUP($E38,OpTbl,10,0)="افزودن",IF($Q38="",0,$Q38),0),0))</f>
        <v/>
      </c>
      <c r="AK38" s="70">
        <f>IF($E38="","",IFERROR(VLOOKUP($E38,OpTbl,10,0),""))</f>
        <v/>
      </c>
      <c r="AL38" s="70">
        <f>IF(OR($E38="",$U38=""),"",IFERROR(IF(VLOOKUP($E38,OpTbl,7,0)="خودکار",$R38,VLOOKUP($E38,OpTbl,7,0)),""))</f>
        <v/>
      </c>
      <c r="AM38" s="70">
        <f>IF(OR($E38="",$X38=""),"",IFERROR(IF(VLOOKUP($E38,OpTbl,9,0)="خودکار",IF($AL38="بدهکار","بستانکار",IF($AL38="بستانکار","بدهکار","")),VLOOKUP($E38,OpTbl,9,0)),""))</f>
        <v/>
      </c>
      <c r="AN38" s="70">
        <f>IF($E38="","",IFERROR(VLOOKUP($E38,OpTbl,11,0),""))</f>
        <v/>
      </c>
      <c r="AO38" s="70">
        <f>IF($B38="","",MID($B38,6,2))</f>
        <v/>
      </c>
      <c r="AP38" s="76">
        <f>IF($B38="",0,1)</f>
        <v/>
      </c>
    </row>
    <row r="39" ht="21.75" customHeight="1">
      <c r="A39" s="70">
        <f>IF($B39="","",COUNTA($B$10:$B39))</f>
        <v/>
      </c>
      <c r="B39" s="71" t="n"/>
      <c r="C39" s="71" t="n"/>
      <c r="D39" s="71" t="n"/>
      <c r="E39" s="71" t="n"/>
      <c r="F39" s="70">
        <f>IF($E39="","",IFERROR(VLOOKUP($E39,OpTbl,2,0),""))</f>
        <v/>
      </c>
      <c r="G39" s="71" t="n"/>
      <c r="H39" s="73">
        <f>IF($U39="","",IFERROR(VLOOKUP($U39,AcctTbl,2,0),"کد ناشناخته"))</f>
        <v/>
      </c>
      <c r="I39" s="70">
        <f>IF($U39="","",IFERROR(VLOOKUP($U39,AcctTbl,3,0),""))</f>
        <v/>
      </c>
      <c r="J39" s="72" t="n"/>
      <c r="K39" s="71" t="n"/>
      <c r="L39" s="74" t="n"/>
      <c r="M39" s="74" t="n"/>
      <c r="N39" s="148">
        <f>IF(OR($E39="",$L39=""),"",IFERROR(($L39-IF($M39="",0,$M39)*IFERROR(VLOOKUP($K39,BasketTbl,4,0),IFERROR(INDEX(BasketTbl,MATCH($K39,BasketCodeCol,0),4),VLOOKUP("P01",ParamTbl,2,0))))*(1-IF(VLOOKUP($E39,OpTbl,3,0)="خرید",VLOOKUP("P02",ParamTbl,2,0),0)/100),""))</f>
        <v/>
      </c>
      <c r="O39" s="74" t="n"/>
      <c r="P39" s="76">
        <f>IF(OR($E39="",$L39=""),"",IFERROR(IF(VLOOKUP($E39,OpTbl,6,0)="وزن",ROUND($N39*$O39,-3),IF(VLOOKUP($E39,OpTbl,6,0)="مبلغ",ROUND($L39*$O39,-3),0)),""))</f>
        <v/>
      </c>
      <c r="Q39" s="74" t="n"/>
      <c r="R39" s="71" t="n"/>
      <c r="S39" s="77">
        <f>IF($E39="","",IF($AI39="⚠","⚠ ناتراز",IF(AND(IFERROR(VLOOKUP($E39,OpTbl,4,0),"")="بله",$L39=""),"⚠ وزن",IF(AND(IFERROR(VLOOKUP($E39,OpTbl,5,0),"")="بله",$U39=""),"⚠ حساب",IF(AND(IFERROR(VLOOKUP($E39,OpTbl,6,0),"")="مبلغ",$Q39=""),"⚠ مبلغ","✓")))))</f>
        <v/>
      </c>
      <c r="T39" s="72" t="n"/>
      <c r="U39" s="70">
        <f>IF($E39="","",IFERROR(IF(VLOOKUP($E39,OpTbl,14,0)&lt;&gt;"",VLOOKUP($E39,OpTbl,14,0),$G39),""))</f>
        <v/>
      </c>
      <c r="V39" s="76">
        <f>IF(OR($AJ39="",$AJ39=0,$AL39&lt;&gt;"بدهکار"),"",$AJ39)</f>
        <v/>
      </c>
      <c r="W39" s="76">
        <f>IF(OR($AJ39="",$AJ39=0,$AL39&lt;&gt;"بستانکار"),"",$AJ39)</f>
        <v/>
      </c>
      <c r="X39" s="70">
        <f>IF($E39="","",IFERROR(VLOOKUP($E39,OpTbl,8,0),""))</f>
        <v/>
      </c>
      <c r="Y39" s="76">
        <f>IF(OR($X39="",$AJ39="",$AJ39=0,$AM39&lt;&gt;"بدهکار"),"",$AJ39)</f>
        <v/>
      </c>
      <c r="Z39" s="76">
        <f>IF(OR($X39="",$AJ39="",$AJ39=0,$AM39&lt;&gt;"بستانکار"),"",$AJ39)</f>
        <v/>
      </c>
      <c r="AA39" s="70">
        <f>IF(OR($E39="",$AN39="—",$AN39=""),"",IFERROR(VLOOKUP($E39,OpTbl,12,0),""))</f>
        <v/>
      </c>
      <c r="AB39" s="76">
        <f>IF(OR($AA39="",$Q39="",$Q39=0,$AN39&lt;&gt;"بدهکار"),"",$Q39)</f>
        <v/>
      </c>
      <c r="AC39" s="76">
        <f>IF(OR($AA39="",$Q39="",$Q39=0,$AN39&lt;&gt;"بستانکار"),"",$Q39)</f>
        <v/>
      </c>
      <c r="AD39" s="70">
        <f>IF($AA39="","",IFERROR(VLOOKUP($E39,OpTbl,13,0),""))</f>
        <v/>
      </c>
      <c r="AE39" s="76">
        <f>IF(OR($AD39="",$Q39="",$Q39=0,$AN39&lt;&gt;"بستانکار"),"",$Q39)</f>
        <v/>
      </c>
      <c r="AF39" s="76">
        <f>IF(OR($AD39="",$Q39="",$Q39=0,$AN39&lt;&gt;"بدهکار"),"",$Q39)</f>
        <v/>
      </c>
      <c r="AG39" s="76">
        <f>SUM($V39,$Y39,$AB39,$AE39)</f>
        <v/>
      </c>
      <c r="AH39" s="76">
        <f>SUM($W39,$Z39,$AC39,$AF39)</f>
        <v/>
      </c>
      <c r="AI39" s="70">
        <f>IF($E39="","",IF(ROUND($AG39-$AH39,0)=0,"✓","⚠"))</f>
        <v/>
      </c>
      <c r="AJ39" s="76">
        <f>IF(OR($E39="",$U39=""),"",IFERROR(IF(VLOOKUP($E39,OpTbl,6,0)="وزن",IF($P39="",0,$P39),IF(VLOOKUP($E39,OpTbl,6,0)="مبلغ",IF(AND($Q39&lt;&gt;"",$Q39&lt;&gt;0),$Q39,$P39),0))+IF(VLOOKUP($E39,OpTbl,10,0)="افزودن",IF($Q39="",0,$Q39),0),0))</f>
        <v/>
      </c>
      <c r="AK39" s="70">
        <f>IF($E39="","",IFERROR(VLOOKUP($E39,OpTbl,10,0),""))</f>
        <v/>
      </c>
      <c r="AL39" s="70">
        <f>IF(OR($E39="",$U39=""),"",IFERROR(IF(VLOOKUP($E39,OpTbl,7,0)="خودکار",$R39,VLOOKUP($E39,OpTbl,7,0)),""))</f>
        <v/>
      </c>
      <c r="AM39" s="70">
        <f>IF(OR($E39="",$X39=""),"",IFERROR(IF(VLOOKUP($E39,OpTbl,9,0)="خودکار",IF($AL39="بدهکار","بستانکار",IF($AL39="بستانکار","بدهکار","")),VLOOKUP($E39,OpTbl,9,0)),""))</f>
        <v/>
      </c>
      <c r="AN39" s="70">
        <f>IF($E39="","",IFERROR(VLOOKUP($E39,OpTbl,11,0),""))</f>
        <v/>
      </c>
      <c r="AO39" s="70">
        <f>IF($B39="","",MID($B39,6,2))</f>
        <v/>
      </c>
      <c r="AP39" s="76">
        <f>IF($B39="",0,1)</f>
        <v/>
      </c>
    </row>
    <row r="40" ht="21.75" customHeight="1">
      <c r="A40" s="70">
        <f>IF($B40="","",COUNTA($B$10:$B40))</f>
        <v/>
      </c>
      <c r="B40" s="71" t="n"/>
      <c r="C40" s="71" t="n"/>
      <c r="D40" s="71" t="n"/>
      <c r="E40" s="71" t="n"/>
      <c r="F40" s="70">
        <f>IF($E40="","",IFERROR(VLOOKUP($E40,OpTbl,2,0),""))</f>
        <v/>
      </c>
      <c r="G40" s="71" t="n"/>
      <c r="H40" s="73">
        <f>IF($U40="","",IFERROR(VLOOKUP($U40,AcctTbl,2,0),"کد ناشناخته"))</f>
        <v/>
      </c>
      <c r="I40" s="70">
        <f>IF($U40="","",IFERROR(VLOOKUP($U40,AcctTbl,3,0),""))</f>
        <v/>
      </c>
      <c r="J40" s="72" t="n"/>
      <c r="K40" s="71" t="n"/>
      <c r="L40" s="74" t="n"/>
      <c r="M40" s="74" t="n"/>
      <c r="N40" s="148">
        <f>IF(OR($E40="",$L40=""),"",IFERROR(($L40-IF($M40="",0,$M40)*IFERROR(VLOOKUP($K40,BasketTbl,4,0),IFERROR(INDEX(BasketTbl,MATCH($K40,BasketCodeCol,0),4),VLOOKUP("P01",ParamTbl,2,0))))*(1-IF(VLOOKUP($E40,OpTbl,3,0)="خرید",VLOOKUP("P02",ParamTbl,2,0),0)/100),""))</f>
        <v/>
      </c>
      <c r="O40" s="74" t="n"/>
      <c r="P40" s="76">
        <f>IF(OR($E40="",$L40=""),"",IFERROR(IF(VLOOKUP($E40,OpTbl,6,0)="وزن",ROUND($N40*$O40,-3),IF(VLOOKUP($E40,OpTbl,6,0)="مبلغ",ROUND($L40*$O40,-3),0)),""))</f>
        <v/>
      </c>
      <c r="Q40" s="74" t="n"/>
      <c r="R40" s="71" t="n"/>
      <c r="S40" s="77">
        <f>IF($E40="","",IF($AI40="⚠","⚠ ناتراز",IF(AND(IFERROR(VLOOKUP($E40,OpTbl,4,0),"")="بله",$L40=""),"⚠ وزن",IF(AND(IFERROR(VLOOKUP($E40,OpTbl,5,0),"")="بله",$U40=""),"⚠ حساب",IF(AND(IFERROR(VLOOKUP($E40,OpTbl,6,0),"")="مبلغ",$Q40=""),"⚠ مبلغ","✓")))))</f>
        <v/>
      </c>
      <c r="T40" s="72" t="n"/>
      <c r="U40" s="70">
        <f>IF($E40="","",IFERROR(IF(VLOOKUP($E40,OpTbl,14,0)&lt;&gt;"",VLOOKUP($E40,OpTbl,14,0),$G40),""))</f>
        <v/>
      </c>
      <c r="V40" s="76">
        <f>IF(OR($AJ40="",$AJ40=0,$AL40&lt;&gt;"بدهکار"),"",$AJ40)</f>
        <v/>
      </c>
      <c r="W40" s="76">
        <f>IF(OR($AJ40="",$AJ40=0,$AL40&lt;&gt;"بستانکار"),"",$AJ40)</f>
        <v/>
      </c>
      <c r="X40" s="70">
        <f>IF($E40="","",IFERROR(VLOOKUP($E40,OpTbl,8,0),""))</f>
        <v/>
      </c>
      <c r="Y40" s="76">
        <f>IF(OR($X40="",$AJ40="",$AJ40=0,$AM40&lt;&gt;"بدهکار"),"",$AJ40)</f>
        <v/>
      </c>
      <c r="Z40" s="76">
        <f>IF(OR($X40="",$AJ40="",$AJ40=0,$AM40&lt;&gt;"بستانکار"),"",$AJ40)</f>
        <v/>
      </c>
      <c r="AA40" s="70">
        <f>IF(OR($E40="",$AN40="—",$AN40=""),"",IFERROR(VLOOKUP($E40,OpTbl,12,0),""))</f>
        <v/>
      </c>
      <c r="AB40" s="76">
        <f>IF(OR($AA40="",$Q40="",$Q40=0,$AN40&lt;&gt;"بدهکار"),"",$Q40)</f>
        <v/>
      </c>
      <c r="AC40" s="76">
        <f>IF(OR($AA40="",$Q40="",$Q40=0,$AN40&lt;&gt;"بستانکار"),"",$Q40)</f>
        <v/>
      </c>
      <c r="AD40" s="70">
        <f>IF($AA40="","",IFERROR(VLOOKUP($E40,OpTbl,13,0),""))</f>
        <v/>
      </c>
      <c r="AE40" s="76">
        <f>IF(OR($AD40="",$Q40="",$Q40=0,$AN40&lt;&gt;"بستانکار"),"",$Q40)</f>
        <v/>
      </c>
      <c r="AF40" s="76">
        <f>IF(OR($AD40="",$Q40="",$Q40=0,$AN40&lt;&gt;"بدهکار"),"",$Q40)</f>
        <v/>
      </c>
      <c r="AG40" s="76">
        <f>SUM($V40,$Y40,$AB40,$AE40)</f>
        <v/>
      </c>
      <c r="AH40" s="76">
        <f>SUM($W40,$Z40,$AC40,$AF40)</f>
        <v/>
      </c>
      <c r="AI40" s="70">
        <f>IF($E40="","",IF(ROUND($AG40-$AH40,0)=0,"✓","⚠"))</f>
        <v/>
      </c>
      <c r="AJ40" s="76">
        <f>IF(OR($E40="",$U40=""),"",IFERROR(IF(VLOOKUP($E40,OpTbl,6,0)="وزن",IF($P40="",0,$P40),IF(VLOOKUP($E40,OpTbl,6,0)="مبلغ",IF(AND($Q40&lt;&gt;"",$Q40&lt;&gt;0),$Q40,$P40),0))+IF(VLOOKUP($E40,OpTbl,10,0)="افزودن",IF($Q40="",0,$Q40),0),0))</f>
        <v/>
      </c>
      <c r="AK40" s="70">
        <f>IF($E40="","",IFERROR(VLOOKUP($E40,OpTbl,10,0),""))</f>
        <v/>
      </c>
      <c r="AL40" s="70">
        <f>IF(OR($E40="",$U40=""),"",IFERROR(IF(VLOOKUP($E40,OpTbl,7,0)="خودکار",$R40,VLOOKUP($E40,OpTbl,7,0)),""))</f>
        <v/>
      </c>
      <c r="AM40" s="70">
        <f>IF(OR($E40="",$X40=""),"",IFERROR(IF(VLOOKUP($E40,OpTbl,9,0)="خودکار",IF($AL40="بدهکار","بستانکار",IF($AL40="بستانکار","بدهکار","")),VLOOKUP($E40,OpTbl,9,0)),""))</f>
        <v/>
      </c>
      <c r="AN40" s="70">
        <f>IF($E40="","",IFERROR(VLOOKUP($E40,OpTbl,11,0),""))</f>
        <v/>
      </c>
      <c r="AO40" s="70">
        <f>IF($B40="","",MID($B40,6,2))</f>
        <v/>
      </c>
      <c r="AP40" s="76">
        <f>IF($B40="",0,1)</f>
        <v/>
      </c>
    </row>
    <row r="41" ht="21.75" customHeight="1">
      <c r="A41" s="70">
        <f>IF($B41="","",COUNTA($B$10:$B41))</f>
        <v/>
      </c>
      <c r="B41" s="71" t="n"/>
      <c r="C41" s="71" t="n"/>
      <c r="D41" s="71" t="n"/>
      <c r="E41" s="71" t="n"/>
      <c r="F41" s="70">
        <f>IF($E41="","",IFERROR(VLOOKUP($E41,OpTbl,2,0),""))</f>
        <v/>
      </c>
      <c r="G41" s="71" t="n"/>
      <c r="H41" s="73">
        <f>IF($U41="","",IFERROR(VLOOKUP($U41,AcctTbl,2,0),"کد ناشناخته"))</f>
        <v/>
      </c>
      <c r="I41" s="70">
        <f>IF($U41="","",IFERROR(VLOOKUP($U41,AcctTbl,3,0),""))</f>
        <v/>
      </c>
      <c r="J41" s="72" t="n"/>
      <c r="K41" s="71" t="n"/>
      <c r="L41" s="74" t="n"/>
      <c r="M41" s="74" t="n"/>
      <c r="N41" s="148">
        <f>IF(OR($E41="",$L41=""),"",IFERROR(($L41-IF($M41="",0,$M41)*IFERROR(VLOOKUP($K41,BasketTbl,4,0),IFERROR(INDEX(BasketTbl,MATCH($K41,BasketCodeCol,0),4),VLOOKUP("P01",ParamTbl,2,0))))*(1-IF(VLOOKUP($E41,OpTbl,3,0)="خرید",VLOOKUP("P02",ParamTbl,2,0),0)/100),""))</f>
        <v/>
      </c>
      <c r="O41" s="74" t="n"/>
      <c r="P41" s="76">
        <f>IF(OR($E41="",$L41=""),"",IFERROR(IF(VLOOKUP($E41,OpTbl,6,0)="وزن",ROUND($N41*$O41,-3),IF(VLOOKUP($E41,OpTbl,6,0)="مبلغ",ROUND($L41*$O41,-3),0)),""))</f>
        <v/>
      </c>
      <c r="Q41" s="74" t="n"/>
      <c r="R41" s="71" t="n"/>
      <c r="S41" s="77">
        <f>IF($E41="","",IF($AI41="⚠","⚠ ناتراز",IF(AND(IFERROR(VLOOKUP($E41,OpTbl,4,0),"")="بله",$L41=""),"⚠ وزن",IF(AND(IFERROR(VLOOKUP($E41,OpTbl,5,0),"")="بله",$U41=""),"⚠ حساب",IF(AND(IFERROR(VLOOKUP($E41,OpTbl,6,0),"")="مبلغ",$Q41=""),"⚠ مبلغ","✓")))))</f>
        <v/>
      </c>
      <c r="T41" s="72" t="n"/>
      <c r="U41" s="70">
        <f>IF($E41="","",IFERROR(IF(VLOOKUP($E41,OpTbl,14,0)&lt;&gt;"",VLOOKUP($E41,OpTbl,14,0),$G41),""))</f>
        <v/>
      </c>
      <c r="V41" s="76">
        <f>IF(OR($AJ41="",$AJ41=0,$AL41&lt;&gt;"بدهکار"),"",$AJ41)</f>
        <v/>
      </c>
      <c r="W41" s="76">
        <f>IF(OR($AJ41="",$AJ41=0,$AL41&lt;&gt;"بستانکار"),"",$AJ41)</f>
        <v/>
      </c>
      <c r="X41" s="70">
        <f>IF($E41="","",IFERROR(VLOOKUP($E41,OpTbl,8,0),""))</f>
        <v/>
      </c>
      <c r="Y41" s="76">
        <f>IF(OR($X41="",$AJ41="",$AJ41=0,$AM41&lt;&gt;"بدهکار"),"",$AJ41)</f>
        <v/>
      </c>
      <c r="Z41" s="76">
        <f>IF(OR($X41="",$AJ41="",$AJ41=0,$AM41&lt;&gt;"بستانکار"),"",$AJ41)</f>
        <v/>
      </c>
      <c r="AA41" s="70">
        <f>IF(OR($E41="",$AN41="—",$AN41=""),"",IFERROR(VLOOKUP($E41,OpTbl,12,0),""))</f>
        <v/>
      </c>
      <c r="AB41" s="76">
        <f>IF(OR($AA41="",$Q41="",$Q41=0,$AN41&lt;&gt;"بدهکار"),"",$Q41)</f>
        <v/>
      </c>
      <c r="AC41" s="76">
        <f>IF(OR($AA41="",$Q41="",$Q41=0,$AN41&lt;&gt;"بستانکار"),"",$Q41)</f>
        <v/>
      </c>
      <c r="AD41" s="70">
        <f>IF($AA41="","",IFERROR(VLOOKUP($E41,OpTbl,13,0),""))</f>
        <v/>
      </c>
      <c r="AE41" s="76">
        <f>IF(OR($AD41="",$Q41="",$Q41=0,$AN41&lt;&gt;"بستانکار"),"",$Q41)</f>
        <v/>
      </c>
      <c r="AF41" s="76">
        <f>IF(OR($AD41="",$Q41="",$Q41=0,$AN41&lt;&gt;"بدهکار"),"",$Q41)</f>
        <v/>
      </c>
      <c r="AG41" s="76">
        <f>SUM($V41,$Y41,$AB41,$AE41)</f>
        <v/>
      </c>
      <c r="AH41" s="76">
        <f>SUM($W41,$Z41,$AC41,$AF41)</f>
        <v/>
      </c>
      <c r="AI41" s="70">
        <f>IF($E41="","",IF(ROUND($AG41-$AH41,0)=0,"✓","⚠"))</f>
        <v/>
      </c>
      <c r="AJ41" s="76">
        <f>IF(OR($E41="",$U41=""),"",IFERROR(IF(VLOOKUP($E41,OpTbl,6,0)="وزن",IF($P41="",0,$P41),IF(VLOOKUP($E41,OpTbl,6,0)="مبلغ",IF(AND($Q41&lt;&gt;"",$Q41&lt;&gt;0),$Q41,$P41),0))+IF(VLOOKUP($E41,OpTbl,10,0)="افزودن",IF($Q41="",0,$Q41),0),0))</f>
        <v/>
      </c>
      <c r="AK41" s="70">
        <f>IF($E41="","",IFERROR(VLOOKUP($E41,OpTbl,10,0),""))</f>
        <v/>
      </c>
      <c r="AL41" s="70">
        <f>IF(OR($E41="",$U41=""),"",IFERROR(IF(VLOOKUP($E41,OpTbl,7,0)="خودکار",$R41,VLOOKUP($E41,OpTbl,7,0)),""))</f>
        <v/>
      </c>
      <c r="AM41" s="70">
        <f>IF(OR($E41="",$X41=""),"",IFERROR(IF(VLOOKUP($E41,OpTbl,9,0)="خودکار",IF($AL41="بدهکار","بستانکار",IF($AL41="بستانکار","بدهکار","")),VLOOKUP($E41,OpTbl,9,0)),""))</f>
        <v/>
      </c>
      <c r="AN41" s="70">
        <f>IF($E41="","",IFERROR(VLOOKUP($E41,OpTbl,11,0),""))</f>
        <v/>
      </c>
      <c r="AO41" s="70">
        <f>IF($B41="","",MID($B41,6,2))</f>
        <v/>
      </c>
      <c r="AP41" s="76">
        <f>IF($B41="",0,1)</f>
        <v/>
      </c>
    </row>
    <row r="42" ht="21.75" customHeight="1">
      <c r="A42" s="70">
        <f>IF($B42="","",COUNTA($B$10:$B42))</f>
        <v/>
      </c>
      <c r="B42" s="71" t="n"/>
      <c r="C42" s="71" t="n"/>
      <c r="D42" s="71" t="n"/>
      <c r="E42" s="71" t="n"/>
      <c r="F42" s="70">
        <f>IF($E42="","",IFERROR(VLOOKUP($E42,OpTbl,2,0),""))</f>
        <v/>
      </c>
      <c r="G42" s="71" t="n"/>
      <c r="H42" s="73">
        <f>IF($U42="","",IFERROR(VLOOKUP($U42,AcctTbl,2,0),"کد ناشناخته"))</f>
        <v/>
      </c>
      <c r="I42" s="70">
        <f>IF($U42="","",IFERROR(VLOOKUP($U42,AcctTbl,3,0),""))</f>
        <v/>
      </c>
      <c r="J42" s="72" t="n"/>
      <c r="K42" s="71" t="n"/>
      <c r="L42" s="74" t="n"/>
      <c r="M42" s="74" t="n"/>
      <c r="N42" s="148">
        <f>IF(OR($E42="",$L42=""),"",IFERROR(($L42-IF($M42="",0,$M42)*IFERROR(VLOOKUP($K42,BasketTbl,4,0),IFERROR(INDEX(BasketTbl,MATCH($K42,BasketCodeCol,0),4),VLOOKUP("P01",ParamTbl,2,0))))*(1-IF(VLOOKUP($E42,OpTbl,3,0)="خرید",VLOOKUP("P02",ParamTbl,2,0),0)/100),""))</f>
        <v/>
      </c>
      <c r="O42" s="74" t="n"/>
      <c r="P42" s="76">
        <f>IF(OR($E42="",$L42=""),"",IFERROR(IF(VLOOKUP($E42,OpTbl,6,0)="وزن",ROUND($N42*$O42,-3),IF(VLOOKUP($E42,OpTbl,6,0)="مبلغ",ROUND($L42*$O42,-3),0)),""))</f>
        <v/>
      </c>
      <c r="Q42" s="74" t="n"/>
      <c r="R42" s="71" t="n"/>
      <c r="S42" s="77">
        <f>IF($E42="","",IF($AI42="⚠","⚠ ناتراز",IF(AND(IFERROR(VLOOKUP($E42,OpTbl,4,0),"")="بله",$L42=""),"⚠ وزن",IF(AND(IFERROR(VLOOKUP($E42,OpTbl,5,0),"")="بله",$U42=""),"⚠ حساب",IF(AND(IFERROR(VLOOKUP($E42,OpTbl,6,0),"")="مبلغ",$Q42=""),"⚠ مبلغ","✓")))))</f>
        <v/>
      </c>
      <c r="T42" s="72" t="n"/>
      <c r="U42" s="70">
        <f>IF($E42="","",IFERROR(IF(VLOOKUP($E42,OpTbl,14,0)&lt;&gt;"",VLOOKUP($E42,OpTbl,14,0),$G42),""))</f>
        <v/>
      </c>
      <c r="V42" s="76">
        <f>IF(OR($AJ42="",$AJ42=0,$AL42&lt;&gt;"بدهکار"),"",$AJ42)</f>
        <v/>
      </c>
      <c r="W42" s="76">
        <f>IF(OR($AJ42="",$AJ42=0,$AL42&lt;&gt;"بستانکار"),"",$AJ42)</f>
        <v/>
      </c>
      <c r="X42" s="70">
        <f>IF($E42="","",IFERROR(VLOOKUP($E42,OpTbl,8,0),""))</f>
        <v/>
      </c>
      <c r="Y42" s="76">
        <f>IF(OR($X42="",$AJ42="",$AJ42=0,$AM42&lt;&gt;"بدهکار"),"",$AJ42)</f>
        <v/>
      </c>
      <c r="Z42" s="76">
        <f>IF(OR($X42="",$AJ42="",$AJ42=0,$AM42&lt;&gt;"بستانکار"),"",$AJ42)</f>
        <v/>
      </c>
      <c r="AA42" s="70">
        <f>IF(OR($E42="",$AN42="—",$AN42=""),"",IFERROR(VLOOKUP($E42,OpTbl,12,0),""))</f>
        <v/>
      </c>
      <c r="AB42" s="76">
        <f>IF(OR($AA42="",$Q42="",$Q42=0,$AN42&lt;&gt;"بدهکار"),"",$Q42)</f>
        <v/>
      </c>
      <c r="AC42" s="76">
        <f>IF(OR($AA42="",$Q42="",$Q42=0,$AN42&lt;&gt;"بستانکار"),"",$Q42)</f>
        <v/>
      </c>
      <c r="AD42" s="70">
        <f>IF($AA42="","",IFERROR(VLOOKUP($E42,OpTbl,13,0),""))</f>
        <v/>
      </c>
      <c r="AE42" s="76">
        <f>IF(OR($AD42="",$Q42="",$Q42=0,$AN42&lt;&gt;"بستانکار"),"",$Q42)</f>
        <v/>
      </c>
      <c r="AF42" s="76">
        <f>IF(OR($AD42="",$Q42="",$Q42=0,$AN42&lt;&gt;"بدهکار"),"",$Q42)</f>
        <v/>
      </c>
      <c r="AG42" s="76">
        <f>SUM($V42,$Y42,$AB42,$AE42)</f>
        <v/>
      </c>
      <c r="AH42" s="76">
        <f>SUM($W42,$Z42,$AC42,$AF42)</f>
        <v/>
      </c>
      <c r="AI42" s="70">
        <f>IF($E42="","",IF(ROUND($AG42-$AH42,0)=0,"✓","⚠"))</f>
        <v/>
      </c>
      <c r="AJ42" s="76">
        <f>IF(OR($E42="",$U42=""),"",IFERROR(IF(VLOOKUP($E42,OpTbl,6,0)="وزن",IF($P42="",0,$P42),IF(VLOOKUP($E42,OpTbl,6,0)="مبلغ",IF(AND($Q42&lt;&gt;"",$Q42&lt;&gt;0),$Q42,$P42),0))+IF(VLOOKUP($E42,OpTbl,10,0)="افزودن",IF($Q42="",0,$Q42),0),0))</f>
        <v/>
      </c>
      <c r="AK42" s="70">
        <f>IF($E42="","",IFERROR(VLOOKUP($E42,OpTbl,10,0),""))</f>
        <v/>
      </c>
      <c r="AL42" s="70">
        <f>IF(OR($E42="",$U42=""),"",IFERROR(IF(VLOOKUP($E42,OpTbl,7,0)="خودکار",$R42,VLOOKUP($E42,OpTbl,7,0)),""))</f>
        <v/>
      </c>
      <c r="AM42" s="70">
        <f>IF(OR($E42="",$X42=""),"",IFERROR(IF(VLOOKUP($E42,OpTbl,9,0)="خودکار",IF($AL42="بدهکار","بستانکار",IF($AL42="بستانکار","بدهکار","")),VLOOKUP($E42,OpTbl,9,0)),""))</f>
        <v/>
      </c>
      <c r="AN42" s="70">
        <f>IF($E42="","",IFERROR(VLOOKUP($E42,OpTbl,11,0),""))</f>
        <v/>
      </c>
      <c r="AO42" s="70">
        <f>IF($B42="","",MID($B42,6,2))</f>
        <v/>
      </c>
      <c r="AP42" s="76">
        <f>IF($B42="",0,1)</f>
        <v/>
      </c>
    </row>
    <row r="43" ht="21.75" customHeight="1">
      <c r="A43" s="70">
        <f>IF($B43="","",COUNTA($B$10:$B43))</f>
        <v/>
      </c>
      <c r="B43" s="71" t="n"/>
      <c r="C43" s="71" t="n"/>
      <c r="D43" s="71" t="n"/>
      <c r="E43" s="71" t="n"/>
      <c r="F43" s="70">
        <f>IF($E43="","",IFERROR(VLOOKUP($E43,OpTbl,2,0),""))</f>
        <v/>
      </c>
      <c r="G43" s="71" t="n"/>
      <c r="H43" s="73">
        <f>IF($U43="","",IFERROR(VLOOKUP($U43,AcctTbl,2,0),"کد ناشناخته"))</f>
        <v/>
      </c>
      <c r="I43" s="70">
        <f>IF($U43="","",IFERROR(VLOOKUP($U43,AcctTbl,3,0),""))</f>
        <v/>
      </c>
      <c r="J43" s="72" t="n"/>
      <c r="K43" s="71" t="n"/>
      <c r="L43" s="74" t="n"/>
      <c r="M43" s="74" t="n"/>
      <c r="N43" s="148">
        <f>IF(OR($E43="",$L43=""),"",IFERROR(($L43-IF($M43="",0,$M43)*IFERROR(VLOOKUP($K43,BasketTbl,4,0),IFERROR(INDEX(BasketTbl,MATCH($K43,BasketCodeCol,0),4),VLOOKUP("P01",ParamTbl,2,0))))*(1-IF(VLOOKUP($E43,OpTbl,3,0)="خرید",VLOOKUP("P02",ParamTbl,2,0),0)/100),""))</f>
        <v/>
      </c>
      <c r="O43" s="74" t="n"/>
      <c r="P43" s="76">
        <f>IF(OR($E43="",$L43=""),"",IFERROR(IF(VLOOKUP($E43,OpTbl,6,0)="وزن",ROUND($N43*$O43,-3),IF(VLOOKUP($E43,OpTbl,6,0)="مبلغ",ROUND($L43*$O43,-3),0)),""))</f>
        <v/>
      </c>
      <c r="Q43" s="74" t="n"/>
      <c r="R43" s="71" t="n"/>
      <c r="S43" s="77">
        <f>IF($E43="","",IF($AI43="⚠","⚠ ناتراز",IF(AND(IFERROR(VLOOKUP($E43,OpTbl,4,0),"")="بله",$L43=""),"⚠ وزن",IF(AND(IFERROR(VLOOKUP($E43,OpTbl,5,0),"")="بله",$U43=""),"⚠ حساب",IF(AND(IFERROR(VLOOKUP($E43,OpTbl,6,0),"")="مبلغ",$Q43=""),"⚠ مبلغ","✓")))))</f>
        <v/>
      </c>
      <c r="T43" s="72" t="n"/>
      <c r="U43" s="70">
        <f>IF($E43="","",IFERROR(IF(VLOOKUP($E43,OpTbl,14,0)&lt;&gt;"",VLOOKUP($E43,OpTbl,14,0),$G43),""))</f>
        <v/>
      </c>
      <c r="V43" s="76">
        <f>IF(OR($AJ43="",$AJ43=0,$AL43&lt;&gt;"بدهکار"),"",$AJ43)</f>
        <v/>
      </c>
      <c r="W43" s="76">
        <f>IF(OR($AJ43="",$AJ43=0,$AL43&lt;&gt;"بستانکار"),"",$AJ43)</f>
        <v/>
      </c>
      <c r="X43" s="70">
        <f>IF($E43="","",IFERROR(VLOOKUP($E43,OpTbl,8,0),""))</f>
        <v/>
      </c>
      <c r="Y43" s="76">
        <f>IF(OR($X43="",$AJ43="",$AJ43=0,$AM43&lt;&gt;"بدهکار"),"",$AJ43)</f>
        <v/>
      </c>
      <c r="Z43" s="76">
        <f>IF(OR($X43="",$AJ43="",$AJ43=0,$AM43&lt;&gt;"بستانکار"),"",$AJ43)</f>
        <v/>
      </c>
      <c r="AA43" s="70">
        <f>IF(OR($E43="",$AN43="—",$AN43=""),"",IFERROR(VLOOKUP($E43,OpTbl,12,0),""))</f>
        <v/>
      </c>
      <c r="AB43" s="76">
        <f>IF(OR($AA43="",$Q43="",$Q43=0,$AN43&lt;&gt;"بدهکار"),"",$Q43)</f>
        <v/>
      </c>
      <c r="AC43" s="76">
        <f>IF(OR($AA43="",$Q43="",$Q43=0,$AN43&lt;&gt;"بستانکار"),"",$Q43)</f>
        <v/>
      </c>
      <c r="AD43" s="70">
        <f>IF($AA43="","",IFERROR(VLOOKUP($E43,OpTbl,13,0),""))</f>
        <v/>
      </c>
      <c r="AE43" s="76">
        <f>IF(OR($AD43="",$Q43="",$Q43=0,$AN43&lt;&gt;"بستانکار"),"",$Q43)</f>
        <v/>
      </c>
      <c r="AF43" s="76">
        <f>IF(OR($AD43="",$Q43="",$Q43=0,$AN43&lt;&gt;"بدهکار"),"",$Q43)</f>
        <v/>
      </c>
      <c r="AG43" s="76">
        <f>SUM($V43,$Y43,$AB43,$AE43)</f>
        <v/>
      </c>
      <c r="AH43" s="76">
        <f>SUM($W43,$Z43,$AC43,$AF43)</f>
        <v/>
      </c>
      <c r="AI43" s="70">
        <f>IF($E43="","",IF(ROUND($AG43-$AH43,0)=0,"✓","⚠"))</f>
        <v/>
      </c>
      <c r="AJ43" s="76">
        <f>IF(OR($E43="",$U43=""),"",IFERROR(IF(VLOOKUP($E43,OpTbl,6,0)="وزن",IF($P43="",0,$P43),IF(VLOOKUP($E43,OpTbl,6,0)="مبلغ",IF(AND($Q43&lt;&gt;"",$Q43&lt;&gt;0),$Q43,$P43),0))+IF(VLOOKUP($E43,OpTbl,10,0)="افزودن",IF($Q43="",0,$Q43),0),0))</f>
        <v/>
      </c>
      <c r="AK43" s="70">
        <f>IF($E43="","",IFERROR(VLOOKUP($E43,OpTbl,10,0),""))</f>
        <v/>
      </c>
      <c r="AL43" s="70">
        <f>IF(OR($E43="",$U43=""),"",IFERROR(IF(VLOOKUP($E43,OpTbl,7,0)="خودکار",$R43,VLOOKUP($E43,OpTbl,7,0)),""))</f>
        <v/>
      </c>
      <c r="AM43" s="70">
        <f>IF(OR($E43="",$X43=""),"",IFERROR(IF(VLOOKUP($E43,OpTbl,9,0)="خودکار",IF($AL43="بدهکار","بستانکار",IF($AL43="بستانکار","بدهکار","")),VLOOKUP($E43,OpTbl,9,0)),""))</f>
        <v/>
      </c>
      <c r="AN43" s="70">
        <f>IF($E43="","",IFERROR(VLOOKUP($E43,OpTbl,11,0),""))</f>
        <v/>
      </c>
      <c r="AO43" s="70">
        <f>IF($B43="","",MID($B43,6,2))</f>
        <v/>
      </c>
      <c r="AP43" s="76">
        <f>IF($B43="",0,1)</f>
        <v/>
      </c>
    </row>
    <row r="44" ht="21.75" customHeight="1">
      <c r="A44" s="70">
        <f>IF($B44="","",COUNTA($B$10:$B44))</f>
        <v/>
      </c>
      <c r="B44" s="71" t="n"/>
      <c r="C44" s="71" t="n"/>
      <c r="D44" s="71" t="n"/>
      <c r="E44" s="71" t="n"/>
      <c r="F44" s="70">
        <f>IF($E44="","",IFERROR(VLOOKUP($E44,OpTbl,2,0),""))</f>
        <v/>
      </c>
      <c r="G44" s="71" t="n"/>
      <c r="H44" s="73">
        <f>IF($U44="","",IFERROR(VLOOKUP($U44,AcctTbl,2,0),"کد ناشناخته"))</f>
        <v/>
      </c>
      <c r="I44" s="70">
        <f>IF($U44="","",IFERROR(VLOOKUP($U44,AcctTbl,3,0),""))</f>
        <v/>
      </c>
      <c r="J44" s="72" t="n"/>
      <c r="K44" s="71" t="n"/>
      <c r="L44" s="74" t="n"/>
      <c r="M44" s="74" t="n"/>
      <c r="N44" s="148">
        <f>IF(OR($E44="",$L44=""),"",IFERROR(($L44-IF($M44="",0,$M44)*IFERROR(VLOOKUP($K44,BasketTbl,4,0),IFERROR(INDEX(BasketTbl,MATCH($K44,BasketCodeCol,0),4),VLOOKUP("P01",ParamTbl,2,0))))*(1-IF(VLOOKUP($E44,OpTbl,3,0)="خرید",VLOOKUP("P02",ParamTbl,2,0),0)/100),""))</f>
        <v/>
      </c>
      <c r="O44" s="74" t="n"/>
      <c r="P44" s="76">
        <f>IF(OR($E44="",$L44=""),"",IFERROR(IF(VLOOKUP($E44,OpTbl,6,0)="وزن",ROUND($N44*$O44,-3),IF(VLOOKUP($E44,OpTbl,6,0)="مبلغ",ROUND($L44*$O44,-3),0)),""))</f>
        <v/>
      </c>
      <c r="Q44" s="74" t="n"/>
      <c r="R44" s="71" t="n"/>
      <c r="S44" s="77">
        <f>IF($E44="","",IF($AI44="⚠","⚠ ناتراز",IF(AND(IFERROR(VLOOKUP($E44,OpTbl,4,0),"")="بله",$L44=""),"⚠ وزن",IF(AND(IFERROR(VLOOKUP($E44,OpTbl,5,0),"")="بله",$U44=""),"⚠ حساب",IF(AND(IFERROR(VLOOKUP($E44,OpTbl,6,0),"")="مبلغ",$Q44=""),"⚠ مبلغ","✓")))))</f>
        <v/>
      </c>
      <c r="T44" s="72" t="n"/>
      <c r="U44" s="70">
        <f>IF($E44="","",IFERROR(IF(VLOOKUP($E44,OpTbl,14,0)&lt;&gt;"",VLOOKUP($E44,OpTbl,14,0),$G44),""))</f>
        <v/>
      </c>
      <c r="V44" s="76">
        <f>IF(OR($AJ44="",$AJ44=0,$AL44&lt;&gt;"بدهکار"),"",$AJ44)</f>
        <v/>
      </c>
      <c r="W44" s="76">
        <f>IF(OR($AJ44="",$AJ44=0,$AL44&lt;&gt;"بستانکار"),"",$AJ44)</f>
        <v/>
      </c>
      <c r="X44" s="70">
        <f>IF($E44="","",IFERROR(VLOOKUP($E44,OpTbl,8,0),""))</f>
        <v/>
      </c>
      <c r="Y44" s="76">
        <f>IF(OR($X44="",$AJ44="",$AJ44=0,$AM44&lt;&gt;"بدهکار"),"",$AJ44)</f>
        <v/>
      </c>
      <c r="Z44" s="76">
        <f>IF(OR($X44="",$AJ44="",$AJ44=0,$AM44&lt;&gt;"بستانکار"),"",$AJ44)</f>
        <v/>
      </c>
      <c r="AA44" s="70">
        <f>IF(OR($E44="",$AN44="—",$AN44=""),"",IFERROR(VLOOKUP($E44,OpTbl,12,0),""))</f>
        <v/>
      </c>
      <c r="AB44" s="76">
        <f>IF(OR($AA44="",$Q44="",$Q44=0,$AN44&lt;&gt;"بدهکار"),"",$Q44)</f>
        <v/>
      </c>
      <c r="AC44" s="76">
        <f>IF(OR($AA44="",$Q44="",$Q44=0,$AN44&lt;&gt;"بستانکار"),"",$Q44)</f>
        <v/>
      </c>
      <c r="AD44" s="70">
        <f>IF($AA44="","",IFERROR(VLOOKUP($E44,OpTbl,13,0),""))</f>
        <v/>
      </c>
      <c r="AE44" s="76">
        <f>IF(OR($AD44="",$Q44="",$Q44=0,$AN44&lt;&gt;"بستانکار"),"",$Q44)</f>
        <v/>
      </c>
      <c r="AF44" s="76">
        <f>IF(OR($AD44="",$Q44="",$Q44=0,$AN44&lt;&gt;"بدهکار"),"",$Q44)</f>
        <v/>
      </c>
      <c r="AG44" s="76">
        <f>SUM($V44,$Y44,$AB44,$AE44)</f>
        <v/>
      </c>
      <c r="AH44" s="76">
        <f>SUM($W44,$Z44,$AC44,$AF44)</f>
        <v/>
      </c>
      <c r="AI44" s="70">
        <f>IF($E44="","",IF(ROUND($AG44-$AH44,0)=0,"✓","⚠"))</f>
        <v/>
      </c>
      <c r="AJ44" s="76">
        <f>IF(OR($E44="",$U44=""),"",IFERROR(IF(VLOOKUP($E44,OpTbl,6,0)="وزن",IF($P44="",0,$P44),IF(VLOOKUP($E44,OpTbl,6,0)="مبلغ",IF(AND($Q44&lt;&gt;"",$Q44&lt;&gt;0),$Q44,$P44),0))+IF(VLOOKUP($E44,OpTbl,10,0)="افزودن",IF($Q44="",0,$Q44),0),0))</f>
        <v/>
      </c>
      <c r="AK44" s="70">
        <f>IF($E44="","",IFERROR(VLOOKUP($E44,OpTbl,10,0),""))</f>
        <v/>
      </c>
      <c r="AL44" s="70">
        <f>IF(OR($E44="",$U44=""),"",IFERROR(IF(VLOOKUP($E44,OpTbl,7,0)="خودکار",$R44,VLOOKUP($E44,OpTbl,7,0)),""))</f>
        <v/>
      </c>
      <c r="AM44" s="70">
        <f>IF(OR($E44="",$X44=""),"",IFERROR(IF(VLOOKUP($E44,OpTbl,9,0)="خودکار",IF($AL44="بدهکار","بستانکار",IF($AL44="بستانکار","بدهکار","")),VLOOKUP($E44,OpTbl,9,0)),""))</f>
        <v/>
      </c>
      <c r="AN44" s="70">
        <f>IF($E44="","",IFERROR(VLOOKUP($E44,OpTbl,11,0),""))</f>
        <v/>
      </c>
      <c r="AO44" s="70">
        <f>IF($B44="","",MID($B44,6,2))</f>
        <v/>
      </c>
      <c r="AP44" s="76">
        <f>IF($B44="",0,1)</f>
        <v/>
      </c>
    </row>
    <row r="45" ht="21.75" customHeight="1">
      <c r="A45" s="70">
        <f>IF($B45="","",COUNTA($B$10:$B45))</f>
        <v/>
      </c>
      <c r="B45" s="71" t="n"/>
      <c r="C45" s="71" t="n"/>
      <c r="D45" s="71" t="n"/>
      <c r="E45" s="71" t="n"/>
      <c r="F45" s="70">
        <f>IF($E45="","",IFERROR(VLOOKUP($E45,OpTbl,2,0),""))</f>
        <v/>
      </c>
      <c r="G45" s="71" t="n"/>
      <c r="H45" s="73">
        <f>IF($U45="","",IFERROR(VLOOKUP($U45,AcctTbl,2,0),"کد ناشناخته"))</f>
        <v/>
      </c>
      <c r="I45" s="70">
        <f>IF($U45="","",IFERROR(VLOOKUP($U45,AcctTbl,3,0),""))</f>
        <v/>
      </c>
      <c r="J45" s="72" t="n"/>
      <c r="K45" s="71" t="n"/>
      <c r="L45" s="74" t="n"/>
      <c r="M45" s="74" t="n"/>
      <c r="N45" s="148">
        <f>IF(OR($E45="",$L45=""),"",IFERROR(($L45-IF($M45="",0,$M45)*IFERROR(VLOOKUP($K45,BasketTbl,4,0),IFERROR(INDEX(BasketTbl,MATCH($K45,BasketCodeCol,0),4),VLOOKUP("P01",ParamTbl,2,0))))*(1-IF(VLOOKUP($E45,OpTbl,3,0)="خرید",VLOOKUP("P02",ParamTbl,2,0),0)/100),""))</f>
        <v/>
      </c>
      <c r="O45" s="74" t="n"/>
      <c r="P45" s="76">
        <f>IF(OR($E45="",$L45=""),"",IFERROR(IF(VLOOKUP($E45,OpTbl,6,0)="وزن",ROUND($N45*$O45,-3),IF(VLOOKUP($E45,OpTbl,6,0)="مبلغ",ROUND($L45*$O45,-3),0)),""))</f>
        <v/>
      </c>
      <c r="Q45" s="74" t="n"/>
      <c r="R45" s="71" t="n"/>
      <c r="S45" s="77">
        <f>IF($E45="","",IF($AI45="⚠","⚠ ناتراز",IF(AND(IFERROR(VLOOKUP($E45,OpTbl,4,0),"")="بله",$L45=""),"⚠ وزن",IF(AND(IFERROR(VLOOKUP($E45,OpTbl,5,0),"")="بله",$U45=""),"⚠ حساب",IF(AND(IFERROR(VLOOKUP($E45,OpTbl,6,0),"")="مبلغ",$Q45=""),"⚠ مبلغ","✓")))))</f>
        <v/>
      </c>
      <c r="T45" s="72" t="n"/>
      <c r="U45" s="70">
        <f>IF($E45="","",IFERROR(IF(VLOOKUP($E45,OpTbl,14,0)&lt;&gt;"",VLOOKUP($E45,OpTbl,14,0),$G45),""))</f>
        <v/>
      </c>
      <c r="V45" s="76">
        <f>IF(OR($AJ45="",$AJ45=0,$AL45&lt;&gt;"بدهکار"),"",$AJ45)</f>
        <v/>
      </c>
      <c r="W45" s="76">
        <f>IF(OR($AJ45="",$AJ45=0,$AL45&lt;&gt;"بستانکار"),"",$AJ45)</f>
        <v/>
      </c>
      <c r="X45" s="70">
        <f>IF($E45="","",IFERROR(VLOOKUP($E45,OpTbl,8,0),""))</f>
        <v/>
      </c>
      <c r="Y45" s="76">
        <f>IF(OR($X45="",$AJ45="",$AJ45=0,$AM45&lt;&gt;"بدهکار"),"",$AJ45)</f>
        <v/>
      </c>
      <c r="Z45" s="76">
        <f>IF(OR($X45="",$AJ45="",$AJ45=0,$AM45&lt;&gt;"بستانکار"),"",$AJ45)</f>
        <v/>
      </c>
      <c r="AA45" s="70">
        <f>IF(OR($E45="",$AN45="—",$AN45=""),"",IFERROR(VLOOKUP($E45,OpTbl,12,0),""))</f>
        <v/>
      </c>
      <c r="AB45" s="76">
        <f>IF(OR($AA45="",$Q45="",$Q45=0,$AN45&lt;&gt;"بدهکار"),"",$Q45)</f>
        <v/>
      </c>
      <c r="AC45" s="76">
        <f>IF(OR($AA45="",$Q45="",$Q45=0,$AN45&lt;&gt;"بستانکار"),"",$Q45)</f>
        <v/>
      </c>
      <c r="AD45" s="70">
        <f>IF($AA45="","",IFERROR(VLOOKUP($E45,OpTbl,13,0),""))</f>
        <v/>
      </c>
      <c r="AE45" s="76">
        <f>IF(OR($AD45="",$Q45="",$Q45=0,$AN45&lt;&gt;"بستانکار"),"",$Q45)</f>
        <v/>
      </c>
      <c r="AF45" s="76">
        <f>IF(OR($AD45="",$Q45="",$Q45=0,$AN45&lt;&gt;"بدهکار"),"",$Q45)</f>
        <v/>
      </c>
      <c r="AG45" s="76">
        <f>SUM($V45,$Y45,$AB45,$AE45)</f>
        <v/>
      </c>
      <c r="AH45" s="76">
        <f>SUM($W45,$Z45,$AC45,$AF45)</f>
        <v/>
      </c>
      <c r="AI45" s="70">
        <f>IF($E45="","",IF(ROUND($AG45-$AH45,0)=0,"✓","⚠"))</f>
        <v/>
      </c>
      <c r="AJ45" s="76">
        <f>IF(OR($E45="",$U45=""),"",IFERROR(IF(VLOOKUP($E45,OpTbl,6,0)="وزن",IF($P45="",0,$P45),IF(VLOOKUP($E45,OpTbl,6,0)="مبلغ",IF(AND($Q45&lt;&gt;"",$Q45&lt;&gt;0),$Q45,$P45),0))+IF(VLOOKUP($E45,OpTbl,10,0)="افزودن",IF($Q45="",0,$Q45),0),0))</f>
        <v/>
      </c>
      <c r="AK45" s="70">
        <f>IF($E45="","",IFERROR(VLOOKUP($E45,OpTbl,10,0),""))</f>
        <v/>
      </c>
      <c r="AL45" s="70">
        <f>IF(OR($E45="",$U45=""),"",IFERROR(IF(VLOOKUP($E45,OpTbl,7,0)="خودکار",$R45,VLOOKUP($E45,OpTbl,7,0)),""))</f>
        <v/>
      </c>
      <c r="AM45" s="70">
        <f>IF(OR($E45="",$X45=""),"",IFERROR(IF(VLOOKUP($E45,OpTbl,9,0)="خودکار",IF($AL45="بدهکار","بستانکار",IF($AL45="بستانکار","بدهکار","")),VLOOKUP($E45,OpTbl,9,0)),""))</f>
        <v/>
      </c>
      <c r="AN45" s="70">
        <f>IF($E45="","",IFERROR(VLOOKUP($E45,OpTbl,11,0),""))</f>
        <v/>
      </c>
      <c r="AO45" s="70">
        <f>IF($B45="","",MID($B45,6,2))</f>
        <v/>
      </c>
      <c r="AP45" s="76">
        <f>IF($B45="",0,1)</f>
        <v/>
      </c>
    </row>
    <row r="46" ht="21.75" customHeight="1">
      <c r="A46" s="70">
        <f>IF($B46="","",COUNTA($B$10:$B46))</f>
        <v/>
      </c>
      <c r="B46" s="71" t="n"/>
      <c r="C46" s="71" t="n"/>
      <c r="D46" s="71" t="n"/>
      <c r="E46" s="71" t="n"/>
      <c r="F46" s="70">
        <f>IF($E46="","",IFERROR(VLOOKUP($E46,OpTbl,2,0),""))</f>
        <v/>
      </c>
      <c r="G46" s="71" t="n"/>
      <c r="H46" s="73">
        <f>IF($U46="","",IFERROR(VLOOKUP($U46,AcctTbl,2,0),"کد ناشناخته"))</f>
        <v/>
      </c>
      <c r="I46" s="70">
        <f>IF($U46="","",IFERROR(VLOOKUP($U46,AcctTbl,3,0),""))</f>
        <v/>
      </c>
      <c r="J46" s="72" t="n"/>
      <c r="K46" s="71" t="n"/>
      <c r="L46" s="74" t="n"/>
      <c r="M46" s="74" t="n"/>
      <c r="N46" s="148">
        <f>IF(OR($E46="",$L46=""),"",IFERROR(($L46-IF($M46="",0,$M46)*IFERROR(VLOOKUP($K46,BasketTbl,4,0),IFERROR(INDEX(BasketTbl,MATCH($K46,BasketCodeCol,0),4),VLOOKUP("P01",ParamTbl,2,0))))*(1-IF(VLOOKUP($E46,OpTbl,3,0)="خرید",VLOOKUP("P02",ParamTbl,2,0),0)/100),""))</f>
        <v/>
      </c>
      <c r="O46" s="74" t="n"/>
      <c r="P46" s="76">
        <f>IF(OR($E46="",$L46=""),"",IFERROR(IF(VLOOKUP($E46,OpTbl,6,0)="وزن",ROUND($N46*$O46,-3),IF(VLOOKUP($E46,OpTbl,6,0)="مبلغ",ROUND($L46*$O46,-3),0)),""))</f>
        <v/>
      </c>
      <c r="Q46" s="74" t="n"/>
      <c r="R46" s="71" t="n"/>
      <c r="S46" s="77">
        <f>IF($E46="","",IF($AI46="⚠","⚠ ناتراز",IF(AND(IFERROR(VLOOKUP($E46,OpTbl,4,0),"")="بله",$L46=""),"⚠ وزن",IF(AND(IFERROR(VLOOKUP($E46,OpTbl,5,0),"")="بله",$U46=""),"⚠ حساب",IF(AND(IFERROR(VLOOKUP($E46,OpTbl,6,0),"")="مبلغ",$Q46=""),"⚠ مبلغ","✓")))))</f>
        <v/>
      </c>
      <c r="T46" s="72" t="n"/>
      <c r="U46" s="70">
        <f>IF($E46="","",IFERROR(IF(VLOOKUP($E46,OpTbl,14,0)&lt;&gt;"",VLOOKUP($E46,OpTbl,14,0),$G46),""))</f>
        <v/>
      </c>
      <c r="V46" s="76">
        <f>IF(OR($AJ46="",$AJ46=0,$AL46&lt;&gt;"بدهکار"),"",$AJ46)</f>
        <v/>
      </c>
      <c r="W46" s="76">
        <f>IF(OR($AJ46="",$AJ46=0,$AL46&lt;&gt;"بستانکار"),"",$AJ46)</f>
        <v/>
      </c>
      <c r="X46" s="70">
        <f>IF($E46="","",IFERROR(VLOOKUP($E46,OpTbl,8,0),""))</f>
        <v/>
      </c>
      <c r="Y46" s="76">
        <f>IF(OR($X46="",$AJ46="",$AJ46=0,$AM46&lt;&gt;"بدهکار"),"",$AJ46)</f>
        <v/>
      </c>
      <c r="Z46" s="76">
        <f>IF(OR($X46="",$AJ46="",$AJ46=0,$AM46&lt;&gt;"بستانکار"),"",$AJ46)</f>
        <v/>
      </c>
      <c r="AA46" s="70">
        <f>IF(OR($E46="",$AN46="—",$AN46=""),"",IFERROR(VLOOKUP($E46,OpTbl,12,0),""))</f>
        <v/>
      </c>
      <c r="AB46" s="76">
        <f>IF(OR($AA46="",$Q46="",$Q46=0,$AN46&lt;&gt;"بدهکار"),"",$Q46)</f>
        <v/>
      </c>
      <c r="AC46" s="76">
        <f>IF(OR($AA46="",$Q46="",$Q46=0,$AN46&lt;&gt;"بستانکار"),"",$Q46)</f>
        <v/>
      </c>
      <c r="AD46" s="70">
        <f>IF($AA46="","",IFERROR(VLOOKUP($E46,OpTbl,13,0),""))</f>
        <v/>
      </c>
      <c r="AE46" s="76">
        <f>IF(OR($AD46="",$Q46="",$Q46=0,$AN46&lt;&gt;"بستانکار"),"",$Q46)</f>
        <v/>
      </c>
      <c r="AF46" s="76">
        <f>IF(OR($AD46="",$Q46="",$Q46=0,$AN46&lt;&gt;"بدهکار"),"",$Q46)</f>
        <v/>
      </c>
      <c r="AG46" s="76">
        <f>SUM($V46,$Y46,$AB46,$AE46)</f>
        <v/>
      </c>
      <c r="AH46" s="76">
        <f>SUM($W46,$Z46,$AC46,$AF46)</f>
        <v/>
      </c>
      <c r="AI46" s="70">
        <f>IF($E46="","",IF(ROUND($AG46-$AH46,0)=0,"✓","⚠"))</f>
        <v/>
      </c>
      <c r="AJ46" s="76">
        <f>IF(OR($E46="",$U46=""),"",IFERROR(IF(VLOOKUP($E46,OpTbl,6,0)="وزن",IF($P46="",0,$P46),IF(VLOOKUP($E46,OpTbl,6,0)="مبلغ",IF(AND($Q46&lt;&gt;"",$Q46&lt;&gt;0),$Q46,$P46),0))+IF(VLOOKUP($E46,OpTbl,10,0)="افزودن",IF($Q46="",0,$Q46),0),0))</f>
        <v/>
      </c>
      <c r="AK46" s="70">
        <f>IF($E46="","",IFERROR(VLOOKUP($E46,OpTbl,10,0),""))</f>
        <v/>
      </c>
      <c r="AL46" s="70">
        <f>IF(OR($E46="",$U46=""),"",IFERROR(IF(VLOOKUP($E46,OpTbl,7,0)="خودکار",$R46,VLOOKUP($E46,OpTbl,7,0)),""))</f>
        <v/>
      </c>
      <c r="AM46" s="70">
        <f>IF(OR($E46="",$X46=""),"",IFERROR(IF(VLOOKUP($E46,OpTbl,9,0)="خودکار",IF($AL46="بدهکار","بستانکار",IF($AL46="بستانکار","بدهکار","")),VLOOKUP($E46,OpTbl,9,0)),""))</f>
        <v/>
      </c>
      <c r="AN46" s="70">
        <f>IF($E46="","",IFERROR(VLOOKUP($E46,OpTbl,11,0),""))</f>
        <v/>
      </c>
      <c r="AO46" s="70">
        <f>IF($B46="","",MID($B46,6,2))</f>
        <v/>
      </c>
      <c r="AP46" s="76">
        <f>IF($B46="",0,1)</f>
        <v/>
      </c>
    </row>
    <row r="47" ht="21.75" customHeight="1">
      <c r="A47" s="70">
        <f>IF($B47="","",COUNTA($B$10:$B47))</f>
        <v/>
      </c>
      <c r="B47" s="71" t="n"/>
      <c r="C47" s="71" t="n"/>
      <c r="D47" s="71" t="n"/>
      <c r="E47" s="71" t="n"/>
      <c r="F47" s="70">
        <f>IF($E47="","",IFERROR(VLOOKUP($E47,OpTbl,2,0),""))</f>
        <v/>
      </c>
      <c r="G47" s="71" t="n"/>
      <c r="H47" s="73">
        <f>IF($U47="","",IFERROR(VLOOKUP($U47,AcctTbl,2,0),"کد ناشناخته"))</f>
        <v/>
      </c>
      <c r="I47" s="70">
        <f>IF($U47="","",IFERROR(VLOOKUP($U47,AcctTbl,3,0),""))</f>
        <v/>
      </c>
      <c r="J47" s="72" t="n"/>
      <c r="K47" s="71" t="n"/>
      <c r="L47" s="74" t="n"/>
      <c r="M47" s="74" t="n"/>
      <c r="N47" s="148">
        <f>IF(OR($E47="",$L47=""),"",IFERROR(($L47-IF($M47="",0,$M47)*IFERROR(VLOOKUP($K47,BasketTbl,4,0),IFERROR(INDEX(BasketTbl,MATCH($K47,BasketCodeCol,0),4),VLOOKUP("P01",ParamTbl,2,0))))*(1-IF(VLOOKUP($E47,OpTbl,3,0)="خرید",VLOOKUP("P02",ParamTbl,2,0),0)/100),""))</f>
        <v/>
      </c>
      <c r="O47" s="74" t="n"/>
      <c r="P47" s="76">
        <f>IF(OR($E47="",$L47=""),"",IFERROR(IF(VLOOKUP($E47,OpTbl,6,0)="وزن",ROUND($N47*$O47,-3),IF(VLOOKUP($E47,OpTbl,6,0)="مبلغ",ROUND($L47*$O47,-3),0)),""))</f>
        <v/>
      </c>
      <c r="Q47" s="74" t="n"/>
      <c r="R47" s="71" t="n"/>
      <c r="S47" s="77">
        <f>IF($E47="","",IF($AI47="⚠","⚠ ناتراز",IF(AND(IFERROR(VLOOKUP($E47,OpTbl,4,0),"")="بله",$L47=""),"⚠ وزن",IF(AND(IFERROR(VLOOKUP($E47,OpTbl,5,0),"")="بله",$U47=""),"⚠ حساب",IF(AND(IFERROR(VLOOKUP($E47,OpTbl,6,0),"")="مبلغ",$Q47=""),"⚠ مبلغ","✓")))))</f>
        <v/>
      </c>
      <c r="T47" s="72" t="n"/>
      <c r="U47" s="70">
        <f>IF($E47="","",IFERROR(IF(VLOOKUP($E47,OpTbl,14,0)&lt;&gt;"",VLOOKUP($E47,OpTbl,14,0),$G47),""))</f>
        <v/>
      </c>
      <c r="V47" s="76">
        <f>IF(OR($AJ47="",$AJ47=0,$AL47&lt;&gt;"بدهکار"),"",$AJ47)</f>
        <v/>
      </c>
      <c r="W47" s="76">
        <f>IF(OR($AJ47="",$AJ47=0,$AL47&lt;&gt;"بستانکار"),"",$AJ47)</f>
        <v/>
      </c>
      <c r="X47" s="70">
        <f>IF($E47="","",IFERROR(VLOOKUP($E47,OpTbl,8,0),""))</f>
        <v/>
      </c>
      <c r="Y47" s="76">
        <f>IF(OR($X47="",$AJ47="",$AJ47=0,$AM47&lt;&gt;"بدهکار"),"",$AJ47)</f>
        <v/>
      </c>
      <c r="Z47" s="76">
        <f>IF(OR($X47="",$AJ47="",$AJ47=0,$AM47&lt;&gt;"بستانکار"),"",$AJ47)</f>
        <v/>
      </c>
      <c r="AA47" s="70">
        <f>IF(OR($E47="",$AN47="—",$AN47=""),"",IFERROR(VLOOKUP($E47,OpTbl,12,0),""))</f>
        <v/>
      </c>
      <c r="AB47" s="76">
        <f>IF(OR($AA47="",$Q47="",$Q47=0,$AN47&lt;&gt;"بدهکار"),"",$Q47)</f>
        <v/>
      </c>
      <c r="AC47" s="76">
        <f>IF(OR($AA47="",$Q47="",$Q47=0,$AN47&lt;&gt;"بستانکار"),"",$Q47)</f>
        <v/>
      </c>
      <c r="AD47" s="70">
        <f>IF($AA47="","",IFERROR(VLOOKUP($E47,OpTbl,13,0),""))</f>
        <v/>
      </c>
      <c r="AE47" s="76">
        <f>IF(OR($AD47="",$Q47="",$Q47=0,$AN47&lt;&gt;"بستانکار"),"",$Q47)</f>
        <v/>
      </c>
      <c r="AF47" s="76">
        <f>IF(OR($AD47="",$Q47="",$Q47=0,$AN47&lt;&gt;"بدهکار"),"",$Q47)</f>
        <v/>
      </c>
      <c r="AG47" s="76">
        <f>SUM($V47,$Y47,$AB47,$AE47)</f>
        <v/>
      </c>
      <c r="AH47" s="76">
        <f>SUM($W47,$Z47,$AC47,$AF47)</f>
        <v/>
      </c>
      <c r="AI47" s="70">
        <f>IF($E47="","",IF(ROUND($AG47-$AH47,0)=0,"✓","⚠"))</f>
        <v/>
      </c>
      <c r="AJ47" s="76">
        <f>IF(OR($E47="",$U47=""),"",IFERROR(IF(VLOOKUP($E47,OpTbl,6,0)="وزن",IF($P47="",0,$P47),IF(VLOOKUP($E47,OpTbl,6,0)="مبلغ",IF(AND($Q47&lt;&gt;"",$Q47&lt;&gt;0),$Q47,$P47),0))+IF(VLOOKUP($E47,OpTbl,10,0)="افزودن",IF($Q47="",0,$Q47),0),0))</f>
        <v/>
      </c>
      <c r="AK47" s="70">
        <f>IF($E47="","",IFERROR(VLOOKUP($E47,OpTbl,10,0),""))</f>
        <v/>
      </c>
      <c r="AL47" s="70">
        <f>IF(OR($E47="",$U47=""),"",IFERROR(IF(VLOOKUP($E47,OpTbl,7,0)="خودکار",$R47,VLOOKUP($E47,OpTbl,7,0)),""))</f>
        <v/>
      </c>
      <c r="AM47" s="70">
        <f>IF(OR($E47="",$X47=""),"",IFERROR(IF(VLOOKUP($E47,OpTbl,9,0)="خودکار",IF($AL47="بدهکار","بستانکار",IF($AL47="بستانکار","بدهکار","")),VLOOKUP($E47,OpTbl,9,0)),""))</f>
        <v/>
      </c>
      <c r="AN47" s="70">
        <f>IF($E47="","",IFERROR(VLOOKUP($E47,OpTbl,11,0),""))</f>
        <v/>
      </c>
      <c r="AO47" s="70">
        <f>IF($B47="","",MID($B47,6,2))</f>
        <v/>
      </c>
      <c r="AP47" s="76">
        <f>IF($B47="",0,1)</f>
        <v/>
      </c>
    </row>
    <row r="48" ht="21.75" customHeight="1">
      <c r="A48" s="70">
        <f>IF($B48="","",COUNTA($B$10:$B48))</f>
        <v/>
      </c>
      <c r="B48" s="71" t="n"/>
      <c r="C48" s="71" t="n"/>
      <c r="D48" s="71" t="n"/>
      <c r="E48" s="71" t="n"/>
      <c r="F48" s="70">
        <f>IF($E48="","",IFERROR(VLOOKUP($E48,OpTbl,2,0),""))</f>
        <v/>
      </c>
      <c r="G48" s="71" t="n"/>
      <c r="H48" s="73">
        <f>IF($U48="","",IFERROR(VLOOKUP($U48,AcctTbl,2,0),"کد ناشناخته"))</f>
        <v/>
      </c>
      <c r="I48" s="70">
        <f>IF($U48="","",IFERROR(VLOOKUP($U48,AcctTbl,3,0),""))</f>
        <v/>
      </c>
      <c r="J48" s="72" t="n"/>
      <c r="K48" s="71" t="n"/>
      <c r="L48" s="74" t="n"/>
      <c r="M48" s="74" t="n"/>
      <c r="N48" s="148">
        <f>IF(OR($E48="",$L48=""),"",IFERROR(($L48-IF($M48="",0,$M48)*IFERROR(VLOOKUP($K48,BasketTbl,4,0),IFERROR(INDEX(BasketTbl,MATCH($K48,BasketCodeCol,0),4),VLOOKUP("P01",ParamTbl,2,0))))*(1-IF(VLOOKUP($E48,OpTbl,3,0)="خرید",VLOOKUP("P02",ParamTbl,2,0),0)/100),""))</f>
        <v/>
      </c>
      <c r="O48" s="74" t="n"/>
      <c r="P48" s="76">
        <f>IF(OR($E48="",$L48=""),"",IFERROR(IF(VLOOKUP($E48,OpTbl,6,0)="وزن",ROUND($N48*$O48,-3),IF(VLOOKUP($E48,OpTbl,6,0)="مبلغ",ROUND($L48*$O48,-3),0)),""))</f>
        <v/>
      </c>
      <c r="Q48" s="74" t="n"/>
      <c r="R48" s="71" t="n"/>
      <c r="S48" s="77">
        <f>IF($E48="","",IF($AI48="⚠","⚠ ناتراز",IF(AND(IFERROR(VLOOKUP($E48,OpTbl,4,0),"")="بله",$L48=""),"⚠ وزن",IF(AND(IFERROR(VLOOKUP($E48,OpTbl,5,0),"")="بله",$U48=""),"⚠ حساب",IF(AND(IFERROR(VLOOKUP($E48,OpTbl,6,0),"")="مبلغ",$Q48=""),"⚠ مبلغ","✓")))))</f>
        <v/>
      </c>
      <c r="T48" s="72" t="n"/>
      <c r="U48" s="70">
        <f>IF($E48="","",IFERROR(IF(VLOOKUP($E48,OpTbl,14,0)&lt;&gt;"",VLOOKUP($E48,OpTbl,14,0),$G48),""))</f>
        <v/>
      </c>
      <c r="V48" s="76">
        <f>IF(OR($AJ48="",$AJ48=0,$AL48&lt;&gt;"بدهکار"),"",$AJ48)</f>
        <v/>
      </c>
      <c r="W48" s="76">
        <f>IF(OR($AJ48="",$AJ48=0,$AL48&lt;&gt;"بستانکار"),"",$AJ48)</f>
        <v/>
      </c>
      <c r="X48" s="70">
        <f>IF($E48="","",IFERROR(VLOOKUP($E48,OpTbl,8,0),""))</f>
        <v/>
      </c>
      <c r="Y48" s="76">
        <f>IF(OR($X48="",$AJ48="",$AJ48=0,$AM48&lt;&gt;"بدهکار"),"",$AJ48)</f>
        <v/>
      </c>
      <c r="Z48" s="76">
        <f>IF(OR($X48="",$AJ48="",$AJ48=0,$AM48&lt;&gt;"بستانکار"),"",$AJ48)</f>
        <v/>
      </c>
      <c r="AA48" s="70">
        <f>IF(OR($E48="",$AN48="—",$AN48=""),"",IFERROR(VLOOKUP($E48,OpTbl,12,0),""))</f>
        <v/>
      </c>
      <c r="AB48" s="76">
        <f>IF(OR($AA48="",$Q48="",$Q48=0,$AN48&lt;&gt;"بدهکار"),"",$Q48)</f>
        <v/>
      </c>
      <c r="AC48" s="76">
        <f>IF(OR($AA48="",$Q48="",$Q48=0,$AN48&lt;&gt;"بستانکار"),"",$Q48)</f>
        <v/>
      </c>
      <c r="AD48" s="70">
        <f>IF($AA48="","",IFERROR(VLOOKUP($E48,OpTbl,13,0),""))</f>
        <v/>
      </c>
      <c r="AE48" s="76">
        <f>IF(OR($AD48="",$Q48="",$Q48=0,$AN48&lt;&gt;"بستانکار"),"",$Q48)</f>
        <v/>
      </c>
      <c r="AF48" s="76">
        <f>IF(OR($AD48="",$Q48="",$Q48=0,$AN48&lt;&gt;"بدهکار"),"",$Q48)</f>
        <v/>
      </c>
      <c r="AG48" s="76">
        <f>SUM($V48,$Y48,$AB48,$AE48)</f>
        <v/>
      </c>
      <c r="AH48" s="76">
        <f>SUM($W48,$Z48,$AC48,$AF48)</f>
        <v/>
      </c>
      <c r="AI48" s="70">
        <f>IF($E48="","",IF(ROUND($AG48-$AH48,0)=0,"✓","⚠"))</f>
        <v/>
      </c>
      <c r="AJ48" s="76">
        <f>IF(OR($E48="",$U48=""),"",IFERROR(IF(VLOOKUP($E48,OpTbl,6,0)="وزن",IF($P48="",0,$P48),IF(VLOOKUP($E48,OpTbl,6,0)="مبلغ",IF(AND($Q48&lt;&gt;"",$Q48&lt;&gt;0),$Q48,$P48),0))+IF(VLOOKUP($E48,OpTbl,10,0)="افزودن",IF($Q48="",0,$Q48),0),0))</f>
        <v/>
      </c>
      <c r="AK48" s="70">
        <f>IF($E48="","",IFERROR(VLOOKUP($E48,OpTbl,10,0),""))</f>
        <v/>
      </c>
      <c r="AL48" s="70">
        <f>IF(OR($E48="",$U48=""),"",IFERROR(IF(VLOOKUP($E48,OpTbl,7,0)="خودکار",$R48,VLOOKUP($E48,OpTbl,7,0)),""))</f>
        <v/>
      </c>
      <c r="AM48" s="70">
        <f>IF(OR($E48="",$X48=""),"",IFERROR(IF(VLOOKUP($E48,OpTbl,9,0)="خودکار",IF($AL48="بدهکار","بستانکار",IF($AL48="بستانکار","بدهکار","")),VLOOKUP($E48,OpTbl,9,0)),""))</f>
        <v/>
      </c>
      <c r="AN48" s="70">
        <f>IF($E48="","",IFERROR(VLOOKUP($E48,OpTbl,11,0),""))</f>
        <v/>
      </c>
      <c r="AO48" s="70">
        <f>IF($B48="","",MID($B48,6,2))</f>
        <v/>
      </c>
      <c r="AP48" s="76">
        <f>IF($B48="",0,1)</f>
        <v/>
      </c>
    </row>
    <row r="49" ht="21.75" customHeight="1">
      <c r="A49" s="70">
        <f>IF($B49="","",COUNTA($B$10:$B49))</f>
        <v/>
      </c>
      <c r="B49" s="71" t="n"/>
      <c r="C49" s="71" t="n"/>
      <c r="D49" s="71" t="n"/>
      <c r="E49" s="71" t="n"/>
      <c r="F49" s="70">
        <f>IF($E49="","",IFERROR(VLOOKUP($E49,OpTbl,2,0),""))</f>
        <v/>
      </c>
      <c r="G49" s="71" t="n"/>
      <c r="H49" s="73">
        <f>IF($U49="","",IFERROR(VLOOKUP($U49,AcctTbl,2,0),"کد ناشناخته"))</f>
        <v/>
      </c>
      <c r="I49" s="70">
        <f>IF($U49="","",IFERROR(VLOOKUP($U49,AcctTbl,3,0),""))</f>
        <v/>
      </c>
      <c r="J49" s="72" t="n"/>
      <c r="K49" s="71" t="n"/>
      <c r="L49" s="74" t="n"/>
      <c r="M49" s="74" t="n"/>
      <c r="N49" s="148">
        <f>IF(OR($E49="",$L49=""),"",IFERROR(($L49-IF($M49="",0,$M49)*IFERROR(VLOOKUP($K49,BasketTbl,4,0),IFERROR(INDEX(BasketTbl,MATCH($K49,BasketCodeCol,0),4),VLOOKUP("P01",ParamTbl,2,0))))*(1-IF(VLOOKUP($E49,OpTbl,3,0)="خرید",VLOOKUP("P02",ParamTbl,2,0),0)/100),""))</f>
        <v/>
      </c>
      <c r="O49" s="74" t="n"/>
      <c r="P49" s="76">
        <f>IF(OR($E49="",$L49=""),"",IFERROR(IF(VLOOKUP($E49,OpTbl,6,0)="وزن",ROUND($N49*$O49,-3),IF(VLOOKUP($E49,OpTbl,6,0)="مبلغ",ROUND($L49*$O49,-3),0)),""))</f>
        <v/>
      </c>
      <c r="Q49" s="74" t="n"/>
      <c r="R49" s="71" t="n"/>
      <c r="S49" s="77">
        <f>IF($E49="","",IF($AI49="⚠","⚠ ناتراز",IF(AND(IFERROR(VLOOKUP($E49,OpTbl,4,0),"")="بله",$L49=""),"⚠ وزن",IF(AND(IFERROR(VLOOKUP($E49,OpTbl,5,0),"")="بله",$U49=""),"⚠ حساب",IF(AND(IFERROR(VLOOKUP($E49,OpTbl,6,0),"")="مبلغ",$Q49=""),"⚠ مبلغ","✓")))))</f>
        <v/>
      </c>
      <c r="T49" s="72" t="n"/>
      <c r="U49" s="70">
        <f>IF($E49="","",IFERROR(IF(VLOOKUP($E49,OpTbl,14,0)&lt;&gt;"",VLOOKUP($E49,OpTbl,14,0),$G49),""))</f>
        <v/>
      </c>
      <c r="V49" s="76">
        <f>IF(OR($AJ49="",$AJ49=0,$AL49&lt;&gt;"بدهکار"),"",$AJ49)</f>
        <v/>
      </c>
      <c r="W49" s="76">
        <f>IF(OR($AJ49="",$AJ49=0,$AL49&lt;&gt;"بستانکار"),"",$AJ49)</f>
        <v/>
      </c>
      <c r="X49" s="70">
        <f>IF($E49="","",IFERROR(VLOOKUP($E49,OpTbl,8,0),""))</f>
        <v/>
      </c>
      <c r="Y49" s="76">
        <f>IF(OR($X49="",$AJ49="",$AJ49=0,$AM49&lt;&gt;"بدهکار"),"",$AJ49)</f>
        <v/>
      </c>
      <c r="Z49" s="76">
        <f>IF(OR($X49="",$AJ49="",$AJ49=0,$AM49&lt;&gt;"بستانکار"),"",$AJ49)</f>
        <v/>
      </c>
      <c r="AA49" s="70">
        <f>IF(OR($E49="",$AN49="—",$AN49=""),"",IFERROR(VLOOKUP($E49,OpTbl,12,0),""))</f>
        <v/>
      </c>
      <c r="AB49" s="76">
        <f>IF(OR($AA49="",$Q49="",$Q49=0,$AN49&lt;&gt;"بدهکار"),"",$Q49)</f>
        <v/>
      </c>
      <c r="AC49" s="76">
        <f>IF(OR($AA49="",$Q49="",$Q49=0,$AN49&lt;&gt;"بستانکار"),"",$Q49)</f>
        <v/>
      </c>
      <c r="AD49" s="70">
        <f>IF($AA49="","",IFERROR(VLOOKUP($E49,OpTbl,13,0),""))</f>
        <v/>
      </c>
      <c r="AE49" s="76">
        <f>IF(OR($AD49="",$Q49="",$Q49=0,$AN49&lt;&gt;"بستانکار"),"",$Q49)</f>
        <v/>
      </c>
      <c r="AF49" s="76">
        <f>IF(OR($AD49="",$Q49="",$Q49=0,$AN49&lt;&gt;"بدهکار"),"",$Q49)</f>
        <v/>
      </c>
      <c r="AG49" s="76">
        <f>SUM($V49,$Y49,$AB49,$AE49)</f>
        <v/>
      </c>
      <c r="AH49" s="76">
        <f>SUM($W49,$Z49,$AC49,$AF49)</f>
        <v/>
      </c>
      <c r="AI49" s="70">
        <f>IF($E49="","",IF(ROUND($AG49-$AH49,0)=0,"✓","⚠"))</f>
        <v/>
      </c>
      <c r="AJ49" s="76">
        <f>IF(OR($E49="",$U49=""),"",IFERROR(IF(VLOOKUP($E49,OpTbl,6,0)="وزن",IF($P49="",0,$P49),IF(VLOOKUP($E49,OpTbl,6,0)="مبلغ",IF(AND($Q49&lt;&gt;"",$Q49&lt;&gt;0),$Q49,$P49),0))+IF(VLOOKUP($E49,OpTbl,10,0)="افزودن",IF($Q49="",0,$Q49),0),0))</f>
        <v/>
      </c>
      <c r="AK49" s="70">
        <f>IF($E49="","",IFERROR(VLOOKUP($E49,OpTbl,10,0),""))</f>
        <v/>
      </c>
      <c r="AL49" s="70">
        <f>IF(OR($E49="",$U49=""),"",IFERROR(IF(VLOOKUP($E49,OpTbl,7,0)="خودکار",$R49,VLOOKUP($E49,OpTbl,7,0)),""))</f>
        <v/>
      </c>
      <c r="AM49" s="70">
        <f>IF(OR($E49="",$X49=""),"",IFERROR(IF(VLOOKUP($E49,OpTbl,9,0)="خودکار",IF($AL49="بدهکار","بستانکار",IF($AL49="بستانکار","بدهکار","")),VLOOKUP($E49,OpTbl,9,0)),""))</f>
        <v/>
      </c>
      <c r="AN49" s="70">
        <f>IF($E49="","",IFERROR(VLOOKUP($E49,OpTbl,11,0),""))</f>
        <v/>
      </c>
      <c r="AO49" s="70">
        <f>IF($B49="","",MID($B49,6,2))</f>
        <v/>
      </c>
      <c r="AP49" s="76">
        <f>IF($B49="",0,1)</f>
        <v/>
      </c>
    </row>
    <row r="50" ht="21.75" customHeight="1">
      <c r="A50" s="70">
        <f>IF($B50="","",COUNTA($B$10:$B50))</f>
        <v/>
      </c>
      <c r="B50" s="71" t="n"/>
      <c r="C50" s="71" t="n"/>
      <c r="D50" s="71" t="n"/>
      <c r="E50" s="71" t="n"/>
      <c r="F50" s="70">
        <f>IF($E50="","",IFERROR(VLOOKUP($E50,OpTbl,2,0),""))</f>
        <v/>
      </c>
      <c r="G50" s="71" t="n"/>
      <c r="H50" s="73">
        <f>IF($U50="","",IFERROR(VLOOKUP($U50,AcctTbl,2,0),"کد ناشناخته"))</f>
        <v/>
      </c>
      <c r="I50" s="70">
        <f>IF($U50="","",IFERROR(VLOOKUP($U50,AcctTbl,3,0),""))</f>
        <v/>
      </c>
      <c r="J50" s="72" t="n"/>
      <c r="K50" s="71" t="n"/>
      <c r="L50" s="74" t="n"/>
      <c r="M50" s="74" t="n"/>
      <c r="N50" s="148">
        <f>IF(OR($E50="",$L50=""),"",IFERROR(($L50-IF($M50="",0,$M50)*IFERROR(VLOOKUP($K50,BasketTbl,4,0),IFERROR(INDEX(BasketTbl,MATCH($K50,BasketCodeCol,0),4),VLOOKUP("P01",ParamTbl,2,0))))*(1-IF(VLOOKUP($E50,OpTbl,3,0)="خرید",VLOOKUP("P02",ParamTbl,2,0),0)/100),""))</f>
        <v/>
      </c>
      <c r="O50" s="74" t="n"/>
      <c r="P50" s="76">
        <f>IF(OR($E50="",$L50=""),"",IFERROR(IF(VLOOKUP($E50,OpTbl,6,0)="وزن",ROUND($N50*$O50,-3),IF(VLOOKUP($E50,OpTbl,6,0)="مبلغ",ROUND($L50*$O50,-3),0)),""))</f>
        <v/>
      </c>
      <c r="Q50" s="74" t="n"/>
      <c r="R50" s="71" t="n"/>
      <c r="S50" s="77">
        <f>IF($E50="","",IF($AI50="⚠","⚠ ناتراز",IF(AND(IFERROR(VLOOKUP($E50,OpTbl,4,0),"")="بله",$L50=""),"⚠ وزن",IF(AND(IFERROR(VLOOKUP($E50,OpTbl,5,0),"")="بله",$U50=""),"⚠ حساب",IF(AND(IFERROR(VLOOKUP($E50,OpTbl,6,0),"")="مبلغ",$Q50=""),"⚠ مبلغ","✓")))))</f>
        <v/>
      </c>
      <c r="T50" s="72" t="n"/>
      <c r="U50" s="70">
        <f>IF($E50="","",IFERROR(IF(VLOOKUP($E50,OpTbl,14,0)&lt;&gt;"",VLOOKUP($E50,OpTbl,14,0),$G50),""))</f>
        <v/>
      </c>
      <c r="V50" s="76">
        <f>IF(OR($AJ50="",$AJ50=0,$AL50&lt;&gt;"بدهکار"),"",$AJ50)</f>
        <v/>
      </c>
      <c r="W50" s="76">
        <f>IF(OR($AJ50="",$AJ50=0,$AL50&lt;&gt;"بستانکار"),"",$AJ50)</f>
        <v/>
      </c>
      <c r="X50" s="70">
        <f>IF($E50="","",IFERROR(VLOOKUP($E50,OpTbl,8,0),""))</f>
        <v/>
      </c>
      <c r="Y50" s="76">
        <f>IF(OR($X50="",$AJ50="",$AJ50=0,$AM50&lt;&gt;"بدهکار"),"",$AJ50)</f>
        <v/>
      </c>
      <c r="Z50" s="76">
        <f>IF(OR($X50="",$AJ50="",$AJ50=0,$AM50&lt;&gt;"بستانکار"),"",$AJ50)</f>
        <v/>
      </c>
      <c r="AA50" s="70">
        <f>IF(OR($E50="",$AN50="—",$AN50=""),"",IFERROR(VLOOKUP($E50,OpTbl,12,0),""))</f>
        <v/>
      </c>
      <c r="AB50" s="76">
        <f>IF(OR($AA50="",$Q50="",$Q50=0,$AN50&lt;&gt;"بدهکار"),"",$Q50)</f>
        <v/>
      </c>
      <c r="AC50" s="76">
        <f>IF(OR($AA50="",$Q50="",$Q50=0,$AN50&lt;&gt;"بستانکار"),"",$Q50)</f>
        <v/>
      </c>
      <c r="AD50" s="70">
        <f>IF($AA50="","",IFERROR(VLOOKUP($E50,OpTbl,13,0),""))</f>
        <v/>
      </c>
      <c r="AE50" s="76">
        <f>IF(OR($AD50="",$Q50="",$Q50=0,$AN50&lt;&gt;"بستانکار"),"",$Q50)</f>
        <v/>
      </c>
      <c r="AF50" s="76">
        <f>IF(OR($AD50="",$Q50="",$Q50=0,$AN50&lt;&gt;"بدهکار"),"",$Q50)</f>
        <v/>
      </c>
      <c r="AG50" s="76">
        <f>SUM($V50,$Y50,$AB50,$AE50)</f>
        <v/>
      </c>
      <c r="AH50" s="76">
        <f>SUM($W50,$Z50,$AC50,$AF50)</f>
        <v/>
      </c>
      <c r="AI50" s="70">
        <f>IF($E50="","",IF(ROUND($AG50-$AH50,0)=0,"✓","⚠"))</f>
        <v/>
      </c>
      <c r="AJ50" s="76">
        <f>IF(OR($E50="",$U50=""),"",IFERROR(IF(VLOOKUP($E50,OpTbl,6,0)="وزن",IF($P50="",0,$P50),IF(VLOOKUP($E50,OpTbl,6,0)="مبلغ",IF(AND($Q50&lt;&gt;"",$Q50&lt;&gt;0),$Q50,$P50),0))+IF(VLOOKUP($E50,OpTbl,10,0)="افزودن",IF($Q50="",0,$Q50),0),0))</f>
        <v/>
      </c>
      <c r="AK50" s="70">
        <f>IF($E50="","",IFERROR(VLOOKUP($E50,OpTbl,10,0),""))</f>
        <v/>
      </c>
      <c r="AL50" s="70">
        <f>IF(OR($E50="",$U50=""),"",IFERROR(IF(VLOOKUP($E50,OpTbl,7,0)="خودکار",$R50,VLOOKUP($E50,OpTbl,7,0)),""))</f>
        <v/>
      </c>
      <c r="AM50" s="70">
        <f>IF(OR($E50="",$X50=""),"",IFERROR(IF(VLOOKUP($E50,OpTbl,9,0)="خودکار",IF($AL50="بدهکار","بستانکار",IF($AL50="بستانکار","بدهکار","")),VLOOKUP($E50,OpTbl,9,0)),""))</f>
        <v/>
      </c>
      <c r="AN50" s="70">
        <f>IF($E50="","",IFERROR(VLOOKUP($E50,OpTbl,11,0),""))</f>
        <v/>
      </c>
      <c r="AO50" s="70">
        <f>IF($B50="","",MID($B50,6,2))</f>
        <v/>
      </c>
      <c r="AP50" s="76">
        <f>IF($B50="",0,1)</f>
        <v/>
      </c>
    </row>
    <row r="51" ht="21.75" customHeight="1">
      <c r="A51" s="70">
        <f>IF($B51="","",COUNTA($B$10:$B51))</f>
        <v/>
      </c>
      <c r="B51" s="71" t="n"/>
      <c r="C51" s="71" t="n"/>
      <c r="D51" s="71" t="n"/>
      <c r="E51" s="71" t="n"/>
      <c r="F51" s="70">
        <f>IF($E51="","",IFERROR(VLOOKUP($E51,OpTbl,2,0),""))</f>
        <v/>
      </c>
      <c r="G51" s="71" t="n"/>
      <c r="H51" s="73">
        <f>IF($U51="","",IFERROR(VLOOKUP($U51,AcctTbl,2,0),"کد ناشناخته"))</f>
        <v/>
      </c>
      <c r="I51" s="70">
        <f>IF($U51="","",IFERROR(VLOOKUP($U51,AcctTbl,3,0),""))</f>
        <v/>
      </c>
      <c r="J51" s="72" t="n"/>
      <c r="K51" s="71" t="n"/>
      <c r="L51" s="74" t="n"/>
      <c r="M51" s="74" t="n"/>
      <c r="N51" s="148">
        <f>IF(OR($E51="",$L51=""),"",IFERROR(($L51-IF($M51="",0,$M51)*IFERROR(VLOOKUP($K51,BasketTbl,4,0),IFERROR(INDEX(BasketTbl,MATCH($K51,BasketCodeCol,0),4),VLOOKUP("P01",ParamTbl,2,0))))*(1-IF(VLOOKUP($E51,OpTbl,3,0)="خرید",VLOOKUP("P02",ParamTbl,2,0),0)/100),""))</f>
        <v/>
      </c>
      <c r="O51" s="74" t="n"/>
      <c r="P51" s="76">
        <f>IF(OR($E51="",$L51=""),"",IFERROR(IF(VLOOKUP($E51,OpTbl,6,0)="وزن",ROUND($N51*$O51,-3),IF(VLOOKUP($E51,OpTbl,6,0)="مبلغ",ROUND($L51*$O51,-3),0)),""))</f>
        <v/>
      </c>
      <c r="Q51" s="74" t="n"/>
      <c r="R51" s="71" t="n"/>
      <c r="S51" s="77">
        <f>IF($E51="","",IF($AI51="⚠","⚠ ناتراز",IF(AND(IFERROR(VLOOKUP($E51,OpTbl,4,0),"")="بله",$L51=""),"⚠ وزن",IF(AND(IFERROR(VLOOKUP($E51,OpTbl,5,0),"")="بله",$U51=""),"⚠ حساب",IF(AND(IFERROR(VLOOKUP($E51,OpTbl,6,0),"")="مبلغ",$Q51=""),"⚠ مبلغ","✓")))))</f>
        <v/>
      </c>
      <c r="T51" s="72" t="n"/>
      <c r="U51" s="70">
        <f>IF($E51="","",IFERROR(IF(VLOOKUP($E51,OpTbl,14,0)&lt;&gt;"",VLOOKUP($E51,OpTbl,14,0),$G51),""))</f>
        <v/>
      </c>
      <c r="V51" s="76">
        <f>IF(OR($AJ51="",$AJ51=0,$AL51&lt;&gt;"بدهکار"),"",$AJ51)</f>
        <v/>
      </c>
      <c r="W51" s="76">
        <f>IF(OR($AJ51="",$AJ51=0,$AL51&lt;&gt;"بستانکار"),"",$AJ51)</f>
        <v/>
      </c>
      <c r="X51" s="70">
        <f>IF($E51="","",IFERROR(VLOOKUP($E51,OpTbl,8,0),""))</f>
        <v/>
      </c>
      <c r="Y51" s="76">
        <f>IF(OR($X51="",$AJ51="",$AJ51=0,$AM51&lt;&gt;"بدهکار"),"",$AJ51)</f>
        <v/>
      </c>
      <c r="Z51" s="76">
        <f>IF(OR($X51="",$AJ51="",$AJ51=0,$AM51&lt;&gt;"بستانکار"),"",$AJ51)</f>
        <v/>
      </c>
      <c r="AA51" s="70">
        <f>IF(OR($E51="",$AN51="—",$AN51=""),"",IFERROR(VLOOKUP($E51,OpTbl,12,0),""))</f>
        <v/>
      </c>
      <c r="AB51" s="76">
        <f>IF(OR($AA51="",$Q51="",$Q51=0,$AN51&lt;&gt;"بدهکار"),"",$Q51)</f>
        <v/>
      </c>
      <c r="AC51" s="76">
        <f>IF(OR($AA51="",$Q51="",$Q51=0,$AN51&lt;&gt;"بستانکار"),"",$Q51)</f>
        <v/>
      </c>
      <c r="AD51" s="70">
        <f>IF($AA51="","",IFERROR(VLOOKUP($E51,OpTbl,13,0),""))</f>
        <v/>
      </c>
      <c r="AE51" s="76">
        <f>IF(OR($AD51="",$Q51="",$Q51=0,$AN51&lt;&gt;"بستانکار"),"",$Q51)</f>
        <v/>
      </c>
      <c r="AF51" s="76">
        <f>IF(OR($AD51="",$Q51="",$Q51=0,$AN51&lt;&gt;"بدهکار"),"",$Q51)</f>
        <v/>
      </c>
      <c r="AG51" s="76">
        <f>SUM($V51,$Y51,$AB51,$AE51)</f>
        <v/>
      </c>
      <c r="AH51" s="76">
        <f>SUM($W51,$Z51,$AC51,$AF51)</f>
        <v/>
      </c>
      <c r="AI51" s="70">
        <f>IF($E51="","",IF(ROUND($AG51-$AH51,0)=0,"✓","⚠"))</f>
        <v/>
      </c>
      <c r="AJ51" s="76">
        <f>IF(OR($E51="",$U51=""),"",IFERROR(IF(VLOOKUP($E51,OpTbl,6,0)="وزن",IF($P51="",0,$P51),IF(VLOOKUP($E51,OpTbl,6,0)="مبلغ",IF(AND($Q51&lt;&gt;"",$Q51&lt;&gt;0),$Q51,$P51),0))+IF(VLOOKUP($E51,OpTbl,10,0)="افزودن",IF($Q51="",0,$Q51),0),0))</f>
        <v/>
      </c>
      <c r="AK51" s="70">
        <f>IF($E51="","",IFERROR(VLOOKUP($E51,OpTbl,10,0),""))</f>
        <v/>
      </c>
      <c r="AL51" s="70">
        <f>IF(OR($E51="",$U51=""),"",IFERROR(IF(VLOOKUP($E51,OpTbl,7,0)="خودکار",$R51,VLOOKUP($E51,OpTbl,7,0)),""))</f>
        <v/>
      </c>
      <c r="AM51" s="70">
        <f>IF(OR($E51="",$X51=""),"",IFERROR(IF(VLOOKUP($E51,OpTbl,9,0)="خودکار",IF($AL51="بدهکار","بستانکار",IF($AL51="بستانکار","بدهکار","")),VLOOKUP($E51,OpTbl,9,0)),""))</f>
        <v/>
      </c>
      <c r="AN51" s="70">
        <f>IF($E51="","",IFERROR(VLOOKUP($E51,OpTbl,11,0),""))</f>
        <v/>
      </c>
      <c r="AO51" s="70">
        <f>IF($B51="","",MID($B51,6,2))</f>
        <v/>
      </c>
      <c r="AP51" s="76">
        <f>IF($B51="",0,1)</f>
        <v/>
      </c>
    </row>
    <row r="52" ht="21.75" customHeight="1">
      <c r="A52" s="70">
        <f>IF($B52="","",COUNTA($B$10:$B52))</f>
        <v/>
      </c>
      <c r="B52" s="71" t="n"/>
      <c r="C52" s="71" t="n"/>
      <c r="D52" s="71" t="n"/>
      <c r="E52" s="71" t="n"/>
      <c r="F52" s="70">
        <f>IF($E52="","",IFERROR(VLOOKUP($E52,OpTbl,2,0),""))</f>
        <v/>
      </c>
      <c r="G52" s="71" t="n"/>
      <c r="H52" s="73">
        <f>IF($U52="","",IFERROR(VLOOKUP($U52,AcctTbl,2,0),"کد ناشناخته"))</f>
        <v/>
      </c>
      <c r="I52" s="70">
        <f>IF($U52="","",IFERROR(VLOOKUP($U52,AcctTbl,3,0),""))</f>
        <v/>
      </c>
      <c r="J52" s="72" t="n"/>
      <c r="K52" s="71" t="n"/>
      <c r="L52" s="74" t="n"/>
      <c r="M52" s="74" t="n"/>
      <c r="N52" s="148">
        <f>IF(OR($E52="",$L52=""),"",IFERROR(($L52-IF($M52="",0,$M52)*IFERROR(VLOOKUP($K52,BasketTbl,4,0),IFERROR(INDEX(BasketTbl,MATCH($K52,BasketCodeCol,0),4),VLOOKUP("P01",ParamTbl,2,0))))*(1-IF(VLOOKUP($E52,OpTbl,3,0)="خرید",VLOOKUP("P02",ParamTbl,2,0),0)/100),""))</f>
        <v/>
      </c>
      <c r="O52" s="74" t="n"/>
      <c r="P52" s="76">
        <f>IF(OR($E52="",$L52=""),"",IFERROR(IF(VLOOKUP($E52,OpTbl,6,0)="وزن",ROUND($N52*$O52,-3),IF(VLOOKUP($E52,OpTbl,6,0)="مبلغ",ROUND($L52*$O52,-3),0)),""))</f>
        <v/>
      </c>
      <c r="Q52" s="74" t="n"/>
      <c r="R52" s="71" t="n"/>
      <c r="S52" s="77">
        <f>IF($E52="","",IF($AI52="⚠","⚠ ناتراز",IF(AND(IFERROR(VLOOKUP($E52,OpTbl,4,0),"")="بله",$L52=""),"⚠ وزن",IF(AND(IFERROR(VLOOKUP($E52,OpTbl,5,0),"")="بله",$U52=""),"⚠ حساب",IF(AND(IFERROR(VLOOKUP($E52,OpTbl,6,0),"")="مبلغ",$Q52=""),"⚠ مبلغ","✓")))))</f>
        <v/>
      </c>
      <c r="T52" s="72" t="n"/>
      <c r="U52" s="70">
        <f>IF($E52="","",IFERROR(IF(VLOOKUP($E52,OpTbl,14,0)&lt;&gt;"",VLOOKUP($E52,OpTbl,14,0),$G52),""))</f>
        <v/>
      </c>
      <c r="V52" s="76">
        <f>IF(OR($AJ52="",$AJ52=0,$AL52&lt;&gt;"بدهکار"),"",$AJ52)</f>
        <v/>
      </c>
      <c r="W52" s="76">
        <f>IF(OR($AJ52="",$AJ52=0,$AL52&lt;&gt;"بستانکار"),"",$AJ52)</f>
        <v/>
      </c>
      <c r="X52" s="70">
        <f>IF($E52="","",IFERROR(VLOOKUP($E52,OpTbl,8,0),""))</f>
        <v/>
      </c>
      <c r="Y52" s="76">
        <f>IF(OR($X52="",$AJ52="",$AJ52=0,$AM52&lt;&gt;"بدهکار"),"",$AJ52)</f>
        <v/>
      </c>
      <c r="Z52" s="76">
        <f>IF(OR($X52="",$AJ52="",$AJ52=0,$AM52&lt;&gt;"بستانکار"),"",$AJ52)</f>
        <v/>
      </c>
      <c r="AA52" s="70">
        <f>IF(OR($E52="",$AN52="—",$AN52=""),"",IFERROR(VLOOKUP($E52,OpTbl,12,0),""))</f>
        <v/>
      </c>
      <c r="AB52" s="76">
        <f>IF(OR($AA52="",$Q52="",$Q52=0,$AN52&lt;&gt;"بدهکار"),"",$Q52)</f>
        <v/>
      </c>
      <c r="AC52" s="76">
        <f>IF(OR($AA52="",$Q52="",$Q52=0,$AN52&lt;&gt;"بستانکار"),"",$Q52)</f>
        <v/>
      </c>
      <c r="AD52" s="70">
        <f>IF($AA52="","",IFERROR(VLOOKUP($E52,OpTbl,13,0),""))</f>
        <v/>
      </c>
      <c r="AE52" s="76">
        <f>IF(OR($AD52="",$Q52="",$Q52=0,$AN52&lt;&gt;"بستانکار"),"",$Q52)</f>
        <v/>
      </c>
      <c r="AF52" s="76">
        <f>IF(OR($AD52="",$Q52="",$Q52=0,$AN52&lt;&gt;"بدهکار"),"",$Q52)</f>
        <v/>
      </c>
      <c r="AG52" s="76">
        <f>SUM($V52,$Y52,$AB52,$AE52)</f>
        <v/>
      </c>
      <c r="AH52" s="76">
        <f>SUM($W52,$Z52,$AC52,$AF52)</f>
        <v/>
      </c>
      <c r="AI52" s="70">
        <f>IF($E52="","",IF(ROUND($AG52-$AH52,0)=0,"✓","⚠"))</f>
        <v/>
      </c>
      <c r="AJ52" s="76">
        <f>IF(OR($E52="",$U52=""),"",IFERROR(IF(VLOOKUP($E52,OpTbl,6,0)="وزن",IF($P52="",0,$P52),IF(VLOOKUP($E52,OpTbl,6,0)="مبلغ",IF(AND($Q52&lt;&gt;"",$Q52&lt;&gt;0),$Q52,$P52),0))+IF(VLOOKUP($E52,OpTbl,10,0)="افزودن",IF($Q52="",0,$Q52),0),0))</f>
        <v/>
      </c>
      <c r="AK52" s="70">
        <f>IF($E52="","",IFERROR(VLOOKUP($E52,OpTbl,10,0),""))</f>
        <v/>
      </c>
      <c r="AL52" s="70">
        <f>IF(OR($E52="",$U52=""),"",IFERROR(IF(VLOOKUP($E52,OpTbl,7,0)="خودکار",$R52,VLOOKUP($E52,OpTbl,7,0)),""))</f>
        <v/>
      </c>
      <c r="AM52" s="70">
        <f>IF(OR($E52="",$X52=""),"",IFERROR(IF(VLOOKUP($E52,OpTbl,9,0)="خودکار",IF($AL52="بدهکار","بستانکار",IF($AL52="بستانکار","بدهکار","")),VLOOKUP($E52,OpTbl,9,0)),""))</f>
        <v/>
      </c>
      <c r="AN52" s="70">
        <f>IF($E52="","",IFERROR(VLOOKUP($E52,OpTbl,11,0),""))</f>
        <v/>
      </c>
      <c r="AO52" s="70">
        <f>IF($B52="","",MID($B52,6,2))</f>
        <v/>
      </c>
      <c r="AP52" s="76">
        <f>IF($B52="",0,1)</f>
        <v/>
      </c>
    </row>
    <row r="53" ht="21.75" customHeight="1">
      <c r="A53" s="70">
        <f>IF($B53="","",COUNTA($B$10:$B53))</f>
        <v/>
      </c>
      <c r="B53" s="71" t="n"/>
      <c r="C53" s="71" t="n"/>
      <c r="D53" s="71" t="n"/>
      <c r="E53" s="71" t="n"/>
      <c r="F53" s="70">
        <f>IF($E53="","",IFERROR(VLOOKUP($E53,OpTbl,2,0),""))</f>
        <v/>
      </c>
      <c r="G53" s="71" t="n"/>
      <c r="H53" s="73">
        <f>IF($U53="","",IFERROR(VLOOKUP($U53,AcctTbl,2,0),"کد ناشناخته"))</f>
        <v/>
      </c>
      <c r="I53" s="70">
        <f>IF($U53="","",IFERROR(VLOOKUP($U53,AcctTbl,3,0),""))</f>
        <v/>
      </c>
      <c r="J53" s="72" t="n"/>
      <c r="K53" s="71" t="n"/>
      <c r="L53" s="74" t="n"/>
      <c r="M53" s="74" t="n"/>
      <c r="N53" s="148">
        <f>IF(OR($E53="",$L53=""),"",IFERROR(($L53-IF($M53="",0,$M53)*IFERROR(VLOOKUP($K53,BasketTbl,4,0),IFERROR(INDEX(BasketTbl,MATCH($K53,BasketCodeCol,0),4),VLOOKUP("P01",ParamTbl,2,0))))*(1-IF(VLOOKUP($E53,OpTbl,3,0)="خرید",VLOOKUP("P02",ParamTbl,2,0),0)/100),""))</f>
        <v/>
      </c>
      <c r="O53" s="74" t="n"/>
      <c r="P53" s="76">
        <f>IF(OR($E53="",$L53=""),"",IFERROR(IF(VLOOKUP($E53,OpTbl,6,0)="وزن",ROUND($N53*$O53,-3),IF(VLOOKUP($E53,OpTbl,6,0)="مبلغ",ROUND($L53*$O53,-3),0)),""))</f>
        <v/>
      </c>
      <c r="Q53" s="74" t="n"/>
      <c r="R53" s="71" t="n"/>
      <c r="S53" s="77">
        <f>IF($E53="","",IF($AI53="⚠","⚠ ناتراز",IF(AND(IFERROR(VLOOKUP($E53,OpTbl,4,0),"")="بله",$L53=""),"⚠ وزن",IF(AND(IFERROR(VLOOKUP($E53,OpTbl,5,0),"")="بله",$U53=""),"⚠ حساب",IF(AND(IFERROR(VLOOKUP($E53,OpTbl,6,0),"")="مبلغ",$Q53=""),"⚠ مبلغ","✓")))))</f>
        <v/>
      </c>
      <c r="T53" s="72" t="n"/>
      <c r="U53" s="70">
        <f>IF($E53="","",IFERROR(IF(VLOOKUP($E53,OpTbl,14,0)&lt;&gt;"",VLOOKUP($E53,OpTbl,14,0),$G53),""))</f>
        <v/>
      </c>
      <c r="V53" s="76">
        <f>IF(OR($AJ53="",$AJ53=0,$AL53&lt;&gt;"بدهکار"),"",$AJ53)</f>
        <v/>
      </c>
      <c r="W53" s="76">
        <f>IF(OR($AJ53="",$AJ53=0,$AL53&lt;&gt;"بستانکار"),"",$AJ53)</f>
        <v/>
      </c>
      <c r="X53" s="70">
        <f>IF($E53="","",IFERROR(VLOOKUP($E53,OpTbl,8,0),""))</f>
        <v/>
      </c>
      <c r="Y53" s="76">
        <f>IF(OR($X53="",$AJ53="",$AJ53=0,$AM53&lt;&gt;"بدهکار"),"",$AJ53)</f>
        <v/>
      </c>
      <c r="Z53" s="76">
        <f>IF(OR($X53="",$AJ53="",$AJ53=0,$AM53&lt;&gt;"بستانکار"),"",$AJ53)</f>
        <v/>
      </c>
      <c r="AA53" s="70">
        <f>IF(OR($E53="",$AN53="—",$AN53=""),"",IFERROR(VLOOKUP($E53,OpTbl,12,0),""))</f>
        <v/>
      </c>
      <c r="AB53" s="76">
        <f>IF(OR($AA53="",$Q53="",$Q53=0,$AN53&lt;&gt;"بدهکار"),"",$Q53)</f>
        <v/>
      </c>
      <c r="AC53" s="76">
        <f>IF(OR($AA53="",$Q53="",$Q53=0,$AN53&lt;&gt;"بستانکار"),"",$Q53)</f>
        <v/>
      </c>
      <c r="AD53" s="70">
        <f>IF($AA53="","",IFERROR(VLOOKUP($E53,OpTbl,13,0),""))</f>
        <v/>
      </c>
      <c r="AE53" s="76">
        <f>IF(OR($AD53="",$Q53="",$Q53=0,$AN53&lt;&gt;"بستانکار"),"",$Q53)</f>
        <v/>
      </c>
      <c r="AF53" s="76">
        <f>IF(OR($AD53="",$Q53="",$Q53=0,$AN53&lt;&gt;"بدهکار"),"",$Q53)</f>
        <v/>
      </c>
      <c r="AG53" s="76">
        <f>SUM($V53,$Y53,$AB53,$AE53)</f>
        <v/>
      </c>
      <c r="AH53" s="76">
        <f>SUM($W53,$Z53,$AC53,$AF53)</f>
        <v/>
      </c>
      <c r="AI53" s="70">
        <f>IF($E53="","",IF(ROUND($AG53-$AH53,0)=0,"✓","⚠"))</f>
        <v/>
      </c>
      <c r="AJ53" s="76">
        <f>IF(OR($E53="",$U53=""),"",IFERROR(IF(VLOOKUP($E53,OpTbl,6,0)="وزن",IF($P53="",0,$P53),IF(VLOOKUP($E53,OpTbl,6,0)="مبلغ",IF(AND($Q53&lt;&gt;"",$Q53&lt;&gt;0),$Q53,$P53),0))+IF(VLOOKUP($E53,OpTbl,10,0)="افزودن",IF($Q53="",0,$Q53),0),0))</f>
        <v/>
      </c>
      <c r="AK53" s="70">
        <f>IF($E53="","",IFERROR(VLOOKUP($E53,OpTbl,10,0),""))</f>
        <v/>
      </c>
      <c r="AL53" s="70">
        <f>IF(OR($E53="",$U53=""),"",IFERROR(IF(VLOOKUP($E53,OpTbl,7,0)="خودکار",$R53,VLOOKUP($E53,OpTbl,7,0)),""))</f>
        <v/>
      </c>
      <c r="AM53" s="70">
        <f>IF(OR($E53="",$X53=""),"",IFERROR(IF(VLOOKUP($E53,OpTbl,9,0)="خودکار",IF($AL53="بدهکار","بستانکار",IF($AL53="بستانکار","بدهکار","")),VLOOKUP($E53,OpTbl,9,0)),""))</f>
        <v/>
      </c>
      <c r="AN53" s="70">
        <f>IF($E53="","",IFERROR(VLOOKUP($E53,OpTbl,11,0),""))</f>
        <v/>
      </c>
      <c r="AO53" s="70">
        <f>IF($B53="","",MID($B53,6,2))</f>
        <v/>
      </c>
      <c r="AP53" s="76">
        <f>IF($B53="",0,1)</f>
        <v/>
      </c>
    </row>
    <row r="54" ht="21.75" customHeight="1">
      <c r="A54" s="70">
        <f>IF($B54="","",COUNTA($B$10:$B54))</f>
        <v/>
      </c>
      <c r="B54" s="71" t="n"/>
      <c r="C54" s="71" t="n"/>
      <c r="D54" s="71" t="n"/>
      <c r="E54" s="71" t="n"/>
      <c r="F54" s="70">
        <f>IF($E54="","",IFERROR(VLOOKUP($E54,OpTbl,2,0),""))</f>
        <v/>
      </c>
      <c r="G54" s="71" t="n"/>
      <c r="H54" s="73">
        <f>IF($U54="","",IFERROR(VLOOKUP($U54,AcctTbl,2,0),"کد ناشناخته"))</f>
        <v/>
      </c>
      <c r="I54" s="70">
        <f>IF($U54="","",IFERROR(VLOOKUP($U54,AcctTbl,3,0),""))</f>
        <v/>
      </c>
      <c r="J54" s="72" t="n"/>
      <c r="K54" s="71" t="n"/>
      <c r="L54" s="74" t="n"/>
      <c r="M54" s="74" t="n"/>
      <c r="N54" s="148">
        <f>IF(OR($E54="",$L54=""),"",IFERROR(($L54-IF($M54="",0,$M54)*IFERROR(VLOOKUP($K54,BasketTbl,4,0),IFERROR(INDEX(BasketTbl,MATCH($K54,BasketCodeCol,0),4),VLOOKUP("P01",ParamTbl,2,0))))*(1-IF(VLOOKUP($E54,OpTbl,3,0)="خرید",VLOOKUP("P02",ParamTbl,2,0),0)/100),""))</f>
        <v/>
      </c>
      <c r="O54" s="74" t="n"/>
      <c r="P54" s="76">
        <f>IF(OR($E54="",$L54=""),"",IFERROR(IF(VLOOKUP($E54,OpTbl,6,0)="وزن",ROUND($N54*$O54,-3),IF(VLOOKUP($E54,OpTbl,6,0)="مبلغ",ROUND($L54*$O54,-3),0)),""))</f>
        <v/>
      </c>
      <c r="Q54" s="74" t="n"/>
      <c r="R54" s="71" t="n"/>
      <c r="S54" s="77">
        <f>IF($E54="","",IF($AI54="⚠","⚠ ناتراز",IF(AND(IFERROR(VLOOKUP($E54,OpTbl,4,0),"")="بله",$L54=""),"⚠ وزن",IF(AND(IFERROR(VLOOKUP($E54,OpTbl,5,0),"")="بله",$U54=""),"⚠ حساب",IF(AND(IFERROR(VLOOKUP($E54,OpTbl,6,0),"")="مبلغ",$Q54=""),"⚠ مبلغ","✓")))))</f>
        <v/>
      </c>
      <c r="T54" s="72" t="n"/>
      <c r="U54" s="70">
        <f>IF($E54="","",IFERROR(IF(VLOOKUP($E54,OpTbl,14,0)&lt;&gt;"",VLOOKUP($E54,OpTbl,14,0),$G54),""))</f>
        <v/>
      </c>
      <c r="V54" s="76">
        <f>IF(OR($AJ54="",$AJ54=0,$AL54&lt;&gt;"بدهکار"),"",$AJ54)</f>
        <v/>
      </c>
      <c r="W54" s="76">
        <f>IF(OR($AJ54="",$AJ54=0,$AL54&lt;&gt;"بستانکار"),"",$AJ54)</f>
        <v/>
      </c>
      <c r="X54" s="70">
        <f>IF($E54="","",IFERROR(VLOOKUP($E54,OpTbl,8,0),""))</f>
        <v/>
      </c>
      <c r="Y54" s="76">
        <f>IF(OR($X54="",$AJ54="",$AJ54=0,$AM54&lt;&gt;"بدهکار"),"",$AJ54)</f>
        <v/>
      </c>
      <c r="Z54" s="76">
        <f>IF(OR($X54="",$AJ54="",$AJ54=0,$AM54&lt;&gt;"بستانکار"),"",$AJ54)</f>
        <v/>
      </c>
      <c r="AA54" s="70">
        <f>IF(OR($E54="",$AN54="—",$AN54=""),"",IFERROR(VLOOKUP($E54,OpTbl,12,0),""))</f>
        <v/>
      </c>
      <c r="AB54" s="76">
        <f>IF(OR($AA54="",$Q54="",$Q54=0,$AN54&lt;&gt;"بدهکار"),"",$Q54)</f>
        <v/>
      </c>
      <c r="AC54" s="76">
        <f>IF(OR($AA54="",$Q54="",$Q54=0,$AN54&lt;&gt;"بستانکار"),"",$Q54)</f>
        <v/>
      </c>
      <c r="AD54" s="70">
        <f>IF($AA54="","",IFERROR(VLOOKUP($E54,OpTbl,13,0),""))</f>
        <v/>
      </c>
      <c r="AE54" s="76">
        <f>IF(OR($AD54="",$Q54="",$Q54=0,$AN54&lt;&gt;"بستانکار"),"",$Q54)</f>
        <v/>
      </c>
      <c r="AF54" s="76">
        <f>IF(OR($AD54="",$Q54="",$Q54=0,$AN54&lt;&gt;"بدهکار"),"",$Q54)</f>
        <v/>
      </c>
      <c r="AG54" s="76">
        <f>SUM($V54,$Y54,$AB54,$AE54)</f>
        <v/>
      </c>
      <c r="AH54" s="76">
        <f>SUM($W54,$Z54,$AC54,$AF54)</f>
        <v/>
      </c>
      <c r="AI54" s="70">
        <f>IF($E54="","",IF(ROUND($AG54-$AH54,0)=0,"✓","⚠"))</f>
        <v/>
      </c>
      <c r="AJ54" s="76">
        <f>IF(OR($E54="",$U54=""),"",IFERROR(IF(VLOOKUP($E54,OpTbl,6,0)="وزن",IF($P54="",0,$P54),IF(VLOOKUP($E54,OpTbl,6,0)="مبلغ",IF(AND($Q54&lt;&gt;"",$Q54&lt;&gt;0),$Q54,$P54),0))+IF(VLOOKUP($E54,OpTbl,10,0)="افزودن",IF($Q54="",0,$Q54),0),0))</f>
        <v/>
      </c>
      <c r="AK54" s="70">
        <f>IF($E54="","",IFERROR(VLOOKUP($E54,OpTbl,10,0),""))</f>
        <v/>
      </c>
      <c r="AL54" s="70">
        <f>IF(OR($E54="",$U54=""),"",IFERROR(IF(VLOOKUP($E54,OpTbl,7,0)="خودکار",$R54,VLOOKUP($E54,OpTbl,7,0)),""))</f>
        <v/>
      </c>
      <c r="AM54" s="70">
        <f>IF(OR($E54="",$X54=""),"",IFERROR(IF(VLOOKUP($E54,OpTbl,9,0)="خودکار",IF($AL54="بدهکار","بستانکار",IF($AL54="بستانکار","بدهکار","")),VLOOKUP($E54,OpTbl,9,0)),""))</f>
        <v/>
      </c>
      <c r="AN54" s="70">
        <f>IF($E54="","",IFERROR(VLOOKUP($E54,OpTbl,11,0),""))</f>
        <v/>
      </c>
      <c r="AO54" s="70">
        <f>IF($B54="","",MID($B54,6,2))</f>
        <v/>
      </c>
      <c r="AP54" s="76">
        <f>IF($B54="",0,1)</f>
        <v/>
      </c>
    </row>
    <row r="55" ht="21.75" customHeight="1">
      <c r="A55" s="70">
        <f>IF($B55="","",COUNTA($B$10:$B55))</f>
        <v/>
      </c>
      <c r="B55" s="71" t="n"/>
      <c r="C55" s="71" t="n"/>
      <c r="D55" s="71" t="n"/>
      <c r="E55" s="71" t="n"/>
      <c r="F55" s="70">
        <f>IF($E55="","",IFERROR(VLOOKUP($E55,OpTbl,2,0),""))</f>
        <v/>
      </c>
      <c r="G55" s="71" t="n"/>
      <c r="H55" s="73">
        <f>IF($U55="","",IFERROR(VLOOKUP($U55,AcctTbl,2,0),"کد ناشناخته"))</f>
        <v/>
      </c>
      <c r="I55" s="70">
        <f>IF($U55="","",IFERROR(VLOOKUP($U55,AcctTbl,3,0),""))</f>
        <v/>
      </c>
      <c r="J55" s="72" t="n"/>
      <c r="K55" s="71" t="n"/>
      <c r="L55" s="74" t="n"/>
      <c r="M55" s="74" t="n"/>
      <c r="N55" s="148">
        <f>IF(OR($E55="",$L55=""),"",IFERROR(($L55-IF($M55="",0,$M55)*IFERROR(VLOOKUP($K55,BasketTbl,4,0),IFERROR(INDEX(BasketTbl,MATCH($K55,BasketCodeCol,0),4),VLOOKUP("P01",ParamTbl,2,0))))*(1-IF(VLOOKUP($E55,OpTbl,3,0)="خرید",VLOOKUP("P02",ParamTbl,2,0),0)/100),""))</f>
        <v/>
      </c>
      <c r="O55" s="74" t="n"/>
      <c r="P55" s="76">
        <f>IF(OR($E55="",$L55=""),"",IFERROR(IF(VLOOKUP($E55,OpTbl,6,0)="وزن",ROUND($N55*$O55,-3),IF(VLOOKUP($E55,OpTbl,6,0)="مبلغ",ROUND($L55*$O55,-3),0)),""))</f>
        <v/>
      </c>
      <c r="Q55" s="74" t="n"/>
      <c r="R55" s="71" t="n"/>
      <c r="S55" s="77">
        <f>IF($E55="","",IF($AI55="⚠","⚠ ناتراز",IF(AND(IFERROR(VLOOKUP($E55,OpTbl,4,0),"")="بله",$L55=""),"⚠ وزن",IF(AND(IFERROR(VLOOKUP($E55,OpTbl,5,0),"")="بله",$U55=""),"⚠ حساب",IF(AND(IFERROR(VLOOKUP($E55,OpTbl,6,0),"")="مبلغ",$Q55=""),"⚠ مبلغ","✓")))))</f>
        <v/>
      </c>
      <c r="T55" s="72" t="n"/>
      <c r="U55" s="70">
        <f>IF($E55="","",IFERROR(IF(VLOOKUP($E55,OpTbl,14,0)&lt;&gt;"",VLOOKUP($E55,OpTbl,14,0),$G55),""))</f>
        <v/>
      </c>
      <c r="V55" s="76">
        <f>IF(OR($AJ55="",$AJ55=0,$AL55&lt;&gt;"بدهکار"),"",$AJ55)</f>
        <v/>
      </c>
      <c r="W55" s="76">
        <f>IF(OR($AJ55="",$AJ55=0,$AL55&lt;&gt;"بستانکار"),"",$AJ55)</f>
        <v/>
      </c>
      <c r="X55" s="70">
        <f>IF($E55="","",IFERROR(VLOOKUP($E55,OpTbl,8,0),""))</f>
        <v/>
      </c>
      <c r="Y55" s="76">
        <f>IF(OR($X55="",$AJ55="",$AJ55=0,$AM55&lt;&gt;"بدهکار"),"",$AJ55)</f>
        <v/>
      </c>
      <c r="Z55" s="76">
        <f>IF(OR($X55="",$AJ55="",$AJ55=0,$AM55&lt;&gt;"بستانکار"),"",$AJ55)</f>
        <v/>
      </c>
      <c r="AA55" s="70">
        <f>IF(OR($E55="",$AN55="—",$AN55=""),"",IFERROR(VLOOKUP($E55,OpTbl,12,0),""))</f>
        <v/>
      </c>
      <c r="AB55" s="76">
        <f>IF(OR($AA55="",$Q55="",$Q55=0,$AN55&lt;&gt;"بدهکار"),"",$Q55)</f>
        <v/>
      </c>
      <c r="AC55" s="76">
        <f>IF(OR($AA55="",$Q55="",$Q55=0,$AN55&lt;&gt;"بستانکار"),"",$Q55)</f>
        <v/>
      </c>
      <c r="AD55" s="70">
        <f>IF($AA55="","",IFERROR(VLOOKUP($E55,OpTbl,13,0),""))</f>
        <v/>
      </c>
      <c r="AE55" s="76">
        <f>IF(OR($AD55="",$Q55="",$Q55=0,$AN55&lt;&gt;"بستانکار"),"",$Q55)</f>
        <v/>
      </c>
      <c r="AF55" s="76">
        <f>IF(OR($AD55="",$Q55="",$Q55=0,$AN55&lt;&gt;"بدهکار"),"",$Q55)</f>
        <v/>
      </c>
      <c r="AG55" s="76">
        <f>SUM($V55,$Y55,$AB55,$AE55)</f>
        <v/>
      </c>
      <c r="AH55" s="76">
        <f>SUM($W55,$Z55,$AC55,$AF55)</f>
        <v/>
      </c>
      <c r="AI55" s="70">
        <f>IF($E55="","",IF(ROUND($AG55-$AH55,0)=0,"✓","⚠"))</f>
        <v/>
      </c>
      <c r="AJ55" s="76">
        <f>IF(OR($E55="",$U55=""),"",IFERROR(IF(VLOOKUP($E55,OpTbl,6,0)="وزن",IF($P55="",0,$P55),IF(VLOOKUP($E55,OpTbl,6,0)="مبلغ",IF(AND($Q55&lt;&gt;"",$Q55&lt;&gt;0),$Q55,$P55),0))+IF(VLOOKUP($E55,OpTbl,10,0)="افزودن",IF($Q55="",0,$Q55),0),0))</f>
        <v/>
      </c>
      <c r="AK55" s="70">
        <f>IF($E55="","",IFERROR(VLOOKUP($E55,OpTbl,10,0),""))</f>
        <v/>
      </c>
      <c r="AL55" s="70">
        <f>IF(OR($E55="",$U55=""),"",IFERROR(IF(VLOOKUP($E55,OpTbl,7,0)="خودکار",$R55,VLOOKUP($E55,OpTbl,7,0)),""))</f>
        <v/>
      </c>
      <c r="AM55" s="70">
        <f>IF(OR($E55="",$X55=""),"",IFERROR(IF(VLOOKUP($E55,OpTbl,9,0)="خودکار",IF($AL55="بدهکار","بستانکار",IF($AL55="بستانکار","بدهکار","")),VLOOKUP($E55,OpTbl,9,0)),""))</f>
        <v/>
      </c>
      <c r="AN55" s="70">
        <f>IF($E55="","",IFERROR(VLOOKUP($E55,OpTbl,11,0),""))</f>
        <v/>
      </c>
      <c r="AO55" s="70">
        <f>IF($B55="","",MID($B55,6,2))</f>
        <v/>
      </c>
      <c r="AP55" s="76">
        <f>IF($B55="",0,1)</f>
        <v/>
      </c>
    </row>
    <row r="56" ht="21.75" customHeight="1">
      <c r="A56" s="70">
        <f>IF($B56="","",COUNTA($B$10:$B56))</f>
        <v/>
      </c>
      <c r="B56" s="71" t="n"/>
      <c r="C56" s="71" t="n"/>
      <c r="D56" s="71" t="n"/>
      <c r="E56" s="71" t="n"/>
      <c r="F56" s="70">
        <f>IF($E56="","",IFERROR(VLOOKUP($E56,OpTbl,2,0),""))</f>
        <v/>
      </c>
      <c r="G56" s="71" t="n"/>
      <c r="H56" s="73">
        <f>IF($U56="","",IFERROR(VLOOKUP($U56,AcctTbl,2,0),"کد ناشناخته"))</f>
        <v/>
      </c>
      <c r="I56" s="70">
        <f>IF($U56="","",IFERROR(VLOOKUP($U56,AcctTbl,3,0),""))</f>
        <v/>
      </c>
      <c r="J56" s="72" t="n"/>
      <c r="K56" s="71" t="n"/>
      <c r="L56" s="74" t="n"/>
      <c r="M56" s="74" t="n"/>
      <c r="N56" s="148">
        <f>IF(OR($E56="",$L56=""),"",IFERROR(($L56-IF($M56="",0,$M56)*IFERROR(VLOOKUP($K56,BasketTbl,4,0),IFERROR(INDEX(BasketTbl,MATCH($K56,BasketCodeCol,0),4),VLOOKUP("P01",ParamTbl,2,0))))*(1-IF(VLOOKUP($E56,OpTbl,3,0)="خرید",VLOOKUP("P02",ParamTbl,2,0),0)/100),""))</f>
        <v/>
      </c>
      <c r="O56" s="74" t="n"/>
      <c r="P56" s="76">
        <f>IF(OR($E56="",$L56=""),"",IFERROR(IF(VLOOKUP($E56,OpTbl,6,0)="وزن",ROUND($N56*$O56,-3),IF(VLOOKUP($E56,OpTbl,6,0)="مبلغ",ROUND($L56*$O56,-3),0)),""))</f>
        <v/>
      </c>
      <c r="Q56" s="74" t="n"/>
      <c r="R56" s="71" t="n"/>
      <c r="S56" s="77">
        <f>IF($E56="","",IF($AI56="⚠","⚠ ناتراز",IF(AND(IFERROR(VLOOKUP($E56,OpTbl,4,0),"")="بله",$L56=""),"⚠ وزن",IF(AND(IFERROR(VLOOKUP($E56,OpTbl,5,0),"")="بله",$U56=""),"⚠ حساب",IF(AND(IFERROR(VLOOKUP($E56,OpTbl,6,0),"")="مبلغ",$Q56=""),"⚠ مبلغ","✓")))))</f>
        <v/>
      </c>
      <c r="T56" s="72" t="n"/>
      <c r="U56" s="70">
        <f>IF($E56="","",IFERROR(IF(VLOOKUP($E56,OpTbl,14,0)&lt;&gt;"",VLOOKUP($E56,OpTbl,14,0),$G56),""))</f>
        <v/>
      </c>
      <c r="V56" s="76">
        <f>IF(OR($AJ56="",$AJ56=0,$AL56&lt;&gt;"بدهکار"),"",$AJ56)</f>
        <v/>
      </c>
      <c r="W56" s="76">
        <f>IF(OR($AJ56="",$AJ56=0,$AL56&lt;&gt;"بستانکار"),"",$AJ56)</f>
        <v/>
      </c>
      <c r="X56" s="70">
        <f>IF($E56="","",IFERROR(VLOOKUP($E56,OpTbl,8,0),""))</f>
        <v/>
      </c>
      <c r="Y56" s="76">
        <f>IF(OR($X56="",$AJ56="",$AJ56=0,$AM56&lt;&gt;"بدهکار"),"",$AJ56)</f>
        <v/>
      </c>
      <c r="Z56" s="76">
        <f>IF(OR($X56="",$AJ56="",$AJ56=0,$AM56&lt;&gt;"بستانکار"),"",$AJ56)</f>
        <v/>
      </c>
      <c r="AA56" s="70">
        <f>IF(OR($E56="",$AN56="—",$AN56=""),"",IFERROR(VLOOKUP($E56,OpTbl,12,0),""))</f>
        <v/>
      </c>
      <c r="AB56" s="76">
        <f>IF(OR($AA56="",$Q56="",$Q56=0,$AN56&lt;&gt;"بدهکار"),"",$Q56)</f>
        <v/>
      </c>
      <c r="AC56" s="76">
        <f>IF(OR($AA56="",$Q56="",$Q56=0,$AN56&lt;&gt;"بستانکار"),"",$Q56)</f>
        <v/>
      </c>
      <c r="AD56" s="70">
        <f>IF($AA56="","",IFERROR(VLOOKUP($E56,OpTbl,13,0),""))</f>
        <v/>
      </c>
      <c r="AE56" s="76">
        <f>IF(OR($AD56="",$Q56="",$Q56=0,$AN56&lt;&gt;"بستانکار"),"",$Q56)</f>
        <v/>
      </c>
      <c r="AF56" s="76">
        <f>IF(OR($AD56="",$Q56="",$Q56=0,$AN56&lt;&gt;"بدهکار"),"",$Q56)</f>
        <v/>
      </c>
      <c r="AG56" s="76">
        <f>SUM($V56,$Y56,$AB56,$AE56)</f>
        <v/>
      </c>
      <c r="AH56" s="76">
        <f>SUM($W56,$Z56,$AC56,$AF56)</f>
        <v/>
      </c>
      <c r="AI56" s="70">
        <f>IF($E56="","",IF(ROUND($AG56-$AH56,0)=0,"✓","⚠"))</f>
        <v/>
      </c>
      <c r="AJ56" s="76">
        <f>IF(OR($E56="",$U56=""),"",IFERROR(IF(VLOOKUP($E56,OpTbl,6,0)="وزن",IF($P56="",0,$P56),IF(VLOOKUP($E56,OpTbl,6,0)="مبلغ",IF(AND($Q56&lt;&gt;"",$Q56&lt;&gt;0),$Q56,$P56),0))+IF(VLOOKUP($E56,OpTbl,10,0)="افزودن",IF($Q56="",0,$Q56),0),0))</f>
        <v/>
      </c>
      <c r="AK56" s="70">
        <f>IF($E56="","",IFERROR(VLOOKUP($E56,OpTbl,10,0),""))</f>
        <v/>
      </c>
      <c r="AL56" s="70">
        <f>IF(OR($E56="",$U56=""),"",IFERROR(IF(VLOOKUP($E56,OpTbl,7,0)="خودکار",$R56,VLOOKUP($E56,OpTbl,7,0)),""))</f>
        <v/>
      </c>
      <c r="AM56" s="70">
        <f>IF(OR($E56="",$X56=""),"",IFERROR(IF(VLOOKUP($E56,OpTbl,9,0)="خودکار",IF($AL56="بدهکار","بستانکار",IF($AL56="بستانکار","بدهکار","")),VLOOKUP($E56,OpTbl,9,0)),""))</f>
        <v/>
      </c>
      <c r="AN56" s="70">
        <f>IF($E56="","",IFERROR(VLOOKUP($E56,OpTbl,11,0),""))</f>
        <v/>
      </c>
      <c r="AO56" s="70">
        <f>IF($B56="","",MID($B56,6,2))</f>
        <v/>
      </c>
      <c r="AP56" s="76">
        <f>IF($B56="",0,1)</f>
        <v/>
      </c>
    </row>
    <row r="57" ht="21.75" customHeight="1">
      <c r="A57" s="70">
        <f>IF($B57="","",COUNTA($B$10:$B57))</f>
        <v/>
      </c>
      <c r="B57" s="71" t="n"/>
      <c r="C57" s="71" t="n"/>
      <c r="D57" s="71" t="n"/>
      <c r="E57" s="71" t="n"/>
      <c r="F57" s="70">
        <f>IF($E57="","",IFERROR(VLOOKUP($E57,OpTbl,2,0),""))</f>
        <v/>
      </c>
      <c r="G57" s="71" t="n"/>
      <c r="H57" s="73">
        <f>IF($U57="","",IFERROR(VLOOKUP($U57,AcctTbl,2,0),"کد ناشناخته"))</f>
        <v/>
      </c>
      <c r="I57" s="70">
        <f>IF($U57="","",IFERROR(VLOOKUP($U57,AcctTbl,3,0),""))</f>
        <v/>
      </c>
      <c r="J57" s="72" t="n"/>
      <c r="K57" s="71" t="n"/>
      <c r="L57" s="74" t="n"/>
      <c r="M57" s="74" t="n"/>
      <c r="N57" s="148">
        <f>IF(OR($E57="",$L57=""),"",IFERROR(($L57-IF($M57="",0,$M57)*IFERROR(VLOOKUP($K57,BasketTbl,4,0),IFERROR(INDEX(BasketTbl,MATCH($K57,BasketCodeCol,0),4),VLOOKUP("P01",ParamTbl,2,0))))*(1-IF(VLOOKUP($E57,OpTbl,3,0)="خرید",VLOOKUP("P02",ParamTbl,2,0),0)/100),""))</f>
        <v/>
      </c>
      <c r="O57" s="74" t="n"/>
      <c r="P57" s="76">
        <f>IF(OR($E57="",$L57=""),"",IFERROR(IF(VLOOKUP($E57,OpTbl,6,0)="وزن",ROUND($N57*$O57,-3),IF(VLOOKUP($E57,OpTbl,6,0)="مبلغ",ROUND($L57*$O57,-3),0)),""))</f>
        <v/>
      </c>
      <c r="Q57" s="74" t="n"/>
      <c r="R57" s="71" t="n"/>
      <c r="S57" s="77">
        <f>IF($E57="","",IF($AI57="⚠","⚠ ناتراز",IF(AND(IFERROR(VLOOKUP($E57,OpTbl,4,0),"")="بله",$L57=""),"⚠ وزن",IF(AND(IFERROR(VLOOKUP($E57,OpTbl,5,0),"")="بله",$U57=""),"⚠ حساب",IF(AND(IFERROR(VLOOKUP($E57,OpTbl,6,0),"")="مبلغ",$Q57=""),"⚠ مبلغ","✓")))))</f>
        <v/>
      </c>
      <c r="T57" s="72" t="n"/>
      <c r="U57" s="70">
        <f>IF($E57="","",IFERROR(IF(VLOOKUP($E57,OpTbl,14,0)&lt;&gt;"",VLOOKUP($E57,OpTbl,14,0),$G57),""))</f>
        <v/>
      </c>
      <c r="V57" s="76">
        <f>IF(OR($AJ57="",$AJ57=0,$AL57&lt;&gt;"بدهکار"),"",$AJ57)</f>
        <v/>
      </c>
      <c r="W57" s="76">
        <f>IF(OR($AJ57="",$AJ57=0,$AL57&lt;&gt;"بستانکار"),"",$AJ57)</f>
        <v/>
      </c>
      <c r="X57" s="70">
        <f>IF($E57="","",IFERROR(VLOOKUP($E57,OpTbl,8,0),""))</f>
        <v/>
      </c>
      <c r="Y57" s="76">
        <f>IF(OR($X57="",$AJ57="",$AJ57=0,$AM57&lt;&gt;"بدهکار"),"",$AJ57)</f>
        <v/>
      </c>
      <c r="Z57" s="76">
        <f>IF(OR($X57="",$AJ57="",$AJ57=0,$AM57&lt;&gt;"بستانکار"),"",$AJ57)</f>
        <v/>
      </c>
      <c r="AA57" s="70">
        <f>IF(OR($E57="",$AN57="—",$AN57=""),"",IFERROR(VLOOKUP($E57,OpTbl,12,0),""))</f>
        <v/>
      </c>
      <c r="AB57" s="76">
        <f>IF(OR($AA57="",$Q57="",$Q57=0,$AN57&lt;&gt;"بدهکار"),"",$Q57)</f>
        <v/>
      </c>
      <c r="AC57" s="76">
        <f>IF(OR($AA57="",$Q57="",$Q57=0,$AN57&lt;&gt;"بستانکار"),"",$Q57)</f>
        <v/>
      </c>
      <c r="AD57" s="70">
        <f>IF($AA57="","",IFERROR(VLOOKUP($E57,OpTbl,13,0),""))</f>
        <v/>
      </c>
      <c r="AE57" s="76">
        <f>IF(OR($AD57="",$Q57="",$Q57=0,$AN57&lt;&gt;"بستانکار"),"",$Q57)</f>
        <v/>
      </c>
      <c r="AF57" s="76">
        <f>IF(OR($AD57="",$Q57="",$Q57=0,$AN57&lt;&gt;"بدهکار"),"",$Q57)</f>
        <v/>
      </c>
      <c r="AG57" s="76">
        <f>SUM($V57,$Y57,$AB57,$AE57)</f>
        <v/>
      </c>
      <c r="AH57" s="76">
        <f>SUM($W57,$Z57,$AC57,$AF57)</f>
        <v/>
      </c>
      <c r="AI57" s="70">
        <f>IF($E57="","",IF(ROUND($AG57-$AH57,0)=0,"✓","⚠"))</f>
        <v/>
      </c>
      <c r="AJ57" s="76">
        <f>IF(OR($E57="",$U57=""),"",IFERROR(IF(VLOOKUP($E57,OpTbl,6,0)="وزن",IF($P57="",0,$P57),IF(VLOOKUP($E57,OpTbl,6,0)="مبلغ",IF(AND($Q57&lt;&gt;"",$Q57&lt;&gt;0),$Q57,$P57),0))+IF(VLOOKUP($E57,OpTbl,10,0)="افزودن",IF($Q57="",0,$Q57),0),0))</f>
        <v/>
      </c>
      <c r="AK57" s="70">
        <f>IF($E57="","",IFERROR(VLOOKUP($E57,OpTbl,10,0),""))</f>
        <v/>
      </c>
      <c r="AL57" s="70">
        <f>IF(OR($E57="",$U57=""),"",IFERROR(IF(VLOOKUP($E57,OpTbl,7,0)="خودکار",$R57,VLOOKUP($E57,OpTbl,7,0)),""))</f>
        <v/>
      </c>
      <c r="AM57" s="70">
        <f>IF(OR($E57="",$X57=""),"",IFERROR(IF(VLOOKUP($E57,OpTbl,9,0)="خودکار",IF($AL57="بدهکار","بستانکار",IF($AL57="بستانکار","بدهکار","")),VLOOKUP($E57,OpTbl,9,0)),""))</f>
        <v/>
      </c>
      <c r="AN57" s="70">
        <f>IF($E57="","",IFERROR(VLOOKUP($E57,OpTbl,11,0),""))</f>
        <v/>
      </c>
      <c r="AO57" s="70">
        <f>IF($B57="","",MID($B57,6,2))</f>
        <v/>
      </c>
      <c r="AP57" s="76">
        <f>IF($B57="",0,1)</f>
        <v/>
      </c>
    </row>
    <row r="58" ht="21.75" customHeight="1">
      <c r="A58" s="70">
        <f>IF($B58="","",COUNTA($B$10:$B58))</f>
        <v/>
      </c>
      <c r="B58" s="71" t="n"/>
      <c r="C58" s="71" t="n"/>
      <c r="D58" s="71" t="n"/>
      <c r="E58" s="71" t="n"/>
      <c r="F58" s="70">
        <f>IF($E58="","",IFERROR(VLOOKUP($E58,OpTbl,2,0),""))</f>
        <v/>
      </c>
      <c r="G58" s="71" t="n"/>
      <c r="H58" s="73">
        <f>IF($U58="","",IFERROR(VLOOKUP($U58,AcctTbl,2,0),"کد ناشناخته"))</f>
        <v/>
      </c>
      <c r="I58" s="70">
        <f>IF($U58="","",IFERROR(VLOOKUP($U58,AcctTbl,3,0),""))</f>
        <v/>
      </c>
      <c r="J58" s="72" t="n"/>
      <c r="K58" s="71" t="n"/>
      <c r="L58" s="74" t="n"/>
      <c r="M58" s="74" t="n"/>
      <c r="N58" s="148">
        <f>IF(OR($E58="",$L58=""),"",IFERROR(($L58-IF($M58="",0,$M58)*IFERROR(VLOOKUP($K58,BasketTbl,4,0),IFERROR(INDEX(BasketTbl,MATCH($K58,BasketCodeCol,0),4),VLOOKUP("P01",ParamTbl,2,0))))*(1-IF(VLOOKUP($E58,OpTbl,3,0)="خرید",VLOOKUP("P02",ParamTbl,2,0),0)/100),""))</f>
        <v/>
      </c>
      <c r="O58" s="74" t="n"/>
      <c r="P58" s="76">
        <f>IF(OR($E58="",$L58=""),"",IFERROR(IF(VLOOKUP($E58,OpTbl,6,0)="وزن",ROUND($N58*$O58,-3),IF(VLOOKUP($E58,OpTbl,6,0)="مبلغ",ROUND($L58*$O58,-3),0)),""))</f>
        <v/>
      </c>
      <c r="Q58" s="74" t="n"/>
      <c r="R58" s="71" t="n"/>
      <c r="S58" s="77">
        <f>IF($E58="","",IF($AI58="⚠","⚠ ناتراز",IF(AND(IFERROR(VLOOKUP($E58,OpTbl,4,0),"")="بله",$L58=""),"⚠ وزن",IF(AND(IFERROR(VLOOKUP($E58,OpTbl,5,0),"")="بله",$U58=""),"⚠ حساب",IF(AND(IFERROR(VLOOKUP($E58,OpTbl,6,0),"")="مبلغ",$Q58=""),"⚠ مبلغ","✓")))))</f>
        <v/>
      </c>
      <c r="T58" s="72" t="n"/>
      <c r="U58" s="70">
        <f>IF($E58="","",IFERROR(IF(VLOOKUP($E58,OpTbl,14,0)&lt;&gt;"",VLOOKUP($E58,OpTbl,14,0),$G58),""))</f>
        <v/>
      </c>
      <c r="V58" s="76">
        <f>IF(OR($AJ58="",$AJ58=0,$AL58&lt;&gt;"بدهکار"),"",$AJ58)</f>
        <v/>
      </c>
      <c r="W58" s="76">
        <f>IF(OR($AJ58="",$AJ58=0,$AL58&lt;&gt;"بستانکار"),"",$AJ58)</f>
        <v/>
      </c>
      <c r="X58" s="70">
        <f>IF($E58="","",IFERROR(VLOOKUP($E58,OpTbl,8,0),""))</f>
        <v/>
      </c>
      <c r="Y58" s="76">
        <f>IF(OR($X58="",$AJ58="",$AJ58=0,$AM58&lt;&gt;"بدهکار"),"",$AJ58)</f>
        <v/>
      </c>
      <c r="Z58" s="76">
        <f>IF(OR($X58="",$AJ58="",$AJ58=0,$AM58&lt;&gt;"بستانکار"),"",$AJ58)</f>
        <v/>
      </c>
      <c r="AA58" s="70">
        <f>IF(OR($E58="",$AN58="—",$AN58=""),"",IFERROR(VLOOKUP($E58,OpTbl,12,0),""))</f>
        <v/>
      </c>
      <c r="AB58" s="76">
        <f>IF(OR($AA58="",$Q58="",$Q58=0,$AN58&lt;&gt;"بدهکار"),"",$Q58)</f>
        <v/>
      </c>
      <c r="AC58" s="76">
        <f>IF(OR($AA58="",$Q58="",$Q58=0,$AN58&lt;&gt;"بستانکار"),"",$Q58)</f>
        <v/>
      </c>
      <c r="AD58" s="70">
        <f>IF($AA58="","",IFERROR(VLOOKUP($E58,OpTbl,13,0),""))</f>
        <v/>
      </c>
      <c r="AE58" s="76">
        <f>IF(OR($AD58="",$Q58="",$Q58=0,$AN58&lt;&gt;"بستانکار"),"",$Q58)</f>
        <v/>
      </c>
      <c r="AF58" s="76">
        <f>IF(OR($AD58="",$Q58="",$Q58=0,$AN58&lt;&gt;"بدهکار"),"",$Q58)</f>
        <v/>
      </c>
      <c r="AG58" s="76">
        <f>SUM($V58,$Y58,$AB58,$AE58)</f>
        <v/>
      </c>
      <c r="AH58" s="76">
        <f>SUM($W58,$Z58,$AC58,$AF58)</f>
        <v/>
      </c>
      <c r="AI58" s="70">
        <f>IF($E58="","",IF(ROUND($AG58-$AH58,0)=0,"✓","⚠"))</f>
        <v/>
      </c>
      <c r="AJ58" s="76">
        <f>IF(OR($E58="",$U58=""),"",IFERROR(IF(VLOOKUP($E58,OpTbl,6,0)="وزن",IF($P58="",0,$P58),IF(VLOOKUP($E58,OpTbl,6,0)="مبلغ",IF(AND($Q58&lt;&gt;"",$Q58&lt;&gt;0),$Q58,$P58),0))+IF(VLOOKUP($E58,OpTbl,10,0)="افزودن",IF($Q58="",0,$Q58),0),0))</f>
        <v/>
      </c>
      <c r="AK58" s="70">
        <f>IF($E58="","",IFERROR(VLOOKUP($E58,OpTbl,10,0),""))</f>
        <v/>
      </c>
      <c r="AL58" s="70">
        <f>IF(OR($E58="",$U58=""),"",IFERROR(IF(VLOOKUP($E58,OpTbl,7,0)="خودکار",$R58,VLOOKUP($E58,OpTbl,7,0)),""))</f>
        <v/>
      </c>
      <c r="AM58" s="70">
        <f>IF(OR($E58="",$X58=""),"",IFERROR(IF(VLOOKUP($E58,OpTbl,9,0)="خودکار",IF($AL58="بدهکار","بستانکار",IF($AL58="بستانکار","بدهکار","")),VLOOKUP($E58,OpTbl,9,0)),""))</f>
        <v/>
      </c>
      <c r="AN58" s="70">
        <f>IF($E58="","",IFERROR(VLOOKUP($E58,OpTbl,11,0),""))</f>
        <v/>
      </c>
      <c r="AO58" s="70">
        <f>IF($B58="","",MID($B58,6,2))</f>
        <v/>
      </c>
      <c r="AP58" s="76">
        <f>IF($B58="",0,1)</f>
        <v/>
      </c>
    </row>
    <row r="59" ht="21.75" customHeight="1">
      <c r="A59" s="70">
        <f>IF($B59="","",COUNTA($B$10:$B59))</f>
        <v/>
      </c>
      <c r="B59" s="71" t="n"/>
      <c r="C59" s="71" t="n"/>
      <c r="D59" s="71" t="n"/>
      <c r="E59" s="71" t="n"/>
      <c r="F59" s="70">
        <f>IF($E59="","",IFERROR(VLOOKUP($E59,OpTbl,2,0),""))</f>
        <v/>
      </c>
      <c r="G59" s="71" t="n"/>
      <c r="H59" s="73">
        <f>IF($U59="","",IFERROR(VLOOKUP($U59,AcctTbl,2,0),"کد ناشناخته"))</f>
        <v/>
      </c>
      <c r="I59" s="70">
        <f>IF($U59="","",IFERROR(VLOOKUP($U59,AcctTbl,3,0),""))</f>
        <v/>
      </c>
      <c r="J59" s="72" t="n"/>
      <c r="K59" s="71" t="n"/>
      <c r="L59" s="74" t="n"/>
      <c r="M59" s="74" t="n"/>
      <c r="N59" s="148">
        <f>IF(OR($E59="",$L59=""),"",IFERROR(($L59-IF($M59="",0,$M59)*IFERROR(VLOOKUP($K59,BasketTbl,4,0),IFERROR(INDEX(BasketTbl,MATCH($K59,BasketCodeCol,0),4),VLOOKUP("P01",ParamTbl,2,0))))*(1-IF(VLOOKUP($E59,OpTbl,3,0)="خرید",VLOOKUP("P02",ParamTbl,2,0),0)/100),""))</f>
        <v/>
      </c>
      <c r="O59" s="74" t="n"/>
      <c r="P59" s="76">
        <f>IF(OR($E59="",$L59=""),"",IFERROR(IF(VLOOKUP($E59,OpTbl,6,0)="وزن",ROUND($N59*$O59,-3),IF(VLOOKUP($E59,OpTbl,6,0)="مبلغ",ROUND($L59*$O59,-3),0)),""))</f>
        <v/>
      </c>
      <c r="Q59" s="74" t="n"/>
      <c r="R59" s="71" t="n"/>
      <c r="S59" s="77">
        <f>IF($E59="","",IF($AI59="⚠","⚠ ناتراز",IF(AND(IFERROR(VLOOKUP($E59,OpTbl,4,0),"")="بله",$L59=""),"⚠ وزن",IF(AND(IFERROR(VLOOKUP($E59,OpTbl,5,0),"")="بله",$U59=""),"⚠ حساب",IF(AND(IFERROR(VLOOKUP($E59,OpTbl,6,0),"")="مبلغ",$Q59=""),"⚠ مبلغ","✓")))))</f>
        <v/>
      </c>
      <c r="T59" s="72" t="n"/>
      <c r="U59" s="70">
        <f>IF($E59="","",IFERROR(IF(VLOOKUP($E59,OpTbl,14,0)&lt;&gt;"",VLOOKUP($E59,OpTbl,14,0),$G59),""))</f>
        <v/>
      </c>
      <c r="V59" s="76">
        <f>IF(OR($AJ59="",$AJ59=0,$AL59&lt;&gt;"بدهکار"),"",$AJ59)</f>
        <v/>
      </c>
      <c r="W59" s="76">
        <f>IF(OR($AJ59="",$AJ59=0,$AL59&lt;&gt;"بستانکار"),"",$AJ59)</f>
        <v/>
      </c>
      <c r="X59" s="70">
        <f>IF($E59="","",IFERROR(VLOOKUP($E59,OpTbl,8,0),""))</f>
        <v/>
      </c>
      <c r="Y59" s="76">
        <f>IF(OR($X59="",$AJ59="",$AJ59=0,$AM59&lt;&gt;"بدهکار"),"",$AJ59)</f>
        <v/>
      </c>
      <c r="Z59" s="76">
        <f>IF(OR($X59="",$AJ59="",$AJ59=0,$AM59&lt;&gt;"بستانکار"),"",$AJ59)</f>
        <v/>
      </c>
      <c r="AA59" s="70">
        <f>IF(OR($E59="",$AN59="—",$AN59=""),"",IFERROR(VLOOKUP($E59,OpTbl,12,0),""))</f>
        <v/>
      </c>
      <c r="AB59" s="76">
        <f>IF(OR($AA59="",$Q59="",$Q59=0,$AN59&lt;&gt;"بدهکار"),"",$Q59)</f>
        <v/>
      </c>
      <c r="AC59" s="76">
        <f>IF(OR($AA59="",$Q59="",$Q59=0,$AN59&lt;&gt;"بستانکار"),"",$Q59)</f>
        <v/>
      </c>
      <c r="AD59" s="70">
        <f>IF($AA59="","",IFERROR(VLOOKUP($E59,OpTbl,13,0),""))</f>
        <v/>
      </c>
      <c r="AE59" s="76">
        <f>IF(OR($AD59="",$Q59="",$Q59=0,$AN59&lt;&gt;"بستانکار"),"",$Q59)</f>
        <v/>
      </c>
      <c r="AF59" s="76">
        <f>IF(OR($AD59="",$Q59="",$Q59=0,$AN59&lt;&gt;"بدهکار"),"",$Q59)</f>
        <v/>
      </c>
      <c r="AG59" s="76">
        <f>SUM($V59,$Y59,$AB59,$AE59)</f>
        <v/>
      </c>
      <c r="AH59" s="76">
        <f>SUM($W59,$Z59,$AC59,$AF59)</f>
        <v/>
      </c>
      <c r="AI59" s="70">
        <f>IF($E59="","",IF(ROUND($AG59-$AH59,0)=0,"✓","⚠"))</f>
        <v/>
      </c>
      <c r="AJ59" s="76">
        <f>IF(OR($E59="",$U59=""),"",IFERROR(IF(VLOOKUP($E59,OpTbl,6,0)="وزن",IF($P59="",0,$P59),IF(VLOOKUP($E59,OpTbl,6,0)="مبلغ",IF(AND($Q59&lt;&gt;"",$Q59&lt;&gt;0),$Q59,$P59),0))+IF(VLOOKUP($E59,OpTbl,10,0)="افزودن",IF($Q59="",0,$Q59),0),0))</f>
        <v/>
      </c>
      <c r="AK59" s="70">
        <f>IF($E59="","",IFERROR(VLOOKUP($E59,OpTbl,10,0),""))</f>
        <v/>
      </c>
      <c r="AL59" s="70">
        <f>IF(OR($E59="",$U59=""),"",IFERROR(IF(VLOOKUP($E59,OpTbl,7,0)="خودکار",$R59,VLOOKUP($E59,OpTbl,7,0)),""))</f>
        <v/>
      </c>
      <c r="AM59" s="70">
        <f>IF(OR($E59="",$X59=""),"",IFERROR(IF(VLOOKUP($E59,OpTbl,9,0)="خودکار",IF($AL59="بدهکار","بستانکار",IF($AL59="بستانکار","بدهکار","")),VLOOKUP($E59,OpTbl,9,0)),""))</f>
        <v/>
      </c>
      <c r="AN59" s="70">
        <f>IF($E59="","",IFERROR(VLOOKUP($E59,OpTbl,11,0),""))</f>
        <v/>
      </c>
      <c r="AO59" s="70">
        <f>IF($B59="","",MID($B59,6,2))</f>
        <v/>
      </c>
      <c r="AP59" s="76">
        <f>IF($B59="",0,1)</f>
        <v/>
      </c>
    </row>
    <row r="60" ht="21.75" customHeight="1">
      <c r="A60" s="70">
        <f>IF($B60="","",COUNTA($B$10:$B60))</f>
        <v/>
      </c>
      <c r="B60" s="71" t="n"/>
      <c r="C60" s="71" t="n"/>
      <c r="D60" s="71" t="n"/>
      <c r="E60" s="71" t="n"/>
      <c r="F60" s="70">
        <f>IF($E60="","",IFERROR(VLOOKUP($E60,OpTbl,2,0),""))</f>
        <v/>
      </c>
      <c r="G60" s="71" t="n"/>
      <c r="H60" s="73">
        <f>IF($U60="","",IFERROR(VLOOKUP($U60,AcctTbl,2,0),"کد ناشناخته"))</f>
        <v/>
      </c>
      <c r="I60" s="70">
        <f>IF($U60="","",IFERROR(VLOOKUP($U60,AcctTbl,3,0),""))</f>
        <v/>
      </c>
      <c r="J60" s="72" t="n"/>
      <c r="K60" s="71" t="n"/>
      <c r="L60" s="74" t="n"/>
      <c r="M60" s="74" t="n"/>
      <c r="N60" s="148">
        <f>IF(OR($E60="",$L60=""),"",IFERROR(($L60-IF($M60="",0,$M60)*IFERROR(VLOOKUP($K60,BasketTbl,4,0),IFERROR(INDEX(BasketTbl,MATCH($K60,BasketCodeCol,0),4),VLOOKUP("P01",ParamTbl,2,0))))*(1-IF(VLOOKUP($E60,OpTbl,3,0)="خرید",VLOOKUP("P02",ParamTbl,2,0),0)/100),""))</f>
        <v/>
      </c>
      <c r="O60" s="74" t="n"/>
      <c r="P60" s="76">
        <f>IF(OR($E60="",$L60=""),"",IFERROR(IF(VLOOKUP($E60,OpTbl,6,0)="وزن",ROUND($N60*$O60,-3),IF(VLOOKUP($E60,OpTbl,6,0)="مبلغ",ROUND($L60*$O60,-3),0)),""))</f>
        <v/>
      </c>
      <c r="Q60" s="74" t="n"/>
      <c r="R60" s="71" t="n"/>
      <c r="S60" s="77">
        <f>IF($E60="","",IF($AI60="⚠","⚠ ناتراز",IF(AND(IFERROR(VLOOKUP($E60,OpTbl,4,0),"")="بله",$L60=""),"⚠ وزن",IF(AND(IFERROR(VLOOKUP($E60,OpTbl,5,0),"")="بله",$U60=""),"⚠ حساب",IF(AND(IFERROR(VLOOKUP($E60,OpTbl,6,0),"")="مبلغ",$Q60=""),"⚠ مبلغ","✓")))))</f>
        <v/>
      </c>
      <c r="T60" s="72" t="n"/>
      <c r="U60" s="70">
        <f>IF($E60="","",IFERROR(IF(VLOOKUP($E60,OpTbl,14,0)&lt;&gt;"",VLOOKUP($E60,OpTbl,14,0),$G60),""))</f>
        <v/>
      </c>
      <c r="V60" s="76">
        <f>IF(OR($AJ60="",$AJ60=0,$AL60&lt;&gt;"بدهکار"),"",$AJ60)</f>
        <v/>
      </c>
      <c r="W60" s="76">
        <f>IF(OR($AJ60="",$AJ60=0,$AL60&lt;&gt;"بستانکار"),"",$AJ60)</f>
        <v/>
      </c>
      <c r="X60" s="70">
        <f>IF($E60="","",IFERROR(VLOOKUP($E60,OpTbl,8,0),""))</f>
        <v/>
      </c>
      <c r="Y60" s="76">
        <f>IF(OR($X60="",$AJ60="",$AJ60=0,$AM60&lt;&gt;"بدهکار"),"",$AJ60)</f>
        <v/>
      </c>
      <c r="Z60" s="76">
        <f>IF(OR($X60="",$AJ60="",$AJ60=0,$AM60&lt;&gt;"بستانکار"),"",$AJ60)</f>
        <v/>
      </c>
      <c r="AA60" s="70">
        <f>IF(OR($E60="",$AN60="—",$AN60=""),"",IFERROR(VLOOKUP($E60,OpTbl,12,0),""))</f>
        <v/>
      </c>
      <c r="AB60" s="76">
        <f>IF(OR($AA60="",$Q60="",$Q60=0,$AN60&lt;&gt;"بدهکار"),"",$Q60)</f>
        <v/>
      </c>
      <c r="AC60" s="76">
        <f>IF(OR($AA60="",$Q60="",$Q60=0,$AN60&lt;&gt;"بستانکار"),"",$Q60)</f>
        <v/>
      </c>
      <c r="AD60" s="70">
        <f>IF($AA60="","",IFERROR(VLOOKUP($E60,OpTbl,13,0),""))</f>
        <v/>
      </c>
      <c r="AE60" s="76">
        <f>IF(OR($AD60="",$Q60="",$Q60=0,$AN60&lt;&gt;"بستانکار"),"",$Q60)</f>
        <v/>
      </c>
      <c r="AF60" s="76">
        <f>IF(OR($AD60="",$Q60="",$Q60=0,$AN60&lt;&gt;"بدهکار"),"",$Q60)</f>
        <v/>
      </c>
      <c r="AG60" s="76">
        <f>SUM($V60,$Y60,$AB60,$AE60)</f>
        <v/>
      </c>
      <c r="AH60" s="76">
        <f>SUM($W60,$Z60,$AC60,$AF60)</f>
        <v/>
      </c>
      <c r="AI60" s="70">
        <f>IF($E60="","",IF(ROUND($AG60-$AH60,0)=0,"✓","⚠"))</f>
        <v/>
      </c>
      <c r="AJ60" s="76">
        <f>IF(OR($E60="",$U60=""),"",IFERROR(IF(VLOOKUP($E60,OpTbl,6,0)="وزن",IF($P60="",0,$P60),IF(VLOOKUP($E60,OpTbl,6,0)="مبلغ",IF(AND($Q60&lt;&gt;"",$Q60&lt;&gt;0),$Q60,$P60),0))+IF(VLOOKUP($E60,OpTbl,10,0)="افزودن",IF($Q60="",0,$Q60),0),0))</f>
        <v/>
      </c>
      <c r="AK60" s="70">
        <f>IF($E60="","",IFERROR(VLOOKUP($E60,OpTbl,10,0),""))</f>
        <v/>
      </c>
      <c r="AL60" s="70">
        <f>IF(OR($E60="",$U60=""),"",IFERROR(IF(VLOOKUP($E60,OpTbl,7,0)="خودکار",$R60,VLOOKUP($E60,OpTbl,7,0)),""))</f>
        <v/>
      </c>
      <c r="AM60" s="70">
        <f>IF(OR($E60="",$X60=""),"",IFERROR(IF(VLOOKUP($E60,OpTbl,9,0)="خودکار",IF($AL60="بدهکار","بستانکار",IF($AL60="بستانکار","بدهکار","")),VLOOKUP($E60,OpTbl,9,0)),""))</f>
        <v/>
      </c>
      <c r="AN60" s="70">
        <f>IF($E60="","",IFERROR(VLOOKUP($E60,OpTbl,11,0),""))</f>
        <v/>
      </c>
      <c r="AO60" s="70">
        <f>IF($B60="","",MID($B60,6,2))</f>
        <v/>
      </c>
      <c r="AP60" s="76">
        <f>IF($B60="",0,1)</f>
        <v/>
      </c>
    </row>
    <row r="61" ht="21.75" customHeight="1">
      <c r="A61" s="70">
        <f>IF($B61="","",COUNTA($B$10:$B61))</f>
        <v/>
      </c>
      <c r="B61" s="71" t="n"/>
      <c r="C61" s="71" t="n"/>
      <c r="D61" s="71" t="n"/>
      <c r="E61" s="71" t="n"/>
      <c r="F61" s="70">
        <f>IF($E61="","",IFERROR(VLOOKUP($E61,OpTbl,2,0),""))</f>
        <v/>
      </c>
      <c r="G61" s="71" t="n"/>
      <c r="H61" s="73">
        <f>IF($U61="","",IFERROR(VLOOKUP($U61,AcctTbl,2,0),"کد ناشناخته"))</f>
        <v/>
      </c>
      <c r="I61" s="70">
        <f>IF($U61="","",IFERROR(VLOOKUP($U61,AcctTbl,3,0),""))</f>
        <v/>
      </c>
      <c r="J61" s="72" t="n"/>
      <c r="K61" s="71" t="n"/>
      <c r="L61" s="74" t="n"/>
      <c r="M61" s="74" t="n"/>
      <c r="N61" s="148">
        <f>IF(OR($E61="",$L61=""),"",IFERROR(($L61-IF($M61="",0,$M61)*IFERROR(VLOOKUP($K61,BasketTbl,4,0),IFERROR(INDEX(BasketTbl,MATCH($K61,BasketCodeCol,0),4),VLOOKUP("P01",ParamTbl,2,0))))*(1-IF(VLOOKUP($E61,OpTbl,3,0)="خرید",VLOOKUP("P02",ParamTbl,2,0),0)/100),""))</f>
        <v/>
      </c>
      <c r="O61" s="74" t="n"/>
      <c r="P61" s="76">
        <f>IF(OR($E61="",$L61=""),"",IFERROR(IF(VLOOKUP($E61,OpTbl,6,0)="وزن",ROUND($N61*$O61,-3),IF(VLOOKUP($E61,OpTbl,6,0)="مبلغ",ROUND($L61*$O61,-3),0)),""))</f>
        <v/>
      </c>
      <c r="Q61" s="74" t="n"/>
      <c r="R61" s="71" t="n"/>
      <c r="S61" s="77">
        <f>IF($E61="","",IF($AI61="⚠","⚠ ناتراز",IF(AND(IFERROR(VLOOKUP($E61,OpTbl,4,0),"")="بله",$L61=""),"⚠ وزن",IF(AND(IFERROR(VLOOKUP($E61,OpTbl,5,0),"")="بله",$U61=""),"⚠ حساب",IF(AND(IFERROR(VLOOKUP($E61,OpTbl,6,0),"")="مبلغ",$Q61=""),"⚠ مبلغ","✓")))))</f>
        <v/>
      </c>
      <c r="T61" s="72" t="n"/>
      <c r="U61" s="70">
        <f>IF($E61="","",IFERROR(IF(VLOOKUP($E61,OpTbl,14,0)&lt;&gt;"",VLOOKUP($E61,OpTbl,14,0),$G61),""))</f>
        <v/>
      </c>
      <c r="V61" s="76">
        <f>IF(OR($AJ61="",$AJ61=0,$AL61&lt;&gt;"بدهکار"),"",$AJ61)</f>
        <v/>
      </c>
      <c r="W61" s="76">
        <f>IF(OR($AJ61="",$AJ61=0,$AL61&lt;&gt;"بستانکار"),"",$AJ61)</f>
        <v/>
      </c>
      <c r="X61" s="70">
        <f>IF($E61="","",IFERROR(VLOOKUP($E61,OpTbl,8,0),""))</f>
        <v/>
      </c>
      <c r="Y61" s="76">
        <f>IF(OR($X61="",$AJ61="",$AJ61=0,$AM61&lt;&gt;"بدهکار"),"",$AJ61)</f>
        <v/>
      </c>
      <c r="Z61" s="76">
        <f>IF(OR($X61="",$AJ61="",$AJ61=0,$AM61&lt;&gt;"بستانکار"),"",$AJ61)</f>
        <v/>
      </c>
      <c r="AA61" s="70">
        <f>IF(OR($E61="",$AN61="—",$AN61=""),"",IFERROR(VLOOKUP($E61,OpTbl,12,0),""))</f>
        <v/>
      </c>
      <c r="AB61" s="76">
        <f>IF(OR($AA61="",$Q61="",$Q61=0,$AN61&lt;&gt;"بدهکار"),"",$Q61)</f>
        <v/>
      </c>
      <c r="AC61" s="76">
        <f>IF(OR($AA61="",$Q61="",$Q61=0,$AN61&lt;&gt;"بستانکار"),"",$Q61)</f>
        <v/>
      </c>
      <c r="AD61" s="70">
        <f>IF($AA61="","",IFERROR(VLOOKUP($E61,OpTbl,13,0),""))</f>
        <v/>
      </c>
      <c r="AE61" s="76">
        <f>IF(OR($AD61="",$Q61="",$Q61=0,$AN61&lt;&gt;"بستانکار"),"",$Q61)</f>
        <v/>
      </c>
      <c r="AF61" s="76">
        <f>IF(OR($AD61="",$Q61="",$Q61=0,$AN61&lt;&gt;"بدهکار"),"",$Q61)</f>
        <v/>
      </c>
      <c r="AG61" s="76">
        <f>SUM($V61,$Y61,$AB61,$AE61)</f>
        <v/>
      </c>
      <c r="AH61" s="76">
        <f>SUM($W61,$Z61,$AC61,$AF61)</f>
        <v/>
      </c>
      <c r="AI61" s="70">
        <f>IF($E61="","",IF(ROUND($AG61-$AH61,0)=0,"✓","⚠"))</f>
        <v/>
      </c>
      <c r="AJ61" s="76">
        <f>IF(OR($E61="",$U61=""),"",IFERROR(IF(VLOOKUP($E61,OpTbl,6,0)="وزن",IF($P61="",0,$P61),IF(VLOOKUP($E61,OpTbl,6,0)="مبلغ",IF(AND($Q61&lt;&gt;"",$Q61&lt;&gt;0),$Q61,$P61),0))+IF(VLOOKUP($E61,OpTbl,10,0)="افزودن",IF($Q61="",0,$Q61),0),0))</f>
        <v/>
      </c>
      <c r="AK61" s="70">
        <f>IF($E61="","",IFERROR(VLOOKUP($E61,OpTbl,10,0),""))</f>
        <v/>
      </c>
      <c r="AL61" s="70">
        <f>IF(OR($E61="",$U61=""),"",IFERROR(IF(VLOOKUP($E61,OpTbl,7,0)="خودکار",$R61,VLOOKUP($E61,OpTbl,7,0)),""))</f>
        <v/>
      </c>
      <c r="AM61" s="70">
        <f>IF(OR($E61="",$X61=""),"",IFERROR(IF(VLOOKUP($E61,OpTbl,9,0)="خودکار",IF($AL61="بدهکار","بستانکار",IF($AL61="بستانکار","بدهکار","")),VLOOKUP($E61,OpTbl,9,0)),""))</f>
        <v/>
      </c>
      <c r="AN61" s="70">
        <f>IF($E61="","",IFERROR(VLOOKUP($E61,OpTbl,11,0),""))</f>
        <v/>
      </c>
      <c r="AO61" s="70">
        <f>IF($B61="","",MID($B61,6,2))</f>
        <v/>
      </c>
      <c r="AP61" s="76">
        <f>IF($B61="",0,1)</f>
        <v/>
      </c>
    </row>
    <row r="62" ht="21.75" customHeight="1">
      <c r="A62" s="70">
        <f>IF($B62="","",COUNTA($B$10:$B62))</f>
        <v/>
      </c>
      <c r="B62" s="71" t="n"/>
      <c r="C62" s="71" t="n"/>
      <c r="D62" s="71" t="n"/>
      <c r="E62" s="71" t="n"/>
      <c r="F62" s="70">
        <f>IF($E62="","",IFERROR(VLOOKUP($E62,OpTbl,2,0),""))</f>
        <v/>
      </c>
      <c r="G62" s="71" t="n"/>
      <c r="H62" s="73">
        <f>IF($U62="","",IFERROR(VLOOKUP($U62,AcctTbl,2,0),"کد ناشناخته"))</f>
        <v/>
      </c>
      <c r="I62" s="70">
        <f>IF($U62="","",IFERROR(VLOOKUP($U62,AcctTbl,3,0),""))</f>
        <v/>
      </c>
      <c r="J62" s="72" t="n"/>
      <c r="K62" s="71" t="n"/>
      <c r="L62" s="74" t="n"/>
      <c r="M62" s="74" t="n"/>
      <c r="N62" s="148">
        <f>IF(OR($E62="",$L62=""),"",IFERROR(($L62-IF($M62="",0,$M62)*IFERROR(VLOOKUP($K62,BasketTbl,4,0),IFERROR(INDEX(BasketTbl,MATCH($K62,BasketCodeCol,0),4),VLOOKUP("P01",ParamTbl,2,0))))*(1-IF(VLOOKUP($E62,OpTbl,3,0)="خرید",VLOOKUP("P02",ParamTbl,2,0),0)/100),""))</f>
        <v/>
      </c>
      <c r="O62" s="74" t="n"/>
      <c r="P62" s="76">
        <f>IF(OR($E62="",$L62=""),"",IFERROR(IF(VLOOKUP($E62,OpTbl,6,0)="وزن",ROUND($N62*$O62,-3),IF(VLOOKUP($E62,OpTbl,6,0)="مبلغ",ROUND($L62*$O62,-3),0)),""))</f>
        <v/>
      </c>
      <c r="Q62" s="74" t="n"/>
      <c r="R62" s="71" t="n"/>
      <c r="S62" s="77">
        <f>IF($E62="","",IF($AI62="⚠","⚠ ناتراز",IF(AND(IFERROR(VLOOKUP($E62,OpTbl,4,0),"")="بله",$L62=""),"⚠ وزن",IF(AND(IFERROR(VLOOKUP($E62,OpTbl,5,0),"")="بله",$U62=""),"⚠ حساب",IF(AND(IFERROR(VLOOKUP($E62,OpTbl,6,0),"")="مبلغ",$Q62=""),"⚠ مبلغ","✓")))))</f>
        <v/>
      </c>
      <c r="T62" s="72" t="n"/>
      <c r="U62" s="70">
        <f>IF($E62="","",IFERROR(IF(VLOOKUP($E62,OpTbl,14,0)&lt;&gt;"",VLOOKUP($E62,OpTbl,14,0),$G62),""))</f>
        <v/>
      </c>
      <c r="V62" s="76">
        <f>IF(OR($AJ62="",$AJ62=0,$AL62&lt;&gt;"بدهکار"),"",$AJ62)</f>
        <v/>
      </c>
      <c r="W62" s="76">
        <f>IF(OR($AJ62="",$AJ62=0,$AL62&lt;&gt;"بستانکار"),"",$AJ62)</f>
        <v/>
      </c>
      <c r="X62" s="70">
        <f>IF($E62="","",IFERROR(VLOOKUP($E62,OpTbl,8,0),""))</f>
        <v/>
      </c>
      <c r="Y62" s="76">
        <f>IF(OR($X62="",$AJ62="",$AJ62=0,$AM62&lt;&gt;"بدهکار"),"",$AJ62)</f>
        <v/>
      </c>
      <c r="Z62" s="76">
        <f>IF(OR($X62="",$AJ62="",$AJ62=0,$AM62&lt;&gt;"بستانکار"),"",$AJ62)</f>
        <v/>
      </c>
      <c r="AA62" s="70">
        <f>IF(OR($E62="",$AN62="—",$AN62=""),"",IFERROR(VLOOKUP($E62,OpTbl,12,0),""))</f>
        <v/>
      </c>
      <c r="AB62" s="76">
        <f>IF(OR($AA62="",$Q62="",$Q62=0,$AN62&lt;&gt;"بدهکار"),"",$Q62)</f>
        <v/>
      </c>
      <c r="AC62" s="76">
        <f>IF(OR($AA62="",$Q62="",$Q62=0,$AN62&lt;&gt;"بستانکار"),"",$Q62)</f>
        <v/>
      </c>
      <c r="AD62" s="70">
        <f>IF($AA62="","",IFERROR(VLOOKUP($E62,OpTbl,13,0),""))</f>
        <v/>
      </c>
      <c r="AE62" s="76">
        <f>IF(OR($AD62="",$Q62="",$Q62=0,$AN62&lt;&gt;"بستانکار"),"",$Q62)</f>
        <v/>
      </c>
      <c r="AF62" s="76">
        <f>IF(OR($AD62="",$Q62="",$Q62=0,$AN62&lt;&gt;"بدهکار"),"",$Q62)</f>
        <v/>
      </c>
      <c r="AG62" s="76">
        <f>SUM($V62,$Y62,$AB62,$AE62)</f>
        <v/>
      </c>
      <c r="AH62" s="76">
        <f>SUM($W62,$Z62,$AC62,$AF62)</f>
        <v/>
      </c>
      <c r="AI62" s="70">
        <f>IF($E62="","",IF(ROUND($AG62-$AH62,0)=0,"✓","⚠"))</f>
        <v/>
      </c>
      <c r="AJ62" s="76">
        <f>IF(OR($E62="",$U62=""),"",IFERROR(IF(VLOOKUP($E62,OpTbl,6,0)="وزن",IF($P62="",0,$P62),IF(VLOOKUP($E62,OpTbl,6,0)="مبلغ",IF(AND($Q62&lt;&gt;"",$Q62&lt;&gt;0),$Q62,$P62),0))+IF(VLOOKUP($E62,OpTbl,10,0)="افزودن",IF($Q62="",0,$Q62),0),0))</f>
        <v/>
      </c>
      <c r="AK62" s="70">
        <f>IF($E62="","",IFERROR(VLOOKUP($E62,OpTbl,10,0),""))</f>
        <v/>
      </c>
      <c r="AL62" s="70">
        <f>IF(OR($E62="",$U62=""),"",IFERROR(IF(VLOOKUP($E62,OpTbl,7,0)="خودکار",$R62,VLOOKUP($E62,OpTbl,7,0)),""))</f>
        <v/>
      </c>
      <c r="AM62" s="70">
        <f>IF(OR($E62="",$X62=""),"",IFERROR(IF(VLOOKUP($E62,OpTbl,9,0)="خودکار",IF($AL62="بدهکار","بستانکار",IF($AL62="بستانکار","بدهکار","")),VLOOKUP($E62,OpTbl,9,0)),""))</f>
        <v/>
      </c>
      <c r="AN62" s="70">
        <f>IF($E62="","",IFERROR(VLOOKUP($E62,OpTbl,11,0),""))</f>
        <v/>
      </c>
      <c r="AO62" s="70">
        <f>IF($B62="","",MID($B62,6,2))</f>
        <v/>
      </c>
      <c r="AP62" s="76">
        <f>IF($B62="",0,1)</f>
        <v/>
      </c>
    </row>
    <row r="63" ht="21.75" customHeight="1">
      <c r="A63" s="70">
        <f>IF($B63="","",COUNTA($B$10:$B63))</f>
        <v/>
      </c>
      <c r="B63" s="71" t="n"/>
      <c r="C63" s="71" t="n"/>
      <c r="D63" s="71" t="n"/>
      <c r="E63" s="71" t="n"/>
      <c r="F63" s="70">
        <f>IF($E63="","",IFERROR(VLOOKUP($E63,OpTbl,2,0),""))</f>
        <v/>
      </c>
      <c r="G63" s="71" t="n"/>
      <c r="H63" s="73">
        <f>IF($U63="","",IFERROR(VLOOKUP($U63,AcctTbl,2,0),"کد ناشناخته"))</f>
        <v/>
      </c>
      <c r="I63" s="70">
        <f>IF($U63="","",IFERROR(VLOOKUP($U63,AcctTbl,3,0),""))</f>
        <v/>
      </c>
      <c r="J63" s="72" t="n"/>
      <c r="K63" s="71" t="n"/>
      <c r="L63" s="74" t="n"/>
      <c r="M63" s="74" t="n"/>
      <c r="N63" s="148">
        <f>IF(OR($E63="",$L63=""),"",IFERROR(($L63-IF($M63="",0,$M63)*IFERROR(VLOOKUP($K63,BasketTbl,4,0),IFERROR(INDEX(BasketTbl,MATCH($K63,BasketCodeCol,0),4),VLOOKUP("P01",ParamTbl,2,0))))*(1-IF(VLOOKUP($E63,OpTbl,3,0)="خرید",VLOOKUP("P02",ParamTbl,2,0),0)/100),""))</f>
        <v/>
      </c>
      <c r="O63" s="74" t="n"/>
      <c r="P63" s="76">
        <f>IF(OR($E63="",$L63=""),"",IFERROR(IF(VLOOKUP($E63,OpTbl,6,0)="وزن",ROUND($N63*$O63,-3),IF(VLOOKUP($E63,OpTbl,6,0)="مبلغ",ROUND($L63*$O63,-3),0)),""))</f>
        <v/>
      </c>
      <c r="Q63" s="74" t="n"/>
      <c r="R63" s="71" t="n"/>
      <c r="S63" s="77">
        <f>IF($E63="","",IF($AI63="⚠","⚠ ناتراز",IF(AND(IFERROR(VLOOKUP($E63,OpTbl,4,0),"")="بله",$L63=""),"⚠ وزن",IF(AND(IFERROR(VLOOKUP($E63,OpTbl,5,0),"")="بله",$U63=""),"⚠ حساب",IF(AND(IFERROR(VLOOKUP($E63,OpTbl,6,0),"")="مبلغ",$Q63=""),"⚠ مبلغ","✓")))))</f>
        <v/>
      </c>
      <c r="T63" s="72" t="n"/>
      <c r="U63" s="70">
        <f>IF($E63="","",IFERROR(IF(VLOOKUP($E63,OpTbl,14,0)&lt;&gt;"",VLOOKUP($E63,OpTbl,14,0),$G63),""))</f>
        <v/>
      </c>
      <c r="V63" s="76">
        <f>IF(OR($AJ63="",$AJ63=0,$AL63&lt;&gt;"بدهکار"),"",$AJ63)</f>
        <v/>
      </c>
      <c r="W63" s="76">
        <f>IF(OR($AJ63="",$AJ63=0,$AL63&lt;&gt;"بستانکار"),"",$AJ63)</f>
        <v/>
      </c>
      <c r="X63" s="70">
        <f>IF($E63="","",IFERROR(VLOOKUP($E63,OpTbl,8,0),""))</f>
        <v/>
      </c>
      <c r="Y63" s="76">
        <f>IF(OR($X63="",$AJ63="",$AJ63=0,$AM63&lt;&gt;"بدهکار"),"",$AJ63)</f>
        <v/>
      </c>
      <c r="Z63" s="76">
        <f>IF(OR($X63="",$AJ63="",$AJ63=0,$AM63&lt;&gt;"بستانکار"),"",$AJ63)</f>
        <v/>
      </c>
      <c r="AA63" s="70">
        <f>IF(OR($E63="",$AN63="—",$AN63=""),"",IFERROR(VLOOKUP($E63,OpTbl,12,0),""))</f>
        <v/>
      </c>
      <c r="AB63" s="76">
        <f>IF(OR($AA63="",$Q63="",$Q63=0,$AN63&lt;&gt;"بدهکار"),"",$Q63)</f>
        <v/>
      </c>
      <c r="AC63" s="76">
        <f>IF(OR($AA63="",$Q63="",$Q63=0,$AN63&lt;&gt;"بستانکار"),"",$Q63)</f>
        <v/>
      </c>
      <c r="AD63" s="70">
        <f>IF($AA63="","",IFERROR(VLOOKUP($E63,OpTbl,13,0),""))</f>
        <v/>
      </c>
      <c r="AE63" s="76">
        <f>IF(OR($AD63="",$Q63="",$Q63=0,$AN63&lt;&gt;"بستانکار"),"",$Q63)</f>
        <v/>
      </c>
      <c r="AF63" s="76">
        <f>IF(OR($AD63="",$Q63="",$Q63=0,$AN63&lt;&gt;"بدهکار"),"",$Q63)</f>
        <v/>
      </c>
      <c r="AG63" s="76">
        <f>SUM($V63,$Y63,$AB63,$AE63)</f>
        <v/>
      </c>
      <c r="AH63" s="76">
        <f>SUM($W63,$Z63,$AC63,$AF63)</f>
        <v/>
      </c>
      <c r="AI63" s="70">
        <f>IF($E63="","",IF(ROUND($AG63-$AH63,0)=0,"✓","⚠"))</f>
        <v/>
      </c>
      <c r="AJ63" s="76">
        <f>IF(OR($E63="",$U63=""),"",IFERROR(IF(VLOOKUP($E63,OpTbl,6,0)="وزن",IF($P63="",0,$P63),IF(VLOOKUP($E63,OpTbl,6,0)="مبلغ",IF(AND($Q63&lt;&gt;"",$Q63&lt;&gt;0),$Q63,$P63),0))+IF(VLOOKUP($E63,OpTbl,10,0)="افزودن",IF($Q63="",0,$Q63),0),0))</f>
        <v/>
      </c>
      <c r="AK63" s="70">
        <f>IF($E63="","",IFERROR(VLOOKUP($E63,OpTbl,10,0),""))</f>
        <v/>
      </c>
      <c r="AL63" s="70">
        <f>IF(OR($E63="",$U63=""),"",IFERROR(IF(VLOOKUP($E63,OpTbl,7,0)="خودکار",$R63,VLOOKUP($E63,OpTbl,7,0)),""))</f>
        <v/>
      </c>
      <c r="AM63" s="70">
        <f>IF(OR($E63="",$X63=""),"",IFERROR(IF(VLOOKUP($E63,OpTbl,9,0)="خودکار",IF($AL63="بدهکار","بستانکار",IF($AL63="بستانکار","بدهکار","")),VLOOKUP($E63,OpTbl,9,0)),""))</f>
        <v/>
      </c>
      <c r="AN63" s="70">
        <f>IF($E63="","",IFERROR(VLOOKUP($E63,OpTbl,11,0),""))</f>
        <v/>
      </c>
      <c r="AO63" s="70">
        <f>IF($B63="","",MID($B63,6,2))</f>
        <v/>
      </c>
      <c r="AP63" s="76">
        <f>IF($B63="",0,1)</f>
        <v/>
      </c>
    </row>
    <row r="64" ht="21.75" customHeight="1">
      <c r="A64" s="70">
        <f>IF($B64="","",COUNTA($B$10:$B64))</f>
        <v/>
      </c>
      <c r="B64" s="71" t="n"/>
      <c r="C64" s="71" t="n"/>
      <c r="D64" s="71" t="n"/>
      <c r="E64" s="71" t="n"/>
      <c r="F64" s="70">
        <f>IF($E64="","",IFERROR(VLOOKUP($E64,OpTbl,2,0),""))</f>
        <v/>
      </c>
      <c r="G64" s="71" t="n"/>
      <c r="H64" s="73">
        <f>IF($U64="","",IFERROR(VLOOKUP($U64,AcctTbl,2,0),"کد ناشناخته"))</f>
        <v/>
      </c>
      <c r="I64" s="70">
        <f>IF($U64="","",IFERROR(VLOOKUP($U64,AcctTbl,3,0),""))</f>
        <v/>
      </c>
      <c r="J64" s="72" t="n"/>
      <c r="K64" s="71" t="n"/>
      <c r="L64" s="74" t="n"/>
      <c r="M64" s="74" t="n"/>
      <c r="N64" s="148">
        <f>IF(OR($E64="",$L64=""),"",IFERROR(($L64-IF($M64="",0,$M64)*IFERROR(VLOOKUP($K64,BasketTbl,4,0),IFERROR(INDEX(BasketTbl,MATCH($K64,BasketCodeCol,0),4),VLOOKUP("P01",ParamTbl,2,0))))*(1-IF(VLOOKUP($E64,OpTbl,3,0)="خرید",VLOOKUP("P02",ParamTbl,2,0),0)/100),""))</f>
        <v/>
      </c>
      <c r="O64" s="74" t="n"/>
      <c r="P64" s="76">
        <f>IF(OR($E64="",$L64=""),"",IFERROR(IF(VLOOKUP($E64,OpTbl,6,0)="وزن",ROUND($N64*$O64,-3),IF(VLOOKUP($E64,OpTbl,6,0)="مبلغ",ROUND($L64*$O64,-3),0)),""))</f>
        <v/>
      </c>
      <c r="Q64" s="74" t="n"/>
      <c r="R64" s="71" t="n"/>
      <c r="S64" s="77">
        <f>IF($E64="","",IF($AI64="⚠","⚠ ناتراز",IF(AND(IFERROR(VLOOKUP($E64,OpTbl,4,0),"")="بله",$L64=""),"⚠ وزن",IF(AND(IFERROR(VLOOKUP($E64,OpTbl,5,0),"")="بله",$U64=""),"⚠ حساب",IF(AND(IFERROR(VLOOKUP($E64,OpTbl,6,0),"")="مبلغ",$Q64=""),"⚠ مبلغ","✓")))))</f>
        <v/>
      </c>
      <c r="T64" s="72" t="n"/>
      <c r="U64" s="70">
        <f>IF($E64="","",IFERROR(IF(VLOOKUP($E64,OpTbl,14,0)&lt;&gt;"",VLOOKUP($E64,OpTbl,14,0),$G64),""))</f>
        <v/>
      </c>
      <c r="V64" s="76">
        <f>IF(OR($AJ64="",$AJ64=0,$AL64&lt;&gt;"بدهکار"),"",$AJ64)</f>
        <v/>
      </c>
      <c r="W64" s="76">
        <f>IF(OR($AJ64="",$AJ64=0,$AL64&lt;&gt;"بستانکار"),"",$AJ64)</f>
        <v/>
      </c>
      <c r="X64" s="70">
        <f>IF($E64="","",IFERROR(VLOOKUP($E64,OpTbl,8,0),""))</f>
        <v/>
      </c>
      <c r="Y64" s="76">
        <f>IF(OR($X64="",$AJ64="",$AJ64=0,$AM64&lt;&gt;"بدهکار"),"",$AJ64)</f>
        <v/>
      </c>
      <c r="Z64" s="76">
        <f>IF(OR($X64="",$AJ64="",$AJ64=0,$AM64&lt;&gt;"بستانکار"),"",$AJ64)</f>
        <v/>
      </c>
      <c r="AA64" s="70">
        <f>IF(OR($E64="",$AN64="—",$AN64=""),"",IFERROR(VLOOKUP($E64,OpTbl,12,0),""))</f>
        <v/>
      </c>
      <c r="AB64" s="76">
        <f>IF(OR($AA64="",$Q64="",$Q64=0,$AN64&lt;&gt;"بدهکار"),"",$Q64)</f>
        <v/>
      </c>
      <c r="AC64" s="76">
        <f>IF(OR($AA64="",$Q64="",$Q64=0,$AN64&lt;&gt;"بستانکار"),"",$Q64)</f>
        <v/>
      </c>
      <c r="AD64" s="70">
        <f>IF($AA64="","",IFERROR(VLOOKUP($E64,OpTbl,13,0),""))</f>
        <v/>
      </c>
      <c r="AE64" s="76">
        <f>IF(OR($AD64="",$Q64="",$Q64=0,$AN64&lt;&gt;"بستانکار"),"",$Q64)</f>
        <v/>
      </c>
      <c r="AF64" s="76">
        <f>IF(OR($AD64="",$Q64="",$Q64=0,$AN64&lt;&gt;"بدهکار"),"",$Q64)</f>
        <v/>
      </c>
      <c r="AG64" s="76">
        <f>SUM($V64,$Y64,$AB64,$AE64)</f>
        <v/>
      </c>
      <c r="AH64" s="76">
        <f>SUM($W64,$Z64,$AC64,$AF64)</f>
        <v/>
      </c>
      <c r="AI64" s="70">
        <f>IF($E64="","",IF(ROUND($AG64-$AH64,0)=0,"✓","⚠"))</f>
        <v/>
      </c>
      <c r="AJ64" s="76">
        <f>IF(OR($E64="",$U64=""),"",IFERROR(IF(VLOOKUP($E64,OpTbl,6,0)="وزن",IF($P64="",0,$P64),IF(VLOOKUP($E64,OpTbl,6,0)="مبلغ",IF(AND($Q64&lt;&gt;"",$Q64&lt;&gt;0),$Q64,$P64),0))+IF(VLOOKUP($E64,OpTbl,10,0)="افزودن",IF($Q64="",0,$Q64),0),0))</f>
        <v/>
      </c>
      <c r="AK64" s="70">
        <f>IF($E64="","",IFERROR(VLOOKUP($E64,OpTbl,10,0),""))</f>
        <v/>
      </c>
      <c r="AL64" s="70">
        <f>IF(OR($E64="",$U64=""),"",IFERROR(IF(VLOOKUP($E64,OpTbl,7,0)="خودکار",$R64,VLOOKUP($E64,OpTbl,7,0)),""))</f>
        <v/>
      </c>
      <c r="AM64" s="70">
        <f>IF(OR($E64="",$X64=""),"",IFERROR(IF(VLOOKUP($E64,OpTbl,9,0)="خودکار",IF($AL64="بدهکار","بستانکار",IF($AL64="بستانکار","بدهکار","")),VLOOKUP($E64,OpTbl,9,0)),""))</f>
        <v/>
      </c>
      <c r="AN64" s="70">
        <f>IF($E64="","",IFERROR(VLOOKUP($E64,OpTbl,11,0),""))</f>
        <v/>
      </c>
      <c r="AO64" s="70">
        <f>IF($B64="","",MID($B64,6,2))</f>
        <v/>
      </c>
      <c r="AP64" s="76">
        <f>IF($B64="",0,1)</f>
        <v/>
      </c>
    </row>
    <row r="65" ht="21.75" customHeight="1">
      <c r="A65" s="70">
        <f>IF($B65="","",COUNTA($B$10:$B65))</f>
        <v/>
      </c>
      <c r="B65" s="71" t="n"/>
      <c r="C65" s="71" t="n"/>
      <c r="D65" s="71" t="n"/>
      <c r="E65" s="71" t="n"/>
      <c r="F65" s="70">
        <f>IF($E65="","",IFERROR(VLOOKUP($E65,OpTbl,2,0),""))</f>
        <v/>
      </c>
      <c r="G65" s="71" t="n"/>
      <c r="H65" s="73">
        <f>IF($U65="","",IFERROR(VLOOKUP($U65,AcctTbl,2,0),"کد ناشناخته"))</f>
        <v/>
      </c>
      <c r="I65" s="70">
        <f>IF($U65="","",IFERROR(VLOOKUP($U65,AcctTbl,3,0),""))</f>
        <v/>
      </c>
      <c r="J65" s="72" t="n"/>
      <c r="K65" s="71" t="n"/>
      <c r="L65" s="74" t="n"/>
      <c r="M65" s="74" t="n"/>
      <c r="N65" s="148">
        <f>IF(OR($E65="",$L65=""),"",IFERROR(($L65-IF($M65="",0,$M65)*IFERROR(VLOOKUP($K65,BasketTbl,4,0),IFERROR(INDEX(BasketTbl,MATCH($K65,BasketCodeCol,0),4),VLOOKUP("P01",ParamTbl,2,0))))*(1-IF(VLOOKUP($E65,OpTbl,3,0)="خرید",VLOOKUP("P02",ParamTbl,2,0),0)/100),""))</f>
        <v/>
      </c>
      <c r="O65" s="74" t="n"/>
      <c r="P65" s="76">
        <f>IF(OR($E65="",$L65=""),"",IFERROR(IF(VLOOKUP($E65,OpTbl,6,0)="وزن",ROUND($N65*$O65,-3),IF(VLOOKUP($E65,OpTbl,6,0)="مبلغ",ROUND($L65*$O65,-3),0)),""))</f>
        <v/>
      </c>
      <c r="Q65" s="74" t="n"/>
      <c r="R65" s="71" t="n"/>
      <c r="S65" s="77">
        <f>IF($E65="","",IF($AI65="⚠","⚠ ناتراز",IF(AND(IFERROR(VLOOKUP($E65,OpTbl,4,0),"")="بله",$L65=""),"⚠ وزن",IF(AND(IFERROR(VLOOKUP($E65,OpTbl,5,0),"")="بله",$U65=""),"⚠ حساب",IF(AND(IFERROR(VLOOKUP($E65,OpTbl,6,0),"")="مبلغ",$Q65=""),"⚠ مبلغ","✓")))))</f>
        <v/>
      </c>
      <c r="T65" s="72" t="n"/>
      <c r="U65" s="70">
        <f>IF($E65="","",IFERROR(IF(VLOOKUP($E65,OpTbl,14,0)&lt;&gt;"",VLOOKUP($E65,OpTbl,14,0),$G65),""))</f>
        <v/>
      </c>
      <c r="V65" s="76">
        <f>IF(OR($AJ65="",$AJ65=0,$AL65&lt;&gt;"بدهکار"),"",$AJ65)</f>
        <v/>
      </c>
      <c r="W65" s="76">
        <f>IF(OR($AJ65="",$AJ65=0,$AL65&lt;&gt;"بستانکار"),"",$AJ65)</f>
        <v/>
      </c>
      <c r="X65" s="70">
        <f>IF($E65="","",IFERROR(VLOOKUP($E65,OpTbl,8,0),""))</f>
        <v/>
      </c>
      <c r="Y65" s="76">
        <f>IF(OR($X65="",$AJ65="",$AJ65=0,$AM65&lt;&gt;"بدهکار"),"",$AJ65)</f>
        <v/>
      </c>
      <c r="Z65" s="76">
        <f>IF(OR($X65="",$AJ65="",$AJ65=0,$AM65&lt;&gt;"بستانکار"),"",$AJ65)</f>
        <v/>
      </c>
      <c r="AA65" s="70">
        <f>IF(OR($E65="",$AN65="—",$AN65=""),"",IFERROR(VLOOKUP($E65,OpTbl,12,0),""))</f>
        <v/>
      </c>
      <c r="AB65" s="76">
        <f>IF(OR($AA65="",$Q65="",$Q65=0,$AN65&lt;&gt;"بدهکار"),"",$Q65)</f>
        <v/>
      </c>
      <c r="AC65" s="76">
        <f>IF(OR($AA65="",$Q65="",$Q65=0,$AN65&lt;&gt;"بستانکار"),"",$Q65)</f>
        <v/>
      </c>
      <c r="AD65" s="70">
        <f>IF($AA65="","",IFERROR(VLOOKUP($E65,OpTbl,13,0),""))</f>
        <v/>
      </c>
      <c r="AE65" s="76">
        <f>IF(OR($AD65="",$Q65="",$Q65=0,$AN65&lt;&gt;"بستانکار"),"",$Q65)</f>
        <v/>
      </c>
      <c r="AF65" s="76">
        <f>IF(OR($AD65="",$Q65="",$Q65=0,$AN65&lt;&gt;"بدهکار"),"",$Q65)</f>
        <v/>
      </c>
      <c r="AG65" s="76">
        <f>SUM($V65,$Y65,$AB65,$AE65)</f>
        <v/>
      </c>
      <c r="AH65" s="76">
        <f>SUM($W65,$Z65,$AC65,$AF65)</f>
        <v/>
      </c>
      <c r="AI65" s="70">
        <f>IF($E65="","",IF(ROUND($AG65-$AH65,0)=0,"✓","⚠"))</f>
        <v/>
      </c>
      <c r="AJ65" s="76">
        <f>IF(OR($E65="",$U65=""),"",IFERROR(IF(VLOOKUP($E65,OpTbl,6,0)="وزن",IF($P65="",0,$P65),IF(VLOOKUP($E65,OpTbl,6,0)="مبلغ",IF(AND($Q65&lt;&gt;"",$Q65&lt;&gt;0),$Q65,$P65),0))+IF(VLOOKUP($E65,OpTbl,10,0)="افزودن",IF($Q65="",0,$Q65),0),0))</f>
        <v/>
      </c>
      <c r="AK65" s="70">
        <f>IF($E65="","",IFERROR(VLOOKUP($E65,OpTbl,10,0),""))</f>
        <v/>
      </c>
      <c r="AL65" s="70">
        <f>IF(OR($E65="",$U65=""),"",IFERROR(IF(VLOOKUP($E65,OpTbl,7,0)="خودکار",$R65,VLOOKUP($E65,OpTbl,7,0)),""))</f>
        <v/>
      </c>
      <c r="AM65" s="70">
        <f>IF(OR($E65="",$X65=""),"",IFERROR(IF(VLOOKUP($E65,OpTbl,9,0)="خودکار",IF($AL65="بدهکار","بستانکار",IF($AL65="بستانکار","بدهکار","")),VLOOKUP($E65,OpTbl,9,0)),""))</f>
        <v/>
      </c>
      <c r="AN65" s="70">
        <f>IF($E65="","",IFERROR(VLOOKUP($E65,OpTbl,11,0),""))</f>
        <v/>
      </c>
      <c r="AO65" s="70">
        <f>IF($B65="","",MID($B65,6,2))</f>
        <v/>
      </c>
      <c r="AP65" s="76">
        <f>IF($B65="",0,1)</f>
        <v/>
      </c>
    </row>
    <row r="66" ht="21.75" customHeight="1">
      <c r="A66" s="70">
        <f>IF($B66="","",COUNTA($B$10:$B66))</f>
        <v/>
      </c>
      <c r="B66" s="71" t="n"/>
      <c r="C66" s="71" t="n"/>
      <c r="D66" s="71" t="n"/>
      <c r="E66" s="71" t="n"/>
      <c r="F66" s="70">
        <f>IF($E66="","",IFERROR(VLOOKUP($E66,OpTbl,2,0),""))</f>
        <v/>
      </c>
      <c r="G66" s="71" t="n"/>
      <c r="H66" s="73">
        <f>IF($U66="","",IFERROR(VLOOKUP($U66,AcctTbl,2,0),"کد ناشناخته"))</f>
        <v/>
      </c>
      <c r="I66" s="70">
        <f>IF($U66="","",IFERROR(VLOOKUP($U66,AcctTbl,3,0),""))</f>
        <v/>
      </c>
      <c r="J66" s="72" t="n"/>
      <c r="K66" s="71" t="n"/>
      <c r="L66" s="74" t="n"/>
      <c r="M66" s="74" t="n"/>
      <c r="N66" s="148">
        <f>IF(OR($E66="",$L66=""),"",IFERROR(($L66-IF($M66="",0,$M66)*IFERROR(VLOOKUP($K66,BasketTbl,4,0),IFERROR(INDEX(BasketTbl,MATCH($K66,BasketCodeCol,0),4),VLOOKUP("P01",ParamTbl,2,0))))*(1-IF(VLOOKUP($E66,OpTbl,3,0)="خرید",VLOOKUP("P02",ParamTbl,2,0),0)/100),""))</f>
        <v/>
      </c>
      <c r="O66" s="74" t="n"/>
      <c r="P66" s="76">
        <f>IF(OR($E66="",$L66=""),"",IFERROR(IF(VLOOKUP($E66,OpTbl,6,0)="وزن",ROUND($N66*$O66,-3),IF(VLOOKUP($E66,OpTbl,6,0)="مبلغ",ROUND($L66*$O66,-3),0)),""))</f>
        <v/>
      </c>
      <c r="Q66" s="74" t="n"/>
      <c r="R66" s="71" t="n"/>
      <c r="S66" s="77">
        <f>IF($E66="","",IF($AI66="⚠","⚠ ناتراز",IF(AND(IFERROR(VLOOKUP($E66,OpTbl,4,0),"")="بله",$L66=""),"⚠ وزن",IF(AND(IFERROR(VLOOKUP($E66,OpTbl,5,0),"")="بله",$U66=""),"⚠ حساب",IF(AND(IFERROR(VLOOKUP($E66,OpTbl,6,0),"")="مبلغ",$Q66=""),"⚠ مبلغ","✓")))))</f>
        <v/>
      </c>
      <c r="T66" s="72" t="n"/>
      <c r="U66" s="70">
        <f>IF($E66="","",IFERROR(IF(VLOOKUP($E66,OpTbl,14,0)&lt;&gt;"",VLOOKUP($E66,OpTbl,14,0),$G66),""))</f>
        <v/>
      </c>
      <c r="V66" s="76">
        <f>IF(OR($AJ66="",$AJ66=0,$AL66&lt;&gt;"بدهکار"),"",$AJ66)</f>
        <v/>
      </c>
      <c r="W66" s="76">
        <f>IF(OR($AJ66="",$AJ66=0,$AL66&lt;&gt;"بستانکار"),"",$AJ66)</f>
        <v/>
      </c>
      <c r="X66" s="70">
        <f>IF($E66="","",IFERROR(VLOOKUP($E66,OpTbl,8,0),""))</f>
        <v/>
      </c>
      <c r="Y66" s="76">
        <f>IF(OR($X66="",$AJ66="",$AJ66=0,$AM66&lt;&gt;"بدهکار"),"",$AJ66)</f>
        <v/>
      </c>
      <c r="Z66" s="76">
        <f>IF(OR($X66="",$AJ66="",$AJ66=0,$AM66&lt;&gt;"بستانکار"),"",$AJ66)</f>
        <v/>
      </c>
      <c r="AA66" s="70">
        <f>IF(OR($E66="",$AN66="—",$AN66=""),"",IFERROR(VLOOKUP($E66,OpTbl,12,0),""))</f>
        <v/>
      </c>
      <c r="AB66" s="76">
        <f>IF(OR($AA66="",$Q66="",$Q66=0,$AN66&lt;&gt;"بدهکار"),"",$Q66)</f>
        <v/>
      </c>
      <c r="AC66" s="76">
        <f>IF(OR($AA66="",$Q66="",$Q66=0,$AN66&lt;&gt;"بستانکار"),"",$Q66)</f>
        <v/>
      </c>
      <c r="AD66" s="70">
        <f>IF($AA66="","",IFERROR(VLOOKUP($E66,OpTbl,13,0),""))</f>
        <v/>
      </c>
      <c r="AE66" s="76">
        <f>IF(OR($AD66="",$Q66="",$Q66=0,$AN66&lt;&gt;"بستانکار"),"",$Q66)</f>
        <v/>
      </c>
      <c r="AF66" s="76">
        <f>IF(OR($AD66="",$Q66="",$Q66=0,$AN66&lt;&gt;"بدهکار"),"",$Q66)</f>
        <v/>
      </c>
      <c r="AG66" s="76">
        <f>SUM($V66,$Y66,$AB66,$AE66)</f>
        <v/>
      </c>
      <c r="AH66" s="76">
        <f>SUM($W66,$Z66,$AC66,$AF66)</f>
        <v/>
      </c>
      <c r="AI66" s="70">
        <f>IF($E66="","",IF(ROUND($AG66-$AH66,0)=0,"✓","⚠"))</f>
        <v/>
      </c>
      <c r="AJ66" s="76">
        <f>IF(OR($E66="",$U66=""),"",IFERROR(IF(VLOOKUP($E66,OpTbl,6,0)="وزن",IF($P66="",0,$P66),IF(VLOOKUP($E66,OpTbl,6,0)="مبلغ",IF(AND($Q66&lt;&gt;"",$Q66&lt;&gt;0),$Q66,$P66),0))+IF(VLOOKUP($E66,OpTbl,10,0)="افزودن",IF($Q66="",0,$Q66),0),0))</f>
        <v/>
      </c>
      <c r="AK66" s="70">
        <f>IF($E66="","",IFERROR(VLOOKUP($E66,OpTbl,10,0),""))</f>
        <v/>
      </c>
      <c r="AL66" s="70">
        <f>IF(OR($E66="",$U66=""),"",IFERROR(IF(VLOOKUP($E66,OpTbl,7,0)="خودکار",$R66,VLOOKUP($E66,OpTbl,7,0)),""))</f>
        <v/>
      </c>
      <c r="AM66" s="70">
        <f>IF(OR($E66="",$X66=""),"",IFERROR(IF(VLOOKUP($E66,OpTbl,9,0)="خودکار",IF($AL66="بدهکار","بستانکار",IF($AL66="بستانکار","بدهکار","")),VLOOKUP($E66,OpTbl,9,0)),""))</f>
        <v/>
      </c>
      <c r="AN66" s="70">
        <f>IF($E66="","",IFERROR(VLOOKUP($E66,OpTbl,11,0),""))</f>
        <v/>
      </c>
      <c r="AO66" s="70">
        <f>IF($B66="","",MID($B66,6,2))</f>
        <v/>
      </c>
      <c r="AP66" s="76">
        <f>IF($B66="",0,1)</f>
        <v/>
      </c>
    </row>
    <row r="67" ht="21.75" customHeight="1">
      <c r="A67" s="70">
        <f>IF($B67="","",COUNTA($B$10:$B67))</f>
        <v/>
      </c>
      <c r="B67" s="71" t="n"/>
      <c r="C67" s="71" t="n"/>
      <c r="D67" s="71" t="n"/>
      <c r="E67" s="71" t="n"/>
      <c r="F67" s="70">
        <f>IF($E67="","",IFERROR(VLOOKUP($E67,OpTbl,2,0),""))</f>
        <v/>
      </c>
      <c r="G67" s="71" t="n"/>
      <c r="H67" s="73">
        <f>IF($U67="","",IFERROR(VLOOKUP($U67,AcctTbl,2,0),"کد ناشناخته"))</f>
        <v/>
      </c>
      <c r="I67" s="70">
        <f>IF($U67="","",IFERROR(VLOOKUP($U67,AcctTbl,3,0),""))</f>
        <v/>
      </c>
      <c r="J67" s="72" t="n"/>
      <c r="K67" s="71" t="n"/>
      <c r="L67" s="74" t="n"/>
      <c r="M67" s="74" t="n"/>
      <c r="N67" s="148">
        <f>IF(OR($E67="",$L67=""),"",IFERROR(($L67-IF($M67="",0,$M67)*IFERROR(VLOOKUP($K67,BasketTbl,4,0),IFERROR(INDEX(BasketTbl,MATCH($K67,BasketCodeCol,0),4),VLOOKUP("P01",ParamTbl,2,0))))*(1-IF(VLOOKUP($E67,OpTbl,3,0)="خرید",VLOOKUP("P02",ParamTbl,2,0),0)/100),""))</f>
        <v/>
      </c>
      <c r="O67" s="74" t="n"/>
      <c r="P67" s="76">
        <f>IF(OR($E67="",$L67=""),"",IFERROR(IF(VLOOKUP($E67,OpTbl,6,0)="وزن",ROUND($N67*$O67,-3),IF(VLOOKUP($E67,OpTbl,6,0)="مبلغ",ROUND($L67*$O67,-3),0)),""))</f>
        <v/>
      </c>
      <c r="Q67" s="74" t="n"/>
      <c r="R67" s="71" t="n"/>
      <c r="S67" s="77">
        <f>IF($E67="","",IF($AI67="⚠","⚠ ناتراز",IF(AND(IFERROR(VLOOKUP($E67,OpTbl,4,0),"")="بله",$L67=""),"⚠ وزن",IF(AND(IFERROR(VLOOKUP($E67,OpTbl,5,0),"")="بله",$U67=""),"⚠ حساب",IF(AND(IFERROR(VLOOKUP($E67,OpTbl,6,0),"")="مبلغ",$Q67=""),"⚠ مبلغ","✓")))))</f>
        <v/>
      </c>
      <c r="T67" s="72" t="n"/>
      <c r="U67" s="70">
        <f>IF($E67="","",IFERROR(IF(VLOOKUP($E67,OpTbl,14,0)&lt;&gt;"",VLOOKUP($E67,OpTbl,14,0),$G67),""))</f>
        <v/>
      </c>
      <c r="V67" s="76">
        <f>IF(OR($AJ67="",$AJ67=0,$AL67&lt;&gt;"بدهکار"),"",$AJ67)</f>
        <v/>
      </c>
      <c r="W67" s="76">
        <f>IF(OR($AJ67="",$AJ67=0,$AL67&lt;&gt;"بستانکار"),"",$AJ67)</f>
        <v/>
      </c>
      <c r="X67" s="70">
        <f>IF($E67="","",IFERROR(VLOOKUP($E67,OpTbl,8,0),""))</f>
        <v/>
      </c>
      <c r="Y67" s="76">
        <f>IF(OR($X67="",$AJ67="",$AJ67=0,$AM67&lt;&gt;"بدهکار"),"",$AJ67)</f>
        <v/>
      </c>
      <c r="Z67" s="76">
        <f>IF(OR($X67="",$AJ67="",$AJ67=0,$AM67&lt;&gt;"بستانکار"),"",$AJ67)</f>
        <v/>
      </c>
      <c r="AA67" s="70">
        <f>IF(OR($E67="",$AN67="—",$AN67=""),"",IFERROR(VLOOKUP($E67,OpTbl,12,0),""))</f>
        <v/>
      </c>
      <c r="AB67" s="76">
        <f>IF(OR($AA67="",$Q67="",$Q67=0,$AN67&lt;&gt;"بدهکار"),"",$Q67)</f>
        <v/>
      </c>
      <c r="AC67" s="76">
        <f>IF(OR($AA67="",$Q67="",$Q67=0,$AN67&lt;&gt;"بستانکار"),"",$Q67)</f>
        <v/>
      </c>
      <c r="AD67" s="70">
        <f>IF($AA67="","",IFERROR(VLOOKUP($E67,OpTbl,13,0),""))</f>
        <v/>
      </c>
      <c r="AE67" s="76">
        <f>IF(OR($AD67="",$Q67="",$Q67=0,$AN67&lt;&gt;"بستانکار"),"",$Q67)</f>
        <v/>
      </c>
      <c r="AF67" s="76">
        <f>IF(OR($AD67="",$Q67="",$Q67=0,$AN67&lt;&gt;"بدهکار"),"",$Q67)</f>
        <v/>
      </c>
      <c r="AG67" s="76">
        <f>SUM($V67,$Y67,$AB67,$AE67)</f>
        <v/>
      </c>
      <c r="AH67" s="76">
        <f>SUM($W67,$Z67,$AC67,$AF67)</f>
        <v/>
      </c>
      <c r="AI67" s="70">
        <f>IF($E67="","",IF(ROUND($AG67-$AH67,0)=0,"✓","⚠"))</f>
        <v/>
      </c>
      <c r="AJ67" s="76">
        <f>IF(OR($E67="",$U67=""),"",IFERROR(IF(VLOOKUP($E67,OpTbl,6,0)="وزن",IF($P67="",0,$P67),IF(VLOOKUP($E67,OpTbl,6,0)="مبلغ",IF(AND($Q67&lt;&gt;"",$Q67&lt;&gt;0),$Q67,$P67),0))+IF(VLOOKUP($E67,OpTbl,10,0)="افزودن",IF($Q67="",0,$Q67),0),0))</f>
        <v/>
      </c>
      <c r="AK67" s="70">
        <f>IF($E67="","",IFERROR(VLOOKUP($E67,OpTbl,10,0),""))</f>
        <v/>
      </c>
      <c r="AL67" s="70">
        <f>IF(OR($E67="",$U67=""),"",IFERROR(IF(VLOOKUP($E67,OpTbl,7,0)="خودکار",$R67,VLOOKUP($E67,OpTbl,7,0)),""))</f>
        <v/>
      </c>
      <c r="AM67" s="70">
        <f>IF(OR($E67="",$X67=""),"",IFERROR(IF(VLOOKUP($E67,OpTbl,9,0)="خودکار",IF($AL67="بدهکار","بستانکار",IF($AL67="بستانکار","بدهکار","")),VLOOKUP($E67,OpTbl,9,0)),""))</f>
        <v/>
      </c>
      <c r="AN67" s="70">
        <f>IF($E67="","",IFERROR(VLOOKUP($E67,OpTbl,11,0),""))</f>
        <v/>
      </c>
      <c r="AO67" s="70">
        <f>IF($B67="","",MID($B67,6,2))</f>
        <v/>
      </c>
      <c r="AP67" s="76">
        <f>IF($B67="",0,1)</f>
        <v/>
      </c>
    </row>
    <row r="68" ht="21.75" customHeight="1">
      <c r="A68" s="70">
        <f>IF($B68="","",COUNTA($B$10:$B68))</f>
        <v/>
      </c>
      <c r="B68" s="71" t="n"/>
      <c r="C68" s="71" t="n"/>
      <c r="D68" s="71" t="n"/>
      <c r="E68" s="71" t="n"/>
      <c r="F68" s="70">
        <f>IF($E68="","",IFERROR(VLOOKUP($E68,OpTbl,2,0),""))</f>
        <v/>
      </c>
      <c r="G68" s="71" t="n"/>
      <c r="H68" s="73">
        <f>IF($U68="","",IFERROR(VLOOKUP($U68,AcctTbl,2,0),"کد ناشناخته"))</f>
        <v/>
      </c>
      <c r="I68" s="70">
        <f>IF($U68="","",IFERROR(VLOOKUP($U68,AcctTbl,3,0),""))</f>
        <v/>
      </c>
      <c r="J68" s="72" t="n"/>
      <c r="K68" s="71" t="n"/>
      <c r="L68" s="74" t="n"/>
      <c r="M68" s="74" t="n"/>
      <c r="N68" s="148">
        <f>IF(OR($E68="",$L68=""),"",IFERROR(($L68-IF($M68="",0,$M68)*IFERROR(VLOOKUP($K68,BasketTbl,4,0),IFERROR(INDEX(BasketTbl,MATCH($K68,BasketCodeCol,0),4),VLOOKUP("P01",ParamTbl,2,0))))*(1-IF(VLOOKUP($E68,OpTbl,3,0)="خرید",VLOOKUP("P02",ParamTbl,2,0),0)/100),""))</f>
        <v/>
      </c>
      <c r="O68" s="74" t="n"/>
      <c r="P68" s="76">
        <f>IF(OR($E68="",$L68=""),"",IFERROR(IF(VLOOKUP($E68,OpTbl,6,0)="وزن",ROUND($N68*$O68,-3),IF(VLOOKUP($E68,OpTbl,6,0)="مبلغ",ROUND($L68*$O68,-3),0)),""))</f>
        <v/>
      </c>
      <c r="Q68" s="74" t="n"/>
      <c r="R68" s="71" t="n"/>
      <c r="S68" s="77">
        <f>IF($E68="","",IF($AI68="⚠","⚠ ناتراز",IF(AND(IFERROR(VLOOKUP($E68,OpTbl,4,0),"")="بله",$L68=""),"⚠ وزن",IF(AND(IFERROR(VLOOKUP($E68,OpTbl,5,0),"")="بله",$U68=""),"⚠ حساب",IF(AND(IFERROR(VLOOKUP($E68,OpTbl,6,0),"")="مبلغ",$Q68=""),"⚠ مبلغ","✓")))))</f>
        <v/>
      </c>
      <c r="T68" s="72" t="n"/>
      <c r="U68" s="70">
        <f>IF($E68="","",IFERROR(IF(VLOOKUP($E68,OpTbl,14,0)&lt;&gt;"",VLOOKUP($E68,OpTbl,14,0),$G68),""))</f>
        <v/>
      </c>
      <c r="V68" s="76">
        <f>IF(OR($AJ68="",$AJ68=0,$AL68&lt;&gt;"بدهکار"),"",$AJ68)</f>
        <v/>
      </c>
      <c r="W68" s="76">
        <f>IF(OR($AJ68="",$AJ68=0,$AL68&lt;&gt;"بستانکار"),"",$AJ68)</f>
        <v/>
      </c>
      <c r="X68" s="70">
        <f>IF($E68="","",IFERROR(VLOOKUP($E68,OpTbl,8,0),""))</f>
        <v/>
      </c>
      <c r="Y68" s="76">
        <f>IF(OR($X68="",$AJ68="",$AJ68=0,$AM68&lt;&gt;"بدهکار"),"",$AJ68)</f>
        <v/>
      </c>
      <c r="Z68" s="76">
        <f>IF(OR($X68="",$AJ68="",$AJ68=0,$AM68&lt;&gt;"بستانکار"),"",$AJ68)</f>
        <v/>
      </c>
      <c r="AA68" s="70">
        <f>IF(OR($E68="",$AN68="—",$AN68=""),"",IFERROR(VLOOKUP($E68,OpTbl,12,0),""))</f>
        <v/>
      </c>
      <c r="AB68" s="76">
        <f>IF(OR($AA68="",$Q68="",$Q68=0,$AN68&lt;&gt;"بدهکار"),"",$Q68)</f>
        <v/>
      </c>
      <c r="AC68" s="76">
        <f>IF(OR($AA68="",$Q68="",$Q68=0,$AN68&lt;&gt;"بستانکار"),"",$Q68)</f>
        <v/>
      </c>
      <c r="AD68" s="70">
        <f>IF($AA68="","",IFERROR(VLOOKUP($E68,OpTbl,13,0),""))</f>
        <v/>
      </c>
      <c r="AE68" s="76">
        <f>IF(OR($AD68="",$Q68="",$Q68=0,$AN68&lt;&gt;"بستانکار"),"",$Q68)</f>
        <v/>
      </c>
      <c r="AF68" s="76">
        <f>IF(OR($AD68="",$Q68="",$Q68=0,$AN68&lt;&gt;"بدهکار"),"",$Q68)</f>
        <v/>
      </c>
      <c r="AG68" s="76">
        <f>SUM($V68,$Y68,$AB68,$AE68)</f>
        <v/>
      </c>
      <c r="AH68" s="76">
        <f>SUM($W68,$Z68,$AC68,$AF68)</f>
        <v/>
      </c>
      <c r="AI68" s="70">
        <f>IF($E68="","",IF(ROUND($AG68-$AH68,0)=0,"✓","⚠"))</f>
        <v/>
      </c>
      <c r="AJ68" s="76">
        <f>IF(OR($E68="",$U68=""),"",IFERROR(IF(VLOOKUP($E68,OpTbl,6,0)="وزن",IF($P68="",0,$P68),IF(VLOOKUP($E68,OpTbl,6,0)="مبلغ",IF(AND($Q68&lt;&gt;"",$Q68&lt;&gt;0),$Q68,$P68),0))+IF(VLOOKUP($E68,OpTbl,10,0)="افزودن",IF($Q68="",0,$Q68),0),0))</f>
        <v/>
      </c>
      <c r="AK68" s="70">
        <f>IF($E68="","",IFERROR(VLOOKUP($E68,OpTbl,10,0),""))</f>
        <v/>
      </c>
      <c r="AL68" s="70">
        <f>IF(OR($E68="",$U68=""),"",IFERROR(IF(VLOOKUP($E68,OpTbl,7,0)="خودکار",$R68,VLOOKUP($E68,OpTbl,7,0)),""))</f>
        <v/>
      </c>
      <c r="AM68" s="70">
        <f>IF(OR($E68="",$X68=""),"",IFERROR(IF(VLOOKUP($E68,OpTbl,9,0)="خودکار",IF($AL68="بدهکار","بستانکار",IF($AL68="بستانکار","بدهکار","")),VLOOKUP($E68,OpTbl,9,0)),""))</f>
        <v/>
      </c>
      <c r="AN68" s="70">
        <f>IF($E68="","",IFERROR(VLOOKUP($E68,OpTbl,11,0),""))</f>
        <v/>
      </c>
      <c r="AO68" s="70">
        <f>IF($B68="","",MID($B68,6,2))</f>
        <v/>
      </c>
      <c r="AP68" s="76">
        <f>IF($B68="",0,1)</f>
        <v/>
      </c>
    </row>
    <row r="69" ht="21.75" customHeight="1">
      <c r="A69" s="70">
        <f>IF($B69="","",COUNTA($B$10:$B69))</f>
        <v/>
      </c>
      <c r="B69" s="71" t="n"/>
      <c r="C69" s="71" t="n"/>
      <c r="D69" s="71" t="n"/>
      <c r="E69" s="71" t="n"/>
      <c r="F69" s="70">
        <f>IF($E69="","",IFERROR(VLOOKUP($E69,OpTbl,2,0),""))</f>
        <v/>
      </c>
      <c r="G69" s="71" t="n"/>
      <c r="H69" s="73">
        <f>IF($U69="","",IFERROR(VLOOKUP($U69,AcctTbl,2,0),"کد ناشناخته"))</f>
        <v/>
      </c>
      <c r="I69" s="70">
        <f>IF($U69="","",IFERROR(VLOOKUP($U69,AcctTbl,3,0),""))</f>
        <v/>
      </c>
      <c r="J69" s="72" t="n"/>
      <c r="K69" s="71" t="n"/>
      <c r="L69" s="74" t="n"/>
      <c r="M69" s="74" t="n"/>
      <c r="N69" s="148">
        <f>IF(OR($E69="",$L69=""),"",IFERROR(($L69-IF($M69="",0,$M69)*IFERROR(VLOOKUP($K69,BasketTbl,4,0),IFERROR(INDEX(BasketTbl,MATCH($K69,BasketCodeCol,0),4),VLOOKUP("P01",ParamTbl,2,0))))*(1-IF(VLOOKUP($E69,OpTbl,3,0)="خرید",VLOOKUP("P02",ParamTbl,2,0),0)/100),""))</f>
        <v/>
      </c>
      <c r="O69" s="74" t="n"/>
      <c r="P69" s="76">
        <f>IF(OR($E69="",$L69=""),"",IFERROR(IF(VLOOKUP($E69,OpTbl,6,0)="وزن",ROUND($N69*$O69,-3),IF(VLOOKUP($E69,OpTbl,6,0)="مبلغ",ROUND($L69*$O69,-3),0)),""))</f>
        <v/>
      </c>
      <c r="Q69" s="74" t="n"/>
      <c r="R69" s="71" t="n"/>
      <c r="S69" s="77">
        <f>IF($E69="","",IF($AI69="⚠","⚠ ناتراز",IF(AND(IFERROR(VLOOKUP($E69,OpTbl,4,0),"")="بله",$L69=""),"⚠ وزن",IF(AND(IFERROR(VLOOKUP($E69,OpTbl,5,0),"")="بله",$U69=""),"⚠ حساب",IF(AND(IFERROR(VLOOKUP($E69,OpTbl,6,0),"")="مبلغ",$Q69=""),"⚠ مبلغ","✓")))))</f>
        <v/>
      </c>
      <c r="T69" s="72" t="n"/>
      <c r="U69" s="70">
        <f>IF($E69="","",IFERROR(IF(VLOOKUP($E69,OpTbl,14,0)&lt;&gt;"",VLOOKUP($E69,OpTbl,14,0),$G69),""))</f>
        <v/>
      </c>
      <c r="V69" s="76">
        <f>IF(OR($AJ69="",$AJ69=0,$AL69&lt;&gt;"بدهکار"),"",$AJ69)</f>
        <v/>
      </c>
      <c r="W69" s="76">
        <f>IF(OR($AJ69="",$AJ69=0,$AL69&lt;&gt;"بستانکار"),"",$AJ69)</f>
        <v/>
      </c>
      <c r="X69" s="70">
        <f>IF($E69="","",IFERROR(VLOOKUP($E69,OpTbl,8,0),""))</f>
        <v/>
      </c>
      <c r="Y69" s="76">
        <f>IF(OR($X69="",$AJ69="",$AJ69=0,$AM69&lt;&gt;"بدهکار"),"",$AJ69)</f>
        <v/>
      </c>
      <c r="Z69" s="76">
        <f>IF(OR($X69="",$AJ69="",$AJ69=0,$AM69&lt;&gt;"بستانکار"),"",$AJ69)</f>
        <v/>
      </c>
      <c r="AA69" s="70">
        <f>IF(OR($E69="",$AN69="—",$AN69=""),"",IFERROR(VLOOKUP($E69,OpTbl,12,0),""))</f>
        <v/>
      </c>
      <c r="AB69" s="76">
        <f>IF(OR($AA69="",$Q69="",$Q69=0,$AN69&lt;&gt;"بدهکار"),"",$Q69)</f>
        <v/>
      </c>
      <c r="AC69" s="76">
        <f>IF(OR($AA69="",$Q69="",$Q69=0,$AN69&lt;&gt;"بستانکار"),"",$Q69)</f>
        <v/>
      </c>
      <c r="AD69" s="70">
        <f>IF($AA69="","",IFERROR(VLOOKUP($E69,OpTbl,13,0),""))</f>
        <v/>
      </c>
      <c r="AE69" s="76">
        <f>IF(OR($AD69="",$Q69="",$Q69=0,$AN69&lt;&gt;"بستانکار"),"",$Q69)</f>
        <v/>
      </c>
      <c r="AF69" s="76">
        <f>IF(OR($AD69="",$Q69="",$Q69=0,$AN69&lt;&gt;"بدهکار"),"",$Q69)</f>
        <v/>
      </c>
      <c r="AG69" s="76">
        <f>SUM($V69,$Y69,$AB69,$AE69)</f>
        <v/>
      </c>
      <c r="AH69" s="76">
        <f>SUM($W69,$Z69,$AC69,$AF69)</f>
        <v/>
      </c>
      <c r="AI69" s="70">
        <f>IF($E69="","",IF(ROUND($AG69-$AH69,0)=0,"✓","⚠"))</f>
        <v/>
      </c>
      <c r="AJ69" s="76">
        <f>IF(OR($E69="",$U69=""),"",IFERROR(IF(VLOOKUP($E69,OpTbl,6,0)="وزن",IF($P69="",0,$P69),IF(VLOOKUP($E69,OpTbl,6,0)="مبلغ",IF(AND($Q69&lt;&gt;"",$Q69&lt;&gt;0),$Q69,$P69),0))+IF(VLOOKUP($E69,OpTbl,10,0)="افزودن",IF($Q69="",0,$Q69),0),0))</f>
        <v/>
      </c>
      <c r="AK69" s="70">
        <f>IF($E69="","",IFERROR(VLOOKUP($E69,OpTbl,10,0),""))</f>
        <v/>
      </c>
      <c r="AL69" s="70">
        <f>IF(OR($E69="",$U69=""),"",IFERROR(IF(VLOOKUP($E69,OpTbl,7,0)="خودکار",$R69,VLOOKUP($E69,OpTbl,7,0)),""))</f>
        <v/>
      </c>
      <c r="AM69" s="70">
        <f>IF(OR($E69="",$X69=""),"",IFERROR(IF(VLOOKUP($E69,OpTbl,9,0)="خودکار",IF($AL69="بدهکار","بستانکار",IF($AL69="بستانکار","بدهکار","")),VLOOKUP($E69,OpTbl,9,0)),""))</f>
        <v/>
      </c>
      <c r="AN69" s="70">
        <f>IF($E69="","",IFERROR(VLOOKUP($E69,OpTbl,11,0),""))</f>
        <v/>
      </c>
      <c r="AO69" s="70">
        <f>IF($B69="","",MID($B69,6,2))</f>
        <v/>
      </c>
      <c r="AP69" s="76">
        <f>IF($B69="",0,1)</f>
        <v/>
      </c>
    </row>
    <row r="70" ht="21.75" customHeight="1">
      <c r="A70" s="70">
        <f>IF($B70="","",COUNTA($B$10:$B70))</f>
        <v/>
      </c>
      <c r="B70" s="71" t="n"/>
      <c r="C70" s="71" t="n"/>
      <c r="D70" s="71" t="n"/>
      <c r="E70" s="71" t="n"/>
      <c r="F70" s="70">
        <f>IF($E70="","",IFERROR(VLOOKUP($E70,OpTbl,2,0),""))</f>
        <v/>
      </c>
      <c r="G70" s="71" t="n"/>
      <c r="H70" s="73">
        <f>IF($U70="","",IFERROR(VLOOKUP($U70,AcctTbl,2,0),"کد ناشناخته"))</f>
        <v/>
      </c>
      <c r="I70" s="70">
        <f>IF($U70="","",IFERROR(VLOOKUP($U70,AcctTbl,3,0),""))</f>
        <v/>
      </c>
      <c r="J70" s="72" t="n"/>
      <c r="K70" s="71" t="n"/>
      <c r="L70" s="74" t="n"/>
      <c r="M70" s="74" t="n"/>
      <c r="N70" s="148">
        <f>IF(OR($E70="",$L70=""),"",IFERROR(($L70-IF($M70="",0,$M70)*IFERROR(VLOOKUP($K70,BasketTbl,4,0),IFERROR(INDEX(BasketTbl,MATCH($K70,BasketCodeCol,0),4),VLOOKUP("P01",ParamTbl,2,0))))*(1-IF(VLOOKUP($E70,OpTbl,3,0)="خرید",VLOOKUP("P02",ParamTbl,2,0),0)/100),""))</f>
        <v/>
      </c>
      <c r="O70" s="74" t="n"/>
      <c r="P70" s="76">
        <f>IF(OR($E70="",$L70=""),"",IFERROR(IF(VLOOKUP($E70,OpTbl,6,0)="وزن",ROUND($N70*$O70,-3),IF(VLOOKUP($E70,OpTbl,6,0)="مبلغ",ROUND($L70*$O70,-3),0)),""))</f>
        <v/>
      </c>
      <c r="Q70" s="74" t="n"/>
      <c r="R70" s="71" t="n"/>
      <c r="S70" s="77">
        <f>IF($E70="","",IF($AI70="⚠","⚠ ناتراز",IF(AND(IFERROR(VLOOKUP($E70,OpTbl,4,0),"")="بله",$L70=""),"⚠ وزن",IF(AND(IFERROR(VLOOKUP($E70,OpTbl,5,0),"")="بله",$U70=""),"⚠ حساب",IF(AND(IFERROR(VLOOKUP($E70,OpTbl,6,0),"")="مبلغ",$Q70=""),"⚠ مبلغ","✓")))))</f>
        <v/>
      </c>
      <c r="T70" s="72" t="n"/>
      <c r="U70" s="70">
        <f>IF($E70="","",IFERROR(IF(VLOOKUP($E70,OpTbl,14,0)&lt;&gt;"",VLOOKUP($E70,OpTbl,14,0),$G70),""))</f>
        <v/>
      </c>
      <c r="V70" s="76">
        <f>IF(OR($AJ70="",$AJ70=0,$AL70&lt;&gt;"بدهکار"),"",$AJ70)</f>
        <v/>
      </c>
      <c r="W70" s="76">
        <f>IF(OR($AJ70="",$AJ70=0,$AL70&lt;&gt;"بستانکار"),"",$AJ70)</f>
        <v/>
      </c>
      <c r="X70" s="70">
        <f>IF($E70="","",IFERROR(VLOOKUP($E70,OpTbl,8,0),""))</f>
        <v/>
      </c>
      <c r="Y70" s="76">
        <f>IF(OR($X70="",$AJ70="",$AJ70=0,$AM70&lt;&gt;"بدهکار"),"",$AJ70)</f>
        <v/>
      </c>
      <c r="Z70" s="76">
        <f>IF(OR($X70="",$AJ70="",$AJ70=0,$AM70&lt;&gt;"بستانکار"),"",$AJ70)</f>
        <v/>
      </c>
      <c r="AA70" s="70">
        <f>IF(OR($E70="",$AN70="—",$AN70=""),"",IFERROR(VLOOKUP($E70,OpTbl,12,0),""))</f>
        <v/>
      </c>
      <c r="AB70" s="76">
        <f>IF(OR($AA70="",$Q70="",$Q70=0,$AN70&lt;&gt;"بدهکار"),"",$Q70)</f>
        <v/>
      </c>
      <c r="AC70" s="76">
        <f>IF(OR($AA70="",$Q70="",$Q70=0,$AN70&lt;&gt;"بستانکار"),"",$Q70)</f>
        <v/>
      </c>
      <c r="AD70" s="70">
        <f>IF($AA70="","",IFERROR(VLOOKUP($E70,OpTbl,13,0),""))</f>
        <v/>
      </c>
      <c r="AE70" s="76">
        <f>IF(OR($AD70="",$Q70="",$Q70=0,$AN70&lt;&gt;"بستانکار"),"",$Q70)</f>
        <v/>
      </c>
      <c r="AF70" s="76">
        <f>IF(OR($AD70="",$Q70="",$Q70=0,$AN70&lt;&gt;"بدهکار"),"",$Q70)</f>
        <v/>
      </c>
      <c r="AG70" s="76">
        <f>SUM($V70,$Y70,$AB70,$AE70)</f>
        <v/>
      </c>
      <c r="AH70" s="76">
        <f>SUM($W70,$Z70,$AC70,$AF70)</f>
        <v/>
      </c>
      <c r="AI70" s="70">
        <f>IF($E70="","",IF(ROUND($AG70-$AH70,0)=0,"✓","⚠"))</f>
        <v/>
      </c>
      <c r="AJ70" s="76">
        <f>IF(OR($E70="",$U70=""),"",IFERROR(IF(VLOOKUP($E70,OpTbl,6,0)="وزن",IF($P70="",0,$P70),IF(VLOOKUP($E70,OpTbl,6,0)="مبلغ",IF(AND($Q70&lt;&gt;"",$Q70&lt;&gt;0),$Q70,$P70),0))+IF(VLOOKUP($E70,OpTbl,10,0)="افزودن",IF($Q70="",0,$Q70),0),0))</f>
        <v/>
      </c>
      <c r="AK70" s="70">
        <f>IF($E70="","",IFERROR(VLOOKUP($E70,OpTbl,10,0),""))</f>
        <v/>
      </c>
      <c r="AL70" s="70">
        <f>IF(OR($E70="",$U70=""),"",IFERROR(IF(VLOOKUP($E70,OpTbl,7,0)="خودکار",$R70,VLOOKUP($E70,OpTbl,7,0)),""))</f>
        <v/>
      </c>
      <c r="AM70" s="70">
        <f>IF(OR($E70="",$X70=""),"",IFERROR(IF(VLOOKUP($E70,OpTbl,9,0)="خودکار",IF($AL70="بدهکار","بستانکار",IF($AL70="بستانکار","بدهکار","")),VLOOKUP($E70,OpTbl,9,0)),""))</f>
        <v/>
      </c>
      <c r="AN70" s="70">
        <f>IF($E70="","",IFERROR(VLOOKUP($E70,OpTbl,11,0),""))</f>
        <v/>
      </c>
      <c r="AO70" s="70">
        <f>IF($B70="","",MID($B70,6,2))</f>
        <v/>
      </c>
      <c r="AP70" s="76">
        <f>IF($B70="",0,1)</f>
        <v/>
      </c>
    </row>
    <row r="71" ht="21.75" customHeight="1">
      <c r="A71" s="70">
        <f>IF($B71="","",COUNTA($B$10:$B71))</f>
        <v/>
      </c>
      <c r="B71" s="71" t="n"/>
      <c r="C71" s="71" t="n"/>
      <c r="D71" s="71" t="n"/>
      <c r="E71" s="71" t="n"/>
      <c r="F71" s="70">
        <f>IF($E71="","",IFERROR(VLOOKUP($E71,OpTbl,2,0),""))</f>
        <v/>
      </c>
      <c r="G71" s="71" t="n"/>
      <c r="H71" s="73">
        <f>IF($U71="","",IFERROR(VLOOKUP($U71,AcctTbl,2,0),"کد ناشناخته"))</f>
        <v/>
      </c>
      <c r="I71" s="70">
        <f>IF($U71="","",IFERROR(VLOOKUP($U71,AcctTbl,3,0),""))</f>
        <v/>
      </c>
      <c r="J71" s="72" t="n"/>
      <c r="K71" s="71" t="n"/>
      <c r="L71" s="74" t="n"/>
      <c r="M71" s="74" t="n"/>
      <c r="N71" s="148">
        <f>IF(OR($E71="",$L71=""),"",IFERROR(($L71-IF($M71="",0,$M71)*IFERROR(VLOOKUP($K71,BasketTbl,4,0),IFERROR(INDEX(BasketTbl,MATCH($K71,BasketCodeCol,0),4),VLOOKUP("P01",ParamTbl,2,0))))*(1-IF(VLOOKUP($E71,OpTbl,3,0)="خرید",VLOOKUP("P02",ParamTbl,2,0),0)/100),""))</f>
        <v/>
      </c>
      <c r="O71" s="74" t="n"/>
      <c r="P71" s="76">
        <f>IF(OR($E71="",$L71=""),"",IFERROR(IF(VLOOKUP($E71,OpTbl,6,0)="وزن",ROUND($N71*$O71,-3),IF(VLOOKUP($E71,OpTbl,6,0)="مبلغ",ROUND($L71*$O71,-3),0)),""))</f>
        <v/>
      </c>
      <c r="Q71" s="74" t="n"/>
      <c r="R71" s="71" t="n"/>
      <c r="S71" s="77">
        <f>IF($E71="","",IF($AI71="⚠","⚠ ناتراز",IF(AND(IFERROR(VLOOKUP($E71,OpTbl,4,0),"")="بله",$L71=""),"⚠ وزن",IF(AND(IFERROR(VLOOKUP($E71,OpTbl,5,0),"")="بله",$U71=""),"⚠ حساب",IF(AND(IFERROR(VLOOKUP($E71,OpTbl,6,0),"")="مبلغ",$Q71=""),"⚠ مبلغ","✓")))))</f>
        <v/>
      </c>
      <c r="T71" s="72" t="n"/>
      <c r="U71" s="70">
        <f>IF($E71="","",IFERROR(IF(VLOOKUP($E71,OpTbl,14,0)&lt;&gt;"",VLOOKUP($E71,OpTbl,14,0),$G71),""))</f>
        <v/>
      </c>
      <c r="V71" s="76">
        <f>IF(OR($AJ71="",$AJ71=0,$AL71&lt;&gt;"بدهکار"),"",$AJ71)</f>
        <v/>
      </c>
      <c r="W71" s="76">
        <f>IF(OR($AJ71="",$AJ71=0,$AL71&lt;&gt;"بستانکار"),"",$AJ71)</f>
        <v/>
      </c>
      <c r="X71" s="70">
        <f>IF($E71="","",IFERROR(VLOOKUP($E71,OpTbl,8,0),""))</f>
        <v/>
      </c>
      <c r="Y71" s="76">
        <f>IF(OR($X71="",$AJ71="",$AJ71=0,$AM71&lt;&gt;"بدهکار"),"",$AJ71)</f>
        <v/>
      </c>
      <c r="Z71" s="76">
        <f>IF(OR($X71="",$AJ71="",$AJ71=0,$AM71&lt;&gt;"بستانکار"),"",$AJ71)</f>
        <v/>
      </c>
      <c r="AA71" s="70">
        <f>IF(OR($E71="",$AN71="—",$AN71=""),"",IFERROR(VLOOKUP($E71,OpTbl,12,0),""))</f>
        <v/>
      </c>
      <c r="AB71" s="76">
        <f>IF(OR($AA71="",$Q71="",$Q71=0,$AN71&lt;&gt;"بدهکار"),"",$Q71)</f>
        <v/>
      </c>
      <c r="AC71" s="76">
        <f>IF(OR($AA71="",$Q71="",$Q71=0,$AN71&lt;&gt;"بستانکار"),"",$Q71)</f>
        <v/>
      </c>
      <c r="AD71" s="70">
        <f>IF($AA71="","",IFERROR(VLOOKUP($E71,OpTbl,13,0),""))</f>
        <v/>
      </c>
      <c r="AE71" s="76">
        <f>IF(OR($AD71="",$Q71="",$Q71=0,$AN71&lt;&gt;"بستانکار"),"",$Q71)</f>
        <v/>
      </c>
      <c r="AF71" s="76">
        <f>IF(OR($AD71="",$Q71="",$Q71=0,$AN71&lt;&gt;"بدهکار"),"",$Q71)</f>
        <v/>
      </c>
      <c r="AG71" s="76">
        <f>SUM($V71,$Y71,$AB71,$AE71)</f>
        <v/>
      </c>
      <c r="AH71" s="76">
        <f>SUM($W71,$Z71,$AC71,$AF71)</f>
        <v/>
      </c>
      <c r="AI71" s="70">
        <f>IF($E71="","",IF(ROUND($AG71-$AH71,0)=0,"✓","⚠"))</f>
        <v/>
      </c>
      <c r="AJ71" s="76">
        <f>IF(OR($E71="",$U71=""),"",IFERROR(IF(VLOOKUP($E71,OpTbl,6,0)="وزن",IF($P71="",0,$P71),IF(VLOOKUP($E71,OpTbl,6,0)="مبلغ",IF(AND($Q71&lt;&gt;"",$Q71&lt;&gt;0),$Q71,$P71),0))+IF(VLOOKUP($E71,OpTbl,10,0)="افزودن",IF($Q71="",0,$Q71),0),0))</f>
        <v/>
      </c>
      <c r="AK71" s="70">
        <f>IF($E71="","",IFERROR(VLOOKUP($E71,OpTbl,10,0),""))</f>
        <v/>
      </c>
      <c r="AL71" s="70">
        <f>IF(OR($E71="",$U71=""),"",IFERROR(IF(VLOOKUP($E71,OpTbl,7,0)="خودکار",$R71,VLOOKUP($E71,OpTbl,7,0)),""))</f>
        <v/>
      </c>
      <c r="AM71" s="70">
        <f>IF(OR($E71="",$X71=""),"",IFERROR(IF(VLOOKUP($E71,OpTbl,9,0)="خودکار",IF($AL71="بدهکار","بستانکار",IF($AL71="بستانکار","بدهکار","")),VLOOKUP($E71,OpTbl,9,0)),""))</f>
        <v/>
      </c>
      <c r="AN71" s="70">
        <f>IF($E71="","",IFERROR(VLOOKUP($E71,OpTbl,11,0),""))</f>
        <v/>
      </c>
      <c r="AO71" s="70">
        <f>IF($B71="","",MID($B71,6,2))</f>
        <v/>
      </c>
      <c r="AP71" s="76">
        <f>IF($B71="",0,1)</f>
        <v/>
      </c>
    </row>
    <row r="72" ht="21.75" customHeight="1">
      <c r="A72" s="70">
        <f>IF($B72="","",COUNTA($B$10:$B72))</f>
        <v/>
      </c>
      <c r="B72" s="71" t="n"/>
      <c r="C72" s="71" t="n"/>
      <c r="D72" s="71" t="n"/>
      <c r="E72" s="71" t="n"/>
      <c r="F72" s="70">
        <f>IF($E72="","",IFERROR(VLOOKUP($E72,OpTbl,2,0),""))</f>
        <v/>
      </c>
      <c r="G72" s="71" t="n"/>
      <c r="H72" s="73">
        <f>IF($U72="","",IFERROR(VLOOKUP($U72,AcctTbl,2,0),"کد ناشناخته"))</f>
        <v/>
      </c>
      <c r="I72" s="70">
        <f>IF($U72="","",IFERROR(VLOOKUP($U72,AcctTbl,3,0),""))</f>
        <v/>
      </c>
      <c r="J72" s="72" t="n"/>
      <c r="K72" s="71" t="n"/>
      <c r="L72" s="74" t="n"/>
      <c r="M72" s="74" t="n"/>
      <c r="N72" s="148">
        <f>IF(OR($E72="",$L72=""),"",IFERROR(($L72-IF($M72="",0,$M72)*IFERROR(VLOOKUP($K72,BasketTbl,4,0),IFERROR(INDEX(BasketTbl,MATCH($K72,BasketCodeCol,0),4),VLOOKUP("P01",ParamTbl,2,0))))*(1-IF(VLOOKUP($E72,OpTbl,3,0)="خرید",VLOOKUP("P02",ParamTbl,2,0),0)/100),""))</f>
        <v/>
      </c>
      <c r="O72" s="74" t="n"/>
      <c r="P72" s="76">
        <f>IF(OR($E72="",$L72=""),"",IFERROR(IF(VLOOKUP($E72,OpTbl,6,0)="وزن",ROUND($N72*$O72,-3),IF(VLOOKUP($E72,OpTbl,6,0)="مبلغ",ROUND($L72*$O72,-3),0)),""))</f>
        <v/>
      </c>
      <c r="Q72" s="74" t="n"/>
      <c r="R72" s="71" t="n"/>
      <c r="S72" s="77">
        <f>IF($E72="","",IF($AI72="⚠","⚠ ناتراز",IF(AND(IFERROR(VLOOKUP($E72,OpTbl,4,0),"")="بله",$L72=""),"⚠ وزن",IF(AND(IFERROR(VLOOKUP($E72,OpTbl,5,0),"")="بله",$U72=""),"⚠ حساب",IF(AND(IFERROR(VLOOKUP($E72,OpTbl,6,0),"")="مبلغ",$Q72=""),"⚠ مبلغ","✓")))))</f>
        <v/>
      </c>
      <c r="T72" s="72" t="n"/>
      <c r="U72" s="70">
        <f>IF($E72="","",IFERROR(IF(VLOOKUP($E72,OpTbl,14,0)&lt;&gt;"",VLOOKUP($E72,OpTbl,14,0),$G72),""))</f>
        <v/>
      </c>
      <c r="V72" s="76">
        <f>IF(OR($AJ72="",$AJ72=0,$AL72&lt;&gt;"بدهکار"),"",$AJ72)</f>
        <v/>
      </c>
      <c r="W72" s="76">
        <f>IF(OR($AJ72="",$AJ72=0,$AL72&lt;&gt;"بستانکار"),"",$AJ72)</f>
        <v/>
      </c>
      <c r="X72" s="70">
        <f>IF($E72="","",IFERROR(VLOOKUP($E72,OpTbl,8,0),""))</f>
        <v/>
      </c>
      <c r="Y72" s="76">
        <f>IF(OR($X72="",$AJ72="",$AJ72=0,$AM72&lt;&gt;"بدهکار"),"",$AJ72)</f>
        <v/>
      </c>
      <c r="Z72" s="76">
        <f>IF(OR($X72="",$AJ72="",$AJ72=0,$AM72&lt;&gt;"بستانکار"),"",$AJ72)</f>
        <v/>
      </c>
      <c r="AA72" s="70">
        <f>IF(OR($E72="",$AN72="—",$AN72=""),"",IFERROR(VLOOKUP($E72,OpTbl,12,0),""))</f>
        <v/>
      </c>
      <c r="AB72" s="76">
        <f>IF(OR($AA72="",$Q72="",$Q72=0,$AN72&lt;&gt;"بدهکار"),"",$Q72)</f>
        <v/>
      </c>
      <c r="AC72" s="76">
        <f>IF(OR($AA72="",$Q72="",$Q72=0,$AN72&lt;&gt;"بستانکار"),"",$Q72)</f>
        <v/>
      </c>
      <c r="AD72" s="70">
        <f>IF($AA72="","",IFERROR(VLOOKUP($E72,OpTbl,13,0),""))</f>
        <v/>
      </c>
      <c r="AE72" s="76">
        <f>IF(OR($AD72="",$Q72="",$Q72=0,$AN72&lt;&gt;"بستانکار"),"",$Q72)</f>
        <v/>
      </c>
      <c r="AF72" s="76">
        <f>IF(OR($AD72="",$Q72="",$Q72=0,$AN72&lt;&gt;"بدهکار"),"",$Q72)</f>
        <v/>
      </c>
      <c r="AG72" s="76">
        <f>SUM($V72,$Y72,$AB72,$AE72)</f>
        <v/>
      </c>
      <c r="AH72" s="76">
        <f>SUM($W72,$Z72,$AC72,$AF72)</f>
        <v/>
      </c>
      <c r="AI72" s="70">
        <f>IF($E72="","",IF(ROUND($AG72-$AH72,0)=0,"✓","⚠"))</f>
        <v/>
      </c>
      <c r="AJ72" s="76">
        <f>IF(OR($E72="",$U72=""),"",IFERROR(IF(VLOOKUP($E72,OpTbl,6,0)="وزن",IF($P72="",0,$P72),IF(VLOOKUP($E72,OpTbl,6,0)="مبلغ",IF(AND($Q72&lt;&gt;"",$Q72&lt;&gt;0),$Q72,$P72),0))+IF(VLOOKUP($E72,OpTbl,10,0)="افزودن",IF($Q72="",0,$Q72),0),0))</f>
        <v/>
      </c>
      <c r="AK72" s="70">
        <f>IF($E72="","",IFERROR(VLOOKUP($E72,OpTbl,10,0),""))</f>
        <v/>
      </c>
      <c r="AL72" s="70">
        <f>IF(OR($E72="",$U72=""),"",IFERROR(IF(VLOOKUP($E72,OpTbl,7,0)="خودکار",$R72,VLOOKUP($E72,OpTbl,7,0)),""))</f>
        <v/>
      </c>
      <c r="AM72" s="70">
        <f>IF(OR($E72="",$X72=""),"",IFERROR(IF(VLOOKUP($E72,OpTbl,9,0)="خودکار",IF($AL72="بدهکار","بستانکار",IF($AL72="بستانکار","بدهکار","")),VLOOKUP($E72,OpTbl,9,0)),""))</f>
        <v/>
      </c>
      <c r="AN72" s="70">
        <f>IF($E72="","",IFERROR(VLOOKUP($E72,OpTbl,11,0),""))</f>
        <v/>
      </c>
      <c r="AO72" s="70">
        <f>IF($B72="","",MID($B72,6,2))</f>
        <v/>
      </c>
      <c r="AP72" s="76">
        <f>IF($B72="",0,1)</f>
        <v/>
      </c>
    </row>
    <row r="73" ht="21.75" customHeight="1">
      <c r="A73" s="70">
        <f>IF($B73="","",COUNTA($B$10:$B73))</f>
        <v/>
      </c>
      <c r="B73" s="71" t="n"/>
      <c r="C73" s="71" t="n"/>
      <c r="D73" s="71" t="n"/>
      <c r="E73" s="71" t="n"/>
      <c r="F73" s="70">
        <f>IF($E73="","",IFERROR(VLOOKUP($E73,OpTbl,2,0),""))</f>
        <v/>
      </c>
      <c r="G73" s="71" t="n"/>
      <c r="H73" s="73">
        <f>IF($U73="","",IFERROR(VLOOKUP($U73,AcctTbl,2,0),"کد ناشناخته"))</f>
        <v/>
      </c>
      <c r="I73" s="70">
        <f>IF($U73="","",IFERROR(VLOOKUP($U73,AcctTbl,3,0),""))</f>
        <v/>
      </c>
      <c r="J73" s="72" t="n"/>
      <c r="K73" s="71" t="n"/>
      <c r="L73" s="74" t="n"/>
      <c r="M73" s="74" t="n"/>
      <c r="N73" s="148">
        <f>IF(OR($E73="",$L73=""),"",IFERROR(($L73-IF($M73="",0,$M73)*IFERROR(VLOOKUP($K73,BasketTbl,4,0),IFERROR(INDEX(BasketTbl,MATCH($K73,BasketCodeCol,0),4),VLOOKUP("P01",ParamTbl,2,0))))*(1-IF(VLOOKUP($E73,OpTbl,3,0)="خرید",VLOOKUP("P02",ParamTbl,2,0),0)/100),""))</f>
        <v/>
      </c>
      <c r="O73" s="74" t="n"/>
      <c r="P73" s="76">
        <f>IF(OR($E73="",$L73=""),"",IFERROR(IF(VLOOKUP($E73,OpTbl,6,0)="وزن",ROUND($N73*$O73,-3),IF(VLOOKUP($E73,OpTbl,6,0)="مبلغ",ROUND($L73*$O73,-3),0)),""))</f>
        <v/>
      </c>
      <c r="Q73" s="74" t="n"/>
      <c r="R73" s="71" t="n"/>
      <c r="S73" s="77">
        <f>IF($E73="","",IF($AI73="⚠","⚠ ناتراز",IF(AND(IFERROR(VLOOKUP($E73,OpTbl,4,0),"")="بله",$L73=""),"⚠ وزن",IF(AND(IFERROR(VLOOKUP($E73,OpTbl,5,0),"")="بله",$U73=""),"⚠ حساب",IF(AND(IFERROR(VLOOKUP($E73,OpTbl,6,0),"")="مبلغ",$Q73=""),"⚠ مبلغ","✓")))))</f>
        <v/>
      </c>
      <c r="T73" s="72" t="n"/>
      <c r="U73" s="70">
        <f>IF($E73="","",IFERROR(IF(VLOOKUP($E73,OpTbl,14,0)&lt;&gt;"",VLOOKUP($E73,OpTbl,14,0),$G73),""))</f>
        <v/>
      </c>
      <c r="V73" s="76">
        <f>IF(OR($AJ73="",$AJ73=0,$AL73&lt;&gt;"بدهکار"),"",$AJ73)</f>
        <v/>
      </c>
      <c r="W73" s="76">
        <f>IF(OR($AJ73="",$AJ73=0,$AL73&lt;&gt;"بستانکار"),"",$AJ73)</f>
        <v/>
      </c>
      <c r="X73" s="70">
        <f>IF($E73="","",IFERROR(VLOOKUP($E73,OpTbl,8,0),""))</f>
        <v/>
      </c>
      <c r="Y73" s="76">
        <f>IF(OR($X73="",$AJ73="",$AJ73=0,$AM73&lt;&gt;"بدهکار"),"",$AJ73)</f>
        <v/>
      </c>
      <c r="Z73" s="76">
        <f>IF(OR($X73="",$AJ73="",$AJ73=0,$AM73&lt;&gt;"بستانکار"),"",$AJ73)</f>
        <v/>
      </c>
      <c r="AA73" s="70">
        <f>IF(OR($E73="",$AN73="—",$AN73=""),"",IFERROR(VLOOKUP($E73,OpTbl,12,0),""))</f>
        <v/>
      </c>
      <c r="AB73" s="76">
        <f>IF(OR($AA73="",$Q73="",$Q73=0,$AN73&lt;&gt;"بدهکار"),"",$Q73)</f>
        <v/>
      </c>
      <c r="AC73" s="76">
        <f>IF(OR($AA73="",$Q73="",$Q73=0,$AN73&lt;&gt;"بستانکار"),"",$Q73)</f>
        <v/>
      </c>
      <c r="AD73" s="70">
        <f>IF($AA73="","",IFERROR(VLOOKUP($E73,OpTbl,13,0),""))</f>
        <v/>
      </c>
      <c r="AE73" s="76">
        <f>IF(OR($AD73="",$Q73="",$Q73=0,$AN73&lt;&gt;"بستانکار"),"",$Q73)</f>
        <v/>
      </c>
      <c r="AF73" s="76">
        <f>IF(OR($AD73="",$Q73="",$Q73=0,$AN73&lt;&gt;"بدهکار"),"",$Q73)</f>
        <v/>
      </c>
      <c r="AG73" s="76">
        <f>SUM($V73,$Y73,$AB73,$AE73)</f>
        <v/>
      </c>
      <c r="AH73" s="76">
        <f>SUM($W73,$Z73,$AC73,$AF73)</f>
        <v/>
      </c>
      <c r="AI73" s="70">
        <f>IF($E73="","",IF(ROUND($AG73-$AH73,0)=0,"✓","⚠"))</f>
        <v/>
      </c>
      <c r="AJ73" s="76">
        <f>IF(OR($E73="",$U73=""),"",IFERROR(IF(VLOOKUP($E73,OpTbl,6,0)="وزن",IF($P73="",0,$P73),IF(VLOOKUP($E73,OpTbl,6,0)="مبلغ",IF(AND($Q73&lt;&gt;"",$Q73&lt;&gt;0),$Q73,$P73),0))+IF(VLOOKUP($E73,OpTbl,10,0)="افزودن",IF($Q73="",0,$Q73),0),0))</f>
        <v/>
      </c>
      <c r="AK73" s="70">
        <f>IF($E73="","",IFERROR(VLOOKUP($E73,OpTbl,10,0),""))</f>
        <v/>
      </c>
      <c r="AL73" s="70">
        <f>IF(OR($E73="",$U73=""),"",IFERROR(IF(VLOOKUP($E73,OpTbl,7,0)="خودکار",$R73,VLOOKUP($E73,OpTbl,7,0)),""))</f>
        <v/>
      </c>
      <c r="AM73" s="70">
        <f>IF(OR($E73="",$X73=""),"",IFERROR(IF(VLOOKUP($E73,OpTbl,9,0)="خودکار",IF($AL73="بدهکار","بستانکار",IF($AL73="بستانکار","بدهکار","")),VLOOKUP($E73,OpTbl,9,0)),""))</f>
        <v/>
      </c>
      <c r="AN73" s="70">
        <f>IF($E73="","",IFERROR(VLOOKUP($E73,OpTbl,11,0),""))</f>
        <v/>
      </c>
      <c r="AO73" s="70">
        <f>IF($B73="","",MID($B73,6,2))</f>
        <v/>
      </c>
      <c r="AP73" s="76">
        <f>IF($B73="",0,1)</f>
        <v/>
      </c>
    </row>
    <row r="74" ht="21.75" customHeight="1">
      <c r="A74" s="70">
        <f>IF($B74="","",COUNTA($B$10:$B74))</f>
        <v/>
      </c>
      <c r="B74" s="71" t="n"/>
      <c r="C74" s="71" t="n"/>
      <c r="D74" s="71" t="n"/>
      <c r="E74" s="71" t="n"/>
      <c r="F74" s="70">
        <f>IF($E74="","",IFERROR(VLOOKUP($E74,OpTbl,2,0),""))</f>
        <v/>
      </c>
      <c r="G74" s="71" t="n"/>
      <c r="H74" s="73">
        <f>IF($U74="","",IFERROR(VLOOKUP($U74,AcctTbl,2,0),"کد ناشناخته"))</f>
        <v/>
      </c>
      <c r="I74" s="70">
        <f>IF($U74="","",IFERROR(VLOOKUP($U74,AcctTbl,3,0),""))</f>
        <v/>
      </c>
      <c r="J74" s="72" t="n"/>
      <c r="K74" s="71" t="n"/>
      <c r="L74" s="74" t="n"/>
      <c r="M74" s="74" t="n"/>
      <c r="N74" s="148">
        <f>IF(OR($E74="",$L74=""),"",IFERROR(($L74-IF($M74="",0,$M74)*IFERROR(VLOOKUP($K74,BasketTbl,4,0),IFERROR(INDEX(BasketTbl,MATCH($K74,BasketCodeCol,0),4),VLOOKUP("P01",ParamTbl,2,0))))*(1-IF(VLOOKUP($E74,OpTbl,3,0)="خرید",VLOOKUP("P02",ParamTbl,2,0),0)/100),""))</f>
        <v/>
      </c>
      <c r="O74" s="74" t="n"/>
      <c r="P74" s="76">
        <f>IF(OR($E74="",$L74=""),"",IFERROR(IF(VLOOKUP($E74,OpTbl,6,0)="وزن",ROUND($N74*$O74,-3),IF(VLOOKUP($E74,OpTbl,6,0)="مبلغ",ROUND($L74*$O74,-3),0)),""))</f>
        <v/>
      </c>
      <c r="Q74" s="74" t="n"/>
      <c r="R74" s="71" t="n"/>
      <c r="S74" s="77">
        <f>IF($E74="","",IF($AI74="⚠","⚠ ناتراز",IF(AND(IFERROR(VLOOKUP($E74,OpTbl,4,0),"")="بله",$L74=""),"⚠ وزن",IF(AND(IFERROR(VLOOKUP($E74,OpTbl,5,0),"")="بله",$U74=""),"⚠ حساب",IF(AND(IFERROR(VLOOKUP($E74,OpTbl,6,0),"")="مبلغ",$Q74=""),"⚠ مبلغ","✓")))))</f>
        <v/>
      </c>
      <c r="T74" s="72" t="n"/>
      <c r="U74" s="70">
        <f>IF($E74="","",IFERROR(IF(VLOOKUP($E74,OpTbl,14,0)&lt;&gt;"",VLOOKUP($E74,OpTbl,14,0),$G74),""))</f>
        <v/>
      </c>
      <c r="V74" s="76">
        <f>IF(OR($AJ74="",$AJ74=0,$AL74&lt;&gt;"بدهکار"),"",$AJ74)</f>
        <v/>
      </c>
      <c r="W74" s="76">
        <f>IF(OR($AJ74="",$AJ74=0,$AL74&lt;&gt;"بستانکار"),"",$AJ74)</f>
        <v/>
      </c>
      <c r="X74" s="70">
        <f>IF($E74="","",IFERROR(VLOOKUP($E74,OpTbl,8,0),""))</f>
        <v/>
      </c>
      <c r="Y74" s="76">
        <f>IF(OR($X74="",$AJ74="",$AJ74=0,$AM74&lt;&gt;"بدهکار"),"",$AJ74)</f>
        <v/>
      </c>
      <c r="Z74" s="76">
        <f>IF(OR($X74="",$AJ74="",$AJ74=0,$AM74&lt;&gt;"بستانکار"),"",$AJ74)</f>
        <v/>
      </c>
      <c r="AA74" s="70">
        <f>IF(OR($E74="",$AN74="—",$AN74=""),"",IFERROR(VLOOKUP($E74,OpTbl,12,0),""))</f>
        <v/>
      </c>
      <c r="AB74" s="76">
        <f>IF(OR($AA74="",$Q74="",$Q74=0,$AN74&lt;&gt;"بدهکار"),"",$Q74)</f>
        <v/>
      </c>
      <c r="AC74" s="76">
        <f>IF(OR($AA74="",$Q74="",$Q74=0,$AN74&lt;&gt;"بستانکار"),"",$Q74)</f>
        <v/>
      </c>
      <c r="AD74" s="70">
        <f>IF($AA74="","",IFERROR(VLOOKUP($E74,OpTbl,13,0),""))</f>
        <v/>
      </c>
      <c r="AE74" s="76">
        <f>IF(OR($AD74="",$Q74="",$Q74=0,$AN74&lt;&gt;"بستانکار"),"",$Q74)</f>
        <v/>
      </c>
      <c r="AF74" s="76">
        <f>IF(OR($AD74="",$Q74="",$Q74=0,$AN74&lt;&gt;"بدهکار"),"",$Q74)</f>
        <v/>
      </c>
      <c r="AG74" s="76">
        <f>SUM($V74,$Y74,$AB74,$AE74)</f>
        <v/>
      </c>
      <c r="AH74" s="76">
        <f>SUM($W74,$Z74,$AC74,$AF74)</f>
        <v/>
      </c>
      <c r="AI74" s="70">
        <f>IF($E74="","",IF(ROUND($AG74-$AH74,0)=0,"✓","⚠"))</f>
        <v/>
      </c>
      <c r="AJ74" s="76">
        <f>IF(OR($E74="",$U74=""),"",IFERROR(IF(VLOOKUP($E74,OpTbl,6,0)="وزن",IF($P74="",0,$P74),IF(VLOOKUP($E74,OpTbl,6,0)="مبلغ",IF(AND($Q74&lt;&gt;"",$Q74&lt;&gt;0),$Q74,$P74),0))+IF(VLOOKUP($E74,OpTbl,10,0)="افزودن",IF($Q74="",0,$Q74),0),0))</f>
        <v/>
      </c>
      <c r="AK74" s="70">
        <f>IF($E74="","",IFERROR(VLOOKUP($E74,OpTbl,10,0),""))</f>
        <v/>
      </c>
      <c r="AL74" s="70">
        <f>IF(OR($E74="",$U74=""),"",IFERROR(IF(VLOOKUP($E74,OpTbl,7,0)="خودکار",$R74,VLOOKUP($E74,OpTbl,7,0)),""))</f>
        <v/>
      </c>
      <c r="AM74" s="70">
        <f>IF(OR($E74="",$X74=""),"",IFERROR(IF(VLOOKUP($E74,OpTbl,9,0)="خودکار",IF($AL74="بدهکار","بستانکار",IF($AL74="بستانکار","بدهکار","")),VLOOKUP($E74,OpTbl,9,0)),""))</f>
        <v/>
      </c>
      <c r="AN74" s="70">
        <f>IF($E74="","",IFERROR(VLOOKUP($E74,OpTbl,11,0),""))</f>
        <v/>
      </c>
      <c r="AO74" s="70">
        <f>IF($B74="","",MID($B74,6,2))</f>
        <v/>
      </c>
      <c r="AP74" s="76">
        <f>IF($B74="",0,1)</f>
        <v/>
      </c>
    </row>
    <row r="75" ht="21.75" customHeight="1">
      <c r="A75" s="70">
        <f>IF($B75="","",COUNTA($B$10:$B75))</f>
        <v/>
      </c>
      <c r="B75" s="71" t="n"/>
      <c r="C75" s="71" t="n"/>
      <c r="D75" s="71" t="n"/>
      <c r="E75" s="71" t="n"/>
      <c r="F75" s="70">
        <f>IF($E75="","",IFERROR(VLOOKUP($E75,OpTbl,2,0),""))</f>
        <v/>
      </c>
      <c r="G75" s="71" t="n"/>
      <c r="H75" s="73">
        <f>IF($U75="","",IFERROR(VLOOKUP($U75,AcctTbl,2,0),"کد ناشناخته"))</f>
        <v/>
      </c>
      <c r="I75" s="70">
        <f>IF($U75="","",IFERROR(VLOOKUP($U75,AcctTbl,3,0),""))</f>
        <v/>
      </c>
      <c r="J75" s="72" t="n"/>
      <c r="K75" s="71" t="n"/>
      <c r="L75" s="74" t="n"/>
      <c r="M75" s="74" t="n"/>
      <c r="N75" s="148">
        <f>IF(OR($E75="",$L75=""),"",IFERROR(($L75-IF($M75="",0,$M75)*IFERROR(VLOOKUP($K75,BasketTbl,4,0),IFERROR(INDEX(BasketTbl,MATCH($K75,BasketCodeCol,0),4),VLOOKUP("P01",ParamTbl,2,0))))*(1-IF(VLOOKUP($E75,OpTbl,3,0)="خرید",VLOOKUP("P02",ParamTbl,2,0),0)/100),""))</f>
        <v/>
      </c>
      <c r="O75" s="74" t="n"/>
      <c r="P75" s="76">
        <f>IF(OR($E75="",$L75=""),"",IFERROR(IF(VLOOKUP($E75,OpTbl,6,0)="وزن",ROUND($N75*$O75,-3),IF(VLOOKUP($E75,OpTbl,6,0)="مبلغ",ROUND($L75*$O75,-3),0)),""))</f>
        <v/>
      </c>
      <c r="Q75" s="74" t="n"/>
      <c r="R75" s="71" t="n"/>
      <c r="S75" s="77">
        <f>IF($E75="","",IF($AI75="⚠","⚠ ناتراز",IF(AND(IFERROR(VLOOKUP($E75,OpTbl,4,0),"")="بله",$L75=""),"⚠ وزن",IF(AND(IFERROR(VLOOKUP($E75,OpTbl,5,0),"")="بله",$U75=""),"⚠ حساب",IF(AND(IFERROR(VLOOKUP($E75,OpTbl,6,0),"")="مبلغ",$Q75=""),"⚠ مبلغ","✓")))))</f>
        <v/>
      </c>
      <c r="T75" s="72" t="n"/>
      <c r="U75" s="70">
        <f>IF($E75="","",IFERROR(IF(VLOOKUP($E75,OpTbl,14,0)&lt;&gt;"",VLOOKUP($E75,OpTbl,14,0),$G75),""))</f>
        <v/>
      </c>
      <c r="V75" s="76">
        <f>IF(OR($AJ75="",$AJ75=0,$AL75&lt;&gt;"بدهکار"),"",$AJ75)</f>
        <v/>
      </c>
      <c r="W75" s="76">
        <f>IF(OR($AJ75="",$AJ75=0,$AL75&lt;&gt;"بستانکار"),"",$AJ75)</f>
        <v/>
      </c>
      <c r="X75" s="70">
        <f>IF($E75="","",IFERROR(VLOOKUP($E75,OpTbl,8,0),""))</f>
        <v/>
      </c>
      <c r="Y75" s="76">
        <f>IF(OR($X75="",$AJ75="",$AJ75=0,$AM75&lt;&gt;"بدهکار"),"",$AJ75)</f>
        <v/>
      </c>
      <c r="Z75" s="76">
        <f>IF(OR($X75="",$AJ75="",$AJ75=0,$AM75&lt;&gt;"بستانکار"),"",$AJ75)</f>
        <v/>
      </c>
      <c r="AA75" s="70">
        <f>IF(OR($E75="",$AN75="—",$AN75=""),"",IFERROR(VLOOKUP($E75,OpTbl,12,0),""))</f>
        <v/>
      </c>
      <c r="AB75" s="76">
        <f>IF(OR($AA75="",$Q75="",$Q75=0,$AN75&lt;&gt;"بدهکار"),"",$Q75)</f>
        <v/>
      </c>
      <c r="AC75" s="76">
        <f>IF(OR($AA75="",$Q75="",$Q75=0,$AN75&lt;&gt;"بستانکار"),"",$Q75)</f>
        <v/>
      </c>
      <c r="AD75" s="70">
        <f>IF($AA75="","",IFERROR(VLOOKUP($E75,OpTbl,13,0),""))</f>
        <v/>
      </c>
      <c r="AE75" s="76">
        <f>IF(OR($AD75="",$Q75="",$Q75=0,$AN75&lt;&gt;"بستانکار"),"",$Q75)</f>
        <v/>
      </c>
      <c r="AF75" s="76">
        <f>IF(OR($AD75="",$Q75="",$Q75=0,$AN75&lt;&gt;"بدهکار"),"",$Q75)</f>
        <v/>
      </c>
      <c r="AG75" s="76">
        <f>SUM($V75,$Y75,$AB75,$AE75)</f>
        <v/>
      </c>
      <c r="AH75" s="76">
        <f>SUM($W75,$Z75,$AC75,$AF75)</f>
        <v/>
      </c>
      <c r="AI75" s="70">
        <f>IF($E75="","",IF(ROUND($AG75-$AH75,0)=0,"✓","⚠"))</f>
        <v/>
      </c>
      <c r="AJ75" s="76">
        <f>IF(OR($E75="",$U75=""),"",IFERROR(IF(VLOOKUP($E75,OpTbl,6,0)="وزن",IF($P75="",0,$P75),IF(VLOOKUP($E75,OpTbl,6,0)="مبلغ",IF(AND($Q75&lt;&gt;"",$Q75&lt;&gt;0),$Q75,$P75),0))+IF(VLOOKUP($E75,OpTbl,10,0)="افزودن",IF($Q75="",0,$Q75),0),0))</f>
        <v/>
      </c>
      <c r="AK75" s="70">
        <f>IF($E75="","",IFERROR(VLOOKUP($E75,OpTbl,10,0),""))</f>
        <v/>
      </c>
      <c r="AL75" s="70">
        <f>IF(OR($E75="",$U75=""),"",IFERROR(IF(VLOOKUP($E75,OpTbl,7,0)="خودکار",$R75,VLOOKUP($E75,OpTbl,7,0)),""))</f>
        <v/>
      </c>
      <c r="AM75" s="70">
        <f>IF(OR($E75="",$X75=""),"",IFERROR(IF(VLOOKUP($E75,OpTbl,9,0)="خودکار",IF($AL75="بدهکار","بستانکار",IF($AL75="بستانکار","بدهکار","")),VLOOKUP($E75,OpTbl,9,0)),""))</f>
        <v/>
      </c>
      <c r="AN75" s="70">
        <f>IF($E75="","",IFERROR(VLOOKUP($E75,OpTbl,11,0),""))</f>
        <v/>
      </c>
      <c r="AO75" s="70">
        <f>IF($B75="","",MID($B75,6,2))</f>
        <v/>
      </c>
      <c r="AP75" s="76">
        <f>IF($B75="",0,1)</f>
        <v/>
      </c>
    </row>
    <row r="76" ht="21.75" customHeight="1">
      <c r="A76" s="70">
        <f>IF($B76="","",COUNTA($B$10:$B76))</f>
        <v/>
      </c>
      <c r="B76" s="71" t="n"/>
      <c r="C76" s="71" t="n"/>
      <c r="D76" s="71" t="n"/>
      <c r="E76" s="71" t="n"/>
      <c r="F76" s="70">
        <f>IF($E76="","",IFERROR(VLOOKUP($E76,OpTbl,2,0),""))</f>
        <v/>
      </c>
      <c r="G76" s="71" t="n"/>
      <c r="H76" s="73">
        <f>IF($U76="","",IFERROR(VLOOKUP($U76,AcctTbl,2,0),"کد ناشناخته"))</f>
        <v/>
      </c>
      <c r="I76" s="70">
        <f>IF($U76="","",IFERROR(VLOOKUP($U76,AcctTbl,3,0),""))</f>
        <v/>
      </c>
      <c r="J76" s="72" t="n"/>
      <c r="K76" s="71" t="n"/>
      <c r="L76" s="74" t="n"/>
      <c r="M76" s="74" t="n"/>
      <c r="N76" s="148">
        <f>IF(OR($E76="",$L76=""),"",IFERROR(($L76-IF($M76="",0,$M76)*IFERROR(VLOOKUP($K76,BasketTbl,4,0),IFERROR(INDEX(BasketTbl,MATCH($K76,BasketCodeCol,0),4),VLOOKUP("P01",ParamTbl,2,0))))*(1-IF(VLOOKUP($E76,OpTbl,3,0)="خرید",VLOOKUP("P02",ParamTbl,2,0),0)/100),""))</f>
        <v/>
      </c>
      <c r="O76" s="74" t="n"/>
      <c r="P76" s="76">
        <f>IF(OR($E76="",$L76=""),"",IFERROR(IF(VLOOKUP($E76,OpTbl,6,0)="وزن",ROUND($N76*$O76,-3),IF(VLOOKUP($E76,OpTbl,6,0)="مبلغ",ROUND($L76*$O76,-3),0)),""))</f>
        <v/>
      </c>
      <c r="Q76" s="74" t="n"/>
      <c r="R76" s="71" t="n"/>
      <c r="S76" s="77">
        <f>IF($E76="","",IF($AI76="⚠","⚠ ناتراز",IF(AND(IFERROR(VLOOKUP($E76,OpTbl,4,0),"")="بله",$L76=""),"⚠ وزن",IF(AND(IFERROR(VLOOKUP($E76,OpTbl,5,0),"")="بله",$U76=""),"⚠ حساب",IF(AND(IFERROR(VLOOKUP($E76,OpTbl,6,0),"")="مبلغ",$Q76=""),"⚠ مبلغ","✓")))))</f>
        <v/>
      </c>
      <c r="T76" s="72" t="n"/>
      <c r="U76" s="70">
        <f>IF($E76="","",IFERROR(IF(VLOOKUP($E76,OpTbl,14,0)&lt;&gt;"",VLOOKUP($E76,OpTbl,14,0),$G76),""))</f>
        <v/>
      </c>
      <c r="V76" s="76">
        <f>IF(OR($AJ76="",$AJ76=0,$AL76&lt;&gt;"بدهکار"),"",$AJ76)</f>
        <v/>
      </c>
      <c r="W76" s="76">
        <f>IF(OR($AJ76="",$AJ76=0,$AL76&lt;&gt;"بستانکار"),"",$AJ76)</f>
        <v/>
      </c>
      <c r="X76" s="70">
        <f>IF($E76="","",IFERROR(VLOOKUP($E76,OpTbl,8,0),""))</f>
        <v/>
      </c>
      <c r="Y76" s="76">
        <f>IF(OR($X76="",$AJ76="",$AJ76=0,$AM76&lt;&gt;"بدهکار"),"",$AJ76)</f>
        <v/>
      </c>
      <c r="Z76" s="76">
        <f>IF(OR($X76="",$AJ76="",$AJ76=0,$AM76&lt;&gt;"بستانکار"),"",$AJ76)</f>
        <v/>
      </c>
      <c r="AA76" s="70">
        <f>IF(OR($E76="",$AN76="—",$AN76=""),"",IFERROR(VLOOKUP($E76,OpTbl,12,0),""))</f>
        <v/>
      </c>
      <c r="AB76" s="76">
        <f>IF(OR($AA76="",$Q76="",$Q76=0,$AN76&lt;&gt;"بدهکار"),"",$Q76)</f>
        <v/>
      </c>
      <c r="AC76" s="76">
        <f>IF(OR($AA76="",$Q76="",$Q76=0,$AN76&lt;&gt;"بستانکار"),"",$Q76)</f>
        <v/>
      </c>
      <c r="AD76" s="70">
        <f>IF($AA76="","",IFERROR(VLOOKUP($E76,OpTbl,13,0),""))</f>
        <v/>
      </c>
      <c r="AE76" s="76">
        <f>IF(OR($AD76="",$Q76="",$Q76=0,$AN76&lt;&gt;"بستانکار"),"",$Q76)</f>
        <v/>
      </c>
      <c r="AF76" s="76">
        <f>IF(OR($AD76="",$Q76="",$Q76=0,$AN76&lt;&gt;"بدهکار"),"",$Q76)</f>
        <v/>
      </c>
      <c r="AG76" s="76">
        <f>SUM($V76,$Y76,$AB76,$AE76)</f>
        <v/>
      </c>
      <c r="AH76" s="76">
        <f>SUM($W76,$Z76,$AC76,$AF76)</f>
        <v/>
      </c>
      <c r="AI76" s="70">
        <f>IF($E76="","",IF(ROUND($AG76-$AH76,0)=0,"✓","⚠"))</f>
        <v/>
      </c>
      <c r="AJ76" s="76">
        <f>IF(OR($E76="",$U76=""),"",IFERROR(IF(VLOOKUP($E76,OpTbl,6,0)="وزن",IF($P76="",0,$P76),IF(VLOOKUP($E76,OpTbl,6,0)="مبلغ",IF(AND($Q76&lt;&gt;"",$Q76&lt;&gt;0),$Q76,$P76),0))+IF(VLOOKUP($E76,OpTbl,10,0)="افزودن",IF($Q76="",0,$Q76),0),0))</f>
        <v/>
      </c>
      <c r="AK76" s="70">
        <f>IF($E76="","",IFERROR(VLOOKUP($E76,OpTbl,10,0),""))</f>
        <v/>
      </c>
      <c r="AL76" s="70">
        <f>IF(OR($E76="",$U76=""),"",IFERROR(IF(VLOOKUP($E76,OpTbl,7,0)="خودکار",$R76,VLOOKUP($E76,OpTbl,7,0)),""))</f>
        <v/>
      </c>
      <c r="AM76" s="70">
        <f>IF(OR($E76="",$X76=""),"",IFERROR(IF(VLOOKUP($E76,OpTbl,9,0)="خودکار",IF($AL76="بدهکار","بستانکار",IF($AL76="بستانکار","بدهکار","")),VLOOKUP($E76,OpTbl,9,0)),""))</f>
        <v/>
      </c>
      <c r="AN76" s="70">
        <f>IF($E76="","",IFERROR(VLOOKUP($E76,OpTbl,11,0),""))</f>
        <v/>
      </c>
      <c r="AO76" s="70">
        <f>IF($B76="","",MID($B76,6,2))</f>
        <v/>
      </c>
      <c r="AP76" s="76">
        <f>IF($B76="",0,1)</f>
        <v/>
      </c>
    </row>
    <row r="77" ht="21.75" customHeight="1">
      <c r="A77" s="70">
        <f>IF($B77="","",COUNTA($B$10:$B77))</f>
        <v/>
      </c>
      <c r="B77" s="71" t="n"/>
      <c r="C77" s="71" t="n"/>
      <c r="D77" s="71" t="n"/>
      <c r="E77" s="71" t="n"/>
      <c r="F77" s="70">
        <f>IF($E77="","",IFERROR(VLOOKUP($E77,OpTbl,2,0),""))</f>
        <v/>
      </c>
      <c r="G77" s="71" t="n"/>
      <c r="H77" s="73">
        <f>IF($U77="","",IFERROR(VLOOKUP($U77,AcctTbl,2,0),"کد ناشناخته"))</f>
        <v/>
      </c>
      <c r="I77" s="70">
        <f>IF($U77="","",IFERROR(VLOOKUP($U77,AcctTbl,3,0),""))</f>
        <v/>
      </c>
      <c r="J77" s="72" t="n"/>
      <c r="K77" s="71" t="n"/>
      <c r="L77" s="74" t="n"/>
      <c r="M77" s="74" t="n"/>
      <c r="N77" s="148">
        <f>IF(OR($E77="",$L77=""),"",IFERROR(($L77-IF($M77="",0,$M77)*IFERROR(VLOOKUP($K77,BasketTbl,4,0),IFERROR(INDEX(BasketTbl,MATCH($K77,BasketCodeCol,0),4),VLOOKUP("P01",ParamTbl,2,0))))*(1-IF(VLOOKUP($E77,OpTbl,3,0)="خرید",VLOOKUP("P02",ParamTbl,2,0),0)/100),""))</f>
        <v/>
      </c>
      <c r="O77" s="74" t="n"/>
      <c r="P77" s="76">
        <f>IF(OR($E77="",$L77=""),"",IFERROR(IF(VLOOKUP($E77,OpTbl,6,0)="وزن",ROUND($N77*$O77,-3),IF(VLOOKUP($E77,OpTbl,6,0)="مبلغ",ROUND($L77*$O77,-3),0)),""))</f>
        <v/>
      </c>
      <c r="Q77" s="74" t="n"/>
      <c r="R77" s="71" t="n"/>
      <c r="S77" s="77">
        <f>IF($E77="","",IF($AI77="⚠","⚠ ناتراز",IF(AND(IFERROR(VLOOKUP($E77,OpTbl,4,0),"")="بله",$L77=""),"⚠ وزن",IF(AND(IFERROR(VLOOKUP($E77,OpTbl,5,0),"")="بله",$U77=""),"⚠ حساب",IF(AND(IFERROR(VLOOKUP($E77,OpTbl,6,0),"")="مبلغ",$Q77=""),"⚠ مبلغ","✓")))))</f>
        <v/>
      </c>
      <c r="T77" s="72" t="n"/>
      <c r="U77" s="70">
        <f>IF($E77="","",IFERROR(IF(VLOOKUP($E77,OpTbl,14,0)&lt;&gt;"",VLOOKUP($E77,OpTbl,14,0),$G77),""))</f>
        <v/>
      </c>
      <c r="V77" s="76">
        <f>IF(OR($AJ77="",$AJ77=0,$AL77&lt;&gt;"بدهکار"),"",$AJ77)</f>
        <v/>
      </c>
      <c r="W77" s="76">
        <f>IF(OR($AJ77="",$AJ77=0,$AL77&lt;&gt;"بستانکار"),"",$AJ77)</f>
        <v/>
      </c>
      <c r="X77" s="70">
        <f>IF($E77="","",IFERROR(VLOOKUP($E77,OpTbl,8,0),""))</f>
        <v/>
      </c>
      <c r="Y77" s="76">
        <f>IF(OR($X77="",$AJ77="",$AJ77=0,$AM77&lt;&gt;"بدهکار"),"",$AJ77)</f>
        <v/>
      </c>
      <c r="Z77" s="76">
        <f>IF(OR($X77="",$AJ77="",$AJ77=0,$AM77&lt;&gt;"بستانکار"),"",$AJ77)</f>
        <v/>
      </c>
      <c r="AA77" s="70">
        <f>IF(OR($E77="",$AN77="—",$AN77=""),"",IFERROR(VLOOKUP($E77,OpTbl,12,0),""))</f>
        <v/>
      </c>
      <c r="AB77" s="76">
        <f>IF(OR($AA77="",$Q77="",$Q77=0,$AN77&lt;&gt;"بدهکار"),"",$Q77)</f>
        <v/>
      </c>
      <c r="AC77" s="76">
        <f>IF(OR($AA77="",$Q77="",$Q77=0,$AN77&lt;&gt;"بستانکار"),"",$Q77)</f>
        <v/>
      </c>
      <c r="AD77" s="70">
        <f>IF($AA77="","",IFERROR(VLOOKUP($E77,OpTbl,13,0),""))</f>
        <v/>
      </c>
      <c r="AE77" s="76">
        <f>IF(OR($AD77="",$Q77="",$Q77=0,$AN77&lt;&gt;"بستانکار"),"",$Q77)</f>
        <v/>
      </c>
      <c r="AF77" s="76">
        <f>IF(OR($AD77="",$Q77="",$Q77=0,$AN77&lt;&gt;"بدهکار"),"",$Q77)</f>
        <v/>
      </c>
      <c r="AG77" s="76">
        <f>SUM($V77,$Y77,$AB77,$AE77)</f>
        <v/>
      </c>
      <c r="AH77" s="76">
        <f>SUM($W77,$Z77,$AC77,$AF77)</f>
        <v/>
      </c>
      <c r="AI77" s="70">
        <f>IF($E77="","",IF(ROUND($AG77-$AH77,0)=0,"✓","⚠"))</f>
        <v/>
      </c>
      <c r="AJ77" s="76">
        <f>IF(OR($E77="",$U77=""),"",IFERROR(IF(VLOOKUP($E77,OpTbl,6,0)="وزن",IF($P77="",0,$P77),IF(VLOOKUP($E77,OpTbl,6,0)="مبلغ",IF(AND($Q77&lt;&gt;"",$Q77&lt;&gt;0),$Q77,$P77),0))+IF(VLOOKUP($E77,OpTbl,10,0)="افزودن",IF($Q77="",0,$Q77),0),0))</f>
        <v/>
      </c>
      <c r="AK77" s="70">
        <f>IF($E77="","",IFERROR(VLOOKUP($E77,OpTbl,10,0),""))</f>
        <v/>
      </c>
      <c r="AL77" s="70">
        <f>IF(OR($E77="",$U77=""),"",IFERROR(IF(VLOOKUP($E77,OpTbl,7,0)="خودکار",$R77,VLOOKUP($E77,OpTbl,7,0)),""))</f>
        <v/>
      </c>
      <c r="AM77" s="70">
        <f>IF(OR($E77="",$X77=""),"",IFERROR(IF(VLOOKUP($E77,OpTbl,9,0)="خودکار",IF($AL77="بدهکار","بستانکار",IF($AL77="بستانکار","بدهکار","")),VLOOKUP($E77,OpTbl,9,0)),""))</f>
        <v/>
      </c>
      <c r="AN77" s="70">
        <f>IF($E77="","",IFERROR(VLOOKUP($E77,OpTbl,11,0),""))</f>
        <v/>
      </c>
      <c r="AO77" s="70">
        <f>IF($B77="","",MID($B77,6,2))</f>
        <v/>
      </c>
      <c r="AP77" s="76">
        <f>IF($B77="",0,1)</f>
        <v/>
      </c>
    </row>
    <row r="78" ht="21.75" customHeight="1">
      <c r="A78" s="70">
        <f>IF($B78="","",COUNTA($B$10:$B78))</f>
        <v/>
      </c>
      <c r="B78" s="71" t="n"/>
      <c r="C78" s="71" t="n"/>
      <c r="D78" s="71" t="n"/>
      <c r="E78" s="71" t="n"/>
      <c r="F78" s="70">
        <f>IF($E78="","",IFERROR(VLOOKUP($E78,OpTbl,2,0),""))</f>
        <v/>
      </c>
      <c r="G78" s="71" t="n"/>
      <c r="H78" s="73">
        <f>IF($U78="","",IFERROR(VLOOKUP($U78,AcctTbl,2,0),"کد ناشناخته"))</f>
        <v/>
      </c>
      <c r="I78" s="70">
        <f>IF($U78="","",IFERROR(VLOOKUP($U78,AcctTbl,3,0),""))</f>
        <v/>
      </c>
      <c r="J78" s="72" t="n"/>
      <c r="K78" s="71" t="n"/>
      <c r="L78" s="74" t="n"/>
      <c r="M78" s="74" t="n"/>
      <c r="N78" s="148">
        <f>IF(OR($E78="",$L78=""),"",IFERROR(($L78-IF($M78="",0,$M78)*IFERROR(VLOOKUP($K78,BasketTbl,4,0),IFERROR(INDEX(BasketTbl,MATCH($K78,BasketCodeCol,0),4),VLOOKUP("P01",ParamTbl,2,0))))*(1-IF(VLOOKUP($E78,OpTbl,3,0)="خرید",VLOOKUP("P02",ParamTbl,2,0),0)/100),""))</f>
        <v/>
      </c>
      <c r="O78" s="74" t="n"/>
      <c r="P78" s="76">
        <f>IF(OR($E78="",$L78=""),"",IFERROR(IF(VLOOKUP($E78,OpTbl,6,0)="وزن",ROUND($N78*$O78,-3),IF(VLOOKUP($E78,OpTbl,6,0)="مبلغ",ROUND($L78*$O78,-3),0)),""))</f>
        <v/>
      </c>
      <c r="Q78" s="74" t="n"/>
      <c r="R78" s="71" t="n"/>
      <c r="S78" s="77">
        <f>IF($E78="","",IF($AI78="⚠","⚠ ناتراز",IF(AND(IFERROR(VLOOKUP($E78,OpTbl,4,0),"")="بله",$L78=""),"⚠ وزن",IF(AND(IFERROR(VLOOKUP($E78,OpTbl,5,0),"")="بله",$U78=""),"⚠ حساب",IF(AND(IFERROR(VLOOKUP($E78,OpTbl,6,0),"")="مبلغ",$Q78=""),"⚠ مبلغ","✓")))))</f>
        <v/>
      </c>
      <c r="T78" s="72" t="n"/>
      <c r="U78" s="70">
        <f>IF($E78="","",IFERROR(IF(VLOOKUP($E78,OpTbl,14,0)&lt;&gt;"",VLOOKUP($E78,OpTbl,14,0),$G78),""))</f>
        <v/>
      </c>
      <c r="V78" s="76">
        <f>IF(OR($AJ78="",$AJ78=0,$AL78&lt;&gt;"بدهکار"),"",$AJ78)</f>
        <v/>
      </c>
      <c r="W78" s="76">
        <f>IF(OR($AJ78="",$AJ78=0,$AL78&lt;&gt;"بستانکار"),"",$AJ78)</f>
        <v/>
      </c>
      <c r="X78" s="70">
        <f>IF($E78="","",IFERROR(VLOOKUP($E78,OpTbl,8,0),""))</f>
        <v/>
      </c>
      <c r="Y78" s="76">
        <f>IF(OR($X78="",$AJ78="",$AJ78=0,$AM78&lt;&gt;"بدهکار"),"",$AJ78)</f>
        <v/>
      </c>
      <c r="Z78" s="76">
        <f>IF(OR($X78="",$AJ78="",$AJ78=0,$AM78&lt;&gt;"بستانکار"),"",$AJ78)</f>
        <v/>
      </c>
      <c r="AA78" s="70">
        <f>IF(OR($E78="",$AN78="—",$AN78=""),"",IFERROR(VLOOKUP($E78,OpTbl,12,0),""))</f>
        <v/>
      </c>
      <c r="AB78" s="76">
        <f>IF(OR($AA78="",$Q78="",$Q78=0,$AN78&lt;&gt;"بدهکار"),"",$Q78)</f>
        <v/>
      </c>
      <c r="AC78" s="76">
        <f>IF(OR($AA78="",$Q78="",$Q78=0,$AN78&lt;&gt;"بستانکار"),"",$Q78)</f>
        <v/>
      </c>
      <c r="AD78" s="70">
        <f>IF($AA78="","",IFERROR(VLOOKUP($E78,OpTbl,13,0),""))</f>
        <v/>
      </c>
      <c r="AE78" s="76">
        <f>IF(OR($AD78="",$Q78="",$Q78=0,$AN78&lt;&gt;"بستانکار"),"",$Q78)</f>
        <v/>
      </c>
      <c r="AF78" s="76">
        <f>IF(OR($AD78="",$Q78="",$Q78=0,$AN78&lt;&gt;"بدهکار"),"",$Q78)</f>
        <v/>
      </c>
      <c r="AG78" s="76">
        <f>SUM($V78,$Y78,$AB78,$AE78)</f>
        <v/>
      </c>
      <c r="AH78" s="76">
        <f>SUM($W78,$Z78,$AC78,$AF78)</f>
        <v/>
      </c>
      <c r="AI78" s="70">
        <f>IF($E78="","",IF(ROUND($AG78-$AH78,0)=0,"✓","⚠"))</f>
        <v/>
      </c>
      <c r="AJ78" s="76">
        <f>IF(OR($E78="",$U78=""),"",IFERROR(IF(VLOOKUP($E78,OpTbl,6,0)="وزن",IF($P78="",0,$P78),IF(VLOOKUP($E78,OpTbl,6,0)="مبلغ",IF(AND($Q78&lt;&gt;"",$Q78&lt;&gt;0),$Q78,$P78),0))+IF(VLOOKUP($E78,OpTbl,10,0)="افزودن",IF($Q78="",0,$Q78),0),0))</f>
        <v/>
      </c>
      <c r="AK78" s="70">
        <f>IF($E78="","",IFERROR(VLOOKUP($E78,OpTbl,10,0),""))</f>
        <v/>
      </c>
      <c r="AL78" s="70">
        <f>IF(OR($E78="",$U78=""),"",IFERROR(IF(VLOOKUP($E78,OpTbl,7,0)="خودکار",$R78,VLOOKUP($E78,OpTbl,7,0)),""))</f>
        <v/>
      </c>
      <c r="AM78" s="70">
        <f>IF(OR($E78="",$X78=""),"",IFERROR(IF(VLOOKUP($E78,OpTbl,9,0)="خودکار",IF($AL78="بدهکار","بستانکار",IF($AL78="بستانکار","بدهکار","")),VLOOKUP($E78,OpTbl,9,0)),""))</f>
        <v/>
      </c>
      <c r="AN78" s="70">
        <f>IF($E78="","",IFERROR(VLOOKUP($E78,OpTbl,11,0),""))</f>
        <v/>
      </c>
      <c r="AO78" s="70">
        <f>IF($B78="","",MID($B78,6,2))</f>
        <v/>
      </c>
      <c r="AP78" s="76">
        <f>IF($B78="",0,1)</f>
        <v/>
      </c>
    </row>
    <row r="79" ht="21.75" customHeight="1">
      <c r="A79" s="70">
        <f>IF($B79="","",COUNTA($B$10:$B79))</f>
        <v/>
      </c>
      <c r="B79" s="71" t="n"/>
      <c r="C79" s="71" t="n"/>
      <c r="D79" s="71" t="n"/>
      <c r="E79" s="71" t="n"/>
      <c r="F79" s="70">
        <f>IF($E79="","",IFERROR(VLOOKUP($E79,OpTbl,2,0),""))</f>
        <v/>
      </c>
      <c r="G79" s="71" t="n"/>
      <c r="H79" s="73">
        <f>IF($U79="","",IFERROR(VLOOKUP($U79,AcctTbl,2,0),"کد ناشناخته"))</f>
        <v/>
      </c>
      <c r="I79" s="70">
        <f>IF($U79="","",IFERROR(VLOOKUP($U79,AcctTbl,3,0),""))</f>
        <v/>
      </c>
      <c r="J79" s="72" t="n"/>
      <c r="K79" s="71" t="n"/>
      <c r="L79" s="74" t="n"/>
      <c r="M79" s="74" t="n"/>
      <c r="N79" s="148">
        <f>IF(OR($E79="",$L79=""),"",IFERROR(($L79-IF($M79="",0,$M79)*IFERROR(VLOOKUP($K79,BasketTbl,4,0),IFERROR(INDEX(BasketTbl,MATCH($K79,BasketCodeCol,0),4),VLOOKUP("P01",ParamTbl,2,0))))*(1-IF(VLOOKUP($E79,OpTbl,3,0)="خرید",VLOOKUP("P02",ParamTbl,2,0),0)/100),""))</f>
        <v/>
      </c>
      <c r="O79" s="74" t="n"/>
      <c r="P79" s="76">
        <f>IF(OR($E79="",$L79=""),"",IFERROR(IF(VLOOKUP($E79,OpTbl,6,0)="وزن",ROUND($N79*$O79,-3),IF(VLOOKUP($E79,OpTbl,6,0)="مبلغ",ROUND($L79*$O79,-3),0)),""))</f>
        <v/>
      </c>
      <c r="Q79" s="74" t="n"/>
      <c r="R79" s="71" t="n"/>
      <c r="S79" s="77">
        <f>IF($E79="","",IF($AI79="⚠","⚠ ناتراز",IF(AND(IFERROR(VLOOKUP($E79,OpTbl,4,0),"")="بله",$L79=""),"⚠ وزن",IF(AND(IFERROR(VLOOKUP($E79,OpTbl,5,0),"")="بله",$U79=""),"⚠ حساب",IF(AND(IFERROR(VLOOKUP($E79,OpTbl,6,0),"")="مبلغ",$Q79=""),"⚠ مبلغ","✓")))))</f>
        <v/>
      </c>
      <c r="T79" s="72" t="n"/>
      <c r="U79" s="70">
        <f>IF($E79="","",IFERROR(IF(VLOOKUP($E79,OpTbl,14,0)&lt;&gt;"",VLOOKUP($E79,OpTbl,14,0),$G79),""))</f>
        <v/>
      </c>
      <c r="V79" s="76">
        <f>IF(OR($AJ79="",$AJ79=0,$AL79&lt;&gt;"بدهکار"),"",$AJ79)</f>
        <v/>
      </c>
      <c r="W79" s="76">
        <f>IF(OR($AJ79="",$AJ79=0,$AL79&lt;&gt;"بستانکار"),"",$AJ79)</f>
        <v/>
      </c>
      <c r="X79" s="70">
        <f>IF($E79="","",IFERROR(VLOOKUP($E79,OpTbl,8,0),""))</f>
        <v/>
      </c>
      <c r="Y79" s="76">
        <f>IF(OR($X79="",$AJ79="",$AJ79=0,$AM79&lt;&gt;"بدهکار"),"",$AJ79)</f>
        <v/>
      </c>
      <c r="Z79" s="76">
        <f>IF(OR($X79="",$AJ79="",$AJ79=0,$AM79&lt;&gt;"بستانکار"),"",$AJ79)</f>
        <v/>
      </c>
      <c r="AA79" s="70">
        <f>IF(OR($E79="",$AN79="—",$AN79=""),"",IFERROR(VLOOKUP($E79,OpTbl,12,0),""))</f>
        <v/>
      </c>
      <c r="AB79" s="76">
        <f>IF(OR($AA79="",$Q79="",$Q79=0,$AN79&lt;&gt;"بدهکار"),"",$Q79)</f>
        <v/>
      </c>
      <c r="AC79" s="76">
        <f>IF(OR($AA79="",$Q79="",$Q79=0,$AN79&lt;&gt;"بستانکار"),"",$Q79)</f>
        <v/>
      </c>
      <c r="AD79" s="70">
        <f>IF($AA79="","",IFERROR(VLOOKUP($E79,OpTbl,13,0),""))</f>
        <v/>
      </c>
      <c r="AE79" s="76">
        <f>IF(OR($AD79="",$Q79="",$Q79=0,$AN79&lt;&gt;"بستانکار"),"",$Q79)</f>
        <v/>
      </c>
      <c r="AF79" s="76">
        <f>IF(OR($AD79="",$Q79="",$Q79=0,$AN79&lt;&gt;"بدهکار"),"",$Q79)</f>
        <v/>
      </c>
      <c r="AG79" s="76">
        <f>SUM($V79,$Y79,$AB79,$AE79)</f>
        <v/>
      </c>
      <c r="AH79" s="76">
        <f>SUM($W79,$Z79,$AC79,$AF79)</f>
        <v/>
      </c>
      <c r="AI79" s="70">
        <f>IF($E79="","",IF(ROUND($AG79-$AH79,0)=0,"✓","⚠"))</f>
        <v/>
      </c>
      <c r="AJ79" s="76">
        <f>IF(OR($E79="",$U79=""),"",IFERROR(IF(VLOOKUP($E79,OpTbl,6,0)="وزن",IF($P79="",0,$P79),IF(VLOOKUP($E79,OpTbl,6,0)="مبلغ",IF(AND($Q79&lt;&gt;"",$Q79&lt;&gt;0),$Q79,$P79),0))+IF(VLOOKUP($E79,OpTbl,10,0)="افزودن",IF($Q79="",0,$Q79),0),0))</f>
        <v/>
      </c>
      <c r="AK79" s="70">
        <f>IF($E79="","",IFERROR(VLOOKUP($E79,OpTbl,10,0),""))</f>
        <v/>
      </c>
      <c r="AL79" s="70">
        <f>IF(OR($E79="",$U79=""),"",IFERROR(IF(VLOOKUP($E79,OpTbl,7,0)="خودکار",$R79,VLOOKUP($E79,OpTbl,7,0)),""))</f>
        <v/>
      </c>
      <c r="AM79" s="70">
        <f>IF(OR($E79="",$X79=""),"",IFERROR(IF(VLOOKUP($E79,OpTbl,9,0)="خودکار",IF($AL79="بدهکار","بستانکار",IF($AL79="بستانکار","بدهکار","")),VLOOKUP($E79,OpTbl,9,0)),""))</f>
        <v/>
      </c>
      <c r="AN79" s="70">
        <f>IF($E79="","",IFERROR(VLOOKUP($E79,OpTbl,11,0),""))</f>
        <v/>
      </c>
      <c r="AO79" s="70">
        <f>IF($B79="","",MID($B79,6,2))</f>
        <v/>
      </c>
      <c r="AP79" s="76">
        <f>IF($B79="",0,1)</f>
        <v/>
      </c>
    </row>
    <row r="80" ht="21.75" customHeight="1">
      <c r="A80" s="70">
        <f>IF($B80="","",COUNTA($B$10:$B80))</f>
        <v/>
      </c>
      <c r="B80" s="71" t="n"/>
      <c r="C80" s="71" t="n"/>
      <c r="D80" s="71" t="n"/>
      <c r="E80" s="71" t="n"/>
      <c r="F80" s="70">
        <f>IF($E80="","",IFERROR(VLOOKUP($E80,OpTbl,2,0),""))</f>
        <v/>
      </c>
      <c r="G80" s="71" t="n"/>
      <c r="H80" s="73">
        <f>IF($U80="","",IFERROR(VLOOKUP($U80,AcctTbl,2,0),"کد ناشناخته"))</f>
        <v/>
      </c>
      <c r="I80" s="70">
        <f>IF($U80="","",IFERROR(VLOOKUP($U80,AcctTbl,3,0),""))</f>
        <v/>
      </c>
      <c r="J80" s="72" t="n"/>
      <c r="K80" s="71" t="n"/>
      <c r="L80" s="74" t="n"/>
      <c r="M80" s="74" t="n"/>
      <c r="N80" s="148">
        <f>IF(OR($E80="",$L80=""),"",IFERROR(($L80-IF($M80="",0,$M80)*IFERROR(VLOOKUP($K80,BasketTbl,4,0),IFERROR(INDEX(BasketTbl,MATCH($K80,BasketCodeCol,0),4),VLOOKUP("P01",ParamTbl,2,0))))*(1-IF(VLOOKUP($E80,OpTbl,3,0)="خرید",VLOOKUP("P02",ParamTbl,2,0),0)/100),""))</f>
        <v/>
      </c>
      <c r="O80" s="74" t="n"/>
      <c r="P80" s="76">
        <f>IF(OR($E80="",$L80=""),"",IFERROR(IF(VLOOKUP($E80,OpTbl,6,0)="وزن",ROUND($N80*$O80,-3),IF(VLOOKUP($E80,OpTbl,6,0)="مبلغ",ROUND($L80*$O80,-3),0)),""))</f>
        <v/>
      </c>
      <c r="Q80" s="74" t="n"/>
      <c r="R80" s="71" t="n"/>
      <c r="S80" s="77">
        <f>IF($E80="","",IF($AI80="⚠","⚠ ناتراز",IF(AND(IFERROR(VLOOKUP($E80,OpTbl,4,0),"")="بله",$L80=""),"⚠ وزن",IF(AND(IFERROR(VLOOKUP($E80,OpTbl,5,0),"")="بله",$U80=""),"⚠ حساب",IF(AND(IFERROR(VLOOKUP($E80,OpTbl,6,0),"")="مبلغ",$Q80=""),"⚠ مبلغ","✓")))))</f>
        <v/>
      </c>
      <c r="T80" s="72" t="n"/>
      <c r="U80" s="70">
        <f>IF($E80="","",IFERROR(IF(VLOOKUP($E80,OpTbl,14,0)&lt;&gt;"",VLOOKUP($E80,OpTbl,14,0),$G80),""))</f>
        <v/>
      </c>
      <c r="V80" s="76">
        <f>IF(OR($AJ80="",$AJ80=0,$AL80&lt;&gt;"بدهکار"),"",$AJ80)</f>
        <v/>
      </c>
      <c r="W80" s="76">
        <f>IF(OR($AJ80="",$AJ80=0,$AL80&lt;&gt;"بستانکار"),"",$AJ80)</f>
        <v/>
      </c>
      <c r="X80" s="70">
        <f>IF($E80="","",IFERROR(VLOOKUP($E80,OpTbl,8,0),""))</f>
        <v/>
      </c>
      <c r="Y80" s="76">
        <f>IF(OR($X80="",$AJ80="",$AJ80=0,$AM80&lt;&gt;"بدهکار"),"",$AJ80)</f>
        <v/>
      </c>
      <c r="Z80" s="76">
        <f>IF(OR($X80="",$AJ80="",$AJ80=0,$AM80&lt;&gt;"بستانکار"),"",$AJ80)</f>
        <v/>
      </c>
      <c r="AA80" s="70">
        <f>IF(OR($E80="",$AN80="—",$AN80=""),"",IFERROR(VLOOKUP($E80,OpTbl,12,0),""))</f>
        <v/>
      </c>
      <c r="AB80" s="76">
        <f>IF(OR($AA80="",$Q80="",$Q80=0,$AN80&lt;&gt;"بدهکار"),"",$Q80)</f>
        <v/>
      </c>
      <c r="AC80" s="76">
        <f>IF(OR($AA80="",$Q80="",$Q80=0,$AN80&lt;&gt;"بستانکار"),"",$Q80)</f>
        <v/>
      </c>
      <c r="AD80" s="70">
        <f>IF($AA80="","",IFERROR(VLOOKUP($E80,OpTbl,13,0),""))</f>
        <v/>
      </c>
      <c r="AE80" s="76">
        <f>IF(OR($AD80="",$Q80="",$Q80=0,$AN80&lt;&gt;"بستانکار"),"",$Q80)</f>
        <v/>
      </c>
      <c r="AF80" s="76">
        <f>IF(OR($AD80="",$Q80="",$Q80=0,$AN80&lt;&gt;"بدهکار"),"",$Q80)</f>
        <v/>
      </c>
      <c r="AG80" s="76">
        <f>SUM($V80,$Y80,$AB80,$AE80)</f>
        <v/>
      </c>
      <c r="AH80" s="76">
        <f>SUM($W80,$Z80,$AC80,$AF80)</f>
        <v/>
      </c>
      <c r="AI80" s="70">
        <f>IF($E80="","",IF(ROUND($AG80-$AH80,0)=0,"✓","⚠"))</f>
        <v/>
      </c>
      <c r="AJ80" s="76">
        <f>IF(OR($E80="",$U80=""),"",IFERROR(IF(VLOOKUP($E80,OpTbl,6,0)="وزن",IF($P80="",0,$P80),IF(VLOOKUP($E80,OpTbl,6,0)="مبلغ",IF(AND($Q80&lt;&gt;"",$Q80&lt;&gt;0),$Q80,$P80),0))+IF(VLOOKUP($E80,OpTbl,10,0)="افزودن",IF($Q80="",0,$Q80),0),0))</f>
        <v/>
      </c>
      <c r="AK80" s="70">
        <f>IF($E80="","",IFERROR(VLOOKUP($E80,OpTbl,10,0),""))</f>
        <v/>
      </c>
      <c r="AL80" s="70">
        <f>IF(OR($E80="",$U80=""),"",IFERROR(IF(VLOOKUP($E80,OpTbl,7,0)="خودکار",$R80,VLOOKUP($E80,OpTbl,7,0)),""))</f>
        <v/>
      </c>
      <c r="AM80" s="70">
        <f>IF(OR($E80="",$X80=""),"",IFERROR(IF(VLOOKUP($E80,OpTbl,9,0)="خودکار",IF($AL80="بدهکار","بستانکار",IF($AL80="بستانکار","بدهکار","")),VLOOKUP($E80,OpTbl,9,0)),""))</f>
        <v/>
      </c>
      <c r="AN80" s="70">
        <f>IF($E80="","",IFERROR(VLOOKUP($E80,OpTbl,11,0),""))</f>
        <v/>
      </c>
      <c r="AO80" s="70">
        <f>IF($B80="","",MID($B80,6,2))</f>
        <v/>
      </c>
      <c r="AP80" s="76">
        <f>IF($B80="",0,1)</f>
        <v/>
      </c>
    </row>
    <row r="81" ht="21.75" customHeight="1">
      <c r="A81" s="70">
        <f>IF($B81="","",COUNTA($B$10:$B81))</f>
        <v/>
      </c>
      <c r="B81" s="71" t="n"/>
      <c r="C81" s="71" t="n"/>
      <c r="D81" s="71" t="n"/>
      <c r="E81" s="71" t="n"/>
      <c r="F81" s="70">
        <f>IF($E81="","",IFERROR(VLOOKUP($E81,OpTbl,2,0),""))</f>
        <v/>
      </c>
      <c r="G81" s="71" t="n"/>
      <c r="H81" s="73">
        <f>IF($U81="","",IFERROR(VLOOKUP($U81,AcctTbl,2,0),"کد ناشناخته"))</f>
        <v/>
      </c>
      <c r="I81" s="70">
        <f>IF($U81="","",IFERROR(VLOOKUP($U81,AcctTbl,3,0),""))</f>
        <v/>
      </c>
      <c r="J81" s="72" t="n"/>
      <c r="K81" s="71" t="n"/>
      <c r="L81" s="74" t="n"/>
      <c r="M81" s="74" t="n"/>
      <c r="N81" s="148">
        <f>IF(OR($E81="",$L81=""),"",IFERROR(($L81-IF($M81="",0,$M81)*IFERROR(VLOOKUP($K81,BasketTbl,4,0),IFERROR(INDEX(BasketTbl,MATCH($K81,BasketCodeCol,0),4),VLOOKUP("P01",ParamTbl,2,0))))*(1-IF(VLOOKUP($E81,OpTbl,3,0)="خرید",VLOOKUP("P02",ParamTbl,2,0),0)/100),""))</f>
        <v/>
      </c>
      <c r="O81" s="74" t="n"/>
      <c r="P81" s="76">
        <f>IF(OR($E81="",$L81=""),"",IFERROR(IF(VLOOKUP($E81,OpTbl,6,0)="وزن",ROUND($N81*$O81,-3),IF(VLOOKUP($E81,OpTbl,6,0)="مبلغ",ROUND($L81*$O81,-3),0)),""))</f>
        <v/>
      </c>
      <c r="Q81" s="74" t="n"/>
      <c r="R81" s="71" t="n"/>
      <c r="S81" s="77">
        <f>IF($E81="","",IF($AI81="⚠","⚠ ناتراز",IF(AND(IFERROR(VLOOKUP($E81,OpTbl,4,0),"")="بله",$L81=""),"⚠ وزن",IF(AND(IFERROR(VLOOKUP($E81,OpTbl,5,0),"")="بله",$U81=""),"⚠ حساب",IF(AND(IFERROR(VLOOKUP($E81,OpTbl,6,0),"")="مبلغ",$Q81=""),"⚠ مبلغ","✓")))))</f>
        <v/>
      </c>
      <c r="T81" s="72" t="n"/>
      <c r="U81" s="70">
        <f>IF($E81="","",IFERROR(IF(VLOOKUP($E81,OpTbl,14,0)&lt;&gt;"",VLOOKUP($E81,OpTbl,14,0),$G81),""))</f>
        <v/>
      </c>
      <c r="V81" s="76">
        <f>IF(OR($AJ81="",$AJ81=0,$AL81&lt;&gt;"بدهکار"),"",$AJ81)</f>
        <v/>
      </c>
      <c r="W81" s="76">
        <f>IF(OR($AJ81="",$AJ81=0,$AL81&lt;&gt;"بستانکار"),"",$AJ81)</f>
        <v/>
      </c>
      <c r="X81" s="70">
        <f>IF($E81="","",IFERROR(VLOOKUP($E81,OpTbl,8,0),""))</f>
        <v/>
      </c>
      <c r="Y81" s="76">
        <f>IF(OR($X81="",$AJ81="",$AJ81=0,$AM81&lt;&gt;"بدهکار"),"",$AJ81)</f>
        <v/>
      </c>
      <c r="Z81" s="76">
        <f>IF(OR($X81="",$AJ81="",$AJ81=0,$AM81&lt;&gt;"بستانکار"),"",$AJ81)</f>
        <v/>
      </c>
      <c r="AA81" s="70">
        <f>IF(OR($E81="",$AN81="—",$AN81=""),"",IFERROR(VLOOKUP($E81,OpTbl,12,0),""))</f>
        <v/>
      </c>
      <c r="AB81" s="76">
        <f>IF(OR($AA81="",$Q81="",$Q81=0,$AN81&lt;&gt;"بدهکار"),"",$Q81)</f>
        <v/>
      </c>
      <c r="AC81" s="76">
        <f>IF(OR($AA81="",$Q81="",$Q81=0,$AN81&lt;&gt;"بستانکار"),"",$Q81)</f>
        <v/>
      </c>
      <c r="AD81" s="70">
        <f>IF($AA81="","",IFERROR(VLOOKUP($E81,OpTbl,13,0),""))</f>
        <v/>
      </c>
      <c r="AE81" s="76">
        <f>IF(OR($AD81="",$Q81="",$Q81=0,$AN81&lt;&gt;"بستانکار"),"",$Q81)</f>
        <v/>
      </c>
      <c r="AF81" s="76">
        <f>IF(OR($AD81="",$Q81="",$Q81=0,$AN81&lt;&gt;"بدهکار"),"",$Q81)</f>
        <v/>
      </c>
      <c r="AG81" s="76">
        <f>SUM($V81,$Y81,$AB81,$AE81)</f>
        <v/>
      </c>
      <c r="AH81" s="76">
        <f>SUM($W81,$Z81,$AC81,$AF81)</f>
        <v/>
      </c>
      <c r="AI81" s="70">
        <f>IF($E81="","",IF(ROUND($AG81-$AH81,0)=0,"✓","⚠"))</f>
        <v/>
      </c>
      <c r="AJ81" s="76">
        <f>IF(OR($E81="",$U81=""),"",IFERROR(IF(VLOOKUP($E81,OpTbl,6,0)="وزن",IF($P81="",0,$P81),IF(VLOOKUP($E81,OpTbl,6,0)="مبلغ",IF(AND($Q81&lt;&gt;"",$Q81&lt;&gt;0),$Q81,$P81),0))+IF(VLOOKUP($E81,OpTbl,10,0)="افزودن",IF($Q81="",0,$Q81),0),0))</f>
        <v/>
      </c>
      <c r="AK81" s="70">
        <f>IF($E81="","",IFERROR(VLOOKUP($E81,OpTbl,10,0),""))</f>
        <v/>
      </c>
      <c r="AL81" s="70">
        <f>IF(OR($E81="",$U81=""),"",IFERROR(IF(VLOOKUP($E81,OpTbl,7,0)="خودکار",$R81,VLOOKUP($E81,OpTbl,7,0)),""))</f>
        <v/>
      </c>
      <c r="AM81" s="70">
        <f>IF(OR($E81="",$X81=""),"",IFERROR(IF(VLOOKUP($E81,OpTbl,9,0)="خودکار",IF($AL81="بدهکار","بستانکار",IF($AL81="بستانکار","بدهکار","")),VLOOKUP($E81,OpTbl,9,0)),""))</f>
        <v/>
      </c>
      <c r="AN81" s="70">
        <f>IF($E81="","",IFERROR(VLOOKUP($E81,OpTbl,11,0),""))</f>
        <v/>
      </c>
      <c r="AO81" s="70">
        <f>IF($B81="","",MID($B81,6,2))</f>
        <v/>
      </c>
      <c r="AP81" s="76">
        <f>IF($B81="",0,1)</f>
        <v/>
      </c>
    </row>
    <row r="82" ht="21.75" customHeight="1">
      <c r="A82" s="70">
        <f>IF($B82="","",COUNTA($B$10:$B82))</f>
        <v/>
      </c>
      <c r="B82" s="71" t="n"/>
      <c r="C82" s="71" t="n"/>
      <c r="D82" s="71" t="n"/>
      <c r="E82" s="71" t="n"/>
      <c r="F82" s="70">
        <f>IF($E82="","",IFERROR(VLOOKUP($E82,OpTbl,2,0),""))</f>
        <v/>
      </c>
      <c r="G82" s="71" t="n"/>
      <c r="H82" s="73">
        <f>IF($U82="","",IFERROR(VLOOKUP($U82,AcctTbl,2,0),"کد ناشناخته"))</f>
        <v/>
      </c>
      <c r="I82" s="70">
        <f>IF($U82="","",IFERROR(VLOOKUP($U82,AcctTbl,3,0),""))</f>
        <v/>
      </c>
      <c r="J82" s="72" t="n"/>
      <c r="K82" s="71" t="n"/>
      <c r="L82" s="74" t="n"/>
      <c r="M82" s="74" t="n"/>
      <c r="N82" s="148">
        <f>IF(OR($E82="",$L82=""),"",IFERROR(($L82-IF($M82="",0,$M82)*IFERROR(VLOOKUP($K82,BasketTbl,4,0),IFERROR(INDEX(BasketTbl,MATCH($K82,BasketCodeCol,0),4),VLOOKUP("P01",ParamTbl,2,0))))*(1-IF(VLOOKUP($E82,OpTbl,3,0)="خرید",VLOOKUP("P02",ParamTbl,2,0),0)/100),""))</f>
        <v/>
      </c>
      <c r="O82" s="74" t="n"/>
      <c r="P82" s="76">
        <f>IF(OR($E82="",$L82=""),"",IFERROR(IF(VLOOKUP($E82,OpTbl,6,0)="وزن",ROUND($N82*$O82,-3),IF(VLOOKUP($E82,OpTbl,6,0)="مبلغ",ROUND($L82*$O82,-3),0)),""))</f>
        <v/>
      </c>
      <c r="Q82" s="74" t="n"/>
      <c r="R82" s="71" t="n"/>
      <c r="S82" s="77">
        <f>IF($E82="","",IF($AI82="⚠","⚠ ناتراز",IF(AND(IFERROR(VLOOKUP($E82,OpTbl,4,0),"")="بله",$L82=""),"⚠ وزن",IF(AND(IFERROR(VLOOKUP($E82,OpTbl,5,0),"")="بله",$U82=""),"⚠ حساب",IF(AND(IFERROR(VLOOKUP($E82,OpTbl,6,0),"")="مبلغ",$Q82=""),"⚠ مبلغ","✓")))))</f>
        <v/>
      </c>
      <c r="T82" s="72" t="n"/>
      <c r="U82" s="70">
        <f>IF($E82="","",IFERROR(IF(VLOOKUP($E82,OpTbl,14,0)&lt;&gt;"",VLOOKUP($E82,OpTbl,14,0),$G82),""))</f>
        <v/>
      </c>
      <c r="V82" s="76">
        <f>IF(OR($AJ82="",$AJ82=0,$AL82&lt;&gt;"بدهکار"),"",$AJ82)</f>
        <v/>
      </c>
      <c r="W82" s="76">
        <f>IF(OR($AJ82="",$AJ82=0,$AL82&lt;&gt;"بستانکار"),"",$AJ82)</f>
        <v/>
      </c>
      <c r="X82" s="70">
        <f>IF($E82="","",IFERROR(VLOOKUP($E82,OpTbl,8,0),""))</f>
        <v/>
      </c>
      <c r="Y82" s="76">
        <f>IF(OR($X82="",$AJ82="",$AJ82=0,$AM82&lt;&gt;"بدهکار"),"",$AJ82)</f>
        <v/>
      </c>
      <c r="Z82" s="76">
        <f>IF(OR($X82="",$AJ82="",$AJ82=0,$AM82&lt;&gt;"بستانکار"),"",$AJ82)</f>
        <v/>
      </c>
      <c r="AA82" s="70">
        <f>IF(OR($E82="",$AN82="—",$AN82=""),"",IFERROR(VLOOKUP($E82,OpTbl,12,0),""))</f>
        <v/>
      </c>
      <c r="AB82" s="76">
        <f>IF(OR($AA82="",$Q82="",$Q82=0,$AN82&lt;&gt;"بدهکار"),"",$Q82)</f>
        <v/>
      </c>
      <c r="AC82" s="76">
        <f>IF(OR($AA82="",$Q82="",$Q82=0,$AN82&lt;&gt;"بستانکار"),"",$Q82)</f>
        <v/>
      </c>
      <c r="AD82" s="70">
        <f>IF($AA82="","",IFERROR(VLOOKUP($E82,OpTbl,13,0),""))</f>
        <v/>
      </c>
      <c r="AE82" s="76">
        <f>IF(OR($AD82="",$Q82="",$Q82=0,$AN82&lt;&gt;"بستانکار"),"",$Q82)</f>
        <v/>
      </c>
      <c r="AF82" s="76">
        <f>IF(OR($AD82="",$Q82="",$Q82=0,$AN82&lt;&gt;"بدهکار"),"",$Q82)</f>
        <v/>
      </c>
      <c r="AG82" s="76">
        <f>SUM($V82,$Y82,$AB82,$AE82)</f>
        <v/>
      </c>
      <c r="AH82" s="76">
        <f>SUM($W82,$Z82,$AC82,$AF82)</f>
        <v/>
      </c>
      <c r="AI82" s="70">
        <f>IF($E82="","",IF(ROUND($AG82-$AH82,0)=0,"✓","⚠"))</f>
        <v/>
      </c>
      <c r="AJ82" s="76">
        <f>IF(OR($E82="",$U82=""),"",IFERROR(IF(VLOOKUP($E82,OpTbl,6,0)="وزن",IF($P82="",0,$P82),IF(VLOOKUP($E82,OpTbl,6,0)="مبلغ",IF(AND($Q82&lt;&gt;"",$Q82&lt;&gt;0),$Q82,$P82),0))+IF(VLOOKUP($E82,OpTbl,10,0)="افزودن",IF($Q82="",0,$Q82),0),0))</f>
        <v/>
      </c>
      <c r="AK82" s="70">
        <f>IF($E82="","",IFERROR(VLOOKUP($E82,OpTbl,10,0),""))</f>
        <v/>
      </c>
      <c r="AL82" s="70">
        <f>IF(OR($E82="",$U82=""),"",IFERROR(IF(VLOOKUP($E82,OpTbl,7,0)="خودکار",$R82,VLOOKUP($E82,OpTbl,7,0)),""))</f>
        <v/>
      </c>
      <c r="AM82" s="70">
        <f>IF(OR($E82="",$X82=""),"",IFERROR(IF(VLOOKUP($E82,OpTbl,9,0)="خودکار",IF($AL82="بدهکار","بستانکار",IF($AL82="بستانکار","بدهکار","")),VLOOKUP($E82,OpTbl,9,0)),""))</f>
        <v/>
      </c>
      <c r="AN82" s="70">
        <f>IF($E82="","",IFERROR(VLOOKUP($E82,OpTbl,11,0),""))</f>
        <v/>
      </c>
      <c r="AO82" s="70">
        <f>IF($B82="","",MID($B82,6,2))</f>
        <v/>
      </c>
      <c r="AP82" s="76">
        <f>IF($B82="",0,1)</f>
        <v/>
      </c>
    </row>
    <row r="83" ht="21.75" customHeight="1">
      <c r="A83" s="70">
        <f>IF($B83="","",COUNTA($B$10:$B83))</f>
        <v/>
      </c>
      <c r="B83" s="71" t="n"/>
      <c r="C83" s="71" t="n"/>
      <c r="D83" s="71" t="n"/>
      <c r="E83" s="71" t="n"/>
      <c r="F83" s="70">
        <f>IF($E83="","",IFERROR(VLOOKUP($E83,OpTbl,2,0),""))</f>
        <v/>
      </c>
      <c r="G83" s="71" t="n"/>
      <c r="H83" s="73">
        <f>IF($U83="","",IFERROR(VLOOKUP($U83,AcctTbl,2,0),"کد ناشناخته"))</f>
        <v/>
      </c>
      <c r="I83" s="70">
        <f>IF($U83="","",IFERROR(VLOOKUP($U83,AcctTbl,3,0),""))</f>
        <v/>
      </c>
      <c r="J83" s="72" t="n"/>
      <c r="K83" s="71" t="n"/>
      <c r="L83" s="74" t="n"/>
      <c r="M83" s="74" t="n"/>
      <c r="N83" s="148">
        <f>IF(OR($E83="",$L83=""),"",IFERROR(($L83-IF($M83="",0,$M83)*IFERROR(VLOOKUP($K83,BasketTbl,4,0),IFERROR(INDEX(BasketTbl,MATCH($K83,BasketCodeCol,0),4),VLOOKUP("P01",ParamTbl,2,0))))*(1-IF(VLOOKUP($E83,OpTbl,3,0)="خرید",VLOOKUP("P02",ParamTbl,2,0),0)/100),""))</f>
        <v/>
      </c>
      <c r="O83" s="74" t="n"/>
      <c r="P83" s="76">
        <f>IF(OR($E83="",$L83=""),"",IFERROR(IF(VLOOKUP($E83,OpTbl,6,0)="وزن",ROUND($N83*$O83,-3),IF(VLOOKUP($E83,OpTbl,6,0)="مبلغ",ROUND($L83*$O83,-3),0)),""))</f>
        <v/>
      </c>
      <c r="Q83" s="74" t="n"/>
      <c r="R83" s="71" t="n"/>
      <c r="S83" s="77">
        <f>IF($E83="","",IF($AI83="⚠","⚠ ناتراز",IF(AND(IFERROR(VLOOKUP($E83,OpTbl,4,0),"")="بله",$L83=""),"⚠ وزن",IF(AND(IFERROR(VLOOKUP($E83,OpTbl,5,0),"")="بله",$U83=""),"⚠ حساب",IF(AND(IFERROR(VLOOKUP($E83,OpTbl,6,0),"")="مبلغ",$Q83=""),"⚠ مبلغ","✓")))))</f>
        <v/>
      </c>
      <c r="T83" s="72" t="n"/>
      <c r="U83" s="70">
        <f>IF($E83="","",IFERROR(IF(VLOOKUP($E83,OpTbl,14,0)&lt;&gt;"",VLOOKUP($E83,OpTbl,14,0),$G83),""))</f>
        <v/>
      </c>
      <c r="V83" s="76">
        <f>IF(OR($AJ83="",$AJ83=0,$AL83&lt;&gt;"بدهکار"),"",$AJ83)</f>
        <v/>
      </c>
      <c r="W83" s="76">
        <f>IF(OR($AJ83="",$AJ83=0,$AL83&lt;&gt;"بستانکار"),"",$AJ83)</f>
        <v/>
      </c>
      <c r="X83" s="70">
        <f>IF($E83="","",IFERROR(VLOOKUP($E83,OpTbl,8,0),""))</f>
        <v/>
      </c>
      <c r="Y83" s="76">
        <f>IF(OR($X83="",$AJ83="",$AJ83=0,$AM83&lt;&gt;"بدهکار"),"",$AJ83)</f>
        <v/>
      </c>
      <c r="Z83" s="76">
        <f>IF(OR($X83="",$AJ83="",$AJ83=0,$AM83&lt;&gt;"بستانکار"),"",$AJ83)</f>
        <v/>
      </c>
      <c r="AA83" s="70">
        <f>IF(OR($E83="",$AN83="—",$AN83=""),"",IFERROR(VLOOKUP($E83,OpTbl,12,0),""))</f>
        <v/>
      </c>
      <c r="AB83" s="76">
        <f>IF(OR($AA83="",$Q83="",$Q83=0,$AN83&lt;&gt;"بدهکار"),"",$Q83)</f>
        <v/>
      </c>
      <c r="AC83" s="76">
        <f>IF(OR($AA83="",$Q83="",$Q83=0,$AN83&lt;&gt;"بستانکار"),"",$Q83)</f>
        <v/>
      </c>
      <c r="AD83" s="70">
        <f>IF($AA83="","",IFERROR(VLOOKUP($E83,OpTbl,13,0),""))</f>
        <v/>
      </c>
      <c r="AE83" s="76">
        <f>IF(OR($AD83="",$Q83="",$Q83=0,$AN83&lt;&gt;"بستانکار"),"",$Q83)</f>
        <v/>
      </c>
      <c r="AF83" s="76">
        <f>IF(OR($AD83="",$Q83="",$Q83=0,$AN83&lt;&gt;"بدهکار"),"",$Q83)</f>
        <v/>
      </c>
      <c r="AG83" s="76">
        <f>SUM($V83,$Y83,$AB83,$AE83)</f>
        <v/>
      </c>
      <c r="AH83" s="76">
        <f>SUM($W83,$Z83,$AC83,$AF83)</f>
        <v/>
      </c>
      <c r="AI83" s="70">
        <f>IF($E83="","",IF(ROUND($AG83-$AH83,0)=0,"✓","⚠"))</f>
        <v/>
      </c>
      <c r="AJ83" s="76">
        <f>IF(OR($E83="",$U83=""),"",IFERROR(IF(VLOOKUP($E83,OpTbl,6,0)="وزن",IF($P83="",0,$P83),IF(VLOOKUP($E83,OpTbl,6,0)="مبلغ",IF(AND($Q83&lt;&gt;"",$Q83&lt;&gt;0),$Q83,$P83),0))+IF(VLOOKUP($E83,OpTbl,10,0)="افزودن",IF($Q83="",0,$Q83),0),0))</f>
        <v/>
      </c>
      <c r="AK83" s="70">
        <f>IF($E83="","",IFERROR(VLOOKUP($E83,OpTbl,10,0),""))</f>
        <v/>
      </c>
      <c r="AL83" s="70">
        <f>IF(OR($E83="",$U83=""),"",IFERROR(IF(VLOOKUP($E83,OpTbl,7,0)="خودکار",$R83,VLOOKUP($E83,OpTbl,7,0)),""))</f>
        <v/>
      </c>
      <c r="AM83" s="70">
        <f>IF(OR($E83="",$X83=""),"",IFERROR(IF(VLOOKUP($E83,OpTbl,9,0)="خودکار",IF($AL83="بدهکار","بستانکار",IF($AL83="بستانکار","بدهکار","")),VLOOKUP($E83,OpTbl,9,0)),""))</f>
        <v/>
      </c>
      <c r="AN83" s="70">
        <f>IF($E83="","",IFERROR(VLOOKUP($E83,OpTbl,11,0),""))</f>
        <v/>
      </c>
      <c r="AO83" s="70">
        <f>IF($B83="","",MID($B83,6,2))</f>
        <v/>
      </c>
      <c r="AP83" s="76">
        <f>IF($B83="",0,1)</f>
        <v/>
      </c>
    </row>
    <row r="84" ht="21.75" customHeight="1">
      <c r="A84" s="70">
        <f>IF($B84="","",COUNTA($B$10:$B84))</f>
        <v/>
      </c>
      <c r="B84" s="71" t="n"/>
      <c r="C84" s="71" t="n"/>
      <c r="D84" s="71" t="n"/>
      <c r="E84" s="71" t="n"/>
      <c r="F84" s="70">
        <f>IF($E84="","",IFERROR(VLOOKUP($E84,OpTbl,2,0),""))</f>
        <v/>
      </c>
      <c r="G84" s="71" t="n"/>
      <c r="H84" s="73">
        <f>IF($U84="","",IFERROR(VLOOKUP($U84,AcctTbl,2,0),"کد ناشناخته"))</f>
        <v/>
      </c>
      <c r="I84" s="70">
        <f>IF($U84="","",IFERROR(VLOOKUP($U84,AcctTbl,3,0),""))</f>
        <v/>
      </c>
      <c r="J84" s="72" t="n"/>
      <c r="K84" s="71" t="n"/>
      <c r="L84" s="74" t="n"/>
      <c r="M84" s="74" t="n"/>
      <c r="N84" s="148">
        <f>IF(OR($E84="",$L84=""),"",IFERROR(($L84-IF($M84="",0,$M84)*IFERROR(VLOOKUP($K84,BasketTbl,4,0),IFERROR(INDEX(BasketTbl,MATCH($K84,BasketCodeCol,0),4),VLOOKUP("P01",ParamTbl,2,0))))*(1-IF(VLOOKUP($E84,OpTbl,3,0)="خرید",VLOOKUP("P02",ParamTbl,2,0),0)/100),""))</f>
        <v/>
      </c>
      <c r="O84" s="74" t="n"/>
      <c r="P84" s="76">
        <f>IF(OR($E84="",$L84=""),"",IFERROR(IF(VLOOKUP($E84,OpTbl,6,0)="وزن",ROUND($N84*$O84,-3),IF(VLOOKUP($E84,OpTbl,6,0)="مبلغ",ROUND($L84*$O84,-3),0)),""))</f>
        <v/>
      </c>
      <c r="Q84" s="74" t="n"/>
      <c r="R84" s="71" t="n"/>
      <c r="S84" s="77">
        <f>IF($E84="","",IF($AI84="⚠","⚠ ناتراز",IF(AND(IFERROR(VLOOKUP($E84,OpTbl,4,0),"")="بله",$L84=""),"⚠ وزن",IF(AND(IFERROR(VLOOKUP($E84,OpTbl,5,0),"")="بله",$U84=""),"⚠ حساب",IF(AND(IFERROR(VLOOKUP($E84,OpTbl,6,0),"")="مبلغ",$Q84=""),"⚠ مبلغ","✓")))))</f>
        <v/>
      </c>
      <c r="T84" s="72" t="n"/>
      <c r="U84" s="70">
        <f>IF($E84="","",IFERROR(IF(VLOOKUP($E84,OpTbl,14,0)&lt;&gt;"",VLOOKUP($E84,OpTbl,14,0),$G84),""))</f>
        <v/>
      </c>
      <c r="V84" s="76">
        <f>IF(OR($AJ84="",$AJ84=0,$AL84&lt;&gt;"بدهکار"),"",$AJ84)</f>
        <v/>
      </c>
      <c r="W84" s="76">
        <f>IF(OR($AJ84="",$AJ84=0,$AL84&lt;&gt;"بستانکار"),"",$AJ84)</f>
        <v/>
      </c>
      <c r="X84" s="70">
        <f>IF($E84="","",IFERROR(VLOOKUP($E84,OpTbl,8,0),""))</f>
        <v/>
      </c>
      <c r="Y84" s="76">
        <f>IF(OR($X84="",$AJ84="",$AJ84=0,$AM84&lt;&gt;"بدهکار"),"",$AJ84)</f>
        <v/>
      </c>
      <c r="Z84" s="76">
        <f>IF(OR($X84="",$AJ84="",$AJ84=0,$AM84&lt;&gt;"بستانکار"),"",$AJ84)</f>
        <v/>
      </c>
      <c r="AA84" s="70">
        <f>IF(OR($E84="",$AN84="—",$AN84=""),"",IFERROR(VLOOKUP($E84,OpTbl,12,0),""))</f>
        <v/>
      </c>
      <c r="AB84" s="76">
        <f>IF(OR($AA84="",$Q84="",$Q84=0,$AN84&lt;&gt;"بدهکار"),"",$Q84)</f>
        <v/>
      </c>
      <c r="AC84" s="76">
        <f>IF(OR($AA84="",$Q84="",$Q84=0,$AN84&lt;&gt;"بستانکار"),"",$Q84)</f>
        <v/>
      </c>
      <c r="AD84" s="70">
        <f>IF($AA84="","",IFERROR(VLOOKUP($E84,OpTbl,13,0),""))</f>
        <v/>
      </c>
      <c r="AE84" s="76">
        <f>IF(OR($AD84="",$Q84="",$Q84=0,$AN84&lt;&gt;"بستانکار"),"",$Q84)</f>
        <v/>
      </c>
      <c r="AF84" s="76">
        <f>IF(OR($AD84="",$Q84="",$Q84=0,$AN84&lt;&gt;"بدهکار"),"",$Q84)</f>
        <v/>
      </c>
      <c r="AG84" s="76">
        <f>SUM($V84,$Y84,$AB84,$AE84)</f>
        <v/>
      </c>
      <c r="AH84" s="76">
        <f>SUM($W84,$Z84,$AC84,$AF84)</f>
        <v/>
      </c>
      <c r="AI84" s="70">
        <f>IF($E84="","",IF(ROUND($AG84-$AH84,0)=0,"✓","⚠"))</f>
        <v/>
      </c>
      <c r="AJ84" s="76">
        <f>IF(OR($E84="",$U84=""),"",IFERROR(IF(VLOOKUP($E84,OpTbl,6,0)="وزن",IF($P84="",0,$P84),IF(VLOOKUP($E84,OpTbl,6,0)="مبلغ",IF(AND($Q84&lt;&gt;"",$Q84&lt;&gt;0),$Q84,$P84),0))+IF(VLOOKUP($E84,OpTbl,10,0)="افزودن",IF($Q84="",0,$Q84),0),0))</f>
        <v/>
      </c>
      <c r="AK84" s="70">
        <f>IF($E84="","",IFERROR(VLOOKUP($E84,OpTbl,10,0),""))</f>
        <v/>
      </c>
      <c r="AL84" s="70">
        <f>IF(OR($E84="",$U84=""),"",IFERROR(IF(VLOOKUP($E84,OpTbl,7,0)="خودکار",$R84,VLOOKUP($E84,OpTbl,7,0)),""))</f>
        <v/>
      </c>
      <c r="AM84" s="70">
        <f>IF(OR($E84="",$X84=""),"",IFERROR(IF(VLOOKUP($E84,OpTbl,9,0)="خودکار",IF($AL84="بدهکار","بستانکار",IF($AL84="بستانکار","بدهکار","")),VLOOKUP($E84,OpTbl,9,0)),""))</f>
        <v/>
      </c>
      <c r="AN84" s="70">
        <f>IF($E84="","",IFERROR(VLOOKUP($E84,OpTbl,11,0),""))</f>
        <v/>
      </c>
      <c r="AO84" s="70">
        <f>IF($B84="","",MID($B84,6,2))</f>
        <v/>
      </c>
      <c r="AP84" s="76">
        <f>IF($B84="",0,1)</f>
        <v/>
      </c>
    </row>
    <row r="85" ht="21.75" customHeight="1">
      <c r="A85" s="70">
        <f>IF($B85="","",COUNTA($B$10:$B85))</f>
        <v/>
      </c>
      <c r="B85" s="71" t="n"/>
      <c r="C85" s="71" t="n"/>
      <c r="D85" s="71" t="n"/>
      <c r="E85" s="71" t="n"/>
      <c r="F85" s="70">
        <f>IF($E85="","",IFERROR(VLOOKUP($E85,OpTbl,2,0),""))</f>
        <v/>
      </c>
      <c r="G85" s="71" t="n"/>
      <c r="H85" s="73">
        <f>IF($U85="","",IFERROR(VLOOKUP($U85,AcctTbl,2,0),"کد ناشناخته"))</f>
        <v/>
      </c>
      <c r="I85" s="70">
        <f>IF($U85="","",IFERROR(VLOOKUP($U85,AcctTbl,3,0),""))</f>
        <v/>
      </c>
      <c r="J85" s="72" t="n"/>
      <c r="K85" s="71" t="n"/>
      <c r="L85" s="74" t="n"/>
      <c r="M85" s="74" t="n"/>
      <c r="N85" s="148">
        <f>IF(OR($E85="",$L85=""),"",IFERROR(($L85-IF($M85="",0,$M85)*IFERROR(VLOOKUP($K85,BasketTbl,4,0),IFERROR(INDEX(BasketTbl,MATCH($K85,BasketCodeCol,0),4),VLOOKUP("P01",ParamTbl,2,0))))*(1-IF(VLOOKUP($E85,OpTbl,3,0)="خرید",VLOOKUP("P02",ParamTbl,2,0),0)/100),""))</f>
        <v/>
      </c>
      <c r="O85" s="74" t="n"/>
      <c r="P85" s="76">
        <f>IF(OR($E85="",$L85=""),"",IFERROR(IF(VLOOKUP($E85,OpTbl,6,0)="وزن",ROUND($N85*$O85,-3),IF(VLOOKUP($E85,OpTbl,6,0)="مبلغ",ROUND($L85*$O85,-3),0)),""))</f>
        <v/>
      </c>
      <c r="Q85" s="74" t="n"/>
      <c r="R85" s="71" t="n"/>
      <c r="S85" s="77">
        <f>IF($E85="","",IF($AI85="⚠","⚠ ناتراز",IF(AND(IFERROR(VLOOKUP($E85,OpTbl,4,0),"")="بله",$L85=""),"⚠ وزن",IF(AND(IFERROR(VLOOKUP($E85,OpTbl,5,0),"")="بله",$U85=""),"⚠ حساب",IF(AND(IFERROR(VLOOKUP($E85,OpTbl,6,0),"")="مبلغ",$Q85=""),"⚠ مبلغ","✓")))))</f>
        <v/>
      </c>
      <c r="T85" s="72" t="n"/>
      <c r="U85" s="70">
        <f>IF($E85="","",IFERROR(IF(VLOOKUP($E85,OpTbl,14,0)&lt;&gt;"",VLOOKUP($E85,OpTbl,14,0),$G85),""))</f>
        <v/>
      </c>
      <c r="V85" s="76">
        <f>IF(OR($AJ85="",$AJ85=0,$AL85&lt;&gt;"بدهکار"),"",$AJ85)</f>
        <v/>
      </c>
      <c r="W85" s="76">
        <f>IF(OR($AJ85="",$AJ85=0,$AL85&lt;&gt;"بستانکار"),"",$AJ85)</f>
        <v/>
      </c>
      <c r="X85" s="70">
        <f>IF($E85="","",IFERROR(VLOOKUP($E85,OpTbl,8,0),""))</f>
        <v/>
      </c>
      <c r="Y85" s="76">
        <f>IF(OR($X85="",$AJ85="",$AJ85=0,$AM85&lt;&gt;"بدهکار"),"",$AJ85)</f>
        <v/>
      </c>
      <c r="Z85" s="76">
        <f>IF(OR($X85="",$AJ85="",$AJ85=0,$AM85&lt;&gt;"بستانکار"),"",$AJ85)</f>
        <v/>
      </c>
      <c r="AA85" s="70">
        <f>IF(OR($E85="",$AN85="—",$AN85=""),"",IFERROR(VLOOKUP($E85,OpTbl,12,0),""))</f>
        <v/>
      </c>
      <c r="AB85" s="76">
        <f>IF(OR($AA85="",$Q85="",$Q85=0,$AN85&lt;&gt;"بدهکار"),"",$Q85)</f>
        <v/>
      </c>
      <c r="AC85" s="76">
        <f>IF(OR($AA85="",$Q85="",$Q85=0,$AN85&lt;&gt;"بستانکار"),"",$Q85)</f>
        <v/>
      </c>
      <c r="AD85" s="70">
        <f>IF($AA85="","",IFERROR(VLOOKUP($E85,OpTbl,13,0),""))</f>
        <v/>
      </c>
      <c r="AE85" s="76">
        <f>IF(OR($AD85="",$Q85="",$Q85=0,$AN85&lt;&gt;"بستانکار"),"",$Q85)</f>
        <v/>
      </c>
      <c r="AF85" s="76">
        <f>IF(OR($AD85="",$Q85="",$Q85=0,$AN85&lt;&gt;"بدهکار"),"",$Q85)</f>
        <v/>
      </c>
      <c r="AG85" s="76">
        <f>SUM($V85,$Y85,$AB85,$AE85)</f>
        <v/>
      </c>
      <c r="AH85" s="76">
        <f>SUM($W85,$Z85,$AC85,$AF85)</f>
        <v/>
      </c>
      <c r="AI85" s="70">
        <f>IF($E85="","",IF(ROUND($AG85-$AH85,0)=0,"✓","⚠"))</f>
        <v/>
      </c>
      <c r="AJ85" s="76">
        <f>IF(OR($E85="",$U85=""),"",IFERROR(IF(VLOOKUP($E85,OpTbl,6,0)="وزن",IF($P85="",0,$P85),IF(VLOOKUP($E85,OpTbl,6,0)="مبلغ",IF(AND($Q85&lt;&gt;"",$Q85&lt;&gt;0),$Q85,$P85),0))+IF(VLOOKUP($E85,OpTbl,10,0)="افزودن",IF($Q85="",0,$Q85),0),0))</f>
        <v/>
      </c>
      <c r="AK85" s="70">
        <f>IF($E85="","",IFERROR(VLOOKUP($E85,OpTbl,10,0),""))</f>
        <v/>
      </c>
      <c r="AL85" s="70">
        <f>IF(OR($E85="",$U85=""),"",IFERROR(IF(VLOOKUP($E85,OpTbl,7,0)="خودکار",$R85,VLOOKUP($E85,OpTbl,7,0)),""))</f>
        <v/>
      </c>
      <c r="AM85" s="70">
        <f>IF(OR($E85="",$X85=""),"",IFERROR(IF(VLOOKUP($E85,OpTbl,9,0)="خودکار",IF($AL85="بدهکار","بستانکار",IF($AL85="بستانکار","بدهکار","")),VLOOKUP($E85,OpTbl,9,0)),""))</f>
        <v/>
      </c>
      <c r="AN85" s="70">
        <f>IF($E85="","",IFERROR(VLOOKUP($E85,OpTbl,11,0),""))</f>
        <v/>
      </c>
      <c r="AO85" s="70">
        <f>IF($B85="","",MID($B85,6,2))</f>
        <v/>
      </c>
      <c r="AP85" s="76">
        <f>IF($B85="",0,1)</f>
        <v/>
      </c>
    </row>
    <row r="86" ht="21.75" customHeight="1">
      <c r="A86" s="70">
        <f>IF($B86="","",COUNTA($B$10:$B86))</f>
        <v/>
      </c>
      <c r="B86" s="71" t="n"/>
      <c r="C86" s="71" t="n"/>
      <c r="D86" s="71" t="n"/>
      <c r="E86" s="71" t="n"/>
      <c r="F86" s="70">
        <f>IF($E86="","",IFERROR(VLOOKUP($E86,OpTbl,2,0),""))</f>
        <v/>
      </c>
      <c r="G86" s="71" t="n"/>
      <c r="H86" s="73">
        <f>IF($U86="","",IFERROR(VLOOKUP($U86,AcctTbl,2,0),"کد ناشناخته"))</f>
        <v/>
      </c>
      <c r="I86" s="70">
        <f>IF($U86="","",IFERROR(VLOOKUP($U86,AcctTbl,3,0),""))</f>
        <v/>
      </c>
      <c r="J86" s="72" t="n"/>
      <c r="K86" s="71" t="n"/>
      <c r="L86" s="74" t="n"/>
      <c r="M86" s="74" t="n"/>
      <c r="N86" s="148">
        <f>IF(OR($E86="",$L86=""),"",IFERROR(($L86-IF($M86="",0,$M86)*IFERROR(VLOOKUP($K86,BasketTbl,4,0),IFERROR(INDEX(BasketTbl,MATCH($K86,BasketCodeCol,0),4),VLOOKUP("P01",ParamTbl,2,0))))*(1-IF(VLOOKUP($E86,OpTbl,3,0)="خرید",VLOOKUP("P02",ParamTbl,2,0),0)/100),""))</f>
        <v/>
      </c>
      <c r="O86" s="74" t="n"/>
      <c r="P86" s="76">
        <f>IF(OR($E86="",$L86=""),"",IFERROR(IF(VLOOKUP($E86,OpTbl,6,0)="وزن",ROUND($N86*$O86,-3),IF(VLOOKUP($E86,OpTbl,6,0)="مبلغ",ROUND($L86*$O86,-3),0)),""))</f>
        <v/>
      </c>
      <c r="Q86" s="74" t="n"/>
      <c r="R86" s="71" t="n"/>
      <c r="S86" s="77">
        <f>IF($E86="","",IF($AI86="⚠","⚠ ناتراز",IF(AND(IFERROR(VLOOKUP($E86,OpTbl,4,0),"")="بله",$L86=""),"⚠ وزن",IF(AND(IFERROR(VLOOKUP($E86,OpTbl,5,0),"")="بله",$U86=""),"⚠ حساب",IF(AND(IFERROR(VLOOKUP($E86,OpTbl,6,0),"")="مبلغ",$Q86=""),"⚠ مبلغ","✓")))))</f>
        <v/>
      </c>
      <c r="T86" s="72" t="n"/>
      <c r="U86" s="70">
        <f>IF($E86="","",IFERROR(IF(VLOOKUP($E86,OpTbl,14,0)&lt;&gt;"",VLOOKUP($E86,OpTbl,14,0),$G86),""))</f>
        <v/>
      </c>
      <c r="V86" s="76">
        <f>IF(OR($AJ86="",$AJ86=0,$AL86&lt;&gt;"بدهکار"),"",$AJ86)</f>
        <v/>
      </c>
      <c r="W86" s="76">
        <f>IF(OR($AJ86="",$AJ86=0,$AL86&lt;&gt;"بستانکار"),"",$AJ86)</f>
        <v/>
      </c>
      <c r="X86" s="70">
        <f>IF($E86="","",IFERROR(VLOOKUP($E86,OpTbl,8,0),""))</f>
        <v/>
      </c>
      <c r="Y86" s="76">
        <f>IF(OR($X86="",$AJ86="",$AJ86=0,$AM86&lt;&gt;"بدهکار"),"",$AJ86)</f>
        <v/>
      </c>
      <c r="Z86" s="76">
        <f>IF(OR($X86="",$AJ86="",$AJ86=0,$AM86&lt;&gt;"بستانکار"),"",$AJ86)</f>
        <v/>
      </c>
      <c r="AA86" s="70">
        <f>IF(OR($E86="",$AN86="—",$AN86=""),"",IFERROR(VLOOKUP($E86,OpTbl,12,0),""))</f>
        <v/>
      </c>
      <c r="AB86" s="76">
        <f>IF(OR($AA86="",$Q86="",$Q86=0,$AN86&lt;&gt;"بدهکار"),"",$Q86)</f>
        <v/>
      </c>
      <c r="AC86" s="76">
        <f>IF(OR($AA86="",$Q86="",$Q86=0,$AN86&lt;&gt;"بستانکار"),"",$Q86)</f>
        <v/>
      </c>
      <c r="AD86" s="70">
        <f>IF($AA86="","",IFERROR(VLOOKUP($E86,OpTbl,13,0),""))</f>
        <v/>
      </c>
      <c r="AE86" s="76">
        <f>IF(OR($AD86="",$Q86="",$Q86=0,$AN86&lt;&gt;"بستانکار"),"",$Q86)</f>
        <v/>
      </c>
      <c r="AF86" s="76">
        <f>IF(OR($AD86="",$Q86="",$Q86=0,$AN86&lt;&gt;"بدهکار"),"",$Q86)</f>
        <v/>
      </c>
      <c r="AG86" s="76">
        <f>SUM($V86,$Y86,$AB86,$AE86)</f>
        <v/>
      </c>
      <c r="AH86" s="76">
        <f>SUM($W86,$Z86,$AC86,$AF86)</f>
        <v/>
      </c>
      <c r="AI86" s="70">
        <f>IF($E86="","",IF(ROUND($AG86-$AH86,0)=0,"✓","⚠"))</f>
        <v/>
      </c>
      <c r="AJ86" s="76">
        <f>IF(OR($E86="",$U86=""),"",IFERROR(IF(VLOOKUP($E86,OpTbl,6,0)="وزن",IF($P86="",0,$P86),IF(VLOOKUP($E86,OpTbl,6,0)="مبلغ",IF(AND($Q86&lt;&gt;"",$Q86&lt;&gt;0),$Q86,$P86),0))+IF(VLOOKUP($E86,OpTbl,10,0)="افزودن",IF($Q86="",0,$Q86),0),0))</f>
        <v/>
      </c>
      <c r="AK86" s="70">
        <f>IF($E86="","",IFERROR(VLOOKUP($E86,OpTbl,10,0),""))</f>
        <v/>
      </c>
      <c r="AL86" s="70">
        <f>IF(OR($E86="",$U86=""),"",IFERROR(IF(VLOOKUP($E86,OpTbl,7,0)="خودکار",$R86,VLOOKUP($E86,OpTbl,7,0)),""))</f>
        <v/>
      </c>
      <c r="AM86" s="70">
        <f>IF(OR($E86="",$X86=""),"",IFERROR(IF(VLOOKUP($E86,OpTbl,9,0)="خودکار",IF($AL86="بدهکار","بستانکار",IF($AL86="بستانکار","بدهکار","")),VLOOKUP($E86,OpTbl,9,0)),""))</f>
        <v/>
      </c>
      <c r="AN86" s="70">
        <f>IF($E86="","",IFERROR(VLOOKUP($E86,OpTbl,11,0),""))</f>
        <v/>
      </c>
      <c r="AO86" s="70">
        <f>IF($B86="","",MID($B86,6,2))</f>
        <v/>
      </c>
      <c r="AP86" s="76">
        <f>IF($B86="",0,1)</f>
        <v/>
      </c>
    </row>
    <row r="87" ht="21.75" customHeight="1">
      <c r="A87" s="70">
        <f>IF($B87="","",COUNTA($B$10:$B87))</f>
        <v/>
      </c>
      <c r="B87" s="71" t="n"/>
      <c r="C87" s="71" t="n"/>
      <c r="D87" s="71" t="n"/>
      <c r="E87" s="71" t="n"/>
      <c r="F87" s="70">
        <f>IF($E87="","",IFERROR(VLOOKUP($E87,OpTbl,2,0),""))</f>
        <v/>
      </c>
      <c r="G87" s="71" t="n"/>
      <c r="H87" s="73">
        <f>IF($U87="","",IFERROR(VLOOKUP($U87,AcctTbl,2,0),"کد ناشناخته"))</f>
        <v/>
      </c>
      <c r="I87" s="70">
        <f>IF($U87="","",IFERROR(VLOOKUP($U87,AcctTbl,3,0),""))</f>
        <v/>
      </c>
      <c r="J87" s="72" t="n"/>
      <c r="K87" s="71" t="n"/>
      <c r="L87" s="74" t="n"/>
      <c r="M87" s="74" t="n"/>
      <c r="N87" s="148">
        <f>IF(OR($E87="",$L87=""),"",IFERROR(($L87-IF($M87="",0,$M87)*IFERROR(VLOOKUP($K87,BasketTbl,4,0),IFERROR(INDEX(BasketTbl,MATCH($K87,BasketCodeCol,0),4),VLOOKUP("P01",ParamTbl,2,0))))*(1-IF(VLOOKUP($E87,OpTbl,3,0)="خرید",VLOOKUP("P02",ParamTbl,2,0),0)/100),""))</f>
        <v/>
      </c>
      <c r="O87" s="74" t="n"/>
      <c r="P87" s="76">
        <f>IF(OR($E87="",$L87=""),"",IFERROR(IF(VLOOKUP($E87,OpTbl,6,0)="وزن",ROUND($N87*$O87,-3),IF(VLOOKUP($E87,OpTbl,6,0)="مبلغ",ROUND($L87*$O87,-3),0)),""))</f>
        <v/>
      </c>
      <c r="Q87" s="74" t="n"/>
      <c r="R87" s="71" t="n"/>
      <c r="S87" s="77">
        <f>IF($E87="","",IF($AI87="⚠","⚠ ناتراز",IF(AND(IFERROR(VLOOKUP($E87,OpTbl,4,0),"")="بله",$L87=""),"⚠ وزن",IF(AND(IFERROR(VLOOKUP($E87,OpTbl,5,0),"")="بله",$U87=""),"⚠ حساب",IF(AND(IFERROR(VLOOKUP($E87,OpTbl,6,0),"")="مبلغ",$Q87=""),"⚠ مبلغ","✓")))))</f>
        <v/>
      </c>
      <c r="T87" s="72" t="n"/>
      <c r="U87" s="70">
        <f>IF($E87="","",IFERROR(IF(VLOOKUP($E87,OpTbl,14,0)&lt;&gt;"",VLOOKUP($E87,OpTbl,14,0),$G87),""))</f>
        <v/>
      </c>
      <c r="V87" s="76">
        <f>IF(OR($AJ87="",$AJ87=0,$AL87&lt;&gt;"بدهکار"),"",$AJ87)</f>
        <v/>
      </c>
      <c r="W87" s="76">
        <f>IF(OR($AJ87="",$AJ87=0,$AL87&lt;&gt;"بستانکار"),"",$AJ87)</f>
        <v/>
      </c>
      <c r="X87" s="70">
        <f>IF($E87="","",IFERROR(VLOOKUP($E87,OpTbl,8,0),""))</f>
        <v/>
      </c>
      <c r="Y87" s="76">
        <f>IF(OR($X87="",$AJ87="",$AJ87=0,$AM87&lt;&gt;"بدهکار"),"",$AJ87)</f>
        <v/>
      </c>
      <c r="Z87" s="76">
        <f>IF(OR($X87="",$AJ87="",$AJ87=0,$AM87&lt;&gt;"بستانکار"),"",$AJ87)</f>
        <v/>
      </c>
      <c r="AA87" s="70">
        <f>IF(OR($E87="",$AN87="—",$AN87=""),"",IFERROR(VLOOKUP($E87,OpTbl,12,0),""))</f>
        <v/>
      </c>
      <c r="AB87" s="76">
        <f>IF(OR($AA87="",$Q87="",$Q87=0,$AN87&lt;&gt;"بدهکار"),"",$Q87)</f>
        <v/>
      </c>
      <c r="AC87" s="76">
        <f>IF(OR($AA87="",$Q87="",$Q87=0,$AN87&lt;&gt;"بستانکار"),"",$Q87)</f>
        <v/>
      </c>
      <c r="AD87" s="70">
        <f>IF($AA87="","",IFERROR(VLOOKUP($E87,OpTbl,13,0),""))</f>
        <v/>
      </c>
      <c r="AE87" s="76">
        <f>IF(OR($AD87="",$Q87="",$Q87=0,$AN87&lt;&gt;"بستانکار"),"",$Q87)</f>
        <v/>
      </c>
      <c r="AF87" s="76">
        <f>IF(OR($AD87="",$Q87="",$Q87=0,$AN87&lt;&gt;"بدهکار"),"",$Q87)</f>
        <v/>
      </c>
      <c r="AG87" s="76">
        <f>SUM($V87,$Y87,$AB87,$AE87)</f>
        <v/>
      </c>
      <c r="AH87" s="76">
        <f>SUM($W87,$Z87,$AC87,$AF87)</f>
        <v/>
      </c>
      <c r="AI87" s="70">
        <f>IF($E87="","",IF(ROUND($AG87-$AH87,0)=0,"✓","⚠"))</f>
        <v/>
      </c>
      <c r="AJ87" s="76">
        <f>IF(OR($E87="",$U87=""),"",IFERROR(IF(VLOOKUP($E87,OpTbl,6,0)="وزن",IF($P87="",0,$P87),IF(VLOOKUP($E87,OpTbl,6,0)="مبلغ",IF(AND($Q87&lt;&gt;"",$Q87&lt;&gt;0),$Q87,$P87),0))+IF(VLOOKUP($E87,OpTbl,10,0)="افزودن",IF($Q87="",0,$Q87),0),0))</f>
        <v/>
      </c>
      <c r="AK87" s="70">
        <f>IF($E87="","",IFERROR(VLOOKUP($E87,OpTbl,10,0),""))</f>
        <v/>
      </c>
      <c r="AL87" s="70">
        <f>IF(OR($E87="",$U87=""),"",IFERROR(IF(VLOOKUP($E87,OpTbl,7,0)="خودکار",$R87,VLOOKUP($E87,OpTbl,7,0)),""))</f>
        <v/>
      </c>
      <c r="AM87" s="70">
        <f>IF(OR($E87="",$X87=""),"",IFERROR(IF(VLOOKUP($E87,OpTbl,9,0)="خودکار",IF($AL87="بدهکار","بستانکار",IF($AL87="بستانکار","بدهکار","")),VLOOKUP($E87,OpTbl,9,0)),""))</f>
        <v/>
      </c>
      <c r="AN87" s="70">
        <f>IF($E87="","",IFERROR(VLOOKUP($E87,OpTbl,11,0),""))</f>
        <v/>
      </c>
      <c r="AO87" s="70">
        <f>IF($B87="","",MID($B87,6,2))</f>
        <v/>
      </c>
      <c r="AP87" s="76">
        <f>IF($B87="",0,1)</f>
        <v/>
      </c>
    </row>
    <row r="88" ht="21.75" customHeight="1">
      <c r="A88" s="70">
        <f>IF($B88="","",COUNTA($B$10:$B88))</f>
        <v/>
      </c>
      <c r="B88" s="71" t="n"/>
      <c r="C88" s="71" t="n"/>
      <c r="D88" s="71" t="n"/>
      <c r="E88" s="71" t="n"/>
      <c r="F88" s="70">
        <f>IF($E88="","",IFERROR(VLOOKUP($E88,OpTbl,2,0),""))</f>
        <v/>
      </c>
      <c r="G88" s="71" t="n"/>
      <c r="H88" s="73">
        <f>IF($U88="","",IFERROR(VLOOKUP($U88,AcctTbl,2,0),"کد ناشناخته"))</f>
        <v/>
      </c>
      <c r="I88" s="70">
        <f>IF($U88="","",IFERROR(VLOOKUP($U88,AcctTbl,3,0),""))</f>
        <v/>
      </c>
      <c r="J88" s="72" t="n"/>
      <c r="K88" s="71" t="n"/>
      <c r="L88" s="74" t="n"/>
      <c r="M88" s="74" t="n"/>
      <c r="N88" s="148">
        <f>IF(OR($E88="",$L88=""),"",IFERROR(($L88-IF($M88="",0,$M88)*IFERROR(VLOOKUP($K88,BasketTbl,4,0),IFERROR(INDEX(BasketTbl,MATCH($K88,BasketCodeCol,0),4),VLOOKUP("P01",ParamTbl,2,0))))*(1-IF(VLOOKUP($E88,OpTbl,3,0)="خرید",VLOOKUP("P02",ParamTbl,2,0),0)/100),""))</f>
        <v/>
      </c>
      <c r="O88" s="74" t="n"/>
      <c r="P88" s="76">
        <f>IF(OR($E88="",$L88=""),"",IFERROR(IF(VLOOKUP($E88,OpTbl,6,0)="وزن",ROUND($N88*$O88,-3),IF(VLOOKUP($E88,OpTbl,6,0)="مبلغ",ROUND($L88*$O88,-3),0)),""))</f>
        <v/>
      </c>
      <c r="Q88" s="74" t="n"/>
      <c r="R88" s="71" t="n"/>
      <c r="S88" s="77">
        <f>IF($E88="","",IF($AI88="⚠","⚠ ناتراز",IF(AND(IFERROR(VLOOKUP($E88,OpTbl,4,0),"")="بله",$L88=""),"⚠ وزن",IF(AND(IFERROR(VLOOKUP($E88,OpTbl,5,0),"")="بله",$U88=""),"⚠ حساب",IF(AND(IFERROR(VLOOKUP($E88,OpTbl,6,0),"")="مبلغ",$Q88=""),"⚠ مبلغ","✓")))))</f>
        <v/>
      </c>
      <c r="T88" s="72" t="n"/>
      <c r="U88" s="70">
        <f>IF($E88="","",IFERROR(IF(VLOOKUP($E88,OpTbl,14,0)&lt;&gt;"",VLOOKUP($E88,OpTbl,14,0),$G88),""))</f>
        <v/>
      </c>
      <c r="V88" s="76">
        <f>IF(OR($AJ88="",$AJ88=0,$AL88&lt;&gt;"بدهکار"),"",$AJ88)</f>
        <v/>
      </c>
      <c r="W88" s="76">
        <f>IF(OR($AJ88="",$AJ88=0,$AL88&lt;&gt;"بستانکار"),"",$AJ88)</f>
        <v/>
      </c>
      <c r="X88" s="70">
        <f>IF($E88="","",IFERROR(VLOOKUP($E88,OpTbl,8,0),""))</f>
        <v/>
      </c>
      <c r="Y88" s="76">
        <f>IF(OR($X88="",$AJ88="",$AJ88=0,$AM88&lt;&gt;"بدهکار"),"",$AJ88)</f>
        <v/>
      </c>
      <c r="Z88" s="76">
        <f>IF(OR($X88="",$AJ88="",$AJ88=0,$AM88&lt;&gt;"بستانکار"),"",$AJ88)</f>
        <v/>
      </c>
      <c r="AA88" s="70">
        <f>IF(OR($E88="",$AN88="—",$AN88=""),"",IFERROR(VLOOKUP($E88,OpTbl,12,0),""))</f>
        <v/>
      </c>
      <c r="AB88" s="76">
        <f>IF(OR($AA88="",$Q88="",$Q88=0,$AN88&lt;&gt;"بدهکار"),"",$Q88)</f>
        <v/>
      </c>
      <c r="AC88" s="76">
        <f>IF(OR($AA88="",$Q88="",$Q88=0,$AN88&lt;&gt;"بستانکار"),"",$Q88)</f>
        <v/>
      </c>
      <c r="AD88" s="70">
        <f>IF($AA88="","",IFERROR(VLOOKUP($E88,OpTbl,13,0),""))</f>
        <v/>
      </c>
      <c r="AE88" s="76">
        <f>IF(OR($AD88="",$Q88="",$Q88=0,$AN88&lt;&gt;"بستانکار"),"",$Q88)</f>
        <v/>
      </c>
      <c r="AF88" s="76">
        <f>IF(OR($AD88="",$Q88="",$Q88=0,$AN88&lt;&gt;"بدهکار"),"",$Q88)</f>
        <v/>
      </c>
      <c r="AG88" s="76">
        <f>SUM($V88,$Y88,$AB88,$AE88)</f>
        <v/>
      </c>
      <c r="AH88" s="76">
        <f>SUM($W88,$Z88,$AC88,$AF88)</f>
        <v/>
      </c>
      <c r="AI88" s="70">
        <f>IF($E88="","",IF(ROUND($AG88-$AH88,0)=0,"✓","⚠"))</f>
        <v/>
      </c>
      <c r="AJ88" s="76">
        <f>IF(OR($E88="",$U88=""),"",IFERROR(IF(VLOOKUP($E88,OpTbl,6,0)="وزن",IF($P88="",0,$P88),IF(VLOOKUP($E88,OpTbl,6,0)="مبلغ",IF(AND($Q88&lt;&gt;"",$Q88&lt;&gt;0),$Q88,$P88),0))+IF(VLOOKUP($E88,OpTbl,10,0)="افزودن",IF($Q88="",0,$Q88),0),0))</f>
        <v/>
      </c>
      <c r="AK88" s="70">
        <f>IF($E88="","",IFERROR(VLOOKUP($E88,OpTbl,10,0),""))</f>
        <v/>
      </c>
      <c r="AL88" s="70">
        <f>IF(OR($E88="",$U88=""),"",IFERROR(IF(VLOOKUP($E88,OpTbl,7,0)="خودکار",$R88,VLOOKUP($E88,OpTbl,7,0)),""))</f>
        <v/>
      </c>
      <c r="AM88" s="70">
        <f>IF(OR($E88="",$X88=""),"",IFERROR(IF(VLOOKUP($E88,OpTbl,9,0)="خودکار",IF($AL88="بدهکار","بستانکار",IF($AL88="بستانکار","بدهکار","")),VLOOKUP($E88,OpTbl,9,0)),""))</f>
        <v/>
      </c>
      <c r="AN88" s="70">
        <f>IF($E88="","",IFERROR(VLOOKUP($E88,OpTbl,11,0),""))</f>
        <v/>
      </c>
      <c r="AO88" s="70">
        <f>IF($B88="","",MID($B88,6,2))</f>
        <v/>
      </c>
      <c r="AP88" s="76">
        <f>IF($B88="",0,1)</f>
        <v/>
      </c>
    </row>
    <row r="89" ht="21.75" customHeight="1">
      <c r="A89" s="70">
        <f>IF($B89="","",COUNTA($B$10:$B89))</f>
        <v/>
      </c>
      <c r="B89" s="71" t="n"/>
      <c r="C89" s="71" t="n"/>
      <c r="D89" s="71" t="n"/>
      <c r="E89" s="71" t="n"/>
      <c r="F89" s="70">
        <f>IF($E89="","",IFERROR(VLOOKUP($E89,OpTbl,2,0),""))</f>
        <v/>
      </c>
      <c r="G89" s="71" t="n"/>
      <c r="H89" s="73">
        <f>IF($U89="","",IFERROR(VLOOKUP($U89,AcctTbl,2,0),"کد ناشناخته"))</f>
        <v/>
      </c>
      <c r="I89" s="70">
        <f>IF($U89="","",IFERROR(VLOOKUP($U89,AcctTbl,3,0),""))</f>
        <v/>
      </c>
      <c r="J89" s="72" t="n"/>
      <c r="K89" s="71" t="n"/>
      <c r="L89" s="74" t="n"/>
      <c r="M89" s="74" t="n"/>
      <c r="N89" s="148">
        <f>IF(OR($E89="",$L89=""),"",IFERROR(($L89-IF($M89="",0,$M89)*IFERROR(VLOOKUP($K89,BasketTbl,4,0),IFERROR(INDEX(BasketTbl,MATCH($K89,BasketCodeCol,0),4),VLOOKUP("P01",ParamTbl,2,0))))*(1-IF(VLOOKUP($E89,OpTbl,3,0)="خرید",VLOOKUP("P02",ParamTbl,2,0),0)/100),""))</f>
        <v/>
      </c>
      <c r="O89" s="74" t="n"/>
      <c r="P89" s="76">
        <f>IF(OR($E89="",$L89=""),"",IFERROR(IF(VLOOKUP($E89,OpTbl,6,0)="وزن",ROUND($N89*$O89,-3),IF(VLOOKUP($E89,OpTbl,6,0)="مبلغ",ROUND($L89*$O89,-3),0)),""))</f>
        <v/>
      </c>
      <c r="Q89" s="74" t="n"/>
      <c r="R89" s="71" t="n"/>
      <c r="S89" s="77">
        <f>IF($E89="","",IF($AI89="⚠","⚠ ناتراز",IF(AND(IFERROR(VLOOKUP($E89,OpTbl,4,0),"")="بله",$L89=""),"⚠ وزن",IF(AND(IFERROR(VLOOKUP($E89,OpTbl,5,0),"")="بله",$U89=""),"⚠ حساب",IF(AND(IFERROR(VLOOKUP($E89,OpTbl,6,0),"")="مبلغ",$Q89=""),"⚠ مبلغ","✓")))))</f>
        <v/>
      </c>
      <c r="T89" s="72" t="n"/>
      <c r="U89" s="70">
        <f>IF($E89="","",IFERROR(IF(VLOOKUP($E89,OpTbl,14,0)&lt;&gt;"",VLOOKUP($E89,OpTbl,14,0),$G89),""))</f>
        <v/>
      </c>
      <c r="V89" s="76">
        <f>IF(OR($AJ89="",$AJ89=0,$AL89&lt;&gt;"بدهکار"),"",$AJ89)</f>
        <v/>
      </c>
      <c r="W89" s="76">
        <f>IF(OR($AJ89="",$AJ89=0,$AL89&lt;&gt;"بستانکار"),"",$AJ89)</f>
        <v/>
      </c>
      <c r="X89" s="70">
        <f>IF($E89="","",IFERROR(VLOOKUP($E89,OpTbl,8,0),""))</f>
        <v/>
      </c>
      <c r="Y89" s="76">
        <f>IF(OR($X89="",$AJ89="",$AJ89=0,$AM89&lt;&gt;"بدهکار"),"",$AJ89)</f>
        <v/>
      </c>
      <c r="Z89" s="76">
        <f>IF(OR($X89="",$AJ89="",$AJ89=0,$AM89&lt;&gt;"بستانکار"),"",$AJ89)</f>
        <v/>
      </c>
      <c r="AA89" s="70">
        <f>IF(OR($E89="",$AN89="—",$AN89=""),"",IFERROR(VLOOKUP($E89,OpTbl,12,0),""))</f>
        <v/>
      </c>
      <c r="AB89" s="76">
        <f>IF(OR($AA89="",$Q89="",$Q89=0,$AN89&lt;&gt;"بدهکار"),"",$Q89)</f>
        <v/>
      </c>
      <c r="AC89" s="76">
        <f>IF(OR($AA89="",$Q89="",$Q89=0,$AN89&lt;&gt;"بستانکار"),"",$Q89)</f>
        <v/>
      </c>
      <c r="AD89" s="70">
        <f>IF($AA89="","",IFERROR(VLOOKUP($E89,OpTbl,13,0),""))</f>
        <v/>
      </c>
      <c r="AE89" s="76">
        <f>IF(OR($AD89="",$Q89="",$Q89=0,$AN89&lt;&gt;"بستانکار"),"",$Q89)</f>
        <v/>
      </c>
      <c r="AF89" s="76">
        <f>IF(OR($AD89="",$Q89="",$Q89=0,$AN89&lt;&gt;"بدهکار"),"",$Q89)</f>
        <v/>
      </c>
      <c r="AG89" s="76">
        <f>SUM($V89,$Y89,$AB89,$AE89)</f>
        <v/>
      </c>
      <c r="AH89" s="76">
        <f>SUM($W89,$Z89,$AC89,$AF89)</f>
        <v/>
      </c>
      <c r="AI89" s="70">
        <f>IF($E89="","",IF(ROUND($AG89-$AH89,0)=0,"✓","⚠"))</f>
        <v/>
      </c>
      <c r="AJ89" s="76">
        <f>IF(OR($E89="",$U89=""),"",IFERROR(IF(VLOOKUP($E89,OpTbl,6,0)="وزن",IF($P89="",0,$P89),IF(VLOOKUP($E89,OpTbl,6,0)="مبلغ",IF(AND($Q89&lt;&gt;"",$Q89&lt;&gt;0),$Q89,$P89),0))+IF(VLOOKUP($E89,OpTbl,10,0)="افزودن",IF($Q89="",0,$Q89),0),0))</f>
        <v/>
      </c>
      <c r="AK89" s="70">
        <f>IF($E89="","",IFERROR(VLOOKUP($E89,OpTbl,10,0),""))</f>
        <v/>
      </c>
      <c r="AL89" s="70">
        <f>IF(OR($E89="",$U89=""),"",IFERROR(IF(VLOOKUP($E89,OpTbl,7,0)="خودکار",$R89,VLOOKUP($E89,OpTbl,7,0)),""))</f>
        <v/>
      </c>
      <c r="AM89" s="70">
        <f>IF(OR($E89="",$X89=""),"",IFERROR(IF(VLOOKUP($E89,OpTbl,9,0)="خودکار",IF($AL89="بدهکار","بستانکار",IF($AL89="بستانکار","بدهکار","")),VLOOKUP($E89,OpTbl,9,0)),""))</f>
        <v/>
      </c>
      <c r="AN89" s="70">
        <f>IF($E89="","",IFERROR(VLOOKUP($E89,OpTbl,11,0),""))</f>
        <v/>
      </c>
      <c r="AO89" s="70">
        <f>IF($B89="","",MID($B89,6,2))</f>
        <v/>
      </c>
      <c r="AP89" s="76">
        <f>IF($B89="",0,1)</f>
        <v/>
      </c>
    </row>
    <row r="90" ht="21.75" customHeight="1">
      <c r="A90" s="70">
        <f>IF($B90="","",COUNTA($B$10:$B90))</f>
        <v/>
      </c>
      <c r="B90" s="71" t="n"/>
      <c r="C90" s="71" t="n"/>
      <c r="D90" s="71" t="n"/>
      <c r="E90" s="71" t="n"/>
      <c r="F90" s="70">
        <f>IF($E90="","",IFERROR(VLOOKUP($E90,OpTbl,2,0),""))</f>
        <v/>
      </c>
      <c r="G90" s="71" t="n"/>
      <c r="H90" s="73">
        <f>IF($U90="","",IFERROR(VLOOKUP($U90,AcctTbl,2,0),"کد ناشناخته"))</f>
        <v/>
      </c>
      <c r="I90" s="70">
        <f>IF($U90="","",IFERROR(VLOOKUP($U90,AcctTbl,3,0),""))</f>
        <v/>
      </c>
      <c r="J90" s="72" t="n"/>
      <c r="K90" s="71" t="n"/>
      <c r="L90" s="74" t="n"/>
      <c r="M90" s="74" t="n"/>
      <c r="N90" s="148">
        <f>IF(OR($E90="",$L90=""),"",IFERROR(($L90-IF($M90="",0,$M90)*IFERROR(VLOOKUP($K90,BasketTbl,4,0),IFERROR(INDEX(BasketTbl,MATCH($K90,BasketCodeCol,0),4),VLOOKUP("P01",ParamTbl,2,0))))*(1-IF(VLOOKUP($E90,OpTbl,3,0)="خرید",VLOOKUP("P02",ParamTbl,2,0),0)/100),""))</f>
        <v/>
      </c>
      <c r="O90" s="74" t="n"/>
      <c r="P90" s="76">
        <f>IF(OR($E90="",$L90=""),"",IFERROR(IF(VLOOKUP($E90,OpTbl,6,0)="وزن",ROUND($N90*$O90,-3),IF(VLOOKUP($E90,OpTbl,6,0)="مبلغ",ROUND($L90*$O90,-3),0)),""))</f>
        <v/>
      </c>
      <c r="Q90" s="74" t="n"/>
      <c r="R90" s="71" t="n"/>
      <c r="S90" s="77">
        <f>IF($E90="","",IF($AI90="⚠","⚠ ناتراز",IF(AND(IFERROR(VLOOKUP($E90,OpTbl,4,0),"")="بله",$L90=""),"⚠ وزن",IF(AND(IFERROR(VLOOKUP($E90,OpTbl,5,0),"")="بله",$U90=""),"⚠ حساب",IF(AND(IFERROR(VLOOKUP($E90,OpTbl,6,0),"")="مبلغ",$Q90=""),"⚠ مبلغ","✓")))))</f>
        <v/>
      </c>
      <c r="T90" s="72" t="n"/>
      <c r="U90" s="70">
        <f>IF($E90="","",IFERROR(IF(VLOOKUP($E90,OpTbl,14,0)&lt;&gt;"",VLOOKUP($E90,OpTbl,14,0),$G90),""))</f>
        <v/>
      </c>
      <c r="V90" s="76">
        <f>IF(OR($AJ90="",$AJ90=0,$AL90&lt;&gt;"بدهکار"),"",$AJ90)</f>
        <v/>
      </c>
      <c r="W90" s="76">
        <f>IF(OR($AJ90="",$AJ90=0,$AL90&lt;&gt;"بستانکار"),"",$AJ90)</f>
        <v/>
      </c>
      <c r="X90" s="70">
        <f>IF($E90="","",IFERROR(VLOOKUP($E90,OpTbl,8,0),""))</f>
        <v/>
      </c>
      <c r="Y90" s="76">
        <f>IF(OR($X90="",$AJ90="",$AJ90=0,$AM90&lt;&gt;"بدهکار"),"",$AJ90)</f>
        <v/>
      </c>
      <c r="Z90" s="76">
        <f>IF(OR($X90="",$AJ90="",$AJ90=0,$AM90&lt;&gt;"بستانکار"),"",$AJ90)</f>
        <v/>
      </c>
      <c r="AA90" s="70">
        <f>IF(OR($E90="",$AN90="—",$AN90=""),"",IFERROR(VLOOKUP($E90,OpTbl,12,0),""))</f>
        <v/>
      </c>
      <c r="AB90" s="76">
        <f>IF(OR($AA90="",$Q90="",$Q90=0,$AN90&lt;&gt;"بدهکار"),"",$Q90)</f>
        <v/>
      </c>
      <c r="AC90" s="76">
        <f>IF(OR($AA90="",$Q90="",$Q90=0,$AN90&lt;&gt;"بستانکار"),"",$Q90)</f>
        <v/>
      </c>
      <c r="AD90" s="70">
        <f>IF($AA90="","",IFERROR(VLOOKUP($E90,OpTbl,13,0),""))</f>
        <v/>
      </c>
      <c r="AE90" s="76">
        <f>IF(OR($AD90="",$Q90="",$Q90=0,$AN90&lt;&gt;"بستانکار"),"",$Q90)</f>
        <v/>
      </c>
      <c r="AF90" s="76">
        <f>IF(OR($AD90="",$Q90="",$Q90=0,$AN90&lt;&gt;"بدهکار"),"",$Q90)</f>
        <v/>
      </c>
      <c r="AG90" s="76">
        <f>SUM($V90,$Y90,$AB90,$AE90)</f>
        <v/>
      </c>
      <c r="AH90" s="76">
        <f>SUM($W90,$Z90,$AC90,$AF90)</f>
        <v/>
      </c>
      <c r="AI90" s="70">
        <f>IF($E90="","",IF(ROUND($AG90-$AH90,0)=0,"✓","⚠"))</f>
        <v/>
      </c>
      <c r="AJ90" s="76">
        <f>IF(OR($E90="",$U90=""),"",IFERROR(IF(VLOOKUP($E90,OpTbl,6,0)="وزن",IF($P90="",0,$P90),IF(VLOOKUP($E90,OpTbl,6,0)="مبلغ",IF(AND($Q90&lt;&gt;"",$Q90&lt;&gt;0),$Q90,$P90),0))+IF(VLOOKUP($E90,OpTbl,10,0)="افزودن",IF($Q90="",0,$Q90),0),0))</f>
        <v/>
      </c>
      <c r="AK90" s="70">
        <f>IF($E90="","",IFERROR(VLOOKUP($E90,OpTbl,10,0),""))</f>
        <v/>
      </c>
      <c r="AL90" s="70">
        <f>IF(OR($E90="",$U90=""),"",IFERROR(IF(VLOOKUP($E90,OpTbl,7,0)="خودکار",$R90,VLOOKUP($E90,OpTbl,7,0)),""))</f>
        <v/>
      </c>
      <c r="AM90" s="70">
        <f>IF(OR($E90="",$X90=""),"",IFERROR(IF(VLOOKUP($E90,OpTbl,9,0)="خودکار",IF($AL90="بدهکار","بستانکار",IF($AL90="بستانکار","بدهکار","")),VLOOKUP($E90,OpTbl,9,0)),""))</f>
        <v/>
      </c>
      <c r="AN90" s="70">
        <f>IF($E90="","",IFERROR(VLOOKUP($E90,OpTbl,11,0),""))</f>
        <v/>
      </c>
      <c r="AO90" s="70">
        <f>IF($B90="","",MID($B90,6,2))</f>
        <v/>
      </c>
      <c r="AP90" s="76">
        <f>IF($B90="",0,1)</f>
        <v/>
      </c>
    </row>
    <row r="91" ht="21.75" customHeight="1">
      <c r="A91" s="70">
        <f>IF($B91="","",COUNTA($B$10:$B91))</f>
        <v/>
      </c>
      <c r="B91" s="71" t="n"/>
      <c r="C91" s="71" t="n"/>
      <c r="D91" s="71" t="n"/>
      <c r="E91" s="71" t="n"/>
      <c r="F91" s="70">
        <f>IF($E91="","",IFERROR(VLOOKUP($E91,OpTbl,2,0),""))</f>
        <v/>
      </c>
      <c r="G91" s="71" t="n"/>
      <c r="H91" s="73">
        <f>IF($U91="","",IFERROR(VLOOKUP($U91,AcctTbl,2,0),"کد ناشناخته"))</f>
        <v/>
      </c>
      <c r="I91" s="70">
        <f>IF($U91="","",IFERROR(VLOOKUP($U91,AcctTbl,3,0),""))</f>
        <v/>
      </c>
      <c r="J91" s="72" t="n"/>
      <c r="K91" s="71" t="n"/>
      <c r="L91" s="74" t="n"/>
      <c r="M91" s="74" t="n"/>
      <c r="N91" s="148">
        <f>IF(OR($E91="",$L91=""),"",IFERROR(($L91-IF($M91="",0,$M91)*IFERROR(VLOOKUP($K91,BasketTbl,4,0),IFERROR(INDEX(BasketTbl,MATCH($K91,BasketCodeCol,0),4),VLOOKUP("P01",ParamTbl,2,0))))*(1-IF(VLOOKUP($E91,OpTbl,3,0)="خرید",VLOOKUP("P02",ParamTbl,2,0),0)/100),""))</f>
        <v/>
      </c>
      <c r="O91" s="74" t="n"/>
      <c r="P91" s="76">
        <f>IF(OR($E91="",$L91=""),"",IFERROR(IF(VLOOKUP($E91,OpTbl,6,0)="وزن",ROUND($N91*$O91,-3),IF(VLOOKUP($E91,OpTbl,6,0)="مبلغ",ROUND($L91*$O91,-3),0)),""))</f>
        <v/>
      </c>
      <c r="Q91" s="74" t="n"/>
      <c r="R91" s="71" t="n"/>
      <c r="S91" s="77">
        <f>IF($E91="","",IF($AI91="⚠","⚠ ناتراز",IF(AND(IFERROR(VLOOKUP($E91,OpTbl,4,0),"")="بله",$L91=""),"⚠ وزن",IF(AND(IFERROR(VLOOKUP($E91,OpTbl,5,0),"")="بله",$U91=""),"⚠ حساب",IF(AND(IFERROR(VLOOKUP($E91,OpTbl,6,0),"")="مبلغ",$Q91=""),"⚠ مبلغ","✓")))))</f>
        <v/>
      </c>
      <c r="T91" s="72" t="n"/>
      <c r="U91" s="70">
        <f>IF($E91="","",IFERROR(IF(VLOOKUP($E91,OpTbl,14,0)&lt;&gt;"",VLOOKUP($E91,OpTbl,14,0),$G91),""))</f>
        <v/>
      </c>
      <c r="V91" s="76">
        <f>IF(OR($AJ91="",$AJ91=0,$AL91&lt;&gt;"بدهکار"),"",$AJ91)</f>
        <v/>
      </c>
      <c r="W91" s="76">
        <f>IF(OR($AJ91="",$AJ91=0,$AL91&lt;&gt;"بستانکار"),"",$AJ91)</f>
        <v/>
      </c>
      <c r="X91" s="70">
        <f>IF($E91="","",IFERROR(VLOOKUP($E91,OpTbl,8,0),""))</f>
        <v/>
      </c>
      <c r="Y91" s="76">
        <f>IF(OR($X91="",$AJ91="",$AJ91=0,$AM91&lt;&gt;"بدهکار"),"",$AJ91)</f>
        <v/>
      </c>
      <c r="Z91" s="76">
        <f>IF(OR($X91="",$AJ91="",$AJ91=0,$AM91&lt;&gt;"بستانکار"),"",$AJ91)</f>
        <v/>
      </c>
      <c r="AA91" s="70">
        <f>IF(OR($E91="",$AN91="—",$AN91=""),"",IFERROR(VLOOKUP($E91,OpTbl,12,0),""))</f>
        <v/>
      </c>
      <c r="AB91" s="76">
        <f>IF(OR($AA91="",$Q91="",$Q91=0,$AN91&lt;&gt;"بدهکار"),"",$Q91)</f>
        <v/>
      </c>
      <c r="AC91" s="76">
        <f>IF(OR($AA91="",$Q91="",$Q91=0,$AN91&lt;&gt;"بستانکار"),"",$Q91)</f>
        <v/>
      </c>
      <c r="AD91" s="70">
        <f>IF($AA91="","",IFERROR(VLOOKUP($E91,OpTbl,13,0),""))</f>
        <v/>
      </c>
      <c r="AE91" s="76">
        <f>IF(OR($AD91="",$Q91="",$Q91=0,$AN91&lt;&gt;"بستانکار"),"",$Q91)</f>
        <v/>
      </c>
      <c r="AF91" s="76">
        <f>IF(OR($AD91="",$Q91="",$Q91=0,$AN91&lt;&gt;"بدهکار"),"",$Q91)</f>
        <v/>
      </c>
      <c r="AG91" s="76">
        <f>SUM($V91,$Y91,$AB91,$AE91)</f>
        <v/>
      </c>
      <c r="AH91" s="76">
        <f>SUM($W91,$Z91,$AC91,$AF91)</f>
        <v/>
      </c>
      <c r="AI91" s="70">
        <f>IF($E91="","",IF(ROUND($AG91-$AH91,0)=0,"✓","⚠"))</f>
        <v/>
      </c>
      <c r="AJ91" s="76">
        <f>IF(OR($E91="",$U91=""),"",IFERROR(IF(VLOOKUP($E91,OpTbl,6,0)="وزن",IF($P91="",0,$P91),IF(VLOOKUP($E91,OpTbl,6,0)="مبلغ",IF(AND($Q91&lt;&gt;"",$Q91&lt;&gt;0),$Q91,$P91),0))+IF(VLOOKUP($E91,OpTbl,10,0)="افزودن",IF($Q91="",0,$Q91),0),0))</f>
        <v/>
      </c>
      <c r="AK91" s="70">
        <f>IF($E91="","",IFERROR(VLOOKUP($E91,OpTbl,10,0),""))</f>
        <v/>
      </c>
      <c r="AL91" s="70">
        <f>IF(OR($E91="",$U91=""),"",IFERROR(IF(VLOOKUP($E91,OpTbl,7,0)="خودکار",$R91,VLOOKUP($E91,OpTbl,7,0)),""))</f>
        <v/>
      </c>
      <c r="AM91" s="70">
        <f>IF(OR($E91="",$X91=""),"",IFERROR(IF(VLOOKUP($E91,OpTbl,9,0)="خودکار",IF($AL91="بدهکار","بستانکار",IF($AL91="بستانکار","بدهکار","")),VLOOKUP($E91,OpTbl,9,0)),""))</f>
        <v/>
      </c>
      <c r="AN91" s="70">
        <f>IF($E91="","",IFERROR(VLOOKUP($E91,OpTbl,11,0),""))</f>
        <v/>
      </c>
      <c r="AO91" s="70">
        <f>IF($B91="","",MID($B91,6,2))</f>
        <v/>
      </c>
      <c r="AP91" s="76">
        <f>IF($B91="",0,1)</f>
        <v/>
      </c>
    </row>
    <row r="92" ht="21.75" customHeight="1">
      <c r="A92" s="70">
        <f>IF($B92="","",COUNTA($B$10:$B92))</f>
        <v/>
      </c>
      <c r="B92" s="71" t="n"/>
      <c r="C92" s="71" t="n"/>
      <c r="D92" s="71" t="n"/>
      <c r="E92" s="71" t="n"/>
      <c r="F92" s="70">
        <f>IF($E92="","",IFERROR(VLOOKUP($E92,OpTbl,2,0),""))</f>
        <v/>
      </c>
      <c r="G92" s="71" t="n"/>
      <c r="H92" s="73">
        <f>IF($U92="","",IFERROR(VLOOKUP($U92,AcctTbl,2,0),"کد ناشناخته"))</f>
        <v/>
      </c>
      <c r="I92" s="70">
        <f>IF($U92="","",IFERROR(VLOOKUP($U92,AcctTbl,3,0),""))</f>
        <v/>
      </c>
      <c r="J92" s="72" t="n"/>
      <c r="K92" s="71" t="n"/>
      <c r="L92" s="74" t="n"/>
      <c r="M92" s="74" t="n"/>
      <c r="N92" s="148">
        <f>IF(OR($E92="",$L92=""),"",IFERROR(($L92-IF($M92="",0,$M92)*IFERROR(VLOOKUP($K92,BasketTbl,4,0),IFERROR(INDEX(BasketTbl,MATCH($K92,BasketCodeCol,0),4),VLOOKUP("P01",ParamTbl,2,0))))*(1-IF(VLOOKUP($E92,OpTbl,3,0)="خرید",VLOOKUP("P02",ParamTbl,2,0),0)/100),""))</f>
        <v/>
      </c>
      <c r="O92" s="74" t="n"/>
      <c r="P92" s="76">
        <f>IF(OR($E92="",$L92=""),"",IFERROR(IF(VLOOKUP($E92,OpTbl,6,0)="وزن",ROUND($N92*$O92,-3),IF(VLOOKUP($E92,OpTbl,6,0)="مبلغ",ROUND($L92*$O92,-3),0)),""))</f>
        <v/>
      </c>
      <c r="Q92" s="74" t="n"/>
      <c r="R92" s="71" t="n"/>
      <c r="S92" s="77">
        <f>IF($E92="","",IF($AI92="⚠","⚠ ناتراز",IF(AND(IFERROR(VLOOKUP($E92,OpTbl,4,0),"")="بله",$L92=""),"⚠ وزن",IF(AND(IFERROR(VLOOKUP($E92,OpTbl,5,0),"")="بله",$U92=""),"⚠ حساب",IF(AND(IFERROR(VLOOKUP($E92,OpTbl,6,0),"")="مبلغ",$Q92=""),"⚠ مبلغ","✓")))))</f>
        <v/>
      </c>
      <c r="T92" s="72" t="n"/>
      <c r="U92" s="70">
        <f>IF($E92="","",IFERROR(IF(VLOOKUP($E92,OpTbl,14,0)&lt;&gt;"",VLOOKUP($E92,OpTbl,14,0),$G92),""))</f>
        <v/>
      </c>
      <c r="V92" s="76">
        <f>IF(OR($AJ92="",$AJ92=0,$AL92&lt;&gt;"بدهکار"),"",$AJ92)</f>
        <v/>
      </c>
      <c r="W92" s="76">
        <f>IF(OR($AJ92="",$AJ92=0,$AL92&lt;&gt;"بستانکار"),"",$AJ92)</f>
        <v/>
      </c>
      <c r="X92" s="70">
        <f>IF($E92="","",IFERROR(VLOOKUP($E92,OpTbl,8,0),""))</f>
        <v/>
      </c>
      <c r="Y92" s="76">
        <f>IF(OR($X92="",$AJ92="",$AJ92=0,$AM92&lt;&gt;"بدهکار"),"",$AJ92)</f>
        <v/>
      </c>
      <c r="Z92" s="76">
        <f>IF(OR($X92="",$AJ92="",$AJ92=0,$AM92&lt;&gt;"بستانکار"),"",$AJ92)</f>
        <v/>
      </c>
      <c r="AA92" s="70">
        <f>IF(OR($E92="",$AN92="—",$AN92=""),"",IFERROR(VLOOKUP($E92,OpTbl,12,0),""))</f>
        <v/>
      </c>
      <c r="AB92" s="76">
        <f>IF(OR($AA92="",$Q92="",$Q92=0,$AN92&lt;&gt;"بدهکار"),"",$Q92)</f>
        <v/>
      </c>
      <c r="AC92" s="76">
        <f>IF(OR($AA92="",$Q92="",$Q92=0,$AN92&lt;&gt;"بستانکار"),"",$Q92)</f>
        <v/>
      </c>
      <c r="AD92" s="70">
        <f>IF($AA92="","",IFERROR(VLOOKUP($E92,OpTbl,13,0),""))</f>
        <v/>
      </c>
      <c r="AE92" s="76">
        <f>IF(OR($AD92="",$Q92="",$Q92=0,$AN92&lt;&gt;"بستانکار"),"",$Q92)</f>
        <v/>
      </c>
      <c r="AF92" s="76">
        <f>IF(OR($AD92="",$Q92="",$Q92=0,$AN92&lt;&gt;"بدهکار"),"",$Q92)</f>
        <v/>
      </c>
      <c r="AG92" s="76">
        <f>SUM($V92,$Y92,$AB92,$AE92)</f>
        <v/>
      </c>
      <c r="AH92" s="76">
        <f>SUM($W92,$Z92,$AC92,$AF92)</f>
        <v/>
      </c>
      <c r="AI92" s="70">
        <f>IF($E92="","",IF(ROUND($AG92-$AH92,0)=0,"✓","⚠"))</f>
        <v/>
      </c>
      <c r="AJ92" s="76">
        <f>IF(OR($E92="",$U92=""),"",IFERROR(IF(VLOOKUP($E92,OpTbl,6,0)="وزن",IF($P92="",0,$P92),IF(VLOOKUP($E92,OpTbl,6,0)="مبلغ",IF(AND($Q92&lt;&gt;"",$Q92&lt;&gt;0),$Q92,$P92),0))+IF(VLOOKUP($E92,OpTbl,10,0)="افزودن",IF($Q92="",0,$Q92),0),0))</f>
        <v/>
      </c>
      <c r="AK92" s="70">
        <f>IF($E92="","",IFERROR(VLOOKUP($E92,OpTbl,10,0),""))</f>
        <v/>
      </c>
      <c r="AL92" s="70">
        <f>IF(OR($E92="",$U92=""),"",IFERROR(IF(VLOOKUP($E92,OpTbl,7,0)="خودکار",$R92,VLOOKUP($E92,OpTbl,7,0)),""))</f>
        <v/>
      </c>
      <c r="AM92" s="70">
        <f>IF(OR($E92="",$X92=""),"",IFERROR(IF(VLOOKUP($E92,OpTbl,9,0)="خودکار",IF($AL92="بدهکار","بستانکار",IF($AL92="بستانکار","بدهکار","")),VLOOKUP($E92,OpTbl,9,0)),""))</f>
        <v/>
      </c>
      <c r="AN92" s="70">
        <f>IF($E92="","",IFERROR(VLOOKUP($E92,OpTbl,11,0),""))</f>
        <v/>
      </c>
      <c r="AO92" s="70">
        <f>IF($B92="","",MID($B92,6,2))</f>
        <v/>
      </c>
      <c r="AP92" s="76">
        <f>IF($B92="",0,1)</f>
        <v/>
      </c>
    </row>
    <row r="93" ht="21.75" customHeight="1">
      <c r="A93" s="70">
        <f>IF($B93="","",COUNTA($B$10:$B93))</f>
        <v/>
      </c>
      <c r="B93" s="71" t="n"/>
      <c r="C93" s="71" t="n"/>
      <c r="D93" s="71" t="n"/>
      <c r="E93" s="71" t="n"/>
      <c r="F93" s="70">
        <f>IF($E93="","",IFERROR(VLOOKUP($E93,OpTbl,2,0),""))</f>
        <v/>
      </c>
      <c r="G93" s="71" t="n"/>
      <c r="H93" s="73">
        <f>IF($U93="","",IFERROR(VLOOKUP($U93,AcctTbl,2,0),"کد ناشناخته"))</f>
        <v/>
      </c>
      <c r="I93" s="70">
        <f>IF($U93="","",IFERROR(VLOOKUP($U93,AcctTbl,3,0),""))</f>
        <v/>
      </c>
      <c r="J93" s="72" t="n"/>
      <c r="K93" s="71" t="n"/>
      <c r="L93" s="74" t="n"/>
      <c r="M93" s="74" t="n"/>
      <c r="N93" s="148">
        <f>IF(OR($E93="",$L93=""),"",IFERROR(($L93-IF($M93="",0,$M93)*IFERROR(VLOOKUP($K93,BasketTbl,4,0),IFERROR(INDEX(BasketTbl,MATCH($K93,BasketCodeCol,0),4),VLOOKUP("P01",ParamTbl,2,0))))*(1-IF(VLOOKUP($E93,OpTbl,3,0)="خرید",VLOOKUP("P02",ParamTbl,2,0),0)/100),""))</f>
        <v/>
      </c>
      <c r="O93" s="74" t="n"/>
      <c r="P93" s="76">
        <f>IF(OR($E93="",$L93=""),"",IFERROR(IF(VLOOKUP($E93,OpTbl,6,0)="وزن",ROUND($N93*$O93,-3),IF(VLOOKUP($E93,OpTbl,6,0)="مبلغ",ROUND($L93*$O93,-3),0)),""))</f>
        <v/>
      </c>
      <c r="Q93" s="74" t="n"/>
      <c r="R93" s="71" t="n"/>
      <c r="S93" s="77">
        <f>IF($E93="","",IF($AI93="⚠","⚠ ناتراز",IF(AND(IFERROR(VLOOKUP($E93,OpTbl,4,0),"")="بله",$L93=""),"⚠ وزن",IF(AND(IFERROR(VLOOKUP($E93,OpTbl,5,0),"")="بله",$U93=""),"⚠ حساب",IF(AND(IFERROR(VLOOKUP($E93,OpTbl,6,0),"")="مبلغ",$Q93=""),"⚠ مبلغ","✓")))))</f>
        <v/>
      </c>
      <c r="T93" s="72" t="n"/>
      <c r="U93" s="70">
        <f>IF($E93="","",IFERROR(IF(VLOOKUP($E93,OpTbl,14,0)&lt;&gt;"",VLOOKUP($E93,OpTbl,14,0),$G93),""))</f>
        <v/>
      </c>
      <c r="V93" s="76">
        <f>IF(OR($AJ93="",$AJ93=0,$AL93&lt;&gt;"بدهکار"),"",$AJ93)</f>
        <v/>
      </c>
      <c r="W93" s="76">
        <f>IF(OR($AJ93="",$AJ93=0,$AL93&lt;&gt;"بستانکار"),"",$AJ93)</f>
        <v/>
      </c>
      <c r="X93" s="70">
        <f>IF($E93="","",IFERROR(VLOOKUP($E93,OpTbl,8,0),""))</f>
        <v/>
      </c>
      <c r="Y93" s="76">
        <f>IF(OR($X93="",$AJ93="",$AJ93=0,$AM93&lt;&gt;"بدهکار"),"",$AJ93)</f>
        <v/>
      </c>
      <c r="Z93" s="76">
        <f>IF(OR($X93="",$AJ93="",$AJ93=0,$AM93&lt;&gt;"بستانکار"),"",$AJ93)</f>
        <v/>
      </c>
      <c r="AA93" s="70">
        <f>IF(OR($E93="",$AN93="—",$AN93=""),"",IFERROR(VLOOKUP($E93,OpTbl,12,0),""))</f>
        <v/>
      </c>
      <c r="AB93" s="76">
        <f>IF(OR($AA93="",$Q93="",$Q93=0,$AN93&lt;&gt;"بدهکار"),"",$Q93)</f>
        <v/>
      </c>
      <c r="AC93" s="76">
        <f>IF(OR($AA93="",$Q93="",$Q93=0,$AN93&lt;&gt;"بستانکار"),"",$Q93)</f>
        <v/>
      </c>
      <c r="AD93" s="70">
        <f>IF($AA93="","",IFERROR(VLOOKUP($E93,OpTbl,13,0),""))</f>
        <v/>
      </c>
      <c r="AE93" s="76">
        <f>IF(OR($AD93="",$Q93="",$Q93=0,$AN93&lt;&gt;"بستانکار"),"",$Q93)</f>
        <v/>
      </c>
      <c r="AF93" s="76">
        <f>IF(OR($AD93="",$Q93="",$Q93=0,$AN93&lt;&gt;"بدهکار"),"",$Q93)</f>
        <v/>
      </c>
      <c r="AG93" s="76">
        <f>SUM($V93,$Y93,$AB93,$AE93)</f>
        <v/>
      </c>
      <c r="AH93" s="76">
        <f>SUM($W93,$Z93,$AC93,$AF93)</f>
        <v/>
      </c>
      <c r="AI93" s="70">
        <f>IF($E93="","",IF(ROUND($AG93-$AH93,0)=0,"✓","⚠"))</f>
        <v/>
      </c>
      <c r="AJ93" s="76">
        <f>IF(OR($E93="",$U93=""),"",IFERROR(IF(VLOOKUP($E93,OpTbl,6,0)="وزن",IF($P93="",0,$P93),IF(VLOOKUP($E93,OpTbl,6,0)="مبلغ",IF(AND($Q93&lt;&gt;"",$Q93&lt;&gt;0),$Q93,$P93),0))+IF(VLOOKUP($E93,OpTbl,10,0)="افزودن",IF($Q93="",0,$Q93),0),0))</f>
        <v/>
      </c>
      <c r="AK93" s="70">
        <f>IF($E93="","",IFERROR(VLOOKUP($E93,OpTbl,10,0),""))</f>
        <v/>
      </c>
      <c r="AL93" s="70">
        <f>IF(OR($E93="",$U93=""),"",IFERROR(IF(VLOOKUP($E93,OpTbl,7,0)="خودکار",$R93,VLOOKUP($E93,OpTbl,7,0)),""))</f>
        <v/>
      </c>
      <c r="AM93" s="70">
        <f>IF(OR($E93="",$X93=""),"",IFERROR(IF(VLOOKUP($E93,OpTbl,9,0)="خودکار",IF($AL93="بدهکار","بستانکار",IF($AL93="بستانکار","بدهکار","")),VLOOKUP($E93,OpTbl,9,0)),""))</f>
        <v/>
      </c>
      <c r="AN93" s="70">
        <f>IF($E93="","",IFERROR(VLOOKUP($E93,OpTbl,11,0),""))</f>
        <v/>
      </c>
      <c r="AO93" s="70">
        <f>IF($B93="","",MID($B93,6,2))</f>
        <v/>
      </c>
      <c r="AP93" s="76">
        <f>IF($B93="",0,1)</f>
        <v/>
      </c>
    </row>
    <row r="94" ht="21.75" customHeight="1">
      <c r="A94" s="70">
        <f>IF($B94="","",COUNTA($B$10:$B94))</f>
        <v/>
      </c>
      <c r="B94" s="71" t="n"/>
      <c r="C94" s="71" t="n"/>
      <c r="D94" s="71" t="n"/>
      <c r="E94" s="71" t="n"/>
      <c r="F94" s="70">
        <f>IF($E94="","",IFERROR(VLOOKUP($E94,OpTbl,2,0),""))</f>
        <v/>
      </c>
      <c r="G94" s="71" t="n"/>
      <c r="H94" s="73">
        <f>IF($U94="","",IFERROR(VLOOKUP($U94,AcctTbl,2,0),"کد ناشناخته"))</f>
        <v/>
      </c>
      <c r="I94" s="70">
        <f>IF($U94="","",IFERROR(VLOOKUP($U94,AcctTbl,3,0),""))</f>
        <v/>
      </c>
      <c r="J94" s="72" t="n"/>
      <c r="K94" s="71" t="n"/>
      <c r="L94" s="74" t="n"/>
      <c r="M94" s="74" t="n"/>
      <c r="N94" s="148">
        <f>IF(OR($E94="",$L94=""),"",IFERROR(($L94-IF($M94="",0,$M94)*IFERROR(VLOOKUP($K94,BasketTbl,4,0),IFERROR(INDEX(BasketTbl,MATCH($K94,BasketCodeCol,0),4),VLOOKUP("P01",ParamTbl,2,0))))*(1-IF(VLOOKUP($E94,OpTbl,3,0)="خرید",VLOOKUP("P02",ParamTbl,2,0),0)/100),""))</f>
        <v/>
      </c>
      <c r="O94" s="74" t="n"/>
      <c r="P94" s="76">
        <f>IF(OR($E94="",$L94=""),"",IFERROR(IF(VLOOKUP($E94,OpTbl,6,0)="وزن",ROUND($N94*$O94,-3),IF(VLOOKUP($E94,OpTbl,6,0)="مبلغ",ROUND($L94*$O94,-3),0)),""))</f>
        <v/>
      </c>
      <c r="Q94" s="74" t="n"/>
      <c r="R94" s="71" t="n"/>
      <c r="S94" s="77">
        <f>IF($E94="","",IF($AI94="⚠","⚠ ناتراز",IF(AND(IFERROR(VLOOKUP($E94,OpTbl,4,0),"")="بله",$L94=""),"⚠ وزن",IF(AND(IFERROR(VLOOKUP($E94,OpTbl,5,0),"")="بله",$U94=""),"⚠ حساب",IF(AND(IFERROR(VLOOKUP($E94,OpTbl,6,0),"")="مبلغ",$Q94=""),"⚠ مبلغ","✓")))))</f>
        <v/>
      </c>
      <c r="T94" s="72" t="n"/>
      <c r="U94" s="70">
        <f>IF($E94="","",IFERROR(IF(VLOOKUP($E94,OpTbl,14,0)&lt;&gt;"",VLOOKUP($E94,OpTbl,14,0),$G94),""))</f>
        <v/>
      </c>
      <c r="V94" s="76">
        <f>IF(OR($AJ94="",$AJ94=0,$AL94&lt;&gt;"بدهکار"),"",$AJ94)</f>
        <v/>
      </c>
      <c r="W94" s="76">
        <f>IF(OR($AJ94="",$AJ94=0,$AL94&lt;&gt;"بستانکار"),"",$AJ94)</f>
        <v/>
      </c>
      <c r="X94" s="70">
        <f>IF($E94="","",IFERROR(VLOOKUP($E94,OpTbl,8,0),""))</f>
        <v/>
      </c>
      <c r="Y94" s="76">
        <f>IF(OR($X94="",$AJ94="",$AJ94=0,$AM94&lt;&gt;"بدهکار"),"",$AJ94)</f>
        <v/>
      </c>
      <c r="Z94" s="76">
        <f>IF(OR($X94="",$AJ94="",$AJ94=0,$AM94&lt;&gt;"بستانکار"),"",$AJ94)</f>
        <v/>
      </c>
      <c r="AA94" s="70">
        <f>IF(OR($E94="",$AN94="—",$AN94=""),"",IFERROR(VLOOKUP($E94,OpTbl,12,0),""))</f>
        <v/>
      </c>
      <c r="AB94" s="76">
        <f>IF(OR($AA94="",$Q94="",$Q94=0,$AN94&lt;&gt;"بدهکار"),"",$Q94)</f>
        <v/>
      </c>
      <c r="AC94" s="76">
        <f>IF(OR($AA94="",$Q94="",$Q94=0,$AN94&lt;&gt;"بستانکار"),"",$Q94)</f>
        <v/>
      </c>
      <c r="AD94" s="70">
        <f>IF($AA94="","",IFERROR(VLOOKUP($E94,OpTbl,13,0),""))</f>
        <v/>
      </c>
      <c r="AE94" s="76">
        <f>IF(OR($AD94="",$Q94="",$Q94=0,$AN94&lt;&gt;"بستانکار"),"",$Q94)</f>
        <v/>
      </c>
      <c r="AF94" s="76">
        <f>IF(OR($AD94="",$Q94="",$Q94=0,$AN94&lt;&gt;"بدهکار"),"",$Q94)</f>
        <v/>
      </c>
      <c r="AG94" s="76">
        <f>SUM($V94,$Y94,$AB94,$AE94)</f>
        <v/>
      </c>
      <c r="AH94" s="76">
        <f>SUM($W94,$Z94,$AC94,$AF94)</f>
        <v/>
      </c>
      <c r="AI94" s="70">
        <f>IF($E94="","",IF(ROUND($AG94-$AH94,0)=0,"✓","⚠"))</f>
        <v/>
      </c>
      <c r="AJ94" s="76">
        <f>IF(OR($E94="",$U94=""),"",IFERROR(IF(VLOOKUP($E94,OpTbl,6,0)="وزن",IF($P94="",0,$P94),IF(VLOOKUP($E94,OpTbl,6,0)="مبلغ",IF(AND($Q94&lt;&gt;"",$Q94&lt;&gt;0),$Q94,$P94),0))+IF(VLOOKUP($E94,OpTbl,10,0)="افزودن",IF($Q94="",0,$Q94),0),0))</f>
        <v/>
      </c>
      <c r="AK94" s="70">
        <f>IF($E94="","",IFERROR(VLOOKUP($E94,OpTbl,10,0),""))</f>
        <v/>
      </c>
      <c r="AL94" s="70">
        <f>IF(OR($E94="",$U94=""),"",IFERROR(IF(VLOOKUP($E94,OpTbl,7,0)="خودکار",$R94,VLOOKUP($E94,OpTbl,7,0)),""))</f>
        <v/>
      </c>
      <c r="AM94" s="70">
        <f>IF(OR($E94="",$X94=""),"",IFERROR(IF(VLOOKUP($E94,OpTbl,9,0)="خودکار",IF($AL94="بدهکار","بستانکار",IF($AL94="بستانکار","بدهکار","")),VLOOKUP($E94,OpTbl,9,0)),""))</f>
        <v/>
      </c>
      <c r="AN94" s="70">
        <f>IF($E94="","",IFERROR(VLOOKUP($E94,OpTbl,11,0),""))</f>
        <v/>
      </c>
      <c r="AO94" s="70">
        <f>IF($B94="","",MID($B94,6,2))</f>
        <v/>
      </c>
      <c r="AP94" s="76">
        <f>IF($B94="",0,1)</f>
        <v/>
      </c>
    </row>
    <row r="95" ht="21.75" customHeight="1">
      <c r="A95" s="70">
        <f>IF($B95="","",COUNTA($B$10:$B95))</f>
        <v/>
      </c>
      <c r="B95" s="71" t="n"/>
      <c r="C95" s="71" t="n"/>
      <c r="D95" s="71" t="n"/>
      <c r="E95" s="71" t="n"/>
      <c r="F95" s="70">
        <f>IF($E95="","",IFERROR(VLOOKUP($E95,OpTbl,2,0),""))</f>
        <v/>
      </c>
      <c r="G95" s="71" t="n"/>
      <c r="H95" s="73">
        <f>IF($U95="","",IFERROR(VLOOKUP($U95,AcctTbl,2,0),"کد ناشناخته"))</f>
        <v/>
      </c>
      <c r="I95" s="70">
        <f>IF($U95="","",IFERROR(VLOOKUP($U95,AcctTbl,3,0),""))</f>
        <v/>
      </c>
      <c r="J95" s="72" t="n"/>
      <c r="K95" s="71" t="n"/>
      <c r="L95" s="74" t="n"/>
      <c r="M95" s="74" t="n"/>
      <c r="N95" s="148">
        <f>IF(OR($E95="",$L95=""),"",IFERROR(($L95-IF($M95="",0,$M95)*IFERROR(VLOOKUP($K95,BasketTbl,4,0),IFERROR(INDEX(BasketTbl,MATCH($K95,BasketCodeCol,0),4),VLOOKUP("P01",ParamTbl,2,0))))*(1-IF(VLOOKUP($E95,OpTbl,3,0)="خرید",VLOOKUP("P02",ParamTbl,2,0),0)/100),""))</f>
        <v/>
      </c>
      <c r="O95" s="74" t="n"/>
      <c r="P95" s="76">
        <f>IF(OR($E95="",$L95=""),"",IFERROR(IF(VLOOKUP($E95,OpTbl,6,0)="وزن",ROUND($N95*$O95,-3),IF(VLOOKUP($E95,OpTbl,6,0)="مبلغ",ROUND($L95*$O95,-3),0)),""))</f>
        <v/>
      </c>
      <c r="Q95" s="74" t="n"/>
      <c r="R95" s="71" t="n"/>
      <c r="S95" s="77">
        <f>IF($E95="","",IF($AI95="⚠","⚠ ناتراز",IF(AND(IFERROR(VLOOKUP($E95,OpTbl,4,0),"")="بله",$L95=""),"⚠ وزن",IF(AND(IFERROR(VLOOKUP($E95,OpTbl,5,0),"")="بله",$U95=""),"⚠ حساب",IF(AND(IFERROR(VLOOKUP($E95,OpTbl,6,0),"")="مبلغ",$Q95=""),"⚠ مبلغ","✓")))))</f>
        <v/>
      </c>
      <c r="T95" s="72" t="n"/>
      <c r="U95" s="70">
        <f>IF($E95="","",IFERROR(IF(VLOOKUP($E95,OpTbl,14,0)&lt;&gt;"",VLOOKUP($E95,OpTbl,14,0),$G95),""))</f>
        <v/>
      </c>
      <c r="V95" s="76">
        <f>IF(OR($AJ95="",$AJ95=0,$AL95&lt;&gt;"بدهکار"),"",$AJ95)</f>
        <v/>
      </c>
      <c r="W95" s="76">
        <f>IF(OR($AJ95="",$AJ95=0,$AL95&lt;&gt;"بستانکار"),"",$AJ95)</f>
        <v/>
      </c>
      <c r="X95" s="70">
        <f>IF($E95="","",IFERROR(VLOOKUP($E95,OpTbl,8,0),""))</f>
        <v/>
      </c>
      <c r="Y95" s="76">
        <f>IF(OR($X95="",$AJ95="",$AJ95=0,$AM95&lt;&gt;"بدهکار"),"",$AJ95)</f>
        <v/>
      </c>
      <c r="Z95" s="76">
        <f>IF(OR($X95="",$AJ95="",$AJ95=0,$AM95&lt;&gt;"بستانکار"),"",$AJ95)</f>
        <v/>
      </c>
      <c r="AA95" s="70">
        <f>IF(OR($E95="",$AN95="—",$AN95=""),"",IFERROR(VLOOKUP($E95,OpTbl,12,0),""))</f>
        <v/>
      </c>
      <c r="AB95" s="76">
        <f>IF(OR($AA95="",$Q95="",$Q95=0,$AN95&lt;&gt;"بدهکار"),"",$Q95)</f>
        <v/>
      </c>
      <c r="AC95" s="76">
        <f>IF(OR($AA95="",$Q95="",$Q95=0,$AN95&lt;&gt;"بستانکار"),"",$Q95)</f>
        <v/>
      </c>
      <c r="AD95" s="70">
        <f>IF($AA95="","",IFERROR(VLOOKUP($E95,OpTbl,13,0),""))</f>
        <v/>
      </c>
      <c r="AE95" s="76">
        <f>IF(OR($AD95="",$Q95="",$Q95=0,$AN95&lt;&gt;"بستانکار"),"",$Q95)</f>
        <v/>
      </c>
      <c r="AF95" s="76">
        <f>IF(OR($AD95="",$Q95="",$Q95=0,$AN95&lt;&gt;"بدهکار"),"",$Q95)</f>
        <v/>
      </c>
      <c r="AG95" s="76">
        <f>SUM($V95,$Y95,$AB95,$AE95)</f>
        <v/>
      </c>
      <c r="AH95" s="76">
        <f>SUM($W95,$Z95,$AC95,$AF95)</f>
        <v/>
      </c>
      <c r="AI95" s="70">
        <f>IF($E95="","",IF(ROUND($AG95-$AH95,0)=0,"✓","⚠"))</f>
        <v/>
      </c>
      <c r="AJ95" s="76">
        <f>IF(OR($E95="",$U95=""),"",IFERROR(IF(VLOOKUP($E95,OpTbl,6,0)="وزن",IF($P95="",0,$P95),IF(VLOOKUP($E95,OpTbl,6,0)="مبلغ",IF(AND($Q95&lt;&gt;"",$Q95&lt;&gt;0),$Q95,$P95),0))+IF(VLOOKUP($E95,OpTbl,10,0)="افزودن",IF($Q95="",0,$Q95),0),0))</f>
        <v/>
      </c>
      <c r="AK95" s="70">
        <f>IF($E95="","",IFERROR(VLOOKUP($E95,OpTbl,10,0),""))</f>
        <v/>
      </c>
      <c r="AL95" s="70">
        <f>IF(OR($E95="",$U95=""),"",IFERROR(IF(VLOOKUP($E95,OpTbl,7,0)="خودکار",$R95,VLOOKUP($E95,OpTbl,7,0)),""))</f>
        <v/>
      </c>
      <c r="AM95" s="70">
        <f>IF(OR($E95="",$X95=""),"",IFERROR(IF(VLOOKUP($E95,OpTbl,9,0)="خودکار",IF($AL95="بدهکار","بستانکار",IF($AL95="بستانکار","بدهکار","")),VLOOKUP($E95,OpTbl,9,0)),""))</f>
        <v/>
      </c>
      <c r="AN95" s="70">
        <f>IF($E95="","",IFERROR(VLOOKUP($E95,OpTbl,11,0),""))</f>
        <v/>
      </c>
      <c r="AO95" s="70">
        <f>IF($B95="","",MID($B95,6,2))</f>
        <v/>
      </c>
      <c r="AP95" s="76">
        <f>IF($B95="",0,1)</f>
        <v/>
      </c>
    </row>
    <row r="96" ht="21.75" customHeight="1">
      <c r="A96" s="70">
        <f>IF($B96="","",COUNTA($B$10:$B96))</f>
        <v/>
      </c>
      <c r="B96" s="71" t="n"/>
      <c r="C96" s="71" t="n"/>
      <c r="D96" s="71" t="n"/>
      <c r="E96" s="71" t="n"/>
      <c r="F96" s="70">
        <f>IF($E96="","",IFERROR(VLOOKUP($E96,OpTbl,2,0),""))</f>
        <v/>
      </c>
      <c r="G96" s="71" t="n"/>
      <c r="H96" s="73">
        <f>IF($U96="","",IFERROR(VLOOKUP($U96,AcctTbl,2,0),"کد ناشناخته"))</f>
        <v/>
      </c>
      <c r="I96" s="70">
        <f>IF($U96="","",IFERROR(VLOOKUP($U96,AcctTbl,3,0),""))</f>
        <v/>
      </c>
      <c r="J96" s="72" t="n"/>
      <c r="K96" s="71" t="n"/>
      <c r="L96" s="74" t="n"/>
      <c r="M96" s="74" t="n"/>
      <c r="N96" s="148">
        <f>IF(OR($E96="",$L96=""),"",IFERROR(($L96-IF($M96="",0,$M96)*IFERROR(VLOOKUP($K96,BasketTbl,4,0),IFERROR(INDEX(BasketTbl,MATCH($K96,BasketCodeCol,0),4),VLOOKUP("P01",ParamTbl,2,0))))*(1-IF(VLOOKUP($E96,OpTbl,3,0)="خرید",VLOOKUP("P02",ParamTbl,2,0),0)/100),""))</f>
        <v/>
      </c>
      <c r="O96" s="74" t="n"/>
      <c r="P96" s="76">
        <f>IF(OR($E96="",$L96=""),"",IFERROR(IF(VLOOKUP($E96,OpTbl,6,0)="وزن",ROUND($N96*$O96,-3),IF(VLOOKUP($E96,OpTbl,6,0)="مبلغ",ROUND($L96*$O96,-3),0)),""))</f>
        <v/>
      </c>
      <c r="Q96" s="74" t="n"/>
      <c r="R96" s="71" t="n"/>
      <c r="S96" s="77">
        <f>IF($E96="","",IF($AI96="⚠","⚠ ناتراز",IF(AND(IFERROR(VLOOKUP($E96,OpTbl,4,0),"")="بله",$L96=""),"⚠ وزن",IF(AND(IFERROR(VLOOKUP($E96,OpTbl,5,0),"")="بله",$U96=""),"⚠ حساب",IF(AND(IFERROR(VLOOKUP($E96,OpTbl,6,0),"")="مبلغ",$Q96=""),"⚠ مبلغ","✓")))))</f>
        <v/>
      </c>
      <c r="T96" s="72" t="n"/>
      <c r="U96" s="70">
        <f>IF($E96="","",IFERROR(IF(VLOOKUP($E96,OpTbl,14,0)&lt;&gt;"",VLOOKUP($E96,OpTbl,14,0),$G96),""))</f>
        <v/>
      </c>
      <c r="V96" s="76">
        <f>IF(OR($AJ96="",$AJ96=0,$AL96&lt;&gt;"بدهکار"),"",$AJ96)</f>
        <v/>
      </c>
      <c r="W96" s="76">
        <f>IF(OR($AJ96="",$AJ96=0,$AL96&lt;&gt;"بستانکار"),"",$AJ96)</f>
        <v/>
      </c>
      <c r="X96" s="70">
        <f>IF($E96="","",IFERROR(VLOOKUP($E96,OpTbl,8,0),""))</f>
        <v/>
      </c>
      <c r="Y96" s="76">
        <f>IF(OR($X96="",$AJ96="",$AJ96=0,$AM96&lt;&gt;"بدهکار"),"",$AJ96)</f>
        <v/>
      </c>
      <c r="Z96" s="76">
        <f>IF(OR($X96="",$AJ96="",$AJ96=0,$AM96&lt;&gt;"بستانکار"),"",$AJ96)</f>
        <v/>
      </c>
      <c r="AA96" s="70">
        <f>IF(OR($E96="",$AN96="—",$AN96=""),"",IFERROR(VLOOKUP($E96,OpTbl,12,0),""))</f>
        <v/>
      </c>
      <c r="AB96" s="76">
        <f>IF(OR($AA96="",$Q96="",$Q96=0,$AN96&lt;&gt;"بدهکار"),"",$Q96)</f>
        <v/>
      </c>
      <c r="AC96" s="76">
        <f>IF(OR($AA96="",$Q96="",$Q96=0,$AN96&lt;&gt;"بستانکار"),"",$Q96)</f>
        <v/>
      </c>
      <c r="AD96" s="70">
        <f>IF($AA96="","",IFERROR(VLOOKUP($E96,OpTbl,13,0),""))</f>
        <v/>
      </c>
      <c r="AE96" s="76">
        <f>IF(OR($AD96="",$Q96="",$Q96=0,$AN96&lt;&gt;"بستانکار"),"",$Q96)</f>
        <v/>
      </c>
      <c r="AF96" s="76">
        <f>IF(OR($AD96="",$Q96="",$Q96=0,$AN96&lt;&gt;"بدهکار"),"",$Q96)</f>
        <v/>
      </c>
      <c r="AG96" s="76">
        <f>SUM($V96,$Y96,$AB96,$AE96)</f>
        <v/>
      </c>
      <c r="AH96" s="76">
        <f>SUM($W96,$Z96,$AC96,$AF96)</f>
        <v/>
      </c>
      <c r="AI96" s="70">
        <f>IF($E96="","",IF(ROUND($AG96-$AH96,0)=0,"✓","⚠"))</f>
        <v/>
      </c>
      <c r="AJ96" s="76">
        <f>IF(OR($E96="",$U96=""),"",IFERROR(IF(VLOOKUP($E96,OpTbl,6,0)="وزن",IF($P96="",0,$P96),IF(VLOOKUP($E96,OpTbl,6,0)="مبلغ",IF(AND($Q96&lt;&gt;"",$Q96&lt;&gt;0),$Q96,$P96),0))+IF(VLOOKUP($E96,OpTbl,10,0)="افزودن",IF($Q96="",0,$Q96),0),0))</f>
        <v/>
      </c>
      <c r="AK96" s="70">
        <f>IF($E96="","",IFERROR(VLOOKUP($E96,OpTbl,10,0),""))</f>
        <v/>
      </c>
      <c r="AL96" s="70">
        <f>IF(OR($E96="",$U96=""),"",IFERROR(IF(VLOOKUP($E96,OpTbl,7,0)="خودکار",$R96,VLOOKUP($E96,OpTbl,7,0)),""))</f>
        <v/>
      </c>
      <c r="AM96" s="70">
        <f>IF(OR($E96="",$X96=""),"",IFERROR(IF(VLOOKUP($E96,OpTbl,9,0)="خودکار",IF($AL96="بدهکار","بستانکار",IF($AL96="بستانکار","بدهکار","")),VLOOKUP($E96,OpTbl,9,0)),""))</f>
        <v/>
      </c>
      <c r="AN96" s="70">
        <f>IF($E96="","",IFERROR(VLOOKUP($E96,OpTbl,11,0),""))</f>
        <v/>
      </c>
      <c r="AO96" s="70">
        <f>IF($B96="","",MID($B96,6,2))</f>
        <v/>
      </c>
      <c r="AP96" s="76">
        <f>IF($B96="",0,1)</f>
        <v/>
      </c>
    </row>
    <row r="97" ht="21.75" customHeight="1">
      <c r="A97" s="70">
        <f>IF($B97="","",COUNTA($B$10:$B97))</f>
        <v/>
      </c>
      <c r="B97" s="71" t="n"/>
      <c r="C97" s="71" t="n"/>
      <c r="D97" s="71" t="n"/>
      <c r="E97" s="71" t="n"/>
      <c r="F97" s="70">
        <f>IF($E97="","",IFERROR(VLOOKUP($E97,OpTbl,2,0),""))</f>
        <v/>
      </c>
      <c r="G97" s="71" t="n"/>
      <c r="H97" s="73">
        <f>IF($U97="","",IFERROR(VLOOKUP($U97,AcctTbl,2,0),"کد ناشناخته"))</f>
        <v/>
      </c>
      <c r="I97" s="70">
        <f>IF($U97="","",IFERROR(VLOOKUP($U97,AcctTbl,3,0),""))</f>
        <v/>
      </c>
      <c r="J97" s="72" t="n"/>
      <c r="K97" s="71" t="n"/>
      <c r="L97" s="74" t="n"/>
      <c r="M97" s="74" t="n"/>
      <c r="N97" s="148">
        <f>IF(OR($E97="",$L97=""),"",IFERROR(($L97-IF($M97="",0,$M97)*IFERROR(VLOOKUP($K97,BasketTbl,4,0),IFERROR(INDEX(BasketTbl,MATCH($K97,BasketCodeCol,0),4),VLOOKUP("P01",ParamTbl,2,0))))*(1-IF(VLOOKUP($E97,OpTbl,3,0)="خرید",VLOOKUP("P02",ParamTbl,2,0),0)/100),""))</f>
        <v/>
      </c>
      <c r="O97" s="74" t="n"/>
      <c r="P97" s="76">
        <f>IF(OR($E97="",$L97=""),"",IFERROR(IF(VLOOKUP($E97,OpTbl,6,0)="وزن",ROUND($N97*$O97,-3),IF(VLOOKUP($E97,OpTbl,6,0)="مبلغ",ROUND($L97*$O97,-3),0)),""))</f>
        <v/>
      </c>
      <c r="Q97" s="74" t="n"/>
      <c r="R97" s="71" t="n"/>
      <c r="S97" s="77">
        <f>IF($E97="","",IF($AI97="⚠","⚠ ناتراز",IF(AND(IFERROR(VLOOKUP($E97,OpTbl,4,0),"")="بله",$L97=""),"⚠ وزن",IF(AND(IFERROR(VLOOKUP($E97,OpTbl,5,0),"")="بله",$U97=""),"⚠ حساب",IF(AND(IFERROR(VLOOKUP($E97,OpTbl,6,0),"")="مبلغ",$Q97=""),"⚠ مبلغ","✓")))))</f>
        <v/>
      </c>
      <c r="T97" s="72" t="n"/>
      <c r="U97" s="70">
        <f>IF($E97="","",IFERROR(IF(VLOOKUP($E97,OpTbl,14,0)&lt;&gt;"",VLOOKUP($E97,OpTbl,14,0),$G97),""))</f>
        <v/>
      </c>
      <c r="V97" s="76">
        <f>IF(OR($AJ97="",$AJ97=0,$AL97&lt;&gt;"بدهکار"),"",$AJ97)</f>
        <v/>
      </c>
      <c r="W97" s="76">
        <f>IF(OR($AJ97="",$AJ97=0,$AL97&lt;&gt;"بستانکار"),"",$AJ97)</f>
        <v/>
      </c>
      <c r="X97" s="70">
        <f>IF($E97="","",IFERROR(VLOOKUP($E97,OpTbl,8,0),""))</f>
        <v/>
      </c>
      <c r="Y97" s="76">
        <f>IF(OR($X97="",$AJ97="",$AJ97=0,$AM97&lt;&gt;"بدهکار"),"",$AJ97)</f>
        <v/>
      </c>
      <c r="Z97" s="76">
        <f>IF(OR($X97="",$AJ97="",$AJ97=0,$AM97&lt;&gt;"بستانکار"),"",$AJ97)</f>
        <v/>
      </c>
      <c r="AA97" s="70">
        <f>IF(OR($E97="",$AN97="—",$AN97=""),"",IFERROR(VLOOKUP($E97,OpTbl,12,0),""))</f>
        <v/>
      </c>
      <c r="AB97" s="76">
        <f>IF(OR($AA97="",$Q97="",$Q97=0,$AN97&lt;&gt;"بدهکار"),"",$Q97)</f>
        <v/>
      </c>
      <c r="AC97" s="76">
        <f>IF(OR($AA97="",$Q97="",$Q97=0,$AN97&lt;&gt;"بستانکار"),"",$Q97)</f>
        <v/>
      </c>
      <c r="AD97" s="70">
        <f>IF($AA97="","",IFERROR(VLOOKUP($E97,OpTbl,13,0),""))</f>
        <v/>
      </c>
      <c r="AE97" s="76">
        <f>IF(OR($AD97="",$Q97="",$Q97=0,$AN97&lt;&gt;"بستانکار"),"",$Q97)</f>
        <v/>
      </c>
      <c r="AF97" s="76">
        <f>IF(OR($AD97="",$Q97="",$Q97=0,$AN97&lt;&gt;"بدهکار"),"",$Q97)</f>
        <v/>
      </c>
      <c r="AG97" s="76">
        <f>SUM($V97,$Y97,$AB97,$AE97)</f>
        <v/>
      </c>
      <c r="AH97" s="76">
        <f>SUM($W97,$Z97,$AC97,$AF97)</f>
        <v/>
      </c>
      <c r="AI97" s="70">
        <f>IF($E97="","",IF(ROUND($AG97-$AH97,0)=0,"✓","⚠"))</f>
        <v/>
      </c>
      <c r="AJ97" s="76">
        <f>IF(OR($E97="",$U97=""),"",IFERROR(IF(VLOOKUP($E97,OpTbl,6,0)="وزن",IF($P97="",0,$P97),IF(VLOOKUP($E97,OpTbl,6,0)="مبلغ",IF(AND($Q97&lt;&gt;"",$Q97&lt;&gt;0),$Q97,$P97),0))+IF(VLOOKUP($E97,OpTbl,10,0)="افزودن",IF($Q97="",0,$Q97),0),0))</f>
        <v/>
      </c>
      <c r="AK97" s="70">
        <f>IF($E97="","",IFERROR(VLOOKUP($E97,OpTbl,10,0),""))</f>
        <v/>
      </c>
      <c r="AL97" s="70">
        <f>IF(OR($E97="",$U97=""),"",IFERROR(IF(VLOOKUP($E97,OpTbl,7,0)="خودکار",$R97,VLOOKUP($E97,OpTbl,7,0)),""))</f>
        <v/>
      </c>
      <c r="AM97" s="70">
        <f>IF(OR($E97="",$X97=""),"",IFERROR(IF(VLOOKUP($E97,OpTbl,9,0)="خودکار",IF($AL97="بدهکار","بستانکار",IF($AL97="بستانکار","بدهکار","")),VLOOKUP($E97,OpTbl,9,0)),""))</f>
        <v/>
      </c>
      <c r="AN97" s="70">
        <f>IF($E97="","",IFERROR(VLOOKUP($E97,OpTbl,11,0),""))</f>
        <v/>
      </c>
      <c r="AO97" s="70">
        <f>IF($B97="","",MID($B97,6,2))</f>
        <v/>
      </c>
      <c r="AP97" s="76">
        <f>IF($B97="",0,1)</f>
        <v/>
      </c>
    </row>
    <row r="98" ht="21.75" customHeight="1">
      <c r="A98" s="70">
        <f>IF($B98="","",COUNTA($B$10:$B98))</f>
        <v/>
      </c>
      <c r="B98" s="71" t="n"/>
      <c r="C98" s="71" t="n"/>
      <c r="D98" s="71" t="n"/>
      <c r="E98" s="71" t="n"/>
      <c r="F98" s="70">
        <f>IF($E98="","",IFERROR(VLOOKUP($E98,OpTbl,2,0),""))</f>
        <v/>
      </c>
      <c r="G98" s="71" t="n"/>
      <c r="H98" s="73">
        <f>IF($U98="","",IFERROR(VLOOKUP($U98,AcctTbl,2,0),"کد ناشناخته"))</f>
        <v/>
      </c>
      <c r="I98" s="70">
        <f>IF($U98="","",IFERROR(VLOOKUP($U98,AcctTbl,3,0),""))</f>
        <v/>
      </c>
      <c r="J98" s="72" t="n"/>
      <c r="K98" s="71" t="n"/>
      <c r="L98" s="74" t="n"/>
      <c r="M98" s="74" t="n"/>
      <c r="N98" s="148">
        <f>IF(OR($E98="",$L98=""),"",IFERROR(($L98-IF($M98="",0,$M98)*IFERROR(VLOOKUP($K98,BasketTbl,4,0),IFERROR(INDEX(BasketTbl,MATCH($K98,BasketCodeCol,0),4),VLOOKUP("P01",ParamTbl,2,0))))*(1-IF(VLOOKUP($E98,OpTbl,3,0)="خرید",VLOOKUP("P02",ParamTbl,2,0),0)/100),""))</f>
        <v/>
      </c>
      <c r="O98" s="74" t="n"/>
      <c r="P98" s="76">
        <f>IF(OR($E98="",$L98=""),"",IFERROR(IF(VLOOKUP($E98,OpTbl,6,0)="وزن",ROUND($N98*$O98,-3),IF(VLOOKUP($E98,OpTbl,6,0)="مبلغ",ROUND($L98*$O98,-3),0)),""))</f>
        <v/>
      </c>
      <c r="Q98" s="74" t="n"/>
      <c r="R98" s="71" t="n"/>
      <c r="S98" s="77">
        <f>IF($E98="","",IF($AI98="⚠","⚠ ناتراز",IF(AND(IFERROR(VLOOKUP($E98,OpTbl,4,0),"")="بله",$L98=""),"⚠ وزن",IF(AND(IFERROR(VLOOKUP($E98,OpTbl,5,0),"")="بله",$U98=""),"⚠ حساب",IF(AND(IFERROR(VLOOKUP($E98,OpTbl,6,0),"")="مبلغ",$Q98=""),"⚠ مبلغ","✓")))))</f>
        <v/>
      </c>
      <c r="T98" s="72" t="n"/>
      <c r="U98" s="70">
        <f>IF($E98="","",IFERROR(IF(VLOOKUP($E98,OpTbl,14,0)&lt;&gt;"",VLOOKUP($E98,OpTbl,14,0),$G98),""))</f>
        <v/>
      </c>
      <c r="V98" s="76">
        <f>IF(OR($AJ98="",$AJ98=0,$AL98&lt;&gt;"بدهکار"),"",$AJ98)</f>
        <v/>
      </c>
      <c r="W98" s="76">
        <f>IF(OR($AJ98="",$AJ98=0,$AL98&lt;&gt;"بستانکار"),"",$AJ98)</f>
        <v/>
      </c>
      <c r="X98" s="70">
        <f>IF($E98="","",IFERROR(VLOOKUP($E98,OpTbl,8,0),""))</f>
        <v/>
      </c>
      <c r="Y98" s="76">
        <f>IF(OR($X98="",$AJ98="",$AJ98=0,$AM98&lt;&gt;"بدهکار"),"",$AJ98)</f>
        <v/>
      </c>
      <c r="Z98" s="76">
        <f>IF(OR($X98="",$AJ98="",$AJ98=0,$AM98&lt;&gt;"بستانکار"),"",$AJ98)</f>
        <v/>
      </c>
      <c r="AA98" s="70">
        <f>IF(OR($E98="",$AN98="—",$AN98=""),"",IFERROR(VLOOKUP($E98,OpTbl,12,0),""))</f>
        <v/>
      </c>
      <c r="AB98" s="76">
        <f>IF(OR($AA98="",$Q98="",$Q98=0,$AN98&lt;&gt;"بدهکار"),"",$Q98)</f>
        <v/>
      </c>
      <c r="AC98" s="76">
        <f>IF(OR($AA98="",$Q98="",$Q98=0,$AN98&lt;&gt;"بستانکار"),"",$Q98)</f>
        <v/>
      </c>
      <c r="AD98" s="70">
        <f>IF($AA98="","",IFERROR(VLOOKUP($E98,OpTbl,13,0),""))</f>
        <v/>
      </c>
      <c r="AE98" s="76">
        <f>IF(OR($AD98="",$Q98="",$Q98=0,$AN98&lt;&gt;"بستانکار"),"",$Q98)</f>
        <v/>
      </c>
      <c r="AF98" s="76">
        <f>IF(OR($AD98="",$Q98="",$Q98=0,$AN98&lt;&gt;"بدهکار"),"",$Q98)</f>
        <v/>
      </c>
      <c r="AG98" s="76">
        <f>SUM($V98,$Y98,$AB98,$AE98)</f>
        <v/>
      </c>
      <c r="AH98" s="76">
        <f>SUM($W98,$Z98,$AC98,$AF98)</f>
        <v/>
      </c>
      <c r="AI98" s="70">
        <f>IF($E98="","",IF(ROUND($AG98-$AH98,0)=0,"✓","⚠"))</f>
        <v/>
      </c>
      <c r="AJ98" s="76">
        <f>IF(OR($E98="",$U98=""),"",IFERROR(IF(VLOOKUP($E98,OpTbl,6,0)="وزن",IF($P98="",0,$P98),IF(VLOOKUP($E98,OpTbl,6,0)="مبلغ",IF(AND($Q98&lt;&gt;"",$Q98&lt;&gt;0),$Q98,$P98),0))+IF(VLOOKUP($E98,OpTbl,10,0)="افزودن",IF($Q98="",0,$Q98),0),0))</f>
        <v/>
      </c>
      <c r="AK98" s="70">
        <f>IF($E98="","",IFERROR(VLOOKUP($E98,OpTbl,10,0),""))</f>
        <v/>
      </c>
      <c r="AL98" s="70">
        <f>IF(OR($E98="",$U98=""),"",IFERROR(IF(VLOOKUP($E98,OpTbl,7,0)="خودکار",$R98,VLOOKUP($E98,OpTbl,7,0)),""))</f>
        <v/>
      </c>
      <c r="AM98" s="70">
        <f>IF(OR($E98="",$X98=""),"",IFERROR(IF(VLOOKUP($E98,OpTbl,9,0)="خودکار",IF($AL98="بدهکار","بستانکار",IF($AL98="بستانکار","بدهکار","")),VLOOKUP($E98,OpTbl,9,0)),""))</f>
        <v/>
      </c>
      <c r="AN98" s="70">
        <f>IF($E98="","",IFERROR(VLOOKUP($E98,OpTbl,11,0),""))</f>
        <v/>
      </c>
      <c r="AO98" s="70">
        <f>IF($B98="","",MID($B98,6,2))</f>
        <v/>
      </c>
      <c r="AP98" s="76">
        <f>IF($B98="",0,1)</f>
        <v/>
      </c>
    </row>
    <row r="99" ht="21.75" customHeight="1">
      <c r="A99" s="70">
        <f>IF($B99="","",COUNTA($B$10:$B99))</f>
        <v/>
      </c>
      <c r="B99" s="71" t="n"/>
      <c r="C99" s="71" t="n"/>
      <c r="D99" s="71" t="n"/>
      <c r="E99" s="71" t="n"/>
      <c r="F99" s="70">
        <f>IF($E99="","",IFERROR(VLOOKUP($E99,OpTbl,2,0),""))</f>
        <v/>
      </c>
      <c r="G99" s="71" t="n"/>
      <c r="H99" s="73">
        <f>IF($U99="","",IFERROR(VLOOKUP($U99,AcctTbl,2,0),"کد ناشناخته"))</f>
        <v/>
      </c>
      <c r="I99" s="70">
        <f>IF($U99="","",IFERROR(VLOOKUP($U99,AcctTbl,3,0),""))</f>
        <v/>
      </c>
      <c r="J99" s="72" t="n"/>
      <c r="K99" s="71" t="n"/>
      <c r="L99" s="74" t="n"/>
      <c r="M99" s="74" t="n"/>
      <c r="N99" s="148">
        <f>IF(OR($E99="",$L99=""),"",IFERROR(($L99-IF($M99="",0,$M99)*IFERROR(VLOOKUP($K99,BasketTbl,4,0),IFERROR(INDEX(BasketTbl,MATCH($K99,BasketCodeCol,0),4),VLOOKUP("P01",ParamTbl,2,0))))*(1-IF(VLOOKUP($E99,OpTbl,3,0)="خرید",VLOOKUP("P02",ParamTbl,2,0),0)/100),""))</f>
        <v/>
      </c>
      <c r="O99" s="74" t="n"/>
      <c r="P99" s="76">
        <f>IF(OR($E99="",$L99=""),"",IFERROR(IF(VLOOKUP($E99,OpTbl,6,0)="وزن",ROUND($N99*$O99,-3),IF(VLOOKUP($E99,OpTbl,6,0)="مبلغ",ROUND($L99*$O99,-3),0)),""))</f>
        <v/>
      </c>
      <c r="Q99" s="74" t="n"/>
      <c r="R99" s="71" t="n"/>
      <c r="S99" s="77">
        <f>IF($E99="","",IF($AI99="⚠","⚠ ناتراز",IF(AND(IFERROR(VLOOKUP($E99,OpTbl,4,0),"")="بله",$L99=""),"⚠ وزن",IF(AND(IFERROR(VLOOKUP($E99,OpTbl,5,0),"")="بله",$U99=""),"⚠ حساب",IF(AND(IFERROR(VLOOKUP($E99,OpTbl,6,0),"")="مبلغ",$Q99=""),"⚠ مبلغ","✓")))))</f>
        <v/>
      </c>
      <c r="T99" s="72" t="n"/>
      <c r="U99" s="70">
        <f>IF($E99="","",IFERROR(IF(VLOOKUP($E99,OpTbl,14,0)&lt;&gt;"",VLOOKUP($E99,OpTbl,14,0),$G99),""))</f>
        <v/>
      </c>
      <c r="V99" s="76">
        <f>IF(OR($AJ99="",$AJ99=0,$AL99&lt;&gt;"بدهکار"),"",$AJ99)</f>
        <v/>
      </c>
      <c r="W99" s="76">
        <f>IF(OR($AJ99="",$AJ99=0,$AL99&lt;&gt;"بستانکار"),"",$AJ99)</f>
        <v/>
      </c>
      <c r="X99" s="70">
        <f>IF($E99="","",IFERROR(VLOOKUP($E99,OpTbl,8,0),""))</f>
        <v/>
      </c>
      <c r="Y99" s="76">
        <f>IF(OR($X99="",$AJ99="",$AJ99=0,$AM99&lt;&gt;"بدهکار"),"",$AJ99)</f>
        <v/>
      </c>
      <c r="Z99" s="76">
        <f>IF(OR($X99="",$AJ99="",$AJ99=0,$AM99&lt;&gt;"بستانکار"),"",$AJ99)</f>
        <v/>
      </c>
      <c r="AA99" s="70">
        <f>IF(OR($E99="",$AN99="—",$AN99=""),"",IFERROR(VLOOKUP($E99,OpTbl,12,0),""))</f>
        <v/>
      </c>
      <c r="AB99" s="76">
        <f>IF(OR($AA99="",$Q99="",$Q99=0,$AN99&lt;&gt;"بدهکار"),"",$Q99)</f>
        <v/>
      </c>
      <c r="AC99" s="76">
        <f>IF(OR($AA99="",$Q99="",$Q99=0,$AN99&lt;&gt;"بستانکار"),"",$Q99)</f>
        <v/>
      </c>
      <c r="AD99" s="70">
        <f>IF($AA99="","",IFERROR(VLOOKUP($E99,OpTbl,13,0),""))</f>
        <v/>
      </c>
      <c r="AE99" s="76">
        <f>IF(OR($AD99="",$Q99="",$Q99=0,$AN99&lt;&gt;"بستانکار"),"",$Q99)</f>
        <v/>
      </c>
      <c r="AF99" s="76">
        <f>IF(OR($AD99="",$Q99="",$Q99=0,$AN99&lt;&gt;"بدهکار"),"",$Q99)</f>
        <v/>
      </c>
      <c r="AG99" s="76">
        <f>SUM($V99,$Y99,$AB99,$AE99)</f>
        <v/>
      </c>
      <c r="AH99" s="76">
        <f>SUM($W99,$Z99,$AC99,$AF99)</f>
        <v/>
      </c>
      <c r="AI99" s="70">
        <f>IF($E99="","",IF(ROUND($AG99-$AH99,0)=0,"✓","⚠"))</f>
        <v/>
      </c>
      <c r="AJ99" s="76">
        <f>IF(OR($E99="",$U99=""),"",IFERROR(IF(VLOOKUP($E99,OpTbl,6,0)="وزن",IF($P99="",0,$P99),IF(VLOOKUP($E99,OpTbl,6,0)="مبلغ",IF(AND($Q99&lt;&gt;"",$Q99&lt;&gt;0),$Q99,$P99),0))+IF(VLOOKUP($E99,OpTbl,10,0)="افزودن",IF($Q99="",0,$Q99),0),0))</f>
        <v/>
      </c>
      <c r="AK99" s="70">
        <f>IF($E99="","",IFERROR(VLOOKUP($E99,OpTbl,10,0),""))</f>
        <v/>
      </c>
      <c r="AL99" s="70">
        <f>IF(OR($E99="",$U99=""),"",IFERROR(IF(VLOOKUP($E99,OpTbl,7,0)="خودکار",$R99,VLOOKUP($E99,OpTbl,7,0)),""))</f>
        <v/>
      </c>
      <c r="AM99" s="70">
        <f>IF(OR($E99="",$X99=""),"",IFERROR(IF(VLOOKUP($E99,OpTbl,9,0)="خودکار",IF($AL99="بدهکار","بستانکار",IF($AL99="بستانکار","بدهکار","")),VLOOKUP($E99,OpTbl,9,0)),""))</f>
        <v/>
      </c>
      <c r="AN99" s="70">
        <f>IF($E99="","",IFERROR(VLOOKUP($E99,OpTbl,11,0),""))</f>
        <v/>
      </c>
      <c r="AO99" s="70">
        <f>IF($B99="","",MID($B99,6,2))</f>
        <v/>
      </c>
      <c r="AP99" s="76">
        <f>IF($B99="",0,1)</f>
        <v/>
      </c>
    </row>
    <row r="100" ht="21.75" customHeight="1">
      <c r="A100" s="70">
        <f>IF($B100="","",COUNTA($B$10:$B100))</f>
        <v/>
      </c>
      <c r="B100" s="71" t="n"/>
      <c r="C100" s="71" t="n"/>
      <c r="D100" s="71" t="n"/>
      <c r="E100" s="71" t="n"/>
      <c r="F100" s="70">
        <f>IF($E100="","",IFERROR(VLOOKUP($E100,OpTbl,2,0),""))</f>
        <v/>
      </c>
      <c r="G100" s="71" t="n"/>
      <c r="H100" s="73">
        <f>IF($U100="","",IFERROR(VLOOKUP($U100,AcctTbl,2,0),"کد ناشناخته"))</f>
        <v/>
      </c>
      <c r="I100" s="70">
        <f>IF($U100="","",IFERROR(VLOOKUP($U100,AcctTbl,3,0),""))</f>
        <v/>
      </c>
      <c r="J100" s="72" t="n"/>
      <c r="K100" s="71" t="n"/>
      <c r="L100" s="74" t="n"/>
      <c r="M100" s="74" t="n"/>
      <c r="N100" s="148">
        <f>IF(OR($E100="",$L100=""),"",IFERROR(($L100-IF($M100="",0,$M100)*IFERROR(VLOOKUP($K100,BasketTbl,4,0),IFERROR(INDEX(BasketTbl,MATCH($K100,BasketCodeCol,0),4),VLOOKUP("P01",ParamTbl,2,0))))*(1-IF(VLOOKUP($E100,OpTbl,3,0)="خرید",VLOOKUP("P02",ParamTbl,2,0),0)/100),""))</f>
        <v/>
      </c>
      <c r="O100" s="74" t="n"/>
      <c r="P100" s="76">
        <f>IF(OR($E100="",$L100=""),"",IFERROR(IF(VLOOKUP($E100,OpTbl,6,0)="وزن",ROUND($N100*$O100,-3),IF(VLOOKUP($E100,OpTbl,6,0)="مبلغ",ROUND($L100*$O100,-3),0)),""))</f>
        <v/>
      </c>
      <c r="Q100" s="74" t="n"/>
      <c r="R100" s="71" t="n"/>
      <c r="S100" s="77">
        <f>IF($E100="","",IF($AI100="⚠","⚠ ناتراز",IF(AND(IFERROR(VLOOKUP($E100,OpTbl,4,0),"")="بله",$L100=""),"⚠ وزن",IF(AND(IFERROR(VLOOKUP($E100,OpTbl,5,0),"")="بله",$U100=""),"⚠ حساب",IF(AND(IFERROR(VLOOKUP($E100,OpTbl,6,0),"")="مبلغ",$Q100=""),"⚠ مبلغ","✓")))))</f>
        <v/>
      </c>
      <c r="T100" s="72" t="n"/>
      <c r="U100" s="70">
        <f>IF($E100="","",IFERROR(IF(VLOOKUP($E100,OpTbl,14,0)&lt;&gt;"",VLOOKUP($E100,OpTbl,14,0),$G100),""))</f>
        <v/>
      </c>
      <c r="V100" s="76">
        <f>IF(OR($AJ100="",$AJ100=0,$AL100&lt;&gt;"بدهکار"),"",$AJ100)</f>
        <v/>
      </c>
      <c r="W100" s="76">
        <f>IF(OR($AJ100="",$AJ100=0,$AL100&lt;&gt;"بستانکار"),"",$AJ100)</f>
        <v/>
      </c>
      <c r="X100" s="70">
        <f>IF($E100="","",IFERROR(VLOOKUP($E100,OpTbl,8,0),""))</f>
        <v/>
      </c>
      <c r="Y100" s="76">
        <f>IF(OR($X100="",$AJ100="",$AJ100=0,$AM100&lt;&gt;"بدهکار"),"",$AJ100)</f>
        <v/>
      </c>
      <c r="Z100" s="76">
        <f>IF(OR($X100="",$AJ100="",$AJ100=0,$AM100&lt;&gt;"بستانکار"),"",$AJ100)</f>
        <v/>
      </c>
      <c r="AA100" s="70">
        <f>IF(OR($E100="",$AN100="—",$AN100=""),"",IFERROR(VLOOKUP($E100,OpTbl,12,0),""))</f>
        <v/>
      </c>
      <c r="AB100" s="76">
        <f>IF(OR($AA100="",$Q100="",$Q100=0,$AN100&lt;&gt;"بدهکار"),"",$Q100)</f>
        <v/>
      </c>
      <c r="AC100" s="76">
        <f>IF(OR($AA100="",$Q100="",$Q100=0,$AN100&lt;&gt;"بستانکار"),"",$Q100)</f>
        <v/>
      </c>
      <c r="AD100" s="70">
        <f>IF($AA100="","",IFERROR(VLOOKUP($E100,OpTbl,13,0),""))</f>
        <v/>
      </c>
      <c r="AE100" s="76">
        <f>IF(OR($AD100="",$Q100="",$Q100=0,$AN100&lt;&gt;"بستانکار"),"",$Q100)</f>
        <v/>
      </c>
      <c r="AF100" s="76">
        <f>IF(OR($AD100="",$Q100="",$Q100=0,$AN100&lt;&gt;"بدهکار"),"",$Q100)</f>
        <v/>
      </c>
      <c r="AG100" s="76">
        <f>SUM($V100,$Y100,$AB100,$AE100)</f>
        <v/>
      </c>
      <c r="AH100" s="76">
        <f>SUM($W100,$Z100,$AC100,$AF100)</f>
        <v/>
      </c>
      <c r="AI100" s="70">
        <f>IF($E100="","",IF(ROUND($AG100-$AH100,0)=0,"✓","⚠"))</f>
        <v/>
      </c>
      <c r="AJ100" s="76">
        <f>IF(OR($E100="",$U100=""),"",IFERROR(IF(VLOOKUP($E100,OpTbl,6,0)="وزن",IF($P100="",0,$P100),IF(VLOOKUP($E100,OpTbl,6,0)="مبلغ",IF(AND($Q100&lt;&gt;"",$Q100&lt;&gt;0),$Q100,$P100),0))+IF(VLOOKUP($E100,OpTbl,10,0)="افزودن",IF($Q100="",0,$Q100),0),0))</f>
        <v/>
      </c>
      <c r="AK100" s="70">
        <f>IF($E100="","",IFERROR(VLOOKUP($E100,OpTbl,10,0),""))</f>
        <v/>
      </c>
      <c r="AL100" s="70">
        <f>IF(OR($E100="",$U100=""),"",IFERROR(IF(VLOOKUP($E100,OpTbl,7,0)="خودکار",$R100,VLOOKUP($E100,OpTbl,7,0)),""))</f>
        <v/>
      </c>
      <c r="AM100" s="70">
        <f>IF(OR($E100="",$X100=""),"",IFERROR(IF(VLOOKUP($E100,OpTbl,9,0)="خودکار",IF($AL100="بدهکار","بستانکار",IF($AL100="بستانکار","بدهکار","")),VLOOKUP($E100,OpTbl,9,0)),""))</f>
        <v/>
      </c>
      <c r="AN100" s="70">
        <f>IF($E100="","",IFERROR(VLOOKUP($E100,OpTbl,11,0),""))</f>
        <v/>
      </c>
      <c r="AO100" s="70">
        <f>IF($B100="","",MID($B100,6,2))</f>
        <v/>
      </c>
      <c r="AP100" s="76">
        <f>IF($B100="",0,1)</f>
        <v/>
      </c>
    </row>
    <row r="101" ht="21.75" customHeight="1">
      <c r="A101" s="70">
        <f>IF($B101="","",COUNTA($B$10:$B101))</f>
        <v/>
      </c>
      <c r="B101" s="71" t="n"/>
      <c r="C101" s="71" t="n"/>
      <c r="D101" s="71" t="n"/>
      <c r="E101" s="71" t="n"/>
      <c r="F101" s="70">
        <f>IF($E101="","",IFERROR(VLOOKUP($E101,OpTbl,2,0),""))</f>
        <v/>
      </c>
      <c r="G101" s="71" t="n"/>
      <c r="H101" s="73">
        <f>IF($U101="","",IFERROR(VLOOKUP($U101,AcctTbl,2,0),"کد ناشناخته"))</f>
        <v/>
      </c>
      <c r="I101" s="70">
        <f>IF($U101="","",IFERROR(VLOOKUP($U101,AcctTbl,3,0),""))</f>
        <v/>
      </c>
      <c r="J101" s="72" t="n"/>
      <c r="K101" s="71" t="n"/>
      <c r="L101" s="74" t="n"/>
      <c r="M101" s="74" t="n"/>
      <c r="N101" s="148">
        <f>IF(OR($E101="",$L101=""),"",IFERROR(($L101-IF($M101="",0,$M101)*IFERROR(VLOOKUP($K101,BasketTbl,4,0),IFERROR(INDEX(BasketTbl,MATCH($K101,BasketCodeCol,0),4),VLOOKUP("P01",ParamTbl,2,0))))*(1-IF(VLOOKUP($E101,OpTbl,3,0)="خرید",VLOOKUP("P02",ParamTbl,2,0),0)/100),""))</f>
        <v/>
      </c>
      <c r="O101" s="74" t="n"/>
      <c r="P101" s="76">
        <f>IF(OR($E101="",$L101=""),"",IFERROR(IF(VLOOKUP($E101,OpTbl,6,0)="وزن",ROUND($N101*$O101,-3),IF(VLOOKUP($E101,OpTbl,6,0)="مبلغ",ROUND($L101*$O101,-3),0)),""))</f>
        <v/>
      </c>
      <c r="Q101" s="74" t="n"/>
      <c r="R101" s="71" t="n"/>
      <c r="S101" s="77">
        <f>IF($E101="","",IF($AI101="⚠","⚠ ناتراز",IF(AND(IFERROR(VLOOKUP($E101,OpTbl,4,0),"")="بله",$L101=""),"⚠ وزن",IF(AND(IFERROR(VLOOKUP($E101,OpTbl,5,0),"")="بله",$U101=""),"⚠ حساب",IF(AND(IFERROR(VLOOKUP($E101,OpTbl,6,0),"")="مبلغ",$Q101=""),"⚠ مبلغ","✓")))))</f>
        <v/>
      </c>
      <c r="T101" s="72" t="n"/>
      <c r="U101" s="70">
        <f>IF($E101="","",IFERROR(IF(VLOOKUP($E101,OpTbl,14,0)&lt;&gt;"",VLOOKUP($E101,OpTbl,14,0),$G101),""))</f>
        <v/>
      </c>
      <c r="V101" s="76">
        <f>IF(OR($AJ101="",$AJ101=0,$AL101&lt;&gt;"بدهکار"),"",$AJ101)</f>
        <v/>
      </c>
      <c r="W101" s="76">
        <f>IF(OR($AJ101="",$AJ101=0,$AL101&lt;&gt;"بستانکار"),"",$AJ101)</f>
        <v/>
      </c>
      <c r="X101" s="70">
        <f>IF($E101="","",IFERROR(VLOOKUP($E101,OpTbl,8,0),""))</f>
        <v/>
      </c>
      <c r="Y101" s="76">
        <f>IF(OR($X101="",$AJ101="",$AJ101=0,$AM101&lt;&gt;"بدهکار"),"",$AJ101)</f>
        <v/>
      </c>
      <c r="Z101" s="76">
        <f>IF(OR($X101="",$AJ101="",$AJ101=0,$AM101&lt;&gt;"بستانکار"),"",$AJ101)</f>
        <v/>
      </c>
      <c r="AA101" s="70">
        <f>IF(OR($E101="",$AN101="—",$AN101=""),"",IFERROR(VLOOKUP($E101,OpTbl,12,0),""))</f>
        <v/>
      </c>
      <c r="AB101" s="76">
        <f>IF(OR($AA101="",$Q101="",$Q101=0,$AN101&lt;&gt;"بدهکار"),"",$Q101)</f>
        <v/>
      </c>
      <c r="AC101" s="76">
        <f>IF(OR($AA101="",$Q101="",$Q101=0,$AN101&lt;&gt;"بستانکار"),"",$Q101)</f>
        <v/>
      </c>
      <c r="AD101" s="70">
        <f>IF($AA101="","",IFERROR(VLOOKUP($E101,OpTbl,13,0),""))</f>
        <v/>
      </c>
      <c r="AE101" s="76">
        <f>IF(OR($AD101="",$Q101="",$Q101=0,$AN101&lt;&gt;"بستانکار"),"",$Q101)</f>
        <v/>
      </c>
      <c r="AF101" s="76">
        <f>IF(OR($AD101="",$Q101="",$Q101=0,$AN101&lt;&gt;"بدهکار"),"",$Q101)</f>
        <v/>
      </c>
      <c r="AG101" s="76">
        <f>SUM($V101,$Y101,$AB101,$AE101)</f>
        <v/>
      </c>
      <c r="AH101" s="76">
        <f>SUM($W101,$Z101,$AC101,$AF101)</f>
        <v/>
      </c>
      <c r="AI101" s="70">
        <f>IF($E101="","",IF(ROUND($AG101-$AH101,0)=0,"✓","⚠"))</f>
        <v/>
      </c>
      <c r="AJ101" s="76">
        <f>IF(OR($E101="",$U101=""),"",IFERROR(IF(VLOOKUP($E101,OpTbl,6,0)="وزن",IF($P101="",0,$P101),IF(VLOOKUP($E101,OpTbl,6,0)="مبلغ",IF(AND($Q101&lt;&gt;"",$Q101&lt;&gt;0),$Q101,$P101),0))+IF(VLOOKUP($E101,OpTbl,10,0)="افزودن",IF($Q101="",0,$Q101),0),0))</f>
        <v/>
      </c>
      <c r="AK101" s="70">
        <f>IF($E101="","",IFERROR(VLOOKUP($E101,OpTbl,10,0),""))</f>
        <v/>
      </c>
      <c r="AL101" s="70">
        <f>IF(OR($E101="",$U101=""),"",IFERROR(IF(VLOOKUP($E101,OpTbl,7,0)="خودکار",$R101,VLOOKUP($E101,OpTbl,7,0)),""))</f>
        <v/>
      </c>
      <c r="AM101" s="70">
        <f>IF(OR($E101="",$X101=""),"",IFERROR(IF(VLOOKUP($E101,OpTbl,9,0)="خودکار",IF($AL101="بدهکار","بستانکار",IF($AL101="بستانکار","بدهکار","")),VLOOKUP($E101,OpTbl,9,0)),""))</f>
        <v/>
      </c>
      <c r="AN101" s="70">
        <f>IF($E101="","",IFERROR(VLOOKUP($E101,OpTbl,11,0),""))</f>
        <v/>
      </c>
      <c r="AO101" s="70">
        <f>IF($B101="","",MID($B101,6,2))</f>
        <v/>
      </c>
      <c r="AP101" s="76">
        <f>IF($B101="",0,1)</f>
        <v/>
      </c>
    </row>
    <row r="102" ht="21.75" customHeight="1">
      <c r="A102" s="70">
        <f>IF($B102="","",COUNTA($B$10:$B102))</f>
        <v/>
      </c>
      <c r="B102" s="71" t="n"/>
      <c r="C102" s="71" t="n"/>
      <c r="D102" s="71" t="n"/>
      <c r="E102" s="71" t="n"/>
      <c r="F102" s="70">
        <f>IF($E102="","",IFERROR(VLOOKUP($E102,OpTbl,2,0),""))</f>
        <v/>
      </c>
      <c r="G102" s="71" t="n"/>
      <c r="H102" s="73">
        <f>IF($U102="","",IFERROR(VLOOKUP($U102,AcctTbl,2,0),"کد ناشناخته"))</f>
        <v/>
      </c>
      <c r="I102" s="70">
        <f>IF($U102="","",IFERROR(VLOOKUP($U102,AcctTbl,3,0),""))</f>
        <v/>
      </c>
      <c r="J102" s="72" t="n"/>
      <c r="K102" s="71" t="n"/>
      <c r="L102" s="74" t="n"/>
      <c r="M102" s="74" t="n"/>
      <c r="N102" s="148">
        <f>IF(OR($E102="",$L102=""),"",IFERROR(($L102-IF($M102="",0,$M102)*IFERROR(VLOOKUP($K102,BasketTbl,4,0),IFERROR(INDEX(BasketTbl,MATCH($K102,BasketCodeCol,0),4),VLOOKUP("P01",ParamTbl,2,0))))*(1-IF(VLOOKUP($E102,OpTbl,3,0)="خرید",VLOOKUP("P02",ParamTbl,2,0),0)/100),""))</f>
        <v/>
      </c>
      <c r="O102" s="74" t="n"/>
      <c r="P102" s="76">
        <f>IF(OR($E102="",$L102=""),"",IFERROR(IF(VLOOKUP($E102,OpTbl,6,0)="وزن",ROUND($N102*$O102,-3),IF(VLOOKUP($E102,OpTbl,6,0)="مبلغ",ROUND($L102*$O102,-3),0)),""))</f>
        <v/>
      </c>
      <c r="Q102" s="74" t="n"/>
      <c r="R102" s="71" t="n"/>
      <c r="S102" s="77">
        <f>IF($E102="","",IF($AI102="⚠","⚠ ناتراز",IF(AND(IFERROR(VLOOKUP($E102,OpTbl,4,0),"")="بله",$L102=""),"⚠ وزن",IF(AND(IFERROR(VLOOKUP($E102,OpTbl,5,0),"")="بله",$U102=""),"⚠ حساب",IF(AND(IFERROR(VLOOKUP($E102,OpTbl,6,0),"")="مبلغ",$Q102=""),"⚠ مبلغ","✓")))))</f>
        <v/>
      </c>
      <c r="T102" s="72" t="n"/>
      <c r="U102" s="70">
        <f>IF($E102="","",IFERROR(IF(VLOOKUP($E102,OpTbl,14,0)&lt;&gt;"",VLOOKUP($E102,OpTbl,14,0),$G102),""))</f>
        <v/>
      </c>
      <c r="V102" s="76">
        <f>IF(OR($AJ102="",$AJ102=0,$AL102&lt;&gt;"بدهکار"),"",$AJ102)</f>
        <v/>
      </c>
      <c r="W102" s="76">
        <f>IF(OR($AJ102="",$AJ102=0,$AL102&lt;&gt;"بستانکار"),"",$AJ102)</f>
        <v/>
      </c>
      <c r="X102" s="70">
        <f>IF($E102="","",IFERROR(VLOOKUP($E102,OpTbl,8,0),""))</f>
        <v/>
      </c>
      <c r="Y102" s="76">
        <f>IF(OR($X102="",$AJ102="",$AJ102=0,$AM102&lt;&gt;"بدهکار"),"",$AJ102)</f>
        <v/>
      </c>
      <c r="Z102" s="76">
        <f>IF(OR($X102="",$AJ102="",$AJ102=0,$AM102&lt;&gt;"بستانکار"),"",$AJ102)</f>
        <v/>
      </c>
      <c r="AA102" s="70">
        <f>IF(OR($E102="",$AN102="—",$AN102=""),"",IFERROR(VLOOKUP($E102,OpTbl,12,0),""))</f>
        <v/>
      </c>
      <c r="AB102" s="76">
        <f>IF(OR($AA102="",$Q102="",$Q102=0,$AN102&lt;&gt;"بدهکار"),"",$Q102)</f>
        <v/>
      </c>
      <c r="AC102" s="76">
        <f>IF(OR($AA102="",$Q102="",$Q102=0,$AN102&lt;&gt;"بستانکار"),"",$Q102)</f>
        <v/>
      </c>
      <c r="AD102" s="70">
        <f>IF($AA102="","",IFERROR(VLOOKUP($E102,OpTbl,13,0),""))</f>
        <v/>
      </c>
      <c r="AE102" s="76">
        <f>IF(OR($AD102="",$Q102="",$Q102=0,$AN102&lt;&gt;"بستانکار"),"",$Q102)</f>
        <v/>
      </c>
      <c r="AF102" s="76">
        <f>IF(OR($AD102="",$Q102="",$Q102=0,$AN102&lt;&gt;"بدهکار"),"",$Q102)</f>
        <v/>
      </c>
      <c r="AG102" s="76">
        <f>SUM($V102,$Y102,$AB102,$AE102)</f>
        <v/>
      </c>
      <c r="AH102" s="76">
        <f>SUM($W102,$Z102,$AC102,$AF102)</f>
        <v/>
      </c>
      <c r="AI102" s="70">
        <f>IF($E102="","",IF(ROUND($AG102-$AH102,0)=0,"✓","⚠"))</f>
        <v/>
      </c>
      <c r="AJ102" s="76">
        <f>IF(OR($E102="",$U102=""),"",IFERROR(IF(VLOOKUP($E102,OpTbl,6,0)="وزن",IF($P102="",0,$P102),IF(VLOOKUP($E102,OpTbl,6,0)="مبلغ",IF(AND($Q102&lt;&gt;"",$Q102&lt;&gt;0),$Q102,$P102),0))+IF(VLOOKUP($E102,OpTbl,10,0)="افزودن",IF($Q102="",0,$Q102),0),0))</f>
        <v/>
      </c>
      <c r="AK102" s="70">
        <f>IF($E102="","",IFERROR(VLOOKUP($E102,OpTbl,10,0),""))</f>
        <v/>
      </c>
      <c r="AL102" s="70">
        <f>IF(OR($E102="",$U102=""),"",IFERROR(IF(VLOOKUP($E102,OpTbl,7,0)="خودکار",$R102,VLOOKUP($E102,OpTbl,7,0)),""))</f>
        <v/>
      </c>
      <c r="AM102" s="70">
        <f>IF(OR($E102="",$X102=""),"",IFERROR(IF(VLOOKUP($E102,OpTbl,9,0)="خودکار",IF($AL102="بدهکار","بستانکار",IF($AL102="بستانکار","بدهکار","")),VLOOKUP($E102,OpTbl,9,0)),""))</f>
        <v/>
      </c>
      <c r="AN102" s="70">
        <f>IF($E102="","",IFERROR(VLOOKUP($E102,OpTbl,11,0),""))</f>
        <v/>
      </c>
      <c r="AO102" s="70">
        <f>IF($B102="","",MID($B102,6,2))</f>
        <v/>
      </c>
      <c r="AP102" s="76">
        <f>IF($B102="",0,1)</f>
        <v/>
      </c>
    </row>
    <row r="103" ht="21.75" customHeight="1">
      <c r="A103" s="70">
        <f>IF($B103="","",COUNTA($B$10:$B103))</f>
        <v/>
      </c>
      <c r="B103" s="71" t="n"/>
      <c r="C103" s="71" t="n"/>
      <c r="D103" s="71" t="n"/>
      <c r="E103" s="71" t="n"/>
      <c r="F103" s="70">
        <f>IF($E103="","",IFERROR(VLOOKUP($E103,OpTbl,2,0),""))</f>
        <v/>
      </c>
      <c r="G103" s="71" t="n"/>
      <c r="H103" s="73">
        <f>IF($U103="","",IFERROR(VLOOKUP($U103,AcctTbl,2,0),"کد ناشناخته"))</f>
        <v/>
      </c>
      <c r="I103" s="70">
        <f>IF($U103="","",IFERROR(VLOOKUP($U103,AcctTbl,3,0),""))</f>
        <v/>
      </c>
      <c r="J103" s="72" t="n"/>
      <c r="K103" s="71" t="n"/>
      <c r="L103" s="74" t="n"/>
      <c r="M103" s="74" t="n"/>
      <c r="N103" s="148">
        <f>IF(OR($E103="",$L103=""),"",IFERROR(($L103-IF($M103="",0,$M103)*IFERROR(VLOOKUP($K103,BasketTbl,4,0),IFERROR(INDEX(BasketTbl,MATCH($K103,BasketCodeCol,0),4),VLOOKUP("P01",ParamTbl,2,0))))*(1-IF(VLOOKUP($E103,OpTbl,3,0)="خرید",VLOOKUP("P02",ParamTbl,2,0),0)/100),""))</f>
        <v/>
      </c>
      <c r="O103" s="74" t="n"/>
      <c r="P103" s="76">
        <f>IF(OR($E103="",$L103=""),"",IFERROR(IF(VLOOKUP($E103,OpTbl,6,0)="وزن",ROUND($N103*$O103,-3),IF(VLOOKUP($E103,OpTbl,6,0)="مبلغ",ROUND($L103*$O103,-3),0)),""))</f>
        <v/>
      </c>
      <c r="Q103" s="74" t="n"/>
      <c r="R103" s="71" t="n"/>
      <c r="S103" s="77">
        <f>IF($E103="","",IF($AI103="⚠","⚠ ناتراز",IF(AND(IFERROR(VLOOKUP($E103,OpTbl,4,0),"")="بله",$L103=""),"⚠ وزن",IF(AND(IFERROR(VLOOKUP($E103,OpTbl,5,0),"")="بله",$U103=""),"⚠ حساب",IF(AND(IFERROR(VLOOKUP($E103,OpTbl,6,0),"")="مبلغ",$Q103=""),"⚠ مبلغ","✓")))))</f>
        <v/>
      </c>
      <c r="T103" s="72" t="n"/>
      <c r="U103" s="70">
        <f>IF($E103="","",IFERROR(IF(VLOOKUP($E103,OpTbl,14,0)&lt;&gt;"",VLOOKUP($E103,OpTbl,14,0),$G103),""))</f>
        <v/>
      </c>
      <c r="V103" s="76">
        <f>IF(OR($AJ103="",$AJ103=0,$AL103&lt;&gt;"بدهکار"),"",$AJ103)</f>
        <v/>
      </c>
      <c r="W103" s="76">
        <f>IF(OR($AJ103="",$AJ103=0,$AL103&lt;&gt;"بستانکار"),"",$AJ103)</f>
        <v/>
      </c>
      <c r="X103" s="70">
        <f>IF($E103="","",IFERROR(VLOOKUP($E103,OpTbl,8,0),""))</f>
        <v/>
      </c>
      <c r="Y103" s="76">
        <f>IF(OR($X103="",$AJ103="",$AJ103=0,$AM103&lt;&gt;"بدهکار"),"",$AJ103)</f>
        <v/>
      </c>
      <c r="Z103" s="76">
        <f>IF(OR($X103="",$AJ103="",$AJ103=0,$AM103&lt;&gt;"بستانکار"),"",$AJ103)</f>
        <v/>
      </c>
      <c r="AA103" s="70">
        <f>IF(OR($E103="",$AN103="—",$AN103=""),"",IFERROR(VLOOKUP($E103,OpTbl,12,0),""))</f>
        <v/>
      </c>
      <c r="AB103" s="76">
        <f>IF(OR($AA103="",$Q103="",$Q103=0,$AN103&lt;&gt;"بدهکار"),"",$Q103)</f>
        <v/>
      </c>
      <c r="AC103" s="76">
        <f>IF(OR($AA103="",$Q103="",$Q103=0,$AN103&lt;&gt;"بستانکار"),"",$Q103)</f>
        <v/>
      </c>
      <c r="AD103" s="70">
        <f>IF($AA103="","",IFERROR(VLOOKUP($E103,OpTbl,13,0),""))</f>
        <v/>
      </c>
      <c r="AE103" s="76">
        <f>IF(OR($AD103="",$Q103="",$Q103=0,$AN103&lt;&gt;"بستانکار"),"",$Q103)</f>
        <v/>
      </c>
      <c r="AF103" s="76">
        <f>IF(OR($AD103="",$Q103="",$Q103=0,$AN103&lt;&gt;"بدهکار"),"",$Q103)</f>
        <v/>
      </c>
      <c r="AG103" s="76">
        <f>SUM($V103,$Y103,$AB103,$AE103)</f>
        <v/>
      </c>
      <c r="AH103" s="76">
        <f>SUM($W103,$Z103,$AC103,$AF103)</f>
        <v/>
      </c>
      <c r="AI103" s="70">
        <f>IF($E103="","",IF(ROUND($AG103-$AH103,0)=0,"✓","⚠"))</f>
        <v/>
      </c>
      <c r="AJ103" s="76">
        <f>IF(OR($E103="",$U103=""),"",IFERROR(IF(VLOOKUP($E103,OpTbl,6,0)="وزن",IF($P103="",0,$P103),IF(VLOOKUP($E103,OpTbl,6,0)="مبلغ",IF(AND($Q103&lt;&gt;"",$Q103&lt;&gt;0),$Q103,$P103),0))+IF(VLOOKUP($E103,OpTbl,10,0)="افزودن",IF($Q103="",0,$Q103),0),0))</f>
        <v/>
      </c>
      <c r="AK103" s="70">
        <f>IF($E103="","",IFERROR(VLOOKUP($E103,OpTbl,10,0),""))</f>
        <v/>
      </c>
      <c r="AL103" s="70">
        <f>IF(OR($E103="",$U103=""),"",IFERROR(IF(VLOOKUP($E103,OpTbl,7,0)="خودکار",$R103,VLOOKUP($E103,OpTbl,7,0)),""))</f>
        <v/>
      </c>
      <c r="AM103" s="70">
        <f>IF(OR($E103="",$X103=""),"",IFERROR(IF(VLOOKUP($E103,OpTbl,9,0)="خودکار",IF($AL103="بدهکار","بستانکار",IF($AL103="بستانکار","بدهکار","")),VLOOKUP($E103,OpTbl,9,0)),""))</f>
        <v/>
      </c>
      <c r="AN103" s="70">
        <f>IF($E103="","",IFERROR(VLOOKUP($E103,OpTbl,11,0),""))</f>
        <v/>
      </c>
      <c r="AO103" s="70">
        <f>IF($B103="","",MID($B103,6,2))</f>
        <v/>
      </c>
      <c r="AP103" s="76">
        <f>IF($B103="",0,1)</f>
        <v/>
      </c>
    </row>
    <row r="104" ht="21.75" customHeight="1">
      <c r="A104" s="70">
        <f>IF($B104="","",COUNTA($B$10:$B104))</f>
        <v/>
      </c>
      <c r="B104" s="71" t="n"/>
      <c r="C104" s="71" t="n"/>
      <c r="D104" s="71" t="n"/>
      <c r="E104" s="71" t="n"/>
      <c r="F104" s="70">
        <f>IF($E104="","",IFERROR(VLOOKUP($E104,OpTbl,2,0),""))</f>
        <v/>
      </c>
      <c r="G104" s="71" t="n"/>
      <c r="H104" s="73">
        <f>IF($U104="","",IFERROR(VLOOKUP($U104,AcctTbl,2,0),"کد ناشناخته"))</f>
        <v/>
      </c>
      <c r="I104" s="70">
        <f>IF($U104="","",IFERROR(VLOOKUP($U104,AcctTbl,3,0),""))</f>
        <v/>
      </c>
      <c r="J104" s="72" t="n"/>
      <c r="K104" s="71" t="n"/>
      <c r="L104" s="74" t="n"/>
      <c r="M104" s="74" t="n"/>
      <c r="N104" s="148">
        <f>IF(OR($E104="",$L104=""),"",IFERROR(($L104-IF($M104="",0,$M104)*IFERROR(VLOOKUP($K104,BasketTbl,4,0),IFERROR(INDEX(BasketTbl,MATCH($K104,BasketCodeCol,0),4),VLOOKUP("P01",ParamTbl,2,0))))*(1-IF(VLOOKUP($E104,OpTbl,3,0)="خرید",VLOOKUP("P02",ParamTbl,2,0),0)/100),""))</f>
        <v/>
      </c>
      <c r="O104" s="74" t="n"/>
      <c r="P104" s="76">
        <f>IF(OR($E104="",$L104=""),"",IFERROR(IF(VLOOKUP($E104,OpTbl,6,0)="وزن",ROUND($N104*$O104,-3),IF(VLOOKUP($E104,OpTbl,6,0)="مبلغ",ROUND($L104*$O104,-3),0)),""))</f>
        <v/>
      </c>
      <c r="Q104" s="74" t="n"/>
      <c r="R104" s="71" t="n"/>
      <c r="S104" s="77">
        <f>IF($E104="","",IF($AI104="⚠","⚠ ناتراز",IF(AND(IFERROR(VLOOKUP($E104,OpTbl,4,0),"")="بله",$L104=""),"⚠ وزن",IF(AND(IFERROR(VLOOKUP($E104,OpTbl,5,0),"")="بله",$U104=""),"⚠ حساب",IF(AND(IFERROR(VLOOKUP($E104,OpTbl,6,0),"")="مبلغ",$Q104=""),"⚠ مبلغ","✓")))))</f>
        <v/>
      </c>
      <c r="T104" s="72" t="n"/>
      <c r="U104" s="70">
        <f>IF($E104="","",IFERROR(IF(VLOOKUP($E104,OpTbl,14,0)&lt;&gt;"",VLOOKUP($E104,OpTbl,14,0),$G104),""))</f>
        <v/>
      </c>
      <c r="V104" s="76">
        <f>IF(OR($AJ104="",$AJ104=0,$AL104&lt;&gt;"بدهکار"),"",$AJ104)</f>
        <v/>
      </c>
      <c r="W104" s="76">
        <f>IF(OR($AJ104="",$AJ104=0,$AL104&lt;&gt;"بستانکار"),"",$AJ104)</f>
        <v/>
      </c>
      <c r="X104" s="70">
        <f>IF($E104="","",IFERROR(VLOOKUP($E104,OpTbl,8,0),""))</f>
        <v/>
      </c>
      <c r="Y104" s="76">
        <f>IF(OR($X104="",$AJ104="",$AJ104=0,$AM104&lt;&gt;"بدهکار"),"",$AJ104)</f>
        <v/>
      </c>
      <c r="Z104" s="76">
        <f>IF(OR($X104="",$AJ104="",$AJ104=0,$AM104&lt;&gt;"بستانکار"),"",$AJ104)</f>
        <v/>
      </c>
      <c r="AA104" s="70">
        <f>IF(OR($E104="",$AN104="—",$AN104=""),"",IFERROR(VLOOKUP($E104,OpTbl,12,0),""))</f>
        <v/>
      </c>
      <c r="AB104" s="76">
        <f>IF(OR($AA104="",$Q104="",$Q104=0,$AN104&lt;&gt;"بدهکار"),"",$Q104)</f>
        <v/>
      </c>
      <c r="AC104" s="76">
        <f>IF(OR($AA104="",$Q104="",$Q104=0,$AN104&lt;&gt;"بستانکار"),"",$Q104)</f>
        <v/>
      </c>
      <c r="AD104" s="70">
        <f>IF($AA104="","",IFERROR(VLOOKUP($E104,OpTbl,13,0),""))</f>
        <v/>
      </c>
      <c r="AE104" s="76">
        <f>IF(OR($AD104="",$Q104="",$Q104=0,$AN104&lt;&gt;"بستانکار"),"",$Q104)</f>
        <v/>
      </c>
      <c r="AF104" s="76">
        <f>IF(OR($AD104="",$Q104="",$Q104=0,$AN104&lt;&gt;"بدهکار"),"",$Q104)</f>
        <v/>
      </c>
      <c r="AG104" s="76">
        <f>SUM($V104,$Y104,$AB104,$AE104)</f>
        <v/>
      </c>
      <c r="AH104" s="76">
        <f>SUM($W104,$Z104,$AC104,$AF104)</f>
        <v/>
      </c>
      <c r="AI104" s="70">
        <f>IF($E104="","",IF(ROUND($AG104-$AH104,0)=0,"✓","⚠"))</f>
        <v/>
      </c>
      <c r="AJ104" s="76">
        <f>IF(OR($E104="",$U104=""),"",IFERROR(IF(VLOOKUP($E104,OpTbl,6,0)="وزن",IF($P104="",0,$P104),IF(VLOOKUP($E104,OpTbl,6,0)="مبلغ",IF(AND($Q104&lt;&gt;"",$Q104&lt;&gt;0),$Q104,$P104),0))+IF(VLOOKUP($E104,OpTbl,10,0)="افزودن",IF($Q104="",0,$Q104),0),0))</f>
        <v/>
      </c>
      <c r="AK104" s="70">
        <f>IF($E104="","",IFERROR(VLOOKUP($E104,OpTbl,10,0),""))</f>
        <v/>
      </c>
      <c r="AL104" s="70">
        <f>IF(OR($E104="",$U104=""),"",IFERROR(IF(VLOOKUP($E104,OpTbl,7,0)="خودکار",$R104,VLOOKUP($E104,OpTbl,7,0)),""))</f>
        <v/>
      </c>
      <c r="AM104" s="70">
        <f>IF(OR($E104="",$X104=""),"",IFERROR(IF(VLOOKUP($E104,OpTbl,9,0)="خودکار",IF($AL104="بدهکار","بستانکار",IF($AL104="بستانکار","بدهکار","")),VLOOKUP($E104,OpTbl,9,0)),""))</f>
        <v/>
      </c>
      <c r="AN104" s="70">
        <f>IF($E104="","",IFERROR(VLOOKUP($E104,OpTbl,11,0),""))</f>
        <v/>
      </c>
      <c r="AO104" s="70">
        <f>IF($B104="","",MID($B104,6,2))</f>
        <v/>
      </c>
      <c r="AP104" s="76">
        <f>IF($B104="",0,1)</f>
        <v/>
      </c>
    </row>
    <row r="105" ht="21.75" customHeight="1">
      <c r="A105" s="70">
        <f>IF($B105="","",COUNTA($B$10:$B105))</f>
        <v/>
      </c>
      <c r="B105" s="71" t="n"/>
      <c r="C105" s="71" t="n"/>
      <c r="D105" s="71" t="n"/>
      <c r="E105" s="71" t="n"/>
      <c r="F105" s="70">
        <f>IF($E105="","",IFERROR(VLOOKUP($E105,OpTbl,2,0),""))</f>
        <v/>
      </c>
      <c r="G105" s="71" t="n"/>
      <c r="H105" s="73">
        <f>IF($U105="","",IFERROR(VLOOKUP($U105,AcctTbl,2,0),"کد ناشناخته"))</f>
        <v/>
      </c>
      <c r="I105" s="70">
        <f>IF($U105="","",IFERROR(VLOOKUP($U105,AcctTbl,3,0),""))</f>
        <v/>
      </c>
      <c r="J105" s="72" t="n"/>
      <c r="K105" s="71" t="n"/>
      <c r="L105" s="74" t="n"/>
      <c r="M105" s="74" t="n"/>
      <c r="N105" s="148">
        <f>IF(OR($E105="",$L105=""),"",IFERROR(($L105-IF($M105="",0,$M105)*IFERROR(VLOOKUP($K105,BasketTbl,4,0),IFERROR(INDEX(BasketTbl,MATCH($K105,BasketCodeCol,0),4),VLOOKUP("P01",ParamTbl,2,0))))*(1-IF(VLOOKUP($E105,OpTbl,3,0)="خرید",VLOOKUP("P02",ParamTbl,2,0),0)/100),""))</f>
        <v/>
      </c>
      <c r="O105" s="74" t="n"/>
      <c r="P105" s="76">
        <f>IF(OR($E105="",$L105=""),"",IFERROR(IF(VLOOKUP($E105,OpTbl,6,0)="وزن",ROUND($N105*$O105,-3),IF(VLOOKUP($E105,OpTbl,6,0)="مبلغ",ROUND($L105*$O105,-3),0)),""))</f>
        <v/>
      </c>
      <c r="Q105" s="74" t="n"/>
      <c r="R105" s="71" t="n"/>
      <c r="S105" s="77">
        <f>IF($E105="","",IF($AI105="⚠","⚠ ناتراز",IF(AND(IFERROR(VLOOKUP($E105,OpTbl,4,0),"")="بله",$L105=""),"⚠ وزن",IF(AND(IFERROR(VLOOKUP($E105,OpTbl,5,0),"")="بله",$U105=""),"⚠ حساب",IF(AND(IFERROR(VLOOKUP($E105,OpTbl,6,0),"")="مبلغ",$Q105=""),"⚠ مبلغ","✓")))))</f>
        <v/>
      </c>
      <c r="T105" s="72" t="n"/>
      <c r="U105" s="70">
        <f>IF($E105="","",IFERROR(IF(VLOOKUP($E105,OpTbl,14,0)&lt;&gt;"",VLOOKUP($E105,OpTbl,14,0),$G105),""))</f>
        <v/>
      </c>
      <c r="V105" s="76">
        <f>IF(OR($AJ105="",$AJ105=0,$AL105&lt;&gt;"بدهکار"),"",$AJ105)</f>
        <v/>
      </c>
      <c r="W105" s="76">
        <f>IF(OR($AJ105="",$AJ105=0,$AL105&lt;&gt;"بستانکار"),"",$AJ105)</f>
        <v/>
      </c>
      <c r="X105" s="70">
        <f>IF($E105="","",IFERROR(VLOOKUP($E105,OpTbl,8,0),""))</f>
        <v/>
      </c>
      <c r="Y105" s="76">
        <f>IF(OR($X105="",$AJ105="",$AJ105=0,$AM105&lt;&gt;"بدهکار"),"",$AJ105)</f>
        <v/>
      </c>
      <c r="Z105" s="76">
        <f>IF(OR($X105="",$AJ105="",$AJ105=0,$AM105&lt;&gt;"بستانکار"),"",$AJ105)</f>
        <v/>
      </c>
      <c r="AA105" s="70">
        <f>IF(OR($E105="",$AN105="—",$AN105=""),"",IFERROR(VLOOKUP($E105,OpTbl,12,0),""))</f>
        <v/>
      </c>
      <c r="AB105" s="76">
        <f>IF(OR($AA105="",$Q105="",$Q105=0,$AN105&lt;&gt;"بدهکار"),"",$Q105)</f>
        <v/>
      </c>
      <c r="AC105" s="76">
        <f>IF(OR($AA105="",$Q105="",$Q105=0,$AN105&lt;&gt;"بستانکار"),"",$Q105)</f>
        <v/>
      </c>
      <c r="AD105" s="70">
        <f>IF($AA105="","",IFERROR(VLOOKUP($E105,OpTbl,13,0),""))</f>
        <v/>
      </c>
      <c r="AE105" s="76">
        <f>IF(OR($AD105="",$Q105="",$Q105=0,$AN105&lt;&gt;"بستانکار"),"",$Q105)</f>
        <v/>
      </c>
      <c r="AF105" s="76">
        <f>IF(OR($AD105="",$Q105="",$Q105=0,$AN105&lt;&gt;"بدهکار"),"",$Q105)</f>
        <v/>
      </c>
      <c r="AG105" s="76">
        <f>SUM($V105,$Y105,$AB105,$AE105)</f>
        <v/>
      </c>
      <c r="AH105" s="76">
        <f>SUM($W105,$Z105,$AC105,$AF105)</f>
        <v/>
      </c>
      <c r="AI105" s="70">
        <f>IF($E105="","",IF(ROUND($AG105-$AH105,0)=0,"✓","⚠"))</f>
        <v/>
      </c>
      <c r="AJ105" s="76">
        <f>IF(OR($E105="",$U105=""),"",IFERROR(IF(VLOOKUP($E105,OpTbl,6,0)="وزن",IF($P105="",0,$P105),IF(VLOOKUP($E105,OpTbl,6,0)="مبلغ",IF(AND($Q105&lt;&gt;"",$Q105&lt;&gt;0),$Q105,$P105),0))+IF(VLOOKUP($E105,OpTbl,10,0)="افزودن",IF($Q105="",0,$Q105),0),0))</f>
        <v/>
      </c>
      <c r="AK105" s="70">
        <f>IF($E105="","",IFERROR(VLOOKUP($E105,OpTbl,10,0),""))</f>
        <v/>
      </c>
      <c r="AL105" s="70">
        <f>IF(OR($E105="",$U105=""),"",IFERROR(IF(VLOOKUP($E105,OpTbl,7,0)="خودکار",$R105,VLOOKUP($E105,OpTbl,7,0)),""))</f>
        <v/>
      </c>
      <c r="AM105" s="70">
        <f>IF(OR($E105="",$X105=""),"",IFERROR(IF(VLOOKUP($E105,OpTbl,9,0)="خودکار",IF($AL105="بدهکار","بستانکار",IF($AL105="بستانکار","بدهکار","")),VLOOKUP($E105,OpTbl,9,0)),""))</f>
        <v/>
      </c>
      <c r="AN105" s="70">
        <f>IF($E105="","",IFERROR(VLOOKUP($E105,OpTbl,11,0),""))</f>
        <v/>
      </c>
      <c r="AO105" s="70">
        <f>IF($B105="","",MID($B105,6,2))</f>
        <v/>
      </c>
      <c r="AP105" s="76">
        <f>IF($B105="",0,1)</f>
        <v/>
      </c>
    </row>
    <row r="106" ht="21.75" customHeight="1">
      <c r="A106" s="70">
        <f>IF($B106="","",COUNTA($B$10:$B106))</f>
        <v/>
      </c>
      <c r="B106" s="71" t="n"/>
      <c r="C106" s="71" t="n"/>
      <c r="D106" s="71" t="n"/>
      <c r="E106" s="71" t="n"/>
      <c r="F106" s="70">
        <f>IF($E106="","",IFERROR(VLOOKUP($E106,OpTbl,2,0),""))</f>
        <v/>
      </c>
      <c r="G106" s="71" t="n"/>
      <c r="H106" s="73">
        <f>IF($U106="","",IFERROR(VLOOKUP($U106,AcctTbl,2,0),"کد ناشناخته"))</f>
        <v/>
      </c>
      <c r="I106" s="70">
        <f>IF($U106="","",IFERROR(VLOOKUP($U106,AcctTbl,3,0),""))</f>
        <v/>
      </c>
      <c r="J106" s="72" t="n"/>
      <c r="K106" s="71" t="n"/>
      <c r="L106" s="74" t="n"/>
      <c r="M106" s="74" t="n"/>
      <c r="N106" s="148">
        <f>IF(OR($E106="",$L106=""),"",IFERROR(($L106-IF($M106="",0,$M106)*IFERROR(VLOOKUP($K106,BasketTbl,4,0),IFERROR(INDEX(BasketTbl,MATCH($K106,BasketCodeCol,0),4),VLOOKUP("P01",ParamTbl,2,0))))*(1-IF(VLOOKUP($E106,OpTbl,3,0)="خرید",VLOOKUP("P02",ParamTbl,2,0),0)/100),""))</f>
        <v/>
      </c>
      <c r="O106" s="74" t="n"/>
      <c r="P106" s="76">
        <f>IF(OR($E106="",$L106=""),"",IFERROR(IF(VLOOKUP($E106,OpTbl,6,0)="وزن",ROUND($N106*$O106,-3),IF(VLOOKUP($E106,OpTbl,6,0)="مبلغ",ROUND($L106*$O106,-3),0)),""))</f>
        <v/>
      </c>
      <c r="Q106" s="74" t="n"/>
      <c r="R106" s="71" t="n"/>
      <c r="S106" s="77">
        <f>IF($E106="","",IF($AI106="⚠","⚠ ناتراز",IF(AND(IFERROR(VLOOKUP($E106,OpTbl,4,0),"")="بله",$L106=""),"⚠ وزن",IF(AND(IFERROR(VLOOKUP($E106,OpTbl,5,0),"")="بله",$U106=""),"⚠ حساب",IF(AND(IFERROR(VLOOKUP($E106,OpTbl,6,0),"")="مبلغ",$Q106=""),"⚠ مبلغ","✓")))))</f>
        <v/>
      </c>
      <c r="T106" s="72" t="n"/>
      <c r="U106" s="70">
        <f>IF($E106="","",IFERROR(IF(VLOOKUP($E106,OpTbl,14,0)&lt;&gt;"",VLOOKUP($E106,OpTbl,14,0),$G106),""))</f>
        <v/>
      </c>
      <c r="V106" s="76">
        <f>IF(OR($AJ106="",$AJ106=0,$AL106&lt;&gt;"بدهکار"),"",$AJ106)</f>
        <v/>
      </c>
      <c r="W106" s="76">
        <f>IF(OR($AJ106="",$AJ106=0,$AL106&lt;&gt;"بستانکار"),"",$AJ106)</f>
        <v/>
      </c>
      <c r="X106" s="70">
        <f>IF($E106="","",IFERROR(VLOOKUP($E106,OpTbl,8,0),""))</f>
        <v/>
      </c>
      <c r="Y106" s="76">
        <f>IF(OR($X106="",$AJ106="",$AJ106=0,$AM106&lt;&gt;"بدهکار"),"",$AJ106)</f>
        <v/>
      </c>
      <c r="Z106" s="76">
        <f>IF(OR($X106="",$AJ106="",$AJ106=0,$AM106&lt;&gt;"بستانکار"),"",$AJ106)</f>
        <v/>
      </c>
      <c r="AA106" s="70">
        <f>IF(OR($E106="",$AN106="—",$AN106=""),"",IFERROR(VLOOKUP($E106,OpTbl,12,0),""))</f>
        <v/>
      </c>
      <c r="AB106" s="76">
        <f>IF(OR($AA106="",$Q106="",$Q106=0,$AN106&lt;&gt;"بدهکار"),"",$Q106)</f>
        <v/>
      </c>
      <c r="AC106" s="76">
        <f>IF(OR($AA106="",$Q106="",$Q106=0,$AN106&lt;&gt;"بستانکار"),"",$Q106)</f>
        <v/>
      </c>
      <c r="AD106" s="70">
        <f>IF($AA106="","",IFERROR(VLOOKUP($E106,OpTbl,13,0),""))</f>
        <v/>
      </c>
      <c r="AE106" s="76">
        <f>IF(OR($AD106="",$Q106="",$Q106=0,$AN106&lt;&gt;"بستانکار"),"",$Q106)</f>
        <v/>
      </c>
      <c r="AF106" s="76">
        <f>IF(OR($AD106="",$Q106="",$Q106=0,$AN106&lt;&gt;"بدهکار"),"",$Q106)</f>
        <v/>
      </c>
      <c r="AG106" s="76">
        <f>SUM($V106,$Y106,$AB106,$AE106)</f>
        <v/>
      </c>
      <c r="AH106" s="76">
        <f>SUM($W106,$Z106,$AC106,$AF106)</f>
        <v/>
      </c>
      <c r="AI106" s="70">
        <f>IF($E106="","",IF(ROUND($AG106-$AH106,0)=0,"✓","⚠"))</f>
        <v/>
      </c>
      <c r="AJ106" s="76">
        <f>IF(OR($E106="",$U106=""),"",IFERROR(IF(VLOOKUP($E106,OpTbl,6,0)="وزن",IF($P106="",0,$P106),IF(VLOOKUP($E106,OpTbl,6,0)="مبلغ",IF(AND($Q106&lt;&gt;"",$Q106&lt;&gt;0),$Q106,$P106),0))+IF(VLOOKUP($E106,OpTbl,10,0)="افزودن",IF($Q106="",0,$Q106),0),0))</f>
        <v/>
      </c>
      <c r="AK106" s="70">
        <f>IF($E106="","",IFERROR(VLOOKUP($E106,OpTbl,10,0),""))</f>
        <v/>
      </c>
      <c r="AL106" s="70">
        <f>IF(OR($E106="",$U106=""),"",IFERROR(IF(VLOOKUP($E106,OpTbl,7,0)="خودکار",$R106,VLOOKUP($E106,OpTbl,7,0)),""))</f>
        <v/>
      </c>
      <c r="AM106" s="70">
        <f>IF(OR($E106="",$X106=""),"",IFERROR(IF(VLOOKUP($E106,OpTbl,9,0)="خودکار",IF($AL106="بدهکار","بستانکار",IF($AL106="بستانکار","بدهکار","")),VLOOKUP($E106,OpTbl,9,0)),""))</f>
        <v/>
      </c>
      <c r="AN106" s="70">
        <f>IF($E106="","",IFERROR(VLOOKUP($E106,OpTbl,11,0),""))</f>
        <v/>
      </c>
      <c r="AO106" s="70">
        <f>IF($B106="","",MID($B106,6,2))</f>
        <v/>
      </c>
      <c r="AP106" s="76">
        <f>IF($B106="",0,1)</f>
        <v/>
      </c>
    </row>
    <row r="107" ht="21.75" customHeight="1">
      <c r="A107" s="70">
        <f>IF($B107="","",COUNTA($B$10:$B107))</f>
        <v/>
      </c>
      <c r="B107" s="71" t="n"/>
      <c r="C107" s="71" t="n"/>
      <c r="D107" s="71" t="n"/>
      <c r="E107" s="71" t="n"/>
      <c r="F107" s="70">
        <f>IF($E107="","",IFERROR(VLOOKUP($E107,OpTbl,2,0),""))</f>
        <v/>
      </c>
      <c r="G107" s="71" t="n"/>
      <c r="H107" s="73">
        <f>IF($U107="","",IFERROR(VLOOKUP($U107,AcctTbl,2,0),"کد ناشناخته"))</f>
        <v/>
      </c>
      <c r="I107" s="70">
        <f>IF($U107="","",IFERROR(VLOOKUP($U107,AcctTbl,3,0),""))</f>
        <v/>
      </c>
      <c r="J107" s="72" t="n"/>
      <c r="K107" s="71" t="n"/>
      <c r="L107" s="74" t="n"/>
      <c r="M107" s="74" t="n"/>
      <c r="N107" s="148">
        <f>IF(OR($E107="",$L107=""),"",IFERROR(($L107-IF($M107="",0,$M107)*IFERROR(VLOOKUP($K107,BasketTbl,4,0),IFERROR(INDEX(BasketTbl,MATCH($K107,BasketCodeCol,0),4),VLOOKUP("P01",ParamTbl,2,0))))*(1-IF(VLOOKUP($E107,OpTbl,3,0)="خرید",VLOOKUP("P02",ParamTbl,2,0),0)/100),""))</f>
        <v/>
      </c>
      <c r="O107" s="74" t="n"/>
      <c r="P107" s="76">
        <f>IF(OR($E107="",$L107=""),"",IFERROR(IF(VLOOKUP($E107,OpTbl,6,0)="وزن",ROUND($N107*$O107,-3),IF(VLOOKUP($E107,OpTbl,6,0)="مبلغ",ROUND($L107*$O107,-3),0)),""))</f>
        <v/>
      </c>
      <c r="Q107" s="74" t="n"/>
      <c r="R107" s="71" t="n"/>
      <c r="S107" s="77">
        <f>IF($E107="","",IF($AI107="⚠","⚠ ناتراز",IF(AND(IFERROR(VLOOKUP($E107,OpTbl,4,0),"")="بله",$L107=""),"⚠ وزن",IF(AND(IFERROR(VLOOKUP($E107,OpTbl,5,0),"")="بله",$U107=""),"⚠ حساب",IF(AND(IFERROR(VLOOKUP($E107,OpTbl,6,0),"")="مبلغ",$Q107=""),"⚠ مبلغ","✓")))))</f>
        <v/>
      </c>
      <c r="T107" s="72" t="n"/>
      <c r="U107" s="70">
        <f>IF($E107="","",IFERROR(IF(VLOOKUP($E107,OpTbl,14,0)&lt;&gt;"",VLOOKUP($E107,OpTbl,14,0),$G107),""))</f>
        <v/>
      </c>
      <c r="V107" s="76">
        <f>IF(OR($AJ107="",$AJ107=0,$AL107&lt;&gt;"بدهکار"),"",$AJ107)</f>
        <v/>
      </c>
      <c r="W107" s="76">
        <f>IF(OR($AJ107="",$AJ107=0,$AL107&lt;&gt;"بستانکار"),"",$AJ107)</f>
        <v/>
      </c>
      <c r="X107" s="70">
        <f>IF($E107="","",IFERROR(VLOOKUP($E107,OpTbl,8,0),""))</f>
        <v/>
      </c>
      <c r="Y107" s="76">
        <f>IF(OR($X107="",$AJ107="",$AJ107=0,$AM107&lt;&gt;"بدهکار"),"",$AJ107)</f>
        <v/>
      </c>
      <c r="Z107" s="76">
        <f>IF(OR($X107="",$AJ107="",$AJ107=0,$AM107&lt;&gt;"بستانکار"),"",$AJ107)</f>
        <v/>
      </c>
      <c r="AA107" s="70">
        <f>IF(OR($E107="",$AN107="—",$AN107=""),"",IFERROR(VLOOKUP($E107,OpTbl,12,0),""))</f>
        <v/>
      </c>
      <c r="AB107" s="76">
        <f>IF(OR($AA107="",$Q107="",$Q107=0,$AN107&lt;&gt;"بدهکار"),"",$Q107)</f>
        <v/>
      </c>
      <c r="AC107" s="76">
        <f>IF(OR($AA107="",$Q107="",$Q107=0,$AN107&lt;&gt;"بستانکار"),"",$Q107)</f>
        <v/>
      </c>
      <c r="AD107" s="70">
        <f>IF($AA107="","",IFERROR(VLOOKUP($E107,OpTbl,13,0),""))</f>
        <v/>
      </c>
      <c r="AE107" s="76">
        <f>IF(OR($AD107="",$Q107="",$Q107=0,$AN107&lt;&gt;"بستانکار"),"",$Q107)</f>
        <v/>
      </c>
      <c r="AF107" s="76">
        <f>IF(OR($AD107="",$Q107="",$Q107=0,$AN107&lt;&gt;"بدهکار"),"",$Q107)</f>
        <v/>
      </c>
      <c r="AG107" s="76">
        <f>SUM($V107,$Y107,$AB107,$AE107)</f>
        <v/>
      </c>
      <c r="AH107" s="76">
        <f>SUM($W107,$Z107,$AC107,$AF107)</f>
        <v/>
      </c>
      <c r="AI107" s="70">
        <f>IF($E107="","",IF(ROUND($AG107-$AH107,0)=0,"✓","⚠"))</f>
        <v/>
      </c>
      <c r="AJ107" s="76">
        <f>IF(OR($E107="",$U107=""),"",IFERROR(IF(VLOOKUP($E107,OpTbl,6,0)="وزن",IF($P107="",0,$P107),IF(VLOOKUP($E107,OpTbl,6,0)="مبلغ",IF(AND($Q107&lt;&gt;"",$Q107&lt;&gt;0),$Q107,$P107),0))+IF(VLOOKUP($E107,OpTbl,10,0)="افزودن",IF($Q107="",0,$Q107),0),0))</f>
        <v/>
      </c>
      <c r="AK107" s="70">
        <f>IF($E107="","",IFERROR(VLOOKUP($E107,OpTbl,10,0),""))</f>
        <v/>
      </c>
      <c r="AL107" s="70">
        <f>IF(OR($E107="",$U107=""),"",IFERROR(IF(VLOOKUP($E107,OpTbl,7,0)="خودکار",$R107,VLOOKUP($E107,OpTbl,7,0)),""))</f>
        <v/>
      </c>
      <c r="AM107" s="70">
        <f>IF(OR($E107="",$X107=""),"",IFERROR(IF(VLOOKUP($E107,OpTbl,9,0)="خودکار",IF($AL107="بدهکار","بستانکار",IF($AL107="بستانکار","بدهکار","")),VLOOKUP($E107,OpTbl,9,0)),""))</f>
        <v/>
      </c>
      <c r="AN107" s="70">
        <f>IF($E107="","",IFERROR(VLOOKUP($E107,OpTbl,11,0),""))</f>
        <v/>
      </c>
      <c r="AO107" s="70">
        <f>IF($B107="","",MID($B107,6,2))</f>
        <v/>
      </c>
      <c r="AP107" s="76">
        <f>IF($B107="",0,1)</f>
        <v/>
      </c>
    </row>
    <row r="108" ht="21.75" customHeight="1">
      <c r="A108" s="70">
        <f>IF($B108="","",COUNTA($B$10:$B108))</f>
        <v/>
      </c>
      <c r="B108" s="71" t="n"/>
      <c r="C108" s="71" t="n"/>
      <c r="D108" s="71" t="n"/>
      <c r="E108" s="71" t="n"/>
      <c r="F108" s="70">
        <f>IF($E108="","",IFERROR(VLOOKUP($E108,OpTbl,2,0),""))</f>
        <v/>
      </c>
      <c r="G108" s="71" t="n"/>
      <c r="H108" s="73">
        <f>IF($U108="","",IFERROR(VLOOKUP($U108,AcctTbl,2,0),"کد ناشناخته"))</f>
        <v/>
      </c>
      <c r="I108" s="70">
        <f>IF($U108="","",IFERROR(VLOOKUP($U108,AcctTbl,3,0),""))</f>
        <v/>
      </c>
      <c r="J108" s="72" t="n"/>
      <c r="K108" s="71" t="n"/>
      <c r="L108" s="74" t="n"/>
      <c r="M108" s="74" t="n"/>
      <c r="N108" s="148">
        <f>IF(OR($E108="",$L108=""),"",IFERROR(($L108-IF($M108="",0,$M108)*IFERROR(VLOOKUP($K108,BasketTbl,4,0),IFERROR(INDEX(BasketTbl,MATCH($K108,BasketCodeCol,0),4),VLOOKUP("P01",ParamTbl,2,0))))*(1-IF(VLOOKUP($E108,OpTbl,3,0)="خرید",VLOOKUP("P02",ParamTbl,2,0),0)/100),""))</f>
        <v/>
      </c>
      <c r="O108" s="74" t="n"/>
      <c r="P108" s="76">
        <f>IF(OR($E108="",$L108=""),"",IFERROR(IF(VLOOKUP($E108,OpTbl,6,0)="وزن",ROUND($N108*$O108,-3),IF(VLOOKUP($E108,OpTbl,6,0)="مبلغ",ROUND($L108*$O108,-3),0)),""))</f>
        <v/>
      </c>
      <c r="Q108" s="74" t="n"/>
      <c r="R108" s="71" t="n"/>
      <c r="S108" s="77">
        <f>IF($E108="","",IF($AI108="⚠","⚠ ناتراز",IF(AND(IFERROR(VLOOKUP($E108,OpTbl,4,0),"")="بله",$L108=""),"⚠ وزن",IF(AND(IFERROR(VLOOKUP($E108,OpTbl,5,0),"")="بله",$U108=""),"⚠ حساب",IF(AND(IFERROR(VLOOKUP($E108,OpTbl,6,0),"")="مبلغ",$Q108=""),"⚠ مبلغ","✓")))))</f>
        <v/>
      </c>
      <c r="T108" s="72" t="n"/>
      <c r="U108" s="70">
        <f>IF($E108="","",IFERROR(IF(VLOOKUP($E108,OpTbl,14,0)&lt;&gt;"",VLOOKUP($E108,OpTbl,14,0),$G108),""))</f>
        <v/>
      </c>
      <c r="V108" s="76">
        <f>IF(OR($AJ108="",$AJ108=0,$AL108&lt;&gt;"بدهکار"),"",$AJ108)</f>
        <v/>
      </c>
      <c r="W108" s="76">
        <f>IF(OR($AJ108="",$AJ108=0,$AL108&lt;&gt;"بستانکار"),"",$AJ108)</f>
        <v/>
      </c>
      <c r="X108" s="70">
        <f>IF($E108="","",IFERROR(VLOOKUP($E108,OpTbl,8,0),""))</f>
        <v/>
      </c>
      <c r="Y108" s="76">
        <f>IF(OR($X108="",$AJ108="",$AJ108=0,$AM108&lt;&gt;"بدهکار"),"",$AJ108)</f>
        <v/>
      </c>
      <c r="Z108" s="76">
        <f>IF(OR($X108="",$AJ108="",$AJ108=0,$AM108&lt;&gt;"بستانکار"),"",$AJ108)</f>
        <v/>
      </c>
      <c r="AA108" s="70">
        <f>IF(OR($E108="",$AN108="—",$AN108=""),"",IFERROR(VLOOKUP($E108,OpTbl,12,0),""))</f>
        <v/>
      </c>
      <c r="AB108" s="76">
        <f>IF(OR($AA108="",$Q108="",$Q108=0,$AN108&lt;&gt;"بدهکار"),"",$Q108)</f>
        <v/>
      </c>
      <c r="AC108" s="76">
        <f>IF(OR($AA108="",$Q108="",$Q108=0,$AN108&lt;&gt;"بستانکار"),"",$Q108)</f>
        <v/>
      </c>
      <c r="AD108" s="70">
        <f>IF($AA108="","",IFERROR(VLOOKUP($E108,OpTbl,13,0),""))</f>
        <v/>
      </c>
      <c r="AE108" s="76">
        <f>IF(OR($AD108="",$Q108="",$Q108=0,$AN108&lt;&gt;"بستانکار"),"",$Q108)</f>
        <v/>
      </c>
      <c r="AF108" s="76">
        <f>IF(OR($AD108="",$Q108="",$Q108=0,$AN108&lt;&gt;"بدهکار"),"",$Q108)</f>
        <v/>
      </c>
      <c r="AG108" s="76">
        <f>SUM($V108,$Y108,$AB108,$AE108)</f>
        <v/>
      </c>
      <c r="AH108" s="76">
        <f>SUM($W108,$Z108,$AC108,$AF108)</f>
        <v/>
      </c>
      <c r="AI108" s="70">
        <f>IF($E108="","",IF(ROUND($AG108-$AH108,0)=0,"✓","⚠"))</f>
        <v/>
      </c>
      <c r="AJ108" s="76">
        <f>IF(OR($E108="",$U108=""),"",IFERROR(IF(VLOOKUP($E108,OpTbl,6,0)="وزن",IF($P108="",0,$P108),IF(VLOOKUP($E108,OpTbl,6,0)="مبلغ",IF(AND($Q108&lt;&gt;"",$Q108&lt;&gt;0),$Q108,$P108),0))+IF(VLOOKUP($E108,OpTbl,10,0)="افزودن",IF($Q108="",0,$Q108),0),0))</f>
        <v/>
      </c>
      <c r="AK108" s="70">
        <f>IF($E108="","",IFERROR(VLOOKUP($E108,OpTbl,10,0),""))</f>
        <v/>
      </c>
      <c r="AL108" s="70">
        <f>IF(OR($E108="",$U108=""),"",IFERROR(IF(VLOOKUP($E108,OpTbl,7,0)="خودکار",$R108,VLOOKUP($E108,OpTbl,7,0)),""))</f>
        <v/>
      </c>
      <c r="AM108" s="70">
        <f>IF(OR($E108="",$X108=""),"",IFERROR(IF(VLOOKUP($E108,OpTbl,9,0)="خودکار",IF($AL108="بدهکار","بستانکار",IF($AL108="بستانکار","بدهکار","")),VLOOKUP($E108,OpTbl,9,0)),""))</f>
        <v/>
      </c>
      <c r="AN108" s="70">
        <f>IF($E108="","",IFERROR(VLOOKUP($E108,OpTbl,11,0),""))</f>
        <v/>
      </c>
      <c r="AO108" s="70">
        <f>IF($B108="","",MID($B108,6,2))</f>
        <v/>
      </c>
      <c r="AP108" s="76">
        <f>IF($B108="",0,1)</f>
        <v/>
      </c>
    </row>
    <row r="109" ht="21.75" customHeight="1">
      <c r="A109" s="70">
        <f>IF($B109="","",COUNTA($B$10:$B109))</f>
        <v/>
      </c>
      <c r="B109" s="71" t="n"/>
      <c r="C109" s="71" t="n"/>
      <c r="D109" s="71" t="n"/>
      <c r="E109" s="71" t="n"/>
      <c r="F109" s="70">
        <f>IF($E109="","",IFERROR(VLOOKUP($E109,OpTbl,2,0),""))</f>
        <v/>
      </c>
      <c r="G109" s="71" t="n"/>
      <c r="H109" s="73">
        <f>IF($U109="","",IFERROR(VLOOKUP($U109,AcctTbl,2,0),"کد ناشناخته"))</f>
        <v/>
      </c>
      <c r="I109" s="70">
        <f>IF($U109="","",IFERROR(VLOOKUP($U109,AcctTbl,3,0),""))</f>
        <v/>
      </c>
      <c r="J109" s="72" t="n"/>
      <c r="K109" s="71" t="n"/>
      <c r="L109" s="74" t="n"/>
      <c r="M109" s="74" t="n"/>
      <c r="N109" s="148">
        <f>IF(OR($E109="",$L109=""),"",IFERROR(($L109-IF($M109="",0,$M109)*IFERROR(VLOOKUP($K109,BasketTbl,4,0),IFERROR(INDEX(BasketTbl,MATCH($K109,BasketCodeCol,0),4),VLOOKUP("P01",ParamTbl,2,0))))*(1-IF(VLOOKUP($E109,OpTbl,3,0)="خرید",VLOOKUP("P02",ParamTbl,2,0),0)/100),""))</f>
        <v/>
      </c>
      <c r="O109" s="74" t="n"/>
      <c r="P109" s="76">
        <f>IF(OR($E109="",$L109=""),"",IFERROR(IF(VLOOKUP($E109,OpTbl,6,0)="وزن",ROUND($N109*$O109,-3),IF(VLOOKUP($E109,OpTbl,6,0)="مبلغ",ROUND($L109*$O109,-3),0)),""))</f>
        <v/>
      </c>
      <c r="Q109" s="74" t="n"/>
      <c r="R109" s="71" t="n"/>
      <c r="S109" s="77">
        <f>IF($E109="","",IF($AI109="⚠","⚠ ناتراز",IF(AND(IFERROR(VLOOKUP($E109,OpTbl,4,0),"")="بله",$L109=""),"⚠ وزن",IF(AND(IFERROR(VLOOKUP($E109,OpTbl,5,0),"")="بله",$U109=""),"⚠ حساب",IF(AND(IFERROR(VLOOKUP($E109,OpTbl,6,0),"")="مبلغ",$Q109=""),"⚠ مبلغ","✓")))))</f>
        <v/>
      </c>
      <c r="T109" s="72" t="n"/>
      <c r="U109" s="70">
        <f>IF($E109="","",IFERROR(IF(VLOOKUP($E109,OpTbl,14,0)&lt;&gt;"",VLOOKUP($E109,OpTbl,14,0),$G109),""))</f>
        <v/>
      </c>
      <c r="V109" s="76">
        <f>IF(OR($AJ109="",$AJ109=0,$AL109&lt;&gt;"بدهکار"),"",$AJ109)</f>
        <v/>
      </c>
      <c r="W109" s="76">
        <f>IF(OR($AJ109="",$AJ109=0,$AL109&lt;&gt;"بستانکار"),"",$AJ109)</f>
        <v/>
      </c>
      <c r="X109" s="70">
        <f>IF($E109="","",IFERROR(VLOOKUP($E109,OpTbl,8,0),""))</f>
        <v/>
      </c>
      <c r="Y109" s="76">
        <f>IF(OR($X109="",$AJ109="",$AJ109=0,$AM109&lt;&gt;"بدهکار"),"",$AJ109)</f>
        <v/>
      </c>
      <c r="Z109" s="76">
        <f>IF(OR($X109="",$AJ109="",$AJ109=0,$AM109&lt;&gt;"بستانکار"),"",$AJ109)</f>
        <v/>
      </c>
      <c r="AA109" s="70">
        <f>IF(OR($E109="",$AN109="—",$AN109=""),"",IFERROR(VLOOKUP($E109,OpTbl,12,0),""))</f>
        <v/>
      </c>
      <c r="AB109" s="76">
        <f>IF(OR($AA109="",$Q109="",$Q109=0,$AN109&lt;&gt;"بدهکار"),"",$Q109)</f>
        <v/>
      </c>
      <c r="AC109" s="76">
        <f>IF(OR($AA109="",$Q109="",$Q109=0,$AN109&lt;&gt;"بستانکار"),"",$Q109)</f>
        <v/>
      </c>
      <c r="AD109" s="70">
        <f>IF($AA109="","",IFERROR(VLOOKUP($E109,OpTbl,13,0),""))</f>
        <v/>
      </c>
      <c r="AE109" s="76">
        <f>IF(OR($AD109="",$Q109="",$Q109=0,$AN109&lt;&gt;"بستانکار"),"",$Q109)</f>
        <v/>
      </c>
      <c r="AF109" s="76">
        <f>IF(OR($AD109="",$Q109="",$Q109=0,$AN109&lt;&gt;"بدهکار"),"",$Q109)</f>
        <v/>
      </c>
      <c r="AG109" s="76">
        <f>SUM($V109,$Y109,$AB109,$AE109)</f>
        <v/>
      </c>
      <c r="AH109" s="76">
        <f>SUM($W109,$Z109,$AC109,$AF109)</f>
        <v/>
      </c>
      <c r="AI109" s="70">
        <f>IF($E109="","",IF(ROUND($AG109-$AH109,0)=0,"✓","⚠"))</f>
        <v/>
      </c>
      <c r="AJ109" s="76">
        <f>IF(OR($E109="",$U109=""),"",IFERROR(IF(VLOOKUP($E109,OpTbl,6,0)="وزن",IF($P109="",0,$P109),IF(VLOOKUP($E109,OpTbl,6,0)="مبلغ",IF(AND($Q109&lt;&gt;"",$Q109&lt;&gt;0),$Q109,$P109),0))+IF(VLOOKUP($E109,OpTbl,10,0)="افزودن",IF($Q109="",0,$Q109),0),0))</f>
        <v/>
      </c>
      <c r="AK109" s="70">
        <f>IF($E109="","",IFERROR(VLOOKUP($E109,OpTbl,10,0),""))</f>
        <v/>
      </c>
      <c r="AL109" s="70">
        <f>IF(OR($E109="",$U109=""),"",IFERROR(IF(VLOOKUP($E109,OpTbl,7,0)="خودکار",$R109,VLOOKUP($E109,OpTbl,7,0)),""))</f>
        <v/>
      </c>
      <c r="AM109" s="70">
        <f>IF(OR($E109="",$X109=""),"",IFERROR(IF(VLOOKUP($E109,OpTbl,9,0)="خودکار",IF($AL109="بدهکار","بستانکار",IF($AL109="بستانکار","بدهکار","")),VLOOKUP($E109,OpTbl,9,0)),""))</f>
        <v/>
      </c>
      <c r="AN109" s="70">
        <f>IF($E109="","",IFERROR(VLOOKUP($E109,OpTbl,11,0),""))</f>
        <v/>
      </c>
      <c r="AO109" s="70">
        <f>IF($B109="","",MID($B109,6,2))</f>
        <v/>
      </c>
      <c r="AP109" s="76">
        <f>IF($B109="",0,1)</f>
        <v/>
      </c>
    </row>
    <row r="110" ht="21.75" customHeight="1">
      <c r="A110" s="70">
        <f>IF($B110="","",COUNTA($B$10:$B110))</f>
        <v/>
      </c>
      <c r="B110" s="71" t="n"/>
      <c r="C110" s="71" t="n"/>
      <c r="D110" s="71" t="n"/>
      <c r="E110" s="71" t="n"/>
      <c r="F110" s="70">
        <f>IF($E110="","",IFERROR(VLOOKUP($E110,OpTbl,2,0),""))</f>
        <v/>
      </c>
      <c r="G110" s="71" t="n"/>
      <c r="H110" s="73">
        <f>IF($U110="","",IFERROR(VLOOKUP($U110,AcctTbl,2,0),"کد ناشناخته"))</f>
        <v/>
      </c>
      <c r="I110" s="70">
        <f>IF($U110="","",IFERROR(VLOOKUP($U110,AcctTbl,3,0),""))</f>
        <v/>
      </c>
      <c r="J110" s="72" t="n"/>
      <c r="K110" s="71" t="n"/>
      <c r="L110" s="74" t="n"/>
      <c r="M110" s="74" t="n"/>
      <c r="N110" s="148">
        <f>IF(OR($E110="",$L110=""),"",IFERROR(($L110-IF($M110="",0,$M110)*IFERROR(VLOOKUP($K110,BasketTbl,4,0),IFERROR(INDEX(BasketTbl,MATCH($K110,BasketCodeCol,0),4),VLOOKUP("P01",ParamTbl,2,0))))*(1-IF(VLOOKUP($E110,OpTbl,3,0)="خرید",VLOOKUP("P02",ParamTbl,2,0),0)/100),""))</f>
        <v/>
      </c>
      <c r="O110" s="74" t="n"/>
      <c r="P110" s="76">
        <f>IF(OR($E110="",$L110=""),"",IFERROR(IF(VLOOKUP($E110,OpTbl,6,0)="وزن",ROUND($N110*$O110,-3),IF(VLOOKUP($E110,OpTbl,6,0)="مبلغ",ROUND($L110*$O110,-3),0)),""))</f>
        <v/>
      </c>
      <c r="Q110" s="74" t="n"/>
      <c r="R110" s="71" t="n"/>
      <c r="S110" s="77">
        <f>IF($E110="","",IF($AI110="⚠","⚠ ناتراز",IF(AND(IFERROR(VLOOKUP($E110,OpTbl,4,0),"")="بله",$L110=""),"⚠ وزن",IF(AND(IFERROR(VLOOKUP($E110,OpTbl,5,0),"")="بله",$U110=""),"⚠ حساب",IF(AND(IFERROR(VLOOKUP($E110,OpTbl,6,0),"")="مبلغ",$Q110=""),"⚠ مبلغ","✓")))))</f>
        <v/>
      </c>
      <c r="T110" s="72" t="n"/>
      <c r="U110" s="70">
        <f>IF($E110="","",IFERROR(IF(VLOOKUP($E110,OpTbl,14,0)&lt;&gt;"",VLOOKUP($E110,OpTbl,14,0),$G110),""))</f>
        <v/>
      </c>
      <c r="V110" s="76">
        <f>IF(OR($AJ110="",$AJ110=0,$AL110&lt;&gt;"بدهکار"),"",$AJ110)</f>
        <v/>
      </c>
      <c r="W110" s="76">
        <f>IF(OR($AJ110="",$AJ110=0,$AL110&lt;&gt;"بستانکار"),"",$AJ110)</f>
        <v/>
      </c>
      <c r="X110" s="70">
        <f>IF($E110="","",IFERROR(VLOOKUP($E110,OpTbl,8,0),""))</f>
        <v/>
      </c>
      <c r="Y110" s="76">
        <f>IF(OR($X110="",$AJ110="",$AJ110=0,$AM110&lt;&gt;"بدهکار"),"",$AJ110)</f>
        <v/>
      </c>
      <c r="Z110" s="76">
        <f>IF(OR($X110="",$AJ110="",$AJ110=0,$AM110&lt;&gt;"بستانکار"),"",$AJ110)</f>
        <v/>
      </c>
      <c r="AA110" s="70">
        <f>IF(OR($E110="",$AN110="—",$AN110=""),"",IFERROR(VLOOKUP($E110,OpTbl,12,0),""))</f>
        <v/>
      </c>
      <c r="AB110" s="76">
        <f>IF(OR($AA110="",$Q110="",$Q110=0,$AN110&lt;&gt;"بدهکار"),"",$Q110)</f>
        <v/>
      </c>
      <c r="AC110" s="76">
        <f>IF(OR($AA110="",$Q110="",$Q110=0,$AN110&lt;&gt;"بستانکار"),"",$Q110)</f>
        <v/>
      </c>
      <c r="AD110" s="70">
        <f>IF($AA110="","",IFERROR(VLOOKUP($E110,OpTbl,13,0),""))</f>
        <v/>
      </c>
      <c r="AE110" s="76">
        <f>IF(OR($AD110="",$Q110="",$Q110=0,$AN110&lt;&gt;"بستانکار"),"",$Q110)</f>
        <v/>
      </c>
      <c r="AF110" s="76">
        <f>IF(OR($AD110="",$Q110="",$Q110=0,$AN110&lt;&gt;"بدهکار"),"",$Q110)</f>
        <v/>
      </c>
      <c r="AG110" s="76">
        <f>SUM($V110,$Y110,$AB110,$AE110)</f>
        <v/>
      </c>
      <c r="AH110" s="76">
        <f>SUM($W110,$Z110,$AC110,$AF110)</f>
        <v/>
      </c>
      <c r="AI110" s="70">
        <f>IF($E110="","",IF(ROUND($AG110-$AH110,0)=0,"✓","⚠"))</f>
        <v/>
      </c>
      <c r="AJ110" s="76">
        <f>IF(OR($E110="",$U110=""),"",IFERROR(IF(VLOOKUP($E110,OpTbl,6,0)="وزن",IF($P110="",0,$P110),IF(VLOOKUP($E110,OpTbl,6,0)="مبلغ",IF(AND($Q110&lt;&gt;"",$Q110&lt;&gt;0),$Q110,$P110),0))+IF(VLOOKUP($E110,OpTbl,10,0)="افزودن",IF($Q110="",0,$Q110),0),0))</f>
        <v/>
      </c>
      <c r="AK110" s="70">
        <f>IF($E110="","",IFERROR(VLOOKUP($E110,OpTbl,10,0),""))</f>
        <v/>
      </c>
      <c r="AL110" s="70">
        <f>IF(OR($E110="",$U110=""),"",IFERROR(IF(VLOOKUP($E110,OpTbl,7,0)="خودکار",$R110,VLOOKUP($E110,OpTbl,7,0)),""))</f>
        <v/>
      </c>
      <c r="AM110" s="70">
        <f>IF(OR($E110="",$X110=""),"",IFERROR(IF(VLOOKUP($E110,OpTbl,9,0)="خودکار",IF($AL110="بدهکار","بستانکار",IF($AL110="بستانکار","بدهکار","")),VLOOKUP($E110,OpTbl,9,0)),""))</f>
        <v/>
      </c>
      <c r="AN110" s="70">
        <f>IF($E110="","",IFERROR(VLOOKUP($E110,OpTbl,11,0),""))</f>
        <v/>
      </c>
      <c r="AO110" s="70">
        <f>IF($B110="","",MID($B110,6,2))</f>
        <v/>
      </c>
      <c r="AP110" s="76">
        <f>IF($B110="",0,1)</f>
        <v/>
      </c>
    </row>
    <row r="111" ht="21.75" customHeight="1">
      <c r="A111" s="70">
        <f>IF($B111="","",COUNTA($B$10:$B111))</f>
        <v/>
      </c>
      <c r="B111" s="71" t="n"/>
      <c r="C111" s="71" t="n"/>
      <c r="D111" s="71" t="n"/>
      <c r="E111" s="71" t="n"/>
      <c r="F111" s="70">
        <f>IF($E111="","",IFERROR(VLOOKUP($E111,OpTbl,2,0),""))</f>
        <v/>
      </c>
      <c r="G111" s="71" t="n"/>
      <c r="H111" s="73">
        <f>IF($U111="","",IFERROR(VLOOKUP($U111,AcctTbl,2,0),"کد ناشناخته"))</f>
        <v/>
      </c>
      <c r="I111" s="70">
        <f>IF($U111="","",IFERROR(VLOOKUP($U111,AcctTbl,3,0),""))</f>
        <v/>
      </c>
      <c r="J111" s="72" t="n"/>
      <c r="K111" s="71" t="n"/>
      <c r="L111" s="74" t="n"/>
      <c r="M111" s="74" t="n"/>
      <c r="N111" s="148">
        <f>IF(OR($E111="",$L111=""),"",IFERROR(($L111-IF($M111="",0,$M111)*IFERROR(VLOOKUP($K111,BasketTbl,4,0),IFERROR(INDEX(BasketTbl,MATCH($K111,BasketCodeCol,0),4),VLOOKUP("P01",ParamTbl,2,0))))*(1-IF(VLOOKUP($E111,OpTbl,3,0)="خرید",VLOOKUP("P02",ParamTbl,2,0),0)/100),""))</f>
        <v/>
      </c>
      <c r="O111" s="74" t="n"/>
      <c r="P111" s="76">
        <f>IF(OR($E111="",$L111=""),"",IFERROR(IF(VLOOKUP($E111,OpTbl,6,0)="وزن",ROUND($N111*$O111,-3),IF(VLOOKUP($E111,OpTbl,6,0)="مبلغ",ROUND($L111*$O111,-3),0)),""))</f>
        <v/>
      </c>
      <c r="Q111" s="74" t="n"/>
      <c r="R111" s="71" t="n"/>
      <c r="S111" s="77">
        <f>IF($E111="","",IF($AI111="⚠","⚠ ناتراز",IF(AND(IFERROR(VLOOKUP($E111,OpTbl,4,0),"")="بله",$L111=""),"⚠ وزن",IF(AND(IFERROR(VLOOKUP($E111,OpTbl,5,0),"")="بله",$U111=""),"⚠ حساب",IF(AND(IFERROR(VLOOKUP($E111,OpTbl,6,0),"")="مبلغ",$Q111=""),"⚠ مبلغ","✓")))))</f>
        <v/>
      </c>
      <c r="T111" s="72" t="n"/>
      <c r="U111" s="70">
        <f>IF($E111="","",IFERROR(IF(VLOOKUP($E111,OpTbl,14,0)&lt;&gt;"",VLOOKUP($E111,OpTbl,14,0),$G111),""))</f>
        <v/>
      </c>
      <c r="V111" s="76">
        <f>IF(OR($AJ111="",$AJ111=0,$AL111&lt;&gt;"بدهکار"),"",$AJ111)</f>
        <v/>
      </c>
      <c r="W111" s="76">
        <f>IF(OR($AJ111="",$AJ111=0,$AL111&lt;&gt;"بستانکار"),"",$AJ111)</f>
        <v/>
      </c>
      <c r="X111" s="70">
        <f>IF($E111="","",IFERROR(VLOOKUP($E111,OpTbl,8,0),""))</f>
        <v/>
      </c>
      <c r="Y111" s="76">
        <f>IF(OR($X111="",$AJ111="",$AJ111=0,$AM111&lt;&gt;"بدهکار"),"",$AJ111)</f>
        <v/>
      </c>
      <c r="Z111" s="76">
        <f>IF(OR($X111="",$AJ111="",$AJ111=0,$AM111&lt;&gt;"بستانکار"),"",$AJ111)</f>
        <v/>
      </c>
      <c r="AA111" s="70">
        <f>IF(OR($E111="",$AN111="—",$AN111=""),"",IFERROR(VLOOKUP($E111,OpTbl,12,0),""))</f>
        <v/>
      </c>
      <c r="AB111" s="76">
        <f>IF(OR($AA111="",$Q111="",$Q111=0,$AN111&lt;&gt;"بدهکار"),"",$Q111)</f>
        <v/>
      </c>
      <c r="AC111" s="76">
        <f>IF(OR($AA111="",$Q111="",$Q111=0,$AN111&lt;&gt;"بستانکار"),"",$Q111)</f>
        <v/>
      </c>
      <c r="AD111" s="70">
        <f>IF($AA111="","",IFERROR(VLOOKUP($E111,OpTbl,13,0),""))</f>
        <v/>
      </c>
      <c r="AE111" s="76">
        <f>IF(OR($AD111="",$Q111="",$Q111=0,$AN111&lt;&gt;"بستانکار"),"",$Q111)</f>
        <v/>
      </c>
      <c r="AF111" s="76">
        <f>IF(OR($AD111="",$Q111="",$Q111=0,$AN111&lt;&gt;"بدهکار"),"",$Q111)</f>
        <v/>
      </c>
      <c r="AG111" s="76">
        <f>SUM($V111,$Y111,$AB111,$AE111)</f>
        <v/>
      </c>
      <c r="AH111" s="76">
        <f>SUM($W111,$Z111,$AC111,$AF111)</f>
        <v/>
      </c>
      <c r="AI111" s="70">
        <f>IF($E111="","",IF(ROUND($AG111-$AH111,0)=0,"✓","⚠"))</f>
        <v/>
      </c>
      <c r="AJ111" s="76">
        <f>IF(OR($E111="",$U111=""),"",IFERROR(IF(VLOOKUP($E111,OpTbl,6,0)="وزن",IF($P111="",0,$P111),IF(VLOOKUP($E111,OpTbl,6,0)="مبلغ",IF(AND($Q111&lt;&gt;"",$Q111&lt;&gt;0),$Q111,$P111),0))+IF(VLOOKUP($E111,OpTbl,10,0)="افزودن",IF($Q111="",0,$Q111),0),0))</f>
        <v/>
      </c>
      <c r="AK111" s="70">
        <f>IF($E111="","",IFERROR(VLOOKUP($E111,OpTbl,10,0),""))</f>
        <v/>
      </c>
      <c r="AL111" s="70">
        <f>IF(OR($E111="",$U111=""),"",IFERROR(IF(VLOOKUP($E111,OpTbl,7,0)="خودکار",$R111,VLOOKUP($E111,OpTbl,7,0)),""))</f>
        <v/>
      </c>
      <c r="AM111" s="70">
        <f>IF(OR($E111="",$X111=""),"",IFERROR(IF(VLOOKUP($E111,OpTbl,9,0)="خودکار",IF($AL111="بدهکار","بستانکار",IF($AL111="بستانکار","بدهکار","")),VLOOKUP($E111,OpTbl,9,0)),""))</f>
        <v/>
      </c>
      <c r="AN111" s="70">
        <f>IF($E111="","",IFERROR(VLOOKUP($E111,OpTbl,11,0),""))</f>
        <v/>
      </c>
      <c r="AO111" s="70">
        <f>IF($B111="","",MID($B111,6,2))</f>
        <v/>
      </c>
      <c r="AP111" s="76">
        <f>IF($B111="",0,1)</f>
        <v/>
      </c>
    </row>
    <row r="112" ht="21.75" customHeight="1">
      <c r="A112" s="70">
        <f>IF($B112="","",COUNTA($B$10:$B112))</f>
        <v/>
      </c>
      <c r="B112" s="71" t="n"/>
      <c r="C112" s="71" t="n"/>
      <c r="D112" s="71" t="n"/>
      <c r="E112" s="71" t="n"/>
      <c r="F112" s="70">
        <f>IF($E112="","",IFERROR(VLOOKUP($E112,OpTbl,2,0),""))</f>
        <v/>
      </c>
      <c r="G112" s="71" t="n"/>
      <c r="H112" s="73">
        <f>IF($U112="","",IFERROR(VLOOKUP($U112,AcctTbl,2,0),"کد ناشناخته"))</f>
        <v/>
      </c>
      <c r="I112" s="70">
        <f>IF($U112="","",IFERROR(VLOOKUP($U112,AcctTbl,3,0),""))</f>
        <v/>
      </c>
      <c r="J112" s="72" t="n"/>
      <c r="K112" s="71" t="n"/>
      <c r="L112" s="74" t="n"/>
      <c r="M112" s="74" t="n"/>
      <c r="N112" s="148">
        <f>IF(OR($E112="",$L112=""),"",IFERROR(($L112-IF($M112="",0,$M112)*IFERROR(VLOOKUP($K112,BasketTbl,4,0),IFERROR(INDEX(BasketTbl,MATCH($K112,BasketCodeCol,0),4),VLOOKUP("P01",ParamTbl,2,0))))*(1-IF(VLOOKUP($E112,OpTbl,3,0)="خرید",VLOOKUP("P02",ParamTbl,2,0),0)/100),""))</f>
        <v/>
      </c>
      <c r="O112" s="74" t="n"/>
      <c r="P112" s="76">
        <f>IF(OR($E112="",$L112=""),"",IFERROR(IF(VLOOKUP($E112,OpTbl,6,0)="وزن",ROUND($N112*$O112,-3),IF(VLOOKUP($E112,OpTbl,6,0)="مبلغ",ROUND($L112*$O112,-3),0)),""))</f>
        <v/>
      </c>
      <c r="Q112" s="74" t="n"/>
      <c r="R112" s="71" t="n"/>
      <c r="S112" s="77">
        <f>IF($E112="","",IF($AI112="⚠","⚠ ناتراز",IF(AND(IFERROR(VLOOKUP($E112,OpTbl,4,0),"")="بله",$L112=""),"⚠ وزن",IF(AND(IFERROR(VLOOKUP($E112,OpTbl,5,0),"")="بله",$U112=""),"⚠ حساب",IF(AND(IFERROR(VLOOKUP($E112,OpTbl,6,0),"")="مبلغ",$Q112=""),"⚠ مبلغ","✓")))))</f>
        <v/>
      </c>
      <c r="T112" s="72" t="n"/>
      <c r="U112" s="70">
        <f>IF($E112="","",IFERROR(IF(VLOOKUP($E112,OpTbl,14,0)&lt;&gt;"",VLOOKUP($E112,OpTbl,14,0),$G112),""))</f>
        <v/>
      </c>
      <c r="V112" s="76">
        <f>IF(OR($AJ112="",$AJ112=0,$AL112&lt;&gt;"بدهکار"),"",$AJ112)</f>
        <v/>
      </c>
      <c r="W112" s="76">
        <f>IF(OR($AJ112="",$AJ112=0,$AL112&lt;&gt;"بستانکار"),"",$AJ112)</f>
        <v/>
      </c>
      <c r="X112" s="70">
        <f>IF($E112="","",IFERROR(VLOOKUP($E112,OpTbl,8,0),""))</f>
        <v/>
      </c>
      <c r="Y112" s="76">
        <f>IF(OR($X112="",$AJ112="",$AJ112=0,$AM112&lt;&gt;"بدهکار"),"",$AJ112)</f>
        <v/>
      </c>
      <c r="Z112" s="76">
        <f>IF(OR($X112="",$AJ112="",$AJ112=0,$AM112&lt;&gt;"بستانکار"),"",$AJ112)</f>
        <v/>
      </c>
      <c r="AA112" s="70">
        <f>IF(OR($E112="",$AN112="—",$AN112=""),"",IFERROR(VLOOKUP($E112,OpTbl,12,0),""))</f>
        <v/>
      </c>
      <c r="AB112" s="76">
        <f>IF(OR($AA112="",$Q112="",$Q112=0,$AN112&lt;&gt;"بدهکار"),"",$Q112)</f>
        <v/>
      </c>
      <c r="AC112" s="76">
        <f>IF(OR($AA112="",$Q112="",$Q112=0,$AN112&lt;&gt;"بستانکار"),"",$Q112)</f>
        <v/>
      </c>
      <c r="AD112" s="70">
        <f>IF($AA112="","",IFERROR(VLOOKUP($E112,OpTbl,13,0),""))</f>
        <v/>
      </c>
      <c r="AE112" s="76">
        <f>IF(OR($AD112="",$Q112="",$Q112=0,$AN112&lt;&gt;"بستانکار"),"",$Q112)</f>
        <v/>
      </c>
      <c r="AF112" s="76">
        <f>IF(OR($AD112="",$Q112="",$Q112=0,$AN112&lt;&gt;"بدهکار"),"",$Q112)</f>
        <v/>
      </c>
      <c r="AG112" s="76">
        <f>SUM($V112,$Y112,$AB112,$AE112)</f>
        <v/>
      </c>
      <c r="AH112" s="76">
        <f>SUM($W112,$Z112,$AC112,$AF112)</f>
        <v/>
      </c>
      <c r="AI112" s="70">
        <f>IF($E112="","",IF(ROUND($AG112-$AH112,0)=0,"✓","⚠"))</f>
        <v/>
      </c>
      <c r="AJ112" s="76">
        <f>IF(OR($E112="",$U112=""),"",IFERROR(IF(VLOOKUP($E112,OpTbl,6,0)="وزن",IF($P112="",0,$P112),IF(VLOOKUP($E112,OpTbl,6,0)="مبلغ",IF(AND($Q112&lt;&gt;"",$Q112&lt;&gt;0),$Q112,$P112),0))+IF(VLOOKUP($E112,OpTbl,10,0)="افزودن",IF($Q112="",0,$Q112),0),0))</f>
        <v/>
      </c>
      <c r="AK112" s="70">
        <f>IF($E112="","",IFERROR(VLOOKUP($E112,OpTbl,10,0),""))</f>
        <v/>
      </c>
      <c r="AL112" s="70">
        <f>IF(OR($E112="",$U112=""),"",IFERROR(IF(VLOOKUP($E112,OpTbl,7,0)="خودکار",$R112,VLOOKUP($E112,OpTbl,7,0)),""))</f>
        <v/>
      </c>
      <c r="AM112" s="70">
        <f>IF(OR($E112="",$X112=""),"",IFERROR(IF(VLOOKUP($E112,OpTbl,9,0)="خودکار",IF($AL112="بدهکار","بستانکار",IF($AL112="بستانکار","بدهکار","")),VLOOKUP($E112,OpTbl,9,0)),""))</f>
        <v/>
      </c>
      <c r="AN112" s="70">
        <f>IF($E112="","",IFERROR(VLOOKUP($E112,OpTbl,11,0),""))</f>
        <v/>
      </c>
      <c r="AO112" s="70">
        <f>IF($B112="","",MID($B112,6,2))</f>
        <v/>
      </c>
      <c r="AP112" s="76">
        <f>IF($B112="",0,1)</f>
        <v/>
      </c>
    </row>
    <row r="113" ht="21.75" customHeight="1">
      <c r="A113" s="70">
        <f>IF($B113="","",COUNTA($B$10:$B113))</f>
        <v/>
      </c>
      <c r="B113" s="71" t="n"/>
      <c r="C113" s="71" t="n"/>
      <c r="D113" s="71" t="n"/>
      <c r="E113" s="71" t="n"/>
      <c r="F113" s="70">
        <f>IF($E113="","",IFERROR(VLOOKUP($E113,OpTbl,2,0),""))</f>
        <v/>
      </c>
      <c r="G113" s="71" t="n"/>
      <c r="H113" s="73">
        <f>IF($U113="","",IFERROR(VLOOKUP($U113,AcctTbl,2,0),"کد ناشناخته"))</f>
        <v/>
      </c>
      <c r="I113" s="70">
        <f>IF($U113="","",IFERROR(VLOOKUP($U113,AcctTbl,3,0),""))</f>
        <v/>
      </c>
      <c r="J113" s="72" t="n"/>
      <c r="K113" s="71" t="n"/>
      <c r="L113" s="74" t="n"/>
      <c r="M113" s="74" t="n"/>
      <c r="N113" s="148">
        <f>IF(OR($E113="",$L113=""),"",IFERROR(($L113-IF($M113="",0,$M113)*IFERROR(VLOOKUP($K113,BasketTbl,4,0),IFERROR(INDEX(BasketTbl,MATCH($K113,BasketCodeCol,0),4),VLOOKUP("P01",ParamTbl,2,0))))*(1-IF(VLOOKUP($E113,OpTbl,3,0)="خرید",VLOOKUP("P02",ParamTbl,2,0),0)/100),""))</f>
        <v/>
      </c>
      <c r="O113" s="74" t="n"/>
      <c r="P113" s="76">
        <f>IF(OR($E113="",$L113=""),"",IFERROR(IF(VLOOKUP($E113,OpTbl,6,0)="وزن",ROUND($N113*$O113,-3),IF(VLOOKUP($E113,OpTbl,6,0)="مبلغ",ROUND($L113*$O113,-3),0)),""))</f>
        <v/>
      </c>
      <c r="Q113" s="74" t="n"/>
      <c r="R113" s="71" t="n"/>
      <c r="S113" s="77">
        <f>IF($E113="","",IF($AI113="⚠","⚠ ناتراز",IF(AND(IFERROR(VLOOKUP($E113,OpTbl,4,0),"")="بله",$L113=""),"⚠ وزن",IF(AND(IFERROR(VLOOKUP($E113,OpTbl,5,0),"")="بله",$U113=""),"⚠ حساب",IF(AND(IFERROR(VLOOKUP($E113,OpTbl,6,0),"")="مبلغ",$Q113=""),"⚠ مبلغ","✓")))))</f>
        <v/>
      </c>
      <c r="T113" s="72" t="n"/>
      <c r="U113" s="70">
        <f>IF($E113="","",IFERROR(IF(VLOOKUP($E113,OpTbl,14,0)&lt;&gt;"",VLOOKUP($E113,OpTbl,14,0),$G113),""))</f>
        <v/>
      </c>
      <c r="V113" s="76">
        <f>IF(OR($AJ113="",$AJ113=0,$AL113&lt;&gt;"بدهکار"),"",$AJ113)</f>
        <v/>
      </c>
      <c r="W113" s="76">
        <f>IF(OR($AJ113="",$AJ113=0,$AL113&lt;&gt;"بستانکار"),"",$AJ113)</f>
        <v/>
      </c>
      <c r="X113" s="70">
        <f>IF($E113="","",IFERROR(VLOOKUP($E113,OpTbl,8,0),""))</f>
        <v/>
      </c>
      <c r="Y113" s="76">
        <f>IF(OR($X113="",$AJ113="",$AJ113=0,$AM113&lt;&gt;"بدهکار"),"",$AJ113)</f>
        <v/>
      </c>
      <c r="Z113" s="76">
        <f>IF(OR($X113="",$AJ113="",$AJ113=0,$AM113&lt;&gt;"بستانکار"),"",$AJ113)</f>
        <v/>
      </c>
      <c r="AA113" s="70">
        <f>IF(OR($E113="",$AN113="—",$AN113=""),"",IFERROR(VLOOKUP($E113,OpTbl,12,0),""))</f>
        <v/>
      </c>
      <c r="AB113" s="76">
        <f>IF(OR($AA113="",$Q113="",$Q113=0,$AN113&lt;&gt;"بدهکار"),"",$Q113)</f>
        <v/>
      </c>
      <c r="AC113" s="76">
        <f>IF(OR($AA113="",$Q113="",$Q113=0,$AN113&lt;&gt;"بستانکار"),"",$Q113)</f>
        <v/>
      </c>
      <c r="AD113" s="70">
        <f>IF($AA113="","",IFERROR(VLOOKUP($E113,OpTbl,13,0),""))</f>
        <v/>
      </c>
      <c r="AE113" s="76">
        <f>IF(OR($AD113="",$Q113="",$Q113=0,$AN113&lt;&gt;"بستانکار"),"",$Q113)</f>
        <v/>
      </c>
      <c r="AF113" s="76">
        <f>IF(OR($AD113="",$Q113="",$Q113=0,$AN113&lt;&gt;"بدهکار"),"",$Q113)</f>
        <v/>
      </c>
      <c r="AG113" s="76">
        <f>SUM($V113,$Y113,$AB113,$AE113)</f>
        <v/>
      </c>
      <c r="AH113" s="76">
        <f>SUM($W113,$Z113,$AC113,$AF113)</f>
        <v/>
      </c>
      <c r="AI113" s="70">
        <f>IF($E113="","",IF(ROUND($AG113-$AH113,0)=0,"✓","⚠"))</f>
        <v/>
      </c>
      <c r="AJ113" s="76">
        <f>IF(OR($E113="",$U113=""),"",IFERROR(IF(VLOOKUP($E113,OpTbl,6,0)="وزن",IF($P113="",0,$P113),IF(VLOOKUP($E113,OpTbl,6,0)="مبلغ",IF(AND($Q113&lt;&gt;"",$Q113&lt;&gt;0),$Q113,$P113),0))+IF(VLOOKUP($E113,OpTbl,10,0)="افزودن",IF($Q113="",0,$Q113),0),0))</f>
        <v/>
      </c>
      <c r="AK113" s="70">
        <f>IF($E113="","",IFERROR(VLOOKUP($E113,OpTbl,10,0),""))</f>
        <v/>
      </c>
      <c r="AL113" s="70">
        <f>IF(OR($E113="",$U113=""),"",IFERROR(IF(VLOOKUP($E113,OpTbl,7,0)="خودکار",$R113,VLOOKUP($E113,OpTbl,7,0)),""))</f>
        <v/>
      </c>
      <c r="AM113" s="70">
        <f>IF(OR($E113="",$X113=""),"",IFERROR(IF(VLOOKUP($E113,OpTbl,9,0)="خودکار",IF($AL113="بدهکار","بستانکار",IF($AL113="بستانکار","بدهکار","")),VLOOKUP($E113,OpTbl,9,0)),""))</f>
        <v/>
      </c>
      <c r="AN113" s="70">
        <f>IF($E113="","",IFERROR(VLOOKUP($E113,OpTbl,11,0),""))</f>
        <v/>
      </c>
      <c r="AO113" s="70">
        <f>IF($B113="","",MID($B113,6,2))</f>
        <v/>
      </c>
      <c r="AP113" s="76">
        <f>IF($B113="",0,1)</f>
        <v/>
      </c>
    </row>
    <row r="114" ht="21.75" customHeight="1">
      <c r="A114" s="70">
        <f>IF($B114="","",COUNTA($B$10:$B114))</f>
        <v/>
      </c>
      <c r="B114" s="71" t="n"/>
      <c r="C114" s="71" t="n"/>
      <c r="D114" s="71" t="n"/>
      <c r="E114" s="71" t="n"/>
      <c r="F114" s="70">
        <f>IF($E114="","",IFERROR(VLOOKUP($E114,OpTbl,2,0),""))</f>
        <v/>
      </c>
      <c r="G114" s="71" t="n"/>
      <c r="H114" s="73">
        <f>IF($U114="","",IFERROR(VLOOKUP($U114,AcctTbl,2,0),"کد ناشناخته"))</f>
        <v/>
      </c>
      <c r="I114" s="70">
        <f>IF($U114="","",IFERROR(VLOOKUP($U114,AcctTbl,3,0),""))</f>
        <v/>
      </c>
      <c r="J114" s="72" t="n"/>
      <c r="K114" s="71" t="n"/>
      <c r="L114" s="74" t="n"/>
      <c r="M114" s="74" t="n"/>
      <c r="N114" s="148">
        <f>IF(OR($E114="",$L114=""),"",IFERROR(($L114-IF($M114="",0,$M114)*IFERROR(VLOOKUP($K114,BasketTbl,4,0),IFERROR(INDEX(BasketTbl,MATCH($K114,BasketCodeCol,0),4),VLOOKUP("P01",ParamTbl,2,0))))*(1-IF(VLOOKUP($E114,OpTbl,3,0)="خرید",VLOOKUP("P02",ParamTbl,2,0),0)/100),""))</f>
        <v/>
      </c>
      <c r="O114" s="74" t="n"/>
      <c r="P114" s="76">
        <f>IF(OR($E114="",$L114=""),"",IFERROR(IF(VLOOKUP($E114,OpTbl,6,0)="وزن",ROUND($N114*$O114,-3),IF(VLOOKUP($E114,OpTbl,6,0)="مبلغ",ROUND($L114*$O114,-3),0)),""))</f>
        <v/>
      </c>
      <c r="Q114" s="74" t="n"/>
      <c r="R114" s="71" t="n"/>
      <c r="S114" s="77">
        <f>IF($E114="","",IF($AI114="⚠","⚠ ناتراز",IF(AND(IFERROR(VLOOKUP($E114,OpTbl,4,0),"")="بله",$L114=""),"⚠ وزن",IF(AND(IFERROR(VLOOKUP($E114,OpTbl,5,0),"")="بله",$U114=""),"⚠ حساب",IF(AND(IFERROR(VLOOKUP($E114,OpTbl,6,0),"")="مبلغ",$Q114=""),"⚠ مبلغ","✓")))))</f>
        <v/>
      </c>
      <c r="T114" s="72" t="n"/>
      <c r="U114" s="70">
        <f>IF($E114="","",IFERROR(IF(VLOOKUP($E114,OpTbl,14,0)&lt;&gt;"",VLOOKUP($E114,OpTbl,14,0),$G114),""))</f>
        <v/>
      </c>
      <c r="V114" s="76">
        <f>IF(OR($AJ114="",$AJ114=0,$AL114&lt;&gt;"بدهکار"),"",$AJ114)</f>
        <v/>
      </c>
      <c r="W114" s="76">
        <f>IF(OR($AJ114="",$AJ114=0,$AL114&lt;&gt;"بستانکار"),"",$AJ114)</f>
        <v/>
      </c>
      <c r="X114" s="70">
        <f>IF($E114="","",IFERROR(VLOOKUP($E114,OpTbl,8,0),""))</f>
        <v/>
      </c>
      <c r="Y114" s="76">
        <f>IF(OR($X114="",$AJ114="",$AJ114=0,$AM114&lt;&gt;"بدهکار"),"",$AJ114)</f>
        <v/>
      </c>
      <c r="Z114" s="76">
        <f>IF(OR($X114="",$AJ114="",$AJ114=0,$AM114&lt;&gt;"بستانکار"),"",$AJ114)</f>
        <v/>
      </c>
      <c r="AA114" s="70">
        <f>IF(OR($E114="",$AN114="—",$AN114=""),"",IFERROR(VLOOKUP($E114,OpTbl,12,0),""))</f>
        <v/>
      </c>
      <c r="AB114" s="76">
        <f>IF(OR($AA114="",$Q114="",$Q114=0,$AN114&lt;&gt;"بدهکار"),"",$Q114)</f>
        <v/>
      </c>
      <c r="AC114" s="76">
        <f>IF(OR($AA114="",$Q114="",$Q114=0,$AN114&lt;&gt;"بستانکار"),"",$Q114)</f>
        <v/>
      </c>
      <c r="AD114" s="70">
        <f>IF($AA114="","",IFERROR(VLOOKUP($E114,OpTbl,13,0),""))</f>
        <v/>
      </c>
      <c r="AE114" s="76">
        <f>IF(OR($AD114="",$Q114="",$Q114=0,$AN114&lt;&gt;"بستانکار"),"",$Q114)</f>
        <v/>
      </c>
      <c r="AF114" s="76">
        <f>IF(OR($AD114="",$Q114="",$Q114=0,$AN114&lt;&gt;"بدهکار"),"",$Q114)</f>
        <v/>
      </c>
      <c r="AG114" s="76">
        <f>SUM($V114,$Y114,$AB114,$AE114)</f>
        <v/>
      </c>
      <c r="AH114" s="76">
        <f>SUM($W114,$Z114,$AC114,$AF114)</f>
        <v/>
      </c>
      <c r="AI114" s="70">
        <f>IF($E114="","",IF(ROUND($AG114-$AH114,0)=0,"✓","⚠"))</f>
        <v/>
      </c>
      <c r="AJ114" s="76">
        <f>IF(OR($E114="",$U114=""),"",IFERROR(IF(VLOOKUP($E114,OpTbl,6,0)="وزن",IF($P114="",0,$P114),IF(VLOOKUP($E114,OpTbl,6,0)="مبلغ",IF(AND($Q114&lt;&gt;"",$Q114&lt;&gt;0),$Q114,$P114),0))+IF(VLOOKUP($E114,OpTbl,10,0)="افزودن",IF($Q114="",0,$Q114),0),0))</f>
        <v/>
      </c>
      <c r="AK114" s="70">
        <f>IF($E114="","",IFERROR(VLOOKUP($E114,OpTbl,10,0),""))</f>
        <v/>
      </c>
      <c r="AL114" s="70">
        <f>IF(OR($E114="",$U114=""),"",IFERROR(IF(VLOOKUP($E114,OpTbl,7,0)="خودکار",$R114,VLOOKUP($E114,OpTbl,7,0)),""))</f>
        <v/>
      </c>
      <c r="AM114" s="70">
        <f>IF(OR($E114="",$X114=""),"",IFERROR(IF(VLOOKUP($E114,OpTbl,9,0)="خودکار",IF($AL114="بدهکار","بستانکار",IF($AL114="بستانکار","بدهکار","")),VLOOKUP($E114,OpTbl,9,0)),""))</f>
        <v/>
      </c>
      <c r="AN114" s="70">
        <f>IF($E114="","",IFERROR(VLOOKUP($E114,OpTbl,11,0),""))</f>
        <v/>
      </c>
      <c r="AO114" s="70">
        <f>IF($B114="","",MID($B114,6,2))</f>
        <v/>
      </c>
      <c r="AP114" s="76">
        <f>IF($B114="",0,1)</f>
        <v/>
      </c>
    </row>
    <row r="115" ht="21.75" customHeight="1">
      <c r="A115" s="70">
        <f>IF($B115="","",COUNTA($B$10:$B115))</f>
        <v/>
      </c>
      <c r="B115" s="71" t="n"/>
      <c r="C115" s="71" t="n"/>
      <c r="D115" s="71" t="n"/>
      <c r="E115" s="71" t="n"/>
      <c r="F115" s="70">
        <f>IF($E115="","",IFERROR(VLOOKUP($E115,OpTbl,2,0),""))</f>
        <v/>
      </c>
      <c r="G115" s="71" t="n"/>
      <c r="H115" s="73">
        <f>IF($U115="","",IFERROR(VLOOKUP($U115,AcctTbl,2,0),"کد ناشناخته"))</f>
        <v/>
      </c>
      <c r="I115" s="70">
        <f>IF($U115="","",IFERROR(VLOOKUP($U115,AcctTbl,3,0),""))</f>
        <v/>
      </c>
      <c r="J115" s="72" t="n"/>
      <c r="K115" s="71" t="n"/>
      <c r="L115" s="74" t="n"/>
      <c r="M115" s="74" t="n"/>
      <c r="N115" s="148">
        <f>IF(OR($E115="",$L115=""),"",IFERROR(($L115-IF($M115="",0,$M115)*IFERROR(VLOOKUP($K115,BasketTbl,4,0),IFERROR(INDEX(BasketTbl,MATCH($K115,BasketCodeCol,0),4),VLOOKUP("P01",ParamTbl,2,0))))*(1-IF(VLOOKUP($E115,OpTbl,3,0)="خرید",VLOOKUP("P02",ParamTbl,2,0),0)/100),""))</f>
        <v/>
      </c>
      <c r="O115" s="74" t="n"/>
      <c r="P115" s="76">
        <f>IF(OR($E115="",$L115=""),"",IFERROR(IF(VLOOKUP($E115,OpTbl,6,0)="وزن",ROUND($N115*$O115,-3),IF(VLOOKUP($E115,OpTbl,6,0)="مبلغ",ROUND($L115*$O115,-3),0)),""))</f>
        <v/>
      </c>
      <c r="Q115" s="74" t="n"/>
      <c r="R115" s="71" t="n"/>
      <c r="S115" s="77">
        <f>IF($E115="","",IF($AI115="⚠","⚠ ناتراز",IF(AND(IFERROR(VLOOKUP($E115,OpTbl,4,0),"")="بله",$L115=""),"⚠ وزن",IF(AND(IFERROR(VLOOKUP($E115,OpTbl,5,0),"")="بله",$U115=""),"⚠ حساب",IF(AND(IFERROR(VLOOKUP($E115,OpTbl,6,0),"")="مبلغ",$Q115=""),"⚠ مبلغ","✓")))))</f>
        <v/>
      </c>
      <c r="T115" s="72" t="n"/>
      <c r="U115" s="70">
        <f>IF($E115="","",IFERROR(IF(VLOOKUP($E115,OpTbl,14,0)&lt;&gt;"",VLOOKUP($E115,OpTbl,14,0),$G115),""))</f>
        <v/>
      </c>
      <c r="V115" s="76">
        <f>IF(OR($AJ115="",$AJ115=0,$AL115&lt;&gt;"بدهکار"),"",$AJ115)</f>
        <v/>
      </c>
      <c r="W115" s="76">
        <f>IF(OR($AJ115="",$AJ115=0,$AL115&lt;&gt;"بستانکار"),"",$AJ115)</f>
        <v/>
      </c>
      <c r="X115" s="70">
        <f>IF($E115="","",IFERROR(VLOOKUP($E115,OpTbl,8,0),""))</f>
        <v/>
      </c>
      <c r="Y115" s="76">
        <f>IF(OR($X115="",$AJ115="",$AJ115=0,$AM115&lt;&gt;"بدهکار"),"",$AJ115)</f>
        <v/>
      </c>
      <c r="Z115" s="76">
        <f>IF(OR($X115="",$AJ115="",$AJ115=0,$AM115&lt;&gt;"بستانکار"),"",$AJ115)</f>
        <v/>
      </c>
      <c r="AA115" s="70">
        <f>IF(OR($E115="",$AN115="—",$AN115=""),"",IFERROR(VLOOKUP($E115,OpTbl,12,0),""))</f>
        <v/>
      </c>
      <c r="AB115" s="76">
        <f>IF(OR($AA115="",$Q115="",$Q115=0,$AN115&lt;&gt;"بدهکار"),"",$Q115)</f>
        <v/>
      </c>
      <c r="AC115" s="76">
        <f>IF(OR($AA115="",$Q115="",$Q115=0,$AN115&lt;&gt;"بستانکار"),"",$Q115)</f>
        <v/>
      </c>
      <c r="AD115" s="70">
        <f>IF($AA115="","",IFERROR(VLOOKUP($E115,OpTbl,13,0),""))</f>
        <v/>
      </c>
      <c r="AE115" s="76">
        <f>IF(OR($AD115="",$Q115="",$Q115=0,$AN115&lt;&gt;"بستانکار"),"",$Q115)</f>
        <v/>
      </c>
      <c r="AF115" s="76">
        <f>IF(OR($AD115="",$Q115="",$Q115=0,$AN115&lt;&gt;"بدهکار"),"",$Q115)</f>
        <v/>
      </c>
      <c r="AG115" s="76">
        <f>SUM($V115,$Y115,$AB115,$AE115)</f>
        <v/>
      </c>
      <c r="AH115" s="76">
        <f>SUM($W115,$Z115,$AC115,$AF115)</f>
        <v/>
      </c>
      <c r="AI115" s="70">
        <f>IF($E115="","",IF(ROUND($AG115-$AH115,0)=0,"✓","⚠"))</f>
        <v/>
      </c>
      <c r="AJ115" s="76">
        <f>IF(OR($E115="",$U115=""),"",IFERROR(IF(VLOOKUP($E115,OpTbl,6,0)="وزن",IF($P115="",0,$P115),IF(VLOOKUP($E115,OpTbl,6,0)="مبلغ",IF(AND($Q115&lt;&gt;"",$Q115&lt;&gt;0),$Q115,$P115),0))+IF(VLOOKUP($E115,OpTbl,10,0)="افزودن",IF($Q115="",0,$Q115),0),0))</f>
        <v/>
      </c>
      <c r="AK115" s="70">
        <f>IF($E115="","",IFERROR(VLOOKUP($E115,OpTbl,10,0),""))</f>
        <v/>
      </c>
      <c r="AL115" s="70">
        <f>IF(OR($E115="",$U115=""),"",IFERROR(IF(VLOOKUP($E115,OpTbl,7,0)="خودکار",$R115,VLOOKUP($E115,OpTbl,7,0)),""))</f>
        <v/>
      </c>
      <c r="AM115" s="70">
        <f>IF(OR($E115="",$X115=""),"",IFERROR(IF(VLOOKUP($E115,OpTbl,9,0)="خودکار",IF($AL115="بدهکار","بستانکار",IF($AL115="بستانکار","بدهکار","")),VLOOKUP($E115,OpTbl,9,0)),""))</f>
        <v/>
      </c>
      <c r="AN115" s="70">
        <f>IF($E115="","",IFERROR(VLOOKUP($E115,OpTbl,11,0),""))</f>
        <v/>
      </c>
      <c r="AO115" s="70">
        <f>IF($B115="","",MID($B115,6,2))</f>
        <v/>
      </c>
      <c r="AP115" s="76">
        <f>IF($B115="",0,1)</f>
        <v/>
      </c>
    </row>
    <row r="116" ht="21.75" customHeight="1">
      <c r="A116" s="70">
        <f>IF($B116="","",COUNTA($B$10:$B116))</f>
        <v/>
      </c>
      <c r="B116" s="71" t="n"/>
      <c r="C116" s="71" t="n"/>
      <c r="D116" s="71" t="n"/>
      <c r="E116" s="71" t="n"/>
      <c r="F116" s="70">
        <f>IF($E116="","",IFERROR(VLOOKUP($E116,OpTbl,2,0),""))</f>
        <v/>
      </c>
      <c r="G116" s="71" t="n"/>
      <c r="H116" s="73">
        <f>IF($U116="","",IFERROR(VLOOKUP($U116,AcctTbl,2,0),"کد ناشناخته"))</f>
        <v/>
      </c>
      <c r="I116" s="70">
        <f>IF($U116="","",IFERROR(VLOOKUP($U116,AcctTbl,3,0),""))</f>
        <v/>
      </c>
      <c r="J116" s="72" t="n"/>
      <c r="K116" s="71" t="n"/>
      <c r="L116" s="74" t="n"/>
      <c r="M116" s="74" t="n"/>
      <c r="N116" s="148">
        <f>IF(OR($E116="",$L116=""),"",IFERROR(($L116-IF($M116="",0,$M116)*IFERROR(VLOOKUP($K116,BasketTbl,4,0),IFERROR(INDEX(BasketTbl,MATCH($K116,BasketCodeCol,0),4),VLOOKUP("P01",ParamTbl,2,0))))*(1-IF(VLOOKUP($E116,OpTbl,3,0)="خرید",VLOOKUP("P02",ParamTbl,2,0),0)/100),""))</f>
        <v/>
      </c>
      <c r="O116" s="74" t="n"/>
      <c r="P116" s="76">
        <f>IF(OR($E116="",$L116=""),"",IFERROR(IF(VLOOKUP($E116,OpTbl,6,0)="وزن",ROUND($N116*$O116,-3),IF(VLOOKUP($E116,OpTbl,6,0)="مبلغ",ROUND($L116*$O116,-3),0)),""))</f>
        <v/>
      </c>
      <c r="Q116" s="74" t="n"/>
      <c r="R116" s="71" t="n"/>
      <c r="S116" s="77">
        <f>IF($E116="","",IF($AI116="⚠","⚠ ناتراز",IF(AND(IFERROR(VLOOKUP($E116,OpTbl,4,0),"")="بله",$L116=""),"⚠ وزن",IF(AND(IFERROR(VLOOKUP($E116,OpTbl,5,0),"")="بله",$U116=""),"⚠ حساب",IF(AND(IFERROR(VLOOKUP($E116,OpTbl,6,0),"")="مبلغ",$Q116=""),"⚠ مبلغ","✓")))))</f>
        <v/>
      </c>
      <c r="T116" s="72" t="n"/>
      <c r="U116" s="70">
        <f>IF($E116="","",IFERROR(IF(VLOOKUP($E116,OpTbl,14,0)&lt;&gt;"",VLOOKUP($E116,OpTbl,14,0),$G116),""))</f>
        <v/>
      </c>
      <c r="V116" s="76">
        <f>IF(OR($AJ116="",$AJ116=0,$AL116&lt;&gt;"بدهکار"),"",$AJ116)</f>
        <v/>
      </c>
      <c r="W116" s="76">
        <f>IF(OR($AJ116="",$AJ116=0,$AL116&lt;&gt;"بستانکار"),"",$AJ116)</f>
        <v/>
      </c>
      <c r="X116" s="70">
        <f>IF($E116="","",IFERROR(VLOOKUP($E116,OpTbl,8,0),""))</f>
        <v/>
      </c>
      <c r="Y116" s="76">
        <f>IF(OR($X116="",$AJ116="",$AJ116=0,$AM116&lt;&gt;"بدهکار"),"",$AJ116)</f>
        <v/>
      </c>
      <c r="Z116" s="76">
        <f>IF(OR($X116="",$AJ116="",$AJ116=0,$AM116&lt;&gt;"بستانکار"),"",$AJ116)</f>
        <v/>
      </c>
      <c r="AA116" s="70">
        <f>IF(OR($E116="",$AN116="—",$AN116=""),"",IFERROR(VLOOKUP($E116,OpTbl,12,0),""))</f>
        <v/>
      </c>
      <c r="AB116" s="76">
        <f>IF(OR($AA116="",$Q116="",$Q116=0,$AN116&lt;&gt;"بدهکار"),"",$Q116)</f>
        <v/>
      </c>
      <c r="AC116" s="76">
        <f>IF(OR($AA116="",$Q116="",$Q116=0,$AN116&lt;&gt;"بستانکار"),"",$Q116)</f>
        <v/>
      </c>
      <c r="AD116" s="70">
        <f>IF($AA116="","",IFERROR(VLOOKUP($E116,OpTbl,13,0),""))</f>
        <v/>
      </c>
      <c r="AE116" s="76">
        <f>IF(OR($AD116="",$Q116="",$Q116=0,$AN116&lt;&gt;"بستانکار"),"",$Q116)</f>
        <v/>
      </c>
      <c r="AF116" s="76">
        <f>IF(OR($AD116="",$Q116="",$Q116=0,$AN116&lt;&gt;"بدهکار"),"",$Q116)</f>
        <v/>
      </c>
      <c r="AG116" s="76">
        <f>SUM($V116,$Y116,$AB116,$AE116)</f>
        <v/>
      </c>
      <c r="AH116" s="76">
        <f>SUM($W116,$Z116,$AC116,$AF116)</f>
        <v/>
      </c>
      <c r="AI116" s="70">
        <f>IF($E116="","",IF(ROUND($AG116-$AH116,0)=0,"✓","⚠"))</f>
        <v/>
      </c>
      <c r="AJ116" s="76">
        <f>IF(OR($E116="",$U116=""),"",IFERROR(IF(VLOOKUP($E116,OpTbl,6,0)="وزن",IF($P116="",0,$P116),IF(VLOOKUP($E116,OpTbl,6,0)="مبلغ",IF(AND($Q116&lt;&gt;"",$Q116&lt;&gt;0),$Q116,$P116),0))+IF(VLOOKUP($E116,OpTbl,10,0)="افزودن",IF($Q116="",0,$Q116),0),0))</f>
        <v/>
      </c>
      <c r="AK116" s="70">
        <f>IF($E116="","",IFERROR(VLOOKUP($E116,OpTbl,10,0),""))</f>
        <v/>
      </c>
      <c r="AL116" s="70">
        <f>IF(OR($E116="",$U116=""),"",IFERROR(IF(VLOOKUP($E116,OpTbl,7,0)="خودکار",$R116,VLOOKUP($E116,OpTbl,7,0)),""))</f>
        <v/>
      </c>
      <c r="AM116" s="70">
        <f>IF(OR($E116="",$X116=""),"",IFERROR(IF(VLOOKUP($E116,OpTbl,9,0)="خودکار",IF($AL116="بدهکار","بستانکار",IF($AL116="بستانکار","بدهکار","")),VLOOKUP($E116,OpTbl,9,0)),""))</f>
        <v/>
      </c>
      <c r="AN116" s="70">
        <f>IF($E116="","",IFERROR(VLOOKUP($E116,OpTbl,11,0),""))</f>
        <v/>
      </c>
      <c r="AO116" s="70">
        <f>IF($B116="","",MID($B116,6,2))</f>
        <v/>
      </c>
      <c r="AP116" s="76">
        <f>IF($B116="",0,1)</f>
        <v/>
      </c>
    </row>
    <row r="117" ht="21.75" customHeight="1">
      <c r="A117" s="70">
        <f>IF($B117="","",COUNTA($B$10:$B117))</f>
        <v/>
      </c>
      <c r="B117" s="71" t="n"/>
      <c r="C117" s="71" t="n"/>
      <c r="D117" s="71" t="n"/>
      <c r="E117" s="71" t="n"/>
      <c r="F117" s="70">
        <f>IF($E117="","",IFERROR(VLOOKUP($E117,OpTbl,2,0),""))</f>
        <v/>
      </c>
      <c r="G117" s="71" t="n"/>
      <c r="H117" s="73">
        <f>IF($U117="","",IFERROR(VLOOKUP($U117,AcctTbl,2,0),"کد ناشناخته"))</f>
        <v/>
      </c>
      <c r="I117" s="70">
        <f>IF($U117="","",IFERROR(VLOOKUP($U117,AcctTbl,3,0),""))</f>
        <v/>
      </c>
      <c r="J117" s="72" t="n"/>
      <c r="K117" s="71" t="n"/>
      <c r="L117" s="74" t="n"/>
      <c r="M117" s="74" t="n"/>
      <c r="N117" s="148">
        <f>IF(OR($E117="",$L117=""),"",IFERROR(($L117-IF($M117="",0,$M117)*IFERROR(VLOOKUP($K117,BasketTbl,4,0),IFERROR(INDEX(BasketTbl,MATCH($K117,BasketCodeCol,0),4),VLOOKUP("P01",ParamTbl,2,0))))*(1-IF(VLOOKUP($E117,OpTbl,3,0)="خرید",VLOOKUP("P02",ParamTbl,2,0),0)/100),""))</f>
        <v/>
      </c>
      <c r="O117" s="74" t="n"/>
      <c r="P117" s="76">
        <f>IF(OR($E117="",$L117=""),"",IFERROR(IF(VLOOKUP($E117,OpTbl,6,0)="وزن",ROUND($N117*$O117,-3),IF(VLOOKUP($E117,OpTbl,6,0)="مبلغ",ROUND($L117*$O117,-3),0)),""))</f>
        <v/>
      </c>
      <c r="Q117" s="74" t="n"/>
      <c r="R117" s="71" t="n"/>
      <c r="S117" s="77">
        <f>IF($E117="","",IF($AI117="⚠","⚠ ناتراز",IF(AND(IFERROR(VLOOKUP($E117,OpTbl,4,0),"")="بله",$L117=""),"⚠ وزن",IF(AND(IFERROR(VLOOKUP($E117,OpTbl,5,0),"")="بله",$U117=""),"⚠ حساب",IF(AND(IFERROR(VLOOKUP($E117,OpTbl,6,0),"")="مبلغ",$Q117=""),"⚠ مبلغ","✓")))))</f>
        <v/>
      </c>
      <c r="T117" s="72" t="n"/>
      <c r="U117" s="70">
        <f>IF($E117="","",IFERROR(IF(VLOOKUP($E117,OpTbl,14,0)&lt;&gt;"",VLOOKUP($E117,OpTbl,14,0),$G117),""))</f>
        <v/>
      </c>
      <c r="V117" s="76">
        <f>IF(OR($AJ117="",$AJ117=0,$AL117&lt;&gt;"بدهکار"),"",$AJ117)</f>
        <v/>
      </c>
      <c r="W117" s="76">
        <f>IF(OR($AJ117="",$AJ117=0,$AL117&lt;&gt;"بستانکار"),"",$AJ117)</f>
        <v/>
      </c>
      <c r="X117" s="70">
        <f>IF($E117="","",IFERROR(VLOOKUP($E117,OpTbl,8,0),""))</f>
        <v/>
      </c>
      <c r="Y117" s="76">
        <f>IF(OR($X117="",$AJ117="",$AJ117=0,$AM117&lt;&gt;"بدهکار"),"",$AJ117)</f>
        <v/>
      </c>
      <c r="Z117" s="76">
        <f>IF(OR($X117="",$AJ117="",$AJ117=0,$AM117&lt;&gt;"بستانکار"),"",$AJ117)</f>
        <v/>
      </c>
      <c r="AA117" s="70">
        <f>IF(OR($E117="",$AN117="—",$AN117=""),"",IFERROR(VLOOKUP($E117,OpTbl,12,0),""))</f>
        <v/>
      </c>
      <c r="AB117" s="76">
        <f>IF(OR($AA117="",$Q117="",$Q117=0,$AN117&lt;&gt;"بدهکار"),"",$Q117)</f>
        <v/>
      </c>
      <c r="AC117" s="76">
        <f>IF(OR($AA117="",$Q117="",$Q117=0,$AN117&lt;&gt;"بستانکار"),"",$Q117)</f>
        <v/>
      </c>
      <c r="AD117" s="70">
        <f>IF($AA117="","",IFERROR(VLOOKUP($E117,OpTbl,13,0),""))</f>
        <v/>
      </c>
      <c r="AE117" s="76">
        <f>IF(OR($AD117="",$Q117="",$Q117=0,$AN117&lt;&gt;"بستانکار"),"",$Q117)</f>
        <v/>
      </c>
      <c r="AF117" s="76">
        <f>IF(OR($AD117="",$Q117="",$Q117=0,$AN117&lt;&gt;"بدهکار"),"",$Q117)</f>
        <v/>
      </c>
      <c r="AG117" s="76">
        <f>SUM($V117,$Y117,$AB117,$AE117)</f>
        <v/>
      </c>
      <c r="AH117" s="76">
        <f>SUM($W117,$Z117,$AC117,$AF117)</f>
        <v/>
      </c>
      <c r="AI117" s="70">
        <f>IF($E117="","",IF(ROUND($AG117-$AH117,0)=0,"✓","⚠"))</f>
        <v/>
      </c>
      <c r="AJ117" s="76">
        <f>IF(OR($E117="",$U117=""),"",IFERROR(IF(VLOOKUP($E117,OpTbl,6,0)="وزن",IF($P117="",0,$P117),IF(VLOOKUP($E117,OpTbl,6,0)="مبلغ",IF(AND($Q117&lt;&gt;"",$Q117&lt;&gt;0),$Q117,$P117),0))+IF(VLOOKUP($E117,OpTbl,10,0)="افزودن",IF($Q117="",0,$Q117),0),0))</f>
        <v/>
      </c>
      <c r="AK117" s="70">
        <f>IF($E117="","",IFERROR(VLOOKUP($E117,OpTbl,10,0),""))</f>
        <v/>
      </c>
      <c r="AL117" s="70">
        <f>IF(OR($E117="",$U117=""),"",IFERROR(IF(VLOOKUP($E117,OpTbl,7,0)="خودکار",$R117,VLOOKUP($E117,OpTbl,7,0)),""))</f>
        <v/>
      </c>
      <c r="AM117" s="70">
        <f>IF(OR($E117="",$X117=""),"",IFERROR(IF(VLOOKUP($E117,OpTbl,9,0)="خودکار",IF($AL117="بدهکار","بستانکار",IF($AL117="بستانکار","بدهکار","")),VLOOKUP($E117,OpTbl,9,0)),""))</f>
        <v/>
      </c>
      <c r="AN117" s="70">
        <f>IF($E117="","",IFERROR(VLOOKUP($E117,OpTbl,11,0),""))</f>
        <v/>
      </c>
      <c r="AO117" s="70">
        <f>IF($B117="","",MID($B117,6,2))</f>
        <v/>
      </c>
      <c r="AP117" s="76">
        <f>IF($B117="",0,1)</f>
        <v/>
      </c>
    </row>
    <row r="118" ht="21.75" customHeight="1">
      <c r="A118" s="70">
        <f>IF($B118="","",COUNTA($B$10:$B118))</f>
        <v/>
      </c>
      <c r="B118" s="71" t="n"/>
      <c r="C118" s="71" t="n"/>
      <c r="D118" s="71" t="n"/>
      <c r="E118" s="71" t="n"/>
      <c r="F118" s="70">
        <f>IF($E118="","",IFERROR(VLOOKUP($E118,OpTbl,2,0),""))</f>
        <v/>
      </c>
      <c r="G118" s="71" t="n"/>
      <c r="H118" s="73">
        <f>IF($U118="","",IFERROR(VLOOKUP($U118,AcctTbl,2,0),"کد ناشناخته"))</f>
        <v/>
      </c>
      <c r="I118" s="70">
        <f>IF($U118="","",IFERROR(VLOOKUP($U118,AcctTbl,3,0),""))</f>
        <v/>
      </c>
      <c r="J118" s="72" t="n"/>
      <c r="K118" s="71" t="n"/>
      <c r="L118" s="74" t="n"/>
      <c r="M118" s="74" t="n"/>
      <c r="N118" s="148">
        <f>IF(OR($E118="",$L118=""),"",IFERROR(($L118-IF($M118="",0,$M118)*IFERROR(VLOOKUP($K118,BasketTbl,4,0),IFERROR(INDEX(BasketTbl,MATCH($K118,BasketCodeCol,0),4),VLOOKUP("P01",ParamTbl,2,0))))*(1-IF(VLOOKUP($E118,OpTbl,3,0)="خرید",VLOOKUP("P02",ParamTbl,2,0),0)/100),""))</f>
        <v/>
      </c>
      <c r="O118" s="74" t="n"/>
      <c r="P118" s="76">
        <f>IF(OR($E118="",$L118=""),"",IFERROR(IF(VLOOKUP($E118,OpTbl,6,0)="وزن",ROUND($N118*$O118,-3),IF(VLOOKUP($E118,OpTbl,6,0)="مبلغ",ROUND($L118*$O118,-3),0)),""))</f>
        <v/>
      </c>
      <c r="Q118" s="74" t="n"/>
      <c r="R118" s="71" t="n"/>
      <c r="S118" s="77">
        <f>IF($E118="","",IF($AI118="⚠","⚠ ناتراز",IF(AND(IFERROR(VLOOKUP($E118,OpTbl,4,0),"")="بله",$L118=""),"⚠ وزن",IF(AND(IFERROR(VLOOKUP($E118,OpTbl,5,0),"")="بله",$U118=""),"⚠ حساب",IF(AND(IFERROR(VLOOKUP($E118,OpTbl,6,0),"")="مبلغ",$Q118=""),"⚠ مبلغ","✓")))))</f>
        <v/>
      </c>
      <c r="T118" s="72" t="n"/>
      <c r="U118" s="70">
        <f>IF($E118="","",IFERROR(IF(VLOOKUP($E118,OpTbl,14,0)&lt;&gt;"",VLOOKUP($E118,OpTbl,14,0),$G118),""))</f>
        <v/>
      </c>
      <c r="V118" s="76">
        <f>IF(OR($AJ118="",$AJ118=0,$AL118&lt;&gt;"بدهکار"),"",$AJ118)</f>
        <v/>
      </c>
      <c r="W118" s="76">
        <f>IF(OR($AJ118="",$AJ118=0,$AL118&lt;&gt;"بستانکار"),"",$AJ118)</f>
        <v/>
      </c>
      <c r="X118" s="70">
        <f>IF($E118="","",IFERROR(VLOOKUP($E118,OpTbl,8,0),""))</f>
        <v/>
      </c>
      <c r="Y118" s="76">
        <f>IF(OR($X118="",$AJ118="",$AJ118=0,$AM118&lt;&gt;"بدهکار"),"",$AJ118)</f>
        <v/>
      </c>
      <c r="Z118" s="76">
        <f>IF(OR($X118="",$AJ118="",$AJ118=0,$AM118&lt;&gt;"بستانکار"),"",$AJ118)</f>
        <v/>
      </c>
      <c r="AA118" s="70">
        <f>IF(OR($E118="",$AN118="—",$AN118=""),"",IFERROR(VLOOKUP($E118,OpTbl,12,0),""))</f>
        <v/>
      </c>
      <c r="AB118" s="76">
        <f>IF(OR($AA118="",$Q118="",$Q118=0,$AN118&lt;&gt;"بدهکار"),"",$Q118)</f>
        <v/>
      </c>
      <c r="AC118" s="76">
        <f>IF(OR($AA118="",$Q118="",$Q118=0,$AN118&lt;&gt;"بستانکار"),"",$Q118)</f>
        <v/>
      </c>
      <c r="AD118" s="70">
        <f>IF($AA118="","",IFERROR(VLOOKUP($E118,OpTbl,13,0),""))</f>
        <v/>
      </c>
      <c r="AE118" s="76">
        <f>IF(OR($AD118="",$Q118="",$Q118=0,$AN118&lt;&gt;"بستانکار"),"",$Q118)</f>
        <v/>
      </c>
      <c r="AF118" s="76">
        <f>IF(OR($AD118="",$Q118="",$Q118=0,$AN118&lt;&gt;"بدهکار"),"",$Q118)</f>
        <v/>
      </c>
      <c r="AG118" s="76">
        <f>SUM($V118,$Y118,$AB118,$AE118)</f>
        <v/>
      </c>
      <c r="AH118" s="76">
        <f>SUM($W118,$Z118,$AC118,$AF118)</f>
        <v/>
      </c>
      <c r="AI118" s="70">
        <f>IF($E118="","",IF(ROUND($AG118-$AH118,0)=0,"✓","⚠"))</f>
        <v/>
      </c>
      <c r="AJ118" s="76">
        <f>IF(OR($E118="",$U118=""),"",IFERROR(IF(VLOOKUP($E118,OpTbl,6,0)="وزن",IF($P118="",0,$P118),IF(VLOOKUP($E118,OpTbl,6,0)="مبلغ",IF(AND($Q118&lt;&gt;"",$Q118&lt;&gt;0),$Q118,$P118),0))+IF(VLOOKUP($E118,OpTbl,10,0)="افزودن",IF($Q118="",0,$Q118),0),0))</f>
        <v/>
      </c>
      <c r="AK118" s="70">
        <f>IF($E118="","",IFERROR(VLOOKUP($E118,OpTbl,10,0),""))</f>
        <v/>
      </c>
      <c r="AL118" s="70">
        <f>IF(OR($E118="",$U118=""),"",IFERROR(IF(VLOOKUP($E118,OpTbl,7,0)="خودکار",$R118,VLOOKUP($E118,OpTbl,7,0)),""))</f>
        <v/>
      </c>
      <c r="AM118" s="70">
        <f>IF(OR($E118="",$X118=""),"",IFERROR(IF(VLOOKUP($E118,OpTbl,9,0)="خودکار",IF($AL118="بدهکار","بستانکار",IF($AL118="بستانکار","بدهکار","")),VLOOKUP($E118,OpTbl,9,0)),""))</f>
        <v/>
      </c>
      <c r="AN118" s="70">
        <f>IF($E118="","",IFERROR(VLOOKUP($E118,OpTbl,11,0),""))</f>
        <v/>
      </c>
      <c r="AO118" s="70">
        <f>IF($B118="","",MID($B118,6,2))</f>
        <v/>
      </c>
      <c r="AP118" s="76">
        <f>IF($B118="",0,1)</f>
        <v/>
      </c>
    </row>
    <row r="119" ht="21.75" customHeight="1">
      <c r="A119" s="70">
        <f>IF($B119="","",COUNTA($B$10:$B119))</f>
        <v/>
      </c>
      <c r="B119" s="71" t="n"/>
      <c r="C119" s="71" t="n"/>
      <c r="D119" s="71" t="n"/>
      <c r="E119" s="71" t="n"/>
      <c r="F119" s="70">
        <f>IF($E119="","",IFERROR(VLOOKUP($E119,OpTbl,2,0),""))</f>
        <v/>
      </c>
      <c r="G119" s="71" t="n"/>
      <c r="H119" s="73">
        <f>IF($U119="","",IFERROR(VLOOKUP($U119,AcctTbl,2,0),"کد ناشناخته"))</f>
        <v/>
      </c>
      <c r="I119" s="70">
        <f>IF($U119="","",IFERROR(VLOOKUP($U119,AcctTbl,3,0),""))</f>
        <v/>
      </c>
      <c r="J119" s="72" t="n"/>
      <c r="K119" s="71" t="n"/>
      <c r="L119" s="74" t="n"/>
      <c r="M119" s="74" t="n"/>
      <c r="N119" s="148">
        <f>IF(OR($E119="",$L119=""),"",IFERROR(($L119-IF($M119="",0,$M119)*IFERROR(VLOOKUP($K119,BasketTbl,4,0),IFERROR(INDEX(BasketTbl,MATCH($K119,BasketCodeCol,0),4),VLOOKUP("P01",ParamTbl,2,0))))*(1-IF(VLOOKUP($E119,OpTbl,3,0)="خرید",VLOOKUP("P02",ParamTbl,2,0),0)/100),""))</f>
        <v/>
      </c>
      <c r="O119" s="74" t="n"/>
      <c r="P119" s="76">
        <f>IF(OR($E119="",$L119=""),"",IFERROR(IF(VLOOKUP($E119,OpTbl,6,0)="وزن",ROUND($N119*$O119,-3),IF(VLOOKUP($E119,OpTbl,6,0)="مبلغ",ROUND($L119*$O119,-3),0)),""))</f>
        <v/>
      </c>
      <c r="Q119" s="74" t="n"/>
      <c r="R119" s="71" t="n"/>
      <c r="S119" s="77">
        <f>IF($E119="","",IF($AI119="⚠","⚠ ناتراز",IF(AND(IFERROR(VLOOKUP($E119,OpTbl,4,0),"")="بله",$L119=""),"⚠ وزن",IF(AND(IFERROR(VLOOKUP($E119,OpTbl,5,0),"")="بله",$U119=""),"⚠ حساب",IF(AND(IFERROR(VLOOKUP($E119,OpTbl,6,0),"")="مبلغ",$Q119=""),"⚠ مبلغ","✓")))))</f>
        <v/>
      </c>
      <c r="T119" s="72" t="n"/>
      <c r="U119" s="70">
        <f>IF($E119="","",IFERROR(IF(VLOOKUP($E119,OpTbl,14,0)&lt;&gt;"",VLOOKUP($E119,OpTbl,14,0),$G119),""))</f>
        <v/>
      </c>
      <c r="V119" s="76">
        <f>IF(OR($AJ119="",$AJ119=0,$AL119&lt;&gt;"بدهکار"),"",$AJ119)</f>
        <v/>
      </c>
      <c r="W119" s="76">
        <f>IF(OR($AJ119="",$AJ119=0,$AL119&lt;&gt;"بستانکار"),"",$AJ119)</f>
        <v/>
      </c>
      <c r="X119" s="70">
        <f>IF($E119="","",IFERROR(VLOOKUP($E119,OpTbl,8,0),""))</f>
        <v/>
      </c>
      <c r="Y119" s="76">
        <f>IF(OR($X119="",$AJ119="",$AJ119=0,$AM119&lt;&gt;"بدهکار"),"",$AJ119)</f>
        <v/>
      </c>
      <c r="Z119" s="76">
        <f>IF(OR($X119="",$AJ119="",$AJ119=0,$AM119&lt;&gt;"بستانکار"),"",$AJ119)</f>
        <v/>
      </c>
      <c r="AA119" s="70">
        <f>IF(OR($E119="",$AN119="—",$AN119=""),"",IFERROR(VLOOKUP($E119,OpTbl,12,0),""))</f>
        <v/>
      </c>
      <c r="AB119" s="76">
        <f>IF(OR($AA119="",$Q119="",$Q119=0,$AN119&lt;&gt;"بدهکار"),"",$Q119)</f>
        <v/>
      </c>
      <c r="AC119" s="76">
        <f>IF(OR($AA119="",$Q119="",$Q119=0,$AN119&lt;&gt;"بستانکار"),"",$Q119)</f>
        <v/>
      </c>
      <c r="AD119" s="70">
        <f>IF($AA119="","",IFERROR(VLOOKUP($E119,OpTbl,13,0),""))</f>
        <v/>
      </c>
      <c r="AE119" s="76">
        <f>IF(OR($AD119="",$Q119="",$Q119=0,$AN119&lt;&gt;"بستانکار"),"",$Q119)</f>
        <v/>
      </c>
      <c r="AF119" s="76">
        <f>IF(OR($AD119="",$Q119="",$Q119=0,$AN119&lt;&gt;"بدهکار"),"",$Q119)</f>
        <v/>
      </c>
      <c r="AG119" s="76">
        <f>SUM($V119,$Y119,$AB119,$AE119)</f>
        <v/>
      </c>
      <c r="AH119" s="76">
        <f>SUM($W119,$Z119,$AC119,$AF119)</f>
        <v/>
      </c>
      <c r="AI119" s="70">
        <f>IF($E119="","",IF(ROUND($AG119-$AH119,0)=0,"✓","⚠"))</f>
        <v/>
      </c>
      <c r="AJ119" s="76">
        <f>IF(OR($E119="",$U119=""),"",IFERROR(IF(VLOOKUP($E119,OpTbl,6,0)="وزن",IF($P119="",0,$P119),IF(VLOOKUP($E119,OpTbl,6,0)="مبلغ",IF(AND($Q119&lt;&gt;"",$Q119&lt;&gt;0),$Q119,$P119),0))+IF(VLOOKUP($E119,OpTbl,10,0)="افزودن",IF($Q119="",0,$Q119),0),0))</f>
        <v/>
      </c>
      <c r="AK119" s="70">
        <f>IF($E119="","",IFERROR(VLOOKUP($E119,OpTbl,10,0),""))</f>
        <v/>
      </c>
      <c r="AL119" s="70">
        <f>IF(OR($E119="",$U119=""),"",IFERROR(IF(VLOOKUP($E119,OpTbl,7,0)="خودکار",$R119,VLOOKUP($E119,OpTbl,7,0)),""))</f>
        <v/>
      </c>
      <c r="AM119" s="70">
        <f>IF(OR($E119="",$X119=""),"",IFERROR(IF(VLOOKUP($E119,OpTbl,9,0)="خودکار",IF($AL119="بدهکار","بستانکار",IF($AL119="بستانکار","بدهکار","")),VLOOKUP($E119,OpTbl,9,0)),""))</f>
        <v/>
      </c>
      <c r="AN119" s="70">
        <f>IF($E119="","",IFERROR(VLOOKUP($E119,OpTbl,11,0),""))</f>
        <v/>
      </c>
      <c r="AO119" s="70">
        <f>IF($B119="","",MID($B119,6,2))</f>
        <v/>
      </c>
      <c r="AP119" s="76">
        <f>IF($B119="",0,1)</f>
        <v/>
      </c>
    </row>
    <row r="120" ht="21.75" customHeight="1">
      <c r="A120" s="70">
        <f>IF($B120="","",COUNTA($B$10:$B120))</f>
        <v/>
      </c>
      <c r="B120" s="71" t="n"/>
      <c r="C120" s="71" t="n"/>
      <c r="D120" s="71" t="n"/>
      <c r="E120" s="71" t="n"/>
      <c r="F120" s="70">
        <f>IF($E120="","",IFERROR(VLOOKUP($E120,OpTbl,2,0),""))</f>
        <v/>
      </c>
      <c r="G120" s="71" t="n"/>
      <c r="H120" s="73">
        <f>IF($U120="","",IFERROR(VLOOKUP($U120,AcctTbl,2,0),"کد ناشناخته"))</f>
        <v/>
      </c>
      <c r="I120" s="70">
        <f>IF($U120="","",IFERROR(VLOOKUP($U120,AcctTbl,3,0),""))</f>
        <v/>
      </c>
      <c r="J120" s="72" t="n"/>
      <c r="K120" s="71" t="n"/>
      <c r="L120" s="74" t="n"/>
      <c r="M120" s="74" t="n"/>
      <c r="N120" s="148">
        <f>IF(OR($E120="",$L120=""),"",IFERROR(($L120-IF($M120="",0,$M120)*IFERROR(VLOOKUP($K120,BasketTbl,4,0),IFERROR(INDEX(BasketTbl,MATCH($K120,BasketCodeCol,0),4),VLOOKUP("P01",ParamTbl,2,0))))*(1-IF(VLOOKUP($E120,OpTbl,3,0)="خرید",VLOOKUP("P02",ParamTbl,2,0),0)/100),""))</f>
        <v/>
      </c>
      <c r="O120" s="74" t="n"/>
      <c r="P120" s="76">
        <f>IF(OR($E120="",$L120=""),"",IFERROR(IF(VLOOKUP($E120,OpTbl,6,0)="وزن",ROUND($N120*$O120,-3),IF(VLOOKUP($E120,OpTbl,6,0)="مبلغ",ROUND($L120*$O120,-3),0)),""))</f>
        <v/>
      </c>
      <c r="Q120" s="74" t="n"/>
      <c r="R120" s="71" t="n"/>
      <c r="S120" s="77">
        <f>IF($E120="","",IF($AI120="⚠","⚠ ناتراز",IF(AND(IFERROR(VLOOKUP($E120,OpTbl,4,0),"")="بله",$L120=""),"⚠ وزن",IF(AND(IFERROR(VLOOKUP($E120,OpTbl,5,0),"")="بله",$U120=""),"⚠ حساب",IF(AND(IFERROR(VLOOKUP($E120,OpTbl,6,0),"")="مبلغ",$Q120=""),"⚠ مبلغ","✓")))))</f>
        <v/>
      </c>
      <c r="T120" s="72" t="n"/>
      <c r="U120" s="70">
        <f>IF($E120="","",IFERROR(IF(VLOOKUP($E120,OpTbl,14,0)&lt;&gt;"",VLOOKUP($E120,OpTbl,14,0),$G120),""))</f>
        <v/>
      </c>
      <c r="V120" s="76">
        <f>IF(OR($AJ120="",$AJ120=0,$AL120&lt;&gt;"بدهکار"),"",$AJ120)</f>
        <v/>
      </c>
      <c r="W120" s="76">
        <f>IF(OR($AJ120="",$AJ120=0,$AL120&lt;&gt;"بستانکار"),"",$AJ120)</f>
        <v/>
      </c>
      <c r="X120" s="70">
        <f>IF($E120="","",IFERROR(VLOOKUP($E120,OpTbl,8,0),""))</f>
        <v/>
      </c>
      <c r="Y120" s="76">
        <f>IF(OR($X120="",$AJ120="",$AJ120=0,$AM120&lt;&gt;"بدهکار"),"",$AJ120)</f>
        <v/>
      </c>
      <c r="Z120" s="76">
        <f>IF(OR($X120="",$AJ120="",$AJ120=0,$AM120&lt;&gt;"بستانکار"),"",$AJ120)</f>
        <v/>
      </c>
      <c r="AA120" s="70">
        <f>IF(OR($E120="",$AN120="—",$AN120=""),"",IFERROR(VLOOKUP($E120,OpTbl,12,0),""))</f>
        <v/>
      </c>
      <c r="AB120" s="76">
        <f>IF(OR($AA120="",$Q120="",$Q120=0,$AN120&lt;&gt;"بدهکار"),"",$Q120)</f>
        <v/>
      </c>
      <c r="AC120" s="76">
        <f>IF(OR($AA120="",$Q120="",$Q120=0,$AN120&lt;&gt;"بستانکار"),"",$Q120)</f>
        <v/>
      </c>
      <c r="AD120" s="70">
        <f>IF($AA120="","",IFERROR(VLOOKUP($E120,OpTbl,13,0),""))</f>
        <v/>
      </c>
      <c r="AE120" s="76">
        <f>IF(OR($AD120="",$Q120="",$Q120=0,$AN120&lt;&gt;"بستانکار"),"",$Q120)</f>
        <v/>
      </c>
      <c r="AF120" s="76">
        <f>IF(OR($AD120="",$Q120="",$Q120=0,$AN120&lt;&gt;"بدهکار"),"",$Q120)</f>
        <v/>
      </c>
      <c r="AG120" s="76">
        <f>SUM($V120,$Y120,$AB120,$AE120)</f>
        <v/>
      </c>
      <c r="AH120" s="76">
        <f>SUM($W120,$Z120,$AC120,$AF120)</f>
        <v/>
      </c>
      <c r="AI120" s="70">
        <f>IF($E120="","",IF(ROUND($AG120-$AH120,0)=0,"✓","⚠"))</f>
        <v/>
      </c>
      <c r="AJ120" s="76">
        <f>IF(OR($E120="",$U120=""),"",IFERROR(IF(VLOOKUP($E120,OpTbl,6,0)="وزن",IF($P120="",0,$P120),IF(VLOOKUP($E120,OpTbl,6,0)="مبلغ",IF(AND($Q120&lt;&gt;"",$Q120&lt;&gt;0),$Q120,$P120),0))+IF(VLOOKUP($E120,OpTbl,10,0)="افزودن",IF($Q120="",0,$Q120),0),0))</f>
        <v/>
      </c>
      <c r="AK120" s="70">
        <f>IF($E120="","",IFERROR(VLOOKUP($E120,OpTbl,10,0),""))</f>
        <v/>
      </c>
      <c r="AL120" s="70">
        <f>IF(OR($E120="",$U120=""),"",IFERROR(IF(VLOOKUP($E120,OpTbl,7,0)="خودکار",$R120,VLOOKUP($E120,OpTbl,7,0)),""))</f>
        <v/>
      </c>
      <c r="AM120" s="70">
        <f>IF(OR($E120="",$X120=""),"",IFERROR(IF(VLOOKUP($E120,OpTbl,9,0)="خودکار",IF($AL120="بدهکار","بستانکار",IF($AL120="بستانکار","بدهکار","")),VLOOKUP($E120,OpTbl,9,0)),""))</f>
        <v/>
      </c>
      <c r="AN120" s="70">
        <f>IF($E120="","",IFERROR(VLOOKUP($E120,OpTbl,11,0),""))</f>
        <v/>
      </c>
      <c r="AO120" s="70">
        <f>IF($B120="","",MID($B120,6,2))</f>
        <v/>
      </c>
      <c r="AP120" s="76">
        <f>IF($B120="",0,1)</f>
        <v/>
      </c>
    </row>
    <row r="121" ht="21.75" customHeight="1">
      <c r="A121" s="70">
        <f>IF($B121="","",COUNTA($B$10:$B121))</f>
        <v/>
      </c>
      <c r="B121" s="71" t="n"/>
      <c r="C121" s="71" t="n"/>
      <c r="D121" s="71" t="n"/>
      <c r="E121" s="71" t="n"/>
      <c r="F121" s="70">
        <f>IF($E121="","",IFERROR(VLOOKUP($E121,OpTbl,2,0),""))</f>
        <v/>
      </c>
      <c r="G121" s="71" t="n"/>
      <c r="H121" s="73">
        <f>IF($U121="","",IFERROR(VLOOKUP($U121,AcctTbl,2,0),"کد ناشناخته"))</f>
        <v/>
      </c>
      <c r="I121" s="70">
        <f>IF($U121="","",IFERROR(VLOOKUP($U121,AcctTbl,3,0),""))</f>
        <v/>
      </c>
      <c r="J121" s="72" t="n"/>
      <c r="K121" s="71" t="n"/>
      <c r="L121" s="74" t="n"/>
      <c r="M121" s="74" t="n"/>
      <c r="N121" s="148">
        <f>IF(OR($E121="",$L121=""),"",IFERROR(($L121-IF($M121="",0,$M121)*IFERROR(VLOOKUP($K121,BasketTbl,4,0),IFERROR(INDEX(BasketTbl,MATCH($K121,BasketCodeCol,0),4),VLOOKUP("P01",ParamTbl,2,0))))*(1-IF(VLOOKUP($E121,OpTbl,3,0)="خرید",VLOOKUP("P02",ParamTbl,2,0),0)/100),""))</f>
        <v/>
      </c>
      <c r="O121" s="74" t="n"/>
      <c r="P121" s="76">
        <f>IF(OR($E121="",$L121=""),"",IFERROR(IF(VLOOKUP($E121,OpTbl,6,0)="وزن",ROUND($N121*$O121,-3),IF(VLOOKUP($E121,OpTbl,6,0)="مبلغ",ROUND($L121*$O121,-3),0)),""))</f>
        <v/>
      </c>
      <c r="Q121" s="74" t="n"/>
      <c r="R121" s="71" t="n"/>
      <c r="S121" s="77">
        <f>IF($E121="","",IF($AI121="⚠","⚠ ناتراز",IF(AND(IFERROR(VLOOKUP($E121,OpTbl,4,0),"")="بله",$L121=""),"⚠ وزن",IF(AND(IFERROR(VLOOKUP($E121,OpTbl,5,0),"")="بله",$U121=""),"⚠ حساب",IF(AND(IFERROR(VLOOKUP($E121,OpTbl,6,0),"")="مبلغ",$Q121=""),"⚠ مبلغ","✓")))))</f>
        <v/>
      </c>
      <c r="T121" s="72" t="n"/>
      <c r="U121" s="70">
        <f>IF($E121="","",IFERROR(IF(VLOOKUP($E121,OpTbl,14,0)&lt;&gt;"",VLOOKUP($E121,OpTbl,14,0),$G121),""))</f>
        <v/>
      </c>
      <c r="V121" s="76">
        <f>IF(OR($AJ121="",$AJ121=0,$AL121&lt;&gt;"بدهکار"),"",$AJ121)</f>
        <v/>
      </c>
      <c r="W121" s="76">
        <f>IF(OR($AJ121="",$AJ121=0,$AL121&lt;&gt;"بستانکار"),"",$AJ121)</f>
        <v/>
      </c>
      <c r="X121" s="70">
        <f>IF($E121="","",IFERROR(VLOOKUP($E121,OpTbl,8,0),""))</f>
        <v/>
      </c>
      <c r="Y121" s="76">
        <f>IF(OR($X121="",$AJ121="",$AJ121=0,$AM121&lt;&gt;"بدهکار"),"",$AJ121)</f>
        <v/>
      </c>
      <c r="Z121" s="76">
        <f>IF(OR($X121="",$AJ121="",$AJ121=0,$AM121&lt;&gt;"بستانکار"),"",$AJ121)</f>
        <v/>
      </c>
      <c r="AA121" s="70">
        <f>IF(OR($E121="",$AN121="—",$AN121=""),"",IFERROR(VLOOKUP($E121,OpTbl,12,0),""))</f>
        <v/>
      </c>
      <c r="AB121" s="76">
        <f>IF(OR($AA121="",$Q121="",$Q121=0,$AN121&lt;&gt;"بدهکار"),"",$Q121)</f>
        <v/>
      </c>
      <c r="AC121" s="76">
        <f>IF(OR($AA121="",$Q121="",$Q121=0,$AN121&lt;&gt;"بستانکار"),"",$Q121)</f>
        <v/>
      </c>
      <c r="AD121" s="70">
        <f>IF($AA121="","",IFERROR(VLOOKUP($E121,OpTbl,13,0),""))</f>
        <v/>
      </c>
      <c r="AE121" s="76">
        <f>IF(OR($AD121="",$Q121="",$Q121=0,$AN121&lt;&gt;"بستانکار"),"",$Q121)</f>
        <v/>
      </c>
      <c r="AF121" s="76">
        <f>IF(OR($AD121="",$Q121="",$Q121=0,$AN121&lt;&gt;"بدهکار"),"",$Q121)</f>
        <v/>
      </c>
      <c r="AG121" s="76">
        <f>SUM($V121,$Y121,$AB121,$AE121)</f>
        <v/>
      </c>
      <c r="AH121" s="76">
        <f>SUM($W121,$Z121,$AC121,$AF121)</f>
        <v/>
      </c>
      <c r="AI121" s="70">
        <f>IF($E121="","",IF(ROUND($AG121-$AH121,0)=0,"✓","⚠"))</f>
        <v/>
      </c>
      <c r="AJ121" s="76">
        <f>IF(OR($E121="",$U121=""),"",IFERROR(IF(VLOOKUP($E121,OpTbl,6,0)="وزن",IF($P121="",0,$P121),IF(VLOOKUP($E121,OpTbl,6,0)="مبلغ",IF(AND($Q121&lt;&gt;"",$Q121&lt;&gt;0),$Q121,$P121),0))+IF(VLOOKUP($E121,OpTbl,10,0)="افزودن",IF($Q121="",0,$Q121),0),0))</f>
        <v/>
      </c>
      <c r="AK121" s="70">
        <f>IF($E121="","",IFERROR(VLOOKUP($E121,OpTbl,10,0),""))</f>
        <v/>
      </c>
      <c r="AL121" s="70">
        <f>IF(OR($E121="",$U121=""),"",IFERROR(IF(VLOOKUP($E121,OpTbl,7,0)="خودکار",$R121,VLOOKUP($E121,OpTbl,7,0)),""))</f>
        <v/>
      </c>
      <c r="AM121" s="70">
        <f>IF(OR($E121="",$X121=""),"",IFERROR(IF(VLOOKUP($E121,OpTbl,9,0)="خودکار",IF($AL121="بدهکار","بستانکار",IF($AL121="بستانکار","بدهکار","")),VLOOKUP($E121,OpTbl,9,0)),""))</f>
        <v/>
      </c>
      <c r="AN121" s="70">
        <f>IF($E121="","",IFERROR(VLOOKUP($E121,OpTbl,11,0),""))</f>
        <v/>
      </c>
      <c r="AO121" s="70">
        <f>IF($B121="","",MID($B121,6,2))</f>
        <v/>
      </c>
      <c r="AP121" s="76">
        <f>IF($B121="",0,1)</f>
        <v/>
      </c>
    </row>
    <row r="122" ht="21.75" customHeight="1">
      <c r="A122" s="70">
        <f>IF($B122="","",COUNTA($B$10:$B122))</f>
        <v/>
      </c>
      <c r="B122" s="71" t="n"/>
      <c r="C122" s="71" t="n"/>
      <c r="D122" s="71" t="n"/>
      <c r="E122" s="71" t="n"/>
      <c r="F122" s="70">
        <f>IF($E122="","",IFERROR(VLOOKUP($E122,OpTbl,2,0),""))</f>
        <v/>
      </c>
      <c r="G122" s="71" t="n"/>
      <c r="H122" s="73">
        <f>IF($U122="","",IFERROR(VLOOKUP($U122,AcctTbl,2,0),"کد ناشناخته"))</f>
        <v/>
      </c>
      <c r="I122" s="70">
        <f>IF($U122="","",IFERROR(VLOOKUP($U122,AcctTbl,3,0),""))</f>
        <v/>
      </c>
      <c r="J122" s="72" t="n"/>
      <c r="K122" s="71" t="n"/>
      <c r="L122" s="74" t="n"/>
      <c r="M122" s="74" t="n"/>
      <c r="N122" s="148">
        <f>IF(OR($E122="",$L122=""),"",IFERROR(($L122-IF($M122="",0,$M122)*IFERROR(VLOOKUP($K122,BasketTbl,4,0),IFERROR(INDEX(BasketTbl,MATCH($K122,BasketCodeCol,0),4),VLOOKUP("P01",ParamTbl,2,0))))*(1-IF(VLOOKUP($E122,OpTbl,3,0)="خرید",VLOOKUP("P02",ParamTbl,2,0),0)/100),""))</f>
        <v/>
      </c>
      <c r="O122" s="74" t="n"/>
      <c r="P122" s="76">
        <f>IF(OR($E122="",$L122=""),"",IFERROR(IF(VLOOKUP($E122,OpTbl,6,0)="وزن",ROUND($N122*$O122,-3),IF(VLOOKUP($E122,OpTbl,6,0)="مبلغ",ROUND($L122*$O122,-3),0)),""))</f>
        <v/>
      </c>
      <c r="Q122" s="74" t="n"/>
      <c r="R122" s="71" t="n"/>
      <c r="S122" s="77">
        <f>IF($E122="","",IF($AI122="⚠","⚠ ناتراز",IF(AND(IFERROR(VLOOKUP($E122,OpTbl,4,0),"")="بله",$L122=""),"⚠ وزن",IF(AND(IFERROR(VLOOKUP($E122,OpTbl,5,0),"")="بله",$U122=""),"⚠ حساب",IF(AND(IFERROR(VLOOKUP($E122,OpTbl,6,0),"")="مبلغ",$Q122=""),"⚠ مبلغ","✓")))))</f>
        <v/>
      </c>
      <c r="T122" s="72" t="n"/>
      <c r="U122" s="70">
        <f>IF($E122="","",IFERROR(IF(VLOOKUP($E122,OpTbl,14,0)&lt;&gt;"",VLOOKUP($E122,OpTbl,14,0),$G122),""))</f>
        <v/>
      </c>
      <c r="V122" s="76">
        <f>IF(OR($AJ122="",$AJ122=0,$AL122&lt;&gt;"بدهکار"),"",$AJ122)</f>
        <v/>
      </c>
      <c r="W122" s="76">
        <f>IF(OR($AJ122="",$AJ122=0,$AL122&lt;&gt;"بستانکار"),"",$AJ122)</f>
        <v/>
      </c>
      <c r="X122" s="70">
        <f>IF($E122="","",IFERROR(VLOOKUP($E122,OpTbl,8,0),""))</f>
        <v/>
      </c>
      <c r="Y122" s="76">
        <f>IF(OR($X122="",$AJ122="",$AJ122=0,$AM122&lt;&gt;"بدهکار"),"",$AJ122)</f>
        <v/>
      </c>
      <c r="Z122" s="76">
        <f>IF(OR($X122="",$AJ122="",$AJ122=0,$AM122&lt;&gt;"بستانکار"),"",$AJ122)</f>
        <v/>
      </c>
      <c r="AA122" s="70">
        <f>IF(OR($E122="",$AN122="—",$AN122=""),"",IFERROR(VLOOKUP($E122,OpTbl,12,0),""))</f>
        <v/>
      </c>
      <c r="AB122" s="76">
        <f>IF(OR($AA122="",$Q122="",$Q122=0,$AN122&lt;&gt;"بدهکار"),"",$Q122)</f>
        <v/>
      </c>
      <c r="AC122" s="76">
        <f>IF(OR($AA122="",$Q122="",$Q122=0,$AN122&lt;&gt;"بستانکار"),"",$Q122)</f>
        <v/>
      </c>
      <c r="AD122" s="70">
        <f>IF($AA122="","",IFERROR(VLOOKUP($E122,OpTbl,13,0),""))</f>
        <v/>
      </c>
      <c r="AE122" s="76">
        <f>IF(OR($AD122="",$Q122="",$Q122=0,$AN122&lt;&gt;"بستانکار"),"",$Q122)</f>
        <v/>
      </c>
      <c r="AF122" s="76">
        <f>IF(OR($AD122="",$Q122="",$Q122=0,$AN122&lt;&gt;"بدهکار"),"",$Q122)</f>
        <v/>
      </c>
      <c r="AG122" s="76">
        <f>SUM($V122,$Y122,$AB122,$AE122)</f>
        <v/>
      </c>
      <c r="AH122" s="76">
        <f>SUM($W122,$Z122,$AC122,$AF122)</f>
        <v/>
      </c>
      <c r="AI122" s="70">
        <f>IF($E122="","",IF(ROUND($AG122-$AH122,0)=0,"✓","⚠"))</f>
        <v/>
      </c>
      <c r="AJ122" s="76">
        <f>IF(OR($E122="",$U122=""),"",IFERROR(IF(VLOOKUP($E122,OpTbl,6,0)="وزن",IF($P122="",0,$P122),IF(VLOOKUP($E122,OpTbl,6,0)="مبلغ",IF(AND($Q122&lt;&gt;"",$Q122&lt;&gt;0),$Q122,$P122),0))+IF(VLOOKUP($E122,OpTbl,10,0)="افزودن",IF($Q122="",0,$Q122),0),0))</f>
        <v/>
      </c>
      <c r="AK122" s="70">
        <f>IF($E122="","",IFERROR(VLOOKUP($E122,OpTbl,10,0),""))</f>
        <v/>
      </c>
      <c r="AL122" s="70">
        <f>IF(OR($E122="",$U122=""),"",IFERROR(IF(VLOOKUP($E122,OpTbl,7,0)="خودکار",$R122,VLOOKUP($E122,OpTbl,7,0)),""))</f>
        <v/>
      </c>
      <c r="AM122" s="70">
        <f>IF(OR($E122="",$X122=""),"",IFERROR(IF(VLOOKUP($E122,OpTbl,9,0)="خودکار",IF($AL122="بدهکار","بستانکار",IF($AL122="بستانکار","بدهکار","")),VLOOKUP($E122,OpTbl,9,0)),""))</f>
        <v/>
      </c>
      <c r="AN122" s="70">
        <f>IF($E122="","",IFERROR(VLOOKUP($E122,OpTbl,11,0),""))</f>
        <v/>
      </c>
      <c r="AO122" s="70">
        <f>IF($B122="","",MID($B122,6,2))</f>
        <v/>
      </c>
      <c r="AP122" s="76">
        <f>IF($B122="",0,1)</f>
        <v/>
      </c>
    </row>
    <row r="123" ht="21.75" customHeight="1">
      <c r="A123" s="70">
        <f>IF($B123="","",COUNTA($B$10:$B123))</f>
        <v/>
      </c>
      <c r="B123" s="71" t="n"/>
      <c r="C123" s="71" t="n"/>
      <c r="D123" s="71" t="n"/>
      <c r="E123" s="71" t="n"/>
      <c r="F123" s="70">
        <f>IF($E123="","",IFERROR(VLOOKUP($E123,OpTbl,2,0),""))</f>
        <v/>
      </c>
      <c r="G123" s="71" t="n"/>
      <c r="H123" s="73">
        <f>IF($U123="","",IFERROR(VLOOKUP($U123,AcctTbl,2,0),"کد ناشناخته"))</f>
        <v/>
      </c>
      <c r="I123" s="70">
        <f>IF($U123="","",IFERROR(VLOOKUP($U123,AcctTbl,3,0),""))</f>
        <v/>
      </c>
      <c r="J123" s="72" t="n"/>
      <c r="K123" s="71" t="n"/>
      <c r="L123" s="74" t="n"/>
      <c r="M123" s="74" t="n"/>
      <c r="N123" s="148">
        <f>IF(OR($E123="",$L123=""),"",IFERROR(($L123-IF($M123="",0,$M123)*IFERROR(VLOOKUP($K123,BasketTbl,4,0),IFERROR(INDEX(BasketTbl,MATCH($K123,BasketCodeCol,0),4),VLOOKUP("P01",ParamTbl,2,0))))*(1-IF(VLOOKUP($E123,OpTbl,3,0)="خرید",VLOOKUP("P02",ParamTbl,2,0),0)/100),""))</f>
        <v/>
      </c>
      <c r="O123" s="74" t="n"/>
      <c r="P123" s="76">
        <f>IF(OR($E123="",$L123=""),"",IFERROR(IF(VLOOKUP($E123,OpTbl,6,0)="وزن",ROUND($N123*$O123,-3),IF(VLOOKUP($E123,OpTbl,6,0)="مبلغ",ROUND($L123*$O123,-3),0)),""))</f>
        <v/>
      </c>
      <c r="Q123" s="74" t="n"/>
      <c r="R123" s="71" t="n"/>
      <c r="S123" s="77">
        <f>IF($E123="","",IF($AI123="⚠","⚠ ناتراز",IF(AND(IFERROR(VLOOKUP($E123,OpTbl,4,0),"")="بله",$L123=""),"⚠ وزن",IF(AND(IFERROR(VLOOKUP($E123,OpTbl,5,0),"")="بله",$U123=""),"⚠ حساب",IF(AND(IFERROR(VLOOKUP($E123,OpTbl,6,0),"")="مبلغ",$Q123=""),"⚠ مبلغ","✓")))))</f>
        <v/>
      </c>
      <c r="T123" s="72" t="n"/>
      <c r="U123" s="70">
        <f>IF($E123="","",IFERROR(IF(VLOOKUP($E123,OpTbl,14,0)&lt;&gt;"",VLOOKUP($E123,OpTbl,14,0),$G123),""))</f>
        <v/>
      </c>
      <c r="V123" s="76">
        <f>IF(OR($AJ123="",$AJ123=0,$AL123&lt;&gt;"بدهکار"),"",$AJ123)</f>
        <v/>
      </c>
      <c r="W123" s="76">
        <f>IF(OR($AJ123="",$AJ123=0,$AL123&lt;&gt;"بستانکار"),"",$AJ123)</f>
        <v/>
      </c>
      <c r="X123" s="70">
        <f>IF($E123="","",IFERROR(VLOOKUP($E123,OpTbl,8,0),""))</f>
        <v/>
      </c>
      <c r="Y123" s="76">
        <f>IF(OR($X123="",$AJ123="",$AJ123=0,$AM123&lt;&gt;"بدهکار"),"",$AJ123)</f>
        <v/>
      </c>
      <c r="Z123" s="76">
        <f>IF(OR($X123="",$AJ123="",$AJ123=0,$AM123&lt;&gt;"بستانکار"),"",$AJ123)</f>
        <v/>
      </c>
      <c r="AA123" s="70">
        <f>IF(OR($E123="",$AN123="—",$AN123=""),"",IFERROR(VLOOKUP($E123,OpTbl,12,0),""))</f>
        <v/>
      </c>
      <c r="AB123" s="76">
        <f>IF(OR($AA123="",$Q123="",$Q123=0,$AN123&lt;&gt;"بدهکار"),"",$Q123)</f>
        <v/>
      </c>
      <c r="AC123" s="76">
        <f>IF(OR($AA123="",$Q123="",$Q123=0,$AN123&lt;&gt;"بستانکار"),"",$Q123)</f>
        <v/>
      </c>
      <c r="AD123" s="70">
        <f>IF($AA123="","",IFERROR(VLOOKUP($E123,OpTbl,13,0),""))</f>
        <v/>
      </c>
      <c r="AE123" s="76">
        <f>IF(OR($AD123="",$Q123="",$Q123=0,$AN123&lt;&gt;"بستانکار"),"",$Q123)</f>
        <v/>
      </c>
      <c r="AF123" s="76">
        <f>IF(OR($AD123="",$Q123="",$Q123=0,$AN123&lt;&gt;"بدهکار"),"",$Q123)</f>
        <v/>
      </c>
      <c r="AG123" s="76">
        <f>SUM($V123,$Y123,$AB123,$AE123)</f>
        <v/>
      </c>
      <c r="AH123" s="76">
        <f>SUM($W123,$Z123,$AC123,$AF123)</f>
        <v/>
      </c>
      <c r="AI123" s="70">
        <f>IF($E123="","",IF(ROUND($AG123-$AH123,0)=0,"✓","⚠"))</f>
        <v/>
      </c>
      <c r="AJ123" s="76">
        <f>IF(OR($E123="",$U123=""),"",IFERROR(IF(VLOOKUP($E123,OpTbl,6,0)="وزن",IF($P123="",0,$P123),IF(VLOOKUP($E123,OpTbl,6,0)="مبلغ",IF(AND($Q123&lt;&gt;"",$Q123&lt;&gt;0),$Q123,$P123),0))+IF(VLOOKUP($E123,OpTbl,10,0)="افزودن",IF($Q123="",0,$Q123),0),0))</f>
        <v/>
      </c>
      <c r="AK123" s="70">
        <f>IF($E123="","",IFERROR(VLOOKUP($E123,OpTbl,10,0),""))</f>
        <v/>
      </c>
      <c r="AL123" s="70">
        <f>IF(OR($E123="",$U123=""),"",IFERROR(IF(VLOOKUP($E123,OpTbl,7,0)="خودکار",$R123,VLOOKUP($E123,OpTbl,7,0)),""))</f>
        <v/>
      </c>
      <c r="AM123" s="70">
        <f>IF(OR($E123="",$X123=""),"",IFERROR(IF(VLOOKUP($E123,OpTbl,9,0)="خودکار",IF($AL123="بدهکار","بستانکار",IF($AL123="بستانکار","بدهکار","")),VLOOKUP($E123,OpTbl,9,0)),""))</f>
        <v/>
      </c>
      <c r="AN123" s="70">
        <f>IF($E123="","",IFERROR(VLOOKUP($E123,OpTbl,11,0),""))</f>
        <v/>
      </c>
      <c r="AO123" s="70">
        <f>IF($B123="","",MID($B123,6,2))</f>
        <v/>
      </c>
      <c r="AP123" s="76">
        <f>IF($B123="",0,1)</f>
        <v/>
      </c>
    </row>
    <row r="124" ht="21.75" customHeight="1">
      <c r="A124" s="70">
        <f>IF($B124="","",COUNTA($B$10:$B124))</f>
        <v/>
      </c>
      <c r="B124" s="71" t="n"/>
      <c r="C124" s="71" t="n"/>
      <c r="D124" s="71" t="n"/>
      <c r="E124" s="71" t="n"/>
      <c r="F124" s="70">
        <f>IF($E124="","",IFERROR(VLOOKUP($E124,OpTbl,2,0),""))</f>
        <v/>
      </c>
      <c r="G124" s="71" t="n"/>
      <c r="H124" s="73">
        <f>IF($U124="","",IFERROR(VLOOKUP($U124,AcctTbl,2,0),"کد ناشناخته"))</f>
        <v/>
      </c>
      <c r="I124" s="70">
        <f>IF($U124="","",IFERROR(VLOOKUP($U124,AcctTbl,3,0),""))</f>
        <v/>
      </c>
      <c r="J124" s="72" t="n"/>
      <c r="K124" s="71" t="n"/>
      <c r="L124" s="74" t="n"/>
      <c r="M124" s="74" t="n"/>
      <c r="N124" s="148">
        <f>IF(OR($E124="",$L124=""),"",IFERROR(($L124-IF($M124="",0,$M124)*IFERROR(VLOOKUP($K124,BasketTbl,4,0),IFERROR(INDEX(BasketTbl,MATCH($K124,BasketCodeCol,0),4),VLOOKUP("P01",ParamTbl,2,0))))*(1-IF(VLOOKUP($E124,OpTbl,3,0)="خرید",VLOOKUP("P02",ParamTbl,2,0),0)/100),""))</f>
        <v/>
      </c>
      <c r="O124" s="74" t="n"/>
      <c r="P124" s="76">
        <f>IF(OR($E124="",$L124=""),"",IFERROR(IF(VLOOKUP($E124,OpTbl,6,0)="وزن",ROUND($N124*$O124,-3),IF(VLOOKUP($E124,OpTbl,6,0)="مبلغ",ROUND($L124*$O124,-3),0)),""))</f>
        <v/>
      </c>
      <c r="Q124" s="74" t="n"/>
      <c r="R124" s="71" t="n"/>
      <c r="S124" s="77">
        <f>IF($E124="","",IF($AI124="⚠","⚠ ناتراز",IF(AND(IFERROR(VLOOKUP($E124,OpTbl,4,0),"")="بله",$L124=""),"⚠ وزن",IF(AND(IFERROR(VLOOKUP($E124,OpTbl,5,0),"")="بله",$U124=""),"⚠ حساب",IF(AND(IFERROR(VLOOKUP($E124,OpTbl,6,0),"")="مبلغ",$Q124=""),"⚠ مبلغ","✓")))))</f>
        <v/>
      </c>
      <c r="T124" s="72" t="n"/>
      <c r="U124" s="70">
        <f>IF($E124="","",IFERROR(IF(VLOOKUP($E124,OpTbl,14,0)&lt;&gt;"",VLOOKUP($E124,OpTbl,14,0),$G124),""))</f>
        <v/>
      </c>
      <c r="V124" s="76">
        <f>IF(OR($AJ124="",$AJ124=0,$AL124&lt;&gt;"بدهکار"),"",$AJ124)</f>
        <v/>
      </c>
      <c r="W124" s="76">
        <f>IF(OR($AJ124="",$AJ124=0,$AL124&lt;&gt;"بستانکار"),"",$AJ124)</f>
        <v/>
      </c>
      <c r="X124" s="70">
        <f>IF($E124="","",IFERROR(VLOOKUP($E124,OpTbl,8,0),""))</f>
        <v/>
      </c>
      <c r="Y124" s="76">
        <f>IF(OR($X124="",$AJ124="",$AJ124=0,$AM124&lt;&gt;"بدهکار"),"",$AJ124)</f>
        <v/>
      </c>
      <c r="Z124" s="76">
        <f>IF(OR($X124="",$AJ124="",$AJ124=0,$AM124&lt;&gt;"بستانکار"),"",$AJ124)</f>
        <v/>
      </c>
      <c r="AA124" s="70">
        <f>IF(OR($E124="",$AN124="—",$AN124=""),"",IFERROR(VLOOKUP($E124,OpTbl,12,0),""))</f>
        <v/>
      </c>
      <c r="AB124" s="76">
        <f>IF(OR($AA124="",$Q124="",$Q124=0,$AN124&lt;&gt;"بدهکار"),"",$Q124)</f>
        <v/>
      </c>
      <c r="AC124" s="76">
        <f>IF(OR($AA124="",$Q124="",$Q124=0,$AN124&lt;&gt;"بستانکار"),"",$Q124)</f>
        <v/>
      </c>
      <c r="AD124" s="70">
        <f>IF($AA124="","",IFERROR(VLOOKUP($E124,OpTbl,13,0),""))</f>
        <v/>
      </c>
      <c r="AE124" s="76">
        <f>IF(OR($AD124="",$Q124="",$Q124=0,$AN124&lt;&gt;"بستانکار"),"",$Q124)</f>
        <v/>
      </c>
      <c r="AF124" s="76">
        <f>IF(OR($AD124="",$Q124="",$Q124=0,$AN124&lt;&gt;"بدهکار"),"",$Q124)</f>
        <v/>
      </c>
      <c r="AG124" s="76">
        <f>SUM($V124,$Y124,$AB124,$AE124)</f>
        <v/>
      </c>
      <c r="AH124" s="76">
        <f>SUM($W124,$Z124,$AC124,$AF124)</f>
        <v/>
      </c>
      <c r="AI124" s="70">
        <f>IF($E124="","",IF(ROUND($AG124-$AH124,0)=0,"✓","⚠"))</f>
        <v/>
      </c>
      <c r="AJ124" s="76">
        <f>IF(OR($E124="",$U124=""),"",IFERROR(IF(VLOOKUP($E124,OpTbl,6,0)="وزن",IF($P124="",0,$P124),IF(VLOOKUP($E124,OpTbl,6,0)="مبلغ",IF(AND($Q124&lt;&gt;"",$Q124&lt;&gt;0),$Q124,$P124),0))+IF(VLOOKUP($E124,OpTbl,10,0)="افزودن",IF($Q124="",0,$Q124),0),0))</f>
        <v/>
      </c>
      <c r="AK124" s="70">
        <f>IF($E124="","",IFERROR(VLOOKUP($E124,OpTbl,10,0),""))</f>
        <v/>
      </c>
      <c r="AL124" s="70">
        <f>IF(OR($E124="",$U124=""),"",IFERROR(IF(VLOOKUP($E124,OpTbl,7,0)="خودکار",$R124,VLOOKUP($E124,OpTbl,7,0)),""))</f>
        <v/>
      </c>
      <c r="AM124" s="70">
        <f>IF(OR($E124="",$X124=""),"",IFERROR(IF(VLOOKUP($E124,OpTbl,9,0)="خودکار",IF($AL124="بدهکار","بستانکار",IF($AL124="بستانکار","بدهکار","")),VLOOKUP($E124,OpTbl,9,0)),""))</f>
        <v/>
      </c>
      <c r="AN124" s="70">
        <f>IF($E124="","",IFERROR(VLOOKUP($E124,OpTbl,11,0),""))</f>
        <v/>
      </c>
      <c r="AO124" s="70">
        <f>IF($B124="","",MID($B124,6,2))</f>
        <v/>
      </c>
      <c r="AP124" s="76">
        <f>IF($B124="",0,1)</f>
        <v/>
      </c>
    </row>
    <row r="125" ht="21.75" customHeight="1">
      <c r="A125" s="70">
        <f>IF($B125="","",COUNTA($B$10:$B125))</f>
        <v/>
      </c>
      <c r="B125" s="71" t="n"/>
      <c r="C125" s="71" t="n"/>
      <c r="D125" s="71" t="n"/>
      <c r="E125" s="71" t="n"/>
      <c r="F125" s="70">
        <f>IF($E125="","",IFERROR(VLOOKUP($E125,OpTbl,2,0),""))</f>
        <v/>
      </c>
      <c r="G125" s="71" t="n"/>
      <c r="H125" s="73">
        <f>IF($U125="","",IFERROR(VLOOKUP($U125,AcctTbl,2,0),"کد ناشناخته"))</f>
        <v/>
      </c>
      <c r="I125" s="70">
        <f>IF($U125="","",IFERROR(VLOOKUP($U125,AcctTbl,3,0),""))</f>
        <v/>
      </c>
      <c r="J125" s="72" t="n"/>
      <c r="K125" s="71" t="n"/>
      <c r="L125" s="74" t="n"/>
      <c r="M125" s="74" t="n"/>
      <c r="N125" s="148">
        <f>IF(OR($E125="",$L125=""),"",IFERROR(($L125-IF($M125="",0,$M125)*IFERROR(VLOOKUP($K125,BasketTbl,4,0),IFERROR(INDEX(BasketTbl,MATCH($K125,BasketCodeCol,0),4),VLOOKUP("P01",ParamTbl,2,0))))*(1-IF(VLOOKUP($E125,OpTbl,3,0)="خرید",VLOOKUP("P02",ParamTbl,2,0),0)/100),""))</f>
        <v/>
      </c>
      <c r="O125" s="74" t="n"/>
      <c r="P125" s="76">
        <f>IF(OR($E125="",$L125=""),"",IFERROR(IF(VLOOKUP($E125,OpTbl,6,0)="وزن",ROUND($N125*$O125,-3),IF(VLOOKUP($E125,OpTbl,6,0)="مبلغ",ROUND($L125*$O125,-3),0)),""))</f>
        <v/>
      </c>
      <c r="Q125" s="74" t="n"/>
      <c r="R125" s="71" t="n"/>
      <c r="S125" s="77">
        <f>IF($E125="","",IF($AI125="⚠","⚠ ناتراز",IF(AND(IFERROR(VLOOKUP($E125,OpTbl,4,0),"")="بله",$L125=""),"⚠ وزن",IF(AND(IFERROR(VLOOKUP($E125,OpTbl,5,0),"")="بله",$U125=""),"⚠ حساب",IF(AND(IFERROR(VLOOKUP($E125,OpTbl,6,0),"")="مبلغ",$Q125=""),"⚠ مبلغ","✓")))))</f>
        <v/>
      </c>
      <c r="T125" s="72" t="n"/>
      <c r="U125" s="70">
        <f>IF($E125="","",IFERROR(IF(VLOOKUP($E125,OpTbl,14,0)&lt;&gt;"",VLOOKUP($E125,OpTbl,14,0),$G125),""))</f>
        <v/>
      </c>
      <c r="V125" s="76">
        <f>IF(OR($AJ125="",$AJ125=0,$AL125&lt;&gt;"بدهکار"),"",$AJ125)</f>
        <v/>
      </c>
      <c r="W125" s="76">
        <f>IF(OR($AJ125="",$AJ125=0,$AL125&lt;&gt;"بستانکار"),"",$AJ125)</f>
        <v/>
      </c>
      <c r="X125" s="70">
        <f>IF($E125="","",IFERROR(VLOOKUP($E125,OpTbl,8,0),""))</f>
        <v/>
      </c>
      <c r="Y125" s="76">
        <f>IF(OR($X125="",$AJ125="",$AJ125=0,$AM125&lt;&gt;"بدهکار"),"",$AJ125)</f>
        <v/>
      </c>
      <c r="Z125" s="76">
        <f>IF(OR($X125="",$AJ125="",$AJ125=0,$AM125&lt;&gt;"بستانکار"),"",$AJ125)</f>
        <v/>
      </c>
      <c r="AA125" s="70">
        <f>IF(OR($E125="",$AN125="—",$AN125=""),"",IFERROR(VLOOKUP($E125,OpTbl,12,0),""))</f>
        <v/>
      </c>
      <c r="AB125" s="76">
        <f>IF(OR($AA125="",$Q125="",$Q125=0,$AN125&lt;&gt;"بدهکار"),"",$Q125)</f>
        <v/>
      </c>
      <c r="AC125" s="76">
        <f>IF(OR($AA125="",$Q125="",$Q125=0,$AN125&lt;&gt;"بستانکار"),"",$Q125)</f>
        <v/>
      </c>
      <c r="AD125" s="70">
        <f>IF($AA125="","",IFERROR(VLOOKUP($E125,OpTbl,13,0),""))</f>
        <v/>
      </c>
      <c r="AE125" s="76">
        <f>IF(OR($AD125="",$Q125="",$Q125=0,$AN125&lt;&gt;"بستانکار"),"",$Q125)</f>
        <v/>
      </c>
      <c r="AF125" s="76">
        <f>IF(OR($AD125="",$Q125="",$Q125=0,$AN125&lt;&gt;"بدهکار"),"",$Q125)</f>
        <v/>
      </c>
      <c r="AG125" s="76">
        <f>SUM($V125,$Y125,$AB125,$AE125)</f>
        <v/>
      </c>
      <c r="AH125" s="76">
        <f>SUM($W125,$Z125,$AC125,$AF125)</f>
        <v/>
      </c>
      <c r="AI125" s="70">
        <f>IF($E125="","",IF(ROUND($AG125-$AH125,0)=0,"✓","⚠"))</f>
        <v/>
      </c>
      <c r="AJ125" s="76">
        <f>IF(OR($E125="",$U125=""),"",IFERROR(IF(VLOOKUP($E125,OpTbl,6,0)="وزن",IF($P125="",0,$P125),IF(VLOOKUP($E125,OpTbl,6,0)="مبلغ",IF(AND($Q125&lt;&gt;"",$Q125&lt;&gt;0),$Q125,$P125),0))+IF(VLOOKUP($E125,OpTbl,10,0)="افزودن",IF($Q125="",0,$Q125),0),0))</f>
        <v/>
      </c>
      <c r="AK125" s="70">
        <f>IF($E125="","",IFERROR(VLOOKUP($E125,OpTbl,10,0),""))</f>
        <v/>
      </c>
      <c r="AL125" s="70">
        <f>IF(OR($E125="",$U125=""),"",IFERROR(IF(VLOOKUP($E125,OpTbl,7,0)="خودکار",$R125,VLOOKUP($E125,OpTbl,7,0)),""))</f>
        <v/>
      </c>
      <c r="AM125" s="70">
        <f>IF(OR($E125="",$X125=""),"",IFERROR(IF(VLOOKUP($E125,OpTbl,9,0)="خودکار",IF($AL125="بدهکار","بستانکار",IF($AL125="بستانکار","بدهکار","")),VLOOKUP($E125,OpTbl,9,0)),""))</f>
        <v/>
      </c>
      <c r="AN125" s="70">
        <f>IF($E125="","",IFERROR(VLOOKUP($E125,OpTbl,11,0),""))</f>
        <v/>
      </c>
      <c r="AO125" s="70">
        <f>IF($B125="","",MID($B125,6,2))</f>
        <v/>
      </c>
      <c r="AP125" s="76">
        <f>IF($B125="",0,1)</f>
        <v/>
      </c>
    </row>
    <row r="126" ht="21.75" customHeight="1">
      <c r="A126" s="70">
        <f>IF($B126="","",COUNTA($B$10:$B126))</f>
        <v/>
      </c>
      <c r="B126" s="71" t="n"/>
      <c r="C126" s="71" t="n"/>
      <c r="D126" s="71" t="n"/>
      <c r="E126" s="71" t="n"/>
      <c r="F126" s="70">
        <f>IF($E126="","",IFERROR(VLOOKUP($E126,OpTbl,2,0),""))</f>
        <v/>
      </c>
      <c r="G126" s="71" t="n"/>
      <c r="H126" s="73">
        <f>IF($U126="","",IFERROR(VLOOKUP($U126,AcctTbl,2,0),"کد ناشناخته"))</f>
        <v/>
      </c>
      <c r="I126" s="70">
        <f>IF($U126="","",IFERROR(VLOOKUP($U126,AcctTbl,3,0),""))</f>
        <v/>
      </c>
      <c r="J126" s="72" t="n"/>
      <c r="K126" s="71" t="n"/>
      <c r="L126" s="74" t="n"/>
      <c r="M126" s="74" t="n"/>
      <c r="N126" s="148">
        <f>IF(OR($E126="",$L126=""),"",IFERROR(($L126-IF($M126="",0,$M126)*IFERROR(VLOOKUP($K126,BasketTbl,4,0),IFERROR(INDEX(BasketTbl,MATCH($K126,BasketCodeCol,0),4),VLOOKUP("P01",ParamTbl,2,0))))*(1-IF(VLOOKUP($E126,OpTbl,3,0)="خرید",VLOOKUP("P02",ParamTbl,2,0),0)/100),""))</f>
        <v/>
      </c>
      <c r="O126" s="74" t="n"/>
      <c r="P126" s="76">
        <f>IF(OR($E126="",$L126=""),"",IFERROR(IF(VLOOKUP($E126,OpTbl,6,0)="وزن",ROUND($N126*$O126,-3),IF(VLOOKUP($E126,OpTbl,6,0)="مبلغ",ROUND($L126*$O126,-3),0)),""))</f>
        <v/>
      </c>
      <c r="Q126" s="74" t="n"/>
      <c r="R126" s="71" t="n"/>
      <c r="S126" s="77">
        <f>IF($E126="","",IF($AI126="⚠","⚠ ناتراز",IF(AND(IFERROR(VLOOKUP($E126,OpTbl,4,0),"")="بله",$L126=""),"⚠ وزن",IF(AND(IFERROR(VLOOKUP($E126,OpTbl,5,0),"")="بله",$U126=""),"⚠ حساب",IF(AND(IFERROR(VLOOKUP($E126,OpTbl,6,0),"")="مبلغ",$Q126=""),"⚠ مبلغ","✓")))))</f>
        <v/>
      </c>
      <c r="T126" s="72" t="n"/>
      <c r="U126" s="70">
        <f>IF($E126="","",IFERROR(IF(VLOOKUP($E126,OpTbl,14,0)&lt;&gt;"",VLOOKUP($E126,OpTbl,14,0),$G126),""))</f>
        <v/>
      </c>
      <c r="V126" s="76">
        <f>IF(OR($AJ126="",$AJ126=0,$AL126&lt;&gt;"بدهکار"),"",$AJ126)</f>
        <v/>
      </c>
      <c r="W126" s="76">
        <f>IF(OR($AJ126="",$AJ126=0,$AL126&lt;&gt;"بستانکار"),"",$AJ126)</f>
        <v/>
      </c>
      <c r="X126" s="70">
        <f>IF($E126="","",IFERROR(VLOOKUP($E126,OpTbl,8,0),""))</f>
        <v/>
      </c>
      <c r="Y126" s="76">
        <f>IF(OR($X126="",$AJ126="",$AJ126=0,$AM126&lt;&gt;"بدهکار"),"",$AJ126)</f>
        <v/>
      </c>
      <c r="Z126" s="76">
        <f>IF(OR($X126="",$AJ126="",$AJ126=0,$AM126&lt;&gt;"بستانکار"),"",$AJ126)</f>
        <v/>
      </c>
      <c r="AA126" s="70">
        <f>IF(OR($E126="",$AN126="—",$AN126=""),"",IFERROR(VLOOKUP($E126,OpTbl,12,0),""))</f>
        <v/>
      </c>
      <c r="AB126" s="76">
        <f>IF(OR($AA126="",$Q126="",$Q126=0,$AN126&lt;&gt;"بدهکار"),"",$Q126)</f>
        <v/>
      </c>
      <c r="AC126" s="76">
        <f>IF(OR($AA126="",$Q126="",$Q126=0,$AN126&lt;&gt;"بستانکار"),"",$Q126)</f>
        <v/>
      </c>
      <c r="AD126" s="70">
        <f>IF($AA126="","",IFERROR(VLOOKUP($E126,OpTbl,13,0),""))</f>
        <v/>
      </c>
      <c r="AE126" s="76">
        <f>IF(OR($AD126="",$Q126="",$Q126=0,$AN126&lt;&gt;"بستانکار"),"",$Q126)</f>
        <v/>
      </c>
      <c r="AF126" s="76">
        <f>IF(OR($AD126="",$Q126="",$Q126=0,$AN126&lt;&gt;"بدهکار"),"",$Q126)</f>
        <v/>
      </c>
      <c r="AG126" s="76">
        <f>SUM($V126,$Y126,$AB126,$AE126)</f>
        <v/>
      </c>
      <c r="AH126" s="76">
        <f>SUM($W126,$Z126,$AC126,$AF126)</f>
        <v/>
      </c>
      <c r="AI126" s="70">
        <f>IF($E126="","",IF(ROUND($AG126-$AH126,0)=0,"✓","⚠"))</f>
        <v/>
      </c>
      <c r="AJ126" s="76">
        <f>IF(OR($E126="",$U126=""),"",IFERROR(IF(VLOOKUP($E126,OpTbl,6,0)="وزن",IF($P126="",0,$P126),IF(VLOOKUP($E126,OpTbl,6,0)="مبلغ",IF(AND($Q126&lt;&gt;"",$Q126&lt;&gt;0),$Q126,$P126),0))+IF(VLOOKUP($E126,OpTbl,10,0)="افزودن",IF($Q126="",0,$Q126),0),0))</f>
        <v/>
      </c>
      <c r="AK126" s="70">
        <f>IF($E126="","",IFERROR(VLOOKUP($E126,OpTbl,10,0),""))</f>
        <v/>
      </c>
      <c r="AL126" s="70">
        <f>IF(OR($E126="",$U126=""),"",IFERROR(IF(VLOOKUP($E126,OpTbl,7,0)="خودکار",$R126,VLOOKUP($E126,OpTbl,7,0)),""))</f>
        <v/>
      </c>
      <c r="AM126" s="70">
        <f>IF(OR($E126="",$X126=""),"",IFERROR(IF(VLOOKUP($E126,OpTbl,9,0)="خودکار",IF($AL126="بدهکار","بستانکار",IF($AL126="بستانکار","بدهکار","")),VLOOKUP($E126,OpTbl,9,0)),""))</f>
        <v/>
      </c>
      <c r="AN126" s="70">
        <f>IF($E126="","",IFERROR(VLOOKUP($E126,OpTbl,11,0),""))</f>
        <v/>
      </c>
      <c r="AO126" s="70">
        <f>IF($B126="","",MID($B126,6,2))</f>
        <v/>
      </c>
      <c r="AP126" s="76">
        <f>IF($B126="",0,1)</f>
        <v/>
      </c>
    </row>
    <row r="127" ht="21.75" customHeight="1">
      <c r="A127" s="70">
        <f>IF($B127="","",COUNTA($B$10:$B127))</f>
        <v/>
      </c>
      <c r="B127" s="71" t="n"/>
      <c r="C127" s="71" t="n"/>
      <c r="D127" s="71" t="n"/>
      <c r="E127" s="71" t="n"/>
      <c r="F127" s="70">
        <f>IF($E127="","",IFERROR(VLOOKUP($E127,OpTbl,2,0),""))</f>
        <v/>
      </c>
      <c r="G127" s="71" t="n"/>
      <c r="H127" s="73">
        <f>IF($U127="","",IFERROR(VLOOKUP($U127,AcctTbl,2,0),"کد ناشناخته"))</f>
        <v/>
      </c>
      <c r="I127" s="70">
        <f>IF($U127="","",IFERROR(VLOOKUP($U127,AcctTbl,3,0),""))</f>
        <v/>
      </c>
      <c r="J127" s="72" t="n"/>
      <c r="K127" s="71" t="n"/>
      <c r="L127" s="74" t="n"/>
      <c r="M127" s="74" t="n"/>
      <c r="N127" s="148">
        <f>IF(OR($E127="",$L127=""),"",IFERROR(($L127-IF($M127="",0,$M127)*IFERROR(VLOOKUP($K127,BasketTbl,4,0),IFERROR(INDEX(BasketTbl,MATCH($K127,BasketCodeCol,0),4),VLOOKUP("P01",ParamTbl,2,0))))*(1-IF(VLOOKUP($E127,OpTbl,3,0)="خرید",VLOOKUP("P02",ParamTbl,2,0),0)/100),""))</f>
        <v/>
      </c>
      <c r="O127" s="74" t="n"/>
      <c r="P127" s="76">
        <f>IF(OR($E127="",$L127=""),"",IFERROR(IF(VLOOKUP($E127,OpTbl,6,0)="وزن",ROUND($N127*$O127,-3),IF(VLOOKUP($E127,OpTbl,6,0)="مبلغ",ROUND($L127*$O127,-3),0)),""))</f>
        <v/>
      </c>
      <c r="Q127" s="74" t="n"/>
      <c r="R127" s="71" t="n"/>
      <c r="S127" s="77">
        <f>IF($E127="","",IF($AI127="⚠","⚠ ناتراز",IF(AND(IFERROR(VLOOKUP($E127,OpTbl,4,0),"")="بله",$L127=""),"⚠ وزن",IF(AND(IFERROR(VLOOKUP($E127,OpTbl,5,0),"")="بله",$U127=""),"⚠ حساب",IF(AND(IFERROR(VLOOKUP($E127,OpTbl,6,0),"")="مبلغ",$Q127=""),"⚠ مبلغ","✓")))))</f>
        <v/>
      </c>
      <c r="T127" s="72" t="n"/>
      <c r="U127" s="70">
        <f>IF($E127="","",IFERROR(IF(VLOOKUP($E127,OpTbl,14,0)&lt;&gt;"",VLOOKUP($E127,OpTbl,14,0),$G127),""))</f>
        <v/>
      </c>
      <c r="V127" s="76">
        <f>IF(OR($AJ127="",$AJ127=0,$AL127&lt;&gt;"بدهکار"),"",$AJ127)</f>
        <v/>
      </c>
      <c r="W127" s="76">
        <f>IF(OR($AJ127="",$AJ127=0,$AL127&lt;&gt;"بستانکار"),"",$AJ127)</f>
        <v/>
      </c>
      <c r="X127" s="70">
        <f>IF($E127="","",IFERROR(VLOOKUP($E127,OpTbl,8,0),""))</f>
        <v/>
      </c>
      <c r="Y127" s="76">
        <f>IF(OR($X127="",$AJ127="",$AJ127=0,$AM127&lt;&gt;"بدهکار"),"",$AJ127)</f>
        <v/>
      </c>
      <c r="Z127" s="76">
        <f>IF(OR($X127="",$AJ127="",$AJ127=0,$AM127&lt;&gt;"بستانکار"),"",$AJ127)</f>
        <v/>
      </c>
      <c r="AA127" s="70">
        <f>IF(OR($E127="",$AN127="—",$AN127=""),"",IFERROR(VLOOKUP($E127,OpTbl,12,0),""))</f>
        <v/>
      </c>
      <c r="AB127" s="76">
        <f>IF(OR($AA127="",$Q127="",$Q127=0,$AN127&lt;&gt;"بدهکار"),"",$Q127)</f>
        <v/>
      </c>
      <c r="AC127" s="76">
        <f>IF(OR($AA127="",$Q127="",$Q127=0,$AN127&lt;&gt;"بستانکار"),"",$Q127)</f>
        <v/>
      </c>
      <c r="AD127" s="70">
        <f>IF($AA127="","",IFERROR(VLOOKUP($E127,OpTbl,13,0),""))</f>
        <v/>
      </c>
      <c r="AE127" s="76">
        <f>IF(OR($AD127="",$Q127="",$Q127=0,$AN127&lt;&gt;"بستانکار"),"",$Q127)</f>
        <v/>
      </c>
      <c r="AF127" s="76">
        <f>IF(OR($AD127="",$Q127="",$Q127=0,$AN127&lt;&gt;"بدهکار"),"",$Q127)</f>
        <v/>
      </c>
      <c r="AG127" s="76">
        <f>SUM($V127,$Y127,$AB127,$AE127)</f>
        <v/>
      </c>
      <c r="AH127" s="76">
        <f>SUM($W127,$Z127,$AC127,$AF127)</f>
        <v/>
      </c>
      <c r="AI127" s="70">
        <f>IF($E127="","",IF(ROUND($AG127-$AH127,0)=0,"✓","⚠"))</f>
        <v/>
      </c>
      <c r="AJ127" s="76">
        <f>IF(OR($E127="",$U127=""),"",IFERROR(IF(VLOOKUP($E127,OpTbl,6,0)="وزن",IF($P127="",0,$P127),IF(VLOOKUP($E127,OpTbl,6,0)="مبلغ",IF(AND($Q127&lt;&gt;"",$Q127&lt;&gt;0),$Q127,$P127),0))+IF(VLOOKUP($E127,OpTbl,10,0)="افزودن",IF($Q127="",0,$Q127),0),0))</f>
        <v/>
      </c>
      <c r="AK127" s="70">
        <f>IF($E127="","",IFERROR(VLOOKUP($E127,OpTbl,10,0),""))</f>
        <v/>
      </c>
      <c r="AL127" s="70">
        <f>IF(OR($E127="",$U127=""),"",IFERROR(IF(VLOOKUP($E127,OpTbl,7,0)="خودکار",$R127,VLOOKUP($E127,OpTbl,7,0)),""))</f>
        <v/>
      </c>
      <c r="AM127" s="70">
        <f>IF(OR($E127="",$X127=""),"",IFERROR(IF(VLOOKUP($E127,OpTbl,9,0)="خودکار",IF($AL127="بدهکار","بستانکار",IF($AL127="بستانکار","بدهکار","")),VLOOKUP($E127,OpTbl,9,0)),""))</f>
        <v/>
      </c>
      <c r="AN127" s="70">
        <f>IF($E127="","",IFERROR(VLOOKUP($E127,OpTbl,11,0),""))</f>
        <v/>
      </c>
      <c r="AO127" s="70">
        <f>IF($B127="","",MID($B127,6,2))</f>
        <v/>
      </c>
      <c r="AP127" s="76">
        <f>IF($B127="",0,1)</f>
        <v/>
      </c>
    </row>
    <row r="128" ht="21.75" customHeight="1">
      <c r="A128" s="70">
        <f>IF($B128="","",COUNTA($B$10:$B128))</f>
        <v/>
      </c>
      <c r="B128" s="71" t="n"/>
      <c r="C128" s="71" t="n"/>
      <c r="D128" s="71" t="n"/>
      <c r="E128" s="71" t="n"/>
      <c r="F128" s="70">
        <f>IF($E128="","",IFERROR(VLOOKUP($E128,OpTbl,2,0),""))</f>
        <v/>
      </c>
      <c r="G128" s="71" t="n"/>
      <c r="H128" s="73">
        <f>IF($U128="","",IFERROR(VLOOKUP($U128,AcctTbl,2,0),"کد ناشناخته"))</f>
        <v/>
      </c>
      <c r="I128" s="70">
        <f>IF($U128="","",IFERROR(VLOOKUP($U128,AcctTbl,3,0),""))</f>
        <v/>
      </c>
      <c r="J128" s="72" t="n"/>
      <c r="K128" s="71" t="n"/>
      <c r="L128" s="74" t="n"/>
      <c r="M128" s="74" t="n"/>
      <c r="N128" s="148">
        <f>IF(OR($E128="",$L128=""),"",IFERROR(($L128-IF($M128="",0,$M128)*IFERROR(VLOOKUP($K128,BasketTbl,4,0),IFERROR(INDEX(BasketTbl,MATCH($K128,BasketCodeCol,0),4),VLOOKUP("P01",ParamTbl,2,0))))*(1-IF(VLOOKUP($E128,OpTbl,3,0)="خرید",VLOOKUP("P02",ParamTbl,2,0),0)/100),""))</f>
        <v/>
      </c>
      <c r="O128" s="74" t="n"/>
      <c r="P128" s="76">
        <f>IF(OR($E128="",$L128=""),"",IFERROR(IF(VLOOKUP($E128,OpTbl,6,0)="وزن",ROUND($N128*$O128,-3),IF(VLOOKUP($E128,OpTbl,6,0)="مبلغ",ROUND($L128*$O128,-3),0)),""))</f>
        <v/>
      </c>
      <c r="Q128" s="74" t="n"/>
      <c r="R128" s="71" t="n"/>
      <c r="S128" s="77">
        <f>IF($E128="","",IF($AI128="⚠","⚠ ناتراز",IF(AND(IFERROR(VLOOKUP($E128,OpTbl,4,0),"")="بله",$L128=""),"⚠ وزن",IF(AND(IFERROR(VLOOKUP($E128,OpTbl,5,0),"")="بله",$U128=""),"⚠ حساب",IF(AND(IFERROR(VLOOKUP($E128,OpTbl,6,0),"")="مبلغ",$Q128=""),"⚠ مبلغ","✓")))))</f>
        <v/>
      </c>
      <c r="T128" s="72" t="n"/>
      <c r="U128" s="70">
        <f>IF($E128="","",IFERROR(IF(VLOOKUP($E128,OpTbl,14,0)&lt;&gt;"",VLOOKUP($E128,OpTbl,14,0),$G128),""))</f>
        <v/>
      </c>
      <c r="V128" s="76">
        <f>IF(OR($AJ128="",$AJ128=0,$AL128&lt;&gt;"بدهکار"),"",$AJ128)</f>
        <v/>
      </c>
      <c r="W128" s="76">
        <f>IF(OR($AJ128="",$AJ128=0,$AL128&lt;&gt;"بستانکار"),"",$AJ128)</f>
        <v/>
      </c>
      <c r="X128" s="70">
        <f>IF($E128="","",IFERROR(VLOOKUP($E128,OpTbl,8,0),""))</f>
        <v/>
      </c>
      <c r="Y128" s="76">
        <f>IF(OR($X128="",$AJ128="",$AJ128=0,$AM128&lt;&gt;"بدهکار"),"",$AJ128)</f>
        <v/>
      </c>
      <c r="Z128" s="76">
        <f>IF(OR($X128="",$AJ128="",$AJ128=0,$AM128&lt;&gt;"بستانکار"),"",$AJ128)</f>
        <v/>
      </c>
      <c r="AA128" s="70">
        <f>IF(OR($E128="",$AN128="—",$AN128=""),"",IFERROR(VLOOKUP($E128,OpTbl,12,0),""))</f>
        <v/>
      </c>
      <c r="AB128" s="76">
        <f>IF(OR($AA128="",$Q128="",$Q128=0,$AN128&lt;&gt;"بدهکار"),"",$Q128)</f>
        <v/>
      </c>
      <c r="AC128" s="76">
        <f>IF(OR($AA128="",$Q128="",$Q128=0,$AN128&lt;&gt;"بستانکار"),"",$Q128)</f>
        <v/>
      </c>
      <c r="AD128" s="70">
        <f>IF($AA128="","",IFERROR(VLOOKUP($E128,OpTbl,13,0),""))</f>
        <v/>
      </c>
      <c r="AE128" s="76">
        <f>IF(OR($AD128="",$Q128="",$Q128=0,$AN128&lt;&gt;"بستانکار"),"",$Q128)</f>
        <v/>
      </c>
      <c r="AF128" s="76">
        <f>IF(OR($AD128="",$Q128="",$Q128=0,$AN128&lt;&gt;"بدهکار"),"",$Q128)</f>
        <v/>
      </c>
      <c r="AG128" s="76">
        <f>SUM($V128,$Y128,$AB128,$AE128)</f>
        <v/>
      </c>
      <c r="AH128" s="76">
        <f>SUM($W128,$Z128,$AC128,$AF128)</f>
        <v/>
      </c>
      <c r="AI128" s="70">
        <f>IF($E128="","",IF(ROUND($AG128-$AH128,0)=0,"✓","⚠"))</f>
        <v/>
      </c>
      <c r="AJ128" s="76">
        <f>IF(OR($E128="",$U128=""),"",IFERROR(IF(VLOOKUP($E128,OpTbl,6,0)="وزن",IF($P128="",0,$P128),IF(VLOOKUP($E128,OpTbl,6,0)="مبلغ",IF(AND($Q128&lt;&gt;"",$Q128&lt;&gt;0),$Q128,$P128),0))+IF(VLOOKUP($E128,OpTbl,10,0)="افزودن",IF($Q128="",0,$Q128),0),0))</f>
        <v/>
      </c>
      <c r="AK128" s="70">
        <f>IF($E128="","",IFERROR(VLOOKUP($E128,OpTbl,10,0),""))</f>
        <v/>
      </c>
      <c r="AL128" s="70">
        <f>IF(OR($E128="",$U128=""),"",IFERROR(IF(VLOOKUP($E128,OpTbl,7,0)="خودکار",$R128,VLOOKUP($E128,OpTbl,7,0)),""))</f>
        <v/>
      </c>
      <c r="AM128" s="70">
        <f>IF(OR($E128="",$X128=""),"",IFERROR(IF(VLOOKUP($E128,OpTbl,9,0)="خودکار",IF($AL128="بدهکار","بستانکار",IF($AL128="بستانکار","بدهکار","")),VLOOKUP($E128,OpTbl,9,0)),""))</f>
        <v/>
      </c>
      <c r="AN128" s="70">
        <f>IF($E128="","",IFERROR(VLOOKUP($E128,OpTbl,11,0),""))</f>
        <v/>
      </c>
      <c r="AO128" s="70">
        <f>IF($B128="","",MID($B128,6,2))</f>
        <v/>
      </c>
      <c r="AP128" s="76">
        <f>IF($B128="",0,1)</f>
        <v/>
      </c>
    </row>
    <row r="129" ht="21.75" customHeight="1">
      <c r="A129" s="70">
        <f>IF($B129="","",COUNTA($B$10:$B129))</f>
        <v/>
      </c>
      <c r="B129" s="71" t="n"/>
      <c r="C129" s="71" t="n"/>
      <c r="D129" s="71" t="n"/>
      <c r="E129" s="71" t="n"/>
      <c r="F129" s="70">
        <f>IF($E129="","",IFERROR(VLOOKUP($E129,OpTbl,2,0),""))</f>
        <v/>
      </c>
      <c r="G129" s="71" t="n"/>
      <c r="H129" s="73">
        <f>IF($U129="","",IFERROR(VLOOKUP($U129,AcctTbl,2,0),"کد ناشناخته"))</f>
        <v/>
      </c>
      <c r="I129" s="70">
        <f>IF($U129="","",IFERROR(VLOOKUP($U129,AcctTbl,3,0),""))</f>
        <v/>
      </c>
      <c r="J129" s="72" t="n"/>
      <c r="K129" s="71" t="n"/>
      <c r="L129" s="74" t="n"/>
      <c r="M129" s="74" t="n"/>
      <c r="N129" s="148">
        <f>IF(OR($E129="",$L129=""),"",IFERROR(($L129-IF($M129="",0,$M129)*IFERROR(VLOOKUP($K129,BasketTbl,4,0),IFERROR(INDEX(BasketTbl,MATCH($K129,BasketCodeCol,0),4),VLOOKUP("P01",ParamTbl,2,0))))*(1-IF(VLOOKUP($E129,OpTbl,3,0)="خرید",VLOOKUP("P02",ParamTbl,2,0),0)/100),""))</f>
        <v/>
      </c>
      <c r="O129" s="74" t="n"/>
      <c r="P129" s="76">
        <f>IF(OR($E129="",$L129=""),"",IFERROR(IF(VLOOKUP($E129,OpTbl,6,0)="وزن",ROUND($N129*$O129,-3),IF(VLOOKUP($E129,OpTbl,6,0)="مبلغ",ROUND($L129*$O129,-3),0)),""))</f>
        <v/>
      </c>
      <c r="Q129" s="74" t="n"/>
      <c r="R129" s="71" t="n"/>
      <c r="S129" s="77">
        <f>IF($E129="","",IF($AI129="⚠","⚠ ناتراز",IF(AND(IFERROR(VLOOKUP($E129,OpTbl,4,0),"")="بله",$L129=""),"⚠ وزن",IF(AND(IFERROR(VLOOKUP($E129,OpTbl,5,0),"")="بله",$U129=""),"⚠ حساب",IF(AND(IFERROR(VLOOKUP($E129,OpTbl,6,0),"")="مبلغ",$Q129=""),"⚠ مبلغ","✓")))))</f>
        <v/>
      </c>
      <c r="T129" s="72" t="n"/>
      <c r="U129" s="70">
        <f>IF($E129="","",IFERROR(IF(VLOOKUP($E129,OpTbl,14,0)&lt;&gt;"",VLOOKUP($E129,OpTbl,14,0),$G129),""))</f>
        <v/>
      </c>
      <c r="V129" s="76">
        <f>IF(OR($AJ129="",$AJ129=0,$AL129&lt;&gt;"بدهکار"),"",$AJ129)</f>
        <v/>
      </c>
      <c r="W129" s="76">
        <f>IF(OR($AJ129="",$AJ129=0,$AL129&lt;&gt;"بستانکار"),"",$AJ129)</f>
        <v/>
      </c>
      <c r="X129" s="70">
        <f>IF($E129="","",IFERROR(VLOOKUP($E129,OpTbl,8,0),""))</f>
        <v/>
      </c>
      <c r="Y129" s="76">
        <f>IF(OR($X129="",$AJ129="",$AJ129=0,$AM129&lt;&gt;"بدهکار"),"",$AJ129)</f>
        <v/>
      </c>
      <c r="Z129" s="76">
        <f>IF(OR($X129="",$AJ129="",$AJ129=0,$AM129&lt;&gt;"بستانکار"),"",$AJ129)</f>
        <v/>
      </c>
      <c r="AA129" s="70">
        <f>IF(OR($E129="",$AN129="—",$AN129=""),"",IFERROR(VLOOKUP($E129,OpTbl,12,0),""))</f>
        <v/>
      </c>
      <c r="AB129" s="76">
        <f>IF(OR($AA129="",$Q129="",$Q129=0,$AN129&lt;&gt;"بدهکار"),"",$Q129)</f>
        <v/>
      </c>
      <c r="AC129" s="76">
        <f>IF(OR($AA129="",$Q129="",$Q129=0,$AN129&lt;&gt;"بستانکار"),"",$Q129)</f>
        <v/>
      </c>
      <c r="AD129" s="70">
        <f>IF($AA129="","",IFERROR(VLOOKUP($E129,OpTbl,13,0),""))</f>
        <v/>
      </c>
      <c r="AE129" s="76">
        <f>IF(OR($AD129="",$Q129="",$Q129=0,$AN129&lt;&gt;"بستانکار"),"",$Q129)</f>
        <v/>
      </c>
      <c r="AF129" s="76">
        <f>IF(OR($AD129="",$Q129="",$Q129=0,$AN129&lt;&gt;"بدهکار"),"",$Q129)</f>
        <v/>
      </c>
      <c r="AG129" s="76">
        <f>SUM($V129,$Y129,$AB129,$AE129)</f>
        <v/>
      </c>
      <c r="AH129" s="76">
        <f>SUM($W129,$Z129,$AC129,$AF129)</f>
        <v/>
      </c>
      <c r="AI129" s="70">
        <f>IF($E129="","",IF(ROUND($AG129-$AH129,0)=0,"✓","⚠"))</f>
        <v/>
      </c>
      <c r="AJ129" s="76">
        <f>IF(OR($E129="",$U129=""),"",IFERROR(IF(VLOOKUP($E129,OpTbl,6,0)="وزن",IF($P129="",0,$P129),IF(VLOOKUP($E129,OpTbl,6,0)="مبلغ",IF(AND($Q129&lt;&gt;"",$Q129&lt;&gt;0),$Q129,$P129),0))+IF(VLOOKUP($E129,OpTbl,10,0)="افزودن",IF($Q129="",0,$Q129),0),0))</f>
        <v/>
      </c>
      <c r="AK129" s="70">
        <f>IF($E129="","",IFERROR(VLOOKUP($E129,OpTbl,10,0),""))</f>
        <v/>
      </c>
      <c r="AL129" s="70">
        <f>IF(OR($E129="",$U129=""),"",IFERROR(IF(VLOOKUP($E129,OpTbl,7,0)="خودکار",$R129,VLOOKUP($E129,OpTbl,7,0)),""))</f>
        <v/>
      </c>
      <c r="AM129" s="70">
        <f>IF(OR($E129="",$X129=""),"",IFERROR(IF(VLOOKUP($E129,OpTbl,9,0)="خودکار",IF($AL129="بدهکار","بستانکار",IF($AL129="بستانکار","بدهکار","")),VLOOKUP($E129,OpTbl,9,0)),""))</f>
        <v/>
      </c>
      <c r="AN129" s="70">
        <f>IF($E129="","",IFERROR(VLOOKUP($E129,OpTbl,11,0),""))</f>
        <v/>
      </c>
      <c r="AO129" s="70">
        <f>IF($B129="","",MID($B129,6,2))</f>
        <v/>
      </c>
      <c r="AP129" s="76">
        <f>IF($B129="",0,1)</f>
        <v/>
      </c>
    </row>
    <row r="130" ht="21.75" customHeight="1">
      <c r="A130" s="70">
        <f>IF($B130="","",COUNTA($B$10:$B130))</f>
        <v/>
      </c>
      <c r="B130" s="71" t="n"/>
      <c r="C130" s="71" t="n"/>
      <c r="D130" s="71" t="n"/>
      <c r="E130" s="71" t="n"/>
      <c r="F130" s="70">
        <f>IF($E130="","",IFERROR(VLOOKUP($E130,OpTbl,2,0),""))</f>
        <v/>
      </c>
      <c r="G130" s="71" t="n"/>
      <c r="H130" s="73">
        <f>IF($U130="","",IFERROR(VLOOKUP($U130,AcctTbl,2,0),"کد ناشناخته"))</f>
        <v/>
      </c>
      <c r="I130" s="70">
        <f>IF($U130="","",IFERROR(VLOOKUP($U130,AcctTbl,3,0),""))</f>
        <v/>
      </c>
      <c r="J130" s="72" t="n"/>
      <c r="K130" s="71" t="n"/>
      <c r="L130" s="74" t="n"/>
      <c r="M130" s="74" t="n"/>
      <c r="N130" s="148">
        <f>IF(OR($E130="",$L130=""),"",IFERROR(($L130-IF($M130="",0,$M130)*IFERROR(VLOOKUP($K130,BasketTbl,4,0),IFERROR(INDEX(BasketTbl,MATCH($K130,BasketCodeCol,0),4),VLOOKUP("P01",ParamTbl,2,0))))*(1-IF(VLOOKUP($E130,OpTbl,3,0)="خرید",VLOOKUP("P02",ParamTbl,2,0),0)/100),""))</f>
        <v/>
      </c>
      <c r="O130" s="74" t="n"/>
      <c r="P130" s="76">
        <f>IF(OR($E130="",$L130=""),"",IFERROR(IF(VLOOKUP($E130,OpTbl,6,0)="وزن",ROUND($N130*$O130,-3),IF(VLOOKUP($E130,OpTbl,6,0)="مبلغ",ROUND($L130*$O130,-3),0)),""))</f>
        <v/>
      </c>
      <c r="Q130" s="74" t="n"/>
      <c r="R130" s="71" t="n"/>
      <c r="S130" s="77">
        <f>IF($E130="","",IF($AI130="⚠","⚠ ناتراز",IF(AND(IFERROR(VLOOKUP($E130,OpTbl,4,0),"")="بله",$L130=""),"⚠ وزن",IF(AND(IFERROR(VLOOKUP($E130,OpTbl,5,0),"")="بله",$U130=""),"⚠ حساب",IF(AND(IFERROR(VLOOKUP($E130,OpTbl,6,0),"")="مبلغ",$Q130=""),"⚠ مبلغ","✓")))))</f>
        <v/>
      </c>
      <c r="T130" s="72" t="n"/>
      <c r="U130" s="70">
        <f>IF($E130="","",IFERROR(IF(VLOOKUP($E130,OpTbl,14,0)&lt;&gt;"",VLOOKUP($E130,OpTbl,14,0),$G130),""))</f>
        <v/>
      </c>
      <c r="V130" s="76">
        <f>IF(OR($AJ130="",$AJ130=0,$AL130&lt;&gt;"بدهکار"),"",$AJ130)</f>
        <v/>
      </c>
      <c r="W130" s="76">
        <f>IF(OR($AJ130="",$AJ130=0,$AL130&lt;&gt;"بستانکار"),"",$AJ130)</f>
        <v/>
      </c>
      <c r="X130" s="70">
        <f>IF($E130="","",IFERROR(VLOOKUP($E130,OpTbl,8,0),""))</f>
        <v/>
      </c>
      <c r="Y130" s="76">
        <f>IF(OR($X130="",$AJ130="",$AJ130=0,$AM130&lt;&gt;"بدهکار"),"",$AJ130)</f>
        <v/>
      </c>
      <c r="Z130" s="76">
        <f>IF(OR($X130="",$AJ130="",$AJ130=0,$AM130&lt;&gt;"بستانکار"),"",$AJ130)</f>
        <v/>
      </c>
      <c r="AA130" s="70">
        <f>IF(OR($E130="",$AN130="—",$AN130=""),"",IFERROR(VLOOKUP($E130,OpTbl,12,0),""))</f>
        <v/>
      </c>
      <c r="AB130" s="76">
        <f>IF(OR($AA130="",$Q130="",$Q130=0,$AN130&lt;&gt;"بدهکار"),"",$Q130)</f>
        <v/>
      </c>
      <c r="AC130" s="76">
        <f>IF(OR($AA130="",$Q130="",$Q130=0,$AN130&lt;&gt;"بستانکار"),"",$Q130)</f>
        <v/>
      </c>
      <c r="AD130" s="70">
        <f>IF($AA130="","",IFERROR(VLOOKUP($E130,OpTbl,13,0),""))</f>
        <v/>
      </c>
      <c r="AE130" s="76">
        <f>IF(OR($AD130="",$Q130="",$Q130=0,$AN130&lt;&gt;"بستانکار"),"",$Q130)</f>
        <v/>
      </c>
      <c r="AF130" s="76">
        <f>IF(OR($AD130="",$Q130="",$Q130=0,$AN130&lt;&gt;"بدهکار"),"",$Q130)</f>
        <v/>
      </c>
      <c r="AG130" s="76">
        <f>SUM($V130,$Y130,$AB130,$AE130)</f>
        <v/>
      </c>
      <c r="AH130" s="76">
        <f>SUM($W130,$Z130,$AC130,$AF130)</f>
        <v/>
      </c>
      <c r="AI130" s="70">
        <f>IF($E130="","",IF(ROUND($AG130-$AH130,0)=0,"✓","⚠"))</f>
        <v/>
      </c>
      <c r="AJ130" s="76">
        <f>IF(OR($E130="",$U130=""),"",IFERROR(IF(VLOOKUP($E130,OpTbl,6,0)="وزن",IF($P130="",0,$P130),IF(VLOOKUP($E130,OpTbl,6,0)="مبلغ",IF(AND($Q130&lt;&gt;"",$Q130&lt;&gt;0),$Q130,$P130),0))+IF(VLOOKUP($E130,OpTbl,10,0)="افزودن",IF($Q130="",0,$Q130),0),0))</f>
        <v/>
      </c>
      <c r="AK130" s="70">
        <f>IF($E130="","",IFERROR(VLOOKUP($E130,OpTbl,10,0),""))</f>
        <v/>
      </c>
      <c r="AL130" s="70">
        <f>IF(OR($E130="",$U130=""),"",IFERROR(IF(VLOOKUP($E130,OpTbl,7,0)="خودکار",$R130,VLOOKUP($E130,OpTbl,7,0)),""))</f>
        <v/>
      </c>
      <c r="AM130" s="70">
        <f>IF(OR($E130="",$X130=""),"",IFERROR(IF(VLOOKUP($E130,OpTbl,9,0)="خودکار",IF($AL130="بدهکار","بستانکار",IF($AL130="بستانکار","بدهکار","")),VLOOKUP($E130,OpTbl,9,0)),""))</f>
        <v/>
      </c>
      <c r="AN130" s="70">
        <f>IF($E130="","",IFERROR(VLOOKUP($E130,OpTbl,11,0),""))</f>
        <v/>
      </c>
      <c r="AO130" s="70">
        <f>IF($B130="","",MID($B130,6,2))</f>
        <v/>
      </c>
      <c r="AP130" s="76">
        <f>IF($B130="",0,1)</f>
        <v/>
      </c>
    </row>
    <row r="131" ht="21.75" customHeight="1">
      <c r="A131" s="70">
        <f>IF($B131="","",COUNTA($B$10:$B131))</f>
        <v/>
      </c>
      <c r="B131" s="71" t="n"/>
      <c r="C131" s="71" t="n"/>
      <c r="D131" s="71" t="n"/>
      <c r="E131" s="71" t="n"/>
      <c r="F131" s="70">
        <f>IF($E131="","",IFERROR(VLOOKUP($E131,OpTbl,2,0),""))</f>
        <v/>
      </c>
      <c r="G131" s="71" t="n"/>
      <c r="H131" s="73">
        <f>IF($U131="","",IFERROR(VLOOKUP($U131,AcctTbl,2,0),"کد ناشناخته"))</f>
        <v/>
      </c>
      <c r="I131" s="70">
        <f>IF($U131="","",IFERROR(VLOOKUP($U131,AcctTbl,3,0),""))</f>
        <v/>
      </c>
      <c r="J131" s="72" t="n"/>
      <c r="K131" s="71" t="n"/>
      <c r="L131" s="74" t="n"/>
      <c r="M131" s="74" t="n"/>
      <c r="N131" s="148">
        <f>IF(OR($E131="",$L131=""),"",IFERROR(($L131-IF($M131="",0,$M131)*IFERROR(VLOOKUP($K131,BasketTbl,4,0),IFERROR(INDEX(BasketTbl,MATCH($K131,BasketCodeCol,0),4),VLOOKUP("P01",ParamTbl,2,0))))*(1-IF(VLOOKUP($E131,OpTbl,3,0)="خرید",VLOOKUP("P02",ParamTbl,2,0),0)/100),""))</f>
        <v/>
      </c>
      <c r="O131" s="74" t="n"/>
      <c r="P131" s="76">
        <f>IF(OR($E131="",$L131=""),"",IFERROR(IF(VLOOKUP($E131,OpTbl,6,0)="وزن",ROUND($N131*$O131,-3),IF(VLOOKUP($E131,OpTbl,6,0)="مبلغ",ROUND($L131*$O131,-3),0)),""))</f>
        <v/>
      </c>
      <c r="Q131" s="74" t="n"/>
      <c r="R131" s="71" t="n"/>
      <c r="S131" s="77">
        <f>IF($E131="","",IF($AI131="⚠","⚠ ناتراز",IF(AND(IFERROR(VLOOKUP($E131,OpTbl,4,0),"")="بله",$L131=""),"⚠ وزن",IF(AND(IFERROR(VLOOKUP($E131,OpTbl,5,0),"")="بله",$U131=""),"⚠ حساب",IF(AND(IFERROR(VLOOKUP($E131,OpTbl,6,0),"")="مبلغ",$Q131=""),"⚠ مبلغ","✓")))))</f>
        <v/>
      </c>
      <c r="T131" s="72" t="n"/>
      <c r="U131" s="70">
        <f>IF($E131="","",IFERROR(IF(VLOOKUP($E131,OpTbl,14,0)&lt;&gt;"",VLOOKUP($E131,OpTbl,14,0),$G131),""))</f>
        <v/>
      </c>
      <c r="V131" s="76">
        <f>IF(OR($AJ131="",$AJ131=0,$AL131&lt;&gt;"بدهکار"),"",$AJ131)</f>
        <v/>
      </c>
      <c r="W131" s="76">
        <f>IF(OR($AJ131="",$AJ131=0,$AL131&lt;&gt;"بستانکار"),"",$AJ131)</f>
        <v/>
      </c>
      <c r="X131" s="70">
        <f>IF($E131="","",IFERROR(VLOOKUP($E131,OpTbl,8,0),""))</f>
        <v/>
      </c>
      <c r="Y131" s="76">
        <f>IF(OR($X131="",$AJ131="",$AJ131=0,$AM131&lt;&gt;"بدهکار"),"",$AJ131)</f>
        <v/>
      </c>
      <c r="Z131" s="76">
        <f>IF(OR($X131="",$AJ131="",$AJ131=0,$AM131&lt;&gt;"بستانکار"),"",$AJ131)</f>
        <v/>
      </c>
      <c r="AA131" s="70">
        <f>IF(OR($E131="",$AN131="—",$AN131=""),"",IFERROR(VLOOKUP($E131,OpTbl,12,0),""))</f>
        <v/>
      </c>
      <c r="AB131" s="76">
        <f>IF(OR($AA131="",$Q131="",$Q131=0,$AN131&lt;&gt;"بدهکار"),"",$Q131)</f>
        <v/>
      </c>
      <c r="AC131" s="76">
        <f>IF(OR($AA131="",$Q131="",$Q131=0,$AN131&lt;&gt;"بستانکار"),"",$Q131)</f>
        <v/>
      </c>
      <c r="AD131" s="70">
        <f>IF($AA131="","",IFERROR(VLOOKUP($E131,OpTbl,13,0),""))</f>
        <v/>
      </c>
      <c r="AE131" s="76">
        <f>IF(OR($AD131="",$Q131="",$Q131=0,$AN131&lt;&gt;"بستانکار"),"",$Q131)</f>
        <v/>
      </c>
      <c r="AF131" s="76">
        <f>IF(OR($AD131="",$Q131="",$Q131=0,$AN131&lt;&gt;"بدهکار"),"",$Q131)</f>
        <v/>
      </c>
      <c r="AG131" s="76">
        <f>SUM($V131,$Y131,$AB131,$AE131)</f>
        <v/>
      </c>
      <c r="AH131" s="76">
        <f>SUM($W131,$Z131,$AC131,$AF131)</f>
        <v/>
      </c>
      <c r="AI131" s="70">
        <f>IF($E131="","",IF(ROUND($AG131-$AH131,0)=0,"✓","⚠"))</f>
        <v/>
      </c>
      <c r="AJ131" s="76">
        <f>IF(OR($E131="",$U131=""),"",IFERROR(IF(VLOOKUP($E131,OpTbl,6,0)="وزن",IF($P131="",0,$P131),IF(VLOOKUP($E131,OpTbl,6,0)="مبلغ",IF(AND($Q131&lt;&gt;"",$Q131&lt;&gt;0),$Q131,$P131),0))+IF(VLOOKUP($E131,OpTbl,10,0)="افزودن",IF($Q131="",0,$Q131),0),0))</f>
        <v/>
      </c>
      <c r="AK131" s="70">
        <f>IF($E131="","",IFERROR(VLOOKUP($E131,OpTbl,10,0),""))</f>
        <v/>
      </c>
      <c r="AL131" s="70">
        <f>IF(OR($E131="",$U131=""),"",IFERROR(IF(VLOOKUP($E131,OpTbl,7,0)="خودکار",$R131,VLOOKUP($E131,OpTbl,7,0)),""))</f>
        <v/>
      </c>
      <c r="AM131" s="70">
        <f>IF(OR($E131="",$X131=""),"",IFERROR(IF(VLOOKUP($E131,OpTbl,9,0)="خودکار",IF($AL131="بدهکار","بستانکار",IF($AL131="بستانکار","بدهکار","")),VLOOKUP($E131,OpTbl,9,0)),""))</f>
        <v/>
      </c>
      <c r="AN131" s="70">
        <f>IF($E131="","",IFERROR(VLOOKUP($E131,OpTbl,11,0),""))</f>
        <v/>
      </c>
      <c r="AO131" s="70">
        <f>IF($B131="","",MID($B131,6,2))</f>
        <v/>
      </c>
      <c r="AP131" s="76">
        <f>IF($B131="",0,1)</f>
        <v/>
      </c>
    </row>
    <row r="132" ht="21.75" customHeight="1">
      <c r="A132" s="70">
        <f>IF($B132="","",COUNTA($B$10:$B132))</f>
        <v/>
      </c>
      <c r="B132" s="71" t="n"/>
      <c r="C132" s="71" t="n"/>
      <c r="D132" s="71" t="n"/>
      <c r="E132" s="71" t="n"/>
      <c r="F132" s="70">
        <f>IF($E132="","",IFERROR(VLOOKUP($E132,OpTbl,2,0),""))</f>
        <v/>
      </c>
      <c r="G132" s="71" t="n"/>
      <c r="H132" s="73">
        <f>IF($U132="","",IFERROR(VLOOKUP($U132,AcctTbl,2,0),"کد ناشناخته"))</f>
        <v/>
      </c>
      <c r="I132" s="70">
        <f>IF($U132="","",IFERROR(VLOOKUP($U132,AcctTbl,3,0),""))</f>
        <v/>
      </c>
      <c r="J132" s="72" t="n"/>
      <c r="K132" s="71" t="n"/>
      <c r="L132" s="74" t="n"/>
      <c r="M132" s="74" t="n"/>
      <c r="N132" s="148">
        <f>IF(OR($E132="",$L132=""),"",IFERROR(($L132-IF($M132="",0,$M132)*IFERROR(VLOOKUP($K132,BasketTbl,4,0),IFERROR(INDEX(BasketTbl,MATCH($K132,BasketCodeCol,0),4),VLOOKUP("P01",ParamTbl,2,0))))*(1-IF(VLOOKUP($E132,OpTbl,3,0)="خرید",VLOOKUP("P02",ParamTbl,2,0),0)/100),""))</f>
        <v/>
      </c>
      <c r="O132" s="74" t="n"/>
      <c r="P132" s="76">
        <f>IF(OR($E132="",$L132=""),"",IFERROR(IF(VLOOKUP($E132,OpTbl,6,0)="وزن",ROUND($N132*$O132,-3),IF(VLOOKUP($E132,OpTbl,6,0)="مبلغ",ROUND($L132*$O132,-3),0)),""))</f>
        <v/>
      </c>
      <c r="Q132" s="74" t="n"/>
      <c r="R132" s="71" t="n"/>
      <c r="S132" s="77">
        <f>IF($E132="","",IF($AI132="⚠","⚠ ناتراز",IF(AND(IFERROR(VLOOKUP($E132,OpTbl,4,0),"")="بله",$L132=""),"⚠ وزن",IF(AND(IFERROR(VLOOKUP($E132,OpTbl,5,0),"")="بله",$U132=""),"⚠ حساب",IF(AND(IFERROR(VLOOKUP($E132,OpTbl,6,0),"")="مبلغ",$Q132=""),"⚠ مبلغ","✓")))))</f>
        <v/>
      </c>
      <c r="T132" s="72" t="n"/>
      <c r="U132" s="70">
        <f>IF($E132="","",IFERROR(IF(VLOOKUP($E132,OpTbl,14,0)&lt;&gt;"",VLOOKUP($E132,OpTbl,14,0),$G132),""))</f>
        <v/>
      </c>
      <c r="V132" s="76">
        <f>IF(OR($AJ132="",$AJ132=0,$AL132&lt;&gt;"بدهکار"),"",$AJ132)</f>
        <v/>
      </c>
      <c r="W132" s="76">
        <f>IF(OR($AJ132="",$AJ132=0,$AL132&lt;&gt;"بستانکار"),"",$AJ132)</f>
        <v/>
      </c>
      <c r="X132" s="70">
        <f>IF($E132="","",IFERROR(VLOOKUP($E132,OpTbl,8,0),""))</f>
        <v/>
      </c>
      <c r="Y132" s="76">
        <f>IF(OR($X132="",$AJ132="",$AJ132=0,$AM132&lt;&gt;"بدهکار"),"",$AJ132)</f>
        <v/>
      </c>
      <c r="Z132" s="76">
        <f>IF(OR($X132="",$AJ132="",$AJ132=0,$AM132&lt;&gt;"بستانکار"),"",$AJ132)</f>
        <v/>
      </c>
      <c r="AA132" s="70">
        <f>IF(OR($E132="",$AN132="—",$AN132=""),"",IFERROR(VLOOKUP($E132,OpTbl,12,0),""))</f>
        <v/>
      </c>
      <c r="AB132" s="76">
        <f>IF(OR($AA132="",$Q132="",$Q132=0,$AN132&lt;&gt;"بدهکار"),"",$Q132)</f>
        <v/>
      </c>
      <c r="AC132" s="76">
        <f>IF(OR($AA132="",$Q132="",$Q132=0,$AN132&lt;&gt;"بستانکار"),"",$Q132)</f>
        <v/>
      </c>
      <c r="AD132" s="70">
        <f>IF($AA132="","",IFERROR(VLOOKUP($E132,OpTbl,13,0),""))</f>
        <v/>
      </c>
      <c r="AE132" s="76">
        <f>IF(OR($AD132="",$Q132="",$Q132=0,$AN132&lt;&gt;"بستانکار"),"",$Q132)</f>
        <v/>
      </c>
      <c r="AF132" s="76">
        <f>IF(OR($AD132="",$Q132="",$Q132=0,$AN132&lt;&gt;"بدهکار"),"",$Q132)</f>
        <v/>
      </c>
      <c r="AG132" s="76">
        <f>SUM($V132,$Y132,$AB132,$AE132)</f>
        <v/>
      </c>
      <c r="AH132" s="76">
        <f>SUM($W132,$Z132,$AC132,$AF132)</f>
        <v/>
      </c>
      <c r="AI132" s="70">
        <f>IF($E132="","",IF(ROUND($AG132-$AH132,0)=0,"✓","⚠"))</f>
        <v/>
      </c>
      <c r="AJ132" s="76">
        <f>IF(OR($E132="",$U132=""),"",IFERROR(IF(VLOOKUP($E132,OpTbl,6,0)="وزن",IF($P132="",0,$P132),IF(VLOOKUP($E132,OpTbl,6,0)="مبلغ",IF(AND($Q132&lt;&gt;"",$Q132&lt;&gt;0),$Q132,$P132),0))+IF(VLOOKUP($E132,OpTbl,10,0)="افزودن",IF($Q132="",0,$Q132),0),0))</f>
        <v/>
      </c>
      <c r="AK132" s="70">
        <f>IF($E132="","",IFERROR(VLOOKUP($E132,OpTbl,10,0),""))</f>
        <v/>
      </c>
      <c r="AL132" s="70">
        <f>IF(OR($E132="",$U132=""),"",IFERROR(IF(VLOOKUP($E132,OpTbl,7,0)="خودکار",$R132,VLOOKUP($E132,OpTbl,7,0)),""))</f>
        <v/>
      </c>
      <c r="AM132" s="70">
        <f>IF(OR($E132="",$X132=""),"",IFERROR(IF(VLOOKUP($E132,OpTbl,9,0)="خودکار",IF($AL132="بدهکار","بستانکار",IF($AL132="بستانکار","بدهکار","")),VLOOKUP($E132,OpTbl,9,0)),""))</f>
        <v/>
      </c>
      <c r="AN132" s="70">
        <f>IF($E132="","",IFERROR(VLOOKUP($E132,OpTbl,11,0),""))</f>
        <v/>
      </c>
      <c r="AO132" s="70">
        <f>IF($B132="","",MID($B132,6,2))</f>
        <v/>
      </c>
      <c r="AP132" s="76">
        <f>IF($B132="",0,1)</f>
        <v/>
      </c>
    </row>
    <row r="133" ht="21.75" customHeight="1">
      <c r="A133" s="70">
        <f>IF($B133="","",COUNTA($B$10:$B133))</f>
        <v/>
      </c>
      <c r="B133" s="71" t="n"/>
      <c r="C133" s="71" t="n"/>
      <c r="D133" s="71" t="n"/>
      <c r="E133" s="71" t="n"/>
      <c r="F133" s="70">
        <f>IF($E133="","",IFERROR(VLOOKUP($E133,OpTbl,2,0),""))</f>
        <v/>
      </c>
      <c r="G133" s="71" t="n"/>
      <c r="H133" s="73">
        <f>IF($U133="","",IFERROR(VLOOKUP($U133,AcctTbl,2,0),"کد ناشناخته"))</f>
        <v/>
      </c>
      <c r="I133" s="70">
        <f>IF($U133="","",IFERROR(VLOOKUP($U133,AcctTbl,3,0),""))</f>
        <v/>
      </c>
      <c r="J133" s="72" t="n"/>
      <c r="K133" s="71" t="n"/>
      <c r="L133" s="74" t="n"/>
      <c r="M133" s="74" t="n"/>
      <c r="N133" s="148">
        <f>IF(OR($E133="",$L133=""),"",IFERROR(($L133-IF($M133="",0,$M133)*IFERROR(VLOOKUP($K133,BasketTbl,4,0),IFERROR(INDEX(BasketTbl,MATCH($K133,BasketCodeCol,0),4),VLOOKUP("P01",ParamTbl,2,0))))*(1-IF(VLOOKUP($E133,OpTbl,3,0)="خرید",VLOOKUP("P02",ParamTbl,2,0),0)/100),""))</f>
        <v/>
      </c>
      <c r="O133" s="74" t="n"/>
      <c r="P133" s="76">
        <f>IF(OR($E133="",$L133=""),"",IFERROR(IF(VLOOKUP($E133,OpTbl,6,0)="وزن",ROUND($N133*$O133,-3),IF(VLOOKUP($E133,OpTbl,6,0)="مبلغ",ROUND($L133*$O133,-3),0)),""))</f>
        <v/>
      </c>
      <c r="Q133" s="74" t="n"/>
      <c r="R133" s="71" t="n"/>
      <c r="S133" s="77">
        <f>IF($E133="","",IF($AI133="⚠","⚠ ناتراز",IF(AND(IFERROR(VLOOKUP($E133,OpTbl,4,0),"")="بله",$L133=""),"⚠ وزن",IF(AND(IFERROR(VLOOKUP($E133,OpTbl,5,0),"")="بله",$U133=""),"⚠ حساب",IF(AND(IFERROR(VLOOKUP($E133,OpTbl,6,0),"")="مبلغ",$Q133=""),"⚠ مبلغ","✓")))))</f>
        <v/>
      </c>
      <c r="T133" s="72" t="n"/>
      <c r="U133" s="70">
        <f>IF($E133="","",IFERROR(IF(VLOOKUP($E133,OpTbl,14,0)&lt;&gt;"",VLOOKUP($E133,OpTbl,14,0),$G133),""))</f>
        <v/>
      </c>
      <c r="V133" s="76">
        <f>IF(OR($AJ133="",$AJ133=0,$AL133&lt;&gt;"بدهکار"),"",$AJ133)</f>
        <v/>
      </c>
      <c r="W133" s="76">
        <f>IF(OR($AJ133="",$AJ133=0,$AL133&lt;&gt;"بستانکار"),"",$AJ133)</f>
        <v/>
      </c>
      <c r="X133" s="70">
        <f>IF($E133="","",IFERROR(VLOOKUP($E133,OpTbl,8,0),""))</f>
        <v/>
      </c>
      <c r="Y133" s="76">
        <f>IF(OR($X133="",$AJ133="",$AJ133=0,$AM133&lt;&gt;"بدهکار"),"",$AJ133)</f>
        <v/>
      </c>
      <c r="Z133" s="76">
        <f>IF(OR($X133="",$AJ133="",$AJ133=0,$AM133&lt;&gt;"بستانکار"),"",$AJ133)</f>
        <v/>
      </c>
      <c r="AA133" s="70">
        <f>IF(OR($E133="",$AN133="—",$AN133=""),"",IFERROR(VLOOKUP($E133,OpTbl,12,0),""))</f>
        <v/>
      </c>
      <c r="AB133" s="76">
        <f>IF(OR($AA133="",$Q133="",$Q133=0,$AN133&lt;&gt;"بدهکار"),"",$Q133)</f>
        <v/>
      </c>
      <c r="AC133" s="76">
        <f>IF(OR($AA133="",$Q133="",$Q133=0,$AN133&lt;&gt;"بستانکار"),"",$Q133)</f>
        <v/>
      </c>
      <c r="AD133" s="70">
        <f>IF($AA133="","",IFERROR(VLOOKUP($E133,OpTbl,13,0),""))</f>
        <v/>
      </c>
      <c r="AE133" s="76">
        <f>IF(OR($AD133="",$Q133="",$Q133=0,$AN133&lt;&gt;"بستانکار"),"",$Q133)</f>
        <v/>
      </c>
      <c r="AF133" s="76">
        <f>IF(OR($AD133="",$Q133="",$Q133=0,$AN133&lt;&gt;"بدهکار"),"",$Q133)</f>
        <v/>
      </c>
      <c r="AG133" s="76">
        <f>SUM($V133,$Y133,$AB133,$AE133)</f>
        <v/>
      </c>
      <c r="AH133" s="76">
        <f>SUM($W133,$Z133,$AC133,$AF133)</f>
        <v/>
      </c>
      <c r="AI133" s="70">
        <f>IF($E133="","",IF(ROUND($AG133-$AH133,0)=0,"✓","⚠"))</f>
        <v/>
      </c>
      <c r="AJ133" s="76">
        <f>IF(OR($E133="",$U133=""),"",IFERROR(IF(VLOOKUP($E133,OpTbl,6,0)="وزن",IF($P133="",0,$P133),IF(VLOOKUP($E133,OpTbl,6,0)="مبلغ",IF(AND($Q133&lt;&gt;"",$Q133&lt;&gt;0),$Q133,$P133),0))+IF(VLOOKUP($E133,OpTbl,10,0)="افزودن",IF($Q133="",0,$Q133),0),0))</f>
        <v/>
      </c>
      <c r="AK133" s="70">
        <f>IF($E133="","",IFERROR(VLOOKUP($E133,OpTbl,10,0),""))</f>
        <v/>
      </c>
      <c r="AL133" s="70">
        <f>IF(OR($E133="",$U133=""),"",IFERROR(IF(VLOOKUP($E133,OpTbl,7,0)="خودکار",$R133,VLOOKUP($E133,OpTbl,7,0)),""))</f>
        <v/>
      </c>
      <c r="AM133" s="70">
        <f>IF(OR($E133="",$X133=""),"",IFERROR(IF(VLOOKUP($E133,OpTbl,9,0)="خودکار",IF($AL133="بدهکار","بستانکار",IF($AL133="بستانکار","بدهکار","")),VLOOKUP($E133,OpTbl,9,0)),""))</f>
        <v/>
      </c>
      <c r="AN133" s="70">
        <f>IF($E133="","",IFERROR(VLOOKUP($E133,OpTbl,11,0),""))</f>
        <v/>
      </c>
      <c r="AO133" s="70">
        <f>IF($B133="","",MID($B133,6,2))</f>
        <v/>
      </c>
      <c r="AP133" s="76">
        <f>IF($B133="",0,1)</f>
        <v/>
      </c>
    </row>
    <row r="134" ht="21.75" customHeight="1">
      <c r="A134" s="70">
        <f>IF($B134="","",COUNTA($B$10:$B134))</f>
        <v/>
      </c>
      <c r="B134" s="71" t="n"/>
      <c r="C134" s="71" t="n"/>
      <c r="D134" s="71" t="n"/>
      <c r="E134" s="71" t="n"/>
      <c r="F134" s="70">
        <f>IF($E134="","",IFERROR(VLOOKUP($E134,OpTbl,2,0),""))</f>
        <v/>
      </c>
      <c r="G134" s="71" t="n"/>
      <c r="H134" s="73">
        <f>IF($U134="","",IFERROR(VLOOKUP($U134,AcctTbl,2,0),"کد ناشناخته"))</f>
        <v/>
      </c>
      <c r="I134" s="70">
        <f>IF($U134="","",IFERROR(VLOOKUP($U134,AcctTbl,3,0),""))</f>
        <v/>
      </c>
      <c r="J134" s="72" t="n"/>
      <c r="K134" s="71" t="n"/>
      <c r="L134" s="74" t="n"/>
      <c r="M134" s="74" t="n"/>
      <c r="N134" s="148">
        <f>IF(OR($E134="",$L134=""),"",IFERROR(($L134-IF($M134="",0,$M134)*IFERROR(VLOOKUP($K134,BasketTbl,4,0),IFERROR(INDEX(BasketTbl,MATCH($K134,BasketCodeCol,0),4),VLOOKUP("P01",ParamTbl,2,0))))*(1-IF(VLOOKUP($E134,OpTbl,3,0)="خرید",VLOOKUP("P02",ParamTbl,2,0),0)/100),""))</f>
        <v/>
      </c>
      <c r="O134" s="74" t="n"/>
      <c r="P134" s="76">
        <f>IF(OR($E134="",$L134=""),"",IFERROR(IF(VLOOKUP($E134,OpTbl,6,0)="وزن",ROUND($N134*$O134,-3),IF(VLOOKUP($E134,OpTbl,6,0)="مبلغ",ROUND($L134*$O134,-3),0)),""))</f>
        <v/>
      </c>
      <c r="Q134" s="74" t="n"/>
      <c r="R134" s="71" t="n"/>
      <c r="S134" s="77">
        <f>IF($E134="","",IF($AI134="⚠","⚠ ناتراز",IF(AND(IFERROR(VLOOKUP($E134,OpTbl,4,0),"")="بله",$L134=""),"⚠ وزن",IF(AND(IFERROR(VLOOKUP($E134,OpTbl,5,0),"")="بله",$U134=""),"⚠ حساب",IF(AND(IFERROR(VLOOKUP($E134,OpTbl,6,0),"")="مبلغ",$Q134=""),"⚠ مبلغ","✓")))))</f>
        <v/>
      </c>
      <c r="T134" s="72" t="n"/>
      <c r="U134" s="70">
        <f>IF($E134="","",IFERROR(IF(VLOOKUP($E134,OpTbl,14,0)&lt;&gt;"",VLOOKUP($E134,OpTbl,14,0),$G134),""))</f>
        <v/>
      </c>
      <c r="V134" s="76">
        <f>IF(OR($AJ134="",$AJ134=0,$AL134&lt;&gt;"بدهکار"),"",$AJ134)</f>
        <v/>
      </c>
      <c r="W134" s="76">
        <f>IF(OR($AJ134="",$AJ134=0,$AL134&lt;&gt;"بستانکار"),"",$AJ134)</f>
        <v/>
      </c>
      <c r="X134" s="70">
        <f>IF($E134="","",IFERROR(VLOOKUP($E134,OpTbl,8,0),""))</f>
        <v/>
      </c>
      <c r="Y134" s="76">
        <f>IF(OR($X134="",$AJ134="",$AJ134=0,$AM134&lt;&gt;"بدهکار"),"",$AJ134)</f>
        <v/>
      </c>
      <c r="Z134" s="76">
        <f>IF(OR($X134="",$AJ134="",$AJ134=0,$AM134&lt;&gt;"بستانکار"),"",$AJ134)</f>
        <v/>
      </c>
      <c r="AA134" s="70">
        <f>IF(OR($E134="",$AN134="—",$AN134=""),"",IFERROR(VLOOKUP($E134,OpTbl,12,0),""))</f>
        <v/>
      </c>
      <c r="AB134" s="76">
        <f>IF(OR($AA134="",$Q134="",$Q134=0,$AN134&lt;&gt;"بدهکار"),"",$Q134)</f>
        <v/>
      </c>
      <c r="AC134" s="76">
        <f>IF(OR($AA134="",$Q134="",$Q134=0,$AN134&lt;&gt;"بستانکار"),"",$Q134)</f>
        <v/>
      </c>
      <c r="AD134" s="70">
        <f>IF($AA134="","",IFERROR(VLOOKUP($E134,OpTbl,13,0),""))</f>
        <v/>
      </c>
      <c r="AE134" s="76">
        <f>IF(OR($AD134="",$Q134="",$Q134=0,$AN134&lt;&gt;"بستانکار"),"",$Q134)</f>
        <v/>
      </c>
      <c r="AF134" s="76">
        <f>IF(OR($AD134="",$Q134="",$Q134=0,$AN134&lt;&gt;"بدهکار"),"",$Q134)</f>
        <v/>
      </c>
      <c r="AG134" s="76">
        <f>SUM($V134,$Y134,$AB134,$AE134)</f>
        <v/>
      </c>
      <c r="AH134" s="76">
        <f>SUM($W134,$Z134,$AC134,$AF134)</f>
        <v/>
      </c>
      <c r="AI134" s="70">
        <f>IF($E134="","",IF(ROUND($AG134-$AH134,0)=0,"✓","⚠"))</f>
        <v/>
      </c>
      <c r="AJ134" s="76">
        <f>IF(OR($E134="",$U134=""),"",IFERROR(IF(VLOOKUP($E134,OpTbl,6,0)="وزن",IF($P134="",0,$P134),IF(VLOOKUP($E134,OpTbl,6,0)="مبلغ",IF(AND($Q134&lt;&gt;"",$Q134&lt;&gt;0),$Q134,$P134),0))+IF(VLOOKUP($E134,OpTbl,10,0)="افزودن",IF($Q134="",0,$Q134),0),0))</f>
        <v/>
      </c>
      <c r="AK134" s="70">
        <f>IF($E134="","",IFERROR(VLOOKUP($E134,OpTbl,10,0),""))</f>
        <v/>
      </c>
      <c r="AL134" s="70">
        <f>IF(OR($E134="",$U134=""),"",IFERROR(IF(VLOOKUP($E134,OpTbl,7,0)="خودکار",$R134,VLOOKUP($E134,OpTbl,7,0)),""))</f>
        <v/>
      </c>
      <c r="AM134" s="70">
        <f>IF(OR($E134="",$X134=""),"",IFERROR(IF(VLOOKUP($E134,OpTbl,9,0)="خودکار",IF($AL134="بدهکار","بستانکار",IF($AL134="بستانکار","بدهکار","")),VLOOKUP($E134,OpTbl,9,0)),""))</f>
        <v/>
      </c>
      <c r="AN134" s="70">
        <f>IF($E134="","",IFERROR(VLOOKUP($E134,OpTbl,11,0),""))</f>
        <v/>
      </c>
      <c r="AO134" s="70">
        <f>IF($B134="","",MID($B134,6,2))</f>
        <v/>
      </c>
      <c r="AP134" s="76">
        <f>IF($B134="",0,1)</f>
        <v/>
      </c>
    </row>
    <row r="135" ht="21.75" customHeight="1">
      <c r="A135" s="70">
        <f>IF($B135="","",COUNTA($B$10:$B135))</f>
        <v/>
      </c>
      <c r="B135" s="71" t="n"/>
      <c r="C135" s="71" t="n"/>
      <c r="D135" s="71" t="n"/>
      <c r="E135" s="71" t="n"/>
      <c r="F135" s="70">
        <f>IF($E135="","",IFERROR(VLOOKUP($E135,OpTbl,2,0),""))</f>
        <v/>
      </c>
      <c r="G135" s="71" t="n"/>
      <c r="H135" s="73">
        <f>IF($U135="","",IFERROR(VLOOKUP($U135,AcctTbl,2,0),"کد ناشناخته"))</f>
        <v/>
      </c>
      <c r="I135" s="70">
        <f>IF($U135="","",IFERROR(VLOOKUP($U135,AcctTbl,3,0),""))</f>
        <v/>
      </c>
      <c r="J135" s="72" t="n"/>
      <c r="K135" s="71" t="n"/>
      <c r="L135" s="74" t="n"/>
      <c r="M135" s="74" t="n"/>
      <c r="N135" s="148">
        <f>IF(OR($E135="",$L135=""),"",IFERROR(($L135-IF($M135="",0,$M135)*IFERROR(VLOOKUP($K135,BasketTbl,4,0),IFERROR(INDEX(BasketTbl,MATCH($K135,BasketCodeCol,0),4),VLOOKUP("P01",ParamTbl,2,0))))*(1-IF(VLOOKUP($E135,OpTbl,3,0)="خرید",VLOOKUP("P02",ParamTbl,2,0),0)/100),""))</f>
        <v/>
      </c>
      <c r="O135" s="74" t="n"/>
      <c r="P135" s="76">
        <f>IF(OR($E135="",$L135=""),"",IFERROR(IF(VLOOKUP($E135,OpTbl,6,0)="وزن",ROUND($N135*$O135,-3),IF(VLOOKUP($E135,OpTbl,6,0)="مبلغ",ROUND($L135*$O135,-3),0)),""))</f>
        <v/>
      </c>
      <c r="Q135" s="74" t="n"/>
      <c r="R135" s="71" t="n"/>
      <c r="S135" s="77">
        <f>IF($E135="","",IF($AI135="⚠","⚠ ناتراز",IF(AND(IFERROR(VLOOKUP($E135,OpTbl,4,0),"")="بله",$L135=""),"⚠ وزن",IF(AND(IFERROR(VLOOKUP($E135,OpTbl,5,0),"")="بله",$U135=""),"⚠ حساب",IF(AND(IFERROR(VLOOKUP($E135,OpTbl,6,0),"")="مبلغ",$Q135=""),"⚠ مبلغ","✓")))))</f>
        <v/>
      </c>
      <c r="T135" s="72" t="n"/>
      <c r="U135" s="70">
        <f>IF($E135="","",IFERROR(IF(VLOOKUP($E135,OpTbl,14,0)&lt;&gt;"",VLOOKUP($E135,OpTbl,14,0),$G135),""))</f>
        <v/>
      </c>
      <c r="V135" s="76">
        <f>IF(OR($AJ135="",$AJ135=0,$AL135&lt;&gt;"بدهکار"),"",$AJ135)</f>
        <v/>
      </c>
      <c r="W135" s="76">
        <f>IF(OR($AJ135="",$AJ135=0,$AL135&lt;&gt;"بستانکار"),"",$AJ135)</f>
        <v/>
      </c>
      <c r="X135" s="70">
        <f>IF($E135="","",IFERROR(VLOOKUP($E135,OpTbl,8,0),""))</f>
        <v/>
      </c>
      <c r="Y135" s="76">
        <f>IF(OR($X135="",$AJ135="",$AJ135=0,$AM135&lt;&gt;"بدهکار"),"",$AJ135)</f>
        <v/>
      </c>
      <c r="Z135" s="76">
        <f>IF(OR($X135="",$AJ135="",$AJ135=0,$AM135&lt;&gt;"بستانکار"),"",$AJ135)</f>
        <v/>
      </c>
      <c r="AA135" s="70">
        <f>IF(OR($E135="",$AN135="—",$AN135=""),"",IFERROR(VLOOKUP($E135,OpTbl,12,0),""))</f>
        <v/>
      </c>
      <c r="AB135" s="76">
        <f>IF(OR($AA135="",$Q135="",$Q135=0,$AN135&lt;&gt;"بدهکار"),"",$Q135)</f>
        <v/>
      </c>
      <c r="AC135" s="76">
        <f>IF(OR($AA135="",$Q135="",$Q135=0,$AN135&lt;&gt;"بستانکار"),"",$Q135)</f>
        <v/>
      </c>
      <c r="AD135" s="70">
        <f>IF($AA135="","",IFERROR(VLOOKUP($E135,OpTbl,13,0),""))</f>
        <v/>
      </c>
      <c r="AE135" s="76">
        <f>IF(OR($AD135="",$Q135="",$Q135=0,$AN135&lt;&gt;"بستانکار"),"",$Q135)</f>
        <v/>
      </c>
      <c r="AF135" s="76">
        <f>IF(OR($AD135="",$Q135="",$Q135=0,$AN135&lt;&gt;"بدهکار"),"",$Q135)</f>
        <v/>
      </c>
      <c r="AG135" s="76">
        <f>SUM($V135,$Y135,$AB135,$AE135)</f>
        <v/>
      </c>
      <c r="AH135" s="76">
        <f>SUM($W135,$Z135,$AC135,$AF135)</f>
        <v/>
      </c>
      <c r="AI135" s="70">
        <f>IF($E135="","",IF(ROUND($AG135-$AH135,0)=0,"✓","⚠"))</f>
        <v/>
      </c>
      <c r="AJ135" s="76">
        <f>IF(OR($E135="",$U135=""),"",IFERROR(IF(VLOOKUP($E135,OpTbl,6,0)="وزن",IF($P135="",0,$P135),IF(VLOOKUP($E135,OpTbl,6,0)="مبلغ",IF(AND($Q135&lt;&gt;"",$Q135&lt;&gt;0),$Q135,$P135),0))+IF(VLOOKUP($E135,OpTbl,10,0)="افزودن",IF($Q135="",0,$Q135),0),0))</f>
        <v/>
      </c>
      <c r="AK135" s="70">
        <f>IF($E135="","",IFERROR(VLOOKUP($E135,OpTbl,10,0),""))</f>
        <v/>
      </c>
      <c r="AL135" s="70">
        <f>IF(OR($E135="",$U135=""),"",IFERROR(IF(VLOOKUP($E135,OpTbl,7,0)="خودکار",$R135,VLOOKUP($E135,OpTbl,7,0)),""))</f>
        <v/>
      </c>
      <c r="AM135" s="70">
        <f>IF(OR($E135="",$X135=""),"",IFERROR(IF(VLOOKUP($E135,OpTbl,9,0)="خودکار",IF($AL135="بدهکار","بستانکار",IF($AL135="بستانکار","بدهکار","")),VLOOKUP($E135,OpTbl,9,0)),""))</f>
        <v/>
      </c>
      <c r="AN135" s="70">
        <f>IF($E135="","",IFERROR(VLOOKUP($E135,OpTbl,11,0),""))</f>
        <v/>
      </c>
      <c r="AO135" s="70">
        <f>IF($B135="","",MID($B135,6,2))</f>
        <v/>
      </c>
      <c r="AP135" s="76">
        <f>IF($B135="",0,1)</f>
        <v/>
      </c>
    </row>
    <row r="136" ht="21.75" customHeight="1">
      <c r="A136" s="70">
        <f>IF($B136="","",COUNTA($B$10:$B136))</f>
        <v/>
      </c>
      <c r="B136" s="71" t="n"/>
      <c r="C136" s="71" t="n"/>
      <c r="D136" s="71" t="n"/>
      <c r="E136" s="71" t="n"/>
      <c r="F136" s="70">
        <f>IF($E136="","",IFERROR(VLOOKUP($E136,OpTbl,2,0),""))</f>
        <v/>
      </c>
      <c r="G136" s="71" t="n"/>
      <c r="H136" s="73">
        <f>IF($U136="","",IFERROR(VLOOKUP($U136,AcctTbl,2,0),"کد ناشناخته"))</f>
        <v/>
      </c>
      <c r="I136" s="70">
        <f>IF($U136="","",IFERROR(VLOOKUP($U136,AcctTbl,3,0),""))</f>
        <v/>
      </c>
      <c r="J136" s="72" t="n"/>
      <c r="K136" s="71" t="n"/>
      <c r="L136" s="74" t="n"/>
      <c r="M136" s="74" t="n"/>
      <c r="N136" s="148">
        <f>IF(OR($E136="",$L136=""),"",IFERROR(($L136-IF($M136="",0,$M136)*IFERROR(VLOOKUP($K136,BasketTbl,4,0),IFERROR(INDEX(BasketTbl,MATCH($K136,BasketCodeCol,0),4),VLOOKUP("P01",ParamTbl,2,0))))*(1-IF(VLOOKUP($E136,OpTbl,3,0)="خرید",VLOOKUP("P02",ParamTbl,2,0),0)/100),""))</f>
        <v/>
      </c>
      <c r="O136" s="74" t="n"/>
      <c r="P136" s="76">
        <f>IF(OR($E136="",$L136=""),"",IFERROR(IF(VLOOKUP($E136,OpTbl,6,0)="وزن",ROUND($N136*$O136,-3),IF(VLOOKUP($E136,OpTbl,6,0)="مبلغ",ROUND($L136*$O136,-3),0)),""))</f>
        <v/>
      </c>
      <c r="Q136" s="74" t="n"/>
      <c r="R136" s="71" t="n"/>
      <c r="S136" s="77">
        <f>IF($E136="","",IF($AI136="⚠","⚠ ناتراز",IF(AND(IFERROR(VLOOKUP($E136,OpTbl,4,0),"")="بله",$L136=""),"⚠ وزن",IF(AND(IFERROR(VLOOKUP($E136,OpTbl,5,0),"")="بله",$U136=""),"⚠ حساب",IF(AND(IFERROR(VLOOKUP($E136,OpTbl,6,0),"")="مبلغ",$Q136=""),"⚠ مبلغ","✓")))))</f>
        <v/>
      </c>
      <c r="T136" s="72" t="n"/>
      <c r="U136" s="70">
        <f>IF($E136="","",IFERROR(IF(VLOOKUP($E136,OpTbl,14,0)&lt;&gt;"",VLOOKUP($E136,OpTbl,14,0),$G136),""))</f>
        <v/>
      </c>
      <c r="V136" s="76">
        <f>IF(OR($AJ136="",$AJ136=0,$AL136&lt;&gt;"بدهکار"),"",$AJ136)</f>
        <v/>
      </c>
      <c r="W136" s="76">
        <f>IF(OR($AJ136="",$AJ136=0,$AL136&lt;&gt;"بستانکار"),"",$AJ136)</f>
        <v/>
      </c>
      <c r="X136" s="70">
        <f>IF($E136="","",IFERROR(VLOOKUP($E136,OpTbl,8,0),""))</f>
        <v/>
      </c>
      <c r="Y136" s="76">
        <f>IF(OR($X136="",$AJ136="",$AJ136=0,$AM136&lt;&gt;"بدهکار"),"",$AJ136)</f>
        <v/>
      </c>
      <c r="Z136" s="76">
        <f>IF(OR($X136="",$AJ136="",$AJ136=0,$AM136&lt;&gt;"بستانکار"),"",$AJ136)</f>
        <v/>
      </c>
      <c r="AA136" s="70">
        <f>IF(OR($E136="",$AN136="—",$AN136=""),"",IFERROR(VLOOKUP($E136,OpTbl,12,0),""))</f>
        <v/>
      </c>
      <c r="AB136" s="76">
        <f>IF(OR($AA136="",$Q136="",$Q136=0,$AN136&lt;&gt;"بدهکار"),"",$Q136)</f>
        <v/>
      </c>
      <c r="AC136" s="76">
        <f>IF(OR($AA136="",$Q136="",$Q136=0,$AN136&lt;&gt;"بستانکار"),"",$Q136)</f>
        <v/>
      </c>
      <c r="AD136" s="70">
        <f>IF($AA136="","",IFERROR(VLOOKUP($E136,OpTbl,13,0),""))</f>
        <v/>
      </c>
      <c r="AE136" s="76">
        <f>IF(OR($AD136="",$Q136="",$Q136=0,$AN136&lt;&gt;"بستانکار"),"",$Q136)</f>
        <v/>
      </c>
      <c r="AF136" s="76">
        <f>IF(OR($AD136="",$Q136="",$Q136=0,$AN136&lt;&gt;"بدهکار"),"",$Q136)</f>
        <v/>
      </c>
      <c r="AG136" s="76">
        <f>SUM($V136,$Y136,$AB136,$AE136)</f>
        <v/>
      </c>
      <c r="AH136" s="76">
        <f>SUM($W136,$Z136,$AC136,$AF136)</f>
        <v/>
      </c>
      <c r="AI136" s="70">
        <f>IF($E136="","",IF(ROUND($AG136-$AH136,0)=0,"✓","⚠"))</f>
        <v/>
      </c>
      <c r="AJ136" s="76">
        <f>IF(OR($E136="",$U136=""),"",IFERROR(IF(VLOOKUP($E136,OpTbl,6,0)="وزن",IF($P136="",0,$P136),IF(VLOOKUP($E136,OpTbl,6,0)="مبلغ",IF(AND($Q136&lt;&gt;"",$Q136&lt;&gt;0),$Q136,$P136),0))+IF(VLOOKUP($E136,OpTbl,10,0)="افزودن",IF($Q136="",0,$Q136),0),0))</f>
        <v/>
      </c>
      <c r="AK136" s="70">
        <f>IF($E136="","",IFERROR(VLOOKUP($E136,OpTbl,10,0),""))</f>
        <v/>
      </c>
      <c r="AL136" s="70">
        <f>IF(OR($E136="",$U136=""),"",IFERROR(IF(VLOOKUP($E136,OpTbl,7,0)="خودکار",$R136,VLOOKUP($E136,OpTbl,7,0)),""))</f>
        <v/>
      </c>
      <c r="AM136" s="70">
        <f>IF(OR($E136="",$X136=""),"",IFERROR(IF(VLOOKUP($E136,OpTbl,9,0)="خودکار",IF($AL136="بدهکار","بستانکار",IF($AL136="بستانکار","بدهکار","")),VLOOKUP($E136,OpTbl,9,0)),""))</f>
        <v/>
      </c>
      <c r="AN136" s="70">
        <f>IF($E136="","",IFERROR(VLOOKUP($E136,OpTbl,11,0),""))</f>
        <v/>
      </c>
      <c r="AO136" s="70">
        <f>IF($B136="","",MID($B136,6,2))</f>
        <v/>
      </c>
      <c r="AP136" s="76">
        <f>IF($B136="",0,1)</f>
        <v/>
      </c>
    </row>
    <row r="137" ht="21.75" customHeight="1">
      <c r="A137" s="70">
        <f>IF($B137="","",COUNTA($B$10:$B137))</f>
        <v/>
      </c>
      <c r="B137" s="71" t="n"/>
      <c r="C137" s="71" t="n"/>
      <c r="D137" s="71" t="n"/>
      <c r="E137" s="71" t="n"/>
      <c r="F137" s="70">
        <f>IF($E137="","",IFERROR(VLOOKUP($E137,OpTbl,2,0),""))</f>
        <v/>
      </c>
      <c r="G137" s="71" t="n"/>
      <c r="H137" s="73">
        <f>IF($U137="","",IFERROR(VLOOKUP($U137,AcctTbl,2,0),"کد ناشناخته"))</f>
        <v/>
      </c>
      <c r="I137" s="70">
        <f>IF($U137="","",IFERROR(VLOOKUP($U137,AcctTbl,3,0),""))</f>
        <v/>
      </c>
      <c r="J137" s="72" t="n"/>
      <c r="K137" s="71" t="n"/>
      <c r="L137" s="74" t="n"/>
      <c r="M137" s="74" t="n"/>
      <c r="N137" s="148">
        <f>IF(OR($E137="",$L137=""),"",IFERROR(($L137-IF($M137="",0,$M137)*IFERROR(VLOOKUP($K137,BasketTbl,4,0),IFERROR(INDEX(BasketTbl,MATCH($K137,BasketCodeCol,0),4),VLOOKUP("P01",ParamTbl,2,0))))*(1-IF(VLOOKUP($E137,OpTbl,3,0)="خرید",VLOOKUP("P02",ParamTbl,2,0),0)/100),""))</f>
        <v/>
      </c>
      <c r="O137" s="74" t="n"/>
      <c r="P137" s="76">
        <f>IF(OR($E137="",$L137=""),"",IFERROR(IF(VLOOKUP($E137,OpTbl,6,0)="وزن",ROUND($N137*$O137,-3),IF(VLOOKUP($E137,OpTbl,6,0)="مبلغ",ROUND($L137*$O137,-3),0)),""))</f>
        <v/>
      </c>
      <c r="Q137" s="74" t="n"/>
      <c r="R137" s="71" t="n"/>
      <c r="S137" s="77">
        <f>IF($E137="","",IF($AI137="⚠","⚠ ناتراز",IF(AND(IFERROR(VLOOKUP($E137,OpTbl,4,0),"")="بله",$L137=""),"⚠ وزن",IF(AND(IFERROR(VLOOKUP($E137,OpTbl,5,0),"")="بله",$U137=""),"⚠ حساب",IF(AND(IFERROR(VLOOKUP($E137,OpTbl,6,0),"")="مبلغ",$Q137=""),"⚠ مبلغ","✓")))))</f>
        <v/>
      </c>
      <c r="T137" s="72" t="n"/>
      <c r="U137" s="70">
        <f>IF($E137="","",IFERROR(IF(VLOOKUP($E137,OpTbl,14,0)&lt;&gt;"",VLOOKUP($E137,OpTbl,14,0),$G137),""))</f>
        <v/>
      </c>
      <c r="V137" s="76">
        <f>IF(OR($AJ137="",$AJ137=0,$AL137&lt;&gt;"بدهکار"),"",$AJ137)</f>
        <v/>
      </c>
      <c r="W137" s="76">
        <f>IF(OR($AJ137="",$AJ137=0,$AL137&lt;&gt;"بستانکار"),"",$AJ137)</f>
        <v/>
      </c>
      <c r="X137" s="70">
        <f>IF($E137="","",IFERROR(VLOOKUP($E137,OpTbl,8,0),""))</f>
        <v/>
      </c>
      <c r="Y137" s="76">
        <f>IF(OR($X137="",$AJ137="",$AJ137=0,$AM137&lt;&gt;"بدهکار"),"",$AJ137)</f>
        <v/>
      </c>
      <c r="Z137" s="76">
        <f>IF(OR($X137="",$AJ137="",$AJ137=0,$AM137&lt;&gt;"بستانکار"),"",$AJ137)</f>
        <v/>
      </c>
      <c r="AA137" s="70">
        <f>IF(OR($E137="",$AN137="—",$AN137=""),"",IFERROR(VLOOKUP($E137,OpTbl,12,0),""))</f>
        <v/>
      </c>
      <c r="AB137" s="76">
        <f>IF(OR($AA137="",$Q137="",$Q137=0,$AN137&lt;&gt;"بدهکار"),"",$Q137)</f>
        <v/>
      </c>
      <c r="AC137" s="76">
        <f>IF(OR($AA137="",$Q137="",$Q137=0,$AN137&lt;&gt;"بستانکار"),"",$Q137)</f>
        <v/>
      </c>
      <c r="AD137" s="70">
        <f>IF($AA137="","",IFERROR(VLOOKUP($E137,OpTbl,13,0),""))</f>
        <v/>
      </c>
      <c r="AE137" s="76">
        <f>IF(OR($AD137="",$Q137="",$Q137=0,$AN137&lt;&gt;"بستانکار"),"",$Q137)</f>
        <v/>
      </c>
      <c r="AF137" s="76">
        <f>IF(OR($AD137="",$Q137="",$Q137=0,$AN137&lt;&gt;"بدهکار"),"",$Q137)</f>
        <v/>
      </c>
      <c r="AG137" s="76">
        <f>SUM($V137,$Y137,$AB137,$AE137)</f>
        <v/>
      </c>
      <c r="AH137" s="76">
        <f>SUM($W137,$Z137,$AC137,$AF137)</f>
        <v/>
      </c>
      <c r="AI137" s="70">
        <f>IF($E137="","",IF(ROUND($AG137-$AH137,0)=0,"✓","⚠"))</f>
        <v/>
      </c>
      <c r="AJ137" s="76">
        <f>IF(OR($E137="",$U137=""),"",IFERROR(IF(VLOOKUP($E137,OpTbl,6,0)="وزن",IF($P137="",0,$P137),IF(VLOOKUP($E137,OpTbl,6,0)="مبلغ",IF(AND($Q137&lt;&gt;"",$Q137&lt;&gt;0),$Q137,$P137),0))+IF(VLOOKUP($E137,OpTbl,10,0)="افزودن",IF($Q137="",0,$Q137),0),0))</f>
        <v/>
      </c>
      <c r="AK137" s="70">
        <f>IF($E137="","",IFERROR(VLOOKUP($E137,OpTbl,10,0),""))</f>
        <v/>
      </c>
      <c r="AL137" s="70">
        <f>IF(OR($E137="",$U137=""),"",IFERROR(IF(VLOOKUP($E137,OpTbl,7,0)="خودکار",$R137,VLOOKUP($E137,OpTbl,7,0)),""))</f>
        <v/>
      </c>
      <c r="AM137" s="70">
        <f>IF(OR($E137="",$X137=""),"",IFERROR(IF(VLOOKUP($E137,OpTbl,9,0)="خودکار",IF($AL137="بدهکار","بستانکار",IF($AL137="بستانکار","بدهکار","")),VLOOKUP($E137,OpTbl,9,0)),""))</f>
        <v/>
      </c>
      <c r="AN137" s="70">
        <f>IF($E137="","",IFERROR(VLOOKUP($E137,OpTbl,11,0),""))</f>
        <v/>
      </c>
      <c r="AO137" s="70">
        <f>IF($B137="","",MID($B137,6,2))</f>
        <v/>
      </c>
      <c r="AP137" s="76">
        <f>IF($B137="",0,1)</f>
        <v/>
      </c>
    </row>
    <row r="138" ht="21.75" customHeight="1">
      <c r="A138" s="70">
        <f>IF($B138="","",COUNTA($B$10:$B138))</f>
        <v/>
      </c>
      <c r="B138" s="71" t="n"/>
      <c r="C138" s="71" t="n"/>
      <c r="D138" s="71" t="n"/>
      <c r="E138" s="71" t="n"/>
      <c r="F138" s="70">
        <f>IF($E138="","",IFERROR(VLOOKUP($E138,OpTbl,2,0),""))</f>
        <v/>
      </c>
      <c r="G138" s="71" t="n"/>
      <c r="H138" s="73">
        <f>IF($U138="","",IFERROR(VLOOKUP($U138,AcctTbl,2,0),"کد ناشناخته"))</f>
        <v/>
      </c>
      <c r="I138" s="70">
        <f>IF($U138="","",IFERROR(VLOOKUP($U138,AcctTbl,3,0),""))</f>
        <v/>
      </c>
      <c r="J138" s="72" t="n"/>
      <c r="K138" s="71" t="n"/>
      <c r="L138" s="74" t="n"/>
      <c r="M138" s="74" t="n"/>
      <c r="N138" s="148">
        <f>IF(OR($E138="",$L138=""),"",IFERROR(($L138-IF($M138="",0,$M138)*IFERROR(VLOOKUP($K138,BasketTbl,4,0),IFERROR(INDEX(BasketTbl,MATCH($K138,BasketCodeCol,0),4),VLOOKUP("P01",ParamTbl,2,0))))*(1-IF(VLOOKUP($E138,OpTbl,3,0)="خرید",VLOOKUP("P02",ParamTbl,2,0),0)/100),""))</f>
        <v/>
      </c>
      <c r="O138" s="74" t="n"/>
      <c r="P138" s="76">
        <f>IF(OR($E138="",$L138=""),"",IFERROR(IF(VLOOKUP($E138,OpTbl,6,0)="وزن",ROUND($N138*$O138,-3),IF(VLOOKUP($E138,OpTbl,6,0)="مبلغ",ROUND($L138*$O138,-3),0)),""))</f>
        <v/>
      </c>
      <c r="Q138" s="74" t="n"/>
      <c r="R138" s="71" t="n"/>
      <c r="S138" s="77">
        <f>IF($E138="","",IF($AI138="⚠","⚠ ناتراز",IF(AND(IFERROR(VLOOKUP($E138,OpTbl,4,0),"")="بله",$L138=""),"⚠ وزن",IF(AND(IFERROR(VLOOKUP($E138,OpTbl,5,0),"")="بله",$U138=""),"⚠ حساب",IF(AND(IFERROR(VLOOKUP($E138,OpTbl,6,0),"")="مبلغ",$Q138=""),"⚠ مبلغ","✓")))))</f>
        <v/>
      </c>
      <c r="T138" s="72" t="n"/>
      <c r="U138" s="70">
        <f>IF($E138="","",IFERROR(IF(VLOOKUP($E138,OpTbl,14,0)&lt;&gt;"",VLOOKUP($E138,OpTbl,14,0),$G138),""))</f>
        <v/>
      </c>
      <c r="V138" s="76">
        <f>IF(OR($AJ138="",$AJ138=0,$AL138&lt;&gt;"بدهکار"),"",$AJ138)</f>
        <v/>
      </c>
      <c r="W138" s="76">
        <f>IF(OR($AJ138="",$AJ138=0,$AL138&lt;&gt;"بستانکار"),"",$AJ138)</f>
        <v/>
      </c>
      <c r="X138" s="70">
        <f>IF($E138="","",IFERROR(VLOOKUP($E138,OpTbl,8,0),""))</f>
        <v/>
      </c>
      <c r="Y138" s="76">
        <f>IF(OR($X138="",$AJ138="",$AJ138=0,$AM138&lt;&gt;"بدهکار"),"",$AJ138)</f>
        <v/>
      </c>
      <c r="Z138" s="76">
        <f>IF(OR($X138="",$AJ138="",$AJ138=0,$AM138&lt;&gt;"بستانکار"),"",$AJ138)</f>
        <v/>
      </c>
      <c r="AA138" s="70">
        <f>IF(OR($E138="",$AN138="—",$AN138=""),"",IFERROR(VLOOKUP($E138,OpTbl,12,0),""))</f>
        <v/>
      </c>
      <c r="AB138" s="76">
        <f>IF(OR($AA138="",$Q138="",$Q138=0,$AN138&lt;&gt;"بدهکار"),"",$Q138)</f>
        <v/>
      </c>
      <c r="AC138" s="76">
        <f>IF(OR($AA138="",$Q138="",$Q138=0,$AN138&lt;&gt;"بستانکار"),"",$Q138)</f>
        <v/>
      </c>
      <c r="AD138" s="70">
        <f>IF($AA138="","",IFERROR(VLOOKUP($E138,OpTbl,13,0),""))</f>
        <v/>
      </c>
      <c r="AE138" s="76">
        <f>IF(OR($AD138="",$Q138="",$Q138=0,$AN138&lt;&gt;"بستانکار"),"",$Q138)</f>
        <v/>
      </c>
      <c r="AF138" s="76">
        <f>IF(OR($AD138="",$Q138="",$Q138=0,$AN138&lt;&gt;"بدهکار"),"",$Q138)</f>
        <v/>
      </c>
      <c r="AG138" s="76">
        <f>SUM($V138,$Y138,$AB138,$AE138)</f>
        <v/>
      </c>
      <c r="AH138" s="76">
        <f>SUM($W138,$Z138,$AC138,$AF138)</f>
        <v/>
      </c>
      <c r="AI138" s="70">
        <f>IF($E138="","",IF(ROUND($AG138-$AH138,0)=0,"✓","⚠"))</f>
        <v/>
      </c>
      <c r="AJ138" s="76">
        <f>IF(OR($E138="",$U138=""),"",IFERROR(IF(VLOOKUP($E138,OpTbl,6,0)="وزن",IF($P138="",0,$P138),IF(VLOOKUP($E138,OpTbl,6,0)="مبلغ",IF(AND($Q138&lt;&gt;"",$Q138&lt;&gt;0),$Q138,$P138),0))+IF(VLOOKUP($E138,OpTbl,10,0)="افزودن",IF($Q138="",0,$Q138),0),0))</f>
        <v/>
      </c>
      <c r="AK138" s="70">
        <f>IF($E138="","",IFERROR(VLOOKUP($E138,OpTbl,10,0),""))</f>
        <v/>
      </c>
      <c r="AL138" s="70">
        <f>IF(OR($E138="",$U138=""),"",IFERROR(IF(VLOOKUP($E138,OpTbl,7,0)="خودکار",$R138,VLOOKUP($E138,OpTbl,7,0)),""))</f>
        <v/>
      </c>
      <c r="AM138" s="70">
        <f>IF(OR($E138="",$X138=""),"",IFERROR(IF(VLOOKUP($E138,OpTbl,9,0)="خودکار",IF($AL138="بدهکار","بستانکار",IF($AL138="بستانکار","بدهکار","")),VLOOKUP($E138,OpTbl,9,0)),""))</f>
        <v/>
      </c>
      <c r="AN138" s="70">
        <f>IF($E138="","",IFERROR(VLOOKUP($E138,OpTbl,11,0),""))</f>
        <v/>
      </c>
      <c r="AO138" s="70">
        <f>IF($B138="","",MID($B138,6,2))</f>
        <v/>
      </c>
      <c r="AP138" s="76">
        <f>IF($B138="",0,1)</f>
        <v/>
      </c>
    </row>
    <row r="139" ht="21.75" customHeight="1">
      <c r="A139" s="70">
        <f>IF($B139="","",COUNTA($B$10:$B139))</f>
        <v/>
      </c>
      <c r="B139" s="71" t="n"/>
      <c r="C139" s="71" t="n"/>
      <c r="D139" s="71" t="n"/>
      <c r="E139" s="71" t="n"/>
      <c r="F139" s="70">
        <f>IF($E139="","",IFERROR(VLOOKUP($E139,OpTbl,2,0),""))</f>
        <v/>
      </c>
      <c r="G139" s="71" t="n"/>
      <c r="H139" s="73">
        <f>IF($U139="","",IFERROR(VLOOKUP($U139,AcctTbl,2,0),"کد ناشناخته"))</f>
        <v/>
      </c>
      <c r="I139" s="70">
        <f>IF($U139="","",IFERROR(VLOOKUP($U139,AcctTbl,3,0),""))</f>
        <v/>
      </c>
      <c r="J139" s="72" t="n"/>
      <c r="K139" s="71" t="n"/>
      <c r="L139" s="74" t="n"/>
      <c r="M139" s="74" t="n"/>
      <c r="N139" s="148">
        <f>IF(OR($E139="",$L139=""),"",IFERROR(($L139-IF($M139="",0,$M139)*IFERROR(VLOOKUP($K139,BasketTbl,4,0),IFERROR(INDEX(BasketTbl,MATCH($K139,BasketCodeCol,0),4),VLOOKUP("P01",ParamTbl,2,0))))*(1-IF(VLOOKUP($E139,OpTbl,3,0)="خرید",VLOOKUP("P02",ParamTbl,2,0),0)/100),""))</f>
        <v/>
      </c>
      <c r="O139" s="74" t="n"/>
      <c r="P139" s="76">
        <f>IF(OR($E139="",$L139=""),"",IFERROR(IF(VLOOKUP($E139,OpTbl,6,0)="وزن",ROUND($N139*$O139,-3),IF(VLOOKUP($E139,OpTbl,6,0)="مبلغ",ROUND($L139*$O139,-3),0)),""))</f>
        <v/>
      </c>
      <c r="Q139" s="74" t="n"/>
      <c r="R139" s="71" t="n"/>
      <c r="S139" s="77">
        <f>IF($E139="","",IF($AI139="⚠","⚠ ناتراز",IF(AND(IFERROR(VLOOKUP($E139,OpTbl,4,0),"")="بله",$L139=""),"⚠ وزن",IF(AND(IFERROR(VLOOKUP($E139,OpTbl,5,0),"")="بله",$U139=""),"⚠ حساب",IF(AND(IFERROR(VLOOKUP($E139,OpTbl,6,0),"")="مبلغ",$Q139=""),"⚠ مبلغ","✓")))))</f>
        <v/>
      </c>
      <c r="T139" s="72" t="n"/>
      <c r="U139" s="70">
        <f>IF($E139="","",IFERROR(IF(VLOOKUP($E139,OpTbl,14,0)&lt;&gt;"",VLOOKUP($E139,OpTbl,14,0),$G139),""))</f>
        <v/>
      </c>
      <c r="V139" s="76">
        <f>IF(OR($AJ139="",$AJ139=0,$AL139&lt;&gt;"بدهکار"),"",$AJ139)</f>
        <v/>
      </c>
      <c r="W139" s="76">
        <f>IF(OR($AJ139="",$AJ139=0,$AL139&lt;&gt;"بستانکار"),"",$AJ139)</f>
        <v/>
      </c>
      <c r="X139" s="70">
        <f>IF($E139="","",IFERROR(VLOOKUP($E139,OpTbl,8,0),""))</f>
        <v/>
      </c>
      <c r="Y139" s="76">
        <f>IF(OR($X139="",$AJ139="",$AJ139=0,$AM139&lt;&gt;"بدهکار"),"",$AJ139)</f>
        <v/>
      </c>
      <c r="Z139" s="76">
        <f>IF(OR($X139="",$AJ139="",$AJ139=0,$AM139&lt;&gt;"بستانکار"),"",$AJ139)</f>
        <v/>
      </c>
      <c r="AA139" s="70">
        <f>IF(OR($E139="",$AN139="—",$AN139=""),"",IFERROR(VLOOKUP($E139,OpTbl,12,0),""))</f>
        <v/>
      </c>
      <c r="AB139" s="76">
        <f>IF(OR($AA139="",$Q139="",$Q139=0,$AN139&lt;&gt;"بدهکار"),"",$Q139)</f>
        <v/>
      </c>
      <c r="AC139" s="76">
        <f>IF(OR($AA139="",$Q139="",$Q139=0,$AN139&lt;&gt;"بستانکار"),"",$Q139)</f>
        <v/>
      </c>
      <c r="AD139" s="70">
        <f>IF($AA139="","",IFERROR(VLOOKUP($E139,OpTbl,13,0),""))</f>
        <v/>
      </c>
      <c r="AE139" s="76">
        <f>IF(OR($AD139="",$Q139="",$Q139=0,$AN139&lt;&gt;"بستانکار"),"",$Q139)</f>
        <v/>
      </c>
      <c r="AF139" s="76">
        <f>IF(OR($AD139="",$Q139="",$Q139=0,$AN139&lt;&gt;"بدهکار"),"",$Q139)</f>
        <v/>
      </c>
      <c r="AG139" s="76">
        <f>SUM($V139,$Y139,$AB139,$AE139)</f>
        <v/>
      </c>
      <c r="AH139" s="76">
        <f>SUM($W139,$Z139,$AC139,$AF139)</f>
        <v/>
      </c>
      <c r="AI139" s="70">
        <f>IF($E139="","",IF(ROUND($AG139-$AH139,0)=0,"✓","⚠"))</f>
        <v/>
      </c>
      <c r="AJ139" s="76">
        <f>IF(OR($E139="",$U139=""),"",IFERROR(IF(VLOOKUP($E139,OpTbl,6,0)="وزن",IF($P139="",0,$P139),IF(VLOOKUP($E139,OpTbl,6,0)="مبلغ",IF(AND($Q139&lt;&gt;"",$Q139&lt;&gt;0),$Q139,$P139),0))+IF(VLOOKUP($E139,OpTbl,10,0)="افزودن",IF($Q139="",0,$Q139),0),0))</f>
        <v/>
      </c>
      <c r="AK139" s="70">
        <f>IF($E139="","",IFERROR(VLOOKUP($E139,OpTbl,10,0),""))</f>
        <v/>
      </c>
      <c r="AL139" s="70">
        <f>IF(OR($E139="",$U139=""),"",IFERROR(IF(VLOOKUP($E139,OpTbl,7,0)="خودکار",$R139,VLOOKUP($E139,OpTbl,7,0)),""))</f>
        <v/>
      </c>
      <c r="AM139" s="70">
        <f>IF(OR($E139="",$X139=""),"",IFERROR(IF(VLOOKUP($E139,OpTbl,9,0)="خودکار",IF($AL139="بدهکار","بستانکار",IF($AL139="بستانکار","بدهکار","")),VLOOKUP($E139,OpTbl,9,0)),""))</f>
        <v/>
      </c>
      <c r="AN139" s="70">
        <f>IF($E139="","",IFERROR(VLOOKUP($E139,OpTbl,11,0),""))</f>
        <v/>
      </c>
      <c r="AO139" s="70">
        <f>IF($B139="","",MID($B139,6,2))</f>
        <v/>
      </c>
      <c r="AP139" s="76">
        <f>IF($B139="",0,1)</f>
        <v/>
      </c>
    </row>
    <row r="140" ht="21.75" customHeight="1">
      <c r="A140" s="70">
        <f>IF($B140="","",COUNTA($B$10:$B140))</f>
        <v/>
      </c>
      <c r="B140" s="71" t="n"/>
      <c r="C140" s="71" t="n"/>
      <c r="D140" s="71" t="n"/>
      <c r="E140" s="71" t="n"/>
      <c r="F140" s="70">
        <f>IF($E140="","",IFERROR(VLOOKUP($E140,OpTbl,2,0),""))</f>
        <v/>
      </c>
      <c r="G140" s="71" t="n"/>
      <c r="H140" s="73">
        <f>IF($U140="","",IFERROR(VLOOKUP($U140,AcctTbl,2,0),"کد ناشناخته"))</f>
        <v/>
      </c>
      <c r="I140" s="70">
        <f>IF($U140="","",IFERROR(VLOOKUP($U140,AcctTbl,3,0),""))</f>
        <v/>
      </c>
      <c r="J140" s="72" t="n"/>
      <c r="K140" s="71" t="n"/>
      <c r="L140" s="74" t="n"/>
      <c r="M140" s="74" t="n"/>
      <c r="N140" s="148">
        <f>IF(OR($E140="",$L140=""),"",IFERROR(($L140-IF($M140="",0,$M140)*IFERROR(VLOOKUP($K140,BasketTbl,4,0),IFERROR(INDEX(BasketTbl,MATCH($K140,BasketCodeCol,0),4),VLOOKUP("P01",ParamTbl,2,0))))*(1-IF(VLOOKUP($E140,OpTbl,3,0)="خرید",VLOOKUP("P02",ParamTbl,2,0),0)/100),""))</f>
        <v/>
      </c>
      <c r="O140" s="74" t="n"/>
      <c r="P140" s="76">
        <f>IF(OR($E140="",$L140=""),"",IFERROR(IF(VLOOKUP($E140,OpTbl,6,0)="وزن",ROUND($N140*$O140,-3),IF(VLOOKUP($E140,OpTbl,6,0)="مبلغ",ROUND($L140*$O140,-3),0)),""))</f>
        <v/>
      </c>
      <c r="Q140" s="74" t="n"/>
      <c r="R140" s="71" t="n"/>
      <c r="S140" s="77">
        <f>IF($E140="","",IF($AI140="⚠","⚠ ناتراز",IF(AND(IFERROR(VLOOKUP($E140,OpTbl,4,0),"")="بله",$L140=""),"⚠ وزن",IF(AND(IFERROR(VLOOKUP($E140,OpTbl,5,0),"")="بله",$U140=""),"⚠ حساب",IF(AND(IFERROR(VLOOKUP($E140,OpTbl,6,0),"")="مبلغ",$Q140=""),"⚠ مبلغ","✓")))))</f>
        <v/>
      </c>
      <c r="T140" s="72" t="n"/>
      <c r="U140" s="70">
        <f>IF($E140="","",IFERROR(IF(VLOOKUP($E140,OpTbl,14,0)&lt;&gt;"",VLOOKUP($E140,OpTbl,14,0),$G140),""))</f>
        <v/>
      </c>
      <c r="V140" s="76">
        <f>IF(OR($AJ140="",$AJ140=0,$AL140&lt;&gt;"بدهکار"),"",$AJ140)</f>
        <v/>
      </c>
      <c r="W140" s="76">
        <f>IF(OR($AJ140="",$AJ140=0,$AL140&lt;&gt;"بستانکار"),"",$AJ140)</f>
        <v/>
      </c>
      <c r="X140" s="70">
        <f>IF($E140="","",IFERROR(VLOOKUP($E140,OpTbl,8,0),""))</f>
        <v/>
      </c>
      <c r="Y140" s="76">
        <f>IF(OR($X140="",$AJ140="",$AJ140=0,$AM140&lt;&gt;"بدهکار"),"",$AJ140)</f>
        <v/>
      </c>
      <c r="Z140" s="76">
        <f>IF(OR($X140="",$AJ140="",$AJ140=0,$AM140&lt;&gt;"بستانکار"),"",$AJ140)</f>
        <v/>
      </c>
      <c r="AA140" s="70">
        <f>IF(OR($E140="",$AN140="—",$AN140=""),"",IFERROR(VLOOKUP($E140,OpTbl,12,0),""))</f>
        <v/>
      </c>
      <c r="AB140" s="76">
        <f>IF(OR($AA140="",$Q140="",$Q140=0,$AN140&lt;&gt;"بدهکار"),"",$Q140)</f>
        <v/>
      </c>
      <c r="AC140" s="76">
        <f>IF(OR($AA140="",$Q140="",$Q140=0,$AN140&lt;&gt;"بستانکار"),"",$Q140)</f>
        <v/>
      </c>
      <c r="AD140" s="70">
        <f>IF($AA140="","",IFERROR(VLOOKUP($E140,OpTbl,13,0),""))</f>
        <v/>
      </c>
      <c r="AE140" s="76">
        <f>IF(OR($AD140="",$Q140="",$Q140=0,$AN140&lt;&gt;"بستانکار"),"",$Q140)</f>
        <v/>
      </c>
      <c r="AF140" s="76">
        <f>IF(OR($AD140="",$Q140="",$Q140=0,$AN140&lt;&gt;"بدهکار"),"",$Q140)</f>
        <v/>
      </c>
      <c r="AG140" s="76">
        <f>SUM($V140,$Y140,$AB140,$AE140)</f>
        <v/>
      </c>
      <c r="AH140" s="76">
        <f>SUM($W140,$Z140,$AC140,$AF140)</f>
        <v/>
      </c>
      <c r="AI140" s="70">
        <f>IF($E140="","",IF(ROUND($AG140-$AH140,0)=0,"✓","⚠"))</f>
        <v/>
      </c>
      <c r="AJ140" s="76">
        <f>IF(OR($E140="",$U140=""),"",IFERROR(IF(VLOOKUP($E140,OpTbl,6,0)="وزن",IF($P140="",0,$P140),IF(VLOOKUP($E140,OpTbl,6,0)="مبلغ",IF(AND($Q140&lt;&gt;"",$Q140&lt;&gt;0),$Q140,$P140),0))+IF(VLOOKUP($E140,OpTbl,10,0)="افزودن",IF($Q140="",0,$Q140),0),0))</f>
        <v/>
      </c>
      <c r="AK140" s="70">
        <f>IF($E140="","",IFERROR(VLOOKUP($E140,OpTbl,10,0),""))</f>
        <v/>
      </c>
      <c r="AL140" s="70">
        <f>IF(OR($E140="",$U140=""),"",IFERROR(IF(VLOOKUP($E140,OpTbl,7,0)="خودکار",$R140,VLOOKUP($E140,OpTbl,7,0)),""))</f>
        <v/>
      </c>
      <c r="AM140" s="70">
        <f>IF(OR($E140="",$X140=""),"",IFERROR(IF(VLOOKUP($E140,OpTbl,9,0)="خودکار",IF($AL140="بدهکار","بستانکار",IF($AL140="بستانکار","بدهکار","")),VLOOKUP($E140,OpTbl,9,0)),""))</f>
        <v/>
      </c>
      <c r="AN140" s="70">
        <f>IF($E140="","",IFERROR(VLOOKUP($E140,OpTbl,11,0),""))</f>
        <v/>
      </c>
      <c r="AO140" s="70">
        <f>IF($B140="","",MID($B140,6,2))</f>
        <v/>
      </c>
      <c r="AP140" s="76">
        <f>IF($B140="",0,1)</f>
        <v/>
      </c>
    </row>
    <row r="141" ht="21.75" customHeight="1">
      <c r="A141" s="70">
        <f>IF($B141="","",COUNTA($B$10:$B141))</f>
        <v/>
      </c>
      <c r="B141" s="71" t="n"/>
      <c r="C141" s="71" t="n"/>
      <c r="D141" s="71" t="n"/>
      <c r="E141" s="71" t="n"/>
      <c r="F141" s="70">
        <f>IF($E141="","",IFERROR(VLOOKUP($E141,OpTbl,2,0),""))</f>
        <v/>
      </c>
      <c r="G141" s="71" t="n"/>
      <c r="H141" s="73">
        <f>IF($U141="","",IFERROR(VLOOKUP($U141,AcctTbl,2,0),"کد ناشناخته"))</f>
        <v/>
      </c>
      <c r="I141" s="70">
        <f>IF($U141="","",IFERROR(VLOOKUP($U141,AcctTbl,3,0),""))</f>
        <v/>
      </c>
      <c r="J141" s="72" t="n"/>
      <c r="K141" s="71" t="n"/>
      <c r="L141" s="74" t="n"/>
      <c r="M141" s="74" t="n"/>
      <c r="N141" s="148">
        <f>IF(OR($E141="",$L141=""),"",IFERROR(($L141-IF($M141="",0,$M141)*IFERROR(VLOOKUP($K141,BasketTbl,4,0),IFERROR(INDEX(BasketTbl,MATCH($K141,BasketCodeCol,0),4),VLOOKUP("P01",ParamTbl,2,0))))*(1-IF(VLOOKUP($E141,OpTbl,3,0)="خرید",VLOOKUP("P02",ParamTbl,2,0),0)/100),""))</f>
        <v/>
      </c>
      <c r="O141" s="74" t="n"/>
      <c r="P141" s="76">
        <f>IF(OR($E141="",$L141=""),"",IFERROR(IF(VLOOKUP($E141,OpTbl,6,0)="وزن",ROUND($N141*$O141,-3),IF(VLOOKUP($E141,OpTbl,6,0)="مبلغ",ROUND($L141*$O141,-3),0)),""))</f>
        <v/>
      </c>
      <c r="Q141" s="74" t="n"/>
      <c r="R141" s="71" t="n"/>
      <c r="S141" s="77">
        <f>IF($E141="","",IF($AI141="⚠","⚠ ناتراز",IF(AND(IFERROR(VLOOKUP($E141,OpTbl,4,0),"")="بله",$L141=""),"⚠ وزن",IF(AND(IFERROR(VLOOKUP($E141,OpTbl,5,0),"")="بله",$U141=""),"⚠ حساب",IF(AND(IFERROR(VLOOKUP($E141,OpTbl,6,0),"")="مبلغ",$Q141=""),"⚠ مبلغ","✓")))))</f>
        <v/>
      </c>
      <c r="T141" s="72" t="n"/>
      <c r="U141" s="70">
        <f>IF($E141="","",IFERROR(IF(VLOOKUP($E141,OpTbl,14,0)&lt;&gt;"",VLOOKUP($E141,OpTbl,14,0),$G141),""))</f>
        <v/>
      </c>
      <c r="V141" s="76">
        <f>IF(OR($AJ141="",$AJ141=0,$AL141&lt;&gt;"بدهکار"),"",$AJ141)</f>
        <v/>
      </c>
      <c r="W141" s="76">
        <f>IF(OR($AJ141="",$AJ141=0,$AL141&lt;&gt;"بستانکار"),"",$AJ141)</f>
        <v/>
      </c>
      <c r="X141" s="70">
        <f>IF($E141="","",IFERROR(VLOOKUP($E141,OpTbl,8,0),""))</f>
        <v/>
      </c>
      <c r="Y141" s="76">
        <f>IF(OR($X141="",$AJ141="",$AJ141=0,$AM141&lt;&gt;"بدهکار"),"",$AJ141)</f>
        <v/>
      </c>
      <c r="Z141" s="76">
        <f>IF(OR($X141="",$AJ141="",$AJ141=0,$AM141&lt;&gt;"بستانکار"),"",$AJ141)</f>
        <v/>
      </c>
      <c r="AA141" s="70">
        <f>IF(OR($E141="",$AN141="—",$AN141=""),"",IFERROR(VLOOKUP($E141,OpTbl,12,0),""))</f>
        <v/>
      </c>
      <c r="AB141" s="76">
        <f>IF(OR($AA141="",$Q141="",$Q141=0,$AN141&lt;&gt;"بدهکار"),"",$Q141)</f>
        <v/>
      </c>
      <c r="AC141" s="76">
        <f>IF(OR($AA141="",$Q141="",$Q141=0,$AN141&lt;&gt;"بستانکار"),"",$Q141)</f>
        <v/>
      </c>
      <c r="AD141" s="70">
        <f>IF($AA141="","",IFERROR(VLOOKUP($E141,OpTbl,13,0),""))</f>
        <v/>
      </c>
      <c r="AE141" s="76">
        <f>IF(OR($AD141="",$Q141="",$Q141=0,$AN141&lt;&gt;"بستانکار"),"",$Q141)</f>
        <v/>
      </c>
      <c r="AF141" s="76">
        <f>IF(OR($AD141="",$Q141="",$Q141=0,$AN141&lt;&gt;"بدهکار"),"",$Q141)</f>
        <v/>
      </c>
      <c r="AG141" s="76">
        <f>SUM($V141,$Y141,$AB141,$AE141)</f>
        <v/>
      </c>
      <c r="AH141" s="76">
        <f>SUM($W141,$Z141,$AC141,$AF141)</f>
        <v/>
      </c>
      <c r="AI141" s="70">
        <f>IF($E141="","",IF(ROUND($AG141-$AH141,0)=0,"✓","⚠"))</f>
        <v/>
      </c>
      <c r="AJ141" s="76">
        <f>IF(OR($E141="",$U141=""),"",IFERROR(IF(VLOOKUP($E141,OpTbl,6,0)="وزن",IF($P141="",0,$P141),IF(VLOOKUP($E141,OpTbl,6,0)="مبلغ",IF(AND($Q141&lt;&gt;"",$Q141&lt;&gt;0),$Q141,$P141),0))+IF(VLOOKUP($E141,OpTbl,10,0)="افزودن",IF($Q141="",0,$Q141),0),0))</f>
        <v/>
      </c>
      <c r="AK141" s="70">
        <f>IF($E141="","",IFERROR(VLOOKUP($E141,OpTbl,10,0),""))</f>
        <v/>
      </c>
      <c r="AL141" s="70">
        <f>IF(OR($E141="",$U141=""),"",IFERROR(IF(VLOOKUP($E141,OpTbl,7,0)="خودکار",$R141,VLOOKUP($E141,OpTbl,7,0)),""))</f>
        <v/>
      </c>
      <c r="AM141" s="70">
        <f>IF(OR($E141="",$X141=""),"",IFERROR(IF(VLOOKUP($E141,OpTbl,9,0)="خودکار",IF($AL141="بدهکار","بستانکار",IF($AL141="بستانکار","بدهکار","")),VLOOKUP($E141,OpTbl,9,0)),""))</f>
        <v/>
      </c>
      <c r="AN141" s="70">
        <f>IF($E141="","",IFERROR(VLOOKUP($E141,OpTbl,11,0),""))</f>
        <v/>
      </c>
      <c r="AO141" s="70">
        <f>IF($B141="","",MID($B141,6,2))</f>
        <v/>
      </c>
      <c r="AP141" s="76">
        <f>IF($B141="",0,1)</f>
        <v/>
      </c>
    </row>
    <row r="142" ht="21.75" customHeight="1">
      <c r="A142" s="70">
        <f>IF($B142="","",COUNTA($B$10:$B142))</f>
        <v/>
      </c>
      <c r="B142" s="71" t="n"/>
      <c r="C142" s="71" t="n"/>
      <c r="D142" s="71" t="n"/>
      <c r="E142" s="71" t="n"/>
      <c r="F142" s="70">
        <f>IF($E142="","",IFERROR(VLOOKUP($E142,OpTbl,2,0),""))</f>
        <v/>
      </c>
      <c r="G142" s="71" t="n"/>
      <c r="H142" s="73">
        <f>IF($U142="","",IFERROR(VLOOKUP($U142,AcctTbl,2,0),"کد ناشناخته"))</f>
        <v/>
      </c>
      <c r="I142" s="70">
        <f>IF($U142="","",IFERROR(VLOOKUP($U142,AcctTbl,3,0),""))</f>
        <v/>
      </c>
      <c r="J142" s="72" t="n"/>
      <c r="K142" s="71" t="n"/>
      <c r="L142" s="74" t="n"/>
      <c r="M142" s="74" t="n"/>
      <c r="N142" s="148">
        <f>IF(OR($E142="",$L142=""),"",IFERROR(($L142-IF($M142="",0,$M142)*IFERROR(VLOOKUP($K142,BasketTbl,4,0),IFERROR(INDEX(BasketTbl,MATCH($K142,BasketCodeCol,0),4),VLOOKUP("P01",ParamTbl,2,0))))*(1-IF(VLOOKUP($E142,OpTbl,3,0)="خرید",VLOOKUP("P02",ParamTbl,2,0),0)/100),""))</f>
        <v/>
      </c>
      <c r="O142" s="74" t="n"/>
      <c r="P142" s="76">
        <f>IF(OR($E142="",$L142=""),"",IFERROR(IF(VLOOKUP($E142,OpTbl,6,0)="وزن",ROUND($N142*$O142,-3),IF(VLOOKUP($E142,OpTbl,6,0)="مبلغ",ROUND($L142*$O142,-3),0)),""))</f>
        <v/>
      </c>
      <c r="Q142" s="74" t="n"/>
      <c r="R142" s="71" t="n"/>
      <c r="S142" s="77">
        <f>IF($E142="","",IF($AI142="⚠","⚠ ناتراز",IF(AND(IFERROR(VLOOKUP($E142,OpTbl,4,0),"")="بله",$L142=""),"⚠ وزن",IF(AND(IFERROR(VLOOKUP($E142,OpTbl,5,0),"")="بله",$U142=""),"⚠ حساب",IF(AND(IFERROR(VLOOKUP($E142,OpTbl,6,0),"")="مبلغ",$Q142=""),"⚠ مبلغ","✓")))))</f>
        <v/>
      </c>
      <c r="T142" s="72" t="n"/>
      <c r="U142" s="70">
        <f>IF($E142="","",IFERROR(IF(VLOOKUP($E142,OpTbl,14,0)&lt;&gt;"",VLOOKUP($E142,OpTbl,14,0),$G142),""))</f>
        <v/>
      </c>
      <c r="V142" s="76">
        <f>IF(OR($AJ142="",$AJ142=0,$AL142&lt;&gt;"بدهکار"),"",$AJ142)</f>
        <v/>
      </c>
      <c r="W142" s="76">
        <f>IF(OR($AJ142="",$AJ142=0,$AL142&lt;&gt;"بستانکار"),"",$AJ142)</f>
        <v/>
      </c>
      <c r="X142" s="70">
        <f>IF($E142="","",IFERROR(VLOOKUP($E142,OpTbl,8,0),""))</f>
        <v/>
      </c>
      <c r="Y142" s="76">
        <f>IF(OR($X142="",$AJ142="",$AJ142=0,$AM142&lt;&gt;"بدهکار"),"",$AJ142)</f>
        <v/>
      </c>
      <c r="Z142" s="76">
        <f>IF(OR($X142="",$AJ142="",$AJ142=0,$AM142&lt;&gt;"بستانکار"),"",$AJ142)</f>
        <v/>
      </c>
      <c r="AA142" s="70">
        <f>IF(OR($E142="",$AN142="—",$AN142=""),"",IFERROR(VLOOKUP($E142,OpTbl,12,0),""))</f>
        <v/>
      </c>
      <c r="AB142" s="76">
        <f>IF(OR($AA142="",$Q142="",$Q142=0,$AN142&lt;&gt;"بدهکار"),"",$Q142)</f>
        <v/>
      </c>
      <c r="AC142" s="76">
        <f>IF(OR($AA142="",$Q142="",$Q142=0,$AN142&lt;&gt;"بستانکار"),"",$Q142)</f>
        <v/>
      </c>
      <c r="AD142" s="70">
        <f>IF($AA142="","",IFERROR(VLOOKUP($E142,OpTbl,13,0),""))</f>
        <v/>
      </c>
      <c r="AE142" s="76">
        <f>IF(OR($AD142="",$Q142="",$Q142=0,$AN142&lt;&gt;"بستانکار"),"",$Q142)</f>
        <v/>
      </c>
      <c r="AF142" s="76">
        <f>IF(OR($AD142="",$Q142="",$Q142=0,$AN142&lt;&gt;"بدهکار"),"",$Q142)</f>
        <v/>
      </c>
      <c r="AG142" s="76">
        <f>SUM($V142,$Y142,$AB142,$AE142)</f>
        <v/>
      </c>
      <c r="AH142" s="76">
        <f>SUM($W142,$Z142,$AC142,$AF142)</f>
        <v/>
      </c>
      <c r="AI142" s="70">
        <f>IF($E142="","",IF(ROUND($AG142-$AH142,0)=0,"✓","⚠"))</f>
        <v/>
      </c>
      <c r="AJ142" s="76">
        <f>IF(OR($E142="",$U142=""),"",IFERROR(IF(VLOOKUP($E142,OpTbl,6,0)="وزن",IF($P142="",0,$P142),IF(VLOOKUP($E142,OpTbl,6,0)="مبلغ",IF(AND($Q142&lt;&gt;"",$Q142&lt;&gt;0),$Q142,$P142),0))+IF(VLOOKUP($E142,OpTbl,10,0)="افزودن",IF($Q142="",0,$Q142),0),0))</f>
        <v/>
      </c>
      <c r="AK142" s="70">
        <f>IF($E142="","",IFERROR(VLOOKUP($E142,OpTbl,10,0),""))</f>
        <v/>
      </c>
      <c r="AL142" s="70">
        <f>IF(OR($E142="",$U142=""),"",IFERROR(IF(VLOOKUP($E142,OpTbl,7,0)="خودکار",$R142,VLOOKUP($E142,OpTbl,7,0)),""))</f>
        <v/>
      </c>
      <c r="AM142" s="70">
        <f>IF(OR($E142="",$X142=""),"",IFERROR(IF(VLOOKUP($E142,OpTbl,9,0)="خودکار",IF($AL142="بدهکار","بستانکار",IF($AL142="بستانکار","بدهکار","")),VLOOKUP($E142,OpTbl,9,0)),""))</f>
        <v/>
      </c>
      <c r="AN142" s="70">
        <f>IF($E142="","",IFERROR(VLOOKUP($E142,OpTbl,11,0),""))</f>
        <v/>
      </c>
      <c r="AO142" s="70">
        <f>IF($B142="","",MID($B142,6,2))</f>
        <v/>
      </c>
      <c r="AP142" s="76">
        <f>IF($B142="",0,1)</f>
        <v/>
      </c>
    </row>
    <row r="143" ht="21.75" customHeight="1">
      <c r="A143" s="70">
        <f>IF($B143="","",COUNTA($B$10:$B143))</f>
        <v/>
      </c>
      <c r="B143" s="71" t="n"/>
      <c r="C143" s="71" t="n"/>
      <c r="D143" s="71" t="n"/>
      <c r="E143" s="71" t="n"/>
      <c r="F143" s="70">
        <f>IF($E143="","",IFERROR(VLOOKUP($E143,OpTbl,2,0),""))</f>
        <v/>
      </c>
      <c r="G143" s="71" t="n"/>
      <c r="H143" s="73">
        <f>IF($U143="","",IFERROR(VLOOKUP($U143,AcctTbl,2,0),"کد ناشناخته"))</f>
        <v/>
      </c>
      <c r="I143" s="70">
        <f>IF($U143="","",IFERROR(VLOOKUP($U143,AcctTbl,3,0),""))</f>
        <v/>
      </c>
      <c r="J143" s="72" t="n"/>
      <c r="K143" s="71" t="n"/>
      <c r="L143" s="74" t="n"/>
      <c r="M143" s="74" t="n"/>
      <c r="N143" s="148">
        <f>IF(OR($E143="",$L143=""),"",IFERROR(($L143-IF($M143="",0,$M143)*IFERROR(VLOOKUP($K143,BasketTbl,4,0),IFERROR(INDEX(BasketTbl,MATCH($K143,BasketCodeCol,0),4),VLOOKUP("P01",ParamTbl,2,0))))*(1-IF(VLOOKUP($E143,OpTbl,3,0)="خرید",VLOOKUP("P02",ParamTbl,2,0),0)/100),""))</f>
        <v/>
      </c>
      <c r="O143" s="74" t="n"/>
      <c r="P143" s="76">
        <f>IF(OR($E143="",$L143=""),"",IFERROR(IF(VLOOKUP($E143,OpTbl,6,0)="وزن",ROUND($N143*$O143,-3),IF(VLOOKUP($E143,OpTbl,6,0)="مبلغ",ROUND($L143*$O143,-3),0)),""))</f>
        <v/>
      </c>
      <c r="Q143" s="74" t="n"/>
      <c r="R143" s="71" t="n"/>
      <c r="S143" s="77">
        <f>IF($E143="","",IF($AI143="⚠","⚠ ناتراز",IF(AND(IFERROR(VLOOKUP($E143,OpTbl,4,0),"")="بله",$L143=""),"⚠ وزن",IF(AND(IFERROR(VLOOKUP($E143,OpTbl,5,0),"")="بله",$U143=""),"⚠ حساب",IF(AND(IFERROR(VLOOKUP($E143,OpTbl,6,0),"")="مبلغ",$Q143=""),"⚠ مبلغ","✓")))))</f>
        <v/>
      </c>
      <c r="T143" s="72" t="n"/>
      <c r="U143" s="70">
        <f>IF($E143="","",IFERROR(IF(VLOOKUP($E143,OpTbl,14,0)&lt;&gt;"",VLOOKUP($E143,OpTbl,14,0),$G143),""))</f>
        <v/>
      </c>
      <c r="V143" s="76">
        <f>IF(OR($AJ143="",$AJ143=0,$AL143&lt;&gt;"بدهکار"),"",$AJ143)</f>
        <v/>
      </c>
      <c r="W143" s="76">
        <f>IF(OR($AJ143="",$AJ143=0,$AL143&lt;&gt;"بستانکار"),"",$AJ143)</f>
        <v/>
      </c>
      <c r="X143" s="70">
        <f>IF($E143="","",IFERROR(VLOOKUP($E143,OpTbl,8,0),""))</f>
        <v/>
      </c>
      <c r="Y143" s="76">
        <f>IF(OR($X143="",$AJ143="",$AJ143=0,$AM143&lt;&gt;"بدهکار"),"",$AJ143)</f>
        <v/>
      </c>
      <c r="Z143" s="76">
        <f>IF(OR($X143="",$AJ143="",$AJ143=0,$AM143&lt;&gt;"بستانکار"),"",$AJ143)</f>
        <v/>
      </c>
      <c r="AA143" s="70">
        <f>IF(OR($E143="",$AN143="—",$AN143=""),"",IFERROR(VLOOKUP($E143,OpTbl,12,0),""))</f>
        <v/>
      </c>
      <c r="AB143" s="76">
        <f>IF(OR($AA143="",$Q143="",$Q143=0,$AN143&lt;&gt;"بدهکار"),"",$Q143)</f>
        <v/>
      </c>
      <c r="AC143" s="76">
        <f>IF(OR($AA143="",$Q143="",$Q143=0,$AN143&lt;&gt;"بستانکار"),"",$Q143)</f>
        <v/>
      </c>
      <c r="AD143" s="70">
        <f>IF($AA143="","",IFERROR(VLOOKUP($E143,OpTbl,13,0),""))</f>
        <v/>
      </c>
      <c r="AE143" s="76">
        <f>IF(OR($AD143="",$Q143="",$Q143=0,$AN143&lt;&gt;"بستانکار"),"",$Q143)</f>
        <v/>
      </c>
      <c r="AF143" s="76">
        <f>IF(OR($AD143="",$Q143="",$Q143=0,$AN143&lt;&gt;"بدهکار"),"",$Q143)</f>
        <v/>
      </c>
      <c r="AG143" s="76">
        <f>SUM($V143,$Y143,$AB143,$AE143)</f>
        <v/>
      </c>
      <c r="AH143" s="76">
        <f>SUM($W143,$Z143,$AC143,$AF143)</f>
        <v/>
      </c>
      <c r="AI143" s="70">
        <f>IF($E143="","",IF(ROUND($AG143-$AH143,0)=0,"✓","⚠"))</f>
        <v/>
      </c>
      <c r="AJ143" s="76">
        <f>IF(OR($E143="",$U143=""),"",IFERROR(IF(VLOOKUP($E143,OpTbl,6,0)="وزن",IF($P143="",0,$P143),IF(VLOOKUP($E143,OpTbl,6,0)="مبلغ",IF(AND($Q143&lt;&gt;"",$Q143&lt;&gt;0),$Q143,$P143),0))+IF(VLOOKUP($E143,OpTbl,10,0)="افزودن",IF($Q143="",0,$Q143),0),0))</f>
        <v/>
      </c>
      <c r="AK143" s="70">
        <f>IF($E143="","",IFERROR(VLOOKUP($E143,OpTbl,10,0),""))</f>
        <v/>
      </c>
      <c r="AL143" s="70">
        <f>IF(OR($E143="",$U143=""),"",IFERROR(IF(VLOOKUP($E143,OpTbl,7,0)="خودکار",$R143,VLOOKUP($E143,OpTbl,7,0)),""))</f>
        <v/>
      </c>
      <c r="AM143" s="70">
        <f>IF(OR($E143="",$X143=""),"",IFERROR(IF(VLOOKUP($E143,OpTbl,9,0)="خودکار",IF($AL143="بدهکار","بستانکار",IF($AL143="بستانکار","بدهکار","")),VLOOKUP($E143,OpTbl,9,0)),""))</f>
        <v/>
      </c>
      <c r="AN143" s="70">
        <f>IF($E143="","",IFERROR(VLOOKUP($E143,OpTbl,11,0),""))</f>
        <v/>
      </c>
      <c r="AO143" s="70">
        <f>IF($B143="","",MID($B143,6,2))</f>
        <v/>
      </c>
      <c r="AP143" s="76">
        <f>IF($B143="",0,1)</f>
        <v/>
      </c>
    </row>
    <row r="144" ht="21.75" customHeight="1">
      <c r="A144" s="70">
        <f>IF($B144="","",COUNTA($B$10:$B144))</f>
        <v/>
      </c>
      <c r="B144" s="71" t="n"/>
      <c r="C144" s="71" t="n"/>
      <c r="D144" s="71" t="n"/>
      <c r="E144" s="71" t="n"/>
      <c r="F144" s="70">
        <f>IF($E144="","",IFERROR(VLOOKUP($E144,OpTbl,2,0),""))</f>
        <v/>
      </c>
      <c r="G144" s="71" t="n"/>
      <c r="H144" s="73">
        <f>IF($U144="","",IFERROR(VLOOKUP($U144,AcctTbl,2,0),"کد ناشناخته"))</f>
        <v/>
      </c>
      <c r="I144" s="70">
        <f>IF($U144="","",IFERROR(VLOOKUP($U144,AcctTbl,3,0),""))</f>
        <v/>
      </c>
      <c r="J144" s="72" t="n"/>
      <c r="K144" s="71" t="n"/>
      <c r="L144" s="74" t="n"/>
      <c r="M144" s="74" t="n"/>
      <c r="N144" s="148">
        <f>IF(OR($E144="",$L144=""),"",IFERROR(($L144-IF($M144="",0,$M144)*IFERROR(VLOOKUP($K144,BasketTbl,4,0),IFERROR(INDEX(BasketTbl,MATCH($K144,BasketCodeCol,0),4),VLOOKUP("P01",ParamTbl,2,0))))*(1-IF(VLOOKUP($E144,OpTbl,3,0)="خرید",VLOOKUP("P02",ParamTbl,2,0),0)/100),""))</f>
        <v/>
      </c>
      <c r="O144" s="74" t="n"/>
      <c r="P144" s="76">
        <f>IF(OR($E144="",$L144=""),"",IFERROR(IF(VLOOKUP($E144,OpTbl,6,0)="وزن",ROUND($N144*$O144,-3),IF(VLOOKUP($E144,OpTbl,6,0)="مبلغ",ROUND($L144*$O144,-3),0)),""))</f>
        <v/>
      </c>
      <c r="Q144" s="74" t="n"/>
      <c r="R144" s="71" t="n"/>
      <c r="S144" s="77">
        <f>IF($E144="","",IF($AI144="⚠","⚠ ناتراز",IF(AND(IFERROR(VLOOKUP($E144,OpTbl,4,0),"")="بله",$L144=""),"⚠ وزن",IF(AND(IFERROR(VLOOKUP($E144,OpTbl,5,0),"")="بله",$U144=""),"⚠ حساب",IF(AND(IFERROR(VLOOKUP($E144,OpTbl,6,0),"")="مبلغ",$Q144=""),"⚠ مبلغ","✓")))))</f>
        <v/>
      </c>
      <c r="T144" s="72" t="n"/>
      <c r="U144" s="70">
        <f>IF($E144="","",IFERROR(IF(VLOOKUP($E144,OpTbl,14,0)&lt;&gt;"",VLOOKUP($E144,OpTbl,14,0),$G144),""))</f>
        <v/>
      </c>
      <c r="V144" s="76">
        <f>IF(OR($AJ144="",$AJ144=0,$AL144&lt;&gt;"بدهکار"),"",$AJ144)</f>
        <v/>
      </c>
      <c r="W144" s="76">
        <f>IF(OR($AJ144="",$AJ144=0,$AL144&lt;&gt;"بستانکار"),"",$AJ144)</f>
        <v/>
      </c>
      <c r="X144" s="70">
        <f>IF($E144="","",IFERROR(VLOOKUP($E144,OpTbl,8,0),""))</f>
        <v/>
      </c>
      <c r="Y144" s="76">
        <f>IF(OR($X144="",$AJ144="",$AJ144=0,$AM144&lt;&gt;"بدهکار"),"",$AJ144)</f>
        <v/>
      </c>
      <c r="Z144" s="76">
        <f>IF(OR($X144="",$AJ144="",$AJ144=0,$AM144&lt;&gt;"بستانکار"),"",$AJ144)</f>
        <v/>
      </c>
      <c r="AA144" s="70">
        <f>IF(OR($E144="",$AN144="—",$AN144=""),"",IFERROR(VLOOKUP($E144,OpTbl,12,0),""))</f>
        <v/>
      </c>
      <c r="AB144" s="76">
        <f>IF(OR($AA144="",$Q144="",$Q144=0,$AN144&lt;&gt;"بدهکار"),"",$Q144)</f>
        <v/>
      </c>
      <c r="AC144" s="76">
        <f>IF(OR($AA144="",$Q144="",$Q144=0,$AN144&lt;&gt;"بستانکار"),"",$Q144)</f>
        <v/>
      </c>
      <c r="AD144" s="70">
        <f>IF($AA144="","",IFERROR(VLOOKUP($E144,OpTbl,13,0),""))</f>
        <v/>
      </c>
      <c r="AE144" s="76">
        <f>IF(OR($AD144="",$Q144="",$Q144=0,$AN144&lt;&gt;"بستانکار"),"",$Q144)</f>
        <v/>
      </c>
      <c r="AF144" s="76">
        <f>IF(OR($AD144="",$Q144="",$Q144=0,$AN144&lt;&gt;"بدهکار"),"",$Q144)</f>
        <v/>
      </c>
      <c r="AG144" s="76">
        <f>SUM($V144,$Y144,$AB144,$AE144)</f>
        <v/>
      </c>
      <c r="AH144" s="76">
        <f>SUM($W144,$Z144,$AC144,$AF144)</f>
        <v/>
      </c>
      <c r="AI144" s="70">
        <f>IF($E144="","",IF(ROUND($AG144-$AH144,0)=0,"✓","⚠"))</f>
        <v/>
      </c>
      <c r="AJ144" s="76">
        <f>IF(OR($E144="",$U144=""),"",IFERROR(IF(VLOOKUP($E144,OpTbl,6,0)="وزن",IF($P144="",0,$P144),IF(VLOOKUP($E144,OpTbl,6,0)="مبلغ",IF(AND($Q144&lt;&gt;"",$Q144&lt;&gt;0),$Q144,$P144),0))+IF(VLOOKUP($E144,OpTbl,10,0)="افزودن",IF($Q144="",0,$Q144),0),0))</f>
        <v/>
      </c>
      <c r="AK144" s="70">
        <f>IF($E144="","",IFERROR(VLOOKUP($E144,OpTbl,10,0),""))</f>
        <v/>
      </c>
      <c r="AL144" s="70">
        <f>IF(OR($E144="",$U144=""),"",IFERROR(IF(VLOOKUP($E144,OpTbl,7,0)="خودکار",$R144,VLOOKUP($E144,OpTbl,7,0)),""))</f>
        <v/>
      </c>
      <c r="AM144" s="70">
        <f>IF(OR($E144="",$X144=""),"",IFERROR(IF(VLOOKUP($E144,OpTbl,9,0)="خودکار",IF($AL144="بدهکار","بستانکار",IF($AL144="بستانکار","بدهکار","")),VLOOKUP($E144,OpTbl,9,0)),""))</f>
        <v/>
      </c>
      <c r="AN144" s="70">
        <f>IF($E144="","",IFERROR(VLOOKUP($E144,OpTbl,11,0),""))</f>
        <v/>
      </c>
      <c r="AO144" s="70">
        <f>IF($B144="","",MID($B144,6,2))</f>
        <v/>
      </c>
      <c r="AP144" s="76">
        <f>IF($B144="",0,1)</f>
        <v/>
      </c>
    </row>
    <row r="145" ht="21.75" customHeight="1">
      <c r="A145" s="70">
        <f>IF($B145="","",COUNTA($B$10:$B145))</f>
        <v/>
      </c>
      <c r="B145" s="71" t="n"/>
      <c r="C145" s="71" t="n"/>
      <c r="D145" s="71" t="n"/>
      <c r="E145" s="71" t="n"/>
      <c r="F145" s="70">
        <f>IF($E145="","",IFERROR(VLOOKUP($E145,OpTbl,2,0),""))</f>
        <v/>
      </c>
      <c r="G145" s="71" t="n"/>
      <c r="H145" s="73">
        <f>IF($U145="","",IFERROR(VLOOKUP($U145,AcctTbl,2,0),"کد ناشناخته"))</f>
        <v/>
      </c>
      <c r="I145" s="70">
        <f>IF($U145="","",IFERROR(VLOOKUP($U145,AcctTbl,3,0),""))</f>
        <v/>
      </c>
      <c r="J145" s="72" t="n"/>
      <c r="K145" s="71" t="n"/>
      <c r="L145" s="74" t="n"/>
      <c r="M145" s="74" t="n"/>
      <c r="N145" s="148">
        <f>IF(OR($E145="",$L145=""),"",IFERROR(($L145-IF($M145="",0,$M145)*IFERROR(VLOOKUP($K145,BasketTbl,4,0),IFERROR(INDEX(BasketTbl,MATCH($K145,BasketCodeCol,0),4),VLOOKUP("P01",ParamTbl,2,0))))*(1-IF(VLOOKUP($E145,OpTbl,3,0)="خرید",VLOOKUP("P02",ParamTbl,2,0),0)/100),""))</f>
        <v/>
      </c>
      <c r="O145" s="74" t="n"/>
      <c r="P145" s="76">
        <f>IF(OR($E145="",$L145=""),"",IFERROR(IF(VLOOKUP($E145,OpTbl,6,0)="وزن",ROUND($N145*$O145,-3),IF(VLOOKUP($E145,OpTbl,6,0)="مبلغ",ROUND($L145*$O145,-3),0)),""))</f>
        <v/>
      </c>
      <c r="Q145" s="74" t="n"/>
      <c r="R145" s="71" t="n"/>
      <c r="S145" s="77">
        <f>IF($E145="","",IF($AI145="⚠","⚠ ناتراز",IF(AND(IFERROR(VLOOKUP($E145,OpTbl,4,0),"")="بله",$L145=""),"⚠ وزن",IF(AND(IFERROR(VLOOKUP($E145,OpTbl,5,0),"")="بله",$U145=""),"⚠ حساب",IF(AND(IFERROR(VLOOKUP($E145,OpTbl,6,0),"")="مبلغ",$Q145=""),"⚠ مبلغ","✓")))))</f>
        <v/>
      </c>
      <c r="T145" s="72" t="n"/>
      <c r="U145" s="70">
        <f>IF($E145="","",IFERROR(IF(VLOOKUP($E145,OpTbl,14,0)&lt;&gt;"",VLOOKUP($E145,OpTbl,14,0),$G145),""))</f>
        <v/>
      </c>
      <c r="V145" s="76">
        <f>IF(OR($AJ145="",$AJ145=0,$AL145&lt;&gt;"بدهکار"),"",$AJ145)</f>
        <v/>
      </c>
      <c r="W145" s="76">
        <f>IF(OR($AJ145="",$AJ145=0,$AL145&lt;&gt;"بستانکار"),"",$AJ145)</f>
        <v/>
      </c>
      <c r="X145" s="70">
        <f>IF($E145="","",IFERROR(VLOOKUP($E145,OpTbl,8,0),""))</f>
        <v/>
      </c>
      <c r="Y145" s="76">
        <f>IF(OR($X145="",$AJ145="",$AJ145=0,$AM145&lt;&gt;"بدهکار"),"",$AJ145)</f>
        <v/>
      </c>
      <c r="Z145" s="76">
        <f>IF(OR($X145="",$AJ145="",$AJ145=0,$AM145&lt;&gt;"بستانکار"),"",$AJ145)</f>
        <v/>
      </c>
      <c r="AA145" s="70">
        <f>IF(OR($E145="",$AN145="—",$AN145=""),"",IFERROR(VLOOKUP($E145,OpTbl,12,0),""))</f>
        <v/>
      </c>
      <c r="AB145" s="76">
        <f>IF(OR($AA145="",$Q145="",$Q145=0,$AN145&lt;&gt;"بدهکار"),"",$Q145)</f>
        <v/>
      </c>
      <c r="AC145" s="76">
        <f>IF(OR($AA145="",$Q145="",$Q145=0,$AN145&lt;&gt;"بستانکار"),"",$Q145)</f>
        <v/>
      </c>
      <c r="AD145" s="70">
        <f>IF($AA145="","",IFERROR(VLOOKUP($E145,OpTbl,13,0),""))</f>
        <v/>
      </c>
      <c r="AE145" s="76">
        <f>IF(OR($AD145="",$Q145="",$Q145=0,$AN145&lt;&gt;"بستانکار"),"",$Q145)</f>
        <v/>
      </c>
      <c r="AF145" s="76">
        <f>IF(OR($AD145="",$Q145="",$Q145=0,$AN145&lt;&gt;"بدهکار"),"",$Q145)</f>
        <v/>
      </c>
      <c r="AG145" s="76">
        <f>SUM($V145,$Y145,$AB145,$AE145)</f>
        <v/>
      </c>
      <c r="AH145" s="76">
        <f>SUM($W145,$Z145,$AC145,$AF145)</f>
        <v/>
      </c>
      <c r="AI145" s="70">
        <f>IF($E145="","",IF(ROUND($AG145-$AH145,0)=0,"✓","⚠"))</f>
        <v/>
      </c>
      <c r="AJ145" s="76">
        <f>IF(OR($E145="",$U145=""),"",IFERROR(IF(VLOOKUP($E145,OpTbl,6,0)="وزن",IF($P145="",0,$P145),IF(VLOOKUP($E145,OpTbl,6,0)="مبلغ",IF(AND($Q145&lt;&gt;"",$Q145&lt;&gt;0),$Q145,$P145),0))+IF(VLOOKUP($E145,OpTbl,10,0)="افزودن",IF($Q145="",0,$Q145),0),0))</f>
        <v/>
      </c>
      <c r="AK145" s="70">
        <f>IF($E145="","",IFERROR(VLOOKUP($E145,OpTbl,10,0),""))</f>
        <v/>
      </c>
      <c r="AL145" s="70">
        <f>IF(OR($E145="",$U145=""),"",IFERROR(IF(VLOOKUP($E145,OpTbl,7,0)="خودکار",$R145,VLOOKUP($E145,OpTbl,7,0)),""))</f>
        <v/>
      </c>
      <c r="AM145" s="70">
        <f>IF(OR($E145="",$X145=""),"",IFERROR(IF(VLOOKUP($E145,OpTbl,9,0)="خودکار",IF($AL145="بدهکار","بستانکار",IF($AL145="بستانکار","بدهکار","")),VLOOKUP($E145,OpTbl,9,0)),""))</f>
        <v/>
      </c>
      <c r="AN145" s="70">
        <f>IF($E145="","",IFERROR(VLOOKUP($E145,OpTbl,11,0),""))</f>
        <v/>
      </c>
      <c r="AO145" s="70">
        <f>IF($B145="","",MID($B145,6,2))</f>
        <v/>
      </c>
      <c r="AP145" s="76">
        <f>IF($B145="",0,1)</f>
        <v/>
      </c>
    </row>
    <row r="146" ht="21.75" customHeight="1">
      <c r="A146" s="70">
        <f>IF($B146="","",COUNTA($B$10:$B146))</f>
        <v/>
      </c>
      <c r="B146" s="71" t="n"/>
      <c r="C146" s="71" t="n"/>
      <c r="D146" s="71" t="n"/>
      <c r="E146" s="71" t="n"/>
      <c r="F146" s="70">
        <f>IF($E146="","",IFERROR(VLOOKUP($E146,OpTbl,2,0),""))</f>
        <v/>
      </c>
      <c r="G146" s="71" t="n"/>
      <c r="H146" s="73">
        <f>IF($U146="","",IFERROR(VLOOKUP($U146,AcctTbl,2,0),"کد ناشناخته"))</f>
        <v/>
      </c>
      <c r="I146" s="70">
        <f>IF($U146="","",IFERROR(VLOOKUP($U146,AcctTbl,3,0),""))</f>
        <v/>
      </c>
      <c r="J146" s="72" t="n"/>
      <c r="K146" s="71" t="n"/>
      <c r="L146" s="74" t="n"/>
      <c r="M146" s="74" t="n"/>
      <c r="N146" s="148">
        <f>IF(OR($E146="",$L146=""),"",IFERROR(($L146-IF($M146="",0,$M146)*IFERROR(VLOOKUP($K146,BasketTbl,4,0),IFERROR(INDEX(BasketTbl,MATCH($K146,BasketCodeCol,0),4),VLOOKUP("P01",ParamTbl,2,0))))*(1-IF(VLOOKUP($E146,OpTbl,3,0)="خرید",VLOOKUP("P02",ParamTbl,2,0),0)/100),""))</f>
        <v/>
      </c>
      <c r="O146" s="74" t="n"/>
      <c r="P146" s="76">
        <f>IF(OR($E146="",$L146=""),"",IFERROR(IF(VLOOKUP($E146,OpTbl,6,0)="وزن",ROUND($N146*$O146,-3),IF(VLOOKUP($E146,OpTbl,6,0)="مبلغ",ROUND($L146*$O146,-3),0)),""))</f>
        <v/>
      </c>
      <c r="Q146" s="74" t="n"/>
      <c r="R146" s="71" t="n"/>
      <c r="S146" s="77">
        <f>IF($E146="","",IF($AI146="⚠","⚠ ناتراز",IF(AND(IFERROR(VLOOKUP($E146,OpTbl,4,0),"")="بله",$L146=""),"⚠ وزن",IF(AND(IFERROR(VLOOKUP($E146,OpTbl,5,0),"")="بله",$U146=""),"⚠ حساب",IF(AND(IFERROR(VLOOKUP($E146,OpTbl,6,0),"")="مبلغ",$Q146=""),"⚠ مبلغ","✓")))))</f>
        <v/>
      </c>
      <c r="T146" s="72" t="n"/>
      <c r="U146" s="70">
        <f>IF($E146="","",IFERROR(IF(VLOOKUP($E146,OpTbl,14,0)&lt;&gt;"",VLOOKUP($E146,OpTbl,14,0),$G146),""))</f>
        <v/>
      </c>
      <c r="V146" s="76">
        <f>IF(OR($AJ146="",$AJ146=0,$AL146&lt;&gt;"بدهکار"),"",$AJ146)</f>
        <v/>
      </c>
      <c r="W146" s="76">
        <f>IF(OR($AJ146="",$AJ146=0,$AL146&lt;&gt;"بستانکار"),"",$AJ146)</f>
        <v/>
      </c>
      <c r="X146" s="70">
        <f>IF($E146="","",IFERROR(VLOOKUP($E146,OpTbl,8,0),""))</f>
        <v/>
      </c>
      <c r="Y146" s="76">
        <f>IF(OR($X146="",$AJ146="",$AJ146=0,$AM146&lt;&gt;"بدهکار"),"",$AJ146)</f>
        <v/>
      </c>
      <c r="Z146" s="76">
        <f>IF(OR($X146="",$AJ146="",$AJ146=0,$AM146&lt;&gt;"بستانکار"),"",$AJ146)</f>
        <v/>
      </c>
      <c r="AA146" s="70">
        <f>IF(OR($E146="",$AN146="—",$AN146=""),"",IFERROR(VLOOKUP($E146,OpTbl,12,0),""))</f>
        <v/>
      </c>
      <c r="AB146" s="76">
        <f>IF(OR($AA146="",$Q146="",$Q146=0,$AN146&lt;&gt;"بدهکار"),"",$Q146)</f>
        <v/>
      </c>
      <c r="AC146" s="76">
        <f>IF(OR($AA146="",$Q146="",$Q146=0,$AN146&lt;&gt;"بستانکار"),"",$Q146)</f>
        <v/>
      </c>
      <c r="AD146" s="70">
        <f>IF($AA146="","",IFERROR(VLOOKUP($E146,OpTbl,13,0),""))</f>
        <v/>
      </c>
      <c r="AE146" s="76">
        <f>IF(OR($AD146="",$Q146="",$Q146=0,$AN146&lt;&gt;"بستانکار"),"",$Q146)</f>
        <v/>
      </c>
      <c r="AF146" s="76">
        <f>IF(OR($AD146="",$Q146="",$Q146=0,$AN146&lt;&gt;"بدهکار"),"",$Q146)</f>
        <v/>
      </c>
      <c r="AG146" s="76">
        <f>SUM($V146,$Y146,$AB146,$AE146)</f>
        <v/>
      </c>
      <c r="AH146" s="76">
        <f>SUM($W146,$Z146,$AC146,$AF146)</f>
        <v/>
      </c>
      <c r="AI146" s="70">
        <f>IF($E146="","",IF(ROUND($AG146-$AH146,0)=0,"✓","⚠"))</f>
        <v/>
      </c>
      <c r="AJ146" s="76">
        <f>IF(OR($E146="",$U146=""),"",IFERROR(IF(VLOOKUP($E146,OpTbl,6,0)="وزن",IF($P146="",0,$P146),IF(VLOOKUP($E146,OpTbl,6,0)="مبلغ",IF(AND($Q146&lt;&gt;"",$Q146&lt;&gt;0),$Q146,$P146),0))+IF(VLOOKUP($E146,OpTbl,10,0)="افزودن",IF($Q146="",0,$Q146),0),0))</f>
        <v/>
      </c>
      <c r="AK146" s="70">
        <f>IF($E146="","",IFERROR(VLOOKUP($E146,OpTbl,10,0),""))</f>
        <v/>
      </c>
      <c r="AL146" s="70">
        <f>IF(OR($E146="",$U146=""),"",IFERROR(IF(VLOOKUP($E146,OpTbl,7,0)="خودکار",$R146,VLOOKUP($E146,OpTbl,7,0)),""))</f>
        <v/>
      </c>
      <c r="AM146" s="70">
        <f>IF(OR($E146="",$X146=""),"",IFERROR(IF(VLOOKUP($E146,OpTbl,9,0)="خودکار",IF($AL146="بدهکار","بستانکار",IF($AL146="بستانکار","بدهکار","")),VLOOKUP($E146,OpTbl,9,0)),""))</f>
        <v/>
      </c>
      <c r="AN146" s="70">
        <f>IF($E146="","",IFERROR(VLOOKUP($E146,OpTbl,11,0),""))</f>
        <v/>
      </c>
      <c r="AO146" s="70">
        <f>IF($B146="","",MID($B146,6,2))</f>
        <v/>
      </c>
      <c r="AP146" s="76">
        <f>IF($B146="",0,1)</f>
        <v/>
      </c>
    </row>
    <row r="147" ht="21.75" customHeight="1">
      <c r="A147" s="70">
        <f>IF($B147="","",COUNTA($B$10:$B147))</f>
        <v/>
      </c>
      <c r="B147" s="71" t="n"/>
      <c r="C147" s="71" t="n"/>
      <c r="D147" s="71" t="n"/>
      <c r="E147" s="71" t="n"/>
      <c r="F147" s="70">
        <f>IF($E147="","",IFERROR(VLOOKUP($E147,OpTbl,2,0),""))</f>
        <v/>
      </c>
      <c r="G147" s="71" t="n"/>
      <c r="H147" s="73">
        <f>IF($U147="","",IFERROR(VLOOKUP($U147,AcctTbl,2,0),"کد ناشناخته"))</f>
        <v/>
      </c>
      <c r="I147" s="70">
        <f>IF($U147="","",IFERROR(VLOOKUP($U147,AcctTbl,3,0),""))</f>
        <v/>
      </c>
      <c r="J147" s="72" t="n"/>
      <c r="K147" s="71" t="n"/>
      <c r="L147" s="74" t="n"/>
      <c r="M147" s="74" t="n"/>
      <c r="N147" s="148">
        <f>IF(OR($E147="",$L147=""),"",IFERROR(($L147-IF($M147="",0,$M147)*IFERROR(VLOOKUP($K147,BasketTbl,4,0),IFERROR(INDEX(BasketTbl,MATCH($K147,BasketCodeCol,0),4),VLOOKUP("P01",ParamTbl,2,0))))*(1-IF(VLOOKUP($E147,OpTbl,3,0)="خرید",VLOOKUP("P02",ParamTbl,2,0),0)/100),""))</f>
        <v/>
      </c>
      <c r="O147" s="74" t="n"/>
      <c r="P147" s="76">
        <f>IF(OR($E147="",$L147=""),"",IFERROR(IF(VLOOKUP($E147,OpTbl,6,0)="وزن",ROUND($N147*$O147,-3),IF(VLOOKUP($E147,OpTbl,6,0)="مبلغ",ROUND($L147*$O147,-3),0)),""))</f>
        <v/>
      </c>
      <c r="Q147" s="74" t="n"/>
      <c r="R147" s="71" t="n"/>
      <c r="S147" s="77">
        <f>IF($E147="","",IF($AI147="⚠","⚠ ناتراز",IF(AND(IFERROR(VLOOKUP($E147,OpTbl,4,0),"")="بله",$L147=""),"⚠ وزن",IF(AND(IFERROR(VLOOKUP($E147,OpTbl,5,0),"")="بله",$U147=""),"⚠ حساب",IF(AND(IFERROR(VLOOKUP($E147,OpTbl,6,0),"")="مبلغ",$Q147=""),"⚠ مبلغ","✓")))))</f>
        <v/>
      </c>
      <c r="T147" s="72" t="n"/>
      <c r="U147" s="70">
        <f>IF($E147="","",IFERROR(IF(VLOOKUP($E147,OpTbl,14,0)&lt;&gt;"",VLOOKUP($E147,OpTbl,14,0),$G147),""))</f>
        <v/>
      </c>
      <c r="V147" s="76">
        <f>IF(OR($AJ147="",$AJ147=0,$AL147&lt;&gt;"بدهکار"),"",$AJ147)</f>
        <v/>
      </c>
      <c r="W147" s="76">
        <f>IF(OR($AJ147="",$AJ147=0,$AL147&lt;&gt;"بستانکار"),"",$AJ147)</f>
        <v/>
      </c>
      <c r="X147" s="70">
        <f>IF($E147="","",IFERROR(VLOOKUP($E147,OpTbl,8,0),""))</f>
        <v/>
      </c>
      <c r="Y147" s="76">
        <f>IF(OR($X147="",$AJ147="",$AJ147=0,$AM147&lt;&gt;"بدهکار"),"",$AJ147)</f>
        <v/>
      </c>
      <c r="Z147" s="76">
        <f>IF(OR($X147="",$AJ147="",$AJ147=0,$AM147&lt;&gt;"بستانکار"),"",$AJ147)</f>
        <v/>
      </c>
      <c r="AA147" s="70">
        <f>IF(OR($E147="",$AN147="—",$AN147=""),"",IFERROR(VLOOKUP($E147,OpTbl,12,0),""))</f>
        <v/>
      </c>
      <c r="AB147" s="76">
        <f>IF(OR($AA147="",$Q147="",$Q147=0,$AN147&lt;&gt;"بدهکار"),"",$Q147)</f>
        <v/>
      </c>
      <c r="AC147" s="76">
        <f>IF(OR($AA147="",$Q147="",$Q147=0,$AN147&lt;&gt;"بستانکار"),"",$Q147)</f>
        <v/>
      </c>
      <c r="AD147" s="70">
        <f>IF($AA147="","",IFERROR(VLOOKUP($E147,OpTbl,13,0),""))</f>
        <v/>
      </c>
      <c r="AE147" s="76">
        <f>IF(OR($AD147="",$Q147="",$Q147=0,$AN147&lt;&gt;"بستانکار"),"",$Q147)</f>
        <v/>
      </c>
      <c r="AF147" s="76">
        <f>IF(OR($AD147="",$Q147="",$Q147=0,$AN147&lt;&gt;"بدهکار"),"",$Q147)</f>
        <v/>
      </c>
      <c r="AG147" s="76">
        <f>SUM($V147,$Y147,$AB147,$AE147)</f>
        <v/>
      </c>
      <c r="AH147" s="76">
        <f>SUM($W147,$Z147,$AC147,$AF147)</f>
        <v/>
      </c>
      <c r="AI147" s="70">
        <f>IF($E147="","",IF(ROUND($AG147-$AH147,0)=0,"✓","⚠"))</f>
        <v/>
      </c>
      <c r="AJ147" s="76">
        <f>IF(OR($E147="",$U147=""),"",IFERROR(IF(VLOOKUP($E147,OpTbl,6,0)="وزن",IF($P147="",0,$P147),IF(VLOOKUP($E147,OpTbl,6,0)="مبلغ",IF(AND($Q147&lt;&gt;"",$Q147&lt;&gt;0),$Q147,$P147),0))+IF(VLOOKUP($E147,OpTbl,10,0)="افزودن",IF($Q147="",0,$Q147),0),0))</f>
        <v/>
      </c>
      <c r="AK147" s="70">
        <f>IF($E147="","",IFERROR(VLOOKUP($E147,OpTbl,10,0),""))</f>
        <v/>
      </c>
      <c r="AL147" s="70">
        <f>IF(OR($E147="",$U147=""),"",IFERROR(IF(VLOOKUP($E147,OpTbl,7,0)="خودکار",$R147,VLOOKUP($E147,OpTbl,7,0)),""))</f>
        <v/>
      </c>
      <c r="AM147" s="70">
        <f>IF(OR($E147="",$X147=""),"",IFERROR(IF(VLOOKUP($E147,OpTbl,9,0)="خودکار",IF($AL147="بدهکار","بستانکار",IF($AL147="بستانکار","بدهکار","")),VLOOKUP($E147,OpTbl,9,0)),""))</f>
        <v/>
      </c>
      <c r="AN147" s="70">
        <f>IF($E147="","",IFERROR(VLOOKUP($E147,OpTbl,11,0),""))</f>
        <v/>
      </c>
      <c r="AO147" s="70">
        <f>IF($B147="","",MID($B147,6,2))</f>
        <v/>
      </c>
      <c r="AP147" s="76">
        <f>IF($B147="",0,1)</f>
        <v/>
      </c>
    </row>
    <row r="148" ht="21.75" customHeight="1">
      <c r="A148" s="70">
        <f>IF($B148="","",COUNTA($B$10:$B148))</f>
        <v/>
      </c>
      <c r="B148" s="71" t="n"/>
      <c r="C148" s="71" t="n"/>
      <c r="D148" s="71" t="n"/>
      <c r="E148" s="71" t="n"/>
      <c r="F148" s="70">
        <f>IF($E148="","",IFERROR(VLOOKUP($E148,OpTbl,2,0),""))</f>
        <v/>
      </c>
      <c r="G148" s="71" t="n"/>
      <c r="H148" s="73">
        <f>IF($U148="","",IFERROR(VLOOKUP($U148,AcctTbl,2,0),"کد ناشناخته"))</f>
        <v/>
      </c>
      <c r="I148" s="70">
        <f>IF($U148="","",IFERROR(VLOOKUP($U148,AcctTbl,3,0),""))</f>
        <v/>
      </c>
      <c r="J148" s="72" t="n"/>
      <c r="K148" s="71" t="n"/>
      <c r="L148" s="74" t="n"/>
      <c r="M148" s="74" t="n"/>
      <c r="N148" s="148">
        <f>IF(OR($E148="",$L148=""),"",IFERROR(($L148-IF($M148="",0,$M148)*IFERROR(VLOOKUP($K148,BasketTbl,4,0),IFERROR(INDEX(BasketTbl,MATCH($K148,BasketCodeCol,0),4),VLOOKUP("P01",ParamTbl,2,0))))*(1-IF(VLOOKUP($E148,OpTbl,3,0)="خرید",VLOOKUP("P02",ParamTbl,2,0),0)/100),""))</f>
        <v/>
      </c>
      <c r="O148" s="74" t="n"/>
      <c r="P148" s="76">
        <f>IF(OR($E148="",$L148=""),"",IFERROR(IF(VLOOKUP($E148,OpTbl,6,0)="وزن",ROUND($N148*$O148,-3),IF(VLOOKUP($E148,OpTbl,6,0)="مبلغ",ROUND($L148*$O148,-3),0)),""))</f>
        <v/>
      </c>
      <c r="Q148" s="74" t="n"/>
      <c r="R148" s="71" t="n"/>
      <c r="S148" s="77">
        <f>IF($E148="","",IF($AI148="⚠","⚠ ناتراز",IF(AND(IFERROR(VLOOKUP($E148,OpTbl,4,0),"")="بله",$L148=""),"⚠ وزن",IF(AND(IFERROR(VLOOKUP($E148,OpTbl,5,0),"")="بله",$U148=""),"⚠ حساب",IF(AND(IFERROR(VLOOKUP($E148,OpTbl,6,0),"")="مبلغ",$Q148=""),"⚠ مبلغ","✓")))))</f>
        <v/>
      </c>
      <c r="T148" s="72" t="n"/>
      <c r="U148" s="70">
        <f>IF($E148="","",IFERROR(IF(VLOOKUP($E148,OpTbl,14,0)&lt;&gt;"",VLOOKUP($E148,OpTbl,14,0),$G148),""))</f>
        <v/>
      </c>
      <c r="V148" s="76">
        <f>IF(OR($AJ148="",$AJ148=0,$AL148&lt;&gt;"بدهکار"),"",$AJ148)</f>
        <v/>
      </c>
      <c r="W148" s="76">
        <f>IF(OR($AJ148="",$AJ148=0,$AL148&lt;&gt;"بستانکار"),"",$AJ148)</f>
        <v/>
      </c>
      <c r="X148" s="70">
        <f>IF($E148="","",IFERROR(VLOOKUP($E148,OpTbl,8,0),""))</f>
        <v/>
      </c>
      <c r="Y148" s="76">
        <f>IF(OR($X148="",$AJ148="",$AJ148=0,$AM148&lt;&gt;"بدهکار"),"",$AJ148)</f>
        <v/>
      </c>
      <c r="Z148" s="76">
        <f>IF(OR($X148="",$AJ148="",$AJ148=0,$AM148&lt;&gt;"بستانکار"),"",$AJ148)</f>
        <v/>
      </c>
      <c r="AA148" s="70">
        <f>IF(OR($E148="",$AN148="—",$AN148=""),"",IFERROR(VLOOKUP($E148,OpTbl,12,0),""))</f>
        <v/>
      </c>
      <c r="AB148" s="76">
        <f>IF(OR($AA148="",$Q148="",$Q148=0,$AN148&lt;&gt;"بدهکار"),"",$Q148)</f>
        <v/>
      </c>
      <c r="AC148" s="76">
        <f>IF(OR($AA148="",$Q148="",$Q148=0,$AN148&lt;&gt;"بستانکار"),"",$Q148)</f>
        <v/>
      </c>
      <c r="AD148" s="70">
        <f>IF($AA148="","",IFERROR(VLOOKUP($E148,OpTbl,13,0),""))</f>
        <v/>
      </c>
      <c r="AE148" s="76">
        <f>IF(OR($AD148="",$Q148="",$Q148=0,$AN148&lt;&gt;"بستانکار"),"",$Q148)</f>
        <v/>
      </c>
      <c r="AF148" s="76">
        <f>IF(OR($AD148="",$Q148="",$Q148=0,$AN148&lt;&gt;"بدهکار"),"",$Q148)</f>
        <v/>
      </c>
      <c r="AG148" s="76">
        <f>SUM($V148,$Y148,$AB148,$AE148)</f>
        <v/>
      </c>
      <c r="AH148" s="76">
        <f>SUM($W148,$Z148,$AC148,$AF148)</f>
        <v/>
      </c>
      <c r="AI148" s="70">
        <f>IF($E148="","",IF(ROUND($AG148-$AH148,0)=0,"✓","⚠"))</f>
        <v/>
      </c>
      <c r="AJ148" s="76">
        <f>IF(OR($E148="",$U148=""),"",IFERROR(IF(VLOOKUP($E148,OpTbl,6,0)="وزن",IF($P148="",0,$P148),IF(VLOOKUP($E148,OpTbl,6,0)="مبلغ",IF(AND($Q148&lt;&gt;"",$Q148&lt;&gt;0),$Q148,$P148),0))+IF(VLOOKUP($E148,OpTbl,10,0)="افزودن",IF($Q148="",0,$Q148),0),0))</f>
        <v/>
      </c>
      <c r="AK148" s="70">
        <f>IF($E148="","",IFERROR(VLOOKUP($E148,OpTbl,10,0),""))</f>
        <v/>
      </c>
      <c r="AL148" s="70">
        <f>IF(OR($E148="",$U148=""),"",IFERROR(IF(VLOOKUP($E148,OpTbl,7,0)="خودکار",$R148,VLOOKUP($E148,OpTbl,7,0)),""))</f>
        <v/>
      </c>
      <c r="AM148" s="70">
        <f>IF(OR($E148="",$X148=""),"",IFERROR(IF(VLOOKUP($E148,OpTbl,9,0)="خودکار",IF($AL148="بدهکار","بستانکار",IF($AL148="بستانکار","بدهکار","")),VLOOKUP($E148,OpTbl,9,0)),""))</f>
        <v/>
      </c>
      <c r="AN148" s="70">
        <f>IF($E148="","",IFERROR(VLOOKUP($E148,OpTbl,11,0),""))</f>
        <v/>
      </c>
      <c r="AO148" s="70">
        <f>IF($B148="","",MID($B148,6,2))</f>
        <v/>
      </c>
      <c r="AP148" s="76">
        <f>IF($B148="",0,1)</f>
        <v/>
      </c>
    </row>
    <row r="149" ht="21.75" customHeight="1">
      <c r="A149" s="70">
        <f>IF($B149="","",COUNTA($B$10:$B149))</f>
        <v/>
      </c>
      <c r="B149" s="71" t="n"/>
      <c r="C149" s="71" t="n"/>
      <c r="D149" s="71" t="n"/>
      <c r="E149" s="71" t="n"/>
      <c r="F149" s="70">
        <f>IF($E149="","",IFERROR(VLOOKUP($E149,OpTbl,2,0),""))</f>
        <v/>
      </c>
      <c r="G149" s="71" t="n"/>
      <c r="H149" s="73">
        <f>IF($U149="","",IFERROR(VLOOKUP($U149,AcctTbl,2,0),"کد ناشناخته"))</f>
        <v/>
      </c>
      <c r="I149" s="70">
        <f>IF($U149="","",IFERROR(VLOOKUP($U149,AcctTbl,3,0),""))</f>
        <v/>
      </c>
      <c r="J149" s="72" t="n"/>
      <c r="K149" s="71" t="n"/>
      <c r="L149" s="74" t="n"/>
      <c r="M149" s="74" t="n"/>
      <c r="N149" s="148">
        <f>IF(OR($E149="",$L149=""),"",IFERROR(($L149-IF($M149="",0,$M149)*IFERROR(VLOOKUP($K149,BasketTbl,4,0),IFERROR(INDEX(BasketTbl,MATCH($K149,BasketCodeCol,0),4),VLOOKUP("P01",ParamTbl,2,0))))*(1-IF(VLOOKUP($E149,OpTbl,3,0)="خرید",VLOOKUP("P02",ParamTbl,2,0),0)/100),""))</f>
        <v/>
      </c>
      <c r="O149" s="74" t="n"/>
      <c r="P149" s="76">
        <f>IF(OR($E149="",$L149=""),"",IFERROR(IF(VLOOKUP($E149,OpTbl,6,0)="وزن",ROUND($N149*$O149,-3),IF(VLOOKUP($E149,OpTbl,6,0)="مبلغ",ROUND($L149*$O149,-3),0)),""))</f>
        <v/>
      </c>
      <c r="Q149" s="74" t="n"/>
      <c r="R149" s="71" t="n"/>
      <c r="S149" s="77">
        <f>IF($E149="","",IF($AI149="⚠","⚠ ناتراز",IF(AND(IFERROR(VLOOKUP($E149,OpTbl,4,0),"")="بله",$L149=""),"⚠ وزن",IF(AND(IFERROR(VLOOKUP($E149,OpTbl,5,0),"")="بله",$U149=""),"⚠ حساب",IF(AND(IFERROR(VLOOKUP($E149,OpTbl,6,0),"")="مبلغ",$Q149=""),"⚠ مبلغ","✓")))))</f>
        <v/>
      </c>
      <c r="T149" s="72" t="n"/>
      <c r="U149" s="70">
        <f>IF($E149="","",IFERROR(IF(VLOOKUP($E149,OpTbl,14,0)&lt;&gt;"",VLOOKUP($E149,OpTbl,14,0),$G149),""))</f>
        <v/>
      </c>
      <c r="V149" s="76">
        <f>IF(OR($AJ149="",$AJ149=0,$AL149&lt;&gt;"بدهکار"),"",$AJ149)</f>
        <v/>
      </c>
      <c r="W149" s="76">
        <f>IF(OR($AJ149="",$AJ149=0,$AL149&lt;&gt;"بستانکار"),"",$AJ149)</f>
        <v/>
      </c>
      <c r="X149" s="70">
        <f>IF($E149="","",IFERROR(VLOOKUP($E149,OpTbl,8,0),""))</f>
        <v/>
      </c>
      <c r="Y149" s="76">
        <f>IF(OR($X149="",$AJ149="",$AJ149=0,$AM149&lt;&gt;"بدهکار"),"",$AJ149)</f>
        <v/>
      </c>
      <c r="Z149" s="76">
        <f>IF(OR($X149="",$AJ149="",$AJ149=0,$AM149&lt;&gt;"بستانکار"),"",$AJ149)</f>
        <v/>
      </c>
      <c r="AA149" s="70">
        <f>IF(OR($E149="",$AN149="—",$AN149=""),"",IFERROR(VLOOKUP($E149,OpTbl,12,0),""))</f>
        <v/>
      </c>
      <c r="AB149" s="76">
        <f>IF(OR($AA149="",$Q149="",$Q149=0,$AN149&lt;&gt;"بدهکار"),"",$Q149)</f>
        <v/>
      </c>
      <c r="AC149" s="76">
        <f>IF(OR($AA149="",$Q149="",$Q149=0,$AN149&lt;&gt;"بستانکار"),"",$Q149)</f>
        <v/>
      </c>
      <c r="AD149" s="70">
        <f>IF($AA149="","",IFERROR(VLOOKUP($E149,OpTbl,13,0),""))</f>
        <v/>
      </c>
      <c r="AE149" s="76">
        <f>IF(OR($AD149="",$Q149="",$Q149=0,$AN149&lt;&gt;"بستانکار"),"",$Q149)</f>
        <v/>
      </c>
      <c r="AF149" s="76">
        <f>IF(OR($AD149="",$Q149="",$Q149=0,$AN149&lt;&gt;"بدهکار"),"",$Q149)</f>
        <v/>
      </c>
      <c r="AG149" s="76">
        <f>SUM($V149,$Y149,$AB149,$AE149)</f>
        <v/>
      </c>
      <c r="AH149" s="76">
        <f>SUM($W149,$Z149,$AC149,$AF149)</f>
        <v/>
      </c>
      <c r="AI149" s="70">
        <f>IF($E149="","",IF(ROUND($AG149-$AH149,0)=0,"✓","⚠"))</f>
        <v/>
      </c>
      <c r="AJ149" s="76">
        <f>IF(OR($E149="",$U149=""),"",IFERROR(IF(VLOOKUP($E149,OpTbl,6,0)="وزن",IF($P149="",0,$P149),IF(VLOOKUP($E149,OpTbl,6,0)="مبلغ",IF(AND($Q149&lt;&gt;"",$Q149&lt;&gt;0),$Q149,$P149),0))+IF(VLOOKUP($E149,OpTbl,10,0)="افزودن",IF($Q149="",0,$Q149),0),0))</f>
        <v/>
      </c>
      <c r="AK149" s="70">
        <f>IF($E149="","",IFERROR(VLOOKUP($E149,OpTbl,10,0),""))</f>
        <v/>
      </c>
      <c r="AL149" s="70">
        <f>IF(OR($E149="",$U149=""),"",IFERROR(IF(VLOOKUP($E149,OpTbl,7,0)="خودکار",$R149,VLOOKUP($E149,OpTbl,7,0)),""))</f>
        <v/>
      </c>
      <c r="AM149" s="70">
        <f>IF(OR($E149="",$X149=""),"",IFERROR(IF(VLOOKUP($E149,OpTbl,9,0)="خودکار",IF($AL149="بدهکار","بستانکار",IF($AL149="بستانکار","بدهکار","")),VLOOKUP($E149,OpTbl,9,0)),""))</f>
        <v/>
      </c>
      <c r="AN149" s="70">
        <f>IF($E149="","",IFERROR(VLOOKUP($E149,OpTbl,11,0),""))</f>
        <v/>
      </c>
      <c r="AO149" s="70">
        <f>IF($B149="","",MID($B149,6,2))</f>
        <v/>
      </c>
      <c r="AP149" s="76">
        <f>IF($B149="",0,1)</f>
        <v/>
      </c>
    </row>
    <row r="150" ht="21.75" customHeight="1">
      <c r="A150" s="70">
        <f>IF($B150="","",COUNTA($B$10:$B150))</f>
        <v/>
      </c>
      <c r="B150" s="71" t="n"/>
      <c r="C150" s="71" t="n"/>
      <c r="D150" s="71" t="n"/>
      <c r="E150" s="71" t="n"/>
      <c r="F150" s="70">
        <f>IF($E150="","",IFERROR(VLOOKUP($E150,OpTbl,2,0),""))</f>
        <v/>
      </c>
      <c r="G150" s="71" t="n"/>
      <c r="H150" s="73">
        <f>IF($U150="","",IFERROR(VLOOKUP($U150,AcctTbl,2,0),"کد ناشناخته"))</f>
        <v/>
      </c>
      <c r="I150" s="70">
        <f>IF($U150="","",IFERROR(VLOOKUP($U150,AcctTbl,3,0),""))</f>
        <v/>
      </c>
      <c r="J150" s="72" t="n"/>
      <c r="K150" s="71" t="n"/>
      <c r="L150" s="74" t="n"/>
      <c r="M150" s="74" t="n"/>
      <c r="N150" s="148">
        <f>IF(OR($E150="",$L150=""),"",IFERROR(($L150-IF($M150="",0,$M150)*IFERROR(VLOOKUP($K150,BasketTbl,4,0),IFERROR(INDEX(BasketTbl,MATCH($K150,BasketCodeCol,0),4),VLOOKUP("P01",ParamTbl,2,0))))*(1-IF(VLOOKUP($E150,OpTbl,3,0)="خرید",VLOOKUP("P02",ParamTbl,2,0),0)/100),""))</f>
        <v/>
      </c>
      <c r="O150" s="74" t="n"/>
      <c r="P150" s="76">
        <f>IF(OR($E150="",$L150=""),"",IFERROR(IF(VLOOKUP($E150,OpTbl,6,0)="وزن",ROUND($N150*$O150,-3),IF(VLOOKUP($E150,OpTbl,6,0)="مبلغ",ROUND($L150*$O150,-3),0)),""))</f>
        <v/>
      </c>
      <c r="Q150" s="74" t="n"/>
      <c r="R150" s="71" t="n"/>
      <c r="S150" s="77">
        <f>IF($E150="","",IF($AI150="⚠","⚠ ناتراز",IF(AND(IFERROR(VLOOKUP($E150,OpTbl,4,0),"")="بله",$L150=""),"⚠ وزن",IF(AND(IFERROR(VLOOKUP($E150,OpTbl,5,0),"")="بله",$U150=""),"⚠ حساب",IF(AND(IFERROR(VLOOKUP($E150,OpTbl,6,0),"")="مبلغ",$Q150=""),"⚠ مبلغ","✓")))))</f>
        <v/>
      </c>
      <c r="T150" s="72" t="n"/>
      <c r="U150" s="70">
        <f>IF($E150="","",IFERROR(IF(VLOOKUP($E150,OpTbl,14,0)&lt;&gt;"",VLOOKUP($E150,OpTbl,14,0),$G150),""))</f>
        <v/>
      </c>
      <c r="V150" s="76">
        <f>IF(OR($AJ150="",$AJ150=0,$AL150&lt;&gt;"بدهکار"),"",$AJ150)</f>
        <v/>
      </c>
      <c r="W150" s="76">
        <f>IF(OR($AJ150="",$AJ150=0,$AL150&lt;&gt;"بستانکار"),"",$AJ150)</f>
        <v/>
      </c>
      <c r="X150" s="70">
        <f>IF($E150="","",IFERROR(VLOOKUP($E150,OpTbl,8,0),""))</f>
        <v/>
      </c>
      <c r="Y150" s="76">
        <f>IF(OR($X150="",$AJ150="",$AJ150=0,$AM150&lt;&gt;"بدهکار"),"",$AJ150)</f>
        <v/>
      </c>
      <c r="Z150" s="76">
        <f>IF(OR($X150="",$AJ150="",$AJ150=0,$AM150&lt;&gt;"بستانکار"),"",$AJ150)</f>
        <v/>
      </c>
      <c r="AA150" s="70">
        <f>IF(OR($E150="",$AN150="—",$AN150=""),"",IFERROR(VLOOKUP($E150,OpTbl,12,0),""))</f>
        <v/>
      </c>
      <c r="AB150" s="76">
        <f>IF(OR($AA150="",$Q150="",$Q150=0,$AN150&lt;&gt;"بدهکار"),"",$Q150)</f>
        <v/>
      </c>
      <c r="AC150" s="76">
        <f>IF(OR($AA150="",$Q150="",$Q150=0,$AN150&lt;&gt;"بستانکار"),"",$Q150)</f>
        <v/>
      </c>
      <c r="AD150" s="70">
        <f>IF($AA150="","",IFERROR(VLOOKUP($E150,OpTbl,13,0),""))</f>
        <v/>
      </c>
      <c r="AE150" s="76">
        <f>IF(OR($AD150="",$Q150="",$Q150=0,$AN150&lt;&gt;"بستانکار"),"",$Q150)</f>
        <v/>
      </c>
      <c r="AF150" s="76">
        <f>IF(OR($AD150="",$Q150="",$Q150=0,$AN150&lt;&gt;"بدهکار"),"",$Q150)</f>
        <v/>
      </c>
      <c r="AG150" s="76">
        <f>SUM($V150,$Y150,$AB150,$AE150)</f>
        <v/>
      </c>
      <c r="AH150" s="76">
        <f>SUM($W150,$Z150,$AC150,$AF150)</f>
        <v/>
      </c>
      <c r="AI150" s="70">
        <f>IF($E150="","",IF(ROUND($AG150-$AH150,0)=0,"✓","⚠"))</f>
        <v/>
      </c>
      <c r="AJ150" s="76">
        <f>IF(OR($E150="",$U150=""),"",IFERROR(IF(VLOOKUP($E150,OpTbl,6,0)="وزن",IF($P150="",0,$P150),IF(VLOOKUP($E150,OpTbl,6,0)="مبلغ",IF(AND($Q150&lt;&gt;"",$Q150&lt;&gt;0),$Q150,$P150),0))+IF(VLOOKUP($E150,OpTbl,10,0)="افزودن",IF($Q150="",0,$Q150),0),0))</f>
        <v/>
      </c>
      <c r="AK150" s="70">
        <f>IF($E150="","",IFERROR(VLOOKUP($E150,OpTbl,10,0),""))</f>
        <v/>
      </c>
      <c r="AL150" s="70">
        <f>IF(OR($E150="",$U150=""),"",IFERROR(IF(VLOOKUP($E150,OpTbl,7,0)="خودکار",$R150,VLOOKUP($E150,OpTbl,7,0)),""))</f>
        <v/>
      </c>
      <c r="AM150" s="70">
        <f>IF(OR($E150="",$X150=""),"",IFERROR(IF(VLOOKUP($E150,OpTbl,9,0)="خودکار",IF($AL150="بدهکار","بستانکار",IF($AL150="بستانکار","بدهکار","")),VLOOKUP($E150,OpTbl,9,0)),""))</f>
        <v/>
      </c>
      <c r="AN150" s="70">
        <f>IF($E150="","",IFERROR(VLOOKUP($E150,OpTbl,11,0),""))</f>
        <v/>
      </c>
      <c r="AO150" s="70">
        <f>IF($B150="","",MID($B150,6,2))</f>
        <v/>
      </c>
      <c r="AP150" s="76">
        <f>IF($B150="",0,1)</f>
        <v/>
      </c>
    </row>
    <row r="151" ht="21.75" customHeight="1">
      <c r="A151" s="70">
        <f>IF($B151="","",COUNTA($B$10:$B151))</f>
        <v/>
      </c>
      <c r="B151" s="71" t="n"/>
      <c r="C151" s="71" t="n"/>
      <c r="D151" s="71" t="n"/>
      <c r="E151" s="71" t="n"/>
      <c r="F151" s="70">
        <f>IF($E151="","",IFERROR(VLOOKUP($E151,OpTbl,2,0),""))</f>
        <v/>
      </c>
      <c r="G151" s="71" t="n"/>
      <c r="H151" s="73">
        <f>IF($U151="","",IFERROR(VLOOKUP($U151,AcctTbl,2,0),"کد ناشناخته"))</f>
        <v/>
      </c>
      <c r="I151" s="70">
        <f>IF($U151="","",IFERROR(VLOOKUP($U151,AcctTbl,3,0),""))</f>
        <v/>
      </c>
      <c r="J151" s="72" t="n"/>
      <c r="K151" s="71" t="n"/>
      <c r="L151" s="74" t="n"/>
      <c r="M151" s="74" t="n"/>
      <c r="N151" s="148">
        <f>IF(OR($E151="",$L151=""),"",IFERROR(($L151-IF($M151="",0,$M151)*IFERROR(VLOOKUP($K151,BasketTbl,4,0),IFERROR(INDEX(BasketTbl,MATCH($K151,BasketCodeCol,0),4),VLOOKUP("P01",ParamTbl,2,0))))*(1-IF(VLOOKUP($E151,OpTbl,3,0)="خرید",VLOOKUP("P02",ParamTbl,2,0),0)/100),""))</f>
        <v/>
      </c>
      <c r="O151" s="74" t="n"/>
      <c r="P151" s="76">
        <f>IF(OR($E151="",$L151=""),"",IFERROR(IF(VLOOKUP($E151,OpTbl,6,0)="وزن",ROUND($N151*$O151,-3),IF(VLOOKUP($E151,OpTbl,6,0)="مبلغ",ROUND($L151*$O151,-3),0)),""))</f>
        <v/>
      </c>
      <c r="Q151" s="74" t="n"/>
      <c r="R151" s="71" t="n"/>
      <c r="S151" s="77">
        <f>IF($E151="","",IF($AI151="⚠","⚠ ناتراز",IF(AND(IFERROR(VLOOKUP($E151,OpTbl,4,0),"")="بله",$L151=""),"⚠ وزن",IF(AND(IFERROR(VLOOKUP($E151,OpTbl,5,0),"")="بله",$U151=""),"⚠ حساب",IF(AND(IFERROR(VLOOKUP($E151,OpTbl,6,0),"")="مبلغ",$Q151=""),"⚠ مبلغ","✓")))))</f>
        <v/>
      </c>
      <c r="T151" s="72" t="n"/>
      <c r="U151" s="70">
        <f>IF($E151="","",IFERROR(IF(VLOOKUP($E151,OpTbl,14,0)&lt;&gt;"",VLOOKUP($E151,OpTbl,14,0),$G151),""))</f>
        <v/>
      </c>
      <c r="V151" s="76">
        <f>IF(OR($AJ151="",$AJ151=0,$AL151&lt;&gt;"بدهکار"),"",$AJ151)</f>
        <v/>
      </c>
      <c r="W151" s="76">
        <f>IF(OR($AJ151="",$AJ151=0,$AL151&lt;&gt;"بستانکار"),"",$AJ151)</f>
        <v/>
      </c>
      <c r="X151" s="70">
        <f>IF($E151="","",IFERROR(VLOOKUP($E151,OpTbl,8,0),""))</f>
        <v/>
      </c>
      <c r="Y151" s="76">
        <f>IF(OR($X151="",$AJ151="",$AJ151=0,$AM151&lt;&gt;"بدهکار"),"",$AJ151)</f>
        <v/>
      </c>
      <c r="Z151" s="76">
        <f>IF(OR($X151="",$AJ151="",$AJ151=0,$AM151&lt;&gt;"بستانکار"),"",$AJ151)</f>
        <v/>
      </c>
      <c r="AA151" s="70">
        <f>IF(OR($E151="",$AN151="—",$AN151=""),"",IFERROR(VLOOKUP($E151,OpTbl,12,0),""))</f>
        <v/>
      </c>
      <c r="AB151" s="76">
        <f>IF(OR($AA151="",$Q151="",$Q151=0,$AN151&lt;&gt;"بدهکار"),"",$Q151)</f>
        <v/>
      </c>
      <c r="AC151" s="76">
        <f>IF(OR($AA151="",$Q151="",$Q151=0,$AN151&lt;&gt;"بستانکار"),"",$Q151)</f>
        <v/>
      </c>
      <c r="AD151" s="70">
        <f>IF($AA151="","",IFERROR(VLOOKUP($E151,OpTbl,13,0),""))</f>
        <v/>
      </c>
      <c r="AE151" s="76">
        <f>IF(OR($AD151="",$Q151="",$Q151=0,$AN151&lt;&gt;"بستانکار"),"",$Q151)</f>
        <v/>
      </c>
      <c r="AF151" s="76">
        <f>IF(OR($AD151="",$Q151="",$Q151=0,$AN151&lt;&gt;"بدهکار"),"",$Q151)</f>
        <v/>
      </c>
      <c r="AG151" s="76">
        <f>SUM($V151,$Y151,$AB151,$AE151)</f>
        <v/>
      </c>
      <c r="AH151" s="76">
        <f>SUM($W151,$Z151,$AC151,$AF151)</f>
        <v/>
      </c>
      <c r="AI151" s="70">
        <f>IF($E151="","",IF(ROUND($AG151-$AH151,0)=0,"✓","⚠"))</f>
        <v/>
      </c>
      <c r="AJ151" s="76">
        <f>IF(OR($E151="",$U151=""),"",IFERROR(IF(VLOOKUP($E151,OpTbl,6,0)="وزن",IF($P151="",0,$P151),IF(VLOOKUP($E151,OpTbl,6,0)="مبلغ",IF(AND($Q151&lt;&gt;"",$Q151&lt;&gt;0),$Q151,$P151),0))+IF(VLOOKUP($E151,OpTbl,10,0)="افزودن",IF($Q151="",0,$Q151),0),0))</f>
        <v/>
      </c>
      <c r="AK151" s="70">
        <f>IF($E151="","",IFERROR(VLOOKUP($E151,OpTbl,10,0),""))</f>
        <v/>
      </c>
      <c r="AL151" s="70">
        <f>IF(OR($E151="",$U151=""),"",IFERROR(IF(VLOOKUP($E151,OpTbl,7,0)="خودکار",$R151,VLOOKUP($E151,OpTbl,7,0)),""))</f>
        <v/>
      </c>
      <c r="AM151" s="70">
        <f>IF(OR($E151="",$X151=""),"",IFERROR(IF(VLOOKUP($E151,OpTbl,9,0)="خودکار",IF($AL151="بدهکار","بستانکار",IF($AL151="بستانکار","بدهکار","")),VLOOKUP($E151,OpTbl,9,0)),""))</f>
        <v/>
      </c>
      <c r="AN151" s="70">
        <f>IF($E151="","",IFERROR(VLOOKUP($E151,OpTbl,11,0),""))</f>
        <v/>
      </c>
      <c r="AO151" s="70">
        <f>IF($B151="","",MID($B151,6,2))</f>
        <v/>
      </c>
      <c r="AP151" s="76">
        <f>IF($B151="",0,1)</f>
        <v/>
      </c>
    </row>
    <row r="152" ht="21.75" customHeight="1">
      <c r="A152" s="70">
        <f>IF($B152="","",COUNTA($B$10:$B152))</f>
        <v/>
      </c>
      <c r="B152" s="71" t="n"/>
      <c r="C152" s="71" t="n"/>
      <c r="D152" s="71" t="n"/>
      <c r="E152" s="71" t="n"/>
      <c r="F152" s="70">
        <f>IF($E152="","",IFERROR(VLOOKUP($E152,OpTbl,2,0),""))</f>
        <v/>
      </c>
      <c r="G152" s="71" t="n"/>
      <c r="H152" s="73">
        <f>IF($U152="","",IFERROR(VLOOKUP($U152,AcctTbl,2,0),"کد ناشناخته"))</f>
        <v/>
      </c>
      <c r="I152" s="70">
        <f>IF($U152="","",IFERROR(VLOOKUP($U152,AcctTbl,3,0),""))</f>
        <v/>
      </c>
      <c r="J152" s="72" t="n"/>
      <c r="K152" s="71" t="n"/>
      <c r="L152" s="74" t="n"/>
      <c r="M152" s="74" t="n"/>
      <c r="N152" s="148">
        <f>IF(OR($E152="",$L152=""),"",IFERROR(($L152-IF($M152="",0,$M152)*IFERROR(VLOOKUP($K152,BasketTbl,4,0),IFERROR(INDEX(BasketTbl,MATCH($K152,BasketCodeCol,0),4),VLOOKUP("P01",ParamTbl,2,0))))*(1-IF(VLOOKUP($E152,OpTbl,3,0)="خرید",VLOOKUP("P02",ParamTbl,2,0),0)/100),""))</f>
        <v/>
      </c>
      <c r="O152" s="74" t="n"/>
      <c r="P152" s="76">
        <f>IF(OR($E152="",$L152=""),"",IFERROR(IF(VLOOKUP($E152,OpTbl,6,0)="وزن",ROUND($N152*$O152,-3),IF(VLOOKUP($E152,OpTbl,6,0)="مبلغ",ROUND($L152*$O152,-3),0)),""))</f>
        <v/>
      </c>
      <c r="Q152" s="74" t="n"/>
      <c r="R152" s="71" t="n"/>
      <c r="S152" s="77">
        <f>IF($E152="","",IF($AI152="⚠","⚠ ناتراز",IF(AND(IFERROR(VLOOKUP($E152,OpTbl,4,0),"")="بله",$L152=""),"⚠ وزن",IF(AND(IFERROR(VLOOKUP($E152,OpTbl,5,0),"")="بله",$U152=""),"⚠ حساب",IF(AND(IFERROR(VLOOKUP($E152,OpTbl,6,0),"")="مبلغ",$Q152=""),"⚠ مبلغ","✓")))))</f>
        <v/>
      </c>
      <c r="T152" s="72" t="n"/>
      <c r="U152" s="70">
        <f>IF($E152="","",IFERROR(IF(VLOOKUP($E152,OpTbl,14,0)&lt;&gt;"",VLOOKUP($E152,OpTbl,14,0),$G152),""))</f>
        <v/>
      </c>
      <c r="V152" s="76">
        <f>IF(OR($AJ152="",$AJ152=0,$AL152&lt;&gt;"بدهکار"),"",$AJ152)</f>
        <v/>
      </c>
      <c r="W152" s="76">
        <f>IF(OR($AJ152="",$AJ152=0,$AL152&lt;&gt;"بستانکار"),"",$AJ152)</f>
        <v/>
      </c>
      <c r="X152" s="70">
        <f>IF($E152="","",IFERROR(VLOOKUP($E152,OpTbl,8,0),""))</f>
        <v/>
      </c>
      <c r="Y152" s="76">
        <f>IF(OR($X152="",$AJ152="",$AJ152=0,$AM152&lt;&gt;"بدهکار"),"",$AJ152)</f>
        <v/>
      </c>
      <c r="Z152" s="76">
        <f>IF(OR($X152="",$AJ152="",$AJ152=0,$AM152&lt;&gt;"بستانکار"),"",$AJ152)</f>
        <v/>
      </c>
      <c r="AA152" s="70">
        <f>IF(OR($E152="",$AN152="—",$AN152=""),"",IFERROR(VLOOKUP($E152,OpTbl,12,0),""))</f>
        <v/>
      </c>
      <c r="AB152" s="76">
        <f>IF(OR($AA152="",$Q152="",$Q152=0,$AN152&lt;&gt;"بدهکار"),"",$Q152)</f>
        <v/>
      </c>
      <c r="AC152" s="76">
        <f>IF(OR($AA152="",$Q152="",$Q152=0,$AN152&lt;&gt;"بستانکار"),"",$Q152)</f>
        <v/>
      </c>
      <c r="AD152" s="70">
        <f>IF($AA152="","",IFERROR(VLOOKUP($E152,OpTbl,13,0),""))</f>
        <v/>
      </c>
      <c r="AE152" s="76">
        <f>IF(OR($AD152="",$Q152="",$Q152=0,$AN152&lt;&gt;"بستانکار"),"",$Q152)</f>
        <v/>
      </c>
      <c r="AF152" s="76">
        <f>IF(OR($AD152="",$Q152="",$Q152=0,$AN152&lt;&gt;"بدهکار"),"",$Q152)</f>
        <v/>
      </c>
      <c r="AG152" s="76">
        <f>SUM($V152,$Y152,$AB152,$AE152)</f>
        <v/>
      </c>
      <c r="AH152" s="76">
        <f>SUM($W152,$Z152,$AC152,$AF152)</f>
        <v/>
      </c>
      <c r="AI152" s="70">
        <f>IF($E152="","",IF(ROUND($AG152-$AH152,0)=0,"✓","⚠"))</f>
        <v/>
      </c>
      <c r="AJ152" s="76">
        <f>IF(OR($E152="",$U152=""),"",IFERROR(IF(VLOOKUP($E152,OpTbl,6,0)="وزن",IF($P152="",0,$P152),IF(VLOOKUP($E152,OpTbl,6,0)="مبلغ",IF(AND($Q152&lt;&gt;"",$Q152&lt;&gt;0),$Q152,$P152),0))+IF(VLOOKUP($E152,OpTbl,10,0)="افزودن",IF($Q152="",0,$Q152),0),0))</f>
        <v/>
      </c>
      <c r="AK152" s="70">
        <f>IF($E152="","",IFERROR(VLOOKUP($E152,OpTbl,10,0),""))</f>
        <v/>
      </c>
      <c r="AL152" s="70">
        <f>IF(OR($E152="",$U152=""),"",IFERROR(IF(VLOOKUP($E152,OpTbl,7,0)="خودکار",$R152,VLOOKUP($E152,OpTbl,7,0)),""))</f>
        <v/>
      </c>
      <c r="AM152" s="70">
        <f>IF(OR($E152="",$X152=""),"",IFERROR(IF(VLOOKUP($E152,OpTbl,9,0)="خودکار",IF($AL152="بدهکار","بستانکار",IF($AL152="بستانکار","بدهکار","")),VLOOKUP($E152,OpTbl,9,0)),""))</f>
        <v/>
      </c>
      <c r="AN152" s="70">
        <f>IF($E152="","",IFERROR(VLOOKUP($E152,OpTbl,11,0),""))</f>
        <v/>
      </c>
      <c r="AO152" s="70">
        <f>IF($B152="","",MID($B152,6,2))</f>
        <v/>
      </c>
      <c r="AP152" s="76">
        <f>IF($B152="",0,1)</f>
        <v/>
      </c>
    </row>
    <row r="153" ht="21.75" customHeight="1">
      <c r="A153" s="70">
        <f>IF($B153="","",COUNTA($B$10:$B153))</f>
        <v/>
      </c>
      <c r="B153" s="71" t="n"/>
      <c r="C153" s="71" t="n"/>
      <c r="D153" s="71" t="n"/>
      <c r="E153" s="71" t="n"/>
      <c r="F153" s="70">
        <f>IF($E153="","",IFERROR(VLOOKUP($E153,OpTbl,2,0),""))</f>
        <v/>
      </c>
      <c r="G153" s="71" t="n"/>
      <c r="H153" s="73">
        <f>IF($U153="","",IFERROR(VLOOKUP($U153,AcctTbl,2,0),"کد ناشناخته"))</f>
        <v/>
      </c>
      <c r="I153" s="70">
        <f>IF($U153="","",IFERROR(VLOOKUP($U153,AcctTbl,3,0),""))</f>
        <v/>
      </c>
      <c r="J153" s="72" t="n"/>
      <c r="K153" s="71" t="n"/>
      <c r="L153" s="74" t="n"/>
      <c r="M153" s="74" t="n"/>
      <c r="N153" s="148">
        <f>IF(OR($E153="",$L153=""),"",IFERROR(($L153-IF($M153="",0,$M153)*IFERROR(VLOOKUP($K153,BasketTbl,4,0),IFERROR(INDEX(BasketTbl,MATCH($K153,BasketCodeCol,0),4),VLOOKUP("P01",ParamTbl,2,0))))*(1-IF(VLOOKUP($E153,OpTbl,3,0)="خرید",VLOOKUP("P02",ParamTbl,2,0),0)/100),""))</f>
        <v/>
      </c>
      <c r="O153" s="74" t="n"/>
      <c r="P153" s="76">
        <f>IF(OR($E153="",$L153=""),"",IFERROR(IF(VLOOKUP($E153,OpTbl,6,0)="وزن",ROUND($N153*$O153,-3),IF(VLOOKUP($E153,OpTbl,6,0)="مبلغ",ROUND($L153*$O153,-3),0)),""))</f>
        <v/>
      </c>
      <c r="Q153" s="74" t="n"/>
      <c r="R153" s="71" t="n"/>
      <c r="S153" s="77">
        <f>IF($E153="","",IF($AI153="⚠","⚠ ناتراز",IF(AND(IFERROR(VLOOKUP($E153,OpTbl,4,0),"")="بله",$L153=""),"⚠ وزن",IF(AND(IFERROR(VLOOKUP($E153,OpTbl,5,0),"")="بله",$U153=""),"⚠ حساب",IF(AND(IFERROR(VLOOKUP($E153,OpTbl,6,0),"")="مبلغ",$Q153=""),"⚠ مبلغ","✓")))))</f>
        <v/>
      </c>
      <c r="T153" s="72" t="n"/>
      <c r="U153" s="70">
        <f>IF($E153="","",IFERROR(IF(VLOOKUP($E153,OpTbl,14,0)&lt;&gt;"",VLOOKUP($E153,OpTbl,14,0),$G153),""))</f>
        <v/>
      </c>
      <c r="V153" s="76">
        <f>IF(OR($AJ153="",$AJ153=0,$AL153&lt;&gt;"بدهکار"),"",$AJ153)</f>
        <v/>
      </c>
      <c r="W153" s="76">
        <f>IF(OR($AJ153="",$AJ153=0,$AL153&lt;&gt;"بستانکار"),"",$AJ153)</f>
        <v/>
      </c>
      <c r="X153" s="70">
        <f>IF($E153="","",IFERROR(VLOOKUP($E153,OpTbl,8,0),""))</f>
        <v/>
      </c>
      <c r="Y153" s="76">
        <f>IF(OR($X153="",$AJ153="",$AJ153=0,$AM153&lt;&gt;"بدهکار"),"",$AJ153)</f>
        <v/>
      </c>
      <c r="Z153" s="76">
        <f>IF(OR($X153="",$AJ153="",$AJ153=0,$AM153&lt;&gt;"بستانکار"),"",$AJ153)</f>
        <v/>
      </c>
      <c r="AA153" s="70">
        <f>IF(OR($E153="",$AN153="—",$AN153=""),"",IFERROR(VLOOKUP($E153,OpTbl,12,0),""))</f>
        <v/>
      </c>
      <c r="AB153" s="76">
        <f>IF(OR($AA153="",$Q153="",$Q153=0,$AN153&lt;&gt;"بدهکار"),"",$Q153)</f>
        <v/>
      </c>
      <c r="AC153" s="76">
        <f>IF(OR($AA153="",$Q153="",$Q153=0,$AN153&lt;&gt;"بستانکار"),"",$Q153)</f>
        <v/>
      </c>
      <c r="AD153" s="70">
        <f>IF($AA153="","",IFERROR(VLOOKUP($E153,OpTbl,13,0),""))</f>
        <v/>
      </c>
      <c r="AE153" s="76">
        <f>IF(OR($AD153="",$Q153="",$Q153=0,$AN153&lt;&gt;"بستانکار"),"",$Q153)</f>
        <v/>
      </c>
      <c r="AF153" s="76">
        <f>IF(OR($AD153="",$Q153="",$Q153=0,$AN153&lt;&gt;"بدهکار"),"",$Q153)</f>
        <v/>
      </c>
      <c r="AG153" s="76">
        <f>SUM($V153,$Y153,$AB153,$AE153)</f>
        <v/>
      </c>
      <c r="AH153" s="76">
        <f>SUM($W153,$Z153,$AC153,$AF153)</f>
        <v/>
      </c>
      <c r="AI153" s="70">
        <f>IF($E153="","",IF(ROUND($AG153-$AH153,0)=0,"✓","⚠"))</f>
        <v/>
      </c>
      <c r="AJ153" s="76">
        <f>IF(OR($E153="",$U153=""),"",IFERROR(IF(VLOOKUP($E153,OpTbl,6,0)="وزن",IF($P153="",0,$P153),IF(VLOOKUP($E153,OpTbl,6,0)="مبلغ",IF(AND($Q153&lt;&gt;"",$Q153&lt;&gt;0),$Q153,$P153),0))+IF(VLOOKUP($E153,OpTbl,10,0)="افزودن",IF($Q153="",0,$Q153),0),0))</f>
        <v/>
      </c>
      <c r="AK153" s="70">
        <f>IF($E153="","",IFERROR(VLOOKUP($E153,OpTbl,10,0),""))</f>
        <v/>
      </c>
      <c r="AL153" s="70">
        <f>IF(OR($E153="",$U153=""),"",IFERROR(IF(VLOOKUP($E153,OpTbl,7,0)="خودکار",$R153,VLOOKUP($E153,OpTbl,7,0)),""))</f>
        <v/>
      </c>
      <c r="AM153" s="70">
        <f>IF(OR($E153="",$X153=""),"",IFERROR(IF(VLOOKUP($E153,OpTbl,9,0)="خودکار",IF($AL153="بدهکار","بستانکار",IF($AL153="بستانکار","بدهکار","")),VLOOKUP($E153,OpTbl,9,0)),""))</f>
        <v/>
      </c>
      <c r="AN153" s="70">
        <f>IF($E153="","",IFERROR(VLOOKUP($E153,OpTbl,11,0),""))</f>
        <v/>
      </c>
      <c r="AO153" s="70">
        <f>IF($B153="","",MID($B153,6,2))</f>
        <v/>
      </c>
      <c r="AP153" s="76">
        <f>IF($B153="",0,1)</f>
        <v/>
      </c>
    </row>
    <row r="154" ht="21.75" customHeight="1">
      <c r="A154" s="70">
        <f>IF($B154="","",COUNTA($B$10:$B154))</f>
        <v/>
      </c>
      <c r="B154" s="71" t="n"/>
      <c r="C154" s="71" t="n"/>
      <c r="D154" s="71" t="n"/>
      <c r="E154" s="71" t="n"/>
      <c r="F154" s="70">
        <f>IF($E154="","",IFERROR(VLOOKUP($E154,OpTbl,2,0),""))</f>
        <v/>
      </c>
      <c r="G154" s="71" t="n"/>
      <c r="H154" s="73">
        <f>IF($U154="","",IFERROR(VLOOKUP($U154,AcctTbl,2,0),"کد ناشناخته"))</f>
        <v/>
      </c>
      <c r="I154" s="70">
        <f>IF($U154="","",IFERROR(VLOOKUP($U154,AcctTbl,3,0),""))</f>
        <v/>
      </c>
      <c r="J154" s="72" t="n"/>
      <c r="K154" s="71" t="n"/>
      <c r="L154" s="74" t="n"/>
      <c r="M154" s="74" t="n"/>
      <c r="N154" s="148">
        <f>IF(OR($E154="",$L154=""),"",IFERROR(($L154-IF($M154="",0,$M154)*IFERROR(VLOOKUP($K154,BasketTbl,4,0),IFERROR(INDEX(BasketTbl,MATCH($K154,BasketCodeCol,0),4),VLOOKUP("P01",ParamTbl,2,0))))*(1-IF(VLOOKUP($E154,OpTbl,3,0)="خرید",VLOOKUP("P02",ParamTbl,2,0),0)/100),""))</f>
        <v/>
      </c>
      <c r="O154" s="74" t="n"/>
      <c r="P154" s="76">
        <f>IF(OR($E154="",$L154=""),"",IFERROR(IF(VLOOKUP($E154,OpTbl,6,0)="وزن",ROUND($N154*$O154,-3),IF(VLOOKUP($E154,OpTbl,6,0)="مبلغ",ROUND($L154*$O154,-3),0)),""))</f>
        <v/>
      </c>
      <c r="Q154" s="74" t="n"/>
      <c r="R154" s="71" t="n"/>
      <c r="S154" s="77">
        <f>IF($E154="","",IF($AI154="⚠","⚠ ناتراز",IF(AND(IFERROR(VLOOKUP($E154,OpTbl,4,0),"")="بله",$L154=""),"⚠ وزن",IF(AND(IFERROR(VLOOKUP($E154,OpTbl,5,0),"")="بله",$U154=""),"⚠ حساب",IF(AND(IFERROR(VLOOKUP($E154,OpTbl,6,0),"")="مبلغ",$Q154=""),"⚠ مبلغ","✓")))))</f>
        <v/>
      </c>
      <c r="T154" s="72" t="n"/>
      <c r="U154" s="70">
        <f>IF($E154="","",IFERROR(IF(VLOOKUP($E154,OpTbl,14,0)&lt;&gt;"",VLOOKUP($E154,OpTbl,14,0),$G154),""))</f>
        <v/>
      </c>
      <c r="V154" s="76">
        <f>IF(OR($AJ154="",$AJ154=0,$AL154&lt;&gt;"بدهکار"),"",$AJ154)</f>
        <v/>
      </c>
      <c r="W154" s="76">
        <f>IF(OR($AJ154="",$AJ154=0,$AL154&lt;&gt;"بستانکار"),"",$AJ154)</f>
        <v/>
      </c>
      <c r="X154" s="70">
        <f>IF($E154="","",IFERROR(VLOOKUP($E154,OpTbl,8,0),""))</f>
        <v/>
      </c>
      <c r="Y154" s="76">
        <f>IF(OR($X154="",$AJ154="",$AJ154=0,$AM154&lt;&gt;"بدهکار"),"",$AJ154)</f>
        <v/>
      </c>
      <c r="Z154" s="76">
        <f>IF(OR($X154="",$AJ154="",$AJ154=0,$AM154&lt;&gt;"بستانکار"),"",$AJ154)</f>
        <v/>
      </c>
      <c r="AA154" s="70">
        <f>IF(OR($E154="",$AN154="—",$AN154=""),"",IFERROR(VLOOKUP($E154,OpTbl,12,0),""))</f>
        <v/>
      </c>
      <c r="AB154" s="76">
        <f>IF(OR($AA154="",$Q154="",$Q154=0,$AN154&lt;&gt;"بدهکار"),"",$Q154)</f>
        <v/>
      </c>
      <c r="AC154" s="76">
        <f>IF(OR($AA154="",$Q154="",$Q154=0,$AN154&lt;&gt;"بستانکار"),"",$Q154)</f>
        <v/>
      </c>
      <c r="AD154" s="70">
        <f>IF($AA154="","",IFERROR(VLOOKUP($E154,OpTbl,13,0),""))</f>
        <v/>
      </c>
      <c r="AE154" s="76">
        <f>IF(OR($AD154="",$Q154="",$Q154=0,$AN154&lt;&gt;"بستانکار"),"",$Q154)</f>
        <v/>
      </c>
      <c r="AF154" s="76">
        <f>IF(OR($AD154="",$Q154="",$Q154=0,$AN154&lt;&gt;"بدهکار"),"",$Q154)</f>
        <v/>
      </c>
      <c r="AG154" s="76">
        <f>SUM($V154,$Y154,$AB154,$AE154)</f>
        <v/>
      </c>
      <c r="AH154" s="76">
        <f>SUM($W154,$Z154,$AC154,$AF154)</f>
        <v/>
      </c>
      <c r="AI154" s="70">
        <f>IF($E154="","",IF(ROUND($AG154-$AH154,0)=0,"✓","⚠"))</f>
        <v/>
      </c>
      <c r="AJ154" s="76">
        <f>IF(OR($E154="",$U154=""),"",IFERROR(IF(VLOOKUP($E154,OpTbl,6,0)="وزن",IF($P154="",0,$P154),IF(VLOOKUP($E154,OpTbl,6,0)="مبلغ",IF(AND($Q154&lt;&gt;"",$Q154&lt;&gt;0),$Q154,$P154),0))+IF(VLOOKUP($E154,OpTbl,10,0)="افزودن",IF($Q154="",0,$Q154),0),0))</f>
        <v/>
      </c>
      <c r="AK154" s="70">
        <f>IF($E154="","",IFERROR(VLOOKUP($E154,OpTbl,10,0),""))</f>
        <v/>
      </c>
      <c r="AL154" s="70">
        <f>IF(OR($E154="",$U154=""),"",IFERROR(IF(VLOOKUP($E154,OpTbl,7,0)="خودکار",$R154,VLOOKUP($E154,OpTbl,7,0)),""))</f>
        <v/>
      </c>
      <c r="AM154" s="70">
        <f>IF(OR($E154="",$X154=""),"",IFERROR(IF(VLOOKUP($E154,OpTbl,9,0)="خودکار",IF($AL154="بدهکار","بستانکار",IF($AL154="بستانکار","بدهکار","")),VLOOKUP($E154,OpTbl,9,0)),""))</f>
        <v/>
      </c>
      <c r="AN154" s="70">
        <f>IF($E154="","",IFERROR(VLOOKUP($E154,OpTbl,11,0),""))</f>
        <v/>
      </c>
      <c r="AO154" s="70">
        <f>IF($B154="","",MID($B154,6,2))</f>
        <v/>
      </c>
      <c r="AP154" s="76">
        <f>IF($B154="",0,1)</f>
        <v/>
      </c>
    </row>
    <row r="155" ht="21.75" customHeight="1">
      <c r="A155" s="70">
        <f>IF($B155="","",COUNTA($B$10:$B155))</f>
        <v/>
      </c>
      <c r="B155" s="71" t="n"/>
      <c r="C155" s="71" t="n"/>
      <c r="D155" s="71" t="n"/>
      <c r="E155" s="71" t="n"/>
      <c r="F155" s="70">
        <f>IF($E155="","",IFERROR(VLOOKUP($E155,OpTbl,2,0),""))</f>
        <v/>
      </c>
      <c r="G155" s="71" t="n"/>
      <c r="H155" s="73">
        <f>IF($U155="","",IFERROR(VLOOKUP($U155,AcctTbl,2,0),"کد ناشناخته"))</f>
        <v/>
      </c>
      <c r="I155" s="70">
        <f>IF($U155="","",IFERROR(VLOOKUP($U155,AcctTbl,3,0),""))</f>
        <v/>
      </c>
      <c r="J155" s="72" t="n"/>
      <c r="K155" s="71" t="n"/>
      <c r="L155" s="74" t="n"/>
      <c r="M155" s="74" t="n"/>
      <c r="N155" s="148">
        <f>IF(OR($E155="",$L155=""),"",IFERROR(($L155-IF($M155="",0,$M155)*IFERROR(VLOOKUP($K155,BasketTbl,4,0),IFERROR(INDEX(BasketTbl,MATCH($K155,BasketCodeCol,0),4),VLOOKUP("P01",ParamTbl,2,0))))*(1-IF(VLOOKUP($E155,OpTbl,3,0)="خرید",VLOOKUP("P02",ParamTbl,2,0),0)/100),""))</f>
        <v/>
      </c>
      <c r="O155" s="74" t="n"/>
      <c r="P155" s="76">
        <f>IF(OR($E155="",$L155=""),"",IFERROR(IF(VLOOKUP($E155,OpTbl,6,0)="وزن",ROUND($N155*$O155,-3),IF(VLOOKUP($E155,OpTbl,6,0)="مبلغ",ROUND($L155*$O155,-3),0)),""))</f>
        <v/>
      </c>
      <c r="Q155" s="74" t="n"/>
      <c r="R155" s="71" t="n"/>
      <c r="S155" s="77">
        <f>IF($E155="","",IF($AI155="⚠","⚠ ناتراز",IF(AND(IFERROR(VLOOKUP($E155,OpTbl,4,0),"")="بله",$L155=""),"⚠ وزن",IF(AND(IFERROR(VLOOKUP($E155,OpTbl,5,0),"")="بله",$U155=""),"⚠ حساب",IF(AND(IFERROR(VLOOKUP($E155,OpTbl,6,0),"")="مبلغ",$Q155=""),"⚠ مبلغ","✓")))))</f>
        <v/>
      </c>
      <c r="T155" s="72" t="n"/>
      <c r="U155" s="70">
        <f>IF($E155="","",IFERROR(IF(VLOOKUP($E155,OpTbl,14,0)&lt;&gt;"",VLOOKUP($E155,OpTbl,14,0),$G155),""))</f>
        <v/>
      </c>
      <c r="V155" s="76">
        <f>IF(OR($AJ155="",$AJ155=0,$AL155&lt;&gt;"بدهکار"),"",$AJ155)</f>
        <v/>
      </c>
      <c r="W155" s="76">
        <f>IF(OR($AJ155="",$AJ155=0,$AL155&lt;&gt;"بستانکار"),"",$AJ155)</f>
        <v/>
      </c>
      <c r="X155" s="70">
        <f>IF($E155="","",IFERROR(VLOOKUP($E155,OpTbl,8,0),""))</f>
        <v/>
      </c>
      <c r="Y155" s="76">
        <f>IF(OR($X155="",$AJ155="",$AJ155=0,$AM155&lt;&gt;"بدهکار"),"",$AJ155)</f>
        <v/>
      </c>
      <c r="Z155" s="76">
        <f>IF(OR($X155="",$AJ155="",$AJ155=0,$AM155&lt;&gt;"بستانکار"),"",$AJ155)</f>
        <v/>
      </c>
      <c r="AA155" s="70">
        <f>IF(OR($E155="",$AN155="—",$AN155=""),"",IFERROR(VLOOKUP($E155,OpTbl,12,0),""))</f>
        <v/>
      </c>
      <c r="AB155" s="76">
        <f>IF(OR($AA155="",$Q155="",$Q155=0,$AN155&lt;&gt;"بدهکار"),"",$Q155)</f>
        <v/>
      </c>
      <c r="AC155" s="76">
        <f>IF(OR($AA155="",$Q155="",$Q155=0,$AN155&lt;&gt;"بستانکار"),"",$Q155)</f>
        <v/>
      </c>
      <c r="AD155" s="70">
        <f>IF($AA155="","",IFERROR(VLOOKUP($E155,OpTbl,13,0),""))</f>
        <v/>
      </c>
      <c r="AE155" s="76">
        <f>IF(OR($AD155="",$Q155="",$Q155=0,$AN155&lt;&gt;"بستانکار"),"",$Q155)</f>
        <v/>
      </c>
      <c r="AF155" s="76">
        <f>IF(OR($AD155="",$Q155="",$Q155=0,$AN155&lt;&gt;"بدهکار"),"",$Q155)</f>
        <v/>
      </c>
      <c r="AG155" s="76">
        <f>SUM($V155,$Y155,$AB155,$AE155)</f>
        <v/>
      </c>
      <c r="AH155" s="76">
        <f>SUM($W155,$Z155,$AC155,$AF155)</f>
        <v/>
      </c>
      <c r="AI155" s="70">
        <f>IF($E155="","",IF(ROUND($AG155-$AH155,0)=0,"✓","⚠"))</f>
        <v/>
      </c>
      <c r="AJ155" s="76">
        <f>IF(OR($E155="",$U155=""),"",IFERROR(IF(VLOOKUP($E155,OpTbl,6,0)="وزن",IF($P155="",0,$P155),IF(VLOOKUP($E155,OpTbl,6,0)="مبلغ",IF(AND($Q155&lt;&gt;"",$Q155&lt;&gt;0),$Q155,$P155),0))+IF(VLOOKUP($E155,OpTbl,10,0)="افزودن",IF($Q155="",0,$Q155),0),0))</f>
        <v/>
      </c>
      <c r="AK155" s="70">
        <f>IF($E155="","",IFERROR(VLOOKUP($E155,OpTbl,10,0),""))</f>
        <v/>
      </c>
      <c r="AL155" s="70">
        <f>IF(OR($E155="",$U155=""),"",IFERROR(IF(VLOOKUP($E155,OpTbl,7,0)="خودکار",$R155,VLOOKUP($E155,OpTbl,7,0)),""))</f>
        <v/>
      </c>
      <c r="AM155" s="70">
        <f>IF(OR($E155="",$X155=""),"",IFERROR(IF(VLOOKUP($E155,OpTbl,9,0)="خودکار",IF($AL155="بدهکار","بستانکار",IF($AL155="بستانکار","بدهکار","")),VLOOKUP($E155,OpTbl,9,0)),""))</f>
        <v/>
      </c>
      <c r="AN155" s="70">
        <f>IF($E155="","",IFERROR(VLOOKUP($E155,OpTbl,11,0),""))</f>
        <v/>
      </c>
      <c r="AO155" s="70">
        <f>IF($B155="","",MID($B155,6,2))</f>
        <v/>
      </c>
      <c r="AP155" s="76">
        <f>IF($B155="",0,1)</f>
        <v/>
      </c>
    </row>
    <row r="156" ht="21.75" customHeight="1">
      <c r="A156" s="70">
        <f>IF($B156="","",COUNTA($B$10:$B156))</f>
        <v/>
      </c>
      <c r="B156" s="71" t="n"/>
      <c r="C156" s="71" t="n"/>
      <c r="D156" s="71" t="n"/>
      <c r="E156" s="71" t="n"/>
      <c r="F156" s="70">
        <f>IF($E156="","",IFERROR(VLOOKUP($E156,OpTbl,2,0),""))</f>
        <v/>
      </c>
      <c r="G156" s="71" t="n"/>
      <c r="H156" s="73">
        <f>IF($U156="","",IFERROR(VLOOKUP($U156,AcctTbl,2,0),"کد ناشناخته"))</f>
        <v/>
      </c>
      <c r="I156" s="70">
        <f>IF($U156="","",IFERROR(VLOOKUP($U156,AcctTbl,3,0),""))</f>
        <v/>
      </c>
      <c r="J156" s="72" t="n"/>
      <c r="K156" s="71" t="n"/>
      <c r="L156" s="74" t="n"/>
      <c r="M156" s="74" t="n"/>
      <c r="N156" s="148">
        <f>IF(OR($E156="",$L156=""),"",IFERROR(($L156-IF($M156="",0,$M156)*IFERROR(VLOOKUP($K156,BasketTbl,4,0),IFERROR(INDEX(BasketTbl,MATCH($K156,BasketCodeCol,0),4),VLOOKUP("P01",ParamTbl,2,0))))*(1-IF(VLOOKUP($E156,OpTbl,3,0)="خرید",VLOOKUP("P02",ParamTbl,2,0),0)/100),""))</f>
        <v/>
      </c>
      <c r="O156" s="74" t="n"/>
      <c r="P156" s="76">
        <f>IF(OR($E156="",$L156=""),"",IFERROR(IF(VLOOKUP($E156,OpTbl,6,0)="وزن",ROUND($N156*$O156,-3),IF(VLOOKUP($E156,OpTbl,6,0)="مبلغ",ROUND($L156*$O156,-3),0)),""))</f>
        <v/>
      </c>
      <c r="Q156" s="74" t="n"/>
      <c r="R156" s="71" t="n"/>
      <c r="S156" s="77">
        <f>IF($E156="","",IF($AI156="⚠","⚠ ناتراز",IF(AND(IFERROR(VLOOKUP($E156,OpTbl,4,0),"")="بله",$L156=""),"⚠ وزن",IF(AND(IFERROR(VLOOKUP($E156,OpTbl,5,0),"")="بله",$U156=""),"⚠ حساب",IF(AND(IFERROR(VLOOKUP($E156,OpTbl,6,0),"")="مبلغ",$Q156=""),"⚠ مبلغ","✓")))))</f>
        <v/>
      </c>
      <c r="T156" s="72" t="n"/>
      <c r="U156" s="70">
        <f>IF($E156="","",IFERROR(IF(VLOOKUP($E156,OpTbl,14,0)&lt;&gt;"",VLOOKUP($E156,OpTbl,14,0),$G156),""))</f>
        <v/>
      </c>
      <c r="V156" s="76">
        <f>IF(OR($AJ156="",$AJ156=0,$AL156&lt;&gt;"بدهکار"),"",$AJ156)</f>
        <v/>
      </c>
      <c r="W156" s="76">
        <f>IF(OR($AJ156="",$AJ156=0,$AL156&lt;&gt;"بستانکار"),"",$AJ156)</f>
        <v/>
      </c>
      <c r="X156" s="70">
        <f>IF($E156="","",IFERROR(VLOOKUP($E156,OpTbl,8,0),""))</f>
        <v/>
      </c>
      <c r="Y156" s="76">
        <f>IF(OR($X156="",$AJ156="",$AJ156=0,$AM156&lt;&gt;"بدهکار"),"",$AJ156)</f>
        <v/>
      </c>
      <c r="Z156" s="76">
        <f>IF(OR($X156="",$AJ156="",$AJ156=0,$AM156&lt;&gt;"بستانکار"),"",$AJ156)</f>
        <v/>
      </c>
      <c r="AA156" s="70">
        <f>IF(OR($E156="",$AN156="—",$AN156=""),"",IFERROR(VLOOKUP($E156,OpTbl,12,0),""))</f>
        <v/>
      </c>
      <c r="AB156" s="76">
        <f>IF(OR($AA156="",$Q156="",$Q156=0,$AN156&lt;&gt;"بدهکار"),"",$Q156)</f>
        <v/>
      </c>
      <c r="AC156" s="76">
        <f>IF(OR($AA156="",$Q156="",$Q156=0,$AN156&lt;&gt;"بستانکار"),"",$Q156)</f>
        <v/>
      </c>
      <c r="AD156" s="70">
        <f>IF($AA156="","",IFERROR(VLOOKUP($E156,OpTbl,13,0),""))</f>
        <v/>
      </c>
      <c r="AE156" s="76">
        <f>IF(OR($AD156="",$Q156="",$Q156=0,$AN156&lt;&gt;"بستانکار"),"",$Q156)</f>
        <v/>
      </c>
      <c r="AF156" s="76">
        <f>IF(OR($AD156="",$Q156="",$Q156=0,$AN156&lt;&gt;"بدهکار"),"",$Q156)</f>
        <v/>
      </c>
      <c r="AG156" s="76">
        <f>SUM($V156,$Y156,$AB156,$AE156)</f>
        <v/>
      </c>
      <c r="AH156" s="76">
        <f>SUM($W156,$Z156,$AC156,$AF156)</f>
        <v/>
      </c>
      <c r="AI156" s="70">
        <f>IF($E156="","",IF(ROUND($AG156-$AH156,0)=0,"✓","⚠"))</f>
        <v/>
      </c>
      <c r="AJ156" s="76">
        <f>IF(OR($E156="",$U156=""),"",IFERROR(IF(VLOOKUP($E156,OpTbl,6,0)="وزن",IF($P156="",0,$P156),IF(VLOOKUP($E156,OpTbl,6,0)="مبلغ",IF(AND($Q156&lt;&gt;"",$Q156&lt;&gt;0),$Q156,$P156),0))+IF(VLOOKUP($E156,OpTbl,10,0)="افزودن",IF($Q156="",0,$Q156),0),0))</f>
        <v/>
      </c>
      <c r="AK156" s="70">
        <f>IF($E156="","",IFERROR(VLOOKUP($E156,OpTbl,10,0),""))</f>
        <v/>
      </c>
      <c r="AL156" s="70">
        <f>IF(OR($E156="",$U156=""),"",IFERROR(IF(VLOOKUP($E156,OpTbl,7,0)="خودکار",$R156,VLOOKUP($E156,OpTbl,7,0)),""))</f>
        <v/>
      </c>
      <c r="AM156" s="70">
        <f>IF(OR($E156="",$X156=""),"",IFERROR(IF(VLOOKUP($E156,OpTbl,9,0)="خودکار",IF($AL156="بدهکار","بستانکار",IF($AL156="بستانکار","بدهکار","")),VLOOKUP($E156,OpTbl,9,0)),""))</f>
        <v/>
      </c>
      <c r="AN156" s="70">
        <f>IF($E156="","",IFERROR(VLOOKUP($E156,OpTbl,11,0),""))</f>
        <v/>
      </c>
      <c r="AO156" s="70">
        <f>IF($B156="","",MID($B156,6,2))</f>
        <v/>
      </c>
      <c r="AP156" s="76">
        <f>IF($B156="",0,1)</f>
        <v/>
      </c>
    </row>
    <row r="157" ht="21.75" customHeight="1">
      <c r="A157" s="70">
        <f>IF($B157="","",COUNTA($B$10:$B157))</f>
        <v/>
      </c>
      <c r="B157" s="71" t="n"/>
      <c r="C157" s="71" t="n"/>
      <c r="D157" s="71" t="n"/>
      <c r="E157" s="71" t="n"/>
      <c r="F157" s="70">
        <f>IF($E157="","",IFERROR(VLOOKUP($E157,OpTbl,2,0),""))</f>
        <v/>
      </c>
      <c r="G157" s="71" t="n"/>
      <c r="H157" s="73">
        <f>IF($U157="","",IFERROR(VLOOKUP($U157,AcctTbl,2,0),"کد ناشناخته"))</f>
        <v/>
      </c>
      <c r="I157" s="70">
        <f>IF($U157="","",IFERROR(VLOOKUP($U157,AcctTbl,3,0),""))</f>
        <v/>
      </c>
      <c r="J157" s="72" t="n"/>
      <c r="K157" s="71" t="n"/>
      <c r="L157" s="74" t="n"/>
      <c r="M157" s="74" t="n"/>
      <c r="N157" s="148">
        <f>IF(OR($E157="",$L157=""),"",IFERROR(($L157-IF($M157="",0,$M157)*IFERROR(VLOOKUP($K157,BasketTbl,4,0),IFERROR(INDEX(BasketTbl,MATCH($K157,BasketCodeCol,0),4),VLOOKUP("P01",ParamTbl,2,0))))*(1-IF(VLOOKUP($E157,OpTbl,3,0)="خرید",VLOOKUP("P02",ParamTbl,2,0),0)/100),""))</f>
        <v/>
      </c>
      <c r="O157" s="74" t="n"/>
      <c r="P157" s="76">
        <f>IF(OR($E157="",$L157=""),"",IFERROR(IF(VLOOKUP($E157,OpTbl,6,0)="وزن",ROUND($N157*$O157,-3),IF(VLOOKUP($E157,OpTbl,6,0)="مبلغ",ROUND($L157*$O157,-3),0)),""))</f>
        <v/>
      </c>
      <c r="Q157" s="74" t="n"/>
      <c r="R157" s="71" t="n"/>
      <c r="S157" s="77">
        <f>IF($E157="","",IF($AI157="⚠","⚠ ناتراز",IF(AND(IFERROR(VLOOKUP($E157,OpTbl,4,0),"")="بله",$L157=""),"⚠ وزن",IF(AND(IFERROR(VLOOKUP($E157,OpTbl,5,0),"")="بله",$U157=""),"⚠ حساب",IF(AND(IFERROR(VLOOKUP($E157,OpTbl,6,0),"")="مبلغ",$Q157=""),"⚠ مبلغ","✓")))))</f>
        <v/>
      </c>
      <c r="T157" s="72" t="n"/>
      <c r="U157" s="70">
        <f>IF($E157="","",IFERROR(IF(VLOOKUP($E157,OpTbl,14,0)&lt;&gt;"",VLOOKUP($E157,OpTbl,14,0),$G157),""))</f>
        <v/>
      </c>
      <c r="V157" s="76">
        <f>IF(OR($AJ157="",$AJ157=0,$AL157&lt;&gt;"بدهکار"),"",$AJ157)</f>
        <v/>
      </c>
      <c r="W157" s="76">
        <f>IF(OR($AJ157="",$AJ157=0,$AL157&lt;&gt;"بستانکار"),"",$AJ157)</f>
        <v/>
      </c>
      <c r="X157" s="70">
        <f>IF($E157="","",IFERROR(VLOOKUP($E157,OpTbl,8,0),""))</f>
        <v/>
      </c>
      <c r="Y157" s="76">
        <f>IF(OR($X157="",$AJ157="",$AJ157=0,$AM157&lt;&gt;"بدهکار"),"",$AJ157)</f>
        <v/>
      </c>
      <c r="Z157" s="76">
        <f>IF(OR($X157="",$AJ157="",$AJ157=0,$AM157&lt;&gt;"بستانکار"),"",$AJ157)</f>
        <v/>
      </c>
      <c r="AA157" s="70">
        <f>IF(OR($E157="",$AN157="—",$AN157=""),"",IFERROR(VLOOKUP($E157,OpTbl,12,0),""))</f>
        <v/>
      </c>
      <c r="AB157" s="76">
        <f>IF(OR($AA157="",$Q157="",$Q157=0,$AN157&lt;&gt;"بدهکار"),"",$Q157)</f>
        <v/>
      </c>
      <c r="AC157" s="76">
        <f>IF(OR($AA157="",$Q157="",$Q157=0,$AN157&lt;&gt;"بستانکار"),"",$Q157)</f>
        <v/>
      </c>
      <c r="AD157" s="70">
        <f>IF($AA157="","",IFERROR(VLOOKUP($E157,OpTbl,13,0),""))</f>
        <v/>
      </c>
      <c r="AE157" s="76">
        <f>IF(OR($AD157="",$Q157="",$Q157=0,$AN157&lt;&gt;"بستانکار"),"",$Q157)</f>
        <v/>
      </c>
      <c r="AF157" s="76">
        <f>IF(OR($AD157="",$Q157="",$Q157=0,$AN157&lt;&gt;"بدهکار"),"",$Q157)</f>
        <v/>
      </c>
      <c r="AG157" s="76">
        <f>SUM($V157,$Y157,$AB157,$AE157)</f>
        <v/>
      </c>
      <c r="AH157" s="76">
        <f>SUM($W157,$Z157,$AC157,$AF157)</f>
        <v/>
      </c>
      <c r="AI157" s="70">
        <f>IF($E157="","",IF(ROUND($AG157-$AH157,0)=0,"✓","⚠"))</f>
        <v/>
      </c>
      <c r="AJ157" s="76">
        <f>IF(OR($E157="",$U157=""),"",IFERROR(IF(VLOOKUP($E157,OpTbl,6,0)="وزن",IF($P157="",0,$P157),IF(VLOOKUP($E157,OpTbl,6,0)="مبلغ",IF(AND($Q157&lt;&gt;"",$Q157&lt;&gt;0),$Q157,$P157),0))+IF(VLOOKUP($E157,OpTbl,10,0)="افزودن",IF($Q157="",0,$Q157),0),0))</f>
        <v/>
      </c>
      <c r="AK157" s="70">
        <f>IF($E157="","",IFERROR(VLOOKUP($E157,OpTbl,10,0),""))</f>
        <v/>
      </c>
      <c r="AL157" s="70">
        <f>IF(OR($E157="",$U157=""),"",IFERROR(IF(VLOOKUP($E157,OpTbl,7,0)="خودکار",$R157,VLOOKUP($E157,OpTbl,7,0)),""))</f>
        <v/>
      </c>
      <c r="AM157" s="70">
        <f>IF(OR($E157="",$X157=""),"",IFERROR(IF(VLOOKUP($E157,OpTbl,9,0)="خودکار",IF($AL157="بدهکار","بستانکار",IF($AL157="بستانکار","بدهکار","")),VLOOKUP($E157,OpTbl,9,0)),""))</f>
        <v/>
      </c>
      <c r="AN157" s="70">
        <f>IF($E157="","",IFERROR(VLOOKUP($E157,OpTbl,11,0),""))</f>
        <v/>
      </c>
      <c r="AO157" s="70">
        <f>IF($B157="","",MID($B157,6,2))</f>
        <v/>
      </c>
      <c r="AP157" s="76">
        <f>IF($B157="",0,1)</f>
        <v/>
      </c>
    </row>
    <row r="158" ht="21.75" customHeight="1">
      <c r="A158" s="70">
        <f>IF($B158="","",COUNTA($B$10:$B158))</f>
        <v/>
      </c>
      <c r="B158" s="71" t="n"/>
      <c r="C158" s="71" t="n"/>
      <c r="D158" s="71" t="n"/>
      <c r="E158" s="71" t="n"/>
      <c r="F158" s="70">
        <f>IF($E158="","",IFERROR(VLOOKUP($E158,OpTbl,2,0),""))</f>
        <v/>
      </c>
      <c r="G158" s="71" t="n"/>
      <c r="H158" s="73">
        <f>IF($U158="","",IFERROR(VLOOKUP($U158,AcctTbl,2,0),"کد ناشناخته"))</f>
        <v/>
      </c>
      <c r="I158" s="70">
        <f>IF($U158="","",IFERROR(VLOOKUP($U158,AcctTbl,3,0),""))</f>
        <v/>
      </c>
      <c r="J158" s="72" t="n"/>
      <c r="K158" s="71" t="n"/>
      <c r="L158" s="74" t="n"/>
      <c r="M158" s="74" t="n"/>
      <c r="N158" s="148">
        <f>IF(OR($E158="",$L158=""),"",IFERROR(($L158-IF($M158="",0,$M158)*IFERROR(VLOOKUP($K158,BasketTbl,4,0),IFERROR(INDEX(BasketTbl,MATCH($K158,BasketCodeCol,0),4),VLOOKUP("P01",ParamTbl,2,0))))*(1-IF(VLOOKUP($E158,OpTbl,3,0)="خرید",VLOOKUP("P02",ParamTbl,2,0),0)/100),""))</f>
        <v/>
      </c>
      <c r="O158" s="74" t="n"/>
      <c r="P158" s="76">
        <f>IF(OR($E158="",$L158=""),"",IFERROR(IF(VLOOKUP($E158,OpTbl,6,0)="وزن",ROUND($N158*$O158,-3),IF(VLOOKUP($E158,OpTbl,6,0)="مبلغ",ROUND($L158*$O158,-3),0)),""))</f>
        <v/>
      </c>
      <c r="Q158" s="74" t="n"/>
      <c r="R158" s="71" t="n"/>
      <c r="S158" s="77">
        <f>IF($E158="","",IF($AI158="⚠","⚠ ناتراز",IF(AND(IFERROR(VLOOKUP($E158,OpTbl,4,0),"")="بله",$L158=""),"⚠ وزن",IF(AND(IFERROR(VLOOKUP($E158,OpTbl,5,0),"")="بله",$U158=""),"⚠ حساب",IF(AND(IFERROR(VLOOKUP($E158,OpTbl,6,0),"")="مبلغ",$Q158=""),"⚠ مبلغ","✓")))))</f>
        <v/>
      </c>
      <c r="T158" s="72" t="n"/>
      <c r="U158" s="70">
        <f>IF($E158="","",IFERROR(IF(VLOOKUP($E158,OpTbl,14,0)&lt;&gt;"",VLOOKUP($E158,OpTbl,14,0),$G158),""))</f>
        <v/>
      </c>
      <c r="V158" s="76">
        <f>IF(OR($AJ158="",$AJ158=0,$AL158&lt;&gt;"بدهکار"),"",$AJ158)</f>
        <v/>
      </c>
      <c r="W158" s="76">
        <f>IF(OR($AJ158="",$AJ158=0,$AL158&lt;&gt;"بستانکار"),"",$AJ158)</f>
        <v/>
      </c>
      <c r="X158" s="70">
        <f>IF($E158="","",IFERROR(VLOOKUP($E158,OpTbl,8,0),""))</f>
        <v/>
      </c>
      <c r="Y158" s="76">
        <f>IF(OR($X158="",$AJ158="",$AJ158=0,$AM158&lt;&gt;"بدهکار"),"",$AJ158)</f>
        <v/>
      </c>
      <c r="Z158" s="76">
        <f>IF(OR($X158="",$AJ158="",$AJ158=0,$AM158&lt;&gt;"بستانکار"),"",$AJ158)</f>
        <v/>
      </c>
      <c r="AA158" s="70">
        <f>IF(OR($E158="",$AN158="—",$AN158=""),"",IFERROR(VLOOKUP($E158,OpTbl,12,0),""))</f>
        <v/>
      </c>
      <c r="AB158" s="76">
        <f>IF(OR($AA158="",$Q158="",$Q158=0,$AN158&lt;&gt;"بدهکار"),"",$Q158)</f>
        <v/>
      </c>
      <c r="AC158" s="76">
        <f>IF(OR($AA158="",$Q158="",$Q158=0,$AN158&lt;&gt;"بستانکار"),"",$Q158)</f>
        <v/>
      </c>
      <c r="AD158" s="70">
        <f>IF($AA158="","",IFERROR(VLOOKUP($E158,OpTbl,13,0),""))</f>
        <v/>
      </c>
      <c r="AE158" s="76">
        <f>IF(OR($AD158="",$Q158="",$Q158=0,$AN158&lt;&gt;"بستانکار"),"",$Q158)</f>
        <v/>
      </c>
      <c r="AF158" s="76">
        <f>IF(OR($AD158="",$Q158="",$Q158=0,$AN158&lt;&gt;"بدهکار"),"",$Q158)</f>
        <v/>
      </c>
      <c r="AG158" s="76">
        <f>SUM($V158,$Y158,$AB158,$AE158)</f>
        <v/>
      </c>
      <c r="AH158" s="76">
        <f>SUM($W158,$Z158,$AC158,$AF158)</f>
        <v/>
      </c>
      <c r="AI158" s="70">
        <f>IF($E158="","",IF(ROUND($AG158-$AH158,0)=0,"✓","⚠"))</f>
        <v/>
      </c>
      <c r="AJ158" s="76">
        <f>IF(OR($E158="",$U158=""),"",IFERROR(IF(VLOOKUP($E158,OpTbl,6,0)="وزن",IF($P158="",0,$P158),IF(VLOOKUP($E158,OpTbl,6,0)="مبلغ",IF(AND($Q158&lt;&gt;"",$Q158&lt;&gt;0),$Q158,$P158),0))+IF(VLOOKUP($E158,OpTbl,10,0)="افزودن",IF($Q158="",0,$Q158),0),0))</f>
        <v/>
      </c>
      <c r="AK158" s="70">
        <f>IF($E158="","",IFERROR(VLOOKUP($E158,OpTbl,10,0),""))</f>
        <v/>
      </c>
      <c r="AL158" s="70">
        <f>IF(OR($E158="",$U158=""),"",IFERROR(IF(VLOOKUP($E158,OpTbl,7,0)="خودکار",$R158,VLOOKUP($E158,OpTbl,7,0)),""))</f>
        <v/>
      </c>
      <c r="AM158" s="70">
        <f>IF(OR($E158="",$X158=""),"",IFERROR(IF(VLOOKUP($E158,OpTbl,9,0)="خودکار",IF($AL158="بدهکار","بستانکار",IF($AL158="بستانکار","بدهکار","")),VLOOKUP($E158,OpTbl,9,0)),""))</f>
        <v/>
      </c>
      <c r="AN158" s="70">
        <f>IF($E158="","",IFERROR(VLOOKUP($E158,OpTbl,11,0),""))</f>
        <v/>
      </c>
      <c r="AO158" s="70">
        <f>IF($B158="","",MID($B158,6,2))</f>
        <v/>
      </c>
      <c r="AP158" s="76">
        <f>IF($B158="",0,1)</f>
        <v/>
      </c>
    </row>
    <row r="159" ht="21.75" customHeight="1">
      <c r="A159" s="70">
        <f>IF($B159="","",COUNTA($B$10:$B159))</f>
        <v/>
      </c>
      <c r="B159" s="71" t="n"/>
      <c r="C159" s="71" t="n"/>
      <c r="D159" s="71" t="n"/>
      <c r="E159" s="71" t="n"/>
      <c r="F159" s="70">
        <f>IF($E159="","",IFERROR(VLOOKUP($E159,OpTbl,2,0),""))</f>
        <v/>
      </c>
      <c r="G159" s="71" t="n"/>
      <c r="H159" s="73">
        <f>IF($U159="","",IFERROR(VLOOKUP($U159,AcctTbl,2,0),"کد ناشناخته"))</f>
        <v/>
      </c>
      <c r="I159" s="70">
        <f>IF($U159="","",IFERROR(VLOOKUP($U159,AcctTbl,3,0),""))</f>
        <v/>
      </c>
      <c r="J159" s="72" t="n"/>
      <c r="K159" s="71" t="n"/>
      <c r="L159" s="74" t="n"/>
      <c r="M159" s="74" t="n"/>
      <c r="N159" s="148">
        <f>IF(OR($E159="",$L159=""),"",IFERROR(($L159-IF($M159="",0,$M159)*IFERROR(VLOOKUP($K159,BasketTbl,4,0),IFERROR(INDEX(BasketTbl,MATCH($K159,BasketCodeCol,0),4),VLOOKUP("P01",ParamTbl,2,0))))*(1-IF(VLOOKUP($E159,OpTbl,3,0)="خرید",VLOOKUP("P02",ParamTbl,2,0),0)/100),""))</f>
        <v/>
      </c>
      <c r="O159" s="74" t="n"/>
      <c r="P159" s="76">
        <f>IF(OR($E159="",$L159=""),"",IFERROR(IF(VLOOKUP($E159,OpTbl,6,0)="وزن",ROUND($N159*$O159,-3),IF(VLOOKUP($E159,OpTbl,6,0)="مبلغ",ROUND($L159*$O159,-3),0)),""))</f>
        <v/>
      </c>
      <c r="Q159" s="74" t="n"/>
      <c r="R159" s="71" t="n"/>
      <c r="S159" s="77">
        <f>IF($E159="","",IF($AI159="⚠","⚠ ناتراز",IF(AND(IFERROR(VLOOKUP($E159,OpTbl,4,0),"")="بله",$L159=""),"⚠ وزن",IF(AND(IFERROR(VLOOKUP($E159,OpTbl,5,0),"")="بله",$U159=""),"⚠ حساب",IF(AND(IFERROR(VLOOKUP($E159,OpTbl,6,0),"")="مبلغ",$Q159=""),"⚠ مبلغ","✓")))))</f>
        <v/>
      </c>
      <c r="T159" s="72" t="n"/>
      <c r="U159" s="70">
        <f>IF($E159="","",IFERROR(IF(VLOOKUP($E159,OpTbl,14,0)&lt;&gt;"",VLOOKUP($E159,OpTbl,14,0),$G159),""))</f>
        <v/>
      </c>
      <c r="V159" s="76">
        <f>IF(OR($AJ159="",$AJ159=0,$AL159&lt;&gt;"بدهکار"),"",$AJ159)</f>
        <v/>
      </c>
      <c r="W159" s="76">
        <f>IF(OR($AJ159="",$AJ159=0,$AL159&lt;&gt;"بستانکار"),"",$AJ159)</f>
        <v/>
      </c>
      <c r="X159" s="70">
        <f>IF($E159="","",IFERROR(VLOOKUP($E159,OpTbl,8,0),""))</f>
        <v/>
      </c>
      <c r="Y159" s="76">
        <f>IF(OR($X159="",$AJ159="",$AJ159=0,$AM159&lt;&gt;"بدهکار"),"",$AJ159)</f>
        <v/>
      </c>
      <c r="Z159" s="76">
        <f>IF(OR($X159="",$AJ159="",$AJ159=0,$AM159&lt;&gt;"بستانکار"),"",$AJ159)</f>
        <v/>
      </c>
      <c r="AA159" s="70">
        <f>IF(OR($E159="",$AN159="—",$AN159=""),"",IFERROR(VLOOKUP($E159,OpTbl,12,0),""))</f>
        <v/>
      </c>
      <c r="AB159" s="76">
        <f>IF(OR($AA159="",$Q159="",$Q159=0,$AN159&lt;&gt;"بدهکار"),"",$Q159)</f>
        <v/>
      </c>
      <c r="AC159" s="76">
        <f>IF(OR($AA159="",$Q159="",$Q159=0,$AN159&lt;&gt;"بستانکار"),"",$Q159)</f>
        <v/>
      </c>
      <c r="AD159" s="70">
        <f>IF($AA159="","",IFERROR(VLOOKUP($E159,OpTbl,13,0),""))</f>
        <v/>
      </c>
      <c r="AE159" s="76">
        <f>IF(OR($AD159="",$Q159="",$Q159=0,$AN159&lt;&gt;"بستانکار"),"",$Q159)</f>
        <v/>
      </c>
      <c r="AF159" s="76">
        <f>IF(OR($AD159="",$Q159="",$Q159=0,$AN159&lt;&gt;"بدهکار"),"",$Q159)</f>
        <v/>
      </c>
      <c r="AG159" s="76">
        <f>SUM($V159,$Y159,$AB159,$AE159)</f>
        <v/>
      </c>
      <c r="AH159" s="76">
        <f>SUM($W159,$Z159,$AC159,$AF159)</f>
        <v/>
      </c>
      <c r="AI159" s="70">
        <f>IF($E159="","",IF(ROUND($AG159-$AH159,0)=0,"✓","⚠"))</f>
        <v/>
      </c>
      <c r="AJ159" s="76">
        <f>IF(OR($E159="",$U159=""),"",IFERROR(IF(VLOOKUP($E159,OpTbl,6,0)="وزن",IF($P159="",0,$P159),IF(VLOOKUP($E159,OpTbl,6,0)="مبلغ",IF(AND($Q159&lt;&gt;"",$Q159&lt;&gt;0),$Q159,$P159),0))+IF(VLOOKUP($E159,OpTbl,10,0)="افزودن",IF($Q159="",0,$Q159),0),0))</f>
        <v/>
      </c>
      <c r="AK159" s="70">
        <f>IF($E159="","",IFERROR(VLOOKUP($E159,OpTbl,10,0),""))</f>
        <v/>
      </c>
      <c r="AL159" s="70">
        <f>IF(OR($E159="",$U159=""),"",IFERROR(IF(VLOOKUP($E159,OpTbl,7,0)="خودکار",$R159,VLOOKUP($E159,OpTbl,7,0)),""))</f>
        <v/>
      </c>
      <c r="AM159" s="70">
        <f>IF(OR($E159="",$X159=""),"",IFERROR(IF(VLOOKUP($E159,OpTbl,9,0)="خودکار",IF($AL159="بدهکار","بستانکار",IF($AL159="بستانکار","بدهکار","")),VLOOKUP($E159,OpTbl,9,0)),""))</f>
        <v/>
      </c>
      <c r="AN159" s="70">
        <f>IF($E159="","",IFERROR(VLOOKUP($E159,OpTbl,11,0),""))</f>
        <v/>
      </c>
      <c r="AO159" s="70">
        <f>IF($B159="","",MID($B159,6,2))</f>
        <v/>
      </c>
      <c r="AP159" s="76">
        <f>IF($B159="",0,1)</f>
        <v/>
      </c>
    </row>
    <row r="160" ht="21.75" customHeight="1">
      <c r="A160" s="70">
        <f>IF($B160="","",COUNTA($B$10:$B160))</f>
        <v/>
      </c>
      <c r="B160" s="71" t="n"/>
      <c r="C160" s="71" t="n"/>
      <c r="D160" s="71" t="n"/>
      <c r="E160" s="71" t="n"/>
      <c r="F160" s="70">
        <f>IF($E160="","",IFERROR(VLOOKUP($E160,OpTbl,2,0),""))</f>
        <v/>
      </c>
      <c r="G160" s="71" t="n"/>
      <c r="H160" s="73">
        <f>IF($U160="","",IFERROR(VLOOKUP($U160,AcctTbl,2,0),"کد ناشناخته"))</f>
        <v/>
      </c>
      <c r="I160" s="70">
        <f>IF($U160="","",IFERROR(VLOOKUP($U160,AcctTbl,3,0),""))</f>
        <v/>
      </c>
      <c r="J160" s="72" t="n"/>
      <c r="K160" s="71" t="n"/>
      <c r="L160" s="74" t="n"/>
      <c r="M160" s="74" t="n"/>
      <c r="N160" s="148">
        <f>IF(OR($E160="",$L160=""),"",IFERROR(($L160-IF($M160="",0,$M160)*IFERROR(VLOOKUP($K160,BasketTbl,4,0),IFERROR(INDEX(BasketTbl,MATCH($K160,BasketCodeCol,0),4),VLOOKUP("P01",ParamTbl,2,0))))*(1-IF(VLOOKUP($E160,OpTbl,3,0)="خرید",VLOOKUP("P02",ParamTbl,2,0),0)/100),""))</f>
        <v/>
      </c>
      <c r="O160" s="74" t="n"/>
      <c r="P160" s="76">
        <f>IF(OR($E160="",$L160=""),"",IFERROR(IF(VLOOKUP($E160,OpTbl,6,0)="وزن",ROUND($N160*$O160,-3),IF(VLOOKUP($E160,OpTbl,6,0)="مبلغ",ROUND($L160*$O160,-3),0)),""))</f>
        <v/>
      </c>
      <c r="Q160" s="74" t="n"/>
      <c r="R160" s="71" t="n"/>
      <c r="S160" s="77">
        <f>IF($E160="","",IF($AI160="⚠","⚠ ناتراز",IF(AND(IFERROR(VLOOKUP($E160,OpTbl,4,0),"")="بله",$L160=""),"⚠ وزن",IF(AND(IFERROR(VLOOKUP($E160,OpTbl,5,0),"")="بله",$U160=""),"⚠ حساب",IF(AND(IFERROR(VLOOKUP($E160,OpTbl,6,0),"")="مبلغ",$Q160=""),"⚠ مبلغ","✓")))))</f>
        <v/>
      </c>
      <c r="T160" s="72" t="n"/>
      <c r="U160" s="70">
        <f>IF($E160="","",IFERROR(IF(VLOOKUP($E160,OpTbl,14,0)&lt;&gt;"",VLOOKUP($E160,OpTbl,14,0),$G160),""))</f>
        <v/>
      </c>
      <c r="V160" s="76">
        <f>IF(OR($AJ160="",$AJ160=0,$AL160&lt;&gt;"بدهکار"),"",$AJ160)</f>
        <v/>
      </c>
      <c r="W160" s="76">
        <f>IF(OR($AJ160="",$AJ160=0,$AL160&lt;&gt;"بستانکار"),"",$AJ160)</f>
        <v/>
      </c>
      <c r="X160" s="70">
        <f>IF($E160="","",IFERROR(VLOOKUP($E160,OpTbl,8,0),""))</f>
        <v/>
      </c>
      <c r="Y160" s="76">
        <f>IF(OR($X160="",$AJ160="",$AJ160=0,$AM160&lt;&gt;"بدهکار"),"",$AJ160)</f>
        <v/>
      </c>
      <c r="Z160" s="76">
        <f>IF(OR($X160="",$AJ160="",$AJ160=0,$AM160&lt;&gt;"بستانکار"),"",$AJ160)</f>
        <v/>
      </c>
      <c r="AA160" s="70">
        <f>IF(OR($E160="",$AN160="—",$AN160=""),"",IFERROR(VLOOKUP($E160,OpTbl,12,0),""))</f>
        <v/>
      </c>
      <c r="AB160" s="76">
        <f>IF(OR($AA160="",$Q160="",$Q160=0,$AN160&lt;&gt;"بدهکار"),"",$Q160)</f>
        <v/>
      </c>
      <c r="AC160" s="76">
        <f>IF(OR($AA160="",$Q160="",$Q160=0,$AN160&lt;&gt;"بستانکار"),"",$Q160)</f>
        <v/>
      </c>
      <c r="AD160" s="70">
        <f>IF($AA160="","",IFERROR(VLOOKUP($E160,OpTbl,13,0),""))</f>
        <v/>
      </c>
      <c r="AE160" s="76">
        <f>IF(OR($AD160="",$Q160="",$Q160=0,$AN160&lt;&gt;"بستانکار"),"",$Q160)</f>
        <v/>
      </c>
      <c r="AF160" s="76">
        <f>IF(OR($AD160="",$Q160="",$Q160=0,$AN160&lt;&gt;"بدهکار"),"",$Q160)</f>
        <v/>
      </c>
      <c r="AG160" s="76">
        <f>SUM($V160,$Y160,$AB160,$AE160)</f>
        <v/>
      </c>
      <c r="AH160" s="76">
        <f>SUM($W160,$Z160,$AC160,$AF160)</f>
        <v/>
      </c>
      <c r="AI160" s="70">
        <f>IF($E160="","",IF(ROUND($AG160-$AH160,0)=0,"✓","⚠"))</f>
        <v/>
      </c>
      <c r="AJ160" s="76">
        <f>IF(OR($E160="",$U160=""),"",IFERROR(IF(VLOOKUP($E160,OpTbl,6,0)="وزن",IF($P160="",0,$P160),IF(VLOOKUP($E160,OpTbl,6,0)="مبلغ",IF(AND($Q160&lt;&gt;"",$Q160&lt;&gt;0),$Q160,$P160),0))+IF(VLOOKUP($E160,OpTbl,10,0)="افزودن",IF($Q160="",0,$Q160),0),0))</f>
        <v/>
      </c>
      <c r="AK160" s="70">
        <f>IF($E160="","",IFERROR(VLOOKUP($E160,OpTbl,10,0),""))</f>
        <v/>
      </c>
      <c r="AL160" s="70">
        <f>IF(OR($E160="",$U160=""),"",IFERROR(IF(VLOOKUP($E160,OpTbl,7,0)="خودکار",$R160,VLOOKUP($E160,OpTbl,7,0)),""))</f>
        <v/>
      </c>
      <c r="AM160" s="70">
        <f>IF(OR($E160="",$X160=""),"",IFERROR(IF(VLOOKUP($E160,OpTbl,9,0)="خودکار",IF($AL160="بدهکار","بستانکار",IF($AL160="بستانکار","بدهکار","")),VLOOKUP($E160,OpTbl,9,0)),""))</f>
        <v/>
      </c>
      <c r="AN160" s="70">
        <f>IF($E160="","",IFERROR(VLOOKUP($E160,OpTbl,11,0),""))</f>
        <v/>
      </c>
      <c r="AO160" s="70">
        <f>IF($B160="","",MID($B160,6,2))</f>
        <v/>
      </c>
      <c r="AP160" s="76">
        <f>IF($B160="",0,1)</f>
        <v/>
      </c>
    </row>
    <row r="161" ht="21.75" customHeight="1">
      <c r="A161" s="70">
        <f>IF($B161="","",COUNTA($B$10:$B161))</f>
        <v/>
      </c>
      <c r="B161" s="71" t="n"/>
      <c r="C161" s="71" t="n"/>
      <c r="D161" s="71" t="n"/>
      <c r="E161" s="71" t="n"/>
      <c r="F161" s="70">
        <f>IF($E161="","",IFERROR(VLOOKUP($E161,OpTbl,2,0),""))</f>
        <v/>
      </c>
      <c r="G161" s="71" t="n"/>
      <c r="H161" s="73">
        <f>IF($U161="","",IFERROR(VLOOKUP($U161,AcctTbl,2,0),"کد ناشناخته"))</f>
        <v/>
      </c>
      <c r="I161" s="70">
        <f>IF($U161="","",IFERROR(VLOOKUP($U161,AcctTbl,3,0),""))</f>
        <v/>
      </c>
      <c r="J161" s="72" t="n"/>
      <c r="K161" s="71" t="n"/>
      <c r="L161" s="74" t="n"/>
      <c r="M161" s="74" t="n"/>
      <c r="N161" s="148">
        <f>IF(OR($E161="",$L161=""),"",IFERROR(($L161-IF($M161="",0,$M161)*IFERROR(VLOOKUP($K161,BasketTbl,4,0),IFERROR(INDEX(BasketTbl,MATCH($K161,BasketCodeCol,0),4),VLOOKUP("P01",ParamTbl,2,0))))*(1-IF(VLOOKUP($E161,OpTbl,3,0)="خرید",VLOOKUP("P02",ParamTbl,2,0),0)/100),""))</f>
        <v/>
      </c>
      <c r="O161" s="74" t="n"/>
      <c r="P161" s="76">
        <f>IF(OR($E161="",$L161=""),"",IFERROR(IF(VLOOKUP($E161,OpTbl,6,0)="وزن",ROUND($N161*$O161,-3),IF(VLOOKUP($E161,OpTbl,6,0)="مبلغ",ROUND($L161*$O161,-3),0)),""))</f>
        <v/>
      </c>
      <c r="Q161" s="74" t="n"/>
      <c r="R161" s="71" t="n"/>
      <c r="S161" s="77">
        <f>IF($E161="","",IF($AI161="⚠","⚠ ناتراز",IF(AND(IFERROR(VLOOKUP($E161,OpTbl,4,0),"")="بله",$L161=""),"⚠ وزن",IF(AND(IFERROR(VLOOKUP($E161,OpTbl,5,0),"")="بله",$U161=""),"⚠ حساب",IF(AND(IFERROR(VLOOKUP($E161,OpTbl,6,0),"")="مبلغ",$Q161=""),"⚠ مبلغ","✓")))))</f>
        <v/>
      </c>
      <c r="T161" s="72" t="n"/>
      <c r="U161" s="70">
        <f>IF($E161="","",IFERROR(IF(VLOOKUP($E161,OpTbl,14,0)&lt;&gt;"",VLOOKUP($E161,OpTbl,14,0),$G161),""))</f>
        <v/>
      </c>
      <c r="V161" s="76">
        <f>IF(OR($AJ161="",$AJ161=0,$AL161&lt;&gt;"بدهکار"),"",$AJ161)</f>
        <v/>
      </c>
      <c r="W161" s="76">
        <f>IF(OR($AJ161="",$AJ161=0,$AL161&lt;&gt;"بستانکار"),"",$AJ161)</f>
        <v/>
      </c>
      <c r="X161" s="70">
        <f>IF($E161="","",IFERROR(VLOOKUP($E161,OpTbl,8,0),""))</f>
        <v/>
      </c>
      <c r="Y161" s="76">
        <f>IF(OR($X161="",$AJ161="",$AJ161=0,$AM161&lt;&gt;"بدهکار"),"",$AJ161)</f>
        <v/>
      </c>
      <c r="Z161" s="76">
        <f>IF(OR($X161="",$AJ161="",$AJ161=0,$AM161&lt;&gt;"بستانکار"),"",$AJ161)</f>
        <v/>
      </c>
      <c r="AA161" s="70">
        <f>IF(OR($E161="",$AN161="—",$AN161=""),"",IFERROR(VLOOKUP($E161,OpTbl,12,0),""))</f>
        <v/>
      </c>
      <c r="AB161" s="76">
        <f>IF(OR($AA161="",$Q161="",$Q161=0,$AN161&lt;&gt;"بدهکار"),"",$Q161)</f>
        <v/>
      </c>
      <c r="AC161" s="76">
        <f>IF(OR($AA161="",$Q161="",$Q161=0,$AN161&lt;&gt;"بستانکار"),"",$Q161)</f>
        <v/>
      </c>
      <c r="AD161" s="70">
        <f>IF($AA161="","",IFERROR(VLOOKUP($E161,OpTbl,13,0),""))</f>
        <v/>
      </c>
      <c r="AE161" s="76">
        <f>IF(OR($AD161="",$Q161="",$Q161=0,$AN161&lt;&gt;"بستانکار"),"",$Q161)</f>
        <v/>
      </c>
      <c r="AF161" s="76">
        <f>IF(OR($AD161="",$Q161="",$Q161=0,$AN161&lt;&gt;"بدهکار"),"",$Q161)</f>
        <v/>
      </c>
      <c r="AG161" s="76">
        <f>SUM($V161,$Y161,$AB161,$AE161)</f>
        <v/>
      </c>
      <c r="AH161" s="76">
        <f>SUM($W161,$Z161,$AC161,$AF161)</f>
        <v/>
      </c>
      <c r="AI161" s="70">
        <f>IF($E161="","",IF(ROUND($AG161-$AH161,0)=0,"✓","⚠"))</f>
        <v/>
      </c>
      <c r="AJ161" s="76">
        <f>IF(OR($E161="",$U161=""),"",IFERROR(IF(VLOOKUP($E161,OpTbl,6,0)="وزن",IF($P161="",0,$P161),IF(VLOOKUP($E161,OpTbl,6,0)="مبلغ",IF(AND($Q161&lt;&gt;"",$Q161&lt;&gt;0),$Q161,$P161),0))+IF(VLOOKUP($E161,OpTbl,10,0)="افزودن",IF($Q161="",0,$Q161),0),0))</f>
        <v/>
      </c>
      <c r="AK161" s="70">
        <f>IF($E161="","",IFERROR(VLOOKUP($E161,OpTbl,10,0),""))</f>
        <v/>
      </c>
      <c r="AL161" s="70">
        <f>IF(OR($E161="",$U161=""),"",IFERROR(IF(VLOOKUP($E161,OpTbl,7,0)="خودکار",$R161,VLOOKUP($E161,OpTbl,7,0)),""))</f>
        <v/>
      </c>
      <c r="AM161" s="70">
        <f>IF(OR($E161="",$X161=""),"",IFERROR(IF(VLOOKUP($E161,OpTbl,9,0)="خودکار",IF($AL161="بدهکار","بستانکار",IF($AL161="بستانکار","بدهکار","")),VLOOKUP($E161,OpTbl,9,0)),""))</f>
        <v/>
      </c>
      <c r="AN161" s="70">
        <f>IF($E161="","",IFERROR(VLOOKUP($E161,OpTbl,11,0),""))</f>
        <v/>
      </c>
      <c r="AO161" s="70">
        <f>IF($B161="","",MID($B161,6,2))</f>
        <v/>
      </c>
      <c r="AP161" s="76">
        <f>IF($B161="",0,1)</f>
        <v/>
      </c>
    </row>
    <row r="162" ht="21.75" customHeight="1">
      <c r="A162" s="70">
        <f>IF($B162="","",COUNTA($B$10:$B162))</f>
        <v/>
      </c>
      <c r="B162" s="71" t="n"/>
      <c r="C162" s="71" t="n"/>
      <c r="D162" s="71" t="n"/>
      <c r="E162" s="71" t="n"/>
      <c r="F162" s="70">
        <f>IF($E162="","",IFERROR(VLOOKUP($E162,OpTbl,2,0),""))</f>
        <v/>
      </c>
      <c r="G162" s="71" t="n"/>
      <c r="H162" s="73">
        <f>IF($U162="","",IFERROR(VLOOKUP($U162,AcctTbl,2,0),"کد ناشناخته"))</f>
        <v/>
      </c>
      <c r="I162" s="70">
        <f>IF($U162="","",IFERROR(VLOOKUP($U162,AcctTbl,3,0),""))</f>
        <v/>
      </c>
      <c r="J162" s="72" t="n"/>
      <c r="K162" s="71" t="n"/>
      <c r="L162" s="74" t="n"/>
      <c r="M162" s="74" t="n"/>
      <c r="N162" s="148">
        <f>IF(OR($E162="",$L162=""),"",IFERROR(($L162-IF($M162="",0,$M162)*IFERROR(VLOOKUP($K162,BasketTbl,4,0),IFERROR(INDEX(BasketTbl,MATCH($K162,BasketCodeCol,0),4),VLOOKUP("P01",ParamTbl,2,0))))*(1-IF(VLOOKUP($E162,OpTbl,3,0)="خرید",VLOOKUP("P02",ParamTbl,2,0),0)/100),""))</f>
        <v/>
      </c>
      <c r="O162" s="74" t="n"/>
      <c r="P162" s="76">
        <f>IF(OR($E162="",$L162=""),"",IFERROR(IF(VLOOKUP($E162,OpTbl,6,0)="وزن",ROUND($N162*$O162,-3),IF(VLOOKUP($E162,OpTbl,6,0)="مبلغ",ROUND($L162*$O162,-3),0)),""))</f>
        <v/>
      </c>
      <c r="Q162" s="74" t="n"/>
      <c r="R162" s="71" t="n"/>
      <c r="S162" s="77">
        <f>IF($E162="","",IF($AI162="⚠","⚠ ناتراز",IF(AND(IFERROR(VLOOKUP($E162,OpTbl,4,0),"")="بله",$L162=""),"⚠ وزن",IF(AND(IFERROR(VLOOKUP($E162,OpTbl,5,0),"")="بله",$U162=""),"⚠ حساب",IF(AND(IFERROR(VLOOKUP($E162,OpTbl,6,0),"")="مبلغ",$Q162=""),"⚠ مبلغ","✓")))))</f>
        <v/>
      </c>
      <c r="T162" s="72" t="n"/>
      <c r="U162" s="70">
        <f>IF($E162="","",IFERROR(IF(VLOOKUP($E162,OpTbl,14,0)&lt;&gt;"",VLOOKUP($E162,OpTbl,14,0),$G162),""))</f>
        <v/>
      </c>
      <c r="V162" s="76">
        <f>IF(OR($AJ162="",$AJ162=0,$AL162&lt;&gt;"بدهکار"),"",$AJ162)</f>
        <v/>
      </c>
      <c r="W162" s="76">
        <f>IF(OR($AJ162="",$AJ162=0,$AL162&lt;&gt;"بستانکار"),"",$AJ162)</f>
        <v/>
      </c>
      <c r="X162" s="70">
        <f>IF($E162="","",IFERROR(VLOOKUP($E162,OpTbl,8,0),""))</f>
        <v/>
      </c>
      <c r="Y162" s="76">
        <f>IF(OR($X162="",$AJ162="",$AJ162=0,$AM162&lt;&gt;"بدهکار"),"",$AJ162)</f>
        <v/>
      </c>
      <c r="Z162" s="76">
        <f>IF(OR($X162="",$AJ162="",$AJ162=0,$AM162&lt;&gt;"بستانکار"),"",$AJ162)</f>
        <v/>
      </c>
      <c r="AA162" s="70">
        <f>IF(OR($E162="",$AN162="—",$AN162=""),"",IFERROR(VLOOKUP($E162,OpTbl,12,0),""))</f>
        <v/>
      </c>
      <c r="AB162" s="76">
        <f>IF(OR($AA162="",$Q162="",$Q162=0,$AN162&lt;&gt;"بدهکار"),"",$Q162)</f>
        <v/>
      </c>
      <c r="AC162" s="76">
        <f>IF(OR($AA162="",$Q162="",$Q162=0,$AN162&lt;&gt;"بستانکار"),"",$Q162)</f>
        <v/>
      </c>
      <c r="AD162" s="70">
        <f>IF($AA162="","",IFERROR(VLOOKUP($E162,OpTbl,13,0),""))</f>
        <v/>
      </c>
      <c r="AE162" s="76">
        <f>IF(OR($AD162="",$Q162="",$Q162=0,$AN162&lt;&gt;"بستانکار"),"",$Q162)</f>
        <v/>
      </c>
      <c r="AF162" s="76">
        <f>IF(OR($AD162="",$Q162="",$Q162=0,$AN162&lt;&gt;"بدهکار"),"",$Q162)</f>
        <v/>
      </c>
      <c r="AG162" s="76">
        <f>SUM($V162,$Y162,$AB162,$AE162)</f>
        <v/>
      </c>
      <c r="AH162" s="76">
        <f>SUM($W162,$Z162,$AC162,$AF162)</f>
        <v/>
      </c>
      <c r="AI162" s="70">
        <f>IF($E162="","",IF(ROUND($AG162-$AH162,0)=0,"✓","⚠"))</f>
        <v/>
      </c>
      <c r="AJ162" s="76">
        <f>IF(OR($E162="",$U162=""),"",IFERROR(IF(VLOOKUP($E162,OpTbl,6,0)="وزن",IF($P162="",0,$P162),IF(VLOOKUP($E162,OpTbl,6,0)="مبلغ",IF(AND($Q162&lt;&gt;"",$Q162&lt;&gt;0),$Q162,$P162),0))+IF(VLOOKUP($E162,OpTbl,10,0)="افزودن",IF($Q162="",0,$Q162),0),0))</f>
        <v/>
      </c>
      <c r="AK162" s="70">
        <f>IF($E162="","",IFERROR(VLOOKUP($E162,OpTbl,10,0),""))</f>
        <v/>
      </c>
      <c r="AL162" s="70">
        <f>IF(OR($E162="",$U162=""),"",IFERROR(IF(VLOOKUP($E162,OpTbl,7,0)="خودکار",$R162,VLOOKUP($E162,OpTbl,7,0)),""))</f>
        <v/>
      </c>
      <c r="AM162" s="70">
        <f>IF(OR($E162="",$X162=""),"",IFERROR(IF(VLOOKUP($E162,OpTbl,9,0)="خودکار",IF($AL162="بدهکار","بستانکار",IF($AL162="بستانکار","بدهکار","")),VLOOKUP($E162,OpTbl,9,0)),""))</f>
        <v/>
      </c>
      <c r="AN162" s="70">
        <f>IF($E162="","",IFERROR(VLOOKUP($E162,OpTbl,11,0),""))</f>
        <v/>
      </c>
      <c r="AO162" s="70">
        <f>IF($B162="","",MID($B162,6,2))</f>
        <v/>
      </c>
      <c r="AP162" s="76">
        <f>IF($B162="",0,1)</f>
        <v/>
      </c>
    </row>
    <row r="163" ht="21.75" customHeight="1">
      <c r="A163" s="70">
        <f>IF($B163="","",COUNTA($B$10:$B163))</f>
        <v/>
      </c>
      <c r="B163" s="71" t="n"/>
      <c r="C163" s="71" t="n"/>
      <c r="D163" s="71" t="n"/>
      <c r="E163" s="71" t="n"/>
      <c r="F163" s="70">
        <f>IF($E163="","",IFERROR(VLOOKUP($E163,OpTbl,2,0),""))</f>
        <v/>
      </c>
      <c r="G163" s="71" t="n"/>
      <c r="H163" s="73">
        <f>IF($U163="","",IFERROR(VLOOKUP($U163,AcctTbl,2,0),"کد ناشناخته"))</f>
        <v/>
      </c>
      <c r="I163" s="70">
        <f>IF($U163="","",IFERROR(VLOOKUP($U163,AcctTbl,3,0),""))</f>
        <v/>
      </c>
      <c r="J163" s="72" t="n"/>
      <c r="K163" s="71" t="n"/>
      <c r="L163" s="74" t="n"/>
      <c r="M163" s="74" t="n"/>
      <c r="N163" s="148">
        <f>IF(OR($E163="",$L163=""),"",IFERROR(($L163-IF($M163="",0,$M163)*IFERROR(VLOOKUP($K163,BasketTbl,4,0),IFERROR(INDEX(BasketTbl,MATCH($K163,BasketCodeCol,0),4),VLOOKUP("P01",ParamTbl,2,0))))*(1-IF(VLOOKUP($E163,OpTbl,3,0)="خرید",VLOOKUP("P02",ParamTbl,2,0),0)/100),""))</f>
        <v/>
      </c>
      <c r="O163" s="74" t="n"/>
      <c r="P163" s="76">
        <f>IF(OR($E163="",$L163=""),"",IFERROR(IF(VLOOKUP($E163,OpTbl,6,0)="وزن",ROUND($N163*$O163,-3),IF(VLOOKUP($E163,OpTbl,6,0)="مبلغ",ROUND($L163*$O163,-3),0)),""))</f>
        <v/>
      </c>
      <c r="Q163" s="74" t="n"/>
      <c r="R163" s="71" t="n"/>
      <c r="S163" s="77">
        <f>IF($E163="","",IF($AI163="⚠","⚠ ناتراز",IF(AND(IFERROR(VLOOKUP($E163,OpTbl,4,0),"")="بله",$L163=""),"⚠ وزن",IF(AND(IFERROR(VLOOKUP($E163,OpTbl,5,0),"")="بله",$U163=""),"⚠ حساب",IF(AND(IFERROR(VLOOKUP($E163,OpTbl,6,0),"")="مبلغ",$Q163=""),"⚠ مبلغ","✓")))))</f>
        <v/>
      </c>
      <c r="T163" s="72" t="n"/>
      <c r="U163" s="70">
        <f>IF($E163="","",IFERROR(IF(VLOOKUP($E163,OpTbl,14,0)&lt;&gt;"",VLOOKUP($E163,OpTbl,14,0),$G163),""))</f>
        <v/>
      </c>
      <c r="V163" s="76">
        <f>IF(OR($AJ163="",$AJ163=0,$AL163&lt;&gt;"بدهکار"),"",$AJ163)</f>
        <v/>
      </c>
      <c r="W163" s="76">
        <f>IF(OR($AJ163="",$AJ163=0,$AL163&lt;&gt;"بستانکار"),"",$AJ163)</f>
        <v/>
      </c>
      <c r="X163" s="70">
        <f>IF($E163="","",IFERROR(VLOOKUP($E163,OpTbl,8,0),""))</f>
        <v/>
      </c>
      <c r="Y163" s="76">
        <f>IF(OR($X163="",$AJ163="",$AJ163=0,$AM163&lt;&gt;"بدهکار"),"",$AJ163)</f>
        <v/>
      </c>
      <c r="Z163" s="76">
        <f>IF(OR($X163="",$AJ163="",$AJ163=0,$AM163&lt;&gt;"بستانکار"),"",$AJ163)</f>
        <v/>
      </c>
      <c r="AA163" s="70">
        <f>IF(OR($E163="",$AN163="—",$AN163=""),"",IFERROR(VLOOKUP($E163,OpTbl,12,0),""))</f>
        <v/>
      </c>
      <c r="AB163" s="76">
        <f>IF(OR($AA163="",$Q163="",$Q163=0,$AN163&lt;&gt;"بدهکار"),"",$Q163)</f>
        <v/>
      </c>
      <c r="AC163" s="76">
        <f>IF(OR($AA163="",$Q163="",$Q163=0,$AN163&lt;&gt;"بستانکار"),"",$Q163)</f>
        <v/>
      </c>
      <c r="AD163" s="70">
        <f>IF($AA163="","",IFERROR(VLOOKUP($E163,OpTbl,13,0),""))</f>
        <v/>
      </c>
      <c r="AE163" s="76">
        <f>IF(OR($AD163="",$Q163="",$Q163=0,$AN163&lt;&gt;"بستانکار"),"",$Q163)</f>
        <v/>
      </c>
      <c r="AF163" s="76">
        <f>IF(OR($AD163="",$Q163="",$Q163=0,$AN163&lt;&gt;"بدهکار"),"",$Q163)</f>
        <v/>
      </c>
      <c r="AG163" s="76">
        <f>SUM($V163,$Y163,$AB163,$AE163)</f>
        <v/>
      </c>
      <c r="AH163" s="76">
        <f>SUM($W163,$Z163,$AC163,$AF163)</f>
        <v/>
      </c>
      <c r="AI163" s="70">
        <f>IF($E163="","",IF(ROUND($AG163-$AH163,0)=0,"✓","⚠"))</f>
        <v/>
      </c>
      <c r="AJ163" s="76">
        <f>IF(OR($E163="",$U163=""),"",IFERROR(IF(VLOOKUP($E163,OpTbl,6,0)="وزن",IF($P163="",0,$P163),IF(VLOOKUP($E163,OpTbl,6,0)="مبلغ",IF(AND($Q163&lt;&gt;"",$Q163&lt;&gt;0),$Q163,$P163),0))+IF(VLOOKUP($E163,OpTbl,10,0)="افزودن",IF($Q163="",0,$Q163),0),0))</f>
        <v/>
      </c>
      <c r="AK163" s="70">
        <f>IF($E163="","",IFERROR(VLOOKUP($E163,OpTbl,10,0),""))</f>
        <v/>
      </c>
      <c r="AL163" s="70">
        <f>IF(OR($E163="",$U163=""),"",IFERROR(IF(VLOOKUP($E163,OpTbl,7,0)="خودکار",$R163,VLOOKUP($E163,OpTbl,7,0)),""))</f>
        <v/>
      </c>
      <c r="AM163" s="70">
        <f>IF(OR($E163="",$X163=""),"",IFERROR(IF(VLOOKUP($E163,OpTbl,9,0)="خودکار",IF($AL163="بدهکار","بستانکار",IF($AL163="بستانکار","بدهکار","")),VLOOKUP($E163,OpTbl,9,0)),""))</f>
        <v/>
      </c>
      <c r="AN163" s="70">
        <f>IF($E163="","",IFERROR(VLOOKUP($E163,OpTbl,11,0),""))</f>
        <v/>
      </c>
      <c r="AO163" s="70">
        <f>IF($B163="","",MID($B163,6,2))</f>
        <v/>
      </c>
      <c r="AP163" s="76">
        <f>IF($B163="",0,1)</f>
        <v/>
      </c>
    </row>
    <row r="164" ht="21.75" customHeight="1">
      <c r="A164" s="70">
        <f>IF($B164="","",COUNTA($B$10:$B164))</f>
        <v/>
      </c>
      <c r="B164" s="71" t="n"/>
      <c r="C164" s="71" t="n"/>
      <c r="D164" s="71" t="n"/>
      <c r="E164" s="71" t="n"/>
      <c r="F164" s="70">
        <f>IF($E164="","",IFERROR(VLOOKUP($E164,OpTbl,2,0),""))</f>
        <v/>
      </c>
      <c r="G164" s="71" t="n"/>
      <c r="H164" s="73">
        <f>IF($U164="","",IFERROR(VLOOKUP($U164,AcctTbl,2,0),"کد ناشناخته"))</f>
        <v/>
      </c>
      <c r="I164" s="70">
        <f>IF($U164="","",IFERROR(VLOOKUP($U164,AcctTbl,3,0),""))</f>
        <v/>
      </c>
      <c r="J164" s="72" t="n"/>
      <c r="K164" s="71" t="n"/>
      <c r="L164" s="74" t="n"/>
      <c r="M164" s="74" t="n"/>
      <c r="N164" s="148">
        <f>IF(OR($E164="",$L164=""),"",IFERROR(($L164-IF($M164="",0,$M164)*IFERROR(VLOOKUP($K164,BasketTbl,4,0),IFERROR(INDEX(BasketTbl,MATCH($K164,BasketCodeCol,0),4),VLOOKUP("P01",ParamTbl,2,0))))*(1-IF(VLOOKUP($E164,OpTbl,3,0)="خرید",VLOOKUP("P02",ParamTbl,2,0),0)/100),""))</f>
        <v/>
      </c>
      <c r="O164" s="74" t="n"/>
      <c r="P164" s="76">
        <f>IF(OR($E164="",$L164=""),"",IFERROR(IF(VLOOKUP($E164,OpTbl,6,0)="وزن",ROUND($N164*$O164,-3),IF(VLOOKUP($E164,OpTbl,6,0)="مبلغ",ROUND($L164*$O164,-3),0)),""))</f>
        <v/>
      </c>
      <c r="Q164" s="74" t="n"/>
      <c r="R164" s="71" t="n"/>
      <c r="S164" s="77">
        <f>IF($E164="","",IF($AI164="⚠","⚠ ناتراز",IF(AND(IFERROR(VLOOKUP($E164,OpTbl,4,0),"")="بله",$L164=""),"⚠ وزن",IF(AND(IFERROR(VLOOKUP($E164,OpTbl,5,0),"")="بله",$U164=""),"⚠ حساب",IF(AND(IFERROR(VLOOKUP($E164,OpTbl,6,0),"")="مبلغ",$Q164=""),"⚠ مبلغ","✓")))))</f>
        <v/>
      </c>
      <c r="T164" s="72" t="n"/>
      <c r="U164" s="70">
        <f>IF($E164="","",IFERROR(IF(VLOOKUP($E164,OpTbl,14,0)&lt;&gt;"",VLOOKUP($E164,OpTbl,14,0),$G164),""))</f>
        <v/>
      </c>
      <c r="V164" s="76">
        <f>IF(OR($AJ164="",$AJ164=0,$AL164&lt;&gt;"بدهکار"),"",$AJ164)</f>
        <v/>
      </c>
      <c r="W164" s="76">
        <f>IF(OR($AJ164="",$AJ164=0,$AL164&lt;&gt;"بستانکار"),"",$AJ164)</f>
        <v/>
      </c>
      <c r="X164" s="70">
        <f>IF($E164="","",IFERROR(VLOOKUP($E164,OpTbl,8,0),""))</f>
        <v/>
      </c>
      <c r="Y164" s="76">
        <f>IF(OR($X164="",$AJ164="",$AJ164=0,$AM164&lt;&gt;"بدهکار"),"",$AJ164)</f>
        <v/>
      </c>
      <c r="Z164" s="76">
        <f>IF(OR($X164="",$AJ164="",$AJ164=0,$AM164&lt;&gt;"بستانکار"),"",$AJ164)</f>
        <v/>
      </c>
      <c r="AA164" s="70">
        <f>IF(OR($E164="",$AN164="—",$AN164=""),"",IFERROR(VLOOKUP($E164,OpTbl,12,0),""))</f>
        <v/>
      </c>
      <c r="AB164" s="76">
        <f>IF(OR($AA164="",$Q164="",$Q164=0,$AN164&lt;&gt;"بدهکار"),"",$Q164)</f>
        <v/>
      </c>
      <c r="AC164" s="76">
        <f>IF(OR($AA164="",$Q164="",$Q164=0,$AN164&lt;&gt;"بستانکار"),"",$Q164)</f>
        <v/>
      </c>
      <c r="AD164" s="70">
        <f>IF($AA164="","",IFERROR(VLOOKUP($E164,OpTbl,13,0),""))</f>
        <v/>
      </c>
      <c r="AE164" s="76">
        <f>IF(OR($AD164="",$Q164="",$Q164=0,$AN164&lt;&gt;"بستانکار"),"",$Q164)</f>
        <v/>
      </c>
      <c r="AF164" s="76">
        <f>IF(OR($AD164="",$Q164="",$Q164=0,$AN164&lt;&gt;"بدهکار"),"",$Q164)</f>
        <v/>
      </c>
      <c r="AG164" s="76">
        <f>SUM($V164,$Y164,$AB164,$AE164)</f>
        <v/>
      </c>
      <c r="AH164" s="76">
        <f>SUM($W164,$Z164,$AC164,$AF164)</f>
        <v/>
      </c>
      <c r="AI164" s="70">
        <f>IF($E164="","",IF(ROUND($AG164-$AH164,0)=0,"✓","⚠"))</f>
        <v/>
      </c>
      <c r="AJ164" s="76">
        <f>IF(OR($E164="",$U164=""),"",IFERROR(IF(VLOOKUP($E164,OpTbl,6,0)="وزن",IF($P164="",0,$P164),IF(VLOOKUP($E164,OpTbl,6,0)="مبلغ",IF(AND($Q164&lt;&gt;"",$Q164&lt;&gt;0),$Q164,$P164),0))+IF(VLOOKUP($E164,OpTbl,10,0)="افزودن",IF($Q164="",0,$Q164),0),0))</f>
        <v/>
      </c>
      <c r="AK164" s="70">
        <f>IF($E164="","",IFERROR(VLOOKUP($E164,OpTbl,10,0),""))</f>
        <v/>
      </c>
      <c r="AL164" s="70">
        <f>IF(OR($E164="",$U164=""),"",IFERROR(IF(VLOOKUP($E164,OpTbl,7,0)="خودکار",$R164,VLOOKUP($E164,OpTbl,7,0)),""))</f>
        <v/>
      </c>
      <c r="AM164" s="70">
        <f>IF(OR($E164="",$X164=""),"",IFERROR(IF(VLOOKUP($E164,OpTbl,9,0)="خودکار",IF($AL164="بدهکار","بستانکار",IF($AL164="بستانکار","بدهکار","")),VLOOKUP($E164,OpTbl,9,0)),""))</f>
        <v/>
      </c>
      <c r="AN164" s="70">
        <f>IF($E164="","",IFERROR(VLOOKUP($E164,OpTbl,11,0),""))</f>
        <v/>
      </c>
      <c r="AO164" s="70">
        <f>IF($B164="","",MID($B164,6,2))</f>
        <v/>
      </c>
      <c r="AP164" s="76">
        <f>IF($B164="",0,1)</f>
        <v/>
      </c>
    </row>
    <row r="165" ht="21.75" customHeight="1">
      <c r="A165" s="70">
        <f>IF($B165="","",COUNTA($B$10:$B165))</f>
        <v/>
      </c>
      <c r="B165" s="71" t="n"/>
      <c r="C165" s="71" t="n"/>
      <c r="D165" s="71" t="n"/>
      <c r="E165" s="71" t="n"/>
      <c r="F165" s="70">
        <f>IF($E165="","",IFERROR(VLOOKUP($E165,OpTbl,2,0),""))</f>
        <v/>
      </c>
      <c r="G165" s="71" t="n"/>
      <c r="H165" s="73">
        <f>IF($U165="","",IFERROR(VLOOKUP($U165,AcctTbl,2,0),"کد ناشناخته"))</f>
        <v/>
      </c>
      <c r="I165" s="70">
        <f>IF($U165="","",IFERROR(VLOOKUP($U165,AcctTbl,3,0),""))</f>
        <v/>
      </c>
      <c r="J165" s="72" t="n"/>
      <c r="K165" s="71" t="n"/>
      <c r="L165" s="74" t="n"/>
      <c r="M165" s="74" t="n"/>
      <c r="N165" s="148">
        <f>IF(OR($E165="",$L165=""),"",IFERROR(($L165-IF($M165="",0,$M165)*IFERROR(VLOOKUP($K165,BasketTbl,4,0),IFERROR(INDEX(BasketTbl,MATCH($K165,BasketCodeCol,0),4),VLOOKUP("P01",ParamTbl,2,0))))*(1-IF(VLOOKUP($E165,OpTbl,3,0)="خرید",VLOOKUP("P02",ParamTbl,2,0),0)/100),""))</f>
        <v/>
      </c>
      <c r="O165" s="74" t="n"/>
      <c r="P165" s="76">
        <f>IF(OR($E165="",$L165=""),"",IFERROR(IF(VLOOKUP($E165,OpTbl,6,0)="وزن",ROUND($N165*$O165,-3),IF(VLOOKUP($E165,OpTbl,6,0)="مبلغ",ROUND($L165*$O165,-3),0)),""))</f>
        <v/>
      </c>
      <c r="Q165" s="74" t="n"/>
      <c r="R165" s="71" t="n"/>
      <c r="S165" s="77">
        <f>IF($E165="","",IF($AI165="⚠","⚠ ناتراز",IF(AND(IFERROR(VLOOKUP($E165,OpTbl,4,0),"")="بله",$L165=""),"⚠ وزن",IF(AND(IFERROR(VLOOKUP($E165,OpTbl,5,0),"")="بله",$U165=""),"⚠ حساب",IF(AND(IFERROR(VLOOKUP($E165,OpTbl,6,0),"")="مبلغ",$Q165=""),"⚠ مبلغ","✓")))))</f>
        <v/>
      </c>
      <c r="T165" s="72" t="n"/>
      <c r="U165" s="70">
        <f>IF($E165="","",IFERROR(IF(VLOOKUP($E165,OpTbl,14,0)&lt;&gt;"",VLOOKUP($E165,OpTbl,14,0),$G165),""))</f>
        <v/>
      </c>
      <c r="V165" s="76">
        <f>IF(OR($AJ165="",$AJ165=0,$AL165&lt;&gt;"بدهکار"),"",$AJ165)</f>
        <v/>
      </c>
      <c r="W165" s="76">
        <f>IF(OR($AJ165="",$AJ165=0,$AL165&lt;&gt;"بستانکار"),"",$AJ165)</f>
        <v/>
      </c>
      <c r="X165" s="70">
        <f>IF($E165="","",IFERROR(VLOOKUP($E165,OpTbl,8,0),""))</f>
        <v/>
      </c>
      <c r="Y165" s="76">
        <f>IF(OR($X165="",$AJ165="",$AJ165=0,$AM165&lt;&gt;"بدهکار"),"",$AJ165)</f>
        <v/>
      </c>
      <c r="Z165" s="76">
        <f>IF(OR($X165="",$AJ165="",$AJ165=0,$AM165&lt;&gt;"بستانکار"),"",$AJ165)</f>
        <v/>
      </c>
      <c r="AA165" s="70">
        <f>IF(OR($E165="",$AN165="—",$AN165=""),"",IFERROR(VLOOKUP($E165,OpTbl,12,0),""))</f>
        <v/>
      </c>
      <c r="AB165" s="76">
        <f>IF(OR($AA165="",$Q165="",$Q165=0,$AN165&lt;&gt;"بدهکار"),"",$Q165)</f>
        <v/>
      </c>
      <c r="AC165" s="76">
        <f>IF(OR($AA165="",$Q165="",$Q165=0,$AN165&lt;&gt;"بستانکار"),"",$Q165)</f>
        <v/>
      </c>
      <c r="AD165" s="70">
        <f>IF($AA165="","",IFERROR(VLOOKUP($E165,OpTbl,13,0),""))</f>
        <v/>
      </c>
      <c r="AE165" s="76">
        <f>IF(OR($AD165="",$Q165="",$Q165=0,$AN165&lt;&gt;"بستانکار"),"",$Q165)</f>
        <v/>
      </c>
      <c r="AF165" s="76">
        <f>IF(OR($AD165="",$Q165="",$Q165=0,$AN165&lt;&gt;"بدهکار"),"",$Q165)</f>
        <v/>
      </c>
      <c r="AG165" s="76">
        <f>SUM($V165,$Y165,$AB165,$AE165)</f>
        <v/>
      </c>
      <c r="AH165" s="76">
        <f>SUM($W165,$Z165,$AC165,$AF165)</f>
        <v/>
      </c>
      <c r="AI165" s="70">
        <f>IF($E165="","",IF(ROUND($AG165-$AH165,0)=0,"✓","⚠"))</f>
        <v/>
      </c>
      <c r="AJ165" s="76">
        <f>IF(OR($E165="",$U165=""),"",IFERROR(IF(VLOOKUP($E165,OpTbl,6,0)="وزن",IF($P165="",0,$P165),IF(VLOOKUP($E165,OpTbl,6,0)="مبلغ",IF(AND($Q165&lt;&gt;"",$Q165&lt;&gt;0),$Q165,$P165),0))+IF(VLOOKUP($E165,OpTbl,10,0)="افزودن",IF($Q165="",0,$Q165),0),0))</f>
        <v/>
      </c>
      <c r="AK165" s="70">
        <f>IF($E165="","",IFERROR(VLOOKUP($E165,OpTbl,10,0),""))</f>
        <v/>
      </c>
      <c r="AL165" s="70">
        <f>IF(OR($E165="",$U165=""),"",IFERROR(IF(VLOOKUP($E165,OpTbl,7,0)="خودکار",$R165,VLOOKUP($E165,OpTbl,7,0)),""))</f>
        <v/>
      </c>
      <c r="AM165" s="70">
        <f>IF(OR($E165="",$X165=""),"",IFERROR(IF(VLOOKUP($E165,OpTbl,9,0)="خودکار",IF($AL165="بدهکار","بستانکار",IF($AL165="بستانکار","بدهکار","")),VLOOKUP($E165,OpTbl,9,0)),""))</f>
        <v/>
      </c>
      <c r="AN165" s="70">
        <f>IF($E165="","",IFERROR(VLOOKUP($E165,OpTbl,11,0),""))</f>
        <v/>
      </c>
      <c r="AO165" s="70">
        <f>IF($B165="","",MID($B165,6,2))</f>
        <v/>
      </c>
      <c r="AP165" s="76">
        <f>IF($B165="",0,1)</f>
        <v/>
      </c>
    </row>
    <row r="166" ht="21.75" customHeight="1">
      <c r="A166" s="70">
        <f>IF($B166="","",COUNTA($B$10:$B166))</f>
        <v/>
      </c>
      <c r="B166" s="71" t="n"/>
      <c r="C166" s="71" t="n"/>
      <c r="D166" s="71" t="n"/>
      <c r="E166" s="71" t="n"/>
      <c r="F166" s="70">
        <f>IF($E166="","",IFERROR(VLOOKUP($E166,OpTbl,2,0),""))</f>
        <v/>
      </c>
      <c r="G166" s="71" t="n"/>
      <c r="H166" s="73">
        <f>IF($U166="","",IFERROR(VLOOKUP($U166,AcctTbl,2,0),"کد ناشناخته"))</f>
        <v/>
      </c>
      <c r="I166" s="70">
        <f>IF($U166="","",IFERROR(VLOOKUP($U166,AcctTbl,3,0),""))</f>
        <v/>
      </c>
      <c r="J166" s="72" t="n"/>
      <c r="K166" s="71" t="n"/>
      <c r="L166" s="74" t="n"/>
      <c r="M166" s="74" t="n"/>
      <c r="N166" s="148">
        <f>IF(OR($E166="",$L166=""),"",IFERROR(($L166-IF($M166="",0,$M166)*IFERROR(VLOOKUP($K166,BasketTbl,4,0),IFERROR(INDEX(BasketTbl,MATCH($K166,BasketCodeCol,0),4),VLOOKUP("P01",ParamTbl,2,0))))*(1-IF(VLOOKUP($E166,OpTbl,3,0)="خرید",VLOOKUP("P02",ParamTbl,2,0),0)/100),""))</f>
        <v/>
      </c>
      <c r="O166" s="74" t="n"/>
      <c r="P166" s="76">
        <f>IF(OR($E166="",$L166=""),"",IFERROR(IF(VLOOKUP($E166,OpTbl,6,0)="وزن",ROUND($N166*$O166,-3),IF(VLOOKUP($E166,OpTbl,6,0)="مبلغ",ROUND($L166*$O166,-3),0)),""))</f>
        <v/>
      </c>
      <c r="Q166" s="74" t="n"/>
      <c r="R166" s="71" t="n"/>
      <c r="S166" s="77">
        <f>IF($E166="","",IF($AI166="⚠","⚠ ناتراز",IF(AND(IFERROR(VLOOKUP($E166,OpTbl,4,0),"")="بله",$L166=""),"⚠ وزن",IF(AND(IFERROR(VLOOKUP($E166,OpTbl,5,0),"")="بله",$U166=""),"⚠ حساب",IF(AND(IFERROR(VLOOKUP($E166,OpTbl,6,0),"")="مبلغ",$Q166=""),"⚠ مبلغ","✓")))))</f>
        <v/>
      </c>
      <c r="T166" s="72" t="n"/>
      <c r="U166" s="70">
        <f>IF($E166="","",IFERROR(IF(VLOOKUP($E166,OpTbl,14,0)&lt;&gt;"",VLOOKUP($E166,OpTbl,14,0),$G166),""))</f>
        <v/>
      </c>
      <c r="V166" s="76">
        <f>IF(OR($AJ166="",$AJ166=0,$AL166&lt;&gt;"بدهکار"),"",$AJ166)</f>
        <v/>
      </c>
      <c r="W166" s="76">
        <f>IF(OR($AJ166="",$AJ166=0,$AL166&lt;&gt;"بستانکار"),"",$AJ166)</f>
        <v/>
      </c>
      <c r="X166" s="70">
        <f>IF($E166="","",IFERROR(VLOOKUP($E166,OpTbl,8,0),""))</f>
        <v/>
      </c>
      <c r="Y166" s="76">
        <f>IF(OR($X166="",$AJ166="",$AJ166=0,$AM166&lt;&gt;"بدهکار"),"",$AJ166)</f>
        <v/>
      </c>
      <c r="Z166" s="76">
        <f>IF(OR($X166="",$AJ166="",$AJ166=0,$AM166&lt;&gt;"بستانکار"),"",$AJ166)</f>
        <v/>
      </c>
      <c r="AA166" s="70">
        <f>IF(OR($E166="",$AN166="—",$AN166=""),"",IFERROR(VLOOKUP($E166,OpTbl,12,0),""))</f>
        <v/>
      </c>
      <c r="AB166" s="76">
        <f>IF(OR($AA166="",$Q166="",$Q166=0,$AN166&lt;&gt;"بدهکار"),"",$Q166)</f>
        <v/>
      </c>
      <c r="AC166" s="76">
        <f>IF(OR($AA166="",$Q166="",$Q166=0,$AN166&lt;&gt;"بستانکار"),"",$Q166)</f>
        <v/>
      </c>
      <c r="AD166" s="70">
        <f>IF($AA166="","",IFERROR(VLOOKUP($E166,OpTbl,13,0),""))</f>
        <v/>
      </c>
      <c r="AE166" s="76">
        <f>IF(OR($AD166="",$Q166="",$Q166=0,$AN166&lt;&gt;"بستانکار"),"",$Q166)</f>
        <v/>
      </c>
      <c r="AF166" s="76">
        <f>IF(OR($AD166="",$Q166="",$Q166=0,$AN166&lt;&gt;"بدهکار"),"",$Q166)</f>
        <v/>
      </c>
      <c r="AG166" s="76">
        <f>SUM($V166,$Y166,$AB166,$AE166)</f>
        <v/>
      </c>
      <c r="AH166" s="76">
        <f>SUM($W166,$Z166,$AC166,$AF166)</f>
        <v/>
      </c>
      <c r="AI166" s="70">
        <f>IF($E166="","",IF(ROUND($AG166-$AH166,0)=0,"✓","⚠"))</f>
        <v/>
      </c>
      <c r="AJ166" s="76">
        <f>IF(OR($E166="",$U166=""),"",IFERROR(IF(VLOOKUP($E166,OpTbl,6,0)="وزن",IF($P166="",0,$P166),IF(VLOOKUP($E166,OpTbl,6,0)="مبلغ",IF(AND($Q166&lt;&gt;"",$Q166&lt;&gt;0),$Q166,$P166),0))+IF(VLOOKUP($E166,OpTbl,10,0)="افزودن",IF($Q166="",0,$Q166),0),0))</f>
        <v/>
      </c>
      <c r="AK166" s="70">
        <f>IF($E166="","",IFERROR(VLOOKUP($E166,OpTbl,10,0),""))</f>
        <v/>
      </c>
      <c r="AL166" s="70">
        <f>IF(OR($E166="",$U166=""),"",IFERROR(IF(VLOOKUP($E166,OpTbl,7,0)="خودکار",$R166,VLOOKUP($E166,OpTbl,7,0)),""))</f>
        <v/>
      </c>
      <c r="AM166" s="70">
        <f>IF(OR($E166="",$X166=""),"",IFERROR(IF(VLOOKUP($E166,OpTbl,9,0)="خودکار",IF($AL166="بدهکار","بستانکار",IF($AL166="بستانکار","بدهکار","")),VLOOKUP($E166,OpTbl,9,0)),""))</f>
        <v/>
      </c>
      <c r="AN166" s="70">
        <f>IF($E166="","",IFERROR(VLOOKUP($E166,OpTbl,11,0),""))</f>
        <v/>
      </c>
      <c r="AO166" s="70">
        <f>IF($B166="","",MID($B166,6,2))</f>
        <v/>
      </c>
      <c r="AP166" s="76">
        <f>IF($B166="",0,1)</f>
        <v/>
      </c>
    </row>
    <row r="167" ht="21.75" customHeight="1">
      <c r="A167" s="70">
        <f>IF($B167="","",COUNTA($B$10:$B167))</f>
        <v/>
      </c>
      <c r="B167" s="71" t="n"/>
      <c r="C167" s="71" t="n"/>
      <c r="D167" s="71" t="n"/>
      <c r="E167" s="71" t="n"/>
      <c r="F167" s="70">
        <f>IF($E167="","",IFERROR(VLOOKUP($E167,OpTbl,2,0),""))</f>
        <v/>
      </c>
      <c r="G167" s="71" t="n"/>
      <c r="H167" s="73">
        <f>IF($U167="","",IFERROR(VLOOKUP($U167,AcctTbl,2,0),"کد ناشناخته"))</f>
        <v/>
      </c>
      <c r="I167" s="70">
        <f>IF($U167="","",IFERROR(VLOOKUP($U167,AcctTbl,3,0),""))</f>
        <v/>
      </c>
      <c r="J167" s="72" t="n"/>
      <c r="K167" s="71" t="n"/>
      <c r="L167" s="74" t="n"/>
      <c r="M167" s="74" t="n"/>
      <c r="N167" s="148">
        <f>IF(OR($E167="",$L167=""),"",IFERROR(($L167-IF($M167="",0,$M167)*IFERROR(VLOOKUP($K167,BasketTbl,4,0),IFERROR(INDEX(BasketTbl,MATCH($K167,BasketCodeCol,0),4),VLOOKUP("P01",ParamTbl,2,0))))*(1-IF(VLOOKUP($E167,OpTbl,3,0)="خرید",VLOOKUP("P02",ParamTbl,2,0),0)/100),""))</f>
        <v/>
      </c>
      <c r="O167" s="74" t="n"/>
      <c r="P167" s="76">
        <f>IF(OR($E167="",$L167=""),"",IFERROR(IF(VLOOKUP($E167,OpTbl,6,0)="وزن",ROUND($N167*$O167,-3),IF(VLOOKUP($E167,OpTbl,6,0)="مبلغ",ROUND($L167*$O167,-3),0)),""))</f>
        <v/>
      </c>
      <c r="Q167" s="74" t="n"/>
      <c r="R167" s="71" t="n"/>
      <c r="S167" s="77">
        <f>IF($E167="","",IF($AI167="⚠","⚠ ناتراز",IF(AND(IFERROR(VLOOKUP($E167,OpTbl,4,0),"")="بله",$L167=""),"⚠ وزن",IF(AND(IFERROR(VLOOKUP($E167,OpTbl,5,0),"")="بله",$U167=""),"⚠ حساب",IF(AND(IFERROR(VLOOKUP($E167,OpTbl,6,0),"")="مبلغ",$Q167=""),"⚠ مبلغ","✓")))))</f>
        <v/>
      </c>
      <c r="T167" s="72" t="n"/>
      <c r="U167" s="70">
        <f>IF($E167="","",IFERROR(IF(VLOOKUP($E167,OpTbl,14,0)&lt;&gt;"",VLOOKUP($E167,OpTbl,14,0),$G167),""))</f>
        <v/>
      </c>
      <c r="V167" s="76">
        <f>IF(OR($AJ167="",$AJ167=0,$AL167&lt;&gt;"بدهکار"),"",$AJ167)</f>
        <v/>
      </c>
      <c r="W167" s="76">
        <f>IF(OR($AJ167="",$AJ167=0,$AL167&lt;&gt;"بستانکار"),"",$AJ167)</f>
        <v/>
      </c>
      <c r="X167" s="70">
        <f>IF($E167="","",IFERROR(VLOOKUP($E167,OpTbl,8,0),""))</f>
        <v/>
      </c>
      <c r="Y167" s="76">
        <f>IF(OR($X167="",$AJ167="",$AJ167=0,$AM167&lt;&gt;"بدهکار"),"",$AJ167)</f>
        <v/>
      </c>
      <c r="Z167" s="76">
        <f>IF(OR($X167="",$AJ167="",$AJ167=0,$AM167&lt;&gt;"بستانکار"),"",$AJ167)</f>
        <v/>
      </c>
      <c r="AA167" s="70">
        <f>IF(OR($E167="",$AN167="—",$AN167=""),"",IFERROR(VLOOKUP($E167,OpTbl,12,0),""))</f>
        <v/>
      </c>
      <c r="AB167" s="76">
        <f>IF(OR($AA167="",$Q167="",$Q167=0,$AN167&lt;&gt;"بدهکار"),"",$Q167)</f>
        <v/>
      </c>
      <c r="AC167" s="76">
        <f>IF(OR($AA167="",$Q167="",$Q167=0,$AN167&lt;&gt;"بستانکار"),"",$Q167)</f>
        <v/>
      </c>
      <c r="AD167" s="70">
        <f>IF($AA167="","",IFERROR(VLOOKUP($E167,OpTbl,13,0),""))</f>
        <v/>
      </c>
      <c r="AE167" s="76">
        <f>IF(OR($AD167="",$Q167="",$Q167=0,$AN167&lt;&gt;"بستانکار"),"",$Q167)</f>
        <v/>
      </c>
      <c r="AF167" s="76">
        <f>IF(OR($AD167="",$Q167="",$Q167=0,$AN167&lt;&gt;"بدهکار"),"",$Q167)</f>
        <v/>
      </c>
      <c r="AG167" s="76">
        <f>SUM($V167,$Y167,$AB167,$AE167)</f>
        <v/>
      </c>
      <c r="AH167" s="76">
        <f>SUM($W167,$Z167,$AC167,$AF167)</f>
        <v/>
      </c>
      <c r="AI167" s="70">
        <f>IF($E167="","",IF(ROUND($AG167-$AH167,0)=0,"✓","⚠"))</f>
        <v/>
      </c>
      <c r="AJ167" s="76">
        <f>IF(OR($E167="",$U167=""),"",IFERROR(IF(VLOOKUP($E167,OpTbl,6,0)="وزن",IF($P167="",0,$P167),IF(VLOOKUP($E167,OpTbl,6,0)="مبلغ",IF(AND($Q167&lt;&gt;"",$Q167&lt;&gt;0),$Q167,$P167),0))+IF(VLOOKUP($E167,OpTbl,10,0)="افزودن",IF($Q167="",0,$Q167),0),0))</f>
        <v/>
      </c>
      <c r="AK167" s="70">
        <f>IF($E167="","",IFERROR(VLOOKUP($E167,OpTbl,10,0),""))</f>
        <v/>
      </c>
      <c r="AL167" s="70">
        <f>IF(OR($E167="",$U167=""),"",IFERROR(IF(VLOOKUP($E167,OpTbl,7,0)="خودکار",$R167,VLOOKUP($E167,OpTbl,7,0)),""))</f>
        <v/>
      </c>
      <c r="AM167" s="70">
        <f>IF(OR($E167="",$X167=""),"",IFERROR(IF(VLOOKUP($E167,OpTbl,9,0)="خودکار",IF($AL167="بدهکار","بستانکار",IF($AL167="بستانکار","بدهکار","")),VLOOKUP($E167,OpTbl,9,0)),""))</f>
        <v/>
      </c>
      <c r="AN167" s="70">
        <f>IF($E167="","",IFERROR(VLOOKUP($E167,OpTbl,11,0),""))</f>
        <v/>
      </c>
      <c r="AO167" s="70">
        <f>IF($B167="","",MID($B167,6,2))</f>
        <v/>
      </c>
      <c r="AP167" s="76">
        <f>IF($B167="",0,1)</f>
        <v/>
      </c>
    </row>
    <row r="168" ht="21.75" customHeight="1">
      <c r="A168" s="70">
        <f>IF($B168="","",COUNTA($B$10:$B168))</f>
        <v/>
      </c>
      <c r="B168" s="71" t="n"/>
      <c r="C168" s="71" t="n"/>
      <c r="D168" s="71" t="n"/>
      <c r="E168" s="71" t="n"/>
      <c r="F168" s="70">
        <f>IF($E168="","",IFERROR(VLOOKUP($E168,OpTbl,2,0),""))</f>
        <v/>
      </c>
      <c r="G168" s="71" t="n"/>
      <c r="H168" s="73">
        <f>IF($U168="","",IFERROR(VLOOKUP($U168,AcctTbl,2,0),"کد ناشناخته"))</f>
        <v/>
      </c>
      <c r="I168" s="70">
        <f>IF($U168="","",IFERROR(VLOOKUP($U168,AcctTbl,3,0),""))</f>
        <v/>
      </c>
      <c r="J168" s="72" t="n"/>
      <c r="K168" s="71" t="n"/>
      <c r="L168" s="74" t="n"/>
      <c r="M168" s="74" t="n"/>
      <c r="N168" s="148">
        <f>IF(OR($E168="",$L168=""),"",IFERROR(($L168-IF($M168="",0,$M168)*IFERROR(VLOOKUP($K168,BasketTbl,4,0),IFERROR(INDEX(BasketTbl,MATCH($K168,BasketCodeCol,0),4),VLOOKUP("P01",ParamTbl,2,0))))*(1-IF(VLOOKUP($E168,OpTbl,3,0)="خرید",VLOOKUP("P02",ParamTbl,2,0),0)/100),""))</f>
        <v/>
      </c>
      <c r="O168" s="74" t="n"/>
      <c r="P168" s="76">
        <f>IF(OR($E168="",$L168=""),"",IFERROR(IF(VLOOKUP($E168,OpTbl,6,0)="وزن",ROUND($N168*$O168,-3),IF(VLOOKUP($E168,OpTbl,6,0)="مبلغ",ROUND($L168*$O168,-3),0)),""))</f>
        <v/>
      </c>
      <c r="Q168" s="74" t="n"/>
      <c r="R168" s="71" t="n"/>
      <c r="S168" s="77">
        <f>IF($E168="","",IF($AI168="⚠","⚠ ناتراز",IF(AND(IFERROR(VLOOKUP($E168,OpTbl,4,0),"")="بله",$L168=""),"⚠ وزن",IF(AND(IFERROR(VLOOKUP($E168,OpTbl,5,0),"")="بله",$U168=""),"⚠ حساب",IF(AND(IFERROR(VLOOKUP($E168,OpTbl,6,0),"")="مبلغ",$Q168=""),"⚠ مبلغ","✓")))))</f>
        <v/>
      </c>
      <c r="T168" s="72" t="n"/>
      <c r="U168" s="70">
        <f>IF($E168="","",IFERROR(IF(VLOOKUP($E168,OpTbl,14,0)&lt;&gt;"",VLOOKUP($E168,OpTbl,14,0),$G168),""))</f>
        <v/>
      </c>
      <c r="V168" s="76">
        <f>IF(OR($AJ168="",$AJ168=0,$AL168&lt;&gt;"بدهکار"),"",$AJ168)</f>
        <v/>
      </c>
      <c r="W168" s="76">
        <f>IF(OR($AJ168="",$AJ168=0,$AL168&lt;&gt;"بستانکار"),"",$AJ168)</f>
        <v/>
      </c>
      <c r="X168" s="70">
        <f>IF($E168="","",IFERROR(VLOOKUP($E168,OpTbl,8,0),""))</f>
        <v/>
      </c>
      <c r="Y168" s="76">
        <f>IF(OR($X168="",$AJ168="",$AJ168=0,$AM168&lt;&gt;"بدهکار"),"",$AJ168)</f>
        <v/>
      </c>
      <c r="Z168" s="76">
        <f>IF(OR($X168="",$AJ168="",$AJ168=0,$AM168&lt;&gt;"بستانکار"),"",$AJ168)</f>
        <v/>
      </c>
      <c r="AA168" s="70">
        <f>IF(OR($E168="",$AN168="—",$AN168=""),"",IFERROR(VLOOKUP($E168,OpTbl,12,0),""))</f>
        <v/>
      </c>
      <c r="AB168" s="76">
        <f>IF(OR($AA168="",$Q168="",$Q168=0,$AN168&lt;&gt;"بدهکار"),"",$Q168)</f>
        <v/>
      </c>
      <c r="AC168" s="76">
        <f>IF(OR($AA168="",$Q168="",$Q168=0,$AN168&lt;&gt;"بستانکار"),"",$Q168)</f>
        <v/>
      </c>
      <c r="AD168" s="70">
        <f>IF($AA168="","",IFERROR(VLOOKUP($E168,OpTbl,13,0),""))</f>
        <v/>
      </c>
      <c r="AE168" s="76">
        <f>IF(OR($AD168="",$Q168="",$Q168=0,$AN168&lt;&gt;"بستانکار"),"",$Q168)</f>
        <v/>
      </c>
      <c r="AF168" s="76">
        <f>IF(OR($AD168="",$Q168="",$Q168=0,$AN168&lt;&gt;"بدهکار"),"",$Q168)</f>
        <v/>
      </c>
      <c r="AG168" s="76">
        <f>SUM($V168,$Y168,$AB168,$AE168)</f>
        <v/>
      </c>
      <c r="AH168" s="76">
        <f>SUM($W168,$Z168,$AC168,$AF168)</f>
        <v/>
      </c>
      <c r="AI168" s="70">
        <f>IF($E168="","",IF(ROUND($AG168-$AH168,0)=0,"✓","⚠"))</f>
        <v/>
      </c>
      <c r="AJ168" s="76">
        <f>IF(OR($E168="",$U168=""),"",IFERROR(IF(VLOOKUP($E168,OpTbl,6,0)="وزن",IF($P168="",0,$P168),IF(VLOOKUP($E168,OpTbl,6,0)="مبلغ",IF(AND($Q168&lt;&gt;"",$Q168&lt;&gt;0),$Q168,$P168),0))+IF(VLOOKUP($E168,OpTbl,10,0)="افزودن",IF($Q168="",0,$Q168),0),0))</f>
        <v/>
      </c>
      <c r="AK168" s="70">
        <f>IF($E168="","",IFERROR(VLOOKUP($E168,OpTbl,10,0),""))</f>
        <v/>
      </c>
      <c r="AL168" s="70">
        <f>IF(OR($E168="",$U168=""),"",IFERROR(IF(VLOOKUP($E168,OpTbl,7,0)="خودکار",$R168,VLOOKUP($E168,OpTbl,7,0)),""))</f>
        <v/>
      </c>
      <c r="AM168" s="70">
        <f>IF(OR($E168="",$X168=""),"",IFERROR(IF(VLOOKUP($E168,OpTbl,9,0)="خودکار",IF($AL168="بدهکار","بستانکار",IF($AL168="بستانکار","بدهکار","")),VLOOKUP($E168,OpTbl,9,0)),""))</f>
        <v/>
      </c>
      <c r="AN168" s="70">
        <f>IF($E168="","",IFERROR(VLOOKUP($E168,OpTbl,11,0),""))</f>
        <v/>
      </c>
      <c r="AO168" s="70">
        <f>IF($B168="","",MID($B168,6,2))</f>
        <v/>
      </c>
      <c r="AP168" s="76">
        <f>IF($B168="",0,1)</f>
        <v/>
      </c>
    </row>
    <row r="169" ht="21.75" customHeight="1">
      <c r="A169" s="70">
        <f>IF($B169="","",COUNTA($B$10:$B169))</f>
        <v/>
      </c>
      <c r="B169" s="71" t="n"/>
      <c r="C169" s="71" t="n"/>
      <c r="D169" s="71" t="n"/>
      <c r="E169" s="71" t="n"/>
      <c r="F169" s="70">
        <f>IF($E169="","",IFERROR(VLOOKUP($E169,OpTbl,2,0),""))</f>
        <v/>
      </c>
      <c r="G169" s="71" t="n"/>
      <c r="H169" s="73">
        <f>IF($U169="","",IFERROR(VLOOKUP($U169,AcctTbl,2,0),"کد ناشناخته"))</f>
        <v/>
      </c>
      <c r="I169" s="70">
        <f>IF($U169="","",IFERROR(VLOOKUP($U169,AcctTbl,3,0),""))</f>
        <v/>
      </c>
      <c r="J169" s="72" t="n"/>
      <c r="K169" s="71" t="n"/>
      <c r="L169" s="74" t="n"/>
      <c r="M169" s="74" t="n"/>
      <c r="N169" s="148">
        <f>IF(OR($E169="",$L169=""),"",IFERROR(($L169-IF($M169="",0,$M169)*IFERROR(VLOOKUP($K169,BasketTbl,4,0),IFERROR(INDEX(BasketTbl,MATCH($K169,BasketCodeCol,0),4),VLOOKUP("P01",ParamTbl,2,0))))*(1-IF(VLOOKUP($E169,OpTbl,3,0)="خرید",VLOOKUP("P02",ParamTbl,2,0),0)/100),""))</f>
        <v/>
      </c>
      <c r="O169" s="74" t="n"/>
      <c r="P169" s="76">
        <f>IF(OR($E169="",$L169=""),"",IFERROR(IF(VLOOKUP($E169,OpTbl,6,0)="وزن",ROUND($N169*$O169,-3),IF(VLOOKUP($E169,OpTbl,6,0)="مبلغ",ROUND($L169*$O169,-3),0)),""))</f>
        <v/>
      </c>
      <c r="Q169" s="74" t="n"/>
      <c r="R169" s="71" t="n"/>
      <c r="S169" s="77">
        <f>IF($E169="","",IF($AI169="⚠","⚠ ناتراز",IF(AND(IFERROR(VLOOKUP($E169,OpTbl,4,0),"")="بله",$L169=""),"⚠ وزن",IF(AND(IFERROR(VLOOKUP($E169,OpTbl,5,0),"")="بله",$U169=""),"⚠ حساب",IF(AND(IFERROR(VLOOKUP($E169,OpTbl,6,0),"")="مبلغ",$Q169=""),"⚠ مبلغ","✓")))))</f>
        <v/>
      </c>
      <c r="T169" s="72" t="n"/>
      <c r="U169" s="70">
        <f>IF($E169="","",IFERROR(IF(VLOOKUP($E169,OpTbl,14,0)&lt;&gt;"",VLOOKUP($E169,OpTbl,14,0),$G169),""))</f>
        <v/>
      </c>
      <c r="V169" s="76">
        <f>IF(OR($AJ169="",$AJ169=0,$AL169&lt;&gt;"بدهکار"),"",$AJ169)</f>
        <v/>
      </c>
      <c r="W169" s="76">
        <f>IF(OR($AJ169="",$AJ169=0,$AL169&lt;&gt;"بستانکار"),"",$AJ169)</f>
        <v/>
      </c>
      <c r="X169" s="70">
        <f>IF($E169="","",IFERROR(VLOOKUP($E169,OpTbl,8,0),""))</f>
        <v/>
      </c>
      <c r="Y169" s="76">
        <f>IF(OR($X169="",$AJ169="",$AJ169=0,$AM169&lt;&gt;"بدهکار"),"",$AJ169)</f>
        <v/>
      </c>
      <c r="Z169" s="76">
        <f>IF(OR($X169="",$AJ169="",$AJ169=0,$AM169&lt;&gt;"بستانکار"),"",$AJ169)</f>
        <v/>
      </c>
      <c r="AA169" s="70">
        <f>IF(OR($E169="",$AN169="—",$AN169=""),"",IFERROR(VLOOKUP($E169,OpTbl,12,0),""))</f>
        <v/>
      </c>
      <c r="AB169" s="76">
        <f>IF(OR($AA169="",$Q169="",$Q169=0,$AN169&lt;&gt;"بدهکار"),"",$Q169)</f>
        <v/>
      </c>
      <c r="AC169" s="76">
        <f>IF(OR($AA169="",$Q169="",$Q169=0,$AN169&lt;&gt;"بستانکار"),"",$Q169)</f>
        <v/>
      </c>
      <c r="AD169" s="70">
        <f>IF($AA169="","",IFERROR(VLOOKUP($E169,OpTbl,13,0),""))</f>
        <v/>
      </c>
      <c r="AE169" s="76">
        <f>IF(OR($AD169="",$Q169="",$Q169=0,$AN169&lt;&gt;"بستانکار"),"",$Q169)</f>
        <v/>
      </c>
      <c r="AF169" s="76">
        <f>IF(OR($AD169="",$Q169="",$Q169=0,$AN169&lt;&gt;"بدهکار"),"",$Q169)</f>
        <v/>
      </c>
      <c r="AG169" s="76">
        <f>SUM($V169,$Y169,$AB169,$AE169)</f>
        <v/>
      </c>
      <c r="AH169" s="76">
        <f>SUM($W169,$Z169,$AC169,$AF169)</f>
        <v/>
      </c>
      <c r="AI169" s="70">
        <f>IF($E169="","",IF(ROUND($AG169-$AH169,0)=0,"✓","⚠"))</f>
        <v/>
      </c>
      <c r="AJ169" s="76">
        <f>IF(OR($E169="",$U169=""),"",IFERROR(IF(VLOOKUP($E169,OpTbl,6,0)="وزن",IF($P169="",0,$P169),IF(VLOOKUP($E169,OpTbl,6,0)="مبلغ",IF(AND($Q169&lt;&gt;"",$Q169&lt;&gt;0),$Q169,$P169),0))+IF(VLOOKUP($E169,OpTbl,10,0)="افزودن",IF($Q169="",0,$Q169),0),0))</f>
        <v/>
      </c>
      <c r="AK169" s="70">
        <f>IF($E169="","",IFERROR(VLOOKUP($E169,OpTbl,10,0),""))</f>
        <v/>
      </c>
      <c r="AL169" s="70">
        <f>IF(OR($E169="",$U169=""),"",IFERROR(IF(VLOOKUP($E169,OpTbl,7,0)="خودکار",$R169,VLOOKUP($E169,OpTbl,7,0)),""))</f>
        <v/>
      </c>
      <c r="AM169" s="70">
        <f>IF(OR($E169="",$X169=""),"",IFERROR(IF(VLOOKUP($E169,OpTbl,9,0)="خودکار",IF($AL169="بدهکار","بستانکار",IF($AL169="بستانکار","بدهکار","")),VLOOKUP($E169,OpTbl,9,0)),""))</f>
        <v/>
      </c>
      <c r="AN169" s="70">
        <f>IF($E169="","",IFERROR(VLOOKUP($E169,OpTbl,11,0),""))</f>
        <v/>
      </c>
      <c r="AO169" s="70">
        <f>IF($B169="","",MID($B169,6,2))</f>
        <v/>
      </c>
      <c r="AP169" s="76">
        <f>IF($B169="",0,1)</f>
        <v/>
      </c>
    </row>
    <row r="170" ht="21.75" customHeight="1">
      <c r="A170" s="70">
        <f>IF($B170="","",COUNTA($B$10:$B170))</f>
        <v/>
      </c>
      <c r="B170" s="71" t="n"/>
      <c r="C170" s="71" t="n"/>
      <c r="D170" s="71" t="n"/>
      <c r="E170" s="71" t="n"/>
      <c r="F170" s="70">
        <f>IF($E170="","",IFERROR(VLOOKUP($E170,OpTbl,2,0),""))</f>
        <v/>
      </c>
      <c r="G170" s="71" t="n"/>
      <c r="H170" s="73">
        <f>IF($U170="","",IFERROR(VLOOKUP($U170,AcctTbl,2,0),"کد ناشناخته"))</f>
        <v/>
      </c>
      <c r="I170" s="70">
        <f>IF($U170="","",IFERROR(VLOOKUP($U170,AcctTbl,3,0),""))</f>
        <v/>
      </c>
      <c r="J170" s="72" t="n"/>
      <c r="K170" s="71" t="n"/>
      <c r="L170" s="74" t="n"/>
      <c r="M170" s="74" t="n"/>
      <c r="N170" s="148">
        <f>IF(OR($E170="",$L170=""),"",IFERROR(($L170-IF($M170="",0,$M170)*IFERROR(VLOOKUP($K170,BasketTbl,4,0),IFERROR(INDEX(BasketTbl,MATCH($K170,BasketCodeCol,0),4),VLOOKUP("P01",ParamTbl,2,0))))*(1-IF(VLOOKUP($E170,OpTbl,3,0)="خرید",VLOOKUP("P02",ParamTbl,2,0),0)/100),""))</f>
        <v/>
      </c>
      <c r="O170" s="74" t="n"/>
      <c r="P170" s="76">
        <f>IF(OR($E170="",$L170=""),"",IFERROR(IF(VLOOKUP($E170,OpTbl,6,0)="وزن",ROUND($N170*$O170,-3),IF(VLOOKUP($E170,OpTbl,6,0)="مبلغ",ROUND($L170*$O170,-3),0)),""))</f>
        <v/>
      </c>
      <c r="Q170" s="74" t="n"/>
      <c r="R170" s="71" t="n"/>
      <c r="S170" s="77">
        <f>IF($E170="","",IF($AI170="⚠","⚠ ناتراز",IF(AND(IFERROR(VLOOKUP($E170,OpTbl,4,0),"")="بله",$L170=""),"⚠ وزن",IF(AND(IFERROR(VLOOKUP($E170,OpTbl,5,0),"")="بله",$U170=""),"⚠ حساب",IF(AND(IFERROR(VLOOKUP($E170,OpTbl,6,0),"")="مبلغ",$Q170=""),"⚠ مبلغ","✓")))))</f>
        <v/>
      </c>
      <c r="T170" s="72" t="n"/>
      <c r="U170" s="70">
        <f>IF($E170="","",IFERROR(IF(VLOOKUP($E170,OpTbl,14,0)&lt;&gt;"",VLOOKUP($E170,OpTbl,14,0),$G170),""))</f>
        <v/>
      </c>
      <c r="V170" s="76">
        <f>IF(OR($AJ170="",$AJ170=0,$AL170&lt;&gt;"بدهکار"),"",$AJ170)</f>
        <v/>
      </c>
      <c r="W170" s="76">
        <f>IF(OR($AJ170="",$AJ170=0,$AL170&lt;&gt;"بستانکار"),"",$AJ170)</f>
        <v/>
      </c>
      <c r="X170" s="70">
        <f>IF($E170="","",IFERROR(VLOOKUP($E170,OpTbl,8,0),""))</f>
        <v/>
      </c>
      <c r="Y170" s="76">
        <f>IF(OR($X170="",$AJ170="",$AJ170=0,$AM170&lt;&gt;"بدهکار"),"",$AJ170)</f>
        <v/>
      </c>
      <c r="Z170" s="76">
        <f>IF(OR($X170="",$AJ170="",$AJ170=0,$AM170&lt;&gt;"بستانکار"),"",$AJ170)</f>
        <v/>
      </c>
      <c r="AA170" s="70">
        <f>IF(OR($E170="",$AN170="—",$AN170=""),"",IFERROR(VLOOKUP($E170,OpTbl,12,0),""))</f>
        <v/>
      </c>
      <c r="AB170" s="76">
        <f>IF(OR($AA170="",$Q170="",$Q170=0,$AN170&lt;&gt;"بدهکار"),"",$Q170)</f>
        <v/>
      </c>
      <c r="AC170" s="76">
        <f>IF(OR($AA170="",$Q170="",$Q170=0,$AN170&lt;&gt;"بستانکار"),"",$Q170)</f>
        <v/>
      </c>
      <c r="AD170" s="70">
        <f>IF($AA170="","",IFERROR(VLOOKUP($E170,OpTbl,13,0),""))</f>
        <v/>
      </c>
      <c r="AE170" s="76">
        <f>IF(OR($AD170="",$Q170="",$Q170=0,$AN170&lt;&gt;"بستانکار"),"",$Q170)</f>
        <v/>
      </c>
      <c r="AF170" s="76">
        <f>IF(OR($AD170="",$Q170="",$Q170=0,$AN170&lt;&gt;"بدهکار"),"",$Q170)</f>
        <v/>
      </c>
      <c r="AG170" s="76">
        <f>SUM($V170,$Y170,$AB170,$AE170)</f>
        <v/>
      </c>
      <c r="AH170" s="76">
        <f>SUM($W170,$Z170,$AC170,$AF170)</f>
        <v/>
      </c>
      <c r="AI170" s="70">
        <f>IF($E170="","",IF(ROUND($AG170-$AH170,0)=0,"✓","⚠"))</f>
        <v/>
      </c>
      <c r="AJ170" s="76">
        <f>IF(OR($E170="",$U170=""),"",IFERROR(IF(VLOOKUP($E170,OpTbl,6,0)="وزن",IF($P170="",0,$P170),IF(VLOOKUP($E170,OpTbl,6,0)="مبلغ",IF(AND($Q170&lt;&gt;"",$Q170&lt;&gt;0),$Q170,$P170),0))+IF(VLOOKUP($E170,OpTbl,10,0)="افزودن",IF($Q170="",0,$Q170),0),0))</f>
        <v/>
      </c>
      <c r="AK170" s="70">
        <f>IF($E170="","",IFERROR(VLOOKUP($E170,OpTbl,10,0),""))</f>
        <v/>
      </c>
      <c r="AL170" s="70">
        <f>IF(OR($E170="",$U170=""),"",IFERROR(IF(VLOOKUP($E170,OpTbl,7,0)="خودکار",$R170,VLOOKUP($E170,OpTbl,7,0)),""))</f>
        <v/>
      </c>
      <c r="AM170" s="70">
        <f>IF(OR($E170="",$X170=""),"",IFERROR(IF(VLOOKUP($E170,OpTbl,9,0)="خودکار",IF($AL170="بدهکار","بستانکار",IF($AL170="بستانکار","بدهکار","")),VLOOKUP($E170,OpTbl,9,0)),""))</f>
        <v/>
      </c>
      <c r="AN170" s="70">
        <f>IF($E170="","",IFERROR(VLOOKUP($E170,OpTbl,11,0),""))</f>
        <v/>
      </c>
      <c r="AO170" s="70">
        <f>IF($B170="","",MID($B170,6,2))</f>
        <v/>
      </c>
      <c r="AP170" s="76">
        <f>IF($B170="",0,1)</f>
        <v/>
      </c>
    </row>
    <row r="171" ht="21.75" customHeight="1">
      <c r="A171" s="70">
        <f>IF($B171="","",COUNTA($B$10:$B171))</f>
        <v/>
      </c>
      <c r="B171" s="71" t="n"/>
      <c r="C171" s="71" t="n"/>
      <c r="D171" s="71" t="n"/>
      <c r="E171" s="71" t="n"/>
      <c r="F171" s="70">
        <f>IF($E171="","",IFERROR(VLOOKUP($E171,OpTbl,2,0),""))</f>
        <v/>
      </c>
      <c r="G171" s="71" t="n"/>
      <c r="H171" s="73">
        <f>IF($U171="","",IFERROR(VLOOKUP($U171,AcctTbl,2,0),"کد ناشناخته"))</f>
        <v/>
      </c>
      <c r="I171" s="70">
        <f>IF($U171="","",IFERROR(VLOOKUP($U171,AcctTbl,3,0),""))</f>
        <v/>
      </c>
      <c r="J171" s="72" t="n"/>
      <c r="K171" s="71" t="n"/>
      <c r="L171" s="74" t="n"/>
      <c r="M171" s="74" t="n"/>
      <c r="N171" s="148">
        <f>IF(OR($E171="",$L171=""),"",IFERROR(($L171-IF($M171="",0,$M171)*IFERROR(VLOOKUP($K171,BasketTbl,4,0),IFERROR(INDEX(BasketTbl,MATCH($K171,BasketCodeCol,0),4),VLOOKUP("P01",ParamTbl,2,0))))*(1-IF(VLOOKUP($E171,OpTbl,3,0)="خرید",VLOOKUP("P02",ParamTbl,2,0),0)/100),""))</f>
        <v/>
      </c>
      <c r="O171" s="74" t="n"/>
      <c r="P171" s="76">
        <f>IF(OR($E171="",$L171=""),"",IFERROR(IF(VLOOKUP($E171,OpTbl,6,0)="وزن",ROUND($N171*$O171,-3),IF(VLOOKUP($E171,OpTbl,6,0)="مبلغ",ROUND($L171*$O171,-3),0)),""))</f>
        <v/>
      </c>
      <c r="Q171" s="74" t="n"/>
      <c r="R171" s="71" t="n"/>
      <c r="S171" s="77">
        <f>IF($E171="","",IF($AI171="⚠","⚠ ناتراز",IF(AND(IFERROR(VLOOKUP($E171,OpTbl,4,0),"")="بله",$L171=""),"⚠ وزن",IF(AND(IFERROR(VLOOKUP($E171,OpTbl,5,0),"")="بله",$U171=""),"⚠ حساب",IF(AND(IFERROR(VLOOKUP($E171,OpTbl,6,0),"")="مبلغ",$Q171=""),"⚠ مبلغ","✓")))))</f>
        <v/>
      </c>
      <c r="T171" s="72" t="n"/>
      <c r="U171" s="70">
        <f>IF($E171="","",IFERROR(IF(VLOOKUP($E171,OpTbl,14,0)&lt;&gt;"",VLOOKUP($E171,OpTbl,14,0),$G171),""))</f>
        <v/>
      </c>
      <c r="V171" s="76">
        <f>IF(OR($AJ171="",$AJ171=0,$AL171&lt;&gt;"بدهکار"),"",$AJ171)</f>
        <v/>
      </c>
      <c r="W171" s="76">
        <f>IF(OR($AJ171="",$AJ171=0,$AL171&lt;&gt;"بستانکار"),"",$AJ171)</f>
        <v/>
      </c>
      <c r="X171" s="70">
        <f>IF($E171="","",IFERROR(VLOOKUP($E171,OpTbl,8,0),""))</f>
        <v/>
      </c>
      <c r="Y171" s="76">
        <f>IF(OR($X171="",$AJ171="",$AJ171=0,$AM171&lt;&gt;"بدهکار"),"",$AJ171)</f>
        <v/>
      </c>
      <c r="Z171" s="76">
        <f>IF(OR($X171="",$AJ171="",$AJ171=0,$AM171&lt;&gt;"بستانکار"),"",$AJ171)</f>
        <v/>
      </c>
      <c r="AA171" s="70">
        <f>IF(OR($E171="",$AN171="—",$AN171=""),"",IFERROR(VLOOKUP($E171,OpTbl,12,0),""))</f>
        <v/>
      </c>
      <c r="AB171" s="76">
        <f>IF(OR($AA171="",$Q171="",$Q171=0,$AN171&lt;&gt;"بدهکار"),"",$Q171)</f>
        <v/>
      </c>
      <c r="AC171" s="76">
        <f>IF(OR($AA171="",$Q171="",$Q171=0,$AN171&lt;&gt;"بستانکار"),"",$Q171)</f>
        <v/>
      </c>
      <c r="AD171" s="70">
        <f>IF($AA171="","",IFERROR(VLOOKUP($E171,OpTbl,13,0),""))</f>
        <v/>
      </c>
      <c r="AE171" s="76">
        <f>IF(OR($AD171="",$Q171="",$Q171=0,$AN171&lt;&gt;"بستانکار"),"",$Q171)</f>
        <v/>
      </c>
      <c r="AF171" s="76">
        <f>IF(OR($AD171="",$Q171="",$Q171=0,$AN171&lt;&gt;"بدهکار"),"",$Q171)</f>
        <v/>
      </c>
      <c r="AG171" s="76">
        <f>SUM($V171,$Y171,$AB171,$AE171)</f>
        <v/>
      </c>
      <c r="AH171" s="76">
        <f>SUM($W171,$Z171,$AC171,$AF171)</f>
        <v/>
      </c>
      <c r="AI171" s="70">
        <f>IF($E171="","",IF(ROUND($AG171-$AH171,0)=0,"✓","⚠"))</f>
        <v/>
      </c>
      <c r="AJ171" s="76">
        <f>IF(OR($E171="",$U171=""),"",IFERROR(IF(VLOOKUP($E171,OpTbl,6,0)="وزن",IF($P171="",0,$P171),IF(VLOOKUP($E171,OpTbl,6,0)="مبلغ",IF(AND($Q171&lt;&gt;"",$Q171&lt;&gt;0),$Q171,$P171),0))+IF(VLOOKUP($E171,OpTbl,10,0)="افزودن",IF($Q171="",0,$Q171),0),0))</f>
        <v/>
      </c>
      <c r="AK171" s="70">
        <f>IF($E171="","",IFERROR(VLOOKUP($E171,OpTbl,10,0),""))</f>
        <v/>
      </c>
      <c r="AL171" s="70">
        <f>IF(OR($E171="",$U171=""),"",IFERROR(IF(VLOOKUP($E171,OpTbl,7,0)="خودکار",$R171,VLOOKUP($E171,OpTbl,7,0)),""))</f>
        <v/>
      </c>
      <c r="AM171" s="70">
        <f>IF(OR($E171="",$X171=""),"",IFERROR(IF(VLOOKUP($E171,OpTbl,9,0)="خودکار",IF($AL171="بدهکار","بستانکار",IF($AL171="بستانکار","بدهکار","")),VLOOKUP($E171,OpTbl,9,0)),""))</f>
        <v/>
      </c>
      <c r="AN171" s="70">
        <f>IF($E171="","",IFERROR(VLOOKUP($E171,OpTbl,11,0),""))</f>
        <v/>
      </c>
      <c r="AO171" s="70">
        <f>IF($B171="","",MID($B171,6,2))</f>
        <v/>
      </c>
      <c r="AP171" s="76">
        <f>IF($B171="",0,1)</f>
        <v/>
      </c>
    </row>
    <row r="172" ht="21.75" customHeight="1">
      <c r="A172" s="70">
        <f>IF($B172="","",COUNTA($B$10:$B172))</f>
        <v/>
      </c>
      <c r="B172" s="71" t="n"/>
      <c r="C172" s="71" t="n"/>
      <c r="D172" s="71" t="n"/>
      <c r="E172" s="71" t="n"/>
      <c r="F172" s="70">
        <f>IF($E172="","",IFERROR(VLOOKUP($E172,OpTbl,2,0),""))</f>
        <v/>
      </c>
      <c r="G172" s="71" t="n"/>
      <c r="H172" s="73">
        <f>IF($U172="","",IFERROR(VLOOKUP($U172,AcctTbl,2,0),"کد ناشناخته"))</f>
        <v/>
      </c>
      <c r="I172" s="70">
        <f>IF($U172="","",IFERROR(VLOOKUP($U172,AcctTbl,3,0),""))</f>
        <v/>
      </c>
      <c r="J172" s="72" t="n"/>
      <c r="K172" s="71" t="n"/>
      <c r="L172" s="74" t="n"/>
      <c r="M172" s="74" t="n"/>
      <c r="N172" s="148">
        <f>IF(OR($E172="",$L172=""),"",IFERROR(($L172-IF($M172="",0,$M172)*IFERROR(VLOOKUP($K172,BasketTbl,4,0),IFERROR(INDEX(BasketTbl,MATCH($K172,BasketCodeCol,0),4),VLOOKUP("P01",ParamTbl,2,0))))*(1-IF(VLOOKUP($E172,OpTbl,3,0)="خرید",VLOOKUP("P02",ParamTbl,2,0),0)/100),""))</f>
        <v/>
      </c>
      <c r="O172" s="74" t="n"/>
      <c r="P172" s="76">
        <f>IF(OR($E172="",$L172=""),"",IFERROR(IF(VLOOKUP($E172,OpTbl,6,0)="وزن",ROUND($N172*$O172,-3),IF(VLOOKUP($E172,OpTbl,6,0)="مبلغ",ROUND($L172*$O172,-3),0)),""))</f>
        <v/>
      </c>
      <c r="Q172" s="74" t="n"/>
      <c r="R172" s="71" t="n"/>
      <c r="S172" s="77">
        <f>IF($E172="","",IF($AI172="⚠","⚠ ناتراز",IF(AND(IFERROR(VLOOKUP($E172,OpTbl,4,0),"")="بله",$L172=""),"⚠ وزن",IF(AND(IFERROR(VLOOKUP($E172,OpTbl,5,0),"")="بله",$U172=""),"⚠ حساب",IF(AND(IFERROR(VLOOKUP($E172,OpTbl,6,0),"")="مبلغ",$Q172=""),"⚠ مبلغ","✓")))))</f>
        <v/>
      </c>
      <c r="T172" s="72" t="n"/>
      <c r="U172" s="70">
        <f>IF($E172="","",IFERROR(IF(VLOOKUP($E172,OpTbl,14,0)&lt;&gt;"",VLOOKUP($E172,OpTbl,14,0),$G172),""))</f>
        <v/>
      </c>
      <c r="V172" s="76">
        <f>IF(OR($AJ172="",$AJ172=0,$AL172&lt;&gt;"بدهکار"),"",$AJ172)</f>
        <v/>
      </c>
      <c r="W172" s="76">
        <f>IF(OR($AJ172="",$AJ172=0,$AL172&lt;&gt;"بستانکار"),"",$AJ172)</f>
        <v/>
      </c>
      <c r="X172" s="70">
        <f>IF($E172="","",IFERROR(VLOOKUP($E172,OpTbl,8,0),""))</f>
        <v/>
      </c>
      <c r="Y172" s="76">
        <f>IF(OR($X172="",$AJ172="",$AJ172=0,$AM172&lt;&gt;"بدهکار"),"",$AJ172)</f>
        <v/>
      </c>
      <c r="Z172" s="76">
        <f>IF(OR($X172="",$AJ172="",$AJ172=0,$AM172&lt;&gt;"بستانکار"),"",$AJ172)</f>
        <v/>
      </c>
      <c r="AA172" s="70">
        <f>IF(OR($E172="",$AN172="—",$AN172=""),"",IFERROR(VLOOKUP($E172,OpTbl,12,0),""))</f>
        <v/>
      </c>
      <c r="AB172" s="76">
        <f>IF(OR($AA172="",$Q172="",$Q172=0,$AN172&lt;&gt;"بدهکار"),"",$Q172)</f>
        <v/>
      </c>
      <c r="AC172" s="76">
        <f>IF(OR($AA172="",$Q172="",$Q172=0,$AN172&lt;&gt;"بستانکار"),"",$Q172)</f>
        <v/>
      </c>
      <c r="AD172" s="70">
        <f>IF($AA172="","",IFERROR(VLOOKUP($E172,OpTbl,13,0),""))</f>
        <v/>
      </c>
      <c r="AE172" s="76">
        <f>IF(OR($AD172="",$Q172="",$Q172=0,$AN172&lt;&gt;"بستانکار"),"",$Q172)</f>
        <v/>
      </c>
      <c r="AF172" s="76">
        <f>IF(OR($AD172="",$Q172="",$Q172=0,$AN172&lt;&gt;"بدهکار"),"",$Q172)</f>
        <v/>
      </c>
      <c r="AG172" s="76">
        <f>SUM($V172,$Y172,$AB172,$AE172)</f>
        <v/>
      </c>
      <c r="AH172" s="76">
        <f>SUM($W172,$Z172,$AC172,$AF172)</f>
        <v/>
      </c>
      <c r="AI172" s="70">
        <f>IF($E172="","",IF(ROUND($AG172-$AH172,0)=0,"✓","⚠"))</f>
        <v/>
      </c>
      <c r="AJ172" s="76">
        <f>IF(OR($E172="",$U172=""),"",IFERROR(IF(VLOOKUP($E172,OpTbl,6,0)="وزن",IF($P172="",0,$P172),IF(VLOOKUP($E172,OpTbl,6,0)="مبلغ",IF(AND($Q172&lt;&gt;"",$Q172&lt;&gt;0),$Q172,$P172),0))+IF(VLOOKUP($E172,OpTbl,10,0)="افزودن",IF($Q172="",0,$Q172),0),0))</f>
        <v/>
      </c>
      <c r="AK172" s="70">
        <f>IF($E172="","",IFERROR(VLOOKUP($E172,OpTbl,10,0),""))</f>
        <v/>
      </c>
      <c r="AL172" s="70">
        <f>IF(OR($E172="",$U172=""),"",IFERROR(IF(VLOOKUP($E172,OpTbl,7,0)="خودکار",$R172,VLOOKUP($E172,OpTbl,7,0)),""))</f>
        <v/>
      </c>
      <c r="AM172" s="70">
        <f>IF(OR($E172="",$X172=""),"",IFERROR(IF(VLOOKUP($E172,OpTbl,9,0)="خودکار",IF($AL172="بدهکار","بستانکار",IF($AL172="بستانکار","بدهکار","")),VLOOKUP($E172,OpTbl,9,0)),""))</f>
        <v/>
      </c>
      <c r="AN172" s="70">
        <f>IF($E172="","",IFERROR(VLOOKUP($E172,OpTbl,11,0),""))</f>
        <v/>
      </c>
      <c r="AO172" s="70">
        <f>IF($B172="","",MID($B172,6,2))</f>
        <v/>
      </c>
      <c r="AP172" s="76">
        <f>IF($B172="",0,1)</f>
        <v/>
      </c>
    </row>
    <row r="173" ht="21.75" customHeight="1">
      <c r="A173" s="70">
        <f>IF($B173="","",COUNTA($B$10:$B173))</f>
        <v/>
      </c>
      <c r="B173" s="71" t="n"/>
      <c r="C173" s="71" t="n"/>
      <c r="D173" s="71" t="n"/>
      <c r="E173" s="71" t="n"/>
      <c r="F173" s="70">
        <f>IF($E173="","",IFERROR(VLOOKUP($E173,OpTbl,2,0),""))</f>
        <v/>
      </c>
      <c r="G173" s="71" t="n"/>
      <c r="H173" s="73">
        <f>IF($U173="","",IFERROR(VLOOKUP($U173,AcctTbl,2,0),"کد ناشناخته"))</f>
        <v/>
      </c>
      <c r="I173" s="70">
        <f>IF($U173="","",IFERROR(VLOOKUP($U173,AcctTbl,3,0),""))</f>
        <v/>
      </c>
      <c r="J173" s="72" t="n"/>
      <c r="K173" s="71" t="n"/>
      <c r="L173" s="74" t="n"/>
      <c r="M173" s="74" t="n"/>
      <c r="N173" s="148">
        <f>IF(OR($E173="",$L173=""),"",IFERROR(($L173-IF($M173="",0,$M173)*IFERROR(VLOOKUP($K173,BasketTbl,4,0),IFERROR(INDEX(BasketTbl,MATCH($K173,BasketCodeCol,0),4),VLOOKUP("P01",ParamTbl,2,0))))*(1-IF(VLOOKUP($E173,OpTbl,3,0)="خرید",VLOOKUP("P02",ParamTbl,2,0),0)/100),""))</f>
        <v/>
      </c>
      <c r="O173" s="74" t="n"/>
      <c r="P173" s="76">
        <f>IF(OR($E173="",$L173=""),"",IFERROR(IF(VLOOKUP($E173,OpTbl,6,0)="وزن",ROUND($N173*$O173,-3),IF(VLOOKUP($E173,OpTbl,6,0)="مبلغ",ROUND($L173*$O173,-3),0)),""))</f>
        <v/>
      </c>
      <c r="Q173" s="74" t="n"/>
      <c r="R173" s="71" t="n"/>
      <c r="S173" s="77">
        <f>IF($E173="","",IF($AI173="⚠","⚠ ناتراز",IF(AND(IFERROR(VLOOKUP($E173,OpTbl,4,0),"")="بله",$L173=""),"⚠ وزن",IF(AND(IFERROR(VLOOKUP($E173,OpTbl,5,0),"")="بله",$U173=""),"⚠ حساب",IF(AND(IFERROR(VLOOKUP($E173,OpTbl,6,0),"")="مبلغ",$Q173=""),"⚠ مبلغ","✓")))))</f>
        <v/>
      </c>
      <c r="T173" s="72" t="n"/>
      <c r="U173" s="70">
        <f>IF($E173="","",IFERROR(IF(VLOOKUP($E173,OpTbl,14,0)&lt;&gt;"",VLOOKUP($E173,OpTbl,14,0),$G173),""))</f>
        <v/>
      </c>
      <c r="V173" s="76">
        <f>IF(OR($AJ173="",$AJ173=0,$AL173&lt;&gt;"بدهکار"),"",$AJ173)</f>
        <v/>
      </c>
      <c r="W173" s="76">
        <f>IF(OR($AJ173="",$AJ173=0,$AL173&lt;&gt;"بستانکار"),"",$AJ173)</f>
        <v/>
      </c>
      <c r="X173" s="70">
        <f>IF($E173="","",IFERROR(VLOOKUP($E173,OpTbl,8,0),""))</f>
        <v/>
      </c>
      <c r="Y173" s="76">
        <f>IF(OR($X173="",$AJ173="",$AJ173=0,$AM173&lt;&gt;"بدهکار"),"",$AJ173)</f>
        <v/>
      </c>
      <c r="Z173" s="76">
        <f>IF(OR($X173="",$AJ173="",$AJ173=0,$AM173&lt;&gt;"بستانکار"),"",$AJ173)</f>
        <v/>
      </c>
      <c r="AA173" s="70">
        <f>IF(OR($E173="",$AN173="—",$AN173=""),"",IFERROR(VLOOKUP($E173,OpTbl,12,0),""))</f>
        <v/>
      </c>
      <c r="AB173" s="76">
        <f>IF(OR($AA173="",$Q173="",$Q173=0,$AN173&lt;&gt;"بدهکار"),"",$Q173)</f>
        <v/>
      </c>
      <c r="AC173" s="76">
        <f>IF(OR($AA173="",$Q173="",$Q173=0,$AN173&lt;&gt;"بستانکار"),"",$Q173)</f>
        <v/>
      </c>
      <c r="AD173" s="70">
        <f>IF($AA173="","",IFERROR(VLOOKUP($E173,OpTbl,13,0),""))</f>
        <v/>
      </c>
      <c r="AE173" s="76">
        <f>IF(OR($AD173="",$Q173="",$Q173=0,$AN173&lt;&gt;"بستانکار"),"",$Q173)</f>
        <v/>
      </c>
      <c r="AF173" s="76">
        <f>IF(OR($AD173="",$Q173="",$Q173=0,$AN173&lt;&gt;"بدهکار"),"",$Q173)</f>
        <v/>
      </c>
      <c r="AG173" s="76">
        <f>SUM($V173,$Y173,$AB173,$AE173)</f>
        <v/>
      </c>
      <c r="AH173" s="76">
        <f>SUM($W173,$Z173,$AC173,$AF173)</f>
        <v/>
      </c>
      <c r="AI173" s="70">
        <f>IF($E173="","",IF(ROUND($AG173-$AH173,0)=0,"✓","⚠"))</f>
        <v/>
      </c>
      <c r="AJ173" s="76">
        <f>IF(OR($E173="",$U173=""),"",IFERROR(IF(VLOOKUP($E173,OpTbl,6,0)="وزن",IF($P173="",0,$P173),IF(VLOOKUP($E173,OpTbl,6,0)="مبلغ",IF(AND($Q173&lt;&gt;"",$Q173&lt;&gt;0),$Q173,$P173),0))+IF(VLOOKUP($E173,OpTbl,10,0)="افزودن",IF($Q173="",0,$Q173),0),0))</f>
        <v/>
      </c>
      <c r="AK173" s="70">
        <f>IF($E173="","",IFERROR(VLOOKUP($E173,OpTbl,10,0),""))</f>
        <v/>
      </c>
      <c r="AL173" s="70">
        <f>IF(OR($E173="",$U173=""),"",IFERROR(IF(VLOOKUP($E173,OpTbl,7,0)="خودکار",$R173,VLOOKUP($E173,OpTbl,7,0)),""))</f>
        <v/>
      </c>
      <c r="AM173" s="70">
        <f>IF(OR($E173="",$X173=""),"",IFERROR(IF(VLOOKUP($E173,OpTbl,9,0)="خودکار",IF($AL173="بدهکار","بستانکار",IF($AL173="بستانکار","بدهکار","")),VLOOKUP($E173,OpTbl,9,0)),""))</f>
        <v/>
      </c>
      <c r="AN173" s="70">
        <f>IF($E173="","",IFERROR(VLOOKUP($E173,OpTbl,11,0),""))</f>
        <v/>
      </c>
      <c r="AO173" s="70">
        <f>IF($B173="","",MID($B173,6,2))</f>
        <v/>
      </c>
      <c r="AP173" s="76">
        <f>IF($B173="",0,1)</f>
        <v/>
      </c>
    </row>
    <row r="174" ht="21.75" customHeight="1">
      <c r="A174" s="70">
        <f>IF($B174="","",COUNTA($B$10:$B174))</f>
        <v/>
      </c>
      <c r="B174" s="71" t="n"/>
      <c r="C174" s="71" t="n"/>
      <c r="D174" s="71" t="n"/>
      <c r="E174" s="71" t="n"/>
      <c r="F174" s="70">
        <f>IF($E174="","",IFERROR(VLOOKUP($E174,OpTbl,2,0),""))</f>
        <v/>
      </c>
      <c r="G174" s="71" t="n"/>
      <c r="H174" s="73">
        <f>IF($U174="","",IFERROR(VLOOKUP($U174,AcctTbl,2,0),"کد ناشناخته"))</f>
        <v/>
      </c>
      <c r="I174" s="70">
        <f>IF($U174="","",IFERROR(VLOOKUP($U174,AcctTbl,3,0),""))</f>
        <v/>
      </c>
      <c r="J174" s="72" t="n"/>
      <c r="K174" s="71" t="n"/>
      <c r="L174" s="74" t="n"/>
      <c r="M174" s="74" t="n"/>
      <c r="N174" s="148">
        <f>IF(OR($E174="",$L174=""),"",IFERROR(($L174-IF($M174="",0,$M174)*IFERROR(VLOOKUP($K174,BasketTbl,4,0),IFERROR(INDEX(BasketTbl,MATCH($K174,BasketCodeCol,0),4),VLOOKUP("P01",ParamTbl,2,0))))*(1-IF(VLOOKUP($E174,OpTbl,3,0)="خرید",VLOOKUP("P02",ParamTbl,2,0),0)/100),""))</f>
        <v/>
      </c>
      <c r="O174" s="74" t="n"/>
      <c r="P174" s="76">
        <f>IF(OR($E174="",$L174=""),"",IFERROR(IF(VLOOKUP($E174,OpTbl,6,0)="وزن",ROUND($N174*$O174,-3),IF(VLOOKUP($E174,OpTbl,6,0)="مبلغ",ROUND($L174*$O174,-3),0)),""))</f>
        <v/>
      </c>
      <c r="Q174" s="74" t="n"/>
      <c r="R174" s="71" t="n"/>
      <c r="S174" s="77">
        <f>IF($E174="","",IF($AI174="⚠","⚠ ناتراز",IF(AND(IFERROR(VLOOKUP($E174,OpTbl,4,0),"")="بله",$L174=""),"⚠ وزن",IF(AND(IFERROR(VLOOKUP($E174,OpTbl,5,0),"")="بله",$U174=""),"⚠ حساب",IF(AND(IFERROR(VLOOKUP($E174,OpTbl,6,0),"")="مبلغ",$Q174=""),"⚠ مبلغ","✓")))))</f>
        <v/>
      </c>
      <c r="T174" s="72" t="n"/>
      <c r="U174" s="70">
        <f>IF($E174="","",IFERROR(IF(VLOOKUP($E174,OpTbl,14,0)&lt;&gt;"",VLOOKUP($E174,OpTbl,14,0),$G174),""))</f>
        <v/>
      </c>
      <c r="V174" s="76">
        <f>IF(OR($AJ174="",$AJ174=0,$AL174&lt;&gt;"بدهکار"),"",$AJ174)</f>
        <v/>
      </c>
      <c r="W174" s="76">
        <f>IF(OR($AJ174="",$AJ174=0,$AL174&lt;&gt;"بستانکار"),"",$AJ174)</f>
        <v/>
      </c>
      <c r="X174" s="70">
        <f>IF($E174="","",IFERROR(VLOOKUP($E174,OpTbl,8,0),""))</f>
        <v/>
      </c>
      <c r="Y174" s="76">
        <f>IF(OR($X174="",$AJ174="",$AJ174=0,$AM174&lt;&gt;"بدهکار"),"",$AJ174)</f>
        <v/>
      </c>
      <c r="Z174" s="76">
        <f>IF(OR($X174="",$AJ174="",$AJ174=0,$AM174&lt;&gt;"بستانکار"),"",$AJ174)</f>
        <v/>
      </c>
      <c r="AA174" s="70">
        <f>IF(OR($E174="",$AN174="—",$AN174=""),"",IFERROR(VLOOKUP($E174,OpTbl,12,0),""))</f>
        <v/>
      </c>
      <c r="AB174" s="76">
        <f>IF(OR($AA174="",$Q174="",$Q174=0,$AN174&lt;&gt;"بدهکار"),"",$Q174)</f>
        <v/>
      </c>
      <c r="AC174" s="76">
        <f>IF(OR($AA174="",$Q174="",$Q174=0,$AN174&lt;&gt;"بستانکار"),"",$Q174)</f>
        <v/>
      </c>
      <c r="AD174" s="70">
        <f>IF($AA174="","",IFERROR(VLOOKUP($E174,OpTbl,13,0),""))</f>
        <v/>
      </c>
      <c r="AE174" s="76">
        <f>IF(OR($AD174="",$Q174="",$Q174=0,$AN174&lt;&gt;"بستانکار"),"",$Q174)</f>
        <v/>
      </c>
      <c r="AF174" s="76">
        <f>IF(OR($AD174="",$Q174="",$Q174=0,$AN174&lt;&gt;"بدهکار"),"",$Q174)</f>
        <v/>
      </c>
      <c r="AG174" s="76">
        <f>SUM($V174,$Y174,$AB174,$AE174)</f>
        <v/>
      </c>
      <c r="AH174" s="76">
        <f>SUM($W174,$Z174,$AC174,$AF174)</f>
        <v/>
      </c>
      <c r="AI174" s="70">
        <f>IF($E174="","",IF(ROUND($AG174-$AH174,0)=0,"✓","⚠"))</f>
        <v/>
      </c>
      <c r="AJ174" s="76">
        <f>IF(OR($E174="",$U174=""),"",IFERROR(IF(VLOOKUP($E174,OpTbl,6,0)="وزن",IF($P174="",0,$P174),IF(VLOOKUP($E174,OpTbl,6,0)="مبلغ",IF(AND($Q174&lt;&gt;"",$Q174&lt;&gt;0),$Q174,$P174),0))+IF(VLOOKUP($E174,OpTbl,10,0)="افزودن",IF($Q174="",0,$Q174),0),0))</f>
        <v/>
      </c>
      <c r="AK174" s="70">
        <f>IF($E174="","",IFERROR(VLOOKUP($E174,OpTbl,10,0),""))</f>
        <v/>
      </c>
      <c r="AL174" s="70">
        <f>IF(OR($E174="",$U174=""),"",IFERROR(IF(VLOOKUP($E174,OpTbl,7,0)="خودکار",$R174,VLOOKUP($E174,OpTbl,7,0)),""))</f>
        <v/>
      </c>
      <c r="AM174" s="70">
        <f>IF(OR($E174="",$X174=""),"",IFERROR(IF(VLOOKUP($E174,OpTbl,9,0)="خودکار",IF($AL174="بدهکار","بستانکار",IF($AL174="بستانکار","بدهکار","")),VLOOKUP($E174,OpTbl,9,0)),""))</f>
        <v/>
      </c>
      <c r="AN174" s="70">
        <f>IF($E174="","",IFERROR(VLOOKUP($E174,OpTbl,11,0),""))</f>
        <v/>
      </c>
      <c r="AO174" s="70">
        <f>IF($B174="","",MID($B174,6,2))</f>
        <v/>
      </c>
      <c r="AP174" s="76">
        <f>IF($B174="",0,1)</f>
        <v/>
      </c>
    </row>
    <row r="175" ht="21.75" customHeight="1">
      <c r="A175" s="70">
        <f>IF($B175="","",COUNTA($B$10:$B175))</f>
        <v/>
      </c>
      <c r="B175" s="71" t="n"/>
      <c r="C175" s="71" t="n"/>
      <c r="D175" s="71" t="n"/>
      <c r="E175" s="71" t="n"/>
      <c r="F175" s="70">
        <f>IF($E175="","",IFERROR(VLOOKUP($E175,OpTbl,2,0),""))</f>
        <v/>
      </c>
      <c r="G175" s="71" t="n"/>
      <c r="H175" s="73">
        <f>IF($U175="","",IFERROR(VLOOKUP($U175,AcctTbl,2,0),"کد ناشناخته"))</f>
        <v/>
      </c>
      <c r="I175" s="70">
        <f>IF($U175="","",IFERROR(VLOOKUP($U175,AcctTbl,3,0),""))</f>
        <v/>
      </c>
      <c r="J175" s="72" t="n"/>
      <c r="K175" s="71" t="n"/>
      <c r="L175" s="74" t="n"/>
      <c r="M175" s="74" t="n"/>
      <c r="N175" s="148">
        <f>IF(OR($E175="",$L175=""),"",IFERROR(($L175-IF($M175="",0,$M175)*IFERROR(VLOOKUP($K175,BasketTbl,4,0),IFERROR(INDEX(BasketTbl,MATCH($K175,BasketCodeCol,0),4),VLOOKUP("P01",ParamTbl,2,0))))*(1-IF(VLOOKUP($E175,OpTbl,3,0)="خرید",VLOOKUP("P02",ParamTbl,2,0),0)/100),""))</f>
        <v/>
      </c>
      <c r="O175" s="74" t="n"/>
      <c r="P175" s="76">
        <f>IF(OR($E175="",$L175=""),"",IFERROR(IF(VLOOKUP($E175,OpTbl,6,0)="وزن",ROUND($N175*$O175,-3),IF(VLOOKUP($E175,OpTbl,6,0)="مبلغ",ROUND($L175*$O175,-3),0)),""))</f>
        <v/>
      </c>
      <c r="Q175" s="74" t="n"/>
      <c r="R175" s="71" t="n"/>
      <c r="S175" s="77">
        <f>IF($E175="","",IF($AI175="⚠","⚠ ناتراز",IF(AND(IFERROR(VLOOKUP($E175,OpTbl,4,0),"")="بله",$L175=""),"⚠ وزن",IF(AND(IFERROR(VLOOKUP($E175,OpTbl,5,0),"")="بله",$U175=""),"⚠ حساب",IF(AND(IFERROR(VLOOKUP($E175,OpTbl,6,0),"")="مبلغ",$Q175=""),"⚠ مبلغ","✓")))))</f>
        <v/>
      </c>
      <c r="T175" s="72" t="n"/>
      <c r="U175" s="70">
        <f>IF($E175="","",IFERROR(IF(VLOOKUP($E175,OpTbl,14,0)&lt;&gt;"",VLOOKUP($E175,OpTbl,14,0),$G175),""))</f>
        <v/>
      </c>
      <c r="V175" s="76">
        <f>IF(OR($AJ175="",$AJ175=0,$AL175&lt;&gt;"بدهکار"),"",$AJ175)</f>
        <v/>
      </c>
      <c r="W175" s="76">
        <f>IF(OR($AJ175="",$AJ175=0,$AL175&lt;&gt;"بستانکار"),"",$AJ175)</f>
        <v/>
      </c>
      <c r="X175" s="70">
        <f>IF($E175="","",IFERROR(VLOOKUP($E175,OpTbl,8,0),""))</f>
        <v/>
      </c>
      <c r="Y175" s="76">
        <f>IF(OR($X175="",$AJ175="",$AJ175=0,$AM175&lt;&gt;"بدهکار"),"",$AJ175)</f>
        <v/>
      </c>
      <c r="Z175" s="76">
        <f>IF(OR($X175="",$AJ175="",$AJ175=0,$AM175&lt;&gt;"بستانکار"),"",$AJ175)</f>
        <v/>
      </c>
      <c r="AA175" s="70">
        <f>IF(OR($E175="",$AN175="—",$AN175=""),"",IFERROR(VLOOKUP($E175,OpTbl,12,0),""))</f>
        <v/>
      </c>
      <c r="AB175" s="76">
        <f>IF(OR($AA175="",$Q175="",$Q175=0,$AN175&lt;&gt;"بدهکار"),"",$Q175)</f>
        <v/>
      </c>
      <c r="AC175" s="76">
        <f>IF(OR($AA175="",$Q175="",$Q175=0,$AN175&lt;&gt;"بستانکار"),"",$Q175)</f>
        <v/>
      </c>
      <c r="AD175" s="70">
        <f>IF($AA175="","",IFERROR(VLOOKUP($E175,OpTbl,13,0),""))</f>
        <v/>
      </c>
      <c r="AE175" s="76">
        <f>IF(OR($AD175="",$Q175="",$Q175=0,$AN175&lt;&gt;"بستانکار"),"",$Q175)</f>
        <v/>
      </c>
      <c r="AF175" s="76">
        <f>IF(OR($AD175="",$Q175="",$Q175=0,$AN175&lt;&gt;"بدهکار"),"",$Q175)</f>
        <v/>
      </c>
      <c r="AG175" s="76">
        <f>SUM($V175,$Y175,$AB175,$AE175)</f>
        <v/>
      </c>
      <c r="AH175" s="76">
        <f>SUM($W175,$Z175,$AC175,$AF175)</f>
        <v/>
      </c>
      <c r="AI175" s="70">
        <f>IF($E175="","",IF(ROUND($AG175-$AH175,0)=0,"✓","⚠"))</f>
        <v/>
      </c>
      <c r="AJ175" s="76">
        <f>IF(OR($E175="",$U175=""),"",IFERROR(IF(VLOOKUP($E175,OpTbl,6,0)="وزن",IF($P175="",0,$P175),IF(VLOOKUP($E175,OpTbl,6,0)="مبلغ",IF(AND($Q175&lt;&gt;"",$Q175&lt;&gt;0),$Q175,$P175),0))+IF(VLOOKUP($E175,OpTbl,10,0)="افزودن",IF($Q175="",0,$Q175),0),0))</f>
        <v/>
      </c>
      <c r="AK175" s="70">
        <f>IF($E175="","",IFERROR(VLOOKUP($E175,OpTbl,10,0),""))</f>
        <v/>
      </c>
      <c r="AL175" s="70">
        <f>IF(OR($E175="",$U175=""),"",IFERROR(IF(VLOOKUP($E175,OpTbl,7,0)="خودکار",$R175,VLOOKUP($E175,OpTbl,7,0)),""))</f>
        <v/>
      </c>
      <c r="AM175" s="70">
        <f>IF(OR($E175="",$X175=""),"",IFERROR(IF(VLOOKUP($E175,OpTbl,9,0)="خودکار",IF($AL175="بدهکار","بستانکار",IF($AL175="بستانکار","بدهکار","")),VLOOKUP($E175,OpTbl,9,0)),""))</f>
        <v/>
      </c>
      <c r="AN175" s="70">
        <f>IF($E175="","",IFERROR(VLOOKUP($E175,OpTbl,11,0),""))</f>
        <v/>
      </c>
      <c r="AO175" s="70">
        <f>IF($B175="","",MID($B175,6,2))</f>
        <v/>
      </c>
      <c r="AP175" s="76">
        <f>IF($B175="",0,1)</f>
        <v/>
      </c>
    </row>
    <row r="176" ht="21.75" customHeight="1">
      <c r="A176" s="70">
        <f>IF($B176="","",COUNTA($B$10:$B176))</f>
        <v/>
      </c>
      <c r="B176" s="71" t="n"/>
      <c r="C176" s="71" t="n"/>
      <c r="D176" s="71" t="n"/>
      <c r="E176" s="71" t="n"/>
      <c r="F176" s="70">
        <f>IF($E176="","",IFERROR(VLOOKUP($E176,OpTbl,2,0),""))</f>
        <v/>
      </c>
      <c r="G176" s="71" t="n"/>
      <c r="H176" s="73">
        <f>IF($U176="","",IFERROR(VLOOKUP($U176,AcctTbl,2,0),"کد ناشناخته"))</f>
        <v/>
      </c>
      <c r="I176" s="70">
        <f>IF($U176="","",IFERROR(VLOOKUP($U176,AcctTbl,3,0),""))</f>
        <v/>
      </c>
      <c r="J176" s="72" t="n"/>
      <c r="K176" s="71" t="n"/>
      <c r="L176" s="74" t="n"/>
      <c r="M176" s="74" t="n"/>
      <c r="N176" s="148">
        <f>IF(OR($E176="",$L176=""),"",IFERROR(($L176-IF($M176="",0,$M176)*IFERROR(VLOOKUP($K176,BasketTbl,4,0),IFERROR(INDEX(BasketTbl,MATCH($K176,BasketCodeCol,0),4),VLOOKUP("P01",ParamTbl,2,0))))*(1-IF(VLOOKUP($E176,OpTbl,3,0)="خرید",VLOOKUP("P02",ParamTbl,2,0),0)/100),""))</f>
        <v/>
      </c>
      <c r="O176" s="74" t="n"/>
      <c r="P176" s="76">
        <f>IF(OR($E176="",$L176=""),"",IFERROR(IF(VLOOKUP($E176,OpTbl,6,0)="وزن",ROUND($N176*$O176,-3),IF(VLOOKUP($E176,OpTbl,6,0)="مبلغ",ROUND($L176*$O176,-3),0)),""))</f>
        <v/>
      </c>
      <c r="Q176" s="74" t="n"/>
      <c r="R176" s="71" t="n"/>
      <c r="S176" s="77">
        <f>IF($E176="","",IF($AI176="⚠","⚠ ناتراز",IF(AND(IFERROR(VLOOKUP($E176,OpTbl,4,0),"")="بله",$L176=""),"⚠ وزن",IF(AND(IFERROR(VLOOKUP($E176,OpTbl,5,0),"")="بله",$U176=""),"⚠ حساب",IF(AND(IFERROR(VLOOKUP($E176,OpTbl,6,0),"")="مبلغ",$Q176=""),"⚠ مبلغ","✓")))))</f>
        <v/>
      </c>
      <c r="T176" s="72" t="n"/>
      <c r="U176" s="70">
        <f>IF($E176="","",IFERROR(IF(VLOOKUP($E176,OpTbl,14,0)&lt;&gt;"",VLOOKUP($E176,OpTbl,14,0),$G176),""))</f>
        <v/>
      </c>
      <c r="V176" s="76">
        <f>IF(OR($AJ176="",$AJ176=0,$AL176&lt;&gt;"بدهکار"),"",$AJ176)</f>
        <v/>
      </c>
      <c r="W176" s="76">
        <f>IF(OR($AJ176="",$AJ176=0,$AL176&lt;&gt;"بستانکار"),"",$AJ176)</f>
        <v/>
      </c>
      <c r="X176" s="70">
        <f>IF($E176="","",IFERROR(VLOOKUP($E176,OpTbl,8,0),""))</f>
        <v/>
      </c>
      <c r="Y176" s="76">
        <f>IF(OR($X176="",$AJ176="",$AJ176=0,$AM176&lt;&gt;"بدهکار"),"",$AJ176)</f>
        <v/>
      </c>
      <c r="Z176" s="76">
        <f>IF(OR($X176="",$AJ176="",$AJ176=0,$AM176&lt;&gt;"بستانکار"),"",$AJ176)</f>
        <v/>
      </c>
      <c r="AA176" s="70">
        <f>IF(OR($E176="",$AN176="—",$AN176=""),"",IFERROR(VLOOKUP($E176,OpTbl,12,0),""))</f>
        <v/>
      </c>
      <c r="AB176" s="76">
        <f>IF(OR($AA176="",$Q176="",$Q176=0,$AN176&lt;&gt;"بدهکار"),"",$Q176)</f>
        <v/>
      </c>
      <c r="AC176" s="76">
        <f>IF(OR($AA176="",$Q176="",$Q176=0,$AN176&lt;&gt;"بستانکار"),"",$Q176)</f>
        <v/>
      </c>
      <c r="AD176" s="70">
        <f>IF($AA176="","",IFERROR(VLOOKUP($E176,OpTbl,13,0),""))</f>
        <v/>
      </c>
      <c r="AE176" s="76">
        <f>IF(OR($AD176="",$Q176="",$Q176=0,$AN176&lt;&gt;"بستانکار"),"",$Q176)</f>
        <v/>
      </c>
      <c r="AF176" s="76">
        <f>IF(OR($AD176="",$Q176="",$Q176=0,$AN176&lt;&gt;"بدهکار"),"",$Q176)</f>
        <v/>
      </c>
      <c r="AG176" s="76">
        <f>SUM($V176,$Y176,$AB176,$AE176)</f>
        <v/>
      </c>
      <c r="AH176" s="76">
        <f>SUM($W176,$Z176,$AC176,$AF176)</f>
        <v/>
      </c>
      <c r="AI176" s="70">
        <f>IF($E176="","",IF(ROUND($AG176-$AH176,0)=0,"✓","⚠"))</f>
        <v/>
      </c>
      <c r="AJ176" s="76">
        <f>IF(OR($E176="",$U176=""),"",IFERROR(IF(VLOOKUP($E176,OpTbl,6,0)="وزن",IF($P176="",0,$P176),IF(VLOOKUP($E176,OpTbl,6,0)="مبلغ",IF(AND($Q176&lt;&gt;"",$Q176&lt;&gt;0),$Q176,$P176),0))+IF(VLOOKUP($E176,OpTbl,10,0)="افزودن",IF($Q176="",0,$Q176),0),0))</f>
        <v/>
      </c>
      <c r="AK176" s="70">
        <f>IF($E176="","",IFERROR(VLOOKUP($E176,OpTbl,10,0),""))</f>
        <v/>
      </c>
      <c r="AL176" s="70">
        <f>IF(OR($E176="",$U176=""),"",IFERROR(IF(VLOOKUP($E176,OpTbl,7,0)="خودکار",$R176,VLOOKUP($E176,OpTbl,7,0)),""))</f>
        <v/>
      </c>
      <c r="AM176" s="70">
        <f>IF(OR($E176="",$X176=""),"",IFERROR(IF(VLOOKUP($E176,OpTbl,9,0)="خودکار",IF($AL176="بدهکار","بستانکار",IF($AL176="بستانکار","بدهکار","")),VLOOKUP($E176,OpTbl,9,0)),""))</f>
        <v/>
      </c>
      <c r="AN176" s="70">
        <f>IF($E176="","",IFERROR(VLOOKUP($E176,OpTbl,11,0),""))</f>
        <v/>
      </c>
      <c r="AO176" s="70">
        <f>IF($B176="","",MID($B176,6,2))</f>
        <v/>
      </c>
      <c r="AP176" s="76">
        <f>IF($B176="",0,1)</f>
        <v/>
      </c>
    </row>
    <row r="177" ht="21.75" customHeight="1">
      <c r="A177" s="70">
        <f>IF($B177="","",COUNTA($B$10:$B177))</f>
        <v/>
      </c>
      <c r="B177" s="71" t="n"/>
      <c r="C177" s="71" t="n"/>
      <c r="D177" s="71" t="n"/>
      <c r="E177" s="71" t="n"/>
      <c r="F177" s="70">
        <f>IF($E177="","",IFERROR(VLOOKUP($E177,OpTbl,2,0),""))</f>
        <v/>
      </c>
      <c r="G177" s="71" t="n"/>
      <c r="H177" s="73">
        <f>IF($U177="","",IFERROR(VLOOKUP($U177,AcctTbl,2,0),"کد ناشناخته"))</f>
        <v/>
      </c>
      <c r="I177" s="70">
        <f>IF($U177="","",IFERROR(VLOOKUP($U177,AcctTbl,3,0),""))</f>
        <v/>
      </c>
      <c r="J177" s="72" t="n"/>
      <c r="K177" s="71" t="n"/>
      <c r="L177" s="74" t="n"/>
      <c r="M177" s="74" t="n"/>
      <c r="N177" s="148">
        <f>IF(OR($E177="",$L177=""),"",IFERROR(($L177-IF($M177="",0,$M177)*IFERROR(VLOOKUP($K177,BasketTbl,4,0),IFERROR(INDEX(BasketTbl,MATCH($K177,BasketCodeCol,0),4),VLOOKUP("P01",ParamTbl,2,0))))*(1-IF(VLOOKUP($E177,OpTbl,3,0)="خرید",VLOOKUP("P02",ParamTbl,2,0),0)/100),""))</f>
        <v/>
      </c>
      <c r="O177" s="74" t="n"/>
      <c r="P177" s="76">
        <f>IF(OR($E177="",$L177=""),"",IFERROR(IF(VLOOKUP($E177,OpTbl,6,0)="وزن",ROUND($N177*$O177,-3),IF(VLOOKUP($E177,OpTbl,6,0)="مبلغ",ROUND($L177*$O177,-3),0)),""))</f>
        <v/>
      </c>
      <c r="Q177" s="74" t="n"/>
      <c r="R177" s="71" t="n"/>
      <c r="S177" s="77">
        <f>IF($E177="","",IF($AI177="⚠","⚠ ناتراز",IF(AND(IFERROR(VLOOKUP($E177,OpTbl,4,0),"")="بله",$L177=""),"⚠ وزن",IF(AND(IFERROR(VLOOKUP($E177,OpTbl,5,0),"")="بله",$U177=""),"⚠ حساب",IF(AND(IFERROR(VLOOKUP($E177,OpTbl,6,0),"")="مبلغ",$Q177=""),"⚠ مبلغ","✓")))))</f>
        <v/>
      </c>
      <c r="T177" s="72" t="n"/>
      <c r="U177" s="70">
        <f>IF($E177="","",IFERROR(IF(VLOOKUP($E177,OpTbl,14,0)&lt;&gt;"",VLOOKUP($E177,OpTbl,14,0),$G177),""))</f>
        <v/>
      </c>
      <c r="V177" s="76">
        <f>IF(OR($AJ177="",$AJ177=0,$AL177&lt;&gt;"بدهکار"),"",$AJ177)</f>
        <v/>
      </c>
      <c r="W177" s="76">
        <f>IF(OR($AJ177="",$AJ177=0,$AL177&lt;&gt;"بستانکار"),"",$AJ177)</f>
        <v/>
      </c>
      <c r="X177" s="70">
        <f>IF($E177="","",IFERROR(VLOOKUP($E177,OpTbl,8,0),""))</f>
        <v/>
      </c>
      <c r="Y177" s="76">
        <f>IF(OR($X177="",$AJ177="",$AJ177=0,$AM177&lt;&gt;"بدهکار"),"",$AJ177)</f>
        <v/>
      </c>
      <c r="Z177" s="76">
        <f>IF(OR($X177="",$AJ177="",$AJ177=0,$AM177&lt;&gt;"بستانکار"),"",$AJ177)</f>
        <v/>
      </c>
      <c r="AA177" s="70">
        <f>IF(OR($E177="",$AN177="—",$AN177=""),"",IFERROR(VLOOKUP($E177,OpTbl,12,0),""))</f>
        <v/>
      </c>
      <c r="AB177" s="76">
        <f>IF(OR($AA177="",$Q177="",$Q177=0,$AN177&lt;&gt;"بدهکار"),"",$Q177)</f>
        <v/>
      </c>
      <c r="AC177" s="76">
        <f>IF(OR($AA177="",$Q177="",$Q177=0,$AN177&lt;&gt;"بستانکار"),"",$Q177)</f>
        <v/>
      </c>
      <c r="AD177" s="70">
        <f>IF($AA177="","",IFERROR(VLOOKUP($E177,OpTbl,13,0),""))</f>
        <v/>
      </c>
      <c r="AE177" s="76">
        <f>IF(OR($AD177="",$Q177="",$Q177=0,$AN177&lt;&gt;"بستانکار"),"",$Q177)</f>
        <v/>
      </c>
      <c r="AF177" s="76">
        <f>IF(OR($AD177="",$Q177="",$Q177=0,$AN177&lt;&gt;"بدهکار"),"",$Q177)</f>
        <v/>
      </c>
      <c r="AG177" s="76">
        <f>SUM($V177,$Y177,$AB177,$AE177)</f>
        <v/>
      </c>
      <c r="AH177" s="76">
        <f>SUM($W177,$Z177,$AC177,$AF177)</f>
        <v/>
      </c>
      <c r="AI177" s="70">
        <f>IF($E177="","",IF(ROUND($AG177-$AH177,0)=0,"✓","⚠"))</f>
        <v/>
      </c>
      <c r="AJ177" s="76">
        <f>IF(OR($E177="",$U177=""),"",IFERROR(IF(VLOOKUP($E177,OpTbl,6,0)="وزن",IF($P177="",0,$P177),IF(VLOOKUP($E177,OpTbl,6,0)="مبلغ",IF(AND($Q177&lt;&gt;"",$Q177&lt;&gt;0),$Q177,$P177),0))+IF(VLOOKUP($E177,OpTbl,10,0)="افزودن",IF($Q177="",0,$Q177),0),0))</f>
        <v/>
      </c>
      <c r="AK177" s="70">
        <f>IF($E177="","",IFERROR(VLOOKUP($E177,OpTbl,10,0),""))</f>
        <v/>
      </c>
      <c r="AL177" s="70">
        <f>IF(OR($E177="",$U177=""),"",IFERROR(IF(VLOOKUP($E177,OpTbl,7,0)="خودکار",$R177,VLOOKUP($E177,OpTbl,7,0)),""))</f>
        <v/>
      </c>
      <c r="AM177" s="70">
        <f>IF(OR($E177="",$X177=""),"",IFERROR(IF(VLOOKUP($E177,OpTbl,9,0)="خودکار",IF($AL177="بدهکار","بستانکار",IF($AL177="بستانکار","بدهکار","")),VLOOKUP($E177,OpTbl,9,0)),""))</f>
        <v/>
      </c>
      <c r="AN177" s="70">
        <f>IF($E177="","",IFERROR(VLOOKUP($E177,OpTbl,11,0),""))</f>
        <v/>
      </c>
      <c r="AO177" s="70">
        <f>IF($B177="","",MID($B177,6,2))</f>
        <v/>
      </c>
      <c r="AP177" s="76">
        <f>IF($B177="",0,1)</f>
        <v/>
      </c>
    </row>
    <row r="178" ht="21.75" customHeight="1">
      <c r="A178" s="70">
        <f>IF($B178="","",COUNTA($B$10:$B178))</f>
        <v/>
      </c>
      <c r="B178" s="71" t="n"/>
      <c r="C178" s="71" t="n"/>
      <c r="D178" s="71" t="n"/>
      <c r="E178" s="71" t="n"/>
      <c r="F178" s="70">
        <f>IF($E178="","",IFERROR(VLOOKUP($E178,OpTbl,2,0),""))</f>
        <v/>
      </c>
      <c r="G178" s="71" t="n"/>
      <c r="H178" s="73">
        <f>IF($U178="","",IFERROR(VLOOKUP($U178,AcctTbl,2,0),"کد ناشناخته"))</f>
        <v/>
      </c>
      <c r="I178" s="70">
        <f>IF($U178="","",IFERROR(VLOOKUP($U178,AcctTbl,3,0),""))</f>
        <v/>
      </c>
      <c r="J178" s="72" t="n"/>
      <c r="K178" s="71" t="n"/>
      <c r="L178" s="74" t="n"/>
      <c r="M178" s="74" t="n"/>
      <c r="N178" s="148">
        <f>IF(OR($E178="",$L178=""),"",IFERROR(($L178-IF($M178="",0,$M178)*IFERROR(VLOOKUP($K178,BasketTbl,4,0),IFERROR(INDEX(BasketTbl,MATCH($K178,BasketCodeCol,0),4),VLOOKUP("P01",ParamTbl,2,0))))*(1-IF(VLOOKUP($E178,OpTbl,3,0)="خرید",VLOOKUP("P02",ParamTbl,2,0),0)/100),""))</f>
        <v/>
      </c>
      <c r="O178" s="74" t="n"/>
      <c r="P178" s="76">
        <f>IF(OR($E178="",$L178=""),"",IFERROR(IF(VLOOKUP($E178,OpTbl,6,0)="وزن",ROUND($N178*$O178,-3),IF(VLOOKUP($E178,OpTbl,6,0)="مبلغ",ROUND($L178*$O178,-3),0)),""))</f>
        <v/>
      </c>
      <c r="Q178" s="74" t="n"/>
      <c r="R178" s="71" t="n"/>
      <c r="S178" s="77">
        <f>IF($E178="","",IF($AI178="⚠","⚠ ناتراز",IF(AND(IFERROR(VLOOKUP($E178,OpTbl,4,0),"")="بله",$L178=""),"⚠ وزن",IF(AND(IFERROR(VLOOKUP($E178,OpTbl,5,0),"")="بله",$U178=""),"⚠ حساب",IF(AND(IFERROR(VLOOKUP($E178,OpTbl,6,0),"")="مبلغ",$Q178=""),"⚠ مبلغ","✓")))))</f>
        <v/>
      </c>
      <c r="T178" s="72" t="n"/>
      <c r="U178" s="70">
        <f>IF($E178="","",IFERROR(IF(VLOOKUP($E178,OpTbl,14,0)&lt;&gt;"",VLOOKUP($E178,OpTbl,14,0),$G178),""))</f>
        <v/>
      </c>
      <c r="V178" s="76">
        <f>IF(OR($AJ178="",$AJ178=0,$AL178&lt;&gt;"بدهکار"),"",$AJ178)</f>
        <v/>
      </c>
      <c r="W178" s="76">
        <f>IF(OR($AJ178="",$AJ178=0,$AL178&lt;&gt;"بستانکار"),"",$AJ178)</f>
        <v/>
      </c>
      <c r="X178" s="70">
        <f>IF($E178="","",IFERROR(VLOOKUP($E178,OpTbl,8,0),""))</f>
        <v/>
      </c>
      <c r="Y178" s="76">
        <f>IF(OR($X178="",$AJ178="",$AJ178=0,$AM178&lt;&gt;"بدهکار"),"",$AJ178)</f>
        <v/>
      </c>
      <c r="Z178" s="76">
        <f>IF(OR($X178="",$AJ178="",$AJ178=0,$AM178&lt;&gt;"بستانکار"),"",$AJ178)</f>
        <v/>
      </c>
      <c r="AA178" s="70">
        <f>IF(OR($E178="",$AN178="—",$AN178=""),"",IFERROR(VLOOKUP($E178,OpTbl,12,0),""))</f>
        <v/>
      </c>
      <c r="AB178" s="76">
        <f>IF(OR($AA178="",$Q178="",$Q178=0,$AN178&lt;&gt;"بدهکار"),"",$Q178)</f>
        <v/>
      </c>
      <c r="AC178" s="76">
        <f>IF(OR($AA178="",$Q178="",$Q178=0,$AN178&lt;&gt;"بستانکار"),"",$Q178)</f>
        <v/>
      </c>
      <c r="AD178" s="70">
        <f>IF($AA178="","",IFERROR(VLOOKUP($E178,OpTbl,13,0),""))</f>
        <v/>
      </c>
      <c r="AE178" s="76">
        <f>IF(OR($AD178="",$Q178="",$Q178=0,$AN178&lt;&gt;"بستانکار"),"",$Q178)</f>
        <v/>
      </c>
      <c r="AF178" s="76">
        <f>IF(OR($AD178="",$Q178="",$Q178=0,$AN178&lt;&gt;"بدهکار"),"",$Q178)</f>
        <v/>
      </c>
      <c r="AG178" s="76">
        <f>SUM($V178,$Y178,$AB178,$AE178)</f>
        <v/>
      </c>
      <c r="AH178" s="76">
        <f>SUM($W178,$Z178,$AC178,$AF178)</f>
        <v/>
      </c>
      <c r="AI178" s="70">
        <f>IF($E178="","",IF(ROUND($AG178-$AH178,0)=0,"✓","⚠"))</f>
        <v/>
      </c>
      <c r="AJ178" s="76">
        <f>IF(OR($E178="",$U178=""),"",IFERROR(IF(VLOOKUP($E178,OpTbl,6,0)="وزن",IF($P178="",0,$P178),IF(VLOOKUP($E178,OpTbl,6,0)="مبلغ",IF(AND($Q178&lt;&gt;"",$Q178&lt;&gt;0),$Q178,$P178),0))+IF(VLOOKUP($E178,OpTbl,10,0)="افزودن",IF($Q178="",0,$Q178),0),0))</f>
        <v/>
      </c>
      <c r="AK178" s="70">
        <f>IF($E178="","",IFERROR(VLOOKUP($E178,OpTbl,10,0),""))</f>
        <v/>
      </c>
      <c r="AL178" s="70">
        <f>IF(OR($E178="",$U178=""),"",IFERROR(IF(VLOOKUP($E178,OpTbl,7,0)="خودکار",$R178,VLOOKUP($E178,OpTbl,7,0)),""))</f>
        <v/>
      </c>
      <c r="AM178" s="70">
        <f>IF(OR($E178="",$X178=""),"",IFERROR(IF(VLOOKUP($E178,OpTbl,9,0)="خودکار",IF($AL178="بدهکار","بستانکار",IF($AL178="بستانکار","بدهکار","")),VLOOKUP($E178,OpTbl,9,0)),""))</f>
        <v/>
      </c>
      <c r="AN178" s="70">
        <f>IF($E178="","",IFERROR(VLOOKUP($E178,OpTbl,11,0),""))</f>
        <v/>
      </c>
      <c r="AO178" s="70">
        <f>IF($B178="","",MID($B178,6,2))</f>
        <v/>
      </c>
      <c r="AP178" s="76">
        <f>IF($B178="",0,1)</f>
        <v/>
      </c>
    </row>
    <row r="179" ht="21.75" customHeight="1">
      <c r="A179" s="70">
        <f>IF($B179="","",COUNTA($B$10:$B179))</f>
        <v/>
      </c>
      <c r="B179" s="71" t="n"/>
      <c r="C179" s="71" t="n"/>
      <c r="D179" s="71" t="n"/>
      <c r="E179" s="71" t="n"/>
      <c r="F179" s="70">
        <f>IF($E179="","",IFERROR(VLOOKUP($E179,OpTbl,2,0),""))</f>
        <v/>
      </c>
      <c r="G179" s="71" t="n"/>
      <c r="H179" s="73">
        <f>IF($U179="","",IFERROR(VLOOKUP($U179,AcctTbl,2,0),"کد ناشناخته"))</f>
        <v/>
      </c>
      <c r="I179" s="70">
        <f>IF($U179="","",IFERROR(VLOOKUP($U179,AcctTbl,3,0),""))</f>
        <v/>
      </c>
      <c r="J179" s="72" t="n"/>
      <c r="K179" s="71" t="n"/>
      <c r="L179" s="74" t="n"/>
      <c r="M179" s="74" t="n"/>
      <c r="N179" s="148">
        <f>IF(OR($E179="",$L179=""),"",IFERROR(($L179-IF($M179="",0,$M179)*IFERROR(VLOOKUP($K179,BasketTbl,4,0),IFERROR(INDEX(BasketTbl,MATCH($K179,BasketCodeCol,0),4),VLOOKUP("P01",ParamTbl,2,0))))*(1-IF(VLOOKUP($E179,OpTbl,3,0)="خرید",VLOOKUP("P02",ParamTbl,2,0),0)/100),""))</f>
        <v/>
      </c>
      <c r="O179" s="74" t="n"/>
      <c r="P179" s="76">
        <f>IF(OR($E179="",$L179=""),"",IFERROR(IF(VLOOKUP($E179,OpTbl,6,0)="وزن",ROUND($N179*$O179,-3),IF(VLOOKUP($E179,OpTbl,6,0)="مبلغ",ROUND($L179*$O179,-3),0)),""))</f>
        <v/>
      </c>
      <c r="Q179" s="74" t="n"/>
      <c r="R179" s="71" t="n"/>
      <c r="S179" s="77">
        <f>IF($E179="","",IF($AI179="⚠","⚠ ناتراز",IF(AND(IFERROR(VLOOKUP($E179,OpTbl,4,0),"")="بله",$L179=""),"⚠ وزن",IF(AND(IFERROR(VLOOKUP($E179,OpTbl,5,0),"")="بله",$U179=""),"⚠ حساب",IF(AND(IFERROR(VLOOKUP($E179,OpTbl,6,0),"")="مبلغ",$Q179=""),"⚠ مبلغ","✓")))))</f>
        <v/>
      </c>
      <c r="T179" s="72" t="n"/>
      <c r="U179" s="70">
        <f>IF($E179="","",IFERROR(IF(VLOOKUP($E179,OpTbl,14,0)&lt;&gt;"",VLOOKUP($E179,OpTbl,14,0),$G179),""))</f>
        <v/>
      </c>
      <c r="V179" s="76">
        <f>IF(OR($AJ179="",$AJ179=0,$AL179&lt;&gt;"بدهکار"),"",$AJ179)</f>
        <v/>
      </c>
      <c r="W179" s="76">
        <f>IF(OR($AJ179="",$AJ179=0,$AL179&lt;&gt;"بستانکار"),"",$AJ179)</f>
        <v/>
      </c>
      <c r="X179" s="70">
        <f>IF($E179="","",IFERROR(VLOOKUP($E179,OpTbl,8,0),""))</f>
        <v/>
      </c>
      <c r="Y179" s="76">
        <f>IF(OR($X179="",$AJ179="",$AJ179=0,$AM179&lt;&gt;"بدهکار"),"",$AJ179)</f>
        <v/>
      </c>
      <c r="Z179" s="76">
        <f>IF(OR($X179="",$AJ179="",$AJ179=0,$AM179&lt;&gt;"بستانکار"),"",$AJ179)</f>
        <v/>
      </c>
      <c r="AA179" s="70">
        <f>IF(OR($E179="",$AN179="—",$AN179=""),"",IFERROR(VLOOKUP($E179,OpTbl,12,0),""))</f>
        <v/>
      </c>
      <c r="AB179" s="76">
        <f>IF(OR($AA179="",$Q179="",$Q179=0,$AN179&lt;&gt;"بدهکار"),"",$Q179)</f>
        <v/>
      </c>
      <c r="AC179" s="76">
        <f>IF(OR($AA179="",$Q179="",$Q179=0,$AN179&lt;&gt;"بستانکار"),"",$Q179)</f>
        <v/>
      </c>
      <c r="AD179" s="70">
        <f>IF($AA179="","",IFERROR(VLOOKUP($E179,OpTbl,13,0),""))</f>
        <v/>
      </c>
      <c r="AE179" s="76">
        <f>IF(OR($AD179="",$Q179="",$Q179=0,$AN179&lt;&gt;"بستانکار"),"",$Q179)</f>
        <v/>
      </c>
      <c r="AF179" s="76">
        <f>IF(OR($AD179="",$Q179="",$Q179=0,$AN179&lt;&gt;"بدهکار"),"",$Q179)</f>
        <v/>
      </c>
      <c r="AG179" s="76">
        <f>SUM($V179,$Y179,$AB179,$AE179)</f>
        <v/>
      </c>
      <c r="AH179" s="76">
        <f>SUM($W179,$Z179,$AC179,$AF179)</f>
        <v/>
      </c>
      <c r="AI179" s="70">
        <f>IF($E179="","",IF(ROUND($AG179-$AH179,0)=0,"✓","⚠"))</f>
        <v/>
      </c>
      <c r="AJ179" s="76">
        <f>IF(OR($E179="",$U179=""),"",IFERROR(IF(VLOOKUP($E179,OpTbl,6,0)="وزن",IF($P179="",0,$P179),IF(VLOOKUP($E179,OpTbl,6,0)="مبلغ",IF(AND($Q179&lt;&gt;"",$Q179&lt;&gt;0),$Q179,$P179),0))+IF(VLOOKUP($E179,OpTbl,10,0)="افزودن",IF($Q179="",0,$Q179),0),0))</f>
        <v/>
      </c>
      <c r="AK179" s="70">
        <f>IF($E179="","",IFERROR(VLOOKUP($E179,OpTbl,10,0),""))</f>
        <v/>
      </c>
      <c r="AL179" s="70">
        <f>IF(OR($E179="",$U179=""),"",IFERROR(IF(VLOOKUP($E179,OpTbl,7,0)="خودکار",$R179,VLOOKUP($E179,OpTbl,7,0)),""))</f>
        <v/>
      </c>
      <c r="AM179" s="70">
        <f>IF(OR($E179="",$X179=""),"",IFERROR(IF(VLOOKUP($E179,OpTbl,9,0)="خودکار",IF($AL179="بدهکار","بستانکار",IF($AL179="بستانکار","بدهکار","")),VLOOKUP($E179,OpTbl,9,0)),""))</f>
        <v/>
      </c>
      <c r="AN179" s="70">
        <f>IF($E179="","",IFERROR(VLOOKUP($E179,OpTbl,11,0),""))</f>
        <v/>
      </c>
      <c r="AO179" s="70">
        <f>IF($B179="","",MID($B179,6,2))</f>
        <v/>
      </c>
      <c r="AP179" s="76">
        <f>IF($B179="",0,1)</f>
        <v/>
      </c>
    </row>
    <row r="180" ht="21.75" customHeight="1">
      <c r="A180" s="70">
        <f>IF($B180="","",COUNTA($B$10:$B180))</f>
        <v/>
      </c>
      <c r="B180" s="71" t="n"/>
      <c r="C180" s="71" t="n"/>
      <c r="D180" s="71" t="n"/>
      <c r="E180" s="71" t="n"/>
      <c r="F180" s="70">
        <f>IF($E180="","",IFERROR(VLOOKUP($E180,OpTbl,2,0),""))</f>
        <v/>
      </c>
      <c r="G180" s="71" t="n"/>
      <c r="H180" s="73">
        <f>IF($U180="","",IFERROR(VLOOKUP($U180,AcctTbl,2,0),"کد ناشناخته"))</f>
        <v/>
      </c>
      <c r="I180" s="70">
        <f>IF($U180="","",IFERROR(VLOOKUP($U180,AcctTbl,3,0),""))</f>
        <v/>
      </c>
      <c r="J180" s="72" t="n"/>
      <c r="K180" s="71" t="n"/>
      <c r="L180" s="74" t="n"/>
      <c r="M180" s="74" t="n"/>
      <c r="N180" s="148">
        <f>IF(OR($E180="",$L180=""),"",IFERROR(($L180-IF($M180="",0,$M180)*IFERROR(VLOOKUP($K180,BasketTbl,4,0),IFERROR(INDEX(BasketTbl,MATCH($K180,BasketCodeCol,0),4),VLOOKUP("P01",ParamTbl,2,0))))*(1-IF(VLOOKUP($E180,OpTbl,3,0)="خرید",VLOOKUP("P02",ParamTbl,2,0),0)/100),""))</f>
        <v/>
      </c>
      <c r="O180" s="74" t="n"/>
      <c r="P180" s="76">
        <f>IF(OR($E180="",$L180=""),"",IFERROR(IF(VLOOKUP($E180,OpTbl,6,0)="وزن",ROUND($N180*$O180,-3),IF(VLOOKUP($E180,OpTbl,6,0)="مبلغ",ROUND($L180*$O180,-3),0)),""))</f>
        <v/>
      </c>
      <c r="Q180" s="74" t="n"/>
      <c r="R180" s="71" t="n"/>
      <c r="S180" s="77">
        <f>IF($E180="","",IF($AI180="⚠","⚠ ناتراز",IF(AND(IFERROR(VLOOKUP($E180,OpTbl,4,0),"")="بله",$L180=""),"⚠ وزن",IF(AND(IFERROR(VLOOKUP($E180,OpTbl,5,0),"")="بله",$U180=""),"⚠ حساب",IF(AND(IFERROR(VLOOKUP($E180,OpTbl,6,0),"")="مبلغ",$Q180=""),"⚠ مبلغ","✓")))))</f>
        <v/>
      </c>
      <c r="T180" s="72" t="n"/>
      <c r="U180" s="70">
        <f>IF($E180="","",IFERROR(IF(VLOOKUP($E180,OpTbl,14,0)&lt;&gt;"",VLOOKUP($E180,OpTbl,14,0),$G180),""))</f>
        <v/>
      </c>
      <c r="V180" s="76">
        <f>IF(OR($AJ180="",$AJ180=0,$AL180&lt;&gt;"بدهکار"),"",$AJ180)</f>
        <v/>
      </c>
      <c r="W180" s="76">
        <f>IF(OR($AJ180="",$AJ180=0,$AL180&lt;&gt;"بستانکار"),"",$AJ180)</f>
        <v/>
      </c>
      <c r="X180" s="70">
        <f>IF($E180="","",IFERROR(VLOOKUP($E180,OpTbl,8,0),""))</f>
        <v/>
      </c>
      <c r="Y180" s="76">
        <f>IF(OR($X180="",$AJ180="",$AJ180=0,$AM180&lt;&gt;"بدهکار"),"",$AJ180)</f>
        <v/>
      </c>
      <c r="Z180" s="76">
        <f>IF(OR($X180="",$AJ180="",$AJ180=0,$AM180&lt;&gt;"بستانکار"),"",$AJ180)</f>
        <v/>
      </c>
      <c r="AA180" s="70">
        <f>IF(OR($E180="",$AN180="—",$AN180=""),"",IFERROR(VLOOKUP($E180,OpTbl,12,0),""))</f>
        <v/>
      </c>
      <c r="AB180" s="76">
        <f>IF(OR($AA180="",$Q180="",$Q180=0,$AN180&lt;&gt;"بدهکار"),"",$Q180)</f>
        <v/>
      </c>
      <c r="AC180" s="76">
        <f>IF(OR($AA180="",$Q180="",$Q180=0,$AN180&lt;&gt;"بستانکار"),"",$Q180)</f>
        <v/>
      </c>
      <c r="AD180" s="70">
        <f>IF($AA180="","",IFERROR(VLOOKUP($E180,OpTbl,13,0),""))</f>
        <v/>
      </c>
      <c r="AE180" s="76">
        <f>IF(OR($AD180="",$Q180="",$Q180=0,$AN180&lt;&gt;"بستانکار"),"",$Q180)</f>
        <v/>
      </c>
      <c r="AF180" s="76">
        <f>IF(OR($AD180="",$Q180="",$Q180=0,$AN180&lt;&gt;"بدهکار"),"",$Q180)</f>
        <v/>
      </c>
      <c r="AG180" s="76">
        <f>SUM($V180,$Y180,$AB180,$AE180)</f>
        <v/>
      </c>
      <c r="AH180" s="76">
        <f>SUM($W180,$Z180,$AC180,$AF180)</f>
        <v/>
      </c>
      <c r="AI180" s="70">
        <f>IF($E180="","",IF(ROUND($AG180-$AH180,0)=0,"✓","⚠"))</f>
        <v/>
      </c>
      <c r="AJ180" s="76">
        <f>IF(OR($E180="",$U180=""),"",IFERROR(IF(VLOOKUP($E180,OpTbl,6,0)="وزن",IF($P180="",0,$P180),IF(VLOOKUP($E180,OpTbl,6,0)="مبلغ",IF(AND($Q180&lt;&gt;"",$Q180&lt;&gt;0),$Q180,$P180),0))+IF(VLOOKUP($E180,OpTbl,10,0)="افزودن",IF($Q180="",0,$Q180),0),0))</f>
        <v/>
      </c>
      <c r="AK180" s="70">
        <f>IF($E180="","",IFERROR(VLOOKUP($E180,OpTbl,10,0),""))</f>
        <v/>
      </c>
      <c r="AL180" s="70">
        <f>IF(OR($E180="",$U180=""),"",IFERROR(IF(VLOOKUP($E180,OpTbl,7,0)="خودکار",$R180,VLOOKUP($E180,OpTbl,7,0)),""))</f>
        <v/>
      </c>
      <c r="AM180" s="70">
        <f>IF(OR($E180="",$X180=""),"",IFERROR(IF(VLOOKUP($E180,OpTbl,9,0)="خودکار",IF($AL180="بدهکار","بستانکار",IF($AL180="بستانکار","بدهکار","")),VLOOKUP($E180,OpTbl,9,0)),""))</f>
        <v/>
      </c>
      <c r="AN180" s="70">
        <f>IF($E180="","",IFERROR(VLOOKUP($E180,OpTbl,11,0),""))</f>
        <v/>
      </c>
      <c r="AO180" s="70">
        <f>IF($B180="","",MID($B180,6,2))</f>
        <v/>
      </c>
      <c r="AP180" s="76">
        <f>IF($B180="",0,1)</f>
        <v/>
      </c>
    </row>
    <row r="181" ht="21.75" customHeight="1">
      <c r="A181" s="70">
        <f>IF($B181="","",COUNTA($B$10:$B181))</f>
        <v/>
      </c>
      <c r="B181" s="71" t="n"/>
      <c r="C181" s="71" t="n"/>
      <c r="D181" s="71" t="n"/>
      <c r="E181" s="71" t="n"/>
      <c r="F181" s="70">
        <f>IF($E181="","",IFERROR(VLOOKUP($E181,OpTbl,2,0),""))</f>
        <v/>
      </c>
      <c r="G181" s="71" t="n"/>
      <c r="H181" s="73">
        <f>IF($U181="","",IFERROR(VLOOKUP($U181,AcctTbl,2,0),"کد ناشناخته"))</f>
        <v/>
      </c>
      <c r="I181" s="70">
        <f>IF($U181="","",IFERROR(VLOOKUP($U181,AcctTbl,3,0),""))</f>
        <v/>
      </c>
      <c r="J181" s="72" t="n"/>
      <c r="K181" s="71" t="n"/>
      <c r="L181" s="74" t="n"/>
      <c r="M181" s="74" t="n"/>
      <c r="N181" s="148">
        <f>IF(OR($E181="",$L181=""),"",IFERROR(($L181-IF($M181="",0,$M181)*IFERROR(VLOOKUP($K181,BasketTbl,4,0),IFERROR(INDEX(BasketTbl,MATCH($K181,BasketCodeCol,0),4),VLOOKUP("P01",ParamTbl,2,0))))*(1-IF(VLOOKUP($E181,OpTbl,3,0)="خرید",VLOOKUP("P02",ParamTbl,2,0),0)/100),""))</f>
        <v/>
      </c>
      <c r="O181" s="74" t="n"/>
      <c r="P181" s="76">
        <f>IF(OR($E181="",$L181=""),"",IFERROR(IF(VLOOKUP($E181,OpTbl,6,0)="وزن",ROUND($N181*$O181,-3),IF(VLOOKUP($E181,OpTbl,6,0)="مبلغ",ROUND($L181*$O181,-3),0)),""))</f>
        <v/>
      </c>
      <c r="Q181" s="74" t="n"/>
      <c r="R181" s="71" t="n"/>
      <c r="S181" s="77">
        <f>IF($E181="","",IF($AI181="⚠","⚠ ناتراز",IF(AND(IFERROR(VLOOKUP($E181,OpTbl,4,0),"")="بله",$L181=""),"⚠ وزن",IF(AND(IFERROR(VLOOKUP($E181,OpTbl,5,0),"")="بله",$U181=""),"⚠ حساب",IF(AND(IFERROR(VLOOKUP($E181,OpTbl,6,0),"")="مبلغ",$Q181=""),"⚠ مبلغ","✓")))))</f>
        <v/>
      </c>
      <c r="T181" s="72" t="n"/>
      <c r="U181" s="70">
        <f>IF($E181="","",IFERROR(IF(VLOOKUP($E181,OpTbl,14,0)&lt;&gt;"",VLOOKUP($E181,OpTbl,14,0),$G181),""))</f>
        <v/>
      </c>
      <c r="V181" s="76">
        <f>IF(OR($AJ181="",$AJ181=0,$AL181&lt;&gt;"بدهکار"),"",$AJ181)</f>
        <v/>
      </c>
      <c r="W181" s="76">
        <f>IF(OR($AJ181="",$AJ181=0,$AL181&lt;&gt;"بستانکار"),"",$AJ181)</f>
        <v/>
      </c>
      <c r="X181" s="70">
        <f>IF($E181="","",IFERROR(VLOOKUP($E181,OpTbl,8,0),""))</f>
        <v/>
      </c>
      <c r="Y181" s="76">
        <f>IF(OR($X181="",$AJ181="",$AJ181=0,$AM181&lt;&gt;"بدهکار"),"",$AJ181)</f>
        <v/>
      </c>
      <c r="Z181" s="76">
        <f>IF(OR($X181="",$AJ181="",$AJ181=0,$AM181&lt;&gt;"بستانکار"),"",$AJ181)</f>
        <v/>
      </c>
      <c r="AA181" s="70">
        <f>IF(OR($E181="",$AN181="—",$AN181=""),"",IFERROR(VLOOKUP($E181,OpTbl,12,0),""))</f>
        <v/>
      </c>
      <c r="AB181" s="76">
        <f>IF(OR($AA181="",$Q181="",$Q181=0,$AN181&lt;&gt;"بدهکار"),"",$Q181)</f>
        <v/>
      </c>
      <c r="AC181" s="76">
        <f>IF(OR($AA181="",$Q181="",$Q181=0,$AN181&lt;&gt;"بستانکار"),"",$Q181)</f>
        <v/>
      </c>
      <c r="AD181" s="70">
        <f>IF($AA181="","",IFERROR(VLOOKUP($E181,OpTbl,13,0),""))</f>
        <v/>
      </c>
      <c r="AE181" s="76">
        <f>IF(OR($AD181="",$Q181="",$Q181=0,$AN181&lt;&gt;"بستانکار"),"",$Q181)</f>
        <v/>
      </c>
      <c r="AF181" s="76">
        <f>IF(OR($AD181="",$Q181="",$Q181=0,$AN181&lt;&gt;"بدهکار"),"",$Q181)</f>
        <v/>
      </c>
      <c r="AG181" s="76">
        <f>SUM($V181,$Y181,$AB181,$AE181)</f>
        <v/>
      </c>
      <c r="AH181" s="76">
        <f>SUM($W181,$Z181,$AC181,$AF181)</f>
        <v/>
      </c>
      <c r="AI181" s="70">
        <f>IF($E181="","",IF(ROUND($AG181-$AH181,0)=0,"✓","⚠"))</f>
        <v/>
      </c>
      <c r="AJ181" s="76">
        <f>IF(OR($E181="",$U181=""),"",IFERROR(IF(VLOOKUP($E181,OpTbl,6,0)="وزن",IF($P181="",0,$P181),IF(VLOOKUP($E181,OpTbl,6,0)="مبلغ",IF(AND($Q181&lt;&gt;"",$Q181&lt;&gt;0),$Q181,$P181),0))+IF(VLOOKUP($E181,OpTbl,10,0)="افزودن",IF($Q181="",0,$Q181),0),0))</f>
        <v/>
      </c>
      <c r="AK181" s="70">
        <f>IF($E181="","",IFERROR(VLOOKUP($E181,OpTbl,10,0),""))</f>
        <v/>
      </c>
      <c r="AL181" s="70">
        <f>IF(OR($E181="",$U181=""),"",IFERROR(IF(VLOOKUP($E181,OpTbl,7,0)="خودکار",$R181,VLOOKUP($E181,OpTbl,7,0)),""))</f>
        <v/>
      </c>
      <c r="AM181" s="70">
        <f>IF(OR($E181="",$X181=""),"",IFERROR(IF(VLOOKUP($E181,OpTbl,9,0)="خودکار",IF($AL181="بدهکار","بستانکار",IF($AL181="بستانکار","بدهکار","")),VLOOKUP($E181,OpTbl,9,0)),""))</f>
        <v/>
      </c>
      <c r="AN181" s="70">
        <f>IF($E181="","",IFERROR(VLOOKUP($E181,OpTbl,11,0),""))</f>
        <v/>
      </c>
      <c r="AO181" s="70">
        <f>IF($B181="","",MID($B181,6,2))</f>
        <v/>
      </c>
      <c r="AP181" s="76">
        <f>IF($B181="",0,1)</f>
        <v/>
      </c>
    </row>
    <row r="182" ht="21.75" customHeight="1">
      <c r="A182" s="70">
        <f>IF($B182="","",COUNTA($B$10:$B182))</f>
        <v/>
      </c>
      <c r="B182" s="71" t="n"/>
      <c r="C182" s="71" t="n"/>
      <c r="D182" s="71" t="n"/>
      <c r="E182" s="71" t="n"/>
      <c r="F182" s="70">
        <f>IF($E182="","",IFERROR(VLOOKUP($E182,OpTbl,2,0),""))</f>
        <v/>
      </c>
      <c r="G182" s="71" t="n"/>
      <c r="H182" s="73">
        <f>IF($U182="","",IFERROR(VLOOKUP($U182,AcctTbl,2,0),"کد ناشناخته"))</f>
        <v/>
      </c>
      <c r="I182" s="70">
        <f>IF($U182="","",IFERROR(VLOOKUP($U182,AcctTbl,3,0),""))</f>
        <v/>
      </c>
      <c r="J182" s="72" t="n"/>
      <c r="K182" s="71" t="n"/>
      <c r="L182" s="74" t="n"/>
      <c r="M182" s="74" t="n"/>
      <c r="N182" s="148">
        <f>IF(OR($E182="",$L182=""),"",IFERROR(($L182-IF($M182="",0,$M182)*IFERROR(VLOOKUP($K182,BasketTbl,4,0),IFERROR(INDEX(BasketTbl,MATCH($K182,BasketCodeCol,0),4),VLOOKUP("P01",ParamTbl,2,0))))*(1-IF(VLOOKUP($E182,OpTbl,3,0)="خرید",VLOOKUP("P02",ParamTbl,2,0),0)/100),""))</f>
        <v/>
      </c>
      <c r="O182" s="74" t="n"/>
      <c r="P182" s="76">
        <f>IF(OR($E182="",$L182=""),"",IFERROR(IF(VLOOKUP($E182,OpTbl,6,0)="وزن",ROUND($N182*$O182,-3),IF(VLOOKUP($E182,OpTbl,6,0)="مبلغ",ROUND($L182*$O182,-3),0)),""))</f>
        <v/>
      </c>
      <c r="Q182" s="74" t="n"/>
      <c r="R182" s="71" t="n"/>
      <c r="S182" s="77">
        <f>IF($E182="","",IF($AI182="⚠","⚠ ناتراز",IF(AND(IFERROR(VLOOKUP($E182,OpTbl,4,0),"")="بله",$L182=""),"⚠ وزن",IF(AND(IFERROR(VLOOKUP($E182,OpTbl,5,0),"")="بله",$U182=""),"⚠ حساب",IF(AND(IFERROR(VLOOKUP($E182,OpTbl,6,0),"")="مبلغ",$Q182=""),"⚠ مبلغ","✓")))))</f>
        <v/>
      </c>
      <c r="T182" s="72" t="n"/>
      <c r="U182" s="70">
        <f>IF($E182="","",IFERROR(IF(VLOOKUP($E182,OpTbl,14,0)&lt;&gt;"",VLOOKUP($E182,OpTbl,14,0),$G182),""))</f>
        <v/>
      </c>
      <c r="V182" s="76">
        <f>IF(OR($AJ182="",$AJ182=0,$AL182&lt;&gt;"بدهکار"),"",$AJ182)</f>
        <v/>
      </c>
      <c r="W182" s="76">
        <f>IF(OR($AJ182="",$AJ182=0,$AL182&lt;&gt;"بستانکار"),"",$AJ182)</f>
        <v/>
      </c>
      <c r="X182" s="70">
        <f>IF($E182="","",IFERROR(VLOOKUP($E182,OpTbl,8,0),""))</f>
        <v/>
      </c>
      <c r="Y182" s="76">
        <f>IF(OR($X182="",$AJ182="",$AJ182=0,$AM182&lt;&gt;"بدهکار"),"",$AJ182)</f>
        <v/>
      </c>
      <c r="Z182" s="76">
        <f>IF(OR($X182="",$AJ182="",$AJ182=0,$AM182&lt;&gt;"بستانکار"),"",$AJ182)</f>
        <v/>
      </c>
      <c r="AA182" s="70">
        <f>IF(OR($E182="",$AN182="—",$AN182=""),"",IFERROR(VLOOKUP($E182,OpTbl,12,0),""))</f>
        <v/>
      </c>
      <c r="AB182" s="76">
        <f>IF(OR($AA182="",$Q182="",$Q182=0,$AN182&lt;&gt;"بدهکار"),"",$Q182)</f>
        <v/>
      </c>
      <c r="AC182" s="76">
        <f>IF(OR($AA182="",$Q182="",$Q182=0,$AN182&lt;&gt;"بستانکار"),"",$Q182)</f>
        <v/>
      </c>
      <c r="AD182" s="70">
        <f>IF($AA182="","",IFERROR(VLOOKUP($E182,OpTbl,13,0),""))</f>
        <v/>
      </c>
      <c r="AE182" s="76">
        <f>IF(OR($AD182="",$Q182="",$Q182=0,$AN182&lt;&gt;"بستانکار"),"",$Q182)</f>
        <v/>
      </c>
      <c r="AF182" s="76">
        <f>IF(OR($AD182="",$Q182="",$Q182=0,$AN182&lt;&gt;"بدهکار"),"",$Q182)</f>
        <v/>
      </c>
      <c r="AG182" s="76">
        <f>SUM($V182,$Y182,$AB182,$AE182)</f>
        <v/>
      </c>
      <c r="AH182" s="76">
        <f>SUM($W182,$Z182,$AC182,$AF182)</f>
        <v/>
      </c>
      <c r="AI182" s="70">
        <f>IF($E182="","",IF(ROUND($AG182-$AH182,0)=0,"✓","⚠"))</f>
        <v/>
      </c>
      <c r="AJ182" s="76">
        <f>IF(OR($E182="",$U182=""),"",IFERROR(IF(VLOOKUP($E182,OpTbl,6,0)="وزن",IF($P182="",0,$P182),IF(VLOOKUP($E182,OpTbl,6,0)="مبلغ",IF(AND($Q182&lt;&gt;"",$Q182&lt;&gt;0),$Q182,$P182),0))+IF(VLOOKUP($E182,OpTbl,10,0)="افزودن",IF($Q182="",0,$Q182),0),0))</f>
        <v/>
      </c>
      <c r="AK182" s="70">
        <f>IF($E182="","",IFERROR(VLOOKUP($E182,OpTbl,10,0),""))</f>
        <v/>
      </c>
      <c r="AL182" s="70">
        <f>IF(OR($E182="",$U182=""),"",IFERROR(IF(VLOOKUP($E182,OpTbl,7,0)="خودکار",$R182,VLOOKUP($E182,OpTbl,7,0)),""))</f>
        <v/>
      </c>
      <c r="AM182" s="70">
        <f>IF(OR($E182="",$X182=""),"",IFERROR(IF(VLOOKUP($E182,OpTbl,9,0)="خودکار",IF($AL182="بدهکار","بستانکار",IF($AL182="بستانکار","بدهکار","")),VLOOKUP($E182,OpTbl,9,0)),""))</f>
        <v/>
      </c>
      <c r="AN182" s="70">
        <f>IF($E182="","",IFERROR(VLOOKUP($E182,OpTbl,11,0),""))</f>
        <v/>
      </c>
      <c r="AO182" s="70">
        <f>IF($B182="","",MID($B182,6,2))</f>
        <v/>
      </c>
      <c r="AP182" s="76">
        <f>IF($B182="",0,1)</f>
        <v/>
      </c>
    </row>
    <row r="183" ht="21.75" customHeight="1">
      <c r="A183" s="70">
        <f>IF($B183="","",COUNTA($B$10:$B183))</f>
        <v/>
      </c>
      <c r="B183" s="71" t="n"/>
      <c r="C183" s="71" t="n"/>
      <c r="D183" s="71" t="n"/>
      <c r="E183" s="71" t="n"/>
      <c r="F183" s="70">
        <f>IF($E183="","",IFERROR(VLOOKUP($E183,OpTbl,2,0),""))</f>
        <v/>
      </c>
      <c r="G183" s="71" t="n"/>
      <c r="H183" s="73">
        <f>IF($U183="","",IFERROR(VLOOKUP($U183,AcctTbl,2,0),"کد ناشناخته"))</f>
        <v/>
      </c>
      <c r="I183" s="70">
        <f>IF($U183="","",IFERROR(VLOOKUP($U183,AcctTbl,3,0),""))</f>
        <v/>
      </c>
      <c r="J183" s="72" t="n"/>
      <c r="K183" s="71" t="n"/>
      <c r="L183" s="74" t="n"/>
      <c r="M183" s="74" t="n"/>
      <c r="N183" s="148">
        <f>IF(OR($E183="",$L183=""),"",IFERROR(($L183-IF($M183="",0,$M183)*IFERROR(VLOOKUP($K183,BasketTbl,4,0),IFERROR(INDEX(BasketTbl,MATCH($K183,BasketCodeCol,0),4),VLOOKUP("P01",ParamTbl,2,0))))*(1-IF(VLOOKUP($E183,OpTbl,3,0)="خرید",VLOOKUP("P02",ParamTbl,2,0),0)/100),""))</f>
        <v/>
      </c>
      <c r="O183" s="74" t="n"/>
      <c r="P183" s="76">
        <f>IF(OR($E183="",$L183=""),"",IFERROR(IF(VLOOKUP($E183,OpTbl,6,0)="وزن",ROUND($N183*$O183,-3),IF(VLOOKUP($E183,OpTbl,6,0)="مبلغ",ROUND($L183*$O183,-3),0)),""))</f>
        <v/>
      </c>
      <c r="Q183" s="74" t="n"/>
      <c r="R183" s="71" t="n"/>
      <c r="S183" s="77">
        <f>IF($E183="","",IF($AI183="⚠","⚠ ناتراز",IF(AND(IFERROR(VLOOKUP($E183,OpTbl,4,0),"")="بله",$L183=""),"⚠ وزن",IF(AND(IFERROR(VLOOKUP($E183,OpTbl,5,0),"")="بله",$U183=""),"⚠ حساب",IF(AND(IFERROR(VLOOKUP($E183,OpTbl,6,0),"")="مبلغ",$Q183=""),"⚠ مبلغ","✓")))))</f>
        <v/>
      </c>
      <c r="T183" s="72" t="n"/>
      <c r="U183" s="70">
        <f>IF($E183="","",IFERROR(IF(VLOOKUP($E183,OpTbl,14,0)&lt;&gt;"",VLOOKUP($E183,OpTbl,14,0),$G183),""))</f>
        <v/>
      </c>
      <c r="V183" s="76">
        <f>IF(OR($AJ183="",$AJ183=0,$AL183&lt;&gt;"بدهکار"),"",$AJ183)</f>
        <v/>
      </c>
      <c r="W183" s="76">
        <f>IF(OR($AJ183="",$AJ183=0,$AL183&lt;&gt;"بستانکار"),"",$AJ183)</f>
        <v/>
      </c>
      <c r="X183" s="70">
        <f>IF($E183="","",IFERROR(VLOOKUP($E183,OpTbl,8,0),""))</f>
        <v/>
      </c>
      <c r="Y183" s="76">
        <f>IF(OR($X183="",$AJ183="",$AJ183=0,$AM183&lt;&gt;"بدهکار"),"",$AJ183)</f>
        <v/>
      </c>
      <c r="Z183" s="76">
        <f>IF(OR($X183="",$AJ183="",$AJ183=0,$AM183&lt;&gt;"بستانکار"),"",$AJ183)</f>
        <v/>
      </c>
      <c r="AA183" s="70">
        <f>IF(OR($E183="",$AN183="—",$AN183=""),"",IFERROR(VLOOKUP($E183,OpTbl,12,0),""))</f>
        <v/>
      </c>
      <c r="AB183" s="76">
        <f>IF(OR($AA183="",$Q183="",$Q183=0,$AN183&lt;&gt;"بدهکار"),"",$Q183)</f>
        <v/>
      </c>
      <c r="AC183" s="76">
        <f>IF(OR($AA183="",$Q183="",$Q183=0,$AN183&lt;&gt;"بستانکار"),"",$Q183)</f>
        <v/>
      </c>
      <c r="AD183" s="70">
        <f>IF($AA183="","",IFERROR(VLOOKUP($E183,OpTbl,13,0),""))</f>
        <v/>
      </c>
      <c r="AE183" s="76">
        <f>IF(OR($AD183="",$Q183="",$Q183=0,$AN183&lt;&gt;"بستانکار"),"",$Q183)</f>
        <v/>
      </c>
      <c r="AF183" s="76">
        <f>IF(OR($AD183="",$Q183="",$Q183=0,$AN183&lt;&gt;"بدهکار"),"",$Q183)</f>
        <v/>
      </c>
      <c r="AG183" s="76">
        <f>SUM($V183,$Y183,$AB183,$AE183)</f>
        <v/>
      </c>
      <c r="AH183" s="76">
        <f>SUM($W183,$Z183,$AC183,$AF183)</f>
        <v/>
      </c>
      <c r="AI183" s="70">
        <f>IF($E183="","",IF(ROUND($AG183-$AH183,0)=0,"✓","⚠"))</f>
        <v/>
      </c>
      <c r="AJ183" s="76">
        <f>IF(OR($E183="",$U183=""),"",IFERROR(IF(VLOOKUP($E183,OpTbl,6,0)="وزن",IF($P183="",0,$P183),IF(VLOOKUP($E183,OpTbl,6,0)="مبلغ",IF(AND($Q183&lt;&gt;"",$Q183&lt;&gt;0),$Q183,$P183),0))+IF(VLOOKUP($E183,OpTbl,10,0)="افزودن",IF($Q183="",0,$Q183),0),0))</f>
        <v/>
      </c>
      <c r="AK183" s="70">
        <f>IF($E183="","",IFERROR(VLOOKUP($E183,OpTbl,10,0),""))</f>
        <v/>
      </c>
      <c r="AL183" s="70">
        <f>IF(OR($E183="",$U183=""),"",IFERROR(IF(VLOOKUP($E183,OpTbl,7,0)="خودکار",$R183,VLOOKUP($E183,OpTbl,7,0)),""))</f>
        <v/>
      </c>
      <c r="AM183" s="70">
        <f>IF(OR($E183="",$X183=""),"",IFERROR(IF(VLOOKUP($E183,OpTbl,9,0)="خودکار",IF($AL183="بدهکار","بستانکار",IF($AL183="بستانکار","بدهکار","")),VLOOKUP($E183,OpTbl,9,0)),""))</f>
        <v/>
      </c>
      <c r="AN183" s="70">
        <f>IF($E183="","",IFERROR(VLOOKUP($E183,OpTbl,11,0),""))</f>
        <v/>
      </c>
      <c r="AO183" s="70">
        <f>IF($B183="","",MID($B183,6,2))</f>
        <v/>
      </c>
      <c r="AP183" s="76">
        <f>IF($B183="",0,1)</f>
        <v/>
      </c>
    </row>
    <row r="184" ht="21.75" customHeight="1">
      <c r="A184" s="70">
        <f>IF($B184="","",COUNTA($B$10:$B184))</f>
        <v/>
      </c>
      <c r="B184" s="71" t="n"/>
      <c r="C184" s="71" t="n"/>
      <c r="D184" s="71" t="n"/>
      <c r="E184" s="71" t="n"/>
      <c r="F184" s="70">
        <f>IF($E184="","",IFERROR(VLOOKUP($E184,OpTbl,2,0),""))</f>
        <v/>
      </c>
      <c r="G184" s="71" t="n"/>
      <c r="H184" s="73">
        <f>IF($U184="","",IFERROR(VLOOKUP($U184,AcctTbl,2,0),"کد ناشناخته"))</f>
        <v/>
      </c>
      <c r="I184" s="70">
        <f>IF($U184="","",IFERROR(VLOOKUP($U184,AcctTbl,3,0),""))</f>
        <v/>
      </c>
      <c r="J184" s="72" t="n"/>
      <c r="K184" s="71" t="n"/>
      <c r="L184" s="74" t="n"/>
      <c r="M184" s="74" t="n"/>
      <c r="N184" s="148">
        <f>IF(OR($E184="",$L184=""),"",IFERROR(($L184-IF($M184="",0,$M184)*IFERROR(VLOOKUP($K184,BasketTbl,4,0),IFERROR(INDEX(BasketTbl,MATCH($K184,BasketCodeCol,0),4),VLOOKUP("P01",ParamTbl,2,0))))*(1-IF(VLOOKUP($E184,OpTbl,3,0)="خرید",VLOOKUP("P02",ParamTbl,2,0),0)/100),""))</f>
        <v/>
      </c>
      <c r="O184" s="74" t="n"/>
      <c r="P184" s="76">
        <f>IF(OR($E184="",$L184=""),"",IFERROR(IF(VLOOKUP($E184,OpTbl,6,0)="وزن",ROUND($N184*$O184,-3),IF(VLOOKUP($E184,OpTbl,6,0)="مبلغ",ROUND($L184*$O184,-3),0)),""))</f>
        <v/>
      </c>
      <c r="Q184" s="74" t="n"/>
      <c r="R184" s="71" t="n"/>
      <c r="S184" s="77">
        <f>IF($E184="","",IF($AI184="⚠","⚠ ناتراز",IF(AND(IFERROR(VLOOKUP($E184,OpTbl,4,0),"")="بله",$L184=""),"⚠ وزن",IF(AND(IFERROR(VLOOKUP($E184,OpTbl,5,0),"")="بله",$U184=""),"⚠ حساب",IF(AND(IFERROR(VLOOKUP($E184,OpTbl,6,0),"")="مبلغ",$Q184=""),"⚠ مبلغ","✓")))))</f>
        <v/>
      </c>
      <c r="T184" s="72" t="n"/>
      <c r="U184" s="70">
        <f>IF($E184="","",IFERROR(IF(VLOOKUP($E184,OpTbl,14,0)&lt;&gt;"",VLOOKUP($E184,OpTbl,14,0),$G184),""))</f>
        <v/>
      </c>
      <c r="V184" s="76">
        <f>IF(OR($AJ184="",$AJ184=0,$AL184&lt;&gt;"بدهکار"),"",$AJ184)</f>
        <v/>
      </c>
      <c r="W184" s="76">
        <f>IF(OR($AJ184="",$AJ184=0,$AL184&lt;&gt;"بستانکار"),"",$AJ184)</f>
        <v/>
      </c>
      <c r="X184" s="70">
        <f>IF($E184="","",IFERROR(VLOOKUP($E184,OpTbl,8,0),""))</f>
        <v/>
      </c>
      <c r="Y184" s="76">
        <f>IF(OR($X184="",$AJ184="",$AJ184=0,$AM184&lt;&gt;"بدهکار"),"",$AJ184)</f>
        <v/>
      </c>
      <c r="Z184" s="76">
        <f>IF(OR($X184="",$AJ184="",$AJ184=0,$AM184&lt;&gt;"بستانکار"),"",$AJ184)</f>
        <v/>
      </c>
      <c r="AA184" s="70">
        <f>IF(OR($E184="",$AN184="—",$AN184=""),"",IFERROR(VLOOKUP($E184,OpTbl,12,0),""))</f>
        <v/>
      </c>
      <c r="AB184" s="76">
        <f>IF(OR($AA184="",$Q184="",$Q184=0,$AN184&lt;&gt;"بدهکار"),"",$Q184)</f>
        <v/>
      </c>
      <c r="AC184" s="76">
        <f>IF(OR($AA184="",$Q184="",$Q184=0,$AN184&lt;&gt;"بستانکار"),"",$Q184)</f>
        <v/>
      </c>
      <c r="AD184" s="70">
        <f>IF($AA184="","",IFERROR(VLOOKUP($E184,OpTbl,13,0),""))</f>
        <v/>
      </c>
      <c r="AE184" s="76">
        <f>IF(OR($AD184="",$Q184="",$Q184=0,$AN184&lt;&gt;"بستانکار"),"",$Q184)</f>
        <v/>
      </c>
      <c r="AF184" s="76">
        <f>IF(OR($AD184="",$Q184="",$Q184=0,$AN184&lt;&gt;"بدهکار"),"",$Q184)</f>
        <v/>
      </c>
      <c r="AG184" s="76">
        <f>SUM($V184,$Y184,$AB184,$AE184)</f>
        <v/>
      </c>
      <c r="AH184" s="76">
        <f>SUM($W184,$Z184,$AC184,$AF184)</f>
        <v/>
      </c>
      <c r="AI184" s="70">
        <f>IF($E184="","",IF(ROUND($AG184-$AH184,0)=0,"✓","⚠"))</f>
        <v/>
      </c>
      <c r="AJ184" s="76">
        <f>IF(OR($E184="",$U184=""),"",IFERROR(IF(VLOOKUP($E184,OpTbl,6,0)="وزن",IF($P184="",0,$P184),IF(VLOOKUP($E184,OpTbl,6,0)="مبلغ",IF(AND($Q184&lt;&gt;"",$Q184&lt;&gt;0),$Q184,$P184),0))+IF(VLOOKUP($E184,OpTbl,10,0)="افزودن",IF($Q184="",0,$Q184),0),0))</f>
        <v/>
      </c>
      <c r="AK184" s="70">
        <f>IF($E184="","",IFERROR(VLOOKUP($E184,OpTbl,10,0),""))</f>
        <v/>
      </c>
      <c r="AL184" s="70">
        <f>IF(OR($E184="",$U184=""),"",IFERROR(IF(VLOOKUP($E184,OpTbl,7,0)="خودکار",$R184,VLOOKUP($E184,OpTbl,7,0)),""))</f>
        <v/>
      </c>
      <c r="AM184" s="70">
        <f>IF(OR($E184="",$X184=""),"",IFERROR(IF(VLOOKUP($E184,OpTbl,9,0)="خودکار",IF($AL184="بدهکار","بستانکار",IF($AL184="بستانکار","بدهکار","")),VLOOKUP($E184,OpTbl,9,0)),""))</f>
        <v/>
      </c>
      <c r="AN184" s="70">
        <f>IF($E184="","",IFERROR(VLOOKUP($E184,OpTbl,11,0),""))</f>
        <v/>
      </c>
      <c r="AO184" s="70">
        <f>IF($B184="","",MID($B184,6,2))</f>
        <v/>
      </c>
      <c r="AP184" s="76">
        <f>IF($B184="",0,1)</f>
        <v/>
      </c>
    </row>
    <row r="185" ht="21.75" customHeight="1">
      <c r="A185" s="70">
        <f>IF($B185="","",COUNTA($B$10:$B185))</f>
        <v/>
      </c>
      <c r="B185" s="71" t="n"/>
      <c r="C185" s="71" t="n"/>
      <c r="D185" s="71" t="n"/>
      <c r="E185" s="71" t="n"/>
      <c r="F185" s="70">
        <f>IF($E185="","",IFERROR(VLOOKUP($E185,OpTbl,2,0),""))</f>
        <v/>
      </c>
      <c r="G185" s="71" t="n"/>
      <c r="H185" s="73">
        <f>IF($U185="","",IFERROR(VLOOKUP($U185,AcctTbl,2,0),"کد ناشناخته"))</f>
        <v/>
      </c>
      <c r="I185" s="70">
        <f>IF($U185="","",IFERROR(VLOOKUP($U185,AcctTbl,3,0),""))</f>
        <v/>
      </c>
      <c r="J185" s="72" t="n"/>
      <c r="K185" s="71" t="n"/>
      <c r="L185" s="74" t="n"/>
      <c r="M185" s="74" t="n"/>
      <c r="N185" s="148">
        <f>IF(OR($E185="",$L185=""),"",IFERROR(($L185-IF($M185="",0,$M185)*IFERROR(VLOOKUP($K185,BasketTbl,4,0),IFERROR(INDEX(BasketTbl,MATCH($K185,BasketCodeCol,0),4),VLOOKUP("P01",ParamTbl,2,0))))*(1-IF(VLOOKUP($E185,OpTbl,3,0)="خرید",VLOOKUP("P02",ParamTbl,2,0),0)/100),""))</f>
        <v/>
      </c>
      <c r="O185" s="74" t="n"/>
      <c r="P185" s="76">
        <f>IF(OR($E185="",$L185=""),"",IFERROR(IF(VLOOKUP($E185,OpTbl,6,0)="وزن",ROUND($N185*$O185,-3),IF(VLOOKUP($E185,OpTbl,6,0)="مبلغ",ROUND($L185*$O185,-3),0)),""))</f>
        <v/>
      </c>
      <c r="Q185" s="74" t="n"/>
      <c r="R185" s="71" t="n"/>
      <c r="S185" s="77">
        <f>IF($E185="","",IF($AI185="⚠","⚠ ناتراز",IF(AND(IFERROR(VLOOKUP($E185,OpTbl,4,0),"")="بله",$L185=""),"⚠ وزن",IF(AND(IFERROR(VLOOKUP($E185,OpTbl,5,0),"")="بله",$U185=""),"⚠ حساب",IF(AND(IFERROR(VLOOKUP($E185,OpTbl,6,0),"")="مبلغ",$Q185=""),"⚠ مبلغ","✓")))))</f>
        <v/>
      </c>
      <c r="T185" s="72" t="n"/>
      <c r="U185" s="70">
        <f>IF($E185="","",IFERROR(IF(VLOOKUP($E185,OpTbl,14,0)&lt;&gt;"",VLOOKUP($E185,OpTbl,14,0),$G185),""))</f>
        <v/>
      </c>
      <c r="V185" s="76">
        <f>IF(OR($AJ185="",$AJ185=0,$AL185&lt;&gt;"بدهکار"),"",$AJ185)</f>
        <v/>
      </c>
      <c r="W185" s="76">
        <f>IF(OR($AJ185="",$AJ185=0,$AL185&lt;&gt;"بستانکار"),"",$AJ185)</f>
        <v/>
      </c>
      <c r="X185" s="70">
        <f>IF($E185="","",IFERROR(VLOOKUP($E185,OpTbl,8,0),""))</f>
        <v/>
      </c>
      <c r="Y185" s="76">
        <f>IF(OR($X185="",$AJ185="",$AJ185=0,$AM185&lt;&gt;"بدهکار"),"",$AJ185)</f>
        <v/>
      </c>
      <c r="Z185" s="76">
        <f>IF(OR($X185="",$AJ185="",$AJ185=0,$AM185&lt;&gt;"بستانکار"),"",$AJ185)</f>
        <v/>
      </c>
      <c r="AA185" s="70">
        <f>IF(OR($E185="",$AN185="—",$AN185=""),"",IFERROR(VLOOKUP($E185,OpTbl,12,0),""))</f>
        <v/>
      </c>
      <c r="AB185" s="76">
        <f>IF(OR($AA185="",$Q185="",$Q185=0,$AN185&lt;&gt;"بدهکار"),"",$Q185)</f>
        <v/>
      </c>
      <c r="AC185" s="76">
        <f>IF(OR($AA185="",$Q185="",$Q185=0,$AN185&lt;&gt;"بستانکار"),"",$Q185)</f>
        <v/>
      </c>
      <c r="AD185" s="70">
        <f>IF($AA185="","",IFERROR(VLOOKUP($E185,OpTbl,13,0),""))</f>
        <v/>
      </c>
      <c r="AE185" s="76">
        <f>IF(OR($AD185="",$Q185="",$Q185=0,$AN185&lt;&gt;"بستانکار"),"",$Q185)</f>
        <v/>
      </c>
      <c r="AF185" s="76">
        <f>IF(OR($AD185="",$Q185="",$Q185=0,$AN185&lt;&gt;"بدهکار"),"",$Q185)</f>
        <v/>
      </c>
      <c r="AG185" s="76">
        <f>SUM($V185,$Y185,$AB185,$AE185)</f>
        <v/>
      </c>
      <c r="AH185" s="76">
        <f>SUM($W185,$Z185,$AC185,$AF185)</f>
        <v/>
      </c>
      <c r="AI185" s="70">
        <f>IF($E185="","",IF(ROUND($AG185-$AH185,0)=0,"✓","⚠"))</f>
        <v/>
      </c>
      <c r="AJ185" s="76">
        <f>IF(OR($E185="",$U185=""),"",IFERROR(IF(VLOOKUP($E185,OpTbl,6,0)="وزن",IF($P185="",0,$P185),IF(VLOOKUP($E185,OpTbl,6,0)="مبلغ",IF(AND($Q185&lt;&gt;"",$Q185&lt;&gt;0),$Q185,$P185),0))+IF(VLOOKUP($E185,OpTbl,10,0)="افزودن",IF($Q185="",0,$Q185),0),0))</f>
        <v/>
      </c>
      <c r="AK185" s="70">
        <f>IF($E185="","",IFERROR(VLOOKUP($E185,OpTbl,10,0),""))</f>
        <v/>
      </c>
      <c r="AL185" s="70">
        <f>IF(OR($E185="",$U185=""),"",IFERROR(IF(VLOOKUP($E185,OpTbl,7,0)="خودکار",$R185,VLOOKUP($E185,OpTbl,7,0)),""))</f>
        <v/>
      </c>
      <c r="AM185" s="70">
        <f>IF(OR($E185="",$X185=""),"",IFERROR(IF(VLOOKUP($E185,OpTbl,9,0)="خودکار",IF($AL185="بدهکار","بستانکار",IF($AL185="بستانکار","بدهکار","")),VLOOKUP($E185,OpTbl,9,0)),""))</f>
        <v/>
      </c>
      <c r="AN185" s="70">
        <f>IF($E185="","",IFERROR(VLOOKUP($E185,OpTbl,11,0),""))</f>
        <v/>
      </c>
      <c r="AO185" s="70">
        <f>IF($B185="","",MID($B185,6,2))</f>
        <v/>
      </c>
      <c r="AP185" s="76">
        <f>IF($B185="",0,1)</f>
        <v/>
      </c>
    </row>
    <row r="186" ht="21.75" customHeight="1">
      <c r="A186" s="70">
        <f>IF($B186="","",COUNTA($B$10:$B186))</f>
        <v/>
      </c>
      <c r="B186" s="71" t="n"/>
      <c r="C186" s="71" t="n"/>
      <c r="D186" s="71" t="n"/>
      <c r="E186" s="71" t="n"/>
      <c r="F186" s="70">
        <f>IF($E186="","",IFERROR(VLOOKUP($E186,OpTbl,2,0),""))</f>
        <v/>
      </c>
      <c r="G186" s="71" t="n"/>
      <c r="H186" s="73">
        <f>IF($U186="","",IFERROR(VLOOKUP($U186,AcctTbl,2,0),"کد ناشناخته"))</f>
        <v/>
      </c>
      <c r="I186" s="70">
        <f>IF($U186="","",IFERROR(VLOOKUP($U186,AcctTbl,3,0),""))</f>
        <v/>
      </c>
      <c r="J186" s="72" t="n"/>
      <c r="K186" s="71" t="n"/>
      <c r="L186" s="74" t="n"/>
      <c r="M186" s="74" t="n"/>
      <c r="N186" s="148">
        <f>IF(OR($E186="",$L186=""),"",IFERROR(($L186-IF($M186="",0,$M186)*IFERROR(VLOOKUP($K186,BasketTbl,4,0),IFERROR(INDEX(BasketTbl,MATCH($K186,BasketCodeCol,0),4),VLOOKUP("P01",ParamTbl,2,0))))*(1-IF(VLOOKUP($E186,OpTbl,3,0)="خرید",VLOOKUP("P02",ParamTbl,2,0),0)/100),""))</f>
        <v/>
      </c>
      <c r="O186" s="74" t="n"/>
      <c r="P186" s="76">
        <f>IF(OR($E186="",$L186=""),"",IFERROR(IF(VLOOKUP($E186,OpTbl,6,0)="وزن",ROUND($N186*$O186,-3),IF(VLOOKUP($E186,OpTbl,6,0)="مبلغ",ROUND($L186*$O186,-3),0)),""))</f>
        <v/>
      </c>
      <c r="Q186" s="74" t="n"/>
      <c r="R186" s="71" t="n"/>
      <c r="S186" s="77">
        <f>IF($E186="","",IF($AI186="⚠","⚠ ناتراز",IF(AND(IFERROR(VLOOKUP($E186,OpTbl,4,0),"")="بله",$L186=""),"⚠ وزن",IF(AND(IFERROR(VLOOKUP($E186,OpTbl,5,0),"")="بله",$U186=""),"⚠ حساب",IF(AND(IFERROR(VLOOKUP($E186,OpTbl,6,0),"")="مبلغ",$Q186=""),"⚠ مبلغ","✓")))))</f>
        <v/>
      </c>
      <c r="T186" s="72" t="n"/>
      <c r="U186" s="70">
        <f>IF($E186="","",IFERROR(IF(VLOOKUP($E186,OpTbl,14,0)&lt;&gt;"",VLOOKUP($E186,OpTbl,14,0),$G186),""))</f>
        <v/>
      </c>
      <c r="V186" s="76">
        <f>IF(OR($AJ186="",$AJ186=0,$AL186&lt;&gt;"بدهکار"),"",$AJ186)</f>
        <v/>
      </c>
      <c r="W186" s="76">
        <f>IF(OR($AJ186="",$AJ186=0,$AL186&lt;&gt;"بستانکار"),"",$AJ186)</f>
        <v/>
      </c>
      <c r="X186" s="70">
        <f>IF($E186="","",IFERROR(VLOOKUP($E186,OpTbl,8,0),""))</f>
        <v/>
      </c>
      <c r="Y186" s="76">
        <f>IF(OR($X186="",$AJ186="",$AJ186=0,$AM186&lt;&gt;"بدهکار"),"",$AJ186)</f>
        <v/>
      </c>
      <c r="Z186" s="76">
        <f>IF(OR($X186="",$AJ186="",$AJ186=0,$AM186&lt;&gt;"بستانکار"),"",$AJ186)</f>
        <v/>
      </c>
      <c r="AA186" s="70">
        <f>IF(OR($E186="",$AN186="—",$AN186=""),"",IFERROR(VLOOKUP($E186,OpTbl,12,0),""))</f>
        <v/>
      </c>
      <c r="AB186" s="76">
        <f>IF(OR($AA186="",$Q186="",$Q186=0,$AN186&lt;&gt;"بدهکار"),"",$Q186)</f>
        <v/>
      </c>
      <c r="AC186" s="76">
        <f>IF(OR($AA186="",$Q186="",$Q186=0,$AN186&lt;&gt;"بستانکار"),"",$Q186)</f>
        <v/>
      </c>
      <c r="AD186" s="70">
        <f>IF($AA186="","",IFERROR(VLOOKUP($E186,OpTbl,13,0),""))</f>
        <v/>
      </c>
      <c r="AE186" s="76">
        <f>IF(OR($AD186="",$Q186="",$Q186=0,$AN186&lt;&gt;"بستانکار"),"",$Q186)</f>
        <v/>
      </c>
      <c r="AF186" s="76">
        <f>IF(OR($AD186="",$Q186="",$Q186=0,$AN186&lt;&gt;"بدهکار"),"",$Q186)</f>
        <v/>
      </c>
      <c r="AG186" s="76">
        <f>SUM($V186,$Y186,$AB186,$AE186)</f>
        <v/>
      </c>
      <c r="AH186" s="76">
        <f>SUM($W186,$Z186,$AC186,$AF186)</f>
        <v/>
      </c>
      <c r="AI186" s="70">
        <f>IF($E186="","",IF(ROUND($AG186-$AH186,0)=0,"✓","⚠"))</f>
        <v/>
      </c>
      <c r="AJ186" s="76">
        <f>IF(OR($E186="",$U186=""),"",IFERROR(IF(VLOOKUP($E186,OpTbl,6,0)="وزن",IF($P186="",0,$P186),IF(VLOOKUP($E186,OpTbl,6,0)="مبلغ",IF(AND($Q186&lt;&gt;"",$Q186&lt;&gt;0),$Q186,$P186),0))+IF(VLOOKUP($E186,OpTbl,10,0)="افزودن",IF($Q186="",0,$Q186),0),0))</f>
        <v/>
      </c>
      <c r="AK186" s="70">
        <f>IF($E186="","",IFERROR(VLOOKUP($E186,OpTbl,10,0),""))</f>
        <v/>
      </c>
      <c r="AL186" s="70">
        <f>IF(OR($E186="",$U186=""),"",IFERROR(IF(VLOOKUP($E186,OpTbl,7,0)="خودکار",$R186,VLOOKUP($E186,OpTbl,7,0)),""))</f>
        <v/>
      </c>
      <c r="AM186" s="70">
        <f>IF(OR($E186="",$X186=""),"",IFERROR(IF(VLOOKUP($E186,OpTbl,9,0)="خودکار",IF($AL186="بدهکار","بستانکار",IF($AL186="بستانکار","بدهکار","")),VLOOKUP($E186,OpTbl,9,0)),""))</f>
        <v/>
      </c>
      <c r="AN186" s="70">
        <f>IF($E186="","",IFERROR(VLOOKUP($E186,OpTbl,11,0),""))</f>
        <v/>
      </c>
      <c r="AO186" s="70">
        <f>IF($B186="","",MID($B186,6,2))</f>
        <v/>
      </c>
      <c r="AP186" s="76">
        <f>IF($B186="",0,1)</f>
        <v/>
      </c>
    </row>
    <row r="187" ht="21.75" customHeight="1">
      <c r="A187" s="70">
        <f>IF($B187="","",COUNTA($B$10:$B187))</f>
        <v/>
      </c>
      <c r="B187" s="71" t="n"/>
      <c r="C187" s="71" t="n"/>
      <c r="D187" s="71" t="n"/>
      <c r="E187" s="71" t="n"/>
      <c r="F187" s="70">
        <f>IF($E187="","",IFERROR(VLOOKUP($E187,OpTbl,2,0),""))</f>
        <v/>
      </c>
      <c r="G187" s="71" t="n"/>
      <c r="H187" s="73">
        <f>IF($U187="","",IFERROR(VLOOKUP($U187,AcctTbl,2,0),"کد ناشناخته"))</f>
        <v/>
      </c>
      <c r="I187" s="70">
        <f>IF($U187="","",IFERROR(VLOOKUP($U187,AcctTbl,3,0),""))</f>
        <v/>
      </c>
      <c r="J187" s="72" t="n"/>
      <c r="K187" s="71" t="n"/>
      <c r="L187" s="74" t="n"/>
      <c r="M187" s="74" t="n"/>
      <c r="N187" s="148">
        <f>IF(OR($E187="",$L187=""),"",IFERROR(($L187-IF($M187="",0,$M187)*IFERROR(VLOOKUP($K187,BasketTbl,4,0),IFERROR(INDEX(BasketTbl,MATCH($K187,BasketCodeCol,0),4),VLOOKUP("P01",ParamTbl,2,0))))*(1-IF(VLOOKUP($E187,OpTbl,3,0)="خرید",VLOOKUP("P02",ParamTbl,2,0),0)/100),""))</f>
        <v/>
      </c>
      <c r="O187" s="74" t="n"/>
      <c r="P187" s="76">
        <f>IF(OR($E187="",$L187=""),"",IFERROR(IF(VLOOKUP($E187,OpTbl,6,0)="وزن",ROUND($N187*$O187,-3),IF(VLOOKUP($E187,OpTbl,6,0)="مبلغ",ROUND($L187*$O187,-3),0)),""))</f>
        <v/>
      </c>
      <c r="Q187" s="74" t="n"/>
      <c r="R187" s="71" t="n"/>
      <c r="S187" s="77">
        <f>IF($E187="","",IF($AI187="⚠","⚠ ناتراز",IF(AND(IFERROR(VLOOKUP($E187,OpTbl,4,0),"")="بله",$L187=""),"⚠ وزن",IF(AND(IFERROR(VLOOKUP($E187,OpTbl,5,0),"")="بله",$U187=""),"⚠ حساب",IF(AND(IFERROR(VLOOKUP($E187,OpTbl,6,0),"")="مبلغ",$Q187=""),"⚠ مبلغ","✓")))))</f>
        <v/>
      </c>
      <c r="T187" s="72" t="n"/>
      <c r="U187" s="70">
        <f>IF($E187="","",IFERROR(IF(VLOOKUP($E187,OpTbl,14,0)&lt;&gt;"",VLOOKUP($E187,OpTbl,14,0),$G187),""))</f>
        <v/>
      </c>
      <c r="V187" s="76">
        <f>IF(OR($AJ187="",$AJ187=0,$AL187&lt;&gt;"بدهکار"),"",$AJ187)</f>
        <v/>
      </c>
      <c r="W187" s="76">
        <f>IF(OR($AJ187="",$AJ187=0,$AL187&lt;&gt;"بستانکار"),"",$AJ187)</f>
        <v/>
      </c>
      <c r="X187" s="70">
        <f>IF($E187="","",IFERROR(VLOOKUP($E187,OpTbl,8,0),""))</f>
        <v/>
      </c>
      <c r="Y187" s="76">
        <f>IF(OR($X187="",$AJ187="",$AJ187=0,$AM187&lt;&gt;"بدهکار"),"",$AJ187)</f>
        <v/>
      </c>
      <c r="Z187" s="76">
        <f>IF(OR($X187="",$AJ187="",$AJ187=0,$AM187&lt;&gt;"بستانکار"),"",$AJ187)</f>
        <v/>
      </c>
      <c r="AA187" s="70">
        <f>IF(OR($E187="",$AN187="—",$AN187=""),"",IFERROR(VLOOKUP($E187,OpTbl,12,0),""))</f>
        <v/>
      </c>
      <c r="AB187" s="76">
        <f>IF(OR($AA187="",$Q187="",$Q187=0,$AN187&lt;&gt;"بدهکار"),"",$Q187)</f>
        <v/>
      </c>
      <c r="AC187" s="76">
        <f>IF(OR($AA187="",$Q187="",$Q187=0,$AN187&lt;&gt;"بستانکار"),"",$Q187)</f>
        <v/>
      </c>
      <c r="AD187" s="70">
        <f>IF($AA187="","",IFERROR(VLOOKUP($E187,OpTbl,13,0),""))</f>
        <v/>
      </c>
      <c r="AE187" s="76">
        <f>IF(OR($AD187="",$Q187="",$Q187=0,$AN187&lt;&gt;"بستانکار"),"",$Q187)</f>
        <v/>
      </c>
      <c r="AF187" s="76">
        <f>IF(OR($AD187="",$Q187="",$Q187=0,$AN187&lt;&gt;"بدهکار"),"",$Q187)</f>
        <v/>
      </c>
      <c r="AG187" s="76">
        <f>SUM($V187,$Y187,$AB187,$AE187)</f>
        <v/>
      </c>
      <c r="AH187" s="76">
        <f>SUM($W187,$Z187,$AC187,$AF187)</f>
        <v/>
      </c>
      <c r="AI187" s="70">
        <f>IF($E187="","",IF(ROUND($AG187-$AH187,0)=0,"✓","⚠"))</f>
        <v/>
      </c>
      <c r="AJ187" s="76">
        <f>IF(OR($E187="",$U187=""),"",IFERROR(IF(VLOOKUP($E187,OpTbl,6,0)="وزن",IF($P187="",0,$P187),IF(VLOOKUP($E187,OpTbl,6,0)="مبلغ",IF(AND($Q187&lt;&gt;"",$Q187&lt;&gt;0),$Q187,$P187),0))+IF(VLOOKUP($E187,OpTbl,10,0)="افزودن",IF($Q187="",0,$Q187),0),0))</f>
        <v/>
      </c>
      <c r="AK187" s="70">
        <f>IF($E187="","",IFERROR(VLOOKUP($E187,OpTbl,10,0),""))</f>
        <v/>
      </c>
      <c r="AL187" s="70">
        <f>IF(OR($E187="",$U187=""),"",IFERROR(IF(VLOOKUP($E187,OpTbl,7,0)="خودکار",$R187,VLOOKUP($E187,OpTbl,7,0)),""))</f>
        <v/>
      </c>
      <c r="AM187" s="70">
        <f>IF(OR($E187="",$X187=""),"",IFERROR(IF(VLOOKUP($E187,OpTbl,9,0)="خودکار",IF($AL187="بدهکار","بستانکار",IF($AL187="بستانکار","بدهکار","")),VLOOKUP($E187,OpTbl,9,0)),""))</f>
        <v/>
      </c>
      <c r="AN187" s="70">
        <f>IF($E187="","",IFERROR(VLOOKUP($E187,OpTbl,11,0),""))</f>
        <v/>
      </c>
      <c r="AO187" s="70">
        <f>IF($B187="","",MID($B187,6,2))</f>
        <v/>
      </c>
      <c r="AP187" s="76">
        <f>IF($B187="",0,1)</f>
        <v/>
      </c>
    </row>
    <row r="188" ht="21.75" customHeight="1">
      <c r="A188" s="70">
        <f>IF($B188="","",COUNTA($B$10:$B188))</f>
        <v/>
      </c>
      <c r="B188" s="71" t="n"/>
      <c r="C188" s="71" t="n"/>
      <c r="D188" s="71" t="n"/>
      <c r="E188" s="71" t="n"/>
      <c r="F188" s="70">
        <f>IF($E188="","",IFERROR(VLOOKUP($E188,OpTbl,2,0),""))</f>
        <v/>
      </c>
      <c r="G188" s="71" t="n"/>
      <c r="H188" s="73">
        <f>IF($U188="","",IFERROR(VLOOKUP($U188,AcctTbl,2,0),"کد ناشناخته"))</f>
        <v/>
      </c>
      <c r="I188" s="70">
        <f>IF($U188="","",IFERROR(VLOOKUP($U188,AcctTbl,3,0),""))</f>
        <v/>
      </c>
      <c r="J188" s="72" t="n"/>
      <c r="K188" s="71" t="n"/>
      <c r="L188" s="74" t="n"/>
      <c r="M188" s="74" t="n"/>
      <c r="N188" s="148">
        <f>IF(OR($E188="",$L188=""),"",IFERROR(($L188-IF($M188="",0,$M188)*IFERROR(VLOOKUP($K188,BasketTbl,4,0),IFERROR(INDEX(BasketTbl,MATCH($K188,BasketCodeCol,0),4),VLOOKUP("P01",ParamTbl,2,0))))*(1-IF(VLOOKUP($E188,OpTbl,3,0)="خرید",VLOOKUP("P02",ParamTbl,2,0),0)/100),""))</f>
        <v/>
      </c>
      <c r="O188" s="74" t="n"/>
      <c r="P188" s="76">
        <f>IF(OR($E188="",$L188=""),"",IFERROR(IF(VLOOKUP($E188,OpTbl,6,0)="وزن",ROUND($N188*$O188,-3),IF(VLOOKUP($E188,OpTbl,6,0)="مبلغ",ROUND($L188*$O188,-3),0)),""))</f>
        <v/>
      </c>
      <c r="Q188" s="74" t="n"/>
      <c r="R188" s="71" t="n"/>
      <c r="S188" s="77">
        <f>IF($E188="","",IF($AI188="⚠","⚠ ناتراز",IF(AND(IFERROR(VLOOKUP($E188,OpTbl,4,0),"")="بله",$L188=""),"⚠ وزن",IF(AND(IFERROR(VLOOKUP($E188,OpTbl,5,0),"")="بله",$U188=""),"⚠ حساب",IF(AND(IFERROR(VLOOKUP($E188,OpTbl,6,0),"")="مبلغ",$Q188=""),"⚠ مبلغ","✓")))))</f>
        <v/>
      </c>
      <c r="T188" s="72" t="n"/>
      <c r="U188" s="70">
        <f>IF($E188="","",IFERROR(IF(VLOOKUP($E188,OpTbl,14,0)&lt;&gt;"",VLOOKUP($E188,OpTbl,14,0),$G188),""))</f>
        <v/>
      </c>
      <c r="V188" s="76">
        <f>IF(OR($AJ188="",$AJ188=0,$AL188&lt;&gt;"بدهکار"),"",$AJ188)</f>
        <v/>
      </c>
      <c r="W188" s="76">
        <f>IF(OR($AJ188="",$AJ188=0,$AL188&lt;&gt;"بستانکار"),"",$AJ188)</f>
        <v/>
      </c>
      <c r="X188" s="70">
        <f>IF($E188="","",IFERROR(VLOOKUP($E188,OpTbl,8,0),""))</f>
        <v/>
      </c>
      <c r="Y188" s="76">
        <f>IF(OR($X188="",$AJ188="",$AJ188=0,$AM188&lt;&gt;"بدهکار"),"",$AJ188)</f>
        <v/>
      </c>
      <c r="Z188" s="76">
        <f>IF(OR($X188="",$AJ188="",$AJ188=0,$AM188&lt;&gt;"بستانکار"),"",$AJ188)</f>
        <v/>
      </c>
      <c r="AA188" s="70">
        <f>IF(OR($E188="",$AN188="—",$AN188=""),"",IFERROR(VLOOKUP($E188,OpTbl,12,0),""))</f>
        <v/>
      </c>
      <c r="AB188" s="76">
        <f>IF(OR($AA188="",$Q188="",$Q188=0,$AN188&lt;&gt;"بدهکار"),"",$Q188)</f>
        <v/>
      </c>
      <c r="AC188" s="76">
        <f>IF(OR($AA188="",$Q188="",$Q188=0,$AN188&lt;&gt;"بستانکار"),"",$Q188)</f>
        <v/>
      </c>
      <c r="AD188" s="70">
        <f>IF($AA188="","",IFERROR(VLOOKUP($E188,OpTbl,13,0),""))</f>
        <v/>
      </c>
      <c r="AE188" s="76">
        <f>IF(OR($AD188="",$Q188="",$Q188=0,$AN188&lt;&gt;"بستانکار"),"",$Q188)</f>
        <v/>
      </c>
      <c r="AF188" s="76">
        <f>IF(OR($AD188="",$Q188="",$Q188=0,$AN188&lt;&gt;"بدهکار"),"",$Q188)</f>
        <v/>
      </c>
      <c r="AG188" s="76">
        <f>SUM($V188,$Y188,$AB188,$AE188)</f>
        <v/>
      </c>
      <c r="AH188" s="76">
        <f>SUM($W188,$Z188,$AC188,$AF188)</f>
        <v/>
      </c>
      <c r="AI188" s="70">
        <f>IF($E188="","",IF(ROUND($AG188-$AH188,0)=0,"✓","⚠"))</f>
        <v/>
      </c>
      <c r="AJ188" s="76">
        <f>IF(OR($E188="",$U188=""),"",IFERROR(IF(VLOOKUP($E188,OpTbl,6,0)="وزن",IF($P188="",0,$P188),IF(VLOOKUP($E188,OpTbl,6,0)="مبلغ",IF(AND($Q188&lt;&gt;"",$Q188&lt;&gt;0),$Q188,$P188),0))+IF(VLOOKUP($E188,OpTbl,10,0)="افزودن",IF($Q188="",0,$Q188),0),0))</f>
        <v/>
      </c>
      <c r="AK188" s="70">
        <f>IF($E188="","",IFERROR(VLOOKUP($E188,OpTbl,10,0),""))</f>
        <v/>
      </c>
      <c r="AL188" s="70">
        <f>IF(OR($E188="",$U188=""),"",IFERROR(IF(VLOOKUP($E188,OpTbl,7,0)="خودکار",$R188,VLOOKUP($E188,OpTbl,7,0)),""))</f>
        <v/>
      </c>
      <c r="AM188" s="70">
        <f>IF(OR($E188="",$X188=""),"",IFERROR(IF(VLOOKUP($E188,OpTbl,9,0)="خودکار",IF($AL188="بدهکار","بستانکار",IF($AL188="بستانکار","بدهکار","")),VLOOKUP($E188,OpTbl,9,0)),""))</f>
        <v/>
      </c>
      <c r="AN188" s="70">
        <f>IF($E188="","",IFERROR(VLOOKUP($E188,OpTbl,11,0),""))</f>
        <v/>
      </c>
      <c r="AO188" s="70">
        <f>IF($B188="","",MID($B188,6,2))</f>
        <v/>
      </c>
      <c r="AP188" s="76">
        <f>IF($B188="",0,1)</f>
        <v/>
      </c>
    </row>
    <row r="189" ht="21.75" customHeight="1">
      <c r="A189" s="70">
        <f>IF($B189="","",COUNTA($B$10:$B189))</f>
        <v/>
      </c>
      <c r="B189" s="71" t="n"/>
      <c r="C189" s="71" t="n"/>
      <c r="D189" s="71" t="n"/>
      <c r="E189" s="71" t="n"/>
      <c r="F189" s="70">
        <f>IF($E189="","",IFERROR(VLOOKUP($E189,OpTbl,2,0),""))</f>
        <v/>
      </c>
      <c r="G189" s="71" t="n"/>
      <c r="H189" s="73">
        <f>IF($U189="","",IFERROR(VLOOKUP($U189,AcctTbl,2,0),"کد ناشناخته"))</f>
        <v/>
      </c>
      <c r="I189" s="70">
        <f>IF($U189="","",IFERROR(VLOOKUP($U189,AcctTbl,3,0),""))</f>
        <v/>
      </c>
      <c r="J189" s="72" t="n"/>
      <c r="K189" s="71" t="n"/>
      <c r="L189" s="74" t="n"/>
      <c r="M189" s="74" t="n"/>
      <c r="N189" s="148">
        <f>IF(OR($E189="",$L189=""),"",IFERROR(($L189-IF($M189="",0,$M189)*IFERROR(VLOOKUP($K189,BasketTbl,4,0),IFERROR(INDEX(BasketTbl,MATCH($K189,BasketCodeCol,0),4),VLOOKUP("P01",ParamTbl,2,0))))*(1-IF(VLOOKUP($E189,OpTbl,3,0)="خرید",VLOOKUP("P02",ParamTbl,2,0),0)/100),""))</f>
        <v/>
      </c>
      <c r="O189" s="74" t="n"/>
      <c r="P189" s="76">
        <f>IF(OR($E189="",$L189=""),"",IFERROR(IF(VLOOKUP($E189,OpTbl,6,0)="وزن",ROUND($N189*$O189,-3),IF(VLOOKUP($E189,OpTbl,6,0)="مبلغ",ROUND($L189*$O189,-3),0)),""))</f>
        <v/>
      </c>
      <c r="Q189" s="74" t="n"/>
      <c r="R189" s="71" t="n"/>
      <c r="S189" s="77">
        <f>IF($E189="","",IF($AI189="⚠","⚠ ناتراز",IF(AND(IFERROR(VLOOKUP($E189,OpTbl,4,0),"")="بله",$L189=""),"⚠ وزن",IF(AND(IFERROR(VLOOKUP($E189,OpTbl,5,0),"")="بله",$U189=""),"⚠ حساب",IF(AND(IFERROR(VLOOKUP($E189,OpTbl,6,0),"")="مبلغ",$Q189=""),"⚠ مبلغ","✓")))))</f>
        <v/>
      </c>
      <c r="T189" s="72" t="n"/>
      <c r="U189" s="70">
        <f>IF($E189="","",IFERROR(IF(VLOOKUP($E189,OpTbl,14,0)&lt;&gt;"",VLOOKUP($E189,OpTbl,14,0),$G189),""))</f>
        <v/>
      </c>
      <c r="V189" s="76">
        <f>IF(OR($AJ189="",$AJ189=0,$AL189&lt;&gt;"بدهکار"),"",$AJ189)</f>
        <v/>
      </c>
      <c r="W189" s="76">
        <f>IF(OR($AJ189="",$AJ189=0,$AL189&lt;&gt;"بستانکار"),"",$AJ189)</f>
        <v/>
      </c>
      <c r="X189" s="70">
        <f>IF($E189="","",IFERROR(VLOOKUP($E189,OpTbl,8,0),""))</f>
        <v/>
      </c>
      <c r="Y189" s="76">
        <f>IF(OR($X189="",$AJ189="",$AJ189=0,$AM189&lt;&gt;"بدهکار"),"",$AJ189)</f>
        <v/>
      </c>
      <c r="Z189" s="76">
        <f>IF(OR($X189="",$AJ189="",$AJ189=0,$AM189&lt;&gt;"بستانکار"),"",$AJ189)</f>
        <v/>
      </c>
      <c r="AA189" s="70">
        <f>IF(OR($E189="",$AN189="—",$AN189=""),"",IFERROR(VLOOKUP($E189,OpTbl,12,0),""))</f>
        <v/>
      </c>
      <c r="AB189" s="76">
        <f>IF(OR($AA189="",$Q189="",$Q189=0,$AN189&lt;&gt;"بدهکار"),"",$Q189)</f>
        <v/>
      </c>
      <c r="AC189" s="76">
        <f>IF(OR($AA189="",$Q189="",$Q189=0,$AN189&lt;&gt;"بستانکار"),"",$Q189)</f>
        <v/>
      </c>
      <c r="AD189" s="70">
        <f>IF($AA189="","",IFERROR(VLOOKUP($E189,OpTbl,13,0),""))</f>
        <v/>
      </c>
      <c r="AE189" s="76">
        <f>IF(OR($AD189="",$Q189="",$Q189=0,$AN189&lt;&gt;"بستانکار"),"",$Q189)</f>
        <v/>
      </c>
      <c r="AF189" s="76">
        <f>IF(OR($AD189="",$Q189="",$Q189=0,$AN189&lt;&gt;"بدهکار"),"",$Q189)</f>
        <v/>
      </c>
      <c r="AG189" s="76">
        <f>SUM($V189,$Y189,$AB189,$AE189)</f>
        <v/>
      </c>
      <c r="AH189" s="76">
        <f>SUM($W189,$Z189,$AC189,$AF189)</f>
        <v/>
      </c>
      <c r="AI189" s="70">
        <f>IF($E189="","",IF(ROUND($AG189-$AH189,0)=0,"✓","⚠"))</f>
        <v/>
      </c>
      <c r="AJ189" s="76">
        <f>IF(OR($E189="",$U189=""),"",IFERROR(IF(VLOOKUP($E189,OpTbl,6,0)="وزن",IF($P189="",0,$P189),IF(VLOOKUP($E189,OpTbl,6,0)="مبلغ",IF(AND($Q189&lt;&gt;"",$Q189&lt;&gt;0),$Q189,$P189),0))+IF(VLOOKUP($E189,OpTbl,10,0)="افزودن",IF($Q189="",0,$Q189),0),0))</f>
        <v/>
      </c>
      <c r="AK189" s="70">
        <f>IF($E189="","",IFERROR(VLOOKUP($E189,OpTbl,10,0),""))</f>
        <v/>
      </c>
      <c r="AL189" s="70">
        <f>IF(OR($E189="",$U189=""),"",IFERROR(IF(VLOOKUP($E189,OpTbl,7,0)="خودکار",$R189,VLOOKUP($E189,OpTbl,7,0)),""))</f>
        <v/>
      </c>
      <c r="AM189" s="70">
        <f>IF(OR($E189="",$X189=""),"",IFERROR(IF(VLOOKUP($E189,OpTbl,9,0)="خودکار",IF($AL189="بدهکار","بستانکار",IF($AL189="بستانکار","بدهکار","")),VLOOKUP($E189,OpTbl,9,0)),""))</f>
        <v/>
      </c>
      <c r="AN189" s="70">
        <f>IF($E189="","",IFERROR(VLOOKUP($E189,OpTbl,11,0),""))</f>
        <v/>
      </c>
      <c r="AO189" s="70">
        <f>IF($B189="","",MID($B189,6,2))</f>
        <v/>
      </c>
      <c r="AP189" s="76">
        <f>IF($B189="",0,1)</f>
        <v/>
      </c>
    </row>
    <row r="190" ht="21.75" customHeight="1">
      <c r="A190" s="70">
        <f>IF($B190="","",COUNTA($B$10:$B190))</f>
        <v/>
      </c>
      <c r="B190" s="71" t="n"/>
      <c r="C190" s="71" t="n"/>
      <c r="D190" s="71" t="n"/>
      <c r="E190" s="71" t="n"/>
      <c r="F190" s="70">
        <f>IF($E190="","",IFERROR(VLOOKUP($E190,OpTbl,2,0),""))</f>
        <v/>
      </c>
      <c r="G190" s="71" t="n"/>
      <c r="H190" s="73">
        <f>IF($U190="","",IFERROR(VLOOKUP($U190,AcctTbl,2,0),"کد ناشناخته"))</f>
        <v/>
      </c>
      <c r="I190" s="70">
        <f>IF($U190="","",IFERROR(VLOOKUP($U190,AcctTbl,3,0),""))</f>
        <v/>
      </c>
      <c r="J190" s="72" t="n"/>
      <c r="K190" s="71" t="n"/>
      <c r="L190" s="74" t="n"/>
      <c r="M190" s="74" t="n"/>
      <c r="N190" s="148">
        <f>IF(OR($E190="",$L190=""),"",IFERROR(($L190-IF($M190="",0,$M190)*IFERROR(VLOOKUP($K190,BasketTbl,4,0),IFERROR(INDEX(BasketTbl,MATCH($K190,BasketCodeCol,0),4),VLOOKUP("P01",ParamTbl,2,0))))*(1-IF(VLOOKUP($E190,OpTbl,3,0)="خرید",VLOOKUP("P02",ParamTbl,2,0),0)/100),""))</f>
        <v/>
      </c>
      <c r="O190" s="74" t="n"/>
      <c r="P190" s="76">
        <f>IF(OR($E190="",$L190=""),"",IFERROR(IF(VLOOKUP($E190,OpTbl,6,0)="وزن",ROUND($N190*$O190,-3),IF(VLOOKUP($E190,OpTbl,6,0)="مبلغ",ROUND($L190*$O190,-3),0)),""))</f>
        <v/>
      </c>
      <c r="Q190" s="74" t="n"/>
      <c r="R190" s="71" t="n"/>
      <c r="S190" s="77">
        <f>IF($E190="","",IF($AI190="⚠","⚠ ناتراز",IF(AND(IFERROR(VLOOKUP($E190,OpTbl,4,0),"")="بله",$L190=""),"⚠ وزن",IF(AND(IFERROR(VLOOKUP($E190,OpTbl,5,0),"")="بله",$U190=""),"⚠ حساب",IF(AND(IFERROR(VLOOKUP($E190,OpTbl,6,0),"")="مبلغ",$Q190=""),"⚠ مبلغ","✓")))))</f>
        <v/>
      </c>
      <c r="T190" s="72" t="n"/>
      <c r="U190" s="70">
        <f>IF($E190="","",IFERROR(IF(VLOOKUP($E190,OpTbl,14,0)&lt;&gt;"",VLOOKUP($E190,OpTbl,14,0),$G190),""))</f>
        <v/>
      </c>
      <c r="V190" s="76">
        <f>IF(OR($AJ190="",$AJ190=0,$AL190&lt;&gt;"بدهکار"),"",$AJ190)</f>
        <v/>
      </c>
      <c r="W190" s="76">
        <f>IF(OR($AJ190="",$AJ190=0,$AL190&lt;&gt;"بستانکار"),"",$AJ190)</f>
        <v/>
      </c>
      <c r="X190" s="70">
        <f>IF($E190="","",IFERROR(VLOOKUP($E190,OpTbl,8,0),""))</f>
        <v/>
      </c>
      <c r="Y190" s="76">
        <f>IF(OR($X190="",$AJ190="",$AJ190=0,$AM190&lt;&gt;"بدهکار"),"",$AJ190)</f>
        <v/>
      </c>
      <c r="Z190" s="76">
        <f>IF(OR($X190="",$AJ190="",$AJ190=0,$AM190&lt;&gt;"بستانکار"),"",$AJ190)</f>
        <v/>
      </c>
      <c r="AA190" s="70">
        <f>IF(OR($E190="",$AN190="—",$AN190=""),"",IFERROR(VLOOKUP($E190,OpTbl,12,0),""))</f>
        <v/>
      </c>
      <c r="AB190" s="76">
        <f>IF(OR($AA190="",$Q190="",$Q190=0,$AN190&lt;&gt;"بدهکار"),"",$Q190)</f>
        <v/>
      </c>
      <c r="AC190" s="76">
        <f>IF(OR($AA190="",$Q190="",$Q190=0,$AN190&lt;&gt;"بستانکار"),"",$Q190)</f>
        <v/>
      </c>
      <c r="AD190" s="70">
        <f>IF($AA190="","",IFERROR(VLOOKUP($E190,OpTbl,13,0),""))</f>
        <v/>
      </c>
      <c r="AE190" s="76">
        <f>IF(OR($AD190="",$Q190="",$Q190=0,$AN190&lt;&gt;"بستانکار"),"",$Q190)</f>
        <v/>
      </c>
      <c r="AF190" s="76">
        <f>IF(OR($AD190="",$Q190="",$Q190=0,$AN190&lt;&gt;"بدهکار"),"",$Q190)</f>
        <v/>
      </c>
      <c r="AG190" s="76">
        <f>SUM($V190,$Y190,$AB190,$AE190)</f>
        <v/>
      </c>
      <c r="AH190" s="76">
        <f>SUM($W190,$Z190,$AC190,$AF190)</f>
        <v/>
      </c>
      <c r="AI190" s="70">
        <f>IF($E190="","",IF(ROUND($AG190-$AH190,0)=0,"✓","⚠"))</f>
        <v/>
      </c>
      <c r="AJ190" s="76">
        <f>IF(OR($E190="",$U190=""),"",IFERROR(IF(VLOOKUP($E190,OpTbl,6,0)="وزن",IF($P190="",0,$P190),IF(VLOOKUP($E190,OpTbl,6,0)="مبلغ",IF(AND($Q190&lt;&gt;"",$Q190&lt;&gt;0),$Q190,$P190),0))+IF(VLOOKUP($E190,OpTbl,10,0)="افزودن",IF($Q190="",0,$Q190),0),0))</f>
        <v/>
      </c>
      <c r="AK190" s="70">
        <f>IF($E190="","",IFERROR(VLOOKUP($E190,OpTbl,10,0),""))</f>
        <v/>
      </c>
      <c r="AL190" s="70">
        <f>IF(OR($E190="",$U190=""),"",IFERROR(IF(VLOOKUP($E190,OpTbl,7,0)="خودکار",$R190,VLOOKUP($E190,OpTbl,7,0)),""))</f>
        <v/>
      </c>
      <c r="AM190" s="70">
        <f>IF(OR($E190="",$X190=""),"",IFERROR(IF(VLOOKUP($E190,OpTbl,9,0)="خودکار",IF($AL190="بدهکار","بستانکار",IF($AL190="بستانکار","بدهکار","")),VLOOKUP($E190,OpTbl,9,0)),""))</f>
        <v/>
      </c>
      <c r="AN190" s="70">
        <f>IF($E190="","",IFERROR(VLOOKUP($E190,OpTbl,11,0),""))</f>
        <v/>
      </c>
      <c r="AO190" s="70">
        <f>IF($B190="","",MID($B190,6,2))</f>
        <v/>
      </c>
      <c r="AP190" s="76">
        <f>IF($B190="",0,1)</f>
        <v/>
      </c>
    </row>
    <row r="191" ht="21.75" customHeight="1">
      <c r="A191" s="70">
        <f>IF($B191="","",COUNTA($B$10:$B191))</f>
        <v/>
      </c>
      <c r="B191" s="71" t="n"/>
      <c r="C191" s="71" t="n"/>
      <c r="D191" s="71" t="n"/>
      <c r="E191" s="71" t="n"/>
      <c r="F191" s="70">
        <f>IF($E191="","",IFERROR(VLOOKUP($E191,OpTbl,2,0),""))</f>
        <v/>
      </c>
      <c r="G191" s="71" t="n"/>
      <c r="H191" s="73">
        <f>IF($U191="","",IFERROR(VLOOKUP($U191,AcctTbl,2,0),"کد ناشناخته"))</f>
        <v/>
      </c>
      <c r="I191" s="70">
        <f>IF($U191="","",IFERROR(VLOOKUP($U191,AcctTbl,3,0),""))</f>
        <v/>
      </c>
      <c r="J191" s="72" t="n"/>
      <c r="K191" s="71" t="n"/>
      <c r="L191" s="74" t="n"/>
      <c r="M191" s="74" t="n"/>
      <c r="N191" s="148">
        <f>IF(OR($E191="",$L191=""),"",IFERROR(($L191-IF($M191="",0,$M191)*IFERROR(VLOOKUP($K191,BasketTbl,4,0),IFERROR(INDEX(BasketTbl,MATCH($K191,BasketCodeCol,0),4),VLOOKUP("P01",ParamTbl,2,0))))*(1-IF(VLOOKUP($E191,OpTbl,3,0)="خرید",VLOOKUP("P02",ParamTbl,2,0),0)/100),""))</f>
        <v/>
      </c>
      <c r="O191" s="74" t="n"/>
      <c r="P191" s="76">
        <f>IF(OR($E191="",$L191=""),"",IFERROR(IF(VLOOKUP($E191,OpTbl,6,0)="وزن",ROUND($N191*$O191,-3),IF(VLOOKUP($E191,OpTbl,6,0)="مبلغ",ROUND($L191*$O191,-3),0)),""))</f>
        <v/>
      </c>
      <c r="Q191" s="74" t="n"/>
      <c r="R191" s="71" t="n"/>
      <c r="S191" s="77">
        <f>IF($E191="","",IF($AI191="⚠","⚠ ناتراز",IF(AND(IFERROR(VLOOKUP($E191,OpTbl,4,0),"")="بله",$L191=""),"⚠ وزن",IF(AND(IFERROR(VLOOKUP($E191,OpTbl,5,0),"")="بله",$U191=""),"⚠ حساب",IF(AND(IFERROR(VLOOKUP($E191,OpTbl,6,0),"")="مبلغ",$Q191=""),"⚠ مبلغ","✓")))))</f>
        <v/>
      </c>
      <c r="T191" s="72" t="n"/>
      <c r="U191" s="70">
        <f>IF($E191="","",IFERROR(IF(VLOOKUP($E191,OpTbl,14,0)&lt;&gt;"",VLOOKUP($E191,OpTbl,14,0),$G191),""))</f>
        <v/>
      </c>
      <c r="V191" s="76">
        <f>IF(OR($AJ191="",$AJ191=0,$AL191&lt;&gt;"بدهکار"),"",$AJ191)</f>
        <v/>
      </c>
      <c r="W191" s="76">
        <f>IF(OR($AJ191="",$AJ191=0,$AL191&lt;&gt;"بستانکار"),"",$AJ191)</f>
        <v/>
      </c>
      <c r="X191" s="70">
        <f>IF($E191="","",IFERROR(VLOOKUP($E191,OpTbl,8,0),""))</f>
        <v/>
      </c>
      <c r="Y191" s="76">
        <f>IF(OR($X191="",$AJ191="",$AJ191=0,$AM191&lt;&gt;"بدهکار"),"",$AJ191)</f>
        <v/>
      </c>
      <c r="Z191" s="76">
        <f>IF(OR($X191="",$AJ191="",$AJ191=0,$AM191&lt;&gt;"بستانکار"),"",$AJ191)</f>
        <v/>
      </c>
      <c r="AA191" s="70">
        <f>IF(OR($E191="",$AN191="—",$AN191=""),"",IFERROR(VLOOKUP($E191,OpTbl,12,0),""))</f>
        <v/>
      </c>
      <c r="AB191" s="76">
        <f>IF(OR($AA191="",$Q191="",$Q191=0,$AN191&lt;&gt;"بدهکار"),"",$Q191)</f>
        <v/>
      </c>
      <c r="AC191" s="76">
        <f>IF(OR($AA191="",$Q191="",$Q191=0,$AN191&lt;&gt;"بستانکار"),"",$Q191)</f>
        <v/>
      </c>
      <c r="AD191" s="70">
        <f>IF($AA191="","",IFERROR(VLOOKUP($E191,OpTbl,13,0),""))</f>
        <v/>
      </c>
      <c r="AE191" s="76">
        <f>IF(OR($AD191="",$Q191="",$Q191=0,$AN191&lt;&gt;"بستانکار"),"",$Q191)</f>
        <v/>
      </c>
      <c r="AF191" s="76">
        <f>IF(OR($AD191="",$Q191="",$Q191=0,$AN191&lt;&gt;"بدهکار"),"",$Q191)</f>
        <v/>
      </c>
      <c r="AG191" s="76">
        <f>SUM($V191,$Y191,$AB191,$AE191)</f>
        <v/>
      </c>
      <c r="AH191" s="76">
        <f>SUM($W191,$Z191,$AC191,$AF191)</f>
        <v/>
      </c>
      <c r="AI191" s="70">
        <f>IF($E191="","",IF(ROUND($AG191-$AH191,0)=0,"✓","⚠"))</f>
        <v/>
      </c>
      <c r="AJ191" s="76">
        <f>IF(OR($E191="",$U191=""),"",IFERROR(IF(VLOOKUP($E191,OpTbl,6,0)="وزن",IF($P191="",0,$P191),IF(VLOOKUP($E191,OpTbl,6,0)="مبلغ",IF(AND($Q191&lt;&gt;"",$Q191&lt;&gt;0),$Q191,$P191),0))+IF(VLOOKUP($E191,OpTbl,10,0)="افزودن",IF($Q191="",0,$Q191),0),0))</f>
        <v/>
      </c>
      <c r="AK191" s="70">
        <f>IF($E191="","",IFERROR(VLOOKUP($E191,OpTbl,10,0),""))</f>
        <v/>
      </c>
      <c r="AL191" s="70">
        <f>IF(OR($E191="",$U191=""),"",IFERROR(IF(VLOOKUP($E191,OpTbl,7,0)="خودکار",$R191,VLOOKUP($E191,OpTbl,7,0)),""))</f>
        <v/>
      </c>
      <c r="AM191" s="70">
        <f>IF(OR($E191="",$X191=""),"",IFERROR(IF(VLOOKUP($E191,OpTbl,9,0)="خودکار",IF($AL191="بدهکار","بستانکار",IF($AL191="بستانکار","بدهکار","")),VLOOKUP($E191,OpTbl,9,0)),""))</f>
        <v/>
      </c>
      <c r="AN191" s="70">
        <f>IF($E191="","",IFERROR(VLOOKUP($E191,OpTbl,11,0),""))</f>
        <v/>
      </c>
      <c r="AO191" s="70">
        <f>IF($B191="","",MID($B191,6,2))</f>
        <v/>
      </c>
      <c r="AP191" s="76">
        <f>IF($B191="",0,1)</f>
        <v/>
      </c>
    </row>
    <row r="192" ht="21.75" customHeight="1">
      <c r="A192" s="70">
        <f>IF($B192="","",COUNTA($B$10:$B192))</f>
        <v/>
      </c>
      <c r="B192" s="71" t="n"/>
      <c r="C192" s="71" t="n"/>
      <c r="D192" s="71" t="n"/>
      <c r="E192" s="71" t="n"/>
      <c r="F192" s="70">
        <f>IF($E192="","",IFERROR(VLOOKUP($E192,OpTbl,2,0),""))</f>
        <v/>
      </c>
      <c r="G192" s="71" t="n"/>
      <c r="H192" s="73">
        <f>IF($U192="","",IFERROR(VLOOKUP($U192,AcctTbl,2,0),"کد ناشناخته"))</f>
        <v/>
      </c>
      <c r="I192" s="70">
        <f>IF($U192="","",IFERROR(VLOOKUP($U192,AcctTbl,3,0),""))</f>
        <v/>
      </c>
      <c r="J192" s="72" t="n"/>
      <c r="K192" s="71" t="n"/>
      <c r="L192" s="74" t="n"/>
      <c r="M192" s="74" t="n"/>
      <c r="N192" s="148">
        <f>IF(OR($E192="",$L192=""),"",IFERROR(($L192-IF($M192="",0,$M192)*IFERROR(VLOOKUP($K192,BasketTbl,4,0),IFERROR(INDEX(BasketTbl,MATCH($K192,BasketCodeCol,0),4),VLOOKUP("P01",ParamTbl,2,0))))*(1-IF(VLOOKUP($E192,OpTbl,3,0)="خرید",VLOOKUP("P02",ParamTbl,2,0),0)/100),""))</f>
        <v/>
      </c>
      <c r="O192" s="74" t="n"/>
      <c r="P192" s="76">
        <f>IF(OR($E192="",$L192=""),"",IFERROR(IF(VLOOKUP($E192,OpTbl,6,0)="وزن",ROUND($N192*$O192,-3),IF(VLOOKUP($E192,OpTbl,6,0)="مبلغ",ROUND($L192*$O192,-3),0)),""))</f>
        <v/>
      </c>
      <c r="Q192" s="74" t="n"/>
      <c r="R192" s="71" t="n"/>
      <c r="S192" s="77">
        <f>IF($E192="","",IF($AI192="⚠","⚠ ناتراز",IF(AND(IFERROR(VLOOKUP($E192,OpTbl,4,0),"")="بله",$L192=""),"⚠ وزن",IF(AND(IFERROR(VLOOKUP($E192,OpTbl,5,0),"")="بله",$U192=""),"⚠ حساب",IF(AND(IFERROR(VLOOKUP($E192,OpTbl,6,0),"")="مبلغ",$Q192=""),"⚠ مبلغ","✓")))))</f>
        <v/>
      </c>
      <c r="T192" s="72" t="n"/>
      <c r="U192" s="70">
        <f>IF($E192="","",IFERROR(IF(VLOOKUP($E192,OpTbl,14,0)&lt;&gt;"",VLOOKUP($E192,OpTbl,14,0),$G192),""))</f>
        <v/>
      </c>
      <c r="V192" s="76">
        <f>IF(OR($AJ192="",$AJ192=0,$AL192&lt;&gt;"بدهکار"),"",$AJ192)</f>
        <v/>
      </c>
      <c r="W192" s="76">
        <f>IF(OR($AJ192="",$AJ192=0,$AL192&lt;&gt;"بستانکار"),"",$AJ192)</f>
        <v/>
      </c>
      <c r="X192" s="70">
        <f>IF($E192="","",IFERROR(VLOOKUP($E192,OpTbl,8,0),""))</f>
        <v/>
      </c>
      <c r="Y192" s="76">
        <f>IF(OR($X192="",$AJ192="",$AJ192=0,$AM192&lt;&gt;"بدهکار"),"",$AJ192)</f>
        <v/>
      </c>
      <c r="Z192" s="76">
        <f>IF(OR($X192="",$AJ192="",$AJ192=0,$AM192&lt;&gt;"بستانکار"),"",$AJ192)</f>
        <v/>
      </c>
      <c r="AA192" s="70">
        <f>IF(OR($E192="",$AN192="—",$AN192=""),"",IFERROR(VLOOKUP($E192,OpTbl,12,0),""))</f>
        <v/>
      </c>
      <c r="AB192" s="76">
        <f>IF(OR($AA192="",$Q192="",$Q192=0,$AN192&lt;&gt;"بدهکار"),"",$Q192)</f>
        <v/>
      </c>
      <c r="AC192" s="76">
        <f>IF(OR($AA192="",$Q192="",$Q192=0,$AN192&lt;&gt;"بستانکار"),"",$Q192)</f>
        <v/>
      </c>
      <c r="AD192" s="70">
        <f>IF($AA192="","",IFERROR(VLOOKUP($E192,OpTbl,13,0),""))</f>
        <v/>
      </c>
      <c r="AE192" s="76">
        <f>IF(OR($AD192="",$Q192="",$Q192=0,$AN192&lt;&gt;"بستانکار"),"",$Q192)</f>
        <v/>
      </c>
      <c r="AF192" s="76">
        <f>IF(OR($AD192="",$Q192="",$Q192=0,$AN192&lt;&gt;"بدهکار"),"",$Q192)</f>
        <v/>
      </c>
      <c r="AG192" s="76">
        <f>SUM($V192,$Y192,$AB192,$AE192)</f>
        <v/>
      </c>
      <c r="AH192" s="76">
        <f>SUM($W192,$Z192,$AC192,$AF192)</f>
        <v/>
      </c>
      <c r="AI192" s="70">
        <f>IF($E192="","",IF(ROUND($AG192-$AH192,0)=0,"✓","⚠"))</f>
        <v/>
      </c>
      <c r="AJ192" s="76">
        <f>IF(OR($E192="",$U192=""),"",IFERROR(IF(VLOOKUP($E192,OpTbl,6,0)="وزن",IF($P192="",0,$P192),IF(VLOOKUP($E192,OpTbl,6,0)="مبلغ",IF(AND($Q192&lt;&gt;"",$Q192&lt;&gt;0),$Q192,$P192),0))+IF(VLOOKUP($E192,OpTbl,10,0)="افزودن",IF($Q192="",0,$Q192),0),0))</f>
        <v/>
      </c>
      <c r="AK192" s="70">
        <f>IF($E192="","",IFERROR(VLOOKUP($E192,OpTbl,10,0),""))</f>
        <v/>
      </c>
      <c r="AL192" s="70">
        <f>IF(OR($E192="",$U192=""),"",IFERROR(IF(VLOOKUP($E192,OpTbl,7,0)="خودکار",$R192,VLOOKUP($E192,OpTbl,7,0)),""))</f>
        <v/>
      </c>
      <c r="AM192" s="70">
        <f>IF(OR($E192="",$X192=""),"",IFERROR(IF(VLOOKUP($E192,OpTbl,9,0)="خودکار",IF($AL192="بدهکار","بستانکار",IF($AL192="بستانکار","بدهکار","")),VLOOKUP($E192,OpTbl,9,0)),""))</f>
        <v/>
      </c>
      <c r="AN192" s="70">
        <f>IF($E192="","",IFERROR(VLOOKUP($E192,OpTbl,11,0),""))</f>
        <v/>
      </c>
      <c r="AO192" s="70">
        <f>IF($B192="","",MID($B192,6,2))</f>
        <v/>
      </c>
      <c r="AP192" s="76">
        <f>IF($B192="",0,1)</f>
        <v/>
      </c>
    </row>
    <row r="193" ht="21.75" customHeight="1">
      <c r="A193" s="70">
        <f>IF($B193="","",COUNTA($B$10:$B193))</f>
        <v/>
      </c>
      <c r="B193" s="71" t="n"/>
      <c r="C193" s="71" t="n"/>
      <c r="D193" s="71" t="n"/>
      <c r="E193" s="71" t="n"/>
      <c r="F193" s="70">
        <f>IF($E193="","",IFERROR(VLOOKUP($E193,OpTbl,2,0),""))</f>
        <v/>
      </c>
      <c r="G193" s="71" t="n"/>
      <c r="H193" s="73">
        <f>IF($U193="","",IFERROR(VLOOKUP($U193,AcctTbl,2,0),"کد ناشناخته"))</f>
        <v/>
      </c>
      <c r="I193" s="70">
        <f>IF($U193="","",IFERROR(VLOOKUP($U193,AcctTbl,3,0),""))</f>
        <v/>
      </c>
      <c r="J193" s="72" t="n"/>
      <c r="K193" s="71" t="n"/>
      <c r="L193" s="74" t="n"/>
      <c r="M193" s="74" t="n"/>
      <c r="N193" s="148">
        <f>IF(OR($E193="",$L193=""),"",IFERROR(($L193-IF($M193="",0,$M193)*IFERROR(VLOOKUP($K193,BasketTbl,4,0),IFERROR(INDEX(BasketTbl,MATCH($K193,BasketCodeCol,0),4),VLOOKUP("P01",ParamTbl,2,0))))*(1-IF(VLOOKUP($E193,OpTbl,3,0)="خرید",VLOOKUP("P02",ParamTbl,2,0),0)/100),""))</f>
        <v/>
      </c>
      <c r="O193" s="74" t="n"/>
      <c r="P193" s="76">
        <f>IF(OR($E193="",$L193=""),"",IFERROR(IF(VLOOKUP($E193,OpTbl,6,0)="وزن",ROUND($N193*$O193,-3),IF(VLOOKUP($E193,OpTbl,6,0)="مبلغ",ROUND($L193*$O193,-3),0)),""))</f>
        <v/>
      </c>
      <c r="Q193" s="74" t="n"/>
      <c r="R193" s="71" t="n"/>
      <c r="S193" s="77">
        <f>IF($E193="","",IF($AI193="⚠","⚠ ناتراز",IF(AND(IFERROR(VLOOKUP($E193,OpTbl,4,0),"")="بله",$L193=""),"⚠ وزن",IF(AND(IFERROR(VLOOKUP($E193,OpTbl,5,0),"")="بله",$U193=""),"⚠ حساب",IF(AND(IFERROR(VLOOKUP($E193,OpTbl,6,0),"")="مبلغ",$Q193=""),"⚠ مبلغ","✓")))))</f>
        <v/>
      </c>
      <c r="T193" s="72" t="n"/>
      <c r="U193" s="70">
        <f>IF($E193="","",IFERROR(IF(VLOOKUP($E193,OpTbl,14,0)&lt;&gt;"",VLOOKUP($E193,OpTbl,14,0),$G193),""))</f>
        <v/>
      </c>
      <c r="V193" s="76">
        <f>IF(OR($AJ193="",$AJ193=0,$AL193&lt;&gt;"بدهکار"),"",$AJ193)</f>
        <v/>
      </c>
      <c r="W193" s="76">
        <f>IF(OR($AJ193="",$AJ193=0,$AL193&lt;&gt;"بستانکار"),"",$AJ193)</f>
        <v/>
      </c>
      <c r="X193" s="70">
        <f>IF($E193="","",IFERROR(VLOOKUP($E193,OpTbl,8,0),""))</f>
        <v/>
      </c>
      <c r="Y193" s="76">
        <f>IF(OR($X193="",$AJ193="",$AJ193=0,$AM193&lt;&gt;"بدهکار"),"",$AJ193)</f>
        <v/>
      </c>
      <c r="Z193" s="76">
        <f>IF(OR($X193="",$AJ193="",$AJ193=0,$AM193&lt;&gt;"بستانکار"),"",$AJ193)</f>
        <v/>
      </c>
      <c r="AA193" s="70">
        <f>IF(OR($E193="",$AN193="—",$AN193=""),"",IFERROR(VLOOKUP($E193,OpTbl,12,0),""))</f>
        <v/>
      </c>
      <c r="AB193" s="76">
        <f>IF(OR($AA193="",$Q193="",$Q193=0,$AN193&lt;&gt;"بدهکار"),"",$Q193)</f>
        <v/>
      </c>
      <c r="AC193" s="76">
        <f>IF(OR($AA193="",$Q193="",$Q193=0,$AN193&lt;&gt;"بستانکار"),"",$Q193)</f>
        <v/>
      </c>
      <c r="AD193" s="70">
        <f>IF($AA193="","",IFERROR(VLOOKUP($E193,OpTbl,13,0),""))</f>
        <v/>
      </c>
      <c r="AE193" s="76">
        <f>IF(OR($AD193="",$Q193="",$Q193=0,$AN193&lt;&gt;"بستانکار"),"",$Q193)</f>
        <v/>
      </c>
      <c r="AF193" s="76">
        <f>IF(OR($AD193="",$Q193="",$Q193=0,$AN193&lt;&gt;"بدهکار"),"",$Q193)</f>
        <v/>
      </c>
      <c r="AG193" s="76">
        <f>SUM($V193,$Y193,$AB193,$AE193)</f>
        <v/>
      </c>
      <c r="AH193" s="76">
        <f>SUM($W193,$Z193,$AC193,$AF193)</f>
        <v/>
      </c>
      <c r="AI193" s="70">
        <f>IF($E193="","",IF(ROUND($AG193-$AH193,0)=0,"✓","⚠"))</f>
        <v/>
      </c>
      <c r="AJ193" s="76">
        <f>IF(OR($E193="",$U193=""),"",IFERROR(IF(VLOOKUP($E193,OpTbl,6,0)="وزن",IF($P193="",0,$P193),IF(VLOOKUP($E193,OpTbl,6,0)="مبلغ",IF(AND($Q193&lt;&gt;"",$Q193&lt;&gt;0),$Q193,$P193),0))+IF(VLOOKUP($E193,OpTbl,10,0)="افزودن",IF($Q193="",0,$Q193),0),0))</f>
        <v/>
      </c>
      <c r="AK193" s="70">
        <f>IF($E193="","",IFERROR(VLOOKUP($E193,OpTbl,10,0),""))</f>
        <v/>
      </c>
      <c r="AL193" s="70">
        <f>IF(OR($E193="",$U193=""),"",IFERROR(IF(VLOOKUP($E193,OpTbl,7,0)="خودکار",$R193,VLOOKUP($E193,OpTbl,7,0)),""))</f>
        <v/>
      </c>
      <c r="AM193" s="70">
        <f>IF(OR($E193="",$X193=""),"",IFERROR(IF(VLOOKUP($E193,OpTbl,9,0)="خودکار",IF($AL193="بدهکار","بستانکار",IF($AL193="بستانکار","بدهکار","")),VLOOKUP($E193,OpTbl,9,0)),""))</f>
        <v/>
      </c>
      <c r="AN193" s="70">
        <f>IF($E193="","",IFERROR(VLOOKUP($E193,OpTbl,11,0),""))</f>
        <v/>
      </c>
      <c r="AO193" s="70">
        <f>IF($B193="","",MID($B193,6,2))</f>
        <v/>
      </c>
      <c r="AP193" s="76">
        <f>IF($B193="",0,1)</f>
        <v/>
      </c>
    </row>
    <row r="194" ht="21.75" customHeight="1">
      <c r="A194" s="70">
        <f>IF($B194="","",COUNTA($B$10:$B194))</f>
        <v/>
      </c>
      <c r="B194" s="71" t="n"/>
      <c r="C194" s="71" t="n"/>
      <c r="D194" s="71" t="n"/>
      <c r="E194" s="71" t="n"/>
      <c r="F194" s="70">
        <f>IF($E194="","",IFERROR(VLOOKUP($E194,OpTbl,2,0),""))</f>
        <v/>
      </c>
      <c r="G194" s="71" t="n"/>
      <c r="H194" s="73">
        <f>IF($U194="","",IFERROR(VLOOKUP($U194,AcctTbl,2,0),"کد ناشناخته"))</f>
        <v/>
      </c>
      <c r="I194" s="70">
        <f>IF($U194="","",IFERROR(VLOOKUP($U194,AcctTbl,3,0),""))</f>
        <v/>
      </c>
      <c r="J194" s="72" t="n"/>
      <c r="K194" s="71" t="n"/>
      <c r="L194" s="74" t="n"/>
      <c r="M194" s="74" t="n"/>
      <c r="N194" s="148">
        <f>IF(OR($E194="",$L194=""),"",IFERROR(($L194-IF($M194="",0,$M194)*IFERROR(VLOOKUP($K194,BasketTbl,4,0),IFERROR(INDEX(BasketTbl,MATCH($K194,BasketCodeCol,0),4),VLOOKUP("P01",ParamTbl,2,0))))*(1-IF(VLOOKUP($E194,OpTbl,3,0)="خرید",VLOOKUP("P02",ParamTbl,2,0),0)/100),""))</f>
        <v/>
      </c>
      <c r="O194" s="74" t="n"/>
      <c r="P194" s="76">
        <f>IF(OR($E194="",$L194=""),"",IFERROR(IF(VLOOKUP($E194,OpTbl,6,0)="وزن",ROUND($N194*$O194,-3),IF(VLOOKUP($E194,OpTbl,6,0)="مبلغ",ROUND($L194*$O194,-3),0)),""))</f>
        <v/>
      </c>
      <c r="Q194" s="74" t="n"/>
      <c r="R194" s="71" t="n"/>
      <c r="S194" s="77">
        <f>IF($E194="","",IF($AI194="⚠","⚠ ناتراز",IF(AND(IFERROR(VLOOKUP($E194,OpTbl,4,0),"")="بله",$L194=""),"⚠ وزن",IF(AND(IFERROR(VLOOKUP($E194,OpTbl,5,0),"")="بله",$U194=""),"⚠ حساب",IF(AND(IFERROR(VLOOKUP($E194,OpTbl,6,0),"")="مبلغ",$Q194=""),"⚠ مبلغ","✓")))))</f>
        <v/>
      </c>
      <c r="T194" s="72" t="n"/>
      <c r="U194" s="70">
        <f>IF($E194="","",IFERROR(IF(VLOOKUP($E194,OpTbl,14,0)&lt;&gt;"",VLOOKUP($E194,OpTbl,14,0),$G194),""))</f>
        <v/>
      </c>
      <c r="V194" s="76">
        <f>IF(OR($AJ194="",$AJ194=0,$AL194&lt;&gt;"بدهکار"),"",$AJ194)</f>
        <v/>
      </c>
      <c r="W194" s="76">
        <f>IF(OR($AJ194="",$AJ194=0,$AL194&lt;&gt;"بستانکار"),"",$AJ194)</f>
        <v/>
      </c>
      <c r="X194" s="70">
        <f>IF($E194="","",IFERROR(VLOOKUP($E194,OpTbl,8,0),""))</f>
        <v/>
      </c>
      <c r="Y194" s="76">
        <f>IF(OR($X194="",$AJ194="",$AJ194=0,$AM194&lt;&gt;"بدهکار"),"",$AJ194)</f>
        <v/>
      </c>
      <c r="Z194" s="76">
        <f>IF(OR($X194="",$AJ194="",$AJ194=0,$AM194&lt;&gt;"بستانکار"),"",$AJ194)</f>
        <v/>
      </c>
      <c r="AA194" s="70">
        <f>IF(OR($E194="",$AN194="—",$AN194=""),"",IFERROR(VLOOKUP($E194,OpTbl,12,0),""))</f>
        <v/>
      </c>
      <c r="AB194" s="76">
        <f>IF(OR($AA194="",$Q194="",$Q194=0,$AN194&lt;&gt;"بدهکار"),"",$Q194)</f>
        <v/>
      </c>
      <c r="AC194" s="76">
        <f>IF(OR($AA194="",$Q194="",$Q194=0,$AN194&lt;&gt;"بستانکار"),"",$Q194)</f>
        <v/>
      </c>
      <c r="AD194" s="70">
        <f>IF($AA194="","",IFERROR(VLOOKUP($E194,OpTbl,13,0),""))</f>
        <v/>
      </c>
      <c r="AE194" s="76">
        <f>IF(OR($AD194="",$Q194="",$Q194=0,$AN194&lt;&gt;"بستانکار"),"",$Q194)</f>
        <v/>
      </c>
      <c r="AF194" s="76">
        <f>IF(OR($AD194="",$Q194="",$Q194=0,$AN194&lt;&gt;"بدهکار"),"",$Q194)</f>
        <v/>
      </c>
      <c r="AG194" s="76">
        <f>SUM($V194,$Y194,$AB194,$AE194)</f>
        <v/>
      </c>
      <c r="AH194" s="76">
        <f>SUM($W194,$Z194,$AC194,$AF194)</f>
        <v/>
      </c>
      <c r="AI194" s="70">
        <f>IF($E194="","",IF(ROUND($AG194-$AH194,0)=0,"✓","⚠"))</f>
        <v/>
      </c>
      <c r="AJ194" s="76">
        <f>IF(OR($E194="",$U194=""),"",IFERROR(IF(VLOOKUP($E194,OpTbl,6,0)="وزن",IF($P194="",0,$P194),IF(VLOOKUP($E194,OpTbl,6,0)="مبلغ",IF(AND($Q194&lt;&gt;"",$Q194&lt;&gt;0),$Q194,$P194),0))+IF(VLOOKUP($E194,OpTbl,10,0)="افزودن",IF($Q194="",0,$Q194),0),0))</f>
        <v/>
      </c>
      <c r="AK194" s="70">
        <f>IF($E194="","",IFERROR(VLOOKUP($E194,OpTbl,10,0),""))</f>
        <v/>
      </c>
      <c r="AL194" s="70">
        <f>IF(OR($E194="",$U194=""),"",IFERROR(IF(VLOOKUP($E194,OpTbl,7,0)="خودکار",$R194,VLOOKUP($E194,OpTbl,7,0)),""))</f>
        <v/>
      </c>
      <c r="AM194" s="70">
        <f>IF(OR($E194="",$X194=""),"",IFERROR(IF(VLOOKUP($E194,OpTbl,9,0)="خودکار",IF($AL194="بدهکار","بستانکار",IF($AL194="بستانکار","بدهکار","")),VLOOKUP($E194,OpTbl,9,0)),""))</f>
        <v/>
      </c>
      <c r="AN194" s="70">
        <f>IF($E194="","",IFERROR(VLOOKUP($E194,OpTbl,11,0),""))</f>
        <v/>
      </c>
      <c r="AO194" s="70">
        <f>IF($B194="","",MID($B194,6,2))</f>
        <v/>
      </c>
      <c r="AP194" s="76">
        <f>IF($B194="",0,1)</f>
        <v/>
      </c>
    </row>
    <row r="195" ht="21.75" customHeight="1">
      <c r="A195" s="70">
        <f>IF($B195="","",COUNTA($B$10:$B195))</f>
        <v/>
      </c>
      <c r="B195" s="71" t="n"/>
      <c r="C195" s="71" t="n"/>
      <c r="D195" s="71" t="n"/>
      <c r="E195" s="71" t="n"/>
      <c r="F195" s="70">
        <f>IF($E195="","",IFERROR(VLOOKUP($E195,OpTbl,2,0),""))</f>
        <v/>
      </c>
      <c r="G195" s="71" t="n"/>
      <c r="H195" s="73">
        <f>IF($U195="","",IFERROR(VLOOKUP($U195,AcctTbl,2,0),"کد ناشناخته"))</f>
        <v/>
      </c>
      <c r="I195" s="70">
        <f>IF($U195="","",IFERROR(VLOOKUP($U195,AcctTbl,3,0),""))</f>
        <v/>
      </c>
      <c r="J195" s="72" t="n"/>
      <c r="K195" s="71" t="n"/>
      <c r="L195" s="74" t="n"/>
      <c r="M195" s="74" t="n"/>
      <c r="N195" s="148">
        <f>IF(OR($E195="",$L195=""),"",IFERROR(($L195-IF($M195="",0,$M195)*IFERROR(VLOOKUP($K195,BasketTbl,4,0),IFERROR(INDEX(BasketTbl,MATCH($K195,BasketCodeCol,0),4),VLOOKUP("P01",ParamTbl,2,0))))*(1-IF(VLOOKUP($E195,OpTbl,3,0)="خرید",VLOOKUP("P02",ParamTbl,2,0),0)/100),""))</f>
        <v/>
      </c>
      <c r="O195" s="74" t="n"/>
      <c r="P195" s="76">
        <f>IF(OR($E195="",$L195=""),"",IFERROR(IF(VLOOKUP($E195,OpTbl,6,0)="وزن",ROUND($N195*$O195,-3),IF(VLOOKUP($E195,OpTbl,6,0)="مبلغ",ROUND($L195*$O195,-3),0)),""))</f>
        <v/>
      </c>
      <c r="Q195" s="74" t="n"/>
      <c r="R195" s="71" t="n"/>
      <c r="S195" s="77">
        <f>IF($E195="","",IF($AI195="⚠","⚠ ناتراز",IF(AND(IFERROR(VLOOKUP($E195,OpTbl,4,0),"")="بله",$L195=""),"⚠ وزن",IF(AND(IFERROR(VLOOKUP($E195,OpTbl,5,0),"")="بله",$U195=""),"⚠ حساب",IF(AND(IFERROR(VLOOKUP($E195,OpTbl,6,0),"")="مبلغ",$Q195=""),"⚠ مبلغ","✓")))))</f>
        <v/>
      </c>
      <c r="T195" s="72" t="n"/>
      <c r="U195" s="70">
        <f>IF($E195="","",IFERROR(IF(VLOOKUP($E195,OpTbl,14,0)&lt;&gt;"",VLOOKUP($E195,OpTbl,14,0),$G195),""))</f>
        <v/>
      </c>
      <c r="V195" s="76">
        <f>IF(OR($AJ195="",$AJ195=0,$AL195&lt;&gt;"بدهکار"),"",$AJ195)</f>
        <v/>
      </c>
      <c r="W195" s="76">
        <f>IF(OR($AJ195="",$AJ195=0,$AL195&lt;&gt;"بستانکار"),"",$AJ195)</f>
        <v/>
      </c>
      <c r="X195" s="70">
        <f>IF($E195="","",IFERROR(VLOOKUP($E195,OpTbl,8,0),""))</f>
        <v/>
      </c>
      <c r="Y195" s="76">
        <f>IF(OR($X195="",$AJ195="",$AJ195=0,$AM195&lt;&gt;"بدهکار"),"",$AJ195)</f>
        <v/>
      </c>
      <c r="Z195" s="76">
        <f>IF(OR($X195="",$AJ195="",$AJ195=0,$AM195&lt;&gt;"بستانکار"),"",$AJ195)</f>
        <v/>
      </c>
      <c r="AA195" s="70">
        <f>IF(OR($E195="",$AN195="—",$AN195=""),"",IFERROR(VLOOKUP($E195,OpTbl,12,0),""))</f>
        <v/>
      </c>
      <c r="AB195" s="76">
        <f>IF(OR($AA195="",$Q195="",$Q195=0,$AN195&lt;&gt;"بدهکار"),"",$Q195)</f>
        <v/>
      </c>
      <c r="AC195" s="76">
        <f>IF(OR($AA195="",$Q195="",$Q195=0,$AN195&lt;&gt;"بستانکار"),"",$Q195)</f>
        <v/>
      </c>
      <c r="AD195" s="70">
        <f>IF($AA195="","",IFERROR(VLOOKUP($E195,OpTbl,13,0),""))</f>
        <v/>
      </c>
      <c r="AE195" s="76">
        <f>IF(OR($AD195="",$Q195="",$Q195=0,$AN195&lt;&gt;"بستانکار"),"",$Q195)</f>
        <v/>
      </c>
      <c r="AF195" s="76">
        <f>IF(OR($AD195="",$Q195="",$Q195=0,$AN195&lt;&gt;"بدهکار"),"",$Q195)</f>
        <v/>
      </c>
      <c r="AG195" s="76">
        <f>SUM($V195,$Y195,$AB195,$AE195)</f>
        <v/>
      </c>
      <c r="AH195" s="76">
        <f>SUM($W195,$Z195,$AC195,$AF195)</f>
        <v/>
      </c>
      <c r="AI195" s="70">
        <f>IF($E195="","",IF(ROUND($AG195-$AH195,0)=0,"✓","⚠"))</f>
        <v/>
      </c>
      <c r="AJ195" s="76">
        <f>IF(OR($E195="",$U195=""),"",IFERROR(IF(VLOOKUP($E195,OpTbl,6,0)="وزن",IF($P195="",0,$P195),IF(VLOOKUP($E195,OpTbl,6,0)="مبلغ",IF(AND($Q195&lt;&gt;"",$Q195&lt;&gt;0),$Q195,$P195),0))+IF(VLOOKUP($E195,OpTbl,10,0)="افزودن",IF($Q195="",0,$Q195),0),0))</f>
        <v/>
      </c>
      <c r="AK195" s="70">
        <f>IF($E195="","",IFERROR(VLOOKUP($E195,OpTbl,10,0),""))</f>
        <v/>
      </c>
      <c r="AL195" s="70">
        <f>IF(OR($E195="",$U195=""),"",IFERROR(IF(VLOOKUP($E195,OpTbl,7,0)="خودکار",$R195,VLOOKUP($E195,OpTbl,7,0)),""))</f>
        <v/>
      </c>
      <c r="AM195" s="70">
        <f>IF(OR($E195="",$X195=""),"",IFERROR(IF(VLOOKUP($E195,OpTbl,9,0)="خودکار",IF($AL195="بدهکار","بستانکار",IF($AL195="بستانکار","بدهکار","")),VLOOKUP($E195,OpTbl,9,0)),""))</f>
        <v/>
      </c>
      <c r="AN195" s="70">
        <f>IF($E195="","",IFERROR(VLOOKUP($E195,OpTbl,11,0),""))</f>
        <v/>
      </c>
      <c r="AO195" s="70">
        <f>IF($B195="","",MID($B195,6,2))</f>
        <v/>
      </c>
      <c r="AP195" s="76">
        <f>IF($B195="",0,1)</f>
        <v/>
      </c>
    </row>
    <row r="196" ht="21.75" customHeight="1">
      <c r="A196" s="70">
        <f>IF($B196="","",COUNTA($B$10:$B196))</f>
        <v/>
      </c>
      <c r="B196" s="71" t="n"/>
      <c r="C196" s="71" t="n"/>
      <c r="D196" s="71" t="n"/>
      <c r="E196" s="71" t="n"/>
      <c r="F196" s="70">
        <f>IF($E196="","",IFERROR(VLOOKUP($E196,OpTbl,2,0),""))</f>
        <v/>
      </c>
      <c r="G196" s="71" t="n"/>
      <c r="H196" s="73">
        <f>IF($U196="","",IFERROR(VLOOKUP($U196,AcctTbl,2,0),"کد ناشناخته"))</f>
        <v/>
      </c>
      <c r="I196" s="70">
        <f>IF($U196="","",IFERROR(VLOOKUP($U196,AcctTbl,3,0),""))</f>
        <v/>
      </c>
      <c r="J196" s="72" t="n"/>
      <c r="K196" s="71" t="n"/>
      <c r="L196" s="74" t="n"/>
      <c r="M196" s="74" t="n"/>
      <c r="N196" s="148">
        <f>IF(OR($E196="",$L196=""),"",IFERROR(($L196-IF($M196="",0,$M196)*IFERROR(VLOOKUP($K196,BasketTbl,4,0),IFERROR(INDEX(BasketTbl,MATCH($K196,BasketCodeCol,0),4),VLOOKUP("P01",ParamTbl,2,0))))*(1-IF(VLOOKUP($E196,OpTbl,3,0)="خرید",VLOOKUP("P02",ParamTbl,2,0),0)/100),""))</f>
        <v/>
      </c>
      <c r="O196" s="74" t="n"/>
      <c r="P196" s="76">
        <f>IF(OR($E196="",$L196=""),"",IFERROR(IF(VLOOKUP($E196,OpTbl,6,0)="وزن",ROUND($N196*$O196,-3),IF(VLOOKUP($E196,OpTbl,6,0)="مبلغ",ROUND($L196*$O196,-3),0)),""))</f>
        <v/>
      </c>
      <c r="Q196" s="74" t="n"/>
      <c r="R196" s="71" t="n"/>
      <c r="S196" s="77">
        <f>IF($E196="","",IF($AI196="⚠","⚠ ناتراز",IF(AND(IFERROR(VLOOKUP($E196,OpTbl,4,0),"")="بله",$L196=""),"⚠ وزن",IF(AND(IFERROR(VLOOKUP($E196,OpTbl,5,0),"")="بله",$U196=""),"⚠ حساب",IF(AND(IFERROR(VLOOKUP($E196,OpTbl,6,0),"")="مبلغ",$Q196=""),"⚠ مبلغ","✓")))))</f>
        <v/>
      </c>
      <c r="T196" s="72" t="n"/>
      <c r="U196" s="70">
        <f>IF($E196="","",IFERROR(IF(VLOOKUP($E196,OpTbl,14,0)&lt;&gt;"",VLOOKUP($E196,OpTbl,14,0),$G196),""))</f>
        <v/>
      </c>
      <c r="V196" s="76">
        <f>IF(OR($AJ196="",$AJ196=0,$AL196&lt;&gt;"بدهکار"),"",$AJ196)</f>
        <v/>
      </c>
      <c r="W196" s="76">
        <f>IF(OR($AJ196="",$AJ196=0,$AL196&lt;&gt;"بستانکار"),"",$AJ196)</f>
        <v/>
      </c>
      <c r="X196" s="70">
        <f>IF($E196="","",IFERROR(VLOOKUP($E196,OpTbl,8,0),""))</f>
        <v/>
      </c>
      <c r="Y196" s="76">
        <f>IF(OR($X196="",$AJ196="",$AJ196=0,$AM196&lt;&gt;"بدهکار"),"",$AJ196)</f>
        <v/>
      </c>
      <c r="Z196" s="76">
        <f>IF(OR($X196="",$AJ196="",$AJ196=0,$AM196&lt;&gt;"بستانکار"),"",$AJ196)</f>
        <v/>
      </c>
      <c r="AA196" s="70">
        <f>IF(OR($E196="",$AN196="—",$AN196=""),"",IFERROR(VLOOKUP($E196,OpTbl,12,0),""))</f>
        <v/>
      </c>
      <c r="AB196" s="76">
        <f>IF(OR($AA196="",$Q196="",$Q196=0,$AN196&lt;&gt;"بدهکار"),"",$Q196)</f>
        <v/>
      </c>
      <c r="AC196" s="76">
        <f>IF(OR($AA196="",$Q196="",$Q196=0,$AN196&lt;&gt;"بستانکار"),"",$Q196)</f>
        <v/>
      </c>
      <c r="AD196" s="70">
        <f>IF($AA196="","",IFERROR(VLOOKUP($E196,OpTbl,13,0),""))</f>
        <v/>
      </c>
      <c r="AE196" s="76">
        <f>IF(OR($AD196="",$Q196="",$Q196=0,$AN196&lt;&gt;"بستانکار"),"",$Q196)</f>
        <v/>
      </c>
      <c r="AF196" s="76">
        <f>IF(OR($AD196="",$Q196="",$Q196=0,$AN196&lt;&gt;"بدهکار"),"",$Q196)</f>
        <v/>
      </c>
      <c r="AG196" s="76">
        <f>SUM($V196,$Y196,$AB196,$AE196)</f>
        <v/>
      </c>
      <c r="AH196" s="76">
        <f>SUM($W196,$Z196,$AC196,$AF196)</f>
        <v/>
      </c>
      <c r="AI196" s="70">
        <f>IF($E196="","",IF(ROUND($AG196-$AH196,0)=0,"✓","⚠"))</f>
        <v/>
      </c>
      <c r="AJ196" s="76">
        <f>IF(OR($E196="",$U196=""),"",IFERROR(IF(VLOOKUP($E196,OpTbl,6,0)="وزن",IF($P196="",0,$P196),IF(VLOOKUP($E196,OpTbl,6,0)="مبلغ",IF(AND($Q196&lt;&gt;"",$Q196&lt;&gt;0),$Q196,$P196),0))+IF(VLOOKUP($E196,OpTbl,10,0)="افزودن",IF($Q196="",0,$Q196),0),0))</f>
        <v/>
      </c>
      <c r="AK196" s="70">
        <f>IF($E196="","",IFERROR(VLOOKUP($E196,OpTbl,10,0),""))</f>
        <v/>
      </c>
      <c r="AL196" s="70">
        <f>IF(OR($E196="",$U196=""),"",IFERROR(IF(VLOOKUP($E196,OpTbl,7,0)="خودکار",$R196,VLOOKUP($E196,OpTbl,7,0)),""))</f>
        <v/>
      </c>
      <c r="AM196" s="70">
        <f>IF(OR($E196="",$X196=""),"",IFERROR(IF(VLOOKUP($E196,OpTbl,9,0)="خودکار",IF($AL196="بدهکار","بستانکار",IF($AL196="بستانکار","بدهکار","")),VLOOKUP($E196,OpTbl,9,0)),""))</f>
        <v/>
      </c>
      <c r="AN196" s="70">
        <f>IF($E196="","",IFERROR(VLOOKUP($E196,OpTbl,11,0),""))</f>
        <v/>
      </c>
      <c r="AO196" s="70">
        <f>IF($B196="","",MID($B196,6,2))</f>
        <v/>
      </c>
      <c r="AP196" s="76">
        <f>IF($B196="",0,1)</f>
        <v/>
      </c>
    </row>
    <row r="197" ht="21.75" customHeight="1">
      <c r="A197" s="70">
        <f>IF($B197="","",COUNTA($B$10:$B197))</f>
        <v/>
      </c>
      <c r="B197" s="71" t="n"/>
      <c r="C197" s="71" t="n"/>
      <c r="D197" s="71" t="n"/>
      <c r="E197" s="71" t="n"/>
      <c r="F197" s="70">
        <f>IF($E197="","",IFERROR(VLOOKUP($E197,OpTbl,2,0),""))</f>
        <v/>
      </c>
      <c r="G197" s="71" t="n"/>
      <c r="H197" s="73">
        <f>IF($U197="","",IFERROR(VLOOKUP($U197,AcctTbl,2,0),"کد ناشناخته"))</f>
        <v/>
      </c>
      <c r="I197" s="70">
        <f>IF($U197="","",IFERROR(VLOOKUP($U197,AcctTbl,3,0),""))</f>
        <v/>
      </c>
      <c r="J197" s="72" t="n"/>
      <c r="K197" s="71" t="n"/>
      <c r="L197" s="74" t="n"/>
      <c r="M197" s="74" t="n"/>
      <c r="N197" s="148">
        <f>IF(OR($E197="",$L197=""),"",IFERROR(($L197-IF($M197="",0,$M197)*IFERROR(VLOOKUP($K197,BasketTbl,4,0),IFERROR(INDEX(BasketTbl,MATCH($K197,BasketCodeCol,0),4),VLOOKUP("P01",ParamTbl,2,0))))*(1-IF(VLOOKUP($E197,OpTbl,3,0)="خرید",VLOOKUP("P02",ParamTbl,2,0),0)/100),""))</f>
        <v/>
      </c>
      <c r="O197" s="74" t="n"/>
      <c r="P197" s="76">
        <f>IF(OR($E197="",$L197=""),"",IFERROR(IF(VLOOKUP($E197,OpTbl,6,0)="وزن",ROUND($N197*$O197,-3),IF(VLOOKUP($E197,OpTbl,6,0)="مبلغ",ROUND($L197*$O197,-3),0)),""))</f>
        <v/>
      </c>
      <c r="Q197" s="74" t="n"/>
      <c r="R197" s="71" t="n"/>
      <c r="S197" s="77">
        <f>IF($E197="","",IF($AI197="⚠","⚠ ناتراز",IF(AND(IFERROR(VLOOKUP($E197,OpTbl,4,0),"")="بله",$L197=""),"⚠ وزن",IF(AND(IFERROR(VLOOKUP($E197,OpTbl,5,0),"")="بله",$U197=""),"⚠ حساب",IF(AND(IFERROR(VLOOKUP($E197,OpTbl,6,0),"")="مبلغ",$Q197=""),"⚠ مبلغ","✓")))))</f>
        <v/>
      </c>
      <c r="T197" s="72" t="n"/>
      <c r="U197" s="70">
        <f>IF($E197="","",IFERROR(IF(VLOOKUP($E197,OpTbl,14,0)&lt;&gt;"",VLOOKUP($E197,OpTbl,14,0),$G197),""))</f>
        <v/>
      </c>
      <c r="V197" s="76">
        <f>IF(OR($AJ197="",$AJ197=0,$AL197&lt;&gt;"بدهکار"),"",$AJ197)</f>
        <v/>
      </c>
      <c r="W197" s="76">
        <f>IF(OR($AJ197="",$AJ197=0,$AL197&lt;&gt;"بستانکار"),"",$AJ197)</f>
        <v/>
      </c>
      <c r="X197" s="70">
        <f>IF($E197="","",IFERROR(VLOOKUP($E197,OpTbl,8,0),""))</f>
        <v/>
      </c>
      <c r="Y197" s="76">
        <f>IF(OR($X197="",$AJ197="",$AJ197=0,$AM197&lt;&gt;"بدهکار"),"",$AJ197)</f>
        <v/>
      </c>
      <c r="Z197" s="76">
        <f>IF(OR($X197="",$AJ197="",$AJ197=0,$AM197&lt;&gt;"بستانکار"),"",$AJ197)</f>
        <v/>
      </c>
      <c r="AA197" s="70">
        <f>IF(OR($E197="",$AN197="—",$AN197=""),"",IFERROR(VLOOKUP($E197,OpTbl,12,0),""))</f>
        <v/>
      </c>
      <c r="AB197" s="76">
        <f>IF(OR($AA197="",$Q197="",$Q197=0,$AN197&lt;&gt;"بدهکار"),"",$Q197)</f>
        <v/>
      </c>
      <c r="AC197" s="76">
        <f>IF(OR($AA197="",$Q197="",$Q197=0,$AN197&lt;&gt;"بستانکار"),"",$Q197)</f>
        <v/>
      </c>
      <c r="AD197" s="70">
        <f>IF($AA197="","",IFERROR(VLOOKUP($E197,OpTbl,13,0),""))</f>
        <v/>
      </c>
      <c r="AE197" s="76">
        <f>IF(OR($AD197="",$Q197="",$Q197=0,$AN197&lt;&gt;"بستانکار"),"",$Q197)</f>
        <v/>
      </c>
      <c r="AF197" s="76">
        <f>IF(OR($AD197="",$Q197="",$Q197=0,$AN197&lt;&gt;"بدهکار"),"",$Q197)</f>
        <v/>
      </c>
      <c r="AG197" s="76">
        <f>SUM($V197,$Y197,$AB197,$AE197)</f>
        <v/>
      </c>
      <c r="AH197" s="76">
        <f>SUM($W197,$Z197,$AC197,$AF197)</f>
        <v/>
      </c>
      <c r="AI197" s="70">
        <f>IF($E197="","",IF(ROUND($AG197-$AH197,0)=0,"✓","⚠"))</f>
        <v/>
      </c>
      <c r="AJ197" s="76">
        <f>IF(OR($E197="",$U197=""),"",IFERROR(IF(VLOOKUP($E197,OpTbl,6,0)="وزن",IF($P197="",0,$P197),IF(VLOOKUP($E197,OpTbl,6,0)="مبلغ",IF(AND($Q197&lt;&gt;"",$Q197&lt;&gt;0),$Q197,$P197),0))+IF(VLOOKUP($E197,OpTbl,10,0)="افزودن",IF($Q197="",0,$Q197),0),0))</f>
        <v/>
      </c>
      <c r="AK197" s="70">
        <f>IF($E197="","",IFERROR(VLOOKUP($E197,OpTbl,10,0),""))</f>
        <v/>
      </c>
      <c r="AL197" s="70">
        <f>IF(OR($E197="",$U197=""),"",IFERROR(IF(VLOOKUP($E197,OpTbl,7,0)="خودکار",$R197,VLOOKUP($E197,OpTbl,7,0)),""))</f>
        <v/>
      </c>
      <c r="AM197" s="70">
        <f>IF(OR($E197="",$X197=""),"",IFERROR(IF(VLOOKUP($E197,OpTbl,9,0)="خودکار",IF($AL197="بدهکار","بستانکار",IF($AL197="بستانکار","بدهکار","")),VLOOKUP($E197,OpTbl,9,0)),""))</f>
        <v/>
      </c>
      <c r="AN197" s="70">
        <f>IF($E197="","",IFERROR(VLOOKUP($E197,OpTbl,11,0),""))</f>
        <v/>
      </c>
      <c r="AO197" s="70">
        <f>IF($B197="","",MID($B197,6,2))</f>
        <v/>
      </c>
      <c r="AP197" s="76">
        <f>IF($B197="",0,1)</f>
        <v/>
      </c>
    </row>
    <row r="198" ht="21.75" customHeight="1">
      <c r="A198" s="70">
        <f>IF($B198="","",COUNTA($B$10:$B198))</f>
        <v/>
      </c>
      <c r="B198" s="71" t="n"/>
      <c r="C198" s="71" t="n"/>
      <c r="D198" s="71" t="n"/>
      <c r="E198" s="71" t="n"/>
      <c r="F198" s="70">
        <f>IF($E198="","",IFERROR(VLOOKUP($E198,OpTbl,2,0),""))</f>
        <v/>
      </c>
      <c r="G198" s="71" t="n"/>
      <c r="H198" s="73">
        <f>IF($U198="","",IFERROR(VLOOKUP($U198,AcctTbl,2,0),"کد ناشناخته"))</f>
        <v/>
      </c>
      <c r="I198" s="70">
        <f>IF($U198="","",IFERROR(VLOOKUP($U198,AcctTbl,3,0),""))</f>
        <v/>
      </c>
      <c r="J198" s="72" t="n"/>
      <c r="K198" s="71" t="n"/>
      <c r="L198" s="74" t="n"/>
      <c r="M198" s="74" t="n"/>
      <c r="N198" s="148">
        <f>IF(OR($E198="",$L198=""),"",IFERROR(($L198-IF($M198="",0,$M198)*IFERROR(VLOOKUP($K198,BasketTbl,4,0),IFERROR(INDEX(BasketTbl,MATCH($K198,BasketCodeCol,0),4),VLOOKUP("P01",ParamTbl,2,0))))*(1-IF(VLOOKUP($E198,OpTbl,3,0)="خرید",VLOOKUP("P02",ParamTbl,2,0),0)/100),""))</f>
        <v/>
      </c>
      <c r="O198" s="74" t="n"/>
      <c r="P198" s="76">
        <f>IF(OR($E198="",$L198=""),"",IFERROR(IF(VLOOKUP($E198,OpTbl,6,0)="وزن",ROUND($N198*$O198,-3),IF(VLOOKUP($E198,OpTbl,6,0)="مبلغ",ROUND($L198*$O198,-3),0)),""))</f>
        <v/>
      </c>
      <c r="Q198" s="74" t="n"/>
      <c r="R198" s="71" t="n"/>
      <c r="S198" s="77">
        <f>IF($E198="","",IF($AI198="⚠","⚠ ناتراز",IF(AND(IFERROR(VLOOKUP($E198,OpTbl,4,0),"")="بله",$L198=""),"⚠ وزن",IF(AND(IFERROR(VLOOKUP($E198,OpTbl,5,0),"")="بله",$U198=""),"⚠ حساب",IF(AND(IFERROR(VLOOKUP($E198,OpTbl,6,0),"")="مبلغ",$Q198=""),"⚠ مبلغ","✓")))))</f>
        <v/>
      </c>
      <c r="T198" s="72" t="n"/>
      <c r="U198" s="70">
        <f>IF($E198="","",IFERROR(IF(VLOOKUP($E198,OpTbl,14,0)&lt;&gt;"",VLOOKUP($E198,OpTbl,14,0),$G198),""))</f>
        <v/>
      </c>
      <c r="V198" s="76">
        <f>IF(OR($AJ198="",$AJ198=0,$AL198&lt;&gt;"بدهکار"),"",$AJ198)</f>
        <v/>
      </c>
      <c r="W198" s="76">
        <f>IF(OR($AJ198="",$AJ198=0,$AL198&lt;&gt;"بستانکار"),"",$AJ198)</f>
        <v/>
      </c>
      <c r="X198" s="70">
        <f>IF($E198="","",IFERROR(VLOOKUP($E198,OpTbl,8,0),""))</f>
        <v/>
      </c>
      <c r="Y198" s="76">
        <f>IF(OR($X198="",$AJ198="",$AJ198=0,$AM198&lt;&gt;"بدهکار"),"",$AJ198)</f>
        <v/>
      </c>
      <c r="Z198" s="76">
        <f>IF(OR($X198="",$AJ198="",$AJ198=0,$AM198&lt;&gt;"بستانکار"),"",$AJ198)</f>
        <v/>
      </c>
      <c r="AA198" s="70">
        <f>IF(OR($E198="",$AN198="—",$AN198=""),"",IFERROR(VLOOKUP($E198,OpTbl,12,0),""))</f>
        <v/>
      </c>
      <c r="AB198" s="76">
        <f>IF(OR($AA198="",$Q198="",$Q198=0,$AN198&lt;&gt;"بدهکار"),"",$Q198)</f>
        <v/>
      </c>
      <c r="AC198" s="76">
        <f>IF(OR($AA198="",$Q198="",$Q198=0,$AN198&lt;&gt;"بستانکار"),"",$Q198)</f>
        <v/>
      </c>
      <c r="AD198" s="70">
        <f>IF($AA198="","",IFERROR(VLOOKUP($E198,OpTbl,13,0),""))</f>
        <v/>
      </c>
      <c r="AE198" s="76">
        <f>IF(OR($AD198="",$Q198="",$Q198=0,$AN198&lt;&gt;"بستانکار"),"",$Q198)</f>
        <v/>
      </c>
      <c r="AF198" s="76">
        <f>IF(OR($AD198="",$Q198="",$Q198=0,$AN198&lt;&gt;"بدهکار"),"",$Q198)</f>
        <v/>
      </c>
      <c r="AG198" s="76">
        <f>SUM($V198,$Y198,$AB198,$AE198)</f>
        <v/>
      </c>
      <c r="AH198" s="76">
        <f>SUM($W198,$Z198,$AC198,$AF198)</f>
        <v/>
      </c>
      <c r="AI198" s="70">
        <f>IF($E198="","",IF(ROUND($AG198-$AH198,0)=0,"✓","⚠"))</f>
        <v/>
      </c>
      <c r="AJ198" s="76">
        <f>IF(OR($E198="",$U198=""),"",IFERROR(IF(VLOOKUP($E198,OpTbl,6,0)="وزن",IF($P198="",0,$P198),IF(VLOOKUP($E198,OpTbl,6,0)="مبلغ",IF(AND($Q198&lt;&gt;"",$Q198&lt;&gt;0),$Q198,$P198),0))+IF(VLOOKUP($E198,OpTbl,10,0)="افزودن",IF($Q198="",0,$Q198),0),0))</f>
        <v/>
      </c>
      <c r="AK198" s="70">
        <f>IF($E198="","",IFERROR(VLOOKUP($E198,OpTbl,10,0),""))</f>
        <v/>
      </c>
      <c r="AL198" s="70">
        <f>IF(OR($E198="",$U198=""),"",IFERROR(IF(VLOOKUP($E198,OpTbl,7,0)="خودکار",$R198,VLOOKUP($E198,OpTbl,7,0)),""))</f>
        <v/>
      </c>
      <c r="AM198" s="70">
        <f>IF(OR($E198="",$X198=""),"",IFERROR(IF(VLOOKUP($E198,OpTbl,9,0)="خودکار",IF($AL198="بدهکار","بستانکار",IF($AL198="بستانکار","بدهکار","")),VLOOKUP($E198,OpTbl,9,0)),""))</f>
        <v/>
      </c>
      <c r="AN198" s="70">
        <f>IF($E198="","",IFERROR(VLOOKUP($E198,OpTbl,11,0),""))</f>
        <v/>
      </c>
      <c r="AO198" s="70">
        <f>IF($B198="","",MID($B198,6,2))</f>
        <v/>
      </c>
      <c r="AP198" s="76">
        <f>IF($B198="",0,1)</f>
        <v/>
      </c>
    </row>
    <row r="199" ht="21.75" customHeight="1">
      <c r="A199" s="70">
        <f>IF($B199="","",COUNTA($B$10:$B199))</f>
        <v/>
      </c>
      <c r="B199" s="71" t="n"/>
      <c r="C199" s="71" t="n"/>
      <c r="D199" s="71" t="n"/>
      <c r="E199" s="71" t="n"/>
      <c r="F199" s="70">
        <f>IF($E199="","",IFERROR(VLOOKUP($E199,OpTbl,2,0),""))</f>
        <v/>
      </c>
      <c r="G199" s="71" t="n"/>
      <c r="H199" s="73">
        <f>IF($U199="","",IFERROR(VLOOKUP($U199,AcctTbl,2,0),"کد ناشناخته"))</f>
        <v/>
      </c>
      <c r="I199" s="70">
        <f>IF($U199="","",IFERROR(VLOOKUP($U199,AcctTbl,3,0),""))</f>
        <v/>
      </c>
      <c r="J199" s="72" t="n"/>
      <c r="K199" s="71" t="n"/>
      <c r="L199" s="74" t="n"/>
      <c r="M199" s="74" t="n"/>
      <c r="N199" s="148">
        <f>IF(OR($E199="",$L199=""),"",IFERROR(($L199-IF($M199="",0,$M199)*IFERROR(VLOOKUP($K199,BasketTbl,4,0),IFERROR(INDEX(BasketTbl,MATCH($K199,BasketCodeCol,0),4),VLOOKUP("P01",ParamTbl,2,0))))*(1-IF(VLOOKUP($E199,OpTbl,3,0)="خرید",VLOOKUP("P02",ParamTbl,2,0),0)/100),""))</f>
        <v/>
      </c>
      <c r="O199" s="74" t="n"/>
      <c r="P199" s="76">
        <f>IF(OR($E199="",$L199=""),"",IFERROR(IF(VLOOKUP($E199,OpTbl,6,0)="وزن",ROUND($N199*$O199,-3),IF(VLOOKUP($E199,OpTbl,6,0)="مبلغ",ROUND($L199*$O199,-3),0)),""))</f>
        <v/>
      </c>
      <c r="Q199" s="74" t="n"/>
      <c r="R199" s="71" t="n"/>
      <c r="S199" s="77">
        <f>IF($E199="","",IF($AI199="⚠","⚠ ناتراز",IF(AND(IFERROR(VLOOKUP($E199,OpTbl,4,0),"")="بله",$L199=""),"⚠ وزن",IF(AND(IFERROR(VLOOKUP($E199,OpTbl,5,0),"")="بله",$U199=""),"⚠ حساب",IF(AND(IFERROR(VLOOKUP($E199,OpTbl,6,0),"")="مبلغ",$Q199=""),"⚠ مبلغ","✓")))))</f>
        <v/>
      </c>
      <c r="T199" s="72" t="n"/>
      <c r="U199" s="70">
        <f>IF($E199="","",IFERROR(IF(VLOOKUP($E199,OpTbl,14,0)&lt;&gt;"",VLOOKUP($E199,OpTbl,14,0),$G199),""))</f>
        <v/>
      </c>
      <c r="V199" s="76">
        <f>IF(OR($AJ199="",$AJ199=0,$AL199&lt;&gt;"بدهکار"),"",$AJ199)</f>
        <v/>
      </c>
      <c r="W199" s="76">
        <f>IF(OR($AJ199="",$AJ199=0,$AL199&lt;&gt;"بستانکار"),"",$AJ199)</f>
        <v/>
      </c>
      <c r="X199" s="70">
        <f>IF($E199="","",IFERROR(VLOOKUP($E199,OpTbl,8,0),""))</f>
        <v/>
      </c>
      <c r="Y199" s="76">
        <f>IF(OR($X199="",$AJ199="",$AJ199=0,$AM199&lt;&gt;"بدهکار"),"",$AJ199)</f>
        <v/>
      </c>
      <c r="Z199" s="76">
        <f>IF(OR($X199="",$AJ199="",$AJ199=0,$AM199&lt;&gt;"بستانکار"),"",$AJ199)</f>
        <v/>
      </c>
      <c r="AA199" s="70">
        <f>IF(OR($E199="",$AN199="—",$AN199=""),"",IFERROR(VLOOKUP($E199,OpTbl,12,0),""))</f>
        <v/>
      </c>
      <c r="AB199" s="76">
        <f>IF(OR($AA199="",$Q199="",$Q199=0,$AN199&lt;&gt;"بدهکار"),"",$Q199)</f>
        <v/>
      </c>
      <c r="AC199" s="76">
        <f>IF(OR($AA199="",$Q199="",$Q199=0,$AN199&lt;&gt;"بستانکار"),"",$Q199)</f>
        <v/>
      </c>
      <c r="AD199" s="70">
        <f>IF($AA199="","",IFERROR(VLOOKUP($E199,OpTbl,13,0),""))</f>
        <v/>
      </c>
      <c r="AE199" s="76">
        <f>IF(OR($AD199="",$Q199="",$Q199=0,$AN199&lt;&gt;"بستانکار"),"",$Q199)</f>
        <v/>
      </c>
      <c r="AF199" s="76">
        <f>IF(OR($AD199="",$Q199="",$Q199=0,$AN199&lt;&gt;"بدهکار"),"",$Q199)</f>
        <v/>
      </c>
      <c r="AG199" s="76">
        <f>SUM($V199,$Y199,$AB199,$AE199)</f>
        <v/>
      </c>
      <c r="AH199" s="76">
        <f>SUM($W199,$Z199,$AC199,$AF199)</f>
        <v/>
      </c>
      <c r="AI199" s="70">
        <f>IF($E199="","",IF(ROUND($AG199-$AH199,0)=0,"✓","⚠"))</f>
        <v/>
      </c>
      <c r="AJ199" s="76">
        <f>IF(OR($E199="",$U199=""),"",IFERROR(IF(VLOOKUP($E199,OpTbl,6,0)="وزن",IF($P199="",0,$P199),IF(VLOOKUP($E199,OpTbl,6,0)="مبلغ",IF(AND($Q199&lt;&gt;"",$Q199&lt;&gt;0),$Q199,$P199),0))+IF(VLOOKUP($E199,OpTbl,10,0)="افزودن",IF($Q199="",0,$Q199),0),0))</f>
        <v/>
      </c>
      <c r="AK199" s="70">
        <f>IF($E199="","",IFERROR(VLOOKUP($E199,OpTbl,10,0),""))</f>
        <v/>
      </c>
      <c r="AL199" s="70">
        <f>IF(OR($E199="",$U199=""),"",IFERROR(IF(VLOOKUP($E199,OpTbl,7,0)="خودکار",$R199,VLOOKUP($E199,OpTbl,7,0)),""))</f>
        <v/>
      </c>
      <c r="AM199" s="70">
        <f>IF(OR($E199="",$X199=""),"",IFERROR(IF(VLOOKUP($E199,OpTbl,9,0)="خودکار",IF($AL199="بدهکار","بستانکار",IF($AL199="بستانکار","بدهکار","")),VLOOKUP($E199,OpTbl,9,0)),""))</f>
        <v/>
      </c>
      <c r="AN199" s="70">
        <f>IF($E199="","",IFERROR(VLOOKUP($E199,OpTbl,11,0),""))</f>
        <v/>
      </c>
      <c r="AO199" s="70">
        <f>IF($B199="","",MID($B199,6,2))</f>
        <v/>
      </c>
      <c r="AP199" s="76">
        <f>IF($B199="",0,1)</f>
        <v/>
      </c>
    </row>
    <row r="200" ht="21.75" customHeight="1">
      <c r="A200" s="70">
        <f>IF($B200="","",COUNTA($B$10:$B200))</f>
        <v/>
      </c>
      <c r="B200" s="71" t="n"/>
      <c r="C200" s="71" t="n"/>
      <c r="D200" s="71" t="n"/>
      <c r="E200" s="71" t="n"/>
      <c r="F200" s="70">
        <f>IF($E200="","",IFERROR(VLOOKUP($E200,OpTbl,2,0),""))</f>
        <v/>
      </c>
      <c r="G200" s="71" t="n"/>
      <c r="H200" s="73">
        <f>IF($U200="","",IFERROR(VLOOKUP($U200,AcctTbl,2,0),"کد ناشناخته"))</f>
        <v/>
      </c>
      <c r="I200" s="70">
        <f>IF($U200="","",IFERROR(VLOOKUP($U200,AcctTbl,3,0),""))</f>
        <v/>
      </c>
      <c r="J200" s="72" t="n"/>
      <c r="K200" s="71" t="n"/>
      <c r="L200" s="74" t="n"/>
      <c r="M200" s="74" t="n"/>
      <c r="N200" s="148">
        <f>IF(OR($E200="",$L200=""),"",IFERROR(($L200-IF($M200="",0,$M200)*IFERROR(VLOOKUP($K200,BasketTbl,4,0),IFERROR(INDEX(BasketTbl,MATCH($K200,BasketCodeCol,0),4),VLOOKUP("P01",ParamTbl,2,0))))*(1-IF(VLOOKUP($E200,OpTbl,3,0)="خرید",VLOOKUP("P02",ParamTbl,2,0),0)/100),""))</f>
        <v/>
      </c>
      <c r="O200" s="74" t="n"/>
      <c r="P200" s="76">
        <f>IF(OR($E200="",$L200=""),"",IFERROR(IF(VLOOKUP($E200,OpTbl,6,0)="وزن",ROUND($N200*$O200,-3),IF(VLOOKUP($E200,OpTbl,6,0)="مبلغ",ROUND($L200*$O200,-3),0)),""))</f>
        <v/>
      </c>
      <c r="Q200" s="74" t="n"/>
      <c r="R200" s="71" t="n"/>
      <c r="S200" s="77">
        <f>IF($E200="","",IF($AI200="⚠","⚠ ناتراز",IF(AND(IFERROR(VLOOKUP($E200,OpTbl,4,0),"")="بله",$L200=""),"⚠ وزن",IF(AND(IFERROR(VLOOKUP($E200,OpTbl,5,0),"")="بله",$U200=""),"⚠ حساب",IF(AND(IFERROR(VLOOKUP($E200,OpTbl,6,0),"")="مبلغ",$Q200=""),"⚠ مبلغ","✓")))))</f>
        <v/>
      </c>
      <c r="T200" s="72" t="n"/>
      <c r="U200" s="70">
        <f>IF($E200="","",IFERROR(IF(VLOOKUP($E200,OpTbl,14,0)&lt;&gt;"",VLOOKUP($E200,OpTbl,14,0),$G200),""))</f>
        <v/>
      </c>
      <c r="V200" s="76">
        <f>IF(OR($AJ200="",$AJ200=0,$AL200&lt;&gt;"بدهکار"),"",$AJ200)</f>
        <v/>
      </c>
      <c r="W200" s="76">
        <f>IF(OR($AJ200="",$AJ200=0,$AL200&lt;&gt;"بستانکار"),"",$AJ200)</f>
        <v/>
      </c>
      <c r="X200" s="70">
        <f>IF($E200="","",IFERROR(VLOOKUP($E200,OpTbl,8,0),""))</f>
        <v/>
      </c>
      <c r="Y200" s="76">
        <f>IF(OR($X200="",$AJ200="",$AJ200=0,$AM200&lt;&gt;"بدهکار"),"",$AJ200)</f>
        <v/>
      </c>
      <c r="Z200" s="76">
        <f>IF(OR($X200="",$AJ200="",$AJ200=0,$AM200&lt;&gt;"بستانکار"),"",$AJ200)</f>
        <v/>
      </c>
      <c r="AA200" s="70">
        <f>IF(OR($E200="",$AN200="—",$AN200=""),"",IFERROR(VLOOKUP($E200,OpTbl,12,0),""))</f>
        <v/>
      </c>
      <c r="AB200" s="76">
        <f>IF(OR($AA200="",$Q200="",$Q200=0,$AN200&lt;&gt;"بدهکار"),"",$Q200)</f>
        <v/>
      </c>
      <c r="AC200" s="76">
        <f>IF(OR($AA200="",$Q200="",$Q200=0,$AN200&lt;&gt;"بستانکار"),"",$Q200)</f>
        <v/>
      </c>
      <c r="AD200" s="70">
        <f>IF($AA200="","",IFERROR(VLOOKUP($E200,OpTbl,13,0),""))</f>
        <v/>
      </c>
      <c r="AE200" s="76">
        <f>IF(OR($AD200="",$Q200="",$Q200=0,$AN200&lt;&gt;"بستانکار"),"",$Q200)</f>
        <v/>
      </c>
      <c r="AF200" s="76">
        <f>IF(OR($AD200="",$Q200="",$Q200=0,$AN200&lt;&gt;"بدهکار"),"",$Q200)</f>
        <v/>
      </c>
      <c r="AG200" s="76">
        <f>SUM($V200,$Y200,$AB200,$AE200)</f>
        <v/>
      </c>
      <c r="AH200" s="76">
        <f>SUM($W200,$Z200,$AC200,$AF200)</f>
        <v/>
      </c>
      <c r="AI200" s="70">
        <f>IF($E200="","",IF(ROUND($AG200-$AH200,0)=0,"✓","⚠"))</f>
        <v/>
      </c>
      <c r="AJ200" s="76">
        <f>IF(OR($E200="",$U200=""),"",IFERROR(IF(VLOOKUP($E200,OpTbl,6,0)="وزن",IF($P200="",0,$P200),IF(VLOOKUP($E200,OpTbl,6,0)="مبلغ",IF(AND($Q200&lt;&gt;"",$Q200&lt;&gt;0),$Q200,$P200),0))+IF(VLOOKUP($E200,OpTbl,10,0)="افزودن",IF($Q200="",0,$Q200),0),0))</f>
        <v/>
      </c>
      <c r="AK200" s="70">
        <f>IF($E200="","",IFERROR(VLOOKUP($E200,OpTbl,10,0),""))</f>
        <v/>
      </c>
      <c r="AL200" s="70">
        <f>IF(OR($E200="",$U200=""),"",IFERROR(IF(VLOOKUP($E200,OpTbl,7,0)="خودکار",$R200,VLOOKUP($E200,OpTbl,7,0)),""))</f>
        <v/>
      </c>
      <c r="AM200" s="70">
        <f>IF(OR($E200="",$X200=""),"",IFERROR(IF(VLOOKUP($E200,OpTbl,9,0)="خودکار",IF($AL200="بدهکار","بستانکار",IF($AL200="بستانکار","بدهکار","")),VLOOKUP($E200,OpTbl,9,0)),""))</f>
        <v/>
      </c>
      <c r="AN200" s="70">
        <f>IF($E200="","",IFERROR(VLOOKUP($E200,OpTbl,11,0),""))</f>
        <v/>
      </c>
      <c r="AO200" s="70">
        <f>IF($B200="","",MID($B200,6,2))</f>
        <v/>
      </c>
      <c r="AP200" s="76">
        <f>IF($B200="",0,1)</f>
        <v/>
      </c>
    </row>
    <row r="201" ht="21.75" customHeight="1">
      <c r="A201" s="70">
        <f>IF($B201="","",COUNTA($B$10:$B201))</f>
        <v/>
      </c>
      <c r="B201" s="71" t="n"/>
      <c r="C201" s="71" t="n"/>
      <c r="D201" s="71" t="n"/>
      <c r="E201" s="71" t="n"/>
      <c r="F201" s="70">
        <f>IF($E201="","",IFERROR(VLOOKUP($E201,OpTbl,2,0),""))</f>
        <v/>
      </c>
      <c r="G201" s="71" t="n"/>
      <c r="H201" s="73">
        <f>IF($U201="","",IFERROR(VLOOKUP($U201,AcctTbl,2,0),"کد ناشناخته"))</f>
        <v/>
      </c>
      <c r="I201" s="70">
        <f>IF($U201="","",IFERROR(VLOOKUP($U201,AcctTbl,3,0),""))</f>
        <v/>
      </c>
      <c r="J201" s="72" t="n"/>
      <c r="K201" s="71" t="n"/>
      <c r="L201" s="74" t="n"/>
      <c r="M201" s="74" t="n"/>
      <c r="N201" s="148">
        <f>IF(OR($E201="",$L201=""),"",IFERROR(($L201-IF($M201="",0,$M201)*IFERROR(VLOOKUP($K201,BasketTbl,4,0),IFERROR(INDEX(BasketTbl,MATCH($K201,BasketCodeCol,0),4),VLOOKUP("P01",ParamTbl,2,0))))*(1-IF(VLOOKUP($E201,OpTbl,3,0)="خرید",VLOOKUP("P02",ParamTbl,2,0),0)/100),""))</f>
        <v/>
      </c>
      <c r="O201" s="74" t="n"/>
      <c r="P201" s="76">
        <f>IF(OR($E201="",$L201=""),"",IFERROR(IF(VLOOKUP($E201,OpTbl,6,0)="وزن",ROUND($N201*$O201,-3),IF(VLOOKUP($E201,OpTbl,6,0)="مبلغ",ROUND($L201*$O201,-3),0)),""))</f>
        <v/>
      </c>
      <c r="Q201" s="74" t="n"/>
      <c r="R201" s="71" t="n"/>
      <c r="S201" s="77">
        <f>IF($E201="","",IF($AI201="⚠","⚠ ناتراز",IF(AND(IFERROR(VLOOKUP($E201,OpTbl,4,0),"")="بله",$L201=""),"⚠ وزن",IF(AND(IFERROR(VLOOKUP($E201,OpTbl,5,0),"")="بله",$U201=""),"⚠ حساب",IF(AND(IFERROR(VLOOKUP($E201,OpTbl,6,0),"")="مبلغ",$Q201=""),"⚠ مبلغ","✓")))))</f>
        <v/>
      </c>
      <c r="T201" s="72" t="n"/>
      <c r="U201" s="70">
        <f>IF($E201="","",IFERROR(IF(VLOOKUP($E201,OpTbl,14,0)&lt;&gt;"",VLOOKUP($E201,OpTbl,14,0),$G201),""))</f>
        <v/>
      </c>
      <c r="V201" s="76">
        <f>IF(OR($AJ201="",$AJ201=0,$AL201&lt;&gt;"بدهکار"),"",$AJ201)</f>
        <v/>
      </c>
      <c r="W201" s="76">
        <f>IF(OR($AJ201="",$AJ201=0,$AL201&lt;&gt;"بستانکار"),"",$AJ201)</f>
        <v/>
      </c>
      <c r="X201" s="70">
        <f>IF($E201="","",IFERROR(VLOOKUP($E201,OpTbl,8,0),""))</f>
        <v/>
      </c>
      <c r="Y201" s="76">
        <f>IF(OR($X201="",$AJ201="",$AJ201=0,$AM201&lt;&gt;"بدهکار"),"",$AJ201)</f>
        <v/>
      </c>
      <c r="Z201" s="76">
        <f>IF(OR($X201="",$AJ201="",$AJ201=0,$AM201&lt;&gt;"بستانکار"),"",$AJ201)</f>
        <v/>
      </c>
      <c r="AA201" s="70">
        <f>IF(OR($E201="",$AN201="—",$AN201=""),"",IFERROR(VLOOKUP($E201,OpTbl,12,0),""))</f>
        <v/>
      </c>
      <c r="AB201" s="76">
        <f>IF(OR($AA201="",$Q201="",$Q201=0,$AN201&lt;&gt;"بدهکار"),"",$Q201)</f>
        <v/>
      </c>
      <c r="AC201" s="76">
        <f>IF(OR($AA201="",$Q201="",$Q201=0,$AN201&lt;&gt;"بستانکار"),"",$Q201)</f>
        <v/>
      </c>
      <c r="AD201" s="70">
        <f>IF($AA201="","",IFERROR(VLOOKUP($E201,OpTbl,13,0),""))</f>
        <v/>
      </c>
      <c r="AE201" s="76">
        <f>IF(OR($AD201="",$Q201="",$Q201=0,$AN201&lt;&gt;"بستانکار"),"",$Q201)</f>
        <v/>
      </c>
      <c r="AF201" s="76">
        <f>IF(OR($AD201="",$Q201="",$Q201=0,$AN201&lt;&gt;"بدهکار"),"",$Q201)</f>
        <v/>
      </c>
      <c r="AG201" s="76">
        <f>SUM($V201,$Y201,$AB201,$AE201)</f>
        <v/>
      </c>
      <c r="AH201" s="76">
        <f>SUM($W201,$Z201,$AC201,$AF201)</f>
        <v/>
      </c>
      <c r="AI201" s="70">
        <f>IF($E201="","",IF(ROUND($AG201-$AH201,0)=0,"✓","⚠"))</f>
        <v/>
      </c>
      <c r="AJ201" s="76">
        <f>IF(OR($E201="",$U201=""),"",IFERROR(IF(VLOOKUP($E201,OpTbl,6,0)="وزن",IF($P201="",0,$P201),IF(VLOOKUP($E201,OpTbl,6,0)="مبلغ",IF(AND($Q201&lt;&gt;"",$Q201&lt;&gt;0),$Q201,$P201),0))+IF(VLOOKUP($E201,OpTbl,10,0)="افزودن",IF($Q201="",0,$Q201),0),0))</f>
        <v/>
      </c>
      <c r="AK201" s="70">
        <f>IF($E201="","",IFERROR(VLOOKUP($E201,OpTbl,10,0),""))</f>
        <v/>
      </c>
      <c r="AL201" s="70">
        <f>IF(OR($E201="",$U201=""),"",IFERROR(IF(VLOOKUP($E201,OpTbl,7,0)="خودکار",$R201,VLOOKUP($E201,OpTbl,7,0)),""))</f>
        <v/>
      </c>
      <c r="AM201" s="70">
        <f>IF(OR($E201="",$X201=""),"",IFERROR(IF(VLOOKUP($E201,OpTbl,9,0)="خودکار",IF($AL201="بدهکار","بستانکار",IF($AL201="بستانکار","بدهکار","")),VLOOKUP($E201,OpTbl,9,0)),""))</f>
        <v/>
      </c>
      <c r="AN201" s="70">
        <f>IF($E201="","",IFERROR(VLOOKUP($E201,OpTbl,11,0),""))</f>
        <v/>
      </c>
      <c r="AO201" s="70">
        <f>IF($B201="","",MID($B201,6,2))</f>
        <v/>
      </c>
      <c r="AP201" s="76">
        <f>IF($B201="",0,1)</f>
        <v/>
      </c>
    </row>
    <row r="202" ht="21.75" customHeight="1">
      <c r="A202" s="70">
        <f>IF($B202="","",COUNTA($B$10:$B202))</f>
        <v/>
      </c>
      <c r="B202" s="71" t="n"/>
      <c r="C202" s="71" t="n"/>
      <c r="D202" s="71" t="n"/>
      <c r="E202" s="71" t="n"/>
      <c r="F202" s="70">
        <f>IF($E202="","",IFERROR(VLOOKUP($E202,OpTbl,2,0),""))</f>
        <v/>
      </c>
      <c r="G202" s="71" t="n"/>
      <c r="H202" s="73">
        <f>IF($U202="","",IFERROR(VLOOKUP($U202,AcctTbl,2,0),"کد ناشناخته"))</f>
        <v/>
      </c>
      <c r="I202" s="70">
        <f>IF($U202="","",IFERROR(VLOOKUP($U202,AcctTbl,3,0),""))</f>
        <v/>
      </c>
      <c r="J202" s="72" t="n"/>
      <c r="K202" s="71" t="n"/>
      <c r="L202" s="74" t="n"/>
      <c r="M202" s="74" t="n"/>
      <c r="N202" s="148">
        <f>IF(OR($E202="",$L202=""),"",IFERROR(($L202-IF($M202="",0,$M202)*IFERROR(VLOOKUP($K202,BasketTbl,4,0),IFERROR(INDEX(BasketTbl,MATCH($K202,BasketCodeCol,0),4),VLOOKUP("P01",ParamTbl,2,0))))*(1-IF(VLOOKUP($E202,OpTbl,3,0)="خرید",VLOOKUP("P02",ParamTbl,2,0),0)/100),""))</f>
        <v/>
      </c>
      <c r="O202" s="74" t="n"/>
      <c r="P202" s="76">
        <f>IF(OR($E202="",$L202=""),"",IFERROR(IF(VLOOKUP($E202,OpTbl,6,0)="وزن",ROUND($N202*$O202,-3),IF(VLOOKUP($E202,OpTbl,6,0)="مبلغ",ROUND($L202*$O202,-3),0)),""))</f>
        <v/>
      </c>
      <c r="Q202" s="74" t="n"/>
      <c r="R202" s="71" t="n"/>
      <c r="S202" s="77">
        <f>IF($E202="","",IF($AI202="⚠","⚠ ناتراز",IF(AND(IFERROR(VLOOKUP($E202,OpTbl,4,0),"")="بله",$L202=""),"⚠ وزن",IF(AND(IFERROR(VLOOKUP($E202,OpTbl,5,0),"")="بله",$U202=""),"⚠ حساب",IF(AND(IFERROR(VLOOKUP($E202,OpTbl,6,0),"")="مبلغ",$Q202=""),"⚠ مبلغ","✓")))))</f>
        <v/>
      </c>
      <c r="T202" s="72" t="n"/>
      <c r="U202" s="70">
        <f>IF($E202="","",IFERROR(IF(VLOOKUP($E202,OpTbl,14,0)&lt;&gt;"",VLOOKUP($E202,OpTbl,14,0),$G202),""))</f>
        <v/>
      </c>
      <c r="V202" s="76">
        <f>IF(OR($AJ202="",$AJ202=0,$AL202&lt;&gt;"بدهکار"),"",$AJ202)</f>
        <v/>
      </c>
      <c r="W202" s="76">
        <f>IF(OR($AJ202="",$AJ202=0,$AL202&lt;&gt;"بستانکار"),"",$AJ202)</f>
        <v/>
      </c>
      <c r="X202" s="70">
        <f>IF($E202="","",IFERROR(VLOOKUP($E202,OpTbl,8,0),""))</f>
        <v/>
      </c>
      <c r="Y202" s="76">
        <f>IF(OR($X202="",$AJ202="",$AJ202=0,$AM202&lt;&gt;"بدهکار"),"",$AJ202)</f>
        <v/>
      </c>
      <c r="Z202" s="76">
        <f>IF(OR($X202="",$AJ202="",$AJ202=0,$AM202&lt;&gt;"بستانکار"),"",$AJ202)</f>
        <v/>
      </c>
      <c r="AA202" s="70">
        <f>IF(OR($E202="",$AN202="—",$AN202=""),"",IFERROR(VLOOKUP($E202,OpTbl,12,0),""))</f>
        <v/>
      </c>
      <c r="AB202" s="76">
        <f>IF(OR($AA202="",$Q202="",$Q202=0,$AN202&lt;&gt;"بدهکار"),"",$Q202)</f>
        <v/>
      </c>
      <c r="AC202" s="76">
        <f>IF(OR($AA202="",$Q202="",$Q202=0,$AN202&lt;&gt;"بستانکار"),"",$Q202)</f>
        <v/>
      </c>
      <c r="AD202" s="70">
        <f>IF($AA202="","",IFERROR(VLOOKUP($E202,OpTbl,13,0),""))</f>
        <v/>
      </c>
      <c r="AE202" s="76">
        <f>IF(OR($AD202="",$Q202="",$Q202=0,$AN202&lt;&gt;"بستانکار"),"",$Q202)</f>
        <v/>
      </c>
      <c r="AF202" s="76">
        <f>IF(OR($AD202="",$Q202="",$Q202=0,$AN202&lt;&gt;"بدهکار"),"",$Q202)</f>
        <v/>
      </c>
      <c r="AG202" s="76">
        <f>SUM($V202,$Y202,$AB202,$AE202)</f>
        <v/>
      </c>
      <c r="AH202" s="76">
        <f>SUM($W202,$Z202,$AC202,$AF202)</f>
        <v/>
      </c>
      <c r="AI202" s="70">
        <f>IF($E202="","",IF(ROUND($AG202-$AH202,0)=0,"✓","⚠"))</f>
        <v/>
      </c>
      <c r="AJ202" s="76">
        <f>IF(OR($E202="",$U202=""),"",IFERROR(IF(VLOOKUP($E202,OpTbl,6,0)="وزن",IF($P202="",0,$P202),IF(VLOOKUP($E202,OpTbl,6,0)="مبلغ",IF(AND($Q202&lt;&gt;"",$Q202&lt;&gt;0),$Q202,$P202),0))+IF(VLOOKUP($E202,OpTbl,10,0)="افزودن",IF($Q202="",0,$Q202),0),0))</f>
        <v/>
      </c>
      <c r="AK202" s="70">
        <f>IF($E202="","",IFERROR(VLOOKUP($E202,OpTbl,10,0),""))</f>
        <v/>
      </c>
      <c r="AL202" s="70">
        <f>IF(OR($E202="",$U202=""),"",IFERROR(IF(VLOOKUP($E202,OpTbl,7,0)="خودکار",$R202,VLOOKUP($E202,OpTbl,7,0)),""))</f>
        <v/>
      </c>
      <c r="AM202" s="70">
        <f>IF(OR($E202="",$X202=""),"",IFERROR(IF(VLOOKUP($E202,OpTbl,9,0)="خودکار",IF($AL202="بدهکار","بستانکار",IF($AL202="بستانکار","بدهکار","")),VLOOKUP($E202,OpTbl,9,0)),""))</f>
        <v/>
      </c>
      <c r="AN202" s="70">
        <f>IF($E202="","",IFERROR(VLOOKUP($E202,OpTbl,11,0),""))</f>
        <v/>
      </c>
      <c r="AO202" s="70">
        <f>IF($B202="","",MID($B202,6,2))</f>
        <v/>
      </c>
      <c r="AP202" s="76">
        <f>IF($B202="",0,1)</f>
        <v/>
      </c>
    </row>
    <row r="203" ht="21.75" customHeight="1">
      <c r="A203" s="70">
        <f>IF($B203="","",COUNTA($B$10:$B203))</f>
        <v/>
      </c>
      <c r="B203" s="71" t="n"/>
      <c r="C203" s="71" t="n"/>
      <c r="D203" s="71" t="n"/>
      <c r="E203" s="71" t="n"/>
      <c r="F203" s="70">
        <f>IF($E203="","",IFERROR(VLOOKUP($E203,OpTbl,2,0),""))</f>
        <v/>
      </c>
      <c r="G203" s="71" t="n"/>
      <c r="H203" s="73">
        <f>IF($U203="","",IFERROR(VLOOKUP($U203,AcctTbl,2,0),"کد ناشناخته"))</f>
        <v/>
      </c>
      <c r="I203" s="70">
        <f>IF($U203="","",IFERROR(VLOOKUP($U203,AcctTbl,3,0),""))</f>
        <v/>
      </c>
      <c r="J203" s="72" t="n"/>
      <c r="K203" s="71" t="n"/>
      <c r="L203" s="74" t="n"/>
      <c r="M203" s="74" t="n"/>
      <c r="N203" s="148">
        <f>IF(OR($E203="",$L203=""),"",IFERROR(($L203-IF($M203="",0,$M203)*IFERROR(VLOOKUP($K203,BasketTbl,4,0),IFERROR(INDEX(BasketTbl,MATCH($K203,BasketCodeCol,0),4),VLOOKUP("P01",ParamTbl,2,0))))*(1-IF(VLOOKUP($E203,OpTbl,3,0)="خرید",VLOOKUP("P02",ParamTbl,2,0),0)/100),""))</f>
        <v/>
      </c>
      <c r="O203" s="74" t="n"/>
      <c r="P203" s="76">
        <f>IF(OR($E203="",$L203=""),"",IFERROR(IF(VLOOKUP($E203,OpTbl,6,0)="وزن",ROUND($N203*$O203,-3),IF(VLOOKUP($E203,OpTbl,6,0)="مبلغ",ROUND($L203*$O203,-3),0)),""))</f>
        <v/>
      </c>
      <c r="Q203" s="74" t="n"/>
      <c r="R203" s="71" t="n"/>
      <c r="S203" s="77">
        <f>IF($E203="","",IF($AI203="⚠","⚠ ناتراز",IF(AND(IFERROR(VLOOKUP($E203,OpTbl,4,0),"")="بله",$L203=""),"⚠ وزن",IF(AND(IFERROR(VLOOKUP($E203,OpTbl,5,0),"")="بله",$U203=""),"⚠ حساب",IF(AND(IFERROR(VLOOKUP($E203,OpTbl,6,0),"")="مبلغ",$Q203=""),"⚠ مبلغ","✓")))))</f>
        <v/>
      </c>
      <c r="T203" s="72" t="n"/>
      <c r="U203" s="70">
        <f>IF($E203="","",IFERROR(IF(VLOOKUP($E203,OpTbl,14,0)&lt;&gt;"",VLOOKUP($E203,OpTbl,14,0),$G203),""))</f>
        <v/>
      </c>
      <c r="V203" s="76">
        <f>IF(OR($AJ203="",$AJ203=0,$AL203&lt;&gt;"بدهکار"),"",$AJ203)</f>
        <v/>
      </c>
      <c r="W203" s="76">
        <f>IF(OR($AJ203="",$AJ203=0,$AL203&lt;&gt;"بستانکار"),"",$AJ203)</f>
        <v/>
      </c>
      <c r="X203" s="70">
        <f>IF($E203="","",IFERROR(VLOOKUP($E203,OpTbl,8,0),""))</f>
        <v/>
      </c>
      <c r="Y203" s="76">
        <f>IF(OR($X203="",$AJ203="",$AJ203=0,$AM203&lt;&gt;"بدهکار"),"",$AJ203)</f>
        <v/>
      </c>
      <c r="Z203" s="76">
        <f>IF(OR($X203="",$AJ203="",$AJ203=0,$AM203&lt;&gt;"بستانکار"),"",$AJ203)</f>
        <v/>
      </c>
      <c r="AA203" s="70">
        <f>IF(OR($E203="",$AN203="—",$AN203=""),"",IFERROR(VLOOKUP($E203,OpTbl,12,0),""))</f>
        <v/>
      </c>
      <c r="AB203" s="76">
        <f>IF(OR($AA203="",$Q203="",$Q203=0,$AN203&lt;&gt;"بدهکار"),"",$Q203)</f>
        <v/>
      </c>
      <c r="AC203" s="76">
        <f>IF(OR($AA203="",$Q203="",$Q203=0,$AN203&lt;&gt;"بستانکار"),"",$Q203)</f>
        <v/>
      </c>
      <c r="AD203" s="70">
        <f>IF($AA203="","",IFERROR(VLOOKUP($E203,OpTbl,13,0),""))</f>
        <v/>
      </c>
      <c r="AE203" s="76">
        <f>IF(OR($AD203="",$Q203="",$Q203=0,$AN203&lt;&gt;"بستانکار"),"",$Q203)</f>
        <v/>
      </c>
      <c r="AF203" s="76">
        <f>IF(OR($AD203="",$Q203="",$Q203=0,$AN203&lt;&gt;"بدهکار"),"",$Q203)</f>
        <v/>
      </c>
      <c r="AG203" s="76">
        <f>SUM($V203,$Y203,$AB203,$AE203)</f>
        <v/>
      </c>
      <c r="AH203" s="76">
        <f>SUM($W203,$Z203,$AC203,$AF203)</f>
        <v/>
      </c>
      <c r="AI203" s="70">
        <f>IF($E203="","",IF(ROUND($AG203-$AH203,0)=0,"✓","⚠"))</f>
        <v/>
      </c>
      <c r="AJ203" s="76">
        <f>IF(OR($E203="",$U203=""),"",IFERROR(IF(VLOOKUP($E203,OpTbl,6,0)="وزن",IF($P203="",0,$P203),IF(VLOOKUP($E203,OpTbl,6,0)="مبلغ",IF(AND($Q203&lt;&gt;"",$Q203&lt;&gt;0),$Q203,$P203),0))+IF(VLOOKUP($E203,OpTbl,10,0)="افزودن",IF($Q203="",0,$Q203),0),0))</f>
        <v/>
      </c>
      <c r="AK203" s="70">
        <f>IF($E203="","",IFERROR(VLOOKUP($E203,OpTbl,10,0),""))</f>
        <v/>
      </c>
      <c r="AL203" s="70">
        <f>IF(OR($E203="",$U203=""),"",IFERROR(IF(VLOOKUP($E203,OpTbl,7,0)="خودکار",$R203,VLOOKUP($E203,OpTbl,7,0)),""))</f>
        <v/>
      </c>
      <c r="AM203" s="70">
        <f>IF(OR($E203="",$X203=""),"",IFERROR(IF(VLOOKUP($E203,OpTbl,9,0)="خودکار",IF($AL203="بدهکار","بستانکار",IF($AL203="بستانکار","بدهکار","")),VLOOKUP($E203,OpTbl,9,0)),""))</f>
        <v/>
      </c>
      <c r="AN203" s="70">
        <f>IF($E203="","",IFERROR(VLOOKUP($E203,OpTbl,11,0),""))</f>
        <v/>
      </c>
      <c r="AO203" s="70">
        <f>IF($B203="","",MID($B203,6,2))</f>
        <v/>
      </c>
      <c r="AP203" s="76">
        <f>IF($B203="",0,1)</f>
        <v/>
      </c>
    </row>
    <row r="204" ht="21.75" customHeight="1">
      <c r="A204" s="70">
        <f>IF($B204="","",COUNTA($B$10:$B204))</f>
        <v/>
      </c>
      <c r="B204" s="71" t="n"/>
      <c r="C204" s="71" t="n"/>
      <c r="D204" s="71" t="n"/>
      <c r="E204" s="71" t="n"/>
      <c r="F204" s="70">
        <f>IF($E204="","",IFERROR(VLOOKUP($E204,OpTbl,2,0),""))</f>
        <v/>
      </c>
      <c r="G204" s="71" t="n"/>
      <c r="H204" s="73">
        <f>IF($U204="","",IFERROR(VLOOKUP($U204,AcctTbl,2,0),"کد ناشناخته"))</f>
        <v/>
      </c>
      <c r="I204" s="70">
        <f>IF($U204="","",IFERROR(VLOOKUP($U204,AcctTbl,3,0),""))</f>
        <v/>
      </c>
      <c r="J204" s="72" t="n"/>
      <c r="K204" s="71" t="n"/>
      <c r="L204" s="74" t="n"/>
      <c r="M204" s="74" t="n"/>
      <c r="N204" s="148">
        <f>IF(OR($E204="",$L204=""),"",IFERROR(($L204-IF($M204="",0,$M204)*IFERROR(VLOOKUP($K204,BasketTbl,4,0),IFERROR(INDEX(BasketTbl,MATCH($K204,BasketCodeCol,0),4),VLOOKUP("P01",ParamTbl,2,0))))*(1-IF(VLOOKUP($E204,OpTbl,3,0)="خرید",VLOOKUP("P02",ParamTbl,2,0),0)/100),""))</f>
        <v/>
      </c>
      <c r="O204" s="74" t="n"/>
      <c r="P204" s="76">
        <f>IF(OR($E204="",$L204=""),"",IFERROR(IF(VLOOKUP($E204,OpTbl,6,0)="وزن",ROUND($N204*$O204,-3),IF(VLOOKUP($E204,OpTbl,6,0)="مبلغ",ROUND($L204*$O204,-3),0)),""))</f>
        <v/>
      </c>
      <c r="Q204" s="74" t="n"/>
      <c r="R204" s="71" t="n"/>
      <c r="S204" s="77">
        <f>IF($E204="","",IF($AI204="⚠","⚠ ناتراز",IF(AND(IFERROR(VLOOKUP($E204,OpTbl,4,0),"")="بله",$L204=""),"⚠ وزن",IF(AND(IFERROR(VLOOKUP($E204,OpTbl,5,0),"")="بله",$U204=""),"⚠ حساب",IF(AND(IFERROR(VLOOKUP($E204,OpTbl,6,0),"")="مبلغ",$Q204=""),"⚠ مبلغ","✓")))))</f>
        <v/>
      </c>
      <c r="T204" s="72" t="n"/>
      <c r="U204" s="70">
        <f>IF($E204="","",IFERROR(IF(VLOOKUP($E204,OpTbl,14,0)&lt;&gt;"",VLOOKUP($E204,OpTbl,14,0),$G204),""))</f>
        <v/>
      </c>
      <c r="V204" s="76">
        <f>IF(OR($AJ204="",$AJ204=0,$AL204&lt;&gt;"بدهکار"),"",$AJ204)</f>
        <v/>
      </c>
      <c r="W204" s="76">
        <f>IF(OR($AJ204="",$AJ204=0,$AL204&lt;&gt;"بستانکار"),"",$AJ204)</f>
        <v/>
      </c>
      <c r="X204" s="70">
        <f>IF($E204="","",IFERROR(VLOOKUP($E204,OpTbl,8,0),""))</f>
        <v/>
      </c>
      <c r="Y204" s="76">
        <f>IF(OR($X204="",$AJ204="",$AJ204=0,$AM204&lt;&gt;"بدهکار"),"",$AJ204)</f>
        <v/>
      </c>
      <c r="Z204" s="76">
        <f>IF(OR($X204="",$AJ204="",$AJ204=0,$AM204&lt;&gt;"بستانکار"),"",$AJ204)</f>
        <v/>
      </c>
      <c r="AA204" s="70">
        <f>IF(OR($E204="",$AN204="—",$AN204=""),"",IFERROR(VLOOKUP($E204,OpTbl,12,0),""))</f>
        <v/>
      </c>
      <c r="AB204" s="76">
        <f>IF(OR($AA204="",$Q204="",$Q204=0,$AN204&lt;&gt;"بدهکار"),"",$Q204)</f>
        <v/>
      </c>
      <c r="AC204" s="76">
        <f>IF(OR($AA204="",$Q204="",$Q204=0,$AN204&lt;&gt;"بستانکار"),"",$Q204)</f>
        <v/>
      </c>
      <c r="AD204" s="70">
        <f>IF($AA204="","",IFERROR(VLOOKUP($E204,OpTbl,13,0),""))</f>
        <v/>
      </c>
      <c r="AE204" s="76">
        <f>IF(OR($AD204="",$Q204="",$Q204=0,$AN204&lt;&gt;"بستانکار"),"",$Q204)</f>
        <v/>
      </c>
      <c r="AF204" s="76">
        <f>IF(OR($AD204="",$Q204="",$Q204=0,$AN204&lt;&gt;"بدهکار"),"",$Q204)</f>
        <v/>
      </c>
      <c r="AG204" s="76">
        <f>SUM($V204,$Y204,$AB204,$AE204)</f>
        <v/>
      </c>
      <c r="AH204" s="76">
        <f>SUM($W204,$Z204,$AC204,$AF204)</f>
        <v/>
      </c>
      <c r="AI204" s="70">
        <f>IF($E204="","",IF(ROUND($AG204-$AH204,0)=0,"✓","⚠"))</f>
        <v/>
      </c>
      <c r="AJ204" s="76">
        <f>IF(OR($E204="",$U204=""),"",IFERROR(IF(VLOOKUP($E204,OpTbl,6,0)="وزن",IF($P204="",0,$P204),IF(VLOOKUP($E204,OpTbl,6,0)="مبلغ",IF(AND($Q204&lt;&gt;"",$Q204&lt;&gt;0),$Q204,$P204),0))+IF(VLOOKUP($E204,OpTbl,10,0)="افزودن",IF($Q204="",0,$Q204),0),0))</f>
        <v/>
      </c>
      <c r="AK204" s="70">
        <f>IF($E204="","",IFERROR(VLOOKUP($E204,OpTbl,10,0),""))</f>
        <v/>
      </c>
      <c r="AL204" s="70">
        <f>IF(OR($E204="",$U204=""),"",IFERROR(IF(VLOOKUP($E204,OpTbl,7,0)="خودکار",$R204,VLOOKUP($E204,OpTbl,7,0)),""))</f>
        <v/>
      </c>
      <c r="AM204" s="70">
        <f>IF(OR($E204="",$X204=""),"",IFERROR(IF(VLOOKUP($E204,OpTbl,9,0)="خودکار",IF($AL204="بدهکار","بستانکار",IF($AL204="بستانکار","بدهکار","")),VLOOKUP($E204,OpTbl,9,0)),""))</f>
        <v/>
      </c>
      <c r="AN204" s="70">
        <f>IF($E204="","",IFERROR(VLOOKUP($E204,OpTbl,11,0),""))</f>
        <v/>
      </c>
      <c r="AO204" s="70">
        <f>IF($B204="","",MID($B204,6,2))</f>
        <v/>
      </c>
      <c r="AP204" s="76">
        <f>IF($B204="",0,1)</f>
        <v/>
      </c>
    </row>
    <row r="205" ht="21.75" customHeight="1">
      <c r="A205" s="70">
        <f>IF($B205="","",COUNTA($B$10:$B205))</f>
        <v/>
      </c>
      <c r="B205" s="71" t="n"/>
      <c r="C205" s="71" t="n"/>
      <c r="D205" s="71" t="n"/>
      <c r="E205" s="71" t="n"/>
      <c r="F205" s="70">
        <f>IF($E205="","",IFERROR(VLOOKUP($E205,OpTbl,2,0),""))</f>
        <v/>
      </c>
      <c r="G205" s="71" t="n"/>
      <c r="H205" s="73">
        <f>IF($U205="","",IFERROR(VLOOKUP($U205,AcctTbl,2,0),"کد ناشناخته"))</f>
        <v/>
      </c>
      <c r="I205" s="70">
        <f>IF($U205="","",IFERROR(VLOOKUP($U205,AcctTbl,3,0),""))</f>
        <v/>
      </c>
      <c r="J205" s="72" t="n"/>
      <c r="K205" s="71" t="n"/>
      <c r="L205" s="74" t="n"/>
      <c r="M205" s="74" t="n"/>
      <c r="N205" s="148">
        <f>IF(OR($E205="",$L205=""),"",IFERROR(($L205-IF($M205="",0,$M205)*IFERROR(VLOOKUP($K205,BasketTbl,4,0),IFERROR(INDEX(BasketTbl,MATCH($K205,BasketCodeCol,0),4),VLOOKUP("P01",ParamTbl,2,0))))*(1-IF(VLOOKUP($E205,OpTbl,3,0)="خرید",VLOOKUP("P02",ParamTbl,2,0),0)/100),""))</f>
        <v/>
      </c>
      <c r="O205" s="74" t="n"/>
      <c r="P205" s="76">
        <f>IF(OR($E205="",$L205=""),"",IFERROR(IF(VLOOKUP($E205,OpTbl,6,0)="وزن",ROUND($N205*$O205,-3),IF(VLOOKUP($E205,OpTbl,6,0)="مبلغ",ROUND($L205*$O205,-3),0)),""))</f>
        <v/>
      </c>
      <c r="Q205" s="74" t="n"/>
      <c r="R205" s="71" t="n"/>
      <c r="S205" s="77">
        <f>IF($E205="","",IF($AI205="⚠","⚠ ناتراز",IF(AND(IFERROR(VLOOKUP($E205,OpTbl,4,0),"")="بله",$L205=""),"⚠ وزن",IF(AND(IFERROR(VLOOKUP($E205,OpTbl,5,0),"")="بله",$U205=""),"⚠ حساب",IF(AND(IFERROR(VLOOKUP($E205,OpTbl,6,0),"")="مبلغ",$Q205=""),"⚠ مبلغ","✓")))))</f>
        <v/>
      </c>
      <c r="T205" s="72" t="n"/>
      <c r="U205" s="70">
        <f>IF($E205="","",IFERROR(IF(VLOOKUP($E205,OpTbl,14,0)&lt;&gt;"",VLOOKUP($E205,OpTbl,14,0),$G205),""))</f>
        <v/>
      </c>
      <c r="V205" s="76">
        <f>IF(OR($AJ205="",$AJ205=0,$AL205&lt;&gt;"بدهکار"),"",$AJ205)</f>
        <v/>
      </c>
      <c r="W205" s="76">
        <f>IF(OR($AJ205="",$AJ205=0,$AL205&lt;&gt;"بستانکار"),"",$AJ205)</f>
        <v/>
      </c>
      <c r="X205" s="70">
        <f>IF($E205="","",IFERROR(VLOOKUP($E205,OpTbl,8,0),""))</f>
        <v/>
      </c>
      <c r="Y205" s="76">
        <f>IF(OR($X205="",$AJ205="",$AJ205=0,$AM205&lt;&gt;"بدهکار"),"",$AJ205)</f>
        <v/>
      </c>
      <c r="Z205" s="76">
        <f>IF(OR($X205="",$AJ205="",$AJ205=0,$AM205&lt;&gt;"بستانکار"),"",$AJ205)</f>
        <v/>
      </c>
      <c r="AA205" s="70">
        <f>IF(OR($E205="",$AN205="—",$AN205=""),"",IFERROR(VLOOKUP($E205,OpTbl,12,0),""))</f>
        <v/>
      </c>
      <c r="AB205" s="76">
        <f>IF(OR($AA205="",$Q205="",$Q205=0,$AN205&lt;&gt;"بدهکار"),"",$Q205)</f>
        <v/>
      </c>
      <c r="AC205" s="76">
        <f>IF(OR($AA205="",$Q205="",$Q205=0,$AN205&lt;&gt;"بستانکار"),"",$Q205)</f>
        <v/>
      </c>
      <c r="AD205" s="70">
        <f>IF($AA205="","",IFERROR(VLOOKUP($E205,OpTbl,13,0),""))</f>
        <v/>
      </c>
      <c r="AE205" s="76">
        <f>IF(OR($AD205="",$Q205="",$Q205=0,$AN205&lt;&gt;"بستانکار"),"",$Q205)</f>
        <v/>
      </c>
      <c r="AF205" s="76">
        <f>IF(OR($AD205="",$Q205="",$Q205=0,$AN205&lt;&gt;"بدهکار"),"",$Q205)</f>
        <v/>
      </c>
      <c r="AG205" s="76">
        <f>SUM($V205,$Y205,$AB205,$AE205)</f>
        <v/>
      </c>
      <c r="AH205" s="76">
        <f>SUM($W205,$Z205,$AC205,$AF205)</f>
        <v/>
      </c>
      <c r="AI205" s="70">
        <f>IF($E205="","",IF(ROUND($AG205-$AH205,0)=0,"✓","⚠"))</f>
        <v/>
      </c>
      <c r="AJ205" s="76">
        <f>IF(OR($E205="",$U205=""),"",IFERROR(IF(VLOOKUP($E205,OpTbl,6,0)="وزن",IF($P205="",0,$P205),IF(VLOOKUP($E205,OpTbl,6,0)="مبلغ",IF(AND($Q205&lt;&gt;"",$Q205&lt;&gt;0),$Q205,$P205),0))+IF(VLOOKUP($E205,OpTbl,10,0)="افزودن",IF($Q205="",0,$Q205),0),0))</f>
        <v/>
      </c>
      <c r="AK205" s="70">
        <f>IF($E205="","",IFERROR(VLOOKUP($E205,OpTbl,10,0),""))</f>
        <v/>
      </c>
      <c r="AL205" s="70">
        <f>IF(OR($E205="",$U205=""),"",IFERROR(IF(VLOOKUP($E205,OpTbl,7,0)="خودکار",$R205,VLOOKUP($E205,OpTbl,7,0)),""))</f>
        <v/>
      </c>
      <c r="AM205" s="70">
        <f>IF(OR($E205="",$X205=""),"",IFERROR(IF(VLOOKUP($E205,OpTbl,9,0)="خودکار",IF($AL205="بدهکار","بستانکار",IF($AL205="بستانکار","بدهکار","")),VLOOKUP($E205,OpTbl,9,0)),""))</f>
        <v/>
      </c>
      <c r="AN205" s="70">
        <f>IF($E205="","",IFERROR(VLOOKUP($E205,OpTbl,11,0),""))</f>
        <v/>
      </c>
      <c r="AO205" s="70">
        <f>IF($B205="","",MID($B205,6,2))</f>
        <v/>
      </c>
      <c r="AP205" s="76">
        <f>IF($B205="",0,1)</f>
        <v/>
      </c>
    </row>
    <row r="206" ht="21.75" customHeight="1">
      <c r="A206" s="70">
        <f>IF($B206="","",COUNTA($B$10:$B206))</f>
        <v/>
      </c>
      <c r="B206" s="71" t="n"/>
      <c r="C206" s="71" t="n"/>
      <c r="D206" s="71" t="n"/>
      <c r="E206" s="71" t="n"/>
      <c r="F206" s="70">
        <f>IF($E206="","",IFERROR(VLOOKUP($E206,OpTbl,2,0),""))</f>
        <v/>
      </c>
      <c r="G206" s="71" t="n"/>
      <c r="H206" s="73">
        <f>IF($U206="","",IFERROR(VLOOKUP($U206,AcctTbl,2,0),"کد ناشناخته"))</f>
        <v/>
      </c>
      <c r="I206" s="70">
        <f>IF($U206="","",IFERROR(VLOOKUP($U206,AcctTbl,3,0),""))</f>
        <v/>
      </c>
      <c r="J206" s="72" t="n"/>
      <c r="K206" s="71" t="n"/>
      <c r="L206" s="74" t="n"/>
      <c r="M206" s="74" t="n"/>
      <c r="N206" s="148">
        <f>IF(OR($E206="",$L206=""),"",IFERROR(($L206-IF($M206="",0,$M206)*IFERROR(VLOOKUP($K206,BasketTbl,4,0),IFERROR(INDEX(BasketTbl,MATCH($K206,BasketCodeCol,0),4),VLOOKUP("P01",ParamTbl,2,0))))*(1-IF(VLOOKUP($E206,OpTbl,3,0)="خرید",VLOOKUP("P02",ParamTbl,2,0),0)/100),""))</f>
        <v/>
      </c>
      <c r="O206" s="74" t="n"/>
      <c r="P206" s="76">
        <f>IF(OR($E206="",$L206=""),"",IFERROR(IF(VLOOKUP($E206,OpTbl,6,0)="وزن",ROUND($N206*$O206,-3),IF(VLOOKUP($E206,OpTbl,6,0)="مبلغ",ROUND($L206*$O206,-3),0)),""))</f>
        <v/>
      </c>
      <c r="Q206" s="74" t="n"/>
      <c r="R206" s="71" t="n"/>
      <c r="S206" s="77">
        <f>IF($E206="","",IF($AI206="⚠","⚠ ناتراز",IF(AND(IFERROR(VLOOKUP($E206,OpTbl,4,0),"")="بله",$L206=""),"⚠ وزن",IF(AND(IFERROR(VLOOKUP($E206,OpTbl,5,0),"")="بله",$U206=""),"⚠ حساب",IF(AND(IFERROR(VLOOKUP($E206,OpTbl,6,0),"")="مبلغ",$Q206=""),"⚠ مبلغ","✓")))))</f>
        <v/>
      </c>
      <c r="T206" s="72" t="n"/>
      <c r="U206" s="70">
        <f>IF($E206="","",IFERROR(IF(VLOOKUP($E206,OpTbl,14,0)&lt;&gt;"",VLOOKUP($E206,OpTbl,14,0),$G206),""))</f>
        <v/>
      </c>
      <c r="V206" s="76">
        <f>IF(OR($AJ206="",$AJ206=0,$AL206&lt;&gt;"بدهکار"),"",$AJ206)</f>
        <v/>
      </c>
      <c r="W206" s="76">
        <f>IF(OR($AJ206="",$AJ206=0,$AL206&lt;&gt;"بستانکار"),"",$AJ206)</f>
        <v/>
      </c>
      <c r="X206" s="70">
        <f>IF($E206="","",IFERROR(VLOOKUP($E206,OpTbl,8,0),""))</f>
        <v/>
      </c>
      <c r="Y206" s="76">
        <f>IF(OR($X206="",$AJ206="",$AJ206=0,$AM206&lt;&gt;"بدهکار"),"",$AJ206)</f>
        <v/>
      </c>
      <c r="Z206" s="76">
        <f>IF(OR($X206="",$AJ206="",$AJ206=0,$AM206&lt;&gt;"بستانکار"),"",$AJ206)</f>
        <v/>
      </c>
      <c r="AA206" s="70">
        <f>IF(OR($E206="",$AN206="—",$AN206=""),"",IFERROR(VLOOKUP($E206,OpTbl,12,0),""))</f>
        <v/>
      </c>
      <c r="AB206" s="76">
        <f>IF(OR($AA206="",$Q206="",$Q206=0,$AN206&lt;&gt;"بدهکار"),"",$Q206)</f>
        <v/>
      </c>
      <c r="AC206" s="76">
        <f>IF(OR($AA206="",$Q206="",$Q206=0,$AN206&lt;&gt;"بستانکار"),"",$Q206)</f>
        <v/>
      </c>
      <c r="AD206" s="70">
        <f>IF($AA206="","",IFERROR(VLOOKUP($E206,OpTbl,13,0),""))</f>
        <v/>
      </c>
      <c r="AE206" s="76">
        <f>IF(OR($AD206="",$Q206="",$Q206=0,$AN206&lt;&gt;"بستانکار"),"",$Q206)</f>
        <v/>
      </c>
      <c r="AF206" s="76">
        <f>IF(OR($AD206="",$Q206="",$Q206=0,$AN206&lt;&gt;"بدهکار"),"",$Q206)</f>
        <v/>
      </c>
      <c r="AG206" s="76">
        <f>SUM($V206,$Y206,$AB206,$AE206)</f>
        <v/>
      </c>
      <c r="AH206" s="76">
        <f>SUM($W206,$Z206,$AC206,$AF206)</f>
        <v/>
      </c>
      <c r="AI206" s="70">
        <f>IF($E206="","",IF(ROUND($AG206-$AH206,0)=0,"✓","⚠"))</f>
        <v/>
      </c>
      <c r="AJ206" s="76">
        <f>IF(OR($E206="",$U206=""),"",IFERROR(IF(VLOOKUP($E206,OpTbl,6,0)="وزن",IF($P206="",0,$P206),IF(VLOOKUP($E206,OpTbl,6,0)="مبلغ",IF(AND($Q206&lt;&gt;"",$Q206&lt;&gt;0),$Q206,$P206),0))+IF(VLOOKUP($E206,OpTbl,10,0)="افزودن",IF($Q206="",0,$Q206),0),0))</f>
        <v/>
      </c>
      <c r="AK206" s="70">
        <f>IF($E206="","",IFERROR(VLOOKUP($E206,OpTbl,10,0),""))</f>
        <v/>
      </c>
      <c r="AL206" s="70">
        <f>IF(OR($E206="",$U206=""),"",IFERROR(IF(VLOOKUP($E206,OpTbl,7,0)="خودکار",$R206,VLOOKUP($E206,OpTbl,7,0)),""))</f>
        <v/>
      </c>
      <c r="AM206" s="70">
        <f>IF(OR($E206="",$X206=""),"",IFERROR(IF(VLOOKUP($E206,OpTbl,9,0)="خودکار",IF($AL206="بدهکار","بستانکار",IF($AL206="بستانکار","بدهکار","")),VLOOKUP($E206,OpTbl,9,0)),""))</f>
        <v/>
      </c>
      <c r="AN206" s="70">
        <f>IF($E206="","",IFERROR(VLOOKUP($E206,OpTbl,11,0),""))</f>
        <v/>
      </c>
      <c r="AO206" s="70">
        <f>IF($B206="","",MID($B206,6,2))</f>
        <v/>
      </c>
      <c r="AP206" s="76">
        <f>IF($B206="",0,1)</f>
        <v/>
      </c>
    </row>
    <row r="207" ht="21.75" customHeight="1">
      <c r="A207" s="70">
        <f>IF($B207="","",COUNTA($B$10:$B207))</f>
        <v/>
      </c>
      <c r="B207" s="71" t="n"/>
      <c r="C207" s="71" t="n"/>
      <c r="D207" s="71" t="n"/>
      <c r="E207" s="71" t="n"/>
      <c r="F207" s="70">
        <f>IF($E207="","",IFERROR(VLOOKUP($E207,OpTbl,2,0),""))</f>
        <v/>
      </c>
      <c r="G207" s="71" t="n"/>
      <c r="H207" s="73">
        <f>IF($U207="","",IFERROR(VLOOKUP($U207,AcctTbl,2,0),"کد ناشناخته"))</f>
        <v/>
      </c>
      <c r="I207" s="70">
        <f>IF($U207="","",IFERROR(VLOOKUP($U207,AcctTbl,3,0),""))</f>
        <v/>
      </c>
      <c r="J207" s="72" t="n"/>
      <c r="K207" s="71" t="n"/>
      <c r="L207" s="74" t="n"/>
      <c r="M207" s="74" t="n"/>
      <c r="N207" s="148">
        <f>IF(OR($E207="",$L207=""),"",IFERROR(($L207-IF($M207="",0,$M207)*IFERROR(VLOOKUP($K207,BasketTbl,4,0),IFERROR(INDEX(BasketTbl,MATCH($K207,BasketCodeCol,0),4),VLOOKUP("P01",ParamTbl,2,0))))*(1-IF(VLOOKUP($E207,OpTbl,3,0)="خرید",VLOOKUP("P02",ParamTbl,2,0),0)/100),""))</f>
        <v/>
      </c>
      <c r="O207" s="74" t="n"/>
      <c r="P207" s="76">
        <f>IF(OR($E207="",$L207=""),"",IFERROR(IF(VLOOKUP($E207,OpTbl,6,0)="وزن",ROUND($N207*$O207,-3),IF(VLOOKUP($E207,OpTbl,6,0)="مبلغ",ROUND($L207*$O207,-3),0)),""))</f>
        <v/>
      </c>
      <c r="Q207" s="74" t="n"/>
      <c r="R207" s="71" t="n"/>
      <c r="S207" s="77">
        <f>IF($E207="","",IF($AI207="⚠","⚠ ناتراز",IF(AND(IFERROR(VLOOKUP($E207,OpTbl,4,0),"")="بله",$L207=""),"⚠ وزن",IF(AND(IFERROR(VLOOKUP($E207,OpTbl,5,0),"")="بله",$U207=""),"⚠ حساب",IF(AND(IFERROR(VLOOKUP($E207,OpTbl,6,0),"")="مبلغ",$Q207=""),"⚠ مبلغ","✓")))))</f>
        <v/>
      </c>
      <c r="T207" s="72" t="n"/>
      <c r="U207" s="70">
        <f>IF($E207="","",IFERROR(IF(VLOOKUP($E207,OpTbl,14,0)&lt;&gt;"",VLOOKUP($E207,OpTbl,14,0),$G207),""))</f>
        <v/>
      </c>
      <c r="V207" s="76">
        <f>IF(OR($AJ207="",$AJ207=0,$AL207&lt;&gt;"بدهکار"),"",$AJ207)</f>
        <v/>
      </c>
      <c r="W207" s="76">
        <f>IF(OR($AJ207="",$AJ207=0,$AL207&lt;&gt;"بستانکار"),"",$AJ207)</f>
        <v/>
      </c>
      <c r="X207" s="70">
        <f>IF($E207="","",IFERROR(VLOOKUP($E207,OpTbl,8,0),""))</f>
        <v/>
      </c>
      <c r="Y207" s="76">
        <f>IF(OR($X207="",$AJ207="",$AJ207=0,$AM207&lt;&gt;"بدهکار"),"",$AJ207)</f>
        <v/>
      </c>
      <c r="Z207" s="76">
        <f>IF(OR($X207="",$AJ207="",$AJ207=0,$AM207&lt;&gt;"بستانکار"),"",$AJ207)</f>
        <v/>
      </c>
      <c r="AA207" s="70">
        <f>IF(OR($E207="",$AN207="—",$AN207=""),"",IFERROR(VLOOKUP($E207,OpTbl,12,0),""))</f>
        <v/>
      </c>
      <c r="AB207" s="76">
        <f>IF(OR($AA207="",$Q207="",$Q207=0,$AN207&lt;&gt;"بدهکار"),"",$Q207)</f>
        <v/>
      </c>
      <c r="AC207" s="76">
        <f>IF(OR($AA207="",$Q207="",$Q207=0,$AN207&lt;&gt;"بستانکار"),"",$Q207)</f>
        <v/>
      </c>
      <c r="AD207" s="70">
        <f>IF($AA207="","",IFERROR(VLOOKUP($E207,OpTbl,13,0),""))</f>
        <v/>
      </c>
      <c r="AE207" s="76">
        <f>IF(OR($AD207="",$Q207="",$Q207=0,$AN207&lt;&gt;"بستانکار"),"",$Q207)</f>
        <v/>
      </c>
      <c r="AF207" s="76">
        <f>IF(OR($AD207="",$Q207="",$Q207=0,$AN207&lt;&gt;"بدهکار"),"",$Q207)</f>
        <v/>
      </c>
      <c r="AG207" s="76">
        <f>SUM($V207,$Y207,$AB207,$AE207)</f>
        <v/>
      </c>
      <c r="AH207" s="76">
        <f>SUM($W207,$Z207,$AC207,$AF207)</f>
        <v/>
      </c>
      <c r="AI207" s="70">
        <f>IF($E207="","",IF(ROUND($AG207-$AH207,0)=0,"✓","⚠"))</f>
        <v/>
      </c>
      <c r="AJ207" s="76">
        <f>IF(OR($E207="",$U207=""),"",IFERROR(IF(VLOOKUP($E207,OpTbl,6,0)="وزن",IF($P207="",0,$P207),IF(VLOOKUP($E207,OpTbl,6,0)="مبلغ",IF(AND($Q207&lt;&gt;"",$Q207&lt;&gt;0),$Q207,$P207),0))+IF(VLOOKUP($E207,OpTbl,10,0)="افزودن",IF($Q207="",0,$Q207),0),0))</f>
        <v/>
      </c>
      <c r="AK207" s="70">
        <f>IF($E207="","",IFERROR(VLOOKUP($E207,OpTbl,10,0),""))</f>
        <v/>
      </c>
      <c r="AL207" s="70">
        <f>IF(OR($E207="",$U207=""),"",IFERROR(IF(VLOOKUP($E207,OpTbl,7,0)="خودکار",$R207,VLOOKUP($E207,OpTbl,7,0)),""))</f>
        <v/>
      </c>
      <c r="AM207" s="70">
        <f>IF(OR($E207="",$X207=""),"",IFERROR(IF(VLOOKUP($E207,OpTbl,9,0)="خودکار",IF($AL207="بدهکار","بستانکار",IF($AL207="بستانکار","بدهکار","")),VLOOKUP($E207,OpTbl,9,0)),""))</f>
        <v/>
      </c>
      <c r="AN207" s="70">
        <f>IF($E207="","",IFERROR(VLOOKUP($E207,OpTbl,11,0),""))</f>
        <v/>
      </c>
      <c r="AO207" s="70">
        <f>IF($B207="","",MID($B207,6,2))</f>
        <v/>
      </c>
      <c r="AP207" s="76">
        <f>IF($B207="",0,1)</f>
        <v/>
      </c>
    </row>
    <row r="208" ht="21.75" customHeight="1">
      <c r="A208" s="70">
        <f>IF($B208="","",COUNTA($B$10:$B208))</f>
        <v/>
      </c>
      <c r="B208" s="71" t="n"/>
      <c r="C208" s="71" t="n"/>
      <c r="D208" s="71" t="n"/>
      <c r="E208" s="71" t="n"/>
      <c r="F208" s="70">
        <f>IF($E208="","",IFERROR(VLOOKUP($E208,OpTbl,2,0),""))</f>
        <v/>
      </c>
      <c r="G208" s="71" t="n"/>
      <c r="H208" s="73">
        <f>IF($U208="","",IFERROR(VLOOKUP($U208,AcctTbl,2,0),"کد ناشناخته"))</f>
        <v/>
      </c>
      <c r="I208" s="70">
        <f>IF($U208="","",IFERROR(VLOOKUP($U208,AcctTbl,3,0),""))</f>
        <v/>
      </c>
      <c r="J208" s="72" t="n"/>
      <c r="K208" s="71" t="n"/>
      <c r="L208" s="74" t="n"/>
      <c r="M208" s="74" t="n"/>
      <c r="N208" s="148">
        <f>IF(OR($E208="",$L208=""),"",IFERROR(($L208-IF($M208="",0,$M208)*IFERROR(VLOOKUP($K208,BasketTbl,4,0),IFERROR(INDEX(BasketTbl,MATCH($K208,BasketCodeCol,0),4),VLOOKUP("P01",ParamTbl,2,0))))*(1-IF(VLOOKUP($E208,OpTbl,3,0)="خرید",VLOOKUP("P02",ParamTbl,2,0),0)/100),""))</f>
        <v/>
      </c>
      <c r="O208" s="74" t="n"/>
      <c r="P208" s="76">
        <f>IF(OR($E208="",$L208=""),"",IFERROR(IF(VLOOKUP($E208,OpTbl,6,0)="وزن",ROUND($N208*$O208,-3),IF(VLOOKUP($E208,OpTbl,6,0)="مبلغ",ROUND($L208*$O208,-3),0)),""))</f>
        <v/>
      </c>
      <c r="Q208" s="74" t="n"/>
      <c r="R208" s="71" t="n"/>
      <c r="S208" s="77">
        <f>IF($E208="","",IF($AI208="⚠","⚠ ناتراز",IF(AND(IFERROR(VLOOKUP($E208,OpTbl,4,0),"")="بله",$L208=""),"⚠ وزن",IF(AND(IFERROR(VLOOKUP($E208,OpTbl,5,0),"")="بله",$U208=""),"⚠ حساب",IF(AND(IFERROR(VLOOKUP($E208,OpTbl,6,0),"")="مبلغ",$Q208=""),"⚠ مبلغ","✓")))))</f>
        <v/>
      </c>
      <c r="T208" s="72" t="n"/>
      <c r="U208" s="70">
        <f>IF($E208="","",IFERROR(IF(VLOOKUP($E208,OpTbl,14,0)&lt;&gt;"",VLOOKUP($E208,OpTbl,14,0),$G208),""))</f>
        <v/>
      </c>
      <c r="V208" s="76">
        <f>IF(OR($AJ208="",$AJ208=0,$AL208&lt;&gt;"بدهکار"),"",$AJ208)</f>
        <v/>
      </c>
      <c r="W208" s="76">
        <f>IF(OR($AJ208="",$AJ208=0,$AL208&lt;&gt;"بستانکار"),"",$AJ208)</f>
        <v/>
      </c>
      <c r="X208" s="70">
        <f>IF($E208="","",IFERROR(VLOOKUP($E208,OpTbl,8,0),""))</f>
        <v/>
      </c>
      <c r="Y208" s="76">
        <f>IF(OR($X208="",$AJ208="",$AJ208=0,$AM208&lt;&gt;"بدهکار"),"",$AJ208)</f>
        <v/>
      </c>
      <c r="Z208" s="76">
        <f>IF(OR($X208="",$AJ208="",$AJ208=0,$AM208&lt;&gt;"بستانکار"),"",$AJ208)</f>
        <v/>
      </c>
      <c r="AA208" s="70">
        <f>IF(OR($E208="",$AN208="—",$AN208=""),"",IFERROR(VLOOKUP($E208,OpTbl,12,0),""))</f>
        <v/>
      </c>
      <c r="AB208" s="76">
        <f>IF(OR($AA208="",$Q208="",$Q208=0,$AN208&lt;&gt;"بدهکار"),"",$Q208)</f>
        <v/>
      </c>
      <c r="AC208" s="76">
        <f>IF(OR($AA208="",$Q208="",$Q208=0,$AN208&lt;&gt;"بستانکار"),"",$Q208)</f>
        <v/>
      </c>
      <c r="AD208" s="70">
        <f>IF($AA208="","",IFERROR(VLOOKUP($E208,OpTbl,13,0),""))</f>
        <v/>
      </c>
      <c r="AE208" s="76">
        <f>IF(OR($AD208="",$Q208="",$Q208=0,$AN208&lt;&gt;"بستانکار"),"",$Q208)</f>
        <v/>
      </c>
      <c r="AF208" s="76">
        <f>IF(OR($AD208="",$Q208="",$Q208=0,$AN208&lt;&gt;"بدهکار"),"",$Q208)</f>
        <v/>
      </c>
      <c r="AG208" s="76">
        <f>SUM($V208,$Y208,$AB208,$AE208)</f>
        <v/>
      </c>
      <c r="AH208" s="76">
        <f>SUM($W208,$Z208,$AC208,$AF208)</f>
        <v/>
      </c>
      <c r="AI208" s="70">
        <f>IF($E208="","",IF(ROUND($AG208-$AH208,0)=0,"✓","⚠"))</f>
        <v/>
      </c>
      <c r="AJ208" s="76">
        <f>IF(OR($E208="",$U208=""),"",IFERROR(IF(VLOOKUP($E208,OpTbl,6,0)="وزن",IF($P208="",0,$P208),IF(VLOOKUP($E208,OpTbl,6,0)="مبلغ",IF(AND($Q208&lt;&gt;"",$Q208&lt;&gt;0),$Q208,$P208),0))+IF(VLOOKUP($E208,OpTbl,10,0)="افزودن",IF($Q208="",0,$Q208),0),0))</f>
        <v/>
      </c>
      <c r="AK208" s="70">
        <f>IF($E208="","",IFERROR(VLOOKUP($E208,OpTbl,10,0),""))</f>
        <v/>
      </c>
      <c r="AL208" s="70">
        <f>IF(OR($E208="",$U208=""),"",IFERROR(IF(VLOOKUP($E208,OpTbl,7,0)="خودکار",$R208,VLOOKUP($E208,OpTbl,7,0)),""))</f>
        <v/>
      </c>
      <c r="AM208" s="70">
        <f>IF(OR($E208="",$X208=""),"",IFERROR(IF(VLOOKUP($E208,OpTbl,9,0)="خودکار",IF($AL208="بدهکار","بستانکار",IF($AL208="بستانکار","بدهکار","")),VLOOKUP($E208,OpTbl,9,0)),""))</f>
        <v/>
      </c>
      <c r="AN208" s="70">
        <f>IF($E208="","",IFERROR(VLOOKUP($E208,OpTbl,11,0),""))</f>
        <v/>
      </c>
      <c r="AO208" s="70">
        <f>IF($B208="","",MID($B208,6,2))</f>
        <v/>
      </c>
      <c r="AP208" s="76">
        <f>IF($B208="",0,1)</f>
        <v/>
      </c>
    </row>
    <row r="209" ht="21.75" customHeight="1">
      <c r="A209" s="70">
        <f>IF($B209="","",COUNTA($B$10:$B209))</f>
        <v/>
      </c>
      <c r="B209" s="71" t="n"/>
      <c r="C209" s="71" t="n"/>
      <c r="D209" s="71" t="n"/>
      <c r="E209" s="71" t="n"/>
      <c r="F209" s="70">
        <f>IF($E209="","",IFERROR(VLOOKUP($E209,OpTbl,2,0),""))</f>
        <v/>
      </c>
      <c r="G209" s="71" t="n"/>
      <c r="H209" s="73">
        <f>IF($U209="","",IFERROR(VLOOKUP($U209,AcctTbl,2,0),"کد ناشناخته"))</f>
        <v/>
      </c>
      <c r="I209" s="70">
        <f>IF($U209="","",IFERROR(VLOOKUP($U209,AcctTbl,3,0),""))</f>
        <v/>
      </c>
      <c r="J209" s="72" t="n"/>
      <c r="K209" s="71" t="n"/>
      <c r="L209" s="74" t="n"/>
      <c r="M209" s="74" t="n"/>
      <c r="N209" s="148">
        <f>IF(OR($E209="",$L209=""),"",IFERROR(($L209-IF($M209="",0,$M209)*IFERROR(VLOOKUP($K209,BasketTbl,4,0),IFERROR(INDEX(BasketTbl,MATCH($K209,BasketCodeCol,0),4),VLOOKUP("P01",ParamTbl,2,0))))*(1-IF(VLOOKUP($E209,OpTbl,3,0)="خرید",VLOOKUP("P02",ParamTbl,2,0),0)/100),""))</f>
        <v/>
      </c>
      <c r="O209" s="74" t="n"/>
      <c r="P209" s="76">
        <f>IF(OR($E209="",$L209=""),"",IFERROR(IF(VLOOKUP($E209,OpTbl,6,0)="وزن",ROUND($N209*$O209,-3),IF(VLOOKUP($E209,OpTbl,6,0)="مبلغ",ROUND($L209*$O209,-3),0)),""))</f>
        <v/>
      </c>
      <c r="Q209" s="74" t="n"/>
      <c r="R209" s="71" t="n"/>
      <c r="S209" s="77">
        <f>IF($E209="","",IF($AI209="⚠","⚠ ناتراز",IF(AND(IFERROR(VLOOKUP($E209,OpTbl,4,0),"")="بله",$L209=""),"⚠ وزن",IF(AND(IFERROR(VLOOKUP($E209,OpTbl,5,0),"")="بله",$U209=""),"⚠ حساب",IF(AND(IFERROR(VLOOKUP($E209,OpTbl,6,0),"")="مبلغ",$Q209=""),"⚠ مبلغ","✓")))))</f>
        <v/>
      </c>
      <c r="T209" s="72" t="n"/>
      <c r="U209" s="70">
        <f>IF($E209="","",IFERROR(IF(VLOOKUP($E209,OpTbl,14,0)&lt;&gt;"",VLOOKUP($E209,OpTbl,14,0),$G209),""))</f>
        <v/>
      </c>
      <c r="V209" s="76">
        <f>IF(OR($AJ209="",$AJ209=0,$AL209&lt;&gt;"بدهکار"),"",$AJ209)</f>
        <v/>
      </c>
      <c r="W209" s="76">
        <f>IF(OR($AJ209="",$AJ209=0,$AL209&lt;&gt;"بستانکار"),"",$AJ209)</f>
        <v/>
      </c>
      <c r="X209" s="70">
        <f>IF($E209="","",IFERROR(VLOOKUP($E209,OpTbl,8,0),""))</f>
        <v/>
      </c>
      <c r="Y209" s="76">
        <f>IF(OR($X209="",$AJ209="",$AJ209=0,$AM209&lt;&gt;"بدهکار"),"",$AJ209)</f>
        <v/>
      </c>
      <c r="Z209" s="76">
        <f>IF(OR($X209="",$AJ209="",$AJ209=0,$AM209&lt;&gt;"بستانکار"),"",$AJ209)</f>
        <v/>
      </c>
      <c r="AA209" s="70">
        <f>IF(OR($E209="",$AN209="—",$AN209=""),"",IFERROR(VLOOKUP($E209,OpTbl,12,0),""))</f>
        <v/>
      </c>
      <c r="AB209" s="76">
        <f>IF(OR($AA209="",$Q209="",$Q209=0,$AN209&lt;&gt;"بدهکار"),"",$Q209)</f>
        <v/>
      </c>
      <c r="AC209" s="76">
        <f>IF(OR($AA209="",$Q209="",$Q209=0,$AN209&lt;&gt;"بستانکار"),"",$Q209)</f>
        <v/>
      </c>
      <c r="AD209" s="70">
        <f>IF($AA209="","",IFERROR(VLOOKUP($E209,OpTbl,13,0),""))</f>
        <v/>
      </c>
      <c r="AE209" s="76">
        <f>IF(OR($AD209="",$Q209="",$Q209=0,$AN209&lt;&gt;"بستانکار"),"",$Q209)</f>
        <v/>
      </c>
      <c r="AF209" s="76">
        <f>IF(OR($AD209="",$Q209="",$Q209=0,$AN209&lt;&gt;"بدهکار"),"",$Q209)</f>
        <v/>
      </c>
      <c r="AG209" s="76">
        <f>SUM($V209,$Y209,$AB209,$AE209)</f>
        <v/>
      </c>
      <c r="AH209" s="76">
        <f>SUM($W209,$Z209,$AC209,$AF209)</f>
        <v/>
      </c>
      <c r="AI209" s="70">
        <f>IF($E209="","",IF(ROUND($AG209-$AH209,0)=0,"✓","⚠"))</f>
        <v/>
      </c>
      <c r="AJ209" s="76">
        <f>IF(OR($E209="",$U209=""),"",IFERROR(IF(VLOOKUP($E209,OpTbl,6,0)="وزن",IF($P209="",0,$P209),IF(VLOOKUP($E209,OpTbl,6,0)="مبلغ",IF(AND($Q209&lt;&gt;"",$Q209&lt;&gt;0),$Q209,$P209),0))+IF(VLOOKUP($E209,OpTbl,10,0)="افزودن",IF($Q209="",0,$Q209),0),0))</f>
        <v/>
      </c>
      <c r="AK209" s="70">
        <f>IF($E209="","",IFERROR(VLOOKUP($E209,OpTbl,10,0),""))</f>
        <v/>
      </c>
      <c r="AL209" s="70">
        <f>IF(OR($E209="",$U209=""),"",IFERROR(IF(VLOOKUP($E209,OpTbl,7,0)="خودکار",$R209,VLOOKUP($E209,OpTbl,7,0)),""))</f>
        <v/>
      </c>
      <c r="AM209" s="70">
        <f>IF(OR($E209="",$X209=""),"",IFERROR(IF(VLOOKUP($E209,OpTbl,9,0)="خودکار",IF($AL209="بدهکار","بستانکار",IF($AL209="بستانکار","بدهکار","")),VLOOKUP($E209,OpTbl,9,0)),""))</f>
        <v/>
      </c>
      <c r="AN209" s="70">
        <f>IF($E209="","",IFERROR(VLOOKUP($E209,OpTbl,11,0),""))</f>
        <v/>
      </c>
      <c r="AO209" s="70">
        <f>IF($B209="","",MID($B209,6,2))</f>
        <v/>
      </c>
      <c r="AP209" s="76">
        <f>IF($B209="",0,1)</f>
        <v/>
      </c>
    </row>
    <row r="210" ht="21.75" customHeight="1">
      <c r="A210" s="70">
        <f>IF($B210="","",COUNTA($B$10:$B210))</f>
        <v/>
      </c>
      <c r="B210" s="71" t="n"/>
      <c r="C210" s="71" t="n"/>
      <c r="D210" s="71" t="n"/>
      <c r="E210" s="71" t="n"/>
      <c r="F210" s="70">
        <f>IF($E210="","",IFERROR(VLOOKUP($E210,OpTbl,2,0),""))</f>
        <v/>
      </c>
      <c r="G210" s="71" t="n"/>
      <c r="H210" s="73">
        <f>IF($U210="","",IFERROR(VLOOKUP($U210,AcctTbl,2,0),"کد ناشناخته"))</f>
        <v/>
      </c>
      <c r="I210" s="70">
        <f>IF($U210="","",IFERROR(VLOOKUP($U210,AcctTbl,3,0),""))</f>
        <v/>
      </c>
      <c r="J210" s="72" t="n"/>
      <c r="K210" s="71" t="n"/>
      <c r="L210" s="74" t="n"/>
      <c r="M210" s="74" t="n"/>
      <c r="N210" s="148">
        <f>IF(OR($E210="",$L210=""),"",IFERROR(($L210-IF($M210="",0,$M210)*IFERROR(VLOOKUP($K210,BasketTbl,4,0),IFERROR(INDEX(BasketTbl,MATCH($K210,BasketCodeCol,0),4),VLOOKUP("P01",ParamTbl,2,0))))*(1-IF(VLOOKUP($E210,OpTbl,3,0)="خرید",VLOOKUP("P02",ParamTbl,2,0),0)/100),""))</f>
        <v/>
      </c>
      <c r="O210" s="74" t="n"/>
      <c r="P210" s="76">
        <f>IF(OR($E210="",$L210=""),"",IFERROR(IF(VLOOKUP($E210,OpTbl,6,0)="وزن",ROUND($N210*$O210,-3),IF(VLOOKUP($E210,OpTbl,6,0)="مبلغ",ROUND($L210*$O210,-3),0)),""))</f>
        <v/>
      </c>
      <c r="Q210" s="74" t="n"/>
      <c r="R210" s="71" t="n"/>
      <c r="S210" s="77">
        <f>IF($E210="","",IF($AI210="⚠","⚠ ناتراز",IF(AND(IFERROR(VLOOKUP($E210,OpTbl,4,0),"")="بله",$L210=""),"⚠ وزن",IF(AND(IFERROR(VLOOKUP($E210,OpTbl,5,0),"")="بله",$U210=""),"⚠ حساب",IF(AND(IFERROR(VLOOKUP($E210,OpTbl,6,0),"")="مبلغ",$Q210=""),"⚠ مبلغ","✓")))))</f>
        <v/>
      </c>
      <c r="T210" s="72" t="n"/>
      <c r="U210" s="70">
        <f>IF($E210="","",IFERROR(IF(VLOOKUP($E210,OpTbl,14,0)&lt;&gt;"",VLOOKUP($E210,OpTbl,14,0),$G210),""))</f>
        <v/>
      </c>
      <c r="V210" s="76">
        <f>IF(OR($AJ210="",$AJ210=0,$AL210&lt;&gt;"بدهکار"),"",$AJ210)</f>
        <v/>
      </c>
      <c r="W210" s="76">
        <f>IF(OR($AJ210="",$AJ210=0,$AL210&lt;&gt;"بستانکار"),"",$AJ210)</f>
        <v/>
      </c>
      <c r="X210" s="70">
        <f>IF($E210="","",IFERROR(VLOOKUP($E210,OpTbl,8,0),""))</f>
        <v/>
      </c>
      <c r="Y210" s="76">
        <f>IF(OR($X210="",$AJ210="",$AJ210=0,$AM210&lt;&gt;"بدهکار"),"",$AJ210)</f>
        <v/>
      </c>
      <c r="Z210" s="76">
        <f>IF(OR($X210="",$AJ210="",$AJ210=0,$AM210&lt;&gt;"بستانکار"),"",$AJ210)</f>
        <v/>
      </c>
      <c r="AA210" s="70">
        <f>IF(OR($E210="",$AN210="—",$AN210=""),"",IFERROR(VLOOKUP($E210,OpTbl,12,0),""))</f>
        <v/>
      </c>
      <c r="AB210" s="76">
        <f>IF(OR($AA210="",$Q210="",$Q210=0,$AN210&lt;&gt;"بدهکار"),"",$Q210)</f>
        <v/>
      </c>
      <c r="AC210" s="76">
        <f>IF(OR($AA210="",$Q210="",$Q210=0,$AN210&lt;&gt;"بستانکار"),"",$Q210)</f>
        <v/>
      </c>
      <c r="AD210" s="70">
        <f>IF($AA210="","",IFERROR(VLOOKUP($E210,OpTbl,13,0),""))</f>
        <v/>
      </c>
      <c r="AE210" s="76">
        <f>IF(OR($AD210="",$Q210="",$Q210=0,$AN210&lt;&gt;"بستانکار"),"",$Q210)</f>
        <v/>
      </c>
      <c r="AF210" s="76">
        <f>IF(OR($AD210="",$Q210="",$Q210=0,$AN210&lt;&gt;"بدهکار"),"",$Q210)</f>
        <v/>
      </c>
      <c r="AG210" s="76">
        <f>SUM($V210,$Y210,$AB210,$AE210)</f>
        <v/>
      </c>
      <c r="AH210" s="76">
        <f>SUM($W210,$Z210,$AC210,$AF210)</f>
        <v/>
      </c>
      <c r="AI210" s="70">
        <f>IF($E210="","",IF(ROUND($AG210-$AH210,0)=0,"✓","⚠"))</f>
        <v/>
      </c>
      <c r="AJ210" s="76">
        <f>IF(OR($E210="",$U210=""),"",IFERROR(IF(VLOOKUP($E210,OpTbl,6,0)="وزن",IF($P210="",0,$P210),IF(VLOOKUP($E210,OpTbl,6,0)="مبلغ",IF(AND($Q210&lt;&gt;"",$Q210&lt;&gt;0),$Q210,$P210),0))+IF(VLOOKUP($E210,OpTbl,10,0)="افزودن",IF($Q210="",0,$Q210),0),0))</f>
        <v/>
      </c>
      <c r="AK210" s="70">
        <f>IF($E210="","",IFERROR(VLOOKUP($E210,OpTbl,10,0),""))</f>
        <v/>
      </c>
      <c r="AL210" s="70">
        <f>IF(OR($E210="",$U210=""),"",IFERROR(IF(VLOOKUP($E210,OpTbl,7,0)="خودکار",$R210,VLOOKUP($E210,OpTbl,7,0)),""))</f>
        <v/>
      </c>
      <c r="AM210" s="70">
        <f>IF(OR($E210="",$X210=""),"",IFERROR(IF(VLOOKUP($E210,OpTbl,9,0)="خودکار",IF($AL210="بدهکار","بستانکار",IF($AL210="بستانکار","بدهکار","")),VLOOKUP($E210,OpTbl,9,0)),""))</f>
        <v/>
      </c>
      <c r="AN210" s="70">
        <f>IF($E210="","",IFERROR(VLOOKUP($E210,OpTbl,11,0),""))</f>
        <v/>
      </c>
      <c r="AO210" s="70">
        <f>IF($B210="","",MID($B210,6,2))</f>
        <v/>
      </c>
      <c r="AP210" s="76">
        <f>IF($B210="",0,1)</f>
        <v/>
      </c>
    </row>
    <row r="211" ht="21.75" customHeight="1">
      <c r="A211" s="70">
        <f>IF($B211="","",COUNTA($B$10:$B211))</f>
        <v/>
      </c>
      <c r="B211" s="71" t="n"/>
      <c r="C211" s="71" t="n"/>
      <c r="D211" s="71" t="n"/>
      <c r="E211" s="71" t="n"/>
      <c r="F211" s="70">
        <f>IF($E211="","",IFERROR(VLOOKUP($E211,OpTbl,2,0),""))</f>
        <v/>
      </c>
      <c r="G211" s="71" t="n"/>
      <c r="H211" s="73">
        <f>IF($U211="","",IFERROR(VLOOKUP($U211,AcctTbl,2,0),"کد ناشناخته"))</f>
        <v/>
      </c>
      <c r="I211" s="70">
        <f>IF($U211="","",IFERROR(VLOOKUP($U211,AcctTbl,3,0),""))</f>
        <v/>
      </c>
      <c r="J211" s="72" t="n"/>
      <c r="K211" s="71" t="n"/>
      <c r="L211" s="74" t="n"/>
      <c r="M211" s="74" t="n"/>
      <c r="N211" s="148">
        <f>IF(OR($E211="",$L211=""),"",IFERROR(($L211-IF($M211="",0,$M211)*IFERROR(VLOOKUP($K211,BasketTbl,4,0),IFERROR(INDEX(BasketTbl,MATCH($K211,BasketCodeCol,0),4),VLOOKUP("P01",ParamTbl,2,0))))*(1-IF(VLOOKUP($E211,OpTbl,3,0)="خرید",VLOOKUP("P02",ParamTbl,2,0),0)/100),""))</f>
        <v/>
      </c>
      <c r="O211" s="74" t="n"/>
      <c r="P211" s="76">
        <f>IF(OR($E211="",$L211=""),"",IFERROR(IF(VLOOKUP($E211,OpTbl,6,0)="وزن",ROUND($N211*$O211,-3),IF(VLOOKUP($E211,OpTbl,6,0)="مبلغ",ROUND($L211*$O211,-3),0)),""))</f>
        <v/>
      </c>
      <c r="Q211" s="74" t="n"/>
      <c r="R211" s="71" t="n"/>
      <c r="S211" s="77">
        <f>IF($E211="","",IF($AI211="⚠","⚠ ناتراز",IF(AND(IFERROR(VLOOKUP($E211,OpTbl,4,0),"")="بله",$L211=""),"⚠ وزن",IF(AND(IFERROR(VLOOKUP($E211,OpTbl,5,0),"")="بله",$U211=""),"⚠ حساب",IF(AND(IFERROR(VLOOKUP($E211,OpTbl,6,0),"")="مبلغ",$Q211=""),"⚠ مبلغ","✓")))))</f>
        <v/>
      </c>
      <c r="T211" s="72" t="n"/>
      <c r="U211" s="70">
        <f>IF($E211="","",IFERROR(IF(VLOOKUP($E211,OpTbl,14,0)&lt;&gt;"",VLOOKUP($E211,OpTbl,14,0),$G211),""))</f>
        <v/>
      </c>
      <c r="V211" s="76">
        <f>IF(OR($AJ211="",$AJ211=0,$AL211&lt;&gt;"بدهکار"),"",$AJ211)</f>
        <v/>
      </c>
      <c r="W211" s="76">
        <f>IF(OR($AJ211="",$AJ211=0,$AL211&lt;&gt;"بستانکار"),"",$AJ211)</f>
        <v/>
      </c>
      <c r="X211" s="70">
        <f>IF($E211="","",IFERROR(VLOOKUP($E211,OpTbl,8,0),""))</f>
        <v/>
      </c>
      <c r="Y211" s="76">
        <f>IF(OR($X211="",$AJ211="",$AJ211=0,$AM211&lt;&gt;"بدهکار"),"",$AJ211)</f>
        <v/>
      </c>
      <c r="Z211" s="76">
        <f>IF(OR($X211="",$AJ211="",$AJ211=0,$AM211&lt;&gt;"بستانکار"),"",$AJ211)</f>
        <v/>
      </c>
      <c r="AA211" s="70">
        <f>IF(OR($E211="",$AN211="—",$AN211=""),"",IFERROR(VLOOKUP($E211,OpTbl,12,0),""))</f>
        <v/>
      </c>
      <c r="AB211" s="76">
        <f>IF(OR($AA211="",$Q211="",$Q211=0,$AN211&lt;&gt;"بدهکار"),"",$Q211)</f>
        <v/>
      </c>
      <c r="AC211" s="76">
        <f>IF(OR($AA211="",$Q211="",$Q211=0,$AN211&lt;&gt;"بستانکار"),"",$Q211)</f>
        <v/>
      </c>
      <c r="AD211" s="70">
        <f>IF($AA211="","",IFERROR(VLOOKUP($E211,OpTbl,13,0),""))</f>
        <v/>
      </c>
      <c r="AE211" s="76">
        <f>IF(OR($AD211="",$Q211="",$Q211=0,$AN211&lt;&gt;"بستانکار"),"",$Q211)</f>
        <v/>
      </c>
      <c r="AF211" s="76">
        <f>IF(OR($AD211="",$Q211="",$Q211=0,$AN211&lt;&gt;"بدهکار"),"",$Q211)</f>
        <v/>
      </c>
      <c r="AG211" s="76">
        <f>SUM($V211,$Y211,$AB211,$AE211)</f>
        <v/>
      </c>
      <c r="AH211" s="76">
        <f>SUM($W211,$Z211,$AC211,$AF211)</f>
        <v/>
      </c>
      <c r="AI211" s="70">
        <f>IF($E211="","",IF(ROUND($AG211-$AH211,0)=0,"✓","⚠"))</f>
        <v/>
      </c>
      <c r="AJ211" s="76">
        <f>IF(OR($E211="",$U211=""),"",IFERROR(IF(VLOOKUP($E211,OpTbl,6,0)="وزن",IF($P211="",0,$P211),IF(VLOOKUP($E211,OpTbl,6,0)="مبلغ",IF(AND($Q211&lt;&gt;"",$Q211&lt;&gt;0),$Q211,$P211),0))+IF(VLOOKUP($E211,OpTbl,10,0)="افزودن",IF($Q211="",0,$Q211),0),0))</f>
        <v/>
      </c>
      <c r="AK211" s="70">
        <f>IF($E211="","",IFERROR(VLOOKUP($E211,OpTbl,10,0),""))</f>
        <v/>
      </c>
      <c r="AL211" s="70">
        <f>IF(OR($E211="",$U211=""),"",IFERROR(IF(VLOOKUP($E211,OpTbl,7,0)="خودکار",$R211,VLOOKUP($E211,OpTbl,7,0)),""))</f>
        <v/>
      </c>
      <c r="AM211" s="70">
        <f>IF(OR($E211="",$X211=""),"",IFERROR(IF(VLOOKUP($E211,OpTbl,9,0)="خودکار",IF($AL211="بدهکار","بستانکار",IF($AL211="بستانکار","بدهکار","")),VLOOKUP($E211,OpTbl,9,0)),""))</f>
        <v/>
      </c>
      <c r="AN211" s="70">
        <f>IF($E211="","",IFERROR(VLOOKUP($E211,OpTbl,11,0),""))</f>
        <v/>
      </c>
      <c r="AO211" s="70">
        <f>IF($B211="","",MID($B211,6,2))</f>
        <v/>
      </c>
      <c r="AP211" s="76">
        <f>IF($B211="",0,1)</f>
        <v/>
      </c>
    </row>
    <row r="212" ht="21.75" customHeight="1">
      <c r="A212" s="70">
        <f>IF($B212="","",COUNTA($B$10:$B212))</f>
        <v/>
      </c>
      <c r="B212" s="71" t="n"/>
      <c r="C212" s="71" t="n"/>
      <c r="D212" s="71" t="n"/>
      <c r="E212" s="71" t="n"/>
      <c r="F212" s="70">
        <f>IF($E212="","",IFERROR(VLOOKUP($E212,OpTbl,2,0),""))</f>
        <v/>
      </c>
      <c r="G212" s="71" t="n"/>
      <c r="H212" s="73">
        <f>IF($U212="","",IFERROR(VLOOKUP($U212,AcctTbl,2,0),"کد ناشناخته"))</f>
        <v/>
      </c>
      <c r="I212" s="70">
        <f>IF($U212="","",IFERROR(VLOOKUP($U212,AcctTbl,3,0),""))</f>
        <v/>
      </c>
      <c r="J212" s="72" t="n"/>
      <c r="K212" s="71" t="n"/>
      <c r="L212" s="74" t="n"/>
      <c r="M212" s="74" t="n"/>
      <c r="N212" s="148">
        <f>IF(OR($E212="",$L212=""),"",IFERROR(($L212-IF($M212="",0,$M212)*IFERROR(VLOOKUP($K212,BasketTbl,4,0),IFERROR(INDEX(BasketTbl,MATCH($K212,BasketCodeCol,0),4),VLOOKUP("P01",ParamTbl,2,0))))*(1-IF(VLOOKUP($E212,OpTbl,3,0)="خرید",VLOOKUP("P02",ParamTbl,2,0),0)/100),""))</f>
        <v/>
      </c>
      <c r="O212" s="74" t="n"/>
      <c r="P212" s="76">
        <f>IF(OR($E212="",$L212=""),"",IFERROR(IF(VLOOKUP($E212,OpTbl,6,0)="وزن",ROUND($N212*$O212,-3),IF(VLOOKUP($E212,OpTbl,6,0)="مبلغ",ROUND($L212*$O212,-3),0)),""))</f>
        <v/>
      </c>
      <c r="Q212" s="74" t="n"/>
      <c r="R212" s="71" t="n"/>
      <c r="S212" s="77">
        <f>IF($E212="","",IF($AI212="⚠","⚠ ناتراز",IF(AND(IFERROR(VLOOKUP($E212,OpTbl,4,0),"")="بله",$L212=""),"⚠ وزن",IF(AND(IFERROR(VLOOKUP($E212,OpTbl,5,0),"")="بله",$U212=""),"⚠ حساب",IF(AND(IFERROR(VLOOKUP($E212,OpTbl,6,0),"")="مبلغ",$Q212=""),"⚠ مبلغ","✓")))))</f>
        <v/>
      </c>
      <c r="T212" s="72" t="n"/>
      <c r="U212" s="70">
        <f>IF($E212="","",IFERROR(IF(VLOOKUP($E212,OpTbl,14,0)&lt;&gt;"",VLOOKUP($E212,OpTbl,14,0),$G212),""))</f>
        <v/>
      </c>
      <c r="V212" s="76">
        <f>IF(OR($AJ212="",$AJ212=0,$AL212&lt;&gt;"بدهکار"),"",$AJ212)</f>
        <v/>
      </c>
      <c r="W212" s="76">
        <f>IF(OR($AJ212="",$AJ212=0,$AL212&lt;&gt;"بستانکار"),"",$AJ212)</f>
        <v/>
      </c>
      <c r="X212" s="70">
        <f>IF($E212="","",IFERROR(VLOOKUP($E212,OpTbl,8,0),""))</f>
        <v/>
      </c>
      <c r="Y212" s="76">
        <f>IF(OR($X212="",$AJ212="",$AJ212=0,$AM212&lt;&gt;"بدهکار"),"",$AJ212)</f>
        <v/>
      </c>
      <c r="Z212" s="76">
        <f>IF(OR($X212="",$AJ212="",$AJ212=0,$AM212&lt;&gt;"بستانکار"),"",$AJ212)</f>
        <v/>
      </c>
      <c r="AA212" s="70">
        <f>IF(OR($E212="",$AN212="—",$AN212=""),"",IFERROR(VLOOKUP($E212,OpTbl,12,0),""))</f>
        <v/>
      </c>
      <c r="AB212" s="76">
        <f>IF(OR($AA212="",$Q212="",$Q212=0,$AN212&lt;&gt;"بدهکار"),"",$Q212)</f>
        <v/>
      </c>
      <c r="AC212" s="76">
        <f>IF(OR($AA212="",$Q212="",$Q212=0,$AN212&lt;&gt;"بستانکار"),"",$Q212)</f>
        <v/>
      </c>
      <c r="AD212" s="70">
        <f>IF($AA212="","",IFERROR(VLOOKUP($E212,OpTbl,13,0),""))</f>
        <v/>
      </c>
      <c r="AE212" s="76">
        <f>IF(OR($AD212="",$Q212="",$Q212=0,$AN212&lt;&gt;"بستانکار"),"",$Q212)</f>
        <v/>
      </c>
      <c r="AF212" s="76">
        <f>IF(OR($AD212="",$Q212="",$Q212=0,$AN212&lt;&gt;"بدهکار"),"",$Q212)</f>
        <v/>
      </c>
      <c r="AG212" s="76">
        <f>SUM($V212,$Y212,$AB212,$AE212)</f>
        <v/>
      </c>
      <c r="AH212" s="76">
        <f>SUM($W212,$Z212,$AC212,$AF212)</f>
        <v/>
      </c>
      <c r="AI212" s="70">
        <f>IF($E212="","",IF(ROUND($AG212-$AH212,0)=0,"✓","⚠"))</f>
        <v/>
      </c>
      <c r="AJ212" s="76">
        <f>IF(OR($E212="",$U212=""),"",IFERROR(IF(VLOOKUP($E212,OpTbl,6,0)="وزن",IF($P212="",0,$P212),IF(VLOOKUP($E212,OpTbl,6,0)="مبلغ",IF(AND($Q212&lt;&gt;"",$Q212&lt;&gt;0),$Q212,$P212),0))+IF(VLOOKUP($E212,OpTbl,10,0)="افزودن",IF($Q212="",0,$Q212),0),0))</f>
        <v/>
      </c>
      <c r="AK212" s="70">
        <f>IF($E212="","",IFERROR(VLOOKUP($E212,OpTbl,10,0),""))</f>
        <v/>
      </c>
      <c r="AL212" s="70">
        <f>IF(OR($E212="",$U212=""),"",IFERROR(IF(VLOOKUP($E212,OpTbl,7,0)="خودکار",$R212,VLOOKUP($E212,OpTbl,7,0)),""))</f>
        <v/>
      </c>
      <c r="AM212" s="70">
        <f>IF(OR($E212="",$X212=""),"",IFERROR(IF(VLOOKUP($E212,OpTbl,9,0)="خودکار",IF($AL212="بدهکار","بستانکار",IF($AL212="بستانکار","بدهکار","")),VLOOKUP($E212,OpTbl,9,0)),""))</f>
        <v/>
      </c>
      <c r="AN212" s="70">
        <f>IF($E212="","",IFERROR(VLOOKUP($E212,OpTbl,11,0),""))</f>
        <v/>
      </c>
      <c r="AO212" s="70">
        <f>IF($B212="","",MID($B212,6,2))</f>
        <v/>
      </c>
      <c r="AP212" s="76">
        <f>IF($B212="",0,1)</f>
        <v/>
      </c>
    </row>
    <row r="213" ht="21.75" customHeight="1">
      <c r="A213" s="70">
        <f>IF($B213="","",COUNTA($B$10:$B213))</f>
        <v/>
      </c>
      <c r="B213" s="71" t="n"/>
      <c r="C213" s="71" t="n"/>
      <c r="D213" s="71" t="n"/>
      <c r="E213" s="71" t="n"/>
      <c r="F213" s="70">
        <f>IF($E213="","",IFERROR(VLOOKUP($E213,OpTbl,2,0),""))</f>
        <v/>
      </c>
      <c r="G213" s="71" t="n"/>
      <c r="H213" s="73">
        <f>IF($U213="","",IFERROR(VLOOKUP($U213,AcctTbl,2,0),"کد ناشناخته"))</f>
        <v/>
      </c>
      <c r="I213" s="70">
        <f>IF($U213="","",IFERROR(VLOOKUP($U213,AcctTbl,3,0),""))</f>
        <v/>
      </c>
      <c r="J213" s="72" t="n"/>
      <c r="K213" s="71" t="n"/>
      <c r="L213" s="74" t="n"/>
      <c r="M213" s="74" t="n"/>
      <c r="N213" s="148">
        <f>IF(OR($E213="",$L213=""),"",IFERROR(($L213-IF($M213="",0,$M213)*IFERROR(VLOOKUP($K213,BasketTbl,4,0),IFERROR(INDEX(BasketTbl,MATCH($K213,BasketCodeCol,0),4),VLOOKUP("P01",ParamTbl,2,0))))*(1-IF(VLOOKUP($E213,OpTbl,3,0)="خرید",VLOOKUP("P02",ParamTbl,2,0),0)/100),""))</f>
        <v/>
      </c>
      <c r="O213" s="74" t="n"/>
      <c r="P213" s="76">
        <f>IF(OR($E213="",$L213=""),"",IFERROR(IF(VLOOKUP($E213,OpTbl,6,0)="وزن",ROUND($N213*$O213,-3),IF(VLOOKUP($E213,OpTbl,6,0)="مبلغ",ROUND($L213*$O213,-3),0)),""))</f>
        <v/>
      </c>
      <c r="Q213" s="74" t="n"/>
      <c r="R213" s="71" t="n"/>
      <c r="S213" s="77">
        <f>IF($E213="","",IF($AI213="⚠","⚠ ناتراز",IF(AND(IFERROR(VLOOKUP($E213,OpTbl,4,0),"")="بله",$L213=""),"⚠ وزن",IF(AND(IFERROR(VLOOKUP($E213,OpTbl,5,0),"")="بله",$U213=""),"⚠ حساب",IF(AND(IFERROR(VLOOKUP($E213,OpTbl,6,0),"")="مبلغ",$Q213=""),"⚠ مبلغ","✓")))))</f>
        <v/>
      </c>
      <c r="T213" s="72" t="n"/>
      <c r="U213" s="70">
        <f>IF($E213="","",IFERROR(IF(VLOOKUP($E213,OpTbl,14,0)&lt;&gt;"",VLOOKUP($E213,OpTbl,14,0),$G213),""))</f>
        <v/>
      </c>
      <c r="V213" s="76">
        <f>IF(OR($AJ213="",$AJ213=0,$AL213&lt;&gt;"بدهکار"),"",$AJ213)</f>
        <v/>
      </c>
      <c r="W213" s="76">
        <f>IF(OR($AJ213="",$AJ213=0,$AL213&lt;&gt;"بستانکار"),"",$AJ213)</f>
        <v/>
      </c>
      <c r="X213" s="70">
        <f>IF($E213="","",IFERROR(VLOOKUP($E213,OpTbl,8,0),""))</f>
        <v/>
      </c>
      <c r="Y213" s="76">
        <f>IF(OR($X213="",$AJ213="",$AJ213=0,$AM213&lt;&gt;"بدهکار"),"",$AJ213)</f>
        <v/>
      </c>
      <c r="Z213" s="76">
        <f>IF(OR($X213="",$AJ213="",$AJ213=0,$AM213&lt;&gt;"بستانکار"),"",$AJ213)</f>
        <v/>
      </c>
      <c r="AA213" s="70">
        <f>IF(OR($E213="",$AN213="—",$AN213=""),"",IFERROR(VLOOKUP($E213,OpTbl,12,0),""))</f>
        <v/>
      </c>
      <c r="AB213" s="76">
        <f>IF(OR($AA213="",$Q213="",$Q213=0,$AN213&lt;&gt;"بدهکار"),"",$Q213)</f>
        <v/>
      </c>
      <c r="AC213" s="76">
        <f>IF(OR($AA213="",$Q213="",$Q213=0,$AN213&lt;&gt;"بستانکار"),"",$Q213)</f>
        <v/>
      </c>
      <c r="AD213" s="70">
        <f>IF($AA213="","",IFERROR(VLOOKUP($E213,OpTbl,13,0),""))</f>
        <v/>
      </c>
      <c r="AE213" s="76">
        <f>IF(OR($AD213="",$Q213="",$Q213=0,$AN213&lt;&gt;"بستانکار"),"",$Q213)</f>
        <v/>
      </c>
      <c r="AF213" s="76">
        <f>IF(OR($AD213="",$Q213="",$Q213=0,$AN213&lt;&gt;"بدهکار"),"",$Q213)</f>
        <v/>
      </c>
      <c r="AG213" s="76">
        <f>SUM($V213,$Y213,$AB213,$AE213)</f>
        <v/>
      </c>
      <c r="AH213" s="76">
        <f>SUM($W213,$Z213,$AC213,$AF213)</f>
        <v/>
      </c>
      <c r="AI213" s="70">
        <f>IF($E213="","",IF(ROUND($AG213-$AH213,0)=0,"✓","⚠"))</f>
        <v/>
      </c>
      <c r="AJ213" s="76">
        <f>IF(OR($E213="",$U213=""),"",IFERROR(IF(VLOOKUP($E213,OpTbl,6,0)="وزن",IF($P213="",0,$P213),IF(VLOOKUP($E213,OpTbl,6,0)="مبلغ",IF(AND($Q213&lt;&gt;"",$Q213&lt;&gt;0),$Q213,$P213),0))+IF(VLOOKUP($E213,OpTbl,10,0)="افزودن",IF($Q213="",0,$Q213),0),0))</f>
        <v/>
      </c>
      <c r="AK213" s="70">
        <f>IF($E213="","",IFERROR(VLOOKUP($E213,OpTbl,10,0),""))</f>
        <v/>
      </c>
      <c r="AL213" s="70">
        <f>IF(OR($E213="",$U213=""),"",IFERROR(IF(VLOOKUP($E213,OpTbl,7,0)="خودکار",$R213,VLOOKUP($E213,OpTbl,7,0)),""))</f>
        <v/>
      </c>
      <c r="AM213" s="70">
        <f>IF(OR($E213="",$X213=""),"",IFERROR(IF(VLOOKUP($E213,OpTbl,9,0)="خودکار",IF($AL213="بدهکار","بستانکار",IF($AL213="بستانکار","بدهکار","")),VLOOKUP($E213,OpTbl,9,0)),""))</f>
        <v/>
      </c>
      <c r="AN213" s="70">
        <f>IF($E213="","",IFERROR(VLOOKUP($E213,OpTbl,11,0),""))</f>
        <v/>
      </c>
      <c r="AO213" s="70">
        <f>IF($B213="","",MID($B213,6,2))</f>
        <v/>
      </c>
      <c r="AP213" s="76">
        <f>IF($B213="",0,1)</f>
        <v/>
      </c>
    </row>
    <row r="214" ht="21.75" customHeight="1">
      <c r="A214" s="70">
        <f>IF($B214="","",COUNTA($B$10:$B214))</f>
        <v/>
      </c>
      <c r="B214" s="71" t="n"/>
      <c r="C214" s="71" t="n"/>
      <c r="D214" s="71" t="n"/>
      <c r="E214" s="71" t="n"/>
      <c r="F214" s="70">
        <f>IF($E214="","",IFERROR(VLOOKUP($E214,OpTbl,2,0),""))</f>
        <v/>
      </c>
      <c r="G214" s="71" t="n"/>
      <c r="H214" s="73">
        <f>IF($U214="","",IFERROR(VLOOKUP($U214,AcctTbl,2,0),"کد ناشناخته"))</f>
        <v/>
      </c>
      <c r="I214" s="70">
        <f>IF($U214="","",IFERROR(VLOOKUP($U214,AcctTbl,3,0),""))</f>
        <v/>
      </c>
      <c r="J214" s="72" t="n"/>
      <c r="K214" s="71" t="n"/>
      <c r="L214" s="74" t="n"/>
      <c r="M214" s="74" t="n"/>
      <c r="N214" s="148">
        <f>IF(OR($E214="",$L214=""),"",IFERROR(($L214-IF($M214="",0,$M214)*IFERROR(VLOOKUP($K214,BasketTbl,4,0),IFERROR(INDEX(BasketTbl,MATCH($K214,BasketCodeCol,0),4),VLOOKUP("P01",ParamTbl,2,0))))*(1-IF(VLOOKUP($E214,OpTbl,3,0)="خرید",VLOOKUP("P02",ParamTbl,2,0),0)/100),""))</f>
        <v/>
      </c>
      <c r="O214" s="74" t="n"/>
      <c r="P214" s="76">
        <f>IF(OR($E214="",$L214=""),"",IFERROR(IF(VLOOKUP($E214,OpTbl,6,0)="وزن",ROUND($N214*$O214,-3),IF(VLOOKUP($E214,OpTbl,6,0)="مبلغ",ROUND($L214*$O214,-3),0)),""))</f>
        <v/>
      </c>
      <c r="Q214" s="74" t="n"/>
      <c r="R214" s="71" t="n"/>
      <c r="S214" s="77">
        <f>IF($E214="","",IF($AI214="⚠","⚠ ناتراز",IF(AND(IFERROR(VLOOKUP($E214,OpTbl,4,0),"")="بله",$L214=""),"⚠ وزن",IF(AND(IFERROR(VLOOKUP($E214,OpTbl,5,0),"")="بله",$U214=""),"⚠ حساب",IF(AND(IFERROR(VLOOKUP($E214,OpTbl,6,0),"")="مبلغ",$Q214=""),"⚠ مبلغ","✓")))))</f>
        <v/>
      </c>
      <c r="T214" s="72" t="n"/>
      <c r="U214" s="70">
        <f>IF($E214="","",IFERROR(IF(VLOOKUP($E214,OpTbl,14,0)&lt;&gt;"",VLOOKUP($E214,OpTbl,14,0),$G214),""))</f>
        <v/>
      </c>
      <c r="V214" s="76">
        <f>IF(OR($AJ214="",$AJ214=0,$AL214&lt;&gt;"بدهکار"),"",$AJ214)</f>
        <v/>
      </c>
      <c r="W214" s="76">
        <f>IF(OR($AJ214="",$AJ214=0,$AL214&lt;&gt;"بستانکار"),"",$AJ214)</f>
        <v/>
      </c>
      <c r="X214" s="70">
        <f>IF($E214="","",IFERROR(VLOOKUP($E214,OpTbl,8,0),""))</f>
        <v/>
      </c>
      <c r="Y214" s="76">
        <f>IF(OR($X214="",$AJ214="",$AJ214=0,$AM214&lt;&gt;"بدهکار"),"",$AJ214)</f>
        <v/>
      </c>
      <c r="Z214" s="76">
        <f>IF(OR($X214="",$AJ214="",$AJ214=0,$AM214&lt;&gt;"بستانکار"),"",$AJ214)</f>
        <v/>
      </c>
      <c r="AA214" s="70">
        <f>IF(OR($E214="",$AN214="—",$AN214=""),"",IFERROR(VLOOKUP($E214,OpTbl,12,0),""))</f>
        <v/>
      </c>
      <c r="AB214" s="76">
        <f>IF(OR($AA214="",$Q214="",$Q214=0,$AN214&lt;&gt;"بدهکار"),"",$Q214)</f>
        <v/>
      </c>
      <c r="AC214" s="76">
        <f>IF(OR($AA214="",$Q214="",$Q214=0,$AN214&lt;&gt;"بستانکار"),"",$Q214)</f>
        <v/>
      </c>
      <c r="AD214" s="70">
        <f>IF($AA214="","",IFERROR(VLOOKUP($E214,OpTbl,13,0),""))</f>
        <v/>
      </c>
      <c r="AE214" s="76">
        <f>IF(OR($AD214="",$Q214="",$Q214=0,$AN214&lt;&gt;"بستانکار"),"",$Q214)</f>
        <v/>
      </c>
      <c r="AF214" s="76">
        <f>IF(OR($AD214="",$Q214="",$Q214=0,$AN214&lt;&gt;"بدهکار"),"",$Q214)</f>
        <v/>
      </c>
      <c r="AG214" s="76">
        <f>SUM($V214,$Y214,$AB214,$AE214)</f>
        <v/>
      </c>
      <c r="AH214" s="76">
        <f>SUM($W214,$Z214,$AC214,$AF214)</f>
        <v/>
      </c>
      <c r="AI214" s="70">
        <f>IF($E214="","",IF(ROUND($AG214-$AH214,0)=0,"✓","⚠"))</f>
        <v/>
      </c>
      <c r="AJ214" s="76">
        <f>IF(OR($E214="",$U214=""),"",IFERROR(IF(VLOOKUP($E214,OpTbl,6,0)="وزن",IF($P214="",0,$P214),IF(VLOOKUP($E214,OpTbl,6,0)="مبلغ",IF(AND($Q214&lt;&gt;"",$Q214&lt;&gt;0),$Q214,$P214),0))+IF(VLOOKUP($E214,OpTbl,10,0)="افزودن",IF($Q214="",0,$Q214),0),0))</f>
        <v/>
      </c>
      <c r="AK214" s="70">
        <f>IF($E214="","",IFERROR(VLOOKUP($E214,OpTbl,10,0),""))</f>
        <v/>
      </c>
      <c r="AL214" s="70">
        <f>IF(OR($E214="",$U214=""),"",IFERROR(IF(VLOOKUP($E214,OpTbl,7,0)="خودکار",$R214,VLOOKUP($E214,OpTbl,7,0)),""))</f>
        <v/>
      </c>
      <c r="AM214" s="70">
        <f>IF(OR($E214="",$X214=""),"",IFERROR(IF(VLOOKUP($E214,OpTbl,9,0)="خودکار",IF($AL214="بدهکار","بستانکار",IF($AL214="بستانکار","بدهکار","")),VLOOKUP($E214,OpTbl,9,0)),""))</f>
        <v/>
      </c>
      <c r="AN214" s="70">
        <f>IF($E214="","",IFERROR(VLOOKUP($E214,OpTbl,11,0),""))</f>
        <v/>
      </c>
      <c r="AO214" s="70">
        <f>IF($B214="","",MID($B214,6,2))</f>
        <v/>
      </c>
      <c r="AP214" s="76">
        <f>IF($B214="",0,1)</f>
        <v/>
      </c>
    </row>
    <row r="215" ht="21.75" customHeight="1">
      <c r="A215" s="70">
        <f>IF($B215="","",COUNTA($B$10:$B215))</f>
        <v/>
      </c>
      <c r="B215" s="71" t="n"/>
      <c r="C215" s="71" t="n"/>
      <c r="D215" s="71" t="n"/>
      <c r="E215" s="71" t="n"/>
      <c r="F215" s="70">
        <f>IF($E215="","",IFERROR(VLOOKUP($E215,OpTbl,2,0),""))</f>
        <v/>
      </c>
      <c r="G215" s="71" t="n"/>
      <c r="H215" s="73">
        <f>IF($U215="","",IFERROR(VLOOKUP($U215,AcctTbl,2,0),"کد ناشناخته"))</f>
        <v/>
      </c>
      <c r="I215" s="70">
        <f>IF($U215="","",IFERROR(VLOOKUP($U215,AcctTbl,3,0),""))</f>
        <v/>
      </c>
      <c r="J215" s="72" t="n"/>
      <c r="K215" s="71" t="n"/>
      <c r="L215" s="74" t="n"/>
      <c r="M215" s="74" t="n"/>
      <c r="N215" s="148">
        <f>IF(OR($E215="",$L215=""),"",IFERROR(($L215-IF($M215="",0,$M215)*IFERROR(VLOOKUP($K215,BasketTbl,4,0),IFERROR(INDEX(BasketTbl,MATCH($K215,BasketCodeCol,0),4),VLOOKUP("P01",ParamTbl,2,0))))*(1-IF(VLOOKUP($E215,OpTbl,3,0)="خرید",VLOOKUP("P02",ParamTbl,2,0),0)/100),""))</f>
        <v/>
      </c>
      <c r="O215" s="74" t="n"/>
      <c r="P215" s="76">
        <f>IF(OR($E215="",$L215=""),"",IFERROR(IF(VLOOKUP($E215,OpTbl,6,0)="وزن",ROUND($N215*$O215,-3),IF(VLOOKUP($E215,OpTbl,6,0)="مبلغ",ROUND($L215*$O215,-3),0)),""))</f>
        <v/>
      </c>
      <c r="Q215" s="74" t="n"/>
      <c r="R215" s="71" t="n"/>
      <c r="S215" s="77">
        <f>IF($E215="","",IF($AI215="⚠","⚠ ناتراز",IF(AND(IFERROR(VLOOKUP($E215,OpTbl,4,0),"")="بله",$L215=""),"⚠ وزن",IF(AND(IFERROR(VLOOKUP($E215,OpTbl,5,0),"")="بله",$U215=""),"⚠ حساب",IF(AND(IFERROR(VLOOKUP($E215,OpTbl,6,0),"")="مبلغ",$Q215=""),"⚠ مبلغ","✓")))))</f>
        <v/>
      </c>
      <c r="T215" s="72" t="n"/>
      <c r="U215" s="70">
        <f>IF($E215="","",IFERROR(IF(VLOOKUP($E215,OpTbl,14,0)&lt;&gt;"",VLOOKUP($E215,OpTbl,14,0),$G215),""))</f>
        <v/>
      </c>
      <c r="V215" s="76">
        <f>IF(OR($AJ215="",$AJ215=0,$AL215&lt;&gt;"بدهکار"),"",$AJ215)</f>
        <v/>
      </c>
      <c r="W215" s="76">
        <f>IF(OR($AJ215="",$AJ215=0,$AL215&lt;&gt;"بستانکار"),"",$AJ215)</f>
        <v/>
      </c>
      <c r="X215" s="70">
        <f>IF($E215="","",IFERROR(VLOOKUP($E215,OpTbl,8,0),""))</f>
        <v/>
      </c>
      <c r="Y215" s="76">
        <f>IF(OR($X215="",$AJ215="",$AJ215=0,$AM215&lt;&gt;"بدهکار"),"",$AJ215)</f>
        <v/>
      </c>
      <c r="Z215" s="76">
        <f>IF(OR($X215="",$AJ215="",$AJ215=0,$AM215&lt;&gt;"بستانکار"),"",$AJ215)</f>
        <v/>
      </c>
      <c r="AA215" s="70">
        <f>IF(OR($E215="",$AN215="—",$AN215=""),"",IFERROR(VLOOKUP($E215,OpTbl,12,0),""))</f>
        <v/>
      </c>
      <c r="AB215" s="76">
        <f>IF(OR($AA215="",$Q215="",$Q215=0,$AN215&lt;&gt;"بدهکار"),"",$Q215)</f>
        <v/>
      </c>
      <c r="AC215" s="76">
        <f>IF(OR($AA215="",$Q215="",$Q215=0,$AN215&lt;&gt;"بستانکار"),"",$Q215)</f>
        <v/>
      </c>
      <c r="AD215" s="70">
        <f>IF($AA215="","",IFERROR(VLOOKUP($E215,OpTbl,13,0),""))</f>
        <v/>
      </c>
      <c r="AE215" s="76">
        <f>IF(OR($AD215="",$Q215="",$Q215=0,$AN215&lt;&gt;"بستانکار"),"",$Q215)</f>
        <v/>
      </c>
      <c r="AF215" s="76">
        <f>IF(OR($AD215="",$Q215="",$Q215=0,$AN215&lt;&gt;"بدهکار"),"",$Q215)</f>
        <v/>
      </c>
      <c r="AG215" s="76">
        <f>SUM($V215,$Y215,$AB215,$AE215)</f>
        <v/>
      </c>
      <c r="AH215" s="76">
        <f>SUM($W215,$Z215,$AC215,$AF215)</f>
        <v/>
      </c>
      <c r="AI215" s="70">
        <f>IF($E215="","",IF(ROUND($AG215-$AH215,0)=0,"✓","⚠"))</f>
        <v/>
      </c>
      <c r="AJ215" s="76">
        <f>IF(OR($E215="",$U215=""),"",IFERROR(IF(VLOOKUP($E215,OpTbl,6,0)="وزن",IF($P215="",0,$P215),IF(VLOOKUP($E215,OpTbl,6,0)="مبلغ",IF(AND($Q215&lt;&gt;"",$Q215&lt;&gt;0),$Q215,$P215),0))+IF(VLOOKUP($E215,OpTbl,10,0)="افزودن",IF($Q215="",0,$Q215),0),0))</f>
        <v/>
      </c>
      <c r="AK215" s="70">
        <f>IF($E215="","",IFERROR(VLOOKUP($E215,OpTbl,10,0),""))</f>
        <v/>
      </c>
      <c r="AL215" s="70">
        <f>IF(OR($E215="",$U215=""),"",IFERROR(IF(VLOOKUP($E215,OpTbl,7,0)="خودکار",$R215,VLOOKUP($E215,OpTbl,7,0)),""))</f>
        <v/>
      </c>
      <c r="AM215" s="70">
        <f>IF(OR($E215="",$X215=""),"",IFERROR(IF(VLOOKUP($E215,OpTbl,9,0)="خودکار",IF($AL215="بدهکار","بستانکار",IF($AL215="بستانکار","بدهکار","")),VLOOKUP($E215,OpTbl,9,0)),""))</f>
        <v/>
      </c>
      <c r="AN215" s="70">
        <f>IF($E215="","",IFERROR(VLOOKUP($E215,OpTbl,11,0),""))</f>
        <v/>
      </c>
      <c r="AO215" s="70">
        <f>IF($B215="","",MID($B215,6,2))</f>
        <v/>
      </c>
      <c r="AP215" s="76">
        <f>IF($B215="",0,1)</f>
        <v/>
      </c>
    </row>
    <row r="216" ht="21.75" customHeight="1">
      <c r="A216" s="70">
        <f>IF($B216="","",COUNTA($B$10:$B216))</f>
        <v/>
      </c>
      <c r="B216" s="71" t="n"/>
      <c r="C216" s="71" t="n"/>
      <c r="D216" s="71" t="n"/>
      <c r="E216" s="71" t="n"/>
      <c r="F216" s="70">
        <f>IF($E216="","",IFERROR(VLOOKUP($E216,OpTbl,2,0),""))</f>
        <v/>
      </c>
      <c r="G216" s="71" t="n"/>
      <c r="H216" s="73">
        <f>IF($U216="","",IFERROR(VLOOKUP($U216,AcctTbl,2,0),"کد ناشناخته"))</f>
        <v/>
      </c>
      <c r="I216" s="70">
        <f>IF($U216="","",IFERROR(VLOOKUP($U216,AcctTbl,3,0),""))</f>
        <v/>
      </c>
      <c r="J216" s="72" t="n"/>
      <c r="K216" s="71" t="n"/>
      <c r="L216" s="74" t="n"/>
      <c r="M216" s="74" t="n"/>
      <c r="N216" s="148">
        <f>IF(OR($E216="",$L216=""),"",IFERROR(($L216-IF($M216="",0,$M216)*IFERROR(VLOOKUP($K216,BasketTbl,4,0),IFERROR(INDEX(BasketTbl,MATCH($K216,BasketCodeCol,0),4),VLOOKUP("P01",ParamTbl,2,0))))*(1-IF(VLOOKUP($E216,OpTbl,3,0)="خرید",VLOOKUP("P02",ParamTbl,2,0),0)/100),""))</f>
        <v/>
      </c>
      <c r="O216" s="74" t="n"/>
      <c r="P216" s="76">
        <f>IF(OR($E216="",$L216=""),"",IFERROR(IF(VLOOKUP($E216,OpTbl,6,0)="وزن",ROUND($N216*$O216,-3),IF(VLOOKUP($E216,OpTbl,6,0)="مبلغ",ROUND($L216*$O216,-3),0)),""))</f>
        <v/>
      </c>
      <c r="Q216" s="74" t="n"/>
      <c r="R216" s="71" t="n"/>
      <c r="S216" s="77">
        <f>IF($E216="","",IF($AI216="⚠","⚠ ناتراز",IF(AND(IFERROR(VLOOKUP($E216,OpTbl,4,0),"")="بله",$L216=""),"⚠ وزن",IF(AND(IFERROR(VLOOKUP($E216,OpTbl,5,0),"")="بله",$U216=""),"⚠ حساب",IF(AND(IFERROR(VLOOKUP($E216,OpTbl,6,0),"")="مبلغ",$Q216=""),"⚠ مبلغ","✓")))))</f>
        <v/>
      </c>
      <c r="T216" s="72" t="n"/>
      <c r="U216" s="70">
        <f>IF($E216="","",IFERROR(IF(VLOOKUP($E216,OpTbl,14,0)&lt;&gt;"",VLOOKUP($E216,OpTbl,14,0),$G216),""))</f>
        <v/>
      </c>
      <c r="V216" s="76">
        <f>IF(OR($AJ216="",$AJ216=0,$AL216&lt;&gt;"بدهکار"),"",$AJ216)</f>
        <v/>
      </c>
      <c r="W216" s="76">
        <f>IF(OR($AJ216="",$AJ216=0,$AL216&lt;&gt;"بستانکار"),"",$AJ216)</f>
        <v/>
      </c>
      <c r="X216" s="70">
        <f>IF($E216="","",IFERROR(VLOOKUP($E216,OpTbl,8,0),""))</f>
        <v/>
      </c>
      <c r="Y216" s="76">
        <f>IF(OR($X216="",$AJ216="",$AJ216=0,$AM216&lt;&gt;"بدهکار"),"",$AJ216)</f>
        <v/>
      </c>
      <c r="Z216" s="76">
        <f>IF(OR($X216="",$AJ216="",$AJ216=0,$AM216&lt;&gt;"بستانکار"),"",$AJ216)</f>
        <v/>
      </c>
      <c r="AA216" s="70">
        <f>IF(OR($E216="",$AN216="—",$AN216=""),"",IFERROR(VLOOKUP($E216,OpTbl,12,0),""))</f>
        <v/>
      </c>
      <c r="AB216" s="76">
        <f>IF(OR($AA216="",$Q216="",$Q216=0,$AN216&lt;&gt;"بدهکار"),"",$Q216)</f>
        <v/>
      </c>
      <c r="AC216" s="76">
        <f>IF(OR($AA216="",$Q216="",$Q216=0,$AN216&lt;&gt;"بستانکار"),"",$Q216)</f>
        <v/>
      </c>
      <c r="AD216" s="70">
        <f>IF($AA216="","",IFERROR(VLOOKUP($E216,OpTbl,13,0),""))</f>
        <v/>
      </c>
      <c r="AE216" s="76">
        <f>IF(OR($AD216="",$Q216="",$Q216=0,$AN216&lt;&gt;"بستانکار"),"",$Q216)</f>
        <v/>
      </c>
      <c r="AF216" s="76">
        <f>IF(OR($AD216="",$Q216="",$Q216=0,$AN216&lt;&gt;"بدهکار"),"",$Q216)</f>
        <v/>
      </c>
      <c r="AG216" s="76">
        <f>SUM($V216,$Y216,$AB216,$AE216)</f>
        <v/>
      </c>
      <c r="AH216" s="76">
        <f>SUM($W216,$Z216,$AC216,$AF216)</f>
        <v/>
      </c>
      <c r="AI216" s="70">
        <f>IF($E216="","",IF(ROUND($AG216-$AH216,0)=0,"✓","⚠"))</f>
        <v/>
      </c>
      <c r="AJ216" s="76">
        <f>IF(OR($E216="",$U216=""),"",IFERROR(IF(VLOOKUP($E216,OpTbl,6,0)="وزن",IF($P216="",0,$P216),IF(VLOOKUP($E216,OpTbl,6,0)="مبلغ",IF(AND($Q216&lt;&gt;"",$Q216&lt;&gt;0),$Q216,$P216),0))+IF(VLOOKUP($E216,OpTbl,10,0)="افزودن",IF($Q216="",0,$Q216),0),0))</f>
        <v/>
      </c>
      <c r="AK216" s="70">
        <f>IF($E216="","",IFERROR(VLOOKUP($E216,OpTbl,10,0),""))</f>
        <v/>
      </c>
      <c r="AL216" s="70">
        <f>IF(OR($E216="",$U216=""),"",IFERROR(IF(VLOOKUP($E216,OpTbl,7,0)="خودکار",$R216,VLOOKUP($E216,OpTbl,7,0)),""))</f>
        <v/>
      </c>
      <c r="AM216" s="70">
        <f>IF(OR($E216="",$X216=""),"",IFERROR(IF(VLOOKUP($E216,OpTbl,9,0)="خودکار",IF($AL216="بدهکار","بستانکار",IF($AL216="بستانکار","بدهکار","")),VLOOKUP($E216,OpTbl,9,0)),""))</f>
        <v/>
      </c>
      <c r="AN216" s="70">
        <f>IF($E216="","",IFERROR(VLOOKUP($E216,OpTbl,11,0),""))</f>
        <v/>
      </c>
      <c r="AO216" s="70">
        <f>IF($B216="","",MID($B216,6,2))</f>
        <v/>
      </c>
      <c r="AP216" s="76">
        <f>IF($B216="",0,1)</f>
        <v/>
      </c>
    </row>
    <row r="217" ht="21.75" customHeight="1">
      <c r="A217" s="70">
        <f>IF($B217="","",COUNTA($B$10:$B217))</f>
        <v/>
      </c>
      <c r="B217" s="71" t="n"/>
      <c r="C217" s="71" t="n"/>
      <c r="D217" s="71" t="n"/>
      <c r="E217" s="71" t="n"/>
      <c r="F217" s="70">
        <f>IF($E217="","",IFERROR(VLOOKUP($E217,OpTbl,2,0),""))</f>
        <v/>
      </c>
      <c r="G217" s="71" t="n"/>
      <c r="H217" s="73">
        <f>IF($U217="","",IFERROR(VLOOKUP($U217,AcctTbl,2,0),"کد ناشناخته"))</f>
        <v/>
      </c>
      <c r="I217" s="70">
        <f>IF($U217="","",IFERROR(VLOOKUP($U217,AcctTbl,3,0),""))</f>
        <v/>
      </c>
      <c r="J217" s="72" t="n"/>
      <c r="K217" s="71" t="n"/>
      <c r="L217" s="74" t="n"/>
      <c r="M217" s="74" t="n"/>
      <c r="N217" s="148">
        <f>IF(OR($E217="",$L217=""),"",IFERROR(($L217-IF($M217="",0,$M217)*IFERROR(VLOOKUP($K217,BasketTbl,4,0),IFERROR(INDEX(BasketTbl,MATCH($K217,BasketCodeCol,0),4),VLOOKUP("P01",ParamTbl,2,0))))*(1-IF(VLOOKUP($E217,OpTbl,3,0)="خرید",VLOOKUP("P02",ParamTbl,2,0),0)/100),""))</f>
        <v/>
      </c>
      <c r="O217" s="74" t="n"/>
      <c r="P217" s="76">
        <f>IF(OR($E217="",$L217=""),"",IFERROR(IF(VLOOKUP($E217,OpTbl,6,0)="وزن",ROUND($N217*$O217,-3),IF(VLOOKUP($E217,OpTbl,6,0)="مبلغ",ROUND($L217*$O217,-3),0)),""))</f>
        <v/>
      </c>
      <c r="Q217" s="74" t="n"/>
      <c r="R217" s="71" t="n"/>
      <c r="S217" s="77">
        <f>IF($E217="","",IF($AI217="⚠","⚠ ناتراز",IF(AND(IFERROR(VLOOKUP($E217,OpTbl,4,0),"")="بله",$L217=""),"⚠ وزن",IF(AND(IFERROR(VLOOKUP($E217,OpTbl,5,0),"")="بله",$U217=""),"⚠ حساب",IF(AND(IFERROR(VLOOKUP($E217,OpTbl,6,0),"")="مبلغ",$Q217=""),"⚠ مبلغ","✓")))))</f>
        <v/>
      </c>
      <c r="T217" s="72" t="n"/>
      <c r="U217" s="70">
        <f>IF($E217="","",IFERROR(IF(VLOOKUP($E217,OpTbl,14,0)&lt;&gt;"",VLOOKUP($E217,OpTbl,14,0),$G217),""))</f>
        <v/>
      </c>
      <c r="V217" s="76">
        <f>IF(OR($AJ217="",$AJ217=0,$AL217&lt;&gt;"بدهکار"),"",$AJ217)</f>
        <v/>
      </c>
      <c r="W217" s="76">
        <f>IF(OR($AJ217="",$AJ217=0,$AL217&lt;&gt;"بستانکار"),"",$AJ217)</f>
        <v/>
      </c>
      <c r="X217" s="70">
        <f>IF($E217="","",IFERROR(VLOOKUP($E217,OpTbl,8,0),""))</f>
        <v/>
      </c>
      <c r="Y217" s="76">
        <f>IF(OR($X217="",$AJ217="",$AJ217=0,$AM217&lt;&gt;"بدهکار"),"",$AJ217)</f>
        <v/>
      </c>
      <c r="Z217" s="76">
        <f>IF(OR($X217="",$AJ217="",$AJ217=0,$AM217&lt;&gt;"بستانکار"),"",$AJ217)</f>
        <v/>
      </c>
      <c r="AA217" s="70">
        <f>IF(OR($E217="",$AN217="—",$AN217=""),"",IFERROR(VLOOKUP($E217,OpTbl,12,0),""))</f>
        <v/>
      </c>
      <c r="AB217" s="76">
        <f>IF(OR($AA217="",$Q217="",$Q217=0,$AN217&lt;&gt;"بدهکار"),"",$Q217)</f>
        <v/>
      </c>
      <c r="AC217" s="76">
        <f>IF(OR($AA217="",$Q217="",$Q217=0,$AN217&lt;&gt;"بستانکار"),"",$Q217)</f>
        <v/>
      </c>
      <c r="AD217" s="70">
        <f>IF($AA217="","",IFERROR(VLOOKUP($E217,OpTbl,13,0),""))</f>
        <v/>
      </c>
      <c r="AE217" s="76">
        <f>IF(OR($AD217="",$Q217="",$Q217=0,$AN217&lt;&gt;"بستانکار"),"",$Q217)</f>
        <v/>
      </c>
      <c r="AF217" s="76">
        <f>IF(OR($AD217="",$Q217="",$Q217=0,$AN217&lt;&gt;"بدهکار"),"",$Q217)</f>
        <v/>
      </c>
      <c r="AG217" s="76">
        <f>SUM($V217,$Y217,$AB217,$AE217)</f>
        <v/>
      </c>
      <c r="AH217" s="76">
        <f>SUM($W217,$Z217,$AC217,$AF217)</f>
        <v/>
      </c>
      <c r="AI217" s="70">
        <f>IF($E217="","",IF(ROUND($AG217-$AH217,0)=0,"✓","⚠"))</f>
        <v/>
      </c>
      <c r="AJ217" s="76">
        <f>IF(OR($E217="",$U217=""),"",IFERROR(IF(VLOOKUP($E217,OpTbl,6,0)="وزن",IF($P217="",0,$P217),IF(VLOOKUP($E217,OpTbl,6,0)="مبلغ",IF(AND($Q217&lt;&gt;"",$Q217&lt;&gt;0),$Q217,$P217),0))+IF(VLOOKUP($E217,OpTbl,10,0)="افزودن",IF($Q217="",0,$Q217),0),0))</f>
        <v/>
      </c>
      <c r="AK217" s="70">
        <f>IF($E217="","",IFERROR(VLOOKUP($E217,OpTbl,10,0),""))</f>
        <v/>
      </c>
      <c r="AL217" s="70">
        <f>IF(OR($E217="",$U217=""),"",IFERROR(IF(VLOOKUP($E217,OpTbl,7,0)="خودکار",$R217,VLOOKUP($E217,OpTbl,7,0)),""))</f>
        <v/>
      </c>
      <c r="AM217" s="70">
        <f>IF(OR($E217="",$X217=""),"",IFERROR(IF(VLOOKUP($E217,OpTbl,9,0)="خودکار",IF($AL217="بدهکار","بستانکار",IF($AL217="بستانکار","بدهکار","")),VLOOKUP($E217,OpTbl,9,0)),""))</f>
        <v/>
      </c>
      <c r="AN217" s="70">
        <f>IF($E217="","",IFERROR(VLOOKUP($E217,OpTbl,11,0),""))</f>
        <v/>
      </c>
      <c r="AO217" s="70">
        <f>IF($B217="","",MID($B217,6,2))</f>
        <v/>
      </c>
      <c r="AP217" s="76">
        <f>IF($B217="",0,1)</f>
        <v/>
      </c>
    </row>
    <row r="218" ht="21.75" customHeight="1">
      <c r="A218" s="70">
        <f>IF($B218="","",COUNTA($B$10:$B218))</f>
        <v/>
      </c>
      <c r="B218" s="71" t="n"/>
      <c r="C218" s="71" t="n"/>
      <c r="D218" s="71" t="n"/>
      <c r="E218" s="71" t="n"/>
      <c r="F218" s="70">
        <f>IF($E218="","",IFERROR(VLOOKUP($E218,OpTbl,2,0),""))</f>
        <v/>
      </c>
      <c r="G218" s="71" t="n"/>
      <c r="H218" s="73">
        <f>IF($U218="","",IFERROR(VLOOKUP($U218,AcctTbl,2,0),"کد ناشناخته"))</f>
        <v/>
      </c>
      <c r="I218" s="70">
        <f>IF($U218="","",IFERROR(VLOOKUP($U218,AcctTbl,3,0),""))</f>
        <v/>
      </c>
      <c r="J218" s="72" t="n"/>
      <c r="K218" s="71" t="n"/>
      <c r="L218" s="74" t="n"/>
      <c r="M218" s="74" t="n"/>
      <c r="N218" s="148">
        <f>IF(OR($E218="",$L218=""),"",IFERROR(($L218-IF($M218="",0,$M218)*IFERROR(VLOOKUP($K218,BasketTbl,4,0),IFERROR(INDEX(BasketTbl,MATCH($K218,BasketCodeCol,0),4),VLOOKUP("P01",ParamTbl,2,0))))*(1-IF(VLOOKUP($E218,OpTbl,3,0)="خرید",VLOOKUP("P02",ParamTbl,2,0),0)/100),""))</f>
        <v/>
      </c>
      <c r="O218" s="74" t="n"/>
      <c r="P218" s="76">
        <f>IF(OR($E218="",$L218=""),"",IFERROR(IF(VLOOKUP($E218,OpTbl,6,0)="وزن",ROUND($N218*$O218,-3),IF(VLOOKUP($E218,OpTbl,6,0)="مبلغ",ROUND($L218*$O218,-3),0)),""))</f>
        <v/>
      </c>
      <c r="Q218" s="74" t="n"/>
      <c r="R218" s="71" t="n"/>
      <c r="S218" s="77">
        <f>IF($E218="","",IF($AI218="⚠","⚠ ناتراز",IF(AND(IFERROR(VLOOKUP($E218,OpTbl,4,0),"")="بله",$L218=""),"⚠ وزن",IF(AND(IFERROR(VLOOKUP($E218,OpTbl,5,0),"")="بله",$U218=""),"⚠ حساب",IF(AND(IFERROR(VLOOKUP($E218,OpTbl,6,0),"")="مبلغ",$Q218=""),"⚠ مبلغ","✓")))))</f>
        <v/>
      </c>
      <c r="T218" s="72" t="n"/>
      <c r="U218" s="70">
        <f>IF($E218="","",IFERROR(IF(VLOOKUP($E218,OpTbl,14,0)&lt;&gt;"",VLOOKUP($E218,OpTbl,14,0),$G218),""))</f>
        <v/>
      </c>
      <c r="V218" s="76">
        <f>IF(OR($AJ218="",$AJ218=0,$AL218&lt;&gt;"بدهکار"),"",$AJ218)</f>
        <v/>
      </c>
      <c r="W218" s="76">
        <f>IF(OR($AJ218="",$AJ218=0,$AL218&lt;&gt;"بستانکار"),"",$AJ218)</f>
        <v/>
      </c>
      <c r="X218" s="70">
        <f>IF($E218="","",IFERROR(VLOOKUP($E218,OpTbl,8,0),""))</f>
        <v/>
      </c>
      <c r="Y218" s="76">
        <f>IF(OR($X218="",$AJ218="",$AJ218=0,$AM218&lt;&gt;"بدهکار"),"",$AJ218)</f>
        <v/>
      </c>
      <c r="Z218" s="76">
        <f>IF(OR($X218="",$AJ218="",$AJ218=0,$AM218&lt;&gt;"بستانکار"),"",$AJ218)</f>
        <v/>
      </c>
      <c r="AA218" s="70">
        <f>IF(OR($E218="",$AN218="—",$AN218=""),"",IFERROR(VLOOKUP($E218,OpTbl,12,0),""))</f>
        <v/>
      </c>
      <c r="AB218" s="76">
        <f>IF(OR($AA218="",$Q218="",$Q218=0,$AN218&lt;&gt;"بدهکار"),"",$Q218)</f>
        <v/>
      </c>
      <c r="AC218" s="76">
        <f>IF(OR($AA218="",$Q218="",$Q218=0,$AN218&lt;&gt;"بستانکار"),"",$Q218)</f>
        <v/>
      </c>
      <c r="AD218" s="70">
        <f>IF($AA218="","",IFERROR(VLOOKUP($E218,OpTbl,13,0),""))</f>
        <v/>
      </c>
      <c r="AE218" s="76">
        <f>IF(OR($AD218="",$Q218="",$Q218=0,$AN218&lt;&gt;"بستانکار"),"",$Q218)</f>
        <v/>
      </c>
      <c r="AF218" s="76">
        <f>IF(OR($AD218="",$Q218="",$Q218=0,$AN218&lt;&gt;"بدهکار"),"",$Q218)</f>
        <v/>
      </c>
      <c r="AG218" s="76">
        <f>SUM($V218,$Y218,$AB218,$AE218)</f>
        <v/>
      </c>
      <c r="AH218" s="76">
        <f>SUM($W218,$Z218,$AC218,$AF218)</f>
        <v/>
      </c>
      <c r="AI218" s="70">
        <f>IF($E218="","",IF(ROUND($AG218-$AH218,0)=0,"✓","⚠"))</f>
        <v/>
      </c>
      <c r="AJ218" s="76">
        <f>IF(OR($E218="",$U218=""),"",IFERROR(IF(VLOOKUP($E218,OpTbl,6,0)="وزن",IF($P218="",0,$P218),IF(VLOOKUP($E218,OpTbl,6,0)="مبلغ",IF(AND($Q218&lt;&gt;"",$Q218&lt;&gt;0),$Q218,$P218),0))+IF(VLOOKUP($E218,OpTbl,10,0)="افزودن",IF($Q218="",0,$Q218),0),0))</f>
        <v/>
      </c>
      <c r="AK218" s="70">
        <f>IF($E218="","",IFERROR(VLOOKUP($E218,OpTbl,10,0),""))</f>
        <v/>
      </c>
      <c r="AL218" s="70">
        <f>IF(OR($E218="",$U218=""),"",IFERROR(IF(VLOOKUP($E218,OpTbl,7,0)="خودکار",$R218,VLOOKUP($E218,OpTbl,7,0)),""))</f>
        <v/>
      </c>
      <c r="AM218" s="70">
        <f>IF(OR($E218="",$X218=""),"",IFERROR(IF(VLOOKUP($E218,OpTbl,9,0)="خودکار",IF($AL218="بدهکار","بستانکار",IF($AL218="بستانکار","بدهکار","")),VLOOKUP($E218,OpTbl,9,0)),""))</f>
        <v/>
      </c>
      <c r="AN218" s="70">
        <f>IF($E218="","",IFERROR(VLOOKUP($E218,OpTbl,11,0),""))</f>
        <v/>
      </c>
      <c r="AO218" s="70">
        <f>IF($B218="","",MID($B218,6,2))</f>
        <v/>
      </c>
      <c r="AP218" s="76">
        <f>IF($B218="",0,1)</f>
        <v/>
      </c>
    </row>
    <row r="219" ht="21.75" customHeight="1">
      <c r="A219" s="70">
        <f>IF($B219="","",COUNTA($B$10:$B219))</f>
        <v/>
      </c>
      <c r="B219" s="71" t="n"/>
      <c r="C219" s="71" t="n"/>
      <c r="D219" s="71" t="n"/>
      <c r="E219" s="71" t="n"/>
      <c r="F219" s="70">
        <f>IF($E219="","",IFERROR(VLOOKUP($E219,OpTbl,2,0),""))</f>
        <v/>
      </c>
      <c r="G219" s="71" t="n"/>
      <c r="H219" s="73">
        <f>IF($U219="","",IFERROR(VLOOKUP($U219,AcctTbl,2,0),"کد ناشناخته"))</f>
        <v/>
      </c>
      <c r="I219" s="70">
        <f>IF($U219="","",IFERROR(VLOOKUP($U219,AcctTbl,3,0),""))</f>
        <v/>
      </c>
      <c r="J219" s="72" t="n"/>
      <c r="K219" s="71" t="n"/>
      <c r="L219" s="74" t="n"/>
      <c r="M219" s="74" t="n"/>
      <c r="N219" s="148">
        <f>IF(OR($E219="",$L219=""),"",IFERROR(($L219-IF($M219="",0,$M219)*IFERROR(VLOOKUP($K219,BasketTbl,4,0),IFERROR(INDEX(BasketTbl,MATCH($K219,BasketCodeCol,0),4),VLOOKUP("P01",ParamTbl,2,0))))*(1-IF(VLOOKUP($E219,OpTbl,3,0)="خرید",VLOOKUP("P02",ParamTbl,2,0),0)/100),""))</f>
        <v/>
      </c>
      <c r="O219" s="74" t="n"/>
      <c r="P219" s="76">
        <f>IF(OR($E219="",$L219=""),"",IFERROR(IF(VLOOKUP($E219,OpTbl,6,0)="وزن",ROUND($N219*$O219,-3),IF(VLOOKUP($E219,OpTbl,6,0)="مبلغ",ROUND($L219*$O219,-3),0)),""))</f>
        <v/>
      </c>
      <c r="Q219" s="74" t="n"/>
      <c r="R219" s="71" t="n"/>
      <c r="S219" s="77">
        <f>IF($E219="","",IF($AI219="⚠","⚠ ناتراز",IF(AND(IFERROR(VLOOKUP($E219,OpTbl,4,0),"")="بله",$L219=""),"⚠ وزن",IF(AND(IFERROR(VLOOKUP($E219,OpTbl,5,0),"")="بله",$U219=""),"⚠ حساب",IF(AND(IFERROR(VLOOKUP($E219,OpTbl,6,0),"")="مبلغ",$Q219=""),"⚠ مبلغ","✓")))))</f>
        <v/>
      </c>
      <c r="T219" s="72" t="n"/>
      <c r="U219" s="70">
        <f>IF($E219="","",IFERROR(IF(VLOOKUP($E219,OpTbl,14,0)&lt;&gt;"",VLOOKUP($E219,OpTbl,14,0),$G219),""))</f>
        <v/>
      </c>
      <c r="V219" s="76">
        <f>IF(OR($AJ219="",$AJ219=0,$AL219&lt;&gt;"بدهکار"),"",$AJ219)</f>
        <v/>
      </c>
      <c r="W219" s="76">
        <f>IF(OR($AJ219="",$AJ219=0,$AL219&lt;&gt;"بستانکار"),"",$AJ219)</f>
        <v/>
      </c>
      <c r="X219" s="70">
        <f>IF($E219="","",IFERROR(VLOOKUP($E219,OpTbl,8,0),""))</f>
        <v/>
      </c>
      <c r="Y219" s="76">
        <f>IF(OR($X219="",$AJ219="",$AJ219=0,$AM219&lt;&gt;"بدهکار"),"",$AJ219)</f>
        <v/>
      </c>
      <c r="Z219" s="76">
        <f>IF(OR($X219="",$AJ219="",$AJ219=0,$AM219&lt;&gt;"بستانکار"),"",$AJ219)</f>
        <v/>
      </c>
      <c r="AA219" s="70">
        <f>IF(OR($E219="",$AN219="—",$AN219=""),"",IFERROR(VLOOKUP($E219,OpTbl,12,0),""))</f>
        <v/>
      </c>
      <c r="AB219" s="76">
        <f>IF(OR($AA219="",$Q219="",$Q219=0,$AN219&lt;&gt;"بدهکار"),"",$Q219)</f>
        <v/>
      </c>
      <c r="AC219" s="76">
        <f>IF(OR($AA219="",$Q219="",$Q219=0,$AN219&lt;&gt;"بستانکار"),"",$Q219)</f>
        <v/>
      </c>
      <c r="AD219" s="70">
        <f>IF($AA219="","",IFERROR(VLOOKUP($E219,OpTbl,13,0),""))</f>
        <v/>
      </c>
      <c r="AE219" s="76">
        <f>IF(OR($AD219="",$Q219="",$Q219=0,$AN219&lt;&gt;"بستانکار"),"",$Q219)</f>
        <v/>
      </c>
      <c r="AF219" s="76">
        <f>IF(OR($AD219="",$Q219="",$Q219=0,$AN219&lt;&gt;"بدهکار"),"",$Q219)</f>
        <v/>
      </c>
      <c r="AG219" s="76">
        <f>SUM($V219,$Y219,$AB219,$AE219)</f>
        <v/>
      </c>
      <c r="AH219" s="76">
        <f>SUM($W219,$Z219,$AC219,$AF219)</f>
        <v/>
      </c>
      <c r="AI219" s="70">
        <f>IF($E219="","",IF(ROUND($AG219-$AH219,0)=0,"✓","⚠"))</f>
        <v/>
      </c>
      <c r="AJ219" s="76">
        <f>IF(OR($E219="",$U219=""),"",IFERROR(IF(VLOOKUP($E219,OpTbl,6,0)="وزن",IF($P219="",0,$P219),IF(VLOOKUP($E219,OpTbl,6,0)="مبلغ",IF(AND($Q219&lt;&gt;"",$Q219&lt;&gt;0),$Q219,$P219),0))+IF(VLOOKUP($E219,OpTbl,10,0)="افزودن",IF($Q219="",0,$Q219),0),0))</f>
        <v/>
      </c>
      <c r="AK219" s="70">
        <f>IF($E219="","",IFERROR(VLOOKUP($E219,OpTbl,10,0),""))</f>
        <v/>
      </c>
      <c r="AL219" s="70">
        <f>IF(OR($E219="",$U219=""),"",IFERROR(IF(VLOOKUP($E219,OpTbl,7,0)="خودکار",$R219,VLOOKUP($E219,OpTbl,7,0)),""))</f>
        <v/>
      </c>
      <c r="AM219" s="70">
        <f>IF(OR($E219="",$X219=""),"",IFERROR(IF(VLOOKUP($E219,OpTbl,9,0)="خودکار",IF($AL219="بدهکار","بستانکار",IF($AL219="بستانکار","بدهکار","")),VLOOKUP($E219,OpTbl,9,0)),""))</f>
        <v/>
      </c>
      <c r="AN219" s="70">
        <f>IF($E219="","",IFERROR(VLOOKUP($E219,OpTbl,11,0),""))</f>
        <v/>
      </c>
      <c r="AO219" s="70">
        <f>IF($B219="","",MID($B219,6,2))</f>
        <v/>
      </c>
      <c r="AP219" s="76">
        <f>IF($B219="",0,1)</f>
        <v/>
      </c>
    </row>
    <row r="220" ht="21.75" customHeight="1">
      <c r="A220" s="70">
        <f>IF($B220="","",COUNTA($B$10:$B220))</f>
        <v/>
      </c>
      <c r="B220" s="71" t="n"/>
      <c r="C220" s="71" t="n"/>
      <c r="D220" s="71" t="n"/>
      <c r="E220" s="71" t="n"/>
      <c r="F220" s="70">
        <f>IF($E220="","",IFERROR(VLOOKUP($E220,OpTbl,2,0),""))</f>
        <v/>
      </c>
      <c r="G220" s="71" t="n"/>
      <c r="H220" s="73">
        <f>IF($U220="","",IFERROR(VLOOKUP($U220,AcctTbl,2,0),"کد ناشناخته"))</f>
        <v/>
      </c>
      <c r="I220" s="70">
        <f>IF($U220="","",IFERROR(VLOOKUP($U220,AcctTbl,3,0),""))</f>
        <v/>
      </c>
      <c r="J220" s="72" t="n"/>
      <c r="K220" s="71" t="n"/>
      <c r="L220" s="74" t="n"/>
      <c r="M220" s="74" t="n"/>
      <c r="N220" s="148">
        <f>IF(OR($E220="",$L220=""),"",IFERROR(($L220-IF($M220="",0,$M220)*IFERROR(VLOOKUP($K220,BasketTbl,4,0),IFERROR(INDEX(BasketTbl,MATCH($K220,BasketCodeCol,0),4),VLOOKUP("P01",ParamTbl,2,0))))*(1-IF(VLOOKUP($E220,OpTbl,3,0)="خرید",VLOOKUP("P02",ParamTbl,2,0),0)/100),""))</f>
        <v/>
      </c>
      <c r="O220" s="74" t="n"/>
      <c r="P220" s="76">
        <f>IF(OR($E220="",$L220=""),"",IFERROR(IF(VLOOKUP($E220,OpTbl,6,0)="وزن",ROUND($N220*$O220,-3),IF(VLOOKUP($E220,OpTbl,6,0)="مبلغ",ROUND($L220*$O220,-3),0)),""))</f>
        <v/>
      </c>
      <c r="Q220" s="74" t="n"/>
      <c r="R220" s="71" t="n"/>
      <c r="S220" s="77">
        <f>IF($E220="","",IF($AI220="⚠","⚠ ناتراز",IF(AND(IFERROR(VLOOKUP($E220,OpTbl,4,0),"")="بله",$L220=""),"⚠ وزن",IF(AND(IFERROR(VLOOKUP($E220,OpTbl,5,0),"")="بله",$U220=""),"⚠ حساب",IF(AND(IFERROR(VLOOKUP($E220,OpTbl,6,0),"")="مبلغ",$Q220=""),"⚠ مبلغ","✓")))))</f>
        <v/>
      </c>
      <c r="T220" s="72" t="n"/>
      <c r="U220" s="70">
        <f>IF($E220="","",IFERROR(IF(VLOOKUP($E220,OpTbl,14,0)&lt;&gt;"",VLOOKUP($E220,OpTbl,14,0),$G220),""))</f>
        <v/>
      </c>
      <c r="V220" s="76">
        <f>IF(OR($AJ220="",$AJ220=0,$AL220&lt;&gt;"بدهکار"),"",$AJ220)</f>
        <v/>
      </c>
      <c r="W220" s="76">
        <f>IF(OR($AJ220="",$AJ220=0,$AL220&lt;&gt;"بستانکار"),"",$AJ220)</f>
        <v/>
      </c>
      <c r="X220" s="70">
        <f>IF($E220="","",IFERROR(VLOOKUP($E220,OpTbl,8,0),""))</f>
        <v/>
      </c>
      <c r="Y220" s="76">
        <f>IF(OR($X220="",$AJ220="",$AJ220=0,$AM220&lt;&gt;"بدهکار"),"",$AJ220)</f>
        <v/>
      </c>
      <c r="Z220" s="76">
        <f>IF(OR($X220="",$AJ220="",$AJ220=0,$AM220&lt;&gt;"بستانکار"),"",$AJ220)</f>
        <v/>
      </c>
      <c r="AA220" s="70">
        <f>IF(OR($E220="",$AN220="—",$AN220=""),"",IFERROR(VLOOKUP($E220,OpTbl,12,0),""))</f>
        <v/>
      </c>
      <c r="AB220" s="76">
        <f>IF(OR($AA220="",$Q220="",$Q220=0,$AN220&lt;&gt;"بدهکار"),"",$Q220)</f>
        <v/>
      </c>
      <c r="AC220" s="76">
        <f>IF(OR($AA220="",$Q220="",$Q220=0,$AN220&lt;&gt;"بستانکار"),"",$Q220)</f>
        <v/>
      </c>
      <c r="AD220" s="70">
        <f>IF($AA220="","",IFERROR(VLOOKUP($E220,OpTbl,13,0),""))</f>
        <v/>
      </c>
      <c r="AE220" s="76">
        <f>IF(OR($AD220="",$Q220="",$Q220=0,$AN220&lt;&gt;"بستانکار"),"",$Q220)</f>
        <v/>
      </c>
      <c r="AF220" s="76">
        <f>IF(OR($AD220="",$Q220="",$Q220=0,$AN220&lt;&gt;"بدهکار"),"",$Q220)</f>
        <v/>
      </c>
      <c r="AG220" s="76">
        <f>SUM($V220,$Y220,$AB220,$AE220)</f>
        <v/>
      </c>
      <c r="AH220" s="76">
        <f>SUM($W220,$Z220,$AC220,$AF220)</f>
        <v/>
      </c>
      <c r="AI220" s="70">
        <f>IF($E220="","",IF(ROUND($AG220-$AH220,0)=0,"✓","⚠"))</f>
        <v/>
      </c>
      <c r="AJ220" s="76">
        <f>IF(OR($E220="",$U220=""),"",IFERROR(IF(VLOOKUP($E220,OpTbl,6,0)="وزن",IF($P220="",0,$P220),IF(VLOOKUP($E220,OpTbl,6,0)="مبلغ",IF(AND($Q220&lt;&gt;"",$Q220&lt;&gt;0),$Q220,$P220),0))+IF(VLOOKUP($E220,OpTbl,10,0)="افزودن",IF($Q220="",0,$Q220),0),0))</f>
        <v/>
      </c>
      <c r="AK220" s="70">
        <f>IF($E220="","",IFERROR(VLOOKUP($E220,OpTbl,10,0),""))</f>
        <v/>
      </c>
      <c r="AL220" s="70">
        <f>IF(OR($E220="",$U220=""),"",IFERROR(IF(VLOOKUP($E220,OpTbl,7,0)="خودکار",$R220,VLOOKUP($E220,OpTbl,7,0)),""))</f>
        <v/>
      </c>
      <c r="AM220" s="70">
        <f>IF(OR($E220="",$X220=""),"",IFERROR(IF(VLOOKUP($E220,OpTbl,9,0)="خودکار",IF($AL220="بدهکار","بستانکار",IF($AL220="بستانکار","بدهکار","")),VLOOKUP($E220,OpTbl,9,0)),""))</f>
        <v/>
      </c>
      <c r="AN220" s="70">
        <f>IF($E220="","",IFERROR(VLOOKUP($E220,OpTbl,11,0),""))</f>
        <v/>
      </c>
      <c r="AO220" s="70">
        <f>IF($B220="","",MID($B220,6,2))</f>
        <v/>
      </c>
      <c r="AP220" s="76">
        <f>IF($B220="",0,1)</f>
        <v/>
      </c>
    </row>
    <row r="221" ht="21.75" customHeight="1">
      <c r="A221" s="70">
        <f>IF($B221="","",COUNTA($B$10:$B221))</f>
        <v/>
      </c>
      <c r="B221" s="71" t="n"/>
      <c r="C221" s="71" t="n"/>
      <c r="D221" s="71" t="n"/>
      <c r="E221" s="71" t="n"/>
      <c r="F221" s="70">
        <f>IF($E221="","",IFERROR(VLOOKUP($E221,OpTbl,2,0),""))</f>
        <v/>
      </c>
      <c r="G221" s="71" t="n"/>
      <c r="H221" s="73">
        <f>IF($U221="","",IFERROR(VLOOKUP($U221,AcctTbl,2,0),"کد ناشناخته"))</f>
        <v/>
      </c>
      <c r="I221" s="70">
        <f>IF($U221="","",IFERROR(VLOOKUP($U221,AcctTbl,3,0),""))</f>
        <v/>
      </c>
      <c r="J221" s="72" t="n"/>
      <c r="K221" s="71" t="n"/>
      <c r="L221" s="74" t="n"/>
      <c r="M221" s="74" t="n"/>
      <c r="N221" s="148">
        <f>IF(OR($E221="",$L221=""),"",IFERROR(($L221-IF($M221="",0,$M221)*IFERROR(VLOOKUP($K221,BasketTbl,4,0),IFERROR(INDEX(BasketTbl,MATCH($K221,BasketCodeCol,0),4),VLOOKUP("P01",ParamTbl,2,0))))*(1-IF(VLOOKUP($E221,OpTbl,3,0)="خرید",VLOOKUP("P02",ParamTbl,2,0),0)/100),""))</f>
        <v/>
      </c>
      <c r="O221" s="74" t="n"/>
      <c r="P221" s="76">
        <f>IF(OR($E221="",$L221=""),"",IFERROR(IF(VLOOKUP($E221,OpTbl,6,0)="وزن",ROUND($N221*$O221,-3),IF(VLOOKUP($E221,OpTbl,6,0)="مبلغ",ROUND($L221*$O221,-3),0)),""))</f>
        <v/>
      </c>
      <c r="Q221" s="74" t="n"/>
      <c r="R221" s="71" t="n"/>
      <c r="S221" s="77">
        <f>IF($E221="","",IF($AI221="⚠","⚠ ناتراز",IF(AND(IFERROR(VLOOKUP($E221,OpTbl,4,0),"")="بله",$L221=""),"⚠ وزن",IF(AND(IFERROR(VLOOKUP($E221,OpTbl,5,0),"")="بله",$U221=""),"⚠ حساب",IF(AND(IFERROR(VLOOKUP($E221,OpTbl,6,0),"")="مبلغ",$Q221=""),"⚠ مبلغ","✓")))))</f>
        <v/>
      </c>
      <c r="T221" s="72" t="n"/>
      <c r="U221" s="70">
        <f>IF($E221="","",IFERROR(IF(VLOOKUP($E221,OpTbl,14,0)&lt;&gt;"",VLOOKUP($E221,OpTbl,14,0),$G221),""))</f>
        <v/>
      </c>
      <c r="V221" s="76">
        <f>IF(OR($AJ221="",$AJ221=0,$AL221&lt;&gt;"بدهکار"),"",$AJ221)</f>
        <v/>
      </c>
      <c r="W221" s="76">
        <f>IF(OR($AJ221="",$AJ221=0,$AL221&lt;&gt;"بستانکار"),"",$AJ221)</f>
        <v/>
      </c>
      <c r="X221" s="70">
        <f>IF($E221="","",IFERROR(VLOOKUP($E221,OpTbl,8,0),""))</f>
        <v/>
      </c>
      <c r="Y221" s="76">
        <f>IF(OR($X221="",$AJ221="",$AJ221=0,$AM221&lt;&gt;"بدهکار"),"",$AJ221)</f>
        <v/>
      </c>
      <c r="Z221" s="76">
        <f>IF(OR($X221="",$AJ221="",$AJ221=0,$AM221&lt;&gt;"بستانکار"),"",$AJ221)</f>
        <v/>
      </c>
      <c r="AA221" s="70">
        <f>IF(OR($E221="",$AN221="—",$AN221=""),"",IFERROR(VLOOKUP($E221,OpTbl,12,0),""))</f>
        <v/>
      </c>
      <c r="AB221" s="76">
        <f>IF(OR($AA221="",$Q221="",$Q221=0,$AN221&lt;&gt;"بدهکار"),"",$Q221)</f>
        <v/>
      </c>
      <c r="AC221" s="76">
        <f>IF(OR($AA221="",$Q221="",$Q221=0,$AN221&lt;&gt;"بستانکار"),"",$Q221)</f>
        <v/>
      </c>
      <c r="AD221" s="70">
        <f>IF($AA221="","",IFERROR(VLOOKUP($E221,OpTbl,13,0),""))</f>
        <v/>
      </c>
      <c r="AE221" s="76">
        <f>IF(OR($AD221="",$Q221="",$Q221=0,$AN221&lt;&gt;"بستانکار"),"",$Q221)</f>
        <v/>
      </c>
      <c r="AF221" s="76">
        <f>IF(OR($AD221="",$Q221="",$Q221=0,$AN221&lt;&gt;"بدهکار"),"",$Q221)</f>
        <v/>
      </c>
      <c r="AG221" s="76">
        <f>SUM($V221,$Y221,$AB221,$AE221)</f>
        <v/>
      </c>
      <c r="AH221" s="76">
        <f>SUM($W221,$Z221,$AC221,$AF221)</f>
        <v/>
      </c>
      <c r="AI221" s="70">
        <f>IF($E221="","",IF(ROUND($AG221-$AH221,0)=0,"✓","⚠"))</f>
        <v/>
      </c>
      <c r="AJ221" s="76">
        <f>IF(OR($E221="",$U221=""),"",IFERROR(IF(VLOOKUP($E221,OpTbl,6,0)="وزن",IF($P221="",0,$P221),IF(VLOOKUP($E221,OpTbl,6,0)="مبلغ",IF(AND($Q221&lt;&gt;"",$Q221&lt;&gt;0),$Q221,$P221),0))+IF(VLOOKUP($E221,OpTbl,10,0)="افزودن",IF($Q221="",0,$Q221),0),0))</f>
        <v/>
      </c>
      <c r="AK221" s="70">
        <f>IF($E221="","",IFERROR(VLOOKUP($E221,OpTbl,10,0),""))</f>
        <v/>
      </c>
      <c r="AL221" s="70">
        <f>IF(OR($E221="",$U221=""),"",IFERROR(IF(VLOOKUP($E221,OpTbl,7,0)="خودکار",$R221,VLOOKUP($E221,OpTbl,7,0)),""))</f>
        <v/>
      </c>
      <c r="AM221" s="70">
        <f>IF(OR($E221="",$X221=""),"",IFERROR(IF(VLOOKUP($E221,OpTbl,9,0)="خودکار",IF($AL221="بدهکار","بستانکار",IF($AL221="بستانکار","بدهکار","")),VLOOKUP($E221,OpTbl,9,0)),""))</f>
        <v/>
      </c>
      <c r="AN221" s="70">
        <f>IF($E221="","",IFERROR(VLOOKUP($E221,OpTbl,11,0),""))</f>
        <v/>
      </c>
      <c r="AO221" s="70">
        <f>IF($B221="","",MID($B221,6,2))</f>
        <v/>
      </c>
      <c r="AP221" s="76">
        <f>IF($B221="",0,1)</f>
        <v/>
      </c>
    </row>
    <row r="222" ht="21.75" customHeight="1">
      <c r="A222" s="70">
        <f>IF($B222="","",COUNTA($B$10:$B222))</f>
        <v/>
      </c>
      <c r="B222" s="71" t="n"/>
      <c r="C222" s="71" t="n"/>
      <c r="D222" s="71" t="n"/>
      <c r="E222" s="71" t="n"/>
      <c r="F222" s="70">
        <f>IF($E222="","",IFERROR(VLOOKUP($E222,OpTbl,2,0),""))</f>
        <v/>
      </c>
      <c r="G222" s="71" t="n"/>
      <c r="H222" s="73">
        <f>IF($U222="","",IFERROR(VLOOKUP($U222,AcctTbl,2,0),"کد ناشناخته"))</f>
        <v/>
      </c>
      <c r="I222" s="70">
        <f>IF($U222="","",IFERROR(VLOOKUP($U222,AcctTbl,3,0),""))</f>
        <v/>
      </c>
      <c r="J222" s="72" t="n"/>
      <c r="K222" s="71" t="n"/>
      <c r="L222" s="74" t="n"/>
      <c r="M222" s="74" t="n"/>
      <c r="N222" s="148">
        <f>IF(OR($E222="",$L222=""),"",IFERROR(($L222-IF($M222="",0,$M222)*IFERROR(VLOOKUP($K222,BasketTbl,4,0),IFERROR(INDEX(BasketTbl,MATCH($K222,BasketCodeCol,0),4),VLOOKUP("P01",ParamTbl,2,0))))*(1-IF(VLOOKUP($E222,OpTbl,3,0)="خرید",VLOOKUP("P02",ParamTbl,2,0),0)/100),""))</f>
        <v/>
      </c>
      <c r="O222" s="74" t="n"/>
      <c r="P222" s="76">
        <f>IF(OR($E222="",$L222=""),"",IFERROR(IF(VLOOKUP($E222,OpTbl,6,0)="وزن",ROUND($N222*$O222,-3),IF(VLOOKUP($E222,OpTbl,6,0)="مبلغ",ROUND($L222*$O222,-3),0)),""))</f>
        <v/>
      </c>
      <c r="Q222" s="74" t="n"/>
      <c r="R222" s="71" t="n"/>
      <c r="S222" s="77">
        <f>IF($E222="","",IF($AI222="⚠","⚠ ناتراز",IF(AND(IFERROR(VLOOKUP($E222,OpTbl,4,0),"")="بله",$L222=""),"⚠ وزن",IF(AND(IFERROR(VLOOKUP($E222,OpTbl,5,0),"")="بله",$U222=""),"⚠ حساب",IF(AND(IFERROR(VLOOKUP($E222,OpTbl,6,0),"")="مبلغ",$Q222=""),"⚠ مبلغ","✓")))))</f>
        <v/>
      </c>
      <c r="T222" s="72" t="n"/>
      <c r="U222" s="70">
        <f>IF($E222="","",IFERROR(IF(VLOOKUP($E222,OpTbl,14,0)&lt;&gt;"",VLOOKUP($E222,OpTbl,14,0),$G222),""))</f>
        <v/>
      </c>
      <c r="V222" s="76">
        <f>IF(OR($AJ222="",$AJ222=0,$AL222&lt;&gt;"بدهکار"),"",$AJ222)</f>
        <v/>
      </c>
      <c r="W222" s="76">
        <f>IF(OR($AJ222="",$AJ222=0,$AL222&lt;&gt;"بستانکار"),"",$AJ222)</f>
        <v/>
      </c>
      <c r="X222" s="70">
        <f>IF($E222="","",IFERROR(VLOOKUP($E222,OpTbl,8,0),""))</f>
        <v/>
      </c>
      <c r="Y222" s="76">
        <f>IF(OR($X222="",$AJ222="",$AJ222=0,$AM222&lt;&gt;"بدهکار"),"",$AJ222)</f>
        <v/>
      </c>
      <c r="Z222" s="76">
        <f>IF(OR($X222="",$AJ222="",$AJ222=0,$AM222&lt;&gt;"بستانکار"),"",$AJ222)</f>
        <v/>
      </c>
      <c r="AA222" s="70">
        <f>IF(OR($E222="",$AN222="—",$AN222=""),"",IFERROR(VLOOKUP($E222,OpTbl,12,0),""))</f>
        <v/>
      </c>
      <c r="AB222" s="76">
        <f>IF(OR($AA222="",$Q222="",$Q222=0,$AN222&lt;&gt;"بدهکار"),"",$Q222)</f>
        <v/>
      </c>
      <c r="AC222" s="76">
        <f>IF(OR($AA222="",$Q222="",$Q222=0,$AN222&lt;&gt;"بستانکار"),"",$Q222)</f>
        <v/>
      </c>
      <c r="AD222" s="70">
        <f>IF($AA222="","",IFERROR(VLOOKUP($E222,OpTbl,13,0),""))</f>
        <v/>
      </c>
      <c r="AE222" s="76">
        <f>IF(OR($AD222="",$Q222="",$Q222=0,$AN222&lt;&gt;"بستانکار"),"",$Q222)</f>
        <v/>
      </c>
      <c r="AF222" s="76">
        <f>IF(OR($AD222="",$Q222="",$Q222=0,$AN222&lt;&gt;"بدهکار"),"",$Q222)</f>
        <v/>
      </c>
      <c r="AG222" s="76">
        <f>SUM($V222,$Y222,$AB222,$AE222)</f>
        <v/>
      </c>
      <c r="AH222" s="76">
        <f>SUM($W222,$Z222,$AC222,$AF222)</f>
        <v/>
      </c>
      <c r="AI222" s="70">
        <f>IF($E222="","",IF(ROUND($AG222-$AH222,0)=0,"✓","⚠"))</f>
        <v/>
      </c>
      <c r="AJ222" s="76">
        <f>IF(OR($E222="",$U222=""),"",IFERROR(IF(VLOOKUP($E222,OpTbl,6,0)="وزن",IF($P222="",0,$P222),IF(VLOOKUP($E222,OpTbl,6,0)="مبلغ",IF(AND($Q222&lt;&gt;"",$Q222&lt;&gt;0),$Q222,$P222),0))+IF(VLOOKUP($E222,OpTbl,10,0)="افزودن",IF($Q222="",0,$Q222),0),0))</f>
        <v/>
      </c>
      <c r="AK222" s="70">
        <f>IF($E222="","",IFERROR(VLOOKUP($E222,OpTbl,10,0),""))</f>
        <v/>
      </c>
      <c r="AL222" s="70">
        <f>IF(OR($E222="",$U222=""),"",IFERROR(IF(VLOOKUP($E222,OpTbl,7,0)="خودکار",$R222,VLOOKUP($E222,OpTbl,7,0)),""))</f>
        <v/>
      </c>
      <c r="AM222" s="70">
        <f>IF(OR($E222="",$X222=""),"",IFERROR(IF(VLOOKUP($E222,OpTbl,9,0)="خودکار",IF($AL222="بدهکار","بستانکار",IF($AL222="بستانکار","بدهکار","")),VLOOKUP($E222,OpTbl,9,0)),""))</f>
        <v/>
      </c>
      <c r="AN222" s="70">
        <f>IF($E222="","",IFERROR(VLOOKUP($E222,OpTbl,11,0),""))</f>
        <v/>
      </c>
      <c r="AO222" s="70">
        <f>IF($B222="","",MID($B222,6,2))</f>
        <v/>
      </c>
      <c r="AP222" s="76">
        <f>IF($B222="",0,1)</f>
        <v/>
      </c>
    </row>
    <row r="223" ht="21.75" customHeight="1">
      <c r="A223" s="70">
        <f>IF($B223="","",COUNTA($B$10:$B223))</f>
        <v/>
      </c>
      <c r="B223" s="71" t="n"/>
      <c r="C223" s="71" t="n"/>
      <c r="D223" s="71" t="n"/>
      <c r="E223" s="71" t="n"/>
      <c r="F223" s="70">
        <f>IF($E223="","",IFERROR(VLOOKUP($E223,OpTbl,2,0),""))</f>
        <v/>
      </c>
      <c r="G223" s="71" t="n"/>
      <c r="H223" s="73">
        <f>IF($U223="","",IFERROR(VLOOKUP($U223,AcctTbl,2,0),"کد ناشناخته"))</f>
        <v/>
      </c>
      <c r="I223" s="70">
        <f>IF($U223="","",IFERROR(VLOOKUP($U223,AcctTbl,3,0),""))</f>
        <v/>
      </c>
      <c r="J223" s="72" t="n"/>
      <c r="K223" s="71" t="n"/>
      <c r="L223" s="74" t="n"/>
      <c r="M223" s="74" t="n"/>
      <c r="N223" s="148">
        <f>IF(OR($E223="",$L223=""),"",IFERROR(($L223-IF($M223="",0,$M223)*IFERROR(VLOOKUP($K223,BasketTbl,4,0),IFERROR(INDEX(BasketTbl,MATCH($K223,BasketCodeCol,0),4),VLOOKUP("P01",ParamTbl,2,0))))*(1-IF(VLOOKUP($E223,OpTbl,3,0)="خرید",VLOOKUP("P02",ParamTbl,2,0),0)/100),""))</f>
        <v/>
      </c>
      <c r="O223" s="74" t="n"/>
      <c r="P223" s="76">
        <f>IF(OR($E223="",$L223=""),"",IFERROR(IF(VLOOKUP($E223,OpTbl,6,0)="وزن",ROUND($N223*$O223,-3),IF(VLOOKUP($E223,OpTbl,6,0)="مبلغ",ROUND($L223*$O223,-3),0)),""))</f>
        <v/>
      </c>
      <c r="Q223" s="74" t="n"/>
      <c r="R223" s="71" t="n"/>
      <c r="S223" s="77">
        <f>IF($E223="","",IF($AI223="⚠","⚠ ناتراز",IF(AND(IFERROR(VLOOKUP($E223,OpTbl,4,0),"")="بله",$L223=""),"⚠ وزن",IF(AND(IFERROR(VLOOKUP($E223,OpTbl,5,0),"")="بله",$U223=""),"⚠ حساب",IF(AND(IFERROR(VLOOKUP($E223,OpTbl,6,0),"")="مبلغ",$Q223=""),"⚠ مبلغ","✓")))))</f>
        <v/>
      </c>
      <c r="T223" s="72" t="n"/>
      <c r="U223" s="70">
        <f>IF($E223="","",IFERROR(IF(VLOOKUP($E223,OpTbl,14,0)&lt;&gt;"",VLOOKUP($E223,OpTbl,14,0),$G223),""))</f>
        <v/>
      </c>
      <c r="V223" s="76">
        <f>IF(OR($AJ223="",$AJ223=0,$AL223&lt;&gt;"بدهکار"),"",$AJ223)</f>
        <v/>
      </c>
      <c r="W223" s="76">
        <f>IF(OR($AJ223="",$AJ223=0,$AL223&lt;&gt;"بستانکار"),"",$AJ223)</f>
        <v/>
      </c>
      <c r="X223" s="70">
        <f>IF($E223="","",IFERROR(VLOOKUP($E223,OpTbl,8,0),""))</f>
        <v/>
      </c>
      <c r="Y223" s="76">
        <f>IF(OR($X223="",$AJ223="",$AJ223=0,$AM223&lt;&gt;"بدهکار"),"",$AJ223)</f>
        <v/>
      </c>
      <c r="Z223" s="76">
        <f>IF(OR($X223="",$AJ223="",$AJ223=0,$AM223&lt;&gt;"بستانکار"),"",$AJ223)</f>
        <v/>
      </c>
      <c r="AA223" s="70">
        <f>IF(OR($E223="",$AN223="—",$AN223=""),"",IFERROR(VLOOKUP($E223,OpTbl,12,0),""))</f>
        <v/>
      </c>
      <c r="AB223" s="76">
        <f>IF(OR($AA223="",$Q223="",$Q223=0,$AN223&lt;&gt;"بدهکار"),"",$Q223)</f>
        <v/>
      </c>
      <c r="AC223" s="76">
        <f>IF(OR($AA223="",$Q223="",$Q223=0,$AN223&lt;&gt;"بستانکار"),"",$Q223)</f>
        <v/>
      </c>
      <c r="AD223" s="70">
        <f>IF($AA223="","",IFERROR(VLOOKUP($E223,OpTbl,13,0),""))</f>
        <v/>
      </c>
      <c r="AE223" s="76">
        <f>IF(OR($AD223="",$Q223="",$Q223=0,$AN223&lt;&gt;"بستانکار"),"",$Q223)</f>
        <v/>
      </c>
      <c r="AF223" s="76">
        <f>IF(OR($AD223="",$Q223="",$Q223=0,$AN223&lt;&gt;"بدهکار"),"",$Q223)</f>
        <v/>
      </c>
      <c r="AG223" s="76">
        <f>SUM($V223,$Y223,$AB223,$AE223)</f>
        <v/>
      </c>
      <c r="AH223" s="76">
        <f>SUM($W223,$Z223,$AC223,$AF223)</f>
        <v/>
      </c>
      <c r="AI223" s="70">
        <f>IF($E223="","",IF(ROUND($AG223-$AH223,0)=0,"✓","⚠"))</f>
        <v/>
      </c>
      <c r="AJ223" s="76">
        <f>IF(OR($E223="",$U223=""),"",IFERROR(IF(VLOOKUP($E223,OpTbl,6,0)="وزن",IF($P223="",0,$P223),IF(VLOOKUP($E223,OpTbl,6,0)="مبلغ",IF(AND($Q223&lt;&gt;"",$Q223&lt;&gt;0),$Q223,$P223),0))+IF(VLOOKUP($E223,OpTbl,10,0)="افزودن",IF($Q223="",0,$Q223),0),0))</f>
        <v/>
      </c>
      <c r="AK223" s="70">
        <f>IF($E223="","",IFERROR(VLOOKUP($E223,OpTbl,10,0),""))</f>
        <v/>
      </c>
      <c r="AL223" s="70">
        <f>IF(OR($E223="",$U223=""),"",IFERROR(IF(VLOOKUP($E223,OpTbl,7,0)="خودکار",$R223,VLOOKUP($E223,OpTbl,7,0)),""))</f>
        <v/>
      </c>
      <c r="AM223" s="70">
        <f>IF(OR($E223="",$X223=""),"",IFERROR(IF(VLOOKUP($E223,OpTbl,9,0)="خودکار",IF($AL223="بدهکار","بستانکار",IF($AL223="بستانکار","بدهکار","")),VLOOKUP($E223,OpTbl,9,0)),""))</f>
        <v/>
      </c>
      <c r="AN223" s="70">
        <f>IF($E223="","",IFERROR(VLOOKUP($E223,OpTbl,11,0),""))</f>
        <v/>
      </c>
      <c r="AO223" s="70">
        <f>IF($B223="","",MID($B223,6,2))</f>
        <v/>
      </c>
      <c r="AP223" s="76">
        <f>IF($B223="",0,1)</f>
        <v/>
      </c>
    </row>
    <row r="224" ht="21.75" customHeight="1">
      <c r="A224" s="70">
        <f>IF($B224="","",COUNTA($B$10:$B224))</f>
        <v/>
      </c>
      <c r="B224" s="71" t="n"/>
      <c r="C224" s="71" t="n"/>
      <c r="D224" s="71" t="n"/>
      <c r="E224" s="71" t="n"/>
      <c r="F224" s="70">
        <f>IF($E224="","",IFERROR(VLOOKUP($E224,OpTbl,2,0),""))</f>
        <v/>
      </c>
      <c r="G224" s="71" t="n"/>
      <c r="H224" s="73">
        <f>IF($U224="","",IFERROR(VLOOKUP($U224,AcctTbl,2,0),"کد ناشناخته"))</f>
        <v/>
      </c>
      <c r="I224" s="70">
        <f>IF($U224="","",IFERROR(VLOOKUP($U224,AcctTbl,3,0),""))</f>
        <v/>
      </c>
      <c r="J224" s="72" t="n"/>
      <c r="K224" s="71" t="n"/>
      <c r="L224" s="74" t="n"/>
      <c r="M224" s="74" t="n"/>
      <c r="N224" s="148">
        <f>IF(OR($E224="",$L224=""),"",IFERROR(($L224-IF($M224="",0,$M224)*IFERROR(VLOOKUP($K224,BasketTbl,4,0),IFERROR(INDEX(BasketTbl,MATCH($K224,BasketCodeCol,0),4),VLOOKUP("P01",ParamTbl,2,0))))*(1-IF(VLOOKUP($E224,OpTbl,3,0)="خرید",VLOOKUP("P02",ParamTbl,2,0),0)/100),""))</f>
        <v/>
      </c>
      <c r="O224" s="74" t="n"/>
      <c r="P224" s="76">
        <f>IF(OR($E224="",$L224=""),"",IFERROR(IF(VLOOKUP($E224,OpTbl,6,0)="وزن",ROUND($N224*$O224,-3),IF(VLOOKUP($E224,OpTbl,6,0)="مبلغ",ROUND($L224*$O224,-3),0)),""))</f>
        <v/>
      </c>
      <c r="Q224" s="74" t="n"/>
      <c r="R224" s="71" t="n"/>
      <c r="S224" s="77">
        <f>IF($E224="","",IF($AI224="⚠","⚠ ناتراز",IF(AND(IFERROR(VLOOKUP($E224,OpTbl,4,0),"")="بله",$L224=""),"⚠ وزن",IF(AND(IFERROR(VLOOKUP($E224,OpTbl,5,0),"")="بله",$U224=""),"⚠ حساب",IF(AND(IFERROR(VLOOKUP($E224,OpTbl,6,0),"")="مبلغ",$Q224=""),"⚠ مبلغ","✓")))))</f>
        <v/>
      </c>
      <c r="T224" s="72" t="n"/>
      <c r="U224" s="70">
        <f>IF($E224="","",IFERROR(IF(VLOOKUP($E224,OpTbl,14,0)&lt;&gt;"",VLOOKUP($E224,OpTbl,14,0),$G224),""))</f>
        <v/>
      </c>
      <c r="V224" s="76">
        <f>IF(OR($AJ224="",$AJ224=0,$AL224&lt;&gt;"بدهکار"),"",$AJ224)</f>
        <v/>
      </c>
      <c r="W224" s="76">
        <f>IF(OR($AJ224="",$AJ224=0,$AL224&lt;&gt;"بستانکار"),"",$AJ224)</f>
        <v/>
      </c>
      <c r="X224" s="70">
        <f>IF($E224="","",IFERROR(VLOOKUP($E224,OpTbl,8,0),""))</f>
        <v/>
      </c>
      <c r="Y224" s="76">
        <f>IF(OR($X224="",$AJ224="",$AJ224=0,$AM224&lt;&gt;"بدهکار"),"",$AJ224)</f>
        <v/>
      </c>
      <c r="Z224" s="76">
        <f>IF(OR($X224="",$AJ224="",$AJ224=0,$AM224&lt;&gt;"بستانکار"),"",$AJ224)</f>
        <v/>
      </c>
      <c r="AA224" s="70">
        <f>IF(OR($E224="",$AN224="—",$AN224=""),"",IFERROR(VLOOKUP($E224,OpTbl,12,0),""))</f>
        <v/>
      </c>
      <c r="AB224" s="76">
        <f>IF(OR($AA224="",$Q224="",$Q224=0,$AN224&lt;&gt;"بدهکار"),"",$Q224)</f>
        <v/>
      </c>
      <c r="AC224" s="76">
        <f>IF(OR($AA224="",$Q224="",$Q224=0,$AN224&lt;&gt;"بستانکار"),"",$Q224)</f>
        <v/>
      </c>
      <c r="AD224" s="70">
        <f>IF($AA224="","",IFERROR(VLOOKUP($E224,OpTbl,13,0),""))</f>
        <v/>
      </c>
      <c r="AE224" s="76">
        <f>IF(OR($AD224="",$Q224="",$Q224=0,$AN224&lt;&gt;"بستانکار"),"",$Q224)</f>
        <v/>
      </c>
      <c r="AF224" s="76">
        <f>IF(OR($AD224="",$Q224="",$Q224=0,$AN224&lt;&gt;"بدهکار"),"",$Q224)</f>
        <v/>
      </c>
      <c r="AG224" s="76">
        <f>SUM($V224,$Y224,$AB224,$AE224)</f>
        <v/>
      </c>
      <c r="AH224" s="76">
        <f>SUM($W224,$Z224,$AC224,$AF224)</f>
        <v/>
      </c>
      <c r="AI224" s="70">
        <f>IF($E224="","",IF(ROUND($AG224-$AH224,0)=0,"✓","⚠"))</f>
        <v/>
      </c>
      <c r="AJ224" s="76">
        <f>IF(OR($E224="",$U224=""),"",IFERROR(IF(VLOOKUP($E224,OpTbl,6,0)="وزن",IF($P224="",0,$P224),IF(VLOOKUP($E224,OpTbl,6,0)="مبلغ",IF(AND($Q224&lt;&gt;"",$Q224&lt;&gt;0),$Q224,$P224),0))+IF(VLOOKUP($E224,OpTbl,10,0)="افزودن",IF($Q224="",0,$Q224),0),0))</f>
        <v/>
      </c>
      <c r="AK224" s="70">
        <f>IF($E224="","",IFERROR(VLOOKUP($E224,OpTbl,10,0),""))</f>
        <v/>
      </c>
      <c r="AL224" s="70">
        <f>IF(OR($E224="",$U224=""),"",IFERROR(IF(VLOOKUP($E224,OpTbl,7,0)="خودکار",$R224,VLOOKUP($E224,OpTbl,7,0)),""))</f>
        <v/>
      </c>
      <c r="AM224" s="70">
        <f>IF(OR($E224="",$X224=""),"",IFERROR(IF(VLOOKUP($E224,OpTbl,9,0)="خودکار",IF($AL224="بدهکار","بستانکار",IF($AL224="بستانکار","بدهکار","")),VLOOKUP($E224,OpTbl,9,0)),""))</f>
        <v/>
      </c>
      <c r="AN224" s="70">
        <f>IF($E224="","",IFERROR(VLOOKUP($E224,OpTbl,11,0),""))</f>
        <v/>
      </c>
      <c r="AO224" s="70">
        <f>IF($B224="","",MID($B224,6,2))</f>
        <v/>
      </c>
      <c r="AP224" s="76">
        <f>IF($B224="",0,1)</f>
        <v/>
      </c>
    </row>
    <row r="225" ht="21.75" customHeight="1">
      <c r="A225" s="70">
        <f>IF($B225="","",COUNTA($B$10:$B225))</f>
        <v/>
      </c>
      <c r="B225" s="71" t="n"/>
      <c r="C225" s="71" t="n"/>
      <c r="D225" s="71" t="n"/>
      <c r="E225" s="71" t="n"/>
      <c r="F225" s="70">
        <f>IF($E225="","",IFERROR(VLOOKUP($E225,OpTbl,2,0),""))</f>
        <v/>
      </c>
      <c r="G225" s="71" t="n"/>
      <c r="H225" s="73">
        <f>IF($U225="","",IFERROR(VLOOKUP($U225,AcctTbl,2,0),"کد ناشناخته"))</f>
        <v/>
      </c>
      <c r="I225" s="70">
        <f>IF($U225="","",IFERROR(VLOOKUP($U225,AcctTbl,3,0),""))</f>
        <v/>
      </c>
      <c r="J225" s="72" t="n"/>
      <c r="K225" s="71" t="n"/>
      <c r="L225" s="74" t="n"/>
      <c r="M225" s="74" t="n"/>
      <c r="N225" s="148">
        <f>IF(OR($E225="",$L225=""),"",IFERROR(($L225-IF($M225="",0,$M225)*IFERROR(VLOOKUP($K225,BasketTbl,4,0),IFERROR(INDEX(BasketTbl,MATCH($K225,BasketCodeCol,0),4),VLOOKUP("P01",ParamTbl,2,0))))*(1-IF(VLOOKUP($E225,OpTbl,3,0)="خرید",VLOOKUP("P02",ParamTbl,2,0),0)/100),""))</f>
        <v/>
      </c>
      <c r="O225" s="74" t="n"/>
      <c r="P225" s="76">
        <f>IF(OR($E225="",$L225=""),"",IFERROR(IF(VLOOKUP($E225,OpTbl,6,0)="وزن",ROUND($N225*$O225,-3),IF(VLOOKUP($E225,OpTbl,6,0)="مبلغ",ROUND($L225*$O225,-3),0)),""))</f>
        <v/>
      </c>
      <c r="Q225" s="74" t="n"/>
      <c r="R225" s="71" t="n"/>
      <c r="S225" s="77">
        <f>IF($E225="","",IF($AI225="⚠","⚠ ناتراز",IF(AND(IFERROR(VLOOKUP($E225,OpTbl,4,0),"")="بله",$L225=""),"⚠ وزن",IF(AND(IFERROR(VLOOKUP($E225,OpTbl,5,0),"")="بله",$U225=""),"⚠ حساب",IF(AND(IFERROR(VLOOKUP($E225,OpTbl,6,0),"")="مبلغ",$Q225=""),"⚠ مبلغ","✓")))))</f>
        <v/>
      </c>
      <c r="T225" s="72" t="n"/>
      <c r="U225" s="70">
        <f>IF($E225="","",IFERROR(IF(VLOOKUP($E225,OpTbl,14,0)&lt;&gt;"",VLOOKUP($E225,OpTbl,14,0),$G225),""))</f>
        <v/>
      </c>
      <c r="V225" s="76">
        <f>IF(OR($AJ225="",$AJ225=0,$AL225&lt;&gt;"بدهکار"),"",$AJ225)</f>
        <v/>
      </c>
      <c r="W225" s="76">
        <f>IF(OR($AJ225="",$AJ225=0,$AL225&lt;&gt;"بستانکار"),"",$AJ225)</f>
        <v/>
      </c>
      <c r="X225" s="70">
        <f>IF($E225="","",IFERROR(VLOOKUP($E225,OpTbl,8,0),""))</f>
        <v/>
      </c>
      <c r="Y225" s="76">
        <f>IF(OR($X225="",$AJ225="",$AJ225=0,$AM225&lt;&gt;"بدهکار"),"",$AJ225)</f>
        <v/>
      </c>
      <c r="Z225" s="76">
        <f>IF(OR($X225="",$AJ225="",$AJ225=0,$AM225&lt;&gt;"بستانکار"),"",$AJ225)</f>
        <v/>
      </c>
      <c r="AA225" s="70">
        <f>IF(OR($E225="",$AN225="—",$AN225=""),"",IFERROR(VLOOKUP($E225,OpTbl,12,0),""))</f>
        <v/>
      </c>
      <c r="AB225" s="76">
        <f>IF(OR($AA225="",$Q225="",$Q225=0,$AN225&lt;&gt;"بدهکار"),"",$Q225)</f>
        <v/>
      </c>
      <c r="AC225" s="76">
        <f>IF(OR($AA225="",$Q225="",$Q225=0,$AN225&lt;&gt;"بستانکار"),"",$Q225)</f>
        <v/>
      </c>
      <c r="AD225" s="70">
        <f>IF($AA225="","",IFERROR(VLOOKUP($E225,OpTbl,13,0),""))</f>
        <v/>
      </c>
      <c r="AE225" s="76">
        <f>IF(OR($AD225="",$Q225="",$Q225=0,$AN225&lt;&gt;"بستانکار"),"",$Q225)</f>
        <v/>
      </c>
      <c r="AF225" s="76">
        <f>IF(OR($AD225="",$Q225="",$Q225=0,$AN225&lt;&gt;"بدهکار"),"",$Q225)</f>
        <v/>
      </c>
      <c r="AG225" s="76">
        <f>SUM($V225,$Y225,$AB225,$AE225)</f>
        <v/>
      </c>
      <c r="AH225" s="76">
        <f>SUM($W225,$Z225,$AC225,$AF225)</f>
        <v/>
      </c>
      <c r="AI225" s="70">
        <f>IF($E225="","",IF(ROUND($AG225-$AH225,0)=0,"✓","⚠"))</f>
        <v/>
      </c>
      <c r="AJ225" s="76">
        <f>IF(OR($E225="",$U225=""),"",IFERROR(IF(VLOOKUP($E225,OpTbl,6,0)="وزن",IF($P225="",0,$P225),IF(VLOOKUP($E225,OpTbl,6,0)="مبلغ",IF(AND($Q225&lt;&gt;"",$Q225&lt;&gt;0),$Q225,$P225),0))+IF(VLOOKUP($E225,OpTbl,10,0)="افزودن",IF($Q225="",0,$Q225),0),0))</f>
        <v/>
      </c>
      <c r="AK225" s="70">
        <f>IF($E225="","",IFERROR(VLOOKUP($E225,OpTbl,10,0),""))</f>
        <v/>
      </c>
      <c r="AL225" s="70">
        <f>IF(OR($E225="",$U225=""),"",IFERROR(IF(VLOOKUP($E225,OpTbl,7,0)="خودکار",$R225,VLOOKUP($E225,OpTbl,7,0)),""))</f>
        <v/>
      </c>
      <c r="AM225" s="70">
        <f>IF(OR($E225="",$X225=""),"",IFERROR(IF(VLOOKUP($E225,OpTbl,9,0)="خودکار",IF($AL225="بدهکار","بستانکار",IF($AL225="بستانکار","بدهکار","")),VLOOKUP($E225,OpTbl,9,0)),""))</f>
        <v/>
      </c>
      <c r="AN225" s="70">
        <f>IF($E225="","",IFERROR(VLOOKUP($E225,OpTbl,11,0),""))</f>
        <v/>
      </c>
      <c r="AO225" s="70">
        <f>IF($B225="","",MID($B225,6,2))</f>
        <v/>
      </c>
      <c r="AP225" s="76">
        <f>IF($B225="",0,1)</f>
        <v/>
      </c>
    </row>
    <row r="226" ht="21.75" customHeight="1">
      <c r="A226" s="70">
        <f>IF($B226="","",COUNTA($B$10:$B226))</f>
        <v/>
      </c>
      <c r="B226" s="71" t="n"/>
      <c r="C226" s="71" t="n"/>
      <c r="D226" s="71" t="n"/>
      <c r="E226" s="71" t="n"/>
      <c r="F226" s="70">
        <f>IF($E226="","",IFERROR(VLOOKUP($E226,OpTbl,2,0),""))</f>
        <v/>
      </c>
      <c r="G226" s="71" t="n"/>
      <c r="H226" s="73">
        <f>IF($U226="","",IFERROR(VLOOKUP($U226,AcctTbl,2,0),"کد ناشناخته"))</f>
        <v/>
      </c>
      <c r="I226" s="70">
        <f>IF($U226="","",IFERROR(VLOOKUP($U226,AcctTbl,3,0),""))</f>
        <v/>
      </c>
      <c r="J226" s="72" t="n"/>
      <c r="K226" s="71" t="n"/>
      <c r="L226" s="74" t="n"/>
      <c r="M226" s="74" t="n"/>
      <c r="N226" s="148">
        <f>IF(OR($E226="",$L226=""),"",IFERROR(($L226-IF($M226="",0,$M226)*IFERROR(VLOOKUP($K226,BasketTbl,4,0),IFERROR(INDEX(BasketTbl,MATCH($K226,BasketCodeCol,0),4),VLOOKUP("P01",ParamTbl,2,0))))*(1-IF(VLOOKUP($E226,OpTbl,3,0)="خرید",VLOOKUP("P02",ParamTbl,2,0),0)/100),""))</f>
        <v/>
      </c>
      <c r="O226" s="74" t="n"/>
      <c r="P226" s="76">
        <f>IF(OR($E226="",$L226=""),"",IFERROR(IF(VLOOKUP($E226,OpTbl,6,0)="وزن",ROUND($N226*$O226,-3),IF(VLOOKUP($E226,OpTbl,6,0)="مبلغ",ROUND($L226*$O226,-3),0)),""))</f>
        <v/>
      </c>
      <c r="Q226" s="74" t="n"/>
      <c r="R226" s="71" t="n"/>
      <c r="S226" s="77">
        <f>IF($E226="","",IF($AI226="⚠","⚠ ناتراز",IF(AND(IFERROR(VLOOKUP($E226,OpTbl,4,0),"")="بله",$L226=""),"⚠ وزن",IF(AND(IFERROR(VLOOKUP($E226,OpTbl,5,0),"")="بله",$U226=""),"⚠ حساب",IF(AND(IFERROR(VLOOKUP($E226,OpTbl,6,0),"")="مبلغ",$Q226=""),"⚠ مبلغ","✓")))))</f>
        <v/>
      </c>
      <c r="T226" s="72" t="n"/>
      <c r="U226" s="70">
        <f>IF($E226="","",IFERROR(IF(VLOOKUP($E226,OpTbl,14,0)&lt;&gt;"",VLOOKUP($E226,OpTbl,14,0),$G226),""))</f>
        <v/>
      </c>
      <c r="V226" s="76">
        <f>IF(OR($AJ226="",$AJ226=0,$AL226&lt;&gt;"بدهکار"),"",$AJ226)</f>
        <v/>
      </c>
      <c r="W226" s="76">
        <f>IF(OR($AJ226="",$AJ226=0,$AL226&lt;&gt;"بستانکار"),"",$AJ226)</f>
        <v/>
      </c>
      <c r="X226" s="70">
        <f>IF($E226="","",IFERROR(VLOOKUP($E226,OpTbl,8,0),""))</f>
        <v/>
      </c>
      <c r="Y226" s="76">
        <f>IF(OR($X226="",$AJ226="",$AJ226=0,$AM226&lt;&gt;"بدهکار"),"",$AJ226)</f>
        <v/>
      </c>
      <c r="Z226" s="76">
        <f>IF(OR($X226="",$AJ226="",$AJ226=0,$AM226&lt;&gt;"بستانکار"),"",$AJ226)</f>
        <v/>
      </c>
      <c r="AA226" s="70">
        <f>IF(OR($E226="",$AN226="—",$AN226=""),"",IFERROR(VLOOKUP($E226,OpTbl,12,0),""))</f>
        <v/>
      </c>
      <c r="AB226" s="76">
        <f>IF(OR($AA226="",$Q226="",$Q226=0,$AN226&lt;&gt;"بدهکار"),"",$Q226)</f>
        <v/>
      </c>
      <c r="AC226" s="76">
        <f>IF(OR($AA226="",$Q226="",$Q226=0,$AN226&lt;&gt;"بستانکار"),"",$Q226)</f>
        <v/>
      </c>
      <c r="AD226" s="70">
        <f>IF($AA226="","",IFERROR(VLOOKUP($E226,OpTbl,13,0),""))</f>
        <v/>
      </c>
      <c r="AE226" s="76">
        <f>IF(OR($AD226="",$Q226="",$Q226=0,$AN226&lt;&gt;"بستانکار"),"",$Q226)</f>
        <v/>
      </c>
      <c r="AF226" s="76">
        <f>IF(OR($AD226="",$Q226="",$Q226=0,$AN226&lt;&gt;"بدهکار"),"",$Q226)</f>
        <v/>
      </c>
      <c r="AG226" s="76">
        <f>SUM($V226,$Y226,$AB226,$AE226)</f>
        <v/>
      </c>
      <c r="AH226" s="76">
        <f>SUM($W226,$Z226,$AC226,$AF226)</f>
        <v/>
      </c>
      <c r="AI226" s="70">
        <f>IF($E226="","",IF(ROUND($AG226-$AH226,0)=0,"✓","⚠"))</f>
        <v/>
      </c>
      <c r="AJ226" s="76">
        <f>IF(OR($E226="",$U226=""),"",IFERROR(IF(VLOOKUP($E226,OpTbl,6,0)="وزن",IF($P226="",0,$P226),IF(VLOOKUP($E226,OpTbl,6,0)="مبلغ",IF(AND($Q226&lt;&gt;"",$Q226&lt;&gt;0),$Q226,$P226),0))+IF(VLOOKUP($E226,OpTbl,10,0)="افزودن",IF($Q226="",0,$Q226),0),0))</f>
        <v/>
      </c>
      <c r="AK226" s="70">
        <f>IF($E226="","",IFERROR(VLOOKUP($E226,OpTbl,10,0),""))</f>
        <v/>
      </c>
      <c r="AL226" s="70">
        <f>IF(OR($E226="",$U226=""),"",IFERROR(IF(VLOOKUP($E226,OpTbl,7,0)="خودکار",$R226,VLOOKUP($E226,OpTbl,7,0)),""))</f>
        <v/>
      </c>
      <c r="AM226" s="70">
        <f>IF(OR($E226="",$X226=""),"",IFERROR(IF(VLOOKUP($E226,OpTbl,9,0)="خودکار",IF($AL226="بدهکار","بستانکار",IF($AL226="بستانکار","بدهکار","")),VLOOKUP($E226,OpTbl,9,0)),""))</f>
        <v/>
      </c>
      <c r="AN226" s="70">
        <f>IF($E226="","",IFERROR(VLOOKUP($E226,OpTbl,11,0),""))</f>
        <v/>
      </c>
      <c r="AO226" s="70">
        <f>IF($B226="","",MID($B226,6,2))</f>
        <v/>
      </c>
      <c r="AP226" s="76">
        <f>IF($B226="",0,1)</f>
        <v/>
      </c>
    </row>
    <row r="227" ht="21.75" customHeight="1">
      <c r="A227" s="70">
        <f>IF($B227="","",COUNTA($B$10:$B227))</f>
        <v/>
      </c>
      <c r="B227" s="71" t="n"/>
      <c r="C227" s="71" t="n"/>
      <c r="D227" s="71" t="n"/>
      <c r="E227" s="71" t="n"/>
      <c r="F227" s="70">
        <f>IF($E227="","",IFERROR(VLOOKUP($E227,OpTbl,2,0),""))</f>
        <v/>
      </c>
      <c r="G227" s="71" t="n"/>
      <c r="H227" s="73">
        <f>IF($U227="","",IFERROR(VLOOKUP($U227,AcctTbl,2,0),"کد ناشناخته"))</f>
        <v/>
      </c>
      <c r="I227" s="70">
        <f>IF($U227="","",IFERROR(VLOOKUP($U227,AcctTbl,3,0),""))</f>
        <v/>
      </c>
      <c r="J227" s="72" t="n"/>
      <c r="K227" s="71" t="n"/>
      <c r="L227" s="74" t="n"/>
      <c r="M227" s="74" t="n"/>
      <c r="N227" s="148">
        <f>IF(OR($E227="",$L227=""),"",IFERROR(($L227-IF($M227="",0,$M227)*IFERROR(VLOOKUP($K227,BasketTbl,4,0),IFERROR(INDEX(BasketTbl,MATCH($K227,BasketCodeCol,0),4),VLOOKUP("P01",ParamTbl,2,0))))*(1-IF(VLOOKUP($E227,OpTbl,3,0)="خرید",VLOOKUP("P02",ParamTbl,2,0),0)/100),""))</f>
        <v/>
      </c>
      <c r="O227" s="74" t="n"/>
      <c r="P227" s="76">
        <f>IF(OR($E227="",$L227=""),"",IFERROR(IF(VLOOKUP($E227,OpTbl,6,0)="وزن",ROUND($N227*$O227,-3),IF(VLOOKUP($E227,OpTbl,6,0)="مبلغ",ROUND($L227*$O227,-3),0)),""))</f>
        <v/>
      </c>
      <c r="Q227" s="74" t="n"/>
      <c r="R227" s="71" t="n"/>
      <c r="S227" s="77">
        <f>IF($E227="","",IF($AI227="⚠","⚠ ناتراز",IF(AND(IFERROR(VLOOKUP($E227,OpTbl,4,0),"")="بله",$L227=""),"⚠ وزن",IF(AND(IFERROR(VLOOKUP($E227,OpTbl,5,0),"")="بله",$U227=""),"⚠ حساب",IF(AND(IFERROR(VLOOKUP($E227,OpTbl,6,0),"")="مبلغ",$Q227=""),"⚠ مبلغ","✓")))))</f>
        <v/>
      </c>
      <c r="T227" s="72" t="n"/>
      <c r="U227" s="70">
        <f>IF($E227="","",IFERROR(IF(VLOOKUP($E227,OpTbl,14,0)&lt;&gt;"",VLOOKUP($E227,OpTbl,14,0),$G227),""))</f>
        <v/>
      </c>
      <c r="V227" s="76">
        <f>IF(OR($AJ227="",$AJ227=0,$AL227&lt;&gt;"بدهکار"),"",$AJ227)</f>
        <v/>
      </c>
      <c r="W227" s="76">
        <f>IF(OR($AJ227="",$AJ227=0,$AL227&lt;&gt;"بستانکار"),"",$AJ227)</f>
        <v/>
      </c>
      <c r="X227" s="70">
        <f>IF($E227="","",IFERROR(VLOOKUP($E227,OpTbl,8,0),""))</f>
        <v/>
      </c>
      <c r="Y227" s="76">
        <f>IF(OR($X227="",$AJ227="",$AJ227=0,$AM227&lt;&gt;"بدهکار"),"",$AJ227)</f>
        <v/>
      </c>
      <c r="Z227" s="76">
        <f>IF(OR($X227="",$AJ227="",$AJ227=0,$AM227&lt;&gt;"بستانکار"),"",$AJ227)</f>
        <v/>
      </c>
      <c r="AA227" s="70">
        <f>IF(OR($E227="",$AN227="—",$AN227=""),"",IFERROR(VLOOKUP($E227,OpTbl,12,0),""))</f>
        <v/>
      </c>
      <c r="AB227" s="76">
        <f>IF(OR($AA227="",$Q227="",$Q227=0,$AN227&lt;&gt;"بدهکار"),"",$Q227)</f>
        <v/>
      </c>
      <c r="AC227" s="76">
        <f>IF(OR($AA227="",$Q227="",$Q227=0,$AN227&lt;&gt;"بستانکار"),"",$Q227)</f>
        <v/>
      </c>
      <c r="AD227" s="70">
        <f>IF($AA227="","",IFERROR(VLOOKUP($E227,OpTbl,13,0),""))</f>
        <v/>
      </c>
      <c r="AE227" s="76">
        <f>IF(OR($AD227="",$Q227="",$Q227=0,$AN227&lt;&gt;"بستانکار"),"",$Q227)</f>
        <v/>
      </c>
      <c r="AF227" s="76">
        <f>IF(OR($AD227="",$Q227="",$Q227=0,$AN227&lt;&gt;"بدهکار"),"",$Q227)</f>
        <v/>
      </c>
      <c r="AG227" s="76">
        <f>SUM($V227,$Y227,$AB227,$AE227)</f>
        <v/>
      </c>
      <c r="AH227" s="76">
        <f>SUM($W227,$Z227,$AC227,$AF227)</f>
        <v/>
      </c>
      <c r="AI227" s="70">
        <f>IF($E227="","",IF(ROUND($AG227-$AH227,0)=0,"✓","⚠"))</f>
        <v/>
      </c>
      <c r="AJ227" s="76">
        <f>IF(OR($E227="",$U227=""),"",IFERROR(IF(VLOOKUP($E227,OpTbl,6,0)="وزن",IF($P227="",0,$P227),IF(VLOOKUP($E227,OpTbl,6,0)="مبلغ",IF(AND($Q227&lt;&gt;"",$Q227&lt;&gt;0),$Q227,$P227),0))+IF(VLOOKUP($E227,OpTbl,10,0)="افزودن",IF($Q227="",0,$Q227),0),0))</f>
        <v/>
      </c>
      <c r="AK227" s="70">
        <f>IF($E227="","",IFERROR(VLOOKUP($E227,OpTbl,10,0),""))</f>
        <v/>
      </c>
      <c r="AL227" s="70">
        <f>IF(OR($E227="",$U227=""),"",IFERROR(IF(VLOOKUP($E227,OpTbl,7,0)="خودکار",$R227,VLOOKUP($E227,OpTbl,7,0)),""))</f>
        <v/>
      </c>
      <c r="AM227" s="70">
        <f>IF(OR($E227="",$X227=""),"",IFERROR(IF(VLOOKUP($E227,OpTbl,9,0)="خودکار",IF($AL227="بدهکار","بستانکار",IF($AL227="بستانکار","بدهکار","")),VLOOKUP($E227,OpTbl,9,0)),""))</f>
        <v/>
      </c>
      <c r="AN227" s="70">
        <f>IF($E227="","",IFERROR(VLOOKUP($E227,OpTbl,11,0),""))</f>
        <v/>
      </c>
      <c r="AO227" s="70">
        <f>IF($B227="","",MID($B227,6,2))</f>
        <v/>
      </c>
      <c r="AP227" s="76">
        <f>IF($B227="",0,1)</f>
        <v/>
      </c>
    </row>
    <row r="228" ht="21.75" customHeight="1">
      <c r="A228" s="70">
        <f>IF($B228="","",COUNTA($B$10:$B228))</f>
        <v/>
      </c>
      <c r="B228" s="71" t="n"/>
      <c r="C228" s="71" t="n"/>
      <c r="D228" s="71" t="n"/>
      <c r="E228" s="71" t="n"/>
      <c r="F228" s="70">
        <f>IF($E228="","",IFERROR(VLOOKUP($E228,OpTbl,2,0),""))</f>
        <v/>
      </c>
      <c r="G228" s="71" t="n"/>
      <c r="H228" s="73">
        <f>IF($U228="","",IFERROR(VLOOKUP($U228,AcctTbl,2,0),"کد ناشناخته"))</f>
        <v/>
      </c>
      <c r="I228" s="70">
        <f>IF($U228="","",IFERROR(VLOOKUP($U228,AcctTbl,3,0),""))</f>
        <v/>
      </c>
      <c r="J228" s="72" t="n"/>
      <c r="K228" s="71" t="n"/>
      <c r="L228" s="74" t="n"/>
      <c r="M228" s="74" t="n"/>
      <c r="N228" s="148">
        <f>IF(OR($E228="",$L228=""),"",IFERROR(($L228-IF($M228="",0,$M228)*IFERROR(VLOOKUP($K228,BasketTbl,4,0),IFERROR(INDEX(BasketTbl,MATCH($K228,BasketCodeCol,0),4),VLOOKUP("P01",ParamTbl,2,0))))*(1-IF(VLOOKUP($E228,OpTbl,3,0)="خرید",VLOOKUP("P02",ParamTbl,2,0),0)/100),""))</f>
        <v/>
      </c>
      <c r="O228" s="74" t="n"/>
      <c r="P228" s="76">
        <f>IF(OR($E228="",$L228=""),"",IFERROR(IF(VLOOKUP($E228,OpTbl,6,0)="وزن",ROUND($N228*$O228,-3),IF(VLOOKUP($E228,OpTbl,6,0)="مبلغ",ROUND($L228*$O228,-3),0)),""))</f>
        <v/>
      </c>
      <c r="Q228" s="74" t="n"/>
      <c r="R228" s="71" t="n"/>
      <c r="S228" s="77">
        <f>IF($E228="","",IF($AI228="⚠","⚠ ناتراز",IF(AND(IFERROR(VLOOKUP($E228,OpTbl,4,0),"")="بله",$L228=""),"⚠ وزن",IF(AND(IFERROR(VLOOKUP($E228,OpTbl,5,0),"")="بله",$U228=""),"⚠ حساب",IF(AND(IFERROR(VLOOKUP($E228,OpTbl,6,0),"")="مبلغ",$Q228=""),"⚠ مبلغ","✓")))))</f>
        <v/>
      </c>
      <c r="T228" s="72" t="n"/>
      <c r="U228" s="70">
        <f>IF($E228="","",IFERROR(IF(VLOOKUP($E228,OpTbl,14,0)&lt;&gt;"",VLOOKUP($E228,OpTbl,14,0),$G228),""))</f>
        <v/>
      </c>
      <c r="V228" s="76">
        <f>IF(OR($AJ228="",$AJ228=0,$AL228&lt;&gt;"بدهکار"),"",$AJ228)</f>
        <v/>
      </c>
      <c r="W228" s="76">
        <f>IF(OR($AJ228="",$AJ228=0,$AL228&lt;&gt;"بستانکار"),"",$AJ228)</f>
        <v/>
      </c>
      <c r="X228" s="70">
        <f>IF($E228="","",IFERROR(VLOOKUP($E228,OpTbl,8,0),""))</f>
        <v/>
      </c>
      <c r="Y228" s="76">
        <f>IF(OR($X228="",$AJ228="",$AJ228=0,$AM228&lt;&gt;"بدهکار"),"",$AJ228)</f>
        <v/>
      </c>
      <c r="Z228" s="76">
        <f>IF(OR($X228="",$AJ228="",$AJ228=0,$AM228&lt;&gt;"بستانکار"),"",$AJ228)</f>
        <v/>
      </c>
      <c r="AA228" s="70">
        <f>IF(OR($E228="",$AN228="—",$AN228=""),"",IFERROR(VLOOKUP($E228,OpTbl,12,0),""))</f>
        <v/>
      </c>
      <c r="AB228" s="76">
        <f>IF(OR($AA228="",$Q228="",$Q228=0,$AN228&lt;&gt;"بدهکار"),"",$Q228)</f>
        <v/>
      </c>
      <c r="AC228" s="76">
        <f>IF(OR($AA228="",$Q228="",$Q228=0,$AN228&lt;&gt;"بستانکار"),"",$Q228)</f>
        <v/>
      </c>
      <c r="AD228" s="70">
        <f>IF($AA228="","",IFERROR(VLOOKUP($E228,OpTbl,13,0),""))</f>
        <v/>
      </c>
      <c r="AE228" s="76">
        <f>IF(OR($AD228="",$Q228="",$Q228=0,$AN228&lt;&gt;"بستانکار"),"",$Q228)</f>
        <v/>
      </c>
      <c r="AF228" s="76">
        <f>IF(OR($AD228="",$Q228="",$Q228=0,$AN228&lt;&gt;"بدهکار"),"",$Q228)</f>
        <v/>
      </c>
      <c r="AG228" s="76">
        <f>SUM($V228,$Y228,$AB228,$AE228)</f>
        <v/>
      </c>
      <c r="AH228" s="76">
        <f>SUM($W228,$Z228,$AC228,$AF228)</f>
        <v/>
      </c>
      <c r="AI228" s="70">
        <f>IF($E228="","",IF(ROUND($AG228-$AH228,0)=0,"✓","⚠"))</f>
        <v/>
      </c>
      <c r="AJ228" s="76">
        <f>IF(OR($E228="",$U228=""),"",IFERROR(IF(VLOOKUP($E228,OpTbl,6,0)="وزن",IF($P228="",0,$P228),IF(VLOOKUP($E228,OpTbl,6,0)="مبلغ",IF(AND($Q228&lt;&gt;"",$Q228&lt;&gt;0),$Q228,$P228),0))+IF(VLOOKUP($E228,OpTbl,10,0)="افزودن",IF($Q228="",0,$Q228),0),0))</f>
        <v/>
      </c>
      <c r="AK228" s="70">
        <f>IF($E228="","",IFERROR(VLOOKUP($E228,OpTbl,10,0),""))</f>
        <v/>
      </c>
      <c r="AL228" s="70">
        <f>IF(OR($E228="",$U228=""),"",IFERROR(IF(VLOOKUP($E228,OpTbl,7,0)="خودکار",$R228,VLOOKUP($E228,OpTbl,7,0)),""))</f>
        <v/>
      </c>
      <c r="AM228" s="70">
        <f>IF(OR($E228="",$X228=""),"",IFERROR(IF(VLOOKUP($E228,OpTbl,9,0)="خودکار",IF($AL228="بدهکار","بستانکار",IF($AL228="بستانکار","بدهکار","")),VLOOKUP($E228,OpTbl,9,0)),""))</f>
        <v/>
      </c>
      <c r="AN228" s="70">
        <f>IF($E228="","",IFERROR(VLOOKUP($E228,OpTbl,11,0),""))</f>
        <v/>
      </c>
      <c r="AO228" s="70">
        <f>IF($B228="","",MID($B228,6,2))</f>
        <v/>
      </c>
      <c r="AP228" s="76">
        <f>IF($B228="",0,1)</f>
        <v/>
      </c>
    </row>
    <row r="229" ht="21.75" customHeight="1">
      <c r="A229" s="70">
        <f>IF($B229="","",COUNTA($B$10:$B229))</f>
        <v/>
      </c>
      <c r="B229" s="71" t="n"/>
      <c r="C229" s="71" t="n"/>
      <c r="D229" s="71" t="n"/>
      <c r="E229" s="71" t="n"/>
      <c r="F229" s="70">
        <f>IF($E229="","",IFERROR(VLOOKUP($E229,OpTbl,2,0),""))</f>
        <v/>
      </c>
      <c r="G229" s="71" t="n"/>
      <c r="H229" s="73">
        <f>IF($U229="","",IFERROR(VLOOKUP($U229,AcctTbl,2,0),"کد ناشناخته"))</f>
        <v/>
      </c>
      <c r="I229" s="70">
        <f>IF($U229="","",IFERROR(VLOOKUP($U229,AcctTbl,3,0),""))</f>
        <v/>
      </c>
      <c r="J229" s="72" t="n"/>
      <c r="K229" s="71" t="n"/>
      <c r="L229" s="74" t="n"/>
      <c r="M229" s="74" t="n"/>
      <c r="N229" s="148">
        <f>IF(OR($E229="",$L229=""),"",IFERROR(($L229-IF($M229="",0,$M229)*IFERROR(VLOOKUP($K229,BasketTbl,4,0),IFERROR(INDEX(BasketTbl,MATCH($K229,BasketCodeCol,0),4),VLOOKUP("P01",ParamTbl,2,0))))*(1-IF(VLOOKUP($E229,OpTbl,3,0)="خرید",VLOOKUP("P02",ParamTbl,2,0),0)/100),""))</f>
        <v/>
      </c>
      <c r="O229" s="74" t="n"/>
      <c r="P229" s="76">
        <f>IF(OR($E229="",$L229=""),"",IFERROR(IF(VLOOKUP($E229,OpTbl,6,0)="وزن",ROUND($N229*$O229,-3),IF(VLOOKUP($E229,OpTbl,6,0)="مبلغ",ROUND($L229*$O229,-3),0)),""))</f>
        <v/>
      </c>
      <c r="Q229" s="74" t="n"/>
      <c r="R229" s="71" t="n"/>
      <c r="S229" s="77">
        <f>IF($E229="","",IF($AI229="⚠","⚠ ناتراز",IF(AND(IFERROR(VLOOKUP($E229,OpTbl,4,0),"")="بله",$L229=""),"⚠ وزن",IF(AND(IFERROR(VLOOKUP($E229,OpTbl,5,0),"")="بله",$U229=""),"⚠ حساب",IF(AND(IFERROR(VLOOKUP($E229,OpTbl,6,0),"")="مبلغ",$Q229=""),"⚠ مبلغ","✓")))))</f>
        <v/>
      </c>
      <c r="T229" s="72" t="n"/>
      <c r="U229" s="70">
        <f>IF($E229="","",IFERROR(IF(VLOOKUP($E229,OpTbl,14,0)&lt;&gt;"",VLOOKUP($E229,OpTbl,14,0),$G229),""))</f>
        <v/>
      </c>
      <c r="V229" s="76">
        <f>IF(OR($AJ229="",$AJ229=0,$AL229&lt;&gt;"بدهکار"),"",$AJ229)</f>
        <v/>
      </c>
      <c r="W229" s="76">
        <f>IF(OR($AJ229="",$AJ229=0,$AL229&lt;&gt;"بستانکار"),"",$AJ229)</f>
        <v/>
      </c>
      <c r="X229" s="70">
        <f>IF($E229="","",IFERROR(VLOOKUP($E229,OpTbl,8,0),""))</f>
        <v/>
      </c>
      <c r="Y229" s="76">
        <f>IF(OR($X229="",$AJ229="",$AJ229=0,$AM229&lt;&gt;"بدهکار"),"",$AJ229)</f>
        <v/>
      </c>
      <c r="Z229" s="76">
        <f>IF(OR($X229="",$AJ229="",$AJ229=0,$AM229&lt;&gt;"بستانکار"),"",$AJ229)</f>
        <v/>
      </c>
      <c r="AA229" s="70">
        <f>IF(OR($E229="",$AN229="—",$AN229=""),"",IFERROR(VLOOKUP($E229,OpTbl,12,0),""))</f>
        <v/>
      </c>
      <c r="AB229" s="76">
        <f>IF(OR($AA229="",$Q229="",$Q229=0,$AN229&lt;&gt;"بدهکار"),"",$Q229)</f>
        <v/>
      </c>
      <c r="AC229" s="76">
        <f>IF(OR($AA229="",$Q229="",$Q229=0,$AN229&lt;&gt;"بستانکار"),"",$Q229)</f>
        <v/>
      </c>
      <c r="AD229" s="70">
        <f>IF($AA229="","",IFERROR(VLOOKUP($E229,OpTbl,13,0),""))</f>
        <v/>
      </c>
      <c r="AE229" s="76">
        <f>IF(OR($AD229="",$Q229="",$Q229=0,$AN229&lt;&gt;"بستانکار"),"",$Q229)</f>
        <v/>
      </c>
      <c r="AF229" s="76">
        <f>IF(OR($AD229="",$Q229="",$Q229=0,$AN229&lt;&gt;"بدهکار"),"",$Q229)</f>
        <v/>
      </c>
      <c r="AG229" s="76">
        <f>SUM($V229,$Y229,$AB229,$AE229)</f>
        <v/>
      </c>
      <c r="AH229" s="76">
        <f>SUM($W229,$Z229,$AC229,$AF229)</f>
        <v/>
      </c>
      <c r="AI229" s="70">
        <f>IF($E229="","",IF(ROUND($AG229-$AH229,0)=0,"✓","⚠"))</f>
        <v/>
      </c>
      <c r="AJ229" s="76">
        <f>IF(OR($E229="",$U229=""),"",IFERROR(IF(VLOOKUP($E229,OpTbl,6,0)="وزن",IF($P229="",0,$P229),IF(VLOOKUP($E229,OpTbl,6,0)="مبلغ",IF(AND($Q229&lt;&gt;"",$Q229&lt;&gt;0),$Q229,$P229),0))+IF(VLOOKUP($E229,OpTbl,10,0)="افزودن",IF($Q229="",0,$Q229),0),0))</f>
        <v/>
      </c>
      <c r="AK229" s="70">
        <f>IF($E229="","",IFERROR(VLOOKUP($E229,OpTbl,10,0),""))</f>
        <v/>
      </c>
      <c r="AL229" s="70">
        <f>IF(OR($E229="",$U229=""),"",IFERROR(IF(VLOOKUP($E229,OpTbl,7,0)="خودکار",$R229,VLOOKUP($E229,OpTbl,7,0)),""))</f>
        <v/>
      </c>
      <c r="AM229" s="70">
        <f>IF(OR($E229="",$X229=""),"",IFERROR(IF(VLOOKUP($E229,OpTbl,9,0)="خودکار",IF($AL229="بدهکار","بستانکار",IF($AL229="بستانکار","بدهکار","")),VLOOKUP($E229,OpTbl,9,0)),""))</f>
        <v/>
      </c>
      <c r="AN229" s="70">
        <f>IF($E229="","",IFERROR(VLOOKUP($E229,OpTbl,11,0),""))</f>
        <v/>
      </c>
      <c r="AO229" s="70">
        <f>IF($B229="","",MID($B229,6,2))</f>
        <v/>
      </c>
      <c r="AP229" s="76">
        <f>IF($B229="",0,1)</f>
        <v/>
      </c>
    </row>
    <row r="230" ht="21.75" customHeight="1">
      <c r="A230" s="70">
        <f>IF($B230="","",COUNTA($B$10:$B230))</f>
        <v/>
      </c>
      <c r="B230" s="71" t="n"/>
      <c r="C230" s="71" t="n"/>
      <c r="D230" s="71" t="n"/>
      <c r="E230" s="71" t="n"/>
      <c r="F230" s="70">
        <f>IF($E230="","",IFERROR(VLOOKUP($E230,OpTbl,2,0),""))</f>
        <v/>
      </c>
      <c r="G230" s="71" t="n"/>
      <c r="H230" s="73">
        <f>IF($U230="","",IFERROR(VLOOKUP($U230,AcctTbl,2,0),"کد ناشناخته"))</f>
        <v/>
      </c>
      <c r="I230" s="70">
        <f>IF($U230="","",IFERROR(VLOOKUP($U230,AcctTbl,3,0),""))</f>
        <v/>
      </c>
      <c r="J230" s="72" t="n"/>
      <c r="K230" s="71" t="n"/>
      <c r="L230" s="74" t="n"/>
      <c r="M230" s="74" t="n"/>
      <c r="N230" s="148">
        <f>IF(OR($E230="",$L230=""),"",IFERROR(($L230-IF($M230="",0,$M230)*IFERROR(VLOOKUP($K230,BasketTbl,4,0),IFERROR(INDEX(BasketTbl,MATCH($K230,BasketCodeCol,0),4),VLOOKUP("P01",ParamTbl,2,0))))*(1-IF(VLOOKUP($E230,OpTbl,3,0)="خرید",VLOOKUP("P02",ParamTbl,2,0),0)/100),""))</f>
        <v/>
      </c>
      <c r="O230" s="74" t="n"/>
      <c r="P230" s="76">
        <f>IF(OR($E230="",$L230=""),"",IFERROR(IF(VLOOKUP($E230,OpTbl,6,0)="وزن",ROUND($N230*$O230,-3),IF(VLOOKUP($E230,OpTbl,6,0)="مبلغ",ROUND($L230*$O230,-3),0)),""))</f>
        <v/>
      </c>
      <c r="Q230" s="74" t="n"/>
      <c r="R230" s="71" t="n"/>
      <c r="S230" s="77">
        <f>IF($E230="","",IF($AI230="⚠","⚠ ناتراز",IF(AND(IFERROR(VLOOKUP($E230,OpTbl,4,0),"")="بله",$L230=""),"⚠ وزن",IF(AND(IFERROR(VLOOKUP($E230,OpTbl,5,0),"")="بله",$U230=""),"⚠ حساب",IF(AND(IFERROR(VLOOKUP($E230,OpTbl,6,0),"")="مبلغ",$Q230=""),"⚠ مبلغ","✓")))))</f>
        <v/>
      </c>
      <c r="T230" s="72" t="n"/>
      <c r="U230" s="70">
        <f>IF($E230="","",IFERROR(IF(VLOOKUP($E230,OpTbl,14,0)&lt;&gt;"",VLOOKUP($E230,OpTbl,14,0),$G230),""))</f>
        <v/>
      </c>
      <c r="V230" s="76">
        <f>IF(OR($AJ230="",$AJ230=0,$AL230&lt;&gt;"بدهکار"),"",$AJ230)</f>
        <v/>
      </c>
      <c r="W230" s="76">
        <f>IF(OR($AJ230="",$AJ230=0,$AL230&lt;&gt;"بستانکار"),"",$AJ230)</f>
        <v/>
      </c>
      <c r="X230" s="70">
        <f>IF($E230="","",IFERROR(VLOOKUP($E230,OpTbl,8,0),""))</f>
        <v/>
      </c>
      <c r="Y230" s="76">
        <f>IF(OR($X230="",$AJ230="",$AJ230=0,$AM230&lt;&gt;"بدهکار"),"",$AJ230)</f>
        <v/>
      </c>
      <c r="Z230" s="76">
        <f>IF(OR($X230="",$AJ230="",$AJ230=0,$AM230&lt;&gt;"بستانکار"),"",$AJ230)</f>
        <v/>
      </c>
      <c r="AA230" s="70">
        <f>IF(OR($E230="",$AN230="—",$AN230=""),"",IFERROR(VLOOKUP($E230,OpTbl,12,0),""))</f>
        <v/>
      </c>
      <c r="AB230" s="76">
        <f>IF(OR($AA230="",$Q230="",$Q230=0,$AN230&lt;&gt;"بدهکار"),"",$Q230)</f>
        <v/>
      </c>
      <c r="AC230" s="76">
        <f>IF(OR($AA230="",$Q230="",$Q230=0,$AN230&lt;&gt;"بستانکار"),"",$Q230)</f>
        <v/>
      </c>
      <c r="AD230" s="70">
        <f>IF($AA230="","",IFERROR(VLOOKUP($E230,OpTbl,13,0),""))</f>
        <v/>
      </c>
      <c r="AE230" s="76">
        <f>IF(OR($AD230="",$Q230="",$Q230=0,$AN230&lt;&gt;"بستانکار"),"",$Q230)</f>
        <v/>
      </c>
      <c r="AF230" s="76">
        <f>IF(OR($AD230="",$Q230="",$Q230=0,$AN230&lt;&gt;"بدهکار"),"",$Q230)</f>
        <v/>
      </c>
      <c r="AG230" s="76">
        <f>SUM($V230,$Y230,$AB230,$AE230)</f>
        <v/>
      </c>
      <c r="AH230" s="76">
        <f>SUM($W230,$Z230,$AC230,$AF230)</f>
        <v/>
      </c>
      <c r="AI230" s="70">
        <f>IF($E230="","",IF(ROUND($AG230-$AH230,0)=0,"✓","⚠"))</f>
        <v/>
      </c>
      <c r="AJ230" s="76">
        <f>IF(OR($E230="",$U230=""),"",IFERROR(IF(VLOOKUP($E230,OpTbl,6,0)="وزن",IF($P230="",0,$P230),IF(VLOOKUP($E230,OpTbl,6,0)="مبلغ",IF(AND($Q230&lt;&gt;"",$Q230&lt;&gt;0),$Q230,$P230),0))+IF(VLOOKUP($E230,OpTbl,10,0)="افزودن",IF($Q230="",0,$Q230),0),0))</f>
        <v/>
      </c>
      <c r="AK230" s="70">
        <f>IF($E230="","",IFERROR(VLOOKUP($E230,OpTbl,10,0),""))</f>
        <v/>
      </c>
      <c r="AL230" s="70">
        <f>IF(OR($E230="",$U230=""),"",IFERROR(IF(VLOOKUP($E230,OpTbl,7,0)="خودکار",$R230,VLOOKUP($E230,OpTbl,7,0)),""))</f>
        <v/>
      </c>
      <c r="AM230" s="70">
        <f>IF(OR($E230="",$X230=""),"",IFERROR(IF(VLOOKUP($E230,OpTbl,9,0)="خودکار",IF($AL230="بدهکار","بستانکار",IF($AL230="بستانکار","بدهکار","")),VLOOKUP($E230,OpTbl,9,0)),""))</f>
        <v/>
      </c>
      <c r="AN230" s="70">
        <f>IF($E230="","",IFERROR(VLOOKUP($E230,OpTbl,11,0),""))</f>
        <v/>
      </c>
      <c r="AO230" s="70">
        <f>IF($B230="","",MID($B230,6,2))</f>
        <v/>
      </c>
      <c r="AP230" s="76">
        <f>IF($B230="",0,1)</f>
        <v/>
      </c>
    </row>
    <row r="231" ht="21.75" customHeight="1">
      <c r="A231" s="70">
        <f>IF($B231="","",COUNTA($B$10:$B231))</f>
        <v/>
      </c>
      <c r="B231" s="71" t="n"/>
      <c r="C231" s="71" t="n"/>
      <c r="D231" s="71" t="n"/>
      <c r="E231" s="71" t="n"/>
      <c r="F231" s="70">
        <f>IF($E231="","",IFERROR(VLOOKUP($E231,OpTbl,2,0),""))</f>
        <v/>
      </c>
      <c r="G231" s="71" t="n"/>
      <c r="H231" s="73">
        <f>IF($U231="","",IFERROR(VLOOKUP($U231,AcctTbl,2,0),"کد ناشناخته"))</f>
        <v/>
      </c>
      <c r="I231" s="70">
        <f>IF($U231="","",IFERROR(VLOOKUP($U231,AcctTbl,3,0),""))</f>
        <v/>
      </c>
      <c r="J231" s="72" t="n"/>
      <c r="K231" s="71" t="n"/>
      <c r="L231" s="74" t="n"/>
      <c r="M231" s="74" t="n"/>
      <c r="N231" s="148">
        <f>IF(OR($E231="",$L231=""),"",IFERROR(($L231-IF($M231="",0,$M231)*IFERROR(VLOOKUP($K231,BasketTbl,4,0),IFERROR(INDEX(BasketTbl,MATCH($K231,BasketCodeCol,0),4),VLOOKUP("P01",ParamTbl,2,0))))*(1-IF(VLOOKUP($E231,OpTbl,3,0)="خرید",VLOOKUP("P02",ParamTbl,2,0),0)/100),""))</f>
        <v/>
      </c>
      <c r="O231" s="74" t="n"/>
      <c r="P231" s="76">
        <f>IF(OR($E231="",$L231=""),"",IFERROR(IF(VLOOKUP($E231,OpTbl,6,0)="وزن",ROUND($N231*$O231,-3),IF(VLOOKUP($E231,OpTbl,6,0)="مبلغ",ROUND($L231*$O231,-3),0)),""))</f>
        <v/>
      </c>
      <c r="Q231" s="74" t="n"/>
      <c r="R231" s="71" t="n"/>
      <c r="S231" s="77">
        <f>IF($E231="","",IF($AI231="⚠","⚠ ناتراز",IF(AND(IFERROR(VLOOKUP($E231,OpTbl,4,0),"")="بله",$L231=""),"⚠ وزن",IF(AND(IFERROR(VLOOKUP($E231,OpTbl,5,0),"")="بله",$U231=""),"⚠ حساب",IF(AND(IFERROR(VLOOKUP($E231,OpTbl,6,0),"")="مبلغ",$Q231=""),"⚠ مبلغ","✓")))))</f>
        <v/>
      </c>
      <c r="T231" s="72" t="n"/>
      <c r="U231" s="70">
        <f>IF($E231="","",IFERROR(IF(VLOOKUP($E231,OpTbl,14,0)&lt;&gt;"",VLOOKUP($E231,OpTbl,14,0),$G231),""))</f>
        <v/>
      </c>
      <c r="V231" s="76">
        <f>IF(OR($AJ231="",$AJ231=0,$AL231&lt;&gt;"بدهکار"),"",$AJ231)</f>
        <v/>
      </c>
      <c r="W231" s="76">
        <f>IF(OR($AJ231="",$AJ231=0,$AL231&lt;&gt;"بستانکار"),"",$AJ231)</f>
        <v/>
      </c>
      <c r="X231" s="70">
        <f>IF($E231="","",IFERROR(VLOOKUP($E231,OpTbl,8,0),""))</f>
        <v/>
      </c>
      <c r="Y231" s="76">
        <f>IF(OR($X231="",$AJ231="",$AJ231=0,$AM231&lt;&gt;"بدهکار"),"",$AJ231)</f>
        <v/>
      </c>
      <c r="Z231" s="76">
        <f>IF(OR($X231="",$AJ231="",$AJ231=0,$AM231&lt;&gt;"بستانکار"),"",$AJ231)</f>
        <v/>
      </c>
      <c r="AA231" s="70">
        <f>IF(OR($E231="",$AN231="—",$AN231=""),"",IFERROR(VLOOKUP($E231,OpTbl,12,0),""))</f>
        <v/>
      </c>
      <c r="AB231" s="76">
        <f>IF(OR($AA231="",$Q231="",$Q231=0,$AN231&lt;&gt;"بدهکار"),"",$Q231)</f>
        <v/>
      </c>
      <c r="AC231" s="76">
        <f>IF(OR($AA231="",$Q231="",$Q231=0,$AN231&lt;&gt;"بستانکار"),"",$Q231)</f>
        <v/>
      </c>
      <c r="AD231" s="70">
        <f>IF($AA231="","",IFERROR(VLOOKUP($E231,OpTbl,13,0),""))</f>
        <v/>
      </c>
      <c r="AE231" s="76">
        <f>IF(OR($AD231="",$Q231="",$Q231=0,$AN231&lt;&gt;"بستانکار"),"",$Q231)</f>
        <v/>
      </c>
      <c r="AF231" s="76">
        <f>IF(OR($AD231="",$Q231="",$Q231=0,$AN231&lt;&gt;"بدهکار"),"",$Q231)</f>
        <v/>
      </c>
      <c r="AG231" s="76">
        <f>SUM($V231,$Y231,$AB231,$AE231)</f>
        <v/>
      </c>
      <c r="AH231" s="76">
        <f>SUM($W231,$Z231,$AC231,$AF231)</f>
        <v/>
      </c>
      <c r="AI231" s="70">
        <f>IF($E231="","",IF(ROUND($AG231-$AH231,0)=0,"✓","⚠"))</f>
        <v/>
      </c>
      <c r="AJ231" s="76">
        <f>IF(OR($E231="",$U231=""),"",IFERROR(IF(VLOOKUP($E231,OpTbl,6,0)="وزن",IF($P231="",0,$P231),IF(VLOOKUP($E231,OpTbl,6,0)="مبلغ",IF(AND($Q231&lt;&gt;"",$Q231&lt;&gt;0),$Q231,$P231),0))+IF(VLOOKUP($E231,OpTbl,10,0)="افزودن",IF($Q231="",0,$Q231),0),0))</f>
        <v/>
      </c>
      <c r="AK231" s="70">
        <f>IF($E231="","",IFERROR(VLOOKUP($E231,OpTbl,10,0),""))</f>
        <v/>
      </c>
      <c r="AL231" s="70">
        <f>IF(OR($E231="",$U231=""),"",IFERROR(IF(VLOOKUP($E231,OpTbl,7,0)="خودکار",$R231,VLOOKUP($E231,OpTbl,7,0)),""))</f>
        <v/>
      </c>
      <c r="AM231" s="70">
        <f>IF(OR($E231="",$X231=""),"",IFERROR(IF(VLOOKUP($E231,OpTbl,9,0)="خودکار",IF($AL231="بدهکار","بستانکار",IF($AL231="بستانکار","بدهکار","")),VLOOKUP($E231,OpTbl,9,0)),""))</f>
        <v/>
      </c>
      <c r="AN231" s="70">
        <f>IF($E231="","",IFERROR(VLOOKUP($E231,OpTbl,11,0),""))</f>
        <v/>
      </c>
      <c r="AO231" s="70">
        <f>IF($B231="","",MID($B231,6,2))</f>
        <v/>
      </c>
      <c r="AP231" s="76">
        <f>IF($B231="",0,1)</f>
        <v/>
      </c>
    </row>
    <row r="232" ht="21.75" customHeight="1">
      <c r="A232" s="70">
        <f>IF($B232="","",COUNTA($B$10:$B232))</f>
        <v/>
      </c>
      <c r="B232" s="71" t="n"/>
      <c r="C232" s="71" t="n"/>
      <c r="D232" s="71" t="n"/>
      <c r="E232" s="71" t="n"/>
      <c r="F232" s="70">
        <f>IF($E232="","",IFERROR(VLOOKUP($E232,OpTbl,2,0),""))</f>
        <v/>
      </c>
      <c r="G232" s="71" t="n"/>
      <c r="H232" s="73">
        <f>IF($U232="","",IFERROR(VLOOKUP($U232,AcctTbl,2,0),"کد ناشناخته"))</f>
        <v/>
      </c>
      <c r="I232" s="70">
        <f>IF($U232="","",IFERROR(VLOOKUP($U232,AcctTbl,3,0),""))</f>
        <v/>
      </c>
      <c r="J232" s="72" t="n"/>
      <c r="K232" s="71" t="n"/>
      <c r="L232" s="74" t="n"/>
      <c r="M232" s="74" t="n"/>
      <c r="N232" s="148">
        <f>IF(OR($E232="",$L232=""),"",IFERROR(($L232-IF($M232="",0,$M232)*IFERROR(VLOOKUP($K232,BasketTbl,4,0),IFERROR(INDEX(BasketTbl,MATCH($K232,BasketCodeCol,0),4),VLOOKUP("P01",ParamTbl,2,0))))*(1-IF(VLOOKUP($E232,OpTbl,3,0)="خرید",VLOOKUP("P02",ParamTbl,2,0),0)/100),""))</f>
        <v/>
      </c>
      <c r="O232" s="74" t="n"/>
      <c r="P232" s="76">
        <f>IF(OR($E232="",$L232=""),"",IFERROR(IF(VLOOKUP($E232,OpTbl,6,0)="وزن",ROUND($N232*$O232,-3),IF(VLOOKUP($E232,OpTbl,6,0)="مبلغ",ROUND($L232*$O232,-3),0)),""))</f>
        <v/>
      </c>
      <c r="Q232" s="74" t="n"/>
      <c r="R232" s="71" t="n"/>
      <c r="S232" s="77">
        <f>IF($E232="","",IF($AI232="⚠","⚠ ناتراز",IF(AND(IFERROR(VLOOKUP($E232,OpTbl,4,0),"")="بله",$L232=""),"⚠ وزن",IF(AND(IFERROR(VLOOKUP($E232,OpTbl,5,0),"")="بله",$U232=""),"⚠ حساب",IF(AND(IFERROR(VLOOKUP($E232,OpTbl,6,0),"")="مبلغ",$Q232=""),"⚠ مبلغ","✓")))))</f>
        <v/>
      </c>
      <c r="T232" s="72" t="n"/>
      <c r="U232" s="70">
        <f>IF($E232="","",IFERROR(IF(VLOOKUP($E232,OpTbl,14,0)&lt;&gt;"",VLOOKUP($E232,OpTbl,14,0),$G232),""))</f>
        <v/>
      </c>
      <c r="V232" s="76">
        <f>IF(OR($AJ232="",$AJ232=0,$AL232&lt;&gt;"بدهکار"),"",$AJ232)</f>
        <v/>
      </c>
      <c r="W232" s="76">
        <f>IF(OR($AJ232="",$AJ232=0,$AL232&lt;&gt;"بستانکار"),"",$AJ232)</f>
        <v/>
      </c>
      <c r="X232" s="70">
        <f>IF($E232="","",IFERROR(VLOOKUP($E232,OpTbl,8,0),""))</f>
        <v/>
      </c>
      <c r="Y232" s="76">
        <f>IF(OR($X232="",$AJ232="",$AJ232=0,$AM232&lt;&gt;"بدهکار"),"",$AJ232)</f>
        <v/>
      </c>
      <c r="Z232" s="76">
        <f>IF(OR($X232="",$AJ232="",$AJ232=0,$AM232&lt;&gt;"بستانکار"),"",$AJ232)</f>
        <v/>
      </c>
      <c r="AA232" s="70">
        <f>IF(OR($E232="",$AN232="—",$AN232=""),"",IFERROR(VLOOKUP($E232,OpTbl,12,0),""))</f>
        <v/>
      </c>
      <c r="AB232" s="76">
        <f>IF(OR($AA232="",$Q232="",$Q232=0,$AN232&lt;&gt;"بدهکار"),"",$Q232)</f>
        <v/>
      </c>
      <c r="AC232" s="76">
        <f>IF(OR($AA232="",$Q232="",$Q232=0,$AN232&lt;&gt;"بستانکار"),"",$Q232)</f>
        <v/>
      </c>
      <c r="AD232" s="70">
        <f>IF($AA232="","",IFERROR(VLOOKUP($E232,OpTbl,13,0),""))</f>
        <v/>
      </c>
      <c r="AE232" s="76">
        <f>IF(OR($AD232="",$Q232="",$Q232=0,$AN232&lt;&gt;"بستانکار"),"",$Q232)</f>
        <v/>
      </c>
      <c r="AF232" s="76">
        <f>IF(OR($AD232="",$Q232="",$Q232=0,$AN232&lt;&gt;"بدهکار"),"",$Q232)</f>
        <v/>
      </c>
      <c r="AG232" s="76">
        <f>SUM($V232,$Y232,$AB232,$AE232)</f>
        <v/>
      </c>
      <c r="AH232" s="76">
        <f>SUM($W232,$Z232,$AC232,$AF232)</f>
        <v/>
      </c>
      <c r="AI232" s="70">
        <f>IF($E232="","",IF(ROUND($AG232-$AH232,0)=0,"✓","⚠"))</f>
        <v/>
      </c>
      <c r="AJ232" s="76">
        <f>IF(OR($E232="",$U232=""),"",IFERROR(IF(VLOOKUP($E232,OpTbl,6,0)="وزن",IF($P232="",0,$P232),IF(VLOOKUP($E232,OpTbl,6,0)="مبلغ",IF(AND($Q232&lt;&gt;"",$Q232&lt;&gt;0),$Q232,$P232),0))+IF(VLOOKUP($E232,OpTbl,10,0)="افزودن",IF($Q232="",0,$Q232),0),0))</f>
        <v/>
      </c>
      <c r="AK232" s="70">
        <f>IF($E232="","",IFERROR(VLOOKUP($E232,OpTbl,10,0),""))</f>
        <v/>
      </c>
      <c r="AL232" s="70">
        <f>IF(OR($E232="",$U232=""),"",IFERROR(IF(VLOOKUP($E232,OpTbl,7,0)="خودکار",$R232,VLOOKUP($E232,OpTbl,7,0)),""))</f>
        <v/>
      </c>
      <c r="AM232" s="70">
        <f>IF(OR($E232="",$X232=""),"",IFERROR(IF(VLOOKUP($E232,OpTbl,9,0)="خودکار",IF($AL232="بدهکار","بستانکار",IF($AL232="بستانکار","بدهکار","")),VLOOKUP($E232,OpTbl,9,0)),""))</f>
        <v/>
      </c>
      <c r="AN232" s="70">
        <f>IF($E232="","",IFERROR(VLOOKUP($E232,OpTbl,11,0),""))</f>
        <v/>
      </c>
      <c r="AO232" s="70">
        <f>IF($B232="","",MID($B232,6,2))</f>
        <v/>
      </c>
      <c r="AP232" s="76">
        <f>IF($B232="",0,1)</f>
        <v/>
      </c>
    </row>
    <row r="233" ht="21.75" customHeight="1">
      <c r="A233" s="70">
        <f>IF($B233="","",COUNTA($B$10:$B233))</f>
        <v/>
      </c>
      <c r="B233" s="71" t="n"/>
      <c r="C233" s="71" t="n"/>
      <c r="D233" s="71" t="n"/>
      <c r="E233" s="71" t="n"/>
      <c r="F233" s="70">
        <f>IF($E233="","",IFERROR(VLOOKUP($E233,OpTbl,2,0),""))</f>
        <v/>
      </c>
      <c r="G233" s="71" t="n"/>
      <c r="H233" s="73">
        <f>IF($U233="","",IFERROR(VLOOKUP($U233,AcctTbl,2,0),"کد ناشناخته"))</f>
        <v/>
      </c>
      <c r="I233" s="70">
        <f>IF($U233="","",IFERROR(VLOOKUP($U233,AcctTbl,3,0),""))</f>
        <v/>
      </c>
      <c r="J233" s="72" t="n"/>
      <c r="K233" s="71" t="n"/>
      <c r="L233" s="74" t="n"/>
      <c r="M233" s="74" t="n"/>
      <c r="N233" s="148">
        <f>IF(OR($E233="",$L233=""),"",IFERROR(($L233-IF($M233="",0,$M233)*IFERROR(VLOOKUP($K233,BasketTbl,4,0),IFERROR(INDEX(BasketTbl,MATCH($K233,BasketCodeCol,0),4),VLOOKUP("P01",ParamTbl,2,0))))*(1-IF(VLOOKUP($E233,OpTbl,3,0)="خرید",VLOOKUP("P02",ParamTbl,2,0),0)/100),""))</f>
        <v/>
      </c>
      <c r="O233" s="74" t="n"/>
      <c r="P233" s="76">
        <f>IF(OR($E233="",$L233=""),"",IFERROR(IF(VLOOKUP($E233,OpTbl,6,0)="وزن",ROUND($N233*$O233,-3),IF(VLOOKUP($E233,OpTbl,6,0)="مبلغ",ROUND($L233*$O233,-3),0)),""))</f>
        <v/>
      </c>
      <c r="Q233" s="74" t="n"/>
      <c r="R233" s="71" t="n"/>
      <c r="S233" s="77">
        <f>IF($E233="","",IF($AI233="⚠","⚠ ناتراز",IF(AND(IFERROR(VLOOKUP($E233,OpTbl,4,0),"")="بله",$L233=""),"⚠ وزن",IF(AND(IFERROR(VLOOKUP($E233,OpTbl,5,0),"")="بله",$U233=""),"⚠ حساب",IF(AND(IFERROR(VLOOKUP($E233,OpTbl,6,0),"")="مبلغ",$Q233=""),"⚠ مبلغ","✓")))))</f>
        <v/>
      </c>
      <c r="T233" s="72" t="n"/>
      <c r="U233" s="70">
        <f>IF($E233="","",IFERROR(IF(VLOOKUP($E233,OpTbl,14,0)&lt;&gt;"",VLOOKUP($E233,OpTbl,14,0),$G233),""))</f>
        <v/>
      </c>
      <c r="V233" s="76">
        <f>IF(OR($AJ233="",$AJ233=0,$AL233&lt;&gt;"بدهکار"),"",$AJ233)</f>
        <v/>
      </c>
      <c r="W233" s="76">
        <f>IF(OR($AJ233="",$AJ233=0,$AL233&lt;&gt;"بستانکار"),"",$AJ233)</f>
        <v/>
      </c>
      <c r="X233" s="70">
        <f>IF($E233="","",IFERROR(VLOOKUP($E233,OpTbl,8,0),""))</f>
        <v/>
      </c>
      <c r="Y233" s="76">
        <f>IF(OR($X233="",$AJ233="",$AJ233=0,$AM233&lt;&gt;"بدهکار"),"",$AJ233)</f>
        <v/>
      </c>
      <c r="Z233" s="76">
        <f>IF(OR($X233="",$AJ233="",$AJ233=0,$AM233&lt;&gt;"بستانکار"),"",$AJ233)</f>
        <v/>
      </c>
      <c r="AA233" s="70">
        <f>IF(OR($E233="",$AN233="—",$AN233=""),"",IFERROR(VLOOKUP($E233,OpTbl,12,0),""))</f>
        <v/>
      </c>
      <c r="AB233" s="76">
        <f>IF(OR($AA233="",$Q233="",$Q233=0,$AN233&lt;&gt;"بدهکار"),"",$Q233)</f>
        <v/>
      </c>
      <c r="AC233" s="76">
        <f>IF(OR($AA233="",$Q233="",$Q233=0,$AN233&lt;&gt;"بستانکار"),"",$Q233)</f>
        <v/>
      </c>
      <c r="AD233" s="70">
        <f>IF($AA233="","",IFERROR(VLOOKUP($E233,OpTbl,13,0),""))</f>
        <v/>
      </c>
      <c r="AE233" s="76">
        <f>IF(OR($AD233="",$Q233="",$Q233=0,$AN233&lt;&gt;"بستانکار"),"",$Q233)</f>
        <v/>
      </c>
      <c r="AF233" s="76">
        <f>IF(OR($AD233="",$Q233="",$Q233=0,$AN233&lt;&gt;"بدهکار"),"",$Q233)</f>
        <v/>
      </c>
      <c r="AG233" s="76">
        <f>SUM($V233,$Y233,$AB233,$AE233)</f>
        <v/>
      </c>
      <c r="AH233" s="76">
        <f>SUM($W233,$Z233,$AC233,$AF233)</f>
        <v/>
      </c>
      <c r="AI233" s="70">
        <f>IF($E233="","",IF(ROUND($AG233-$AH233,0)=0,"✓","⚠"))</f>
        <v/>
      </c>
      <c r="AJ233" s="76">
        <f>IF(OR($E233="",$U233=""),"",IFERROR(IF(VLOOKUP($E233,OpTbl,6,0)="وزن",IF($P233="",0,$P233),IF(VLOOKUP($E233,OpTbl,6,0)="مبلغ",IF(AND($Q233&lt;&gt;"",$Q233&lt;&gt;0),$Q233,$P233),0))+IF(VLOOKUP($E233,OpTbl,10,0)="افزودن",IF($Q233="",0,$Q233),0),0))</f>
        <v/>
      </c>
      <c r="AK233" s="70">
        <f>IF($E233="","",IFERROR(VLOOKUP($E233,OpTbl,10,0),""))</f>
        <v/>
      </c>
      <c r="AL233" s="70">
        <f>IF(OR($E233="",$U233=""),"",IFERROR(IF(VLOOKUP($E233,OpTbl,7,0)="خودکار",$R233,VLOOKUP($E233,OpTbl,7,0)),""))</f>
        <v/>
      </c>
      <c r="AM233" s="70">
        <f>IF(OR($E233="",$X233=""),"",IFERROR(IF(VLOOKUP($E233,OpTbl,9,0)="خودکار",IF($AL233="بدهکار","بستانکار",IF($AL233="بستانکار","بدهکار","")),VLOOKUP($E233,OpTbl,9,0)),""))</f>
        <v/>
      </c>
      <c r="AN233" s="70">
        <f>IF($E233="","",IFERROR(VLOOKUP($E233,OpTbl,11,0),""))</f>
        <v/>
      </c>
      <c r="AO233" s="70">
        <f>IF($B233="","",MID($B233,6,2))</f>
        <v/>
      </c>
      <c r="AP233" s="76">
        <f>IF($B233="",0,1)</f>
        <v/>
      </c>
    </row>
    <row r="234" ht="21.75" customHeight="1">
      <c r="A234" s="70">
        <f>IF($B234="","",COUNTA($B$10:$B234))</f>
        <v/>
      </c>
      <c r="B234" s="71" t="n"/>
      <c r="C234" s="71" t="n"/>
      <c r="D234" s="71" t="n"/>
      <c r="E234" s="71" t="n"/>
      <c r="F234" s="70">
        <f>IF($E234="","",IFERROR(VLOOKUP($E234,OpTbl,2,0),""))</f>
        <v/>
      </c>
      <c r="G234" s="71" t="n"/>
      <c r="H234" s="73">
        <f>IF($U234="","",IFERROR(VLOOKUP($U234,AcctTbl,2,0),"کد ناشناخته"))</f>
        <v/>
      </c>
      <c r="I234" s="70">
        <f>IF($U234="","",IFERROR(VLOOKUP($U234,AcctTbl,3,0),""))</f>
        <v/>
      </c>
      <c r="J234" s="72" t="n"/>
      <c r="K234" s="71" t="n"/>
      <c r="L234" s="74" t="n"/>
      <c r="M234" s="74" t="n"/>
      <c r="N234" s="148">
        <f>IF(OR($E234="",$L234=""),"",IFERROR(($L234-IF($M234="",0,$M234)*IFERROR(VLOOKUP($K234,BasketTbl,4,0),IFERROR(INDEX(BasketTbl,MATCH($K234,BasketCodeCol,0),4),VLOOKUP("P01",ParamTbl,2,0))))*(1-IF(VLOOKUP($E234,OpTbl,3,0)="خرید",VLOOKUP("P02",ParamTbl,2,0),0)/100),""))</f>
        <v/>
      </c>
      <c r="O234" s="74" t="n"/>
      <c r="P234" s="76">
        <f>IF(OR($E234="",$L234=""),"",IFERROR(IF(VLOOKUP($E234,OpTbl,6,0)="وزن",ROUND($N234*$O234,-3),IF(VLOOKUP($E234,OpTbl,6,0)="مبلغ",ROUND($L234*$O234,-3),0)),""))</f>
        <v/>
      </c>
      <c r="Q234" s="74" t="n"/>
      <c r="R234" s="71" t="n"/>
      <c r="S234" s="77">
        <f>IF($E234="","",IF($AI234="⚠","⚠ ناتراز",IF(AND(IFERROR(VLOOKUP($E234,OpTbl,4,0),"")="بله",$L234=""),"⚠ وزن",IF(AND(IFERROR(VLOOKUP($E234,OpTbl,5,0),"")="بله",$U234=""),"⚠ حساب",IF(AND(IFERROR(VLOOKUP($E234,OpTbl,6,0),"")="مبلغ",$Q234=""),"⚠ مبلغ","✓")))))</f>
        <v/>
      </c>
      <c r="T234" s="72" t="n"/>
      <c r="U234" s="70">
        <f>IF($E234="","",IFERROR(IF(VLOOKUP($E234,OpTbl,14,0)&lt;&gt;"",VLOOKUP($E234,OpTbl,14,0),$G234),""))</f>
        <v/>
      </c>
      <c r="V234" s="76">
        <f>IF(OR($AJ234="",$AJ234=0,$AL234&lt;&gt;"بدهکار"),"",$AJ234)</f>
        <v/>
      </c>
      <c r="W234" s="76">
        <f>IF(OR($AJ234="",$AJ234=0,$AL234&lt;&gt;"بستانکار"),"",$AJ234)</f>
        <v/>
      </c>
      <c r="X234" s="70">
        <f>IF($E234="","",IFERROR(VLOOKUP($E234,OpTbl,8,0),""))</f>
        <v/>
      </c>
      <c r="Y234" s="76">
        <f>IF(OR($X234="",$AJ234="",$AJ234=0,$AM234&lt;&gt;"بدهکار"),"",$AJ234)</f>
        <v/>
      </c>
      <c r="Z234" s="76">
        <f>IF(OR($X234="",$AJ234="",$AJ234=0,$AM234&lt;&gt;"بستانکار"),"",$AJ234)</f>
        <v/>
      </c>
      <c r="AA234" s="70">
        <f>IF(OR($E234="",$AN234="—",$AN234=""),"",IFERROR(VLOOKUP($E234,OpTbl,12,0),""))</f>
        <v/>
      </c>
      <c r="AB234" s="76">
        <f>IF(OR($AA234="",$Q234="",$Q234=0,$AN234&lt;&gt;"بدهکار"),"",$Q234)</f>
        <v/>
      </c>
      <c r="AC234" s="76">
        <f>IF(OR($AA234="",$Q234="",$Q234=0,$AN234&lt;&gt;"بستانکار"),"",$Q234)</f>
        <v/>
      </c>
      <c r="AD234" s="70">
        <f>IF($AA234="","",IFERROR(VLOOKUP($E234,OpTbl,13,0),""))</f>
        <v/>
      </c>
      <c r="AE234" s="76">
        <f>IF(OR($AD234="",$Q234="",$Q234=0,$AN234&lt;&gt;"بستانکار"),"",$Q234)</f>
        <v/>
      </c>
      <c r="AF234" s="76">
        <f>IF(OR($AD234="",$Q234="",$Q234=0,$AN234&lt;&gt;"بدهکار"),"",$Q234)</f>
        <v/>
      </c>
      <c r="AG234" s="76">
        <f>SUM($V234,$Y234,$AB234,$AE234)</f>
        <v/>
      </c>
      <c r="AH234" s="76">
        <f>SUM($W234,$Z234,$AC234,$AF234)</f>
        <v/>
      </c>
      <c r="AI234" s="70">
        <f>IF($E234="","",IF(ROUND($AG234-$AH234,0)=0,"✓","⚠"))</f>
        <v/>
      </c>
      <c r="AJ234" s="76">
        <f>IF(OR($E234="",$U234=""),"",IFERROR(IF(VLOOKUP($E234,OpTbl,6,0)="وزن",IF($P234="",0,$P234),IF(VLOOKUP($E234,OpTbl,6,0)="مبلغ",IF(AND($Q234&lt;&gt;"",$Q234&lt;&gt;0),$Q234,$P234),0))+IF(VLOOKUP($E234,OpTbl,10,0)="افزودن",IF($Q234="",0,$Q234),0),0))</f>
        <v/>
      </c>
      <c r="AK234" s="70">
        <f>IF($E234="","",IFERROR(VLOOKUP($E234,OpTbl,10,0),""))</f>
        <v/>
      </c>
      <c r="AL234" s="70">
        <f>IF(OR($E234="",$U234=""),"",IFERROR(IF(VLOOKUP($E234,OpTbl,7,0)="خودکار",$R234,VLOOKUP($E234,OpTbl,7,0)),""))</f>
        <v/>
      </c>
      <c r="AM234" s="70">
        <f>IF(OR($E234="",$X234=""),"",IFERROR(IF(VLOOKUP($E234,OpTbl,9,0)="خودکار",IF($AL234="بدهکار","بستانکار",IF($AL234="بستانکار","بدهکار","")),VLOOKUP($E234,OpTbl,9,0)),""))</f>
        <v/>
      </c>
      <c r="AN234" s="70">
        <f>IF($E234="","",IFERROR(VLOOKUP($E234,OpTbl,11,0),""))</f>
        <v/>
      </c>
      <c r="AO234" s="70">
        <f>IF($B234="","",MID($B234,6,2))</f>
        <v/>
      </c>
      <c r="AP234" s="76">
        <f>IF($B234="",0,1)</f>
        <v/>
      </c>
    </row>
    <row r="235" ht="21.75" customHeight="1">
      <c r="A235" s="70">
        <f>IF($B235="","",COUNTA($B$10:$B235))</f>
        <v/>
      </c>
      <c r="B235" s="71" t="n"/>
      <c r="C235" s="71" t="n"/>
      <c r="D235" s="71" t="n"/>
      <c r="E235" s="71" t="n"/>
      <c r="F235" s="70">
        <f>IF($E235="","",IFERROR(VLOOKUP($E235,OpTbl,2,0),""))</f>
        <v/>
      </c>
      <c r="G235" s="71" t="n"/>
      <c r="H235" s="73">
        <f>IF($U235="","",IFERROR(VLOOKUP($U235,AcctTbl,2,0),"کد ناشناخته"))</f>
        <v/>
      </c>
      <c r="I235" s="70">
        <f>IF($U235="","",IFERROR(VLOOKUP($U235,AcctTbl,3,0),""))</f>
        <v/>
      </c>
      <c r="J235" s="72" t="n"/>
      <c r="K235" s="71" t="n"/>
      <c r="L235" s="74" t="n"/>
      <c r="M235" s="74" t="n"/>
      <c r="N235" s="148">
        <f>IF(OR($E235="",$L235=""),"",IFERROR(($L235-IF($M235="",0,$M235)*IFERROR(VLOOKUP($K235,BasketTbl,4,0),IFERROR(INDEX(BasketTbl,MATCH($K235,BasketCodeCol,0),4),VLOOKUP("P01",ParamTbl,2,0))))*(1-IF(VLOOKUP($E235,OpTbl,3,0)="خرید",VLOOKUP("P02",ParamTbl,2,0),0)/100),""))</f>
        <v/>
      </c>
      <c r="O235" s="74" t="n"/>
      <c r="P235" s="76">
        <f>IF(OR($E235="",$L235=""),"",IFERROR(IF(VLOOKUP($E235,OpTbl,6,0)="وزن",ROUND($N235*$O235,-3),IF(VLOOKUP($E235,OpTbl,6,0)="مبلغ",ROUND($L235*$O235,-3),0)),""))</f>
        <v/>
      </c>
      <c r="Q235" s="74" t="n"/>
      <c r="R235" s="71" t="n"/>
      <c r="S235" s="77">
        <f>IF($E235="","",IF($AI235="⚠","⚠ ناتراز",IF(AND(IFERROR(VLOOKUP($E235,OpTbl,4,0),"")="بله",$L235=""),"⚠ وزن",IF(AND(IFERROR(VLOOKUP($E235,OpTbl,5,0),"")="بله",$U235=""),"⚠ حساب",IF(AND(IFERROR(VLOOKUP($E235,OpTbl,6,0),"")="مبلغ",$Q235=""),"⚠ مبلغ","✓")))))</f>
        <v/>
      </c>
      <c r="T235" s="72" t="n"/>
      <c r="U235" s="70">
        <f>IF($E235="","",IFERROR(IF(VLOOKUP($E235,OpTbl,14,0)&lt;&gt;"",VLOOKUP($E235,OpTbl,14,0),$G235),""))</f>
        <v/>
      </c>
      <c r="V235" s="76">
        <f>IF(OR($AJ235="",$AJ235=0,$AL235&lt;&gt;"بدهکار"),"",$AJ235)</f>
        <v/>
      </c>
      <c r="W235" s="76">
        <f>IF(OR($AJ235="",$AJ235=0,$AL235&lt;&gt;"بستانکار"),"",$AJ235)</f>
        <v/>
      </c>
      <c r="X235" s="70">
        <f>IF($E235="","",IFERROR(VLOOKUP($E235,OpTbl,8,0),""))</f>
        <v/>
      </c>
      <c r="Y235" s="76">
        <f>IF(OR($X235="",$AJ235="",$AJ235=0,$AM235&lt;&gt;"بدهکار"),"",$AJ235)</f>
        <v/>
      </c>
      <c r="Z235" s="76">
        <f>IF(OR($X235="",$AJ235="",$AJ235=0,$AM235&lt;&gt;"بستانکار"),"",$AJ235)</f>
        <v/>
      </c>
      <c r="AA235" s="70">
        <f>IF(OR($E235="",$AN235="—",$AN235=""),"",IFERROR(VLOOKUP($E235,OpTbl,12,0),""))</f>
        <v/>
      </c>
      <c r="AB235" s="76">
        <f>IF(OR($AA235="",$Q235="",$Q235=0,$AN235&lt;&gt;"بدهکار"),"",$Q235)</f>
        <v/>
      </c>
      <c r="AC235" s="76">
        <f>IF(OR($AA235="",$Q235="",$Q235=0,$AN235&lt;&gt;"بستانکار"),"",$Q235)</f>
        <v/>
      </c>
      <c r="AD235" s="70">
        <f>IF($AA235="","",IFERROR(VLOOKUP($E235,OpTbl,13,0),""))</f>
        <v/>
      </c>
      <c r="AE235" s="76">
        <f>IF(OR($AD235="",$Q235="",$Q235=0,$AN235&lt;&gt;"بستانکار"),"",$Q235)</f>
        <v/>
      </c>
      <c r="AF235" s="76">
        <f>IF(OR($AD235="",$Q235="",$Q235=0,$AN235&lt;&gt;"بدهکار"),"",$Q235)</f>
        <v/>
      </c>
      <c r="AG235" s="76">
        <f>SUM($V235,$Y235,$AB235,$AE235)</f>
        <v/>
      </c>
      <c r="AH235" s="76">
        <f>SUM($W235,$Z235,$AC235,$AF235)</f>
        <v/>
      </c>
      <c r="AI235" s="70">
        <f>IF($E235="","",IF(ROUND($AG235-$AH235,0)=0,"✓","⚠"))</f>
        <v/>
      </c>
      <c r="AJ235" s="76">
        <f>IF(OR($E235="",$U235=""),"",IFERROR(IF(VLOOKUP($E235,OpTbl,6,0)="وزن",IF($P235="",0,$P235),IF(VLOOKUP($E235,OpTbl,6,0)="مبلغ",IF(AND($Q235&lt;&gt;"",$Q235&lt;&gt;0),$Q235,$P235),0))+IF(VLOOKUP($E235,OpTbl,10,0)="افزودن",IF($Q235="",0,$Q235),0),0))</f>
        <v/>
      </c>
      <c r="AK235" s="70">
        <f>IF($E235="","",IFERROR(VLOOKUP($E235,OpTbl,10,0),""))</f>
        <v/>
      </c>
      <c r="AL235" s="70">
        <f>IF(OR($E235="",$U235=""),"",IFERROR(IF(VLOOKUP($E235,OpTbl,7,0)="خودکار",$R235,VLOOKUP($E235,OpTbl,7,0)),""))</f>
        <v/>
      </c>
      <c r="AM235" s="70">
        <f>IF(OR($E235="",$X235=""),"",IFERROR(IF(VLOOKUP($E235,OpTbl,9,0)="خودکار",IF($AL235="بدهکار","بستانکار",IF($AL235="بستانکار","بدهکار","")),VLOOKUP($E235,OpTbl,9,0)),""))</f>
        <v/>
      </c>
      <c r="AN235" s="70">
        <f>IF($E235="","",IFERROR(VLOOKUP($E235,OpTbl,11,0),""))</f>
        <v/>
      </c>
      <c r="AO235" s="70">
        <f>IF($B235="","",MID($B235,6,2))</f>
        <v/>
      </c>
      <c r="AP235" s="76">
        <f>IF($B235="",0,1)</f>
        <v/>
      </c>
    </row>
    <row r="236" ht="21.75" customHeight="1">
      <c r="A236" s="70">
        <f>IF($B236="","",COUNTA($B$10:$B236))</f>
        <v/>
      </c>
      <c r="B236" s="71" t="n"/>
      <c r="C236" s="71" t="n"/>
      <c r="D236" s="71" t="n"/>
      <c r="E236" s="71" t="n"/>
      <c r="F236" s="70">
        <f>IF($E236="","",IFERROR(VLOOKUP($E236,OpTbl,2,0),""))</f>
        <v/>
      </c>
      <c r="G236" s="71" t="n"/>
      <c r="H236" s="73">
        <f>IF($U236="","",IFERROR(VLOOKUP($U236,AcctTbl,2,0),"کد ناشناخته"))</f>
        <v/>
      </c>
      <c r="I236" s="70">
        <f>IF($U236="","",IFERROR(VLOOKUP($U236,AcctTbl,3,0),""))</f>
        <v/>
      </c>
      <c r="J236" s="72" t="n"/>
      <c r="K236" s="71" t="n"/>
      <c r="L236" s="74" t="n"/>
      <c r="M236" s="74" t="n"/>
      <c r="N236" s="148">
        <f>IF(OR($E236="",$L236=""),"",IFERROR(($L236-IF($M236="",0,$M236)*IFERROR(VLOOKUP($K236,BasketTbl,4,0),IFERROR(INDEX(BasketTbl,MATCH($K236,BasketCodeCol,0),4),VLOOKUP("P01",ParamTbl,2,0))))*(1-IF(VLOOKUP($E236,OpTbl,3,0)="خرید",VLOOKUP("P02",ParamTbl,2,0),0)/100),""))</f>
        <v/>
      </c>
      <c r="O236" s="74" t="n"/>
      <c r="P236" s="76">
        <f>IF(OR($E236="",$L236=""),"",IFERROR(IF(VLOOKUP($E236,OpTbl,6,0)="وزن",ROUND($N236*$O236,-3),IF(VLOOKUP($E236,OpTbl,6,0)="مبلغ",ROUND($L236*$O236,-3),0)),""))</f>
        <v/>
      </c>
      <c r="Q236" s="74" t="n"/>
      <c r="R236" s="71" t="n"/>
      <c r="S236" s="77">
        <f>IF($E236="","",IF($AI236="⚠","⚠ ناتراز",IF(AND(IFERROR(VLOOKUP($E236,OpTbl,4,0),"")="بله",$L236=""),"⚠ وزن",IF(AND(IFERROR(VLOOKUP($E236,OpTbl,5,0),"")="بله",$U236=""),"⚠ حساب",IF(AND(IFERROR(VLOOKUP($E236,OpTbl,6,0),"")="مبلغ",$Q236=""),"⚠ مبلغ","✓")))))</f>
        <v/>
      </c>
      <c r="T236" s="72" t="n"/>
      <c r="U236" s="70">
        <f>IF($E236="","",IFERROR(IF(VLOOKUP($E236,OpTbl,14,0)&lt;&gt;"",VLOOKUP($E236,OpTbl,14,0),$G236),""))</f>
        <v/>
      </c>
      <c r="V236" s="76">
        <f>IF(OR($AJ236="",$AJ236=0,$AL236&lt;&gt;"بدهکار"),"",$AJ236)</f>
        <v/>
      </c>
      <c r="W236" s="76">
        <f>IF(OR($AJ236="",$AJ236=0,$AL236&lt;&gt;"بستانکار"),"",$AJ236)</f>
        <v/>
      </c>
      <c r="X236" s="70">
        <f>IF($E236="","",IFERROR(VLOOKUP($E236,OpTbl,8,0),""))</f>
        <v/>
      </c>
      <c r="Y236" s="76">
        <f>IF(OR($X236="",$AJ236="",$AJ236=0,$AM236&lt;&gt;"بدهکار"),"",$AJ236)</f>
        <v/>
      </c>
      <c r="Z236" s="76">
        <f>IF(OR($X236="",$AJ236="",$AJ236=0,$AM236&lt;&gt;"بستانکار"),"",$AJ236)</f>
        <v/>
      </c>
      <c r="AA236" s="70">
        <f>IF(OR($E236="",$AN236="—",$AN236=""),"",IFERROR(VLOOKUP($E236,OpTbl,12,0),""))</f>
        <v/>
      </c>
      <c r="AB236" s="76">
        <f>IF(OR($AA236="",$Q236="",$Q236=0,$AN236&lt;&gt;"بدهکار"),"",$Q236)</f>
        <v/>
      </c>
      <c r="AC236" s="76">
        <f>IF(OR($AA236="",$Q236="",$Q236=0,$AN236&lt;&gt;"بستانکار"),"",$Q236)</f>
        <v/>
      </c>
      <c r="AD236" s="70">
        <f>IF($AA236="","",IFERROR(VLOOKUP($E236,OpTbl,13,0),""))</f>
        <v/>
      </c>
      <c r="AE236" s="76">
        <f>IF(OR($AD236="",$Q236="",$Q236=0,$AN236&lt;&gt;"بستانکار"),"",$Q236)</f>
        <v/>
      </c>
      <c r="AF236" s="76">
        <f>IF(OR($AD236="",$Q236="",$Q236=0,$AN236&lt;&gt;"بدهکار"),"",$Q236)</f>
        <v/>
      </c>
      <c r="AG236" s="76">
        <f>SUM($V236,$Y236,$AB236,$AE236)</f>
        <v/>
      </c>
      <c r="AH236" s="76">
        <f>SUM($W236,$Z236,$AC236,$AF236)</f>
        <v/>
      </c>
      <c r="AI236" s="70">
        <f>IF($E236="","",IF(ROUND($AG236-$AH236,0)=0,"✓","⚠"))</f>
        <v/>
      </c>
      <c r="AJ236" s="76">
        <f>IF(OR($E236="",$U236=""),"",IFERROR(IF(VLOOKUP($E236,OpTbl,6,0)="وزن",IF($P236="",0,$P236),IF(VLOOKUP($E236,OpTbl,6,0)="مبلغ",IF(AND($Q236&lt;&gt;"",$Q236&lt;&gt;0),$Q236,$P236),0))+IF(VLOOKUP($E236,OpTbl,10,0)="افزودن",IF($Q236="",0,$Q236),0),0))</f>
        <v/>
      </c>
      <c r="AK236" s="70">
        <f>IF($E236="","",IFERROR(VLOOKUP($E236,OpTbl,10,0),""))</f>
        <v/>
      </c>
      <c r="AL236" s="70">
        <f>IF(OR($E236="",$U236=""),"",IFERROR(IF(VLOOKUP($E236,OpTbl,7,0)="خودکار",$R236,VLOOKUP($E236,OpTbl,7,0)),""))</f>
        <v/>
      </c>
      <c r="AM236" s="70">
        <f>IF(OR($E236="",$X236=""),"",IFERROR(IF(VLOOKUP($E236,OpTbl,9,0)="خودکار",IF($AL236="بدهکار","بستانکار",IF($AL236="بستانکار","بدهکار","")),VLOOKUP($E236,OpTbl,9,0)),""))</f>
        <v/>
      </c>
      <c r="AN236" s="70">
        <f>IF($E236="","",IFERROR(VLOOKUP($E236,OpTbl,11,0),""))</f>
        <v/>
      </c>
      <c r="AO236" s="70">
        <f>IF($B236="","",MID($B236,6,2))</f>
        <v/>
      </c>
      <c r="AP236" s="76">
        <f>IF($B236="",0,1)</f>
        <v/>
      </c>
    </row>
    <row r="237" ht="21.75" customHeight="1">
      <c r="A237" s="70">
        <f>IF($B237="","",COUNTA($B$10:$B237))</f>
        <v/>
      </c>
      <c r="B237" s="71" t="n"/>
      <c r="C237" s="71" t="n"/>
      <c r="D237" s="71" t="n"/>
      <c r="E237" s="71" t="n"/>
      <c r="F237" s="70">
        <f>IF($E237="","",IFERROR(VLOOKUP($E237,OpTbl,2,0),""))</f>
        <v/>
      </c>
      <c r="G237" s="71" t="n"/>
      <c r="H237" s="73">
        <f>IF($U237="","",IFERROR(VLOOKUP($U237,AcctTbl,2,0),"کد ناشناخته"))</f>
        <v/>
      </c>
      <c r="I237" s="70">
        <f>IF($U237="","",IFERROR(VLOOKUP($U237,AcctTbl,3,0),""))</f>
        <v/>
      </c>
      <c r="J237" s="72" t="n"/>
      <c r="K237" s="71" t="n"/>
      <c r="L237" s="74" t="n"/>
      <c r="M237" s="74" t="n"/>
      <c r="N237" s="148">
        <f>IF(OR($E237="",$L237=""),"",IFERROR(($L237-IF($M237="",0,$M237)*IFERROR(VLOOKUP($K237,BasketTbl,4,0),IFERROR(INDEX(BasketTbl,MATCH($K237,BasketCodeCol,0),4),VLOOKUP("P01",ParamTbl,2,0))))*(1-IF(VLOOKUP($E237,OpTbl,3,0)="خرید",VLOOKUP("P02",ParamTbl,2,0),0)/100),""))</f>
        <v/>
      </c>
      <c r="O237" s="74" t="n"/>
      <c r="P237" s="76">
        <f>IF(OR($E237="",$L237=""),"",IFERROR(IF(VLOOKUP($E237,OpTbl,6,0)="وزن",ROUND($N237*$O237,-3),IF(VLOOKUP($E237,OpTbl,6,0)="مبلغ",ROUND($L237*$O237,-3),0)),""))</f>
        <v/>
      </c>
      <c r="Q237" s="74" t="n"/>
      <c r="R237" s="71" t="n"/>
      <c r="S237" s="77">
        <f>IF($E237="","",IF($AI237="⚠","⚠ ناتراز",IF(AND(IFERROR(VLOOKUP($E237,OpTbl,4,0),"")="بله",$L237=""),"⚠ وزن",IF(AND(IFERROR(VLOOKUP($E237,OpTbl,5,0),"")="بله",$U237=""),"⚠ حساب",IF(AND(IFERROR(VLOOKUP($E237,OpTbl,6,0),"")="مبلغ",$Q237=""),"⚠ مبلغ","✓")))))</f>
        <v/>
      </c>
      <c r="T237" s="72" t="n"/>
      <c r="U237" s="70">
        <f>IF($E237="","",IFERROR(IF(VLOOKUP($E237,OpTbl,14,0)&lt;&gt;"",VLOOKUP($E237,OpTbl,14,0),$G237),""))</f>
        <v/>
      </c>
      <c r="V237" s="76">
        <f>IF(OR($AJ237="",$AJ237=0,$AL237&lt;&gt;"بدهکار"),"",$AJ237)</f>
        <v/>
      </c>
      <c r="W237" s="76">
        <f>IF(OR($AJ237="",$AJ237=0,$AL237&lt;&gt;"بستانکار"),"",$AJ237)</f>
        <v/>
      </c>
      <c r="X237" s="70">
        <f>IF($E237="","",IFERROR(VLOOKUP($E237,OpTbl,8,0),""))</f>
        <v/>
      </c>
      <c r="Y237" s="76">
        <f>IF(OR($X237="",$AJ237="",$AJ237=0,$AM237&lt;&gt;"بدهکار"),"",$AJ237)</f>
        <v/>
      </c>
      <c r="Z237" s="76">
        <f>IF(OR($X237="",$AJ237="",$AJ237=0,$AM237&lt;&gt;"بستانکار"),"",$AJ237)</f>
        <v/>
      </c>
      <c r="AA237" s="70">
        <f>IF(OR($E237="",$AN237="—",$AN237=""),"",IFERROR(VLOOKUP($E237,OpTbl,12,0),""))</f>
        <v/>
      </c>
      <c r="AB237" s="76">
        <f>IF(OR($AA237="",$Q237="",$Q237=0,$AN237&lt;&gt;"بدهکار"),"",$Q237)</f>
        <v/>
      </c>
      <c r="AC237" s="76">
        <f>IF(OR($AA237="",$Q237="",$Q237=0,$AN237&lt;&gt;"بستانکار"),"",$Q237)</f>
        <v/>
      </c>
      <c r="AD237" s="70">
        <f>IF($AA237="","",IFERROR(VLOOKUP($E237,OpTbl,13,0),""))</f>
        <v/>
      </c>
      <c r="AE237" s="76">
        <f>IF(OR($AD237="",$Q237="",$Q237=0,$AN237&lt;&gt;"بستانکار"),"",$Q237)</f>
        <v/>
      </c>
      <c r="AF237" s="76">
        <f>IF(OR($AD237="",$Q237="",$Q237=0,$AN237&lt;&gt;"بدهکار"),"",$Q237)</f>
        <v/>
      </c>
      <c r="AG237" s="76">
        <f>SUM($V237,$Y237,$AB237,$AE237)</f>
        <v/>
      </c>
      <c r="AH237" s="76">
        <f>SUM($W237,$Z237,$AC237,$AF237)</f>
        <v/>
      </c>
      <c r="AI237" s="70">
        <f>IF($E237="","",IF(ROUND($AG237-$AH237,0)=0,"✓","⚠"))</f>
        <v/>
      </c>
      <c r="AJ237" s="76">
        <f>IF(OR($E237="",$U237=""),"",IFERROR(IF(VLOOKUP($E237,OpTbl,6,0)="وزن",IF($P237="",0,$P237),IF(VLOOKUP($E237,OpTbl,6,0)="مبلغ",IF(AND($Q237&lt;&gt;"",$Q237&lt;&gt;0),$Q237,$P237),0))+IF(VLOOKUP($E237,OpTbl,10,0)="افزودن",IF($Q237="",0,$Q237),0),0))</f>
        <v/>
      </c>
      <c r="AK237" s="70">
        <f>IF($E237="","",IFERROR(VLOOKUP($E237,OpTbl,10,0),""))</f>
        <v/>
      </c>
      <c r="AL237" s="70">
        <f>IF(OR($E237="",$U237=""),"",IFERROR(IF(VLOOKUP($E237,OpTbl,7,0)="خودکار",$R237,VLOOKUP($E237,OpTbl,7,0)),""))</f>
        <v/>
      </c>
      <c r="AM237" s="70">
        <f>IF(OR($E237="",$X237=""),"",IFERROR(IF(VLOOKUP($E237,OpTbl,9,0)="خودکار",IF($AL237="بدهکار","بستانکار",IF($AL237="بستانکار","بدهکار","")),VLOOKUP($E237,OpTbl,9,0)),""))</f>
        <v/>
      </c>
      <c r="AN237" s="70">
        <f>IF($E237="","",IFERROR(VLOOKUP($E237,OpTbl,11,0),""))</f>
        <v/>
      </c>
      <c r="AO237" s="70">
        <f>IF($B237="","",MID($B237,6,2))</f>
        <v/>
      </c>
      <c r="AP237" s="76">
        <f>IF($B237="",0,1)</f>
        <v/>
      </c>
    </row>
    <row r="238" ht="21.75" customHeight="1">
      <c r="A238" s="70">
        <f>IF($B238="","",COUNTA($B$10:$B238))</f>
        <v/>
      </c>
      <c r="B238" s="71" t="n"/>
      <c r="C238" s="71" t="n"/>
      <c r="D238" s="71" t="n"/>
      <c r="E238" s="71" t="n"/>
      <c r="F238" s="70">
        <f>IF($E238="","",IFERROR(VLOOKUP($E238,OpTbl,2,0),""))</f>
        <v/>
      </c>
      <c r="G238" s="71" t="n"/>
      <c r="H238" s="73">
        <f>IF($U238="","",IFERROR(VLOOKUP($U238,AcctTbl,2,0),"کد ناشناخته"))</f>
        <v/>
      </c>
      <c r="I238" s="70">
        <f>IF($U238="","",IFERROR(VLOOKUP($U238,AcctTbl,3,0),""))</f>
        <v/>
      </c>
      <c r="J238" s="72" t="n"/>
      <c r="K238" s="71" t="n"/>
      <c r="L238" s="74" t="n"/>
      <c r="M238" s="74" t="n"/>
      <c r="N238" s="148">
        <f>IF(OR($E238="",$L238=""),"",IFERROR(($L238-IF($M238="",0,$M238)*IFERROR(VLOOKUP($K238,BasketTbl,4,0),IFERROR(INDEX(BasketTbl,MATCH($K238,BasketCodeCol,0),4),VLOOKUP("P01",ParamTbl,2,0))))*(1-IF(VLOOKUP($E238,OpTbl,3,0)="خرید",VLOOKUP("P02",ParamTbl,2,0),0)/100),""))</f>
        <v/>
      </c>
      <c r="O238" s="74" t="n"/>
      <c r="P238" s="76">
        <f>IF(OR($E238="",$L238=""),"",IFERROR(IF(VLOOKUP($E238,OpTbl,6,0)="وزن",ROUND($N238*$O238,-3),IF(VLOOKUP($E238,OpTbl,6,0)="مبلغ",ROUND($L238*$O238,-3),0)),""))</f>
        <v/>
      </c>
      <c r="Q238" s="74" t="n"/>
      <c r="R238" s="71" t="n"/>
      <c r="S238" s="77">
        <f>IF($E238="","",IF($AI238="⚠","⚠ ناتراز",IF(AND(IFERROR(VLOOKUP($E238,OpTbl,4,0),"")="بله",$L238=""),"⚠ وزن",IF(AND(IFERROR(VLOOKUP($E238,OpTbl,5,0),"")="بله",$U238=""),"⚠ حساب",IF(AND(IFERROR(VLOOKUP($E238,OpTbl,6,0),"")="مبلغ",$Q238=""),"⚠ مبلغ","✓")))))</f>
        <v/>
      </c>
      <c r="T238" s="72" t="n"/>
      <c r="U238" s="70">
        <f>IF($E238="","",IFERROR(IF(VLOOKUP($E238,OpTbl,14,0)&lt;&gt;"",VLOOKUP($E238,OpTbl,14,0),$G238),""))</f>
        <v/>
      </c>
      <c r="V238" s="76">
        <f>IF(OR($AJ238="",$AJ238=0,$AL238&lt;&gt;"بدهکار"),"",$AJ238)</f>
        <v/>
      </c>
      <c r="W238" s="76">
        <f>IF(OR($AJ238="",$AJ238=0,$AL238&lt;&gt;"بستانکار"),"",$AJ238)</f>
        <v/>
      </c>
      <c r="X238" s="70">
        <f>IF($E238="","",IFERROR(VLOOKUP($E238,OpTbl,8,0),""))</f>
        <v/>
      </c>
      <c r="Y238" s="76">
        <f>IF(OR($X238="",$AJ238="",$AJ238=0,$AM238&lt;&gt;"بدهکار"),"",$AJ238)</f>
        <v/>
      </c>
      <c r="Z238" s="76">
        <f>IF(OR($X238="",$AJ238="",$AJ238=0,$AM238&lt;&gt;"بستانکار"),"",$AJ238)</f>
        <v/>
      </c>
      <c r="AA238" s="70">
        <f>IF(OR($E238="",$AN238="—",$AN238=""),"",IFERROR(VLOOKUP($E238,OpTbl,12,0),""))</f>
        <v/>
      </c>
      <c r="AB238" s="76">
        <f>IF(OR($AA238="",$Q238="",$Q238=0,$AN238&lt;&gt;"بدهکار"),"",$Q238)</f>
        <v/>
      </c>
      <c r="AC238" s="76">
        <f>IF(OR($AA238="",$Q238="",$Q238=0,$AN238&lt;&gt;"بستانکار"),"",$Q238)</f>
        <v/>
      </c>
      <c r="AD238" s="70">
        <f>IF($AA238="","",IFERROR(VLOOKUP($E238,OpTbl,13,0),""))</f>
        <v/>
      </c>
      <c r="AE238" s="76">
        <f>IF(OR($AD238="",$Q238="",$Q238=0,$AN238&lt;&gt;"بستانکار"),"",$Q238)</f>
        <v/>
      </c>
      <c r="AF238" s="76">
        <f>IF(OR($AD238="",$Q238="",$Q238=0,$AN238&lt;&gt;"بدهکار"),"",$Q238)</f>
        <v/>
      </c>
      <c r="AG238" s="76">
        <f>SUM($V238,$Y238,$AB238,$AE238)</f>
        <v/>
      </c>
      <c r="AH238" s="76">
        <f>SUM($W238,$Z238,$AC238,$AF238)</f>
        <v/>
      </c>
      <c r="AI238" s="70">
        <f>IF($E238="","",IF(ROUND($AG238-$AH238,0)=0,"✓","⚠"))</f>
        <v/>
      </c>
      <c r="AJ238" s="76">
        <f>IF(OR($E238="",$U238=""),"",IFERROR(IF(VLOOKUP($E238,OpTbl,6,0)="وزن",IF($P238="",0,$P238),IF(VLOOKUP($E238,OpTbl,6,0)="مبلغ",IF(AND($Q238&lt;&gt;"",$Q238&lt;&gt;0),$Q238,$P238),0))+IF(VLOOKUP($E238,OpTbl,10,0)="افزودن",IF($Q238="",0,$Q238),0),0))</f>
        <v/>
      </c>
      <c r="AK238" s="70">
        <f>IF($E238="","",IFERROR(VLOOKUP($E238,OpTbl,10,0),""))</f>
        <v/>
      </c>
      <c r="AL238" s="70">
        <f>IF(OR($E238="",$U238=""),"",IFERROR(IF(VLOOKUP($E238,OpTbl,7,0)="خودکار",$R238,VLOOKUP($E238,OpTbl,7,0)),""))</f>
        <v/>
      </c>
      <c r="AM238" s="70">
        <f>IF(OR($E238="",$X238=""),"",IFERROR(IF(VLOOKUP($E238,OpTbl,9,0)="خودکار",IF($AL238="بدهکار","بستانکار",IF($AL238="بستانکار","بدهکار","")),VLOOKUP($E238,OpTbl,9,0)),""))</f>
        <v/>
      </c>
      <c r="AN238" s="70">
        <f>IF($E238="","",IFERROR(VLOOKUP($E238,OpTbl,11,0),""))</f>
        <v/>
      </c>
      <c r="AO238" s="70">
        <f>IF($B238="","",MID($B238,6,2))</f>
        <v/>
      </c>
      <c r="AP238" s="76">
        <f>IF($B238="",0,1)</f>
        <v/>
      </c>
    </row>
    <row r="239" ht="21.75" customHeight="1">
      <c r="A239" s="70">
        <f>IF($B239="","",COUNTA($B$10:$B239))</f>
        <v/>
      </c>
      <c r="B239" s="71" t="n"/>
      <c r="C239" s="71" t="n"/>
      <c r="D239" s="71" t="n"/>
      <c r="E239" s="71" t="n"/>
      <c r="F239" s="70">
        <f>IF($E239="","",IFERROR(VLOOKUP($E239,OpTbl,2,0),""))</f>
        <v/>
      </c>
      <c r="G239" s="71" t="n"/>
      <c r="H239" s="73">
        <f>IF($U239="","",IFERROR(VLOOKUP($U239,AcctTbl,2,0),"کد ناشناخته"))</f>
        <v/>
      </c>
      <c r="I239" s="70">
        <f>IF($U239="","",IFERROR(VLOOKUP($U239,AcctTbl,3,0),""))</f>
        <v/>
      </c>
      <c r="J239" s="72" t="n"/>
      <c r="K239" s="71" t="n"/>
      <c r="L239" s="74" t="n"/>
      <c r="M239" s="74" t="n"/>
      <c r="N239" s="148">
        <f>IF(OR($E239="",$L239=""),"",IFERROR(($L239-IF($M239="",0,$M239)*IFERROR(VLOOKUP($K239,BasketTbl,4,0),IFERROR(INDEX(BasketTbl,MATCH($K239,BasketCodeCol,0),4),VLOOKUP("P01",ParamTbl,2,0))))*(1-IF(VLOOKUP($E239,OpTbl,3,0)="خرید",VLOOKUP("P02",ParamTbl,2,0),0)/100),""))</f>
        <v/>
      </c>
      <c r="O239" s="74" t="n"/>
      <c r="P239" s="76">
        <f>IF(OR($E239="",$L239=""),"",IFERROR(IF(VLOOKUP($E239,OpTbl,6,0)="وزن",ROUND($N239*$O239,-3),IF(VLOOKUP($E239,OpTbl,6,0)="مبلغ",ROUND($L239*$O239,-3),0)),""))</f>
        <v/>
      </c>
      <c r="Q239" s="74" t="n"/>
      <c r="R239" s="71" t="n"/>
      <c r="S239" s="77">
        <f>IF($E239="","",IF($AI239="⚠","⚠ ناتراز",IF(AND(IFERROR(VLOOKUP($E239,OpTbl,4,0),"")="بله",$L239=""),"⚠ وزن",IF(AND(IFERROR(VLOOKUP($E239,OpTbl,5,0),"")="بله",$U239=""),"⚠ حساب",IF(AND(IFERROR(VLOOKUP($E239,OpTbl,6,0),"")="مبلغ",$Q239=""),"⚠ مبلغ","✓")))))</f>
        <v/>
      </c>
      <c r="T239" s="72" t="n"/>
      <c r="U239" s="70">
        <f>IF($E239="","",IFERROR(IF(VLOOKUP($E239,OpTbl,14,0)&lt;&gt;"",VLOOKUP($E239,OpTbl,14,0),$G239),""))</f>
        <v/>
      </c>
      <c r="V239" s="76">
        <f>IF(OR($AJ239="",$AJ239=0,$AL239&lt;&gt;"بدهکار"),"",$AJ239)</f>
        <v/>
      </c>
      <c r="W239" s="76">
        <f>IF(OR($AJ239="",$AJ239=0,$AL239&lt;&gt;"بستانکار"),"",$AJ239)</f>
        <v/>
      </c>
      <c r="X239" s="70">
        <f>IF($E239="","",IFERROR(VLOOKUP($E239,OpTbl,8,0),""))</f>
        <v/>
      </c>
      <c r="Y239" s="76">
        <f>IF(OR($X239="",$AJ239="",$AJ239=0,$AM239&lt;&gt;"بدهکار"),"",$AJ239)</f>
        <v/>
      </c>
      <c r="Z239" s="76">
        <f>IF(OR($X239="",$AJ239="",$AJ239=0,$AM239&lt;&gt;"بستانکار"),"",$AJ239)</f>
        <v/>
      </c>
      <c r="AA239" s="70">
        <f>IF(OR($E239="",$AN239="—",$AN239=""),"",IFERROR(VLOOKUP($E239,OpTbl,12,0),""))</f>
        <v/>
      </c>
      <c r="AB239" s="76">
        <f>IF(OR($AA239="",$Q239="",$Q239=0,$AN239&lt;&gt;"بدهکار"),"",$Q239)</f>
        <v/>
      </c>
      <c r="AC239" s="76">
        <f>IF(OR($AA239="",$Q239="",$Q239=0,$AN239&lt;&gt;"بستانکار"),"",$Q239)</f>
        <v/>
      </c>
      <c r="AD239" s="70">
        <f>IF($AA239="","",IFERROR(VLOOKUP($E239,OpTbl,13,0),""))</f>
        <v/>
      </c>
      <c r="AE239" s="76">
        <f>IF(OR($AD239="",$Q239="",$Q239=0,$AN239&lt;&gt;"بستانکار"),"",$Q239)</f>
        <v/>
      </c>
      <c r="AF239" s="76">
        <f>IF(OR($AD239="",$Q239="",$Q239=0,$AN239&lt;&gt;"بدهکار"),"",$Q239)</f>
        <v/>
      </c>
      <c r="AG239" s="76">
        <f>SUM($V239,$Y239,$AB239,$AE239)</f>
        <v/>
      </c>
      <c r="AH239" s="76">
        <f>SUM($W239,$Z239,$AC239,$AF239)</f>
        <v/>
      </c>
      <c r="AI239" s="70">
        <f>IF($E239="","",IF(ROUND($AG239-$AH239,0)=0,"✓","⚠"))</f>
        <v/>
      </c>
      <c r="AJ239" s="76">
        <f>IF(OR($E239="",$U239=""),"",IFERROR(IF(VLOOKUP($E239,OpTbl,6,0)="وزن",IF($P239="",0,$P239),IF(VLOOKUP($E239,OpTbl,6,0)="مبلغ",IF(AND($Q239&lt;&gt;"",$Q239&lt;&gt;0),$Q239,$P239),0))+IF(VLOOKUP($E239,OpTbl,10,0)="افزودن",IF($Q239="",0,$Q239),0),0))</f>
        <v/>
      </c>
      <c r="AK239" s="70">
        <f>IF($E239="","",IFERROR(VLOOKUP($E239,OpTbl,10,0),""))</f>
        <v/>
      </c>
      <c r="AL239" s="70">
        <f>IF(OR($E239="",$U239=""),"",IFERROR(IF(VLOOKUP($E239,OpTbl,7,0)="خودکار",$R239,VLOOKUP($E239,OpTbl,7,0)),""))</f>
        <v/>
      </c>
      <c r="AM239" s="70">
        <f>IF(OR($E239="",$X239=""),"",IFERROR(IF(VLOOKUP($E239,OpTbl,9,0)="خودکار",IF($AL239="بدهکار","بستانکار",IF($AL239="بستانکار","بدهکار","")),VLOOKUP($E239,OpTbl,9,0)),""))</f>
        <v/>
      </c>
      <c r="AN239" s="70">
        <f>IF($E239="","",IFERROR(VLOOKUP($E239,OpTbl,11,0),""))</f>
        <v/>
      </c>
      <c r="AO239" s="70">
        <f>IF($B239="","",MID($B239,6,2))</f>
        <v/>
      </c>
      <c r="AP239" s="76">
        <f>IF($B239="",0,1)</f>
        <v/>
      </c>
    </row>
    <row r="240" ht="21.75" customHeight="1">
      <c r="A240" s="70">
        <f>IF($B240="","",COUNTA($B$10:$B240))</f>
        <v/>
      </c>
      <c r="B240" s="71" t="n"/>
      <c r="C240" s="71" t="n"/>
      <c r="D240" s="71" t="n"/>
      <c r="E240" s="71" t="n"/>
      <c r="F240" s="70">
        <f>IF($E240="","",IFERROR(VLOOKUP($E240,OpTbl,2,0),""))</f>
        <v/>
      </c>
      <c r="G240" s="71" t="n"/>
      <c r="H240" s="73">
        <f>IF($U240="","",IFERROR(VLOOKUP($U240,AcctTbl,2,0),"کد ناشناخته"))</f>
        <v/>
      </c>
      <c r="I240" s="70">
        <f>IF($U240="","",IFERROR(VLOOKUP($U240,AcctTbl,3,0),""))</f>
        <v/>
      </c>
      <c r="J240" s="72" t="n"/>
      <c r="K240" s="71" t="n"/>
      <c r="L240" s="74" t="n"/>
      <c r="M240" s="74" t="n"/>
      <c r="N240" s="148">
        <f>IF(OR($E240="",$L240=""),"",IFERROR(($L240-IF($M240="",0,$M240)*IFERROR(VLOOKUP($K240,BasketTbl,4,0),IFERROR(INDEX(BasketTbl,MATCH($K240,BasketCodeCol,0),4),VLOOKUP("P01",ParamTbl,2,0))))*(1-IF(VLOOKUP($E240,OpTbl,3,0)="خرید",VLOOKUP("P02",ParamTbl,2,0),0)/100),""))</f>
        <v/>
      </c>
      <c r="O240" s="74" t="n"/>
      <c r="P240" s="76">
        <f>IF(OR($E240="",$L240=""),"",IFERROR(IF(VLOOKUP($E240,OpTbl,6,0)="وزن",ROUND($N240*$O240,-3),IF(VLOOKUP($E240,OpTbl,6,0)="مبلغ",ROUND($L240*$O240,-3),0)),""))</f>
        <v/>
      </c>
      <c r="Q240" s="74" t="n"/>
      <c r="R240" s="71" t="n"/>
      <c r="S240" s="77">
        <f>IF($E240="","",IF($AI240="⚠","⚠ ناتراز",IF(AND(IFERROR(VLOOKUP($E240,OpTbl,4,0),"")="بله",$L240=""),"⚠ وزن",IF(AND(IFERROR(VLOOKUP($E240,OpTbl,5,0),"")="بله",$U240=""),"⚠ حساب",IF(AND(IFERROR(VLOOKUP($E240,OpTbl,6,0),"")="مبلغ",$Q240=""),"⚠ مبلغ","✓")))))</f>
        <v/>
      </c>
      <c r="T240" s="72" t="n"/>
      <c r="U240" s="70">
        <f>IF($E240="","",IFERROR(IF(VLOOKUP($E240,OpTbl,14,0)&lt;&gt;"",VLOOKUP($E240,OpTbl,14,0),$G240),""))</f>
        <v/>
      </c>
      <c r="V240" s="76">
        <f>IF(OR($AJ240="",$AJ240=0,$AL240&lt;&gt;"بدهکار"),"",$AJ240)</f>
        <v/>
      </c>
      <c r="W240" s="76">
        <f>IF(OR($AJ240="",$AJ240=0,$AL240&lt;&gt;"بستانکار"),"",$AJ240)</f>
        <v/>
      </c>
      <c r="X240" s="70">
        <f>IF($E240="","",IFERROR(VLOOKUP($E240,OpTbl,8,0),""))</f>
        <v/>
      </c>
      <c r="Y240" s="76">
        <f>IF(OR($X240="",$AJ240="",$AJ240=0,$AM240&lt;&gt;"بدهکار"),"",$AJ240)</f>
        <v/>
      </c>
      <c r="Z240" s="76">
        <f>IF(OR($X240="",$AJ240="",$AJ240=0,$AM240&lt;&gt;"بستانکار"),"",$AJ240)</f>
        <v/>
      </c>
      <c r="AA240" s="70">
        <f>IF(OR($E240="",$AN240="—",$AN240=""),"",IFERROR(VLOOKUP($E240,OpTbl,12,0),""))</f>
        <v/>
      </c>
      <c r="AB240" s="76">
        <f>IF(OR($AA240="",$Q240="",$Q240=0,$AN240&lt;&gt;"بدهکار"),"",$Q240)</f>
        <v/>
      </c>
      <c r="AC240" s="76">
        <f>IF(OR($AA240="",$Q240="",$Q240=0,$AN240&lt;&gt;"بستانکار"),"",$Q240)</f>
        <v/>
      </c>
      <c r="AD240" s="70">
        <f>IF($AA240="","",IFERROR(VLOOKUP($E240,OpTbl,13,0),""))</f>
        <v/>
      </c>
      <c r="AE240" s="76">
        <f>IF(OR($AD240="",$Q240="",$Q240=0,$AN240&lt;&gt;"بستانکار"),"",$Q240)</f>
        <v/>
      </c>
      <c r="AF240" s="76">
        <f>IF(OR($AD240="",$Q240="",$Q240=0,$AN240&lt;&gt;"بدهکار"),"",$Q240)</f>
        <v/>
      </c>
      <c r="AG240" s="76">
        <f>SUM($V240,$Y240,$AB240,$AE240)</f>
        <v/>
      </c>
      <c r="AH240" s="76">
        <f>SUM($W240,$Z240,$AC240,$AF240)</f>
        <v/>
      </c>
      <c r="AI240" s="70">
        <f>IF($E240="","",IF(ROUND($AG240-$AH240,0)=0,"✓","⚠"))</f>
        <v/>
      </c>
      <c r="AJ240" s="76">
        <f>IF(OR($E240="",$U240=""),"",IFERROR(IF(VLOOKUP($E240,OpTbl,6,0)="وزن",IF($P240="",0,$P240),IF(VLOOKUP($E240,OpTbl,6,0)="مبلغ",IF(AND($Q240&lt;&gt;"",$Q240&lt;&gt;0),$Q240,$P240),0))+IF(VLOOKUP($E240,OpTbl,10,0)="افزودن",IF($Q240="",0,$Q240),0),0))</f>
        <v/>
      </c>
      <c r="AK240" s="70">
        <f>IF($E240="","",IFERROR(VLOOKUP($E240,OpTbl,10,0),""))</f>
        <v/>
      </c>
      <c r="AL240" s="70">
        <f>IF(OR($E240="",$U240=""),"",IFERROR(IF(VLOOKUP($E240,OpTbl,7,0)="خودکار",$R240,VLOOKUP($E240,OpTbl,7,0)),""))</f>
        <v/>
      </c>
      <c r="AM240" s="70">
        <f>IF(OR($E240="",$X240=""),"",IFERROR(IF(VLOOKUP($E240,OpTbl,9,0)="خودکار",IF($AL240="بدهکار","بستانکار",IF($AL240="بستانکار","بدهکار","")),VLOOKUP($E240,OpTbl,9,0)),""))</f>
        <v/>
      </c>
      <c r="AN240" s="70">
        <f>IF($E240="","",IFERROR(VLOOKUP($E240,OpTbl,11,0),""))</f>
        <v/>
      </c>
      <c r="AO240" s="70">
        <f>IF($B240="","",MID($B240,6,2))</f>
        <v/>
      </c>
      <c r="AP240" s="76">
        <f>IF($B240="",0,1)</f>
        <v/>
      </c>
    </row>
    <row r="241" ht="21.75" customHeight="1">
      <c r="A241" s="70">
        <f>IF($B241="","",COUNTA($B$10:$B241))</f>
        <v/>
      </c>
      <c r="B241" s="71" t="n"/>
      <c r="C241" s="71" t="n"/>
      <c r="D241" s="71" t="n"/>
      <c r="E241" s="71" t="n"/>
      <c r="F241" s="70">
        <f>IF($E241="","",IFERROR(VLOOKUP($E241,OpTbl,2,0),""))</f>
        <v/>
      </c>
      <c r="G241" s="71" t="n"/>
      <c r="H241" s="73">
        <f>IF($U241="","",IFERROR(VLOOKUP($U241,AcctTbl,2,0),"کد ناشناخته"))</f>
        <v/>
      </c>
      <c r="I241" s="70">
        <f>IF($U241="","",IFERROR(VLOOKUP($U241,AcctTbl,3,0),""))</f>
        <v/>
      </c>
      <c r="J241" s="72" t="n"/>
      <c r="K241" s="71" t="n"/>
      <c r="L241" s="74" t="n"/>
      <c r="M241" s="74" t="n"/>
      <c r="N241" s="148">
        <f>IF(OR($E241="",$L241=""),"",IFERROR(($L241-IF($M241="",0,$M241)*IFERROR(VLOOKUP($K241,BasketTbl,4,0),IFERROR(INDEX(BasketTbl,MATCH($K241,BasketCodeCol,0),4),VLOOKUP("P01",ParamTbl,2,0))))*(1-IF(VLOOKUP($E241,OpTbl,3,0)="خرید",VLOOKUP("P02",ParamTbl,2,0),0)/100),""))</f>
        <v/>
      </c>
      <c r="O241" s="74" t="n"/>
      <c r="P241" s="76">
        <f>IF(OR($E241="",$L241=""),"",IFERROR(IF(VLOOKUP($E241,OpTbl,6,0)="وزن",ROUND($N241*$O241,-3),IF(VLOOKUP($E241,OpTbl,6,0)="مبلغ",ROUND($L241*$O241,-3),0)),""))</f>
        <v/>
      </c>
      <c r="Q241" s="74" t="n"/>
      <c r="R241" s="71" t="n"/>
      <c r="S241" s="77">
        <f>IF($E241="","",IF($AI241="⚠","⚠ ناتراز",IF(AND(IFERROR(VLOOKUP($E241,OpTbl,4,0),"")="بله",$L241=""),"⚠ وزن",IF(AND(IFERROR(VLOOKUP($E241,OpTbl,5,0),"")="بله",$U241=""),"⚠ حساب",IF(AND(IFERROR(VLOOKUP($E241,OpTbl,6,0),"")="مبلغ",$Q241=""),"⚠ مبلغ","✓")))))</f>
        <v/>
      </c>
      <c r="T241" s="72" t="n"/>
      <c r="U241" s="70">
        <f>IF($E241="","",IFERROR(IF(VLOOKUP($E241,OpTbl,14,0)&lt;&gt;"",VLOOKUP($E241,OpTbl,14,0),$G241),""))</f>
        <v/>
      </c>
      <c r="V241" s="76">
        <f>IF(OR($AJ241="",$AJ241=0,$AL241&lt;&gt;"بدهکار"),"",$AJ241)</f>
        <v/>
      </c>
      <c r="W241" s="76">
        <f>IF(OR($AJ241="",$AJ241=0,$AL241&lt;&gt;"بستانکار"),"",$AJ241)</f>
        <v/>
      </c>
      <c r="X241" s="70">
        <f>IF($E241="","",IFERROR(VLOOKUP($E241,OpTbl,8,0),""))</f>
        <v/>
      </c>
      <c r="Y241" s="76">
        <f>IF(OR($X241="",$AJ241="",$AJ241=0,$AM241&lt;&gt;"بدهکار"),"",$AJ241)</f>
        <v/>
      </c>
      <c r="Z241" s="76">
        <f>IF(OR($X241="",$AJ241="",$AJ241=0,$AM241&lt;&gt;"بستانکار"),"",$AJ241)</f>
        <v/>
      </c>
      <c r="AA241" s="70">
        <f>IF(OR($E241="",$AN241="—",$AN241=""),"",IFERROR(VLOOKUP($E241,OpTbl,12,0),""))</f>
        <v/>
      </c>
      <c r="AB241" s="76">
        <f>IF(OR($AA241="",$Q241="",$Q241=0,$AN241&lt;&gt;"بدهکار"),"",$Q241)</f>
        <v/>
      </c>
      <c r="AC241" s="76">
        <f>IF(OR($AA241="",$Q241="",$Q241=0,$AN241&lt;&gt;"بستانکار"),"",$Q241)</f>
        <v/>
      </c>
      <c r="AD241" s="70">
        <f>IF($AA241="","",IFERROR(VLOOKUP($E241,OpTbl,13,0),""))</f>
        <v/>
      </c>
      <c r="AE241" s="76">
        <f>IF(OR($AD241="",$Q241="",$Q241=0,$AN241&lt;&gt;"بستانکار"),"",$Q241)</f>
        <v/>
      </c>
      <c r="AF241" s="76">
        <f>IF(OR($AD241="",$Q241="",$Q241=0,$AN241&lt;&gt;"بدهکار"),"",$Q241)</f>
        <v/>
      </c>
      <c r="AG241" s="76">
        <f>SUM($V241,$Y241,$AB241,$AE241)</f>
        <v/>
      </c>
      <c r="AH241" s="76">
        <f>SUM($W241,$Z241,$AC241,$AF241)</f>
        <v/>
      </c>
      <c r="AI241" s="70">
        <f>IF($E241="","",IF(ROUND($AG241-$AH241,0)=0,"✓","⚠"))</f>
        <v/>
      </c>
      <c r="AJ241" s="76">
        <f>IF(OR($E241="",$U241=""),"",IFERROR(IF(VLOOKUP($E241,OpTbl,6,0)="وزن",IF($P241="",0,$P241),IF(VLOOKUP($E241,OpTbl,6,0)="مبلغ",IF(AND($Q241&lt;&gt;"",$Q241&lt;&gt;0),$Q241,$P241),0))+IF(VLOOKUP($E241,OpTbl,10,0)="افزودن",IF($Q241="",0,$Q241),0),0))</f>
        <v/>
      </c>
      <c r="AK241" s="70">
        <f>IF($E241="","",IFERROR(VLOOKUP($E241,OpTbl,10,0),""))</f>
        <v/>
      </c>
      <c r="AL241" s="70">
        <f>IF(OR($E241="",$U241=""),"",IFERROR(IF(VLOOKUP($E241,OpTbl,7,0)="خودکار",$R241,VLOOKUP($E241,OpTbl,7,0)),""))</f>
        <v/>
      </c>
      <c r="AM241" s="70">
        <f>IF(OR($E241="",$X241=""),"",IFERROR(IF(VLOOKUP($E241,OpTbl,9,0)="خودکار",IF($AL241="بدهکار","بستانکار",IF($AL241="بستانکار","بدهکار","")),VLOOKUP($E241,OpTbl,9,0)),""))</f>
        <v/>
      </c>
      <c r="AN241" s="70">
        <f>IF($E241="","",IFERROR(VLOOKUP($E241,OpTbl,11,0),""))</f>
        <v/>
      </c>
      <c r="AO241" s="70">
        <f>IF($B241="","",MID($B241,6,2))</f>
        <v/>
      </c>
      <c r="AP241" s="76">
        <f>IF($B241="",0,1)</f>
        <v/>
      </c>
    </row>
    <row r="242" ht="21.75" customHeight="1">
      <c r="A242" s="70">
        <f>IF($B242="","",COUNTA($B$10:$B242))</f>
        <v/>
      </c>
      <c r="B242" s="71" t="n"/>
      <c r="C242" s="71" t="n"/>
      <c r="D242" s="71" t="n"/>
      <c r="E242" s="71" t="n"/>
      <c r="F242" s="70">
        <f>IF($E242="","",IFERROR(VLOOKUP($E242,OpTbl,2,0),""))</f>
        <v/>
      </c>
      <c r="G242" s="71" t="n"/>
      <c r="H242" s="73">
        <f>IF($U242="","",IFERROR(VLOOKUP($U242,AcctTbl,2,0),"کد ناشناخته"))</f>
        <v/>
      </c>
      <c r="I242" s="70">
        <f>IF($U242="","",IFERROR(VLOOKUP($U242,AcctTbl,3,0),""))</f>
        <v/>
      </c>
      <c r="J242" s="72" t="n"/>
      <c r="K242" s="71" t="n"/>
      <c r="L242" s="74" t="n"/>
      <c r="M242" s="74" t="n"/>
      <c r="N242" s="148">
        <f>IF(OR($E242="",$L242=""),"",IFERROR(($L242-IF($M242="",0,$M242)*IFERROR(VLOOKUP($K242,BasketTbl,4,0),IFERROR(INDEX(BasketTbl,MATCH($K242,BasketCodeCol,0),4),VLOOKUP("P01",ParamTbl,2,0))))*(1-IF(VLOOKUP($E242,OpTbl,3,0)="خرید",VLOOKUP("P02",ParamTbl,2,0),0)/100),""))</f>
        <v/>
      </c>
      <c r="O242" s="74" t="n"/>
      <c r="P242" s="76">
        <f>IF(OR($E242="",$L242=""),"",IFERROR(IF(VLOOKUP($E242,OpTbl,6,0)="وزن",ROUND($N242*$O242,-3),IF(VLOOKUP($E242,OpTbl,6,0)="مبلغ",ROUND($L242*$O242,-3),0)),""))</f>
        <v/>
      </c>
      <c r="Q242" s="74" t="n"/>
      <c r="R242" s="71" t="n"/>
      <c r="S242" s="77">
        <f>IF($E242="","",IF($AI242="⚠","⚠ ناتراز",IF(AND(IFERROR(VLOOKUP($E242,OpTbl,4,0),"")="بله",$L242=""),"⚠ وزن",IF(AND(IFERROR(VLOOKUP($E242,OpTbl,5,0),"")="بله",$U242=""),"⚠ حساب",IF(AND(IFERROR(VLOOKUP($E242,OpTbl,6,0),"")="مبلغ",$Q242=""),"⚠ مبلغ","✓")))))</f>
        <v/>
      </c>
      <c r="T242" s="72" t="n"/>
      <c r="U242" s="70">
        <f>IF($E242="","",IFERROR(IF(VLOOKUP($E242,OpTbl,14,0)&lt;&gt;"",VLOOKUP($E242,OpTbl,14,0),$G242),""))</f>
        <v/>
      </c>
      <c r="V242" s="76">
        <f>IF(OR($AJ242="",$AJ242=0,$AL242&lt;&gt;"بدهکار"),"",$AJ242)</f>
        <v/>
      </c>
      <c r="W242" s="76">
        <f>IF(OR($AJ242="",$AJ242=0,$AL242&lt;&gt;"بستانکار"),"",$AJ242)</f>
        <v/>
      </c>
      <c r="X242" s="70">
        <f>IF($E242="","",IFERROR(VLOOKUP($E242,OpTbl,8,0),""))</f>
        <v/>
      </c>
      <c r="Y242" s="76">
        <f>IF(OR($X242="",$AJ242="",$AJ242=0,$AM242&lt;&gt;"بدهکار"),"",$AJ242)</f>
        <v/>
      </c>
      <c r="Z242" s="76">
        <f>IF(OR($X242="",$AJ242="",$AJ242=0,$AM242&lt;&gt;"بستانکار"),"",$AJ242)</f>
        <v/>
      </c>
      <c r="AA242" s="70">
        <f>IF(OR($E242="",$AN242="—",$AN242=""),"",IFERROR(VLOOKUP($E242,OpTbl,12,0),""))</f>
        <v/>
      </c>
      <c r="AB242" s="76">
        <f>IF(OR($AA242="",$Q242="",$Q242=0,$AN242&lt;&gt;"بدهکار"),"",$Q242)</f>
        <v/>
      </c>
      <c r="AC242" s="76">
        <f>IF(OR($AA242="",$Q242="",$Q242=0,$AN242&lt;&gt;"بستانکار"),"",$Q242)</f>
        <v/>
      </c>
      <c r="AD242" s="70">
        <f>IF($AA242="","",IFERROR(VLOOKUP($E242,OpTbl,13,0),""))</f>
        <v/>
      </c>
      <c r="AE242" s="76">
        <f>IF(OR($AD242="",$Q242="",$Q242=0,$AN242&lt;&gt;"بستانکار"),"",$Q242)</f>
        <v/>
      </c>
      <c r="AF242" s="76">
        <f>IF(OR($AD242="",$Q242="",$Q242=0,$AN242&lt;&gt;"بدهکار"),"",$Q242)</f>
        <v/>
      </c>
      <c r="AG242" s="76">
        <f>SUM($V242,$Y242,$AB242,$AE242)</f>
        <v/>
      </c>
      <c r="AH242" s="76">
        <f>SUM($W242,$Z242,$AC242,$AF242)</f>
        <v/>
      </c>
      <c r="AI242" s="70">
        <f>IF($E242="","",IF(ROUND($AG242-$AH242,0)=0,"✓","⚠"))</f>
        <v/>
      </c>
      <c r="AJ242" s="76">
        <f>IF(OR($E242="",$U242=""),"",IFERROR(IF(VLOOKUP($E242,OpTbl,6,0)="وزن",IF($P242="",0,$P242),IF(VLOOKUP($E242,OpTbl,6,0)="مبلغ",IF(AND($Q242&lt;&gt;"",$Q242&lt;&gt;0),$Q242,$P242),0))+IF(VLOOKUP($E242,OpTbl,10,0)="افزودن",IF($Q242="",0,$Q242),0),0))</f>
        <v/>
      </c>
      <c r="AK242" s="70">
        <f>IF($E242="","",IFERROR(VLOOKUP($E242,OpTbl,10,0),""))</f>
        <v/>
      </c>
      <c r="AL242" s="70">
        <f>IF(OR($E242="",$U242=""),"",IFERROR(IF(VLOOKUP($E242,OpTbl,7,0)="خودکار",$R242,VLOOKUP($E242,OpTbl,7,0)),""))</f>
        <v/>
      </c>
      <c r="AM242" s="70">
        <f>IF(OR($E242="",$X242=""),"",IFERROR(IF(VLOOKUP($E242,OpTbl,9,0)="خودکار",IF($AL242="بدهکار","بستانکار",IF($AL242="بستانکار","بدهکار","")),VLOOKUP($E242,OpTbl,9,0)),""))</f>
        <v/>
      </c>
      <c r="AN242" s="70">
        <f>IF($E242="","",IFERROR(VLOOKUP($E242,OpTbl,11,0),""))</f>
        <v/>
      </c>
      <c r="AO242" s="70">
        <f>IF($B242="","",MID($B242,6,2))</f>
        <v/>
      </c>
      <c r="AP242" s="76">
        <f>IF($B242="",0,1)</f>
        <v/>
      </c>
    </row>
    <row r="243" ht="21.75" customHeight="1">
      <c r="A243" s="70">
        <f>IF($B243="","",COUNTA($B$10:$B243))</f>
        <v/>
      </c>
      <c r="B243" s="71" t="n"/>
      <c r="C243" s="71" t="n"/>
      <c r="D243" s="71" t="n"/>
      <c r="E243" s="71" t="n"/>
      <c r="F243" s="70">
        <f>IF($E243="","",IFERROR(VLOOKUP($E243,OpTbl,2,0),""))</f>
        <v/>
      </c>
      <c r="G243" s="71" t="n"/>
      <c r="H243" s="73">
        <f>IF($U243="","",IFERROR(VLOOKUP($U243,AcctTbl,2,0),"کد ناشناخته"))</f>
        <v/>
      </c>
      <c r="I243" s="70">
        <f>IF($U243="","",IFERROR(VLOOKUP($U243,AcctTbl,3,0),""))</f>
        <v/>
      </c>
      <c r="J243" s="72" t="n"/>
      <c r="K243" s="71" t="n"/>
      <c r="L243" s="74" t="n"/>
      <c r="M243" s="74" t="n"/>
      <c r="N243" s="148">
        <f>IF(OR($E243="",$L243=""),"",IFERROR(($L243-IF($M243="",0,$M243)*IFERROR(VLOOKUP($K243,BasketTbl,4,0),IFERROR(INDEX(BasketTbl,MATCH($K243,BasketCodeCol,0),4),VLOOKUP("P01",ParamTbl,2,0))))*(1-IF(VLOOKUP($E243,OpTbl,3,0)="خرید",VLOOKUP("P02",ParamTbl,2,0),0)/100),""))</f>
        <v/>
      </c>
      <c r="O243" s="74" t="n"/>
      <c r="P243" s="76">
        <f>IF(OR($E243="",$L243=""),"",IFERROR(IF(VLOOKUP($E243,OpTbl,6,0)="وزن",ROUND($N243*$O243,-3),IF(VLOOKUP($E243,OpTbl,6,0)="مبلغ",ROUND($L243*$O243,-3),0)),""))</f>
        <v/>
      </c>
      <c r="Q243" s="74" t="n"/>
      <c r="R243" s="71" t="n"/>
      <c r="S243" s="77">
        <f>IF($E243="","",IF($AI243="⚠","⚠ ناتراز",IF(AND(IFERROR(VLOOKUP($E243,OpTbl,4,0),"")="بله",$L243=""),"⚠ وزن",IF(AND(IFERROR(VLOOKUP($E243,OpTbl,5,0),"")="بله",$U243=""),"⚠ حساب",IF(AND(IFERROR(VLOOKUP($E243,OpTbl,6,0),"")="مبلغ",$Q243=""),"⚠ مبلغ","✓")))))</f>
        <v/>
      </c>
      <c r="T243" s="72" t="n"/>
      <c r="U243" s="70">
        <f>IF($E243="","",IFERROR(IF(VLOOKUP($E243,OpTbl,14,0)&lt;&gt;"",VLOOKUP($E243,OpTbl,14,0),$G243),""))</f>
        <v/>
      </c>
      <c r="V243" s="76">
        <f>IF(OR($AJ243="",$AJ243=0,$AL243&lt;&gt;"بدهکار"),"",$AJ243)</f>
        <v/>
      </c>
      <c r="W243" s="76">
        <f>IF(OR($AJ243="",$AJ243=0,$AL243&lt;&gt;"بستانکار"),"",$AJ243)</f>
        <v/>
      </c>
      <c r="X243" s="70">
        <f>IF($E243="","",IFERROR(VLOOKUP($E243,OpTbl,8,0),""))</f>
        <v/>
      </c>
      <c r="Y243" s="76">
        <f>IF(OR($X243="",$AJ243="",$AJ243=0,$AM243&lt;&gt;"بدهکار"),"",$AJ243)</f>
        <v/>
      </c>
      <c r="Z243" s="76">
        <f>IF(OR($X243="",$AJ243="",$AJ243=0,$AM243&lt;&gt;"بستانکار"),"",$AJ243)</f>
        <v/>
      </c>
      <c r="AA243" s="70">
        <f>IF(OR($E243="",$AN243="—",$AN243=""),"",IFERROR(VLOOKUP($E243,OpTbl,12,0),""))</f>
        <v/>
      </c>
      <c r="AB243" s="76">
        <f>IF(OR($AA243="",$Q243="",$Q243=0,$AN243&lt;&gt;"بدهکار"),"",$Q243)</f>
        <v/>
      </c>
      <c r="AC243" s="76">
        <f>IF(OR($AA243="",$Q243="",$Q243=0,$AN243&lt;&gt;"بستانکار"),"",$Q243)</f>
        <v/>
      </c>
      <c r="AD243" s="70">
        <f>IF($AA243="","",IFERROR(VLOOKUP($E243,OpTbl,13,0),""))</f>
        <v/>
      </c>
      <c r="AE243" s="76">
        <f>IF(OR($AD243="",$Q243="",$Q243=0,$AN243&lt;&gt;"بستانکار"),"",$Q243)</f>
        <v/>
      </c>
      <c r="AF243" s="76">
        <f>IF(OR($AD243="",$Q243="",$Q243=0,$AN243&lt;&gt;"بدهکار"),"",$Q243)</f>
        <v/>
      </c>
      <c r="AG243" s="76">
        <f>SUM($V243,$Y243,$AB243,$AE243)</f>
        <v/>
      </c>
      <c r="AH243" s="76">
        <f>SUM($W243,$Z243,$AC243,$AF243)</f>
        <v/>
      </c>
      <c r="AI243" s="70">
        <f>IF($E243="","",IF(ROUND($AG243-$AH243,0)=0,"✓","⚠"))</f>
        <v/>
      </c>
      <c r="AJ243" s="76">
        <f>IF(OR($E243="",$U243=""),"",IFERROR(IF(VLOOKUP($E243,OpTbl,6,0)="وزن",IF($P243="",0,$P243),IF(VLOOKUP($E243,OpTbl,6,0)="مبلغ",IF(AND($Q243&lt;&gt;"",$Q243&lt;&gt;0),$Q243,$P243),0))+IF(VLOOKUP($E243,OpTbl,10,0)="افزودن",IF($Q243="",0,$Q243),0),0))</f>
        <v/>
      </c>
      <c r="AK243" s="70">
        <f>IF($E243="","",IFERROR(VLOOKUP($E243,OpTbl,10,0),""))</f>
        <v/>
      </c>
      <c r="AL243" s="70">
        <f>IF(OR($E243="",$U243=""),"",IFERROR(IF(VLOOKUP($E243,OpTbl,7,0)="خودکار",$R243,VLOOKUP($E243,OpTbl,7,0)),""))</f>
        <v/>
      </c>
      <c r="AM243" s="70">
        <f>IF(OR($E243="",$X243=""),"",IFERROR(IF(VLOOKUP($E243,OpTbl,9,0)="خودکار",IF($AL243="بدهکار","بستانکار",IF($AL243="بستانکار","بدهکار","")),VLOOKUP($E243,OpTbl,9,0)),""))</f>
        <v/>
      </c>
      <c r="AN243" s="70">
        <f>IF($E243="","",IFERROR(VLOOKUP($E243,OpTbl,11,0),""))</f>
        <v/>
      </c>
      <c r="AO243" s="70">
        <f>IF($B243="","",MID($B243,6,2))</f>
        <v/>
      </c>
      <c r="AP243" s="76">
        <f>IF($B243="",0,1)</f>
        <v/>
      </c>
    </row>
    <row r="244" ht="21.75" customHeight="1">
      <c r="A244" s="70">
        <f>IF($B244="","",COUNTA($B$10:$B244))</f>
        <v/>
      </c>
      <c r="B244" s="71" t="n"/>
      <c r="C244" s="71" t="n"/>
      <c r="D244" s="71" t="n"/>
      <c r="E244" s="71" t="n"/>
      <c r="F244" s="70">
        <f>IF($E244="","",IFERROR(VLOOKUP($E244,OpTbl,2,0),""))</f>
        <v/>
      </c>
      <c r="G244" s="71" t="n"/>
      <c r="H244" s="73">
        <f>IF($U244="","",IFERROR(VLOOKUP($U244,AcctTbl,2,0),"کد ناشناخته"))</f>
        <v/>
      </c>
      <c r="I244" s="70">
        <f>IF($U244="","",IFERROR(VLOOKUP($U244,AcctTbl,3,0),""))</f>
        <v/>
      </c>
      <c r="J244" s="72" t="n"/>
      <c r="K244" s="71" t="n"/>
      <c r="L244" s="74" t="n"/>
      <c r="M244" s="74" t="n"/>
      <c r="N244" s="148">
        <f>IF(OR($E244="",$L244=""),"",IFERROR(($L244-IF($M244="",0,$M244)*IFERROR(VLOOKUP($K244,BasketTbl,4,0),IFERROR(INDEX(BasketTbl,MATCH($K244,BasketCodeCol,0),4),VLOOKUP("P01",ParamTbl,2,0))))*(1-IF(VLOOKUP($E244,OpTbl,3,0)="خرید",VLOOKUP("P02",ParamTbl,2,0),0)/100),""))</f>
        <v/>
      </c>
      <c r="O244" s="74" t="n"/>
      <c r="P244" s="76">
        <f>IF(OR($E244="",$L244=""),"",IFERROR(IF(VLOOKUP($E244,OpTbl,6,0)="وزن",ROUND($N244*$O244,-3),IF(VLOOKUP($E244,OpTbl,6,0)="مبلغ",ROUND($L244*$O244,-3),0)),""))</f>
        <v/>
      </c>
      <c r="Q244" s="74" t="n"/>
      <c r="R244" s="71" t="n"/>
      <c r="S244" s="77">
        <f>IF($E244="","",IF($AI244="⚠","⚠ ناتراز",IF(AND(IFERROR(VLOOKUP($E244,OpTbl,4,0),"")="بله",$L244=""),"⚠ وزن",IF(AND(IFERROR(VLOOKUP($E244,OpTbl,5,0),"")="بله",$U244=""),"⚠ حساب",IF(AND(IFERROR(VLOOKUP($E244,OpTbl,6,0),"")="مبلغ",$Q244=""),"⚠ مبلغ","✓")))))</f>
        <v/>
      </c>
      <c r="T244" s="72" t="n"/>
      <c r="U244" s="70">
        <f>IF($E244="","",IFERROR(IF(VLOOKUP($E244,OpTbl,14,0)&lt;&gt;"",VLOOKUP($E244,OpTbl,14,0),$G244),""))</f>
        <v/>
      </c>
      <c r="V244" s="76">
        <f>IF(OR($AJ244="",$AJ244=0,$AL244&lt;&gt;"بدهکار"),"",$AJ244)</f>
        <v/>
      </c>
      <c r="W244" s="76">
        <f>IF(OR($AJ244="",$AJ244=0,$AL244&lt;&gt;"بستانکار"),"",$AJ244)</f>
        <v/>
      </c>
      <c r="X244" s="70">
        <f>IF($E244="","",IFERROR(VLOOKUP($E244,OpTbl,8,0),""))</f>
        <v/>
      </c>
      <c r="Y244" s="76">
        <f>IF(OR($X244="",$AJ244="",$AJ244=0,$AM244&lt;&gt;"بدهکار"),"",$AJ244)</f>
        <v/>
      </c>
      <c r="Z244" s="76">
        <f>IF(OR($X244="",$AJ244="",$AJ244=0,$AM244&lt;&gt;"بستانکار"),"",$AJ244)</f>
        <v/>
      </c>
      <c r="AA244" s="70">
        <f>IF(OR($E244="",$AN244="—",$AN244=""),"",IFERROR(VLOOKUP($E244,OpTbl,12,0),""))</f>
        <v/>
      </c>
      <c r="AB244" s="76">
        <f>IF(OR($AA244="",$Q244="",$Q244=0,$AN244&lt;&gt;"بدهکار"),"",$Q244)</f>
        <v/>
      </c>
      <c r="AC244" s="76">
        <f>IF(OR($AA244="",$Q244="",$Q244=0,$AN244&lt;&gt;"بستانکار"),"",$Q244)</f>
        <v/>
      </c>
      <c r="AD244" s="70">
        <f>IF($AA244="","",IFERROR(VLOOKUP($E244,OpTbl,13,0),""))</f>
        <v/>
      </c>
      <c r="AE244" s="76">
        <f>IF(OR($AD244="",$Q244="",$Q244=0,$AN244&lt;&gt;"بستانکار"),"",$Q244)</f>
        <v/>
      </c>
      <c r="AF244" s="76">
        <f>IF(OR($AD244="",$Q244="",$Q244=0,$AN244&lt;&gt;"بدهکار"),"",$Q244)</f>
        <v/>
      </c>
      <c r="AG244" s="76">
        <f>SUM($V244,$Y244,$AB244,$AE244)</f>
        <v/>
      </c>
      <c r="AH244" s="76">
        <f>SUM($W244,$Z244,$AC244,$AF244)</f>
        <v/>
      </c>
      <c r="AI244" s="70">
        <f>IF($E244="","",IF(ROUND($AG244-$AH244,0)=0,"✓","⚠"))</f>
        <v/>
      </c>
      <c r="AJ244" s="76">
        <f>IF(OR($E244="",$U244=""),"",IFERROR(IF(VLOOKUP($E244,OpTbl,6,0)="وزن",IF($P244="",0,$P244),IF(VLOOKUP($E244,OpTbl,6,0)="مبلغ",IF(AND($Q244&lt;&gt;"",$Q244&lt;&gt;0),$Q244,$P244),0))+IF(VLOOKUP($E244,OpTbl,10,0)="افزودن",IF($Q244="",0,$Q244),0),0))</f>
        <v/>
      </c>
      <c r="AK244" s="70">
        <f>IF($E244="","",IFERROR(VLOOKUP($E244,OpTbl,10,0),""))</f>
        <v/>
      </c>
      <c r="AL244" s="70">
        <f>IF(OR($E244="",$U244=""),"",IFERROR(IF(VLOOKUP($E244,OpTbl,7,0)="خودکار",$R244,VLOOKUP($E244,OpTbl,7,0)),""))</f>
        <v/>
      </c>
      <c r="AM244" s="70">
        <f>IF(OR($E244="",$X244=""),"",IFERROR(IF(VLOOKUP($E244,OpTbl,9,0)="خودکار",IF($AL244="بدهکار","بستانکار",IF($AL244="بستانکار","بدهکار","")),VLOOKUP($E244,OpTbl,9,0)),""))</f>
        <v/>
      </c>
      <c r="AN244" s="70">
        <f>IF($E244="","",IFERROR(VLOOKUP($E244,OpTbl,11,0),""))</f>
        <v/>
      </c>
      <c r="AO244" s="70">
        <f>IF($B244="","",MID($B244,6,2))</f>
        <v/>
      </c>
      <c r="AP244" s="76">
        <f>IF($B244="",0,1)</f>
        <v/>
      </c>
    </row>
    <row r="245" ht="21.75" customHeight="1">
      <c r="A245" s="70">
        <f>IF($B245="","",COUNTA($B$10:$B245))</f>
        <v/>
      </c>
      <c r="B245" s="71" t="n"/>
      <c r="C245" s="71" t="n"/>
      <c r="D245" s="71" t="n"/>
      <c r="E245" s="71" t="n"/>
      <c r="F245" s="70">
        <f>IF($E245="","",IFERROR(VLOOKUP($E245,OpTbl,2,0),""))</f>
        <v/>
      </c>
      <c r="G245" s="71" t="n"/>
      <c r="H245" s="73">
        <f>IF($U245="","",IFERROR(VLOOKUP($U245,AcctTbl,2,0),"کد ناشناخته"))</f>
        <v/>
      </c>
      <c r="I245" s="70">
        <f>IF($U245="","",IFERROR(VLOOKUP($U245,AcctTbl,3,0),""))</f>
        <v/>
      </c>
      <c r="J245" s="72" t="n"/>
      <c r="K245" s="71" t="n"/>
      <c r="L245" s="74" t="n"/>
      <c r="M245" s="74" t="n"/>
      <c r="N245" s="148">
        <f>IF(OR($E245="",$L245=""),"",IFERROR(($L245-IF($M245="",0,$M245)*IFERROR(VLOOKUP($K245,BasketTbl,4,0),IFERROR(INDEX(BasketTbl,MATCH($K245,BasketCodeCol,0),4),VLOOKUP("P01",ParamTbl,2,0))))*(1-IF(VLOOKUP($E245,OpTbl,3,0)="خرید",VLOOKUP("P02",ParamTbl,2,0),0)/100),""))</f>
        <v/>
      </c>
      <c r="O245" s="74" t="n"/>
      <c r="P245" s="76">
        <f>IF(OR($E245="",$L245=""),"",IFERROR(IF(VLOOKUP($E245,OpTbl,6,0)="وزن",ROUND($N245*$O245,-3),IF(VLOOKUP($E245,OpTbl,6,0)="مبلغ",ROUND($L245*$O245,-3),0)),""))</f>
        <v/>
      </c>
      <c r="Q245" s="74" t="n"/>
      <c r="R245" s="71" t="n"/>
      <c r="S245" s="77">
        <f>IF($E245="","",IF($AI245="⚠","⚠ ناتراز",IF(AND(IFERROR(VLOOKUP($E245,OpTbl,4,0),"")="بله",$L245=""),"⚠ وزن",IF(AND(IFERROR(VLOOKUP($E245,OpTbl,5,0),"")="بله",$U245=""),"⚠ حساب",IF(AND(IFERROR(VLOOKUP($E245,OpTbl,6,0),"")="مبلغ",$Q245=""),"⚠ مبلغ","✓")))))</f>
        <v/>
      </c>
      <c r="T245" s="72" t="n"/>
      <c r="U245" s="70">
        <f>IF($E245="","",IFERROR(IF(VLOOKUP($E245,OpTbl,14,0)&lt;&gt;"",VLOOKUP($E245,OpTbl,14,0),$G245),""))</f>
        <v/>
      </c>
      <c r="V245" s="76">
        <f>IF(OR($AJ245="",$AJ245=0,$AL245&lt;&gt;"بدهکار"),"",$AJ245)</f>
        <v/>
      </c>
      <c r="W245" s="76">
        <f>IF(OR($AJ245="",$AJ245=0,$AL245&lt;&gt;"بستانکار"),"",$AJ245)</f>
        <v/>
      </c>
      <c r="X245" s="70">
        <f>IF($E245="","",IFERROR(VLOOKUP($E245,OpTbl,8,0),""))</f>
        <v/>
      </c>
      <c r="Y245" s="76">
        <f>IF(OR($X245="",$AJ245="",$AJ245=0,$AM245&lt;&gt;"بدهکار"),"",$AJ245)</f>
        <v/>
      </c>
      <c r="Z245" s="76">
        <f>IF(OR($X245="",$AJ245="",$AJ245=0,$AM245&lt;&gt;"بستانکار"),"",$AJ245)</f>
        <v/>
      </c>
      <c r="AA245" s="70">
        <f>IF(OR($E245="",$AN245="—",$AN245=""),"",IFERROR(VLOOKUP($E245,OpTbl,12,0),""))</f>
        <v/>
      </c>
      <c r="AB245" s="76">
        <f>IF(OR($AA245="",$Q245="",$Q245=0,$AN245&lt;&gt;"بدهکار"),"",$Q245)</f>
        <v/>
      </c>
      <c r="AC245" s="76">
        <f>IF(OR($AA245="",$Q245="",$Q245=0,$AN245&lt;&gt;"بستانکار"),"",$Q245)</f>
        <v/>
      </c>
      <c r="AD245" s="70">
        <f>IF($AA245="","",IFERROR(VLOOKUP($E245,OpTbl,13,0),""))</f>
        <v/>
      </c>
      <c r="AE245" s="76">
        <f>IF(OR($AD245="",$Q245="",$Q245=0,$AN245&lt;&gt;"بستانکار"),"",$Q245)</f>
        <v/>
      </c>
      <c r="AF245" s="76">
        <f>IF(OR($AD245="",$Q245="",$Q245=0,$AN245&lt;&gt;"بدهکار"),"",$Q245)</f>
        <v/>
      </c>
      <c r="AG245" s="76">
        <f>SUM($V245,$Y245,$AB245,$AE245)</f>
        <v/>
      </c>
      <c r="AH245" s="76">
        <f>SUM($W245,$Z245,$AC245,$AF245)</f>
        <v/>
      </c>
      <c r="AI245" s="70">
        <f>IF($E245="","",IF(ROUND($AG245-$AH245,0)=0,"✓","⚠"))</f>
        <v/>
      </c>
      <c r="AJ245" s="76">
        <f>IF(OR($E245="",$U245=""),"",IFERROR(IF(VLOOKUP($E245,OpTbl,6,0)="وزن",IF($P245="",0,$P245),IF(VLOOKUP($E245,OpTbl,6,0)="مبلغ",IF(AND($Q245&lt;&gt;"",$Q245&lt;&gt;0),$Q245,$P245),0))+IF(VLOOKUP($E245,OpTbl,10,0)="افزودن",IF($Q245="",0,$Q245),0),0))</f>
        <v/>
      </c>
      <c r="AK245" s="70">
        <f>IF($E245="","",IFERROR(VLOOKUP($E245,OpTbl,10,0),""))</f>
        <v/>
      </c>
      <c r="AL245" s="70">
        <f>IF(OR($E245="",$U245=""),"",IFERROR(IF(VLOOKUP($E245,OpTbl,7,0)="خودکار",$R245,VLOOKUP($E245,OpTbl,7,0)),""))</f>
        <v/>
      </c>
      <c r="AM245" s="70">
        <f>IF(OR($E245="",$X245=""),"",IFERROR(IF(VLOOKUP($E245,OpTbl,9,0)="خودکار",IF($AL245="بدهکار","بستانکار",IF($AL245="بستانکار","بدهکار","")),VLOOKUP($E245,OpTbl,9,0)),""))</f>
        <v/>
      </c>
      <c r="AN245" s="70">
        <f>IF($E245="","",IFERROR(VLOOKUP($E245,OpTbl,11,0),""))</f>
        <v/>
      </c>
      <c r="AO245" s="70">
        <f>IF($B245="","",MID($B245,6,2))</f>
        <v/>
      </c>
      <c r="AP245" s="76">
        <f>IF($B245="",0,1)</f>
        <v/>
      </c>
    </row>
    <row r="246" ht="21.75" customHeight="1">
      <c r="A246" s="70">
        <f>IF($B246="","",COUNTA($B$10:$B246))</f>
        <v/>
      </c>
      <c r="B246" s="71" t="n"/>
      <c r="C246" s="71" t="n"/>
      <c r="D246" s="71" t="n"/>
      <c r="E246" s="71" t="n"/>
      <c r="F246" s="70">
        <f>IF($E246="","",IFERROR(VLOOKUP($E246,OpTbl,2,0),""))</f>
        <v/>
      </c>
      <c r="G246" s="71" t="n"/>
      <c r="H246" s="73">
        <f>IF($U246="","",IFERROR(VLOOKUP($U246,AcctTbl,2,0),"کد ناشناخته"))</f>
        <v/>
      </c>
      <c r="I246" s="70">
        <f>IF($U246="","",IFERROR(VLOOKUP($U246,AcctTbl,3,0),""))</f>
        <v/>
      </c>
      <c r="J246" s="72" t="n"/>
      <c r="K246" s="71" t="n"/>
      <c r="L246" s="74" t="n"/>
      <c r="M246" s="74" t="n"/>
      <c r="N246" s="148">
        <f>IF(OR($E246="",$L246=""),"",IFERROR(($L246-IF($M246="",0,$M246)*IFERROR(VLOOKUP($K246,BasketTbl,4,0),IFERROR(INDEX(BasketTbl,MATCH($K246,BasketCodeCol,0),4),VLOOKUP("P01",ParamTbl,2,0))))*(1-IF(VLOOKUP($E246,OpTbl,3,0)="خرید",VLOOKUP("P02",ParamTbl,2,0),0)/100),""))</f>
        <v/>
      </c>
      <c r="O246" s="74" t="n"/>
      <c r="P246" s="76">
        <f>IF(OR($E246="",$L246=""),"",IFERROR(IF(VLOOKUP($E246,OpTbl,6,0)="وزن",ROUND($N246*$O246,-3),IF(VLOOKUP($E246,OpTbl,6,0)="مبلغ",ROUND($L246*$O246,-3),0)),""))</f>
        <v/>
      </c>
      <c r="Q246" s="74" t="n"/>
      <c r="R246" s="71" t="n"/>
      <c r="S246" s="77">
        <f>IF($E246="","",IF($AI246="⚠","⚠ ناتراز",IF(AND(IFERROR(VLOOKUP($E246,OpTbl,4,0),"")="بله",$L246=""),"⚠ وزن",IF(AND(IFERROR(VLOOKUP($E246,OpTbl,5,0),"")="بله",$U246=""),"⚠ حساب",IF(AND(IFERROR(VLOOKUP($E246,OpTbl,6,0),"")="مبلغ",$Q246=""),"⚠ مبلغ","✓")))))</f>
        <v/>
      </c>
      <c r="T246" s="72" t="n"/>
      <c r="U246" s="70">
        <f>IF($E246="","",IFERROR(IF(VLOOKUP($E246,OpTbl,14,0)&lt;&gt;"",VLOOKUP($E246,OpTbl,14,0),$G246),""))</f>
        <v/>
      </c>
      <c r="V246" s="76">
        <f>IF(OR($AJ246="",$AJ246=0,$AL246&lt;&gt;"بدهکار"),"",$AJ246)</f>
        <v/>
      </c>
      <c r="W246" s="76">
        <f>IF(OR($AJ246="",$AJ246=0,$AL246&lt;&gt;"بستانکار"),"",$AJ246)</f>
        <v/>
      </c>
      <c r="X246" s="70">
        <f>IF($E246="","",IFERROR(VLOOKUP($E246,OpTbl,8,0),""))</f>
        <v/>
      </c>
      <c r="Y246" s="76">
        <f>IF(OR($X246="",$AJ246="",$AJ246=0,$AM246&lt;&gt;"بدهکار"),"",$AJ246)</f>
        <v/>
      </c>
      <c r="Z246" s="76">
        <f>IF(OR($X246="",$AJ246="",$AJ246=0,$AM246&lt;&gt;"بستانکار"),"",$AJ246)</f>
        <v/>
      </c>
      <c r="AA246" s="70">
        <f>IF(OR($E246="",$AN246="—",$AN246=""),"",IFERROR(VLOOKUP($E246,OpTbl,12,0),""))</f>
        <v/>
      </c>
      <c r="AB246" s="76">
        <f>IF(OR($AA246="",$Q246="",$Q246=0,$AN246&lt;&gt;"بدهکار"),"",$Q246)</f>
        <v/>
      </c>
      <c r="AC246" s="76">
        <f>IF(OR($AA246="",$Q246="",$Q246=0,$AN246&lt;&gt;"بستانکار"),"",$Q246)</f>
        <v/>
      </c>
      <c r="AD246" s="70">
        <f>IF($AA246="","",IFERROR(VLOOKUP($E246,OpTbl,13,0),""))</f>
        <v/>
      </c>
      <c r="AE246" s="76">
        <f>IF(OR($AD246="",$Q246="",$Q246=0,$AN246&lt;&gt;"بستانکار"),"",$Q246)</f>
        <v/>
      </c>
      <c r="AF246" s="76">
        <f>IF(OR($AD246="",$Q246="",$Q246=0,$AN246&lt;&gt;"بدهکار"),"",$Q246)</f>
        <v/>
      </c>
      <c r="AG246" s="76">
        <f>SUM($V246,$Y246,$AB246,$AE246)</f>
        <v/>
      </c>
      <c r="AH246" s="76">
        <f>SUM($W246,$Z246,$AC246,$AF246)</f>
        <v/>
      </c>
      <c r="AI246" s="70">
        <f>IF($E246="","",IF(ROUND($AG246-$AH246,0)=0,"✓","⚠"))</f>
        <v/>
      </c>
      <c r="AJ246" s="76">
        <f>IF(OR($E246="",$U246=""),"",IFERROR(IF(VLOOKUP($E246,OpTbl,6,0)="وزن",IF($P246="",0,$P246),IF(VLOOKUP($E246,OpTbl,6,0)="مبلغ",IF(AND($Q246&lt;&gt;"",$Q246&lt;&gt;0),$Q246,$P246),0))+IF(VLOOKUP($E246,OpTbl,10,0)="افزودن",IF($Q246="",0,$Q246),0),0))</f>
        <v/>
      </c>
      <c r="AK246" s="70">
        <f>IF($E246="","",IFERROR(VLOOKUP($E246,OpTbl,10,0),""))</f>
        <v/>
      </c>
      <c r="AL246" s="70">
        <f>IF(OR($E246="",$U246=""),"",IFERROR(IF(VLOOKUP($E246,OpTbl,7,0)="خودکار",$R246,VLOOKUP($E246,OpTbl,7,0)),""))</f>
        <v/>
      </c>
      <c r="AM246" s="70">
        <f>IF(OR($E246="",$X246=""),"",IFERROR(IF(VLOOKUP($E246,OpTbl,9,0)="خودکار",IF($AL246="بدهکار","بستانکار",IF($AL246="بستانکار","بدهکار","")),VLOOKUP($E246,OpTbl,9,0)),""))</f>
        <v/>
      </c>
      <c r="AN246" s="70">
        <f>IF($E246="","",IFERROR(VLOOKUP($E246,OpTbl,11,0),""))</f>
        <v/>
      </c>
      <c r="AO246" s="70">
        <f>IF($B246="","",MID($B246,6,2))</f>
        <v/>
      </c>
      <c r="AP246" s="76">
        <f>IF($B246="",0,1)</f>
        <v/>
      </c>
    </row>
    <row r="247" ht="21.75" customHeight="1">
      <c r="A247" s="70">
        <f>IF($B247="","",COUNTA($B$10:$B247))</f>
        <v/>
      </c>
      <c r="B247" s="71" t="n"/>
      <c r="C247" s="71" t="n"/>
      <c r="D247" s="71" t="n"/>
      <c r="E247" s="71" t="n"/>
      <c r="F247" s="70">
        <f>IF($E247="","",IFERROR(VLOOKUP($E247,OpTbl,2,0),""))</f>
        <v/>
      </c>
      <c r="G247" s="71" t="n"/>
      <c r="H247" s="73">
        <f>IF($U247="","",IFERROR(VLOOKUP($U247,AcctTbl,2,0),"کد ناشناخته"))</f>
        <v/>
      </c>
      <c r="I247" s="70">
        <f>IF($U247="","",IFERROR(VLOOKUP($U247,AcctTbl,3,0),""))</f>
        <v/>
      </c>
      <c r="J247" s="72" t="n"/>
      <c r="K247" s="71" t="n"/>
      <c r="L247" s="74" t="n"/>
      <c r="M247" s="74" t="n"/>
      <c r="N247" s="148">
        <f>IF(OR($E247="",$L247=""),"",IFERROR(($L247-IF($M247="",0,$M247)*IFERROR(VLOOKUP($K247,BasketTbl,4,0),IFERROR(INDEX(BasketTbl,MATCH($K247,BasketCodeCol,0),4),VLOOKUP("P01",ParamTbl,2,0))))*(1-IF(VLOOKUP($E247,OpTbl,3,0)="خرید",VLOOKUP("P02",ParamTbl,2,0),0)/100),""))</f>
        <v/>
      </c>
      <c r="O247" s="74" t="n"/>
      <c r="P247" s="76">
        <f>IF(OR($E247="",$L247=""),"",IFERROR(IF(VLOOKUP($E247,OpTbl,6,0)="وزن",ROUND($N247*$O247,-3),IF(VLOOKUP($E247,OpTbl,6,0)="مبلغ",ROUND($L247*$O247,-3),0)),""))</f>
        <v/>
      </c>
      <c r="Q247" s="74" t="n"/>
      <c r="R247" s="71" t="n"/>
      <c r="S247" s="77">
        <f>IF($E247="","",IF($AI247="⚠","⚠ ناتراز",IF(AND(IFERROR(VLOOKUP($E247,OpTbl,4,0),"")="بله",$L247=""),"⚠ وزن",IF(AND(IFERROR(VLOOKUP($E247,OpTbl,5,0),"")="بله",$U247=""),"⚠ حساب",IF(AND(IFERROR(VLOOKUP($E247,OpTbl,6,0),"")="مبلغ",$Q247=""),"⚠ مبلغ","✓")))))</f>
        <v/>
      </c>
      <c r="T247" s="72" t="n"/>
      <c r="U247" s="70">
        <f>IF($E247="","",IFERROR(IF(VLOOKUP($E247,OpTbl,14,0)&lt;&gt;"",VLOOKUP($E247,OpTbl,14,0),$G247),""))</f>
        <v/>
      </c>
      <c r="V247" s="76">
        <f>IF(OR($AJ247="",$AJ247=0,$AL247&lt;&gt;"بدهکار"),"",$AJ247)</f>
        <v/>
      </c>
      <c r="W247" s="76">
        <f>IF(OR($AJ247="",$AJ247=0,$AL247&lt;&gt;"بستانکار"),"",$AJ247)</f>
        <v/>
      </c>
      <c r="X247" s="70">
        <f>IF($E247="","",IFERROR(VLOOKUP($E247,OpTbl,8,0),""))</f>
        <v/>
      </c>
      <c r="Y247" s="76">
        <f>IF(OR($X247="",$AJ247="",$AJ247=0,$AM247&lt;&gt;"بدهکار"),"",$AJ247)</f>
        <v/>
      </c>
      <c r="Z247" s="76">
        <f>IF(OR($X247="",$AJ247="",$AJ247=0,$AM247&lt;&gt;"بستانکار"),"",$AJ247)</f>
        <v/>
      </c>
      <c r="AA247" s="70">
        <f>IF(OR($E247="",$AN247="—",$AN247=""),"",IFERROR(VLOOKUP($E247,OpTbl,12,0),""))</f>
        <v/>
      </c>
      <c r="AB247" s="76">
        <f>IF(OR($AA247="",$Q247="",$Q247=0,$AN247&lt;&gt;"بدهکار"),"",$Q247)</f>
        <v/>
      </c>
      <c r="AC247" s="76">
        <f>IF(OR($AA247="",$Q247="",$Q247=0,$AN247&lt;&gt;"بستانکار"),"",$Q247)</f>
        <v/>
      </c>
      <c r="AD247" s="70">
        <f>IF($AA247="","",IFERROR(VLOOKUP($E247,OpTbl,13,0),""))</f>
        <v/>
      </c>
      <c r="AE247" s="76">
        <f>IF(OR($AD247="",$Q247="",$Q247=0,$AN247&lt;&gt;"بستانکار"),"",$Q247)</f>
        <v/>
      </c>
      <c r="AF247" s="76">
        <f>IF(OR($AD247="",$Q247="",$Q247=0,$AN247&lt;&gt;"بدهکار"),"",$Q247)</f>
        <v/>
      </c>
      <c r="AG247" s="76">
        <f>SUM($V247,$Y247,$AB247,$AE247)</f>
        <v/>
      </c>
      <c r="AH247" s="76">
        <f>SUM($W247,$Z247,$AC247,$AF247)</f>
        <v/>
      </c>
      <c r="AI247" s="70">
        <f>IF($E247="","",IF(ROUND($AG247-$AH247,0)=0,"✓","⚠"))</f>
        <v/>
      </c>
      <c r="AJ247" s="76">
        <f>IF(OR($E247="",$U247=""),"",IFERROR(IF(VLOOKUP($E247,OpTbl,6,0)="وزن",IF($P247="",0,$P247),IF(VLOOKUP($E247,OpTbl,6,0)="مبلغ",IF(AND($Q247&lt;&gt;"",$Q247&lt;&gt;0),$Q247,$P247),0))+IF(VLOOKUP($E247,OpTbl,10,0)="افزودن",IF($Q247="",0,$Q247),0),0))</f>
        <v/>
      </c>
      <c r="AK247" s="70">
        <f>IF($E247="","",IFERROR(VLOOKUP($E247,OpTbl,10,0),""))</f>
        <v/>
      </c>
      <c r="AL247" s="70">
        <f>IF(OR($E247="",$U247=""),"",IFERROR(IF(VLOOKUP($E247,OpTbl,7,0)="خودکار",$R247,VLOOKUP($E247,OpTbl,7,0)),""))</f>
        <v/>
      </c>
      <c r="AM247" s="70">
        <f>IF(OR($E247="",$X247=""),"",IFERROR(IF(VLOOKUP($E247,OpTbl,9,0)="خودکار",IF($AL247="بدهکار","بستانکار",IF($AL247="بستانکار","بدهکار","")),VLOOKUP($E247,OpTbl,9,0)),""))</f>
        <v/>
      </c>
      <c r="AN247" s="70">
        <f>IF($E247="","",IFERROR(VLOOKUP($E247,OpTbl,11,0),""))</f>
        <v/>
      </c>
      <c r="AO247" s="70">
        <f>IF($B247="","",MID($B247,6,2))</f>
        <v/>
      </c>
      <c r="AP247" s="76">
        <f>IF($B247="",0,1)</f>
        <v/>
      </c>
    </row>
    <row r="248" ht="21.75" customHeight="1">
      <c r="A248" s="70">
        <f>IF($B248="","",COUNTA($B$10:$B248))</f>
        <v/>
      </c>
      <c r="B248" s="71" t="n"/>
      <c r="C248" s="71" t="n"/>
      <c r="D248" s="71" t="n"/>
      <c r="E248" s="71" t="n"/>
      <c r="F248" s="70">
        <f>IF($E248="","",IFERROR(VLOOKUP($E248,OpTbl,2,0),""))</f>
        <v/>
      </c>
      <c r="G248" s="71" t="n"/>
      <c r="H248" s="73">
        <f>IF($U248="","",IFERROR(VLOOKUP($U248,AcctTbl,2,0),"کد ناشناخته"))</f>
        <v/>
      </c>
      <c r="I248" s="70">
        <f>IF($U248="","",IFERROR(VLOOKUP($U248,AcctTbl,3,0),""))</f>
        <v/>
      </c>
      <c r="J248" s="72" t="n"/>
      <c r="K248" s="71" t="n"/>
      <c r="L248" s="74" t="n"/>
      <c r="M248" s="74" t="n"/>
      <c r="N248" s="148">
        <f>IF(OR($E248="",$L248=""),"",IFERROR(($L248-IF($M248="",0,$M248)*IFERROR(VLOOKUP($K248,BasketTbl,4,0),IFERROR(INDEX(BasketTbl,MATCH($K248,BasketCodeCol,0),4),VLOOKUP("P01",ParamTbl,2,0))))*(1-IF(VLOOKUP($E248,OpTbl,3,0)="خرید",VLOOKUP("P02",ParamTbl,2,0),0)/100),""))</f>
        <v/>
      </c>
      <c r="O248" s="74" t="n"/>
      <c r="P248" s="76">
        <f>IF(OR($E248="",$L248=""),"",IFERROR(IF(VLOOKUP($E248,OpTbl,6,0)="وزن",ROUND($N248*$O248,-3),IF(VLOOKUP($E248,OpTbl,6,0)="مبلغ",ROUND($L248*$O248,-3),0)),""))</f>
        <v/>
      </c>
      <c r="Q248" s="74" t="n"/>
      <c r="R248" s="71" t="n"/>
      <c r="S248" s="77">
        <f>IF($E248="","",IF($AI248="⚠","⚠ ناتراز",IF(AND(IFERROR(VLOOKUP($E248,OpTbl,4,0),"")="بله",$L248=""),"⚠ وزن",IF(AND(IFERROR(VLOOKUP($E248,OpTbl,5,0),"")="بله",$U248=""),"⚠ حساب",IF(AND(IFERROR(VLOOKUP($E248,OpTbl,6,0),"")="مبلغ",$Q248=""),"⚠ مبلغ","✓")))))</f>
        <v/>
      </c>
      <c r="T248" s="72" t="n"/>
      <c r="U248" s="70">
        <f>IF($E248="","",IFERROR(IF(VLOOKUP($E248,OpTbl,14,0)&lt;&gt;"",VLOOKUP($E248,OpTbl,14,0),$G248),""))</f>
        <v/>
      </c>
      <c r="V248" s="76">
        <f>IF(OR($AJ248="",$AJ248=0,$AL248&lt;&gt;"بدهکار"),"",$AJ248)</f>
        <v/>
      </c>
      <c r="W248" s="76">
        <f>IF(OR($AJ248="",$AJ248=0,$AL248&lt;&gt;"بستانکار"),"",$AJ248)</f>
        <v/>
      </c>
      <c r="X248" s="70">
        <f>IF($E248="","",IFERROR(VLOOKUP($E248,OpTbl,8,0),""))</f>
        <v/>
      </c>
      <c r="Y248" s="76">
        <f>IF(OR($X248="",$AJ248="",$AJ248=0,$AM248&lt;&gt;"بدهکار"),"",$AJ248)</f>
        <v/>
      </c>
      <c r="Z248" s="76">
        <f>IF(OR($X248="",$AJ248="",$AJ248=0,$AM248&lt;&gt;"بستانکار"),"",$AJ248)</f>
        <v/>
      </c>
      <c r="AA248" s="70">
        <f>IF(OR($E248="",$AN248="—",$AN248=""),"",IFERROR(VLOOKUP($E248,OpTbl,12,0),""))</f>
        <v/>
      </c>
      <c r="AB248" s="76">
        <f>IF(OR($AA248="",$Q248="",$Q248=0,$AN248&lt;&gt;"بدهکار"),"",$Q248)</f>
        <v/>
      </c>
      <c r="AC248" s="76">
        <f>IF(OR($AA248="",$Q248="",$Q248=0,$AN248&lt;&gt;"بستانکار"),"",$Q248)</f>
        <v/>
      </c>
      <c r="AD248" s="70">
        <f>IF($AA248="","",IFERROR(VLOOKUP($E248,OpTbl,13,0),""))</f>
        <v/>
      </c>
      <c r="AE248" s="76">
        <f>IF(OR($AD248="",$Q248="",$Q248=0,$AN248&lt;&gt;"بستانکار"),"",$Q248)</f>
        <v/>
      </c>
      <c r="AF248" s="76">
        <f>IF(OR($AD248="",$Q248="",$Q248=0,$AN248&lt;&gt;"بدهکار"),"",$Q248)</f>
        <v/>
      </c>
      <c r="AG248" s="76">
        <f>SUM($V248,$Y248,$AB248,$AE248)</f>
        <v/>
      </c>
      <c r="AH248" s="76">
        <f>SUM($W248,$Z248,$AC248,$AF248)</f>
        <v/>
      </c>
      <c r="AI248" s="70">
        <f>IF($E248="","",IF(ROUND($AG248-$AH248,0)=0,"✓","⚠"))</f>
        <v/>
      </c>
      <c r="AJ248" s="76">
        <f>IF(OR($E248="",$U248=""),"",IFERROR(IF(VLOOKUP($E248,OpTbl,6,0)="وزن",IF($P248="",0,$P248),IF(VLOOKUP($E248,OpTbl,6,0)="مبلغ",IF(AND($Q248&lt;&gt;"",$Q248&lt;&gt;0),$Q248,$P248),0))+IF(VLOOKUP($E248,OpTbl,10,0)="افزودن",IF($Q248="",0,$Q248),0),0))</f>
        <v/>
      </c>
      <c r="AK248" s="70">
        <f>IF($E248="","",IFERROR(VLOOKUP($E248,OpTbl,10,0),""))</f>
        <v/>
      </c>
      <c r="AL248" s="70">
        <f>IF(OR($E248="",$U248=""),"",IFERROR(IF(VLOOKUP($E248,OpTbl,7,0)="خودکار",$R248,VLOOKUP($E248,OpTbl,7,0)),""))</f>
        <v/>
      </c>
      <c r="AM248" s="70">
        <f>IF(OR($E248="",$X248=""),"",IFERROR(IF(VLOOKUP($E248,OpTbl,9,0)="خودکار",IF($AL248="بدهکار","بستانکار",IF($AL248="بستانکار","بدهکار","")),VLOOKUP($E248,OpTbl,9,0)),""))</f>
        <v/>
      </c>
      <c r="AN248" s="70">
        <f>IF($E248="","",IFERROR(VLOOKUP($E248,OpTbl,11,0),""))</f>
        <v/>
      </c>
      <c r="AO248" s="70">
        <f>IF($B248="","",MID($B248,6,2))</f>
        <v/>
      </c>
      <c r="AP248" s="76">
        <f>IF($B248="",0,1)</f>
        <v/>
      </c>
    </row>
    <row r="249" ht="21.75" customHeight="1">
      <c r="A249" s="70">
        <f>IF($B249="","",COUNTA($B$10:$B249))</f>
        <v/>
      </c>
      <c r="B249" s="71" t="n"/>
      <c r="C249" s="71" t="n"/>
      <c r="D249" s="71" t="n"/>
      <c r="E249" s="71" t="n"/>
      <c r="F249" s="70">
        <f>IF($E249="","",IFERROR(VLOOKUP($E249,OpTbl,2,0),""))</f>
        <v/>
      </c>
      <c r="G249" s="71" t="n"/>
      <c r="H249" s="73">
        <f>IF($U249="","",IFERROR(VLOOKUP($U249,AcctTbl,2,0),"کد ناشناخته"))</f>
        <v/>
      </c>
      <c r="I249" s="70">
        <f>IF($U249="","",IFERROR(VLOOKUP($U249,AcctTbl,3,0),""))</f>
        <v/>
      </c>
      <c r="J249" s="72" t="n"/>
      <c r="K249" s="71" t="n"/>
      <c r="L249" s="74" t="n"/>
      <c r="M249" s="74" t="n"/>
      <c r="N249" s="148">
        <f>IF(OR($E249="",$L249=""),"",IFERROR(($L249-IF($M249="",0,$M249)*IFERROR(VLOOKUP($K249,BasketTbl,4,0),IFERROR(INDEX(BasketTbl,MATCH($K249,BasketCodeCol,0),4),VLOOKUP("P01",ParamTbl,2,0))))*(1-IF(VLOOKUP($E249,OpTbl,3,0)="خرید",VLOOKUP("P02",ParamTbl,2,0),0)/100),""))</f>
        <v/>
      </c>
      <c r="O249" s="74" t="n"/>
      <c r="P249" s="76">
        <f>IF(OR($E249="",$L249=""),"",IFERROR(IF(VLOOKUP($E249,OpTbl,6,0)="وزن",ROUND($N249*$O249,-3),IF(VLOOKUP($E249,OpTbl,6,0)="مبلغ",ROUND($L249*$O249,-3),0)),""))</f>
        <v/>
      </c>
      <c r="Q249" s="74" t="n"/>
      <c r="R249" s="71" t="n"/>
      <c r="S249" s="77">
        <f>IF($E249="","",IF($AI249="⚠","⚠ ناتراز",IF(AND(IFERROR(VLOOKUP($E249,OpTbl,4,0),"")="بله",$L249=""),"⚠ وزن",IF(AND(IFERROR(VLOOKUP($E249,OpTbl,5,0),"")="بله",$U249=""),"⚠ حساب",IF(AND(IFERROR(VLOOKUP($E249,OpTbl,6,0),"")="مبلغ",$Q249=""),"⚠ مبلغ","✓")))))</f>
        <v/>
      </c>
      <c r="T249" s="72" t="n"/>
      <c r="U249" s="70">
        <f>IF($E249="","",IFERROR(IF(VLOOKUP($E249,OpTbl,14,0)&lt;&gt;"",VLOOKUP($E249,OpTbl,14,0),$G249),""))</f>
        <v/>
      </c>
      <c r="V249" s="76">
        <f>IF(OR($AJ249="",$AJ249=0,$AL249&lt;&gt;"بدهکار"),"",$AJ249)</f>
        <v/>
      </c>
      <c r="W249" s="76">
        <f>IF(OR($AJ249="",$AJ249=0,$AL249&lt;&gt;"بستانکار"),"",$AJ249)</f>
        <v/>
      </c>
      <c r="X249" s="70">
        <f>IF($E249="","",IFERROR(VLOOKUP($E249,OpTbl,8,0),""))</f>
        <v/>
      </c>
      <c r="Y249" s="76">
        <f>IF(OR($X249="",$AJ249="",$AJ249=0,$AM249&lt;&gt;"بدهکار"),"",$AJ249)</f>
        <v/>
      </c>
      <c r="Z249" s="76">
        <f>IF(OR($X249="",$AJ249="",$AJ249=0,$AM249&lt;&gt;"بستانکار"),"",$AJ249)</f>
        <v/>
      </c>
      <c r="AA249" s="70">
        <f>IF(OR($E249="",$AN249="—",$AN249=""),"",IFERROR(VLOOKUP($E249,OpTbl,12,0),""))</f>
        <v/>
      </c>
      <c r="AB249" s="76">
        <f>IF(OR($AA249="",$Q249="",$Q249=0,$AN249&lt;&gt;"بدهکار"),"",$Q249)</f>
        <v/>
      </c>
      <c r="AC249" s="76">
        <f>IF(OR($AA249="",$Q249="",$Q249=0,$AN249&lt;&gt;"بستانکار"),"",$Q249)</f>
        <v/>
      </c>
      <c r="AD249" s="70">
        <f>IF($AA249="","",IFERROR(VLOOKUP($E249,OpTbl,13,0),""))</f>
        <v/>
      </c>
      <c r="AE249" s="76">
        <f>IF(OR($AD249="",$Q249="",$Q249=0,$AN249&lt;&gt;"بستانکار"),"",$Q249)</f>
        <v/>
      </c>
      <c r="AF249" s="76">
        <f>IF(OR($AD249="",$Q249="",$Q249=0,$AN249&lt;&gt;"بدهکار"),"",$Q249)</f>
        <v/>
      </c>
      <c r="AG249" s="76">
        <f>SUM($V249,$Y249,$AB249,$AE249)</f>
        <v/>
      </c>
      <c r="AH249" s="76">
        <f>SUM($W249,$Z249,$AC249,$AF249)</f>
        <v/>
      </c>
      <c r="AI249" s="70">
        <f>IF($E249="","",IF(ROUND($AG249-$AH249,0)=0,"✓","⚠"))</f>
        <v/>
      </c>
      <c r="AJ249" s="76">
        <f>IF(OR($E249="",$U249=""),"",IFERROR(IF(VLOOKUP($E249,OpTbl,6,0)="وزن",IF($P249="",0,$P249),IF(VLOOKUP($E249,OpTbl,6,0)="مبلغ",IF(AND($Q249&lt;&gt;"",$Q249&lt;&gt;0),$Q249,$P249),0))+IF(VLOOKUP($E249,OpTbl,10,0)="افزودن",IF($Q249="",0,$Q249),0),0))</f>
        <v/>
      </c>
      <c r="AK249" s="70">
        <f>IF($E249="","",IFERROR(VLOOKUP($E249,OpTbl,10,0),""))</f>
        <v/>
      </c>
      <c r="AL249" s="70">
        <f>IF(OR($E249="",$U249=""),"",IFERROR(IF(VLOOKUP($E249,OpTbl,7,0)="خودکار",$R249,VLOOKUP($E249,OpTbl,7,0)),""))</f>
        <v/>
      </c>
      <c r="AM249" s="70">
        <f>IF(OR($E249="",$X249=""),"",IFERROR(IF(VLOOKUP($E249,OpTbl,9,0)="خودکار",IF($AL249="بدهکار","بستانکار",IF($AL249="بستانکار","بدهکار","")),VLOOKUP($E249,OpTbl,9,0)),""))</f>
        <v/>
      </c>
      <c r="AN249" s="70">
        <f>IF($E249="","",IFERROR(VLOOKUP($E249,OpTbl,11,0),""))</f>
        <v/>
      </c>
      <c r="AO249" s="70">
        <f>IF($B249="","",MID($B249,6,2))</f>
        <v/>
      </c>
      <c r="AP249" s="76">
        <f>IF($B249="",0,1)</f>
        <v/>
      </c>
    </row>
    <row r="250" ht="21.75" customHeight="1">
      <c r="A250" s="70">
        <f>IF($B250="","",COUNTA($B$10:$B250))</f>
        <v/>
      </c>
      <c r="B250" s="71" t="n"/>
      <c r="C250" s="71" t="n"/>
      <c r="D250" s="71" t="n"/>
      <c r="E250" s="71" t="n"/>
      <c r="F250" s="70">
        <f>IF($E250="","",IFERROR(VLOOKUP($E250,OpTbl,2,0),""))</f>
        <v/>
      </c>
      <c r="G250" s="71" t="n"/>
      <c r="H250" s="73">
        <f>IF($U250="","",IFERROR(VLOOKUP($U250,AcctTbl,2,0),"کد ناشناخته"))</f>
        <v/>
      </c>
      <c r="I250" s="70">
        <f>IF($U250="","",IFERROR(VLOOKUP($U250,AcctTbl,3,0),""))</f>
        <v/>
      </c>
      <c r="J250" s="72" t="n"/>
      <c r="K250" s="71" t="n"/>
      <c r="L250" s="74" t="n"/>
      <c r="M250" s="74" t="n"/>
      <c r="N250" s="148">
        <f>IF(OR($E250="",$L250=""),"",IFERROR(($L250-IF($M250="",0,$M250)*IFERROR(VLOOKUP($K250,BasketTbl,4,0),IFERROR(INDEX(BasketTbl,MATCH($K250,BasketCodeCol,0),4),VLOOKUP("P01",ParamTbl,2,0))))*(1-IF(VLOOKUP($E250,OpTbl,3,0)="خرید",VLOOKUP("P02",ParamTbl,2,0),0)/100),""))</f>
        <v/>
      </c>
      <c r="O250" s="74" t="n"/>
      <c r="P250" s="76">
        <f>IF(OR($E250="",$L250=""),"",IFERROR(IF(VLOOKUP($E250,OpTbl,6,0)="وزن",ROUND($N250*$O250,-3),IF(VLOOKUP($E250,OpTbl,6,0)="مبلغ",ROUND($L250*$O250,-3),0)),""))</f>
        <v/>
      </c>
      <c r="Q250" s="74" t="n"/>
      <c r="R250" s="71" t="n"/>
      <c r="S250" s="77">
        <f>IF($E250="","",IF($AI250="⚠","⚠ ناتراز",IF(AND(IFERROR(VLOOKUP($E250,OpTbl,4,0),"")="بله",$L250=""),"⚠ وزن",IF(AND(IFERROR(VLOOKUP($E250,OpTbl,5,0),"")="بله",$U250=""),"⚠ حساب",IF(AND(IFERROR(VLOOKUP($E250,OpTbl,6,0),"")="مبلغ",$Q250=""),"⚠ مبلغ","✓")))))</f>
        <v/>
      </c>
      <c r="T250" s="72" t="n"/>
      <c r="U250" s="70">
        <f>IF($E250="","",IFERROR(IF(VLOOKUP($E250,OpTbl,14,0)&lt;&gt;"",VLOOKUP($E250,OpTbl,14,0),$G250),""))</f>
        <v/>
      </c>
      <c r="V250" s="76">
        <f>IF(OR($AJ250="",$AJ250=0,$AL250&lt;&gt;"بدهکار"),"",$AJ250)</f>
        <v/>
      </c>
      <c r="W250" s="76">
        <f>IF(OR($AJ250="",$AJ250=0,$AL250&lt;&gt;"بستانکار"),"",$AJ250)</f>
        <v/>
      </c>
      <c r="X250" s="70">
        <f>IF($E250="","",IFERROR(VLOOKUP($E250,OpTbl,8,0),""))</f>
        <v/>
      </c>
      <c r="Y250" s="76">
        <f>IF(OR($X250="",$AJ250="",$AJ250=0,$AM250&lt;&gt;"بدهکار"),"",$AJ250)</f>
        <v/>
      </c>
      <c r="Z250" s="76">
        <f>IF(OR($X250="",$AJ250="",$AJ250=0,$AM250&lt;&gt;"بستانکار"),"",$AJ250)</f>
        <v/>
      </c>
      <c r="AA250" s="70">
        <f>IF(OR($E250="",$AN250="—",$AN250=""),"",IFERROR(VLOOKUP($E250,OpTbl,12,0),""))</f>
        <v/>
      </c>
      <c r="AB250" s="76">
        <f>IF(OR($AA250="",$Q250="",$Q250=0,$AN250&lt;&gt;"بدهکار"),"",$Q250)</f>
        <v/>
      </c>
      <c r="AC250" s="76">
        <f>IF(OR($AA250="",$Q250="",$Q250=0,$AN250&lt;&gt;"بستانکار"),"",$Q250)</f>
        <v/>
      </c>
      <c r="AD250" s="70">
        <f>IF($AA250="","",IFERROR(VLOOKUP($E250,OpTbl,13,0),""))</f>
        <v/>
      </c>
      <c r="AE250" s="76">
        <f>IF(OR($AD250="",$Q250="",$Q250=0,$AN250&lt;&gt;"بستانکار"),"",$Q250)</f>
        <v/>
      </c>
      <c r="AF250" s="76">
        <f>IF(OR($AD250="",$Q250="",$Q250=0,$AN250&lt;&gt;"بدهکار"),"",$Q250)</f>
        <v/>
      </c>
      <c r="AG250" s="76">
        <f>SUM($V250,$Y250,$AB250,$AE250)</f>
        <v/>
      </c>
      <c r="AH250" s="76">
        <f>SUM($W250,$Z250,$AC250,$AF250)</f>
        <v/>
      </c>
      <c r="AI250" s="70">
        <f>IF($E250="","",IF(ROUND($AG250-$AH250,0)=0,"✓","⚠"))</f>
        <v/>
      </c>
      <c r="AJ250" s="76">
        <f>IF(OR($E250="",$U250=""),"",IFERROR(IF(VLOOKUP($E250,OpTbl,6,0)="وزن",IF($P250="",0,$P250),IF(VLOOKUP($E250,OpTbl,6,0)="مبلغ",IF(AND($Q250&lt;&gt;"",$Q250&lt;&gt;0),$Q250,$P250),0))+IF(VLOOKUP($E250,OpTbl,10,0)="افزودن",IF($Q250="",0,$Q250),0),0))</f>
        <v/>
      </c>
      <c r="AK250" s="70">
        <f>IF($E250="","",IFERROR(VLOOKUP($E250,OpTbl,10,0),""))</f>
        <v/>
      </c>
      <c r="AL250" s="70">
        <f>IF(OR($E250="",$U250=""),"",IFERROR(IF(VLOOKUP($E250,OpTbl,7,0)="خودکار",$R250,VLOOKUP($E250,OpTbl,7,0)),""))</f>
        <v/>
      </c>
      <c r="AM250" s="70">
        <f>IF(OR($E250="",$X250=""),"",IFERROR(IF(VLOOKUP($E250,OpTbl,9,0)="خودکار",IF($AL250="بدهکار","بستانکار",IF($AL250="بستانکار","بدهکار","")),VLOOKUP($E250,OpTbl,9,0)),""))</f>
        <v/>
      </c>
      <c r="AN250" s="70">
        <f>IF($E250="","",IFERROR(VLOOKUP($E250,OpTbl,11,0),""))</f>
        <v/>
      </c>
      <c r="AO250" s="70">
        <f>IF($B250="","",MID($B250,6,2))</f>
        <v/>
      </c>
      <c r="AP250" s="76">
        <f>IF($B250="",0,1)</f>
        <v/>
      </c>
    </row>
    <row r="251" ht="21.75" customHeight="1">
      <c r="A251" s="70">
        <f>IF($B251="","",COUNTA($B$10:$B251))</f>
        <v/>
      </c>
      <c r="B251" s="71" t="n"/>
      <c r="C251" s="71" t="n"/>
      <c r="D251" s="71" t="n"/>
      <c r="E251" s="71" t="n"/>
      <c r="F251" s="70">
        <f>IF($E251="","",IFERROR(VLOOKUP($E251,OpTbl,2,0),""))</f>
        <v/>
      </c>
      <c r="G251" s="71" t="n"/>
      <c r="H251" s="73">
        <f>IF($U251="","",IFERROR(VLOOKUP($U251,AcctTbl,2,0),"کد ناشناخته"))</f>
        <v/>
      </c>
      <c r="I251" s="70">
        <f>IF($U251="","",IFERROR(VLOOKUP($U251,AcctTbl,3,0),""))</f>
        <v/>
      </c>
      <c r="J251" s="72" t="n"/>
      <c r="K251" s="71" t="n"/>
      <c r="L251" s="74" t="n"/>
      <c r="M251" s="74" t="n"/>
      <c r="N251" s="148">
        <f>IF(OR($E251="",$L251=""),"",IFERROR(($L251-IF($M251="",0,$M251)*IFERROR(VLOOKUP($K251,BasketTbl,4,0),IFERROR(INDEX(BasketTbl,MATCH($K251,BasketCodeCol,0),4),VLOOKUP("P01",ParamTbl,2,0))))*(1-IF(VLOOKUP($E251,OpTbl,3,0)="خرید",VLOOKUP("P02",ParamTbl,2,0),0)/100),""))</f>
        <v/>
      </c>
      <c r="O251" s="74" t="n"/>
      <c r="P251" s="76">
        <f>IF(OR($E251="",$L251=""),"",IFERROR(IF(VLOOKUP($E251,OpTbl,6,0)="وزن",ROUND($N251*$O251,-3),IF(VLOOKUP($E251,OpTbl,6,0)="مبلغ",ROUND($L251*$O251,-3),0)),""))</f>
        <v/>
      </c>
      <c r="Q251" s="74" t="n"/>
      <c r="R251" s="71" t="n"/>
      <c r="S251" s="77">
        <f>IF($E251="","",IF($AI251="⚠","⚠ ناتراز",IF(AND(IFERROR(VLOOKUP($E251,OpTbl,4,0),"")="بله",$L251=""),"⚠ وزن",IF(AND(IFERROR(VLOOKUP($E251,OpTbl,5,0),"")="بله",$U251=""),"⚠ حساب",IF(AND(IFERROR(VLOOKUP($E251,OpTbl,6,0),"")="مبلغ",$Q251=""),"⚠ مبلغ","✓")))))</f>
        <v/>
      </c>
      <c r="T251" s="72" t="n"/>
      <c r="U251" s="70">
        <f>IF($E251="","",IFERROR(IF(VLOOKUP($E251,OpTbl,14,0)&lt;&gt;"",VLOOKUP($E251,OpTbl,14,0),$G251),""))</f>
        <v/>
      </c>
      <c r="V251" s="76">
        <f>IF(OR($AJ251="",$AJ251=0,$AL251&lt;&gt;"بدهکار"),"",$AJ251)</f>
        <v/>
      </c>
      <c r="W251" s="76">
        <f>IF(OR($AJ251="",$AJ251=0,$AL251&lt;&gt;"بستانکار"),"",$AJ251)</f>
        <v/>
      </c>
      <c r="X251" s="70">
        <f>IF($E251="","",IFERROR(VLOOKUP($E251,OpTbl,8,0),""))</f>
        <v/>
      </c>
      <c r="Y251" s="76">
        <f>IF(OR($X251="",$AJ251="",$AJ251=0,$AM251&lt;&gt;"بدهکار"),"",$AJ251)</f>
        <v/>
      </c>
      <c r="Z251" s="76">
        <f>IF(OR($X251="",$AJ251="",$AJ251=0,$AM251&lt;&gt;"بستانکار"),"",$AJ251)</f>
        <v/>
      </c>
      <c r="AA251" s="70">
        <f>IF(OR($E251="",$AN251="—",$AN251=""),"",IFERROR(VLOOKUP($E251,OpTbl,12,0),""))</f>
        <v/>
      </c>
      <c r="AB251" s="76">
        <f>IF(OR($AA251="",$Q251="",$Q251=0,$AN251&lt;&gt;"بدهکار"),"",$Q251)</f>
        <v/>
      </c>
      <c r="AC251" s="76">
        <f>IF(OR($AA251="",$Q251="",$Q251=0,$AN251&lt;&gt;"بستانکار"),"",$Q251)</f>
        <v/>
      </c>
      <c r="AD251" s="70">
        <f>IF($AA251="","",IFERROR(VLOOKUP($E251,OpTbl,13,0),""))</f>
        <v/>
      </c>
      <c r="AE251" s="76">
        <f>IF(OR($AD251="",$Q251="",$Q251=0,$AN251&lt;&gt;"بستانکار"),"",$Q251)</f>
        <v/>
      </c>
      <c r="AF251" s="76">
        <f>IF(OR($AD251="",$Q251="",$Q251=0,$AN251&lt;&gt;"بدهکار"),"",$Q251)</f>
        <v/>
      </c>
      <c r="AG251" s="76">
        <f>SUM($V251,$Y251,$AB251,$AE251)</f>
        <v/>
      </c>
      <c r="AH251" s="76">
        <f>SUM($W251,$Z251,$AC251,$AF251)</f>
        <v/>
      </c>
      <c r="AI251" s="70">
        <f>IF($E251="","",IF(ROUND($AG251-$AH251,0)=0,"✓","⚠"))</f>
        <v/>
      </c>
      <c r="AJ251" s="76">
        <f>IF(OR($E251="",$U251=""),"",IFERROR(IF(VLOOKUP($E251,OpTbl,6,0)="وزن",IF($P251="",0,$P251),IF(VLOOKUP($E251,OpTbl,6,0)="مبلغ",IF(AND($Q251&lt;&gt;"",$Q251&lt;&gt;0),$Q251,$P251),0))+IF(VLOOKUP($E251,OpTbl,10,0)="افزودن",IF($Q251="",0,$Q251),0),0))</f>
        <v/>
      </c>
      <c r="AK251" s="70">
        <f>IF($E251="","",IFERROR(VLOOKUP($E251,OpTbl,10,0),""))</f>
        <v/>
      </c>
      <c r="AL251" s="70">
        <f>IF(OR($E251="",$U251=""),"",IFERROR(IF(VLOOKUP($E251,OpTbl,7,0)="خودکار",$R251,VLOOKUP($E251,OpTbl,7,0)),""))</f>
        <v/>
      </c>
      <c r="AM251" s="70">
        <f>IF(OR($E251="",$X251=""),"",IFERROR(IF(VLOOKUP($E251,OpTbl,9,0)="خودکار",IF($AL251="بدهکار","بستانکار",IF($AL251="بستانکار","بدهکار","")),VLOOKUP($E251,OpTbl,9,0)),""))</f>
        <v/>
      </c>
      <c r="AN251" s="70">
        <f>IF($E251="","",IFERROR(VLOOKUP($E251,OpTbl,11,0),""))</f>
        <v/>
      </c>
      <c r="AO251" s="70">
        <f>IF($B251="","",MID($B251,6,2))</f>
        <v/>
      </c>
      <c r="AP251" s="76">
        <f>IF($B251="",0,1)</f>
        <v/>
      </c>
    </row>
    <row r="252" ht="21.75" customHeight="1">
      <c r="A252" s="70">
        <f>IF($B252="","",COUNTA($B$10:$B252))</f>
        <v/>
      </c>
      <c r="B252" s="71" t="n"/>
      <c r="C252" s="71" t="n"/>
      <c r="D252" s="71" t="n"/>
      <c r="E252" s="71" t="n"/>
      <c r="F252" s="70">
        <f>IF($E252="","",IFERROR(VLOOKUP($E252,OpTbl,2,0),""))</f>
        <v/>
      </c>
      <c r="G252" s="71" t="n"/>
      <c r="H252" s="73">
        <f>IF($U252="","",IFERROR(VLOOKUP($U252,AcctTbl,2,0),"کد ناشناخته"))</f>
        <v/>
      </c>
      <c r="I252" s="70">
        <f>IF($U252="","",IFERROR(VLOOKUP($U252,AcctTbl,3,0),""))</f>
        <v/>
      </c>
      <c r="J252" s="72" t="n"/>
      <c r="K252" s="71" t="n"/>
      <c r="L252" s="74" t="n"/>
      <c r="M252" s="74" t="n"/>
      <c r="N252" s="148">
        <f>IF(OR($E252="",$L252=""),"",IFERROR(($L252-IF($M252="",0,$M252)*IFERROR(VLOOKUP($K252,BasketTbl,4,0),IFERROR(INDEX(BasketTbl,MATCH($K252,BasketCodeCol,0),4),VLOOKUP("P01",ParamTbl,2,0))))*(1-IF(VLOOKUP($E252,OpTbl,3,0)="خرید",VLOOKUP("P02",ParamTbl,2,0),0)/100),""))</f>
        <v/>
      </c>
      <c r="O252" s="74" t="n"/>
      <c r="P252" s="76">
        <f>IF(OR($E252="",$L252=""),"",IFERROR(IF(VLOOKUP($E252,OpTbl,6,0)="وزن",ROUND($N252*$O252,-3),IF(VLOOKUP($E252,OpTbl,6,0)="مبلغ",ROUND($L252*$O252,-3),0)),""))</f>
        <v/>
      </c>
      <c r="Q252" s="74" t="n"/>
      <c r="R252" s="71" t="n"/>
      <c r="S252" s="77">
        <f>IF($E252="","",IF($AI252="⚠","⚠ ناتراز",IF(AND(IFERROR(VLOOKUP($E252,OpTbl,4,0),"")="بله",$L252=""),"⚠ وزن",IF(AND(IFERROR(VLOOKUP($E252,OpTbl,5,0),"")="بله",$U252=""),"⚠ حساب",IF(AND(IFERROR(VLOOKUP($E252,OpTbl,6,0),"")="مبلغ",$Q252=""),"⚠ مبلغ","✓")))))</f>
        <v/>
      </c>
      <c r="T252" s="72" t="n"/>
      <c r="U252" s="70">
        <f>IF($E252="","",IFERROR(IF(VLOOKUP($E252,OpTbl,14,0)&lt;&gt;"",VLOOKUP($E252,OpTbl,14,0),$G252),""))</f>
        <v/>
      </c>
      <c r="V252" s="76">
        <f>IF(OR($AJ252="",$AJ252=0,$AL252&lt;&gt;"بدهکار"),"",$AJ252)</f>
        <v/>
      </c>
      <c r="W252" s="76">
        <f>IF(OR($AJ252="",$AJ252=0,$AL252&lt;&gt;"بستانکار"),"",$AJ252)</f>
        <v/>
      </c>
      <c r="X252" s="70">
        <f>IF($E252="","",IFERROR(VLOOKUP($E252,OpTbl,8,0),""))</f>
        <v/>
      </c>
      <c r="Y252" s="76">
        <f>IF(OR($X252="",$AJ252="",$AJ252=0,$AM252&lt;&gt;"بدهکار"),"",$AJ252)</f>
        <v/>
      </c>
      <c r="Z252" s="76">
        <f>IF(OR($X252="",$AJ252="",$AJ252=0,$AM252&lt;&gt;"بستانکار"),"",$AJ252)</f>
        <v/>
      </c>
      <c r="AA252" s="70">
        <f>IF(OR($E252="",$AN252="—",$AN252=""),"",IFERROR(VLOOKUP($E252,OpTbl,12,0),""))</f>
        <v/>
      </c>
      <c r="AB252" s="76">
        <f>IF(OR($AA252="",$Q252="",$Q252=0,$AN252&lt;&gt;"بدهکار"),"",$Q252)</f>
        <v/>
      </c>
      <c r="AC252" s="76">
        <f>IF(OR($AA252="",$Q252="",$Q252=0,$AN252&lt;&gt;"بستانکار"),"",$Q252)</f>
        <v/>
      </c>
      <c r="AD252" s="70">
        <f>IF($AA252="","",IFERROR(VLOOKUP($E252,OpTbl,13,0),""))</f>
        <v/>
      </c>
      <c r="AE252" s="76">
        <f>IF(OR($AD252="",$Q252="",$Q252=0,$AN252&lt;&gt;"بستانکار"),"",$Q252)</f>
        <v/>
      </c>
      <c r="AF252" s="76">
        <f>IF(OR($AD252="",$Q252="",$Q252=0,$AN252&lt;&gt;"بدهکار"),"",$Q252)</f>
        <v/>
      </c>
      <c r="AG252" s="76">
        <f>SUM($V252,$Y252,$AB252,$AE252)</f>
        <v/>
      </c>
      <c r="AH252" s="76">
        <f>SUM($W252,$Z252,$AC252,$AF252)</f>
        <v/>
      </c>
      <c r="AI252" s="70">
        <f>IF($E252="","",IF(ROUND($AG252-$AH252,0)=0,"✓","⚠"))</f>
        <v/>
      </c>
      <c r="AJ252" s="76">
        <f>IF(OR($E252="",$U252=""),"",IFERROR(IF(VLOOKUP($E252,OpTbl,6,0)="وزن",IF($P252="",0,$P252),IF(VLOOKUP($E252,OpTbl,6,0)="مبلغ",IF(AND($Q252&lt;&gt;"",$Q252&lt;&gt;0),$Q252,$P252),0))+IF(VLOOKUP($E252,OpTbl,10,0)="افزودن",IF($Q252="",0,$Q252),0),0))</f>
        <v/>
      </c>
      <c r="AK252" s="70">
        <f>IF($E252="","",IFERROR(VLOOKUP($E252,OpTbl,10,0),""))</f>
        <v/>
      </c>
      <c r="AL252" s="70">
        <f>IF(OR($E252="",$U252=""),"",IFERROR(IF(VLOOKUP($E252,OpTbl,7,0)="خودکار",$R252,VLOOKUP($E252,OpTbl,7,0)),""))</f>
        <v/>
      </c>
      <c r="AM252" s="70">
        <f>IF(OR($E252="",$X252=""),"",IFERROR(IF(VLOOKUP($E252,OpTbl,9,0)="خودکار",IF($AL252="بدهکار","بستانکار",IF($AL252="بستانکار","بدهکار","")),VLOOKUP($E252,OpTbl,9,0)),""))</f>
        <v/>
      </c>
      <c r="AN252" s="70">
        <f>IF($E252="","",IFERROR(VLOOKUP($E252,OpTbl,11,0),""))</f>
        <v/>
      </c>
      <c r="AO252" s="70">
        <f>IF($B252="","",MID($B252,6,2))</f>
        <v/>
      </c>
      <c r="AP252" s="76">
        <f>IF($B252="",0,1)</f>
        <v/>
      </c>
    </row>
    <row r="253" ht="21.75" customHeight="1">
      <c r="A253" s="70">
        <f>IF($B253="","",COUNTA($B$10:$B253))</f>
        <v/>
      </c>
      <c r="B253" s="71" t="n"/>
      <c r="C253" s="71" t="n"/>
      <c r="D253" s="71" t="n"/>
      <c r="E253" s="71" t="n"/>
      <c r="F253" s="70">
        <f>IF($E253="","",IFERROR(VLOOKUP($E253,OpTbl,2,0),""))</f>
        <v/>
      </c>
      <c r="G253" s="71" t="n"/>
      <c r="H253" s="73">
        <f>IF($U253="","",IFERROR(VLOOKUP($U253,AcctTbl,2,0),"کد ناشناخته"))</f>
        <v/>
      </c>
      <c r="I253" s="70">
        <f>IF($U253="","",IFERROR(VLOOKUP($U253,AcctTbl,3,0),""))</f>
        <v/>
      </c>
      <c r="J253" s="72" t="n"/>
      <c r="K253" s="71" t="n"/>
      <c r="L253" s="74" t="n"/>
      <c r="M253" s="74" t="n"/>
      <c r="N253" s="148">
        <f>IF(OR($E253="",$L253=""),"",IFERROR(($L253-IF($M253="",0,$M253)*IFERROR(VLOOKUP($K253,BasketTbl,4,0),IFERROR(INDEX(BasketTbl,MATCH($K253,BasketCodeCol,0),4),VLOOKUP("P01",ParamTbl,2,0))))*(1-IF(VLOOKUP($E253,OpTbl,3,0)="خرید",VLOOKUP("P02",ParamTbl,2,0),0)/100),""))</f>
        <v/>
      </c>
      <c r="O253" s="74" t="n"/>
      <c r="P253" s="76">
        <f>IF(OR($E253="",$L253=""),"",IFERROR(IF(VLOOKUP($E253,OpTbl,6,0)="وزن",ROUND($N253*$O253,-3),IF(VLOOKUP($E253,OpTbl,6,0)="مبلغ",ROUND($L253*$O253,-3),0)),""))</f>
        <v/>
      </c>
      <c r="Q253" s="74" t="n"/>
      <c r="R253" s="71" t="n"/>
      <c r="S253" s="77">
        <f>IF($E253="","",IF($AI253="⚠","⚠ ناتراز",IF(AND(IFERROR(VLOOKUP($E253,OpTbl,4,0),"")="بله",$L253=""),"⚠ وزن",IF(AND(IFERROR(VLOOKUP($E253,OpTbl,5,0),"")="بله",$U253=""),"⚠ حساب",IF(AND(IFERROR(VLOOKUP($E253,OpTbl,6,0),"")="مبلغ",$Q253=""),"⚠ مبلغ","✓")))))</f>
        <v/>
      </c>
      <c r="T253" s="72" t="n"/>
      <c r="U253" s="70">
        <f>IF($E253="","",IFERROR(IF(VLOOKUP($E253,OpTbl,14,0)&lt;&gt;"",VLOOKUP($E253,OpTbl,14,0),$G253),""))</f>
        <v/>
      </c>
      <c r="V253" s="76">
        <f>IF(OR($AJ253="",$AJ253=0,$AL253&lt;&gt;"بدهکار"),"",$AJ253)</f>
        <v/>
      </c>
      <c r="W253" s="76">
        <f>IF(OR($AJ253="",$AJ253=0,$AL253&lt;&gt;"بستانکار"),"",$AJ253)</f>
        <v/>
      </c>
      <c r="X253" s="70">
        <f>IF($E253="","",IFERROR(VLOOKUP($E253,OpTbl,8,0),""))</f>
        <v/>
      </c>
      <c r="Y253" s="76">
        <f>IF(OR($X253="",$AJ253="",$AJ253=0,$AM253&lt;&gt;"بدهکار"),"",$AJ253)</f>
        <v/>
      </c>
      <c r="Z253" s="76">
        <f>IF(OR($X253="",$AJ253="",$AJ253=0,$AM253&lt;&gt;"بستانکار"),"",$AJ253)</f>
        <v/>
      </c>
      <c r="AA253" s="70">
        <f>IF(OR($E253="",$AN253="—",$AN253=""),"",IFERROR(VLOOKUP($E253,OpTbl,12,0),""))</f>
        <v/>
      </c>
      <c r="AB253" s="76">
        <f>IF(OR($AA253="",$Q253="",$Q253=0,$AN253&lt;&gt;"بدهکار"),"",$Q253)</f>
        <v/>
      </c>
      <c r="AC253" s="76">
        <f>IF(OR($AA253="",$Q253="",$Q253=0,$AN253&lt;&gt;"بستانکار"),"",$Q253)</f>
        <v/>
      </c>
      <c r="AD253" s="70">
        <f>IF($AA253="","",IFERROR(VLOOKUP($E253,OpTbl,13,0),""))</f>
        <v/>
      </c>
      <c r="AE253" s="76">
        <f>IF(OR($AD253="",$Q253="",$Q253=0,$AN253&lt;&gt;"بستانکار"),"",$Q253)</f>
        <v/>
      </c>
      <c r="AF253" s="76">
        <f>IF(OR($AD253="",$Q253="",$Q253=0,$AN253&lt;&gt;"بدهکار"),"",$Q253)</f>
        <v/>
      </c>
      <c r="AG253" s="76">
        <f>SUM($V253,$Y253,$AB253,$AE253)</f>
        <v/>
      </c>
      <c r="AH253" s="76">
        <f>SUM($W253,$Z253,$AC253,$AF253)</f>
        <v/>
      </c>
      <c r="AI253" s="70">
        <f>IF($E253="","",IF(ROUND($AG253-$AH253,0)=0,"✓","⚠"))</f>
        <v/>
      </c>
      <c r="AJ253" s="76">
        <f>IF(OR($E253="",$U253=""),"",IFERROR(IF(VLOOKUP($E253,OpTbl,6,0)="وزن",IF($P253="",0,$P253),IF(VLOOKUP($E253,OpTbl,6,0)="مبلغ",IF(AND($Q253&lt;&gt;"",$Q253&lt;&gt;0),$Q253,$P253),0))+IF(VLOOKUP($E253,OpTbl,10,0)="افزودن",IF($Q253="",0,$Q253),0),0))</f>
        <v/>
      </c>
      <c r="AK253" s="70">
        <f>IF($E253="","",IFERROR(VLOOKUP($E253,OpTbl,10,0),""))</f>
        <v/>
      </c>
      <c r="AL253" s="70">
        <f>IF(OR($E253="",$U253=""),"",IFERROR(IF(VLOOKUP($E253,OpTbl,7,0)="خودکار",$R253,VLOOKUP($E253,OpTbl,7,0)),""))</f>
        <v/>
      </c>
      <c r="AM253" s="70">
        <f>IF(OR($E253="",$X253=""),"",IFERROR(IF(VLOOKUP($E253,OpTbl,9,0)="خودکار",IF($AL253="بدهکار","بستانکار",IF($AL253="بستانکار","بدهکار","")),VLOOKUP($E253,OpTbl,9,0)),""))</f>
        <v/>
      </c>
      <c r="AN253" s="70">
        <f>IF($E253="","",IFERROR(VLOOKUP($E253,OpTbl,11,0),""))</f>
        <v/>
      </c>
      <c r="AO253" s="70">
        <f>IF($B253="","",MID($B253,6,2))</f>
        <v/>
      </c>
      <c r="AP253" s="76">
        <f>IF($B253="",0,1)</f>
        <v/>
      </c>
    </row>
    <row r="254" ht="21.75" customHeight="1">
      <c r="A254" s="70">
        <f>IF($B254="","",COUNTA($B$10:$B254))</f>
        <v/>
      </c>
      <c r="B254" s="71" t="n"/>
      <c r="C254" s="71" t="n"/>
      <c r="D254" s="71" t="n"/>
      <c r="E254" s="71" t="n"/>
      <c r="F254" s="70">
        <f>IF($E254="","",IFERROR(VLOOKUP($E254,OpTbl,2,0),""))</f>
        <v/>
      </c>
      <c r="G254" s="71" t="n"/>
      <c r="H254" s="73">
        <f>IF($U254="","",IFERROR(VLOOKUP($U254,AcctTbl,2,0),"کد ناشناخته"))</f>
        <v/>
      </c>
      <c r="I254" s="70">
        <f>IF($U254="","",IFERROR(VLOOKUP($U254,AcctTbl,3,0),""))</f>
        <v/>
      </c>
      <c r="J254" s="72" t="n"/>
      <c r="K254" s="71" t="n"/>
      <c r="L254" s="74" t="n"/>
      <c r="M254" s="74" t="n"/>
      <c r="N254" s="148">
        <f>IF(OR($E254="",$L254=""),"",IFERROR(($L254-IF($M254="",0,$M254)*IFERROR(VLOOKUP($K254,BasketTbl,4,0),IFERROR(INDEX(BasketTbl,MATCH($K254,BasketCodeCol,0),4),VLOOKUP("P01",ParamTbl,2,0))))*(1-IF(VLOOKUP($E254,OpTbl,3,0)="خرید",VLOOKUP("P02",ParamTbl,2,0),0)/100),""))</f>
        <v/>
      </c>
      <c r="O254" s="74" t="n"/>
      <c r="P254" s="76">
        <f>IF(OR($E254="",$L254=""),"",IFERROR(IF(VLOOKUP($E254,OpTbl,6,0)="وزن",ROUND($N254*$O254,-3),IF(VLOOKUP($E254,OpTbl,6,0)="مبلغ",ROUND($L254*$O254,-3),0)),""))</f>
        <v/>
      </c>
      <c r="Q254" s="74" t="n"/>
      <c r="R254" s="71" t="n"/>
      <c r="S254" s="77">
        <f>IF($E254="","",IF($AI254="⚠","⚠ ناتراز",IF(AND(IFERROR(VLOOKUP($E254,OpTbl,4,0),"")="بله",$L254=""),"⚠ وزن",IF(AND(IFERROR(VLOOKUP($E254,OpTbl,5,0),"")="بله",$U254=""),"⚠ حساب",IF(AND(IFERROR(VLOOKUP($E254,OpTbl,6,0),"")="مبلغ",$Q254=""),"⚠ مبلغ","✓")))))</f>
        <v/>
      </c>
      <c r="T254" s="72" t="n"/>
      <c r="U254" s="70">
        <f>IF($E254="","",IFERROR(IF(VLOOKUP($E254,OpTbl,14,0)&lt;&gt;"",VLOOKUP($E254,OpTbl,14,0),$G254),""))</f>
        <v/>
      </c>
      <c r="V254" s="76">
        <f>IF(OR($AJ254="",$AJ254=0,$AL254&lt;&gt;"بدهکار"),"",$AJ254)</f>
        <v/>
      </c>
      <c r="W254" s="76">
        <f>IF(OR($AJ254="",$AJ254=0,$AL254&lt;&gt;"بستانکار"),"",$AJ254)</f>
        <v/>
      </c>
      <c r="X254" s="70">
        <f>IF($E254="","",IFERROR(VLOOKUP($E254,OpTbl,8,0),""))</f>
        <v/>
      </c>
      <c r="Y254" s="76">
        <f>IF(OR($X254="",$AJ254="",$AJ254=0,$AM254&lt;&gt;"بدهکار"),"",$AJ254)</f>
        <v/>
      </c>
      <c r="Z254" s="76">
        <f>IF(OR($X254="",$AJ254="",$AJ254=0,$AM254&lt;&gt;"بستانکار"),"",$AJ254)</f>
        <v/>
      </c>
      <c r="AA254" s="70">
        <f>IF(OR($E254="",$AN254="—",$AN254=""),"",IFERROR(VLOOKUP($E254,OpTbl,12,0),""))</f>
        <v/>
      </c>
      <c r="AB254" s="76">
        <f>IF(OR($AA254="",$Q254="",$Q254=0,$AN254&lt;&gt;"بدهکار"),"",$Q254)</f>
        <v/>
      </c>
      <c r="AC254" s="76">
        <f>IF(OR($AA254="",$Q254="",$Q254=0,$AN254&lt;&gt;"بستانکار"),"",$Q254)</f>
        <v/>
      </c>
      <c r="AD254" s="70">
        <f>IF($AA254="","",IFERROR(VLOOKUP($E254,OpTbl,13,0),""))</f>
        <v/>
      </c>
      <c r="AE254" s="76">
        <f>IF(OR($AD254="",$Q254="",$Q254=0,$AN254&lt;&gt;"بستانکار"),"",$Q254)</f>
        <v/>
      </c>
      <c r="AF254" s="76">
        <f>IF(OR($AD254="",$Q254="",$Q254=0,$AN254&lt;&gt;"بدهکار"),"",$Q254)</f>
        <v/>
      </c>
      <c r="AG254" s="76">
        <f>SUM($V254,$Y254,$AB254,$AE254)</f>
        <v/>
      </c>
      <c r="AH254" s="76">
        <f>SUM($W254,$Z254,$AC254,$AF254)</f>
        <v/>
      </c>
      <c r="AI254" s="70">
        <f>IF($E254="","",IF(ROUND($AG254-$AH254,0)=0,"✓","⚠"))</f>
        <v/>
      </c>
      <c r="AJ254" s="76">
        <f>IF(OR($E254="",$U254=""),"",IFERROR(IF(VLOOKUP($E254,OpTbl,6,0)="وزن",IF($P254="",0,$P254),IF(VLOOKUP($E254,OpTbl,6,0)="مبلغ",IF(AND($Q254&lt;&gt;"",$Q254&lt;&gt;0),$Q254,$P254),0))+IF(VLOOKUP($E254,OpTbl,10,0)="افزودن",IF($Q254="",0,$Q254),0),0))</f>
        <v/>
      </c>
      <c r="AK254" s="70">
        <f>IF($E254="","",IFERROR(VLOOKUP($E254,OpTbl,10,0),""))</f>
        <v/>
      </c>
      <c r="AL254" s="70">
        <f>IF(OR($E254="",$U254=""),"",IFERROR(IF(VLOOKUP($E254,OpTbl,7,0)="خودکار",$R254,VLOOKUP($E254,OpTbl,7,0)),""))</f>
        <v/>
      </c>
      <c r="AM254" s="70">
        <f>IF(OR($E254="",$X254=""),"",IFERROR(IF(VLOOKUP($E254,OpTbl,9,0)="خودکار",IF($AL254="بدهکار","بستانکار",IF($AL254="بستانکار","بدهکار","")),VLOOKUP($E254,OpTbl,9,0)),""))</f>
        <v/>
      </c>
      <c r="AN254" s="70">
        <f>IF($E254="","",IFERROR(VLOOKUP($E254,OpTbl,11,0),""))</f>
        <v/>
      </c>
      <c r="AO254" s="70">
        <f>IF($B254="","",MID($B254,6,2))</f>
        <v/>
      </c>
      <c r="AP254" s="76">
        <f>IF($B254="",0,1)</f>
        <v/>
      </c>
    </row>
    <row r="255" ht="21.75" customHeight="1">
      <c r="A255" s="70">
        <f>IF($B255="","",COUNTA($B$10:$B255))</f>
        <v/>
      </c>
      <c r="B255" s="71" t="n"/>
      <c r="C255" s="71" t="n"/>
      <c r="D255" s="71" t="n"/>
      <c r="E255" s="71" t="n"/>
      <c r="F255" s="70">
        <f>IF($E255="","",IFERROR(VLOOKUP($E255,OpTbl,2,0),""))</f>
        <v/>
      </c>
      <c r="G255" s="71" t="n"/>
      <c r="H255" s="73">
        <f>IF($U255="","",IFERROR(VLOOKUP($U255,AcctTbl,2,0),"کد ناشناخته"))</f>
        <v/>
      </c>
      <c r="I255" s="70">
        <f>IF($U255="","",IFERROR(VLOOKUP($U255,AcctTbl,3,0),""))</f>
        <v/>
      </c>
      <c r="J255" s="72" t="n"/>
      <c r="K255" s="71" t="n"/>
      <c r="L255" s="74" t="n"/>
      <c r="M255" s="74" t="n"/>
      <c r="N255" s="148">
        <f>IF(OR($E255="",$L255=""),"",IFERROR(($L255-IF($M255="",0,$M255)*IFERROR(VLOOKUP($K255,BasketTbl,4,0),IFERROR(INDEX(BasketTbl,MATCH($K255,BasketCodeCol,0),4),VLOOKUP("P01",ParamTbl,2,0))))*(1-IF(VLOOKUP($E255,OpTbl,3,0)="خرید",VLOOKUP("P02",ParamTbl,2,0),0)/100),""))</f>
        <v/>
      </c>
      <c r="O255" s="74" t="n"/>
      <c r="P255" s="76">
        <f>IF(OR($E255="",$L255=""),"",IFERROR(IF(VLOOKUP($E255,OpTbl,6,0)="وزن",ROUND($N255*$O255,-3),IF(VLOOKUP($E255,OpTbl,6,0)="مبلغ",ROUND($L255*$O255,-3),0)),""))</f>
        <v/>
      </c>
      <c r="Q255" s="74" t="n"/>
      <c r="R255" s="71" t="n"/>
      <c r="S255" s="77">
        <f>IF($E255="","",IF($AI255="⚠","⚠ ناتراز",IF(AND(IFERROR(VLOOKUP($E255,OpTbl,4,0),"")="بله",$L255=""),"⚠ وزن",IF(AND(IFERROR(VLOOKUP($E255,OpTbl,5,0),"")="بله",$U255=""),"⚠ حساب",IF(AND(IFERROR(VLOOKUP($E255,OpTbl,6,0),"")="مبلغ",$Q255=""),"⚠ مبلغ","✓")))))</f>
        <v/>
      </c>
      <c r="T255" s="72" t="n"/>
      <c r="U255" s="70">
        <f>IF($E255="","",IFERROR(IF(VLOOKUP($E255,OpTbl,14,0)&lt;&gt;"",VLOOKUP($E255,OpTbl,14,0),$G255),""))</f>
        <v/>
      </c>
      <c r="V255" s="76">
        <f>IF(OR($AJ255="",$AJ255=0,$AL255&lt;&gt;"بدهکار"),"",$AJ255)</f>
        <v/>
      </c>
      <c r="W255" s="76">
        <f>IF(OR($AJ255="",$AJ255=0,$AL255&lt;&gt;"بستانکار"),"",$AJ255)</f>
        <v/>
      </c>
      <c r="X255" s="70">
        <f>IF($E255="","",IFERROR(VLOOKUP($E255,OpTbl,8,0),""))</f>
        <v/>
      </c>
      <c r="Y255" s="76">
        <f>IF(OR($X255="",$AJ255="",$AJ255=0,$AM255&lt;&gt;"بدهکار"),"",$AJ255)</f>
        <v/>
      </c>
      <c r="Z255" s="76">
        <f>IF(OR($X255="",$AJ255="",$AJ255=0,$AM255&lt;&gt;"بستانکار"),"",$AJ255)</f>
        <v/>
      </c>
      <c r="AA255" s="70">
        <f>IF(OR($E255="",$AN255="—",$AN255=""),"",IFERROR(VLOOKUP($E255,OpTbl,12,0),""))</f>
        <v/>
      </c>
      <c r="AB255" s="76">
        <f>IF(OR($AA255="",$Q255="",$Q255=0,$AN255&lt;&gt;"بدهکار"),"",$Q255)</f>
        <v/>
      </c>
      <c r="AC255" s="76">
        <f>IF(OR($AA255="",$Q255="",$Q255=0,$AN255&lt;&gt;"بستانکار"),"",$Q255)</f>
        <v/>
      </c>
      <c r="AD255" s="70">
        <f>IF($AA255="","",IFERROR(VLOOKUP($E255,OpTbl,13,0),""))</f>
        <v/>
      </c>
      <c r="AE255" s="76">
        <f>IF(OR($AD255="",$Q255="",$Q255=0,$AN255&lt;&gt;"بستانکار"),"",$Q255)</f>
        <v/>
      </c>
      <c r="AF255" s="76">
        <f>IF(OR($AD255="",$Q255="",$Q255=0,$AN255&lt;&gt;"بدهکار"),"",$Q255)</f>
        <v/>
      </c>
      <c r="AG255" s="76">
        <f>SUM($V255,$Y255,$AB255,$AE255)</f>
        <v/>
      </c>
      <c r="AH255" s="76">
        <f>SUM($W255,$Z255,$AC255,$AF255)</f>
        <v/>
      </c>
      <c r="AI255" s="70">
        <f>IF($E255="","",IF(ROUND($AG255-$AH255,0)=0,"✓","⚠"))</f>
        <v/>
      </c>
      <c r="AJ255" s="76">
        <f>IF(OR($E255="",$U255=""),"",IFERROR(IF(VLOOKUP($E255,OpTbl,6,0)="وزن",IF($P255="",0,$P255),IF(VLOOKUP($E255,OpTbl,6,0)="مبلغ",IF(AND($Q255&lt;&gt;"",$Q255&lt;&gt;0),$Q255,$P255),0))+IF(VLOOKUP($E255,OpTbl,10,0)="افزودن",IF($Q255="",0,$Q255),0),0))</f>
        <v/>
      </c>
      <c r="AK255" s="70">
        <f>IF($E255="","",IFERROR(VLOOKUP($E255,OpTbl,10,0),""))</f>
        <v/>
      </c>
      <c r="AL255" s="70">
        <f>IF(OR($E255="",$U255=""),"",IFERROR(IF(VLOOKUP($E255,OpTbl,7,0)="خودکار",$R255,VLOOKUP($E255,OpTbl,7,0)),""))</f>
        <v/>
      </c>
      <c r="AM255" s="70">
        <f>IF(OR($E255="",$X255=""),"",IFERROR(IF(VLOOKUP($E255,OpTbl,9,0)="خودکار",IF($AL255="بدهکار","بستانکار",IF($AL255="بستانکار","بدهکار","")),VLOOKUP($E255,OpTbl,9,0)),""))</f>
        <v/>
      </c>
      <c r="AN255" s="70">
        <f>IF($E255="","",IFERROR(VLOOKUP($E255,OpTbl,11,0),""))</f>
        <v/>
      </c>
      <c r="AO255" s="70">
        <f>IF($B255="","",MID($B255,6,2))</f>
        <v/>
      </c>
      <c r="AP255" s="76">
        <f>IF($B255="",0,1)</f>
        <v/>
      </c>
    </row>
    <row r="256" ht="21.75" customHeight="1">
      <c r="A256" s="70">
        <f>IF($B256="","",COUNTA($B$10:$B256))</f>
        <v/>
      </c>
      <c r="B256" s="71" t="n"/>
      <c r="C256" s="71" t="n"/>
      <c r="D256" s="71" t="n"/>
      <c r="E256" s="71" t="n"/>
      <c r="F256" s="70">
        <f>IF($E256="","",IFERROR(VLOOKUP($E256,OpTbl,2,0),""))</f>
        <v/>
      </c>
      <c r="G256" s="71" t="n"/>
      <c r="H256" s="73">
        <f>IF($U256="","",IFERROR(VLOOKUP($U256,AcctTbl,2,0),"کد ناشناخته"))</f>
        <v/>
      </c>
      <c r="I256" s="70">
        <f>IF($U256="","",IFERROR(VLOOKUP($U256,AcctTbl,3,0),""))</f>
        <v/>
      </c>
      <c r="J256" s="72" t="n"/>
      <c r="K256" s="71" t="n"/>
      <c r="L256" s="74" t="n"/>
      <c r="M256" s="74" t="n"/>
      <c r="N256" s="148">
        <f>IF(OR($E256="",$L256=""),"",IFERROR(($L256-IF($M256="",0,$M256)*IFERROR(VLOOKUP($K256,BasketTbl,4,0),IFERROR(INDEX(BasketTbl,MATCH($K256,BasketCodeCol,0),4),VLOOKUP("P01",ParamTbl,2,0))))*(1-IF(VLOOKUP($E256,OpTbl,3,0)="خرید",VLOOKUP("P02",ParamTbl,2,0),0)/100),""))</f>
        <v/>
      </c>
      <c r="O256" s="74" t="n"/>
      <c r="P256" s="76">
        <f>IF(OR($E256="",$L256=""),"",IFERROR(IF(VLOOKUP($E256,OpTbl,6,0)="وزن",ROUND($N256*$O256,-3),IF(VLOOKUP($E256,OpTbl,6,0)="مبلغ",ROUND($L256*$O256,-3),0)),""))</f>
        <v/>
      </c>
      <c r="Q256" s="74" t="n"/>
      <c r="R256" s="71" t="n"/>
      <c r="S256" s="77">
        <f>IF($E256="","",IF($AI256="⚠","⚠ ناتراز",IF(AND(IFERROR(VLOOKUP($E256,OpTbl,4,0),"")="بله",$L256=""),"⚠ وزن",IF(AND(IFERROR(VLOOKUP($E256,OpTbl,5,0),"")="بله",$U256=""),"⚠ حساب",IF(AND(IFERROR(VLOOKUP($E256,OpTbl,6,0),"")="مبلغ",$Q256=""),"⚠ مبلغ","✓")))))</f>
        <v/>
      </c>
      <c r="T256" s="72" t="n"/>
      <c r="U256" s="70">
        <f>IF($E256="","",IFERROR(IF(VLOOKUP($E256,OpTbl,14,0)&lt;&gt;"",VLOOKUP($E256,OpTbl,14,0),$G256),""))</f>
        <v/>
      </c>
      <c r="V256" s="76">
        <f>IF(OR($AJ256="",$AJ256=0,$AL256&lt;&gt;"بدهکار"),"",$AJ256)</f>
        <v/>
      </c>
      <c r="W256" s="76">
        <f>IF(OR($AJ256="",$AJ256=0,$AL256&lt;&gt;"بستانکار"),"",$AJ256)</f>
        <v/>
      </c>
      <c r="X256" s="70">
        <f>IF($E256="","",IFERROR(VLOOKUP($E256,OpTbl,8,0),""))</f>
        <v/>
      </c>
      <c r="Y256" s="76">
        <f>IF(OR($X256="",$AJ256="",$AJ256=0,$AM256&lt;&gt;"بدهکار"),"",$AJ256)</f>
        <v/>
      </c>
      <c r="Z256" s="76">
        <f>IF(OR($X256="",$AJ256="",$AJ256=0,$AM256&lt;&gt;"بستانکار"),"",$AJ256)</f>
        <v/>
      </c>
      <c r="AA256" s="70">
        <f>IF(OR($E256="",$AN256="—",$AN256=""),"",IFERROR(VLOOKUP($E256,OpTbl,12,0),""))</f>
        <v/>
      </c>
      <c r="AB256" s="76">
        <f>IF(OR($AA256="",$Q256="",$Q256=0,$AN256&lt;&gt;"بدهکار"),"",$Q256)</f>
        <v/>
      </c>
      <c r="AC256" s="76">
        <f>IF(OR($AA256="",$Q256="",$Q256=0,$AN256&lt;&gt;"بستانکار"),"",$Q256)</f>
        <v/>
      </c>
      <c r="AD256" s="70">
        <f>IF($AA256="","",IFERROR(VLOOKUP($E256,OpTbl,13,0),""))</f>
        <v/>
      </c>
      <c r="AE256" s="76">
        <f>IF(OR($AD256="",$Q256="",$Q256=0,$AN256&lt;&gt;"بستانکار"),"",$Q256)</f>
        <v/>
      </c>
      <c r="AF256" s="76">
        <f>IF(OR($AD256="",$Q256="",$Q256=0,$AN256&lt;&gt;"بدهکار"),"",$Q256)</f>
        <v/>
      </c>
      <c r="AG256" s="76">
        <f>SUM($V256,$Y256,$AB256,$AE256)</f>
        <v/>
      </c>
      <c r="AH256" s="76">
        <f>SUM($W256,$Z256,$AC256,$AF256)</f>
        <v/>
      </c>
      <c r="AI256" s="70">
        <f>IF($E256="","",IF(ROUND($AG256-$AH256,0)=0,"✓","⚠"))</f>
        <v/>
      </c>
      <c r="AJ256" s="76">
        <f>IF(OR($E256="",$U256=""),"",IFERROR(IF(VLOOKUP($E256,OpTbl,6,0)="وزن",IF($P256="",0,$P256),IF(VLOOKUP($E256,OpTbl,6,0)="مبلغ",IF(AND($Q256&lt;&gt;"",$Q256&lt;&gt;0),$Q256,$P256),0))+IF(VLOOKUP($E256,OpTbl,10,0)="افزودن",IF($Q256="",0,$Q256),0),0))</f>
        <v/>
      </c>
      <c r="AK256" s="70">
        <f>IF($E256="","",IFERROR(VLOOKUP($E256,OpTbl,10,0),""))</f>
        <v/>
      </c>
      <c r="AL256" s="70">
        <f>IF(OR($E256="",$U256=""),"",IFERROR(IF(VLOOKUP($E256,OpTbl,7,0)="خودکار",$R256,VLOOKUP($E256,OpTbl,7,0)),""))</f>
        <v/>
      </c>
      <c r="AM256" s="70">
        <f>IF(OR($E256="",$X256=""),"",IFERROR(IF(VLOOKUP($E256,OpTbl,9,0)="خودکار",IF($AL256="بدهکار","بستانکار",IF($AL256="بستانکار","بدهکار","")),VLOOKUP($E256,OpTbl,9,0)),""))</f>
        <v/>
      </c>
      <c r="AN256" s="70">
        <f>IF($E256="","",IFERROR(VLOOKUP($E256,OpTbl,11,0),""))</f>
        <v/>
      </c>
      <c r="AO256" s="70">
        <f>IF($B256="","",MID($B256,6,2))</f>
        <v/>
      </c>
      <c r="AP256" s="76">
        <f>IF($B256="",0,1)</f>
        <v/>
      </c>
    </row>
    <row r="257" ht="21.75" customHeight="1">
      <c r="A257" s="70">
        <f>IF($B257="","",COUNTA($B$10:$B257))</f>
        <v/>
      </c>
      <c r="B257" s="71" t="n"/>
      <c r="C257" s="71" t="n"/>
      <c r="D257" s="71" t="n"/>
      <c r="E257" s="71" t="n"/>
      <c r="F257" s="70">
        <f>IF($E257="","",IFERROR(VLOOKUP($E257,OpTbl,2,0),""))</f>
        <v/>
      </c>
      <c r="G257" s="71" t="n"/>
      <c r="H257" s="73">
        <f>IF($U257="","",IFERROR(VLOOKUP($U257,AcctTbl,2,0),"کد ناشناخته"))</f>
        <v/>
      </c>
      <c r="I257" s="70">
        <f>IF($U257="","",IFERROR(VLOOKUP($U257,AcctTbl,3,0),""))</f>
        <v/>
      </c>
      <c r="J257" s="72" t="n"/>
      <c r="K257" s="71" t="n"/>
      <c r="L257" s="74" t="n"/>
      <c r="M257" s="74" t="n"/>
      <c r="N257" s="148">
        <f>IF(OR($E257="",$L257=""),"",IFERROR(($L257-IF($M257="",0,$M257)*IFERROR(VLOOKUP($K257,BasketTbl,4,0),IFERROR(INDEX(BasketTbl,MATCH($K257,BasketCodeCol,0),4),VLOOKUP("P01",ParamTbl,2,0))))*(1-IF(VLOOKUP($E257,OpTbl,3,0)="خرید",VLOOKUP("P02",ParamTbl,2,0),0)/100),""))</f>
        <v/>
      </c>
      <c r="O257" s="74" t="n"/>
      <c r="P257" s="76">
        <f>IF(OR($E257="",$L257=""),"",IFERROR(IF(VLOOKUP($E257,OpTbl,6,0)="وزن",ROUND($N257*$O257,-3),IF(VLOOKUP($E257,OpTbl,6,0)="مبلغ",ROUND($L257*$O257,-3),0)),""))</f>
        <v/>
      </c>
      <c r="Q257" s="74" t="n"/>
      <c r="R257" s="71" t="n"/>
      <c r="S257" s="77">
        <f>IF($E257="","",IF($AI257="⚠","⚠ ناتراز",IF(AND(IFERROR(VLOOKUP($E257,OpTbl,4,0),"")="بله",$L257=""),"⚠ وزن",IF(AND(IFERROR(VLOOKUP($E257,OpTbl,5,0),"")="بله",$U257=""),"⚠ حساب",IF(AND(IFERROR(VLOOKUP($E257,OpTbl,6,0),"")="مبلغ",$Q257=""),"⚠ مبلغ","✓")))))</f>
        <v/>
      </c>
      <c r="T257" s="72" t="n"/>
      <c r="U257" s="70">
        <f>IF($E257="","",IFERROR(IF(VLOOKUP($E257,OpTbl,14,0)&lt;&gt;"",VLOOKUP($E257,OpTbl,14,0),$G257),""))</f>
        <v/>
      </c>
      <c r="V257" s="76">
        <f>IF(OR($AJ257="",$AJ257=0,$AL257&lt;&gt;"بدهکار"),"",$AJ257)</f>
        <v/>
      </c>
      <c r="W257" s="76">
        <f>IF(OR($AJ257="",$AJ257=0,$AL257&lt;&gt;"بستانکار"),"",$AJ257)</f>
        <v/>
      </c>
      <c r="X257" s="70">
        <f>IF($E257="","",IFERROR(VLOOKUP($E257,OpTbl,8,0),""))</f>
        <v/>
      </c>
      <c r="Y257" s="76">
        <f>IF(OR($X257="",$AJ257="",$AJ257=0,$AM257&lt;&gt;"بدهکار"),"",$AJ257)</f>
        <v/>
      </c>
      <c r="Z257" s="76">
        <f>IF(OR($X257="",$AJ257="",$AJ257=0,$AM257&lt;&gt;"بستانکار"),"",$AJ257)</f>
        <v/>
      </c>
      <c r="AA257" s="70">
        <f>IF(OR($E257="",$AN257="—",$AN257=""),"",IFERROR(VLOOKUP($E257,OpTbl,12,0),""))</f>
        <v/>
      </c>
      <c r="AB257" s="76">
        <f>IF(OR($AA257="",$Q257="",$Q257=0,$AN257&lt;&gt;"بدهکار"),"",$Q257)</f>
        <v/>
      </c>
      <c r="AC257" s="76">
        <f>IF(OR($AA257="",$Q257="",$Q257=0,$AN257&lt;&gt;"بستانکار"),"",$Q257)</f>
        <v/>
      </c>
      <c r="AD257" s="70">
        <f>IF($AA257="","",IFERROR(VLOOKUP($E257,OpTbl,13,0),""))</f>
        <v/>
      </c>
      <c r="AE257" s="76">
        <f>IF(OR($AD257="",$Q257="",$Q257=0,$AN257&lt;&gt;"بستانکار"),"",$Q257)</f>
        <v/>
      </c>
      <c r="AF257" s="76">
        <f>IF(OR($AD257="",$Q257="",$Q257=0,$AN257&lt;&gt;"بدهکار"),"",$Q257)</f>
        <v/>
      </c>
      <c r="AG257" s="76">
        <f>SUM($V257,$Y257,$AB257,$AE257)</f>
        <v/>
      </c>
      <c r="AH257" s="76">
        <f>SUM($W257,$Z257,$AC257,$AF257)</f>
        <v/>
      </c>
      <c r="AI257" s="70">
        <f>IF($E257="","",IF(ROUND($AG257-$AH257,0)=0,"✓","⚠"))</f>
        <v/>
      </c>
      <c r="AJ257" s="76">
        <f>IF(OR($E257="",$U257=""),"",IFERROR(IF(VLOOKUP($E257,OpTbl,6,0)="وزن",IF($P257="",0,$P257),IF(VLOOKUP($E257,OpTbl,6,0)="مبلغ",IF(AND($Q257&lt;&gt;"",$Q257&lt;&gt;0),$Q257,$P257),0))+IF(VLOOKUP($E257,OpTbl,10,0)="افزودن",IF($Q257="",0,$Q257),0),0))</f>
        <v/>
      </c>
      <c r="AK257" s="70">
        <f>IF($E257="","",IFERROR(VLOOKUP($E257,OpTbl,10,0),""))</f>
        <v/>
      </c>
      <c r="AL257" s="70">
        <f>IF(OR($E257="",$U257=""),"",IFERROR(IF(VLOOKUP($E257,OpTbl,7,0)="خودکار",$R257,VLOOKUP($E257,OpTbl,7,0)),""))</f>
        <v/>
      </c>
      <c r="AM257" s="70">
        <f>IF(OR($E257="",$X257=""),"",IFERROR(IF(VLOOKUP($E257,OpTbl,9,0)="خودکار",IF($AL257="بدهکار","بستانکار",IF($AL257="بستانکار","بدهکار","")),VLOOKUP($E257,OpTbl,9,0)),""))</f>
        <v/>
      </c>
      <c r="AN257" s="70">
        <f>IF($E257="","",IFERROR(VLOOKUP($E257,OpTbl,11,0),""))</f>
        <v/>
      </c>
      <c r="AO257" s="70">
        <f>IF($B257="","",MID($B257,6,2))</f>
        <v/>
      </c>
      <c r="AP257" s="76">
        <f>IF($B257="",0,1)</f>
        <v/>
      </c>
    </row>
    <row r="258" ht="21.75" customHeight="1">
      <c r="A258" s="70">
        <f>IF($B258="","",COUNTA($B$10:$B258))</f>
        <v/>
      </c>
      <c r="B258" s="71" t="n"/>
      <c r="C258" s="71" t="n"/>
      <c r="D258" s="71" t="n"/>
      <c r="E258" s="71" t="n"/>
      <c r="F258" s="70">
        <f>IF($E258="","",IFERROR(VLOOKUP($E258,OpTbl,2,0),""))</f>
        <v/>
      </c>
      <c r="G258" s="71" t="n"/>
      <c r="H258" s="73">
        <f>IF($U258="","",IFERROR(VLOOKUP($U258,AcctTbl,2,0),"کد ناشناخته"))</f>
        <v/>
      </c>
      <c r="I258" s="70">
        <f>IF($U258="","",IFERROR(VLOOKUP($U258,AcctTbl,3,0),""))</f>
        <v/>
      </c>
      <c r="J258" s="72" t="n"/>
      <c r="K258" s="71" t="n"/>
      <c r="L258" s="74" t="n"/>
      <c r="M258" s="74" t="n"/>
      <c r="N258" s="148">
        <f>IF(OR($E258="",$L258=""),"",IFERROR(($L258-IF($M258="",0,$M258)*IFERROR(VLOOKUP($K258,BasketTbl,4,0),IFERROR(INDEX(BasketTbl,MATCH($K258,BasketCodeCol,0),4),VLOOKUP("P01",ParamTbl,2,0))))*(1-IF(VLOOKUP($E258,OpTbl,3,0)="خرید",VLOOKUP("P02",ParamTbl,2,0),0)/100),""))</f>
        <v/>
      </c>
      <c r="O258" s="74" t="n"/>
      <c r="P258" s="76">
        <f>IF(OR($E258="",$L258=""),"",IFERROR(IF(VLOOKUP($E258,OpTbl,6,0)="وزن",ROUND($N258*$O258,-3),IF(VLOOKUP($E258,OpTbl,6,0)="مبلغ",ROUND($L258*$O258,-3),0)),""))</f>
        <v/>
      </c>
      <c r="Q258" s="74" t="n"/>
      <c r="R258" s="71" t="n"/>
      <c r="S258" s="77">
        <f>IF($E258="","",IF($AI258="⚠","⚠ ناتراز",IF(AND(IFERROR(VLOOKUP($E258,OpTbl,4,0),"")="بله",$L258=""),"⚠ وزن",IF(AND(IFERROR(VLOOKUP($E258,OpTbl,5,0),"")="بله",$U258=""),"⚠ حساب",IF(AND(IFERROR(VLOOKUP($E258,OpTbl,6,0),"")="مبلغ",$Q258=""),"⚠ مبلغ","✓")))))</f>
        <v/>
      </c>
      <c r="T258" s="72" t="n"/>
      <c r="U258" s="70">
        <f>IF($E258="","",IFERROR(IF(VLOOKUP($E258,OpTbl,14,0)&lt;&gt;"",VLOOKUP($E258,OpTbl,14,0),$G258),""))</f>
        <v/>
      </c>
      <c r="V258" s="76">
        <f>IF(OR($AJ258="",$AJ258=0,$AL258&lt;&gt;"بدهکار"),"",$AJ258)</f>
        <v/>
      </c>
      <c r="W258" s="76">
        <f>IF(OR($AJ258="",$AJ258=0,$AL258&lt;&gt;"بستانکار"),"",$AJ258)</f>
        <v/>
      </c>
      <c r="X258" s="70">
        <f>IF($E258="","",IFERROR(VLOOKUP($E258,OpTbl,8,0),""))</f>
        <v/>
      </c>
      <c r="Y258" s="76">
        <f>IF(OR($X258="",$AJ258="",$AJ258=0,$AM258&lt;&gt;"بدهکار"),"",$AJ258)</f>
        <v/>
      </c>
      <c r="Z258" s="76">
        <f>IF(OR($X258="",$AJ258="",$AJ258=0,$AM258&lt;&gt;"بستانکار"),"",$AJ258)</f>
        <v/>
      </c>
      <c r="AA258" s="70">
        <f>IF(OR($E258="",$AN258="—",$AN258=""),"",IFERROR(VLOOKUP($E258,OpTbl,12,0),""))</f>
        <v/>
      </c>
      <c r="AB258" s="76">
        <f>IF(OR($AA258="",$Q258="",$Q258=0,$AN258&lt;&gt;"بدهکار"),"",$Q258)</f>
        <v/>
      </c>
      <c r="AC258" s="76">
        <f>IF(OR($AA258="",$Q258="",$Q258=0,$AN258&lt;&gt;"بستانکار"),"",$Q258)</f>
        <v/>
      </c>
      <c r="AD258" s="70">
        <f>IF($AA258="","",IFERROR(VLOOKUP($E258,OpTbl,13,0),""))</f>
        <v/>
      </c>
      <c r="AE258" s="76">
        <f>IF(OR($AD258="",$Q258="",$Q258=0,$AN258&lt;&gt;"بستانکار"),"",$Q258)</f>
        <v/>
      </c>
      <c r="AF258" s="76">
        <f>IF(OR($AD258="",$Q258="",$Q258=0,$AN258&lt;&gt;"بدهکار"),"",$Q258)</f>
        <v/>
      </c>
      <c r="AG258" s="76">
        <f>SUM($V258,$Y258,$AB258,$AE258)</f>
        <v/>
      </c>
      <c r="AH258" s="76">
        <f>SUM($W258,$Z258,$AC258,$AF258)</f>
        <v/>
      </c>
      <c r="AI258" s="70">
        <f>IF($E258="","",IF(ROUND($AG258-$AH258,0)=0,"✓","⚠"))</f>
        <v/>
      </c>
      <c r="AJ258" s="76">
        <f>IF(OR($E258="",$U258=""),"",IFERROR(IF(VLOOKUP($E258,OpTbl,6,0)="وزن",IF($P258="",0,$P258),IF(VLOOKUP($E258,OpTbl,6,0)="مبلغ",IF(AND($Q258&lt;&gt;"",$Q258&lt;&gt;0),$Q258,$P258),0))+IF(VLOOKUP($E258,OpTbl,10,0)="افزودن",IF($Q258="",0,$Q258),0),0))</f>
        <v/>
      </c>
      <c r="AK258" s="70">
        <f>IF($E258="","",IFERROR(VLOOKUP($E258,OpTbl,10,0),""))</f>
        <v/>
      </c>
      <c r="AL258" s="70">
        <f>IF(OR($E258="",$U258=""),"",IFERROR(IF(VLOOKUP($E258,OpTbl,7,0)="خودکار",$R258,VLOOKUP($E258,OpTbl,7,0)),""))</f>
        <v/>
      </c>
      <c r="AM258" s="70">
        <f>IF(OR($E258="",$X258=""),"",IFERROR(IF(VLOOKUP($E258,OpTbl,9,0)="خودکار",IF($AL258="بدهکار","بستانکار",IF($AL258="بستانکار","بدهکار","")),VLOOKUP($E258,OpTbl,9,0)),""))</f>
        <v/>
      </c>
      <c r="AN258" s="70">
        <f>IF($E258="","",IFERROR(VLOOKUP($E258,OpTbl,11,0),""))</f>
        <v/>
      </c>
      <c r="AO258" s="70">
        <f>IF($B258="","",MID($B258,6,2))</f>
        <v/>
      </c>
      <c r="AP258" s="76">
        <f>IF($B258="",0,1)</f>
        <v/>
      </c>
    </row>
    <row r="259" ht="21.75" customHeight="1">
      <c r="A259" s="70">
        <f>IF($B259="","",COUNTA($B$10:$B259))</f>
        <v/>
      </c>
      <c r="B259" s="71" t="n"/>
      <c r="C259" s="71" t="n"/>
      <c r="D259" s="71" t="n"/>
      <c r="E259" s="71" t="n"/>
      <c r="F259" s="70">
        <f>IF($E259="","",IFERROR(VLOOKUP($E259,OpTbl,2,0),""))</f>
        <v/>
      </c>
      <c r="G259" s="71" t="n"/>
      <c r="H259" s="73">
        <f>IF($U259="","",IFERROR(VLOOKUP($U259,AcctTbl,2,0),"کد ناشناخته"))</f>
        <v/>
      </c>
      <c r="I259" s="70">
        <f>IF($U259="","",IFERROR(VLOOKUP($U259,AcctTbl,3,0),""))</f>
        <v/>
      </c>
      <c r="J259" s="72" t="n"/>
      <c r="K259" s="71" t="n"/>
      <c r="L259" s="74" t="n"/>
      <c r="M259" s="74" t="n"/>
      <c r="N259" s="148">
        <f>IF(OR($E259="",$L259=""),"",IFERROR(($L259-IF($M259="",0,$M259)*IFERROR(VLOOKUP($K259,BasketTbl,4,0),IFERROR(INDEX(BasketTbl,MATCH($K259,BasketCodeCol,0),4),VLOOKUP("P01",ParamTbl,2,0))))*(1-IF(VLOOKUP($E259,OpTbl,3,0)="خرید",VLOOKUP("P02",ParamTbl,2,0),0)/100),""))</f>
        <v/>
      </c>
      <c r="O259" s="74" t="n"/>
      <c r="P259" s="76">
        <f>IF(OR($E259="",$L259=""),"",IFERROR(IF(VLOOKUP($E259,OpTbl,6,0)="وزن",ROUND($N259*$O259,-3),IF(VLOOKUP($E259,OpTbl,6,0)="مبلغ",ROUND($L259*$O259,-3),0)),""))</f>
        <v/>
      </c>
      <c r="Q259" s="74" t="n"/>
      <c r="R259" s="71" t="n"/>
      <c r="S259" s="77">
        <f>IF($E259="","",IF($AI259="⚠","⚠ ناتراز",IF(AND(IFERROR(VLOOKUP($E259,OpTbl,4,0),"")="بله",$L259=""),"⚠ وزن",IF(AND(IFERROR(VLOOKUP($E259,OpTbl,5,0),"")="بله",$U259=""),"⚠ حساب",IF(AND(IFERROR(VLOOKUP($E259,OpTbl,6,0),"")="مبلغ",$Q259=""),"⚠ مبلغ","✓")))))</f>
        <v/>
      </c>
      <c r="T259" s="72" t="n"/>
      <c r="U259" s="70">
        <f>IF($E259="","",IFERROR(IF(VLOOKUP($E259,OpTbl,14,0)&lt;&gt;"",VLOOKUP($E259,OpTbl,14,0),$G259),""))</f>
        <v/>
      </c>
      <c r="V259" s="76">
        <f>IF(OR($AJ259="",$AJ259=0,$AL259&lt;&gt;"بدهکار"),"",$AJ259)</f>
        <v/>
      </c>
      <c r="W259" s="76">
        <f>IF(OR($AJ259="",$AJ259=0,$AL259&lt;&gt;"بستانکار"),"",$AJ259)</f>
        <v/>
      </c>
      <c r="X259" s="70">
        <f>IF($E259="","",IFERROR(VLOOKUP($E259,OpTbl,8,0),""))</f>
        <v/>
      </c>
      <c r="Y259" s="76">
        <f>IF(OR($X259="",$AJ259="",$AJ259=0,$AM259&lt;&gt;"بدهکار"),"",$AJ259)</f>
        <v/>
      </c>
      <c r="Z259" s="76">
        <f>IF(OR($X259="",$AJ259="",$AJ259=0,$AM259&lt;&gt;"بستانکار"),"",$AJ259)</f>
        <v/>
      </c>
      <c r="AA259" s="70">
        <f>IF(OR($E259="",$AN259="—",$AN259=""),"",IFERROR(VLOOKUP($E259,OpTbl,12,0),""))</f>
        <v/>
      </c>
      <c r="AB259" s="76">
        <f>IF(OR($AA259="",$Q259="",$Q259=0,$AN259&lt;&gt;"بدهکار"),"",$Q259)</f>
        <v/>
      </c>
      <c r="AC259" s="76">
        <f>IF(OR($AA259="",$Q259="",$Q259=0,$AN259&lt;&gt;"بستانکار"),"",$Q259)</f>
        <v/>
      </c>
      <c r="AD259" s="70">
        <f>IF($AA259="","",IFERROR(VLOOKUP($E259,OpTbl,13,0),""))</f>
        <v/>
      </c>
      <c r="AE259" s="76">
        <f>IF(OR($AD259="",$Q259="",$Q259=0,$AN259&lt;&gt;"بستانکار"),"",$Q259)</f>
        <v/>
      </c>
      <c r="AF259" s="76">
        <f>IF(OR($AD259="",$Q259="",$Q259=0,$AN259&lt;&gt;"بدهکار"),"",$Q259)</f>
        <v/>
      </c>
      <c r="AG259" s="76">
        <f>SUM($V259,$Y259,$AB259,$AE259)</f>
        <v/>
      </c>
      <c r="AH259" s="76">
        <f>SUM($W259,$Z259,$AC259,$AF259)</f>
        <v/>
      </c>
      <c r="AI259" s="70">
        <f>IF($E259="","",IF(ROUND($AG259-$AH259,0)=0,"✓","⚠"))</f>
        <v/>
      </c>
      <c r="AJ259" s="76">
        <f>IF(OR($E259="",$U259=""),"",IFERROR(IF(VLOOKUP($E259,OpTbl,6,0)="وزن",IF($P259="",0,$P259),IF(VLOOKUP($E259,OpTbl,6,0)="مبلغ",IF(AND($Q259&lt;&gt;"",$Q259&lt;&gt;0),$Q259,$P259),0))+IF(VLOOKUP($E259,OpTbl,10,0)="افزودن",IF($Q259="",0,$Q259),0),0))</f>
        <v/>
      </c>
      <c r="AK259" s="70">
        <f>IF($E259="","",IFERROR(VLOOKUP($E259,OpTbl,10,0),""))</f>
        <v/>
      </c>
      <c r="AL259" s="70">
        <f>IF(OR($E259="",$U259=""),"",IFERROR(IF(VLOOKUP($E259,OpTbl,7,0)="خودکار",$R259,VLOOKUP($E259,OpTbl,7,0)),""))</f>
        <v/>
      </c>
      <c r="AM259" s="70">
        <f>IF(OR($E259="",$X259=""),"",IFERROR(IF(VLOOKUP($E259,OpTbl,9,0)="خودکار",IF($AL259="بدهکار","بستانکار",IF($AL259="بستانکار","بدهکار","")),VLOOKUP($E259,OpTbl,9,0)),""))</f>
        <v/>
      </c>
      <c r="AN259" s="70">
        <f>IF($E259="","",IFERROR(VLOOKUP($E259,OpTbl,11,0),""))</f>
        <v/>
      </c>
      <c r="AO259" s="70">
        <f>IF($B259="","",MID($B259,6,2))</f>
        <v/>
      </c>
      <c r="AP259" s="76">
        <f>IF($B259="",0,1)</f>
        <v/>
      </c>
    </row>
    <row r="260" ht="21.75" customHeight="1">
      <c r="A260" s="70">
        <f>IF($B260="","",COUNTA($B$10:$B260))</f>
        <v/>
      </c>
      <c r="B260" s="71" t="n"/>
      <c r="C260" s="71" t="n"/>
      <c r="D260" s="71" t="n"/>
      <c r="E260" s="71" t="n"/>
      <c r="F260" s="70">
        <f>IF($E260="","",IFERROR(VLOOKUP($E260,OpTbl,2,0),""))</f>
        <v/>
      </c>
      <c r="G260" s="71" t="n"/>
      <c r="H260" s="73">
        <f>IF($U260="","",IFERROR(VLOOKUP($U260,AcctTbl,2,0),"کد ناشناخته"))</f>
        <v/>
      </c>
      <c r="I260" s="70">
        <f>IF($U260="","",IFERROR(VLOOKUP($U260,AcctTbl,3,0),""))</f>
        <v/>
      </c>
      <c r="J260" s="72" t="n"/>
      <c r="K260" s="71" t="n"/>
      <c r="L260" s="74" t="n"/>
      <c r="M260" s="74" t="n"/>
      <c r="N260" s="148">
        <f>IF(OR($E260="",$L260=""),"",IFERROR(($L260-IF($M260="",0,$M260)*IFERROR(VLOOKUP($K260,BasketTbl,4,0),IFERROR(INDEX(BasketTbl,MATCH($K260,BasketCodeCol,0),4),VLOOKUP("P01",ParamTbl,2,0))))*(1-IF(VLOOKUP($E260,OpTbl,3,0)="خرید",VLOOKUP("P02",ParamTbl,2,0),0)/100),""))</f>
        <v/>
      </c>
      <c r="O260" s="74" t="n"/>
      <c r="P260" s="76">
        <f>IF(OR($E260="",$L260=""),"",IFERROR(IF(VLOOKUP($E260,OpTbl,6,0)="وزن",ROUND($N260*$O260,-3),IF(VLOOKUP($E260,OpTbl,6,0)="مبلغ",ROUND($L260*$O260,-3),0)),""))</f>
        <v/>
      </c>
      <c r="Q260" s="74" t="n"/>
      <c r="R260" s="71" t="n"/>
      <c r="S260" s="77">
        <f>IF($E260="","",IF($AI260="⚠","⚠ ناتراز",IF(AND(IFERROR(VLOOKUP($E260,OpTbl,4,0),"")="بله",$L260=""),"⚠ وزن",IF(AND(IFERROR(VLOOKUP($E260,OpTbl,5,0),"")="بله",$U260=""),"⚠ حساب",IF(AND(IFERROR(VLOOKUP($E260,OpTbl,6,0),"")="مبلغ",$Q260=""),"⚠ مبلغ","✓")))))</f>
        <v/>
      </c>
      <c r="T260" s="72" t="n"/>
      <c r="U260" s="70">
        <f>IF($E260="","",IFERROR(IF(VLOOKUP($E260,OpTbl,14,0)&lt;&gt;"",VLOOKUP($E260,OpTbl,14,0),$G260),""))</f>
        <v/>
      </c>
      <c r="V260" s="76">
        <f>IF(OR($AJ260="",$AJ260=0,$AL260&lt;&gt;"بدهکار"),"",$AJ260)</f>
        <v/>
      </c>
      <c r="W260" s="76">
        <f>IF(OR($AJ260="",$AJ260=0,$AL260&lt;&gt;"بستانکار"),"",$AJ260)</f>
        <v/>
      </c>
      <c r="X260" s="70">
        <f>IF($E260="","",IFERROR(VLOOKUP($E260,OpTbl,8,0),""))</f>
        <v/>
      </c>
      <c r="Y260" s="76">
        <f>IF(OR($X260="",$AJ260="",$AJ260=0,$AM260&lt;&gt;"بدهکار"),"",$AJ260)</f>
        <v/>
      </c>
      <c r="Z260" s="76">
        <f>IF(OR($X260="",$AJ260="",$AJ260=0,$AM260&lt;&gt;"بستانکار"),"",$AJ260)</f>
        <v/>
      </c>
      <c r="AA260" s="70">
        <f>IF(OR($E260="",$AN260="—",$AN260=""),"",IFERROR(VLOOKUP($E260,OpTbl,12,0),""))</f>
        <v/>
      </c>
      <c r="AB260" s="76">
        <f>IF(OR($AA260="",$Q260="",$Q260=0,$AN260&lt;&gt;"بدهکار"),"",$Q260)</f>
        <v/>
      </c>
      <c r="AC260" s="76">
        <f>IF(OR($AA260="",$Q260="",$Q260=0,$AN260&lt;&gt;"بستانکار"),"",$Q260)</f>
        <v/>
      </c>
      <c r="AD260" s="70">
        <f>IF($AA260="","",IFERROR(VLOOKUP($E260,OpTbl,13,0),""))</f>
        <v/>
      </c>
      <c r="AE260" s="76">
        <f>IF(OR($AD260="",$Q260="",$Q260=0,$AN260&lt;&gt;"بستانکار"),"",$Q260)</f>
        <v/>
      </c>
      <c r="AF260" s="76">
        <f>IF(OR($AD260="",$Q260="",$Q260=0,$AN260&lt;&gt;"بدهکار"),"",$Q260)</f>
        <v/>
      </c>
      <c r="AG260" s="76">
        <f>SUM($V260,$Y260,$AB260,$AE260)</f>
        <v/>
      </c>
      <c r="AH260" s="76">
        <f>SUM($W260,$Z260,$AC260,$AF260)</f>
        <v/>
      </c>
      <c r="AI260" s="70">
        <f>IF($E260="","",IF(ROUND($AG260-$AH260,0)=0,"✓","⚠"))</f>
        <v/>
      </c>
      <c r="AJ260" s="76">
        <f>IF(OR($E260="",$U260=""),"",IFERROR(IF(VLOOKUP($E260,OpTbl,6,0)="وزن",IF($P260="",0,$P260),IF(VLOOKUP($E260,OpTbl,6,0)="مبلغ",IF(AND($Q260&lt;&gt;"",$Q260&lt;&gt;0),$Q260,$P260),0))+IF(VLOOKUP($E260,OpTbl,10,0)="افزودن",IF($Q260="",0,$Q260),0),0))</f>
        <v/>
      </c>
      <c r="AK260" s="70">
        <f>IF($E260="","",IFERROR(VLOOKUP($E260,OpTbl,10,0),""))</f>
        <v/>
      </c>
      <c r="AL260" s="70">
        <f>IF(OR($E260="",$U260=""),"",IFERROR(IF(VLOOKUP($E260,OpTbl,7,0)="خودکار",$R260,VLOOKUP($E260,OpTbl,7,0)),""))</f>
        <v/>
      </c>
      <c r="AM260" s="70">
        <f>IF(OR($E260="",$X260=""),"",IFERROR(IF(VLOOKUP($E260,OpTbl,9,0)="خودکار",IF($AL260="بدهکار","بستانکار",IF($AL260="بستانکار","بدهکار","")),VLOOKUP($E260,OpTbl,9,0)),""))</f>
        <v/>
      </c>
      <c r="AN260" s="70">
        <f>IF($E260="","",IFERROR(VLOOKUP($E260,OpTbl,11,0),""))</f>
        <v/>
      </c>
      <c r="AO260" s="70">
        <f>IF($B260="","",MID($B260,6,2))</f>
        <v/>
      </c>
      <c r="AP260" s="76">
        <f>IF($B260="",0,1)</f>
        <v/>
      </c>
    </row>
    <row r="261" ht="21.75" customHeight="1">
      <c r="A261" s="70">
        <f>IF($B261="","",COUNTA($B$10:$B261))</f>
        <v/>
      </c>
      <c r="B261" s="71" t="n"/>
      <c r="C261" s="71" t="n"/>
      <c r="D261" s="71" t="n"/>
      <c r="E261" s="71" t="n"/>
      <c r="F261" s="70">
        <f>IF($E261="","",IFERROR(VLOOKUP($E261,OpTbl,2,0),""))</f>
        <v/>
      </c>
      <c r="G261" s="71" t="n"/>
      <c r="H261" s="73">
        <f>IF($U261="","",IFERROR(VLOOKUP($U261,AcctTbl,2,0),"کد ناشناخته"))</f>
        <v/>
      </c>
      <c r="I261" s="70">
        <f>IF($U261="","",IFERROR(VLOOKUP($U261,AcctTbl,3,0),""))</f>
        <v/>
      </c>
      <c r="J261" s="72" t="n"/>
      <c r="K261" s="71" t="n"/>
      <c r="L261" s="74" t="n"/>
      <c r="M261" s="74" t="n"/>
      <c r="N261" s="148">
        <f>IF(OR($E261="",$L261=""),"",IFERROR(($L261-IF($M261="",0,$M261)*IFERROR(VLOOKUP($K261,BasketTbl,4,0),IFERROR(INDEX(BasketTbl,MATCH($K261,BasketCodeCol,0),4),VLOOKUP("P01",ParamTbl,2,0))))*(1-IF(VLOOKUP($E261,OpTbl,3,0)="خرید",VLOOKUP("P02",ParamTbl,2,0),0)/100),""))</f>
        <v/>
      </c>
      <c r="O261" s="74" t="n"/>
      <c r="P261" s="76">
        <f>IF(OR($E261="",$L261=""),"",IFERROR(IF(VLOOKUP($E261,OpTbl,6,0)="وزن",ROUND($N261*$O261,-3),IF(VLOOKUP($E261,OpTbl,6,0)="مبلغ",ROUND($L261*$O261,-3),0)),""))</f>
        <v/>
      </c>
      <c r="Q261" s="74" t="n"/>
      <c r="R261" s="71" t="n"/>
      <c r="S261" s="77">
        <f>IF($E261="","",IF($AI261="⚠","⚠ ناتراز",IF(AND(IFERROR(VLOOKUP($E261,OpTbl,4,0),"")="بله",$L261=""),"⚠ وزن",IF(AND(IFERROR(VLOOKUP($E261,OpTbl,5,0),"")="بله",$U261=""),"⚠ حساب",IF(AND(IFERROR(VLOOKUP($E261,OpTbl,6,0),"")="مبلغ",$Q261=""),"⚠ مبلغ","✓")))))</f>
        <v/>
      </c>
      <c r="T261" s="72" t="n"/>
      <c r="U261" s="70">
        <f>IF($E261="","",IFERROR(IF(VLOOKUP($E261,OpTbl,14,0)&lt;&gt;"",VLOOKUP($E261,OpTbl,14,0),$G261),""))</f>
        <v/>
      </c>
      <c r="V261" s="76">
        <f>IF(OR($AJ261="",$AJ261=0,$AL261&lt;&gt;"بدهکار"),"",$AJ261)</f>
        <v/>
      </c>
      <c r="W261" s="76">
        <f>IF(OR($AJ261="",$AJ261=0,$AL261&lt;&gt;"بستانکار"),"",$AJ261)</f>
        <v/>
      </c>
      <c r="X261" s="70">
        <f>IF($E261="","",IFERROR(VLOOKUP($E261,OpTbl,8,0),""))</f>
        <v/>
      </c>
      <c r="Y261" s="76">
        <f>IF(OR($X261="",$AJ261="",$AJ261=0,$AM261&lt;&gt;"بدهکار"),"",$AJ261)</f>
        <v/>
      </c>
      <c r="Z261" s="76">
        <f>IF(OR($X261="",$AJ261="",$AJ261=0,$AM261&lt;&gt;"بستانکار"),"",$AJ261)</f>
        <v/>
      </c>
      <c r="AA261" s="70">
        <f>IF(OR($E261="",$AN261="—",$AN261=""),"",IFERROR(VLOOKUP($E261,OpTbl,12,0),""))</f>
        <v/>
      </c>
      <c r="AB261" s="76">
        <f>IF(OR($AA261="",$Q261="",$Q261=0,$AN261&lt;&gt;"بدهکار"),"",$Q261)</f>
        <v/>
      </c>
      <c r="AC261" s="76">
        <f>IF(OR($AA261="",$Q261="",$Q261=0,$AN261&lt;&gt;"بستانکار"),"",$Q261)</f>
        <v/>
      </c>
      <c r="AD261" s="70">
        <f>IF($AA261="","",IFERROR(VLOOKUP($E261,OpTbl,13,0),""))</f>
        <v/>
      </c>
      <c r="AE261" s="76">
        <f>IF(OR($AD261="",$Q261="",$Q261=0,$AN261&lt;&gt;"بستانکار"),"",$Q261)</f>
        <v/>
      </c>
      <c r="AF261" s="76">
        <f>IF(OR($AD261="",$Q261="",$Q261=0,$AN261&lt;&gt;"بدهکار"),"",$Q261)</f>
        <v/>
      </c>
      <c r="AG261" s="76">
        <f>SUM($V261,$Y261,$AB261,$AE261)</f>
        <v/>
      </c>
      <c r="AH261" s="76">
        <f>SUM($W261,$Z261,$AC261,$AF261)</f>
        <v/>
      </c>
      <c r="AI261" s="70">
        <f>IF($E261="","",IF(ROUND($AG261-$AH261,0)=0,"✓","⚠"))</f>
        <v/>
      </c>
      <c r="AJ261" s="76">
        <f>IF(OR($E261="",$U261=""),"",IFERROR(IF(VLOOKUP($E261,OpTbl,6,0)="وزن",IF($P261="",0,$P261),IF(VLOOKUP($E261,OpTbl,6,0)="مبلغ",IF(AND($Q261&lt;&gt;"",$Q261&lt;&gt;0),$Q261,$P261),0))+IF(VLOOKUP($E261,OpTbl,10,0)="افزودن",IF($Q261="",0,$Q261),0),0))</f>
        <v/>
      </c>
      <c r="AK261" s="70">
        <f>IF($E261="","",IFERROR(VLOOKUP($E261,OpTbl,10,0),""))</f>
        <v/>
      </c>
      <c r="AL261" s="70">
        <f>IF(OR($E261="",$U261=""),"",IFERROR(IF(VLOOKUP($E261,OpTbl,7,0)="خودکار",$R261,VLOOKUP($E261,OpTbl,7,0)),""))</f>
        <v/>
      </c>
      <c r="AM261" s="70">
        <f>IF(OR($E261="",$X261=""),"",IFERROR(IF(VLOOKUP($E261,OpTbl,9,0)="خودکار",IF($AL261="بدهکار","بستانکار",IF($AL261="بستانکار","بدهکار","")),VLOOKUP($E261,OpTbl,9,0)),""))</f>
        <v/>
      </c>
      <c r="AN261" s="70">
        <f>IF($E261="","",IFERROR(VLOOKUP($E261,OpTbl,11,0),""))</f>
        <v/>
      </c>
      <c r="AO261" s="70">
        <f>IF($B261="","",MID($B261,6,2))</f>
        <v/>
      </c>
      <c r="AP261" s="76">
        <f>IF($B261="",0,1)</f>
        <v/>
      </c>
    </row>
    <row r="262" ht="21.75" customHeight="1">
      <c r="A262" s="70">
        <f>IF($B262="","",COUNTA($B$10:$B262))</f>
        <v/>
      </c>
      <c r="B262" s="71" t="n"/>
      <c r="C262" s="71" t="n"/>
      <c r="D262" s="71" t="n"/>
      <c r="E262" s="71" t="n"/>
      <c r="F262" s="70">
        <f>IF($E262="","",IFERROR(VLOOKUP($E262,OpTbl,2,0),""))</f>
        <v/>
      </c>
      <c r="G262" s="71" t="n"/>
      <c r="H262" s="73">
        <f>IF($U262="","",IFERROR(VLOOKUP($U262,AcctTbl,2,0),"کد ناشناخته"))</f>
        <v/>
      </c>
      <c r="I262" s="70">
        <f>IF($U262="","",IFERROR(VLOOKUP($U262,AcctTbl,3,0),""))</f>
        <v/>
      </c>
      <c r="J262" s="72" t="n"/>
      <c r="K262" s="71" t="n"/>
      <c r="L262" s="74" t="n"/>
      <c r="M262" s="74" t="n"/>
      <c r="N262" s="148">
        <f>IF(OR($E262="",$L262=""),"",IFERROR(($L262-IF($M262="",0,$M262)*IFERROR(VLOOKUP($K262,BasketTbl,4,0),IFERROR(INDEX(BasketTbl,MATCH($K262,BasketCodeCol,0),4),VLOOKUP("P01",ParamTbl,2,0))))*(1-IF(VLOOKUP($E262,OpTbl,3,0)="خرید",VLOOKUP("P02",ParamTbl,2,0),0)/100),""))</f>
        <v/>
      </c>
      <c r="O262" s="74" t="n"/>
      <c r="P262" s="76">
        <f>IF(OR($E262="",$L262=""),"",IFERROR(IF(VLOOKUP($E262,OpTbl,6,0)="وزن",ROUND($N262*$O262,-3),IF(VLOOKUP($E262,OpTbl,6,0)="مبلغ",ROUND($L262*$O262,-3),0)),""))</f>
        <v/>
      </c>
      <c r="Q262" s="74" t="n"/>
      <c r="R262" s="71" t="n"/>
      <c r="S262" s="77">
        <f>IF($E262="","",IF($AI262="⚠","⚠ ناتراز",IF(AND(IFERROR(VLOOKUP($E262,OpTbl,4,0),"")="بله",$L262=""),"⚠ وزن",IF(AND(IFERROR(VLOOKUP($E262,OpTbl,5,0),"")="بله",$U262=""),"⚠ حساب",IF(AND(IFERROR(VLOOKUP($E262,OpTbl,6,0),"")="مبلغ",$Q262=""),"⚠ مبلغ","✓")))))</f>
        <v/>
      </c>
      <c r="T262" s="72" t="n"/>
      <c r="U262" s="70">
        <f>IF($E262="","",IFERROR(IF(VLOOKUP($E262,OpTbl,14,0)&lt;&gt;"",VLOOKUP($E262,OpTbl,14,0),$G262),""))</f>
        <v/>
      </c>
      <c r="V262" s="76">
        <f>IF(OR($AJ262="",$AJ262=0,$AL262&lt;&gt;"بدهکار"),"",$AJ262)</f>
        <v/>
      </c>
      <c r="W262" s="76">
        <f>IF(OR($AJ262="",$AJ262=0,$AL262&lt;&gt;"بستانکار"),"",$AJ262)</f>
        <v/>
      </c>
      <c r="X262" s="70">
        <f>IF($E262="","",IFERROR(VLOOKUP($E262,OpTbl,8,0),""))</f>
        <v/>
      </c>
      <c r="Y262" s="76">
        <f>IF(OR($X262="",$AJ262="",$AJ262=0,$AM262&lt;&gt;"بدهکار"),"",$AJ262)</f>
        <v/>
      </c>
      <c r="Z262" s="76">
        <f>IF(OR($X262="",$AJ262="",$AJ262=0,$AM262&lt;&gt;"بستانکار"),"",$AJ262)</f>
        <v/>
      </c>
      <c r="AA262" s="70">
        <f>IF(OR($E262="",$AN262="—",$AN262=""),"",IFERROR(VLOOKUP($E262,OpTbl,12,0),""))</f>
        <v/>
      </c>
      <c r="AB262" s="76">
        <f>IF(OR($AA262="",$Q262="",$Q262=0,$AN262&lt;&gt;"بدهکار"),"",$Q262)</f>
        <v/>
      </c>
      <c r="AC262" s="76">
        <f>IF(OR($AA262="",$Q262="",$Q262=0,$AN262&lt;&gt;"بستانکار"),"",$Q262)</f>
        <v/>
      </c>
      <c r="AD262" s="70">
        <f>IF($AA262="","",IFERROR(VLOOKUP($E262,OpTbl,13,0),""))</f>
        <v/>
      </c>
      <c r="AE262" s="76">
        <f>IF(OR($AD262="",$Q262="",$Q262=0,$AN262&lt;&gt;"بستانکار"),"",$Q262)</f>
        <v/>
      </c>
      <c r="AF262" s="76">
        <f>IF(OR($AD262="",$Q262="",$Q262=0,$AN262&lt;&gt;"بدهکار"),"",$Q262)</f>
        <v/>
      </c>
      <c r="AG262" s="76">
        <f>SUM($V262,$Y262,$AB262,$AE262)</f>
        <v/>
      </c>
      <c r="AH262" s="76">
        <f>SUM($W262,$Z262,$AC262,$AF262)</f>
        <v/>
      </c>
      <c r="AI262" s="70">
        <f>IF($E262="","",IF(ROUND($AG262-$AH262,0)=0,"✓","⚠"))</f>
        <v/>
      </c>
      <c r="AJ262" s="76">
        <f>IF(OR($E262="",$U262=""),"",IFERROR(IF(VLOOKUP($E262,OpTbl,6,0)="وزن",IF($P262="",0,$P262),IF(VLOOKUP($E262,OpTbl,6,0)="مبلغ",IF(AND($Q262&lt;&gt;"",$Q262&lt;&gt;0),$Q262,$P262),0))+IF(VLOOKUP($E262,OpTbl,10,0)="افزودن",IF($Q262="",0,$Q262),0),0))</f>
        <v/>
      </c>
      <c r="AK262" s="70">
        <f>IF($E262="","",IFERROR(VLOOKUP($E262,OpTbl,10,0),""))</f>
        <v/>
      </c>
      <c r="AL262" s="70">
        <f>IF(OR($E262="",$U262=""),"",IFERROR(IF(VLOOKUP($E262,OpTbl,7,0)="خودکار",$R262,VLOOKUP($E262,OpTbl,7,0)),""))</f>
        <v/>
      </c>
      <c r="AM262" s="70">
        <f>IF(OR($E262="",$X262=""),"",IFERROR(IF(VLOOKUP($E262,OpTbl,9,0)="خودکار",IF($AL262="بدهکار","بستانکار",IF($AL262="بستانکار","بدهکار","")),VLOOKUP($E262,OpTbl,9,0)),""))</f>
        <v/>
      </c>
      <c r="AN262" s="70">
        <f>IF($E262="","",IFERROR(VLOOKUP($E262,OpTbl,11,0),""))</f>
        <v/>
      </c>
      <c r="AO262" s="70">
        <f>IF($B262="","",MID($B262,6,2))</f>
        <v/>
      </c>
      <c r="AP262" s="76">
        <f>IF($B262="",0,1)</f>
        <v/>
      </c>
    </row>
    <row r="263" ht="21.75" customHeight="1">
      <c r="A263" s="70">
        <f>IF($B263="","",COUNTA($B$10:$B263))</f>
        <v/>
      </c>
      <c r="B263" s="71" t="n"/>
      <c r="C263" s="71" t="n"/>
      <c r="D263" s="71" t="n"/>
      <c r="E263" s="71" t="n"/>
      <c r="F263" s="70">
        <f>IF($E263="","",IFERROR(VLOOKUP($E263,OpTbl,2,0),""))</f>
        <v/>
      </c>
      <c r="G263" s="71" t="n"/>
      <c r="H263" s="73">
        <f>IF($U263="","",IFERROR(VLOOKUP($U263,AcctTbl,2,0),"کد ناشناخته"))</f>
        <v/>
      </c>
      <c r="I263" s="70">
        <f>IF($U263="","",IFERROR(VLOOKUP($U263,AcctTbl,3,0),""))</f>
        <v/>
      </c>
      <c r="J263" s="72" t="n"/>
      <c r="K263" s="71" t="n"/>
      <c r="L263" s="74" t="n"/>
      <c r="M263" s="74" t="n"/>
      <c r="N263" s="148">
        <f>IF(OR($E263="",$L263=""),"",IFERROR(($L263-IF($M263="",0,$M263)*IFERROR(VLOOKUP($K263,BasketTbl,4,0),IFERROR(INDEX(BasketTbl,MATCH($K263,BasketCodeCol,0),4),VLOOKUP("P01",ParamTbl,2,0))))*(1-IF(VLOOKUP($E263,OpTbl,3,0)="خرید",VLOOKUP("P02",ParamTbl,2,0),0)/100),""))</f>
        <v/>
      </c>
      <c r="O263" s="74" t="n"/>
      <c r="P263" s="76">
        <f>IF(OR($E263="",$L263=""),"",IFERROR(IF(VLOOKUP($E263,OpTbl,6,0)="وزن",ROUND($N263*$O263,-3),IF(VLOOKUP($E263,OpTbl,6,0)="مبلغ",ROUND($L263*$O263,-3),0)),""))</f>
        <v/>
      </c>
      <c r="Q263" s="74" t="n"/>
      <c r="R263" s="71" t="n"/>
      <c r="S263" s="77">
        <f>IF($E263="","",IF($AI263="⚠","⚠ ناتراز",IF(AND(IFERROR(VLOOKUP($E263,OpTbl,4,0),"")="بله",$L263=""),"⚠ وزن",IF(AND(IFERROR(VLOOKUP($E263,OpTbl,5,0),"")="بله",$U263=""),"⚠ حساب",IF(AND(IFERROR(VLOOKUP($E263,OpTbl,6,0),"")="مبلغ",$Q263=""),"⚠ مبلغ","✓")))))</f>
        <v/>
      </c>
      <c r="T263" s="72" t="n"/>
      <c r="U263" s="70">
        <f>IF($E263="","",IFERROR(IF(VLOOKUP($E263,OpTbl,14,0)&lt;&gt;"",VLOOKUP($E263,OpTbl,14,0),$G263),""))</f>
        <v/>
      </c>
      <c r="V263" s="76">
        <f>IF(OR($AJ263="",$AJ263=0,$AL263&lt;&gt;"بدهکار"),"",$AJ263)</f>
        <v/>
      </c>
      <c r="W263" s="76">
        <f>IF(OR($AJ263="",$AJ263=0,$AL263&lt;&gt;"بستانکار"),"",$AJ263)</f>
        <v/>
      </c>
      <c r="X263" s="70">
        <f>IF($E263="","",IFERROR(VLOOKUP($E263,OpTbl,8,0),""))</f>
        <v/>
      </c>
      <c r="Y263" s="76">
        <f>IF(OR($X263="",$AJ263="",$AJ263=0,$AM263&lt;&gt;"بدهکار"),"",$AJ263)</f>
        <v/>
      </c>
      <c r="Z263" s="76">
        <f>IF(OR($X263="",$AJ263="",$AJ263=0,$AM263&lt;&gt;"بستانکار"),"",$AJ263)</f>
        <v/>
      </c>
      <c r="AA263" s="70">
        <f>IF(OR($E263="",$AN263="—",$AN263=""),"",IFERROR(VLOOKUP($E263,OpTbl,12,0),""))</f>
        <v/>
      </c>
      <c r="AB263" s="76">
        <f>IF(OR($AA263="",$Q263="",$Q263=0,$AN263&lt;&gt;"بدهکار"),"",$Q263)</f>
        <v/>
      </c>
      <c r="AC263" s="76">
        <f>IF(OR($AA263="",$Q263="",$Q263=0,$AN263&lt;&gt;"بستانکار"),"",$Q263)</f>
        <v/>
      </c>
      <c r="AD263" s="70">
        <f>IF($AA263="","",IFERROR(VLOOKUP($E263,OpTbl,13,0),""))</f>
        <v/>
      </c>
      <c r="AE263" s="76">
        <f>IF(OR($AD263="",$Q263="",$Q263=0,$AN263&lt;&gt;"بستانکار"),"",$Q263)</f>
        <v/>
      </c>
      <c r="AF263" s="76">
        <f>IF(OR($AD263="",$Q263="",$Q263=0,$AN263&lt;&gt;"بدهکار"),"",$Q263)</f>
        <v/>
      </c>
      <c r="AG263" s="76">
        <f>SUM($V263,$Y263,$AB263,$AE263)</f>
        <v/>
      </c>
      <c r="AH263" s="76">
        <f>SUM($W263,$Z263,$AC263,$AF263)</f>
        <v/>
      </c>
      <c r="AI263" s="70">
        <f>IF($E263="","",IF(ROUND($AG263-$AH263,0)=0,"✓","⚠"))</f>
        <v/>
      </c>
      <c r="AJ263" s="76">
        <f>IF(OR($E263="",$U263=""),"",IFERROR(IF(VLOOKUP($E263,OpTbl,6,0)="وزن",IF($P263="",0,$P263),IF(VLOOKUP($E263,OpTbl,6,0)="مبلغ",IF(AND($Q263&lt;&gt;"",$Q263&lt;&gt;0),$Q263,$P263),0))+IF(VLOOKUP($E263,OpTbl,10,0)="افزودن",IF($Q263="",0,$Q263),0),0))</f>
        <v/>
      </c>
      <c r="AK263" s="70">
        <f>IF($E263="","",IFERROR(VLOOKUP($E263,OpTbl,10,0),""))</f>
        <v/>
      </c>
      <c r="AL263" s="70">
        <f>IF(OR($E263="",$U263=""),"",IFERROR(IF(VLOOKUP($E263,OpTbl,7,0)="خودکار",$R263,VLOOKUP($E263,OpTbl,7,0)),""))</f>
        <v/>
      </c>
      <c r="AM263" s="70">
        <f>IF(OR($E263="",$X263=""),"",IFERROR(IF(VLOOKUP($E263,OpTbl,9,0)="خودکار",IF($AL263="بدهکار","بستانکار",IF($AL263="بستانکار","بدهکار","")),VLOOKUP($E263,OpTbl,9,0)),""))</f>
        <v/>
      </c>
      <c r="AN263" s="70">
        <f>IF($E263="","",IFERROR(VLOOKUP($E263,OpTbl,11,0),""))</f>
        <v/>
      </c>
      <c r="AO263" s="70">
        <f>IF($B263="","",MID($B263,6,2))</f>
        <v/>
      </c>
      <c r="AP263" s="76">
        <f>IF($B263="",0,1)</f>
        <v/>
      </c>
    </row>
    <row r="264" ht="21.75" customHeight="1">
      <c r="A264" s="70">
        <f>IF($B264="","",COUNTA($B$10:$B264))</f>
        <v/>
      </c>
      <c r="B264" s="71" t="n"/>
      <c r="C264" s="71" t="n"/>
      <c r="D264" s="71" t="n"/>
      <c r="E264" s="71" t="n"/>
      <c r="F264" s="70">
        <f>IF($E264="","",IFERROR(VLOOKUP($E264,OpTbl,2,0),""))</f>
        <v/>
      </c>
      <c r="G264" s="71" t="n"/>
      <c r="H264" s="73">
        <f>IF($U264="","",IFERROR(VLOOKUP($U264,AcctTbl,2,0),"کد ناشناخته"))</f>
        <v/>
      </c>
      <c r="I264" s="70">
        <f>IF($U264="","",IFERROR(VLOOKUP($U264,AcctTbl,3,0),""))</f>
        <v/>
      </c>
      <c r="J264" s="72" t="n"/>
      <c r="K264" s="71" t="n"/>
      <c r="L264" s="74" t="n"/>
      <c r="M264" s="74" t="n"/>
      <c r="N264" s="148">
        <f>IF(OR($E264="",$L264=""),"",IFERROR(($L264-IF($M264="",0,$M264)*IFERROR(VLOOKUP($K264,BasketTbl,4,0),IFERROR(INDEX(BasketTbl,MATCH($K264,BasketCodeCol,0),4),VLOOKUP("P01",ParamTbl,2,0))))*(1-IF(VLOOKUP($E264,OpTbl,3,0)="خرید",VLOOKUP("P02",ParamTbl,2,0),0)/100),""))</f>
        <v/>
      </c>
      <c r="O264" s="74" t="n"/>
      <c r="P264" s="76">
        <f>IF(OR($E264="",$L264=""),"",IFERROR(IF(VLOOKUP($E264,OpTbl,6,0)="وزن",ROUND($N264*$O264,-3),IF(VLOOKUP($E264,OpTbl,6,0)="مبلغ",ROUND($L264*$O264,-3),0)),""))</f>
        <v/>
      </c>
      <c r="Q264" s="74" t="n"/>
      <c r="R264" s="71" t="n"/>
      <c r="S264" s="77">
        <f>IF($E264="","",IF($AI264="⚠","⚠ ناتراز",IF(AND(IFERROR(VLOOKUP($E264,OpTbl,4,0),"")="بله",$L264=""),"⚠ وزن",IF(AND(IFERROR(VLOOKUP($E264,OpTbl,5,0),"")="بله",$U264=""),"⚠ حساب",IF(AND(IFERROR(VLOOKUP($E264,OpTbl,6,0),"")="مبلغ",$Q264=""),"⚠ مبلغ","✓")))))</f>
        <v/>
      </c>
      <c r="T264" s="72" t="n"/>
      <c r="U264" s="70">
        <f>IF($E264="","",IFERROR(IF(VLOOKUP($E264,OpTbl,14,0)&lt;&gt;"",VLOOKUP($E264,OpTbl,14,0),$G264),""))</f>
        <v/>
      </c>
      <c r="V264" s="76">
        <f>IF(OR($AJ264="",$AJ264=0,$AL264&lt;&gt;"بدهکار"),"",$AJ264)</f>
        <v/>
      </c>
      <c r="W264" s="76">
        <f>IF(OR($AJ264="",$AJ264=0,$AL264&lt;&gt;"بستانکار"),"",$AJ264)</f>
        <v/>
      </c>
      <c r="X264" s="70">
        <f>IF($E264="","",IFERROR(VLOOKUP($E264,OpTbl,8,0),""))</f>
        <v/>
      </c>
      <c r="Y264" s="76">
        <f>IF(OR($X264="",$AJ264="",$AJ264=0,$AM264&lt;&gt;"بدهکار"),"",$AJ264)</f>
        <v/>
      </c>
      <c r="Z264" s="76">
        <f>IF(OR($X264="",$AJ264="",$AJ264=0,$AM264&lt;&gt;"بستانکار"),"",$AJ264)</f>
        <v/>
      </c>
      <c r="AA264" s="70">
        <f>IF(OR($E264="",$AN264="—",$AN264=""),"",IFERROR(VLOOKUP($E264,OpTbl,12,0),""))</f>
        <v/>
      </c>
      <c r="AB264" s="76">
        <f>IF(OR($AA264="",$Q264="",$Q264=0,$AN264&lt;&gt;"بدهکار"),"",$Q264)</f>
        <v/>
      </c>
      <c r="AC264" s="76">
        <f>IF(OR($AA264="",$Q264="",$Q264=0,$AN264&lt;&gt;"بستانکار"),"",$Q264)</f>
        <v/>
      </c>
      <c r="AD264" s="70">
        <f>IF($AA264="","",IFERROR(VLOOKUP($E264,OpTbl,13,0),""))</f>
        <v/>
      </c>
      <c r="AE264" s="76">
        <f>IF(OR($AD264="",$Q264="",$Q264=0,$AN264&lt;&gt;"بستانکار"),"",$Q264)</f>
        <v/>
      </c>
      <c r="AF264" s="76">
        <f>IF(OR($AD264="",$Q264="",$Q264=0,$AN264&lt;&gt;"بدهکار"),"",$Q264)</f>
        <v/>
      </c>
      <c r="AG264" s="76">
        <f>SUM($V264,$Y264,$AB264,$AE264)</f>
        <v/>
      </c>
      <c r="AH264" s="76">
        <f>SUM($W264,$Z264,$AC264,$AF264)</f>
        <v/>
      </c>
      <c r="AI264" s="70">
        <f>IF($E264="","",IF(ROUND($AG264-$AH264,0)=0,"✓","⚠"))</f>
        <v/>
      </c>
      <c r="AJ264" s="76">
        <f>IF(OR($E264="",$U264=""),"",IFERROR(IF(VLOOKUP($E264,OpTbl,6,0)="وزن",IF($P264="",0,$P264),IF(VLOOKUP($E264,OpTbl,6,0)="مبلغ",IF(AND($Q264&lt;&gt;"",$Q264&lt;&gt;0),$Q264,$P264),0))+IF(VLOOKUP($E264,OpTbl,10,0)="افزودن",IF($Q264="",0,$Q264),0),0))</f>
        <v/>
      </c>
      <c r="AK264" s="70">
        <f>IF($E264="","",IFERROR(VLOOKUP($E264,OpTbl,10,0),""))</f>
        <v/>
      </c>
      <c r="AL264" s="70">
        <f>IF(OR($E264="",$U264=""),"",IFERROR(IF(VLOOKUP($E264,OpTbl,7,0)="خودکار",$R264,VLOOKUP($E264,OpTbl,7,0)),""))</f>
        <v/>
      </c>
      <c r="AM264" s="70">
        <f>IF(OR($E264="",$X264=""),"",IFERROR(IF(VLOOKUP($E264,OpTbl,9,0)="خودکار",IF($AL264="بدهکار","بستانکار",IF($AL264="بستانکار","بدهکار","")),VLOOKUP($E264,OpTbl,9,0)),""))</f>
        <v/>
      </c>
      <c r="AN264" s="70">
        <f>IF($E264="","",IFERROR(VLOOKUP($E264,OpTbl,11,0),""))</f>
        <v/>
      </c>
      <c r="AO264" s="70">
        <f>IF($B264="","",MID($B264,6,2))</f>
        <v/>
      </c>
      <c r="AP264" s="76">
        <f>IF($B264="",0,1)</f>
        <v/>
      </c>
    </row>
    <row r="265" ht="21.75" customHeight="1">
      <c r="A265" s="70">
        <f>IF($B265="","",COUNTA($B$10:$B265))</f>
        <v/>
      </c>
      <c r="B265" s="71" t="n"/>
      <c r="C265" s="71" t="n"/>
      <c r="D265" s="71" t="n"/>
      <c r="E265" s="71" t="n"/>
      <c r="F265" s="70">
        <f>IF($E265="","",IFERROR(VLOOKUP($E265,OpTbl,2,0),""))</f>
        <v/>
      </c>
      <c r="G265" s="71" t="n"/>
      <c r="H265" s="73">
        <f>IF($U265="","",IFERROR(VLOOKUP($U265,AcctTbl,2,0),"کد ناشناخته"))</f>
        <v/>
      </c>
      <c r="I265" s="70">
        <f>IF($U265="","",IFERROR(VLOOKUP($U265,AcctTbl,3,0),""))</f>
        <v/>
      </c>
      <c r="J265" s="72" t="n"/>
      <c r="K265" s="71" t="n"/>
      <c r="L265" s="74" t="n"/>
      <c r="M265" s="74" t="n"/>
      <c r="N265" s="148">
        <f>IF(OR($E265="",$L265=""),"",IFERROR(($L265-IF($M265="",0,$M265)*IFERROR(VLOOKUP($K265,BasketTbl,4,0),IFERROR(INDEX(BasketTbl,MATCH($K265,BasketCodeCol,0),4),VLOOKUP("P01",ParamTbl,2,0))))*(1-IF(VLOOKUP($E265,OpTbl,3,0)="خرید",VLOOKUP("P02",ParamTbl,2,0),0)/100),""))</f>
        <v/>
      </c>
      <c r="O265" s="74" t="n"/>
      <c r="P265" s="76">
        <f>IF(OR($E265="",$L265=""),"",IFERROR(IF(VLOOKUP($E265,OpTbl,6,0)="وزن",ROUND($N265*$O265,-3),IF(VLOOKUP($E265,OpTbl,6,0)="مبلغ",ROUND($L265*$O265,-3),0)),""))</f>
        <v/>
      </c>
      <c r="Q265" s="74" t="n"/>
      <c r="R265" s="71" t="n"/>
      <c r="S265" s="77">
        <f>IF($E265="","",IF($AI265="⚠","⚠ ناتراز",IF(AND(IFERROR(VLOOKUP($E265,OpTbl,4,0),"")="بله",$L265=""),"⚠ وزن",IF(AND(IFERROR(VLOOKUP($E265,OpTbl,5,0),"")="بله",$U265=""),"⚠ حساب",IF(AND(IFERROR(VLOOKUP($E265,OpTbl,6,0),"")="مبلغ",$Q265=""),"⚠ مبلغ","✓")))))</f>
        <v/>
      </c>
      <c r="T265" s="72" t="n"/>
      <c r="U265" s="70">
        <f>IF($E265="","",IFERROR(IF(VLOOKUP($E265,OpTbl,14,0)&lt;&gt;"",VLOOKUP($E265,OpTbl,14,0),$G265),""))</f>
        <v/>
      </c>
      <c r="V265" s="76">
        <f>IF(OR($AJ265="",$AJ265=0,$AL265&lt;&gt;"بدهکار"),"",$AJ265)</f>
        <v/>
      </c>
      <c r="W265" s="76">
        <f>IF(OR($AJ265="",$AJ265=0,$AL265&lt;&gt;"بستانکار"),"",$AJ265)</f>
        <v/>
      </c>
      <c r="X265" s="70">
        <f>IF($E265="","",IFERROR(VLOOKUP($E265,OpTbl,8,0),""))</f>
        <v/>
      </c>
      <c r="Y265" s="76">
        <f>IF(OR($X265="",$AJ265="",$AJ265=0,$AM265&lt;&gt;"بدهکار"),"",$AJ265)</f>
        <v/>
      </c>
      <c r="Z265" s="76">
        <f>IF(OR($X265="",$AJ265="",$AJ265=0,$AM265&lt;&gt;"بستانکار"),"",$AJ265)</f>
        <v/>
      </c>
      <c r="AA265" s="70">
        <f>IF(OR($E265="",$AN265="—",$AN265=""),"",IFERROR(VLOOKUP($E265,OpTbl,12,0),""))</f>
        <v/>
      </c>
      <c r="AB265" s="76">
        <f>IF(OR($AA265="",$Q265="",$Q265=0,$AN265&lt;&gt;"بدهکار"),"",$Q265)</f>
        <v/>
      </c>
      <c r="AC265" s="76">
        <f>IF(OR($AA265="",$Q265="",$Q265=0,$AN265&lt;&gt;"بستانکار"),"",$Q265)</f>
        <v/>
      </c>
      <c r="AD265" s="70">
        <f>IF($AA265="","",IFERROR(VLOOKUP($E265,OpTbl,13,0),""))</f>
        <v/>
      </c>
      <c r="AE265" s="76">
        <f>IF(OR($AD265="",$Q265="",$Q265=0,$AN265&lt;&gt;"بستانکار"),"",$Q265)</f>
        <v/>
      </c>
      <c r="AF265" s="76">
        <f>IF(OR($AD265="",$Q265="",$Q265=0,$AN265&lt;&gt;"بدهکار"),"",$Q265)</f>
        <v/>
      </c>
      <c r="AG265" s="76">
        <f>SUM($V265,$Y265,$AB265,$AE265)</f>
        <v/>
      </c>
      <c r="AH265" s="76">
        <f>SUM($W265,$Z265,$AC265,$AF265)</f>
        <v/>
      </c>
      <c r="AI265" s="70">
        <f>IF($E265="","",IF(ROUND($AG265-$AH265,0)=0,"✓","⚠"))</f>
        <v/>
      </c>
      <c r="AJ265" s="76">
        <f>IF(OR($E265="",$U265=""),"",IFERROR(IF(VLOOKUP($E265,OpTbl,6,0)="وزن",IF($P265="",0,$P265),IF(VLOOKUP($E265,OpTbl,6,0)="مبلغ",IF(AND($Q265&lt;&gt;"",$Q265&lt;&gt;0),$Q265,$P265),0))+IF(VLOOKUP($E265,OpTbl,10,0)="افزودن",IF($Q265="",0,$Q265),0),0))</f>
        <v/>
      </c>
      <c r="AK265" s="70">
        <f>IF($E265="","",IFERROR(VLOOKUP($E265,OpTbl,10,0),""))</f>
        <v/>
      </c>
      <c r="AL265" s="70">
        <f>IF(OR($E265="",$U265=""),"",IFERROR(IF(VLOOKUP($E265,OpTbl,7,0)="خودکار",$R265,VLOOKUP($E265,OpTbl,7,0)),""))</f>
        <v/>
      </c>
      <c r="AM265" s="70">
        <f>IF(OR($E265="",$X265=""),"",IFERROR(IF(VLOOKUP($E265,OpTbl,9,0)="خودکار",IF($AL265="بدهکار","بستانکار",IF($AL265="بستانکار","بدهکار","")),VLOOKUP($E265,OpTbl,9,0)),""))</f>
        <v/>
      </c>
      <c r="AN265" s="70">
        <f>IF($E265="","",IFERROR(VLOOKUP($E265,OpTbl,11,0),""))</f>
        <v/>
      </c>
      <c r="AO265" s="70">
        <f>IF($B265="","",MID($B265,6,2))</f>
        <v/>
      </c>
      <c r="AP265" s="76">
        <f>IF($B265="",0,1)</f>
        <v/>
      </c>
    </row>
    <row r="266" ht="21.75" customHeight="1">
      <c r="A266" s="70">
        <f>IF($B266="","",COUNTA($B$10:$B266))</f>
        <v/>
      </c>
      <c r="B266" s="71" t="n"/>
      <c r="C266" s="71" t="n"/>
      <c r="D266" s="71" t="n"/>
      <c r="E266" s="71" t="n"/>
      <c r="F266" s="70">
        <f>IF($E266="","",IFERROR(VLOOKUP($E266,OpTbl,2,0),""))</f>
        <v/>
      </c>
      <c r="G266" s="71" t="n"/>
      <c r="H266" s="73">
        <f>IF($U266="","",IFERROR(VLOOKUP($U266,AcctTbl,2,0),"کد ناشناخته"))</f>
        <v/>
      </c>
      <c r="I266" s="70">
        <f>IF($U266="","",IFERROR(VLOOKUP($U266,AcctTbl,3,0),""))</f>
        <v/>
      </c>
      <c r="J266" s="72" t="n"/>
      <c r="K266" s="71" t="n"/>
      <c r="L266" s="74" t="n"/>
      <c r="M266" s="74" t="n"/>
      <c r="N266" s="148">
        <f>IF(OR($E266="",$L266=""),"",IFERROR(($L266-IF($M266="",0,$M266)*IFERROR(VLOOKUP($K266,BasketTbl,4,0),IFERROR(INDEX(BasketTbl,MATCH($K266,BasketCodeCol,0),4),VLOOKUP("P01",ParamTbl,2,0))))*(1-IF(VLOOKUP($E266,OpTbl,3,0)="خرید",VLOOKUP("P02",ParamTbl,2,0),0)/100),""))</f>
        <v/>
      </c>
      <c r="O266" s="74" t="n"/>
      <c r="P266" s="76">
        <f>IF(OR($E266="",$L266=""),"",IFERROR(IF(VLOOKUP($E266,OpTbl,6,0)="وزن",ROUND($N266*$O266,-3),IF(VLOOKUP($E266,OpTbl,6,0)="مبلغ",ROUND($L266*$O266,-3),0)),""))</f>
        <v/>
      </c>
      <c r="Q266" s="74" t="n"/>
      <c r="R266" s="71" t="n"/>
      <c r="S266" s="77">
        <f>IF($E266="","",IF($AI266="⚠","⚠ ناتراز",IF(AND(IFERROR(VLOOKUP($E266,OpTbl,4,0),"")="بله",$L266=""),"⚠ وزن",IF(AND(IFERROR(VLOOKUP($E266,OpTbl,5,0),"")="بله",$U266=""),"⚠ حساب",IF(AND(IFERROR(VLOOKUP($E266,OpTbl,6,0),"")="مبلغ",$Q266=""),"⚠ مبلغ","✓")))))</f>
        <v/>
      </c>
      <c r="T266" s="72" t="n"/>
      <c r="U266" s="70">
        <f>IF($E266="","",IFERROR(IF(VLOOKUP($E266,OpTbl,14,0)&lt;&gt;"",VLOOKUP($E266,OpTbl,14,0),$G266),""))</f>
        <v/>
      </c>
      <c r="V266" s="76">
        <f>IF(OR($AJ266="",$AJ266=0,$AL266&lt;&gt;"بدهکار"),"",$AJ266)</f>
        <v/>
      </c>
      <c r="W266" s="76">
        <f>IF(OR($AJ266="",$AJ266=0,$AL266&lt;&gt;"بستانکار"),"",$AJ266)</f>
        <v/>
      </c>
      <c r="X266" s="70">
        <f>IF($E266="","",IFERROR(VLOOKUP($E266,OpTbl,8,0),""))</f>
        <v/>
      </c>
      <c r="Y266" s="76">
        <f>IF(OR($X266="",$AJ266="",$AJ266=0,$AM266&lt;&gt;"بدهکار"),"",$AJ266)</f>
        <v/>
      </c>
      <c r="Z266" s="76">
        <f>IF(OR($X266="",$AJ266="",$AJ266=0,$AM266&lt;&gt;"بستانکار"),"",$AJ266)</f>
        <v/>
      </c>
      <c r="AA266" s="70">
        <f>IF(OR($E266="",$AN266="—",$AN266=""),"",IFERROR(VLOOKUP($E266,OpTbl,12,0),""))</f>
        <v/>
      </c>
      <c r="AB266" s="76">
        <f>IF(OR($AA266="",$Q266="",$Q266=0,$AN266&lt;&gt;"بدهکار"),"",$Q266)</f>
        <v/>
      </c>
      <c r="AC266" s="76">
        <f>IF(OR($AA266="",$Q266="",$Q266=0,$AN266&lt;&gt;"بستانکار"),"",$Q266)</f>
        <v/>
      </c>
      <c r="AD266" s="70">
        <f>IF($AA266="","",IFERROR(VLOOKUP($E266,OpTbl,13,0),""))</f>
        <v/>
      </c>
      <c r="AE266" s="76">
        <f>IF(OR($AD266="",$Q266="",$Q266=0,$AN266&lt;&gt;"بستانکار"),"",$Q266)</f>
        <v/>
      </c>
      <c r="AF266" s="76">
        <f>IF(OR($AD266="",$Q266="",$Q266=0,$AN266&lt;&gt;"بدهکار"),"",$Q266)</f>
        <v/>
      </c>
      <c r="AG266" s="76">
        <f>SUM($V266,$Y266,$AB266,$AE266)</f>
        <v/>
      </c>
      <c r="AH266" s="76">
        <f>SUM($W266,$Z266,$AC266,$AF266)</f>
        <v/>
      </c>
      <c r="AI266" s="70">
        <f>IF($E266="","",IF(ROUND($AG266-$AH266,0)=0,"✓","⚠"))</f>
        <v/>
      </c>
      <c r="AJ266" s="76">
        <f>IF(OR($E266="",$U266=""),"",IFERROR(IF(VLOOKUP($E266,OpTbl,6,0)="وزن",IF($P266="",0,$P266),IF(VLOOKUP($E266,OpTbl,6,0)="مبلغ",IF(AND($Q266&lt;&gt;"",$Q266&lt;&gt;0),$Q266,$P266),0))+IF(VLOOKUP($E266,OpTbl,10,0)="افزودن",IF($Q266="",0,$Q266),0),0))</f>
        <v/>
      </c>
      <c r="AK266" s="70">
        <f>IF($E266="","",IFERROR(VLOOKUP($E266,OpTbl,10,0),""))</f>
        <v/>
      </c>
      <c r="AL266" s="70">
        <f>IF(OR($E266="",$U266=""),"",IFERROR(IF(VLOOKUP($E266,OpTbl,7,0)="خودکار",$R266,VLOOKUP($E266,OpTbl,7,0)),""))</f>
        <v/>
      </c>
      <c r="AM266" s="70">
        <f>IF(OR($E266="",$X266=""),"",IFERROR(IF(VLOOKUP($E266,OpTbl,9,0)="خودکار",IF($AL266="بدهکار","بستانکار",IF($AL266="بستانکار","بدهکار","")),VLOOKUP($E266,OpTbl,9,0)),""))</f>
        <v/>
      </c>
      <c r="AN266" s="70">
        <f>IF($E266="","",IFERROR(VLOOKUP($E266,OpTbl,11,0),""))</f>
        <v/>
      </c>
      <c r="AO266" s="70">
        <f>IF($B266="","",MID($B266,6,2))</f>
        <v/>
      </c>
      <c r="AP266" s="76">
        <f>IF($B266="",0,1)</f>
        <v/>
      </c>
    </row>
    <row r="267" ht="21.75" customHeight="1">
      <c r="A267" s="70">
        <f>IF($B267="","",COUNTA($B$10:$B267))</f>
        <v/>
      </c>
      <c r="B267" s="71" t="n"/>
      <c r="C267" s="71" t="n"/>
      <c r="D267" s="71" t="n"/>
      <c r="E267" s="71" t="n"/>
      <c r="F267" s="70">
        <f>IF($E267="","",IFERROR(VLOOKUP($E267,OpTbl,2,0),""))</f>
        <v/>
      </c>
      <c r="G267" s="71" t="n"/>
      <c r="H267" s="73">
        <f>IF($U267="","",IFERROR(VLOOKUP($U267,AcctTbl,2,0),"کد ناشناخته"))</f>
        <v/>
      </c>
      <c r="I267" s="70">
        <f>IF($U267="","",IFERROR(VLOOKUP($U267,AcctTbl,3,0),""))</f>
        <v/>
      </c>
      <c r="J267" s="72" t="n"/>
      <c r="K267" s="71" t="n"/>
      <c r="L267" s="74" t="n"/>
      <c r="M267" s="74" t="n"/>
      <c r="N267" s="148">
        <f>IF(OR($E267="",$L267=""),"",IFERROR(($L267-IF($M267="",0,$M267)*IFERROR(VLOOKUP($K267,BasketTbl,4,0),IFERROR(INDEX(BasketTbl,MATCH($K267,BasketCodeCol,0),4),VLOOKUP("P01",ParamTbl,2,0))))*(1-IF(VLOOKUP($E267,OpTbl,3,0)="خرید",VLOOKUP("P02",ParamTbl,2,0),0)/100),""))</f>
        <v/>
      </c>
      <c r="O267" s="74" t="n"/>
      <c r="P267" s="76">
        <f>IF(OR($E267="",$L267=""),"",IFERROR(IF(VLOOKUP($E267,OpTbl,6,0)="وزن",ROUND($N267*$O267,-3),IF(VLOOKUP($E267,OpTbl,6,0)="مبلغ",ROUND($L267*$O267,-3),0)),""))</f>
        <v/>
      </c>
      <c r="Q267" s="74" t="n"/>
      <c r="R267" s="71" t="n"/>
      <c r="S267" s="77">
        <f>IF($E267="","",IF($AI267="⚠","⚠ ناتراز",IF(AND(IFERROR(VLOOKUP($E267,OpTbl,4,0),"")="بله",$L267=""),"⚠ وزن",IF(AND(IFERROR(VLOOKUP($E267,OpTbl,5,0),"")="بله",$U267=""),"⚠ حساب",IF(AND(IFERROR(VLOOKUP($E267,OpTbl,6,0),"")="مبلغ",$Q267=""),"⚠ مبلغ","✓")))))</f>
        <v/>
      </c>
      <c r="T267" s="72" t="n"/>
      <c r="U267" s="70">
        <f>IF($E267="","",IFERROR(IF(VLOOKUP($E267,OpTbl,14,0)&lt;&gt;"",VLOOKUP($E267,OpTbl,14,0),$G267),""))</f>
        <v/>
      </c>
      <c r="V267" s="76">
        <f>IF(OR($AJ267="",$AJ267=0,$AL267&lt;&gt;"بدهکار"),"",$AJ267)</f>
        <v/>
      </c>
      <c r="W267" s="76">
        <f>IF(OR($AJ267="",$AJ267=0,$AL267&lt;&gt;"بستانکار"),"",$AJ267)</f>
        <v/>
      </c>
      <c r="X267" s="70">
        <f>IF($E267="","",IFERROR(VLOOKUP($E267,OpTbl,8,0),""))</f>
        <v/>
      </c>
      <c r="Y267" s="76">
        <f>IF(OR($X267="",$AJ267="",$AJ267=0,$AM267&lt;&gt;"بدهکار"),"",$AJ267)</f>
        <v/>
      </c>
      <c r="Z267" s="76">
        <f>IF(OR($X267="",$AJ267="",$AJ267=0,$AM267&lt;&gt;"بستانکار"),"",$AJ267)</f>
        <v/>
      </c>
      <c r="AA267" s="70">
        <f>IF(OR($E267="",$AN267="—",$AN267=""),"",IFERROR(VLOOKUP($E267,OpTbl,12,0),""))</f>
        <v/>
      </c>
      <c r="AB267" s="76">
        <f>IF(OR($AA267="",$Q267="",$Q267=0,$AN267&lt;&gt;"بدهکار"),"",$Q267)</f>
        <v/>
      </c>
      <c r="AC267" s="76">
        <f>IF(OR($AA267="",$Q267="",$Q267=0,$AN267&lt;&gt;"بستانکار"),"",$Q267)</f>
        <v/>
      </c>
      <c r="AD267" s="70">
        <f>IF($AA267="","",IFERROR(VLOOKUP($E267,OpTbl,13,0),""))</f>
        <v/>
      </c>
      <c r="AE267" s="76">
        <f>IF(OR($AD267="",$Q267="",$Q267=0,$AN267&lt;&gt;"بستانکار"),"",$Q267)</f>
        <v/>
      </c>
      <c r="AF267" s="76">
        <f>IF(OR($AD267="",$Q267="",$Q267=0,$AN267&lt;&gt;"بدهکار"),"",$Q267)</f>
        <v/>
      </c>
      <c r="AG267" s="76">
        <f>SUM($V267,$Y267,$AB267,$AE267)</f>
        <v/>
      </c>
      <c r="AH267" s="76">
        <f>SUM($W267,$Z267,$AC267,$AF267)</f>
        <v/>
      </c>
      <c r="AI267" s="70">
        <f>IF($E267="","",IF(ROUND($AG267-$AH267,0)=0,"✓","⚠"))</f>
        <v/>
      </c>
      <c r="AJ267" s="76">
        <f>IF(OR($E267="",$U267=""),"",IFERROR(IF(VLOOKUP($E267,OpTbl,6,0)="وزن",IF($P267="",0,$P267),IF(VLOOKUP($E267,OpTbl,6,0)="مبلغ",IF(AND($Q267&lt;&gt;"",$Q267&lt;&gt;0),$Q267,$P267),0))+IF(VLOOKUP($E267,OpTbl,10,0)="افزودن",IF($Q267="",0,$Q267),0),0))</f>
        <v/>
      </c>
      <c r="AK267" s="70">
        <f>IF($E267="","",IFERROR(VLOOKUP($E267,OpTbl,10,0),""))</f>
        <v/>
      </c>
      <c r="AL267" s="70">
        <f>IF(OR($E267="",$U267=""),"",IFERROR(IF(VLOOKUP($E267,OpTbl,7,0)="خودکار",$R267,VLOOKUP($E267,OpTbl,7,0)),""))</f>
        <v/>
      </c>
      <c r="AM267" s="70">
        <f>IF(OR($E267="",$X267=""),"",IFERROR(IF(VLOOKUP($E267,OpTbl,9,0)="خودکار",IF($AL267="بدهکار","بستانکار",IF($AL267="بستانکار","بدهکار","")),VLOOKUP($E267,OpTbl,9,0)),""))</f>
        <v/>
      </c>
      <c r="AN267" s="70">
        <f>IF($E267="","",IFERROR(VLOOKUP($E267,OpTbl,11,0),""))</f>
        <v/>
      </c>
      <c r="AO267" s="70">
        <f>IF($B267="","",MID($B267,6,2))</f>
        <v/>
      </c>
      <c r="AP267" s="76">
        <f>IF($B267="",0,1)</f>
        <v/>
      </c>
    </row>
    <row r="268" ht="21.75" customHeight="1">
      <c r="A268" s="70">
        <f>IF($B268="","",COUNTA($B$10:$B268))</f>
        <v/>
      </c>
      <c r="B268" s="71" t="n"/>
      <c r="C268" s="71" t="n"/>
      <c r="D268" s="71" t="n"/>
      <c r="E268" s="71" t="n"/>
      <c r="F268" s="70">
        <f>IF($E268="","",IFERROR(VLOOKUP($E268,OpTbl,2,0),""))</f>
        <v/>
      </c>
      <c r="G268" s="71" t="n"/>
      <c r="H268" s="73">
        <f>IF($U268="","",IFERROR(VLOOKUP($U268,AcctTbl,2,0),"کد ناشناخته"))</f>
        <v/>
      </c>
      <c r="I268" s="70">
        <f>IF($U268="","",IFERROR(VLOOKUP($U268,AcctTbl,3,0),""))</f>
        <v/>
      </c>
      <c r="J268" s="72" t="n"/>
      <c r="K268" s="71" t="n"/>
      <c r="L268" s="74" t="n"/>
      <c r="M268" s="74" t="n"/>
      <c r="N268" s="148">
        <f>IF(OR($E268="",$L268=""),"",IFERROR(($L268-IF($M268="",0,$M268)*IFERROR(VLOOKUP($K268,BasketTbl,4,0),IFERROR(INDEX(BasketTbl,MATCH($K268,BasketCodeCol,0),4),VLOOKUP("P01",ParamTbl,2,0))))*(1-IF(VLOOKUP($E268,OpTbl,3,0)="خرید",VLOOKUP("P02",ParamTbl,2,0),0)/100),""))</f>
        <v/>
      </c>
      <c r="O268" s="74" t="n"/>
      <c r="P268" s="76">
        <f>IF(OR($E268="",$L268=""),"",IFERROR(IF(VLOOKUP($E268,OpTbl,6,0)="وزن",ROUND($N268*$O268,-3),IF(VLOOKUP($E268,OpTbl,6,0)="مبلغ",ROUND($L268*$O268,-3),0)),""))</f>
        <v/>
      </c>
      <c r="Q268" s="74" t="n"/>
      <c r="R268" s="71" t="n"/>
      <c r="S268" s="77">
        <f>IF($E268="","",IF($AI268="⚠","⚠ ناتراز",IF(AND(IFERROR(VLOOKUP($E268,OpTbl,4,0),"")="بله",$L268=""),"⚠ وزن",IF(AND(IFERROR(VLOOKUP($E268,OpTbl,5,0),"")="بله",$U268=""),"⚠ حساب",IF(AND(IFERROR(VLOOKUP($E268,OpTbl,6,0),"")="مبلغ",$Q268=""),"⚠ مبلغ","✓")))))</f>
        <v/>
      </c>
      <c r="T268" s="72" t="n"/>
      <c r="U268" s="70">
        <f>IF($E268="","",IFERROR(IF(VLOOKUP($E268,OpTbl,14,0)&lt;&gt;"",VLOOKUP($E268,OpTbl,14,0),$G268),""))</f>
        <v/>
      </c>
      <c r="V268" s="76">
        <f>IF(OR($AJ268="",$AJ268=0,$AL268&lt;&gt;"بدهکار"),"",$AJ268)</f>
        <v/>
      </c>
      <c r="W268" s="76">
        <f>IF(OR($AJ268="",$AJ268=0,$AL268&lt;&gt;"بستانکار"),"",$AJ268)</f>
        <v/>
      </c>
      <c r="X268" s="70">
        <f>IF($E268="","",IFERROR(VLOOKUP($E268,OpTbl,8,0),""))</f>
        <v/>
      </c>
      <c r="Y268" s="76">
        <f>IF(OR($X268="",$AJ268="",$AJ268=0,$AM268&lt;&gt;"بدهکار"),"",$AJ268)</f>
        <v/>
      </c>
      <c r="Z268" s="76">
        <f>IF(OR($X268="",$AJ268="",$AJ268=0,$AM268&lt;&gt;"بستانکار"),"",$AJ268)</f>
        <v/>
      </c>
      <c r="AA268" s="70">
        <f>IF(OR($E268="",$AN268="—",$AN268=""),"",IFERROR(VLOOKUP($E268,OpTbl,12,0),""))</f>
        <v/>
      </c>
      <c r="AB268" s="76">
        <f>IF(OR($AA268="",$Q268="",$Q268=0,$AN268&lt;&gt;"بدهکار"),"",$Q268)</f>
        <v/>
      </c>
      <c r="AC268" s="76">
        <f>IF(OR($AA268="",$Q268="",$Q268=0,$AN268&lt;&gt;"بستانکار"),"",$Q268)</f>
        <v/>
      </c>
      <c r="AD268" s="70">
        <f>IF($AA268="","",IFERROR(VLOOKUP($E268,OpTbl,13,0),""))</f>
        <v/>
      </c>
      <c r="AE268" s="76">
        <f>IF(OR($AD268="",$Q268="",$Q268=0,$AN268&lt;&gt;"بستانکار"),"",$Q268)</f>
        <v/>
      </c>
      <c r="AF268" s="76">
        <f>IF(OR($AD268="",$Q268="",$Q268=0,$AN268&lt;&gt;"بدهکار"),"",$Q268)</f>
        <v/>
      </c>
      <c r="AG268" s="76">
        <f>SUM($V268,$Y268,$AB268,$AE268)</f>
        <v/>
      </c>
      <c r="AH268" s="76">
        <f>SUM($W268,$Z268,$AC268,$AF268)</f>
        <v/>
      </c>
      <c r="AI268" s="70">
        <f>IF($E268="","",IF(ROUND($AG268-$AH268,0)=0,"✓","⚠"))</f>
        <v/>
      </c>
      <c r="AJ268" s="76">
        <f>IF(OR($E268="",$U268=""),"",IFERROR(IF(VLOOKUP($E268,OpTbl,6,0)="وزن",IF($P268="",0,$P268),IF(VLOOKUP($E268,OpTbl,6,0)="مبلغ",IF(AND($Q268&lt;&gt;"",$Q268&lt;&gt;0),$Q268,$P268),0))+IF(VLOOKUP($E268,OpTbl,10,0)="افزودن",IF($Q268="",0,$Q268),0),0))</f>
        <v/>
      </c>
      <c r="AK268" s="70">
        <f>IF($E268="","",IFERROR(VLOOKUP($E268,OpTbl,10,0),""))</f>
        <v/>
      </c>
      <c r="AL268" s="70">
        <f>IF(OR($E268="",$U268=""),"",IFERROR(IF(VLOOKUP($E268,OpTbl,7,0)="خودکار",$R268,VLOOKUP($E268,OpTbl,7,0)),""))</f>
        <v/>
      </c>
      <c r="AM268" s="70">
        <f>IF(OR($E268="",$X268=""),"",IFERROR(IF(VLOOKUP($E268,OpTbl,9,0)="خودکار",IF($AL268="بدهکار","بستانکار",IF($AL268="بستانکار","بدهکار","")),VLOOKUP($E268,OpTbl,9,0)),""))</f>
        <v/>
      </c>
      <c r="AN268" s="70">
        <f>IF($E268="","",IFERROR(VLOOKUP($E268,OpTbl,11,0),""))</f>
        <v/>
      </c>
      <c r="AO268" s="70">
        <f>IF($B268="","",MID($B268,6,2))</f>
        <v/>
      </c>
      <c r="AP268" s="76">
        <f>IF($B268="",0,1)</f>
        <v/>
      </c>
    </row>
    <row r="269" ht="21.75" customHeight="1">
      <c r="A269" s="70">
        <f>IF($B269="","",COUNTA($B$10:$B269))</f>
        <v/>
      </c>
      <c r="B269" s="71" t="n"/>
      <c r="C269" s="71" t="n"/>
      <c r="D269" s="71" t="n"/>
      <c r="E269" s="71" t="n"/>
      <c r="F269" s="70">
        <f>IF($E269="","",IFERROR(VLOOKUP($E269,OpTbl,2,0),""))</f>
        <v/>
      </c>
      <c r="G269" s="71" t="n"/>
      <c r="H269" s="73">
        <f>IF($U269="","",IFERROR(VLOOKUP($U269,AcctTbl,2,0),"کد ناشناخته"))</f>
        <v/>
      </c>
      <c r="I269" s="70">
        <f>IF($U269="","",IFERROR(VLOOKUP($U269,AcctTbl,3,0),""))</f>
        <v/>
      </c>
      <c r="J269" s="72" t="n"/>
      <c r="K269" s="71" t="n"/>
      <c r="L269" s="74" t="n"/>
      <c r="M269" s="74" t="n"/>
      <c r="N269" s="148">
        <f>IF(OR($E269="",$L269=""),"",IFERROR(($L269-IF($M269="",0,$M269)*IFERROR(VLOOKUP($K269,BasketTbl,4,0),IFERROR(INDEX(BasketTbl,MATCH($K269,BasketCodeCol,0),4),VLOOKUP("P01",ParamTbl,2,0))))*(1-IF(VLOOKUP($E269,OpTbl,3,0)="خرید",VLOOKUP("P02",ParamTbl,2,0),0)/100),""))</f>
        <v/>
      </c>
      <c r="O269" s="74" t="n"/>
      <c r="P269" s="76">
        <f>IF(OR($E269="",$L269=""),"",IFERROR(IF(VLOOKUP($E269,OpTbl,6,0)="وزن",ROUND($N269*$O269,-3),IF(VLOOKUP($E269,OpTbl,6,0)="مبلغ",ROUND($L269*$O269,-3),0)),""))</f>
        <v/>
      </c>
      <c r="Q269" s="74" t="n"/>
      <c r="R269" s="71" t="n"/>
      <c r="S269" s="77">
        <f>IF($E269="","",IF($AI269="⚠","⚠ ناتراز",IF(AND(IFERROR(VLOOKUP($E269,OpTbl,4,0),"")="بله",$L269=""),"⚠ وزن",IF(AND(IFERROR(VLOOKUP($E269,OpTbl,5,0),"")="بله",$U269=""),"⚠ حساب",IF(AND(IFERROR(VLOOKUP($E269,OpTbl,6,0),"")="مبلغ",$Q269=""),"⚠ مبلغ","✓")))))</f>
        <v/>
      </c>
      <c r="T269" s="72" t="n"/>
      <c r="U269" s="70">
        <f>IF($E269="","",IFERROR(IF(VLOOKUP($E269,OpTbl,14,0)&lt;&gt;"",VLOOKUP($E269,OpTbl,14,0),$G269),""))</f>
        <v/>
      </c>
      <c r="V269" s="76">
        <f>IF(OR($AJ269="",$AJ269=0,$AL269&lt;&gt;"بدهکار"),"",$AJ269)</f>
        <v/>
      </c>
      <c r="W269" s="76">
        <f>IF(OR($AJ269="",$AJ269=0,$AL269&lt;&gt;"بستانکار"),"",$AJ269)</f>
        <v/>
      </c>
      <c r="X269" s="70">
        <f>IF($E269="","",IFERROR(VLOOKUP($E269,OpTbl,8,0),""))</f>
        <v/>
      </c>
      <c r="Y269" s="76">
        <f>IF(OR($X269="",$AJ269="",$AJ269=0,$AM269&lt;&gt;"بدهکار"),"",$AJ269)</f>
        <v/>
      </c>
      <c r="Z269" s="76">
        <f>IF(OR($X269="",$AJ269="",$AJ269=0,$AM269&lt;&gt;"بستانکار"),"",$AJ269)</f>
        <v/>
      </c>
      <c r="AA269" s="70">
        <f>IF(OR($E269="",$AN269="—",$AN269=""),"",IFERROR(VLOOKUP($E269,OpTbl,12,0),""))</f>
        <v/>
      </c>
      <c r="AB269" s="76">
        <f>IF(OR($AA269="",$Q269="",$Q269=0,$AN269&lt;&gt;"بدهکار"),"",$Q269)</f>
        <v/>
      </c>
      <c r="AC269" s="76">
        <f>IF(OR($AA269="",$Q269="",$Q269=0,$AN269&lt;&gt;"بستانکار"),"",$Q269)</f>
        <v/>
      </c>
      <c r="AD269" s="70">
        <f>IF($AA269="","",IFERROR(VLOOKUP($E269,OpTbl,13,0),""))</f>
        <v/>
      </c>
      <c r="AE269" s="76">
        <f>IF(OR($AD269="",$Q269="",$Q269=0,$AN269&lt;&gt;"بستانکار"),"",$Q269)</f>
        <v/>
      </c>
      <c r="AF269" s="76">
        <f>IF(OR($AD269="",$Q269="",$Q269=0,$AN269&lt;&gt;"بدهکار"),"",$Q269)</f>
        <v/>
      </c>
      <c r="AG269" s="76">
        <f>SUM($V269,$Y269,$AB269,$AE269)</f>
        <v/>
      </c>
      <c r="AH269" s="76">
        <f>SUM($W269,$Z269,$AC269,$AF269)</f>
        <v/>
      </c>
      <c r="AI269" s="70">
        <f>IF($E269="","",IF(ROUND($AG269-$AH269,0)=0,"✓","⚠"))</f>
        <v/>
      </c>
      <c r="AJ269" s="76">
        <f>IF(OR($E269="",$U269=""),"",IFERROR(IF(VLOOKUP($E269,OpTbl,6,0)="وزن",IF($P269="",0,$P269),IF(VLOOKUP($E269,OpTbl,6,0)="مبلغ",IF(AND($Q269&lt;&gt;"",$Q269&lt;&gt;0),$Q269,$P269),0))+IF(VLOOKUP($E269,OpTbl,10,0)="افزودن",IF($Q269="",0,$Q269),0),0))</f>
        <v/>
      </c>
      <c r="AK269" s="70">
        <f>IF($E269="","",IFERROR(VLOOKUP($E269,OpTbl,10,0),""))</f>
        <v/>
      </c>
      <c r="AL269" s="70">
        <f>IF(OR($E269="",$U269=""),"",IFERROR(IF(VLOOKUP($E269,OpTbl,7,0)="خودکار",$R269,VLOOKUP($E269,OpTbl,7,0)),""))</f>
        <v/>
      </c>
      <c r="AM269" s="70">
        <f>IF(OR($E269="",$X269=""),"",IFERROR(IF(VLOOKUP($E269,OpTbl,9,0)="خودکار",IF($AL269="بدهکار","بستانکار",IF($AL269="بستانکار","بدهکار","")),VLOOKUP($E269,OpTbl,9,0)),""))</f>
        <v/>
      </c>
      <c r="AN269" s="70">
        <f>IF($E269="","",IFERROR(VLOOKUP($E269,OpTbl,11,0),""))</f>
        <v/>
      </c>
      <c r="AO269" s="70">
        <f>IF($B269="","",MID($B269,6,2))</f>
        <v/>
      </c>
      <c r="AP269" s="76">
        <f>IF($B269="",0,1)</f>
        <v/>
      </c>
    </row>
    <row r="270" ht="21.75" customHeight="1">
      <c r="A270" s="70">
        <f>IF($B270="","",COUNTA($B$10:$B270))</f>
        <v/>
      </c>
      <c r="B270" s="71" t="n"/>
      <c r="C270" s="71" t="n"/>
      <c r="D270" s="71" t="n"/>
      <c r="E270" s="71" t="n"/>
      <c r="F270" s="70">
        <f>IF($E270="","",IFERROR(VLOOKUP($E270,OpTbl,2,0),""))</f>
        <v/>
      </c>
      <c r="G270" s="71" t="n"/>
      <c r="H270" s="73">
        <f>IF($U270="","",IFERROR(VLOOKUP($U270,AcctTbl,2,0),"کد ناشناخته"))</f>
        <v/>
      </c>
      <c r="I270" s="70">
        <f>IF($U270="","",IFERROR(VLOOKUP($U270,AcctTbl,3,0),""))</f>
        <v/>
      </c>
      <c r="J270" s="72" t="n"/>
      <c r="K270" s="71" t="n"/>
      <c r="L270" s="74" t="n"/>
      <c r="M270" s="74" t="n"/>
      <c r="N270" s="148">
        <f>IF(OR($E270="",$L270=""),"",IFERROR(($L270-IF($M270="",0,$M270)*IFERROR(VLOOKUP($K270,BasketTbl,4,0),IFERROR(INDEX(BasketTbl,MATCH($K270,BasketCodeCol,0),4),VLOOKUP("P01",ParamTbl,2,0))))*(1-IF(VLOOKUP($E270,OpTbl,3,0)="خرید",VLOOKUP("P02",ParamTbl,2,0),0)/100),""))</f>
        <v/>
      </c>
      <c r="O270" s="74" t="n"/>
      <c r="P270" s="76">
        <f>IF(OR($E270="",$L270=""),"",IFERROR(IF(VLOOKUP($E270,OpTbl,6,0)="وزن",ROUND($N270*$O270,-3),IF(VLOOKUP($E270,OpTbl,6,0)="مبلغ",ROUND($L270*$O270,-3),0)),""))</f>
        <v/>
      </c>
      <c r="Q270" s="74" t="n"/>
      <c r="R270" s="71" t="n"/>
      <c r="S270" s="77">
        <f>IF($E270="","",IF($AI270="⚠","⚠ ناتراز",IF(AND(IFERROR(VLOOKUP($E270,OpTbl,4,0),"")="بله",$L270=""),"⚠ وزن",IF(AND(IFERROR(VLOOKUP($E270,OpTbl,5,0),"")="بله",$U270=""),"⚠ حساب",IF(AND(IFERROR(VLOOKUP($E270,OpTbl,6,0),"")="مبلغ",$Q270=""),"⚠ مبلغ","✓")))))</f>
        <v/>
      </c>
      <c r="T270" s="72" t="n"/>
      <c r="U270" s="70">
        <f>IF($E270="","",IFERROR(IF(VLOOKUP($E270,OpTbl,14,0)&lt;&gt;"",VLOOKUP($E270,OpTbl,14,0),$G270),""))</f>
        <v/>
      </c>
      <c r="V270" s="76">
        <f>IF(OR($AJ270="",$AJ270=0,$AL270&lt;&gt;"بدهکار"),"",$AJ270)</f>
        <v/>
      </c>
      <c r="W270" s="76">
        <f>IF(OR($AJ270="",$AJ270=0,$AL270&lt;&gt;"بستانکار"),"",$AJ270)</f>
        <v/>
      </c>
      <c r="X270" s="70">
        <f>IF($E270="","",IFERROR(VLOOKUP($E270,OpTbl,8,0),""))</f>
        <v/>
      </c>
      <c r="Y270" s="76">
        <f>IF(OR($X270="",$AJ270="",$AJ270=0,$AM270&lt;&gt;"بدهکار"),"",$AJ270)</f>
        <v/>
      </c>
      <c r="Z270" s="76">
        <f>IF(OR($X270="",$AJ270="",$AJ270=0,$AM270&lt;&gt;"بستانکار"),"",$AJ270)</f>
        <v/>
      </c>
      <c r="AA270" s="70">
        <f>IF(OR($E270="",$AN270="—",$AN270=""),"",IFERROR(VLOOKUP($E270,OpTbl,12,0),""))</f>
        <v/>
      </c>
      <c r="AB270" s="76">
        <f>IF(OR($AA270="",$Q270="",$Q270=0,$AN270&lt;&gt;"بدهکار"),"",$Q270)</f>
        <v/>
      </c>
      <c r="AC270" s="76">
        <f>IF(OR($AA270="",$Q270="",$Q270=0,$AN270&lt;&gt;"بستانکار"),"",$Q270)</f>
        <v/>
      </c>
      <c r="AD270" s="70">
        <f>IF($AA270="","",IFERROR(VLOOKUP($E270,OpTbl,13,0),""))</f>
        <v/>
      </c>
      <c r="AE270" s="76">
        <f>IF(OR($AD270="",$Q270="",$Q270=0,$AN270&lt;&gt;"بستانکار"),"",$Q270)</f>
        <v/>
      </c>
      <c r="AF270" s="76">
        <f>IF(OR($AD270="",$Q270="",$Q270=0,$AN270&lt;&gt;"بدهکار"),"",$Q270)</f>
        <v/>
      </c>
      <c r="AG270" s="76">
        <f>SUM($V270,$Y270,$AB270,$AE270)</f>
        <v/>
      </c>
      <c r="AH270" s="76">
        <f>SUM($W270,$Z270,$AC270,$AF270)</f>
        <v/>
      </c>
      <c r="AI270" s="70">
        <f>IF($E270="","",IF(ROUND($AG270-$AH270,0)=0,"✓","⚠"))</f>
        <v/>
      </c>
      <c r="AJ270" s="76">
        <f>IF(OR($E270="",$U270=""),"",IFERROR(IF(VLOOKUP($E270,OpTbl,6,0)="وزن",IF($P270="",0,$P270),IF(VLOOKUP($E270,OpTbl,6,0)="مبلغ",IF(AND($Q270&lt;&gt;"",$Q270&lt;&gt;0),$Q270,$P270),0))+IF(VLOOKUP($E270,OpTbl,10,0)="افزودن",IF($Q270="",0,$Q270),0),0))</f>
        <v/>
      </c>
      <c r="AK270" s="70">
        <f>IF($E270="","",IFERROR(VLOOKUP($E270,OpTbl,10,0),""))</f>
        <v/>
      </c>
      <c r="AL270" s="70">
        <f>IF(OR($E270="",$U270=""),"",IFERROR(IF(VLOOKUP($E270,OpTbl,7,0)="خودکار",$R270,VLOOKUP($E270,OpTbl,7,0)),""))</f>
        <v/>
      </c>
      <c r="AM270" s="70">
        <f>IF(OR($E270="",$X270=""),"",IFERROR(IF(VLOOKUP($E270,OpTbl,9,0)="خودکار",IF($AL270="بدهکار","بستانکار",IF($AL270="بستانکار","بدهکار","")),VLOOKUP($E270,OpTbl,9,0)),""))</f>
        <v/>
      </c>
      <c r="AN270" s="70">
        <f>IF($E270="","",IFERROR(VLOOKUP($E270,OpTbl,11,0),""))</f>
        <v/>
      </c>
      <c r="AO270" s="70">
        <f>IF($B270="","",MID($B270,6,2))</f>
        <v/>
      </c>
      <c r="AP270" s="76">
        <f>IF($B270="",0,1)</f>
        <v/>
      </c>
    </row>
    <row r="271" ht="21.75" customHeight="1">
      <c r="A271" s="70">
        <f>IF($B271="","",COUNTA($B$10:$B271))</f>
        <v/>
      </c>
      <c r="B271" s="71" t="n"/>
      <c r="C271" s="71" t="n"/>
      <c r="D271" s="71" t="n"/>
      <c r="E271" s="71" t="n"/>
      <c r="F271" s="70">
        <f>IF($E271="","",IFERROR(VLOOKUP($E271,OpTbl,2,0),""))</f>
        <v/>
      </c>
      <c r="G271" s="71" t="n"/>
      <c r="H271" s="73">
        <f>IF($U271="","",IFERROR(VLOOKUP($U271,AcctTbl,2,0),"کد ناشناخته"))</f>
        <v/>
      </c>
      <c r="I271" s="70">
        <f>IF($U271="","",IFERROR(VLOOKUP($U271,AcctTbl,3,0),""))</f>
        <v/>
      </c>
      <c r="J271" s="72" t="n"/>
      <c r="K271" s="71" t="n"/>
      <c r="L271" s="74" t="n"/>
      <c r="M271" s="74" t="n"/>
      <c r="N271" s="148">
        <f>IF(OR($E271="",$L271=""),"",IFERROR(($L271-IF($M271="",0,$M271)*IFERROR(VLOOKUP($K271,BasketTbl,4,0),IFERROR(INDEX(BasketTbl,MATCH($K271,BasketCodeCol,0),4),VLOOKUP("P01",ParamTbl,2,0))))*(1-IF(VLOOKUP($E271,OpTbl,3,0)="خرید",VLOOKUP("P02",ParamTbl,2,0),0)/100),""))</f>
        <v/>
      </c>
      <c r="O271" s="74" t="n"/>
      <c r="P271" s="76">
        <f>IF(OR($E271="",$L271=""),"",IFERROR(IF(VLOOKUP($E271,OpTbl,6,0)="وزن",ROUND($N271*$O271,-3),IF(VLOOKUP($E271,OpTbl,6,0)="مبلغ",ROUND($L271*$O271,-3),0)),""))</f>
        <v/>
      </c>
      <c r="Q271" s="74" t="n"/>
      <c r="R271" s="71" t="n"/>
      <c r="S271" s="77">
        <f>IF($E271="","",IF($AI271="⚠","⚠ ناتراز",IF(AND(IFERROR(VLOOKUP($E271,OpTbl,4,0),"")="بله",$L271=""),"⚠ وزن",IF(AND(IFERROR(VLOOKUP($E271,OpTbl,5,0),"")="بله",$U271=""),"⚠ حساب",IF(AND(IFERROR(VLOOKUP($E271,OpTbl,6,0),"")="مبلغ",$Q271=""),"⚠ مبلغ","✓")))))</f>
        <v/>
      </c>
      <c r="T271" s="72" t="n"/>
      <c r="U271" s="70">
        <f>IF($E271="","",IFERROR(IF(VLOOKUP($E271,OpTbl,14,0)&lt;&gt;"",VLOOKUP($E271,OpTbl,14,0),$G271),""))</f>
        <v/>
      </c>
      <c r="V271" s="76">
        <f>IF(OR($AJ271="",$AJ271=0,$AL271&lt;&gt;"بدهکار"),"",$AJ271)</f>
        <v/>
      </c>
      <c r="W271" s="76">
        <f>IF(OR($AJ271="",$AJ271=0,$AL271&lt;&gt;"بستانکار"),"",$AJ271)</f>
        <v/>
      </c>
      <c r="X271" s="70">
        <f>IF($E271="","",IFERROR(VLOOKUP($E271,OpTbl,8,0),""))</f>
        <v/>
      </c>
      <c r="Y271" s="76">
        <f>IF(OR($X271="",$AJ271="",$AJ271=0,$AM271&lt;&gt;"بدهکار"),"",$AJ271)</f>
        <v/>
      </c>
      <c r="Z271" s="76">
        <f>IF(OR($X271="",$AJ271="",$AJ271=0,$AM271&lt;&gt;"بستانکار"),"",$AJ271)</f>
        <v/>
      </c>
      <c r="AA271" s="70">
        <f>IF(OR($E271="",$AN271="—",$AN271=""),"",IFERROR(VLOOKUP($E271,OpTbl,12,0),""))</f>
        <v/>
      </c>
      <c r="AB271" s="76">
        <f>IF(OR($AA271="",$Q271="",$Q271=0,$AN271&lt;&gt;"بدهکار"),"",$Q271)</f>
        <v/>
      </c>
      <c r="AC271" s="76">
        <f>IF(OR($AA271="",$Q271="",$Q271=0,$AN271&lt;&gt;"بستانکار"),"",$Q271)</f>
        <v/>
      </c>
      <c r="AD271" s="70">
        <f>IF($AA271="","",IFERROR(VLOOKUP($E271,OpTbl,13,0),""))</f>
        <v/>
      </c>
      <c r="AE271" s="76">
        <f>IF(OR($AD271="",$Q271="",$Q271=0,$AN271&lt;&gt;"بستانکار"),"",$Q271)</f>
        <v/>
      </c>
      <c r="AF271" s="76">
        <f>IF(OR($AD271="",$Q271="",$Q271=0,$AN271&lt;&gt;"بدهکار"),"",$Q271)</f>
        <v/>
      </c>
      <c r="AG271" s="76">
        <f>SUM($V271,$Y271,$AB271,$AE271)</f>
        <v/>
      </c>
      <c r="AH271" s="76">
        <f>SUM($W271,$Z271,$AC271,$AF271)</f>
        <v/>
      </c>
      <c r="AI271" s="70">
        <f>IF($E271="","",IF(ROUND($AG271-$AH271,0)=0,"✓","⚠"))</f>
        <v/>
      </c>
      <c r="AJ271" s="76">
        <f>IF(OR($E271="",$U271=""),"",IFERROR(IF(VLOOKUP($E271,OpTbl,6,0)="وزن",IF($P271="",0,$P271),IF(VLOOKUP($E271,OpTbl,6,0)="مبلغ",IF(AND($Q271&lt;&gt;"",$Q271&lt;&gt;0),$Q271,$P271),0))+IF(VLOOKUP($E271,OpTbl,10,0)="افزودن",IF($Q271="",0,$Q271),0),0))</f>
        <v/>
      </c>
      <c r="AK271" s="70">
        <f>IF($E271="","",IFERROR(VLOOKUP($E271,OpTbl,10,0),""))</f>
        <v/>
      </c>
      <c r="AL271" s="70">
        <f>IF(OR($E271="",$U271=""),"",IFERROR(IF(VLOOKUP($E271,OpTbl,7,0)="خودکار",$R271,VLOOKUP($E271,OpTbl,7,0)),""))</f>
        <v/>
      </c>
      <c r="AM271" s="70">
        <f>IF(OR($E271="",$X271=""),"",IFERROR(IF(VLOOKUP($E271,OpTbl,9,0)="خودکار",IF($AL271="بدهکار","بستانکار",IF($AL271="بستانکار","بدهکار","")),VLOOKUP($E271,OpTbl,9,0)),""))</f>
        <v/>
      </c>
      <c r="AN271" s="70">
        <f>IF($E271="","",IFERROR(VLOOKUP($E271,OpTbl,11,0),""))</f>
        <v/>
      </c>
      <c r="AO271" s="70">
        <f>IF($B271="","",MID($B271,6,2))</f>
        <v/>
      </c>
      <c r="AP271" s="76">
        <f>IF($B271="",0,1)</f>
        <v/>
      </c>
    </row>
    <row r="272" ht="21.75" customHeight="1">
      <c r="A272" s="70">
        <f>IF($B272="","",COUNTA($B$10:$B272))</f>
        <v/>
      </c>
      <c r="B272" s="71" t="n"/>
      <c r="C272" s="71" t="n"/>
      <c r="D272" s="71" t="n"/>
      <c r="E272" s="71" t="n"/>
      <c r="F272" s="70">
        <f>IF($E272="","",IFERROR(VLOOKUP($E272,OpTbl,2,0),""))</f>
        <v/>
      </c>
      <c r="G272" s="71" t="n"/>
      <c r="H272" s="73">
        <f>IF($U272="","",IFERROR(VLOOKUP($U272,AcctTbl,2,0),"کد ناشناخته"))</f>
        <v/>
      </c>
      <c r="I272" s="70">
        <f>IF($U272="","",IFERROR(VLOOKUP($U272,AcctTbl,3,0),""))</f>
        <v/>
      </c>
      <c r="J272" s="72" t="n"/>
      <c r="K272" s="71" t="n"/>
      <c r="L272" s="74" t="n"/>
      <c r="M272" s="74" t="n"/>
      <c r="N272" s="148">
        <f>IF(OR($E272="",$L272=""),"",IFERROR(($L272-IF($M272="",0,$M272)*IFERROR(VLOOKUP($K272,BasketTbl,4,0),IFERROR(INDEX(BasketTbl,MATCH($K272,BasketCodeCol,0),4),VLOOKUP("P01",ParamTbl,2,0))))*(1-IF(VLOOKUP($E272,OpTbl,3,0)="خرید",VLOOKUP("P02",ParamTbl,2,0),0)/100),""))</f>
        <v/>
      </c>
      <c r="O272" s="74" t="n"/>
      <c r="P272" s="76">
        <f>IF(OR($E272="",$L272=""),"",IFERROR(IF(VLOOKUP($E272,OpTbl,6,0)="وزن",ROUND($N272*$O272,-3),IF(VLOOKUP($E272,OpTbl,6,0)="مبلغ",ROUND($L272*$O272,-3),0)),""))</f>
        <v/>
      </c>
      <c r="Q272" s="74" t="n"/>
      <c r="R272" s="71" t="n"/>
      <c r="S272" s="77">
        <f>IF($E272="","",IF($AI272="⚠","⚠ ناتراز",IF(AND(IFERROR(VLOOKUP($E272,OpTbl,4,0),"")="بله",$L272=""),"⚠ وزن",IF(AND(IFERROR(VLOOKUP($E272,OpTbl,5,0),"")="بله",$U272=""),"⚠ حساب",IF(AND(IFERROR(VLOOKUP($E272,OpTbl,6,0),"")="مبلغ",$Q272=""),"⚠ مبلغ","✓")))))</f>
        <v/>
      </c>
      <c r="T272" s="72" t="n"/>
      <c r="U272" s="70">
        <f>IF($E272="","",IFERROR(IF(VLOOKUP($E272,OpTbl,14,0)&lt;&gt;"",VLOOKUP($E272,OpTbl,14,0),$G272),""))</f>
        <v/>
      </c>
      <c r="V272" s="76">
        <f>IF(OR($AJ272="",$AJ272=0,$AL272&lt;&gt;"بدهکار"),"",$AJ272)</f>
        <v/>
      </c>
      <c r="W272" s="76">
        <f>IF(OR($AJ272="",$AJ272=0,$AL272&lt;&gt;"بستانکار"),"",$AJ272)</f>
        <v/>
      </c>
      <c r="X272" s="70">
        <f>IF($E272="","",IFERROR(VLOOKUP($E272,OpTbl,8,0),""))</f>
        <v/>
      </c>
      <c r="Y272" s="76">
        <f>IF(OR($X272="",$AJ272="",$AJ272=0,$AM272&lt;&gt;"بدهکار"),"",$AJ272)</f>
        <v/>
      </c>
      <c r="Z272" s="76">
        <f>IF(OR($X272="",$AJ272="",$AJ272=0,$AM272&lt;&gt;"بستانکار"),"",$AJ272)</f>
        <v/>
      </c>
      <c r="AA272" s="70">
        <f>IF(OR($E272="",$AN272="—",$AN272=""),"",IFERROR(VLOOKUP($E272,OpTbl,12,0),""))</f>
        <v/>
      </c>
      <c r="AB272" s="76">
        <f>IF(OR($AA272="",$Q272="",$Q272=0,$AN272&lt;&gt;"بدهکار"),"",$Q272)</f>
        <v/>
      </c>
      <c r="AC272" s="76">
        <f>IF(OR($AA272="",$Q272="",$Q272=0,$AN272&lt;&gt;"بستانکار"),"",$Q272)</f>
        <v/>
      </c>
      <c r="AD272" s="70">
        <f>IF($AA272="","",IFERROR(VLOOKUP($E272,OpTbl,13,0),""))</f>
        <v/>
      </c>
      <c r="AE272" s="76">
        <f>IF(OR($AD272="",$Q272="",$Q272=0,$AN272&lt;&gt;"بستانکار"),"",$Q272)</f>
        <v/>
      </c>
      <c r="AF272" s="76">
        <f>IF(OR($AD272="",$Q272="",$Q272=0,$AN272&lt;&gt;"بدهکار"),"",$Q272)</f>
        <v/>
      </c>
      <c r="AG272" s="76">
        <f>SUM($V272,$Y272,$AB272,$AE272)</f>
        <v/>
      </c>
      <c r="AH272" s="76">
        <f>SUM($W272,$Z272,$AC272,$AF272)</f>
        <v/>
      </c>
      <c r="AI272" s="70">
        <f>IF($E272="","",IF(ROUND($AG272-$AH272,0)=0,"✓","⚠"))</f>
        <v/>
      </c>
      <c r="AJ272" s="76">
        <f>IF(OR($E272="",$U272=""),"",IFERROR(IF(VLOOKUP($E272,OpTbl,6,0)="وزن",IF($P272="",0,$P272),IF(VLOOKUP($E272,OpTbl,6,0)="مبلغ",IF(AND($Q272&lt;&gt;"",$Q272&lt;&gt;0),$Q272,$P272),0))+IF(VLOOKUP($E272,OpTbl,10,0)="افزودن",IF($Q272="",0,$Q272),0),0))</f>
        <v/>
      </c>
      <c r="AK272" s="70">
        <f>IF($E272="","",IFERROR(VLOOKUP($E272,OpTbl,10,0),""))</f>
        <v/>
      </c>
      <c r="AL272" s="70">
        <f>IF(OR($E272="",$U272=""),"",IFERROR(IF(VLOOKUP($E272,OpTbl,7,0)="خودکار",$R272,VLOOKUP($E272,OpTbl,7,0)),""))</f>
        <v/>
      </c>
      <c r="AM272" s="70">
        <f>IF(OR($E272="",$X272=""),"",IFERROR(IF(VLOOKUP($E272,OpTbl,9,0)="خودکار",IF($AL272="بدهکار","بستانکار",IF($AL272="بستانکار","بدهکار","")),VLOOKUP($E272,OpTbl,9,0)),""))</f>
        <v/>
      </c>
      <c r="AN272" s="70">
        <f>IF($E272="","",IFERROR(VLOOKUP($E272,OpTbl,11,0),""))</f>
        <v/>
      </c>
      <c r="AO272" s="70">
        <f>IF($B272="","",MID($B272,6,2))</f>
        <v/>
      </c>
      <c r="AP272" s="76">
        <f>IF($B272="",0,1)</f>
        <v/>
      </c>
    </row>
    <row r="273" ht="21.75" customHeight="1">
      <c r="A273" s="70">
        <f>IF($B273="","",COUNTA($B$10:$B273))</f>
        <v/>
      </c>
      <c r="B273" s="71" t="n"/>
      <c r="C273" s="71" t="n"/>
      <c r="D273" s="71" t="n"/>
      <c r="E273" s="71" t="n"/>
      <c r="F273" s="70">
        <f>IF($E273="","",IFERROR(VLOOKUP($E273,OpTbl,2,0),""))</f>
        <v/>
      </c>
      <c r="G273" s="71" t="n"/>
      <c r="H273" s="73">
        <f>IF($U273="","",IFERROR(VLOOKUP($U273,AcctTbl,2,0),"کد ناشناخته"))</f>
        <v/>
      </c>
      <c r="I273" s="70">
        <f>IF($U273="","",IFERROR(VLOOKUP($U273,AcctTbl,3,0),""))</f>
        <v/>
      </c>
      <c r="J273" s="72" t="n"/>
      <c r="K273" s="71" t="n"/>
      <c r="L273" s="74" t="n"/>
      <c r="M273" s="74" t="n"/>
      <c r="N273" s="148">
        <f>IF(OR($E273="",$L273=""),"",IFERROR(($L273-IF($M273="",0,$M273)*IFERROR(VLOOKUP($K273,BasketTbl,4,0),IFERROR(INDEX(BasketTbl,MATCH($K273,BasketCodeCol,0),4),VLOOKUP("P01",ParamTbl,2,0))))*(1-IF(VLOOKUP($E273,OpTbl,3,0)="خرید",VLOOKUP("P02",ParamTbl,2,0),0)/100),""))</f>
        <v/>
      </c>
      <c r="O273" s="74" t="n"/>
      <c r="P273" s="76">
        <f>IF(OR($E273="",$L273=""),"",IFERROR(IF(VLOOKUP($E273,OpTbl,6,0)="وزن",ROUND($N273*$O273,-3),IF(VLOOKUP($E273,OpTbl,6,0)="مبلغ",ROUND($L273*$O273,-3),0)),""))</f>
        <v/>
      </c>
      <c r="Q273" s="74" t="n"/>
      <c r="R273" s="71" t="n"/>
      <c r="S273" s="77">
        <f>IF($E273="","",IF($AI273="⚠","⚠ ناتراز",IF(AND(IFERROR(VLOOKUP($E273,OpTbl,4,0),"")="بله",$L273=""),"⚠ وزن",IF(AND(IFERROR(VLOOKUP($E273,OpTbl,5,0),"")="بله",$U273=""),"⚠ حساب",IF(AND(IFERROR(VLOOKUP($E273,OpTbl,6,0),"")="مبلغ",$Q273=""),"⚠ مبلغ","✓")))))</f>
        <v/>
      </c>
      <c r="T273" s="72" t="n"/>
      <c r="U273" s="70">
        <f>IF($E273="","",IFERROR(IF(VLOOKUP($E273,OpTbl,14,0)&lt;&gt;"",VLOOKUP($E273,OpTbl,14,0),$G273),""))</f>
        <v/>
      </c>
      <c r="V273" s="76">
        <f>IF(OR($AJ273="",$AJ273=0,$AL273&lt;&gt;"بدهکار"),"",$AJ273)</f>
        <v/>
      </c>
      <c r="W273" s="76">
        <f>IF(OR($AJ273="",$AJ273=0,$AL273&lt;&gt;"بستانکار"),"",$AJ273)</f>
        <v/>
      </c>
      <c r="X273" s="70">
        <f>IF($E273="","",IFERROR(VLOOKUP($E273,OpTbl,8,0),""))</f>
        <v/>
      </c>
      <c r="Y273" s="76">
        <f>IF(OR($X273="",$AJ273="",$AJ273=0,$AM273&lt;&gt;"بدهکار"),"",$AJ273)</f>
        <v/>
      </c>
      <c r="Z273" s="76">
        <f>IF(OR($X273="",$AJ273="",$AJ273=0,$AM273&lt;&gt;"بستانکار"),"",$AJ273)</f>
        <v/>
      </c>
      <c r="AA273" s="70">
        <f>IF(OR($E273="",$AN273="—",$AN273=""),"",IFERROR(VLOOKUP($E273,OpTbl,12,0),""))</f>
        <v/>
      </c>
      <c r="AB273" s="76">
        <f>IF(OR($AA273="",$Q273="",$Q273=0,$AN273&lt;&gt;"بدهکار"),"",$Q273)</f>
        <v/>
      </c>
      <c r="AC273" s="76">
        <f>IF(OR($AA273="",$Q273="",$Q273=0,$AN273&lt;&gt;"بستانکار"),"",$Q273)</f>
        <v/>
      </c>
      <c r="AD273" s="70">
        <f>IF($AA273="","",IFERROR(VLOOKUP($E273,OpTbl,13,0),""))</f>
        <v/>
      </c>
      <c r="AE273" s="76">
        <f>IF(OR($AD273="",$Q273="",$Q273=0,$AN273&lt;&gt;"بستانکار"),"",$Q273)</f>
        <v/>
      </c>
      <c r="AF273" s="76">
        <f>IF(OR($AD273="",$Q273="",$Q273=0,$AN273&lt;&gt;"بدهکار"),"",$Q273)</f>
        <v/>
      </c>
      <c r="AG273" s="76">
        <f>SUM($V273,$Y273,$AB273,$AE273)</f>
        <v/>
      </c>
      <c r="AH273" s="76">
        <f>SUM($W273,$Z273,$AC273,$AF273)</f>
        <v/>
      </c>
      <c r="AI273" s="70">
        <f>IF($E273="","",IF(ROUND($AG273-$AH273,0)=0,"✓","⚠"))</f>
        <v/>
      </c>
      <c r="AJ273" s="76">
        <f>IF(OR($E273="",$U273=""),"",IFERROR(IF(VLOOKUP($E273,OpTbl,6,0)="وزن",IF($P273="",0,$P273),IF(VLOOKUP($E273,OpTbl,6,0)="مبلغ",IF(AND($Q273&lt;&gt;"",$Q273&lt;&gt;0),$Q273,$P273),0))+IF(VLOOKUP($E273,OpTbl,10,0)="افزودن",IF($Q273="",0,$Q273),0),0))</f>
        <v/>
      </c>
      <c r="AK273" s="70">
        <f>IF($E273="","",IFERROR(VLOOKUP($E273,OpTbl,10,0),""))</f>
        <v/>
      </c>
      <c r="AL273" s="70">
        <f>IF(OR($E273="",$U273=""),"",IFERROR(IF(VLOOKUP($E273,OpTbl,7,0)="خودکار",$R273,VLOOKUP($E273,OpTbl,7,0)),""))</f>
        <v/>
      </c>
      <c r="AM273" s="70">
        <f>IF(OR($E273="",$X273=""),"",IFERROR(IF(VLOOKUP($E273,OpTbl,9,0)="خودکار",IF($AL273="بدهکار","بستانکار",IF($AL273="بستانکار","بدهکار","")),VLOOKUP($E273,OpTbl,9,0)),""))</f>
        <v/>
      </c>
      <c r="AN273" s="70">
        <f>IF($E273="","",IFERROR(VLOOKUP($E273,OpTbl,11,0),""))</f>
        <v/>
      </c>
      <c r="AO273" s="70">
        <f>IF($B273="","",MID($B273,6,2))</f>
        <v/>
      </c>
      <c r="AP273" s="76">
        <f>IF($B273="",0,1)</f>
        <v/>
      </c>
    </row>
    <row r="274" ht="21.75" customHeight="1">
      <c r="A274" s="70">
        <f>IF($B274="","",COUNTA($B$10:$B274))</f>
        <v/>
      </c>
      <c r="B274" s="71" t="n"/>
      <c r="C274" s="71" t="n"/>
      <c r="D274" s="71" t="n"/>
      <c r="E274" s="71" t="n"/>
      <c r="F274" s="70">
        <f>IF($E274="","",IFERROR(VLOOKUP($E274,OpTbl,2,0),""))</f>
        <v/>
      </c>
      <c r="G274" s="71" t="n"/>
      <c r="H274" s="73">
        <f>IF($U274="","",IFERROR(VLOOKUP($U274,AcctTbl,2,0),"کد ناشناخته"))</f>
        <v/>
      </c>
      <c r="I274" s="70">
        <f>IF($U274="","",IFERROR(VLOOKUP($U274,AcctTbl,3,0),""))</f>
        <v/>
      </c>
      <c r="J274" s="72" t="n"/>
      <c r="K274" s="71" t="n"/>
      <c r="L274" s="74" t="n"/>
      <c r="M274" s="74" t="n"/>
      <c r="N274" s="148">
        <f>IF(OR($E274="",$L274=""),"",IFERROR(($L274-IF($M274="",0,$M274)*IFERROR(VLOOKUP($K274,BasketTbl,4,0),IFERROR(INDEX(BasketTbl,MATCH($K274,BasketCodeCol,0),4),VLOOKUP("P01",ParamTbl,2,0))))*(1-IF(VLOOKUP($E274,OpTbl,3,0)="خرید",VLOOKUP("P02",ParamTbl,2,0),0)/100),""))</f>
        <v/>
      </c>
      <c r="O274" s="74" t="n"/>
      <c r="P274" s="76">
        <f>IF(OR($E274="",$L274=""),"",IFERROR(IF(VLOOKUP($E274,OpTbl,6,0)="وزن",ROUND($N274*$O274,-3),IF(VLOOKUP($E274,OpTbl,6,0)="مبلغ",ROUND($L274*$O274,-3),0)),""))</f>
        <v/>
      </c>
      <c r="Q274" s="74" t="n"/>
      <c r="R274" s="71" t="n"/>
      <c r="S274" s="77">
        <f>IF($E274="","",IF($AI274="⚠","⚠ ناتراز",IF(AND(IFERROR(VLOOKUP($E274,OpTbl,4,0),"")="بله",$L274=""),"⚠ وزن",IF(AND(IFERROR(VLOOKUP($E274,OpTbl,5,0),"")="بله",$U274=""),"⚠ حساب",IF(AND(IFERROR(VLOOKUP($E274,OpTbl,6,0),"")="مبلغ",$Q274=""),"⚠ مبلغ","✓")))))</f>
        <v/>
      </c>
      <c r="T274" s="72" t="n"/>
      <c r="U274" s="70">
        <f>IF($E274="","",IFERROR(IF(VLOOKUP($E274,OpTbl,14,0)&lt;&gt;"",VLOOKUP($E274,OpTbl,14,0),$G274),""))</f>
        <v/>
      </c>
      <c r="V274" s="76">
        <f>IF(OR($AJ274="",$AJ274=0,$AL274&lt;&gt;"بدهکار"),"",$AJ274)</f>
        <v/>
      </c>
      <c r="W274" s="76">
        <f>IF(OR($AJ274="",$AJ274=0,$AL274&lt;&gt;"بستانکار"),"",$AJ274)</f>
        <v/>
      </c>
      <c r="X274" s="70">
        <f>IF($E274="","",IFERROR(VLOOKUP($E274,OpTbl,8,0),""))</f>
        <v/>
      </c>
      <c r="Y274" s="76">
        <f>IF(OR($X274="",$AJ274="",$AJ274=0,$AM274&lt;&gt;"بدهکار"),"",$AJ274)</f>
        <v/>
      </c>
      <c r="Z274" s="76">
        <f>IF(OR($X274="",$AJ274="",$AJ274=0,$AM274&lt;&gt;"بستانکار"),"",$AJ274)</f>
        <v/>
      </c>
      <c r="AA274" s="70">
        <f>IF(OR($E274="",$AN274="—",$AN274=""),"",IFERROR(VLOOKUP($E274,OpTbl,12,0),""))</f>
        <v/>
      </c>
      <c r="AB274" s="76">
        <f>IF(OR($AA274="",$Q274="",$Q274=0,$AN274&lt;&gt;"بدهکار"),"",$Q274)</f>
        <v/>
      </c>
      <c r="AC274" s="76">
        <f>IF(OR($AA274="",$Q274="",$Q274=0,$AN274&lt;&gt;"بستانکار"),"",$Q274)</f>
        <v/>
      </c>
      <c r="AD274" s="70">
        <f>IF($AA274="","",IFERROR(VLOOKUP($E274,OpTbl,13,0),""))</f>
        <v/>
      </c>
      <c r="AE274" s="76">
        <f>IF(OR($AD274="",$Q274="",$Q274=0,$AN274&lt;&gt;"بستانکار"),"",$Q274)</f>
        <v/>
      </c>
      <c r="AF274" s="76">
        <f>IF(OR($AD274="",$Q274="",$Q274=0,$AN274&lt;&gt;"بدهکار"),"",$Q274)</f>
        <v/>
      </c>
      <c r="AG274" s="76">
        <f>SUM($V274,$Y274,$AB274,$AE274)</f>
        <v/>
      </c>
      <c r="AH274" s="76">
        <f>SUM($W274,$Z274,$AC274,$AF274)</f>
        <v/>
      </c>
      <c r="AI274" s="70">
        <f>IF($E274="","",IF(ROUND($AG274-$AH274,0)=0,"✓","⚠"))</f>
        <v/>
      </c>
      <c r="AJ274" s="76">
        <f>IF(OR($E274="",$U274=""),"",IFERROR(IF(VLOOKUP($E274,OpTbl,6,0)="وزن",IF($P274="",0,$P274),IF(VLOOKUP($E274,OpTbl,6,0)="مبلغ",IF(AND($Q274&lt;&gt;"",$Q274&lt;&gt;0),$Q274,$P274),0))+IF(VLOOKUP($E274,OpTbl,10,0)="افزودن",IF($Q274="",0,$Q274),0),0))</f>
        <v/>
      </c>
      <c r="AK274" s="70">
        <f>IF($E274="","",IFERROR(VLOOKUP($E274,OpTbl,10,0),""))</f>
        <v/>
      </c>
      <c r="AL274" s="70">
        <f>IF(OR($E274="",$U274=""),"",IFERROR(IF(VLOOKUP($E274,OpTbl,7,0)="خودکار",$R274,VLOOKUP($E274,OpTbl,7,0)),""))</f>
        <v/>
      </c>
      <c r="AM274" s="70">
        <f>IF(OR($E274="",$X274=""),"",IFERROR(IF(VLOOKUP($E274,OpTbl,9,0)="خودکار",IF($AL274="بدهکار","بستانکار",IF($AL274="بستانکار","بدهکار","")),VLOOKUP($E274,OpTbl,9,0)),""))</f>
        <v/>
      </c>
      <c r="AN274" s="70">
        <f>IF($E274="","",IFERROR(VLOOKUP($E274,OpTbl,11,0),""))</f>
        <v/>
      </c>
      <c r="AO274" s="70">
        <f>IF($B274="","",MID($B274,6,2))</f>
        <v/>
      </c>
      <c r="AP274" s="76">
        <f>IF($B274="",0,1)</f>
        <v/>
      </c>
    </row>
    <row r="275" ht="21.75" customHeight="1">
      <c r="A275" s="70">
        <f>IF($B275="","",COUNTA($B$10:$B275))</f>
        <v/>
      </c>
      <c r="B275" s="71" t="n"/>
      <c r="C275" s="71" t="n"/>
      <c r="D275" s="71" t="n"/>
      <c r="E275" s="71" t="n"/>
      <c r="F275" s="70">
        <f>IF($E275="","",IFERROR(VLOOKUP($E275,OpTbl,2,0),""))</f>
        <v/>
      </c>
      <c r="G275" s="71" t="n"/>
      <c r="H275" s="73">
        <f>IF($U275="","",IFERROR(VLOOKUP($U275,AcctTbl,2,0),"کد ناشناخته"))</f>
        <v/>
      </c>
      <c r="I275" s="70">
        <f>IF($U275="","",IFERROR(VLOOKUP($U275,AcctTbl,3,0),""))</f>
        <v/>
      </c>
      <c r="J275" s="72" t="n"/>
      <c r="K275" s="71" t="n"/>
      <c r="L275" s="74" t="n"/>
      <c r="M275" s="74" t="n"/>
      <c r="N275" s="148">
        <f>IF(OR($E275="",$L275=""),"",IFERROR(($L275-IF($M275="",0,$M275)*IFERROR(VLOOKUP($K275,BasketTbl,4,0),IFERROR(INDEX(BasketTbl,MATCH($K275,BasketCodeCol,0),4),VLOOKUP("P01",ParamTbl,2,0))))*(1-IF(VLOOKUP($E275,OpTbl,3,0)="خرید",VLOOKUP("P02",ParamTbl,2,0),0)/100),""))</f>
        <v/>
      </c>
      <c r="O275" s="74" t="n"/>
      <c r="P275" s="76">
        <f>IF(OR($E275="",$L275=""),"",IFERROR(IF(VLOOKUP($E275,OpTbl,6,0)="وزن",ROUND($N275*$O275,-3),IF(VLOOKUP($E275,OpTbl,6,0)="مبلغ",ROUND($L275*$O275,-3),0)),""))</f>
        <v/>
      </c>
      <c r="Q275" s="74" t="n"/>
      <c r="R275" s="71" t="n"/>
      <c r="S275" s="77">
        <f>IF($E275="","",IF($AI275="⚠","⚠ ناتراز",IF(AND(IFERROR(VLOOKUP($E275,OpTbl,4,0),"")="بله",$L275=""),"⚠ وزن",IF(AND(IFERROR(VLOOKUP($E275,OpTbl,5,0),"")="بله",$U275=""),"⚠ حساب",IF(AND(IFERROR(VLOOKUP($E275,OpTbl,6,0),"")="مبلغ",$Q275=""),"⚠ مبلغ","✓")))))</f>
        <v/>
      </c>
      <c r="T275" s="72" t="n"/>
      <c r="U275" s="70">
        <f>IF($E275="","",IFERROR(IF(VLOOKUP($E275,OpTbl,14,0)&lt;&gt;"",VLOOKUP($E275,OpTbl,14,0),$G275),""))</f>
        <v/>
      </c>
      <c r="V275" s="76">
        <f>IF(OR($AJ275="",$AJ275=0,$AL275&lt;&gt;"بدهکار"),"",$AJ275)</f>
        <v/>
      </c>
      <c r="W275" s="76">
        <f>IF(OR($AJ275="",$AJ275=0,$AL275&lt;&gt;"بستانکار"),"",$AJ275)</f>
        <v/>
      </c>
      <c r="X275" s="70">
        <f>IF($E275="","",IFERROR(VLOOKUP($E275,OpTbl,8,0),""))</f>
        <v/>
      </c>
      <c r="Y275" s="76">
        <f>IF(OR($X275="",$AJ275="",$AJ275=0,$AM275&lt;&gt;"بدهکار"),"",$AJ275)</f>
        <v/>
      </c>
      <c r="Z275" s="76">
        <f>IF(OR($X275="",$AJ275="",$AJ275=0,$AM275&lt;&gt;"بستانکار"),"",$AJ275)</f>
        <v/>
      </c>
      <c r="AA275" s="70">
        <f>IF(OR($E275="",$AN275="—",$AN275=""),"",IFERROR(VLOOKUP($E275,OpTbl,12,0),""))</f>
        <v/>
      </c>
      <c r="AB275" s="76">
        <f>IF(OR($AA275="",$Q275="",$Q275=0,$AN275&lt;&gt;"بدهکار"),"",$Q275)</f>
        <v/>
      </c>
      <c r="AC275" s="76">
        <f>IF(OR($AA275="",$Q275="",$Q275=0,$AN275&lt;&gt;"بستانکار"),"",$Q275)</f>
        <v/>
      </c>
      <c r="AD275" s="70">
        <f>IF($AA275="","",IFERROR(VLOOKUP($E275,OpTbl,13,0),""))</f>
        <v/>
      </c>
      <c r="AE275" s="76">
        <f>IF(OR($AD275="",$Q275="",$Q275=0,$AN275&lt;&gt;"بستانکار"),"",$Q275)</f>
        <v/>
      </c>
      <c r="AF275" s="76">
        <f>IF(OR($AD275="",$Q275="",$Q275=0,$AN275&lt;&gt;"بدهکار"),"",$Q275)</f>
        <v/>
      </c>
      <c r="AG275" s="76">
        <f>SUM($V275,$Y275,$AB275,$AE275)</f>
        <v/>
      </c>
      <c r="AH275" s="76">
        <f>SUM($W275,$Z275,$AC275,$AF275)</f>
        <v/>
      </c>
      <c r="AI275" s="70">
        <f>IF($E275="","",IF(ROUND($AG275-$AH275,0)=0,"✓","⚠"))</f>
        <v/>
      </c>
      <c r="AJ275" s="76">
        <f>IF(OR($E275="",$U275=""),"",IFERROR(IF(VLOOKUP($E275,OpTbl,6,0)="وزن",IF($P275="",0,$P275),IF(VLOOKUP($E275,OpTbl,6,0)="مبلغ",IF(AND($Q275&lt;&gt;"",$Q275&lt;&gt;0),$Q275,$P275),0))+IF(VLOOKUP($E275,OpTbl,10,0)="افزودن",IF($Q275="",0,$Q275),0),0))</f>
        <v/>
      </c>
      <c r="AK275" s="70">
        <f>IF($E275="","",IFERROR(VLOOKUP($E275,OpTbl,10,0),""))</f>
        <v/>
      </c>
      <c r="AL275" s="70">
        <f>IF(OR($E275="",$U275=""),"",IFERROR(IF(VLOOKUP($E275,OpTbl,7,0)="خودکار",$R275,VLOOKUP($E275,OpTbl,7,0)),""))</f>
        <v/>
      </c>
      <c r="AM275" s="70">
        <f>IF(OR($E275="",$X275=""),"",IFERROR(IF(VLOOKUP($E275,OpTbl,9,0)="خودکار",IF($AL275="بدهکار","بستانکار",IF($AL275="بستانکار","بدهکار","")),VLOOKUP($E275,OpTbl,9,0)),""))</f>
        <v/>
      </c>
      <c r="AN275" s="70">
        <f>IF($E275="","",IFERROR(VLOOKUP($E275,OpTbl,11,0),""))</f>
        <v/>
      </c>
      <c r="AO275" s="70">
        <f>IF($B275="","",MID($B275,6,2))</f>
        <v/>
      </c>
      <c r="AP275" s="76">
        <f>IF($B275="",0,1)</f>
        <v/>
      </c>
    </row>
    <row r="276" ht="21.75" customHeight="1">
      <c r="A276" s="70">
        <f>IF($B276="","",COUNTA($B$10:$B276))</f>
        <v/>
      </c>
      <c r="B276" s="71" t="n"/>
      <c r="C276" s="71" t="n"/>
      <c r="D276" s="71" t="n"/>
      <c r="E276" s="71" t="n"/>
      <c r="F276" s="70">
        <f>IF($E276="","",IFERROR(VLOOKUP($E276,OpTbl,2,0),""))</f>
        <v/>
      </c>
      <c r="G276" s="71" t="n"/>
      <c r="H276" s="73">
        <f>IF($U276="","",IFERROR(VLOOKUP($U276,AcctTbl,2,0),"کد ناشناخته"))</f>
        <v/>
      </c>
      <c r="I276" s="70">
        <f>IF($U276="","",IFERROR(VLOOKUP($U276,AcctTbl,3,0),""))</f>
        <v/>
      </c>
      <c r="J276" s="72" t="n"/>
      <c r="K276" s="71" t="n"/>
      <c r="L276" s="74" t="n"/>
      <c r="M276" s="74" t="n"/>
      <c r="N276" s="148">
        <f>IF(OR($E276="",$L276=""),"",IFERROR(($L276-IF($M276="",0,$M276)*IFERROR(VLOOKUP($K276,BasketTbl,4,0),IFERROR(INDEX(BasketTbl,MATCH($K276,BasketCodeCol,0),4),VLOOKUP("P01",ParamTbl,2,0))))*(1-IF(VLOOKUP($E276,OpTbl,3,0)="خرید",VLOOKUP("P02",ParamTbl,2,0),0)/100),""))</f>
        <v/>
      </c>
      <c r="O276" s="74" t="n"/>
      <c r="P276" s="76">
        <f>IF(OR($E276="",$L276=""),"",IFERROR(IF(VLOOKUP($E276,OpTbl,6,0)="وزن",ROUND($N276*$O276,-3),IF(VLOOKUP($E276,OpTbl,6,0)="مبلغ",ROUND($L276*$O276,-3),0)),""))</f>
        <v/>
      </c>
      <c r="Q276" s="74" t="n"/>
      <c r="R276" s="71" t="n"/>
      <c r="S276" s="77">
        <f>IF($E276="","",IF($AI276="⚠","⚠ ناتراز",IF(AND(IFERROR(VLOOKUP($E276,OpTbl,4,0),"")="بله",$L276=""),"⚠ وزن",IF(AND(IFERROR(VLOOKUP($E276,OpTbl,5,0),"")="بله",$U276=""),"⚠ حساب",IF(AND(IFERROR(VLOOKUP($E276,OpTbl,6,0),"")="مبلغ",$Q276=""),"⚠ مبلغ","✓")))))</f>
        <v/>
      </c>
      <c r="T276" s="72" t="n"/>
      <c r="U276" s="70">
        <f>IF($E276="","",IFERROR(IF(VLOOKUP($E276,OpTbl,14,0)&lt;&gt;"",VLOOKUP($E276,OpTbl,14,0),$G276),""))</f>
        <v/>
      </c>
      <c r="V276" s="76">
        <f>IF(OR($AJ276="",$AJ276=0,$AL276&lt;&gt;"بدهکار"),"",$AJ276)</f>
        <v/>
      </c>
      <c r="W276" s="76">
        <f>IF(OR($AJ276="",$AJ276=0,$AL276&lt;&gt;"بستانکار"),"",$AJ276)</f>
        <v/>
      </c>
      <c r="X276" s="70">
        <f>IF($E276="","",IFERROR(VLOOKUP($E276,OpTbl,8,0),""))</f>
        <v/>
      </c>
      <c r="Y276" s="76">
        <f>IF(OR($X276="",$AJ276="",$AJ276=0,$AM276&lt;&gt;"بدهکار"),"",$AJ276)</f>
        <v/>
      </c>
      <c r="Z276" s="76">
        <f>IF(OR($X276="",$AJ276="",$AJ276=0,$AM276&lt;&gt;"بستانکار"),"",$AJ276)</f>
        <v/>
      </c>
      <c r="AA276" s="70">
        <f>IF(OR($E276="",$AN276="—",$AN276=""),"",IFERROR(VLOOKUP($E276,OpTbl,12,0),""))</f>
        <v/>
      </c>
      <c r="AB276" s="76">
        <f>IF(OR($AA276="",$Q276="",$Q276=0,$AN276&lt;&gt;"بدهکار"),"",$Q276)</f>
        <v/>
      </c>
      <c r="AC276" s="76">
        <f>IF(OR($AA276="",$Q276="",$Q276=0,$AN276&lt;&gt;"بستانکار"),"",$Q276)</f>
        <v/>
      </c>
      <c r="AD276" s="70">
        <f>IF($AA276="","",IFERROR(VLOOKUP($E276,OpTbl,13,0),""))</f>
        <v/>
      </c>
      <c r="AE276" s="76">
        <f>IF(OR($AD276="",$Q276="",$Q276=0,$AN276&lt;&gt;"بستانکار"),"",$Q276)</f>
        <v/>
      </c>
      <c r="AF276" s="76">
        <f>IF(OR($AD276="",$Q276="",$Q276=0,$AN276&lt;&gt;"بدهکار"),"",$Q276)</f>
        <v/>
      </c>
      <c r="AG276" s="76">
        <f>SUM($V276,$Y276,$AB276,$AE276)</f>
        <v/>
      </c>
      <c r="AH276" s="76">
        <f>SUM($W276,$Z276,$AC276,$AF276)</f>
        <v/>
      </c>
      <c r="AI276" s="70">
        <f>IF($E276="","",IF(ROUND($AG276-$AH276,0)=0,"✓","⚠"))</f>
        <v/>
      </c>
      <c r="AJ276" s="76">
        <f>IF(OR($E276="",$U276=""),"",IFERROR(IF(VLOOKUP($E276,OpTbl,6,0)="وزن",IF($P276="",0,$P276),IF(VLOOKUP($E276,OpTbl,6,0)="مبلغ",IF(AND($Q276&lt;&gt;"",$Q276&lt;&gt;0),$Q276,$P276),0))+IF(VLOOKUP($E276,OpTbl,10,0)="افزودن",IF($Q276="",0,$Q276),0),0))</f>
        <v/>
      </c>
      <c r="AK276" s="70">
        <f>IF($E276="","",IFERROR(VLOOKUP($E276,OpTbl,10,0),""))</f>
        <v/>
      </c>
      <c r="AL276" s="70">
        <f>IF(OR($E276="",$U276=""),"",IFERROR(IF(VLOOKUP($E276,OpTbl,7,0)="خودکار",$R276,VLOOKUP($E276,OpTbl,7,0)),""))</f>
        <v/>
      </c>
      <c r="AM276" s="70">
        <f>IF(OR($E276="",$X276=""),"",IFERROR(IF(VLOOKUP($E276,OpTbl,9,0)="خودکار",IF($AL276="بدهکار","بستانکار",IF($AL276="بستانکار","بدهکار","")),VLOOKUP($E276,OpTbl,9,0)),""))</f>
        <v/>
      </c>
      <c r="AN276" s="70">
        <f>IF($E276="","",IFERROR(VLOOKUP($E276,OpTbl,11,0),""))</f>
        <v/>
      </c>
      <c r="AO276" s="70">
        <f>IF($B276="","",MID($B276,6,2))</f>
        <v/>
      </c>
      <c r="AP276" s="76">
        <f>IF($B276="",0,1)</f>
        <v/>
      </c>
    </row>
    <row r="277" ht="21.75" customHeight="1">
      <c r="A277" s="70">
        <f>IF($B277="","",COUNTA($B$10:$B277))</f>
        <v/>
      </c>
      <c r="B277" s="71" t="n"/>
      <c r="C277" s="71" t="n"/>
      <c r="D277" s="71" t="n"/>
      <c r="E277" s="71" t="n"/>
      <c r="F277" s="70">
        <f>IF($E277="","",IFERROR(VLOOKUP($E277,OpTbl,2,0),""))</f>
        <v/>
      </c>
      <c r="G277" s="71" t="n"/>
      <c r="H277" s="73">
        <f>IF($U277="","",IFERROR(VLOOKUP($U277,AcctTbl,2,0),"کد ناشناخته"))</f>
        <v/>
      </c>
      <c r="I277" s="70">
        <f>IF($U277="","",IFERROR(VLOOKUP($U277,AcctTbl,3,0),""))</f>
        <v/>
      </c>
      <c r="J277" s="72" t="n"/>
      <c r="K277" s="71" t="n"/>
      <c r="L277" s="74" t="n"/>
      <c r="M277" s="74" t="n"/>
      <c r="N277" s="148">
        <f>IF(OR($E277="",$L277=""),"",IFERROR(($L277-IF($M277="",0,$M277)*IFERROR(VLOOKUP($K277,BasketTbl,4,0),IFERROR(INDEX(BasketTbl,MATCH($K277,BasketCodeCol,0),4),VLOOKUP("P01",ParamTbl,2,0))))*(1-IF(VLOOKUP($E277,OpTbl,3,0)="خرید",VLOOKUP("P02",ParamTbl,2,0),0)/100),""))</f>
        <v/>
      </c>
      <c r="O277" s="74" t="n"/>
      <c r="P277" s="76">
        <f>IF(OR($E277="",$L277=""),"",IFERROR(IF(VLOOKUP($E277,OpTbl,6,0)="وزن",ROUND($N277*$O277,-3),IF(VLOOKUP($E277,OpTbl,6,0)="مبلغ",ROUND($L277*$O277,-3),0)),""))</f>
        <v/>
      </c>
      <c r="Q277" s="74" t="n"/>
      <c r="R277" s="71" t="n"/>
      <c r="S277" s="77">
        <f>IF($E277="","",IF($AI277="⚠","⚠ ناتراز",IF(AND(IFERROR(VLOOKUP($E277,OpTbl,4,0),"")="بله",$L277=""),"⚠ وزن",IF(AND(IFERROR(VLOOKUP($E277,OpTbl,5,0),"")="بله",$U277=""),"⚠ حساب",IF(AND(IFERROR(VLOOKUP($E277,OpTbl,6,0),"")="مبلغ",$Q277=""),"⚠ مبلغ","✓")))))</f>
        <v/>
      </c>
      <c r="T277" s="72" t="n"/>
      <c r="U277" s="70">
        <f>IF($E277="","",IFERROR(IF(VLOOKUP($E277,OpTbl,14,0)&lt;&gt;"",VLOOKUP($E277,OpTbl,14,0),$G277),""))</f>
        <v/>
      </c>
      <c r="V277" s="76">
        <f>IF(OR($AJ277="",$AJ277=0,$AL277&lt;&gt;"بدهکار"),"",$AJ277)</f>
        <v/>
      </c>
      <c r="W277" s="76">
        <f>IF(OR($AJ277="",$AJ277=0,$AL277&lt;&gt;"بستانکار"),"",$AJ277)</f>
        <v/>
      </c>
      <c r="X277" s="70">
        <f>IF($E277="","",IFERROR(VLOOKUP($E277,OpTbl,8,0),""))</f>
        <v/>
      </c>
      <c r="Y277" s="76">
        <f>IF(OR($X277="",$AJ277="",$AJ277=0,$AM277&lt;&gt;"بدهکار"),"",$AJ277)</f>
        <v/>
      </c>
      <c r="Z277" s="76">
        <f>IF(OR($X277="",$AJ277="",$AJ277=0,$AM277&lt;&gt;"بستانکار"),"",$AJ277)</f>
        <v/>
      </c>
      <c r="AA277" s="70">
        <f>IF(OR($E277="",$AN277="—",$AN277=""),"",IFERROR(VLOOKUP($E277,OpTbl,12,0),""))</f>
        <v/>
      </c>
      <c r="AB277" s="76">
        <f>IF(OR($AA277="",$Q277="",$Q277=0,$AN277&lt;&gt;"بدهکار"),"",$Q277)</f>
        <v/>
      </c>
      <c r="AC277" s="76">
        <f>IF(OR($AA277="",$Q277="",$Q277=0,$AN277&lt;&gt;"بستانکار"),"",$Q277)</f>
        <v/>
      </c>
      <c r="AD277" s="70">
        <f>IF($AA277="","",IFERROR(VLOOKUP($E277,OpTbl,13,0),""))</f>
        <v/>
      </c>
      <c r="AE277" s="76">
        <f>IF(OR($AD277="",$Q277="",$Q277=0,$AN277&lt;&gt;"بستانکار"),"",$Q277)</f>
        <v/>
      </c>
      <c r="AF277" s="76">
        <f>IF(OR($AD277="",$Q277="",$Q277=0,$AN277&lt;&gt;"بدهکار"),"",$Q277)</f>
        <v/>
      </c>
      <c r="AG277" s="76">
        <f>SUM($V277,$Y277,$AB277,$AE277)</f>
        <v/>
      </c>
      <c r="AH277" s="76">
        <f>SUM($W277,$Z277,$AC277,$AF277)</f>
        <v/>
      </c>
      <c r="AI277" s="70">
        <f>IF($E277="","",IF(ROUND($AG277-$AH277,0)=0,"✓","⚠"))</f>
        <v/>
      </c>
      <c r="AJ277" s="76">
        <f>IF(OR($E277="",$U277=""),"",IFERROR(IF(VLOOKUP($E277,OpTbl,6,0)="وزن",IF($P277="",0,$P277),IF(VLOOKUP($E277,OpTbl,6,0)="مبلغ",IF(AND($Q277&lt;&gt;"",$Q277&lt;&gt;0),$Q277,$P277),0))+IF(VLOOKUP($E277,OpTbl,10,0)="افزودن",IF($Q277="",0,$Q277),0),0))</f>
        <v/>
      </c>
      <c r="AK277" s="70">
        <f>IF($E277="","",IFERROR(VLOOKUP($E277,OpTbl,10,0),""))</f>
        <v/>
      </c>
      <c r="AL277" s="70">
        <f>IF(OR($E277="",$U277=""),"",IFERROR(IF(VLOOKUP($E277,OpTbl,7,0)="خودکار",$R277,VLOOKUP($E277,OpTbl,7,0)),""))</f>
        <v/>
      </c>
      <c r="AM277" s="70">
        <f>IF(OR($E277="",$X277=""),"",IFERROR(IF(VLOOKUP($E277,OpTbl,9,0)="خودکار",IF($AL277="بدهکار","بستانکار",IF($AL277="بستانکار","بدهکار","")),VLOOKUP($E277,OpTbl,9,0)),""))</f>
        <v/>
      </c>
      <c r="AN277" s="70">
        <f>IF($E277="","",IFERROR(VLOOKUP($E277,OpTbl,11,0),""))</f>
        <v/>
      </c>
      <c r="AO277" s="70">
        <f>IF($B277="","",MID($B277,6,2))</f>
        <v/>
      </c>
      <c r="AP277" s="76">
        <f>IF($B277="",0,1)</f>
        <v/>
      </c>
    </row>
    <row r="278" ht="21.75" customHeight="1">
      <c r="A278" s="70">
        <f>IF($B278="","",COUNTA($B$10:$B278))</f>
        <v/>
      </c>
      <c r="B278" s="71" t="n"/>
      <c r="C278" s="71" t="n"/>
      <c r="D278" s="71" t="n"/>
      <c r="E278" s="71" t="n"/>
      <c r="F278" s="70">
        <f>IF($E278="","",IFERROR(VLOOKUP($E278,OpTbl,2,0),""))</f>
        <v/>
      </c>
      <c r="G278" s="71" t="n"/>
      <c r="H278" s="73">
        <f>IF($U278="","",IFERROR(VLOOKUP($U278,AcctTbl,2,0),"کد ناشناخته"))</f>
        <v/>
      </c>
      <c r="I278" s="70">
        <f>IF($U278="","",IFERROR(VLOOKUP($U278,AcctTbl,3,0),""))</f>
        <v/>
      </c>
      <c r="J278" s="72" t="n"/>
      <c r="K278" s="71" t="n"/>
      <c r="L278" s="74" t="n"/>
      <c r="M278" s="74" t="n"/>
      <c r="N278" s="148">
        <f>IF(OR($E278="",$L278=""),"",IFERROR(($L278-IF($M278="",0,$M278)*IFERROR(VLOOKUP($K278,BasketTbl,4,0),IFERROR(INDEX(BasketTbl,MATCH($K278,BasketCodeCol,0),4),VLOOKUP("P01",ParamTbl,2,0))))*(1-IF(VLOOKUP($E278,OpTbl,3,0)="خرید",VLOOKUP("P02",ParamTbl,2,0),0)/100),""))</f>
        <v/>
      </c>
      <c r="O278" s="74" t="n"/>
      <c r="P278" s="76">
        <f>IF(OR($E278="",$L278=""),"",IFERROR(IF(VLOOKUP($E278,OpTbl,6,0)="وزن",ROUND($N278*$O278,-3),IF(VLOOKUP($E278,OpTbl,6,0)="مبلغ",ROUND($L278*$O278,-3),0)),""))</f>
        <v/>
      </c>
      <c r="Q278" s="74" t="n"/>
      <c r="R278" s="71" t="n"/>
      <c r="S278" s="77">
        <f>IF($E278="","",IF($AI278="⚠","⚠ ناتراز",IF(AND(IFERROR(VLOOKUP($E278,OpTbl,4,0),"")="بله",$L278=""),"⚠ وزن",IF(AND(IFERROR(VLOOKUP($E278,OpTbl,5,0),"")="بله",$U278=""),"⚠ حساب",IF(AND(IFERROR(VLOOKUP($E278,OpTbl,6,0),"")="مبلغ",$Q278=""),"⚠ مبلغ","✓")))))</f>
        <v/>
      </c>
      <c r="T278" s="72" t="n"/>
      <c r="U278" s="70">
        <f>IF($E278="","",IFERROR(IF(VLOOKUP($E278,OpTbl,14,0)&lt;&gt;"",VLOOKUP($E278,OpTbl,14,0),$G278),""))</f>
        <v/>
      </c>
      <c r="V278" s="76">
        <f>IF(OR($AJ278="",$AJ278=0,$AL278&lt;&gt;"بدهکار"),"",$AJ278)</f>
        <v/>
      </c>
      <c r="W278" s="76">
        <f>IF(OR($AJ278="",$AJ278=0,$AL278&lt;&gt;"بستانکار"),"",$AJ278)</f>
        <v/>
      </c>
      <c r="X278" s="70">
        <f>IF($E278="","",IFERROR(VLOOKUP($E278,OpTbl,8,0),""))</f>
        <v/>
      </c>
      <c r="Y278" s="76">
        <f>IF(OR($X278="",$AJ278="",$AJ278=0,$AM278&lt;&gt;"بدهکار"),"",$AJ278)</f>
        <v/>
      </c>
      <c r="Z278" s="76">
        <f>IF(OR($X278="",$AJ278="",$AJ278=0,$AM278&lt;&gt;"بستانکار"),"",$AJ278)</f>
        <v/>
      </c>
      <c r="AA278" s="70">
        <f>IF(OR($E278="",$AN278="—",$AN278=""),"",IFERROR(VLOOKUP($E278,OpTbl,12,0),""))</f>
        <v/>
      </c>
      <c r="AB278" s="76">
        <f>IF(OR($AA278="",$Q278="",$Q278=0,$AN278&lt;&gt;"بدهکار"),"",$Q278)</f>
        <v/>
      </c>
      <c r="AC278" s="76">
        <f>IF(OR($AA278="",$Q278="",$Q278=0,$AN278&lt;&gt;"بستانکار"),"",$Q278)</f>
        <v/>
      </c>
      <c r="AD278" s="70">
        <f>IF($AA278="","",IFERROR(VLOOKUP($E278,OpTbl,13,0),""))</f>
        <v/>
      </c>
      <c r="AE278" s="76">
        <f>IF(OR($AD278="",$Q278="",$Q278=0,$AN278&lt;&gt;"بستانکار"),"",$Q278)</f>
        <v/>
      </c>
      <c r="AF278" s="76">
        <f>IF(OR($AD278="",$Q278="",$Q278=0,$AN278&lt;&gt;"بدهکار"),"",$Q278)</f>
        <v/>
      </c>
      <c r="AG278" s="76">
        <f>SUM($V278,$Y278,$AB278,$AE278)</f>
        <v/>
      </c>
      <c r="AH278" s="76">
        <f>SUM($W278,$Z278,$AC278,$AF278)</f>
        <v/>
      </c>
      <c r="AI278" s="70">
        <f>IF($E278="","",IF(ROUND($AG278-$AH278,0)=0,"✓","⚠"))</f>
        <v/>
      </c>
      <c r="AJ278" s="76">
        <f>IF(OR($E278="",$U278=""),"",IFERROR(IF(VLOOKUP($E278,OpTbl,6,0)="وزن",IF($P278="",0,$P278),IF(VLOOKUP($E278,OpTbl,6,0)="مبلغ",IF(AND($Q278&lt;&gt;"",$Q278&lt;&gt;0),$Q278,$P278),0))+IF(VLOOKUP($E278,OpTbl,10,0)="افزودن",IF($Q278="",0,$Q278),0),0))</f>
        <v/>
      </c>
      <c r="AK278" s="70">
        <f>IF($E278="","",IFERROR(VLOOKUP($E278,OpTbl,10,0),""))</f>
        <v/>
      </c>
      <c r="AL278" s="70">
        <f>IF(OR($E278="",$U278=""),"",IFERROR(IF(VLOOKUP($E278,OpTbl,7,0)="خودکار",$R278,VLOOKUP($E278,OpTbl,7,0)),""))</f>
        <v/>
      </c>
      <c r="AM278" s="70">
        <f>IF(OR($E278="",$X278=""),"",IFERROR(IF(VLOOKUP($E278,OpTbl,9,0)="خودکار",IF($AL278="بدهکار","بستانکار",IF($AL278="بستانکار","بدهکار","")),VLOOKUP($E278,OpTbl,9,0)),""))</f>
        <v/>
      </c>
      <c r="AN278" s="70">
        <f>IF($E278="","",IFERROR(VLOOKUP($E278,OpTbl,11,0),""))</f>
        <v/>
      </c>
      <c r="AO278" s="70">
        <f>IF($B278="","",MID($B278,6,2))</f>
        <v/>
      </c>
      <c r="AP278" s="76">
        <f>IF($B278="",0,1)</f>
        <v/>
      </c>
    </row>
    <row r="279" ht="21.75" customHeight="1">
      <c r="A279" s="70">
        <f>IF($B279="","",COUNTA($B$10:$B279))</f>
        <v/>
      </c>
      <c r="B279" s="71" t="n"/>
      <c r="C279" s="71" t="n"/>
      <c r="D279" s="71" t="n"/>
      <c r="E279" s="71" t="n"/>
      <c r="F279" s="70">
        <f>IF($E279="","",IFERROR(VLOOKUP($E279,OpTbl,2,0),""))</f>
        <v/>
      </c>
      <c r="G279" s="71" t="n"/>
      <c r="H279" s="73">
        <f>IF($U279="","",IFERROR(VLOOKUP($U279,AcctTbl,2,0),"کد ناشناخته"))</f>
        <v/>
      </c>
      <c r="I279" s="70">
        <f>IF($U279="","",IFERROR(VLOOKUP($U279,AcctTbl,3,0),""))</f>
        <v/>
      </c>
      <c r="J279" s="72" t="n"/>
      <c r="K279" s="71" t="n"/>
      <c r="L279" s="74" t="n"/>
      <c r="M279" s="74" t="n"/>
      <c r="N279" s="148">
        <f>IF(OR($E279="",$L279=""),"",IFERROR(($L279-IF($M279="",0,$M279)*IFERROR(VLOOKUP($K279,BasketTbl,4,0),IFERROR(INDEX(BasketTbl,MATCH($K279,BasketCodeCol,0),4),VLOOKUP("P01",ParamTbl,2,0))))*(1-IF(VLOOKUP($E279,OpTbl,3,0)="خرید",VLOOKUP("P02",ParamTbl,2,0),0)/100),""))</f>
        <v/>
      </c>
      <c r="O279" s="74" t="n"/>
      <c r="P279" s="76">
        <f>IF(OR($E279="",$L279=""),"",IFERROR(IF(VLOOKUP($E279,OpTbl,6,0)="وزن",ROUND($N279*$O279,-3),IF(VLOOKUP($E279,OpTbl,6,0)="مبلغ",ROUND($L279*$O279,-3),0)),""))</f>
        <v/>
      </c>
      <c r="Q279" s="74" t="n"/>
      <c r="R279" s="71" t="n"/>
      <c r="S279" s="77">
        <f>IF($E279="","",IF($AI279="⚠","⚠ ناتراز",IF(AND(IFERROR(VLOOKUP($E279,OpTbl,4,0),"")="بله",$L279=""),"⚠ وزن",IF(AND(IFERROR(VLOOKUP($E279,OpTbl,5,0),"")="بله",$U279=""),"⚠ حساب",IF(AND(IFERROR(VLOOKUP($E279,OpTbl,6,0),"")="مبلغ",$Q279=""),"⚠ مبلغ","✓")))))</f>
        <v/>
      </c>
      <c r="T279" s="72" t="n"/>
      <c r="U279" s="70">
        <f>IF($E279="","",IFERROR(IF(VLOOKUP($E279,OpTbl,14,0)&lt;&gt;"",VLOOKUP($E279,OpTbl,14,0),$G279),""))</f>
        <v/>
      </c>
      <c r="V279" s="76">
        <f>IF(OR($AJ279="",$AJ279=0,$AL279&lt;&gt;"بدهکار"),"",$AJ279)</f>
        <v/>
      </c>
      <c r="W279" s="76">
        <f>IF(OR($AJ279="",$AJ279=0,$AL279&lt;&gt;"بستانکار"),"",$AJ279)</f>
        <v/>
      </c>
      <c r="X279" s="70">
        <f>IF($E279="","",IFERROR(VLOOKUP($E279,OpTbl,8,0),""))</f>
        <v/>
      </c>
      <c r="Y279" s="76">
        <f>IF(OR($X279="",$AJ279="",$AJ279=0,$AM279&lt;&gt;"بدهکار"),"",$AJ279)</f>
        <v/>
      </c>
      <c r="Z279" s="76">
        <f>IF(OR($X279="",$AJ279="",$AJ279=0,$AM279&lt;&gt;"بستانکار"),"",$AJ279)</f>
        <v/>
      </c>
      <c r="AA279" s="70">
        <f>IF(OR($E279="",$AN279="—",$AN279=""),"",IFERROR(VLOOKUP($E279,OpTbl,12,0),""))</f>
        <v/>
      </c>
      <c r="AB279" s="76">
        <f>IF(OR($AA279="",$Q279="",$Q279=0,$AN279&lt;&gt;"بدهکار"),"",$Q279)</f>
        <v/>
      </c>
      <c r="AC279" s="76">
        <f>IF(OR($AA279="",$Q279="",$Q279=0,$AN279&lt;&gt;"بستانکار"),"",$Q279)</f>
        <v/>
      </c>
      <c r="AD279" s="70">
        <f>IF($AA279="","",IFERROR(VLOOKUP($E279,OpTbl,13,0),""))</f>
        <v/>
      </c>
      <c r="AE279" s="76">
        <f>IF(OR($AD279="",$Q279="",$Q279=0,$AN279&lt;&gt;"بستانکار"),"",$Q279)</f>
        <v/>
      </c>
      <c r="AF279" s="76">
        <f>IF(OR($AD279="",$Q279="",$Q279=0,$AN279&lt;&gt;"بدهکار"),"",$Q279)</f>
        <v/>
      </c>
      <c r="AG279" s="76">
        <f>SUM($V279,$Y279,$AB279,$AE279)</f>
        <v/>
      </c>
      <c r="AH279" s="76">
        <f>SUM($W279,$Z279,$AC279,$AF279)</f>
        <v/>
      </c>
      <c r="AI279" s="70">
        <f>IF($E279="","",IF(ROUND($AG279-$AH279,0)=0,"✓","⚠"))</f>
        <v/>
      </c>
      <c r="AJ279" s="76">
        <f>IF(OR($E279="",$U279=""),"",IFERROR(IF(VLOOKUP($E279,OpTbl,6,0)="وزن",IF($P279="",0,$P279),IF(VLOOKUP($E279,OpTbl,6,0)="مبلغ",IF(AND($Q279&lt;&gt;"",$Q279&lt;&gt;0),$Q279,$P279),0))+IF(VLOOKUP($E279,OpTbl,10,0)="افزودن",IF($Q279="",0,$Q279),0),0))</f>
        <v/>
      </c>
      <c r="AK279" s="70">
        <f>IF($E279="","",IFERROR(VLOOKUP($E279,OpTbl,10,0),""))</f>
        <v/>
      </c>
      <c r="AL279" s="70">
        <f>IF(OR($E279="",$U279=""),"",IFERROR(IF(VLOOKUP($E279,OpTbl,7,0)="خودکار",$R279,VLOOKUP($E279,OpTbl,7,0)),""))</f>
        <v/>
      </c>
      <c r="AM279" s="70">
        <f>IF(OR($E279="",$X279=""),"",IFERROR(IF(VLOOKUP($E279,OpTbl,9,0)="خودکار",IF($AL279="بدهکار","بستانکار",IF($AL279="بستانکار","بدهکار","")),VLOOKUP($E279,OpTbl,9,0)),""))</f>
        <v/>
      </c>
      <c r="AN279" s="70">
        <f>IF($E279="","",IFERROR(VLOOKUP($E279,OpTbl,11,0),""))</f>
        <v/>
      </c>
      <c r="AO279" s="70">
        <f>IF($B279="","",MID($B279,6,2))</f>
        <v/>
      </c>
      <c r="AP279" s="76">
        <f>IF($B279="",0,1)</f>
        <v/>
      </c>
    </row>
    <row r="280" ht="21.75" customHeight="1">
      <c r="A280" s="70">
        <f>IF($B280="","",COUNTA($B$10:$B280))</f>
        <v/>
      </c>
      <c r="B280" s="71" t="n"/>
      <c r="C280" s="71" t="n"/>
      <c r="D280" s="71" t="n"/>
      <c r="E280" s="71" t="n"/>
      <c r="F280" s="70">
        <f>IF($E280="","",IFERROR(VLOOKUP($E280,OpTbl,2,0),""))</f>
        <v/>
      </c>
      <c r="G280" s="71" t="n"/>
      <c r="H280" s="73">
        <f>IF($U280="","",IFERROR(VLOOKUP($U280,AcctTbl,2,0),"کد ناشناخته"))</f>
        <v/>
      </c>
      <c r="I280" s="70">
        <f>IF($U280="","",IFERROR(VLOOKUP($U280,AcctTbl,3,0),""))</f>
        <v/>
      </c>
      <c r="J280" s="72" t="n"/>
      <c r="K280" s="71" t="n"/>
      <c r="L280" s="74" t="n"/>
      <c r="M280" s="74" t="n"/>
      <c r="N280" s="148">
        <f>IF(OR($E280="",$L280=""),"",IFERROR(($L280-IF($M280="",0,$M280)*IFERROR(VLOOKUP($K280,BasketTbl,4,0),IFERROR(INDEX(BasketTbl,MATCH($K280,BasketCodeCol,0),4),VLOOKUP("P01",ParamTbl,2,0))))*(1-IF(VLOOKUP($E280,OpTbl,3,0)="خرید",VLOOKUP("P02",ParamTbl,2,0),0)/100),""))</f>
        <v/>
      </c>
      <c r="O280" s="74" t="n"/>
      <c r="P280" s="76">
        <f>IF(OR($E280="",$L280=""),"",IFERROR(IF(VLOOKUP($E280,OpTbl,6,0)="وزن",ROUND($N280*$O280,-3),IF(VLOOKUP($E280,OpTbl,6,0)="مبلغ",ROUND($L280*$O280,-3),0)),""))</f>
        <v/>
      </c>
      <c r="Q280" s="74" t="n"/>
      <c r="R280" s="71" t="n"/>
      <c r="S280" s="77">
        <f>IF($E280="","",IF($AI280="⚠","⚠ ناتراز",IF(AND(IFERROR(VLOOKUP($E280,OpTbl,4,0),"")="بله",$L280=""),"⚠ وزن",IF(AND(IFERROR(VLOOKUP($E280,OpTbl,5,0),"")="بله",$U280=""),"⚠ حساب",IF(AND(IFERROR(VLOOKUP($E280,OpTbl,6,0),"")="مبلغ",$Q280=""),"⚠ مبلغ","✓")))))</f>
        <v/>
      </c>
      <c r="T280" s="72" t="n"/>
      <c r="U280" s="70">
        <f>IF($E280="","",IFERROR(IF(VLOOKUP($E280,OpTbl,14,0)&lt;&gt;"",VLOOKUP($E280,OpTbl,14,0),$G280),""))</f>
        <v/>
      </c>
      <c r="V280" s="76">
        <f>IF(OR($AJ280="",$AJ280=0,$AL280&lt;&gt;"بدهکار"),"",$AJ280)</f>
        <v/>
      </c>
      <c r="W280" s="76">
        <f>IF(OR($AJ280="",$AJ280=0,$AL280&lt;&gt;"بستانکار"),"",$AJ280)</f>
        <v/>
      </c>
      <c r="X280" s="70">
        <f>IF($E280="","",IFERROR(VLOOKUP($E280,OpTbl,8,0),""))</f>
        <v/>
      </c>
      <c r="Y280" s="76">
        <f>IF(OR($X280="",$AJ280="",$AJ280=0,$AM280&lt;&gt;"بدهکار"),"",$AJ280)</f>
        <v/>
      </c>
      <c r="Z280" s="76">
        <f>IF(OR($X280="",$AJ280="",$AJ280=0,$AM280&lt;&gt;"بستانکار"),"",$AJ280)</f>
        <v/>
      </c>
      <c r="AA280" s="70">
        <f>IF(OR($E280="",$AN280="—",$AN280=""),"",IFERROR(VLOOKUP($E280,OpTbl,12,0),""))</f>
        <v/>
      </c>
      <c r="AB280" s="76">
        <f>IF(OR($AA280="",$Q280="",$Q280=0,$AN280&lt;&gt;"بدهکار"),"",$Q280)</f>
        <v/>
      </c>
      <c r="AC280" s="76">
        <f>IF(OR($AA280="",$Q280="",$Q280=0,$AN280&lt;&gt;"بستانکار"),"",$Q280)</f>
        <v/>
      </c>
      <c r="AD280" s="70">
        <f>IF($AA280="","",IFERROR(VLOOKUP($E280,OpTbl,13,0),""))</f>
        <v/>
      </c>
      <c r="AE280" s="76">
        <f>IF(OR($AD280="",$Q280="",$Q280=0,$AN280&lt;&gt;"بستانکار"),"",$Q280)</f>
        <v/>
      </c>
      <c r="AF280" s="76">
        <f>IF(OR($AD280="",$Q280="",$Q280=0,$AN280&lt;&gt;"بدهکار"),"",$Q280)</f>
        <v/>
      </c>
      <c r="AG280" s="76">
        <f>SUM($V280,$Y280,$AB280,$AE280)</f>
        <v/>
      </c>
      <c r="AH280" s="76">
        <f>SUM($W280,$Z280,$AC280,$AF280)</f>
        <v/>
      </c>
      <c r="AI280" s="70">
        <f>IF($E280="","",IF(ROUND($AG280-$AH280,0)=0,"✓","⚠"))</f>
        <v/>
      </c>
      <c r="AJ280" s="76">
        <f>IF(OR($E280="",$U280=""),"",IFERROR(IF(VLOOKUP($E280,OpTbl,6,0)="وزن",IF($P280="",0,$P280),IF(VLOOKUP($E280,OpTbl,6,0)="مبلغ",IF(AND($Q280&lt;&gt;"",$Q280&lt;&gt;0),$Q280,$P280),0))+IF(VLOOKUP($E280,OpTbl,10,0)="افزودن",IF($Q280="",0,$Q280),0),0))</f>
        <v/>
      </c>
      <c r="AK280" s="70">
        <f>IF($E280="","",IFERROR(VLOOKUP($E280,OpTbl,10,0),""))</f>
        <v/>
      </c>
      <c r="AL280" s="70">
        <f>IF(OR($E280="",$U280=""),"",IFERROR(IF(VLOOKUP($E280,OpTbl,7,0)="خودکار",$R280,VLOOKUP($E280,OpTbl,7,0)),""))</f>
        <v/>
      </c>
      <c r="AM280" s="70">
        <f>IF(OR($E280="",$X280=""),"",IFERROR(IF(VLOOKUP($E280,OpTbl,9,0)="خودکار",IF($AL280="بدهکار","بستانکار",IF($AL280="بستانکار","بدهکار","")),VLOOKUP($E280,OpTbl,9,0)),""))</f>
        <v/>
      </c>
      <c r="AN280" s="70">
        <f>IF($E280="","",IFERROR(VLOOKUP($E280,OpTbl,11,0),""))</f>
        <v/>
      </c>
      <c r="AO280" s="70">
        <f>IF($B280="","",MID($B280,6,2))</f>
        <v/>
      </c>
      <c r="AP280" s="76">
        <f>IF($B280="",0,1)</f>
        <v/>
      </c>
    </row>
    <row r="281" ht="21.75" customHeight="1">
      <c r="A281" s="70">
        <f>IF($B281="","",COUNTA($B$10:$B281))</f>
        <v/>
      </c>
      <c r="B281" s="71" t="n"/>
      <c r="C281" s="71" t="n"/>
      <c r="D281" s="71" t="n"/>
      <c r="E281" s="71" t="n"/>
      <c r="F281" s="70">
        <f>IF($E281="","",IFERROR(VLOOKUP($E281,OpTbl,2,0),""))</f>
        <v/>
      </c>
      <c r="G281" s="71" t="n"/>
      <c r="H281" s="73">
        <f>IF($U281="","",IFERROR(VLOOKUP($U281,AcctTbl,2,0),"کد ناشناخته"))</f>
        <v/>
      </c>
      <c r="I281" s="70">
        <f>IF($U281="","",IFERROR(VLOOKUP($U281,AcctTbl,3,0),""))</f>
        <v/>
      </c>
      <c r="J281" s="72" t="n"/>
      <c r="K281" s="71" t="n"/>
      <c r="L281" s="74" t="n"/>
      <c r="M281" s="74" t="n"/>
      <c r="N281" s="148">
        <f>IF(OR($E281="",$L281=""),"",IFERROR(($L281-IF($M281="",0,$M281)*IFERROR(VLOOKUP($K281,BasketTbl,4,0),IFERROR(INDEX(BasketTbl,MATCH($K281,BasketCodeCol,0),4),VLOOKUP("P01",ParamTbl,2,0))))*(1-IF(VLOOKUP($E281,OpTbl,3,0)="خرید",VLOOKUP("P02",ParamTbl,2,0),0)/100),""))</f>
        <v/>
      </c>
      <c r="O281" s="74" t="n"/>
      <c r="P281" s="76">
        <f>IF(OR($E281="",$L281=""),"",IFERROR(IF(VLOOKUP($E281,OpTbl,6,0)="وزن",ROUND($N281*$O281,-3),IF(VLOOKUP($E281,OpTbl,6,0)="مبلغ",ROUND($L281*$O281,-3),0)),""))</f>
        <v/>
      </c>
      <c r="Q281" s="74" t="n"/>
      <c r="R281" s="71" t="n"/>
      <c r="S281" s="77">
        <f>IF($E281="","",IF($AI281="⚠","⚠ ناتراز",IF(AND(IFERROR(VLOOKUP($E281,OpTbl,4,0),"")="بله",$L281=""),"⚠ وزن",IF(AND(IFERROR(VLOOKUP($E281,OpTbl,5,0),"")="بله",$U281=""),"⚠ حساب",IF(AND(IFERROR(VLOOKUP($E281,OpTbl,6,0),"")="مبلغ",$Q281=""),"⚠ مبلغ","✓")))))</f>
        <v/>
      </c>
      <c r="T281" s="72" t="n"/>
      <c r="U281" s="70">
        <f>IF($E281="","",IFERROR(IF(VLOOKUP($E281,OpTbl,14,0)&lt;&gt;"",VLOOKUP($E281,OpTbl,14,0),$G281),""))</f>
        <v/>
      </c>
      <c r="V281" s="76">
        <f>IF(OR($AJ281="",$AJ281=0,$AL281&lt;&gt;"بدهکار"),"",$AJ281)</f>
        <v/>
      </c>
      <c r="W281" s="76">
        <f>IF(OR($AJ281="",$AJ281=0,$AL281&lt;&gt;"بستانکار"),"",$AJ281)</f>
        <v/>
      </c>
      <c r="X281" s="70">
        <f>IF($E281="","",IFERROR(VLOOKUP($E281,OpTbl,8,0),""))</f>
        <v/>
      </c>
      <c r="Y281" s="76">
        <f>IF(OR($X281="",$AJ281="",$AJ281=0,$AM281&lt;&gt;"بدهکار"),"",$AJ281)</f>
        <v/>
      </c>
      <c r="Z281" s="76">
        <f>IF(OR($X281="",$AJ281="",$AJ281=0,$AM281&lt;&gt;"بستانکار"),"",$AJ281)</f>
        <v/>
      </c>
      <c r="AA281" s="70">
        <f>IF(OR($E281="",$AN281="—",$AN281=""),"",IFERROR(VLOOKUP($E281,OpTbl,12,0),""))</f>
        <v/>
      </c>
      <c r="AB281" s="76">
        <f>IF(OR($AA281="",$Q281="",$Q281=0,$AN281&lt;&gt;"بدهکار"),"",$Q281)</f>
        <v/>
      </c>
      <c r="AC281" s="76">
        <f>IF(OR($AA281="",$Q281="",$Q281=0,$AN281&lt;&gt;"بستانکار"),"",$Q281)</f>
        <v/>
      </c>
      <c r="AD281" s="70">
        <f>IF($AA281="","",IFERROR(VLOOKUP($E281,OpTbl,13,0),""))</f>
        <v/>
      </c>
      <c r="AE281" s="76">
        <f>IF(OR($AD281="",$Q281="",$Q281=0,$AN281&lt;&gt;"بستانکار"),"",$Q281)</f>
        <v/>
      </c>
      <c r="AF281" s="76">
        <f>IF(OR($AD281="",$Q281="",$Q281=0,$AN281&lt;&gt;"بدهکار"),"",$Q281)</f>
        <v/>
      </c>
      <c r="AG281" s="76">
        <f>SUM($V281,$Y281,$AB281,$AE281)</f>
        <v/>
      </c>
      <c r="AH281" s="76">
        <f>SUM($W281,$Z281,$AC281,$AF281)</f>
        <v/>
      </c>
      <c r="AI281" s="70">
        <f>IF($E281="","",IF(ROUND($AG281-$AH281,0)=0,"✓","⚠"))</f>
        <v/>
      </c>
      <c r="AJ281" s="76">
        <f>IF(OR($E281="",$U281=""),"",IFERROR(IF(VLOOKUP($E281,OpTbl,6,0)="وزن",IF($P281="",0,$P281),IF(VLOOKUP($E281,OpTbl,6,0)="مبلغ",IF(AND($Q281&lt;&gt;"",$Q281&lt;&gt;0),$Q281,$P281),0))+IF(VLOOKUP($E281,OpTbl,10,0)="افزودن",IF($Q281="",0,$Q281),0),0))</f>
        <v/>
      </c>
      <c r="AK281" s="70">
        <f>IF($E281="","",IFERROR(VLOOKUP($E281,OpTbl,10,0),""))</f>
        <v/>
      </c>
      <c r="AL281" s="70">
        <f>IF(OR($E281="",$U281=""),"",IFERROR(IF(VLOOKUP($E281,OpTbl,7,0)="خودکار",$R281,VLOOKUP($E281,OpTbl,7,0)),""))</f>
        <v/>
      </c>
      <c r="AM281" s="70">
        <f>IF(OR($E281="",$X281=""),"",IFERROR(IF(VLOOKUP($E281,OpTbl,9,0)="خودکار",IF($AL281="بدهکار","بستانکار",IF($AL281="بستانکار","بدهکار","")),VLOOKUP($E281,OpTbl,9,0)),""))</f>
        <v/>
      </c>
      <c r="AN281" s="70">
        <f>IF($E281="","",IFERROR(VLOOKUP($E281,OpTbl,11,0),""))</f>
        <v/>
      </c>
      <c r="AO281" s="70">
        <f>IF($B281="","",MID($B281,6,2))</f>
        <v/>
      </c>
      <c r="AP281" s="76">
        <f>IF($B281="",0,1)</f>
        <v/>
      </c>
    </row>
    <row r="282" ht="21.75" customHeight="1">
      <c r="A282" s="70">
        <f>IF($B282="","",COUNTA($B$10:$B282))</f>
        <v/>
      </c>
      <c r="B282" s="71" t="n"/>
      <c r="C282" s="71" t="n"/>
      <c r="D282" s="71" t="n"/>
      <c r="E282" s="71" t="n"/>
      <c r="F282" s="70">
        <f>IF($E282="","",IFERROR(VLOOKUP($E282,OpTbl,2,0),""))</f>
        <v/>
      </c>
      <c r="G282" s="71" t="n"/>
      <c r="H282" s="73">
        <f>IF($U282="","",IFERROR(VLOOKUP($U282,AcctTbl,2,0),"کد ناشناخته"))</f>
        <v/>
      </c>
      <c r="I282" s="70">
        <f>IF($U282="","",IFERROR(VLOOKUP($U282,AcctTbl,3,0),""))</f>
        <v/>
      </c>
      <c r="J282" s="72" t="n"/>
      <c r="K282" s="71" t="n"/>
      <c r="L282" s="74" t="n"/>
      <c r="M282" s="74" t="n"/>
      <c r="N282" s="148">
        <f>IF(OR($E282="",$L282=""),"",IFERROR(($L282-IF($M282="",0,$M282)*IFERROR(VLOOKUP($K282,BasketTbl,4,0),IFERROR(INDEX(BasketTbl,MATCH($K282,BasketCodeCol,0),4),VLOOKUP("P01",ParamTbl,2,0))))*(1-IF(VLOOKUP($E282,OpTbl,3,0)="خرید",VLOOKUP("P02",ParamTbl,2,0),0)/100),""))</f>
        <v/>
      </c>
      <c r="O282" s="74" t="n"/>
      <c r="P282" s="76">
        <f>IF(OR($E282="",$L282=""),"",IFERROR(IF(VLOOKUP($E282,OpTbl,6,0)="وزن",ROUND($N282*$O282,-3),IF(VLOOKUP($E282,OpTbl,6,0)="مبلغ",ROUND($L282*$O282,-3),0)),""))</f>
        <v/>
      </c>
      <c r="Q282" s="74" t="n"/>
      <c r="R282" s="71" t="n"/>
      <c r="S282" s="77">
        <f>IF($E282="","",IF($AI282="⚠","⚠ ناتراز",IF(AND(IFERROR(VLOOKUP($E282,OpTbl,4,0),"")="بله",$L282=""),"⚠ وزن",IF(AND(IFERROR(VLOOKUP($E282,OpTbl,5,0),"")="بله",$U282=""),"⚠ حساب",IF(AND(IFERROR(VLOOKUP($E282,OpTbl,6,0),"")="مبلغ",$Q282=""),"⚠ مبلغ","✓")))))</f>
        <v/>
      </c>
      <c r="T282" s="72" t="n"/>
      <c r="U282" s="70">
        <f>IF($E282="","",IFERROR(IF(VLOOKUP($E282,OpTbl,14,0)&lt;&gt;"",VLOOKUP($E282,OpTbl,14,0),$G282),""))</f>
        <v/>
      </c>
      <c r="V282" s="76">
        <f>IF(OR($AJ282="",$AJ282=0,$AL282&lt;&gt;"بدهکار"),"",$AJ282)</f>
        <v/>
      </c>
      <c r="W282" s="76">
        <f>IF(OR($AJ282="",$AJ282=0,$AL282&lt;&gt;"بستانکار"),"",$AJ282)</f>
        <v/>
      </c>
      <c r="X282" s="70">
        <f>IF($E282="","",IFERROR(VLOOKUP($E282,OpTbl,8,0),""))</f>
        <v/>
      </c>
      <c r="Y282" s="76">
        <f>IF(OR($X282="",$AJ282="",$AJ282=0,$AM282&lt;&gt;"بدهکار"),"",$AJ282)</f>
        <v/>
      </c>
      <c r="Z282" s="76">
        <f>IF(OR($X282="",$AJ282="",$AJ282=0,$AM282&lt;&gt;"بستانکار"),"",$AJ282)</f>
        <v/>
      </c>
      <c r="AA282" s="70">
        <f>IF(OR($E282="",$AN282="—",$AN282=""),"",IFERROR(VLOOKUP($E282,OpTbl,12,0),""))</f>
        <v/>
      </c>
      <c r="AB282" s="76">
        <f>IF(OR($AA282="",$Q282="",$Q282=0,$AN282&lt;&gt;"بدهکار"),"",$Q282)</f>
        <v/>
      </c>
      <c r="AC282" s="76">
        <f>IF(OR($AA282="",$Q282="",$Q282=0,$AN282&lt;&gt;"بستانکار"),"",$Q282)</f>
        <v/>
      </c>
      <c r="AD282" s="70">
        <f>IF($AA282="","",IFERROR(VLOOKUP($E282,OpTbl,13,0),""))</f>
        <v/>
      </c>
      <c r="AE282" s="76">
        <f>IF(OR($AD282="",$Q282="",$Q282=0,$AN282&lt;&gt;"بستانکار"),"",$Q282)</f>
        <v/>
      </c>
      <c r="AF282" s="76">
        <f>IF(OR($AD282="",$Q282="",$Q282=0,$AN282&lt;&gt;"بدهکار"),"",$Q282)</f>
        <v/>
      </c>
      <c r="AG282" s="76">
        <f>SUM($V282,$Y282,$AB282,$AE282)</f>
        <v/>
      </c>
      <c r="AH282" s="76">
        <f>SUM($W282,$Z282,$AC282,$AF282)</f>
        <v/>
      </c>
      <c r="AI282" s="70">
        <f>IF($E282="","",IF(ROUND($AG282-$AH282,0)=0,"✓","⚠"))</f>
        <v/>
      </c>
      <c r="AJ282" s="76">
        <f>IF(OR($E282="",$U282=""),"",IFERROR(IF(VLOOKUP($E282,OpTbl,6,0)="وزن",IF($P282="",0,$P282),IF(VLOOKUP($E282,OpTbl,6,0)="مبلغ",IF(AND($Q282&lt;&gt;"",$Q282&lt;&gt;0),$Q282,$P282),0))+IF(VLOOKUP($E282,OpTbl,10,0)="افزودن",IF($Q282="",0,$Q282),0),0))</f>
        <v/>
      </c>
      <c r="AK282" s="70">
        <f>IF($E282="","",IFERROR(VLOOKUP($E282,OpTbl,10,0),""))</f>
        <v/>
      </c>
      <c r="AL282" s="70">
        <f>IF(OR($E282="",$U282=""),"",IFERROR(IF(VLOOKUP($E282,OpTbl,7,0)="خودکار",$R282,VLOOKUP($E282,OpTbl,7,0)),""))</f>
        <v/>
      </c>
      <c r="AM282" s="70">
        <f>IF(OR($E282="",$X282=""),"",IFERROR(IF(VLOOKUP($E282,OpTbl,9,0)="خودکار",IF($AL282="بدهکار","بستانکار",IF($AL282="بستانکار","بدهکار","")),VLOOKUP($E282,OpTbl,9,0)),""))</f>
        <v/>
      </c>
      <c r="AN282" s="70">
        <f>IF($E282="","",IFERROR(VLOOKUP($E282,OpTbl,11,0),""))</f>
        <v/>
      </c>
      <c r="AO282" s="70">
        <f>IF($B282="","",MID($B282,6,2))</f>
        <v/>
      </c>
      <c r="AP282" s="76">
        <f>IF($B282="",0,1)</f>
        <v/>
      </c>
    </row>
    <row r="283" ht="21.75" customHeight="1">
      <c r="A283" s="70">
        <f>IF($B283="","",COUNTA($B$10:$B283))</f>
        <v/>
      </c>
      <c r="B283" s="71" t="n"/>
      <c r="C283" s="71" t="n"/>
      <c r="D283" s="71" t="n"/>
      <c r="E283" s="71" t="n"/>
      <c r="F283" s="70">
        <f>IF($E283="","",IFERROR(VLOOKUP($E283,OpTbl,2,0),""))</f>
        <v/>
      </c>
      <c r="G283" s="71" t="n"/>
      <c r="H283" s="73">
        <f>IF($U283="","",IFERROR(VLOOKUP($U283,AcctTbl,2,0),"کد ناشناخته"))</f>
        <v/>
      </c>
      <c r="I283" s="70">
        <f>IF($U283="","",IFERROR(VLOOKUP($U283,AcctTbl,3,0),""))</f>
        <v/>
      </c>
      <c r="J283" s="72" t="n"/>
      <c r="K283" s="71" t="n"/>
      <c r="L283" s="74" t="n"/>
      <c r="M283" s="74" t="n"/>
      <c r="N283" s="148">
        <f>IF(OR($E283="",$L283=""),"",IFERROR(($L283-IF($M283="",0,$M283)*IFERROR(VLOOKUP($K283,BasketTbl,4,0),IFERROR(INDEX(BasketTbl,MATCH($K283,BasketCodeCol,0),4),VLOOKUP("P01",ParamTbl,2,0))))*(1-IF(VLOOKUP($E283,OpTbl,3,0)="خرید",VLOOKUP("P02",ParamTbl,2,0),0)/100),""))</f>
        <v/>
      </c>
      <c r="O283" s="74" t="n"/>
      <c r="P283" s="76">
        <f>IF(OR($E283="",$L283=""),"",IFERROR(IF(VLOOKUP($E283,OpTbl,6,0)="وزن",ROUND($N283*$O283,-3),IF(VLOOKUP($E283,OpTbl,6,0)="مبلغ",ROUND($L283*$O283,-3),0)),""))</f>
        <v/>
      </c>
      <c r="Q283" s="74" t="n"/>
      <c r="R283" s="71" t="n"/>
      <c r="S283" s="77">
        <f>IF($E283="","",IF($AI283="⚠","⚠ ناتراز",IF(AND(IFERROR(VLOOKUP($E283,OpTbl,4,0),"")="بله",$L283=""),"⚠ وزن",IF(AND(IFERROR(VLOOKUP($E283,OpTbl,5,0),"")="بله",$U283=""),"⚠ حساب",IF(AND(IFERROR(VLOOKUP($E283,OpTbl,6,0),"")="مبلغ",$Q283=""),"⚠ مبلغ","✓")))))</f>
        <v/>
      </c>
      <c r="T283" s="72" t="n"/>
      <c r="U283" s="70">
        <f>IF($E283="","",IFERROR(IF(VLOOKUP($E283,OpTbl,14,0)&lt;&gt;"",VLOOKUP($E283,OpTbl,14,0),$G283),""))</f>
        <v/>
      </c>
      <c r="V283" s="76">
        <f>IF(OR($AJ283="",$AJ283=0,$AL283&lt;&gt;"بدهکار"),"",$AJ283)</f>
        <v/>
      </c>
      <c r="W283" s="76">
        <f>IF(OR($AJ283="",$AJ283=0,$AL283&lt;&gt;"بستانکار"),"",$AJ283)</f>
        <v/>
      </c>
      <c r="X283" s="70">
        <f>IF($E283="","",IFERROR(VLOOKUP($E283,OpTbl,8,0),""))</f>
        <v/>
      </c>
      <c r="Y283" s="76">
        <f>IF(OR($X283="",$AJ283="",$AJ283=0,$AM283&lt;&gt;"بدهکار"),"",$AJ283)</f>
        <v/>
      </c>
      <c r="Z283" s="76">
        <f>IF(OR($X283="",$AJ283="",$AJ283=0,$AM283&lt;&gt;"بستانکار"),"",$AJ283)</f>
        <v/>
      </c>
      <c r="AA283" s="70">
        <f>IF(OR($E283="",$AN283="—",$AN283=""),"",IFERROR(VLOOKUP($E283,OpTbl,12,0),""))</f>
        <v/>
      </c>
      <c r="AB283" s="76">
        <f>IF(OR($AA283="",$Q283="",$Q283=0,$AN283&lt;&gt;"بدهکار"),"",$Q283)</f>
        <v/>
      </c>
      <c r="AC283" s="76">
        <f>IF(OR($AA283="",$Q283="",$Q283=0,$AN283&lt;&gt;"بستانکار"),"",$Q283)</f>
        <v/>
      </c>
      <c r="AD283" s="70">
        <f>IF($AA283="","",IFERROR(VLOOKUP($E283,OpTbl,13,0),""))</f>
        <v/>
      </c>
      <c r="AE283" s="76">
        <f>IF(OR($AD283="",$Q283="",$Q283=0,$AN283&lt;&gt;"بستانکار"),"",$Q283)</f>
        <v/>
      </c>
      <c r="AF283" s="76">
        <f>IF(OR($AD283="",$Q283="",$Q283=0,$AN283&lt;&gt;"بدهکار"),"",$Q283)</f>
        <v/>
      </c>
      <c r="AG283" s="76">
        <f>SUM($V283,$Y283,$AB283,$AE283)</f>
        <v/>
      </c>
      <c r="AH283" s="76">
        <f>SUM($W283,$Z283,$AC283,$AF283)</f>
        <v/>
      </c>
      <c r="AI283" s="70">
        <f>IF($E283="","",IF(ROUND($AG283-$AH283,0)=0,"✓","⚠"))</f>
        <v/>
      </c>
      <c r="AJ283" s="76">
        <f>IF(OR($E283="",$U283=""),"",IFERROR(IF(VLOOKUP($E283,OpTbl,6,0)="وزن",IF($P283="",0,$P283),IF(VLOOKUP($E283,OpTbl,6,0)="مبلغ",IF(AND($Q283&lt;&gt;"",$Q283&lt;&gt;0),$Q283,$P283),0))+IF(VLOOKUP($E283,OpTbl,10,0)="افزودن",IF($Q283="",0,$Q283),0),0))</f>
        <v/>
      </c>
      <c r="AK283" s="70">
        <f>IF($E283="","",IFERROR(VLOOKUP($E283,OpTbl,10,0),""))</f>
        <v/>
      </c>
      <c r="AL283" s="70">
        <f>IF(OR($E283="",$U283=""),"",IFERROR(IF(VLOOKUP($E283,OpTbl,7,0)="خودکار",$R283,VLOOKUP($E283,OpTbl,7,0)),""))</f>
        <v/>
      </c>
      <c r="AM283" s="70">
        <f>IF(OR($E283="",$X283=""),"",IFERROR(IF(VLOOKUP($E283,OpTbl,9,0)="خودکار",IF($AL283="بدهکار","بستانکار",IF($AL283="بستانکار","بدهکار","")),VLOOKUP($E283,OpTbl,9,0)),""))</f>
        <v/>
      </c>
      <c r="AN283" s="70">
        <f>IF($E283="","",IFERROR(VLOOKUP($E283,OpTbl,11,0),""))</f>
        <v/>
      </c>
      <c r="AO283" s="70">
        <f>IF($B283="","",MID($B283,6,2))</f>
        <v/>
      </c>
      <c r="AP283" s="76">
        <f>IF($B283="",0,1)</f>
        <v/>
      </c>
    </row>
    <row r="284" ht="21.75" customHeight="1">
      <c r="A284" s="70">
        <f>IF($B284="","",COUNTA($B$10:$B284))</f>
        <v/>
      </c>
      <c r="B284" s="71" t="n"/>
      <c r="C284" s="71" t="n"/>
      <c r="D284" s="71" t="n"/>
      <c r="E284" s="71" t="n"/>
      <c r="F284" s="70">
        <f>IF($E284="","",IFERROR(VLOOKUP($E284,OpTbl,2,0),""))</f>
        <v/>
      </c>
      <c r="G284" s="71" t="n"/>
      <c r="H284" s="73">
        <f>IF($U284="","",IFERROR(VLOOKUP($U284,AcctTbl,2,0),"کد ناشناخته"))</f>
        <v/>
      </c>
      <c r="I284" s="70">
        <f>IF($U284="","",IFERROR(VLOOKUP($U284,AcctTbl,3,0),""))</f>
        <v/>
      </c>
      <c r="J284" s="72" t="n"/>
      <c r="K284" s="71" t="n"/>
      <c r="L284" s="74" t="n"/>
      <c r="M284" s="74" t="n"/>
      <c r="N284" s="148">
        <f>IF(OR($E284="",$L284=""),"",IFERROR(($L284-IF($M284="",0,$M284)*IFERROR(VLOOKUP($K284,BasketTbl,4,0),IFERROR(INDEX(BasketTbl,MATCH($K284,BasketCodeCol,0),4),VLOOKUP("P01",ParamTbl,2,0))))*(1-IF(VLOOKUP($E284,OpTbl,3,0)="خرید",VLOOKUP("P02",ParamTbl,2,0),0)/100),""))</f>
        <v/>
      </c>
      <c r="O284" s="74" t="n"/>
      <c r="P284" s="76">
        <f>IF(OR($E284="",$L284=""),"",IFERROR(IF(VLOOKUP($E284,OpTbl,6,0)="وزن",ROUND($N284*$O284,-3),IF(VLOOKUP($E284,OpTbl,6,0)="مبلغ",ROUND($L284*$O284,-3),0)),""))</f>
        <v/>
      </c>
      <c r="Q284" s="74" t="n"/>
      <c r="R284" s="71" t="n"/>
      <c r="S284" s="77">
        <f>IF($E284="","",IF($AI284="⚠","⚠ ناتراز",IF(AND(IFERROR(VLOOKUP($E284,OpTbl,4,0),"")="بله",$L284=""),"⚠ وزن",IF(AND(IFERROR(VLOOKUP($E284,OpTbl,5,0),"")="بله",$U284=""),"⚠ حساب",IF(AND(IFERROR(VLOOKUP($E284,OpTbl,6,0),"")="مبلغ",$Q284=""),"⚠ مبلغ","✓")))))</f>
        <v/>
      </c>
      <c r="T284" s="72" t="n"/>
      <c r="U284" s="70">
        <f>IF($E284="","",IFERROR(IF(VLOOKUP($E284,OpTbl,14,0)&lt;&gt;"",VLOOKUP($E284,OpTbl,14,0),$G284),""))</f>
        <v/>
      </c>
      <c r="V284" s="76">
        <f>IF(OR($AJ284="",$AJ284=0,$AL284&lt;&gt;"بدهکار"),"",$AJ284)</f>
        <v/>
      </c>
      <c r="W284" s="76">
        <f>IF(OR($AJ284="",$AJ284=0,$AL284&lt;&gt;"بستانکار"),"",$AJ284)</f>
        <v/>
      </c>
      <c r="X284" s="70">
        <f>IF($E284="","",IFERROR(VLOOKUP($E284,OpTbl,8,0),""))</f>
        <v/>
      </c>
      <c r="Y284" s="76">
        <f>IF(OR($X284="",$AJ284="",$AJ284=0,$AM284&lt;&gt;"بدهکار"),"",$AJ284)</f>
        <v/>
      </c>
      <c r="Z284" s="76">
        <f>IF(OR($X284="",$AJ284="",$AJ284=0,$AM284&lt;&gt;"بستانکار"),"",$AJ284)</f>
        <v/>
      </c>
      <c r="AA284" s="70">
        <f>IF(OR($E284="",$AN284="—",$AN284=""),"",IFERROR(VLOOKUP($E284,OpTbl,12,0),""))</f>
        <v/>
      </c>
      <c r="AB284" s="76">
        <f>IF(OR($AA284="",$Q284="",$Q284=0,$AN284&lt;&gt;"بدهکار"),"",$Q284)</f>
        <v/>
      </c>
      <c r="AC284" s="76">
        <f>IF(OR($AA284="",$Q284="",$Q284=0,$AN284&lt;&gt;"بستانکار"),"",$Q284)</f>
        <v/>
      </c>
      <c r="AD284" s="70">
        <f>IF($AA284="","",IFERROR(VLOOKUP($E284,OpTbl,13,0),""))</f>
        <v/>
      </c>
      <c r="AE284" s="76">
        <f>IF(OR($AD284="",$Q284="",$Q284=0,$AN284&lt;&gt;"بستانکار"),"",$Q284)</f>
        <v/>
      </c>
      <c r="AF284" s="76">
        <f>IF(OR($AD284="",$Q284="",$Q284=0,$AN284&lt;&gt;"بدهکار"),"",$Q284)</f>
        <v/>
      </c>
      <c r="AG284" s="76">
        <f>SUM($V284,$Y284,$AB284,$AE284)</f>
        <v/>
      </c>
      <c r="AH284" s="76">
        <f>SUM($W284,$Z284,$AC284,$AF284)</f>
        <v/>
      </c>
      <c r="AI284" s="70">
        <f>IF($E284="","",IF(ROUND($AG284-$AH284,0)=0,"✓","⚠"))</f>
        <v/>
      </c>
      <c r="AJ284" s="76">
        <f>IF(OR($E284="",$U284=""),"",IFERROR(IF(VLOOKUP($E284,OpTbl,6,0)="وزن",IF($P284="",0,$P284),IF(VLOOKUP($E284,OpTbl,6,0)="مبلغ",IF(AND($Q284&lt;&gt;"",$Q284&lt;&gt;0),$Q284,$P284),0))+IF(VLOOKUP($E284,OpTbl,10,0)="افزودن",IF($Q284="",0,$Q284),0),0))</f>
        <v/>
      </c>
      <c r="AK284" s="70">
        <f>IF($E284="","",IFERROR(VLOOKUP($E284,OpTbl,10,0),""))</f>
        <v/>
      </c>
      <c r="AL284" s="70">
        <f>IF(OR($E284="",$U284=""),"",IFERROR(IF(VLOOKUP($E284,OpTbl,7,0)="خودکار",$R284,VLOOKUP($E284,OpTbl,7,0)),""))</f>
        <v/>
      </c>
      <c r="AM284" s="70">
        <f>IF(OR($E284="",$X284=""),"",IFERROR(IF(VLOOKUP($E284,OpTbl,9,0)="خودکار",IF($AL284="بدهکار","بستانکار",IF($AL284="بستانکار","بدهکار","")),VLOOKUP($E284,OpTbl,9,0)),""))</f>
        <v/>
      </c>
      <c r="AN284" s="70">
        <f>IF($E284="","",IFERROR(VLOOKUP($E284,OpTbl,11,0),""))</f>
        <v/>
      </c>
      <c r="AO284" s="70">
        <f>IF($B284="","",MID($B284,6,2))</f>
        <v/>
      </c>
      <c r="AP284" s="76">
        <f>IF($B284="",0,1)</f>
        <v/>
      </c>
    </row>
    <row r="285" ht="21.75" customHeight="1">
      <c r="A285" s="70">
        <f>IF($B285="","",COUNTA($B$10:$B285))</f>
        <v/>
      </c>
      <c r="B285" s="71" t="n"/>
      <c r="C285" s="71" t="n"/>
      <c r="D285" s="71" t="n"/>
      <c r="E285" s="71" t="n"/>
      <c r="F285" s="70">
        <f>IF($E285="","",IFERROR(VLOOKUP($E285,OpTbl,2,0),""))</f>
        <v/>
      </c>
      <c r="G285" s="71" t="n"/>
      <c r="H285" s="73">
        <f>IF($U285="","",IFERROR(VLOOKUP($U285,AcctTbl,2,0),"کد ناشناخته"))</f>
        <v/>
      </c>
      <c r="I285" s="70">
        <f>IF($U285="","",IFERROR(VLOOKUP($U285,AcctTbl,3,0),""))</f>
        <v/>
      </c>
      <c r="J285" s="72" t="n"/>
      <c r="K285" s="71" t="n"/>
      <c r="L285" s="74" t="n"/>
      <c r="M285" s="74" t="n"/>
      <c r="N285" s="148">
        <f>IF(OR($E285="",$L285=""),"",IFERROR(($L285-IF($M285="",0,$M285)*IFERROR(VLOOKUP($K285,BasketTbl,4,0),IFERROR(INDEX(BasketTbl,MATCH($K285,BasketCodeCol,0),4),VLOOKUP("P01",ParamTbl,2,0))))*(1-IF(VLOOKUP($E285,OpTbl,3,0)="خرید",VLOOKUP("P02",ParamTbl,2,0),0)/100),""))</f>
        <v/>
      </c>
      <c r="O285" s="74" t="n"/>
      <c r="P285" s="76">
        <f>IF(OR($E285="",$L285=""),"",IFERROR(IF(VLOOKUP($E285,OpTbl,6,0)="وزن",ROUND($N285*$O285,-3),IF(VLOOKUP($E285,OpTbl,6,0)="مبلغ",ROUND($L285*$O285,-3),0)),""))</f>
        <v/>
      </c>
      <c r="Q285" s="74" t="n"/>
      <c r="R285" s="71" t="n"/>
      <c r="S285" s="77">
        <f>IF($E285="","",IF($AI285="⚠","⚠ ناتراز",IF(AND(IFERROR(VLOOKUP($E285,OpTbl,4,0),"")="بله",$L285=""),"⚠ وزن",IF(AND(IFERROR(VLOOKUP($E285,OpTbl,5,0),"")="بله",$U285=""),"⚠ حساب",IF(AND(IFERROR(VLOOKUP($E285,OpTbl,6,0),"")="مبلغ",$Q285=""),"⚠ مبلغ","✓")))))</f>
        <v/>
      </c>
      <c r="T285" s="72" t="n"/>
      <c r="U285" s="70">
        <f>IF($E285="","",IFERROR(IF(VLOOKUP($E285,OpTbl,14,0)&lt;&gt;"",VLOOKUP($E285,OpTbl,14,0),$G285),""))</f>
        <v/>
      </c>
      <c r="V285" s="76">
        <f>IF(OR($AJ285="",$AJ285=0,$AL285&lt;&gt;"بدهکار"),"",$AJ285)</f>
        <v/>
      </c>
      <c r="W285" s="76">
        <f>IF(OR($AJ285="",$AJ285=0,$AL285&lt;&gt;"بستانکار"),"",$AJ285)</f>
        <v/>
      </c>
      <c r="X285" s="70">
        <f>IF($E285="","",IFERROR(VLOOKUP($E285,OpTbl,8,0),""))</f>
        <v/>
      </c>
      <c r="Y285" s="76">
        <f>IF(OR($X285="",$AJ285="",$AJ285=0,$AM285&lt;&gt;"بدهکار"),"",$AJ285)</f>
        <v/>
      </c>
      <c r="Z285" s="76">
        <f>IF(OR($X285="",$AJ285="",$AJ285=0,$AM285&lt;&gt;"بستانکار"),"",$AJ285)</f>
        <v/>
      </c>
      <c r="AA285" s="70">
        <f>IF(OR($E285="",$AN285="—",$AN285=""),"",IFERROR(VLOOKUP($E285,OpTbl,12,0),""))</f>
        <v/>
      </c>
      <c r="AB285" s="76">
        <f>IF(OR($AA285="",$Q285="",$Q285=0,$AN285&lt;&gt;"بدهکار"),"",$Q285)</f>
        <v/>
      </c>
      <c r="AC285" s="76">
        <f>IF(OR($AA285="",$Q285="",$Q285=0,$AN285&lt;&gt;"بستانکار"),"",$Q285)</f>
        <v/>
      </c>
      <c r="AD285" s="70">
        <f>IF($AA285="","",IFERROR(VLOOKUP($E285,OpTbl,13,0),""))</f>
        <v/>
      </c>
      <c r="AE285" s="76">
        <f>IF(OR($AD285="",$Q285="",$Q285=0,$AN285&lt;&gt;"بستانکار"),"",$Q285)</f>
        <v/>
      </c>
      <c r="AF285" s="76">
        <f>IF(OR($AD285="",$Q285="",$Q285=0,$AN285&lt;&gt;"بدهکار"),"",$Q285)</f>
        <v/>
      </c>
      <c r="AG285" s="76">
        <f>SUM($V285,$Y285,$AB285,$AE285)</f>
        <v/>
      </c>
      <c r="AH285" s="76">
        <f>SUM($W285,$Z285,$AC285,$AF285)</f>
        <v/>
      </c>
      <c r="AI285" s="70">
        <f>IF($E285="","",IF(ROUND($AG285-$AH285,0)=0,"✓","⚠"))</f>
        <v/>
      </c>
      <c r="AJ285" s="76">
        <f>IF(OR($E285="",$U285=""),"",IFERROR(IF(VLOOKUP($E285,OpTbl,6,0)="وزن",IF($P285="",0,$P285),IF(VLOOKUP($E285,OpTbl,6,0)="مبلغ",IF(AND($Q285&lt;&gt;"",$Q285&lt;&gt;0),$Q285,$P285),0))+IF(VLOOKUP($E285,OpTbl,10,0)="افزودن",IF($Q285="",0,$Q285),0),0))</f>
        <v/>
      </c>
      <c r="AK285" s="70">
        <f>IF($E285="","",IFERROR(VLOOKUP($E285,OpTbl,10,0),""))</f>
        <v/>
      </c>
      <c r="AL285" s="70">
        <f>IF(OR($E285="",$U285=""),"",IFERROR(IF(VLOOKUP($E285,OpTbl,7,0)="خودکار",$R285,VLOOKUP($E285,OpTbl,7,0)),""))</f>
        <v/>
      </c>
      <c r="AM285" s="70">
        <f>IF(OR($E285="",$X285=""),"",IFERROR(IF(VLOOKUP($E285,OpTbl,9,0)="خودکار",IF($AL285="بدهکار","بستانکار",IF($AL285="بستانکار","بدهکار","")),VLOOKUP($E285,OpTbl,9,0)),""))</f>
        <v/>
      </c>
      <c r="AN285" s="70">
        <f>IF($E285="","",IFERROR(VLOOKUP($E285,OpTbl,11,0),""))</f>
        <v/>
      </c>
      <c r="AO285" s="70">
        <f>IF($B285="","",MID($B285,6,2))</f>
        <v/>
      </c>
      <c r="AP285" s="76">
        <f>IF($B285="",0,1)</f>
        <v/>
      </c>
    </row>
    <row r="286" ht="21.75" customHeight="1">
      <c r="A286" s="70">
        <f>IF($B286="","",COUNTA($B$10:$B286))</f>
        <v/>
      </c>
      <c r="B286" s="71" t="n"/>
      <c r="C286" s="71" t="n"/>
      <c r="D286" s="71" t="n"/>
      <c r="E286" s="71" t="n"/>
      <c r="F286" s="70">
        <f>IF($E286="","",IFERROR(VLOOKUP($E286,OpTbl,2,0),""))</f>
        <v/>
      </c>
      <c r="G286" s="71" t="n"/>
      <c r="H286" s="73">
        <f>IF($U286="","",IFERROR(VLOOKUP($U286,AcctTbl,2,0),"کد ناشناخته"))</f>
        <v/>
      </c>
      <c r="I286" s="70">
        <f>IF($U286="","",IFERROR(VLOOKUP($U286,AcctTbl,3,0),""))</f>
        <v/>
      </c>
      <c r="J286" s="72" t="n"/>
      <c r="K286" s="71" t="n"/>
      <c r="L286" s="74" t="n"/>
      <c r="M286" s="74" t="n"/>
      <c r="N286" s="148">
        <f>IF(OR($E286="",$L286=""),"",IFERROR(($L286-IF($M286="",0,$M286)*IFERROR(VLOOKUP($K286,BasketTbl,4,0),IFERROR(INDEX(BasketTbl,MATCH($K286,BasketCodeCol,0),4),VLOOKUP("P01",ParamTbl,2,0))))*(1-IF(VLOOKUP($E286,OpTbl,3,0)="خرید",VLOOKUP("P02",ParamTbl,2,0),0)/100),""))</f>
        <v/>
      </c>
      <c r="O286" s="74" t="n"/>
      <c r="P286" s="76">
        <f>IF(OR($E286="",$L286=""),"",IFERROR(IF(VLOOKUP($E286,OpTbl,6,0)="وزن",ROUND($N286*$O286,-3),IF(VLOOKUP($E286,OpTbl,6,0)="مبلغ",ROUND($L286*$O286,-3),0)),""))</f>
        <v/>
      </c>
      <c r="Q286" s="74" t="n"/>
      <c r="R286" s="71" t="n"/>
      <c r="S286" s="77">
        <f>IF($E286="","",IF($AI286="⚠","⚠ ناتراز",IF(AND(IFERROR(VLOOKUP($E286,OpTbl,4,0),"")="بله",$L286=""),"⚠ وزن",IF(AND(IFERROR(VLOOKUP($E286,OpTbl,5,0),"")="بله",$U286=""),"⚠ حساب",IF(AND(IFERROR(VLOOKUP($E286,OpTbl,6,0),"")="مبلغ",$Q286=""),"⚠ مبلغ","✓")))))</f>
        <v/>
      </c>
      <c r="T286" s="72" t="n"/>
      <c r="U286" s="70">
        <f>IF($E286="","",IFERROR(IF(VLOOKUP($E286,OpTbl,14,0)&lt;&gt;"",VLOOKUP($E286,OpTbl,14,0),$G286),""))</f>
        <v/>
      </c>
      <c r="V286" s="76">
        <f>IF(OR($AJ286="",$AJ286=0,$AL286&lt;&gt;"بدهکار"),"",$AJ286)</f>
        <v/>
      </c>
      <c r="W286" s="76">
        <f>IF(OR($AJ286="",$AJ286=0,$AL286&lt;&gt;"بستانکار"),"",$AJ286)</f>
        <v/>
      </c>
      <c r="X286" s="70">
        <f>IF($E286="","",IFERROR(VLOOKUP($E286,OpTbl,8,0),""))</f>
        <v/>
      </c>
      <c r="Y286" s="76">
        <f>IF(OR($X286="",$AJ286="",$AJ286=0,$AM286&lt;&gt;"بدهکار"),"",$AJ286)</f>
        <v/>
      </c>
      <c r="Z286" s="76">
        <f>IF(OR($X286="",$AJ286="",$AJ286=0,$AM286&lt;&gt;"بستانکار"),"",$AJ286)</f>
        <v/>
      </c>
      <c r="AA286" s="70">
        <f>IF(OR($E286="",$AN286="—",$AN286=""),"",IFERROR(VLOOKUP($E286,OpTbl,12,0),""))</f>
        <v/>
      </c>
      <c r="AB286" s="76">
        <f>IF(OR($AA286="",$Q286="",$Q286=0,$AN286&lt;&gt;"بدهکار"),"",$Q286)</f>
        <v/>
      </c>
      <c r="AC286" s="76">
        <f>IF(OR($AA286="",$Q286="",$Q286=0,$AN286&lt;&gt;"بستانکار"),"",$Q286)</f>
        <v/>
      </c>
      <c r="AD286" s="70">
        <f>IF($AA286="","",IFERROR(VLOOKUP($E286,OpTbl,13,0),""))</f>
        <v/>
      </c>
      <c r="AE286" s="76">
        <f>IF(OR($AD286="",$Q286="",$Q286=0,$AN286&lt;&gt;"بستانکار"),"",$Q286)</f>
        <v/>
      </c>
      <c r="AF286" s="76">
        <f>IF(OR($AD286="",$Q286="",$Q286=0,$AN286&lt;&gt;"بدهکار"),"",$Q286)</f>
        <v/>
      </c>
      <c r="AG286" s="76">
        <f>SUM($V286,$Y286,$AB286,$AE286)</f>
        <v/>
      </c>
      <c r="AH286" s="76">
        <f>SUM($W286,$Z286,$AC286,$AF286)</f>
        <v/>
      </c>
      <c r="AI286" s="70">
        <f>IF($E286="","",IF(ROUND($AG286-$AH286,0)=0,"✓","⚠"))</f>
        <v/>
      </c>
      <c r="AJ286" s="76">
        <f>IF(OR($E286="",$U286=""),"",IFERROR(IF(VLOOKUP($E286,OpTbl,6,0)="وزن",IF($P286="",0,$P286),IF(VLOOKUP($E286,OpTbl,6,0)="مبلغ",IF(AND($Q286&lt;&gt;"",$Q286&lt;&gt;0),$Q286,$P286),0))+IF(VLOOKUP($E286,OpTbl,10,0)="افزودن",IF($Q286="",0,$Q286),0),0))</f>
        <v/>
      </c>
      <c r="AK286" s="70">
        <f>IF($E286="","",IFERROR(VLOOKUP($E286,OpTbl,10,0),""))</f>
        <v/>
      </c>
      <c r="AL286" s="70">
        <f>IF(OR($E286="",$U286=""),"",IFERROR(IF(VLOOKUP($E286,OpTbl,7,0)="خودکار",$R286,VLOOKUP($E286,OpTbl,7,0)),""))</f>
        <v/>
      </c>
      <c r="AM286" s="70">
        <f>IF(OR($E286="",$X286=""),"",IFERROR(IF(VLOOKUP($E286,OpTbl,9,0)="خودکار",IF($AL286="بدهکار","بستانکار",IF($AL286="بستانکار","بدهکار","")),VLOOKUP($E286,OpTbl,9,0)),""))</f>
        <v/>
      </c>
      <c r="AN286" s="70">
        <f>IF($E286="","",IFERROR(VLOOKUP($E286,OpTbl,11,0),""))</f>
        <v/>
      </c>
      <c r="AO286" s="70">
        <f>IF($B286="","",MID($B286,6,2))</f>
        <v/>
      </c>
      <c r="AP286" s="76">
        <f>IF($B286="",0,1)</f>
        <v/>
      </c>
    </row>
    <row r="287" ht="21.75" customHeight="1">
      <c r="A287" s="70">
        <f>IF($B287="","",COUNTA($B$10:$B287))</f>
        <v/>
      </c>
      <c r="B287" s="71" t="n"/>
      <c r="C287" s="71" t="n"/>
      <c r="D287" s="71" t="n"/>
      <c r="E287" s="71" t="n"/>
      <c r="F287" s="70">
        <f>IF($E287="","",IFERROR(VLOOKUP($E287,OpTbl,2,0),""))</f>
        <v/>
      </c>
      <c r="G287" s="71" t="n"/>
      <c r="H287" s="73">
        <f>IF($U287="","",IFERROR(VLOOKUP($U287,AcctTbl,2,0),"کد ناشناخته"))</f>
        <v/>
      </c>
      <c r="I287" s="70">
        <f>IF($U287="","",IFERROR(VLOOKUP($U287,AcctTbl,3,0),""))</f>
        <v/>
      </c>
      <c r="J287" s="72" t="n"/>
      <c r="K287" s="71" t="n"/>
      <c r="L287" s="74" t="n"/>
      <c r="M287" s="74" t="n"/>
      <c r="N287" s="148">
        <f>IF(OR($E287="",$L287=""),"",IFERROR(($L287-IF($M287="",0,$M287)*IFERROR(VLOOKUP($K287,BasketTbl,4,0),IFERROR(INDEX(BasketTbl,MATCH($K287,BasketCodeCol,0),4),VLOOKUP("P01",ParamTbl,2,0))))*(1-IF(VLOOKUP($E287,OpTbl,3,0)="خرید",VLOOKUP("P02",ParamTbl,2,0),0)/100),""))</f>
        <v/>
      </c>
      <c r="O287" s="74" t="n"/>
      <c r="P287" s="76">
        <f>IF(OR($E287="",$L287=""),"",IFERROR(IF(VLOOKUP($E287,OpTbl,6,0)="وزن",ROUND($N287*$O287,-3),IF(VLOOKUP($E287,OpTbl,6,0)="مبلغ",ROUND($L287*$O287,-3),0)),""))</f>
        <v/>
      </c>
      <c r="Q287" s="74" t="n"/>
      <c r="R287" s="71" t="n"/>
      <c r="S287" s="77">
        <f>IF($E287="","",IF($AI287="⚠","⚠ ناتراز",IF(AND(IFERROR(VLOOKUP($E287,OpTbl,4,0),"")="بله",$L287=""),"⚠ وزن",IF(AND(IFERROR(VLOOKUP($E287,OpTbl,5,0),"")="بله",$U287=""),"⚠ حساب",IF(AND(IFERROR(VLOOKUP($E287,OpTbl,6,0),"")="مبلغ",$Q287=""),"⚠ مبلغ","✓")))))</f>
        <v/>
      </c>
      <c r="T287" s="72" t="n"/>
      <c r="U287" s="70">
        <f>IF($E287="","",IFERROR(IF(VLOOKUP($E287,OpTbl,14,0)&lt;&gt;"",VLOOKUP($E287,OpTbl,14,0),$G287),""))</f>
        <v/>
      </c>
      <c r="V287" s="76">
        <f>IF(OR($AJ287="",$AJ287=0,$AL287&lt;&gt;"بدهکار"),"",$AJ287)</f>
        <v/>
      </c>
      <c r="W287" s="76">
        <f>IF(OR($AJ287="",$AJ287=0,$AL287&lt;&gt;"بستانکار"),"",$AJ287)</f>
        <v/>
      </c>
      <c r="X287" s="70">
        <f>IF($E287="","",IFERROR(VLOOKUP($E287,OpTbl,8,0),""))</f>
        <v/>
      </c>
      <c r="Y287" s="76">
        <f>IF(OR($X287="",$AJ287="",$AJ287=0,$AM287&lt;&gt;"بدهکار"),"",$AJ287)</f>
        <v/>
      </c>
      <c r="Z287" s="76">
        <f>IF(OR($X287="",$AJ287="",$AJ287=0,$AM287&lt;&gt;"بستانکار"),"",$AJ287)</f>
        <v/>
      </c>
      <c r="AA287" s="70">
        <f>IF(OR($E287="",$AN287="—",$AN287=""),"",IFERROR(VLOOKUP($E287,OpTbl,12,0),""))</f>
        <v/>
      </c>
      <c r="AB287" s="76">
        <f>IF(OR($AA287="",$Q287="",$Q287=0,$AN287&lt;&gt;"بدهکار"),"",$Q287)</f>
        <v/>
      </c>
      <c r="AC287" s="76">
        <f>IF(OR($AA287="",$Q287="",$Q287=0,$AN287&lt;&gt;"بستانکار"),"",$Q287)</f>
        <v/>
      </c>
      <c r="AD287" s="70">
        <f>IF($AA287="","",IFERROR(VLOOKUP($E287,OpTbl,13,0),""))</f>
        <v/>
      </c>
      <c r="AE287" s="76">
        <f>IF(OR($AD287="",$Q287="",$Q287=0,$AN287&lt;&gt;"بستانکار"),"",$Q287)</f>
        <v/>
      </c>
      <c r="AF287" s="76">
        <f>IF(OR($AD287="",$Q287="",$Q287=0,$AN287&lt;&gt;"بدهکار"),"",$Q287)</f>
        <v/>
      </c>
      <c r="AG287" s="76">
        <f>SUM($V287,$Y287,$AB287,$AE287)</f>
        <v/>
      </c>
      <c r="AH287" s="76">
        <f>SUM($W287,$Z287,$AC287,$AF287)</f>
        <v/>
      </c>
      <c r="AI287" s="70">
        <f>IF($E287="","",IF(ROUND($AG287-$AH287,0)=0,"✓","⚠"))</f>
        <v/>
      </c>
      <c r="AJ287" s="76">
        <f>IF(OR($E287="",$U287=""),"",IFERROR(IF(VLOOKUP($E287,OpTbl,6,0)="وزن",IF($P287="",0,$P287),IF(VLOOKUP($E287,OpTbl,6,0)="مبلغ",IF(AND($Q287&lt;&gt;"",$Q287&lt;&gt;0),$Q287,$P287),0))+IF(VLOOKUP($E287,OpTbl,10,0)="افزودن",IF($Q287="",0,$Q287),0),0))</f>
        <v/>
      </c>
      <c r="AK287" s="70">
        <f>IF($E287="","",IFERROR(VLOOKUP($E287,OpTbl,10,0),""))</f>
        <v/>
      </c>
      <c r="AL287" s="70">
        <f>IF(OR($E287="",$U287=""),"",IFERROR(IF(VLOOKUP($E287,OpTbl,7,0)="خودکار",$R287,VLOOKUP($E287,OpTbl,7,0)),""))</f>
        <v/>
      </c>
      <c r="AM287" s="70">
        <f>IF(OR($E287="",$X287=""),"",IFERROR(IF(VLOOKUP($E287,OpTbl,9,0)="خودکار",IF($AL287="بدهکار","بستانکار",IF($AL287="بستانکار","بدهکار","")),VLOOKUP($E287,OpTbl,9,0)),""))</f>
        <v/>
      </c>
      <c r="AN287" s="70">
        <f>IF($E287="","",IFERROR(VLOOKUP($E287,OpTbl,11,0),""))</f>
        <v/>
      </c>
      <c r="AO287" s="70">
        <f>IF($B287="","",MID($B287,6,2))</f>
        <v/>
      </c>
      <c r="AP287" s="76">
        <f>IF($B287="",0,1)</f>
        <v/>
      </c>
    </row>
    <row r="288" ht="21.75" customHeight="1">
      <c r="A288" s="70">
        <f>IF($B288="","",COUNTA($B$10:$B288))</f>
        <v/>
      </c>
      <c r="B288" s="71" t="n"/>
      <c r="C288" s="71" t="n"/>
      <c r="D288" s="71" t="n"/>
      <c r="E288" s="71" t="n"/>
      <c r="F288" s="70">
        <f>IF($E288="","",IFERROR(VLOOKUP($E288,OpTbl,2,0),""))</f>
        <v/>
      </c>
      <c r="G288" s="71" t="n"/>
      <c r="H288" s="73">
        <f>IF($U288="","",IFERROR(VLOOKUP($U288,AcctTbl,2,0),"کد ناشناخته"))</f>
        <v/>
      </c>
      <c r="I288" s="70">
        <f>IF($U288="","",IFERROR(VLOOKUP($U288,AcctTbl,3,0),""))</f>
        <v/>
      </c>
      <c r="J288" s="72" t="n"/>
      <c r="K288" s="71" t="n"/>
      <c r="L288" s="74" t="n"/>
      <c r="M288" s="74" t="n"/>
      <c r="N288" s="148">
        <f>IF(OR($E288="",$L288=""),"",IFERROR(($L288-IF($M288="",0,$M288)*IFERROR(VLOOKUP($K288,BasketTbl,4,0),IFERROR(INDEX(BasketTbl,MATCH($K288,BasketCodeCol,0),4),VLOOKUP("P01",ParamTbl,2,0))))*(1-IF(VLOOKUP($E288,OpTbl,3,0)="خرید",VLOOKUP("P02",ParamTbl,2,0),0)/100),""))</f>
        <v/>
      </c>
      <c r="O288" s="74" t="n"/>
      <c r="P288" s="76">
        <f>IF(OR($E288="",$L288=""),"",IFERROR(IF(VLOOKUP($E288,OpTbl,6,0)="وزن",ROUND($N288*$O288,-3),IF(VLOOKUP($E288,OpTbl,6,0)="مبلغ",ROUND($L288*$O288,-3),0)),""))</f>
        <v/>
      </c>
      <c r="Q288" s="74" t="n"/>
      <c r="R288" s="71" t="n"/>
      <c r="S288" s="77">
        <f>IF($E288="","",IF($AI288="⚠","⚠ ناتراز",IF(AND(IFERROR(VLOOKUP($E288,OpTbl,4,0),"")="بله",$L288=""),"⚠ وزن",IF(AND(IFERROR(VLOOKUP($E288,OpTbl,5,0),"")="بله",$U288=""),"⚠ حساب",IF(AND(IFERROR(VLOOKUP($E288,OpTbl,6,0),"")="مبلغ",$Q288=""),"⚠ مبلغ","✓")))))</f>
        <v/>
      </c>
      <c r="T288" s="72" t="n"/>
      <c r="U288" s="70">
        <f>IF($E288="","",IFERROR(IF(VLOOKUP($E288,OpTbl,14,0)&lt;&gt;"",VLOOKUP($E288,OpTbl,14,0),$G288),""))</f>
        <v/>
      </c>
      <c r="V288" s="76">
        <f>IF(OR($AJ288="",$AJ288=0,$AL288&lt;&gt;"بدهکار"),"",$AJ288)</f>
        <v/>
      </c>
      <c r="W288" s="76">
        <f>IF(OR($AJ288="",$AJ288=0,$AL288&lt;&gt;"بستانکار"),"",$AJ288)</f>
        <v/>
      </c>
      <c r="X288" s="70">
        <f>IF($E288="","",IFERROR(VLOOKUP($E288,OpTbl,8,0),""))</f>
        <v/>
      </c>
      <c r="Y288" s="76">
        <f>IF(OR($X288="",$AJ288="",$AJ288=0,$AM288&lt;&gt;"بدهکار"),"",$AJ288)</f>
        <v/>
      </c>
      <c r="Z288" s="76">
        <f>IF(OR($X288="",$AJ288="",$AJ288=0,$AM288&lt;&gt;"بستانکار"),"",$AJ288)</f>
        <v/>
      </c>
      <c r="AA288" s="70">
        <f>IF(OR($E288="",$AN288="—",$AN288=""),"",IFERROR(VLOOKUP($E288,OpTbl,12,0),""))</f>
        <v/>
      </c>
      <c r="AB288" s="76">
        <f>IF(OR($AA288="",$Q288="",$Q288=0,$AN288&lt;&gt;"بدهکار"),"",$Q288)</f>
        <v/>
      </c>
      <c r="AC288" s="76">
        <f>IF(OR($AA288="",$Q288="",$Q288=0,$AN288&lt;&gt;"بستانکار"),"",$Q288)</f>
        <v/>
      </c>
      <c r="AD288" s="70">
        <f>IF($AA288="","",IFERROR(VLOOKUP($E288,OpTbl,13,0),""))</f>
        <v/>
      </c>
      <c r="AE288" s="76">
        <f>IF(OR($AD288="",$Q288="",$Q288=0,$AN288&lt;&gt;"بستانکار"),"",$Q288)</f>
        <v/>
      </c>
      <c r="AF288" s="76">
        <f>IF(OR($AD288="",$Q288="",$Q288=0,$AN288&lt;&gt;"بدهکار"),"",$Q288)</f>
        <v/>
      </c>
      <c r="AG288" s="76">
        <f>SUM($V288,$Y288,$AB288,$AE288)</f>
        <v/>
      </c>
      <c r="AH288" s="76">
        <f>SUM($W288,$Z288,$AC288,$AF288)</f>
        <v/>
      </c>
      <c r="AI288" s="70">
        <f>IF($E288="","",IF(ROUND($AG288-$AH288,0)=0,"✓","⚠"))</f>
        <v/>
      </c>
      <c r="AJ288" s="76">
        <f>IF(OR($E288="",$U288=""),"",IFERROR(IF(VLOOKUP($E288,OpTbl,6,0)="وزن",IF($P288="",0,$P288),IF(VLOOKUP($E288,OpTbl,6,0)="مبلغ",IF(AND($Q288&lt;&gt;"",$Q288&lt;&gt;0),$Q288,$P288),0))+IF(VLOOKUP($E288,OpTbl,10,0)="افزودن",IF($Q288="",0,$Q288),0),0))</f>
        <v/>
      </c>
      <c r="AK288" s="70">
        <f>IF($E288="","",IFERROR(VLOOKUP($E288,OpTbl,10,0),""))</f>
        <v/>
      </c>
      <c r="AL288" s="70">
        <f>IF(OR($E288="",$U288=""),"",IFERROR(IF(VLOOKUP($E288,OpTbl,7,0)="خودکار",$R288,VLOOKUP($E288,OpTbl,7,0)),""))</f>
        <v/>
      </c>
      <c r="AM288" s="70">
        <f>IF(OR($E288="",$X288=""),"",IFERROR(IF(VLOOKUP($E288,OpTbl,9,0)="خودکار",IF($AL288="بدهکار","بستانکار",IF($AL288="بستانکار","بدهکار","")),VLOOKUP($E288,OpTbl,9,0)),""))</f>
        <v/>
      </c>
      <c r="AN288" s="70">
        <f>IF($E288="","",IFERROR(VLOOKUP($E288,OpTbl,11,0),""))</f>
        <v/>
      </c>
      <c r="AO288" s="70">
        <f>IF($B288="","",MID($B288,6,2))</f>
        <v/>
      </c>
      <c r="AP288" s="76">
        <f>IF($B288="",0,1)</f>
        <v/>
      </c>
    </row>
    <row r="289" ht="21.75" customHeight="1">
      <c r="A289" s="70">
        <f>IF($B289="","",COUNTA($B$10:$B289))</f>
        <v/>
      </c>
      <c r="B289" s="71" t="n"/>
      <c r="C289" s="71" t="n"/>
      <c r="D289" s="71" t="n"/>
      <c r="E289" s="71" t="n"/>
      <c r="F289" s="70">
        <f>IF($E289="","",IFERROR(VLOOKUP($E289,OpTbl,2,0),""))</f>
        <v/>
      </c>
      <c r="G289" s="71" t="n"/>
      <c r="H289" s="73">
        <f>IF($U289="","",IFERROR(VLOOKUP($U289,AcctTbl,2,0),"کد ناشناخته"))</f>
        <v/>
      </c>
      <c r="I289" s="70">
        <f>IF($U289="","",IFERROR(VLOOKUP($U289,AcctTbl,3,0),""))</f>
        <v/>
      </c>
      <c r="J289" s="72" t="n"/>
      <c r="K289" s="71" t="n"/>
      <c r="L289" s="74" t="n"/>
      <c r="M289" s="74" t="n"/>
      <c r="N289" s="148">
        <f>IF(OR($E289="",$L289=""),"",IFERROR(($L289-IF($M289="",0,$M289)*IFERROR(VLOOKUP($K289,BasketTbl,4,0),IFERROR(INDEX(BasketTbl,MATCH($K289,BasketCodeCol,0),4),VLOOKUP("P01",ParamTbl,2,0))))*(1-IF(VLOOKUP($E289,OpTbl,3,0)="خرید",VLOOKUP("P02",ParamTbl,2,0),0)/100),""))</f>
        <v/>
      </c>
      <c r="O289" s="74" t="n"/>
      <c r="P289" s="76">
        <f>IF(OR($E289="",$L289=""),"",IFERROR(IF(VLOOKUP($E289,OpTbl,6,0)="وزن",ROUND($N289*$O289,-3),IF(VLOOKUP($E289,OpTbl,6,0)="مبلغ",ROUND($L289*$O289,-3),0)),""))</f>
        <v/>
      </c>
      <c r="Q289" s="74" t="n"/>
      <c r="R289" s="71" t="n"/>
      <c r="S289" s="77">
        <f>IF($E289="","",IF($AI289="⚠","⚠ ناتراز",IF(AND(IFERROR(VLOOKUP($E289,OpTbl,4,0),"")="بله",$L289=""),"⚠ وزن",IF(AND(IFERROR(VLOOKUP($E289,OpTbl,5,0),"")="بله",$U289=""),"⚠ حساب",IF(AND(IFERROR(VLOOKUP($E289,OpTbl,6,0),"")="مبلغ",$Q289=""),"⚠ مبلغ","✓")))))</f>
        <v/>
      </c>
      <c r="T289" s="72" t="n"/>
      <c r="U289" s="70">
        <f>IF($E289="","",IFERROR(IF(VLOOKUP($E289,OpTbl,14,0)&lt;&gt;"",VLOOKUP($E289,OpTbl,14,0),$G289),""))</f>
        <v/>
      </c>
      <c r="V289" s="76">
        <f>IF(OR($AJ289="",$AJ289=0,$AL289&lt;&gt;"بدهکار"),"",$AJ289)</f>
        <v/>
      </c>
      <c r="W289" s="76">
        <f>IF(OR($AJ289="",$AJ289=0,$AL289&lt;&gt;"بستانکار"),"",$AJ289)</f>
        <v/>
      </c>
      <c r="X289" s="70">
        <f>IF($E289="","",IFERROR(VLOOKUP($E289,OpTbl,8,0),""))</f>
        <v/>
      </c>
      <c r="Y289" s="76">
        <f>IF(OR($X289="",$AJ289="",$AJ289=0,$AM289&lt;&gt;"بدهکار"),"",$AJ289)</f>
        <v/>
      </c>
      <c r="Z289" s="76">
        <f>IF(OR($X289="",$AJ289="",$AJ289=0,$AM289&lt;&gt;"بستانکار"),"",$AJ289)</f>
        <v/>
      </c>
      <c r="AA289" s="70">
        <f>IF(OR($E289="",$AN289="—",$AN289=""),"",IFERROR(VLOOKUP($E289,OpTbl,12,0),""))</f>
        <v/>
      </c>
      <c r="AB289" s="76">
        <f>IF(OR($AA289="",$Q289="",$Q289=0,$AN289&lt;&gt;"بدهکار"),"",$Q289)</f>
        <v/>
      </c>
      <c r="AC289" s="76">
        <f>IF(OR($AA289="",$Q289="",$Q289=0,$AN289&lt;&gt;"بستانکار"),"",$Q289)</f>
        <v/>
      </c>
      <c r="AD289" s="70">
        <f>IF($AA289="","",IFERROR(VLOOKUP($E289,OpTbl,13,0),""))</f>
        <v/>
      </c>
      <c r="AE289" s="76">
        <f>IF(OR($AD289="",$Q289="",$Q289=0,$AN289&lt;&gt;"بستانکار"),"",$Q289)</f>
        <v/>
      </c>
      <c r="AF289" s="76">
        <f>IF(OR($AD289="",$Q289="",$Q289=0,$AN289&lt;&gt;"بدهکار"),"",$Q289)</f>
        <v/>
      </c>
      <c r="AG289" s="76">
        <f>SUM($V289,$Y289,$AB289,$AE289)</f>
        <v/>
      </c>
      <c r="AH289" s="76">
        <f>SUM($W289,$Z289,$AC289,$AF289)</f>
        <v/>
      </c>
      <c r="AI289" s="70">
        <f>IF($E289="","",IF(ROUND($AG289-$AH289,0)=0,"✓","⚠"))</f>
        <v/>
      </c>
      <c r="AJ289" s="76">
        <f>IF(OR($E289="",$U289=""),"",IFERROR(IF(VLOOKUP($E289,OpTbl,6,0)="وزن",IF($P289="",0,$P289),IF(VLOOKUP($E289,OpTbl,6,0)="مبلغ",IF(AND($Q289&lt;&gt;"",$Q289&lt;&gt;0),$Q289,$P289),0))+IF(VLOOKUP($E289,OpTbl,10,0)="افزودن",IF($Q289="",0,$Q289),0),0))</f>
        <v/>
      </c>
      <c r="AK289" s="70">
        <f>IF($E289="","",IFERROR(VLOOKUP($E289,OpTbl,10,0),""))</f>
        <v/>
      </c>
      <c r="AL289" s="70">
        <f>IF(OR($E289="",$U289=""),"",IFERROR(IF(VLOOKUP($E289,OpTbl,7,0)="خودکار",$R289,VLOOKUP($E289,OpTbl,7,0)),""))</f>
        <v/>
      </c>
      <c r="AM289" s="70">
        <f>IF(OR($E289="",$X289=""),"",IFERROR(IF(VLOOKUP($E289,OpTbl,9,0)="خودکار",IF($AL289="بدهکار","بستانکار",IF($AL289="بستانکار","بدهکار","")),VLOOKUP($E289,OpTbl,9,0)),""))</f>
        <v/>
      </c>
      <c r="AN289" s="70">
        <f>IF($E289="","",IFERROR(VLOOKUP($E289,OpTbl,11,0),""))</f>
        <v/>
      </c>
      <c r="AO289" s="70">
        <f>IF($B289="","",MID($B289,6,2))</f>
        <v/>
      </c>
      <c r="AP289" s="76">
        <f>IF($B289="",0,1)</f>
        <v/>
      </c>
    </row>
    <row r="290" ht="21.75" customHeight="1">
      <c r="A290" s="70">
        <f>IF($B290="","",COUNTA($B$10:$B290))</f>
        <v/>
      </c>
      <c r="B290" s="71" t="n"/>
      <c r="C290" s="71" t="n"/>
      <c r="D290" s="71" t="n"/>
      <c r="E290" s="71" t="n"/>
      <c r="F290" s="70">
        <f>IF($E290="","",IFERROR(VLOOKUP($E290,OpTbl,2,0),""))</f>
        <v/>
      </c>
      <c r="G290" s="71" t="n"/>
      <c r="H290" s="73">
        <f>IF($U290="","",IFERROR(VLOOKUP($U290,AcctTbl,2,0),"کد ناشناخته"))</f>
        <v/>
      </c>
      <c r="I290" s="70">
        <f>IF($U290="","",IFERROR(VLOOKUP($U290,AcctTbl,3,0),""))</f>
        <v/>
      </c>
      <c r="J290" s="72" t="n"/>
      <c r="K290" s="71" t="n"/>
      <c r="L290" s="74" t="n"/>
      <c r="M290" s="74" t="n"/>
      <c r="N290" s="148">
        <f>IF(OR($E290="",$L290=""),"",IFERROR(($L290-IF($M290="",0,$M290)*IFERROR(VLOOKUP($K290,BasketTbl,4,0),IFERROR(INDEX(BasketTbl,MATCH($K290,BasketCodeCol,0),4),VLOOKUP("P01",ParamTbl,2,0))))*(1-IF(VLOOKUP($E290,OpTbl,3,0)="خرید",VLOOKUP("P02",ParamTbl,2,0),0)/100),""))</f>
        <v/>
      </c>
      <c r="O290" s="74" t="n"/>
      <c r="P290" s="76">
        <f>IF(OR($E290="",$L290=""),"",IFERROR(IF(VLOOKUP($E290,OpTbl,6,0)="وزن",ROUND($N290*$O290,-3),IF(VLOOKUP($E290,OpTbl,6,0)="مبلغ",ROUND($L290*$O290,-3),0)),""))</f>
        <v/>
      </c>
      <c r="Q290" s="74" t="n"/>
      <c r="R290" s="71" t="n"/>
      <c r="S290" s="77">
        <f>IF($E290="","",IF($AI290="⚠","⚠ ناتراز",IF(AND(IFERROR(VLOOKUP($E290,OpTbl,4,0),"")="بله",$L290=""),"⚠ وزن",IF(AND(IFERROR(VLOOKUP($E290,OpTbl,5,0),"")="بله",$U290=""),"⚠ حساب",IF(AND(IFERROR(VLOOKUP($E290,OpTbl,6,0),"")="مبلغ",$Q290=""),"⚠ مبلغ","✓")))))</f>
        <v/>
      </c>
      <c r="T290" s="72" t="n"/>
      <c r="U290" s="70">
        <f>IF($E290="","",IFERROR(IF(VLOOKUP($E290,OpTbl,14,0)&lt;&gt;"",VLOOKUP($E290,OpTbl,14,0),$G290),""))</f>
        <v/>
      </c>
      <c r="V290" s="76">
        <f>IF(OR($AJ290="",$AJ290=0,$AL290&lt;&gt;"بدهکار"),"",$AJ290)</f>
        <v/>
      </c>
      <c r="W290" s="76">
        <f>IF(OR($AJ290="",$AJ290=0,$AL290&lt;&gt;"بستانکار"),"",$AJ290)</f>
        <v/>
      </c>
      <c r="X290" s="70">
        <f>IF($E290="","",IFERROR(VLOOKUP($E290,OpTbl,8,0),""))</f>
        <v/>
      </c>
      <c r="Y290" s="76">
        <f>IF(OR($X290="",$AJ290="",$AJ290=0,$AM290&lt;&gt;"بدهکار"),"",$AJ290)</f>
        <v/>
      </c>
      <c r="Z290" s="76">
        <f>IF(OR($X290="",$AJ290="",$AJ290=0,$AM290&lt;&gt;"بستانکار"),"",$AJ290)</f>
        <v/>
      </c>
      <c r="AA290" s="70">
        <f>IF(OR($E290="",$AN290="—",$AN290=""),"",IFERROR(VLOOKUP($E290,OpTbl,12,0),""))</f>
        <v/>
      </c>
      <c r="AB290" s="76">
        <f>IF(OR($AA290="",$Q290="",$Q290=0,$AN290&lt;&gt;"بدهکار"),"",$Q290)</f>
        <v/>
      </c>
      <c r="AC290" s="76">
        <f>IF(OR($AA290="",$Q290="",$Q290=0,$AN290&lt;&gt;"بستانکار"),"",$Q290)</f>
        <v/>
      </c>
      <c r="AD290" s="70">
        <f>IF($AA290="","",IFERROR(VLOOKUP($E290,OpTbl,13,0),""))</f>
        <v/>
      </c>
      <c r="AE290" s="76">
        <f>IF(OR($AD290="",$Q290="",$Q290=0,$AN290&lt;&gt;"بستانکار"),"",$Q290)</f>
        <v/>
      </c>
      <c r="AF290" s="76">
        <f>IF(OR($AD290="",$Q290="",$Q290=0,$AN290&lt;&gt;"بدهکار"),"",$Q290)</f>
        <v/>
      </c>
      <c r="AG290" s="76">
        <f>SUM($V290,$Y290,$AB290,$AE290)</f>
        <v/>
      </c>
      <c r="AH290" s="76">
        <f>SUM($W290,$Z290,$AC290,$AF290)</f>
        <v/>
      </c>
      <c r="AI290" s="70">
        <f>IF($E290="","",IF(ROUND($AG290-$AH290,0)=0,"✓","⚠"))</f>
        <v/>
      </c>
      <c r="AJ290" s="76">
        <f>IF(OR($E290="",$U290=""),"",IFERROR(IF(VLOOKUP($E290,OpTbl,6,0)="وزن",IF($P290="",0,$P290),IF(VLOOKUP($E290,OpTbl,6,0)="مبلغ",IF(AND($Q290&lt;&gt;"",$Q290&lt;&gt;0),$Q290,$P290),0))+IF(VLOOKUP($E290,OpTbl,10,0)="افزودن",IF($Q290="",0,$Q290),0),0))</f>
        <v/>
      </c>
      <c r="AK290" s="70">
        <f>IF($E290="","",IFERROR(VLOOKUP($E290,OpTbl,10,0),""))</f>
        <v/>
      </c>
      <c r="AL290" s="70">
        <f>IF(OR($E290="",$U290=""),"",IFERROR(IF(VLOOKUP($E290,OpTbl,7,0)="خودکار",$R290,VLOOKUP($E290,OpTbl,7,0)),""))</f>
        <v/>
      </c>
      <c r="AM290" s="70">
        <f>IF(OR($E290="",$X290=""),"",IFERROR(IF(VLOOKUP($E290,OpTbl,9,0)="خودکار",IF($AL290="بدهکار","بستانکار",IF($AL290="بستانکار","بدهکار","")),VLOOKUP($E290,OpTbl,9,0)),""))</f>
        <v/>
      </c>
      <c r="AN290" s="70">
        <f>IF($E290="","",IFERROR(VLOOKUP($E290,OpTbl,11,0),""))</f>
        <v/>
      </c>
      <c r="AO290" s="70">
        <f>IF($B290="","",MID($B290,6,2))</f>
        <v/>
      </c>
      <c r="AP290" s="76">
        <f>IF($B290="",0,1)</f>
        <v/>
      </c>
    </row>
    <row r="291" ht="21.75" customHeight="1">
      <c r="A291" s="70">
        <f>IF($B291="","",COUNTA($B$10:$B291))</f>
        <v/>
      </c>
      <c r="B291" s="71" t="n"/>
      <c r="C291" s="71" t="n"/>
      <c r="D291" s="71" t="n"/>
      <c r="E291" s="71" t="n"/>
      <c r="F291" s="70">
        <f>IF($E291="","",IFERROR(VLOOKUP($E291,OpTbl,2,0),""))</f>
        <v/>
      </c>
      <c r="G291" s="71" t="n"/>
      <c r="H291" s="73">
        <f>IF($U291="","",IFERROR(VLOOKUP($U291,AcctTbl,2,0),"کد ناشناخته"))</f>
        <v/>
      </c>
      <c r="I291" s="70">
        <f>IF($U291="","",IFERROR(VLOOKUP($U291,AcctTbl,3,0),""))</f>
        <v/>
      </c>
      <c r="J291" s="72" t="n"/>
      <c r="K291" s="71" t="n"/>
      <c r="L291" s="74" t="n"/>
      <c r="M291" s="74" t="n"/>
      <c r="N291" s="148">
        <f>IF(OR($E291="",$L291=""),"",IFERROR(($L291-IF($M291="",0,$M291)*IFERROR(VLOOKUP($K291,BasketTbl,4,0),IFERROR(INDEX(BasketTbl,MATCH($K291,BasketCodeCol,0),4),VLOOKUP("P01",ParamTbl,2,0))))*(1-IF(VLOOKUP($E291,OpTbl,3,0)="خرید",VLOOKUP("P02",ParamTbl,2,0),0)/100),""))</f>
        <v/>
      </c>
      <c r="O291" s="74" t="n"/>
      <c r="P291" s="76">
        <f>IF(OR($E291="",$L291=""),"",IFERROR(IF(VLOOKUP($E291,OpTbl,6,0)="وزن",ROUND($N291*$O291,-3),IF(VLOOKUP($E291,OpTbl,6,0)="مبلغ",ROUND($L291*$O291,-3),0)),""))</f>
        <v/>
      </c>
      <c r="Q291" s="74" t="n"/>
      <c r="R291" s="71" t="n"/>
      <c r="S291" s="77">
        <f>IF($E291="","",IF($AI291="⚠","⚠ ناتراز",IF(AND(IFERROR(VLOOKUP($E291,OpTbl,4,0),"")="بله",$L291=""),"⚠ وزن",IF(AND(IFERROR(VLOOKUP($E291,OpTbl,5,0),"")="بله",$U291=""),"⚠ حساب",IF(AND(IFERROR(VLOOKUP($E291,OpTbl,6,0),"")="مبلغ",$Q291=""),"⚠ مبلغ","✓")))))</f>
        <v/>
      </c>
      <c r="T291" s="72" t="n"/>
      <c r="U291" s="70">
        <f>IF($E291="","",IFERROR(IF(VLOOKUP($E291,OpTbl,14,0)&lt;&gt;"",VLOOKUP($E291,OpTbl,14,0),$G291),""))</f>
        <v/>
      </c>
      <c r="V291" s="76">
        <f>IF(OR($AJ291="",$AJ291=0,$AL291&lt;&gt;"بدهکار"),"",$AJ291)</f>
        <v/>
      </c>
      <c r="W291" s="76">
        <f>IF(OR($AJ291="",$AJ291=0,$AL291&lt;&gt;"بستانکار"),"",$AJ291)</f>
        <v/>
      </c>
      <c r="X291" s="70">
        <f>IF($E291="","",IFERROR(VLOOKUP($E291,OpTbl,8,0),""))</f>
        <v/>
      </c>
      <c r="Y291" s="76">
        <f>IF(OR($X291="",$AJ291="",$AJ291=0,$AM291&lt;&gt;"بدهکار"),"",$AJ291)</f>
        <v/>
      </c>
      <c r="Z291" s="76">
        <f>IF(OR($X291="",$AJ291="",$AJ291=0,$AM291&lt;&gt;"بستانکار"),"",$AJ291)</f>
        <v/>
      </c>
      <c r="AA291" s="70">
        <f>IF(OR($E291="",$AN291="—",$AN291=""),"",IFERROR(VLOOKUP($E291,OpTbl,12,0),""))</f>
        <v/>
      </c>
      <c r="AB291" s="76">
        <f>IF(OR($AA291="",$Q291="",$Q291=0,$AN291&lt;&gt;"بدهکار"),"",$Q291)</f>
        <v/>
      </c>
      <c r="AC291" s="76">
        <f>IF(OR($AA291="",$Q291="",$Q291=0,$AN291&lt;&gt;"بستانکار"),"",$Q291)</f>
        <v/>
      </c>
      <c r="AD291" s="70">
        <f>IF($AA291="","",IFERROR(VLOOKUP($E291,OpTbl,13,0),""))</f>
        <v/>
      </c>
      <c r="AE291" s="76">
        <f>IF(OR($AD291="",$Q291="",$Q291=0,$AN291&lt;&gt;"بستانکار"),"",$Q291)</f>
        <v/>
      </c>
      <c r="AF291" s="76">
        <f>IF(OR($AD291="",$Q291="",$Q291=0,$AN291&lt;&gt;"بدهکار"),"",$Q291)</f>
        <v/>
      </c>
      <c r="AG291" s="76">
        <f>SUM($V291,$Y291,$AB291,$AE291)</f>
        <v/>
      </c>
      <c r="AH291" s="76">
        <f>SUM($W291,$Z291,$AC291,$AF291)</f>
        <v/>
      </c>
      <c r="AI291" s="70">
        <f>IF($E291="","",IF(ROUND($AG291-$AH291,0)=0,"✓","⚠"))</f>
        <v/>
      </c>
      <c r="AJ291" s="76">
        <f>IF(OR($E291="",$U291=""),"",IFERROR(IF(VLOOKUP($E291,OpTbl,6,0)="وزن",IF($P291="",0,$P291),IF(VLOOKUP($E291,OpTbl,6,0)="مبلغ",IF(AND($Q291&lt;&gt;"",$Q291&lt;&gt;0),$Q291,$P291),0))+IF(VLOOKUP($E291,OpTbl,10,0)="افزودن",IF($Q291="",0,$Q291),0),0))</f>
        <v/>
      </c>
      <c r="AK291" s="70">
        <f>IF($E291="","",IFERROR(VLOOKUP($E291,OpTbl,10,0),""))</f>
        <v/>
      </c>
      <c r="AL291" s="70">
        <f>IF(OR($E291="",$U291=""),"",IFERROR(IF(VLOOKUP($E291,OpTbl,7,0)="خودکار",$R291,VLOOKUP($E291,OpTbl,7,0)),""))</f>
        <v/>
      </c>
      <c r="AM291" s="70">
        <f>IF(OR($E291="",$X291=""),"",IFERROR(IF(VLOOKUP($E291,OpTbl,9,0)="خودکار",IF($AL291="بدهکار","بستانکار",IF($AL291="بستانکار","بدهکار","")),VLOOKUP($E291,OpTbl,9,0)),""))</f>
        <v/>
      </c>
      <c r="AN291" s="70">
        <f>IF($E291="","",IFERROR(VLOOKUP($E291,OpTbl,11,0),""))</f>
        <v/>
      </c>
      <c r="AO291" s="70">
        <f>IF($B291="","",MID($B291,6,2))</f>
        <v/>
      </c>
      <c r="AP291" s="76">
        <f>IF($B291="",0,1)</f>
        <v/>
      </c>
    </row>
    <row r="292" ht="21.75" customHeight="1">
      <c r="A292" s="70">
        <f>IF($B292="","",COUNTA($B$10:$B292))</f>
        <v/>
      </c>
      <c r="B292" s="71" t="n"/>
      <c r="C292" s="71" t="n"/>
      <c r="D292" s="71" t="n"/>
      <c r="E292" s="71" t="n"/>
      <c r="F292" s="70">
        <f>IF($E292="","",IFERROR(VLOOKUP($E292,OpTbl,2,0),""))</f>
        <v/>
      </c>
      <c r="G292" s="71" t="n"/>
      <c r="H292" s="73">
        <f>IF($U292="","",IFERROR(VLOOKUP($U292,AcctTbl,2,0),"کد ناشناخته"))</f>
        <v/>
      </c>
      <c r="I292" s="70">
        <f>IF($U292="","",IFERROR(VLOOKUP($U292,AcctTbl,3,0),""))</f>
        <v/>
      </c>
      <c r="J292" s="72" t="n"/>
      <c r="K292" s="71" t="n"/>
      <c r="L292" s="74" t="n"/>
      <c r="M292" s="74" t="n"/>
      <c r="N292" s="148">
        <f>IF(OR($E292="",$L292=""),"",IFERROR(($L292-IF($M292="",0,$M292)*IFERROR(VLOOKUP($K292,BasketTbl,4,0),IFERROR(INDEX(BasketTbl,MATCH($K292,BasketCodeCol,0),4),VLOOKUP("P01",ParamTbl,2,0))))*(1-IF(VLOOKUP($E292,OpTbl,3,0)="خرید",VLOOKUP("P02",ParamTbl,2,0),0)/100),""))</f>
        <v/>
      </c>
      <c r="O292" s="74" t="n"/>
      <c r="P292" s="76">
        <f>IF(OR($E292="",$L292=""),"",IFERROR(IF(VLOOKUP($E292,OpTbl,6,0)="وزن",ROUND($N292*$O292,-3),IF(VLOOKUP($E292,OpTbl,6,0)="مبلغ",ROUND($L292*$O292,-3),0)),""))</f>
        <v/>
      </c>
      <c r="Q292" s="74" t="n"/>
      <c r="R292" s="71" t="n"/>
      <c r="S292" s="77">
        <f>IF($E292="","",IF($AI292="⚠","⚠ ناتراز",IF(AND(IFERROR(VLOOKUP($E292,OpTbl,4,0),"")="بله",$L292=""),"⚠ وزن",IF(AND(IFERROR(VLOOKUP($E292,OpTbl,5,0),"")="بله",$U292=""),"⚠ حساب",IF(AND(IFERROR(VLOOKUP($E292,OpTbl,6,0),"")="مبلغ",$Q292=""),"⚠ مبلغ","✓")))))</f>
        <v/>
      </c>
      <c r="T292" s="72" t="n"/>
      <c r="U292" s="70">
        <f>IF($E292="","",IFERROR(IF(VLOOKUP($E292,OpTbl,14,0)&lt;&gt;"",VLOOKUP($E292,OpTbl,14,0),$G292),""))</f>
        <v/>
      </c>
      <c r="V292" s="76">
        <f>IF(OR($AJ292="",$AJ292=0,$AL292&lt;&gt;"بدهکار"),"",$AJ292)</f>
        <v/>
      </c>
      <c r="W292" s="76">
        <f>IF(OR($AJ292="",$AJ292=0,$AL292&lt;&gt;"بستانکار"),"",$AJ292)</f>
        <v/>
      </c>
      <c r="X292" s="70">
        <f>IF($E292="","",IFERROR(VLOOKUP($E292,OpTbl,8,0),""))</f>
        <v/>
      </c>
      <c r="Y292" s="76">
        <f>IF(OR($X292="",$AJ292="",$AJ292=0,$AM292&lt;&gt;"بدهکار"),"",$AJ292)</f>
        <v/>
      </c>
      <c r="Z292" s="76">
        <f>IF(OR($X292="",$AJ292="",$AJ292=0,$AM292&lt;&gt;"بستانکار"),"",$AJ292)</f>
        <v/>
      </c>
      <c r="AA292" s="70">
        <f>IF(OR($E292="",$AN292="—",$AN292=""),"",IFERROR(VLOOKUP($E292,OpTbl,12,0),""))</f>
        <v/>
      </c>
      <c r="AB292" s="76">
        <f>IF(OR($AA292="",$Q292="",$Q292=0,$AN292&lt;&gt;"بدهکار"),"",$Q292)</f>
        <v/>
      </c>
      <c r="AC292" s="76">
        <f>IF(OR($AA292="",$Q292="",$Q292=0,$AN292&lt;&gt;"بستانکار"),"",$Q292)</f>
        <v/>
      </c>
      <c r="AD292" s="70">
        <f>IF($AA292="","",IFERROR(VLOOKUP($E292,OpTbl,13,0),""))</f>
        <v/>
      </c>
      <c r="AE292" s="76">
        <f>IF(OR($AD292="",$Q292="",$Q292=0,$AN292&lt;&gt;"بستانکار"),"",$Q292)</f>
        <v/>
      </c>
      <c r="AF292" s="76">
        <f>IF(OR($AD292="",$Q292="",$Q292=0,$AN292&lt;&gt;"بدهکار"),"",$Q292)</f>
        <v/>
      </c>
      <c r="AG292" s="76">
        <f>SUM($V292,$Y292,$AB292,$AE292)</f>
        <v/>
      </c>
      <c r="AH292" s="76">
        <f>SUM($W292,$Z292,$AC292,$AF292)</f>
        <v/>
      </c>
      <c r="AI292" s="70">
        <f>IF($E292="","",IF(ROUND($AG292-$AH292,0)=0,"✓","⚠"))</f>
        <v/>
      </c>
      <c r="AJ292" s="76">
        <f>IF(OR($E292="",$U292=""),"",IFERROR(IF(VLOOKUP($E292,OpTbl,6,0)="وزن",IF($P292="",0,$P292),IF(VLOOKUP($E292,OpTbl,6,0)="مبلغ",IF(AND($Q292&lt;&gt;"",$Q292&lt;&gt;0),$Q292,$P292),0))+IF(VLOOKUP($E292,OpTbl,10,0)="افزودن",IF($Q292="",0,$Q292),0),0))</f>
        <v/>
      </c>
      <c r="AK292" s="70">
        <f>IF($E292="","",IFERROR(VLOOKUP($E292,OpTbl,10,0),""))</f>
        <v/>
      </c>
      <c r="AL292" s="70">
        <f>IF(OR($E292="",$U292=""),"",IFERROR(IF(VLOOKUP($E292,OpTbl,7,0)="خودکار",$R292,VLOOKUP($E292,OpTbl,7,0)),""))</f>
        <v/>
      </c>
      <c r="AM292" s="70">
        <f>IF(OR($E292="",$X292=""),"",IFERROR(IF(VLOOKUP($E292,OpTbl,9,0)="خودکار",IF($AL292="بدهکار","بستانکار",IF($AL292="بستانکار","بدهکار","")),VLOOKUP($E292,OpTbl,9,0)),""))</f>
        <v/>
      </c>
      <c r="AN292" s="70">
        <f>IF($E292="","",IFERROR(VLOOKUP($E292,OpTbl,11,0),""))</f>
        <v/>
      </c>
      <c r="AO292" s="70">
        <f>IF($B292="","",MID($B292,6,2))</f>
        <v/>
      </c>
      <c r="AP292" s="76">
        <f>IF($B292="",0,1)</f>
        <v/>
      </c>
    </row>
    <row r="293" ht="21.75" customHeight="1">
      <c r="A293" s="70">
        <f>IF($B293="","",COUNTA($B$10:$B293))</f>
        <v/>
      </c>
      <c r="B293" s="71" t="n"/>
      <c r="C293" s="71" t="n"/>
      <c r="D293" s="71" t="n"/>
      <c r="E293" s="71" t="n"/>
      <c r="F293" s="70">
        <f>IF($E293="","",IFERROR(VLOOKUP($E293,OpTbl,2,0),""))</f>
        <v/>
      </c>
      <c r="G293" s="71" t="n"/>
      <c r="H293" s="73">
        <f>IF($U293="","",IFERROR(VLOOKUP($U293,AcctTbl,2,0),"کد ناشناخته"))</f>
        <v/>
      </c>
      <c r="I293" s="70">
        <f>IF($U293="","",IFERROR(VLOOKUP($U293,AcctTbl,3,0),""))</f>
        <v/>
      </c>
      <c r="J293" s="72" t="n"/>
      <c r="K293" s="71" t="n"/>
      <c r="L293" s="74" t="n"/>
      <c r="M293" s="74" t="n"/>
      <c r="N293" s="148">
        <f>IF(OR($E293="",$L293=""),"",IFERROR(($L293-IF($M293="",0,$M293)*IFERROR(VLOOKUP($K293,BasketTbl,4,0),IFERROR(INDEX(BasketTbl,MATCH($K293,BasketCodeCol,0),4),VLOOKUP("P01",ParamTbl,2,0))))*(1-IF(VLOOKUP($E293,OpTbl,3,0)="خرید",VLOOKUP("P02",ParamTbl,2,0),0)/100),""))</f>
        <v/>
      </c>
      <c r="O293" s="74" t="n"/>
      <c r="P293" s="76">
        <f>IF(OR($E293="",$L293=""),"",IFERROR(IF(VLOOKUP($E293,OpTbl,6,0)="وزن",ROUND($N293*$O293,-3),IF(VLOOKUP($E293,OpTbl,6,0)="مبلغ",ROUND($L293*$O293,-3),0)),""))</f>
        <v/>
      </c>
      <c r="Q293" s="74" t="n"/>
      <c r="R293" s="71" t="n"/>
      <c r="S293" s="77">
        <f>IF($E293="","",IF($AI293="⚠","⚠ ناتراز",IF(AND(IFERROR(VLOOKUP($E293,OpTbl,4,0),"")="بله",$L293=""),"⚠ وزن",IF(AND(IFERROR(VLOOKUP($E293,OpTbl,5,0),"")="بله",$U293=""),"⚠ حساب",IF(AND(IFERROR(VLOOKUP($E293,OpTbl,6,0),"")="مبلغ",$Q293=""),"⚠ مبلغ","✓")))))</f>
        <v/>
      </c>
      <c r="T293" s="72" t="n"/>
      <c r="U293" s="70">
        <f>IF($E293="","",IFERROR(IF(VLOOKUP($E293,OpTbl,14,0)&lt;&gt;"",VLOOKUP($E293,OpTbl,14,0),$G293),""))</f>
        <v/>
      </c>
      <c r="V293" s="76">
        <f>IF(OR($AJ293="",$AJ293=0,$AL293&lt;&gt;"بدهکار"),"",$AJ293)</f>
        <v/>
      </c>
      <c r="W293" s="76">
        <f>IF(OR($AJ293="",$AJ293=0,$AL293&lt;&gt;"بستانکار"),"",$AJ293)</f>
        <v/>
      </c>
      <c r="X293" s="70">
        <f>IF($E293="","",IFERROR(VLOOKUP($E293,OpTbl,8,0),""))</f>
        <v/>
      </c>
      <c r="Y293" s="76">
        <f>IF(OR($X293="",$AJ293="",$AJ293=0,$AM293&lt;&gt;"بدهکار"),"",$AJ293)</f>
        <v/>
      </c>
      <c r="Z293" s="76">
        <f>IF(OR($X293="",$AJ293="",$AJ293=0,$AM293&lt;&gt;"بستانکار"),"",$AJ293)</f>
        <v/>
      </c>
      <c r="AA293" s="70">
        <f>IF(OR($E293="",$AN293="—",$AN293=""),"",IFERROR(VLOOKUP($E293,OpTbl,12,0),""))</f>
        <v/>
      </c>
      <c r="AB293" s="76">
        <f>IF(OR($AA293="",$Q293="",$Q293=0,$AN293&lt;&gt;"بدهکار"),"",$Q293)</f>
        <v/>
      </c>
      <c r="AC293" s="76">
        <f>IF(OR($AA293="",$Q293="",$Q293=0,$AN293&lt;&gt;"بستانکار"),"",$Q293)</f>
        <v/>
      </c>
      <c r="AD293" s="70">
        <f>IF($AA293="","",IFERROR(VLOOKUP($E293,OpTbl,13,0),""))</f>
        <v/>
      </c>
      <c r="AE293" s="76">
        <f>IF(OR($AD293="",$Q293="",$Q293=0,$AN293&lt;&gt;"بستانکار"),"",$Q293)</f>
        <v/>
      </c>
      <c r="AF293" s="76">
        <f>IF(OR($AD293="",$Q293="",$Q293=0,$AN293&lt;&gt;"بدهکار"),"",$Q293)</f>
        <v/>
      </c>
      <c r="AG293" s="76">
        <f>SUM($V293,$Y293,$AB293,$AE293)</f>
        <v/>
      </c>
      <c r="AH293" s="76">
        <f>SUM($W293,$Z293,$AC293,$AF293)</f>
        <v/>
      </c>
      <c r="AI293" s="70">
        <f>IF($E293="","",IF(ROUND($AG293-$AH293,0)=0,"✓","⚠"))</f>
        <v/>
      </c>
      <c r="AJ293" s="76">
        <f>IF(OR($E293="",$U293=""),"",IFERROR(IF(VLOOKUP($E293,OpTbl,6,0)="وزن",IF($P293="",0,$P293),IF(VLOOKUP($E293,OpTbl,6,0)="مبلغ",IF(AND($Q293&lt;&gt;"",$Q293&lt;&gt;0),$Q293,$P293),0))+IF(VLOOKUP($E293,OpTbl,10,0)="افزودن",IF($Q293="",0,$Q293),0),0))</f>
        <v/>
      </c>
      <c r="AK293" s="70">
        <f>IF($E293="","",IFERROR(VLOOKUP($E293,OpTbl,10,0),""))</f>
        <v/>
      </c>
      <c r="AL293" s="70">
        <f>IF(OR($E293="",$U293=""),"",IFERROR(IF(VLOOKUP($E293,OpTbl,7,0)="خودکار",$R293,VLOOKUP($E293,OpTbl,7,0)),""))</f>
        <v/>
      </c>
      <c r="AM293" s="70">
        <f>IF(OR($E293="",$X293=""),"",IFERROR(IF(VLOOKUP($E293,OpTbl,9,0)="خودکار",IF($AL293="بدهکار","بستانکار",IF($AL293="بستانکار","بدهکار","")),VLOOKUP($E293,OpTbl,9,0)),""))</f>
        <v/>
      </c>
      <c r="AN293" s="70">
        <f>IF($E293="","",IFERROR(VLOOKUP($E293,OpTbl,11,0),""))</f>
        <v/>
      </c>
      <c r="AO293" s="70">
        <f>IF($B293="","",MID($B293,6,2))</f>
        <v/>
      </c>
      <c r="AP293" s="76">
        <f>IF($B293="",0,1)</f>
        <v/>
      </c>
    </row>
    <row r="294" ht="21.75" customHeight="1">
      <c r="A294" s="70">
        <f>IF($B294="","",COUNTA($B$10:$B294))</f>
        <v/>
      </c>
      <c r="B294" s="71" t="n"/>
      <c r="C294" s="71" t="n"/>
      <c r="D294" s="71" t="n"/>
      <c r="E294" s="71" t="n"/>
      <c r="F294" s="70">
        <f>IF($E294="","",IFERROR(VLOOKUP($E294,OpTbl,2,0),""))</f>
        <v/>
      </c>
      <c r="G294" s="71" t="n"/>
      <c r="H294" s="73">
        <f>IF($U294="","",IFERROR(VLOOKUP($U294,AcctTbl,2,0),"کد ناشناخته"))</f>
        <v/>
      </c>
      <c r="I294" s="70">
        <f>IF($U294="","",IFERROR(VLOOKUP($U294,AcctTbl,3,0),""))</f>
        <v/>
      </c>
      <c r="J294" s="72" t="n"/>
      <c r="K294" s="71" t="n"/>
      <c r="L294" s="74" t="n"/>
      <c r="M294" s="74" t="n"/>
      <c r="N294" s="148">
        <f>IF(OR($E294="",$L294=""),"",IFERROR(($L294-IF($M294="",0,$M294)*IFERROR(VLOOKUP($K294,BasketTbl,4,0),IFERROR(INDEX(BasketTbl,MATCH($K294,BasketCodeCol,0),4),VLOOKUP("P01",ParamTbl,2,0))))*(1-IF(VLOOKUP($E294,OpTbl,3,0)="خرید",VLOOKUP("P02",ParamTbl,2,0),0)/100),""))</f>
        <v/>
      </c>
      <c r="O294" s="74" t="n"/>
      <c r="P294" s="76">
        <f>IF(OR($E294="",$L294=""),"",IFERROR(IF(VLOOKUP($E294,OpTbl,6,0)="وزن",ROUND($N294*$O294,-3),IF(VLOOKUP($E294,OpTbl,6,0)="مبلغ",ROUND($L294*$O294,-3),0)),""))</f>
        <v/>
      </c>
      <c r="Q294" s="74" t="n"/>
      <c r="R294" s="71" t="n"/>
      <c r="S294" s="77">
        <f>IF($E294="","",IF($AI294="⚠","⚠ ناتراز",IF(AND(IFERROR(VLOOKUP($E294,OpTbl,4,0),"")="بله",$L294=""),"⚠ وزن",IF(AND(IFERROR(VLOOKUP($E294,OpTbl,5,0),"")="بله",$U294=""),"⚠ حساب",IF(AND(IFERROR(VLOOKUP($E294,OpTbl,6,0),"")="مبلغ",$Q294=""),"⚠ مبلغ","✓")))))</f>
        <v/>
      </c>
      <c r="T294" s="72" t="n"/>
      <c r="U294" s="70">
        <f>IF($E294="","",IFERROR(IF(VLOOKUP($E294,OpTbl,14,0)&lt;&gt;"",VLOOKUP($E294,OpTbl,14,0),$G294),""))</f>
        <v/>
      </c>
      <c r="V294" s="76">
        <f>IF(OR($AJ294="",$AJ294=0,$AL294&lt;&gt;"بدهکار"),"",$AJ294)</f>
        <v/>
      </c>
      <c r="W294" s="76">
        <f>IF(OR($AJ294="",$AJ294=0,$AL294&lt;&gt;"بستانکار"),"",$AJ294)</f>
        <v/>
      </c>
      <c r="X294" s="70">
        <f>IF($E294="","",IFERROR(VLOOKUP($E294,OpTbl,8,0),""))</f>
        <v/>
      </c>
      <c r="Y294" s="76">
        <f>IF(OR($X294="",$AJ294="",$AJ294=0,$AM294&lt;&gt;"بدهکار"),"",$AJ294)</f>
        <v/>
      </c>
      <c r="Z294" s="76">
        <f>IF(OR($X294="",$AJ294="",$AJ294=0,$AM294&lt;&gt;"بستانکار"),"",$AJ294)</f>
        <v/>
      </c>
      <c r="AA294" s="70">
        <f>IF(OR($E294="",$AN294="—",$AN294=""),"",IFERROR(VLOOKUP($E294,OpTbl,12,0),""))</f>
        <v/>
      </c>
      <c r="AB294" s="76">
        <f>IF(OR($AA294="",$Q294="",$Q294=0,$AN294&lt;&gt;"بدهکار"),"",$Q294)</f>
        <v/>
      </c>
      <c r="AC294" s="76">
        <f>IF(OR($AA294="",$Q294="",$Q294=0,$AN294&lt;&gt;"بستانکار"),"",$Q294)</f>
        <v/>
      </c>
      <c r="AD294" s="70">
        <f>IF($AA294="","",IFERROR(VLOOKUP($E294,OpTbl,13,0),""))</f>
        <v/>
      </c>
      <c r="AE294" s="76">
        <f>IF(OR($AD294="",$Q294="",$Q294=0,$AN294&lt;&gt;"بستانکار"),"",$Q294)</f>
        <v/>
      </c>
      <c r="AF294" s="76">
        <f>IF(OR($AD294="",$Q294="",$Q294=0,$AN294&lt;&gt;"بدهکار"),"",$Q294)</f>
        <v/>
      </c>
      <c r="AG294" s="76">
        <f>SUM($V294,$Y294,$AB294,$AE294)</f>
        <v/>
      </c>
      <c r="AH294" s="76">
        <f>SUM($W294,$Z294,$AC294,$AF294)</f>
        <v/>
      </c>
      <c r="AI294" s="70">
        <f>IF($E294="","",IF(ROUND($AG294-$AH294,0)=0,"✓","⚠"))</f>
        <v/>
      </c>
      <c r="AJ294" s="76">
        <f>IF(OR($E294="",$U294=""),"",IFERROR(IF(VLOOKUP($E294,OpTbl,6,0)="وزن",IF($P294="",0,$P294),IF(VLOOKUP($E294,OpTbl,6,0)="مبلغ",IF(AND($Q294&lt;&gt;"",$Q294&lt;&gt;0),$Q294,$P294),0))+IF(VLOOKUP($E294,OpTbl,10,0)="افزودن",IF($Q294="",0,$Q294),0),0))</f>
        <v/>
      </c>
      <c r="AK294" s="70">
        <f>IF($E294="","",IFERROR(VLOOKUP($E294,OpTbl,10,0),""))</f>
        <v/>
      </c>
      <c r="AL294" s="70">
        <f>IF(OR($E294="",$U294=""),"",IFERROR(IF(VLOOKUP($E294,OpTbl,7,0)="خودکار",$R294,VLOOKUP($E294,OpTbl,7,0)),""))</f>
        <v/>
      </c>
      <c r="AM294" s="70">
        <f>IF(OR($E294="",$X294=""),"",IFERROR(IF(VLOOKUP($E294,OpTbl,9,0)="خودکار",IF($AL294="بدهکار","بستانکار",IF($AL294="بستانکار","بدهکار","")),VLOOKUP($E294,OpTbl,9,0)),""))</f>
        <v/>
      </c>
      <c r="AN294" s="70">
        <f>IF($E294="","",IFERROR(VLOOKUP($E294,OpTbl,11,0),""))</f>
        <v/>
      </c>
      <c r="AO294" s="70">
        <f>IF($B294="","",MID($B294,6,2))</f>
        <v/>
      </c>
      <c r="AP294" s="76">
        <f>IF($B294="",0,1)</f>
        <v/>
      </c>
    </row>
    <row r="295" ht="21.75" customHeight="1">
      <c r="A295" s="70">
        <f>IF($B295="","",COUNTA($B$10:$B295))</f>
        <v/>
      </c>
      <c r="B295" s="71" t="n"/>
      <c r="C295" s="71" t="n"/>
      <c r="D295" s="71" t="n"/>
      <c r="E295" s="71" t="n"/>
      <c r="F295" s="70">
        <f>IF($E295="","",IFERROR(VLOOKUP($E295,OpTbl,2,0),""))</f>
        <v/>
      </c>
      <c r="G295" s="71" t="n"/>
      <c r="H295" s="73">
        <f>IF($U295="","",IFERROR(VLOOKUP($U295,AcctTbl,2,0),"کد ناشناخته"))</f>
        <v/>
      </c>
      <c r="I295" s="70">
        <f>IF($U295="","",IFERROR(VLOOKUP($U295,AcctTbl,3,0),""))</f>
        <v/>
      </c>
      <c r="J295" s="72" t="n"/>
      <c r="K295" s="71" t="n"/>
      <c r="L295" s="74" t="n"/>
      <c r="M295" s="74" t="n"/>
      <c r="N295" s="148">
        <f>IF(OR($E295="",$L295=""),"",IFERROR(($L295-IF($M295="",0,$M295)*IFERROR(VLOOKUP($K295,BasketTbl,4,0),IFERROR(INDEX(BasketTbl,MATCH($K295,BasketCodeCol,0),4),VLOOKUP("P01",ParamTbl,2,0))))*(1-IF(VLOOKUP($E295,OpTbl,3,0)="خرید",VLOOKUP("P02",ParamTbl,2,0),0)/100),""))</f>
        <v/>
      </c>
      <c r="O295" s="74" t="n"/>
      <c r="P295" s="76">
        <f>IF(OR($E295="",$L295=""),"",IFERROR(IF(VLOOKUP($E295,OpTbl,6,0)="وزن",ROUND($N295*$O295,-3),IF(VLOOKUP($E295,OpTbl,6,0)="مبلغ",ROUND($L295*$O295,-3),0)),""))</f>
        <v/>
      </c>
      <c r="Q295" s="74" t="n"/>
      <c r="R295" s="71" t="n"/>
      <c r="S295" s="77">
        <f>IF($E295="","",IF($AI295="⚠","⚠ ناتراز",IF(AND(IFERROR(VLOOKUP($E295,OpTbl,4,0),"")="بله",$L295=""),"⚠ وزن",IF(AND(IFERROR(VLOOKUP($E295,OpTbl,5,0),"")="بله",$U295=""),"⚠ حساب",IF(AND(IFERROR(VLOOKUP($E295,OpTbl,6,0),"")="مبلغ",$Q295=""),"⚠ مبلغ","✓")))))</f>
        <v/>
      </c>
      <c r="T295" s="72" t="n"/>
      <c r="U295" s="70">
        <f>IF($E295="","",IFERROR(IF(VLOOKUP($E295,OpTbl,14,0)&lt;&gt;"",VLOOKUP($E295,OpTbl,14,0),$G295),""))</f>
        <v/>
      </c>
      <c r="V295" s="76">
        <f>IF(OR($AJ295="",$AJ295=0,$AL295&lt;&gt;"بدهکار"),"",$AJ295)</f>
        <v/>
      </c>
      <c r="W295" s="76">
        <f>IF(OR($AJ295="",$AJ295=0,$AL295&lt;&gt;"بستانکار"),"",$AJ295)</f>
        <v/>
      </c>
      <c r="X295" s="70">
        <f>IF($E295="","",IFERROR(VLOOKUP($E295,OpTbl,8,0),""))</f>
        <v/>
      </c>
      <c r="Y295" s="76">
        <f>IF(OR($X295="",$AJ295="",$AJ295=0,$AM295&lt;&gt;"بدهکار"),"",$AJ295)</f>
        <v/>
      </c>
      <c r="Z295" s="76">
        <f>IF(OR($X295="",$AJ295="",$AJ295=0,$AM295&lt;&gt;"بستانکار"),"",$AJ295)</f>
        <v/>
      </c>
      <c r="AA295" s="70">
        <f>IF(OR($E295="",$AN295="—",$AN295=""),"",IFERROR(VLOOKUP($E295,OpTbl,12,0),""))</f>
        <v/>
      </c>
      <c r="AB295" s="76">
        <f>IF(OR($AA295="",$Q295="",$Q295=0,$AN295&lt;&gt;"بدهکار"),"",$Q295)</f>
        <v/>
      </c>
      <c r="AC295" s="76">
        <f>IF(OR($AA295="",$Q295="",$Q295=0,$AN295&lt;&gt;"بستانکار"),"",$Q295)</f>
        <v/>
      </c>
      <c r="AD295" s="70">
        <f>IF($AA295="","",IFERROR(VLOOKUP($E295,OpTbl,13,0),""))</f>
        <v/>
      </c>
      <c r="AE295" s="76">
        <f>IF(OR($AD295="",$Q295="",$Q295=0,$AN295&lt;&gt;"بستانکار"),"",$Q295)</f>
        <v/>
      </c>
      <c r="AF295" s="76">
        <f>IF(OR($AD295="",$Q295="",$Q295=0,$AN295&lt;&gt;"بدهکار"),"",$Q295)</f>
        <v/>
      </c>
      <c r="AG295" s="76">
        <f>SUM($V295,$Y295,$AB295,$AE295)</f>
        <v/>
      </c>
      <c r="AH295" s="76">
        <f>SUM($W295,$Z295,$AC295,$AF295)</f>
        <v/>
      </c>
      <c r="AI295" s="70">
        <f>IF($E295="","",IF(ROUND($AG295-$AH295,0)=0,"✓","⚠"))</f>
        <v/>
      </c>
      <c r="AJ295" s="76">
        <f>IF(OR($E295="",$U295=""),"",IFERROR(IF(VLOOKUP($E295,OpTbl,6,0)="وزن",IF($P295="",0,$P295),IF(VLOOKUP($E295,OpTbl,6,0)="مبلغ",IF(AND($Q295&lt;&gt;"",$Q295&lt;&gt;0),$Q295,$P295),0))+IF(VLOOKUP($E295,OpTbl,10,0)="افزودن",IF($Q295="",0,$Q295),0),0))</f>
        <v/>
      </c>
      <c r="AK295" s="70">
        <f>IF($E295="","",IFERROR(VLOOKUP($E295,OpTbl,10,0),""))</f>
        <v/>
      </c>
      <c r="AL295" s="70">
        <f>IF(OR($E295="",$U295=""),"",IFERROR(IF(VLOOKUP($E295,OpTbl,7,0)="خودکار",$R295,VLOOKUP($E295,OpTbl,7,0)),""))</f>
        <v/>
      </c>
      <c r="AM295" s="70">
        <f>IF(OR($E295="",$X295=""),"",IFERROR(IF(VLOOKUP($E295,OpTbl,9,0)="خودکار",IF($AL295="بدهکار","بستانکار",IF($AL295="بستانکار","بدهکار","")),VLOOKUP($E295,OpTbl,9,0)),""))</f>
        <v/>
      </c>
      <c r="AN295" s="70">
        <f>IF($E295="","",IFERROR(VLOOKUP($E295,OpTbl,11,0),""))</f>
        <v/>
      </c>
      <c r="AO295" s="70">
        <f>IF($B295="","",MID($B295,6,2))</f>
        <v/>
      </c>
      <c r="AP295" s="76">
        <f>IF($B295="",0,1)</f>
        <v/>
      </c>
    </row>
    <row r="296" ht="21.75" customHeight="1">
      <c r="A296" s="70">
        <f>IF($B296="","",COUNTA($B$10:$B296))</f>
        <v/>
      </c>
      <c r="B296" s="71" t="n"/>
      <c r="C296" s="71" t="n"/>
      <c r="D296" s="71" t="n"/>
      <c r="E296" s="71" t="n"/>
      <c r="F296" s="70">
        <f>IF($E296="","",IFERROR(VLOOKUP($E296,OpTbl,2,0),""))</f>
        <v/>
      </c>
      <c r="G296" s="71" t="n"/>
      <c r="H296" s="73">
        <f>IF($U296="","",IFERROR(VLOOKUP($U296,AcctTbl,2,0),"کد ناشناخته"))</f>
        <v/>
      </c>
      <c r="I296" s="70">
        <f>IF($U296="","",IFERROR(VLOOKUP($U296,AcctTbl,3,0),""))</f>
        <v/>
      </c>
      <c r="J296" s="72" t="n"/>
      <c r="K296" s="71" t="n"/>
      <c r="L296" s="74" t="n"/>
      <c r="M296" s="74" t="n"/>
      <c r="N296" s="148">
        <f>IF(OR($E296="",$L296=""),"",IFERROR(($L296-IF($M296="",0,$M296)*IFERROR(VLOOKUP($K296,BasketTbl,4,0),IFERROR(INDEX(BasketTbl,MATCH($K296,BasketCodeCol,0),4),VLOOKUP("P01",ParamTbl,2,0))))*(1-IF(VLOOKUP($E296,OpTbl,3,0)="خرید",VLOOKUP("P02",ParamTbl,2,0),0)/100),""))</f>
        <v/>
      </c>
      <c r="O296" s="74" t="n"/>
      <c r="P296" s="76">
        <f>IF(OR($E296="",$L296=""),"",IFERROR(IF(VLOOKUP($E296,OpTbl,6,0)="وزن",ROUND($N296*$O296,-3),IF(VLOOKUP($E296,OpTbl,6,0)="مبلغ",ROUND($L296*$O296,-3),0)),""))</f>
        <v/>
      </c>
      <c r="Q296" s="74" t="n"/>
      <c r="R296" s="71" t="n"/>
      <c r="S296" s="77">
        <f>IF($E296="","",IF($AI296="⚠","⚠ ناتراز",IF(AND(IFERROR(VLOOKUP($E296,OpTbl,4,0),"")="بله",$L296=""),"⚠ وزن",IF(AND(IFERROR(VLOOKUP($E296,OpTbl,5,0),"")="بله",$U296=""),"⚠ حساب",IF(AND(IFERROR(VLOOKUP($E296,OpTbl,6,0),"")="مبلغ",$Q296=""),"⚠ مبلغ","✓")))))</f>
        <v/>
      </c>
      <c r="T296" s="72" t="n"/>
      <c r="U296" s="70">
        <f>IF($E296="","",IFERROR(IF(VLOOKUP($E296,OpTbl,14,0)&lt;&gt;"",VLOOKUP($E296,OpTbl,14,0),$G296),""))</f>
        <v/>
      </c>
      <c r="V296" s="76">
        <f>IF(OR($AJ296="",$AJ296=0,$AL296&lt;&gt;"بدهکار"),"",$AJ296)</f>
        <v/>
      </c>
      <c r="W296" s="76">
        <f>IF(OR($AJ296="",$AJ296=0,$AL296&lt;&gt;"بستانکار"),"",$AJ296)</f>
        <v/>
      </c>
      <c r="X296" s="70">
        <f>IF($E296="","",IFERROR(VLOOKUP($E296,OpTbl,8,0),""))</f>
        <v/>
      </c>
      <c r="Y296" s="76">
        <f>IF(OR($X296="",$AJ296="",$AJ296=0,$AM296&lt;&gt;"بدهکار"),"",$AJ296)</f>
        <v/>
      </c>
      <c r="Z296" s="76">
        <f>IF(OR($X296="",$AJ296="",$AJ296=0,$AM296&lt;&gt;"بستانکار"),"",$AJ296)</f>
        <v/>
      </c>
      <c r="AA296" s="70">
        <f>IF(OR($E296="",$AN296="—",$AN296=""),"",IFERROR(VLOOKUP($E296,OpTbl,12,0),""))</f>
        <v/>
      </c>
      <c r="AB296" s="76">
        <f>IF(OR($AA296="",$Q296="",$Q296=0,$AN296&lt;&gt;"بدهکار"),"",$Q296)</f>
        <v/>
      </c>
      <c r="AC296" s="76">
        <f>IF(OR($AA296="",$Q296="",$Q296=0,$AN296&lt;&gt;"بستانکار"),"",$Q296)</f>
        <v/>
      </c>
      <c r="AD296" s="70">
        <f>IF($AA296="","",IFERROR(VLOOKUP($E296,OpTbl,13,0),""))</f>
        <v/>
      </c>
      <c r="AE296" s="76">
        <f>IF(OR($AD296="",$Q296="",$Q296=0,$AN296&lt;&gt;"بستانکار"),"",$Q296)</f>
        <v/>
      </c>
      <c r="AF296" s="76">
        <f>IF(OR($AD296="",$Q296="",$Q296=0,$AN296&lt;&gt;"بدهکار"),"",$Q296)</f>
        <v/>
      </c>
      <c r="AG296" s="76">
        <f>SUM($V296,$Y296,$AB296,$AE296)</f>
        <v/>
      </c>
      <c r="AH296" s="76">
        <f>SUM($W296,$Z296,$AC296,$AF296)</f>
        <v/>
      </c>
      <c r="AI296" s="70">
        <f>IF($E296="","",IF(ROUND($AG296-$AH296,0)=0,"✓","⚠"))</f>
        <v/>
      </c>
      <c r="AJ296" s="76">
        <f>IF(OR($E296="",$U296=""),"",IFERROR(IF(VLOOKUP($E296,OpTbl,6,0)="وزن",IF($P296="",0,$P296),IF(VLOOKUP($E296,OpTbl,6,0)="مبلغ",IF(AND($Q296&lt;&gt;"",$Q296&lt;&gt;0),$Q296,$P296),0))+IF(VLOOKUP($E296,OpTbl,10,0)="افزودن",IF($Q296="",0,$Q296),0),0))</f>
        <v/>
      </c>
      <c r="AK296" s="70">
        <f>IF($E296="","",IFERROR(VLOOKUP($E296,OpTbl,10,0),""))</f>
        <v/>
      </c>
      <c r="AL296" s="70">
        <f>IF(OR($E296="",$U296=""),"",IFERROR(IF(VLOOKUP($E296,OpTbl,7,0)="خودکار",$R296,VLOOKUP($E296,OpTbl,7,0)),""))</f>
        <v/>
      </c>
      <c r="AM296" s="70">
        <f>IF(OR($E296="",$X296=""),"",IFERROR(IF(VLOOKUP($E296,OpTbl,9,0)="خودکار",IF($AL296="بدهکار","بستانکار",IF($AL296="بستانکار","بدهکار","")),VLOOKUP($E296,OpTbl,9,0)),""))</f>
        <v/>
      </c>
      <c r="AN296" s="70">
        <f>IF($E296="","",IFERROR(VLOOKUP($E296,OpTbl,11,0),""))</f>
        <v/>
      </c>
      <c r="AO296" s="70">
        <f>IF($B296="","",MID($B296,6,2))</f>
        <v/>
      </c>
      <c r="AP296" s="76">
        <f>IF($B296="",0,1)</f>
        <v/>
      </c>
    </row>
    <row r="297" ht="21.75" customHeight="1">
      <c r="A297" s="70">
        <f>IF($B297="","",COUNTA($B$10:$B297))</f>
        <v/>
      </c>
      <c r="B297" s="71" t="n"/>
      <c r="C297" s="71" t="n"/>
      <c r="D297" s="71" t="n"/>
      <c r="E297" s="71" t="n"/>
      <c r="F297" s="70">
        <f>IF($E297="","",IFERROR(VLOOKUP($E297,OpTbl,2,0),""))</f>
        <v/>
      </c>
      <c r="G297" s="71" t="n"/>
      <c r="H297" s="73">
        <f>IF($U297="","",IFERROR(VLOOKUP($U297,AcctTbl,2,0),"کد ناشناخته"))</f>
        <v/>
      </c>
      <c r="I297" s="70">
        <f>IF($U297="","",IFERROR(VLOOKUP($U297,AcctTbl,3,0),""))</f>
        <v/>
      </c>
      <c r="J297" s="72" t="n"/>
      <c r="K297" s="71" t="n"/>
      <c r="L297" s="74" t="n"/>
      <c r="M297" s="74" t="n"/>
      <c r="N297" s="148">
        <f>IF(OR($E297="",$L297=""),"",IFERROR(($L297-IF($M297="",0,$M297)*IFERROR(VLOOKUP($K297,BasketTbl,4,0),IFERROR(INDEX(BasketTbl,MATCH($K297,BasketCodeCol,0),4),VLOOKUP("P01",ParamTbl,2,0))))*(1-IF(VLOOKUP($E297,OpTbl,3,0)="خرید",VLOOKUP("P02",ParamTbl,2,0),0)/100),""))</f>
        <v/>
      </c>
      <c r="O297" s="74" t="n"/>
      <c r="P297" s="76">
        <f>IF(OR($E297="",$L297=""),"",IFERROR(IF(VLOOKUP($E297,OpTbl,6,0)="وزن",ROUND($N297*$O297,-3),IF(VLOOKUP($E297,OpTbl,6,0)="مبلغ",ROUND($L297*$O297,-3),0)),""))</f>
        <v/>
      </c>
      <c r="Q297" s="74" t="n"/>
      <c r="R297" s="71" t="n"/>
      <c r="S297" s="77">
        <f>IF($E297="","",IF($AI297="⚠","⚠ ناتراز",IF(AND(IFERROR(VLOOKUP($E297,OpTbl,4,0),"")="بله",$L297=""),"⚠ وزن",IF(AND(IFERROR(VLOOKUP($E297,OpTbl,5,0),"")="بله",$U297=""),"⚠ حساب",IF(AND(IFERROR(VLOOKUP($E297,OpTbl,6,0),"")="مبلغ",$Q297=""),"⚠ مبلغ","✓")))))</f>
        <v/>
      </c>
      <c r="T297" s="72" t="n"/>
      <c r="U297" s="70">
        <f>IF($E297="","",IFERROR(IF(VLOOKUP($E297,OpTbl,14,0)&lt;&gt;"",VLOOKUP($E297,OpTbl,14,0),$G297),""))</f>
        <v/>
      </c>
      <c r="V297" s="76">
        <f>IF(OR($AJ297="",$AJ297=0,$AL297&lt;&gt;"بدهکار"),"",$AJ297)</f>
        <v/>
      </c>
      <c r="W297" s="76">
        <f>IF(OR($AJ297="",$AJ297=0,$AL297&lt;&gt;"بستانکار"),"",$AJ297)</f>
        <v/>
      </c>
      <c r="X297" s="70">
        <f>IF($E297="","",IFERROR(VLOOKUP($E297,OpTbl,8,0),""))</f>
        <v/>
      </c>
      <c r="Y297" s="76">
        <f>IF(OR($X297="",$AJ297="",$AJ297=0,$AM297&lt;&gt;"بدهکار"),"",$AJ297)</f>
        <v/>
      </c>
      <c r="Z297" s="76">
        <f>IF(OR($X297="",$AJ297="",$AJ297=0,$AM297&lt;&gt;"بستانکار"),"",$AJ297)</f>
        <v/>
      </c>
      <c r="AA297" s="70">
        <f>IF(OR($E297="",$AN297="—",$AN297=""),"",IFERROR(VLOOKUP($E297,OpTbl,12,0),""))</f>
        <v/>
      </c>
      <c r="AB297" s="76">
        <f>IF(OR($AA297="",$Q297="",$Q297=0,$AN297&lt;&gt;"بدهکار"),"",$Q297)</f>
        <v/>
      </c>
      <c r="AC297" s="76">
        <f>IF(OR($AA297="",$Q297="",$Q297=0,$AN297&lt;&gt;"بستانکار"),"",$Q297)</f>
        <v/>
      </c>
      <c r="AD297" s="70">
        <f>IF($AA297="","",IFERROR(VLOOKUP($E297,OpTbl,13,0),""))</f>
        <v/>
      </c>
      <c r="AE297" s="76">
        <f>IF(OR($AD297="",$Q297="",$Q297=0,$AN297&lt;&gt;"بستانکار"),"",$Q297)</f>
        <v/>
      </c>
      <c r="AF297" s="76">
        <f>IF(OR($AD297="",$Q297="",$Q297=0,$AN297&lt;&gt;"بدهکار"),"",$Q297)</f>
        <v/>
      </c>
      <c r="AG297" s="76">
        <f>SUM($V297,$Y297,$AB297,$AE297)</f>
        <v/>
      </c>
      <c r="AH297" s="76">
        <f>SUM($W297,$Z297,$AC297,$AF297)</f>
        <v/>
      </c>
      <c r="AI297" s="70">
        <f>IF($E297="","",IF(ROUND($AG297-$AH297,0)=0,"✓","⚠"))</f>
        <v/>
      </c>
      <c r="AJ297" s="76">
        <f>IF(OR($E297="",$U297=""),"",IFERROR(IF(VLOOKUP($E297,OpTbl,6,0)="وزن",IF($P297="",0,$P297),IF(VLOOKUP($E297,OpTbl,6,0)="مبلغ",IF(AND($Q297&lt;&gt;"",$Q297&lt;&gt;0),$Q297,$P297),0))+IF(VLOOKUP($E297,OpTbl,10,0)="افزودن",IF($Q297="",0,$Q297),0),0))</f>
        <v/>
      </c>
      <c r="AK297" s="70">
        <f>IF($E297="","",IFERROR(VLOOKUP($E297,OpTbl,10,0),""))</f>
        <v/>
      </c>
      <c r="AL297" s="70">
        <f>IF(OR($E297="",$U297=""),"",IFERROR(IF(VLOOKUP($E297,OpTbl,7,0)="خودکار",$R297,VLOOKUP($E297,OpTbl,7,0)),""))</f>
        <v/>
      </c>
      <c r="AM297" s="70">
        <f>IF(OR($E297="",$X297=""),"",IFERROR(IF(VLOOKUP($E297,OpTbl,9,0)="خودکار",IF($AL297="بدهکار","بستانکار",IF($AL297="بستانکار","بدهکار","")),VLOOKUP($E297,OpTbl,9,0)),""))</f>
        <v/>
      </c>
      <c r="AN297" s="70">
        <f>IF($E297="","",IFERROR(VLOOKUP($E297,OpTbl,11,0),""))</f>
        <v/>
      </c>
      <c r="AO297" s="70">
        <f>IF($B297="","",MID($B297,6,2))</f>
        <v/>
      </c>
      <c r="AP297" s="76">
        <f>IF($B297="",0,1)</f>
        <v/>
      </c>
    </row>
    <row r="298" ht="21.75" customHeight="1">
      <c r="A298" s="70">
        <f>IF($B298="","",COUNTA($B$10:$B298))</f>
        <v/>
      </c>
      <c r="B298" s="71" t="n"/>
      <c r="C298" s="71" t="n"/>
      <c r="D298" s="71" t="n"/>
      <c r="E298" s="71" t="n"/>
      <c r="F298" s="70">
        <f>IF($E298="","",IFERROR(VLOOKUP($E298,OpTbl,2,0),""))</f>
        <v/>
      </c>
      <c r="G298" s="71" t="n"/>
      <c r="H298" s="73">
        <f>IF($U298="","",IFERROR(VLOOKUP($U298,AcctTbl,2,0),"کد ناشناخته"))</f>
        <v/>
      </c>
      <c r="I298" s="70">
        <f>IF($U298="","",IFERROR(VLOOKUP($U298,AcctTbl,3,0),""))</f>
        <v/>
      </c>
      <c r="J298" s="72" t="n"/>
      <c r="K298" s="71" t="n"/>
      <c r="L298" s="74" t="n"/>
      <c r="M298" s="74" t="n"/>
      <c r="N298" s="148">
        <f>IF(OR($E298="",$L298=""),"",IFERROR(($L298-IF($M298="",0,$M298)*IFERROR(VLOOKUP($K298,BasketTbl,4,0),IFERROR(INDEX(BasketTbl,MATCH($K298,BasketCodeCol,0),4),VLOOKUP("P01",ParamTbl,2,0))))*(1-IF(VLOOKUP($E298,OpTbl,3,0)="خرید",VLOOKUP("P02",ParamTbl,2,0),0)/100),""))</f>
        <v/>
      </c>
      <c r="O298" s="74" t="n"/>
      <c r="P298" s="76">
        <f>IF(OR($E298="",$L298=""),"",IFERROR(IF(VLOOKUP($E298,OpTbl,6,0)="وزن",ROUND($N298*$O298,-3),IF(VLOOKUP($E298,OpTbl,6,0)="مبلغ",ROUND($L298*$O298,-3),0)),""))</f>
        <v/>
      </c>
      <c r="Q298" s="74" t="n"/>
      <c r="R298" s="71" t="n"/>
      <c r="S298" s="77">
        <f>IF($E298="","",IF($AI298="⚠","⚠ ناتراز",IF(AND(IFERROR(VLOOKUP($E298,OpTbl,4,0),"")="بله",$L298=""),"⚠ وزن",IF(AND(IFERROR(VLOOKUP($E298,OpTbl,5,0),"")="بله",$U298=""),"⚠ حساب",IF(AND(IFERROR(VLOOKUP($E298,OpTbl,6,0),"")="مبلغ",$Q298=""),"⚠ مبلغ","✓")))))</f>
        <v/>
      </c>
      <c r="T298" s="72" t="n"/>
      <c r="U298" s="70">
        <f>IF($E298="","",IFERROR(IF(VLOOKUP($E298,OpTbl,14,0)&lt;&gt;"",VLOOKUP($E298,OpTbl,14,0),$G298),""))</f>
        <v/>
      </c>
      <c r="V298" s="76">
        <f>IF(OR($AJ298="",$AJ298=0,$AL298&lt;&gt;"بدهکار"),"",$AJ298)</f>
        <v/>
      </c>
      <c r="W298" s="76">
        <f>IF(OR($AJ298="",$AJ298=0,$AL298&lt;&gt;"بستانکار"),"",$AJ298)</f>
        <v/>
      </c>
      <c r="X298" s="70">
        <f>IF($E298="","",IFERROR(VLOOKUP($E298,OpTbl,8,0),""))</f>
        <v/>
      </c>
      <c r="Y298" s="76">
        <f>IF(OR($X298="",$AJ298="",$AJ298=0,$AM298&lt;&gt;"بدهکار"),"",$AJ298)</f>
        <v/>
      </c>
      <c r="Z298" s="76">
        <f>IF(OR($X298="",$AJ298="",$AJ298=0,$AM298&lt;&gt;"بستانکار"),"",$AJ298)</f>
        <v/>
      </c>
      <c r="AA298" s="70">
        <f>IF(OR($E298="",$AN298="—",$AN298=""),"",IFERROR(VLOOKUP($E298,OpTbl,12,0),""))</f>
        <v/>
      </c>
      <c r="AB298" s="76">
        <f>IF(OR($AA298="",$Q298="",$Q298=0,$AN298&lt;&gt;"بدهکار"),"",$Q298)</f>
        <v/>
      </c>
      <c r="AC298" s="76">
        <f>IF(OR($AA298="",$Q298="",$Q298=0,$AN298&lt;&gt;"بستانکار"),"",$Q298)</f>
        <v/>
      </c>
      <c r="AD298" s="70">
        <f>IF($AA298="","",IFERROR(VLOOKUP($E298,OpTbl,13,0),""))</f>
        <v/>
      </c>
      <c r="AE298" s="76">
        <f>IF(OR($AD298="",$Q298="",$Q298=0,$AN298&lt;&gt;"بستانکار"),"",$Q298)</f>
        <v/>
      </c>
      <c r="AF298" s="76">
        <f>IF(OR($AD298="",$Q298="",$Q298=0,$AN298&lt;&gt;"بدهکار"),"",$Q298)</f>
        <v/>
      </c>
      <c r="AG298" s="76">
        <f>SUM($V298,$Y298,$AB298,$AE298)</f>
        <v/>
      </c>
      <c r="AH298" s="76">
        <f>SUM($W298,$Z298,$AC298,$AF298)</f>
        <v/>
      </c>
      <c r="AI298" s="70">
        <f>IF($E298="","",IF(ROUND($AG298-$AH298,0)=0,"✓","⚠"))</f>
        <v/>
      </c>
      <c r="AJ298" s="76">
        <f>IF(OR($E298="",$U298=""),"",IFERROR(IF(VLOOKUP($E298,OpTbl,6,0)="وزن",IF($P298="",0,$P298),IF(VLOOKUP($E298,OpTbl,6,0)="مبلغ",IF(AND($Q298&lt;&gt;"",$Q298&lt;&gt;0),$Q298,$P298),0))+IF(VLOOKUP($E298,OpTbl,10,0)="افزودن",IF($Q298="",0,$Q298),0),0))</f>
        <v/>
      </c>
      <c r="AK298" s="70">
        <f>IF($E298="","",IFERROR(VLOOKUP($E298,OpTbl,10,0),""))</f>
        <v/>
      </c>
      <c r="AL298" s="70">
        <f>IF(OR($E298="",$U298=""),"",IFERROR(IF(VLOOKUP($E298,OpTbl,7,0)="خودکار",$R298,VLOOKUP($E298,OpTbl,7,0)),""))</f>
        <v/>
      </c>
      <c r="AM298" s="70">
        <f>IF(OR($E298="",$X298=""),"",IFERROR(IF(VLOOKUP($E298,OpTbl,9,0)="خودکار",IF($AL298="بدهکار","بستانکار",IF($AL298="بستانکار","بدهکار","")),VLOOKUP($E298,OpTbl,9,0)),""))</f>
        <v/>
      </c>
      <c r="AN298" s="70">
        <f>IF($E298="","",IFERROR(VLOOKUP($E298,OpTbl,11,0),""))</f>
        <v/>
      </c>
      <c r="AO298" s="70">
        <f>IF($B298="","",MID($B298,6,2))</f>
        <v/>
      </c>
      <c r="AP298" s="76">
        <f>IF($B298="",0,1)</f>
        <v/>
      </c>
    </row>
    <row r="299" ht="21.75" customHeight="1">
      <c r="A299" s="70">
        <f>IF($B299="","",COUNTA($B$10:$B299))</f>
        <v/>
      </c>
      <c r="B299" s="71" t="n"/>
      <c r="C299" s="71" t="n"/>
      <c r="D299" s="71" t="n"/>
      <c r="E299" s="71" t="n"/>
      <c r="F299" s="70">
        <f>IF($E299="","",IFERROR(VLOOKUP($E299,OpTbl,2,0),""))</f>
        <v/>
      </c>
      <c r="G299" s="71" t="n"/>
      <c r="H299" s="73">
        <f>IF($U299="","",IFERROR(VLOOKUP($U299,AcctTbl,2,0),"کد ناشناخته"))</f>
        <v/>
      </c>
      <c r="I299" s="70">
        <f>IF($U299="","",IFERROR(VLOOKUP($U299,AcctTbl,3,0),""))</f>
        <v/>
      </c>
      <c r="J299" s="72" t="n"/>
      <c r="K299" s="71" t="n"/>
      <c r="L299" s="74" t="n"/>
      <c r="M299" s="74" t="n"/>
      <c r="N299" s="148">
        <f>IF(OR($E299="",$L299=""),"",IFERROR(($L299-IF($M299="",0,$M299)*IFERROR(VLOOKUP($K299,BasketTbl,4,0),IFERROR(INDEX(BasketTbl,MATCH($K299,BasketCodeCol,0),4),VLOOKUP("P01",ParamTbl,2,0))))*(1-IF(VLOOKUP($E299,OpTbl,3,0)="خرید",VLOOKUP("P02",ParamTbl,2,0),0)/100),""))</f>
        <v/>
      </c>
      <c r="O299" s="74" t="n"/>
      <c r="P299" s="76">
        <f>IF(OR($E299="",$L299=""),"",IFERROR(IF(VLOOKUP($E299,OpTbl,6,0)="وزن",ROUND($N299*$O299,-3),IF(VLOOKUP($E299,OpTbl,6,0)="مبلغ",ROUND($L299*$O299,-3),0)),""))</f>
        <v/>
      </c>
      <c r="Q299" s="74" t="n"/>
      <c r="R299" s="71" t="n"/>
      <c r="S299" s="77">
        <f>IF($E299="","",IF($AI299="⚠","⚠ ناتراز",IF(AND(IFERROR(VLOOKUP($E299,OpTbl,4,0),"")="بله",$L299=""),"⚠ وزن",IF(AND(IFERROR(VLOOKUP($E299,OpTbl,5,0),"")="بله",$U299=""),"⚠ حساب",IF(AND(IFERROR(VLOOKUP($E299,OpTbl,6,0),"")="مبلغ",$Q299=""),"⚠ مبلغ","✓")))))</f>
        <v/>
      </c>
      <c r="T299" s="72" t="n"/>
      <c r="U299" s="70">
        <f>IF($E299="","",IFERROR(IF(VLOOKUP($E299,OpTbl,14,0)&lt;&gt;"",VLOOKUP($E299,OpTbl,14,0),$G299),""))</f>
        <v/>
      </c>
      <c r="V299" s="76">
        <f>IF(OR($AJ299="",$AJ299=0,$AL299&lt;&gt;"بدهکار"),"",$AJ299)</f>
        <v/>
      </c>
      <c r="W299" s="76">
        <f>IF(OR($AJ299="",$AJ299=0,$AL299&lt;&gt;"بستانکار"),"",$AJ299)</f>
        <v/>
      </c>
      <c r="X299" s="70">
        <f>IF($E299="","",IFERROR(VLOOKUP($E299,OpTbl,8,0),""))</f>
        <v/>
      </c>
      <c r="Y299" s="76">
        <f>IF(OR($X299="",$AJ299="",$AJ299=0,$AM299&lt;&gt;"بدهکار"),"",$AJ299)</f>
        <v/>
      </c>
      <c r="Z299" s="76">
        <f>IF(OR($X299="",$AJ299="",$AJ299=0,$AM299&lt;&gt;"بستانکار"),"",$AJ299)</f>
        <v/>
      </c>
      <c r="AA299" s="70">
        <f>IF(OR($E299="",$AN299="—",$AN299=""),"",IFERROR(VLOOKUP($E299,OpTbl,12,0),""))</f>
        <v/>
      </c>
      <c r="AB299" s="76">
        <f>IF(OR($AA299="",$Q299="",$Q299=0,$AN299&lt;&gt;"بدهکار"),"",$Q299)</f>
        <v/>
      </c>
      <c r="AC299" s="76">
        <f>IF(OR($AA299="",$Q299="",$Q299=0,$AN299&lt;&gt;"بستانکار"),"",$Q299)</f>
        <v/>
      </c>
      <c r="AD299" s="70">
        <f>IF($AA299="","",IFERROR(VLOOKUP($E299,OpTbl,13,0),""))</f>
        <v/>
      </c>
      <c r="AE299" s="76">
        <f>IF(OR($AD299="",$Q299="",$Q299=0,$AN299&lt;&gt;"بستانکار"),"",$Q299)</f>
        <v/>
      </c>
      <c r="AF299" s="76">
        <f>IF(OR($AD299="",$Q299="",$Q299=0,$AN299&lt;&gt;"بدهکار"),"",$Q299)</f>
        <v/>
      </c>
      <c r="AG299" s="76">
        <f>SUM($V299,$Y299,$AB299,$AE299)</f>
        <v/>
      </c>
      <c r="AH299" s="76">
        <f>SUM($W299,$Z299,$AC299,$AF299)</f>
        <v/>
      </c>
      <c r="AI299" s="70">
        <f>IF($E299="","",IF(ROUND($AG299-$AH299,0)=0,"✓","⚠"))</f>
        <v/>
      </c>
      <c r="AJ299" s="76">
        <f>IF(OR($E299="",$U299=""),"",IFERROR(IF(VLOOKUP($E299,OpTbl,6,0)="وزن",IF($P299="",0,$P299),IF(VLOOKUP($E299,OpTbl,6,0)="مبلغ",IF(AND($Q299&lt;&gt;"",$Q299&lt;&gt;0),$Q299,$P299),0))+IF(VLOOKUP($E299,OpTbl,10,0)="افزودن",IF($Q299="",0,$Q299),0),0))</f>
        <v/>
      </c>
      <c r="AK299" s="70">
        <f>IF($E299="","",IFERROR(VLOOKUP($E299,OpTbl,10,0),""))</f>
        <v/>
      </c>
      <c r="AL299" s="70">
        <f>IF(OR($E299="",$U299=""),"",IFERROR(IF(VLOOKUP($E299,OpTbl,7,0)="خودکار",$R299,VLOOKUP($E299,OpTbl,7,0)),""))</f>
        <v/>
      </c>
      <c r="AM299" s="70">
        <f>IF(OR($E299="",$X299=""),"",IFERROR(IF(VLOOKUP($E299,OpTbl,9,0)="خودکار",IF($AL299="بدهکار","بستانکار",IF($AL299="بستانکار","بدهکار","")),VLOOKUP($E299,OpTbl,9,0)),""))</f>
        <v/>
      </c>
      <c r="AN299" s="70">
        <f>IF($E299="","",IFERROR(VLOOKUP($E299,OpTbl,11,0),""))</f>
        <v/>
      </c>
      <c r="AO299" s="70">
        <f>IF($B299="","",MID($B299,6,2))</f>
        <v/>
      </c>
      <c r="AP299" s="76">
        <f>IF($B299="",0,1)</f>
        <v/>
      </c>
    </row>
    <row r="300" ht="21.75" customHeight="1">
      <c r="A300" s="70">
        <f>IF($B300="","",COUNTA($B$10:$B300))</f>
        <v/>
      </c>
      <c r="B300" s="71" t="n"/>
      <c r="C300" s="71" t="n"/>
      <c r="D300" s="71" t="n"/>
      <c r="E300" s="71" t="n"/>
      <c r="F300" s="70">
        <f>IF($E300="","",IFERROR(VLOOKUP($E300,OpTbl,2,0),""))</f>
        <v/>
      </c>
      <c r="G300" s="71" t="n"/>
      <c r="H300" s="73">
        <f>IF($U300="","",IFERROR(VLOOKUP($U300,AcctTbl,2,0),"کد ناشناخته"))</f>
        <v/>
      </c>
      <c r="I300" s="70">
        <f>IF($U300="","",IFERROR(VLOOKUP($U300,AcctTbl,3,0),""))</f>
        <v/>
      </c>
      <c r="J300" s="72" t="n"/>
      <c r="K300" s="71" t="n"/>
      <c r="L300" s="74" t="n"/>
      <c r="M300" s="74" t="n"/>
      <c r="N300" s="148">
        <f>IF(OR($E300="",$L300=""),"",IFERROR(($L300-IF($M300="",0,$M300)*IFERROR(VLOOKUP($K300,BasketTbl,4,0),IFERROR(INDEX(BasketTbl,MATCH($K300,BasketCodeCol,0),4),VLOOKUP("P01",ParamTbl,2,0))))*(1-IF(VLOOKUP($E300,OpTbl,3,0)="خرید",VLOOKUP("P02",ParamTbl,2,0),0)/100),""))</f>
        <v/>
      </c>
      <c r="O300" s="74" t="n"/>
      <c r="P300" s="76">
        <f>IF(OR($E300="",$L300=""),"",IFERROR(IF(VLOOKUP($E300,OpTbl,6,0)="وزن",ROUND($N300*$O300,-3),IF(VLOOKUP($E300,OpTbl,6,0)="مبلغ",ROUND($L300*$O300,-3),0)),""))</f>
        <v/>
      </c>
      <c r="Q300" s="74" t="n"/>
      <c r="R300" s="71" t="n"/>
      <c r="S300" s="77">
        <f>IF($E300="","",IF($AI300="⚠","⚠ ناتراز",IF(AND(IFERROR(VLOOKUP($E300,OpTbl,4,0),"")="بله",$L300=""),"⚠ وزن",IF(AND(IFERROR(VLOOKUP($E300,OpTbl,5,0),"")="بله",$U300=""),"⚠ حساب",IF(AND(IFERROR(VLOOKUP($E300,OpTbl,6,0),"")="مبلغ",$Q300=""),"⚠ مبلغ","✓")))))</f>
        <v/>
      </c>
      <c r="T300" s="72" t="n"/>
      <c r="U300" s="70">
        <f>IF($E300="","",IFERROR(IF(VLOOKUP($E300,OpTbl,14,0)&lt;&gt;"",VLOOKUP($E300,OpTbl,14,0),$G300),""))</f>
        <v/>
      </c>
      <c r="V300" s="76">
        <f>IF(OR($AJ300="",$AJ300=0,$AL300&lt;&gt;"بدهکار"),"",$AJ300)</f>
        <v/>
      </c>
      <c r="W300" s="76">
        <f>IF(OR($AJ300="",$AJ300=0,$AL300&lt;&gt;"بستانکار"),"",$AJ300)</f>
        <v/>
      </c>
      <c r="X300" s="70">
        <f>IF($E300="","",IFERROR(VLOOKUP($E300,OpTbl,8,0),""))</f>
        <v/>
      </c>
      <c r="Y300" s="76">
        <f>IF(OR($X300="",$AJ300="",$AJ300=0,$AM300&lt;&gt;"بدهکار"),"",$AJ300)</f>
        <v/>
      </c>
      <c r="Z300" s="76">
        <f>IF(OR($X300="",$AJ300="",$AJ300=0,$AM300&lt;&gt;"بستانکار"),"",$AJ300)</f>
        <v/>
      </c>
      <c r="AA300" s="70">
        <f>IF(OR($E300="",$AN300="—",$AN300=""),"",IFERROR(VLOOKUP($E300,OpTbl,12,0),""))</f>
        <v/>
      </c>
      <c r="AB300" s="76">
        <f>IF(OR($AA300="",$Q300="",$Q300=0,$AN300&lt;&gt;"بدهکار"),"",$Q300)</f>
        <v/>
      </c>
      <c r="AC300" s="76">
        <f>IF(OR($AA300="",$Q300="",$Q300=0,$AN300&lt;&gt;"بستانکار"),"",$Q300)</f>
        <v/>
      </c>
      <c r="AD300" s="70">
        <f>IF($AA300="","",IFERROR(VLOOKUP($E300,OpTbl,13,0),""))</f>
        <v/>
      </c>
      <c r="AE300" s="76">
        <f>IF(OR($AD300="",$Q300="",$Q300=0,$AN300&lt;&gt;"بستانکار"),"",$Q300)</f>
        <v/>
      </c>
      <c r="AF300" s="76">
        <f>IF(OR($AD300="",$Q300="",$Q300=0,$AN300&lt;&gt;"بدهکار"),"",$Q300)</f>
        <v/>
      </c>
      <c r="AG300" s="76">
        <f>SUM($V300,$Y300,$AB300,$AE300)</f>
        <v/>
      </c>
      <c r="AH300" s="76">
        <f>SUM($W300,$Z300,$AC300,$AF300)</f>
        <v/>
      </c>
      <c r="AI300" s="70">
        <f>IF($E300="","",IF(ROUND($AG300-$AH300,0)=0,"✓","⚠"))</f>
        <v/>
      </c>
      <c r="AJ300" s="76">
        <f>IF(OR($E300="",$U300=""),"",IFERROR(IF(VLOOKUP($E300,OpTbl,6,0)="وزن",IF($P300="",0,$P300),IF(VLOOKUP($E300,OpTbl,6,0)="مبلغ",IF(AND($Q300&lt;&gt;"",$Q300&lt;&gt;0),$Q300,$P300),0))+IF(VLOOKUP($E300,OpTbl,10,0)="افزودن",IF($Q300="",0,$Q300),0),0))</f>
        <v/>
      </c>
      <c r="AK300" s="70">
        <f>IF($E300="","",IFERROR(VLOOKUP($E300,OpTbl,10,0),""))</f>
        <v/>
      </c>
      <c r="AL300" s="70">
        <f>IF(OR($E300="",$U300=""),"",IFERROR(IF(VLOOKUP($E300,OpTbl,7,0)="خودکار",$R300,VLOOKUP($E300,OpTbl,7,0)),""))</f>
        <v/>
      </c>
      <c r="AM300" s="70">
        <f>IF(OR($E300="",$X300=""),"",IFERROR(IF(VLOOKUP($E300,OpTbl,9,0)="خودکار",IF($AL300="بدهکار","بستانکار",IF($AL300="بستانکار","بدهکار","")),VLOOKUP($E300,OpTbl,9,0)),""))</f>
        <v/>
      </c>
      <c r="AN300" s="70">
        <f>IF($E300="","",IFERROR(VLOOKUP($E300,OpTbl,11,0),""))</f>
        <v/>
      </c>
      <c r="AO300" s="70">
        <f>IF($B300="","",MID($B300,6,2))</f>
        <v/>
      </c>
      <c r="AP300" s="76">
        <f>IF($B300="",0,1)</f>
        <v/>
      </c>
    </row>
    <row r="301" ht="21.75" customHeight="1">
      <c r="A301" s="70">
        <f>IF($B301="","",COUNTA($B$10:$B301))</f>
        <v/>
      </c>
      <c r="B301" s="71" t="n"/>
      <c r="C301" s="71" t="n"/>
      <c r="D301" s="71" t="n"/>
      <c r="E301" s="71" t="n"/>
      <c r="F301" s="70">
        <f>IF($E301="","",IFERROR(VLOOKUP($E301,OpTbl,2,0),""))</f>
        <v/>
      </c>
      <c r="G301" s="71" t="n"/>
      <c r="H301" s="73">
        <f>IF($U301="","",IFERROR(VLOOKUP($U301,AcctTbl,2,0),"کد ناشناخته"))</f>
        <v/>
      </c>
      <c r="I301" s="70">
        <f>IF($U301="","",IFERROR(VLOOKUP($U301,AcctTbl,3,0),""))</f>
        <v/>
      </c>
      <c r="J301" s="72" t="n"/>
      <c r="K301" s="71" t="n"/>
      <c r="L301" s="74" t="n"/>
      <c r="M301" s="74" t="n"/>
      <c r="N301" s="148">
        <f>IF(OR($E301="",$L301=""),"",IFERROR(($L301-IF($M301="",0,$M301)*IFERROR(VLOOKUP($K301,BasketTbl,4,0),IFERROR(INDEX(BasketTbl,MATCH($K301,BasketCodeCol,0),4),VLOOKUP("P01",ParamTbl,2,0))))*(1-IF(VLOOKUP($E301,OpTbl,3,0)="خرید",VLOOKUP("P02",ParamTbl,2,0),0)/100),""))</f>
        <v/>
      </c>
      <c r="O301" s="74" t="n"/>
      <c r="P301" s="76">
        <f>IF(OR($E301="",$L301=""),"",IFERROR(IF(VLOOKUP($E301,OpTbl,6,0)="وزن",ROUND($N301*$O301,-3),IF(VLOOKUP($E301,OpTbl,6,0)="مبلغ",ROUND($L301*$O301,-3),0)),""))</f>
        <v/>
      </c>
      <c r="Q301" s="74" t="n"/>
      <c r="R301" s="71" t="n"/>
      <c r="S301" s="77">
        <f>IF($E301="","",IF($AI301="⚠","⚠ ناتراز",IF(AND(IFERROR(VLOOKUP($E301,OpTbl,4,0),"")="بله",$L301=""),"⚠ وزن",IF(AND(IFERROR(VLOOKUP($E301,OpTbl,5,0),"")="بله",$U301=""),"⚠ حساب",IF(AND(IFERROR(VLOOKUP($E301,OpTbl,6,0),"")="مبلغ",$Q301=""),"⚠ مبلغ","✓")))))</f>
        <v/>
      </c>
      <c r="T301" s="72" t="n"/>
      <c r="U301" s="70">
        <f>IF($E301="","",IFERROR(IF(VLOOKUP($E301,OpTbl,14,0)&lt;&gt;"",VLOOKUP($E301,OpTbl,14,0),$G301),""))</f>
        <v/>
      </c>
      <c r="V301" s="76">
        <f>IF(OR($AJ301="",$AJ301=0,$AL301&lt;&gt;"بدهکار"),"",$AJ301)</f>
        <v/>
      </c>
      <c r="W301" s="76">
        <f>IF(OR($AJ301="",$AJ301=0,$AL301&lt;&gt;"بستانکار"),"",$AJ301)</f>
        <v/>
      </c>
      <c r="X301" s="70">
        <f>IF($E301="","",IFERROR(VLOOKUP($E301,OpTbl,8,0),""))</f>
        <v/>
      </c>
      <c r="Y301" s="76">
        <f>IF(OR($X301="",$AJ301="",$AJ301=0,$AM301&lt;&gt;"بدهکار"),"",$AJ301)</f>
        <v/>
      </c>
      <c r="Z301" s="76">
        <f>IF(OR($X301="",$AJ301="",$AJ301=0,$AM301&lt;&gt;"بستانکار"),"",$AJ301)</f>
        <v/>
      </c>
      <c r="AA301" s="70">
        <f>IF(OR($E301="",$AN301="—",$AN301=""),"",IFERROR(VLOOKUP($E301,OpTbl,12,0),""))</f>
        <v/>
      </c>
      <c r="AB301" s="76">
        <f>IF(OR($AA301="",$Q301="",$Q301=0,$AN301&lt;&gt;"بدهکار"),"",$Q301)</f>
        <v/>
      </c>
      <c r="AC301" s="76">
        <f>IF(OR($AA301="",$Q301="",$Q301=0,$AN301&lt;&gt;"بستانکار"),"",$Q301)</f>
        <v/>
      </c>
      <c r="AD301" s="70">
        <f>IF($AA301="","",IFERROR(VLOOKUP($E301,OpTbl,13,0),""))</f>
        <v/>
      </c>
      <c r="AE301" s="76">
        <f>IF(OR($AD301="",$Q301="",$Q301=0,$AN301&lt;&gt;"بستانکار"),"",$Q301)</f>
        <v/>
      </c>
      <c r="AF301" s="76">
        <f>IF(OR($AD301="",$Q301="",$Q301=0,$AN301&lt;&gt;"بدهکار"),"",$Q301)</f>
        <v/>
      </c>
      <c r="AG301" s="76">
        <f>SUM($V301,$Y301,$AB301,$AE301)</f>
        <v/>
      </c>
      <c r="AH301" s="76">
        <f>SUM($W301,$Z301,$AC301,$AF301)</f>
        <v/>
      </c>
      <c r="AI301" s="70">
        <f>IF($E301="","",IF(ROUND($AG301-$AH301,0)=0,"✓","⚠"))</f>
        <v/>
      </c>
      <c r="AJ301" s="76">
        <f>IF(OR($E301="",$U301=""),"",IFERROR(IF(VLOOKUP($E301,OpTbl,6,0)="وزن",IF($P301="",0,$P301),IF(VLOOKUP($E301,OpTbl,6,0)="مبلغ",IF(AND($Q301&lt;&gt;"",$Q301&lt;&gt;0),$Q301,$P301),0))+IF(VLOOKUP($E301,OpTbl,10,0)="افزودن",IF($Q301="",0,$Q301),0),0))</f>
        <v/>
      </c>
      <c r="AK301" s="70">
        <f>IF($E301="","",IFERROR(VLOOKUP($E301,OpTbl,10,0),""))</f>
        <v/>
      </c>
      <c r="AL301" s="70">
        <f>IF(OR($E301="",$U301=""),"",IFERROR(IF(VLOOKUP($E301,OpTbl,7,0)="خودکار",$R301,VLOOKUP($E301,OpTbl,7,0)),""))</f>
        <v/>
      </c>
      <c r="AM301" s="70">
        <f>IF(OR($E301="",$X301=""),"",IFERROR(IF(VLOOKUP($E301,OpTbl,9,0)="خودکار",IF($AL301="بدهکار","بستانکار",IF($AL301="بستانکار","بدهکار","")),VLOOKUP($E301,OpTbl,9,0)),""))</f>
        <v/>
      </c>
      <c r="AN301" s="70">
        <f>IF($E301="","",IFERROR(VLOOKUP($E301,OpTbl,11,0),""))</f>
        <v/>
      </c>
      <c r="AO301" s="70">
        <f>IF($B301="","",MID($B301,6,2))</f>
        <v/>
      </c>
      <c r="AP301" s="76">
        <f>IF($B301="",0,1)</f>
        <v/>
      </c>
    </row>
    <row r="302" ht="21.75" customHeight="1">
      <c r="A302" s="70">
        <f>IF($B302="","",COUNTA($B$10:$B302))</f>
        <v/>
      </c>
      <c r="B302" s="71" t="n"/>
      <c r="C302" s="71" t="n"/>
      <c r="D302" s="71" t="n"/>
      <c r="E302" s="71" t="n"/>
      <c r="F302" s="70">
        <f>IF($E302="","",IFERROR(VLOOKUP($E302,OpTbl,2,0),""))</f>
        <v/>
      </c>
      <c r="G302" s="71" t="n"/>
      <c r="H302" s="73">
        <f>IF($U302="","",IFERROR(VLOOKUP($U302,AcctTbl,2,0),"کد ناشناخته"))</f>
        <v/>
      </c>
      <c r="I302" s="70">
        <f>IF($U302="","",IFERROR(VLOOKUP($U302,AcctTbl,3,0),""))</f>
        <v/>
      </c>
      <c r="J302" s="72" t="n"/>
      <c r="K302" s="71" t="n"/>
      <c r="L302" s="74" t="n"/>
      <c r="M302" s="74" t="n"/>
      <c r="N302" s="148">
        <f>IF(OR($E302="",$L302=""),"",IFERROR(($L302-IF($M302="",0,$M302)*IFERROR(VLOOKUP($K302,BasketTbl,4,0),IFERROR(INDEX(BasketTbl,MATCH($K302,BasketCodeCol,0),4),VLOOKUP("P01",ParamTbl,2,0))))*(1-IF(VLOOKUP($E302,OpTbl,3,0)="خرید",VLOOKUP("P02",ParamTbl,2,0),0)/100),""))</f>
        <v/>
      </c>
      <c r="O302" s="74" t="n"/>
      <c r="P302" s="76">
        <f>IF(OR($E302="",$L302=""),"",IFERROR(IF(VLOOKUP($E302,OpTbl,6,0)="وزن",ROUND($N302*$O302,-3),IF(VLOOKUP($E302,OpTbl,6,0)="مبلغ",ROUND($L302*$O302,-3),0)),""))</f>
        <v/>
      </c>
      <c r="Q302" s="74" t="n"/>
      <c r="R302" s="71" t="n"/>
      <c r="S302" s="77">
        <f>IF($E302="","",IF($AI302="⚠","⚠ ناتراز",IF(AND(IFERROR(VLOOKUP($E302,OpTbl,4,0),"")="بله",$L302=""),"⚠ وزن",IF(AND(IFERROR(VLOOKUP($E302,OpTbl,5,0),"")="بله",$U302=""),"⚠ حساب",IF(AND(IFERROR(VLOOKUP($E302,OpTbl,6,0),"")="مبلغ",$Q302=""),"⚠ مبلغ","✓")))))</f>
        <v/>
      </c>
      <c r="T302" s="72" t="n"/>
      <c r="U302" s="70">
        <f>IF($E302="","",IFERROR(IF(VLOOKUP($E302,OpTbl,14,0)&lt;&gt;"",VLOOKUP($E302,OpTbl,14,0),$G302),""))</f>
        <v/>
      </c>
      <c r="V302" s="76">
        <f>IF(OR($AJ302="",$AJ302=0,$AL302&lt;&gt;"بدهکار"),"",$AJ302)</f>
        <v/>
      </c>
      <c r="W302" s="76">
        <f>IF(OR($AJ302="",$AJ302=0,$AL302&lt;&gt;"بستانکار"),"",$AJ302)</f>
        <v/>
      </c>
      <c r="X302" s="70">
        <f>IF($E302="","",IFERROR(VLOOKUP($E302,OpTbl,8,0),""))</f>
        <v/>
      </c>
      <c r="Y302" s="76">
        <f>IF(OR($X302="",$AJ302="",$AJ302=0,$AM302&lt;&gt;"بدهکار"),"",$AJ302)</f>
        <v/>
      </c>
      <c r="Z302" s="76">
        <f>IF(OR($X302="",$AJ302="",$AJ302=0,$AM302&lt;&gt;"بستانکار"),"",$AJ302)</f>
        <v/>
      </c>
      <c r="AA302" s="70">
        <f>IF(OR($E302="",$AN302="—",$AN302=""),"",IFERROR(VLOOKUP($E302,OpTbl,12,0),""))</f>
        <v/>
      </c>
      <c r="AB302" s="76">
        <f>IF(OR($AA302="",$Q302="",$Q302=0,$AN302&lt;&gt;"بدهکار"),"",$Q302)</f>
        <v/>
      </c>
      <c r="AC302" s="76">
        <f>IF(OR($AA302="",$Q302="",$Q302=0,$AN302&lt;&gt;"بستانکار"),"",$Q302)</f>
        <v/>
      </c>
      <c r="AD302" s="70">
        <f>IF($AA302="","",IFERROR(VLOOKUP($E302,OpTbl,13,0),""))</f>
        <v/>
      </c>
      <c r="AE302" s="76">
        <f>IF(OR($AD302="",$Q302="",$Q302=0,$AN302&lt;&gt;"بستانکار"),"",$Q302)</f>
        <v/>
      </c>
      <c r="AF302" s="76">
        <f>IF(OR($AD302="",$Q302="",$Q302=0,$AN302&lt;&gt;"بدهکار"),"",$Q302)</f>
        <v/>
      </c>
      <c r="AG302" s="76">
        <f>SUM($V302,$Y302,$AB302,$AE302)</f>
        <v/>
      </c>
      <c r="AH302" s="76">
        <f>SUM($W302,$Z302,$AC302,$AF302)</f>
        <v/>
      </c>
      <c r="AI302" s="70">
        <f>IF($E302="","",IF(ROUND($AG302-$AH302,0)=0,"✓","⚠"))</f>
        <v/>
      </c>
      <c r="AJ302" s="76">
        <f>IF(OR($E302="",$U302=""),"",IFERROR(IF(VLOOKUP($E302,OpTbl,6,0)="وزن",IF($P302="",0,$P302),IF(VLOOKUP($E302,OpTbl,6,0)="مبلغ",IF(AND($Q302&lt;&gt;"",$Q302&lt;&gt;0),$Q302,$P302),0))+IF(VLOOKUP($E302,OpTbl,10,0)="افزودن",IF($Q302="",0,$Q302),0),0))</f>
        <v/>
      </c>
      <c r="AK302" s="70">
        <f>IF($E302="","",IFERROR(VLOOKUP($E302,OpTbl,10,0),""))</f>
        <v/>
      </c>
      <c r="AL302" s="70">
        <f>IF(OR($E302="",$U302=""),"",IFERROR(IF(VLOOKUP($E302,OpTbl,7,0)="خودکار",$R302,VLOOKUP($E302,OpTbl,7,0)),""))</f>
        <v/>
      </c>
      <c r="AM302" s="70">
        <f>IF(OR($E302="",$X302=""),"",IFERROR(IF(VLOOKUP($E302,OpTbl,9,0)="خودکار",IF($AL302="بدهکار","بستانکار",IF($AL302="بستانکار","بدهکار","")),VLOOKUP($E302,OpTbl,9,0)),""))</f>
        <v/>
      </c>
      <c r="AN302" s="70">
        <f>IF($E302="","",IFERROR(VLOOKUP($E302,OpTbl,11,0),""))</f>
        <v/>
      </c>
      <c r="AO302" s="70">
        <f>IF($B302="","",MID($B302,6,2))</f>
        <v/>
      </c>
      <c r="AP302" s="76">
        <f>IF($B302="",0,1)</f>
        <v/>
      </c>
    </row>
    <row r="303" ht="21.75" customHeight="1">
      <c r="A303" s="70">
        <f>IF($B303="","",COUNTA($B$10:$B303))</f>
        <v/>
      </c>
      <c r="B303" s="71" t="n"/>
      <c r="C303" s="71" t="n"/>
      <c r="D303" s="71" t="n"/>
      <c r="E303" s="71" t="n"/>
      <c r="F303" s="70">
        <f>IF($E303="","",IFERROR(VLOOKUP($E303,OpTbl,2,0),""))</f>
        <v/>
      </c>
      <c r="G303" s="71" t="n"/>
      <c r="H303" s="73">
        <f>IF($U303="","",IFERROR(VLOOKUP($U303,AcctTbl,2,0),"کد ناشناخته"))</f>
        <v/>
      </c>
      <c r="I303" s="70">
        <f>IF($U303="","",IFERROR(VLOOKUP($U303,AcctTbl,3,0),""))</f>
        <v/>
      </c>
      <c r="J303" s="72" t="n"/>
      <c r="K303" s="71" t="n"/>
      <c r="L303" s="74" t="n"/>
      <c r="M303" s="74" t="n"/>
      <c r="N303" s="148">
        <f>IF(OR($E303="",$L303=""),"",IFERROR(($L303-IF($M303="",0,$M303)*IFERROR(VLOOKUP($K303,BasketTbl,4,0),IFERROR(INDEX(BasketTbl,MATCH($K303,BasketCodeCol,0),4),VLOOKUP("P01",ParamTbl,2,0))))*(1-IF(VLOOKUP($E303,OpTbl,3,0)="خرید",VLOOKUP("P02",ParamTbl,2,0),0)/100),""))</f>
        <v/>
      </c>
      <c r="O303" s="74" t="n"/>
      <c r="P303" s="76">
        <f>IF(OR($E303="",$L303=""),"",IFERROR(IF(VLOOKUP($E303,OpTbl,6,0)="وزن",ROUND($N303*$O303,-3),IF(VLOOKUP($E303,OpTbl,6,0)="مبلغ",ROUND($L303*$O303,-3),0)),""))</f>
        <v/>
      </c>
      <c r="Q303" s="74" t="n"/>
      <c r="R303" s="71" t="n"/>
      <c r="S303" s="77">
        <f>IF($E303="","",IF($AI303="⚠","⚠ ناتراز",IF(AND(IFERROR(VLOOKUP($E303,OpTbl,4,0),"")="بله",$L303=""),"⚠ وزن",IF(AND(IFERROR(VLOOKUP($E303,OpTbl,5,0),"")="بله",$U303=""),"⚠ حساب",IF(AND(IFERROR(VLOOKUP($E303,OpTbl,6,0),"")="مبلغ",$Q303=""),"⚠ مبلغ","✓")))))</f>
        <v/>
      </c>
      <c r="T303" s="72" t="n"/>
      <c r="U303" s="70">
        <f>IF($E303="","",IFERROR(IF(VLOOKUP($E303,OpTbl,14,0)&lt;&gt;"",VLOOKUP($E303,OpTbl,14,0),$G303),""))</f>
        <v/>
      </c>
      <c r="V303" s="76">
        <f>IF(OR($AJ303="",$AJ303=0,$AL303&lt;&gt;"بدهکار"),"",$AJ303)</f>
        <v/>
      </c>
      <c r="W303" s="76">
        <f>IF(OR($AJ303="",$AJ303=0,$AL303&lt;&gt;"بستانکار"),"",$AJ303)</f>
        <v/>
      </c>
      <c r="X303" s="70">
        <f>IF($E303="","",IFERROR(VLOOKUP($E303,OpTbl,8,0),""))</f>
        <v/>
      </c>
      <c r="Y303" s="76">
        <f>IF(OR($X303="",$AJ303="",$AJ303=0,$AM303&lt;&gt;"بدهکار"),"",$AJ303)</f>
        <v/>
      </c>
      <c r="Z303" s="76">
        <f>IF(OR($X303="",$AJ303="",$AJ303=0,$AM303&lt;&gt;"بستانکار"),"",$AJ303)</f>
        <v/>
      </c>
      <c r="AA303" s="70">
        <f>IF(OR($E303="",$AN303="—",$AN303=""),"",IFERROR(VLOOKUP($E303,OpTbl,12,0),""))</f>
        <v/>
      </c>
      <c r="AB303" s="76">
        <f>IF(OR($AA303="",$Q303="",$Q303=0,$AN303&lt;&gt;"بدهکار"),"",$Q303)</f>
        <v/>
      </c>
      <c r="AC303" s="76">
        <f>IF(OR($AA303="",$Q303="",$Q303=0,$AN303&lt;&gt;"بستانکار"),"",$Q303)</f>
        <v/>
      </c>
      <c r="AD303" s="70">
        <f>IF($AA303="","",IFERROR(VLOOKUP($E303,OpTbl,13,0),""))</f>
        <v/>
      </c>
      <c r="AE303" s="76">
        <f>IF(OR($AD303="",$Q303="",$Q303=0,$AN303&lt;&gt;"بستانکار"),"",$Q303)</f>
        <v/>
      </c>
      <c r="AF303" s="76">
        <f>IF(OR($AD303="",$Q303="",$Q303=0,$AN303&lt;&gt;"بدهکار"),"",$Q303)</f>
        <v/>
      </c>
      <c r="AG303" s="76">
        <f>SUM($V303,$Y303,$AB303,$AE303)</f>
        <v/>
      </c>
      <c r="AH303" s="76">
        <f>SUM($W303,$Z303,$AC303,$AF303)</f>
        <v/>
      </c>
      <c r="AI303" s="70">
        <f>IF($E303="","",IF(ROUND($AG303-$AH303,0)=0,"✓","⚠"))</f>
        <v/>
      </c>
      <c r="AJ303" s="76">
        <f>IF(OR($E303="",$U303=""),"",IFERROR(IF(VLOOKUP($E303,OpTbl,6,0)="وزن",IF($P303="",0,$P303),IF(VLOOKUP($E303,OpTbl,6,0)="مبلغ",IF(AND($Q303&lt;&gt;"",$Q303&lt;&gt;0),$Q303,$P303),0))+IF(VLOOKUP($E303,OpTbl,10,0)="افزودن",IF($Q303="",0,$Q303),0),0))</f>
        <v/>
      </c>
      <c r="AK303" s="70">
        <f>IF($E303="","",IFERROR(VLOOKUP($E303,OpTbl,10,0),""))</f>
        <v/>
      </c>
      <c r="AL303" s="70">
        <f>IF(OR($E303="",$U303=""),"",IFERROR(IF(VLOOKUP($E303,OpTbl,7,0)="خودکار",$R303,VLOOKUP($E303,OpTbl,7,0)),""))</f>
        <v/>
      </c>
      <c r="AM303" s="70">
        <f>IF(OR($E303="",$X303=""),"",IFERROR(IF(VLOOKUP($E303,OpTbl,9,0)="خودکار",IF($AL303="بدهکار","بستانکار",IF($AL303="بستانکار","بدهکار","")),VLOOKUP($E303,OpTbl,9,0)),""))</f>
        <v/>
      </c>
      <c r="AN303" s="70">
        <f>IF($E303="","",IFERROR(VLOOKUP($E303,OpTbl,11,0),""))</f>
        <v/>
      </c>
      <c r="AO303" s="70">
        <f>IF($B303="","",MID($B303,6,2))</f>
        <v/>
      </c>
      <c r="AP303" s="76">
        <f>IF($B303="",0,1)</f>
        <v/>
      </c>
    </row>
    <row r="304" ht="21.75" customHeight="1">
      <c r="A304" s="70">
        <f>IF($B304="","",COUNTA($B$10:$B304))</f>
        <v/>
      </c>
      <c r="B304" s="71" t="n"/>
      <c r="C304" s="71" t="n"/>
      <c r="D304" s="71" t="n"/>
      <c r="E304" s="71" t="n"/>
      <c r="F304" s="70">
        <f>IF($E304="","",IFERROR(VLOOKUP($E304,OpTbl,2,0),""))</f>
        <v/>
      </c>
      <c r="G304" s="71" t="n"/>
      <c r="H304" s="73">
        <f>IF($U304="","",IFERROR(VLOOKUP($U304,AcctTbl,2,0),"کد ناشناخته"))</f>
        <v/>
      </c>
      <c r="I304" s="70">
        <f>IF($U304="","",IFERROR(VLOOKUP($U304,AcctTbl,3,0),""))</f>
        <v/>
      </c>
      <c r="J304" s="72" t="n"/>
      <c r="K304" s="71" t="n"/>
      <c r="L304" s="74" t="n"/>
      <c r="M304" s="74" t="n"/>
      <c r="N304" s="148">
        <f>IF(OR($E304="",$L304=""),"",IFERROR(($L304-IF($M304="",0,$M304)*IFERROR(VLOOKUP($K304,BasketTbl,4,0),IFERROR(INDEX(BasketTbl,MATCH($K304,BasketCodeCol,0),4),VLOOKUP("P01",ParamTbl,2,0))))*(1-IF(VLOOKUP($E304,OpTbl,3,0)="خرید",VLOOKUP("P02",ParamTbl,2,0),0)/100),""))</f>
        <v/>
      </c>
      <c r="O304" s="74" t="n"/>
      <c r="P304" s="76">
        <f>IF(OR($E304="",$L304=""),"",IFERROR(IF(VLOOKUP($E304,OpTbl,6,0)="وزن",ROUND($N304*$O304,-3),IF(VLOOKUP($E304,OpTbl,6,0)="مبلغ",ROUND($L304*$O304,-3),0)),""))</f>
        <v/>
      </c>
      <c r="Q304" s="74" t="n"/>
      <c r="R304" s="71" t="n"/>
      <c r="S304" s="77">
        <f>IF($E304="","",IF($AI304="⚠","⚠ ناتراز",IF(AND(IFERROR(VLOOKUP($E304,OpTbl,4,0),"")="بله",$L304=""),"⚠ وزن",IF(AND(IFERROR(VLOOKUP($E304,OpTbl,5,0),"")="بله",$U304=""),"⚠ حساب",IF(AND(IFERROR(VLOOKUP($E304,OpTbl,6,0),"")="مبلغ",$Q304=""),"⚠ مبلغ","✓")))))</f>
        <v/>
      </c>
      <c r="T304" s="72" t="n"/>
      <c r="U304" s="70">
        <f>IF($E304="","",IFERROR(IF(VLOOKUP($E304,OpTbl,14,0)&lt;&gt;"",VLOOKUP($E304,OpTbl,14,0),$G304),""))</f>
        <v/>
      </c>
      <c r="V304" s="76">
        <f>IF(OR($AJ304="",$AJ304=0,$AL304&lt;&gt;"بدهکار"),"",$AJ304)</f>
        <v/>
      </c>
      <c r="W304" s="76">
        <f>IF(OR($AJ304="",$AJ304=0,$AL304&lt;&gt;"بستانکار"),"",$AJ304)</f>
        <v/>
      </c>
      <c r="X304" s="70">
        <f>IF($E304="","",IFERROR(VLOOKUP($E304,OpTbl,8,0),""))</f>
        <v/>
      </c>
      <c r="Y304" s="76">
        <f>IF(OR($X304="",$AJ304="",$AJ304=0,$AM304&lt;&gt;"بدهکار"),"",$AJ304)</f>
        <v/>
      </c>
      <c r="Z304" s="76">
        <f>IF(OR($X304="",$AJ304="",$AJ304=0,$AM304&lt;&gt;"بستانکار"),"",$AJ304)</f>
        <v/>
      </c>
      <c r="AA304" s="70">
        <f>IF(OR($E304="",$AN304="—",$AN304=""),"",IFERROR(VLOOKUP($E304,OpTbl,12,0),""))</f>
        <v/>
      </c>
      <c r="AB304" s="76">
        <f>IF(OR($AA304="",$Q304="",$Q304=0,$AN304&lt;&gt;"بدهکار"),"",$Q304)</f>
        <v/>
      </c>
      <c r="AC304" s="76">
        <f>IF(OR($AA304="",$Q304="",$Q304=0,$AN304&lt;&gt;"بستانکار"),"",$Q304)</f>
        <v/>
      </c>
      <c r="AD304" s="70">
        <f>IF($AA304="","",IFERROR(VLOOKUP($E304,OpTbl,13,0),""))</f>
        <v/>
      </c>
      <c r="AE304" s="76">
        <f>IF(OR($AD304="",$Q304="",$Q304=0,$AN304&lt;&gt;"بستانکار"),"",$Q304)</f>
        <v/>
      </c>
      <c r="AF304" s="76">
        <f>IF(OR($AD304="",$Q304="",$Q304=0,$AN304&lt;&gt;"بدهکار"),"",$Q304)</f>
        <v/>
      </c>
      <c r="AG304" s="76">
        <f>SUM($V304,$Y304,$AB304,$AE304)</f>
        <v/>
      </c>
      <c r="AH304" s="76">
        <f>SUM($W304,$Z304,$AC304,$AF304)</f>
        <v/>
      </c>
      <c r="AI304" s="70">
        <f>IF($E304="","",IF(ROUND($AG304-$AH304,0)=0,"✓","⚠"))</f>
        <v/>
      </c>
      <c r="AJ304" s="76">
        <f>IF(OR($E304="",$U304=""),"",IFERROR(IF(VLOOKUP($E304,OpTbl,6,0)="وزن",IF($P304="",0,$P304),IF(VLOOKUP($E304,OpTbl,6,0)="مبلغ",IF(AND($Q304&lt;&gt;"",$Q304&lt;&gt;0),$Q304,$P304),0))+IF(VLOOKUP($E304,OpTbl,10,0)="افزودن",IF($Q304="",0,$Q304),0),0))</f>
        <v/>
      </c>
      <c r="AK304" s="70">
        <f>IF($E304="","",IFERROR(VLOOKUP($E304,OpTbl,10,0),""))</f>
        <v/>
      </c>
      <c r="AL304" s="70">
        <f>IF(OR($E304="",$U304=""),"",IFERROR(IF(VLOOKUP($E304,OpTbl,7,0)="خودکار",$R304,VLOOKUP($E304,OpTbl,7,0)),""))</f>
        <v/>
      </c>
      <c r="AM304" s="70">
        <f>IF(OR($E304="",$X304=""),"",IFERROR(IF(VLOOKUP($E304,OpTbl,9,0)="خودکار",IF($AL304="بدهکار","بستانکار",IF($AL304="بستانکار","بدهکار","")),VLOOKUP($E304,OpTbl,9,0)),""))</f>
        <v/>
      </c>
      <c r="AN304" s="70">
        <f>IF($E304="","",IFERROR(VLOOKUP($E304,OpTbl,11,0),""))</f>
        <v/>
      </c>
      <c r="AO304" s="70">
        <f>IF($B304="","",MID($B304,6,2))</f>
        <v/>
      </c>
      <c r="AP304" s="76">
        <f>IF($B304="",0,1)</f>
        <v/>
      </c>
    </row>
    <row r="305" ht="21.75" customHeight="1">
      <c r="A305" s="70">
        <f>IF($B305="","",COUNTA($B$10:$B305))</f>
        <v/>
      </c>
      <c r="B305" s="71" t="n"/>
      <c r="C305" s="71" t="n"/>
      <c r="D305" s="71" t="n"/>
      <c r="E305" s="71" t="n"/>
      <c r="F305" s="70">
        <f>IF($E305="","",IFERROR(VLOOKUP($E305,OpTbl,2,0),""))</f>
        <v/>
      </c>
      <c r="G305" s="71" t="n"/>
      <c r="H305" s="73">
        <f>IF($U305="","",IFERROR(VLOOKUP($U305,AcctTbl,2,0),"کد ناشناخته"))</f>
        <v/>
      </c>
      <c r="I305" s="70">
        <f>IF($U305="","",IFERROR(VLOOKUP($U305,AcctTbl,3,0),""))</f>
        <v/>
      </c>
      <c r="J305" s="72" t="n"/>
      <c r="K305" s="71" t="n"/>
      <c r="L305" s="74" t="n"/>
      <c r="M305" s="74" t="n"/>
      <c r="N305" s="148">
        <f>IF(OR($E305="",$L305=""),"",IFERROR(($L305-IF($M305="",0,$M305)*IFERROR(VLOOKUP($K305,BasketTbl,4,0),IFERROR(INDEX(BasketTbl,MATCH($K305,BasketCodeCol,0),4),VLOOKUP("P01",ParamTbl,2,0))))*(1-IF(VLOOKUP($E305,OpTbl,3,0)="خرید",VLOOKUP("P02",ParamTbl,2,0),0)/100),""))</f>
        <v/>
      </c>
      <c r="O305" s="74" t="n"/>
      <c r="P305" s="76">
        <f>IF(OR($E305="",$L305=""),"",IFERROR(IF(VLOOKUP($E305,OpTbl,6,0)="وزن",ROUND($N305*$O305,-3),IF(VLOOKUP($E305,OpTbl,6,0)="مبلغ",ROUND($L305*$O305,-3),0)),""))</f>
        <v/>
      </c>
      <c r="Q305" s="74" t="n"/>
      <c r="R305" s="71" t="n"/>
      <c r="S305" s="77">
        <f>IF($E305="","",IF($AI305="⚠","⚠ ناتراز",IF(AND(IFERROR(VLOOKUP($E305,OpTbl,4,0),"")="بله",$L305=""),"⚠ وزن",IF(AND(IFERROR(VLOOKUP($E305,OpTbl,5,0),"")="بله",$U305=""),"⚠ حساب",IF(AND(IFERROR(VLOOKUP($E305,OpTbl,6,0),"")="مبلغ",$Q305=""),"⚠ مبلغ","✓")))))</f>
        <v/>
      </c>
      <c r="T305" s="72" t="n"/>
      <c r="U305" s="70">
        <f>IF($E305="","",IFERROR(IF(VLOOKUP($E305,OpTbl,14,0)&lt;&gt;"",VLOOKUP($E305,OpTbl,14,0),$G305),""))</f>
        <v/>
      </c>
      <c r="V305" s="76">
        <f>IF(OR($AJ305="",$AJ305=0,$AL305&lt;&gt;"بدهکار"),"",$AJ305)</f>
        <v/>
      </c>
      <c r="W305" s="76">
        <f>IF(OR($AJ305="",$AJ305=0,$AL305&lt;&gt;"بستانکار"),"",$AJ305)</f>
        <v/>
      </c>
      <c r="X305" s="70">
        <f>IF($E305="","",IFERROR(VLOOKUP($E305,OpTbl,8,0),""))</f>
        <v/>
      </c>
      <c r="Y305" s="76">
        <f>IF(OR($X305="",$AJ305="",$AJ305=0,$AM305&lt;&gt;"بدهکار"),"",$AJ305)</f>
        <v/>
      </c>
      <c r="Z305" s="76">
        <f>IF(OR($X305="",$AJ305="",$AJ305=0,$AM305&lt;&gt;"بستانکار"),"",$AJ305)</f>
        <v/>
      </c>
      <c r="AA305" s="70">
        <f>IF(OR($E305="",$AN305="—",$AN305=""),"",IFERROR(VLOOKUP($E305,OpTbl,12,0),""))</f>
        <v/>
      </c>
      <c r="AB305" s="76">
        <f>IF(OR($AA305="",$Q305="",$Q305=0,$AN305&lt;&gt;"بدهکار"),"",$Q305)</f>
        <v/>
      </c>
      <c r="AC305" s="76">
        <f>IF(OR($AA305="",$Q305="",$Q305=0,$AN305&lt;&gt;"بستانکار"),"",$Q305)</f>
        <v/>
      </c>
      <c r="AD305" s="70">
        <f>IF($AA305="","",IFERROR(VLOOKUP($E305,OpTbl,13,0),""))</f>
        <v/>
      </c>
      <c r="AE305" s="76">
        <f>IF(OR($AD305="",$Q305="",$Q305=0,$AN305&lt;&gt;"بستانکار"),"",$Q305)</f>
        <v/>
      </c>
      <c r="AF305" s="76">
        <f>IF(OR($AD305="",$Q305="",$Q305=0,$AN305&lt;&gt;"بدهکار"),"",$Q305)</f>
        <v/>
      </c>
      <c r="AG305" s="76">
        <f>SUM($V305,$Y305,$AB305,$AE305)</f>
        <v/>
      </c>
      <c r="AH305" s="76">
        <f>SUM($W305,$Z305,$AC305,$AF305)</f>
        <v/>
      </c>
      <c r="AI305" s="70">
        <f>IF($E305="","",IF(ROUND($AG305-$AH305,0)=0,"✓","⚠"))</f>
        <v/>
      </c>
      <c r="AJ305" s="76">
        <f>IF(OR($E305="",$U305=""),"",IFERROR(IF(VLOOKUP($E305,OpTbl,6,0)="وزن",IF($P305="",0,$P305),IF(VLOOKUP($E305,OpTbl,6,0)="مبلغ",IF(AND($Q305&lt;&gt;"",$Q305&lt;&gt;0),$Q305,$P305),0))+IF(VLOOKUP($E305,OpTbl,10,0)="افزودن",IF($Q305="",0,$Q305),0),0))</f>
        <v/>
      </c>
      <c r="AK305" s="70">
        <f>IF($E305="","",IFERROR(VLOOKUP($E305,OpTbl,10,0),""))</f>
        <v/>
      </c>
      <c r="AL305" s="70">
        <f>IF(OR($E305="",$U305=""),"",IFERROR(IF(VLOOKUP($E305,OpTbl,7,0)="خودکار",$R305,VLOOKUP($E305,OpTbl,7,0)),""))</f>
        <v/>
      </c>
      <c r="AM305" s="70">
        <f>IF(OR($E305="",$X305=""),"",IFERROR(IF(VLOOKUP($E305,OpTbl,9,0)="خودکار",IF($AL305="بدهکار","بستانکار",IF($AL305="بستانکار","بدهکار","")),VLOOKUP($E305,OpTbl,9,0)),""))</f>
        <v/>
      </c>
      <c r="AN305" s="70">
        <f>IF($E305="","",IFERROR(VLOOKUP($E305,OpTbl,11,0),""))</f>
        <v/>
      </c>
      <c r="AO305" s="70">
        <f>IF($B305="","",MID($B305,6,2))</f>
        <v/>
      </c>
      <c r="AP305" s="76">
        <f>IF($B305="",0,1)</f>
        <v/>
      </c>
    </row>
    <row r="306" ht="21.75" customHeight="1">
      <c r="A306" s="70">
        <f>IF($B306="","",COUNTA($B$10:$B306))</f>
        <v/>
      </c>
      <c r="B306" s="71" t="n"/>
      <c r="C306" s="71" t="n"/>
      <c r="D306" s="71" t="n"/>
      <c r="E306" s="71" t="n"/>
      <c r="F306" s="70">
        <f>IF($E306="","",IFERROR(VLOOKUP($E306,OpTbl,2,0),""))</f>
        <v/>
      </c>
      <c r="G306" s="71" t="n"/>
      <c r="H306" s="73">
        <f>IF($U306="","",IFERROR(VLOOKUP($U306,AcctTbl,2,0),"کد ناشناخته"))</f>
        <v/>
      </c>
      <c r="I306" s="70">
        <f>IF($U306="","",IFERROR(VLOOKUP($U306,AcctTbl,3,0),""))</f>
        <v/>
      </c>
      <c r="J306" s="72" t="n"/>
      <c r="K306" s="71" t="n"/>
      <c r="L306" s="74" t="n"/>
      <c r="M306" s="74" t="n"/>
      <c r="N306" s="148">
        <f>IF(OR($E306="",$L306=""),"",IFERROR(($L306-IF($M306="",0,$M306)*IFERROR(VLOOKUP($K306,BasketTbl,4,0),IFERROR(INDEX(BasketTbl,MATCH($K306,BasketCodeCol,0),4),VLOOKUP("P01",ParamTbl,2,0))))*(1-IF(VLOOKUP($E306,OpTbl,3,0)="خرید",VLOOKUP("P02",ParamTbl,2,0),0)/100),""))</f>
        <v/>
      </c>
      <c r="O306" s="74" t="n"/>
      <c r="P306" s="76">
        <f>IF(OR($E306="",$L306=""),"",IFERROR(IF(VLOOKUP($E306,OpTbl,6,0)="وزن",ROUND($N306*$O306,-3),IF(VLOOKUP($E306,OpTbl,6,0)="مبلغ",ROUND($L306*$O306,-3),0)),""))</f>
        <v/>
      </c>
      <c r="Q306" s="74" t="n"/>
      <c r="R306" s="71" t="n"/>
      <c r="S306" s="77">
        <f>IF($E306="","",IF($AI306="⚠","⚠ ناتراز",IF(AND(IFERROR(VLOOKUP($E306,OpTbl,4,0),"")="بله",$L306=""),"⚠ وزن",IF(AND(IFERROR(VLOOKUP($E306,OpTbl,5,0),"")="بله",$U306=""),"⚠ حساب",IF(AND(IFERROR(VLOOKUP($E306,OpTbl,6,0),"")="مبلغ",$Q306=""),"⚠ مبلغ","✓")))))</f>
        <v/>
      </c>
      <c r="T306" s="72" t="n"/>
      <c r="U306" s="70">
        <f>IF($E306="","",IFERROR(IF(VLOOKUP($E306,OpTbl,14,0)&lt;&gt;"",VLOOKUP($E306,OpTbl,14,0),$G306),""))</f>
        <v/>
      </c>
      <c r="V306" s="76">
        <f>IF(OR($AJ306="",$AJ306=0,$AL306&lt;&gt;"بدهکار"),"",$AJ306)</f>
        <v/>
      </c>
      <c r="W306" s="76">
        <f>IF(OR($AJ306="",$AJ306=0,$AL306&lt;&gt;"بستانکار"),"",$AJ306)</f>
        <v/>
      </c>
      <c r="X306" s="70">
        <f>IF($E306="","",IFERROR(VLOOKUP($E306,OpTbl,8,0),""))</f>
        <v/>
      </c>
      <c r="Y306" s="76">
        <f>IF(OR($X306="",$AJ306="",$AJ306=0,$AM306&lt;&gt;"بدهکار"),"",$AJ306)</f>
        <v/>
      </c>
      <c r="Z306" s="76">
        <f>IF(OR($X306="",$AJ306="",$AJ306=0,$AM306&lt;&gt;"بستانکار"),"",$AJ306)</f>
        <v/>
      </c>
      <c r="AA306" s="70">
        <f>IF(OR($E306="",$AN306="—",$AN306=""),"",IFERROR(VLOOKUP($E306,OpTbl,12,0),""))</f>
        <v/>
      </c>
      <c r="AB306" s="76">
        <f>IF(OR($AA306="",$Q306="",$Q306=0,$AN306&lt;&gt;"بدهکار"),"",$Q306)</f>
        <v/>
      </c>
      <c r="AC306" s="76">
        <f>IF(OR($AA306="",$Q306="",$Q306=0,$AN306&lt;&gt;"بستانکار"),"",$Q306)</f>
        <v/>
      </c>
      <c r="AD306" s="70">
        <f>IF($AA306="","",IFERROR(VLOOKUP($E306,OpTbl,13,0),""))</f>
        <v/>
      </c>
      <c r="AE306" s="76">
        <f>IF(OR($AD306="",$Q306="",$Q306=0,$AN306&lt;&gt;"بستانکار"),"",$Q306)</f>
        <v/>
      </c>
      <c r="AF306" s="76">
        <f>IF(OR($AD306="",$Q306="",$Q306=0,$AN306&lt;&gt;"بدهکار"),"",$Q306)</f>
        <v/>
      </c>
      <c r="AG306" s="76">
        <f>SUM($V306,$Y306,$AB306,$AE306)</f>
        <v/>
      </c>
      <c r="AH306" s="76">
        <f>SUM($W306,$Z306,$AC306,$AF306)</f>
        <v/>
      </c>
      <c r="AI306" s="70">
        <f>IF($E306="","",IF(ROUND($AG306-$AH306,0)=0,"✓","⚠"))</f>
        <v/>
      </c>
      <c r="AJ306" s="76">
        <f>IF(OR($E306="",$U306=""),"",IFERROR(IF(VLOOKUP($E306,OpTbl,6,0)="وزن",IF($P306="",0,$P306),IF(VLOOKUP($E306,OpTbl,6,0)="مبلغ",IF(AND($Q306&lt;&gt;"",$Q306&lt;&gt;0),$Q306,$P306),0))+IF(VLOOKUP($E306,OpTbl,10,0)="افزودن",IF($Q306="",0,$Q306),0),0))</f>
        <v/>
      </c>
      <c r="AK306" s="70">
        <f>IF($E306="","",IFERROR(VLOOKUP($E306,OpTbl,10,0),""))</f>
        <v/>
      </c>
      <c r="AL306" s="70">
        <f>IF(OR($E306="",$U306=""),"",IFERROR(IF(VLOOKUP($E306,OpTbl,7,0)="خودکار",$R306,VLOOKUP($E306,OpTbl,7,0)),""))</f>
        <v/>
      </c>
      <c r="AM306" s="70">
        <f>IF(OR($E306="",$X306=""),"",IFERROR(IF(VLOOKUP($E306,OpTbl,9,0)="خودکار",IF($AL306="بدهکار","بستانکار",IF($AL306="بستانکار","بدهکار","")),VLOOKUP($E306,OpTbl,9,0)),""))</f>
        <v/>
      </c>
      <c r="AN306" s="70">
        <f>IF($E306="","",IFERROR(VLOOKUP($E306,OpTbl,11,0),""))</f>
        <v/>
      </c>
      <c r="AO306" s="70">
        <f>IF($B306="","",MID($B306,6,2))</f>
        <v/>
      </c>
      <c r="AP306" s="76">
        <f>IF($B306="",0,1)</f>
        <v/>
      </c>
    </row>
    <row r="307" ht="21.75" customHeight="1">
      <c r="A307" s="70">
        <f>IF($B307="","",COUNTA($B$10:$B307))</f>
        <v/>
      </c>
      <c r="B307" s="71" t="n"/>
      <c r="C307" s="71" t="n"/>
      <c r="D307" s="71" t="n"/>
      <c r="E307" s="71" t="n"/>
      <c r="F307" s="70">
        <f>IF($E307="","",IFERROR(VLOOKUP($E307,OpTbl,2,0),""))</f>
        <v/>
      </c>
      <c r="G307" s="71" t="n"/>
      <c r="H307" s="73">
        <f>IF($U307="","",IFERROR(VLOOKUP($U307,AcctTbl,2,0),"کد ناشناخته"))</f>
        <v/>
      </c>
      <c r="I307" s="70">
        <f>IF($U307="","",IFERROR(VLOOKUP($U307,AcctTbl,3,0),""))</f>
        <v/>
      </c>
      <c r="J307" s="72" t="n"/>
      <c r="K307" s="71" t="n"/>
      <c r="L307" s="74" t="n"/>
      <c r="M307" s="74" t="n"/>
      <c r="N307" s="148">
        <f>IF(OR($E307="",$L307=""),"",IFERROR(($L307-IF($M307="",0,$M307)*IFERROR(VLOOKUP($K307,BasketTbl,4,0),IFERROR(INDEX(BasketTbl,MATCH($K307,BasketCodeCol,0),4),VLOOKUP("P01",ParamTbl,2,0))))*(1-IF(VLOOKUP($E307,OpTbl,3,0)="خرید",VLOOKUP("P02",ParamTbl,2,0),0)/100),""))</f>
        <v/>
      </c>
      <c r="O307" s="74" t="n"/>
      <c r="P307" s="76">
        <f>IF(OR($E307="",$L307=""),"",IFERROR(IF(VLOOKUP($E307,OpTbl,6,0)="وزن",ROUND($N307*$O307,-3),IF(VLOOKUP($E307,OpTbl,6,0)="مبلغ",ROUND($L307*$O307,-3),0)),""))</f>
        <v/>
      </c>
      <c r="Q307" s="74" t="n"/>
      <c r="R307" s="71" t="n"/>
      <c r="S307" s="77">
        <f>IF($E307="","",IF($AI307="⚠","⚠ ناتراز",IF(AND(IFERROR(VLOOKUP($E307,OpTbl,4,0),"")="بله",$L307=""),"⚠ وزن",IF(AND(IFERROR(VLOOKUP($E307,OpTbl,5,0),"")="بله",$U307=""),"⚠ حساب",IF(AND(IFERROR(VLOOKUP($E307,OpTbl,6,0),"")="مبلغ",$Q307=""),"⚠ مبلغ","✓")))))</f>
        <v/>
      </c>
      <c r="T307" s="72" t="n"/>
      <c r="U307" s="70">
        <f>IF($E307="","",IFERROR(IF(VLOOKUP($E307,OpTbl,14,0)&lt;&gt;"",VLOOKUP($E307,OpTbl,14,0),$G307),""))</f>
        <v/>
      </c>
      <c r="V307" s="76">
        <f>IF(OR($AJ307="",$AJ307=0,$AL307&lt;&gt;"بدهکار"),"",$AJ307)</f>
        <v/>
      </c>
      <c r="W307" s="76">
        <f>IF(OR($AJ307="",$AJ307=0,$AL307&lt;&gt;"بستانکار"),"",$AJ307)</f>
        <v/>
      </c>
      <c r="X307" s="70">
        <f>IF($E307="","",IFERROR(VLOOKUP($E307,OpTbl,8,0),""))</f>
        <v/>
      </c>
      <c r="Y307" s="76">
        <f>IF(OR($X307="",$AJ307="",$AJ307=0,$AM307&lt;&gt;"بدهکار"),"",$AJ307)</f>
        <v/>
      </c>
      <c r="Z307" s="76">
        <f>IF(OR($X307="",$AJ307="",$AJ307=0,$AM307&lt;&gt;"بستانکار"),"",$AJ307)</f>
        <v/>
      </c>
      <c r="AA307" s="70">
        <f>IF(OR($E307="",$AN307="—",$AN307=""),"",IFERROR(VLOOKUP($E307,OpTbl,12,0),""))</f>
        <v/>
      </c>
      <c r="AB307" s="76">
        <f>IF(OR($AA307="",$Q307="",$Q307=0,$AN307&lt;&gt;"بدهکار"),"",$Q307)</f>
        <v/>
      </c>
      <c r="AC307" s="76">
        <f>IF(OR($AA307="",$Q307="",$Q307=0,$AN307&lt;&gt;"بستانکار"),"",$Q307)</f>
        <v/>
      </c>
      <c r="AD307" s="70">
        <f>IF($AA307="","",IFERROR(VLOOKUP($E307,OpTbl,13,0),""))</f>
        <v/>
      </c>
      <c r="AE307" s="76">
        <f>IF(OR($AD307="",$Q307="",$Q307=0,$AN307&lt;&gt;"بستانکار"),"",$Q307)</f>
        <v/>
      </c>
      <c r="AF307" s="76">
        <f>IF(OR($AD307="",$Q307="",$Q307=0,$AN307&lt;&gt;"بدهکار"),"",$Q307)</f>
        <v/>
      </c>
      <c r="AG307" s="76">
        <f>SUM($V307,$Y307,$AB307,$AE307)</f>
        <v/>
      </c>
      <c r="AH307" s="76">
        <f>SUM($W307,$Z307,$AC307,$AF307)</f>
        <v/>
      </c>
      <c r="AI307" s="70">
        <f>IF($E307="","",IF(ROUND($AG307-$AH307,0)=0,"✓","⚠"))</f>
        <v/>
      </c>
      <c r="AJ307" s="76">
        <f>IF(OR($E307="",$U307=""),"",IFERROR(IF(VLOOKUP($E307,OpTbl,6,0)="وزن",IF($P307="",0,$P307),IF(VLOOKUP($E307,OpTbl,6,0)="مبلغ",IF(AND($Q307&lt;&gt;"",$Q307&lt;&gt;0),$Q307,$P307),0))+IF(VLOOKUP($E307,OpTbl,10,0)="افزودن",IF($Q307="",0,$Q307),0),0))</f>
        <v/>
      </c>
      <c r="AK307" s="70">
        <f>IF($E307="","",IFERROR(VLOOKUP($E307,OpTbl,10,0),""))</f>
        <v/>
      </c>
      <c r="AL307" s="70">
        <f>IF(OR($E307="",$U307=""),"",IFERROR(IF(VLOOKUP($E307,OpTbl,7,0)="خودکار",$R307,VLOOKUP($E307,OpTbl,7,0)),""))</f>
        <v/>
      </c>
      <c r="AM307" s="70">
        <f>IF(OR($E307="",$X307=""),"",IFERROR(IF(VLOOKUP($E307,OpTbl,9,0)="خودکار",IF($AL307="بدهکار","بستانکار",IF($AL307="بستانکار","بدهکار","")),VLOOKUP($E307,OpTbl,9,0)),""))</f>
        <v/>
      </c>
      <c r="AN307" s="70">
        <f>IF($E307="","",IFERROR(VLOOKUP($E307,OpTbl,11,0),""))</f>
        <v/>
      </c>
      <c r="AO307" s="70">
        <f>IF($B307="","",MID($B307,6,2))</f>
        <v/>
      </c>
      <c r="AP307" s="76">
        <f>IF($B307="",0,1)</f>
        <v/>
      </c>
    </row>
    <row r="308" ht="21.75" customHeight="1">
      <c r="A308" s="70">
        <f>IF($B308="","",COUNTA($B$10:$B308))</f>
        <v/>
      </c>
      <c r="B308" s="71" t="n"/>
      <c r="C308" s="71" t="n"/>
      <c r="D308" s="71" t="n"/>
      <c r="E308" s="71" t="n"/>
      <c r="F308" s="70">
        <f>IF($E308="","",IFERROR(VLOOKUP($E308,OpTbl,2,0),""))</f>
        <v/>
      </c>
      <c r="G308" s="71" t="n"/>
      <c r="H308" s="73">
        <f>IF($U308="","",IFERROR(VLOOKUP($U308,AcctTbl,2,0),"کد ناشناخته"))</f>
        <v/>
      </c>
      <c r="I308" s="70">
        <f>IF($U308="","",IFERROR(VLOOKUP($U308,AcctTbl,3,0),""))</f>
        <v/>
      </c>
      <c r="J308" s="72" t="n"/>
      <c r="K308" s="71" t="n"/>
      <c r="L308" s="74" t="n"/>
      <c r="M308" s="74" t="n"/>
      <c r="N308" s="148">
        <f>IF(OR($E308="",$L308=""),"",IFERROR(($L308-IF($M308="",0,$M308)*IFERROR(VLOOKUP($K308,BasketTbl,4,0),IFERROR(INDEX(BasketTbl,MATCH($K308,BasketCodeCol,0),4),VLOOKUP("P01",ParamTbl,2,0))))*(1-IF(VLOOKUP($E308,OpTbl,3,0)="خرید",VLOOKUP("P02",ParamTbl,2,0),0)/100),""))</f>
        <v/>
      </c>
      <c r="O308" s="74" t="n"/>
      <c r="P308" s="76">
        <f>IF(OR($E308="",$L308=""),"",IFERROR(IF(VLOOKUP($E308,OpTbl,6,0)="وزن",ROUND($N308*$O308,-3),IF(VLOOKUP($E308,OpTbl,6,0)="مبلغ",ROUND($L308*$O308,-3),0)),""))</f>
        <v/>
      </c>
      <c r="Q308" s="74" t="n"/>
      <c r="R308" s="71" t="n"/>
      <c r="S308" s="77">
        <f>IF($E308="","",IF($AI308="⚠","⚠ ناتراز",IF(AND(IFERROR(VLOOKUP($E308,OpTbl,4,0),"")="بله",$L308=""),"⚠ وزن",IF(AND(IFERROR(VLOOKUP($E308,OpTbl,5,0),"")="بله",$U308=""),"⚠ حساب",IF(AND(IFERROR(VLOOKUP($E308,OpTbl,6,0),"")="مبلغ",$Q308=""),"⚠ مبلغ","✓")))))</f>
        <v/>
      </c>
      <c r="T308" s="72" t="n"/>
      <c r="U308" s="70">
        <f>IF($E308="","",IFERROR(IF(VLOOKUP($E308,OpTbl,14,0)&lt;&gt;"",VLOOKUP($E308,OpTbl,14,0),$G308),""))</f>
        <v/>
      </c>
      <c r="V308" s="76">
        <f>IF(OR($AJ308="",$AJ308=0,$AL308&lt;&gt;"بدهکار"),"",$AJ308)</f>
        <v/>
      </c>
      <c r="W308" s="76">
        <f>IF(OR($AJ308="",$AJ308=0,$AL308&lt;&gt;"بستانکار"),"",$AJ308)</f>
        <v/>
      </c>
      <c r="X308" s="70">
        <f>IF($E308="","",IFERROR(VLOOKUP($E308,OpTbl,8,0),""))</f>
        <v/>
      </c>
      <c r="Y308" s="76">
        <f>IF(OR($X308="",$AJ308="",$AJ308=0,$AM308&lt;&gt;"بدهکار"),"",$AJ308)</f>
        <v/>
      </c>
      <c r="Z308" s="76">
        <f>IF(OR($X308="",$AJ308="",$AJ308=0,$AM308&lt;&gt;"بستانکار"),"",$AJ308)</f>
        <v/>
      </c>
      <c r="AA308" s="70">
        <f>IF(OR($E308="",$AN308="—",$AN308=""),"",IFERROR(VLOOKUP($E308,OpTbl,12,0),""))</f>
        <v/>
      </c>
      <c r="AB308" s="76">
        <f>IF(OR($AA308="",$Q308="",$Q308=0,$AN308&lt;&gt;"بدهکار"),"",$Q308)</f>
        <v/>
      </c>
      <c r="AC308" s="76">
        <f>IF(OR($AA308="",$Q308="",$Q308=0,$AN308&lt;&gt;"بستانکار"),"",$Q308)</f>
        <v/>
      </c>
      <c r="AD308" s="70">
        <f>IF($AA308="","",IFERROR(VLOOKUP($E308,OpTbl,13,0),""))</f>
        <v/>
      </c>
      <c r="AE308" s="76">
        <f>IF(OR($AD308="",$Q308="",$Q308=0,$AN308&lt;&gt;"بستانکار"),"",$Q308)</f>
        <v/>
      </c>
      <c r="AF308" s="76">
        <f>IF(OR($AD308="",$Q308="",$Q308=0,$AN308&lt;&gt;"بدهکار"),"",$Q308)</f>
        <v/>
      </c>
      <c r="AG308" s="76">
        <f>SUM($V308,$Y308,$AB308,$AE308)</f>
        <v/>
      </c>
      <c r="AH308" s="76">
        <f>SUM($W308,$Z308,$AC308,$AF308)</f>
        <v/>
      </c>
      <c r="AI308" s="70">
        <f>IF($E308="","",IF(ROUND($AG308-$AH308,0)=0,"✓","⚠"))</f>
        <v/>
      </c>
      <c r="AJ308" s="76">
        <f>IF(OR($E308="",$U308=""),"",IFERROR(IF(VLOOKUP($E308,OpTbl,6,0)="وزن",IF($P308="",0,$P308),IF(VLOOKUP($E308,OpTbl,6,0)="مبلغ",IF(AND($Q308&lt;&gt;"",$Q308&lt;&gt;0),$Q308,$P308),0))+IF(VLOOKUP($E308,OpTbl,10,0)="افزودن",IF($Q308="",0,$Q308),0),0))</f>
        <v/>
      </c>
      <c r="AK308" s="70">
        <f>IF($E308="","",IFERROR(VLOOKUP($E308,OpTbl,10,0),""))</f>
        <v/>
      </c>
      <c r="AL308" s="70">
        <f>IF(OR($E308="",$U308=""),"",IFERROR(IF(VLOOKUP($E308,OpTbl,7,0)="خودکار",$R308,VLOOKUP($E308,OpTbl,7,0)),""))</f>
        <v/>
      </c>
      <c r="AM308" s="70">
        <f>IF(OR($E308="",$X308=""),"",IFERROR(IF(VLOOKUP($E308,OpTbl,9,0)="خودکار",IF($AL308="بدهکار","بستانکار",IF($AL308="بستانکار","بدهکار","")),VLOOKUP($E308,OpTbl,9,0)),""))</f>
        <v/>
      </c>
      <c r="AN308" s="70">
        <f>IF($E308="","",IFERROR(VLOOKUP($E308,OpTbl,11,0),""))</f>
        <v/>
      </c>
      <c r="AO308" s="70">
        <f>IF($B308="","",MID($B308,6,2))</f>
        <v/>
      </c>
      <c r="AP308" s="76">
        <f>IF($B308="",0,1)</f>
        <v/>
      </c>
    </row>
    <row r="309" ht="21.75" customHeight="1">
      <c r="A309" s="70">
        <f>IF($B309="","",COUNTA($B$10:$B309))</f>
        <v/>
      </c>
      <c r="B309" s="71" t="n"/>
      <c r="C309" s="71" t="n"/>
      <c r="D309" s="71" t="n"/>
      <c r="E309" s="71" t="n"/>
      <c r="F309" s="70">
        <f>IF($E309="","",IFERROR(VLOOKUP($E309,OpTbl,2,0),""))</f>
        <v/>
      </c>
      <c r="G309" s="71" t="n"/>
      <c r="H309" s="73">
        <f>IF($U309="","",IFERROR(VLOOKUP($U309,AcctTbl,2,0),"کد ناشناخته"))</f>
        <v/>
      </c>
      <c r="I309" s="70">
        <f>IF($U309="","",IFERROR(VLOOKUP($U309,AcctTbl,3,0),""))</f>
        <v/>
      </c>
      <c r="J309" s="72" t="n"/>
      <c r="K309" s="71" t="n"/>
      <c r="L309" s="74" t="n"/>
      <c r="M309" s="74" t="n"/>
      <c r="N309" s="148">
        <f>IF(OR($E309="",$L309=""),"",IFERROR(($L309-IF($M309="",0,$M309)*IFERROR(VLOOKUP($K309,BasketTbl,4,0),IFERROR(INDEX(BasketTbl,MATCH($K309,BasketCodeCol,0),4),VLOOKUP("P01",ParamTbl,2,0))))*(1-IF(VLOOKUP($E309,OpTbl,3,0)="خرید",VLOOKUP("P02",ParamTbl,2,0),0)/100),""))</f>
        <v/>
      </c>
      <c r="O309" s="74" t="n"/>
      <c r="P309" s="76">
        <f>IF(OR($E309="",$L309=""),"",IFERROR(IF(VLOOKUP($E309,OpTbl,6,0)="وزن",ROUND($N309*$O309,-3),IF(VLOOKUP($E309,OpTbl,6,0)="مبلغ",ROUND($L309*$O309,-3),0)),""))</f>
        <v/>
      </c>
      <c r="Q309" s="74" t="n"/>
      <c r="R309" s="71" t="n"/>
      <c r="S309" s="77">
        <f>IF($E309="","",IF($AI309="⚠","⚠ ناتراز",IF(AND(IFERROR(VLOOKUP($E309,OpTbl,4,0),"")="بله",$L309=""),"⚠ وزن",IF(AND(IFERROR(VLOOKUP($E309,OpTbl,5,0),"")="بله",$U309=""),"⚠ حساب",IF(AND(IFERROR(VLOOKUP($E309,OpTbl,6,0),"")="مبلغ",$Q309=""),"⚠ مبلغ","✓")))))</f>
        <v/>
      </c>
      <c r="T309" s="72" t="n"/>
      <c r="U309" s="70">
        <f>IF($E309="","",IFERROR(IF(VLOOKUP($E309,OpTbl,14,0)&lt;&gt;"",VLOOKUP($E309,OpTbl,14,0),$G309),""))</f>
        <v/>
      </c>
      <c r="V309" s="76">
        <f>IF(OR($AJ309="",$AJ309=0,$AL309&lt;&gt;"بدهکار"),"",$AJ309)</f>
        <v/>
      </c>
      <c r="W309" s="76">
        <f>IF(OR($AJ309="",$AJ309=0,$AL309&lt;&gt;"بستانکار"),"",$AJ309)</f>
        <v/>
      </c>
      <c r="X309" s="70">
        <f>IF($E309="","",IFERROR(VLOOKUP($E309,OpTbl,8,0),""))</f>
        <v/>
      </c>
      <c r="Y309" s="76">
        <f>IF(OR($X309="",$AJ309="",$AJ309=0,$AM309&lt;&gt;"بدهکار"),"",$AJ309)</f>
        <v/>
      </c>
      <c r="Z309" s="76">
        <f>IF(OR($X309="",$AJ309="",$AJ309=0,$AM309&lt;&gt;"بستانکار"),"",$AJ309)</f>
        <v/>
      </c>
      <c r="AA309" s="70">
        <f>IF(OR($E309="",$AN309="—",$AN309=""),"",IFERROR(VLOOKUP($E309,OpTbl,12,0),""))</f>
        <v/>
      </c>
      <c r="AB309" s="76">
        <f>IF(OR($AA309="",$Q309="",$Q309=0,$AN309&lt;&gt;"بدهکار"),"",$Q309)</f>
        <v/>
      </c>
      <c r="AC309" s="76">
        <f>IF(OR($AA309="",$Q309="",$Q309=0,$AN309&lt;&gt;"بستانکار"),"",$Q309)</f>
        <v/>
      </c>
      <c r="AD309" s="70">
        <f>IF($AA309="","",IFERROR(VLOOKUP($E309,OpTbl,13,0),""))</f>
        <v/>
      </c>
      <c r="AE309" s="76">
        <f>IF(OR($AD309="",$Q309="",$Q309=0,$AN309&lt;&gt;"بستانکار"),"",$Q309)</f>
        <v/>
      </c>
      <c r="AF309" s="76">
        <f>IF(OR($AD309="",$Q309="",$Q309=0,$AN309&lt;&gt;"بدهکار"),"",$Q309)</f>
        <v/>
      </c>
      <c r="AG309" s="76">
        <f>SUM($V309,$Y309,$AB309,$AE309)</f>
        <v/>
      </c>
      <c r="AH309" s="76">
        <f>SUM($W309,$Z309,$AC309,$AF309)</f>
        <v/>
      </c>
      <c r="AI309" s="70">
        <f>IF($E309="","",IF(ROUND($AG309-$AH309,0)=0,"✓","⚠"))</f>
        <v/>
      </c>
      <c r="AJ309" s="76">
        <f>IF(OR($E309="",$U309=""),"",IFERROR(IF(VLOOKUP($E309,OpTbl,6,0)="وزن",IF($P309="",0,$P309),IF(VLOOKUP($E309,OpTbl,6,0)="مبلغ",IF(AND($Q309&lt;&gt;"",$Q309&lt;&gt;0),$Q309,$P309),0))+IF(VLOOKUP($E309,OpTbl,10,0)="افزودن",IF($Q309="",0,$Q309),0),0))</f>
        <v/>
      </c>
      <c r="AK309" s="70">
        <f>IF($E309="","",IFERROR(VLOOKUP($E309,OpTbl,10,0),""))</f>
        <v/>
      </c>
      <c r="AL309" s="70">
        <f>IF(OR($E309="",$U309=""),"",IFERROR(IF(VLOOKUP($E309,OpTbl,7,0)="خودکار",$R309,VLOOKUP($E309,OpTbl,7,0)),""))</f>
        <v/>
      </c>
      <c r="AM309" s="70">
        <f>IF(OR($E309="",$X309=""),"",IFERROR(IF(VLOOKUP($E309,OpTbl,9,0)="خودکار",IF($AL309="بدهکار","بستانکار",IF($AL309="بستانکار","بدهکار","")),VLOOKUP($E309,OpTbl,9,0)),""))</f>
        <v/>
      </c>
      <c r="AN309" s="70">
        <f>IF($E309="","",IFERROR(VLOOKUP($E309,OpTbl,11,0),""))</f>
        <v/>
      </c>
      <c r="AO309" s="70">
        <f>IF($B309="","",MID($B309,6,2))</f>
        <v/>
      </c>
      <c r="AP309" s="76">
        <f>IF($B309="",0,1)</f>
        <v/>
      </c>
    </row>
  </sheetData>
  <autoFilter ref="A8:T309"/>
  <mergeCells count="21">
    <mergeCell ref="A5:D5"/>
    <mergeCell ref="P1:T1"/>
    <mergeCell ref="J7:O7"/>
    <mergeCell ref="I6:L6"/>
    <mergeCell ref="E5:H5"/>
    <mergeCell ref="M5:P5"/>
    <mergeCell ref="A6:D6"/>
    <mergeCell ref="P7:Q7"/>
    <mergeCell ref="A3:T3"/>
    <mergeCell ref="A2:T2"/>
    <mergeCell ref="Q5:T5"/>
    <mergeCell ref="B7:D7"/>
    <mergeCell ref="E7:F7"/>
    <mergeCell ref="G4:T4"/>
    <mergeCell ref="E6:H6"/>
    <mergeCell ref="A1:O1"/>
    <mergeCell ref="M6:P6"/>
    <mergeCell ref="Q6:T6"/>
    <mergeCell ref="R7:T7"/>
    <mergeCell ref="G7:I7"/>
    <mergeCell ref="I5:L5"/>
  </mergeCells>
  <conditionalFormatting sqref="A10:T309">
    <cfRule type="expression" priority="1" dxfId="0">
      <formula>LEFT($E10,6)="خرید"</formula>
    </cfRule>
    <cfRule type="expression" priority="2" dxfId="1">
      <formula>LEFT($E10,4)="فروش"</formula>
    </cfRule>
    <cfRule type="expression" priority="3" dxfId="2">
      <formula>LEFT($E10,6)="آبگیری"</formula>
    </cfRule>
    <cfRule type="expression" priority="4" dxfId="3">
      <formula>LEFT($E10,5)="انعام"</formula>
    </cfRule>
    <cfRule type="expression" priority="5" dxfId="4">
      <formula>LEFT($E10,8)="باسکول"</formula>
    </cfRule>
    <cfRule type="expression" priority="6" dxfId="5">
      <formula>LEFT($E10,8)="مرجوعی"</formula>
    </cfRule>
    <cfRule type="expression" priority="7" dxfId="6">
      <formula>LEFT($E10,7)="درآمد"</formula>
    </cfRule>
    <cfRule type="expression" priority="8" dxfId="7">
      <formula>LEFT($E10,7)="ضایعات"</formula>
    </cfRule>
    <cfRule type="expression" priority="9" dxfId="8">
      <formula>LEFT($E10,7)="انتقال"</formula>
    </cfRule>
  </conditionalFormatting>
  <conditionalFormatting sqref="S10:S309">
    <cfRule type="expression" priority="10" dxfId="9">
      <formula>LEFT($S10,1)="⚠"</formula>
    </cfRule>
    <cfRule type="expression" priority="11" dxfId="10">
      <formula>$S10="✓"</formula>
    </cfRule>
  </conditionalFormatting>
  <conditionalFormatting sqref="N10:N309">
    <cfRule type="cellIs" priority="12" operator="lessThan" dxfId="11">
      <formula>0</formula>
    </cfRule>
  </conditionalFormatting>
  <dataValidations count="11">
    <dataValidation sqref="B10:B309" showDropDown="0" showInputMessage="1" showErrorMessage="1" allowBlank="1" errorTitle="قالب تاریخ" error="تاریخ شمسی مثل 1405/07/10 بنویسید." type="custom" errorStyle="warning">
      <formula1>OR($B10="",AND(LEN($B10)=10,MID($B10,5,1)="/",MID($B10,8,1)="/",ISNUMBER(VALUE(LEFT($B10,4))),ISNUMBER(VALUE(MID($B10,6,2))),ISNUMBER(VALUE(RIGHT($B10,2)))))</formula1>
    </dataValidation>
    <dataValidation sqref="C10:C309" showDropDown="0" showInputMessage="1" showErrorMessage="1" allowBlank="1" errorTitle="قالب ساعت" error="ساعت را مثل 09:30 بنویسید." type="custom" errorStyle="warning">
      <formula1>OR($C10="",AND(ISNUMBER($C10),$C10&gt;=0,$C10&lt;1),AND(LEN($C10)=5,MID($C10,3,1)=":",ISNUMBER(VALUE(LEFT($C10,2))),ISNUMBER(VALUE(RIGHT($C10,2)))))</formula1>
    </dataValidation>
    <dataValidation sqref="E10:E309" showDropDown="0" showInputMessage="1" showErrorMessage="1" allowBlank="1" errorTitle="عملیات" error="از کشوی عملیات باسکول انتخاب کنید (INFO/Ops)." type="list">
      <formula1>ListBaskolOps</formula1>
    </dataValidation>
    <dataValidation sqref="G10:G309" showDropDown="0" showInputMessage="1" showErrorMessage="1" allowBlank="1" errorTitle="کد حساب" error="کد را از INFO/Accounts بردارید." type="list" errorStyle="warning">
      <formula1>ListAllCodes</formula1>
    </dataValidation>
    <dataValidation sqref="J10:J309" showDropDown="0" showInputMessage="1" showErrorMessage="1" allowBlank="1" type="list">
      <formula1>ListProducts</formula1>
    </dataValidation>
    <dataValidation sqref="K10:K309" showDropDown="0" showInputMessage="1" showErrorMessage="1" allowBlank="1" type="list">
      <formula1>ListBaskets</formula1>
    </dataValidation>
    <dataValidation sqref="L10:L309" showDropDown="0" showInputMessage="1" showErrorMessage="1" allowBlank="1" type="decimal" operator="greaterThanOrEqual">
      <formula1>0</formula1>
    </dataValidation>
    <dataValidation sqref="M10:M309" showDropDown="0" showInputMessage="1" showErrorMessage="1" allowBlank="1" type="whole" operator="greaterThanOrEqual">
      <formula1>0</formula1>
    </dataValidation>
    <dataValidation sqref="O10:O309" showDropDown="0" showInputMessage="1" showErrorMessage="1" allowBlank="1" type="decimal" operator="greaterThanOrEqual">
      <formula1>0</formula1>
    </dataValidation>
    <dataValidation sqref="Q10:Q309" showDropDown="0" showInputMessage="1" showErrorMessage="1" allowBlank="1" type="decimal" operator="greaterThanOrEqual">
      <formula1>0</formula1>
    </dataValidation>
    <dataValidation sqref="R10:R309" showDropDown="0" showInputMessage="1" showErrorMessage="1" allowBlank="1" type="list">
      <formula1>ListSides</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6B4E9E"/>
    <outlinePr summaryBelow="1" summaryRight="1"/>
    <pageSetUpPr fitToPage="1"/>
  </sheetPr>
  <dimension ref="A1:V1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12.7109375" customWidth="1" min="3" max="3"/>
    <col width="20.7109375" customWidth="1" min="4" max="4"/>
    <col width="12.7109375" customWidth="1" min="5" max="5"/>
    <col width="22.7109375" customWidth="1" min="6" max="6"/>
    <col width="15.7109375" customWidth="1" min="7" max="7"/>
    <col width="14.7109375" customWidth="1" min="8" max="8"/>
    <col width="8.7109375" customWidth="1" min="9" max="9"/>
    <col width="13.7109375" customWidth="1" min="10" max="10"/>
    <col width="15.7109375" customWidth="1" min="11" max="11"/>
    <col width="9.7109375" customWidth="1" min="12" max="12"/>
    <col width="26.7109375" customWidth="1" min="13" max="13"/>
    <col hidden="1" width="8.7109375" customWidth="1" min="14" max="22"/>
  </cols>
  <sheetData>
    <row r="1" ht="20.25" customHeight="1">
      <c r="A1" s="142" t="inlineStr">
        <is>
          <t>مازندشت — سورتینگ و بسته‌بندی مرکبات</t>
        </is>
      </c>
      <c r="I1" s="143" t="inlineStr">
        <is>
          <t>MAZANDASHT  ·  CITRUS SORTING &amp; PACKING</t>
        </is>
      </c>
    </row>
    <row r="2" ht="38.25" customHeight="1">
      <c r="A2" s="144" t="inlineStr">
        <is>
          <t>ثبت سبد — خرید، فروش و مرجوعی</t>
        </is>
      </c>
    </row>
    <row r="3" ht="45.75" customHeight="1">
      <c r="A3" s="145" t="inlineStr">
        <is>
          <t>هر ردیف یک حرکت سبد است  ·  موجودی سبد در شیت خلاصه خودکار محاسبه می‌شود</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ردیف‌ها</t>
        </is>
      </c>
      <c r="B5" s="147" t="n"/>
      <c r="C5" s="129" t="n"/>
      <c r="D5" s="5" t="inlineStr">
        <is>
          <t>خرید سبد (عدد)</t>
        </is>
      </c>
      <c r="E5" s="147" t="n"/>
      <c r="F5" s="129" t="n"/>
      <c r="G5" s="5" t="inlineStr">
        <is>
          <t>فروش سبد (عدد)</t>
        </is>
      </c>
      <c r="H5" s="147" t="n"/>
      <c r="I5" s="129" t="n"/>
      <c r="J5" s="5" t="inlineStr">
        <is>
          <t>مبلغ خرید</t>
        </is>
      </c>
      <c r="K5" s="147" t="n"/>
      <c r="L5" s="129" t="n"/>
      <c r="M5" s="5" t="inlineStr">
        <is>
          <t>مبلغ فروش</t>
        </is>
      </c>
    </row>
    <row r="6" ht="33" customHeight="1">
      <c r="A6" s="56">
        <f>COUNTA($B$10:$B$159)</f>
        <v/>
      </c>
      <c r="B6" s="135" t="n"/>
      <c r="C6" s="130" t="n"/>
      <c r="D6" s="57">
        <f>SUMIF($D$10:$D$159,"خرید سبد",$I$10:$I$159)</f>
        <v/>
      </c>
      <c r="E6" s="135" t="n"/>
      <c r="F6" s="130" t="n"/>
      <c r="G6" s="58">
        <f>SUMIF($D$10:$D$159,"فروش سبد",$I$10:$I$159)</f>
        <v/>
      </c>
      <c r="H6" s="135" t="n"/>
      <c r="I6" s="130" t="n"/>
      <c r="J6" s="59">
        <f>SUMIF($D$10:$D$159,"خرید سبد",$K$10:$K$159)</f>
        <v/>
      </c>
      <c r="K6" s="135" t="n"/>
      <c r="L6" s="130" t="n"/>
      <c r="M6" s="78">
        <f>SUMIF($D$10:$D$159,"فروش سبد",$K$10:$K$159)</f>
        <v/>
      </c>
    </row>
    <row r="7" ht="20.25" customHeight="1">
      <c r="A7" s="61" t="inlineStr">
        <is>
          <t>شناسه</t>
        </is>
      </c>
      <c r="B7" s="133" t="n"/>
      <c r="C7" s="134" t="n"/>
      <c r="D7" s="63" t="inlineStr">
        <is>
          <t>عملیات و طرف</t>
        </is>
      </c>
      <c r="E7" s="133" t="n"/>
      <c r="F7" s="133" t="n"/>
      <c r="G7" s="133" t="n"/>
      <c r="H7" s="134" t="n"/>
      <c r="I7" s="65" t="inlineStr">
        <is>
          <t>مقدار و مبلغ</t>
        </is>
      </c>
      <c r="J7" s="133" t="n"/>
      <c r="K7" s="134" t="n"/>
      <c r="L7" s="67" t="inlineStr">
        <is>
          <t>وضعیت</t>
        </is>
      </c>
      <c r="M7" s="134" t="n"/>
    </row>
    <row r="8" ht="33.75" customHeight="1">
      <c r="A8" s="68" t="inlineStr">
        <is>
          <t>ردیف</t>
        </is>
      </c>
      <c r="B8" s="68" t="inlineStr">
        <is>
          <t>تاریخ</t>
        </is>
      </c>
      <c r="C8" s="68" t="inlineStr">
        <is>
          <t>شماره سند</t>
        </is>
      </c>
      <c r="D8" s="68" t="inlineStr">
        <is>
          <t>نوع عملیات</t>
        </is>
      </c>
      <c r="E8" s="68" t="inlineStr">
        <is>
          <t>کد طرف حساب</t>
        </is>
      </c>
      <c r="F8" s="68" t="inlineStr">
        <is>
          <t>نام حساب</t>
        </is>
      </c>
      <c r="G8" s="68" t="inlineStr">
        <is>
          <t>گروه</t>
        </is>
      </c>
      <c r="H8" s="68" t="inlineStr">
        <is>
          <t>نوع سبد</t>
        </is>
      </c>
      <c r="I8" s="68" t="inlineStr">
        <is>
          <t>تعداد</t>
        </is>
      </c>
      <c r="J8" s="68" t="inlineStr">
        <is>
          <t>فی / قیمت واحد</t>
        </is>
      </c>
      <c r="K8" s="68" t="inlineStr">
        <is>
          <t>مبلغ</t>
        </is>
      </c>
      <c r="L8" s="68" t="inlineStr">
        <is>
          <t>وضعیت</t>
        </is>
      </c>
      <c r="M8" s="68" t="inlineStr">
        <is>
          <t>توضیحات</t>
        </is>
      </c>
    </row>
    <row r="9">
      <c r="A9" s="69" t="inlineStr">
        <is>
          <t>No.</t>
        </is>
      </c>
      <c r="B9" s="69" t="inlineStr">
        <is>
          <t>Date</t>
        </is>
      </c>
      <c r="C9" s="69" t="inlineStr">
        <is>
          <t>Doc</t>
        </is>
      </c>
      <c r="D9" s="69" t="inlineStr">
        <is>
          <t>Operation</t>
        </is>
      </c>
      <c r="E9" s="69" t="inlineStr">
        <is>
          <t>Account</t>
        </is>
      </c>
      <c r="F9" s="69" t="inlineStr">
        <is>
          <t>Account Name</t>
        </is>
      </c>
      <c r="G9" s="69" t="inlineStr">
        <is>
          <t>Group</t>
        </is>
      </c>
      <c r="H9" s="69" t="inlineStr">
        <is>
          <t>Basket</t>
        </is>
      </c>
      <c r="I9" s="69" t="inlineStr">
        <is>
          <t>Qty</t>
        </is>
      </c>
      <c r="J9" s="69" t="inlineStr">
        <is>
          <t>Unit Price</t>
        </is>
      </c>
      <c r="K9" s="69" t="inlineStr">
        <is>
          <t>Amount</t>
        </is>
      </c>
      <c r="L9" s="69" t="inlineStr">
        <is>
          <t>Status</t>
        </is>
      </c>
      <c r="M9" s="69" t="inlineStr">
        <is>
          <t>Notes</t>
        </is>
      </c>
    </row>
    <row r="10" ht="21.75" customHeight="1">
      <c r="A10" s="70">
        <f>IF($B10="","",COUNTA($B$10:$B10))</f>
        <v/>
      </c>
      <c r="B10" s="71" t="inlineStr">
        <is>
          <t>1405/07/01</t>
        </is>
      </c>
      <c r="C10" s="71" t="inlineStr">
        <is>
          <t>BK-001</t>
        </is>
      </c>
      <c r="D10" s="72" t="inlineStr">
        <is>
          <t>خرید سبد</t>
        </is>
      </c>
      <c r="E10" s="71" t="inlineStr">
        <is>
          <t>S001</t>
        </is>
      </c>
      <c r="F10" s="73">
        <f>IF($E10="","",IFERROR(VLOOKUP($E10,AcctTbl,2,0),"کد ناشناخته"))</f>
        <v/>
      </c>
      <c r="G10" s="70">
        <f>IF($E10="","",IFERROR(VLOOKUP($E10,AcctTbl,3,0),""))</f>
        <v/>
      </c>
      <c r="H10" s="71" t="inlineStr">
        <is>
          <t>BK01 – ۶ک مشکی</t>
        </is>
      </c>
      <c r="I10" s="74" t="n">
        <v>500</v>
      </c>
      <c r="J10" s="74" t="n">
        <v>45000</v>
      </c>
      <c r="K10" s="76">
        <f>IF(OR($I10="",$J10=""),0,ROUND($I10*$J10,-3))</f>
        <v/>
      </c>
      <c r="L10" s="77">
        <f>IF($D10="","",IF($U10="⚠","⚠ ناتراز",IF($E10="","⚠ حساب","✓")))</f>
        <v/>
      </c>
      <c r="M10" s="72" t="n"/>
      <c r="N10" s="76">
        <f>IF(OR($E10="",$K10=0),0,IF(IFERROR(VLOOKUP($D10,OpTbl,7,0),"")="بدهکار",$K10,0))</f>
        <v/>
      </c>
      <c r="O10" s="76">
        <f>IF(OR($E10="",$K10=0),0,IF(IFERROR(VLOOKUP($D10,OpTbl,7,0),"")="بستانکار",$K10,0))</f>
        <v/>
      </c>
      <c r="P10" s="70">
        <f>IF($D10="","",IFERROR(VLOOKUP($D10,OpTbl,8,0),""))</f>
        <v/>
      </c>
      <c r="Q10" s="76">
        <f>IF(OR($P10="",$K10=0),0,IF(IFERROR(VLOOKUP($D10,OpTbl,9,0),"")="بدهکار",$K10,0))</f>
        <v/>
      </c>
      <c r="R10" s="76">
        <f>IF(OR($P10="",$K10=0),0,IF(IFERROR(VLOOKUP($D10,OpTbl,9,0),"")="بستانکار",$K10,0))</f>
        <v/>
      </c>
      <c r="S10" s="76">
        <f>SUM($N10,$Q10)</f>
        <v/>
      </c>
      <c r="T10" s="76">
        <f>SUM($O10,$R10)</f>
        <v/>
      </c>
      <c r="U10" s="70">
        <f>IF($D10="","",IF(ROUND($S10-$T10,0)=0,"✓","⚠"))</f>
        <v/>
      </c>
      <c r="V10" s="76">
        <f>IF($E10="","",$K10)</f>
        <v/>
      </c>
    </row>
    <row r="11" ht="21.75" customHeight="1">
      <c r="A11" s="70">
        <f>IF($B11="","",COUNTA($B$10:$B11))</f>
        <v/>
      </c>
      <c r="B11" s="71" t="inlineStr">
        <is>
          <t>1405/07/02</t>
        </is>
      </c>
      <c r="C11" s="71" t="inlineStr">
        <is>
          <t>BK-002</t>
        </is>
      </c>
      <c r="D11" s="72" t="inlineStr">
        <is>
          <t>خرید سبد</t>
        </is>
      </c>
      <c r="E11" s="71" t="inlineStr">
        <is>
          <t>S002</t>
        </is>
      </c>
      <c r="F11" s="73">
        <f>IF($E11="","",IFERROR(VLOOKUP($E11,AcctTbl,2,0),"کد ناشناخته"))</f>
        <v/>
      </c>
      <c r="G11" s="70">
        <f>IF($E11="","",IFERROR(VLOOKUP($E11,AcctTbl,3,0),""))</f>
        <v/>
      </c>
      <c r="H11" s="71" t="inlineStr">
        <is>
          <t>BK03 – ۹ک مشکی</t>
        </is>
      </c>
      <c r="I11" s="74" t="n">
        <v>300</v>
      </c>
      <c r="J11" s="74" t="n">
        <v>62000</v>
      </c>
      <c r="K11" s="76">
        <f>IF(OR($I11="",$J11=""),0,ROUND($I11*$J11,-3))</f>
        <v/>
      </c>
      <c r="L11" s="77">
        <f>IF($D11="","",IF($U11="⚠","⚠ ناتراز",IF($E11="","⚠ حساب","✓")))</f>
        <v/>
      </c>
      <c r="M11" s="72" t="n"/>
      <c r="N11" s="76">
        <f>IF(OR($E11="",$K11=0),0,IF(IFERROR(VLOOKUP($D11,OpTbl,7,0),"")="بدهکار",$K11,0))</f>
        <v/>
      </c>
      <c r="O11" s="76">
        <f>IF(OR($E11="",$K11=0),0,IF(IFERROR(VLOOKUP($D11,OpTbl,7,0),"")="بستانکار",$K11,0))</f>
        <v/>
      </c>
      <c r="P11" s="70">
        <f>IF($D11="","",IFERROR(VLOOKUP($D11,OpTbl,8,0),""))</f>
        <v/>
      </c>
      <c r="Q11" s="76">
        <f>IF(OR($P11="",$K11=0),0,IF(IFERROR(VLOOKUP($D11,OpTbl,9,0),"")="بدهکار",$K11,0))</f>
        <v/>
      </c>
      <c r="R11" s="76">
        <f>IF(OR($P11="",$K11=0),0,IF(IFERROR(VLOOKUP($D11,OpTbl,9,0),"")="بستانکار",$K11,0))</f>
        <v/>
      </c>
      <c r="S11" s="76">
        <f>SUM($N11,$Q11)</f>
        <v/>
      </c>
      <c r="T11" s="76">
        <f>SUM($O11,$R11)</f>
        <v/>
      </c>
      <c r="U11" s="70">
        <f>IF($D11="","",IF(ROUND($S11-$T11,0)=0,"✓","⚠"))</f>
        <v/>
      </c>
      <c r="V11" s="76">
        <f>IF($E11="","",$K11)</f>
        <v/>
      </c>
    </row>
    <row r="12" ht="21.75" customHeight="1">
      <c r="A12" s="70">
        <f>IF($B12="","",COUNTA($B$10:$B12))</f>
        <v/>
      </c>
      <c r="B12" s="71" t="inlineStr">
        <is>
          <t>1405/07/04</t>
        </is>
      </c>
      <c r="C12" s="71" t="inlineStr">
        <is>
          <t>BK-003</t>
        </is>
      </c>
      <c r="D12" s="72" t="inlineStr">
        <is>
          <t>فروش سبد</t>
        </is>
      </c>
      <c r="E12" s="71" t="inlineStr">
        <is>
          <t>C003</t>
        </is>
      </c>
      <c r="F12" s="73">
        <f>IF($E12="","",IFERROR(VLOOKUP($E12,AcctTbl,2,0),"کد ناشناخته"))</f>
        <v/>
      </c>
      <c r="G12" s="70">
        <f>IF($E12="","",IFERROR(VLOOKUP($E12,AcctTbl,3,0),""))</f>
        <v/>
      </c>
      <c r="H12" s="71" t="inlineStr">
        <is>
          <t>BK01 – ۶ک مشکی</t>
        </is>
      </c>
      <c r="I12" s="74" t="n">
        <v>150</v>
      </c>
      <c r="J12" s="74" t="n">
        <v>58000</v>
      </c>
      <c r="K12" s="76">
        <f>IF(OR($I12="",$J12=""),0,ROUND($I12*$J12,-3))</f>
        <v/>
      </c>
      <c r="L12" s="77">
        <f>IF($D12="","",IF($U12="⚠","⚠ ناتراز",IF($E12="","⚠ حساب","✓")))</f>
        <v/>
      </c>
      <c r="M12" s="72" t="n"/>
      <c r="N12" s="76">
        <f>IF(OR($E12="",$K12=0),0,IF(IFERROR(VLOOKUP($D12,OpTbl,7,0),"")="بدهکار",$K12,0))</f>
        <v/>
      </c>
      <c r="O12" s="76">
        <f>IF(OR($E12="",$K12=0),0,IF(IFERROR(VLOOKUP($D12,OpTbl,7,0),"")="بستانکار",$K12,0))</f>
        <v/>
      </c>
      <c r="P12" s="70">
        <f>IF($D12="","",IFERROR(VLOOKUP($D12,OpTbl,8,0),""))</f>
        <v/>
      </c>
      <c r="Q12" s="76">
        <f>IF(OR($P12="",$K12=0),0,IF(IFERROR(VLOOKUP($D12,OpTbl,9,0),"")="بدهکار",$K12,0))</f>
        <v/>
      </c>
      <c r="R12" s="76">
        <f>IF(OR($P12="",$K12=0),0,IF(IFERROR(VLOOKUP($D12,OpTbl,9,0),"")="بستانکار",$K12,0))</f>
        <v/>
      </c>
      <c r="S12" s="76">
        <f>SUM($N12,$Q12)</f>
        <v/>
      </c>
      <c r="T12" s="76">
        <f>SUM($O12,$R12)</f>
        <v/>
      </c>
      <c r="U12" s="70">
        <f>IF($D12="","",IF(ROUND($S12-$T12,0)=0,"✓","⚠"))</f>
        <v/>
      </c>
      <c r="V12" s="76">
        <f>IF($E12="","",$K12)</f>
        <v/>
      </c>
    </row>
    <row r="13" ht="21.75" customHeight="1">
      <c r="A13" s="70">
        <f>IF($B13="","",COUNTA($B$10:$B13))</f>
        <v/>
      </c>
      <c r="B13" s="71" t="inlineStr">
        <is>
          <t>1405/07/06</t>
        </is>
      </c>
      <c r="C13" s="71" t="inlineStr">
        <is>
          <t>BK-004</t>
        </is>
      </c>
      <c r="D13" s="72" t="inlineStr">
        <is>
          <t>فروش سبد</t>
        </is>
      </c>
      <c r="E13" s="71" t="inlineStr">
        <is>
          <t>C006</t>
        </is>
      </c>
      <c r="F13" s="73">
        <f>IF($E13="","",IFERROR(VLOOKUP($E13,AcctTbl,2,0),"کد ناشناخته"))</f>
        <v/>
      </c>
      <c r="G13" s="70">
        <f>IF($E13="","",IFERROR(VLOOKUP($E13,AcctTbl,3,0),""))</f>
        <v/>
      </c>
      <c r="H13" s="71" t="inlineStr">
        <is>
          <t>BK03 – ۹ک مشکی</t>
        </is>
      </c>
      <c r="I13" s="74" t="n">
        <v>80</v>
      </c>
      <c r="J13" s="74" t="n">
        <v>80000</v>
      </c>
      <c r="K13" s="76">
        <f>IF(OR($I13="",$J13=""),0,ROUND($I13*$J13,-3))</f>
        <v/>
      </c>
      <c r="L13" s="77">
        <f>IF($D13="","",IF($U13="⚠","⚠ ناتراز",IF($E13="","⚠ حساب","✓")))</f>
        <v/>
      </c>
      <c r="M13" s="72" t="n"/>
      <c r="N13" s="76">
        <f>IF(OR($E13="",$K13=0),0,IF(IFERROR(VLOOKUP($D13,OpTbl,7,0),"")="بدهکار",$K13,0))</f>
        <v/>
      </c>
      <c r="O13" s="76">
        <f>IF(OR($E13="",$K13=0),0,IF(IFERROR(VLOOKUP($D13,OpTbl,7,0),"")="بستانکار",$K13,0))</f>
        <v/>
      </c>
      <c r="P13" s="70">
        <f>IF($D13="","",IFERROR(VLOOKUP($D13,OpTbl,8,0),""))</f>
        <v/>
      </c>
      <c r="Q13" s="76">
        <f>IF(OR($P13="",$K13=0),0,IF(IFERROR(VLOOKUP($D13,OpTbl,9,0),"")="بدهکار",$K13,0))</f>
        <v/>
      </c>
      <c r="R13" s="76">
        <f>IF(OR($P13="",$K13=0),0,IF(IFERROR(VLOOKUP($D13,OpTbl,9,0),"")="بستانکار",$K13,0))</f>
        <v/>
      </c>
      <c r="S13" s="76">
        <f>SUM($N13,$Q13)</f>
        <v/>
      </c>
      <c r="T13" s="76">
        <f>SUM($O13,$R13)</f>
        <v/>
      </c>
      <c r="U13" s="70">
        <f>IF($D13="","",IF(ROUND($S13-$T13,0)=0,"✓","⚠"))</f>
        <v/>
      </c>
      <c r="V13" s="76">
        <f>IF($E13="","",$K13)</f>
        <v/>
      </c>
    </row>
    <row r="14" ht="21.75" customHeight="1">
      <c r="A14" s="70">
        <f>IF($B14="","",COUNTA($B$10:$B14))</f>
        <v/>
      </c>
      <c r="B14" s="71" t="inlineStr">
        <is>
          <t>1405/07/08</t>
        </is>
      </c>
      <c r="C14" s="71" t="inlineStr">
        <is>
          <t>BK-005</t>
        </is>
      </c>
      <c r="D14" s="72" t="inlineStr">
        <is>
          <t>خرید سبد</t>
        </is>
      </c>
      <c r="E14" s="71" t="inlineStr">
        <is>
          <t>S003</t>
        </is>
      </c>
      <c r="F14" s="73">
        <f>IF($E14="","",IFERROR(VLOOKUP($E14,AcctTbl,2,0),"کد ناشناخته"))</f>
        <v/>
      </c>
      <c r="G14" s="70">
        <f>IF($E14="","",IFERROR(VLOOKUP($E14,AcctTbl,3,0),""))</f>
        <v/>
      </c>
      <c r="H14" s="71" t="inlineStr">
        <is>
          <t>BK07 – ۸ک مشکی</t>
        </is>
      </c>
      <c r="I14" s="74" t="n">
        <v>200</v>
      </c>
      <c r="J14" s="74" t="n">
        <v>58000</v>
      </c>
      <c r="K14" s="76">
        <f>IF(OR($I14="",$J14=""),0,ROUND($I14*$J14,-3))</f>
        <v/>
      </c>
      <c r="L14" s="77">
        <f>IF($D14="","",IF($U14="⚠","⚠ ناتراز",IF($E14="","⚠ حساب","✓")))</f>
        <v/>
      </c>
      <c r="M14" s="72" t="n"/>
      <c r="N14" s="76">
        <f>IF(OR($E14="",$K14=0),0,IF(IFERROR(VLOOKUP($D14,OpTbl,7,0),"")="بدهکار",$K14,0))</f>
        <v/>
      </c>
      <c r="O14" s="76">
        <f>IF(OR($E14="",$K14=0),0,IF(IFERROR(VLOOKUP($D14,OpTbl,7,0),"")="بستانکار",$K14,0))</f>
        <v/>
      </c>
      <c r="P14" s="70">
        <f>IF($D14="","",IFERROR(VLOOKUP($D14,OpTbl,8,0),""))</f>
        <v/>
      </c>
      <c r="Q14" s="76">
        <f>IF(OR($P14="",$K14=0),0,IF(IFERROR(VLOOKUP($D14,OpTbl,9,0),"")="بدهکار",$K14,0))</f>
        <v/>
      </c>
      <c r="R14" s="76">
        <f>IF(OR($P14="",$K14=0),0,IF(IFERROR(VLOOKUP($D14,OpTbl,9,0),"")="بستانکار",$K14,0))</f>
        <v/>
      </c>
      <c r="S14" s="76">
        <f>SUM($N14,$Q14)</f>
        <v/>
      </c>
      <c r="T14" s="76">
        <f>SUM($O14,$R14)</f>
        <v/>
      </c>
      <c r="U14" s="70">
        <f>IF($D14="","",IF(ROUND($S14-$T14,0)=0,"✓","⚠"))</f>
        <v/>
      </c>
      <c r="V14" s="76">
        <f>IF($E14="","",$K14)</f>
        <v/>
      </c>
    </row>
    <row r="15" ht="21.75" customHeight="1">
      <c r="A15" s="70">
        <f>IF($B15="","",COUNTA($B$10:$B15))</f>
        <v/>
      </c>
      <c r="B15" s="71" t="inlineStr">
        <is>
          <t>1405/07/10</t>
        </is>
      </c>
      <c r="C15" s="71" t="inlineStr">
        <is>
          <t>BK-006</t>
        </is>
      </c>
      <c r="D15" s="72" t="inlineStr">
        <is>
          <t>مرجوعی خرید سبد</t>
        </is>
      </c>
      <c r="E15" s="71" t="inlineStr">
        <is>
          <t>S001</t>
        </is>
      </c>
      <c r="F15" s="73">
        <f>IF($E15="","",IFERROR(VLOOKUP($E15,AcctTbl,2,0),"کد ناشناخته"))</f>
        <v/>
      </c>
      <c r="G15" s="70">
        <f>IF($E15="","",IFERROR(VLOOKUP($E15,AcctTbl,3,0),""))</f>
        <v/>
      </c>
      <c r="H15" s="71" t="inlineStr">
        <is>
          <t>BK01 – ۶ک مشکی</t>
        </is>
      </c>
      <c r="I15" s="74" t="n">
        <v>20</v>
      </c>
      <c r="J15" s="74" t="n">
        <v>45000</v>
      </c>
      <c r="K15" s="76">
        <f>IF(OR($I15="",$J15=""),0,ROUND($I15*$J15,-3))</f>
        <v/>
      </c>
      <c r="L15" s="77">
        <f>IF($D15="","",IF($U15="⚠","⚠ ناتراز",IF($E15="","⚠ حساب","✓")))</f>
        <v/>
      </c>
      <c r="M15" s="72" t="inlineStr">
        <is>
          <t>سبد سالم</t>
        </is>
      </c>
      <c r="N15" s="76">
        <f>IF(OR($E15="",$K15=0),0,IF(IFERROR(VLOOKUP($D15,OpTbl,7,0),"")="بدهکار",$K15,0))</f>
        <v/>
      </c>
      <c r="O15" s="76">
        <f>IF(OR($E15="",$K15=0),0,IF(IFERROR(VLOOKUP($D15,OpTbl,7,0),"")="بستانکار",$K15,0))</f>
        <v/>
      </c>
      <c r="P15" s="70">
        <f>IF($D15="","",IFERROR(VLOOKUP($D15,OpTbl,8,0),""))</f>
        <v/>
      </c>
      <c r="Q15" s="76">
        <f>IF(OR($P15="",$K15=0),0,IF(IFERROR(VLOOKUP($D15,OpTbl,9,0),"")="بدهکار",$K15,0))</f>
        <v/>
      </c>
      <c r="R15" s="76">
        <f>IF(OR($P15="",$K15=0),0,IF(IFERROR(VLOOKUP($D15,OpTbl,9,0),"")="بستانکار",$K15,0))</f>
        <v/>
      </c>
      <c r="S15" s="76">
        <f>SUM($N15,$Q15)</f>
        <v/>
      </c>
      <c r="T15" s="76">
        <f>SUM($O15,$R15)</f>
        <v/>
      </c>
      <c r="U15" s="70">
        <f>IF($D15="","",IF(ROUND($S15-$T15,0)=0,"✓","⚠"))</f>
        <v/>
      </c>
      <c r="V15" s="76">
        <f>IF($E15="","",$K15)</f>
        <v/>
      </c>
    </row>
    <row r="16" ht="21.75" customHeight="1">
      <c r="A16" s="70">
        <f>IF($B16="","",COUNTA($B$10:$B16))</f>
        <v/>
      </c>
      <c r="B16" s="71" t="inlineStr">
        <is>
          <t>1405/07/12</t>
        </is>
      </c>
      <c r="C16" s="71" t="inlineStr">
        <is>
          <t>BK-007</t>
        </is>
      </c>
      <c r="D16" s="72" t="inlineStr">
        <is>
          <t>فروش سبد</t>
        </is>
      </c>
      <c r="E16" s="71" t="inlineStr">
        <is>
          <t>C001</t>
        </is>
      </c>
      <c r="F16" s="73">
        <f>IF($E16="","",IFERROR(VLOOKUP($E16,AcctTbl,2,0),"کد ناشناخته"))</f>
        <v/>
      </c>
      <c r="G16" s="70">
        <f>IF($E16="","",IFERROR(VLOOKUP($E16,AcctTbl,3,0),""))</f>
        <v/>
      </c>
      <c r="H16" s="71" t="inlineStr">
        <is>
          <t>BK03 – ۹ک مشکی</t>
        </is>
      </c>
      <c r="I16" s="74" t="n">
        <v>60</v>
      </c>
      <c r="J16" s="74" t="n">
        <v>82000</v>
      </c>
      <c r="K16" s="76">
        <f>IF(OR($I16="",$J16=""),0,ROUND($I16*$J16,-3))</f>
        <v/>
      </c>
      <c r="L16" s="77">
        <f>IF($D16="","",IF($U16="⚠","⚠ ناتراز",IF($E16="","⚠ حساب","✓")))</f>
        <v/>
      </c>
      <c r="M16" s="72" t="n"/>
      <c r="N16" s="76">
        <f>IF(OR($E16="",$K16=0),0,IF(IFERROR(VLOOKUP($D16,OpTbl,7,0),"")="بدهکار",$K16,0))</f>
        <v/>
      </c>
      <c r="O16" s="76">
        <f>IF(OR($E16="",$K16=0),0,IF(IFERROR(VLOOKUP($D16,OpTbl,7,0),"")="بستانکار",$K16,0))</f>
        <v/>
      </c>
      <c r="P16" s="70">
        <f>IF($D16="","",IFERROR(VLOOKUP($D16,OpTbl,8,0),""))</f>
        <v/>
      </c>
      <c r="Q16" s="76">
        <f>IF(OR($P16="",$K16=0),0,IF(IFERROR(VLOOKUP($D16,OpTbl,9,0),"")="بدهکار",$K16,0))</f>
        <v/>
      </c>
      <c r="R16" s="76">
        <f>IF(OR($P16="",$K16=0),0,IF(IFERROR(VLOOKUP($D16,OpTbl,9,0),"")="بستانکار",$K16,0))</f>
        <v/>
      </c>
      <c r="S16" s="76">
        <f>SUM($N16,$Q16)</f>
        <v/>
      </c>
      <c r="T16" s="76">
        <f>SUM($O16,$R16)</f>
        <v/>
      </c>
      <c r="U16" s="70">
        <f>IF($D16="","",IF(ROUND($S16-$T16,0)=0,"✓","⚠"))</f>
        <v/>
      </c>
      <c r="V16" s="76">
        <f>IF($E16="","",$K16)</f>
        <v/>
      </c>
    </row>
    <row r="17" ht="21.75" customHeight="1">
      <c r="A17" s="70">
        <f>IF($B17="","",COUNTA($B$10:$B17))</f>
        <v/>
      </c>
      <c r="B17" s="71" t="n"/>
      <c r="C17" s="71" t="n"/>
      <c r="D17" s="72" t="n"/>
      <c r="E17" s="71" t="n"/>
      <c r="F17" s="73">
        <f>IF($E17="","",IFERROR(VLOOKUP($E17,AcctTbl,2,0),"کد ناشناخته"))</f>
        <v/>
      </c>
      <c r="G17" s="70">
        <f>IF($E17="","",IFERROR(VLOOKUP($E17,AcctTbl,3,0),""))</f>
        <v/>
      </c>
      <c r="H17" s="71" t="n"/>
      <c r="I17" s="74" t="n"/>
      <c r="J17" s="74" t="n"/>
      <c r="K17" s="76">
        <f>IF(OR($I17="",$J17=""),0,ROUND($I17*$J17,-3))</f>
        <v/>
      </c>
      <c r="L17" s="77">
        <f>IF($D17="","",IF($U17="⚠","⚠ ناتراز",IF($E17="","⚠ حساب","✓")))</f>
        <v/>
      </c>
      <c r="M17" s="72" t="n"/>
      <c r="N17" s="76">
        <f>IF(OR($E17="",$K17=0),0,IF(IFERROR(VLOOKUP($D17,OpTbl,7,0),"")="بدهکار",$K17,0))</f>
        <v/>
      </c>
      <c r="O17" s="76">
        <f>IF(OR($E17="",$K17=0),0,IF(IFERROR(VLOOKUP($D17,OpTbl,7,0),"")="بستانکار",$K17,0))</f>
        <v/>
      </c>
      <c r="P17" s="70">
        <f>IF($D17="","",IFERROR(VLOOKUP($D17,OpTbl,8,0),""))</f>
        <v/>
      </c>
      <c r="Q17" s="76">
        <f>IF(OR($P17="",$K17=0),0,IF(IFERROR(VLOOKUP($D17,OpTbl,9,0),"")="بدهکار",$K17,0))</f>
        <v/>
      </c>
      <c r="R17" s="76">
        <f>IF(OR($P17="",$K17=0),0,IF(IFERROR(VLOOKUP($D17,OpTbl,9,0),"")="بستانکار",$K17,0))</f>
        <v/>
      </c>
      <c r="S17" s="76">
        <f>SUM($N17,$Q17)</f>
        <v/>
      </c>
      <c r="T17" s="76">
        <f>SUM($O17,$R17)</f>
        <v/>
      </c>
      <c r="U17" s="70">
        <f>IF($D17="","",IF(ROUND($S17-$T17,0)=0,"✓","⚠"))</f>
        <v/>
      </c>
      <c r="V17" s="76">
        <f>IF($E17="","",$K17)</f>
        <v/>
      </c>
    </row>
    <row r="18" ht="21.75" customHeight="1">
      <c r="A18" s="70">
        <f>IF($B18="","",COUNTA($B$10:$B18))</f>
        <v/>
      </c>
      <c r="B18" s="71" t="n"/>
      <c r="C18" s="71" t="n"/>
      <c r="D18" s="72" t="n"/>
      <c r="E18" s="71" t="n"/>
      <c r="F18" s="73">
        <f>IF($E18="","",IFERROR(VLOOKUP($E18,AcctTbl,2,0),"کد ناشناخته"))</f>
        <v/>
      </c>
      <c r="G18" s="70">
        <f>IF($E18="","",IFERROR(VLOOKUP($E18,AcctTbl,3,0),""))</f>
        <v/>
      </c>
      <c r="H18" s="71" t="n"/>
      <c r="I18" s="74" t="n"/>
      <c r="J18" s="74" t="n"/>
      <c r="K18" s="76">
        <f>IF(OR($I18="",$J18=""),0,ROUND($I18*$J18,-3))</f>
        <v/>
      </c>
      <c r="L18" s="77">
        <f>IF($D18="","",IF($U18="⚠","⚠ ناتراز",IF($E18="","⚠ حساب","✓")))</f>
        <v/>
      </c>
      <c r="M18" s="72" t="n"/>
      <c r="N18" s="76">
        <f>IF(OR($E18="",$K18=0),0,IF(IFERROR(VLOOKUP($D18,OpTbl,7,0),"")="بدهکار",$K18,0))</f>
        <v/>
      </c>
      <c r="O18" s="76">
        <f>IF(OR($E18="",$K18=0),0,IF(IFERROR(VLOOKUP($D18,OpTbl,7,0),"")="بستانکار",$K18,0))</f>
        <v/>
      </c>
      <c r="P18" s="70">
        <f>IF($D18="","",IFERROR(VLOOKUP($D18,OpTbl,8,0),""))</f>
        <v/>
      </c>
      <c r="Q18" s="76">
        <f>IF(OR($P18="",$K18=0),0,IF(IFERROR(VLOOKUP($D18,OpTbl,9,0),"")="بدهکار",$K18,0))</f>
        <v/>
      </c>
      <c r="R18" s="76">
        <f>IF(OR($P18="",$K18=0),0,IF(IFERROR(VLOOKUP($D18,OpTbl,9,0),"")="بستانکار",$K18,0))</f>
        <v/>
      </c>
      <c r="S18" s="76">
        <f>SUM($N18,$Q18)</f>
        <v/>
      </c>
      <c r="T18" s="76">
        <f>SUM($O18,$R18)</f>
        <v/>
      </c>
      <c r="U18" s="70">
        <f>IF($D18="","",IF(ROUND($S18-$T18,0)=0,"✓","⚠"))</f>
        <v/>
      </c>
      <c r="V18" s="76">
        <f>IF($E18="","",$K18)</f>
        <v/>
      </c>
    </row>
    <row r="19" ht="21.75" customHeight="1">
      <c r="A19" s="70">
        <f>IF($B19="","",COUNTA($B$10:$B19))</f>
        <v/>
      </c>
      <c r="B19" s="71" t="n"/>
      <c r="C19" s="71" t="n"/>
      <c r="D19" s="72" t="n"/>
      <c r="E19" s="71" t="n"/>
      <c r="F19" s="73">
        <f>IF($E19="","",IFERROR(VLOOKUP($E19,AcctTbl,2,0),"کد ناشناخته"))</f>
        <v/>
      </c>
      <c r="G19" s="70">
        <f>IF($E19="","",IFERROR(VLOOKUP($E19,AcctTbl,3,0),""))</f>
        <v/>
      </c>
      <c r="H19" s="71" t="n"/>
      <c r="I19" s="74" t="n"/>
      <c r="J19" s="74" t="n"/>
      <c r="K19" s="76">
        <f>IF(OR($I19="",$J19=""),0,ROUND($I19*$J19,-3))</f>
        <v/>
      </c>
      <c r="L19" s="77">
        <f>IF($D19="","",IF($U19="⚠","⚠ ناتراز",IF($E19="","⚠ حساب","✓")))</f>
        <v/>
      </c>
      <c r="M19" s="72" t="n"/>
      <c r="N19" s="76">
        <f>IF(OR($E19="",$K19=0),0,IF(IFERROR(VLOOKUP($D19,OpTbl,7,0),"")="بدهکار",$K19,0))</f>
        <v/>
      </c>
      <c r="O19" s="76">
        <f>IF(OR($E19="",$K19=0),0,IF(IFERROR(VLOOKUP($D19,OpTbl,7,0),"")="بستانکار",$K19,0))</f>
        <v/>
      </c>
      <c r="P19" s="70">
        <f>IF($D19="","",IFERROR(VLOOKUP($D19,OpTbl,8,0),""))</f>
        <v/>
      </c>
      <c r="Q19" s="76">
        <f>IF(OR($P19="",$K19=0),0,IF(IFERROR(VLOOKUP($D19,OpTbl,9,0),"")="بدهکار",$K19,0))</f>
        <v/>
      </c>
      <c r="R19" s="76">
        <f>IF(OR($P19="",$K19=0),0,IF(IFERROR(VLOOKUP($D19,OpTbl,9,0),"")="بستانکار",$K19,0))</f>
        <v/>
      </c>
      <c r="S19" s="76">
        <f>SUM($N19,$Q19)</f>
        <v/>
      </c>
      <c r="T19" s="76">
        <f>SUM($O19,$R19)</f>
        <v/>
      </c>
      <c r="U19" s="70">
        <f>IF($D19="","",IF(ROUND($S19-$T19,0)=0,"✓","⚠"))</f>
        <v/>
      </c>
      <c r="V19" s="76">
        <f>IF($E19="","",$K19)</f>
        <v/>
      </c>
    </row>
    <row r="20" ht="21.75" customHeight="1">
      <c r="A20" s="70">
        <f>IF($B20="","",COUNTA($B$10:$B20))</f>
        <v/>
      </c>
      <c r="B20" s="71" t="n"/>
      <c r="C20" s="71" t="n"/>
      <c r="D20" s="72" t="n"/>
      <c r="E20" s="71" t="n"/>
      <c r="F20" s="73">
        <f>IF($E20="","",IFERROR(VLOOKUP($E20,AcctTbl,2,0),"کد ناشناخته"))</f>
        <v/>
      </c>
      <c r="G20" s="70">
        <f>IF($E20="","",IFERROR(VLOOKUP($E20,AcctTbl,3,0),""))</f>
        <v/>
      </c>
      <c r="H20" s="71" t="n"/>
      <c r="I20" s="74" t="n"/>
      <c r="J20" s="74" t="n"/>
      <c r="K20" s="76">
        <f>IF(OR($I20="",$J20=""),0,ROUND($I20*$J20,-3))</f>
        <v/>
      </c>
      <c r="L20" s="77">
        <f>IF($D20="","",IF($U20="⚠","⚠ ناتراز",IF($E20="","⚠ حساب","✓")))</f>
        <v/>
      </c>
      <c r="M20" s="72" t="n"/>
      <c r="N20" s="76">
        <f>IF(OR($E20="",$K20=0),0,IF(IFERROR(VLOOKUP($D20,OpTbl,7,0),"")="بدهکار",$K20,0))</f>
        <v/>
      </c>
      <c r="O20" s="76">
        <f>IF(OR($E20="",$K20=0),0,IF(IFERROR(VLOOKUP($D20,OpTbl,7,0),"")="بستانکار",$K20,0))</f>
        <v/>
      </c>
      <c r="P20" s="70">
        <f>IF($D20="","",IFERROR(VLOOKUP($D20,OpTbl,8,0),""))</f>
        <v/>
      </c>
      <c r="Q20" s="76">
        <f>IF(OR($P20="",$K20=0),0,IF(IFERROR(VLOOKUP($D20,OpTbl,9,0),"")="بدهکار",$K20,0))</f>
        <v/>
      </c>
      <c r="R20" s="76">
        <f>IF(OR($P20="",$K20=0),0,IF(IFERROR(VLOOKUP($D20,OpTbl,9,0),"")="بستانکار",$K20,0))</f>
        <v/>
      </c>
      <c r="S20" s="76">
        <f>SUM($N20,$Q20)</f>
        <v/>
      </c>
      <c r="T20" s="76">
        <f>SUM($O20,$R20)</f>
        <v/>
      </c>
      <c r="U20" s="70">
        <f>IF($D20="","",IF(ROUND($S20-$T20,0)=0,"✓","⚠"))</f>
        <v/>
      </c>
      <c r="V20" s="76">
        <f>IF($E20="","",$K20)</f>
        <v/>
      </c>
    </row>
    <row r="21" ht="21.75" customHeight="1">
      <c r="A21" s="70">
        <f>IF($B21="","",COUNTA($B$10:$B21))</f>
        <v/>
      </c>
      <c r="B21" s="71" t="n"/>
      <c r="C21" s="71" t="n"/>
      <c r="D21" s="72" t="n"/>
      <c r="E21" s="71" t="n"/>
      <c r="F21" s="73">
        <f>IF($E21="","",IFERROR(VLOOKUP($E21,AcctTbl,2,0),"کد ناشناخته"))</f>
        <v/>
      </c>
      <c r="G21" s="70">
        <f>IF($E21="","",IFERROR(VLOOKUP($E21,AcctTbl,3,0),""))</f>
        <v/>
      </c>
      <c r="H21" s="71" t="n"/>
      <c r="I21" s="74" t="n"/>
      <c r="J21" s="74" t="n"/>
      <c r="K21" s="76">
        <f>IF(OR($I21="",$J21=""),0,ROUND($I21*$J21,-3))</f>
        <v/>
      </c>
      <c r="L21" s="77">
        <f>IF($D21="","",IF($U21="⚠","⚠ ناتراز",IF($E21="","⚠ حساب","✓")))</f>
        <v/>
      </c>
      <c r="M21" s="72" t="n"/>
      <c r="N21" s="76">
        <f>IF(OR($E21="",$K21=0),0,IF(IFERROR(VLOOKUP($D21,OpTbl,7,0),"")="بدهکار",$K21,0))</f>
        <v/>
      </c>
      <c r="O21" s="76">
        <f>IF(OR($E21="",$K21=0),0,IF(IFERROR(VLOOKUP($D21,OpTbl,7,0),"")="بستانکار",$K21,0))</f>
        <v/>
      </c>
      <c r="P21" s="70">
        <f>IF($D21="","",IFERROR(VLOOKUP($D21,OpTbl,8,0),""))</f>
        <v/>
      </c>
      <c r="Q21" s="76">
        <f>IF(OR($P21="",$K21=0),0,IF(IFERROR(VLOOKUP($D21,OpTbl,9,0),"")="بدهکار",$K21,0))</f>
        <v/>
      </c>
      <c r="R21" s="76">
        <f>IF(OR($P21="",$K21=0),0,IF(IFERROR(VLOOKUP($D21,OpTbl,9,0),"")="بستانکار",$K21,0))</f>
        <v/>
      </c>
      <c r="S21" s="76">
        <f>SUM($N21,$Q21)</f>
        <v/>
      </c>
      <c r="T21" s="76">
        <f>SUM($O21,$R21)</f>
        <v/>
      </c>
      <c r="U21" s="70">
        <f>IF($D21="","",IF(ROUND($S21-$T21,0)=0,"✓","⚠"))</f>
        <v/>
      </c>
      <c r="V21" s="76">
        <f>IF($E21="","",$K21)</f>
        <v/>
      </c>
    </row>
    <row r="22" ht="21.75" customHeight="1">
      <c r="A22" s="70">
        <f>IF($B22="","",COUNTA($B$10:$B22))</f>
        <v/>
      </c>
      <c r="B22" s="71" t="n"/>
      <c r="C22" s="71" t="n"/>
      <c r="D22" s="72" t="n"/>
      <c r="E22" s="71" t="n"/>
      <c r="F22" s="73">
        <f>IF($E22="","",IFERROR(VLOOKUP($E22,AcctTbl,2,0),"کد ناشناخته"))</f>
        <v/>
      </c>
      <c r="G22" s="70">
        <f>IF($E22="","",IFERROR(VLOOKUP($E22,AcctTbl,3,0),""))</f>
        <v/>
      </c>
      <c r="H22" s="71" t="n"/>
      <c r="I22" s="74" t="n"/>
      <c r="J22" s="74" t="n"/>
      <c r="K22" s="76">
        <f>IF(OR($I22="",$J22=""),0,ROUND($I22*$J22,-3))</f>
        <v/>
      </c>
      <c r="L22" s="77">
        <f>IF($D22="","",IF($U22="⚠","⚠ ناتراز",IF($E22="","⚠ حساب","✓")))</f>
        <v/>
      </c>
      <c r="M22" s="72" t="n"/>
      <c r="N22" s="76">
        <f>IF(OR($E22="",$K22=0),0,IF(IFERROR(VLOOKUP($D22,OpTbl,7,0),"")="بدهکار",$K22,0))</f>
        <v/>
      </c>
      <c r="O22" s="76">
        <f>IF(OR($E22="",$K22=0),0,IF(IFERROR(VLOOKUP($D22,OpTbl,7,0),"")="بستانکار",$K22,0))</f>
        <v/>
      </c>
      <c r="P22" s="70">
        <f>IF($D22="","",IFERROR(VLOOKUP($D22,OpTbl,8,0),""))</f>
        <v/>
      </c>
      <c r="Q22" s="76">
        <f>IF(OR($P22="",$K22=0),0,IF(IFERROR(VLOOKUP($D22,OpTbl,9,0),"")="بدهکار",$K22,0))</f>
        <v/>
      </c>
      <c r="R22" s="76">
        <f>IF(OR($P22="",$K22=0),0,IF(IFERROR(VLOOKUP($D22,OpTbl,9,0),"")="بستانکار",$K22,0))</f>
        <v/>
      </c>
      <c r="S22" s="76">
        <f>SUM($N22,$Q22)</f>
        <v/>
      </c>
      <c r="T22" s="76">
        <f>SUM($O22,$R22)</f>
        <v/>
      </c>
      <c r="U22" s="70">
        <f>IF($D22="","",IF(ROUND($S22-$T22,0)=0,"✓","⚠"))</f>
        <v/>
      </c>
      <c r="V22" s="76">
        <f>IF($E22="","",$K22)</f>
        <v/>
      </c>
    </row>
    <row r="23" ht="21.75" customHeight="1">
      <c r="A23" s="70">
        <f>IF($B23="","",COUNTA($B$10:$B23))</f>
        <v/>
      </c>
      <c r="B23" s="71" t="n"/>
      <c r="C23" s="71" t="n"/>
      <c r="D23" s="72" t="n"/>
      <c r="E23" s="71" t="n"/>
      <c r="F23" s="73">
        <f>IF($E23="","",IFERROR(VLOOKUP($E23,AcctTbl,2,0),"کد ناشناخته"))</f>
        <v/>
      </c>
      <c r="G23" s="70">
        <f>IF($E23="","",IFERROR(VLOOKUP($E23,AcctTbl,3,0),""))</f>
        <v/>
      </c>
      <c r="H23" s="71" t="n"/>
      <c r="I23" s="74" t="n"/>
      <c r="J23" s="74" t="n"/>
      <c r="K23" s="76">
        <f>IF(OR($I23="",$J23=""),0,ROUND($I23*$J23,-3))</f>
        <v/>
      </c>
      <c r="L23" s="77">
        <f>IF($D23="","",IF($U23="⚠","⚠ ناتراز",IF($E23="","⚠ حساب","✓")))</f>
        <v/>
      </c>
      <c r="M23" s="72" t="n"/>
      <c r="N23" s="76">
        <f>IF(OR($E23="",$K23=0),0,IF(IFERROR(VLOOKUP($D23,OpTbl,7,0),"")="بدهکار",$K23,0))</f>
        <v/>
      </c>
      <c r="O23" s="76">
        <f>IF(OR($E23="",$K23=0),0,IF(IFERROR(VLOOKUP($D23,OpTbl,7,0),"")="بستانکار",$K23,0))</f>
        <v/>
      </c>
      <c r="P23" s="70">
        <f>IF($D23="","",IFERROR(VLOOKUP($D23,OpTbl,8,0),""))</f>
        <v/>
      </c>
      <c r="Q23" s="76">
        <f>IF(OR($P23="",$K23=0),0,IF(IFERROR(VLOOKUP($D23,OpTbl,9,0),"")="بدهکار",$K23,0))</f>
        <v/>
      </c>
      <c r="R23" s="76">
        <f>IF(OR($P23="",$K23=0),0,IF(IFERROR(VLOOKUP($D23,OpTbl,9,0),"")="بستانکار",$K23,0))</f>
        <v/>
      </c>
      <c r="S23" s="76">
        <f>SUM($N23,$Q23)</f>
        <v/>
      </c>
      <c r="T23" s="76">
        <f>SUM($O23,$R23)</f>
        <v/>
      </c>
      <c r="U23" s="70">
        <f>IF($D23="","",IF(ROUND($S23-$T23,0)=0,"✓","⚠"))</f>
        <v/>
      </c>
      <c r="V23" s="76">
        <f>IF($E23="","",$K23)</f>
        <v/>
      </c>
    </row>
    <row r="24" ht="21.75" customHeight="1">
      <c r="A24" s="70">
        <f>IF($B24="","",COUNTA($B$10:$B24))</f>
        <v/>
      </c>
      <c r="B24" s="71" t="n"/>
      <c r="C24" s="71" t="n"/>
      <c r="D24" s="72" t="n"/>
      <c r="E24" s="71" t="n"/>
      <c r="F24" s="73">
        <f>IF($E24="","",IFERROR(VLOOKUP($E24,AcctTbl,2,0),"کد ناشناخته"))</f>
        <v/>
      </c>
      <c r="G24" s="70">
        <f>IF($E24="","",IFERROR(VLOOKUP($E24,AcctTbl,3,0),""))</f>
        <v/>
      </c>
      <c r="H24" s="71" t="n"/>
      <c r="I24" s="74" t="n"/>
      <c r="J24" s="74" t="n"/>
      <c r="K24" s="76">
        <f>IF(OR($I24="",$J24=""),0,ROUND($I24*$J24,-3))</f>
        <v/>
      </c>
      <c r="L24" s="77">
        <f>IF($D24="","",IF($U24="⚠","⚠ ناتراز",IF($E24="","⚠ حساب","✓")))</f>
        <v/>
      </c>
      <c r="M24" s="72" t="n"/>
      <c r="N24" s="76">
        <f>IF(OR($E24="",$K24=0),0,IF(IFERROR(VLOOKUP($D24,OpTbl,7,0),"")="بدهکار",$K24,0))</f>
        <v/>
      </c>
      <c r="O24" s="76">
        <f>IF(OR($E24="",$K24=0),0,IF(IFERROR(VLOOKUP($D24,OpTbl,7,0),"")="بستانکار",$K24,0))</f>
        <v/>
      </c>
      <c r="P24" s="70">
        <f>IF($D24="","",IFERROR(VLOOKUP($D24,OpTbl,8,0),""))</f>
        <v/>
      </c>
      <c r="Q24" s="76">
        <f>IF(OR($P24="",$K24=0),0,IF(IFERROR(VLOOKUP($D24,OpTbl,9,0),"")="بدهکار",$K24,0))</f>
        <v/>
      </c>
      <c r="R24" s="76">
        <f>IF(OR($P24="",$K24=0),0,IF(IFERROR(VLOOKUP($D24,OpTbl,9,0),"")="بستانکار",$K24,0))</f>
        <v/>
      </c>
      <c r="S24" s="76">
        <f>SUM($N24,$Q24)</f>
        <v/>
      </c>
      <c r="T24" s="76">
        <f>SUM($O24,$R24)</f>
        <v/>
      </c>
      <c r="U24" s="70">
        <f>IF($D24="","",IF(ROUND($S24-$T24,0)=0,"✓","⚠"))</f>
        <v/>
      </c>
      <c r="V24" s="76">
        <f>IF($E24="","",$K24)</f>
        <v/>
      </c>
    </row>
    <row r="25" ht="21.75" customHeight="1">
      <c r="A25" s="70">
        <f>IF($B25="","",COUNTA($B$10:$B25))</f>
        <v/>
      </c>
      <c r="B25" s="71" t="n"/>
      <c r="C25" s="71" t="n"/>
      <c r="D25" s="72" t="n"/>
      <c r="E25" s="71" t="n"/>
      <c r="F25" s="73">
        <f>IF($E25="","",IFERROR(VLOOKUP($E25,AcctTbl,2,0),"کد ناشناخته"))</f>
        <v/>
      </c>
      <c r="G25" s="70">
        <f>IF($E25="","",IFERROR(VLOOKUP($E25,AcctTbl,3,0),""))</f>
        <v/>
      </c>
      <c r="H25" s="71" t="n"/>
      <c r="I25" s="74" t="n"/>
      <c r="J25" s="74" t="n"/>
      <c r="K25" s="76">
        <f>IF(OR($I25="",$J25=""),0,ROUND($I25*$J25,-3))</f>
        <v/>
      </c>
      <c r="L25" s="77">
        <f>IF($D25="","",IF($U25="⚠","⚠ ناتراز",IF($E25="","⚠ حساب","✓")))</f>
        <v/>
      </c>
      <c r="M25" s="72" t="n"/>
      <c r="N25" s="76">
        <f>IF(OR($E25="",$K25=0),0,IF(IFERROR(VLOOKUP($D25,OpTbl,7,0),"")="بدهکار",$K25,0))</f>
        <v/>
      </c>
      <c r="O25" s="76">
        <f>IF(OR($E25="",$K25=0),0,IF(IFERROR(VLOOKUP($D25,OpTbl,7,0),"")="بستانکار",$K25,0))</f>
        <v/>
      </c>
      <c r="P25" s="70">
        <f>IF($D25="","",IFERROR(VLOOKUP($D25,OpTbl,8,0),""))</f>
        <v/>
      </c>
      <c r="Q25" s="76">
        <f>IF(OR($P25="",$K25=0),0,IF(IFERROR(VLOOKUP($D25,OpTbl,9,0),"")="بدهکار",$K25,0))</f>
        <v/>
      </c>
      <c r="R25" s="76">
        <f>IF(OR($P25="",$K25=0),0,IF(IFERROR(VLOOKUP($D25,OpTbl,9,0),"")="بستانکار",$K25,0))</f>
        <v/>
      </c>
      <c r="S25" s="76">
        <f>SUM($N25,$Q25)</f>
        <v/>
      </c>
      <c r="T25" s="76">
        <f>SUM($O25,$R25)</f>
        <v/>
      </c>
      <c r="U25" s="70">
        <f>IF($D25="","",IF(ROUND($S25-$T25,0)=0,"✓","⚠"))</f>
        <v/>
      </c>
      <c r="V25" s="76">
        <f>IF($E25="","",$K25)</f>
        <v/>
      </c>
    </row>
    <row r="26" ht="21.75" customHeight="1">
      <c r="A26" s="70">
        <f>IF($B26="","",COUNTA($B$10:$B26))</f>
        <v/>
      </c>
      <c r="B26" s="71" t="n"/>
      <c r="C26" s="71" t="n"/>
      <c r="D26" s="72" t="n"/>
      <c r="E26" s="71" t="n"/>
      <c r="F26" s="73">
        <f>IF($E26="","",IFERROR(VLOOKUP($E26,AcctTbl,2,0),"کد ناشناخته"))</f>
        <v/>
      </c>
      <c r="G26" s="70">
        <f>IF($E26="","",IFERROR(VLOOKUP($E26,AcctTbl,3,0),""))</f>
        <v/>
      </c>
      <c r="H26" s="71" t="n"/>
      <c r="I26" s="74" t="n"/>
      <c r="J26" s="74" t="n"/>
      <c r="K26" s="76">
        <f>IF(OR($I26="",$J26=""),0,ROUND($I26*$J26,-3))</f>
        <v/>
      </c>
      <c r="L26" s="77">
        <f>IF($D26="","",IF($U26="⚠","⚠ ناتراز",IF($E26="","⚠ حساب","✓")))</f>
        <v/>
      </c>
      <c r="M26" s="72" t="n"/>
      <c r="N26" s="76">
        <f>IF(OR($E26="",$K26=0),0,IF(IFERROR(VLOOKUP($D26,OpTbl,7,0),"")="بدهکار",$K26,0))</f>
        <v/>
      </c>
      <c r="O26" s="76">
        <f>IF(OR($E26="",$K26=0),0,IF(IFERROR(VLOOKUP($D26,OpTbl,7,0),"")="بستانکار",$K26,0))</f>
        <v/>
      </c>
      <c r="P26" s="70">
        <f>IF($D26="","",IFERROR(VLOOKUP($D26,OpTbl,8,0),""))</f>
        <v/>
      </c>
      <c r="Q26" s="76">
        <f>IF(OR($P26="",$K26=0),0,IF(IFERROR(VLOOKUP($D26,OpTbl,9,0),"")="بدهکار",$K26,0))</f>
        <v/>
      </c>
      <c r="R26" s="76">
        <f>IF(OR($P26="",$K26=0),0,IF(IFERROR(VLOOKUP($D26,OpTbl,9,0),"")="بستانکار",$K26,0))</f>
        <v/>
      </c>
      <c r="S26" s="76">
        <f>SUM($N26,$Q26)</f>
        <v/>
      </c>
      <c r="T26" s="76">
        <f>SUM($O26,$R26)</f>
        <v/>
      </c>
      <c r="U26" s="70">
        <f>IF($D26="","",IF(ROUND($S26-$T26,0)=0,"✓","⚠"))</f>
        <v/>
      </c>
      <c r="V26" s="76">
        <f>IF($E26="","",$K26)</f>
        <v/>
      </c>
    </row>
    <row r="27" ht="21.75" customHeight="1">
      <c r="A27" s="70">
        <f>IF($B27="","",COUNTA($B$10:$B27))</f>
        <v/>
      </c>
      <c r="B27" s="71" t="n"/>
      <c r="C27" s="71" t="n"/>
      <c r="D27" s="72" t="n"/>
      <c r="E27" s="71" t="n"/>
      <c r="F27" s="73">
        <f>IF($E27="","",IFERROR(VLOOKUP($E27,AcctTbl,2,0),"کد ناشناخته"))</f>
        <v/>
      </c>
      <c r="G27" s="70">
        <f>IF($E27="","",IFERROR(VLOOKUP($E27,AcctTbl,3,0),""))</f>
        <v/>
      </c>
      <c r="H27" s="71" t="n"/>
      <c r="I27" s="74" t="n"/>
      <c r="J27" s="74" t="n"/>
      <c r="K27" s="76">
        <f>IF(OR($I27="",$J27=""),0,ROUND($I27*$J27,-3))</f>
        <v/>
      </c>
      <c r="L27" s="77">
        <f>IF($D27="","",IF($U27="⚠","⚠ ناتراز",IF($E27="","⚠ حساب","✓")))</f>
        <v/>
      </c>
      <c r="M27" s="72" t="n"/>
      <c r="N27" s="76">
        <f>IF(OR($E27="",$K27=0),0,IF(IFERROR(VLOOKUP($D27,OpTbl,7,0),"")="بدهکار",$K27,0))</f>
        <v/>
      </c>
      <c r="O27" s="76">
        <f>IF(OR($E27="",$K27=0),0,IF(IFERROR(VLOOKUP($D27,OpTbl,7,0),"")="بستانکار",$K27,0))</f>
        <v/>
      </c>
      <c r="P27" s="70">
        <f>IF($D27="","",IFERROR(VLOOKUP($D27,OpTbl,8,0),""))</f>
        <v/>
      </c>
      <c r="Q27" s="76">
        <f>IF(OR($P27="",$K27=0),0,IF(IFERROR(VLOOKUP($D27,OpTbl,9,0),"")="بدهکار",$K27,0))</f>
        <v/>
      </c>
      <c r="R27" s="76">
        <f>IF(OR($P27="",$K27=0),0,IF(IFERROR(VLOOKUP($D27,OpTbl,9,0),"")="بستانکار",$K27,0))</f>
        <v/>
      </c>
      <c r="S27" s="76">
        <f>SUM($N27,$Q27)</f>
        <v/>
      </c>
      <c r="T27" s="76">
        <f>SUM($O27,$R27)</f>
        <v/>
      </c>
      <c r="U27" s="70">
        <f>IF($D27="","",IF(ROUND($S27-$T27,0)=0,"✓","⚠"))</f>
        <v/>
      </c>
      <c r="V27" s="76">
        <f>IF($E27="","",$K27)</f>
        <v/>
      </c>
    </row>
    <row r="28" ht="21.75" customHeight="1">
      <c r="A28" s="70">
        <f>IF($B28="","",COUNTA($B$10:$B28))</f>
        <v/>
      </c>
      <c r="B28" s="71" t="n"/>
      <c r="C28" s="71" t="n"/>
      <c r="D28" s="72" t="n"/>
      <c r="E28" s="71" t="n"/>
      <c r="F28" s="73">
        <f>IF($E28="","",IFERROR(VLOOKUP($E28,AcctTbl,2,0),"کد ناشناخته"))</f>
        <v/>
      </c>
      <c r="G28" s="70">
        <f>IF($E28="","",IFERROR(VLOOKUP($E28,AcctTbl,3,0),""))</f>
        <v/>
      </c>
      <c r="H28" s="71" t="n"/>
      <c r="I28" s="74" t="n"/>
      <c r="J28" s="74" t="n"/>
      <c r="K28" s="76">
        <f>IF(OR($I28="",$J28=""),0,ROUND($I28*$J28,-3))</f>
        <v/>
      </c>
      <c r="L28" s="77">
        <f>IF($D28="","",IF($U28="⚠","⚠ ناتراز",IF($E28="","⚠ حساب","✓")))</f>
        <v/>
      </c>
      <c r="M28" s="72" t="n"/>
      <c r="N28" s="76">
        <f>IF(OR($E28="",$K28=0),0,IF(IFERROR(VLOOKUP($D28,OpTbl,7,0),"")="بدهکار",$K28,0))</f>
        <v/>
      </c>
      <c r="O28" s="76">
        <f>IF(OR($E28="",$K28=0),0,IF(IFERROR(VLOOKUP($D28,OpTbl,7,0),"")="بستانکار",$K28,0))</f>
        <v/>
      </c>
      <c r="P28" s="70">
        <f>IF($D28="","",IFERROR(VLOOKUP($D28,OpTbl,8,0),""))</f>
        <v/>
      </c>
      <c r="Q28" s="76">
        <f>IF(OR($P28="",$K28=0),0,IF(IFERROR(VLOOKUP($D28,OpTbl,9,0),"")="بدهکار",$K28,0))</f>
        <v/>
      </c>
      <c r="R28" s="76">
        <f>IF(OR($P28="",$K28=0),0,IF(IFERROR(VLOOKUP($D28,OpTbl,9,0),"")="بستانکار",$K28,0))</f>
        <v/>
      </c>
      <c r="S28" s="76">
        <f>SUM($N28,$Q28)</f>
        <v/>
      </c>
      <c r="T28" s="76">
        <f>SUM($O28,$R28)</f>
        <v/>
      </c>
      <c r="U28" s="70">
        <f>IF($D28="","",IF(ROUND($S28-$T28,0)=0,"✓","⚠"))</f>
        <v/>
      </c>
      <c r="V28" s="76">
        <f>IF($E28="","",$K28)</f>
        <v/>
      </c>
    </row>
    <row r="29" ht="21.75" customHeight="1">
      <c r="A29" s="70">
        <f>IF($B29="","",COUNTA($B$10:$B29))</f>
        <v/>
      </c>
      <c r="B29" s="71" t="n"/>
      <c r="C29" s="71" t="n"/>
      <c r="D29" s="72" t="n"/>
      <c r="E29" s="71" t="n"/>
      <c r="F29" s="73">
        <f>IF($E29="","",IFERROR(VLOOKUP($E29,AcctTbl,2,0),"کد ناشناخته"))</f>
        <v/>
      </c>
      <c r="G29" s="70">
        <f>IF($E29="","",IFERROR(VLOOKUP($E29,AcctTbl,3,0),""))</f>
        <v/>
      </c>
      <c r="H29" s="71" t="n"/>
      <c r="I29" s="74" t="n"/>
      <c r="J29" s="74" t="n"/>
      <c r="K29" s="76">
        <f>IF(OR($I29="",$J29=""),0,ROUND($I29*$J29,-3))</f>
        <v/>
      </c>
      <c r="L29" s="77">
        <f>IF($D29="","",IF($U29="⚠","⚠ ناتراز",IF($E29="","⚠ حساب","✓")))</f>
        <v/>
      </c>
      <c r="M29" s="72" t="n"/>
      <c r="N29" s="76">
        <f>IF(OR($E29="",$K29=0),0,IF(IFERROR(VLOOKUP($D29,OpTbl,7,0),"")="بدهکار",$K29,0))</f>
        <v/>
      </c>
      <c r="O29" s="76">
        <f>IF(OR($E29="",$K29=0),0,IF(IFERROR(VLOOKUP($D29,OpTbl,7,0),"")="بستانکار",$K29,0))</f>
        <v/>
      </c>
      <c r="P29" s="70">
        <f>IF($D29="","",IFERROR(VLOOKUP($D29,OpTbl,8,0),""))</f>
        <v/>
      </c>
      <c r="Q29" s="76">
        <f>IF(OR($P29="",$K29=0),0,IF(IFERROR(VLOOKUP($D29,OpTbl,9,0),"")="بدهکار",$K29,0))</f>
        <v/>
      </c>
      <c r="R29" s="76">
        <f>IF(OR($P29="",$K29=0),0,IF(IFERROR(VLOOKUP($D29,OpTbl,9,0),"")="بستانکار",$K29,0))</f>
        <v/>
      </c>
      <c r="S29" s="76">
        <f>SUM($N29,$Q29)</f>
        <v/>
      </c>
      <c r="T29" s="76">
        <f>SUM($O29,$R29)</f>
        <v/>
      </c>
      <c r="U29" s="70">
        <f>IF($D29="","",IF(ROUND($S29-$T29,0)=0,"✓","⚠"))</f>
        <v/>
      </c>
      <c r="V29" s="76">
        <f>IF($E29="","",$K29)</f>
        <v/>
      </c>
    </row>
    <row r="30" ht="21.75" customHeight="1">
      <c r="A30" s="70">
        <f>IF($B30="","",COUNTA($B$10:$B30))</f>
        <v/>
      </c>
      <c r="B30" s="71" t="n"/>
      <c r="C30" s="71" t="n"/>
      <c r="D30" s="72" t="n"/>
      <c r="E30" s="71" t="n"/>
      <c r="F30" s="73">
        <f>IF($E30="","",IFERROR(VLOOKUP($E30,AcctTbl,2,0),"کد ناشناخته"))</f>
        <v/>
      </c>
      <c r="G30" s="70">
        <f>IF($E30="","",IFERROR(VLOOKUP($E30,AcctTbl,3,0),""))</f>
        <v/>
      </c>
      <c r="H30" s="71" t="n"/>
      <c r="I30" s="74" t="n"/>
      <c r="J30" s="74" t="n"/>
      <c r="K30" s="76">
        <f>IF(OR($I30="",$J30=""),0,ROUND($I30*$J30,-3))</f>
        <v/>
      </c>
      <c r="L30" s="77">
        <f>IF($D30="","",IF($U30="⚠","⚠ ناتراز",IF($E30="","⚠ حساب","✓")))</f>
        <v/>
      </c>
      <c r="M30" s="72" t="n"/>
      <c r="N30" s="76">
        <f>IF(OR($E30="",$K30=0),0,IF(IFERROR(VLOOKUP($D30,OpTbl,7,0),"")="بدهکار",$K30,0))</f>
        <v/>
      </c>
      <c r="O30" s="76">
        <f>IF(OR($E30="",$K30=0),0,IF(IFERROR(VLOOKUP($D30,OpTbl,7,0),"")="بستانکار",$K30,0))</f>
        <v/>
      </c>
      <c r="P30" s="70">
        <f>IF($D30="","",IFERROR(VLOOKUP($D30,OpTbl,8,0),""))</f>
        <v/>
      </c>
      <c r="Q30" s="76">
        <f>IF(OR($P30="",$K30=0),0,IF(IFERROR(VLOOKUP($D30,OpTbl,9,0),"")="بدهکار",$K30,0))</f>
        <v/>
      </c>
      <c r="R30" s="76">
        <f>IF(OR($P30="",$K30=0),0,IF(IFERROR(VLOOKUP($D30,OpTbl,9,0),"")="بستانکار",$K30,0))</f>
        <v/>
      </c>
      <c r="S30" s="76">
        <f>SUM($N30,$Q30)</f>
        <v/>
      </c>
      <c r="T30" s="76">
        <f>SUM($O30,$R30)</f>
        <v/>
      </c>
      <c r="U30" s="70">
        <f>IF($D30="","",IF(ROUND($S30-$T30,0)=0,"✓","⚠"))</f>
        <v/>
      </c>
      <c r="V30" s="76">
        <f>IF($E30="","",$K30)</f>
        <v/>
      </c>
    </row>
    <row r="31" ht="21.75" customHeight="1">
      <c r="A31" s="70">
        <f>IF($B31="","",COUNTA($B$10:$B31))</f>
        <v/>
      </c>
      <c r="B31" s="71" t="n"/>
      <c r="C31" s="71" t="n"/>
      <c r="D31" s="72" t="n"/>
      <c r="E31" s="71" t="n"/>
      <c r="F31" s="73">
        <f>IF($E31="","",IFERROR(VLOOKUP($E31,AcctTbl,2,0),"کد ناشناخته"))</f>
        <v/>
      </c>
      <c r="G31" s="70">
        <f>IF($E31="","",IFERROR(VLOOKUP($E31,AcctTbl,3,0),""))</f>
        <v/>
      </c>
      <c r="H31" s="71" t="n"/>
      <c r="I31" s="74" t="n"/>
      <c r="J31" s="74" t="n"/>
      <c r="K31" s="76">
        <f>IF(OR($I31="",$J31=""),0,ROUND($I31*$J31,-3))</f>
        <v/>
      </c>
      <c r="L31" s="77">
        <f>IF($D31="","",IF($U31="⚠","⚠ ناتراز",IF($E31="","⚠ حساب","✓")))</f>
        <v/>
      </c>
      <c r="M31" s="72" t="n"/>
      <c r="N31" s="76">
        <f>IF(OR($E31="",$K31=0),0,IF(IFERROR(VLOOKUP($D31,OpTbl,7,0),"")="بدهکار",$K31,0))</f>
        <v/>
      </c>
      <c r="O31" s="76">
        <f>IF(OR($E31="",$K31=0),0,IF(IFERROR(VLOOKUP($D31,OpTbl,7,0),"")="بستانکار",$K31,0))</f>
        <v/>
      </c>
      <c r="P31" s="70">
        <f>IF($D31="","",IFERROR(VLOOKUP($D31,OpTbl,8,0),""))</f>
        <v/>
      </c>
      <c r="Q31" s="76">
        <f>IF(OR($P31="",$K31=0),0,IF(IFERROR(VLOOKUP($D31,OpTbl,9,0),"")="بدهکار",$K31,0))</f>
        <v/>
      </c>
      <c r="R31" s="76">
        <f>IF(OR($P31="",$K31=0),0,IF(IFERROR(VLOOKUP($D31,OpTbl,9,0),"")="بستانکار",$K31,0))</f>
        <v/>
      </c>
      <c r="S31" s="76">
        <f>SUM($N31,$Q31)</f>
        <v/>
      </c>
      <c r="T31" s="76">
        <f>SUM($O31,$R31)</f>
        <v/>
      </c>
      <c r="U31" s="70">
        <f>IF($D31="","",IF(ROUND($S31-$T31,0)=0,"✓","⚠"))</f>
        <v/>
      </c>
      <c r="V31" s="76">
        <f>IF($E31="","",$K31)</f>
        <v/>
      </c>
    </row>
    <row r="32" ht="21.75" customHeight="1">
      <c r="A32" s="70">
        <f>IF($B32="","",COUNTA($B$10:$B32))</f>
        <v/>
      </c>
      <c r="B32" s="71" t="n"/>
      <c r="C32" s="71" t="n"/>
      <c r="D32" s="72" t="n"/>
      <c r="E32" s="71" t="n"/>
      <c r="F32" s="73">
        <f>IF($E32="","",IFERROR(VLOOKUP($E32,AcctTbl,2,0),"کد ناشناخته"))</f>
        <v/>
      </c>
      <c r="G32" s="70">
        <f>IF($E32="","",IFERROR(VLOOKUP($E32,AcctTbl,3,0),""))</f>
        <v/>
      </c>
      <c r="H32" s="71" t="n"/>
      <c r="I32" s="74" t="n"/>
      <c r="J32" s="74" t="n"/>
      <c r="K32" s="76">
        <f>IF(OR($I32="",$J32=""),0,ROUND($I32*$J32,-3))</f>
        <v/>
      </c>
      <c r="L32" s="77">
        <f>IF($D32="","",IF($U32="⚠","⚠ ناتراز",IF($E32="","⚠ حساب","✓")))</f>
        <v/>
      </c>
      <c r="M32" s="72" t="n"/>
      <c r="N32" s="76">
        <f>IF(OR($E32="",$K32=0),0,IF(IFERROR(VLOOKUP($D32,OpTbl,7,0),"")="بدهکار",$K32,0))</f>
        <v/>
      </c>
      <c r="O32" s="76">
        <f>IF(OR($E32="",$K32=0),0,IF(IFERROR(VLOOKUP($D32,OpTbl,7,0),"")="بستانکار",$K32,0))</f>
        <v/>
      </c>
      <c r="P32" s="70">
        <f>IF($D32="","",IFERROR(VLOOKUP($D32,OpTbl,8,0),""))</f>
        <v/>
      </c>
      <c r="Q32" s="76">
        <f>IF(OR($P32="",$K32=0),0,IF(IFERROR(VLOOKUP($D32,OpTbl,9,0),"")="بدهکار",$K32,0))</f>
        <v/>
      </c>
      <c r="R32" s="76">
        <f>IF(OR($P32="",$K32=0),0,IF(IFERROR(VLOOKUP($D32,OpTbl,9,0),"")="بستانکار",$K32,0))</f>
        <v/>
      </c>
      <c r="S32" s="76">
        <f>SUM($N32,$Q32)</f>
        <v/>
      </c>
      <c r="T32" s="76">
        <f>SUM($O32,$R32)</f>
        <v/>
      </c>
      <c r="U32" s="70">
        <f>IF($D32="","",IF(ROUND($S32-$T32,0)=0,"✓","⚠"))</f>
        <v/>
      </c>
      <c r="V32" s="76">
        <f>IF($E32="","",$K32)</f>
        <v/>
      </c>
    </row>
    <row r="33" ht="21.75" customHeight="1">
      <c r="A33" s="70">
        <f>IF($B33="","",COUNTA($B$10:$B33))</f>
        <v/>
      </c>
      <c r="B33" s="71" t="n"/>
      <c r="C33" s="71" t="n"/>
      <c r="D33" s="72" t="n"/>
      <c r="E33" s="71" t="n"/>
      <c r="F33" s="73">
        <f>IF($E33="","",IFERROR(VLOOKUP($E33,AcctTbl,2,0),"کد ناشناخته"))</f>
        <v/>
      </c>
      <c r="G33" s="70">
        <f>IF($E33="","",IFERROR(VLOOKUP($E33,AcctTbl,3,0),""))</f>
        <v/>
      </c>
      <c r="H33" s="71" t="n"/>
      <c r="I33" s="74" t="n"/>
      <c r="J33" s="74" t="n"/>
      <c r="K33" s="76">
        <f>IF(OR($I33="",$J33=""),0,ROUND($I33*$J33,-3))</f>
        <v/>
      </c>
      <c r="L33" s="77">
        <f>IF($D33="","",IF($U33="⚠","⚠ ناتراز",IF($E33="","⚠ حساب","✓")))</f>
        <v/>
      </c>
      <c r="M33" s="72" t="n"/>
      <c r="N33" s="76">
        <f>IF(OR($E33="",$K33=0),0,IF(IFERROR(VLOOKUP($D33,OpTbl,7,0),"")="بدهکار",$K33,0))</f>
        <v/>
      </c>
      <c r="O33" s="76">
        <f>IF(OR($E33="",$K33=0),0,IF(IFERROR(VLOOKUP($D33,OpTbl,7,0),"")="بستانکار",$K33,0))</f>
        <v/>
      </c>
      <c r="P33" s="70">
        <f>IF($D33="","",IFERROR(VLOOKUP($D33,OpTbl,8,0),""))</f>
        <v/>
      </c>
      <c r="Q33" s="76">
        <f>IF(OR($P33="",$K33=0),0,IF(IFERROR(VLOOKUP($D33,OpTbl,9,0),"")="بدهکار",$K33,0))</f>
        <v/>
      </c>
      <c r="R33" s="76">
        <f>IF(OR($P33="",$K33=0),0,IF(IFERROR(VLOOKUP($D33,OpTbl,9,0),"")="بستانکار",$K33,0))</f>
        <v/>
      </c>
      <c r="S33" s="76">
        <f>SUM($N33,$Q33)</f>
        <v/>
      </c>
      <c r="T33" s="76">
        <f>SUM($O33,$R33)</f>
        <v/>
      </c>
      <c r="U33" s="70">
        <f>IF($D33="","",IF(ROUND($S33-$T33,0)=0,"✓","⚠"))</f>
        <v/>
      </c>
      <c r="V33" s="76">
        <f>IF($E33="","",$K33)</f>
        <v/>
      </c>
    </row>
    <row r="34" ht="21.75" customHeight="1">
      <c r="A34" s="70">
        <f>IF($B34="","",COUNTA($B$10:$B34))</f>
        <v/>
      </c>
      <c r="B34" s="71" t="n"/>
      <c r="C34" s="71" t="n"/>
      <c r="D34" s="72" t="n"/>
      <c r="E34" s="71" t="n"/>
      <c r="F34" s="73">
        <f>IF($E34="","",IFERROR(VLOOKUP($E34,AcctTbl,2,0),"کد ناشناخته"))</f>
        <v/>
      </c>
      <c r="G34" s="70">
        <f>IF($E34="","",IFERROR(VLOOKUP($E34,AcctTbl,3,0),""))</f>
        <v/>
      </c>
      <c r="H34" s="71" t="n"/>
      <c r="I34" s="74" t="n"/>
      <c r="J34" s="74" t="n"/>
      <c r="K34" s="76">
        <f>IF(OR($I34="",$J34=""),0,ROUND($I34*$J34,-3))</f>
        <v/>
      </c>
      <c r="L34" s="77">
        <f>IF($D34="","",IF($U34="⚠","⚠ ناتراز",IF($E34="","⚠ حساب","✓")))</f>
        <v/>
      </c>
      <c r="M34" s="72" t="n"/>
      <c r="N34" s="76">
        <f>IF(OR($E34="",$K34=0),0,IF(IFERROR(VLOOKUP($D34,OpTbl,7,0),"")="بدهکار",$K34,0))</f>
        <v/>
      </c>
      <c r="O34" s="76">
        <f>IF(OR($E34="",$K34=0),0,IF(IFERROR(VLOOKUP($D34,OpTbl,7,0),"")="بستانکار",$K34,0))</f>
        <v/>
      </c>
      <c r="P34" s="70">
        <f>IF($D34="","",IFERROR(VLOOKUP($D34,OpTbl,8,0),""))</f>
        <v/>
      </c>
      <c r="Q34" s="76">
        <f>IF(OR($P34="",$K34=0),0,IF(IFERROR(VLOOKUP($D34,OpTbl,9,0),"")="بدهکار",$K34,0))</f>
        <v/>
      </c>
      <c r="R34" s="76">
        <f>IF(OR($P34="",$K34=0),0,IF(IFERROR(VLOOKUP($D34,OpTbl,9,0),"")="بستانکار",$K34,0))</f>
        <v/>
      </c>
      <c r="S34" s="76">
        <f>SUM($N34,$Q34)</f>
        <v/>
      </c>
      <c r="T34" s="76">
        <f>SUM($O34,$R34)</f>
        <v/>
      </c>
      <c r="U34" s="70">
        <f>IF($D34="","",IF(ROUND($S34-$T34,0)=0,"✓","⚠"))</f>
        <v/>
      </c>
      <c r="V34" s="76">
        <f>IF($E34="","",$K34)</f>
        <v/>
      </c>
    </row>
    <row r="35" ht="21.75" customHeight="1">
      <c r="A35" s="70">
        <f>IF($B35="","",COUNTA($B$10:$B35))</f>
        <v/>
      </c>
      <c r="B35" s="71" t="n"/>
      <c r="C35" s="71" t="n"/>
      <c r="D35" s="72" t="n"/>
      <c r="E35" s="71" t="n"/>
      <c r="F35" s="73">
        <f>IF($E35="","",IFERROR(VLOOKUP($E35,AcctTbl,2,0),"کد ناشناخته"))</f>
        <v/>
      </c>
      <c r="G35" s="70">
        <f>IF($E35="","",IFERROR(VLOOKUP($E35,AcctTbl,3,0),""))</f>
        <v/>
      </c>
      <c r="H35" s="71" t="n"/>
      <c r="I35" s="74" t="n"/>
      <c r="J35" s="74" t="n"/>
      <c r="K35" s="76">
        <f>IF(OR($I35="",$J35=""),0,ROUND($I35*$J35,-3))</f>
        <v/>
      </c>
      <c r="L35" s="77">
        <f>IF($D35="","",IF($U35="⚠","⚠ ناتراز",IF($E35="","⚠ حساب","✓")))</f>
        <v/>
      </c>
      <c r="M35" s="72" t="n"/>
      <c r="N35" s="76">
        <f>IF(OR($E35="",$K35=0),0,IF(IFERROR(VLOOKUP($D35,OpTbl,7,0),"")="بدهکار",$K35,0))</f>
        <v/>
      </c>
      <c r="O35" s="76">
        <f>IF(OR($E35="",$K35=0),0,IF(IFERROR(VLOOKUP($D35,OpTbl,7,0),"")="بستانکار",$K35,0))</f>
        <v/>
      </c>
      <c r="P35" s="70">
        <f>IF($D35="","",IFERROR(VLOOKUP($D35,OpTbl,8,0),""))</f>
        <v/>
      </c>
      <c r="Q35" s="76">
        <f>IF(OR($P35="",$K35=0),0,IF(IFERROR(VLOOKUP($D35,OpTbl,9,0),"")="بدهکار",$K35,0))</f>
        <v/>
      </c>
      <c r="R35" s="76">
        <f>IF(OR($P35="",$K35=0),0,IF(IFERROR(VLOOKUP($D35,OpTbl,9,0),"")="بستانکار",$K35,0))</f>
        <v/>
      </c>
      <c r="S35" s="76">
        <f>SUM($N35,$Q35)</f>
        <v/>
      </c>
      <c r="T35" s="76">
        <f>SUM($O35,$R35)</f>
        <v/>
      </c>
      <c r="U35" s="70">
        <f>IF($D35="","",IF(ROUND($S35-$T35,0)=0,"✓","⚠"))</f>
        <v/>
      </c>
      <c r="V35" s="76">
        <f>IF($E35="","",$K35)</f>
        <v/>
      </c>
    </row>
    <row r="36" ht="21.75" customHeight="1">
      <c r="A36" s="70">
        <f>IF($B36="","",COUNTA($B$10:$B36))</f>
        <v/>
      </c>
      <c r="B36" s="71" t="n"/>
      <c r="C36" s="71" t="n"/>
      <c r="D36" s="72" t="n"/>
      <c r="E36" s="71" t="n"/>
      <c r="F36" s="73">
        <f>IF($E36="","",IFERROR(VLOOKUP($E36,AcctTbl,2,0),"کد ناشناخته"))</f>
        <v/>
      </c>
      <c r="G36" s="70">
        <f>IF($E36="","",IFERROR(VLOOKUP($E36,AcctTbl,3,0),""))</f>
        <v/>
      </c>
      <c r="H36" s="71" t="n"/>
      <c r="I36" s="74" t="n"/>
      <c r="J36" s="74" t="n"/>
      <c r="K36" s="76">
        <f>IF(OR($I36="",$J36=""),0,ROUND($I36*$J36,-3))</f>
        <v/>
      </c>
      <c r="L36" s="77">
        <f>IF($D36="","",IF($U36="⚠","⚠ ناتراز",IF($E36="","⚠ حساب","✓")))</f>
        <v/>
      </c>
      <c r="M36" s="72" t="n"/>
      <c r="N36" s="76">
        <f>IF(OR($E36="",$K36=0),0,IF(IFERROR(VLOOKUP($D36,OpTbl,7,0),"")="بدهکار",$K36,0))</f>
        <v/>
      </c>
      <c r="O36" s="76">
        <f>IF(OR($E36="",$K36=0),0,IF(IFERROR(VLOOKUP($D36,OpTbl,7,0),"")="بستانکار",$K36,0))</f>
        <v/>
      </c>
      <c r="P36" s="70">
        <f>IF($D36="","",IFERROR(VLOOKUP($D36,OpTbl,8,0),""))</f>
        <v/>
      </c>
      <c r="Q36" s="76">
        <f>IF(OR($P36="",$K36=0),0,IF(IFERROR(VLOOKUP($D36,OpTbl,9,0),"")="بدهکار",$K36,0))</f>
        <v/>
      </c>
      <c r="R36" s="76">
        <f>IF(OR($P36="",$K36=0),0,IF(IFERROR(VLOOKUP($D36,OpTbl,9,0),"")="بستانکار",$K36,0))</f>
        <v/>
      </c>
      <c r="S36" s="76">
        <f>SUM($N36,$Q36)</f>
        <v/>
      </c>
      <c r="T36" s="76">
        <f>SUM($O36,$R36)</f>
        <v/>
      </c>
      <c r="U36" s="70">
        <f>IF($D36="","",IF(ROUND($S36-$T36,0)=0,"✓","⚠"))</f>
        <v/>
      </c>
      <c r="V36" s="76">
        <f>IF($E36="","",$K36)</f>
        <v/>
      </c>
    </row>
    <row r="37" ht="21.75" customHeight="1">
      <c r="A37" s="70">
        <f>IF($B37="","",COUNTA($B$10:$B37))</f>
        <v/>
      </c>
      <c r="B37" s="71" t="n"/>
      <c r="C37" s="71" t="n"/>
      <c r="D37" s="72" t="n"/>
      <c r="E37" s="71" t="n"/>
      <c r="F37" s="73">
        <f>IF($E37="","",IFERROR(VLOOKUP($E37,AcctTbl,2,0),"کد ناشناخته"))</f>
        <v/>
      </c>
      <c r="G37" s="70">
        <f>IF($E37="","",IFERROR(VLOOKUP($E37,AcctTbl,3,0),""))</f>
        <v/>
      </c>
      <c r="H37" s="71" t="n"/>
      <c r="I37" s="74" t="n"/>
      <c r="J37" s="74" t="n"/>
      <c r="K37" s="76">
        <f>IF(OR($I37="",$J37=""),0,ROUND($I37*$J37,-3))</f>
        <v/>
      </c>
      <c r="L37" s="77">
        <f>IF($D37="","",IF($U37="⚠","⚠ ناتراز",IF($E37="","⚠ حساب","✓")))</f>
        <v/>
      </c>
      <c r="M37" s="72" t="n"/>
      <c r="N37" s="76">
        <f>IF(OR($E37="",$K37=0),0,IF(IFERROR(VLOOKUP($D37,OpTbl,7,0),"")="بدهکار",$K37,0))</f>
        <v/>
      </c>
      <c r="O37" s="76">
        <f>IF(OR($E37="",$K37=0),0,IF(IFERROR(VLOOKUP($D37,OpTbl,7,0),"")="بستانکار",$K37,0))</f>
        <v/>
      </c>
      <c r="P37" s="70">
        <f>IF($D37="","",IFERROR(VLOOKUP($D37,OpTbl,8,0),""))</f>
        <v/>
      </c>
      <c r="Q37" s="76">
        <f>IF(OR($P37="",$K37=0),0,IF(IFERROR(VLOOKUP($D37,OpTbl,9,0),"")="بدهکار",$K37,0))</f>
        <v/>
      </c>
      <c r="R37" s="76">
        <f>IF(OR($P37="",$K37=0),0,IF(IFERROR(VLOOKUP($D37,OpTbl,9,0),"")="بستانکار",$K37,0))</f>
        <v/>
      </c>
      <c r="S37" s="76">
        <f>SUM($N37,$Q37)</f>
        <v/>
      </c>
      <c r="T37" s="76">
        <f>SUM($O37,$R37)</f>
        <v/>
      </c>
      <c r="U37" s="70">
        <f>IF($D37="","",IF(ROUND($S37-$T37,0)=0,"✓","⚠"))</f>
        <v/>
      </c>
      <c r="V37" s="76">
        <f>IF($E37="","",$K37)</f>
        <v/>
      </c>
    </row>
    <row r="38" ht="21.75" customHeight="1">
      <c r="A38" s="70">
        <f>IF($B38="","",COUNTA($B$10:$B38))</f>
        <v/>
      </c>
      <c r="B38" s="71" t="n"/>
      <c r="C38" s="71" t="n"/>
      <c r="D38" s="72" t="n"/>
      <c r="E38" s="71" t="n"/>
      <c r="F38" s="73">
        <f>IF($E38="","",IFERROR(VLOOKUP($E38,AcctTbl,2,0),"کد ناشناخته"))</f>
        <v/>
      </c>
      <c r="G38" s="70">
        <f>IF($E38="","",IFERROR(VLOOKUP($E38,AcctTbl,3,0),""))</f>
        <v/>
      </c>
      <c r="H38" s="71" t="n"/>
      <c r="I38" s="74" t="n"/>
      <c r="J38" s="74" t="n"/>
      <c r="K38" s="76">
        <f>IF(OR($I38="",$J38=""),0,ROUND($I38*$J38,-3))</f>
        <v/>
      </c>
      <c r="L38" s="77">
        <f>IF($D38="","",IF($U38="⚠","⚠ ناتراز",IF($E38="","⚠ حساب","✓")))</f>
        <v/>
      </c>
      <c r="M38" s="72" t="n"/>
      <c r="N38" s="76">
        <f>IF(OR($E38="",$K38=0),0,IF(IFERROR(VLOOKUP($D38,OpTbl,7,0),"")="بدهکار",$K38,0))</f>
        <v/>
      </c>
      <c r="O38" s="76">
        <f>IF(OR($E38="",$K38=0),0,IF(IFERROR(VLOOKUP($D38,OpTbl,7,0),"")="بستانکار",$K38,0))</f>
        <v/>
      </c>
      <c r="P38" s="70">
        <f>IF($D38="","",IFERROR(VLOOKUP($D38,OpTbl,8,0),""))</f>
        <v/>
      </c>
      <c r="Q38" s="76">
        <f>IF(OR($P38="",$K38=0),0,IF(IFERROR(VLOOKUP($D38,OpTbl,9,0),"")="بدهکار",$K38,0))</f>
        <v/>
      </c>
      <c r="R38" s="76">
        <f>IF(OR($P38="",$K38=0),0,IF(IFERROR(VLOOKUP($D38,OpTbl,9,0),"")="بستانکار",$K38,0))</f>
        <v/>
      </c>
      <c r="S38" s="76">
        <f>SUM($N38,$Q38)</f>
        <v/>
      </c>
      <c r="T38" s="76">
        <f>SUM($O38,$R38)</f>
        <v/>
      </c>
      <c r="U38" s="70">
        <f>IF($D38="","",IF(ROUND($S38-$T38,0)=0,"✓","⚠"))</f>
        <v/>
      </c>
      <c r="V38" s="76">
        <f>IF($E38="","",$K38)</f>
        <v/>
      </c>
    </row>
    <row r="39" ht="21.75" customHeight="1">
      <c r="A39" s="70">
        <f>IF($B39="","",COUNTA($B$10:$B39))</f>
        <v/>
      </c>
      <c r="B39" s="71" t="n"/>
      <c r="C39" s="71" t="n"/>
      <c r="D39" s="72" t="n"/>
      <c r="E39" s="71" t="n"/>
      <c r="F39" s="73">
        <f>IF($E39="","",IFERROR(VLOOKUP($E39,AcctTbl,2,0),"کد ناشناخته"))</f>
        <v/>
      </c>
      <c r="G39" s="70">
        <f>IF($E39="","",IFERROR(VLOOKUP($E39,AcctTbl,3,0),""))</f>
        <v/>
      </c>
      <c r="H39" s="71" t="n"/>
      <c r="I39" s="74" t="n"/>
      <c r="J39" s="74" t="n"/>
      <c r="K39" s="76">
        <f>IF(OR($I39="",$J39=""),0,ROUND($I39*$J39,-3))</f>
        <v/>
      </c>
      <c r="L39" s="77">
        <f>IF($D39="","",IF($U39="⚠","⚠ ناتراز",IF($E39="","⚠ حساب","✓")))</f>
        <v/>
      </c>
      <c r="M39" s="72" t="n"/>
      <c r="N39" s="76">
        <f>IF(OR($E39="",$K39=0),0,IF(IFERROR(VLOOKUP($D39,OpTbl,7,0),"")="بدهکار",$K39,0))</f>
        <v/>
      </c>
      <c r="O39" s="76">
        <f>IF(OR($E39="",$K39=0),0,IF(IFERROR(VLOOKUP($D39,OpTbl,7,0),"")="بستانکار",$K39,0))</f>
        <v/>
      </c>
      <c r="P39" s="70">
        <f>IF($D39="","",IFERROR(VLOOKUP($D39,OpTbl,8,0),""))</f>
        <v/>
      </c>
      <c r="Q39" s="76">
        <f>IF(OR($P39="",$K39=0),0,IF(IFERROR(VLOOKUP($D39,OpTbl,9,0),"")="بدهکار",$K39,0))</f>
        <v/>
      </c>
      <c r="R39" s="76">
        <f>IF(OR($P39="",$K39=0),0,IF(IFERROR(VLOOKUP($D39,OpTbl,9,0),"")="بستانکار",$K39,0))</f>
        <v/>
      </c>
      <c r="S39" s="76">
        <f>SUM($N39,$Q39)</f>
        <v/>
      </c>
      <c r="T39" s="76">
        <f>SUM($O39,$R39)</f>
        <v/>
      </c>
      <c r="U39" s="70">
        <f>IF($D39="","",IF(ROUND($S39-$T39,0)=0,"✓","⚠"))</f>
        <v/>
      </c>
      <c r="V39" s="76">
        <f>IF($E39="","",$K39)</f>
        <v/>
      </c>
    </row>
    <row r="40" ht="21.75" customHeight="1">
      <c r="A40" s="70">
        <f>IF($B40="","",COUNTA($B$10:$B40))</f>
        <v/>
      </c>
      <c r="B40" s="71" t="n"/>
      <c r="C40" s="71" t="n"/>
      <c r="D40" s="72" t="n"/>
      <c r="E40" s="71" t="n"/>
      <c r="F40" s="73">
        <f>IF($E40="","",IFERROR(VLOOKUP($E40,AcctTbl,2,0),"کد ناشناخته"))</f>
        <v/>
      </c>
      <c r="G40" s="70">
        <f>IF($E40="","",IFERROR(VLOOKUP($E40,AcctTbl,3,0),""))</f>
        <v/>
      </c>
      <c r="H40" s="71" t="n"/>
      <c r="I40" s="74" t="n"/>
      <c r="J40" s="74" t="n"/>
      <c r="K40" s="76">
        <f>IF(OR($I40="",$J40=""),0,ROUND($I40*$J40,-3))</f>
        <v/>
      </c>
      <c r="L40" s="77">
        <f>IF($D40="","",IF($U40="⚠","⚠ ناتراز",IF($E40="","⚠ حساب","✓")))</f>
        <v/>
      </c>
      <c r="M40" s="72" t="n"/>
      <c r="N40" s="76">
        <f>IF(OR($E40="",$K40=0),0,IF(IFERROR(VLOOKUP($D40,OpTbl,7,0),"")="بدهکار",$K40,0))</f>
        <v/>
      </c>
      <c r="O40" s="76">
        <f>IF(OR($E40="",$K40=0),0,IF(IFERROR(VLOOKUP($D40,OpTbl,7,0),"")="بستانکار",$K40,0))</f>
        <v/>
      </c>
      <c r="P40" s="70">
        <f>IF($D40="","",IFERROR(VLOOKUP($D40,OpTbl,8,0),""))</f>
        <v/>
      </c>
      <c r="Q40" s="76">
        <f>IF(OR($P40="",$K40=0),0,IF(IFERROR(VLOOKUP($D40,OpTbl,9,0),"")="بدهکار",$K40,0))</f>
        <v/>
      </c>
      <c r="R40" s="76">
        <f>IF(OR($P40="",$K40=0),0,IF(IFERROR(VLOOKUP($D40,OpTbl,9,0),"")="بستانکار",$K40,0))</f>
        <v/>
      </c>
      <c r="S40" s="76">
        <f>SUM($N40,$Q40)</f>
        <v/>
      </c>
      <c r="T40" s="76">
        <f>SUM($O40,$R40)</f>
        <v/>
      </c>
      <c r="U40" s="70">
        <f>IF($D40="","",IF(ROUND($S40-$T40,0)=0,"✓","⚠"))</f>
        <v/>
      </c>
      <c r="V40" s="76">
        <f>IF($E40="","",$K40)</f>
        <v/>
      </c>
    </row>
    <row r="41" ht="21.75" customHeight="1">
      <c r="A41" s="70">
        <f>IF($B41="","",COUNTA($B$10:$B41))</f>
        <v/>
      </c>
      <c r="B41" s="71" t="n"/>
      <c r="C41" s="71" t="n"/>
      <c r="D41" s="72" t="n"/>
      <c r="E41" s="71" t="n"/>
      <c r="F41" s="73">
        <f>IF($E41="","",IFERROR(VLOOKUP($E41,AcctTbl,2,0),"کد ناشناخته"))</f>
        <v/>
      </c>
      <c r="G41" s="70">
        <f>IF($E41="","",IFERROR(VLOOKUP($E41,AcctTbl,3,0),""))</f>
        <v/>
      </c>
      <c r="H41" s="71" t="n"/>
      <c r="I41" s="74" t="n"/>
      <c r="J41" s="74" t="n"/>
      <c r="K41" s="76">
        <f>IF(OR($I41="",$J41=""),0,ROUND($I41*$J41,-3))</f>
        <v/>
      </c>
      <c r="L41" s="77">
        <f>IF($D41="","",IF($U41="⚠","⚠ ناتراز",IF($E41="","⚠ حساب","✓")))</f>
        <v/>
      </c>
      <c r="M41" s="72" t="n"/>
      <c r="N41" s="76">
        <f>IF(OR($E41="",$K41=0),0,IF(IFERROR(VLOOKUP($D41,OpTbl,7,0),"")="بدهکار",$K41,0))</f>
        <v/>
      </c>
      <c r="O41" s="76">
        <f>IF(OR($E41="",$K41=0),0,IF(IFERROR(VLOOKUP($D41,OpTbl,7,0),"")="بستانکار",$K41,0))</f>
        <v/>
      </c>
      <c r="P41" s="70">
        <f>IF($D41="","",IFERROR(VLOOKUP($D41,OpTbl,8,0),""))</f>
        <v/>
      </c>
      <c r="Q41" s="76">
        <f>IF(OR($P41="",$K41=0),0,IF(IFERROR(VLOOKUP($D41,OpTbl,9,0),"")="بدهکار",$K41,0))</f>
        <v/>
      </c>
      <c r="R41" s="76">
        <f>IF(OR($P41="",$K41=0),0,IF(IFERROR(VLOOKUP($D41,OpTbl,9,0),"")="بستانکار",$K41,0))</f>
        <v/>
      </c>
      <c r="S41" s="76">
        <f>SUM($N41,$Q41)</f>
        <v/>
      </c>
      <c r="T41" s="76">
        <f>SUM($O41,$R41)</f>
        <v/>
      </c>
      <c r="U41" s="70">
        <f>IF($D41="","",IF(ROUND($S41-$T41,0)=0,"✓","⚠"))</f>
        <v/>
      </c>
      <c r="V41" s="76">
        <f>IF($E41="","",$K41)</f>
        <v/>
      </c>
    </row>
    <row r="42" ht="21.75" customHeight="1">
      <c r="A42" s="70">
        <f>IF($B42="","",COUNTA($B$10:$B42))</f>
        <v/>
      </c>
      <c r="B42" s="71" t="n"/>
      <c r="C42" s="71" t="n"/>
      <c r="D42" s="72" t="n"/>
      <c r="E42" s="71" t="n"/>
      <c r="F42" s="73">
        <f>IF($E42="","",IFERROR(VLOOKUP($E42,AcctTbl,2,0),"کد ناشناخته"))</f>
        <v/>
      </c>
      <c r="G42" s="70">
        <f>IF($E42="","",IFERROR(VLOOKUP($E42,AcctTbl,3,0),""))</f>
        <v/>
      </c>
      <c r="H42" s="71" t="n"/>
      <c r="I42" s="74" t="n"/>
      <c r="J42" s="74" t="n"/>
      <c r="K42" s="76">
        <f>IF(OR($I42="",$J42=""),0,ROUND($I42*$J42,-3))</f>
        <v/>
      </c>
      <c r="L42" s="77">
        <f>IF($D42="","",IF($U42="⚠","⚠ ناتراز",IF($E42="","⚠ حساب","✓")))</f>
        <v/>
      </c>
      <c r="M42" s="72" t="n"/>
      <c r="N42" s="76">
        <f>IF(OR($E42="",$K42=0),0,IF(IFERROR(VLOOKUP($D42,OpTbl,7,0),"")="بدهکار",$K42,0))</f>
        <v/>
      </c>
      <c r="O42" s="76">
        <f>IF(OR($E42="",$K42=0),0,IF(IFERROR(VLOOKUP($D42,OpTbl,7,0),"")="بستانکار",$K42,0))</f>
        <v/>
      </c>
      <c r="P42" s="70">
        <f>IF($D42="","",IFERROR(VLOOKUP($D42,OpTbl,8,0),""))</f>
        <v/>
      </c>
      <c r="Q42" s="76">
        <f>IF(OR($P42="",$K42=0),0,IF(IFERROR(VLOOKUP($D42,OpTbl,9,0),"")="بدهکار",$K42,0))</f>
        <v/>
      </c>
      <c r="R42" s="76">
        <f>IF(OR($P42="",$K42=0),0,IF(IFERROR(VLOOKUP($D42,OpTbl,9,0),"")="بستانکار",$K42,0))</f>
        <v/>
      </c>
      <c r="S42" s="76">
        <f>SUM($N42,$Q42)</f>
        <v/>
      </c>
      <c r="T42" s="76">
        <f>SUM($O42,$R42)</f>
        <v/>
      </c>
      <c r="U42" s="70">
        <f>IF($D42="","",IF(ROUND($S42-$T42,0)=0,"✓","⚠"))</f>
        <v/>
      </c>
      <c r="V42" s="76">
        <f>IF($E42="","",$K42)</f>
        <v/>
      </c>
    </row>
    <row r="43" ht="21.75" customHeight="1">
      <c r="A43" s="70">
        <f>IF($B43="","",COUNTA($B$10:$B43))</f>
        <v/>
      </c>
      <c r="B43" s="71" t="n"/>
      <c r="C43" s="71" t="n"/>
      <c r="D43" s="72" t="n"/>
      <c r="E43" s="71" t="n"/>
      <c r="F43" s="73">
        <f>IF($E43="","",IFERROR(VLOOKUP($E43,AcctTbl,2,0),"کد ناشناخته"))</f>
        <v/>
      </c>
      <c r="G43" s="70">
        <f>IF($E43="","",IFERROR(VLOOKUP($E43,AcctTbl,3,0),""))</f>
        <v/>
      </c>
      <c r="H43" s="71" t="n"/>
      <c r="I43" s="74" t="n"/>
      <c r="J43" s="74" t="n"/>
      <c r="K43" s="76">
        <f>IF(OR($I43="",$J43=""),0,ROUND($I43*$J43,-3))</f>
        <v/>
      </c>
      <c r="L43" s="77">
        <f>IF($D43="","",IF($U43="⚠","⚠ ناتراز",IF($E43="","⚠ حساب","✓")))</f>
        <v/>
      </c>
      <c r="M43" s="72" t="n"/>
      <c r="N43" s="76">
        <f>IF(OR($E43="",$K43=0),0,IF(IFERROR(VLOOKUP($D43,OpTbl,7,0),"")="بدهکار",$K43,0))</f>
        <v/>
      </c>
      <c r="O43" s="76">
        <f>IF(OR($E43="",$K43=0),0,IF(IFERROR(VLOOKUP($D43,OpTbl,7,0),"")="بستانکار",$K43,0))</f>
        <v/>
      </c>
      <c r="P43" s="70">
        <f>IF($D43="","",IFERROR(VLOOKUP($D43,OpTbl,8,0),""))</f>
        <v/>
      </c>
      <c r="Q43" s="76">
        <f>IF(OR($P43="",$K43=0),0,IF(IFERROR(VLOOKUP($D43,OpTbl,9,0),"")="بدهکار",$K43,0))</f>
        <v/>
      </c>
      <c r="R43" s="76">
        <f>IF(OR($P43="",$K43=0),0,IF(IFERROR(VLOOKUP($D43,OpTbl,9,0),"")="بستانکار",$K43,0))</f>
        <v/>
      </c>
      <c r="S43" s="76">
        <f>SUM($N43,$Q43)</f>
        <v/>
      </c>
      <c r="T43" s="76">
        <f>SUM($O43,$R43)</f>
        <v/>
      </c>
      <c r="U43" s="70">
        <f>IF($D43="","",IF(ROUND($S43-$T43,0)=0,"✓","⚠"))</f>
        <v/>
      </c>
      <c r="V43" s="76">
        <f>IF($E43="","",$K43)</f>
        <v/>
      </c>
    </row>
    <row r="44" ht="21.75" customHeight="1">
      <c r="A44" s="70">
        <f>IF($B44="","",COUNTA($B$10:$B44))</f>
        <v/>
      </c>
      <c r="B44" s="71" t="n"/>
      <c r="C44" s="71" t="n"/>
      <c r="D44" s="72" t="n"/>
      <c r="E44" s="71" t="n"/>
      <c r="F44" s="73">
        <f>IF($E44="","",IFERROR(VLOOKUP($E44,AcctTbl,2,0),"کد ناشناخته"))</f>
        <v/>
      </c>
      <c r="G44" s="70">
        <f>IF($E44="","",IFERROR(VLOOKUP($E44,AcctTbl,3,0),""))</f>
        <v/>
      </c>
      <c r="H44" s="71" t="n"/>
      <c r="I44" s="74" t="n"/>
      <c r="J44" s="74" t="n"/>
      <c r="K44" s="76">
        <f>IF(OR($I44="",$J44=""),0,ROUND($I44*$J44,-3))</f>
        <v/>
      </c>
      <c r="L44" s="77">
        <f>IF($D44="","",IF($U44="⚠","⚠ ناتراز",IF($E44="","⚠ حساب","✓")))</f>
        <v/>
      </c>
      <c r="M44" s="72" t="n"/>
      <c r="N44" s="76">
        <f>IF(OR($E44="",$K44=0),0,IF(IFERROR(VLOOKUP($D44,OpTbl,7,0),"")="بدهکار",$K44,0))</f>
        <v/>
      </c>
      <c r="O44" s="76">
        <f>IF(OR($E44="",$K44=0),0,IF(IFERROR(VLOOKUP($D44,OpTbl,7,0),"")="بستانکار",$K44,0))</f>
        <v/>
      </c>
      <c r="P44" s="70">
        <f>IF($D44="","",IFERROR(VLOOKUP($D44,OpTbl,8,0),""))</f>
        <v/>
      </c>
      <c r="Q44" s="76">
        <f>IF(OR($P44="",$K44=0),0,IF(IFERROR(VLOOKUP($D44,OpTbl,9,0),"")="بدهکار",$K44,0))</f>
        <v/>
      </c>
      <c r="R44" s="76">
        <f>IF(OR($P44="",$K44=0),0,IF(IFERROR(VLOOKUP($D44,OpTbl,9,0),"")="بستانکار",$K44,0))</f>
        <v/>
      </c>
      <c r="S44" s="76">
        <f>SUM($N44,$Q44)</f>
        <v/>
      </c>
      <c r="T44" s="76">
        <f>SUM($O44,$R44)</f>
        <v/>
      </c>
      <c r="U44" s="70">
        <f>IF($D44="","",IF(ROUND($S44-$T44,0)=0,"✓","⚠"))</f>
        <v/>
      </c>
      <c r="V44" s="76">
        <f>IF($E44="","",$K44)</f>
        <v/>
      </c>
    </row>
    <row r="45" ht="21.75" customHeight="1">
      <c r="A45" s="70">
        <f>IF($B45="","",COUNTA($B$10:$B45))</f>
        <v/>
      </c>
      <c r="B45" s="71" t="n"/>
      <c r="C45" s="71" t="n"/>
      <c r="D45" s="72" t="n"/>
      <c r="E45" s="71" t="n"/>
      <c r="F45" s="73">
        <f>IF($E45="","",IFERROR(VLOOKUP($E45,AcctTbl,2,0),"کد ناشناخته"))</f>
        <v/>
      </c>
      <c r="G45" s="70">
        <f>IF($E45="","",IFERROR(VLOOKUP($E45,AcctTbl,3,0),""))</f>
        <v/>
      </c>
      <c r="H45" s="71" t="n"/>
      <c r="I45" s="74" t="n"/>
      <c r="J45" s="74" t="n"/>
      <c r="K45" s="76">
        <f>IF(OR($I45="",$J45=""),0,ROUND($I45*$J45,-3))</f>
        <v/>
      </c>
      <c r="L45" s="77">
        <f>IF($D45="","",IF($U45="⚠","⚠ ناتراز",IF($E45="","⚠ حساب","✓")))</f>
        <v/>
      </c>
      <c r="M45" s="72" t="n"/>
      <c r="N45" s="76">
        <f>IF(OR($E45="",$K45=0),0,IF(IFERROR(VLOOKUP($D45,OpTbl,7,0),"")="بدهکار",$K45,0))</f>
        <v/>
      </c>
      <c r="O45" s="76">
        <f>IF(OR($E45="",$K45=0),0,IF(IFERROR(VLOOKUP($D45,OpTbl,7,0),"")="بستانکار",$K45,0))</f>
        <v/>
      </c>
      <c r="P45" s="70">
        <f>IF($D45="","",IFERROR(VLOOKUP($D45,OpTbl,8,0),""))</f>
        <v/>
      </c>
      <c r="Q45" s="76">
        <f>IF(OR($P45="",$K45=0),0,IF(IFERROR(VLOOKUP($D45,OpTbl,9,0),"")="بدهکار",$K45,0))</f>
        <v/>
      </c>
      <c r="R45" s="76">
        <f>IF(OR($P45="",$K45=0),0,IF(IFERROR(VLOOKUP($D45,OpTbl,9,0),"")="بستانکار",$K45,0))</f>
        <v/>
      </c>
      <c r="S45" s="76">
        <f>SUM($N45,$Q45)</f>
        <v/>
      </c>
      <c r="T45" s="76">
        <f>SUM($O45,$R45)</f>
        <v/>
      </c>
      <c r="U45" s="70">
        <f>IF($D45="","",IF(ROUND($S45-$T45,0)=0,"✓","⚠"))</f>
        <v/>
      </c>
      <c r="V45" s="76">
        <f>IF($E45="","",$K45)</f>
        <v/>
      </c>
    </row>
    <row r="46" ht="21.75" customHeight="1">
      <c r="A46" s="70">
        <f>IF($B46="","",COUNTA($B$10:$B46))</f>
        <v/>
      </c>
      <c r="B46" s="71" t="n"/>
      <c r="C46" s="71" t="n"/>
      <c r="D46" s="72" t="n"/>
      <c r="E46" s="71" t="n"/>
      <c r="F46" s="73">
        <f>IF($E46="","",IFERROR(VLOOKUP($E46,AcctTbl,2,0),"کد ناشناخته"))</f>
        <v/>
      </c>
      <c r="G46" s="70">
        <f>IF($E46="","",IFERROR(VLOOKUP($E46,AcctTbl,3,0),""))</f>
        <v/>
      </c>
      <c r="H46" s="71" t="n"/>
      <c r="I46" s="74" t="n"/>
      <c r="J46" s="74" t="n"/>
      <c r="K46" s="76">
        <f>IF(OR($I46="",$J46=""),0,ROUND($I46*$J46,-3))</f>
        <v/>
      </c>
      <c r="L46" s="77">
        <f>IF($D46="","",IF($U46="⚠","⚠ ناتراز",IF($E46="","⚠ حساب","✓")))</f>
        <v/>
      </c>
      <c r="M46" s="72" t="n"/>
      <c r="N46" s="76">
        <f>IF(OR($E46="",$K46=0),0,IF(IFERROR(VLOOKUP($D46,OpTbl,7,0),"")="بدهکار",$K46,0))</f>
        <v/>
      </c>
      <c r="O46" s="76">
        <f>IF(OR($E46="",$K46=0),0,IF(IFERROR(VLOOKUP($D46,OpTbl,7,0),"")="بستانکار",$K46,0))</f>
        <v/>
      </c>
      <c r="P46" s="70">
        <f>IF($D46="","",IFERROR(VLOOKUP($D46,OpTbl,8,0),""))</f>
        <v/>
      </c>
      <c r="Q46" s="76">
        <f>IF(OR($P46="",$K46=0),0,IF(IFERROR(VLOOKUP($D46,OpTbl,9,0),"")="بدهکار",$K46,0))</f>
        <v/>
      </c>
      <c r="R46" s="76">
        <f>IF(OR($P46="",$K46=0),0,IF(IFERROR(VLOOKUP($D46,OpTbl,9,0),"")="بستانکار",$K46,0))</f>
        <v/>
      </c>
      <c r="S46" s="76">
        <f>SUM($N46,$Q46)</f>
        <v/>
      </c>
      <c r="T46" s="76">
        <f>SUM($O46,$R46)</f>
        <v/>
      </c>
      <c r="U46" s="70">
        <f>IF($D46="","",IF(ROUND($S46-$T46,0)=0,"✓","⚠"))</f>
        <v/>
      </c>
      <c r="V46" s="76">
        <f>IF($E46="","",$K46)</f>
        <v/>
      </c>
    </row>
    <row r="47" ht="21.75" customHeight="1">
      <c r="A47" s="70">
        <f>IF($B47="","",COUNTA($B$10:$B47))</f>
        <v/>
      </c>
      <c r="B47" s="71" t="n"/>
      <c r="C47" s="71" t="n"/>
      <c r="D47" s="72" t="n"/>
      <c r="E47" s="71" t="n"/>
      <c r="F47" s="73">
        <f>IF($E47="","",IFERROR(VLOOKUP($E47,AcctTbl,2,0),"کد ناشناخته"))</f>
        <v/>
      </c>
      <c r="G47" s="70">
        <f>IF($E47="","",IFERROR(VLOOKUP($E47,AcctTbl,3,0),""))</f>
        <v/>
      </c>
      <c r="H47" s="71" t="n"/>
      <c r="I47" s="74" t="n"/>
      <c r="J47" s="74" t="n"/>
      <c r="K47" s="76">
        <f>IF(OR($I47="",$J47=""),0,ROUND($I47*$J47,-3))</f>
        <v/>
      </c>
      <c r="L47" s="77">
        <f>IF($D47="","",IF($U47="⚠","⚠ ناتراز",IF($E47="","⚠ حساب","✓")))</f>
        <v/>
      </c>
      <c r="M47" s="72" t="n"/>
      <c r="N47" s="76">
        <f>IF(OR($E47="",$K47=0),0,IF(IFERROR(VLOOKUP($D47,OpTbl,7,0),"")="بدهکار",$K47,0))</f>
        <v/>
      </c>
      <c r="O47" s="76">
        <f>IF(OR($E47="",$K47=0),0,IF(IFERROR(VLOOKUP($D47,OpTbl,7,0),"")="بستانکار",$K47,0))</f>
        <v/>
      </c>
      <c r="P47" s="70">
        <f>IF($D47="","",IFERROR(VLOOKUP($D47,OpTbl,8,0),""))</f>
        <v/>
      </c>
      <c r="Q47" s="76">
        <f>IF(OR($P47="",$K47=0),0,IF(IFERROR(VLOOKUP($D47,OpTbl,9,0),"")="بدهکار",$K47,0))</f>
        <v/>
      </c>
      <c r="R47" s="76">
        <f>IF(OR($P47="",$K47=0),0,IF(IFERROR(VLOOKUP($D47,OpTbl,9,0),"")="بستانکار",$K47,0))</f>
        <v/>
      </c>
      <c r="S47" s="76">
        <f>SUM($N47,$Q47)</f>
        <v/>
      </c>
      <c r="T47" s="76">
        <f>SUM($O47,$R47)</f>
        <v/>
      </c>
      <c r="U47" s="70">
        <f>IF($D47="","",IF(ROUND($S47-$T47,0)=0,"✓","⚠"))</f>
        <v/>
      </c>
      <c r="V47" s="76">
        <f>IF($E47="","",$K47)</f>
        <v/>
      </c>
    </row>
    <row r="48" ht="21.75" customHeight="1">
      <c r="A48" s="70">
        <f>IF($B48="","",COUNTA($B$10:$B48))</f>
        <v/>
      </c>
      <c r="B48" s="71" t="n"/>
      <c r="C48" s="71" t="n"/>
      <c r="D48" s="72" t="n"/>
      <c r="E48" s="71" t="n"/>
      <c r="F48" s="73">
        <f>IF($E48="","",IFERROR(VLOOKUP($E48,AcctTbl,2,0),"کد ناشناخته"))</f>
        <v/>
      </c>
      <c r="G48" s="70">
        <f>IF($E48="","",IFERROR(VLOOKUP($E48,AcctTbl,3,0),""))</f>
        <v/>
      </c>
      <c r="H48" s="71" t="n"/>
      <c r="I48" s="74" t="n"/>
      <c r="J48" s="74" t="n"/>
      <c r="K48" s="76">
        <f>IF(OR($I48="",$J48=""),0,ROUND($I48*$J48,-3))</f>
        <v/>
      </c>
      <c r="L48" s="77">
        <f>IF($D48="","",IF($U48="⚠","⚠ ناتراز",IF($E48="","⚠ حساب","✓")))</f>
        <v/>
      </c>
      <c r="M48" s="72" t="n"/>
      <c r="N48" s="76">
        <f>IF(OR($E48="",$K48=0),0,IF(IFERROR(VLOOKUP($D48,OpTbl,7,0),"")="بدهکار",$K48,0))</f>
        <v/>
      </c>
      <c r="O48" s="76">
        <f>IF(OR($E48="",$K48=0),0,IF(IFERROR(VLOOKUP($D48,OpTbl,7,0),"")="بستانکار",$K48,0))</f>
        <v/>
      </c>
      <c r="P48" s="70">
        <f>IF($D48="","",IFERROR(VLOOKUP($D48,OpTbl,8,0),""))</f>
        <v/>
      </c>
      <c r="Q48" s="76">
        <f>IF(OR($P48="",$K48=0),0,IF(IFERROR(VLOOKUP($D48,OpTbl,9,0),"")="بدهکار",$K48,0))</f>
        <v/>
      </c>
      <c r="R48" s="76">
        <f>IF(OR($P48="",$K48=0),0,IF(IFERROR(VLOOKUP($D48,OpTbl,9,0),"")="بستانکار",$K48,0))</f>
        <v/>
      </c>
      <c r="S48" s="76">
        <f>SUM($N48,$Q48)</f>
        <v/>
      </c>
      <c r="T48" s="76">
        <f>SUM($O48,$R48)</f>
        <v/>
      </c>
      <c r="U48" s="70">
        <f>IF($D48="","",IF(ROUND($S48-$T48,0)=0,"✓","⚠"))</f>
        <v/>
      </c>
      <c r="V48" s="76">
        <f>IF($E48="","",$K48)</f>
        <v/>
      </c>
    </row>
    <row r="49" ht="21.75" customHeight="1">
      <c r="A49" s="70">
        <f>IF($B49="","",COUNTA($B$10:$B49))</f>
        <v/>
      </c>
      <c r="B49" s="71" t="n"/>
      <c r="C49" s="71" t="n"/>
      <c r="D49" s="72" t="n"/>
      <c r="E49" s="71" t="n"/>
      <c r="F49" s="73">
        <f>IF($E49="","",IFERROR(VLOOKUP($E49,AcctTbl,2,0),"کد ناشناخته"))</f>
        <v/>
      </c>
      <c r="G49" s="70">
        <f>IF($E49="","",IFERROR(VLOOKUP($E49,AcctTbl,3,0),""))</f>
        <v/>
      </c>
      <c r="H49" s="71" t="n"/>
      <c r="I49" s="74" t="n"/>
      <c r="J49" s="74" t="n"/>
      <c r="K49" s="76">
        <f>IF(OR($I49="",$J49=""),0,ROUND($I49*$J49,-3))</f>
        <v/>
      </c>
      <c r="L49" s="77">
        <f>IF($D49="","",IF($U49="⚠","⚠ ناتراز",IF($E49="","⚠ حساب","✓")))</f>
        <v/>
      </c>
      <c r="M49" s="72" t="n"/>
      <c r="N49" s="76">
        <f>IF(OR($E49="",$K49=0),0,IF(IFERROR(VLOOKUP($D49,OpTbl,7,0),"")="بدهکار",$K49,0))</f>
        <v/>
      </c>
      <c r="O49" s="76">
        <f>IF(OR($E49="",$K49=0),0,IF(IFERROR(VLOOKUP($D49,OpTbl,7,0),"")="بستانکار",$K49,0))</f>
        <v/>
      </c>
      <c r="P49" s="70">
        <f>IF($D49="","",IFERROR(VLOOKUP($D49,OpTbl,8,0),""))</f>
        <v/>
      </c>
      <c r="Q49" s="76">
        <f>IF(OR($P49="",$K49=0),0,IF(IFERROR(VLOOKUP($D49,OpTbl,9,0),"")="بدهکار",$K49,0))</f>
        <v/>
      </c>
      <c r="R49" s="76">
        <f>IF(OR($P49="",$K49=0),0,IF(IFERROR(VLOOKUP($D49,OpTbl,9,0),"")="بستانکار",$K49,0))</f>
        <v/>
      </c>
      <c r="S49" s="76">
        <f>SUM($N49,$Q49)</f>
        <v/>
      </c>
      <c r="T49" s="76">
        <f>SUM($O49,$R49)</f>
        <v/>
      </c>
      <c r="U49" s="70">
        <f>IF($D49="","",IF(ROUND($S49-$T49,0)=0,"✓","⚠"))</f>
        <v/>
      </c>
      <c r="V49" s="76">
        <f>IF($E49="","",$K49)</f>
        <v/>
      </c>
    </row>
    <row r="50" ht="21.75" customHeight="1">
      <c r="A50" s="70">
        <f>IF($B50="","",COUNTA($B$10:$B50))</f>
        <v/>
      </c>
      <c r="B50" s="71" t="n"/>
      <c r="C50" s="71" t="n"/>
      <c r="D50" s="72" t="n"/>
      <c r="E50" s="71" t="n"/>
      <c r="F50" s="73">
        <f>IF($E50="","",IFERROR(VLOOKUP($E50,AcctTbl,2,0),"کد ناشناخته"))</f>
        <v/>
      </c>
      <c r="G50" s="70">
        <f>IF($E50="","",IFERROR(VLOOKUP($E50,AcctTbl,3,0),""))</f>
        <v/>
      </c>
      <c r="H50" s="71" t="n"/>
      <c r="I50" s="74" t="n"/>
      <c r="J50" s="74" t="n"/>
      <c r="K50" s="76">
        <f>IF(OR($I50="",$J50=""),0,ROUND($I50*$J50,-3))</f>
        <v/>
      </c>
      <c r="L50" s="77">
        <f>IF($D50="","",IF($U50="⚠","⚠ ناتراز",IF($E50="","⚠ حساب","✓")))</f>
        <v/>
      </c>
      <c r="M50" s="72" t="n"/>
      <c r="N50" s="76">
        <f>IF(OR($E50="",$K50=0),0,IF(IFERROR(VLOOKUP($D50,OpTbl,7,0),"")="بدهکار",$K50,0))</f>
        <v/>
      </c>
      <c r="O50" s="76">
        <f>IF(OR($E50="",$K50=0),0,IF(IFERROR(VLOOKUP($D50,OpTbl,7,0),"")="بستانکار",$K50,0))</f>
        <v/>
      </c>
      <c r="P50" s="70">
        <f>IF($D50="","",IFERROR(VLOOKUP($D50,OpTbl,8,0),""))</f>
        <v/>
      </c>
      <c r="Q50" s="76">
        <f>IF(OR($P50="",$K50=0),0,IF(IFERROR(VLOOKUP($D50,OpTbl,9,0),"")="بدهکار",$K50,0))</f>
        <v/>
      </c>
      <c r="R50" s="76">
        <f>IF(OR($P50="",$K50=0),0,IF(IFERROR(VLOOKUP($D50,OpTbl,9,0),"")="بستانکار",$K50,0))</f>
        <v/>
      </c>
      <c r="S50" s="76">
        <f>SUM($N50,$Q50)</f>
        <v/>
      </c>
      <c r="T50" s="76">
        <f>SUM($O50,$R50)</f>
        <v/>
      </c>
      <c r="U50" s="70">
        <f>IF($D50="","",IF(ROUND($S50-$T50,0)=0,"✓","⚠"))</f>
        <v/>
      </c>
      <c r="V50" s="76">
        <f>IF($E50="","",$K50)</f>
        <v/>
      </c>
    </row>
    <row r="51" ht="21.75" customHeight="1">
      <c r="A51" s="70">
        <f>IF($B51="","",COUNTA($B$10:$B51))</f>
        <v/>
      </c>
      <c r="B51" s="71" t="n"/>
      <c r="C51" s="71" t="n"/>
      <c r="D51" s="72" t="n"/>
      <c r="E51" s="71" t="n"/>
      <c r="F51" s="73">
        <f>IF($E51="","",IFERROR(VLOOKUP($E51,AcctTbl,2,0),"کد ناشناخته"))</f>
        <v/>
      </c>
      <c r="G51" s="70">
        <f>IF($E51="","",IFERROR(VLOOKUP($E51,AcctTbl,3,0),""))</f>
        <v/>
      </c>
      <c r="H51" s="71" t="n"/>
      <c r="I51" s="74" t="n"/>
      <c r="J51" s="74" t="n"/>
      <c r="K51" s="76">
        <f>IF(OR($I51="",$J51=""),0,ROUND($I51*$J51,-3))</f>
        <v/>
      </c>
      <c r="L51" s="77">
        <f>IF($D51="","",IF($U51="⚠","⚠ ناتراز",IF($E51="","⚠ حساب","✓")))</f>
        <v/>
      </c>
      <c r="M51" s="72" t="n"/>
      <c r="N51" s="76">
        <f>IF(OR($E51="",$K51=0),0,IF(IFERROR(VLOOKUP($D51,OpTbl,7,0),"")="بدهکار",$K51,0))</f>
        <v/>
      </c>
      <c r="O51" s="76">
        <f>IF(OR($E51="",$K51=0),0,IF(IFERROR(VLOOKUP($D51,OpTbl,7,0),"")="بستانکار",$K51,0))</f>
        <v/>
      </c>
      <c r="P51" s="70">
        <f>IF($D51="","",IFERROR(VLOOKUP($D51,OpTbl,8,0),""))</f>
        <v/>
      </c>
      <c r="Q51" s="76">
        <f>IF(OR($P51="",$K51=0),0,IF(IFERROR(VLOOKUP($D51,OpTbl,9,0),"")="بدهکار",$K51,0))</f>
        <v/>
      </c>
      <c r="R51" s="76">
        <f>IF(OR($P51="",$K51=0),0,IF(IFERROR(VLOOKUP($D51,OpTbl,9,0),"")="بستانکار",$K51,0))</f>
        <v/>
      </c>
      <c r="S51" s="76">
        <f>SUM($N51,$Q51)</f>
        <v/>
      </c>
      <c r="T51" s="76">
        <f>SUM($O51,$R51)</f>
        <v/>
      </c>
      <c r="U51" s="70">
        <f>IF($D51="","",IF(ROUND($S51-$T51,0)=0,"✓","⚠"))</f>
        <v/>
      </c>
      <c r="V51" s="76">
        <f>IF($E51="","",$K51)</f>
        <v/>
      </c>
    </row>
    <row r="52" ht="21.75" customHeight="1">
      <c r="A52" s="70">
        <f>IF($B52="","",COUNTA($B$10:$B52))</f>
        <v/>
      </c>
      <c r="B52" s="71" t="n"/>
      <c r="C52" s="71" t="n"/>
      <c r="D52" s="72" t="n"/>
      <c r="E52" s="71" t="n"/>
      <c r="F52" s="73">
        <f>IF($E52="","",IFERROR(VLOOKUP($E52,AcctTbl,2,0),"کد ناشناخته"))</f>
        <v/>
      </c>
      <c r="G52" s="70">
        <f>IF($E52="","",IFERROR(VLOOKUP($E52,AcctTbl,3,0),""))</f>
        <v/>
      </c>
      <c r="H52" s="71" t="n"/>
      <c r="I52" s="74" t="n"/>
      <c r="J52" s="74" t="n"/>
      <c r="K52" s="76">
        <f>IF(OR($I52="",$J52=""),0,ROUND($I52*$J52,-3))</f>
        <v/>
      </c>
      <c r="L52" s="77">
        <f>IF($D52="","",IF($U52="⚠","⚠ ناتراز",IF($E52="","⚠ حساب","✓")))</f>
        <v/>
      </c>
      <c r="M52" s="72" t="n"/>
      <c r="N52" s="76">
        <f>IF(OR($E52="",$K52=0),0,IF(IFERROR(VLOOKUP($D52,OpTbl,7,0),"")="بدهکار",$K52,0))</f>
        <v/>
      </c>
      <c r="O52" s="76">
        <f>IF(OR($E52="",$K52=0),0,IF(IFERROR(VLOOKUP($D52,OpTbl,7,0),"")="بستانکار",$K52,0))</f>
        <v/>
      </c>
      <c r="P52" s="70">
        <f>IF($D52="","",IFERROR(VLOOKUP($D52,OpTbl,8,0),""))</f>
        <v/>
      </c>
      <c r="Q52" s="76">
        <f>IF(OR($P52="",$K52=0),0,IF(IFERROR(VLOOKUP($D52,OpTbl,9,0),"")="بدهکار",$K52,0))</f>
        <v/>
      </c>
      <c r="R52" s="76">
        <f>IF(OR($P52="",$K52=0),0,IF(IFERROR(VLOOKUP($D52,OpTbl,9,0),"")="بستانکار",$K52,0))</f>
        <v/>
      </c>
      <c r="S52" s="76">
        <f>SUM($N52,$Q52)</f>
        <v/>
      </c>
      <c r="T52" s="76">
        <f>SUM($O52,$R52)</f>
        <v/>
      </c>
      <c r="U52" s="70">
        <f>IF($D52="","",IF(ROUND($S52-$T52,0)=0,"✓","⚠"))</f>
        <v/>
      </c>
      <c r="V52" s="76">
        <f>IF($E52="","",$K52)</f>
        <v/>
      </c>
    </row>
    <row r="53" ht="21.75" customHeight="1">
      <c r="A53" s="70">
        <f>IF($B53="","",COUNTA($B$10:$B53))</f>
        <v/>
      </c>
      <c r="B53" s="71" t="n"/>
      <c r="C53" s="71" t="n"/>
      <c r="D53" s="72" t="n"/>
      <c r="E53" s="71" t="n"/>
      <c r="F53" s="73">
        <f>IF($E53="","",IFERROR(VLOOKUP($E53,AcctTbl,2,0),"کد ناشناخته"))</f>
        <v/>
      </c>
      <c r="G53" s="70">
        <f>IF($E53="","",IFERROR(VLOOKUP($E53,AcctTbl,3,0),""))</f>
        <v/>
      </c>
      <c r="H53" s="71" t="n"/>
      <c r="I53" s="74" t="n"/>
      <c r="J53" s="74" t="n"/>
      <c r="K53" s="76">
        <f>IF(OR($I53="",$J53=""),0,ROUND($I53*$J53,-3))</f>
        <v/>
      </c>
      <c r="L53" s="77">
        <f>IF($D53="","",IF($U53="⚠","⚠ ناتراز",IF($E53="","⚠ حساب","✓")))</f>
        <v/>
      </c>
      <c r="M53" s="72" t="n"/>
      <c r="N53" s="76">
        <f>IF(OR($E53="",$K53=0),0,IF(IFERROR(VLOOKUP($D53,OpTbl,7,0),"")="بدهکار",$K53,0))</f>
        <v/>
      </c>
      <c r="O53" s="76">
        <f>IF(OR($E53="",$K53=0),0,IF(IFERROR(VLOOKUP($D53,OpTbl,7,0),"")="بستانکار",$K53,0))</f>
        <v/>
      </c>
      <c r="P53" s="70">
        <f>IF($D53="","",IFERROR(VLOOKUP($D53,OpTbl,8,0),""))</f>
        <v/>
      </c>
      <c r="Q53" s="76">
        <f>IF(OR($P53="",$K53=0),0,IF(IFERROR(VLOOKUP($D53,OpTbl,9,0),"")="بدهکار",$K53,0))</f>
        <v/>
      </c>
      <c r="R53" s="76">
        <f>IF(OR($P53="",$K53=0),0,IF(IFERROR(VLOOKUP($D53,OpTbl,9,0),"")="بستانکار",$K53,0))</f>
        <v/>
      </c>
      <c r="S53" s="76">
        <f>SUM($N53,$Q53)</f>
        <v/>
      </c>
      <c r="T53" s="76">
        <f>SUM($O53,$R53)</f>
        <v/>
      </c>
      <c r="U53" s="70">
        <f>IF($D53="","",IF(ROUND($S53-$T53,0)=0,"✓","⚠"))</f>
        <v/>
      </c>
      <c r="V53" s="76">
        <f>IF($E53="","",$K53)</f>
        <v/>
      </c>
    </row>
    <row r="54" ht="21.75" customHeight="1">
      <c r="A54" s="70">
        <f>IF($B54="","",COUNTA($B$10:$B54))</f>
        <v/>
      </c>
      <c r="B54" s="71" t="n"/>
      <c r="C54" s="71" t="n"/>
      <c r="D54" s="72" t="n"/>
      <c r="E54" s="71" t="n"/>
      <c r="F54" s="73">
        <f>IF($E54="","",IFERROR(VLOOKUP($E54,AcctTbl,2,0),"کد ناشناخته"))</f>
        <v/>
      </c>
      <c r="G54" s="70">
        <f>IF($E54="","",IFERROR(VLOOKUP($E54,AcctTbl,3,0),""))</f>
        <v/>
      </c>
      <c r="H54" s="71" t="n"/>
      <c r="I54" s="74" t="n"/>
      <c r="J54" s="74" t="n"/>
      <c r="K54" s="76">
        <f>IF(OR($I54="",$J54=""),0,ROUND($I54*$J54,-3))</f>
        <v/>
      </c>
      <c r="L54" s="77">
        <f>IF($D54="","",IF($U54="⚠","⚠ ناتراز",IF($E54="","⚠ حساب","✓")))</f>
        <v/>
      </c>
      <c r="M54" s="72" t="n"/>
      <c r="N54" s="76">
        <f>IF(OR($E54="",$K54=0),0,IF(IFERROR(VLOOKUP($D54,OpTbl,7,0),"")="بدهکار",$K54,0))</f>
        <v/>
      </c>
      <c r="O54" s="76">
        <f>IF(OR($E54="",$K54=0),0,IF(IFERROR(VLOOKUP($D54,OpTbl,7,0),"")="بستانکار",$K54,0))</f>
        <v/>
      </c>
      <c r="P54" s="70">
        <f>IF($D54="","",IFERROR(VLOOKUP($D54,OpTbl,8,0),""))</f>
        <v/>
      </c>
      <c r="Q54" s="76">
        <f>IF(OR($P54="",$K54=0),0,IF(IFERROR(VLOOKUP($D54,OpTbl,9,0),"")="بدهکار",$K54,0))</f>
        <v/>
      </c>
      <c r="R54" s="76">
        <f>IF(OR($P54="",$K54=0),0,IF(IFERROR(VLOOKUP($D54,OpTbl,9,0),"")="بستانکار",$K54,0))</f>
        <v/>
      </c>
      <c r="S54" s="76">
        <f>SUM($N54,$Q54)</f>
        <v/>
      </c>
      <c r="T54" s="76">
        <f>SUM($O54,$R54)</f>
        <v/>
      </c>
      <c r="U54" s="70">
        <f>IF($D54="","",IF(ROUND($S54-$T54,0)=0,"✓","⚠"))</f>
        <v/>
      </c>
      <c r="V54" s="76">
        <f>IF($E54="","",$K54)</f>
        <v/>
      </c>
    </row>
    <row r="55" ht="21.75" customHeight="1">
      <c r="A55" s="70">
        <f>IF($B55="","",COUNTA($B$10:$B55))</f>
        <v/>
      </c>
      <c r="B55" s="71" t="n"/>
      <c r="C55" s="71" t="n"/>
      <c r="D55" s="72" t="n"/>
      <c r="E55" s="71" t="n"/>
      <c r="F55" s="73">
        <f>IF($E55="","",IFERROR(VLOOKUP($E55,AcctTbl,2,0),"کد ناشناخته"))</f>
        <v/>
      </c>
      <c r="G55" s="70">
        <f>IF($E55="","",IFERROR(VLOOKUP($E55,AcctTbl,3,0),""))</f>
        <v/>
      </c>
      <c r="H55" s="71" t="n"/>
      <c r="I55" s="74" t="n"/>
      <c r="J55" s="74" t="n"/>
      <c r="K55" s="76">
        <f>IF(OR($I55="",$J55=""),0,ROUND($I55*$J55,-3))</f>
        <v/>
      </c>
      <c r="L55" s="77">
        <f>IF($D55="","",IF($U55="⚠","⚠ ناتراز",IF($E55="","⚠ حساب","✓")))</f>
        <v/>
      </c>
      <c r="M55" s="72" t="n"/>
      <c r="N55" s="76">
        <f>IF(OR($E55="",$K55=0),0,IF(IFERROR(VLOOKUP($D55,OpTbl,7,0),"")="بدهکار",$K55,0))</f>
        <v/>
      </c>
      <c r="O55" s="76">
        <f>IF(OR($E55="",$K55=0),0,IF(IFERROR(VLOOKUP($D55,OpTbl,7,0),"")="بستانکار",$K55,0))</f>
        <v/>
      </c>
      <c r="P55" s="70">
        <f>IF($D55="","",IFERROR(VLOOKUP($D55,OpTbl,8,0),""))</f>
        <v/>
      </c>
      <c r="Q55" s="76">
        <f>IF(OR($P55="",$K55=0),0,IF(IFERROR(VLOOKUP($D55,OpTbl,9,0),"")="بدهکار",$K55,0))</f>
        <v/>
      </c>
      <c r="R55" s="76">
        <f>IF(OR($P55="",$K55=0),0,IF(IFERROR(VLOOKUP($D55,OpTbl,9,0),"")="بستانکار",$K55,0))</f>
        <v/>
      </c>
      <c r="S55" s="76">
        <f>SUM($N55,$Q55)</f>
        <v/>
      </c>
      <c r="T55" s="76">
        <f>SUM($O55,$R55)</f>
        <v/>
      </c>
      <c r="U55" s="70">
        <f>IF($D55="","",IF(ROUND($S55-$T55,0)=0,"✓","⚠"))</f>
        <v/>
      </c>
      <c r="V55" s="76">
        <f>IF($E55="","",$K55)</f>
        <v/>
      </c>
    </row>
    <row r="56" ht="21.75" customHeight="1">
      <c r="A56" s="70">
        <f>IF($B56="","",COUNTA($B$10:$B56))</f>
        <v/>
      </c>
      <c r="B56" s="71" t="n"/>
      <c r="C56" s="71" t="n"/>
      <c r="D56" s="72" t="n"/>
      <c r="E56" s="71" t="n"/>
      <c r="F56" s="73">
        <f>IF($E56="","",IFERROR(VLOOKUP($E56,AcctTbl,2,0),"کد ناشناخته"))</f>
        <v/>
      </c>
      <c r="G56" s="70">
        <f>IF($E56="","",IFERROR(VLOOKUP($E56,AcctTbl,3,0),""))</f>
        <v/>
      </c>
      <c r="H56" s="71" t="n"/>
      <c r="I56" s="74" t="n"/>
      <c r="J56" s="74" t="n"/>
      <c r="K56" s="76">
        <f>IF(OR($I56="",$J56=""),0,ROUND($I56*$J56,-3))</f>
        <v/>
      </c>
      <c r="L56" s="77">
        <f>IF($D56="","",IF($U56="⚠","⚠ ناتراز",IF($E56="","⚠ حساب","✓")))</f>
        <v/>
      </c>
      <c r="M56" s="72" t="n"/>
      <c r="N56" s="76">
        <f>IF(OR($E56="",$K56=0),0,IF(IFERROR(VLOOKUP($D56,OpTbl,7,0),"")="بدهکار",$K56,0))</f>
        <v/>
      </c>
      <c r="O56" s="76">
        <f>IF(OR($E56="",$K56=0),0,IF(IFERROR(VLOOKUP($D56,OpTbl,7,0),"")="بستانکار",$K56,0))</f>
        <v/>
      </c>
      <c r="P56" s="70">
        <f>IF($D56="","",IFERROR(VLOOKUP($D56,OpTbl,8,0),""))</f>
        <v/>
      </c>
      <c r="Q56" s="76">
        <f>IF(OR($P56="",$K56=0),0,IF(IFERROR(VLOOKUP($D56,OpTbl,9,0),"")="بدهکار",$K56,0))</f>
        <v/>
      </c>
      <c r="R56" s="76">
        <f>IF(OR($P56="",$K56=0),0,IF(IFERROR(VLOOKUP($D56,OpTbl,9,0),"")="بستانکار",$K56,0))</f>
        <v/>
      </c>
      <c r="S56" s="76">
        <f>SUM($N56,$Q56)</f>
        <v/>
      </c>
      <c r="T56" s="76">
        <f>SUM($O56,$R56)</f>
        <v/>
      </c>
      <c r="U56" s="70">
        <f>IF($D56="","",IF(ROUND($S56-$T56,0)=0,"✓","⚠"))</f>
        <v/>
      </c>
      <c r="V56" s="76">
        <f>IF($E56="","",$K56)</f>
        <v/>
      </c>
    </row>
    <row r="57" ht="21.75" customHeight="1">
      <c r="A57" s="70">
        <f>IF($B57="","",COUNTA($B$10:$B57))</f>
        <v/>
      </c>
      <c r="B57" s="71" t="n"/>
      <c r="C57" s="71" t="n"/>
      <c r="D57" s="72" t="n"/>
      <c r="E57" s="71" t="n"/>
      <c r="F57" s="73">
        <f>IF($E57="","",IFERROR(VLOOKUP($E57,AcctTbl,2,0),"کد ناشناخته"))</f>
        <v/>
      </c>
      <c r="G57" s="70">
        <f>IF($E57="","",IFERROR(VLOOKUP($E57,AcctTbl,3,0),""))</f>
        <v/>
      </c>
      <c r="H57" s="71" t="n"/>
      <c r="I57" s="74" t="n"/>
      <c r="J57" s="74" t="n"/>
      <c r="K57" s="76">
        <f>IF(OR($I57="",$J57=""),0,ROUND($I57*$J57,-3))</f>
        <v/>
      </c>
      <c r="L57" s="77">
        <f>IF($D57="","",IF($U57="⚠","⚠ ناتراز",IF($E57="","⚠ حساب","✓")))</f>
        <v/>
      </c>
      <c r="M57" s="72" t="n"/>
      <c r="N57" s="76">
        <f>IF(OR($E57="",$K57=0),0,IF(IFERROR(VLOOKUP($D57,OpTbl,7,0),"")="بدهکار",$K57,0))</f>
        <v/>
      </c>
      <c r="O57" s="76">
        <f>IF(OR($E57="",$K57=0),0,IF(IFERROR(VLOOKUP($D57,OpTbl,7,0),"")="بستانکار",$K57,0))</f>
        <v/>
      </c>
      <c r="P57" s="70">
        <f>IF($D57="","",IFERROR(VLOOKUP($D57,OpTbl,8,0),""))</f>
        <v/>
      </c>
      <c r="Q57" s="76">
        <f>IF(OR($P57="",$K57=0),0,IF(IFERROR(VLOOKUP($D57,OpTbl,9,0),"")="بدهکار",$K57,0))</f>
        <v/>
      </c>
      <c r="R57" s="76">
        <f>IF(OR($P57="",$K57=0),0,IF(IFERROR(VLOOKUP($D57,OpTbl,9,0),"")="بستانکار",$K57,0))</f>
        <v/>
      </c>
      <c r="S57" s="76">
        <f>SUM($N57,$Q57)</f>
        <v/>
      </c>
      <c r="T57" s="76">
        <f>SUM($O57,$R57)</f>
        <v/>
      </c>
      <c r="U57" s="70">
        <f>IF($D57="","",IF(ROUND($S57-$T57,0)=0,"✓","⚠"))</f>
        <v/>
      </c>
      <c r="V57" s="76">
        <f>IF($E57="","",$K57)</f>
        <v/>
      </c>
    </row>
    <row r="58" ht="21.75" customHeight="1">
      <c r="A58" s="70">
        <f>IF($B58="","",COUNTA($B$10:$B58))</f>
        <v/>
      </c>
      <c r="B58" s="71" t="n"/>
      <c r="C58" s="71" t="n"/>
      <c r="D58" s="72" t="n"/>
      <c r="E58" s="71" t="n"/>
      <c r="F58" s="73">
        <f>IF($E58="","",IFERROR(VLOOKUP($E58,AcctTbl,2,0),"کد ناشناخته"))</f>
        <v/>
      </c>
      <c r="G58" s="70">
        <f>IF($E58="","",IFERROR(VLOOKUP($E58,AcctTbl,3,0),""))</f>
        <v/>
      </c>
      <c r="H58" s="71" t="n"/>
      <c r="I58" s="74" t="n"/>
      <c r="J58" s="74" t="n"/>
      <c r="K58" s="76">
        <f>IF(OR($I58="",$J58=""),0,ROUND($I58*$J58,-3))</f>
        <v/>
      </c>
      <c r="L58" s="77">
        <f>IF($D58="","",IF($U58="⚠","⚠ ناتراز",IF($E58="","⚠ حساب","✓")))</f>
        <v/>
      </c>
      <c r="M58" s="72" t="n"/>
      <c r="N58" s="76">
        <f>IF(OR($E58="",$K58=0),0,IF(IFERROR(VLOOKUP($D58,OpTbl,7,0),"")="بدهکار",$K58,0))</f>
        <v/>
      </c>
      <c r="O58" s="76">
        <f>IF(OR($E58="",$K58=0),0,IF(IFERROR(VLOOKUP($D58,OpTbl,7,0),"")="بستانکار",$K58,0))</f>
        <v/>
      </c>
      <c r="P58" s="70">
        <f>IF($D58="","",IFERROR(VLOOKUP($D58,OpTbl,8,0),""))</f>
        <v/>
      </c>
      <c r="Q58" s="76">
        <f>IF(OR($P58="",$K58=0),0,IF(IFERROR(VLOOKUP($D58,OpTbl,9,0),"")="بدهکار",$K58,0))</f>
        <v/>
      </c>
      <c r="R58" s="76">
        <f>IF(OR($P58="",$K58=0),0,IF(IFERROR(VLOOKUP($D58,OpTbl,9,0),"")="بستانکار",$K58,0))</f>
        <v/>
      </c>
      <c r="S58" s="76">
        <f>SUM($N58,$Q58)</f>
        <v/>
      </c>
      <c r="T58" s="76">
        <f>SUM($O58,$R58)</f>
        <v/>
      </c>
      <c r="U58" s="70">
        <f>IF($D58="","",IF(ROUND($S58-$T58,0)=0,"✓","⚠"))</f>
        <v/>
      </c>
      <c r="V58" s="76">
        <f>IF($E58="","",$K58)</f>
        <v/>
      </c>
    </row>
    <row r="59" ht="21.75" customHeight="1">
      <c r="A59" s="70">
        <f>IF($B59="","",COUNTA($B$10:$B59))</f>
        <v/>
      </c>
      <c r="B59" s="71" t="n"/>
      <c r="C59" s="71" t="n"/>
      <c r="D59" s="72" t="n"/>
      <c r="E59" s="71" t="n"/>
      <c r="F59" s="73">
        <f>IF($E59="","",IFERROR(VLOOKUP($E59,AcctTbl,2,0),"کد ناشناخته"))</f>
        <v/>
      </c>
      <c r="G59" s="70">
        <f>IF($E59="","",IFERROR(VLOOKUP($E59,AcctTbl,3,0),""))</f>
        <v/>
      </c>
      <c r="H59" s="71" t="n"/>
      <c r="I59" s="74" t="n"/>
      <c r="J59" s="74" t="n"/>
      <c r="K59" s="76">
        <f>IF(OR($I59="",$J59=""),0,ROUND($I59*$J59,-3))</f>
        <v/>
      </c>
      <c r="L59" s="77">
        <f>IF($D59="","",IF($U59="⚠","⚠ ناتراز",IF($E59="","⚠ حساب","✓")))</f>
        <v/>
      </c>
      <c r="M59" s="72" t="n"/>
      <c r="N59" s="76">
        <f>IF(OR($E59="",$K59=0),0,IF(IFERROR(VLOOKUP($D59,OpTbl,7,0),"")="بدهکار",$K59,0))</f>
        <v/>
      </c>
      <c r="O59" s="76">
        <f>IF(OR($E59="",$K59=0),0,IF(IFERROR(VLOOKUP($D59,OpTbl,7,0),"")="بستانکار",$K59,0))</f>
        <v/>
      </c>
      <c r="P59" s="70">
        <f>IF($D59="","",IFERROR(VLOOKUP($D59,OpTbl,8,0),""))</f>
        <v/>
      </c>
      <c r="Q59" s="76">
        <f>IF(OR($P59="",$K59=0),0,IF(IFERROR(VLOOKUP($D59,OpTbl,9,0),"")="بدهکار",$K59,0))</f>
        <v/>
      </c>
      <c r="R59" s="76">
        <f>IF(OR($P59="",$K59=0),0,IF(IFERROR(VLOOKUP($D59,OpTbl,9,0),"")="بستانکار",$K59,0))</f>
        <v/>
      </c>
      <c r="S59" s="76">
        <f>SUM($N59,$Q59)</f>
        <v/>
      </c>
      <c r="T59" s="76">
        <f>SUM($O59,$R59)</f>
        <v/>
      </c>
      <c r="U59" s="70">
        <f>IF($D59="","",IF(ROUND($S59-$T59,0)=0,"✓","⚠"))</f>
        <v/>
      </c>
      <c r="V59" s="76">
        <f>IF($E59="","",$K59)</f>
        <v/>
      </c>
    </row>
    <row r="60" ht="21.75" customHeight="1">
      <c r="A60" s="70">
        <f>IF($B60="","",COUNTA($B$10:$B60))</f>
        <v/>
      </c>
      <c r="B60" s="71" t="n"/>
      <c r="C60" s="71" t="n"/>
      <c r="D60" s="72" t="n"/>
      <c r="E60" s="71" t="n"/>
      <c r="F60" s="73">
        <f>IF($E60="","",IFERROR(VLOOKUP($E60,AcctTbl,2,0),"کد ناشناخته"))</f>
        <v/>
      </c>
      <c r="G60" s="70">
        <f>IF($E60="","",IFERROR(VLOOKUP($E60,AcctTbl,3,0),""))</f>
        <v/>
      </c>
      <c r="H60" s="71" t="n"/>
      <c r="I60" s="74" t="n"/>
      <c r="J60" s="74" t="n"/>
      <c r="K60" s="76">
        <f>IF(OR($I60="",$J60=""),0,ROUND($I60*$J60,-3))</f>
        <v/>
      </c>
      <c r="L60" s="77">
        <f>IF($D60="","",IF($U60="⚠","⚠ ناتراز",IF($E60="","⚠ حساب","✓")))</f>
        <v/>
      </c>
      <c r="M60" s="72" t="n"/>
      <c r="N60" s="76">
        <f>IF(OR($E60="",$K60=0),0,IF(IFERROR(VLOOKUP($D60,OpTbl,7,0),"")="بدهکار",$K60,0))</f>
        <v/>
      </c>
      <c r="O60" s="76">
        <f>IF(OR($E60="",$K60=0),0,IF(IFERROR(VLOOKUP($D60,OpTbl,7,0),"")="بستانکار",$K60,0))</f>
        <v/>
      </c>
      <c r="P60" s="70">
        <f>IF($D60="","",IFERROR(VLOOKUP($D60,OpTbl,8,0),""))</f>
        <v/>
      </c>
      <c r="Q60" s="76">
        <f>IF(OR($P60="",$K60=0),0,IF(IFERROR(VLOOKUP($D60,OpTbl,9,0),"")="بدهکار",$K60,0))</f>
        <v/>
      </c>
      <c r="R60" s="76">
        <f>IF(OR($P60="",$K60=0),0,IF(IFERROR(VLOOKUP($D60,OpTbl,9,0),"")="بستانکار",$K60,0))</f>
        <v/>
      </c>
      <c r="S60" s="76">
        <f>SUM($N60,$Q60)</f>
        <v/>
      </c>
      <c r="T60" s="76">
        <f>SUM($O60,$R60)</f>
        <v/>
      </c>
      <c r="U60" s="70">
        <f>IF($D60="","",IF(ROUND($S60-$T60,0)=0,"✓","⚠"))</f>
        <v/>
      </c>
      <c r="V60" s="76">
        <f>IF($E60="","",$K60)</f>
        <v/>
      </c>
    </row>
    <row r="61" ht="21.75" customHeight="1">
      <c r="A61" s="70">
        <f>IF($B61="","",COUNTA($B$10:$B61))</f>
        <v/>
      </c>
      <c r="B61" s="71" t="n"/>
      <c r="C61" s="71" t="n"/>
      <c r="D61" s="72" t="n"/>
      <c r="E61" s="71" t="n"/>
      <c r="F61" s="73">
        <f>IF($E61="","",IFERROR(VLOOKUP($E61,AcctTbl,2,0),"کد ناشناخته"))</f>
        <v/>
      </c>
      <c r="G61" s="70">
        <f>IF($E61="","",IFERROR(VLOOKUP($E61,AcctTbl,3,0),""))</f>
        <v/>
      </c>
      <c r="H61" s="71" t="n"/>
      <c r="I61" s="74" t="n"/>
      <c r="J61" s="74" t="n"/>
      <c r="K61" s="76">
        <f>IF(OR($I61="",$J61=""),0,ROUND($I61*$J61,-3))</f>
        <v/>
      </c>
      <c r="L61" s="77">
        <f>IF($D61="","",IF($U61="⚠","⚠ ناتراز",IF($E61="","⚠ حساب","✓")))</f>
        <v/>
      </c>
      <c r="M61" s="72" t="n"/>
      <c r="N61" s="76">
        <f>IF(OR($E61="",$K61=0),0,IF(IFERROR(VLOOKUP($D61,OpTbl,7,0),"")="بدهکار",$K61,0))</f>
        <v/>
      </c>
      <c r="O61" s="76">
        <f>IF(OR($E61="",$K61=0),0,IF(IFERROR(VLOOKUP($D61,OpTbl,7,0),"")="بستانکار",$K61,0))</f>
        <v/>
      </c>
      <c r="P61" s="70">
        <f>IF($D61="","",IFERROR(VLOOKUP($D61,OpTbl,8,0),""))</f>
        <v/>
      </c>
      <c r="Q61" s="76">
        <f>IF(OR($P61="",$K61=0),0,IF(IFERROR(VLOOKUP($D61,OpTbl,9,0),"")="بدهکار",$K61,0))</f>
        <v/>
      </c>
      <c r="R61" s="76">
        <f>IF(OR($P61="",$K61=0),0,IF(IFERROR(VLOOKUP($D61,OpTbl,9,0),"")="بستانکار",$K61,0))</f>
        <v/>
      </c>
      <c r="S61" s="76">
        <f>SUM($N61,$Q61)</f>
        <v/>
      </c>
      <c r="T61" s="76">
        <f>SUM($O61,$R61)</f>
        <v/>
      </c>
      <c r="U61" s="70">
        <f>IF($D61="","",IF(ROUND($S61-$T61,0)=0,"✓","⚠"))</f>
        <v/>
      </c>
      <c r="V61" s="76">
        <f>IF($E61="","",$K61)</f>
        <v/>
      </c>
    </row>
    <row r="62" ht="21.75" customHeight="1">
      <c r="A62" s="70">
        <f>IF($B62="","",COUNTA($B$10:$B62))</f>
        <v/>
      </c>
      <c r="B62" s="71" t="n"/>
      <c r="C62" s="71" t="n"/>
      <c r="D62" s="72" t="n"/>
      <c r="E62" s="71" t="n"/>
      <c r="F62" s="73">
        <f>IF($E62="","",IFERROR(VLOOKUP($E62,AcctTbl,2,0),"کد ناشناخته"))</f>
        <v/>
      </c>
      <c r="G62" s="70">
        <f>IF($E62="","",IFERROR(VLOOKUP($E62,AcctTbl,3,0),""))</f>
        <v/>
      </c>
      <c r="H62" s="71" t="n"/>
      <c r="I62" s="74" t="n"/>
      <c r="J62" s="74" t="n"/>
      <c r="K62" s="76">
        <f>IF(OR($I62="",$J62=""),0,ROUND($I62*$J62,-3))</f>
        <v/>
      </c>
      <c r="L62" s="77">
        <f>IF($D62="","",IF($U62="⚠","⚠ ناتراز",IF($E62="","⚠ حساب","✓")))</f>
        <v/>
      </c>
      <c r="M62" s="72" t="n"/>
      <c r="N62" s="76">
        <f>IF(OR($E62="",$K62=0),0,IF(IFERROR(VLOOKUP($D62,OpTbl,7,0),"")="بدهکار",$K62,0))</f>
        <v/>
      </c>
      <c r="O62" s="76">
        <f>IF(OR($E62="",$K62=0),0,IF(IFERROR(VLOOKUP($D62,OpTbl,7,0),"")="بستانکار",$K62,0))</f>
        <v/>
      </c>
      <c r="P62" s="70">
        <f>IF($D62="","",IFERROR(VLOOKUP($D62,OpTbl,8,0),""))</f>
        <v/>
      </c>
      <c r="Q62" s="76">
        <f>IF(OR($P62="",$K62=0),0,IF(IFERROR(VLOOKUP($D62,OpTbl,9,0),"")="بدهکار",$K62,0))</f>
        <v/>
      </c>
      <c r="R62" s="76">
        <f>IF(OR($P62="",$K62=0),0,IF(IFERROR(VLOOKUP($D62,OpTbl,9,0),"")="بستانکار",$K62,0))</f>
        <v/>
      </c>
      <c r="S62" s="76">
        <f>SUM($N62,$Q62)</f>
        <v/>
      </c>
      <c r="T62" s="76">
        <f>SUM($O62,$R62)</f>
        <v/>
      </c>
      <c r="U62" s="70">
        <f>IF($D62="","",IF(ROUND($S62-$T62,0)=0,"✓","⚠"))</f>
        <v/>
      </c>
      <c r="V62" s="76">
        <f>IF($E62="","",$K62)</f>
        <v/>
      </c>
    </row>
    <row r="63" ht="21.75" customHeight="1">
      <c r="A63" s="70">
        <f>IF($B63="","",COUNTA($B$10:$B63))</f>
        <v/>
      </c>
      <c r="B63" s="71" t="n"/>
      <c r="C63" s="71" t="n"/>
      <c r="D63" s="72" t="n"/>
      <c r="E63" s="71" t="n"/>
      <c r="F63" s="73">
        <f>IF($E63="","",IFERROR(VLOOKUP($E63,AcctTbl,2,0),"کد ناشناخته"))</f>
        <v/>
      </c>
      <c r="G63" s="70">
        <f>IF($E63="","",IFERROR(VLOOKUP($E63,AcctTbl,3,0),""))</f>
        <v/>
      </c>
      <c r="H63" s="71" t="n"/>
      <c r="I63" s="74" t="n"/>
      <c r="J63" s="74" t="n"/>
      <c r="K63" s="76">
        <f>IF(OR($I63="",$J63=""),0,ROUND($I63*$J63,-3))</f>
        <v/>
      </c>
      <c r="L63" s="77">
        <f>IF($D63="","",IF($U63="⚠","⚠ ناتراز",IF($E63="","⚠ حساب","✓")))</f>
        <v/>
      </c>
      <c r="M63" s="72" t="n"/>
      <c r="N63" s="76">
        <f>IF(OR($E63="",$K63=0),0,IF(IFERROR(VLOOKUP($D63,OpTbl,7,0),"")="بدهکار",$K63,0))</f>
        <v/>
      </c>
      <c r="O63" s="76">
        <f>IF(OR($E63="",$K63=0),0,IF(IFERROR(VLOOKUP($D63,OpTbl,7,0),"")="بستانکار",$K63,0))</f>
        <v/>
      </c>
      <c r="P63" s="70">
        <f>IF($D63="","",IFERROR(VLOOKUP($D63,OpTbl,8,0),""))</f>
        <v/>
      </c>
      <c r="Q63" s="76">
        <f>IF(OR($P63="",$K63=0),0,IF(IFERROR(VLOOKUP($D63,OpTbl,9,0),"")="بدهکار",$K63,0))</f>
        <v/>
      </c>
      <c r="R63" s="76">
        <f>IF(OR($P63="",$K63=0),0,IF(IFERROR(VLOOKUP($D63,OpTbl,9,0),"")="بستانکار",$K63,0))</f>
        <v/>
      </c>
      <c r="S63" s="76">
        <f>SUM($N63,$Q63)</f>
        <v/>
      </c>
      <c r="T63" s="76">
        <f>SUM($O63,$R63)</f>
        <v/>
      </c>
      <c r="U63" s="70">
        <f>IF($D63="","",IF(ROUND($S63-$T63,0)=0,"✓","⚠"))</f>
        <v/>
      </c>
      <c r="V63" s="76">
        <f>IF($E63="","",$K63)</f>
        <v/>
      </c>
    </row>
    <row r="64" ht="21.75" customHeight="1">
      <c r="A64" s="70">
        <f>IF($B64="","",COUNTA($B$10:$B64))</f>
        <v/>
      </c>
      <c r="B64" s="71" t="n"/>
      <c r="C64" s="71" t="n"/>
      <c r="D64" s="72" t="n"/>
      <c r="E64" s="71" t="n"/>
      <c r="F64" s="73">
        <f>IF($E64="","",IFERROR(VLOOKUP($E64,AcctTbl,2,0),"کد ناشناخته"))</f>
        <v/>
      </c>
      <c r="G64" s="70">
        <f>IF($E64="","",IFERROR(VLOOKUP($E64,AcctTbl,3,0),""))</f>
        <v/>
      </c>
      <c r="H64" s="71" t="n"/>
      <c r="I64" s="74" t="n"/>
      <c r="J64" s="74" t="n"/>
      <c r="K64" s="76">
        <f>IF(OR($I64="",$J64=""),0,ROUND($I64*$J64,-3))</f>
        <v/>
      </c>
      <c r="L64" s="77">
        <f>IF($D64="","",IF($U64="⚠","⚠ ناتراز",IF($E64="","⚠ حساب","✓")))</f>
        <v/>
      </c>
      <c r="M64" s="72" t="n"/>
      <c r="N64" s="76">
        <f>IF(OR($E64="",$K64=0),0,IF(IFERROR(VLOOKUP($D64,OpTbl,7,0),"")="بدهکار",$K64,0))</f>
        <v/>
      </c>
      <c r="O64" s="76">
        <f>IF(OR($E64="",$K64=0),0,IF(IFERROR(VLOOKUP($D64,OpTbl,7,0),"")="بستانکار",$K64,0))</f>
        <v/>
      </c>
      <c r="P64" s="70">
        <f>IF($D64="","",IFERROR(VLOOKUP($D64,OpTbl,8,0),""))</f>
        <v/>
      </c>
      <c r="Q64" s="76">
        <f>IF(OR($P64="",$K64=0),0,IF(IFERROR(VLOOKUP($D64,OpTbl,9,0),"")="بدهکار",$K64,0))</f>
        <v/>
      </c>
      <c r="R64" s="76">
        <f>IF(OR($P64="",$K64=0),0,IF(IFERROR(VLOOKUP($D64,OpTbl,9,0),"")="بستانکار",$K64,0))</f>
        <v/>
      </c>
      <c r="S64" s="76">
        <f>SUM($N64,$Q64)</f>
        <v/>
      </c>
      <c r="T64" s="76">
        <f>SUM($O64,$R64)</f>
        <v/>
      </c>
      <c r="U64" s="70">
        <f>IF($D64="","",IF(ROUND($S64-$T64,0)=0,"✓","⚠"))</f>
        <v/>
      </c>
      <c r="V64" s="76">
        <f>IF($E64="","",$K64)</f>
        <v/>
      </c>
    </row>
    <row r="65" ht="21.75" customHeight="1">
      <c r="A65" s="70">
        <f>IF($B65="","",COUNTA($B$10:$B65))</f>
        <v/>
      </c>
      <c r="B65" s="71" t="n"/>
      <c r="C65" s="71" t="n"/>
      <c r="D65" s="72" t="n"/>
      <c r="E65" s="71" t="n"/>
      <c r="F65" s="73">
        <f>IF($E65="","",IFERROR(VLOOKUP($E65,AcctTbl,2,0),"کد ناشناخته"))</f>
        <v/>
      </c>
      <c r="G65" s="70">
        <f>IF($E65="","",IFERROR(VLOOKUP($E65,AcctTbl,3,0),""))</f>
        <v/>
      </c>
      <c r="H65" s="71" t="n"/>
      <c r="I65" s="74" t="n"/>
      <c r="J65" s="74" t="n"/>
      <c r="K65" s="76">
        <f>IF(OR($I65="",$J65=""),0,ROUND($I65*$J65,-3))</f>
        <v/>
      </c>
      <c r="L65" s="77">
        <f>IF($D65="","",IF($U65="⚠","⚠ ناتراز",IF($E65="","⚠ حساب","✓")))</f>
        <v/>
      </c>
      <c r="M65" s="72" t="n"/>
      <c r="N65" s="76">
        <f>IF(OR($E65="",$K65=0),0,IF(IFERROR(VLOOKUP($D65,OpTbl,7,0),"")="بدهکار",$K65,0))</f>
        <v/>
      </c>
      <c r="O65" s="76">
        <f>IF(OR($E65="",$K65=0),0,IF(IFERROR(VLOOKUP($D65,OpTbl,7,0),"")="بستانکار",$K65,0))</f>
        <v/>
      </c>
      <c r="P65" s="70">
        <f>IF($D65="","",IFERROR(VLOOKUP($D65,OpTbl,8,0),""))</f>
        <v/>
      </c>
      <c r="Q65" s="76">
        <f>IF(OR($P65="",$K65=0),0,IF(IFERROR(VLOOKUP($D65,OpTbl,9,0),"")="بدهکار",$K65,0))</f>
        <v/>
      </c>
      <c r="R65" s="76">
        <f>IF(OR($P65="",$K65=0),0,IF(IFERROR(VLOOKUP($D65,OpTbl,9,0),"")="بستانکار",$K65,0))</f>
        <v/>
      </c>
      <c r="S65" s="76">
        <f>SUM($N65,$Q65)</f>
        <v/>
      </c>
      <c r="T65" s="76">
        <f>SUM($O65,$R65)</f>
        <v/>
      </c>
      <c r="U65" s="70">
        <f>IF($D65="","",IF(ROUND($S65-$T65,0)=0,"✓","⚠"))</f>
        <v/>
      </c>
      <c r="V65" s="76">
        <f>IF($E65="","",$K65)</f>
        <v/>
      </c>
    </row>
    <row r="66" ht="21.75" customHeight="1">
      <c r="A66" s="70">
        <f>IF($B66="","",COUNTA($B$10:$B66))</f>
        <v/>
      </c>
      <c r="B66" s="71" t="n"/>
      <c r="C66" s="71" t="n"/>
      <c r="D66" s="72" t="n"/>
      <c r="E66" s="71" t="n"/>
      <c r="F66" s="73">
        <f>IF($E66="","",IFERROR(VLOOKUP($E66,AcctTbl,2,0),"کد ناشناخته"))</f>
        <v/>
      </c>
      <c r="G66" s="70">
        <f>IF($E66="","",IFERROR(VLOOKUP($E66,AcctTbl,3,0),""))</f>
        <v/>
      </c>
      <c r="H66" s="71" t="n"/>
      <c r="I66" s="74" t="n"/>
      <c r="J66" s="74" t="n"/>
      <c r="K66" s="76">
        <f>IF(OR($I66="",$J66=""),0,ROUND($I66*$J66,-3))</f>
        <v/>
      </c>
      <c r="L66" s="77">
        <f>IF($D66="","",IF($U66="⚠","⚠ ناتراز",IF($E66="","⚠ حساب","✓")))</f>
        <v/>
      </c>
      <c r="M66" s="72" t="n"/>
      <c r="N66" s="76">
        <f>IF(OR($E66="",$K66=0),0,IF(IFERROR(VLOOKUP($D66,OpTbl,7,0),"")="بدهکار",$K66,0))</f>
        <v/>
      </c>
      <c r="O66" s="76">
        <f>IF(OR($E66="",$K66=0),0,IF(IFERROR(VLOOKUP($D66,OpTbl,7,0),"")="بستانکار",$K66,0))</f>
        <v/>
      </c>
      <c r="P66" s="70">
        <f>IF($D66="","",IFERROR(VLOOKUP($D66,OpTbl,8,0),""))</f>
        <v/>
      </c>
      <c r="Q66" s="76">
        <f>IF(OR($P66="",$K66=0),0,IF(IFERROR(VLOOKUP($D66,OpTbl,9,0),"")="بدهکار",$K66,0))</f>
        <v/>
      </c>
      <c r="R66" s="76">
        <f>IF(OR($P66="",$K66=0),0,IF(IFERROR(VLOOKUP($D66,OpTbl,9,0),"")="بستانکار",$K66,0))</f>
        <v/>
      </c>
      <c r="S66" s="76">
        <f>SUM($N66,$Q66)</f>
        <v/>
      </c>
      <c r="T66" s="76">
        <f>SUM($O66,$R66)</f>
        <v/>
      </c>
      <c r="U66" s="70">
        <f>IF($D66="","",IF(ROUND($S66-$T66,0)=0,"✓","⚠"))</f>
        <v/>
      </c>
      <c r="V66" s="76">
        <f>IF($E66="","",$K66)</f>
        <v/>
      </c>
    </row>
    <row r="67" ht="21.75" customHeight="1">
      <c r="A67" s="70">
        <f>IF($B67="","",COUNTA($B$10:$B67))</f>
        <v/>
      </c>
      <c r="B67" s="71" t="n"/>
      <c r="C67" s="71" t="n"/>
      <c r="D67" s="72" t="n"/>
      <c r="E67" s="71" t="n"/>
      <c r="F67" s="73">
        <f>IF($E67="","",IFERROR(VLOOKUP($E67,AcctTbl,2,0),"کد ناشناخته"))</f>
        <v/>
      </c>
      <c r="G67" s="70">
        <f>IF($E67="","",IFERROR(VLOOKUP($E67,AcctTbl,3,0),""))</f>
        <v/>
      </c>
      <c r="H67" s="71" t="n"/>
      <c r="I67" s="74" t="n"/>
      <c r="J67" s="74" t="n"/>
      <c r="K67" s="76">
        <f>IF(OR($I67="",$J67=""),0,ROUND($I67*$J67,-3))</f>
        <v/>
      </c>
      <c r="L67" s="77">
        <f>IF($D67="","",IF($U67="⚠","⚠ ناتراز",IF($E67="","⚠ حساب","✓")))</f>
        <v/>
      </c>
      <c r="M67" s="72" t="n"/>
      <c r="N67" s="76">
        <f>IF(OR($E67="",$K67=0),0,IF(IFERROR(VLOOKUP($D67,OpTbl,7,0),"")="بدهکار",$K67,0))</f>
        <v/>
      </c>
      <c r="O67" s="76">
        <f>IF(OR($E67="",$K67=0),0,IF(IFERROR(VLOOKUP($D67,OpTbl,7,0),"")="بستانکار",$K67,0))</f>
        <v/>
      </c>
      <c r="P67" s="70">
        <f>IF($D67="","",IFERROR(VLOOKUP($D67,OpTbl,8,0),""))</f>
        <v/>
      </c>
      <c r="Q67" s="76">
        <f>IF(OR($P67="",$K67=0),0,IF(IFERROR(VLOOKUP($D67,OpTbl,9,0),"")="بدهکار",$K67,0))</f>
        <v/>
      </c>
      <c r="R67" s="76">
        <f>IF(OR($P67="",$K67=0),0,IF(IFERROR(VLOOKUP($D67,OpTbl,9,0),"")="بستانکار",$K67,0))</f>
        <v/>
      </c>
      <c r="S67" s="76">
        <f>SUM($N67,$Q67)</f>
        <v/>
      </c>
      <c r="T67" s="76">
        <f>SUM($O67,$R67)</f>
        <v/>
      </c>
      <c r="U67" s="70">
        <f>IF($D67="","",IF(ROUND($S67-$T67,0)=0,"✓","⚠"))</f>
        <v/>
      </c>
      <c r="V67" s="76">
        <f>IF($E67="","",$K67)</f>
        <v/>
      </c>
    </row>
    <row r="68" ht="21.75" customHeight="1">
      <c r="A68" s="70">
        <f>IF($B68="","",COUNTA($B$10:$B68))</f>
        <v/>
      </c>
      <c r="B68" s="71" t="n"/>
      <c r="C68" s="71" t="n"/>
      <c r="D68" s="72" t="n"/>
      <c r="E68" s="71" t="n"/>
      <c r="F68" s="73">
        <f>IF($E68="","",IFERROR(VLOOKUP($E68,AcctTbl,2,0),"کد ناشناخته"))</f>
        <v/>
      </c>
      <c r="G68" s="70">
        <f>IF($E68="","",IFERROR(VLOOKUP($E68,AcctTbl,3,0),""))</f>
        <v/>
      </c>
      <c r="H68" s="71" t="n"/>
      <c r="I68" s="74" t="n"/>
      <c r="J68" s="74" t="n"/>
      <c r="K68" s="76">
        <f>IF(OR($I68="",$J68=""),0,ROUND($I68*$J68,-3))</f>
        <v/>
      </c>
      <c r="L68" s="77">
        <f>IF($D68="","",IF($U68="⚠","⚠ ناتراز",IF($E68="","⚠ حساب","✓")))</f>
        <v/>
      </c>
      <c r="M68" s="72" t="n"/>
      <c r="N68" s="76">
        <f>IF(OR($E68="",$K68=0),0,IF(IFERROR(VLOOKUP($D68,OpTbl,7,0),"")="بدهکار",$K68,0))</f>
        <v/>
      </c>
      <c r="O68" s="76">
        <f>IF(OR($E68="",$K68=0),0,IF(IFERROR(VLOOKUP($D68,OpTbl,7,0),"")="بستانکار",$K68,0))</f>
        <v/>
      </c>
      <c r="P68" s="70">
        <f>IF($D68="","",IFERROR(VLOOKUP($D68,OpTbl,8,0),""))</f>
        <v/>
      </c>
      <c r="Q68" s="76">
        <f>IF(OR($P68="",$K68=0),0,IF(IFERROR(VLOOKUP($D68,OpTbl,9,0),"")="بدهکار",$K68,0))</f>
        <v/>
      </c>
      <c r="R68" s="76">
        <f>IF(OR($P68="",$K68=0),0,IF(IFERROR(VLOOKUP($D68,OpTbl,9,0),"")="بستانکار",$K68,0))</f>
        <v/>
      </c>
      <c r="S68" s="76">
        <f>SUM($N68,$Q68)</f>
        <v/>
      </c>
      <c r="T68" s="76">
        <f>SUM($O68,$R68)</f>
        <v/>
      </c>
      <c r="U68" s="70">
        <f>IF($D68="","",IF(ROUND($S68-$T68,0)=0,"✓","⚠"))</f>
        <v/>
      </c>
      <c r="V68" s="76">
        <f>IF($E68="","",$K68)</f>
        <v/>
      </c>
    </row>
    <row r="69" ht="21.75" customHeight="1">
      <c r="A69" s="70">
        <f>IF($B69="","",COUNTA($B$10:$B69))</f>
        <v/>
      </c>
      <c r="B69" s="71" t="n"/>
      <c r="C69" s="71" t="n"/>
      <c r="D69" s="72" t="n"/>
      <c r="E69" s="71" t="n"/>
      <c r="F69" s="73">
        <f>IF($E69="","",IFERROR(VLOOKUP($E69,AcctTbl,2,0),"کد ناشناخته"))</f>
        <v/>
      </c>
      <c r="G69" s="70">
        <f>IF($E69="","",IFERROR(VLOOKUP($E69,AcctTbl,3,0),""))</f>
        <v/>
      </c>
      <c r="H69" s="71" t="n"/>
      <c r="I69" s="74" t="n"/>
      <c r="J69" s="74" t="n"/>
      <c r="K69" s="76">
        <f>IF(OR($I69="",$J69=""),0,ROUND($I69*$J69,-3))</f>
        <v/>
      </c>
      <c r="L69" s="77">
        <f>IF($D69="","",IF($U69="⚠","⚠ ناتراز",IF($E69="","⚠ حساب","✓")))</f>
        <v/>
      </c>
      <c r="M69" s="72" t="n"/>
      <c r="N69" s="76">
        <f>IF(OR($E69="",$K69=0),0,IF(IFERROR(VLOOKUP($D69,OpTbl,7,0),"")="بدهکار",$K69,0))</f>
        <v/>
      </c>
      <c r="O69" s="76">
        <f>IF(OR($E69="",$K69=0),0,IF(IFERROR(VLOOKUP($D69,OpTbl,7,0),"")="بستانکار",$K69,0))</f>
        <v/>
      </c>
      <c r="P69" s="70">
        <f>IF($D69="","",IFERROR(VLOOKUP($D69,OpTbl,8,0),""))</f>
        <v/>
      </c>
      <c r="Q69" s="76">
        <f>IF(OR($P69="",$K69=0),0,IF(IFERROR(VLOOKUP($D69,OpTbl,9,0),"")="بدهکار",$K69,0))</f>
        <v/>
      </c>
      <c r="R69" s="76">
        <f>IF(OR($P69="",$K69=0),0,IF(IFERROR(VLOOKUP($D69,OpTbl,9,0),"")="بستانکار",$K69,0))</f>
        <v/>
      </c>
      <c r="S69" s="76">
        <f>SUM($N69,$Q69)</f>
        <v/>
      </c>
      <c r="T69" s="76">
        <f>SUM($O69,$R69)</f>
        <v/>
      </c>
      <c r="U69" s="70">
        <f>IF($D69="","",IF(ROUND($S69-$T69,0)=0,"✓","⚠"))</f>
        <v/>
      </c>
      <c r="V69" s="76">
        <f>IF($E69="","",$K69)</f>
        <v/>
      </c>
    </row>
    <row r="70" ht="21.75" customHeight="1">
      <c r="A70" s="70">
        <f>IF($B70="","",COUNTA($B$10:$B70))</f>
        <v/>
      </c>
      <c r="B70" s="71" t="n"/>
      <c r="C70" s="71" t="n"/>
      <c r="D70" s="72" t="n"/>
      <c r="E70" s="71" t="n"/>
      <c r="F70" s="73">
        <f>IF($E70="","",IFERROR(VLOOKUP($E70,AcctTbl,2,0),"کد ناشناخته"))</f>
        <v/>
      </c>
      <c r="G70" s="70">
        <f>IF($E70="","",IFERROR(VLOOKUP($E70,AcctTbl,3,0),""))</f>
        <v/>
      </c>
      <c r="H70" s="71" t="n"/>
      <c r="I70" s="74" t="n"/>
      <c r="J70" s="74" t="n"/>
      <c r="K70" s="76">
        <f>IF(OR($I70="",$J70=""),0,ROUND($I70*$J70,-3))</f>
        <v/>
      </c>
      <c r="L70" s="77">
        <f>IF($D70="","",IF($U70="⚠","⚠ ناتراز",IF($E70="","⚠ حساب","✓")))</f>
        <v/>
      </c>
      <c r="M70" s="72" t="n"/>
      <c r="N70" s="76">
        <f>IF(OR($E70="",$K70=0),0,IF(IFERROR(VLOOKUP($D70,OpTbl,7,0),"")="بدهکار",$K70,0))</f>
        <v/>
      </c>
      <c r="O70" s="76">
        <f>IF(OR($E70="",$K70=0),0,IF(IFERROR(VLOOKUP($D70,OpTbl,7,0),"")="بستانکار",$K70,0))</f>
        <v/>
      </c>
      <c r="P70" s="70">
        <f>IF($D70="","",IFERROR(VLOOKUP($D70,OpTbl,8,0),""))</f>
        <v/>
      </c>
      <c r="Q70" s="76">
        <f>IF(OR($P70="",$K70=0),0,IF(IFERROR(VLOOKUP($D70,OpTbl,9,0),"")="بدهکار",$K70,0))</f>
        <v/>
      </c>
      <c r="R70" s="76">
        <f>IF(OR($P70="",$K70=0),0,IF(IFERROR(VLOOKUP($D70,OpTbl,9,0),"")="بستانکار",$K70,0))</f>
        <v/>
      </c>
      <c r="S70" s="76">
        <f>SUM($N70,$Q70)</f>
        <v/>
      </c>
      <c r="T70" s="76">
        <f>SUM($O70,$R70)</f>
        <v/>
      </c>
      <c r="U70" s="70">
        <f>IF($D70="","",IF(ROUND($S70-$T70,0)=0,"✓","⚠"))</f>
        <v/>
      </c>
      <c r="V70" s="76">
        <f>IF($E70="","",$K70)</f>
        <v/>
      </c>
    </row>
    <row r="71" ht="21.75" customHeight="1">
      <c r="A71" s="70">
        <f>IF($B71="","",COUNTA($B$10:$B71))</f>
        <v/>
      </c>
      <c r="B71" s="71" t="n"/>
      <c r="C71" s="71" t="n"/>
      <c r="D71" s="72" t="n"/>
      <c r="E71" s="71" t="n"/>
      <c r="F71" s="73">
        <f>IF($E71="","",IFERROR(VLOOKUP($E71,AcctTbl,2,0),"کد ناشناخته"))</f>
        <v/>
      </c>
      <c r="G71" s="70">
        <f>IF($E71="","",IFERROR(VLOOKUP($E71,AcctTbl,3,0),""))</f>
        <v/>
      </c>
      <c r="H71" s="71" t="n"/>
      <c r="I71" s="74" t="n"/>
      <c r="J71" s="74" t="n"/>
      <c r="K71" s="76">
        <f>IF(OR($I71="",$J71=""),0,ROUND($I71*$J71,-3))</f>
        <v/>
      </c>
      <c r="L71" s="77">
        <f>IF($D71="","",IF($U71="⚠","⚠ ناتراز",IF($E71="","⚠ حساب","✓")))</f>
        <v/>
      </c>
      <c r="M71" s="72" t="n"/>
      <c r="N71" s="76">
        <f>IF(OR($E71="",$K71=0),0,IF(IFERROR(VLOOKUP($D71,OpTbl,7,0),"")="بدهکار",$K71,0))</f>
        <v/>
      </c>
      <c r="O71" s="76">
        <f>IF(OR($E71="",$K71=0),0,IF(IFERROR(VLOOKUP($D71,OpTbl,7,0),"")="بستانکار",$K71,0))</f>
        <v/>
      </c>
      <c r="P71" s="70">
        <f>IF($D71="","",IFERROR(VLOOKUP($D71,OpTbl,8,0),""))</f>
        <v/>
      </c>
      <c r="Q71" s="76">
        <f>IF(OR($P71="",$K71=0),0,IF(IFERROR(VLOOKUP($D71,OpTbl,9,0),"")="بدهکار",$K71,0))</f>
        <v/>
      </c>
      <c r="R71" s="76">
        <f>IF(OR($P71="",$K71=0),0,IF(IFERROR(VLOOKUP($D71,OpTbl,9,0),"")="بستانکار",$K71,0))</f>
        <v/>
      </c>
      <c r="S71" s="76">
        <f>SUM($N71,$Q71)</f>
        <v/>
      </c>
      <c r="T71" s="76">
        <f>SUM($O71,$R71)</f>
        <v/>
      </c>
      <c r="U71" s="70">
        <f>IF($D71="","",IF(ROUND($S71-$T71,0)=0,"✓","⚠"))</f>
        <v/>
      </c>
      <c r="V71" s="76">
        <f>IF($E71="","",$K71)</f>
        <v/>
      </c>
    </row>
    <row r="72" ht="21.75" customHeight="1">
      <c r="A72" s="70">
        <f>IF($B72="","",COUNTA($B$10:$B72))</f>
        <v/>
      </c>
      <c r="B72" s="71" t="n"/>
      <c r="C72" s="71" t="n"/>
      <c r="D72" s="72" t="n"/>
      <c r="E72" s="71" t="n"/>
      <c r="F72" s="73">
        <f>IF($E72="","",IFERROR(VLOOKUP($E72,AcctTbl,2,0),"کد ناشناخته"))</f>
        <v/>
      </c>
      <c r="G72" s="70">
        <f>IF($E72="","",IFERROR(VLOOKUP($E72,AcctTbl,3,0),""))</f>
        <v/>
      </c>
      <c r="H72" s="71" t="n"/>
      <c r="I72" s="74" t="n"/>
      <c r="J72" s="74" t="n"/>
      <c r="K72" s="76">
        <f>IF(OR($I72="",$J72=""),0,ROUND($I72*$J72,-3))</f>
        <v/>
      </c>
      <c r="L72" s="77">
        <f>IF($D72="","",IF($U72="⚠","⚠ ناتراز",IF($E72="","⚠ حساب","✓")))</f>
        <v/>
      </c>
      <c r="M72" s="72" t="n"/>
      <c r="N72" s="76">
        <f>IF(OR($E72="",$K72=0),0,IF(IFERROR(VLOOKUP($D72,OpTbl,7,0),"")="بدهکار",$K72,0))</f>
        <v/>
      </c>
      <c r="O72" s="76">
        <f>IF(OR($E72="",$K72=0),0,IF(IFERROR(VLOOKUP($D72,OpTbl,7,0),"")="بستانکار",$K72,0))</f>
        <v/>
      </c>
      <c r="P72" s="70">
        <f>IF($D72="","",IFERROR(VLOOKUP($D72,OpTbl,8,0),""))</f>
        <v/>
      </c>
      <c r="Q72" s="76">
        <f>IF(OR($P72="",$K72=0),0,IF(IFERROR(VLOOKUP($D72,OpTbl,9,0),"")="بدهکار",$K72,0))</f>
        <v/>
      </c>
      <c r="R72" s="76">
        <f>IF(OR($P72="",$K72=0),0,IF(IFERROR(VLOOKUP($D72,OpTbl,9,0),"")="بستانکار",$K72,0))</f>
        <v/>
      </c>
      <c r="S72" s="76">
        <f>SUM($N72,$Q72)</f>
        <v/>
      </c>
      <c r="T72" s="76">
        <f>SUM($O72,$R72)</f>
        <v/>
      </c>
      <c r="U72" s="70">
        <f>IF($D72="","",IF(ROUND($S72-$T72,0)=0,"✓","⚠"))</f>
        <v/>
      </c>
      <c r="V72" s="76">
        <f>IF($E72="","",$K72)</f>
        <v/>
      </c>
    </row>
    <row r="73" ht="21.75" customHeight="1">
      <c r="A73" s="70">
        <f>IF($B73="","",COUNTA($B$10:$B73))</f>
        <v/>
      </c>
      <c r="B73" s="71" t="n"/>
      <c r="C73" s="71" t="n"/>
      <c r="D73" s="72" t="n"/>
      <c r="E73" s="71" t="n"/>
      <c r="F73" s="73">
        <f>IF($E73="","",IFERROR(VLOOKUP($E73,AcctTbl,2,0),"کد ناشناخته"))</f>
        <v/>
      </c>
      <c r="G73" s="70">
        <f>IF($E73="","",IFERROR(VLOOKUP($E73,AcctTbl,3,0),""))</f>
        <v/>
      </c>
      <c r="H73" s="71" t="n"/>
      <c r="I73" s="74" t="n"/>
      <c r="J73" s="74" t="n"/>
      <c r="K73" s="76">
        <f>IF(OR($I73="",$J73=""),0,ROUND($I73*$J73,-3))</f>
        <v/>
      </c>
      <c r="L73" s="77">
        <f>IF($D73="","",IF($U73="⚠","⚠ ناتراز",IF($E73="","⚠ حساب","✓")))</f>
        <v/>
      </c>
      <c r="M73" s="72" t="n"/>
      <c r="N73" s="76">
        <f>IF(OR($E73="",$K73=0),0,IF(IFERROR(VLOOKUP($D73,OpTbl,7,0),"")="بدهکار",$K73,0))</f>
        <v/>
      </c>
      <c r="O73" s="76">
        <f>IF(OR($E73="",$K73=0),0,IF(IFERROR(VLOOKUP($D73,OpTbl,7,0),"")="بستانکار",$K73,0))</f>
        <v/>
      </c>
      <c r="P73" s="70">
        <f>IF($D73="","",IFERROR(VLOOKUP($D73,OpTbl,8,0),""))</f>
        <v/>
      </c>
      <c r="Q73" s="76">
        <f>IF(OR($P73="",$K73=0),0,IF(IFERROR(VLOOKUP($D73,OpTbl,9,0),"")="بدهکار",$K73,0))</f>
        <v/>
      </c>
      <c r="R73" s="76">
        <f>IF(OR($P73="",$K73=0),0,IF(IFERROR(VLOOKUP($D73,OpTbl,9,0),"")="بستانکار",$K73,0))</f>
        <v/>
      </c>
      <c r="S73" s="76">
        <f>SUM($N73,$Q73)</f>
        <v/>
      </c>
      <c r="T73" s="76">
        <f>SUM($O73,$R73)</f>
        <v/>
      </c>
      <c r="U73" s="70">
        <f>IF($D73="","",IF(ROUND($S73-$T73,0)=0,"✓","⚠"))</f>
        <v/>
      </c>
      <c r="V73" s="76">
        <f>IF($E73="","",$K73)</f>
        <v/>
      </c>
    </row>
    <row r="74" ht="21.75" customHeight="1">
      <c r="A74" s="70">
        <f>IF($B74="","",COUNTA($B$10:$B74))</f>
        <v/>
      </c>
      <c r="B74" s="71" t="n"/>
      <c r="C74" s="71" t="n"/>
      <c r="D74" s="72" t="n"/>
      <c r="E74" s="71" t="n"/>
      <c r="F74" s="73">
        <f>IF($E74="","",IFERROR(VLOOKUP($E74,AcctTbl,2,0),"کد ناشناخته"))</f>
        <v/>
      </c>
      <c r="G74" s="70">
        <f>IF($E74="","",IFERROR(VLOOKUP($E74,AcctTbl,3,0),""))</f>
        <v/>
      </c>
      <c r="H74" s="71" t="n"/>
      <c r="I74" s="74" t="n"/>
      <c r="J74" s="74" t="n"/>
      <c r="K74" s="76">
        <f>IF(OR($I74="",$J74=""),0,ROUND($I74*$J74,-3))</f>
        <v/>
      </c>
      <c r="L74" s="77">
        <f>IF($D74="","",IF($U74="⚠","⚠ ناتراز",IF($E74="","⚠ حساب","✓")))</f>
        <v/>
      </c>
      <c r="M74" s="72" t="n"/>
      <c r="N74" s="76">
        <f>IF(OR($E74="",$K74=0),0,IF(IFERROR(VLOOKUP($D74,OpTbl,7,0),"")="بدهکار",$K74,0))</f>
        <v/>
      </c>
      <c r="O74" s="76">
        <f>IF(OR($E74="",$K74=0),0,IF(IFERROR(VLOOKUP($D74,OpTbl,7,0),"")="بستانکار",$K74,0))</f>
        <v/>
      </c>
      <c r="P74" s="70">
        <f>IF($D74="","",IFERROR(VLOOKUP($D74,OpTbl,8,0),""))</f>
        <v/>
      </c>
      <c r="Q74" s="76">
        <f>IF(OR($P74="",$K74=0),0,IF(IFERROR(VLOOKUP($D74,OpTbl,9,0),"")="بدهکار",$K74,0))</f>
        <v/>
      </c>
      <c r="R74" s="76">
        <f>IF(OR($P74="",$K74=0),0,IF(IFERROR(VLOOKUP($D74,OpTbl,9,0),"")="بستانکار",$K74,0))</f>
        <v/>
      </c>
      <c r="S74" s="76">
        <f>SUM($N74,$Q74)</f>
        <v/>
      </c>
      <c r="T74" s="76">
        <f>SUM($O74,$R74)</f>
        <v/>
      </c>
      <c r="U74" s="70">
        <f>IF($D74="","",IF(ROUND($S74-$T74,0)=0,"✓","⚠"))</f>
        <v/>
      </c>
      <c r="V74" s="76">
        <f>IF($E74="","",$K74)</f>
        <v/>
      </c>
    </row>
    <row r="75" ht="21.75" customHeight="1">
      <c r="A75" s="70">
        <f>IF($B75="","",COUNTA($B$10:$B75))</f>
        <v/>
      </c>
      <c r="B75" s="71" t="n"/>
      <c r="C75" s="71" t="n"/>
      <c r="D75" s="72" t="n"/>
      <c r="E75" s="71" t="n"/>
      <c r="F75" s="73">
        <f>IF($E75="","",IFERROR(VLOOKUP($E75,AcctTbl,2,0),"کد ناشناخته"))</f>
        <v/>
      </c>
      <c r="G75" s="70">
        <f>IF($E75="","",IFERROR(VLOOKUP($E75,AcctTbl,3,0),""))</f>
        <v/>
      </c>
      <c r="H75" s="71" t="n"/>
      <c r="I75" s="74" t="n"/>
      <c r="J75" s="74" t="n"/>
      <c r="K75" s="76">
        <f>IF(OR($I75="",$J75=""),0,ROUND($I75*$J75,-3))</f>
        <v/>
      </c>
      <c r="L75" s="77">
        <f>IF($D75="","",IF($U75="⚠","⚠ ناتراز",IF($E75="","⚠ حساب","✓")))</f>
        <v/>
      </c>
      <c r="M75" s="72" t="n"/>
      <c r="N75" s="76">
        <f>IF(OR($E75="",$K75=0),0,IF(IFERROR(VLOOKUP($D75,OpTbl,7,0),"")="بدهکار",$K75,0))</f>
        <v/>
      </c>
      <c r="O75" s="76">
        <f>IF(OR($E75="",$K75=0),0,IF(IFERROR(VLOOKUP($D75,OpTbl,7,0),"")="بستانکار",$K75,0))</f>
        <v/>
      </c>
      <c r="P75" s="70">
        <f>IF($D75="","",IFERROR(VLOOKUP($D75,OpTbl,8,0),""))</f>
        <v/>
      </c>
      <c r="Q75" s="76">
        <f>IF(OR($P75="",$K75=0),0,IF(IFERROR(VLOOKUP($D75,OpTbl,9,0),"")="بدهکار",$K75,0))</f>
        <v/>
      </c>
      <c r="R75" s="76">
        <f>IF(OR($P75="",$K75=0),0,IF(IFERROR(VLOOKUP($D75,OpTbl,9,0),"")="بستانکار",$K75,0))</f>
        <v/>
      </c>
      <c r="S75" s="76">
        <f>SUM($N75,$Q75)</f>
        <v/>
      </c>
      <c r="T75" s="76">
        <f>SUM($O75,$R75)</f>
        <v/>
      </c>
      <c r="U75" s="70">
        <f>IF($D75="","",IF(ROUND($S75-$T75,0)=0,"✓","⚠"))</f>
        <v/>
      </c>
      <c r="V75" s="76">
        <f>IF($E75="","",$K75)</f>
        <v/>
      </c>
    </row>
    <row r="76" ht="21.75" customHeight="1">
      <c r="A76" s="70">
        <f>IF($B76="","",COUNTA($B$10:$B76))</f>
        <v/>
      </c>
      <c r="B76" s="71" t="n"/>
      <c r="C76" s="71" t="n"/>
      <c r="D76" s="72" t="n"/>
      <c r="E76" s="71" t="n"/>
      <c r="F76" s="73">
        <f>IF($E76="","",IFERROR(VLOOKUP($E76,AcctTbl,2,0),"کد ناشناخته"))</f>
        <v/>
      </c>
      <c r="G76" s="70">
        <f>IF($E76="","",IFERROR(VLOOKUP($E76,AcctTbl,3,0),""))</f>
        <v/>
      </c>
      <c r="H76" s="71" t="n"/>
      <c r="I76" s="74" t="n"/>
      <c r="J76" s="74" t="n"/>
      <c r="K76" s="76">
        <f>IF(OR($I76="",$J76=""),0,ROUND($I76*$J76,-3))</f>
        <v/>
      </c>
      <c r="L76" s="77">
        <f>IF($D76="","",IF($U76="⚠","⚠ ناتراز",IF($E76="","⚠ حساب","✓")))</f>
        <v/>
      </c>
      <c r="M76" s="72" t="n"/>
      <c r="N76" s="76">
        <f>IF(OR($E76="",$K76=0),0,IF(IFERROR(VLOOKUP($D76,OpTbl,7,0),"")="بدهکار",$K76,0))</f>
        <v/>
      </c>
      <c r="O76" s="76">
        <f>IF(OR($E76="",$K76=0),0,IF(IFERROR(VLOOKUP($D76,OpTbl,7,0),"")="بستانکار",$K76,0))</f>
        <v/>
      </c>
      <c r="P76" s="70">
        <f>IF($D76="","",IFERROR(VLOOKUP($D76,OpTbl,8,0),""))</f>
        <v/>
      </c>
      <c r="Q76" s="76">
        <f>IF(OR($P76="",$K76=0),0,IF(IFERROR(VLOOKUP($D76,OpTbl,9,0),"")="بدهکار",$K76,0))</f>
        <v/>
      </c>
      <c r="R76" s="76">
        <f>IF(OR($P76="",$K76=0),0,IF(IFERROR(VLOOKUP($D76,OpTbl,9,0),"")="بستانکار",$K76,0))</f>
        <v/>
      </c>
      <c r="S76" s="76">
        <f>SUM($N76,$Q76)</f>
        <v/>
      </c>
      <c r="T76" s="76">
        <f>SUM($O76,$R76)</f>
        <v/>
      </c>
      <c r="U76" s="70">
        <f>IF($D76="","",IF(ROUND($S76-$T76,0)=0,"✓","⚠"))</f>
        <v/>
      </c>
      <c r="V76" s="76">
        <f>IF($E76="","",$K76)</f>
        <v/>
      </c>
    </row>
    <row r="77" ht="21.75" customHeight="1">
      <c r="A77" s="70">
        <f>IF($B77="","",COUNTA($B$10:$B77))</f>
        <v/>
      </c>
      <c r="B77" s="71" t="n"/>
      <c r="C77" s="71" t="n"/>
      <c r="D77" s="72" t="n"/>
      <c r="E77" s="71" t="n"/>
      <c r="F77" s="73">
        <f>IF($E77="","",IFERROR(VLOOKUP($E77,AcctTbl,2,0),"کد ناشناخته"))</f>
        <v/>
      </c>
      <c r="G77" s="70">
        <f>IF($E77="","",IFERROR(VLOOKUP($E77,AcctTbl,3,0),""))</f>
        <v/>
      </c>
      <c r="H77" s="71" t="n"/>
      <c r="I77" s="74" t="n"/>
      <c r="J77" s="74" t="n"/>
      <c r="K77" s="76">
        <f>IF(OR($I77="",$J77=""),0,ROUND($I77*$J77,-3))</f>
        <v/>
      </c>
      <c r="L77" s="77">
        <f>IF($D77="","",IF($U77="⚠","⚠ ناتراز",IF($E77="","⚠ حساب","✓")))</f>
        <v/>
      </c>
      <c r="M77" s="72" t="n"/>
      <c r="N77" s="76">
        <f>IF(OR($E77="",$K77=0),0,IF(IFERROR(VLOOKUP($D77,OpTbl,7,0),"")="بدهکار",$K77,0))</f>
        <v/>
      </c>
      <c r="O77" s="76">
        <f>IF(OR($E77="",$K77=0),0,IF(IFERROR(VLOOKUP($D77,OpTbl,7,0),"")="بستانکار",$K77,0))</f>
        <v/>
      </c>
      <c r="P77" s="70">
        <f>IF($D77="","",IFERROR(VLOOKUP($D77,OpTbl,8,0),""))</f>
        <v/>
      </c>
      <c r="Q77" s="76">
        <f>IF(OR($P77="",$K77=0),0,IF(IFERROR(VLOOKUP($D77,OpTbl,9,0),"")="بدهکار",$K77,0))</f>
        <v/>
      </c>
      <c r="R77" s="76">
        <f>IF(OR($P77="",$K77=0),0,IF(IFERROR(VLOOKUP($D77,OpTbl,9,0),"")="بستانکار",$K77,0))</f>
        <v/>
      </c>
      <c r="S77" s="76">
        <f>SUM($N77,$Q77)</f>
        <v/>
      </c>
      <c r="T77" s="76">
        <f>SUM($O77,$R77)</f>
        <v/>
      </c>
      <c r="U77" s="70">
        <f>IF($D77="","",IF(ROUND($S77-$T77,0)=0,"✓","⚠"))</f>
        <v/>
      </c>
      <c r="V77" s="76">
        <f>IF($E77="","",$K77)</f>
        <v/>
      </c>
    </row>
    <row r="78" ht="21.75" customHeight="1">
      <c r="A78" s="70">
        <f>IF($B78="","",COUNTA($B$10:$B78))</f>
        <v/>
      </c>
      <c r="B78" s="71" t="n"/>
      <c r="C78" s="71" t="n"/>
      <c r="D78" s="72" t="n"/>
      <c r="E78" s="71" t="n"/>
      <c r="F78" s="73">
        <f>IF($E78="","",IFERROR(VLOOKUP($E78,AcctTbl,2,0),"کد ناشناخته"))</f>
        <v/>
      </c>
      <c r="G78" s="70">
        <f>IF($E78="","",IFERROR(VLOOKUP($E78,AcctTbl,3,0),""))</f>
        <v/>
      </c>
      <c r="H78" s="71" t="n"/>
      <c r="I78" s="74" t="n"/>
      <c r="J78" s="74" t="n"/>
      <c r="K78" s="76">
        <f>IF(OR($I78="",$J78=""),0,ROUND($I78*$J78,-3))</f>
        <v/>
      </c>
      <c r="L78" s="77">
        <f>IF($D78="","",IF($U78="⚠","⚠ ناتراز",IF($E78="","⚠ حساب","✓")))</f>
        <v/>
      </c>
      <c r="M78" s="72" t="n"/>
      <c r="N78" s="76">
        <f>IF(OR($E78="",$K78=0),0,IF(IFERROR(VLOOKUP($D78,OpTbl,7,0),"")="بدهکار",$K78,0))</f>
        <v/>
      </c>
      <c r="O78" s="76">
        <f>IF(OR($E78="",$K78=0),0,IF(IFERROR(VLOOKUP($D78,OpTbl,7,0),"")="بستانکار",$K78,0))</f>
        <v/>
      </c>
      <c r="P78" s="70">
        <f>IF($D78="","",IFERROR(VLOOKUP($D78,OpTbl,8,0),""))</f>
        <v/>
      </c>
      <c r="Q78" s="76">
        <f>IF(OR($P78="",$K78=0),0,IF(IFERROR(VLOOKUP($D78,OpTbl,9,0),"")="بدهکار",$K78,0))</f>
        <v/>
      </c>
      <c r="R78" s="76">
        <f>IF(OR($P78="",$K78=0),0,IF(IFERROR(VLOOKUP($D78,OpTbl,9,0),"")="بستانکار",$K78,0))</f>
        <v/>
      </c>
      <c r="S78" s="76">
        <f>SUM($N78,$Q78)</f>
        <v/>
      </c>
      <c r="T78" s="76">
        <f>SUM($O78,$R78)</f>
        <v/>
      </c>
      <c r="U78" s="70">
        <f>IF($D78="","",IF(ROUND($S78-$T78,0)=0,"✓","⚠"))</f>
        <v/>
      </c>
      <c r="V78" s="76">
        <f>IF($E78="","",$K78)</f>
        <v/>
      </c>
    </row>
    <row r="79" ht="21.75" customHeight="1">
      <c r="A79" s="70">
        <f>IF($B79="","",COUNTA($B$10:$B79))</f>
        <v/>
      </c>
      <c r="B79" s="71" t="n"/>
      <c r="C79" s="71" t="n"/>
      <c r="D79" s="72" t="n"/>
      <c r="E79" s="71" t="n"/>
      <c r="F79" s="73">
        <f>IF($E79="","",IFERROR(VLOOKUP($E79,AcctTbl,2,0),"کد ناشناخته"))</f>
        <v/>
      </c>
      <c r="G79" s="70">
        <f>IF($E79="","",IFERROR(VLOOKUP($E79,AcctTbl,3,0),""))</f>
        <v/>
      </c>
      <c r="H79" s="71" t="n"/>
      <c r="I79" s="74" t="n"/>
      <c r="J79" s="74" t="n"/>
      <c r="K79" s="76">
        <f>IF(OR($I79="",$J79=""),0,ROUND($I79*$J79,-3))</f>
        <v/>
      </c>
      <c r="L79" s="77">
        <f>IF($D79="","",IF($U79="⚠","⚠ ناتراز",IF($E79="","⚠ حساب","✓")))</f>
        <v/>
      </c>
      <c r="M79" s="72" t="n"/>
      <c r="N79" s="76">
        <f>IF(OR($E79="",$K79=0),0,IF(IFERROR(VLOOKUP($D79,OpTbl,7,0),"")="بدهکار",$K79,0))</f>
        <v/>
      </c>
      <c r="O79" s="76">
        <f>IF(OR($E79="",$K79=0),0,IF(IFERROR(VLOOKUP($D79,OpTbl,7,0),"")="بستانکار",$K79,0))</f>
        <v/>
      </c>
      <c r="P79" s="70">
        <f>IF($D79="","",IFERROR(VLOOKUP($D79,OpTbl,8,0),""))</f>
        <v/>
      </c>
      <c r="Q79" s="76">
        <f>IF(OR($P79="",$K79=0),0,IF(IFERROR(VLOOKUP($D79,OpTbl,9,0),"")="بدهکار",$K79,0))</f>
        <v/>
      </c>
      <c r="R79" s="76">
        <f>IF(OR($P79="",$K79=0),0,IF(IFERROR(VLOOKUP($D79,OpTbl,9,0),"")="بستانکار",$K79,0))</f>
        <v/>
      </c>
      <c r="S79" s="76">
        <f>SUM($N79,$Q79)</f>
        <v/>
      </c>
      <c r="T79" s="76">
        <f>SUM($O79,$R79)</f>
        <v/>
      </c>
      <c r="U79" s="70">
        <f>IF($D79="","",IF(ROUND($S79-$T79,0)=0,"✓","⚠"))</f>
        <v/>
      </c>
      <c r="V79" s="76">
        <f>IF($E79="","",$K79)</f>
        <v/>
      </c>
    </row>
    <row r="80" ht="21.75" customHeight="1">
      <c r="A80" s="70">
        <f>IF($B80="","",COUNTA($B$10:$B80))</f>
        <v/>
      </c>
      <c r="B80" s="71" t="n"/>
      <c r="C80" s="71" t="n"/>
      <c r="D80" s="72" t="n"/>
      <c r="E80" s="71" t="n"/>
      <c r="F80" s="73">
        <f>IF($E80="","",IFERROR(VLOOKUP($E80,AcctTbl,2,0),"کد ناشناخته"))</f>
        <v/>
      </c>
      <c r="G80" s="70">
        <f>IF($E80="","",IFERROR(VLOOKUP($E80,AcctTbl,3,0),""))</f>
        <v/>
      </c>
      <c r="H80" s="71" t="n"/>
      <c r="I80" s="74" t="n"/>
      <c r="J80" s="74" t="n"/>
      <c r="K80" s="76">
        <f>IF(OR($I80="",$J80=""),0,ROUND($I80*$J80,-3))</f>
        <v/>
      </c>
      <c r="L80" s="77">
        <f>IF($D80="","",IF($U80="⚠","⚠ ناتراز",IF($E80="","⚠ حساب","✓")))</f>
        <v/>
      </c>
      <c r="M80" s="72" t="n"/>
      <c r="N80" s="76">
        <f>IF(OR($E80="",$K80=0),0,IF(IFERROR(VLOOKUP($D80,OpTbl,7,0),"")="بدهکار",$K80,0))</f>
        <v/>
      </c>
      <c r="O80" s="76">
        <f>IF(OR($E80="",$K80=0),0,IF(IFERROR(VLOOKUP($D80,OpTbl,7,0),"")="بستانکار",$K80,0))</f>
        <v/>
      </c>
      <c r="P80" s="70">
        <f>IF($D80="","",IFERROR(VLOOKUP($D80,OpTbl,8,0),""))</f>
        <v/>
      </c>
      <c r="Q80" s="76">
        <f>IF(OR($P80="",$K80=0),0,IF(IFERROR(VLOOKUP($D80,OpTbl,9,0),"")="بدهکار",$K80,0))</f>
        <v/>
      </c>
      <c r="R80" s="76">
        <f>IF(OR($P80="",$K80=0),0,IF(IFERROR(VLOOKUP($D80,OpTbl,9,0),"")="بستانکار",$K80,0))</f>
        <v/>
      </c>
      <c r="S80" s="76">
        <f>SUM($N80,$Q80)</f>
        <v/>
      </c>
      <c r="T80" s="76">
        <f>SUM($O80,$R80)</f>
        <v/>
      </c>
      <c r="U80" s="70">
        <f>IF($D80="","",IF(ROUND($S80-$T80,0)=0,"✓","⚠"))</f>
        <v/>
      </c>
      <c r="V80" s="76">
        <f>IF($E80="","",$K80)</f>
        <v/>
      </c>
    </row>
    <row r="81" ht="21.75" customHeight="1">
      <c r="A81" s="70">
        <f>IF($B81="","",COUNTA($B$10:$B81))</f>
        <v/>
      </c>
      <c r="B81" s="71" t="n"/>
      <c r="C81" s="71" t="n"/>
      <c r="D81" s="72" t="n"/>
      <c r="E81" s="71" t="n"/>
      <c r="F81" s="73">
        <f>IF($E81="","",IFERROR(VLOOKUP($E81,AcctTbl,2,0),"کد ناشناخته"))</f>
        <v/>
      </c>
      <c r="G81" s="70">
        <f>IF($E81="","",IFERROR(VLOOKUP($E81,AcctTbl,3,0),""))</f>
        <v/>
      </c>
      <c r="H81" s="71" t="n"/>
      <c r="I81" s="74" t="n"/>
      <c r="J81" s="74" t="n"/>
      <c r="K81" s="76">
        <f>IF(OR($I81="",$J81=""),0,ROUND($I81*$J81,-3))</f>
        <v/>
      </c>
      <c r="L81" s="77">
        <f>IF($D81="","",IF($U81="⚠","⚠ ناتراز",IF($E81="","⚠ حساب","✓")))</f>
        <v/>
      </c>
      <c r="M81" s="72" t="n"/>
      <c r="N81" s="76">
        <f>IF(OR($E81="",$K81=0),0,IF(IFERROR(VLOOKUP($D81,OpTbl,7,0),"")="بدهکار",$K81,0))</f>
        <v/>
      </c>
      <c r="O81" s="76">
        <f>IF(OR($E81="",$K81=0),0,IF(IFERROR(VLOOKUP($D81,OpTbl,7,0),"")="بستانکار",$K81,0))</f>
        <v/>
      </c>
      <c r="P81" s="70">
        <f>IF($D81="","",IFERROR(VLOOKUP($D81,OpTbl,8,0),""))</f>
        <v/>
      </c>
      <c r="Q81" s="76">
        <f>IF(OR($P81="",$K81=0),0,IF(IFERROR(VLOOKUP($D81,OpTbl,9,0),"")="بدهکار",$K81,0))</f>
        <v/>
      </c>
      <c r="R81" s="76">
        <f>IF(OR($P81="",$K81=0),0,IF(IFERROR(VLOOKUP($D81,OpTbl,9,0),"")="بستانکار",$K81,0))</f>
        <v/>
      </c>
      <c r="S81" s="76">
        <f>SUM($N81,$Q81)</f>
        <v/>
      </c>
      <c r="T81" s="76">
        <f>SUM($O81,$R81)</f>
        <v/>
      </c>
      <c r="U81" s="70">
        <f>IF($D81="","",IF(ROUND($S81-$T81,0)=0,"✓","⚠"))</f>
        <v/>
      </c>
      <c r="V81" s="76">
        <f>IF($E81="","",$K81)</f>
        <v/>
      </c>
    </row>
    <row r="82" ht="21.75" customHeight="1">
      <c r="A82" s="70">
        <f>IF($B82="","",COUNTA($B$10:$B82))</f>
        <v/>
      </c>
      <c r="B82" s="71" t="n"/>
      <c r="C82" s="71" t="n"/>
      <c r="D82" s="72" t="n"/>
      <c r="E82" s="71" t="n"/>
      <c r="F82" s="73">
        <f>IF($E82="","",IFERROR(VLOOKUP($E82,AcctTbl,2,0),"کد ناشناخته"))</f>
        <v/>
      </c>
      <c r="G82" s="70">
        <f>IF($E82="","",IFERROR(VLOOKUP($E82,AcctTbl,3,0),""))</f>
        <v/>
      </c>
      <c r="H82" s="71" t="n"/>
      <c r="I82" s="74" t="n"/>
      <c r="J82" s="74" t="n"/>
      <c r="K82" s="76">
        <f>IF(OR($I82="",$J82=""),0,ROUND($I82*$J82,-3))</f>
        <v/>
      </c>
      <c r="L82" s="77">
        <f>IF($D82="","",IF($U82="⚠","⚠ ناتراز",IF($E82="","⚠ حساب","✓")))</f>
        <v/>
      </c>
      <c r="M82" s="72" t="n"/>
      <c r="N82" s="76">
        <f>IF(OR($E82="",$K82=0),0,IF(IFERROR(VLOOKUP($D82,OpTbl,7,0),"")="بدهکار",$K82,0))</f>
        <v/>
      </c>
      <c r="O82" s="76">
        <f>IF(OR($E82="",$K82=0),0,IF(IFERROR(VLOOKUP($D82,OpTbl,7,0),"")="بستانکار",$K82,0))</f>
        <v/>
      </c>
      <c r="P82" s="70">
        <f>IF($D82="","",IFERROR(VLOOKUP($D82,OpTbl,8,0),""))</f>
        <v/>
      </c>
      <c r="Q82" s="76">
        <f>IF(OR($P82="",$K82=0),0,IF(IFERROR(VLOOKUP($D82,OpTbl,9,0),"")="بدهکار",$K82,0))</f>
        <v/>
      </c>
      <c r="R82" s="76">
        <f>IF(OR($P82="",$K82=0),0,IF(IFERROR(VLOOKUP($D82,OpTbl,9,0),"")="بستانکار",$K82,0))</f>
        <v/>
      </c>
      <c r="S82" s="76">
        <f>SUM($N82,$Q82)</f>
        <v/>
      </c>
      <c r="T82" s="76">
        <f>SUM($O82,$R82)</f>
        <v/>
      </c>
      <c r="U82" s="70">
        <f>IF($D82="","",IF(ROUND($S82-$T82,0)=0,"✓","⚠"))</f>
        <v/>
      </c>
      <c r="V82" s="76">
        <f>IF($E82="","",$K82)</f>
        <v/>
      </c>
    </row>
    <row r="83" ht="21.75" customHeight="1">
      <c r="A83" s="70">
        <f>IF($B83="","",COUNTA($B$10:$B83))</f>
        <v/>
      </c>
      <c r="B83" s="71" t="n"/>
      <c r="C83" s="71" t="n"/>
      <c r="D83" s="72" t="n"/>
      <c r="E83" s="71" t="n"/>
      <c r="F83" s="73">
        <f>IF($E83="","",IFERROR(VLOOKUP($E83,AcctTbl,2,0),"کد ناشناخته"))</f>
        <v/>
      </c>
      <c r="G83" s="70">
        <f>IF($E83="","",IFERROR(VLOOKUP($E83,AcctTbl,3,0),""))</f>
        <v/>
      </c>
      <c r="H83" s="71" t="n"/>
      <c r="I83" s="74" t="n"/>
      <c r="J83" s="74" t="n"/>
      <c r="K83" s="76">
        <f>IF(OR($I83="",$J83=""),0,ROUND($I83*$J83,-3))</f>
        <v/>
      </c>
      <c r="L83" s="77">
        <f>IF($D83="","",IF($U83="⚠","⚠ ناتراز",IF($E83="","⚠ حساب","✓")))</f>
        <v/>
      </c>
      <c r="M83" s="72" t="n"/>
      <c r="N83" s="76">
        <f>IF(OR($E83="",$K83=0),0,IF(IFERROR(VLOOKUP($D83,OpTbl,7,0),"")="بدهکار",$K83,0))</f>
        <v/>
      </c>
      <c r="O83" s="76">
        <f>IF(OR($E83="",$K83=0),0,IF(IFERROR(VLOOKUP($D83,OpTbl,7,0),"")="بستانکار",$K83,0))</f>
        <v/>
      </c>
      <c r="P83" s="70">
        <f>IF($D83="","",IFERROR(VLOOKUP($D83,OpTbl,8,0),""))</f>
        <v/>
      </c>
      <c r="Q83" s="76">
        <f>IF(OR($P83="",$K83=0),0,IF(IFERROR(VLOOKUP($D83,OpTbl,9,0),"")="بدهکار",$K83,0))</f>
        <v/>
      </c>
      <c r="R83" s="76">
        <f>IF(OR($P83="",$K83=0),0,IF(IFERROR(VLOOKUP($D83,OpTbl,9,0),"")="بستانکار",$K83,0))</f>
        <v/>
      </c>
      <c r="S83" s="76">
        <f>SUM($N83,$Q83)</f>
        <v/>
      </c>
      <c r="T83" s="76">
        <f>SUM($O83,$R83)</f>
        <v/>
      </c>
      <c r="U83" s="70">
        <f>IF($D83="","",IF(ROUND($S83-$T83,0)=0,"✓","⚠"))</f>
        <v/>
      </c>
      <c r="V83" s="76">
        <f>IF($E83="","",$K83)</f>
        <v/>
      </c>
    </row>
    <row r="84" ht="21.75" customHeight="1">
      <c r="A84" s="70">
        <f>IF($B84="","",COUNTA($B$10:$B84))</f>
        <v/>
      </c>
      <c r="B84" s="71" t="n"/>
      <c r="C84" s="71" t="n"/>
      <c r="D84" s="72" t="n"/>
      <c r="E84" s="71" t="n"/>
      <c r="F84" s="73">
        <f>IF($E84="","",IFERROR(VLOOKUP($E84,AcctTbl,2,0),"کد ناشناخته"))</f>
        <v/>
      </c>
      <c r="G84" s="70">
        <f>IF($E84="","",IFERROR(VLOOKUP($E84,AcctTbl,3,0),""))</f>
        <v/>
      </c>
      <c r="H84" s="71" t="n"/>
      <c r="I84" s="74" t="n"/>
      <c r="J84" s="74" t="n"/>
      <c r="K84" s="76">
        <f>IF(OR($I84="",$J84=""),0,ROUND($I84*$J84,-3))</f>
        <v/>
      </c>
      <c r="L84" s="77">
        <f>IF($D84="","",IF($U84="⚠","⚠ ناتراز",IF($E84="","⚠ حساب","✓")))</f>
        <v/>
      </c>
      <c r="M84" s="72" t="n"/>
      <c r="N84" s="76">
        <f>IF(OR($E84="",$K84=0),0,IF(IFERROR(VLOOKUP($D84,OpTbl,7,0),"")="بدهکار",$K84,0))</f>
        <v/>
      </c>
      <c r="O84" s="76">
        <f>IF(OR($E84="",$K84=0),0,IF(IFERROR(VLOOKUP($D84,OpTbl,7,0),"")="بستانکار",$K84,0))</f>
        <v/>
      </c>
      <c r="P84" s="70">
        <f>IF($D84="","",IFERROR(VLOOKUP($D84,OpTbl,8,0),""))</f>
        <v/>
      </c>
      <c r="Q84" s="76">
        <f>IF(OR($P84="",$K84=0),0,IF(IFERROR(VLOOKUP($D84,OpTbl,9,0),"")="بدهکار",$K84,0))</f>
        <v/>
      </c>
      <c r="R84" s="76">
        <f>IF(OR($P84="",$K84=0),0,IF(IFERROR(VLOOKUP($D84,OpTbl,9,0),"")="بستانکار",$K84,0))</f>
        <v/>
      </c>
      <c r="S84" s="76">
        <f>SUM($N84,$Q84)</f>
        <v/>
      </c>
      <c r="T84" s="76">
        <f>SUM($O84,$R84)</f>
        <v/>
      </c>
      <c r="U84" s="70">
        <f>IF($D84="","",IF(ROUND($S84-$T84,0)=0,"✓","⚠"))</f>
        <v/>
      </c>
      <c r="V84" s="76">
        <f>IF($E84="","",$K84)</f>
        <v/>
      </c>
    </row>
    <row r="85" ht="21.75" customHeight="1">
      <c r="A85" s="70">
        <f>IF($B85="","",COUNTA($B$10:$B85))</f>
        <v/>
      </c>
      <c r="B85" s="71" t="n"/>
      <c r="C85" s="71" t="n"/>
      <c r="D85" s="72" t="n"/>
      <c r="E85" s="71" t="n"/>
      <c r="F85" s="73">
        <f>IF($E85="","",IFERROR(VLOOKUP($E85,AcctTbl,2,0),"کد ناشناخته"))</f>
        <v/>
      </c>
      <c r="G85" s="70">
        <f>IF($E85="","",IFERROR(VLOOKUP($E85,AcctTbl,3,0),""))</f>
        <v/>
      </c>
      <c r="H85" s="71" t="n"/>
      <c r="I85" s="74" t="n"/>
      <c r="J85" s="74" t="n"/>
      <c r="K85" s="76">
        <f>IF(OR($I85="",$J85=""),0,ROUND($I85*$J85,-3))</f>
        <v/>
      </c>
      <c r="L85" s="77">
        <f>IF($D85="","",IF($U85="⚠","⚠ ناتراز",IF($E85="","⚠ حساب","✓")))</f>
        <v/>
      </c>
      <c r="M85" s="72" t="n"/>
      <c r="N85" s="76">
        <f>IF(OR($E85="",$K85=0),0,IF(IFERROR(VLOOKUP($D85,OpTbl,7,0),"")="بدهکار",$K85,0))</f>
        <v/>
      </c>
      <c r="O85" s="76">
        <f>IF(OR($E85="",$K85=0),0,IF(IFERROR(VLOOKUP($D85,OpTbl,7,0),"")="بستانکار",$K85,0))</f>
        <v/>
      </c>
      <c r="P85" s="70">
        <f>IF($D85="","",IFERROR(VLOOKUP($D85,OpTbl,8,0),""))</f>
        <v/>
      </c>
      <c r="Q85" s="76">
        <f>IF(OR($P85="",$K85=0),0,IF(IFERROR(VLOOKUP($D85,OpTbl,9,0),"")="بدهکار",$K85,0))</f>
        <v/>
      </c>
      <c r="R85" s="76">
        <f>IF(OR($P85="",$K85=0),0,IF(IFERROR(VLOOKUP($D85,OpTbl,9,0),"")="بستانکار",$K85,0))</f>
        <v/>
      </c>
      <c r="S85" s="76">
        <f>SUM($N85,$Q85)</f>
        <v/>
      </c>
      <c r="T85" s="76">
        <f>SUM($O85,$R85)</f>
        <v/>
      </c>
      <c r="U85" s="70">
        <f>IF($D85="","",IF(ROUND($S85-$T85,0)=0,"✓","⚠"))</f>
        <v/>
      </c>
      <c r="V85" s="76">
        <f>IF($E85="","",$K85)</f>
        <v/>
      </c>
    </row>
    <row r="86" ht="21.75" customHeight="1">
      <c r="A86" s="70">
        <f>IF($B86="","",COUNTA($B$10:$B86))</f>
        <v/>
      </c>
      <c r="B86" s="71" t="n"/>
      <c r="C86" s="71" t="n"/>
      <c r="D86" s="72" t="n"/>
      <c r="E86" s="71" t="n"/>
      <c r="F86" s="73">
        <f>IF($E86="","",IFERROR(VLOOKUP($E86,AcctTbl,2,0),"کد ناشناخته"))</f>
        <v/>
      </c>
      <c r="G86" s="70">
        <f>IF($E86="","",IFERROR(VLOOKUP($E86,AcctTbl,3,0),""))</f>
        <v/>
      </c>
      <c r="H86" s="71" t="n"/>
      <c r="I86" s="74" t="n"/>
      <c r="J86" s="74" t="n"/>
      <c r="K86" s="76">
        <f>IF(OR($I86="",$J86=""),0,ROUND($I86*$J86,-3))</f>
        <v/>
      </c>
      <c r="L86" s="77">
        <f>IF($D86="","",IF($U86="⚠","⚠ ناتراز",IF($E86="","⚠ حساب","✓")))</f>
        <v/>
      </c>
      <c r="M86" s="72" t="n"/>
      <c r="N86" s="76">
        <f>IF(OR($E86="",$K86=0),0,IF(IFERROR(VLOOKUP($D86,OpTbl,7,0),"")="بدهکار",$K86,0))</f>
        <v/>
      </c>
      <c r="O86" s="76">
        <f>IF(OR($E86="",$K86=0),0,IF(IFERROR(VLOOKUP($D86,OpTbl,7,0),"")="بستانکار",$K86,0))</f>
        <v/>
      </c>
      <c r="P86" s="70">
        <f>IF($D86="","",IFERROR(VLOOKUP($D86,OpTbl,8,0),""))</f>
        <v/>
      </c>
      <c r="Q86" s="76">
        <f>IF(OR($P86="",$K86=0),0,IF(IFERROR(VLOOKUP($D86,OpTbl,9,0),"")="بدهکار",$K86,0))</f>
        <v/>
      </c>
      <c r="R86" s="76">
        <f>IF(OR($P86="",$K86=0),0,IF(IFERROR(VLOOKUP($D86,OpTbl,9,0),"")="بستانکار",$K86,0))</f>
        <v/>
      </c>
      <c r="S86" s="76">
        <f>SUM($N86,$Q86)</f>
        <v/>
      </c>
      <c r="T86" s="76">
        <f>SUM($O86,$R86)</f>
        <v/>
      </c>
      <c r="U86" s="70">
        <f>IF($D86="","",IF(ROUND($S86-$T86,0)=0,"✓","⚠"))</f>
        <v/>
      </c>
      <c r="V86" s="76">
        <f>IF($E86="","",$K86)</f>
        <v/>
      </c>
    </row>
    <row r="87" ht="21.75" customHeight="1">
      <c r="A87" s="70">
        <f>IF($B87="","",COUNTA($B$10:$B87))</f>
        <v/>
      </c>
      <c r="B87" s="71" t="n"/>
      <c r="C87" s="71" t="n"/>
      <c r="D87" s="72" t="n"/>
      <c r="E87" s="71" t="n"/>
      <c r="F87" s="73">
        <f>IF($E87="","",IFERROR(VLOOKUP($E87,AcctTbl,2,0),"کد ناشناخته"))</f>
        <v/>
      </c>
      <c r="G87" s="70">
        <f>IF($E87="","",IFERROR(VLOOKUP($E87,AcctTbl,3,0),""))</f>
        <v/>
      </c>
      <c r="H87" s="71" t="n"/>
      <c r="I87" s="74" t="n"/>
      <c r="J87" s="74" t="n"/>
      <c r="K87" s="76">
        <f>IF(OR($I87="",$J87=""),0,ROUND($I87*$J87,-3))</f>
        <v/>
      </c>
      <c r="L87" s="77">
        <f>IF($D87="","",IF($U87="⚠","⚠ ناتراز",IF($E87="","⚠ حساب","✓")))</f>
        <v/>
      </c>
      <c r="M87" s="72" t="n"/>
      <c r="N87" s="76">
        <f>IF(OR($E87="",$K87=0),0,IF(IFERROR(VLOOKUP($D87,OpTbl,7,0),"")="بدهکار",$K87,0))</f>
        <v/>
      </c>
      <c r="O87" s="76">
        <f>IF(OR($E87="",$K87=0),0,IF(IFERROR(VLOOKUP($D87,OpTbl,7,0),"")="بستانکار",$K87,0))</f>
        <v/>
      </c>
      <c r="P87" s="70">
        <f>IF($D87="","",IFERROR(VLOOKUP($D87,OpTbl,8,0),""))</f>
        <v/>
      </c>
      <c r="Q87" s="76">
        <f>IF(OR($P87="",$K87=0),0,IF(IFERROR(VLOOKUP($D87,OpTbl,9,0),"")="بدهکار",$K87,0))</f>
        <v/>
      </c>
      <c r="R87" s="76">
        <f>IF(OR($P87="",$K87=0),0,IF(IFERROR(VLOOKUP($D87,OpTbl,9,0),"")="بستانکار",$K87,0))</f>
        <v/>
      </c>
      <c r="S87" s="76">
        <f>SUM($N87,$Q87)</f>
        <v/>
      </c>
      <c r="T87" s="76">
        <f>SUM($O87,$R87)</f>
        <v/>
      </c>
      <c r="U87" s="70">
        <f>IF($D87="","",IF(ROUND($S87-$T87,0)=0,"✓","⚠"))</f>
        <v/>
      </c>
      <c r="V87" s="76">
        <f>IF($E87="","",$K87)</f>
        <v/>
      </c>
    </row>
    <row r="88" ht="21.75" customHeight="1">
      <c r="A88" s="70">
        <f>IF($B88="","",COUNTA($B$10:$B88))</f>
        <v/>
      </c>
      <c r="B88" s="71" t="n"/>
      <c r="C88" s="71" t="n"/>
      <c r="D88" s="72" t="n"/>
      <c r="E88" s="71" t="n"/>
      <c r="F88" s="73">
        <f>IF($E88="","",IFERROR(VLOOKUP($E88,AcctTbl,2,0),"کد ناشناخته"))</f>
        <v/>
      </c>
      <c r="G88" s="70">
        <f>IF($E88="","",IFERROR(VLOOKUP($E88,AcctTbl,3,0),""))</f>
        <v/>
      </c>
      <c r="H88" s="71" t="n"/>
      <c r="I88" s="74" t="n"/>
      <c r="J88" s="74" t="n"/>
      <c r="K88" s="76">
        <f>IF(OR($I88="",$J88=""),0,ROUND($I88*$J88,-3))</f>
        <v/>
      </c>
      <c r="L88" s="77">
        <f>IF($D88="","",IF($U88="⚠","⚠ ناتراز",IF($E88="","⚠ حساب","✓")))</f>
        <v/>
      </c>
      <c r="M88" s="72" t="n"/>
      <c r="N88" s="76">
        <f>IF(OR($E88="",$K88=0),0,IF(IFERROR(VLOOKUP($D88,OpTbl,7,0),"")="بدهکار",$K88,0))</f>
        <v/>
      </c>
      <c r="O88" s="76">
        <f>IF(OR($E88="",$K88=0),0,IF(IFERROR(VLOOKUP($D88,OpTbl,7,0),"")="بستانکار",$K88,0))</f>
        <v/>
      </c>
      <c r="P88" s="70">
        <f>IF($D88="","",IFERROR(VLOOKUP($D88,OpTbl,8,0),""))</f>
        <v/>
      </c>
      <c r="Q88" s="76">
        <f>IF(OR($P88="",$K88=0),0,IF(IFERROR(VLOOKUP($D88,OpTbl,9,0),"")="بدهکار",$K88,0))</f>
        <v/>
      </c>
      <c r="R88" s="76">
        <f>IF(OR($P88="",$K88=0),0,IF(IFERROR(VLOOKUP($D88,OpTbl,9,0),"")="بستانکار",$K88,0))</f>
        <v/>
      </c>
      <c r="S88" s="76">
        <f>SUM($N88,$Q88)</f>
        <v/>
      </c>
      <c r="T88" s="76">
        <f>SUM($O88,$R88)</f>
        <v/>
      </c>
      <c r="U88" s="70">
        <f>IF($D88="","",IF(ROUND($S88-$T88,0)=0,"✓","⚠"))</f>
        <v/>
      </c>
      <c r="V88" s="76">
        <f>IF($E88="","",$K88)</f>
        <v/>
      </c>
    </row>
    <row r="89" ht="21.75" customHeight="1">
      <c r="A89" s="70">
        <f>IF($B89="","",COUNTA($B$10:$B89))</f>
        <v/>
      </c>
      <c r="B89" s="71" t="n"/>
      <c r="C89" s="71" t="n"/>
      <c r="D89" s="72" t="n"/>
      <c r="E89" s="71" t="n"/>
      <c r="F89" s="73">
        <f>IF($E89="","",IFERROR(VLOOKUP($E89,AcctTbl,2,0),"کد ناشناخته"))</f>
        <v/>
      </c>
      <c r="G89" s="70">
        <f>IF($E89="","",IFERROR(VLOOKUP($E89,AcctTbl,3,0),""))</f>
        <v/>
      </c>
      <c r="H89" s="71" t="n"/>
      <c r="I89" s="74" t="n"/>
      <c r="J89" s="74" t="n"/>
      <c r="K89" s="76">
        <f>IF(OR($I89="",$J89=""),0,ROUND($I89*$J89,-3))</f>
        <v/>
      </c>
      <c r="L89" s="77">
        <f>IF($D89="","",IF($U89="⚠","⚠ ناتراز",IF($E89="","⚠ حساب","✓")))</f>
        <v/>
      </c>
      <c r="M89" s="72" t="n"/>
      <c r="N89" s="76">
        <f>IF(OR($E89="",$K89=0),0,IF(IFERROR(VLOOKUP($D89,OpTbl,7,0),"")="بدهکار",$K89,0))</f>
        <v/>
      </c>
      <c r="O89" s="76">
        <f>IF(OR($E89="",$K89=0),0,IF(IFERROR(VLOOKUP($D89,OpTbl,7,0),"")="بستانکار",$K89,0))</f>
        <v/>
      </c>
      <c r="P89" s="70">
        <f>IF($D89="","",IFERROR(VLOOKUP($D89,OpTbl,8,0),""))</f>
        <v/>
      </c>
      <c r="Q89" s="76">
        <f>IF(OR($P89="",$K89=0),0,IF(IFERROR(VLOOKUP($D89,OpTbl,9,0),"")="بدهکار",$K89,0))</f>
        <v/>
      </c>
      <c r="R89" s="76">
        <f>IF(OR($P89="",$K89=0),0,IF(IFERROR(VLOOKUP($D89,OpTbl,9,0),"")="بستانکار",$K89,0))</f>
        <v/>
      </c>
      <c r="S89" s="76">
        <f>SUM($N89,$Q89)</f>
        <v/>
      </c>
      <c r="T89" s="76">
        <f>SUM($O89,$R89)</f>
        <v/>
      </c>
      <c r="U89" s="70">
        <f>IF($D89="","",IF(ROUND($S89-$T89,0)=0,"✓","⚠"))</f>
        <v/>
      </c>
      <c r="V89" s="76">
        <f>IF($E89="","",$K89)</f>
        <v/>
      </c>
    </row>
    <row r="90" ht="21.75" customHeight="1">
      <c r="A90" s="70">
        <f>IF($B90="","",COUNTA($B$10:$B90))</f>
        <v/>
      </c>
      <c r="B90" s="71" t="n"/>
      <c r="C90" s="71" t="n"/>
      <c r="D90" s="72" t="n"/>
      <c r="E90" s="71" t="n"/>
      <c r="F90" s="73">
        <f>IF($E90="","",IFERROR(VLOOKUP($E90,AcctTbl,2,0),"کد ناشناخته"))</f>
        <v/>
      </c>
      <c r="G90" s="70">
        <f>IF($E90="","",IFERROR(VLOOKUP($E90,AcctTbl,3,0),""))</f>
        <v/>
      </c>
      <c r="H90" s="71" t="n"/>
      <c r="I90" s="74" t="n"/>
      <c r="J90" s="74" t="n"/>
      <c r="K90" s="76">
        <f>IF(OR($I90="",$J90=""),0,ROUND($I90*$J90,-3))</f>
        <v/>
      </c>
      <c r="L90" s="77">
        <f>IF($D90="","",IF($U90="⚠","⚠ ناتراز",IF($E90="","⚠ حساب","✓")))</f>
        <v/>
      </c>
      <c r="M90" s="72" t="n"/>
      <c r="N90" s="76">
        <f>IF(OR($E90="",$K90=0),0,IF(IFERROR(VLOOKUP($D90,OpTbl,7,0),"")="بدهکار",$K90,0))</f>
        <v/>
      </c>
      <c r="O90" s="76">
        <f>IF(OR($E90="",$K90=0),0,IF(IFERROR(VLOOKUP($D90,OpTbl,7,0),"")="بستانکار",$K90,0))</f>
        <v/>
      </c>
      <c r="P90" s="70">
        <f>IF($D90="","",IFERROR(VLOOKUP($D90,OpTbl,8,0),""))</f>
        <v/>
      </c>
      <c r="Q90" s="76">
        <f>IF(OR($P90="",$K90=0),0,IF(IFERROR(VLOOKUP($D90,OpTbl,9,0),"")="بدهکار",$K90,0))</f>
        <v/>
      </c>
      <c r="R90" s="76">
        <f>IF(OR($P90="",$K90=0),0,IF(IFERROR(VLOOKUP($D90,OpTbl,9,0),"")="بستانکار",$K90,0))</f>
        <v/>
      </c>
      <c r="S90" s="76">
        <f>SUM($N90,$Q90)</f>
        <v/>
      </c>
      <c r="T90" s="76">
        <f>SUM($O90,$R90)</f>
        <v/>
      </c>
      <c r="U90" s="70">
        <f>IF($D90="","",IF(ROUND($S90-$T90,0)=0,"✓","⚠"))</f>
        <v/>
      </c>
      <c r="V90" s="76">
        <f>IF($E90="","",$K90)</f>
        <v/>
      </c>
    </row>
    <row r="91" ht="21.75" customHeight="1">
      <c r="A91" s="70">
        <f>IF($B91="","",COUNTA($B$10:$B91))</f>
        <v/>
      </c>
      <c r="B91" s="71" t="n"/>
      <c r="C91" s="71" t="n"/>
      <c r="D91" s="72" t="n"/>
      <c r="E91" s="71" t="n"/>
      <c r="F91" s="73">
        <f>IF($E91="","",IFERROR(VLOOKUP($E91,AcctTbl,2,0),"کد ناشناخته"))</f>
        <v/>
      </c>
      <c r="G91" s="70">
        <f>IF($E91="","",IFERROR(VLOOKUP($E91,AcctTbl,3,0),""))</f>
        <v/>
      </c>
      <c r="H91" s="71" t="n"/>
      <c r="I91" s="74" t="n"/>
      <c r="J91" s="74" t="n"/>
      <c r="K91" s="76">
        <f>IF(OR($I91="",$J91=""),0,ROUND($I91*$J91,-3))</f>
        <v/>
      </c>
      <c r="L91" s="77">
        <f>IF($D91="","",IF($U91="⚠","⚠ ناتراز",IF($E91="","⚠ حساب","✓")))</f>
        <v/>
      </c>
      <c r="M91" s="72" t="n"/>
      <c r="N91" s="76">
        <f>IF(OR($E91="",$K91=0),0,IF(IFERROR(VLOOKUP($D91,OpTbl,7,0),"")="بدهکار",$K91,0))</f>
        <v/>
      </c>
      <c r="O91" s="76">
        <f>IF(OR($E91="",$K91=0),0,IF(IFERROR(VLOOKUP($D91,OpTbl,7,0),"")="بستانکار",$K91,0))</f>
        <v/>
      </c>
      <c r="P91" s="70">
        <f>IF($D91="","",IFERROR(VLOOKUP($D91,OpTbl,8,0),""))</f>
        <v/>
      </c>
      <c r="Q91" s="76">
        <f>IF(OR($P91="",$K91=0),0,IF(IFERROR(VLOOKUP($D91,OpTbl,9,0),"")="بدهکار",$K91,0))</f>
        <v/>
      </c>
      <c r="R91" s="76">
        <f>IF(OR($P91="",$K91=0),0,IF(IFERROR(VLOOKUP($D91,OpTbl,9,0),"")="بستانکار",$K91,0))</f>
        <v/>
      </c>
      <c r="S91" s="76">
        <f>SUM($N91,$Q91)</f>
        <v/>
      </c>
      <c r="T91" s="76">
        <f>SUM($O91,$R91)</f>
        <v/>
      </c>
      <c r="U91" s="70">
        <f>IF($D91="","",IF(ROUND($S91-$T91,0)=0,"✓","⚠"))</f>
        <v/>
      </c>
      <c r="V91" s="76">
        <f>IF($E91="","",$K91)</f>
        <v/>
      </c>
    </row>
    <row r="92" ht="21.75" customHeight="1">
      <c r="A92" s="70">
        <f>IF($B92="","",COUNTA($B$10:$B92))</f>
        <v/>
      </c>
      <c r="B92" s="71" t="n"/>
      <c r="C92" s="71" t="n"/>
      <c r="D92" s="72" t="n"/>
      <c r="E92" s="71" t="n"/>
      <c r="F92" s="73">
        <f>IF($E92="","",IFERROR(VLOOKUP($E92,AcctTbl,2,0),"کد ناشناخته"))</f>
        <v/>
      </c>
      <c r="G92" s="70">
        <f>IF($E92="","",IFERROR(VLOOKUP($E92,AcctTbl,3,0),""))</f>
        <v/>
      </c>
      <c r="H92" s="71" t="n"/>
      <c r="I92" s="74" t="n"/>
      <c r="J92" s="74" t="n"/>
      <c r="K92" s="76">
        <f>IF(OR($I92="",$J92=""),0,ROUND($I92*$J92,-3))</f>
        <v/>
      </c>
      <c r="L92" s="77">
        <f>IF($D92="","",IF($U92="⚠","⚠ ناتراز",IF($E92="","⚠ حساب","✓")))</f>
        <v/>
      </c>
      <c r="M92" s="72" t="n"/>
      <c r="N92" s="76">
        <f>IF(OR($E92="",$K92=0),0,IF(IFERROR(VLOOKUP($D92,OpTbl,7,0),"")="بدهکار",$K92,0))</f>
        <v/>
      </c>
      <c r="O92" s="76">
        <f>IF(OR($E92="",$K92=0),0,IF(IFERROR(VLOOKUP($D92,OpTbl,7,0),"")="بستانکار",$K92,0))</f>
        <v/>
      </c>
      <c r="P92" s="70">
        <f>IF($D92="","",IFERROR(VLOOKUP($D92,OpTbl,8,0),""))</f>
        <v/>
      </c>
      <c r="Q92" s="76">
        <f>IF(OR($P92="",$K92=0),0,IF(IFERROR(VLOOKUP($D92,OpTbl,9,0),"")="بدهکار",$K92,0))</f>
        <v/>
      </c>
      <c r="R92" s="76">
        <f>IF(OR($P92="",$K92=0),0,IF(IFERROR(VLOOKUP($D92,OpTbl,9,0),"")="بستانکار",$K92,0))</f>
        <v/>
      </c>
      <c r="S92" s="76">
        <f>SUM($N92,$Q92)</f>
        <v/>
      </c>
      <c r="T92" s="76">
        <f>SUM($O92,$R92)</f>
        <v/>
      </c>
      <c r="U92" s="70">
        <f>IF($D92="","",IF(ROUND($S92-$T92,0)=0,"✓","⚠"))</f>
        <v/>
      </c>
      <c r="V92" s="76">
        <f>IF($E92="","",$K92)</f>
        <v/>
      </c>
    </row>
    <row r="93" ht="21.75" customHeight="1">
      <c r="A93" s="70">
        <f>IF($B93="","",COUNTA($B$10:$B93))</f>
        <v/>
      </c>
      <c r="B93" s="71" t="n"/>
      <c r="C93" s="71" t="n"/>
      <c r="D93" s="72" t="n"/>
      <c r="E93" s="71" t="n"/>
      <c r="F93" s="73">
        <f>IF($E93="","",IFERROR(VLOOKUP($E93,AcctTbl,2,0),"کد ناشناخته"))</f>
        <v/>
      </c>
      <c r="G93" s="70">
        <f>IF($E93="","",IFERROR(VLOOKUP($E93,AcctTbl,3,0),""))</f>
        <v/>
      </c>
      <c r="H93" s="71" t="n"/>
      <c r="I93" s="74" t="n"/>
      <c r="J93" s="74" t="n"/>
      <c r="K93" s="76">
        <f>IF(OR($I93="",$J93=""),0,ROUND($I93*$J93,-3))</f>
        <v/>
      </c>
      <c r="L93" s="77">
        <f>IF($D93="","",IF($U93="⚠","⚠ ناتراز",IF($E93="","⚠ حساب","✓")))</f>
        <v/>
      </c>
      <c r="M93" s="72" t="n"/>
      <c r="N93" s="76">
        <f>IF(OR($E93="",$K93=0),0,IF(IFERROR(VLOOKUP($D93,OpTbl,7,0),"")="بدهکار",$K93,0))</f>
        <v/>
      </c>
      <c r="O93" s="76">
        <f>IF(OR($E93="",$K93=0),0,IF(IFERROR(VLOOKUP($D93,OpTbl,7,0),"")="بستانکار",$K93,0))</f>
        <v/>
      </c>
      <c r="P93" s="70">
        <f>IF($D93="","",IFERROR(VLOOKUP($D93,OpTbl,8,0),""))</f>
        <v/>
      </c>
      <c r="Q93" s="76">
        <f>IF(OR($P93="",$K93=0),0,IF(IFERROR(VLOOKUP($D93,OpTbl,9,0),"")="بدهکار",$K93,0))</f>
        <v/>
      </c>
      <c r="R93" s="76">
        <f>IF(OR($P93="",$K93=0),0,IF(IFERROR(VLOOKUP($D93,OpTbl,9,0),"")="بستانکار",$K93,0))</f>
        <v/>
      </c>
      <c r="S93" s="76">
        <f>SUM($N93,$Q93)</f>
        <v/>
      </c>
      <c r="T93" s="76">
        <f>SUM($O93,$R93)</f>
        <v/>
      </c>
      <c r="U93" s="70">
        <f>IF($D93="","",IF(ROUND($S93-$T93,0)=0,"✓","⚠"))</f>
        <v/>
      </c>
      <c r="V93" s="76">
        <f>IF($E93="","",$K93)</f>
        <v/>
      </c>
    </row>
    <row r="94" ht="21.75" customHeight="1">
      <c r="A94" s="70">
        <f>IF($B94="","",COUNTA($B$10:$B94))</f>
        <v/>
      </c>
      <c r="B94" s="71" t="n"/>
      <c r="C94" s="71" t="n"/>
      <c r="D94" s="72" t="n"/>
      <c r="E94" s="71" t="n"/>
      <c r="F94" s="73">
        <f>IF($E94="","",IFERROR(VLOOKUP($E94,AcctTbl,2,0),"کد ناشناخته"))</f>
        <v/>
      </c>
      <c r="G94" s="70">
        <f>IF($E94="","",IFERROR(VLOOKUP($E94,AcctTbl,3,0),""))</f>
        <v/>
      </c>
      <c r="H94" s="71" t="n"/>
      <c r="I94" s="74" t="n"/>
      <c r="J94" s="74" t="n"/>
      <c r="K94" s="76">
        <f>IF(OR($I94="",$J94=""),0,ROUND($I94*$J94,-3))</f>
        <v/>
      </c>
      <c r="L94" s="77">
        <f>IF($D94="","",IF($U94="⚠","⚠ ناتراز",IF($E94="","⚠ حساب","✓")))</f>
        <v/>
      </c>
      <c r="M94" s="72" t="n"/>
      <c r="N94" s="76">
        <f>IF(OR($E94="",$K94=0),0,IF(IFERROR(VLOOKUP($D94,OpTbl,7,0),"")="بدهکار",$K94,0))</f>
        <v/>
      </c>
      <c r="O94" s="76">
        <f>IF(OR($E94="",$K94=0),0,IF(IFERROR(VLOOKUP($D94,OpTbl,7,0),"")="بستانکار",$K94,0))</f>
        <v/>
      </c>
      <c r="P94" s="70">
        <f>IF($D94="","",IFERROR(VLOOKUP($D94,OpTbl,8,0),""))</f>
        <v/>
      </c>
      <c r="Q94" s="76">
        <f>IF(OR($P94="",$K94=0),0,IF(IFERROR(VLOOKUP($D94,OpTbl,9,0),"")="بدهکار",$K94,0))</f>
        <v/>
      </c>
      <c r="R94" s="76">
        <f>IF(OR($P94="",$K94=0),0,IF(IFERROR(VLOOKUP($D94,OpTbl,9,0),"")="بستانکار",$K94,0))</f>
        <v/>
      </c>
      <c r="S94" s="76">
        <f>SUM($N94,$Q94)</f>
        <v/>
      </c>
      <c r="T94" s="76">
        <f>SUM($O94,$R94)</f>
        <v/>
      </c>
      <c r="U94" s="70">
        <f>IF($D94="","",IF(ROUND($S94-$T94,0)=0,"✓","⚠"))</f>
        <v/>
      </c>
      <c r="V94" s="76">
        <f>IF($E94="","",$K94)</f>
        <v/>
      </c>
    </row>
    <row r="95" ht="21.75" customHeight="1">
      <c r="A95" s="70">
        <f>IF($B95="","",COUNTA($B$10:$B95))</f>
        <v/>
      </c>
      <c r="B95" s="71" t="n"/>
      <c r="C95" s="71" t="n"/>
      <c r="D95" s="72" t="n"/>
      <c r="E95" s="71" t="n"/>
      <c r="F95" s="73">
        <f>IF($E95="","",IFERROR(VLOOKUP($E95,AcctTbl,2,0),"کد ناشناخته"))</f>
        <v/>
      </c>
      <c r="G95" s="70">
        <f>IF($E95="","",IFERROR(VLOOKUP($E95,AcctTbl,3,0),""))</f>
        <v/>
      </c>
      <c r="H95" s="71" t="n"/>
      <c r="I95" s="74" t="n"/>
      <c r="J95" s="74" t="n"/>
      <c r="K95" s="76">
        <f>IF(OR($I95="",$J95=""),0,ROUND($I95*$J95,-3))</f>
        <v/>
      </c>
      <c r="L95" s="77">
        <f>IF($D95="","",IF($U95="⚠","⚠ ناتراز",IF($E95="","⚠ حساب","✓")))</f>
        <v/>
      </c>
      <c r="M95" s="72" t="n"/>
      <c r="N95" s="76">
        <f>IF(OR($E95="",$K95=0),0,IF(IFERROR(VLOOKUP($D95,OpTbl,7,0),"")="بدهکار",$K95,0))</f>
        <v/>
      </c>
      <c r="O95" s="76">
        <f>IF(OR($E95="",$K95=0),0,IF(IFERROR(VLOOKUP($D95,OpTbl,7,0),"")="بستانکار",$K95,0))</f>
        <v/>
      </c>
      <c r="P95" s="70">
        <f>IF($D95="","",IFERROR(VLOOKUP($D95,OpTbl,8,0),""))</f>
        <v/>
      </c>
      <c r="Q95" s="76">
        <f>IF(OR($P95="",$K95=0),0,IF(IFERROR(VLOOKUP($D95,OpTbl,9,0),"")="بدهکار",$K95,0))</f>
        <v/>
      </c>
      <c r="R95" s="76">
        <f>IF(OR($P95="",$K95=0),0,IF(IFERROR(VLOOKUP($D95,OpTbl,9,0),"")="بستانکار",$K95,0))</f>
        <v/>
      </c>
      <c r="S95" s="76">
        <f>SUM($N95,$Q95)</f>
        <v/>
      </c>
      <c r="T95" s="76">
        <f>SUM($O95,$R95)</f>
        <v/>
      </c>
      <c r="U95" s="70">
        <f>IF($D95="","",IF(ROUND($S95-$T95,0)=0,"✓","⚠"))</f>
        <v/>
      </c>
      <c r="V95" s="76">
        <f>IF($E95="","",$K95)</f>
        <v/>
      </c>
    </row>
    <row r="96" ht="21.75" customHeight="1">
      <c r="A96" s="70">
        <f>IF($B96="","",COUNTA($B$10:$B96))</f>
        <v/>
      </c>
      <c r="B96" s="71" t="n"/>
      <c r="C96" s="71" t="n"/>
      <c r="D96" s="72" t="n"/>
      <c r="E96" s="71" t="n"/>
      <c r="F96" s="73">
        <f>IF($E96="","",IFERROR(VLOOKUP($E96,AcctTbl,2,0),"کد ناشناخته"))</f>
        <v/>
      </c>
      <c r="G96" s="70">
        <f>IF($E96="","",IFERROR(VLOOKUP($E96,AcctTbl,3,0),""))</f>
        <v/>
      </c>
      <c r="H96" s="71" t="n"/>
      <c r="I96" s="74" t="n"/>
      <c r="J96" s="74" t="n"/>
      <c r="K96" s="76">
        <f>IF(OR($I96="",$J96=""),0,ROUND($I96*$J96,-3))</f>
        <v/>
      </c>
      <c r="L96" s="77">
        <f>IF($D96="","",IF($U96="⚠","⚠ ناتراز",IF($E96="","⚠ حساب","✓")))</f>
        <v/>
      </c>
      <c r="M96" s="72" t="n"/>
      <c r="N96" s="76">
        <f>IF(OR($E96="",$K96=0),0,IF(IFERROR(VLOOKUP($D96,OpTbl,7,0),"")="بدهکار",$K96,0))</f>
        <v/>
      </c>
      <c r="O96" s="76">
        <f>IF(OR($E96="",$K96=0),0,IF(IFERROR(VLOOKUP($D96,OpTbl,7,0),"")="بستانکار",$K96,0))</f>
        <v/>
      </c>
      <c r="P96" s="70">
        <f>IF($D96="","",IFERROR(VLOOKUP($D96,OpTbl,8,0),""))</f>
        <v/>
      </c>
      <c r="Q96" s="76">
        <f>IF(OR($P96="",$K96=0),0,IF(IFERROR(VLOOKUP($D96,OpTbl,9,0),"")="بدهکار",$K96,0))</f>
        <v/>
      </c>
      <c r="R96" s="76">
        <f>IF(OR($P96="",$K96=0),0,IF(IFERROR(VLOOKUP($D96,OpTbl,9,0),"")="بستانکار",$K96,0))</f>
        <v/>
      </c>
      <c r="S96" s="76">
        <f>SUM($N96,$Q96)</f>
        <v/>
      </c>
      <c r="T96" s="76">
        <f>SUM($O96,$R96)</f>
        <v/>
      </c>
      <c r="U96" s="70">
        <f>IF($D96="","",IF(ROUND($S96-$T96,0)=0,"✓","⚠"))</f>
        <v/>
      </c>
      <c r="V96" s="76">
        <f>IF($E96="","",$K96)</f>
        <v/>
      </c>
    </row>
    <row r="97" ht="21.75" customHeight="1">
      <c r="A97" s="70">
        <f>IF($B97="","",COUNTA($B$10:$B97))</f>
        <v/>
      </c>
      <c r="B97" s="71" t="n"/>
      <c r="C97" s="71" t="n"/>
      <c r="D97" s="72" t="n"/>
      <c r="E97" s="71" t="n"/>
      <c r="F97" s="73">
        <f>IF($E97="","",IFERROR(VLOOKUP($E97,AcctTbl,2,0),"کد ناشناخته"))</f>
        <v/>
      </c>
      <c r="G97" s="70">
        <f>IF($E97="","",IFERROR(VLOOKUP($E97,AcctTbl,3,0),""))</f>
        <v/>
      </c>
      <c r="H97" s="71" t="n"/>
      <c r="I97" s="74" t="n"/>
      <c r="J97" s="74" t="n"/>
      <c r="K97" s="76">
        <f>IF(OR($I97="",$J97=""),0,ROUND($I97*$J97,-3))</f>
        <v/>
      </c>
      <c r="L97" s="77">
        <f>IF($D97="","",IF($U97="⚠","⚠ ناتراز",IF($E97="","⚠ حساب","✓")))</f>
        <v/>
      </c>
      <c r="M97" s="72" t="n"/>
      <c r="N97" s="76">
        <f>IF(OR($E97="",$K97=0),0,IF(IFERROR(VLOOKUP($D97,OpTbl,7,0),"")="بدهکار",$K97,0))</f>
        <v/>
      </c>
      <c r="O97" s="76">
        <f>IF(OR($E97="",$K97=0),0,IF(IFERROR(VLOOKUP($D97,OpTbl,7,0),"")="بستانکار",$K97,0))</f>
        <v/>
      </c>
      <c r="P97" s="70">
        <f>IF($D97="","",IFERROR(VLOOKUP($D97,OpTbl,8,0),""))</f>
        <v/>
      </c>
      <c r="Q97" s="76">
        <f>IF(OR($P97="",$K97=0),0,IF(IFERROR(VLOOKUP($D97,OpTbl,9,0),"")="بدهکار",$K97,0))</f>
        <v/>
      </c>
      <c r="R97" s="76">
        <f>IF(OR($P97="",$K97=0),0,IF(IFERROR(VLOOKUP($D97,OpTbl,9,0),"")="بستانکار",$K97,0))</f>
        <v/>
      </c>
      <c r="S97" s="76">
        <f>SUM($N97,$Q97)</f>
        <v/>
      </c>
      <c r="T97" s="76">
        <f>SUM($O97,$R97)</f>
        <v/>
      </c>
      <c r="U97" s="70">
        <f>IF($D97="","",IF(ROUND($S97-$T97,0)=0,"✓","⚠"))</f>
        <v/>
      </c>
      <c r="V97" s="76">
        <f>IF($E97="","",$K97)</f>
        <v/>
      </c>
    </row>
    <row r="98" ht="21.75" customHeight="1">
      <c r="A98" s="70">
        <f>IF($B98="","",COUNTA($B$10:$B98))</f>
        <v/>
      </c>
      <c r="B98" s="71" t="n"/>
      <c r="C98" s="71" t="n"/>
      <c r="D98" s="72" t="n"/>
      <c r="E98" s="71" t="n"/>
      <c r="F98" s="73">
        <f>IF($E98="","",IFERROR(VLOOKUP($E98,AcctTbl,2,0),"کد ناشناخته"))</f>
        <v/>
      </c>
      <c r="G98" s="70">
        <f>IF($E98="","",IFERROR(VLOOKUP($E98,AcctTbl,3,0),""))</f>
        <v/>
      </c>
      <c r="H98" s="71" t="n"/>
      <c r="I98" s="74" t="n"/>
      <c r="J98" s="74" t="n"/>
      <c r="K98" s="76">
        <f>IF(OR($I98="",$J98=""),0,ROUND($I98*$J98,-3))</f>
        <v/>
      </c>
      <c r="L98" s="77">
        <f>IF($D98="","",IF($U98="⚠","⚠ ناتراز",IF($E98="","⚠ حساب","✓")))</f>
        <v/>
      </c>
      <c r="M98" s="72" t="n"/>
      <c r="N98" s="76">
        <f>IF(OR($E98="",$K98=0),0,IF(IFERROR(VLOOKUP($D98,OpTbl,7,0),"")="بدهکار",$K98,0))</f>
        <v/>
      </c>
      <c r="O98" s="76">
        <f>IF(OR($E98="",$K98=0),0,IF(IFERROR(VLOOKUP($D98,OpTbl,7,0),"")="بستانکار",$K98,0))</f>
        <v/>
      </c>
      <c r="P98" s="70">
        <f>IF($D98="","",IFERROR(VLOOKUP($D98,OpTbl,8,0),""))</f>
        <v/>
      </c>
      <c r="Q98" s="76">
        <f>IF(OR($P98="",$K98=0),0,IF(IFERROR(VLOOKUP($D98,OpTbl,9,0),"")="بدهکار",$K98,0))</f>
        <v/>
      </c>
      <c r="R98" s="76">
        <f>IF(OR($P98="",$K98=0),0,IF(IFERROR(VLOOKUP($D98,OpTbl,9,0),"")="بستانکار",$K98,0))</f>
        <v/>
      </c>
      <c r="S98" s="76">
        <f>SUM($N98,$Q98)</f>
        <v/>
      </c>
      <c r="T98" s="76">
        <f>SUM($O98,$R98)</f>
        <v/>
      </c>
      <c r="U98" s="70">
        <f>IF($D98="","",IF(ROUND($S98-$T98,0)=0,"✓","⚠"))</f>
        <v/>
      </c>
      <c r="V98" s="76">
        <f>IF($E98="","",$K98)</f>
        <v/>
      </c>
    </row>
    <row r="99" ht="21.75" customHeight="1">
      <c r="A99" s="70">
        <f>IF($B99="","",COUNTA($B$10:$B99))</f>
        <v/>
      </c>
      <c r="B99" s="71" t="n"/>
      <c r="C99" s="71" t="n"/>
      <c r="D99" s="72" t="n"/>
      <c r="E99" s="71" t="n"/>
      <c r="F99" s="73">
        <f>IF($E99="","",IFERROR(VLOOKUP($E99,AcctTbl,2,0),"کد ناشناخته"))</f>
        <v/>
      </c>
      <c r="G99" s="70">
        <f>IF($E99="","",IFERROR(VLOOKUP($E99,AcctTbl,3,0),""))</f>
        <v/>
      </c>
      <c r="H99" s="71" t="n"/>
      <c r="I99" s="74" t="n"/>
      <c r="J99" s="74" t="n"/>
      <c r="K99" s="76">
        <f>IF(OR($I99="",$J99=""),0,ROUND($I99*$J99,-3))</f>
        <v/>
      </c>
      <c r="L99" s="77">
        <f>IF($D99="","",IF($U99="⚠","⚠ ناتراز",IF($E99="","⚠ حساب","✓")))</f>
        <v/>
      </c>
      <c r="M99" s="72" t="n"/>
      <c r="N99" s="76">
        <f>IF(OR($E99="",$K99=0),0,IF(IFERROR(VLOOKUP($D99,OpTbl,7,0),"")="بدهکار",$K99,0))</f>
        <v/>
      </c>
      <c r="O99" s="76">
        <f>IF(OR($E99="",$K99=0),0,IF(IFERROR(VLOOKUP($D99,OpTbl,7,0),"")="بستانکار",$K99,0))</f>
        <v/>
      </c>
      <c r="P99" s="70">
        <f>IF($D99="","",IFERROR(VLOOKUP($D99,OpTbl,8,0),""))</f>
        <v/>
      </c>
      <c r="Q99" s="76">
        <f>IF(OR($P99="",$K99=0),0,IF(IFERROR(VLOOKUP($D99,OpTbl,9,0),"")="بدهکار",$K99,0))</f>
        <v/>
      </c>
      <c r="R99" s="76">
        <f>IF(OR($P99="",$K99=0),0,IF(IFERROR(VLOOKUP($D99,OpTbl,9,0),"")="بستانکار",$K99,0))</f>
        <v/>
      </c>
      <c r="S99" s="76">
        <f>SUM($N99,$Q99)</f>
        <v/>
      </c>
      <c r="T99" s="76">
        <f>SUM($O99,$R99)</f>
        <v/>
      </c>
      <c r="U99" s="70">
        <f>IF($D99="","",IF(ROUND($S99-$T99,0)=0,"✓","⚠"))</f>
        <v/>
      </c>
      <c r="V99" s="76">
        <f>IF($E99="","",$K99)</f>
        <v/>
      </c>
    </row>
    <row r="100" ht="21.75" customHeight="1">
      <c r="A100" s="70">
        <f>IF($B100="","",COUNTA($B$10:$B100))</f>
        <v/>
      </c>
      <c r="B100" s="71" t="n"/>
      <c r="C100" s="71" t="n"/>
      <c r="D100" s="72" t="n"/>
      <c r="E100" s="71" t="n"/>
      <c r="F100" s="73">
        <f>IF($E100="","",IFERROR(VLOOKUP($E100,AcctTbl,2,0),"کد ناشناخته"))</f>
        <v/>
      </c>
      <c r="G100" s="70">
        <f>IF($E100="","",IFERROR(VLOOKUP($E100,AcctTbl,3,0),""))</f>
        <v/>
      </c>
      <c r="H100" s="71" t="n"/>
      <c r="I100" s="74" t="n"/>
      <c r="J100" s="74" t="n"/>
      <c r="K100" s="76">
        <f>IF(OR($I100="",$J100=""),0,ROUND($I100*$J100,-3))</f>
        <v/>
      </c>
      <c r="L100" s="77">
        <f>IF($D100="","",IF($U100="⚠","⚠ ناتراز",IF($E100="","⚠ حساب","✓")))</f>
        <v/>
      </c>
      <c r="M100" s="72" t="n"/>
      <c r="N100" s="76">
        <f>IF(OR($E100="",$K100=0),0,IF(IFERROR(VLOOKUP($D100,OpTbl,7,0),"")="بدهکار",$K100,0))</f>
        <v/>
      </c>
      <c r="O100" s="76">
        <f>IF(OR($E100="",$K100=0),0,IF(IFERROR(VLOOKUP($D100,OpTbl,7,0),"")="بستانکار",$K100,0))</f>
        <v/>
      </c>
      <c r="P100" s="70">
        <f>IF($D100="","",IFERROR(VLOOKUP($D100,OpTbl,8,0),""))</f>
        <v/>
      </c>
      <c r="Q100" s="76">
        <f>IF(OR($P100="",$K100=0),0,IF(IFERROR(VLOOKUP($D100,OpTbl,9,0),"")="بدهکار",$K100,0))</f>
        <v/>
      </c>
      <c r="R100" s="76">
        <f>IF(OR($P100="",$K100=0),0,IF(IFERROR(VLOOKUP($D100,OpTbl,9,0),"")="بستانکار",$K100,0))</f>
        <v/>
      </c>
      <c r="S100" s="76">
        <f>SUM($N100,$Q100)</f>
        <v/>
      </c>
      <c r="T100" s="76">
        <f>SUM($O100,$R100)</f>
        <v/>
      </c>
      <c r="U100" s="70">
        <f>IF($D100="","",IF(ROUND($S100-$T100,0)=0,"✓","⚠"))</f>
        <v/>
      </c>
      <c r="V100" s="76">
        <f>IF($E100="","",$K100)</f>
        <v/>
      </c>
    </row>
    <row r="101" ht="21.75" customHeight="1">
      <c r="A101" s="70">
        <f>IF($B101="","",COUNTA($B$10:$B101))</f>
        <v/>
      </c>
      <c r="B101" s="71" t="n"/>
      <c r="C101" s="71" t="n"/>
      <c r="D101" s="72" t="n"/>
      <c r="E101" s="71" t="n"/>
      <c r="F101" s="73">
        <f>IF($E101="","",IFERROR(VLOOKUP($E101,AcctTbl,2,0),"کد ناشناخته"))</f>
        <v/>
      </c>
      <c r="G101" s="70">
        <f>IF($E101="","",IFERROR(VLOOKUP($E101,AcctTbl,3,0),""))</f>
        <v/>
      </c>
      <c r="H101" s="71" t="n"/>
      <c r="I101" s="74" t="n"/>
      <c r="J101" s="74" t="n"/>
      <c r="K101" s="76">
        <f>IF(OR($I101="",$J101=""),0,ROUND($I101*$J101,-3))</f>
        <v/>
      </c>
      <c r="L101" s="77">
        <f>IF($D101="","",IF($U101="⚠","⚠ ناتراز",IF($E101="","⚠ حساب","✓")))</f>
        <v/>
      </c>
      <c r="M101" s="72" t="n"/>
      <c r="N101" s="76">
        <f>IF(OR($E101="",$K101=0),0,IF(IFERROR(VLOOKUP($D101,OpTbl,7,0),"")="بدهکار",$K101,0))</f>
        <v/>
      </c>
      <c r="O101" s="76">
        <f>IF(OR($E101="",$K101=0),0,IF(IFERROR(VLOOKUP($D101,OpTbl,7,0),"")="بستانکار",$K101,0))</f>
        <v/>
      </c>
      <c r="P101" s="70">
        <f>IF($D101="","",IFERROR(VLOOKUP($D101,OpTbl,8,0),""))</f>
        <v/>
      </c>
      <c r="Q101" s="76">
        <f>IF(OR($P101="",$K101=0),0,IF(IFERROR(VLOOKUP($D101,OpTbl,9,0),"")="بدهکار",$K101,0))</f>
        <v/>
      </c>
      <c r="R101" s="76">
        <f>IF(OR($P101="",$K101=0),0,IF(IFERROR(VLOOKUP($D101,OpTbl,9,0),"")="بستانکار",$K101,0))</f>
        <v/>
      </c>
      <c r="S101" s="76">
        <f>SUM($N101,$Q101)</f>
        <v/>
      </c>
      <c r="T101" s="76">
        <f>SUM($O101,$R101)</f>
        <v/>
      </c>
      <c r="U101" s="70">
        <f>IF($D101="","",IF(ROUND($S101-$T101,0)=0,"✓","⚠"))</f>
        <v/>
      </c>
      <c r="V101" s="76">
        <f>IF($E101="","",$K101)</f>
        <v/>
      </c>
    </row>
    <row r="102" ht="21.75" customHeight="1">
      <c r="A102" s="70">
        <f>IF($B102="","",COUNTA($B$10:$B102))</f>
        <v/>
      </c>
      <c r="B102" s="71" t="n"/>
      <c r="C102" s="71" t="n"/>
      <c r="D102" s="72" t="n"/>
      <c r="E102" s="71" t="n"/>
      <c r="F102" s="73">
        <f>IF($E102="","",IFERROR(VLOOKUP($E102,AcctTbl,2,0),"کد ناشناخته"))</f>
        <v/>
      </c>
      <c r="G102" s="70">
        <f>IF($E102="","",IFERROR(VLOOKUP($E102,AcctTbl,3,0),""))</f>
        <v/>
      </c>
      <c r="H102" s="71" t="n"/>
      <c r="I102" s="74" t="n"/>
      <c r="J102" s="74" t="n"/>
      <c r="K102" s="76">
        <f>IF(OR($I102="",$J102=""),0,ROUND($I102*$J102,-3))</f>
        <v/>
      </c>
      <c r="L102" s="77">
        <f>IF($D102="","",IF($U102="⚠","⚠ ناتراز",IF($E102="","⚠ حساب","✓")))</f>
        <v/>
      </c>
      <c r="M102" s="72" t="n"/>
      <c r="N102" s="76">
        <f>IF(OR($E102="",$K102=0),0,IF(IFERROR(VLOOKUP($D102,OpTbl,7,0),"")="بدهکار",$K102,0))</f>
        <v/>
      </c>
      <c r="O102" s="76">
        <f>IF(OR($E102="",$K102=0),0,IF(IFERROR(VLOOKUP($D102,OpTbl,7,0),"")="بستانکار",$K102,0))</f>
        <v/>
      </c>
      <c r="P102" s="70">
        <f>IF($D102="","",IFERROR(VLOOKUP($D102,OpTbl,8,0),""))</f>
        <v/>
      </c>
      <c r="Q102" s="76">
        <f>IF(OR($P102="",$K102=0),0,IF(IFERROR(VLOOKUP($D102,OpTbl,9,0),"")="بدهکار",$K102,0))</f>
        <v/>
      </c>
      <c r="R102" s="76">
        <f>IF(OR($P102="",$K102=0),0,IF(IFERROR(VLOOKUP($D102,OpTbl,9,0),"")="بستانکار",$K102,0))</f>
        <v/>
      </c>
      <c r="S102" s="76">
        <f>SUM($N102,$Q102)</f>
        <v/>
      </c>
      <c r="T102" s="76">
        <f>SUM($O102,$R102)</f>
        <v/>
      </c>
      <c r="U102" s="70">
        <f>IF($D102="","",IF(ROUND($S102-$T102,0)=0,"✓","⚠"))</f>
        <v/>
      </c>
      <c r="V102" s="76">
        <f>IF($E102="","",$K102)</f>
        <v/>
      </c>
    </row>
    <row r="103" ht="21.75" customHeight="1">
      <c r="A103" s="70">
        <f>IF($B103="","",COUNTA($B$10:$B103))</f>
        <v/>
      </c>
      <c r="B103" s="71" t="n"/>
      <c r="C103" s="71" t="n"/>
      <c r="D103" s="72" t="n"/>
      <c r="E103" s="71" t="n"/>
      <c r="F103" s="73">
        <f>IF($E103="","",IFERROR(VLOOKUP($E103,AcctTbl,2,0),"کد ناشناخته"))</f>
        <v/>
      </c>
      <c r="G103" s="70">
        <f>IF($E103="","",IFERROR(VLOOKUP($E103,AcctTbl,3,0),""))</f>
        <v/>
      </c>
      <c r="H103" s="71" t="n"/>
      <c r="I103" s="74" t="n"/>
      <c r="J103" s="74" t="n"/>
      <c r="K103" s="76">
        <f>IF(OR($I103="",$J103=""),0,ROUND($I103*$J103,-3))</f>
        <v/>
      </c>
      <c r="L103" s="77">
        <f>IF($D103="","",IF($U103="⚠","⚠ ناتراز",IF($E103="","⚠ حساب","✓")))</f>
        <v/>
      </c>
      <c r="M103" s="72" t="n"/>
      <c r="N103" s="76">
        <f>IF(OR($E103="",$K103=0),0,IF(IFERROR(VLOOKUP($D103,OpTbl,7,0),"")="بدهکار",$K103,0))</f>
        <v/>
      </c>
      <c r="O103" s="76">
        <f>IF(OR($E103="",$K103=0),0,IF(IFERROR(VLOOKUP($D103,OpTbl,7,0),"")="بستانکار",$K103,0))</f>
        <v/>
      </c>
      <c r="P103" s="70">
        <f>IF($D103="","",IFERROR(VLOOKUP($D103,OpTbl,8,0),""))</f>
        <v/>
      </c>
      <c r="Q103" s="76">
        <f>IF(OR($P103="",$K103=0),0,IF(IFERROR(VLOOKUP($D103,OpTbl,9,0),"")="بدهکار",$K103,0))</f>
        <v/>
      </c>
      <c r="R103" s="76">
        <f>IF(OR($P103="",$K103=0),0,IF(IFERROR(VLOOKUP($D103,OpTbl,9,0),"")="بستانکار",$K103,0))</f>
        <v/>
      </c>
      <c r="S103" s="76">
        <f>SUM($N103,$Q103)</f>
        <v/>
      </c>
      <c r="T103" s="76">
        <f>SUM($O103,$R103)</f>
        <v/>
      </c>
      <c r="U103" s="70">
        <f>IF($D103="","",IF(ROUND($S103-$T103,0)=0,"✓","⚠"))</f>
        <v/>
      </c>
      <c r="V103" s="76">
        <f>IF($E103="","",$K103)</f>
        <v/>
      </c>
    </row>
    <row r="104" ht="21.75" customHeight="1">
      <c r="A104" s="70">
        <f>IF($B104="","",COUNTA($B$10:$B104))</f>
        <v/>
      </c>
      <c r="B104" s="71" t="n"/>
      <c r="C104" s="71" t="n"/>
      <c r="D104" s="72" t="n"/>
      <c r="E104" s="71" t="n"/>
      <c r="F104" s="73">
        <f>IF($E104="","",IFERROR(VLOOKUP($E104,AcctTbl,2,0),"کد ناشناخته"))</f>
        <v/>
      </c>
      <c r="G104" s="70">
        <f>IF($E104="","",IFERROR(VLOOKUP($E104,AcctTbl,3,0),""))</f>
        <v/>
      </c>
      <c r="H104" s="71" t="n"/>
      <c r="I104" s="74" t="n"/>
      <c r="J104" s="74" t="n"/>
      <c r="K104" s="76">
        <f>IF(OR($I104="",$J104=""),0,ROUND($I104*$J104,-3))</f>
        <v/>
      </c>
      <c r="L104" s="77">
        <f>IF($D104="","",IF($U104="⚠","⚠ ناتراز",IF($E104="","⚠ حساب","✓")))</f>
        <v/>
      </c>
      <c r="M104" s="72" t="n"/>
      <c r="N104" s="76">
        <f>IF(OR($E104="",$K104=0),0,IF(IFERROR(VLOOKUP($D104,OpTbl,7,0),"")="بدهکار",$K104,0))</f>
        <v/>
      </c>
      <c r="O104" s="76">
        <f>IF(OR($E104="",$K104=0),0,IF(IFERROR(VLOOKUP($D104,OpTbl,7,0),"")="بستانکار",$K104,0))</f>
        <v/>
      </c>
      <c r="P104" s="70">
        <f>IF($D104="","",IFERROR(VLOOKUP($D104,OpTbl,8,0),""))</f>
        <v/>
      </c>
      <c r="Q104" s="76">
        <f>IF(OR($P104="",$K104=0),0,IF(IFERROR(VLOOKUP($D104,OpTbl,9,0),"")="بدهکار",$K104,0))</f>
        <v/>
      </c>
      <c r="R104" s="76">
        <f>IF(OR($P104="",$K104=0),0,IF(IFERROR(VLOOKUP($D104,OpTbl,9,0),"")="بستانکار",$K104,0))</f>
        <v/>
      </c>
      <c r="S104" s="76">
        <f>SUM($N104,$Q104)</f>
        <v/>
      </c>
      <c r="T104" s="76">
        <f>SUM($O104,$R104)</f>
        <v/>
      </c>
      <c r="U104" s="70">
        <f>IF($D104="","",IF(ROUND($S104-$T104,0)=0,"✓","⚠"))</f>
        <v/>
      </c>
      <c r="V104" s="76">
        <f>IF($E104="","",$K104)</f>
        <v/>
      </c>
    </row>
    <row r="105" ht="21.75" customHeight="1">
      <c r="A105" s="70">
        <f>IF($B105="","",COUNTA($B$10:$B105))</f>
        <v/>
      </c>
      <c r="B105" s="71" t="n"/>
      <c r="C105" s="71" t="n"/>
      <c r="D105" s="72" t="n"/>
      <c r="E105" s="71" t="n"/>
      <c r="F105" s="73">
        <f>IF($E105="","",IFERROR(VLOOKUP($E105,AcctTbl,2,0),"کد ناشناخته"))</f>
        <v/>
      </c>
      <c r="G105" s="70">
        <f>IF($E105="","",IFERROR(VLOOKUP($E105,AcctTbl,3,0),""))</f>
        <v/>
      </c>
      <c r="H105" s="71" t="n"/>
      <c r="I105" s="74" t="n"/>
      <c r="J105" s="74" t="n"/>
      <c r="K105" s="76">
        <f>IF(OR($I105="",$J105=""),0,ROUND($I105*$J105,-3))</f>
        <v/>
      </c>
      <c r="L105" s="77">
        <f>IF($D105="","",IF($U105="⚠","⚠ ناتراز",IF($E105="","⚠ حساب","✓")))</f>
        <v/>
      </c>
      <c r="M105" s="72" t="n"/>
      <c r="N105" s="76">
        <f>IF(OR($E105="",$K105=0),0,IF(IFERROR(VLOOKUP($D105,OpTbl,7,0),"")="بدهکار",$K105,0))</f>
        <v/>
      </c>
      <c r="O105" s="76">
        <f>IF(OR($E105="",$K105=0),0,IF(IFERROR(VLOOKUP($D105,OpTbl,7,0),"")="بستانکار",$K105,0))</f>
        <v/>
      </c>
      <c r="P105" s="70">
        <f>IF($D105="","",IFERROR(VLOOKUP($D105,OpTbl,8,0),""))</f>
        <v/>
      </c>
      <c r="Q105" s="76">
        <f>IF(OR($P105="",$K105=0),0,IF(IFERROR(VLOOKUP($D105,OpTbl,9,0),"")="بدهکار",$K105,0))</f>
        <v/>
      </c>
      <c r="R105" s="76">
        <f>IF(OR($P105="",$K105=0),0,IF(IFERROR(VLOOKUP($D105,OpTbl,9,0),"")="بستانکار",$K105,0))</f>
        <v/>
      </c>
      <c r="S105" s="76">
        <f>SUM($N105,$Q105)</f>
        <v/>
      </c>
      <c r="T105" s="76">
        <f>SUM($O105,$R105)</f>
        <v/>
      </c>
      <c r="U105" s="70">
        <f>IF($D105="","",IF(ROUND($S105-$T105,0)=0,"✓","⚠"))</f>
        <v/>
      </c>
      <c r="V105" s="76">
        <f>IF($E105="","",$K105)</f>
        <v/>
      </c>
    </row>
    <row r="106" ht="21.75" customHeight="1">
      <c r="A106" s="70">
        <f>IF($B106="","",COUNTA($B$10:$B106))</f>
        <v/>
      </c>
      <c r="B106" s="71" t="n"/>
      <c r="C106" s="71" t="n"/>
      <c r="D106" s="72" t="n"/>
      <c r="E106" s="71" t="n"/>
      <c r="F106" s="73">
        <f>IF($E106="","",IFERROR(VLOOKUP($E106,AcctTbl,2,0),"کد ناشناخته"))</f>
        <v/>
      </c>
      <c r="G106" s="70">
        <f>IF($E106="","",IFERROR(VLOOKUP($E106,AcctTbl,3,0),""))</f>
        <v/>
      </c>
      <c r="H106" s="71" t="n"/>
      <c r="I106" s="74" t="n"/>
      <c r="J106" s="74" t="n"/>
      <c r="K106" s="76">
        <f>IF(OR($I106="",$J106=""),0,ROUND($I106*$J106,-3))</f>
        <v/>
      </c>
      <c r="L106" s="77">
        <f>IF($D106="","",IF($U106="⚠","⚠ ناتراز",IF($E106="","⚠ حساب","✓")))</f>
        <v/>
      </c>
      <c r="M106" s="72" t="n"/>
      <c r="N106" s="76">
        <f>IF(OR($E106="",$K106=0),0,IF(IFERROR(VLOOKUP($D106,OpTbl,7,0),"")="بدهکار",$K106,0))</f>
        <v/>
      </c>
      <c r="O106" s="76">
        <f>IF(OR($E106="",$K106=0),0,IF(IFERROR(VLOOKUP($D106,OpTbl,7,0),"")="بستانکار",$K106,0))</f>
        <v/>
      </c>
      <c r="P106" s="70">
        <f>IF($D106="","",IFERROR(VLOOKUP($D106,OpTbl,8,0),""))</f>
        <v/>
      </c>
      <c r="Q106" s="76">
        <f>IF(OR($P106="",$K106=0),0,IF(IFERROR(VLOOKUP($D106,OpTbl,9,0),"")="بدهکار",$K106,0))</f>
        <v/>
      </c>
      <c r="R106" s="76">
        <f>IF(OR($P106="",$K106=0),0,IF(IFERROR(VLOOKUP($D106,OpTbl,9,0),"")="بستانکار",$K106,0))</f>
        <v/>
      </c>
      <c r="S106" s="76">
        <f>SUM($N106,$Q106)</f>
        <v/>
      </c>
      <c r="T106" s="76">
        <f>SUM($O106,$R106)</f>
        <v/>
      </c>
      <c r="U106" s="70">
        <f>IF($D106="","",IF(ROUND($S106-$T106,0)=0,"✓","⚠"))</f>
        <v/>
      </c>
      <c r="V106" s="76">
        <f>IF($E106="","",$K106)</f>
        <v/>
      </c>
    </row>
    <row r="107" ht="21.75" customHeight="1">
      <c r="A107" s="70">
        <f>IF($B107="","",COUNTA($B$10:$B107))</f>
        <v/>
      </c>
      <c r="B107" s="71" t="n"/>
      <c r="C107" s="71" t="n"/>
      <c r="D107" s="72" t="n"/>
      <c r="E107" s="71" t="n"/>
      <c r="F107" s="73">
        <f>IF($E107="","",IFERROR(VLOOKUP($E107,AcctTbl,2,0),"کد ناشناخته"))</f>
        <v/>
      </c>
      <c r="G107" s="70">
        <f>IF($E107="","",IFERROR(VLOOKUP($E107,AcctTbl,3,0),""))</f>
        <v/>
      </c>
      <c r="H107" s="71" t="n"/>
      <c r="I107" s="74" t="n"/>
      <c r="J107" s="74" t="n"/>
      <c r="K107" s="76">
        <f>IF(OR($I107="",$J107=""),0,ROUND($I107*$J107,-3))</f>
        <v/>
      </c>
      <c r="L107" s="77">
        <f>IF($D107="","",IF($U107="⚠","⚠ ناتراز",IF($E107="","⚠ حساب","✓")))</f>
        <v/>
      </c>
      <c r="M107" s="72" t="n"/>
      <c r="N107" s="76">
        <f>IF(OR($E107="",$K107=0),0,IF(IFERROR(VLOOKUP($D107,OpTbl,7,0),"")="بدهکار",$K107,0))</f>
        <v/>
      </c>
      <c r="O107" s="76">
        <f>IF(OR($E107="",$K107=0),0,IF(IFERROR(VLOOKUP($D107,OpTbl,7,0),"")="بستانکار",$K107,0))</f>
        <v/>
      </c>
      <c r="P107" s="70">
        <f>IF($D107="","",IFERROR(VLOOKUP($D107,OpTbl,8,0),""))</f>
        <v/>
      </c>
      <c r="Q107" s="76">
        <f>IF(OR($P107="",$K107=0),0,IF(IFERROR(VLOOKUP($D107,OpTbl,9,0),"")="بدهکار",$K107,0))</f>
        <v/>
      </c>
      <c r="R107" s="76">
        <f>IF(OR($P107="",$K107=0),0,IF(IFERROR(VLOOKUP($D107,OpTbl,9,0),"")="بستانکار",$K107,0))</f>
        <v/>
      </c>
      <c r="S107" s="76">
        <f>SUM($N107,$Q107)</f>
        <v/>
      </c>
      <c r="T107" s="76">
        <f>SUM($O107,$R107)</f>
        <v/>
      </c>
      <c r="U107" s="70">
        <f>IF($D107="","",IF(ROUND($S107-$T107,0)=0,"✓","⚠"))</f>
        <v/>
      </c>
      <c r="V107" s="76">
        <f>IF($E107="","",$K107)</f>
        <v/>
      </c>
    </row>
    <row r="108" ht="21.75" customHeight="1">
      <c r="A108" s="70">
        <f>IF($B108="","",COUNTA($B$10:$B108))</f>
        <v/>
      </c>
      <c r="B108" s="71" t="n"/>
      <c r="C108" s="71" t="n"/>
      <c r="D108" s="72" t="n"/>
      <c r="E108" s="71" t="n"/>
      <c r="F108" s="73">
        <f>IF($E108="","",IFERROR(VLOOKUP($E108,AcctTbl,2,0),"کد ناشناخته"))</f>
        <v/>
      </c>
      <c r="G108" s="70">
        <f>IF($E108="","",IFERROR(VLOOKUP($E108,AcctTbl,3,0),""))</f>
        <v/>
      </c>
      <c r="H108" s="71" t="n"/>
      <c r="I108" s="74" t="n"/>
      <c r="J108" s="74" t="n"/>
      <c r="K108" s="76">
        <f>IF(OR($I108="",$J108=""),0,ROUND($I108*$J108,-3))</f>
        <v/>
      </c>
      <c r="L108" s="77">
        <f>IF($D108="","",IF($U108="⚠","⚠ ناتراز",IF($E108="","⚠ حساب","✓")))</f>
        <v/>
      </c>
      <c r="M108" s="72" t="n"/>
      <c r="N108" s="76">
        <f>IF(OR($E108="",$K108=0),0,IF(IFERROR(VLOOKUP($D108,OpTbl,7,0),"")="بدهکار",$K108,0))</f>
        <v/>
      </c>
      <c r="O108" s="76">
        <f>IF(OR($E108="",$K108=0),0,IF(IFERROR(VLOOKUP($D108,OpTbl,7,0),"")="بستانکار",$K108,0))</f>
        <v/>
      </c>
      <c r="P108" s="70">
        <f>IF($D108="","",IFERROR(VLOOKUP($D108,OpTbl,8,0),""))</f>
        <v/>
      </c>
      <c r="Q108" s="76">
        <f>IF(OR($P108="",$K108=0),0,IF(IFERROR(VLOOKUP($D108,OpTbl,9,0),"")="بدهکار",$K108,0))</f>
        <v/>
      </c>
      <c r="R108" s="76">
        <f>IF(OR($P108="",$K108=0),0,IF(IFERROR(VLOOKUP($D108,OpTbl,9,0),"")="بستانکار",$K108,0))</f>
        <v/>
      </c>
      <c r="S108" s="76">
        <f>SUM($N108,$Q108)</f>
        <v/>
      </c>
      <c r="T108" s="76">
        <f>SUM($O108,$R108)</f>
        <v/>
      </c>
      <c r="U108" s="70">
        <f>IF($D108="","",IF(ROUND($S108-$T108,0)=0,"✓","⚠"))</f>
        <v/>
      </c>
      <c r="V108" s="76">
        <f>IF($E108="","",$K108)</f>
        <v/>
      </c>
    </row>
    <row r="109" ht="21.75" customHeight="1">
      <c r="A109" s="70">
        <f>IF($B109="","",COUNTA($B$10:$B109))</f>
        <v/>
      </c>
      <c r="B109" s="71" t="n"/>
      <c r="C109" s="71" t="n"/>
      <c r="D109" s="72" t="n"/>
      <c r="E109" s="71" t="n"/>
      <c r="F109" s="73">
        <f>IF($E109="","",IFERROR(VLOOKUP($E109,AcctTbl,2,0),"کد ناشناخته"))</f>
        <v/>
      </c>
      <c r="G109" s="70">
        <f>IF($E109="","",IFERROR(VLOOKUP($E109,AcctTbl,3,0),""))</f>
        <v/>
      </c>
      <c r="H109" s="71" t="n"/>
      <c r="I109" s="74" t="n"/>
      <c r="J109" s="74" t="n"/>
      <c r="K109" s="76">
        <f>IF(OR($I109="",$J109=""),0,ROUND($I109*$J109,-3))</f>
        <v/>
      </c>
      <c r="L109" s="77">
        <f>IF($D109="","",IF($U109="⚠","⚠ ناتراز",IF($E109="","⚠ حساب","✓")))</f>
        <v/>
      </c>
      <c r="M109" s="72" t="n"/>
      <c r="N109" s="76">
        <f>IF(OR($E109="",$K109=0),0,IF(IFERROR(VLOOKUP($D109,OpTbl,7,0),"")="بدهکار",$K109,0))</f>
        <v/>
      </c>
      <c r="O109" s="76">
        <f>IF(OR($E109="",$K109=0),0,IF(IFERROR(VLOOKUP($D109,OpTbl,7,0),"")="بستانکار",$K109,0))</f>
        <v/>
      </c>
      <c r="P109" s="70">
        <f>IF($D109="","",IFERROR(VLOOKUP($D109,OpTbl,8,0),""))</f>
        <v/>
      </c>
      <c r="Q109" s="76">
        <f>IF(OR($P109="",$K109=0),0,IF(IFERROR(VLOOKUP($D109,OpTbl,9,0),"")="بدهکار",$K109,0))</f>
        <v/>
      </c>
      <c r="R109" s="76">
        <f>IF(OR($P109="",$K109=0),0,IF(IFERROR(VLOOKUP($D109,OpTbl,9,0),"")="بستانکار",$K109,0))</f>
        <v/>
      </c>
      <c r="S109" s="76">
        <f>SUM($N109,$Q109)</f>
        <v/>
      </c>
      <c r="T109" s="76">
        <f>SUM($O109,$R109)</f>
        <v/>
      </c>
      <c r="U109" s="70">
        <f>IF($D109="","",IF(ROUND($S109-$T109,0)=0,"✓","⚠"))</f>
        <v/>
      </c>
      <c r="V109" s="76">
        <f>IF($E109="","",$K109)</f>
        <v/>
      </c>
    </row>
    <row r="110" ht="21.75" customHeight="1">
      <c r="A110" s="70">
        <f>IF($B110="","",COUNTA($B$10:$B110))</f>
        <v/>
      </c>
      <c r="B110" s="71" t="n"/>
      <c r="C110" s="71" t="n"/>
      <c r="D110" s="72" t="n"/>
      <c r="E110" s="71" t="n"/>
      <c r="F110" s="73">
        <f>IF($E110="","",IFERROR(VLOOKUP($E110,AcctTbl,2,0),"کد ناشناخته"))</f>
        <v/>
      </c>
      <c r="G110" s="70">
        <f>IF($E110="","",IFERROR(VLOOKUP($E110,AcctTbl,3,0),""))</f>
        <v/>
      </c>
      <c r="H110" s="71" t="n"/>
      <c r="I110" s="74" t="n"/>
      <c r="J110" s="74" t="n"/>
      <c r="K110" s="76">
        <f>IF(OR($I110="",$J110=""),0,ROUND($I110*$J110,-3))</f>
        <v/>
      </c>
      <c r="L110" s="77">
        <f>IF($D110="","",IF($U110="⚠","⚠ ناتراز",IF($E110="","⚠ حساب","✓")))</f>
        <v/>
      </c>
      <c r="M110" s="72" t="n"/>
      <c r="N110" s="76">
        <f>IF(OR($E110="",$K110=0),0,IF(IFERROR(VLOOKUP($D110,OpTbl,7,0),"")="بدهکار",$K110,0))</f>
        <v/>
      </c>
      <c r="O110" s="76">
        <f>IF(OR($E110="",$K110=0),0,IF(IFERROR(VLOOKUP($D110,OpTbl,7,0),"")="بستانکار",$K110,0))</f>
        <v/>
      </c>
      <c r="P110" s="70">
        <f>IF($D110="","",IFERROR(VLOOKUP($D110,OpTbl,8,0),""))</f>
        <v/>
      </c>
      <c r="Q110" s="76">
        <f>IF(OR($P110="",$K110=0),0,IF(IFERROR(VLOOKUP($D110,OpTbl,9,0),"")="بدهکار",$K110,0))</f>
        <v/>
      </c>
      <c r="R110" s="76">
        <f>IF(OR($P110="",$K110=0),0,IF(IFERROR(VLOOKUP($D110,OpTbl,9,0),"")="بستانکار",$K110,0))</f>
        <v/>
      </c>
      <c r="S110" s="76">
        <f>SUM($N110,$Q110)</f>
        <v/>
      </c>
      <c r="T110" s="76">
        <f>SUM($O110,$R110)</f>
        <v/>
      </c>
      <c r="U110" s="70">
        <f>IF($D110="","",IF(ROUND($S110-$T110,0)=0,"✓","⚠"))</f>
        <v/>
      </c>
      <c r="V110" s="76">
        <f>IF($E110="","",$K110)</f>
        <v/>
      </c>
    </row>
    <row r="111" ht="21.75" customHeight="1">
      <c r="A111" s="70">
        <f>IF($B111="","",COUNTA($B$10:$B111))</f>
        <v/>
      </c>
      <c r="B111" s="71" t="n"/>
      <c r="C111" s="71" t="n"/>
      <c r="D111" s="72" t="n"/>
      <c r="E111" s="71" t="n"/>
      <c r="F111" s="73">
        <f>IF($E111="","",IFERROR(VLOOKUP($E111,AcctTbl,2,0),"کد ناشناخته"))</f>
        <v/>
      </c>
      <c r="G111" s="70">
        <f>IF($E111="","",IFERROR(VLOOKUP($E111,AcctTbl,3,0),""))</f>
        <v/>
      </c>
      <c r="H111" s="71" t="n"/>
      <c r="I111" s="74" t="n"/>
      <c r="J111" s="74" t="n"/>
      <c r="K111" s="76">
        <f>IF(OR($I111="",$J111=""),0,ROUND($I111*$J111,-3))</f>
        <v/>
      </c>
      <c r="L111" s="77">
        <f>IF($D111="","",IF($U111="⚠","⚠ ناتراز",IF($E111="","⚠ حساب","✓")))</f>
        <v/>
      </c>
      <c r="M111" s="72" t="n"/>
      <c r="N111" s="76">
        <f>IF(OR($E111="",$K111=0),0,IF(IFERROR(VLOOKUP($D111,OpTbl,7,0),"")="بدهکار",$K111,0))</f>
        <v/>
      </c>
      <c r="O111" s="76">
        <f>IF(OR($E111="",$K111=0),0,IF(IFERROR(VLOOKUP($D111,OpTbl,7,0),"")="بستانکار",$K111,0))</f>
        <v/>
      </c>
      <c r="P111" s="70">
        <f>IF($D111="","",IFERROR(VLOOKUP($D111,OpTbl,8,0),""))</f>
        <v/>
      </c>
      <c r="Q111" s="76">
        <f>IF(OR($P111="",$K111=0),0,IF(IFERROR(VLOOKUP($D111,OpTbl,9,0),"")="بدهکار",$K111,0))</f>
        <v/>
      </c>
      <c r="R111" s="76">
        <f>IF(OR($P111="",$K111=0),0,IF(IFERROR(VLOOKUP($D111,OpTbl,9,0),"")="بستانکار",$K111,0))</f>
        <v/>
      </c>
      <c r="S111" s="76">
        <f>SUM($N111,$Q111)</f>
        <v/>
      </c>
      <c r="T111" s="76">
        <f>SUM($O111,$R111)</f>
        <v/>
      </c>
      <c r="U111" s="70">
        <f>IF($D111="","",IF(ROUND($S111-$T111,0)=0,"✓","⚠"))</f>
        <v/>
      </c>
      <c r="V111" s="76">
        <f>IF($E111="","",$K111)</f>
        <v/>
      </c>
    </row>
    <row r="112" ht="21.75" customHeight="1">
      <c r="A112" s="70">
        <f>IF($B112="","",COUNTA($B$10:$B112))</f>
        <v/>
      </c>
      <c r="B112" s="71" t="n"/>
      <c r="C112" s="71" t="n"/>
      <c r="D112" s="72" t="n"/>
      <c r="E112" s="71" t="n"/>
      <c r="F112" s="73">
        <f>IF($E112="","",IFERROR(VLOOKUP($E112,AcctTbl,2,0),"کد ناشناخته"))</f>
        <v/>
      </c>
      <c r="G112" s="70">
        <f>IF($E112="","",IFERROR(VLOOKUP($E112,AcctTbl,3,0),""))</f>
        <v/>
      </c>
      <c r="H112" s="71" t="n"/>
      <c r="I112" s="74" t="n"/>
      <c r="J112" s="74" t="n"/>
      <c r="K112" s="76">
        <f>IF(OR($I112="",$J112=""),0,ROUND($I112*$J112,-3))</f>
        <v/>
      </c>
      <c r="L112" s="77">
        <f>IF($D112="","",IF($U112="⚠","⚠ ناتراز",IF($E112="","⚠ حساب","✓")))</f>
        <v/>
      </c>
      <c r="M112" s="72" t="n"/>
      <c r="N112" s="76">
        <f>IF(OR($E112="",$K112=0),0,IF(IFERROR(VLOOKUP($D112,OpTbl,7,0),"")="بدهکار",$K112,0))</f>
        <v/>
      </c>
      <c r="O112" s="76">
        <f>IF(OR($E112="",$K112=0),0,IF(IFERROR(VLOOKUP($D112,OpTbl,7,0),"")="بستانکار",$K112,0))</f>
        <v/>
      </c>
      <c r="P112" s="70">
        <f>IF($D112="","",IFERROR(VLOOKUP($D112,OpTbl,8,0),""))</f>
        <v/>
      </c>
      <c r="Q112" s="76">
        <f>IF(OR($P112="",$K112=0),0,IF(IFERROR(VLOOKUP($D112,OpTbl,9,0),"")="بدهکار",$K112,0))</f>
        <v/>
      </c>
      <c r="R112" s="76">
        <f>IF(OR($P112="",$K112=0),0,IF(IFERROR(VLOOKUP($D112,OpTbl,9,0),"")="بستانکار",$K112,0))</f>
        <v/>
      </c>
      <c r="S112" s="76">
        <f>SUM($N112,$Q112)</f>
        <v/>
      </c>
      <c r="T112" s="76">
        <f>SUM($O112,$R112)</f>
        <v/>
      </c>
      <c r="U112" s="70">
        <f>IF($D112="","",IF(ROUND($S112-$T112,0)=0,"✓","⚠"))</f>
        <v/>
      </c>
      <c r="V112" s="76">
        <f>IF($E112="","",$K112)</f>
        <v/>
      </c>
    </row>
    <row r="113" ht="21.75" customHeight="1">
      <c r="A113" s="70">
        <f>IF($B113="","",COUNTA($B$10:$B113))</f>
        <v/>
      </c>
      <c r="B113" s="71" t="n"/>
      <c r="C113" s="71" t="n"/>
      <c r="D113" s="72" t="n"/>
      <c r="E113" s="71" t="n"/>
      <c r="F113" s="73">
        <f>IF($E113="","",IFERROR(VLOOKUP($E113,AcctTbl,2,0),"کد ناشناخته"))</f>
        <v/>
      </c>
      <c r="G113" s="70">
        <f>IF($E113="","",IFERROR(VLOOKUP($E113,AcctTbl,3,0),""))</f>
        <v/>
      </c>
      <c r="H113" s="71" t="n"/>
      <c r="I113" s="74" t="n"/>
      <c r="J113" s="74" t="n"/>
      <c r="K113" s="76">
        <f>IF(OR($I113="",$J113=""),0,ROUND($I113*$J113,-3))</f>
        <v/>
      </c>
      <c r="L113" s="77">
        <f>IF($D113="","",IF($U113="⚠","⚠ ناتراز",IF($E113="","⚠ حساب","✓")))</f>
        <v/>
      </c>
      <c r="M113" s="72" t="n"/>
      <c r="N113" s="76">
        <f>IF(OR($E113="",$K113=0),0,IF(IFERROR(VLOOKUP($D113,OpTbl,7,0),"")="بدهکار",$K113,0))</f>
        <v/>
      </c>
      <c r="O113" s="76">
        <f>IF(OR($E113="",$K113=0),0,IF(IFERROR(VLOOKUP($D113,OpTbl,7,0),"")="بستانکار",$K113,0))</f>
        <v/>
      </c>
      <c r="P113" s="70">
        <f>IF($D113="","",IFERROR(VLOOKUP($D113,OpTbl,8,0),""))</f>
        <v/>
      </c>
      <c r="Q113" s="76">
        <f>IF(OR($P113="",$K113=0),0,IF(IFERROR(VLOOKUP($D113,OpTbl,9,0),"")="بدهکار",$K113,0))</f>
        <v/>
      </c>
      <c r="R113" s="76">
        <f>IF(OR($P113="",$K113=0),0,IF(IFERROR(VLOOKUP($D113,OpTbl,9,0),"")="بستانکار",$K113,0))</f>
        <v/>
      </c>
      <c r="S113" s="76">
        <f>SUM($N113,$Q113)</f>
        <v/>
      </c>
      <c r="T113" s="76">
        <f>SUM($O113,$R113)</f>
        <v/>
      </c>
      <c r="U113" s="70">
        <f>IF($D113="","",IF(ROUND($S113-$T113,0)=0,"✓","⚠"))</f>
        <v/>
      </c>
      <c r="V113" s="76">
        <f>IF($E113="","",$K113)</f>
        <v/>
      </c>
    </row>
    <row r="114" ht="21.75" customHeight="1">
      <c r="A114" s="70">
        <f>IF($B114="","",COUNTA($B$10:$B114))</f>
        <v/>
      </c>
      <c r="B114" s="71" t="n"/>
      <c r="C114" s="71" t="n"/>
      <c r="D114" s="72" t="n"/>
      <c r="E114" s="71" t="n"/>
      <c r="F114" s="73">
        <f>IF($E114="","",IFERROR(VLOOKUP($E114,AcctTbl,2,0),"کد ناشناخته"))</f>
        <v/>
      </c>
      <c r="G114" s="70">
        <f>IF($E114="","",IFERROR(VLOOKUP($E114,AcctTbl,3,0),""))</f>
        <v/>
      </c>
      <c r="H114" s="71" t="n"/>
      <c r="I114" s="74" t="n"/>
      <c r="J114" s="74" t="n"/>
      <c r="K114" s="76">
        <f>IF(OR($I114="",$J114=""),0,ROUND($I114*$J114,-3))</f>
        <v/>
      </c>
      <c r="L114" s="77">
        <f>IF($D114="","",IF($U114="⚠","⚠ ناتراز",IF($E114="","⚠ حساب","✓")))</f>
        <v/>
      </c>
      <c r="M114" s="72" t="n"/>
      <c r="N114" s="76">
        <f>IF(OR($E114="",$K114=0),0,IF(IFERROR(VLOOKUP($D114,OpTbl,7,0),"")="بدهکار",$K114,0))</f>
        <v/>
      </c>
      <c r="O114" s="76">
        <f>IF(OR($E114="",$K114=0),0,IF(IFERROR(VLOOKUP($D114,OpTbl,7,0),"")="بستانکار",$K114,0))</f>
        <v/>
      </c>
      <c r="P114" s="70">
        <f>IF($D114="","",IFERROR(VLOOKUP($D114,OpTbl,8,0),""))</f>
        <v/>
      </c>
      <c r="Q114" s="76">
        <f>IF(OR($P114="",$K114=0),0,IF(IFERROR(VLOOKUP($D114,OpTbl,9,0),"")="بدهکار",$K114,0))</f>
        <v/>
      </c>
      <c r="R114" s="76">
        <f>IF(OR($P114="",$K114=0),0,IF(IFERROR(VLOOKUP($D114,OpTbl,9,0),"")="بستانکار",$K114,0))</f>
        <v/>
      </c>
      <c r="S114" s="76">
        <f>SUM($N114,$Q114)</f>
        <v/>
      </c>
      <c r="T114" s="76">
        <f>SUM($O114,$R114)</f>
        <v/>
      </c>
      <c r="U114" s="70">
        <f>IF($D114="","",IF(ROUND($S114-$T114,0)=0,"✓","⚠"))</f>
        <v/>
      </c>
      <c r="V114" s="76">
        <f>IF($E114="","",$K114)</f>
        <v/>
      </c>
    </row>
    <row r="115" ht="21.75" customHeight="1">
      <c r="A115" s="70">
        <f>IF($B115="","",COUNTA($B$10:$B115))</f>
        <v/>
      </c>
      <c r="B115" s="71" t="n"/>
      <c r="C115" s="71" t="n"/>
      <c r="D115" s="72" t="n"/>
      <c r="E115" s="71" t="n"/>
      <c r="F115" s="73">
        <f>IF($E115="","",IFERROR(VLOOKUP($E115,AcctTbl,2,0),"کد ناشناخته"))</f>
        <v/>
      </c>
      <c r="G115" s="70">
        <f>IF($E115="","",IFERROR(VLOOKUP($E115,AcctTbl,3,0),""))</f>
        <v/>
      </c>
      <c r="H115" s="71" t="n"/>
      <c r="I115" s="74" t="n"/>
      <c r="J115" s="74" t="n"/>
      <c r="K115" s="76">
        <f>IF(OR($I115="",$J115=""),0,ROUND($I115*$J115,-3))</f>
        <v/>
      </c>
      <c r="L115" s="77">
        <f>IF($D115="","",IF($U115="⚠","⚠ ناتراز",IF($E115="","⚠ حساب","✓")))</f>
        <v/>
      </c>
      <c r="M115" s="72" t="n"/>
      <c r="N115" s="76">
        <f>IF(OR($E115="",$K115=0),0,IF(IFERROR(VLOOKUP($D115,OpTbl,7,0),"")="بدهکار",$K115,0))</f>
        <v/>
      </c>
      <c r="O115" s="76">
        <f>IF(OR($E115="",$K115=0),0,IF(IFERROR(VLOOKUP($D115,OpTbl,7,0),"")="بستانکار",$K115,0))</f>
        <v/>
      </c>
      <c r="P115" s="70">
        <f>IF($D115="","",IFERROR(VLOOKUP($D115,OpTbl,8,0),""))</f>
        <v/>
      </c>
      <c r="Q115" s="76">
        <f>IF(OR($P115="",$K115=0),0,IF(IFERROR(VLOOKUP($D115,OpTbl,9,0),"")="بدهکار",$K115,0))</f>
        <v/>
      </c>
      <c r="R115" s="76">
        <f>IF(OR($P115="",$K115=0),0,IF(IFERROR(VLOOKUP($D115,OpTbl,9,0),"")="بستانکار",$K115,0))</f>
        <v/>
      </c>
      <c r="S115" s="76">
        <f>SUM($N115,$Q115)</f>
        <v/>
      </c>
      <c r="T115" s="76">
        <f>SUM($O115,$R115)</f>
        <v/>
      </c>
      <c r="U115" s="70">
        <f>IF($D115="","",IF(ROUND($S115-$T115,0)=0,"✓","⚠"))</f>
        <v/>
      </c>
      <c r="V115" s="76">
        <f>IF($E115="","",$K115)</f>
        <v/>
      </c>
    </row>
    <row r="116" ht="21.75" customHeight="1">
      <c r="A116" s="70">
        <f>IF($B116="","",COUNTA($B$10:$B116))</f>
        <v/>
      </c>
      <c r="B116" s="71" t="n"/>
      <c r="C116" s="71" t="n"/>
      <c r="D116" s="72" t="n"/>
      <c r="E116" s="71" t="n"/>
      <c r="F116" s="73">
        <f>IF($E116="","",IFERROR(VLOOKUP($E116,AcctTbl,2,0),"کد ناشناخته"))</f>
        <v/>
      </c>
      <c r="G116" s="70">
        <f>IF($E116="","",IFERROR(VLOOKUP($E116,AcctTbl,3,0),""))</f>
        <v/>
      </c>
      <c r="H116" s="71" t="n"/>
      <c r="I116" s="74" t="n"/>
      <c r="J116" s="74" t="n"/>
      <c r="K116" s="76">
        <f>IF(OR($I116="",$J116=""),0,ROUND($I116*$J116,-3))</f>
        <v/>
      </c>
      <c r="L116" s="77">
        <f>IF($D116="","",IF($U116="⚠","⚠ ناتراز",IF($E116="","⚠ حساب","✓")))</f>
        <v/>
      </c>
      <c r="M116" s="72" t="n"/>
      <c r="N116" s="76">
        <f>IF(OR($E116="",$K116=0),0,IF(IFERROR(VLOOKUP($D116,OpTbl,7,0),"")="بدهکار",$K116,0))</f>
        <v/>
      </c>
      <c r="O116" s="76">
        <f>IF(OR($E116="",$K116=0),0,IF(IFERROR(VLOOKUP($D116,OpTbl,7,0),"")="بستانکار",$K116,0))</f>
        <v/>
      </c>
      <c r="P116" s="70">
        <f>IF($D116="","",IFERROR(VLOOKUP($D116,OpTbl,8,0),""))</f>
        <v/>
      </c>
      <c r="Q116" s="76">
        <f>IF(OR($P116="",$K116=0),0,IF(IFERROR(VLOOKUP($D116,OpTbl,9,0),"")="بدهکار",$K116,0))</f>
        <v/>
      </c>
      <c r="R116" s="76">
        <f>IF(OR($P116="",$K116=0),0,IF(IFERROR(VLOOKUP($D116,OpTbl,9,0),"")="بستانکار",$K116,0))</f>
        <v/>
      </c>
      <c r="S116" s="76">
        <f>SUM($N116,$Q116)</f>
        <v/>
      </c>
      <c r="T116" s="76">
        <f>SUM($O116,$R116)</f>
        <v/>
      </c>
      <c r="U116" s="70">
        <f>IF($D116="","",IF(ROUND($S116-$T116,0)=0,"✓","⚠"))</f>
        <v/>
      </c>
      <c r="V116" s="76">
        <f>IF($E116="","",$K116)</f>
        <v/>
      </c>
    </row>
    <row r="117" ht="21.75" customHeight="1">
      <c r="A117" s="70">
        <f>IF($B117="","",COUNTA($B$10:$B117))</f>
        <v/>
      </c>
      <c r="B117" s="71" t="n"/>
      <c r="C117" s="71" t="n"/>
      <c r="D117" s="72" t="n"/>
      <c r="E117" s="71" t="n"/>
      <c r="F117" s="73">
        <f>IF($E117="","",IFERROR(VLOOKUP($E117,AcctTbl,2,0),"کد ناشناخته"))</f>
        <v/>
      </c>
      <c r="G117" s="70">
        <f>IF($E117="","",IFERROR(VLOOKUP($E117,AcctTbl,3,0),""))</f>
        <v/>
      </c>
      <c r="H117" s="71" t="n"/>
      <c r="I117" s="74" t="n"/>
      <c r="J117" s="74" t="n"/>
      <c r="K117" s="76">
        <f>IF(OR($I117="",$J117=""),0,ROUND($I117*$J117,-3))</f>
        <v/>
      </c>
      <c r="L117" s="77">
        <f>IF($D117="","",IF($U117="⚠","⚠ ناتراز",IF($E117="","⚠ حساب","✓")))</f>
        <v/>
      </c>
      <c r="M117" s="72" t="n"/>
      <c r="N117" s="76">
        <f>IF(OR($E117="",$K117=0),0,IF(IFERROR(VLOOKUP($D117,OpTbl,7,0),"")="بدهکار",$K117,0))</f>
        <v/>
      </c>
      <c r="O117" s="76">
        <f>IF(OR($E117="",$K117=0),0,IF(IFERROR(VLOOKUP($D117,OpTbl,7,0),"")="بستانکار",$K117,0))</f>
        <v/>
      </c>
      <c r="P117" s="70">
        <f>IF($D117="","",IFERROR(VLOOKUP($D117,OpTbl,8,0),""))</f>
        <v/>
      </c>
      <c r="Q117" s="76">
        <f>IF(OR($P117="",$K117=0),0,IF(IFERROR(VLOOKUP($D117,OpTbl,9,0),"")="بدهکار",$K117,0))</f>
        <v/>
      </c>
      <c r="R117" s="76">
        <f>IF(OR($P117="",$K117=0),0,IF(IFERROR(VLOOKUP($D117,OpTbl,9,0),"")="بستانکار",$K117,0))</f>
        <v/>
      </c>
      <c r="S117" s="76">
        <f>SUM($N117,$Q117)</f>
        <v/>
      </c>
      <c r="T117" s="76">
        <f>SUM($O117,$R117)</f>
        <v/>
      </c>
      <c r="U117" s="70">
        <f>IF($D117="","",IF(ROUND($S117-$T117,0)=0,"✓","⚠"))</f>
        <v/>
      </c>
      <c r="V117" s="76">
        <f>IF($E117="","",$K117)</f>
        <v/>
      </c>
    </row>
    <row r="118" ht="21.75" customHeight="1">
      <c r="A118" s="70">
        <f>IF($B118="","",COUNTA($B$10:$B118))</f>
        <v/>
      </c>
      <c r="B118" s="71" t="n"/>
      <c r="C118" s="71" t="n"/>
      <c r="D118" s="72" t="n"/>
      <c r="E118" s="71" t="n"/>
      <c r="F118" s="73">
        <f>IF($E118="","",IFERROR(VLOOKUP($E118,AcctTbl,2,0),"کد ناشناخته"))</f>
        <v/>
      </c>
      <c r="G118" s="70">
        <f>IF($E118="","",IFERROR(VLOOKUP($E118,AcctTbl,3,0),""))</f>
        <v/>
      </c>
      <c r="H118" s="71" t="n"/>
      <c r="I118" s="74" t="n"/>
      <c r="J118" s="74" t="n"/>
      <c r="K118" s="76">
        <f>IF(OR($I118="",$J118=""),0,ROUND($I118*$J118,-3))</f>
        <v/>
      </c>
      <c r="L118" s="77">
        <f>IF($D118="","",IF($U118="⚠","⚠ ناتراز",IF($E118="","⚠ حساب","✓")))</f>
        <v/>
      </c>
      <c r="M118" s="72" t="n"/>
      <c r="N118" s="76">
        <f>IF(OR($E118="",$K118=0),0,IF(IFERROR(VLOOKUP($D118,OpTbl,7,0),"")="بدهکار",$K118,0))</f>
        <v/>
      </c>
      <c r="O118" s="76">
        <f>IF(OR($E118="",$K118=0),0,IF(IFERROR(VLOOKUP($D118,OpTbl,7,0),"")="بستانکار",$K118,0))</f>
        <v/>
      </c>
      <c r="P118" s="70">
        <f>IF($D118="","",IFERROR(VLOOKUP($D118,OpTbl,8,0),""))</f>
        <v/>
      </c>
      <c r="Q118" s="76">
        <f>IF(OR($P118="",$K118=0),0,IF(IFERROR(VLOOKUP($D118,OpTbl,9,0),"")="بدهکار",$K118,0))</f>
        <v/>
      </c>
      <c r="R118" s="76">
        <f>IF(OR($P118="",$K118=0),0,IF(IFERROR(VLOOKUP($D118,OpTbl,9,0),"")="بستانکار",$K118,0))</f>
        <v/>
      </c>
      <c r="S118" s="76">
        <f>SUM($N118,$Q118)</f>
        <v/>
      </c>
      <c r="T118" s="76">
        <f>SUM($O118,$R118)</f>
        <v/>
      </c>
      <c r="U118" s="70">
        <f>IF($D118="","",IF(ROUND($S118-$T118,0)=0,"✓","⚠"))</f>
        <v/>
      </c>
      <c r="V118" s="76">
        <f>IF($E118="","",$K118)</f>
        <v/>
      </c>
    </row>
    <row r="119" ht="21.75" customHeight="1">
      <c r="A119" s="70">
        <f>IF($B119="","",COUNTA($B$10:$B119))</f>
        <v/>
      </c>
      <c r="B119" s="71" t="n"/>
      <c r="C119" s="71" t="n"/>
      <c r="D119" s="72" t="n"/>
      <c r="E119" s="71" t="n"/>
      <c r="F119" s="73">
        <f>IF($E119="","",IFERROR(VLOOKUP($E119,AcctTbl,2,0),"کد ناشناخته"))</f>
        <v/>
      </c>
      <c r="G119" s="70">
        <f>IF($E119="","",IFERROR(VLOOKUP($E119,AcctTbl,3,0),""))</f>
        <v/>
      </c>
      <c r="H119" s="71" t="n"/>
      <c r="I119" s="74" t="n"/>
      <c r="J119" s="74" t="n"/>
      <c r="K119" s="76">
        <f>IF(OR($I119="",$J119=""),0,ROUND($I119*$J119,-3))</f>
        <v/>
      </c>
      <c r="L119" s="77">
        <f>IF($D119="","",IF($U119="⚠","⚠ ناتراز",IF($E119="","⚠ حساب","✓")))</f>
        <v/>
      </c>
      <c r="M119" s="72" t="n"/>
      <c r="N119" s="76">
        <f>IF(OR($E119="",$K119=0),0,IF(IFERROR(VLOOKUP($D119,OpTbl,7,0),"")="بدهکار",$K119,0))</f>
        <v/>
      </c>
      <c r="O119" s="76">
        <f>IF(OR($E119="",$K119=0),0,IF(IFERROR(VLOOKUP($D119,OpTbl,7,0),"")="بستانکار",$K119,0))</f>
        <v/>
      </c>
      <c r="P119" s="70">
        <f>IF($D119="","",IFERROR(VLOOKUP($D119,OpTbl,8,0),""))</f>
        <v/>
      </c>
      <c r="Q119" s="76">
        <f>IF(OR($P119="",$K119=0),0,IF(IFERROR(VLOOKUP($D119,OpTbl,9,0),"")="بدهکار",$K119,0))</f>
        <v/>
      </c>
      <c r="R119" s="76">
        <f>IF(OR($P119="",$K119=0),0,IF(IFERROR(VLOOKUP($D119,OpTbl,9,0),"")="بستانکار",$K119,0))</f>
        <v/>
      </c>
      <c r="S119" s="76">
        <f>SUM($N119,$Q119)</f>
        <v/>
      </c>
      <c r="T119" s="76">
        <f>SUM($O119,$R119)</f>
        <v/>
      </c>
      <c r="U119" s="70">
        <f>IF($D119="","",IF(ROUND($S119-$T119,0)=0,"✓","⚠"))</f>
        <v/>
      </c>
      <c r="V119" s="76">
        <f>IF($E119="","",$K119)</f>
        <v/>
      </c>
    </row>
    <row r="120" ht="21.75" customHeight="1">
      <c r="A120" s="70">
        <f>IF($B120="","",COUNTA($B$10:$B120))</f>
        <v/>
      </c>
      <c r="B120" s="71" t="n"/>
      <c r="C120" s="71" t="n"/>
      <c r="D120" s="72" t="n"/>
      <c r="E120" s="71" t="n"/>
      <c r="F120" s="73">
        <f>IF($E120="","",IFERROR(VLOOKUP($E120,AcctTbl,2,0),"کد ناشناخته"))</f>
        <v/>
      </c>
      <c r="G120" s="70">
        <f>IF($E120="","",IFERROR(VLOOKUP($E120,AcctTbl,3,0),""))</f>
        <v/>
      </c>
      <c r="H120" s="71" t="n"/>
      <c r="I120" s="74" t="n"/>
      <c r="J120" s="74" t="n"/>
      <c r="K120" s="76">
        <f>IF(OR($I120="",$J120=""),0,ROUND($I120*$J120,-3))</f>
        <v/>
      </c>
      <c r="L120" s="77">
        <f>IF($D120="","",IF($U120="⚠","⚠ ناتراز",IF($E120="","⚠ حساب","✓")))</f>
        <v/>
      </c>
      <c r="M120" s="72" t="n"/>
      <c r="N120" s="76">
        <f>IF(OR($E120="",$K120=0),0,IF(IFERROR(VLOOKUP($D120,OpTbl,7,0),"")="بدهکار",$K120,0))</f>
        <v/>
      </c>
      <c r="O120" s="76">
        <f>IF(OR($E120="",$K120=0),0,IF(IFERROR(VLOOKUP($D120,OpTbl,7,0),"")="بستانکار",$K120,0))</f>
        <v/>
      </c>
      <c r="P120" s="70">
        <f>IF($D120="","",IFERROR(VLOOKUP($D120,OpTbl,8,0),""))</f>
        <v/>
      </c>
      <c r="Q120" s="76">
        <f>IF(OR($P120="",$K120=0),0,IF(IFERROR(VLOOKUP($D120,OpTbl,9,0),"")="بدهکار",$K120,0))</f>
        <v/>
      </c>
      <c r="R120" s="76">
        <f>IF(OR($P120="",$K120=0),0,IF(IFERROR(VLOOKUP($D120,OpTbl,9,0),"")="بستانکار",$K120,0))</f>
        <v/>
      </c>
      <c r="S120" s="76">
        <f>SUM($N120,$Q120)</f>
        <v/>
      </c>
      <c r="T120" s="76">
        <f>SUM($O120,$R120)</f>
        <v/>
      </c>
      <c r="U120" s="70">
        <f>IF($D120="","",IF(ROUND($S120-$T120,0)=0,"✓","⚠"))</f>
        <v/>
      </c>
      <c r="V120" s="76">
        <f>IF($E120="","",$K120)</f>
        <v/>
      </c>
    </row>
    <row r="121" ht="21.75" customHeight="1">
      <c r="A121" s="70">
        <f>IF($B121="","",COUNTA($B$10:$B121))</f>
        <v/>
      </c>
      <c r="B121" s="71" t="n"/>
      <c r="C121" s="71" t="n"/>
      <c r="D121" s="72" t="n"/>
      <c r="E121" s="71" t="n"/>
      <c r="F121" s="73">
        <f>IF($E121="","",IFERROR(VLOOKUP($E121,AcctTbl,2,0),"کد ناشناخته"))</f>
        <v/>
      </c>
      <c r="G121" s="70">
        <f>IF($E121="","",IFERROR(VLOOKUP($E121,AcctTbl,3,0),""))</f>
        <v/>
      </c>
      <c r="H121" s="71" t="n"/>
      <c r="I121" s="74" t="n"/>
      <c r="J121" s="74" t="n"/>
      <c r="K121" s="76">
        <f>IF(OR($I121="",$J121=""),0,ROUND($I121*$J121,-3))</f>
        <v/>
      </c>
      <c r="L121" s="77">
        <f>IF($D121="","",IF($U121="⚠","⚠ ناتراز",IF($E121="","⚠ حساب","✓")))</f>
        <v/>
      </c>
      <c r="M121" s="72" t="n"/>
      <c r="N121" s="76">
        <f>IF(OR($E121="",$K121=0),0,IF(IFERROR(VLOOKUP($D121,OpTbl,7,0),"")="بدهکار",$K121,0))</f>
        <v/>
      </c>
      <c r="O121" s="76">
        <f>IF(OR($E121="",$K121=0),0,IF(IFERROR(VLOOKUP($D121,OpTbl,7,0),"")="بستانکار",$K121,0))</f>
        <v/>
      </c>
      <c r="P121" s="70">
        <f>IF($D121="","",IFERROR(VLOOKUP($D121,OpTbl,8,0),""))</f>
        <v/>
      </c>
      <c r="Q121" s="76">
        <f>IF(OR($P121="",$K121=0),0,IF(IFERROR(VLOOKUP($D121,OpTbl,9,0),"")="بدهکار",$K121,0))</f>
        <v/>
      </c>
      <c r="R121" s="76">
        <f>IF(OR($P121="",$K121=0),0,IF(IFERROR(VLOOKUP($D121,OpTbl,9,0),"")="بستانکار",$K121,0))</f>
        <v/>
      </c>
      <c r="S121" s="76">
        <f>SUM($N121,$Q121)</f>
        <v/>
      </c>
      <c r="T121" s="76">
        <f>SUM($O121,$R121)</f>
        <v/>
      </c>
      <c r="U121" s="70">
        <f>IF($D121="","",IF(ROUND($S121-$T121,0)=0,"✓","⚠"))</f>
        <v/>
      </c>
      <c r="V121" s="76">
        <f>IF($E121="","",$K121)</f>
        <v/>
      </c>
    </row>
    <row r="122" ht="21.75" customHeight="1">
      <c r="A122" s="70">
        <f>IF($B122="","",COUNTA($B$10:$B122))</f>
        <v/>
      </c>
      <c r="B122" s="71" t="n"/>
      <c r="C122" s="71" t="n"/>
      <c r="D122" s="72" t="n"/>
      <c r="E122" s="71" t="n"/>
      <c r="F122" s="73">
        <f>IF($E122="","",IFERROR(VLOOKUP($E122,AcctTbl,2,0),"کد ناشناخته"))</f>
        <v/>
      </c>
      <c r="G122" s="70">
        <f>IF($E122="","",IFERROR(VLOOKUP($E122,AcctTbl,3,0),""))</f>
        <v/>
      </c>
      <c r="H122" s="71" t="n"/>
      <c r="I122" s="74" t="n"/>
      <c r="J122" s="74" t="n"/>
      <c r="K122" s="76">
        <f>IF(OR($I122="",$J122=""),0,ROUND($I122*$J122,-3))</f>
        <v/>
      </c>
      <c r="L122" s="77">
        <f>IF($D122="","",IF($U122="⚠","⚠ ناتراز",IF($E122="","⚠ حساب","✓")))</f>
        <v/>
      </c>
      <c r="M122" s="72" t="n"/>
      <c r="N122" s="76">
        <f>IF(OR($E122="",$K122=0),0,IF(IFERROR(VLOOKUP($D122,OpTbl,7,0),"")="بدهکار",$K122,0))</f>
        <v/>
      </c>
      <c r="O122" s="76">
        <f>IF(OR($E122="",$K122=0),0,IF(IFERROR(VLOOKUP($D122,OpTbl,7,0),"")="بستانکار",$K122,0))</f>
        <v/>
      </c>
      <c r="P122" s="70">
        <f>IF($D122="","",IFERROR(VLOOKUP($D122,OpTbl,8,0),""))</f>
        <v/>
      </c>
      <c r="Q122" s="76">
        <f>IF(OR($P122="",$K122=0),0,IF(IFERROR(VLOOKUP($D122,OpTbl,9,0),"")="بدهکار",$K122,0))</f>
        <v/>
      </c>
      <c r="R122" s="76">
        <f>IF(OR($P122="",$K122=0),0,IF(IFERROR(VLOOKUP($D122,OpTbl,9,0),"")="بستانکار",$K122,0))</f>
        <v/>
      </c>
      <c r="S122" s="76">
        <f>SUM($N122,$Q122)</f>
        <v/>
      </c>
      <c r="T122" s="76">
        <f>SUM($O122,$R122)</f>
        <v/>
      </c>
      <c r="U122" s="70">
        <f>IF($D122="","",IF(ROUND($S122-$T122,0)=0,"✓","⚠"))</f>
        <v/>
      </c>
      <c r="V122" s="76">
        <f>IF($E122="","",$K122)</f>
        <v/>
      </c>
    </row>
    <row r="123" ht="21.75" customHeight="1">
      <c r="A123" s="70">
        <f>IF($B123="","",COUNTA($B$10:$B123))</f>
        <v/>
      </c>
      <c r="B123" s="71" t="n"/>
      <c r="C123" s="71" t="n"/>
      <c r="D123" s="72" t="n"/>
      <c r="E123" s="71" t="n"/>
      <c r="F123" s="73">
        <f>IF($E123="","",IFERROR(VLOOKUP($E123,AcctTbl,2,0),"کد ناشناخته"))</f>
        <v/>
      </c>
      <c r="G123" s="70">
        <f>IF($E123="","",IFERROR(VLOOKUP($E123,AcctTbl,3,0),""))</f>
        <v/>
      </c>
      <c r="H123" s="71" t="n"/>
      <c r="I123" s="74" t="n"/>
      <c r="J123" s="74" t="n"/>
      <c r="K123" s="76">
        <f>IF(OR($I123="",$J123=""),0,ROUND($I123*$J123,-3))</f>
        <v/>
      </c>
      <c r="L123" s="77">
        <f>IF($D123="","",IF($U123="⚠","⚠ ناتراز",IF($E123="","⚠ حساب","✓")))</f>
        <v/>
      </c>
      <c r="M123" s="72" t="n"/>
      <c r="N123" s="76">
        <f>IF(OR($E123="",$K123=0),0,IF(IFERROR(VLOOKUP($D123,OpTbl,7,0),"")="بدهکار",$K123,0))</f>
        <v/>
      </c>
      <c r="O123" s="76">
        <f>IF(OR($E123="",$K123=0),0,IF(IFERROR(VLOOKUP($D123,OpTbl,7,0),"")="بستانکار",$K123,0))</f>
        <v/>
      </c>
      <c r="P123" s="70">
        <f>IF($D123="","",IFERROR(VLOOKUP($D123,OpTbl,8,0),""))</f>
        <v/>
      </c>
      <c r="Q123" s="76">
        <f>IF(OR($P123="",$K123=0),0,IF(IFERROR(VLOOKUP($D123,OpTbl,9,0),"")="بدهکار",$K123,0))</f>
        <v/>
      </c>
      <c r="R123" s="76">
        <f>IF(OR($P123="",$K123=0),0,IF(IFERROR(VLOOKUP($D123,OpTbl,9,0),"")="بستانکار",$K123,0))</f>
        <v/>
      </c>
      <c r="S123" s="76">
        <f>SUM($N123,$Q123)</f>
        <v/>
      </c>
      <c r="T123" s="76">
        <f>SUM($O123,$R123)</f>
        <v/>
      </c>
      <c r="U123" s="70">
        <f>IF($D123="","",IF(ROUND($S123-$T123,0)=0,"✓","⚠"))</f>
        <v/>
      </c>
      <c r="V123" s="76">
        <f>IF($E123="","",$K123)</f>
        <v/>
      </c>
    </row>
    <row r="124" ht="21.75" customHeight="1">
      <c r="A124" s="70">
        <f>IF($B124="","",COUNTA($B$10:$B124))</f>
        <v/>
      </c>
      <c r="B124" s="71" t="n"/>
      <c r="C124" s="71" t="n"/>
      <c r="D124" s="72" t="n"/>
      <c r="E124" s="71" t="n"/>
      <c r="F124" s="73">
        <f>IF($E124="","",IFERROR(VLOOKUP($E124,AcctTbl,2,0),"کد ناشناخته"))</f>
        <v/>
      </c>
      <c r="G124" s="70">
        <f>IF($E124="","",IFERROR(VLOOKUP($E124,AcctTbl,3,0),""))</f>
        <v/>
      </c>
      <c r="H124" s="71" t="n"/>
      <c r="I124" s="74" t="n"/>
      <c r="J124" s="74" t="n"/>
      <c r="K124" s="76">
        <f>IF(OR($I124="",$J124=""),0,ROUND($I124*$J124,-3))</f>
        <v/>
      </c>
      <c r="L124" s="77">
        <f>IF($D124="","",IF($U124="⚠","⚠ ناتراز",IF($E124="","⚠ حساب","✓")))</f>
        <v/>
      </c>
      <c r="M124" s="72" t="n"/>
      <c r="N124" s="76">
        <f>IF(OR($E124="",$K124=0),0,IF(IFERROR(VLOOKUP($D124,OpTbl,7,0),"")="بدهکار",$K124,0))</f>
        <v/>
      </c>
      <c r="O124" s="76">
        <f>IF(OR($E124="",$K124=0),0,IF(IFERROR(VLOOKUP($D124,OpTbl,7,0),"")="بستانکار",$K124,0))</f>
        <v/>
      </c>
      <c r="P124" s="70">
        <f>IF($D124="","",IFERROR(VLOOKUP($D124,OpTbl,8,0),""))</f>
        <v/>
      </c>
      <c r="Q124" s="76">
        <f>IF(OR($P124="",$K124=0),0,IF(IFERROR(VLOOKUP($D124,OpTbl,9,0),"")="بدهکار",$K124,0))</f>
        <v/>
      </c>
      <c r="R124" s="76">
        <f>IF(OR($P124="",$K124=0),0,IF(IFERROR(VLOOKUP($D124,OpTbl,9,0),"")="بستانکار",$K124,0))</f>
        <v/>
      </c>
      <c r="S124" s="76">
        <f>SUM($N124,$Q124)</f>
        <v/>
      </c>
      <c r="T124" s="76">
        <f>SUM($O124,$R124)</f>
        <v/>
      </c>
      <c r="U124" s="70">
        <f>IF($D124="","",IF(ROUND($S124-$T124,0)=0,"✓","⚠"))</f>
        <v/>
      </c>
      <c r="V124" s="76">
        <f>IF($E124="","",$K124)</f>
        <v/>
      </c>
    </row>
    <row r="125" ht="21.75" customHeight="1">
      <c r="A125" s="70">
        <f>IF($B125="","",COUNTA($B$10:$B125))</f>
        <v/>
      </c>
      <c r="B125" s="71" t="n"/>
      <c r="C125" s="71" t="n"/>
      <c r="D125" s="72" t="n"/>
      <c r="E125" s="71" t="n"/>
      <c r="F125" s="73">
        <f>IF($E125="","",IFERROR(VLOOKUP($E125,AcctTbl,2,0),"کد ناشناخته"))</f>
        <v/>
      </c>
      <c r="G125" s="70">
        <f>IF($E125="","",IFERROR(VLOOKUP($E125,AcctTbl,3,0),""))</f>
        <v/>
      </c>
      <c r="H125" s="71" t="n"/>
      <c r="I125" s="74" t="n"/>
      <c r="J125" s="74" t="n"/>
      <c r="K125" s="76">
        <f>IF(OR($I125="",$J125=""),0,ROUND($I125*$J125,-3))</f>
        <v/>
      </c>
      <c r="L125" s="77">
        <f>IF($D125="","",IF($U125="⚠","⚠ ناتراز",IF($E125="","⚠ حساب","✓")))</f>
        <v/>
      </c>
      <c r="M125" s="72" t="n"/>
      <c r="N125" s="76">
        <f>IF(OR($E125="",$K125=0),0,IF(IFERROR(VLOOKUP($D125,OpTbl,7,0),"")="بدهکار",$K125,0))</f>
        <v/>
      </c>
      <c r="O125" s="76">
        <f>IF(OR($E125="",$K125=0),0,IF(IFERROR(VLOOKUP($D125,OpTbl,7,0),"")="بستانکار",$K125,0))</f>
        <v/>
      </c>
      <c r="P125" s="70">
        <f>IF($D125="","",IFERROR(VLOOKUP($D125,OpTbl,8,0),""))</f>
        <v/>
      </c>
      <c r="Q125" s="76">
        <f>IF(OR($P125="",$K125=0),0,IF(IFERROR(VLOOKUP($D125,OpTbl,9,0),"")="بدهکار",$K125,0))</f>
        <v/>
      </c>
      <c r="R125" s="76">
        <f>IF(OR($P125="",$K125=0),0,IF(IFERROR(VLOOKUP($D125,OpTbl,9,0),"")="بستانکار",$K125,0))</f>
        <v/>
      </c>
      <c r="S125" s="76">
        <f>SUM($N125,$Q125)</f>
        <v/>
      </c>
      <c r="T125" s="76">
        <f>SUM($O125,$R125)</f>
        <v/>
      </c>
      <c r="U125" s="70">
        <f>IF($D125="","",IF(ROUND($S125-$T125,0)=0,"✓","⚠"))</f>
        <v/>
      </c>
      <c r="V125" s="76">
        <f>IF($E125="","",$K125)</f>
        <v/>
      </c>
    </row>
    <row r="126" ht="21.75" customHeight="1">
      <c r="A126" s="70">
        <f>IF($B126="","",COUNTA($B$10:$B126))</f>
        <v/>
      </c>
      <c r="B126" s="71" t="n"/>
      <c r="C126" s="71" t="n"/>
      <c r="D126" s="72" t="n"/>
      <c r="E126" s="71" t="n"/>
      <c r="F126" s="73">
        <f>IF($E126="","",IFERROR(VLOOKUP($E126,AcctTbl,2,0),"کد ناشناخته"))</f>
        <v/>
      </c>
      <c r="G126" s="70">
        <f>IF($E126="","",IFERROR(VLOOKUP($E126,AcctTbl,3,0),""))</f>
        <v/>
      </c>
      <c r="H126" s="71" t="n"/>
      <c r="I126" s="74" t="n"/>
      <c r="J126" s="74" t="n"/>
      <c r="K126" s="76">
        <f>IF(OR($I126="",$J126=""),0,ROUND($I126*$J126,-3))</f>
        <v/>
      </c>
      <c r="L126" s="77">
        <f>IF($D126="","",IF($U126="⚠","⚠ ناتراز",IF($E126="","⚠ حساب","✓")))</f>
        <v/>
      </c>
      <c r="M126" s="72" t="n"/>
      <c r="N126" s="76">
        <f>IF(OR($E126="",$K126=0),0,IF(IFERROR(VLOOKUP($D126,OpTbl,7,0),"")="بدهکار",$K126,0))</f>
        <v/>
      </c>
      <c r="O126" s="76">
        <f>IF(OR($E126="",$K126=0),0,IF(IFERROR(VLOOKUP($D126,OpTbl,7,0),"")="بستانکار",$K126,0))</f>
        <v/>
      </c>
      <c r="P126" s="70">
        <f>IF($D126="","",IFERROR(VLOOKUP($D126,OpTbl,8,0),""))</f>
        <v/>
      </c>
      <c r="Q126" s="76">
        <f>IF(OR($P126="",$K126=0),0,IF(IFERROR(VLOOKUP($D126,OpTbl,9,0),"")="بدهکار",$K126,0))</f>
        <v/>
      </c>
      <c r="R126" s="76">
        <f>IF(OR($P126="",$K126=0),0,IF(IFERROR(VLOOKUP($D126,OpTbl,9,0),"")="بستانکار",$K126,0))</f>
        <v/>
      </c>
      <c r="S126" s="76">
        <f>SUM($N126,$Q126)</f>
        <v/>
      </c>
      <c r="T126" s="76">
        <f>SUM($O126,$R126)</f>
        <v/>
      </c>
      <c r="U126" s="70">
        <f>IF($D126="","",IF(ROUND($S126-$T126,0)=0,"✓","⚠"))</f>
        <v/>
      </c>
      <c r="V126" s="76">
        <f>IF($E126="","",$K126)</f>
        <v/>
      </c>
    </row>
    <row r="127" ht="21.75" customHeight="1">
      <c r="A127" s="70">
        <f>IF($B127="","",COUNTA($B$10:$B127))</f>
        <v/>
      </c>
      <c r="B127" s="71" t="n"/>
      <c r="C127" s="71" t="n"/>
      <c r="D127" s="72" t="n"/>
      <c r="E127" s="71" t="n"/>
      <c r="F127" s="73">
        <f>IF($E127="","",IFERROR(VLOOKUP($E127,AcctTbl,2,0),"کد ناشناخته"))</f>
        <v/>
      </c>
      <c r="G127" s="70">
        <f>IF($E127="","",IFERROR(VLOOKUP($E127,AcctTbl,3,0),""))</f>
        <v/>
      </c>
      <c r="H127" s="71" t="n"/>
      <c r="I127" s="74" t="n"/>
      <c r="J127" s="74" t="n"/>
      <c r="K127" s="76">
        <f>IF(OR($I127="",$J127=""),0,ROUND($I127*$J127,-3))</f>
        <v/>
      </c>
      <c r="L127" s="77">
        <f>IF($D127="","",IF($U127="⚠","⚠ ناتراز",IF($E127="","⚠ حساب","✓")))</f>
        <v/>
      </c>
      <c r="M127" s="72" t="n"/>
      <c r="N127" s="76">
        <f>IF(OR($E127="",$K127=0),0,IF(IFERROR(VLOOKUP($D127,OpTbl,7,0),"")="بدهکار",$K127,0))</f>
        <v/>
      </c>
      <c r="O127" s="76">
        <f>IF(OR($E127="",$K127=0),0,IF(IFERROR(VLOOKUP($D127,OpTbl,7,0),"")="بستانکار",$K127,0))</f>
        <v/>
      </c>
      <c r="P127" s="70">
        <f>IF($D127="","",IFERROR(VLOOKUP($D127,OpTbl,8,0),""))</f>
        <v/>
      </c>
      <c r="Q127" s="76">
        <f>IF(OR($P127="",$K127=0),0,IF(IFERROR(VLOOKUP($D127,OpTbl,9,0),"")="بدهکار",$K127,0))</f>
        <v/>
      </c>
      <c r="R127" s="76">
        <f>IF(OR($P127="",$K127=0),0,IF(IFERROR(VLOOKUP($D127,OpTbl,9,0),"")="بستانکار",$K127,0))</f>
        <v/>
      </c>
      <c r="S127" s="76">
        <f>SUM($N127,$Q127)</f>
        <v/>
      </c>
      <c r="T127" s="76">
        <f>SUM($O127,$R127)</f>
        <v/>
      </c>
      <c r="U127" s="70">
        <f>IF($D127="","",IF(ROUND($S127-$T127,0)=0,"✓","⚠"))</f>
        <v/>
      </c>
      <c r="V127" s="76">
        <f>IF($E127="","",$K127)</f>
        <v/>
      </c>
    </row>
    <row r="128" ht="21.75" customHeight="1">
      <c r="A128" s="70">
        <f>IF($B128="","",COUNTA($B$10:$B128))</f>
        <v/>
      </c>
      <c r="B128" s="71" t="n"/>
      <c r="C128" s="71" t="n"/>
      <c r="D128" s="72" t="n"/>
      <c r="E128" s="71" t="n"/>
      <c r="F128" s="73">
        <f>IF($E128="","",IFERROR(VLOOKUP($E128,AcctTbl,2,0),"کد ناشناخته"))</f>
        <v/>
      </c>
      <c r="G128" s="70">
        <f>IF($E128="","",IFERROR(VLOOKUP($E128,AcctTbl,3,0),""))</f>
        <v/>
      </c>
      <c r="H128" s="71" t="n"/>
      <c r="I128" s="74" t="n"/>
      <c r="J128" s="74" t="n"/>
      <c r="K128" s="76">
        <f>IF(OR($I128="",$J128=""),0,ROUND($I128*$J128,-3))</f>
        <v/>
      </c>
      <c r="L128" s="77">
        <f>IF($D128="","",IF($U128="⚠","⚠ ناتراز",IF($E128="","⚠ حساب","✓")))</f>
        <v/>
      </c>
      <c r="M128" s="72" t="n"/>
      <c r="N128" s="76">
        <f>IF(OR($E128="",$K128=0),0,IF(IFERROR(VLOOKUP($D128,OpTbl,7,0),"")="بدهکار",$K128,0))</f>
        <v/>
      </c>
      <c r="O128" s="76">
        <f>IF(OR($E128="",$K128=0),0,IF(IFERROR(VLOOKUP($D128,OpTbl,7,0),"")="بستانکار",$K128,0))</f>
        <v/>
      </c>
      <c r="P128" s="70">
        <f>IF($D128="","",IFERROR(VLOOKUP($D128,OpTbl,8,0),""))</f>
        <v/>
      </c>
      <c r="Q128" s="76">
        <f>IF(OR($P128="",$K128=0),0,IF(IFERROR(VLOOKUP($D128,OpTbl,9,0),"")="بدهکار",$K128,0))</f>
        <v/>
      </c>
      <c r="R128" s="76">
        <f>IF(OR($P128="",$K128=0),0,IF(IFERROR(VLOOKUP($D128,OpTbl,9,0),"")="بستانکار",$K128,0))</f>
        <v/>
      </c>
      <c r="S128" s="76">
        <f>SUM($N128,$Q128)</f>
        <v/>
      </c>
      <c r="T128" s="76">
        <f>SUM($O128,$R128)</f>
        <v/>
      </c>
      <c r="U128" s="70">
        <f>IF($D128="","",IF(ROUND($S128-$T128,0)=0,"✓","⚠"))</f>
        <v/>
      </c>
      <c r="V128" s="76">
        <f>IF($E128="","",$K128)</f>
        <v/>
      </c>
    </row>
    <row r="129" ht="21.75" customHeight="1">
      <c r="A129" s="70">
        <f>IF($B129="","",COUNTA($B$10:$B129))</f>
        <v/>
      </c>
      <c r="B129" s="71" t="n"/>
      <c r="C129" s="71" t="n"/>
      <c r="D129" s="72" t="n"/>
      <c r="E129" s="71" t="n"/>
      <c r="F129" s="73">
        <f>IF($E129="","",IFERROR(VLOOKUP($E129,AcctTbl,2,0),"کد ناشناخته"))</f>
        <v/>
      </c>
      <c r="G129" s="70">
        <f>IF($E129="","",IFERROR(VLOOKUP($E129,AcctTbl,3,0),""))</f>
        <v/>
      </c>
      <c r="H129" s="71" t="n"/>
      <c r="I129" s="74" t="n"/>
      <c r="J129" s="74" t="n"/>
      <c r="K129" s="76">
        <f>IF(OR($I129="",$J129=""),0,ROUND($I129*$J129,-3))</f>
        <v/>
      </c>
      <c r="L129" s="77">
        <f>IF($D129="","",IF($U129="⚠","⚠ ناتراز",IF($E129="","⚠ حساب","✓")))</f>
        <v/>
      </c>
      <c r="M129" s="72" t="n"/>
      <c r="N129" s="76">
        <f>IF(OR($E129="",$K129=0),0,IF(IFERROR(VLOOKUP($D129,OpTbl,7,0),"")="بدهکار",$K129,0))</f>
        <v/>
      </c>
      <c r="O129" s="76">
        <f>IF(OR($E129="",$K129=0),0,IF(IFERROR(VLOOKUP($D129,OpTbl,7,0),"")="بستانکار",$K129,0))</f>
        <v/>
      </c>
      <c r="P129" s="70">
        <f>IF($D129="","",IFERROR(VLOOKUP($D129,OpTbl,8,0),""))</f>
        <v/>
      </c>
      <c r="Q129" s="76">
        <f>IF(OR($P129="",$K129=0),0,IF(IFERROR(VLOOKUP($D129,OpTbl,9,0),"")="بدهکار",$K129,0))</f>
        <v/>
      </c>
      <c r="R129" s="76">
        <f>IF(OR($P129="",$K129=0),0,IF(IFERROR(VLOOKUP($D129,OpTbl,9,0),"")="بستانکار",$K129,0))</f>
        <v/>
      </c>
      <c r="S129" s="76">
        <f>SUM($N129,$Q129)</f>
        <v/>
      </c>
      <c r="T129" s="76">
        <f>SUM($O129,$R129)</f>
        <v/>
      </c>
      <c r="U129" s="70">
        <f>IF($D129="","",IF(ROUND($S129-$T129,0)=0,"✓","⚠"))</f>
        <v/>
      </c>
      <c r="V129" s="76">
        <f>IF($E129="","",$K129)</f>
        <v/>
      </c>
    </row>
    <row r="130" ht="21.75" customHeight="1">
      <c r="A130" s="70">
        <f>IF($B130="","",COUNTA($B$10:$B130))</f>
        <v/>
      </c>
      <c r="B130" s="71" t="n"/>
      <c r="C130" s="71" t="n"/>
      <c r="D130" s="72" t="n"/>
      <c r="E130" s="71" t="n"/>
      <c r="F130" s="73">
        <f>IF($E130="","",IFERROR(VLOOKUP($E130,AcctTbl,2,0),"کد ناشناخته"))</f>
        <v/>
      </c>
      <c r="G130" s="70">
        <f>IF($E130="","",IFERROR(VLOOKUP($E130,AcctTbl,3,0),""))</f>
        <v/>
      </c>
      <c r="H130" s="71" t="n"/>
      <c r="I130" s="74" t="n"/>
      <c r="J130" s="74" t="n"/>
      <c r="K130" s="76">
        <f>IF(OR($I130="",$J130=""),0,ROUND($I130*$J130,-3))</f>
        <v/>
      </c>
      <c r="L130" s="77">
        <f>IF($D130="","",IF($U130="⚠","⚠ ناتراز",IF($E130="","⚠ حساب","✓")))</f>
        <v/>
      </c>
      <c r="M130" s="72" t="n"/>
      <c r="N130" s="76">
        <f>IF(OR($E130="",$K130=0),0,IF(IFERROR(VLOOKUP($D130,OpTbl,7,0),"")="بدهکار",$K130,0))</f>
        <v/>
      </c>
      <c r="O130" s="76">
        <f>IF(OR($E130="",$K130=0),0,IF(IFERROR(VLOOKUP($D130,OpTbl,7,0),"")="بستانکار",$K130,0))</f>
        <v/>
      </c>
      <c r="P130" s="70">
        <f>IF($D130="","",IFERROR(VLOOKUP($D130,OpTbl,8,0),""))</f>
        <v/>
      </c>
      <c r="Q130" s="76">
        <f>IF(OR($P130="",$K130=0),0,IF(IFERROR(VLOOKUP($D130,OpTbl,9,0),"")="بدهکار",$K130,0))</f>
        <v/>
      </c>
      <c r="R130" s="76">
        <f>IF(OR($P130="",$K130=0),0,IF(IFERROR(VLOOKUP($D130,OpTbl,9,0),"")="بستانکار",$K130,0))</f>
        <v/>
      </c>
      <c r="S130" s="76">
        <f>SUM($N130,$Q130)</f>
        <v/>
      </c>
      <c r="T130" s="76">
        <f>SUM($O130,$R130)</f>
        <v/>
      </c>
      <c r="U130" s="70">
        <f>IF($D130="","",IF(ROUND($S130-$T130,0)=0,"✓","⚠"))</f>
        <v/>
      </c>
      <c r="V130" s="76">
        <f>IF($E130="","",$K130)</f>
        <v/>
      </c>
    </row>
    <row r="131" ht="21.75" customHeight="1">
      <c r="A131" s="70">
        <f>IF($B131="","",COUNTA($B$10:$B131))</f>
        <v/>
      </c>
      <c r="B131" s="71" t="n"/>
      <c r="C131" s="71" t="n"/>
      <c r="D131" s="72" t="n"/>
      <c r="E131" s="71" t="n"/>
      <c r="F131" s="73">
        <f>IF($E131="","",IFERROR(VLOOKUP($E131,AcctTbl,2,0),"کد ناشناخته"))</f>
        <v/>
      </c>
      <c r="G131" s="70">
        <f>IF($E131="","",IFERROR(VLOOKUP($E131,AcctTbl,3,0),""))</f>
        <v/>
      </c>
      <c r="H131" s="71" t="n"/>
      <c r="I131" s="74" t="n"/>
      <c r="J131" s="74" t="n"/>
      <c r="K131" s="76">
        <f>IF(OR($I131="",$J131=""),0,ROUND($I131*$J131,-3))</f>
        <v/>
      </c>
      <c r="L131" s="77">
        <f>IF($D131="","",IF($U131="⚠","⚠ ناتراز",IF($E131="","⚠ حساب","✓")))</f>
        <v/>
      </c>
      <c r="M131" s="72" t="n"/>
      <c r="N131" s="76">
        <f>IF(OR($E131="",$K131=0),0,IF(IFERROR(VLOOKUP($D131,OpTbl,7,0),"")="بدهکار",$K131,0))</f>
        <v/>
      </c>
      <c r="O131" s="76">
        <f>IF(OR($E131="",$K131=0),0,IF(IFERROR(VLOOKUP($D131,OpTbl,7,0),"")="بستانکار",$K131,0))</f>
        <v/>
      </c>
      <c r="P131" s="70">
        <f>IF($D131="","",IFERROR(VLOOKUP($D131,OpTbl,8,0),""))</f>
        <v/>
      </c>
      <c r="Q131" s="76">
        <f>IF(OR($P131="",$K131=0),0,IF(IFERROR(VLOOKUP($D131,OpTbl,9,0),"")="بدهکار",$K131,0))</f>
        <v/>
      </c>
      <c r="R131" s="76">
        <f>IF(OR($P131="",$K131=0),0,IF(IFERROR(VLOOKUP($D131,OpTbl,9,0),"")="بستانکار",$K131,0))</f>
        <v/>
      </c>
      <c r="S131" s="76">
        <f>SUM($N131,$Q131)</f>
        <v/>
      </c>
      <c r="T131" s="76">
        <f>SUM($O131,$R131)</f>
        <v/>
      </c>
      <c r="U131" s="70">
        <f>IF($D131="","",IF(ROUND($S131-$T131,0)=0,"✓","⚠"))</f>
        <v/>
      </c>
      <c r="V131" s="76">
        <f>IF($E131="","",$K131)</f>
        <v/>
      </c>
    </row>
    <row r="132" ht="21.75" customHeight="1">
      <c r="A132" s="70">
        <f>IF($B132="","",COUNTA($B$10:$B132))</f>
        <v/>
      </c>
      <c r="B132" s="71" t="n"/>
      <c r="C132" s="71" t="n"/>
      <c r="D132" s="72" t="n"/>
      <c r="E132" s="71" t="n"/>
      <c r="F132" s="73">
        <f>IF($E132="","",IFERROR(VLOOKUP($E132,AcctTbl,2,0),"کد ناشناخته"))</f>
        <v/>
      </c>
      <c r="G132" s="70">
        <f>IF($E132="","",IFERROR(VLOOKUP($E132,AcctTbl,3,0),""))</f>
        <v/>
      </c>
      <c r="H132" s="71" t="n"/>
      <c r="I132" s="74" t="n"/>
      <c r="J132" s="74" t="n"/>
      <c r="K132" s="76">
        <f>IF(OR($I132="",$J132=""),0,ROUND($I132*$J132,-3))</f>
        <v/>
      </c>
      <c r="L132" s="77">
        <f>IF($D132="","",IF($U132="⚠","⚠ ناتراز",IF($E132="","⚠ حساب","✓")))</f>
        <v/>
      </c>
      <c r="M132" s="72" t="n"/>
      <c r="N132" s="76">
        <f>IF(OR($E132="",$K132=0),0,IF(IFERROR(VLOOKUP($D132,OpTbl,7,0),"")="بدهکار",$K132,0))</f>
        <v/>
      </c>
      <c r="O132" s="76">
        <f>IF(OR($E132="",$K132=0),0,IF(IFERROR(VLOOKUP($D132,OpTbl,7,0),"")="بستانکار",$K132,0))</f>
        <v/>
      </c>
      <c r="P132" s="70">
        <f>IF($D132="","",IFERROR(VLOOKUP($D132,OpTbl,8,0),""))</f>
        <v/>
      </c>
      <c r="Q132" s="76">
        <f>IF(OR($P132="",$K132=0),0,IF(IFERROR(VLOOKUP($D132,OpTbl,9,0),"")="بدهکار",$K132,0))</f>
        <v/>
      </c>
      <c r="R132" s="76">
        <f>IF(OR($P132="",$K132=0),0,IF(IFERROR(VLOOKUP($D132,OpTbl,9,0),"")="بستانکار",$K132,0))</f>
        <v/>
      </c>
      <c r="S132" s="76">
        <f>SUM($N132,$Q132)</f>
        <v/>
      </c>
      <c r="T132" s="76">
        <f>SUM($O132,$R132)</f>
        <v/>
      </c>
      <c r="U132" s="70">
        <f>IF($D132="","",IF(ROUND($S132-$T132,0)=0,"✓","⚠"))</f>
        <v/>
      </c>
      <c r="V132" s="76">
        <f>IF($E132="","",$K132)</f>
        <v/>
      </c>
    </row>
    <row r="133" ht="21.75" customHeight="1">
      <c r="A133" s="70">
        <f>IF($B133="","",COUNTA($B$10:$B133))</f>
        <v/>
      </c>
      <c r="B133" s="71" t="n"/>
      <c r="C133" s="71" t="n"/>
      <c r="D133" s="72" t="n"/>
      <c r="E133" s="71" t="n"/>
      <c r="F133" s="73">
        <f>IF($E133="","",IFERROR(VLOOKUP($E133,AcctTbl,2,0),"کد ناشناخته"))</f>
        <v/>
      </c>
      <c r="G133" s="70">
        <f>IF($E133="","",IFERROR(VLOOKUP($E133,AcctTbl,3,0),""))</f>
        <v/>
      </c>
      <c r="H133" s="71" t="n"/>
      <c r="I133" s="74" t="n"/>
      <c r="J133" s="74" t="n"/>
      <c r="K133" s="76">
        <f>IF(OR($I133="",$J133=""),0,ROUND($I133*$J133,-3))</f>
        <v/>
      </c>
      <c r="L133" s="77">
        <f>IF($D133="","",IF($U133="⚠","⚠ ناتراز",IF($E133="","⚠ حساب","✓")))</f>
        <v/>
      </c>
      <c r="M133" s="72" t="n"/>
      <c r="N133" s="76">
        <f>IF(OR($E133="",$K133=0),0,IF(IFERROR(VLOOKUP($D133,OpTbl,7,0),"")="بدهکار",$K133,0))</f>
        <v/>
      </c>
      <c r="O133" s="76">
        <f>IF(OR($E133="",$K133=0),0,IF(IFERROR(VLOOKUP($D133,OpTbl,7,0),"")="بستانکار",$K133,0))</f>
        <v/>
      </c>
      <c r="P133" s="70">
        <f>IF($D133="","",IFERROR(VLOOKUP($D133,OpTbl,8,0),""))</f>
        <v/>
      </c>
      <c r="Q133" s="76">
        <f>IF(OR($P133="",$K133=0),0,IF(IFERROR(VLOOKUP($D133,OpTbl,9,0),"")="بدهکار",$K133,0))</f>
        <v/>
      </c>
      <c r="R133" s="76">
        <f>IF(OR($P133="",$K133=0),0,IF(IFERROR(VLOOKUP($D133,OpTbl,9,0),"")="بستانکار",$K133,0))</f>
        <v/>
      </c>
      <c r="S133" s="76">
        <f>SUM($N133,$Q133)</f>
        <v/>
      </c>
      <c r="T133" s="76">
        <f>SUM($O133,$R133)</f>
        <v/>
      </c>
      <c r="U133" s="70">
        <f>IF($D133="","",IF(ROUND($S133-$T133,0)=0,"✓","⚠"))</f>
        <v/>
      </c>
      <c r="V133" s="76">
        <f>IF($E133="","",$K133)</f>
        <v/>
      </c>
    </row>
    <row r="134" ht="21.75" customHeight="1">
      <c r="A134" s="70">
        <f>IF($B134="","",COUNTA($B$10:$B134))</f>
        <v/>
      </c>
      <c r="B134" s="71" t="n"/>
      <c r="C134" s="71" t="n"/>
      <c r="D134" s="72" t="n"/>
      <c r="E134" s="71" t="n"/>
      <c r="F134" s="73">
        <f>IF($E134="","",IFERROR(VLOOKUP($E134,AcctTbl,2,0),"کد ناشناخته"))</f>
        <v/>
      </c>
      <c r="G134" s="70">
        <f>IF($E134="","",IFERROR(VLOOKUP($E134,AcctTbl,3,0),""))</f>
        <v/>
      </c>
      <c r="H134" s="71" t="n"/>
      <c r="I134" s="74" t="n"/>
      <c r="J134" s="74" t="n"/>
      <c r="K134" s="76">
        <f>IF(OR($I134="",$J134=""),0,ROUND($I134*$J134,-3))</f>
        <v/>
      </c>
      <c r="L134" s="77">
        <f>IF($D134="","",IF($U134="⚠","⚠ ناتراز",IF($E134="","⚠ حساب","✓")))</f>
        <v/>
      </c>
      <c r="M134" s="72" t="n"/>
      <c r="N134" s="76">
        <f>IF(OR($E134="",$K134=0),0,IF(IFERROR(VLOOKUP($D134,OpTbl,7,0),"")="بدهکار",$K134,0))</f>
        <v/>
      </c>
      <c r="O134" s="76">
        <f>IF(OR($E134="",$K134=0),0,IF(IFERROR(VLOOKUP($D134,OpTbl,7,0),"")="بستانکار",$K134,0))</f>
        <v/>
      </c>
      <c r="P134" s="70">
        <f>IF($D134="","",IFERROR(VLOOKUP($D134,OpTbl,8,0),""))</f>
        <v/>
      </c>
      <c r="Q134" s="76">
        <f>IF(OR($P134="",$K134=0),0,IF(IFERROR(VLOOKUP($D134,OpTbl,9,0),"")="بدهکار",$K134,0))</f>
        <v/>
      </c>
      <c r="R134" s="76">
        <f>IF(OR($P134="",$K134=0),0,IF(IFERROR(VLOOKUP($D134,OpTbl,9,0),"")="بستانکار",$K134,0))</f>
        <v/>
      </c>
      <c r="S134" s="76">
        <f>SUM($N134,$Q134)</f>
        <v/>
      </c>
      <c r="T134" s="76">
        <f>SUM($O134,$R134)</f>
        <v/>
      </c>
      <c r="U134" s="70">
        <f>IF($D134="","",IF(ROUND($S134-$T134,0)=0,"✓","⚠"))</f>
        <v/>
      </c>
      <c r="V134" s="76">
        <f>IF($E134="","",$K134)</f>
        <v/>
      </c>
    </row>
    <row r="135" ht="21.75" customHeight="1">
      <c r="A135" s="70">
        <f>IF($B135="","",COUNTA($B$10:$B135))</f>
        <v/>
      </c>
      <c r="B135" s="71" t="n"/>
      <c r="C135" s="71" t="n"/>
      <c r="D135" s="72" t="n"/>
      <c r="E135" s="71" t="n"/>
      <c r="F135" s="73">
        <f>IF($E135="","",IFERROR(VLOOKUP($E135,AcctTbl,2,0),"کد ناشناخته"))</f>
        <v/>
      </c>
      <c r="G135" s="70">
        <f>IF($E135="","",IFERROR(VLOOKUP($E135,AcctTbl,3,0),""))</f>
        <v/>
      </c>
      <c r="H135" s="71" t="n"/>
      <c r="I135" s="74" t="n"/>
      <c r="J135" s="74" t="n"/>
      <c r="K135" s="76">
        <f>IF(OR($I135="",$J135=""),0,ROUND($I135*$J135,-3))</f>
        <v/>
      </c>
      <c r="L135" s="77">
        <f>IF($D135="","",IF($U135="⚠","⚠ ناتراز",IF($E135="","⚠ حساب","✓")))</f>
        <v/>
      </c>
      <c r="M135" s="72" t="n"/>
      <c r="N135" s="76">
        <f>IF(OR($E135="",$K135=0),0,IF(IFERROR(VLOOKUP($D135,OpTbl,7,0),"")="بدهکار",$K135,0))</f>
        <v/>
      </c>
      <c r="O135" s="76">
        <f>IF(OR($E135="",$K135=0),0,IF(IFERROR(VLOOKUP($D135,OpTbl,7,0),"")="بستانکار",$K135,0))</f>
        <v/>
      </c>
      <c r="P135" s="70">
        <f>IF($D135="","",IFERROR(VLOOKUP($D135,OpTbl,8,0),""))</f>
        <v/>
      </c>
      <c r="Q135" s="76">
        <f>IF(OR($P135="",$K135=0),0,IF(IFERROR(VLOOKUP($D135,OpTbl,9,0),"")="بدهکار",$K135,0))</f>
        <v/>
      </c>
      <c r="R135" s="76">
        <f>IF(OR($P135="",$K135=0),0,IF(IFERROR(VLOOKUP($D135,OpTbl,9,0),"")="بستانکار",$K135,0))</f>
        <v/>
      </c>
      <c r="S135" s="76">
        <f>SUM($N135,$Q135)</f>
        <v/>
      </c>
      <c r="T135" s="76">
        <f>SUM($O135,$R135)</f>
        <v/>
      </c>
      <c r="U135" s="70">
        <f>IF($D135="","",IF(ROUND($S135-$T135,0)=0,"✓","⚠"))</f>
        <v/>
      </c>
      <c r="V135" s="76">
        <f>IF($E135="","",$K135)</f>
        <v/>
      </c>
    </row>
    <row r="136" ht="21.75" customHeight="1">
      <c r="A136" s="70">
        <f>IF($B136="","",COUNTA($B$10:$B136))</f>
        <v/>
      </c>
      <c r="B136" s="71" t="n"/>
      <c r="C136" s="71" t="n"/>
      <c r="D136" s="72" t="n"/>
      <c r="E136" s="71" t="n"/>
      <c r="F136" s="73">
        <f>IF($E136="","",IFERROR(VLOOKUP($E136,AcctTbl,2,0),"کد ناشناخته"))</f>
        <v/>
      </c>
      <c r="G136" s="70">
        <f>IF($E136="","",IFERROR(VLOOKUP($E136,AcctTbl,3,0),""))</f>
        <v/>
      </c>
      <c r="H136" s="71" t="n"/>
      <c r="I136" s="74" t="n"/>
      <c r="J136" s="74" t="n"/>
      <c r="K136" s="76">
        <f>IF(OR($I136="",$J136=""),0,ROUND($I136*$J136,-3))</f>
        <v/>
      </c>
      <c r="L136" s="77">
        <f>IF($D136="","",IF($U136="⚠","⚠ ناتراز",IF($E136="","⚠ حساب","✓")))</f>
        <v/>
      </c>
      <c r="M136" s="72" t="n"/>
      <c r="N136" s="76">
        <f>IF(OR($E136="",$K136=0),0,IF(IFERROR(VLOOKUP($D136,OpTbl,7,0),"")="بدهکار",$K136,0))</f>
        <v/>
      </c>
      <c r="O136" s="76">
        <f>IF(OR($E136="",$K136=0),0,IF(IFERROR(VLOOKUP($D136,OpTbl,7,0),"")="بستانکار",$K136,0))</f>
        <v/>
      </c>
      <c r="P136" s="70">
        <f>IF($D136="","",IFERROR(VLOOKUP($D136,OpTbl,8,0),""))</f>
        <v/>
      </c>
      <c r="Q136" s="76">
        <f>IF(OR($P136="",$K136=0),0,IF(IFERROR(VLOOKUP($D136,OpTbl,9,0),"")="بدهکار",$K136,0))</f>
        <v/>
      </c>
      <c r="R136" s="76">
        <f>IF(OR($P136="",$K136=0),0,IF(IFERROR(VLOOKUP($D136,OpTbl,9,0),"")="بستانکار",$K136,0))</f>
        <v/>
      </c>
      <c r="S136" s="76">
        <f>SUM($N136,$Q136)</f>
        <v/>
      </c>
      <c r="T136" s="76">
        <f>SUM($O136,$R136)</f>
        <v/>
      </c>
      <c r="U136" s="70">
        <f>IF($D136="","",IF(ROUND($S136-$T136,0)=0,"✓","⚠"))</f>
        <v/>
      </c>
      <c r="V136" s="76">
        <f>IF($E136="","",$K136)</f>
        <v/>
      </c>
    </row>
    <row r="137" ht="21.75" customHeight="1">
      <c r="A137" s="70">
        <f>IF($B137="","",COUNTA($B$10:$B137))</f>
        <v/>
      </c>
      <c r="B137" s="71" t="n"/>
      <c r="C137" s="71" t="n"/>
      <c r="D137" s="72" t="n"/>
      <c r="E137" s="71" t="n"/>
      <c r="F137" s="73">
        <f>IF($E137="","",IFERROR(VLOOKUP($E137,AcctTbl,2,0),"کد ناشناخته"))</f>
        <v/>
      </c>
      <c r="G137" s="70">
        <f>IF($E137="","",IFERROR(VLOOKUP($E137,AcctTbl,3,0),""))</f>
        <v/>
      </c>
      <c r="H137" s="71" t="n"/>
      <c r="I137" s="74" t="n"/>
      <c r="J137" s="74" t="n"/>
      <c r="K137" s="76">
        <f>IF(OR($I137="",$J137=""),0,ROUND($I137*$J137,-3))</f>
        <v/>
      </c>
      <c r="L137" s="77">
        <f>IF($D137="","",IF($U137="⚠","⚠ ناتراز",IF($E137="","⚠ حساب","✓")))</f>
        <v/>
      </c>
      <c r="M137" s="72" t="n"/>
      <c r="N137" s="76">
        <f>IF(OR($E137="",$K137=0),0,IF(IFERROR(VLOOKUP($D137,OpTbl,7,0),"")="بدهکار",$K137,0))</f>
        <v/>
      </c>
      <c r="O137" s="76">
        <f>IF(OR($E137="",$K137=0),0,IF(IFERROR(VLOOKUP($D137,OpTbl,7,0),"")="بستانکار",$K137,0))</f>
        <v/>
      </c>
      <c r="P137" s="70">
        <f>IF($D137="","",IFERROR(VLOOKUP($D137,OpTbl,8,0),""))</f>
        <v/>
      </c>
      <c r="Q137" s="76">
        <f>IF(OR($P137="",$K137=0),0,IF(IFERROR(VLOOKUP($D137,OpTbl,9,0),"")="بدهکار",$K137,0))</f>
        <v/>
      </c>
      <c r="R137" s="76">
        <f>IF(OR($P137="",$K137=0),0,IF(IFERROR(VLOOKUP($D137,OpTbl,9,0),"")="بستانکار",$K137,0))</f>
        <v/>
      </c>
      <c r="S137" s="76">
        <f>SUM($N137,$Q137)</f>
        <v/>
      </c>
      <c r="T137" s="76">
        <f>SUM($O137,$R137)</f>
        <v/>
      </c>
      <c r="U137" s="70">
        <f>IF($D137="","",IF(ROUND($S137-$T137,0)=0,"✓","⚠"))</f>
        <v/>
      </c>
      <c r="V137" s="76">
        <f>IF($E137="","",$K137)</f>
        <v/>
      </c>
    </row>
    <row r="138" ht="21.75" customHeight="1">
      <c r="A138" s="70">
        <f>IF($B138="","",COUNTA($B$10:$B138))</f>
        <v/>
      </c>
      <c r="B138" s="71" t="n"/>
      <c r="C138" s="71" t="n"/>
      <c r="D138" s="72" t="n"/>
      <c r="E138" s="71" t="n"/>
      <c r="F138" s="73">
        <f>IF($E138="","",IFERROR(VLOOKUP($E138,AcctTbl,2,0),"کد ناشناخته"))</f>
        <v/>
      </c>
      <c r="G138" s="70">
        <f>IF($E138="","",IFERROR(VLOOKUP($E138,AcctTbl,3,0),""))</f>
        <v/>
      </c>
      <c r="H138" s="71" t="n"/>
      <c r="I138" s="74" t="n"/>
      <c r="J138" s="74" t="n"/>
      <c r="K138" s="76">
        <f>IF(OR($I138="",$J138=""),0,ROUND($I138*$J138,-3))</f>
        <v/>
      </c>
      <c r="L138" s="77">
        <f>IF($D138="","",IF($U138="⚠","⚠ ناتراز",IF($E138="","⚠ حساب","✓")))</f>
        <v/>
      </c>
      <c r="M138" s="72" t="n"/>
      <c r="N138" s="76">
        <f>IF(OR($E138="",$K138=0),0,IF(IFERROR(VLOOKUP($D138,OpTbl,7,0),"")="بدهکار",$K138,0))</f>
        <v/>
      </c>
      <c r="O138" s="76">
        <f>IF(OR($E138="",$K138=0),0,IF(IFERROR(VLOOKUP($D138,OpTbl,7,0),"")="بستانکار",$K138,0))</f>
        <v/>
      </c>
      <c r="P138" s="70">
        <f>IF($D138="","",IFERROR(VLOOKUP($D138,OpTbl,8,0),""))</f>
        <v/>
      </c>
      <c r="Q138" s="76">
        <f>IF(OR($P138="",$K138=0),0,IF(IFERROR(VLOOKUP($D138,OpTbl,9,0),"")="بدهکار",$K138,0))</f>
        <v/>
      </c>
      <c r="R138" s="76">
        <f>IF(OR($P138="",$K138=0),0,IF(IFERROR(VLOOKUP($D138,OpTbl,9,0),"")="بستانکار",$K138,0))</f>
        <v/>
      </c>
      <c r="S138" s="76">
        <f>SUM($N138,$Q138)</f>
        <v/>
      </c>
      <c r="T138" s="76">
        <f>SUM($O138,$R138)</f>
        <v/>
      </c>
      <c r="U138" s="70">
        <f>IF($D138="","",IF(ROUND($S138-$T138,0)=0,"✓","⚠"))</f>
        <v/>
      </c>
      <c r="V138" s="76">
        <f>IF($E138="","",$K138)</f>
        <v/>
      </c>
    </row>
    <row r="139" ht="21.75" customHeight="1">
      <c r="A139" s="70">
        <f>IF($B139="","",COUNTA($B$10:$B139))</f>
        <v/>
      </c>
      <c r="B139" s="71" t="n"/>
      <c r="C139" s="71" t="n"/>
      <c r="D139" s="72" t="n"/>
      <c r="E139" s="71" t="n"/>
      <c r="F139" s="73">
        <f>IF($E139="","",IFERROR(VLOOKUP($E139,AcctTbl,2,0),"کد ناشناخته"))</f>
        <v/>
      </c>
      <c r="G139" s="70">
        <f>IF($E139="","",IFERROR(VLOOKUP($E139,AcctTbl,3,0),""))</f>
        <v/>
      </c>
      <c r="H139" s="71" t="n"/>
      <c r="I139" s="74" t="n"/>
      <c r="J139" s="74" t="n"/>
      <c r="K139" s="76">
        <f>IF(OR($I139="",$J139=""),0,ROUND($I139*$J139,-3))</f>
        <v/>
      </c>
      <c r="L139" s="77">
        <f>IF($D139="","",IF($U139="⚠","⚠ ناتراز",IF($E139="","⚠ حساب","✓")))</f>
        <v/>
      </c>
      <c r="M139" s="72" t="n"/>
      <c r="N139" s="76">
        <f>IF(OR($E139="",$K139=0),0,IF(IFERROR(VLOOKUP($D139,OpTbl,7,0),"")="بدهکار",$K139,0))</f>
        <v/>
      </c>
      <c r="O139" s="76">
        <f>IF(OR($E139="",$K139=0),0,IF(IFERROR(VLOOKUP($D139,OpTbl,7,0),"")="بستانکار",$K139,0))</f>
        <v/>
      </c>
      <c r="P139" s="70">
        <f>IF($D139="","",IFERROR(VLOOKUP($D139,OpTbl,8,0),""))</f>
        <v/>
      </c>
      <c r="Q139" s="76">
        <f>IF(OR($P139="",$K139=0),0,IF(IFERROR(VLOOKUP($D139,OpTbl,9,0),"")="بدهکار",$K139,0))</f>
        <v/>
      </c>
      <c r="R139" s="76">
        <f>IF(OR($P139="",$K139=0),0,IF(IFERROR(VLOOKUP($D139,OpTbl,9,0),"")="بستانکار",$K139,0))</f>
        <v/>
      </c>
      <c r="S139" s="76">
        <f>SUM($N139,$Q139)</f>
        <v/>
      </c>
      <c r="T139" s="76">
        <f>SUM($O139,$R139)</f>
        <v/>
      </c>
      <c r="U139" s="70">
        <f>IF($D139="","",IF(ROUND($S139-$T139,0)=0,"✓","⚠"))</f>
        <v/>
      </c>
      <c r="V139" s="76">
        <f>IF($E139="","",$K139)</f>
        <v/>
      </c>
    </row>
    <row r="140" ht="21.75" customHeight="1">
      <c r="A140" s="70">
        <f>IF($B140="","",COUNTA($B$10:$B140))</f>
        <v/>
      </c>
      <c r="B140" s="71" t="n"/>
      <c r="C140" s="71" t="n"/>
      <c r="D140" s="72" t="n"/>
      <c r="E140" s="71" t="n"/>
      <c r="F140" s="73">
        <f>IF($E140="","",IFERROR(VLOOKUP($E140,AcctTbl,2,0),"کد ناشناخته"))</f>
        <v/>
      </c>
      <c r="G140" s="70">
        <f>IF($E140="","",IFERROR(VLOOKUP($E140,AcctTbl,3,0),""))</f>
        <v/>
      </c>
      <c r="H140" s="71" t="n"/>
      <c r="I140" s="74" t="n"/>
      <c r="J140" s="74" t="n"/>
      <c r="K140" s="76">
        <f>IF(OR($I140="",$J140=""),0,ROUND($I140*$J140,-3))</f>
        <v/>
      </c>
      <c r="L140" s="77">
        <f>IF($D140="","",IF($U140="⚠","⚠ ناتراز",IF($E140="","⚠ حساب","✓")))</f>
        <v/>
      </c>
      <c r="M140" s="72" t="n"/>
      <c r="N140" s="76">
        <f>IF(OR($E140="",$K140=0),0,IF(IFERROR(VLOOKUP($D140,OpTbl,7,0),"")="بدهکار",$K140,0))</f>
        <v/>
      </c>
      <c r="O140" s="76">
        <f>IF(OR($E140="",$K140=0),0,IF(IFERROR(VLOOKUP($D140,OpTbl,7,0),"")="بستانکار",$K140,0))</f>
        <v/>
      </c>
      <c r="P140" s="70">
        <f>IF($D140="","",IFERROR(VLOOKUP($D140,OpTbl,8,0),""))</f>
        <v/>
      </c>
      <c r="Q140" s="76">
        <f>IF(OR($P140="",$K140=0),0,IF(IFERROR(VLOOKUP($D140,OpTbl,9,0),"")="بدهکار",$K140,0))</f>
        <v/>
      </c>
      <c r="R140" s="76">
        <f>IF(OR($P140="",$K140=0),0,IF(IFERROR(VLOOKUP($D140,OpTbl,9,0),"")="بستانکار",$K140,0))</f>
        <v/>
      </c>
      <c r="S140" s="76">
        <f>SUM($N140,$Q140)</f>
        <v/>
      </c>
      <c r="T140" s="76">
        <f>SUM($O140,$R140)</f>
        <v/>
      </c>
      <c r="U140" s="70">
        <f>IF($D140="","",IF(ROUND($S140-$T140,0)=0,"✓","⚠"))</f>
        <v/>
      </c>
      <c r="V140" s="76">
        <f>IF($E140="","",$K140)</f>
        <v/>
      </c>
    </row>
    <row r="141" ht="21.75" customHeight="1">
      <c r="A141" s="70">
        <f>IF($B141="","",COUNTA($B$10:$B141))</f>
        <v/>
      </c>
      <c r="B141" s="71" t="n"/>
      <c r="C141" s="71" t="n"/>
      <c r="D141" s="72" t="n"/>
      <c r="E141" s="71" t="n"/>
      <c r="F141" s="73">
        <f>IF($E141="","",IFERROR(VLOOKUP($E141,AcctTbl,2,0),"کد ناشناخته"))</f>
        <v/>
      </c>
      <c r="G141" s="70">
        <f>IF($E141="","",IFERROR(VLOOKUP($E141,AcctTbl,3,0),""))</f>
        <v/>
      </c>
      <c r="H141" s="71" t="n"/>
      <c r="I141" s="74" t="n"/>
      <c r="J141" s="74" t="n"/>
      <c r="K141" s="76">
        <f>IF(OR($I141="",$J141=""),0,ROUND($I141*$J141,-3))</f>
        <v/>
      </c>
      <c r="L141" s="77">
        <f>IF($D141="","",IF($U141="⚠","⚠ ناتراز",IF($E141="","⚠ حساب","✓")))</f>
        <v/>
      </c>
      <c r="M141" s="72" t="n"/>
      <c r="N141" s="76">
        <f>IF(OR($E141="",$K141=0),0,IF(IFERROR(VLOOKUP($D141,OpTbl,7,0),"")="بدهکار",$K141,0))</f>
        <v/>
      </c>
      <c r="O141" s="76">
        <f>IF(OR($E141="",$K141=0),0,IF(IFERROR(VLOOKUP($D141,OpTbl,7,0),"")="بستانکار",$K141,0))</f>
        <v/>
      </c>
      <c r="P141" s="70">
        <f>IF($D141="","",IFERROR(VLOOKUP($D141,OpTbl,8,0),""))</f>
        <v/>
      </c>
      <c r="Q141" s="76">
        <f>IF(OR($P141="",$K141=0),0,IF(IFERROR(VLOOKUP($D141,OpTbl,9,0),"")="بدهکار",$K141,0))</f>
        <v/>
      </c>
      <c r="R141" s="76">
        <f>IF(OR($P141="",$K141=0),0,IF(IFERROR(VLOOKUP($D141,OpTbl,9,0),"")="بستانکار",$K141,0))</f>
        <v/>
      </c>
      <c r="S141" s="76">
        <f>SUM($N141,$Q141)</f>
        <v/>
      </c>
      <c r="T141" s="76">
        <f>SUM($O141,$R141)</f>
        <v/>
      </c>
      <c r="U141" s="70">
        <f>IF($D141="","",IF(ROUND($S141-$T141,0)=0,"✓","⚠"))</f>
        <v/>
      </c>
      <c r="V141" s="76">
        <f>IF($E141="","",$K141)</f>
        <v/>
      </c>
    </row>
    <row r="142" ht="21.75" customHeight="1">
      <c r="A142" s="70">
        <f>IF($B142="","",COUNTA($B$10:$B142))</f>
        <v/>
      </c>
      <c r="B142" s="71" t="n"/>
      <c r="C142" s="71" t="n"/>
      <c r="D142" s="72" t="n"/>
      <c r="E142" s="71" t="n"/>
      <c r="F142" s="73">
        <f>IF($E142="","",IFERROR(VLOOKUP($E142,AcctTbl,2,0),"کد ناشناخته"))</f>
        <v/>
      </c>
      <c r="G142" s="70">
        <f>IF($E142="","",IFERROR(VLOOKUP($E142,AcctTbl,3,0),""))</f>
        <v/>
      </c>
      <c r="H142" s="71" t="n"/>
      <c r="I142" s="74" t="n"/>
      <c r="J142" s="74" t="n"/>
      <c r="K142" s="76">
        <f>IF(OR($I142="",$J142=""),0,ROUND($I142*$J142,-3))</f>
        <v/>
      </c>
      <c r="L142" s="77">
        <f>IF($D142="","",IF($U142="⚠","⚠ ناتراز",IF($E142="","⚠ حساب","✓")))</f>
        <v/>
      </c>
      <c r="M142" s="72" t="n"/>
      <c r="N142" s="76">
        <f>IF(OR($E142="",$K142=0),0,IF(IFERROR(VLOOKUP($D142,OpTbl,7,0),"")="بدهکار",$K142,0))</f>
        <v/>
      </c>
      <c r="O142" s="76">
        <f>IF(OR($E142="",$K142=0),0,IF(IFERROR(VLOOKUP($D142,OpTbl,7,0),"")="بستانکار",$K142,0))</f>
        <v/>
      </c>
      <c r="P142" s="70">
        <f>IF($D142="","",IFERROR(VLOOKUP($D142,OpTbl,8,0),""))</f>
        <v/>
      </c>
      <c r="Q142" s="76">
        <f>IF(OR($P142="",$K142=0),0,IF(IFERROR(VLOOKUP($D142,OpTbl,9,0),"")="بدهکار",$K142,0))</f>
        <v/>
      </c>
      <c r="R142" s="76">
        <f>IF(OR($P142="",$K142=0),0,IF(IFERROR(VLOOKUP($D142,OpTbl,9,0),"")="بستانکار",$K142,0))</f>
        <v/>
      </c>
      <c r="S142" s="76">
        <f>SUM($N142,$Q142)</f>
        <v/>
      </c>
      <c r="T142" s="76">
        <f>SUM($O142,$R142)</f>
        <v/>
      </c>
      <c r="U142" s="70">
        <f>IF($D142="","",IF(ROUND($S142-$T142,0)=0,"✓","⚠"))</f>
        <v/>
      </c>
      <c r="V142" s="76">
        <f>IF($E142="","",$K142)</f>
        <v/>
      </c>
    </row>
    <row r="143" ht="21.75" customHeight="1">
      <c r="A143" s="70">
        <f>IF($B143="","",COUNTA($B$10:$B143))</f>
        <v/>
      </c>
      <c r="B143" s="71" t="n"/>
      <c r="C143" s="71" t="n"/>
      <c r="D143" s="72" t="n"/>
      <c r="E143" s="71" t="n"/>
      <c r="F143" s="73">
        <f>IF($E143="","",IFERROR(VLOOKUP($E143,AcctTbl,2,0),"کد ناشناخته"))</f>
        <v/>
      </c>
      <c r="G143" s="70">
        <f>IF($E143="","",IFERROR(VLOOKUP($E143,AcctTbl,3,0),""))</f>
        <v/>
      </c>
      <c r="H143" s="71" t="n"/>
      <c r="I143" s="74" t="n"/>
      <c r="J143" s="74" t="n"/>
      <c r="K143" s="76">
        <f>IF(OR($I143="",$J143=""),0,ROUND($I143*$J143,-3))</f>
        <v/>
      </c>
      <c r="L143" s="77">
        <f>IF($D143="","",IF($U143="⚠","⚠ ناتراز",IF($E143="","⚠ حساب","✓")))</f>
        <v/>
      </c>
      <c r="M143" s="72" t="n"/>
      <c r="N143" s="76">
        <f>IF(OR($E143="",$K143=0),0,IF(IFERROR(VLOOKUP($D143,OpTbl,7,0),"")="بدهکار",$K143,0))</f>
        <v/>
      </c>
      <c r="O143" s="76">
        <f>IF(OR($E143="",$K143=0),0,IF(IFERROR(VLOOKUP($D143,OpTbl,7,0),"")="بستانکار",$K143,0))</f>
        <v/>
      </c>
      <c r="P143" s="70">
        <f>IF($D143="","",IFERROR(VLOOKUP($D143,OpTbl,8,0),""))</f>
        <v/>
      </c>
      <c r="Q143" s="76">
        <f>IF(OR($P143="",$K143=0),0,IF(IFERROR(VLOOKUP($D143,OpTbl,9,0),"")="بدهکار",$K143,0))</f>
        <v/>
      </c>
      <c r="R143" s="76">
        <f>IF(OR($P143="",$K143=0),0,IF(IFERROR(VLOOKUP($D143,OpTbl,9,0),"")="بستانکار",$K143,0))</f>
        <v/>
      </c>
      <c r="S143" s="76">
        <f>SUM($N143,$Q143)</f>
        <v/>
      </c>
      <c r="T143" s="76">
        <f>SUM($O143,$R143)</f>
        <v/>
      </c>
      <c r="U143" s="70">
        <f>IF($D143="","",IF(ROUND($S143-$T143,0)=0,"✓","⚠"))</f>
        <v/>
      </c>
      <c r="V143" s="76">
        <f>IF($E143="","",$K143)</f>
        <v/>
      </c>
    </row>
    <row r="144" ht="21.75" customHeight="1">
      <c r="A144" s="70">
        <f>IF($B144="","",COUNTA($B$10:$B144))</f>
        <v/>
      </c>
      <c r="B144" s="71" t="n"/>
      <c r="C144" s="71" t="n"/>
      <c r="D144" s="72" t="n"/>
      <c r="E144" s="71" t="n"/>
      <c r="F144" s="73">
        <f>IF($E144="","",IFERROR(VLOOKUP($E144,AcctTbl,2,0),"کد ناشناخته"))</f>
        <v/>
      </c>
      <c r="G144" s="70">
        <f>IF($E144="","",IFERROR(VLOOKUP($E144,AcctTbl,3,0),""))</f>
        <v/>
      </c>
      <c r="H144" s="71" t="n"/>
      <c r="I144" s="74" t="n"/>
      <c r="J144" s="74" t="n"/>
      <c r="K144" s="76">
        <f>IF(OR($I144="",$J144=""),0,ROUND($I144*$J144,-3))</f>
        <v/>
      </c>
      <c r="L144" s="77">
        <f>IF($D144="","",IF($U144="⚠","⚠ ناتراز",IF($E144="","⚠ حساب","✓")))</f>
        <v/>
      </c>
      <c r="M144" s="72" t="n"/>
      <c r="N144" s="76">
        <f>IF(OR($E144="",$K144=0),0,IF(IFERROR(VLOOKUP($D144,OpTbl,7,0),"")="بدهکار",$K144,0))</f>
        <v/>
      </c>
      <c r="O144" s="76">
        <f>IF(OR($E144="",$K144=0),0,IF(IFERROR(VLOOKUP($D144,OpTbl,7,0),"")="بستانکار",$K144,0))</f>
        <v/>
      </c>
      <c r="P144" s="70">
        <f>IF($D144="","",IFERROR(VLOOKUP($D144,OpTbl,8,0),""))</f>
        <v/>
      </c>
      <c r="Q144" s="76">
        <f>IF(OR($P144="",$K144=0),0,IF(IFERROR(VLOOKUP($D144,OpTbl,9,0),"")="بدهکار",$K144,0))</f>
        <v/>
      </c>
      <c r="R144" s="76">
        <f>IF(OR($P144="",$K144=0),0,IF(IFERROR(VLOOKUP($D144,OpTbl,9,0),"")="بستانکار",$K144,0))</f>
        <v/>
      </c>
      <c r="S144" s="76">
        <f>SUM($N144,$Q144)</f>
        <v/>
      </c>
      <c r="T144" s="76">
        <f>SUM($O144,$R144)</f>
        <v/>
      </c>
      <c r="U144" s="70">
        <f>IF($D144="","",IF(ROUND($S144-$T144,0)=0,"✓","⚠"))</f>
        <v/>
      </c>
      <c r="V144" s="76">
        <f>IF($E144="","",$K144)</f>
        <v/>
      </c>
    </row>
    <row r="145" ht="21.75" customHeight="1">
      <c r="A145" s="70">
        <f>IF($B145="","",COUNTA($B$10:$B145))</f>
        <v/>
      </c>
      <c r="B145" s="71" t="n"/>
      <c r="C145" s="71" t="n"/>
      <c r="D145" s="72" t="n"/>
      <c r="E145" s="71" t="n"/>
      <c r="F145" s="73">
        <f>IF($E145="","",IFERROR(VLOOKUP($E145,AcctTbl,2,0),"کد ناشناخته"))</f>
        <v/>
      </c>
      <c r="G145" s="70">
        <f>IF($E145="","",IFERROR(VLOOKUP($E145,AcctTbl,3,0),""))</f>
        <v/>
      </c>
      <c r="H145" s="71" t="n"/>
      <c r="I145" s="74" t="n"/>
      <c r="J145" s="74" t="n"/>
      <c r="K145" s="76">
        <f>IF(OR($I145="",$J145=""),0,ROUND($I145*$J145,-3))</f>
        <v/>
      </c>
      <c r="L145" s="77">
        <f>IF($D145="","",IF($U145="⚠","⚠ ناتراز",IF($E145="","⚠ حساب","✓")))</f>
        <v/>
      </c>
      <c r="M145" s="72" t="n"/>
      <c r="N145" s="76">
        <f>IF(OR($E145="",$K145=0),0,IF(IFERROR(VLOOKUP($D145,OpTbl,7,0),"")="بدهکار",$K145,0))</f>
        <v/>
      </c>
      <c r="O145" s="76">
        <f>IF(OR($E145="",$K145=0),0,IF(IFERROR(VLOOKUP($D145,OpTbl,7,0),"")="بستانکار",$K145,0))</f>
        <v/>
      </c>
      <c r="P145" s="70">
        <f>IF($D145="","",IFERROR(VLOOKUP($D145,OpTbl,8,0),""))</f>
        <v/>
      </c>
      <c r="Q145" s="76">
        <f>IF(OR($P145="",$K145=0),0,IF(IFERROR(VLOOKUP($D145,OpTbl,9,0),"")="بدهکار",$K145,0))</f>
        <v/>
      </c>
      <c r="R145" s="76">
        <f>IF(OR($P145="",$K145=0),0,IF(IFERROR(VLOOKUP($D145,OpTbl,9,0),"")="بستانکار",$K145,0))</f>
        <v/>
      </c>
      <c r="S145" s="76">
        <f>SUM($N145,$Q145)</f>
        <v/>
      </c>
      <c r="T145" s="76">
        <f>SUM($O145,$R145)</f>
        <v/>
      </c>
      <c r="U145" s="70">
        <f>IF($D145="","",IF(ROUND($S145-$T145,0)=0,"✓","⚠"))</f>
        <v/>
      </c>
      <c r="V145" s="76">
        <f>IF($E145="","",$K145)</f>
        <v/>
      </c>
    </row>
    <row r="146" ht="21.75" customHeight="1">
      <c r="A146" s="70">
        <f>IF($B146="","",COUNTA($B$10:$B146))</f>
        <v/>
      </c>
      <c r="B146" s="71" t="n"/>
      <c r="C146" s="71" t="n"/>
      <c r="D146" s="72" t="n"/>
      <c r="E146" s="71" t="n"/>
      <c r="F146" s="73">
        <f>IF($E146="","",IFERROR(VLOOKUP($E146,AcctTbl,2,0),"کد ناشناخته"))</f>
        <v/>
      </c>
      <c r="G146" s="70">
        <f>IF($E146="","",IFERROR(VLOOKUP($E146,AcctTbl,3,0),""))</f>
        <v/>
      </c>
      <c r="H146" s="71" t="n"/>
      <c r="I146" s="74" t="n"/>
      <c r="J146" s="74" t="n"/>
      <c r="K146" s="76">
        <f>IF(OR($I146="",$J146=""),0,ROUND($I146*$J146,-3))</f>
        <v/>
      </c>
      <c r="L146" s="77">
        <f>IF($D146="","",IF($U146="⚠","⚠ ناتراز",IF($E146="","⚠ حساب","✓")))</f>
        <v/>
      </c>
      <c r="M146" s="72" t="n"/>
      <c r="N146" s="76">
        <f>IF(OR($E146="",$K146=0),0,IF(IFERROR(VLOOKUP($D146,OpTbl,7,0),"")="بدهکار",$K146,0))</f>
        <v/>
      </c>
      <c r="O146" s="76">
        <f>IF(OR($E146="",$K146=0),0,IF(IFERROR(VLOOKUP($D146,OpTbl,7,0),"")="بستانکار",$K146,0))</f>
        <v/>
      </c>
      <c r="P146" s="70">
        <f>IF($D146="","",IFERROR(VLOOKUP($D146,OpTbl,8,0),""))</f>
        <v/>
      </c>
      <c r="Q146" s="76">
        <f>IF(OR($P146="",$K146=0),0,IF(IFERROR(VLOOKUP($D146,OpTbl,9,0),"")="بدهکار",$K146,0))</f>
        <v/>
      </c>
      <c r="R146" s="76">
        <f>IF(OR($P146="",$K146=0),0,IF(IFERROR(VLOOKUP($D146,OpTbl,9,0),"")="بستانکار",$K146,0))</f>
        <v/>
      </c>
      <c r="S146" s="76">
        <f>SUM($N146,$Q146)</f>
        <v/>
      </c>
      <c r="T146" s="76">
        <f>SUM($O146,$R146)</f>
        <v/>
      </c>
      <c r="U146" s="70">
        <f>IF($D146="","",IF(ROUND($S146-$T146,0)=0,"✓","⚠"))</f>
        <v/>
      </c>
      <c r="V146" s="76">
        <f>IF($E146="","",$K146)</f>
        <v/>
      </c>
    </row>
    <row r="147" ht="21.75" customHeight="1">
      <c r="A147" s="70">
        <f>IF($B147="","",COUNTA($B$10:$B147))</f>
        <v/>
      </c>
      <c r="B147" s="71" t="n"/>
      <c r="C147" s="71" t="n"/>
      <c r="D147" s="72" t="n"/>
      <c r="E147" s="71" t="n"/>
      <c r="F147" s="73">
        <f>IF($E147="","",IFERROR(VLOOKUP($E147,AcctTbl,2,0),"کد ناشناخته"))</f>
        <v/>
      </c>
      <c r="G147" s="70">
        <f>IF($E147="","",IFERROR(VLOOKUP($E147,AcctTbl,3,0),""))</f>
        <v/>
      </c>
      <c r="H147" s="71" t="n"/>
      <c r="I147" s="74" t="n"/>
      <c r="J147" s="74" t="n"/>
      <c r="K147" s="76">
        <f>IF(OR($I147="",$J147=""),0,ROUND($I147*$J147,-3))</f>
        <v/>
      </c>
      <c r="L147" s="77">
        <f>IF($D147="","",IF($U147="⚠","⚠ ناتراز",IF($E147="","⚠ حساب","✓")))</f>
        <v/>
      </c>
      <c r="M147" s="72" t="n"/>
      <c r="N147" s="76">
        <f>IF(OR($E147="",$K147=0),0,IF(IFERROR(VLOOKUP($D147,OpTbl,7,0),"")="بدهکار",$K147,0))</f>
        <v/>
      </c>
      <c r="O147" s="76">
        <f>IF(OR($E147="",$K147=0),0,IF(IFERROR(VLOOKUP($D147,OpTbl,7,0),"")="بستانکار",$K147,0))</f>
        <v/>
      </c>
      <c r="P147" s="70">
        <f>IF($D147="","",IFERROR(VLOOKUP($D147,OpTbl,8,0),""))</f>
        <v/>
      </c>
      <c r="Q147" s="76">
        <f>IF(OR($P147="",$K147=0),0,IF(IFERROR(VLOOKUP($D147,OpTbl,9,0),"")="بدهکار",$K147,0))</f>
        <v/>
      </c>
      <c r="R147" s="76">
        <f>IF(OR($P147="",$K147=0),0,IF(IFERROR(VLOOKUP($D147,OpTbl,9,0),"")="بستانکار",$K147,0))</f>
        <v/>
      </c>
      <c r="S147" s="76">
        <f>SUM($N147,$Q147)</f>
        <v/>
      </c>
      <c r="T147" s="76">
        <f>SUM($O147,$R147)</f>
        <v/>
      </c>
      <c r="U147" s="70">
        <f>IF($D147="","",IF(ROUND($S147-$T147,0)=0,"✓","⚠"))</f>
        <v/>
      </c>
      <c r="V147" s="76">
        <f>IF($E147="","",$K147)</f>
        <v/>
      </c>
    </row>
    <row r="148" ht="21.75" customHeight="1">
      <c r="A148" s="70">
        <f>IF($B148="","",COUNTA($B$10:$B148))</f>
        <v/>
      </c>
      <c r="B148" s="71" t="n"/>
      <c r="C148" s="71" t="n"/>
      <c r="D148" s="72" t="n"/>
      <c r="E148" s="71" t="n"/>
      <c r="F148" s="73">
        <f>IF($E148="","",IFERROR(VLOOKUP($E148,AcctTbl,2,0),"کد ناشناخته"))</f>
        <v/>
      </c>
      <c r="G148" s="70">
        <f>IF($E148="","",IFERROR(VLOOKUP($E148,AcctTbl,3,0),""))</f>
        <v/>
      </c>
      <c r="H148" s="71" t="n"/>
      <c r="I148" s="74" t="n"/>
      <c r="J148" s="74" t="n"/>
      <c r="K148" s="76">
        <f>IF(OR($I148="",$J148=""),0,ROUND($I148*$J148,-3))</f>
        <v/>
      </c>
      <c r="L148" s="77">
        <f>IF($D148="","",IF($U148="⚠","⚠ ناتراز",IF($E148="","⚠ حساب","✓")))</f>
        <v/>
      </c>
      <c r="M148" s="72" t="n"/>
      <c r="N148" s="76">
        <f>IF(OR($E148="",$K148=0),0,IF(IFERROR(VLOOKUP($D148,OpTbl,7,0),"")="بدهکار",$K148,0))</f>
        <v/>
      </c>
      <c r="O148" s="76">
        <f>IF(OR($E148="",$K148=0),0,IF(IFERROR(VLOOKUP($D148,OpTbl,7,0),"")="بستانکار",$K148,0))</f>
        <v/>
      </c>
      <c r="P148" s="70">
        <f>IF($D148="","",IFERROR(VLOOKUP($D148,OpTbl,8,0),""))</f>
        <v/>
      </c>
      <c r="Q148" s="76">
        <f>IF(OR($P148="",$K148=0),0,IF(IFERROR(VLOOKUP($D148,OpTbl,9,0),"")="بدهکار",$K148,0))</f>
        <v/>
      </c>
      <c r="R148" s="76">
        <f>IF(OR($P148="",$K148=0),0,IF(IFERROR(VLOOKUP($D148,OpTbl,9,0),"")="بستانکار",$K148,0))</f>
        <v/>
      </c>
      <c r="S148" s="76">
        <f>SUM($N148,$Q148)</f>
        <v/>
      </c>
      <c r="T148" s="76">
        <f>SUM($O148,$R148)</f>
        <v/>
      </c>
      <c r="U148" s="70">
        <f>IF($D148="","",IF(ROUND($S148-$T148,0)=0,"✓","⚠"))</f>
        <v/>
      </c>
      <c r="V148" s="76">
        <f>IF($E148="","",$K148)</f>
        <v/>
      </c>
    </row>
    <row r="149" ht="21.75" customHeight="1">
      <c r="A149" s="70">
        <f>IF($B149="","",COUNTA($B$10:$B149))</f>
        <v/>
      </c>
      <c r="B149" s="71" t="n"/>
      <c r="C149" s="71" t="n"/>
      <c r="D149" s="72" t="n"/>
      <c r="E149" s="71" t="n"/>
      <c r="F149" s="73">
        <f>IF($E149="","",IFERROR(VLOOKUP($E149,AcctTbl,2,0),"کد ناشناخته"))</f>
        <v/>
      </c>
      <c r="G149" s="70">
        <f>IF($E149="","",IFERROR(VLOOKUP($E149,AcctTbl,3,0),""))</f>
        <v/>
      </c>
      <c r="H149" s="71" t="n"/>
      <c r="I149" s="74" t="n"/>
      <c r="J149" s="74" t="n"/>
      <c r="K149" s="76">
        <f>IF(OR($I149="",$J149=""),0,ROUND($I149*$J149,-3))</f>
        <v/>
      </c>
      <c r="L149" s="77">
        <f>IF($D149="","",IF($U149="⚠","⚠ ناتراز",IF($E149="","⚠ حساب","✓")))</f>
        <v/>
      </c>
      <c r="M149" s="72" t="n"/>
      <c r="N149" s="76">
        <f>IF(OR($E149="",$K149=0),0,IF(IFERROR(VLOOKUP($D149,OpTbl,7,0),"")="بدهکار",$K149,0))</f>
        <v/>
      </c>
      <c r="O149" s="76">
        <f>IF(OR($E149="",$K149=0),0,IF(IFERROR(VLOOKUP($D149,OpTbl,7,0),"")="بستانکار",$K149,0))</f>
        <v/>
      </c>
      <c r="P149" s="70">
        <f>IF($D149="","",IFERROR(VLOOKUP($D149,OpTbl,8,0),""))</f>
        <v/>
      </c>
      <c r="Q149" s="76">
        <f>IF(OR($P149="",$K149=0),0,IF(IFERROR(VLOOKUP($D149,OpTbl,9,0),"")="بدهکار",$K149,0))</f>
        <v/>
      </c>
      <c r="R149" s="76">
        <f>IF(OR($P149="",$K149=0),0,IF(IFERROR(VLOOKUP($D149,OpTbl,9,0),"")="بستانکار",$K149,0))</f>
        <v/>
      </c>
      <c r="S149" s="76">
        <f>SUM($N149,$Q149)</f>
        <v/>
      </c>
      <c r="T149" s="76">
        <f>SUM($O149,$R149)</f>
        <v/>
      </c>
      <c r="U149" s="70">
        <f>IF($D149="","",IF(ROUND($S149-$T149,0)=0,"✓","⚠"))</f>
        <v/>
      </c>
      <c r="V149" s="76">
        <f>IF($E149="","",$K149)</f>
        <v/>
      </c>
    </row>
    <row r="150" ht="21.75" customHeight="1">
      <c r="A150" s="70">
        <f>IF($B150="","",COUNTA($B$10:$B150))</f>
        <v/>
      </c>
      <c r="B150" s="71" t="n"/>
      <c r="C150" s="71" t="n"/>
      <c r="D150" s="72" t="n"/>
      <c r="E150" s="71" t="n"/>
      <c r="F150" s="73">
        <f>IF($E150="","",IFERROR(VLOOKUP($E150,AcctTbl,2,0),"کد ناشناخته"))</f>
        <v/>
      </c>
      <c r="G150" s="70">
        <f>IF($E150="","",IFERROR(VLOOKUP($E150,AcctTbl,3,0),""))</f>
        <v/>
      </c>
      <c r="H150" s="71" t="n"/>
      <c r="I150" s="74" t="n"/>
      <c r="J150" s="74" t="n"/>
      <c r="K150" s="76">
        <f>IF(OR($I150="",$J150=""),0,ROUND($I150*$J150,-3))</f>
        <v/>
      </c>
      <c r="L150" s="77">
        <f>IF($D150="","",IF($U150="⚠","⚠ ناتراز",IF($E150="","⚠ حساب","✓")))</f>
        <v/>
      </c>
      <c r="M150" s="72" t="n"/>
      <c r="N150" s="76">
        <f>IF(OR($E150="",$K150=0),0,IF(IFERROR(VLOOKUP($D150,OpTbl,7,0),"")="بدهکار",$K150,0))</f>
        <v/>
      </c>
      <c r="O150" s="76">
        <f>IF(OR($E150="",$K150=0),0,IF(IFERROR(VLOOKUP($D150,OpTbl,7,0),"")="بستانکار",$K150,0))</f>
        <v/>
      </c>
      <c r="P150" s="70">
        <f>IF($D150="","",IFERROR(VLOOKUP($D150,OpTbl,8,0),""))</f>
        <v/>
      </c>
      <c r="Q150" s="76">
        <f>IF(OR($P150="",$K150=0),0,IF(IFERROR(VLOOKUP($D150,OpTbl,9,0),"")="بدهکار",$K150,0))</f>
        <v/>
      </c>
      <c r="R150" s="76">
        <f>IF(OR($P150="",$K150=0),0,IF(IFERROR(VLOOKUP($D150,OpTbl,9,0),"")="بستانکار",$K150,0))</f>
        <v/>
      </c>
      <c r="S150" s="76">
        <f>SUM($N150,$Q150)</f>
        <v/>
      </c>
      <c r="T150" s="76">
        <f>SUM($O150,$R150)</f>
        <v/>
      </c>
      <c r="U150" s="70">
        <f>IF($D150="","",IF(ROUND($S150-$T150,0)=0,"✓","⚠"))</f>
        <v/>
      </c>
      <c r="V150" s="76">
        <f>IF($E150="","",$K150)</f>
        <v/>
      </c>
    </row>
    <row r="151" ht="21.75" customHeight="1">
      <c r="A151" s="70">
        <f>IF($B151="","",COUNTA($B$10:$B151))</f>
        <v/>
      </c>
      <c r="B151" s="71" t="n"/>
      <c r="C151" s="71" t="n"/>
      <c r="D151" s="72" t="n"/>
      <c r="E151" s="71" t="n"/>
      <c r="F151" s="73">
        <f>IF($E151="","",IFERROR(VLOOKUP($E151,AcctTbl,2,0),"کد ناشناخته"))</f>
        <v/>
      </c>
      <c r="G151" s="70">
        <f>IF($E151="","",IFERROR(VLOOKUP($E151,AcctTbl,3,0),""))</f>
        <v/>
      </c>
      <c r="H151" s="71" t="n"/>
      <c r="I151" s="74" t="n"/>
      <c r="J151" s="74" t="n"/>
      <c r="K151" s="76">
        <f>IF(OR($I151="",$J151=""),0,ROUND($I151*$J151,-3))</f>
        <v/>
      </c>
      <c r="L151" s="77">
        <f>IF($D151="","",IF($U151="⚠","⚠ ناتراز",IF($E151="","⚠ حساب","✓")))</f>
        <v/>
      </c>
      <c r="M151" s="72" t="n"/>
      <c r="N151" s="76">
        <f>IF(OR($E151="",$K151=0),0,IF(IFERROR(VLOOKUP($D151,OpTbl,7,0),"")="بدهکار",$K151,0))</f>
        <v/>
      </c>
      <c r="O151" s="76">
        <f>IF(OR($E151="",$K151=0),0,IF(IFERROR(VLOOKUP($D151,OpTbl,7,0),"")="بستانکار",$K151,0))</f>
        <v/>
      </c>
      <c r="P151" s="70">
        <f>IF($D151="","",IFERROR(VLOOKUP($D151,OpTbl,8,0),""))</f>
        <v/>
      </c>
      <c r="Q151" s="76">
        <f>IF(OR($P151="",$K151=0),0,IF(IFERROR(VLOOKUP($D151,OpTbl,9,0),"")="بدهکار",$K151,0))</f>
        <v/>
      </c>
      <c r="R151" s="76">
        <f>IF(OR($P151="",$K151=0),0,IF(IFERROR(VLOOKUP($D151,OpTbl,9,0),"")="بستانکار",$K151,0))</f>
        <v/>
      </c>
      <c r="S151" s="76">
        <f>SUM($N151,$Q151)</f>
        <v/>
      </c>
      <c r="T151" s="76">
        <f>SUM($O151,$R151)</f>
        <v/>
      </c>
      <c r="U151" s="70">
        <f>IF($D151="","",IF(ROUND($S151-$T151,0)=0,"✓","⚠"))</f>
        <v/>
      </c>
      <c r="V151" s="76">
        <f>IF($E151="","",$K151)</f>
        <v/>
      </c>
    </row>
    <row r="152" ht="21.75" customHeight="1">
      <c r="A152" s="70">
        <f>IF($B152="","",COUNTA($B$10:$B152))</f>
        <v/>
      </c>
      <c r="B152" s="71" t="n"/>
      <c r="C152" s="71" t="n"/>
      <c r="D152" s="72" t="n"/>
      <c r="E152" s="71" t="n"/>
      <c r="F152" s="73">
        <f>IF($E152="","",IFERROR(VLOOKUP($E152,AcctTbl,2,0),"کد ناشناخته"))</f>
        <v/>
      </c>
      <c r="G152" s="70">
        <f>IF($E152="","",IFERROR(VLOOKUP($E152,AcctTbl,3,0),""))</f>
        <v/>
      </c>
      <c r="H152" s="71" t="n"/>
      <c r="I152" s="74" t="n"/>
      <c r="J152" s="74" t="n"/>
      <c r="K152" s="76">
        <f>IF(OR($I152="",$J152=""),0,ROUND($I152*$J152,-3))</f>
        <v/>
      </c>
      <c r="L152" s="77">
        <f>IF($D152="","",IF($U152="⚠","⚠ ناتراز",IF($E152="","⚠ حساب","✓")))</f>
        <v/>
      </c>
      <c r="M152" s="72" t="n"/>
      <c r="N152" s="76">
        <f>IF(OR($E152="",$K152=0),0,IF(IFERROR(VLOOKUP($D152,OpTbl,7,0),"")="بدهکار",$K152,0))</f>
        <v/>
      </c>
      <c r="O152" s="76">
        <f>IF(OR($E152="",$K152=0),0,IF(IFERROR(VLOOKUP($D152,OpTbl,7,0),"")="بستانکار",$K152,0))</f>
        <v/>
      </c>
      <c r="P152" s="70">
        <f>IF($D152="","",IFERROR(VLOOKUP($D152,OpTbl,8,0),""))</f>
        <v/>
      </c>
      <c r="Q152" s="76">
        <f>IF(OR($P152="",$K152=0),0,IF(IFERROR(VLOOKUP($D152,OpTbl,9,0),"")="بدهکار",$K152,0))</f>
        <v/>
      </c>
      <c r="R152" s="76">
        <f>IF(OR($P152="",$K152=0),0,IF(IFERROR(VLOOKUP($D152,OpTbl,9,0),"")="بستانکار",$K152,0))</f>
        <v/>
      </c>
      <c r="S152" s="76">
        <f>SUM($N152,$Q152)</f>
        <v/>
      </c>
      <c r="T152" s="76">
        <f>SUM($O152,$R152)</f>
        <v/>
      </c>
      <c r="U152" s="70">
        <f>IF($D152="","",IF(ROUND($S152-$T152,0)=0,"✓","⚠"))</f>
        <v/>
      </c>
      <c r="V152" s="76">
        <f>IF($E152="","",$K152)</f>
        <v/>
      </c>
    </row>
    <row r="153" ht="21.75" customHeight="1">
      <c r="A153" s="70">
        <f>IF($B153="","",COUNTA($B$10:$B153))</f>
        <v/>
      </c>
      <c r="B153" s="71" t="n"/>
      <c r="C153" s="71" t="n"/>
      <c r="D153" s="72" t="n"/>
      <c r="E153" s="71" t="n"/>
      <c r="F153" s="73">
        <f>IF($E153="","",IFERROR(VLOOKUP($E153,AcctTbl,2,0),"کد ناشناخته"))</f>
        <v/>
      </c>
      <c r="G153" s="70">
        <f>IF($E153="","",IFERROR(VLOOKUP($E153,AcctTbl,3,0),""))</f>
        <v/>
      </c>
      <c r="H153" s="71" t="n"/>
      <c r="I153" s="74" t="n"/>
      <c r="J153" s="74" t="n"/>
      <c r="K153" s="76">
        <f>IF(OR($I153="",$J153=""),0,ROUND($I153*$J153,-3))</f>
        <v/>
      </c>
      <c r="L153" s="77">
        <f>IF($D153="","",IF($U153="⚠","⚠ ناتراز",IF($E153="","⚠ حساب","✓")))</f>
        <v/>
      </c>
      <c r="M153" s="72" t="n"/>
      <c r="N153" s="76">
        <f>IF(OR($E153="",$K153=0),0,IF(IFERROR(VLOOKUP($D153,OpTbl,7,0),"")="بدهکار",$K153,0))</f>
        <v/>
      </c>
      <c r="O153" s="76">
        <f>IF(OR($E153="",$K153=0),0,IF(IFERROR(VLOOKUP($D153,OpTbl,7,0),"")="بستانکار",$K153,0))</f>
        <v/>
      </c>
      <c r="P153" s="70">
        <f>IF($D153="","",IFERROR(VLOOKUP($D153,OpTbl,8,0),""))</f>
        <v/>
      </c>
      <c r="Q153" s="76">
        <f>IF(OR($P153="",$K153=0),0,IF(IFERROR(VLOOKUP($D153,OpTbl,9,0),"")="بدهکار",$K153,0))</f>
        <v/>
      </c>
      <c r="R153" s="76">
        <f>IF(OR($P153="",$K153=0),0,IF(IFERROR(VLOOKUP($D153,OpTbl,9,0),"")="بستانکار",$K153,0))</f>
        <v/>
      </c>
      <c r="S153" s="76">
        <f>SUM($N153,$Q153)</f>
        <v/>
      </c>
      <c r="T153" s="76">
        <f>SUM($O153,$R153)</f>
        <v/>
      </c>
      <c r="U153" s="70">
        <f>IF($D153="","",IF(ROUND($S153-$T153,0)=0,"✓","⚠"))</f>
        <v/>
      </c>
      <c r="V153" s="76">
        <f>IF($E153="","",$K153)</f>
        <v/>
      </c>
    </row>
    <row r="154" ht="21.75" customHeight="1">
      <c r="A154" s="70">
        <f>IF($B154="","",COUNTA($B$10:$B154))</f>
        <v/>
      </c>
      <c r="B154" s="71" t="n"/>
      <c r="C154" s="71" t="n"/>
      <c r="D154" s="72" t="n"/>
      <c r="E154" s="71" t="n"/>
      <c r="F154" s="73">
        <f>IF($E154="","",IFERROR(VLOOKUP($E154,AcctTbl,2,0),"کد ناشناخته"))</f>
        <v/>
      </c>
      <c r="G154" s="70">
        <f>IF($E154="","",IFERROR(VLOOKUP($E154,AcctTbl,3,0),""))</f>
        <v/>
      </c>
      <c r="H154" s="71" t="n"/>
      <c r="I154" s="74" t="n"/>
      <c r="J154" s="74" t="n"/>
      <c r="K154" s="76">
        <f>IF(OR($I154="",$J154=""),0,ROUND($I154*$J154,-3))</f>
        <v/>
      </c>
      <c r="L154" s="77">
        <f>IF($D154="","",IF($U154="⚠","⚠ ناتراز",IF($E154="","⚠ حساب","✓")))</f>
        <v/>
      </c>
      <c r="M154" s="72" t="n"/>
      <c r="N154" s="76">
        <f>IF(OR($E154="",$K154=0),0,IF(IFERROR(VLOOKUP($D154,OpTbl,7,0),"")="بدهکار",$K154,0))</f>
        <v/>
      </c>
      <c r="O154" s="76">
        <f>IF(OR($E154="",$K154=0),0,IF(IFERROR(VLOOKUP($D154,OpTbl,7,0),"")="بستانکار",$K154,0))</f>
        <v/>
      </c>
      <c r="P154" s="70">
        <f>IF($D154="","",IFERROR(VLOOKUP($D154,OpTbl,8,0),""))</f>
        <v/>
      </c>
      <c r="Q154" s="76">
        <f>IF(OR($P154="",$K154=0),0,IF(IFERROR(VLOOKUP($D154,OpTbl,9,0),"")="بدهکار",$K154,0))</f>
        <v/>
      </c>
      <c r="R154" s="76">
        <f>IF(OR($P154="",$K154=0),0,IF(IFERROR(VLOOKUP($D154,OpTbl,9,0),"")="بستانکار",$K154,0))</f>
        <v/>
      </c>
      <c r="S154" s="76">
        <f>SUM($N154,$Q154)</f>
        <v/>
      </c>
      <c r="T154" s="76">
        <f>SUM($O154,$R154)</f>
        <v/>
      </c>
      <c r="U154" s="70">
        <f>IF($D154="","",IF(ROUND($S154-$T154,0)=0,"✓","⚠"))</f>
        <v/>
      </c>
      <c r="V154" s="76">
        <f>IF($E154="","",$K154)</f>
        <v/>
      </c>
    </row>
    <row r="155" ht="21.75" customHeight="1">
      <c r="A155" s="70">
        <f>IF($B155="","",COUNTA($B$10:$B155))</f>
        <v/>
      </c>
      <c r="B155" s="71" t="n"/>
      <c r="C155" s="71" t="n"/>
      <c r="D155" s="72" t="n"/>
      <c r="E155" s="71" t="n"/>
      <c r="F155" s="73">
        <f>IF($E155="","",IFERROR(VLOOKUP($E155,AcctTbl,2,0),"کد ناشناخته"))</f>
        <v/>
      </c>
      <c r="G155" s="70">
        <f>IF($E155="","",IFERROR(VLOOKUP($E155,AcctTbl,3,0),""))</f>
        <v/>
      </c>
      <c r="H155" s="71" t="n"/>
      <c r="I155" s="74" t="n"/>
      <c r="J155" s="74" t="n"/>
      <c r="K155" s="76">
        <f>IF(OR($I155="",$J155=""),0,ROUND($I155*$J155,-3))</f>
        <v/>
      </c>
      <c r="L155" s="77">
        <f>IF($D155="","",IF($U155="⚠","⚠ ناتراز",IF($E155="","⚠ حساب","✓")))</f>
        <v/>
      </c>
      <c r="M155" s="72" t="n"/>
      <c r="N155" s="76">
        <f>IF(OR($E155="",$K155=0),0,IF(IFERROR(VLOOKUP($D155,OpTbl,7,0),"")="بدهکار",$K155,0))</f>
        <v/>
      </c>
      <c r="O155" s="76">
        <f>IF(OR($E155="",$K155=0),0,IF(IFERROR(VLOOKUP($D155,OpTbl,7,0),"")="بستانکار",$K155,0))</f>
        <v/>
      </c>
      <c r="P155" s="70">
        <f>IF($D155="","",IFERROR(VLOOKUP($D155,OpTbl,8,0),""))</f>
        <v/>
      </c>
      <c r="Q155" s="76">
        <f>IF(OR($P155="",$K155=0),0,IF(IFERROR(VLOOKUP($D155,OpTbl,9,0),"")="بدهکار",$K155,0))</f>
        <v/>
      </c>
      <c r="R155" s="76">
        <f>IF(OR($P155="",$K155=0),0,IF(IFERROR(VLOOKUP($D155,OpTbl,9,0),"")="بستانکار",$K155,0))</f>
        <v/>
      </c>
      <c r="S155" s="76">
        <f>SUM($N155,$Q155)</f>
        <v/>
      </c>
      <c r="T155" s="76">
        <f>SUM($O155,$R155)</f>
        <v/>
      </c>
      <c r="U155" s="70">
        <f>IF($D155="","",IF(ROUND($S155-$T155,0)=0,"✓","⚠"))</f>
        <v/>
      </c>
      <c r="V155" s="76">
        <f>IF($E155="","",$K155)</f>
        <v/>
      </c>
    </row>
    <row r="156" ht="21.75" customHeight="1">
      <c r="A156" s="70">
        <f>IF($B156="","",COUNTA($B$10:$B156))</f>
        <v/>
      </c>
      <c r="B156" s="71" t="n"/>
      <c r="C156" s="71" t="n"/>
      <c r="D156" s="72" t="n"/>
      <c r="E156" s="71" t="n"/>
      <c r="F156" s="73">
        <f>IF($E156="","",IFERROR(VLOOKUP($E156,AcctTbl,2,0),"کد ناشناخته"))</f>
        <v/>
      </c>
      <c r="G156" s="70">
        <f>IF($E156="","",IFERROR(VLOOKUP($E156,AcctTbl,3,0),""))</f>
        <v/>
      </c>
      <c r="H156" s="71" t="n"/>
      <c r="I156" s="74" t="n"/>
      <c r="J156" s="74" t="n"/>
      <c r="K156" s="76">
        <f>IF(OR($I156="",$J156=""),0,ROUND($I156*$J156,-3))</f>
        <v/>
      </c>
      <c r="L156" s="77">
        <f>IF($D156="","",IF($U156="⚠","⚠ ناتراز",IF($E156="","⚠ حساب","✓")))</f>
        <v/>
      </c>
      <c r="M156" s="72" t="n"/>
      <c r="N156" s="76">
        <f>IF(OR($E156="",$K156=0),0,IF(IFERROR(VLOOKUP($D156,OpTbl,7,0),"")="بدهکار",$K156,0))</f>
        <v/>
      </c>
      <c r="O156" s="76">
        <f>IF(OR($E156="",$K156=0),0,IF(IFERROR(VLOOKUP($D156,OpTbl,7,0),"")="بستانکار",$K156,0))</f>
        <v/>
      </c>
      <c r="P156" s="70">
        <f>IF($D156="","",IFERROR(VLOOKUP($D156,OpTbl,8,0),""))</f>
        <v/>
      </c>
      <c r="Q156" s="76">
        <f>IF(OR($P156="",$K156=0),0,IF(IFERROR(VLOOKUP($D156,OpTbl,9,0),"")="بدهکار",$K156,0))</f>
        <v/>
      </c>
      <c r="R156" s="76">
        <f>IF(OR($P156="",$K156=0),0,IF(IFERROR(VLOOKUP($D156,OpTbl,9,0),"")="بستانکار",$K156,0))</f>
        <v/>
      </c>
      <c r="S156" s="76">
        <f>SUM($N156,$Q156)</f>
        <v/>
      </c>
      <c r="T156" s="76">
        <f>SUM($O156,$R156)</f>
        <v/>
      </c>
      <c r="U156" s="70">
        <f>IF($D156="","",IF(ROUND($S156-$T156,0)=0,"✓","⚠"))</f>
        <v/>
      </c>
      <c r="V156" s="76">
        <f>IF($E156="","",$K156)</f>
        <v/>
      </c>
    </row>
    <row r="157" ht="21.75" customHeight="1">
      <c r="A157" s="70">
        <f>IF($B157="","",COUNTA($B$10:$B157))</f>
        <v/>
      </c>
      <c r="B157" s="71" t="n"/>
      <c r="C157" s="71" t="n"/>
      <c r="D157" s="72" t="n"/>
      <c r="E157" s="71" t="n"/>
      <c r="F157" s="73">
        <f>IF($E157="","",IFERROR(VLOOKUP($E157,AcctTbl,2,0),"کد ناشناخته"))</f>
        <v/>
      </c>
      <c r="G157" s="70">
        <f>IF($E157="","",IFERROR(VLOOKUP($E157,AcctTbl,3,0),""))</f>
        <v/>
      </c>
      <c r="H157" s="71" t="n"/>
      <c r="I157" s="74" t="n"/>
      <c r="J157" s="74" t="n"/>
      <c r="K157" s="76">
        <f>IF(OR($I157="",$J157=""),0,ROUND($I157*$J157,-3))</f>
        <v/>
      </c>
      <c r="L157" s="77">
        <f>IF($D157="","",IF($U157="⚠","⚠ ناتراز",IF($E157="","⚠ حساب","✓")))</f>
        <v/>
      </c>
      <c r="M157" s="72" t="n"/>
      <c r="N157" s="76">
        <f>IF(OR($E157="",$K157=0),0,IF(IFERROR(VLOOKUP($D157,OpTbl,7,0),"")="بدهکار",$K157,0))</f>
        <v/>
      </c>
      <c r="O157" s="76">
        <f>IF(OR($E157="",$K157=0),0,IF(IFERROR(VLOOKUP($D157,OpTbl,7,0),"")="بستانکار",$K157,0))</f>
        <v/>
      </c>
      <c r="P157" s="70">
        <f>IF($D157="","",IFERROR(VLOOKUP($D157,OpTbl,8,0),""))</f>
        <v/>
      </c>
      <c r="Q157" s="76">
        <f>IF(OR($P157="",$K157=0),0,IF(IFERROR(VLOOKUP($D157,OpTbl,9,0),"")="بدهکار",$K157,0))</f>
        <v/>
      </c>
      <c r="R157" s="76">
        <f>IF(OR($P157="",$K157=0),0,IF(IFERROR(VLOOKUP($D157,OpTbl,9,0),"")="بستانکار",$K157,0))</f>
        <v/>
      </c>
      <c r="S157" s="76">
        <f>SUM($N157,$Q157)</f>
        <v/>
      </c>
      <c r="T157" s="76">
        <f>SUM($O157,$R157)</f>
        <v/>
      </c>
      <c r="U157" s="70">
        <f>IF($D157="","",IF(ROUND($S157-$T157,0)=0,"✓","⚠"))</f>
        <v/>
      </c>
      <c r="V157" s="76">
        <f>IF($E157="","",$K157)</f>
        <v/>
      </c>
    </row>
    <row r="158" ht="21.75" customHeight="1">
      <c r="A158" s="70">
        <f>IF($B158="","",COUNTA($B$10:$B158))</f>
        <v/>
      </c>
      <c r="B158" s="71" t="n"/>
      <c r="C158" s="71" t="n"/>
      <c r="D158" s="72" t="n"/>
      <c r="E158" s="71" t="n"/>
      <c r="F158" s="73">
        <f>IF($E158="","",IFERROR(VLOOKUP($E158,AcctTbl,2,0),"کد ناشناخته"))</f>
        <v/>
      </c>
      <c r="G158" s="70">
        <f>IF($E158="","",IFERROR(VLOOKUP($E158,AcctTbl,3,0),""))</f>
        <v/>
      </c>
      <c r="H158" s="71" t="n"/>
      <c r="I158" s="74" t="n"/>
      <c r="J158" s="74" t="n"/>
      <c r="K158" s="76">
        <f>IF(OR($I158="",$J158=""),0,ROUND($I158*$J158,-3))</f>
        <v/>
      </c>
      <c r="L158" s="77">
        <f>IF($D158="","",IF($U158="⚠","⚠ ناتراز",IF($E158="","⚠ حساب","✓")))</f>
        <v/>
      </c>
      <c r="M158" s="72" t="n"/>
      <c r="N158" s="76">
        <f>IF(OR($E158="",$K158=0),0,IF(IFERROR(VLOOKUP($D158,OpTbl,7,0),"")="بدهکار",$K158,0))</f>
        <v/>
      </c>
      <c r="O158" s="76">
        <f>IF(OR($E158="",$K158=0),0,IF(IFERROR(VLOOKUP($D158,OpTbl,7,0),"")="بستانکار",$K158,0))</f>
        <v/>
      </c>
      <c r="P158" s="70">
        <f>IF($D158="","",IFERROR(VLOOKUP($D158,OpTbl,8,0),""))</f>
        <v/>
      </c>
      <c r="Q158" s="76">
        <f>IF(OR($P158="",$K158=0),0,IF(IFERROR(VLOOKUP($D158,OpTbl,9,0),"")="بدهکار",$K158,0))</f>
        <v/>
      </c>
      <c r="R158" s="76">
        <f>IF(OR($P158="",$K158=0),0,IF(IFERROR(VLOOKUP($D158,OpTbl,9,0),"")="بستانکار",$K158,0))</f>
        <v/>
      </c>
      <c r="S158" s="76">
        <f>SUM($N158,$Q158)</f>
        <v/>
      </c>
      <c r="T158" s="76">
        <f>SUM($O158,$R158)</f>
        <v/>
      </c>
      <c r="U158" s="70">
        <f>IF($D158="","",IF(ROUND($S158-$T158,0)=0,"✓","⚠"))</f>
        <v/>
      </c>
      <c r="V158" s="76">
        <f>IF($E158="","",$K158)</f>
        <v/>
      </c>
    </row>
    <row r="159" ht="21.75" customHeight="1">
      <c r="A159" s="70">
        <f>IF($B159="","",COUNTA($B$10:$B159))</f>
        <v/>
      </c>
      <c r="B159" s="71" t="n"/>
      <c r="C159" s="71" t="n"/>
      <c r="D159" s="72" t="n"/>
      <c r="E159" s="71" t="n"/>
      <c r="F159" s="73">
        <f>IF($E159="","",IFERROR(VLOOKUP($E159,AcctTbl,2,0),"کد ناشناخته"))</f>
        <v/>
      </c>
      <c r="G159" s="70">
        <f>IF($E159="","",IFERROR(VLOOKUP($E159,AcctTbl,3,0),""))</f>
        <v/>
      </c>
      <c r="H159" s="71" t="n"/>
      <c r="I159" s="74" t="n"/>
      <c r="J159" s="74" t="n"/>
      <c r="K159" s="76">
        <f>IF(OR($I159="",$J159=""),0,ROUND($I159*$J159,-3))</f>
        <v/>
      </c>
      <c r="L159" s="77">
        <f>IF($D159="","",IF($U159="⚠","⚠ ناتراز",IF($E159="","⚠ حساب","✓")))</f>
        <v/>
      </c>
      <c r="M159" s="72" t="n"/>
      <c r="N159" s="76">
        <f>IF(OR($E159="",$K159=0),0,IF(IFERROR(VLOOKUP($D159,OpTbl,7,0),"")="بدهکار",$K159,0))</f>
        <v/>
      </c>
      <c r="O159" s="76">
        <f>IF(OR($E159="",$K159=0),0,IF(IFERROR(VLOOKUP($D159,OpTbl,7,0),"")="بستانکار",$K159,0))</f>
        <v/>
      </c>
      <c r="P159" s="70">
        <f>IF($D159="","",IFERROR(VLOOKUP($D159,OpTbl,8,0),""))</f>
        <v/>
      </c>
      <c r="Q159" s="76">
        <f>IF(OR($P159="",$K159=0),0,IF(IFERROR(VLOOKUP($D159,OpTbl,9,0),"")="بدهکار",$K159,0))</f>
        <v/>
      </c>
      <c r="R159" s="76">
        <f>IF(OR($P159="",$K159=0),0,IF(IFERROR(VLOOKUP($D159,OpTbl,9,0),"")="بستانکار",$K159,0))</f>
        <v/>
      </c>
      <c r="S159" s="76">
        <f>SUM($N159,$Q159)</f>
        <v/>
      </c>
      <c r="T159" s="76">
        <f>SUM($O159,$R159)</f>
        <v/>
      </c>
      <c r="U159" s="70">
        <f>IF($D159="","",IF(ROUND($S159-$T159,0)=0,"✓","⚠"))</f>
        <v/>
      </c>
      <c r="V159" s="76">
        <f>IF($E159="","",$K159)</f>
        <v/>
      </c>
    </row>
  </sheetData>
  <autoFilter ref="A8:M159"/>
  <mergeCells count="17">
    <mergeCell ref="J5:L5"/>
    <mergeCell ref="J6:L6"/>
    <mergeCell ref="D7:H7"/>
    <mergeCell ref="I1:M1"/>
    <mergeCell ref="L7:M7"/>
    <mergeCell ref="D5:F5"/>
    <mergeCell ref="A5:C5"/>
    <mergeCell ref="G5:I5"/>
    <mergeCell ref="G6:I6"/>
    <mergeCell ref="A6:C6"/>
    <mergeCell ref="G4:M4"/>
    <mergeCell ref="A3:M3"/>
    <mergeCell ref="A1:H1"/>
    <mergeCell ref="A7:C7"/>
    <mergeCell ref="D6:F6"/>
    <mergeCell ref="A2:M2"/>
    <mergeCell ref="I7:K7"/>
  </mergeCells>
  <conditionalFormatting sqref="A10:M159">
    <cfRule type="expression" priority="1" dxfId="0">
      <formula>LEFT($D10,6)="خرید"</formula>
    </cfRule>
    <cfRule type="expression" priority="2" dxfId="1">
      <formula>LEFT($D10,4)="فروش"</formula>
    </cfRule>
    <cfRule type="expression" priority="3" dxfId="5">
      <formula>LEFT($D10,8)="مرجوعی"</formula>
    </cfRule>
    <cfRule type="expression" priority="4" dxfId="8">
      <formula>LEFT($D10,7)="انتقال"</formula>
    </cfRule>
  </conditionalFormatting>
  <conditionalFormatting sqref="L10:L159">
    <cfRule type="expression" priority="5" dxfId="9">
      <formula>LEFT($L10,1)="⚠"</formula>
    </cfRule>
  </conditionalFormatting>
  <dataValidations count="6">
    <dataValidation sqref="B10:B159" showDropDown="0" showInputMessage="1" showErrorMessage="1" allowBlank="1" type="custom">
      <formula1>OR($B10="",AND(LEN($B10)=10,MID($B10,5,1)="/",MID($B10,8,1)="/"))</formula1>
    </dataValidation>
    <dataValidation sqref="D10:D159" showDropDown="0" showInputMessage="1" showErrorMessage="1" allowBlank="1" type="list">
      <formula1>ListBasketOps</formula1>
    </dataValidation>
    <dataValidation sqref="E10:E159" showDropDown="0" showInputMessage="1" showErrorMessage="1" allowBlank="1" type="list" errorStyle="warning">
      <formula1>ListAllCodes</formula1>
    </dataValidation>
    <dataValidation sqref="H10:H159" showDropDown="0" showInputMessage="1" showErrorMessage="1" allowBlank="1" type="list">
      <formula1>ListBaskets</formula1>
    </dataValidation>
    <dataValidation sqref="I10:I159" showDropDown="0" showInputMessage="1" showErrorMessage="1" allowBlank="1" type="whole" operator="greaterThanOrEqual">
      <formula1>0</formula1>
    </dataValidation>
    <dataValidation sqref="J10:J159" showDropDown="0" showInputMessage="1" showErrorMessage="1" allowBlank="1" type="decimal" operator="greaterThanOrEqual">
      <formula1>0</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FFC4623F"/>
    <outlinePr summaryBelow="1" summaryRight="1"/>
    <pageSetUpPr fitToPage="1"/>
  </sheetPr>
  <dimension ref="A1:AG1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12.7109375" customWidth="1" min="3" max="3"/>
    <col width="9.7109375" customWidth="1" min="4" max="4"/>
    <col width="14.7109375" customWidth="1" min="5" max="5"/>
    <col width="10.7109375" customWidth="1" min="6" max="6"/>
    <col width="22.7109375" customWidth="1" min="7" max="7"/>
    <col width="14.7109375" customWidth="1" min="8" max="8"/>
    <col width="12.7109375" customWidth="1" min="9" max="10"/>
    <col width="15.7109375" customWidth="1" min="11" max="11"/>
    <col width="12.7109375" customWidth="1" min="12" max="12"/>
    <col width="11.7109375" customWidth="1" min="13" max="13"/>
    <col width="12.7109375" customWidth="1" min="14" max="15"/>
    <col width="26.7109375" customWidth="1" min="16" max="16"/>
    <col width="16.7109375" customWidth="1" min="17" max="17"/>
    <col width="9.7109375" customWidth="1" min="18" max="18"/>
    <col hidden="1" width="8.7109375" customWidth="1" min="19" max="33"/>
  </cols>
  <sheetData>
    <row r="1" ht="20.25" customHeight="1">
      <c r="A1" s="142" t="inlineStr">
        <is>
          <t>مازندشت — سورتینگ و بسته‌بندی مرکبات</t>
        </is>
      </c>
      <c r="N1" s="143" t="inlineStr">
        <is>
          <t>MAZANDASHT  ·  CITRUS SORTING &amp; PACKING</t>
        </is>
      </c>
    </row>
    <row r="2" ht="38.25" customHeight="1">
      <c r="A2" s="144" t="inlineStr">
        <is>
          <t>پرداخت و دریافت — نقد، بانک، چک و انتقال داخلی</t>
        </is>
      </c>
    </row>
    <row r="3" ht="45.75" customHeight="1">
      <c r="A3" s="145" t="inlineStr">
        <is>
          <t>هر ردیف یک تسویه  ·  چک با شماره چک ردیابی می‌شود  ·  انتقال داخلی بین بانک‌های شرکت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تسویه</t>
        </is>
      </c>
      <c r="B5" s="147" t="n"/>
      <c r="C5" s="147" t="n"/>
      <c r="D5" s="129" t="n"/>
      <c r="E5" s="5" t="inlineStr">
        <is>
          <t>جمع پرداخت</t>
        </is>
      </c>
      <c r="F5" s="147" t="n"/>
      <c r="G5" s="147" t="n"/>
      <c r="H5" s="129" t="n"/>
      <c r="I5" s="5" t="inlineStr">
        <is>
          <t>جمع دریافت</t>
        </is>
      </c>
      <c r="J5" s="147" t="n"/>
      <c r="K5" s="147" t="n"/>
      <c r="L5" s="129" t="n"/>
      <c r="M5" s="5" t="inlineStr">
        <is>
          <t>چک در جریان</t>
        </is>
      </c>
      <c r="N5" s="147" t="n"/>
      <c r="O5" s="147" t="n"/>
      <c r="P5" s="129" t="n"/>
      <c r="Q5" s="5" t="inlineStr">
        <is>
          <t>ردیف‌های ناتراز</t>
        </is>
      </c>
      <c r="R5" s="129" t="n"/>
    </row>
    <row r="6" ht="33" customHeight="1">
      <c r="A6" s="56">
        <f>COUNTA($B$10:$B$159)</f>
        <v/>
      </c>
      <c r="B6" s="135" t="n"/>
      <c r="C6" s="135" t="n"/>
      <c r="D6" s="130" t="n"/>
      <c r="E6" s="78">
        <f>SUMIF($D$10:$D$159,"پرداخت",$K$10:$K$159)</f>
        <v/>
      </c>
      <c r="F6" s="135" t="n"/>
      <c r="G6" s="135" t="n"/>
      <c r="H6" s="130" t="n"/>
      <c r="I6" s="57">
        <f>SUMIF($D$10:$D$159,"دریافت",$K$10:$K$159)</f>
        <v/>
      </c>
      <c r="J6" s="135" t="n"/>
      <c r="K6" s="135" t="n"/>
      <c r="L6" s="130" t="n"/>
      <c r="M6" s="59">
        <f>COUNTIFS($E$10:$E$159,"چک",$L$10:$L$159,"در جریان")</f>
        <v/>
      </c>
      <c r="N6" s="135" t="n"/>
      <c r="O6" s="135" t="n"/>
      <c r="P6" s="130" t="n"/>
      <c r="Q6" s="60">
        <f>COUNTIF($AA$10:$AA$159,"⚠")</f>
        <v/>
      </c>
      <c r="R6" s="130" t="n"/>
    </row>
    <row r="7" ht="20.25" customHeight="1">
      <c r="A7" s="61" t="inlineStr">
        <is>
          <t>شناسه</t>
        </is>
      </c>
      <c r="B7" s="133" t="n"/>
      <c r="C7" s="134" t="n"/>
      <c r="D7" s="63" t="inlineStr">
        <is>
          <t>نوع و روش</t>
        </is>
      </c>
      <c r="E7" s="133" t="n"/>
      <c r="F7" s="134" t="n"/>
      <c r="G7" s="64" t="inlineStr">
        <is>
          <t>طرف حساب</t>
        </is>
      </c>
      <c r="H7" s="133" t="n"/>
      <c r="I7" s="134" t="n"/>
      <c r="J7" s="65" t="inlineStr">
        <is>
          <t>چک و مبلغ</t>
        </is>
      </c>
      <c r="K7" s="133" t="n"/>
      <c r="L7" s="133" t="n"/>
      <c r="M7" s="133" t="n"/>
      <c r="N7" s="133" t="n"/>
      <c r="O7" s="134" t="n"/>
      <c r="P7" s="67" t="inlineStr">
        <is>
          <t>توضیح و وضعیت</t>
        </is>
      </c>
      <c r="Q7" s="133" t="n"/>
      <c r="R7" s="134" t="n"/>
    </row>
    <row r="8" ht="33.75" customHeight="1">
      <c r="A8" s="68" t="inlineStr">
        <is>
          <t>ردیف</t>
        </is>
      </c>
      <c r="B8" s="68" t="inlineStr">
        <is>
          <t>تاریخ</t>
        </is>
      </c>
      <c r="C8" s="68" t="inlineStr">
        <is>
          <t>شماره سند</t>
        </is>
      </c>
      <c r="D8" s="68" t="inlineStr">
        <is>
          <t>نوع</t>
        </is>
      </c>
      <c r="E8" s="68" t="inlineStr">
        <is>
          <t>روش</t>
        </is>
      </c>
      <c r="F8" s="68" t="inlineStr">
        <is>
          <t>کد حساب</t>
        </is>
      </c>
      <c r="G8" s="68" t="inlineStr">
        <is>
          <t>نام حساب</t>
        </is>
      </c>
      <c r="H8" s="68" t="inlineStr">
        <is>
          <t>گروه</t>
        </is>
      </c>
      <c r="I8" s="68" t="inlineStr">
        <is>
          <t>بانک / مقصد</t>
        </is>
      </c>
      <c r="J8" s="68" t="inlineStr">
        <is>
          <t>شماره چک</t>
        </is>
      </c>
      <c r="K8" s="68" t="inlineStr">
        <is>
          <t>مبلغ</t>
        </is>
      </c>
      <c r="L8" s="68" t="inlineStr">
        <is>
          <t>وضعیت چک</t>
        </is>
      </c>
      <c r="M8" s="68" t="inlineStr">
        <is>
          <t>سررسید</t>
        </is>
      </c>
      <c r="N8" s="68" t="inlineStr">
        <is>
          <t>بانک مبدأ</t>
        </is>
      </c>
      <c r="O8" s="68" t="inlineStr">
        <is>
          <t>سند مرتبط</t>
        </is>
      </c>
      <c r="P8" s="68" t="inlineStr">
        <is>
          <t>توضیحات</t>
        </is>
      </c>
      <c r="Q8" s="68" t="inlineStr">
        <is>
          <t>منبع</t>
        </is>
      </c>
      <c r="R8" s="68" t="inlineStr">
        <is>
          <t>وضعیت</t>
        </is>
      </c>
    </row>
    <row r="9">
      <c r="A9" s="69" t="inlineStr">
        <is>
          <t>No.</t>
        </is>
      </c>
      <c r="B9" s="69" t="inlineStr">
        <is>
          <t>Date</t>
        </is>
      </c>
      <c r="C9" s="69" t="inlineStr">
        <is>
          <t>Doc</t>
        </is>
      </c>
      <c r="D9" s="69" t="inlineStr">
        <is>
          <t>Type</t>
        </is>
      </c>
      <c r="E9" s="69" t="inlineStr">
        <is>
          <t>Method</t>
        </is>
      </c>
      <c r="F9" s="69" t="inlineStr">
        <is>
          <t>Account</t>
        </is>
      </c>
      <c r="G9" s="69" t="inlineStr">
        <is>
          <t>Account Name</t>
        </is>
      </c>
      <c r="H9" s="69" t="inlineStr">
        <is>
          <t>Group</t>
        </is>
      </c>
      <c r="I9" s="69" t="inlineStr">
        <is>
          <t>Bank</t>
        </is>
      </c>
      <c r="J9" s="69" t="inlineStr">
        <is>
          <t>Cheque No.</t>
        </is>
      </c>
      <c r="K9" s="69" t="inlineStr">
        <is>
          <t>Amount</t>
        </is>
      </c>
      <c r="L9" s="69" t="inlineStr">
        <is>
          <t>Cheque Status</t>
        </is>
      </c>
      <c r="M9" s="69" t="inlineStr">
        <is>
          <t>Due</t>
        </is>
      </c>
      <c r="N9" s="69" t="inlineStr">
        <is>
          <t>From Bank</t>
        </is>
      </c>
      <c r="O9" s="69" t="inlineStr">
        <is>
          <t>Related</t>
        </is>
      </c>
      <c r="P9" s="69" t="inlineStr">
        <is>
          <t>Notes</t>
        </is>
      </c>
      <c r="Q9" s="69" t="inlineStr">
        <is>
          <t>Source</t>
        </is>
      </c>
      <c r="R9" s="69" t="inlineStr">
        <is>
          <t>Status</t>
        </is>
      </c>
    </row>
    <row r="10" ht="21.75" customHeight="1">
      <c r="A10" s="70">
        <f>IF($B10="","",COUNTA($B$10:$B10))</f>
        <v/>
      </c>
      <c r="B10" s="71" t="inlineStr">
        <is>
          <t>1405/07/06</t>
        </is>
      </c>
      <c r="C10" s="71" t="inlineStr">
        <is>
          <t>PV-001</t>
        </is>
      </c>
      <c r="D10" s="71" t="inlineStr">
        <is>
          <t>پرداخت</t>
        </is>
      </c>
      <c r="E10" s="71" t="inlineStr">
        <is>
          <t>نقد</t>
        </is>
      </c>
      <c r="F10" s="71" t="inlineStr">
        <is>
          <t>C001</t>
        </is>
      </c>
      <c r="G10" s="73">
        <f>IF($F10="","",IFERROR(VLOOKUP($F10,AcctTbl,2,0),"کد ناشناخته"))</f>
        <v/>
      </c>
      <c r="H10" s="70">
        <f>IF($F10="","",IFERROR(VLOOKUP($F10,AcctTbl,3,0),""))</f>
        <v/>
      </c>
      <c r="I10" s="71" t="n"/>
      <c r="J10" s="71" t="n"/>
      <c r="K10" s="74" t="n">
        <v>150000000</v>
      </c>
      <c r="L10" s="71" t="n"/>
      <c r="M10" s="71" t="n"/>
      <c r="N10" s="71" t="n"/>
      <c r="O10" s="71" t="n"/>
      <c r="P10" s="72" t="inlineStr">
        <is>
          <t>علی‌الحساب خرید</t>
        </is>
      </c>
      <c r="Q10" s="72" t="n"/>
      <c r="R10" s="77">
        <f>IF($D10="","",IF($AA10="⚠","⚠ ناتراز",IF(AND($D10="پرداخت",$E10="چک",$L10=""),"⚠ وضعیت چک","✓")))</f>
        <v/>
      </c>
      <c r="S10" s="76">
        <f>IF(OR($D10="",$K10=""),"",IF(AND($D10="پرداخت",$E10&lt;&gt;"انتقال داخلی",$E10&lt;&gt;"پاس چک",$E10&lt;&gt;"برگشت چک"),$K10,0))</f>
        <v/>
      </c>
      <c r="T10" s="76">
        <f>IF(OR($D10="",$K10=""),"",IF(OR(AND($D10="دریافت",$E10&lt;&gt;"انتقال داخلی"),$E10="برگشت چک"),$K10,0))</f>
        <v/>
      </c>
      <c r="U10" s="76">
        <f>IF(OR($D10="",$K10=""),"",IF(OR(AND($D10="دریافت",$E10&lt;&gt;"چک"),$E10="انتقال داخلی"),$K10,0))</f>
        <v/>
      </c>
      <c r="V10" s="76">
        <f>IF(OR($D10="",$K10=""),"",IF(OR(AND($D10="پرداخت",$E10&lt;&gt;"چک",$E10&lt;&gt;"برگشت چک"),$E10="انتقال داخلی"),$K10,0))</f>
        <v/>
      </c>
      <c r="W10" s="76">
        <f>IF(OR($D10="",$K10=""),"",IF(OR($E10="پاس چک",$E10="برگشت چک",AND($D10="دریافت",$E10="چک")),$K10,0))</f>
        <v/>
      </c>
      <c r="X10" s="76">
        <f>IF(OR($D10="",$K10=""),"",IF(AND($D10="پرداخت",$E10="چک"),$K10,0))</f>
        <v/>
      </c>
      <c r="Y10" s="76">
        <f>SUM($S10,$U10,$W10)</f>
        <v/>
      </c>
      <c r="Z10" s="76">
        <f>SUM($T10,$V10,$X10)</f>
        <v/>
      </c>
      <c r="AA10" s="70">
        <f>IF($D10="","",IF(ROUND($Y10-$Z10,0)=0,"✓","⚠"))</f>
        <v/>
      </c>
      <c r="AB10" s="70">
        <f>IF($D10="","",IF($E10="نقد","X003",IF(OR($E10="چک",$E10="پاس چک",$E10="برگشت چک"),"X010",IF($I10="","X003","X011"))))</f>
        <v/>
      </c>
      <c r="AC10" s="70">
        <f>IF($D10="","",IF($E10="انتقال داخلی",IF($N10="","X003",IFERROR(VLOOKUP($N10,BankTbl,4,0),$N10)),IF($I10="","X003",IFERROR(VLOOKUP($I10,BankTbl,4,0),$I10))))</f>
        <v/>
      </c>
      <c r="AD10" s="70">
        <f>IF($D10="","",IF($E10="پاس چک","X010",IF($E10="برگشت چک",IF($I10="","X003","X011"),IF($E10="انتقال داخلی",IF($I10="","X003","X011"),IF($D10="پرداخت",$F10,IF($E10="چک","X009",IF($I10="","X003","X011")))))))</f>
        <v/>
      </c>
      <c r="AE10" s="76">
        <f>IF($D10="","",IF($K10="",0,$K10))</f>
        <v/>
      </c>
      <c r="AF10" s="70">
        <f>IF($D10="","",IF($E10="پاس چک",IF($I10="","X003","X011"),IF($E10="برگشت چک","X010",IF($E10="انتقال داخلی",IF($N10="","X003","X011"),IF($D10="پرداخت",IF($E10="چک","X010",IF($I10="","X003","X011")),$F10)))))</f>
        <v/>
      </c>
      <c r="AG10" s="76">
        <f>IF($D10="","",IF($K10="",0,$K10))</f>
        <v/>
      </c>
    </row>
    <row r="11" ht="21.75" customHeight="1">
      <c r="A11" s="70">
        <f>IF($B11="","",COUNTA($B$10:$B11))</f>
        <v/>
      </c>
      <c r="B11" s="71" t="inlineStr">
        <is>
          <t>1405/07/06</t>
        </is>
      </c>
      <c r="C11" s="71" t="inlineStr">
        <is>
          <t>RV-001</t>
        </is>
      </c>
      <c r="D11" s="71" t="inlineStr">
        <is>
          <t>دریافت</t>
        </is>
      </c>
      <c r="E11" s="71" t="inlineStr">
        <is>
          <t>انتقال بانکی</t>
        </is>
      </c>
      <c r="F11" s="71" t="inlineStr">
        <is>
          <t>SL001</t>
        </is>
      </c>
      <c r="G11" s="73">
        <f>IF($F11="","",IFERROR(VLOOKUP($F11,AcctTbl,2,0),"کد ناشناخته"))</f>
        <v/>
      </c>
      <c r="H11" s="70">
        <f>IF($F11="","",IFERROR(VLOOKUP($F11,AcctTbl,3,0),""))</f>
        <v/>
      </c>
      <c r="I11" s="71" t="inlineStr">
        <is>
          <t>BN01</t>
        </is>
      </c>
      <c r="J11" s="71" t="n"/>
      <c r="K11" s="74" t="n">
        <v>300000000</v>
      </c>
      <c r="L11" s="71" t="n"/>
      <c r="M11" s="71" t="n"/>
      <c r="N11" s="71" t="n"/>
      <c r="O11" s="71" t="n"/>
      <c r="P11" s="72" t="inlineStr">
        <is>
          <t>تسویه بار</t>
        </is>
      </c>
      <c r="Q11" s="72" t="n"/>
      <c r="R11" s="77">
        <f>IF($D11="","",IF($AA11="⚠","⚠ ناتراز",IF(AND($D11="پرداخت",$E11="چک",$L11=""),"⚠ وضعیت چک","✓")))</f>
        <v/>
      </c>
      <c r="S11" s="76">
        <f>IF(OR($D11="",$K11=""),"",IF(AND($D11="پرداخت",$E11&lt;&gt;"انتقال داخلی",$E11&lt;&gt;"پاس چک",$E11&lt;&gt;"برگشت چک"),$K11,0))</f>
        <v/>
      </c>
      <c r="T11" s="76">
        <f>IF(OR($D11="",$K11=""),"",IF(OR(AND($D11="دریافت",$E11&lt;&gt;"انتقال داخلی"),$E11="برگشت چک"),$K11,0))</f>
        <v/>
      </c>
      <c r="U11" s="76">
        <f>IF(OR($D11="",$K11=""),"",IF(OR(AND($D11="دریافت",$E11&lt;&gt;"چک"),$E11="انتقال داخلی"),$K11,0))</f>
        <v/>
      </c>
      <c r="V11" s="76">
        <f>IF(OR($D11="",$K11=""),"",IF(OR(AND($D11="پرداخت",$E11&lt;&gt;"چک",$E11&lt;&gt;"برگشت چک"),$E11="انتقال داخلی"),$K11,0))</f>
        <v/>
      </c>
      <c r="W11" s="76">
        <f>IF(OR($D11="",$K11=""),"",IF(OR($E11="پاس چک",$E11="برگشت چک",AND($D11="دریافت",$E11="چک")),$K11,0))</f>
        <v/>
      </c>
      <c r="X11" s="76">
        <f>IF(OR($D11="",$K11=""),"",IF(AND($D11="پرداخت",$E11="چک"),$K11,0))</f>
        <v/>
      </c>
      <c r="Y11" s="76">
        <f>SUM($S11,$U11,$W11)</f>
        <v/>
      </c>
      <c r="Z11" s="76">
        <f>SUM($T11,$V11,$X11)</f>
        <v/>
      </c>
      <c r="AA11" s="70">
        <f>IF($D11="","",IF(ROUND($Y11-$Z11,0)=0,"✓","⚠"))</f>
        <v/>
      </c>
      <c r="AB11" s="70">
        <f>IF($D11="","",IF($E11="نقد","X003",IF(OR($E11="چک",$E11="پاس چک",$E11="برگشت چک"),"X010",IF($I11="","X003","X011"))))</f>
        <v/>
      </c>
      <c r="AC11" s="70">
        <f>IF($D11="","",IF($E11="انتقال داخلی",IF($N11="","X003",IFERROR(VLOOKUP($N11,BankTbl,4,0),$N11)),IF($I11="","X003",IFERROR(VLOOKUP($I11,BankTbl,4,0),$I11))))</f>
        <v/>
      </c>
      <c r="AD11" s="70">
        <f>IF($D11="","",IF($E11="پاس چک","X010",IF($E11="برگشت چک",IF($I11="","X003","X011"),IF($E11="انتقال داخلی",IF($I11="","X003","X011"),IF($D11="پرداخت",$F11,IF($E11="چک","X009",IF($I11="","X003","X011")))))))</f>
        <v/>
      </c>
      <c r="AE11" s="76">
        <f>IF($D11="","",IF($K11="",0,$K11))</f>
        <v/>
      </c>
      <c r="AF11" s="70">
        <f>IF($D11="","",IF($E11="پاس چک",IF($I11="","X003","X011"),IF($E11="برگشت چک","X010",IF($E11="انتقال داخلی",IF($N11="","X003","X011"),IF($D11="پرداخت",IF($E11="چک","X010",IF($I11="","X003","X011")),$F11)))))</f>
        <v/>
      </c>
      <c r="AG11" s="76">
        <f>IF($D11="","",IF($K11="",0,$K11))</f>
        <v/>
      </c>
    </row>
    <row r="12" ht="21.75" customHeight="1">
      <c r="A12" s="70">
        <f>IF($B12="","",COUNTA($B$10:$B12))</f>
        <v/>
      </c>
      <c r="B12" s="71" t="inlineStr">
        <is>
          <t>1405/07/07</t>
        </is>
      </c>
      <c r="C12" s="71" t="inlineStr">
        <is>
          <t>PV-002</t>
        </is>
      </c>
      <c r="D12" s="71" t="inlineStr">
        <is>
          <t>پرداخت</t>
        </is>
      </c>
      <c r="E12" s="71" t="inlineStr">
        <is>
          <t>چک</t>
        </is>
      </c>
      <c r="F12" s="71" t="inlineStr">
        <is>
          <t>C002</t>
        </is>
      </c>
      <c r="G12" s="73">
        <f>IF($F12="","",IFERROR(VLOOKUP($F12,AcctTbl,2,0),"کد ناشناخته"))</f>
        <v/>
      </c>
      <c r="H12" s="70">
        <f>IF($F12="","",IFERROR(VLOOKUP($F12,AcctTbl,3,0),""))</f>
        <v/>
      </c>
      <c r="I12" s="71" t="inlineStr">
        <is>
          <t>BN01</t>
        </is>
      </c>
      <c r="J12" s="71" t="inlineStr">
        <is>
          <t>CHQ-1001</t>
        </is>
      </c>
      <c r="K12" s="74" t="n">
        <v>200000000</v>
      </c>
      <c r="L12" s="71" t="inlineStr">
        <is>
          <t>در جریان</t>
        </is>
      </c>
      <c r="M12" s="71" t="n"/>
      <c r="N12" s="71" t="n"/>
      <c r="O12" s="71" t="n"/>
      <c r="P12" s="72" t="inlineStr">
        <is>
          <t>چک ۳۰ روزه</t>
        </is>
      </c>
      <c r="Q12" s="72" t="n"/>
      <c r="R12" s="77">
        <f>IF($D12="","",IF($AA12="⚠","⚠ ناتراز",IF(AND($D12="پرداخت",$E12="چک",$L12=""),"⚠ وضعیت چک","✓")))</f>
        <v/>
      </c>
      <c r="S12" s="76">
        <f>IF(OR($D12="",$K12=""),"",IF(AND($D12="پرداخت",$E12&lt;&gt;"انتقال داخلی",$E12&lt;&gt;"پاس چک",$E12&lt;&gt;"برگشت چک"),$K12,0))</f>
        <v/>
      </c>
      <c r="T12" s="76">
        <f>IF(OR($D12="",$K12=""),"",IF(OR(AND($D12="دریافت",$E12&lt;&gt;"انتقال داخلی"),$E12="برگشت چک"),$K12,0))</f>
        <v/>
      </c>
      <c r="U12" s="76">
        <f>IF(OR($D12="",$K12=""),"",IF(OR(AND($D12="دریافت",$E12&lt;&gt;"چک"),$E12="انتقال داخلی"),$K12,0))</f>
        <v/>
      </c>
      <c r="V12" s="76">
        <f>IF(OR($D12="",$K12=""),"",IF(OR(AND($D12="پرداخت",$E12&lt;&gt;"چک",$E12&lt;&gt;"برگشت چک"),$E12="انتقال داخلی"),$K12,0))</f>
        <v/>
      </c>
      <c r="W12" s="76">
        <f>IF(OR($D12="",$K12=""),"",IF(OR($E12="پاس چک",$E12="برگشت چک",AND($D12="دریافت",$E12="چک")),$K12,0))</f>
        <v/>
      </c>
      <c r="X12" s="76">
        <f>IF(OR($D12="",$K12=""),"",IF(AND($D12="پرداخت",$E12="چک"),$K12,0))</f>
        <v/>
      </c>
      <c r="Y12" s="76">
        <f>SUM($S12,$U12,$W12)</f>
        <v/>
      </c>
      <c r="Z12" s="76">
        <f>SUM($T12,$V12,$X12)</f>
        <v/>
      </c>
      <c r="AA12" s="70">
        <f>IF($D12="","",IF(ROUND($Y12-$Z12,0)=0,"✓","⚠"))</f>
        <v/>
      </c>
      <c r="AB12" s="70">
        <f>IF($D12="","",IF($E12="نقد","X003",IF(OR($E12="چک",$E12="پاس چک",$E12="برگشت چک"),"X010",IF($I12="","X003","X011"))))</f>
        <v/>
      </c>
      <c r="AC12" s="70">
        <f>IF($D12="","",IF($E12="انتقال داخلی",IF($N12="","X003",IFERROR(VLOOKUP($N12,BankTbl,4,0),$N12)),IF($I12="","X003",IFERROR(VLOOKUP($I12,BankTbl,4,0),$I12))))</f>
        <v/>
      </c>
      <c r="AD12" s="70">
        <f>IF($D12="","",IF($E12="پاس چک","X010",IF($E12="برگشت چک",IF($I12="","X003","X011"),IF($E12="انتقال داخلی",IF($I12="","X003","X011"),IF($D12="پرداخت",$F12,IF($E12="چک","X009",IF($I12="","X003","X011")))))))</f>
        <v/>
      </c>
      <c r="AE12" s="76">
        <f>IF($D12="","",IF($K12="",0,$K12))</f>
        <v/>
      </c>
      <c r="AF12" s="70">
        <f>IF($D12="","",IF($E12="پاس چک",IF($I12="","X003","X011"),IF($E12="برگشت چک","X010",IF($E12="انتقال داخلی",IF($N12="","X003","X011"),IF($D12="پرداخت",IF($E12="چک","X010",IF($I12="","X003","X011")),$F12)))))</f>
        <v/>
      </c>
      <c r="AG12" s="76">
        <f>IF($D12="","",IF($K12="",0,$K12))</f>
        <v/>
      </c>
    </row>
    <row r="13" ht="21.75" customHeight="1">
      <c r="A13" s="70">
        <f>IF($B13="","",COUNTA($B$10:$B13))</f>
        <v/>
      </c>
      <c r="B13" s="71" t="inlineStr">
        <is>
          <t>1405/07/08</t>
        </is>
      </c>
      <c r="C13" s="71" t="inlineStr">
        <is>
          <t>PV-003</t>
        </is>
      </c>
      <c r="D13" s="71" t="inlineStr">
        <is>
          <t>پرداخت</t>
        </is>
      </c>
      <c r="E13" s="71" t="inlineStr">
        <is>
          <t>انتقال بانکی</t>
        </is>
      </c>
      <c r="F13" s="71" t="inlineStr">
        <is>
          <t>C003</t>
        </is>
      </c>
      <c r="G13" s="73">
        <f>IF($F13="","",IFERROR(VLOOKUP($F13,AcctTbl,2,0),"کد ناشناخته"))</f>
        <v/>
      </c>
      <c r="H13" s="70">
        <f>IF($F13="","",IFERROR(VLOOKUP($F13,AcctTbl,3,0),""))</f>
        <v/>
      </c>
      <c r="I13" s="71" t="inlineStr">
        <is>
          <t>BN02</t>
        </is>
      </c>
      <c r="J13" s="71" t="n"/>
      <c r="K13" s="74" t="n">
        <v>80000000</v>
      </c>
      <c r="L13" s="71" t="n"/>
      <c r="M13" s="71" t="n"/>
      <c r="N13" s="71" t="n"/>
      <c r="O13" s="71" t="n"/>
      <c r="P13" s="72" t="n"/>
      <c r="Q13" s="72" t="n"/>
      <c r="R13" s="77">
        <f>IF($D13="","",IF($AA13="⚠","⚠ ناتراز",IF(AND($D13="پرداخت",$E13="چک",$L13=""),"⚠ وضعیت چک","✓")))</f>
        <v/>
      </c>
      <c r="S13" s="76">
        <f>IF(OR($D13="",$K13=""),"",IF(AND($D13="پرداخت",$E13&lt;&gt;"انتقال داخلی",$E13&lt;&gt;"پاس چک",$E13&lt;&gt;"برگشت چک"),$K13,0))</f>
        <v/>
      </c>
      <c r="T13" s="76">
        <f>IF(OR($D13="",$K13=""),"",IF(OR(AND($D13="دریافت",$E13&lt;&gt;"انتقال داخلی"),$E13="برگشت چک"),$K13,0))</f>
        <v/>
      </c>
      <c r="U13" s="76">
        <f>IF(OR($D13="",$K13=""),"",IF(OR(AND($D13="دریافت",$E13&lt;&gt;"چک"),$E13="انتقال داخلی"),$K13,0))</f>
        <v/>
      </c>
      <c r="V13" s="76">
        <f>IF(OR($D13="",$K13=""),"",IF(OR(AND($D13="پرداخت",$E13&lt;&gt;"چک",$E13&lt;&gt;"برگشت چک"),$E13="انتقال داخلی"),$K13,0))</f>
        <v/>
      </c>
      <c r="W13" s="76">
        <f>IF(OR($D13="",$K13=""),"",IF(OR($E13="پاس چک",$E13="برگشت چک",AND($D13="دریافت",$E13="چک")),$K13,0))</f>
        <v/>
      </c>
      <c r="X13" s="76">
        <f>IF(OR($D13="",$K13=""),"",IF(AND($D13="پرداخت",$E13="چک"),$K13,0))</f>
        <v/>
      </c>
      <c r="Y13" s="76">
        <f>SUM($S13,$U13,$W13)</f>
        <v/>
      </c>
      <c r="Z13" s="76">
        <f>SUM($T13,$V13,$X13)</f>
        <v/>
      </c>
      <c r="AA13" s="70">
        <f>IF($D13="","",IF(ROUND($Y13-$Z13,0)=0,"✓","⚠"))</f>
        <v/>
      </c>
      <c r="AB13" s="70">
        <f>IF($D13="","",IF($E13="نقد","X003",IF(OR($E13="چک",$E13="پاس چک",$E13="برگشت چک"),"X010",IF($I13="","X003","X011"))))</f>
        <v/>
      </c>
      <c r="AC13" s="70">
        <f>IF($D13="","",IF($E13="انتقال داخلی",IF($N13="","X003",IFERROR(VLOOKUP($N13,BankTbl,4,0),$N13)),IF($I13="","X003",IFERROR(VLOOKUP($I13,BankTbl,4,0),$I13))))</f>
        <v/>
      </c>
      <c r="AD13" s="70">
        <f>IF($D13="","",IF($E13="پاس چک","X010",IF($E13="برگشت چک",IF($I13="","X003","X011"),IF($E13="انتقال داخلی",IF($I13="","X003","X011"),IF($D13="پرداخت",$F13,IF($E13="چک","X009",IF($I13="","X003","X011")))))))</f>
        <v/>
      </c>
      <c r="AE13" s="76">
        <f>IF($D13="","",IF($K13="",0,$K13))</f>
        <v/>
      </c>
      <c r="AF13" s="70">
        <f>IF($D13="","",IF($E13="پاس چک",IF($I13="","X003","X011"),IF($E13="برگشت چک","X010",IF($E13="انتقال داخلی",IF($N13="","X003","X011"),IF($D13="پرداخت",IF($E13="چک","X010",IF($I13="","X003","X011")),$F13)))))</f>
        <v/>
      </c>
      <c r="AG13" s="76">
        <f>IF($D13="","",IF($K13="",0,$K13))</f>
        <v/>
      </c>
    </row>
    <row r="14" ht="21.75" customHeight="1">
      <c r="A14" s="70">
        <f>IF($B14="","",COUNTA($B$10:$B14))</f>
        <v/>
      </c>
      <c r="B14" s="71" t="inlineStr">
        <is>
          <t>1405/07/09</t>
        </is>
      </c>
      <c r="C14" s="71" t="inlineStr">
        <is>
          <t>RV-002</t>
        </is>
      </c>
      <c r="D14" s="71" t="inlineStr">
        <is>
          <t>دریافت</t>
        </is>
      </c>
      <c r="E14" s="71" t="inlineStr">
        <is>
          <t>کارت/پوز</t>
        </is>
      </c>
      <c r="F14" s="71" t="inlineStr">
        <is>
          <t>SL002</t>
        </is>
      </c>
      <c r="G14" s="73">
        <f>IF($F14="","",IFERROR(VLOOKUP($F14,AcctTbl,2,0),"کد ناشناخته"))</f>
        <v/>
      </c>
      <c r="H14" s="70">
        <f>IF($F14="","",IFERROR(VLOOKUP($F14,AcctTbl,3,0),""))</f>
        <v/>
      </c>
      <c r="I14" s="71" t="inlineStr">
        <is>
          <t>BN02</t>
        </is>
      </c>
      <c r="J14" s="71" t="n"/>
      <c r="K14" s="74" t="n">
        <v>120000000</v>
      </c>
      <c r="L14" s="71" t="n"/>
      <c r="M14" s="71" t="n"/>
      <c r="N14" s="71" t="n"/>
      <c r="O14" s="71" t="n"/>
      <c r="P14" s="72" t="n"/>
      <c r="Q14" s="72" t="n"/>
      <c r="R14" s="77">
        <f>IF($D14="","",IF($AA14="⚠","⚠ ناتراز",IF(AND($D14="پرداخت",$E14="چک",$L14=""),"⚠ وضعیت چک","✓")))</f>
        <v/>
      </c>
      <c r="S14" s="76">
        <f>IF(OR($D14="",$K14=""),"",IF(AND($D14="پرداخت",$E14&lt;&gt;"انتقال داخلی",$E14&lt;&gt;"پاس چک",$E14&lt;&gt;"برگشت چک"),$K14,0))</f>
        <v/>
      </c>
      <c r="T14" s="76">
        <f>IF(OR($D14="",$K14=""),"",IF(OR(AND($D14="دریافت",$E14&lt;&gt;"انتقال داخلی"),$E14="برگشت چک"),$K14,0))</f>
        <v/>
      </c>
      <c r="U14" s="76">
        <f>IF(OR($D14="",$K14=""),"",IF(OR(AND($D14="دریافت",$E14&lt;&gt;"چک"),$E14="انتقال داخلی"),$K14,0))</f>
        <v/>
      </c>
      <c r="V14" s="76">
        <f>IF(OR($D14="",$K14=""),"",IF(OR(AND($D14="پرداخت",$E14&lt;&gt;"چک",$E14&lt;&gt;"برگشت چک"),$E14="انتقال داخلی"),$K14,0))</f>
        <v/>
      </c>
      <c r="W14" s="76">
        <f>IF(OR($D14="",$K14=""),"",IF(OR($E14="پاس چک",$E14="برگشت چک",AND($D14="دریافت",$E14="چک")),$K14,0))</f>
        <v/>
      </c>
      <c r="X14" s="76">
        <f>IF(OR($D14="",$K14=""),"",IF(AND($D14="پرداخت",$E14="چک"),$K14,0))</f>
        <v/>
      </c>
      <c r="Y14" s="76">
        <f>SUM($S14,$U14,$W14)</f>
        <v/>
      </c>
      <c r="Z14" s="76">
        <f>SUM($T14,$V14,$X14)</f>
        <v/>
      </c>
      <c r="AA14" s="70">
        <f>IF($D14="","",IF(ROUND($Y14-$Z14,0)=0,"✓","⚠"))</f>
        <v/>
      </c>
      <c r="AB14" s="70">
        <f>IF($D14="","",IF($E14="نقد","X003",IF(OR($E14="چک",$E14="پاس چک",$E14="برگشت چک"),"X010",IF($I14="","X003","X011"))))</f>
        <v/>
      </c>
      <c r="AC14" s="70">
        <f>IF($D14="","",IF($E14="انتقال داخلی",IF($N14="","X003",IFERROR(VLOOKUP($N14,BankTbl,4,0),$N14)),IF($I14="","X003",IFERROR(VLOOKUP($I14,BankTbl,4,0),$I14))))</f>
        <v/>
      </c>
      <c r="AD14" s="70">
        <f>IF($D14="","",IF($E14="پاس چک","X010",IF($E14="برگشت چک",IF($I14="","X003","X011"),IF($E14="انتقال داخلی",IF($I14="","X003","X011"),IF($D14="پرداخت",$F14,IF($E14="چک","X009",IF($I14="","X003","X011")))))))</f>
        <v/>
      </c>
      <c r="AE14" s="76">
        <f>IF($D14="","",IF($K14="",0,$K14))</f>
        <v/>
      </c>
      <c r="AF14" s="70">
        <f>IF($D14="","",IF($E14="پاس چک",IF($I14="","X003","X011"),IF($E14="برگشت چک","X010",IF($E14="انتقال داخلی",IF($N14="","X003","X011"),IF($D14="پرداخت",IF($E14="چک","X010",IF($I14="","X003","X011")),$F14)))))</f>
        <v/>
      </c>
      <c r="AG14" s="76">
        <f>IF($D14="","",IF($K14="",0,$K14))</f>
        <v/>
      </c>
    </row>
    <row r="15" ht="21.75" customHeight="1">
      <c r="A15" s="70">
        <f>IF($B15="","",COUNTA($B$10:$B15))</f>
        <v/>
      </c>
      <c r="B15" s="71" t="inlineStr">
        <is>
          <t>1405/07/10</t>
        </is>
      </c>
      <c r="C15" s="71" t="inlineStr">
        <is>
          <t>PV-004</t>
        </is>
      </c>
      <c r="D15" s="71" t="inlineStr">
        <is>
          <t>پرداخت</t>
        </is>
      </c>
      <c r="E15" s="71" t="inlineStr">
        <is>
          <t>پاس چک</t>
        </is>
      </c>
      <c r="F15" s="71" t="inlineStr">
        <is>
          <t>X010</t>
        </is>
      </c>
      <c r="G15" s="73">
        <f>IF($F15="","",IFERROR(VLOOKUP($F15,AcctTbl,2,0),"کد ناشناخته"))</f>
        <v/>
      </c>
      <c r="H15" s="70">
        <f>IF($F15="","",IFERROR(VLOOKUP($F15,AcctTbl,3,0),""))</f>
        <v/>
      </c>
      <c r="I15" s="71" t="inlineStr">
        <is>
          <t>BN01</t>
        </is>
      </c>
      <c r="J15" s="71" t="inlineStr">
        <is>
          <t>CHQ-1001</t>
        </is>
      </c>
      <c r="K15" s="74" t="n">
        <v>200000000</v>
      </c>
      <c r="L15" s="71" t="inlineStr">
        <is>
          <t>پاس شده</t>
        </is>
      </c>
      <c r="M15" s="71" t="n"/>
      <c r="N15" s="71" t="n"/>
      <c r="O15" s="71" t="n"/>
      <c r="P15" s="72" t="inlineStr">
        <is>
          <t>پاس شدن چک</t>
        </is>
      </c>
      <c r="Q15" s="72" t="n"/>
      <c r="R15" s="77">
        <f>IF($D15="","",IF($AA15="⚠","⚠ ناتراز",IF(AND($D15="پرداخت",$E15="چک",$L15=""),"⚠ وضعیت چک","✓")))</f>
        <v/>
      </c>
      <c r="S15" s="76">
        <f>IF(OR($D15="",$K15=""),"",IF(AND($D15="پرداخت",$E15&lt;&gt;"انتقال داخلی",$E15&lt;&gt;"پاس چک",$E15&lt;&gt;"برگشت چک"),$K15,0))</f>
        <v/>
      </c>
      <c r="T15" s="76">
        <f>IF(OR($D15="",$K15=""),"",IF(OR(AND($D15="دریافت",$E15&lt;&gt;"انتقال داخلی"),$E15="برگشت چک"),$K15,0))</f>
        <v/>
      </c>
      <c r="U15" s="76">
        <f>IF(OR($D15="",$K15=""),"",IF(OR(AND($D15="دریافت",$E15&lt;&gt;"چک"),$E15="انتقال داخلی"),$K15,0))</f>
        <v/>
      </c>
      <c r="V15" s="76">
        <f>IF(OR($D15="",$K15=""),"",IF(OR(AND($D15="پرداخت",$E15&lt;&gt;"چک",$E15&lt;&gt;"برگشت چک"),$E15="انتقال داخلی"),$K15,0))</f>
        <v/>
      </c>
      <c r="W15" s="76">
        <f>IF(OR($D15="",$K15=""),"",IF(OR($E15="پاس چک",$E15="برگشت چک",AND($D15="دریافت",$E15="چک")),$K15,0))</f>
        <v/>
      </c>
      <c r="X15" s="76">
        <f>IF(OR($D15="",$K15=""),"",IF(AND($D15="پرداخت",$E15="چک"),$K15,0))</f>
        <v/>
      </c>
      <c r="Y15" s="76">
        <f>SUM($S15,$U15,$W15)</f>
        <v/>
      </c>
      <c r="Z15" s="76">
        <f>SUM($T15,$V15,$X15)</f>
        <v/>
      </c>
      <c r="AA15" s="70">
        <f>IF($D15="","",IF(ROUND($Y15-$Z15,0)=0,"✓","⚠"))</f>
        <v/>
      </c>
      <c r="AB15" s="70">
        <f>IF($D15="","",IF($E15="نقد","X003",IF(OR($E15="چک",$E15="پاس چک",$E15="برگشت چک"),"X010",IF($I15="","X003","X011"))))</f>
        <v/>
      </c>
      <c r="AC15" s="70">
        <f>IF($D15="","",IF($E15="انتقال داخلی",IF($N15="","X003",IFERROR(VLOOKUP($N15,BankTbl,4,0),$N15)),IF($I15="","X003",IFERROR(VLOOKUP($I15,BankTbl,4,0),$I15))))</f>
        <v/>
      </c>
      <c r="AD15" s="70">
        <f>IF($D15="","",IF($E15="پاس چک","X010",IF($E15="برگشت چک",IF($I15="","X003","X011"),IF($E15="انتقال داخلی",IF($I15="","X003","X011"),IF($D15="پرداخت",$F15,IF($E15="چک","X009",IF($I15="","X003","X011")))))))</f>
        <v/>
      </c>
      <c r="AE15" s="76">
        <f>IF($D15="","",IF($K15="",0,$K15))</f>
        <v/>
      </c>
      <c r="AF15" s="70">
        <f>IF($D15="","",IF($E15="پاس چک",IF($I15="","X003","X011"),IF($E15="برگشت چک","X010",IF($E15="انتقال داخلی",IF($N15="","X003","X011"),IF($D15="پرداخت",IF($E15="چک","X010",IF($I15="","X003","X011")),$F15)))))</f>
        <v/>
      </c>
      <c r="AG15" s="76">
        <f>IF($D15="","",IF($K15="",0,$K15))</f>
        <v/>
      </c>
    </row>
    <row r="16" ht="21.75" customHeight="1">
      <c r="A16" s="70">
        <f>IF($B16="","",COUNTA($B$10:$B16))</f>
        <v/>
      </c>
      <c r="B16" s="71" t="inlineStr">
        <is>
          <t>1405/07/10</t>
        </is>
      </c>
      <c r="C16" s="71" t="inlineStr">
        <is>
          <t>PV-005</t>
        </is>
      </c>
      <c r="D16" s="71" t="inlineStr">
        <is>
          <t>پرداخت</t>
        </is>
      </c>
      <c r="E16" s="71" t="inlineStr">
        <is>
          <t>نقد</t>
        </is>
      </c>
      <c r="F16" s="71" t="inlineStr">
        <is>
          <t>C006</t>
        </is>
      </c>
      <c r="G16" s="73">
        <f>IF($F16="","",IFERROR(VLOOKUP($F16,AcctTbl,2,0),"کد ناشناخته"))</f>
        <v/>
      </c>
      <c r="H16" s="70">
        <f>IF($F16="","",IFERROR(VLOOKUP($F16,AcctTbl,3,0),""))</f>
        <v/>
      </c>
      <c r="I16" s="71" t="n"/>
      <c r="J16" s="71" t="n"/>
      <c r="K16" s="74" t="n">
        <v>30000000</v>
      </c>
      <c r="L16" s="71" t="n"/>
      <c r="M16" s="71" t="n"/>
      <c r="N16" s="71" t="n"/>
      <c r="O16" s="71" t="n"/>
      <c r="P16" s="72" t="n"/>
      <c r="Q16" s="72" t="n"/>
      <c r="R16" s="77">
        <f>IF($D16="","",IF($AA16="⚠","⚠ ناتراز",IF(AND($D16="پرداخت",$E16="چک",$L16=""),"⚠ وضعیت چک","✓")))</f>
        <v/>
      </c>
      <c r="S16" s="76">
        <f>IF(OR($D16="",$K16=""),"",IF(AND($D16="پرداخت",$E16&lt;&gt;"انتقال داخلی",$E16&lt;&gt;"پاس چک",$E16&lt;&gt;"برگشت چک"),$K16,0))</f>
        <v/>
      </c>
      <c r="T16" s="76">
        <f>IF(OR($D16="",$K16=""),"",IF(OR(AND($D16="دریافت",$E16&lt;&gt;"انتقال داخلی"),$E16="برگشت چک"),$K16,0))</f>
        <v/>
      </c>
      <c r="U16" s="76">
        <f>IF(OR($D16="",$K16=""),"",IF(OR(AND($D16="دریافت",$E16&lt;&gt;"چک"),$E16="انتقال داخلی"),$K16,0))</f>
        <v/>
      </c>
      <c r="V16" s="76">
        <f>IF(OR($D16="",$K16=""),"",IF(OR(AND($D16="پرداخت",$E16&lt;&gt;"چک",$E16&lt;&gt;"برگشت چک"),$E16="انتقال داخلی"),$K16,0))</f>
        <v/>
      </c>
      <c r="W16" s="76">
        <f>IF(OR($D16="",$K16=""),"",IF(OR($E16="پاس چک",$E16="برگشت چک",AND($D16="دریافت",$E16="چک")),$K16,0))</f>
        <v/>
      </c>
      <c r="X16" s="76">
        <f>IF(OR($D16="",$K16=""),"",IF(AND($D16="پرداخت",$E16="چک"),$K16,0))</f>
        <v/>
      </c>
      <c r="Y16" s="76">
        <f>SUM($S16,$U16,$W16)</f>
        <v/>
      </c>
      <c r="Z16" s="76">
        <f>SUM($T16,$V16,$X16)</f>
        <v/>
      </c>
      <c r="AA16" s="70">
        <f>IF($D16="","",IF(ROUND($Y16-$Z16,0)=0,"✓","⚠"))</f>
        <v/>
      </c>
      <c r="AB16" s="70">
        <f>IF($D16="","",IF($E16="نقد","X003",IF(OR($E16="چک",$E16="پاس چک",$E16="برگشت چک"),"X010",IF($I16="","X003","X011"))))</f>
        <v/>
      </c>
      <c r="AC16" s="70">
        <f>IF($D16="","",IF($E16="انتقال داخلی",IF($N16="","X003",IFERROR(VLOOKUP($N16,BankTbl,4,0),$N16)),IF($I16="","X003",IFERROR(VLOOKUP($I16,BankTbl,4,0),$I16))))</f>
        <v/>
      </c>
      <c r="AD16" s="70">
        <f>IF($D16="","",IF($E16="پاس چک","X010",IF($E16="برگشت چک",IF($I16="","X003","X011"),IF($E16="انتقال داخلی",IF($I16="","X003","X011"),IF($D16="پرداخت",$F16,IF($E16="چک","X009",IF($I16="","X003","X011")))))))</f>
        <v/>
      </c>
      <c r="AE16" s="76">
        <f>IF($D16="","",IF($K16="",0,$K16))</f>
        <v/>
      </c>
      <c r="AF16" s="70">
        <f>IF($D16="","",IF($E16="پاس چک",IF($I16="","X003","X011"),IF($E16="برگشت چک","X010",IF($E16="انتقال داخلی",IF($N16="","X003","X011"),IF($D16="پرداخت",IF($E16="چک","X010",IF($I16="","X003","X011")),$F16)))))</f>
        <v/>
      </c>
      <c r="AG16" s="76">
        <f>IF($D16="","",IF($K16="",0,$K16))</f>
        <v/>
      </c>
    </row>
    <row r="17" ht="21.75" customHeight="1">
      <c r="A17" s="70">
        <f>IF($B17="","",COUNTA($B$10:$B17))</f>
        <v/>
      </c>
      <c r="B17" s="71" t="inlineStr">
        <is>
          <t>1405/07/11</t>
        </is>
      </c>
      <c r="C17" s="71" t="inlineStr">
        <is>
          <t>RV-003</t>
        </is>
      </c>
      <c r="D17" s="71" t="inlineStr">
        <is>
          <t>دریافت</t>
        </is>
      </c>
      <c r="E17" s="71" t="inlineStr">
        <is>
          <t>انتقال بانکی</t>
        </is>
      </c>
      <c r="F17" s="71" t="inlineStr">
        <is>
          <t>SL001</t>
        </is>
      </c>
      <c r="G17" s="73">
        <f>IF($F17="","",IFERROR(VLOOKUP($F17,AcctTbl,2,0),"کد ناشناخته"))</f>
        <v/>
      </c>
      <c r="H17" s="70">
        <f>IF($F17="","",IFERROR(VLOOKUP($F17,AcctTbl,3,0),""))</f>
        <v/>
      </c>
      <c r="I17" s="71" t="inlineStr">
        <is>
          <t>BN02</t>
        </is>
      </c>
      <c r="J17" s="71" t="n"/>
      <c r="K17" s="74" t="n">
        <v>100000000</v>
      </c>
      <c r="L17" s="71" t="n"/>
      <c r="M17" s="71" t="n"/>
      <c r="N17" s="71" t="n"/>
      <c r="O17" s="71" t="n"/>
      <c r="P17" s="72" t="n"/>
      <c r="Q17" s="72" t="n"/>
      <c r="R17" s="77">
        <f>IF($D17="","",IF($AA17="⚠","⚠ ناتراز",IF(AND($D17="پرداخت",$E17="چک",$L17=""),"⚠ وضعیت چک","✓")))</f>
        <v/>
      </c>
      <c r="S17" s="76">
        <f>IF(OR($D17="",$K17=""),"",IF(AND($D17="پرداخت",$E17&lt;&gt;"انتقال داخلی",$E17&lt;&gt;"پاس چک",$E17&lt;&gt;"برگشت چک"),$K17,0))</f>
        <v/>
      </c>
      <c r="T17" s="76">
        <f>IF(OR($D17="",$K17=""),"",IF(OR(AND($D17="دریافت",$E17&lt;&gt;"انتقال داخلی"),$E17="برگشت چک"),$K17,0))</f>
        <v/>
      </c>
      <c r="U17" s="76">
        <f>IF(OR($D17="",$K17=""),"",IF(OR(AND($D17="دریافت",$E17&lt;&gt;"چک"),$E17="انتقال داخلی"),$K17,0))</f>
        <v/>
      </c>
      <c r="V17" s="76">
        <f>IF(OR($D17="",$K17=""),"",IF(OR(AND($D17="پرداخت",$E17&lt;&gt;"چک",$E17&lt;&gt;"برگشت چک"),$E17="انتقال داخلی"),$K17,0))</f>
        <v/>
      </c>
      <c r="W17" s="76">
        <f>IF(OR($D17="",$K17=""),"",IF(OR($E17="پاس چک",$E17="برگشت چک",AND($D17="دریافت",$E17="چک")),$K17,0))</f>
        <v/>
      </c>
      <c r="X17" s="76">
        <f>IF(OR($D17="",$K17=""),"",IF(AND($D17="پرداخت",$E17="چک"),$K17,0))</f>
        <v/>
      </c>
      <c r="Y17" s="76">
        <f>SUM($S17,$U17,$W17)</f>
        <v/>
      </c>
      <c r="Z17" s="76">
        <f>SUM($T17,$V17,$X17)</f>
        <v/>
      </c>
      <c r="AA17" s="70">
        <f>IF($D17="","",IF(ROUND($Y17-$Z17,0)=0,"✓","⚠"))</f>
        <v/>
      </c>
      <c r="AB17" s="70">
        <f>IF($D17="","",IF($E17="نقد","X003",IF(OR($E17="چک",$E17="پاس چک",$E17="برگشت چک"),"X010",IF($I17="","X003","X011"))))</f>
        <v/>
      </c>
      <c r="AC17" s="70">
        <f>IF($D17="","",IF($E17="انتقال داخلی",IF($N17="","X003",IFERROR(VLOOKUP($N17,BankTbl,4,0),$N17)),IF($I17="","X003",IFERROR(VLOOKUP($I17,BankTbl,4,0),$I17))))</f>
        <v/>
      </c>
      <c r="AD17" s="70">
        <f>IF($D17="","",IF($E17="پاس چک","X010",IF($E17="برگشت چک",IF($I17="","X003","X011"),IF($E17="انتقال داخلی",IF($I17="","X003","X011"),IF($D17="پرداخت",$F17,IF($E17="چک","X009",IF($I17="","X003","X011")))))))</f>
        <v/>
      </c>
      <c r="AE17" s="76">
        <f>IF($D17="","",IF($K17="",0,$K17))</f>
        <v/>
      </c>
      <c r="AF17" s="70">
        <f>IF($D17="","",IF($E17="پاس چک",IF($I17="","X003","X011"),IF($E17="برگشت چک","X010",IF($E17="انتقال داخلی",IF($N17="","X003","X011"),IF($D17="پرداخت",IF($E17="چک","X010",IF($I17="","X003","X011")),$F17)))))</f>
        <v/>
      </c>
      <c r="AG17" s="76">
        <f>IF($D17="","",IF($K17="",0,$K17))</f>
        <v/>
      </c>
    </row>
    <row r="18" ht="21.75" customHeight="1">
      <c r="A18" s="70">
        <f>IF($B18="","",COUNTA($B$10:$B18))</f>
        <v/>
      </c>
      <c r="B18" s="71" t="inlineStr">
        <is>
          <t>1405/07/11</t>
        </is>
      </c>
      <c r="C18" s="71" t="inlineStr">
        <is>
          <t>PV-006</t>
        </is>
      </c>
      <c r="D18" s="71" t="inlineStr">
        <is>
          <t>پرداخت</t>
        </is>
      </c>
      <c r="E18" s="71" t="inlineStr">
        <is>
          <t>نقد</t>
        </is>
      </c>
      <c r="F18" s="71" t="inlineStr">
        <is>
          <t>X001</t>
        </is>
      </c>
      <c r="G18" s="73">
        <f>IF($F18="","",IFERROR(VLOOKUP($F18,AcctTbl,2,0),"کد ناشناخته"))</f>
        <v/>
      </c>
      <c r="H18" s="70">
        <f>IF($F18="","",IFERROR(VLOOKUP($F18,AcctTbl,3,0),""))</f>
        <v/>
      </c>
      <c r="I18" s="71" t="n"/>
      <c r="J18" s="71" t="n"/>
      <c r="K18" s="74" t="n">
        <v>500000</v>
      </c>
      <c r="L18" s="71" t="n"/>
      <c r="M18" s="71" t="n"/>
      <c r="N18" s="71" t="n"/>
      <c r="O18" s="71" t="n"/>
      <c r="P18" s="72" t="inlineStr">
        <is>
          <t>تسویه انعام مصطفی</t>
        </is>
      </c>
      <c r="Q18" s="72" t="n"/>
      <c r="R18" s="77">
        <f>IF($D18="","",IF($AA18="⚠","⚠ ناتراز",IF(AND($D18="پرداخت",$E18="چک",$L18=""),"⚠ وضعیت چک","✓")))</f>
        <v/>
      </c>
      <c r="S18" s="76">
        <f>IF(OR($D18="",$K18=""),"",IF(AND($D18="پرداخت",$E18&lt;&gt;"انتقال داخلی",$E18&lt;&gt;"پاس چک",$E18&lt;&gt;"برگشت چک"),$K18,0))</f>
        <v/>
      </c>
      <c r="T18" s="76">
        <f>IF(OR($D18="",$K18=""),"",IF(OR(AND($D18="دریافت",$E18&lt;&gt;"انتقال داخلی"),$E18="برگشت چک"),$K18,0))</f>
        <v/>
      </c>
      <c r="U18" s="76">
        <f>IF(OR($D18="",$K18=""),"",IF(OR(AND($D18="دریافت",$E18&lt;&gt;"چک"),$E18="انتقال داخلی"),$K18,0))</f>
        <v/>
      </c>
      <c r="V18" s="76">
        <f>IF(OR($D18="",$K18=""),"",IF(OR(AND($D18="پرداخت",$E18&lt;&gt;"چک",$E18&lt;&gt;"برگشت چک"),$E18="انتقال داخلی"),$K18,0))</f>
        <v/>
      </c>
      <c r="W18" s="76">
        <f>IF(OR($D18="",$K18=""),"",IF(OR($E18="پاس چک",$E18="برگشت چک",AND($D18="دریافت",$E18="چک")),$K18,0))</f>
        <v/>
      </c>
      <c r="X18" s="76">
        <f>IF(OR($D18="",$K18=""),"",IF(AND($D18="پرداخت",$E18="چک"),$K18,0))</f>
        <v/>
      </c>
      <c r="Y18" s="76">
        <f>SUM($S18,$U18,$W18)</f>
        <v/>
      </c>
      <c r="Z18" s="76">
        <f>SUM($T18,$V18,$X18)</f>
        <v/>
      </c>
      <c r="AA18" s="70">
        <f>IF($D18="","",IF(ROUND($Y18-$Z18,0)=0,"✓","⚠"))</f>
        <v/>
      </c>
      <c r="AB18" s="70">
        <f>IF($D18="","",IF($E18="نقد","X003",IF(OR($E18="چک",$E18="پاس چک",$E18="برگشت چک"),"X010",IF($I18="","X003","X011"))))</f>
        <v/>
      </c>
      <c r="AC18" s="70">
        <f>IF($D18="","",IF($E18="انتقال داخلی",IF($N18="","X003",IFERROR(VLOOKUP($N18,BankTbl,4,0),$N18)),IF($I18="","X003",IFERROR(VLOOKUP($I18,BankTbl,4,0),$I18))))</f>
        <v/>
      </c>
      <c r="AD18" s="70">
        <f>IF($D18="","",IF($E18="پاس چک","X010",IF($E18="برگشت چک",IF($I18="","X003","X011"),IF($E18="انتقال داخلی",IF($I18="","X003","X011"),IF($D18="پرداخت",$F18,IF($E18="چک","X009",IF($I18="","X003","X011")))))))</f>
        <v/>
      </c>
      <c r="AE18" s="76">
        <f>IF($D18="","",IF($K18="",0,$K18))</f>
        <v/>
      </c>
      <c r="AF18" s="70">
        <f>IF($D18="","",IF($E18="پاس چک",IF($I18="","X003","X011"),IF($E18="برگشت چک","X010",IF($E18="انتقال داخلی",IF($N18="","X003","X011"),IF($D18="پرداخت",IF($E18="چک","X010",IF($I18="","X003","X011")),$F18)))))</f>
        <v/>
      </c>
      <c r="AG18" s="76">
        <f>IF($D18="","",IF($K18="",0,$K18))</f>
        <v/>
      </c>
    </row>
    <row r="19" ht="21.75" customHeight="1">
      <c r="A19" s="70">
        <f>IF($B19="","",COUNTA($B$10:$B19))</f>
        <v/>
      </c>
      <c r="B19" s="71" t="inlineStr">
        <is>
          <t>1405/07/12</t>
        </is>
      </c>
      <c r="C19" s="71" t="inlineStr">
        <is>
          <t>PV-007</t>
        </is>
      </c>
      <c r="D19" s="71" t="inlineStr">
        <is>
          <t>پرداخت</t>
        </is>
      </c>
      <c r="E19" s="71" t="inlineStr">
        <is>
          <t>انتقال داخلی</t>
        </is>
      </c>
      <c r="F19" s="71" t="inlineStr">
        <is>
          <t>BN02</t>
        </is>
      </c>
      <c r="G19" s="73">
        <f>IF($F19="","",IFERROR(VLOOKUP($F19,AcctTbl,2,0),"کد ناشناخته"))</f>
        <v/>
      </c>
      <c r="H19" s="70">
        <f>IF($F19="","",IFERROR(VLOOKUP($F19,AcctTbl,3,0),""))</f>
        <v/>
      </c>
      <c r="I19" s="71" t="inlineStr">
        <is>
          <t>BN01</t>
        </is>
      </c>
      <c r="J19" s="71" t="n"/>
      <c r="K19" s="74" t="n">
        <v>50000000</v>
      </c>
      <c r="L19" s="71" t="n"/>
      <c r="M19" s="71" t="n"/>
      <c r="N19" s="71" t="n"/>
      <c r="O19" s="71" t="n"/>
      <c r="P19" s="72" t="inlineStr">
        <is>
          <t>انتقال بین بانکی</t>
        </is>
      </c>
      <c r="Q19" s="72" t="n"/>
      <c r="R19" s="77">
        <f>IF($D19="","",IF($AA19="⚠","⚠ ناتراز",IF(AND($D19="پرداخت",$E19="چک",$L19=""),"⚠ وضعیت چک","✓")))</f>
        <v/>
      </c>
      <c r="S19" s="76">
        <f>IF(OR($D19="",$K19=""),"",IF(AND($D19="پرداخت",$E19&lt;&gt;"انتقال داخلی",$E19&lt;&gt;"پاس چک",$E19&lt;&gt;"برگشت چک"),$K19,0))</f>
        <v/>
      </c>
      <c r="T19" s="76">
        <f>IF(OR($D19="",$K19=""),"",IF(OR(AND($D19="دریافت",$E19&lt;&gt;"انتقال داخلی"),$E19="برگشت چک"),$K19,0))</f>
        <v/>
      </c>
      <c r="U19" s="76">
        <f>IF(OR($D19="",$K19=""),"",IF(OR(AND($D19="دریافت",$E19&lt;&gt;"چک"),$E19="انتقال داخلی"),$K19,0))</f>
        <v/>
      </c>
      <c r="V19" s="76">
        <f>IF(OR($D19="",$K19=""),"",IF(OR(AND($D19="پرداخت",$E19&lt;&gt;"چک",$E19&lt;&gt;"برگشت چک"),$E19="انتقال داخلی"),$K19,0))</f>
        <v/>
      </c>
      <c r="W19" s="76">
        <f>IF(OR($D19="",$K19=""),"",IF(OR($E19="پاس چک",$E19="برگشت چک",AND($D19="دریافت",$E19="چک")),$K19,0))</f>
        <v/>
      </c>
      <c r="X19" s="76">
        <f>IF(OR($D19="",$K19=""),"",IF(AND($D19="پرداخت",$E19="چک"),$K19,0))</f>
        <v/>
      </c>
      <c r="Y19" s="76">
        <f>SUM($S19,$U19,$W19)</f>
        <v/>
      </c>
      <c r="Z19" s="76">
        <f>SUM($T19,$V19,$X19)</f>
        <v/>
      </c>
      <c r="AA19" s="70">
        <f>IF($D19="","",IF(ROUND($Y19-$Z19,0)=0,"✓","⚠"))</f>
        <v/>
      </c>
      <c r="AB19" s="70">
        <f>IF($D19="","",IF($E19="نقد","X003",IF(OR($E19="چک",$E19="پاس چک",$E19="برگشت چک"),"X010",IF($I19="","X003","X011"))))</f>
        <v/>
      </c>
      <c r="AC19" s="70">
        <f>IF($D19="","",IF($E19="انتقال داخلی",IF($N19="","X003",IFERROR(VLOOKUP($N19,BankTbl,4,0),$N19)),IF($I19="","X003",IFERROR(VLOOKUP($I19,BankTbl,4,0),$I19))))</f>
        <v/>
      </c>
      <c r="AD19" s="70">
        <f>IF($E19="انتقال داخلی","","")</f>
        <v/>
      </c>
      <c r="AE19" s="76">
        <f>IF($D19="","",IF($K19="",0,$K19))</f>
        <v/>
      </c>
      <c r="AF19" s="70">
        <f>IF($E19="انتقال داخلی","","")</f>
        <v/>
      </c>
      <c r="AG19" s="76">
        <f>IF($D19="","",IF($K19="",0,$K19))</f>
        <v/>
      </c>
    </row>
    <row r="20" ht="21.75" customHeight="1">
      <c r="A20" s="70">
        <f>IF($B20="","",COUNTA($B$10:$B20))</f>
        <v/>
      </c>
      <c r="B20" s="71" t="inlineStr">
        <is>
          <t>1405/07/07</t>
        </is>
      </c>
      <c r="C20" s="71" t="inlineStr">
        <is>
          <t>PV-008</t>
        </is>
      </c>
      <c r="D20" s="71" t="inlineStr">
        <is>
          <t>پرداخت</t>
        </is>
      </c>
      <c r="E20" s="71" t="inlineStr">
        <is>
          <t>چک</t>
        </is>
      </c>
      <c r="F20" s="71" t="inlineStr">
        <is>
          <t>C004</t>
        </is>
      </c>
      <c r="G20" s="73">
        <f>IF($F20="","",IFERROR(VLOOKUP($F20,AcctTbl,2,0),"کد ناشناخته"))</f>
        <v/>
      </c>
      <c r="H20" s="70">
        <f>IF($F20="","",IFERROR(VLOOKUP($F20,AcctTbl,3,0),""))</f>
        <v/>
      </c>
      <c r="I20" s="71" t="inlineStr">
        <is>
          <t>BN03</t>
        </is>
      </c>
      <c r="J20" s="71" t="inlineStr">
        <is>
          <t>CHQ-1002</t>
        </is>
      </c>
      <c r="K20" s="74" t="n">
        <v>60000000</v>
      </c>
      <c r="L20" s="71" t="inlineStr">
        <is>
          <t>در جریان</t>
        </is>
      </c>
      <c r="M20" s="71" t="n"/>
      <c r="N20" s="71" t="n"/>
      <c r="O20" s="71" t="n"/>
      <c r="P20" s="72" t="inlineStr">
        <is>
          <t>در جریان</t>
        </is>
      </c>
      <c r="Q20" s="72" t="n"/>
      <c r="R20" s="77">
        <f>IF($D20="","",IF($AA20="⚠","⚠ ناتراز",IF(AND($D20="پرداخت",$E20="چک",$L20=""),"⚠ وضعیت چک","✓")))</f>
        <v/>
      </c>
      <c r="S20" s="76">
        <f>IF(OR($D20="",$K20=""),"",IF(AND($D20="پرداخت",$E20&lt;&gt;"انتقال داخلی",$E20&lt;&gt;"پاس چک",$E20&lt;&gt;"برگشت چک"),$K20,0))</f>
        <v/>
      </c>
      <c r="T20" s="76">
        <f>IF(OR($D20="",$K20=""),"",IF(OR(AND($D20="دریافت",$E20&lt;&gt;"انتقال داخلی"),$E20="برگشت چک"),$K20,0))</f>
        <v/>
      </c>
      <c r="U20" s="76">
        <f>IF(OR($D20="",$K20=""),"",IF(OR(AND($D20="دریافت",$E20&lt;&gt;"چک"),$E20="انتقال داخلی"),$K20,0))</f>
        <v/>
      </c>
      <c r="V20" s="76">
        <f>IF(OR($D20="",$K20=""),"",IF(OR(AND($D20="پرداخت",$E20&lt;&gt;"چک",$E20&lt;&gt;"برگشت چک"),$E20="انتقال داخلی"),$K20,0))</f>
        <v/>
      </c>
      <c r="W20" s="76">
        <f>IF(OR($D20="",$K20=""),"",IF(OR($E20="پاس چک",$E20="برگشت چک",AND($D20="دریافت",$E20="چک")),$K20,0))</f>
        <v/>
      </c>
      <c r="X20" s="76">
        <f>IF(OR($D20="",$K20=""),"",IF(AND($D20="پرداخت",$E20="چک"),$K20,0))</f>
        <v/>
      </c>
      <c r="Y20" s="76">
        <f>SUM($S20,$U20,$W20)</f>
        <v/>
      </c>
      <c r="Z20" s="76">
        <f>SUM($T20,$V20,$X20)</f>
        <v/>
      </c>
      <c r="AA20" s="70">
        <f>IF($D20="","",IF(ROUND($Y20-$Z20,0)=0,"✓","⚠"))</f>
        <v/>
      </c>
      <c r="AB20" s="70">
        <f>IF($D20="","",IF($E20="نقد","X003",IF(OR($E20="چک",$E20="پاس چک",$E20="برگشت چک"),"X010",IF($I20="","X003","X011"))))</f>
        <v/>
      </c>
      <c r="AC20" s="70">
        <f>IF($D20="","",IF($E20="انتقال داخلی",IF($N20="","X003",IFERROR(VLOOKUP($N20,BankTbl,4,0),$N20)),IF($I20="","X003",IFERROR(VLOOKUP($I20,BankTbl,4,0),$I20))))</f>
        <v/>
      </c>
      <c r="AD20" s="70">
        <f>IF($D20="","",IF($E20="پاس چک","X010",IF($E20="برگشت چک",IF($I20="","X003","X011"),IF($E20="انتقال داخلی",IF($I20="","X003","X011"),IF($D20="پرداخت",$F20,IF($E20="چک","X009",IF($I20="","X003","X011")))))))</f>
        <v/>
      </c>
      <c r="AE20" s="76">
        <f>IF($D20="","",IF($K20="",0,$K20))</f>
        <v/>
      </c>
      <c r="AF20" s="70">
        <f>IF($D20="","",IF($E20="پاس چک",IF($I20="","X003","X011"),IF($E20="برگشت چک","X010",IF($E20="انتقال داخلی",IF($N20="","X003","X011"),IF($D20="پرداخت",IF($E20="چک","X010",IF($I20="","X003","X011")),$F20)))))</f>
        <v/>
      </c>
      <c r="AG20" s="76">
        <f>IF($D20="","",IF($K20="",0,$K20))</f>
        <v/>
      </c>
    </row>
    <row r="21" ht="21.75" customHeight="1">
      <c r="A21" s="70">
        <f>IF($B21="","",COUNTA($B$10:$B21))</f>
        <v/>
      </c>
      <c r="B21" s="71" t="inlineStr">
        <is>
          <t>1405/07/12</t>
        </is>
      </c>
      <c r="C21" s="71" t="inlineStr">
        <is>
          <t>RV-004</t>
        </is>
      </c>
      <c r="D21" s="71" t="inlineStr">
        <is>
          <t>دریافت</t>
        </is>
      </c>
      <c r="E21" s="71" t="inlineStr">
        <is>
          <t>انتقال بانکی</t>
        </is>
      </c>
      <c r="F21" s="71" t="inlineStr">
        <is>
          <t>SL002</t>
        </is>
      </c>
      <c r="G21" s="73">
        <f>IF($F21="","",IFERROR(VLOOKUP($F21,AcctTbl,2,0),"کد ناشناخته"))</f>
        <v/>
      </c>
      <c r="H21" s="70">
        <f>IF($F21="","",IFERROR(VLOOKUP($F21,AcctTbl,3,0),""))</f>
        <v/>
      </c>
      <c r="I21" s="71" t="inlineStr">
        <is>
          <t>BN01</t>
        </is>
      </c>
      <c r="J21" s="71" t="n"/>
      <c r="K21" s="74" t="n">
        <v>50000000</v>
      </c>
      <c r="L21" s="71" t="n"/>
      <c r="M21" s="71" t="n"/>
      <c r="N21" s="71" t="n"/>
      <c r="O21" s="71" t="n"/>
      <c r="P21" s="72" t="n"/>
      <c r="Q21" s="72" t="n"/>
      <c r="R21" s="77">
        <f>IF($D21="","",IF($AA21="⚠","⚠ ناتراز",IF(AND($D21="پرداخت",$E21="چک",$L21=""),"⚠ وضعیت چک","✓")))</f>
        <v/>
      </c>
      <c r="S21" s="76">
        <f>IF(OR($D21="",$K21=""),"",IF(AND($D21="پرداخت",$E21&lt;&gt;"انتقال داخلی",$E21&lt;&gt;"پاس چک",$E21&lt;&gt;"برگشت چک"),$K21,0))</f>
        <v/>
      </c>
      <c r="T21" s="76">
        <f>IF(OR($D21="",$K21=""),"",IF(OR(AND($D21="دریافت",$E21&lt;&gt;"انتقال داخلی"),$E21="برگشت چک"),$K21,0))</f>
        <v/>
      </c>
      <c r="U21" s="76">
        <f>IF(OR($D21="",$K21=""),"",IF(OR(AND($D21="دریافت",$E21&lt;&gt;"چک"),$E21="انتقال داخلی"),$K21,0))</f>
        <v/>
      </c>
      <c r="V21" s="76">
        <f>IF(OR($D21="",$K21=""),"",IF(OR(AND($D21="پرداخت",$E21&lt;&gt;"چک",$E21&lt;&gt;"برگشت چک"),$E21="انتقال داخلی"),$K21,0))</f>
        <v/>
      </c>
      <c r="W21" s="76">
        <f>IF(OR($D21="",$K21=""),"",IF(OR($E21="پاس چک",$E21="برگشت چک",AND($D21="دریافت",$E21="چک")),$K21,0))</f>
        <v/>
      </c>
      <c r="X21" s="76">
        <f>IF(OR($D21="",$K21=""),"",IF(AND($D21="پرداخت",$E21="چک"),$K21,0))</f>
        <v/>
      </c>
      <c r="Y21" s="76">
        <f>SUM($S21,$U21,$W21)</f>
        <v/>
      </c>
      <c r="Z21" s="76">
        <f>SUM($T21,$V21,$X21)</f>
        <v/>
      </c>
      <c r="AA21" s="70">
        <f>IF($D21="","",IF(ROUND($Y21-$Z21,0)=0,"✓","⚠"))</f>
        <v/>
      </c>
      <c r="AB21" s="70">
        <f>IF($D21="","",IF($E21="نقد","X003",IF(OR($E21="چک",$E21="پاس چک",$E21="برگشت چک"),"X010",IF($I21="","X003","X011"))))</f>
        <v/>
      </c>
      <c r="AC21" s="70">
        <f>IF($D21="","",IF($E21="انتقال داخلی",IF($N21="","X003",IFERROR(VLOOKUP($N21,BankTbl,4,0),$N21)),IF($I21="","X003",IFERROR(VLOOKUP($I21,BankTbl,4,0),$I21))))</f>
        <v/>
      </c>
      <c r="AD21" s="70">
        <f>IF($D21="","",IF($E21="پاس چک","X010",IF($E21="برگشت چک",IF($I21="","X003","X011"),IF($E21="انتقال داخلی",IF($I21="","X003","X011"),IF($D21="پرداخت",$F21,IF($E21="چک","X009",IF($I21="","X003","X011")))))))</f>
        <v/>
      </c>
      <c r="AE21" s="76">
        <f>IF($D21="","",IF($K21="",0,$K21))</f>
        <v/>
      </c>
      <c r="AF21" s="70">
        <f>IF($D21="","",IF($E21="پاس چک",IF($I21="","X003","X011"),IF($E21="برگشت چک","X010",IF($E21="انتقال داخلی",IF($N21="","X003","X011"),IF($D21="پرداخت",IF($E21="چک","X010",IF($I21="","X003","X011")),$F21)))))</f>
        <v/>
      </c>
      <c r="AG21" s="76">
        <f>IF($D21="","",IF($K21="",0,$K21))</f>
        <v/>
      </c>
    </row>
    <row r="22" ht="21.75" customHeight="1">
      <c r="A22" s="70">
        <f>IF($B22="","",COUNTA($B$10:$B22))</f>
        <v/>
      </c>
      <c r="B22" s="71" t="n"/>
      <c r="C22" s="71" t="n"/>
      <c r="D22" s="71" t="n"/>
      <c r="E22" s="71" t="n"/>
      <c r="F22" s="71" t="n"/>
      <c r="G22" s="73">
        <f>IF($F22="","",IFERROR(VLOOKUP($F22,AcctTbl,2,0),"کد ناشناخته"))</f>
        <v/>
      </c>
      <c r="H22" s="70">
        <f>IF($F22="","",IFERROR(VLOOKUP($F22,AcctTbl,3,0),""))</f>
        <v/>
      </c>
      <c r="I22" s="71" t="n"/>
      <c r="J22" s="71" t="n"/>
      <c r="K22" s="74" t="n"/>
      <c r="L22" s="71" t="n"/>
      <c r="M22" s="71" t="n"/>
      <c r="N22" s="71" t="n"/>
      <c r="O22" s="71" t="n"/>
      <c r="P22" s="72" t="n"/>
      <c r="Q22" s="72" t="n"/>
      <c r="R22" s="77">
        <f>IF($D22="","",IF($AA22="⚠","⚠ ناتراز",IF(AND($D22="پرداخت",$E22="چک",$L22=""),"⚠ وضعیت چک","✓")))</f>
        <v/>
      </c>
      <c r="S22" s="76">
        <f>IF(OR($D22="",$K22=""),"",IF(AND($D22="پرداخت",$E22&lt;&gt;"انتقال داخلی",$E22&lt;&gt;"پاس چک",$E22&lt;&gt;"برگشت چک"),$K22,0))</f>
        <v/>
      </c>
      <c r="T22" s="76">
        <f>IF(OR($D22="",$K22=""),"",IF(OR(AND($D22="دریافت",$E22&lt;&gt;"انتقال داخلی"),$E22="برگشت چک"),$K22,0))</f>
        <v/>
      </c>
      <c r="U22" s="76">
        <f>IF(OR($D22="",$K22=""),"",IF(OR(AND($D22="دریافت",$E22&lt;&gt;"چک"),$E22="انتقال داخلی"),$K22,0))</f>
        <v/>
      </c>
      <c r="V22" s="76">
        <f>IF(OR($D22="",$K22=""),"",IF(OR(AND($D22="پرداخت",$E22&lt;&gt;"چک",$E22&lt;&gt;"برگشت چک"),$E22="انتقال داخلی"),$K22,0))</f>
        <v/>
      </c>
      <c r="W22" s="76">
        <f>IF(OR($D22="",$K22=""),"",IF(OR($E22="پاس چک",$E22="برگشت چک",AND($D22="دریافت",$E22="چک")),$K22,0))</f>
        <v/>
      </c>
      <c r="X22" s="76">
        <f>IF(OR($D22="",$K22=""),"",IF(AND($D22="پرداخت",$E22="چک"),$K22,0))</f>
        <v/>
      </c>
      <c r="Y22" s="76">
        <f>SUM($S22,$U22,$W22)</f>
        <v/>
      </c>
      <c r="Z22" s="76">
        <f>SUM($T22,$V22,$X22)</f>
        <v/>
      </c>
      <c r="AA22" s="70">
        <f>IF($D22="","",IF(ROUND($Y22-$Z22,0)=0,"✓","⚠"))</f>
        <v/>
      </c>
      <c r="AB22" s="70">
        <f>IF($D22="","",IF($E22="نقد","X003",IF(OR($E22="چک",$E22="پاس چک",$E22="برگشت چک"),"X010",IF($I22="","X003","X011"))))</f>
        <v/>
      </c>
      <c r="AC22" s="70">
        <f>IF($D22="","",IF($E22="انتقال داخلی",IF($N22="","X003",IFERROR(VLOOKUP($N22,BankTbl,4,0),$N22)),IF($I22="","X003",IFERROR(VLOOKUP($I22,BankTbl,4,0),$I22))))</f>
        <v/>
      </c>
      <c r="AD22" s="70">
        <f>IF($D22="","",IF($E22="پاس چک","X010",IF($E22="برگشت چک",IF($I22="","X003","X011"),IF($E22="انتقال داخلی",IF($I22="","X003","X011"),IF($D22="پرداخت",$F22,IF($E22="چک","X009",IF($I22="","X003","X011")))))))</f>
        <v/>
      </c>
      <c r="AE22" s="76">
        <f>IF($D22="","",IF($K22="",0,$K22))</f>
        <v/>
      </c>
      <c r="AF22" s="70">
        <f>IF($D22="","",IF($E22="پاس چک",IF($I22="","X003","X011"),IF($E22="برگشت چک","X010",IF($E22="انتقال داخلی",IF($N22="","X003","X011"),IF($D22="پرداخت",IF($E22="چک","X010",IF($I22="","X003","X011")),$F22)))))</f>
        <v/>
      </c>
      <c r="AG22" s="76">
        <f>IF($D22="","",IF($K22="",0,$K22))</f>
        <v/>
      </c>
    </row>
    <row r="23" ht="21.75" customHeight="1">
      <c r="A23" s="70">
        <f>IF($B23="","",COUNTA($B$10:$B23))</f>
        <v/>
      </c>
      <c r="B23" s="71" t="n"/>
      <c r="C23" s="71" t="n"/>
      <c r="D23" s="71" t="n"/>
      <c r="E23" s="71" t="n"/>
      <c r="F23" s="71" t="n"/>
      <c r="G23" s="73">
        <f>IF($F23="","",IFERROR(VLOOKUP($F23,AcctTbl,2,0),"کد ناشناخته"))</f>
        <v/>
      </c>
      <c r="H23" s="70">
        <f>IF($F23="","",IFERROR(VLOOKUP($F23,AcctTbl,3,0),""))</f>
        <v/>
      </c>
      <c r="I23" s="71" t="n"/>
      <c r="J23" s="71" t="n"/>
      <c r="K23" s="74" t="n"/>
      <c r="L23" s="71" t="n"/>
      <c r="M23" s="71" t="n"/>
      <c r="N23" s="71" t="n"/>
      <c r="O23" s="71" t="n"/>
      <c r="P23" s="72" t="n"/>
      <c r="Q23" s="72" t="n"/>
      <c r="R23" s="77">
        <f>IF($D23="","",IF($AA23="⚠","⚠ ناتراز",IF(AND($D23="پرداخت",$E23="چک",$L23=""),"⚠ وضعیت چک","✓")))</f>
        <v/>
      </c>
      <c r="S23" s="76">
        <f>IF(OR($D23="",$K23=""),"",IF(AND($D23="پرداخت",$E23&lt;&gt;"انتقال داخلی",$E23&lt;&gt;"پاس چک",$E23&lt;&gt;"برگشت چک"),$K23,0))</f>
        <v/>
      </c>
      <c r="T23" s="76">
        <f>IF(OR($D23="",$K23=""),"",IF(OR(AND($D23="دریافت",$E23&lt;&gt;"انتقال داخلی"),$E23="برگشت چک"),$K23,0))</f>
        <v/>
      </c>
      <c r="U23" s="76">
        <f>IF(OR($D23="",$K23=""),"",IF(OR(AND($D23="دریافت",$E23&lt;&gt;"چک"),$E23="انتقال داخلی"),$K23,0))</f>
        <v/>
      </c>
      <c r="V23" s="76">
        <f>IF(OR($D23="",$K23=""),"",IF(OR(AND($D23="پرداخت",$E23&lt;&gt;"چک",$E23&lt;&gt;"برگشت چک"),$E23="انتقال داخلی"),$K23,0))</f>
        <v/>
      </c>
      <c r="W23" s="76">
        <f>IF(OR($D23="",$K23=""),"",IF(OR($E23="پاس چک",$E23="برگشت چک",AND($D23="دریافت",$E23="چک")),$K23,0))</f>
        <v/>
      </c>
      <c r="X23" s="76">
        <f>IF(OR($D23="",$K23=""),"",IF(AND($D23="پرداخت",$E23="چک"),$K23,0))</f>
        <v/>
      </c>
      <c r="Y23" s="76">
        <f>SUM($S23,$U23,$W23)</f>
        <v/>
      </c>
      <c r="Z23" s="76">
        <f>SUM($T23,$V23,$X23)</f>
        <v/>
      </c>
      <c r="AA23" s="70">
        <f>IF($D23="","",IF(ROUND($Y23-$Z23,0)=0,"✓","⚠"))</f>
        <v/>
      </c>
      <c r="AB23" s="70">
        <f>IF($D23="","",IF($E23="نقد","X003",IF(OR($E23="چک",$E23="پاس چک",$E23="برگشت چک"),"X010",IF($I23="","X003","X011"))))</f>
        <v/>
      </c>
      <c r="AC23" s="70">
        <f>IF($D23="","",IF($E23="انتقال داخلی",IF($N23="","X003",IFERROR(VLOOKUP($N23,BankTbl,4,0),$N23)),IF($I23="","X003",IFERROR(VLOOKUP($I23,BankTbl,4,0),$I23))))</f>
        <v/>
      </c>
      <c r="AD23" s="70">
        <f>IF($D23="","",IF($E23="پاس چک","X010",IF($E23="برگشت چک",IF($I23="","X003","X011"),IF($E23="انتقال داخلی",IF($I23="","X003","X011"),IF($D23="پرداخت",$F23,IF($E23="چک","X009",IF($I23="","X003","X011")))))))</f>
        <v/>
      </c>
      <c r="AE23" s="76">
        <f>IF($D23="","",IF($K23="",0,$K23))</f>
        <v/>
      </c>
      <c r="AF23" s="70">
        <f>IF($D23="","",IF($E23="پاس چک",IF($I23="","X003","X011"),IF($E23="برگشت چک","X010",IF($E23="انتقال داخلی",IF($N23="","X003","X011"),IF($D23="پرداخت",IF($E23="چک","X010",IF($I23="","X003","X011")),$F23)))))</f>
        <v/>
      </c>
      <c r="AG23" s="76">
        <f>IF($D23="","",IF($K23="",0,$K23))</f>
        <v/>
      </c>
    </row>
    <row r="24" ht="21.75" customHeight="1">
      <c r="A24" s="70">
        <f>IF($B24="","",COUNTA($B$10:$B24))</f>
        <v/>
      </c>
      <c r="B24" s="71" t="n"/>
      <c r="C24" s="71" t="n"/>
      <c r="D24" s="71" t="n"/>
      <c r="E24" s="71" t="n"/>
      <c r="F24" s="71" t="n"/>
      <c r="G24" s="73">
        <f>IF($F24="","",IFERROR(VLOOKUP($F24,AcctTbl,2,0),"کد ناشناخته"))</f>
        <v/>
      </c>
      <c r="H24" s="70">
        <f>IF($F24="","",IFERROR(VLOOKUP($F24,AcctTbl,3,0),""))</f>
        <v/>
      </c>
      <c r="I24" s="71" t="n"/>
      <c r="J24" s="71" t="n"/>
      <c r="K24" s="74" t="n"/>
      <c r="L24" s="71" t="n"/>
      <c r="M24" s="71" t="n"/>
      <c r="N24" s="71" t="n"/>
      <c r="O24" s="71" t="n"/>
      <c r="P24" s="72" t="n"/>
      <c r="Q24" s="72" t="n"/>
      <c r="R24" s="77">
        <f>IF($D24="","",IF($AA24="⚠","⚠ ناتراز",IF(AND($D24="پرداخت",$E24="چک",$L24=""),"⚠ وضعیت چک","✓")))</f>
        <v/>
      </c>
      <c r="S24" s="76">
        <f>IF(OR($D24="",$K24=""),"",IF(AND($D24="پرداخت",$E24&lt;&gt;"انتقال داخلی",$E24&lt;&gt;"پاس چک",$E24&lt;&gt;"برگشت چک"),$K24,0))</f>
        <v/>
      </c>
      <c r="T24" s="76">
        <f>IF(OR($D24="",$K24=""),"",IF(OR(AND($D24="دریافت",$E24&lt;&gt;"انتقال داخلی"),$E24="برگشت چک"),$K24,0))</f>
        <v/>
      </c>
      <c r="U24" s="76">
        <f>IF(OR($D24="",$K24=""),"",IF(OR(AND($D24="دریافت",$E24&lt;&gt;"چک"),$E24="انتقال داخلی"),$K24,0))</f>
        <v/>
      </c>
      <c r="V24" s="76">
        <f>IF(OR($D24="",$K24=""),"",IF(OR(AND($D24="پرداخت",$E24&lt;&gt;"چک",$E24&lt;&gt;"برگشت چک"),$E24="انتقال داخلی"),$K24,0))</f>
        <v/>
      </c>
      <c r="W24" s="76">
        <f>IF(OR($D24="",$K24=""),"",IF(OR($E24="پاس چک",$E24="برگشت چک",AND($D24="دریافت",$E24="چک")),$K24,0))</f>
        <v/>
      </c>
      <c r="X24" s="76">
        <f>IF(OR($D24="",$K24=""),"",IF(AND($D24="پرداخت",$E24="چک"),$K24,0))</f>
        <v/>
      </c>
      <c r="Y24" s="76">
        <f>SUM($S24,$U24,$W24)</f>
        <v/>
      </c>
      <c r="Z24" s="76">
        <f>SUM($T24,$V24,$X24)</f>
        <v/>
      </c>
      <c r="AA24" s="70">
        <f>IF($D24="","",IF(ROUND($Y24-$Z24,0)=0,"✓","⚠"))</f>
        <v/>
      </c>
      <c r="AB24" s="70">
        <f>IF($D24="","",IF($E24="نقد","X003",IF(OR($E24="چک",$E24="پاس چک",$E24="برگشت چک"),"X010",IF($I24="","X003","X011"))))</f>
        <v/>
      </c>
      <c r="AC24" s="70">
        <f>IF($D24="","",IF($E24="انتقال داخلی",IF($N24="","X003",IFERROR(VLOOKUP($N24,BankTbl,4,0),$N24)),IF($I24="","X003",IFERROR(VLOOKUP($I24,BankTbl,4,0),$I24))))</f>
        <v/>
      </c>
      <c r="AD24" s="70">
        <f>IF($D24="","",IF($E24="پاس چک","X010",IF($E24="برگشت چک",IF($I24="","X003","X011"),IF($E24="انتقال داخلی",IF($I24="","X003","X011"),IF($D24="پرداخت",$F24,IF($E24="چک","X009",IF($I24="","X003","X011")))))))</f>
        <v/>
      </c>
      <c r="AE24" s="76">
        <f>IF($D24="","",IF($K24="",0,$K24))</f>
        <v/>
      </c>
      <c r="AF24" s="70">
        <f>IF($D24="","",IF($E24="پاس چک",IF($I24="","X003","X011"),IF($E24="برگشت چک","X010",IF($E24="انتقال داخلی",IF($N24="","X003","X011"),IF($D24="پرداخت",IF($E24="چک","X010",IF($I24="","X003","X011")),$F24)))))</f>
        <v/>
      </c>
      <c r="AG24" s="76">
        <f>IF($D24="","",IF($K24="",0,$K24))</f>
        <v/>
      </c>
    </row>
    <row r="25" ht="21.75" customHeight="1">
      <c r="A25" s="70">
        <f>IF($B25="","",COUNTA($B$10:$B25))</f>
        <v/>
      </c>
      <c r="B25" s="71" t="n"/>
      <c r="C25" s="71" t="n"/>
      <c r="D25" s="71" t="n"/>
      <c r="E25" s="71" t="n"/>
      <c r="F25" s="71" t="n"/>
      <c r="G25" s="73">
        <f>IF($F25="","",IFERROR(VLOOKUP($F25,AcctTbl,2,0),"کد ناشناخته"))</f>
        <v/>
      </c>
      <c r="H25" s="70">
        <f>IF($F25="","",IFERROR(VLOOKUP($F25,AcctTbl,3,0),""))</f>
        <v/>
      </c>
      <c r="I25" s="71" t="n"/>
      <c r="J25" s="71" t="n"/>
      <c r="K25" s="74" t="n"/>
      <c r="L25" s="71" t="n"/>
      <c r="M25" s="71" t="n"/>
      <c r="N25" s="71" t="n"/>
      <c r="O25" s="71" t="n"/>
      <c r="P25" s="72" t="n"/>
      <c r="Q25" s="72" t="n"/>
      <c r="R25" s="77">
        <f>IF($D25="","",IF($AA25="⚠","⚠ ناتراز",IF(AND($D25="پرداخت",$E25="چک",$L25=""),"⚠ وضعیت چک","✓")))</f>
        <v/>
      </c>
      <c r="S25" s="76">
        <f>IF(OR($D25="",$K25=""),"",IF(AND($D25="پرداخت",$E25&lt;&gt;"انتقال داخلی",$E25&lt;&gt;"پاس چک",$E25&lt;&gt;"برگشت چک"),$K25,0))</f>
        <v/>
      </c>
      <c r="T25" s="76">
        <f>IF(OR($D25="",$K25=""),"",IF(OR(AND($D25="دریافت",$E25&lt;&gt;"انتقال داخلی"),$E25="برگشت چک"),$K25,0))</f>
        <v/>
      </c>
      <c r="U25" s="76">
        <f>IF(OR($D25="",$K25=""),"",IF(OR(AND($D25="دریافت",$E25&lt;&gt;"چک"),$E25="انتقال داخلی"),$K25,0))</f>
        <v/>
      </c>
      <c r="V25" s="76">
        <f>IF(OR($D25="",$K25=""),"",IF(OR(AND($D25="پرداخت",$E25&lt;&gt;"چک",$E25&lt;&gt;"برگشت چک"),$E25="انتقال داخلی"),$K25,0))</f>
        <v/>
      </c>
      <c r="W25" s="76">
        <f>IF(OR($D25="",$K25=""),"",IF(OR($E25="پاس چک",$E25="برگشت چک",AND($D25="دریافت",$E25="چک")),$K25,0))</f>
        <v/>
      </c>
      <c r="X25" s="76">
        <f>IF(OR($D25="",$K25=""),"",IF(AND($D25="پرداخت",$E25="چک"),$K25,0))</f>
        <v/>
      </c>
      <c r="Y25" s="76">
        <f>SUM($S25,$U25,$W25)</f>
        <v/>
      </c>
      <c r="Z25" s="76">
        <f>SUM($T25,$V25,$X25)</f>
        <v/>
      </c>
      <c r="AA25" s="70">
        <f>IF($D25="","",IF(ROUND($Y25-$Z25,0)=0,"✓","⚠"))</f>
        <v/>
      </c>
      <c r="AB25" s="70">
        <f>IF($D25="","",IF($E25="نقد","X003",IF(OR($E25="چک",$E25="پاس چک",$E25="برگشت چک"),"X010",IF($I25="","X003","X011"))))</f>
        <v/>
      </c>
      <c r="AC25" s="70">
        <f>IF($D25="","",IF($E25="انتقال داخلی",IF($N25="","X003",IFERROR(VLOOKUP($N25,BankTbl,4,0),$N25)),IF($I25="","X003",IFERROR(VLOOKUP($I25,BankTbl,4,0),$I25))))</f>
        <v/>
      </c>
      <c r="AD25" s="70">
        <f>IF($D25="","",IF($E25="پاس چک","X010",IF($E25="برگشت چک",IF($I25="","X003","X011"),IF($E25="انتقال داخلی",IF($I25="","X003","X011"),IF($D25="پرداخت",$F25,IF($E25="چک","X009",IF($I25="","X003","X011")))))))</f>
        <v/>
      </c>
      <c r="AE25" s="76">
        <f>IF($D25="","",IF($K25="",0,$K25))</f>
        <v/>
      </c>
      <c r="AF25" s="70">
        <f>IF($D25="","",IF($E25="پاس چک",IF($I25="","X003","X011"),IF($E25="برگشت چک","X010",IF($E25="انتقال داخلی",IF($N25="","X003","X011"),IF($D25="پرداخت",IF($E25="چک","X010",IF($I25="","X003","X011")),$F25)))))</f>
        <v/>
      </c>
      <c r="AG25" s="76">
        <f>IF($D25="","",IF($K25="",0,$K25))</f>
        <v/>
      </c>
    </row>
    <row r="26" ht="21.75" customHeight="1">
      <c r="A26" s="70">
        <f>IF($B26="","",COUNTA($B$10:$B26))</f>
        <v/>
      </c>
      <c r="B26" s="71" t="n"/>
      <c r="C26" s="71" t="n"/>
      <c r="D26" s="71" t="n"/>
      <c r="E26" s="71" t="n"/>
      <c r="F26" s="71" t="n"/>
      <c r="G26" s="73">
        <f>IF($F26="","",IFERROR(VLOOKUP($F26,AcctTbl,2,0),"کد ناشناخته"))</f>
        <v/>
      </c>
      <c r="H26" s="70">
        <f>IF($F26="","",IFERROR(VLOOKUP($F26,AcctTbl,3,0),""))</f>
        <v/>
      </c>
      <c r="I26" s="71" t="n"/>
      <c r="J26" s="71" t="n"/>
      <c r="K26" s="74" t="n"/>
      <c r="L26" s="71" t="n"/>
      <c r="M26" s="71" t="n"/>
      <c r="N26" s="71" t="n"/>
      <c r="O26" s="71" t="n"/>
      <c r="P26" s="72" t="n"/>
      <c r="Q26" s="72" t="n"/>
      <c r="R26" s="77">
        <f>IF($D26="","",IF($AA26="⚠","⚠ ناتراز",IF(AND($D26="پرداخت",$E26="چک",$L26=""),"⚠ وضعیت چک","✓")))</f>
        <v/>
      </c>
      <c r="S26" s="76">
        <f>IF(OR($D26="",$K26=""),"",IF(AND($D26="پرداخت",$E26&lt;&gt;"انتقال داخلی",$E26&lt;&gt;"پاس چک",$E26&lt;&gt;"برگشت چک"),$K26,0))</f>
        <v/>
      </c>
      <c r="T26" s="76">
        <f>IF(OR($D26="",$K26=""),"",IF(OR(AND($D26="دریافت",$E26&lt;&gt;"انتقال داخلی"),$E26="برگشت چک"),$K26,0))</f>
        <v/>
      </c>
      <c r="U26" s="76">
        <f>IF(OR($D26="",$K26=""),"",IF(OR(AND($D26="دریافت",$E26&lt;&gt;"چک"),$E26="انتقال داخلی"),$K26,0))</f>
        <v/>
      </c>
      <c r="V26" s="76">
        <f>IF(OR($D26="",$K26=""),"",IF(OR(AND($D26="پرداخت",$E26&lt;&gt;"چک",$E26&lt;&gt;"برگشت چک"),$E26="انتقال داخلی"),$K26,0))</f>
        <v/>
      </c>
      <c r="W26" s="76">
        <f>IF(OR($D26="",$K26=""),"",IF(OR($E26="پاس چک",$E26="برگشت چک",AND($D26="دریافت",$E26="چک")),$K26,0))</f>
        <v/>
      </c>
      <c r="X26" s="76">
        <f>IF(OR($D26="",$K26=""),"",IF(AND($D26="پرداخت",$E26="چک"),$K26,0))</f>
        <v/>
      </c>
      <c r="Y26" s="76">
        <f>SUM($S26,$U26,$W26)</f>
        <v/>
      </c>
      <c r="Z26" s="76">
        <f>SUM($T26,$V26,$X26)</f>
        <v/>
      </c>
      <c r="AA26" s="70">
        <f>IF($D26="","",IF(ROUND($Y26-$Z26,0)=0,"✓","⚠"))</f>
        <v/>
      </c>
      <c r="AB26" s="70">
        <f>IF($D26="","",IF($E26="نقد","X003",IF(OR($E26="چک",$E26="پاس چک",$E26="برگشت چک"),"X010",IF($I26="","X003","X011"))))</f>
        <v/>
      </c>
      <c r="AC26" s="70">
        <f>IF($D26="","",IF($E26="انتقال داخلی",IF($N26="","X003",IFERROR(VLOOKUP($N26,BankTbl,4,0),$N26)),IF($I26="","X003",IFERROR(VLOOKUP($I26,BankTbl,4,0),$I26))))</f>
        <v/>
      </c>
      <c r="AD26" s="70">
        <f>IF($D26="","",IF($E26="پاس چک","X010",IF($E26="برگشت چک",IF($I26="","X003","X011"),IF($E26="انتقال داخلی",IF($I26="","X003","X011"),IF($D26="پرداخت",$F26,IF($E26="چک","X009",IF($I26="","X003","X011")))))))</f>
        <v/>
      </c>
      <c r="AE26" s="76">
        <f>IF($D26="","",IF($K26="",0,$K26))</f>
        <v/>
      </c>
      <c r="AF26" s="70">
        <f>IF($D26="","",IF($E26="پاس چک",IF($I26="","X003","X011"),IF($E26="برگشت چک","X010",IF($E26="انتقال داخلی",IF($N26="","X003","X011"),IF($D26="پرداخت",IF($E26="چک","X010",IF($I26="","X003","X011")),$F26)))))</f>
        <v/>
      </c>
      <c r="AG26" s="76">
        <f>IF($D26="","",IF($K26="",0,$K26))</f>
        <v/>
      </c>
    </row>
    <row r="27" ht="21.75" customHeight="1">
      <c r="A27" s="70">
        <f>IF($B27="","",COUNTA($B$10:$B27))</f>
        <v/>
      </c>
      <c r="B27" s="71" t="n"/>
      <c r="C27" s="71" t="n"/>
      <c r="D27" s="71" t="n"/>
      <c r="E27" s="71" t="n"/>
      <c r="F27" s="71" t="n"/>
      <c r="G27" s="73">
        <f>IF($F27="","",IFERROR(VLOOKUP($F27,AcctTbl,2,0),"کد ناشناخته"))</f>
        <v/>
      </c>
      <c r="H27" s="70">
        <f>IF($F27="","",IFERROR(VLOOKUP($F27,AcctTbl,3,0),""))</f>
        <v/>
      </c>
      <c r="I27" s="71" t="n"/>
      <c r="J27" s="71" t="n"/>
      <c r="K27" s="74" t="n"/>
      <c r="L27" s="71" t="n"/>
      <c r="M27" s="71" t="n"/>
      <c r="N27" s="71" t="n"/>
      <c r="O27" s="71" t="n"/>
      <c r="P27" s="72" t="n"/>
      <c r="Q27" s="72" t="n"/>
      <c r="R27" s="77">
        <f>IF($D27="","",IF($AA27="⚠","⚠ ناتراز",IF(AND($D27="پرداخت",$E27="چک",$L27=""),"⚠ وضعیت چک","✓")))</f>
        <v/>
      </c>
      <c r="S27" s="76">
        <f>IF(OR($D27="",$K27=""),"",IF(AND($D27="پرداخت",$E27&lt;&gt;"انتقال داخلی",$E27&lt;&gt;"پاس چک",$E27&lt;&gt;"برگشت چک"),$K27,0))</f>
        <v/>
      </c>
      <c r="T27" s="76">
        <f>IF(OR($D27="",$K27=""),"",IF(OR(AND($D27="دریافت",$E27&lt;&gt;"انتقال داخلی"),$E27="برگشت چک"),$K27,0))</f>
        <v/>
      </c>
      <c r="U27" s="76">
        <f>IF(OR($D27="",$K27=""),"",IF(OR(AND($D27="دریافت",$E27&lt;&gt;"چک"),$E27="انتقال داخلی"),$K27,0))</f>
        <v/>
      </c>
      <c r="V27" s="76">
        <f>IF(OR($D27="",$K27=""),"",IF(OR(AND($D27="پرداخت",$E27&lt;&gt;"چک",$E27&lt;&gt;"برگشت چک"),$E27="انتقال داخلی"),$K27,0))</f>
        <v/>
      </c>
      <c r="W27" s="76">
        <f>IF(OR($D27="",$K27=""),"",IF(OR($E27="پاس چک",$E27="برگشت چک",AND($D27="دریافت",$E27="چک")),$K27,0))</f>
        <v/>
      </c>
      <c r="X27" s="76">
        <f>IF(OR($D27="",$K27=""),"",IF(AND($D27="پرداخت",$E27="چک"),$K27,0))</f>
        <v/>
      </c>
      <c r="Y27" s="76">
        <f>SUM($S27,$U27,$W27)</f>
        <v/>
      </c>
      <c r="Z27" s="76">
        <f>SUM($T27,$V27,$X27)</f>
        <v/>
      </c>
      <c r="AA27" s="70">
        <f>IF($D27="","",IF(ROUND($Y27-$Z27,0)=0,"✓","⚠"))</f>
        <v/>
      </c>
      <c r="AB27" s="70">
        <f>IF($D27="","",IF($E27="نقد","X003",IF(OR($E27="چک",$E27="پاس چک",$E27="برگشت چک"),"X010",IF($I27="","X003","X011"))))</f>
        <v/>
      </c>
      <c r="AC27" s="70">
        <f>IF($D27="","",IF($E27="انتقال داخلی",IF($N27="","X003",IFERROR(VLOOKUP($N27,BankTbl,4,0),$N27)),IF($I27="","X003",IFERROR(VLOOKUP($I27,BankTbl,4,0),$I27))))</f>
        <v/>
      </c>
      <c r="AD27" s="70">
        <f>IF($D27="","",IF($E27="پاس چک","X010",IF($E27="برگشت چک",IF($I27="","X003","X011"),IF($E27="انتقال داخلی",IF($I27="","X003","X011"),IF($D27="پرداخت",$F27,IF($E27="چک","X009",IF($I27="","X003","X011")))))))</f>
        <v/>
      </c>
      <c r="AE27" s="76">
        <f>IF($D27="","",IF($K27="",0,$K27))</f>
        <v/>
      </c>
      <c r="AF27" s="70">
        <f>IF($D27="","",IF($E27="پاس چک",IF($I27="","X003","X011"),IF($E27="برگشت چک","X010",IF($E27="انتقال داخلی",IF($N27="","X003","X011"),IF($D27="پرداخت",IF($E27="چک","X010",IF($I27="","X003","X011")),$F27)))))</f>
        <v/>
      </c>
      <c r="AG27" s="76">
        <f>IF($D27="","",IF($K27="",0,$K27))</f>
        <v/>
      </c>
    </row>
    <row r="28" ht="21.75" customHeight="1">
      <c r="A28" s="70">
        <f>IF($B28="","",COUNTA($B$10:$B28))</f>
        <v/>
      </c>
      <c r="B28" s="71" t="n"/>
      <c r="C28" s="71" t="n"/>
      <c r="D28" s="71" t="n"/>
      <c r="E28" s="71" t="n"/>
      <c r="F28" s="71" t="n"/>
      <c r="G28" s="73">
        <f>IF($F28="","",IFERROR(VLOOKUP($F28,AcctTbl,2,0),"کد ناشناخته"))</f>
        <v/>
      </c>
      <c r="H28" s="70">
        <f>IF($F28="","",IFERROR(VLOOKUP($F28,AcctTbl,3,0),""))</f>
        <v/>
      </c>
      <c r="I28" s="71" t="n"/>
      <c r="J28" s="71" t="n"/>
      <c r="K28" s="74" t="n"/>
      <c r="L28" s="71" t="n"/>
      <c r="M28" s="71" t="n"/>
      <c r="N28" s="71" t="n"/>
      <c r="O28" s="71" t="n"/>
      <c r="P28" s="72" t="n"/>
      <c r="Q28" s="72" t="n"/>
      <c r="R28" s="77">
        <f>IF($D28="","",IF($AA28="⚠","⚠ ناتراز",IF(AND($D28="پرداخت",$E28="چک",$L28=""),"⚠ وضعیت چک","✓")))</f>
        <v/>
      </c>
      <c r="S28" s="76">
        <f>IF(OR($D28="",$K28=""),"",IF(AND($D28="پرداخت",$E28&lt;&gt;"انتقال داخلی",$E28&lt;&gt;"پاس چک",$E28&lt;&gt;"برگشت چک"),$K28,0))</f>
        <v/>
      </c>
      <c r="T28" s="76">
        <f>IF(OR($D28="",$K28=""),"",IF(OR(AND($D28="دریافت",$E28&lt;&gt;"انتقال داخلی"),$E28="برگشت چک"),$K28,0))</f>
        <v/>
      </c>
      <c r="U28" s="76">
        <f>IF(OR($D28="",$K28=""),"",IF(OR(AND($D28="دریافت",$E28&lt;&gt;"چک"),$E28="انتقال داخلی"),$K28,0))</f>
        <v/>
      </c>
      <c r="V28" s="76">
        <f>IF(OR($D28="",$K28=""),"",IF(OR(AND($D28="پرداخت",$E28&lt;&gt;"چک",$E28&lt;&gt;"برگشت چک"),$E28="انتقال داخلی"),$K28,0))</f>
        <v/>
      </c>
      <c r="W28" s="76">
        <f>IF(OR($D28="",$K28=""),"",IF(OR($E28="پاس چک",$E28="برگشت چک",AND($D28="دریافت",$E28="چک")),$K28,0))</f>
        <v/>
      </c>
      <c r="X28" s="76">
        <f>IF(OR($D28="",$K28=""),"",IF(AND($D28="پرداخت",$E28="چک"),$K28,0))</f>
        <v/>
      </c>
      <c r="Y28" s="76">
        <f>SUM($S28,$U28,$W28)</f>
        <v/>
      </c>
      <c r="Z28" s="76">
        <f>SUM($T28,$V28,$X28)</f>
        <v/>
      </c>
      <c r="AA28" s="70">
        <f>IF($D28="","",IF(ROUND($Y28-$Z28,0)=0,"✓","⚠"))</f>
        <v/>
      </c>
      <c r="AB28" s="70">
        <f>IF($D28="","",IF($E28="نقد","X003",IF(OR($E28="چک",$E28="پاس چک",$E28="برگشت چک"),"X010",IF($I28="","X003","X011"))))</f>
        <v/>
      </c>
      <c r="AC28" s="70">
        <f>IF($D28="","",IF($E28="انتقال داخلی",IF($N28="","X003",IFERROR(VLOOKUP($N28,BankTbl,4,0),$N28)),IF($I28="","X003",IFERROR(VLOOKUP($I28,BankTbl,4,0),$I28))))</f>
        <v/>
      </c>
      <c r="AD28" s="70">
        <f>IF($D28="","",IF($E28="پاس چک","X010",IF($E28="برگشت چک",IF($I28="","X003","X011"),IF($E28="انتقال داخلی",IF($I28="","X003","X011"),IF($D28="پرداخت",$F28,IF($E28="چک","X009",IF($I28="","X003","X011")))))))</f>
        <v/>
      </c>
      <c r="AE28" s="76">
        <f>IF($D28="","",IF($K28="",0,$K28))</f>
        <v/>
      </c>
      <c r="AF28" s="70">
        <f>IF($D28="","",IF($E28="پاس چک",IF($I28="","X003","X011"),IF($E28="برگشت چک","X010",IF($E28="انتقال داخلی",IF($N28="","X003","X011"),IF($D28="پرداخت",IF($E28="چک","X010",IF($I28="","X003","X011")),$F28)))))</f>
        <v/>
      </c>
      <c r="AG28" s="76">
        <f>IF($D28="","",IF($K28="",0,$K28))</f>
        <v/>
      </c>
    </row>
    <row r="29" ht="21.75" customHeight="1">
      <c r="A29" s="70">
        <f>IF($B29="","",COUNTA($B$10:$B29))</f>
        <v/>
      </c>
      <c r="B29" s="71" t="n"/>
      <c r="C29" s="71" t="n"/>
      <c r="D29" s="71" t="n"/>
      <c r="E29" s="71" t="n"/>
      <c r="F29" s="71" t="n"/>
      <c r="G29" s="73">
        <f>IF($F29="","",IFERROR(VLOOKUP($F29,AcctTbl,2,0),"کد ناشناخته"))</f>
        <v/>
      </c>
      <c r="H29" s="70">
        <f>IF($F29="","",IFERROR(VLOOKUP($F29,AcctTbl,3,0),""))</f>
        <v/>
      </c>
      <c r="I29" s="71" t="n"/>
      <c r="J29" s="71" t="n"/>
      <c r="K29" s="74" t="n"/>
      <c r="L29" s="71" t="n"/>
      <c r="M29" s="71" t="n"/>
      <c r="N29" s="71" t="n"/>
      <c r="O29" s="71" t="n"/>
      <c r="P29" s="72" t="n"/>
      <c r="Q29" s="72" t="n"/>
      <c r="R29" s="77">
        <f>IF($D29="","",IF($AA29="⚠","⚠ ناتراز",IF(AND($D29="پرداخت",$E29="چک",$L29=""),"⚠ وضعیت چک","✓")))</f>
        <v/>
      </c>
      <c r="S29" s="76">
        <f>IF(OR($D29="",$K29=""),"",IF(AND($D29="پرداخت",$E29&lt;&gt;"انتقال داخلی",$E29&lt;&gt;"پاس چک",$E29&lt;&gt;"برگشت چک"),$K29,0))</f>
        <v/>
      </c>
      <c r="T29" s="76">
        <f>IF(OR($D29="",$K29=""),"",IF(OR(AND($D29="دریافت",$E29&lt;&gt;"انتقال داخلی"),$E29="برگشت چک"),$K29,0))</f>
        <v/>
      </c>
      <c r="U29" s="76">
        <f>IF(OR($D29="",$K29=""),"",IF(OR(AND($D29="دریافت",$E29&lt;&gt;"چک"),$E29="انتقال داخلی"),$K29,0))</f>
        <v/>
      </c>
      <c r="V29" s="76">
        <f>IF(OR($D29="",$K29=""),"",IF(OR(AND($D29="پرداخت",$E29&lt;&gt;"چک",$E29&lt;&gt;"برگشت چک"),$E29="انتقال داخلی"),$K29,0))</f>
        <v/>
      </c>
      <c r="W29" s="76">
        <f>IF(OR($D29="",$K29=""),"",IF(OR($E29="پاس چک",$E29="برگشت چک",AND($D29="دریافت",$E29="چک")),$K29,0))</f>
        <v/>
      </c>
      <c r="X29" s="76">
        <f>IF(OR($D29="",$K29=""),"",IF(AND($D29="پرداخت",$E29="چک"),$K29,0))</f>
        <v/>
      </c>
      <c r="Y29" s="76">
        <f>SUM($S29,$U29,$W29)</f>
        <v/>
      </c>
      <c r="Z29" s="76">
        <f>SUM($T29,$V29,$X29)</f>
        <v/>
      </c>
      <c r="AA29" s="70">
        <f>IF($D29="","",IF(ROUND($Y29-$Z29,0)=0,"✓","⚠"))</f>
        <v/>
      </c>
      <c r="AB29" s="70">
        <f>IF($D29="","",IF($E29="نقد","X003",IF(OR($E29="چک",$E29="پاس چک",$E29="برگشت چک"),"X010",IF($I29="","X003","X011"))))</f>
        <v/>
      </c>
      <c r="AC29" s="70">
        <f>IF($D29="","",IF($E29="انتقال داخلی",IF($N29="","X003",IFERROR(VLOOKUP($N29,BankTbl,4,0),$N29)),IF($I29="","X003",IFERROR(VLOOKUP($I29,BankTbl,4,0),$I29))))</f>
        <v/>
      </c>
      <c r="AD29" s="70">
        <f>IF($D29="","",IF($E29="پاس چک","X010",IF($E29="برگشت چک",IF($I29="","X003","X011"),IF($E29="انتقال داخلی",IF($I29="","X003","X011"),IF($D29="پرداخت",$F29,IF($E29="چک","X009",IF($I29="","X003","X011")))))))</f>
        <v/>
      </c>
      <c r="AE29" s="76">
        <f>IF($D29="","",IF($K29="",0,$K29))</f>
        <v/>
      </c>
      <c r="AF29" s="70">
        <f>IF($D29="","",IF($E29="پاس چک",IF($I29="","X003","X011"),IF($E29="برگشت چک","X010",IF($E29="انتقال داخلی",IF($N29="","X003","X011"),IF($D29="پرداخت",IF($E29="چک","X010",IF($I29="","X003","X011")),$F29)))))</f>
        <v/>
      </c>
      <c r="AG29" s="76">
        <f>IF($D29="","",IF($K29="",0,$K29))</f>
        <v/>
      </c>
    </row>
    <row r="30" ht="21.75" customHeight="1">
      <c r="A30" s="70">
        <f>IF($B30="","",COUNTA($B$10:$B30))</f>
        <v/>
      </c>
      <c r="B30" s="71" t="n"/>
      <c r="C30" s="71" t="n"/>
      <c r="D30" s="71" t="n"/>
      <c r="E30" s="71" t="n"/>
      <c r="F30" s="71" t="n"/>
      <c r="G30" s="73">
        <f>IF($F30="","",IFERROR(VLOOKUP($F30,AcctTbl,2,0),"کد ناشناخته"))</f>
        <v/>
      </c>
      <c r="H30" s="70">
        <f>IF($F30="","",IFERROR(VLOOKUP($F30,AcctTbl,3,0),""))</f>
        <v/>
      </c>
      <c r="I30" s="71" t="n"/>
      <c r="J30" s="71" t="n"/>
      <c r="K30" s="74" t="n"/>
      <c r="L30" s="71" t="n"/>
      <c r="M30" s="71" t="n"/>
      <c r="N30" s="71" t="n"/>
      <c r="O30" s="71" t="n"/>
      <c r="P30" s="72" t="n"/>
      <c r="Q30" s="72" t="n"/>
      <c r="R30" s="77">
        <f>IF($D30="","",IF($AA30="⚠","⚠ ناتراز",IF(AND($D30="پرداخت",$E30="چک",$L30=""),"⚠ وضعیت چک","✓")))</f>
        <v/>
      </c>
      <c r="S30" s="76">
        <f>IF(OR($D30="",$K30=""),"",IF(AND($D30="پرداخت",$E30&lt;&gt;"انتقال داخلی",$E30&lt;&gt;"پاس چک",$E30&lt;&gt;"برگشت چک"),$K30,0))</f>
        <v/>
      </c>
      <c r="T30" s="76">
        <f>IF(OR($D30="",$K30=""),"",IF(OR(AND($D30="دریافت",$E30&lt;&gt;"انتقال داخلی"),$E30="برگشت چک"),$K30,0))</f>
        <v/>
      </c>
      <c r="U30" s="76">
        <f>IF(OR($D30="",$K30=""),"",IF(OR(AND($D30="دریافت",$E30&lt;&gt;"چک"),$E30="انتقال داخلی"),$K30,0))</f>
        <v/>
      </c>
      <c r="V30" s="76">
        <f>IF(OR($D30="",$K30=""),"",IF(OR(AND($D30="پرداخت",$E30&lt;&gt;"چک",$E30&lt;&gt;"برگشت چک"),$E30="انتقال داخلی"),$K30,0))</f>
        <v/>
      </c>
      <c r="W30" s="76">
        <f>IF(OR($D30="",$K30=""),"",IF(OR($E30="پاس چک",$E30="برگشت چک",AND($D30="دریافت",$E30="چک")),$K30,0))</f>
        <v/>
      </c>
      <c r="X30" s="76">
        <f>IF(OR($D30="",$K30=""),"",IF(AND($D30="پرداخت",$E30="چک"),$K30,0))</f>
        <v/>
      </c>
      <c r="Y30" s="76">
        <f>SUM($S30,$U30,$W30)</f>
        <v/>
      </c>
      <c r="Z30" s="76">
        <f>SUM($T30,$V30,$X30)</f>
        <v/>
      </c>
      <c r="AA30" s="70">
        <f>IF($D30="","",IF(ROUND($Y30-$Z30,0)=0,"✓","⚠"))</f>
        <v/>
      </c>
      <c r="AB30" s="70">
        <f>IF($D30="","",IF($E30="نقد","X003",IF(OR($E30="چک",$E30="پاس چک",$E30="برگشت چک"),"X010",IF($I30="","X003","X011"))))</f>
        <v/>
      </c>
      <c r="AC30" s="70">
        <f>IF($D30="","",IF($E30="انتقال داخلی",IF($N30="","X003",IFERROR(VLOOKUP($N30,BankTbl,4,0),$N30)),IF($I30="","X003",IFERROR(VLOOKUP($I30,BankTbl,4,0),$I30))))</f>
        <v/>
      </c>
      <c r="AD30" s="70">
        <f>IF($D30="","",IF($E30="پاس چک","X010",IF($E30="برگشت چک",IF($I30="","X003","X011"),IF($E30="انتقال داخلی",IF($I30="","X003","X011"),IF($D30="پرداخت",$F30,IF($E30="چک","X009",IF($I30="","X003","X011")))))))</f>
        <v/>
      </c>
      <c r="AE30" s="76">
        <f>IF($D30="","",IF($K30="",0,$K30))</f>
        <v/>
      </c>
      <c r="AF30" s="70">
        <f>IF($D30="","",IF($E30="پاس چک",IF($I30="","X003","X011"),IF($E30="برگشت چک","X010",IF($E30="انتقال داخلی",IF($N30="","X003","X011"),IF($D30="پرداخت",IF($E30="چک","X010",IF($I30="","X003","X011")),$F30)))))</f>
        <v/>
      </c>
      <c r="AG30" s="76">
        <f>IF($D30="","",IF($K30="",0,$K30))</f>
        <v/>
      </c>
    </row>
    <row r="31" ht="21.75" customHeight="1">
      <c r="A31" s="70">
        <f>IF($B31="","",COUNTA($B$10:$B31))</f>
        <v/>
      </c>
      <c r="B31" s="71" t="n"/>
      <c r="C31" s="71" t="n"/>
      <c r="D31" s="71" t="n"/>
      <c r="E31" s="71" t="n"/>
      <c r="F31" s="71" t="n"/>
      <c r="G31" s="73">
        <f>IF($F31="","",IFERROR(VLOOKUP($F31,AcctTbl,2,0),"کد ناشناخته"))</f>
        <v/>
      </c>
      <c r="H31" s="70">
        <f>IF($F31="","",IFERROR(VLOOKUP($F31,AcctTbl,3,0),""))</f>
        <v/>
      </c>
      <c r="I31" s="71" t="n"/>
      <c r="J31" s="71" t="n"/>
      <c r="K31" s="74" t="n"/>
      <c r="L31" s="71" t="n"/>
      <c r="M31" s="71" t="n"/>
      <c r="N31" s="71" t="n"/>
      <c r="O31" s="71" t="n"/>
      <c r="P31" s="72" t="n"/>
      <c r="Q31" s="72" t="n"/>
      <c r="R31" s="77">
        <f>IF($D31="","",IF($AA31="⚠","⚠ ناتراز",IF(AND($D31="پرداخت",$E31="چک",$L31=""),"⚠ وضعیت چک","✓")))</f>
        <v/>
      </c>
      <c r="S31" s="76">
        <f>IF(OR($D31="",$K31=""),"",IF(AND($D31="پرداخت",$E31&lt;&gt;"انتقال داخلی",$E31&lt;&gt;"پاس چک",$E31&lt;&gt;"برگشت چک"),$K31,0))</f>
        <v/>
      </c>
      <c r="T31" s="76">
        <f>IF(OR($D31="",$K31=""),"",IF(OR(AND($D31="دریافت",$E31&lt;&gt;"انتقال داخلی"),$E31="برگشت چک"),$K31,0))</f>
        <v/>
      </c>
      <c r="U31" s="76">
        <f>IF(OR($D31="",$K31=""),"",IF(OR(AND($D31="دریافت",$E31&lt;&gt;"چک"),$E31="انتقال داخلی"),$K31,0))</f>
        <v/>
      </c>
      <c r="V31" s="76">
        <f>IF(OR($D31="",$K31=""),"",IF(OR(AND($D31="پرداخت",$E31&lt;&gt;"چک",$E31&lt;&gt;"برگشت چک"),$E31="انتقال داخلی"),$K31,0))</f>
        <v/>
      </c>
      <c r="W31" s="76">
        <f>IF(OR($D31="",$K31=""),"",IF(OR($E31="پاس چک",$E31="برگشت چک",AND($D31="دریافت",$E31="چک")),$K31,0))</f>
        <v/>
      </c>
      <c r="X31" s="76">
        <f>IF(OR($D31="",$K31=""),"",IF(AND($D31="پرداخت",$E31="چک"),$K31,0))</f>
        <v/>
      </c>
      <c r="Y31" s="76">
        <f>SUM($S31,$U31,$W31)</f>
        <v/>
      </c>
      <c r="Z31" s="76">
        <f>SUM($T31,$V31,$X31)</f>
        <v/>
      </c>
      <c r="AA31" s="70">
        <f>IF($D31="","",IF(ROUND($Y31-$Z31,0)=0,"✓","⚠"))</f>
        <v/>
      </c>
      <c r="AB31" s="70">
        <f>IF($D31="","",IF($E31="نقد","X003",IF(OR($E31="چک",$E31="پاس چک",$E31="برگشت چک"),"X010",IF($I31="","X003","X011"))))</f>
        <v/>
      </c>
      <c r="AC31" s="70">
        <f>IF($D31="","",IF($E31="انتقال داخلی",IF($N31="","X003",IFERROR(VLOOKUP($N31,BankTbl,4,0),$N31)),IF($I31="","X003",IFERROR(VLOOKUP($I31,BankTbl,4,0),$I31))))</f>
        <v/>
      </c>
      <c r="AD31" s="70">
        <f>IF($D31="","",IF($E31="پاس چک","X010",IF($E31="برگشت چک",IF($I31="","X003","X011"),IF($E31="انتقال داخلی",IF($I31="","X003","X011"),IF($D31="پرداخت",$F31,IF($E31="چک","X009",IF($I31="","X003","X011")))))))</f>
        <v/>
      </c>
      <c r="AE31" s="76">
        <f>IF($D31="","",IF($K31="",0,$K31))</f>
        <v/>
      </c>
      <c r="AF31" s="70">
        <f>IF($D31="","",IF($E31="پاس چک",IF($I31="","X003","X011"),IF($E31="برگشت چک","X010",IF($E31="انتقال داخلی",IF($N31="","X003","X011"),IF($D31="پرداخت",IF($E31="چک","X010",IF($I31="","X003","X011")),$F31)))))</f>
        <v/>
      </c>
      <c r="AG31" s="76">
        <f>IF($D31="","",IF($K31="",0,$K31))</f>
        <v/>
      </c>
    </row>
    <row r="32" ht="21.75" customHeight="1">
      <c r="A32" s="70">
        <f>IF($B32="","",COUNTA($B$10:$B32))</f>
        <v/>
      </c>
      <c r="B32" s="71" t="n"/>
      <c r="C32" s="71" t="n"/>
      <c r="D32" s="71" t="n"/>
      <c r="E32" s="71" t="n"/>
      <c r="F32" s="71" t="n"/>
      <c r="G32" s="73">
        <f>IF($F32="","",IFERROR(VLOOKUP($F32,AcctTbl,2,0),"کد ناشناخته"))</f>
        <v/>
      </c>
      <c r="H32" s="70">
        <f>IF($F32="","",IFERROR(VLOOKUP($F32,AcctTbl,3,0),""))</f>
        <v/>
      </c>
      <c r="I32" s="71" t="n"/>
      <c r="J32" s="71" t="n"/>
      <c r="K32" s="74" t="n"/>
      <c r="L32" s="71" t="n"/>
      <c r="M32" s="71" t="n"/>
      <c r="N32" s="71" t="n"/>
      <c r="O32" s="71" t="n"/>
      <c r="P32" s="72" t="n"/>
      <c r="Q32" s="72" t="n"/>
      <c r="R32" s="77">
        <f>IF($D32="","",IF($AA32="⚠","⚠ ناتراز",IF(AND($D32="پرداخت",$E32="چک",$L32=""),"⚠ وضعیت چک","✓")))</f>
        <v/>
      </c>
      <c r="S32" s="76">
        <f>IF(OR($D32="",$K32=""),"",IF(AND($D32="پرداخت",$E32&lt;&gt;"انتقال داخلی",$E32&lt;&gt;"پاس چک",$E32&lt;&gt;"برگشت چک"),$K32,0))</f>
        <v/>
      </c>
      <c r="T32" s="76">
        <f>IF(OR($D32="",$K32=""),"",IF(OR(AND($D32="دریافت",$E32&lt;&gt;"انتقال داخلی"),$E32="برگشت چک"),$K32,0))</f>
        <v/>
      </c>
      <c r="U32" s="76">
        <f>IF(OR($D32="",$K32=""),"",IF(OR(AND($D32="دریافت",$E32&lt;&gt;"چک"),$E32="انتقال داخلی"),$K32,0))</f>
        <v/>
      </c>
      <c r="V32" s="76">
        <f>IF(OR($D32="",$K32=""),"",IF(OR(AND($D32="پرداخت",$E32&lt;&gt;"چک",$E32&lt;&gt;"برگشت چک"),$E32="انتقال داخلی"),$K32,0))</f>
        <v/>
      </c>
      <c r="W32" s="76">
        <f>IF(OR($D32="",$K32=""),"",IF(OR($E32="پاس چک",$E32="برگشت چک",AND($D32="دریافت",$E32="چک")),$K32,0))</f>
        <v/>
      </c>
      <c r="X32" s="76">
        <f>IF(OR($D32="",$K32=""),"",IF(AND($D32="پرداخت",$E32="چک"),$K32,0))</f>
        <v/>
      </c>
      <c r="Y32" s="76">
        <f>SUM($S32,$U32,$W32)</f>
        <v/>
      </c>
      <c r="Z32" s="76">
        <f>SUM($T32,$V32,$X32)</f>
        <v/>
      </c>
      <c r="AA32" s="70">
        <f>IF($D32="","",IF(ROUND($Y32-$Z32,0)=0,"✓","⚠"))</f>
        <v/>
      </c>
      <c r="AB32" s="70">
        <f>IF($D32="","",IF($E32="نقد","X003",IF(OR($E32="چک",$E32="پاس چک",$E32="برگشت چک"),"X010",IF($I32="","X003","X011"))))</f>
        <v/>
      </c>
      <c r="AC32" s="70">
        <f>IF($D32="","",IF($E32="انتقال داخلی",IF($N32="","X003",IFERROR(VLOOKUP($N32,BankTbl,4,0),$N32)),IF($I32="","X003",IFERROR(VLOOKUP($I32,BankTbl,4,0),$I32))))</f>
        <v/>
      </c>
      <c r="AD32" s="70">
        <f>IF($D32="","",IF($E32="پاس چک","X010",IF($E32="برگشت چک",IF($I32="","X003","X011"),IF($E32="انتقال داخلی",IF($I32="","X003","X011"),IF($D32="پرداخت",$F32,IF($E32="چک","X009",IF($I32="","X003","X011")))))))</f>
        <v/>
      </c>
      <c r="AE32" s="76">
        <f>IF($D32="","",IF($K32="",0,$K32))</f>
        <v/>
      </c>
      <c r="AF32" s="70">
        <f>IF($D32="","",IF($E32="پاس چک",IF($I32="","X003","X011"),IF($E32="برگشت چک","X010",IF($E32="انتقال داخلی",IF($N32="","X003","X011"),IF($D32="پرداخت",IF($E32="چک","X010",IF($I32="","X003","X011")),$F32)))))</f>
        <v/>
      </c>
      <c r="AG32" s="76">
        <f>IF($D32="","",IF($K32="",0,$K32))</f>
        <v/>
      </c>
    </row>
    <row r="33" ht="21.75" customHeight="1">
      <c r="A33" s="70">
        <f>IF($B33="","",COUNTA($B$10:$B33))</f>
        <v/>
      </c>
      <c r="B33" s="71" t="n"/>
      <c r="C33" s="71" t="n"/>
      <c r="D33" s="71" t="n"/>
      <c r="E33" s="71" t="n"/>
      <c r="F33" s="71" t="n"/>
      <c r="G33" s="73">
        <f>IF($F33="","",IFERROR(VLOOKUP($F33,AcctTbl,2,0),"کد ناشناخته"))</f>
        <v/>
      </c>
      <c r="H33" s="70">
        <f>IF($F33="","",IFERROR(VLOOKUP($F33,AcctTbl,3,0),""))</f>
        <v/>
      </c>
      <c r="I33" s="71" t="n"/>
      <c r="J33" s="71" t="n"/>
      <c r="K33" s="74" t="n"/>
      <c r="L33" s="71" t="n"/>
      <c r="M33" s="71" t="n"/>
      <c r="N33" s="71" t="n"/>
      <c r="O33" s="71" t="n"/>
      <c r="P33" s="72" t="n"/>
      <c r="Q33" s="72" t="n"/>
      <c r="R33" s="77">
        <f>IF($D33="","",IF($AA33="⚠","⚠ ناتراز",IF(AND($D33="پرداخت",$E33="چک",$L33=""),"⚠ وضعیت چک","✓")))</f>
        <v/>
      </c>
      <c r="S33" s="76">
        <f>IF(OR($D33="",$K33=""),"",IF(AND($D33="پرداخت",$E33&lt;&gt;"انتقال داخلی",$E33&lt;&gt;"پاس چک",$E33&lt;&gt;"برگشت چک"),$K33,0))</f>
        <v/>
      </c>
      <c r="T33" s="76">
        <f>IF(OR($D33="",$K33=""),"",IF(OR(AND($D33="دریافت",$E33&lt;&gt;"انتقال داخلی"),$E33="برگشت چک"),$K33,0))</f>
        <v/>
      </c>
      <c r="U33" s="76">
        <f>IF(OR($D33="",$K33=""),"",IF(OR(AND($D33="دریافت",$E33&lt;&gt;"چک"),$E33="انتقال داخلی"),$K33,0))</f>
        <v/>
      </c>
      <c r="V33" s="76">
        <f>IF(OR($D33="",$K33=""),"",IF(OR(AND($D33="پرداخت",$E33&lt;&gt;"چک",$E33&lt;&gt;"برگشت چک"),$E33="انتقال داخلی"),$K33,0))</f>
        <v/>
      </c>
      <c r="W33" s="76">
        <f>IF(OR($D33="",$K33=""),"",IF(OR($E33="پاس چک",$E33="برگشت چک",AND($D33="دریافت",$E33="چک")),$K33,0))</f>
        <v/>
      </c>
      <c r="X33" s="76">
        <f>IF(OR($D33="",$K33=""),"",IF(AND($D33="پرداخت",$E33="چک"),$K33,0))</f>
        <v/>
      </c>
      <c r="Y33" s="76">
        <f>SUM($S33,$U33,$W33)</f>
        <v/>
      </c>
      <c r="Z33" s="76">
        <f>SUM($T33,$V33,$X33)</f>
        <v/>
      </c>
      <c r="AA33" s="70">
        <f>IF($D33="","",IF(ROUND($Y33-$Z33,0)=0,"✓","⚠"))</f>
        <v/>
      </c>
      <c r="AB33" s="70">
        <f>IF($D33="","",IF($E33="نقد","X003",IF(OR($E33="چک",$E33="پاس چک",$E33="برگشت چک"),"X010",IF($I33="","X003","X011"))))</f>
        <v/>
      </c>
      <c r="AC33" s="70">
        <f>IF($D33="","",IF($E33="انتقال داخلی",IF($N33="","X003",IFERROR(VLOOKUP($N33,BankTbl,4,0),$N33)),IF($I33="","X003",IFERROR(VLOOKUP($I33,BankTbl,4,0),$I33))))</f>
        <v/>
      </c>
      <c r="AD33" s="70">
        <f>IF($D33="","",IF($E33="پاس چک","X010",IF($E33="برگشت چک",IF($I33="","X003","X011"),IF($E33="انتقال داخلی",IF($I33="","X003","X011"),IF($D33="پرداخت",$F33,IF($E33="چک","X009",IF($I33="","X003","X011")))))))</f>
        <v/>
      </c>
      <c r="AE33" s="76">
        <f>IF($D33="","",IF($K33="",0,$K33))</f>
        <v/>
      </c>
      <c r="AF33" s="70">
        <f>IF($D33="","",IF($E33="پاس چک",IF($I33="","X003","X011"),IF($E33="برگشت چک","X010",IF($E33="انتقال داخلی",IF($N33="","X003","X011"),IF($D33="پرداخت",IF($E33="چک","X010",IF($I33="","X003","X011")),$F33)))))</f>
        <v/>
      </c>
      <c r="AG33" s="76">
        <f>IF($D33="","",IF($K33="",0,$K33))</f>
        <v/>
      </c>
    </row>
    <row r="34" ht="21.75" customHeight="1">
      <c r="A34" s="70">
        <f>IF($B34="","",COUNTA($B$10:$B34))</f>
        <v/>
      </c>
      <c r="B34" s="71" t="n"/>
      <c r="C34" s="71" t="n"/>
      <c r="D34" s="71" t="n"/>
      <c r="E34" s="71" t="n"/>
      <c r="F34" s="71" t="n"/>
      <c r="G34" s="73">
        <f>IF($F34="","",IFERROR(VLOOKUP($F34,AcctTbl,2,0),"کد ناشناخته"))</f>
        <v/>
      </c>
      <c r="H34" s="70">
        <f>IF($F34="","",IFERROR(VLOOKUP($F34,AcctTbl,3,0),""))</f>
        <v/>
      </c>
      <c r="I34" s="71" t="n"/>
      <c r="J34" s="71" t="n"/>
      <c r="K34" s="74" t="n"/>
      <c r="L34" s="71" t="n"/>
      <c r="M34" s="71" t="n"/>
      <c r="N34" s="71" t="n"/>
      <c r="O34" s="71" t="n"/>
      <c r="P34" s="72" t="n"/>
      <c r="Q34" s="72" t="n"/>
      <c r="R34" s="77">
        <f>IF($D34="","",IF($AA34="⚠","⚠ ناتراز",IF(AND($D34="پرداخت",$E34="چک",$L34=""),"⚠ وضعیت چک","✓")))</f>
        <v/>
      </c>
      <c r="S34" s="76">
        <f>IF(OR($D34="",$K34=""),"",IF(AND($D34="پرداخت",$E34&lt;&gt;"انتقال داخلی",$E34&lt;&gt;"پاس چک",$E34&lt;&gt;"برگشت چک"),$K34,0))</f>
        <v/>
      </c>
      <c r="T34" s="76">
        <f>IF(OR($D34="",$K34=""),"",IF(OR(AND($D34="دریافت",$E34&lt;&gt;"انتقال داخلی"),$E34="برگشت چک"),$K34,0))</f>
        <v/>
      </c>
      <c r="U34" s="76">
        <f>IF(OR($D34="",$K34=""),"",IF(OR(AND($D34="دریافت",$E34&lt;&gt;"چک"),$E34="انتقال داخلی"),$K34,0))</f>
        <v/>
      </c>
      <c r="V34" s="76">
        <f>IF(OR($D34="",$K34=""),"",IF(OR(AND($D34="پرداخت",$E34&lt;&gt;"چک",$E34&lt;&gt;"برگشت چک"),$E34="انتقال داخلی"),$K34,0))</f>
        <v/>
      </c>
      <c r="W34" s="76">
        <f>IF(OR($D34="",$K34=""),"",IF(OR($E34="پاس چک",$E34="برگشت چک",AND($D34="دریافت",$E34="چک")),$K34,0))</f>
        <v/>
      </c>
      <c r="X34" s="76">
        <f>IF(OR($D34="",$K34=""),"",IF(AND($D34="پرداخت",$E34="چک"),$K34,0))</f>
        <v/>
      </c>
      <c r="Y34" s="76">
        <f>SUM($S34,$U34,$W34)</f>
        <v/>
      </c>
      <c r="Z34" s="76">
        <f>SUM($T34,$V34,$X34)</f>
        <v/>
      </c>
      <c r="AA34" s="70">
        <f>IF($D34="","",IF(ROUND($Y34-$Z34,0)=0,"✓","⚠"))</f>
        <v/>
      </c>
      <c r="AB34" s="70">
        <f>IF($D34="","",IF($E34="نقد","X003",IF(OR($E34="چک",$E34="پاس چک",$E34="برگشت چک"),"X010",IF($I34="","X003","X011"))))</f>
        <v/>
      </c>
      <c r="AC34" s="70">
        <f>IF($D34="","",IF($E34="انتقال داخلی",IF($N34="","X003",IFERROR(VLOOKUP($N34,BankTbl,4,0),$N34)),IF($I34="","X003",IFERROR(VLOOKUP($I34,BankTbl,4,0),$I34))))</f>
        <v/>
      </c>
      <c r="AD34" s="70">
        <f>IF($D34="","",IF($E34="پاس چک","X010",IF($E34="برگشت چک",IF($I34="","X003","X011"),IF($E34="انتقال داخلی",IF($I34="","X003","X011"),IF($D34="پرداخت",$F34,IF($E34="چک","X009",IF($I34="","X003","X011")))))))</f>
        <v/>
      </c>
      <c r="AE34" s="76">
        <f>IF($D34="","",IF($K34="",0,$K34))</f>
        <v/>
      </c>
      <c r="AF34" s="70">
        <f>IF($D34="","",IF($E34="پاس چک",IF($I34="","X003","X011"),IF($E34="برگشت چک","X010",IF($E34="انتقال داخلی",IF($N34="","X003","X011"),IF($D34="پرداخت",IF($E34="چک","X010",IF($I34="","X003","X011")),$F34)))))</f>
        <v/>
      </c>
      <c r="AG34" s="76">
        <f>IF($D34="","",IF($K34="",0,$K34))</f>
        <v/>
      </c>
    </row>
    <row r="35" ht="21.75" customHeight="1">
      <c r="A35" s="70">
        <f>IF($B35="","",COUNTA($B$10:$B35))</f>
        <v/>
      </c>
      <c r="B35" s="71" t="n"/>
      <c r="C35" s="71" t="n"/>
      <c r="D35" s="71" t="n"/>
      <c r="E35" s="71" t="n"/>
      <c r="F35" s="71" t="n"/>
      <c r="G35" s="73">
        <f>IF($F35="","",IFERROR(VLOOKUP($F35,AcctTbl,2,0),"کد ناشناخته"))</f>
        <v/>
      </c>
      <c r="H35" s="70">
        <f>IF($F35="","",IFERROR(VLOOKUP($F35,AcctTbl,3,0),""))</f>
        <v/>
      </c>
      <c r="I35" s="71" t="n"/>
      <c r="J35" s="71" t="n"/>
      <c r="K35" s="74" t="n"/>
      <c r="L35" s="71" t="n"/>
      <c r="M35" s="71" t="n"/>
      <c r="N35" s="71" t="n"/>
      <c r="O35" s="71" t="n"/>
      <c r="P35" s="72" t="n"/>
      <c r="Q35" s="72" t="n"/>
      <c r="R35" s="77">
        <f>IF($D35="","",IF($AA35="⚠","⚠ ناتراز",IF(AND($D35="پرداخت",$E35="چک",$L35=""),"⚠ وضعیت چک","✓")))</f>
        <v/>
      </c>
      <c r="S35" s="76">
        <f>IF(OR($D35="",$K35=""),"",IF(AND($D35="پرداخت",$E35&lt;&gt;"انتقال داخلی",$E35&lt;&gt;"پاس چک",$E35&lt;&gt;"برگشت چک"),$K35,0))</f>
        <v/>
      </c>
      <c r="T35" s="76">
        <f>IF(OR($D35="",$K35=""),"",IF(OR(AND($D35="دریافت",$E35&lt;&gt;"انتقال داخلی"),$E35="برگشت چک"),$K35,0))</f>
        <v/>
      </c>
      <c r="U35" s="76">
        <f>IF(OR($D35="",$K35=""),"",IF(OR(AND($D35="دریافت",$E35&lt;&gt;"چک"),$E35="انتقال داخلی"),$K35,0))</f>
        <v/>
      </c>
      <c r="V35" s="76">
        <f>IF(OR($D35="",$K35=""),"",IF(OR(AND($D35="پرداخت",$E35&lt;&gt;"چک",$E35&lt;&gt;"برگشت چک"),$E35="انتقال داخلی"),$K35,0))</f>
        <v/>
      </c>
      <c r="W35" s="76">
        <f>IF(OR($D35="",$K35=""),"",IF(OR($E35="پاس چک",$E35="برگشت چک",AND($D35="دریافت",$E35="چک")),$K35,0))</f>
        <v/>
      </c>
      <c r="X35" s="76">
        <f>IF(OR($D35="",$K35=""),"",IF(AND($D35="پرداخت",$E35="چک"),$K35,0))</f>
        <v/>
      </c>
      <c r="Y35" s="76">
        <f>SUM($S35,$U35,$W35)</f>
        <v/>
      </c>
      <c r="Z35" s="76">
        <f>SUM($T35,$V35,$X35)</f>
        <v/>
      </c>
      <c r="AA35" s="70">
        <f>IF($D35="","",IF(ROUND($Y35-$Z35,0)=0,"✓","⚠"))</f>
        <v/>
      </c>
      <c r="AB35" s="70">
        <f>IF($D35="","",IF($E35="نقد","X003",IF(OR($E35="چک",$E35="پاس چک",$E35="برگشت چک"),"X010",IF($I35="","X003","X011"))))</f>
        <v/>
      </c>
      <c r="AC35" s="70">
        <f>IF($D35="","",IF($E35="انتقال داخلی",IF($N35="","X003",IFERROR(VLOOKUP($N35,BankTbl,4,0),$N35)),IF($I35="","X003",IFERROR(VLOOKUP($I35,BankTbl,4,0),$I35))))</f>
        <v/>
      </c>
      <c r="AD35" s="70">
        <f>IF($D35="","",IF($E35="پاس چک","X010",IF($E35="برگشت چک",IF($I35="","X003","X011"),IF($E35="انتقال داخلی",IF($I35="","X003","X011"),IF($D35="پرداخت",$F35,IF($E35="چک","X009",IF($I35="","X003","X011")))))))</f>
        <v/>
      </c>
      <c r="AE35" s="76">
        <f>IF($D35="","",IF($K35="",0,$K35))</f>
        <v/>
      </c>
      <c r="AF35" s="70">
        <f>IF($D35="","",IF($E35="پاس چک",IF($I35="","X003","X011"),IF($E35="برگشت چک","X010",IF($E35="انتقال داخلی",IF($N35="","X003","X011"),IF($D35="پرداخت",IF($E35="چک","X010",IF($I35="","X003","X011")),$F35)))))</f>
        <v/>
      </c>
      <c r="AG35" s="76">
        <f>IF($D35="","",IF($K35="",0,$K35))</f>
        <v/>
      </c>
    </row>
    <row r="36" ht="21.75" customHeight="1">
      <c r="A36" s="70">
        <f>IF($B36="","",COUNTA($B$10:$B36))</f>
        <v/>
      </c>
      <c r="B36" s="71" t="n"/>
      <c r="C36" s="71" t="n"/>
      <c r="D36" s="71" t="n"/>
      <c r="E36" s="71" t="n"/>
      <c r="F36" s="71" t="n"/>
      <c r="G36" s="73">
        <f>IF($F36="","",IFERROR(VLOOKUP($F36,AcctTbl,2,0),"کد ناشناخته"))</f>
        <v/>
      </c>
      <c r="H36" s="70">
        <f>IF($F36="","",IFERROR(VLOOKUP($F36,AcctTbl,3,0),""))</f>
        <v/>
      </c>
      <c r="I36" s="71" t="n"/>
      <c r="J36" s="71" t="n"/>
      <c r="K36" s="74" t="n"/>
      <c r="L36" s="71" t="n"/>
      <c r="M36" s="71" t="n"/>
      <c r="N36" s="71" t="n"/>
      <c r="O36" s="71" t="n"/>
      <c r="P36" s="72" t="n"/>
      <c r="Q36" s="72" t="n"/>
      <c r="R36" s="77">
        <f>IF($D36="","",IF($AA36="⚠","⚠ ناتراز",IF(AND($D36="پرداخت",$E36="چک",$L36=""),"⚠ وضعیت چک","✓")))</f>
        <v/>
      </c>
      <c r="S36" s="76">
        <f>IF(OR($D36="",$K36=""),"",IF(AND($D36="پرداخت",$E36&lt;&gt;"انتقال داخلی",$E36&lt;&gt;"پاس چک",$E36&lt;&gt;"برگشت چک"),$K36,0))</f>
        <v/>
      </c>
      <c r="T36" s="76">
        <f>IF(OR($D36="",$K36=""),"",IF(OR(AND($D36="دریافت",$E36&lt;&gt;"انتقال داخلی"),$E36="برگشت چک"),$K36,0))</f>
        <v/>
      </c>
      <c r="U36" s="76">
        <f>IF(OR($D36="",$K36=""),"",IF(OR(AND($D36="دریافت",$E36&lt;&gt;"چک"),$E36="انتقال داخلی"),$K36,0))</f>
        <v/>
      </c>
      <c r="V36" s="76">
        <f>IF(OR($D36="",$K36=""),"",IF(OR(AND($D36="پرداخت",$E36&lt;&gt;"چک",$E36&lt;&gt;"برگشت چک"),$E36="انتقال داخلی"),$K36,0))</f>
        <v/>
      </c>
      <c r="W36" s="76">
        <f>IF(OR($D36="",$K36=""),"",IF(OR($E36="پاس چک",$E36="برگشت چک",AND($D36="دریافت",$E36="چک")),$K36,0))</f>
        <v/>
      </c>
      <c r="X36" s="76">
        <f>IF(OR($D36="",$K36=""),"",IF(AND($D36="پرداخت",$E36="چک"),$K36,0))</f>
        <v/>
      </c>
      <c r="Y36" s="76">
        <f>SUM($S36,$U36,$W36)</f>
        <v/>
      </c>
      <c r="Z36" s="76">
        <f>SUM($T36,$V36,$X36)</f>
        <v/>
      </c>
      <c r="AA36" s="70">
        <f>IF($D36="","",IF(ROUND($Y36-$Z36,0)=0,"✓","⚠"))</f>
        <v/>
      </c>
      <c r="AB36" s="70">
        <f>IF($D36="","",IF($E36="نقد","X003",IF(OR($E36="چک",$E36="پاس چک",$E36="برگشت چک"),"X010",IF($I36="","X003","X011"))))</f>
        <v/>
      </c>
      <c r="AC36" s="70">
        <f>IF($D36="","",IF($E36="انتقال داخلی",IF($N36="","X003",IFERROR(VLOOKUP($N36,BankTbl,4,0),$N36)),IF($I36="","X003",IFERROR(VLOOKUP($I36,BankTbl,4,0),$I36))))</f>
        <v/>
      </c>
      <c r="AD36" s="70">
        <f>IF($D36="","",IF($E36="پاس چک","X010",IF($E36="برگشت چک",IF($I36="","X003","X011"),IF($E36="انتقال داخلی",IF($I36="","X003","X011"),IF($D36="پرداخت",$F36,IF($E36="چک","X009",IF($I36="","X003","X011")))))))</f>
        <v/>
      </c>
      <c r="AE36" s="76">
        <f>IF($D36="","",IF($K36="",0,$K36))</f>
        <v/>
      </c>
      <c r="AF36" s="70">
        <f>IF($D36="","",IF($E36="پاس چک",IF($I36="","X003","X011"),IF($E36="برگشت چک","X010",IF($E36="انتقال داخلی",IF($N36="","X003","X011"),IF($D36="پرداخت",IF($E36="چک","X010",IF($I36="","X003","X011")),$F36)))))</f>
        <v/>
      </c>
      <c r="AG36" s="76">
        <f>IF($D36="","",IF($K36="",0,$K36))</f>
        <v/>
      </c>
    </row>
    <row r="37" ht="21.75" customHeight="1">
      <c r="A37" s="70">
        <f>IF($B37="","",COUNTA($B$10:$B37))</f>
        <v/>
      </c>
      <c r="B37" s="71" t="n"/>
      <c r="C37" s="71" t="n"/>
      <c r="D37" s="71" t="n"/>
      <c r="E37" s="71" t="n"/>
      <c r="F37" s="71" t="n"/>
      <c r="G37" s="73">
        <f>IF($F37="","",IFERROR(VLOOKUP($F37,AcctTbl,2,0),"کد ناشناخته"))</f>
        <v/>
      </c>
      <c r="H37" s="70">
        <f>IF($F37="","",IFERROR(VLOOKUP($F37,AcctTbl,3,0),""))</f>
        <v/>
      </c>
      <c r="I37" s="71" t="n"/>
      <c r="J37" s="71" t="n"/>
      <c r="K37" s="74" t="n"/>
      <c r="L37" s="71" t="n"/>
      <c r="M37" s="71" t="n"/>
      <c r="N37" s="71" t="n"/>
      <c r="O37" s="71" t="n"/>
      <c r="P37" s="72" t="n"/>
      <c r="Q37" s="72" t="n"/>
      <c r="R37" s="77">
        <f>IF($D37="","",IF($AA37="⚠","⚠ ناتراز",IF(AND($D37="پرداخت",$E37="چک",$L37=""),"⚠ وضعیت چک","✓")))</f>
        <v/>
      </c>
      <c r="S37" s="76">
        <f>IF(OR($D37="",$K37=""),"",IF(AND($D37="پرداخت",$E37&lt;&gt;"انتقال داخلی",$E37&lt;&gt;"پاس چک",$E37&lt;&gt;"برگشت چک"),$K37,0))</f>
        <v/>
      </c>
      <c r="T37" s="76">
        <f>IF(OR($D37="",$K37=""),"",IF(OR(AND($D37="دریافت",$E37&lt;&gt;"انتقال داخلی"),$E37="برگشت چک"),$K37,0))</f>
        <v/>
      </c>
      <c r="U37" s="76">
        <f>IF(OR($D37="",$K37=""),"",IF(OR(AND($D37="دریافت",$E37&lt;&gt;"چک"),$E37="انتقال داخلی"),$K37,0))</f>
        <v/>
      </c>
      <c r="V37" s="76">
        <f>IF(OR($D37="",$K37=""),"",IF(OR(AND($D37="پرداخت",$E37&lt;&gt;"چک",$E37&lt;&gt;"برگشت چک"),$E37="انتقال داخلی"),$K37,0))</f>
        <v/>
      </c>
      <c r="W37" s="76">
        <f>IF(OR($D37="",$K37=""),"",IF(OR($E37="پاس چک",$E37="برگشت چک",AND($D37="دریافت",$E37="چک")),$K37,0))</f>
        <v/>
      </c>
      <c r="X37" s="76">
        <f>IF(OR($D37="",$K37=""),"",IF(AND($D37="پرداخت",$E37="چک"),$K37,0))</f>
        <v/>
      </c>
      <c r="Y37" s="76">
        <f>SUM($S37,$U37,$W37)</f>
        <v/>
      </c>
      <c r="Z37" s="76">
        <f>SUM($T37,$V37,$X37)</f>
        <v/>
      </c>
      <c r="AA37" s="70">
        <f>IF($D37="","",IF(ROUND($Y37-$Z37,0)=0,"✓","⚠"))</f>
        <v/>
      </c>
      <c r="AB37" s="70">
        <f>IF($D37="","",IF($E37="نقد","X003",IF(OR($E37="چک",$E37="پاس چک",$E37="برگشت چک"),"X010",IF($I37="","X003","X011"))))</f>
        <v/>
      </c>
      <c r="AC37" s="70">
        <f>IF($D37="","",IF($E37="انتقال داخلی",IF($N37="","X003",IFERROR(VLOOKUP($N37,BankTbl,4,0),$N37)),IF($I37="","X003",IFERROR(VLOOKUP($I37,BankTbl,4,0),$I37))))</f>
        <v/>
      </c>
      <c r="AD37" s="70">
        <f>IF($D37="","",IF($E37="پاس چک","X010",IF($E37="برگشت چک",IF($I37="","X003","X011"),IF($E37="انتقال داخلی",IF($I37="","X003","X011"),IF($D37="پرداخت",$F37,IF($E37="چک","X009",IF($I37="","X003","X011")))))))</f>
        <v/>
      </c>
      <c r="AE37" s="76">
        <f>IF($D37="","",IF($K37="",0,$K37))</f>
        <v/>
      </c>
      <c r="AF37" s="70">
        <f>IF($D37="","",IF($E37="پاس چک",IF($I37="","X003","X011"),IF($E37="برگشت چک","X010",IF($E37="انتقال داخلی",IF($N37="","X003","X011"),IF($D37="پرداخت",IF($E37="چک","X010",IF($I37="","X003","X011")),$F37)))))</f>
        <v/>
      </c>
      <c r="AG37" s="76">
        <f>IF($D37="","",IF($K37="",0,$K37))</f>
        <v/>
      </c>
    </row>
    <row r="38" ht="21.75" customHeight="1">
      <c r="A38" s="70">
        <f>IF($B38="","",COUNTA($B$10:$B38))</f>
        <v/>
      </c>
      <c r="B38" s="71" t="n"/>
      <c r="C38" s="71" t="n"/>
      <c r="D38" s="71" t="n"/>
      <c r="E38" s="71" t="n"/>
      <c r="F38" s="71" t="n"/>
      <c r="G38" s="73">
        <f>IF($F38="","",IFERROR(VLOOKUP($F38,AcctTbl,2,0),"کد ناشناخته"))</f>
        <v/>
      </c>
      <c r="H38" s="70">
        <f>IF($F38="","",IFERROR(VLOOKUP($F38,AcctTbl,3,0),""))</f>
        <v/>
      </c>
      <c r="I38" s="71" t="n"/>
      <c r="J38" s="71" t="n"/>
      <c r="K38" s="74" t="n"/>
      <c r="L38" s="71" t="n"/>
      <c r="M38" s="71" t="n"/>
      <c r="N38" s="71" t="n"/>
      <c r="O38" s="71" t="n"/>
      <c r="P38" s="72" t="n"/>
      <c r="Q38" s="72" t="n"/>
      <c r="R38" s="77">
        <f>IF($D38="","",IF($AA38="⚠","⚠ ناتراز",IF(AND($D38="پرداخت",$E38="چک",$L38=""),"⚠ وضعیت چک","✓")))</f>
        <v/>
      </c>
      <c r="S38" s="76">
        <f>IF(OR($D38="",$K38=""),"",IF(AND($D38="پرداخت",$E38&lt;&gt;"انتقال داخلی",$E38&lt;&gt;"پاس چک",$E38&lt;&gt;"برگشت چک"),$K38,0))</f>
        <v/>
      </c>
      <c r="T38" s="76">
        <f>IF(OR($D38="",$K38=""),"",IF(OR(AND($D38="دریافت",$E38&lt;&gt;"انتقال داخلی"),$E38="برگشت چک"),$K38,0))</f>
        <v/>
      </c>
      <c r="U38" s="76">
        <f>IF(OR($D38="",$K38=""),"",IF(OR(AND($D38="دریافت",$E38&lt;&gt;"چک"),$E38="انتقال داخلی"),$K38,0))</f>
        <v/>
      </c>
      <c r="V38" s="76">
        <f>IF(OR($D38="",$K38=""),"",IF(OR(AND($D38="پرداخت",$E38&lt;&gt;"چک",$E38&lt;&gt;"برگشت چک"),$E38="انتقال داخلی"),$K38,0))</f>
        <v/>
      </c>
      <c r="W38" s="76">
        <f>IF(OR($D38="",$K38=""),"",IF(OR($E38="پاس چک",$E38="برگشت چک",AND($D38="دریافت",$E38="چک")),$K38,0))</f>
        <v/>
      </c>
      <c r="X38" s="76">
        <f>IF(OR($D38="",$K38=""),"",IF(AND($D38="پرداخت",$E38="چک"),$K38,0))</f>
        <v/>
      </c>
      <c r="Y38" s="76">
        <f>SUM($S38,$U38,$W38)</f>
        <v/>
      </c>
      <c r="Z38" s="76">
        <f>SUM($T38,$V38,$X38)</f>
        <v/>
      </c>
      <c r="AA38" s="70">
        <f>IF($D38="","",IF(ROUND($Y38-$Z38,0)=0,"✓","⚠"))</f>
        <v/>
      </c>
      <c r="AB38" s="70">
        <f>IF($D38="","",IF($E38="نقد","X003",IF(OR($E38="چک",$E38="پاس چک",$E38="برگشت چک"),"X010",IF($I38="","X003","X011"))))</f>
        <v/>
      </c>
      <c r="AC38" s="70">
        <f>IF($D38="","",IF($E38="انتقال داخلی",IF($N38="","X003",IFERROR(VLOOKUP($N38,BankTbl,4,0),$N38)),IF($I38="","X003",IFERROR(VLOOKUP($I38,BankTbl,4,0),$I38))))</f>
        <v/>
      </c>
      <c r="AD38" s="70">
        <f>IF($D38="","",IF($E38="پاس چک","X010",IF($E38="برگشت چک",IF($I38="","X003","X011"),IF($E38="انتقال داخلی",IF($I38="","X003","X011"),IF($D38="پرداخت",$F38,IF($E38="چک","X009",IF($I38="","X003","X011")))))))</f>
        <v/>
      </c>
      <c r="AE38" s="76">
        <f>IF($D38="","",IF($K38="",0,$K38))</f>
        <v/>
      </c>
      <c r="AF38" s="70">
        <f>IF($D38="","",IF($E38="پاس چک",IF($I38="","X003","X011"),IF($E38="برگشت چک","X010",IF($E38="انتقال داخلی",IF($N38="","X003","X011"),IF($D38="پرداخت",IF($E38="چک","X010",IF($I38="","X003","X011")),$F38)))))</f>
        <v/>
      </c>
      <c r="AG38" s="76">
        <f>IF($D38="","",IF($K38="",0,$K38))</f>
        <v/>
      </c>
    </row>
    <row r="39" ht="21.75" customHeight="1">
      <c r="A39" s="70">
        <f>IF($B39="","",COUNTA($B$10:$B39))</f>
        <v/>
      </c>
      <c r="B39" s="71" t="n"/>
      <c r="C39" s="71" t="n"/>
      <c r="D39" s="71" t="n"/>
      <c r="E39" s="71" t="n"/>
      <c r="F39" s="71" t="n"/>
      <c r="G39" s="73">
        <f>IF($F39="","",IFERROR(VLOOKUP($F39,AcctTbl,2,0),"کد ناشناخته"))</f>
        <v/>
      </c>
      <c r="H39" s="70">
        <f>IF($F39="","",IFERROR(VLOOKUP($F39,AcctTbl,3,0),""))</f>
        <v/>
      </c>
      <c r="I39" s="71" t="n"/>
      <c r="J39" s="71" t="n"/>
      <c r="K39" s="74" t="n"/>
      <c r="L39" s="71" t="n"/>
      <c r="M39" s="71" t="n"/>
      <c r="N39" s="71" t="n"/>
      <c r="O39" s="71" t="n"/>
      <c r="P39" s="72" t="n"/>
      <c r="Q39" s="72" t="n"/>
      <c r="R39" s="77">
        <f>IF($D39="","",IF($AA39="⚠","⚠ ناتراز",IF(AND($D39="پرداخت",$E39="چک",$L39=""),"⚠ وضعیت چک","✓")))</f>
        <v/>
      </c>
      <c r="S39" s="76">
        <f>IF(OR($D39="",$K39=""),"",IF(AND($D39="پرداخت",$E39&lt;&gt;"انتقال داخلی",$E39&lt;&gt;"پاس چک",$E39&lt;&gt;"برگشت چک"),$K39,0))</f>
        <v/>
      </c>
      <c r="T39" s="76">
        <f>IF(OR($D39="",$K39=""),"",IF(OR(AND($D39="دریافت",$E39&lt;&gt;"انتقال داخلی"),$E39="برگشت چک"),$K39,0))</f>
        <v/>
      </c>
      <c r="U39" s="76">
        <f>IF(OR($D39="",$K39=""),"",IF(OR(AND($D39="دریافت",$E39&lt;&gt;"چک"),$E39="انتقال داخلی"),$K39,0))</f>
        <v/>
      </c>
      <c r="V39" s="76">
        <f>IF(OR($D39="",$K39=""),"",IF(OR(AND($D39="پرداخت",$E39&lt;&gt;"چک",$E39&lt;&gt;"برگشت چک"),$E39="انتقال داخلی"),$K39,0))</f>
        <v/>
      </c>
      <c r="W39" s="76">
        <f>IF(OR($D39="",$K39=""),"",IF(OR($E39="پاس چک",$E39="برگشت چک",AND($D39="دریافت",$E39="چک")),$K39,0))</f>
        <v/>
      </c>
      <c r="X39" s="76">
        <f>IF(OR($D39="",$K39=""),"",IF(AND($D39="پرداخت",$E39="چک"),$K39,0))</f>
        <v/>
      </c>
      <c r="Y39" s="76">
        <f>SUM($S39,$U39,$W39)</f>
        <v/>
      </c>
      <c r="Z39" s="76">
        <f>SUM($T39,$V39,$X39)</f>
        <v/>
      </c>
      <c r="AA39" s="70">
        <f>IF($D39="","",IF(ROUND($Y39-$Z39,0)=0,"✓","⚠"))</f>
        <v/>
      </c>
      <c r="AB39" s="70">
        <f>IF($D39="","",IF($E39="نقد","X003",IF(OR($E39="چک",$E39="پاس چک",$E39="برگشت چک"),"X010",IF($I39="","X003","X011"))))</f>
        <v/>
      </c>
      <c r="AC39" s="70">
        <f>IF($D39="","",IF($E39="انتقال داخلی",IF($N39="","X003",IFERROR(VLOOKUP($N39,BankTbl,4,0),$N39)),IF($I39="","X003",IFERROR(VLOOKUP($I39,BankTbl,4,0),$I39))))</f>
        <v/>
      </c>
      <c r="AD39" s="70">
        <f>IF($D39="","",IF($E39="پاس چک","X010",IF($E39="برگشت چک",IF($I39="","X003","X011"),IF($E39="انتقال داخلی",IF($I39="","X003","X011"),IF($D39="پرداخت",$F39,IF($E39="چک","X009",IF($I39="","X003","X011")))))))</f>
        <v/>
      </c>
      <c r="AE39" s="76">
        <f>IF($D39="","",IF($K39="",0,$K39))</f>
        <v/>
      </c>
      <c r="AF39" s="70">
        <f>IF($D39="","",IF($E39="پاس چک",IF($I39="","X003","X011"),IF($E39="برگشت چک","X010",IF($E39="انتقال داخلی",IF($N39="","X003","X011"),IF($D39="پرداخت",IF($E39="چک","X010",IF($I39="","X003","X011")),$F39)))))</f>
        <v/>
      </c>
      <c r="AG39" s="76">
        <f>IF($D39="","",IF($K39="",0,$K39))</f>
        <v/>
      </c>
    </row>
    <row r="40" ht="21.75" customHeight="1">
      <c r="A40" s="70">
        <f>IF($B40="","",COUNTA($B$10:$B40))</f>
        <v/>
      </c>
      <c r="B40" s="71" t="n"/>
      <c r="C40" s="71" t="n"/>
      <c r="D40" s="71" t="n"/>
      <c r="E40" s="71" t="n"/>
      <c r="F40" s="71" t="n"/>
      <c r="G40" s="73">
        <f>IF($F40="","",IFERROR(VLOOKUP($F40,AcctTbl,2,0),"کد ناشناخته"))</f>
        <v/>
      </c>
      <c r="H40" s="70">
        <f>IF($F40="","",IFERROR(VLOOKUP($F40,AcctTbl,3,0),""))</f>
        <v/>
      </c>
      <c r="I40" s="71" t="n"/>
      <c r="J40" s="71" t="n"/>
      <c r="K40" s="74" t="n"/>
      <c r="L40" s="71" t="n"/>
      <c r="M40" s="71" t="n"/>
      <c r="N40" s="71" t="n"/>
      <c r="O40" s="71" t="n"/>
      <c r="P40" s="72" t="n"/>
      <c r="Q40" s="72" t="n"/>
      <c r="R40" s="77">
        <f>IF($D40="","",IF($AA40="⚠","⚠ ناتراز",IF(AND($D40="پرداخت",$E40="چک",$L40=""),"⚠ وضعیت چک","✓")))</f>
        <v/>
      </c>
      <c r="S40" s="76">
        <f>IF(OR($D40="",$K40=""),"",IF(AND($D40="پرداخت",$E40&lt;&gt;"انتقال داخلی",$E40&lt;&gt;"پاس چک",$E40&lt;&gt;"برگشت چک"),$K40,0))</f>
        <v/>
      </c>
      <c r="T40" s="76">
        <f>IF(OR($D40="",$K40=""),"",IF(OR(AND($D40="دریافت",$E40&lt;&gt;"انتقال داخلی"),$E40="برگشت چک"),$K40,0))</f>
        <v/>
      </c>
      <c r="U40" s="76">
        <f>IF(OR($D40="",$K40=""),"",IF(OR(AND($D40="دریافت",$E40&lt;&gt;"چک"),$E40="انتقال داخلی"),$K40,0))</f>
        <v/>
      </c>
      <c r="V40" s="76">
        <f>IF(OR($D40="",$K40=""),"",IF(OR(AND($D40="پرداخت",$E40&lt;&gt;"چک",$E40&lt;&gt;"برگشت چک"),$E40="انتقال داخلی"),$K40,0))</f>
        <v/>
      </c>
      <c r="W40" s="76">
        <f>IF(OR($D40="",$K40=""),"",IF(OR($E40="پاس چک",$E40="برگشت چک",AND($D40="دریافت",$E40="چک")),$K40,0))</f>
        <v/>
      </c>
      <c r="X40" s="76">
        <f>IF(OR($D40="",$K40=""),"",IF(AND($D40="پرداخت",$E40="چک"),$K40,0))</f>
        <v/>
      </c>
      <c r="Y40" s="76">
        <f>SUM($S40,$U40,$W40)</f>
        <v/>
      </c>
      <c r="Z40" s="76">
        <f>SUM($T40,$V40,$X40)</f>
        <v/>
      </c>
      <c r="AA40" s="70">
        <f>IF($D40="","",IF(ROUND($Y40-$Z40,0)=0,"✓","⚠"))</f>
        <v/>
      </c>
      <c r="AB40" s="70">
        <f>IF($D40="","",IF($E40="نقد","X003",IF(OR($E40="چک",$E40="پاس چک",$E40="برگشت چک"),"X010",IF($I40="","X003","X011"))))</f>
        <v/>
      </c>
      <c r="AC40" s="70">
        <f>IF($D40="","",IF($E40="انتقال داخلی",IF($N40="","X003",IFERROR(VLOOKUP($N40,BankTbl,4,0),$N40)),IF($I40="","X003",IFERROR(VLOOKUP($I40,BankTbl,4,0),$I40))))</f>
        <v/>
      </c>
      <c r="AD40" s="70">
        <f>IF($D40="","",IF($E40="پاس چک","X010",IF($E40="برگشت چک",IF($I40="","X003","X011"),IF($E40="انتقال داخلی",IF($I40="","X003","X011"),IF($D40="پرداخت",$F40,IF($E40="چک","X009",IF($I40="","X003","X011")))))))</f>
        <v/>
      </c>
      <c r="AE40" s="76">
        <f>IF($D40="","",IF($K40="",0,$K40))</f>
        <v/>
      </c>
      <c r="AF40" s="70">
        <f>IF($D40="","",IF($E40="پاس چک",IF($I40="","X003","X011"),IF($E40="برگشت چک","X010",IF($E40="انتقال داخلی",IF($N40="","X003","X011"),IF($D40="پرداخت",IF($E40="چک","X010",IF($I40="","X003","X011")),$F40)))))</f>
        <v/>
      </c>
      <c r="AG40" s="76">
        <f>IF($D40="","",IF($K40="",0,$K40))</f>
        <v/>
      </c>
    </row>
    <row r="41" ht="21.75" customHeight="1">
      <c r="A41" s="70">
        <f>IF($B41="","",COUNTA($B$10:$B41))</f>
        <v/>
      </c>
      <c r="B41" s="71" t="n"/>
      <c r="C41" s="71" t="n"/>
      <c r="D41" s="71" t="n"/>
      <c r="E41" s="71" t="n"/>
      <c r="F41" s="71" t="n"/>
      <c r="G41" s="73">
        <f>IF($F41="","",IFERROR(VLOOKUP($F41,AcctTbl,2,0),"کد ناشناخته"))</f>
        <v/>
      </c>
      <c r="H41" s="70">
        <f>IF($F41="","",IFERROR(VLOOKUP($F41,AcctTbl,3,0),""))</f>
        <v/>
      </c>
      <c r="I41" s="71" t="n"/>
      <c r="J41" s="71" t="n"/>
      <c r="K41" s="74" t="n"/>
      <c r="L41" s="71" t="n"/>
      <c r="M41" s="71" t="n"/>
      <c r="N41" s="71" t="n"/>
      <c r="O41" s="71" t="n"/>
      <c r="P41" s="72" t="n"/>
      <c r="Q41" s="72" t="n"/>
      <c r="R41" s="77">
        <f>IF($D41="","",IF($AA41="⚠","⚠ ناتراز",IF(AND($D41="پرداخت",$E41="چک",$L41=""),"⚠ وضعیت چک","✓")))</f>
        <v/>
      </c>
      <c r="S41" s="76">
        <f>IF(OR($D41="",$K41=""),"",IF(AND($D41="پرداخت",$E41&lt;&gt;"انتقال داخلی",$E41&lt;&gt;"پاس چک",$E41&lt;&gt;"برگشت چک"),$K41,0))</f>
        <v/>
      </c>
      <c r="T41" s="76">
        <f>IF(OR($D41="",$K41=""),"",IF(OR(AND($D41="دریافت",$E41&lt;&gt;"انتقال داخلی"),$E41="برگشت چک"),$K41,0))</f>
        <v/>
      </c>
      <c r="U41" s="76">
        <f>IF(OR($D41="",$K41=""),"",IF(OR(AND($D41="دریافت",$E41&lt;&gt;"چک"),$E41="انتقال داخلی"),$K41,0))</f>
        <v/>
      </c>
      <c r="V41" s="76">
        <f>IF(OR($D41="",$K41=""),"",IF(OR(AND($D41="پرداخت",$E41&lt;&gt;"چک",$E41&lt;&gt;"برگشت چک"),$E41="انتقال داخلی"),$K41,0))</f>
        <v/>
      </c>
      <c r="W41" s="76">
        <f>IF(OR($D41="",$K41=""),"",IF(OR($E41="پاس چک",$E41="برگشت چک",AND($D41="دریافت",$E41="چک")),$K41,0))</f>
        <v/>
      </c>
      <c r="X41" s="76">
        <f>IF(OR($D41="",$K41=""),"",IF(AND($D41="پرداخت",$E41="چک"),$K41,0))</f>
        <v/>
      </c>
      <c r="Y41" s="76">
        <f>SUM($S41,$U41,$W41)</f>
        <v/>
      </c>
      <c r="Z41" s="76">
        <f>SUM($T41,$V41,$X41)</f>
        <v/>
      </c>
      <c r="AA41" s="70">
        <f>IF($D41="","",IF(ROUND($Y41-$Z41,0)=0,"✓","⚠"))</f>
        <v/>
      </c>
      <c r="AB41" s="70">
        <f>IF($D41="","",IF($E41="نقد","X003",IF(OR($E41="چک",$E41="پاس چک",$E41="برگشت چک"),"X010",IF($I41="","X003","X011"))))</f>
        <v/>
      </c>
      <c r="AC41" s="70">
        <f>IF($D41="","",IF($E41="انتقال داخلی",IF($N41="","X003",IFERROR(VLOOKUP($N41,BankTbl,4,0),$N41)),IF($I41="","X003",IFERROR(VLOOKUP($I41,BankTbl,4,0),$I41))))</f>
        <v/>
      </c>
      <c r="AD41" s="70">
        <f>IF($D41="","",IF($E41="پاس چک","X010",IF($E41="برگشت چک",IF($I41="","X003","X011"),IF($E41="انتقال داخلی",IF($I41="","X003","X011"),IF($D41="پرداخت",$F41,IF($E41="چک","X009",IF($I41="","X003","X011")))))))</f>
        <v/>
      </c>
      <c r="AE41" s="76">
        <f>IF($D41="","",IF($K41="",0,$K41))</f>
        <v/>
      </c>
      <c r="AF41" s="70">
        <f>IF($D41="","",IF($E41="پاس چک",IF($I41="","X003","X011"),IF($E41="برگشت چک","X010",IF($E41="انتقال داخلی",IF($N41="","X003","X011"),IF($D41="پرداخت",IF($E41="چک","X010",IF($I41="","X003","X011")),$F41)))))</f>
        <v/>
      </c>
      <c r="AG41" s="76">
        <f>IF($D41="","",IF($K41="",0,$K41))</f>
        <v/>
      </c>
    </row>
    <row r="42" ht="21.75" customHeight="1">
      <c r="A42" s="70">
        <f>IF($B42="","",COUNTA($B$10:$B42))</f>
        <v/>
      </c>
      <c r="B42" s="71" t="n"/>
      <c r="C42" s="71" t="n"/>
      <c r="D42" s="71" t="n"/>
      <c r="E42" s="71" t="n"/>
      <c r="F42" s="71" t="n"/>
      <c r="G42" s="73">
        <f>IF($F42="","",IFERROR(VLOOKUP($F42,AcctTbl,2,0),"کد ناشناخته"))</f>
        <v/>
      </c>
      <c r="H42" s="70">
        <f>IF($F42="","",IFERROR(VLOOKUP($F42,AcctTbl,3,0),""))</f>
        <v/>
      </c>
      <c r="I42" s="71" t="n"/>
      <c r="J42" s="71" t="n"/>
      <c r="K42" s="74" t="n"/>
      <c r="L42" s="71" t="n"/>
      <c r="M42" s="71" t="n"/>
      <c r="N42" s="71" t="n"/>
      <c r="O42" s="71" t="n"/>
      <c r="P42" s="72" t="n"/>
      <c r="Q42" s="72" t="n"/>
      <c r="R42" s="77">
        <f>IF($D42="","",IF($AA42="⚠","⚠ ناتراز",IF(AND($D42="پرداخت",$E42="چک",$L42=""),"⚠ وضعیت چک","✓")))</f>
        <v/>
      </c>
      <c r="S42" s="76">
        <f>IF(OR($D42="",$K42=""),"",IF(AND($D42="پرداخت",$E42&lt;&gt;"انتقال داخلی",$E42&lt;&gt;"پاس چک",$E42&lt;&gt;"برگشت چک"),$K42,0))</f>
        <v/>
      </c>
      <c r="T42" s="76">
        <f>IF(OR($D42="",$K42=""),"",IF(OR(AND($D42="دریافت",$E42&lt;&gt;"انتقال داخلی"),$E42="برگشت چک"),$K42,0))</f>
        <v/>
      </c>
      <c r="U42" s="76">
        <f>IF(OR($D42="",$K42=""),"",IF(OR(AND($D42="دریافت",$E42&lt;&gt;"چک"),$E42="انتقال داخلی"),$K42,0))</f>
        <v/>
      </c>
      <c r="V42" s="76">
        <f>IF(OR($D42="",$K42=""),"",IF(OR(AND($D42="پرداخت",$E42&lt;&gt;"چک",$E42&lt;&gt;"برگشت چک"),$E42="انتقال داخلی"),$K42,0))</f>
        <v/>
      </c>
      <c r="W42" s="76">
        <f>IF(OR($D42="",$K42=""),"",IF(OR($E42="پاس چک",$E42="برگشت چک",AND($D42="دریافت",$E42="چک")),$K42,0))</f>
        <v/>
      </c>
      <c r="X42" s="76">
        <f>IF(OR($D42="",$K42=""),"",IF(AND($D42="پرداخت",$E42="چک"),$K42,0))</f>
        <v/>
      </c>
      <c r="Y42" s="76">
        <f>SUM($S42,$U42,$W42)</f>
        <v/>
      </c>
      <c r="Z42" s="76">
        <f>SUM($T42,$V42,$X42)</f>
        <v/>
      </c>
      <c r="AA42" s="70">
        <f>IF($D42="","",IF(ROUND($Y42-$Z42,0)=0,"✓","⚠"))</f>
        <v/>
      </c>
      <c r="AB42" s="70">
        <f>IF($D42="","",IF($E42="نقد","X003",IF(OR($E42="چک",$E42="پاس چک",$E42="برگشت چک"),"X010",IF($I42="","X003","X011"))))</f>
        <v/>
      </c>
      <c r="AC42" s="70">
        <f>IF($D42="","",IF($E42="انتقال داخلی",IF($N42="","X003",IFERROR(VLOOKUP($N42,BankTbl,4,0),$N42)),IF($I42="","X003",IFERROR(VLOOKUP($I42,BankTbl,4,0),$I42))))</f>
        <v/>
      </c>
      <c r="AD42" s="70">
        <f>IF($D42="","",IF($E42="پاس چک","X010",IF($E42="برگشت چک",IF($I42="","X003","X011"),IF($E42="انتقال داخلی",IF($I42="","X003","X011"),IF($D42="پرداخت",$F42,IF($E42="چک","X009",IF($I42="","X003","X011")))))))</f>
        <v/>
      </c>
      <c r="AE42" s="76">
        <f>IF($D42="","",IF($K42="",0,$K42))</f>
        <v/>
      </c>
      <c r="AF42" s="70">
        <f>IF($D42="","",IF($E42="پاس چک",IF($I42="","X003","X011"),IF($E42="برگشت چک","X010",IF($E42="انتقال داخلی",IF($N42="","X003","X011"),IF($D42="پرداخت",IF($E42="چک","X010",IF($I42="","X003","X011")),$F42)))))</f>
        <v/>
      </c>
      <c r="AG42" s="76">
        <f>IF($D42="","",IF($K42="",0,$K42))</f>
        <v/>
      </c>
    </row>
    <row r="43" ht="21.75" customHeight="1">
      <c r="A43" s="70">
        <f>IF($B43="","",COUNTA($B$10:$B43))</f>
        <v/>
      </c>
      <c r="B43" s="71" t="n"/>
      <c r="C43" s="71" t="n"/>
      <c r="D43" s="71" t="n"/>
      <c r="E43" s="71" t="n"/>
      <c r="F43" s="71" t="n"/>
      <c r="G43" s="73">
        <f>IF($F43="","",IFERROR(VLOOKUP($F43,AcctTbl,2,0),"کد ناشناخته"))</f>
        <v/>
      </c>
      <c r="H43" s="70">
        <f>IF($F43="","",IFERROR(VLOOKUP($F43,AcctTbl,3,0),""))</f>
        <v/>
      </c>
      <c r="I43" s="71" t="n"/>
      <c r="J43" s="71" t="n"/>
      <c r="K43" s="74" t="n"/>
      <c r="L43" s="71" t="n"/>
      <c r="M43" s="71" t="n"/>
      <c r="N43" s="71" t="n"/>
      <c r="O43" s="71" t="n"/>
      <c r="P43" s="72" t="n"/>
      <c r="Q43" s="72" t="n"/>
      <c r="R43" s="77">
        <f>IF($D43="","",IF($AA43="⚠","⚠ ناتراز",IF(AND($D43="پرداخت",$E43="چک",$L43=""),"⚠ وضعیت چک","✓")))</f>
        <v/>
      </c>
      <c r="S43" s="76">
        <f>IF(OR($D43="",$K43=""),"",IF(AND($D43="پرداخت",$E43&lt;&gt;"انتقال داخلی",$E43&lt;&gt;"پاس چک",$E43&lt;&gt;"برگشت چک"),$K43,0))</f>
        <v/>
      </c>
      <c r="T43" s="76">
        <f>IF(OR($D43="",$K43=""),"",IF(OR(AND($D43="دریافت",$E43&lt;&gt;"انتقال داخلی"),$E43="برگشت چک"),$K43,0))</f>
        <v/>
      </c>
      <c r="U43" s="76">
        <f>IF(OR($D43="",$K43=""),"",IF(OR(AND($D43="دریافت",$E43&lt;&gt;"چک"),$E43="انتقال داخلی"),$K43,0))</f>
        <v/>
      </c>
      <c r="V43" s="76">
        <f>IF(OR($D43="",$K43=""),"",IF(OR(AND($D43="پرداخت",$E43&lt;&gt;"چک",$E43&lt;&gt;"برگشت چک"),$E43="انتقال داخلی"),$K43,0))</f>
        <v/>
      </c>
      <c r="W43" s="76">
        <f>IF(OR($D43="",$K43=""),"",IF(OR($E43="پاس چک",$E43="برگشت چک",AND($D43="دریافت",$E43="چک")),$K43,0))</f>
        <v/>
      </c>
      <c r="X43" s="76">
        <f>IF(OR($D43="",$K43=""),"",IF(AND($D43="پرداخت",$E43="چک"),$K43,0))</f>
        <v/>
      </c>
      <c r="Y43" s="76">
        <f>SUM($S43,$U43,$W43)</f>
        <v/>
      </c>
      <c r="Z43" s="76">
        <f>SUM($T43,$V43,$X43)</f>
        <v/>
      </c>
      <c r="AA43" s="70">
        <f>IF($D43="","",IF(ROUND($Y43-$Z43,0)=0,"✓","⚠"))</f>
        <v/>
      </c>
      <c r="AB43" s="70">
        <f>IF($D43="","",IF($E43="نقد","X003",IF(OR($E43="چک",$E43="پاس چک",$E43="برگشت چک"),"X010",IF($I43="","X003","X011"))))</f>
        <v/>
      </c>
      <c r="AC43" s="70">
        <f>IF($D43="","",IF($E43="انتقال داخلی",IF($N43="","X003",IFERROR(VLOOKUP($N43,BankTbl,4,0),$N43)),IF($I43="","X003",IFERROR(VLOOKUP($I43,BankTbl,4,0),$I43))))</f>
        <v/>
      </c>
      <c r="AD43" s="70">
        <f>IF($D43="","",IF($E43="پاس چک","X010",IF($E43="برگشت چک",IF($I43="","X003","X011"),IF($E43="انتقال داخلی",IF($I43="","X003","X011"),IF($D43="پرداخت",$F43,IF($E43="چک","X009",IF($I43="","X003","X011")))))))</f>
        <v/>
      </c>
      <c r="AE43" s="76">
        <f>IF($D43="","",IF($K43="",0,$K43))</f>
        <v/>
      </c>
      <c r="AF43" s="70">
        <f>IF($D43="","",IF($E43="پاس چک",IF($I43="","X003","X011"),IF($E43="برگشت چک","X010",IF($E43="انتقال داخلی",IF($N43="","X003","X011"),IF($D43="پرداخت",IF($E43="چک","X010",IF($I43="","X003","X011")),$F43)))))</f>
        <v/>
      </c>
      <c r="AG43" s="76">
        <f>IF($D43="","",IF($K43="",0,$K43))</f>
        <v/>
      </c>
    </row>
    <row r="44" ht="21.75" customHeight="1">
      <c r="A44" s="70">
        <f>IF($B44="","",COUNTA($B$10:$B44))</f>
        <v/>
      </c>
      <c r="B44" s="71" t="n"/>
      <c r="C44" s="71" t="n"/>
      <c r="D44" s="71" t="n"/>
      <c r="E44" s="71" t="n"/>
      <c r="F44" s="71" t="n"/>
      <c r="G44" s="73">
        <f>IF($F44="","",IFERROR(VLOOKUP($F44,AcctTbl,2,0),"کد ناشناخته"))</f>
        <v/>
      </c>
      <c r="H44" s="70">
        <f>IF($F44="","",IFERROR(VLOOKUP($F44,AcctTbl,3,0),""))</f>
        <v/>
      </c>
      <c r="I44" s="71" t="n"/>
      <c r="J44" s="71" t="n"/>
      <c r="K44" s="74" t="n"/>
      <c r="L44" s="71" t="n"/>
      <c r="M44" s="71" t="n"/>
      <c r="N44" s="71" t="n"/>
      <c r="O44" s="71" t="n"/>
      <c r="P44" s="72" t="n"/>
      <c r="Q44" s="72" t="n"/>
      <c r="R44" s="77">
        <f>IF($D44="","",IF($AA44="⚠","⚠ ناتراز",IF(AND($D44="پرداخت",$E44="چک",$L44=""),"⚠ وضعیت چک","✓")))</f>
        <v/>
      </c>
      <c r="S44" s="76">
        <f>IF(OR($D44="",$K44=""),"",IF(AND($D44="پرداخت",$E44&lt;&gt;"انتقال داخلی",$E44&lt;&gt;"پاس چک",$E44&lt;&gt;"برگشت چک"),$K44,0))</f>
        <v/>
      </c>
      <c r="T44" s="76">
        <f>IF(OR($D44="",$K44=""),"",IF(OR(AND($D44="دریافت",$E44&lt;&gt;"انتقال داخلی"),$E44="برگشت چک"),$K44,0))</f>
        <v/>
      </c>
      <c r="U44" s="76">
        <f>IF(OR($D44="",$K44=""),"",IF(OR(AND($D44="دریافت",$E44&lt;&gt;"چک"),$E44="انتقال داخلی"),$K44,0))</f>
        <v/>
      </c>
      <c r="V44" s="76">
        <f>IF(OR($D44="",$K44=""),"",IF(OR(AND($D44="پرداخت",$E44&lt;&gt;"چک",$E44&lt;&gt;"برگشت چک"),$E44="انتقال داخلی"),$K44,0))</f>
        <v/>
      </c>
      <c r="W44" s="76">
        <f>IF(OR($D44="",$K44=""),"",IF(OR($E44="پاس چک",$E44="برگشت چک",AND($D44="دریافت",$E44="چک")),$K44,0))</f>
        <v/>
      </c>
      <c r="X44" s="76">
        <f>IF(OR($D44="",$K44=""),"",IF(AND($D44="پرداخت",$E44="چک"),$K44,0))</f>
        <v/>
      </c>
      <c r="Y44" s="76">
        <f>SUM($S44,$U44,$W44)</f>
        <v/>
      </c>
      <c r="Z44" s="76">
        <f>SUM($T44,$V44,$X44)</f>
        <v/>
      </c>
      <c r="AA44" s="70">
        <f>IF($D44="","",IF(ROUND($Y44-$Z44,0)=0,"✓","⚠"))</f>
        <v/>
      </c>
      <c r="AB44" s="70">
        <f>IF($D44="","",IF($E44="نقد","X003",IF(OR($E44="چک",$E44="پاس چک",$E44="برگشت چک"),"X010",IF($I44="","X003","X011"))))</f>
        <v/>
      </c>
      <c r="AC44" s="70">
        <f>IF($D44="","",IF($E44="انتقال داخلی",IF($N44="","X003",IFERROR(VLOOKUP($N44,BankTbl,4,0),$N44)),IF($I44="","X003",IFERROR(VLOOKUP($I44,BankTbl,4,0),$I44))))</f>
        <v/>
      </c>
      <c r="AD44" s="70">
        <f>IF($D44="","",IF($E44="پاس چک","X010",IF($E44="برگشت چک",IF($I44="","X003","X011"),IF($E44="انتقال داخلی",IF($I44="","X003","X011"),IF($D44="پرداخت",$F44,IF($E44="چک","X009",IF($I44="","X003","X011")))))))</f>
        <v/>
      </c>
      <c r="AE44" s="76">
        <f>IF($D44="","",IF($K44="",0,$K44))</f>
        <v/>
      </c>
      <c r="AF44" s="70">
        <f>IF($D44="","",IF($E44="پاس چک",IF($I44="","X003","X011"),IF($E44="برگشت چک","X010",IF($E44="انتقال داخلی",IF($N44="","X003","X011"),IF($D44="پرداخت",IF($E44="چک","X010",IF($I44="","X003","X011")),$F44)))))</f>
        <v/>
      </c>
      <c r="AG44" s="76">
        <f>IF($D44="","",IF($K44="",0,$K44))</f>
        <v/>
      </c>
    </row>
    <row r="45" ht="21.75" customHeight="1">
      <c r="A45" s="70">
        <f>IF($B45="","",COUNTA($B$10:$B45))</f>
        <v/>
      </c>
      <c r="B45" s="71" t="n"/>
      <c r="C45" s="71" t="n"/>
      <c r="D45" s="71" t="n"/>
      <c r="E45" s="71" t="n"/>
      <c r="F45" s="71" t="n"/>
      <c r="G45" s="73">
        <f>IF($F45="","",IFERROR(VLOOKUP($F45,AcctTbl,2,0),"کد ناشناخته"))</f>
        <v/>
      </c>
      <c r="H45" s="70">
        <f>IF($F45="","",IFERROR(VLOOKUP($F45,AcctTbl,3,0),""))</f>
        <v/>
      </c>
      <c r="I45" s="71" t="n"/>
      <c r="J45" s="71" t="n"/>
      <c r="K45" s="74" t="n"/>
      <c r="L45" s="71" t="n"/>
      <c r="M45" s="71" t="n"/>
      <c r="N45" s="71" t="n"/>
      <c r="O45" s="71" t="n"/>
      <c r="P45" s="72" t="n"/>
      <c r="Q45" s="72" t="n"/>
      <c r="R45" s="77">
        <f>IF($D45="","",IF($AA45="⚠","⚠ ناتراز",IF(AND($D45="پرداخت",$E45="چک",$L45=""),"⚠ وضعیت چک","✓")))</f>
        <v/>
      </c>
      <c r="S45" s="76">
        <f>IF(OR($D45="",$K45=""),"",IF(AND($D45="پرداخت",$E45&lt;&gt;"انتقال داخلی",$E45&lt;&gt;"پاس چک",$E45&lt;&gt;"برگشت چک"),$K45,0))</f>
        <v/>
      </c>
      <c r="T45" s="76">
        <f>IF(OR($D45="",$K45=""),"",IF(OR(AND($D45="دریافت",$E45&lt;&gt;"انتقال داخلی"),$E45="برگشت چک"),$K45,0))</f>
        <v/>
      </c>
      <c r="U45" s="76">
        <f>IF(OR($D45="",$K45=""),"",IF(OR(AND($D45="دریافت",$E45&lt;&gt;"چک"),$E45="انتقال داخلی"),$K45,0))</f>
        <v/>
      </c>
      <c r="V45" s="76">
        <f>IF(OR($D45="",$K45=""),"",IF(OR(AND($D45="پرداخت",$E45&lt;&gt;"چک",$E45&lt;&gt;"برگشت چک"),$E45="انتقال داخلی"),$K45,0))</f>
        <v/>
      </c>
      <c r="W45" s="76">
        <f>IF(OR($D45="",$K45=""),"",IF(OR($E45="پاس چک",$E45="برگشت چک",AND($D45="دریافت",$E45="چک")),$K45,0))</f>
        <v/>
      </c>
      <c r="X45" s="76">
        <f>IF(OR($D45="",$K45=""),"",IF(AND($D45="پرداخت",$E45="چک"),$K45,0))</f>
        <v/>
      </c>
      <c r="Y45" s="76">
        <f>SUM($S45,$U45,$W45)</f>
        <v/>
      </c>
      <c r="Z45" s="76">
        <f>SUM($T45,$V45,$X45)</f>
        <v/>
      </c>
      <c r="AA45" s="70">
        <f>IF($D45="","",IF(ROUND($Y45-$Z45,0)=0,"✓","⚠"))</f>
        <v/>
      </c>
      <c r="AB45" s="70">
        <f>IF($D45="","",IF($E45="نقد","X003",IF(OR($E45="چک",$E45="پاس چک",$E45="برگشت چک"),"X010",IF($I45="","X003","X011"))))</f>
        <v/>
      </c>
      <c r="AC45" s="70">
        <f>IF($D45="","",IF($E45="انتقال داخلی",IF($N45="","X003",IFERROR(VLOOKUP($N45,BankTbl,4,0),$N45)),IF($I45="","X003",IFERROR(VLOOKUP($I45,BankTbl,4,0),$I45))))</f>
        <v/>
      </c>
      <c r="AD45" s="70">
        <f>IF($D45="","",IF($E45="پاس چک","X010",IF($E45="برگشت چک",IF($I45="","X003","X011"),IF($E45="انتقال داخلی",IF($I45="","X003","X011"),IF($D45="پرداخت",$F45,IF($E45="چک","X009",IF($I45="","X003","X011")))))))</f>
        <v/>
      </c>
      <c r="AE45" s="76">
        <f>IF($D45="","",IF($K45="",0,$K45))</f>
        <v/>
      </c>
      <c r="AF45" s="70">
        <f>IF($D45="","",IF($E45="پاس چک",IF($I45="","X003","X011"),IF($E45="برگشت چک","X010",IF($E45="انتقال داخلی",IF($N45="","X003","X011"),IF($D45="پرداخت",IF($E45="چک","X010",IF($I45="","X003","X011")),$F45)))))</f>
        <v/>
      </c>
      <c r="AG45" s="76">
        <f>IF($D45="","",IF($K45="",0,$K45))</f>
        <v/>
      </c>
    </row>
    <row r="46" ht="21.75" customHeight="1">
      <c r="A46" s="70">
        <f>IF($B46="","",COUNTA($B$10:$B46))</f>
        <v/>
      </c>
      <c r="B46" s="71" t="n"/>
      <c r="C46" s="71" t="n"/>
      <c r="D46" s="71" t="n"/>
      <c r="E46" s="71" t="n"/>
      <c r="F46" s="71" t="n"/>
      <c r="G46" s="73">
        <f>IF($F46="","",IFERROR(VLOOKUP($F46,AcctTbl,2,0),"کد ناشناخته"))</f>
        <v/>
      </c>
      <c r="H46" s="70">
        <f>IF($F46="","",IFERROR(VLOOKUP($F46,AcctTbl,3,0),""))</f>
        <v/>
      </c>
      <c r="I46" s="71" t="n"/>
      <c r="J46" s="71" t="n"/>
      <c r="K46" s="74" t="n"/>
      <c r="L46" s="71" t="n"/>
      <c r="M46" s="71" t="n"/>
      <c r="N46" s="71" t="n"/>
      <c r="O46" s="71" t="n"/>
      <c r="P46" s="72" t="n"/>
      <c r="Q46" s="72" t="n"/>
      <c r="R46" s="77">
        <f>IF($D46="","",IF($AA46="⚠","⚠ ناتراز",IF(AND($D46="پرداخت",$E46="چک",$L46=""),"⚠ وضعیت چک","✓")))</f>
        <v/>
      </c>
      <c r="S46" s="76">
        <f>IF(OR($D46="",$K46=""),"",IF(AND($D46="پرداخت",$E46&lt;&gt;"انتقال داخلی",$E46&lt;&gt;"پاس چک",$E46&lt;&gt;"برگشت چک"),$K46,0))</f>
        <v/>
      </c>
      <c r="T46" s="76">
        <f>IF(OR($D46="",$K46=""),"",IF(OR(AND($D46="دریافت",$E46&lt;&gt;"انتقال داخلی"),$E46="برگشت چک"),$K46,0))</f>
        <v/>
      </c>
      <c r="U46" s="76">
        <f>IF(OR($D46="",$K46=""),"",IF(OR(AND($D46="دریافت",$E46&lt;&gt;"چک"),$E46="انتقال داخلی"),$K46,0))</f>
        <v/>
      </c>
      <c r="V46" s="76">
        <f>IF(OR($D46="",$K46=""),"",IF(OR(AND($D46="پرداخت",$E46&lt;&gt;"چک",$E46&lt;&gt;"برگشت چک"),$E46="انتقال داخلی"),$K46,0))</f>
        <v/>
      </c>
      <c r="W46" s="76">
        <f>IF(OR($D46="",$K46=""),"",IF(OR($E46="پاس چک",$E46="برگشت چک",AND($D46="دریافت",$E46="چک")),$K46,0))</f>
        <v/>
      </c>
      <c r="X46" s="76">
        <f>IF(OR($D46="",$K46=""),"",IF(AND($D46="پرداخت",$E46="چک"),$K46,0))</f>
        <v/>
      </c>
      <c r="Y46" s="76">
        <f>SUM($S46,$U46,$W46)</f>
        <v/>
      </c>
      <c r="Z46" s="76">
        <f>SUM($T46,$V46,$X46)</f>
        <v/>
      </c>
      <c r="AA46" s="70">
        <f>IF($D46="","",IF(ROUND($Y46-$Z46,0)=0,"✓","⚠"))</f>
        <v/>
      </c>
      <c r="AB46" s="70">
        <f>IF($D46="","",IF($E46="نقد","X003",IF(OR($E46="چک",$E46="پاس چک",$E46="برگشت چک"),"X010",IF($I46="","X003","X011"))))</f>
        <v/>
      </c>
      <c r="AC46" s="70">
        <f>IF($D46="","",IF($E46="انتقال داخلی",IF($N46="","X003",IFERROR(VLOOKUP($N46,BankTbl,4,0),$N46)),IF($I46="","X003",IFERROR(VLOOKUP($I46,BankTbl,4,0),$I46))))</f>
        <v/>
      </c>
      <c r="AD46" s="70">
        <f>IF($D46="","",IF($E46="پاس چک","X010",IF($E46="برگشت چک",IF($I46="","X003","X011"),IF($E46="انتقال داخلی",IF($I46="","X003","X011"),IF($D46="پرداخت",$F46,IF($E46="چک","X009",IF($I46="","X003","X011")))))))</f>
        <v/>
      </c>
      <c r="AE46" s="76">
        <f>IF($D46="","",IF($K46="",0,$K46))</f>
        <v/>
      </c>
      <c r="AF46" s="70">
        <f>IF($D46="","",IF($E46="پاس چک",IF($I46="","X003","X011"),IF($E46="برگشت چک","X010",IF($E46="انتقال داخلی",IF($N46="","X003","X011"),IF($D46="پرداخت",IF($E46="چک","X010",IF($I46="","X003","X011")),$F46)))))</f>
        <v/>
      </c>
      <c r="AG46" s="76">
        <f>IF($D46="","",IF($K46="",0,$K46))</f>
        <v/>
      </c>
    </row>
    <row r="47" ht="21.75" customHeight="1">
      <c r="A47" s="70">
        <f>IF($B47="","",COUNTA($B$10:$B47))</f>
        <v/>
      </c>
      <c r="B47" s="71" t="n"/>
      <c r="C47" s="71" t="n"/>
      <c r="D47" s="71" t="n"/>
      <c r="E47" s="71" t="n"/>
      <c r="F47" s="71" t="n"/>
      <c r="G47" s="73">
        <f>IF($F47="","",IFERROR(VLOOKUP($F47,AcctTbl,2,0),"کد ناشناخته"))</f>
        <v/>
      </c>
      <c r="H47" s="70">
        <f>IF($F47="","",IFERROR(VLOOKUP($F47,AcctTbl,3,0),""))</f>
        <v/>
      </c>
      <c r="I47" s="71" t="n"/>
      <c r="J47" s="71" t="n"/>
      <c r="K47" s="74" t="n"/>
      <c r="L47" s="71" t="n"/>
      <c r="M47" s="71" t="n"/>
      <c r="N47" s="71" t="n"/>
      <c r="O47" s="71" t="n"/>
      <c r="P47" s="72" t="n"/>
      <c r="Q47" s="72" t="n"/>
      <c r="R47" s="77">
        <f>IF($D47="","",IF($AA47="⚠","⚠ ناتراز",IF(AND($D47="پرداخت",$E47="چک",$L47=""),"⚠ وضعیت چک","✓")))</f>
        <v/>
      </c>
      <c r="S47" s="76">
        <f>IF(OR($D47="",$K47=""),"",IF(AND($D47="پرداخت",$E47&lt;&gt;"انتقال داخلی",$E47&lt;&gt;"پاس چک",$E47&lt;&gt;"برگشت چک"),$K47,0))</f>
        <v/>
      </c>
      <c r="T47" s="76">
        <f>IF(OR($D47="",$K47=""),"",IF(OR(AND($D47="دریافت",$E47&lt;&gt;"انتقال داخلی"),$E47="برگشت چک"),$K47,0))</f>
        <v/>
      </c>
      <c r="U47" s="76">
        <f>IF(OR($D47="",$K47=""),"",IF(OR(AND($D47="دریافت",$E47&lt;&gt;"چک"),$E47="انتقال داخلی"),$K47,0))</f>
        <v/>
      </c>
      <c r="V47" s="76">
        <f>IF(OR($D47="",$K47=""),"",IF(OR(AND($D47="پرداخت",$E47&lt;&gt;"چک",$E47&lt;&gt;"برگشت چک"),$E47="انتقال داخلی"),$K47,0))</f>
        <v/>
      </c>
      <c r="W47" s="76">
        <f>IF(OR($D47="",$K47=""),"",IF(OR($E47="پاس چک",$E47="برگشت چک",AND($D47="دریافت",$E47="چک")),$K47,0))</f>
        <v/>
      </c>
      <c r="X47" s="76">
        <f>IF(OR($D47="",$K47=""),"",IF(AND($D47="پرداخت",$E47="چک"),$K47,0))</f>
        <v/>
      </c>
      <c r="Y47" s="76">
        <f>SUM($S47,$U47,$W47)</f>
        <v/>
      </c>
      <c r="Z47" s="76">
        <f>SUM($T47,$V47,$X47)</f>
        <v/>
      </c>
      <c r="AA47" s="70">
        <f>IF($D47="","",IF(ROUND($Y47-$Z47,0)=0,"✓","⚠"))</f>
        <v/>
      </c>
      <c r="AB47" s="70">
        <f>IF($D47="","",IF($E47="نقد","X003",IF(OR($E47="چک",$E47="پاس چک",$E47="برگشت چک"),"X010",IF($I47="","X003","X011"))))</f>
        <v/>
      </c>
      <c r="AC47" s="70">
        <f>IF($D47="","",IF($E47="انتقال داخلی",IF($N47="","X003",IFERROR(VLOOKUP($N47,BankTbl,4,0),$N47)),IF($I47="","X003",IFERROR(VLOOKUP($I47,BankTbl,4,0),$I47))))</f>
        <v/>
      </c>
      <c r="AD47" s="70">
        <f>IF($D47="","",IF($E47="پاس چک","X010",IF($E47="برگشت چک",IF($I47="","X003","X011"),IF($E47="انتقال داخلی",IF($I47="","X003","X011"),IF($D47="پرداخت",$F47,IF($E47="چک","X009",IF($I47="","X003","X011")))))))</f>
        <v/>
      </c>
      <c r="AE47" s="76">
        <f>IF($D47="","",IF($K47="",0,$K47))</f>
        <v/>
      </c>
      <c r="AF47" s="70">
        <f>IF($D47="","",IF($E47="پاس چک",IF($I47="","X003","X011"),IF($E47="برگشت چک","X010",IF($E47="انتقال داخلی",IF($N47="","X003","X011"),IF($D47="پرداخت",IF($E47="چک","X010",IF($I47="","X003","X011")),$F47)))))</f>
        <v/>
      </c>
      <c r="AG47" s="76">
        <f>IF($D47="","",IF($K47="",0,$K47))</f>
        <v/>
      </c>
    </row>
    <row r="48" ht="21.75" customHeight="1">
      <c r="A48" s="70">
        <f>IF($B48="","",COUNTA($B$10:$B48))</f>
        <v/>
      </c>
      <c r="B48" s="71" t="n"/>
      <c r="C48" s="71" t="n"/>
      <c r="D48" s="71" t="n"/>
      <c r="E48" s="71" t="n"/>
      <c r="F48" s="71" t="n"/>
      <c r="G48" s="73">
        <f>IF($F48="","",IFERROR(VLOOKUP($F48,AcctTbl,2,0),"کد ناشناخته"))</f>
        <v/>
      </c>
      <c r="H48" s="70">
        <f>IF($F48="","",IFERROR(VLOOKUP($F48,AcctTbl,3,0),""))</f>
        <v/>
      </c>
      <c r="I48" s="71" t="n"/>
      <c r="J48" s="71" t="n"/>
      <c r="K48" s="74" t="n"/>
      <c r="L48" s="71" t="n"/>
      <c r="M48" s="71" t="n"/>
      <c r="N48" s="71" t="n"/>
      <c r="O48" s="71" t="n"/>
      <c r="P48" s="72" t="n"/>
      <c r="Q48" s="72" t="n"/>
      <c r="R48" s="77">
        <f>IF($D48="","",IF($AA48="⚠","⚠ ناتراز",IF(AND($D48="پرداخت",$E48="چک",$L48=""),"⚠ وضعیت چک","✓")))</f>
        <v/>
      </c>
      <c r="S48" s="76">
        <f>IF(OR($D48="",$K48=""),"",IF(AND($D48="پرداخت",$E48&lt;&gt;"انتقال داخلی",$E48&lt;&gt;"پاس چک",$E48&lt;&gt;"برگشت چک"),$K48,0))</f>
        <v/>
      </c>
      <c r="T48" s="76">
        <f>IF(OR($D48="",$K48=""),"",IF(OR(AND($D48="دریافت",$E48&lt;&gt;"انتقال داخلی"),$E48="برگشت چک"),$K48,0))</f>
        <v/>
      </c>
      <c r="U48" s="76">
        <f>IF(OR($D48="",$K48=""),"",IF(OR(AND($D48="دریافت",$E48&lt;&gt;"چک"),$E48="انتقال داخلی"),$K48,0))</f>
        <v/>
      </c>
      <c r="V48" s="76">
        <f>IF(OR($D48="",$K48=""),"",IF(OR(AND($D48="پرداخت",$E48&lt;&gt;"چک",$E48&lt;&gt;"برگشت چک"),$E48="انتقال داخلی"),$K48,0))</f>
        <v/>
      </c>
      <c r="W48" s="76">
        <f>IF(OR($D48="",$K48=""),"",IF(OR($E48="پاس چک",$E48="برگشت چک",AND($D48="دریافت",$E48="چک")),$K48,0))</f>
        <v/>
      </c>
      <c r="X48" s="76">
        <f>IF(OR($D48="",$K48=""),"",IF(AND($D48="پرداخت",$E48="چک"),$K48,0))</f>
        <v/>
      </c>
      <c r="Y48" s="76">
        <f>SUM($S48,$U48,$W48)</f>
        <v/>
      </c>
      <c r="Z48" s="76">
        <f>SUM($T48,$V48,$X48)</f>
        <v/>
      </c>
      <c r="AA48" s="70">
        <f>IF($D48="","",IF(ROUND($Y48-$Z48,0)=0,"✓","⚠"))</f>
        <v/>
      </c>
      <c r="AB48" s="70">
        <f>IF($D48="","",IF($E48="نقد","X003",IF(OR($E48="چک",$E48="پاس چک",$E48="برگشت چک"),"X010",IF($I48="","X003","X011"))))</f>
        <v/>
      </c>
      <c r="AC48" s="70">
        <f>IF($D48="","",IF($E48="انتقال داخلی",IF($N48="","X003",IFERROR(VLOOKUP($N48,BankTbl,4,0),$N48)),IF($I48="","X003",IFERROR(VLOOKUP($I48,BankTbl,4,0),$I48))))</f>
        <v/>
      </c>
      <c r="AD48" s="70">
        <f>IF($D48="","",IF($E48="پاس چک","X010",IF($E48="برگشت چک",IF($I48="","X003","X011"),IF($E48="انتقال داخلی",IF($I48="","X003","X011"),IF($D48="پرداخت",$F48,IF($E48="چک","X009",IF($I48="","X003","X011")))))))</f>
        <v/>
      </c>
      <c r="AE48" s="76">
        <f>IF($D48="","",IF($K48="",0,$K48))</f>
        <v/>
      </c>
      <c r="AF48" s="70">
        <f>IF($D48="","",IF($E48="پاس چک",IF($I48="","X003","X011"),IF($E48="برگشت چک","X010",IF($E48="انتقال داخلی",IF($N48="","X003","X011"),IF($D48="پرداخت",IF($E48="چک","X010",IF($I48="","X003","X011")),$F48)))))</f>
        <v/>
      </c>
      <c r="AG48" s="76">
        <f>IF($D48="","",IF($K48="",0,$K48))</f>
        <v/>
      </c>
    </row>
    <row r="49" ht="21.75" customHeight="1">
      <c r="A49" s="70">
        <f>IF($B49="","",COUNTA($B$10:$B49))</f>
        <v/>
      </c>
      <c r="B49" s="71" t="n"/>
      <c r="C49" s="71" t="n"/>
      <c r="D49" s="71" t="n"/>
      <c r="E49" s="71" t="n"/>
      <c r="F49" s="71" t="n"/>
      <c r="G49" s="73">
        <f>IF($F49="","",IFERROR(VLOOKUP($F49,AcctTbl,2,0),"کد ناشناخته"))</f>
        <v/>
      </c>
      <c r="H49" s="70">
        <f>IF($F49="","",IFERROR(VLOOKUP($F49,AcctTbl,3,0),""))</f>
        <v/>
      </c>
      <c r="I49" s="71" t="n"/>
      <c r="J49" s="71" t="n"/>
      <c r="K49" s="74" t="n"/>
      <c r="L49" s="71" t="n"/>
      <c r="M49" s="71" t="n"/>
      <c r="N49" s="71" t="n"/>
      <c r="O49" s="71" t="n"/>
      <c r="P49" s="72" t="n"/>
      <c r="Q49" s="72" t="n"/>
      <c r="R49" s="77">
        <f>IF($D49="","",IF($AA49="⚠","⚠ ناتراز",IF(AND($D49="پرداخت",$E49="چک",$L49=""),"⚠ وضعیت چک","✓")))</f>
        <v/>
      </c>
      <c r="S49" s="76">
        <f>IF(OR($D49="",$K49=""),"",IF(AND($D49="پرداخت",$E49&lt;&gt;"انتقال داخلی",$E49&lt;&gt;"پاس چک",$E49&lt;&gt;"برگشت چک"),$K49,0))</f>
        <v/>
      </c>
      <c r="T49" s="76">
        <f>IF(OR($D49="",$K49=""),"",IF(OR(AND($D49="دریافت",$E49&lt;&gt;"انتقال داخلی"),$E49="برگشت چک"),$K49,0))</f>
        <v/>
      </c>
      <c r="U49" s="76">
        <f>IF(OR($D49="",$K49=""),"",IF(OR(AND($D49="دریافت",$E49&lt;&gt;"چک"),$E49="انتقال داخلی"),$K49,0))</f>
        <v/>
      </c>
      <c r="V49" s="76">
        <f>IF(OR($D49="",$K49=""),"",IF(OR(AND($D49="پرداخت",$E49&lt;&gt;"چک",$E49&lt;&gt;"برگشت چک"),$E49="انتقال داخلی"),$K49,0))</f>
        <v/>
      </c>
      <c r="W49" s="76">
        <f>IF(OR($D49="",$K49=""),"",IF(OR($E49="پاس چک",$E49="برگشت چک",AND($D49="دریافت",$E49="چک")),$K49,0))</f>
        <v/>
      </c>
      <c r="X49" s="76">
        <f>IF(OR($D49="",$K49=""),"",IF(AND($D49="پرداخت",$E49="چک"),$K49,0))</f>
        <v/>
      </c>
      <c r="Y49" s="76">
        <f>SUM($S49,$U49,$W49)</f>
        <v/>
      </c>
      <c r="Z49" s="76">
        <f>SUM($T49,$V49,$X49)</f>
        <v/>
      </c>
      <c r="AA49" s="70">
        <f>IF($D49="","",IF(ROUND($Y49-$Z49,0)=0,"✓","⚠"))</f>
        <v/>
      </c>
      <c r="AB49" s="70">
        <f>IF($D49="","",IF($E49="نقد","X003",IF(OR($E49="چک",$E49="پاس چک",$E49="برگشت چک"),"X010",IF($I49="","X003","X011"))))</f>
        <v/>
      </c>
      <c r="AC49" s="70">
        <f>IF($D49="","",IF($E49="انتقال داخلی",IF($N49="","X003",IFERROR(VLOOKUP($N49,BankTbl,4,0),$N49)),IF($I49="","X003",IFERROR(VLOOKUP($I49,BankTbl,4,0),$I49))))</f>
        <v/>
      </c>
      <c r="AD49" s="70">
        <f>IF($D49="","",IF($E49="پاس چک","X010",IF($E49="برگشت چک",IF($I49="","X003","X011"),IF($E49="انتقال داخلی",IF($I49="","X003","X011"),IF($D49="پرداخت",$F49,IF($E49="چک","X009",IF($I49="","X003","X011")))))))</f>
        <v/>
      </c>
      <c r="AE49" s="76">
        <f>IF($D49="","",IF($K49="",0,$K49))</f>
        <v/>
      </c>
      <c r="AF49" s="70">
        <f>IF($D49="","",IF($E49="پاس چک",IF($I49="","X003","X011"),IF($E49="برگشت چک","X010",IF($E49="انتقال داخلی",IF($N49="","X003","X011"),IF($D49="پرداخت",IF($E49="چک","X010",IF($I49="","X003","X011")),$F49)))))</f>
        <v/>
      </c>
      <c r="AG49" s="76">
        <f>IF($D49="","",IF($K49="",0,$K49))</f>
        <v/>
      </c>
    </row>
    <row r="50" ht="21.75" customHeight="1">
      <c r="A50" s="70">
        <f>IF($B50="","",COUNTA($B$10:$B50))</f>
        <v/>
      </c>
      <c r="B50" s="71" t="n"/>
      <c r="C50" s="71" t="n"/>
      <c r="D50" s="71" t="n"/>
      <c r="E50" s="71" t="n"/>
      <c r="F50" s="71" t="n"/>
      <c r="G50" s="73">
        <f>IF($F50="","",IFERROR(VLOOKUP($F50,AcctTbl,2,0),"کد ناشناخته"))</f>
        <v/>
      </c>
      <c r="H50" s="70">
        <f>IF($F50="","",IFERROR(VLOOKUP($F50,AcctTbl,3,0),""))</f>
        <v/>
      </c>
      <c r="I50" s="71" t="n"/>
      <c r="J50" s="71" t="n"/>
      <c r="K50" s="74" t="n"/>
      <c r="L50" s="71" t="n"/>
      <c r="M50" s="71" t="n"/>
      <c r="N50" s="71" t="n"/>
      <c r="O50" s="71" t="n"/>
      <c r="P50" s="72" t="n"/>
      <c r="Q50" s="72" t="n"/>
      <c r="R50" s="77">
        <f>IF($D50="","",IF($AA50="⚠","⚠ ناتراز",IF(AND($D50="پرداخت",$E50="چک",$L50=""),"⚠ وضعیت چک","✓")))</f>
        <v/>
      </c>
      <c r="S50" s="76">
        <f>IF(OR($D50="",$K50=""),"",IF(AND($D50="پرداخت",$E50&lt;&gt;"انتقال داخلی",$E50&lt;&gt;"پاس چک",$E50&lt;&gt;"برگشت چک"),$K50,0))</f>
        <v/>
      </c>
      <c r="T50" s="76">
        <f>IF(OR($D50="",$K50=""),"",IF(OR(AND($D50="دریافت",$E50&lt;&gt;"انتقال داخلی"),$E50="برگشت چک"),$K50,0))</f>
        <v/>
      </c>
      <c r="U50" s="76">
        <f>IF(OR($D50="",$K50=""),"",IF(OR(AND($D50="دریافت",$E50&lt;&gt;"چک"),$E50="انتقال داخلی"),$K50,0))</f>
        <v/>
      </c>
      <c r="V50" s="76">
        <f>IF(OR($D50="",$K50=""),"",IF(OR(AND($D50="پرداخت",$E50&lt;&gt;"چک",$E50&lt;&gt;"برگشت چک"),$E50="انتقال داخلی"),$K50,0))</f>
        <v/>
      </c>
      <c r="W50" s="76">
        <f>IF(OR($D50="",$K50=""),"",IF(OR($E50="پاس چک",$E50="برگشت چک",AND($D50="دریافت",$E50="چک")),$K50,0))</f>
        <v/>
      </c>
      <c r="X50" s="76">
        <f>IF(OR($D50="",$K50=""),"",IF(AND($D50="پرداخت",$E50="چک"),$K50,0))</f>
        <v/>
      </c>
      <c r="Y50" s="76">
        <f>SUM($S50,$U50,$W50)</f>
        <v/>
      </c>
      <c r="Z50" s="76">
        <f>SUM($T50,$V50,$X50)</f>
        <v/>
      </c>
      <c r="AA50" s="70">
        <f>IF($D50="","",IF(ROUND($Y50-$Z50,0)=0,"✓","⚠"))</f>
        <v/>
      </c>
      <c r="AB50" s="70">
        <f>IF($D50="","",IF($E50="نقد","X003",IF(OR($E50="چک",$E50="پاس چک",$E50="برگشت چک"),"X010",IF($I50="","X003","X011"))))</f>
        <v/>
      </c>
      <c r="AC50" s="70">
        <f>IF($D50="","",IF($E50="انتقال داخلی",IF($N50="","X003",IFERROR(VLOOKUP($N50,BankTbl,4,0),$N50)),IF($I50="","X003",IFERROR(VLOOKUP($I50,BankTbl,4,0),$I50))))</f>
        <v/>
      </c>
      <c r="AD50" s="70">
        <f>IF($D50="","",IF($E50="پاس چک","X010",IF($E50="برگشت چک",IF($I50="","X003","X011"),IF($E50="انتقال داخلی",IF($I50="","X003","X011"),IF($D50="پرداخت",$F50,IF($E50="چک","X009",IF($I50="","X003","X011")))))))</f>
        <v/>
      </c>
      <c r="AE50" s="76">
        <f>IF($D50="","",IF($K50="",0,$K50))</f>
        <v/>
      </c>
      <c r="AF50" s="70">
        <f>IF($D50="","",IF($E50="پاس چک",IF($I50="","X003","X011"),IF($E50="برگشت چک","X010",IF($E50="انتقال داخلی",IF($N50="","X003","X011"),IF($D50="پرداخت",IF($E50="چک","X010",IF($I50="","X003","X011")),$F50)))))</f>
        <v/>
      </c>
      <c r="AG50" s="76">
        <f>IF($D50="","",IF($K50="",0,$K50))</f>
        <v/>
      </c>
    </row>
    <row r="51" ht="21.75" customHeight="1">
      <c r="A51" s="70">
        <f>IF($B51="","",COUNTA($B$10:$B51))</f>
        <v/>
      </c>
      <c r="B51" s="71" t="n"/>
      <c r="C51" s="71" t="n"/>
      <c r="D51" s="71" t="n"/>
      <c r="E51" s="71" t="n"/>
      <c r="F51" s="71" t="n"/>
      <c r="G51" s="73">
        <f>IF($F51="","",IFERROR(VLOOKUP($F51,AcctTbl,2,0),"کد ناشناخته"))</f>
        <v/>
      </c>
      <c r="H51" s="70">
        <f>IF($F51="","",IFERROR(VLOOKUP($F51,AcctTbl,3,0),""))</f>
        <v/>
      </c>
      <c r="I51" s="71" t="n"/>
      <c r="J51" s="71" t="n"/>
      <c r="K51" s="74" t="n"/>
      <c r="L51" s="71" t="n"/>
      <c r="M51" s="71" t="n"/>
      <c r="N51" s="71" t="n"/>
      <c r="O51" s="71" t="n"/>
      <c r="P51" s="72" t="n"/>
      <c r="Q51" s="72" t="n"/>
      <c r="R51" s="77">
        <f>IF($D51="","",IF($AA51="⚠","⚠ ناتراز",IF(AND($D51="پرداخت",$E51="چک",$L51=""),"⚠ وضعیت چک","✓")))</f>
        <v/>
      </c>
      <c r="S51" s="76">
        <f>IF(OR($D51="",$K51=""),"",IF(AND($D51="پرداخت",$E51&lt;&gt;"انتقال داخلی",$E51&lt;&gt;"پاس چک",$E51&lt;&gt;"برگشت چک"),$K51,0))</f>
        <v/>
      </c>
      <c r="T51" s="76">
        <f>IF(OR($D51="",$K51=""),"",IF(OR(AND($D51="دریافت",$E51&lt;&gt;"انتقال داخلی"),$E51="برگشت چک"),$K51,0))</f>
        <v/>
      </c>
      <c r="U51" s="76">
        <f>IF(OR($D51="",$K51=""),"",IF(OR(AND($D51="دریافت",$E51&lt;&gt;"چک"),$E51="انتقال داخلی"),$K51,0))</f>
        <v/>
      </c>
      <c r="V51" s="76">
        <f>IF(OR($D51="",$K51=""),"",IF(OR(AND($D51="پرداخت",$E51&lt;&gt;"چک",$E51&lt;&gt;"برگشت چک"),$E51="انتقال داخلی"),$K51,0))</f>
        <v/>
      </c>
      <c r="W51" s="76">
        <f>IF(OR($D51="",$K51=""),"",IF(OR($E51="پاس چک",$E51="برگشت چک",AND($D51="دریافت",$E51="چک")),$K51,0))</f>
        <v/>
      </c>
      <c r="X51" s="76">
        <f>IF(OR($D51="",$K51=""),"",IF(AND($D51="پرداخت",$E51="چک"),$K51,0))</f>
        <v/>
      </c>
      <c r="Y51" s="76">
        <f>SUM($S51,$U51,$W51)</f>
        <v/>
      </c>
      <c r="Z51" s="76">
        <f>SUM($T51,$V51,$X51)</f>
        <v/>
      </c>
      <c r="AA51" s="70">
        <f>IF($D51="","",IF(ROUND($Y51-$Z51,0)=0,"✓","⚠"))</f>
        <v/>
      </c>
      <c r="AB51" s="70">
        <f>IF($D51="","",IF($E51="نقد","X003",IF(OR($E51="چک",$E51="پاس چک",$E51="برگشت چک"),"X010",IF($I51="","X003","X011"))))</f>
        <v/>
      </c>
      <c r="AC51" s="70">
        <f>IF($D51="","",IF($E51="انتقال داخلی",IF($N51="","X003",IFERROR(VLOOKUP($N51,BankTbl,4,0),$N51)),IF($I51="","X003",IFERROR(VLOOKUP($I51,BankTbl,4,0),$I51))))</f>
        <v/>
      </c>
      <c r="AD51" s="70">
        <f>IF($D51="","",IF($E51="پاس چک","X010",IF($E51="برگشت چک",IF($I51="","X003","X011"),IF($E51="انتقال داخلی",IF($I51="","X003","X011"),IF($D51="پرداخت",$F51,IF($E51="چک","X009",IF($I51="","X003","X011")))))))</f>
        <v/>
      </c>
      <c r="AE51" s="76">
        <f>IF($D51="","",IF($K51="",0,$K51))</f>
        <v/>
      </c>
      <c r="AF51" s="70">
        <f>IF($D51="","",IF($E51="پاس چک",IF($I51="","X003","X011"),IF($E51="برگشت چک","X010",IF($E51="انتقال داخلی",IF($N51="","X003","X011"),IF($D51="پرداخت",IF($E51="چک","X010",IF($I51="","X003","X011")),$F51)))))</f>
        <v/>
      </c>
      <c r="AG51" s="76">
        <f>IF($D51="","",IF($K51="",0,$K51))</f>
        <v/>
      </c>
    </row>
    <row r="52" ht="21.75" customHeight="1">
      <c r="A52" s="70">
        <f>IF($B52="","",COUNTA($B$10:$B52))</f>
        <v/>
      </c>
      <c r="B52" s="71" t="n"/>
      <c r="C52" s="71" t="n"/>
      <c r="D52" s="71" t="n"/>
      <c r="E52" s="71" t="n"/>
      <c r="F52" s="71" t="n"/>
      <c r="G52" s="73">
        <f>IF($F52="","",IFERROR(VLOOKUP($F52,AcctTbl,2,0),"کد ناشناخته"))</f>
        <v/>
      </c>
      <c r="H52" s="70">
        <f>IF($F52="","",IFERROR(VLOOKUP($F52,AcctTbl,3,0),""))</f>
        <v/>
      </c>
      <c r="I52" s="71" t="n"/>
      <c r="J52" s="71" t="n"/>
      <c r="K52" s="74" t="n"/>
      <c r="L52" s="71" t="n"/>
      <c r="M52" s="71" t="n"/>
      <c r="N52" s="71" t="n"/>
      <c r="O52" s="71" t="n"/>
      <c r="P52" s="72" t="n"/>
      <c r="Q52" s="72" t="n"/>
      <c r="R52" s="77">
        <f>IF($D52="","",IF($AA52="⚠","⚠ ناتراز",IF(AND($D52="پرداخت",$E52="چک",$L52=""),"⚠ وضعیت چک","✓")))</f>
        <v/>
      </c>
      <c r="S52" s="76">
        <f>IF(OR($D52="",$K52=""),"",IF(AND($D52="پرداخت",$E52&lt;&gt;"انتقال داخلی",$E52&lt;&gt;"پاس چک",$E52&lt;&gt;"برگشت چک"),$K52,0))</f>
        <v/>
      </c>
      <c r="T52" s="76">
        <f>IF(OR($D52="",$K52=""),"",IF(OR(AND($D52="دریافت",$E52&lt;&gt;"انتقال داخلی"),$E52="برگشت چک"),$K52,0))</f>
        <v/>
      </c>
      <c r="U52" s="76">
        <f>IF(OR($D52="",$K52=""),"",IF(OR(AND($D52="دریافت",$E52&lt;&gt;"چک"),$E52="انتقال داخلی"),$K52,0))</f>
        <v/>
      </c>
      <c r="V52" s="76">
        <f>IF(OR($D52="",$K52=""),"",IF(OR(AND($D52="پرداخت",$E52&lt;&gt;"چک",$E52&lt;&gt;"برگشت چک"),$E52="انتقال داخلی"),$K52,0))</f>
        <v/>
      </c>
      <c r="W52" s="76">
        <f>IF(OR($D52="",$K52=""),"",IF(OR($E52="پاس چک",$E52="برگشت چک",AND($D52="دریافت",$E52="چک")),$K52,0))</f>
        <v/>
      </c>
      <c r="X52" s="76">
        <f>IF(OR($D52="",$K52=""),"",IF(AND($D52="پرداخت",$E52="چک"),$K52,0))</f>
        <v/>
      </c>
      <c r="Y52" s="76">
        <f>SUM($S52,$U52,$W52)</f>
        <v/>
      </c>
      <c r="Z52" s="76">
        <f>SUM($T52,$V52,$X52)</f>
        <v/>
      </c>
      <c r="AA52" s="70">
        <f>IF($D52="","",IF(ROUND($Y52-$Z52,0)=0,"✓","⚠"))</f>
        <v/>
      </c>
      <c r="AB52" s="70">
        <f>IF($D52="","",IF($E52="نقد","X003",IF(OR($E52="چک",$E52="پاس چک",$E52="برگشت چک"),"X010",IF($I52="","X003","X011"))))</f>
        <v/>
      </c>
      <c r="AC52" s="70">
        <f>IF($D52="","",IF($E52="انتقال داخلی",IF($N52="","X003",IFERROR(VLOOKUP($N52,BankTbl,4,0),$N52)),IF($I52="","X003",IFERROR(VLOOKUP($I52,BankTbl,4,0),$I52))))</f>
        <v/>
      </c>
      <c r="AD52" s="70">
        <f>IF($D52="","",IF($E52="پاس چک","X010",IF($E52="برگشت چک",IF($I52="","X003","X011"),IF($E52="انتقال داخلی",IF($I52="","X003","X011"),IF($D52="پرداخت",$F52,IF($E52="چک","X009",IF($I52="","X003","X011")))))))</f>
        <v/>
      </c>
      <c r="AE52" s="76">
        <f>IF($D52="","",IF($K52="",0,$K52))</f>
        <v/>
      </c>
      <c r="AF52" s="70">
        <f>IF($D52="","",IF($E52="پاس چک",IF($I52="","X003","X011"),IF($E52="برگشت چک","X010",IF($E52="انتقال داخلی",IF($N52="","X003","X011"),IF($D52="پرداخت",IF($E52="چک","X010",IF($I52="","X003","X011")),$F52)))))</f>
        <v/>
      </c>
      <c r="AG52" s="76">
        <f>IF($D52="","",IF($K52="",0,$K52))</f>
        <v/>
      </c>
    </row>
    <row r="53" ht="21.75" customHeight="1">
      <c r="A53" s="70">
        <f>IF($B53="","",COUNTA($B$10:$B53))</f>
        <v/>
      </c>
      <c r="B53" s="71" t="n"/>
      <c r="C53" s="71" t="n"/>
      <c r="D53" s="71" t="n"/>
      <c r="E53" s="71" t="n"/>
      <c r="F53" s="71" t="n"/>
      <c r="G53" s="73">
        <f>IF($F53="","",IFERROR(VLOOKUP($F53,AcctTbl,2,0),"کد ناشناخته"))</f>
        <v/>
      </c>
      <c r="H53" s="70">
        <f>IF($F53="","",IFERROR(VLOOKUP($F53,AcctTbl,3,0),""))</f>
        <v/>
      </c>
      <c r="I53" s="71" t="n"/>
      <c r="J53" s="71" t="n"/>
      <c r="K53" s="74" t="n"/>
      <c r="L53" s="71" t="n"/>
      <c r="M53" s="71" t="n"/>
      <c r="N53" s="71" t="n"/>
      <c r="O53" s="71" t="n"/>
      <c r="P53" s="72" t="n"/>
      <c r="Q53" s="72" t="n"/>
      <c r="R53" s="77">
        <f>IF($D53="","",IF($AA53="⚠","⚠ ناتراز",IF(AND($D53="پرداخت",$E53="چک",$L53=""),"⚠ وضعیت چک","✓")))</f>
        <v/>
      </c>
      <c r="S53" s="76">
        <f>IF(OR($D53="",$K53=""),"",IF(AND($D53="پرداخت",$E53&lt;&gt;"انتقال داخلی",$E53&lt;&gt;"پاس چک",$E53&lt;&gt;"برگشت چک"),$K53,0))</f>
        <v/>
      </c>
      <c r="T53" s="76">
        <f>IF(OR($D53="",$K53=""),"",IF(OR(AND($D53="دریافت",$E53&lt;&gt;"انتقال داخلی"),$E53="برگشت چک"),$K53,0))</f>
        <v/>
      </c>
      <c r="U53" s="76">
        <f>IF(OR($D53="",$K53=""),"",IF(OR(AND($D53="دریافت",$E53&lt;&gt;"چک"),$E53="انتقال داخلی"),$K53,0))</f>
        <v/>
      </c>
      <c r="V53" s="76">
        <f>IF(OR($D53="",$K53=""),"",IF(OR(AND($D53="پرداخت",$E53&lt;&gt;"چک",$E53&lt;&gt;"برگشت چک"),$E53="انتقال داخلی"),$K53,0))</f>
        <v/>
      </c>
      <c r="W53" s="76">
        <f>IF(OR($D53="",$K53=""),"",IF(OR($E53="پاس چک",$E53="برگشت چک",AND($D53="دریافت",$E53="چک")),$K53,0))</f>
        <v/>
      </c>
      <c r="X53" s="76">
        <f>IF(OR($D53="",$K53=""),"",IF(AND($D53="پرداخت",$E53="چک"),$K53,0))</f>
        <v/>
      </c>
      <c r="Y53" s="76">
        <f>SUM($S53,$U53,$W53)</f>
        <v/>
      </c>
      <c r="Z53" s="76">
        <f>SUM($T53,$V53,$X53)</f>
        <v/>
      </c>
      <c r="AA53" s="70">
        <f>IF($D53="","",IF(ROUND($Y53-$Z53,0)=0,"✓","⚠"))</f>
        <v/>
      </c>
      <c r="AB53" s="70">
        <f>IF($D53="","",IF($E53="نقد","X003",IF(OR($E53="چک",$E53="پاس چک",$E53="برگشت چک"),"X010",IF($I53="","X003","X011"))))</f>
        <v/>
      </c>
      <c r="AC53" s="70">
        <f>IF($D53="","",IF($E53="انتقال داخلی",IF($N53="","X003",IFERROR(VLOOKUP($N53,BankTbl,4,0),$N53)),IF($I53="","X003",IFERROR(VLOOKUP($I53,BankTbl,4,0),$I53))))</f>
        <v/>
      </c>
      <c r="AD53" s="70">
        <f>IF($D53="","",IF($E53="پاس چک","X010",IF($E53="برگشت چک",IF($I53="","X003","X011"),IF($E53="انتقال داخلی",IF($I53="","X003","X011"),IF($D53="پرداخت",$F53,IF($E53="چک","X009",IF($I53="","X003","X011")))))))</f>
        <v/>
      </c>
      <c r="AE53" s="76">
        <f>IF($D53="","",IF($K53="",0,$K53))</f>
        <v/>
      </c>
      <c r="AF53" s="70">
        <f>IF($D53="","",IF($E53="پاس چک",IF($I53="","X003","X011"),IF($E53="برگشت چک","X010",IF($E53="انتقال داخلی",IF($N53="","X003","X011"),IF($D53="پرداخت",IF($E53="چک","X010",IF($I53="","X003","X011")),$F53)))))</f>
        <v/>
      </c>
      <c r="AG53" s="76">
        <f>IF($D53="","",IF($K53="",0,$K53))</f>
        <v/>
      </c>
    </row>
    <row r="54" ht="21.75" customHeight="1">
      <c r="A54" s="70">
        <f>IF($B54="","",COUNTA($B$10:$B54))</f>
        <v/>
      </c>
      <c r="B54" s="71" t="n"/>
      <c r="C54" s="71" t="n"/>
      <c r="D54" s="71" t="n"/>
      <c r="E54" s="71" t="n"/>
      <c r="F54" s="71" t="n"/>
      <c r="G54" s="73">
        <f>IF($F54="","",IFERROR(VLOOKUP($F54,AcctTbl,2,0),"کد ناشناخته"))</f>
        <v/>
      </c>
      <c r="H54" s="70">
        <f>IF($F54="","",IFERROR(VLOOKUP($F54,AcctTbl,3,0),""))</f>
        <v/>
      </c>
      <c r="I54" s="71" t="n"/>
      <c r="J54" s="71" t="n"/>
      <c r="K54" s="74" t="n"/>
      <c r="L54" s="71" t="n"/>
      <c r="M54" s="71" t="n"/>
      <c r="N54" s="71" t="n"/>
      <c r="O54" s="71" t="n"/>
      <c r="P54" s="72" t="n"/>
      <c r="Q54" s="72" t="n"/>
      <c r="R54" s="77">
        <f>IF($D54="","",IF($AA54="⚠","⚠ ناتراز",IF(AND($D54="پرداخت",$E54="چک",$L54=""),"⚠ وضعیت چک","✓")))</f>
        <v/>
      </c>
      <c r="S54" s="76">
        <f>IF(OR($D54="",$K54=""),"",IF(AND($D54="پرداخت",$E54&lt;&gt;"انتقال داخلی",$E54&lt;&gt;"پاس چک",$E54&lt;&gt;"برگشت چک"),$K54,0))</f>
        <v/>
      </c>
      <c r="T54" s="76">
        <f>IF(OR($D54="",$K54=""),"",IF(OR(AND($D54="دریافت",$E54&lt;&gt;"انتقال داخلی"),$E54="برگشت چک"),$K54,0))</f>
        <v/>
      </c>
      <c r="U54" s="76">
        <f>IF(OR($D54="",$K54=""),"",IF(OR(AND($D54="دریافت",$E54&lt;&gt;"چک"),$E54="انتقال داخلی"),$K54,0))</f>
        <v/>
      </c>
      <c r="V54" s="76">
        <f>IF(OR($D54="",$K54=""),"",IF(OR(AND($D54="پرداخت",$E54&lt;&gt;"چک",$E54&lt;&gt;"برگشت چک"),$E54="انتقال داخلی"),$K54,0))</f>
        <v/>
      </c>
      <c r="W54" s="76">
        <f>IF(OR($D54="",$K54=""),"",IF(OR($E54="پاس چک",$E54="برگشت چک",AND($D54="دریافت",$E54="چک")),$K54,0))</f>
        <v/>
      </c>
      <c r="X54" s="76">
        <f>IF(OR($D54="",$K54=""),"",IF(AND($D54="پرداخت",$E54="چک"),$K54,0))</f>
        <v/>
      </c>
      <c r="Y54" s="76">
        <f>SUM($S54,$U54,$W54)</f>
        <v/>
      </c>
      <c r="Z54" s="76">
        <f>SUM($T54,$V54,$X54)</f>
        <v/>
      </c>
      <c r="AA54" s="70">
        <f>IF($D54="","",IF(ROUND($Y54-$Z54,0)=0,"✓","⚠"))</f>
        <v/>
      </c>
      <c r="AB54" s="70">
        <f>IF($D54="","",IF($E54="نقد","X003",IF(OR($E54="چک",$E54="پاس چک",$E54="برگشت چک"),"X010",IF($I54="","X003","X011"))))</f>
        <v/>
      </c>
      <c r="AC54" s="70">
        <f>IF($D54="","",IF($E54="انتقال داخلی",IF($N54="","X003",IFERROR(VLOOKUP($N54,BankTbl,4,0),$N54)),IF($I54="","X003",IFERROR(VLOOKUP($I54,BankTbl,4,0),$I54))))</f>
        <v/>
      </c>
      <c r="AD54" s="70">
        <f>IF($D54="","",IF($E54="پاس چک","X010",IF($E54="برگشت چک",IF($I54="","X003","X011"),IF($E54="انتقال داخلی",IF($I54="","X003","X011"),IF($D54="پرداخت",$F54,IF($E54="چک","X009",IF($I54="","X003","X011")))))))</f>
        <v/>
      </c>
      <c r="AE54" s="76">
        <f>IF($D54="","",IF($K54="",0,$K54))</f>
        <v/>
      </c>
      <c r="AF54" s="70">
        <f>IF($D54="","",IF($E54="پاس چک",IF($I54="","X003","X011"),IF($E54="برگشت چک","X010",IF($E54="انتقال داخلی",IF($N54="","X003","X011"),IF($D54="پرداخت",IF($E54="چک","X010",IF($I54="","X003","X011")),$F54)))))</f>
        <v/>
      </c>
      <c r="AG54" s="76">
        <f>IF($D54="","",IF($K54="",0,$K54))</f>
        <v/>
      </c>
    </row>
    <row r="55" ht="21.75" customHeight="1">
      <c r="A55" s="70">
        <f>IF($B55="","",COUNTA($B$10:$B55))</f>
        <v/>
      </c>
      <c r="B55" s="71" t="n"/>
      <c r="C55" s="71" t="n"/>
      <c r="D55" s="71" t="n"/>
      <c r="E55" s="71" t="n"/>
      <c r="F55" s="71" t="n"/>
      <c r="G55" s="73">
        <f>IF($F55="","",IFERROR(VLOOKUP($F55,AcctTbl,2,0),"کد ناشناخته"))</f>
        <v/>
      </c>
      <c r="H55" s="70">
        <f>IF($F55="","",IFERROR(VLOOKUP($F55,AcctTbl,3,0),""))</f>
        <v/>
      </c>
      <c r="I55" s="71" t="n"/>
      <c r="J55" s="71" t="n"/>
      <c r="K55" s="74" t="n"/>
      <c r="L55" s="71" t="n"/>
      <c r="M55" s="71" t="n"/>
      <c r="N55" s="71" t="n"/>
      <c r="O55" s="71" t="n"/>
      <c r="P55" s="72" t="n"/>
      <c r="Q55" s="72" t="n"/>
      <c r="R55" s="77">
        <f>IF($D55="","",IF($AA55="⚠","⚠ ناتراز",IF(AND($D55="پرداخت",$E55="چک",$L55=""),"⚠ وضعیت چک","✓")))</f>
        <v/>
      </c>
      <c r="S55" s="76">
        <f>IF(OR($D55="",$K55=""),"",IF(AND($D55="پرداخت",$E55&lt;&gt;"انتقال داخلی",$E55&lt;&gt;"پاس چک",$E55&lt;&gt;"برگشت چک"),$K55,0))</f>
        <v/>
      </c>
      <c r="T55" s="76">
        <f>IF(OR($D55="",$K55=""),"",IF(OR(AND($D55="دریافت",$E55&lt;&gt;"انتقال داخلی"),$E55="برگشت چک"),$K55,0))</f>
        <v/>
      </c>
      <c r="U55" s="76">
        <f>IF(OR($D55="",$K55=""),"",IF(OR(AND($D55="دریافت",$E55&lt;&gt;"چک"),$E55="انتقال داخلی"),$K55,0))</f>
        <v/>
      </c>
      <c r="V55" s="76">
        <f>IF(OR($D55="",$K55=""),"",IF(OR(AND($D55="پرداخت",$E55&lt;&gt;"چک",$E55&lt;&gt;"برگشت چک"),$E55="انتقال داخلی"),$K55,0))</f>
        <v/>
      </c>
      <c r="W55" s="76">
        <f>IF(OR($D55="",$K55=""),"",IF(OR($E55="پاس چک",$E55="برگشت چک",AND($D55="دریافت",$E55="چک")),$K55,0))</f>
        <v/>
      </c>
      <c r="X55" s="76">
        <f>IF(OR($D55="",$K55=""),"",IF(AND($D55="پرداخت",$E55="چک"),$K55,0))</f>
        <v/>
      </c>
      <c r="Y55" s="76">
        <f>SUM($S55,$U55,$W55)</f>
        <v/>
      </c>
      <c r="Z55" s="76">
        <f>SUM($T55,$V55,$X55)</f>
        <v/>
      </c>
      <c r="AA55" s="70">
        <f>IF($D55="","",IF(ROUND($Y55-$Z55,0)=0,"✓","⚠"))</f>
        <v/>
      </c>
      <c r="AB55" s="70">
        <f>IF($D55="","",IF($E55="نقد","X003",IF(OR($E55="چک",$E55="پاس چک",$E55="برگشت چک"),"X010",IF($I55="","X003","X011"))))</f>
        <v/>
      </c>
      <c r="AC55" s="70">
        <f>IF($D55="","",IF($E55="انتقال داخلی",IF($N55="","X003",IFERROR(VLOOKUP($N55,BankTbl,4,0),$N55)),IF($I55="","X003",IFERROR(VLOOKUP($I55,BankTbl,4,0),$I55))))</f>
        <v/>
      </c>
      <c r="AD55" s="70">
        <f>IF($D55="","",IF($E55="پاس چک","X010",IF($E55="برگشت چک",IF($I55="","X003","X011"),IF($E55="انتقال داخلی",IF($I55="","X003","X011"),IF($D55="پرداخت",$F55,IF($E55="چک","X009",IF($I55="","X003","X011")))))))</f>
        <v/>
      </c>
      <c r="AE55" s="76">
        <f>IF($D55="","",IF($K55="",0,$K55))</f>
        <v/>
      </c>
      <c r="AF55" s="70">
        <f>IF($D55="","",IF($E55="پاس چک",IF($I55="","X003","X011"),IF($E55="برگشت چک","X010",IF($E55="انتقال داخلی",IF($N55="","X003","X011"),IF($D55="پرداخت",IF($E55="چک","X010",IF($I55="","X003","X011")),$F55)))))</f>
        <v/>
      </c>
      <c r="AG55" s="76">
        <f>IF($D55="","",IF($K55="",0,$K55))</f>
        <v/>
      </c>
    </row>
    <row r="56" ht="21.75" customHeight="1">
      <c r="A56" s="70">
        <f>IF($B56="","",COUNTA($B$10:$B56))</f>
        <v/>
      </c>
      <c r="B56" s="71" t="n"/>
      <c r="C56" s="71" t="n"/>
      <c r="D56" s="71" t="n"/>
      <c r="E56" s="71" t="n"/>
      <c r="F56" s="71" t="n"/>
      <c r="G56" s="73">
        <f>IF($F56="","",IFERROR(VLOOKUP($F56,AcctTbl,2,0),"کد ناشناخته"))</f>
        <v/>
      </c>
      <c r="H56" s="70">
        <f>IF($F56="","",IFERROR(VLOOKUP($F56,AcctTbl,3,0),""))</f>
        <v/>
      </c>
      <c r="I56" s="71" t="n"/>
      <c r="J56" s="71" t="n"/>
      <c r="K56" s="74" t="n"/>
      <c r="L56" s="71" t="n"/>
      <c r="M56" s="71" t="n"/>
      <c r="N56" s="71" t="n"/>
      <c r="O56" s="71" t="n"/>
      <c r="P56" s="72" t="n"/>
      <c r="Q56" s="72" t="n"/>
      <c r="R56" s="77">
        <f>IF($D56="","",IF($AA56="⚠","⚠ ناتراز",IF(AND($D56="پرداخت",$E56="چک",$L56=""),"⚠ وضعیت چک","✓")))</f>
        <v/>
      </c>
      <c r="S56" s="76">
        <f>IF(OR($D56="",$K56=""),"",IF(AND($D56="پرداخت",$E56&lt;&gt;"انتقال داخلی",$E56&lt;&gt;"پاس چک",$E56&lt;&gt;"برگشت چک"),$K56,0))</f>
        <v/>
      </c>
      <c r="T56" s="76">
        <f>IF(OR($D56="",$K56=""),"",IF(OR(AND($D56="دریافت",$E56&lt;&gt;"انتقال داخلی"),$E56="برگشت چک"),$K56,0))</f>
        <v/>
      </c>
      <c r="U56" s="76">
        <f>IF(OR($D56="",$K56=""),"",IF(OR(AND($D56="دریافت",$E56&lt;&gt;"چک"),$E56="انتقال داخلی"),$K56,0))</f>
        <v/>
      </c>
      <c r="V56" s="76">
        <f>IF(OR($D56="",$K56=""),"",IF(OR(AND($D56="پرداخت",$E56&lt;&gt;"چک",$E56&lt;&gt;"برگشت چک"),$E56="انتقال داخلی"),$K56,0))</f>
        <v/>
      </c>
      <c r="W56" s="76">
        <f>IF(OR($D56="",$K56=""),"",IF(OR($E56="پاس چک",$E56="برگشت چک",AND($D56="دریافت",$E56="چک")),$K56,0))</f>
        <v/>
      </c>
      <c r="X56" s="76">
        <f>IF(OR($D56="",$K56=""),"",IF(AND($D56="پرداخت",$E56="چک"),$K56,0))</f>
        <v/>
      </c>
      <c r="Y56" s="76">
        <f>SUM($S56,$U56,$W56)</f>
        <v/>
      </c>
      <c r="Z56" s="76">
        <f>SUM($T56,$V56,$X56)</f>
        <v/>
      </c>
      <c r="AA56" s="70">
        <f>IF($D56="","",IF(ROUND($Y56-$Z56,0)=0,"✓","⚠"))</f>
        <v/>
      </c>
      <c r="AB56" s="70">
        <f>IF($D56="","",IF($E56="نقد","X003",IF(OR($E56="چک",$E56="پاس چک",$E56="برگشت چک"),"X010",IF($I56="","X003","X011"))))</f>
        <v/>
      </c>
      <c r="AC56" s="70">
        <f>IF($D56="","",IF($E56="انتقال داخلی",IF($N56="","X003",IFERROR(VLOOKUP($N56,BankTbl,4,0),$N56)),IF($I56="","X003",IFERROR(VLOOKUP($I56,BankTbl,4,0),$I56))))</f>
        <v/>
      </c>
      <c r="AD56" s="70">
        <f>IF($D56="","",IF($E56="پاس چک","X010",IF($E56="برگشت چک",IF($I56="","X003","X011"),IF($E56="انتقال داخلی",IF($I56="","X003","X011"),IF($D56="پرداخت",$F56,IF($E56="چک","X009",IF($I56="","X003","X011")))))))</f>
        <v/>
      </c>
      <c r="AE56" s="76">
        <f>IF($D56="","",IF($K56="",0,$K56))</f>
        <v/>
      </c>
      <c r="AF56" s="70">
        <f>IF($D56="","",IF($E56="پاس چک",IF($I56="","X003","X011"),IF($E56="برگشت چک","X010",IF($E56="انتقال داخلی",IF($N56="","X003","X011"),IF($D56="پرداخت",IF($E56="چک","X010",IF($I56="","X003","X011")),$F56)))))</f>
        <v/>
      </c>
      <c r="AG56" s="76">
        <f>IF($D56="","",IF($K56="",0,$K56))</f>
        <v/>
      </c>
    </row>
    <row r="57" ht="21.75" customHeight="1">
      <c r="A57" s="70">
        <f>IF($B57="","",COUNTA($B$10:$B57))</f>
        <v/>
      </c>
      <c r="B57" s="71" t="n"/>
      <c r="C57" s="71" t="n"/>
      <c r="D57" s="71" t="n"/>
      <c r="E57" s="71" t="n"/>
      <c r="F57" s="71" t="n"/>
      <c r="G57" s="73">
        <f>IF($F57="","",IFERROR(VLOOKUP($F57,AcctTbl,2,0),"کد ناشناخته"))</f>
        <v/>
      </c>
      <c r="H57" s="70">
        <f>IF($F57="","",IFERROR(VLOOKUP($F57,AcctTbl,3,0),""))</f>
        <v/>
      </c>
      <c r="I57" s="71" t="n"/>
      <c r="J57" s="71" t="n"/>
      <c r="K57" s="74" t="n"/>
      <c r="L57" s="71" t="n"/>
      <c r="M57" s="71" t="n"/>
      <c r="N57" s="71" t="n"/>
      <c r="O57" s="71" t="n"/>
      <c r="P57" s="72" t="n"/>
      <c r="Q57" s="72" t="n"/>
      <c r="R57" s="77">
        <f>IF($D57="","",IF($AA57="⚠","⚠ ناتراز",IF(AND($D57="پرداخت",$E57="چک",$L57=""),"⚠ وضعیت چک","✓")))</f>
        <v/>
      </c>
      <c r="S57" s="76">
        <f>IF(OR($D57="",$K57=""),"",IF(AND($D57="پرداخت",$E57&lt;&gt;"انتقال داخلی",$E57&lt;&gt;"پاس چک",$E57&lt;&gt;"برگشت چک"),$K57,0))</f>
        <v/>
      </c>
      <c r="T57" s="76">
        <f>IF(OR($D57="",$K57=""),"",IF(OR(AND($D57="دریافت",$E57&lt;&gt;"انتقال داخلی"),$E57="برگشت چک"),$K57,0))</f>
        <v/>
      </c>
      <c r="U57" s="76">
        <f>IF(OR($D57="",$K57=""),"",IF(OR(AND($D57="دریافت",$E57&lt;&gt;"چک"),$E57="انتقال داخلی"),$K57,0))</f>
        <v/>
      </c>
      <c r="V57" s="76">
        <f>IF(OR($D57="",$K57=""),"",IF(OR(AND($D57="پرداخت",$E57&lt;&gt;"چک",$E57&lt;&gt;"برگشت چک"),$E57="انتقال داخلی"),$K57,0))</f>
        <v/>
      </c>
      <c r="W57" s="76">
        <f>IF(OR($D57="",$K57=""),"",IF(OR($E57="پاس چک",$E57="برگشت چک",AND($D57="دریافت",$E57="چک")),$K57,0))</f>
        <v/>
      </c>
      <c r="X57" s="76">
        <f>IF(OR($D57="",$K57=""),"",IF(AND($D57="پرداخت",$E57="چک"),$K57,0))</f>
        <v/>
      </c>
      <c r="Y57" s="76">
        <f>SUM($S57,$U57,$W57)</f>
        <v/>
      </c>
      <c r="Z57" s="76">
        <f>SUM($T57,$V57,$X57)</f>
        <v/>
      </c>
      <c r="AA57" s="70">
        <f>IF($D57="","",IF(ROUND($Y57-$Z57,0)=0,"✓","⚠"))</f>
        <v/>
      </c>
      <c r="AB57" s="70">
        <f>IF($D57="","",IF($E57="نقد","X003",IF(OR($E57="چک",$E57="پاس چک",$E57="برگشت چک"),"X010",IF($I57="","X003","X011"))))</f>
        <v/>
      </c>
      <c r="AC57" s="70">
        <f>IF($D57="","",IF($E57="انتقال داخلی",IF($N57="","X003",IFERROR(VLOOKUP($N57,BankTbl,4,0),$N57)),IF($I57="","X003",IFERROR(VLOOKUP($I57,BankTbl,4,0),$I57))))</f>
        <v/>
      </c>
      <c r="AD57" s="70">
        <f>IF($D57="","",IF($E57="پاس چک","X010",IF($E57="برگشت چک",IF($I57="","X003","X011"),IF($E57="انتقال داخلی",IF($I57="","X003","X011"),IF($D57="پرداخت",$F57,IF($E57="چک","X009",IF($I57="","X003","X011")))))))</f>
        <v/>
      </c>
      <c r="AE57" s="76">
        <f>IF($D57="","",IF($K57="",0,$K57))</f>
        <v/>
      </c>
      <c r="AF57" s="70">
        <f>IF($D57="","",IF($E57="پاس چک",IF($I57="","X003","X011"),IF($E57="برگشت چک","X010",IF($E57="انتقال داخلی",IF($N57="","X003","X011"),IF($D57="پرداخت",IF($E57="چک","X010",IF($I57="","X003","X011")),$F57)))))</f>
        <v/>
      </c>
      <c r="AG57" s="76">
        <f>IF($D57="","",IF($K57="",0,$K57))</f>
        <v/>
      </c>
    </row>
    <row r="58" ht="21.75" customHeight="1">
      <c r="A58" s="70">
        <f>IF($B58="","",COUNTA($B$10:$B58))</f>
        <v/>
      </c>
      <c r="B58" s="71" t="n"/>
      <c r="C58" s="71" t="n"/>
      <c r="D58" s="71" t="n"/>
      <c r="E58" s="71" t="n"/>
      <c r="F58" s="71" t="n"/>
      <c r="G58" s="73">
        <f>IF($F58="","",IFERROR(VLOOKUP($F58,AcctTbl,2,0),"کد ناشناخته"))</f>
        <v/>
      </c>
      <c r="H58" s="70">
        <f>IF($F58="","",IFERROR(VLOOKUP($F58,AcctTbl,3,0),""))</f>
        <v/>
      </c>
      <c r="I58" s="71" t="n"/>
      <c r="J58" s="71" t="n"/>
      <c r="K58" s="74" t="n"/>
      <c r="L58" s="71" t="n"/>
      <c r="M58" s="71" t="n"/>
      <c r="N58" s="71" t="n"/>
      <c r="O58" s="71" t="n"/>
      <c r="P58" s="72" t="n"/>
      <c r="Q58" s="72" t="n"/>
      <c r="R58" s="77">
        <f>IF($D58="","",IF($AA58="⚠","⚠ ناتراز",IF(AND($D58="پرداخت",$E58="چک",$L58=""),"⚠ وضعیت چک","✓")))</f>
        <v/>
      </c>
      <c r="S58" s="76">
        <f>IF(OR($D58="",$K58=""),"",IF(AND($D58="پرداخت",$E58&lt;&gt;"انتقال داخلی",$E58&lt;&gt;"پاس چک",$E58&lt;&gt;"برگشت چک"),$K58,0))</f>
        <v/>
      </c>
      <c r="T58" s="76">
        <f>IF(OR($D58="",$K58=""),"",IF(OR(AND($D58="دریافت",$E58&lt;&gt;"انتقال داخلی"),$E58="برگشت چک"),$K58,0))</f>
        <v/>
      </c>
      <c r="U58" s="76">
        <f>IF(OR($D58="",$K58=""),"",IF(OR(AND($D58="دریافت",$E58&lt;&gt;"چک"),$E58="انتقال داخلی"),$K58,0))</f>
        <v/>
      </c>
      <c r="V58" s="76">
        <f>IF(OR($D58="",$K58=""),"",IF(OR(AND($D58="پرداخت",$E58&lt;&gt;"چک",$E58&lt;&gt;"برگشت چک"),$E58="انتقال داخلی"),$K58,0))</f>
        <v/>
      </c>
      <c r="W58" s="76">
        <f>IF(OR($D58="",$K58=""),"",IF(OR($E58="پاس چک",$E58="برگشت چک",AND($D58="دریافت",$E58="چک")),$K58,0))</f>
        <v/>
      </c>
      <c r="X58" s="76">
        <f>IF(OR($D58="",$K58=""),"",IF(AND($D58="پرداخت",$E58="چک"),$K58,0))</f>
        <v/>
      </c>
      <c r="Y58" s="76">
        <f>SUM($S58,$U58,$W58)</f>
        <v/>
      </c>
      <c r="Z58" s="76">
        <f>SUM($T58,$V58,$X58)</f>
        <v/>
      </c>
      <c r="AA58" s="70">
        <f>IF($D58="","",IF(ROUND($Y58-$Z58,0)=0,"✓","⚠"))</f>
        <v/>
      </c>
      <c r="AB58" s="70">
        <f>IF($D58="","",IF($E58="نقد","X003",IF(OR($E58="چک",$E58="پاس چک",$E58="برگشت چک"),"X010",IF($I58="","X003","X011"))))</f>
        <v/>
      </c>
      <c r="AC58" s="70">
        <f>IF($D58="","",IF($E58="انتقال داخلی",IF($N58="","X003",IFERROR(VLOOKUP($N58,BankTbl,4,0),$N58)),IF($I58="","X003",IFERROR(VLOOKUP($I58,BankTbl,4,0),$I58))))</f>
        <v/>
      </c>
      <c r="AD58" s="70">
        <f>IF($D58="","",IF($E58="پاس چک","X010",IF($E58="برگشت چک",IF($I58="","X003","X011"),IF($E58="انتقال داخلی",IF($I58="","X003","X011"),IF($D58="پرداخت",$F58,IF($E58="چک","X009",IF($I58="","X003","X011")))))))</f>
        <v/>
      </c>
      <c r="AE58" s="76">
        <f>IF($D58="","",IF($K58="",0,$K58))</f>
        <v/>
      </c>
      <c r="AF58" s="70">
        <f>IF($D58="","",IF($E58="پاس چک",IF($I58="","X003","X011"),IF($E58="برگشت چک","X010",IF($E58="انتقال داخلی",IF($N58="","X003","X011"),IF($D58="پرداخت",IF($E58="چک","X010",IF($I58="","X003","X011")),$F58)))))</f>
        <v/>
      </c>
      <c r="AG58" s="76">
        <f>IF($D58="","",IF($K58="",0,$K58))</f>
        <v/>
      </c>
    </row>
    <row r="59" ht="21.75" customHeight="1">
      <c r="A59" s="70">
        <f>IF($B59="","",COUNTA($B$10:$B59))</f>
        <v/>
      </c>
      <c r="B59" s="71" t="n"/>
      <c r="C59" s="71" t="n"/>
      <c r="D59" s="71" t="n"/>
      <c r="E59" s="71" t="n"/>
      <c r="F59" s="71" t="n"/>
      <c r="G59" s="73">
        <f>IF($F59="","",IFERROR(VLOOKUP($F59,AcctTbl,2,0),"کد ناشناخته"))</f>
        <v/>
      </c>
      <c r="H59" s="70">
        <f>IF($F59="","",IFERROR(VLOOKUP($F59,AcctTbl,3,0),""))</f>
        <v/>
      </c>
      <c r="I59" s="71" t="n"/>
      <c r="J59" s="71" t="n"/>
      <c r="K59" s="74" t="n"/>
      <c r="L59" s="71" t="n"/>
      <c r="M59" s="71" t="n"/>
      <c r="N59" s="71" t="n"/>
      <c r="O59" s="71" t="n"/>
      <c r="P59" s="72" t="n"/>
      <c r="Q59" s="72" t="n"/>
      <c r="R59" s="77">
        <f>IF($D59="","",IF($AA59="⚠","⚠ ناتراز",IF(AND($D59="پرداخت",$E59="چک",$L59=""),"⚠ وضعیت چک","✓")))</f>
        <v/>
      </c>
      <c r="S59" s="76">
        <f>IF(OR($D59="",$K59=""),"",IF(AND($D59="پرداخت",$E59&lt;&gt;"انتقال داخلی",$E59&lt;&gt;"پاس چک",$E59&lt;&gt;"برگشت چک"),$K59,0))</f>
        <v/>
      </c>
      <c r="T59" s="76">
        <f>IF(OR($D59="",$K59=""),"",IF(OR(AND($D59="دریافت",$E59&lt;&gt;"انتقال داخلی"),$E59="برگشت چک"),$K59,0))</f>
        <v/>
      </c>
      <c r="U59" s="76">
        <f>IF(OR($D59="",$K59=""),"",IF(OR(AND($D59="دریافت",$E59&lt;&gt;"چک"),$E59="انتقال داخلی"),$K59,0))</f>
        <v/>
      </c>
      <c r="V59" s="76">
        <f>IF(OR($D59="",$K59=""),"",IF(OR(AND($D59="پرداخت",$E59&lt;&gt;"چک",$E59&lt;&gt;"برگشت چک"),$E59="انتقال داخلی"),$K59,0))</f>
        <v/>
      </c>
      <c r="W59" s="76">
        <f>IF(OR($D59="",$K59=""),"",IF(OR($E59="پاس چک",$E59="برگشت چک",AND($D59="دریافت",$E59="چک")),$K59,0))</f>
        <v/>
      </c>
      <c r="X59" s="76">
        <f>IF(OR($D59="",$K59=""),"",IF(AND($D59="پرداخت",$E59="چک"),$K59,0))</f>
        <v/>
      </c>
      <c r="Y59" s="76">
        <f>SUM($S59,$U59,$W59)</f>
        <v/>
      </c>
      <c r="Z59" s="76">
        <f>SUM($T59,$V59,$X59)</f>
        <v/>
      </c>
      <c r="AA59" s="70">
        <f>IF($D59="","",IF(ROUND($Y59-$Z59,0)=0,"✓","⚠"))</f>
        <v/>
      </c>
      <c r="AB59" s="70">
        <f>IF($D59="","",IF($E59="نقد","X003",IF(OR($E59="چک",$E59="پاس چک",$E59="برگشت چک"),"X010",IF($I59="","X003","X011"))))</f>
        <v/>
      </c>
      <c r="AC59" s="70">
        <f>IF($D59="","",IF($E59="انتقال داخلی",IF($N59="","X003",IFERROR(VLOOKUP($N59,BankTbl,4,0),$N59)),IF($I59="","X003",IFERROR(VLOOKUP($I59,BankTbl,4,0),$I59))))</f>
        <v/>
      </c>
      <c r="AD59" s="70">
        <f>IF($D59="","",IF($E59="پاس چک","X010",IF($E59="برگشت چک",IF($I59="","X003","X011"),IF($E59="انتقال داخلی",IF($I59="","X003","X011"),IF($D59="پرداخت",$F59,IF($E59="چک","X009",IF($I59="","X003","X011")))))))</f>
        <v/>
      </c>
      <c r="AE59" s="76">
        <f>IF($D59="","",IF($K59="",0,$K59))</f>
        <v/>
      </c>
      <c r="AF59" s="70">
        <f>IF($D59="","",IF($E59="پاس چک",IF($I59="","X003","X011"),IF($E59="برگشت چک","X010",IF($E59="انتقال داخلی",IF($N59="","X003","X011"),IF($D59="پرداخت",IF($E59="چک","X010",IF($I59="","X003","X011")),$F59)))))</f>
        <v/>
      </c>
      <c r="AG59" s="76">
        <f>IF($D59="","",IF($K59="",0,$K59))</f>
        <v/>
      </c>
    </row>
    <row r="60" ht="21.75" customHeight="1">
      <c r="A60" s="70">
        <f>IF($B60="","",COUNTA($B$10:$B60))</f>
        <v/>
      </c>
      <c r="B60" s="71" t="n"/>
      <c r="C60" s="71" t="n"/>
      <c r="D60" s="71" t="n"/>
      <c r="E60" s="71" t="n"/>
      <c r="F60" s="71" t="n"/>
      <c r="G60" s="73">
        <f>IF($F60="","",IFERROR(VLOOKUP($F60,AcctTbl,2,0),"کد ناشناخته"))</f>
        <v/>
      </c>
      <c r="H60" s="70">
        <f>IF($F60="","",IFERROR(VLOOKUP($F60,AcctTbl,3,0),""))</f>
        <v/>
      </c>
      <c r="I60" s="71" t="n"/>
      <c r="J60" s="71" t="n"/>
      <c r="K60" s="74" t="n"/>
      <c r="L60" s="71" t="n"/>
      <c r="M60" s="71" t="n"/>
      <c r="N60" s="71" t="n"/>
      <c r="O60" s="71" t="n"/>
      <c r="P60" s="72" t="n"/>
      <c r="Q60" s="72" t="n"/>
      <c r="R60" s="77">
        <f>IF($D60="","",IF($AA60="⚠","⚠ ناتراز",IF(AND($D60="پرداخت",$E60="چک",$L60=""),"⚠ وضعیت چک","✓")))</f>
        <v/>
      </c>
      <c r="S60" s="76">
        <f>IF(OR($D60="",$K60=""),"",IF(AND($D60="پرداخت",$E60&lt;&gt;"انتقال داخلی",$E60&lt;&gt;"پاس چک",$E60&lt;&gt;"برگشت چک"),$K60,0))</f>
        <v/>
      </c>
      <c r="T60" s="76">
        <f>IF(OR($D60="",$K60=""),"",IF(OR(AND($D60="دریافت",$E60&lt;&gt;"انتقال داخلی"),$E60="برگشت چک"),$K60,0))</f>
        <v/>
      </c>
      <c r="U60" s="76">
        <f>IF(OR($D60="",$K60=""),"",IF(OR(AND($D60="دریافت",$E60&lt;&gt;"چک"),$E60="انتقال داخلی"),$K60,0))</f>
        <v/>
      </c>
      <c r="V60" s="76">
        <f>IF(OR($D60="",$K60=""),"",IF(OR(AND($D60="پرداخت",$E60&lt;&gt;"چک",$E60&lt;&gt;"برگشت چک"),$E60="انتقال داخلی"),$K60,0))</f>
        <v/>
      </c>
      <c r="W60" s="76">
        <f>IF(OR($D60="",$K60=""),"",IF(OR($E60="پاس چک",$E60="برگشت چک",AND($D60="دریافت",$E60="چک")),$K60,0))</f>
        <v/>
      </c>
      <c r="X60" s="76">
        <f>IF(OR($D60="",$K60=""),"",IF(AND($D60="پرداخت",$E60="چک"),$K60,0))</f>
        <v/>
      </c>
      <c r="Y60" s="76">
        <f>SUM($S60,$U60,$W60)</f>
        <v/>
      </c>
      <c r="Z60" s="76">
        <f>SUM($T60,$V60,$X60)</f>
        <v/>
      </c>
      <c r="AA60" s="70">
        <f>IF($D60="","",IF(ROUND($Y60-$Z60,0)=0,"✓","⚠"))</f>
        <v/>
      </c>
      <c r="AB60" s="70">
        <f>IF($D60="","",IF($E60="نقد","X003",IF(OR($E60="چک",$E60="پاس چک",$E60="برگشت چک"),"X010",IF($I60="","X003","X011"))))</f>
        <v/>
      </c>
      <c r="AC60" s="70">
        <f>IF($D60="","",IF($E60="انتقال داخلی",IF($N60="","X003",IFERROR(VLOOKUP($N60,BankTbl,4,0),$N60)),IF($I60="","X003",IFERROR(VLOOKUP($I60,BankTbl,4,0),$I60))))</f>
        <v/>
      </c>
      <c r="AD60" s="70">
        <f>IF($D60="","",IF($E60="پاس چک","X010",IF($E60="برگشت چک",IF($I60="","X003","X011"),IF($E60="انتقال داخلی",IF($I60="","X003","X011"),IF($D60="پرداخت",$F60,IF($E60="چک","X009",IF($I60="","X003","X011")))))))</f>
        <v/>
      </c>
      <c r="AE60" s="76">
        <f>IF($D60="","",IF($K60="",0,$K60))</f>
        <v/>
      </c>
      <c r="AF60" s="70">
        <f>IF($D60="","",IF($E60="پاس چک",IF($I60="","X003","X011"),IF($E60="برگشت چک","X010",IF($E60="انتقال داخلی",IF($N60="","X003","X011"),IF($D60="پرداخت",IF($E60="چک","X010",IF($I60="","X003","X011")),$F60)))))</f>
        <v/>
      </c>
      <c r="AG60" s="76">
        <f>IF($D60="","",IF($K60="",0,$K60))</f>
        <v/>
      </c>
    </row>
    <row r="61" ht="21.75" customHeight="1">
      <c r="A61" s="70">
        <f>IF($B61="","",COUNTA($B$10:$B61))</f>
        <v/>
      </c>
      <c r="B61" s="71" t="n"/>
      <c r="C61" s="71" t="n"/>
      <c r="D61" s="71" t="n"/>
      <c r="E61" s="71" t="n"/>
      <c r="F61" s="71" t="n"/>
      <c r="G61" s="73">
        <f>IF($F61="","",IFERROR(VLOOKUP($F61,AcctTbl,2,0),"کد ناشناخته"))</f>
        <v/>
      </c>
      <c r="H61" s="70">
        <f>IF($F61="","",IFERROR(VLOOKUP($F61,AcctTbl,3,0),""))</f>
        <v/>
      </c>
      <c r="I61" s="71" t="n"/>
      <c r="J61" s="71" t="n"/>
      <c r="K61" s="74" t="n"/>
      <c r="L61" s="71" t="n"/>
      <c r="M61" s="71" t="n"/>
      <c r="N61" s="71" t="n"/>
      <c r="O61" s="71" t="n"/>
      <c r="P61" s="72" t="n"/>
      <c r="Q61" s="72" t="n"/>
      <c r="R61" s="77">
        <f>IF($D61="","",IF($AA61="⚠","⚠ ناتراز",IF(AND($D61="پرداخت",$E61="چک",$L61=""),"⚠ وضعیت چک","✓")))</f>
        <v/>
      </c>
      <c r="S61" s="76">
        <f>IF(OR($D61="",$K61=""),"",IF(AND($D61="پرداخت",$E61&lt;&gt;"انتقال داخلی",$E61&lt;&gt;"پاس چک",$E61&lt;&gt;"برگشت چک"),$K61,0))</f>
        <v/>
      </c>
      <c r="T61" s="76">
        <f>IF(OR($D61="",$K61=""),"",IF(OR(AND($D61="دریافت",$E61&lt;&gt;"انتقال داخلی"),$E61="برگشت چک"),$K61,0))</f>
        <v/>
      </c>
      <c r="U61" s="76">
        <f>IF(OR($D61="",$K61=""),"",IF(OR(AND($D61="دریافت",$E61&lt;&gt;"چک"),$E61="انتقال داخلی"),$K61,0))</f>
        <v/>
      </c>
      <c r="V61" s="76">
        <f>IF(OR($D61="",$K61=""),"",IF(OR(AND($D61="پرداخت",$E61&lt;&gt;"چک",$E61&lt;&gt;"برگشت چک"),$E61="انتقال داخلی"),$K61,0))</f>
        <v/>
      </c>
      <c r="W61" s="76">
        <f>IF(OR($D61="",$K61=""),"",IF(OR($E61="پاس چک",$E61="برگشت چک",AND($D61="دریافت",$E61="چک")),$K61,0))</f>
        <v/>
      </c>
      <c r="X61" s="76">
        <f>IF(OR($D61="",$K61=""),"",IF(AND($D61="پرداخت",$E61="چک"),$K61,0))</f>
        <v/>
      </c>
      <c r="Y61" s="76">
        <f>SUM($S61,$U61,$W61)</f>
        <v/>
      </c>
      <c r="Z61" s="76">
        <f>SUM($T61,$V61,$X61)</f>
        <v/>
      </c>
      <c r="AA61" s="70">
        <f>IF($D61="","",IF(ROUND($Y61-$Z61,0)=0,"✓","⚠"))</f>
        <v/>
      </c>
      <c r="AB61" s="70">
        <f>IF($D61="","",IF($E61="نقد","X003",IF(OR($E61="چک",$E61="پاس چک",$E61="برگشت چک"),"X010",IF($I61="","X003","X011"))))</f>
        <v/>
      </c>
      <c r="AC61" s="70">
        <f>IF($D61="","",IF($E61="انتقال داخلی",IF($N61="","X003",IFERROR(VLOOKUP($N61,BankTbl,4,0),$N61)),IF($I61="","X003",IFERROR(VLOOKUP($I61,BankTbl,4,0),$I61))))</f>
        <v/>
      </c>
      <c r="AD61" s="70">
        <f>IF($D61="","",IF($E61="پاس چک","X010",IF($E61="برگشت چک",IF($I61="","X003","X011"),IF($E61="انتقال داخلی",IF($I61="","X003","X011"),IF($D61="پرداخت",$F61,IF($E61="چک","X009",IF($I61="","X003","X011")))))))</f>
        <v/>
      </c>
      <c r="AE61" s="76">
        <f>IF($D61="","",IF($K61="",0,$K61))</f>
        <v/>
      </c>
      <c r="AF61" s="70">
        <f>IF($D61="","",IF($E61="پاس چک",IF($I61="","X003","X011"),IF($E61="برگشت چک","X010",IF($E61="انتقال داخلی",IF($N61="","X003","X011"),IF($D61="پرداخت",IF($E61="چک","X010",IF($I61="","X003","X011")),$F61)))))</f>
        <v/>
      </c>
      <c r="AG61" s="76">
        <f>IF($D61="","",IF($K61="",0,$K61))</f>
        <v/>
      </c>
    </row>
    <row r="62" ht="21.75" customHeight="1">
      <c r="A62" s="70">
        <f>IF($B62="","",COUNTA($B$10:$B62))</f>
        <v/>
      </c>
      <c r="B62" s="71" t="n"/>
      <c r="C62" s="71" t="n"/>
      <c r="D62" s="71" t="n"/>
      <c r="E62" s="71" t="n"/>
      <c r="F62" s="71" t="n"/>
      <c r="G62" s="73">
        <f>IF($F62="","",IFERROR(VLOOKUP($F62,AcctTbl,2,0),"کد ناشناخته"))</f>
        <v/>
      </c>
      <c r="H62" s="70">
        <f>IF($F62="","",IFERROR(VLOOKUP($F62,AcctTbl,3,0),""))</f>
        <v/>
      </c>
      <c r="I62" s="71" t="n"/>
      <c r="J62" s="71" t="n"/>
      <c r="K62" s="74" t="n"/>
      <c r="L62" s="71" t="n"/>
      <c r="M62" s="71" t="n"/>
      <c r="N62" s="71" t="n"/>
      <c r="O62" s="71" t="n"/>
      <c r="P62" s="72" t="n"/>
      <c r="Q62" s="72" t="n"/>
      <c r="R62" s="77">
        <f>IF($D62="","",IF($AA62="⚠","⚠ ناتراز",IF(AND($D62="پرداخت",$E62="چک",$L62=""),"⚠ وضعیت چک","✓")))</f>
        <v/>
      </c>
      <c r="S62" s="76">
        <f>IF(OR($D62="",$K62=""),"",IF(AND($D62="پرداخت",$E62&lt;&gt;"انتقال داخلی",$E62&lt;&gt;"پاس چک",$E62&lt;&gt;"برگشت چک"),$K62,0))</f>
        <v/>
      </c>
      <c r="T62" s="76">
        <f>IF(OR($D62="",$K62=""),"",IF(OR(AND($D62="دریافت",$E62&lt;&gt;"انتقال داخلی"),$E62="برگشت چک"),$K62,0))</f>
        <v/>
      </c>
      <c r="U62" s="76">
        <f>IF(OR($D62="",$K62=""),"",IF(OR(AND($D62="دریافت",$E62&lt;&gt;"چک"),$E62="انتقال داخلی"),$K62,0))</f>
        <v/>
      </c>
      <c r="V62" s="76">
        <f>IF(OR($D62="",$K62=""),"",IF(OR(AND($D62="پرداخت",$E62&lt;&gt;"چک",$E62&lt;&gt;"برگشت چک"),$E62="انتقال داخلی"),$K62,0))</f>
        <v/>
      </c>
      <c r="W62" s="76">
        <f>IF(OR($D62="",$K62=""),"",IF(OR($E62="پاس چک",$E62="برگشت چک",AND($D62="دریافت",$E62="چک")),$K62,0))</f>
        <v/>
      </c>
      <c r="X62" s="76">
        <f>IF(OR($D62="",$K62=""),"",IF(AND($D62="پرداخت",$E62="چک"),$K62,0))</f>
        <v/>
      </c>
      <c r="Y62" s="76">
        <f>SUM($S62,$U62,$W62)</f>
        <v/>
      </c>
      <c r="Z62" s="76">
        <f>SUM($T62,$V62,$X62)</f>
        <v/>
      </c>
      <c r="AA62" s="70">
        <f>IF($D62="","",IF(ROUND($Y62-$Z62,0)=0,"✓","⚠"))</f>
        <v/>
      </c>
      <c r="AB62" s="70">
        <f>IF($D62="","",IF($E62="نقد","X003",IF(OR($E62="چک",$E62="پاس چک",$E62="برگشت چک"),"X010",IF($I62="","X003","X011"))))</f>
        <v/>
      </c>
      <c r="AC62" s="70">
        <f>IF($D62="","",IF($E62="انتقال داخلی",IF($N62="","X003",IFERROR(VLOOKUP($N62,BankTbl,4,0),$N62)),IF($I62="","X003",IFERROR(VLOOKUP($I62,BankTbl,4,0),$I62))))</f>
        <v/>
      </c>
      <c r="AD62" s="70">
        <f>IF($D62="","",IF($E62="پاس چک","X010",IF($E62="برگشت چک",IF($I62="","X003","X011"),IF($E62="انتقال داخلی",IF($I62="","X003","X011"),IF($D62="پرداخت",$F62,IF($E62="چک","X009",IF($I62="","X003","X011")))))))</f>
        <v/>
      </c>
      <c r="AE62" s="76">
        <f>IF($D62="","",IF($K62="",0,$K62))</f>
        <v/>
      </c>
      <c r="AF62" s="70">
        <f>IF($D62="","",IF($E62="پاس چک",IF($I62="","X003","X011"),IF($E62="برگشت چک","X010",IF($E62="انتقال داخلی",IF($N62="","X003","X011"),IF($D62="پرداخت",IF($E62="چک","X010",IF($I62="","X003","X011")),$F62)))))</f>
        <v/>
      </c>
      <c r="AG62" s="76">
        <f>IF($D62="","",IF($K62="",0,$K62))</f>
        <v/>
      </c>
    </row>
    <row r="63" ht="21.75" customHeight="1">
      <c r="A63" s="70">
        <f>IF($B63="","",COUNTA($B$10:$B63))</f>
        <v/>
      </c>
      <c r="B63" s="71" t="n"/>
      <c r="C63" s="71" t="n"/>
      <c r="D63" s="71" t="n"/>
      <c r="E63" s="71" t="n"/>
      <c r="F63" s="71" t="n"/>
      <c r="G63" s="73">
        <f>IF($F63="","",IFERROR(VLOOKUP($F63,AcctTbl,2,0),"کد ناشناخته"))</f>
        <v/>
      </c>
      <c r="H63" s="70">
        <f>IF($F63="","",IFERROR(VLOOKUP($F63,AcctTbl,3,0),""))</f>
        <v/>
      </c>
      <c r="I63" s="71" t="n"/>
      <c r="J63" s="71" t="n"/>
      <c r="K63" s="74" t="n"/>
      <c r="L63" s="71" t="n"/>
      <c r="M63" s="71" t="n"/>
      <c r="N63" s="71" t="n"/>
      <c r="O63" s="71" t="n"/>
      <c r="P63" s="72" t="n"/>
      <c r="Q63" s="72" t="n"/>
      <c r="R63" s="77">
        <f>IF($D63="","",IF($AA63="⚠","⚠ ناتراز",IF(AND($D63="پرداخت",$E63="چک",$L63=""),"⚠ وضعیت چک","✓")))</f>
        <v/>
      </c>
      <c r="S63" s="76">
        <f>IF(OR($D63="",$K63=""),"",IF(AND($D63="پرداخت",$E63&lt;&gt;"انتقال داخلی",$E63&lt;&gt;"پاس چک",$E63&lt;&gt;"برگشت چک"),$K63,0))</f>
        <v/>
      </c>
      <c r="T63" s="76">
        <f>IF(OR($D63="",$K63=""),"",IF(OR(AND($D63="دریافت",$E63&lt;&gt;"انتقال داخلی"),$E63="برگشت چک"),$K63,0))</f>
        <v/>
      </c>
      <c r="U63" s="76">
        <f>IF(OR($D63="",$K63=""),"",IF(OR(AND($D63="دریافت",$E63&lt;&gt;"چک"),$E63="انتقال داخلی"),$K63,0))</f>
        <v/>
      </c>
      <c r="V63" s="76">
        <f>IF(OR($D63="",$K63=""),"",IF(OR(AND($D63="پرداخت",$E63&lt;&gt;"چک",$E63&lt;&gt;"برگشت چک"),$E63="انتقال داخلی"),$K63,0))</f>
        <v/>
      </c>
      <c r="W63" s="76">
        <f>IF(OR($D63="",$K63=""),"",IF(OR($E63="پاس چک",$E63="برگشت چک",AND($D63="دریافت",$E63="چک")),$K63,0))</f>
        <v/>
      </c>
      <c r="X63" s="76">
        <f>IF(OR($D63="",$K63=""),"",IF(AND($D63="پرداخت",$E63="چک"),$K63,0))</f>
        <v/>
      </c>
      <c r="Y63" s="76">
        <f>SUM($S63,$U63,$W63)</f>
        <v/>
      </c>
      <c r="Z63" s="76">
        <f>SUM($T63,$V63,$X63)</f>
        <v/>
      </c>
      <c r="AA63" s="70">
        <f>IF($D63="","",IF(ROUND($Y63-$Z63,0)=0,"✓","⚠"))</f>
        <v/>
      </c>
      <c r="AB63" s="70">
        <f>IF($D63="","",IF($E63="نقد","X003",IF(OR($E63="چک",$E63="پاس چک",$E63="برگشت چک"),"X010",IF($I63="","X003","X011"))))</f>
        <v/>
      </c>
      <c r="AC63" s="70">
        <f>IF($D63="","",IF($E63="انتقال داخلی",IF($N63="","X003",IFERROR(VLOOKUP($N63,BankTbl,4,0),$N63)),IF($I63="","X003",IFERROR(VLOOKUP($I63,BankTbl,4,0),$I63))))</f>
        <v/>
      </c>
      <c r="AD63" s="70">
        <f>IF($D63="","",IF($E63="پاس چک","X010",IF($E63="برگشت چک",IF($I63="","X003","X011"),IF($E63="انتقال داخلی",IF($I63="","X003","X011"),IF($D63="پرداخت",$F63,IF($E63="چک","X009",IF($I63="","X003","X011")))))))</f>
        <v/>
      </c>
      <c r="AE63" s="76">
        <f>IF($D63="","",IF($K63="",0,$K63))</f>
        <v/>
      </c>
      <c r="AF63" s="70">
        <f>IF($D63="","",IF($E63="پاس چک",IF($I63="","X003","X011"),IF($E63="برگشت چک","X010",IF($E63="انتقال داخلی",IF($N63="","X003","X011"),IF($D63="پرداخت",IF($E63="چک","X010",IF($I63="","X003","X011")),$F63)))))</f>
        <v/>
      </c>
      <c r="AG63" s="76">
        <f>IF($D63="","",IF($K63="",0,$K63))</f>
        <v/>
      </c>
    </row>
    <row r="64" ht="21.75" customHeight="1">
      <c r="A64" s="70">
        <f>IF($B64="","",COUNTA($B$10:$B64))</f>
        <v/>
      </c>
      <c r="B64" s="71" t="n"/>
      <c r="C64" s="71" t="n"/>
      <c r="D64" s="71" t="n"/>
      <c r="E64" s="71" t="n"/>
      <c r="F64" s="71" t="n"/>
      <c r="G64" s="73">
        <f>IF($F64="","",IFERROR(VLOOKUP($F64,AcctTbl,2,0),"کد ناشناخته"))</f>
        <v/>
      </c>
      <c r="H64" s="70">
        <f>IF($F64="","",IFERROR(VLOOKUP($F64,AcctTbl,3,0),""))</f>
        <v/>
      </c>
      <c r="I64" s="71" t="n"/>
      <c r="J64" s="71" t="n"/>
      <c r="K64" s="74" t="n"/>
      <c r="L64" s="71" t="n"/>
      <c r="M64" s="71" t="n"/>
      <c r="N64" s="71" t="n"/>
      <c r="O64" s="71" t="n"/>
      <c r="P64" s="72" t="n"/>
      <c r="Q64" s="72" t="n"/>
      <c r="R64" s="77">
        <f>IF($D64="","",IF($AA64="⚠","⚠ ناتراز",IF(AND($D64="پرداخت",$E64="چک",$L64=""),"⚠ وضعیت چک","✓")))</f>
        <v/>
      </c>
      <c r="S64" s="76">
        <f>IF(OR($D64="",$K64=""),"",IF(AND($D64="پرداخت",$E64&lt;&gt;"انتقال داخلی",$E64&lt;&gt;"پاس چک",$E64&lt;&gt;"برگشت چک"),$K64,0))</f>
        <v/>
      </c>
      <c r="T64" s="76">
        <f>IF(OR($D64="",$K64=""),"",IF(OR(AND($D64="دریافت",$E64&lt;&gt;"انتقال داخلی"),$E64="برگشت چک"),$K64,0))</f>
        <v/>
      </c>
      <c r="U64" s="76">
        <f>IF(OR($D64="",$K64=""),"",IF(OR(AND($D64="دریافت",$E64&lt;&gt;"چک"),$E64="انتقال داخلی"),$K64,0))</f>
        <v/>
      </c>
      <c r="V64" s="76">
        <f>IF(OR($D64="",$K64=""),"",IF(OR(AND($D64="پرداخت",$E64&lt;&gt;"چک",$E64&lt;&gt;"برگشت چک"),$E64="انتقال داخلی"),$K64,0))</f>
        <v/>
      </c>
      <c r="W64" s="76">
        <f>IF(OR($D64="",$K64=""),"",IF(OR($E64="پاس چک",$E64="برگشت چک",AND($D64="دریافت",$E64="چک")),$K64,0))</f>
        <v/>
      </c>
      <c r="X64" s="76">
        <f>IF(OR($D64="",$K64=""),"",IF(AND($D64="پرداخت",$E64="چک"),$K64,0))</f>
        <v/>
      </c>
      <c r="Y64" s="76">
        <f>SUM($S64,$U64,$W64)</f>
        <v/>
      </c>
      <c r="Z64" s="76">
        <f>SUM($T64,$V64,$X64)</f>
        <v/>
      </c>
      <c r="AA64" s="70">
        <f>IF($D64="","",IF(ROUND($Y64-$Z64,0)=0,"✓","⚠"))</f>
        <v/>
      </c>
      <c r="AB64" s="70">
        <f>IF($D64="","",IF($E64="نقد","X003",IF(OR($E64="چک",$E64="پاس چک",$E64="برگشت چک"),"X010",IF($I64="","X003","X011"))))</f>
        <v/>
      </c>
      <c r="AC64" s="70">
        <f>IF($D64="","",IF($E64="انتقال داخلی",IF($N64="","X003",IFERROR(VLOOKUP($N64,BankTbl,4,0),$N64)),IF($I64="","X003",IFERROR(VLOOKUP($I64,BankTbl,4,0),$I64))))</f>
        <v/>
      </c>
      <c r="AD64" s="70">
        <f>IF($D64="","",IF($E64="پاس چک","X010",IF($E64="برگشت چک",IF($I64="","X003","X011"),IF($E64="انتقال داخلی",IF($I64="","X003","X011"),IF($D64="پرداخت",$F64,IF($E64="چک","X009",IF($I64="","X003","X011")))))))</f>
        <v/>
      </c>
      <c r="AE64" s="76">
        <f>IF($D64="","",IF($K64="",0,$K64))</f>
        <v/>
      </c>
      <c r="AF64" s="70">
        <f>IF($D64="","",IF($E64="پاس چک",IF($I64="","X003","X011"),IF($E64="برگشت چک","X010",IF($E64="انتقال داخلی",IF($N64="","X003","X011"),IF($D64="پرداخت",IF($E64="چک","X010",IF($I64="","X003","X011")),$F64)))))</f>
        <v/>
      </c>
      <c r="AG64" s="76">
        <f>IF($D64="","",IF($K64="",0,$K64))</f>
        <v/>
      </c>
    </row>
    <row r="65" ht="21.75" customHeight="1">
      <c r="A65" s="70">
        <f>IF($B65="","",COUNTA($B$10:$B65))</f>
        <v/>
      </c>
      <c r="B65" s="71" t="n"/>
      <c r="C65" s="71" t="n"/>
      <c r="D65" s="71" t="n"/>
      <c r="E65" s="71" t="n"/>
      <c r="F65" s="71" t="n"/>
      <c r="G65" s="73">
        <f>IF($F65="","",IFERROR(VLOOKUP($F65,AcctTbl,2,0),"کد ناشناخته"))</f>
        <v/>
      </c>
      <c r="H65" s="70">
        <f>IF($F65="","",IFERROR(VLOOKUP($F65,AcctTbl,3,0),""))</f>
        <v/>
      </c>
      <c r="I65" s="71" t="n"/>
      <c r="J65" s="71" t="n"/>
      <c r="K65" s="74" t="n"/>
      <c r="L65" s="71" t="n"/>
      <c r="M65" s="71" t="n"/>
      <c r="N65" s="71" t="n"/>
      <c r="O65" s="71" t="n"/>
      <c r="P65" s="72" t="n"/>
      <c r="Q65" s="72" t="n"/>
      <c r="R65" s="77">
        <f>IF($D65="","",IF($AA65="⚠","⚠ ناتراز",IF(AND($D65="پرداخت",$E65="چک",$L65=""),"⚠ وضعیت چک","✓")))</f>
        <v/>
      </c>
      <c r="S65" s="76">
        <f>IF(OR($D65="",$K65=""),"",IF(AND($D65="پرداخت",$E65&lt;&gt;"انتقال داخلی",$E65&lt;&gt;"پاس چک",$E65&lt;&gt;"برگشت چک"),$K65,0))</f>
        <v/>
      </c>
      <c r="T65" s="76">
        <f>IF(OR($D65="",$K65=""),"",IF(OR(AND($D65="دریافت",$E65&lt;&gt;"انتقال داخلی"),$E65="برگشت چک"),$K65,0))</f>
        <v/>
      </c>
      <c r="U65" s="76">
        <f>IF(OR($D65="",$K65=""),"",IF(OR(AND($D65="دریافت",$E65&lt;&gt;"چک"),$E65="انتقال داخلی"),$K65,0))</f>
        <v/>
      </c>
      <c r="V65" s="76">
        <f>IF(OR($D65="",$K65=""),"",IF(OR(AND($D65="پرداخت",$E65&lt;&gt;"چک",$E65&lt;&gt;"برگشت چک"),$E65="انتقال داخلی"),$K65,0))</f>
        <v/>
      </c>
      <c r="W65" s="76">
        <f>IF(OR($D65="",$K65=""),"",IF(OR($E65="پاس چک",$E65="برگشت چک",AND($D65="دریافت",$E65="چک")),$K65,0))</f>
        <v/>
      </c>
      <c r="X65" s="76">
        <f>IF(OR($D65="",$K65=""),"",IF(AND($D65="پرداخت",$E65="چک"),$K65,0))</f>
        <v/>
      </c>
      <c r="Y65" s="76">
        <f>SUM($S65,$U65,$W65)</f>
        <v/>
      </c>
      <c r="Z65" s="76">
        <f>SUM($T65,$V65,$X65)</f>
        <v/>
      </c>
      <c r="AA65" s="70">
        <f>IF($D65="","",IF(ROUND($Y65-$Z65,0)=0,"✓","⚠"))</f>
        <v/>
      </c>
      <c r="AB65" s="70">
        <f>IF($D65="","",IF($E65="نقد","X003",IF(OR($E65="چک",$E65="پاس چک",$E65="برگشت چک"),"X010",IF($I65="","X003","X011"))))</f>
        <v/>
      </c>
      <c r="AC65" s="70">
        <f>IF($D65="","",IF($E65="انتقال داخلی",IF($N65="","X003",IFERROR(VLOOKUP($N65,BankTbl,4,0),$N65)),IF($I65="","X003",IFERROR(VLOOKUP($I65,BankTbl,4,0),$I65))))</f>
        <v/>
      </c>
      <c r="AD65" s="70">
        <f>IF($D65="","",IF($E65="پاس چک","X010",IF($E65="برگشت چک",IF($I65="","X003","X011"),IF($E65="انتقال داخلی",IF($I65="","X003","X011"),IF($D65="پرداخت",$F65,IF($E65="چک","X009",IF($I65="","X003","X011")))))))</f>
        <v/>
      </c>
      <c r="AE65" s="76">
        <f>IF($D65="","",IF($K65="",0,$K65))</f>
        <v/>
      </c>
      <c r="AF65" s="70">
        <f>IF($D65="","",IF($E65="پاس چک",IF($I65="","X003","X011"),IF($E65="برگشت چک","X010",IF($E65="انتقال داخلی",IF($N65="","X003","X011"),IF($D65="پرداخت",IF($E65="چک","X010",IF($I65="","X003","X011")),$F65)))))</f>
        <v/>
      </c>
      <c r="AG65" s="76">
        <f>IF($D65="","",IF($K65="",0,$K65))</f>
        <v/>
      </c>
    </row>
    <row r="66" ht="21.75" customHeight="1">
      <c r="A66" s="70">
        <f>IF($B66="","",COUNTA($B$10:$B66))</f>
        <v/>
      </c>
      <c r="B66" s="71" t="n"/>
      <c r="C66" s="71" t="n"/>
      <c r="D66" s="71" t="n"/>
      <c r="E66" s="71" t="n"/>
      <c r="F66" s="71" t="n"/>
      <c r="G66" s="73">
        <f>IF($F66="","",IFERROR(VLOOKUP($F66,AcctTbl,2,0),"کد ناشناخته"))</f>
        <v/>
      </c>
      <c r="H66" s="70">
        <f>IF($F66="","",IFERROR(VLOOKUP($F66,AcctTbl,3,0),""))</f>
        <v/>
      </c>
      <c r="I66" s="71" t="n"/>
      <c r="J66" s="71" t="n"/>
      <c r="K66" s="74" t="n"/>
      <c r="L66" s="71" t="n"/>
      <c r="M66" s="71" t="n"/>
      <c r="N66" s="71" t="n"/>
      <c r="O66" s="71" t="n"/>
      <c r="P66" s="72" t="n"/>
      <c r="Q66" s="72" t="n"/>
      <c r="R66" s="77">
        <f>IF($D66="","",IF($AA66="⚠","⚠ ناتراز",IF(AND($D66="پرداخت",$E66="چک",$L66=""),"⚠ وضعیت چک","✓")))</f>
        <v/>
      </c>
      <c r="S66" s="76">
        <f>IF(OR($D66="",$K66=""),"",IF(AND($D66="پرداخت",$E66&lt;&gt;"انتقال داخلی",$E66&lt;&gt;"پاس چک",$E66&lt;&gt;"برگشت چک"),$K66,0))</f>
        <v/>
      </c>
      <c r="T66" s="76">
        <f>IF(OR($D66="",$K66=""),"",IF(OR(AND($D66="دریافت",$E66&lt;&gt;"انتقال داخلی"),$E66="برگشت چک"),$K66,0))</f>
        <v/>
      </c>
      <c r="U66" s="76">
        <f>IF(OR($D66="",$K66=""),"",IF(OR(AND($D66="دریافت",$E66&lt;&gt;"چک"),$E66="انتقال داخلی"),$K66,0))</f>
        <v/>
      </c>
      <c r="V66" s="76">
        <f>IF(OR($D66="",$K66=""),"",IF(OR(AND($D66="پرداخت",$E66&lt;&gt;"چک",$E66&lt;&gt;"برگشت چک"),$E66="انتقال داخلی"),$K66,0))</f>
        <v/>
      </c>
      <c r="W66" s="76">
        <f>IF(OR($D66="",$K66=""),"",IF(OR($E66="پاس چک",$E66="برگشت چک",AND($D66="دریافت",$E66="چک")),$K66,0))</f>
        <v/>
      </c>
      <c r="X66" s="76">
        <f>IF(OR($D66="",$K66=""),"",IF(AND($D66="پرداخت",$E66="چک"),$K66,0))</f>
        <v/>
      </c>
      <c r="Y66" s="76">
        <f>SUM($S66,$U66,$W66)</f>
        <v/>
      </c>
      <c r="Z66" s="76">
        <f>SUM($T66,$V66,$X66)</f>
        <v/>
      </c>
      <c r="AA66" s="70">
        <f>IF($D66="","",IF(ROUND($Y66-$Z66,0)=0,"✓","⚠"))</f>
        <v/>
      </c>
      <c r="AB66" s="70">
        <f>IF($D66="","",IF($E66="نقد","X003",IF(OR($E66="چک",$E66="پاس چک",$E66="برگشت چک"),"X010",IF($I66="","X003","X011"))))</f>
        <v/>
      </c>
      <c r="AC66" s="70">
        <f>IF($D66="","",IF($E66="انتقال داخلی",IF($N66="","X003",IFERROR(VLOOKUP($N66,BankTbl,4,0),$N66)),IF($I66="","X003",IFERROR(VLOOKUP($I66,BankTbl,4,0),$I66))))</f>
        <v/>
      </c>
      <c r="AD66" s="70">
        <f>IF($D66="","",IF($E66="پاس چک","X010",IF($E66="برگشت چک",IF($I66="","X003","X011"),IF($E66="انتقال داخلی",IF($I66="","X003","X011"),IF($D66="پرداخت",$F66,IF($E66="چک","X009",IF($I66="","X003","X011")))))))</f>
        <v/>
      </c>
      <c r="AE66" s="76">
        <f>IF($D66="","",IF($K66="",0,$K66))</f>
        <v/>
      </c>
      <c r="AF66" s="70">
        <f>IF($D66="","",IF($E66="پاس چک",IF($I66="","X003","X011"),IF($E66="برگشت چک","X010",IF($E66="انتقال داخلی",IF($N66="","X003","X011"),IF($D66="پرداخت",IF($E66="چک","X010",IF($I66="","X003","X011")),$F66)))))</f>
        <v/>
      </c>
      <c r="AG66" s="76">
        <f>IF($D66="","",IF($K66="",0,$K66))</f>
        <v/>
      </c>
    </row>
    <row r="67" ht="21.75" customHeight="1">
      <c r="A67" s="70">
        <f>IF($B67="","",COUNTA($B$10:$B67))</f>
        <v/>
      </c>
      <c r="B67" s="71" t="n"/>
      <c r="C67" s="71" t="n"/>
      <c r="D67" s="71" t="n"/>
      <c r="E67" s="71" t="n"/>
      <c r="F67" s="71" t="n"/>
      <c r="G67" s="73">
        <f>IF($F67="","",IFERROR(VLOOKUP($F67,AcctTbl,2,0),"کد ناشناخته"))</f>
        <v/>
      </c>
      <c r="H67" s="70">
        <f>IF($F67="","",IFERROR(VLOOKUP($F67,AcctTbl,3,0),""))</f>
        <v/>
      </c>
      <c r="I67" s="71" t="n"/>
      <c r="J67" s="71" t="n"/>
      <c r="K67" s="74" t="n"/>
      <c r="L67" s="71" t="n"/>
      <c r="M67" s="71" t="n"/>
      <c r="N67" s="71" t="n"/>
      <c r="O67" s="71" t="n"/>
      <c r="P67" s="72" t="n"/>
      <c r="Q67" s="72" t="n"/>
      <c r="R67" s="77">
        <f>IF($D67="","",IF($AA67="⚠","⚠ ناتراز",IF(AND($D67="پرداخت",$E67="چک",$L67=""),"⚠ وضعیت چک","✓")))</f>
        <v/>
      </c>
      <c r="S67" s="76">
        <f>IF(OR($D67="",$K67=""),"",IF(AND($D67="پرداخت",$E67&lt;&gt;"انتقال داخلی",$E67&lt;&gt;"پاس چک",$E67&lt;&gt;"برگشت چک"),$K67,0))</f>
        <v/>
      </c>
      <c r="T67" s="76">
        <f>IF(OR($D67="",$K67=""),"",IF(OR(AND($D67="دریافت",$E67&lt;&gt;"انتقال داخلی"),$E67="برگشت چک"),$K67,0))</f>
        <v/>
      </c>
      <c r="U67" s="76">
        <f>IF(OR($D67="",$K67=""),"",IF(OR(AND($D67="دریافت",$E67&lt;&gt;"چک"),$E67="انتقال داخلی"),$K67,0))</f>
        <v/>
      </c>
      <c r="V67" s="76">
        <f>IF(OR($D67="",$K67=""),"",IF(OR(AND($D67="پرداخت",$E67&lt;&gt;"چک",$E67&lt;&gt;"برگشت چک"),$E67="انتقال داخلی"),$K67,0))</f>
        <v/>
      </c>
      <c r="W67" s="76">
        <f>IF(OR($D67="",$K67=""),"",IF(OR($E67="پاس چک",$E67="برگشت چک",AND($D67="دریافت",$E67="چک")),$K67,0))</f>
        <v/>
      </c>
      <c r="X67" s="76">
        <f>IF(OR($D67="",$K67=""),"",IF(AND($D67="پرداخت",$E67="چک"),$K67,0))</f>
        <v/>
      </c>
      <c r="Y67" s="76">
        <f>SUM($S67,$U67,$W67)</f>
        <v/>
      </c>
      <c r="Z67" s="76">
        <f>SUM($T67,$V67,$X67)</f>
        <v/>
      </c>
      <c r="AA67" s="70">
        <f>IF($D67="","",IF(ROUND($Y67-$Z67,0)=0,"✓","⚠"))</f>
        <v/>
      </c>
      <c r="AB67" s="70">
        <f>IF($D67="","",IF($E67="نقد","X003",IF(OR($E67="چک",$E67="پاس چک",$E67="برگشت چک"),"X010",IF($I67="","X003","X011"))))</f>
        <v/>
      </c>
      <c r="AC67" s="70">
        <f>IF($D67="","",IF($E67="انتقال داخلی",IF($N67="","X003",IFERROR(VLOOKUP($N67,BankTbl,4,0),$N67)),IF($I67="","X003",IFERROR(VLOOKUP($I67,BankTbl,4,0),$I67))))</f>
        <v/>
      </c>
      <c r="AD67" s="70">
        <f>IF($D67="","",IF($E67="پاس چک","X010",IF($E67="برگشت چک",IF($I67="","X003","X011"),IF($E67="انتقال داخلی",IF($I67="","X003","X011"),IF($D67="پرداخت",$F67,IF($E67="چک","X009",IF($I67="","X003","X011")))))))</f>
        <v/>
      </c>
      <c r="AE67" s="76">
        <f>IF($D67="","",IF($K67="",0,$K67))</f>
        <v/>
      </c>
      <c r="AF67" s="70">
        <f>IF($D67="","",IF($E67="پاس چک",IF($I67="","X003","X011"),IF($E67="برگشت چک","X010",IF($E67="انتقال داخلی",IF($N67="","X003","X011"),IF($D67="پرداخت",IF($E67="چک","X010",IF($I67="","X003","X011")),$F67)))))</f>
        <v/>
      </c>
      <c r="AG67" s="76">
        <f>IF($D67="","",IF($K67="",0,$K67))</f>
        <v/>
      </c>
    </row>
    <row r="68" ht="21.75" customHeight="1">
      <c r="A68" s="70">
        <f>IF($B68="","",COUNTA($B$10:$B68))</f>
        <v/>
      </c>
      <c r="B68" s="71" t="n"/>
      <c r="C68" s="71" t="n"/>
      <c r="D68" s="71" t="n"/>
      <c r="E68" s="71" t="n"/>
      <c r="F68" s="71" t="n"/>
      <c r="G68" s="73">
        <f>IF($F68="","",IFERROR(VLOOKUP($F68,AcctTbl,2,0),"کد ناشناخته"))</f>
        <v/>
      </c>
      <c r="H68" s="70">
        <f>IF($F68="","",IFERROR(VLOOKUP($F68,AcctTbl,3,0),""))</f>
        <v/>
      </c>
      <c r="I68" s="71" t="n"/>
      <c r="J68" s="71" t="n"/>
      <c r="K68" s="74" t="n"/>
      <c r="L68" s="71" t="n"/>
      <c r="M68" s="71" t="n"/>
      <c r="N68" s="71" t="n"/>
      <c r="O68" s="71" t="n"/>
      <c r="P68" s="72" t="n"/>
      <c r="Q68" s="72" t="n"/>
      <c r="R68" s="77">
        <f>IF($D68="","",IF($AA68="⚠","⚠ ناتراز",IF(AND($D68="پرداخت",$E68="چک",$L68=""),"⚠ وضعیت چک","✓")))</f>
        <v/>
      </c>
      <c r="S68" s="76">
        <f>IF(OR($D68="",$K68=""),"",IF(AND($D68="پرداخت",$E68&lt;&gt;"انتقال داخلی",$E68&lt;&gt;"پاس چک",$E68&lt;&gt;"برگشت چک"),$K68,0))</f>
        <v/>
      </c>
      <c r="T68" s="76">
        <f>IF(OR($D68="",$K68=""),"",IF(OR(AND($D68="دریافت",$E68&lt;&gt;"انتقال داخلی"),$E68="برگشت چک"),$K68,0))</f>
        <v/>
      </c>
      <c r="U68" s="76">
        <f>IF(OR($D68="",$K68=""),"",IF(OR(AND($D68="دریافت",$E68&lt;&gt;"چک"),$E68="انتقال داخلی"),$K68,0))</f>
        <v/>
      </c>
      <c r="V68" s="76">
        <f>IF(OR($D68="",$K68=""),"",IF(OR(AND($D68="پرداخت",$E68&lt;&gt;"چک",$E68&lt;&gt;"برگشت چک"),$E68="انتقال داخلی"),$K68,0))</f>
        <v/>
      </c>
      <c r="W68" s="76">
        <f>IF(OR($D68="",$K68=""),"",IF(OR($E68="پاس چک",$E68="برگشت چک",AND($D68="دریافت",$E68="چک")),$K68,0))</f>
        <v/>
      </c>
      <c r="X68" s="76">
        <f>IF(OR($D68="",$K68=""),"",IF(AND($D68="پرداخت",$E68="چک"),$K68,0))</f>
        <v/>
      </c>
      <c r="Y68" s="76">
        <f>SUM($S68,$U68,$W68)</f>
        <v/>
      </c>
      <c r="Z68" s="76">
        <f>SUM($T68,$V68,$X68)</f>
        <v/>
      </c>
      <c r="AA68" s="70">
        <f>IF($D68="","",IF(ROUND($Y68-$Z68,0)=0,"✓","⚠"))</f>
        <v/>
      </c>
      <c r="AB68" s="70">
        <f>IF($D68="","",IF($E68="نقد","X003",IF(OR($E68="چک",$E68="پاس چک",$E68="برگشت چک"),"X010",IF($I68="","X003","X011"))))</f>
        <v/>
      </c>
      <c r="AC68" s="70">
        <f>IF($D68="","",IF($E68="انتقال داخلی",IF($N68="","X003",IFERROR(VLOOKUP($N68,BankTbl,4,0),$N68)),IF($I68="","X003",IFERROR(VLOOKUP($I68,BankTbl,4,0),$I68))))</f>
        <v/>
      </c>
      <c r="AD68" s="70">
        <f>IF($D68="","",IF($E68="پاس چک","X010",IF($E68="برگشت چک",IF($I68="","X003","X011"),IF($E68="انتقال داخلی",IF($I68="","X003","X011"),IF($D68="پرداخت",$F68,IF($E68="چک","X009",IF($I68="","X003","X011")))))))</f>
        <v/>
      </c>
      <c r="AE68" s="76">
        <f>IF($D68="","",IF($K68="",0,$K68))</f>
        <v/>
      </c>
      <c r="AF68" s="70">
        <f>IF($D68="","",IF($E68="پاس چک",IF($I68="","X003","X011"),IF($E68="برگشت چک","X010",IF($E68="انتقال داخلی",IF($N68="","X003","X011"),IF($D68="پرداخت",IF($E68="چک","X010",IF($I68="","X003","X011")),$F68)))))</f>
        <v/>
      </c>
      <c r="AG68" s="76">
        <f>IF($D68="","",IF($K68="",0,$K68))</f>
        <v/>
      </c>
    </row>
    <row r="69" ht="21.75" customHeight="1">
      <c r="A69" s="70">
        <f>IF($B69="","",COUNTA($B$10:$B69))</f>
        <v/>
      </c>
      <c r="B69" s="71" t="n"/>
      <c r="C69" s="71" t="n"/>
      <c r="D69" s="71" t="n"/>
      <c r="E69" s="71" t="n"/>
      <c r="F69" s="71" t="n"/>
      <c r="G69" s="73">
        <f>IF($F69="","",IFERROR(VLOOKUP($F69,AcctTbl,2,0),"کد ناشناخته"))</f>
        <v/>
      </c>
      <c r="H69" s="70">
        <f>IF($F69="","",IFERROR(VLOOKUP($F69,AcctTbl,3,0),""))</f>
        <v/>
      </c>
      <c r="I69" s="71" t="n"/>
      <c r="J69" s="71" t="n"/>
      <c r="K69" s="74" t="n"/>
      <c r="L69" s="71" t="n"/>
      <c r="M69" s="71" t="n"/>
      <c r="N69" s="71" t="n"/>
      <c r="O69" s="71" t="n"/>
      <c r="P69" s="72" t="n"/>
      <c r="Q69" s="72" t="n"/>
      <c r="R69" s="77">
        <f>IF($D69="","",IF($AA69="⚠","⚠ ناتراز",IF(AND($D69="پرداخت",$E69="چک",$L69=""),"⚠ وضعیت چک","✓")))</f>
        <v/>
      </c>
      <c r="S69" s="76">
        <f>IF(OR($D69="",$K69=""),"",IF(AND($D69="پرداخت",$E69&lt;&gt;"انتقال داخلی",$E69&lt;&gt;"پاس چک",$E69&lt;&gt;"برگشت چک"),$K69,0))</f>
        <v/>
      </c>
      <c r="T69" s="76">
        <f>IF(OR($D69="",$K69=""),"",IF(OR(AND($D69="دریافت",$E69&lt;&gt;"انتقال داخلی"),$E69="برگشت چک"),$K69,0))</f>
        <v/>
      </c>
      <c r="U69" s="76">
        <f>IF(OR($D69="",$K69=""),"",IF(OR(AND($D69="دریافت",$E69&lt;&gt;"چک"),$E69="انتقال داخلی"),$K69,0))</f>
        <v/>
      </c>
      <c r="V69" s="76">
        <f>IF(OR($D69="",$K69=""),"",IF(OR(AND($D69="پرداخت",$E69&lt;&gt;"چک",$E69&lt;&gt;"برگشت چک"),$E69="انتقال داخلی"),$K69,0))</f>
        <v/>
      </c>
      <c r="W69" s="76">
        <f>IF(OR($D69="",$K69=""),"",IF(OR($E69="پاس چک",$E69="برگشت چک",AND($D69="دریافت",$E69="چک")),$K69,0))</f>
        <v/>
      </c>
      <c r="X69" s="76">
        <f>IF(OR($D69="",$K69=""),"",IF(AND($D69="پرداخت",$E69="چک"),$K69,0))</f>
        <v/>
      </c>
      <c r="Y69" s="76">
        <f>SUM($S69,$U69,$W69)</f>
        <v/>
      </c>
      <c r="Z69" s="76">
        <f>SUM($T69,$V69,$X69)</f>
        <v/>
      </c>
      <c r="AA69" s="70">
        <f>IF($D69="","",IF(ROUND($Y69-$Z69,0)=0,"✓","⚠"))</f>
        <v/>
      </c>
      <c r="AB69" s="70">
        <f>IF($D69="","",IF($E69="نقد","X003",IF(OR($E69="چک",$E69="پاس چک",$E69="برگشت چک"),"X010",IF($I69="","X003","X011"))))</f>
        <v/>
      </c>
      <c r="AC69" s="70">
        <f>IF($D69="","",IF($E69="انتقال داخلی",IF($N69="","X003",IFERROR(VLOOKUP($N69,BankTbl,4,0),$N69)),IF($I69="","X003",IFERROR(VLOOKUP($I69,BankTbl,4,0),$I69))))</f>
        <v/>
      </c>
      <c r="AD69" s="70">
        <f>IF($D69="","",IF($E69="پاس چک","X010",IF($E69="برگشت چک",IF($I69="","X003","X011"),IF($E69="انتقال داخلی",IF($I69="","X003","X011"),IF($D69="پرداخت",$F69,IF($E69="چک","X009",IF($I69="","X003","X011")))))))</f>
        <v/>
      </c>
      <c r="AE69" s="76">
        <f>IF($D69="","",IF($K69="",0,$K69))</f>
        <v/>
      </c>
      <c r="AF69" s="70">
        <f>IF($D69="","",IF($E69="پاس چک",IF($I69="","X003","X011"),IF($E69="برگشت چک","X010",IF($E69="انتقال داخلی",IF($N69="","X003","X011"),IF($D69="پرداخت",IF($E69="چک","X010",IF($I69="","X003","X011")),$F69)))))</f>
        <v/>
      </c>
      <c r="AG69" s="76">
        <f>IF($D69="","",IF($K69="",0,$K69))</f>
        <v/>
      </c>
    </row>
    <row r="70" ht="21.75" customHeight="1">
      <c r="A70" s="70">
        <f>IF($B70="","",COUNTA($B$10:$B70))</f>
        <v/>
      </c>
      <c r="B70" s="71" t="n"/>
      <c r="C70" s="71" t="n"/>
      <c r="D70" s="71" t="n"/>
      <c r="E70" s="71" t="n"/>
      <c r="F70" s="71" t="n"/>
      <c r="G70" s="73">
        <f>IF($F70="","",IFERROR(VLOOKUP($F70,AcctTbl,2,0),"کد ناشناخته"))</f>
        <v/>
      </c>
      <c r="H70" s="70">
        <f>IF($F70="","",IFERROR(VLOOKUP($F70,AcctTbl,3,0),""))</f>
        <v/>
      </c>
      <c r="I70" s="71" t="n"/>
      <c r="J70" s="71" t="n"/>
      <c r="K70" s="74" t="n"/>
      <c r="L70" s="71" t="n"/>
      <c r="M70" s="71" t="n"/>
      <c r="N70" s="71" t="n"/>
      <c r="O70" s="71" t="n"/>
      <c r="P70" s="72" t="n"/>
      <c r="Q70" s="72" t="n"/>
      <c r="R70" s="77">
        <f>IF($D70="","",IF($AA70="⚠","⚠ ناتراز",IF(AND($D70="پرداخت",$E70="چک",$L70=""),"⚠ وضعیت چک","✓")))</f>
        <v/>
      </c>
      <c r="S70" s="76">
        <f>IF(OR($D70="",$K70=""),"",IF(AND($D70="پرداخت",$E70&lt;&gt;"انتقال داخلی",$E70&lt;&gt;"پاس چک",$E70&lt;&gt;"برگشت چک"),$K70,0))</f>
        <v/>
      </c>
      <c r="T70" s="76">
        <f>IF(OR($D70="",$K70=""),"",IF(OR(AND($D70="دریافت",$E70&lt;&gt;"انتقال داخلی"),$E70="برگشت چک"),$K70,0))</f>
        <v/>
      </c>
      <c r="U70" s="76">
        <f>IF(OR($D70="",$K70=""),"",IF(OR(AND($D70="دریافت",$E70&lt;&gt;"چک"),$E70="انتقال داخلی"),$K70,0))</f>
        <v/>
      </c>
      <c r="V70" s="76">
        <f>IF(OR($D70="",$K70=""),"",IF(OR(AND($D70="پرداخت",$E70&lt;&gt;"چک",$E70&lt;&gt;"برگشت چک"),$E70="انتقال داخلی"),$K70,0))</f>
        <v/>
      </c>
      <c r="W70" s="76">
        <f>IF(OR($D70="",$K70=""),"",IF(OR($E70="پاس چک",$E70="برگشت چک",AND($D70="دریافت",$E70="چک")),$K70,0))</f>
        <v/>
      </c>
      <c r="X70" s="76">
        <f>IF(OR($D70="",$K70=""),"",IF(AND($D70="پرداخت",$E70="چک"),$K70,0))</f>
        <v/>
      </c>
      <c r="Y70" s="76">
        <f>SUM($S70,$U70,$W70)</f>
        <v/>
      </c>
      <c r="Z70" s="76">
        <f>SUM($T70,$V70,$X70)</f>
        <v/>
      </c>
      <c r="AA70" s="70">
        <f>IF($D70="","",IF(ROUND($Y70-$Z70,0)=0,"✓","⚠"))</f>
        <v/>
      </c>
      <c r="AB70" s="70">
        <f>IF($D70="","",IF($E70="نقد","X003",IF(OR($E70="چک",$E70="پاس چک",$E70="برگشت چک"),"X010",IF($I70="","X003","X011"))))</f>
        <v/>
      </c>
      <c r="AC70" s="70">
        <f>IF($D70="","",IF($E70="انتقال داخلی",IF($N70="","X003",IFERROR(VLOOKUP($N70,BankTbl,4,0),$N70)),IF($I70="","X003",IFERROR(VLOOKUP($I70,BankTbl,4,0),$I70))))</f>
        <v/>
      </c>
      <c r="AD70" s="70">
        <f>IF($D70="","",IF($E70="پاس چک","X010",IF($E70="برگشت چک",IF($I70="","X003","X011"),IF($E70="انتقال داخلی",IF($I70="","X003","X011"),IF($D70="پرداخت",$F70,IF($E70="چک","X009",IF($I70="","X003","X011")))))))</f>
        <v/>
      </c>
      <c r="AE70" s="76">
        <f>IF($D70="","",IF($K70="",0,$K70))</f>
        <v/>
      </c>
      <c r="AF70" s="70">
        <f>IF($D70="","",IF($E70="پاس چک",IF($I70="","X003","X011"),IF($E70="برگشت چک","X010",IF($E70="انتقال داخلی",IF($N70="","X003","X011"),IF($D70="پرداخت",IF($E70="چک","X010",IF($I70="","X003","X011")),$F70)))))</f>
        <v/>
      </c>
      <c r="AG70" s="76">
        <f>IF($D70="","",IF($K70="",0,$K70))</f>
        <v/>
      </c>
    </row>
    <row r="71" ht="21.75" customHeight="1">
      <c r="A71" s="70">
        <f>IF($B71="","",COUNTA($B$10:$B71))</f>
        <v/>
      </c>
      <c r="B71" s="71" t="n"/>
      <c r="C71" s="71" t="n"/>
      <c r="D71" s="71" t="n"/>
      <c r="E71" s="71" t="n"/>
      <c r="F71" s="71" t="n"/>
      <c r="G71" s="73">
        <f>IF($F71="","",IFERROR(VLOOKUP($F71,AcctTbl,2,0),"کد ناشناخته"))</f>
        <v/>
      </c>
      <c r="H71" s="70">
        <f>IF($F71="","",IFERROR(VLOOKUP($F71,AcctTbl,3,0),""))</f>
        <v/>
      </c>
      <c r="I71" s="71" t="n"/>
      <c r="J71" s="71" t="n"/>
      <c r="K71" s="74" t="n"/>
      <c r="L71" s="71" t="n"/>
      <c r="M71" s="71" t="n"/>
      <c r="N71" s="71" t="n"/>
      <c r="O71" s="71" t="n"/>
      <c r="P71" s="72" t="n"/>
      <c r="Q71" s="72" t="n"/>
      <c r="R71" s="77">
        <f>IF($D71="","",IF($AA71="⚠","⚠ ناتراز",IF(AND($D71="پرداخت",$E71="چک",$L71=""),"⚠ وضعیت چک","✓")))</f>
        <v/>
      </c>
      <c r="S71" s="76">
        <f>IF(OR($D71="",$K71=""),"",IF(AND($D71="پرداخت",$E71&lt;&gt;"انتقال داخلی",$E71&lt;&gt;"پاس چک",$E71&lt;&gt;"برگشت چک"),$K71,0))</f>
        <v/>
      </c>
      <c r="T71" s="76">
        <f>IF(OR($D71="",$K71=""),"",IF(OR(AND($D71="دریافت",$E71&lt;&gt;"انتقال داخلی"),$E71="برگشت چک"),$K71,0))</f>
        <v/>
      </c>
      <c r="U71" s="76">
        <f>IF(OR($D71="",$K71=""),"",IF(OR(AND($D71="دریافت",$E71&lt;&gt;"چک"),$E71="انتقال داخلی"),$K71,0))</f>
        <v/>
      </c>
      <c r="V71" s="76">
        <f>IF(OR($D71="",$K71=""),"",IF(OR(AND($D71="پرداخت",$E71&lt;&gt;"چک",$E71&lt;&gt;"برگشت چک"),$E71="انتقال داخلی"),$K71,0))</f>
        <v/>
      </c>
      <c r="W71" s="76">
        <f>IF(OR($D71="",$K71=""),"",IF(OR($E71="پاس چک",$E71="برگشت چک",AND($D71="دریافت",$E71="چک")),$K71,0))</f>
        <v/>
      </c>
      <c r="X71" s="76">
        <f>IF(OR($D71="",$K71=""),"",IF(AND($D71="پرداخت",$E71="چک"),$K71,0))</f>
        <v/>
      </c>
      <c r="Y71" s="76">
        <f>SUM($S71,$U71,$W71)</f>
        <v/>
      </c>
      <c r="Z71" s="76">
        <f>SUM($T71,$V71,$X71)</f>
        <v/>
      </c>
      <c r="AA71" s="70">
        <f>IF($D71="","",IF(ROUND($Y71-$Z71,0)=0,"✓","⚠"))</f>
        <v/>
      </c>
      <c r="AB71" s="70">
        <f>IF($D71="","",IF($E71="نقد","X003",IF(OR($E71="چک",$E71="پاس چک",$E71="برگشت چک"),"X010",IF($I71="","X003","X011"))))</f>
        <v/>
      </c>
      <c r="AC71" s="70">
        <f>IF($D71="","",IF($E71="انتقال داخلی",IF($N71="","X003",IFERROR(VLOOKUP($N71,BankTbl,4,0),$N71)),IF($I71="","X003",IFERROR(VLOOKUP($I71,BankTbl,4,0),$I71))))</f>
        <v/>
      </c>
      <c r="AD71" s="70">
        <f>IF($D71="","",IF($E71="پاس چک","X010",IF($E71="برگشت چک",IF($I71="","X003","X011"),IF($E71="انتقال داخلی",IF($I71="","X003","X011"),IF($D71="پرداخت",$F71,IF($E71="چک","X009",IF($I71="","X003","X011")))))))</f>
        <v/>
      </c>
      <c r="AE71" s="76">
        <f>IF($D71="","",IF($K71="",0,$K71))</f>
        <v/>
      </c>
      <c r="AF71" s="70">
        <f>IF($D71="","",IF($E71="پاس چک",IF($I71="","X003","X011"),IF($E71="برگشت چک","X010",IF($E71="انتقال داخلی",IF($N71="","X003","X011"),IF($D71="پرداخت",IF($E71="چک","X010",IF($I71="","X003","X011")),$F71)))))</f>
        <v/>
      </c>
      <c r="AG71" s="76">
        <f>IF($D71="","",IF($K71="",0,$K71))</f>
        <v/>
      </c>
    </row>
    <row r="72" ht="21.75" customHeight="1">
      <c r="A72" s="70">
        <f>IF($B72="","",COUNTA($B$10:$B72))</f>
        <v/>
      </c>
      <c r="B72" s="71" t="n"/>
      <c r="C72" s="71" t="n"/>
      <c r="D72" s="71" t="n"/>
      <c r="E72" s="71" t="n"/>
      <c r="F72" s="71" t="n"/>
      <c r="G72" s="73">
        <f>IF($F72="","",IFERROR(VLOOKUP($F72,AcctTbl,2,0),"کد ناشناخته"))</f>
        <v/>
      </c>
      <c r="H72" s="70">
        <f>IF($F72="","",IFERROR(VLOOKUP($F72,AcctTbl,3,0),""))</f>
        <v/>
      </c>
      <c r="I72" s="71" t="n"/>
      <c r="J72" s="71" t="n"/>
      <c r="K72" s="74" t="n"/>
      <c r="L72" s="71" t="n"/>
      <c r="M72" s="71" t="n"/>
      <c r="N72" s="71" t="n"/>
      <c r="O72" s="71" t="n"/>
      <c r="P72" s="72" t="n"/>
      <c r="Q72" s="72" t="n"/>
      <c r="R72" s="77">
        <f>IF($D72="","",IF($AA72="⚠","⚠ ناتراز",IF(AND($D72="پرداخت",$E72="چک",$L72=""),"⚠ وضعیت چک","✓")))</f>
        <v/>
      </c>
      <c r="S72" s="76">
        <f>IF(OR($D72="",$K72=""),"",IF(AND($D72="پرداخت",$E72&lt;&gt;"انتقال داخلی",$E72&lt;&gt;"پاس چک",$E72&lt;&gt;"برگشت چک"),$K72,0))</f>
        <v/>
      </c>
      <c r="T72" s="76">
        <f>IF(OR($D72="",$K72=""),"",IF(OR(AND($D72="دریافت",$E72&lt;&gt;"انتقال داخلی"),$E72="برگشت چک"),$K72,0))</f>
        <v/>
      </c>
      <c r="U72" s="76">
        <f>IF(OR($D72="",$K72=""),"",IF(OR(AND($D72="دریافت",$E72&lt;&gt;"چک"),$E72="انتقال داخلی"),$K72,0))</f>
        <v/>
      </c>
      <c r="V72" s="76">
        <f>IF(OR($D72="",$K72=""),"",IF(OR(AND($D72="پرداخت",$E72&lt;&gt;"چک",$E72&lt;&gt;"برگشت چک"),$E72="انتقال داخلی"),$K72,0))</f>
        <v/>
      </c>
      <c r="W72" s="76">
        <f>IF(OR($D72="",$K72=""),"",IF(OR($E72="پاس چک",$E72="برگشت چک",AND($D72="دریافت",$E72="چک")),$K72,0))</f>
        <v/>
      </c>
      <c r="X72" s="76">
        <f>IF(OR($D72="",$K72=""),"",IF(AND($D72="پرداخت",$E72="چک"),$K72,0))</f>
        <v/>
      </c>
      <c r="Y72" s="76">
        <f>SUM($S72,$U72,$W72)</f>
        <v/>
      </c>
      <c r="Z72" s="76">
        <f>SUM($T72,$V72,$X72)</f>
        <v/>
      </c>
      <c r="AA72" s="70">
        <f>IF($D72="","",IF(ROUND($Y72-$Z72,0)=0,"✓","⚠"))</f>
        <v/>
      </c>
      <c r="AB72" s="70">
        <f>IF($D72="","",IF($E72="نقد","X003",IF(OR($E72="چک",$E72="پاس چک",$E72="برگشت چک"),"X010",IF($I72="","X003","X011"))))</f>
        <v/>
      </c>
      <c r="AC72" s="70">
        <f>IF($D72="","",IF($E72="انتقال داخلی",IF($N72="","X003",IFERROR(VLOOKUP($N72,BankTbl,4,0),$N72)),IF($I72="","X003",IFERROR(VLOOKUP($I72,BankTbl,4,0),$I72))))</f>
        <v/>
      </c>
      <c r="AD72" s="70">
        <f>IF($D72="","",IF($E72="پاس چک","X010",IF($E72="برگشت چک",IF($I72="","X003","X011"),IF($E72="انتقال داخلی",IF($I72="","X003","X011"),IF($D72="پرداخت",$F72,IF($E72="چک","X009",IF($I72="","X003","X011")))))))</f>
        <v/>
      </c>
      <c r="AE72" s="76">
        <f>IF($D72="","",IF($K72="",0,$K72))</f>
        <v/>
      </c>
      <c r="AF72" s="70">
        <f>IF($D72="","",IF($E72="پاس چک",IF($I72="","X003","X011"),IF($E72="برگشت چک","X010",IF($E72="انتقال داخلی",IF($N72="","X003","X011"),IF($D72="پرداخت",IF($E72="چک","X010",IF($I72="","X003","X011")),$F72)))))</f>
        <v/>
      </c>
      <c r="AG72" s="76">
        <f>IF($D72="","",IF($K72="",0,$K72))</f>
        <v/>
      </c>
    </row>
    <row r="73" ht="21.75" customHeight="1">
      <c r="A73" s="70">
        <f>IF($B73="","",COUNTA($B$10:$B73))</f>
        <v/>
      </c>
      <c r="B73" s="71" t="n"/>
      <c r="C73" s="71" t="n"/>
      <c r="D73" s="71" t="n"/>
      <c r="E73" s="71" t="n"/>
      <c r="F73" s="71" t="n"/>
      <c r="G73" s="73">
        <f>IF($F73="","",IFERROR(VLOOKUP($F73,AcctTbl,2,0),"کد ناشناخته"))</f>
        <v/>
      </c>
      <c r="H73" s="70">
        <f>IF($F73="","",IFERROR(VLOOKUP($F73,AcctTbl,3,0),""))</f>
        <v/>
      </c>
      <c r="I73" s="71" t="n"/>
      <c r="J73" s="71" t="n"/>
      <c r="K73" s="74" t="n"/>
      <c r="L73" s="71" t="n"/>
      <c r="M73" s="71" t="n"/>
      <c r="N73" s="71" t="n"/>
      <c r="O73" s="71" t="n"/>
      <c r="P73" s="72" t="n"/>
      <c r="Q73" s="72" t="n"/>
      <c r="R73" s="77">
        <f>IF($D73="","",IF($AA73="⚠","⚠ ناتراز",IF(AND($D73="پرداخت",$E73="چک",$L73=""),"⚠ وضعیت چک","✓")))</f>
        <v/>
      </c>
      <c r="S73" s="76">
        <f>IF(OR($D73="",$K73=""),"",IF(AND($D73="پرداخت",$E73&lt;&gt;"انتقال داخلی",$E73&lt;&gt;"پاس چک",$E73&lt;&gt;"برگشت چک"),$K73,0))</f>
        <v/>
      </c>
      <c r="T73" s="76">
        <f>IF(OR($D73="",$K73=""),"",IF(OR(AND($D73="دریافت",$E73&lt;&gt;"انتقال داخلی"),$E73="برگشت چک"),$K73,0))</f>
        <v/>
      </c>
      <c r="U73" s="76">
        <f>IF(OR($D73="",$K73=""),"",IF(OR(AND($D73="دریافت",$E73&lt;&gt;"چک"),$E73="انتقال داخلی"),$K73,0))</f>
        <v/>
      </c>
      <c r="V73" s="76">
        <f>IF(OR($D73="",$K73=""),"",IF(OR(AND($D73="پرداخت",$E73&lt;&gt;"چک",$E73&lt;&gt;"برگشت چک"),$E73="انتقال داخلی"),$K73,0))</f>
        <v/>
      </c>
      <c r="W73" s="76">
        <f>IF(OR($D73="",$K73=""),"",IF(OR($E73="پاس چک",$E73="برگشت چک",AND($D73="دریافت",$E73="چک")),$K73,0))</f>
        <v/>
      </c>
      <c r="X73" s="76">
        <f>IF(OR($D73="",$K73=""),"",IF(AND($D73="پرداخت",$E73="چک"),$K73,0))</f>
        <v/>
      </c>
      <c r="Y73" s="76">
        <f>SUM($S73,$U73,$W73)</f>
        <v/>
      </c>
      <c r="Z73" s="76">
        <f>SUM($T73,$V73,$X73)</f>
        <v/>
      </c>
      <c r="AA73" s="70">
        <f>IF($D73="","",IF(ROUND($Y73-$Z73,0)=0,"✓","⚠"))</f>
        <v/>
      </c>
      <c r="AB73" s="70">
        <f>IF($D73="","",IF($E73="نقد","X003",IF(OR($E73="چک",$E73="پاس چک",$E73="برگشت چک"),"X010",IF($I73="","X003","X011"))))</f>
        <v/>
      </c>
      <c r="AC73" s="70">
        <f>IF($D73="","",IF($E73="انتقال داخلی",IF($N73="","X003",IFERROR(VLOOKUP($N73,BankTbl,4,0),$N73)),IF($I73="","X003",IFERROR(VLOOKUP($I73,BankTbl,4,0),$I73))))</f>
        <v/>
      </c>
      <c r="AD73" s="70">
        <f>IF($D73="","",IF($E73="پاس چک","X010",IF($E73="برگشت چک",IF($I73="","X003","X011"),IF($E73="انتقال داخلی",IF($I73="","X003","X011"),IF($D73="پرداخت",$F73,IF($E73="چک","X009",IF($I73="","X003","X011")))))))</f>
        <v/>
      </c>
      <c r="AE73" s="76">
        <f>IF($D73="","",IF($K73="",0,$K73))</f>
        <v/>
      </c>
      <c r="AF73" s="70">
        <f>IF($D73="","",IF($E73="پاس چک",IF($I73="","X003","X011"),IF($E73="برگشت چک","X010",IF($E73="انتقال داخلی",IF($N73="","X003","X011"),IF($D73="پرداخت",IF($E73="چک","X010",IF($I73="","X003","X011")),$F73)))))</f>
        <v/>
      </c>
      <c r="AG73" s="76">
        <f>IF($D73="","",IF($K73="",0,$K73))</f>
        <v/>
      </c>
    </row>
    <row r="74" ht="21.75" customHeight="1">
      <c r="A74" s="70">
        <f>IF($B74="","",COUNTA($B$10:$B74))</f>
        <v/>
      </c>
      <c r="B74" s="71" t="n"/>
      <c r="C74" s="71" t="n"/>
      <c r="D74" s="71" t="n"/>
      <c r="E74" s="71" t="n"/>
      <c r="F74" s="71" t="n"/>
      <c r="G74" s="73">
        <f>IF($F74="","",IFERROR(VLOOKUP($F74,AcctTbl,2,0),"کد ناشناخته"))</f>
        <v/>
      </c>
      <c r="H74" s="70">
        <f>IF($F74="","",IFERROR(VLOOKUP($F74,AcctTbl,3,0),""))</f>
        <v/>
      </c>
      <c r="I74" s="71" t="n"/>
      <c r="J74" s="71" t="n"/>
      <c r="K74" s="74" t="n"/>
      <c r="L74" s="71" t="n"/>
      <c r="M74" s="71" t="n"/>
      <c r="N74" s="71" t="n"/>
      <c r="O74" s="71" t="n"/>
      <c r="P74" s="72" t="n"/>
      <c r="Q74" s="72" t="n"/>
      <c r="R74" s="77">
        <f>IF($D74="","",IF($AA74="⚠","⚠ ناتراز",IF(AND($D74="پرداخت",$E74="چک",$L74=""),"⚠ وضعیت چک","✓")))</f>
        <v/>
      </c>
      <c r="S74" s="76">
        <f>IF(OR($D74="",$K74=""),"",IF(AND($D74="پرداخت",$E74&lt;&gt;"انتقال داخلی",$E74&lt;&gt;"پاس چک",$E74&lt;&gt;"برگشت چک"),$K74,0))</f>
        <v/>
      </c>
      <c r="T74" s="76">
        <f>IF(OR($D74="",$K74=""),"",IF(OR(AND($D74="دریافت",$E74&lt;&gt;"انتقال داخلی"),$E74="برگشت چک"),$K74,0))</f>
        <v/>
      </c>
      <c r="U74" s="76">
        <f>IF(OR($D74="",$K74=""),"",IF(OR(AND($D74="دریافت",$E74&lt;&gt;"چک"),$E74="انتقال داخلی"),$K74,0))</f>
        <v/>
      </c>
      <c r="V74" s="76">
        <f>IF(OR($D74="",$K74=""),"",IF(OR(AND($D74="پرداخت",$E74&lt;&gt;"چک",$E74&lt;&gt;"برگشت چک"),$E74="انتقال داخلی"),$K74,0))</f>
        <v/>
      </c>
      <c r="W74" s="76">
        <f>IF(OR($D74="",$K74=""),"",IF(OR($E74="پاس چک",$E74="برگشت چک",AND($D74="دریافت",$E74="چک")),$K74,0))</f>
        <v/>
      </c>
      <c r="X74" s="76">
        <f>IF(OR($D74="",$K74=""),"",IF(AND($D74="پرداخت",$E74="چک"),$K74,0))</f>
        <v/>
      </c>
      <c r="Y74" s="76">
        <f>SUM($S74,$U74,$W74)</f>
        <v/>
      </c>
      <c r="Z74" s="76">
        <f>SUM($T74,$V74,$X74)</f>
        <v/>
      </c>
      <c r="AA74" s="70">
        <f>IF($D74="","",IF(ROUND($Y74-$Z74,0)=0,"✓","⚠"))</f>
        <v/>
      </c>
      <c r="AB74" s="70">
        <f>IF($D74="","",IF($E74="نقد","X003",IF(OR($E74="چک",$E74="پاس چک",$E74="برگشت چک"),"X010",IF($I74="","X003","X011"))))</f>
        <v/>
      </c>
      <c r="AC74" s="70">
        <f>IF($D74="","",IF($E74="انتقال داخلی",IF($N74="","X003",IFERROR(VLOOKUP($N74,BankTbl,4,0),$N74)),IF($I74="","X003",IFERROR(VLOOKUP($I74,BankTbl,4,0),$I74))))</f>
        <v/>
      </c>
      <c r="AD74" s="70">
        <f>IF($D74="","",IF($E74="پاس چک","X010",IF($E74="برگشت چک",IF($I74="","X003","X011"),IF($E74="انتقال داخلی",IF($I74="","X003","X011"),IF($D74="پرداخت",$F74,IF($E74="چک","X009",IF($I74="","X003","X011")))))))</f>
        <v/>
      </c>
      <c r="AE74" s="76">
        <f>IF($D74="","",IF($K74="",0,$K74))</f>
        <v/>
      </c>
      <c r="AF74" s="70">
        <f>IF($D74="","",IF($E74="پاس چک",IF($I74="","X003","X011"),IF($E74="برگشت چک","X010",IF($E74="انتقال داخلی",IF($N74="","X003","X011"),IF($D74="پرداخت",IF($E74="چک","X010",IF($I74="","X003","X011")),$F74)))))</f>
        <v/>
      </c>
      <c r="AG74" s="76">
        <f>IF($D74="","",IF($K74="",0,$K74))</f>
        <v/>
      </c>
    </row>
    <row r="75" ht="21.75" customHeight="1">
      <c r="A75" s="70">
        <f>IF($B75="","",COUNTA($B$10:$B75))</f>
        <v/>
      </c>
      <c r="B75" s="71" t="n"/>
      <c r="C75" s="71" t="n"/>
      <c r="D75" s="71" t="n"/>
      <c r="E75" s="71" t="n"/>
      <c r="F75" s="71" t="n"/>
      <c r="G75" s="73">
        <f>IF($F75="","",IFERROR(VLOOKUP($F75,AcctTbl,2,0),"کد ناشناخته"))</f>
        <v/>
      </c>
      <c r="H75" s="70">
        <f>IF($F75="","",IFERROR(VLOOKUP($F75,AcctTbl,3,0),""))</f>
        <v/>
      </c>
      <c r="I75" s="71" t="n"/>
      <c r="J75" s="71" t="n"/>
      <c r="K75" s="74" t="n"/>
      <c r="L75" s="71" t="n"/>
      <c r="M75" s="71" t="n"/>
      <c r="N75" s="71" t="n"/>
      <c r="O75" s="71" t="n"/>
      <c r="P75" s="72" t="n"/>
      <c r="Q75" s="72" t="n"/>
      <c r="R75" s="77">
        <f>IF($D75="","",IF($AA75="⚠","⚠ ناتراز",IF(AND($D75="پرداخت",$E75="چک",$L75=""),"⚠ وضعیت چک","✓")))</f>
        <v/>
      </c>
      <c r="S75" s="76">
        <f>IF(OR($D75="",$K75=""),"",IF(AND($D75="پرداخت",$E75&lt;&gt;"انتقال داخلی",$E75&lt;&gt;"پاس چک",$E75&lt;&gt;"برگشت چک"),$K75,0))</f>
        <v/>
      </c>
      <c r="T75" s="76">
        <f>IF(OR($D75="",$K75=""),"",IF(OR(AND($D75="دریافت",$E75&lt;&gt;"انتقال داخلی"),$E75="برگشت چک"),$K75,0))</f>
        <v/>
      </c>
      <c r="U75" s="76">
        <f>IF(OR($D75="",$K75=""),"",IF(OR(AND($D75="دریافت",$E75&lt;&gt;"چک"),$E75="انتقال داخلی"),$K75,0))</f>
        <v/>
      </c>
      <c r="V75" s="76">
        <f>IF(OR($D75="",$K75=""),"",IF(OR(AND($D75="پرداخت",$E75&lt;&gt;"چک",$E75&lt;&gt;"برگشت چک"),$E75="انتقال داخلی"),$K75,0))</f>
        <v/>
      </c>
      <c r="W75" s="76">
        <f>IF(OR($D75="",$K75=""),"",IF(OR($E75="پاس چک",$E75="برگشت چک",AND($D75="دریافت",$E75="چک")),$K75,0))</f>
        <v/>
      </c>
      <c r="X75" s="76">
        <f>IF(OR($D75="",$K75=""),"",IF(AND($D75="پرداخت",$E75="چک"),$K75,0))</f>
        <v/>
      </c>
      <c r="Y75" s="76">
        <f>SUM($S75,$U75,$W75)</f>
        <v/>
      </c>
      <c r="Z75" s="76">
        <f>SUM($T75,$V75,$X75)</f>
        <v/>
      </c>
      <c r="AA75" s="70">
        <f>IF($D75="","",IF(ROUND($Y75-$Z75,0)=0,"✓","⚠"))</f>
        <v/>
      </c>
      <c r="AB75" s="70">
        <f>IF($D75="","",IF($E75="نقد","X003",IF(OR($E75="چک",$E75="پاس چک",$E75="برگشت چک"),"X010",IF($I75="","X003","X011"))))</f>
        <v/>
      </c>
      <c r="AC75" s="70">
        <f>IF($D75="","",IF($E75="انتقال داخلی",IF($N75="","X003",IFERROR(VLOOKUP($N75,BankTbl,4,0),$N75)),IF($I75="","X003",IFERROR(VLOOKUP($I75,BankTbl,4,0),$I75))))</f>
        <v/>
      </c>
      <c r="AD75" s="70">
        <f>IF($D75="","",IF($E75="پاس چک","X010",IF($E75="برگشت چک",IF($I75="","X003","X011"),IF($E75="انتقال داخلی",IF($I75="","X003","X011"),IF($D75="پرداخت",$F75,IF($E75="چک","X009",IF($I75="","X003","X011")))))))</f>
        <v/>
      </c>
      <c r="AE75" s="76">
        <f>IF($D75="","",IF($K75="",0,$K75))</f>
        <v/>
      </c>
      <c r="AF75" s="70">
        <f>IF($D75="","",IF($E75="پاس چک",IF($I75="","X003","X011"),IF($E75="برگشت چک","X010",IF($E75="انتقال داخلی",IF($N75="","X003","X011"),IF($D75="پرداخت",IF($E75="چک","X010",IF($I75="","X003","X011")),$F75)))))</f>
        <v/>
      </c>
      <c r="AG75" s="76">
        <f>IF($D75="","",IF($K75="",0,$K75))</f>
        <v/>
      </c>
    </row>
    <row r="76" ht="21.75" customHeight="1">
      <c r="A76" s="70">
        <f>IF($B76="","",COUNTA($B$10:$B76))</f>
        <v/>
      </c>
      <c r="B76" s="71" t="n"/>
      <c r="C76" s="71" t="n"/>
      <c r="D76" s="71" t="n"/>
      <c r="E76" s="71" t="n"/>
      <c r="F76" s="71" t="n"/>
      <c r="G76" s="73">
        <f>IF($F76="","",IFERROR(VLOOKUP($F76,AcctTbl,2,0),"کد ناشناخته"))</f>
        <v/>
      </c>
      <c r="H76" s="70">
        <f>IF($F76="","",IFERROR(VLOOKUP($F76,AcctTbl,3,0),""))</f>
        <v/>
      </c>
      <c r="I76" s="71" t="n"/>
      <c r="J76" s="71" t="n"/>
      <c r="K76" s="74" t="n"/>
      <c r="L76" s="71" t="n"/>
      <c r="M76" s="71" t="n"/>
      <c r="N76" s="71" t="n"/>
      <c r="O76" s="71" t="n"/>
      <c r="P76" s="72" t="n"/>
      <c r="Q76" s="72" t="n"/>
      <c r="R76" s="77">
        <f>IF($D76="","",IF($AA76="⚠","⚠ ناتراز",IF(AND($D76="پرداخت",$E76="چک",$L76=""),"⚠ وضعیت چک","✓")))</f>
        <v/>
      </c>
      <c r="S76" s="76">
        <f>IF(OR($D76="",$K76=""),"",IF(AND($D76="پرداخت",$E76&lt;&gt;"انتقال داخلی",$E76&lt;&gt;"پاس چک",$E76&lt;&gt;"برگشت چک"),$K76,0))</f>
        <v/>
      </c>
      <c r="T76" s="76">
        <f>IF(OR($D76="",$K76=""),"",IF(OR(AND($D76="دریافت",$E76&lt;&gt;"انتقال داخلی"),$E76="برگشت چک"),$K76,0))</f>
        <v/>
      </c>
      <c r="U76" s="76">
        <f>IF(OR($D76="",$K76=""),"",IF(OR(AND($D76="دریافت",$E76&lt;&gt;"چک"),$E76="انتقال داخلی"),$K76,0))</f>
        <v/>
      </c>
      <c r="V76" s="76">
        <f>IF(OR($D76="",$K76=""),"",IF(OR(AND($D76="پرداخت",$E76&lt;&gt;"چک",$E76&lt;&gt;"برگشت چک"),$E76="انتقال داخلی"),$K76,0))</f>
        <v/>
      </c>
      <c r="W76" s="76">
        <f>IF(OR($D76="",$K76=""),"",IF(OR($E76="پاس چک",$E76="برگشت چک",AND($D76="دریافت",$E76="چک")),$K76,0))</f>
        <v/>
      </c>
      <c r="X76" s="76">
        <f>IF(OR($D76="",$K76=""),"",IF(AND($D76="پرداخت",$E76="چک"),$K76,0))</f>
        <v/>
      </c>
      <c r="Y76" s="76">
        <f>SUM($S76,$U76,$W76)</f>
        <v/>
      </c>
      <c r="Z76" s="76">
        <f>SUM($T76,$V76,$X76)</f>
        <v/>
      </c>
      <c r="AA76" s="70">
        <f>IF($D76="","",IF(ROUND($Y76-$Z76,0)=0,"✓","⚠"))</f>
        <v/>
      </c>
      <c r="AB76" s="70">
        <f>IF($D76="","",IF($E76="نقد","X003",IF(OR($E76="چک",$E76="پاس چک",$E76="برگشت چک"),"X010",IF($I76="","X003","X011"))))</f>
        <v/>
      </c>
      <c r="AC76" s="70">
        <f>IF($D76="","",IF($E76="انتقال داخلی",IF($N76="","X003",IFERROR(VLOOKUP($N76,BankTbl,4,0),$N76)),IF($I76="","X003",IFERROR(VLOOKUP($I76,BankTbl,4,0),$I76))))</f>
        <v/>
      </c>
      <c r="AD76" s="70">
        <f>IF($D76="","",IF($E76="پاس چک","X010",IF($E76="برگشت چک",IF($I76="","X003","X011"),IF($E76="انتقال داخلی",IF($I76="","X003","X011"),IF($D76="پرداخت",$F76,IF($E76="چک","X009",IF($I76="","X003","X011")))))))</f>
        <v/>
      </c>
      <c r="AE76" s="76">
        <f>IF($D76="","",IF($K76="",0,$K76))</f>
        <v/>
      </c>
      <c r="AF76" s="70">
        <f>IF($D76="","",IF($E76="پاس چک",IF($I76="","X003","X011"),IF($E76="برگشت چک","X010",IF($E76="انتقال داخلی",IF($N76="","X003","X011"),IF($D76="پرداخت",IF($E76="چک","X010",IF($I76="","X003","X011")),$F76)))))</f>
        <v/>
      </c>
      <c r="AG76" s="76">
        <f>IF($D76="","",IF($K76="",0,$K76))</f>
        <v/>
      </c>
    </row>
    <row r="77" ht="21.75" customHeight="1">
      <c r="A77" s="70">
        <f>IF($B77="","",COUNTA($B$10:$B77))</f>
        <v/>
      </c>
      <c r="B77" s="71" t="n"/>
      <c r="C77" s="71" t="n"/>
      <c r="D77" s="71" t="n"/>
      <c r="E77" s="71" t="n"/>
      <c r="F77" s="71" t="n"/>
      <c r="G77" s="73">
        <f>IF($F77="","",IFERROR(VLOOKUP($F77,AcctTbl,2,0),"کد ناشناخته"))</f>
        <v/>
      </c>
      <c r="H77" s="70">
        <f>IF($F77="","",IFERROR(VLOOKUP($F77,AcctTbl,3,0),""))</f>
        <v/>
      </c>
      <c r="I77" s="71" t="n"/>
      <c r="J77" s="71" t="n"/>
      <c r="K77" s="74" t="n"/>
      <c r="L77" s="71" t="n"/>
      <c r="M77" s="71" t="n"/>
      <c r="N77" s="71" t="n"/>
      <c r="O77" s="71" t="n"/>
      <c r="P77" s="72" t="n"/>
      <c r="Q77" s="72" t="n"/>
      <c r="R77" s="77">
        <f>IF($D77="","",IF($AA77="⚠","⚠ ناتراز",IF(AND($D77="پرداخت",$E77="چک",$L77=""),"⚠ وضعیت چک","✓")))</f>
        <v/>
      </c>
      <c r="S77" s="76">
        <f>IF(OR($D77="",$K77=""),"",IF(AND($D77="پرداخت",$E77&lt;&gt;"انتقال داخلی",$E77&lt;&gt;"پاس چک",$E77&lt;&gt;"برگشت چک"),$K77,0))</f>
        <v/>
      </c>
      <c r="T77" s="76">
        <f>IF(OR($D77="",$K77=""),"",IF(OR(AND($D77="دریافت",$E77&lt;&gt;"انتقال داخلی"),$E77="برگشت چک"),$K77,0))</f>
        <v/>
      </c>
      <c r="U77" s="76">
        <f>IF(OR($D77="",$K77=""),"",IF(OR(AND($D77="دریافت",$E77&lt;&gt;"چک"),$E77="انتقال داخلی"),$K77,0))</f>
        <v/>
      </c>
      <c r="V77" s="76">
        <f>IF(OR($D77="",$K77=""),"",IF(OR(AND($D77="پرداخت",$E77&lt;&gt;"چک",$E77&lt;&gt;"برگشت چک"),$E77="انتقال داخلی"),$K77,0))</f>
        <v/>
      </c>
      <c r="W77" s="76">
        <f>IF(OR($D77="",$K77=""),"",IF(OR($E77="پاس چک",$E77="برگشت چک",AND($D77="دریافت",$E77="چک")),$K77,0))</f>
        <v/>
      </c>
      <c r="X77" s="76">
        <f>IF(OR($D77="",$K77=""),"",IF(AND($D77="پرداخت",$E77="چک"),$K77,0))</f>
        <v/>
      </c>
      <c r="Y77" s="76">
        <f>SUM($S77,$U77,$W77)</f>
        <v/>
      </c>
      <c r="Z77" s="76">
        <f>SUM($T77,$V77,$X77)</f>
        <v/>
      </c>
      <c r="AA77" s="70">
        <f>IF($D77="","",IF(ROUND($Y77-$Z77,0)=0,"✓","⚠"))</f>
        <v/>
      </c>
      <c r="AB77" s="70">
        <f>IF($D77="","",IF($E77="نقد","X003",IF(OR($E77="چک",$E77="پاس چک",$E77="برگشت چک"),"X010",IF($I77="","X003","X011"))))</f>
        <v/>
      </c>
      <c r="AC77" s="70">
        <f>IF($D77="","",IF($E77="انتقال داخلی",IF($N77="","X003",IFERROR(VLOOKUP($N77,BankTbl,4,0),$N77)),IF($I77="","X003",IFERROR(VLOOKUP($I77,BankTbl,4,0),$I77))))</f>
        <v/>
      </c>
      <c r="AD77" s="70">
        <f>IF($D77="","",IF($E77="پاس چک","X010",IF($E77="برگشت چک",IF($I77="","X003","X011"),IF($E77="انتقال داخلی",IF($I77="","X003","X011"),IF($D77="پرداخت",$F77,IF($E77="چک","X009",IF($I77="","X003","X011")))))))</f>
        <v/>
      </c>
      <c r="AE77" s="76">
        <f>IF($D77="","",IF($K77="",0,$K77))</f>
        <v/>
      </c>
      <c r="AF77" s="70">
        <f>IF($D77="","",IF($E77="پاس چک",IF($I77="","X003","X011"),IF($E77="برگشت چک","X010",IF($E77="انتقال داخلی",IF($N77="","X003","X011"),IF($D77="پرداخت",IF($E77="چک","X010",IF($I77="","X003","X011")),$F77)))))</f>
        <v/>
      </c>
      <c r="AG77" s="76">
        <f>IF($D77="","",IF($K77="",0,$K77))</f>
        <v/>
      </c>
    </row>
    <row r="78" ht="21.75" customHeight="1">
      <c r="A78" s="70">
        <f>IF($B78="","",COUNTA($B$10:$B78))</f>
        <v/>
      </c>
      <c r="B78" s="71" t="n"/>
      <c r="C78" s="71" t="n"/>
      <c r="D78" s="71" t="n"/>
      <c r="E78" s="71" t="n"/>
      <c r="F78" s="71" t="n"/>
      <c r="G78" s="73">
        <f>IF($F78="","",IFERROR(VLOOKUP($F78,AcctTbl,2,0),"کد ناشناخته"))</f>
        <v/>
      </c>
      <c r="H78" s="70">
        <f>IF($F78="","",IFERROR(VLOOKUP($F78,AcctTbl,3,0),""))</f>
        <v/>
      </c>
      <c r="I78" s="71" t="n"/>
      <c r="J78" s="71" t="n"/>
      <c r="K78" s="74" t="n"/>
      <c r="L78" s="71" t="n"/>
      <c r="M78" s="71" t="n"/>
      <c r="N78" s="71" t="n"/>
      <c r="O78" s="71" t="n"/>
      <c r="P78" s="72" t="n"/>
      <c r="Q78" s="72" t="n"/>
      <c r="R78" s="77">
        <f>IF($D78="","",IF($AA78="⚠","⚠ ناتراز",IF(AND($D78="پرداخت",$E78="چک",$L78=""),"⚠ وضعیت چک","✓")))</f>
        <v/>
      </c>
      <c r="S78" s="76">
        <f>IF(OR($D78="",$K78=""),"",IF(AND($D78="پرداخت",$E78&lt;&gt;"انتقال داخلی",$E78&lt;&gt;"پاس چک",$E78&lt;&gt;"برگشت چک"),$K78,0))</f>
        <v/>
      </c>
      <c r="T78" s="76">
        <f>IF(OR($D78="",$K78=""),"",IF(OR(AND($D78="دریافت",$E78&lt;&gt;"انتقال داخلی"),$E78="برگشت چک"),$K78,0))</f>
        <v/>
      </c>
      <c r="U78" s="76">
        <f>IF(OR($D78="",$K78=""),"",IF(OR(AND($D78="دریافت",$E78&lt;&gt;"چک"),$E78="انتقال داخلی"),$K78,0))</f>
        <v/>
      </c>
      <c r="V78" s="76">
        <f>IF(OR($D78="",$K78=""),"",IF(OR(AND($D78="پرداخت",$E78&lt;&gt;"چک",$E78&lt;&gt;"برگشت چک"),$E78="انتقال داخلی"),$K78,0))</f>
        <v/>
      </c>
      <c r="W78" s="76">
        <f>IF(OR($D78="",$K78=""),"",IF(OR($E78="پاس چک",$E78="برگشت چک",AND($D78="دریافت",$E78="چک")),$K78,0))</f>
        <v/>
      </c>
      <c r="X78" s="76">
        <f>IF(OR($D78="",$K78=""),"",IF(AND($D78="پرداخت",$E78="چک"),$K78,0))</f>
        <v/>
      </c>
      <c r="Y78" s="76">
        <f>SUM($S78,$U78,$W78)</f>
        <v/>
      </c>
      <c r="Z78" s="76">
        <f>SUM($T78,$V78,$X78)</f>
        <v/>
      </c>
      <c r="AA78" s="70">
        <f>IF($D78="","",IF(ROUND($Y78-$Z78,0)=0,"✓","⚠"))</f>
        <v/>
      </c>
      <c r="AB78" s="70">
        <f>IF($D78="","",IF($E78="نقد","X003",IF(OR($E78="چک",$E78="پاس چک",$E78="برگشت چک"),"X010",IF($I78="","X003","X011"))))</f>
        <v/>
      </c>
      <c r="AC78" s="70">
        <f>IF($D78="","",IF($E78="انتقال داخلی",IF($N78="","X003",IFERROR(VLOOKUP($N78,BankTbl,4,0),$N78)),IF($I78="","X003",IFERROR(VLOOKUP($I78,BankTbl,4,0),$I78))))</f>
        <v/>
      </c>
      <c r="AD78" s="70">
        <f>IF($D78="","",IF($E78="پاس چک","X010",IF($E78="برگشت چک",IF($I78="","X003","X011"),IF($E78="انتقال داخلی",IF($I78="","X003","X011"),IF($D78="پرداخت",$F78,IF($E78="چک","X009",IF($I78="","X003","X011")))))))</f>
        <v/>
      </c>
      <c r="AE78" s="76">
        <f>IF($D78="","",IF($K78="",0,$K78))</f>
        <v/>
      </c>
      <c r="AF78" s="70">
        <f>IF($D78="","",IF($E78="پاس چک",IF($I78="","X003","X011"),IF($E78="برگشت چک","X010",IF($E78="انتقال داخلی",IF($N78="","X003","X011"),IF($D78="پرداخت",IF($E78="چک","X010",IF($I78="","X003","X011")),$F78)))))</f>
        <v/>
      </c>
      <c r="AG78" s="76">
        <f>IF($D78="","",IF($K78="",0,$K78))</f>
        <v/>
      </c>
    </row>
    <row r="79" ht="21.75" customHeight="1">
      <c r="A79" s="70">
        <f>IF($B79="","",COUNTA($B$10:$B79))</f>
        <v/>
      </c>
      <c r="B79" s="71" t="n"/>
      <c r="C79" s="71" t="n"/>
      <c r="D79" s="71" t="n"/>
      <c r="E79" s="71" t="n"/>
      <c r="F79" s="71" t="n"/>
      <c r="G79" s="73">
        <f>IF($F79="","",IFERROR(VLOOKUP($F79,AcctTbl,2,0),"کد ناشناخته"))</f>
        <v/>
      </c>
      <c r="H79" s="70">
        <f>IF($F79="","",IFERROR(VLOOKUP($F79,AcctTbl,3,0),""))</f>
        <v/>
      </c>
      <c r="I79" s="71" t="n"/>
      <c r="J79" s="71" t="n"/>
      <c r="K79" s="74" t="n"/>
      <c r="L79" s="71" t="n"/>
      <c r="M79" s="71" t="n"/>
      <c r="N79" s="71" t="n"/>
      <c r="O79" s="71" t="n"/>
      <c r="P79" s="72" t="n"/>
      <c r="Q79" s="72" t="n"/>
      <c r="R79" s="77">
        <f>IF($D79="","",IF($AA79="⚠","⚠ ناتراز",IF(AND($D79="پرداخت",$E79="چک",$L79=""),"⚠ وضعیت چک","✓")))</f>
        <v/>
      </c>
      <c r="S79" s="76">
        <f>IF(OR($D79="",$K79=""),"",IF(AND($D79="پرداخت",$E79&lt;&gt;"انتقال داخلی",$E79&lt;&gt;"پاس چک",$E79&lt;&gt;"برگشت چک"),$K79,0))</f>
        <v/>
      </c>
      <c r="T79" s="76">
        <f>IF(OR($D79="",$K79=""),"",IF(OR(AND($D79="دریافت",$E79&lt;&gt;"انتقال داخلی"),$E79="برگشت چک"),$K79,0))</f>
        <v/>
      </c>
      <c r="U79" s="76">
        <f>IF(OR($D79="",$K79=""),"",IF(OR(AND($D79="دریافت",$E79&lt;&gt;"چک"),$E79="انتقال داخلی"),$K79,0))</f>
        <v/>
      </c>
      <c r="V79" s="76">
        <f>IF(OR($D79="",$K79=""),"",IF(OR(AND($D79="پرداخت",$E79&lt;&gt;"چک",$E79&lt;&gt;"برگشت چک"),$E79="انتقال داخلی"),$K79,0))</f>
        <v/>
      </c>
      <c r="W79" s="76">
        <f>IF(OR($D79="",$K79=""),"",IF(OR($E79="پاس چک",$E79="برگشت چک",AND($D79="دریافت",$E79="چک")),$K79,0))</f>
        <v/>
      </c>
      <c r="X79" s="76">
        <f>IF(OR($D79="",$K79=""),"",IF(AND($D79="پرداخت",$E79="چک"),$K79,0))</f>
        <v/>
      </c>
      <c r="Y79" s="76">
        <f>SUM($S79,$U79,$W79)</f>
        <v/>
      </c>
      <c r="Z79" s="76">
        <f>SUM($T79,$V79,$X79)</f>
        <v/>
      </c>
      <c r="AA79" s="70">
        <f>IF($D79="","",IF(ROUND($Y79-$Z79,0)=0,"✓","⚠"))</f>
        <v/>
      </c>
      <c r="AB79" s="70">
        <f>IF($D79="","",IF($E79="نقد","X003",IF(OR($E79="چک",$E79="پاس چک",$E79="برگشت چک"),"X010",IF($I79="","X003","X011"))))</f>
        <v/>
      </c>
      <c r="AC79" s="70">
        <f>IF($D79="","",IF($E79="انتقال داخلی",IF($N79="","X003",IFERROR(VLOOKUP($N79,BankTbl,4,0),$N79)),IF($I79="","X003",IFERROR(VLOOKUP($I79,BankTbl,4,0),$I79))))</f>
        <v/>
      </c>
      <c r="AD79" s="70">
        <f>IF($D79="","",IF($E79="پاس چک","X010",IF($E79="برگشت چک",IF($I79="","X003","X011"),IF($E79="انتقال داخلی",IF($I79="","X003","X011"),IF($D79="پرداخت",$F79,IF($E79="چک","X009",IF($I79="","X003","X011")))))))</f>
        <v/>
      </c>
      <c r="AE79" s="76">
        <f>IF($D79="","",IF($K79="",0,$K79))</f>
        <v/>
      </c>
      <c r="AF79" s="70">
        <f>IF($D79="","",IF($E79="پاس چک",IF($I79="","X003","X011"),IF($E79="برگشت چک","X010",IF($E79="انتقال داخلی",IF($N79="","X003","X011"),IF($D79="پرداخت",IF($E79="چک","X010",IF($I79="","X003","X011")),$F79)))))</f>
        <v/>
      </c>
      <c r="AG79" s="76">
        <f>IF($D79="","",IF($K79="",0,$K79))</f>
        <v/>
      </c>
    </row>
    <row r="80" ht="21.75" customHeight="1">
      <c r="A80" s="70">
        <f>IF($B80="","",COUNTA($B$10:$B80))</f>
        <v/>
      </c>
      <c r="B80" s="71" t="n"/>
      <c r="C80" s="71" t="n"/>
      <c r="D80" s="71" t="n"/>
      <c r="E80" s="71" t="n"/>
      <c r="F80" s="71" t="n"/>
      <c r="G80" s="73">
        <f>IF($F80="","",IFERROR(VLOOKUP($F80,AcctTbl,2,0),"کد ناشناخته"))</f>
        <v/>
      </c>
      <c r="H80" s="70">
        <f>IF($F80="","",IFERROR(VLOOKUP($F80,AcctTbl,3,0),""))</f>
        <v/>
      </c>
      <c r="I80" s="71" t="n"/>
      <c r="J80" s="71" t="n"/>
      <c r="K80" s="74" t="n"/>
      <c r="L80" s="71" t="n"/>
      <c r="M80" s="71" t="n"/>
      <c r="N80" s="71" t="n"/>
      <c r="O80" s="71" t="n"/>
      <c r="P80" s="72" t="n"/>
      <c r="Q80" s="72" t="n"/>
      <c r="R80" s="77">
        <f>IF($D80="","",IF($AA80="⚠","⚠ ناتراز",IF(AND($D80="پرداخت",$E80="چک",$L80=""),"⚠ وضعیت چک","✓")))</f>
        <v/>
      </c>
      <c r="S80" s="76">
        <f>IF(OR($D80="",$K80=""),"",IF(AND($D80="پرداخت",$E80&lt;&gt;"انتقال داخلی",$E80&lt;&gt;"پاس چک",$E80&lt;&gt;"برگشت چک"),$K80,0))</f>
        <v/>
      </c>
      <c r="T80" s="76">
        <f>IF(OR($D80="",$K80=""),"",IF(OR(AND($D80="دریافت",$E80&lt;&gt;"انتقال داخلی"),$E80="برگشت چک"),$K80,0))</f>
        <v/>
      </c>
      <c r="U80" s="76">
        <f>IF(OR($D80="",$K80=""),"",IF(OR(AND($D80="دریافت",$E80&lt;&gt;"چک"),$E80="انتقال داخلی"),$K80,0))</f>
        <v/>
      </c>
      <c r="V80" s="76">
        <f>IF(OR($D80="",$K80=""),"",IF(OR(AND($D80="پرداخت",$E80&lt;&gt;"چک",$E80&lt;&gt;"برگشت چک"),$E80="انتقال داخلی"),$K80,0))</f>
        <v/>
      </c>
      <c r="W80" s="76">
        <f>IF(OR($D80="",$K80=""),"",IF(OR($E80="پاس چک",$E80="برگشت چک",AND($D80="دریافت",$E80="چک")),$K80,0))</f>
        <v/>
      </c>
      <c r="X80" s="76">
        <f>IF(OR($D80="",$K80=""),"",IF(AND($D80="پرداخت",$E80="چک"),$K80,0))</f>
        <v/>
      </c>
      <c r="Y80" s="76">
        <f>SUM($S80,$U80,$W80)</f>
        <v/>
      </c>
      <c r="Z80" s="76">
        <f>SUM($T80,$V80,$X80)</f>
        <v/>
      </c>
      <c r="AA80" s="70">
        <f>IF($D80="","",IF(ROUND($Y80-$Z80,0)=0,"✓","⚠"))</f>
        <v/>
      </c>
      <c r="AB80" s="70">
        <f>IF($D80="","",IF($E80="نقد","X003",IF(OR($E80="چک",$E80="پاس چک",$E80="برگشت چک"),"X010",IF($I80="","X003","X011"))))</f>
        <v/>
      </c>
      <c r="AC80" s="70">
        <f>IF($D80="","",IF($E80="انتقال داخلی",IF($N80="","X003",IFERROR(VLOOKUP($N80,BankTbl,4,0),$N80)),IF($I80="","X003",IFERROR(VLOOKUP($I80,BankTbl,4,0),$I80))))</f>
        <v/>
      </c>
      <c r="AD80" s="70">
        <f>IF($D80="","",IF($E80="پاس چک","X010",IF($E80="برگشت چک",IF($I80="","X003","X011"),IF($E80="انتقال داخلی",IF($I80="","X003","X011"),IF($D80="پرداخت",$F80,IF($E80="چک","X009",IF($I80="","X003","X011")))))))</f>
        <v/>
      </c>
      <c r="AE80" s="76">
        <f>IF($D80="","",IF($K80="",0,$K80))</f>
        <v/>
      </c>
      <c r="AF80" s="70">
        <f>IF($D80="","",IF($E80="پاس چک",IF($I80="","X003","X011"),IF($E80="برگشت چک","X010",IF($E80="انتقال داخلی",IF($N80="","X003","X011"),IF($D80="پرداخت",IF($E80="چک","X010",IF($I80="","X003","X011")),$F80)))))</f>
        <v/>
      </c>
      <c r="AG80" s="76">
        <f>IF($D80="","",IF($K80="",0,$K80))</f>
        <v/>
      </c>
    </row>
    <row r="81" ht="21.75" customHeight="1">
      <c r="A81" s="70">
        <f>IF($B81="","",COUNTA($B$10:$B81))</f>
        <v/>
      </c>
      <c r="B81" s="71" t="n"/>
      <c r="C81" s="71" t="n"/>
      <c r="D81" s="71" t="n"/>
      <c r="E81" s="71" t="n"/>
      <c r="F81" s="71" t="n"/>
      <c r="G81" s="73">
        <f>IF($F81="","",IFERROR(VLOOKUP($F81,AcctTbl,2,0),"کد ناشناخته"))</f>
        <v/>
      </c>
      <c r="H81" s="70">
        <f>IF($F81="","",IFERROR(VLOOKUP($F81,AcctTbl,3,0),""))</f>
        <v/>
      </c>
      <c r="I81" s="71" t="n"/>
      <c r="J81" s="71" t="n"/>
      <c r="K81" s="74" t="n"/>
      <c r="L81" s="71" t="n"/>
      <c r="M81" s="71" t="n"/>
      <c r="N81" s="71" t="n"/>
      <c r="O81" s="71" t="n"/>
      <c r="P81" s="72" t="n"/>
      <c r="Q81" s="72" t="n"/>
      <c r="R81" s="77">
        <f>IF($D81="","",IF($AA81="⚠","⚠ ناتراز",IF(AND($D81="پرداخت",$E81="چک",$L81=""),"⚠ وضعیت چک","✓")))</f>
        <v/>
      </c>
      <c r="S81" s="76">
        <f>IF(OR($D81="",$K81=""),"",IF(AND($D81="پرداخت",$E81&lt;&gt;"انتقال داخلی",$E81&lt;&gt;"پاس چک",$E81&lt;&gt;"برگشت چک"),$K81,0))</f>
        <v/>
      </c>
      <c r="T81" s="76">
        <f>IF(OR($D81="",$K81=""),"",IF(OR(AND($D81="دریافت",$E81&lt;&gt;"انتقال داخلی"),$E81="برگشت چک"),$K81,0))</f>
        <v/>
      </c>
      <c r="U81" s="76">
        <f>IF(OR($D81="",$K81=""),"",IF(OR(AND($D81="دریافت",$E81&lt;&gt;"چک"),$E81="انتقال داخلی"),$K81,0))</f>
        <v/>
      </c>
      <c r="V81" s="76">
        <f>IF(OR($D81="",$K81=""),"",IF(OR(AND($D81="پرداخت",$E81&lt;&gt;"چک",$E81&lt;&gt;"برگشت چک"),$E81="انتقال داخلی"),$K81,0))</f>
        <v/>
      </c>
      <c r="W81" s="76">
        <f>IF(OR($D81="",$K81=""),"",IF(OR($E81="پاس چک",$E81="برگشت چک",AND($D81="دریافت",$E81="چک")),$K81,0))</f>
        <v/>
      </c>
      <c r="X81" s="76">
        <f>IF(OR($D81="",$K81=""),"",IF(AND($D81="پرداخت",$E81="چک"),$K81,0))</f>
        <v/>
      </c>
      <c r="Y81" s="76">
        <f>SUM($S81,$U81,$W81)</f>
        <v/>
      </c>
      <c r="Z81" s="76">
        <f>SUM($T81,$V81,$X81)</f>
        <v/>
      </c>
      <c r="AA81" s="70">
        <f>IF($D81="","",IF(ROUND($Y81-$Z81,0)=0,"✓","⚠"))</f>
        <v/>
      </c>
      <c r="AB81" s="70">
        <f>IF($D81="","",IF($E81="نقد","X003",IF(OR($E81="چک",$E81="پاس چک",$E81="برگشت چک"),"X010",IF($I81="","X003","X011"))))</f>
        <v/>
      </c>
      <c r="AC81" s="70">
        <f>IF($D81="","",IF($E81="انتقال داخلی",IF($N81="","X003",IFERROR(VLOOKUP($N81,BankTbl,4,0),$N81)),IF($I81="","X003",IFERROR(VLOOKUP($I81,BankTbl,4,0),$I81))))</f>
        <v/>
      </c>
      <c r="AD81" s="70">
        <f>IF($D81="","",IF($E81="پاس چک","X010",IF($E81="برگشت چک",IF($I81="","X003","X011"),IF($E81="انتقال داخلی",IF($I81="","X003","X011"),IF($D81="پرداخت",$F81,IF($E81="چک","X009",IF($I81="","X003","X011")))))))</f>
        <v/>
      </c>
      <c r="AE81" s="76">
        <f>IF($D81="","",IF($K81="",0,$K81))</f>
        <v/>
      </c>
      <c r="AF81" s="70">
        <f>IF($D81="","",IF($E81="پاس چک",IF($I81="","X003","X011"),IF($E81="برگشت چک","X010",IF($E81="انتقال داخلی",IF($N81="","X003","X011"),IF($D81="پرداخت",IF($E81="چک","X010",IF($I81="","X003","X011")),$F81)))))</f>
        <v/>
      </c>
      <c r="AG81" s="76">
        <f>IF($D81="","",IF($K81="",0,$K81))</f>
        <v/>
      </c>
    </row>
    <row r="82" ht="21.75" customHeight="1">
      <c r="A82" s="70">
        <f>IF($B82="","",COUNTA($B$10:$B82))</f>
        <v/>
      </c>
      <c r="B82" s="71" t="n"/>
      <c r="C82" s="71" t="n"/>
      <c r="D82" s="71" t="n"/>
      <c r="E82" s="71" t="n"/>
      <c r="F82" s="71" t="n"/>
      <c r="G82" s="73">
        <f>IF($F82="","",IFERROR(VLOOKUP($F82,AcctTbl,2,0),"کد ناشناخته"))</f>
        <v/>
      </c>
      <c r="H82" s="70">
        <f>IF($F82="","",IFERROR(VLOOKUP($F82,AcctTbl,3,0),""))</f>
        <v/>
      </c>
      <c r="I82" s="71" t="n"/>
      <c r="J82" s="71" t="n"/>
      <c r="K82" s="74" t="n"/>
      <c r="L82" s="71" t="n"/>
      <c r="M82" s="71" t="n"/>
      <c r="N82" s="71" t="n"/>
      <c r="O82" s="71" t="n"/>
      <c r="P82" s="72" t="n"/>
      <c r="Q82" s="72" t="n"/>
      <c r="R82" s="77">
        <f>IF($D82="","",IF($AA82="⚠","⚠ ناتراز",IF(AND($D82="پرداخت",$E82="چک",$L82=""),"⚠ وضعیت چک","✓")))</f>
        <v/>
      </c>
      <c r="S82" s="76">
        <f>IF(OR($D82="",$K82=""),"",IF(AND($D82="پرداخت",$E82&lt;&gt;"انتقال داخلی",$E82&lt;&gt;"پاس چک",$E82&lt;&gt;"برگشت چک"),$K82,0))</f>
        <v/>
      </c>
      <c r="T82" s="76">
        <f>IF(OR($D82="",$K82=""),"",IF(OR(AND($D82="دریافت",$E82&lt;&gt;"انتقال داخلی"),$E82="برگشت چک"),$K82,0))</f>
        <v/>
      </c>
      <c r="U82" s="76">
        <f>IF(OR($D82="",$K82=""),"",IF(OR(AND($D82="دریافت",$E82&lt;&gt;"چک"),$E82="انتقال داخلی"),$K82,0))</f>
        <v/>
      </c>
      <c r="V82" s="76">
        <f>IF(OR($D82="",$K82=""),"",IF(OR(AND($D82="پرداخت",$E82&lt;&gt;"چک",$E82&lt;&gt;"برگشت چک"),$E82="انتقال داخلی"),$K82,0))</f>
        <v/>
      </c>
      <c r="W82" s="76">
        <f>IF(OR($D82="",$K82=""),"",IF(OR($E82="پاس چک",$E82="برگشت چک",AND($D82="دریافت",$E82="چک")),$K82,0))</f>
        <v/>
      </c>
      <c r="X82" s="76">
        <f>IF(OR($D82="",$K82=""),"",IF(AND($D82="پرداخت",$E82="چک"),$K82,0))</f>
        <v/>
      </c>
      <c r="Y82" s="76">
        <f>SUM($S82,$U82,$W82)</f>
        <v/>
      </c>
      <c r="Z82" s="76">
        <f>SUM($T82,$V82,$X82)</f>
        <v/>
      </c>
      <c r="AA82" s="70">
        <f>IF($D82="","",IF(ROUND($Y82-$Z82,0)=0,"✓","⚠"))</f>
        <v/>
      </c>
      <c r="AB82" s="70">
        <f>IF($D82="","",IF($E82="نقد","X003",IF(OR($E82="چک",$E82="پاس چک",$E82="برگشت چک"),"X010",IF($I82="","X003","X011"))))</f>
        <v/>
      </c>
      <c r="AC82" s="70">
        <f>IF($D82="","",IF($E82="انتقال داخلی",IF($N82="","X003",IFERROR(VLOOKUP($N82,BankTbl,4,0),$N82)),IF($I82="","X003",IFERROR(VLOOKUP($I82,BankTbl,4,0),$I82))))</f>
        <v/>
      </c>
      <c r="AD82" s="70">
        <f>IF($D82="","",IF($E82="پاس چک","X010",IF($E82="برگشت چک",IF($I82="","X003","X011"),IF($E82="انتقال داخلی",IF($I82="","X003","X011"),IF($D82="پرداخت",$F82,IF($E82="چک","X009",IF($I82="","X003","X011")))))))</f>
        <v/>
      </c>
      <c r="AE82" s="76">
        <f>IF($D82="","",IF($K82="",0,$K82))</f>
        <v/>
      </c>
      <c r="AF82" s="70">
        <f>IF($D82="","",IF($E82="پاس چک",IF($I82="","X003","X011"),IF($E82="برگشت چک","X010",IF($E82="انتقال داخلی",IF($N82="","X003","X011"),IF($D82="پرداخت",IF($E82="چک","X010",IF($I82="","X003","X011")),$F82)))))</f>
        <v/>
      </c>
      <c r="AG82" s="76">
        <f>IF($D82="","",IF($K82="",0,$K82))</f>
        <v/>
      </c>
    </row>
    <row r="83" ht="21.75" customHeight="1">
      <c r="A83" s="70">
        <f>IF($B83="","",COUNTA($B$10:$B83))</f>
        <v/>
      </c>
      <c r="B83" s="71" t="n"/>
      <c r="C83" s="71" t="n"/>
      <c r="D83" s="71" t="n"/>
      <c r="E83" s="71" t="n"/>
      <c r="F83" s="71" t="n"/>
      <c r="G83" s="73">
        <f>IF($F83="","",IFERROR(VLOOKUP($F83,AcctTbl,2,0),"کد ناشناخته"))</f>
        <v/>
      </c>
      <c r="H83" s="70">
        <f>IF($F83="","",IFERROR(VLOOKUP($F83,AcctTbl,3,0),""))</f>
        <v/>
      </c>
      <c r="I83" s="71" t="n"/>
      <c r="J83" s="71" t="n"/>
      <c r="K83" s="74" t="n"/>
      <c r="L83" s="71" t="n"/>
      <c r="M83" s="71" t="n"/>
      <c r="N83" s="71" t="n"/>
      <c r="O83" s="71" t="n"/>
      <c r="P83" s="72" t="n"/>
      <c r="Q83" s="72" t="n"/>
      <c r="R83" s="77">
        <f>IF($D83="","",IF($AA83="⚠","⚠ ناتراز",IF(AND($D83="پرداخت",$E83="چک",$L83=""),"⚠ وضعیت چک","✓")))</f>
        <v/>
      </c>
      <c r="S83" s="76">
        <f>IF(OR($D83="",$K83=""),"",IF(AND($D83="پرداخت",$E83&lt;&gt;"انتقال داخلی",$E83&lt;&gt;"پاس چک",$E83&lt;&gt;"برگشت چک"),$K83,0))</f>
        <v/>
      </c>
      <c r="T83" s="76">
        <f>IF(OR($D83="",$K83=""),"",IF(OR(AND($D83="دریافت",$E83&lt;&gt;"انتقال داخلی"),$E83="برگشت چک"),$K83,0))</f>
        <v/>
      </c>
      <c r="U83" s="76">
        <f>IF(OR($D83="",$K83=""),"",IF(OR(AND($D83="دریافت",$E83&lt;&gt;"چک"),$E83="انتقال داخلی"),$K83,0))</f>
        <v/>
      </c>
      <c r="V83" s="76">
        <f>IF(OR($D83="",$K83=""),"",IF(OR(AND($D83="پرداخت",$E83&lt;&gt;"چک",$E83&lt;&gt;"برگشت چک"),$E83="انتقال داخلی"),$K83,0))</f>
        <v/>
      </c>
      <c r="W83" s="76">
        <f>IF(OR($D83="",$K83=""),"",IF(OR($E83="پاس چک",$E83="برگشت چک",AND($D83="دریافت",$E83="چک")),$K83,0))</f>
        <v/>
      </c>
      <c r="X83" s="76">
        <f>IF(OR($D83="",$K83=""),"",IF(AND($D83="پرداخت",$E83="چک"),$K83,0))</f>
        <v/>
      </c>
      <c r="Y83" s="76">
        <f>SUM($S83,$U83,$W83)</f>
        <v/>
      </c>
      <c r="Z83" s="76">
        <f>SUM($T83,$V83,$X83)</f>
        <v/>
      </c>
      <c r="AA83" s="70">
        <f>IF($D83="","",IF(ROUND($Y83-$Z83,0)=0,"✓","⚠"))</f>
        <v/>
      </c>
      <c r="AB83" s="70">
        <f>IF($D83="","",IF($E83="نقد","X003",IF(OR($E83="چک",$E83="پاس چک",$E83="برگشت چک"),"X010",IF($I83="","X003","X011"))))</f>
        <v/>
      </c>
      <c r="AC83" s="70">
        <f>IF($D83="","",IF($E83="انتقال داخلی",IF($N83="","X003",IFERROR(VLOOKUP($N83,BankTbl,4,0),$N83)),IF($I83="","X003",IFERROR(VLOOKUP($I83,BankTbl,4,0),$I83))))</f>
        <v/>
      </c>
      <c r="AD83" s="70">
        <f>IF($D83="","",IF($E83="پاس چک","X010",IF($E83="برگشت چک",IF($I83="","X003","X011"),IF($E83="انتقال داخلی",IF($I83="","X003","X011"),IF($D83="پرداخت",$F83,IF($E83="چک","X009",IF($I83="","X003","X011")))))))</f>
        <v/>
      </c>
      <c r="AE83" s="76">
        <f>IF($D83="","",IF($K83="",0,$K83))</f>
        <v/>
      </c>
      <c r="AF83" s="70">
        <f>IF($D83="","",IF($E83="پاس چک",IF($I83="","X003","X011"),IF($E83="برگشت چک","X010",IF($E83="انتقال داخلی",IF($N83="","X003","X011"),IF($D83="پرداخت",IF($E83="چک","X010",IF($I83="","X003","X011")),$F83)))))</f>
        <v/>
      </c>
      <c r="AG83" s="76">
        <f>IF($D83="","",IF($K83="",0,$K83))</f>
        <v/>
      </c>
    </row>
    <row r="84" ht="21.75" customHeight="1">
      <c r="A84" s="70">
        <f>IF($B84="","",COUNTA($B$10:$B84))</f>
        <v/>
      </c>
      <c r="B84" s="71" t="n"/>
      <c r="C84" s="71" t="n"/>
      <c r="D84" s="71" t="n"/>
      <c r="E84" s="71" t="n"/>
      <c r="F84" s="71" t="n"/>
      <c r="G84" s="73">
        <f>IF($F84="","",IFERROR(VLOOKUP($F84,AcctTbl,2,0),"کد ناشناخته"))</f>
        <v/>
      </c>
      <c r="H84" s="70">
        <f>IF($F84="","",IFERROR(VLOOKUP($F84,AcctTbl,3,0),""))</f>
        <v/>
      </c>
      <c r="I84" s="71" t="n"/>
      <c r="J84" s="71" t="n"/>
      <c r="K84" s="74" t="n"/>
      <c r="L84" s="71" t="n"/>
      <c r="M84" s="71" t="n"/>
      <c r="N84" s="71" t="n"/>
      <c r="O84" s="71" t="n"/>
      <c r="P84" s="72" t="n"/>
      <c r="Q84" s="72" t="n"/>
      <c r="R84" s="77">
        <f>IF($D84="","",IF($AA84="⚠","⚠ ناتراز",IF(AND($D84="پرداخت",$E84="چک",$L84=""),"⚠ وضعیت چک","✓")))</f>
        <v/>
      </c>
      <c r="S84" s="76">
        <f>IF(OR($D84="",$K84=""),"",IF(AND($D84="پرداخت",$E84&lt;&gt;"انتقال داخلی",$E84&lt;&gt;"پاس چک",$E84&lt;&gt;"برگشت چک"),$K84,0))</f>
        <v/>
      </c>
      <c r="T84" s="76">
        <f>IF(OR($D84="",$K84=""),"",IF(OR(AND($D84="دریافت",$E84&lt;&gt;"انتقال داخلی"),$E84="برگشت چک"),$K84,0))</f>
        <v/>
      </c>
      <c r="U84" s="76">
        <f>IF(OR($D84="",$K84=""),"",IF(OR(AND($D84="دریافت",$E84&lt;&gt;"چک"),$E84="انتقال داخلی"),$K84,0))</f>
        <v/>
      </c>
      <c r="V84" s="76">
        <f>IF(OR($D84="",$K84=""),"",IF(OR(AND($D84="پرداخت",$E84&lt;&gt;"چک",$E84&lt;&gt;"برگشت چک"),$E84="انتقال داخلی"),$K84,0))</f>
        <v/>
      </c>
      <c r="W84" s="76">
        <f>IF(OR($D84="",$K84=""),"",IF(OR($E84="پاس چک",$E84="برگشت چک",AND($D84="دریافت",$E84="چک")),$K84,0))</f>
        <v/>
      </c>
      <c r="X84" s="76">
        <f>IF(OR($D84="",$K84=""),"",IF(AND($D84="پرداخت",$E84="چک"),$K84,0))</f>
        <v/>
      </c>
      <c r="Y84" s="76">
        <f>SUM($S84,$U84,$W84)</f>
        <v/>
      </c>
      <c r="Z84" s="76">
        <f>SUM($T84,$V84,$X84)</f>
        <v/>
      </c>
      <c r="AA84" s="70">
        <f>IF($D84="","",IF(ROUND($Y84-$Z84,0)=0,"✓","⚠"))</f>
        <v/>
      </c>
      <c r="AB84" s="70">
        <f>IF($D84="","",IF($E84="نقد","X003",IF(OR($E84="چک",$E84="پاس چک",$E84="برگشت چک"),"X010",IF($I84="","X003","X011"))))</f>
        <v/>
      </c>
      <c r="AC84" s="70">
        <f>IF($D84="","",IF($E84="انتقال داخلی",IF($N84="","X003",IFERROR(VLOOKUP($N84,BankTbl,4,0),$N84)),IF($I84="","X003",IFERROR(VLOOKUP($I84,BankTbl,4,0),$I84))))</f>
        <v/>
      </c>
      <c r="AD84" s="70">
        <f>IF($D84="","",IF($E84="پاس چک","X010",IF($E84="برگشت چک",IF($I84="","X003","X011"),IF($E84="انتقال داخلی",IF($I84="","X003","X011"),IF($D84="پرداخت",$F84,IF($E84="چک","X009",IF($I84="","X003","X011")))))))</f>
        <v/>
      </c>
      <c r="AE84" s="76">
        <f>IF($D84="","",IF($K84="",0,$K84))</f>
        <v/>
      </c>
      <c r="AF84" s="70">
        <f>IF($D84="","",IF($E84="پاس چک",IF($I84="","X003","X011"),IF($E84="برگشت چک","X010",IF($E84="انتقال داخلی",IF($N84="","X003","X011"),IF($D84="پرداخت",IF($E84="چک","X010",IF($I84="","X003","X011")),$F84)))))</f>
        <v/>
      </c>
      <c r="AG84" s="76">
        <f>IF($D84="","",IF($K84="",0,$K84))</f>
        <v/>
      </c>
    </row>
    <row r="85" ht="21.75" customHeight="1">
      <c r="A85" s="70">
        <f>IF($B85="","",COUNTA($B$10:$B85))</f>
        <v/>
      </c>
      <c r="B85" s="71" t="n"/>
      <c r="C85" s="71" t="n"/>
      <c r="D85" s="71" t="n"/>
      <c r="E85" s="71" t="n"/>
      <c r="F85" s="71" t="n"/>
      <c r="G85" s="73">
        <f>IF($F85="","",IFERROR(VLOOKUP($F85,AcctTbl,2,0),"کد ناشناخته"))</f>
        <v/>
      </c>
      <c r="H85" s="70">
        <f>IF($F85="","",IFERROR(VLOOKUP($F85,AcctTbl,3,0),""))</f>
        <v/>
      </c>
      <c r="I85" s="71" t="n"/>
      <c r="J85" s="71" t="n"/>
      <c r="K85" s="74" t="n"/>
      <c r="L85" s="71" t="n"/>
      <c r="M85" s="71" t="n"/>
      <c r="N85" s="71" t="n"/>
      <c r="O85" s="71" t="n"/>
      <c r="P85" s="72" t="n"/>
      <c r="Q85" s="72" t="n"/>
      <c r="R85" s="77">
        <f>IF($D85="","",IF($AA85="⚠","⚠ ناتراز",IF(AND($D85="پرداخت",$E85="چک",$L85=""),"⚠ وضعیت چک","✓")))</f>
        <v/>
      </c>
      <c r="S85" s="76">
        <f>IF(OR($D85="",$K85=""),"",IF(AND($D85="پرداخت",$E85&lt;&gt;"انتقال داخلی",$E85&lt;&gt;"پاس چک",$E85&lt;&gt;"برگشت چک"),$K85,0))</f>
        <v/>
      </c>
      <c r="T85" s="76">
        <f>IF(OR($D85="",$K85=""),"",IF(OR(AND($D85="دریافت",$E85&lt;&gt;"انتقال داخلی"),$E85="برگشت چک"),$K85,0))</f>
        <v/>
      </c>
      <c r="U85" s="76">
        <f>IF(OR($D85="",$K85=""),"",IF(OR(AND($D85="دریافت",$E85&lt;&gt;"چک"),$E85="انتقال داخلی"),$K85,0))</f>
        <v/>
      </c>
      <c r="V85" s="76">
        <f>IF(OR($D85="",$K85=""),"",IF(OR(AND($D85="پرداخت",$E85&lt;&gt;"چک",$E85&lt;&gt;"برگشت چک"),$E85="انتقال داخلی"),$K85,0))</f>
        <v/>
      </c>
      <c r="W85" s="76">
        <f>IF(OR($D85="",$K85=""),"",IF(OR($E85="پاس چک",$E85="برگشت چک",AND($D85="دریافت",$E85="چک")),$K85,0))</f>
        <v/>
      </c>
      <c r="X85" s="76">
        <f>IF(OR($D85="",$K85=""),"",IF(AND($D85="پرداخت",$E85="چک"),$K85,0))</f>
        <v/>
      </c>
      <c r="Y85" s="76">
        <f>SUM($S85,$U85,$W85)</f>
        <v/>
      </c>
      <c r="Z85" s="76">
        <f>SUM($T85,$V85,$X85)</f>
        <v/>
      </c>
      <c r="AA85" s="70">
        <f>IF($D85="","",IF(ROUND($Y85-$Z85,0)=0,"✓","⚠"))</f>
        <v/>
      </c>
      <c r="AB85" s="70">
        <f>IF($D85="","",IF($E85="نقد","X003",IF(OR($E85="چک",$E85="پاس چک",$E85="برگشت چک"),"X010",IF($I85="","X003","X011"))))</f>
        <v/>
      </c>
      <c r="AC85" s="70">
        <f>IF($D85="","",IF($E85="انتقال داخلی",IF($N85="","X003",IFERROR(VLOOKUP($N85,BankTbl,4,0),$N85)),IF($I85="","X003",IFERROR(VLOOKUP($I85,BankTbl,4,0),$I85))))</f>
        <v/>
      </c>
      <c r="AD85" s="70">
        <f>IF($D85="","",IF($E85="پاس چک","X010",IF($E85="برگشت چک",IF($I85="","X003","X011"),IF($E85="انتقال داخلی",IF($I85="","X003","X011"),IF($D85="پرداخت",$F85,IF($E85="چک","X009",IF($I85="","X003","X011")))))))</f>
        <v/>
      </c>
      <c r="AE85" s="76">
        <f>IF($D85="","",IF($K85="",0,$K85))</f>
        <v/>
      </c>
      <c r="AF85" s="70">
        <f>IF($D85="","",IF($E85="پاس چک",IF($I85="","X003","X011"),IF($E85="برگشت چک","X010",IF($E85="انتقال داخلی",IF($N85="","X003","X011"),IF($D85="پرداخت",IF($E85="چک","X010",IF($I85="","X003","X011")),$F85)))))</f>
        <v/>
      </c>
      <c r="AG85" s="76">
        <f>IF($D85="","",IF($K85="",0,$K85))</f>
        <v/>
      </c>
    </row>
    <row r="86" ht="21.75" customHeight="1">
      <c r="A86" s="70">
        <f>IF($B86="","",COUNTA($B$10:$B86))</f>
        <v/>
      </c>
      <c r="B86" s="71" t="n"/>
      <c r="C86" s="71" t="n"/>
      <c r="D86" s="71" t="n"/>
      <c r="E86" s="71" t="n"/>
      <c r="F86" s="71" t="n"/>
      <c r="G86" s="73">
        <f>IF($F86="","",IFERROR(VLOOKUP($F86,AcctTbl,2,0),"کد ناشناخته"))</f>
        <v/>
      </c>
      <c r="H86" s="70">
        <f>IF($F86="","",IFERROR(VLOOKUP($F86,AcctTbl,3,0),""))</f>
        <v/>
      </c>
      <c r="I86" s="71" t="n"/>
      <c r="J86" s="71" t="n"/>
      <c r="K86" s="74" t="n"/>
      <c r="L86" s="71" t="n"/>
      <c r="M86" s="71" t="n"/>
      <c r="N86" s="71" t="n"/>
      <c r="O86" s="71" t="n"/>
      <c r="P86" s="72" t="n"/>
      <c r="Q86" s="72" t="n"/>
      <c r="R86" s="77">
        <f>IF($D86="","",IF($AA86="⚠","⚠ ناتراز",IF(AND($D86="پرداخت",$E86="چک",$L86=""),"⚠ وضعیت چک","✓")))</f>
        <v/>
      </c>
      <c r="S86" s="76">
        <f>IF(OR($D86="",$K86=""),"",IF(AND($D86="پرداخت",$E86&lt;&gt;"انتقال داخلی",$E86&lt;&gt;"پاس چک",$E86&lt;&gt;"برگشت چک"),$K86,0))</f>
        <v/>
      </c>
      <c r="T86" s="76">
        <f>IF(OR($D86="",$K86=""),"",IF(OR(AND($D86="دریافت",$E86&lt;&gt;"انتقال داخلی"),$E86="برگشت چک"),$K86,0))</f>
        <v/>
      </c>
      <c r="U86" s="76">
        <f>IF(OR($D86="",$K86=""),"",IF(OR(AND($D86="دریافت",$E86&lt;&gt;"چک"),$E86="انتقال داخلی"),$K86,0))</f>
        <v/>
      </c>
      <c r="V86" s="76">
        <f>IF(OR($D86="",$K86=""),"",IF(OR(AND($D86="پرداخت",$E86&lt;&gt;"چک",$E86&lt;&gt;"برگشت چک"),$E86="انتقال داخلی"),$K86,0))</f>
        <v/>
      </c>
      <c r="W86" s="76">
        <f>IF(OR($D86="",$K86=""),"",IF(OR($E86="پاس چک",$E86="برگشت چک",AND($D86="دریافت",$E86="چک")),$K86,0))</f>
        <v/>
      </c>
      <c r="X86" s="76">
        <f>IF(OR($D86="",$K86=""),"",IF(AND($D86="پرداخت",$E86="چک"),$K86,0))</f>
        <v/>
      </c>
      <c r="Y86" s="76">
        <f>SUM($S86,$U86,$W86)</f>
        <v/>
      </c>
      <c r="Z86" s="76">
        <f>SUM($T86,$V86,$X86)</f>
        <v/>
      </c>
      <c r="AA86" s="70">
        <f>IF($D86="","",IF(ROUND($Y86-$Z86,0)=0,"✓","⚠"))</f>
        <v/>
      </c>
      <c r="AB86" s="70">
        <f>IF($D86="","",IF($E86="نقد","X003",IF(OR($E86="چک",$E86="پاس چک",$E86="برگشت چک"),"X010",IF($I86="","X003","X011"))))</f>
        <v/>
      </c>
      <c r="AC86" s="70">
        <f>IF($D86="","",IF($E86="انتقال داخلی",IF($N86="","X003",IFERROR(VLOOKUP($N86,BankTbl,4,0),$N86)),IF($I86="","X003",IFERROR(VLOOKUP($I86,BankTbl,4,0),$I86))))</f>
        <v/>
      </c>
      <c r="AD86" s="70">
        <f>IF($D86="","",IF($E86="پاس چک","X010",IF($E86="برگشت چک",IF($I86="","X003","X011"),IF($E86="انتقال داخلی",IF($I86="","X003","X011"),IF($D86="پرداخت",$F86,IF($E86="چک","X009",IF($I86="","X003","X011")))))))</f>
        <v/>
      </c>
      <c r="AE86" s="76">
        <f>IF($D86="","",IF($K86="",0,$K86))</f>
        <v/>
      </c>
      <c r="AF86" s="70">
        <f>IF($D86="","",IF($E86="پاس چک",IF($I86="","X003","X011"),IF($E86="برگشت چک","X010",IF($E86="انتقال داخلی",IF($N86="","X003","X011"),IF($D86="پرداخت",IF($E86="چک","X010",IF($I86="","X003","X011")),$F86)))))</f>
        <v/>
      </c>
      <c r="AG86" s="76">
        <f>IF($D86="","",IF($K86="",0,$K86))</f>
        <v/>
      </c>
    </row>
    <row r="87" ht="21.75" customHeight="1">
      <c r="A87" s="70">
        <f>IF($B87="","",COUNTA($B$10:$B87))</f>
        <v/>
      </c>
      <c r="B87" s="71" t="n"/>
      <c r="C87" s="71" t="n"/>
      <c r="D87" s="71" t="n"/>
      <c r="E87" s="71" t="n"/>
      <c r="F87" s="71" t="n"/>
      <c r="G87" s="73">
        <f>IF($F87="","",IFERROR(VLOOKUP($F87,AcctTbl,2,0),"کد ناشناخته"))</f>
        <v/>
      </c>
      <c r="H87" s="70">
        <f>IF($F87="","",IFERROR(VLOOKUP($F87,AcctTbl,3,0),""))</f>
        <v/>
      </c>
      <c r="I87" s="71" t="n"/>
      <c r="J87" s="71" t="n"/>
      <c r="K87" s="74" t="n"/>
      <c r="L87" s="71" t="n"/>
      <c r="M87" s="71" t="n"/>
      <c r="N87" s="71" t="n"/>
      <c r="O87" s="71" t="n"/>
      <c r="P87" s="72" t="n"/>
      <c r="Q87" s="72" t="n"/>
      <c r="R87" s="77">
        <f>IF($D87="","",IF($AA87="⚠","⚠ ناتراز",IF(AND($D87="پرداخت",$E87="چک",$L87=""),"⚠ وضعیت چک","✓")))</f>
        <v/>
      </c>
      <c r="S87" s="76">
        <f>IF(OR($D87="",$K87=""),"",IF(AND($D87="پرداخت",$E87&lt;&gt;"انتقال داخلی",$E87&lt;&gt;"پاس چک",$E87&lt;&gt;"برگشت چک"),$K87,0))</f>
        <v/>
      </c>
      <c r="T87" s="76">
        <f>IF(OR($D87="",$K87=""),"",IF(OR(AND($D87="دریافت",$E87&lt;&gt;"انتقال داخلی"),$E87="برگشت چک"),$K87,0))</f>
        <v/>
      </c>
      <c r="U87" s="76">
        <f>IF(OR($D87="",$K87=""),"",IF(OR(AND($D87="دریافت",$E87&lt;&gt;"چک"),$E87="انتقال داخلی"),$K87,0))</f>
        <v/>
      </c>
      <c r="V87" s="76">
        <f>IF(OR($D87="",$K87=""),"",IF(OR(AND($D87="پرداخت",$E87&lt;&gt;"چک",$E87&lt;&gt;"برگشت چک"),$E87="انتقال داخلی"),$K87,0))</f>
        <v/>
      </c>
      <c r="W87" s="76">
        <f>IF(OR($D87="",$K87=""),"",IF(OR($E87="پاس چک",$E87="برگشت چک",AND($D87="دریافت",$E87="چک")),$K87,0))</f>
        <v/>
      </c>
      <c r="X87" s="76">
        <f>IF(OR($D87="",$K87=""),"",IF(AND($D87="پرداخت",$E87="چک"),$K87,0))</f>
        <v/>
      </c>
      <c r="Y87" s="76">
        <f>SUM($S87,$U87,$W87)</f>
        <v/>
      </c>
      <c r="Z87" s="76">
        <f>SUM($T87,$V87,$X87)</f>
        <v/>
      </c>
      <c r="AA87" s="70">
        <f>IF($D87="","",IF(ROUND($Y87-$Z87,0)=0,"✓","⚠"))</f>
        <v/>
      </c>
      <c r="AB87" s="70">
        <f>IF($D87="","",IF($E87="نقد","X003",IF(OR($E87="چک",$E87="پاس چک",$E87="برگشت چک"),"X010",IF($I87="","X003","X011"))))</f>
        <v/>
      </c>
      <c r="AC87" s="70">
        <f>IF($D87="","",IF($E87="انتقال داخلی",IF($N87="","X003",IFERROR(VLOOKUP($N87,BankTbl,4,0),$N87)),IF($I87="","X003",IFERROR(VLOOKUP($I87,BankTbl,4,0),$I87))))</f>
        <v/>
      </c>
      <c r="AD87" s="70">
        <f>IF($D87="","",IF($E87="پاس چک","X010",IF($E87="برگشت چک",IF($I87="","X003","X011"),IF($E87="انتقال داخلی",IF($I87="","X003","X011"),IF($D87="پرداخت",$F87,IF($E87="چک","X009",IF($I87="","X003","X011")))))))</f>
        <v/>
      </c>
      <c r="AE87" s="76">
        <f>IF($D87="","",IF($K87="",0,$K87))</f>
        <v/>
      </c>
      <c r="AF87" s="70">
        <f>IF($D87="","",IF($E87="پاس چک",IF($I87="","X003","X011"),IF($E87="برگشت چک","X010",IF($E87="انتقال داخلی",IF($N87="","X003","X011"),IF($D87="پرداخت",IF($E87="چک","X010",IF($I87="","X003","X011")),$F87)))))</f>
        <v/>
      </c>
      <c r="AG87" s="76">
        <f>IF($D87="","",IF($K87="",0,$K87))</f>
        <v/>
      </c>
    </row>
    <row r="88" ht="21.75" customHeight="1">
      <c r="A88" s="70">
        <f>IF($B88="","",COUNTA($B$10:$B88))</f>
        <v/>
      </c>
      <c r="B88" s="71" t="n"/>
      <c r="C88" s="71" t="n"/>
      <c r="D88" s="71" t="n"/>
      <c r="E88" s="71" t="n"/>
      <c r="F88" s="71" t="n"/>
      <c r="G88" s="73">
        <f>IF($F88="","",IFERROR(VLOOKUP($F88,AcctTbl,2,0),"کد ناشناخته"))</f>
        <v/>
      </c>
      <c r="H88" s="70">
        <f>IF($F88="","",IFERROR(VLOOKUP($F88,AcctTbl,3,0),""))</f>
        <v/>
      </c>
      <c r="I88" s="71" t="n"/>
      <c r="J88" s="71" t="n"/>
      <c r="K88" s="74" t="n"/>
      <c r="L88" s="71" t="n"/>
      <c r="M88" s="71" t="n"/>
      <c r="N88" s="71" t="n"/>
      <c r="O88" s="71" t="n"/>
      <c r="P88" s="72" t="n"/>
      <c r="Q88" s="72" t="n"/>
      <c r="R88" s="77">
        <f>IF($D88="","",IF($AA88="⚠","⚠ ناتراز",IF(AND($D88="پرداخت",$E88="چک",$L88=""),"⚠ وضعیت چک","✓")))</f>
        <v/>
      </c>
      <c r="S88" s="76">
        <f>IF(OR($D88="",$K88=""),"",IF(AND($D88="پرداخت",$E88&lt;&gt;"انتقال داخلی",$E88&lt;&gt;"پاس چک",$E88&lt;&gt;"برگشت چک"),$K88,0))</f>
        <v/>
      </c>
      <c r="T88" s="76">
        <f>IF(OR($D88="",$K88=""),"",IF(OR(AND($D88="دریافت",$E88&lt;&gt;"انتقال داخلی"),$E88="برگشت چک"),$K88,0))</f>
        <v/>
      </c>
      <c r="U88" s="76">
        <f>IF(OR($D88="",$K88=""),"",IF(OR(AND($D88="دریافت",$E88&lt;&gt;"چک"),$E88="انتقال داخلی"),$K88,0))</f>
        <v/>
      </c>
      <c r="V88" s="76">
        <f>IF(OR($D88="",$K88=""),"",IF(OR(AND($D88="پرداخت",$E88&lt;&gt;"چک",$E88&lt;&gt;"برگشت چک"),$E88="انتقال داخلی"),$K88,0))</f>
        <v/>
      </c>
      <c r="W88" s="76">
        <f>IF(OR($D88="",$K88=""),"",IF(OR($E88="پاس چک",$E88="برگشت چک",AND($D88="دریافت",$E88="چک")),$K88,0))</f>
        <v/>
      </c>
      <c r="X88" s="76">
        <f>IF(OR($D88="",$K88=""),"",IF(AND($D88="پرداخت",$E88="چک"),$K88,0))</f>
        <v/>
      </c>
      <c r="Y88" s="76">
        <f>SUM($S88,$U88,$W88)</f>
        <v/>
      </c>
      <c r="Z88" s="76">
        <f>SUM($T88,$V88,$X88)</f>
        <v/>
      </c>
      <c r="AA88" s="70">
        <f>IF($D88="","",IF(ROUND($Y88-$Z88,0)=0,"✓","⚠"))</f>
        <v/>
      </c>
      <c r="AB88" s="70">
        <f>IF($D88="","",IF($E88="نقد","X003",IF(OR($E88="چک",$E88="پاس چک",$E88="برگشت چک"),"X010",IF($I88="","X003","X011"))))</f>
        <v/>
      </c>
      <c r="AC88" s="70">
        <f>IF($D88="","",IF($E88="انتقال داخلی",IF($N88="","X003",IFERROR(VLOOKUP($N88,BankTbl,4,0),$N88)),IF($I88="","X003",IFERROR(VLOOKUP($I88,BankTbl,4,0),$I88))))</f>
        <v/>
      </c>
      <c r="AD88" s="70">
        <f>IF($D88="","",IF($E88="پاس چک","X010",IF($E88="برگشت چک",IF($I88="","X003","X011"),IF($E88="انتقال داخلی",IF($I88="","X003","X011"),IF($D88="پرداخت",$F88,IF($E88="چک","X009",IF($I88="","X003","X011")))))))</f>
        <v/>
      </c>
      <c r="AE88" s="76">
        <f>IF($D88="","",IF($K88="",0,$K88))</f>
        <v/>
      </c>
      <c r="AF88" s="70">
        <f>IF($D88="","",IF($E88="پاس چک",IF($I88="","X003","X011"),IF($E88="برگشت چک","X010",IF($E88="انتقال داخلی",IF($N88="","X003","X011"),IF($D88="پرداخت",IF($E88="چک","X010",IF($I88="","X003","X011")),$F88)))))</f>
        <v/>
      </c>
      <c r="AG88" s="76">
        <f>IF($D88="","",IF($K88="",0,$K88))</f>
        <v/>
      </c>
    </row>
    <row r="89" ht="21.75" customHeight="1">
      <c r="A89" s="70">
        <f>IF($B89="","",COUNTA($B$10:$B89))</f>
        <v/>
      </c>
      <c r="B89" s="71" t="n"/>
      <c r="C89" s="71" t="n"/>
      <c r="D89" s="71" t="n"/>
      <c r="E89" s="71" t="n"/>
      <c r="F89" s="71" t="n"/>
      <c r="G89" s="73">
        <f>IF($F89="","",IFERROR(VLOOKUP($F89,AcctTbl,2,0),"کد ناشناخته"))</f>
        <v/>
      </c>
      <c r="H89" s="70">
        <f>IF($F89="","",IFERROR(VLOOKUP($F89,AcctTbl,3,0),""))</f>
        <v/>
      </c>
      <c r="I89" s="71" t="n"/>
      <c r="J89" s="71" t="n"/>
      <c r="K89" s="74" t="n"/>
      <c r="L89" s="71" t="n"/>
      <c r="M89" s="71" t="n"/>
      <c r="N89" s="71" t="n"/>
      <c r="O89" s="71" t="n"/>
      <c r="P89" s="72" t="n"/>
      <c r="Q89" s="72" t="n"/>
      <c r="R89" s="77">
        <f>IF($D89="","",IF($AA89="⚠","⚠ ناتراز",IF(AND($D89="پرداخت",$E89="چک",$L89=""),"⚠ وضعیت چک","✓")))</f>
        <v/>
      </c>
      <c r="S89" s="76">
        <f>IF(OR($D89="",$K89=""),"",IF(AND($D89="پرداخت",$E89&lt;&gt;"انتقال داخلی",$E89&lt;&gt;"پاس چک",$E89&lt;&gt;"برگشت چک"),$K89,0))</f>
        <v/>
      </c>
      <c r="T89" s="76">
        <f>IF(OR($D89="",$K89=""),"",IF(OR(AND($D89="دریافت",$E89&lt;&gt;"انتقال داخلی"),$E89="برگشت چک"),$K89,0))</f>
        <v/>
      </c>
      <c r="U89" s="76">
        <f>IF(OR($D89="",$K89=""),"",IF(OR(AND($D89="دریافت",$E89&lt;&gt;"چک"),$E89="انتقال داخلی"),$K89,0))</f>
        <v/>
      </c>
      <c r="V89" s="76">
        <f>IF(OR($D89="",$K89=""),"",IF(OR(AND($D89="پرداخت",$E89&lt;&gt;"چک",$E89&lt;&gt;"برگشت چک"),$E89="انتقال داخلی"),$K89,0))</f>
        <v/>
      </c>
      <c r="W89" s="76">
        <f>IF(OR($D89="",$K89=""),"",IF(OR($E89="پاس چک",$E89="برگشت چک",AND($D89="دریافت",$E89="چک")),$K89,0))</f>
        <v/>
      </c>
      <c r="X89" s="76">
        <f>IF(OR($D89="",$K89=""),"",IF(AND($D89="پرداخت",$E89="چک"),$K89,0))</f>
        <v/>
      </c>
      <c r="Y89" s="76">
        <f>SUM($S89,$U89,$W89)</f>
        <v/>
      </c>
      <c r="Z89" s="76">
        <f>SUM($T89,$V89,$X89)</f>
        <v/>
      </c>
      <c r="AA89" s="70">
        <f>IF($D89="","",IF(ROUND($Y89-$Z89,0)=0,"✓","⚠"))</f>
        <v/>
      </c>
      <c r="AB89" s="70">
        <f>IF($D89="","",IF($E89="نقد","X003",IF(OR($E89="چک",$E89="پاس چک",$E89="برگشت چک"),"X010",IF($I89="","X003","X011"))))</f>
        <v/>
      </c>
      <c r="AC89" s="70">
        <f>IF($D89="","",IF($E89="انتقال داخلی",IF($N89="","X003",IFERROR(VLOOKUP($N89,BankTbl,4,0),$N89)),IF($I89="","X003",IFERROR(VLOOKUP($I89,BankTbl,4,0),$I89))))</f>
        <v/>
      </c>
      <c r="AD89" s="70">
        <f>IF($D89="","",IF($E89="پاس چک","X010",IF($E89="برگشت چک",IF($I89="","X003","X011"),IF($E89="انتقال داخلی",IF($I89="","X003","X011"),IF($D89="پرداخت",$F89,IF($E89="چک","X009",IF($I89="","X003","X011")))))))</f>
        <v/>
      </c>
      <c r="AE89" s="76">
        <f>IF($D89="","",IF($K89="",0,$K89))</f>
        <v/>
      </c>
      <c r="AF89" s="70">
        <f>IF($D89="","",IF($E89="پاس چک",IF($I89="","X003","X011"),IF($E89="برگشت چک","X010",IF($E89="انتقال داخلی",IF($N89="","X003","X011"),IF($D89="پرداخت",IF($E89="چک","X010",IF($I89="","X003","X011")),$F89)))))</f>
        <v/>
      </c>
      <c r="AG89" s="76">
        <f>IF($D89="","",IF($K89="",0,$K89))</f>
        <v/>
      </c>
    </row>
    <row r="90" ht="21.75" customHeight="1">
      <c r="A90" s="70">
        <f>IF($B90="","",COUNTA($B$10:$B90))</f>
        <v/>
      </c>
      <c r="B90" s="71" t="n"/>
      <c r="C90" s="71" t="n"/>
      <c r="D90" s="71" t="n"/>
      <c r="E90" s="71" t="n"/>
      <c r="F90" s="71" t="n"/>
      <c r="G90" s="73">
        <f>IF($F90="","",IFERROR(VLOOKUP($F90,AcctTbl,2,0),"کد ناشناخته"))</f>
        <v/>
      </c>
      <c r="H90" s="70">
        <f>IF($F90="","",IFERROR(VLOOKUP($F90,AcctTbl,3,0),""))</f>
        <v/>
      </c>
      <c r="I90" s="71" t="n"/>
      <c r="J90" s="71" t="n"/>
      <c r="K90" s="74" t="n"/>
      <c r="L90" s="71" t="n"/>
      <c r="M90" s="71" t="n"/>
      <c r="N90" s="71" t="n"/>
      <c r="O90" s="71" t="n"/>
      <c r="P90" s="72" t="n"/>
      <c r="Q90" s="72" t="n"/>
      <c r="R90" s="77">
        <f>IF($D90="","",IF($AA90="⚠","⚠ ناتراز",IF(AND($D90="پرداخت",$E90="چک",$L90=""),"⚠ وضعیت چک","✓")))</f>
        <v/>
      </c>
      <c r="S90" s="76">
        <f>IF(OR($D90="",$K90=""),"",IF(AND($D90="پرداخت",$E90&lt;&gt;"انتقال داخلی",$E90&lt;&gt;"پاس چک",$E90&lt;&gt;"برگشت چک"),$K90,0))</f>
        <v/>
      </c>
      <c r="T90" s="76">
        <f>IF(OR($D90="",$K90=""),"",IF(OR(AND($D90="دریافت",$E90&lt;&gt;"انتقال داخلی"),$E90="برگشت چک"),$K90,0))</f>
        <v/>
      </c>
      <c r="U90" s="76">
        <f>IF(OR($D90="",$K90=""),"",IF(OR(AND($D90="دریافت",$E90&lt;&gt;"چک"),$E90="انتقال داخلی"),$K90,0))</f>
        <v/>
      </c>
      <c r="V90" s="76">
        <f>IF(OR($D90="",$K90=""),"",IF(OR(AND($D90="پرداخت",$E90&lt;&gt;"چک",$E90&lt;&gt;"برگشت چک"),$E90="انتقال داخلی"),$K90,0))</f>
        <v/>
      </c>
      <c r="W90" s="76">
        <f>IF(OR($D90="",$K90=""),"",IF(OR($E90="پاس چک",$E90="برگشت چک",AND($D90="دریافت",$E90="چک")),$K90,0))</f>
        <v/>
      </c>
      <c r="X90" s="76">
        <f>IF(OR($D90="",$K90=""),"",IF(AND($D90="پرداخت",$E90="چک"),$K90,0))</f>
        <v/>
      </c>
      <c r="Y90" s="76">
        <f>SUM($S90,$U90,$W90)</f>
        <v/>
      </c>
      <c r="Z90" s="76">
        <f>SUM($T90,$V90,$X90)</f>
        <v/>
      </c>
      <c r="AA90" s="70">
        <f>IF($D90="","",IF(ROUND($Y90-$Z90,0)=0,"✓","⚠"))</f>
        <v/>
      </c>
      <c r="AB90" s="70">
        <f>IF($D90="","",IF($E90="نقد","X003",IF(OR($E90="چک",$E90="پاس چک",$E90="برگشت چک"),"X010",IF($I90="","X003","X011"))))</f>
        <v/>
      </c>
      <c r="AC90" s="70">
        <f>IF($D90="","",IF($E90="انتقال داخلی",IF($N90="","X003",IFERROR(VLOOKUP($N90,BankTbl,4,0),$N90)),IF($I90="","X003",IFERROR(VLOOKUP($I90,BankTbl,4,0),$I90))))</f>
        <v/>
      </c>
      <c r="AD90" s="70">
        <f>IF($D90="","",IF($E90="پاس چک","X010",IF($E90="برگشت چک",IF($I90="","X003","X011"),IF($E90="انتقال داخلی",IF($I90="","X003","X011"),IF($D90="پرداخت",$F90,IF($E90="چک","X009",IF($I90="","X003","X011")))))))</f>
        <v/>
      </c>
      <c r="AE90" s="76">
        <f>IF($D90="","",IF($K90="",0,$K90))</f>
        <v/>
      </c>
      <c r="AF90" s="70">
        <f>IF($D90="","",IF($E90="پاس چک",IF($I90="","X003","X011"),IF($E90="برگشت چک","X010",IF($E90="انتقال داخلی",IF($N90="","X003","X011"),IF($D90="پرداخت",IF($E90="چک","X010",IF($I90="","X003","X011")),$F90)))))</f>
        <v/>
      </c>
      <c r="AG90" s="76">
        <f>IF($D90="","",IF($K90="",0,$K90))</f>
        <v/>
      </c>
    </row>
    <row r="91" ht="21.75" customHeight="1">
      <c r="A91" s="70">
        <f>IF($B91="","",COUNTA($B$10:$B91))</f>
        <v/>
      </c>
      <c r="B91" s="71" t="n"/>
      <c r="C91" s="71" t="n"/>
      <c r="D91" s="71" t="n"/>
      <c r="E91" s="71" t="n"/>
      <c r="F91" s="71" t="n"/>
      <c r="G91" s="73">
        <f>IF($F91="","",IFERROR(VLOOKUP($F91,AcctTbl,2,0),"کد ناشناخته"))</f>
        <v/>
      </c>
      <c r="H91" s="70">
        <f>IF($F91="","",IFERROR(VLOOKUP($F91,AcctTbl,3,0),""))</f>
        <v/>
      </c>
      <c r="I91" s="71" t="n"/>
      <c r="J91" s="71" t="n"/>
      <c r="K91" s="74" t="n"/>
      <c r="L91" s="71" t="n"/>
      <c r="M91" s="71" t="n"/>
      <c r="N91" s="71" t="n"/>
      <c r="O91" s="71" t="n"/>
      <c r="P91" s="72" t="n"/>
      <c r="Q91" s="72" t="n"/>
      <c r="R91" s="77">
        <f>IF($D91="","",IF($AA91="⚠","⚠ ناتراز",IF(AND($D91="پرداخت",$E91="چک",$L91=""),"⚠ وضعیت چک","✓")))</f>
        <v/>
      </c>
      <c r="S91" s="76">
        <f>IF(OR($D91="",$K91=""),"",IF(AND($D91="پرداخت",$E91&lt;&gt;"انتقال داخلی",$E91&lt;&gt;"پاس چک",$E91&lt;&gt;"برگشت چک"),$K91,0))</f>
        <v/>
      </c>
      <c r="T91" s="76">
        <f>IF(OR($D91="",$K91=""),"",IF(OR(AND($D91="دریافت",$E91&lt;&gt;"انتقال داخلی"),$E91="برگشت چک"),$K91,0))</f>
        <v/>
      </c>
      <c r="U91" s="76">
        <f>IF(OR($D91="",$K91=""),"",IF(OR(AND($D91="دریافت",$E91&lt;&gt;"چک"),$E91="انتقال داخلی"),$K91,0))</f>
        <v/>
      </c>
      <c r="V91" s="76">
        <f>IF(OR($D91="",$K91=""),"",IF(OR(AND($D91="پرداخت",$E91&lt;&gt;"چک",$E91&lt;&gt;"برگشت چک"),$E91="انتقال داخلی"),$K91,0))</f>
        <v/>
      </c>
      <c r="W91" s="76">
        <f>IF(OR($D91="",$K91=""),"",IF(OR($E91="پاس چک",$E91="برگشت چک",AND($D91="دریافت",$E91="چک")),$K91,0))</f>
        <v/>
      </c>
      <c r="X91" s="76">
        <f>IF(OR($D91="",$K91=""),"",IF(AND($D91="پرداخت",$E91="چک"),$K91,0))</f>
        <v/>
      </c>
      <c r="Y91" s="76">
        <f>SUM($S91,$U91,$W91)</f>
        <v/>
      </c>
      <c r="Z91" s="76">
        <f>SUM($T91,$V91,$X91)</f>
        <v/>
      </c>
      <c r="AA91" s="70">
        <f>IF($D91="","",IF(ROUND($Y91-$Z91,0)=0,"✓","⚠"))</f>
        <v/>
      </c>
      <c r="AB91" s="70">
        <f>IF($D91="","",IF($E91="نقد","X003",IF(OR($E91="چک",$E91="پاس چک",$E91="برگشت چک"),"X010",IF($I91="","X003","X011"))))</f>
        <v/>
      </c>
      <c r="AC91" s="70">
        <f>IF($D91="","",IF($E91="انتقال داخلی",IF($N91="","X003",IFERROR(VLOOKUP($N91,BankTbl,4,0),$N91)),IF($I91="","X003",IFERROR(VLOOKUP($I91,BankTbl,4,0),$I91))))</f>
        <v/>
      </c>
      <c r="AD91" s="70">
        <f>IF($D91="","",IF($E91="پاس چک","X010",IF($E91="برگشت چک",IF($I91="","X003","X011"),IF($E91="انتقال داخلی",IF($I91="","X003","X011"),IF($D91="پرداخت",$F91,IF($E91="چک","X009",IF($I91="","X003","X011")))))))</f>
        <v/>
      </c>
      <c r="AE91" s="76">
        <f>IF($D91="","",IF($K91="",0,$K91))</f>
        <v/>
      </c>
      <c r="AF91" s="70">
        <f>IF($D91="","",IF($E91="پاس چک",IF($I91="","X003","X011"),IF($E91="برگشت چک","X010",IF($E91="انتقال داخلی",IF($N91="","X003","X011"),IF($D91="پرداخت",IF($E91="چک","X010",IF($I91="","X003","X011")),$F91)))))</f>
        <v/>
      </c>
      <c r="AG91" s="76">
        <f>IF($D91="","",IF($K91="",0,$K91))</f>
        <v/>
      </c>
    </row>
    <row r="92" ht="21.75" customHeight="1">
      <c r="A92" s="70">
        <f>IF($B92="","",COUNTA($B$10:$B92))</f>
        <v/>
      </c>
      <c r="B92" s="71" t="n"/>
      <c r="C92" s="71" t="n"/>
      <c r="D92" s="71" t="n"/>
      <c r="E92" s="71" t="n"/>
      <c r="F92" s="71" t="n"/>
      <c r="G92" s="73">
        <f>IF($F92="","",IFERROR(VLOOKUP($F92,AcctTbl,2,0),"کد ناشناخته"))</f>
        <v/>
      </c>
      <c r="H92" s="70">
        <f>IF($F92="","",IFERROR(VLOOKUP($F92,AcctTbl,3,0),""))</f>
        <v/>
      </c>
      <c r="I92" s="71" t="n"/>
      <c r="J92" s="71" t="n"/>
      <c r="K92" s="74" t="n"/>
      <c r="L92" s="71" t="n"/>
      <c r="M92" s="71" t="n"/>
      <c r="N92" s="71" t="n"/>
      <c r="O92" s="71" t="n"/>
      <c r="P92" s="72" t="n"/>
      <c r="Q92" s="72" t="n"/>
      <c r="R92" s="77">
        <f>IF($D92="","",IF($AA92="⚠","⚠ ناتراز",IF(AND($D92="پرداخت",$E92="چک",$L92=""),"⚠ وضعیت چک","✓")))</f>
        <v/>
      </c>
      <c r="S92" s="76">
        <f>IF(OR($D92="",$K92=""),"",IF(AND($D92="پرداخت",$E92&lt;&gt;"انتقال داخلی",$E92&lt;&gt;"پاس چک",$E92&lt;&gt;"برگشت چک"),$K92,0))</f>
        <v/>
      </c>
      <c r="T92" s="76">
        <f>IF(OR($D92="",$K92=""),"",IF(OR(AND($D92="دریافت",$E92&lt;&gt;"انتقال داخلی"),$E92="برگشت چک"),$K92,0))</f>
        <v/>
      </c>
      <c r="U92" s="76">
        <f>IF(OR($D92="",$K92=""),"",IF(OR(AND($D92="دریافت",$E92&lt;&gt;"چک"),$E92="انتقال داخلی"),$K92,0))</f>
        <v/>
      </c>
      <c r="V92" s="76">
        <f>IF(OR($D92="",$K92=""),"",IF(OR(AND($D92="پرداخت",$E92&lt;&gt;"چک",$E92&lt;&gt;"برگشت چک"),$E92="انتقال داخلی"),$K92,0))</f>
        <v/>
      </c>
      <c r="W92" s="76">
        <f>IF(OR($D92="",$K92=""),"",IF(OR($E92="پاس چک",$E92="برگشت چک",AND($D92="دریافت",$E92="چک")),$K92,0))</f>
        <v/>
      </c>
      <c r="X92" s="76">
        <f>IF(OR($D92="",$K92=""),"",IF(AND($D92="پرداخت",$E92="چک"),$K92,0))</f>
        <v/>
      </c>
      <c r="Y92" s="76">
        <f>SUM($S92,$U92,$W92)</f>
        <v/>
      </c>
      <c r="Z92" s="76">
        <f>SUM($T92,$V92,$X92)</f>
        <v/>
      </c>
      <c r="AA92" s="70">
        <f>IF($D92="","",IF(ROUND($Y92-$Z92,0)=0,"✓","⚠"))</f>
        <v/>
      </c>
      <c r="AB92" s="70">
        <f>IF($D92="","",IF($E92="نقد","X003",IF(OR($E92="چک",$E92="پاس چک",$E92="برگشت چک"),"X010",IF($I92="","X003","X011"))))</f>
        <v/>
      </c>
      <c r="AC92" s="70">
        <f>IF($D92="","",IF($E92="انتقال داخلی",IF($N92="","X003",IFERROR(VLOOKUP($N92,BankTbl,4,0),$N92)),IF($I92="","X003",IFERROR(VLOOKUP($I92,BankTbl,4,0),$I92))))</f>
        <v/>
      </c>
      <c r="AD92" s="70">
        <f>IF($D92="","",IF($E92="پاس چک","X010",IF($E92="برگشت چک",IF($I92="","X003","X011"),IF($E92="انتقال داخلی",IF($I92="","X003","X011"),IF($D92="پرداخت",$F92,IF($E92="چک","X009",IF($I92="","X003","X011")))))))</f>
        <v/>
      </c>
      <c r="AE92" s="76">
        <f>IF($D92="","",IF($K92="",0,$K92))</f>
        <v/>
      </c>
      <c r="AF92" s="70">
        <f>IF($D92="","",IF($E92="پاس چک",IF($I92="","X003","X011"),IF($E92="برگشت چک","X010",IF($E92="انتقال داخلی",IF($N92="","X003","X011"),IF($D92="پرداخت",IF($E92="چک","X010",IF($I92="","X003","X011")),$F92)))))</f>
        <v/>
      </c>
      <c r="AG92" s="76">
        <f>IF($D92="","",IF($K92="",0,$K92))</f>
        <v/>
      </c>
    </row>
    <row r="93" ht="21.75" customHeight="1">
      <c r="A93" s="70">
        <f>IF($B93="","",COUNTA($B$10:$B93))</f>
        <v/>
      </c>
      <c r="B93" s="71" t="n"/>
      <c r="C93" s="71" t="n"/>
      <c r="D93" s="71" t="n"/>
      <c r="E93" s="71" t="n"/>
      <c r="F93" s="71" t="n"/>
      <c r="G93" s="73">
        <f>IF($F93="","",IFERROR(VLOOKUP($F93,AcctTbl,2,0),"کد ناشناخته"))</f>
        <v/>
      </c>
      <c r="H93" s="70">
        <f>IF($F93="","",IFERROR(VLOOKUP($F93,AcctTbl,3,0),""))</f>
        <v/>
      </c>
      <c r="I93" s="71" t="n"/>
      <c r="J93" s="71" t="n"/>
      <c r="K93" s="74" t="n"/>
      <c r="L93" s="71" t="n"/>
      <c r="M93" s="71" t="n"/>
      <c r="N93" s="71" t="n"/>
      <c r="O93" s="71" t="n"/>
      <c r="P93" s="72" t="n"/>
      <c r="Q93" s="72" t="n"/>
      <c r="R93" s="77">
        <f>IF($D93="","",IF($AA93="⚠","⚠ ناتراز",IF(AND($D93="پرداخت",$E93="چک",$L93=""),"⚠ وضعیت چک","✓")))</f>
        <v/>
      </c>
      <c r="S93" s="76">
        <f>IF(OR($D93="",$K93=""),"",IF(AND($D93="پرداخت",$E93&lt;&gt;"انتقال داخلی",$E93&lt;&gt;"پاس چک",$E93&lt;&gt;"برگشت چک"),$K93,0))</f>
        <v/>
      </c>
      <c r="T93" s="76">
        <f>IF(OR($D93="",$K93=""),"",IF(OR(AND($D93="دریافت",$E93&lt;&gt;"انتقال داخلی"),$E93="برگشت چک"),$K93,0))</f>
        <v/>
      </c>
      <c r="U93" s="76">
        <f>IF(OR($D93="",$K93=""),"",IF(OR(AND($D93="دریافت",$E93&lt;&gt;"چک"),$E93="انتقال داخلی"),$K93,0))</f>
        <v/>
      </c>
      <c r="V93" s="76">
        <f>IF(OR($D93="",$K93=""),"",IF(OR(AND($D93="پرداخت",$E93&lt;&gt;"چک",$E93&lt;&gt;"برگشت چک"),$E93="انتقال داخلی"),$K93,0))</f>
        <v/>
      </c>
      <c r="W93" s="76">
        <f>IF(OR($D93="",$K93=""),"",IF(OR($E93="پاس چک",$E93="برگشت چک",AND($D93="دریافت",$E93="چک")),$K93,0))</f>
        <v/>
      </c>
      <c r="X93" s="76">
        <f>IF(OR($D93="",$K93=""),"",IF(AND($D93="پرداخت",$E93="چک"),$K93,0))</f>
        <v/>
      </c>
      <c r="Y93" s="76">
        <f>SUM($S93,$U93,$W93)</f>
        <v/>
      </c>
      <c r="Z93" s="76">
        <f>SUM($T93,$V93,$X93)</f>
        <v/>
      </c>
      <c r="AA93" s="70">
        <f>IF($D93="","",IF(ROUND($Y93-$Z93,0)=0,"✓","⚠"))</f>
        <v/>
      </c>
      <c r="AB93" s="70">
        <f>IF($D93="","",IF($E93="نقد","X003",IF(OR($E93="چک",$E93="پاس چک",$E93="برگشت چک"),"X010",IF($I93="","X003","X011"))))</f>
        <v/>
      </c>
      <c r="AC93" s="70">
        <f>IF($D93="","",IF($E93="انتقال داخلی",IF($N93="","X003",IFERROR(VLOOKUP($N93,BankTbl,4,0),$N93)),IF($I93="","X003",IFERROR(VLOOKUP($I93,BankTbl,4,0),$I93))))</f>
        <v/>
      </c>
      <c r="AD93" s="70">
        <f>IF($D93="","",IF($E93="پاس چک","X010",IF($E93="برگشت چک",IF($I93="","X003","X011"),IF($E93="انتقال داخلی",IF($I93="","X003","X011"),IF($D93="پرداخت",$F93,IF($E93="چک","X009",IF($I93="","X003","X011")))))))</f>
        <v/>
      </c>
      <c r="AE93" s="76">
        <f>IF($D93="","",IF($K93="",0,$K93))</f>
        <v/>
      </c>
      <c r="AF93" s="70">
        <f>IF($D93="","",IF($E93="پاس چک",IF($I93="","X003","X011"),IF($E93="برگشت چک","X010",IF($E93="انتقال داخلی",IF($N93="","X003","X011"),IF($D93="پرداخت",IF($E93="چک","X010",IF($I93="","X003","X011")),$F93)))))</f>
        <v/>
      </c>
      <c r="AG93" s="76">
        <f>IF($D93="","",IF($K93="",0,$K93))</f>
        <v/>
      </c>
    </row>
    <row r="94" ht="21.75" customHeight="1">
      <c r="A94" s="70">
        <f>IF($B94="","",COUNTA($B$10:$B94))</f>
        <v/>
      </c>
      <c r="B94" s="71" t="n"/>
      <c r="C94" s="71" t="n"/>
      <c r="D94" s="71" t="n"/>
      <c r="E94" s="71" t="n"/>
      <c r="F94" s="71" t="n"/>
      <c r="G94" s="73">
        <f>IF($F94="","",IFERROR(VLOOKUP($F94,AcctTbl,2,0),"کد ناشناخته"))</f>
        <v/>
      </c>
      <c r="H94" s="70">
        <f>IF($F94="","",IFERROR(VLOOKUP($F94,AcctTbl,3,0),""))</f>
        <v/>
      </c>
      <c r="I94" s="71" t="n"/>
      <c r="J94" s="71" t="n"/>
      <c r="K94" s="74" t="n"/>
      <c r="L94" s="71" t="n"/>
      <c r="M94" s="71" t="n"/>
      <c r="N94" s="71" t="n"/>
      <c r="O94" s="71" t="n"/>
      <c r="P94" s="72" t="n"/>
      <c r="Q94" s="72" t="n"/>
      <c r="R94" s="77">
        <f>IF($D94="","",IF($AA94="⚠","⚠ ناتراز",IF(AND($D94="پرداخت",$E94="چک",$L94=""),"⚠ وضعیت چک","✓")))</f>
        <v/>
      </c>
      <c r="S94" s="76">
        <f>IF(OR($D94="",$K94=""),"",IF(AND($D94="پرداخت",$E94&lt;&gt;"انتقال داخلی",$E94&lt;&gt;"پاس چک",$E94&lt;&gt;"برگشت چک"),$K94,0))</f>
        <v/>
      </c>
      <c r="T94" s="76">
        <f>IF(OR($D94="",$K94=""),"",IF(OR(AND($D94="دریافت",$E94&lt;&gt;"انتقال داخلی"),$E94="برگشت چک"),$K94,0))</f>
        <v/>
      </c>
      <c r="U94" s="76">
        <f>IF(OR($D94="",$K94=""),"",IF(OR(AND($D94="دریافت",$E94&lt;&gt;"چک"),$E94="انتقال داخلی"),$K94,0))</f>
        <v/>
      </c>
      <c r="V94" s="76">
        <f>IF(OR($D94="",$K94=""),"",IF(OR(AND($D94="پرداخت",$E94&lt;&gt;"چک",$E94&lt;&gt;"برگشت چک"),$E94="انتقال داخلی"),$K94,0))</f>
        <v/>
      </c>
      <c r="W94" s="76">
        <f>IF(OR($D94="",$K94=""),"",IF(OR($E94="پاس چک",$E94="برگشت چک",AND($D94="دریافت",$E94="چک")),$K94,0))</f>
        <v/>
      </c>
      <c r="X94" s="76">
        <f>IF(OR($D94="",$K94=""),"",IF(AND($D94="پرداخت",$E94="چک"),$K94,0))</f>
        <v/>
      </c>
      <c r="Y94" s="76">
        <f>SUM($S94,$U94,$W94)</f>
        <v/>
      </c>
      <c r="Z94" s="76">
        <f>SUM($T94,$V94,$X94)</f>
        <v/>
      </c>
      <c r="AA94" s="70">
        <f>IF($D94="","",IF(ROUND($Y94-$Z94,0)=0,"✓","⚠"))</f>
        <v/>
      </c>
      <c r="AB94" s="70">
        <f>IF($D94="","",IF($E94="نقد","X003",IF(OR($E94="چک",$E94="پاس چک",$E94="برگشت چک"),"X010",IF($I94="","X003","X011"))))</f>
        <v/>
      </c>
      <c r="AC94" s="70">
        <f>IF($D94="","",IF($E94="انتقال داخلی",IF($N94="","X003",IFERROR(VLOOKUP($N94,BankTbl,4,0),$N94)),IF($I94="","X003",IFERROR(VLOOKUP($I94,BankTbl,4,0),$I94))))</f>
        <v/>
      </c>
      <c r="AD94" s="70">
        <f>IF($D94="","",IF($E94="پاس چک","X010",IF($E94="برگشت چک",IF($I94="","X003","X011"),IF($E94="انتقال داخلی",IF($I94="","X003","X011"),IF($D94="پرداخت",$F94,IF($E94="چک","X009",IF($I94="","X003","X011")))))))</f>
        <v/>
      </c>
      <c r="AE94" s="76">
        <f>IF($D94="","",IF($K94="",0,$K94))</f>
        <v/>
      </c>
      <c r="AF94" s="70">
        <f>IF($D94="","",IF($E94="پاس چک",IF($I94="","X003","X011"),IF($E94="برگشت چک","X010",IF($E94="انتقال داخلی",IF($N94="","X003","X011"),IF($D94="پرداخت",IF($E94="چک","X010",IF($I94="","X003","X011")),$F94)))))</f>
        <v/>
      </c>
      <c r="AG94" s="76">
        <f>IF($D94="","",IF($K94="",0,$K94))</f>
        <v/>
      </c>
    </row>
    <row r="95" ht="21.75" customHeight="1">
      <c r="A95" s="70">
        <f>IF($B95="","",COUNTA($B$10:$B95))</f>
        <v/>
      </c>
      <c r="B95" s="71" t="n"/>
      <c r="C95" s="71" t="n"/>
      <c r="D95" s="71" t="n"/>
      <c r="E95" s="71" t="n"/>
      <c r="F95" s="71" t="n"/>
      <c r="G95" s="73">
        <f>IF($F95="","",IFERROR(VLOOKUP($F95,AcctTbl,2,0),"کد ناشناخته"))</f>
        <v/>
      </c>
      <c r="H95" s="70">
        <f>IF($F95="","",IFERROR(VLOOKUP($F95,AcctTbl,3,0),""))</f>
        <v/>
      </c>
      <c r="I95" s="71" t="n"/>
      <c r="J95" s="71" t="n"/>
      <c r="K95" s="74" t="n"/>
      <c r="L95" s="71" t="n"/>
      <c r="M95" s="71" t="n"/>
      <c r="N95" s="71" t="n"/>
      <c r="O95" s="71" t="n"/>
      <c r="P95" s="72" t="n"/>
      <c r="Q95" s="72" t="n"/>
      <c r="R95" s="77">
        <f>IF($D95="","",IF($AA95="⚠","⚠ ناتراز",IF(AND($D95="پرداخت",$E95="چک",$L95=""),"⚠ وضعیت چک","✓")))</f>
        <v/>
      </c>
      <c r="S95" s="76">
        <f>IF(OR($D95="",$K95=""),"",IF(AND($D95="پرداخت",$E95&lt;&gt;"انتقال داخلی",$E95&lt;&gt;"پاس چک",$E95&lt;&gt;"برگشت چک"),$K95,0))</f>
        <v/>
      </c>
      <c r="T95" s="76">
        <f>IF(OR($D95="",$K95=""),"",IF(OR(AND($D95="دریافت",$E95&lt;&gt;"انتقال داخلی"),$E95="برگشت چک"),$K95,0))</f>
        <v/>
      </c>
      <c r="U95" s="76">
        <f>IF(OR($D95="",$K95=""),"",IF(OR(AND($D95="دریافت",$E95&lt;&gt;"چک"),$E95="انتقال داخلی"),$K95,0))</f>
        <v/>
      </c>
      <c r="V95" s="76">
        <f>IF(OR($D95="",$K95=""),"",IF(OR(AND($D95="پرداخت",$E95&lt;&gt;"چک",$E95&lt;&gt;"برگشت چک"),$E95="انتقال داخلی"),$K95,0))</f>
        <v/>
      </c>
      <c r="W95" s="76">
        <f>IF(OR($D95="",$K95=""),"",IF(OR($E95="پاس چک",$E95="برگشت چک",AND($D95="دریافت",$E95="چک")),$K95,0))</f>
        <v/>
      </c>
      <c r="X95" s="76">
        <f>IF(OR($D95="",$K95=""),"",IF(AND($D95="پرداخت",$E95="چک"),$K95,0))</f>
        <v/>
      </c>
      <c r="Y95" s="76">
        <f>SUM($S95,$U95,$W95)</f>
        <v/>
      </c>
      <c r="Z95" s="76">
        <f>SUM($T95,$V95,$X95)</f>
        <v/>
      </c>
      <c r="AA95" s="70">
        <f>IF($D95="","",IF(ROUND($Y95-$Z95,0)=0,"✓","⚠"))</f>
        <v/>
      </c>
      <c r="AB95" s="70">
        <f>IF($D95="","",IF($E95="نقد","X003",IF(OR($E95="چک",$E95="پاس چک",$E95="برگشت چک"),"X010",IF($I95="","X003","X011"))))</f>
        <v/>
      </c>
      <c r="AC95" s="70">
        <f>IF($D95="","",IF($E95="انتقال داخلی",IF($N95="","X003",IFERROR(VLOOKUP($N95,BankTbl,4,0),$N95)),IF($I95="","X003",IFERROR(VLOOKUP($I95,BankTbl,4,0),$I95))))</f>
        <v/>
      </c>
      <c r="AD95" s="70">
        <f>IF($D95="","",IF($E95="پاس چک","X010",IF($E95="برگشت چک",IF($I95="","X003","X011"),IF($E95="انتقال داخلی",IF($I95="","X003","X011"),IF($D95="پرداخت",$F95,IF($E95="چک","X009",IF($I95="","X003","X011")))))))</f>
        <v/>
      </c>
      <c r="AE95" s="76">
        <f>IF($D95="","",IF($K95="",0,$K95))</f>
        <v/>
      </c>
      <c r="AF95" s="70">
        <f>IF($D95="","",IF($E95="پاس چک",IF($I95="","X003","X011"),IF($E95="برگشت چک","X010",IF($E95="انتقال داخلی",IF($N95="","X003","X011"),IF($D95="پرداخت",IF($E95="چک","X010",IF($I95="","X003","X011")),$F95)))))</f>
        <v/>
      </c>
      <c r="AG95" s="76">
        <f>IF($D95="","",IF($K95="",0,$K95))</f>
        <v/>
      </c>
    </row>
    <row r="96" ht="21.75" customHeight="1">
      <c r="A96" s="70">
        <f>IF($B96="","",COUNTA($B$10:$B96))</f>
        <v/>
      </c>
      <c r="B96" s="71" t="n"/>
      <c r="C96" s="71" t="n"/>
      <c r="D96" s="71" t="n"/>
      <c r="E96" s="71" t="n"/>
      <c r="F96" s="71" t="n"/>
      <c r="G96" s="73">
        <f>IF($F96="","",IFERROR(VLOOKUP($F96,AcctTbl,2,0),"کد ناشناخته"))</f>
        <v/>
      </c>
      <c r="H96" s="70">
        <f>IF($F96="","",IFERROR(VLOOKUP($F96,AcctTbl,3,0),""))</f>
        <v/>
      </c>
      <c r="I96" s="71" t="n"/>
      <c r="J96" s="71" t="n"/>
      <c r="K96" s="74" t="n"/>
      <c r="L96" s="71" t="n"/>
      <c r="M96" s="71" t="n"/>
      <c r="N96" s="71" t="n"/>
      <c r="O96" s="71" t="n"/>
      <c r="P96" s="72" t="n"/>
      <c r="Q96" s="72" t="n"/>
      <c r="R96" s="77">
        <f>IF($D96="","",IF($AA96="⚠","⚠ ناتراز",IF(AND($D96="پرداخت",$E96="چک",$L96=""),"⚠ وضعیت چک","✓")))</f>
        <v/>
      </c>
      <c r="S96" s="76">
        <f>IF(OR($D96="",$K96=""),"",IF(AND($D96="پرداخت",$E96&lt;&gt;"انتقال داخلی",$E96&lt;&gt;"پاس چک",$E96&lt;&gt;"برگشت چک"),$K96,0))</f>
        <v/>
      </c>
      <c r="T96" s="76">
        <f>IF(OR($D96="",$K96=""),"",IF(OR(AND($D96="دریافت",$E96&lt;&gt;"انتقال داخلی"),$E96="برگشت چک"),$K96,0))</f>
        <v/>
      </c>
      <c r="U96" s="76">
        <f>IF(OR($D96="",$K96=""),"",IF(OR(AND($D96="دریافت",$E96&lt;&gt;"چک"),$E96="انتقال داخلی"),$K96,0))</f>
        <v/>
      </c>
      <c r="V96" s="76">
        <f>IF(OR($D96="",$K96=""),"",IF(OR(AND($D96="پرداخت",$E96&lt;&gt;"چک",$E96&lt;&gt;"برگشت چک"),$E96="انتقال داخلی"),$K96,0))</f>
        <v/>
      </c>
      <c r="W96" s="76">
        <f>IF(OR($D96="",$K96=""),"",IF(OR($E96="پاس چک",$E96="برگشت چک",AND($D96="دریافت",$E96="چک")),$K96,0))</f>
        <v/>
      </c>
      <c r="X96" s="76">
        <f>IF(OR($D96="",$K96=""),"",IF(AND($D96="پرداخت",$E96="چک"),$K96,0))</f>
        <v/>
      </c>
      <c r="Y96" s="76">
        <f>SUM($S96,$U96,$W96)</f>
        <v/>
      </c>
      <c r="Z96" s="76">
        <f>SUM($T96,$V96,$X96)</f>
        <v/>
      </c>
      <c r="AA96" s="70">
        <f>IF($D96="","",IF(ROUND($Y96-$Z96,0)=0,"✓","⚠"))</f>
        <v/>
      </c>
      <c r="AB96" s="70">
        <f>IF($D96="","",IF($E96="نقد","X003",IF(OR($E96="چک",$E96="پاس چک",$E96="برگشت چک"),"X010",IF($I96="","X003","X011"))))</f>
        <v/>
      </c>
      <c r="AC96" s="70">
        <f>IF($D96="","",IF($E96="انتقال داخلی",IF($N96="","X003",IFERROR(VLOOKUP($N96,BankTbl,4,0),$N96)),IF($I96="","X003",IFERROR(VLOOKUP($I96,BankTbl,4,0),$I96))))</f>
        <v/>
      </c>
      <c r="AD96" s="70">
        <f>IF($D96="","",IF($E96="پاس چک","X010",IF($E96="برگشت چک",IF($I96="","X003","X011"),IF($E96="انتقال داخلی",IF($I96="","X003","X011"),IF($D96="پرداخت",$F96,IF($E96="چک","X009",IF($I96="","X003","X011")))))))</f>
        <v/>
      </c>
      <c r="AE96" s="76">
        <f>IF($D96="","",IF($K96="",0,$K96))</f>
        <v/>
      </c>
      <c r="AF96" s="70">
        <f>IF($D96="","",IF($E96="پاس چک",IF($I96="","X003","X011"),IF($E96="برگشت چک","X010",IF($E96="انتقال داخلی",IF($N96="","X003","X011"),IF($D96="پرداخت",IF($E96="چک","X010",IF($I96="","X003","X011")),$F96)))))</f>
        <v/>
      </c>
      <c r="AG96" s="76">
        <f>IF($D96="","",IF($K96="",0,$K96))</f>
        <v/>
      </c>
    </row>
    <row r="97" ht="21.75" customHeight="1">
      <c r="A97" s="70">
        <f>IF($B97="","",COUNTA($B$10:$B97))</f>
        <v/>
      </c>
      <c r="B97" s="71" t="n"/>
      <c r="C97" s="71" t="n"/>
      <c r="D97" s="71" t="n"/>
      <c r="E97" s="71" t="n"/>
      <c r="F97" s="71" t="n"/>
      <c r="G97" s="73">
        <f>IF($F97="","",IFERROR(VLOOKUP($F97,AcctTbl,2,0),"کد ناشناخته"))</f>
        <v/>
      </c>
      <c r="H97" s="70">
        <f>IF($F97="","",IFERROR(VLOOKUP($F97,AcctTbl,3,0),""))</f>
        <v/>
      </c>
      <c r="I97" s="71" t="n"/>
      <c r="J97" s="71" t="n"/>
      <c r="K97" s="74" t="n"/>
      <c r="L97" s="71" t="n"/>
      <c r="M97" s="71" t="n"/>
      <c r="N97" s="71" t="n"/>
      <c r="O97" s="71" t="n"/>
      <c r="P97" s="72" t="n"/>
      <c r="Q97" s="72" t="n"/>
      <c r="R97" s="77">
        <f>IF($D97="","",IF($AA97="⚠","⚠ ناتراز",IF(AND($D97="پرداخت",$E97="چک",$L97=""),"⚠ وضعیت چک","✓")))</f>
        <v/>
      </c>
      <c r="S97" s="76">
        <f>IF(OR($D97="",$K97=""),"",IF(AND($D97="پرداخت",$E97&lt;&gt;"انتقال داخلی",$E97&lt;&gt;"پاس چک",$E97&lt;&gt;"برگشت چک"),$K97,0))</f>
        <v/>
      </c>
      <c r="T97" s="76">
        <f>IF(OR($D97="",$K97=""),"",IF(OR(AND($D97="دریافت",$E97&lt;&gt;"انتقال داخلی"),$E97="برگشت چک"),$K97,0))</f>
        <v/>
      </c>
      <c r="U97" s="76">
        <f>IF(OR($D97="",$K97=""),"",IF(OR(AND($D97="دریافت",$E97&lt;&gt;"چک"),$E97="انتقال داخلی"),$K97,0))</f>
        <v/>
      </c>
      <c r="V97" s="76">
        <f>IF(OR($D97="",$K97=""),"",IF(OR(AND($D97="پرداخت",$E97&lt;&gt;"چک",$E97&lt;&gt;"برگشت چک"),$E97="انتقال داخلی"),$K97,0))</f>
        <v/>
      </c>
      <c r="W97" s="76">
        <f>IF(OR($D97="",$K97=""),"",IF(OR($E97="پاس چک",$E97="برگشت چک",AND($D97="دریافت",$E97="چک")),$K97,0))</f>
        <v/>
      </c>
      <c r="X97" s="76">
        <f>IF(OR($D97="",$K97=""),"",IF(AND($D97="پرداخت",$E97="چک"),$K97,0))</f>
        <v/>
      </c>
      <c r="Y97" s="76">
        <f>SUM($S97,$U97,$W97)</f>
        <v/>
      </c>
      <c r="Z97" s="76">
        <f>SUM($T97,$V97,$X97)</f>
        <v/>
      </c>
      <c r="AA97" s="70">
        <f>IF($D97="","",IF(ROUND($Y97-$Z97,0)=0,"✓","⚠"))</f>
        <v/>
      </c>
      <c r="AB97" s="70">
        <f>IF($D97="","",IF($E97="نقد","X003",IF(OR($E97="چک",$E97="پاس چک",$E97="برگشت چک"),"X010",IF($I97="","X003","X011"))))</f>
        <v/>
      </c>
      <c r="AC97" s="70">
        <f>IF($D97="","",IF($E97="انتقال داخلی",IF($N97="","X003",IFERROR(VLOOKUP($N97,BankTbl,4,0),$N97)),IF($I97="","X003",IFERROR(VLOOKUP($I97,BankTbl,4,0),$I97))))</f>
        <v/>
      </c>
      <c r="AD97" s="70">
        <f>IF($D97="","",IF($E97="پاس چک","X010",IF($E97="برگشت چک",IF($I97="","X003","X011"),IF($E97="انتقال داخلی",IF($I97="","X003","X011"),IF($D97="پرداخت",$F97,IF($E97="چک","X009",IF($I97="","X003","X011")))))))</f>
        <v/>
      </c>
      <c r="AE97" s="76">
        <f>IF($D97="","",IF($K97="",0,$K97))</f>
        <v/>
      </c>
      <c r="AF97" s="70">
        <f>IF($D97="","",IF($E97="پاس چک",IF($I97="","X003","X011"),IF($E97="برگشت چک","X010",IF($E97="انتقال داخلی",IF($N97="","X003","X011"),IF($D97="پرداخت",IF($E97="چک","X010",IF($I97="","X003","X011")),$F97)))))</f>
        <v/>
      </c>
      <c r="AG97" s="76">
        <f>IF($D97="","",IF($K97="",0,$K97))</f>
        <v/>
      </c>
    </row>
    <row r="98" ht="21.75" customHeight="1">
      <c r="A98" s="70">
        <f>IF($B98="","",COUNTA($B$10:$B98))</f>
        <v/>
      </c>
      <c r="B98" s="71" t="n"/>
      <c r="C98" s="71" t="n"/>
      <c r="D98" s="71" t="n"/>
      <c r="E98" s="71" t="n"/>
      <c r="F98" s="71" t="n"/>
      <c r="G98" s="73">
        <f>IF($F98="","",IFERROR(VLOOKUP($F98,AcctTbl,2,0),"کد ناشناخته"))</f>
        <v/>
      </c>
      <c r="H98" s="70">
        <f>IF($F98="","",IFERROR(VLOOKUP($F98,AcctTbl,3,0),""))</f>
        <v/>
      </c>
      <c r="I98" s="71" t="n"/>
      <c r="J98" s="71" t="n"/>
      <c r="K98" s="74" t="n"/>
      <c r="L98" s="71" t="n"/>
      <c r="M98" s="71" t="n"/>
      <c r="N98" s="71" t="n"/>
      <c r="O98" s="71" t="n"/>
      <c r="P98" s="72" t="n"/>
      <c r="Q98" s="72" t="n"/>
      <c r="R98" s="77">
        <f>IF($D98="","",IF($AA98="⚠","⚠ ناتراز",IF(AND($D98="پرداخت",$E98="چک",$L98=""),"⚠ وضعیت چک","✓")))</f>
        <v/>
      </c>
      <c r="S98" s="76">
        <f>IF(OR($D98="",$K98=""),"",IF(AND($D98="پرداخت",$E98&lt;&gt;"انتقال داخلی",$E98&lt;&gt;"پاس چک",$E98&lt;&gt;"برگشت چک"),$K98,0))</f>
        <v/>
      </c>
      <c r="T98" s="76">
        <f>IF(OR($D98="",$K98=""),"",IF(OR(AND($D98="دریافت",$E98&lt;&gt;"انتقال داخلی"),$E98="برگشت چک"),$K98,0))</f>
        <v/>
      </c>
      <c r="U98" s="76">
        <f>IF(OR($D98="",$K98=""),"",IF(OR(AND($D98="دریافت",$E98&lt;&gt;"چک"),$E98="انتقال داخلی"),$K98,0))</f>
        <v/>
      </c>
      <c r="V98" s="76">
        <f>IF(OR($D98="",$K98=""),"",IF(OR(AND($D98="پرداخت",$E98&lt;&gt;"چک",$E98&lt;&gt;"برگشت چک"),$E98="انتقال داخلی"),$K98,0))</f>
        <v/>
      </c>
      <c r="W98" s="76">
        <f>IF(OR($D98="",$K98=""),"",IF(OR($E98="پاس چک",$E98="برگشت چک",AND($D98="دریافت",$E98="چک")),$K98,0))</f>
        <v/>
      </c>
      <c r="X98" s="76">
        <f>IF(OR($D98="",$K98=""),"",IF(AND($D98="پرداخت",$E98="چک"),$K98,0))</f>
        <v/>
      </c>
      <c r="Y98" s="76">
        <f>SUM($S98,$U98,$W98)</f>
        <v/>
      </c>
      <c r="Z98" s="76">
        <f>SUM($T98,$V98,$X98)</f>
        <v/>
      </c>
      <c r="AA98" s="70">
        <f>IF($D98="","",IF(ROUND($Y98-$Z98,0)=0,"✓","⚠"))</f>
        <v/>
      </c>
      <c r="AB98" s="70">
        <f>IF($D98="","",IF($E98="نقد","X003",IF(OR($E98="چک",$E98="پاس چک",$E98="برگشت چک"),"X010",IF($I98="","X003","X011"))))</f>
        <v/>
      </c>
      <c r="AC98" s="70">
        <f>IF($D98="","",IF($E98="انتقال داخلی",IF($N98="","X003",IFERROR(VLOOKUP($N98,BankTbl,4,0),$N98)),IF($I98="","X003",IFERROR(VLOOKUP($I98,BankTbl,4,0),$I98))))</f>
        <v/>
      </c>
      <c r="AD98" s="70">
        <f>IF($D98="","",IF($E98="پاس چک","X010",IF($E98="برگشت چک",IF($I98="","X003","X011"),IF($E98="انتقال داخلی",IF($I98="","X003","X011"),IF($D98="پرداخت",$F98,IF($E98="چک","X009",IF($I98="","X003","X011")))))))</f>
        <v/>
      </c>
      <c r="AE98" s="76">
        <f>IF($D98="","",IF($K98="",0,$K98))</f>
        <v/>
      </c>
      <c r="AF98" s="70">
        <f>IF($D98="","",IF($E98="پاس چک",IF($I98="","X003","X011"),IF($E98="برگشت چک","X010",IF($E98="انتقال داخلی",IF($N98="","X003","X011"),IF($D98="پرداخت",IF($E98="چک","X010",IF($I98="","X003","X011")),$F98)))))</f>
        <v/>
      </c>
      <c r="AG98" s="76">
        <f>IF($D98="","",IF($K98="",0,$K98))</f>
        <v/>
      </c>
    </row>
    <row r="99" ht="21.75" customHeight="1">
      <c r="A99" s="70">
        <f>IF($B99="","",COUNTA($B$10:$B99))</f>
        <v/>
      </c>
      <c r="B99" s="71" t="n"/>
      <c r="C99" s="71" t="n"/>
      <c r="D99" s="71" t="n"/>
      <c r="E99" s="71" t="n"/>
      <c r="F99" s="71" t="n"/>
      <c r="G99" s="73">
        <f>IF($F99="","",IFERROR(VLOOKUP($F99,AcctTbl,2,0),"کد ناشناخته"))</f>
        <v/>
      </c>
      <c r="H99" s="70">
        <f>IF($F99="","",IFERROR(VLOOKUP($F99,AcctTbl,3,0),""))</f>
        <v/>
      </c>
      <c r="I99" s="71" t="n"/>
      <c r="J99" s="71" t="n"/>
      <c r="K99" s="74" t="n"/>
      <c r="L99" s="71" t="n"/>
      <c r="M99" s="71" t="n"/>
      <c r="N99" s="71" t="n"/>
      <c r="O99" s="71" t="n"/>
      <c r="P99" s="72" t="n"/>
      <c r="Q99" s="72" t="n"/>
      <c r="R99" s="77">
        <f>IF($D99="","",IF($AA99="⚠","⚠ ناتراز",IF(AND($D99="پرداخت",$E99="چک",$L99=""),"⚠ وضعیت چک","✓")))</f>
        <v/>
      </c>
      <c r="S99" s="76">
        <f>IF(OR($D99="",$K99=""),"",IF(AND($D99="پرداخت",$E99&lt;&gt;"انتقال داخلی",$E99&lt;&gt;"پاس چک",$E99&lt;&gt;"برگشت چک"),$K99,0))</f>
        <v/>
      </c>
      <c r="T99" s="76">
        <f>IF(OR($D99="",$K99=""),"",IF(OR(AND($D99="دریافت",$E99&lt;&gt;"انتقال داخلی"),$E99="برگشت چک"),$K99,0))</f>
        <v/>
      </c>
      <c r="U99" s="76">
        <f>IF(OR($D99="",$K99=""),"",IF(OR(AND($D99="دریافت",$E99&lt;&gt;"چک"),$E99="انتقال داخلی"),$K99,0))</f>
        <v/>
      </c>
      <c r="V99" s="76">
        <f>IF(OR($D99="",$K99=""),"",IF(OR(AND($D99="پرداخت",$E99&lt;&gt;"چک",$E99&lt;&gt;"برگشت چک"),$E99="انتقال داخلی"),$K99,0))</f>
        <v/>
      </c>
      <c r="W99" s="76">
        <f>IF(OR($D99="",$K99=""),"",IF(OR($E99="پاس چک",$E99="برگشت چک",AND($D99="دریافت",$E99="چک")),$K99,0))</f>
        <v/>
      </c>
      <c r="X99" s="76">
        <f>IF(OR($D99="",$K99=""),"",IF(AND($D99="پرداخت",$E99="چک"),$K99,0))</f>
        <v/>
      </c>
      <c r="Y99" s="76">
        <f>SUM($S99,$U99,$W99)</f>
        <v/>
      </c>
      <c r="Z99" s="76">
        <f>SUM($T99,$V99,$X99)</f>
        <v/>
      </c>
      <c r="AA99" s="70">
        <f>IF($D99="","",IF(ROUND($Y99-$Z99,0)=0,"✓","⚠"))</f>
        <v/>
      </c>
      <c r="AB99" s="70">
        <f>IF($D99="","",IF($E99="نقد","X003",IF(OR($E99="چک",$E99="پاس چک",$E99="برگشت چک"),"X010",IF($I99="","X003","X011"))))</f>
        <v/>
      </c>
      <c r="AC99" s="70">
        <f>IF($D99="","",IF($E99="انتقال داخلی",IF($N99="","X003",IFERROR(VLOOKUP($N99,BankTbl,4,0),$N99)),IF($I99="","X003",IFERROR(VLOOKUP($I99,BankTbl,4,0),$I99))))</f>
        <v/>
      </c>
      <c r="AD99" s="70">
        <f>IF($D99="","",IF($E99="پاس چک","X010",IF($E99="برگشت چک",IF($I99="","X003","X011"),IF($E99="انتقال داخلی",IF($I99="","X003","X011"),IF($D99="پرداخت",$F99,IF($E99="چک","X009",IF($I99="","X003","X011")))))))</f>
        <v/>
      </c>
      <c r="AE99" s="76">
        <f>IF($D99="","",IF($K99="",0,$K99))</f>
        <v/>
      </c>
      <c r="AF99" s="70">
        <f>IF($D99="","",IF($E99="پاس چک",IF($I99="","X003","X011"),IF($E99="برگشت چک","X010",IF($E99="انتقال داخلی",IF($N99="","X003","X011"),IF($D99="پرداخت",IF($E99="چک","X010",IF($I99="","X003","X011")),$F99)))))</f>
        <v/>
      </c>
      <c r="AG99" s="76">
        <f>IF($D99="","",IF($K99="",0,$K99))</f>
        <v/>
      </c>
    </row>
    <row r="100" ht="21.75" customHeight="1">
      <c r="A100" s="70">
        <f>IF($B100="","",COUNTA($B$10:$B100))</f>
        <v/>
      </c>
      <c r="B100" s="71" t="n"/>
      <c r="C100" s="71" t="n"/>
      <c r="D100" s="71" t="n"/>
      <c r="E100" s="71" t="n"/>
      <c r="F100" s="71" t="n"/>
      <c r="G100" s="73">
        <f>IF($F100="","",IFERROR(VLOOKUP($F100,AcctTbl,2,0),"کد ناشناخته"))</f>
        <v/>
      </c>
      <c r="H100" s="70">
        <f>IF($F100="","",IFERROR(VLOOKUP($F100,AcctTbl,3,0),""))</f>
        <v/>
      </c>
      <c r="I100" s="71" t="n"/>
      <c r="J100" s="71" t="n"/>
      <c r="K100" s="74" t="n"/>
      <c r="L100" s="71" t="n"/>
      <c r="M100" s="71" t="n"/>
      <c r="N100" s="71" t="n"/>
      <c r="O100" s="71" t="n"/>
      <c r="P100" s="72" t="n"/>
      <c r="Q100" s="72" t="n"/>
      <c r="R100" s="77">
        <f>IF($D100="","",IF($AA100="⚠","⚠ ناتراز",IF(AND($D100="پرداخت",$E100="چک",$L100=""),"⚠ وضعیت چک","✓")))</f>
        <v/>
      </c>
      <c r="S100" s="76">
        <f>IF(OR($D100="",$K100=""),"",IF(AND($D100="پرداخت",$E100&lt;&gt;"انتقال داخلی",$E100&lt;&gt;"پاس چک",$E100&lt;&gt;"برگشت چک"),$K100,0))</f>
        <v/>
      </c>
      <c r="T100" s="76">
        <f>IF(OR($D100="",$K100=""),"",IF(OR(AND($D100="دریافت",$E100&lt;&gt;"انتقال داخلی"),$E100="برگشت چک"),$K100,0))</f>
        <v/>
      </c>
      <c r="U100" s="76">
        <f>IF(OR($D100="",$K100=""),"",IF(OR(AND($D100="دریافت",$E100&lt;&gt;"چک"),$E100="انتقال داخلی"),$K100,0))</f>
        <v/>
      </c>
      <c r="V100" s="76">
        <f>IF(OR($D100="",$K100=""),"",IF(OR(AND($D100="پرداخت",$E100&lt;&gt;"چک",$E100&lt;&gt;"برگشت چک"),$E100="انتقال داخلی"),$K100,0))</f>
        <v/>
      </c>
      <c r="W100" s="76">
        <f>IF(OR($D100="",$K100=""),"",IF(OR($E100="پاس چک",$E100="برگشت چک",AND($D100="دریافت",$E100="چک")),$K100,0))</f>
        <v/>
      </c>
      <c r="X100" s="76">
        <f>IF(OR($D100="",$K100=""),"",IF(AND($D100="پرداخت",$E100="چک"),$K100,0))</f>
        <v/>
      </c>
      <c r="Y100" s="76">
        <f>SUM($S100,$U100,$W100)</f>
        <v/>
      </c>
      <c r="Z100" s="76">
        <f>SUM($T100,$V100,$X100)</f>
        <v/>
      </c>
      <c r="AA100" s="70">
        <f>IF($D100="","",IF(ROUND($Y100-$Z100,0)=0,"✓","⚠"))</f>
        <v/>
      </c>
      <c r="AB100" s="70">
        <f>IF($D100="","",IF($E100="نقد","X003",IF(OR($E100="چک",$E100="پاس چک",$E100="برگشت چک"),"X010",IF($I100="","X003","X011"))))</f>
        <v/>
      </c>
      <c r="AC100" s="70">
        <f>IF($D100="","",IF($E100="انتقال داخلی",IF($N100="","X003",IFERROR(VLOOKUP($N100,BankTbl,4,0),$N100)),IF($I100="","X003",IFERROR(VLOOKUP($I100,BankTbl,4,0),$I100))))</f>
        <v/>
      </c>
      <c r="AD100" s="70">
        <f>IF($D100="","",IF($E100="پاس چک","X010",IF($E100="برگشت چک",IF($I100="","X003","X011"),IF($E100="انتقال داخلی",IF($I100="","X003","X011"),IF($D100="پرداخت",$F100,IF($E100="چک","X009",IF($I100="","X003","X011")))))))</f>
        <v/>
      </c>
      <c r="AE100" s="76">
        <f>IF($D100="","",IF($K100="",0,$K100))</f>
        <v/>
      </c>
      <c r="AF100" s="70">
        <f>IF($D100="","",IF($E100="پاس چک",IF($I100="","X003","X011"),IF($E100="برگشت چک","X010",IF($E100="انتقال داخلی",IF($N100="","X003","X011"),IF($D100="پرداخت",IF($E100="چک","X010",IF($I100="","X003","X011")),$F100)))))</f>
        <v/>
      </c>
      <c r="AG100" s="76">
        <f>IF($D100="","",IF($K100="",0,$K100))</f>
        <v/>
      </c>
    </row>
    <row r="101" ht="21.75" customHeight="1">
      <c r="A101" s="70">
        <f>IF($B101="","",COUNTA($B$10:$B101))</f>
        <v/>
      </c>
      <c r="B101" s="71" t="n"/>
      <c r="C101" s="71" t="n"/>
      <c r="D101" s="71" t="n"/>
      <c r="E101" s="71" t="n"/>
      <c r="F101" s="71" t="n"/>
      <c r="G101" s="73">
        <f>IF($F101="","",IFERROR(VLOOKUP($F101,AcctTbl,2,0),"کد ناشناخته"))</f>
        <v/>
      </c>
      <c r="H101" s="70">
        <f>IF($F101="","",IFERROR(VLOOKUP($F101,AcctTbl,3,0),""))</f>
        <v/>
      </c>
      <c r="I101" s="71" t="n"/>
      <c r="J101" s="71" t="n"/>
      <c r="K101" s="74" t="n"/>
      <c r="L101" s="71" t="n"/>
      <c r="M101" s="71" t="n"/>
      <c r="N101" s="71" t="n"/>
      <c r="O101" s="71" t="n"/>
      <c r="P101" s="72" t="n"/>
      <c r="Q101" s="72" t="n"/>
      <c r="R101" s="77">
        <f>IF($D101="","",IF($AA101="⚠","⚠ ناتراز",IF(AND($D101="پرداخت",$E101="چک",$L101=""),"⚠ وضعیت چک","✓")))</f>
        <v/>
      </c>
      <c r="S101" s="76">
        <f>IF(OR($D101="",$K101=""),"",IF(AND($D101="پرداخت",$E101&lt;&gt;"انتقال داخلی",$E101&lt;&gt;"پاس چک",$E101&lt;&gt;"برگشت چک"),$K101,0))</f>
        <v/>
      </c>
      <c r="T101" s="76">
        <f>IF(OR($D101="",$K101=""),"",IF(OR(AND($D101="دریافت",$E101&lt;&gt;"انتقال داخلی"),$E101="برگشت چک"),$K101,0))</f>
        <v/>
      </c>
      <c r="U101" s="76">
        <f>IF(OR($D101="",$K101=""),"",IF(OR(AND($D101="دریافت",$E101&lt;&gt;"چک"),$E101="انتقال داخلی"),$K101,0))</f>
        <v/>
      </c>
      <c r="V101" s="76">
        <f>IF(OR($D101="",$K101=""),"",IF(OR(AND($D101="پرداخت",$E101&lt;&gt;"چک",$E101&lt;&gt;"برگشت چک"),$E101="انتقال داخلی"),$K101,0))</f>
        <v/>
      </c>
      <c r="W101" s="76">
        <f>IF(OR($D101="",$K101=""),"",IF(OR($E101="پاس چک",$E101="برگشت چک",AND($D101="دریافت",$E101="چک")),$K101,0))</f>
        <v/>
      </c>
      <c r="X101" s="76">
        <f>IF(OR($D101="",$K101=""),"",IF(AND($D101="پرداخت",$E101="چک"),$K101,0))</f>
        <v/>
      </c>
      <c r="Y101" s="76">
        <f>SUM($S101,$U101,$W101)</f>
        <v/>
      </c>
      <c r="Z101" s="76">
        <f>SUM($T101,$V101,$X101)</f>
        <v/>
      </c>
      <c r="AA101" s="70">
        <f>IF($D101="","",IF(ROUND($Y101-$Z101,0)=0,"✓","⚠"))</f>
        <v/>
      </c>
      <c r="AB101" s="70">
        <f>IF($D101="","",IF($E101="نقد","X003",IF(OR($E101="چک",$E101="پاس چک",$E101="برگشت چک"),"X010",IF($I101="","X003","X011"))))</f>
        <v/>
      </c>
      <c r="AC101" s="70">
        <f>IF($D101="","",IF($E101="انتقال داخلی",IF($N101="","X003",IFERROR(VLOOKUP($N101,BankTbl,4,0),$N101)),IF($I101="","X003",IFERROR(VLOOKUP($I101,BankTbl,4,0),$I101))))</f>
        <v/>
      </c>
      <c r="AD101" s="70">
        <f>IF($D101="","",IF($E101="پاس چک","X010",IF($E101="برگشت چک",IF($I101="","X003","X011"),IF($E101="انتقال داخلی",IF($I101="","X003","X011"),IF($D101="پرداخت",$F101,IF($E101="چک","X009",IF($I101="","X003","X011")))))))</f>
        <v/>
      </c>
      <c r="AE101" s="76">
        <f>IF($D101="","",IF($K101="",0,$K101))</f>
        <v/>
      </c>
      <c r="AF101" s="70">
        <f>IF($D101="","",IF($E101="پاس چک",IF($I101="","X003","X011"),IF($E101="برگشت چک","X010",IF($E101="انتقال داخلی",IF($N101="","X003","X011"),IF($D101="پرداخت",IF($E101="چک","X010",IF($I101="","X003","X011")),$F101)))))</f>
        <v/>
      </c>
      <c r="AG101" s="76">
        <f>IF($D101="","",IF($K101="",0,$K101))</f>
        <v/>
      </c>
    </row>
    <row r="102" ht="21.75" customHeight="1">
      <c r="A102" s="70">
        <f>IF($B102="","",COUNTA($B$10:$B102))</f>
        <v/>
      </c>
      <c r="B102" s="71" t="n"/>
      <c r="C102" s="71" t="n"/>
      <c r="D102" s="71" t="n"/>
      <c r="E102" s="71" t="n"/>
      <c r="F102" s="71" t="n"/>
      <c r="G102" s="73">
        <f>IF($F102="","",IFERROR(VLOOKUP($F102,AcctTbl,2,0),"کد ناشناخته"))</f>
        <v/>
      </c>
      <c r="H102" s="70">
        <f>IF($F102="","",IFERROR(VLOOKUP($F102,AcctTbl,3,0),""))</f>
        <v/>
      </c>
      <c r="I102" s="71" t="n"/>
      <c r="J102" s="71" t="n"/>
      <c r="K102" s="74" t="n"/>
      <c r="L102" s="71" t="n"/>
      <c r="M102" s="71" t="n"/>
      <c r="N102" s="71" t="n"/>
      <c r="O102" s="71" t="n"/>
      <c r="P102" s="72" t="n"/>
      <c r="Q102" s="72" t="n"/>
      <c r="R102" s="77">
        <f>IF($D102="","",IF($AA102="⚠","⚠ ناتراز",IF(AND($D102="پرداخت",$E102="چک",$L102=""),"⚠ وضعیت چک","✓")))</f>
        <v/>
      </c>
      <c r="S102" s="76">
        <f>IF(OR($D102="",$K102=""),"",IF(AND($D102="پرداخت",$E102&lt;&gt;"انتقال داخلی",$E102&lt;&gt;"پاس چک",$E102&lt;&gt;"برگشت چک"),$K102,0))</f>
        <v/>
      </c>
      <c r="T102" s="76">
        <f>IF(OR($D102="",$K102=""),"",IF(OR(AND($D102="دریافت",$E102&lt;&gt;"انتقال داخلی"),$E102="برگشت چک"),$K102,0))</f>
        <v/>
      </c>
      <c r="U102" s="76">
        <f>IF(OR($D102="",$K102=""),"",IF(OR(AND($D102="دریافت",$E102&lt;&gt;"چک"),$E102="انتقال داخلی"),$K102,0))</f>
        <v/>
      </c>
      <c r="V102" s="76">
        <f>IF(OR($D102="",$K102=""),"",IF(OR(AND($D102="پرداخت",$E102&lt;&gt;"چک",$E102&lt;&gt;"برگشت چک"),$E102="انتقال داخلی"),$K102,0))</f>
        <v/>
      </c>
      <c r="W102" s="76">
        <f>IF(OR($D102="",$K102=""),"",IF(OR($E102="پاس چک",$E102="برگشت چک",AND($D102="دریافت",$E102="چک")),$K102,0))</f>
        <v/>
      </c>
      <c r="X102" s="76">
        <f>IF(OR($D102="",$K102=""),"",IF(AND($D102="پرداخت",$E102="چک"),$K102,0))</f>
        <v/>
      </c>
      <c r="Y102" s="76">
        <f>SUM($S102,$U102,$W102)</f>
        <v/>
      </c>
      <c r="Z102" s="76">
        <f>SUM($T102,$V102,$X102)</f>
        <v/>
      </c>
      <c r="AA102" s="70">
        <f>IF($D102="","",IF(ROUND($Y102-$Z102,0)=0,"✓","⚠"))</f>
        <v/>
      </c>
      <c r="AB102" s="70">
        <f>IF($D102="","",IF($E102="نقد","X003",IF(OR($E102="چک",$E102="پاس چک",$E102="برگشت چک"),"X010",IF($I102="","X003","X011"))))</f>
        <v/>
      </c>
      <c r="AC102" s="70">
        <f>IF($D102="","",IF($E102="انتقال داخلی",IF($N102="","X003",IFERROR(VLOOKUP($N102,BankTbl,4,0),$N102)),IF($I102="","X003",IFERROR(VLOOKUP($I102,BankTbl,4,0),$I102))))</f>
        <v/>
      </c>
      <c r="AD102" s="70">
        <f>IF($D102="","",IF($E102="پاس چک","X010",IF($E102="برگشت چک",IF($I102="","X003","X011"),IF($E102="انتقال داخلی",IF($I102="","X003","X011"),IF($D102="پرداخت",$F102,IF($E102="چک","X009",IF($I102="","X003","X011")))))))</f>
        <v/>
      </c>
      <c r="AE102" s="76">
        <f>IF($D102="","",IF($K102="",0,$K102))</f>
        <v/>
      </c>
      <c r="AF102" s="70">
        <f>IF($D102="","",IF($E102="پاس چک",IF($I102="","X003","X011"),IF($E102="برگشت چک","X010",IF($E102="انتقال داخلی",IF($N102="","X003","X011"),IF($D102="پرداخت",IF($E102="چک","X010",IF($I102="","X003","X011")),$F102)))))</f>
        <v/>
      </c>
      <c r="AG102" s="76">
        <f>IF($D102="","",IF($K102="",0,$K102))</f>
        <v/>
      </c>
    </row>
    <row r="103" ht="21.75" customHeight="1">
      <c r="A103" s="70">
        <f>IF($B103="","",COUNTA($B$10:$B103))</f>
        <v/>
      </c>
      <c r="B103" s="71" t="n"/>
      <c r="C103" s="71" t="n"/>
      <c r="D103" s="71" t="n"/>
      <c r="E103" s="71" t="n"/>
      <c r="F103" s="71" t="n"/>
      <c r="G103" s="73">
        <f>IF($F103="","",IFERROR(VLOOKUP($F103,AcctTbl,2,0),"کد ناشناخته"))</f>
        <v/>
      </c>
      <c r="H103" s="70">
        <f>IF($F103="","",IFERROR(VLOOKUP($F103,AcctTbl,3,0),""))</f>
        <v/>
      </c>
      <c r="I103" s="71" t="n"/>
      <c r="J103" s="71" t="n"/>
      <c r="K103" s="74" t="n"/>
      <c r="L103" s="71" t="n"/>
      <c r="M103" s="71" t="n"/>
      <c r="N103" s="71" t="n"/>
      <c r="O103" s="71" t="n"/>
      <c r="P103" s="72" t="n"/>
      <c r="Q103" s="72" t="n"/>
      <c r="R103" s="77">
        <f>IF($D103="","",IF($AA103="⚠","⚠ ناتراز",IF(AND($D103="پرداخت",$E103="چک",$L103=""),"⚠ وضعیت چک","✓")))</f>
        <v/>
      </c>
      <c r="S103" s="76">
        <f>IF(OR($D103="",$K103=""),"",IF(AND($D103="پرداخت",$E103&lt;&gt;"انتقال داخلی",$E103&lt;&gt;"پاس چک",$E103&lt;&gt;"برگشت چک"),$K103,0))</f>
        <v/>
      </c>
      <c r="T103" s="76">
        <f>IF(OR($D103="",$K103=""),"",IF(OR(AND($D103="دریافت",$E103&lt;&gt;"انتقال داخلی"),$E103="برگشت چک"),$K103,0))</f>
        <v/>
      </c>
      <c r="U103" s="76">
        <f>IF(OR($D103="",$K103=""),"",IF(OR(AND($D103="دریافت",$E103&lt;&gt;"چک"),$E103="انتقال داخلی"),$K103,0))</f>
        <v/>
      </c>
      <c r="V103" s="76">
        <f>IF(OR($D103="",$K103=""),"",IF(OR(AND($D103="پرداخت",$E103&lt;&gt;"چک",$E103&lt;&gt;"برگشت چک"),$E103="انتقال داخلی"),$K103,0))</f>
        <v/>
      </c>
      <c r="W103" s="76">
        <f>IF(OR($D103="",$K103=""),"",IF(OR($E103="پاس چک",$E103="برگشت چک",AND($D103="دریافت",$E103="چک")),$K103,0))</f>
        <v/>
      </c>
      <c r="X103" s="76">
        <f>IF(OR($D103="",$K103=""),"",IF(AND($D103="پرداخت",$E103="چک"),$K103,0))</f>
        <v/>
      </c>
      <c r="Y103" s="76">
        <f>SUM($S103,$U103,$W103)</f>
        <v/>
      </c>
      <c r="Z103" s="76">
        <f>SUM($T103,$V103,$X103)</f>
        <v/>
      </c>
      <c r="AA103" s="70">
        <f>IF($D103="","",IF(ROUND($Y103-$Z103,0)=0,"✓","⚠"))</f>
        <v/>
      </c>
      <c r="AB103" s="70">
        <f>IF($D103="","",IF($E103="نقد","X003",IF(OR($E103="چک",$E103="پاس چک",$E103="برگشت چک"),"X010",IF($I103="","X003","X011"))))</f>
        <v/>
      </c>
      <c r="AC103" s="70">
        <f>IF($D103="","",IF($E103="انتقال داخلی",IF($N103="","X003",IFERROR(VLOOKUP($N103,BankTbl,4,0),$N103)),IF($I103="","X003",IFERROR(VLOOKUP($I103,BankTbl,4,0),$I103))))</f>
        <v/>
      </c>
      <c r="AD103" s="70">
        <f>IF($D103="","",IF($E103="پاس چک","X010",IF($E103="برگشت چک",IF($I103="","X003","X011"),IF($E103="انتقال داخلی",IF($I103="","X003","X011"),IF($D103="پرداخت",$F103,IF($E103="چک","X009",IF($I103="","X003","X011")))))))</f>
        <v/>
      </c>
      <c r="AE103" s="76">
        <f>IF($D103="","",IF($K103="",0,$K103))</f>
        <v/>
      </c>
      <c r="AF103" s="70">
        <f>IF($D103="","",IF($E103="پاس چک",IF($I103="","X003","X011"),IF($E103="برگشت چک","X010",IF($E103="انتقال داخلی",IF($N103="","X003","X011"),IF($D103="پرداخت",IF($E103="چک","X010",IF($I103="","X003","X011")),$F103)))))</f>
        <v/>
      </c>
      <c r="AG103" s="76">
        <f>IF($D103="","",IF($K103="",0,$K103))</f>
        <v/>
      </c>
    </row>
    <row r="104" ht="21.75" customHeight="1">
      <c r="A104" s="70">
        <f>IF($B104="","",COUNTA($B$10:$B104))</f>
        <v/>
      </c>
      <c r="B104" s="71" t="n"/>
      <c r="C104" s="71" t="n"/>
      <c r="D104" s="71" t="n"/>
      <c r="E104" s="71" t="n"/>
      <c r="F104" s="71" t="n"/>
      <c r="G104" s="73">
        <f>IF($F104="","",IFERROR(VLOOKUP($F104,AcctTbl,2,0),"کد ناشناخته"))</f>
        <v/>
      </c>
      <c r="H104" s="70">
        <f>IF($F104="","",IFERROR(VLOOKUP($F104,AcctTbl,3,0),""))</f>
        <v/>
      </c>
      <c r="I104" s="71" t="n"/>
      <c r="J104" s="71" t="n"/>
      <c r="K104" s="74" t="n"/>
      <c r="L104" s="71" t="n"/>
      <c r="M104" s="71" t="n"/>
      <c r="N104" s="71" t="n"/>
      <c r="O104" s="71" t="n"/>
      <c r="P104" s="72" t="n"/>
      <c r="Q104" s="72" t="n"/>
      <c r="R104" s="77">
        <f>IF($D104="","",IF($AA104="⚠","⚠ ناتراز",IF(AND($D104="پرداخت",$E104="چک",$L104=""),"⚠ وضعیت چک","✓")))</f>
        <v/>
      </c>
      <c r="S104" s="76">
        <f>IF(OR($D104="",$K104=""),"",IF(AND($D104="پرداخت",$E104&lt;&gt;"انتقال داخلی",$E104&lt;&gt;"پاس چک",$E104&lt;&gt;"برگشت چک"),$K104,0))</f>
        <v/>
      </c>
      <c r="T104" s="76">
        <f>IF(OR($D104="",$K104=""),"",IF(OR(AND($D104="دریافت",$E104&lt;&gt;"انتقال داخلی"),$E104="برگشت چک"),$K104,0))</f>
        <v/>
      </c>
      <c r="U104" s="76">
        <f>IF(OR($D104="",$K104=""),"",IF(OR(AND($D104="دریافت",$E104&lt;&gt;"چک"),$E104="انتقال داخلی"),$K104,0))</f>
        <v/>
      </c>
      <c r="V104" s="76">
        <f>IF(OR($D104="",$K104=""),"",IF(OR(AND($D104="پرداخت",$E104&lt;&gt;"چک",$E104&lt;&gt;"برگشت چک"),$E104="انتقال داخلی"),$K104,0))</f>
        <v/>
      </c>
      <c r="W104" s="76">
        <f>IF(OR($D104="",$K104=""),"",IF(OR($E104="پاس چک",$E104="برگشت چک",AND($D104="دریافت",$E104="چک")),$K104,0))</f>
        <v/>
      </c>
      <c r="X104" s="76">
        <f>IF(OR($D104="",$K104=""),"",IF(AND($D104="پرداخت",$E104="چک"),$K104,0))</f>
        <v/>
      </c>
      <c r="Y104" s="76">
        <f>SUM($S104,$U104,$W104)</f>
        <v/>
      </c>
      <c r="Z104" s="76">
        <f>SUM($T104,$V104,$X104)</f>
        <v/>
      </c>
      <c r="AA104" s="70">
        <f>IF($D104="","",IF(ROUND($Y104-$Z104,0)=0,"✓","⚠"))</f>
        <v/>
      </c>
      <c r="AB104" s="70">
        <f>IF($D104="","",IF($E104="نقد","X003",IF(OR($E104="چک",$E104="پاس چک",$E104="برگشت چک"),"X010",IF($I104="","X003","X011"))))</f>
        <v/>
      </c>
      <c r="AC104" s="70">
        <f>IF($D104="","",IF($E104="انتقال داخلی",IF($N104="","X003",IFERROR(VLOOKUP($N104,BankTbl,4,0),$N104)),IF($I104="","X003",IFERROR(VLOOKUP($I104,BankTbl,4,0),$I104))))</f>
        <v/>
      </c>
      <c r="AD104" s="70">
        <f>IF($D104="","",IF($E104="پاس چک","X010",IF($E104="برگشت چک",IF($I104="","X003","X011"),IF($E104="انتقال داخلی",IF($I104="","X003","X011"),IF($D104="پرداخت",$F104,IF($E104="چک","X009",IF($I104="","X003","X011")))))))</f>
        <v/>
      </c>
      <c r="AE104" s="76">
        <f>IF($D104="","",IF($K104="",0,$K104))</f>
        <v/>
      </c>
      <c r="AF104" s="70">
        <f>IF($D104="","",IF($E104="پاس چک",IF($I104="","X003","X011"),IF($E104="برگشت چک","X010",IF($E104="انتقال داخلی",IF($N104="","X003","X011"),IF($D104="پرداخت",IF($E104="چک","X010",IF($I104="","X003","X011")),$F104)))))</f>
        <v/>
      </c>
      <c r="AG104" s="76">
        <f>IF($D104="","",IF($K104="",0,$K104))</f>
        <v/>
      </c>
    </row>
    <row r="105" ht="21.75" customHeight="1">
      <c r="A105" s="70">
        <f>IF($B105="","",COUNTA($B$10:$B105))</f>
        <v/>
      </c>
      <c r="B105" s="71" t="n"/>
      <c r="C105" s="71" t="n"/>
      <c r="D105" s="71" t="n"/>
      <c r="E105" s="71" t="n"/>
      <c r="F105" s="71" t="n"/>
      <c r="G105" s="73">
        <f>IF($F105="","",IFERROR(VLOOKUP($F105,AcctTbl,2,0),"کد ناشناخته"))</f>
        <v/>
      </c>
      <c r="H105" s="70">
        <f>IF($F105="","",IFERROR(VLOOKUP($F105,AcctTbl,3,0),""))</f>
        <v/>
      </c>
      <c r="I105" s="71" t="n"/>
      <c r="J105" s="71" t="n"/>
      <c r="K105" s="74" t="n"/>
      <c r="L105" s="71" t="n"/>
      <c r="M105" s="71" t="n"/>
      <c r="N105" s="71" t="n"/>
      <c r="O105" s="71" t="n"/>
      <c r="P105" s="72" t="n"/>
      <c r="Q105" s="72" t="n"/>
      <c r="R105" s="77">
        <f>IF($D105="","",IF($AA105="⚠","⚠ ناتراز",IF(AND($D105="پرداخت",$E105="چک",$L105=""),"⚠ وضعیت چک","✓")))</f>
        <v/>
      </c>
      <c r="S105" s="76">
        <f>IF(OR($D105="",$K105=""),"",IF(AND($D105="پرداخت",$E105&lt;&gt;"انتقال داخلی",$E105&lt;&gt;"پاس چک",$E105&lt;&gt;"برگشت چک"),$K105,0))</f>
        <v/>
      </c>
      <c r="T105" s="76">
        <f>IF(OR($D105="",$K105=""),"",IF(OR(AND($D105="دریافت",$E105&lt;&gt;"انتقال داخلی"),$E105="برگشت چک"),$K105,0))</f>
        <v/>
      </c>
      <c r="U105" s="76">
        <f>IF(OR($D105="",$K105=""),"",IF(OR(AND($D105="دریافت",$E105&lt;&gt;"چک"),$E105="انتقال داخلی"),$K105,0))</f>
        <v/>
      </c>
      <c r="V105" s="76">
        <f>IF(OR($D105="",$K105=""),"",IF(OR(AND($D105="پرداخت",$E105&lt;&gt;"چک",$E105&lt;&gt;"برگشت چک"),$E105="انتقال داخلی"),$K105,0))</f>
        <v/>
      </c>
      <c r="W105" s="76">
        <f>IF(OR($D105="",$K105=""),"",IF(OR($E105="پاس چک",$E105="برگشت چک",AND($D105="دریافت",$E105="چک")),$K105,0))</f>
        <v/>
      </c>
      <c r="X105" s="76">
        <f>IF(OR($D105="",$K105=""),"",IF(AND($D105="پرداخت",$E105="چک"),$K105,0))</f>
        <v/>
      </c>
      <c r="Y105" s="76">
        <f>SUM($S105,$U105,$W105)</f>
        <v/>
      </c>
      <c r="Z105" s="76">
        <f>SUM($T105,$V105,$X105)</f>
        <v/>
      </c>
      <c r="AA105" s="70">
        <f>IF($D105="","",IF(ROUND($Y105-$Z105,0)=0,"✓","⚠"))</f>
        <v/>
      </c>
      <c r="AB105" s="70">
        <f>IF($D105="","",IF($E105="نقد","X003",IF(OR($E105="چک",$E105="پاس چک",$E105="برگشت چک"),"X010",IF($I105="","X003","X011"))))</f>
        <v/>
      </c>
      <c r="AC105" s="70">
        <f>IF($D105="","",IF($E105="انتقال داخلی",IF($N105="","X003",IFERROR(VLOOKUP($N105,BankTbl,4,0),$N105)),IF($I105="","X003",IFERROR(VLOOKUP($I105,BankTbl,4,0),$I105))))</f>
        <v/>
      </c>
      <c r="AD105" s="70">
        <f>IF($D105="","",IF($E105="پاس چک","X010",IF($E105="برگشت چک",IF($I105="","X003","X011"),IF($E105="انتقال داخلی",IF($I105="","X003","X011"),IF($D105="پرداخت",$F105,IF($E105="چک","X009",IF($I105="","X003","X011")))))))</f>
        <v/>
      </c>
      <c r="AE105" s="76">
        <f>IF($D105="","",IF($K105="",0,$K105))</f>
        <v/>
      </c>
      <c r="AF105" s="70">
        <f>IF($D105="","",IF($E105="پاس چک",IF($I105="","X003","X011"),IF($E105="برگشت چک","X010",IF($E105="انتقال داخلی",IF($N105="","X003","X011"),IF($D105="پرداخت",IF($E105="چک","X010",IF($I105="","X003","X011")),$F105)))))</f>
        <v/>
      </c>
      <c r="AG105" s="76">
        <f>IF($D105="","",IF($K105="",0,$K105))</f>
        <v/>
      </c>
    </row>
    <row r="106" ht="21.75" customHeight="1">
      <c r="A106" s="70">
        <f>IF($B106="","",COUNTA($B$10:$B106))</f>
        <v/>
      </c>
      <c r="B106" s="71" t="n"/>
      <c r="C106" s="71" t="n"/>
      <c r="D106" s="71" t="n"/>
      <c r="E106" s="71" t="n"/>
      <c r="F106" s="71" t="n"/>
      <c r="G106" s="73">
        <f>IF($F106="","",IFERROR(VLOOKUP($F106,AcctTbl,2,0),"کد ناشناخته"))</f>
        <v/>
      </c>
      <c r="H106" s="70">
        <f>IF($F106="","",IFERROR(VLOOKUP($F106,AcctTbl,3,0),""))</f>
        <v/>
      </c>
      <c r="I106" s="71" t="n"/>
      <c r="J106" s="71" t="n"/>
      <c r="K106" s="74" t="n"/>
      <c r="L106" s="71" t="n"/>
      <c r="M106" s="71" t="n"/>
      <c r="N106" s="71" t="n"/>
      <c r="O106" s="71" t="n"/>
      <c r="P106" s="72" t="n"/>
      <c r="Q106" s="72" t="n"/>
      <c r="R106" s="77">
        <f>IF($D106="","",IF($AA106="⚠","⚠ ناتراز",IF(AND($D106="پرداخت",$E106="چک",$L106=""),"⚠ وضعیت چک","✓")))</f>
        <v/>
      </c>
      <c r="S106" s="76">
        <f>IF(OR($D106="",$K106=""),"",IF(AND($D106="پرداخت",$E106&lt;&gt;"انتقال داخلی",$E106&lt;&gt;"پاس چک",$E106&lt;&gt;"برگشت چک"),$K106,0))</f>
        <v/>
      </c>
      <c r="T106" s="76">
        <f>IF(OR($D106="",$K106=""),"",IF(OR(AND($D106="دریافت",$E106&lt;&gt;"انتقال داخلی"),$E106="برگشت چک"),$K106,0))</f>
        <v/>
      </c>
      <c r="U106" s="76">
        <f>IF(OR($D106="",$K106=""),"",IF(OR(AND($D106="دریافت",$E106&lt;&gt;"چک"),$E106="انتقال داخلی"),$K106,0))</f>
        <v/>
      </c>
      <c r="V106" s="76">
        <f>IF(OR($D106="",$K106=""),"",IF(OR(AND($D106="پرداخت",$E106&lt;&gt;"چک",$E106&lt;&gt;"برگشت چک"),$E106="انتقال داخلی"),$K106,0))</f>
        <v/>
      </c>
      <c r="W106" s="76">
        <f>IF(OR($D106="",$K106=""),"",IF(OR($E106="پاس چک",$E106="برگشت چک",AND($D106="دریافت",$E106="چک")),$K106,0))</f>
        <v/>
      </c>
      <c r="X106" s="76">
        <f>IF(OR($D106="",$K106=""),"",IF(AND($D106="پرداخت",$E106="چک"),$K106,0))</f>
        <v/>
      </c>
      <c r="Y106" s="76">
        <f>SUM($S106,$U106,$W106)</f>
        <v/>
      </c>
      <c r="Z106" s="76">
        <f>SUM($T106,$V106,$X106)</f>
        <v/>
      </c>
      <c r="AA106" s="70">
        <f>IF($D106="","",IF(ROUND($Y106-$Z106,0)=0,"✓","⚠"))</f>
        <v/>
      </c>
      <c r="AB106" s="70">
        <f>IF($D106="","",IF($E106="نقد","X003",IF(OR($E106="چک",$E106="پاس چک",$E106="برگشت چک"),"X010",IF($I106="","X003","X011"))))</f>
        <v/>
      </c>
      <c r="AC106" s="70">
        <f>IF($D106="","",IF($E106="انتقال داخلی",IF($N106="","X003",IFERROR(VLOOKUP($N106,BankTbl,4,0),$N106)),IF($I106="","X003",IFERROR(VLOOKUP($I106,BankTbl,4,0),$I106))))</f>
        <v/>
      </c>
      <c r="AD106" s="70">
        <f>IF($D106="","",IF($E106="پاس چک","X010",IF($E106="برگشت چک",IF($I106="","X003","X011"),IF($E106="انتقال داخلی",IF($I106="","X003","X011"),IF($D106="پرداخت",$F106,IF($E106="چک","X009",IF($I106="","X003","X011")))))))</f>
        <v/>
      </c>
      <c r="AE106" s="76">
        <f>IF($D106="","",IF($K106="",0,$K106))</f>
        <v/>
      </c>
      <c r="AF106" s="70">
        <f>IF($D106="","",IF($E106="پاس چک",IF($I106="","X003","X011"),IF($E106="برگشت چک","X010",IF($E106="انتقال داخلی",IF($N106="","X003","X011"),IF($D106="پرداخت",IF($E106="چک","X010",IF($I106="","X003","X011")),$F106)))))</f>
        <v/>
      </c>
      <c r="AG106" s="76">
        <f>IF($D106="","",IF($K106="",0,$K106))</f>
        <v/>
      </c>
    </row>
    <row r="107" ht="21.75" customHeight="1">
      <c r="A107" s="70">
        <f>IF($B107="","",COUNTA($B$10:$B107))</f>
        <v/>
      </c>
      <c r="B107" s="71" t="n"/>
      <c r="C107" s="71" t="n"/>
      <c r="D107" s="71" t="n"/>
      <c r="E107" s="71" t="n"/>
      <c r="F107" s="71" t="n"/>
      <c r="G107" s="73">
        <f>IF($F107="","",IFERROR(VLOOKUP($F107,AcctTbl,2,0),"کد ناشناخته"))</f>
        <v/>
      </c>
      <c r="H107" s="70">
        <f>IF($F107="","",IFERROR(VLOOKUP($F107,AcctTbl,3,0),""))</f>
        <v/>
      </c>
      <c r="I107" s="71" t="n"/>
      <c r="J107" s="71" t="n"/>
      <c r="K107" s="74" t="n"/>
      <c r="L107" s="71" t="n"/>
      <c r="M107" s="71" t="n"/>
      <c r="N107" s="71" t="n"/>
      <c r="O107" s="71" t="n"/>
      <c r="P107" s="72" t="n"/>
      <c r="Q107" s="72" t="n"/>
      <c r="R107" s="77">
        <f>IF($D107="","",IF($AA107="⚠","⚠ ناتراز",IF(AND($D107="پرداخت",$E107="چک",$L107=""),"⚠ وضعیت چک","✓")))</f>
        <v/>
      </c>
      <c r="S107" s="76">
        <f>IF(OR($D107="",$K107=""),"",IF(AND($D107="پرداخت",$E107&lt;&gt;"انتقال داخلی",$E107&lt;&gt;"پاس چک",$E107&lt;&gt;"برگشت چک"),$K107,0))</f>
        <v/>
      </c>
      <c r="T107" s="76">
        <f>IF(OR($D107="",$K107=""),"",IF(OR(AND($D107="دریافت",$E107&lt;&gt;"انتقال داخلی"),$E107="برگشت چک"),$K107,0))</f>
        <v/>
      </c>
      <c r="U107" s="76">
        <f>IF(OR($D107="",$K107=""),"",IF(OR(AND($D107="دریافت",$E107&lt;&gt;"چک"),$E107="انتقال داخلی"),$K107,0))</f>
        <v/>
      </c>
      <c r="V107" s="76">
        <f>IF(OR($D107="",$K107=""),"",IF(OR(AND($D107="پرداخت",$E107&lt;&gt;"چک",$E107&lt;&gt;"برگشت چک"),$E107="انتقال داخلی"),$K107,0))</f>
        <v/>
      </c>
      <c r="W107" s="76">
        <f>IF(OR($D107="",$K107=""),"",IF(OR($E107="پاس چک",$E107="برگشت چک",AND($D107="دریافت",$E107="چک")),$K107,0))</f>
        <v/>
      </c>
      <c r="X107" s="76">
        <f>IF(OR($D107="",$K107=""),"",IF(AND($D107="پرداخت",$E107="چک"),$K107,0))</f>
        <v/>
      </c>
      <c r="Y107" s="76">
        <f>SUM($S107,$U107,$W107)</f>
        <v/>
      </c>
      <c r="Z107" s="76">
        <f>SUM($T107,$V107,$X107)</f>
        <v/>
      </c>
      <c r="AA107" s="70">
        <f>IF($D107="","",IF(ROUND($Y107-$Z107,0)=0,"✓","⚠"))</f>
        <v/>
      </c>
      <c r="AB107" s="70">
        <f>IF($D107="","",IF($E107="نقد","X003",IF(OR($E107="چک",$E107="پاس چک",$E107="برگشت چک"),"X010",IF($I107="","X003","X011"))))</f>
        <v/>
      </c>
      <c r="AC107" s="70">
        <f>IF($D107="","",IF($E107="انتقال داخلی",IF($N107="","X003",IFERROR(VLOOKUP($N107,BankTbl,4,0),$N107)),IF($I107="","X003",IFERROR(VLOOKUP($I107,BankTbl,4,0),$I107))))</f>
        <v/>
      </c>
      <c r="AD107" s="70">
        <f>IF($D107="","",IF($E107="پاس چک","X010",IF($E107="برگشت چک",IF($I107="","X003","X011"),IF($E107="انتقال داخلی",IF($I107="","X003","X011"),IF($D107="پرداخت",$F107,IF($E107="چک","X009",IF($I107="","X003","X011")))))))</f>
        <v/>
      </c>
      <c r="AE107" s="76">
        <f>IF($D107="","",IF($K107="",0,$K107))</f>
        <v/>
      </c>
      <c r="AF107" s="70">
        <f>IF($D107="","",IF($E107="پاس چک",IF($I107="","X003","X011"),IF($E107="برگشت چک","X010",IF($E107="انتقال داخلی",IF($N107="","X003","X011"),IF($D107="پرداخت",IF($E107="چک","X010",IF($I107="","X003","X011")),$F107)))))</f>
        <v/>
      </c>
      <c r="AG107" s="76">
        <f>IF($D107="","",IF($K107="",0,$K107))</f>
        <v/>
      </c>
    </row>
    <row r="108" ht="21.75" customHeight="1">
      <c r="A108" s="70">
        <f>IF($B108="","",COUNTA($B$10:$B108))</f>
        <v/>
      </c>
      <c r="B108" s="71" t="n"/>
      <c r="C108" s="71" t="n"/>
      <c r="D108" s="71" t="n"/>
      <c r="E108" s="71" t="n"/>
      <c r="F108" s="71" t="n"/>
      <c r="G108" s="73">
        <f>IF($F108="","",IFERROR(VLOOKUP($F108,AcctTbl,2,0),"کد ناشناخته"))</f>
        <v/>
      </c>
      <c r="H108" s="70">
        <f>IF($F108="","",IFERROR(VLOOKUP($F108,AcctTbl,3,0),""))</f>
        <v/>
      </c>
      <c r="I108" s="71" t="n"/>
      <c r="J108" s="71" t="n"/>
      <c r="K108" s="74" t="n"/>
      <c r="L108" s="71" t="n"/>
      <c r="M108" s="71" t="n"/>
      <c r="N108" s="71" t="n"/>
      <c r="O108" s="71" t="n"/>
      <c r="P108" s="72" t="n"/>
      <c r="Q108" s="72" t="n"/>
      <c r="R108" s="77">
        <f>IF($D108="","",IF($AA108="⚠","⚠ ناتراز",IF(AND($D108="پرداخت",$E108="چک",$L108=""),"⚠ وضعیت چک","✓")))</f>
        <v/>
      </c>
      <c r="S108" s="76">
        <f>IF(OR($D108="",$K108=""),"",IF(AND($D108="پرداخت",$E108&lt;&gt;"انتقال داخلی",$E108&lt;&gt;"پاس چک",$E108&lt;&gt;"برگشت چک"),$K108,0))</f>
        <v/>
      </c>
      <c r="T108" s="76">
        <f>IF(OR($D108="",$K108=""),"",IF(OR(AND($D108="دریافت",$E108&lt;&gt;"انتقال داخلی"),$E108="برگشت چک"),$K108,0))</f>
        <v/>
      </c>
      <c r="U108" s="76">
        <f>IF(OR($D108="",$K108=""),"",IF(OR(AND($D108="دریافت",$E108&lt;&gt;"چک"),$E108="انتقال داخلی"),$K108,0))</f>
        <v/>
      </c>
      <c r="V108" s="76">
        <f>IF(OR($D108="",$K108=""),"",IF(OR(AND($D108="پرداخت",$E108&lt;&gt;"چک",$E108&lt;&gt;"برگشت چک"),$E108="انتقال داخلی"),$K108,0))</f>
        <v/>
      </c>
      <c r="W108" s="76">
        <f>IF(OR($D108="",$K108=""),"",IF(OR($E108="پاس چک",$E108="برگشت چک",AND($D108="دریافت",$E108="چک")),$K108,0))</f>
        <v/>
      </c>
      <c r="X108" s="76">
        <f>IF(OR($D108="",$K108=""),"",IF(AND($D108="پرداخت",$E108="چک"),$K108,0))</f>
        <v/>
      </c>
      <c r="Y108" s="76">
        <f>SUM($S108,$U108,$W108)</f>
        <v/>
      </c>
      <c r="Z108" s="76">
        <f>SUM($T108,$V108,$X108)</f>
        <v/>
      </c>
      <c r="AA108" s="70">
        <f>IF($D108="","",IF(ROUND($Y108-$Z108,0)=0,"✓","⚠"))</f>
        <v/>
      </c>
      <c r="AB108" s="70">
        <f>IF($D108="","",IF($E108="نقد","X003",IF(OR($E108="چک",$E108="پاس چک",$E108="برگشت چک"),"X010",IF($I108="","X003","X011"))))</f>
        <v/>
      </c>
      <c r="AC108" s="70">
        <f>IF($D108="","",IF($E108="انتقال داخلی",IF($N108="","X003",IFERROR(VLOOKUP($N108,BankTbl,4,0),$N108)),IF($I108="","X003",IFERROR(VLOOKUP($I108,BankTbl,4,0),$I108))))</f>
        <v/>
      </c>
      <c r="AD108" s="70">
        <f>IF($D108="","",IF($E108="پاس چک","X010",IF($E108="برگشت چک",IF($I108="","X003","X011"),IF($E108="انتقال داخلی",IF($I108="","X003","X011"),IF($D108="پرداخت",$F108,IF($E108="چک","X009",IF($I108="","X003","X011")))))))</f>
        <v/>
      </c>
      <c r="AE108" s="76">
        <f>IF($D108="","",IF($K108="",0,$K108))</f>
        <v/>
      </c>
      <c r="AF108" s="70">
        <f>IF($D108="","",IF($E108="پاس چک",IF($I108="","X003","X011"),IF($E108="برگشت چک","X010",IF($E108="انتقال داخلی",IF($N108="","X003","X011"),IF($D108="پرداخت",IF($E108="چک","X010",IF($I108="","X003","X011")),$F108)))))</f>
        <v/>
      </c>
      <c r="AG108" s="76">
        <f>IF($D108="","",IF($K108="",0,$K108))</f>
        <v/>
      </c>
    </row>
    <row r="109" ht="21.75" customHeight="1">
      <c r="A109" s="70">
        <f>IF($B109="","",COUNTA($B$10:$B109))</f>
        <v/>
      </c>
      <c r="B109" s="71" t="n"/>
      <c r="C109" s="71" t="n"/>
      <c r="D109" s="71" t="n"/>
      <c r="E109" s="71" t="n"/>
      <c r="F109" s="71" t="n"/>
      <c r="G109" s="73">
        <f>IF($F109="","",IFERROR(VLOOKUP($F109,AcctTbl,2,0),"کد ناشناخته"))</f>
        <v/>
      </c>
      <c r="H109" s="70">
        <f>IF($F109="","",IFERROR(VLOOKUP($F109,AcctTbl,3,0),""))</f>
        <v/>
      </c>
      <c r="I109" s="71" t="n"/>
      <c r="J109" s="71" t="n"/>
      <c r="K109" s="74" t="n"/>
      <c r="L109" s="71" t="n"/>
      <c r="M109" s="71" t="n"/>
      <c r="N109" s="71" t="n"/>
      <c r="O109" s="71" t="n"/>
      <c r="P109" s="72" t="n"/>
      <c r="Q109" s="72" t="n"/>
      <c r="R109" s="77">
        <f>IF($D109="","",IF($AA109="⚠","⚠ ناتراز",IF(AND($D109="پرداخت",$E109="چک",$L109=""),"⚠ وضعیت چک","✓")))</f>
        <v/>
      </c>
      <c r="S109" s="76">
        <f>IF(OR($D109="",$K109=""),"",IF(AND($D109="پرداخت",$E109&lt;&gt;"انتقال داخلی",$E109&lt;&gt;"پاس چک",$E109&lt;&gt;"برگشت چک"),$K109,0))</f>
        <v/>
      </c>
      <c r="T109" s="76">
        <f>IF(OR($D109="",$K109=""),"",IF(OR(AND($D109="دریافت",$E109&lt;&gt;"انتقال داخلی"),$E109="برگشت چک"),$K109,0))</f>
        <v/>
      </c>
      <c r="U109" s="76">
        <f>IF(OR($D109="",$K109=""),"",IF(OR(AND($D109="دریافت",$E109&lt;&gt;"چک"),$E109="انتقال داخلی"),$K109,0))</f>
        <v/>
      </c>
      <c r="V109" s="76">
        <f>IF(OR($D109="",$K109=""),"",IF(OR(AND($D109="پرداخت",$E109&lt;&gt;"چک",$E109&lt;&gt;"برگشت چک"),$E109="انتقال داخلی"),$K109,0))</f>
        <v/>
      </c>
      <c r="W109" s="76">
        <f>IF(OR($D109="",$K109=""),"",IF(OR($E109="پاس چک",$E109="برگشت چک",AND($D109="دریافت",$E109="چک")),$K109,0))</f>
        <v/>
      </c>
      <c r="X109" s="76">
        <f>IF(OR($D109="",$K109=""),"",IF(AND($D109="پرداخت",$E109="چک"),$K109,0))</f>
        <v/>
      </c>
      <c r="Y109" s="76">
        <f>SUM($S109,$U109,$W109)</f>
        <v/>
      </c>
      <c r="Z109" s="76">
        <f>SUM($T109,$V109,$X109)</f>
        <v/>
      </c>
      <c r="AA109" s="70">
        <f>IF($D109="","",IF(ROUND($Y109-$Z109,0)=0,"✓","⚠"))</f>
        <v/>
      </c>
      <c r="AB109" s="70">
        <f>IF($D109="","",IF($E109="نقد","X003",IF(OR($E109="چک",$E109="پاس چک",$E109="برگشت چک"),"X010",IF($I109="","X003","X011"))))</f>
        <v/>
      </c>
      <c r="AC109" s="70">
        <f>IF($D109="","",IF($E109="انتقال داخلی",IF($N109="","X003",IFERROR(VLOOKUP($N109,BankTbl,4,0),$N109)),IF($I109="","X003",IFERROR(VLOOKUP($I109,BankTbl,4,0),$I109))))</f>
        <v/>
      </c>
      <c r="AD109" s="70">
        <f>IF($D109="","",IF($E109="پاس چک","X010",IF($E109="برگشت چک",IF($I109="","X003","X011"),IF($E109="انتقال داخلی",IF($I109="","X003","X011"),IF($D109="پرداخت",$F109,IF($E109="چک","X009",IF($I109="","X003","X011")))))))</f>
        <v/>
      </c>
      <c r="AE109" s="76">
        <f>IF($D109="","",IF($K109="",0,$K109))</f>
        <v/>
      </c>
      <c r="AF109" s="70">
        <f>IF($D109="","",IF($E109="پاس چک",IF($I109="","X003","X011"),IF($E109="برگشت چک","X010",IF($E109="انتقال داخلی",IF($N109="","X003","X011"),IF($D109="پرداخت",IF($E109="چک","X010",IF($I109="","X003","X011")),$F109)))))</f>
        <v/>
      </c>
      <c r="AG109" s="76">
        <f>IF($D109="","",IF($K109="",0,$K109))</f>
        <v/>
      </c>
    </row>
    <row r="110" ht="21.75" customHeight="1">
      <c r="A110" s="70">
        <f>IF($B110="","",COUNTA($B$10:$B110))</f>
        <v/>
      </c>
      <c r="B110" s="71" t="n"/>
      <c r="C110" s="71" t="n"/>
      <c r="D110" s="71" t="n"/>
      <c r="E110" s="71" t="n"/>
      <c r="F110" s="71" t="n"/>
      <c r="G110" s="73">
        <f>IF($F110="","",IFERROR(VLOOKUP($F110,AcctTbl,2,0),"کد ناشناخته"))</f>
        <v/>
      </c>
      <c r="H110" s="70">
        <f>IF($F110="","",IFERROR(VLOOKUP($F110,AcctTbl,3,0),""))</f>
        <v/>
      </c>
      <c r="I110" s="71" t="n"/>
      <c r="J110" s="71" t="n"/>
      <c r="K110" s="74" t="n"/>
      <c r="L110" s="71" t="n"/>
      <c r="M110" s="71" t="n"/>
      <c r="N110" s="71" t="n"/>
      <c r="O110" s="71" t="n"/>
      <c r="P110" s="72" t="n"/>
      <c r="Q110" s="72" t="n"/>
      <c r="R110" s="77">
        <f>IF($D110="","",IF($AA110="⚠","⚠ ناتراز",IF(AND($D110="پرداخت",$E110="چک",$L110=""),"⚠ وضعیت چک","✓")))</f>
        <v/>
      </c>
      <c r="S110" s="76">
        <f>IF(OR($D110="",$K110=""),"",IF(AND($D110="پرداخت",$E110&lt;&gt;"انتقال داخلی",$E110&lt;&gt;"پاس چک",$E110&lt;&gt;"برگشت چک"),$K110,0))</f>
        <v/>
      </c>
      <c r="T110" s="76">
        <f>IF(OR($D110="",$K110=""),"",IF(OR(AND($D110="دریافت",$E110&lt;&gt;"انتقال داخلی"),$E110="برگشت چک"),$K110,0))</f>
        <v/>
      </c>
      <c r="U110" s="76">
        <f>IF(OR($D110="",$K110=""),"",IF(OR(AND($D110="دریافت",$E110&lt;&gt;"چک"),$E110="انتقال داخلی"),$K110,0))</f>
        <v/>
      </c>
      <c r="V110" s="76">
        <f>IF(OR($D110="",$K110=""),"",IF(OR(AND($D110="پرداخت",$E110&lt;&gt;"چک",$E110&lt;&gt;"برگشت چک"),$E110="انتقال داخلی"),$K110,0))</f>
        <v/>
      </c>
      <c r="W110" s="76">
        <f>IF(OR($D110="",$K110=""),"",IF(OR($E110="پاس چک",$E110="برگشت چک",AND($D110="دریافت",$E110="چک")),$K110,0))</f>
        <v/>
      </c>
      <c r="X110" s="76">
        <f>IF(OR($D110="",$K110=""),"",IF(AND($D110="پرداخت",$E110="چک"),$K110,0))</f>
        <v/>
      </c>
      <c r="Y110" s="76">
        <f>SUM($S110,$U110,$W110)</f>
        <v/>
      </c>
      <c r="Z110" s="76">
        <f>SUM($T110,$V110,$X110)</f>
        <v/>
      </c>
      <c r="AA110" s="70">
        <f>IF($D110="","",IF(ROUND($Y110-$Z110,0)=0,"✓","⚠"))</f>
        <v/>
      </c>
      <c r="AB110" s="70">
        <f>IF($D110="","",IF($E110="نقد","X003",IF(OR($E110="چک",$E110="پاس چک",$E110="برگشت چک"),"X010",IF($I110="","X003","X011"))))</f>
        <v/>
      </c>
      <c r="AC110" s="70">
        <f>IF($D110="","",IF($E110="انتقال داخلی",IF($N110="","X003",IFERROR(VLOOKUP($N110,BankTbl,4,0),$N110)),IF($I110="","X003",IFERROR(VLOOKUP($I110,BankTbl,4,0),$I110))))</f>
        <v/>
      </c>
      <c r="AD110" s="70">
        <f>IF($D110="","",IF($E110="پاس چک","X010",IF($E110="برگشت چک",IF($I110="","X003","X011"),IF($E110="انتقال داخلی",IF($I110="","X003","X011"),IF($D110="پرداخت",$F110,IF($E110="چک","X009",IF($I110="","X003","X011")))))))</f>
        <v/>
      </c>
      <c r="AE110" s="76">
        <f>IF($D110="","",IF($K110="",0,$K110))</f>
        <v/>
      </c>
      <c r="AF110" s="70">
        <f>IF($D110="","",IF($E110="پاس چک",IF($I110="","X003","X011"),IF($E110="برگشت چک","X010",IF($E110="انتقال داخلی",IF($N110="","X003","X011"),IF($D110="پرداخت",IF($E110="چک","X010",IF($I110="","X003","X011")),$F110)))))</f>
        <v/>
      </c>
      <c r="AG110" s="76">
        <f>IF($D110="","",IF($K110="",0,$K110))</f>
        <v/>
      </c>
    </row>
    <row r="111" ht="21.75" customHeight="1">
      <c r="A111" s="70">
        <f>IF($B111="","",COUNTA($B$10:$B111))</f>
        <v/>
      </c>
      <c r="B111" s="71" t="n"/>
      <c r="C111" s="71" t="n"/>
      <c r="D111" s="71" t="n"/>
      <c r="E111" s="71" t="n"/>
      <c r="F111" s="71" t="n"/>
      <c r="G111" s="73">
        <f>IF($F111="","",IFERROR(VLOOKUP($F111,AcctTbl,2,0),"کد ناشناخته"))</f>
        <v/>
      </c>
      <c r="H111" s="70">
        <f>IF($F111="","",IFERROR(VLOOKUP($F111,AcctTbl,3,0),""))</f>
        <v/>
      </c>
      <c r="I111" s="71" t="n"/>
      <c r="J111" s="71" t="n"/>
      <c r="K111" s="74" t="n"/>
      <c r="L111" s="71" t="n"/>
      <c r="M111" s="71" t="n"/>
      <c r="N111" s="71" t="n"/>
      <c r="O111" s="71" t="n"/>
      <c r="P111" s="72" t="n"/>
      <c r="Q111" s="72" t="n"/>
      <c r="R111" s="77">
        <f>IF($D111="","",IF($AA111="⚠","⚠ ناتراز",IF(AND($D111="پرداخت",$E111="چک",$L111=""),"⚠ وضعیت چک","✓")))</f>
        <v/>
      </c>
      <c r="S111" s="76">
        <f>IF(OR($D111="",$K111=""),"",IF(AND($D111="پرداخت",$E111&lt;&gt;"انتقال داخلی",$E111&lt;&gt;"پاس چک",$E111&lt;&gt;"برگشت چک"),$K111,0))</f>
        <v/>
      </c>
      <c r="T111" s="76">
        <f>IF(OR($D111="",$K111=""),"",IF(OR(AND($D111="دریافت",$E111&lt;&gt;"انتقال داخلی"),$E111="برگشت چک"),$K111,0))</f>
        <v/>
      </c>
      <c r="U111" s="76">
        <f>IF(OR($D111="",$K111=""),"",IF(OR(AND($D111="دریافت",$E111&lt;&gt;"چک"),$E111="انتقال داخلی"),$K111,0))</f>
        <v/>
      </c>
      <c r="V111" s="76">
        <f>IF(OR($D111="",$K111=""),"",IF(OR(AND($D111="پرداخت",$E111&lt;&gt;"چک",$E111&lt;&gt;"برگشت چک"),$E111="انتقال داخلی"),$K111,0))</f>
        <v/>
      </c>
      <c r="W111" s="76">
        <f>IF(OR($D111="",$K111=""),"",IF(OR($E111="پاس چک",$E111="برگشت چک",AND($D111="دریافت",$E111="چک")),$K111,0))</f>
        <v/>
      </c>
      <c r="X111" s="76">
        <f>IF(OR($D111="",$K111=""),"",IF(AND($D111="پرداخت",$E111="چک"),$K111,0))</f>
        <v/>
      </c>
      <c r="Y111" s="76">
        <f>SUM($S111,$U111,$W111)</f>
        <v/>
      </c>
      <c r="Z111" s="76">
        <f>SUM($T111,$V111,$X111)</f>
        <v/>
      </c>
      <c r="AA111" s="70">
        <f>IF($D111="","",IF(ROUND($Y111-$Z111,0)=0,"✓","⚠"))</f>
        <v/>
      </c>
      <c r="AB111" s="70">
        <f>IF($D111="","",IF($E111="نقد","X003",IF(OR($E111="چک",$E111="پاس چک",$E111="برگشت چک"),"X010",IF($I111="","X003","X011"))))</f>
        <v/>
      </c>
      <c r="AC111" s="70">
        <f>IF($D111="","",IF($E111="انتقال داخلی",IF($N111="","X003",IFERROR(VLOOKUP($N111,BankTbl,4,0),$N111)),IF($I111="","X003",IFERROR(VLOOKUP($I111,BankTbl,4,0),$I111))))</f>
        <v/>
      </c>
      <c r="AD111" s="70">
        <f>IF($D111="","",IF($E111="پاس چک","X010",IF($E111="برگشت چک",IF($I111="","X003","X011"),IF($E111="انتقال داخلی",IF($I111="","X003","X011"),IF($D111="پرداخت",$F111,IF($E111="چک","X009",IF($I111="","X003","X011")))))))</f>
        <v/>
      </c>
      <c r="AE111" s="76">
        <f>IF($D111="","",IF($K111="",0,$K111))</f>
        <v/>
      </c>
      <c r="AF111" s="70">
        <f>IF($D111="","",IF($E111="پاس چک",IF($I111="","X003","X011"),IF($E111="برگشت چک","X010",IF($E111="انتقال داخلی",IF($N111="","X003","X011"),IF($D111="پرداخت",IF($E111="چک","X010",IF($I111="","X003","X011")),$F111)))))</f>
        <v/>
      </c>
      <c r="AG111" s="76">
        <f>IF($D111="","",IF($K111="",0,$K111))</f>
        <v/>
      </c>
    </row>
    <row r="112" ht="21.75" customHeight="1">
      <c r="A112" s="70">
        <f>IF($B112="","",COUNTA($B$10:$B112))</f>
        <v/>
      </c>
      <c r="B112" s="71" t="n"/>
      <c r="C112" s="71" t="n"/>
      <c r="D112" s="71" t="n"/>
      <c r="E112" s="71" t="n"/>
      <c r="F112" s="71" t="n"/>
      <c r="G112" s="73">
        <f>IF($F112="","",IFERROR(VLOOKUP($F112,AcctTbl,2,0),"کد ناشناخته"))</f>
        <v/>
      </c>
      <c r="H112" s="70">
        <f>IF($F112="","",IFERROR(VLOOKUP($F112,AcctTbl,3,0),""))</f>
        <v/>
      </c>
      <c r="I112" s="71" t="n"/>
      <c r="J112" s="71" t="n"/>
      <c r="K112" s="74" t="n"/>
      <c r="L112" s="71" t="n"/>
      <c r="M112" s="71" t="n"/>
      <c r="N112" s="71" t="n"/>
      <c r="O112" s="71" t="n"/>
      <c r="P112" s="72" t="n"/>
      <c r="Q112" s="72" t="n"/>
      <c r="R112" s="77">
        <f>IF($D112="","",IF($AA112="⚠","⚠ ناتراز",IF(AND($D112="پرداخت",$E112="چک",$L112=""),"⚠ وضعیت چک","✓")))</f>
        <v/>
      </c>
      <c r="S112" s="76">
        <f>IF(OR($D112="",$K112=""),"",IF(AND($D112="پرداخت",$E112&lt;&gt;"انتقال داخلی",$E112&lt;&gt;"پاس چک",$E112&lt;&gt;"برگشت چک"),$K112,0))</f>
        <v/>
      </c>
      <c r="T112" s="76">
        <f>IF(OR($D112="",$K112=""),"",IF(OR(AND($D112="دریافت",$E112&lt;&gt;"انتقال داخلی"),$E112="برگشت چک"),$K112,0))</f>
        <v/>
      </c>
      <c r="U112" s="76">
        <f>IF(OR($D112="",$K112=""),"",IF(OR(AND($D112="دریافت",$E112&lt;&gt;"چک"),$E112="انتقال داخلی"),$K112,0))</f>
        <v/>
      </c>
      <c r="V112" s="76">
        <f>IF(OR($D112="",$K112=""),"",IF(OR(AND($D112="پرداخت",$E112&lt;&gt;"چک",$E112&lt;&gt;"برگشت چک"),$E112="انتقال داخلی"),$K112,0))</f>
        <v/>
      </c>
      <c r="W112" s="76">
        <f>IF(OR($D112="",$K112=""),"",IF(OR($E112="پاس چک",$E112="برگشت چک",AND($D112="دریافت",$E112="چک")),$K112,0))</f>
        <v/>
      </c>
      <c r="X112" s="76">
        <f>IF(OR($D112="",$K112=""),"",IF(AND($D112="پرداخت",$E112="چک"),$K112,0))</f>
        <v/>
      </c>
      <c r="Y112" s="76">
        <f>SUM($S112,$U112,$W112)</f>
        <v/>
      </c>
      <c r="Z112" s="76">
        <f>SUM($T112,$V112,$X112)</f>
        <v/>
      </c>
      <c r="AA112" s="70">
        <f>IF($D112="","",IF(ROUND($Y112-$Z112,0)=0,"✓","⚠"))</f>
        <v/>
      </c>
      <c r="AB112" s="70">
        <f>IF($D112="","",IF($E112="نقد","X003",IF(OR($E112="چک",$E112="پاس چک",$E112="برگشت چک"),"X010",IF($I112="","X003","X011"))))</f>
        <v/>
      </c>
      <c r="AC112" s="70">
        <f>IF($D112="","",IF($E112="انتقال داخلی",IF($N112="","X003",IFERROR(VLOOKUP($N112,BankTbl,4,0),$N112)),IF($I112="","X003",IFERROR(VLOOKUP($I112,BankTbl,4,0),$I112))))</f>
        <v/>
      </c>
      <c r="AD112" s="70">
        <f>IF($D112="","",IF($E112="پاس چک","X010",IF($E112="برگشت چک",IF($I112="","X003","X011"),IF($E112="انتقال داخلی",IF($I112="","X003","X011"),IF($D112="پرداخت",$F112,IF($E112="چک","X009",IF($I112="","X003","X011")))))))</f>
        <v/>
      </c>
      <c r="AE112" s="76">
        <f>IF($D112="","",IF($K112="",0,$K112))</f>
        <v/>
      </c>
      <c r="AF112" s="70">
        <f>IF($D112="","",IF($E112="پاس چک",IF($I112="","X003","X011"),IF($E112="برگشت چک","X010",IF($E112="انتقال داخلی",IF($N112="","X003","X011"),IF($D112="پرداخت",IF($E112="چک","X010",IF($I112="","X003","X011")),$F112)))))</f>
        <v/>
      </c>
      <c r="AG112" s="76">
        <f>IF($D112="","",IF($K112="",0,$K112))</f>
        <v/>
      </c>
    </row>
    <row r="113" ht="21.75" customHeight="1">
      <c r="A113" s="70">
        <f>IF($B113="","",COUNTA($B$10:$B113))</f>
        <v/>
      </c>
      <c r="B113" s="71" t="n"/>
      <c r="C113" s="71" t="n"/>
      <c r="D113" s="71" t="n"/>
      <c r="E113" s="71" t="n"/>
      <c r="F113" s="71" t="n"/>
      <c r="G113" s="73">
        <f>IF($F113="","",IFERROR(VLOOKUP($F113,AcctTbl,2,0),"کد ناشناخته"))</f>
        <v/>
      </c>
      <c r="H113" s="70">
        <f>IF($F113="","",IFERROR(VLOOKUP($F113,AcctTbl,3,0),""))</f>
        <v/>
      </c>
      <c r="I113" s="71" t="n"/>
      <c r="J113" s="71" t="n"/>
      <c r="K113" s="74" t="n"/>
      <c r="L113" s="71" t="n"/>
      <c r="M113" s="71" t="n"/>
      <c r="N113" s="71" t="n"/>
      <c r="O113" s="71" t="n"/>
      <c r="P113" s="72" t="n"/>
      <c r="Q113" s="72" t="n"/>
      <c r="R113" s="77">
        <f>IF($D113="","",IF($AA113="⚠","⚠ ناتراز",IF(AND($D113="پرداخت",$E113="چک",$L113=""),"⚠ وضعیت چک","✓")))</f>
        <v/>
      </c>
      <c r="S113" s="76">
        <f>IF(OR($D113="",$K113=""),"",IF(AND($D113="پرداخت",$E113&lt;&gt;"انتقال داخلی",$E113&lt;&gt;"پاس چک",$E113&lt;&gt;"برگشت چک"),$K113,0))</f>
        <v/>
      </c>
      <c r="T113" s="76">
        <f>IF(OR($D113="",$K113=""),"",IF(OR(AND($D113="دریافت",$E113&lt;&gt;"انتقال داخلی"),$E113="برگشت چک"),$K113,0))</f>
        <v/>
      </c>
      <c r="U113" s="76">
        <f>IF(OR($D113="",$K113=""),"",IF(OR(AND($D113="دریافت",$E113&lt;&gt;"چک"),$E113="انتقال داخلی"),$K113,0))</f>
        <v/>
      </c>
      <c r="V113" s="76">
        <f>IF(OR($D113="",$K113=""),"",IF(OR(AND($D113="پرداخت",$E113&lt;&gt;"چک",$E113&lt;&gt;"برگشت چک"),$E113="انتقال داخلی"),$K113,0))</f>
        <v/>
      </c>
      <c r="W113" s="76">
        <f>IF(OR($D113="",$K113=""),"",IF(OR($E113="پاس چک",$E113="برگشت چک",AND($D113="دریافت",$E113="چک")),$K113,0))</f>
        <v/>
      </c>
      <c r="X113" s="76">
        <f>IF(OR($D113="",$K113=""),"",IF(AND($D113="پرداخت",$E113="چک"),$K113,0))</f>
        <v/>
      </c>
      <c r="Y113" s="76">
        <f>SUM($S113,$U113,$W113)</f>
        <v/>
      </c>
      <c r="Z113" s="76">
        <f>SUM($T113,$V113,$X113)</f>
        <v/>
      </c>
      <c r="AA113" s="70">
        <f>IF($D113="","",IF(ROUND($Y113-$Z113,0)=0,"✓","⚠"))</f>
        <v/>
      </c>
      <c r="AB113" s="70">
        <f>IF($D113="","",IF($E113="نقد","X003",IF(OR($E113="چک",$E113="پاس چک",$E113="برگشت چک"),"X010",IF($I113="","X003","X011"))))</f>
        <v/>
      </c>
      <c r="AC113" s="70">
        <f>IF($D113="","",IF($E113="انتقال داخلی",IF($N113="","X003",IFERROR(VLOOKUP($N113,BankTbl,4,0),$N113)),IF($I113="","X003",IFERROR(VLOOKUP($I113,BankTbl,4,0),$I113))))</f>
        <v/>
      </c>
      <c r="AD113" s="70">
        <f>IF($D113="","",IF($E113="پاس چک","X010",IF($E113="برگشت چک",IF($I113="","X003","X011"),IF($E113="انتقال داخلی",IF($I113="","X003","X011"),IF($D113="پرداخت",$F113,IF($E113="چک","X009",IF($I113="","X003","X011")))))))</f>
        <v/>
      </c>
      <c r="AE113" s="76">
        <f>IF($D113="","",IF($K113="",0,$K113))</f>
        <v/>
      </c>
      <c r="AF113" s="70">
        <f>IF($D113="","",IF($E113="پاس چک",IF($I113="","X003","X011"),IF($E113="برگشت چک","X010",IF($E113="انتقال داخلی",IF($N113="","X003","X011"),IF($D113="پرداخت",IF($E113="چک","X010",IF($I113="","X003","X011")),$F113)))))</f>
        <v/>
      </c>
      <c r="AG113" s="76">
        <f>IF($D113="","",IF($K113="",0,$K113))</f>
        <v/>
      </c>
    </row>
    <row r="114" ht="21.75" customHeight="1">
      <c r="A114" s="70">
        <f>IF($B114="","",COUNTA($B$10:$B114))</f>
        <v/>
      </c>
      <c r="B114" s="71" t="n"/>
      <c r="C114" s="71" t="n"/>
      <c r="D114" s="71" t="n"/>
      <c r="E114" s="71" t="n"/>
      <c r="F114" s="71" t="n"/>
      <c r="G114" s="73">
        <f>IF($F114="","",IFERROR(VLOOKUP($F114,AcctTbl,2,0),"کد ناشناخته"))</f>
        <v/>
      </c>
      <c r="H114" s="70">
        <f>IF($F114="","",IFERROR(VLOOKUP($F114,AcctTbl,3,0),""))</f>
        <v/>
      </c>
      <c r="I114" s="71" t="n"/>
      <c r="J114" s="71" t="n"/>
      <c r="K114" s="74" t="n"/>
      <c r="L114" s="71" t="n"/>
      <c r="M114" s="71" t="n"/>
      <c r="N114" s="71" t="n"/>
      <c r="O114" s="71" t="n"/>
      <c r="P114" s="72" t="n"/>
      <c r="Q114" s="72" t="n"/>
      <c r="R114" s="77">
        <f>IF($D114="","",IF($AA114="⚠","⚠ ناتراز",IF(AND($D114="پرداخت",$E114="چک",$L114=""),"⚠ وضعیت چک","✓")))</f>
        <v/>
      </c>
      <c r="S114" s="76">
        <f>IF(OR($D114="",$K114=""),"",IF(AND($D114="پرداخت",$E114&lt;&gt;"انتقال داخلی",$E114&lt;&gt;"پاس چک",$E114&lt;&gt;"برگشت چک"),$K114,0))</f>
        <v/>
      </c>
      <c r="T114" s="76">
        <f>IF(OR($D114="",$K114=""),"",IF(OR(AND($D114="دریافت",$E114&lt;&gt;"انتقال داخلی"),$E114="برگشت چک"),$K114,0))</f>
        <v/>
      </c>
      <c r="U114" s="76">
        <f>IF(OR($D114="",$K114=""),"",IF(OR(AND($D114="دریافت",$E114&lt;&gt;"چک"),$E114="انتقال داخلی"),$K114,0))</f>
        <v/>
      </c>
      <c r="V114" s="76">
        <f>IF(OR($D114="",$K114=""),"",IF(OR(AND($D114="پرداخت",$E114&lt;&gt;"چک",$E114&lt;&gt;"برگشت چک"),$E114="انتقال داخلی"),$K114,0))</f>
        <v/>
      </c>
      <c r="W114" s="76">
        <f>IF(OR($D114="",$K114=""),"",IF(OR($E114="پاس چک",$E114="برگشت چک",AND($D114="دریافت",$E114="چک")),$K114,0))</f>
        <v/>
      </c>
      <c r="X114" s="76">
        <f>IF(OR($D114="",$K114=""),"",IF(AND($D114="پرداخت",$E114="چک"),$K114,0))</f>
        <v/>
      </c>
      <c r="Y114" s="76">
        <f>SUM($S114,$U114,$W114)</f>
        <v/>
      </c>
      <c r="Z114" s="76">
        <f>SUM($T114,$V114,$X114)</f>
        <v/>
      </c>
      <c r="AA114" s="70">
        <f>IF($D114="","",IF(ROUND($Y114-$Z114,0)=0,"✓","⚠"))</f>
        <v/>
      </c>
      <c r="AB114" s="70">
        <f>IF($D114="","",IF($E114="نقد","X003",IF(OR($E114="چک",$E114="پاس چک",$E114="برگشت چک"),"X010",IF($I114="","X003","X011"))))</f>
        <v/>
      </c>
      <c r="AC114" s="70">
        <f>IF($D114="","",IF($E114="انتقال داخلی",IF($N114="","X003",IFERROR(VLOOKUP($N114,BankTbl,4,0),$N114)),IF($I114="","X003",IFERROR(VLOOKUP($I114,BankTbl,4,0),$I114))))</f>
        <v/>
      </c>
      <c r="AD114" s="70">
        <f>IF($D114="","",IF($E114="پاس چک","X010",IF($E114="برگشت چک",IF($I114="","X003","X011"),IF($E114="انتقال داخلی",IF($I114="","X003","X011"),IF($D114="پرداخت",$F114,IF($E114="چک","X009",IF($I114="","X003","X011")))))))</f>
        <v/>
      </c>
      <c r="AE114" s="76">
        <f>IF($D114="","",IF($K114="",0,$K114))</f>
        <v/>
      </c>
      <c r="AF114" s="70">
        <f>IF($D114="","",IF($E114="پاس چک",IF($I114="","X003","X011"),IF($E114="برگشت چک","X010",IF($E114="انتقال داخلی",IF($N114="","X003","X011"),IF($D114="پرداخت",IF($E114="چک","X010",IF($I114="","X003","X011")),$F114)))))</f>
        <v/>
      </c>
      <c r="AG114" s="76">
        <f>IF($D114="","",IF($K114="",0,$K114))</f>
        <v/>
      </c>
    </row>
    <row r="115" ht="21.75" customHeight="1">
      <c r="A115" s="70">
        <f>IF($B115="","",COUNTA($B$10:$B115))</f>
        <v/>
      </c>
      <c r="B115" s="71" t="n"/>
      <c r="C115" s="71" t="n"/>
      <c r="D115" s="71" t="n"/>
      <c r="E115" s="71" t="n"/>
      <c r="F115" s="71" t="n"/>
      <c r="G115" s="73">
        <f>IF($F115="","",IFERROR(VLOOKUP($F115,AcctTbl,2,0),"کد ناشناخته"))</f>
        <v/>
      </c>
      <c r="H115" s="70">
        <f>IF($F115="","",IFERROR(VLOOKUP($F115,AcctTbl,3,0),""))</f>
        <v/>
      </c>
      <c r="I115" s="71" t="n"/>
      <c r="J115" s="71" t="n"/>
      <c r="K115" s="74" t="n"/>
      <c r="L115" s="71" t="n"/>
      <c r="M115" s="71" t="n"/>
      <c r="N115" s="71" t="n"/>
      <c r="O115" s="71" t="n"/>
      <c r="P115" s="72" t="n"/>
      <c r="Q115" s="72" t="n"/>
      <c r="R115" s="77">
        <f>IF($D115="","",IF($AA115="⚠","⚠ ناتراز",IF(AND($D115="پرداخت",$E115="چک",$L115=""),"⚠ وضعیت چک","✓")))</f>
        <v/>
      </c>
      <c r="S115" s="76">
        <f>IF(OR($D115="",$K115=""),"",IF(AND($D115="پرداخت",$E115&lt;&gt;"انتقال داخلی",$E115&lt;&gt;"پاس چک",$E115&lt;&gt;"برگشت چک"),$K115,0))</f>
        <v/>
      </c>
      <c r="T115" s="76">
        <f>IF(OR($D115="",$K115=""),"",IF(OR(AND($D115="دریافت",$E115&lt;&gt;"انتقال داخلی"),$E115="برگشت چک"),$K115,0))</f>
        <v/>
      </c>
      <c r="U115" s="76">
        <f>IF(OR($D115="",$K115=""),"",IF(OR(AND($D115="دریافت",$E115&lt;&gt;"چک"),$E115="انتقال داخلی"),$K115,0))</f>
        <v/>
      </c>
      <c r="V115" s="76">
        <f>IF(OR($D115="",$K115=""),"",IF(OR(AND($D115="پرداخت",$E115&lt;&gt;"چک",$E115&lt;&gt;"برگشت چک"),$E115="انتقال داخلی"),$K115,0))</f>
        <v/>
      </c>
      <c r="W115" s="76">
        <f>IF(OR($D115="",$K115=""),"",IF(OR($E115="پاس چک",$E115="برگشت چک",AND($D115="دریافت",$E115="چک")),$K115,0))</f>
        <v/>
      </c>
      <c r="X115" s="76">
        <f>IF(OR($D115="",$K115=""),"",IF(AND($D115="پرداخت",$E115="چک"),$K115,0))</f>
        <v/>
      </c>
      <c r="Y115" s="76">
        <f>SUM($S115,$U115,$W115)</f>
        <v/>
      </c>
      <c r="Z115" s="76">
        <f>SUM($T115,$V115,$X115)</f>
        <v/>
      </c>
      <c r="AA115" s="70">
        <f>IF($D115="","",IF(ROUND($Y115-$Z115,0)=0,"✓","⚠"))</f>
        <v/>
      </c>
      <c r="AB115" s="70">
        <f>IF($D115="","",IF($E115="نقد","X003",IF(OR($E115="چک",$E115="پاس چک",$E115="برگشت چک"),"X010",IF($I115="","X003","X011"))))</f>
        <v/>
      </c>
      <c r="AC115" s="70">
        <f>IF($D115="","",IF($E115="انتقال داخلی",IF($N115="","X003",IFERROR(VLOOKUP($N115,BankTbl,4,0),$N115)),IF($I115="","X003",IFERROR(VLOOKUP($I115,BankTbl,4,0),$I115))))</f>
        <v/>
      </c>
      <c r="AD115" s="70">
        <f>IF($D115="","",IF($E115="پاس چک","X010",IF($E115="برگشت چک",IF($I115="","X003","X011"),IF($E115="انتقال داخلی",IF($I115="","X003","X011"),IF($D115="پرداخت",$F115,IF($E115="چک","X009",IF($I115="","X003","X011")))))))</f>
        <v/>
      </c>
      <c r="AE115" s="76">
        <f>IF($D115="","",IF($K115="",0,$K115))</f>
        <v/>
      </c>
      <c r="AF115" s="70">
        <f>IF($D115="","",IF($E115="پاس چک",IF($I115="","X003","X011"),IF($E115="برگشت چک","X010",IF($E115="انتقال داخلی",IF($N115="","X003","X011"),IF($D115="پرداخت",IF($E115="چک","X010",IF($I115="","X003","X011")),$F115)))))</f>
        <v/>
      </c>
      <c r="AG115" s="76">
        <f>IF($D115="","",IF($K115="",0,$K115))</f>
        <v/>
      </c>
    </row>
    <row r="116" ht="21.75" customHeight="1">
      <c r="A116" s="70">
        <f>IF($B116="","",COUNTA($B$10:$B116))</f>
        <v/>
      </c>
      <c r="B116" s="71" t="n"/>
      <c r="C116" s="71" t="n"/>
      <c r="D116" s="71" t="n"/>
      <c r="E116" s="71" t="n"/>
      <c r="F116" s="71" t="n"/>
      <c r="G116" s="73">
        <f>IF($F116="","",IFERROR(VLOOKUP($F116,AcctTbl,2,0),"کد ناشناخته"))</f>
        <v/>
      </c>
      <c r="H116" s="70">
        <f>IF($F116="","",IFERROR(VLOOKUP($F116,AcctTbl,3,0),""))</f>
        <v/>
      </c>
      <c r="I116" s="71" t="n"/>
      <c r="J116" s="71" t="n"/>
      <c r="K116" s="74" t="n"/>
      <c r="L116" s="71" t="n"/>
      <c r="M116" s="71" t="n"/>
      <c r="N116" s="71" t="n"/>
      <c r="O116" s="71" t="n"/>
      <c r="P116" s="72" t="n"/>
      <c r="Q116" s="72" t="n"/>
      <c r="R116" s="77">
        <f>IF($D116="","",IF($AA116="⚠","⚠ ناتراز",IF(AND($D116="پرداخت",$E116="چک",$L116=""),"⚠ وضعیت چک","✓")))</f>
        <v/>
      </c>
      <c r="S116" s="76">
        <f>IF(OR($D116="",$K116=""),"",IF(AND($D116="پرداخت",$E116&lt;&gt;"انتقال داخلی",$E116&lt;&gt;"پاس چک",$E116&lt;&gt;"برگشت چک"),$K116,0))</f>
        <v/>
      </c>
      <c r="T116" s="76">
        <f>IF(OR($D116="",$K116=""),"",IF(OR(AND($D116="دریافت",$E116&lt;&gt;"انتقال داخلی"),$E116="برگشت چک"),$K116,0))</f>
        <v/>
      </c>
      <c r="U116" s="76">
        <f>IF(OR($D116="",$K116=""),"",IF(OR(AND($D116="دریافت",$E116&lt;&gt;"چک"),$E116="انتقال داخلی"),$K116,0))</f>
        <v/>
      </c>
      <c r="V116" s="76">
        <f>IF(OR($D116="",$K116=""),"",IF(OR(AND($D116="پرداخت",$E116&lt;&gt;"چک",$E116&lt;&gt;"برگشت چک"),$E116="انتقال داخلی"),$K116,0))</f>
        <v/>
      </c>
      <c r="W116" s="76">
        <f>IF(OR($D116="",$K116=""),"",IF(OR($E116="پاس چک",$E116="برگشت چک",AND($D116="دریافت",$E116="چک")),$K116,0))</f>
        <v/>
      </c>
      <c r="X116" s="76">
        <f>IF(OR($D116="",$K116=""),"",IF(AND($D116="پرداخت",$E116="چک"),$K116,0))</f>
        <v/>
      </c>
      <c r="Y116" s="76">
        <f>SUM($S116,$U116,$W116)</f>
        <v/>
      </c>
      <c r="Z116" s="76">
        <f>SUM($T116,$V116,$X116)</f>
        <v/>
      </c>
      <c r="AA116" s="70">
        <f>IF($D116="","",IF(ROUND($Y116-$Z116,0)=0,"✓","⚠"))</f>
        <v/>
      </c>
      <c r="AB116" s="70">
        <f>IF($D116="","",IF($E116="نقد","X003",IF(OR($E116="چک",$E116="پاس چک",$E116="برگشت چک"),"X010",IF($I116="","X003","X011"))))</f>
        <v/>
      </c>
      <c r="AC116" s="70">
        <f>IF($D116="","",IF($E116="انتقال داخلی",IF($N116="","X003",IFERROR(VLOOKUP($N116,BankTbl,4,0),$N116)),IF($I116="","X003",IFERROR(VLOOKUP($I116,BankTbl,4,0),$I116))))</f>
        <v/>
      </c>
      <c r="AD116" s="70">
        <f>IF($D116="","",IF($E116="پاس چک","X010",IF($E116="برگشت چک",IF($I116="","X003","X011"),IF($E116="انتقال داخلی",IF($I116="","X003","X011"),IF($D116="پرداخت",$F116,IF($E116="چک","X009",IF($I116="","X003","X011")))))))</f>
        <v/>
      </c>
      <c r="AE116" s="76">
        <f>IF($D116="","",IF($K116="",0,$K116))</f>
        <v/>
      </c>
      <c r="AF116" s="70">
        <f>IF($D116="","",IF($E116="پاس چک",IF($I116="","X003","X011"),IF($E116="برگشت چک","X010",IF($E116="انتقال داخلی",IF($N116="","X003","X011"),IF($D116="پرداخت",IF($E116="چک","X010",IF($I116="","X003","X011")),$F116)))))</f>
        <v/>
      </c>
      <c r="AG116" s="76">
        <f>IF($D116="","",IF($K116="",0,$K116))</f>
        <v/>
      </c>
    </row>
    <row r="117" ht="21.75" customHeight="1">
      <c r="A117" s="70">
        <f>IF($B117="","",COUNTA($B$10:$B117))</f>
        <v/>
      </c>
      <c r="B117" s="71" t="n"/>
      <c r="C117" s="71" t="n"/>
      <c r="D117" s="71" t="n"/>
      <c r="E117" s="71" t="n"/>
      <c r="F117" s="71" t="n"/>
      <c r="G117" s="73">
        <f>IF($F117="","",IFERROR(VLOOKUP($F117,AcctTbl,2,0),"کد ناشناخته"))</f>
        <v/>
      </c>
      <c r="H117" s="70">
        <f>IF($F117="","",IFERROR(VLOOKUP($F117,AcctTbl,3,0),""))</f>
        <v/>
      </c>
      <c r="I117" s="71" t="n"/>
      <c r="J117" s="71" t="n"/>
      <c r="K117" s="74" t="n"/>
      <c r="L117" s="71" t="n"/>
      <c r="M117" s="71" t="n"/>
      <c r="N117" s="71" t="n"/>
      <c r="O117" s="71" t="n"/>
      <c r="P117" s="72" t="n"/>
      <c r="Q117" s="72" t="n"/>
      <c r="R117" s="77">
        <f>IF($D117="","",IF($AA117="⚠","⚠ ناتراز",IF(AND($D117="پرداخت",$E117="چک",$L117=""),"⚠ وضعیت چک","✓")))</f>
        <v/>
      </c>
      <c r="S117" s="76">
        <f>IF(OR($D117="",$K117=""),"",IF(AND($D117="پرداخت",$E117&lt;&gt;"انتقال داخلی",$E117&lt;&gt;"پاس چک",$E117&lt;&gt;"برگشت چک"),$K117,0))</f>
        <v/>
      </c>
      <c r="T117" s="76">
        <f>IF(OR($D117="",$K117=""),"",IF(OR(AND($D117="دریافت",$E117&lt;&gt;"انتقال داخلی"),$E117="برگشت چک"),$K117,0))</f>
        <v/>
      </c>
      <c r="U117" s="76">
        <f>IF(OR($D117="",$K117=""),"",IF(OR(AND($D117="دریافت",$E117&lt;&gt;"چک"),$E117="انتقال داخلی"),$K117,0))</f>
        <v/>
      </c>
      <c r="V117" s="76">
        <f>IF(OR($D117="",$K117=""),"",IF(OR(AND($D117="پرداخت",$E117&lt;&gt;"چک",$E117&lt;&gt;"برگشت چک"),$E117="انتقال داخلی"),$K117,0))</f>
        <v/>
      </c>
      <c r="W117" s="76">
        <f>IF(OR($D117="",$K117=""),"",IF(OR($E117="پاس چک",$E117="برگشت چک",AND($D117="دریافت",$E117="چک")),$K117,0))</f>
        <v/>
      </c>
      <c r="X117" s="76">
        <f>IF(OR($D117="",$K117=""),"",IF(AND($D117="پرداخت",$E117="چک"),$K117,0))</f>
        <v/>
      </c>
      <c r="Y117" s="76">
        <f>SUM($S117,$U117,$W117)</f>
        <v/>
      </c>
      <c r="Z117" s="76">
        <f>SUM($T117,$V117,$X117)</f>
        <v/>
      </c>
      <c r="AA117" s="70">
        <f>IF($D117="","",IF(ROUND($Y117-$Z117,0)=0,"✓","⚠"))</f>
        <v/>
      </c>
      <c r="AB117" s="70">
        <f>IF($D117="","",IF($E117="نقد","X003",IF(OR($E117="چک",$E117="پاس چک",$E117="برگشت چک"),"X010",IF($I117="","X003","X011"))))</f>
        <v/>
      </c>
      <c r="AC117" s="70">
        <f>IF($D117="","",IF($E117="انتقال داخلی",IF($N117="","X003",IFERROR(VLOOKUP($N117,BankTbl,4,0),$N117)),IF($I117="","X003",IFERROR(VLOOKUP($I117,BankTbl,4,0),$I117))))</f>
        <v/>
      </c>
      <c r="AD117" s="70">
        <f>IF($D117="","",IF($E117="پاس چک","X010",IF($E117="برگشت چک",IF($I117="","X003","X011"),IF($E117="انتقال داخلی",IF($I117="","X003","X011"),IF($D117="پرداخت",$F117,IF($E117="چک","X009",IF($I117="","X003","X011")))))))</f>
        <v/>
      </c>
      <c r="AE117" s="76">
        <f>IF($D117="","",IF($K117="",0,$K117))</f>
        <v/>
      </c>
      <c r="AF117" s="70">
        <f>IF($D117="","",IF($E117="پاس چک",IF($I117="","X003","X011"),IF($E117="برگشت چک","X010",IF($E117="انتقال داخلی",IF($N117="","X003","X011"),IF($D117="پرداخت",IF($E117="چک","X010",IF($I117="","X003","X011")),$F117)))))</f>
        <v/>
      </c>
      <c r="AG117" s="76">
        <f>IF($D117="","",IF($K117="",0,$K117))</f>
        <v/>
      </c>
    </row>
    <row r="118" ht="21.75" customHeight="1">
      <c r="A118" s="70">
        <f>IF($B118="","",COUNTA($B$10:$B118))</f>
        <v/>
      </c>
      <c r="B118" s="71" t="n"/>
      <c r="C118" s="71" t="n"/>
      <c r="D118" s="71" t="n"/>
      <c r="E118" s="71" t="n"/>
      <c r="F118" s="71" t="n"/>
      <c r="G118" s="73">
        <f>IF($F118="","",IFERROR(VLOOKUP($F118,AcctTbl,2,0),"کد ناشناخته"))</f>
        <v/>
      </c>
      <c r="H118" s="70">
        <f>IF($F118="","",IFERROR(VLOOKUP($F118,AcctTbl,3,0),""))</f>
        <v/>
      </c>
      <c r="I118" s="71" t="n"/>
      <c r="J118" s="71" t="n"/>
      <c r="K118" s="74" t="n"/>
      <c r="L118" s="71" t="n"/>
      <c r="M118" s="71" t="n"/>
      <c r="N118" s="71" t="n"/>
      <c r="O118" s="71" t="n"/>
      <c r="P118" s="72" t="n"/>
      <c r="Q118" s="72" t="n"/>
      <c r="R118" s="77">
        <f>IF($D118="","",IF($AA118="⚠","⚠ ناتراز",IF(AND($D118="پرداخت",$E118="چک",$L118=""),"⚠ وضعیت چک","✓")))</f>
        <v/>
      </c>
      <c r="S118" s="76">
        <f>IF(OR($D118="",$K118=""),"",IF(AND($D118="پرداخت",$E118&lt;&gt;"انتقال داخلی",$E118&lt;&gt;"پاس چک",$E118&lt;&gt;"برگشت چک"),$K118,0))</f>
        <v/>
      </c>
      <c r="T118" s="76">
        <f>IF(OR($D118="",$K118=""),"",IF(OR(AND($D118="دریافت",$E118&lt;&gt;"انتقال داخلی"),$E118="برگشت چک"),$K118,0))</f>
        <v/>
      </c>
      <c r="U118" s="76">
        <f>IF(OR($D118="",$K118=""),"",IF(OR(AND($D118="دریافت",$E118&lt;&gt;"چک"),$E118="انتقال داخلی"),$K118,0))</f>
        <v/>
      </c>
      <c r="V118" s="76">
        <f>IF(OR($D118="",$K118=""),"",IF(OR(AND($D118="پرداخت",$E118&lt;&gt;"چک",$E118&lt;&gt;"برگشت چک"),$E118="انتقال داخلی"),$K118,0))</f>
        <v/>
      </c>
      <c r="W118" s="76">
        <f>IF(OR($D118="",$K118=""),"",IF(OR($E118="پاس چک",$E118="برگشت چک",AND($D118="دریافت",$E118="چک")),$K118,0))</f>
        <v/>
      </c>
      <c r="X118" s="76">
        <f>IF(OR($D118="",$K118=""),"",IF(AND($D118="پرداخت",$E118="چک"),$K118,0))</f>
        <v/>
      </c>
      <c r="Y118" s="76">
        <f>SUM($S118,$U118,$W118)</f>
        <v/>
      </c>
      <c r="Z118" s="76">
        <f>SUM($T118,$V118,$X118)</f>
        <v/>
      </c>
      <c r="AA118" s="70">
        <f>IF($D118="","",IF(ROUND($Y118-$Z118,0)=0,"✓","⚠"))</f>
        <v/>
      </c>
      <c r="AB118" s="70">
        <f>IF($D118="","",IF($E118="نقد","X003",IF(OR($E118="چک",$E118="پاس چک",$E118="برگشت چک"),"X010",IF($I118="","X003","X011"))))</f>
        <v/>
      </c>
      <c r="AC118" s="70">
        <f>IF($D118="","",IF($E118="انتقال داخلی",IF($N118="","X003",IFERROR(VLOOKUP($N118,BankTbl,4,0),$N118)),IF($I118="","X003",IFERROR(VLOOKUP($I118,BankTbl,4,0),$I118))))</f>
        <v/>
      </c>
      <c r="AD118" s="70">
        <f>IF($D118="","",IF($E118="پاس چک","X010",IF($E118="برگشت چک",IF($I118="","X003","X011"),IF($E118="انتقال داخلی",IF($I118="","X003","X011"),IF($D118="پرداخت",$F118,IF($E118="چک","X009",IF($I118="","X003","X011")))))))</f>
        <v/>
      </c>
      <c r="AE118" s="76">
        <f>IF($D118="","",IF($K118="",0,$K118))</f>
        <v/>
      </c>
      <c r="AF118" s="70">
        <f>IF($D118="","",IF($E118="پاس چک",IF($I118="","X003","X011"),IF($E118="برگشت چک","X010",IF($E118="انتقال داخلی",IF($N118="","X003","X011"),IF($D118="پرداخت",IF($E118="چک","X010",IF($I118="","X003","X011")),$F118)))))</f>
        <v/>
      </c>
      <c r="AG118" s="76">
        <f>IF($D118="","",IF($K118="",0,$K118))</f>
        <v/>
      </c>
    </row>
    <row r="119" ht="21.75" customHeight="1">
      <c r="A119" s="70">
        <f>IF($B119="","",COUNTA($B$10:$B119))</f>
        <v/>
      </c>
      <c r="B119" s="71" t="n"/>
      <c r="C119" s="71" t="n"/>
      <c r="D119" s="71" t="n"/>
      <c r="E119" s="71" t="n"/>
      <c r="F119" s="71" t="n"/>
      <c r="G119" s="73">
        <f>IF($F119="","",IFERROR(VLOOKUP($F119,AcctTbl,2,0),"کد ناشناخته"))</f>
        <v/>
      </c>
      <c r="H119" s="70">
        <f>IF($F119="","",IFERROR(VLOOKUP($F119,AcctTbl,3,0),""))</f>
        <v/>
      </c>
      <c r="I119" s="71" t="n"/>
      <c r="J119" s="71" t="n"/>
      <c r="K119" s="74" t="n"/>
      <c r="L119" s="71" t="n"/>
      <c r="M119" s="71" t="n"/>
      <c r="N119" s="71" t="n"/>
      <c r="O119" s="71" t="n"/>
      <c r="P119" s="72" t="n"/>
      <c r="Q119" s="72" t="n"/>
      <c r="R119" s="77">
        <f>IF($D119="","",IF($AA119="⚠","⚠ ناتراز",IF(AND($D119="پرداخت",$E119="چک",$L119=""),"⚠ وضعیت چک","✓")))</f>
        <v/>
      </c>
      <c r="S119" s="76">
        <f>IF(OR($D119="",$K119=""),"",IF(AND($D119="پرداخت",$E119&lt;&gt;"انتقال داخلی",$E119&lt;&gt;"پاس چک",$E119&lt;&gt;"برگشت چک"),$K119,0))</f>
        <v/>
      </c>
      <c r="T119" s="76">
        <f>IF(OR($D119="",$K119=""),"",IF(OR(AND($D119="دریافت",$E119&lt;&gt;"انتقال داخلی"),$E119="برگشت چک"),$K119,0))</f>
        <v/>
      </c>
      <c r="U119" s="76">
        <f>IF(OR($D119="",$K119=""),"",IF(OR(AND($D119="دریافت",$E119&lt;&gt;"چک"),$E119="انتقال داخلی"),$K119,0))</f>
        <v/>
      </c>
      <c r="V119" s="76">
        <f>IF(OR($D119="",$K119=""),"",IF(OR(AND($D119="پرداخت",$E119&lt;&gt;"چک",$E119&lt;&gt;"برگشت چک"),$E119="انتقال داخلی"),$K119,0))</f>
        <v/>
      </c>
      <c r="W119" s="76">
        <f>IF(OR($D119="",$K119=""),"",IF(OR($E119="پاس چک",$E119="برگشت چک",AND($D119="دریافت",$E119="چک")),$K119,0))</f>
        <v/>
      </c>
      <c r="X119" s="76">
        <f>IF(OR($D119="",$K119=""),"",IF(AND($D119="پرداخت",$E119="چک"),$K119,0))</f>
        <v/>
      </c>
      <c r="Y119" s="76">
        <f>SUM($S119,$U119,$W119)</f>
        <v/>
      </c>
      <c r="Z119" s="76">
        <f>SUM($T119,$V119,$X119)</f>
        <v/>
      </c>
      <c r="AA119" s="70">
        <f>IF($D119="","",IF(ROUND($Y119-$Z119,0)=0,"✓","⚠"))</f>
        <v/>
      </c>
      <c r="AB119" s="70">
        <f>IF($D119="","",IF($E119="نقد","X003",IF(OR($E119="چک",$E119="پاس چک",$E119="برگشت چک"),"X010",IF($I119="","X003","X011"))))</f>
        <v/>
      </c>
      <c r="AC119" s="70">
        <f>IF($D119="","",IF($E119="انتقال داخلی",IF($N119="","X003",IFERROR(VLOOKUP($N119,BankTbl,4,0),$N119)),IF($I119="","X003",IFERROR(VLOOKUP($I119,BankTbl,4,0),$I119))))</f>
        <v/>
      </c>
      <c r="AD119" s="70">
        <f>IF($D119="","",IF($E119="پاس چک","X010",IF($E119="برگشت چک",IF($I119="","X003","X011"),IF($E119="انتقال داخلی",IF($I119="","X003","X011"),IF($D119="پرداخت",$F119,IF($E119="چک","X009",IF($I119="","X003","X011")))))))</f>
        <v/>
      </c>
      <c r="AE119" s="76">
        <f>IF($D119="","",IF($K119="",0,$K119))</f>
        <v/>
      </c>
      <c r="AF119" s="70">
        <f>IF($D119="","",IF($E119="پاس چک",IF($I119="","X003","X011"),IF($E119="برگشت چک","X010",IF($E119="انتقال داخلی",IF($N119="","X003","X011"),IF($D119="پرداخت",IF($E119="چک","X010",IF($I119="","X003","X011")),$F119)))))</f>
        <v/>
      </c>
      <c r="AG119" s="76">
        <f>IF($D119="","",IF($K119="",0,$K119))</f>
        <v/>
      </c>
    </row>
    <row r="120" ht="21.75" customHeight="1">
      <c r="A120" s="70">
        <f>IF($B120="","",COUNTA($B$10:$B120))</f>
        <v/>
      </c>
      <c r="B120" s="71" t="n"/>
      <c r="C120" s="71" t="n"/>
      <c r="D120" s="71" t="n"/>
      <c r="E120" s="71" t="n"/>
      <c r="F120" s="71" t="n"/>
      <c r="G120" s="73">
        <f>IF($F120="","",IFERROR(VLOOKUP($F120,AcctTbl,2,0),"کد ناشناخته"))</f>
        <v/>
      </c>
      <c r="H120" s="70">
        <f>IF($F120="","",IFERROR(VLOOKUP($F120,AcctTbl,3,0),""))</f>
        <v/>
      </c>
      <c r="I120" s="71" t="n"/>
      <c r="J120" s="71" t="n"/>
      <c r="K120" s="74" t="n"/>
      <c r="L120" s="71" t="n"/>
      <c r="M120" s="71" t="n"/>
      <c r="N120" s="71" t="n"/>
      <c r="O120" s="71" t="n"/>
      <c r="P120" s="72" t="n"/>
      <c r="Q120" s="72" t="n"/>
      <c r="R120" s="77">
        <f>IF($D120="","",IF($AA120="⚠","⚠ ناتراز",IF(AND($D120="پرداخت",$E120="چک",$L120=""),"⚠ وضعیت چک","✓")))</f>
        <v/>
      </c>
      <c r="S120" s="76">
        <f>IF(OR($D120="",$K120=""),"",IF(AND($D120="پرداخت",$E120&lt;&gt;"انتقال داخلی",$E120&lt;&gt;"پاس چک",$E120&lt;&gt;"برگشت چک"),$K120,0))</f>
        <v/>
      </c>
      <c r="T120" s="76">
        <f>IF(OR($D120="",$K120=""),"",IF(OR(AND($D120="دریافت",$E120&lt;&gt;"انتقال داخلی"),$E120="برگشت چک"),$K120,0))</f>
        <v/>
      </c>
      <c r="U120" s="76">
        <f>IF(OR($D120="",$K120=""),"",IF(OR(AND($D120="دریافت",$E120&lt;&gt;"چک"),$E120="انتقال داخلی"),$K120,0))</f>
        <v/>
      </c>
      <c r="V120" s="76">
        <f>IF(OR($D120="",$K120=""),"",IF(OR(AND($D120="پرداخت",$E120&lt;&gt;"چک",$E120&lt;&gt;"برگشت چک"),$E120="انتقال داخلی"),$K120,0))</f>
        <v/>
      </c>
      <c r="W120" s="76">
        <f>IF(OR($D120="",$K120=""),"",IF(OR($E120="پاس چک",$E120="برگشت چک",AND($D120="دریافت",$E120="چک")),$K120,0))</f>
        <v/>
      </c>
      <c r="X120" s="76">
        <f>IF(OR($D120="",$K120=""),"",IF(AND($D120="پرداخت",$E120="چک"),$K120,0))</f>
        <v/>
      </c>
      <c r="Y120" s="76">
        <f>SUM($S120,$U120,$W120)</f>
        <v/>
      </c>
      <c r="Z120" s="76">
        <f>SUM($T120,$V120,$X120)</f>
        <v/>
      </c>
      <c r="AA120" s="70">
        <f>IF($D120="","",IF(ROUND($Y120-$Z120,0)=0,"✓","⚠"))</f>
        <v/>
      </c>
      <c r="AB120" s="70">
        <f>IF($D120="","",IF($E120="نقد","X003",IF(OR($E120="چک",$E120="پاس چک",$E120="برگشت چک"),"X010",IF($I120="","X003","X011"))))</f>
        <v/>
      </c>
      <c r="AC120" s="70">
        <f>IF($D120="","",IF($E120="انتقال داخلی",IF($N120="","X003",IFERROR(VLOOKUP($N120,BankTbl,4,0),$N120)),IF($I120="","X003",IFERROR(VLOOKUP($I120,BankTbl,4,0),$I120))))</f>
        <v/>
      </c>
      <c r="AD120" s="70">
        <f>IF($D120="","",IF($E120="پاس چک","X010",IF($E120="برگشت چک",IF($I120="","X003","X011"),IF($E120="انتقال داخلی",IF($I120="","X003","X011"),IF($D120="پرداخت",$F120,IF($E120="چک","X009",IF($I120="","X003","X011")))))))</f>
        <v/>
      </c>
      <c r="AE120" s="76">
        <f>IF($D120="","",IF($K120="",0,$K120))</f>
        <v/>
      </c>
      <c r="AF120" s="70">
        <f>IF($D120="","",IF($E120="پاس چک",IF($I120="","X003","X011"),IF($E120="برگشت چک","X010",IF($E120="انتقال داخلی",IF($N120="","X003","X011"),IF($D120="پرداخت",IF($E120="چک","X010",IF($I120="","X003","X011")),$F120)))))</f>
        <v/>
      </c>
      <c r="AG120" s="76">
        <f>IF($D120="","",IF($K120="",0,$K120))</f>
        <v/>
      </c>
    </row>
    <row r="121" ht="21.75" customHeight="1">
      <c r="A121" s="70">
        <f>IF($B121="","",COUNTA($B$10:$B121))</f>
        <v/>
      </c>
      <c r="B121" s="71" t="n"/>
      <c r="C121" s="71" t="n"/>
      <c r="D121" s="71" t="n"/>
      <c r="E121" s="71" t="n"/>
      <c r="F121" s="71" t="n"/>
      <c r="G121" s="73">
        <f>IF($F121="","",IFERROR(VLOOKUP($F121,AcctTbl,2,0),"کد ناشناخته"))</f>
        <v/>
      </c>
      <c r="H121" s="70">
        <f>IF($F121="","",IFERROR(VLOOKUP($F121,AcctTbl,3,0),""))</f>
        <v/>
      </c>
      <c r="I121" s="71" t="n"/>
      <c r="J121" s="71" t="n"/>
      <c r="K121" s="74" t="n"/>
      <c r="L121" s="71" t="n"/>
      <c r="M121" s="71" t="n"/>
      <c r="N121" s="71" t="n"/>
      <c r="O121" s="71" t="n"/>
      <c r="P121" s="72" t="n"/>
      <c r="Q121" s="72" t="n"/>
      <c r="R121" s="77">
        <f>IF($D121="","",IF($AA121="⚠","⚠ ناتراز",IF(AND($D121="پرداخت",$E121="چک",$L121=""),"⚠ وضعیت چک","✓")))</f>
        <v/>
      </c>
      <c r="S121" s="76">
        <f>IF(OR($D121="",$K121=""),"",IF(AND($D121="پرداخت",$E121&lt;&gt;"انتقال داخلی",$E121&lt;&gt;"پاس چک",$E121&lt;&gt;"برگشت چک"),$K121,0))</f>
        <v/>
      </c>
      <c r="T121" s="76">
        <f>IF(OR($D121="",$K121=""),"",IF(OR(AND($D121="دریافت",$E121&lt;&gt;"انتقال داخلی"),$E121="برگشت چک"),$K121,0))</f>
        <v/>
      </c>
      <c r="U121" s="76">
        <f>IF(OR($D121="",$K121=""),"",IF(OR(AND($D121="دریافت",$E121&lt;&gt;"چک"),$E121="انتقال داخلی"),$K121,0))</f>
        <v/>
      </c>
      <c r="V121" s="76">
        <f>IF(OR($D121="",$K121=""),"",IF(OR(AND($D121="پرداخت",$E121&lt;&gt;"چک",$E121&lt;&gt;"برگشت چک"),$E121="انتقال داخلی"),$K121,0))</f>
        <v/>
      </c>
      <c r="W121" s="76">
        <f>IF(OR($D121="",$K121=""),"",IF(OR($E121="پاس چک",$E121="برگشت چک",AND($D121="دریافت",$E121="چک")),$K121,0))</f>
        <v/>
      </c>
      <c r="X121" s="76">
        <f>IF(OR($D121="",$K121=""),"",IF(AND($D121="پرداخت",$E121="چک"),$K121,0))</f>
        <v/>
      </c>
      <c r="Y121" s="76">
        <f>SUM($S121,$U121,$W121)</f>
        <v/>
      </c>
      <c r="Z121" s="76">
        <f>SUM($T121,$V121,$X121)</f>
        <v/>
      </c>
      <c r="AA121" s="70">
        <f>IF($D121="","",IF(ROUND($Y121-$Z121,0)=0,"✓","⚠"))</f>
        <v/>
      </c>
      <c r="AB121" s="70">
        <f>IF($D121="","",IF($E121="نقد","X003",IF(OR($E121="چک",$E121="پاس چک",$E121="برگشت چک"),"X010",IF($I121="","X003","X011"))))</f>
        <v/>
      </c>
      <c r="AC121" s="70">
        <f>IF($D121="","",IF($E121="انتقال داخلی",IF($N121="","X003",IFERROR(VLOOKUP($N121,BankTbl,4,0),$N121)),IF($I121="","X003",IFERROR(VLOOKUP($I121,BankTbl,4,0),$I121))))</f>
        <v/>
      </c>
      <c r="AD121" s="70">
        <f>IF($D121="","",IF($E121="پاس چک","X010",IF($E121="برگشت چک",IF($I121="","X003","X011"),IF($E121="انتقال داخلی",IF($I121="","X003","X011"),IF($D121="پرداخت",$F121,IF($E121="چک","X009",IF($I121="","X003","X011")))))))</f>
        <v/>
      </c>
      <c r="AE121" s="76">
        <f>IF($D121="","",IF($K121="",0,$K121))</f>
        <v/>
      </c>
      <c r="AF121" s="70">
        <f>IF($D121="","",IF($E121="پاس چک",IF($I121="","X003","X011"),IF($E121="برگشت چک","X010",IF($E121="انتقال داخلی",IF($N121="","X003","X011"),IF($D121="پرداخت",IF($E121="چک","X010",IF($I121="","X003","X011")),$F121)))))</f>
        <v/>
      </c>
      <c r="AG121" s="76">
        <f>IF($D121="","",IF($K121="",0,$K121))</f>
        <v/>
      </c>
    </row>
    <row r="122" ht="21.75" customHeight="1">
      <c r="A122" s="70">
        <f>IF($B122="","",COUNTA($B$10:$B122))</f>
        <v/>
      </c>
      <c r="B122" s="71" t="n"/>
      <c r="C122" s="71" t="n"/>
      <c r="D122" s="71" t="n"/>
      <c r="E122" s="71" t="n"/>
      <c r="F122" s="71" t="n"/>
      <c r="G122" s="73">
        <f>IF($F122="","",IFERROR(VLOOKUP($F122,AcctTbl,2,0),"کد ناشناخته"))</f>
        <v/>
      </c>
      <c r="H122" s="70">
        <f>IF($F122="","",IFERROR(VLOOKUP($F122,AcctTbl,3,0),""))</f>
        <v/>
      </c>
      <c r="I122" s="71" t="n"/>
      <c r="J122" s="71" t="n"/>
      <c r="K122" s="74" t="n"/>
      <c r="L122" s="71" t="n"/>
      <c r="M122" s="71" t="n"/>
      <c r="N122" s="71" t="n"/>
      <c r="O122" s="71" t="n"/>
      <c r="P122" s="72" t="n"/>
      <c r="Q122" s="72" t="n"/>
      <c r="R122" s="77">
        <f>IF($D122="","",IF($AA122="⚠","⚠ ناتراز",IF(AND($D122="پرداخت",$E122="چک",$L122=""),"⚠ وضعیت چک","✓")))</f>
        <v/>
      </c>
      <c r="S122" s="76">
        <f>IF(OR($D122="",$K122=""),"",IF(AND($D122="پرداخت",$E122&lt;&gt;"انتقال داخلی",$E122&lt;&gt;"پاس چک",$E122&lt;&gt;"برگشت چک"),$K122,0))</f>
        <v/>
      </c>
      <c r="T122" s="76">
        <f>IF(OR($D122="",$K122=""),"",IF(OR(AND($D122="دریافت",$E122&lt;&gt;"انتقال داخلی"),$E122="برگشت چک"),$K122,0))</f>
        <v/>
      </c>
      <c r="U122" s="76">
        <f>IF(OR($D122="",$K122=""),"",IF(OR(AND($D122="دریافت",$E122&lt;&gt;"چک"),$E122="انتقال داخلی"),$K122,0))</f>
        <v/>
      </c>
      <c r="V122" s="76">
        <f>IF(OR($D122="",$K122=""),"",IF(OR(AND($D122="پرداخت",$E122&lt;&gt;"چک",$E122&lt;&gt;"برگشت چک"),$E122="انتقال داخلی"),$K122,0))</f>
        <v/>
      </c>
      <c r="W122" s="76">
        <f>IF(OR($D122="",$K122=""),"",IF(OR($E122="پاس چک",$E122="برگشت چک",AND($D122="دریافت",$E122="چک")),$K122,0))</f>
        <v/>
      </c>
      <c r="X122" s="76">
        <f>IF(OR($D122="",$K122=""),"",IF(AND($D122="پرداخت",$E122="چک"),$K122,0))</f>
        <v/>
      </c>
      <c r="Y122" s="76">
        <f>SUM($S122,$U122,$W122)</f>
        <v/>
      </c>
      <c r="Z122" s="76">
        <f>SUM($T122,$V122,$X122)</f>
        <v/>
      </c>
      <c r="AA122" s="70">
        <f>IF($D122="","",IF(ROUND($Y122-$Z122,0)=0,"✓","⚠"))</f>
        <v/>
      </c>
      <c r="AB122" s="70">
        <f>IF($D122="","",IF($E122="نقد","X003",IF(OR($E122="چک",$E122="پاس چک",$E122="برگشت چک"),"X010",IF($I122="","X003","X011"))))</f>
        <v/>
      </c>
      <c r="AC122" s="70">
        <f>IF($D122="","",IF($E122="انتقال داخلی",IF($N122="","X003",IFERROR(VLOOKUP($N122,BankTbl,4,0),$N122)),IF($I122="","X003",IFERROR(VLOOKUP($I122,BankTbl,4,0),$I122))))</f>
        <v/>
      </c>
      <c r="AD122" s="70">
        <f>IF($D122="","",IF($E122="پاس چک","X010",IF($E122="برگشت چک",IF($I122="","X003","X011"),IF($E122="انتقال داخلی",IF($I122="","X003","X011"),IF($D122="پرداخت",$F122,IF($E122="چک","X009",IF($I122="","X003","X011")))))))</f>
        <v/>
      </c>
      <c r="AE122" s="76">
        <f>IF($D122="","",IF($K122="",0,$K122))</f>
        <v/>
      </c>
      <c r="AF122" s="70">
        <f>IF($D122="","",IF($E122="پاس چک",IF($I122="","X003","X011"),IF($E122="برگشت چک","X010",IF($E122="انتقال داخلی",IF($N122="","X003","X011"),IF($D122="پرداخت",IF($E122="چک","X010",IF($I122="","X003","X011")),$F122)))))</f>
        <v/>
      </c>
      <c r="AG122" s="76">
        <f>IF($D122="","",IF($K122="",0,$K122))</f>
        <v/>
      </c>
    </row>
    <row r="123" ht="21.75" customHeight="1">
      <c r="A123" s="70">
        <f>IF($B123="","",COUNTA($B$10:$B123))</f>
        <v/>
      </c>
      <c r="B123" s="71" t="n"/>
      <c r="C123" s="71" t="n"/>
      <c r="D123" s="71" t="n"/>
      <c r="E123" s="71" t="n"/>
      <c r="F123" s="71" t="n"/>
      <c r="G123" s="73">
        <f>IF($F123="","",IFERROR(VLOOKUP($F123,AcctTbl,2,0),"کد ناشناخته"))</f>
        <v/>
      </c>
      <c r="H123" s="70">
        <f>IF($F123="","",IFERROR(VLOOKUP($F123,AcctTbl,3,0),""))</f>
        <v/>
      </c>
      <c r="I123" s="71" t="n"/>
      <c r="J123" s="71" t="n"/>
      <c r="K123" s="74" t="n"/>
      <c r="L123" s="71" t="n"/>
      <c r="M123" s="71" t="n"/>
      <c r="N123" s="71" t="n"/>
      <c r="O123" s="71" t="n"/>
      <c r="P123" s="72" t="n"/>
      <c r="Q123" s="72" t="n"/>
      <c r="R123" s="77">
        <f>IF($D123="","",IF($AA123="⚠","⚠ ناتراز",IF(AND($D123="پرداخت",$E123="چک",$L123=""),"⚠ وضعیت چک","✓")))</f>
        <v/>
      </c>
      <c r="S123" s="76">
        <f>IF(OR($D123="",$K123=""),"",IF(AND($D123="پرداخت",$E123&lt;&gt;"انتقال داخلی",$E123&lt;&gt;"پاس چک",$E123&lt;&gt;"برگشت چک"),$K123,0))</f>
        <v/>
      </c>
      <c r="T123" s="76">
        <f>IF(OR($D123="",$K123=""),"",IF(OR(AND($D123="دریافت",$E123&lt;&gt;"انتقال داخلی"),$E123="برگشت چک"),$K123,0))</f>
        <v/>
      </c>
      <c r="U123" s="76">
        <f>IF(OR($D123="",$K123=""),"",IF(OR(AND($D123="دریافت",$E123&lt;&gt;"چک"),$E123="انتقال داخلی"),$K123,0))</f>
        <v/>
      </c>
      <c r="V123" s="76">
        <f>IF(OR($D123="",$K123=""),"",IF(OR(AND($D123="پرداخت",$E123&lt;&gt;"چک",$E123&lt;&gt;"برگشت چک"),$E123="انتقال داخلی"),$K123,0))</f>
        <v/>
      </c>
      <c r="W123" s="76">
        <f>IF(OR($D123="",$K123=""),"",IF(OR($E123="پاس چک",$E123="برگشت چک",AND($D123="دریافت",$E123="چک")),$K123,0))</f>
        <v/>
      </c>
      <c r="X123" s="76">
        <f>IF(OR($D123="",$K123=""),"",IF(AND($D123="پرداخت",$E123="چک"),$K123,0))</f>
        <v/>
      </c>
      <c r="Y123" s="76">
        <f>SUM($S123,$U123,$W123)</f>
        <v/>
      </c>
      <c r="Z123" s="76">
        <f>SUM($T123,$V123,$X123)</f>
        <v/>
      </c>
      <c r="AA123" s="70">
        <f>IF($D123="","",IF(ROUND($Y123-$Z123,0)=0,"✓","⚠"))</f>
        <v/>
      </c>
      <c r="AB123" s="70">
        <f>IF($D123="","",IF($E123="نقد","X003",IF(OR($E123="چک",$E123="پاس چک",$E123="برگشت چک"),"X010",IF($I123="","X003","X011"))))</f>
        <v/>
      </c>
      <c r="AC123" s="70">
        <f>IF($D123="","",IF($E123="انتقال داخلی",IF($N123="","X003",IFERROR(VLOOKUP($N123,BankTbl,4,0),$N123)),IF($I123="","X003",IFERROR(VLOOKUP($I123,BankTbl,4,0),$I123))))</f>
        <v/>
      </c>
      <c r="AD123" s="70">
        <f>IF($D123="","",IF($E123="پاس چک","X010",IF($E123="برگشت چک",IF($I123="","X003","X011"),IF($E123="انتقال داخلی",IF($I123="","X003","X011"),IF($D123="پرداخت",$F123,IF($E123="چک","X009",IF($I123="","X003","X011")))))))</f>
        <v/>
      </c>
      <c r="AE123" s="76">
        <f>IF($D123="","",IF($K123="",0,$K123))</f>
        <v/>
      </c>
      <c r="AF123" s="70">
        <f>IF($D123="","",IF($E123="پاس چک",IF($I123="","X003","X011"),IF($E123="برگشت چک","X010",IF($E123="انتقال داخلی",IF($N123="","X003","X011"),IF($D123="پرداخت",IF($E123="چک","X010",IF($I123="","X003","X011")),$F123)))))</f>
        <v/>
      </c>
      <c r="AG123" s="76">
        <f>IF($D123="","",IF($K123="",0,$K123))</f>
        <v/>
      </c>
    </row>
    <row r="124" ht="21.75" customHeight="1">
      <c r="A124" s="70">
        <f>IF($B124="","",COUNTA($B$10:$B124))</f>
        <v/>
      </c>
      <c r="B124" s="71" t="n"/>
      <c r="C124" s="71" t="n"/>
      <c r="D124" s="71" t="n"/>
      <c r="E124" s="71" t="n"/>
      <c r="F124" s="71" t="n"/>
      <c r="G124" s="73">
        <f>IF($F124="","",IFERROR(VLOOKUP($F124,AcctTbl,2,0),"کد ناشناخته"))</f>
        <v/>
      </c>
      <c r="H124" s="70">
        <f>IF($F124="","",IFERROR(VLOOKUP($F124,AcctTbl,3,0),""))</f>
        <v/>
      </c>
      <c r="I124" s="71" t="n"/>
      <c r="J124" s="71" t="n"/>
      <c r="K124" s="74" t="n"/>
      <c r="L124" s="71" t="n"/>
      <c r="M124" s="71" t="n"/>
      <c r="N124" s="71" t="n"/>
      <c r="O124" s="71" t="n"/>
      <c r="P124" s="72" t="n"/>
      <c r="Q124" s="72" t="n"/>
      <c r="R124" s="77">
        <f>IF($D124="","",IF($AA124="⚠","⚠ ناتراز",IF(AND($D124="پرداخت",$E124="چک",$L124=""),"⚠ وضعیت چک","✓")))</f>
        <v/>
      </c>
      <c r="S124" s="76">
        <f>IF(OR($D124="",$K124=""),"",IF(AND($D124="پرداخت",$E124&lt;&gt;"انتقال داخلی",$E124&lt;&gt;"پاس چک",$E124&lt;&gt;"برگشت چک"),$K124,0))</f>
        <v/>
      </c>
      <c r="T124" s="76">
        <f>IF(OR($D124="",$K124=""),"",IF(OR(AND($D124="دریافت",$E124&lt;&gt;"انتقال داخلی"),$E124="برگشت چک"),$K124,0))</f>
        <v/>
      </c>
      <c r="U124" s="76">
        <f>IF(OR($D124="",$K124=""),"",IF(OR(AND($D124="دریافت",$E124&lt;&gt;"چک"),$E124="انتقال داخلی"),$K124,0))</f>
        <v/>
      </c>
      <c r="V124" s="76">
        <f>IF(OR($D124="",$K124=""),"",IF(OR(AND($D124="پرداخت",$E124&lt;&gt;"چک",$E124&lt;&gt;"برگشت چک"),$E124="انتقال داخلی"),$K124,0))</f>
        <v/>
      </c>
      <c r="W124" s="76">
        <f>IF(OR($D124="",$K124=""),"",IF(OR($E124="پاس چک",$E124="برگشت چک",AND($D124="دریافت",$E124="چک")),$K124,0))</f>
        <v/>
      </c>
      <c r="X124" s="76">
        <f>IF(OR($D124="",$K124=""),"",IF(AND($D124="پرداخت",$E124="چک"),$K124,0))</f>
        <v/>
      </c>
      <c r="Y124" s="76">
        <f>SUM($S124,$U124,$W124)</f>
        <v/>
      </c>
      <c r="Z124" s="76">
        <f>SUM($T124,$V124,$X124)</f>
        <v/>
      </c>
      <c r="AA124" s="70">
        <f>IF($D124="","",IF(ROUND($Y124-$Z124,0)=0,"✓","⚠"))</f>
        <v/>
      </c>
      <c r="AB124" s="70">
        <f>IF($D124="","",IF($E124="نقد","X003",IF(OR($E124="چک",$E124="پاس چک",$E124="برگشت چک"),"X010",IF($I124="","X003","X011"))))</f>
        <v/>
      </c>
      <c r="AC124" s="70">
        <f>IF($D124="","",IF($E124="انتقال داخلی",IF($N124="","X003",IFERROR(VLOOKUP($N124,BankTbl,4,0),$N124)),IF($I124="","X003",IFERROR(VLOOKUP($I124,BankTbl,4,0),$I124))))</f>
        <v/>
      </c>
      <c r="AD124" s="70">
        <f>IF($D124="","",IF($E124="پاس چک","X010",IF($E124="برگشت چک",IF($I124="","X003","X011"),IF($E124="انتقال داخلی",IF($I124="","X003","X011"),IF($D124="پرداخت",$F124,IF($E124="چک","X009",IF($I124="","X003","X011")))))))</f>
        <v/>
      </c>
      <c r="AE124" s="76">
        <f>IF($D124="","",IF($K124="",0,$K124))</f>
        <v/>
      </c>
      <c r="AF124" s="70">
        <f>IF($D124="","",IF($E124="پاس چک",IF($I124="","X003","X011"),IF($E124="برگشت چک","X010",IF($E124="انتقال داخلی",IF($N124="","X003","X011"),IF($D124="پرداخت",IF($E124="چک","X010",IF($I124="","X003","X011")),$F124)))))</f>
        <v/>
      </c>
      <c r="AG124" s="76">
        <f>IF($D124="","",IF($K124="",0,$K124))</f>
        <v/>
      </c>
    </row>
    <row r="125" ht="21.75" customHeight="1">
      <c r="A125" s="70">
        <f>IF($B125="","",COUNTA($B$10:$B125))</f>
        <v/>
      </c>
      <c r="B125" s="71" t="n"/>
      <c r="C125" s="71" t="n"/>
      <c r="D125" s="71" t="n"/>
      <c r="E125" s="71" t="n"/>
      <c r="F125" s="71" t="n"/>
      <c r="G125" s="73">
        <f>IF($F125="","",IFERROR(VLOOKUP($F125,AcctTbl,2,0),"کد ناشناخته"))</f>
        <v/>
      </c>
      <c r="H125" s="70">
        <f>IF($F125="","",IFERROR(VLOOKUP($F125,AcctTbl,3,0),""))</f>
        <v/>
      </c>
      <c r="I125" s="71" t="n"/>
      <c r="J125" s="71" t="n"/>
      <c r="K125" s="74" t="n"/>
      <c r="L125" s="71" t="n"/>
      <c r="M125" s="71" t="n"/>
      <c r="N125" s="71" t="n"/>
      <c r="O125" s="71" t="n"/>
      <c r="P125" s="72" t="n"/>
      <c r="Q125" s="72" t="n"/>
      <c r="R125" s="77">
        <f>IF($D125="","",IF($AA125="⚠","⚠ ناتراز",IF(AND($D125="پرداخت",$E125="چک",$L125=""),"⚠ وضعیت چک","✓")))</f>
        <v/>
      </c>
      <c r="S125" s="76">
        <f>IF(OR($D125="",$K125=""),"",IF(AND($D125="پرداخت",$E125&lt;&gt;"انتقال داخلی",$E125&lt;&gt;"پاس چک",$E125&lt;&gt;"برگشت چک"),$K125,0))</f>
        <v/>
      </c>
      <c r="T125" s="76">
        <f>IF(OR($D125="",$K125=""),"",IF(OR(AND($D125="دریافت",$E125&lt;&gt;"انتقال داخلی"),$E125="برگشت چک"),$K125,0))</f>
        <v/>
      </c>
      <c r="U125" s="76">
        <f>IF(OR($D125="",$K125=""),"",IF(OR(AND($D125="دریافت",$E125&lt;&gt;"چک"),$E125="انتقال داخلی"),$K125,0))</f>
        <v/>
      </c>
      <c r="V125" s="76">
        <f>IF(OR($D125="",$K125=""),"",IF(OR(AND($D125="پرداخت",$E125&lt;&gt;"چک",$E125&lt;&gt;"برگشت چک"),$E125="انتقال داخلی"),$K125,0))</f>
        <v/>
      </c>
      <c r="W125" s="76">
        <f>IF(OR($D125="",$K125=""),"",IF(OR($E125="پاس چک",$E125="برگشت چک",AND($D125="دریافت",$E125="چک")),$K125,0))</f>
        <v/>
      </c>
      <c r="X125" s="76">
        <f>IF(OR($D125="",$K125=""),"",IF(AND($D125="پرداخت",$E125="چک"),$K125,0))</f>
        <v/>
      </c>
      <c r="Y125" s="76">
        <f>SUM($S125,$U125,$W125)</f>
        <v/>
      </c>
      <c r="Z125" s="76">
        <f>SUM($T125,$V125,$X125)</f>
        <v/>
      </c>
      <c r="AA125" s="70">
        <f>IF($D125="","",IF(ROUND($Y125-$Z125,0)=0,"✓","⚠"))</f>
        <v/>
      </c>
      <c r="AB125" s="70">
        <f>IF($D125="","",IF($E125="نقد","X003",IF(OR($E125="چک",$E125="پاس چک",$E125="برگشت چک"),"X010",IF($I125="","X003","X011"))))</f>
        <v/>
      </c>
      <c r="AC125" s="70">
        <f>IF($D125="","",IF($E125="انتقال داخلی",IF($N125="","X003",IFERROR(VLOOKUP($N125,BankTbl,4,0),$N125)),IF($I125="","X003",IFERROR(VLOOKUP($I125,BankTbl,4,0),$I125))))</f>
        <v/>
      </c>
      <c r="AD125" s="70">
        <f>IF($D125="","",IF($E125="پاس چک","X010",IF($E125="برگشت چک",IF($I125="","X003","X011"),IF($E125="انتقال داخلی",IF($I125="","X003","X011"),IF($D125="پرداخت",$F125,IF($E125="چک","X009",IF($I125="","X003","X011")))))))</f>
        <v/>
      </c>
      <c r="AE125" s="76">
        <f>IF($D125="","",IF($K125="",0,$K125))</f>
        <v/>
      </c>
      <c r="AF125" s="70">
        <f>IF($D125="","",IF($E125="پاس چک",IF($I125="","X003","X011"),IF($E125="برگشت چک","X010",IF($E125="انتقال داخلی",IF($N125="","X003","X011"),IF($D125="پرداخت",IF($E125="چک","X010",IF($I125="","X003","X011")),$F125)))))</f>
        <v/>
      </c>
      <c r="AG125" s="76">
        <f>IF($D125="","",IF($K125="",0,$K125))</f>
        <v/>
      </c>
    </row>
    <row r="126" ht="21.75" customHeight="1">
      <c r="A126" s="70">
        <f>IF($B126="","",COUNTA($B$10:$B126))</f>
        <v/>
      </c>
      <c r="B126" s="71" t="n"/>
      <c r="C126" s="71" t="n"/>
      <c r="D126" s="71" t="n"/>
      <c r="E126" s="71" t="n"/>
      <c r="F126" s="71" t="n"/>
      <c r="G126" s="73">
        <f>IF($F126="","",IFERROR(VLOOKUP($F126,AcctTbl,2,0),"کد ناشناخته"))</f>
        <v/>
      </c>
      <c r="H126" s="70">
        <f>IF($F126="","",IFERROR(VLOOKUP($F126,AcctTbl,3,0),""))</f>
        <v/>
      </c>
      <c r="I126" s="71" t="n"/>
      <c r="J126" s="71" t="n"/>
      <c r="K126" s="74" t="n"/>
      <c r="L126" s="71" t="n"/>
      <c r="M126" s="71" t="n"/>
      <c r="N126" s="71" t="n"/>
      <c r="O126" s="71" t="n"/>
      <c r="P126" s="72" t="n"/>
      <c r="Q126" s="72" t="n"/>
      <c r="R126" s="77">
        <f>IF($D126="","",IF($AA126="⚠","⚠ ناتراز",IF(AND($D126="پرداخت",$E126="چک",$L126=""),"⚠ وضعیت چک","✓")))</f>
        <v/>
      </c>
      <c r="S126" s="76">
        <f>IF(OR($D126="",$K126=""),"",IF(AND($D126="پرداخت",$E126&lt;&gt;"انتقال داخلی",$E126&lt;&gt;"پاس چک",$E126&lt;&gt;"برگشت چک"),$K126,0))</f>
        <v/>
      </c>
      <c r="T126" s="76">
        <f>IF(OR($D126="",$K126=""),"",IF(OR(AND($D126="دریافت",$E126&lt;&gt;"انتقال داخلی"),$E126="برگشت چک"),$K126,0))</f>
        <v/>
      </c>
      <c r="U126" s="76">
        <f>IF(OR($D126="",$K126=""),"",IF(OR(AND($D126="دریافت",$E126&lt;&gt;"چک"),$E126="انتقال داخلی"),$K126,0))</f>
        <v/>
      </c>
      <c r="V126" s="76">
        <f>IF(OR($D126="",$K126=""),"",IF(OR(AND($D126="پرداخت",$E126&lt;&gt;"چک",$E126&lt;&gt;"برگشت چک"),$E126="انتقال داخلی"),$K126,0))</f>
        <v/>
      </c>
      <c r="W126" s="76">
        <f>IF(OR($D126="",$K126=""),"",IF(OR($E126="پاس چک",$E126="برگشت چک",AND($D126="دریافت",$E126="چک")),$K126,0))</f>
        <v/>
      </c>
      <c r="X126" s="76">
        <f>IF(OR($D126="",$K126=""),"",IF(AND($D126="پرداخت",$E126="چک"),$K126,0))</f>
        <v/>
      </c>
      <c r="Y126" s="76">
        <f>SUM($S126,$U126,$W126)</f>
        <v/>
      </c>
      <c r="Z126" s="76">
        <f>SUM($T126,$V126,$X126)</f>
        <v/>
      </c>
      <c r="AA126" s="70">
        <f>IF($D126="","",IF(ROUND($Y126-$Z126,0)=0,"✓","⚠"))</f>
        <v/>
      </c>
      <c r="AB126" s="70">
        <f>IF($D126="","",IF($E126="نقد","X003",IF(OR($E126="چک",$E126="پاس چک",$E126="برگشت چک"),"X010",IF($I126="","X003","X011"))))</f>
        <v/>
      </c>
      <c r="AC126" s="70">
        <f>IF($D126="","",IF($E126="انتقال داخلی",IF($N126="","X003",IFERROR(VLOOKUP($N126,BankTbl,4,0),$N126)),IF($I126="","X003",IFERROR(VLOOKUP($I126,BankTbl,4,0),$I126))))</f>
        <v/>
      </c>
      <c r="AD126" s="70">
        <f>IF($D126="","",IF($E126="پاس چک","X010",IF($E126="برگشت چک",IF($I126="","X003","X011"),IF($E126="انتقال داخلی",IF($I126="","X003","X011"),IF($D126="پرداخت",$F126,IF($E126="چک","X009",IF($I126="","X003","X011")))))))</f>
        <v/>
      </c>
      <c r="AE126" s="76">
        <f>IF($D126="","",IF($K126="",0,$K126))</f>
        <v/>
      </c>
      <c r="AF126" s="70">
        <f>IF($D126="","",IF($E126="پاس چک",IF($I126="","X003","X011"),IF($E126="برگشت چک","X010",IF($E126="انتقال داخلی",IF($N126="","X003","X011"),IF($D126="پرداخت",IF($E126="چک","X010",IF($I126="","X003","X011")),$F126)))))</f>
        <v/>
      </c>
      <c r="AG126" s="76">
        <f>IF($D126="","",IF($K126="",0,$K126))</f>
        <v/>
      </c>
    </row>
    <row r="127" ht="21.75" customHeight="1">
      <c r="A127" s="70">
        <f>IF($B127="","",COUNTA($B$10:$B127))</f>
        <v/>
      </c>
      <c r="B127" s="71" t="n"/>
      <c r="C127" s="71" t="n"/>
      <c r="D127" s="71" t="n"/>
      <c r="E127" s="71" t="n"/>
      <c r="F127" s="71" t="n"/>
      <c r="G127" s="73">
        <f>IF($F127="","",IFERROR(VLOOKUP($F127,AcctTbl,2,0),"کد ناشناخته"))</f>
        <v/>
      </c>
      <c r="H127" s="70">
        <f>IF($F127="","",IFERROR(VLOOKUP($F127,AcctTbl,3,0),""))</f>
        <v/>
      </c>
      <c r="I127" s="71" t="n"/>
      <c r="J127" s="71" t="n"/>
      <c r="K127" s="74" t="n"/>
      <c r="L127" s="71" t="n"/>
      <c r="M127" s="71" t="n"/>
      <c r="N127" s="71" t="n"/>
      <c r="O127" s="71" t="n"/>
      <c r="P127" s="72" t="n"/>
      <c r="Q127" s="72" t="n"/>
      <c r="R127" s="77">
        <f>IF($D127="","",IF($AA127="⚠","⚠ ناتراز",IF(AND($D127="پرداخت",$E127="چک",$L127=""),"⚠ وضعیت چک","✓")))</f>
        <v/>
      </c>
      <c r="S127" s="76">
        <f>IF(OR($D127="",$K127=""),"",IF(AND($D127="پرداخت",$E127&lt;&gt;"انتقال داخلی",$E127&lt;&gt;"پاس چک",$E127&lt;&gt;"برگشت چک"),$K127,0))</f>
        <v/>
      </c>
      <c r="T127" s="76">
        <f>IF(OR($D127="",$K127=""),"",IF(OR(AND($D127="دریافت",$E127&lt;&gt;"انتقال داخلی"),$E127="برگشت چک"),$K127,0))</f>
        <v/>
      </c>
      <c r="U127" s="76">
        <f>IF(OR($D127="",$K127=""),"",IF(OR(AND($D127="دریافت",$E127&lt;&gt;"چک"),$E127="انتقال داخلی"),$K127,0))</f>
        <v/>
      </c>
      <c r="V127" s="76">
        <f>IF(OR($D127="",$K127=""),"",IF(OR(AND($D127="پرداخت",$E127&lt;&gt;"چک",$E127&lt;&gt;"برگشت چک"),$E127="انتقال داخلی"),$K127,0))</f>
        <v/>
      </c>
      <c r="W127" s="76">
        <f>IF(OR($D127="",$K127=""),"",IF(OR($E127="پاس چک",$E127="برگشت چک",AND($D127="دریافت",$E127="چک")),$K127,0))</f>
        <v/>
      </c>
      <c r="X127" s="76">
        <f>IF(OR($D127="",$K127=""),"",IF(AND($D127="پرداخت",$E127="چک"),$K127,0))</f>
        <v/>
      </c>
      <c r="Y127" s="76">
        <f>SUM($S127,$U127,$W127)</f>
        <v/>
      </c>
      <c r="Z127" s="76">
        <f>SUM($T127,$V127,$X127)</f>
        <v/>
      </c>
      <c r="AA127" s="70">
        <f>IF($D127="","",IF(ROUND($Y127-$Z127,0)=0,"✓","⚠"))</f>
        <v/>
      </c>
      <c r="AB127" s="70">
        <f>IF($D127="","",IF($E127="نقد","X003",IF(OR($E127="چک",$E127="پاس چک",$E127="برگشت چک"),"X010",IF($I127="","X003","X011"))))</f>
        <v/>
      </c>
      <c r="AC127" s="70">
        <f>IF($D127="","",IF($E127="انتقال داخلی",IF($N127="","X003",IFERROR(VLOOKUP($N127,BankTbl,4,0),$N127)),IF($I127="","X003",IFERROR(VLOOKUP($I127,BankTbl,4,0),$I127))))</f>
        <v/>
      </c>
      <c r="AD127" s="70">
        <f>IF($D127="","",IF($E127="پاس چک","X010",IF($E127="برگشت چک",IF($I127="","X003","X011"),IF($E127="انتقال داخلی",IF($I127="","X003","X011"),IF($D127="پرداخت",$F127,IF($E127="چک","X009",IF($I127="","X003","X011")))))))</f>
        <v/>
      </c>
      <c r="AE127" s="76">
        <f>IF($D127="","",IF($K127="",0,$K127))</f>
        <v/>
      </c>
      <c r="AF127" s="70">
        <f>IF($D127="","",IF($E127="پاس چک",IF($I127="","X003","X011"),IF($E127="برگشت چک","X010",IF($E127="انتقال داخلی",IF($N127="","X003","X011"),IF($D127="پرداخت",IF($E127="چک","X010",IF($I127="","X003","X011")),$F127)))))</f>
        <v/>
      </c>
      <c r="AG127" s="76">
        <f>IF($D127="","",IF($K127="",0,$K127))</f>
        <v/>
      </c>
    </row>
    <row r="128" ht="21.75" customHeight="1">
      <c r="A128" s="70">
        <f>IF($B128="","",COUNTA($B$10:$B128))</f>
        <v/>
      </c>
      <c r="B128" s="71" t="n"/>
      <c r="C128" s="71" t="n"/>
      <c r="D128" s="71" t="n"/>
      <c r="E128" s="71" t="n"/>
      <c r="F128" s="71" t="n"/>
      <c r="G128" s="73">
        <f>IF($F128="","",IFERROR(VLOOKUP($F128,AcctTbl,2,0),"کد ناشناخته"))</f>
        <v/>
      </c>
      <c r="H128" s="70">
        <f>IF($F128="","",IFERROR(VLOOKUP($F128,AcctTbl,3,0),""))</f>
        <v/>
      </c>
      <c r="I128" s="71" t="n"/>
      <c r="J128" s="71" t="n"/>
      <c r="K128" s="74" t="n"/>
      <c r="L128" s="71" t="n"/>
      <c r="M128" s="71" t="n"/>
      <c r="N128" s="71" t="n"/>
      <c r="O128" s="71" t="n"/>
      <c r="P128" s="72" t="n"/>
      <c r="Q128" s="72" t="n"/>
      <c r="R128" s="77">
        <f>IF($D128="","",IF($AA128="⚠","⚠ ناتراز",IF(AND($D128="پرداخت",$E128="چک",$L128=""),"⚠ وضعیت چک","✓")))</f>
        <v/>
      </c>
      <c r="S128" s="76">
        <f>IF(OR($D128="",$K128=""),"",IF(AND($D128="پرداخت",$E128&lt;&gt;"انتقال داخلی",$E128&lt;&gt;"پاس چک",$E128&lt;&gt;"برگشت چک"),$K128,0))</f>
        <v/>
      </c>
      <c r="T128" s="76">
        <f>IF(OR($D128="",$K128=""),"",IF(OR(AND($D128="دریافت",$E128&lt;&gt;"انتقال داخلی"),$E128="برگشت چک"),$K128,0))</f>
        <v/>
      </c>
      <c r="U128" s="76">
        <f>IF(OR($D128="",$K128=""),"",IF(OR(AND($D128="دریافت",$E128&lt;&gt;"چک"),$E128="انتقال داخلی"),$K128,0))</f>
        <v/>
      </c>
      <c r="V128" s="76">
        <f>IF(OR($D128="",$K128=""),"",IF(OR(AND($D128="پرداخت",$E128&lt;&gt;"چک",$E128&lt;&gt;"برگشت چک"),$E128="انتقال داخلی"),$K128,0))</f>
        <v/>
      </c>
      <c r="W128" s="76">
        <f>IF(OR($D128="",$K128=""),"",IF(OR($E128="پاس چک",$E128="برگشت چک",AND($D128="دریافت",$E128="چک")),$K128,0))</f>
        <v/>
      </c>
      <c r="X128" s="76">
        <f>IF(OR($D128="",$K128=""),"",IF(AND($D128="پرداخت",$E128="چک"),$K128,0))</f>
        <v/>
      </c>
      <c r="Y128" s="76">
        <f>SUM($S128,$U128,$W128)</f>
        <v/>
      </c>
      <c r="Z128" s="76">
        <f>SUM($T128,$V128,$X128)</f>
        <v/>
      </c>
      <c r="AA128" s="70">
        <f>IF($D128="","",IF(ROUND($Y128-$Z128,0)=0,"✓","⚠"))</f>
        <v/>
      </c>
      <c r="AB128" s="70">
        <f>IF($D128="","",IF($E128="نقد","X003",IF(OR($E128="چک",$E128="پاس چک",$E128="برگشت چک"),"X010",IF($I128="","X003","X011"))))</f>
        <v/>
      </c>
      <c r="AC128" s="70">
        <f>IF($D128="","",IF($E128="انتقال داخلی",IF($N128="","X003",IFERROR(VLOOKUP($N128,BankTbl,4,0),$N128)),IF($I128="","X003",IFERROR(VLOOKUP($I128,BankTbl,4,0),$I128))))</f>
        <v/>
      </c>
      <c r="AD128" s="70">
        <f>IF($D128="","",IF($E128="پاس چک","X010",IF($E128="برگشت چک",IF($I128="","X003","X011"),IF($E128="انتقال داخلی",IF($I128="","X003","X011"),IF($D128="پرداخت",$F128,IF($E128="چک","X009",IF($I128="","X003","X011")))))))</f>
        <v/>
      </c>
      <c r="AE128" s="76">
        <f>IF($D128="","",IF($K128="",0,$K128))</f>
        <v/>
      </c>
      <c r="AF128" s="70">
        <f>IF($D128="","",IF($E128="پاس چک",IF($I128="","X003","X011"),IF($E128="برگشت چک","X010",IF($E128="انتقال داخلی",IF($N128="","X003","X011"),IF($D128="پرداخت",IF($E128="چک","X010",IF($I128="","X003","X011")),$F128)))))</f>
        <v/>
      </c>
      <c r="AG128" s="76">
        <f>IF($D128="","",IF($K128="",0,$K128))</f>
        <v/>
      </c>
    </row>
    <row r="129" ht="21.75" customHeight="1">
      <c r="A129" s="70">
        <f>IF($B129="","",COUNTA($B$10:$B129))</f>
        <v/>
      </c>
      <c r="B129" s="71" t="n"/>
      <c r="C129" s="71" t="n"/>
      <c r="D129" s="71" t="n"/>
      <c r="E129" s="71" t="n"/>
      <c r="F129" s="71" t="n"/>
      <c r="G129" s="73">
        <f>IF($F129="","",IFERROR(VLOOKUP($F129,AcctTbl,2,0),"کد ناشناخته"))</f>
        <v/>
      </c>
      <c r="H129" s="70">
        <f>IF($F129="","",IFERROR(VLOOKUP($F129,AcctTbl,3,0),""))</f>
        <v/>
      </c>
      <c r="I129" s="71" t="n"/>
      <c r="J129" s="71" t="n"/>
      <c r="K129" s="74" t="n"/>
      <c r="L129" s="71" t="n"/>
      <c r="M129" s="71" t="n"/>
      <c r="N129" s="71" t="n"/>
      <c r="O129" s="71" t="n"/>
      <c r="P129" s="72" t="n"/>
      <c r="Q129" s="72" t="n"/>
      <c r="R129" s="77">
        <f>IF($D129="","",IF($AA129="⚠","⚠ ناتراز",IF(AND($D129="پرداخت",$E129="چک",$L129=""),"⚠ وضعیت چک","✓")))</f>
        <v/>
      </c>
      <c r="S129" s="76">
        <f>IF(OR($D129="",$K129=""),"",IF(AND($D129="پرداخت",$E129&lt;&gt;"انتقال داخلی",$E129&lt;&gt;"پاس چک",$E129&lt;&gt;"برگشت چک"),$K129,0))</f>
        <v/>
      </c>
      <c r="T129" s="76">
        <f>IF(OR($D129="",$K129=""),"",IF(OR(AND($D129="دریافت",$E129&lt;&gt;"انتقال داخلی"),$E129="برگشت چک"),$K129,0))</f>
        <v/>
      </c>
      <c r="U129" s="76">
        <f>IF(OR($D129="",$K129=""),"",IF(OR(AND($D129="دریافت",$E129&lt;&gt;"چک"),$E129="انتقال داخلی"),$K129,0))</f>
        <v/>
      </c>
      <c r="V129" s="76">
        <f>IF(OR($D129="",$K129=""),"",IF(OR(AND($D129="پرداخت",$E129&lt;&gt;"چک",$E129&lt;&gt;"برگشت چک"),$E129="انتقال داخلی"),$K129,0))</f>
        <v/>
      </c>
      <c r="W129" s="76">
        <f>IF(OR($D129="",$K129=""),"",IF(OR($E129="پاس چک",$E129="برگشت چک",AND($D129="دریافت",$E129="چک")),$K129,0))</f>
        <v/>
      </c>
      <c r="X129" s="76">
        <f>IF(OR($D129="",$K129=""),"",IF(AND($D129="پرداخت",$E129="چک"),$K129,0))</f>
        <v/>
      </c>
      <c r="Y129" s="76">
        <f>SUM($S129,$U129,$W129)</f>
        <v/>
      </c>
      <c r="Z129" s="76">
        <f>SUM($T129,$V129,$X129)</f>
        <v/>
      </c>
      <c r="AA129" s="70">
        <f>IF($D129="","",IF(ROUND($Y129-$Z129,0)=0,"✓","⚠"))</f>
        <v/>
      </c>
      <c r="AB129" s="70">
        <f>IF($D129="","",IF($E129="نقد","X003",IF(OR($E129="چک",$E129="پاس چک",$E129="برگشت چک"),"X010",IF($I129="","X003","X011"))))</f>
        <v/>
      </c>
      <c r="AC129" s="70">
        <f>IF($D129="","",IF($E129="انتقال داخلی",IF($N129="","X003",IFERROR(VLOOKUP($N129,BankTbl,4,0),$N129)),IF($I129="","X003",IFERROR(VLOOKUP($I129,BankTbl,4,0),$I129))))</f>
        <v/>
      </c>
      <c r="AD129" s="70">
        <f>IF($D129="","",IF($E129="پاس چک","X010",IF($E129="برگشت چک",IF($I129="","X003","X011"),IF($E129="انتقال داخلی",IF($I129="","X003","X011"),IF($D129="پرداخت",$F129,IF($E129="چک","X009",IF($I129="","X003","X011")))))))</f>
        <v/>
      </c>
      <c r="AE129" s="76">
        <f>IF($D129="","",IF($K129="",0,$K129))</f>
        <v/>
      </c>
      <c r="AF129" s="70">
        <f>IF($D129="","",IF($E129="پاس چک",IF($I129="","X003","X011"),IF($E129="برگشت چک","X010",IF($E129="انتقال داخلی",IF($N129="","X003","X011"),IF($D129="پرداخت",IF($E129="چک","X010",IF($I129="","X003","X011")),$F129)))))</f>
        <v/>
      </c>
      <c r="AG129" s="76">
        <f>IF($D129="","",IF($K129="",0,$K129))</f>
        <v/>
      </c>
    </row>
    <row r="130" ht="21.75" customHeight="1">
      <c r="A130" s="70">
        <f>IF($B130="","",COUNTA($B$10:$B130))</f>
        <v/>
      </c>
      <c r="B130" s="71" t="n"/>
      <c r="C130" s="71" t="n"/>
      <c r="D130" s="71" t="n"/>
      <c r="E130" s="71" t="n"/>
      <c r="F130" s="71" t="n"/>
      <c r="G130" s="73">
        <f>IF($F130="","",IFERROR(VLOOKUP($F130,AcctTbl,2,0),"کد ناشناخته"))</f>
        <v/>
      </c>
      <c r="H130" s="70">
        <f>IF($F130="","",IFERROR(VLOOKUP($F130,AcctTbl,3,0),""))</f>
        <v/>
      </c>
      <c r="I130" s="71" t="n"/>
      <c r="J130" s="71" t="n"/>
      <c r="K130" s="74" t="n"/>
      <c r="L130" s="71" t="n"/>
      <c r="M130" s="71" t="n"/>
      <c r="N130" s="71" t="n"/>
      <c r="O130" s="71" t="n"/>
      <c r="P130" s="72" t="n"/>
      <c r="Q130" s="72" t="n"/>
      <c r="R130" s="77">
        <f>IF($D130="","",IF($AA130="⚠","⚠ ناتراز",IF(AND($D130="پرداخت",$E130="چک",$L130=""),"⚠ وضعیت چک","✓")))</f>
        <v/>
      </c>
      <c r="S130" s="76">
        <f>IF(OR($D130="",$K130=""),"",IF(AND($D130="پرداخت",$E130&lt;&gt;"انتقال داخلی",$E130&lt;&gt;"پاس چک",$E130&lt;&gt;"برگشت چک"),$K130,0))</f>
        <v/>
      </c>
      <c r="T130" s="76">
        <f>IF(OR($D130="",$K130=""),"",IF(OR(AND($D130="دریافت",$E130&lt;&gt;"انتقال داخلی"),$E130="برگشت چک"),$K130,0))</f>
        <v/>
      </c>
      <c r="U130" s="76">
        <f>IF(OR($D130="",$K130=""),"",IF(OR(AND($D130="دریافت",$E130&lt;&gt;"چک"),$E130="انتقال داخلی"),$K130,0))</f>
        <v/>
      </c>
      <c r="V130" s="76">
        <f>IF(OR($D130="",$K130=""),"",IF(OR(AND($D130="پرداخت",$E130&lt;&gt;"چک",$E130&lt;&gt;"برگشت چک"),$E130="انتقال داخلی"),$K130,0))</f>
        <v/>
      </c>
      <c r="W130" s="76">
        <f>IF(OR($D130="",$K130=""),"",IF(OR($E130="پاس چک",$E130="برگشت چک",AND($D130="دریافت",$E130="چک")),$K130,0))</f>
        <v/>
      </c>
      <c r="X130" s="76">
        <f>IF(OR($D130="",$K130=""),"",IF(AND($D130="پرداخت",$E130="چک"),$K130,0))</f>
        <v/>
      </c>
      <c r="Y130" s="76">
        <f>SUM($S130,$U130,$W130)</f>
        <v/>
      </c>
      <c r="Z130" s="76">
        <f>SUM($T130,$V130,$X130)</f>
        <v/>
      </c>
      <c r="AA130" s="70">
        <f>IF($D130="","",IF(ROUND($Y130-$Z130,0)=0,"✓","⚠"))</f>
        <v/>
      </c>
      <c r="AB130" s="70">
        <f>IF($D130="","",IF($E130="نقد","X003",IF(OR($E130="چک",$E130="پاس چک",$E130="برگشت چک"),"X010",IF($I130="","X003","X011"))))</f>
        <v/>
      </c>
      <c r="AC130" s="70">
        <f>IF($D130="","",IF($E130="انتقال داخلی",IF($N130="","X003",IFERROR(VLOOKUP($N130,BankTbl,4,0),$N130)),IF($I130="","X003",IFERROR(VLOOKUP($I130,BankTbl,4,0),$I130))))</f>
        <v/>
      </c>
      <c r="AD130" s="70">
        <f>IF($D130="","",IF($E130="پاس چک","X010",IF($E130="برگشت چک",IF($I130="","X003","X011"),IF($E130="انتقال داخلی",IF($I130="","X003","X011"),IF($D130="پرداخت",$F130,IF($E130="چک","X009",IF($I130="","X003","X011")))))))</f>
        <v/>
      </c>
      <c r="AE130" s="76">
        <f>IF($D130="","",IF($K130="",0,$K130))</f>
        <v/>
      </c>
      <c r="AF130" s="70">
        <f>IF($D130="","",IF($E130="پاس چک",IF($I130="","X003","X011"),IF($E130="برگشت چک","X010",IF($E130="انتقال داخلی",IF($N130="","X003","X011"),IF($D130="پرداخت",IF($E130="چک","X010",IF($I130="","X003","X011")),$F130)))))</f>
        <v/>
      </c>
      <c r="AG130" s="76">
        <f>IF($D130="","",IF($K130="",0,$K130))</f>
        <v/>
      </c>
    </row>
    <row r="131" ht="21.75" customHeight="1">
      <c r="A131" s="70">
        <f>IF($B131="","",COUNTA($B$10:$B131))</f>
        <v/>
      </c>
      <c r="B131" s="71" t="n"/>
      <c r="C131" s="71" t="n"/>
      <c r="D131" s="71" t="n"/>
      <c r="E131" s="71" t="n"/>
      <c r="F131" s="71" t="n"/>
      <c r="G131" s="73">
        <f>IF($F131="","",IFERROR(VLOOKUP($F131,AcctTbl,2,0),"کد ناشناخته"))</f>
        <v/>
      </c>
      <c r="H131" s="70">
        <f>IF($F131="","",IFERROR(VLOOKUP($F131,AcctTbl,3,0),""))</f>
        <v/>
      </c>
      <c r="I131" s="71" t="n"/>
      <c r="J131" s="71" t="n"/>
      <c r="K131" s="74" t="n"/>
      <c r="L131" s="71" t="n"/>
      <c r="M131" s="71" t="n"/>
      <c r="N131" s="71" t="n"/>
      <c r="O131" s="71" t="n"/>
      <c r="P131" s="72" t="n"/>
      <c r="Q131" s="72" t="n"/>
      <c r="R131" s="77">
        <f>IF($D131="","",IF($AA131="⚠","⚠ ناتراز",IF(AND($D131="پرداخت",$E131="چک",$L131=""),"⚠ وضعیت چک","✓")))</f>
        <v/>
      </c>
      <c r="S131" s="76">
        <f>IF(OR($D131="",$K131=""),"",IF(AND($D131="پرداخت",$E131&lt;&gt;"انتقال داخلی",$E131&lt;&gt;"پاس چک",$E131&lt;&gt;"برگشت چک"),$K131,0))</f>
        <v/>
      </c>
      <c r="T131" s="76">
        <f>IF(OR($D131="",$K131=""),"",IF(OR(AND($D131="دریافت",$E131&lt;&gt;"انتقال داخلی"),$E131="برگشت چک"),$K131,0))</f>
        <v/>
      </c>
      <c r="U131" s="76">
        <f>IF(OR($D131="",$K131=""),"",IF(OR(AND($D131="دریافت",$E131&lt;&gt;"چک"),$E131="انتقال داخلی"),$K131,0))</f>
        <v/>
      </c>
      <c r="V131" s="76">
        <f>IF(OR($D131="",$K131=""),"",IF(OR(AND($D131="پرداخت",$E131&lt;&gt;"چک",$E131&lt;&gt;"برگشت چک"),$E131="انتقال داخلی"),$K131,0))</f>
        <v/>
      </c>
      <c r="W131" s="76">
        <f>IF(OR($D131="",$K131=""),"",IF(OR($E131="پاس چک",$E131="برگشت چک",AND($D131="دریافت",$E131="چک")),$K131,0))</f>
        <v/>
      </c>
      <c r="X131" s="76">
        <f>IF(OR($D131="",$K131=""),"",IF(AND($D131="پرداخت",$E131="چک"),$K131,0))</f>
        <v/>
      </c>
      <c r="Y131" s="76">
        <f>SUM($S131,$U131,$W131)</f>
        <v/>
      </c>
      <c r="Z131" s="76">
        <f>SUM($T131,$V131,$X131)</f>
        <v/>
      </c>
      <c r="AA131" s="70">
        <f>IF($D131="","",IF(ROUND($Y131-$Z131,0)=0,"✓","⚠"))</f>
        <v/>
      </c>
      <c r="AB131" s="70">
        <f>IF($D131="","",IF($E131="نقد","X003",IF(OR($E131="چک",$E131="پاس چک",$E131="برگشت چک"),"X010",IF($I131="","X003","X011"))))</f>
        <v/>
      </c>
      <c r="AC131" s="70">
        <f>IF($D131="","",IF($E131="انتقال داخلی",IF($N131="","X003",IFERROR(VLOOKUP($N131,BankTbl,4,0),$N131)),IF($I131="","X003",IFERROR(VLOOKUP($I131,BankTbl,4,0),$I131))))</f>
        <v/>
      </c>
      <c r="AD131" s="70">
        <f>IF($D131="","",IF($E131="پاس چک","X010",IF($E131="برگشت چک",IF($I131="","X003","X011"),IF($E131="انتقال داخلی",IF($I131="","X003","X011"),IF($D131="پرداخت",$F131,IF($E131="چک","X009",IF($I131="","X003","X011")))))))</f>
        <v/>
      </c>
      <c r="AE131" s="76">
        <f>IF($D131="","",IF($K131="",0,$K131))</f>
        <v/>
      </c>
      <c r="AF131" s="70">
        <f>IF($D131="","",IF($E131="پاس چک",IF($I131="","X003","X011"),IF($E131="برگشت چک","X010",IF($E131="انتقال داخلی",IF($N131="","X003","X011"),IF($D131="پرداخت",IF($E131="چک","X010",IF($I131="","X003","X011")),$F131)))))</f>
        <v/>
      </c>
      <c r="AG131" s="76">
        <f>IF($D131="","",IF($K131="",0,$K131))</f>
        <v/>
      </c>
    </row>
    <row r="132" ht="21.75" customHeight="1">
      <c r="A132" s="70">
        <f>IF($B132="","",COUNTA($B$10:$B132))</f>
        <v/>
      </c>
      <c r="B132" s="71" t="n"/>
      <c r="C132" s="71" t="n"/>
      <c r="D132" s="71" t="n"/>
      <c r="E132" s="71" t="n"/>
      <c r="F132" s="71" t="n"/>
      <c r="G132" s="73">
        <f>IF($F132="","",IFERROR(VLOOKUP($F132,AcctTbl,2,0),"کد ناشناخته"))</f>
        <v/>
      </c>
      <c r="H132" s="70">
        <f>IF($F132="","",IFERROR(VLOOKUP($F132,AcctTbl,3,0),""))</f>
        <v/>
      </c>
      <c r="I132" s="71" t="n"/>
      <c r="J132" s="71" t="n"/>
      <c r="K132" s="74" t="n"/>
      <c r="L132" s="71" t="n"/>
      <c r="M132" s="71" t="n"/>
      <c r="N132" s="71" t="n"/>
      <c r="O132" s="71" t="n"/>
      <c r="P132" s="72" t="n"/>
      <c r="Q132" s="72" t="n"/>
      <c r="R132" s="77">
        <f>IF($D132="","",IF($AA132="⚠","⚠ ناتراز",IF(AND($D132="پرداخت",$E132="چک",$L132=""),"⚠ وضعیت چک","✓")))</f>
        <v/>
      </c>
      <c r="S132" s="76">
        <f>IF(OR($D132="",$K132=""),"",IF(AND($D132="پرداخت",$E132&lt;&gt;"انتقال داخلی",$E132&lt;&gt;"پاس چک",$E132&lt;&gt;"برگشت چک"),$K132,0))</f>
        <v/>
      </c>
      <c r="T132" s="76">
        <f>IF(OR($D132="",$K132=""),"",IF(OR(AND($D132="دریافت",$E132&lt;&gt;"انتقال داخلی"),$E132="برگشت چک"),$K132,0))</f>
        <v/>
      </c>
      <c r="U132" s="76">
        <f>IF(OR($D132="",$K132=""),"",IF(OR(AND($D132="دریافت",$E132&lt;&gt;"چک"),$E132="انتقال داخلی"),$K132,0))</f>
        <v/>
      </c>
      <c r="V132" s="76">
        <f>IF(OR($D132="",$K132=""),"",IF(OR(AND($D132="پرداخت",$E132&lt;&gt;"چک",$E132&lt;&gt;"برگشت چک"),$E132="انتقال داخلی"),$K132,0))</f>
        <v/>
      </c>
      <c r="W132" s="76">
        <f>IF(OR($D132="",$K132=""),"",IF(OR($E132="پاس چک",$E132="برگشت چک",AND($D132="دریافت",$E132="چک")),$K132,0))</f>
        <v/>
      </c>
      <c r="X132" s="76">
        <f>IF(OR($D132="",$K132=""),"",IF(AND($D132="پرداخت",$E132="چک"),$K132,0))</f>
        <v/>
      </c>
      <c r="Y132" s="76">
        <f>SUM($S132,$U132,$W132)</f>
        <v/>
      </c>
      <c r="Z132" s="76">
        <f>SUM($T132,$V132,$X132)</f>
        <v/>
      </c>
      <c r="AA132" s="70">
        <f>IF($D132="","",IF(ROUND($Y132-$Z132,0)=0,"✓","⚠"))</f>
        <v/>
      </c>
      <c r="AB132" s="70">
        <f>IF($D132="","",IF($E132="نقد","X003",IF(OR($E132="چک",$E132="پاس چک",$E132="برگشت چک"),"X010",IF($I132="","X003","X011"))))</f>
        <v/>
      </c>
      <c r="AC132" s="70">
        <f>IF($D132="","",IF($E132="انتقال داخلی",IF($N132="","X003",IFERROR(VLOOKUP($N132,BankTbl,4,0),$N132)),IF($I132="","X003",IFERROR(VLOOKUP($I132,BankTbl,4,0),$I132))))</f>
        <v/>
      </c>
      <c r="AD132" s="70">
        <f>IF($D132="","",IF($E132="پاس چک","X010",IF($E132="برگشت چک",IF($I132="","X003","X011"),IF($E132="انتقال داخلی",IF($I132="","X003","X011"),IF($D132="پرداخت",$F132,IF($E132="چک","X009",IF($I132="","X003","X011")))))))</f>
        <v/>
      </c>
      <c r="AE132" s="76">
        <f>IF($D132="","",IF($K132="",0,$K132))</f>
        <v/>
      </c>
      <c r="AF132" s="70">
        <f>IF($D132="","",IF($E132="پاس چک",IF($I132="","X003","X011"),IF($E132="برگشت چک","X010",IF($E132="انتقال داخلی",IF($N132="","X003","X011"),IF($D132="پرداخت",IF($E132="چک","X010",IF($I132="","X003","X011")),$F132)))))</f>
        <v/>
      </c>
      <c r="AG132" s="76">
        <f>IF($D132="","",IF($K132="",0,$K132))</f>
        <v/>
      </c>
    </row>
    <row r="133" ht="21.75" customHeight="1">
      <c r="A133" s="70">
        <f>IF($B133="","",COUNTA($B$10:$B133))</f>
        <v/>
      </c>
      <c r="B133" s="71" t="n"/>
      <c r="C133" s="71" t="n"/>
      <c r="D133" s="71" t="n"/>
      <c r="E133" s="71" t="n"/>
      <c r="F133" s="71" t="n"/>
      <c r="G133" s="73">
        <f>IF($F133="","",IFERROR(VLOOKUP($F133,AcctTbl,2,0),"کد ناشناخته"))</f>
        <v/>
      </c>
      <c r="H133" s="70">
        <f>IF($F133="","",IFERROR(VLOOKUP($F133,AcctTbl,3,0),""))</f>
        <v/>
      </c>
      <c r="I133" s="71" t="n"/>
      <c r="J133" s="71" t="n"/>
      <c r="K133" s="74" t="n"/>
      <c r="L133" s="71" t="n"/>
      <c r="M133" s="71" t="n"/>
      <c r="N133" s="71" t="n"/>
      <c r="O133" s="71" t="n"/>
      <c r="P133" s="72" t="n"/>
      <c r="Q133" s="72" t="n"/>
      <c r="R133" s="77">
        <f>IF($D133="","",IF($AA133="⚠","⚠ ناتراز",IF(AND($D133="پرداخت",$E133="چک",$L133=""),"⚠ وضعیت چک","✓")))</f>
        <v/>
      </c>
      <c r="S133" s="76">
        <f>IF(OR($D133="",$K133=""),"",IF(AND($D133="پرداخت",$E133&lt;&gt;"انتقال داخلی",$E133&lt;&gt;"پاس چک",$E133&lt;&gt;"برگشت چک"),$K133,0))</f>
        <v/>
      </c>
      <c r="T133" s="76">
        <f>IF(OR($D133="",$K133=""),"",IF(OR(AND($D133="دریافت",$E133&lt;&gt;"انتقال داخلی"),$E133="برگشت چک"),$K133,0))</f>
        <v/>
      </c>
      <c r="U133" s="76">
        <f>IF(OR($D133="",$K133=""),"",IF(OR(AND($D133="دریافت",$E133&lt;&gt;"چک"),$E133="انتقال داخلی"),$K133,0))</f>
        <v/>
      </c>
      <c r="V133" s="76">
        <f>IF(OR($D133="",$K133=""),"",IF(OR(AND($D133="پرداخت",$E133&lt;&gt;"چک",$E133&lt;&gt;"برگشت چک"),$E133="انتقال داخلی"),$K133,0))</f>
        <v/>
      </c>
      <c r="W133" s="76">
        <f>IF(OR($D133="",$K133=""),"",IF(OR($E133="پاس چک",$E133="برگشت چک",AND($D133="دریافت",$E133="چک")),$K133,0))</f>
        <v/>
      </c>
      <c r="X133" s="76">
        <f>IF(OR($D133="",$K133=""),"",IF(AND($D133="پرداخت",$E133="چک"),$K133,0))</f>
        <v/>
      </c>
      <c r="Y133" s="76">
        <f>SUM($S133,$U133,$W133)</f>
        <v/>
      </c>
      <c r="Z133" s="76">
        <f>SUM($T133,$V133,$X133)</f>
        <v/>
      </c>
      <c r="AA133" s="70">
        <f>IF($D133="","",IF(ROUND($Y133-$Z133,0)=0,"✓","⚠"))</f>
        <v/>
      </c>
      <c r="AB133" s="70">
        <f>IF($D133="","",IF($E133="نقد","X003",IF(OR($E133="چک",$E133="پاس چک",$E133="برگشت چک"),"X010",IF($I133="","X003","X011"))))</f>
        <v/>
      </c>
      <c r="AC133" s="70">
        <f>IF($D133="","",IF($E133="انتقال داخلی",IF($N133="","X003",IFERROR(VLOOKUP($N133,BankTbl,4,0),$N133)),IF($I133="","X003",IFERROR(VLOOKUP($I133,BankTbl,4,0),$I133))))</f>
        <v/>
      </c>
      <c r="AD133" s="70">
        <f>IF($D133="","",IF($E133="پاس چک","X010",IF($E133="برگشت چک",IF($I133="","X003","X011"),IF($E133="انتقال داخلی",IF($I133="","X003","X011"),IF($D133="پرداخت",$F133,IF($E133="چک","X009",IF($I133="","X003","X011")))))))</f>
        <v/>
      </c>
      <c r="AE133" s="76">
        <f>IF($D133="","",IF($K133="",0,$K133))</f>
        <v/>
      </c>
      <c r="AF133" s="70">
        <f>IF($D133="","",IF($E133="پاس چک",IF($I133="","X003","X011"),IF($E133="برگشت چک","X010",IF($E133="انتقال داخلی",IF($N133="","X003","X011"),IF($D133="پرداخت",IF($E133="چک","X010",IF($I133="","X003","X011")),$F133)))))</f>
        <v/>
      </c>
      <c r="AG133" s="76">
        <f>IF($D133="","",IF($K133="",0,$K133))</f>
        <v/>
      </c>
    </row>
    <row r="134" ht="21.75" customHeight="1">
      <c r="A134" s="70">
        <f>IF($B134="","",COUNTA($B$10:$B134))</f>
        <v/>
      </c>
      <c r="B134" s="71" t="n"/>
      <c r="C134" s="71" t="n"/>
      <c r="D134" s="71" t="n"/>
      <c r="E134" s="71" t="n"/>
      <c r="F134" s="71" t="n"/>
      <c r="G134" s="73">
        <f>IF($F134="","",IFERROR(VLOOKUP($F134,AcctTbl,2,0),"کد ناشناخته"))</f>
        <v/>
      </c>
      <c r="H134" s="70">
        <f>IF($F134="","",IFERROR(VLOOKUP($F134,AcctTbl,3,0),""))</f>
        <v/>
      </c>
      <c r="I134" s="71" t="n"/>
      <c r="J134" s="71" t="n"/>
      <c r="K134" s="74" t="n"/>
      <c r="L134" s="71" t="n"/>
      <c r="M134" s="71" t="n"/>
      <c r="N134" s="71" t="n"/>
      <c r="O134" s="71" t="n"/>
      <c r="P134" s="72" t="n"/>
      <c r="Q134" s="72" t="n"/>
      <c r="R134" s="77">
        <f>IF($D134="","",IF($AA134="⚠","⚠ ناتراز",IF(AND($D134="پرداخت",$E134="چک",$L134=""),"⚠ وضعیت چک","✓")))</f>
        <v/>
      </c>
      <c r="S134" s="76">
        <f>IF(OR($D134="",$K134=""),"",IF(AND($D134="پرداخت",$E134&lt;&gt;"انتقال داخلی",$E134&lt;&gt;"پاس چک",$E134&lt;&gt;"برگشت چک"),$K134,0))</f>
        <v/>
      </c>
      <c r="T134" s="76">
        <f>IF(OR($D134="",$K134=""),"",IF(OR(AND($D134="دریافت",$E134&lt;&gt;"انتقال داخلی"),$E134="برگشت چک"),$K134,0))</f>
        <v/>
      </c>
      <c r="U134" s="76">
        <f>IF(OR($D134="",$K134=""),"",IF(OR(AND($D134="دریافت",$E134&lt;&gt;"چک"),$E134="انتقال داخلی"),$K134,0))</f>
        <v/>
      </c>
      <c r="V134" s="76">
        <f>IF(OR($D134="",$K134=""),"",IF(OR(AND($D134="پرداخت",$E134&lt;&gt;"چک",$E134&lt;&gt;"برگشت چک"),$E134="انتقال داخلی"),$K134,0))</f>
        <v/>
      </c>
      <c r="W134" s="76">
        <f>IF(OR($D134="",$K134=""),"",IF(OR($E134="پاس چک",$E134="برگشت چک",AND($D134="دریافت",$E134="چک")),$K134,0))</f>
        <v/>
      </c>
      <c r="X134" s="76">
        <f>IF(OR($D134="",$K134=""),"",IF(AND($D134="پرداخت",$E134="چک"),$K134,0))</f>
        <v/>
      </c>
      <c r="Y134" s="76">
        <f>SUM($S134,$U134,$W134)</f>
        <v/>
      </c>
      <c r="Z134" s="76">
        <f>SUM($T134,$V134,$X134)</f>
        <v/>
      </c>
      <c r="AA134" s="70">
        <f>IF($D134="","",IF(ROUND($Y134-$Z134,0)=0,"✓","⚠"))</f>
        <v/>
      </c>
      <c r="AB134" s="70">
        <f>IF($D134="","",IF($E134="نقد","X003",IF(OR($E134="چک",$E134="پاس چک",$E134="برگشت چک"),"X010",IF($I134="","X003","X011"))))</f>
        <v/>
      </c>
      <c r="AC134" s="70">
        <f>IF($D134="","",IF($E134="انتقال داخلی",IF($N134="","X003",IFERROR(VLOOKUP($N134,BankTbl,4,0),$N134)),IF($I134="","X003",IFERROR(VLOOKUP($I134,BankTbl,4,0),$I134))))</f>
        <v/>
      </c>
      <c r="AD134" s="70">
        <f>IF($D134="","",IF($E134="پاس چک","X010",IF($E134="برگشت چک",IF($I134="","X003","X011"),IF($E134="انتقال داخلی",IF($I134="","X003","X011"),IF($D134="پرداخت",$F134,IF($E134="چک","X009",IF($I134="","X003","X011")))))))</f>
        <v/>
      </c>
      <c r="AE134" s="76">
        <f>IF($D134="","",IF($K134="",0,$K134))</f>
        <v/>
      </c>
      <c r="AF134" s="70">
        <f>IF($D134="","",IF($E134="پاس چک",IF($I134="","X003","X011"),IF($E134="برگشت چک","X010",IF($E134="انتقال داخلی",IF($N134="","X003","X011"),IF($D134="پرداخت",IF($E134="چک","X010",IF($I134="","X003","X011")),$F134)))))</f>
        <v/>
      </c>
      <c r="AG134" s="76">
        <f>IF($D134="","",IF($K134="",0,$K134))</f>
        <v/>
      </c>
    </row>
    <row r="135" ht="21.75" customHeight="1">
      <c r="A135" s="70">
        <f>IF($B135="","",COUNTA($B$10:$B135))</f>
        <v/>
      </c>
      <c r="B135" s="71" t="n"/>
      <c r="C135" s="71" t="n"/>
      <c r="D135" s="71" t="n"/>
      <c r="E135" s="71" t="n"/>
      <c r="F135" s="71" t="n"/>
      <c r="G135" s="73">
        <f>IF($F135="","",IFERROR(VLOOKUP($F135,AcctTbl,2,0),"کد ناشناخته"))</f>
        <v/>
      </c>
      <c r="H135" s="70">
        <f>IF($F135="","",IFERROR(VLOOKUP($F135,AcctTbl,3,0),""))</f>
        <v/>
      </c>
      <c r="I135" s="71" t="n"/>
      <c r="J135" s="71" t="n"/>
      <c r="K135" s="74" t="n"/>
      <c r="L135" s="71" t="n"/>
      <c r="M135" s="71" t="n"/>
      <c r="N135" s="71" t="n"/>
      <c r="O135" s="71" t="n"/>
      <c r="P135" s="72" t="n"/>
      <c r="Q135" s="72" t="n"/>
      <c r="R135" s="77">
        <f>IF($D135="","",IF($AA135="⚠","⚠ ناتراز",IF(AND($D135="پرداخت",$E135="چک",$L135=""),"⚠ وضعیت چک","✓")))</f>
        <v/>
      </c>
      <c r="S135" s="76">
        <f>IF(OR($D135="",$K135=""),"",IF(AND($D135="پرداخت",$E135&lt;&gt;"انتقال داخلی",$E135&lt;&gt;"پاس چک",$E135&lt;&gt;"برگشت چک"),$K135,0))</f>
        <v/>
      </c>
      <c r="T135" s="76">
        <f>IF(OR($D135="",$K135=""),"",IF(OR(AND($D135="دریافت",$E135&lt;&gt;"انتقال داخلی"),$E135="برگشت چک"),$K135,0))</f>
        <v/>
      </c>
      <c r="U135" s="76">
        <f>IF(OR($D135="",$K135=""),"",IF(OR(AND($D135="دریافت",$E135&lt;&gt;"چک"),$E135="انتقال داخلی"),$K135,0))</f>
        <v/>
      </c>
      <c r="V135" s="76">
        <f>IF(OR($D135="",$K135=""),"",IF(OR(AND($D135="پرداخت",$E135&lt;&gt;"چک",$E135&lt;&gt;"برگشت چک"),$E135="انتقال داخلی"),$K135,0))</f>
        <v/>
      </c>
      <c r="W135" s="76">
        <f>IF(OR($D135="",$K135=""),"",IF(OR($E135="پاس چک",$E135="برگشت چک",AND($D135="دریافت",$E135="چک")),$K135,0))</f>
        <v/>
      </c>
      <c r="X135" s="76">
        <f>IF(OR($D135="",$K135=""),"",IF(AND($D135="پرداخت",$E135="چک"),$K135,0))</f>
        <v/>
      </c>
      <c r="Y135" s="76">
        <f>SUM($S135,$U135,$W135)</f>
        <v/>
      </c>
      <c r="Z135" s="76">
        <f>SUM($T135,$V135,$X135)</f>
        <v/>
      </c>
      <c r="AA135" s="70">
        <f>IF($D135="","",IF(ROUND($Y135-$Z135,0)=0,"✓","⚠"))</f>
        <v/>
      </c>
      <c r="AB135" s="70">
        <f>IF($D135="","",IF($E135="نقد","X003",IF(OR($E135="چک",$E135="پاس چک",$E135="برگشت چک"),"X010",IF($I135="","X003","X011"))))</f>
        <v/>
      </c>
      <c r="AC135" s="70">
        <f>IF($D135="","",IF($E135="انتقال داخلی",IF($N135="","X003",IFERROR(VLOOKUP($N135,BankTbl,4,0),$N135)),IF($I135="","X003",IFERROR(VLOOKUP($I135,BankTbl,4,0),$I135))))</f>
        <v/>
      </c>
      <c r="AD135" s="70">
        <f>IF($D135="","",IF($E135="پاس چک","X010",IF($E135="برگشت چک",IF($I135="","X003","X011"),IF($E135="انتقال داخلی",IF($I135="","X003","X011"),IF($D135="پرداخت",$F135,IF($E135="چک","X009",IF($I135="","X003","X011")))))))</f>
        <v/>
      </c>
      <c r="AE135" s="76">
        <f>IF($D135="","",IF($K135="",0,$K135))</f>
        <v/>
      </c>
      <c r="AF135" s="70">
        <f>IF($D135="","",IF($E135="پاس چک",IF($I135="","X003","X011"),IF($E135="برگشت چک","X010",IF($E135="انتقال داخلی",IF($N135="","X003","X011"),IF($D135="پرداخت",IF($E135="چک","X010",IF($I135="","X003","X011")),$F135)))))</f>
        <v/>
      </c>
      <c r="AG135" s="76">
        <f>IF($D135="","",IF($K135="",0,$K135))</f>
        <v/>
      </c>
    </row>
    <row r="136" ht="21.75" customHeight="1">
      <c r="A136" s="70">
        <f>IF($B136="","",COUNTA($B$10:$B136))</f>
        <v/>
      </c>
      <c r="B136" s="71" t="n"/>
      <c r="C136" s="71" t="n"/>
      <c r="D136" s="71" t="n"/>
      <c r="E136" s="71" t="n"/>
      <c r="F136" s="71" t="n"/>
      <c r="G136" s="73">
        <f>IF($F136="","",IFERROR(VLOOKUP($F136,AcctTbl,2,0),"کد ناشناخته"))</f>
        <v/>
      </c>
      <c r="H136" s="70">
        <f>IF($F136="","",IFERROR(VLOOKUP($F136,AcctTbl,3,0),""))</f>
        <v/>
      </c>
      <c r="I136" s="71" t="n"/>
      <c r="J136" s="71" t="n"/>
      <c r="K136" s="74" t="n"/>
      <c r="L136" s="71" t="n"/>
      <c r="M136" s="71" t="n"/>
      <c r="N136" s="71" t="n"/>
      <c r="O136" s="71" t="n"/>
      <c r="P136" s="72" t="n"/>
      <c r="Q136" s="72" t="n"/>
      <c r="R136" s="77">
        <f>IF($D136="","",IF($AA136="⚠","⚠ ناتراز",IF(AND($D136="پرداخت",$E136="چک",$L136=""),"⚠ وضعیت چک","✓")))</f>
        <v/>
      </c>
      <c r="S136" s="76">
        <f>IF(OR($D136="",$K136=""),"",IF(AND($D136="پرداخت",$E136&lt;&gt;"انتقال داخلی",$E136&lt;&gt;"پاس چک",$E136&lt;&gt;"برگشت چک"),$K136,0))</f>
        <v/>
      </c>
      <c r="T136" s="76">
        <f>IF(OR($D136="",$K136=""),"",IF(OR(AND($D136="دریافت",$E136&lt;&gt;"انتقال داخلی"),$E136="برگشت چک"),$K136,0))</f>
        <v/>
      </c>
      <c r="U136" s="76">
        <f>IF(OR($D136="",$K136=""),"",IF(OR(AND($D136="دریافت",$E136&lt;&gt;"چک"),$E136="انتقال داخلی"),$K136,0))</f>
        <v/>
      </c>
      <c r="V136" s="76">
        <f>IF(OR($D136="",$K136=""),"",IF(OR(AND($D136="پرداخت",$E136&lt;&gt;"چک",$E136&lt;&gt;"برگشت چک"),$E136="انتقال داخلی"),$K136,0))</f>
        <v/>
      </c>
      <c r="W136" s="76">
        <f>IF(OR($D136="",$K136=""),"",IF(OR($E136="پاس چک",$E136="برگشت چک",AND($D136="دریافت",$E136="چک")),$K136,0))</f>
        <v/>
      </c>
      <c r="X136" s="76">
        <f>IF(OR($D136="",$K136=""),"",IF(AND($D136="پرداخت",$E136="چک"),$K136,0))</f>
        <v/>
      </c>
      <c r="Y136" s="76">
        <f>SUM($S136,$U136,$W136)</f>
        <v/>
      </c>
      <c r="Z136" s="76">
        <f>SUM($T136,$V136,$X136)</f>
        <v/>
      </c>
      <c r="AA136" s="70">
        <f>IF($D136="","",IF(ROUND($Y136-$Z136,0)=0,"✓","⚠"))</f>
        <v/>
      </c>
      <c r="AB136" s="70">
        <f>IF($D136="","",IF($E136="نقد","X003",IF(OR($E136="چک",$E136="پاس چک",$E136="برگشت چک"),"X010",IF($I136="","X003","X011"))))</f>
        <v/>
      </c>
      <c r="AC136" s="70">
        <f>IF($D136="","",IF($E136="انتقال داخلی",IF($N136="","X003",IFERROR(VLOOKUP($N136,BankTbl,4,0),$N136)),IF($I136="","X003",IFERROR(VLOOKUP($I136,BankTbl,4,0),$I136))))</f>
        <v/>
      </c>
      <c r="AD136" s="70">
        <f>IF($D136="","",IF($E136="پاس چک","X010",IF($E136="برگشت چک",IF($I136="","X003","X011"),IF($E136="انتقال داخلی",IF($I136="","X003","X011"),IF($D136="پرداخت",$F136,IF($E136="چک","X009",IF($I136="","X003","X011")))))))</f>
        <v/>
      </c>
      <c r="AE136" s="76">
        <f>IF($D136="","",IF($K136="",0,$K136))</f>
        <v/>
      </c>
      <c r="AF136" s="70">
        <f>IF($D136="","",IF($E136="پاس چک",IF($I136="","X003","X011"),IF($E136="برگشت چک","X010",IF($E136="انتقال داخلی",IF($N136="","X003","X011"),IF($D136="پرداخت",IF($E136="چک","X010",IF($I136="","X003","X011")),$F136)))))</f>
        <v/>
      </c>
      <c r="AG136" s="76">
        <f>IF($D136="","",IF($K136="",0,$K136))</f>
        <v/>
      </c>
    </row>
    <row r="137" ht="21.75" customHeight="1">
      <c r="A137" s="70">
        <f>IF($B137="","",COUNTA($B$10:$B137))</f>
        <v/>
      </c>
      <c r="B137" s="71" t="n"/>
      <c r="C137" s="71" t="n"/>
      <c r="D137" s="71" t="n"/>
      <c r="E137" s="71" t="n"/>
      <c r="F137" s="71" t="n"/>
      <c r="G137" s="73">
        <f>IF($F137="","",IFERROR(VLOOKUP($F137,AcctTbl,2,0),"کد ناشناخته"))</f>
        <v/>
      </c>
      <c r="H137" s="70">
        <f>IF($F137="","",IFERROR(VLOOKUP($F137,AcctTbl,3,0),""))</f>
        <v/>
      </c>
      <c r="I137" s="71" t="n"/>
      <c r="J137" s="71" t="n"/>
      <c r="K137" s="74" t="n"/>
      <c r="L137" s="71" t="n"/>
      <c r="M137" s="71" t="n"/>
      <c r="N137" s="71" t="n"/>
      <c r="O137" s="71" t="n"/>
      <c r="P137" s="72" t="n"/>
      <c r="Q137" s="72" t="n"/>
      <c r="R137" s="77">
        <f>IF($D137="","",IF($AA137="⚠","⚠ ناتراز",IF(AND($D137="پرداخت",$E137="چک",$L137=""),"⚠ وضعیت چک","✓")))</f>
        <v/>
      </c>
      <c r="S137" s="76">
        <f>IF(OR($D137="",$K137=""),"",IF(AND($D137="پرداخت",$E137&lt;&gt;"انتقال داخلی",$E137&lt;&gt;"پاس چک",$E137&lt;&gt;"برگشت چک"),$K137,0))</f>
        <v/>
      </c>
      <c r="T137" s="76">
        <f>IF(OR($D137="",$K137=""),"",IF(OR(AND($D137="دریافت",$E137&lt;&gt;"انتقال داخلی"),$E137="برگشت چک"),$K137,0))</f>
        <v/>
      </c>
      <c r="U137" s="76">
        <f>IF(OR($D137="",$K137=""),"",IF(OR(AND($D137="دریافت",$E137&lt;&gt;"چک"),$E137="انتقال داخلی"),$K137,0))</f>
        <v/>
      </c>
      <c r="V137" s="76">
        <f>IF(OR($D137="",$K137=""),"",IF(OR(AND($D137="پرداخت",$E137&lt;&gt;"چک",$E137&lt;&gt;"برگشت چک"),$E137="انتقال داخلی"),$K137,0))</f>
        <v/>
      </c>
      <c r="W137" s="76">
        <f>IF(OR($D137="",$K137=""),"",IF(OR($E137="پاس چک",$E137="برگشت چک",AND($D137="دریافت",$E137="چک")),$K137,0))</f>
        <v/>
      </c>
      <c r="X137" s="76">
        <f>IF(OR($D137="",$K137=""),"",IF(AND($D137="پرداخت",$E137="چک"),$K137,0))</f>
        <v/>
      </c>
      <c r="Y137" s="76">
        <f>SUM($S137,$U137,$W137)</f>
        <v/>
      </c>
      <c r="Z137" s="76">
        <f>SUM($T137,$V137,$X137)</f>
        <v/>
      </c>
      <c r="AA137" s="70">
        <f>IF($D137="","",IF(ROUND($Y137-$Z137,0)=0,"✓","⚠"))</f>
        <v/>
      </c>
      <c r="AB137" s="70">
        <f>IF($D137="","",IF($E137="نقد","X003",IF(OR($E137="چک",$E137="پاس چک",$E137="برگشت چک"),"X010",IF($I137="","X003","X011"))))</f>
        <v/>
      </c>
      <c r="AC137" s="70">
        <f>IF($D137="","",IF($E137="انتقال داخلی",IF($N137="","X003",IFERROR(VLOOKUP($N137,BankTbl,4,0),$N137)),IF($I137="","X003",IFERROR(VLOOKUP($I137,BankTbl,4,0),$I137))))</f>
        <v/>
      </c>
      <c r="AD137" s="70">
        <f>IF($D137="","",IF($E137="پاس چک","X010",IF($E137="برگشت چک",IF($I137="","X003","X011"),IF($E137="انتقال داخلی",IF($I137="","X003","X011"),IF($D137="پرداخت",$F137,IF($E137="چک","X009",IF($I137="","X003","X011")))))))</f>
        <v/>
      </c>
      <c r="AE137" s="76">
        <f>IF($D137="","",IF($K137="",0,$K137))</f>
        <v/>
      </c>
      <c r="AF137" s="70">
        <f>IF($D137="","",IF($E137="پاس چک",IF($I137="","X003","X011"),IF($E137="برگشت چک","X010",IF($E137="انتقال داخلی",IF($N137="","X003","X011"),IF($D137="پرداخت",IF($E137="چک","X010",IF($I137="","X003","X011")),$F137)))))</f>
        <v/>
      </c>
      <c r="AG137" s="76">
        <f>IF($D137="","",IF($K137="",0,$K137))</f>
        <v/>
      </c>
    </row>
    <row r="138" ht="21.75" customHeight="1">
      <c r="A138" s="70">
        <f>IF($B138="","",COUNTA($B$10:$B138))</f>
        <v/>
      </c>
      <c r="B138" s="71" t="n"/>
      <c r="C138" s="71" t="n"/>
      <c r="D138" s="71" t="n"/>
      <c r="E138" s="71" t="n"/>
      <c r="F138" s="71" t="n"/>
      <c r="G138" s="73">
        <f>IF($F138="","",IFERROR(VLOOKUP($F138,AcctTbl,2,0),"کد ناشناخته"))</f>
        <v/>
      </c>
      <c r="H138" s="70">
        <f>IF($F138="","",IFERROR(VLOOKUP($F138,AcctTbl,3,0),""))</f>
        <v/>
      </c>
      <c r="I138" s="71" t="n"/>
      <c r="J138" s="71" t="n"/>
      <c r="K138" s="74" t="n"/>
      <c r="L138" s="71" t="n"/>
      <c r="M138" s="71" t="n"/>
      <c r="N138" s="71" t="n"/>
      <c r="O138" s="71" t="n"/>
      <c r="P138" s="72" t="n"/>
      <c r="Q138" s="72" t="n"/>
      <c r="R138" s="77">
        <f>IF($D138="","",IF($AA138="⚠","⚠ ناتراز",IF(AND($D138="پرداخت",$E138="چک",$L138=""),"⚠ وضعیت چک","✓")))</f>
        <v/>
      </c>
      <c r="S138" s="76">
        <f>IF(OR($D138="",$K138=""),"",IF(AND($D138="پرداخت",$E138&lt;&gt;"انتقال داخلی",$E138&lt;&gt;"پاس چک",$E138&lt;&gt;"برگشت چک"),$K138,0))</f>
        <v/>
      </c>
      <c r="T138" s="76">
        <f>IF(OR($D138="",$K138=""),"",IF(OR(AND($D138="دریافت",$E138&lt;&gt;"انتقال داخلی"),$E138="برگشت چک"),$K138,0))</f>
        <v/>
      </c>
      <c r="U138" s="76">
        <f>IF(OR($D138="",$K138=""),"",IF(OR(AND($D138="دریافت",$E138&lt;&gt;"چک"),$E138="انتقال داخلی"),$K138,0))</f>
        <v/>
      </c>
      <c r="V138" s="76">
        <f>IF(OR($D138="",$K138=""),"",IF(OR(AND($D138="پرداخت",$E138&lt;&gt;"چک",$E138&lt;&gt;"برگشت چک"),$E138="انتقال داخلی"),$K138,0))</f>
        <v/>
      </c>
      <c r="W138" s="76">
        <f>IF(OR($D138="",$K138=""),"",IF(OR($E138="پاس چک",$E138="برگشت چک",AND($D138="دریافت",$E138="چک")),$K138,0))</f>
        <v/>
      </c>
      <c r="X138" s="76">
        <f>IF(OR($D138="",$K138=""),"",IF(AND($D138="پرداخت",$E138="چک"),$K138,0))</f>
        <v/>
      </c>
      <c r="Y138" s="76">
        <f>SUM($S138,$U138,$W138)</f>
        <v/>
      </c>
      <c r="Z138" s="76">
        <f>SUM($T138,$V138,$X138)</f>
        <v/>
      </c>
      <c r="AA138" s="70">
        <f>IF($D138="","",IF(ROUND($Y138-$Z138,0)=0,"✓","⚠"))</f>
        <v/>
      </c>
      <c r="AB138" s="70">
        <f>IF($D138="","",IF($E138="نقد","X003",IF(OR($E138="چک",$E138="پاس چک",$E138="برگشت چک"),"X010",IF($I138="","X003","X011"))))</f>
        <v/>
      </c>
      <c r="AC138" s="70">
        <f>IF($D138="","",IF($E138="انتقال داخلی",IF($N138="","X003",IFERROR(VLOOKUP($N138,BankTbl,4,0),$N138)),IF($I138="","X003",IFERROR(VLOOKUP($I138,BankTbl,4,0),$I138))))</f>
        <v/>
      </c>
      <c r="AD138" s="70">
        <f>IF($D138="","",IF($E138="پاس چک","X010",IF($E138="برگشت چک",IF($I138="","X003","X011"),IF($E138="انتقال داخلی",IF($I138="","X003","X011"),IF($D138="پرداخت",$F138,IF($E138="چک","X009",IF($I138="","X003","X011")))))))</f>
        <v/>
      </c>
      <c r="AE138" s="76">
        <f>IF($D138="","",IF($K138="",0,$K138))</f>
        <v/>
      </c>
      <c r="AF138" s="70">
        <f>IF($D138="","",IF($E138="پاس چک",IF($I138="","X003","X011"),IF($E138="برگشت چک","X010",IF($E138="انتقال داخلی",IF($N138="","X003","X011"),IF($D138="پرداخت",IF($E138="چک","X010",IF($I138="","X003","X011")),$F138)))))</f>
        <v/>
      </c>
      <c r="AG138" s="76">
        <f>IF($D138="","",IF($K138="",0,$K138))</f>
        <v/>
      </c>
    </row>
    <row r="139" ht="21.75" customHeight="1">
      <c r="A139" s="70">
        <f>IF($B139="","",COUNTA($B$10:$B139))</f>
        <v/>
      </c>
      <c r="B139" s="71" t="n"/>
      <c r="C139" s="71" t="n"/>
      <c r="D139" s="71" t="n"/>
      <c r="E139" s="71" t="n"/>
      <c r="F139" s="71" t="n"/>
      <c r="G139" s="73">
        <f>IF($F139="","",IFERROR(VLOOKUP($F139,AcctTbl,2,0),"کد ناشناخته"))</f>
        <v/>
      </c>
      <c r="H139" s="70">
        <f>IF($F139="","",IFERROR(VLOOKUP($F139,AcctTbl,3,0),""))</f>
        <v/>
      </c>
      <c r="I139" s="71" t="n"/>
      <c r="J139" s="71" t="n"/>
      <c r="K139" s="74" t="n"/>
      <c r="L139" s="71" t="n"/>
      <c r="M139" s="71" t="n"/>
      <c r="N139" s="71" t="n"/>
      <c r="O139" s="71" t="n"/>
      <c r="P139" s="72" t="n"/>
      <c r="Q139" s="72" t="n"/>
      <c r="R139" s="77">
        <f>IF($D139="","",IF($AA139="⚠","⚠ ناتراز",IF(AND($D139="پرداخت",$E139="چک",$L139=""),"⚠ وضعیت چک","✓")))</f>
        <v/>
      </c>
      <c r="S139" s="76">
        <f>IF(OR($D139="",$K139=""),"",IF(AND($D139="پرداخت",$E139&lt;&gt;"انتقال داخلی",$E139&lt;&gt;"پاس چک",$E139&lt;&gt;"برگشت چک"),$K139,0))</f>
        <v/>
      </c>
      <c r="T139" s="76">
        <f>IF(OR($D139="",$K139=""),"",IF(OR(AND($D139="دریافت",$E139&lt;&gt;"انتقال داخلی"),$E139="برگشت چک"),$K139,0))</f>
        <v/>
      </c>
      <c r="U139" s="76">
        <f>IF(OR($D139="",$K139=""),"",IF(OR(AND($D139="دریافت",$E139&lt;&gt;"چک"),$E139="انتقال داخلی"),$K139,0))</f>
        <v/>
      </c>
      <c r="V139" s="76">
        <f>IF(OR($D139="",$K139=""),"",IF(OR(AND($D139="پرداخت",$E139&lt;&gt;"چک",$E139&lt;&gt;"برگشت چک"),$E139="انتقال داخلی"),$K139,0))</f>
        <v/>
      </c>
      <c r="W139" s="76">
        <f>IF(OR($D139="",$K139=""),"",IF(OR($E139="پاس چک",$E139="برگشت چک",AND($D139="دریافت",$E139="چک")),$K139,0))</f>
        <v/>
      </c>
      <c r="X139" s="76">
        <f>IF(OR($D139="",$K139=""),"",IF(AND($D139="پرداخت",$E139="چک"),$K139,0))</f>
        <v/>
      </c>
      <c r="Y139" s="76">
        <f>SUM($S139,$U139,$W139)</f>
        <v/>
      </c>
      <c r="Z139" s="76">
        <f>SUM($T139,$V139,$X139)</f>
        <v/>
      </c>
      <c r="AA139" s="70">
        <f>IF($D139="","",IF(ROUND($Y139-$Z139,0)=0,"✓","⚠"))</f>
        <v/>
      </c>
      <c r="AB139" s="70">
        <f>IF($D139="","",IF($E139="نقد","X003",IF(OR($E139="چک",$E139="پاس چک",$E139="برگشت چک"),"X010",IF($I139="","X003","X011"))))</f>
        <v/>
      </c>
      <c r="AC139" s="70">
        <f>IF($D139="","",IF($E139="انتقال داخلی",IF($N139="","X003",IFERROR(VLOOKUP($N139,BankTbl,4,0),$N139)),IF($I139="","X003",IFERROR(VLOOKUP($I139,BankTbl,4,0),$I139))))</f>
        <v/>
      </c>
      <c r="AD139" s="70">
        <f>IF($D139="","",IF($E139="پاس چک","X010",IF($E139="برگشت چک",IF($I139="","X003","X011"),IF($E139="انتقال داخلی",IF($I139="","X003","X011"),IF($D139="پرداخت",$F139,IF($E139="چک","X009",IF($I139="","X003","X011")))))))</f>
        <v/>
      </c>
      <c r="AE139" s="76">
        <f>IF($D139="","",IF($K139="",0,$K139))</f>
        <v/>
      </c>
      <c r="AF139" s="70">
        <f>IF($D139="","",IF($E139="پاس چک",IF($I139="","X003","X011"),IF($E139="برگشت چک","X010",IF($E139="انتقال داخلی",IF($N139="","X003","X011"),IF($D139="پرداخت",IF($E139="چک","X010",IF($I139="","X003","X011")),$F139)))))</f>
        <v/>
      </c>
      <c r="AG139" s="76">
        <f>IF($D139="","",IF($K139="",0,$K139))</f>
        <v/>
      </c>
    </row>
    <row r="140" ht="21.75" customHeight="1">
      <c r="A140" s="70">
        <f>IF($B140="","",COUNTA($B$10:$B140))</f>
        <v/>
      </c>
      <c r="B140" s="71" t="n"/>
      <c r="C140" s="71" t="n"/>
      <c r="D140" s="71" t="n"/>
      <c r="E140" s="71" t="n"/>
      <c r="F140" s="71" t="n"/>
      <c r="G140" s="73">
        <f>IF($F140="","",IFERROR(VLOOKUP($F140,AcctTbl,2,0),"کد ناشناخته"))</f>
        <v/>
      </c>
      <c r="H140" s="70">
        <f>IF($F140="","",IFERROR(VLOOKUP($F140,AcctTbl,3,0),""))</f>
        <v/>
      </c>
      <c r="I140" s="71" t="n"/>
      <c r="J140" s="71" t="n"/>
      <c r="K140" s="74" t="n"/>
      <c r="L140" s="71" t="n"/>
      <c r="M140" s="71" t="n"/>
      <c r="N140" s="71" t="n"/>
      <c r="O140" s="71" t="n"/>
      <c r="P140" s="72" t="n"/>
      <c r="Q140" s="72" t="n"/>
      <c r="R140" s="77">
        <f>IF($D140="","",IF($AA140="⚠","⚠ ناتراز",IF(AND($D140="پرداخت",$E140="چک",$L140=""),"⚠ وضعیت چک","✓")))</f>
        <v/>
      </c>
      <c r="S140" s="76">
        <f>IF(OR($D140="",$K140=""),"",IF(AND($D140="پرداخت",$E140&lt;&gt;"انتقال داخلی",$E140&lt;&gt;"پاس چک",$E140&lt;&gt;"برگشت چک"),$K140,0))</f>
        <v/>
      </c>
      <c r="T140" s="76">
        <f>IF(OR($D140="",$K140=""),"",IF(OR(AND($D140="دریافت",$E140&lt;&gt;"انتقال داخلی"),$E140="برگشت چک"),$K140,0))</f>
        <v/>
      </c>
      <c r="U140" s="76">
        <f>IF(OR($D140="",$K140=""),"",IF(OR(AND($D140="دریافت",$E140&lt;&gt;"چک"),$E140="انتقال داخلی"),$K140,0))</f>
        <v/>
      </c>
      <c r="V140" s="76">
        <f>IF(OR($D140="",$K140=""),"",IF(OR(AND($D140="پرداخت",$E140&lt;&gt;"چک",$E140&lt;&gt;"برگشت چک"),$E140="انتقال داخلی"),$K140,0))</f>
        <v/>
      </c>
      <c r="W140" s="76">
        <f>IF(OR($D140="",$K140=""),"",IF(OR($E140="پاس چک",$E140="برگشت چک",AND($D140="دریافت",$E140="چک")),$K140,0))</f>
        <v/>
      </c>
      <c r="X140" s="76">
        <f>IF(OR($D140="",$K140=""),"",IF(AND($D140="پرداخت",$E140="چک"),$K140,0))</f>
        <v/>
      </c>
      <c r="Y140" s="76">
        <f>SUM($S140,$U140,$W140)</f>
        <v/>
      </c>
      <c r="Z140" s="76">
        <f>SUM($T140,$V140,$X140)</f>
        <v/>
      </c>
      <c r="AA140" s="70">
        <f>IF($D140="","",IF(ROUND($Y140-$Z140,0)=0,"✓","⚠"))</f>
        <v/>
      </c>
      <c r="AB140" s="70">
        <f>IF($D140="","",IF($E140="نقد","X003",IF(OR($E140="چک",$E140="پاس چک",$E140="برگشت چک"),"X010",IF($I140="","X003","X011"))))</f>
        <v/>
      </c>
      <c r="AC140" s="70">
        <f>IF($D140="","",IF($E140="انتقال داخلی",IF($N140="","X003",IFERROR(VLOOKUP($N140,BankTbl,4,0),$N140)),IF($I140="","X003",IFERROR(VLOOKUP($I140,BankTbl,4,0),$I140))))</f>
        <v/>
      </c>
      <c r="AD140" s="70">
        <f>IF($D140="","",IF($E140="پاس چک","X010",IF($E140="برگشت چک",IF($I140="","X003","X011"),IF($E140="انتقال داخلی",IF($I140="","X003","X011"),IF($D140="پرداخت",$F140,IF($E140="چک","X009",IF($I140="","X003","X011")))))))</f>
        <v/>
      </c>
      <c r="AE140" s="76">
        <f>IF($D140="","",IF($K140="",0,$K140))</f>
        <v/>
      </c>
      <c r="AF140" s="70">
        <f>IF($D140="","",IF($E140="پاس چک",IF($I140="","X003","X011"),IF($E140="برگشت چک","X010",IF($E140="انتقال داخلی",IF($N140="","X003","X011"),IF($D140="پرداخت",IF($E140="چک","X010",IF($I140="","X003","X011")),$F140)))))</f>
        <v/>
      </c>
      <c r="AG140" s="76">
        <f>IF($D140="","",IF($K140="",0,$K140))</f>
        <v/>
      </c>
    </row>
    <row r="141" ht="21.75" customHeight="1">
      <c r="A141" s="70">
        <f>IF($B141="","",COUNTA($B$10:$B141))</f>
        <v/>
      </c>
      <c r="B141" s="71" t="n"/>
      <c r="C141" s="71" t="n"/>
      <c r="D141" s="71" t="n"/>
      <c r="E141" s="71" t="n"/>
      <c r="F141" s="71" t="n"/>
      <c r="G141" s="73">
        <f>IF($F141="","",IFERROR(VLOOKUP($F141,AcctTbl,2,0),"کد ناشناخته"))</f>
        <v/>
      </c>
      <c r="H141" s="70">
        <f>IF($F141="","",IFERROR(VLOOKUP($F141,AcctTbl,3,0),""))</f>
        <v/>
      </c>
      <c r="I141" s="71" t="n"/>
      <c r="J141" s="71" t="n"/>
      <c r="K141" s="74" t="n"/>
      <c r="L141" s="71" t="n"/>
      <c r="M141" s="71" t="n"/>
      <c r="N141" s="71" t="n"/>
      <c r="O141" s="71" t="n"/>
      <c r="P141" s="72" t="n"/>
      <c r="Q141" s="72" t="n"/>
      <c r="R141" s="77">
        <f>IF($D141="","",IF($AA141="⚠","⚠ ناتراز",IF(AND($D141="پرداخت",$E141="چک",$L141=""),"⚠ وضعیت چک","✓")))</f>
        <v/>
      </c>
      <c r="S141" s="76">
        <f>IF(OR($D141="",$K141=""),"",IF(AND($D141="پرداخت",$E141&lt;&gt;"انتقال داخلی",$E141&lt;&gt;"پاس چک",$E141&lt;&gt;"برگشت چک"),$K141,0))</f>
        <v/>
      </c>
      <c r="T141" s="76">
        <f>IF(OR($D141="",$K141=""),"",IF(OR(AND($D141="دریافت",$E141&lt;&gt;"انتقال داخلی"),$E141="برگشت چک"),$K141,0))</f>
        <v/>
      </c>
      <c r="U141" s="76">
        <f>IF(OR($D141="",$K141=""),"",IF(OR(AND($D141="دریافت",$E141&lt;&gt;"چک"),$E141="انتقال داخلی"),$K141,0))</f>
        <v/>
      </c>
      <c r="V141" s="76">
        <f>IF(OR($D141="",$K141=""),"",IF(OR(AND($D141="پرداخت",$E141&lt;&gt;"چک",$E141&lt;&gt;"برگشت چک"),$E141="انتقال داخلی"),$K141,0))</f>
        <v/>
      </c>
      <c r="W141" s="76">
        <f>IF(OR($D141="",$K141=""),"",IF(OR($E141="پاس چک",$E141="برگشت چک",AND($D141="دریافت",$E141="چک")),$K141,0))</f>
        <v/>
      </c>
      <c r="X141" s="76">
        <f>IF(OR($D141="",$K141=""),"",IF(AND($D141="پرداخت",$E141="چک"),$K141,0))</f>
        <v/>
      </c>
      <c r="Y141" s="76">
        <f>SUM($S141,$U141,$W141)</f>
        <v/>
      </c>
      <c r="Z141" s="76">
        <f>SUM($T141,$V141,$X141)</f>
        <v/>
      </c>
      <c r="AA141" s="70">
        <f>IF($D141="","",IF(ROUND($Y141-$Z141,0)=0,"✓","⚠"))</f>
        <v/>
      </c>
      <c r="AB141" s="70">
        <f>IF($D141="","",IF($E141="نقد","X003",IF(OR($E141="چک",$E141="پاس چک",$E141="برگشت چک"),"X010",IF($I141="","X003","X011"))))</f>
        <v/>
      </c>
      <c r="AC141" s="70">
        <f>IF($D141="","",IF($E141="انتقال داخلی",IF($N141="","X003",IFERROR(VLOOKUP($N141,BankTbl,4,0),$N141)),IF($I141="","X003",IFERROR(VLOOKUP($I141,BankTbl,4,0),$I141))))</f>
        <v/>
      </c>
      <c r="AD141" s="70">
        <f>IF($D141="","",IF($E141="پاس چک","X010",IF($E141="برگشت چک",IF($I141="","X003","X011"),IF($E141="انتقال داخلی",IF($I141="","X003","X011"),IF($D141="پرداخت",$F141,IF($E141="چک","X009",IF($I141="","X003","X011")))))))</f>
        <v/>
      </c>
      <c r="AE141" s="76">
        <f>IF($D141="","",IF($K141="",0,$K141))</f>
        <v/>
      </c>
      <c r="AF141" s="70">
        <f>IF($D141="","",IF($E141="پاس چک",IF($I141="","X003","X011"),IF($E141="برگشت چک","X010",IF($E141="انتقال داخلی",IF($N141="","X003","X011"),IF($D141="پرداخت",IF($E141="چک","X010",IF($I141="","X003","X011")),$F141)))))</f>
        <v/>
      </c>
      <c r="AG141" s="76">
        <f>IF($D141="","",IF($K141="",0,$K141))</f>
        <v/>
      </c>
    </row>
    <row r="142" ht="21.75" customHeight="1">
      <c r="A142" s="70">
        <f>IF($B142="","",COUNTA($B$10:$B142))</f>
        <v/>
      </c>
      <c r="B142" s="71" t="n"/>
      <c r="C142" s="71" t="n"/>
      <c r="D142" s="71" t="n"/>
      <c r="E142" s="71" t="n"/>
      <c r="F142" s="71" t="n"/>
      <c r="G142" s="73">
        <f>IF($F142="","",IFERROR(VLOOKUP($F142,AcctTbl,2,0),"کد ناشناخته"))</f>
        <v/>
      </c>
      <c r="H142" s="70">
        <f>IF($F142="","",IFERROR(VLOOKUP($F142,AcctTbl,3,0),""))</f>
        <v/>
      </c>
      <c r="I142" s="71" t="n"/>
      <c r="J142" s="71" t="n"/>
      <c r="K142" s="74" t="n"/>
      <c r="L142" s="71" t="n"/>
      <c r="M142" s="71" t="n"/>
      <c r="N142" s="71" t="n"/>
      <c r="O142" s="71" t="n"/>
      <c r="P142" s="72" t="n"/>
      <c r="Q142" s="72" t="n"/>
      <c r="R142" s="77">
        <f>IF($D142="","",IF($AA142="⚠","⚠ ناتراز",IF(AND($D142="پرداخت",$E142="چک",$L142=""),"⚠ وضعیت چک","✓")))</f>
        <v/>
      </c>
      <c r="S142" s="76">
        <f>IF(OR($D142="",$K142=""),"",IF(AND($D142="پرداخت",$E142&lt;&gt;"انتقال داخلی",$E142&lt;&gt;"پاس چک",$E142&lt;&gt;"برگشت چک"),$K142,0))</f>
        <v/>
      </c>
      <c r="T142" s="76">
        <f>IF(OR($D142="",$K142=""),"",IF(OR(AND($D142="دریافت",$E142&lt;&gt;"انتقال داخلی"),$E142="برگشت چک"),$K142,0))</f>
        <v/>
      </c>
      <c r="U142" s="76">
        <f>IF(OR($D142="",$K142=""),"",IF(OR(AND($D142="دریافت",$E142&lt;&gt;"چک"),$E142="انتقال داخلی"),$K142,0))</f>
        <v/>
      </c>
      <c r="V142" s="76">
        <f>IF(OR($D142="",$K142=""),"",IF(OR(AND($D142="پرداخت",$E142&lt;&gt;"چک",$E142&lt;&gt;"برگشت چک"),$E142="انتقال داخلی"),$K142,0))</f>
        <v/>
      </c>
      <c r="W142" s="76">
        <f>IF(OR($D142="",$K142=""),"",IF(OR($E142="پاس چک",$E142="برگشت چک",AND($D142="دریافت",$E142="چک")),$K142,0))</f>
        <v/>
      </c>
      <c r="X142" s="76">
        <f>IF(OR($D142="",$K142=""),"",IF(AND($D142="پرداخت",$E142="چک"),$K142,0))</f>
        <v/>
      </c>
      <c r="Y142" s="76">
        <f>SUM($S142,$U142,$W142)</f>
        <v/>
      </c>
      <c r="Z142" s="76">
        <f>SUM($T142,$V142,$X142)</f>
        <v/>
      </c>
      <c r="AA142" s="70">
        <f>IF($D142="","",IF(ROUND($Y142-$Z142,0)=0,"✓","⚠"))</f>
        <v/>
      </c>
      <c r="AB142" s="70">
        <f>IF($D142="","",IF($E142="نقد","X003",IF(OR($E142="چک",$E142="پاس چک",$E142="برگشت چک"),"X010",IF($I142="","X003","X011"))))</f>
        <v/>
      </c>
      <c r="AC142" s="70">
        <f>IF($D142="","",IF($E142="انتقال داخلی",IF($N142="","X003",IFERROR(VLOOKUP($N142,BankTbl,4,0),$N142)),IF($I142="","X003",IFERROR(VLOOKUP($I142,BankTbl,4,0),$I142))))</f>
        <v/>
      </c>
      <c r="AD142" s="70">
        <f>IF($D142="","",IF($E142="پاس چک","X010",IF($E142="برگشت چک",IF($I142="","X003","X011"),IF($E142="انتقال داخلی",IF($I142="","X003","X011"),IF($D142="پرداخت",$F142,IF($E142="چک","X009",IF($I142="","X003","X011")))))))</f>
        <v/>
      </c>
      <c r="AE142" s="76">
        <f>IF($D142="","",IF($K142="",0,$K142))</f>
        <v/>
      </c>
      <c r="AF142" s="70">
        <f>IF($D142="","",IF($E142="پاس چک",IF($I142="","X003","X011"),IF($E142="برگشت چک","X010",IF($E142="انتقال داخلی",IF($N142="","X003","X011"),IF($D142="پرداخت",IF($E142="چک","X010",IF($I142="","X003","X011")),$F142)))))</f>
        <v/>
      </c>
      <c r="AG142" s="76">
        <f>IF($D142="","",IF($K142="",0,$K142))</f>
        <v/>
      </c>
    </row>
    <row r="143" ht="21.75" customHeight="1">
      <c r="A143" s="70">
        <f>IF($B143="","",COUNTA($B$10:$B143))</f>
        <v/>
      </c>
      <c r="B143" s="71" t="n"/>
      <c r="C143" s="71" t="n"/>
      <c r="D143" s="71" t="n"/>
      <c r="E143" s="71" t="n"/>
      <c r="F143" s="71" t="n"/>
      <c r="G143" s="73">
        <f>IF($F143="","",IFERROR(VLOOKUP($F143,AcctTbl,2,0),"کد ناشناخته"))</f>
        <v/>
      </c>
      <c r="H143" s="70">
        <f>IF($F143="","",IFERROR(VLOOKUP($F143,AcctTbl,3,0),""))</f>
        <v/>
      </c>
      <c r="I143" s="71" t="n"/>
      <c r="J143" s="71" t="n"/>
      <c r="K143" s="74" t="n"/>
      <c r="L143" s="71" t="n"/>
      <c r="M143" s="71" t="n"/>
      <c r="N143" s="71" t="n"/>
      <c r="O143" s="71" t="n"/>
      <c r="P143" s="72" t="n"/>
      <c r="Q143" s="72" t="n"/>
      <c r="R143" s="77">
        <f>IF($D143="","",IF($AA143="⚠","⚠ ناتراز",IF(AND($D143="پرداخت",$E143="چک",$L143=""),"⚠ وضعیت چک","✓")))</f>
        <v/>
      </c>
      <c r="S143" s="76">
        <f>IF(OR($D143="",$K143=""),"",IF(AND($D143="پرداخت",$E143&lt;&gt;"انتقال داخلی",$E143&lt;&gt;"پاس چک",$E143&lt;&gt;"برگشت چک"),$K143,0))</f>
        <v/>
      </c>
      <c r="T143" s="76">
        <f>IF(OR($D143="",$K143=""),"",IF(OR(AND($D143="دریافت",$E143&lt;&gt;"انتقال داخلی"),$E143="برگشت چک"),$K143,0))</f>
        <v/>
      </c>
      <c r="U143" s="76">
        <f>IF(OR($D143="",$K143=""),"",IF(OR(AND($D143="دریافت",$E143&lt;&gt;"چک"),$E143="انتقال داخلی"),$K143,0))</f>
        <v/>
      </c>
      <c r="V143" s="76">
        <f>IF(OR($D143="",$K143=""),"",IF(OR(AND($D143="پرداخت",$E143&lt;&gt;"چک",$E143&lt;&gt;"برگشت چک"),$E143="انتقال داخلی"),$K143,0))</f>
        <v/>
      </c>
      <c r="W143" s="76">
        <f>IF(OR($D143="",$K143=""),"",IF(OR($E143="پاس چک",$E143="برگشت چک",AND($D143="دریافت",$E143="چک")),$K143,0))</f>
        <v/>
      </c>
      <c r="X143" s="76">
        <f>IF(OR($D143="",$K143=""),"",IF(AND($D143="پرداخت",$E143="چک"),$K143,0))</f>
        <v/>
      </c>
      <c r="Y143" s="76">
        <f>SUM($S143,$U143,$W143)</f>
        <v/>
      </c>
      <c r="Z143" s="76">
        <f>SUM($T143,$V143,$X143)</f>
        <v/>
      </c>
      <c r="AA143" s="70">
        <f>IF($D143="","",IF(ROUND($Y143-$Z143,0)=0,"✓","⚠"))</f>
        <v/>
      </c>
      <c r="AB143" s="70">
        <f>IF($D143="","",IF($E143="نقد","X003",IF(OR($E143="چک",$E143="پاس چک",$E143="برگشت چک"),"X010",IF($I143="","X003","X011"))))</f>
        <v/>
      </c>
      <c r="AC143" s="70">
        <f>IF($D143="","",IF($E143="انتقال داخلی",IF($N143="","X003",IFERROR(VLOOKUP($N143,BankTbl,4,0),$N143)),IF($I143="","X003",IFERROR(VLOOKUP($I143,BankTbl,4,0),$I143))))</f>
        <v/>
      </c>
      <c r="AD143" s="70">
        <f>IF($D143="","",IF($E143="پاس چک","X010",IF($E143="برگشت چک",IF($I143="","X003","X011"),IF($E143="انتقال داخلی",IF($I143="","X003","X011"),IF($D143="پرداخت",$F143,IF($E143="چک","X009",IF($I143="","X003","X011")))))))</f>
        <v/>
      </c>
      <c r="AE143" s="76">
        <f>IF($D143="","",IF($K143="",0,$K143))</f>
        <v/>
      </c>
      <c r="AF143" s="70">
        <f>IF($D143="","",IF($E143="پاس چک",IF($I143="","X003","X011"),IF($E143="برگشت چک","X010",IF($E143="انتقال داخلی",IF($N143="","X003","X011"),IF($D143="پرداخت",IF($E143="چک","X010",IF($I143="","X003","X011")),$F143)))))</f>
        <v/>
      </c>
      <c r="AG143" s="76">
        <f>IF($D143="","",IF($K143="",0,$K143))</f>
        <v/>
      </c>
    </row>
    <row r="144" ht="21.75" customHeight="1">
      <c r="A144" s="70">
        <f>IF($B144="","",COUNTA($B$10:$B144))</f>
        <v/>
      </c>
      <c r="B144" s="71" t="n"/>
      <c r="C144" s="71" t="n"/>
      <c r="D144" s="71" t="n"/>
      <c r="E144" s="71" t="n"/>
      <c r="F144" s="71" t="n"/>
      <c r="G144" s="73">
        <f>IF($F144="","",IFERROR(VLOOKUP($F144,AcctTbl,2,0),"کد ناشناخته"))</f>
        <v/>
      </c>
      <c r="H144" s="70">
        <f>IF($F144="","",IFERROR(VLOOKUP($F144,AcctTbl,3,0),""))</f>
        <v/>
      </c>
      <c r="I144" s="71" t="n"/>
      <c r="J144" s="71" t="n"/>
      <c r="K144" s="74" t="n"/>
      <c r="L144" s="71" t="n"/>
      <c r="M144" s="71" t="n"/>
      <c r="N144" s="71" t="n"/>
      <c r="O144" s="71" t="n"/>
      <c r="P144" s="72" t="n"/>
      <c r="Q144" s="72" t="n"/>
      <c r="R144" s="77">
        <f>IF($D144="","",IF($AA144="⚠","⚠ ناتراز",IF(AND($D144="پرداخت",$E144="چک",$L144=""),"⚠ وضعیت چک","✓")))</f>
        <v/>
      </c>
      <c r="S144" s="76">
        <f>IF(OR($D144="",$K144=""),"",IF(AND($D144="پرداخت",$E144&lt;&gt;"انتقال داخلی",$E144&lt;&gt;"پاس چک",$E144&lt;&gt;"برگشت چک"),$K144,0))</f>
        <v/>
      </c>
      <c r="T144" s="76">
        <f>IF(OR($D144="",$K144=""),"",IF(OR(AND($D144="دریافت",$E144&lt;&gt;"انتقال داخلی"),$E144="برگشت چک"),$K144,0))</f>
        <v/>
      </c>
      <c r="U144" s="76">
        <f>IF(OR($D144="",$K144=""),"",IF(OR(AND($D144="دریافت",$E144&lt;&gt;"چک"),$E144="انتقال داخلی"),$K144,0))</f>
        <v/>
      </c>
      <c r="V144" s="76">
        <f>IF(OR($D144="",$K144=""),"",IF(OR(AND($D144="پرداخت",$E144&lt;&gt;"چک",$E144&lt;&gt;"برگشت چک"),$E144="انتقال داخلی"),$K144,0))</f>
        <v/>
      </c>
      <c r="W144" s="76">
        <f>IF(OR($D144="",$K144=""),"",IF(OR($E144="پاس چک",$E144="برگشت چک",AND($D144="دریافت",$E144="چک")),$K144,0))</f>
        <v/>
      </c>
      <c r="X144" s="76">
        <f>IF(OR($D144="",$K144=""),"",IF(AND($D144="پرداخت",$E144="چک"),$K144,0))</f>
        <v/>
      </c>
      <c r="Y144" s="76">
        <f>SUM($S144,$U144,$W144)</f>
        <v/>
      </c>
      <c r="Z144" s="76">
        <f>SUM($T144,$V144,$X144)</f>
        <v/>
      </c>
      <c r="AA144" s="70">
        <f>IF($D144="","",IF(ROUND($Y144-$Z144,0)=0,"✓","⚠"))</f>
        <v/>
      </c>
      <c r="AB144" s="70">
        <f>IF($D144="","",IF($E144="نقد","X003",IF(OR($E144="چک",$E144="پاس چک",$E144="برگشت چک"),"X010",IF($I144="","X003","X011"))))</f>
        <v/>
      </c>
      <c r="AC144" s="70">
        <f>IF($D144="","",IF($E144="انتقال داخلی",IF($N144="","X003",IFERROR(VLOOKUP($N144,BankTbl,4,0),$N144)),IF($I144="","X003",IFERROR(VLOOKUP($I144,BankTbl,4,0),$I144))))</f>
        <v/>
      </c>
      <c r="AD144" s="70">
        <f>IF($D144="","",IF($E144="پاس چک","X010",IF($E144="برگشت چک",IF($I144="","X003","X011"),IF($E144="انتقال داخلی",IF($I144="","X003","X011"),IF($D144="پرداخت",$F144,IF($E144="چک","X009",IF($I144="","X003","X011")))))))</f>
        <v/>
      </c>
      <c r="AE144" s="76">
        <f>IF($D144="","",IF($K144="",0,$K144))</f>
        <v/>
      </c>
      <c r="AF144" s="70">
        <f>IF($D144="","",IF($E144="پاس چک",IF($I144="","X003","X011"),IF($E144="برگشت چک","X010",IF($E144="انتقال داخلی",IF($N144="","X003","X011"),IF($D144="پرداخت",IF($E144="چک","X010",IF($I144="","X003","X011")),$F144)))))</f>
        <v/>
      </c>
      <c r="AG144" s="76">
        <f>IF($D144="","",IF($K144="",0,$K144))</f>
        <v/>
      </c>
    </row>
    <row r="145" ht="21.75" customHeight="1">
      <c r="A145" s="70">
        <f>IF($B145="","",COUNTA($B$10:$B145))</f>
        <v/>
      </c>
      <c r="B145" s="71" t="n"/>
      <c r="C145" s="71" t="n"/>
      <c r="D145" s="71" t="n"/>
      <c r="E145" s="71" t="n"/>
      <c r="F145" s="71" t="n"/>
      <c r="G145" s="73">
        <f>IF($F145="","",IFERROR(VLOOKUP($F145,AcctTbl,2,0),"کد ناشناخته"))</f>
        <v/>
      </c>
      <c r="H145" s="70">
        <f>IF($F145="","",IFERROR(VLOOKUP($F145,AcctTbl,3,0),""))</f>
        <v/>
      </c>
      <c r="I145" s="71" t="n"/>
      <c r="J145" s="71" t="n"/>
      <c r="K145" s="74" t="n"/>
      <c r="L145" s="71" t="n"/>
      <c r="M145" s="71" t="n"/>
      <c r="N145" s="71" t="n"/>
      <c r="O145" s="71" t="n"/>
      <c r="P145" s="72" t="n"/>
      <c r="Q145" s="72" t="n"/>
      <c r="R145" s="77">
        <f>IF($D145="","",IF($AA145="⚠","⚠ ناتراز",IF(AND($D145="پرداخت",$E145="چک",$L145=""),"⚠ وضعیت چک","✓")))</f>
        <v/>
      </c>
      <c r="S145" s="76">
        <f>IF(OR($D145="",$K145=""),"",IF(AND($D145="پرداخت",$E145&lt;&gt;"انتقال داخلی",$E145&lt;&gt;"پاس چک",$E145&lt;&gt;"برگشت چک"),$K145,0))</f>
        <v/>
      </c>
      <c r="T145" s="76">
        <f>IF(OR($D145="",$K145=""),"",IF(OR(AND($D145="دریافت",$E145&lt;&gt;"انتقال داخلی"),$E145="برگشت چک"),$K145,0))</f>
        <v/>
      </c>
      <c r="U145" s="76">
        <f>IF(OR($D145="",$K145=""),"",IF(OR(AND($D145="دریافت",$E145&lt;&gt;"چک"),$E145="انتقال داخلی"),$K145,0))</f>
        <v/>
      </c>
      <c r="V145" s="76">
        <f>IF(OR($D145="",$K145=""),"",IF(OR(AND($D145="پرداخت",$E145&lt;&gt;"چک",$E145&lt;&gt;"برگشت چک"),$E145="انتقال داخلی"),$K145,0))</f>
        <v/>
      </c>
      <c r="W145" s="76">
        <f>IF(OR($D145="",$K145=""),"",IF(OR($E145="پاس چک",$E145="برگشت چک",AND($D145="دریافت",$E145="چک")),$K145,0))</f>
        <v/>
      </c>
      <c r="X145" s="76">
        <f>IF(OR($D145="",$K145=""),"",IF(AND($D145="پرداخت",$E145="چک"),$K145,0))</f>
        <v/>
      </c>
      <c r="Y145" s="76">
        <f>SUM($S145,$U145,$W145)</f>
        <v/>
      </c>
      <c r="Z145" s="76">
        <f>SUM($T145,$V145,$X145)</f>
        <v/>
      </c>
      <c r="AA145" s="70">
        <f>IF($D145="","",IF(ROUND($Y145-$Z145,0)=0,"✓","⚠"))</f>
        <v/>
      </c>
      <c r="AB145" s="70">
        <f>IF($D145="","",IF($E145="نقد","X003",IF(OR($E145="چک",$E145="پاس چک",$E145="برگشت چک"),"X010",IF($I145="","X003","X011"))))</f>
        <v/>
      </c>
      <c r="AC145" s="70">
        <f>IF($D145="","",IF($E145="انتقال داخلی",IF($N145="","X003",IFERROR(VLOOKUP($N145,BankTbl,4,0),$N145)),IF($I145="","X003",IFERROR(VLOOKUP($I145,BankTbl,4,0),$I145))))</f>
        <v/>
      </c>
      <c r="AD145" s="70">
        <f>IF($D145="","",IF($E145="پاس چک","X010",IF($E145="برگشت چک",IF($I145="","X003","X011"),IF($E145="انتقال داخلی",IF($I145="","X003","X011"),IF($D145="پرداخت",$F145,IF($E145="چک","X009",IF($I145="","X003","X011")))))))</f>
        <v/>
      </c>
      <c r="AE145" s="76">
        <f>IF($D145="","",IF($K145="",0,$K145))</f>
        <v/>
      </c>
      <c r="AF145" s="70">
        <f>IF($D145="","",IF($E145="پاس چک",IF($I145="","X003","X011"),IF($E145="برگشت چک","X010",IF($E145="انتقال داخلی",IF($N145="","X003","X011"),IF($D145="پرداخت",IF($E145="چک","X010",IF($I145="","X003","X011")),$F145)))))</f>
        <v/>
      </c>
      <c r="AG145" s="76">
        <f>IF($D145="","",IF($K145="",0,$K145))</f>
        <v/>
      </c>
    </row>
    <row r="146" ht="21.75" customHeight="1">
      <c r="A146" s="70">
        <f>IF($B146="","",COUNTA($B$10:$B146))</f>
        <v/>
      </c>
      <c r="B146" s="71" t="n"/>
      <c r="C146" s="71" t="n"/>
      <c r="D146" s="71" t="n"/>
      <c r="E146" s="71" t="n"/>
      <c r="F146" s="71" t="n"/>
      <c r="G146" s="73">
        <f>IF($F146="","",IFERROR(VLOOKUP($F146,AcctTbl,2,0),"کد ناشناخته"))</f>
        <v/>
      </c>
      <c r="H146" s="70">
        <f>IF($F146="","",IFERROR(VLOOKUP($F146,AcctTbl,3,0),""))</f>
        <v/>
      </c>
      <c r="I146" s="71" t="n"/>
      <c r="J146" s="71" t="n"/>
      <c r="K146" s="74" t="n"/>
      <c r="L146" s="71" t="n"/>
      <c r="M146" s="71" t="n"/>
      <c r="N146" s="71" t="n"/>
      <c r="O146" s="71" t="n"/>
      <c r="P146" s="72" t="n"/>
      <c r="Q146" s="72" t="n"/>
      <c r="R146" s="77">
        <f>IF($D146="","",IF($AA146="⚠","⚠ ناتراز",IF(AND($D146="پرداخت",$E146="چک",$L146=""),"⚠ وضعیت چک","✓")))</f>
        <v/>
      </c>
      <c r="S146" s="76">
        <f>IF(OR($D146="",$K146=""),"",IF(AND($D146="پرداخت",$E146&lt;&gt;"انتقال داخلی",$E146&lt;&gt;"پاس چک",$E146&lt;&gt;"برگشت چک"),$K146,0))</f>
        <v/>
      </c>
      <c r="T146" s="76">
        <f>IF(OR($D146="",$K146=""),"",IF(OR(AND($D146="دریافت",$E146&lt;&gt;"انتقال داخلی"),$E146="برگشت چک"),$K146,0))</f>
        <v/>
      </c>
      <c r="U146" s="76">
        <f>IF(OR($D146="",$K146=""),"",IF(OR(AND($D146="دریافت",$E146&lt;&gt;"چک"),$E146="انتقال داخلی"),$K146,0))</f>
        <v/>
      </c>
      <c r="V146" s="76">
        <f>IF(OR($D146="",$K146=""),"",IF(OR(AND($D146="پرداخت",$E146&lt;&gt;"چک",$E146&lt;&gt;"برگشت چک"),$E146="انتقال داخلی"),$K146,0))</f>
        <v/>
      </c>
      <c r="W146" s="76">
        <f>IF(OR($D146="",$K146=""),"",IF(OR($E146="پاس چک",$E146="برگشت چک",AND($D146="دریافت",$E146="چک")),$K146,0))</f>
        <v/>
      </c>
      <c r="X146" s="76">
        <f>IF(OR($D146="",$K146=""),"",IF(AND($D146="پرداخت",$E146="چک"),$K146,0))</f>
        <v/>
      </c>
      <c r="Y146" s="76">
        <f>SUM($S146,$U146,$W146)</f>
        <v/>
      </c>
      <c r="Z146" s="76">
        <f>SUM($T146,$V146,$X146)</f>
        <v/>
      </c>
      <c r="AA146" s="70">
        <f>IF($D146="","",IF(ROUND($Y146-$Z146,0)=0,"✓","⚠"))</f>
        <v/>
      </c>
      <c r="AB146" s="70">
        <f>IF($D146="","",IF($E146="نقد","X003",IF(OR($E146="چک",$E146="پاس چک",$E146="برگشت چک"),"X010",IF($I146="","X003","X011"))))</f>
        <v/>
      </c>
      <c r="AC146" s="70">
        <f>IF($D146="","",IF($E146="انتقال داخلی",IF($N146="","X003",IFERROR(VLOOKUP($N146,BankTbl,4,0),$N146)),IF($I146="","X003",IFERROR(VLOOKUP($I146,BankTbl,4,0),$I146))))</f>
        <v/>
      </c>
      <c r="AD146" s="70">
        <f>IF($D146="","",IF($E146="پاس چک","X010",IF($E146="برگشت چک",IF($I146="","X003","X011"),IF($E146="انتقال داخلی",IF($I146="","X003","X011"),IF($D146="پرداخت",$F146,IF($E146="چک","X009",IF($I146="","X003","X011")))))))</f>
        <v/>
      </c>
      <c r="AE146" s="76">
        <f>IF($D146="","",IF($K146="",0,$K146))</f>
        <v/>
      </c>
      <c r="AF146" s="70">
        <f>IF($D146="","",IF($E146="پاس چک",IF($I146="","X003","X011"),IF($E146="برگشت چک","X010",IF($E146="انتقال داخلی",IF($N146="","X003","X011"),IF($D146="پرداخت",IF($E146="چک","X010",IF($I146="","X003","X011")),$F146)))))</f>
        <v/>
      </c>
      <c r="AG146" s="76">
        <f>IF($D146="","",IF($K146="",0,$K146))</f>
        <v/>
      </c>
    </row>
    <row r="147" ht="21.75" customHeight="1">
      <c r="A147" s="70">
        <f>IF($B147="","",COUNTA($B$10:$B147))</f>
        <v/>
      </c>
      <c r="B147" s="71" t="n"/>
      <c r="C147" s="71" t="n"/>
      <c r="D147" s="71" t="n"/>
      <c r="E147" s="71" t="n"/>
      <c r="F147" s="71" t="n"/>
      <c r="G147" s="73">
        <f>IF($F147="","",IFERROR(VLOOKUP($F147,AcctTbl,2,0),"کد ناشناخته"))</f>
        <v/>
      </c>
      <c r="H147" s="70">
        <f>IF($F147="","",IFERROR(VLOOKUP($F147,AcctTbl,3,0),""))</f>
        <v/>
      </c>
      <c r="I147" s="71" t="n"/>
      <c r="J147" s="71" t="n"/>
      <c r="K147" s="74" t="n"/>
      <c r="L147" s="71" t="n"/>
      <c r="M147" s="71" t="n"/>
      <c r="N147" s="71" t="n"/>
      <c r="O147" s="71" t="n"/>
      <c r="P147" s="72" t="n"/>
      <c r="Q147" s="72" t="n"/>
      <c r="R147" s="77">
        <f>IF($D147="","",IF($AA147="⚠","⚠ ناتراز",IF(AND($D147="پرداخت",$E147="چک",$L147=""),"⚠ وضعیت چک","✓")))</f>
        <v/>
      </c>
      <c r="S147" s="76">
        <f>IF(OR($D147="",$K147=""),"",IF(AND($D147="پرداخت",$E147&lt;&gt;"انتقال داخلی",$E147&lt;&gt;"پاس چک",$E147&lt;&gt;"برگشت چک"),$K147,0))</f>
        <v/>
      </c>
      <c r="T147" s="76">
        <f>IF(OR($D147="",$K147=""),"",IF(OR(AND($D147="دریافت",$E147&lt;&gt;"انتقال داخلی"),$E147="برگشت چک"),$K147,0))</f>
        <v/>
      </c>
      <c r="U147" s="76">
        <f>IF(OR($D147="",$K147=""),"",IF(OR(AND($D147="دریافت",$E147&lt;&gt;"چک"),$E147="انتقال داخلی"),$K147,0))</f>
        <v/>
      </c>
      <c r="V147" s="76">
        <f>IF(OR($D147="",$K147=""),"",IF(OR(AND($D147="پرداخت",$E147&lt;&gt;"چک",$E147&lt;&gt;"برگشت چک"),$E147="انتقال داخلی"),$K147,0))</f>
        <v/>
      </c>
      <c r="W147" s="76">
        <f>IF(OR($D147="",$K147=""),"",IF(OR($E147="پاس چک",$E147="برگشت چک",AND($D147="دریافت",$E147="چک")),$K147,0))</f>
        <v/>
      </c>
      <c r="X147" s="76">
        <f>IF(OR($D147="",$K147=""),"",IF(AND($D147="پرداخت",$E147="چک"),$K147,0))</f>
        <v/>
      </c>
      <c r="Y147" s="76">
        <f>SUM($S147,$U147,$W147)</f>
        <v/>
      </c>
      <c r="Z147" s="76">
        <f>SUM($T147,$V147,$X147)</f>
        <v/>
      </c>
      <c r="AA147" s="70">
        <f>IF($D147="","",IF(ROUND($Y147-$Z147,0)=0,"✓","⚠"))</f>
        <v/>
      </c>
      <c r="AB147" s="70">
        <f>IF($D147="","",IF($E147="نقد","X003",IF(OR($E147="چک",$E147="پاس چک",$E147="برگشت چک"),"X010",IF($I147="","X003","X011"))))</f>
        <v/>
      </c>
      <c r="AC147" s="70">
        <f>IF($D147="","",IF($E147="انتقال داخلی",IF($N147="","X003",IFERROR(VLOOKUP($N147,BankTbl,4,0),$N147)),IF($I147="","X003",IFERROR(VLOOKUP($I147,BankTbl,4,0),$I147))))</f>
        <v/>
      </c>
      <c r="AD147" s="70">
        <f>IF($D147="","",IF($E147="پاس چک","X010",IF($E147="برگشت چک",IF($I147="","X003","X011"),IF($E147="انتقال داخلی",IF($I147="","X003","X011"),IF($D147="پرداخت",$F147,IF($E147="چک","X009",IF($I147="","X003","X011")))))))</f>
        <v/>
      </c>
      <c r="AE147" s="76">
        <f>IF($D147="","",IF($K147="",0,$K147))</f>
        <v/>
      </c>
      <c r="AF147" s="70">
        <f>IF($D147="","",IF($E147="پاس چک",IF($I147="","X003","X011"),IF($E147="برگشت چک","X010",IF($E147="انتقال داخلی",IF($N147="","X003","X011"),IF($D147="پرداخت",IF($E147="چک","X010",IF($I147="","X003","X011")),$F147)))))</f>
        <v/>
      </c>
      <c r="AG147" s="76">
        <f>IF($D147="","",IF($K147="",0,$K147))</f>
        <v/>
      </c>
    </row>
    <row r="148" ht="21.75" customHeight="1">
      <c r="A148" s="70">
        <f>IF($B148="","",COUNTA($B$10:$B148))</f>
        <v/>
      </c>
      <c r="B148" s="71" t="n"/>
      <c r="C148" s="71" t="n"/>
      <c r="D148" s="71" t="n"/>
      <c r="E148" s="71" t="n"/>
      <c r="F148" s="71" t="n"/>
      <c r="G148" s="73">
        <f>IF($F148="","",IFERROR(VLOOKUP($F148,AcctTbl,2,0),"کد ناشناخته"))</f>
        <v/>
      </c>
      <c r="H148" s="70">
        <f>IF($F148="","",IFERROR(VLOOKUP($F148,AcctTbl,3,0),""))</f>
        <v/>
      </c>
      <c r="I148" s="71" t="n"/>
      <c r="J148" s="71" t="n"/>
      <c r="K148" s="74" t="n"/>
      <c r="L148" s="71" t="n"/>
      <c r="M148" s="71" t="n"/>
      <c r="N148" s="71" t="n"/>
      <c r="O148" s="71" t="n"/>
      <c r="P148" s="72" t="n"/>
      <c r="Q148" s="72" t="n"/>
      <c r="R148" s="77">
        <f>IF($D148="","",IF($AA148="⚠","⚠ ناتراز",IF(AND($D148="پرداخت",$E148="چک",$L148=""),"⚠ وضعیت چک","✓")))</f>
        <v/>
      </c>
      <c r="S148" s="76">
        <f>IF(OR($D148="",$K148=""),"",IF(AND($D148="پرداخت",$E148&lt;&gt;"انتقال داخلی",$E148&lt;&gt;"پاس چک",$E148&lt;&gt;"برگشت چک"),$K148,0))</f>
        <v/>
      </c>
      <c r="T148" s="76">
        <f>IF(OR($D148="",$K148=""),"",IF(OR(AND($D148="دریافت",$E148&lt;&gt;"انتقال داخلی"),$E148="برگشت چک"),$K148,0))</f>
        <v/>
      </c>
      <c r="U148" s="76">
        <f>IF(OR($D148="",$K148=""),"",IF(OR(AND($D148="دریافت",$E148&lt;&gt;"چک"),$E148="انتقال داخلی"),$K148,0))</f>
        <v/>
      </c>
      <c r="V148" s="76">
        <f>IF(OR($D148="",$K148=""),"",IF(OR(AND($D148="پرداخت",$E148&lt;&gt;"چک",$E148&lt;&gt;"برگشت چک"),$E148="انتقال داخلی"),$K148,0))</f>
        <v/>
      </c>
      <c r="W148" s="76">
        <f>IF(OR($D148="",$K148=""),"",IF(OR($E148="پاس چک",$E148="برگشت چک",AND($D148="دریافت",$E148="چک")),$K148,0))</f>
        <v/>
      </c>
      <c r="X148" s="76">
        <f>IF(OR($D148="",$K148=""),"",IF(AND($D148="پرداخت",$E148="چک"),$K148,0))</f>
        <v/>
      </c>
      <c r="Y148" s="76">
        <f>SUM($S148,$U148,$W148)</f>
        <v/>
      </c>
      <c r="Z148" s="76">
        <f>SUM($T148,$V148,$X148)</f>
        <v/>
      </c>
      <c r="AA148" s="70">
        <f>IF($D148="","",IF(ROUND($Y148-$Z148,0)=0,"✓","⚠"))</f>
        <v/>
      </c>
      <c r="AB148" s="70">
        <f>IF($D148="","",IF($E148="نقد","X003",IF(OR($E148="چک",$E148="پاس چک",$E148="برگشت چک"),"X010",IF($I148="","X003","X011"))))</f>
        <v/>
      </c>
      <c r="AC148" s="70">
        <f>IF($D148="","",IF($E148="انتقال داخلی",IF($N148="","X003",IFERROR(VLOOKUP($N148,BankTbl,4,0),$N148)),IF($I148="","X003",IFERROR(VLOOKUP($I148,BankTbl,4,0),$I148))))</f>
        <v/>
      </c>
      <c r="AD148" s="70">
        <f>IF($D148="","",IF($E148="پاس چک","X010",IF($E148="برگشت چک",IF($I148="","X003","X011"),IF($E148="انتقال داخلی",IF($I148="","X003","X011"),IF($D148="پرداخت",$F148,IF($E148="چک","X009",IF($I148="","X003","X011")))))))</f>
        <v/>
      </c>
      <c r="AE148" s="76">
        <f>IF($D148="","",IF($K148="",0,$K148))</f>
        <v/>
      </c>
      <c r="AF148" s="70">
        <f>IF($D148="","",IF($E148="پاس چک",IF($I148="","X003","X011"),IF($E148="برگشت چک","X010",IF($E148="انتقال داخلی",IF($N148="","X003","X011"),IF($D148="پرداخت",IF($E148="چک","X010",IF($I148="","X003","X011")),$F148)))))</f>
        <v/>
      </c>
      <c r="AG148" s="76">
        <f>IF($D148="","",IF($K148="",0,$K148))</f>
        <v/>
      </c>
    </row>
    <row r="149" ht="21.75" customHeight="1">
      <c r="A149" s="70">
        <f>IF($B149="","",COUNTA($B$10:$B149))</f>
        <v/>
      </c>
      <c r="B149" s="71" t="n"/>
      <c r="C149" s="71" t="n"/>
      <c r="D149" s="71" t="n"/>
      <c r="E149" s="71" t="n"/>
      <c r="F149" s="71" t="n"/>
      <c r="G149" s="73">
        <f>IF($F149="","",IFERROR(VLOOKUP($F149,AcctTbl,2,0),"کد ناشناخته"))</f>
        <v/>
      </c>
      <c r="H149" s="70">
        <f>IF($F149="","",IFERROR(VLOOKUP($F149,AcctTbl,3,0),""))</f>
        <v/>
      </c>
      <c r="I149" s="71" t="n"/>
      <c r="J149" s="71" t="n"/>
      <c r="K149" s="74" t="n"/>
      <c r="L149" s="71" t="n"/>
      <c r="M149" s="71" t="n"/>
      <c r="N149" s="71" t="n"/>
      <c r="O149" s="71" t="n"/>
      <c r="P149" s="72" t="n"/>
      <c r="Q149" s="72" t="n"/>
      <c r="R149" s="77">
        <f>IF($D149="","",IF($AA149="⚠","⚠ ناتراز",IF(AND($D149="پرداخت",$E149="چک",$L149=""),"⚠ وضعیت چک","✓")))</f>
        <v/>
      </c>
      <c r="S149" s="76">
        <f>IF(OR($D149="",$K149=""),"",IF(AND($D149="پرداخت",$E149&lt;&gt;"انتقال داخلی",$E149&lt;&gt;"پاس چک",$E149&lt;&gt;"برگشت چک"),$K149,0))</f>
        <v/>
      </c>
      <c r="T149" s="76">
        <f>IF(OR($D149="",$K149=""),"",IF(OR(AND($D149="دریافت",$E149&lt;&gt;"انتقال داخلی"),$E149="برگشت چک"),$K149,0))</f>
        <v/>
      </c>
      <c r="U149" s="76">
        <f>IF(OR($D149="",$K149=""),"",IF(OR(AND($D149="دریافت",$E149&lt;&gt;"چک"),$E149="انتقال داخلی"),$K149,0))</f>
        <v/>
      </c>
      <c r="V149" s="76">
        <f>IF(OR($D149="",$K149=""),"",IF(OR(AND($D149="پرداخت",$E149&lt;&gt;"چک",$E149&lt;&gt;"برگشت چک"),$E149="انتقال داخلی"),$K149,0))</f>
        <v/>
      </c>
      <c r="W149" s="76">
        <f>IF(OR($D149="",$K149=""),"",IF(OR($E149="پاس چک",$E149="برگشت چک",AND($D149="دریافت",$E149="چک")),$K149,0))</f>
        <v/>
      </c>
      <c r="X149" s="76">
        <f>IF(OR($D149="",$K149=""),"",IF(AND($D149="پرداخت",$E149="چک"),$K149,0))</f>
        <v/>
      </c>
      <c r="Y149" s="76">
        <f>SUM($S149,$U149,$W149)</f>
        <v/>
      </c>
      <c r="Z149" s="76">
        <f>SUM($T149,$V149,$X149)</f>
        <v/>
      </c>
      <c r="AA149" s="70">
        <f>IF($D149="","",IF(ROUND($Y149-$Z149,0)=0,"✓","⚠"))</f>
        <v/>
      </c>
      <c r="AB149" s="70">
        <f>IF($D149="","",IF($E149="نقد","X003",IF(OR($E149="چک",$E149="پاس چک",$E149="برگشت چک"),"X010",IF($I149="","X003","X011"))))</f>
        <v/>
      </c>
      <c r="AC149" s="70">
        <f>IF($D149="","",IF($E149="انتقال داخلی",IF($N149="","X003",IFERROR(VLOOKUP($N149,BankTbl,4,0),$N149)),IF($I149="","X003",IFERROR(VLOOKUP($I149,BankTbl,4,0),$I149))))</f>
        <v/>
      </c>
      <c r="AD149" s="70">
        <f>IF($D149="","",IF($E149="پاس چک","X010",IF($E149="برگشت چک",IF($I149="","X003","X011"),IF($E149="انتقال داخلی",IF($I149="","X003","X011"),IF($D149="پرداخت",$F149,IF($E149="چک","X009",IF($I149="","X003","X011")))))))</f>
        <v/>
      </c>
      <c r="AE149" s="76">
        <f>IF($D149="","",IF($K149="",0,$K149))</f>
        <v/>
      </c>
      <c r="AF149" s="70">
        <f>IF($D149="","",IF($E149="پاس چک",IF($I149="","X003","X011"),IF($E149="برگشت چک","X010",IF($E149="انتقال داخلی",IF($N149="","X003","X011"),IF($D149="پرداخت",IF($E149="چک","X010",IF($I149="","X003","X011")),$F149)))))</f>
        <v/>
      </c>
      <c r="AG149" s="76">
        <f>IF($D149="","",IF($K149="",0,$K149))</f>
        <v/>
      </c>
    </row>
    <row r="150" ht="21.75" customHeight="1">
      <c r="A150" s="70">
        <f>IF($B150="","",COUNTA($B$10:$B150))</f>
        <v/>
      </c>
      <c r="B150" s="71" t="n"/>
      <c r="C150" s="71" t="n"/>
      <c r="D150" s="71" t="n"/>
      <c r="E150" s="71" t="n"/>
      <c r="F150" s="71" t="n"/>
      <c r="G150" s="73">
        <f>IF($F150="","",IFERROR(VLOOKUP($F150,AcctTbl,2,0),"کد ناشناخته"))</f>
        <v/>
      </c>
      <c r="H150" s="70">
        <f>IF($F150="","",IFERROR(VLOOKUP($F150,AcctTbl,3,0),""))</f>
        <v/>
      </c>
      <c r="I150" s="71" t="n"/>
      <c r="J150" s="71" t="n"/>
      <c r="K150" s="74" t="n"/>
      <c r="L150" s="71" t="n"/>
      <c r="M150" s="71" t="n"/>
      <c r="N150" s="71" t="n"/>
      <c r="O150" s="71" t="n"/>
      <c r="P150" s="72" t="n"/>
      <c r="Q150" s="72" t="n"/>
      <c r="R150" s="77">
        <f>IF($D150="","",IF($AA150="⚠","⚠ ناتراز",IF(AND($D150="پرداخت",$E150="چک",$L150=""),"⚠ وضعیت چک","✓")))</f>
        <v/>
      </c>
      <c r="S150" s="76">
        <f>IF(OR($D150="",$K150=""),"",IF(AND($D150="پرداخت",$E150&lt;&gt;"انتقال داخلی",$E150&lt;&gt;"پاس چک",$E150&lt;&gt;"برگشت چک"),$K150,0))</f>
        <v/>
      </c>
      <c r="T150" s="76">
        <f>IF(OR($D150="",$K150=""),"",IF(OR(AND($D150="دریافت",$E150&lt;&gt;"انتقال داخلی"),$E150="برگشت چک"),$K150,0))</f>
        <v/>
      </c>
      <c r="U150" s="76">
        <f>IF(OR($D150="",$K150=""),"",IF(OR(AND($D150="دریافت",$E150&lt;&gt;"چک"),$E150="انتقال داخلی"),$K150,0))</f>
        <v/>
      </c>
      <c r="V150" s="76">
        <f>IF(OR($D150="",$K150=""),"",IF(OR(AND($D150="پرداخت",$E150&lt;&gt;"چک",$E150&lt;&gt;"برگشت چک"),$E150="انتقال داخلی"),$K150,0))</f>
        <v/>
      </c>
      <c r="W150" s="76">
        <f>IF(OR($D150="",$K150=""),"",IF(OR($E150="پاس چک",$E150="برگشت چک",AND($D150="دریافت",$E150="چک")),$K150,0))</f>
        <v/>
      </c>
      <c r="X150" s="76">
        <f>IF(OR($D150="",$K150=""),"",IF(AND($D150="پرداخت",$E150="چک"),$K150,0))</f>
        <v/>
      </c>
      <c r="Y150" s="76">
        <f>SUM($S150,$U150,$W150)</f>
        <v/>
      </c>
      <c r="Z150" s="76">
        <f>SUM($T150,$V150,$X150)</f>
        <v/>
      </c>
      <c r="AA150" s="70">
        <f>IF($D150="","",IF(ROUND($Y150-$Z150,0)=0,"✓","⚠"))</f>
        <v/>
      </c>
      <c r="AB150" s="70">
        <f>IF($D150="","",IF($E150="نقد","X003",IF(OR($E150="چک",$E150="پاس چک",$E150="برگشت چک"),"X010",IF($I150="","X003","X011"))))</f>
        <v/>
      </c>
      <c r="AC150" s="70">
        <f>IF($D150="","",IF($E150="انتقال داخلی",IF($N150="","X003",IFERROR(VLOOKUP($N150,BankTbl,4,0),$N150)),IF($I150="","X003",IFERROR(VLOOKUP($I150,BankTbl,4,0),$I150))))</f>
        <v/>
      </c>
      <c r="AD150" s="70">
        <f>IF($D150="","",IF($E150="پاس چک","X010",IF($E150="برگشت چک",IF($I150="","X003","X011"),IF($E150="انتقال داخلی",IF($I150="","X003","X011"),IF($D150="پرداخت",$F150,IF($E150="چک","X009",IF($I150="","X003","X011")))))))</f>
        <v/>
      </c>
      <c r="AE150" s="76">
        <f>IF($D150="","",IF($K150="",0,$K150))</f>
        <v/>
      </c>
      <c r="AF150" s="70">
        <f>IF($D150="","",IF($E150="پاس چک",IF($I150="","X003","X011"),IF($E150="برگشت چک","X010",IF($E150="انتقال داخلی",IF($N150="","X003","X011"),IF($D150="پرداخت",IF($E150="چک","X010",IF($I150="","X003","X011")),$F150)))))</f>
        <v/>
      </c>
      <c r="AG150" s="76">
        <f>IF($D150="","",IF($K150="",0,$K150))</f>
        <v/>
      </c>
    </row>
    <row r="151" ht="21.75" customHeight="1">
      <c r="A151" s="70">
        <f>IF($B151="","",COUNTA($B$10:$B151))</f>
        <v/>
      </c>
      <c r="B151" s="71" t="n"/>
      <c r="C151" s="71" t="n"/>
      <c r="D151" s="71" t="n"/>
      <c r="E151" s="71" t="n"/>
      <c r="F151" s="71" t="n"/>
      <c r="G151" s="73">
        <f>IF($F151="","",IFERROR(VLOOKUP($F151,AcctTbl,2,0),"کد ناشناخته"))</f>
        <v/>
      </c>
      <c r="H151" s="70">
        <f>IF($F151="","",IFERROR(VLOOKUP($F151,AcctTbl,3,0),""))</f>
        <v/>
      </c>
      <c r="I151" s="71" t="n"/>
      <c r="J151" s="71" t="n"/>
      <c r="K151" s="74" t="n"/>
      <c r="L151" s="71" t="n"/>
      <c r="M151" s="71" t="n"/>
      <c r="N151" s="71" t="n"/>
      <c r="O151" s="71" t="n"/>
      <c r="P151" s="72" t="n"/>
      <c r="Q151" s="72" t="n"/>
      <c r="R151" s="77">
        <f>IF($D151="","",IF($AA151="⚠","⚠ ناتراز",IF(AND($D151="پرداخت",$E151="چک",$L151=""),"⚠ وضعیت چک","✓")))</f>
        <v/>
      </c>
      <c r="S151" s="76">
        <f>IF(OR($D151="",$K151=""),"",IF(AND($D151="پرداخت",$E151&lt;&gt;"انتقال داخلی",$E151&lt;&gt;"پاس چک",$E151&lt;&gt;"برگشت چک"),$K151,0))</f>
        <v/>
      </c>
      <c r="T151" s="76">
        <f>IF(OR($D151="",$K151=""),"",IF(OR(AND($D151="دریافت",$E151&lt;&gt;"انتقال داخلی"),$E151="برگشت چک"),$K151,0))</f>
        <v/>
      </c>
      <c r="U151" s="76">
        <f>IF(OR($D151="",$K151=""),"",IF(OR(AND($D151="دریافت",$E151&lt;&gt;"چک"),$E151="انتقال داخلی"),$K151,0))</f>
        <v/>
      </c>
      <c r="V151" s="76">
        <f>IF(OR($D151="",$K151=""),"",IF(OR(AND($D151="پرداخت",$E151&lt;&gt;"چک",$E151&lt;&gt;"برگشت چک"),$E151="انتقال داخلی"),$K151,0))</f>
        <v/>
      </c>
      <c r="W151" s="76">
        <f>IF(OR($D151="",$K151=""),"",IF(OR($E151="پاس چک",$E151="برگشت چک",AND($D151="دریافت",$E151="چک")),$K151,0))</f>
        <v/>
      </c>
      <c r="X151" s="76">
        <f>IF(OR($D151="",$K151=""),"",IF(AND($D151="پرداخت",$E151="چک"),$K151,0))</f>
        <v/>
      </c>
      <c r="Y151" s="76">
        <f>SUM($S151,$U151,$W151)</f>
        <v/>
      </c>
      <c r="Z151" s="76">
        <f>SUM($T151,$V151,$X151)</f>
        <v/>
      </c>
      <c r="AA151" s="70">
        <f>IF($D151="","",IF(ROUND($Y151-$Z151,0)=0,"✓","⚠"))</f>
        <v/>
      </c>
      <c r="AB151" s="70">
        <f>IF($D151="","",IF($E151="نقد","X003",IF(OR($E151="چک",$E151="پاس چک",$E151="برگشت چک"),"X010",IF($I151="","X003","X011"))))</f>
        <v/>
      </c>
      <c r="AC151" s="70">
        <f>IF($D151="","",IF($E151="انتقال داخلی",IF($N151="","X003",IFERROR(VLOOKUP($N151,BankTbl,4,0),$N151)),IF($I151="","X003",IFERROR(VLOOKUP($I151,BankTbl,4,0),$I151))))</f>
        <v/>
      </c>
      <c r="AD151" s="70">
        <f>IF($D151="","",IF($E151="پاس چک","X010",IF($E151="برگشت چک",IF($I151="","X003","X011"),IF($E151="انتقال داخلی",IF($I151="","X003","X011"),IF($D151="پرداخت",$F151,IF($E151="چک","X009",IF($I151="","X003","X011")))))))</f>
        <v/>
      </c>
      <c r="AE151" s="76">
        <f>IF($D151="","",IF($K151="",0,$K151))</f>
        <v/>
      </c>
      <c r="AF151" s="70">
        <f>IF($D151="","",IF($E151="پاس چک",IF($I151="","X003","X011"),IF($E151="برگشت چک","X010",IF($E151="انتقال داخلی",IF($N151="","X003","X011"),IF($D151="پرداخت",IF($E151="چک","X010",IF($I151="","X003","X011")),$F151)))))</f>
        <v/>
      </c>
      <c r="AG151" s="76">
        <f>IF($D151="","",IF($K151="",0,$K151))</f>
        <v/>
      </c>
    </row>
    <row r="152" ht="21.75" customHeight="1">
      <c r="A152" s="70">
        <f>IF($B152="","",COUNTA($B$10:$B152))</f>
        <v/>
      </c>
      <c r="B152" s="71" t="n"/>
      <c r="C152" s="71" t="n"/>
      <c r="D152" s="71" t="n"/>
      <c r="E152" s="71" t="n"/>
      <c r="F152" s="71" t="n"/>
      <c r="G152" s="73">
        <f>IF($F152="","",IFERROR(VLOOKUP($F152,AcctTbl,2,0),"کد ناشناخته"))</f>
        <v/>
      </c>
      <c r="H152" s="70">
        <f>IF($F152="","",IFERROR(VLOOKUP($F152,AcctTbl,3,0),""))</f>
        <v/>
      </c>
      <c r="I152" s="71" t="n"/>
      <c r="J152" s="71" t="n"/>
      <c r="K152" s="74" t="n"/>
      <c r="L152" s="71" t="n"/>
      <c r="M152" s="71" t="n"/>
      <c r="N152" s="71" t="n"/>
      <c r="O152" s="71" t="n"/>
      <c r="P152" s="72" t="n"/>
      <c r="Q152" s="72" t="n"/>
      <c r="R152" s="77">
        <f>IF($D152="","",IF($AA152="⚠","⚠ ناتراز",IF(AND($D152="پرداخت",$E152="چک",$L152=""),"⚠ وضعیت چک","✓")))</f>
        <v/>
      </c>
      <c r="S152" s="76">
        <f>IF(OR($D152="",$K152=""),"",IF(AND($D152="پرداخت",$E152&lt;&gt;"انتقال داخلی",$E152&lt;&gt;"پاس چک",$E152&lt;&gt;"برگشت چک"),$K152,0))</f>
        <v/>
      </c>
      <c r="T152" s="76">
        <f>IF(OR($D152="",$K152=""),"",IF(OR(AND($D152="دریافت",$E152&lt;&gt;"انتقال داخلی"),$E152="برگشت چک"),$K152,0))</f>
        <v/>
      </c>
      <c r="U152" s="76">
        <f>IF(OR($D152="",$K152=""),"",IF(OR(AND($D152="دریافت",$E152&lt;&gt;"چک"),$E152="انتقال داخلی"),$K152,0))</f>
        <v/>
      </c>
      <c r="V152" s="76">
        <f>IF(OR($D152="",$K152=""),"",IF(OR(AND($D152="پرداخت",$E152&lt;&gt;"چک",$E152&lt;&gt;"برگشت چک"),$E152="انتقال داخلی"),$K152,0))</f>
        <v/>
      </c>
      <c r="W152" s="76">
        <f>IF(OR($D152="",$K152=""),"",IF(OR($E152="پاس چک",$E152="برگشت چک",AND($D152="دریافت",$E152="چک")),$K152,0))</f>
        <v/>
      </c>
      <c r="X152" s="76">
        <f>IF(OR($D152="",$K152=""),"",IF(AND($D152="پرداخت",$E152="چک"),$K152,0))</f>
        <v/>
      </c>
      <c r="Y152" s="76">
        <f>SUM($S152,$U152,$W152)</f>
        <v/>
      </c>
      <c r="Z152" s="76">
        <f>SUM($T152,$V152,$X152)</f>
        <v/>
      </c>
      <c r="AA152" s="70">
        <f>IF($D152="","",IF(ROUND($Y152-$Z152,0)=0,"✓","⚠"))</f>
        <v/>
      </c>
      <c r="AB152" s="70">
        <f>IF($D152="","",IF($E152="نقد","X003",IF(OR($E152="چک",$E152="پاس چک",$E152="برگشت چک"),"X010",IF($I152="","X003","X011"))))</f>
        <v/>
      </c>
      <c r="AC152" s="70">
        <f>IF($D152="","",IF($E152="انتقال داخلی",IF($N152="","X003",IFERROR(VLOOKUP($N152,BankTbl,4,0),$N152)),IF($I152="","X003",IFERROR(VLOOKUP($I152,BankTbl,4,0),$I152))))</f>
        <v/>
      </c>
      <c r="AD152" s="70">
        <f>IF($D152="","",IF($E152="پاس چک","X010",IF($E152="برگشت چک",IF($I152="","X003","X011"),IF($E152="انتقال داخلی",IF($I152="","X003","X011"),IF($D152="پرداخت",$F152,IF($E152="چک","X009",IF($I152="","X003","X011")))))))</f>
        <v/>
      </c>
      <c r="AE152" s="76">
        <f>IF($D152="","",IF($K152="",0,$K152))</f>
        <v/>
      </c>
      <c r="AF152" s="70">
        <f>IF($D152="","",IF($E152="پاس چک",IF($I152="","X003","X011"),IF($E152="برگشت چک","X010",IF($E152="انتقال داخلی",IF($N152="","X003","X011"),IF($D152="پرداخت",IF($E152="چک","X010",IF($I152="","X003","X011")),$F152)))))</f>
        <v/>
      </c>
      <c r="AG152" s="76">
        <f>IF($D152="","",IF($K152="",0,$K152))</f>
        <v/>
      </c>
    </row>
    <row r="153" ht="21.75" customHeight="1">
      <c r="A153" s="70">
        <f>IF($B153="","",COUNTA($B$10:$B153))</f>
        <v/>
      </c>
      <c r="B153" s="71" t="n"/>
      <c r="C153" s="71" t="n"/>
      <c r="D153" s="71" t="n"/>
      <c r="E153" s="71" t="n"/>
      <c r="F153" s="71" t="n"/>
      <c r="G153" s="73">
        <f>IF($F153="","",IFERROR(VLOOKUP($F153,AcctTbl,2,0),"کد ناشناخته"))</f>
        <v/>
      </c>
      <c r="H153" s="70">
        <f>IF($F153="","",IFERROR(VLOOKUP($F153,AcctTbl,3,0),""))</f>
        <v/>
      </c>
      <c r="I153" s="71" t="n"/>
      <c r="J153" s="71" t="n"/>
      <c r="K153" s="74" t="n"/>
      <c r="L153" s="71" t="n"/>
      <c r="M153" s="71" t="n"/>
      <c r="N153" s="71" t="n"/>
      <c r="O153" s="71" t="n"/>
      <c r="P153" s="72" t="n"/>
      <c r="Q153" s="72" t="n"/>
      <c r="R153" s="77">
        <f>IF($D153="","",IF($AA153="⚠","⚠ ناتراز",IF(AND($D153="پرداخت",$E153="چک",$L153=""),"⚠ وضعیت چک","✓")))</f>
        <v/>
      </c>
      <c r="S153" s="76">
        <f>IF(OR($D153="",$K153=""),"",IF(AND($D153="پرداخت",$E153&lt;&gt;"انتقال داخلی",$E153&lt;&gt;"پاس چک",$E153&lt;&gt;"برگشت چک"),$K153,0))</f>
        <v/>
      </c>
      <c r="T153" s="76">
        <f>IF(OR($D153="",$K153=""),"",IF(OR(AND($D153="دریافت",$E153&lt;&gt;"انتقال داخلی"),$E153="برگشت چک"),$K153,0))</f>
        <v/>
      </c>
      <c r="U153" s="76">
        <f>IF(OR($D153="",$K153=""),"",IF(OR(AND($D153="دریافت",$E153&lt;&gt;"چک"),$E153="انتقال داخلی"),$K153,0))</f>
        <v/>
      </c>
      <c r="V153" s="76">
        <f>IF(OR($D153="",$K153=""),"",IF(OR(AND($D153="پرداخت",$E153&lt;&gt;"چک",$E153&lt;&gt;"برگشت چک"),$E153="انتقال داخلی"),$K153,0))</f>
        <v/>
      </c>
      <c r="W153" s="76">
        <f>IF(OR($D153="",$K153=""),"",IF(OR($E153="پاس چک",$E153="برگشت چک",AND($D153="دریافت",$E153="چک")),$K153,0))</f>
        <v/>
      </c>
      <c r="X153" s="76">
        <f>IF(OR($D153="",$K153=""),"",IF(AND($D153="پرداخت",$E153="چک"),$K153,0))</f>
        <v/>
      </c>
      <c r="Y153" s="76">
        <f>SUM($S153,$U153,$W153)</f>
        <v/>
      </c>
      <c r="Z153" s="76">
        <f>SUM($T153,$V153,$X153)</f>
        <v/>
      </c>
      <c r="AA153" s="70">
        <f>IF($D153="","",IF(ROUND($Y153-$Z153,0)=0,"✓","⚠"))</f>
        <v/>
      </c>
      <c r="AB153" s="70">
        <f>IF($D153="","",IF($E153="نقد","X003",IF(OR($E153="چک",$E153="پاس چک",$E153="برگشت چک"),"X010",IF($I153="","X003","X011"))))</f>
        <v/>
      </c>
      <c r="AC153" s="70">
        <f>IF($D153="","",IF($E153="انتقال داخلی",IF($N153="","X003",IFERROR(VLOOKUP($N153,BankTbl,4,0),$N153)),IF($I153="","X003",IFERROR(VLOOKUP($I153,BankTbl,4,0),$I153))))</f>
        <v/>
      </c>
      <c r="AD153" s="70">
        <f>IF($D153="","",IF($E153="پاس چک","X010",IF($E153="برگشت چک",IF($I153="","X003","X011"),IF($E153="انتقال داخلی",IF($I153="","X003","X011"),IF($D153="پرداخت",$F153,IF($E153="چک","X009",IF($I153="","X003","X011")))))))</f>
        <v/>
      </c>
      <c r="AE153" s="76">
        <f>IF($D153="","",IF($K153="",0,$K153))</f>
        <v/>
      </c>
      <c r="AF153" s="70">
        <f>IF($D153="","",IF($E153="پاس چک",IF($I153="","X003","X011"),IF($E153="برگشت چک","X010",IF($E153="انتقال داخلی",IF($N153="","X003","X011"),IF($D153="پرداخت",IF($E153="چک","X010",IF($I153="","X003","X011")),$F153)))))</f>
        <v/>
      </c>
      <c r="AG153" s="76">
        <f>IF($D153="","",IF($K153="",0,$K153))</f>
        <v/>
      </c>
    </row>
    <row r="154" ht="21.75" customHeight="1">
      <c r="A154" s="70">
        <f>IF($B154="","",COUNTA($B$10:$B154))</f>
        <v/>
      </c>
      <c r="B154" s="71" t="n"/>
      <c r="C154" s="71" t="n"/>
      <c r="D154" s="71" t="n"/>
      <c r="E154" s="71" t="n"/>
      <c r="F154" s="71" t="n"/>
      <c r="G154" s="73">
        <f>IF($F154="","",IFERROR(VLOOKUP($F154,AcctTbl,2,0),"کد ناشناخته"))</f>
        <v/>
      </c>
      <c r="H154" s="70">
        <f>IF($F154="","",IFERROR(VLOOKUP($F154,AcctTbl,3,0),""))</f>
        <v/>
      </c>
      <c r="I154" s="71" t="n"/>
      <c r="J154" s="71" t="n"/>
      <c r="K154" s="74" t="n"/>
      <c r="L154" s="71" t="n"/>
      <c r="M154" s="71" t="n"/>
      <c r="N154" s="71" t="n"/>
      <c r="O154" s="71" t="n"/>
      <c r="P154" s="72" t="n"/>
      <c r="Q154" s="72" t="n"/>
      <c r="R154" s="77">
        <f>IF($D154="","",IF($AA154="⚠","⚠ ناتراز",IF(AND($D154="پرداخت",$E154="چک",$L154=""),"⚠ وضعیت چک","✓")))</f>
        <v/>
      </c>
      <c r="S154" s="76">
        <f>IF(OR($D154="",$K154=""),"",IF(AND($D154="پرداخت",$E154&lt;&gt;"انتقال داخلی",$E154&lt;&gt;"پاس چک",$E154&lt;&gt;"برگشت چک"),$K154,0))</f>
        <v/>
      </c>
      <c r="T154" s="76">
        <f>IF(OR($D154="",$K154=""),"",IF(OR(AND($D154="دریافت",$E154&lt;&gt;"انتقال داخلی"),$E154="برگشت چک"),$K154,0))</f>
        <v/>
      </c>
      <c r="U154" s="76">
        <f>IF(OR($D154="",$K154=""),"",IF(OR(AND($D154="دریافت",$E154&lt;&gt;"چک"),$E154="انتقال داخلی"),$K154,0))</f>
        <v/>
      </c>
      <c r="V154" s="76">
        <f>IF(OR($D154="",$K154=""),"",IF(OR(AND($D154="پرداخت",$E154&lt;&gt;"چک",$E154&lt;&gt;"برگشت چک"),$E154="انتقال داخلی"),$K154,0))</f>
        <v/>
      </c>
      <c r="W154" s="76">
        <f>IF(OR($D154="",$K154=""),"",IF(OR($E154="پاس چک",$E154="برگشت چک",AND($D154="دریافت",$E154="چک")),$K154,0))</f>
        <v/>
      </c>
      <c r="X154" s="76">
        <f>IF(OR($D154="",$K154=""),"",IF(AND($D154="پرداخت",$E154="چک"),$K154,0))</f>
        <v/>
      </c>
      <c r="Y154" s="76">
        <f>SUM($S154,$U154,$W154)</f>
        <v/>
      </c>
      <c r="Z154" s="76">
        <f>SUM($T154,$V154,$X154)</f>
        <v/>
      </c>
      <c r="AA154" s="70">
        <f>IF($D154="","",IF(ROUND($Y154-$Z154,0)=0,"✓","⚠"))</f>
        <v/>
      </c>
      <c r="AB154" s="70">
        <f>IF($D154="","",IF($E154="نقد","X003",IF(OR($E154="چک",$E154="پاس چک",$E154="برگشت چک"),"X010",IF($I154="","X003","X011"))))</f>
        <v/>
      </c>
      <c r="AC154" s="70">
        <f>IF($D154="","",IF($E154="انتقال داخلی",IF($N154="","X003",IFERROR(VLOOKUP($N154,BankTbl,4,0),$N154)),IF($I154="","X003",IFERROR(VLOOKUP($I154,BankTbl,4,0),$I154))))</f>
        <v/>
      </c>
      <c r="AD154" s="70">
        <f>IF($D154="","",IF($E154="پاس چک","X010",IF($E154="برگشت چک",IF($I154="","X003","X011"),IF($E154="انتقال داخلی",IF($I154="","X003","X011"),IF($D154="پرداخت",$F154,IF($E154="چک","X009",IF($I154="","X003","X011")))))))</f>
        <v/>
      </c>
      <c r="AE154" s="76">
        <f>IF($D154="","",IF($K154="",0,$K154))</f>
        <v/>
      </c>
      <c r="AF154" s="70">
        <f>IF($D154="","",IF($E154="پاس چک",IF($I154="","X003","X011"),IF($E154="برگشت چک","X010",IF($E154="انتقال داخلی",IF($N154="","X003","X011"),IF($D154="پرداخت",IF($E154="چک","X010",IF($I154="","X003","X011")),$F154)))))</f>
        <v/>
      </c>
      <c r="AG154" s="76">
        <f>IF($D154="","",IF($K154="",0,$K154))</f>
        <v/>
      </c>
    </row>
    <row r="155" ht="21.75" customHeight="1">
      <c r="A155" s="70">
        <f>IF($B155="","",COUNTA($B$10:$B155))</f>
        <v/>
      </c>
      <c r="B155" s="71" t="n"/>
      <c r="C155" s="71" t="n"/>
      <c r="D155" s="71" t="n"/>
      <c r="E155" s="71" t="n"/>
      <c r="F155" s="71" t="n"/>
      <c r="G155" s="73">
        <f>IF($F155="","",IFERROR(VLOOKUP($F155,AcctTbl,2,0),"کد ناشناخته"))</f>
        <v/>
      </c>
      <c r="H155" s="70">
        <f>IF($F155="","",IFERROR(VLOOKUP($F155,AcctTbl,3,0),""))</f>
        <v/>
      </c>
      <c r="I155" s="71" t="n"/>
      <c r="J155" s="71" t="n"/>
      <c r="K155" s="74" t="n"/>
      <c r="L155" s="71" t="n"/>
      <c r="M155" s="71" t="n"/>
      <c r="N155" s="71" t="n"/>
      <c r="O155" s="71" t="n"/>
      <c r="P155" s="72" t="n"/>
      <c r="Q155" s="72" t="n"/>
      <c r="R155" s="77">
        <f>IF($D155="","",IF($AA155="⚠","⚠ ناتراز",IF(AND($D155="پرداخت",$E155="چک",$L155=""),"⚠ وضعیت چک","✓")))</f>
        <v/>
      </c>
      <c r="S155" s="76">
        <f>IF(OR($D155="",$K155=""),"",IF(AND($D155="پرداخت",$E155&lt;&gt;"انتقال داخلی",$E155&lt;&gt;"پاس چک",$E155&lt;&gt;"برگشت چک"),$K155,0))</f>
        <v/>
      </c>
      <c r="T155" s="76">
        <f>IF(OR($D155="",$K155=""),"",IF(OR(AND($D155="دریافت",$E155&lt;&gt;"انتقال داخلی"),$E155="برگشت چک"),$K155,0))</f>
        <v/>
      </c>
      <c r="U155" s="76">
        <f>IF(OR($D155="",$K155=""),"",IF(OR(AND($D155="دریافت",$E155&lt;&gt;"چک"),$E155="انتقال داخلی"),$K155,0))</f>
        <v/>
      </c>
      <c r="V155" s="76">
        <f>IF(OR($D155="",$K155=""),"",IF(OR(AND($D155="پرداخت",$E155&lt;&gt;"چک",$E155&lt;&gt;"برگشت چک"),$E155="انتقال داخلی"),$K155,0))</f>
        <v/>
      </c>
      <c r="W155" s="76">
        <f>IF(OR($D155="",$K155=""),"",IF(OR($E155="پاس چک",$E155="برگشت چک",AND($D155="دریافت",$E155="چک")),$K155,0))</f>
        <v/>
      </c>
      <c r="X155" s="76">
        <f>IF(OR($D155="",$K155=""),"",IF(AND($D155="پرداخت",$E155="چک"),$K155,0))</f>
        <v/>
      </c>
      <c r="Y155" s="76">
        <f>SUM($S155,$U155,$W155)</f>
        <v/>
      </c>
      <c r="Z155" s="76">
        <f>SUM($T155,$V155,$X155)</f>
        <v/>
      </c>
      <c r="AA155" s="70">
        <f>IF($D155="","",IF(ROUND($Y155-$Z155,0)=0,"✓","⚠"))</f>
        <v/>
      </c>
      <c r="AB155" s="70">
        <f>IF($D155="","",IF($E155="نقد","X003",IF(OR($E155="چک",$E155="پاس چک",$E155="برگشت چک"),"X010",IF($I155="","X003","X011"))))</f>
        <v/>
      </c>
      <c r="AC155" s="70">
        <f>IF($D155="","",IF($E155="انتقال داخلی",IF($N155="","X003",IFERROR(VLOOKUP($N155,BankTbl,4,0),$N155)),IF($I155="","X003",IFERROR(VLOOKUP($I155,BankTbl,4,0),$I155))))</f>
        <v/>
      </c>
      <c r="AD155" s="70">
        <f>IF($D155="","",IF($E155="پاس چک","X010",IF($E155="برگشت چک",IF($I155="","X003","X011"),IF($E155="انتقال داخلی",IF($I155="","X003","X011"),IF($D155="پرداخت",$F155,IF($E155="چک","X009",IF($I155="","X003","X011")))))))</f>
        <v/>
      </c>
      <c r="AE155" s="76">
        <f>IF($D155="","",IF($K155="",0,$K155))</f>
        <v/>
      </c>
      <c r="AF155" s="70">
        <f>IF($D155="","",IF($E155="پاس چک",IF($I155="","X003","X011"),IF($E155="برگشت چک","X010",IF($E155="انتقال داخلی",IF($N155="","X003","X011"),IF($D155="پرداخت",IF($E155="چک","X010",IF($I155="","X003","X011")),$F155)))))</f>
        <v/>
      </c>
      <c r="AG155" s="76">
        <f>IF($D155="","",IF($K155="",0,$K155))</f>
        <v/>
      </c>
    </row>
    <row r="156" ht="21.75" customHeight="1">
      <c r="A156" s="70">
        <f>IF($B156="","",COUNTA($B$10:$B156))</f>
        <v/>
      </c>
      <c r="B156" s="71" t="n"/>
      <c r="C156" s="71" t="n"/>
      <c r="D156" s="71" t="n"/>
      <c r="E156" s="71" t="n"/>
      <c r="F156" s="71" t="n"/>
      <c r="G156" s="73">
        <f>IF($F156="","",IFERROR(VLOOKUP($F156,AcctTbl,2,0),"کد ناشناخته"))</f>
        <v/>
      </c>
      <c r="H156" s="70">
        <f>IF($F156="","",IFERROR(VLOOKUP($F156,AcctTbl,3,0),""))</f>
        <v/>
      </c>
      <c r="I156" s="71" t="n"/>
      <c r="J156" s="71" t="n"/>
      <c r="K156" s="74" t="n"/>
      <c r="L156" s="71" t="n"/>
      <c r="M156" s="71" t="n"/>
      <c r="N156" s="71" t="n"/>
      <c r="O156" s="71" t="n"/>
      <c r="P156" s="72" t="n"/>
      <c r="Q156" s="72" t="n"/>
      <c r="R156" s="77">
        <f>IF($D156="","",IF($AA156="⚠","⚠ ناتراز",IF(AND($D156="پرداخت",$E156="چک",$L156=""),"⚠ وضعیت چک","✓")))</f>
        <v/>
      </c>
      <c r="S156" s="76">
        <f>IF(OR($D156="",$K156=""),"",IF(AND($D156="پرداخت",$E156&lt;&gt;"انتقال داخلی",$E156&lt;&gt;"پاس چک",$E156&lt;&gt;"برگشت چک"),$K156,0))</f>
        <v/>
      </c>
      <c r="T156" s="76">
        <f>IF(OR($D156="",$K156=""),"",IF(OR(AND($D156="دریافت",$E156&lt;&gt;"انتقال داخلی"),$E156="برگشت چک"),$K156,0))</f>
        <v/>
      </c>
      <c r="U156" s="76">
        <f>IF(OR($D156="",$K156=""),"",IF(OR(AND($D156="دریافت",$E156&lt;&gt;"چک"),$E156="انتقال داخلی"),$K156,0))</f>
        <v/>
      </c>
      <c r="V156" s="76">
        <f>IF(OR($D156="",$K156=""),"",IF(OR(AND($D156="پرداخت",$E156&lt;&gt;"چک",$E156&lt;&gt;"برگشت چک"),$E156="انتقال داخلی"),$K156,0))</f>
        <v/>
      </c>
      <c r="W156" s="76">
        <f>IF(OR($D156="",$K156=""),"",IF(OR($E156="پاس چک",$E156="برگشت چک",AND($D156="دریافت",$E156="چک")),$K156,0))</f>
        <v/>
      </c>
      <c r="X156" s="76">
        <f>IF(OR($D156="",$K156=""),"",IF(AND($D156="پرداخت",$E156="چک"),$K156,0))</f>
        <v/>
      </c>
      <c r="Y156" s="76">
        <f>SUM($S156,$U156,$W156)</f>
        <v/>
      </c>
      <c r="Z156" s="76">
        <f>SUM($T156,$V156,$X156)</f>
        <v/>
      </c>
      <c r="AA156" s="70">
        <f>IF($D156="","",IF(ROUND($Y156-$Z156,0)=0,"✓","⚠"))</f>
        <v/>
      </c>
      <c r="AB156" s="70">
        <f>IF($D156="","",IF($E156="نقد","X003",IF(OR($E156="چک",$E156="پاس چک",$E156="برگشت چک"),"X010",IF($I156="","X003","X011"))))</f>
        <v/>
      </c>
      <c r="AC156" s="70">
        <f>IF($D156="","",IF($E156="انتقال داخلی",IF($N156="","X003",IFERROR(VLOOKUP($N156,BankTbl,4,0),$N156)),IF($I156="","X003",IFERROR(VLOOKUP($I156,BankTbl,4,0),$I156))))</f>
        <v/>
      </c>
      <c r="AD156" s="70">
        <f>IF($D156="","",IF($E156="پاس چک","X010",IF($E156="برگشت چک",IF($I156="","X003","X011"),IF($E156="انتقال داخلی",IF($I156="","X003","X011"),IF($D156="پرداخت",$F156,IF($E156="چک","X009",IF($I156="","X003","X011")))))))</f>
        <v/>
      </c>
      <c r="AE156" s="76">
        <f>IF($D156="","",IF($K156="",0,$K156))</f>
        <v/>
      </c>
      <c r="AF156" s="70">
        <f>IF($D156="","",IF($E156="پاس چک",IF($I156="","X003","X011"),IF($E156="برگشت چک","X010",IF($E156="انتقال داخلی",IF($N156="","X003","X011"),IF($D156="پرداخت",IF($E156="چک","X010",IF($I156="","X003","X011")),$F156)))))</f>
        <v/>
      </c>
      <c r="AG156" s="76">
        <f>IF($D156="","",IF($K156="",0,$K156))</f>
        <v/>
      </c>
    </row>
    <row r="157" ht="21.75" customHeight="1">
      <c r="A157" s="70">
        <f>IF($B157="","",COUNTA($B$10:$B157))</f>
        <v/>
      </c>
      <c r="B157" s="71" t="n"/>
      <c r="C157" s="71" t="n"/>
      <c r="D157" s="71" t="n"/>
      <c r="E157" s="71" t="n"/>
      <c r="F157" s="71" t="n"/>
      <c r="G157" s="73">
        <f>IF($F157="","",IFERROR(VLOOKUP($F157,AcctTbl,2,0),"کد ناشناخته"))</f>
        <v/>
      </c>
      <c r="H157" s="70">
        <f>IF($F157="","",IFERROR(VLOOKUP($F157,AcctTbl,3,0),""))</f>
        <v/>
      </c>
      <c r="I157" s="71" t="n"/>
      <c r="J157" s="71" t="n"/>
      <c r="K157" s="74" t="n"/>
      <c r="L157" s="71" t="n"/>
      <c r="M157" s="71" t="n"/>
      <c r="N157" s="71" t="n"/>
      <c r="O157" s="71" t="n"/>
      <c r="P157" s="72" t="n"/>
      <c r="Q157" s="72" t="n"/>
      <c r="R157" s="77">
        <f>IF($D157="","",IF($AA157="⚠","⚠ ناتراز",IF(AND($D157="پرداخت",$E157="چک",$L157=""),"⚠ وضعیت چک","✓")))</f>
        <v/>
      </c>
      <c r="S157" s="76">
        <f>IF(OR($D157="",$K157=""),"",IF(AND($D157="پرداخت",$E157&lt;&gt;"انتقال داخلی",$E157&lt;&gt;"پاس چک",$E157&lt;&gt;"برگشت چک"),$K157,0))</f>
        <v/>
      </c>
      <c r="T157" s="76">
        <f>IF(OR($D157="",$K157=""),"",IF(OR(AND($D157="دریافت",$E157&lt;&gt;"انتقال داخلی"),$E157="برگشت چک"),$K157,0))</f>
        <v/>
      </c>
      <c r="U157" s="76">
        <f>IF(OR($D157="",$K157=""),"",IF(OR(AND($D157="دریافت",$E157&lt;&gt;"چک"),$E157="انتقال داخلی"),$K157,0))</f>
        <v/>
      </c>
      <c r="V157" s="76">
        <f>IF(OR($D157="",$K157=""),"",IF(OR(AND($D157="پرداخت",$E157&lt;&gt;"چک",$E157&lt;&gt;"برگشت چک"),$E157="انتقال داخلی"),$K157,0))</f>
        <v/>
      </c>
      <c r="W157" s="76">
        <f>IF(OR($D157="",$K157=""),"",IF(OR($E157="پاس چک",$E157="برگشت چک",AND($D157="دریافت",$E157="چک")),$K157,0))</f>
        <v/>
      </c>
      <c r="X157" s="76">
        <f>IF(OR($D157="",$K157=""),"",IF(AND($D157="پرداخت",$E157="چک"),$K157,0))</f>
        <v/>
      </c>
      <c r="Y157" s="76">
        <f>SUM($S157,$U157,$W157)</f>
        <v/>
      </c>
      <c r="Z157" s="76">
        <f>SUM($T157,$V157,$X157)</f>
        <v/>
      </c>
      <c r="AA157" s="70">
        <f>IF($D157="","",IF(ROUND($Y157-$Z157,0)=0,"✓","⚠"))</f>
        <v/>
      </c>
      <c r="AB157" s="70">
        <f>IF($D157="","",IF($E157="نقد","X003",IF(OR($E157="چک",$E157="پاس چک",$E157="برگشت چک"),"X010",IF($I157="","X003","X011"))))</f>
        <v/>
      </c>
      <c r="AC157" s="70">
        <f>IF($D157="","",IF($E157="انتقال داخلی",IF($N157="","X003",IFERROR(VLOOKUP($N157,BankTbl,4,0),$N157)),IF($I157="","X003",IFERROR(VLOOKUP($I157,BankTbl,4,0),$I157))))</f>
        <v/>
      </c>
      <c r="AD157" s="70">
        <f>IF($D157="","",IF($E157="پاس چک","X010",IF($E157="برگشت چک",IF($I157="","X003","X011"),IF($E157="انتقال داخلی",IF($I157="","X003","X011"),IF($D157="پرداخت",$F157,IF($E157="چک","X009",IF($I157="","X003","X011")))))))</f>
        <v/>
      </c>
      <c r="AE157" s="76">
        <f>IF($D157="","",IF($K157="",0,$K157))</f>
        <v/>
      </c>
      <c r="AF157" s="70">
        <f>IF($D157="","",IF($E157="پاس چک",IF($I157="","X003","X011"),IF($E157="برگشت چک","X010",IF($E157="انتقال داخلی",IF($N157="","X003","X011"),IF($D157="پرداخت",IF($E157="چک","X010",IF($I157="","X003","X011")),$F157)))))</f>
        <v/>
      </c>
      <c r="AG157" s="76">
        <f>IF($D157="","",IF($K157="",0,$K157))</f>
        <v/>
      </c>
    </row>
    <row r="158" ht="21.75" customHeight="1">
      <c r="A158" s="70">
        <f>IF($B158="","",COUNTA($B$10:$B158))</f>
        <v/>
      </c>
      <c r="B158" s="71" t="n"/>
      <c r="C158" s="71" t="n"/>
      <c r="D158" s="71" t="n"/>
      <c r="E158" s="71" t="n"/>
      <c r="F158" s="71" t="n"/>
      <c r="G158" s="73">
        <f>IF($F158="","",IFERROR(VLOOKUP($F158,AcctTbl,2,0),"کد ناشناخته"))</f>
        <v/>
      </c>
      <c r="H158" s="70">
        <f>IF($F158="","",IFERROR(VLOOKUP($F158,AcctTbl,3,0),""))</f>
        <v/>
      </c>
      <c r="I158" s="71" t="n"/>
      <c r="J158" s="71" t="n"/>
      <c r="K158" s="74" t="n"/>
      <c r="L158" s="71" t="n"/>
      <c r="M158" s="71" t="n"/>
      <c r="N158" s="71" t="n"/>
      <c r="O158" s="71" t="n"/>
      <c r="P158" s="72" t="n"/>
      <c r="Q158" s="72" t="n"/>
      <c r="R158" s="77">
        <f>IF($D158="","",IF($AA158="⚠","⚠ ناتراز",IF(AND($D158="پرداخت",$E158="چک",$L158=""),"⚠ وضعیت چک","✓")))</f>
        <v/>
      </c>
      <c r="S158" s="76">
        <f>IF(OR($D158="",$K158=""),"",IF(AND($D158="پرداخت",$E158&lt;&gt;"انتقال داخلی",$E158&lt;&gt;"پاس چک",$E158&lt;&gt;"برگشت چک"),$K158,0))</f>
        <v/>
      </c>
      <c r="T158" s="76">
        <f>IF(OR($D158="",$K158=""),"",IF(OR(AND($D158="دریافت",$E158&lt;&gt;"انتقال داخلی"),$E158="برگشت چک"),$K158,0))</f>
        <v/>
      </c>
      <c r="U158" s="76">
        <f>IF(OR($D158="",$K158=""),"",IF(OR(AND($D158="دریافت",$E158&lt;&gt;"چک"),$E158="انتقال داخلی"),$K158,0))</f>
        <v/>
      </c>
      <c r="V158" s="76">
        <f>IF(OR($D158="",$K158=""),"",IF(OR(AND($D158="پرداخت",$E158&lt;&gt;"چک",$E158&lt;&gt;"برگشت چک"),$E158="انتقال داخلی"),$K158,0))</f>
        <v/>
      </c>
      <c r="W158" s="76">
        <f>IF(OR($D158="",$K158=""),"",IF(OR($E158="پاس چک",$E158="برگشت چک",AND($D158="دریافت",$E158="چک")),$K158,0))</f>
        <v/>
      </c>
      <c r="X158" s="76">
        <f>IF(OR($D158="",$K158=""),"",IF(AND($D158="پرداخت",$E158="چک"),$K158,0))</f>
        <v/>
      </c>
      <c r="Y158" s="76">
        <f>SUM($S158,$U158,$W158)</f>
        <v/>
      </c>
      <c r="Z158" s="76">
        <f>SUM($T158,$V158,$X158)</f>
        <v/>
      </c>
      <c r="AA158" s="70">
        <f>IF($D158="","",IF(ROUND($Y158-$Z158,0)=0,"✓","⚠"))</f>
        <v/>
      </c>
      <c r="AB158" s="70">
        <f>IF($D158="","",IF($E158="نقد","X003",IF(OR($E158="چک",$E158="پاس چک",$E158="برگشت چک"),"X010",IF($I158="","X003","X011"))))</f>
        <v/>
      </c>
      <c r="AC158" s="70">
        <f>IF($D158="","",IF($E158="انتقال داخلی",IF($N158="","X003",IFERROR(VLOOKUP($N158,BankTbl,4,0),$N158)),IF($I158="","X003",IFERROR(VLOOKUP($I158,BankTbl,4,0),$I158))))</f>
        <v/>
      </c>
      <c r="AD158" s="70">
        <f>IF($D158="","",IF($E158="پاس چک","X010",IF($E158="برگشت چک",IF($I158="","X003","X011"),IF($E158="انتقال داخلی",IF($I158="","X003","X011"),IF($D158="پرداخت",$F158,IF($E158="چک","X009",IF($I158="","X003","X011")))))))</f>
        <v/>
      </c>
      <c r="AE158" s="76">
        <f>IF($D158="","",IF($K158="",0,$K158))</f>
        <v/>
      </c>
      <c r="AF158" s="70">
        <f>IF($D158="","",IF($E158="پاس چک",IF($I158="","X003","X011"),IF($E158="برگشت چک","X010",IF($E158="انتقال داخلی",IF($N158="","X003","X011"),IF($D158="پرداخت",IF($E158="چک","X010",IF($I158="","X003","X011")),$F158)))))</f>
        <v/>
      </c>
      <c r="AG158" s="76">
        <f>IF($D158="","",IF($K158="",0,$K158))</f>
        <v/>
      </c>
    </row>
    <row r="159" ht="21.75" customHeight="1">
      <c r="A159" s="70">
        <f>IF($B159="","",COUNTA($B$10:$B159))</f>
        <v/>
      </c>
      <c r="B159" s="71" t="n"/>
      <c r="C159" s="71" t="n"/>
      <c r="D159" s="71" t="n"/>
      <c r="E159" s="71" t="n"/>
      <c r="F159" s="71" t="n"/>
      <c r="G159" s="73">
        <f>IF($F159="","",IFERROR(VLOOKUP($F159,AcctTbl,2,0),"کد ناشناخته"))</f>
        <v/>
      </c>
      <c r="H159" s="70">
        <f>IF($F159="","",IFERROR(VLOOKUP($F159,AcctTbl,3,0),""))</f>
        <v/>
      </c>
      <c r="I159" s="71" t="n"/>
      <c r="J159" s="71" t="n"/>
      <c r="K159" s="74" t="n"/>
      <c r="L159" s="71" t="n"/>
      <c r="M159" s="71" t="n"/>
      <c r="N159" s="71" t="n"/>
      <c r="O159" s="71" t="n"/>
      <c r="P159" s="72" t="n"/>
      <c r="Q159" s="72" t="n"/>
      <c r="R159" s="77">
        <f>IF($D159="","",IF($AA159="⚠","⚠ ناتراز",IF(AND($D159="پرداخت",$E159="چک",$L159=""),"⚠ وضعیت چک","✓")))</f>
        <v/>
      </c>
      <c r="S159" s="76">
        <f>IF(OR($D159="",$K159=""),"",IF(AND($D159="پرداخت",$E159&lt;&gt;"انتقال داخلی",$E159&lt;&gt;"پاس چک",$E159&lt;&gt;"برگشت چک"),$K159,0))</f>
        <v/>
      </c>
      <c r="T159" s="76">
        <f>IF(OR($D159="",$K159=""),"",IF(OR(AND($D159="دریافت",$E159&lt;&gt;"انتقال داخلی"),$E159="برگشت چک"),$K159,0))</f>
        <v/>
      </c>
      <c r="U159" s="76">
        <f>IF(OR($D159="",$K159=""),"",IF(OR(AND($D159="دریافت",$E159&lt;&gt;"چک"),$E159="انتقال داخلی"),$K159,0))</f>
        <v/>
      </c>
      <c r="V159" s="76">
        <f>IF(OR($D159="",$K159=""),"",IF(OR(AND($D159="پرداخت",$E159&lt;&gt;"چک",$E159&lt;&gt;"برگشت چک"),$E159="انتقال داخلی"),$K159,0))</f>
        <v/>
      </c>
      <c r="W159" s="76">
        <f>IF(OR($D159="",$K159=""),"",IF(OR($E159="پاس چک",$E159="برگشت چک",AND($D159="دریافت",$E159="چک")),$K159,0))</f>
        <v/>
      </c>
      <c r="X159" s="76">
        <f>IF(OR($D159="",$K159=""),"",IF(AND($D159="پرداخت",$E159="چک"),$K159,0))</f>
        <v/>
      </c>
      <c r="Y159" s="76">
        <f>SUM($S159,$U159,$W159)</f>
        <v/>
      </c>
      <c r="Z159" s="76">
        <f>SUM($T159,$V159,$X159)</f>
        <v/>
      </c>
      <c r="AA159" s="70">
        <f>IF($D159="","",IF(ROUND($Y159-$Z159,0)=0,"✓","⚠"))</f>
        <v/>
      </c>
      <c r="AB159" s="70">
        <f>IF($D159="","",IF($E159="نقد","X003",IF(OR($E159="چک",$E159="پاس چک",$E159="برگشت چک"),"X010",IF($I159="","X003","X011"))))</f>
        <v/>
      </c>
      <c r="AC159" s="70">
        <f>IF($D159="","",IF($E159="انتقال داخلی",IF($N159="","X003",IFERROR(VLOOKUP($N159,BankTbl,4,0),$N159)),IF($I159="","X003",IFERROR(VLOOKUP($I159,BankTbl,4,0),$I159))))</f>
        <v/>
      </c>
      <c r="AD159" s="70">
        <f>IF($D159="","",IF($E159="پاس چک","X010",IF($E159="برگشت چک",IF($I159="","X003","X011"),IF($E159="انتقال داخلی",IF($I159="","X003","X011"),IF($D159="پرداخت",$F159,IF($E159="چک","X009",IF($I159="","X003","X011")))))))</f>
        <v/>
      </c>
      <c r="AE159" s="76">
        <f>IF($D159="","",IF($K159="",0,$K159))</f>
        <v/>
      </c>
      <c r="AF159" s="70">
        <f>IF($D159="","",IF($E159="پاس چک",IF($I159="","X003","X011"),IF($E159="برگشت چک","X010",IF($E159="انتقال داخلی",IF($N159="","X003","X011"),IF($D159="پرداخت",IF($E159="چک","X010",IF($I159="","X003","X011")),$F159)))))</f>
        <v/>
      </c>
      <c r="AG159" s="76">
        <f>IF($D159="","",IF($K159="",0,$K159))</f>
        <v/>
      </c>
    </row>
  </sheetData>
  <autoFilter ref="A8:R159"/>
  <mergeCells count="20">
    <mergeCell ref="A5:D5"/>
    <mergeCell ref="D7:F7"/>
    <mergeCell ref="A3:R3"/>
    <mergeCell ref="P7:R7"/>
    <mergeCell ref="J7:O7"/>
    <mergeCell ref="A2:R2"/>
    <mergeCell ref="Q5:R5"/>
    <mergeCell ref="I6:L6"/>
    <mergeCell ref="G4:R4"/>
    <mergeCell ref="E5:H5"/>
    <mergeCell ref="N1:R1"/>
    <mergeCell ref="M5:P5"/>
    <mergeCell ref="A1:M1"/>
    <mergeCell ref="A6:D6"/>
    <mergeCell ref="Q6:R6"/>
    <mergeCell ref="E6:H6"/>
    <mergeCell ref="M6:P6"/>
    <mergeCell ref="A7:C7"/>
    <mergeCell ref="G7:I7"/>
    <mergeCell ref="I5:L5"/>
  </mergeCells>
  <conditionalFormatting sqref="A10:R159">
    <cfRule type="expression" priority="1" dxfId="3">
      <formula>$D10="پرداخت"</formula>
    </cfRule>
    <cfRule type="expression" priority="2" dxfId="0">
      <formula>$D10="دریافت"</formula>
    </cfRule>
    <cfRule type="expression" priority="3" dxfId="4">
      <formula>$E10="چک"</formula>
    </cfRule>
    <cfRule type="expression" priority="4" dxfId="1">
      <formula>$E10="پاس چک"</formula>
    </cfRule>
    <cfRule type="expression" priority="5" dxfId="2">
      <formula>$E10="انتقال داخلی"</formula>
    </cfRule>
  </conditionalFormatting>
  <conditionalFormatting sqref="R10:R159">
    <cfRule type="expression" priority="6" dxfId="9">
      <formula>LEFT($R10,1)="⚠"</formula>
    </cfRule>
  </conditionalFormatting>
  <dataValidations count="7">
    <dataValidation sqref="B10:B159" showDropDown="0" showInputMessage="1" showErrorMessage="1" allowBlank="1" type="custom">
      <formula1>OR($B10="",AND(LEN($B10)=10,MID($B10,5,1)="/",MID($B10,8,1)="/"))</formula1>
    </dataValidation>
    <dataValidation sqref="D10:D159" showDropDown="0" showInputMessage="1" showErrorMessage="1" allowBlank="1" type="list">
      <formula1>ListTxnDirections</formula1>
    </dataValidation>
    <dataValidation sqref="E10:E159" showDropDown="0" showInputMessage="1" showErrorMessage="1" allowBlank="1" type="list">
      <formula1>ListPayMethods</formula1>
    </dataValidation>
    <dataValidation sqref="F10:F159" showDropDown="0" showInputMessage="1" showErrorMessage="1" allowBlank="1" type="list" errorStyle="warning">
      <formula1>ListAllCodes</formula1>
    </dataValidation>
    <dataValidation sqref="I10:I159" showDropDown="0" showInputMessage="1" showErrorMessage="1" allowBlank="1" type="list">
      <formula1>ListBanks</formula1>
    </dataValidation>
    <dataValidation sqref="L10:L159" showDropDown="0" showInputMessage="1" showErrorMessage="1" allowBlank="1" type="list">
      <formula1>ListChequeStatus</formula1>
    </dataValidation>
    <dataValidation sqref="N10:N159" showDropDown="0" showInputMessage="1" showErrorMessage="1" allowBlank="1" type="list">
      <formula1>ListBanks</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FF7FA99B"/>
    <outlinePr summaryBelow="1" summaryRight="1"/>
    <pageSetUpPr fitToPage="1"/>
  </sheetPr>
  <dimension ref="A1:Q1810"/>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1.7109375" customWidth="1" min="1" max="1"/>
    <col width="12.7109375" customWidth="1" min="2" max="2"/>
    <col width="10.7109375" customWidth="1" min="3" max="4"/>
    <col width="30.7109375" customWidth="1" min="5" max="5"/>
    <col width="20.7109375" customWidth="1" min="6" max="6"/>
    <col width="8.7109375" customWidth="1" min="7" max="7"/>
    <col width="10.7109375" customWidth="1" min="8" max="10"/>
    <col width="15.7109375" customWidth="1" min="11" max="13"/>
    <col width="18.7109375" customWidth="1" min="14" max="14"/>
    <col width="14.7109375" customWidth="1" min="15" max="15"/>
    <col width="11" customWidth="1" min="16" max="16"/>
  </cols>
  <sheetData>
    <row r="1" ht="20.25" customHeight="1">
      <c r="A1" s="142" t="inlineStr">
        <is>
          <t>مازندشت — سورتینگ و بسته‌بندی مرکبات</t>
        </is>
      </c>
      <c r="M1" s="143" t="inlineStr">
        <is>
          <t>MAZANDASHT  ·  CITRUS SORTING &amp; PACKING</t>
        </is>
      </c>
    </row>
    <row r="2" ht="38.25" customHeight="1">
      <c r="A2" s="144" t="inlineStr">
        <is>
          <t>دفتر روزنامه — همه گردش‌ها با طرف مقابل</t>
        </is>
      </c>
    </row>
    <row r="3" ht="45.75" customHeight="1">
      <c r="A3" s="145" t="inlineStr">
        <is>
          <t>هر سند دو سطر دارد: حساب طرف و حساب مقابل؛ به همین دلیل جمع بدهکار و بستانکار همیشه برابر است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سطر</t>
        </is>
      </c>
      <c r="B5" s="147" t="n"/>
      <c r="C5" s="147" t="n"/>
      <c r="D5" s="129" t="n"/>
      <c r="E5" s="5" t="inlineStr">
        <is>
          <t>جمع بدهکار</t>
        </is>
      </c>
      <c r="F5" s="147" t="n"/>
      <c r="G5" s="147" t="n"/>
      <c r="H5" s="129" t="n"/>
      <c r="I5" s="5" t="inlineStr">
        <is>
          <t>جمع بستانکار</t>
        </is>
      </c>
      <c r="J5" s="147" t="n"/>
      <c r="K5" s="147" t="n"/>
      <c r="L5" s="129" t="n"/>
      <c r="M5" s="5" t="inlineStr">
        <is>
          <t>اختلاف</t>
        </is>
      </c>
      <c r="N5" s="147" t="n"/>
      <c r="O5" s="147" t="n"/>
      <c r="P5" s="129" t="n"/>
      <c r="Q5" s="5" t="inlineStr">
        <is>
          <t>وضعیت</t>
        </is>
      </c>
    </row>
    <row r="6" ht="33" customHeight="1">
      <c r="A6" s="56">
        <f>COUNTA($A$10:$A$1808)</f>
        <v/>
      </c>
      <c r="B6" s="135" t="n"/>
      <c r="C6" s="135" t="n"/>
      <c r="D6" s="130" t="n"/>
      <c r="E6" s="60">
        <f>SUM($L$10:$L$1808)</f>
        <v/>
      </c>
      <c r="F6" s="135" t="n"/>
      <c r="G6" s="135" t="n"/>
      <c r="H6" s="130" t="n"/>
      <c r="I6" s="57">
        <f>SUM($M$10:$M$1808)</f>
        <v/>
      </c>
      <c r="J6" s="135" t="n"/>
      <c r="K6" s="135" t="n"/>
      <c r="L6" s="130" t="n"/>
      <c r="M6" s="78">
        <f>SUM($L$10:$L$1808)-SUM($M$10:$M$1808)</f>
        <v/>
      </c>
      <c r="N6" s="135" t="n"/>
      <c r="O6" s="135" t="n"/>
      <c r="P6" s="130" t="n"/>
      <c r="Q6" s="149">
        <f>IF(ROUND(SUM($L$10:$L$1808)-SUM($M$10:$M$1808),0)=0,"✓ تراز","⚠ ناتراز")</f>
        <v/>
      </c>
    </row>
    <row r="7" ht="20.25" customHeight="1">
      <c r="A7" s="61" t="inlineStr">
        <is>
          <t>شناسه سند</t>
        </is>
      </c>
      <c r="B7" s="133" t="n"/>
      <c r="C7" s="134" t="n"/>
      <c r="D7" s="64" t="inlineStr">
        <is>
          <t>حساب و شرح</t>
        </is>
      </c>
      <c r="E7" s="133" t="n"/>
      <c r="F7" s="134" t="n"/>
      <c r="G7" s="65" t="inlineStr">
        <is>
          <t>بار و مبلغ</t>
        </is>
      </c>
      <c r="H7" s="133" t="n"/>
      <c r="I7" s="133" t="n"/>
      <c r="J7" s="133" t="n"/>
      <c r="K7" s="134" t="n"/>
      <c r="L7" s="62" t="inlineStr">
        <is>
          <t>بدهکار / بستانکار</t>
        </is>
      </c>
      <c r="M7" s="133" t="n"/>
      <c r="N7" s="134" t="n"/>
      <c r="O7" s="67" t="inlineStr">
        <is>
          <t>گروه و پوز</t>
        </is>
      </c>
      <c r="P7" s="133" t="n"/>
      <c r="Q7" s="134" t="n"/>
    </row>
    <row r="8" ht="33.75" customHeight="1">
      <c r="A8" s="68" t="inlineStr">
        <is>
          <t>تاریخ</t>
        </is>
      </c>
      <c r="B8" s="68" t="inlineStr">
        <is>
          <t>سند</t>
        </is>
      </c>
      <c r="C8" s="68" t="inlineStr">
        <is>
          <t>منبع</t>
        </is>
      </c>
      <c r="D8" s="68" t="inlineStr">
        <is>
          <t>کد حساب</t>
        </is>
      </c>
      <c r="E8" s="68" t="inlineStr">
        <is>
          <t>شرح</t>
        </is>
      </c>
      <c r="F8" s="68" t="inlineStr">
        <is>
          <t>محصول</t>
        </is>
      </c>
      <c r="G8" s="68" t="inlineStr">
        <is>
          <t>تعداد سبد</t>
        </is>
      </c>
      <c r="H8" s="68" t="inlineStr">
        <is>
          <t>وزن باسکول</t>
        </is>
      </c>
      <c r="I8" s="68" t="inlineStr">
        <is>
          <t>وزن خالص</t>
        </is>
      </c>
      <c r="J8" s="68" t="inlineStr">
        <is>
          <t>فی</t>
        </is>
      </c>
      <c r="K8" s="68" t="inlineStr">
        <is>
          <t>مبلغ</t>
        </is>
      </c>
      <c r="L8" s="68" t="inlineStr">
        <is>
          <t>بدهکار</t>
        </is>
      </c>
      <c r="M8" s="68" t="inlineStr">
        <is>
          <t>بستانکار</t>
        </is>
      </c>
      <c r="N8" s="68" t="inlineStr">
        <is>
          <t>عملیات / نوع</t>
        </is>
      </c>
      <c r="O8" s="68" t="inlineStr">
        <is>
          <t>گروه</t>
        </is>
      </c>
      <c r="P8" s="68" t="inlineStr">
        <is>
          <t>بانک مرجع</t>
        </is>
      </c>
    </row>
    <row r="9">
      <c r="A9" s="69" t="inlineStr">
        <is>
          <t>Date</t>
        </is>
      </c>
      <c r="B9" s="69" t="inlineStr">
        <is>
          <t>Doc</t>
        </is>
      </c>
      <c r="C9" s="69" t="inlineStr">
        <is>
          <t>Source</t>
        </is>
      </c>
      <c r="D9" s="69" t="inlineStr">
        <is>
          <t>Account</t>
        </is>
      </c>
      <c r="E9" s="69" t="inlineStr">
        <is>
          <t>Description</t>
        </is>
      </c>
      <c r="F9" s="69" t="inlineStr">
        <is>
          <t>Product</t>
        </is>
      </c>
      <c r="G9" s="69" t="inlineStr">
        <is>
          <t>Baskets</t>
        </is>
      </c>
      <c r="H9" s="69" t="inlineStr">
        <is>
          <t>Scale</t>
        </is>
      </c>
      <c r="I9" s="69" t="inlineStr">
        <is>
          <t>Net</t>
        </is>
      </c>
      <c r="J9" s="69" t="inlineStr">
        <is>
          <t>Price</t>
        </is>
      </c>
      <c r="K9" s="69" t="inlineStr">
        <is>
          <t>Amount</t>
        </is>
      </c>
      <c r="L9" s="69" t="inlineStr">
        <is>
          <t>Debit</t>
        </is>
      </c>
      <c r="M9" s="69" t="inlineStr">
        <is>
          <t>Credit</t>
        </is>
      </c>
      <c r="N9" s="69" t="inlineStr">
        <is>
          <t>Type</t>
        </is>
      </c>
      <c r="O9" s="69" t="inlineStr">
        <is>
          <t>Group</t>
        </is>
      </c>
      <c r="P9" s="69" t="inlineStr">
        <is>
          <t>Bank ref.</t>
        </is>
      </c>
    </row>
    <row r="10" ht="20.25" customHeight="1">
      <c r="A10" s="80">
        <f>IF(OR(Scale!$U10="",Scale!$U10=0),"",Scale!$B10)</f>
        <v/>
      </c>
      <c r="B10" s="80">
        <f>IF(OR(Scale!$U10="",Scale!$U10=0),"",Scale!$D10)</f>
        <v/>
      </c>
      <c r="C10" s="80">
        <f>IF(OR(Scale!$U10="",Scale!$U10=0),"","باسکول")</f>
        <v/>
      </c>
      <c r="D10" s="80">
        <f>IF(OR(Scale!$U10="",Scale!$U10=0),"",Scale!$U10)</f>
        <v/>
      </c>
      <c r="E10" s="81">
        <f>IF(OR(Scale!$U10="",Scale!$U10=0),"",Scale!$T10)</f>
        <v/>
      </c>
      <c r="F10" s="81">
        <f>IF(OR(Scale!$U10="",Scale!$U10=0),"",Scale!$J10)</f>
        <v/>
      </c>
      <c r="G10" s="82">
        <f>IF(OR(Scale!$U10="",Scale!$U10=0),"",Scale!$M10)</f>
        <v/>
      </c>
      <c r="H10" s="82">
        <f>IF(OR(Scale!$U10="",Scale!$U10=0),"",Scale!$L10)</f>
        <v/>
      </c>
      <c r="I10" s="82">
        <f>IF(OR(Scale!$U10="",Scale!$U10=0),"",Scale!$N10)</f>
        <v/>
      </c>
      <c r="J10" s="82">
        <f>IF(OR(Scale!$U10="",Scale!$U10=0),"",Scale!$O10)</f>
        <v/>
      </c>
      <c r="K10" s="82">
        <f>IF(OR(Scale!$U10="",Scale!$U10=0),"",IF(Scale!$V10="",0,Scale!$V10)+IF(Scale!$W10="",0,Scale!$W10))</f>
        <v/>
      </c>
      <c r="L10" s="82">
        <f>IF(OR(Scale!$U10="",Scale!$U10=0),"",Scale!$V10)</f>
        <v/>
      </c>
      <c r="M10" s="82">
        <f>IF(OR(Scale!$U10="",Scale!$U10=0),"",Scale!$W10)</f>
        <v/>
      </c>
      <c r="N10" s="81">
        <f>IF(OR(Scale!$U10="",Scale!$U10=0),"",Scale!$E10)</f>
        <v/>
      </c>
      <c r="O10" s="81">
        <f>IF(OR(Scale!$U10="",Scale!$U10=0),"",IFERROR(VLOOKUP(Scale!$U10,AcctTbl,3,0),""))</f>
        <v/>
      </c>
      <c r="P10" s="82">
        <f>IF(Scale!$U10&lt;&gt;"X011","","BN02")</f>
        <v/>
      </c>
    </row>
    <row r="11" ht="20.25" customHeight="1">
      <c r="A11" s="80">
        <f>IF(OR(Scale!$X10="",Scale!$X10=0),"",Scale!$B10)</f>
        <v/>
      </c>
      <c r="B11" s="80">
        <f>IF(OR(Scale!$X10="",Scale!$X10=0),"",Scale!$D10)</f>
        <v/>
      </c>
      <c r="C11" s="80">
        <f>IF(OR(Scale!$X10="",Scale!$X10=0),"","باسکول")</f>
        <v/>
      </c>
      <c r="D11" s="80">
        <f>IF(OR(Scale!$X10="",Scale!$X10=0),"",Scale!$X10)</f>
        <v/>
      </c>
      <c r="E11" s="81">
        <f>IF(OR(Scale!$X10="",Scale!$X10=0),"",IF(Scale!$X10="","","مقابل: "&amp;Scale!$E10))</f>
        <v/>
      </c>
      <c r="F11" s="83" t="n"/>
      <c r="G11" s="83" t="n"/>
      <c r="H11" s="83" t="n"/>
      <c r="I11" s="83" t="n"/>
      <c r="J11" s="83" t="n"/>
      <c r="K11" s="82">
        <f>IF(OR(Scale!$X10="",Scale!$X10=0),"",IF(Scale!$Y10="",0,Scale!$Y10)+IF(Scale!$Z10="",0,Scale!$Z10))</f>
        <v/>
      </c>
      <c r="L11" s="82">
        <f>IF(OR(Scale!$X10="",Scale!$X10=0),"",Scale!$Y10)</f>
        <v/>
      </c>
      <c r="M11" s="82">
        <f>IF(OR(Scale!$X10="",Scale!$X10=0),"",Scale!$Z10)</f>
        <v/>
      </c>
      <c r="N11" s="81">
        <f>IF(OR(Scale!$X10="",Scale!$X10=0),"","مقابل")</f>
        <v/>
      </c>
      <c r="O11" s="81">
        <f>IF(OR(Scale!$X10="",Scale!$X10=0),"",IFERROR(VLOOKUP(Scale!$X10,AcctTbl,3,0),""))</f>
        <v/>
      </c>
      <c r="P11" s="82">
        <f>IF(Scale!$X10&lt;&gt;"X011","","BN02")</f>
        <v/>
      </c>
    </row>
    <row r="12" ht="20.25" customHeight="1">
      <c r="A12" s="80">
        <f>IF(OR(Scale!$AA10="",Scale!$AA10=0),"",Scale!$B10)</f>
        <v/>
      </c>
      <c r="B12" s="80">
        <f>IF(OR(Scale!$AA10="",Scale!$AA10=0),"",Scale!$D10)</f>
        <v/>
      </c>
      <c r="C12" s="80">
        <f>IF(OR(Scale!$AA10="",Scale!$AA10=0),"","باسکول")</f>
        <v/>
      </c>
      <c r="D12" s="80">
        <f>IF(OR(Scale!$AA10="",Scale!$AA10=0),"",Scale!$AA10)</f>
        <v/>
      </c>
      <c r="E12" s="81">
        <f>IF(OR(Scale!$AA10="",Scale!$AA10=0),"",IF(Scale!$AA10="","","پوز باسکول — "&amp;Scale!$E10))</f>
        <v/>
      </c>
      <c r="F12" s="83" t="n"/>
      <c r="G12" s="83" t="n"/>
      <c r="H12" s="83" t="n"/>
      <c r="I12" s="83" t="n"/>
      <c r="J12" s="83" t="n"/>
      <c r="K12" s="82">
        <f>IF(OR(Scale!$AA10="",Scale!$AA10=0),"",IF(Scale!$AB10="",0,Scale!$AB10)+IF(Scale!$AC10="",0,Scale!$AC10))</f>
        <v/>
      </c>
      <c r="L12" s="82">
        <f>IF(OR(Scale!$AA10="",Scale!$AA10=0),"",Scale!$AB10)</f>
        <v/>
      </c>
      <c r="M12" s="82">
        <f>IF(OR(Scale!$AA10="",Scale!$AA10=0),"",Scale!$AC10)</f>
        <v/>
      </c>
      <c r="N12" s="81">
        <f>IF(OR(Scale!$AA10="",Scale!$AA10=0),"","پوز")</f>
        <v/>
      </c>
      <c r="O12" s="81">
        <f>IF(OR(Scale!$AA10="",Scale!$AA10=0),"",IFERROR(VLOOKUP(Scale!$AA10,AcctTbl,3,0),""))</f>
        <v/>
      </c>
      <c r="P12" s="82">
        <f>IF(Scale!$AA10&lt;&gt;"X011","","BN02")</f>
        <v/>
      </c>
    </row>
    <row r="13" ht="20.25" customHeight="1">
      <c r="A13" s="80">
        <f>IF(OR(Scale!$AD10="",Scale!$AD10=0),"",Scale!$B10)</f>
        <v/>
      </c>
      <c r="B13" s="80">
        <f>IF(OR(Scale!$AD10="",Scale!$AD10=0),"",Scale!$D10)</f>
        <v/>
      </c>
      <c r="C13" s="80">
        <f>IF(OR(Scale!$AD10="",Scale!$AD10=0),"","باسکول")</f>
        <v/>
      </c>
      <c r="D13" s="80">
        <f>IF(OR(Scale!$AD10="",Scale!$AD10=0),"",Scale!$AD10)</f>
        <v/>
      </c>
      <c r="E13" s="81">
        <f>IF(OR(Scale!$AD10="",Scale!$AD10=0),"",IF(Scale!$AD10="","","مقابل پوز — "&amp;Scale!$E10))</f>
        <v/>
      </c>
      <c r="F13" s="83" t="n"/>
      <c r="G13" s="83" t="n"/>
      <c r="H13" s="83" t="n"/>
      <c r="I13" s="83" t="n"/>
      <c r="J13" s="83" t="n"/>
      <c r="K13" s="82">
        <f>IF(OR(Scale!$AD10="",Scale!$AD10=0),"",IF(Scale!$AE10="",0,Scale!$AE10)+IF(Scale!$AF10="",0,Scale!$AF10))</f>
        <v/>
      </c>
      <c r="L13" s="82">
        <f>IF(OR(Scale!$AD10="",Scale!$AD10=0),"",Scale!$AE10)</f>
        <v/>
      </c>
      <c r="M13" s="82">
        <f>IF(OR(Scale!$AD10="",Scale!$AD10=0),"",Scale!$AF10)</f>
        <v/>
      </c>
      <c r="N13" s="81">
        <f>IF(OR(Scale!$AD10="",Scale!$AD10=0),"","مقابل پوز")</f>
        <v/>
      </c>
      <c r="O13" s="81">
        <f>IF(OR(Scale!$AD10="",Scale!$AD10=0),"",IFERROR(VLOOKUP(Scale!$AD10,AcctTbl,3,0),""))</f>
        <v/>
      </c>
      <c r="P13" s="82">
        <f>IF(Scale!$AD10&lt;&gt;"X011","","BN02")</f>
        <v/>
      </c>
    </row>
    <row r="14" ht="20.25" customHeight="1">
      <c r="A14" s="80">
        <f>IF(OR(Scale!$U11="",Scale!$U11=0),"",Scale!$B11)</f>
        <v/>
      </c>
      <c r="B14" s="80">
        <f>IF(OR(Scale!$U11="",Scale!$U11=0),"",Scale!$D11)</f>
        <v/>
      </c>
      <c r="C14" s="80">
        <f>IF(OR(Scale!$U11="",Scale!$U11=0),"","باسکول")</f>
        <v/>
      </c>
      <c r="D14" s="80">
        <f>IF(OR(Scale!$U11="",Scale!$U11=0),"",Scale!$U11)</f>
        <v/>
      </c>
      <c r="E14" s="81">
        <f>IF(OR(Scale!$U11="",Scale!$U11=0),"",Scale!$T11)</f>
        <v/>
      </c>
      <c r="F14" s="81">
        <f>IF(OR(Scale!$U11="",Scale!$U11=0),"",Scale!$J11)</f>
        <v/>
      </c>
      <c r="G14" s="82">
        <f>IF(OR(Scale!$U11="",Scale!$U11=0),"",Scale!$M11)</f>
        <v/>
      </c>
      <c r="H14" s="82">
        <f>IF(OR(Scale!$U11="",Scale!$U11=0),"",Scale!$L11)</f>
        <v/>
      </c>
      <c r="I14" s="82">
        <f>IF(OR(Scale!$U11="",Scale!$U11=0),"",Scale!$N11)</f>
        <v/>
      </c>
      <c r="J14" s="82">
        <f>IF(OR(Scale!$U11="",Scale!$U11=0),"",Scale!$O11)</f>
        <v/>
      </c>
      <c r="K14" s="82">
        <f>IF(OR(Scale!$U11="",Scale!$U11=0),"",IF(Scale!$V11="",0,Scale!$V11)+IF(Scale!$W11="",0,Scale!$W11))</f>
        <v/>
      </c>
      <c r="L14" s="82">
        <f>IF(OR(Scale!$U11="",Scale!$U11=0),"",Scale!$V11)</f>
        <v/>
      </c>
      <c r="M14" s="82">
        <f>IF(OR(Scale!$U11="",Scale!$U11=0),"",Scale!$W11)</f>
        <v/>
      </c>
      <c r="N14" s="81">
        <f>IF(OR(Scale!$U11="",Scale!$U11=0),"",Scale!$E11)</f>
        <v/>
      </c>
      <c r="O14" s="81">
        <f>IF(OR(Scale!$U11="",Scale!$U11=0),"",IFERROR(VLOOKUP(Scale!$U11,AcctTbl,3,0),""))</f>
        <v/>
      </c>
      <c r="P14" s="82">
        <f>IF(Scale!$U11&lt;&gt;"X011","","BN02")</f>
        <v/>
      </c>
    </row>
    <row r="15" ht="20.25" customHeight="1">
      <c r="A15" s="80">
        <f>IF(OR(Scale!$X11="",Scale!$X11=0),"",Scale!$B11)</f>
        <v/>
      </c>
      <c r="B15" s="80">
        <f>IF(OR(Scale!$X11="",Scale!$X11=0),"",Scale!$D11)</f>
        <v/>
      </c>
      <c r="C15" s="80">
        <f>IF(OR(Scale!$X11="",Scale!$X11=0),"","باسکول")</f>
        <v/>
      </c>
      <c r="D15" s="80">
        <f>IF(OR(Scale!$X11="",Scale!$X11=0),"",Scale!$X11)</f>
        <v/>
      </c>
      <c r="E15" s="81">
        <f>IF(OR(Scale!$X11="",Scale!$X11=0),"",IF(Scale!$X11="","","مقابل: "&amp;Scale!$E11))</f>
        <v/>
      </c>
      <c r="F15" s="83" t="n"/>
      <c r="G15" s="83" t="n"/>
      <c r="H15" s="83" t="n"/>
      <c r="I15" s="83" t="n"/>
      <c r="J15" s="83" t="n"/>
      <c r="K15" s="82">
        <f>IF(OR(Scale!$X11="",Scale!$X11=0),"",IF(Scale!$Y11="",0,Scale!$Y11)+IF(Scale!$Z11="",0,Scale!$Z11))</f>
        <v/>
      </c>
      <c r="L15" s="82">
        <f>IF(OR(Scale!$X11="",Scale!$X11=0),"",Scale!$Y11)</f>
        <v/>
      </c>
      <c r="M15" s="82">
        <f>IF(OR(Scale!$X11="",Scale!$X11=0),"",Scale!$Z11)</f>
        <v/>
      </c>
      <c r="N15" s="81">
        <f>IF(OR(Scale!$X11="",Scale!$X11=0),"","مقابل")</f>
        <v/>
      </c>
      <c r="O15" s="81">
        <f>IF(OR(Scale!$X11="",Scale!$X11=0),"",IFERROR(VLOOKUP(Scale!$X11,AcctTbl,3,0),""))</f>
        <v/>
      </c>
      <c r="P15" s="82">
        <f>IF(Scale!$X11&lt;&gt;"X011","","BN02")</f>
        <v/>
      </c>
    </row>
    <row r="16" ht="20.25" customHeight="1">
      <c r="A16" s="80">
        <f>IF(OR(Scale!$AA11="",Scale!$AA11=0),"",Scale!$B11)</f>
        <v/>
      </c>
      <c r="B16" s="80">
        <f>IF(OR(Scale!$AA11="",Scale!$AA11=0),"",Scale!$D11)</f>
        <v/>
      </c>
      <c r="C16" s="80">
        <f>IF(OR(Scale!$AA11="",Scale!$AA11=0),"","باسکول")</f>
        <v/>
      </c>
      <c r="D16" s="80">
        <f>IF(OR(Scale!$AA11="",Scale!$AA11=0),"",Scale!$AA11)</f>
        <v/>
      </c>
      <c r="E16" s="81">
        <f>IF(OR(Scale!$AA11="",Scale!$AA11=0),"",IF(Scale!$AA11="","","پوز باسکول — "&amp;Scale!$E11))</f>
        <v/>
      </c>
      <c r="F16" s="83" t="n"/>
      <c r="G16" s="83" t="n"/>
      <c r="H16" s="83" t="n"/>
      <c r="I16" s="83" t="n"/>
      <c r="J16" s="83" t="n"/>
      <c r="K16" s="82">
        <f>IF(OR(Scale!$AA11="",Scale!$AA11=0),"",IF(Scale!$AB11="",0,Scale!$AB11)+IF(Scale!$AC11="",0,Scale!$AC11))</f>
        <v/>
      </c>
      <c r="L16" s="82">
        <f>IF(OR(Scale!$AA11="",Scale!$AA11=0),"",Scale!$AB11)</f>
        <v/>
      </c>
      <c r="M16" s="82">
        <f>IF(OR(Scale!$AA11="",Scale!$AA11=0),"",Scale!$AC11)</f>
        <v/>
      </c>
      <c r="N16" s="81">
        <f>IF(OR(Scale!$AA11="",Scale!$AA11=0),"","پوز")</f>
        <v/>
      </c>
      <c r="O16" s="81">
        <f>IF(OR(Scale!$AA11="",Scale!$AA11=0),"",IFERROR(VLOOKUP(Scale!$AA11,AcctTbl,3,0),""))</f>
        <v/>
      </c>
      <c r="P16" s="82">
        <f>IF(Scale!$AA11&lt;&gt;"X011","","BN02")</f>
        <v/>
      </c>
    </row>
    <row r="17" ht="20.25" customHeight="1">
      <c r="A17" s="80">
        <f>IF(OR(Scale!$AD11="",Scale!$AD11=0),"",Scale!$B11)</f>
        <v/>
      </c>
      <c r="B17" s="80">
        <f>IF(OR(Scale!$AD11="",Scale!$AD11=0),"",Scale!$D11)</f>
        <v/>
      </c>
      <c r="C17" s="80">
        <f>IF(OR(Scale!$AD11="",Scale!$AD11=0),"","باسکول")</f>
        <v/>
      </c>
      <c r="D17" s="80">
        <f>IF(OR(Scale!$AD11="",Scale!$AD11=0),"",Scale!$AD11)</f>
        <v/>
      </c>
      <c r="E17" s="81">
        <f>IF(OR(Scale!$AD11="",Scale!$AD11=0),"",IF(Scale!$AD11="","","مقابل پوز — "&amp;Scale!$E11))</f>
        <v/>
      </c>
      <c r="F17" s="83" t="n"/>
      <c r="G17" s="83" t="n"/>
      <c r="H17" s="83" t="n"/>
      <c r="I17" s="83" t="n"/>
      <c r="J17" s="83" t="n"/>
      <c r="K17" s="82">
        <f>IF(OR(Scale!$AD11="",Scale!$AD11=0),"",IF(Scale!$AE11="",0,Scale!$AE11)+IF(Scale!$AF11="",0,Scale!$AF11))</f>
        <v/>
      </c>
      <c r="L17" s="82">
        <f>IF(OR(Scale!$AD11="",Scale!$AD11=0),"",Scale!$AE11)</f>
        <v/>
      </c>
      <c r="M17" s="82">
        <f>IF(OR(Scale!$AD11="",Scale!$AD11=0),"",Scale!$AF11)</f>
        <v/>
      </c>
      <c r="N17" s="81">
        <f>IF(OR(Scale!$AD11="",Scale!$AD11=0),"","مقابل پوز")</f>
        <v/>
      </c>
      <c r="O17" s="81">
        <f>IF(OR(Scale!$AD11="",Scale!$AD11=0),"",IFERROR(VLOOKUP(Scale!$AD11,AcctTbl,3,0),""))</f>
        <v/>
      </c>
      <c r="P17" s="82">
        <f>IF(Scale!$AD11&lt;&gt;"X011","","BN02")</f>
        <v/>
      </c>
    </row>
    <row r="18" ht="20.25" customHeight="1">
      <c r="A18" s="80">
        <f>IF(OR(Scale!$U12="",Scale!$U12=0),"",Scale!$B12)</f>
        <v/>
      </c>
      <c r="B18" s="80">
        <f>IF(OR(Scale!$U12="",Scale!$U12=0),"",Scale!$D12)</f>
        <v/>
      </c>
      <c r="C18" s="80">
        <f>IF(OR(Scale!$U12="",Scale!$U12=0),"","باسکول")</f>
        <v/>
      </c>
      <c r="D18" s="80">
        <f>IF(OR(Scale!$U12="",Scale!$U12=0),"",Scale!$U12)</f>
        <v/>
      </c>
      <c r="E18" s="81">
        <f>IF(OR(Scale!$U12="",Scale!$U12=0),"",Scale!$T12)</f>
        <v/>
      </c>
      <c r="F18" s="81">
        <f>IF(OR(Scale!$U12="",Scale!$U12=0),"",Scale!$J12)</f>
        <v/>
      </c>
      <c r="G18" s="82">
        <f>IF(OR(Scale!$U12="",Scale!$U12=0),"",Scale!$M12)</f>
        <v/>
      </c>
      <c r="H18" s="82">
        <f>IF(OR(Scale!$U12="",Scale!$U12=0),"",Scale!$L12)</f>
        <v/>
      </c>
      <c r="I18" s="82">
        <f>IF(OR(Scale!$U12="",Scale!$U12=0),"",Scale!$N12)</f>
        <v/>
      </c>
      <c r="J18" s="82">
        <f>IF(OR(Scale!$U12="",Scale!$U12=0),"",Scale!$O12)</f>
        <v/>
      </c>
      <c r="K18" s="82">
        <f>IF(OR(Scale!$U12="",Scale!$U12=0),"",IF(Scale!$V12="",0,Scale!$V12)+IF(Scale!$W12="",0,Scale!$W12))</f>
        <v/>
      </c>
      <c r="L18" s="82">
        <f>IF(OR(Scale!$U12="",Scale!$U12=0),"",Scale!$V12)</f>
        <v/>
      </c>
      <c r="M18" s="82">
        <f>IF(OR(Scale!$U12="",Scale!$U12=0),"",Scale!$W12)</f>
        <v/>
      </c>
      <c r="N18" s="81">
        <f>IF(OR(Scale!$U12="",Scale!$U12=0),"",Scale!$E12)</f>
        <v/>
      </c>
      <c r="O18" s="81">
        <f>IF(OR(Scale!$U12="",Scale!$U12=0),"",IFERROR(VLOOKUP(Scale!$U12,AcctTbl,3,0),""))</f>
        <v/>
      </c>
      <c r="P18" s="82">
        <f>IF(Scale!$U12&lt;&gt;"X011","","BN02")</f>
        <v/>
      </c>
    </row>
    <row r="19" ht="20.25" customHeight="1">
      <c r="A19" s="80">
        <f>IF(OR(Scale!$X12="",Scale!$X12=0),"",Scale!$B12)</f>
        <v/>
      </c>
      <c r="B19" s="80">
        <f>IF(OR(Scale!$X12="",Scale!$X12=0),"",Scale!$D12)</f>
        <v/>
      </c>
      <c r="C19" s="80">
        <f>IF(OR(Scale!$X12="",Scale!$X12=0),"","باسکول")</f>
        <v/>
      </c>
      <c r="D19" s="80">
        <f>IF(OR(Scale!$X12="",Scale!$X12=0),"",Scale!$X12)</f>
        <v/>
      </c>
      <c r="E19" s="81">
        <f>IF(OR(Scale!$X12="",Scale!$X12=0),"",IF(Scale!$X12="","","مقابل: "&amp;Scale!$E12))</f>
        <v/>
      </c>
      <c r="F19" s="83" t="n"/>
      <c r="G19" s="83" t="n"/>
      <c r="H19" s="83" t="n"/>
      <c r="I19" s="83" t="n"/>
      <c r="J19" s="83" t="n"/>
      <c r="K19" s="82">
        <f>IF(OR(Scale!$X12="",Scale!$X12=0),"",IF(Scale!$Y12="",0,Scale!$Y12)+IF(Scale!$Z12="",0,Scale!$Z12))</f>
        <v/>
      </c>
      <c r="L19" s="82">
        <f>IF(OR(Scale!$X12="",Scale!$X12=0),"",Scale!$Y12)</f>
        <v/>
      </c>
      <c r="M19" s="82">
        <f>IF(OR(Scale!$X12="",Scale!$X12=0),"",Scale!$Z12)</f>
        <v/>
      </c>
      <c r="N19" s="81">
        <f>IF(OR(Scale!$X12="",Scale!$X12=0),"","مقابل")</f>
        <v/>
      </c>
      <c r="O19" s="81">
        <f>IF(OR(Scale!$X12="",Scale!$X12=0),"",IFERROR(VLOOKUP(Scale!$X12,AcctTbl,3,0),""))</f>
        <v/>
      </c>
      <c r="P19" s="82">
        <f>IF(Scale!$X12&lt;&gt;"X011","","BN02")</f>
        <v/>
      </c>
    </row>
    <row r="20" ht="20.25" customHeight="1">
      <c r="A20" s="80">
        <f>IF(OR(Scale!$AA12="",Scale!$AA12=0),"",Scale!$B12)</f>
        <v/>
      </c>
      <c r="B20" s="80">
        <f>IF(OR(Scale!$AA12="",Scale!$AA12=0),"",Scale!$D12)</f>
        <v/>
      </c>
      <c r="C20" s="80">
        <f>IF(OR(Scale!$AA12="",Scale!$AA12=0),"","باسکول")</f>
        <v/>
      </c>
      <c r="D20" s="80">
        <f>IF(OR(Scale!$AA12="",Scale!$AA12=0),"",Scale!$AA12)</f>
        <v/>
      </c>
      <c r="E20" s="81">
        <f>IF(OR(Scale!$AA12="",Scale!$AA12=0),"",IF(Scale!$AA12="","","پوز باسکول — "&amp;Scale!$E12))</f>
        <v/>
      </c>
      <c r="F20" s="83" t="n"/>
      <c r="G20" s="83" t="n"/>
      <c r="H20" s="83" t="n"/>
      <c r="I20" s="83" t="n"/>
      <c r="J20" s="83" t="n"/>
      <c r="K20" s="82">
        <f>IF(OR(Scale!$AA12="",Scale!$AA12=0),"",IF(Scale!$AB12="",0,Scale!$AB12)+IF(Scale!$AC12="",0,Scale!$AC12))</f>
        <v/>
      </c>
      <c r="L20" s="82">
        <f>IF(OR(Scale!$AA12="",Scale!$AA12=0),"",Scale!$AB12)</f>
        <v/>
      </c>
      <c r="M20" s="82">
        <f>IF(OR(Scale!$AA12="",Scale!$AA12=0),"",Scale!$AC12)</f>
        <v/>
      </c>
      <c r="N20" s="81">
        <f>IF(OR(Scale!$AA12="",Scale!$AA12=0),"","پوز")</f>
        <v/>
      </c>
      <c r="O20" s="81">
        <f>IF(OR(Scale!$AA12="",Scale!$AA12=0),"",IFERROR(VLOOKUP(Scale!$AA12,AcctTbl,3,0),""))</f>
        <v/>
      </c>
      <c r="P20" s="82">
        <f>IF(Scale!$AA12&lt;&gt;"X011","","BN02")</f>
        <v/>
      </c>
    </row>
    <row r="21" ht="20.25" customHeight="1">
      <c r="A21" s="80">
        <f>IF(OR(Scale!$AD12="",Scale!$AD12=0),"",Scale!$B12)</f>
        <v/>
      </c>
      <c r="B21" s="80">
        <f>IF(OR(Scale!$AD12="",Scale!$AD12=0),"",Scale!$D12)</f>
        <v/>
      </c>
      <c r="C21" s="80">
        <f>IF(OR(Scale!$AD12="",Scale!$AD12=0),"","باسکول")</f>
        <v/>
      </c>
      <c r="D21" s="80">
        <f>IF(OR(Scale!$AD12="",Scale!$AD12=0),"",Scale!$AD12)</f>
        <v/>
      </c>
      <c r="E21" s="81">
        <f>IF(OR(Scale!$AD12="",Scale!$AD12=0),"",IF(Scale!$AD12="","","مقابل پوز — "&amp;Scale!$E12))</f>
        <v/>
      </c>
      <c r="F21" s="83" t="n"/>
      <c r="G21" s="83" t="n"/>
      <c r="H21" s="83" t="n"/>
      <c r="I21" s="83" t="n"/>
      <c r="J21" s="83" t="n"/>
      <c r="K21" s="82">
        <f>IF(OR(Scale!$AD12="",Scale!$AD12=0),"",IF(Scale!$AE12="",0,Scale!$AE12)+IF(Scale!$AF12="",0,Scale!$AF12))</f>
        <v/>
      </c>
      <c r="L21" s="82">
        <f>IF(OR(Scale!$AD12="",Scale!$AD12=0),"",Scale!$AE12)</f>
        <v/>
      </c>
      <c r="M21" s="82">
        <f>IF(OR(Scale!$AD12="",Scale!$AD12=0),"",Scale!$AF12)</f>
        <v/>
      </c>
      <c r="N21" s="81">
        <f>IF(OR(Scale!$AD12="",Scale!$AD12=0),"","مقابل پوز")</f>
        <v/>
      </c>
      <c r="O21" s="81">
        <f>IF(OR(Scale!$AD12="",Scale!$AD12=0),"",IFERROR(VLOOKUP(Scale!$AD12,AcctTbl,3,0),""))</f>
        <v/>
      </c>
      <c r="P21" s="82">
        <f>IF(Scale!$AD12&lt;&gt;"X011","","BN02")</f>
        <v/>
      </c>
    </row>
    <row r="22" ht="20.25" customHeight="1">
      <c r="A22" s="80">
        <f>IF(OR(Scale!$U13="",Scale!$U13=0),"",Scale!$B13)</f>
        <v/>
      </c>
      <c r="B22" s="80">
        <f>IF(OR(Scale!$U13="",Scale!$U13=0),"",Scale!$D13)</f>
        <v/>
      </c>
      <c r="C22" s="80">
        <f>IF(OR(Scale!$U13="",Scale!$U13=0),"","باسکول")</f>
        <v/>
      </c>
      <c r="D22" s="80">
        <f>IF(OR(Scale!$U13="",Scale!$U13=0),"",Scale!$U13)</f>
        <v/>
      </c>
      <c r="E22" s="81">
        <f>IF(OR(Scale!$U13="",Scale!$U13=0),"",Scale!$T13)</f>
        <v/>
      </c>
      <c r="F22" s="81">
        <f>IF(OR(Scale!$U13="",Scale!$U13=0),"",Scale!$J13)</f>
        <v/>
      </c>
      <c r="G22" s="82">
        <f>IF(OR(Scale!$U13="",Scale!$U13=0),"",Scale!$M13)</f>
        <v/>
      </c>
      <c r="H22" s="82">
        <f>IF(OR(Scale!$U13="",Scale!$U13=0),"",Scale!$L13)</f>
        <v/>
      </c>
      <c r="I22" s="82">
        <f>IF(OR(Scale!$U13="",Scale!$U13=0),"",Scale!$N13)</f>
        <v/>
      </c>
      <c r="J22" s="82">
        <f>IF(OR(Scale!$U13="",Scale!$U13=0),"",Scale!$O13)</f>
        <v/>
      </c>
      <c r="K22" s="82">
        <f>IF(OR(Scale!$U13="",Scale!$U13=0),"",IF(Scale!$V13="",0,Scale!$V13)+IF(Scale!$W13="",0,Scale!$W13))</f>
        <v/>
      </c>
      <c r="L22" s="82">
        <f>IF(OR(Scale!$U13="",Scale!$U13=0),"",Scale!$V13)</f>
        <v/>
      </c>
      <c r="M22" s="82">
        <f>IF(OR(Scale!$U13="",Scale!$U13=0),"",Scale!$W13)</f>
        <v/>
      </c>
      <c r="N22" s="81">
        <f>IF(OR(Scale!$U13="",Scale!$U13=0),"",Scale!$E13)</f>
        <v/>
      </c>
      <c r="O22" s="81">
        <f>IF(OR(Scale!$U13="",Scale!$U13=0),"",IFERROR(VLOOKUP(Scale!$U13,AcctTbl,3,0),""))</f>
        <v/>
      </c>
      <c r="P22" s="82">
        <f>IF(Scale!$U13&lt;&gt;"X011","","BN02")</f>
        <v/>
      </c>
    </row>
    <row r="23" ht="20.25" customHeight="1">
      <c r="A23" s="80">
        <f>IF(OR(Scale!$X13="",Scale!$X13=0),"",Scale!$B13)</f>
        <v/>
      </c>
      <c r="B23" s="80">
        <f>IF(OR(Scale!$X13="",Scale!$X13=0),"",Scale!$D13)</f>
        <v/>
      </c>
      <c r="C23" s="80">
        <f>IF(OR(Scale!$X13="",Scale!$X13=0),"","باسکول")</f>
        <v/>
      </c>
      <c r="D23" s="80">
        <f>IF(OR(Scale!$X13="",Scale!$X13=0),"",Scale!$X13)</f>
        <v/>
      </c>
      <c r="E23" s="81">
        <f>IF(OR(Scale!$X13="",Scale!$X13=0),"",IF(Scale!$X13="","","مقابل: "&amp;Scale!$E13))</f>
        <v/>
      </c>
      <c r="F23" s="83" t="n"/>
      <c r="G23" s="83" t="n"/>
      <c r="H23" s="83" t="n"/>
      <c r="I23" s="83" t="n"/>
      <c r="J23" s="83" t="n"/>
      <c r="K23" s="82">
        <f>IF(OR(Scale!$X13="",Scale!$X13=0),"",IF(Scale!$Y13="",0,Scale!$Y13)+IF(Scale!$Z13="",0,Scale!$Z13))</f>
        <v/>
      </c>
      <c r="L23" s="82">
        <f>IF(OR(Scale!$X13="",Scale!$X13=0),"",Scale!$Y13)</f>
        <v/>
      </c>
      <c r="M23" s="82">
        <f>IF(OR(Scale!$X13="",Scale!$X13=0),"",Scale!$Z13)</f>
        <v/>
      </c>
      <c r="N23" s="81">
        <f>IF(OR(Scale!$X13="",Scale!$X13=0),"","مقابل")</f>
        <v/>
      </c>
      <c r="O23" s="81">
        <f>IF(OR(Scale!$X13="",Scale!$X13=0),"",IFERROR(VLOOKUP(Scale!$X13,AcctTbl,3,0),""))</f>
        <v/>
      </c>
      <c r="P23" s="82">
        <f>IF(Scale!$X13&lt;&gt;"X011","","BN02")</f>
        <v/>
      </c>
    </row>
    <row r="24" ht="20.25" customHeight="1">
      <c r="A24" s="80">
        <f>IF(OR(Scale!$AA13="",Scale!$AA13=0),"",Scale!$B13)</f>
        <v/>
      </c>
      <c r="B24" s="80">
        <f>IF(OR(Scale!$AA13="",Scale!$AA13=0),"",Scale!$D13)</f>
        <v/>
      </c>
      <c r="C24" s="80">
        <f>IF(OR(Scale!$AA13="",Scale!$AA13=0),"","باسکول")</f>
        <v/>
      </c>
      <c r="D24" s="80">
        <f>IF(OR(Scale!$AA13="",Scale!$AA13=0),"",Scale!$AA13)</f>
        <v/>
      </c>
      <c r="E24" s="81">
        <f>IF(OR(Scale!$AA13="",Scale!$AA13=0),"",IF(Scale!$AA13="","","پوز باسکول — "&amp;Scale!$E13))</f>
        <v/>
      </c>
      <c r="F24" s="83" t="n"/>
      <c r="G24" s="83" t="n"/>
      <c r="H24" s="83" t="n"/>
      <c r="I24" s="83" t="n"/>
      <c r="J24" s="83" t="n"/>
      <c r="K24" s="82">
        <f>IF(OR(Scale!$AA13="",Scale!$AA13=0),"",IF(Scale!$AB13="",0,Scale!$AB13)+IF(Scale!$AC13="",0,Scale!$AC13))</f>
        <v/>
      </c>
      <c r="L24" s="82">
        <f>IF(OR(Scale!$AA13="",Scale!$AA13=0),"",Scale!$AB13)</f>
        <v/>
      </c>
      <c r="M24" s="82">
        <f>IF(OR(Scale!$AA13="",Scale!$AA13=0),"",Scale!$AC13)</f>
        <v/>
      </c>
      <c r="N24" s="81">
        <f>IF(OR(Scale!$AA13="",Scale!$AA13=0),"","پوز")</f>
        <v/>
      </c>
      <c r="O24" s="81">
        <f>IF(OR(Scale!$AA13="",Scale!$AA13=0),"",IFERROR(VLOOKUP(Scale!$AA13,AcctTbl,3,0),""))</f>
        <v/>
      </c>
      <c r="P24" s="82">
        <f>IF(Scale!$AA13&lt;&gt;"X011","","BN02")</f>
        <v/>
      </c>
    </row>
    <row r="25" ht="20.25" customHeight="1">
      <c r="A25" s="80">
        <f>IF(OR(Scale!$AD13="",Scale!$AD13=0),"",Scale!$B13)</f>
        <v/>
      </c>
      <c r="B25" s="80">
        <f>IF(OR(Scale!$AD13="",Scale!$AD13=0),"",Scale!$D13)</f>
        <v/>
      </c>
      <c r="C25" s="80">
        <f>IF(OR(Scale!$AD13="",Scale!$AD13=0),"","باسکول")</f>
        <v/>
      </c>
      <c r="D25" s="80">
        <f>IF(OR(Scale!$AD13="",Scale!$AD13=0),"",Scale!$AD13)</f>
        <v/>
      </c>
      <c r="E25" s="81">
        <f>IF(OR(Scale!$AD13="",Scale!$AD13=0),"",IF(Scale!$AD13="","","مقابل پوز — "&amp;Scale!$E13))</f>
        <v/>
      </c>
      <c r="F25" s="83" t="n"/>
      <c r="G25" s="83" t="n"/>
      <c r="H25" s="83" t="n"/>
      <c r="I25" s="83" t="n"/>
      <c r="J25" s="83" t="n"/>
      <c r="K25" s="82">
        <f>IF(OR(Scale!$AD13="",Scale!$AD13=0),"",IF(Scale!$AE13="",0,Scale!$AE13)+IF(Scale!$AF13="",0,Scale!$AF13))</f>
        <v/>
      </c>
      <c r="L25" s="82">
        <f>IF(OR(Scale!$AD13="",Scale!$AD13=0),"",Scale!$AE13)</f>
        <v/>
      </c>
      <c r="M25" s="82">
        <f>IF(OR(Scale!$AD13="",Scale!$AD13=0),"",Scale!$AF13)</f>
        <v/>
      </c>
      <c r="N25" s="81">
        <f>IF(OR(Scale!$AD13="",Scale!$AD13=0),"","مقابل پوز")</f>
        <v/>
      </c>
      <c r="O25" s="81">
        <f>IF(OR(Scale!$AD13="",Scale!$AD13=0),"",IFERROR(VLOOKUP(Scale!$AD13,AcctTbl,3,0),""))</f>
        <v/>
      </c>
      <c r="P25" s="82">
        <f>IF(Scale!$AD13&lt;&gt;"X011","","BN02")</f>
        <v/>
      </c>
    </row>
    <row r="26" ht="20.25" customHeight="1">
      <c r="A26" s="80">
        <f>IF(OR(Scale!$U14="",Scale!$U14=0),"",Scale!$B14)</f>
        <v/>
      </c>
      <c r="B26" s="80">
        <f>IF(OR(Scale!$U14="",Scale!$U14=0),"",Scale!$D14)</f>
        <v/>
      </c>
      <c r="C26" s="80">
        <f>IF(OR(Scale!$U14="",Scale!$U14=0),"","باسکول")</f>
        <v/>
      </c>
      <c r="D26" s="80">
        <f>IF(OR(Scale!$U14="",Scale!$U14=0),"",Scale!$U14)</f>
        <v/>
      </c>
      <c r="E26" s="81">
        <f>IF(OR(Scale!$U14="",Scale!$U14=0),"",Scale!$T14)</f>
        <v/>
      </c>
      <c r="F26" s="81">
        <f>IF(OR(Scale!$U14="",Scale!$U14=0),"",Scale!$J14)</f>
        <v/>
      </c>
      <c r="G26" s="82">
        <f>IF(OR(Scale!$U14="",Scale!$U14=0),"",Scale!$M14)</f>
        <v/>
      </c>
      <c r="H26" s="82">
        <f>IF(OR(Scale!$U14="",Scale!$U14=0),"",Scale!$L14)</f>
        <v/>
      </c>
      <c r="I26" s="82">
        <f>IF(OR(Scale!$U14="",Scale!$U14=0),"",Scale!$N14)</f>
        <v/>
      </c>
      <c r="J26" s="82">
        <f>IF(OR(Scale!$U14="",Scale!$U14=0),"",Scale!$O14)</f>
        <v/>
      </c>
      <c r="K26" s="82">
        <f>IF(OR(Scale!$U14="",Scale!$U14=0),"",IF(Scale!$V14="",0,Scale!$V14)+IF(Scale!$W14="",0,Scale!$W14))</f>
        <v/>
      </c>
      <c r="L26" s="82">
        <f>IF(OR(Scale!$U14="",Scale!$U14=0),"",Scale!$V14)</f>
        <v/>
      </c>
      <c r="M26" s="82">
        <f>IF(OR(Scale!$U14="",Scale!$U14=0),"",Scale!$W14)</f>
        <v/>
      </c>
      <c r="N26" s="81">
        <f>IF(OR(Scale!$U14="",Scale!$U14=0),"",Scale!$E14)</f>
        <v/>
      </c>
      <c r="O26" s="81">
        <f>IF(OR(Scale!$U14="",Scale!$U14=0),"",IFERROR(VLOOKUP(Scale!$U14,AcctTbl,3,0),""))</f>
        <v/>
      </c>
      <c r="P26" s="82">
        <f>IF(Scale!$U14&lt;&gt;"X011","","BN02")</f>
        <v/>
      </c>
    </row>
    <row r="27" ht="20.25" customHeight="1">
      <c r="A27" s="80">
        <f>IF(OR(Scale!$X14="",Scale!$X14=0),"",Scale!$B14)</f>
        <v/>
      </c>
      <c r="B27" s="80">
        <f>IF(OR(Scale!$X14="",Scale!$X14=0),"",Scale!$D14)</f>
        <v/>
      </c>
      <c r="C27" s="80">
        <f>IF(OR(Scale!$X14="",Scale!$X14=0),"","باسکول")</f>
        <v/>
      </c>
      <c r="D27" s="80">
        <f>IF(OR(Scale!$X14="",Scale!$X14=0),"",Scale!$X14)</f>
        <v/>
      </c>
      <c r="E27" s="81">
        <f>IF(OR(Scale!$X14="",Scale!$X14=0),"",IF(Scale!$X14="","","مقابل: "&amp;Scale!$E14))</f>
        <v/>
      </c>
      <c r="F27" s="83" t="n"/>
      <c r="G27" s="83" t="n"/>
      <c r="H27" s="83" t="n"/>
      <c r="I27" s="83" t="n"/>
      <c r="J27" s="83" t="n"/>
      <c r="K27" s="82">
        <f>IF(OR(Scale!$X14="",Scale!$X14=0),"",IF(Scale!$Y14="",0,Scale!$Y14)+IF(Scale!$Z14="",0,Scale!$Z14))</f>
        <v/>
      </c>
      <c r="L27" s="82">
        <f>IF(OR(Scale!$X14="",Scale!$X14=0),"",Scale!$Y14)</f>
        <v/>
      </c>
      <c r="M27" s="82">
        <f>IF(OR(Scale!$X14="",Scale!$X14=0),"",Scale!$Z14)</f>
        <v/>
      </c>
      <c r="N27" s="81">
        <f>IF(OR(Scale!$X14="",Scale!$X14=0),"","مقابل")</f>
        <v/>
      </c>
      <c r="O27" s="81">
        <f>IF(OR(Scale!$X14="",Scale!$X14=0),"",IFERROR(VLOOKUP(Scale!$X14,AcctTbl,3,0),""))</f>
        <v/>
      </c>
      <c r="P27" s="82">
        <f>IF(Scale!$X14&lt;&gt;"X011","","BN02")</f>
        <v/>
      </c>
    </row>
    <row r="28" ht="20.25" customHeight="1">
      <c r="A28" s="80">
        <f>IF(OR(Scale!$AA14="",Scale!$AA14=0),"",Scale!$B14)</f>
        <v/>
      </c>
      <c r="B28" s="80">
        <f>IF(OR(Scale!$AA14="",Scale!$AA14=0),"",Scale!$D14)</f>
        <v/>
      </c>
      <c r="C28" s="80">
        <f>IF(OR(Scale!$AA14="",Scale!$AA14=0),"","باسکول")</f>
        <v/>
      </c>
      <c r="D28" s="80">
        <f>IF(OR(Scale!$AA14="",Scale!$AA14=0),"",Scale!$AA14)</f>
        <v/>
      </c>
      <c r="E28" s="81">
        <f>IF(OR(Scale!$AA14="",Scale!$AA14=0),"",IF(Scale!$AA14="","","پوز باسکول — "&amp;Scale!$E14))</f>
        <v/>
      </c>
      <c r="F28" s="83" t="n"/>
      <c r="G28" s="83" t="n"/>
      <c r="H28" s="83" t="n"/>
      <c r="I28" s="83" t="n"/>
      <c r="J28" s="83" t="n"/>
      <c r="K28" s="82">
        <f>IF(OR(Scale!$AA14="",Scale!$AA14=0),"",IF(Scale!$AB14="",0,Scale!$AB14)+IF(Scale!$AC14="",0,Scale!$AC14))</f>
        <v/>
      </c>
      <c r="L28" s="82">
        <f>IF(OR(Scale!$AA14="",Scale!$AA14=0),"",Scale!$AB14)</f>
        <v/>
      </c>
      <c r="M28" s="82">
        <f>IF(OR(Scale!$AA14="",Scale!$AA14=0),"",Scale!$AC14)</f>
        <v/>
      </c>
      <c r="N28" s="81">
        <f>IF(OR(Scale!$AA14="",Scale!$AA14=0),"","پوز")</f>
        <v/>
      </c>
      <c r="O28" s="81">
        <f>IF(OR(Scale!$AA14="",Scale!$AA14=0),"",IFERROR(VLOOKUP(Scale!$AA14,AcctTbl,3,0),""))</f>
        <v/>
      </c>
      <c r="P28" s="82">
        <f>IF(Scale!$AA14&lt;&gt;"X011","","BN02")</f>
        <v/>
      </c>
    </row>
    <row r="29" ht="20.25" customHeight="1">
      <c r="A29" s="80">
        <f>IF(OR(Scale!$AD14="",Scale!$AD14=0),"",Scale!$B14)</f>
        <v/>
      </c>
      <c r="B29" s="80">
        <f>IF(OR(Scale!$AD14="",Scale!$AD14=0),"",Scale!$D14)</f>
        <v/>
      </c>
      <c r="C29" s="80">
        <f>IF(OR(Scale!$AD14="",Scale!$AD14=0),"","باسکول")</f>
        <v/>
      </c>
      <c r="D29" s="80">
        <f>IF(OR(Scale!$AD14="",Scale!$AD14=0),"",Scale!$AD14)</f>
        <v/>
      </c>
      <c r="E29" s="81">
        <f>IF(OR(Scale!$AD14="",Scale!$AD14=0),"",IF(Scale!$AD14="","","مقابل پوز — "&amp;Scale!$E14))</f>
        <v/>
      </c>
      <c r="F29" s="83" t="n"/>
      <c r="G29" s="83" t="n"/>
      <c r="H29" s="83" t="n"/>
      <c r="I29" s="83" t="n"/>
      <c r="J29" s="83" t="n"/>
      <c r="K29" s="82">
        <f>IF(OR(Scale!$AD14="",Scale!$AD14=0),"",IF(Scale!$AE14="",0,Scale!$AE14)+IF(Scale!$AF14="",0,Scale!$AF14))</f>
        <v/>
      </c>
      <c r="L29" s="82">
        <f>IF(OR(Scale!$AD14="",Scale!$AD14=0),"",Scale!$AE14)</f>
        <v/>
      </c>
      <c r="M29" s="82">
        <f>IF(OR(Scale!$AD14="",Scale!$AD14=0),"",Scale!$AF14)</f>
        <v/>
      </c>
      <c r="N29" s="81">
        <f>IF(OR(Scale!$AD14="",Scale!$AD14=0),"","مقابل پوز")</f>
        <v/>
      </c>
      <c r="O29" s="81">
        <f>IF(OR(Scale!$AD14="",Scale!$AD14=0),"",IFERROR(VLOOKUP(Scale!$AD14,AcctTbl,3,0),""))</f>
        <v/>
      </c>
      <c r="P29" s="82">
        <f>IF(Scale!$AD14&lt;&gt;"X011","","BN02")</f>
        <v/>
      </c>
    </row>
    <row r="30" ht="20.25" customHeight="1">
      <c r="A30" s="80">
        <f>IF(OR(Scale!$U15="",Scale!$U15=0),"",Scale!$B15)</f>
        <v/>
      </c>
      <c r="B30" s="80">
        <f>IF(OR(Scale!$U15="",Scale!$U15=0),"",Scale!$D15)</f>
        <v/>
      </c>
      <c r="C30" s="80">
        <f>IF(OR(Scale!$U15="",Scale!$U15=0),"","باسکول")</f>
        <v/>
      </c>
      <c r="D30" s="80">
        <f>IF(OR(Scale!$U15="",Scale!$U15=0),"",Scale!$U15)</f>
        <v/>
      </c>
      <c r="E30" s="81">
        <f>IF(OR(Scale!$U15="",Scale!$U15=0),"",Scale!$T15)</f>
        <v/>
      </c>
      <c r="F30" s="81">
        <f>IF(OR(Scale!$U15="",Scale!$U15=0),"",Scale!$J15)</f>
        <v/>
      </c>
      <c r="G30" s="82">
        <f>IF(OR(Scale!$U15="",Scale!$U15=0),"",Scale!$M15)</f>
        <v/>
      </c>
      <c r="H30" s="82">
        <f>IF(OR(Scale!$U15="",Scale!$U15=0),"",Scale!$L15)</f>
        <v/>
      </c>
      <c r="I30" s="82">
        <f>IF(OR(Scale!$U15="",Scale!$U15=0),"",Scale!$N15)</f>
        <v/>
      </c>
      <c r="J30" s="82">
        <f>IF(OR(Scale!$U15="",Scale!$U15=0),"",Scale!$O15)</f>
        <v/>
      </c>
      <c r="K30" s="82">
        <f>IF(OR(Scale!$U15="",Scale!$U15=0),"",IF(Scale!$V15="",0,Scale!$V15)+IF(Scale!$W15="",0,Scale!$W15))</f>
        <v/>
      </c>
      <c r="L30" s="82">
        <f>IF(OR(Scale!$U15="",Scale!$U15=0),"",Scale!$V15)</f>
        <v/>
      </c>
      <c r="M30" s="82">
        <f>IF(OR(Scale!$U15="",Scale!$U15=0),"",Scale!$W15)</f>
        <v/>
      </c>
      <c r="N30" s="81">
        <f>IF(OR(Scale!$U15="",Scale!$U15=0),"",Scale!$E15)</f>
        <v/>
      </c>
      <c r="O30" s="81">
        <f>IF(OR(Scale!$U15="",Scale!$U15=0),"",IFERROR(VLOOKUP(Scale!$U15,AcctTbl,3,0),""))</f>
        <v/>
      </c>
      <c r="P30" s="82">
        <f>IF(Scale!$U15&lt;&gt;"X011","","BN02")</f>
        <v/>
      </c>
    </row>
    <row r="31" ht="20.25" customHeight="1">
      <c r="A31" s="80">
        <f>IF(OR(Scale!$X15="",Scale!$X15=0),"",Scale!$B15)</f>
        <v/>
      </c>
      <c r="B31" s="80">
        <f>IF(OR(Scale!$X15="",Scale!$X15=0),"",Scale!$D15)</f>
        <v/>
      </c>
      <c r="C31" s="80">
        <f>IF(OR(Scale!$X15="",Scale!$X15=0),"","باسکول")</f>
        <v/>
      </c>
      <c r="D31" s="80">
        <f>IF(OR(Scale!$X15="",Scale!$X15=0),"",Scale!$X15)</f>
        <v/>
      </c>
      <c r="E31" s="81">
        <f>IF(OR(Scale!$X15="",Scale!$X15=0),"",IF(Scale!$X15="","","مقابل: "&amp;Scale!$E15))</f>
        <v/>
      </c>
      <c r="F31" s="83" t="n"/>
      <c r="G31" s="83" t="n"/>
      <c r="H31" s="83" t="n"/>
      <c r="I31" s="83" t="n"/>
      <c r="J31" s="83" t="n"/>
      <c r="K31" s="82">
        <f>IF(OR(Scale!$X15="",Scale!$X15=0),"",IF(Scale!$Y15="",0,Scale!$Y15)+IF(Scale!$Z15="",0,Scale!$Z15))</f>
        <v/>
      </c>
      <c r="L31" s="82">
        <f>IF(OR(Scale!$X15="",Scale!$X15=0),"",Scale!$Y15)</f>
        <v/>
      </c>
      <c r="M31" s="82">
        <f>IF(OR(Scale!$X15="",Scale!$X15=0),"",Scale!$Z15)</f>
        <v/>
      </c>
      <c r="N31" s="81">
        <f>IF(OR(Scale!$X15="",Scale!$X15=0),"","مقابل")</f>
        <v/>
      </c>
      <c r="O31" s="81">
        <f>IF(OR(Scale!$X15="",Scale!$X15=0),"",IFERROR(VLOOKUP(Scale!$X15,AcctTbl,3,0),""))</f>
        <v/>
      </c>
      <c r="P31" s="82">
        <f>IF(Scale!$X15&lt;&gt;"X011","","BN02")</f>
        <v/>
      </c>
    </row>
    <row r="32" ht="20.25" customHeight="1">
      <c r="A32" s="80">
        <f>IF(OR(Scale!$AA15="",Scale!$AA15=0),"",Scale!$B15)</f>
        <v/>
      </c>
      <c r="B32" s="80">
        <f>IF(OR(Scale!$AA15="",Scale!$AA15=0),"",Scale!$D15)</f>
        <v/>
      </c>
      <c r="C32" s="80">
        <f>IF(OR(Scale!$AA15="",Scale!$AA15=0),"","باسکول")</f>
        <v/>
      </c>
      <c r="D32" s="80">
        <f>IF(OR(Scale!$AA15="",Scale!$AA15=0),"",Scale!$AA15)</f>
        <v/>
      </c>
      <c r="E32" s="81">
        <f>IF(OR(Scale!$AA15="",Scale!$AA15=0),"",IF(Scale!$AA15="","","پوز باسکول — "&amp;Scale!$E15))</f>
        <v/>
      </c>
      <c r="F32" s="83" t="n"/>
      <c r="G32" s="83" t="n"/>
      <c r="H32" s="83" t="n"/>
      <c r="I32" s="83" t="n"/>
      <c r="J32" s="83" t="n"/>
      <c r="K32" s="82">
        <f>IF(OR(Scale!$AA15="",Scale!$AA15=0),"",IF(Scale!$AB15="",0,Scale!$AB15)+IF(Scale!$AC15="",0,Scale!$AC15))</f>
        <v/>
      </c>
      <c r="L32" s="82">
        <f>IF(OR(Scale!$AA15="",Scale!$AA15=0),"",Scale!$AB15)</f>
        <v/>
      </c>
      <c r="M32" s="82">
        <f>IF(OR(Scale!$AA15="",Scale!$AA15=0),"",Scale!$AC15)</f>
        <v/>
      </c>
      <c r="N32" s="81">
        <f>IF(OR(Scale!$AA15="",Scale!$AA15=0),"","پوز")</f>
        <v/>
      </c>
      <c r="O32" s="81">
        <f>IF(OR(Scale!$AA15="",Scale!$AA15=0),"",IFERROR(VLOOKUP(Scale!$AA15,AcctTbl,3,0),""))</f>
        <v/>
      </c>
      <c r="P32" s="82">
        <f>IF(Scale!$AA15&lt;&gt;"X011","","BN02")</f>
        <v/>
      </c>
    </row>
    <row r="33" ht="20.25" customHeight="1">
      <c r="A33" s="80">
        <f>IF(OR(Scale!$AD15="",Scale!$AD15=0),"",Scale!$B15)</f>
        <v/>
      </c>
      <c r="B33" s="80">
        <f>IF(OR(Scale!$AD15="",Scale!$AD15=0),"",Scale!$D15)</f>
        <v/>
      </c>
      <c r="C33" s="80">
        <f>IF(OR(Scale!$AD15="",Scale!$AD15=0),"","باسکول")</f>
        <v/>
      </c>
      <c r="D33" s="80">
        <f>IF(OR(Scale!$AD15="",Scale!$AD15=0),"",Scale!$AD15)</f>
        <v/>
      </c>
      <c r="E33" s="81">
        <f>IF(OR(Scale!$AD15="",Scale!$AD15=0),"",IF(Scale!$AD15="","","مقابل پوز — "&amp;Scale!$E15))</f>
        <v/>
      </c>
      <c r="F33" s="83" t="n"/>
      <c r="G33" s="83" t="n"/>
      <c r="H33" s="83" t="n"/>
      <c r="I33" s="83" t="n"/>
      <c r="J33" s="83" t="n"/>
      <c r="K33" s="82">
        <f>IF(OR(Scale!$AD15="",Scale!$AD15=0),"",IF(Scale!$AE15="",0,Scale!$AE15)+IF(Scale!$AF15="",0,Scale!$AF15))</f>
        <v/>
      </c>
      <c r="L33" s="82">
        <f>IF(OR(Scale!$AD15="",Scale!$AD15=0),"",Scale!$AE15)</f>
        <v/>
      </c>
      <c r="M33" s="82">
        <f>IF(OR(Scale!$AD15="",Scale!$AD15=0),"",Scale!$AF15)</f>
        <v/>
      </c>
      <c r="N33" s="81">
        <f>IF(OR(Scale!$AD15="",Scale!$AD15=0),"","مقابل پوز")</f>
        <v/>
      </c>
      <c r="O33" s="81">
        <f>IF(OR(Scale!$AD15="",Scale!$AD15=0),"",IFERROR(VLOOKUP(Scale!$AD15,AcctTbl,3,0),""))</f>
        <v/>
      </c>
      <c r="P33" s="82">
        <f>IF(Scale!$AD15&lt;&gt;"X011","","BN02")</f>
        <v/>
      </c>
    </row>
    <row r="34" ht="20.25" customHeight="1">
      <c r="A34" s="80">
        <f>IF(OR(Scale!$U16="",Scale!$U16=0),"",Scale!$B16)</f>
        <v/>
      </c>
      <c r="B34" s="80">
        <f>IF(OR(Scale!$U16="",Scale!$U16=0),"",Scale!$D16)</f>
        <v/>
      </c>
      <c r="C34" s="80">
        <f>IF(OR(Scale!$U16="",Scale!$U16=0),"","باسکول")</f>
        <v/>
      </c>
      <c r="D34" s="80">
        <f>IF(OR(Scale!$U16="",Scale!$U16=0),"",Scale!$U16)</f>
        <v/>
      </c>
      <c r="E34" s="81">
        <f>IF(OR(Scale!$U16="",Scale!$U16=0),"",Scale!$T16)</f>
        <v/>
      </c>
      <c r="F34" s="81">
        <f>IF(OR(Scale!$U16="",Scale!$U16=0),"",Scale!$J16)</f>
        <v/>
      </c>
      <c r="G34" s="82">
        <f>IF(OR(Scale!$U16="",Scale!$U16=0),"",Scale!$M16)</f>
        <v/>
      </c>
      <c r="H34" s="82">
        <f>IF(OR(Scale!$U16="",Scale!$U16=0),"",Scale!$L16)</f>
        <v/>
      </c>
      <c r="I34" s="82">
        <f>IF(OR(Scale!$U16="",Scale!$U16=0),"",Scale!$N16)</f>
        <v/>
      </c>
      <c r="J34" s="82">
        <f>IF(OR(Scale!$U16="",Scale!$U16=0),"",Scale!$O16)</f>
        <v/>
      </c>
      <c r="K34" s="82">
        <f>IF(OR(Scale!$U16="",Scale!$U16=0),"",IF(Scale!$V16="",0,Scale!$V16)+IF(Scale!$W16="",0,Scale!$W16))</f>
        <v/>
      </c>
      <c r="L34" s="82">
        <f>IF(OR(Scale!$U16="",Scale!$U16=0),"",Scale!$V16)</f>
        <v/>
      </c>
      <c r="M34" s="82">
        <f>IF(OR(Scale!$U16="",Scale!$U16=0),"",Scale!$W16)</f>
        <v/>
      </c>
      <c r="N34" s="81">
        <f>IF(OR(Scale!$U16="",Scale!$U16=0),"",Scale!$E16)</f>
        <v/>
      </c>
      <c r="O34" s="81">
        <f>IF(OR(Scale!$U16="",Scale!$U16=0),"",IFERROR(VLOOKUP(Scale!$U16,AcctTbl,3,0),""))</f>
        <v/>
      </c>
      <c r="P34" s="82">
        <f>IF(Scale!$U16&lt;&gt;"X011","","BN02")</f>
        <v/>
      </c>
    </row>
    <row r="35" ht="20.25" customHeight="1">
      <c r="A35" s="80">
        <f>IF(OR(Scale!$X16="",Scale!$X16=0),"",Scale!$B16)</f>
        <v/>
      </c>
      <c r="B35" s="80">
        <f>IF(OR(Scale!$X16="",Scale!$X16=0),"",Scale!$D16)</f>
        <v/>
      </c>
      <c r="C35" s="80">
        <f>IF(OR(Scale!$X16="",Scale!$X16=0),"","باسکول")</f>
        <v/>
      </c>
      <c r="D35" s="80">
        <f>IF(OR(Scale!$X16="",Scale!$X16=0),"",Scale!$X16)</f>
        <v/>
      </c>
      <c r="E35" s="81">
        <f>IF(OR(Scale!$X16="",Scale!$X16=0),"",IF(Scale!$X16="","","مقابل: "&amp;Scale!$E16))</f>
        <v/>
      </c>
      <c r="F35" s="83" t="n"/>
      <c r="G35" s="83" t="n"/>
      <c r="H35" s="83" t="n"/>
      <c r="I35" s="83" t="n"/>
      <c r="J35" s="83" t="n"/>
      <c r="K35" s="82">
        <f>IF(OR(Scale!$X16="",Scale!$X16=0),"",IF(Scale!$Y16="",0,Scale!$Y16)+IF(Scale!$Z16="",0,Scale!$Z16))</f>
        <v/>
      </c>
      <c r="L35" s="82">
        <f>IF(OR(Scale!$X16="",Scale!$X16=0),"",Scale!$Y16)</f>
        <v/>
      </c>
      <c r="M35" s="82">
        <f>IF(OR(Scale!$X16="",Scale!$X16=0),"",Scale!$Z16)</f>
        <v/>
      </c>
      <c r="N35" s="81">
        <f>IF(OR(Scale!$X16="",Scale!$X16=0),"","مقابل")</f>
        <v/>
      </c>
      <c r="O35" s="81">
        <f>IF(OR(Scale!$X16="",Scale!$X16=0),"",IFERROR(VLOOKUP(Scale!$X16,AcctTbl,3,0),""))</f>
        <v/>
      </c>
      <c r="P35" s="82">
        <f>IF(Scale!$X16&lt;&gt;"X011","","BN02")</f>
        <v/>
      </c>
    </row>
    <row r="36" ht="20.25" customHeight="1">
      <c r="A36" s="80">
        <f>IF(OR(Scale!$AA16="",Scale!$AA16=0),"",Scale!$B16)</f>
        <v/>
      </c>
      <c r="B36" s="80">
        <f>IF(OR(Scale!$AA16="",Scale!$AA16=0),"",Scale!$D16)</f>
        <v/>
      </c>
      <c r="C36" s="80">
        <f>IF(OR(Scale!$AA16="",Scale!$AA16=0),"","باسکول")</f>
        <v/>
      </c>
      <c r="D36" s="80">
        <f>IF(OR(Scale!$AA16="",Scale!$AA16=0),"",Scale!$AA16)</f>
        <v/>
      </c>
      <c r="E36" s="81">
        <f>IF(OR(Scale!$AA16="",Scale!$AA16=0),"",IF(Scale!$AA16="","","پوز باسکول — "&amp;Scale!$E16))</f>
        <v/>
      </c>
      <c r="F36" s="83" t="n"/>
      <c r="G36" s="83" t="n"/>
      <c r="H36" s="83" t="n"/>
      <c r="I36" s="83" t="n"/>
      <c r="J36" s="83" t="n"/>
      <c r="K36" s="82">
        <f>IF(OR(Scale!$AA16="",Scale!$AA16=0),"",IF(Scale!$AB16="",0,Scale!$AB16)+IF(Scale!$AC16="",0,Scale!$AC16))</f>
        <v/>
      </c>
      <c r="L36" s="82">
        <f>IF(OR(Scale!$AA16="",Scale!$AA16=0),"",Scale!$AB16)</f>
        <v/>
      </c>
      <c r="M36" s="82">
        <f>IF(OR(Scale!$AA16="",Scale!$AA16=0),"",Scale!$AC16)</f>
        <v/>
      </c>
      <c r="N36" s="81">
        <f>IF(OR(Scale!$AA16="",Scale!$AA16=0),"","پوز")</f>
        <v/>
      </c>
      <c r="O36" s="81">
        <f>IF(OR(Scale!$AA16="",Scale!$AA16=0),"",IFERROR(VLOOKUP(Scale!$AA16,AcctTbl,3,0),""))</f>
        <v/>
      </c>
      <c r="P36" s="82">
        <f>IF(Scale!$AA16&lt;&gt;"X011","","BN02")</f>
        <v/>
      </c>
    </row>
    <row r="37" ht="20.25" customHeight="1">
      <c r="A37" s="80">
        <f>IF(OR(Scale!$AD16="",Scale!$AD16=0),"",Scale!$B16)</f>
        <v/>
      </c>
      <c r="B37" s="80">
        <f>IF(OR(Scale!$AD16="",Scale!$AD16=0),"",Scale!$D16)</f>
        <v/>
      </c>
      <c r="C37" s="80">
        <f>IF(OR(Scale!$AD16="",Scale!$AD16=0),"","باسکول")</f>
        <v/>
      </c>
      <c r="D37" s="80">
        <f>IF(OR(Scale!$AD16="",Scale!$AD16=0),"",Scale!$AD16)</f>
        <v/>
      </c>
      <c r="E37" s="81">
        <f>IF(OR(Scale!$AD16="",Scale!$AD16=0),"",IF(Scale!$AD16="","","مقابل پوز — "&amp;Scale!$E16))</f>
        <v/>
      </c>
      <c r="F37" s="83" t="n"/>
      <c r="G37" s="83" t="n"/>
      <c r="H37" s="83" t="n"/>
      <c r="I37" s="83" t="n"/>
      <c r="J37" s="83" t="n"/>
      <c r="K37" s="82">
        <f>IF(OR(Scale!$AD16="",Scale!$AD16=0),"",IF(Scale!$AE16="",0,Scale!$AE16)+IF(Scale!$AF16="",0,Scale!$AF16))</f>
        <v/>
      </c>
      <c r="L37" s="82">
        <f>IF(OR(Scale!$AD16="",Scale!$AD16=0),"",Scale!$AE16)</f>
        <v/>
      </c>
      <c r="M37" s="82">
        <f>IF(OR(Scale!$AD16="",Scale!$AD16=0),"",Scale!$AF16)</f>
        <v/>
      </c>
      <c r="N37" s="81">
        <f>IF(OR(Scale!$AD16="",Scale!$AD16=0),"","مقابل پوز")</f>
        <v/>
      </c>
      <c r="O37" s="81">
        <f>IF(OR(Scale!$AD16="",Scale!$AD16=0),"",IFERROR(VLOOKUP(Scale!$AD16,AcctTbl,3,0),""))</f>
        <v/>
      </c>
      <c r="P37" s="82">
        <f>IF(Scale!$AD16&lt;&gt;"X011","","BN02")</f>
        <v/>
      </c>
    </row>
    <row r="38" ht="20.25" customHeight="1">
      <c r="A38" s="80">
        <f>IF(OR(Scale!$U17="",Scale!$U17=0),"",Scale!$B17)</f>
        <v/>
      </c>
      <c r="B38" s="80">
        <f>IF(OR(Scale!$U17="",Scale!$U17=0),"",Scale!$D17)</f>
        <v/>
      </c>
      <c r="C38" s="80">
        <f>IF(OR(Scale!$U17="",Scale!$U17=0),"","باسکول")</f>
        <v/>
      </c>
      <c r="D38" s="80">
        <f>IF(OR(Scale!$U17="",Scale!$U17=0),"",Scale!$U17)</f>
        <v/>
      </c>
      <c r="E38" s="81">
        <f>IF(OR(Scale!$U17="",Scale!$U17=0),"",Scale!$T17)</f>
        <v/>
      </c>
      <c r="F38" s="81">
        <f>IF(OR(Scale!$U17="",Scale!$U17=0),"",Scale!$J17)</f>
        <v/>
      </c>
      <c r="G38" s="82">
        <f>IF(OR(Scale!$U17="",Scale!$U17=0),"",Scale!$M17)</f>
        <v/>
      </c>
      <c r="H38" s="82">
        <f>IF(OR(Scale!$U17="",Scale!$U17=0),"",Scale!$L17)</f>
        <v/>
      </c>
      <c r="I38" s="82">
        <f>IF(OR(Scale!$U17="",Scale!$U17=0),"",Scale!$N17)</f>
        <v/>
      </c>
      <c r="J38" s="82">
        <f>IF(OR(Scale!$U17="",Scale!$U17=0),"",Scale!$O17)</f>
        <v/>
      </c>
      <c r="K38" s="82">
        <f>IF(OR(Scale!$U17="",Scale!$U17=0),"",IF(Scale!$V17="",0,Scale!$V17)+IF(Scale!$W17="",0,Scale!$W17))</f>
        <v/>
      </c>
      <c r="L38" s="82">
        <f>IF(OR(Scale!$U17="",Scale!$U17=0),"",Scale!$V17)</f>
        <v/>
      </c>
      <c r="M38" s="82">
        <f>IF(OR(Scale!$U17="",Scale!$U17=0),"",Scale!$W17)</f>
        <v/>
      </c>
      <c r="N38" s="81">
        <f>IF(OR(Scale!$U17="",Scale!$U17=0),"",Scale!$E17)</f>
        <v/>
      </c>
      <c r="O38" s="81">
        <f>IF(OR(Scale!$U17="",Scale!$U17=0),"",IFERROR(VLOOKUP(Scale!$U17,AcctTbl,3,0),""))</f>
        <v/>
      </c>
      <c r="P38" s="82">
        <f>IF(Scale!$U17&lt;&gt;"X011","","BN02")</f>
        <v/>
      </c>
    </row>
    <row r="39" ht="20.25" customHeight="1">
      <c r="A39" s="80">
        <f>IF(OR(Scale!$X17="",Scale!$X17=0),"",Scale!$B17)</f>
        <v/>
      </c>
      <c r="B39" s="80">
        <f>IF(OR(Scale!$X17="",Scale!$X17=0),"",Scale!$D17)</f>
        <v/>
      </c>
      <c r="C39" s="80">
        <f>IF(OR(Scale!$X17="",Scale!$X17=0),"","باسکول")</f>
        <v/>
      </c>
      <c r="D39" s="80">
        <f>IF(OR(Scale!$X17="",Scale!$X17=0),"",Scale!$X17)</f>
        <v/>
      </c>
      <c r="E39" s="81">
        <f>IF(OR(Scale!$X17="",Scale!$X17=0),"",IF(Scale!$X17="","","مقابل: "&amp;Scale!$E17))</f>
        <v/>
      </c>
      <c r="F39" s="83" t="n"/>
      <c r="G39" s="83" t="n"/>
      <c r="H39" s="83" t="n"/>
      <c r="I39" s="83" t="n"/>
      <c r="J39" s="83" t="n"/>
      <c r="K39" s="82">
        <f>IF(OR(Scale!$X17="",Scale!$X17=0),"",IF(Scale!$Y17="",0,Scale!$Y17)+IF(Scale!$Z17="",0,Scale!$Z17))</f>
        <v/>
      </c>
      <c r="L39" s="82">
        <f>IF(OR(Scale!$X17="",Scale!$X17=0),"",Scale!$Y17)</f>
        <v/>
      </c>
      <c r="M39" s="82">
        <f>IF(OR(Scale!$X17="",Scale!$X17=0),"",Scale!$Z17)</f>
        <v/>
      </c>
      <c r="N39" s="81">
        <f>IF(OR(Scale!$X17="",Scale!$X17=0),"","مقابل")</f>
        <v/>
      </c>
      <c r="O39" s="81">
        <f>IF(OR(Scale!$X17="",Scale!$X17=0),"",IFERROR(VLOOKUP(Scale!$X17,AcctTbl,3,0),""))</f>
        <v/>
      </c>
      <c r="P39" s="82">
        <f>IF(Scale!$X17&lt;&gt;"X011","","BN02")</f>
        <v/>
      </c>
    </row>
    <row r="40" ht="20.25" customHeight="1">
      <c r="A40" s="80">
        <f>IF(OR(Scale!$AA17="",Scale!$AA17=0),"",Scale!$B17)</f>
        <v/>
      </c>
      <c r="B40" s="80">
        <f>IF(OR(Scale!$AA17="",Scale!$AA17=0),"",Scale!$D17)</f>
        <v/>
      </c>
      <c r="C40" s="80">
        <f>IF(OR(Scale!$AA17="",Scale!$AA17=0),"","باسکول")</f>
        <v/>
      </c>
      <c r="D40" s="80">
        <f>IF(OR(Scale!$AA17="",Scale!$AA17=0),"",Scale!$AA17)</f>
        <v/>
      </c>
      <c r="E40" s="81">
        <f>IF(OR(Scale!$AA17="",Scale!$AA17=0),"",IF(Scale!$AA17="","","پوز باسکول — "&amp;Scale!$E17))</f>
        <v/>
      </c>
      <c r="F40" s="83" t="n"/>
      <c r="G40" s="83" t="n"/>
      <c r="H40" s="83" t="n"/>
      <c r="I40" s="83" t="n"/>
      <c r="J40" s="83" t="n"/>
      <c r="K40" s="82">
        <f>IF(OR(Scale!$AA17="",Scale!$AA17=0),"",IF(Scale!$AB17="",0,Scale!$AB17)+IF(Scale!$AC17="",0,Scale!$AC17))</f>
        <v/>
      </c>
      <c r="L40" s="82">
        <f>IF(OR(Scale!$AA17="",Scale!$AA17=0),"",Scale!$AB17)</f>
        <v/>
      </c>
      <c r="M40" s="82">
        <f>IF(OR(Scale!$AA17="",Scale!$AA17=0),"",Scale!$AC17)</f>
        <v/>
      </c>
      <c r="N40" s="81">
        <f>IF(OR(Scale!$AA17="",Scale!$AA17=0),"","پوز")</f>
        <v/>
      </c>
      <c r="O40" s="81">
        <f>IF(OR(Scale!$AA17="",Scale!$AA17=0),"",IFERROR(VLOOKUP(Scale!$AA17,AcctTbl,3,0),""))</f>
        <v/>
      </c>
      <c r="P40" s="82">
        <f>IF(Scale!$AA17&lt;&gt;"X011","","BN02")</f>
        <v/>
      </c>
    </row>
    <row r="41" ht="20.25" customHeight="1">
      <c r="A41" s="80">
        <f>IF(OR(Scale!$AD17="",Scale!$AD17=0),"",Scale!$B17)</f>
        <v/>
      </c>
      <c r="B41" s="80">
        <f>IF(OR(Scale!$AD17="",Scale!$AD17=0),"",Scale!$D17)</f>
        <v/>
      </c>
      <c r="C41" s="80">
        <f>IF(OR(Scale!$AD17="",Scale!$AD17=0),"","باسکول")</f>
        <v/>
      </c>
      <c r="D41" s="80">
        <f>IF(OR(Scale!$AD17="",Scale!$AD17=0),"",Scale!$AD17)</f>
        <v/>
      </c>
      <c r="E41" s="81">
        <f>IF(OR(Scale!$AD17="",Scale!$AD17=0),"",IF(Scale!$AD17="","","مقابل پوز — "&amp;Scale!$E17))</f>
        <v/>
      </c>
      <c r="F41" s="83" t="n"/>
      <c r="G41" s="83" t="n"/>
      <c r="H41" s="83" t="n"/>
      <c r="I41" s="83" t="n"/>
      <c r="J41" s="83" t="n"/>
      <c r="K41" s="82">
        <f>IF(OR(Scale!$AD17="",Scale!$AD17=0),"",IF(Scale!$AE17="",0,Scale!$AE17)+IF(Scale!$AF17="",0,Scale!$AF17))</f>
        <v/>
      </c>
      <c r="L41" s="82">
        <f>IF(OR(Scale!$AD17="",Scale!$AD17=0),"",Scale!$AE17)</f>
        <v/>
      </c>
      <c r="M41" s="82">
        <f>IF(OR(Scale!$AD17="",Scale!$AD17=0),"",Scale!$AF17)</f>
        <v/>
      </c>
      <c r="N41" s="81">
        <f>IF(OR(Scale!$AD17="",Scale!$AD17=0),"","مقابل پوز")</f>
        <v/>
      </c>
      <c r="O41" s="81">
        <f>IF(OR(Scale!$AD17="",Scale!$AD17=0),"",IFERROR(VLOOKUP(Scale!$AD17,AcctTbl,3,0),""))</f>
        <v/>
      </c>
      <c r="P41" s="82">
        <f>IF(Scale!$AD17&lt;&gt;"X011","","BN02")</f>
        <v/>
      </c>
    </row>
    <row r="42" ht="20.25" customHeight="1">
      <c r="A42" s="80">
        <f>IF(OR(Scale!$U18="",Scale!$U18=0),"",Scale!$B18)</f>
        <v/>
      </c>
      <c r="B42" s="80">
        <f>IF(OR(Scale!$U18="",Scale!$U18=0),"",Scale!$D18)</f>
        <v/>
      </c>
      <c r="C42" s="80">
        <f>IF(OR(Scale!$U18="",Scale!$U18=0),"","باسکول")</f>
        <v/>
      </c>
      <c r="D42" s="80">
        <f>IF(OR(Scale!$U18="",Scale!$U18=0),"",Scale!$U18)</f>
        <v/>
      </c>
      <c r="E42" s="81">
        <f>IF(OR(Scale!$U18="",Scale!$U18=0),"",Scale!$T18)</f>
        <v/>
      </c>
      <c r="F42" s="81">
        <f>IF(OR(Scale!$U18="",Scale!$U18=0),"",Scale!$J18)</f>
        <v/>
      </c>
      <c r="G42" s="82">
        <f>IF(OR(Scale!$U18="",Scale!$U18=0),"",Scale!$M18)</f>
        <v/>
      </c>
      <c r="H42" s="82">
        <f>IF(OR(Scale!$U18="",Scale!$U18=0),"",Scale!$L18)</f>
        <v/>
      </c>
      <c r="I42" s="82">
        <f>IF(OR(Scale!$U18="",Scale!$U18=0),"",Scale!$N18)</f>
        <v/>
      </c>
      <c r="J42" s="82">
        <f>IF(OR(Scale!$U18="",Scale!$U18=0),"",Scale!$O18)</f>
        <v/>
      </c>
      <c r="K42" s="82">
        <f>IF(OR(Scale!$U18="",Scale!$U18=0),"",IF(Scale!$V18="",0,Scale!$V18)+IF(Scale!$W18="",0,Scale!$W18))</f>
        <v/>
      </c>
      <c r="L42" s="82">
        <f>IF(OR(Scale!$U18="",Scale!$U18=0),"",Scale!$V18)</f>
        <v/>
      </c>
      <c r="M42" s="82">
        <f>IF(OR(Scale!$U18="",Scale!$U18=0),"",Scale!$W18)</f>
        <v/>
      </c>
      <c r="N42" s="81">
        <f>IF(OR(Scale!$U18="",Scale!$U18=0),"",Scale!$E18)</f>
        <v/>
      </c>
      <c r="O42" s="81">
        <f>IF(OR(Scale!$U18="",Scale!$U18=0),"",IFERROR(VLOOKUP(Scale!$U18,AcctTbl,3,0),""))</f>
        <v/>
      </c>
      <c r="P42" s="82">
        <f>IF(Scale!$U18&lt;&gt;"X011","","BN02")</f>
        <v/>
      </c>
    </row>
    <row r="43" ht="20.25" customHeight="1">
      <c r="A43" s="80">
        <f>IF(OR(Scale!$X18="",Scale!$X18=0),"",Scale!$B18)</f>
        <v/>
      </c>
      <c r="B43" s="80">
        <f>IF(OR(Scale!$X18="",Scale!$X18=0),"",Scale!$D18)</f>
        <v/>
      </c>
      <c r="C43" s="80">
        <f>IF(OR(Scale!$X18="",Scale!$X18=0),"","باسکول")</f>
        <v/>
      </c>
      <c r="D43" s="80">
        <f>IF(OR(Scale!$X18="",Scale!$X18=0),"",Scale!$X18)</f>
        <v/>
      </c>
      <c r="E43" s="81">
        <f>IF(OR(Scale!$X18="",Scale!$X18=0),"",IF(Scale!$X18="","","مقابل: "&amp;Scale!$E18))</f>
        <v/>
      </c>
      <c r="F43" s="83" t="n"/>
      <c r="G43" s="83" t="n"/>
      <c r="H43" s="83" t="n"/>
      <c r="I43" s="83" t="n"/>
      <c r="J43" s="83" t="n"/>
      <c r="K43" s="82">
        <f>IF(OR(Scale!$X18="",Scale!$X18=0),"",IF(Scale!$Y18="",0,Scale!$Y18)+IF(Scale!$Z18="",0,Scale!$Z18))</f>
        <v/>
      </c>
      <c r="L43" s="82">
        <f>IF(OR(Scale!$X18="",Scale!$X18=0),"",Scale!$Y18)</f>
        <v/>
      </c>
      <c r="M43" s="82">
        <f>IF(OR(Scale!$X18="",Scale!$X18=0),"",Scale!$Z18)</f>
        <v/>
      </c>
      <c r="N43" s="81">
        <f>IF(OR(Scale!$X18="",Scale!$X18=0),"","مقابل")</f>
        <v/>
      </c>
      <c r="O43" s="81">
        <f>IF(OR(Scale!$X18="",Scale!$X18=0),"",IFERROR(VLOOKUP(Scale!$X18,AcctTbl,3,0),""))</f>
        <v/>
      </c>
      <c r="P43" s="82">
        <f>IF(Scale!$X18&lt;&gt;"X011","","BN02")</f>
        <v/>
      </c>
    </row>
    <row r="44" ht="20.25" customHeight="1">
      <c r="A44" s="80">
        <f>IF(OR(Scale!$AA18="",Scale!$AA18=0),"",Scale!$B18)</f>
        <v/>
      </c>
      <c r="B44" s="80">
        <f>IF(OR(Scale!$AA18="",Scale!$AA18=0),"",Scale!$D18)</f>
        <v/>
      </c>
      <c r="C44" s="80">
        <f>IF(OR(Scale!$AA18="",Scale!$AA18=0),"","باسکول")</f>
        <v/>
      </c>
      <c r="D44" s="80">
        <f>IF(OR(Scale!$AA18="",Scale!$AA18=0),"",Scale!$AA18)</f>
        <v/>
      </c>
      <c r="E44" s="81">
        <f>IF(OR(Scale!$AA18="",Scale!$AA18=0),"",IF(Scale!$AA18="","","پوز باسکول — "&amp;Scale!$E18))</f>
        <v/>
      </c>
      <c r="F44" s="83" t="n"/>
      <c r="G44" s="83" t="n"/>
      <c r="H44" s="83" t="n"/>
      <c r="I44" s="83" t="n"/>
      <c r="J44" s="83" t="n"/>
      <c r="K44" s="82">
        <f>IF(OR(Scale!$AA18="",Scale!$AA18=0),"",IF(Scale!$AB18="",0,Scale!$AB18)+IF(Scale!$AC18="",0,Scale!$AC18))</f>
        <v/>
      </c>
      <c r="L44" s="82">
        <f>IF(OR(Scale!$AA18="",Scale!$AA18=0),"",Scale!$AB18)</f>
        <v/>
      </c>
      <c r="M44" s="82">
        <f>IF(OR(Scale!$AA18="",Scale!$AA18=0),"",Scale!$AC18)</f>
        <v/>
      </c>
      <c r="N44" s="81">
        <f>IF(OR(Scale!$AA18="",Scale!$AA18=0),"","پوز")</f>
        <v/>
      </c>
      <c r="O44" s="81">
        <f>IF(OR(Scale!$AA18="",Scale!$AA18=0),"",IFERROR(VLOOKUP(Scale!$AA18,AcctTbl,3,0),""))</f>
        <v/>
      </c>
      <c r="P44" s="82">
        <f>IF(Scale!$AA18&lt;&gt;"X011","","BN02")</f>
        <v/>
      </c>
    </row>
    <row r="45" ht="20.25" customHeight="1">
      <c r="A45" s="80">
        <f>IF(OR(Scale!$AD18="",Scale!$AD18=0),"",Scale!$B18)</f>
        <v/>
      </c>
      <c r="B45" s="80">
        <f>IF(OR(Scale!$AD18="",Scale!$AD18=0),"",Scale!$D18)</f>
        <v/>
      </c>
      <c r="C45" s="80">
        <f>IF(OR(Scale!$AD18="",Scale!$AD18=0),"","باسکول")</f>
        <v/>
      </c>
      <c r="D45" s="80">
        <f>IF(OR(Scale!$AD18="",Scale!$AD18=0),"",Scale!$AD18)</f>
        <v/>
      </c>
      <c r="E45" s="81">
        <f>IF(OR(Scale!$AD18="",Scale!$AD18=0),"",IF(Scale!$AD18="","","مقابل پوز — "&amp;Scale!$E18))</f>
        <v/>
      </c>
      <c r="F45" s="83" t="n"/>
      <c r="G45" s="83" t="n"/>
      <c r="H45" s="83" t="n"/>
      <c r="I45" s="83" t="n"/>
      <c r="J45" s="83" t="n"/>
      <c r="K45" s="82">
        <f>IF(OR(Scale!$AD18="",Scale!$AD18=0),"",IF(Scale!$AE18="",0,Scale!$AE18)+IF(Scale!$AF18="",0,Scale!$AF18))</f>
        <v/>
      </c>
      <c r="L45" s="82">
        <f>IF(OR(Scale!$AD18="",Scale!$AD18=0),"",Scale!$AE18)</f>
        <v/>
      </c>
      <c r="M45" s="82">
        <f>IF(OR(Scale!$AD18="",Scale!$AD18=0),"",Scale!$AF18)</f>
        <v/>
      </c>
      <c r="N45" s="81">
        <f>IF(OR(Scale!$AD18="",Scale!$AD18=0),"","مقابل پوز")</f>
        <v/>
      </c>
      <c r="O45" s="81">
        <f>IF(OR(Scale!$AD18="",Scale!$AD18=0),"",IFERROR(VLOOKUP(Scale!$AD18,AcctTbl,3,0),""))</f>
        <v/>
      </c>
      <c r="P45" s="82">
        <f>IF(Scale!$AD18&lt;&gt;"X011","","BN02")</f>
        <v/>
      </c>
    </row>
    <row r="46" ht="20.25" customHeight="1">
      <c r="A46" s="80">
        <f>IF(OR(Scale!$U19="",Scale!$U19=0),"",Scale!$B19)</f>
        <v/>
      </c>
      <c r="B46" s="80">
        <f>IF(OR(Scale!$U19="",Scale!$U19=0),"",Scale!$D19)</f>
        <v/>
      </c>
      <c r="C46" s="80">
        <f>IF(OR(Scale!$U19="",Scale!$U19=0),"","باسکول")</f>
        <v/>
      </c>
      <c r="D46" s="80">
        <f>IF(OR(Scale!$U19="",Scale!$U19=0),"",Scale!$U19)</f>
        <v/>
      </c>
      <c r="E46" s="81">
        <f>IF(OR(Scale!$U19="",Scale!$U19=0),"",Scale!$T19)</f>
        <v/>
      </c>
      <c r="F46" s="81">
        <f>IF(OR(Scale!$U19="",Scale!$U19=0),"",Scale!$J19)</f>
        <v/>
      </c>
      <c r="G46" s="82">
        <f>IF(OR(Scale!$U19="",Scale!$U19=0),"",Scale!$M19)</f>
        <v/>
      </c>
      <c r="H46" s="82">
        <f>IF(OR(Scale!$U19="",Scale!$U19=0),"",Scale!$L19)</f>
        <v/>
      </c>
      <c r="I46" s="82">
        <f>IF(OR(Scale!$U19="",Scale!$U19=0),"",Scale!$N19)</f>
        <v/>
      </c>
      <c r="J46" s="82">
        <f>IF(OR(Scale!$U19="",Scale!$U19=0),"",Scale!$O19)</f>
        <v/>
      </c>
      <c r="K46" s="82">
        <f>IF(OR(Scale!$U19="",Scale!$U19=0),"",IF(Scale!$V19="",0,Scale!$V19)+IF(Scale!$W19="",0,Scale!$W19))</f>
        <v/>
      </c>
      <c r="L46" s="82">
        <f>IF(OR(Scale!$U19="",Scale!$U19=0),"",Scale!$V19)</f>
        <v/>
      </c>
      <c r="M46" s="82">
        <f>IF(OR(Scale!$U19="",Scale!$U19=0),"",Scale!$W19)</f>
        <v/>
      </c>
      <c r="N46" s="81">
        <f>IF(OR(Scale!$U19="",Scale!$U19=0),"",Scale!$E19)</f>
        <v/>
      </c>
      <c r="O46" s="81">
        <f>IF(OR(Scale!$U19="",Scale!$U19=0),"",IFERROR(VLOOKUP(Scale!$U19,AcctTbl,3,0),""))</f>
        <v/>
      </c>
      <c r="P46" s="82">
        <f>IF(Scale!$U19&lt;&gt;"X011","","BN02")</f>
        <v/>
      </c>
    </row>
    <row r="47" ht="20.25" customHeight="1">
      <c r="A47" s="80">
        <f>IF(OR(Scale!$X19="",Scale!$X19=0),"",Scale!$B19)</f>
        <v/>
      </c>
      <c r="B47" s="80">
        <f>IF(OR(Scale!$X19="",Scale!$X19=0),"",Scale!$D19)</f>
        <v/>
      </c>
      <c r="C47" s="80">
        <f>IF(OR(Scale!$X19="",Scale!$X19=0),"","باسکول")</f>
        <v/>
      </c>
      <c r="D47" s="80">
        <f>IF(OR(Scale!$X19="",Scale!$X19=0),"",Scale!$X19)</f>
        <v/>
      </c>
      <c r="E47" s="81">
        <f>IF(OR(Scale!$X19="",Scale!$X19=0),"",IF(Scale!$X19="","","مقابل: "&amp;Scale!$E19))</f>
        <v/>
      </c>
      <c r="F47" s="83" t="n"/>
      <c r="G47" s="83" t="n"/>
      <c r="H47" s="83" t="n"/>
      <c r="I47" s="83" t="n"/>
      <c r="J47" s="83" t="n"/>
      <c r="K47" s="82">
        <f>IF(OR(Scale!$X19="",Scale!$X19=0),"",IF(Scale!$Y19="",0,Scale!$Y19)+IF(Scale!$Z19="",0,Scale!$Z19))</f>
        <v/>
      </c>
      <c r="L47" s="82">
        <f>IF(OR(Scale!$X19="",Scale!$X19=0),"",Scale!$Y19)</f>
        <v/>
      </c>
      <c r="M47" s="82">
        <f>IF(OR(Scale!$X19="",Scale!$X19=0),"",Scale!$Z19)</f>
        <v/>
      </c>
      <c r="N47" s="81">
        <f>IF(OR(Scale!$X19="",Scale!$X19=0),"","مقابل")</f>
        <v/>
      </c>
      <c r="O47" s="81">
        <f>IF(OR(Scale!$X19="",Scale!$X19=0),"",IFERROR(VLOOKUP(Scale!$X19,AcctTbl,3,0),""))</f>
        <v/>
      </c>
      <c r="P47" s="82">
        <f>IF(Scale!$X19&lt;&gt;"X011","","BN02")</f>
        <v/>
      </c>
    </row>
    <row r="48" ht="20.25" customHeight="1">
      <c r="A48" s="80">
        <f>IF(OR(Scale!$AA19="",Scale!$AA19=0),"",Scale!$B19)</f>
        <v/>
      </c>
      <c r="B48" s="80">
        <f>IF(OR(Scale!$AA19="",Scale!$AA19=0),"",Scale!$D19)</f>
        <v/>
      </c>
      <c r="C48" s="80">
        <f>IF(OR(Scale!$AA19="",Scale!$AA19=0),"","باسکول")</f>
        <v/>
      </c>
      <c r="D48" s="80">
        <f>IF(OR(Scale!$AA19="",Scale!$AA19=0),"",Scale!$AA19)</f>
        <v/>
      </c>
      <c r="E48" s="81">
        <f>IF(OR(Scale!$AA19="",Scale!$AA19=0),"",IF(Scale!$AA19="","","پوز باسکول — "&amp;Scale!$E19))</f>
        <v/>
      </c>
      <c r="F48" s="83" t="n"/>
      <c r="G48" s="83" t="n"/>
      <c r="H48" s="83" t="n"/>
      <c r="I48" s="83" t="n"/>
      <c r="J48" s="83" t="n"/>
      <c r="K48" s="82">
        <f>IF(OR(Scale!$AA19="",Scale!$AA19=0),"",IF(Scale!$AB19="",0,Scale!$AB19)+IF(Scale!$AC19="",0,Scale!$AC19))</f>
        <v/>
      </c>
      <c r="L48" s="82">
        <f>IF(OR(Scale!$AA19="",Scale!$AA19=0),"",Scale!$AB19)</f>
        <v/>
      </c>
      <c r="M48" s="82">
        <f>IF(OR(Scale!$AA19="",Scale!$AA19=0),"",Scale!$AC19)</f>
        <v/>
      </c>
      <c r="N48" s="81">
        <f>IF(OR(Scale!$AA19="",Scale!$AA19=0),"","پوز")</f>
        <v/>
      </c>
      <c r="O48" s="81">
        <f>IF(OR(Scale!$AA19="",Scale!$AA19=0),"",IFERROR(VLOOKUP(Scale!$AA19,AcctTbl,3,0),""))</f>
        <v/>
      </c>
      <c r="P48" s="82">
        <f>IF(Scale!$AA19&lt;&gt;"X011","","BN02")</f>
        <v/>
      </c>
    </row>
    <row r="49" ht="20.25" customHeight="1">
      <c r="A49" s="80">
        <f>IF(OR(Scale!$AD19="",Scale!$AD19=0),"",Scale!$B19)</f>
        <v/>
      </c>
      <c r="B49" s="80">
        <f>IF(OR(Scale!$AD19="",Scale!$AD19=0),"",Scale!$D19)</f>
        <v/>
      </c>
      <c r="C49" s="80">
        <f>IF(OR(Scale!$AD19="",Scale!$AD19=0),"","باسکول")</f>
        <v/>
      </c>
      <c r="D49" s="80">
        <f>IF(OR(Scale!$AD19="",Scale!$AD19=0),"",Scale!$AD19)</f>
        <v/>
      </c>
      <c r="E49" s="81">
        <f>IF(OR(Scale!$AD19="",Scale!$AD19=0),"",IF(Scale!$AD19="","","مقابل پوز — "&amp;Scale!$E19))</f>
        <v/>
      </c>
      <c r="F49" s="83" t="n"/>
      <c r="G49" s="83" t="n"/>
      <c r="H49" s="83" t="n"/>
      <c r="I49" s="83" t="n"/>
      <c r="J49" s="83" t="n"/>
      <c r="K49" s="82">
        <f>IF(OR(Scale!$AD19="",Scale!$AD19=0),"",IF(Scale!$AE19="",0,Scale!$AE19)+IF(Scale!$AF19="",0,Scale!$AF19))</f>
        <v/>
      </c>
      <c r="L49" s="82">
        <f>IF(OR(Scale!$AD19="",Scale!$AD19=0),"",Scale!$AE19)</f>
        <v/>
      </c>
      <c r="M49" s="82">
        <f>IF(OR(Scale!$AD19="",Scale!$AD19=0),"",Scale!$AF19)</f>
        <v/>
      </c>
      <c r="N49" s="81">
        <f>IF(OR(Scale!$AD19="",Scale!$AD19=0),"","مقابل پوز")</f>
        <v/>
      </c>
      <c r="O49" s="81">
        <f>IF(OR(Scale!$AD19="",Scale!$AD19=0),"",IFERROR(VLOOKUP(Scale!$AD19,AcctTbl,3,0),""))</f>
        <v/>
      </c>
      <c r="P49" s="82">
        <f>IF(Scale!$AD19&lt;&gt;"X011","","BN02")</f>
        <v/>
      </c>
    </row>
    <row r="50" ht="20.25" customHeight="1">
      <c r="A50" s="80">
        <f>IF(OR(Scale!$U20="",Scale!$U20=0),"",Scale!$B20)</f>
        <v/>
      </c>
      <c r="B50" s="80">
        <f>IF(OR(Scale!$U20="",Scale!$U20=0),"",Scale!$D20)</f>
        <v/>
      </c>
      <c r="C50" s="80">
        <f>IF(OR(Scale!$U20="",Scale!$U20=0),"","باسکول")</f>
        <v/>
      </c>
      <c r="D50" s="80">
        <f>IF(OR(Scale!$U20="",Scale!$U20=0),"",Scale!$U20)</f>
        <v/>
      </c>
      <c r="E50" s="81">
        <f>IF(OR(Scale!$U20="",Scale!$U20=0),"",Scale!$T20)</f>
        <v/>
      </c>
      <c r="F50" s="81">
        <f>IF(OR(Scale!$U20="",Scale!$U20=0),"",Scale!$J20)</f>
        <v/>
      </c>
      <c r="G50" s="82">
        <f>IF(OR(Scale!$U20="",Scale!$U20=0),"",Scale!$M20)</f>
        <v/>
      </c>
      <c r="H50" s="82">
        <f>IF(OR(Scale!$U20="",Scale!$U20=0),"",Scale!$L20)</f>
        <v/>
      </c>
      <c r="I50" s="82">
        <f>IF(OR(Scale!$U20="",Scale!$U20=0),"",Scale!$N20)</f>
        <v/>
      </c>
      <c r="J50" s="82">
        <f>IF(OR(Scale!$U20="",Scale!$U20=0),"",Scale!$O20)</f>
        <v/>
      </c>
      <c r="K50" s="82">
        <f>IF(OR(Scale!$U20="",Scale!$U20=0),"",IF(Scale!$V20="",0,Scale!$V20)+IF(Scale!$W20="",0,Scale!$W20))</f>
        <v/>
      </c>
      <c r="L50" s="82">
        <f>IF(OR(Scale!$U20="",Scale!$U20=0),"",Scale!$V20)</f>
        <v/>
      </c>
      <c r="M50" s="82">
        <f>IF(OR(Scale!$U20="",Scale!$U20=0),"",Scale!$W20)</f>
        <v/>
      </c>
      <c r="N50" s="81">
        <f>IF(OR(Scale!$U20="",Scale!$U20=0),"",Scale!$E20)</f>
        <v/>
      </c>
      <c r="O50" s="81">
        <f>IF(OR(Scale!$U20="",Scale!$U20=0),"",IFERROR(VLOOKUP(Scale!$U20,AcctTbl,3,0),""))</f>
        <v/>
      </c>
      <c r="P50" s="82">
        <f>IF(Scale!$U20&lt;&gt;"X011","","BN02")</f>
        <v/>
      </c>
    </row>
    <row r="51" ht="20.25" customHeight="1">
      <c r="A51" s="80">
        <f>IF(OR(Scale!$X20="",Scale!$X20=0),"",Scale!$B20)</f>
        <v/>
      </c>
      <c r="B51" s="80">
        <f>IF(OR(Scale!$X20="",Scale!$X20=0),"",Scale!$D20)</f>
        <v/>
      </c>
      <c r="C51" s="80">
        <f>IF(OR(Scale!$X20="",Scale!$X20=0),"","باسکول")</f>
        <v/>
      </c>
      <c r="D51" s="80">
        <f>IF(OR(Scale!$X20="",Scale!$X20=0),"",Scale!$X20)</f>
        <v/>
      </c>
      <c r="E51" s="81">
        <f>IF(OR(Scale!$X20="",Scale!$X20=0),"",IF(Scale!$X20="","","مقابل: "&amp;Scale!$E20))</f>
        <v/>
      </c>
      <c r="F51" s="83" t="n"/>
      <c r="G51" s="83" t="n"/>
      <c r="H51" s="83" t="n"/>
      <c r="I51" s="83" t="n"/>
      <c r="J51" s="83" t="n"/>
      <c r="K51" s="82">
        <f>IF(OR(Scale!$X20="",Scale!$X20=0),"",IF(Scale!$Y20="",0,Scale!$Y20)+IF(Scale!$Z20="",0,Scale!$Z20))</f>
        <v/>
      </c>
      <c r="L51" s="82">
        <f>IF(OR(Scale!$X20="",Scale!$X20=0),"",Scale!$Y20)</f>
        <v/>
      </c>
      <c r="M51" s="82">
        <f>IF(OR(Scale!$X20="",Scale!$X20=0),"",Scale!$Z20)</f>
        <v/>
      </c>
      <c r="N51" s="81">
        <f>IF(OR(Scale!$X20="",Scale!$X20=0),"","مقابل")</f>
        <v/>
      </c>
      <c r="O51" s="81">
        <f>IF(OR(Scale!$X20="",Scale!$X20=0),"",IFERROR(VLOOKUP(Scale!$X20,AcctTbl,3,0),""))</f>
        <v/>
      </c>
      <c r="P51" s="82">
        <f>IF(Scale!$X20&lt;&gt;"X011","","BN02")</f>
        <v/>
      </c>
    </row>
    <row r="52" ht="20.25" customHeight="1">
      <c r="A52" s="80">
        <f>IF(OR(Scale!$AA20="",Scale!$AA20=0),"",Scale!$B20)</f>
        <v/>
      </c>
      <c r="B52" s="80">
        <f>IF(OR(Scale!$AA20="",Scale!$AA20=0),"",Scale!$D20)</f>
        <v/>
      </c>
      <c r="C52" s="80">
        <f>IF(OR(Scale!$AA20="",Scale!$AA20=0),"","باسکول")</f>
        <v/>
      </c>
      <c r="D52" s="80">
        <f>IF(OR(Scale!$AA20="",Scale!$AA20=0),"",Scale!$AA20)</f>
        <v/>
      </c>
      <c r="E52" s="81">
        <f>IF(OR(Scale!$AA20="",Scale!$AA20=0),"",IF(Scale!$AA20="","","پوز باسکول — "&amp;Scale!$E20))</f>
        <v/>
      </c>
      <c r="F52" s="83" t="n"/>
      <c r="G52" s="83" t="n"/>
      <c r="H52" s="83" t="n"/>
      <c r="I52" s="83" t="n"/>
      <c r="J52" s="83" t="n"/>
      <c r="K52" s="82">
        <f>IF(OR(Scale!$AA20="",Scale!$AA20=0),"",IF(Scale!$AB20="",0,Scale!$AB20)+IF(Scale!$AC20="",0,Scale!$AC20))</f>
        <v/>
      </c>
      <c r="L52" s="82">
        <f>IF(OR(Scale!$AA20="",Scale!$AA20=0),"",Scale!$AB20)</f>
        <v/>
      </c>
      <c r="M52" s="82">
        <f>IF(OR(Scale!$AA20="",Scale!$AA20=0),"",Scale!$AC20)</f>
        <v/>
      </c>
      <c r="N52" s="81">
        <f>IF(OR(Scale!$AA20="",Scale!$AA20=0),"","پوز")</f>
        <v/>
      </c>
      <c r="O52" s="81">
        <f>IF(OR(Scale!$AA20="",Scale!$AA20=0),"",IFERROR(VLOOKUP(Scale!$AA20,AcctTbl,3,0),""))</f>
        <v/>
      </c>
      <c r="P52" s="82">
        <f>IF(Scale!$AA20&lt;&gt;"X011","","BN02")</f>
        <v/>
      </c>
    </row>
    <row r="53" ht="20.25" customHeight="1">
      <c r="A53" s="80">
        <f>IF(OR(Scale!$AD20="",Scale!$AD20=0),"",Scale!$B20)</f>
        <v/>
      </c>
      <c r="B53" s="80">
        <f>IF(OR(Scale!$AD20="",Scale!$AD20=0),"",Scale!$D20)</f>
        <v/>
      </c>
      <c r="C53" s="80">
        <f>IF(OR(Scale!$AD20="",Scale!$AD20=0),"","باسکول")</f>
        <v/>
      </c>
      <c r="D53" s="80">
        <f>IF(OR(Scale!$AD20="",Scale!$AD20=0),"",Scale!$AD20)</f>
        <v/>
      </c>
      <c r="E53" s="81">
        <f>IF(OR(Scale!$AD20="",Scale!$AD20=0),"",IF(Scale!$AD20="","","مقابل پوز — "&amp;Scale!$E20))</f>
        <v/>
      </c>
      <c r="F53" s="83" t="n"/>
      <c r="G53" s="83" t="n"/>
      <c r="H53" s="83" t="n"/>
      <c r="I53" s="83" t="n"/>
      <c r="J53" s="83" t="n"/>
      <c r="K53" s="82">
        <f>IF(OR(Scale!$AD20="",Scale!$AD20=0),"",IF(Scale!$AE20="",0,Scale!$AE20)+IF(Scale!$AF20="",0,Scale!$AF20))</f>
        <v/>
      </c>
      <c r="L53" s="82">
        <f>IF(OR(Scale!$AD20="",Scale!$AD20=0),"",Scale!$AE20)</f>
        <v/>
      </c>
      <c r="M53" s="82">
        <f>IF(OR(Scale!$AD20="",Scale!$AD20=0),"",Scale!$AF20)</f>
        <v/>
      </c>
      <c r="N53" s="81">
        <f>IF(OR(Scale!$AD20="",Scale!$AD20=0),"","مقابل پوز")</f>
        <v/>
      </c>
      <c r="O53" s="81">
        <f>IF(OR(Scale!$AD20="",Scale!$AD20=0),"",IFERROR(VLOOKUP(Scale!$AD20,AcctTbl,3,0),""))</f>
        <v/>
      </c>
      <c r="P53" s="82">
        <f>IF(Scale!$AD20&lt;&gt;"X011","","BN02")</f>
        <v/>
      </c>
    </row>
    <row r="54" ht="20.25" customHeight="1">
      <c r="A54" s="80">
        <f>IF(OR(Scale!$U21="",Scale!$U21=0),"",Scale!$B21)</f>
        <v/>
      </c>
      <c r="B54" s="80">
        <f>IF(OR(Scale!$U21="",Scale!$U21=0),"",Scale!$D21)</f>
        <v/>
      </c>
      <c r="C54" s="80">
        <f>IF(OR(Scale!$U21="",Scale!$U21=0),"","باسکول")</f>
        <v/>
      </c>
      <c r="D54" s="80">
        <f>IF(OR(Scale!$U21="",Scale!$U21=0),"",Scale!$U21)</f>
        <v/>
      </c>
      <c r="E54" s="81">
        <f>IF(OR(Scale!$U21="",Scale!$U21=0),"",Scale!$T21)</f>
        <v/>
      </c>
      <c r="F54" s="81">
        <f>IF(OR(Scale!$U21="",Scale!$U21=0),"",Scale!$J21)</f>
        <v/>
      </c>
      <c r="G54" s="82">
        <f>IF(OR(Scale!$U21="",Scale!$U21=0),"",Scale!$M21)</f>
        <v/>
      </c>
      <c r="H54" s="82">
        <f>IF(OR(Scale!$U21="",Scale!$U21=0),"",Scale!$L21)</f>
        <v/>
      </c>
      <c r="I54" s="82">
        <f>IF(OR(Scale!$U21="",Scale!$U21=0),"",Scale!$N21)</f>
        <v/>
      </c>
      <c r="J54" s="82">
        <f>IF(OR(Scale!$U21="",Scale!$U21=0),"",Scale!$O21)</f>
        <v/>
      </c>
      <c r="K54" s="82">
        <f>IF(OR(Scale!$U21="",Scale!$U21=0),"",IF(Scale!$V21="",0,Scale!$V21)+IF(Scale!$W21="",0,Scale!$W21))</f>
        <v/>
      </c>
      <c r="L54" s="82">
        <f>IF(OR(Scale!$U21="",Scale!$U21=0),"",Scale!$V21)</f>
        <v/>
      </c>
      <c r="M54" s="82">
        <f>IF(OR(Scale!$U21="",Scale!$U21=0),"",Scale!$W21)</f>
        <v/>
      </c>
      <c r="N54" s="81">
        <f>IF(OR(Scale!$U21="",Scale!$U21=0),"",Scale!$E21)</f>
        <v/>
      </c>
      <c r="O54" s="81">
        <f>IF(OR(Scale!$U21="",Scale!$U21=0),"",IFERROR(VLOOKUP(Scale!$U21,AcctTbl,3,0),""))</f>
        <v/>
      </c>
      <c r="P54" s="82">
        <f>IF(Scale!$U21&lt;&gt;"X011","","BN02")</f>
        <v/>
      </c>
    </row>
    <row r="55" ht="20.25" customHeight="1">
      <c r="A55" s="80">
        <f>IF(OR(Scale!$X21="",Scale!$X21=0),"",Scale!$B21)</f>
        <v/>
      </c>
      <c r="B55" s="80">
        <f>IF(OR(Scale!$X21="",Scale!$X21=0),"",Scale!$D21)</f>
        <v/>
      </c>
      <c r="C55" s="80">
        <f>IF(OR(Scale!$X21="",Scale!$X21=0),"","باسکول")</f>
        <v/>
      </c>
      <c r="D55" s="80">
        <f>IF(OR(Scale!$X21="",Scale!$X21=0),"",Scale!$X21)</f>
        <v/>
      </c>
      <c r="E55" s="81">
        <f>IF(OR(Scale!$X21="",Scale!$X21=0),"",IF(Scale!$X21="","","مقابل: "&amp;Scale!$E21))</f>
        <v/>
      </c>
      <c r="F55" s="83" t="n"/>
      <c r="G55" s="83" t="n"/>
      <c r="H55" s="83" t="n"/>
      <c r="I55" s="83" t="n"/>
      <c r="J55" s="83" t="n"/>
      <c r="K55" s="82">
        <f>IF(OR(Scale!$X21="",Scale!$X21=0),"",IF(Scale!$Y21="",0,Scale!$Y21)+IF(Scale!$Z21="",0,Scale!$Z21))</f>
        <v/>
      </c>
      <c r="L55" s="82">
        <f>IF(OR(Scale!$X21="",Scale!$X21=0),"",Scale!$Y21)</f>
        <v/>
      </c>
      <c r="M55" s="82">
        <f>IF(OR(Scale!$X21="",Scale!$X21=0),"",Scale!$Z21)</f>
        <v/>
      </c>
      <c r="N55" s="81">
        <f>IF(OR(Scale!$X21="",Scale!$X21=0),"","مقابل")</f>
        <v/>
      </c>
      <c r="O55" s="81">
        <f>IF(OR(Scale!$X21="",Scale!$X21=0),"",IFERROR(VLOOKUP(Scale!$X21,AcctTbl,3,0),""))</f>
        <v/>
      </c>
      <c r="P55" s="82">
        <f>IF(Scale!$X21&lt;&gt;"X011","","BN02")</f>
        <v/>
      </c>
    </row>
    <row r="56" ht="20.25" customHeight="1">
      <c r="A56" s="80">
        <f>IF(OR(Scale!$AA21="",Scale!$AA21=0),"",Scale!$B21)</f>
        <v/>
      </c>
      <c r="B56" s="80">
        <f>IF(OR(Scale!$AA21="",Scale!$AA21=0),"",Scale!$D21)</f>
        <v/>
      </c>
      <c r="C56" s="80">
        <f>IF(OR(Scale!$AA21="",Scale!$AA21=0),"","باسکول")</f>
        <v/>
      </c>
      <c r="D56" s="80">
        <f>IF(OR(Scale!$AA21="",Scale!$AA21=0),"",Scale!$AA21)</f>
        <v/>
      </c>
      <c r="E56" s="81">
        <f>IF(OR(Scale!$AA21="",Scale!$AA21=0),"",IF(Scale!$AA21="","","پوز باسکول — "&amp;Scale!$E21))</f>
        <v/>
      </c>
      <c r="F56" s="83" t="n"/>
      <c r="G56" s="83" t="n"/>
      <c r="H56" s="83" t="n"/>
      <c r="I56" s="83" t="n"/>
      <c r="J56" s="83" t="n"/>
      <c r="K56" s="82">
        <f>IF(OR(Scale!$AA21="",Scale!$AA21=0),"",IF(Scale!$AB21="",0,Scale!$AB21)+IF(Scale!$AC21="",0,Scale!$AC21))</f>
        <v/>
      </c>
      <c r="L56" s="82">
        <f>IF(OR(Scale!$AA21="",Scale!$AA21=0),"",Scale!$AB21)</f>
        <v/>
      </c>
      <c r="M56" s="82">
        <f>IF(OR(Scale!$AA21="",Scale!$AA21=0),"",Scale!$AC21)</f>
        <v/>
      </c>
      <c r="N56" s="81">
        <f>IF(OR(Scale!$AA21="",Scale!$AA21=0),"","پوز")</f>
        <v/>
      </c>
      <c r="O56" s="81">
        <f>IF(OR(Scale!$AA21="",Scale!$AA21=0),"",IFERROR(VLOOKUP(Scale!$AA21,AcctTbl,3,0),""))</f>
        <v/>
      </c>
      <c r="P56" s="82">
        <f>IF(Scale!$AA21&lt;&gt;"X011","","BN02")</f>
        <v/>
      </c>
    </row>
    <row r="57" ht="20.25" customHeight="1">
      <c r="A57" s="80">
        <f>IF(OR(Scale!$AD21="",Scale!$AD21=0),"",Scale!$B21)</f>
        <v/>
      </c>
      <c r="B57" s="80">
        <f>IF(OR(Scale!$AD21="",Scale!$AD21=0),"",Scale!$D21)</f>
        <v/>
      </c>
      <c r="C57" s="80">
        <f>IF(OR(Scale!$AD21="",Scale!$AD21=0),"","باسکول")</f>
        <v/>
      </c>
      <c r="D57" s="80">
        <f>IF(OR(Scale!$AD21="",Scale!$AD21=0),"",Scale!$AD21)</f>
        <v/>
      </c>
      <c r="E57" s="81">
        <f>IF(OR(Scale!$AD21="",Scale!$AD21=0),"",IF(Scale!$AD21="","","مقابل پوز — "&amp;Scale!$E21))</f>
        <v/>
      </c>
      <c r="F57" s="83" t="n"/>
      <c r="G57" s="83" t="n"/>
      <c r="H57" s="83" t="n"/>
      <c r="I57" s="83" t="n"/>
      <c r="J57" s="83" t="n"/>
      <c r="K57" s="82">
        <f>IF(OR(Scale!$AD21="",Scale!$AD21=0),"",IF(Scale!$AE21="",0,Scale!$AE21)+IF(Scale!$AF21="",0,Scale!$AF21))</f>
        <v/>
      </c>
      <c r="L57" s="82">
        <f>IF(OR(Scale!$AD21="",Scale!$AD21=0),"",Scale!$AE21)</f>
        <v/>
      </c>
      <c r="M57" s="82">
        <f>IF(OR(Scale!$AD21="",Scale!$AD21=0),"",Scale!$AF21)</f>
        <v/>
      </c>
      <c r="N57" s="81">
        <f>IF(OR(Scale!$AD21="",Scale!$AD21=0),"","مقابل پوز")</f>
        <v/>
      </c>
      <c r="O57" s="81">
        <f>IF(OR(Scale!$AD21="",Scale!$AD21=0),"",IFERROR(VLOOKUP(Scale!$AD21,AcctTbl,3,0),""))</f>
        <v/>
      </c>
      <c r="P57" s="82">
        <f>IF(Scale!$AD21&lt;&gt;"X011","","BN02")</f>
        <v/>
      </c>
    </row>
    <row r="58" ht="20.25" customHeight="1">
      <c r="A58" s="80">
        <f>IF(OR(Scale!$U22="",Scale!$U22=0),"",Scale!$B22)</f>
        <v/>
      </c>
      <c r="B58" s="80">
        <f>IF(OR(Scale!$U22="",Scale!$U22=0),"",Scale!$D22)</f>
        <v/>
      </c>
      <c r="C58" s="80">
        <f>IF(OR(Scale!$U22="",Scale!$U22=0),"","باسکول")</f>
        <v/>
      </c>
      <c r="D58" s="80">
        <f>IF(OR(Scale!$U22="",Scale!$U22=0),"",Scale!$U22)</f>
        <v/>
      </c>
      <c r="E58" s="81">
        <f>IF(OR(Scale!$U22="",Scale!$U22=0),"",Scale!$T22)</f>
        <v/>
      </c>
      <c r="F58" s="81">
        <f>IF(OR(Scale!$U22="",Scale!$U22=0),"",Scale!$J22)</f>
        <v/>
      </c>
      <c r="G58" s="82">
        <f>IF(OR(Scale!$U22="",Scale!$U22=0),"",Scale!$M22)</f>
        <v/>
      </c>
      <c r="H58" s="82">
        <f>IF(OR(Scale!$U22="",Scale!$U22=0),"",Scale!$L22)</f>
        <v/>
      </c>
      <c r="I58" s="82">
        <f>IF(OR(Scale!$U22="",Scale!$U22=0),"",Scale!$N22)</f>
        <v/>
      </c>
      <c r="J58" s="82">
        <f>IF(OR(Scale!$U22="",Scale!$U22=0),"",Scale!$O22)</f>
        <v/>
      </c>
      <c r="K58" s="82">
        <f>IF(OR(Scale!$U22="",Scale!$U22=0),"",IF(Scale!$V22="",0,Scale!$V22)+IF(Scale!$W22="",0,Scale!$W22))</f>
        <v/>
      </c>
      <c r="L58" s="82">
        <f>IF(OR(Scale!$U22="",Scale!$U22=0),"",Scale!$V22)</f>
        <v/>
      </c>
      <c r="M58" s="82">
        <f>IF(OR(Scale!$U22="",Scale!$U22=0),"",Scale!$W22)</f>
        <v/>
      </c>
      <c r="N58" s="81">
        <f>IF(OR(Scale!$U22="",Scale!$U22=0),"",Scale!$E22)</f>
        <v/>
      </c>
      <c r="O58" s="81">
        <f>IF(OR(Scale!$U22="",Scale!$U22=0),"",IFERROR(VLOOKUP(Scale!$U22,AcctTbl,3,0),""))</f>
        <v/>
      </c>
      <c r="P58" s="82">
        <f>IF(Scale!$U22&lt;&gt;"X011","","BN02")</f>
        <v/>
      </c>
    </row>
    <row r="59" ht="20.25" customHeight="1">
      <c r="A59" s="80">
        <f>IF(OR(Scale!$X22="",Scale!$X22=0),"",Scale!$B22)</f>
        <v/>
      </c>
      <c r="B59" s="80">
        <f>IF(OR(Scale!$X22="",Scale!$X22=0),"",Scale!$D22)</f>
        <v/>
      </c>
      <c r="C59" s="80">
        <f>IF(OR(Scale!$X22="",Scale!$X22=0),"","باسکول")</f>
        <v/>
      </c>
      <c r="D59" s="80">
        <f>IF(OR(Scale!$X22="",Scale!$X22=0),"",Scale!$X22)</f>
        <v/>
      </c>
      <c r="E59" s="81">
        <f>IF(OR(Scale!$X22="",Scale!$X22=0),"",IF(Scale!$X22="","","مقابل: "&amp;Scale!$E22))</f>
        <v/>
      </c>
      <c r="F59" s="83" t="n"/>
      <c r="G59" s="83" t="n"/>
      <c r="H59" s="83" t="n"/>
      <c r="I59" s="83" t="n"/>
      <c r="J59" s="83" t="n"/>
      <c r="K59" s="82">
        <f>IF(OR(Scale!$X22="",Scale!$X22=0),"",IF(Scale!$Y22="",0,Scale!$Y22)+IF(Scale!$Z22="",0,Scale!$Z22))</f>
        <v/>
      </c>
      <c r="L59" s="82">
        <f>IF(OR(Scale!$X22="",Scale!$X22=0),"",Scale!$Y22)</f>
        <v/>
      </c>
      <c r="M59" s="82">
        <f>IF(OR(Scale!$X22="",Scale!$X22=0),"",Scale!$Z22)</f>
        <v/>
      </c>
      <c r="N59" s="81">
        <f>IF(OR(Scale!$X22="",Scale!$X22=0),"","مقابل")</f>
        <v/>
      </c>
      <c r="O59" s="81">
        <f>IF(OR(Scale!$X22="",Scale!$X22=0),"",IFERROR(VLOOKUP(Scale!$X22,AcctTbl,3,0),""))</f>
        <v/>
      </c>
      <c r="P59" s="82">
        <f>IF(Scale!$X22&lt;&gt;"X011","","BN02")</f>
        <v/>
      </c>
    </row>
    <row r="60" ht="20.25" customHeight="1">
      <c r="A60" s="80">
        <f>IF(OR(Scale!$AA22="",Scale!$AA22=0),"",Scale!$B22)</f>
        <v/>
      </c>
      <c r="B60" s="80">
        <f>IF(OR(Scale!$AA22="",Scale!$AA22=0),"",Scale!$D22)</f>
        <v/>
      </c>
      <c r="C60" s="80">
        <f>IF(OR(Scale!$AA22="",Scale!$AA22=0),"","باسکول")</f>
        <v/>
      </c>
      <c r="D60" s="80">
        <f>IF(OR(Scale!$AA22="",Scale!$AA22=0),"",Scale!$AA22)</f>
        <v/>
      </c>
      <c r="E60" s="81">
        <f>IF(OR(Scale!$AA22="",Scale!$AA22=0),"",IF(Scale!$AA22="","","پوز باسکول — "&amp;Scale!$E22))</f>
        <v/>
      </c>
      <c r="F60" s="83" t="n"/>
      <c r="G60" s="83" t="n"/>
      <c r="H60" s="83" t="n"/>
      <c r="I60" s="83" t="n"/>
      <c r="J60" s="83" t="n"/>
      <c r="K60" s="82">
        <f>IF(OR(Scale!$AA22="",Scale!$AA22=0),"",IF(Scale!$AB22="",0,Scale!$AB22)+IF(Scale!$AC22="",0,Scale!$AC22))</f>
        <v/>
      </c>
      <c r="L60" s="82">
        <f>IF(OR(Scale!$AA22="",Scale!$AA22=0),"",Scale!$AB22)</f>
        <v/>
      </c>
      <c r="M60" s="82">
        <f>IF(OR(Scale!$AA22="",Scale!$AA22=0),"",Scale!$AC22)</f>
        <v/>
      </c>
      <c r="N60" s="81">
        <f>IF(OR(Scale!$AA22="",Scale!$AA22=0),"","پوز")</f>
        <v/>
      </c>
      <c r="O60" s="81">
        <f>IF(OR(Scale!$AA22="",Scale!$AA22=0),"",IFERROR(VLOOKUP(Scale!$AA22,AcctTbl,3,0),""))</f>
        <v/>
      </c>
      <c r="P60" s="82">
        <f>IF(Scale!$AA22&lt;&gt;"X011","","BN02")</f>
        <v/>
      </c>
    </row>
    <row r="61" ht="20.25" customHeight="1">
      <c r="A61" s="80">
        <f>IF(OR(Scale!$AD22="",Scale!$AD22=0),"",Scale!$B22)</f>
        <v/>
      </c>
      <c r="B61" s="80">
        <f>IF(OR(Scale!$AD22="",Scale!$AD22=0),"",Scale!$D22)</f>
        <v/>
      </c>
      <c r="C61" s="80">
        <f>IF(OR(Scale!$AD22="",Scale!$AD22=0),"","باسکول")</f>
        <v/>
      </c>
      <c r="D61" s="80">
        <f>IF(OR(Scale!$AD22="",Scale!$AD22=0),"",Scale!$AD22)</f>
        <v/>
      </c>
      <c r="E61" s="81">
        <f>IF(OR(Scale!$AD22="",Scale!$AD22=0),"",IF(Scale!$AD22="","","مقابل پوز — "&amp;Scale!$E22))</f>
        <v/>
      </c>
      <c r="F61" s="83" t="n"/>
      <c r="G61" s="83" t="n"/>
      <c r="H61" s="83" t="n"/>
      <c r="I61" s="83" t="n"/>
      <c r="J61" s="83" t="n"/>
      <c r="K61" s="82">
        <f>IF(OR(Scale!$AD22="",Scale!$AD22=0),"",IF(Scale!$AE22="",0,Scale!$AE22)+IF(Scale!$AF22="",0,Scale!$AF22))</f>
        <v/>
      </c>
      <c r="L61" s="82">
        <f>IF(OR(Scale!$AD22="",Scale!$AD22=0),"",Scale!$AE22)</f>
        <v/>
      </c>
      <c r="M61" s="82">
        <f>IF(OR(Scale!$AD22="",Scale!$AD22=0),"",Scale!$AF22)</f>
        <v/>
      </c>
      <c r="N61" s="81">
        <f>IF(OR(Scale!$AD22="",Scale!$AD22=0),"","مقابل پوز")</f>
        <v/>
      </c>
      <c r="O61" s="81">
        <f>IF(OR(Scale!$AD22="",Scale!$AD22=0),"",IFERROR(VLOOKUP(Scale!$AD22,AcctTbl,3,0),""))</f>
        <v/>
      </c>
      <c r="P61" s="82">
        <f>IF(Scale!$AD22&lt;&gt;"X011","","BN02")</f>
        <v/>
      </c>
    </row>
    <row r="62" ht="20.25" customHeight="1">
      <c r="A62" s="80">
        <f>IF(OR(Scale!$U23="",Scale!$U23=0),"",Scale!$B23)</f>
        <v/>
      </c>
      <c r="B62" s="80">
        <f>IF(OR(Scale!$U23="",Scale!$U23=0),"",Scale!$D23)</f>
        <v/>
      </c>
      <c r="C62" s="80">
        <f>IF(OR(Scale!$U23="",Scale!$U23=0),"","باسکول")</f>
        <v/>
      </c>
      <c r="D62" s="80">
        <f>IF(OR(Scale!$U23="",Scale!$U23=0),"",Scale!$U23)</f>
        <v/>
      </c>
      <c r="E62" s="81">
        <f>IF(OR(Scale!$U23="",Scale!$U23=0),"",Scale!$T23)</f>
        <v/>
      </c>
      <c r="F62" s="81">
        <f>IF(OR(Scale!$U23="",Scale!$U23=0),"",Scale!$J23)</f>
        <v/>
      </c>
      <c r="G62" s="82">
        <f>IF(OR(Scale!$U23="",Scale!$U23=0),"",Scale!$M23)</f>
        <v/>
      </c>
      <c r="H62" s="82">
        <f>IF(OR(Scale!$U23="",Scale!$U23=0),"",Scale!$L23)</f>
        <v/>
      </c>
      <c r="I62" s="82">
        <f>IF(OR(Scale!$U23="",Scale!$U23=0),"",Scale!$N23)</f>
        <v/>
      </c>
      <c r="J62" s="82">
        <f>IF(OR(Scale!$U23="",Scale!$U23=0),"",Scale!$O23)</f>
        <v/>
      </c>
      <c r="K62" s="82">
        <f>IF(OR(Scale!$U23="",Scale!$U23=0),"",IF(Scale!$V23="",0,Scale!$V23)+IF(Scale!$W23="",0,Scale!$W23))</f>
        <v/>
      </c>
      <c r="L62" s="82">
        <f>IF(OR(Scale!$U23="",Scale!$U23=0),"",Scale!$V23)</f>
        <v/>
      </c>
      <c r="M62" s="82">
        <f>IF(OR(Scale!$U23="",Scale!$U23=0),"",Scale!$W23)</f>
        <v/>
      </c>
      <c r="N62" s="81">
        <f>IF(OR(Scale!$U23="",Scale!$U23=0),"",Scale!$E23)</f>
        <v/>
      </c>
      <c r="O62" s="81">
        <f>IF(OR(Scale!$U23="",Scale!$U23=0),"",IFERROR(VLOOKUP(Scale!$U23,AcctTbl,3,0),""))</f>
        <v/>
      </c>
      <c r="P62" s="82">
        <f>IF(Scale!$U23&lt;&gt;"X011","","BN02")</f>
        <v/>
      </c>
    </row>
    <row r="63" ht="20.25" customHeight="1">
      <c r="A63" s="80">
        <f>IF(OR(Scale!$X23="",Scale!$X23=0),"",Scale!$B23)</f>
        <v/>
      </c>
      <c r="B63" s="80">
        <f>IF(OR(Scale!$X23="",Scale!$X23=0),"",Scale!$D23)</f>
        <v/>
      </c>
      <c r="C63" s="80">
        <f>IF(OR(Scale!$X23="",Scale!$X23=0),"","باسکول")</f>
        <v/>
      </c>
      <c r="D63" s="80">
        <f>IF(OR(Scale!$X23="",Scale!$X23=0),"",Scale!$X23)</f>
        <v/>
      </c>
      <c r="E63" s="81">
        <f>IF(OR(Scale!$X23="",Scale!$X23=0),"",IF(Scale!$X23="","","مقابل: "&amp;Scale!$E23))</f>
        <v/>
      </c>
      <c r="F63" s="83" t="n"/>
      <c r="G63" s="83" t="n"/>
      <c r="H63" s="83" t="n"/>
      <c r="I63" s="83" t="n"/>
      <c r="J63" s="83" t="n"/>
      <c r="K63" s="82">
        <f>IF(OR(Scale!$X23="",Scale!$X23=0),"",IF(Scale!$Y23="",0,Scale!$Y23)+IF(Scale!$Z23="",0,Scale!$Z23))</f>
        <v/>
      </c>
      <c r="L63" s="82">
        <f>IF(OR(Scale!$X23="",Scale!$X23=0),"",Scale!$Y23)</f>
        <v/>
      </c>
      <c r="M63" s="82">
        <f>IF(OR(Scale!$X23="",Scale!$X23=0),"",Scale!$Z23)</f>
        <v/>
      </c>
      <c r="N63" s="81">
        <f>IF(OR(Scale!$X23="",Scale!$X23=0),"","مقابل")</f>
        <v/>
      </c>
      <c r="O63" s="81">
        <f>IF(OR(Scale!$X23="",Scale!$X23=0),"",IFERROR(VLOOKUP(Scale!$X23,AcctTbl,3,0),""))</f>
        <v/>
      </c>
      <c r="P63" s="82">
        <f>IF(Scale!$X23&lt;&gt;"X011","","BN02")</f>
        <v/>
      </c>
    </row>
    <row r="64" ht="20.25" customHeight="1">
      <c r="A64" s="80">
        <f>IF(OR(Scale!$AA23="",Scale!$AA23=0),"",Scale!$B23)</f>
        <v/>
      </c>
      <c r="B64" s="80">
        <f>IF(OR(Scale!$AA23="",Scale!$AA23=0),"",Scale!$D23)</f>
        <v/>
      </c>
      <c r="C64" s="80">
        <f>IF(OR(Scale!$AA23="",Scale!$AA23=0),"","باسکول")</f>
        <v/>
      </c>
      <c r="D64" s="80">
        <f>IF(OR(Scale!$AA23="",Scale!$AA23=0),"",Scale!$AA23)</f>
        <v/>
      </c>
      <c r="E64" s="81">
        <f>IF(OR(Scale!$AA23="",Scale!$AA23=0),"",IF(Scale!$AA23="","","پوز باسکول — "&amp;Scale!$E23))</f>
        <v/>
      </c>
      <c r="F64" s="83" t="n"/>
      <c r="G64" s="83" t="n"/>
      <c r="H64" s="83" t="n"/>
      <c r="I64" s="83" t="n"/>
      <c r="J64" s="83" t="n"/>
      <c r="K64" s="82">
        <f>IF(OR(Scale!$AA23="",Scale!$AA23=0),"",IF(Scale!$AB23="",0,Scale!$AB23)+IF(Scale!$AC23="",0,Scale!$AC23))</f>
        <v/>
      </c>
      <c r="L64" s="82">
        <f>IF(OR(Scale!$AA23="",Scale!$AA23=0),"",Scale!$AB23)</f>
        <v/>
      </c>
      <c r="M64" s="82">
        <f>IF(OR(Scale!$AA23="",Scale!$AA23=0),"",Scale!$AC23)</f>
        <v/>
      </c>
      <c r="N64" s="81">
        <f>IF(OR(Scale!$AA23="",Scale!$AA23=0),"","پوز")</f>
        <v/>
      </c>
      <c r="O64" s="81">
        <f>IF(OR(Scale!$AA23="",Scale!$AA23=0),"",IFERROR(VLOOKUP(Scale!$AA23,AcctTbl,3,0),""))</f>
        <v/>
      </c>
      <c r="P64" s="82">
        <f>IF(Scale!$AA23&lt;&gt;"X011","","BN02")</f>
        <v/>
      </c>
    </row>
    <row r="65" ht="20.25" customHeight="1">
      <c r="A65" s="80">
        <f>IF(OR(Scale!$AD23="",Scale!$AD23=0),"",Scale!$B23)</f>
        <v/>
      </c>
      <c r="B65" s="80">
        <f>IF(OR(Scale!$AD23="",Scale!$AD23=0),"",Scale!$D23)</f>
        <v/>
      </c>
      <c r="C65" s="80">
        <f>IF(OR(Scale!$AD23="",Scale!$AD23=0),"","باسکول")</f>
        <v/>
      </c>
      <c r="D65" s="80">
        <f>IF(OR(Scale!$AD23="",Scale!$AD23=0),"",Scale!$AD23)</f>
        <v/>
      </c>
      <c r="E65" s="81">
        <f>IF(OR(Scale!$AD23="",Scale!$AD23=0),"",IF(Scale!$AD23="","","مقابل پوز — "&amp;Scale!$E23))</f>
        <v/>
      </c>
      <c r="F65" s="83" t="n"/>
      <c r="G65" s="83" t="n"/>
      <c r="H65" s="83" t="n"/>
      <c r="I65" s="83" t="n"/>
      <c r="J65" s="83" t="n"/>
      <c r="K65" s="82">
        <f>IF(OR(Scale!$AD23="",Scale!$AD23=0),"",IF(Scale!$AE23="",0,Scale!$AE23)+IF(Scale!$AF23="",0,Scale!$AF23))</f>
        <v/>
      </c>
      <c r="L65" s="82">
        <f>IF(OR(Scale!$AD23="",Scale!$AD23=0),"",Scale!$AE23)</f>
        <v/>
      </c>
      <c r="M65" s="82">
        <f>IF(OR(Scale!$AD23="",Scale!$AD23=0),"",Scale!$AF23)</f>
        <v/>
      </c>
      <c r="N65" s="81">
        <f>IF(OR(Scale!$AD23="",Scale!$AD23=0),"","مقابل پوز")</f>
        <v/>
      </c>
      <c r="O65" s="81">
        <f>IF(OR(Scale!$AD23="",Scale!$AD23=0),"",IFERROR(VLOOKUP(Scale!$AD23,AcctTbl,3,0),""))</f>
        <v/>
      </c>
      <c r="P65" s="82">
        <f>IF(Scale!$AD23&lt;&gt;"X011","","BN02")</f>
        <v/>
      </c>
    </row>
    <row r="66" ht="20.25" customHeight="1">
      <c r="A66" s="80">
        <f>IF(OR(Scale!$U24="",Scale!$U24=0),"",Scale!$B24)</f>
        <v/>
      </c>
      <c r="B66" s="80">
        <f>IF(OR(Scale!$U24="",Scale!$U24=0),"",Scale!$D24)</f>
        <v/>
      </c>
      <c r="C66" s="80">
        <f>IF(OR(Scale!$U24="",Scale!$U24=0),"","باسکول")</f>
        <v/>
      </c>
      <c r="D66" s="80">
        <f>IF(OR(Scale!$U24="",Scale!$U24=0),"",Scale!$U24)</f>
        <v/>
      </c>
      <c r="E66" s="81">
        <f>IF(OR(Scale!$U24="",Scale!$U24=0),"",Scale!$T24)</f>
        <v/>
      </c>
      <c r="F66" s="81">
        <f>IF(OR(Scale!$U24="",Scale!$U24=0),"",Scale!$J24)</f>
        <v/>
      </c>
      <c r="G66" s="82">
        <f>IF(OR(Scale!$U24="",Scale!$U24=0),"",Scale!$M24)</f>
        <v/>
      </c>
      <c r="H66" s="82">
        <f>IF(OR(Scale!$U24="",Scale!$U24=0),"",Scale!$L24)</f>
        <v/>
      </c>
      <c r="I66" s="82">
        <f>IF(OR(Scale!$U24="",Scale!$U24=0),"",Scale!$N24)</f>
        <v/>
      </c>
      <c r="J66" s="82">
        <f>IF(OR(Scale!$U24="",Scale!$U24=0),"",Scale!$O24)</f>
        <v/>
      </c>
      <c r="K66" s="82">
        <f>IF(OR(Scale!$U24="",Scale!$U24=0),"",IF(Scale!$V24="",0,Scale!$V24)+IF(Scale!$W24="",0,Scale!$W24))</f>
        <v/>
      </c>
      <c r="L66" s="82">
        <f>IF(OR(Scale!$U24="",Scale!$U24=0),"",Scale!$V24)</f>
        <v/>
      </c>
      <c r="M66" s="82">
        <f>IF(OR(Scale!$U24="",Scale!$U24=0),"",Scale!$W24)</f>
        <v/>
      </c>
      <c r="N66" s="81">
        <f>IF(OR(Scale!$U24="",Scale!$U24=0),"",Scale!$E24)</f>
        <v/>
      </c>
      <c r="O66" s="81">
        <f>IF(OR(Scale!$U24="",Scale!$U24=0),"",IFERROR(VLOOKUP(Scale!$U24,AcctTbl,3,0),""))</f>
        <v/>
      </c>
      <c r="P66" s="82">
        <f>IF(Scale!$U24&lt;&gt;"X011","","BN02")</f>
        <v/>
      </c>
    </row>
    <row r="67" ht="20.25" customHeight="1">
      <c r="A67" s="80">
        <f>IF(OR(Scale!$X24="",Scale!$X24=0),"",Scale!$B24)</f>
        <v/>
      </c>
      <c r="B67" s="80">
        <f>IF(OR(Scale!$X24="",Scale!$X24=0),"",Scale!$D24)</f>
        <v/>
      </c>
      <c r="C67" s="80">
        <f>IF(OR(Scale!$X24="",Scale!$X24=0),"","باسکول")</f>
        <v/>
      </c>
      <c r="D67" s="80">
        <f>IF(OR(Scale!$X24="",Scale!$X24=0),"",Scale!$X24)</f>
        <v/>
      </c>
      <c r="E67" s="81">
        <f>IF(OR(Scale!$X24="",Scale!$X24=0),"",IF(Scale!$X24="","","مقابل: "&amp;Scale!$E24))</f>
        <v/>
      </c>
      <c r="F67" s="83" t="n"/>
      <c r="G67" s="83" t="n"/>
      <c r="H67" s="83" t="n"/>
      <c r="I67" s="83" t="n"/>
      <c r="J67" s="83" t="n"/>
      <c r="K67" s="82">
        <f>IF(OR(Scale!$X24="",Scale!$X24=0),"",IF(Scale!$Y24="",0,Scale!$Y24)+IF(Scale!$Z24="",0,Scale!$Z24))</f>
        <v/>
      </c>
      <c r="L67" s="82">
        <f>IF(OR(Scale!$X24="",Scale!$X24=0),"",Scale!$Y24)</f>
        <v/>
      </c>
      <c r="M67" s="82">
        <f>IF(OR(Scale!$X24="",Scale!$X24=0),"",Scale!$Z24)</f>
        <v/>
      </c>
      <c r="N67" s="81">
        <f>IF(OR(Scale!$X24="",Scale!$X24=0),"","مقابل")</f>
        <v/>
      </c>
      <c r="O67" s="81">
        <f>IF(OR(Scale!$X24="",Scale!$X24=0),"",IFERROR(VLOOKUP(Scale!$X24,AcctTbl,3,0),""))</f>
        <v/>
      </c>
      <c r="P67" s="82">
        <f>IF(Scale!$X24&lt;&gt;"X011","","BN02")</f>
        <v/>
      </c>
    </row>
    <row r="68" ht="20.25" customHeight="1">
      <c r="A68" s="80">
        <f>IF(OR(Scale!$AA24="",Scale!$AA24=0),"",Scale!$B24)</f>
        <v/>
      </c>
      <c r="B68" s="80">
        <f>IF(OR(Scale!$AA24="",Scale!$AA24=0),"",Scale!$D24)</f>
        <v/>
      </c>
      <c r="C68" s="80">
        <f>IF(OR(Scale!$AA24="",Scale!$AA24=0),"","باسکول")</f>
        <v/>
      </c>
      <c r="D68" s="80">
        <f>IF(OR(Scale!$AA24="",Scale!$AA24=0),"",Scale!$AA24)</f>
        <v/>
      </c>
      <c r="E68" s="81">
        <f>IF(OR(Scale!$AA24="",Scale!$AA24=0),"",IF(Scale!$AA24="","","پوز باسکول — "&amp;Scale!$E24))</f>
        <v/>
      </c>
      <c r="F68" s="83" t="n"/>
      <c r="G68" s="83" t="n"/>
      <c r="H68" s="83" t="n"/>
      <c r="I68" s="83" t="n"/>
      <c r="J68" s="83" t="n"/>
      <c r="K68" s="82">
        <f>IF(OR(Scale!$AA24="",Scale!$AA24=0),"",IF(Scale!$AB24="",0,Scale!$AB24)+IF(Scale!$AC24="",0,Scale!$AC24))</f>
        <v/>
      </c>
      <c r="L68" s="82">
        <f>IF(OR(Scale!$AA24="",Scale!$AA24=0),"",Scale!$AB24)</f>
        <v/>
      </c>
      <c r="M68" s="82">
        <f>IF(OR(Scale!$AA24="",Scale!$AA24=0),"",Scale!$AC24)</f>
        <v/>
      </c>
      <c r="N68" s="81">
        <f>IF(OR(Scale!$AA24="",Scale!$AA24=0),"","پوز")</f>
        <v/>
      </c>
      <c r="O68" s="81">
        <f>IF(OR(Scale!$AA24="",Scale!$AA24=0),"",IFERROR(VLOOKUP(Scale!$AA24,AcctTbl,3,0),""))</f>
        <v/>
      </c>
      <c r="P68" s="82">
        <f>IF(Scale!$AA24&lt;&gt;"X011","","BN02")</f>
        <v/>
      </c>
    </row>
    <row r="69" ht="20.25" customHeight="1">
      <c r="A69" s="80">
        <f>IF(OR(Scale!$AD24="",Scale!$AD24=0),"",Scale!$B24)</f>
        <v/>
      </c>
      <c r="B69" s="80">
        <f>IF(OR(Scale!$AD24="",Scale!$AD24=0),"",Scale!$D24)</f>
        <v/>
      </c>
      <c r="C69" s="80">
        <f>IF(OR(Scale!$AD24="",Scale!$AD24=0),"","باسکول")</f>
        <v/>
      </c>
      <c r="D69" s="80">
        <f>IF(OR(Scale!$AD24="",Scale!$AD24=0),"",Scale!$AD24)</f>
        <v/>
      </c>
      <c r="E69" s="81">
        <f>IF(OR(Scale!$AD24="",Scale!$AD24=0),"",IF(Scale!$AD24="","","مقابل پوز — "&amp;Scale!$E24))</f>
        <v/>
      </c>
      <c r="F69" s="83" t="n"/>
      <c r="G69" s="83" t="n"/>
      <c r="H69" s="83" t="n"/>
      <c r="I69" s="83" t="n"/>
      <c r="J69" s="83" t="n"/>
      <c r="K69" s="82">
        <f>IF(OR(Scale!$AD24="",Scale!$AD24=0),"",IF(Scale!$AE24="",0,Scale!$AE24)+IF(Scale!$AF24="",0,Scale!$AF24))</f>
        <v/>
      </c>
      <c r="L69" s="82">
        <f>IF(OR(Scale!$AD24="",Scale!$AD24=0),"",Scale!$AE24)</f>
        <v/>
      </c>
      <c r="M69" s="82">
        <f>IF(OR(Scale!$AD24="",Scale!$AD24=0),"",Scale!$AF24)</f>
        <v/>
      </c>
      <c r="N69" s="81">
        <f>IF(OR(Scale!$AD24="",Scale!$AD24=0),"","مقابل پوز")</f>
        <v/>
      </c>
      <c r="O69" s="81">
        <f>IF(OR(Scale!$AD24="",Scale!$AD24=0),"",IFERROR(VLOOKUP(Scale!$AD24,AcctTbl,3,0),""))</f>
        <v/>
      </c>
      <c r="P69" s="82">
        <f>IF(Scale!$AD24&lt;&gt;"X011","","BN02")</f>
        <v/>
      </c>
    </row>
    <row r="70" ht="20.25" customHeight="1">
      <c r="A70" s="80">
        <f>IF(OR(Scale!$U25="",Scale!$U25=0),"",Scale!$B25)</f>
        <v/>
      </c>
      <c r="B70" s="80">
        <f>IF(OR(Scale!$U25="",Scale!$U25=0),"",Scale!$D25)</f>
        <v/>
      </c>
      <c r="C70" s="80">
        <f>IF(OR(Scale!$U25="",Scale!$U25=0),"","باسکول")</f>
        <v/>
      </c>
      <c r="D70" s="80">
        <f>IF(OR(Scale!$U25="",Scale!$U25=0),"",Scale!$U25)</f>
        <v/>
      </c>
      <c r="E70" s="81">
        <f>IF(OR(Scale!$U25="",Scale!$U25=0),"",Scale!$T25)</f>
        <v/>
      </c>
      <c r="F70" s="81">
        <f>IF(OR(Scale!$U25="",Scale!$U25=0),"",Scale!$J25)</f>
        <v/>
      </c>
      <c r="G70" s="82">
        <f>IF(OR(Scale!$U25="",Scale!$U25=0),"",Scale!$M25)</f>
        <v/>
      </c>
      <c r="H70" s="82">
        <f>IF(OR(Scale!$U25="",Scale!$U25=0),"",Scale!$L25)</f>
        <v/>
      </c>
      <c r="I70" s="82">
        <f>IF(OR(Scale!$U25="",Scale!$U25=0),"",Scale!$N25)</f>
        <v/>
      </c>
      <c r="J70" s="82">
        <f>IF(OR(Scale!$U25="",Scale!$U25=0),"",Scale!$O25)</f>
        <v/>
      </c>
      <c r="K70" s="82">
        <f>IF(OR(Scale!$U25="",Scale!$U25=0),"",IF(Scale!$V25="",0,Scale!$V25)+IF(Scale!$W25="",0,Scale!$W25))</f>
        <v/>
      </c>
      <c r="L70" s="82">
        <f>IF(OR(Scale!$U25="",Scale!$U25=0),"",Scale!$V25)</f>
        <v/>
      </c>
      <c r="M70" s="82">
        <f>IF(OR(Scale!$U25="",Scale!$U25=0),"",Scale!$W25)</f>
        <v/>
      </c>
      <c r="N70" s="81">
        <f>IF(OR(Scale!$U25="",Scale!$U25=0),"",Scale!$E25)</f>
        <v/>
      </c>
      <c r="O70" s="81">
        <f>IF(OR(Scale!$U25="",Scale!$U25=0),"",IFERROR(VLOOKUP(Scale!$U25,AcctTbl,3,0),""))</f>
        <v/>
      </c>
      <c r="P70" s="82">
        <f>IF(Scale!$U25&lt;&gt;"X011","","BN02")</f>
        <v/>
      </c>
    </row>
    <row r="71" ht="20.25" customHeight="1">
      <c r="A71" s="80">
        <f>IF(OR(Scale!$X25="",Scale!$X25=0),"",Scale!$B25)</f>
        <v/>
      </c>
      <c r="B71" s="80">
        <f>IF(OR(Scale!$X25="",Scale!$X25=0),"",Scale!$D25)</f>
        <v/>
      </c>
      <c r="C71" s="80">
        <f>IF(OR(Scale!$X25="",Scale!$X25=0),"","باسکول")</f>
        <v/>
      </c>
      <c r="D71" s="80">
        <f>IF(OR(Scale!$X25="",Scale!$X25=0),"",Scale!$X25)</f>
        <v/>
      </c>
      <c r="E71" s="81">
        <f>IF(OR(Scale!$X25="",Scale!$X25=0),"",IF(Scale!$X25="","","مقابل: "&amp;Scale!$E25))</f>
        <v/>
      </c>
      <c r="F71" s="83" t="n"/>
      <c r="G71" s="83" t="n"/>
      <c r="H71" s="83" t="n"/>
      <c r="I71" s="83" t="n"/>
      <c r="J71" s="83" t="n"/>
      <c r="K71" s="82">
        <f>IF(OR(Scale!$X25="",Scale!$X25=0),"",IF(Scale!$Y25="",0,Scale!$Y25)+IF(Scale!$Z25="",0,Scale!$Z25))</f>
        <v/>
      </c>
      <c r="L71" s="82">
        <f>IF(OR(Scale!$X25="",Scale!$X25=0),"",Scale!$Y25)</f>
        <v/>
      </c>
      <c r="M71" s="82">
        <f>IF(OR(Scale!$X25="",Scale!$X25=0),"",Scale!$Z25)</f>
        <v/>
      </c>
      <c r="N71" s="81">
        <f>IF(OR(Scale!$X25="",Scale!$X25=0),"","مقابل")</f>
        <v/>
      </c>
      <c r="O71" s="81">
        <f>IF(OR(Scale!$X25="",Scale!$X25=0),"",IFERROR(VLOOKUP(Scale!$X25,AcctTbl,3,0),""))</f>
        <v/>
      </c>
      <c r="P71" s="82">
        <f>IF(Scale!$X25&lt;&gt;"X011","","BN02")</f>
        <v/>
      </c>
    </row>
    <row r="72" ht="20.25" customHeight="1">
      <c r="A72" s="80">
        <f>IF(OR(Scale!$AA25="",Scale!$AA25=0),"",Scale!$B25)</f>
        <v/>
      </c>
      <c r="B72" s="80">
        <f>IF(OR(Scale!$AA25="",Scale!$AA25=0),"",Scale!$D25)</f>
        <v/>
      </c>
      <c r="C72" s="80">
        <f>IF(OR(Scale!$AA25="",Scale!$AA25=0),"","باسکول")</f>
        <v/>
      </c>
      <c r="D72" s="80">
        <f>IF(OR(Scale!$AA25="",Scale!$AA25=0),"",Scale!$AA25)</f>
        <v/>
      </c>
      <c r="E72" s="81">
        <f>IF(OR(Scale!$AA25="",Scale!$AA25=0),"",IF(Scale!$AA25="","","پوز باسکول — "&amp;Scale!$E25))</f>
        <v/>
      </c>
      <c r="F72" s="83" t="n"/>
      <c r="G72" s="83" t="n"/>
      <c r="H72" s="83" t="n"/>
      <c r="I72" s="83" t="n"/>
      <c r="J72" s="83" t="n"/>
      <c r="K72" s="82">
        <f>IF(OR(Scale!$AA25="",Scale!$AA25=0),"",IF(Scale!$AB25="",0,Scale!$AB25)+IF(Scale!$AC25="",0,Scale!$AC25))</f>
        <v/>
      </c>
      <c r="L72" s="82">
        <f>IF(OR(Scale!$AA25="",Scale!$AA25=0),"",Scale!$AB25)</f>
        <v/>
      </c>
      <c r="M72" s="82">
        <f>IF(OR(Scale!$AA25="",Scale!$AA25=0),"",Scale!$AC25)</f>
        <v/>
      </c>
      <c r="N72" s="81">
        <f>IF(OR(Scale!$AA25="",Scale!$AA25=0),"","پوز")</f>
        <v/>
      </c>
      <c r="O72" s="81">
        <f>IF(OR(Scale!$AA25="",Scale!$AA25=0),"",IFERROR(VLOOKUP(Scale!$AA25,AcctTbl,3,0),""))</f>
        <v/>
      </c>
      <c r="P72" s="82">
        <f>IF(Scale!$AA25&lt;&gt;"X011","","BN02")</f>
        <v/>
      </c>
    </row>
    <row r="73" ht="20.25" customHeight="1">
      <c r="A73" s="80">
        <f>IF(OR(Scale!$AD25="",Scale!$AD25=0),"",Scale!$B25)</f>
        <v/>
      </c>
      <c r="B73" s="80">
        <f>IF(OR(Scale!$AD25="",Scale!$AD25=0),"",Scale!$D25)</f>
        <v/>
      </c>
      <c r="C73" s="80">
        <f>IF(OR(Scale!$AD25="",Scale!$AD25=0),"","باسکول")</f>
        <v/>
      </c>
      <c r="D73" s="80">
        <f>IF(OR(Scale!$AD25="",Scale!$AD25=0),"",Scale!$AD25)</f>
        <v/>
      </c>
      <c r="E73" s="81">
        <f>IF(OR(Scale!$AD25="",Scale!$AD25=0),"",IF(Scale!$AD25="","","مقابل پوز — "&amp;Scale!$E25))</f>
        <v/>
      </c>
      <c r="F73" s="83" t="n"/>
      <c r="G73" s="83" t="n"/>
      <c r="H73" s="83" t="n"/>
      <c r="I73" s="83" t="n"/>
      <c r="J73" s="83" t="n"/>
      <c r="K73" s="82">
        <f>IF(OR(Scale!$AD25="",Scale!$AD25=0),"",IF(Scale!$AE25="",0,Scale!$AE25)+IF(Scale!$AF25="",0,Scale!$AF25))</f>
        <v/>
      </c>
      <c r="L73" s="82">
        <f>IF(OR(Scale!$AD25="",Scale!$AD25=0),"",Scale!$AE25)</f>
        <v/>
      </c>
      <c r="M73" s="82">
        <f>IF(OR(Scale!$AD25="",Scale!$AD25=0),"",Scale!$AF25)</f>
        <v/>
      </c>
      <c r="N73" s="81">
        <f>IF(OR(Scale!$AD25="",Scale!$AD25=0),"","مقابل پوز")</f>
        <v/>
      </c>
      <c r="O73" s="81">
        <f>IF(OR(Scale!$AD25="",Scale!$AD25=0),"",IFERROR(VLOOKUP(Scale!$AD25,AcctTbl,3,0),""))</f>
        <v/>
      </c>
      <c r="P73" s="82">
        <f>IF(Scale!$AD25&lt;&gt;"X011","","BN02")</f>
        <v/>
      </c>
    </row>
    <row r="74" ht="20.25" customHeight="1">
      <c r="A74" s="80">
        <f>IF(OR(Scale!$U26="",Scale!$U26=0),"",Scale!$B26)</f>
        <v/>
      </c>
      <c r="B74" s="80">
        <f>IF(OR(Scale!$U26="",Scale!$U26=0),"",Scale!$D26)</f>
        <v/>
      </c>
      <c r="C74" s="80">
        <f>IF(OR(Scale!$U26="",Scale!$U26=0),"","باسکول")</f>
        <v/>
      </c>
      <c r="D74" s="80">
        <f>IF(OR(Scale!$U26="",Scale!$U26=0),"",Scale!$U26)</f>
        <v/>
      </c>
      <c r="E74" s="81">
        <f>IF(OR(Scale!$U26="",Scale!$U26=0),"",Scale!$T26)</f>
        <v/>
      </c>
      <c r="F74" s="81">
        <f>IF(OR(Scale!$U26="",Scale!$U26=0),"",Scale!$J26)</f>
        <v/>
      </c>
      <c r="G74" s="82">
        <f>IF(OR(Scale!$U26="",Scale!$U26=0),"",Scale!$M26)</f>
        <v/>
      </c>
      <c r="H74" s="82">
        <f>IF(OR(Scale!$U26="",Scale!$U26=0),"",Scale!$L26)</f>
        <v/>
      </c>
      <c r="I74" s="82">
        <f>IF(OR(Scale!$U26="",Scale!$U26=0),"",Scale!$N26)</f>
        <v/>
      </c>
      <c r="J74" s="82">
        <f>IF(OR(Scale!$U26="",Scale!$U26=0),"",Scale!$O26)</f>
        <v/>
      </c>
      <c r="K74" s="82">
        <f>IF(OR(Scale!$U26="",Scale!$U26=0),"",IF(Scale!$V26="",0,Scale!$V26)+IF(Scale!$W26="",0,Scale!$W26))</f>
        <v/>
      </c>
      <c r="L74" s="82">
        <f>IF(OR(Scale!$U26="",Scale!$U26=0),"",Scale!$V26)</f>
        <v/>
      </c>
      <c r="M74" s="82">
        <f>IF(OR(Scale!$U26="",Scale!$U26=0),"",Scale!$W26)</f>
        <v/>
      </c>
      <c r="N74" s="81">
        <f>IF(OR(Scale!$U26="",Scale!$U26=0),"",Scale!$E26)</f>
        <v/>
      </c>
      <c r="O74" s="81">
        <f>IF(OR(Scale!$U26="",Scale!$U26=0),"",IFERROR(VLOOKUP(Scale!$U26,AcctTbl,3,0),""))</f>
        <v/>
      </c>
      <c r="P74" s="82">
        <f>IF(Scale!$U26&lt;&gt;"X011","","BN02")</f>
        <v/>
      </c>
    </row>
    <row r="75" ht="20.25" customHeight="1">
      <c r="A75" s="80">
        <f>IF(OR(Scale!$X26="",Scale!$X26=0),"",Scale!$B26)</f>
        <v/>
      </c>
      <c r="B75" s="80">
        <f>IF(OR(Scale!$X26="",Scale!$X26=0),"",Scale!$D26)</f>
        <v/>
      </c>
      <c r="C75" s="80">
        <f>IF(OR(Scale!$X26="",Scale!$X26=0),"","باسکول")</f>
        <v/>
      </c>
      <c r="D75" s="80">
        <f>IF(OR(Scale!$X26="",Scale!$X26=0),"",Scale!$X26)</f>
        <v/>
      </c>
      <c r="E75" s="81">
        <f>IF(OR(Scale!$X26="",Scale!$X26=0),"",IF(Scale!$X26="","","مقابل: "&amp;Scale!$E26))</f>
        <v/>
      </c>
      <c r="F75" s="83" t="n"/>
      <c r="G75" s="83" t="n"/>
      <c r="H75" s="83" t="n"/>
      <c r="I75" s="83" t="n"/>
      <c r="J75" s="83" t="n"/>
      <c r="K75" s="82">
        <f>IF(OR(Scale!$X26="",Scale!$X26=0),"",IF(Scale!$Y26="",0,Scale!$Y26)+IF(Scale!$Z26="",0,Scale!$Z26))</f>
        <v/>
      </c>
      <c r="L75" s="82">
        <f>IF(OR(Scale!$X26="",Scale!$X26=0),"",Scale!$Y26)</f>
        <v/>
      </c>
      <c r="M75" s="82">
        <f>IF(OR(Scale!$X26="",Scale!$X26=0),"",Scale!$Z26)</f>
        <v/>
      </c>
      <c r="N75" s="81">
        <f>IF(OR(Scale!$X26="",Scale!$X26=0),"","مقابل")</f>
        <v/>
      </c>
      <c r="O75" s="81">
        <f>IF(OR(Scale!$X26="",Scale!$X26=0),"",IFERROR(VLOOKUP(Scale!$X26,AcctTbl,3,0),""))</f>
        <v/>
      </c>
      <c r="P75" s="82">
        <f>IF(Scale!$X26&lt;&gt;"X011","","BN02")</f>
        <v/>
      </c>
    </row>
    <row r="76" ht="20.25" customHeight="1">
      <c r="A76" s="80">
        <f>IF(OR(Scale!$AA26="",Scale!$AA26=0),"",Scale!$B26)</f>
        <v/>
      </c>
      <c r="B76" s="80">
        <f>IF(OR(Scale!$AA26="",Scale!$AA26=0),"",Scale!$D26)</f>
        <v/>
      </c>
      <c r="C76" s="80">
        <f>IF(OR(Scale!$AA26="",Scale!$AA26=0),"","باسکول")</f>
        <v/>
      </c>
      <c r="D76" s="80">
        <f>IF(OR(Scale!$AA26="",Scale!$AA26=0),"",Scale!$AA26)</f>
        <v/>
      </c>
      <c r="E76" s="81">
        <f>IF(OR(Scale!$AA26="",Scale!$AA26=0),"",IF(Scale!$AA26="","","پوز باسکول — "&amp;Scale!$E26))</f>
        <v/>
      </c>
      <c r="F76" s="83" t="n"/>
      <c r="G76" s="83" t="n"/>
      <c r="H76" s="83" t="n"/>
      <c r="I76" s="83" t="n"/>
      <c r="J76" s="83" t="n"/>
      <c r="K76" s="82">
        <f>IF(OR(Scale!$AA26="",Scale!$AA26=0),"",IF(Scale!$AB26="",0,Scale!$AB26)+IF(Scale!$AC26="",0,Scale!$AC26))</f>
        <v/>
      </c>
      <c r="L76" s="82">
        <f>IF(OR(Scale!$AA26="",Scale!$AA26=0),"",Scale!$AB26)</f>
        <v/>
      </c>
      <c r="M76" s="82">
        <f>IF(OR(Scale!$AA26="",Scale!$AA26=0),"",Scale!$AC26)</f>
        <v/>
      </c>
      <c r="N76" s="81">
        <f>IF(OR(Scale!$AA26="",Scale!$AA26=0),"","پوز")</f>
        <v/>
      </c>
      <c r="O76" s="81">
        <f>IF(OR(Scale!$AA26="",Scale!$AA26=0),"",IFERROR(VLOOKUP(Scale!$AA26,AcctTbl,3,0),""))</f>
        <v/>
      </c>
      <c r="P76" s="82">
        <f>IF(Scale!$AA26&lt;&gt;"X011","","BN02")</f>
        <v/>
      </c>
    </row>
    <row r="77" ht="20.25" customHeight="1">
      <c r="A77" s="80">
        <f>IF(OR(Scale!$AD26="",Scale!$AD26=0),"",Scale!$B26)</f>
        <v/>
      </c>
      <c r="B77" s="80">
        <f>IF(OR(Scale!$AD26="",Scale!$AD26=0),"",Scale!$D26)</f>
        <v/>
      </c>
      <c r="C77" s="80">
        <f>IF(OR(Scale!$AD26="",Scale!$AD26=0),"","باسکول")</f>
        <v/>
      </c>
      <c r="D77" s="80">
        <f>IF(OR(Scale!$AD26="",Scale!$AD26=0),"",Scale!$AD26)</f>
        <v/>
      </c>
      <c r="E77" s="81">
        <f>IF(OR(Scale!$AD26="",Scale!$AD26=0),"",IF(Scale!$AD26="","","مقابل پوز — "&amp;Scale!$E26))</f>
        <v/>
      </c>
      <c r="F77" s="83" t="n"/>
      <c r="G77" s="83" t="n"/>
      <c r="H77" s="83" t="n"/>
      <c r="I77" s="83" t="n"/>
      <c r="J77" s="83" t="n"/>
      <c r="K77" s="82">
        <f>IF(OR(Scale!$AD26="",Scale!$AD26=0),"",IF(Scale!$AE26="",0,Scale!$AE26)+IF(Scale!$AF26="",0,Scale!$AF26))</f>
        <v/>
      </c>
      <c r="L77" s="82">
        <f>IF(OR(Scale!$AD26="",Scale!$AD26=0),"",Scale!$AE26)</f>
        <v/>
      </c>
      <c r="M77" s="82">
        <f>IF(OR(Scale!$AD26="",Scale!$AD26=0),"",Scale!$AF26)</f>
        <v/>
      </c>
      <c r="N77" s="81">
        <f>IF(OR(Scale!$AD26="",Scale!$AD26=0),"","مقابل پوز")</f>
        <v/>
      </c>
      <c r="O77" s="81">
        <f>IF(OR(Scale!$AD26="",Scale!$AD26=0),"",IFERROR(VLOOKUP(Scale!$AD26,AcctTbl,3,0),""))</f>
        <v/>
      </c>
      <c r="P77" s="82">
        <f>IF(Scale!$AD26&lt;&gt;"X011","","BN02")</f>
        <v/>
      </c>
    </row>
    <row r="78" ht="20.25" customHeight="1">
      <c r="A78" s="80">
        <f>IF(OR(Scale!$U27="",Scale!$U27=0),"",Scale!$B27)</f>
        <v/>
      </c>
      <c r="B78" s="80">
        <f>IF(OR(Scale!$U27="",Scale!$U27=0),"",Scale!$D27)</f>
        <v/>
      </c>
      <c r="C78" s="80">
        <f>IF(OR(Scale!$U27="",Scale!$U27=0),"","باسکول")</f>
        <v/>
      </c>
      <c r="D78" s="80">
        <f>IF(OR(Scale!$U27="",Scale!$U27=0),"",Scale!$U27)</f>
        <v/>
      </c>
      <c r="E78" s="81">
        <f>IF(OR(Scale!$U27="",Scale!$U27=0),"",Scale!$T27)</f>
        <v/>
      </c>
      <c r="F78" s="81">
        <f>IF(OR(Scale!$U27="",Scale!$U27=0),"",Scale!$J27)</f>
        <v/>
      </c>
      <c r="G78" s="82">
        <f>IF(OR(Scale!$U27="",Scale!$U27=0),"",Scale!$M27)</f>
        <v/>
      </c>
      <c r="H78" s="82">
        <f>IF(OR(Scale!$U27="",Scale!$U27=0),"",Scale!$L27)</f>
        <v/>
      </c>
      <c r="I78" s="82">
        <f>IF(OR(Scale!$U27="",Scale!$U27=0),"",Scale!$N27)</f>
        <v/>
      </c>
      <c r="J78" s="82">
        <f>IF(OR(Scale!$U27="",Scale!$U27=0),"",Scale!$O27)</f>
        <v/>
      </c>
      <c r="K78" s="82">
        <f>IF(OR(Scale!$U27="",Scale!$U27=0),"",IF(Scale!$V27="",0,Scale!$V27)+IF(Scale!$W27="",0,Scale!$W27))</f>
        <v/>
      </c>
      <c r="L78" s="82">
        <f>IF(OR(Scale!$U27="",Scale!$U27=0),"",Scale!$V27)</f>
        <v/>
      </c>
      <c r="M78" s="82">
        <f>IF(OR(Scale!$U27="",Scale!$U27=0),"",Scale!$W27)</f>
        <v/>
      </c>
      <c r="N78" s="81">
        <f>IF(OR(Scale!$U27="",Scale!$U27=0),"",Scale!$E27)</f>
        <v/>
      </c>
      <c r="O78" s="81">
        <f>IF(OR(Scale!$U27="",Scale!$U27=0),"",IFERROR(VLOOKUP(Scale!$U27,AcctTbl,3,0),""))</f>
        <v/>
      </c>
      <c r="P78" s="82">
        <f>IF(Scale!$U27&lt;&gt;"X011","","BN02")</f>
        <v/>
      </c>
    </row>
    <row r="79" ht="20.25" customHeight="1">
      <c r="A79" s="80">
        <f>IF(OR(Scale!$X27="",Scale!$X27=0),"",Scale!$B27)</f>
        <v/>
      </c>
      <c r="B79" s="80">
        <f>IF(OR(Scale!$X27="",Scale!$X27=0),"",Scale!$D27)</f>
        <v/>
      </c>
      <c r="C79" s="80">
        <f>IF(OR(Scale!$X27="",Scale!$X27=0),"","باسکول")</f>
        <v/>
      </c>
      <c r="D79" s="80">
        <f>IF(OR(Scale!$X27="",Scale!$X27=0),"",Scale!$X27)</f>
        <v/>
      </c>
      <c r="E79" s="81">
        <f>IF(OR(Scale!$X27="",Scale!$X27=0),"",IF(Scale!$X27="","","مقابل: "&amp;Scale!$E27))</f>
        <v/>
      </c>
      <c r="F79" s="83" t="n"/>
      <c r="G79" s="83" t="n"/>
      <c r="H79" s="83" t="n"/>
      <c r="I79" s="83" t="n"/>
      <c r="J79" s="83" t="n"/>
      <c r="K79" s="82">
        <f>IF(OR(Scale!$X27="",Scale!$X27=0),"",IF(Scale!$Y27="",0,Scale!$Y27)+IF(Scale!$Z27="",0,Scale!$Z27))</f>
        <v/>
      </c>
      <c r="L79" s="82">
        <f>IF(OR(Scale!$X27="",Scale!$X27=0),"",Scale!$Y27)</f>
        <v/>
      </c>
      <c r="M79" s="82">
        <f>IF(OR(Scale!$X27="",Scale!$X27=0),"",Scale!$Z27)</f>
        <v/>
      </c>
      <c r="N79" s="81">
        <f>IF(OR(Scale!$X27="",Scale!$X27=0),"","مقابل")</f>
        <v/>
      </c>
      <c r="O79" s="81">
        <f>IF(OR(Scale!$X27="",Scale!$X27=0),"",IFERROR(VLOOKUP(Scale!$X27,AcctTbl,3,0),""))</f>
        <v/>
      </c>
      <c r="P79" s="82">
        <f>IF(Scale!$X27&lt;&gt;"X011","","BN02")</f>
        <v/>
      </c>
    </row>
    <row r="80" ht="20.25" customHeight="1">
      <c r="A80" s="80">
        <f>IF(OR(Scale!$AA27="",Scale!$AA27=0),"",Scale!$B27)</f>
        <v/>
      </c>
      <c r="B80" s="80">
        <f>IF(OR(Scale!$AA27="",Scale!$AA27=0),"",Scale!$D27)</f>
        <v/>
      </c>
      <c r="C80" s="80">
        <f>IF(OR(Scale!$AA27="",Scale!$AA27=0),"","باسکول")</f>
        <v/>
      </c>
      <c r="D80" s="80">
        <f>IF(OR(Scale!$AA27="",Scale!$AA27=0),"",Scale!$AA27)</f>
        <v/>
      </c>
      <c r="E80" s="81">
        <f>IF(OR(Scale!$AA27="",Scale!$AA27=0),"",IF(Scale!$AA27="","","پوز باسکول — "&amp;Scale!$E27))</f>
        <v/>
      </c>
      <c r="F80" s="83" t="n"/>
      <c r="G80" s="83" t="n"/>
      <c r="H80" s="83" t="n"/>
      <c r="I80" s="83" t="n"/>
      <c r="J80" s="83" t="n"/>
      <c r="K80" s="82">
        <f>IF(OR(Scale!$AA27="",Scale!$AA27=0),"",IF(Scale!$AB27="",0,Scale!$AB27)+IF(Scale!$AC27="",0,Scale!$AC27))</f>
        <v/>
      </c>
      <c r="L80" s="82">
        <f>IF(OR(Scale!$AA27="",Scale!$AA27=0),"",Scale!$AB27)</f>
        <v/>
      </c>
      <c r="M80" s="82">
        <f>IF(OR(Scale!$AA27="",Scale!$AA27=0),"",Scale!$AC27)</f>
        <v/>
      </c>
      <c r="N80" s="81">
        <f>IF(OR(Scale!$AA27="",Scale!$AA27=0),"","پوز")</f>
        <v/>
      </c>
      <c r="O80" s="81">
        <f>IF(OR(Scale!$AA27="",Scale!$AA27=0),"",IFERROR(VLOOKUP(Scale!$AA27,AcctTbl,3,0),""))</f>
        <v/>
      </c>
      <c r="P80" s="82">
        <f>IF(Scale!$AA27&lt;&gt;"X011","","BN02")</f>
        <v/>
      </c>
    </row>
    <row r="81" ht="20.25" customHeight="1">
      <c r="A81" s="80">
        <f>IF(OR(Scale!$AD27="",Scale!$AD27=0),"",Scale!$B27)</f>
        <v/>
      </c>
      <c r="B81" s="80">
        <f>IF(OR(Scale!$AD27="",Scale!$AD27=0),"",Scale!$D27)</f>
        <v/>
      </c>
      <c r="C81" s="80">
        <f>IF(OR(Scale!$AD27="",Scale!$AD27=0),"","باسکول")</f>
        <v/>
      </c>
      <c r="D81" s="80">
        <f>IF(OR(Scale!$AD27="",Scale!$AD27=0),"",Scale!$AD27)</f>
        <v/>
      </c>
      <c r="E81" s="81">
        <f>IF(OR(Scale!$AD27="",Scale!$AD27=0),"",IF(Scale!$AD27="","","مقابل پوز — "&amp;Scale!$E27))</f>
        <v/>
      </c>
      <c r="F81" s="83" t="n"/>
      <c r="G81" s="83" t="n"/>
      <c r="H81" s="83" t="n"/>
      <c r="I81" s="83" t="n"/>
      <c r="J81" s="83" t="n"/>
      <c r="K81" s="82">
        <f>IF(OR(Scale!$AD27="",Scale!$AD27=0),"",IF(Scale!$AE27="",0,Scale!$AE27)+IF(Scale!$AF27="",0,Scale!$AF27))</f>
        <v/>
      </c>
      <c r="L81" s="82">
        <f>IF(OR(Scale!$AD27="",Scale!$AD27=0),"",Scale!$AE27)</f>
        <v/>
      </c>
      <c r="M81" s="82">
        <f>IF(OR(Scale!$AD27="",Scale!$AD27=0),"",Scale!$AF27)</f>
        <v/>
      </c>
      <c r="N81" s="81">
        <f>IF(OR(Scale!$AD27="",Scale!$AD27=0),"","مقابل پوز")</f>
        <v/>
      </c>
      <c r="O81" s="81">
        <f>IF(OR(Scale!$AD27="",Scale!$AD27=0),"",IFERROR(VLOOKUP(Scale!$AD27,AcctTbl,3,0),""))</f>
        <v/>
      </c>
      <c r="P81" s="82">
        <f>IF(Scale!$AD27&lt;&gt;"X011","","BN02")</f>
        <v/>
      </c>
    </row>
    <row r="82" ht="20.25" customHeight="1">
      <c r="A82" s="80">
        <f>IF(OR(Scale!$U28="",Scale!$U28=0),"",Scale!$B28)</f>
        <v/>
      </c>
      <c r="B82" s="80">
        <f>IF(OR(Scale!$U28="",Scale!$U28=0),"",Scale!$D28)</f>
        <v/>
      </c>
      <c r="C82" s="80">
        <f>IF(OR(Scale!$U28="",Scale!$U28=0),"","باسکول")</f>
        <v/>
      </c>
      <c r="D82" s="80">
        <f>IF(OR(Scale!$U28="",Scale!$U28=0),"",Scale!$U28)</f>
        <v/>
      </c>
      <c r="E82" s="81">
        <f>IF(OR(Scale!$U28="",Scale!$U28=0),"",Scale!$T28)</f>
        <v/>
      </c>
      <c r="F82" s="81">
        <f>IF(OR(Scale!$U28="",Scale!$U28=0),"",Scale!$J28)</f>
        <v/>
      </c>
      <c r="G82" s="82">
        <f>IF(OR(Scale!$U28="",Scale!$U28=0),"",Scale!$M28)</f>
        <v/>
      </c>
      <c r="H82" s="82">
        <f>IF(OR(Scale!$U28="",Scale!$U28=0),"",Scale!$L28)</f>
        <v/>
      </c>
      <c r="I82" s="82">
        <f>IF(OR(Scale!$U28="",Scale!$U28=0),"",Scale!$N28)</f>
        <v/>
      </c>
      <c r="J82" s="82">
        <f>IF(OR(Scale!$U28="",Scale!$U28=0),"",Scale!$O28)</f>
        <v/>
      </c>
      <c r="K82" s="82">
        <f>IF(OR(Scale!$U28="",Scale!$U28=0),"",IF(Scale!$V28="",0,Scale!$V28)+IF(Scale!$W28="",0,Scale!$W28))</f>
        <v/>
      </c>
      <c r="L82" s="82">
        <f>IF(OR(Scale!$U28="",Scale!$U28=0),"",Scale!$V28)</f>
        <v/>
      </c>
      <c r="M82" s="82">
        <f>IF(OR(Scale!$U28="",Scale!$U28=0),"",Scale!$W28)</f>
        <v/>
      </c>
      <c r="N82" s="81">
        <f>IF(OR(Scale!$U28="",Scale!$U28=0),"",Scale!$E28)</f>
        <v/>
      </c>
      <c r="O82" s="81">
        <f>IF(OR(Scale!$U28="",Scale!$U28=0),"",IFERROR(VLOOKUP(Scale!$U28,AcctTbl,3,0),""))</f>
        <v/>
      </c>
      <c r="P82" s="82">
        <f>IF(Scale!$U28&lt;&gt;"X011","","BN02")</f>
        <v/>
      </c>
    </row>
    <row r="83" ht="20.25" customHeight="1">
      <c r="A83" s="80">
        <f>IF(OR(Scale!$X28="",Scale!$X28=0),"",Scale!$B28)</f>
        <v/>
      </c>
      <c r="B83" s="80">
        <f>IF(OR(Scale!$X28="",Scale!$X28=0),"",Scale!$D28)</f>
        <v/>
      </c>
      <c r="C83" s="80">
        <f>IF(OR(Scale!$X28="",Scale!$X28=0),"","باسکول")</f>
        <v/>
      </c>
      <c r="D83" s="80">
        <f>IF(OR(Scale!$X28="",Scale!$X28=0),"",Scale!$X28)</f>
        <v/>
      </c>
      <c r="E83" s="81">
        <f>IF(OR(Scale!$X28="",Scale!$X28=0),"",IF(Scale!$X28="","","مقابل: "&amp;Scale!$E28))</f>
        <v/>
      </c>
      <c r="F83" s="83" t="n"/>
      <c r="G83" s="83" t="n"/>
      <c r="H83" s="83" t="n"/>
      <c r="I83" s="83" t="n"/>
      <c r="J83" s="83" t="n"/>
      <c r="K83" s="82">
        <f>IF(OR(Scale!$X28="",Scale!$X28=0),"",IF(Scale!$Y28="",0,Scale!$Y28)+IF(Scale!$Z28="",0,Scale!$Z28))</f>
        <v/>
      </c>
      <c r="L83" s="82">
        <f>IF(OR(Scale!$X28="",Scale!$X28=0),"",Scale!$Y28)</f>
        <v/>
      </c>
      <c r="M83" s="82">
        <f>IF(OR(Scale!$X28="",Scale!$X28=0),"",Scale!$Z28)</f>
        <v/>
      </c>
      <c r="N83" s="81">
        <f>IF(OR(Scale!$X28="",Scale!$X28=0),"","مقابل")</f>
        <v/>
      </c>
      <c r="O83" s="81">
        <f>IF(OR(Scale!$X28="",Scale!$X28=0),"",IFERROR(VLOOKUP(Scale!$X28,AcctTbl,3,0),""))</f>
        <v/>
      </c>
      <c r="P83" s="82">
        <f>IF(Scale!$X28&lt;&gt;"X011","","BN02")</f>
        <v/>
      </c>
    </row>
    <row r="84" ht="20.25" customHeight="1">
      <c r="A84" s="80">
        <f>IF(OR(Scale!$AA28="",Scale!$AA28=0),"",Scale!$B28)</f>
        <v/>
      </c>
      <c r="B84" s="80">
        <f>IF(OR(Scale!$AA28="",Scale!$AA28=0),"",Scale!$D28)</f>
        <v/>
      </c>
      <c r="C84" s="80">
        <f>IF(OR(Scale!$AA28="",Scale!$AA28=0),"","باسکول")</f>
        <v/>
      </c>
      <c r="D84" s="80">
        <f>IF(OR(Scale!$AA28="",Scale!$AA28=0),"",Scale!$AA28)</f>
        <v/>
      </c>
      <c r="E84" s="81">
        <f>IF(OR(Scale!$AA28="",Scale!$AA28=0),"",IF(Scale!$AA28="","","پوز باسکول — "&amp;Scale!$E28))</f>
        <v/>
      </c>
      <c r="F84" s="83" t="n"/>
      <c r="G84" s="83" t="n"/>
      <c r="H84" s="83" t="n"/>
      <c r="I84" s="83" t="n"/>
      <c r="J84" s="83" t="n"/>
      <c r="K84" s="82">
        <f>IF(OR(Scale!$AA28="",Scale!$AA28=0),"",IF(Scale!$AB28="",0,Scale!$AB28)+IF(Scale!$AC28="",0,Scale!$AC28))</f>
        <v/>
      </c>
      <c r="L84" s="82">
        <f>IF(OR(Scale!$AA28="",Scale!$AA28=0),"",Scale!$AB28)</f>
        <v/>
      </c>
      <c r="M84" s="82">
        <f>IF(OR(Scale!$AA28="",Scale!$AA28=0),"",Scale!$AC28)</f>
        <v/>
      </c>
      <c r="N84" s="81">
        <f>IF(OR(Scale!$AA28="",Scale!$AA28=0),"","پوز")</f>
        <v/>
      </c>
      <c r="O84" s="81">
        <f>IF(OR(Scale!$AA28="",Scale!$AA28=0),"",IFERROR(VLOOKUP(Scale!$AA28,AcctTbl,3,0),""))</f>
        <v/>
      </c>
      <c r="P84" s="82">
        <f>IF(Scale!$AA28&lt;&gt;"X011","","BN02")</f>
        <v/>
      </c>
    </row>
    <row r="85" ht="20.25" customHeight="1">
      <c r="A85" s="80">
        <f>IF(OR(Scale!$AD28="",Scale!$AD28=0),"",Scale!$B28)</f>
        <v/>
      </c>
      <c r="B85" s="80">
        <f>IF(OR(Scale!$AD28="",Scale!$AD28=0),"",Scale!$D28)</f>
        <v/>
      </c>
      <c r="C85" s="80">
        <f>IF(OR(Scale!$AD28="",Scale!$AD28=0),"","باسکول")</f>
        <v/>
      </c>
      <c r="D85" s="80">
        <f>IF(OR(Scale!$AD28="",Scale!$AD28=0),"",Scale!$AD28)</f>
        <v/>
      </c>
      <c r="E85" s="81">
        <f>IF(OR(Scale!$AD28="",Scale!$AD28=0),"",IF(Scale!$AD28="","","مقابل پوز — "&amp;Scale!$E28))</f>
        <v/>
      </c>
      <c r="F85" s="83" t="n"/>
      <c r="G85" s="83" t="n"/>
      <c r="H85" s="83" t="n"/>
      <c r="I85" s="83" t="n"/>
      <c r="J85" s="83" t="n"/>
      <c r="K85" s="82">
        <f>IF(OR(Scale!$AD28="",Scale!$AD28=0),"",IF(Scale!$AE28="",0,Scale!$AE28)+IF(Scale!$AF28="",0,Scale!$AF28))</f>
        <v/>
      </c>
      <c r="L85" s="82">
        <f>IF(OR(Scale!$AD28="",Scale!$AD28=0),"",Scale!$AE28)</f>
        <v/>
      </c>
      <c r="M85" s="82">
        <f>IF(OR(Scale!$AD28="",Scale!$AD28=0),"",Scale!$AF28)</f>
        <v/>
      </c>
      <c r="N85" s="81">
        <f>IF(OR(Scale!$AD28="",Scale!$AD28=0),"","مقابل پوز")</f>
        <v/>
      </c>
      <c r="O85" s="81">
        <f>IF(OR(Scale!$AD28="",Scale!$AD28=0),"",IFERROR(VLOOKUP(Scale!$AD28,AcctTbl,3,0),""))</f>
        <v/>
      </c>
      <c r="P85" s="82">
        <f>IF(Scale!$AD28&lt;&gt;"X011","","BN02")</f>
        <v/>
      </c>
    </row>
    <row r="86" ht="20.25" customHeight="1">
      <c r="A86" s="80">
        <f>IF(OR(Scale!$U29="",Scale!$U29=0),"",Scale!$B29)</f>
        <v/>
      </c>
      <c r="B86" s="80">
        <f>IF(OR(Scale!$U29="",Scale!$U29=0),"",Scale!$D29)</f>
        <v/>
      </c>
      <c r="C86" s="80">
        <f>IF(OR(Scale!$U29="",Scale!$U29=0),"","باسکول")</f>
        <v/>
      </c>
      <c r="D86" s="80">
        <f>IF(OR(Scale!$U29="",Scale!$U29=0),"",Scale!$U29)</f>
        <v/>
      </c>
      <c r="E86" s="81">
        <f>IF(OR(Scale!$U29="",Scale!$U29=0),"",Scale!$T29)</f>
        <v/>
      </c>
      <c r="F86" s="81">
        <f>IF(OR(Scale!$U29="",Scale!$U29=0),"",Scale!$J29)</f>
        <v/>
      </c>
      <c r="G86" s="82">
        <f>IF(OR(Scale!$U29="",Scale!$U29=0),"",Scale!$M29)</f>
        <v/>
      </c>
      <c r="H86" s="82">
        <f>IF(OR(Scale!$U29="",Scale!$U29=0),"",Scale!$L29)</f>
        <v/>
      </c>
      <c r="I86" s="82">
        <f>IF(OR(Scale!$U29="",Scale!$U29=0),"",Scale!$N29)</f>
        <v/>
      </c>
      <c r="J86" s="82">
        <f>IF(OR(Scale!$U29="",Scale!$U29=0),"",Scale!$O29)</f>
        <v/>
      </c>
      <c r="K86" s="82">
        <f>IF(OR(Scale!$U29="",Scale!$U29=0),"",IF(Scale!$V29="",0,Scale!$V29)+IF(Scale!$W29="",0,Scale!$W29))</f>
        <v/>
      </c>
      <c r="L86" s="82">
        <f>IF(OR(Scale!$U29="",Scale!$U29=0),"",Scale!$V29)</f>
        <v/>
      </c>
      <c r="M86" s="82">
        <f>IF(OR(Scale!$U29="",Scale!$U29=0),"",Scale!$W29)</f>
        <v/>
      </c>
      <c r="N86" s="81">
        <f>IF(OR(Scale!$U29="",Scale!$U29=0),"",Scale!$E29)</f>
        <v/>
      </c>
      <c r="O86" s="81">
        <f>IF(OR(Scale!$U29="",Scale!$U29=0),"",IFERROR(VLOOKUP(Scale!$U29,AcctTbl,3,0),""))</f>
        <v/>
      </c>
      <c r="P86" s="82">
        <f>IF(Scale!$U29&lt;&gt;"X011","","BN02")</f>
        <v/>
      </c>
    </row>
    <row r="87" ht="20.25" customHeight="1">
      <c r="A87" s="80">
        <f>IF(OR(Scale!$X29="",Scale!$X29=0),"",Scale!$B29)</f>
        <v/>
      </c>
      <c r="B87" s="80">
        <f>IF(OR(Scale!$X29="",Scale!$X29=0),"",Scale!$D29)</f>
        <v/>
      </c>
      <c r="C87" s="80">
        <f>IF(OR(Scale!$X29="",Scale!$X29=0),"","باسکول")</f>
        <v/>
      </c>
      <c r="D87" s="80">
        <f>IF(OR(Scale!$X29="",Scale!$X29=0),"",Scale!$X29)</f>
        <v/>
      </c>
      <c r="E87" s="81">
        <f>IF(OR(Scale!$X29="",Scale!$X29=0),"",IF(Scale!$X29="","","مقابل: "&amp;Scale!$E29))</f>
        <v/>
      </c>
      <c r="F87" s="83" t="n"/>
      <c r="G87" s="83" t="n"/>
      <c r="H87" s="83" t="n"/>
      <c r="I87" s="83" t="n"/>
      <c r="J87" s="83" t="n"/>
      <c r="K87" s="82">
        <f>IF(OR(Scale!$X29="",Scale!$X29=0),"",IF(Scale!$Y29="",0,Scale!$Y29)+IF(Scale!$Z29="",0,Scale!$Z29))</f>
        <v/>
      </c>
      <c r="L87" s="82">
        <f>IF(OR(Scale!$X29="",Scale!$X29=0),"",Scale!$Y29)</f>
        <v/>
      </c>
      <c r="M87" s="82">
        <f>IF(OR(Scale!$X29="",Scale!$X29=0),"",Scale!$Z29)</f>
        <v/>
      </c>
      <c r="N87" s="81">
        <f>IF(OR(Scale!$X29="",Scale!$X29=0),"","مقابل")</f>
        <v/>
      </c>
      <c r="O87" s="81">
        <f>IF(OR(Scale!$X29="",Scale!$X29=0),"",IFERROR(VLOOKUP(Scale!$X29,AcctTbl,3,0),""))</f>
        <v/>
      </c>
      <c r="P87" s="82">
        <f>IF(Scale!$X29&lt;&gt;"X011","","BN02")</f>
        <v/>
      </c>
    </row>
    <row r="88" ht="20.25" customHeight="1">
      <c r="A88" s="80">
        <f>IF(OR(Scale!$AA29="",Scale!$AA29=0),"",Scale!$B29)</f>
        <v/>
      </c>
      <c r="B88" s="80">
        <f>IF(OR(Scale!$AA29="",Scale!$AA29=0),"",Scale!$D29)</f>
        <v/>
      </c>
      <c r="C88" s="80">
        <f>IF(OR(Scale!$AA29="",Scale!$AA29=0),"","باسکول")</f>
        <v/>
      </c>
      <c r="D88" s="80">
        <f>IF(OR(Scale!$AA29="",Scale!$AA29=0),"",Scale!$AA29)</f>
        <v/>
      </c>
      <c r="E88" s="81">
        <f>IF(OR(Scale!$AA29="",Scale!$AA29=0),"",IF(Scale!$AA29="","","پوز باسکول — "&amp;Scale!$E29))</f>
        <v/>
      </c>
      <c r="F88" s="83" t="n"/>
      <c r="G88" s="83" t="n"/>
      <c r="H88" s="83" t="n"/>
      <c r="I88" s="83" t="n"/>
      <c r="J88" s="83" t="n"/>
      <c r="K88" s="82">
        <f>IF(OR(Scale!$AA29="",Scale!$AA29=0),"",IF(Scale!$AB29="",0,Scale!$AB29)+IF(Scale!$AC29="",0,Scale!$AC29))</f>
        <v/>
      </c>
      <c r="L88" s="82">
        <f>IF(OR(Scale!$AA29="",Scale!$AA29=0),"",Scale!$AB29)</f>
        <v/>
      </c>
      <c r="M88" s="82">
        <f>IF(OR(Scale!$AA29="",Scale!$AA29=0),"",Scale!$AC29)</f>
        <v/>
      </c>
      <c r="N88" s="81">
        <f>IF(OR(Scale!$AA29="",Scale!$AA29=0),"","پوز")</f>
        <v/>
      </c>
      <c r="O88" s="81">
        <f>IF(OR(Scale!$AA29="",Scale!$AA29=0),"",IFERROR(VLOOKUP(Scale!$AA29,AcctTbl,3,0),""))</f>
        <v/>
      </c>
      <c r="P88" s="82">
        <f>IF(Scale!$AA29&lt;&gt;"X011","","BN02")</f>
        <v/>
      </c>
    </row>
    <row r="89" ht="20.25" customHeight="1">
      <c r="A89" s="80">
        <f>IF(OR(Scale!$AD29="",Scale!$AD29=0),"",Scale!$B29)</f>
        <v/>
      </c>
      <c r="B89" s="80">
        <f>IF(OR(Scale!$AD29="",Scale!$AD29=0),"",Scale!$D29)</f>
        <v/>
      </c>
      <c r="C89" s="80">
        <f>IF(OR(Scale!$AD29="",Scale!$AD29=0),"","باسکول")</f>
        <v/>
      </c>
      <c r="D89" s="80">
        <f>IF(OR(Scale!$AD29="",Scale!$AD29=0),"",Scale!$AD29)</f>
        <v/>
      </c>
      <c r="E89" s="81">
        <f>IF(OR(Scale!$AD29="",Scale!$AD29=0),"",IF(Scale!$AD29="","","مقابل پوز — "&amp;Scale!$E29))</f>
        <v/>
      </c>
      <c r="F89" s="83" t="n"/>
      <c r="G89" s="83" t="n"/>
      <c r="H89" s="83" t="n"/>
      <c r="I89" s="83" t="n"/>
      <c r="J89" s="83" t="n"/>
      <c r="K89" s="82">
        <f>IF(OR(Scale!$AD29="",Scale!$AD29=0),"",IF(Scale!$AE29="",0,Scale!$AE29)+IF(Scale!$AF29="",0,Scale!$AF29))</f>
        <v/>
      </c>
      <c r="L89" s="82">
        <f>IF(OR(Scale!$AD29="",Scale!$AD29=0),"",Scale!$AE29)</f>
        <v/>
      </c>
      <c r="M89" s="82">
        <f>IF(OR(Scale!$AD29="",Scale!$AD29=0),"",Scale!$AF29)</f>
        <v/>
      </c>
      <c r="N89" s="81">
        <f>IF(OR(Scale!$AD29="",Scale!$AD29=0),"","مقابل پوز")</f>
        <v/>
      </c>
      <c r="O89" s="81">
        <f>IF(OR(Scale!$AD29="",Scale!$AD29=0),"",IFERROR(VLOOKUP(Scale!$AD29,AcctTbl,3,0),""))</f>
        <v/>
      </c>
      <c r="P89" s="82">
        <f>IF(Scale!$AD29&lt;&gt;"X011","","BN02")</f>
        <v/>
      </c>
    </row>
    <row r="90" ht="20.25" customHeight="1">
      <c r="A90" s="80">
        <f>IF(OR(Scale!$U30="",Scale!$U30=0),"",Scale!$B30)</f>
        <v/>
      </c>
      <c r="B90" s="80">
        <f>IF(OR(Scale!$U30="",Scale!$U30=0),"",Scale!$D30)</f>
        <v/>
      </c>
      <c r="C90" s="80">
        <f>IF(OR(Scale!$U30="",Scale!$U30=0),"","باسکول")</f>
        <v/>
      </c>
      <c r="D90" s="80">
        <f>IF(OR(Scale!$U30="",Scale!$U30=0),"",Scale!$U30)</f>
        <v/>
      </c>
      <c r="E90" s="81">
        <f>IF(OR(Scale!$U30="",Scale!$U30=0),"",Scale!$T30)</f>
        <v/>
      </c>
      <c r="F90" s="81">
        <f>IF(OR(Scale!$U30="",Scale!$U30=0),"",Scale!$J30)</f>
        <v/>
      </c>
      <c r="G90" s="82">
        <f>IF(OR(Scale!$U30="",Scale!$U30=0),"",Scale!$M30)</f>
        <v/>
      </c>
      <c r="H90" s="82">
        <f>IF(OR(Scale!$U30="",Scale!$U30=0),"",Scale!$L30)</f>
        <v/>
      </c>
      <c r="I90" s="82">
        <f>IF(OR(Scale!$U30="",Scale!$U30=0),"",Scale!$N30)</f>
        <v/>
      </c>
      <c r="J90" s="82">
        <f>IF(OR(Scale!$U30="",Scale!$U30=0),"",Scale!$O30)</f>
        <v/>
      </c>
      <c r="K90" s="82">
        <f>IF(OR(Scale!$U30="",Scale!$U30=0),"",IF(Scale!$V30="",0,Scale!$V30)+IF(Scale!$W30="",0,Scale!$W30))</f>
        <v/>
      </c>
      <c r="L90" s="82">
        <f>IF(OR(Scale!$U30="",Scale!$U30=0),"",Scale!$V30)</f>
        <v/>
      </c>
      <c r="M90" s="82">
        <f>IF(OR(Scale!$U30="",Scale!$U30=0),"",Scale!$W30)</f>
        <v/>
      </c>
      <c r="N90" s="81">
        <f>IF(OR(Scale!$U30="",Scale!$U30=0),"",Scale!$E30)</f>
        <v/>
      </c>
      <c r="O90" s="81">
        <f>IF(OR(Scale!$U30="",Scale!$U30=0),"",IFERROR(VLOOKUP(Scale!$U30,AcctTbl,3,0),""))</f>
        <v/>
      </c>
      <c r="P90" s="82">
        <f>IF(Scale!$U30&lt;&gt;"X011","","BN02")</f>
        <v/>
      </c>
    </row>
    <row r="91" ht="20.25" customHeight="1">
      <c r="A91" s="80">
        <f>IF(OR(Scale!$X30="",Scale!$X30=0),"",Scale!$B30)</f>
        <v/>
      </c>
      <c r="B91" s="80">
        <f>IF(OR(Scale!$X30="",Scale!$X30=0),"",Scale!$D30)</f>
        <v/>
      </c>
      <c r="C91" s="80">
        <f>IF(OR(Scale!$X30="",Scale!$X30=0),"","باسکول")</f>
        <v/>
      </c>
      <c r="D91" s="80">
        <f>IF(OR(Scale!$X30="",Scale!$X30=0),"",Scale!$X30)</f>
        <v/>
      </c>
      <c r="E91" s="81">
        <f>IF(OR(Scale!$X30="",Scale!$X30=0),"",IF(Scale!$X30="","","مقابل: "&amp;Scale!$E30))</f>
        <v/>
      </c>
      <c r="F91" s="83" t="n"/>
      <c r="G91" s="83" t="n"/>
      <c r="H91" s="83" t="n"/>
      <c r="I91" s="83" t="n"/>
      <c r="J91" s="83" t="n"/>
      <c r="K91" s="82">
        <f>IF(OR(Scale!$X30="",Scale!$X30=0),"",IF(Scale!$Y30="",0,Scale!$Y30)+IF(Scale!$Z30="",0,Scale!$Z30))</f>
        <v/>
      </c>
      <c r="L91" s="82">
        <f>IF(OR(Scale!$X30="",Scale!$X30=0),"",Scale!$Y30)</f>
        <v/>
      </c>
      <c r="M91" s="82">
        <f>IF(OR(Scale!$X30="",Scale!$X30=0),"",Scale!$Z30)</f>
        <v/>
      </c>
      <c r="N91" s="81">
        <f>IF(OR(Scale!$X30="",Scale!$X30=0),"","مقابل")</f>
        <v/>
      </c>
      <c r="O91" s="81">
        <f>IF(OR(Scale!$X30="",Scale!$X30=0),"",IFERROR(VLOOKUP(Scale!$X30,AcctTbl,3,0),""))</f>
        <v/>
      </c>
      <c r="P91" s="82">
        <f>IF(Scale!$X30&lt;&gt;"X011","","BN02")</f>
        <v/>
      </c>
    </row>
    <row r="92" ht="20.25" customHeight="1">
      <c r="A92" s="80">
        <f>IF(OR(Scale!$AA30="",Scale!$AA30=0),"",Scale!$B30)</f>
        <v/>
      </c>
      <c r="B92" s="80">
        <f>IF(OR(Scale!$AA30="",Scale!$AA30=0),"",Scale!$D30)</f>
        <v/>
      </c>
      <c r="C92" s="80">
        <f>IF(OR(Scale!$AA30="",Scale!$AA30=0),"","باسکول")</f>
        <v/>
      </c>
      <c r="D92" s="80">
        <f>IF(OR(Scale!$AA30="",Scale!$AA30=0),"",Scale!$AA30)</f>
        <v/>
      </c>
      <c r="E92" s="81">
        <f>IF(OR(Scale!$AA30="",Scale!$AA30=0),"",IF(Scale!$AA30="","","پوز باسکول — "&amp;Scale!$E30))</f>
        <v/>
      </c>
      <c r="F92" s="83" t="n"/>
      <c r="G92" s="83" t="n"/>
      <c r="H92" s="83" t="n"/>
      <c r="I92" s="83" t="n"/>
      <c r="J92" s="83" t="n"/>
      <c r="K92" s="82">
        <f>IF(OR(Scale!$AA30="",Scale!$AA30=0),"",IF(Scale!$AB30="",0,Scale!$AB30)+IF(Scale!$AC30="",0,Scale!$AC30))</f>
        <v/>
      </c>
      <c r="L92" s="82">
        <f>IF(OR(Scale!$AA30="",Scale!$AA30=0),"",Scale!$AB30)</f>
        <v/>
      </c>
      <c r="M92" s="82">
        <f>IF(OR(Scale!$AA30="",Scale!$AA30=0),"",Scale!$AC30)</f>
        <v/>
      </c>
      <c r="N92" s="81">
        <f>IF(OR(Scale!$AA30="",Scale!$AA30=0),"","پوز")</f>
        <v/>
      </c>
      <c r="O92" s="81">
        <f>IF(OR(Scale!$AA30="",Scale!$AA30=0),"",IFERROR(VLOOKUP(Scale!$AA30,AcctTbl,3,0),""))</f>
        <v/>
      </c>
      <c r="P92" s="82">
        <f>IF(Scale!$AA30&lt;&gt;"X011","","BN02")</f>
        <v/>
      </c>
    </row>
    <row r="93" ht="20.25" customHeight="1">
      <c r="A93" s="80">
        <f>IF(OR(Scale!$AD30="",Scale!$AD30=0),"",Scale!$B30)</f>
        <v/>
      </c>
      <c r="B93" s="80">
        <f>IF(OR(Scale!$AD30="",Scale!$AD30=0),"",Scale!$D30)</f>
        <v/>
      </c>
      <c r="C93" s="80">
        <f>IF(OR(Scale!$AD30="",Scale!$AD30=0),"","باسکول")</f>
        <v/>
      </c>
      <c r="D93" s="80">
        <f>IF(OR(Scale!$AD30="",Scale!$AD30=0),"",Scale!$AD30)</f>
        <v/>
      </c>
      <c r="E93" s="81">
        <f>IF(OR(Scale!$AD30="",Scale!$AD30=0),"",IF(Scale!$AD30="","","مقابل پوز — "&amp;Scale!$E30))</f>
        <v/>
      </c>
      <c r="F93" s="83" t="n"/>
      <c r="G93" s="83" t="n"/>
      <c r="H93" s="83" t="n"/>
      <c r="I93" s="83" t="n"/>
      <c r="J93" s="83" t="n"/>
      <c r="K93" s="82">
        <f>IF(OR(Scale!$AD30="",Scale!$AD30=0),"",IF(Scale!$AE30="",0,Scale!$AE30)+IF(Scale!$AF30="",0,Scale!$AF30))</f>
        <v/>
      </c>
      <c r="L93" s="82">
        <f>IF(OR(Scale!$AD30="",Scale!$AD30=0),"",Scale!$AE30)</f>
        <v/>
      </c>
      <c r="M93" s="82">
        <f>IF(OR(Scale!$AD30="",Scale!$AD30=0),"",Scale!$AF30)</f>
        <v/>
      </c>
      <c r="N93" s="81">
        <f>IF(OR(Scale!$AD30="",Scale!$AD30=0),"","مقابل پوز")</f>
        <v/>
      </c>
      <c r="O93" s="81">
        <f>IF(OR(Scale!$AD30="",Scale!$AD30=0),"",IFERROR(VLOOKUP(Scale!$AD30,AcctTbl,3,0),""))</f>
        <v/>
      </c>
      <c r="P93" s="82">
        <f>IF(Scale!$AD30&lt;&gt;"X011","","BN02")</f>
        <v/>
      </c>
    </row>
    <row r="94" ht="20.25" customHeight="1">
      <c r="A94" s="80">
        <f>IF(OR(Scale!$U31="",Scale!$U31=0),"",Scale!$B31)</f>
        <v/>
      </c>
      <c r="B94" s="80">
        <f>IF(OR(Scale!$U31="",Scale!$U31=0),"",Scale!$D31)</f>
        <v/>
      </c>
      <c r="C94" s="80">
        <f>IF(OR(Scale!$U31="",Scale!$U31=0),"","باسکول")</f>
        <v/>
      </c>
      <c r="D94" s="80">
        <f>IF(OR(Scale!$U31="",Scale!$U31=0),"",Scale!$U31)</f>
        <v/>
      </c>
      <c r="E94" s="81">
        <f>IF(OR(Scale!$U31="",Scale!$U31=0),"",Scale!$T31)</f>
        <v/>
      </c>
      <c r="F94" s="81">
        <f>IF(OR(Scale!$U31="",Scale!$U31=0),"",Scale!$J31)</f>
        <v/>
      </c>
      <c r="G94" s="82">
        <f>IF(OR(Scale!$U31="",Scale!$U31=0),"",Scale!$M31)</f>
        <v/>
      </c>
      <c r="H94" s="82">
        <f>IF(OR(Scale!$U31="",Scale!$U31=0),"",Scale!$L31)</f>
        <v/>
      </c>
      <c r="I94" s="82">
        <f>IF(OR(Scale!$U31="",Scale!$U31=0),"",Scale!$N31)</f>
        <v/>
      </c>
      <c r="J94" s="82">
        <f>IF(OR(Scale!$U31="",Scale!$U31=0),"",Scale!$O31)</f>
        <v/>
      </c>
      <c r="K94" s="82">
        <f>IF(OR(Scale!$U31="",Scale!$U31=0),"",IF(Scale!$V31="",0,Scale!$V31)+IF(Scale!$W31="",0,Scale!$W31))</f>
        <v/>
      </c>
      <c r="L94" s="82">
        <f>IF(OR(Scale!$U31="",Scale!$U31=0),"",Scale!$V31)</f>
        <v/>
      </c>
      <c r="M94" s="82">
        <f>IF(OR(Scale!$U31="",Scale!$U31=0),"",Scale!$W31)</f>
        <v/>
      </c>
      <c r="N94" s="81">
        <f>IF(OR(Scale!$U31="",Scale!$U31=0),"",Scale!$E31)</f>
        <v/>
      </c>
      <c r="O94" s="81">
        <f>IF(OR(Scale!$U31="",Scale!$U31=0),"",IFERROR(VLOOKUP(Scale!$U31,AcctTbl,3,0),""))</f>
        <v/>
      </c>
      <c r="P94" s="82">
        <f>IF(Scale!$U31&lt;&gt;"X011","","BN02")</f>
        <v/>
      </c>
    </row>
    <row r="95" ht="20.25" customHeight="1">
      <c r="A95" s="80">
        <f>IF(OR(Scale!$X31="",Scale!$X31=0),"",Scale!$B31)</f>
        <v/>
      </c>
      <c r="B95" s="80">
        <f>IF(OR(Scale!$X31="",Scale!$X31=0),"",Scale!$D31)</f>
        <v/>
      </c>
      <c r="C95" s="80">
        <f>IF(OR(Scale!$X31="",Scale!$X31=0),"","باسکول")</f>
        <v/>
      </c>
      <c r="D95" s="80">
        <f>IF(OR(Scale!$X31="",Scale!$X31=0),"",Scale!$X31)</f>
        <v/>
      </c>
      <c r="E95" s="81">
        <f>IF(OR(Scale!$X31="",Scale!$X31=0),"",IF(Scale!$X31="","","مقابل: "&amp;Scale!$E31))</f>
        <v/>
      </c>
      <c r="F95" s="83" t="n"/>
      <c r="G95" s="83" t="n"/>
      <c r="H95" s="83" t="n"/>
      <c r="I95" s="83" t="n"/>
      <c r="J95" s="83" t="n"/>
      <c r="K95" s="82">
        <f>IF(OR(Scale!$X31="",Scale!$X31=0),"",IF(Scale!$Y31="",0,Scale!$Y31)+IF(Scale!$Z31="",0,Scale!$Z31))</f>
        <v/>
      </c>
      <c r="L95" s="82">
        <f>IF(OR(Scale!$X31="",Scale!$X31=0),"",Scale!$Y31)</f>
        <v/>
      </c>
      <c r="M95" s="82">
        <f>IF(OR(Scale!$X31="",Scale!$X31=0),"",Scale!$Z31)</f>
        <v/>
      </c>
      <c r="N95" s="81">
        <f>IF(OR(Scale!$X31="",Scale!$X31=0),"","مقابل")</f>
        <v/>
      </c>
      <c r="O95" s="81">
        <f>IF(OR(Scale!$X31="",Scale!$X31=0),"",IFERROR(VLOOKUP(Scale!$X31,AcctTbl,3,0),""))</f>
        <v/>
      </c>
      <c r="P95" s="82">
        <f>IF(Scale!$X31&lt;&gt;"X011","","BN02")</f>
        <v/>
      </c>
    </row>
    <row r="96" ht="20.25" customHeight="1">
      <c r="A96" s="80">
        <f>IF(OR(Scale!$AA31="",Scale!$AA31=0),"",Scale!$B31)</f>
        <v/>
      </c>
      <c r="B96" s="80">
        <f>IF(OR(Scale!$AA31="",Scale!$AA31=0),"",Scale!$D31)</f>
        <v/>
      </c>
      <c r="C96" s="80">
        <f>IF(OR(Scale!$AA31="",Scale!$AA31=0),"","باسکول")</f>
        <v/>
      </c>
      <c r="D96" s="80">
        <f>IF(OR(Scale!$AA31="",Scale!$AA31=0),"",Scale!$AA31)</f>
        <v/>
      </c>
      <c r="E96" s="81">
        <f>IF(OR(Scale!$AA31="",Scale!$AA31=0),"",IF(Scale!$AA31="","","پوز باسکول — "&amp;Scale!$E31))</f>
        <v/>
      </c>
      <c r="F96" s="83" t="n"/>
      <c r="G96" s="83" t="n"/>
      <c r="H96" s="83" t="n"/>
      <c r="I96" s="83" t="n"/>
      <c r="J96" s="83" t="n"/>
      <c r="K96" s="82">
        <f>IF(OR(Scale!$AA31="",Scale!$AA31=0),"",IF(Scale!$AB31="",0,Scale!$AB31)+IF(Scale!$AC31="",0,Scale!$AC31))</f>
        <v/>
      </c>
      <c r="L96" s="82">
        <f>IF(OR(Scale!$AA31="",Scale!$AA31=0),"",Scale!$AB31)</f>
        <v/>
      </c>
      <c r="M96" s="82">
        <f>IF(OR(Scale!$AA31="",Scale!$AA31=0),"",Scale!$AC31)</f>
        <v/>
      </c>
      <c r="N96" s="81">
        <f>IF(OR(Scale!$AA31="",Scale!$AA31=0),"","پوز")</f>
        <v/>
      </c>
      <c r="O96" s="81">
        <f>IF(OR(Scale!$AA31="",Scale!$AA31=0),"",IFERROR(VLOOKUP(Scale!$AA31,AcctTbl,3,0),""))</f>
        <v/>
      </c>
      <c r="P96" s="82">
        <f>IF(Scale!$AA31&lt;&gt;"X011","","BN02")</f>
        <v/>
      </c>
    </row>
    <row r="97" ht="20.25" customHeight="1">
      <c r="A97" s="80">
        <f>IF(OR(Scale!$AD31="",Scale!$AD31=0),"",Scale!$B31)</f>
        <v/>
      </c>
      <c r="B97" s="80">
        <f>IF(OR(Scale!$AD31="",Scale!$AD31=0),"",Scale!$D31)</f>
        <v/>
      </c>
      <c r="C97" s="80">
        <f>IF(OR(Scale!$AD31="",Scale!$AD31=0),"","باسکول")</f>
        <v/>
      </c>
      <c r="D97" s="80">
        <f>IF(OR(Scale!$AD31="",Scale!$AD31=0),"",Scale!$AD31)</f>
        <v/>
      </c>
      <c r="E97" s="81">
        <f>IF(OR(Scale!$AD31="",Scale!$AD31=0),"",IF(Scale!$AD31="","","مقابل پوز — "&amp;Scale!$E31))</f>
        <v/>
      </c>
      <c r="F97" s="83" t="n"/>
      <c r="G97" s="83" t="n"/>
      <c r="H97" s="83" t="n"/>
      <c r="I97" s="83" t="n"/>
      <c r="J97" s="83" t="n"/>
      <c r="K97" s="82">
        <f>IF(OR(Scale!$AD31="",Scale!$AD31=0),"",IF(Scale!$AE31="",0,Scale!$AE31)+IF(Scale!$AF31="",0,Scale!$AF31))</f>
        <v/>
      </c>
      <c r="L97" s="82">
        <f>IF(OR(Scale!$AD31="",Scale!$AD31=0),"",Scale!$AE31)</f>
        <v/>
      </c>
      <c r="M97" s="82">
        <f>IF(OR(Scale!$AD31="",Scale!$AD31=0),"",Scale!$AF31)</f>
        <v/>
      </c>
      <c r="N97" s="81">
        <f>IF(OR(Scale!$AD31="",Scale!$AD31=0),"","مقابل پوز")</f>
        <v/>
      </c>
      <c r="O97" s="81">
        <f>IF(OR(Scale!$AD31="",Scale!$AD31=0),"",IFERROR(VLOOKUP(Scale!$AD31,AcctTbl,3,0),""))</f>
        <v/>
      </c>
      <c r="P97" s="82">
        <f>IF(Scale!$AD31&lt;&gt;"X011","","BN02")</f>
        <v/>
      </c>
    </row>
    <row r="98" ht="20.25" customHeight="1">
      <c r="A98" s="80">
        <f>IF(OR(Scale!$U32="",Scale!$U32=0),"",Scale!$B32)</f>
        <v/>
      </c>
      <c r="B98" s="80">
        <f>IF(OR(Scale!$U32="",Scale!$U32=0),"",Scale!$D32)</f>
        <v/>
      </c>
      <c r="C98" s="80">
        <f>IF(OR(Scale!$U32="",Scale!$U32=0),"","باسکول")</f>
        <v/>
      </c>
      <c r="D98" s="80">
        <f>IF(OR(Scale!$U32="",Scale!$U32=0),"",Scale!$U32)</f>
        <v/>
      </c>
      <c r="E98" s="81">
        <f>IF(OR(Scale!$U32="",Scale!$U32=0),"",Scale!$T32)</f>
        <v/>
      </c>
      <c r="F98" s="81">
        <f>IF(OR(Scale!$U32="",Scale!$U32=0),"",Scale!$J32)</f>
        <v/>
      </c>
      <c r="G98" s="82">
        <f>IF(OR(Scale!$U32="",Scale!$U32=0),"",Scale!$M32)</f>
        <v/>
      </c>
      <c r="H98" s="82">
        <f>IF(OR(Scale!$U32="",Scale!$U32=0),"",Scale!$L32)</f>
        <v/>
      </c>
      <c r="I98" s="82">
        <f>IF(OR(Scale!$U32="",Scale!$U32=0),"",Scale!$N32)</f>
        <v/>
      </c>
      <c r="J98" s="82">
        <f>IF(OR(Scale!$U32="",Scale!$U32=0),"",Scale!$O32)</f>
        <v/>
      </c>
      <c r="K98" s="82">
        <f>IF(OR(Scale!$U32="",Scale!$U32=0),"",IF(Scale!$V32="",0,Scale!$V32)+IF(Scale!$W32="",0,Scale!$W32))</f>
        <v/>
      </c>
      <c r="L98" s="82">
        <f>IF(OR(Scale!$U32="",Scale!$U32=0),"",Scale!$V32)</f>
        <v/>
      </c>
      <c r="M98" s="82">
        <f>IF(OR(Scale!$U32="",Scale!$U32=0),"",Scale!$W32)</f>
        <v/>
      </c>
      <c r="N98" s="81">
        <f>IF(OR(Scale!$U32="",Scale!$U32=0),"",Scale!$E32)</f>
        <v/>
      </c>
      <c r="O98" s="81">
        <f>IF(OR(Scale!$U32="",Scale!$U32=0),"",IFERROR(VLOOKUP(Scale!$U32,AcctTbl,3,0),""))</f>
        <v/>
      </c>
      <c r="P98" s="82">
        <f>IF(Scale!$U32&lt;&gt;"X011","","BN02")</f>
        <v/>
      </c>
    </row>
    <row r="99" ht="20.25" customHeight="1">
      <c r="A99" s="80">
        <f>IF(OR(Scale!$X32="",Scale!$X32=0),"",Scale!$B32)</f>
        <v/>
      </c>
      <c r="B99" s="80">
        <f>IF(OR(Scale!$X32="",Scale!$X32=0),"",Scale!$D32)</f>
        <v/>
      </c>
      <c r="C99" s="80">
        <f>IF(OR(Scale!$X32="",Scale!$X32=0),"","باسکول")</f>
        <v/>
      </c>
      <c r="D99" s="80">
        <f>IF(OR(Scale!$X32="",Scale!$X32=0),"",Scale!$X32)</f>
        <v/>
      </c>
      <c r="E99" s="81">
        <f>IF(OR(Scale!$X32="",Scale!$X32=0),"",IF(Scale!$X32="","","مقابل: "&amp;Scale!$E32))</f>
        <v/>
      </c>
      <c r="F99" s="83" t="n"/>
      <c r="G99" s="83" t="n"/>
      <c r="H99" s="83" t="n"/>
      <c r="I99" s="83" t="n"/>
      <c r="J99" s="83" t="n"/>
      <c r="K99" s="82">
        <f>IF(OR(Scale!$X32="",Scale!$X32=0),"",IF(Scale!$Y32="",0,Scale!$Y32)+IF(Scale!$Z32="",0,Scale!$Z32))</f>
        <v/>
      </c>
      <c r="L99" s="82">
        <f>IF(OR(Scale!$X32="",Scale!$X32=0),"",Scale!$Y32)</f>
        <v/>
      </c>
      <c r="M99" s="82">
        <f>IF(OR(Scale!$X32="",Scale!$X32=0),"",Scale!$Z32)</f>
        <v/>
      </c>
      <c r="N99" s="81">
        <f>IF(OR(Scale!$X32="",Scale!$X32=0),"","مقابل")</f>
        <v/>
      </c>
      <c r="O99" s="81">
        <f>IF(OR(Scale!$X32="",Scale!$X32=0),"",IFERROR(VLOOKUP(Scale!$X32,AcctTbl,3,0),""))</f>
        <v/>
      </c>
      <c r="P99" s="82">
        <f>IF(Scale!$X32&lt;&gt;"X011","","BN02")</f>
        <v/>
      </c>
    </row>
    <row r="100" ht="20.25" customHeight="1">
      <c r="A100" s="80">
        <f>IF(OR(Scale!$AA32="",Scale!$AA32=0),"",Scale!$B32)</f>
        <v/>
      </c>
      <c r="B100" s="80">
        <f>IF(OR(Scale!$AA32="",Scale!$AA32=0),"",Scale!$D32)</f>
        <v/>
      </c>
      <c r="C100" s="80">
        <f>IF(OR(Scale!$AA32="",Scale!$AA32=0),"","باسکول")</f>
        <v/>
      </c>
      <c r="D100" s="80">
        <f>IF(OR(Scale!$AA32="",Scale!$AA32=0),"",Scale!$AA32)</f>
        <v/>
      </c>
      <c r="E100" s="81">
        <f>IF(OR(Scale!$AA32="",Scale!$AA32=0),"",IF(Scale!$AA32="","","پوز باسکول — "&amp;Scale!$E32))</f>
        <v/>
      </c>
      <c r="F100" s="83" t="n"/>
      <c r="G100" s="83" t="n"/>
      <c r="H100" s="83" t="n"/>
      <c r="I100" s="83" t="n"/>
      <c r="J100" s="83" t="n"/>
      <c r="K100" s="82">
        <f>IF(OR(Scale!$AA32="",Scale!$AA32=0),"",IF(Scale!$AB32="",0,Scale!$AB32)+IF(Scale!$AC32="",0,Scale!$AC32))</f>
        <v/>
      </c>
      <c r="L100" s="82">
        <f>IF(OR(Scale!$AA32="",Scale!$AA32=0),"",Scale!$AB32)</f>
        <v/>
      </c>
      <c r="M100" s="82">
        <f>IF(OR(Scale!$AA32="",Scale!$AA32=0),"",Scale!$AC32)</f>
        <v/>
      </c>
      <c r="N100" s="81">
        <f>IF(OR(Scale!$AA32="",Scale!$AA32=0),"","پوز")</f>
        <v/>
      </c>
      <c r="O100" s="81">
        <f>IF(OR(Scale!$AA32="",Scale!$AA32=0),"",IFERROR(VLOOKUP(Scale!$AA32,AcctTbl,3,0),""))</f>
        <v/>
      </c>
      <c r="P100" s="82">
        <f>IF(Scale!$AA32&lt;&gt;"X011","","BN02")</f>
        <v/>
      </c>
    </row>
    <row r="101" ht="20.25" customHeight="1">
      <c r="A101" s="80">
        <f>IF(OR(Scale!$AD32="",Scale!$AD32=0),"",Scale!$B32)</f>
        <v/>
      </c>
      <c r="B101" s="80">
        <f>IF(OR(Scale!$AD32="",Scale!$AD32=0),"",Scale!$D32)</f>
        <v/>
      </c>
      <c r="C101" s="80">
        <f>IF(OR(Scale!$AD32="",Scale!$AD32=0),"","باسکول")</f>
        <v/>
      </c>
      <c r="D101" s="80">
        <f>IF(OR(Scale!$AD32="",Scale!$AD32=0),"",Scale!$AD32)</f>
        <v/>
      </c>
      <c r="E101" s="81">
        <f>IF(OR(Scale!$AD32="",Scale!$AD32=0),"",IF(Scale!$AD32="","","مقابل پوز — "&amp;Scale!$E32))</f>
        <v/>
      </c>
      <c r="F101" s="83" t="n"/>
      <c r="G101" s="83" t="n"/>
      <c r="H101" s="83" t="n"/>
      <c r="I101" s="83" t="n"/>
      <c r="J101" s="83" t="n"/>
      <c r="K101" s="82">
        <f>IF(OR(Scale!$AD32="",Scale!$AD32=0),"",IF(Scale!$AE32="",0,Scale!$AE32)+IF(Scale!$AF32="",0,Scale!$AF32))</f>
        <v/>
      </c>
      <c r="L101" s="82">
        <f>IF(OR(Scale!$AD32="",Scale!$AD32=0),"",Scale!$AE32)</f>
        <v/>
      </c>
      <c r="M101" s="82">
        <f>IF(OR(Scale!$AD32="",Scale!$AD32=0),"",Scale!$AF32)</f>
        <v/>
      </c>
      <c r="N101" s="81">
        <f>IF(OR(Scale!$AD32="",Scale!$AD32=0),"","مقابل پوز")</f>
        <v/>
      </c>
      <c r="O101" s="81">
        <f>IF(OR(Scale!$AD32="",Scale!$AD32=0),"",IFERROR(VLOOKUP(Scale!$AD32,AcctTbl,3,0),""))</f>
        <v/>
      </c>
      <c r="P101" s="82">
        <f>IF(Scale!$AD32&lt;&gt;"X011","","BN02")</f>
        <v/>
      </c>
    </row>
    <row r="102" ht="20.25" customHeight="1">
      <c r="A102" s="80">
        <f>IF(OR(Scale!$U33="",Scale!$U33=0),"",Scale!$B33)</f>
        <v/>
      </c>
      <c r="B102" s="80">
        <f>IF(OR(Scale!$U33="",Scale!$U33=0),"",Scale!$D33)</f>
        <v/>
      </c>
      <c r="C102" s="80">
        <f>IF(OR(Scale!$U33="",Scale!$U33=0),"","باسکول")</f>
        <v/>
      </c>
      <c r="D102" s="80">
        <f>IF(OR(Scale!$U33="",Scale!$U33=0),"",Scale!$U33)</f>
        <v/>
      </c>
      <c r="E102" s="81">
        <f>IF(OR(Scale!$U33="",Scale!$U33=0),"",Scale!$T33)</f>
        <v/>
      </c>
      <c r="F102" s="81">
        <f>IF(OR(Scale!$U33="",Scale!$U33=0),"",Scale!$J33)</f>
        <v/>
      </c>
      <c r="G102" s="82">
        <f>IF(OR(Scale!$U33="",Scale!$U33=0),"",Scale!$M33)</f>
        <v/>
      </c>
      <c r="H102" s="82">
        <f>IF(OR(Scale!$U33="",Scale!$U33=0),"",Scale!$L33)</f>
        <v/>
      </c>
      <c r="I102" s="82">
        <f>IF(OR(Scale!$U33="",Scale!$U33=0),"",Scale!$N33)</f>
        <v/>
      </c>
      <c r="J102" s="82">
        <f>IF(OR(Scale!$U33="",Scale!$U33=0),"",Scale!$O33)</f>
        <v/>
      </c>
      <c r="K102" s="82">
        <f>IF(OR(Scale!$U33="",Scale!$U33=0),"",IF(Scale!$V33="",0,Scale!$V33)+IF(Scale!$W33="",0,Scale!$W33))</f>
        <v/>
      </c>
      <c r="L102" s="82">
        <f>IF(OR(Scale!$U33="",Scale!$U33=0),"",Scale!$V33)</f>
        <v/>
      </c>
      <c r="M102" s="82">
        <f>IF(OR(Scale!$U33="",Scale!$U33=0),"",Scale!$W33)</f>
        <v/>
      </c>
      <c r="N102" s="81">
        <f>IF(OR(Scale!$U33="",Scale!$U33=0),"",Scale!$E33)</f>
        <v/>
      </c>
      <c r="O102" s="81">
        <f>IF(OR(Scale!$U33="",Scale!$U33=0),"",IFERROR(VLOOKUP(Scale!$U33,AcctTbl,3,0),""))</f>
        <v/>
      </c>
      <c r="P102" s="82">
        <f>IF(Scale!$U33&lt;&gt;"X011","","BN02")</f>
        <v/>
      </c>
    </row>
    <row r="103" ht="20.25" customHeight="1">
      <c r="A103" s="80">
        <f>IF(OR(Scale!$X33="",Scale!$X33=0),"",Scale!$B33)</f>
        <v/>
      </c>
      <c r="B103" s="80">
        <f>IF(OR(Scale!$X33="",Scale!$X33=0),"",Scale!$D33)</f>
        <v/>
      </c>
      <c r="C103" s="80">
        <f>IF(OR(Scale!$X33="",Scale!$X33=0),"","باسکول")</f>
        <v/>
      </c>
      <c r="D103" s="80">
        <f>IF(OR(Scale!$X33="",Scale!$X33=0),"",Scale!$X33)</f>
        <v/>
      </c>
      <c r="E103" s="81">
        <f>IF(OR(Scale!$X33="",Scale!$X33=0),"",IF(Scale!$X33="","","مقابل: "&amp;Scale!$E33))</f>
        <v/>
      </c>
      <c r="F103" s="83" t="n"/>
      <c r="G103" s="83" t="n"/>
      <c r="H103" s="83" t="n"/>
      <c r="I103" s="83" t="n"/>
      <c r="J103" s="83" t="n"/>
      <c r="K103" s="82">
        <f>IF(OR(Scale!$X33="",Scale!$X33=0),"",IF(Scale!$Y33="",0,Scale!$Y33)+IF(Scale!$Z33="",0,Scale!$Z33))</f>
        <v/>
      </c>
      <c r="L103" s="82">
        <f>IF(OR(Scale!$X33="",Scale!$X33=0),"",Scale!$Y33)</f>
        <v/>
      </c>
      <c r="M103" s="82">
        <f>IF(OR(Scale!$X33="",Scale!$X33=0),"",Scale!$Z33)</f>
        <v/>
      </c>
      <c r="N103" s="81">
        <f>IF(OR(Scale!$X33="",Scale!$X33=0),"","مقابل")</f>
        <v/>
      </c>
      <c r="O103" s="81">
        <f>IF(OR(Scale!$X33="",Scale!$X33=0),"",IFERROR(VLOOKUP(Scale!$X33,AcctTbl,3,0),""))</f>
        <v/>
      </c>
      <c r="P103" s="82">
        <f>IF(Scale!$X33&lt;&gt;"X011","","BN02")</f>
        <v/>
      </c>
    </row>
    <row r="104" ht="20.25" customHeight="1">
      <c r="A104" s="80">
        <f>IF(OR(Scale!$AA33="",Scale!$AA33=0),"",Scale!$B33)</f>
        <v/>
      </c>
      <c r="B104" s="80">
        <f>IF(OR(Scale!$AA33="",Scale!$AA33=0),"",Scale!$D33)</f>
        <v/>
      </c>
      <c r="C104" s="80">
        <f>IF(OR(Scale!$AA33="",Scale!$AA33=0),"","باسکول")</f>
        <v/>
      </c>
      <c r="D104" s="80">
        <f>IF(OR(Scale!$AA33="",Scale!$AA33=0),"",Scale!$AA33)</f>
        <v/>
      </c>
      <c r="E104" s="81">
        <f>IF(OR(Scale!$AA33="",Scale!$AA33=0),"",IF(Scale!$AA33="","","پوز باسکول — "&amp;Scale!$E33))</f>
        <v/>
      </c>
      <c r="F104" s="83" t="n"/>
      <c r="G104" s="83" t="n"/>
      <c r="H104" s="83" t="n"/>
      <c r="I104" s="83" t="n"/>
      <c r="J104" s="83" t="n"/>
      <c r="K104" s="82">
        <f>IF(OR(Scale!$AA33="",Scale!$AA33=0),"",IF(Scale!$AB33="",0,Scale!$AB33)+IF(Scale!$AC33="",0,Scale!$AC33))</f>
        <v/>
      </c>
      <c r="L104" s="82">
        <f>IF(OR(Scale!$AA33="",Scale!$AA33=0),"",Scale!$AB33)</f>
        <v/>
      </c>
      <c r="M104" s="82">
        <f>IF(OR(Scale!$AA33="",Scale!$AA33=0),"",Scale!$AC33)</f>
        <v/>
      </c>
      <c r="N104" s="81">
        <f>IF(OR(Scale!$AA33="",Scale!$AA33=0),"","پوز")</f>
        <v/>
      </c>
      <c r="O104" s="81">
        <f>IF(OR(Scale!$AA33="",Scale!$AA33=0),"",IFERROR(VLOOKUP(Scale!$AA33,AcctTbl,3,0),""))</f>
        <v/>
      </c>
      <c r="P104" s="82">
        <f>IF(Scale!$AA33&lt;&gt;"X011","","BN02")</f>
        <v/>
      </c>
    </row>
    <row r="105" ht="20.25" customHeight="1">
      <c r="A105" s="80">
        <f>IF(OR(Scale!$AD33="",Scale!$AD33=0),"",Scale!$B33)</f>
        <v/>
      </c>
      <c r="B105" s="80">
        <f>IF(OR(Scale!$AD33="",Scale!$AD33=0),"",Scale!$D33)</f>
        <v/>
      </c>
      <c r="C105" s="80">
        <f>IF(OR(Scale!$AD33="",Scale!$AD33=0),"","باسکول")</f>
        <v/>
      </c>
      <c r="D105" s="80">
        <f>IF(OR(Scale!$AD33="",Scale!$AD33=0),"",Scale!$AD33)</f>
        <v/>
      </c>
      <c r="E105" s="81">
        <f>IF(OR(Scale!$AD33="",Scale!$AD33=0),"",IF(Scale!$AD33="","","مقابل پوز — "&amp;Scale!$E33))</f>
        <v/>
      </c>
      <c r="F105" s="83" t="n"/>
      <c r="G105" s="83" t="n"/>
      <c r="H105" s="83" t="n"/>
      <c r="I105" s="83" t="n"/>
      <c r="J105" s="83" t="n"/>
      <c r="K105" s="82">
        <f>IF(OR(Scale!$AD33="",Scale!$AD33=0),"",IF(Scale!$AE33="",0,Scale!$AE33)+IF(Scale!$AF33="",0,Scale!$AF33))</f>
        <v/>
      </c>
      <c r="L105" s="82">
        <f>IF(OR(Scale!$AD33="",Scale!$AD33=0),"",Scale!$AE33)</f>
        <v/>
      </c>
      <c r="M105" s="82">
        <f>IF(OR(Scale!$AD33="",Scale!$AD33=0),"",Scale!$AF33)</f>
        <v/>
      </c>
      <c r="N105" s="81">
        <f>IF(OR(Scale!$AD33="",Scale!$AD33=0),"","مقابل پوز")</f>
        <v/>
      </c>
      <c r="O105" s="81">
        <f>IF(OR(Scale!$AD33="",Scale!$AD33=0),"",IFERROR(VLOOKUP(Scale!$AD33,AcctTbl,3,0),""))</f>
        <v/>
      </c>
      <c r="P105" s="82">
        <f>IF(Scale!$AD33&lt;&gt;"X011","","BN02")</f>
        <v/>
      </c>
    </row>
    <row r="106" ht="20.25" customHeight="1">
      <c r="A106" s="80">
        <f>IF(OR(Scale!$U34="",Scale!$U34=0),"",Scale!$B34)</f>
        <v/>
      </c>
      <c r="B106" s="80">
        <f>IF(OR(Scale!$U34="",Scale!$U34=0),"",Scale!$D34)</f>
        <v/>
      </c>
      <c r="C106" s="80">
        <f>IF(OR(Scale!$U34="",Scale!$U34=0),"","باسکول")</f>
        <v/>
      </c>
      <c r="D106" s="80">
        <f>IF(OR(Scale!$U34="",Scale!$U34=0),"",Scale!$U34)</f>
        <v/>
      </c>
      <c r="E106" s="81">
        <f>IF(OR(Scale!$U34="",Scale!$U34=0),"",Scale!$T34)</f>
        <v/>
      </c>
      <c r="F106" s="81">
        <f>IF(OR(Scale!$U34="",Scale!$U34=0),"",Scale!$J34)</f>
        <v/>
      </c>
      <c r="G106" s="82">
        <f>IF(OR(Scale!$U34="",Scale!$U34=0),"",Scale!$M34)</f>
        <v/>
      </c>
      <c r="H106" s="82">
        <f>IF(OR(Scale!$U34="",Scale!$U34=0),"",Scale!$L34)</f>
        <v/>
      </c>
      <c r="I106" s="82">
        <f>IF(OR(Scale!$U34="",Scale!$U34=0),"",Scale!$N34)</f>
        <v/>
      </c>
      <c r="J106" s="82">
        <f>IF(OR(Scale!$U34="",Scale!$U34=0),"",Scale!$O34)</f>
        <v/>
      </c>
      <c r="K106" s="82">
        <f>IF(OR(Scale!$U34="",Scale!$U34=0),"",IF(Scale!$V34="",0,Scale!$V34)+IF(Scale!$W34="",0,Scale!$W34))</f>
        <v/>
      </c>
      <c r="L106" s="82">
        <f>IF(OR(Scale!$U34="",Scale!$U34=0),"",Scale!$V34)</f>
        <v/>
      </c>
      <c r="M106" s="82">
        <f>IF(OR(Scale!$U34="",Scale!$U34=0),"",Scale!$W34)</f>
        <v/>
      </c>
      <c r="N106" s="81">
        <f>IF(OR(Scale!$U34="",Scale!$U34=0),"",Scale!$E34)</f>
        <v/>
      </c>
      <c r="O106" s="81">
        <f>IF(OR(Scale!$U34="",Scale!$U34=0),"",IFERROR(VLOOKUP(Scale!$U34,AcctTbl,3,0),""))</f>
        <v/>
      </c>
      <c r="P106" s="82">
        <f>IF(Scale!$U34&lt;&gt;"X011","","BN02")</f>
        <v/>
      </c>
    </row>
    <row r="107" ht="20.25" customHeight="1">
      <c r="A107" s="80">
        <f>IF(OR(Scale!$X34="",Scale!$X34=0),"",Scale!$B34)</f>
        <v/>
      </c>
      <c r="B107" s="80">
        <f>IF(OR(Scale!$X34="",Scale!$X34=0),"",Scale!$D34)</f>
        <v/>
      </c>
      <c r="C107" s="80">
        <f>IF(OR(Scale!$X34="",Scale!$X34=0),"","باسکول")</f>
        <v/>
      </c>
      <c r="D107" s="80">
        <f>IF(OR(Scale!$X34="",Scale!$X34=0),"",Scale!$X34)</f>
        <v/>
      </c>
      <c r="E107" s="81">
        <f>IF(OR(Scale!$X34="",Scale!$X34=0),"",IF(Scale!$X34="","","مقابل: "&amp;Scale!$E34))</f>
        <v/>
      </c>
      <c r="F107" s="83" t="n"/>
      <c r="G107" s="83" t="n"/>
      <c r="H107" s="83" t="n"/>
      <c r="I107" s="83" t="n"/>
      <c r="J107" s="83" t="n"/>
      <c r="K107" s="82">
        <f>IF(OR(Scale!$X34="",Scale!$X34=0),"",IF(Scale!$Y34="",0,Scale!$Y34)+IF(Scale!$Z34="",0,Scale!$Z34))</f>
        <v/>
      </c>
      <c r="L107" s="82">
        <f>IF(OR(Scale!$X34="",Scale!$X34=0),"",Scale!$Y34)</f>
        <v/>
      </c>
      <c r="M107" s="82">
        <f>IF(OR(Scale!$X34="",Scale!$X34=0),"",Scale!$Z34)</f>
        <v/>
      </c>
      <c r="N107" s="81">
        <f>IF(OR(Scale!$X34="",Scale!$X34=0),"","مقابل")</f>
        <v/>
      </c>
      <c r="O107" s="81">
        <f>IF(OR(Scale!$X34="",Scale!$X34=0),"",IFERROR(VLOOKUP(Scale!$X34,AcctTbl,3,0),""))</f>
        <v/>
      </c>
      <c r="P107" s="82">
        <f>IF(Scale!$X34&lt;&gt;"X011","","BN02")</f>
        <v/>
      </c>
    </row>
    <row r="108" ht="20.25" customHeight="1">
      <c r="A108" s="80">
        <f>IF(OR(Scale!$AA34="",Scale!$AA34=0),"",Scale!$B34)</f>
        <v/>
      </c>
      <c r="B108" s="80">
        <f>IF(OR(Scale!$AA34="",Scale!$AA34=0),"",Scale!$D34)</f>
        <v/>
      </c>
      <c r="C108" s="80">
        <f>IF(OR(Scale!$AA34="",Scale!$AA34=0),"","باسکول")</f>
        <v/>
      </c>
      <c r="D108" s="80">
        <f>IF(OR(Scale!$AA34="",Scale!$AA34=0),"",Scale!$AA34)</f>
        <v/>
      </c>
      <c r="E108" s="81">
        <f>IF(OR(Scale!$AA34="",Scale!$AA34=0),"",IF(Scale!$AA34="","","پوز باسکول — "&amp;Scale!$E34))</f>
        <v/>
      </c>
      <c r="F108" s="83" t="n"/>
      <c r="G108" s="83" t="n"/>
      <c r="H108" s="83" t="n"/>
      <c r="I108" s="83" t="n"/>
      <c r="J108" s="83" t="n"/>
      <c r="K108" s="82">
        <f>IF(OR(Scale!$AA34="",Scale!$AA34=0),"",IF(Scale!$AB34="",0,Scale!$AB34)+IF(Scale!$AC34="",0,Scale!$AC34))</f>
        <v/>
      </c>
      <c r="L108" s="82">
        <f>IF(OR(Scale!$AA34="",Scale!$AA34=0),"",Scale!$AB34)</f>
        <v/>
      </c>
      <c r="M108" s="82">
        <f>IF(OR(Scale!$AA34="",Scale!$AA34=0),"",Scale!$AC34)</f>
        <v/>
      </c>
      <c r="N108" s="81">
        <f>IF(OR(Scale!$AA34="",Scale!$AA34=0),"","پوز")</f>
        <v/>
      </c>
      <c r="O108" s="81">
        <f>IF(OR(Scale!$AA34="",Scale!$AA34=0),"",IFERROR(VLOOKUP(Scale!$AA34,AcctTbl,3,0),""))</f>
        <v/>
      </c>
      <c r="P108" s="82">
        <f>IF(Scale!$AA34&lt;&gt;"X011","","BN02")</f>
        <v/>
      </c>
    </row>
    <row r="109" ht="20.25" customHeight="1">
      <c r="A109" s="80">
        <f>IF(OR(Scale!$AD34="",Scale!$AD34=0),"",Scale!$B34)</f>
        <v/>
      </c>
      <c r="B109" s="80">
        <f>IF(OR(Scale!$AD34="",Scale!$AD34=0),"",Scale!$D34)</f>
        <v/>
      </c>
      <c r="C109" s="80">
        <f>IF(OR(Scale!$AD34="",Scale!$AD34=0),"","باسکول")</f>
        <v/>
      </c>
      <c r="D109" s="80">
        <f>IF(OR(Scale!$AD34="",Scale!$AD34=0),"",Scale!$AD34)</f>
        <v/>
      </c>
      <c r="E109" s="81">
        <f>IF(OR(Scale!$AD34="",Scale!$AD34=0),"",IF(Scale!$AD34="","","مقابل پوز — "&amp;Scale!$E34))</f>
        <v/>
      </c>
      <c r="F109" s="83" t="n"/>
      <c r="G109" s="83" t="n"/>
      <c r="H109" s="83" t="n"/>
      <c r="I109" s="83" t="n"/>
      <c r="J109" s="83" t="n"/>
      <c r="K109" s="82">
        <f>IF(OR(Scale!$AD34="",Scale!$AD34=0),"",IF(Scale!$AE34="",0,Scale!$AE34)+IF(Scale!$AF34="",0,Scale!$AF34))</f>
        <v/>
      </c>
      <c r="L109" s="82">
        <f>IF(OR(Scale!$AD34="",Scale!$AD34=0),"",Scale!$AE34)</f>
        <v/>
      </c>
      <c r="M109" s="82">
        <f>IF(OR(Scale!$AD34="",Scale!$AD34=0),"",Scale!$AF34)</f>
        <v/>
      </c>
      <c r="N109" s="81">
        <f>IF(OR(Scale!$AD34="",Scale!$AD34=0),"","مقابل پوز")</f>
        <v/>
      </c>
      <c r="O109" s="81">
        <f>IF(OR(Scale!$AD34="",Scale!$AD34=0),"",IFERROR(VLOOKUP(Scale!$AD34,AcctTbl,3,0),""))</f>
        <v/>
      </c>
      <c r="P109" s="82">
        <f>IF(Scale!$AD34&lt;&gt;"X011","","BN02")</f>
        <v/>
      </c>
    </row>
    <row r="110" ht="20.25" customHeight="1">
      <c r="A110" s="80">
        <f>IF(OR(Scale!$U35="",Scale!$U35=0),"",Scale!$B35)</f>
        <v/>
      </c>
      <c r="B110" s="80">
        <f>IF(OR(Scale!$U35="",Scale!$U35=0),"",Scale!$D35)</f>
        <v/>
      </c>
      <c r="C110" s="80">
        <f>IF(OR(Scale!$U35="",Scale!$U35=0),"","باسکول")</f>
        <v/>
      </c>
      <c r="D110" s="80">
        <f>IF(OR(Scale!$U35="",Scale!$U35=0),"",Scale!$U35)</f>
        <v/>
      </c>
      <c r="E110" s="81">
        <f>IF(OR(Scale!$U35="",Scale!$U35=0),"",Scale!$T35)</f>
        <v/>
      </c>
      <c r="F110" s="81">
        <f>IF(OR(Scale!$U35="",Scale!$U35=0),"",Scale!$J35)</f>
        <v/>
      </c>
      <c r="G110" s="82">
        <f>IF(OR(Scale!$U35="",Scale!$U35=0),"",Scale!$M35)</f>
        <v/>
      </c>
      <c r="H110" s="82">
        <f>IF(OR(Scale!$U35="",Scale!$U35=0),"",Scale!$L35)</f>
        <v/>
      </c>
      <c r="I110" s="82">
        <f>IF(OR(Scale!$U35="",Scale!$U35=0),"",Scale!$N35)</f>
        <v/>
      </c>
      <c r="J110" s="82">
        <f>IF(OR(Scale!$U35="",Scale!$U35=0),"",Scale!$O35)</f>
        <v/>
      </c>
      <c r="K110" s="82">
        <f>IF(OR(Scale!$U35="",Scale!$U35=0),"",IF(Scale!$V35="",0,Scale!$V35)+IF(Scale!$W35="",0,Scale!$W35))</f>
        <v/>
      </c>
      <c r="L110" s="82">
        <f>IF(OR(Scale!$U35="",Scale!$U35=0),"",Scale!$V35)</f>
        <v/>
      </c>
      <c r="M110" s="82">
        <f>IF(OR(Scale!$U35="",Scale!$U35=0),"",Scale!$W35)</f>
        <v/>
      </c>
      <c r="N110" s="81">
        <f>IF(OR(Scale!$U35="",Scale!$U35=0),"",Scale!$E35)</f>
        <v/>
      </c>
      <c r="O110" s="81">
        <f>IF(OR(Scale!$U35="",Scale!$U35=0),"",IFERROR(VLOOKUP(Scale!$U35,AcctTbl,3,0),""))</f>
        <v/>
      </c>
      <c r="P110" s="82">
        <f>IF(Scale!$U35&lt;&gt;"X011","","BN02")</f>
        <v/>
      </c>
    </row>
    <row r="111" ht="20.25" customHeight="1">
      <c r="A111" s="80">
        <f>IF(OR(Scale!$X35="",Scale!$X35=0),"",Scale!$B35)</f>
        <v/>
      </c>
      <c r="B111" s="80">
        <f>IF(OR(Scale!$X35="",Scale!$X35=0),"",Scale!$D35)</f>
        <v/>
      </c>
      <c r="C111" s="80">
        <f>IF(OR(Scale!$X35="",Scale!$X35=0),"","باسکول")</f>
        <v/>
      </c>
      <c r="D111" s="80">
        <f>IF(OR(Scale!$X35="",Scale!$X35=0),"",Scale!$X35)</f>
        <v/>
      </c>
      <c r="E111" s="81">
        <f>IF(OR(Scale!$X35="",Scale!$X35=0),"",IF(Scale!$X35="","","مقابل: "&amp;Scale!$E35))</f>
        <v/>
      </c>
      <c r="F111" s="83" t="n"/>
      <c r="G111" s="83" t="n"/>
      <c r="H111" s="83" t="n"/>
      <c r="I111" s="83" t="n"/>
      <c r="J111" s="83" t="n"/>
      <c r="K111" s="82">
        <f>IF(OR(Scale!$X35="",Scale!$X35=0),"",IF(Scale!$Y35="",0,Scale!$Y35)+IF(Scale!$Z35="",0,Scale!$Z35))</f>
        <v/>
      </c>
      <c r="L111" s="82">
        <f>IF(OR(Scale!$X35="",Scale!$X35=0),"",Scale!$Y35)</f>
        <v/>
      </c>
      <c r="M111" s="82">
        <f>IF(OR(Scale!$X35="",Scale!$X35=0),"",Scale!$Z35)</f>
        <v/>
      </c>
      <c r="N111" s="81">
        <f>IF(OR(Scale!$X35="",Scale!$X35=0),"","مقابل")</f>
        <v/>
      </c>
      <c r="O111" s="81">
        <f>IF(OR(Scale!$X35="",Scale!$X35=0),"",IFERROR(VLOOKUP(Scale!$X35,AcctTbl,3,0),""))</f>
        <v/>
      </c>
      <c r="P111" s="82">
        <f>IF(Scale!$X35&lt;&gt;"X011","","BN02")</f>
        <v/>
      </c>
    </row>
    <row r="112" ht="20.25" customHeight="1">
      <c r="A112" s="80">
        <f>IF(OR(Scale!$AA35="",Scale!$AA35=0),"",Scale!$B35)</f>
        <v/>
      </c>
      <c r="B112" s="80">
        <f>IF(OR(Scale!$AA35="",Scale!$AA35=0),"",Scale!$D35)</f>
        <v/>
      </c>
      <c r="C112" s="80">
        <f>IF(OR(Scale!$AA35="",Scale!$AA35=0),"","باسکول")</f>
        <v/>
      </c>
      <c r="D112" s="80">
        <f>IF(OR(Scale!$AA35="",Scale!$AA35=0),"",Scale!$AA35)</f>
        <v/>
      </c>
      <c r="E112" s="81">
        <f>IF(OR(Scale!$AA35="",Scale!$AA35=0),"",IF(Scale!$AA35="","","پوز باسکول — "&amp;Scale!$E35))</f>
        <v/>
      </c>
      <c r="F112" s="83" t="n"/>
      <c r="G112" s="83" t="n"/>
      <c r="H112" s="83" t="n"/>
      <c r="I112" s="83" t="n"/>
      <c r="J112" s="83" t="n"/>
      <c r="K112" s="82">
        <f>IF(OR(Scale!$AA35="",Scale!$AA35=0),"",IF(Scale!$AB35="",0,Scale!$AB35)+IF(Scale!$AC35="",0,Scale!$AC35))</f>
        <v/>
      </c>
      <c r="L112" s="82">
        <f>IF(OR(Scale!$AA35="",Scale!$AA35=0),"",Scale!$AB35)</f>
        <v/>
      </c>
      <c r="M112" s="82">
        <f>IF(OR(Scale!$AA35="",Scale!$AA35=0),"",Scale!$AC35)</f>
        <v/>
      </c>
      <c r="N112" s="81">
        <f>IF(OR(Scale!$AA35="",Scale!$AA35=0),"","پوز")</f>
        <v/>
      </c>
      <c r="O112" s="81">
        <f>IF(OR(Scale!$AA35="",Scale!$AA35=0),"",IFERROR(VLOOKUP(Scale!$AA35,AcctTbl,3,0),""))</f>
        <v/>
      </c>
      <c r="P112" s="82">
        <f>IF(Scale!$AA35&lt;&gt;"X011","","BN02")</f>
        <v/>
      </c>
    </row>
    <row r="113" ht="20.25" customHeight="1">
      <c r="A113" s="80">
        <f>IF(OR(Scale!$AD35="",Scale!$AD35=0),"",Scale!$B35)</f>
        <v/>
      </c>
      <c r="B113" s="80">
        <f>IF(OR(Scale!$AD35="",Scale!$AD35=0),"",Scale!$D35)</f>
        <v/>
      </c>
      <c r="C113" s="80">
        <f>IF(OR(Scale!$AD35="",Scale!$AD35=0),"","باسکول")</f>
        <v/>
      </c>
      <c r="D113" s="80">
        <f>IF(OR(Scale!$AD35="",Scale!$AD35=0),"",Scale!$AD35)</f>
        <v/>
      </c>
      <c r="E113" s="81">
        <f>IF(OR(Scale!$AD35="",Scale!$AD35=0),"",IF(Scale!$AD35="","","مقابل پوز — "&amp;Scale!$E35))</f>
        <v/>
      </c>
      <c r="F113" s="83" t="n"/>
      <c r="G113" s="83" t="n"/>
      <c r="H113" s="83" t="n"/>
      <c r="I113" s="83" t="n"/>
      <c r="J113" s="83" t="n"/>
      <c r="K113" s="82">
        <f>IF(OR(Scale!$AD35="",Scale!$AD35=0),"",IF(Scale!$AE35="",0,Scale!$AE35)+IF(Scale!$AF35="",0,Scale!$AF35))</f>
        <v/>
      </c>
      <c r="L113" s="82">
        <f>IF(OR(Scale!$AD35="",Scale!$AD35=0),"",Scale!$AE35)</f>
        <v/>
      </c>
      <c r="M113" s="82">
        <f>IF(OR(Scale!$AD35="",Scale!$AD35=0),"",Scale!$AF35)</f>
        <v/>
      </c>
      <c r="N113" s="81">
        <f>IF(OR(Scale!$AD35="",Scale!$AD35=0),"","مقابل پوز")</f>
        <v/>
      </c>
      <c r="O113" s="81">
        <f>IF(OR(Scale!$AD35="",Scale!$AD35=0),"",IFERROR(VLOOKUP(Scale!$AD35,AcctTbl,3,0),""))</f>
        <v/>
      </c>
      <c r="P113" s="82">
        <f>IF(Scale!$AD35&lt;&gt;"X011","","BN02")</f>
        <v/>
      </c>
    </row>
    <row r="114" ht="20.25" customHeight="1">
      <c r="A114" s="80">
        <f>IF(OR(Scale!$U36="",Scale!$U36=0),"",Scale!$B36)</f>
        <v/>
      </c>
      <c r="B114" s="80">
        <f>IF(OR(Scale!$U36="",Scale!$U36=0),"",Scale!$D36)</f>
        <v/>
      </c>
      <c r="C114" s="80">
        <f>IF(OR(Scale!$U36="",Scale!$U36=0),"","باسکول")</f>
        <v/>
      </c>
      <c r="D114" s="80">
        <f>IF(OR(Scale!$U36="",Scale!$U36=0),"",Scale!$U36)</f>
        <v/>
      </c>
      <c r="E114" s="81">
        <f>IF(OR(Scale!$U36="",Scale!$U36=0),"",Scale!$T36)</f>
        <v/>
      </c>
      <c r="F114" s="81">
        <f>IF(OR(Scale!$U36="",Scale!$U36=0),"",Scale!$J36)</f>
        <v/>
      </c>
      <c r="G114" s="82">
        <f>IF(OR(Scale!$U36="",Scale!$U36=0),"",Scale!$M36)</f>
        <v/>
      </c>
      <c r="H114" s="82">
        <f>IF(OR(Scale!$U36="",Scale!$U36=0),"",Scale!$L36)</f>
        <v/>
      </c>
      <c r="I114" s="82">
        <f>IF(OR(Scale!$U36="",Scale!$U36=0),"",Scale!$N36)</f>
        <v/>
      </c>
      <c r="J114" s="82">
        <f>IF(OR(Scale!$U36="",Scale!$U36=0),"",Scale!$O36)</f>
        <v/>
      </c>
      <c r="K114" s="82">
        <f>IF(OR(Scale!$U36="",Scale!$U36=0),"",IF(Scale!$V36="",0,Scale!$V36)+IF(Scale!$W36="",0,Scale!$W36))</f>
        <v/>
      </c>
      <c r="L114" s="82">
        <f>IF(OR(Scale!$U36="",Scale!$U36=0),"",Scale!$V36)</f>
        <v/>
      </c>
      <c r="M114" s="82">
        <f>IF(OR(Scale!$U36="",Scale!$U36=0),"",Scale!$W36)</f>
        <v/>
      </c>
      <c r="N114" s="81">
        <f>IF(OR(Scale!$U36="",Scale!$U36=0),"",Scale!$E36)</f>
        <v/>
      </c>
      <c r="O114" s="81">
        <f>IF(OR(Scale!$U36="",Scale!$U36=0),"",IFERROR(VLOOKUP(Scale!$U36,AcctTbl,3,0),""))</f>
        <v/>
      </c>
      <c r="P114" s="82">
        <f>IF(Scale!$U36&lt;&gt;"X011","","BN02")</f>
        <v/>
      </c>
    </row>
    <row r="115" ht="20.25" customHeight="1">
      <c r="A115" s="80">
        <f>IF(OR(Scale!$X36="",Scale!$X36=0),"",Scale!$B36)</f>
        <v/>
      </c>
      <c r="B115" s="80">
        <f>IF(OR(Scale!$X36="",Scale!$X36=0),"",Scale!$D36)</f>
        <v/>
      </c>
      <c r="C115" s="80">
        <f>IF(OR(Scale!$X36="",Scale!$X36=0),"","باسکول")</f>
        <v/>
      </c>
      <c r="D115" s="80">
        <f>IF(OR(Scale!$X36="",Scale!$X36=0),"",Scale!$X36)</f>
        <v/>
      </c>
      <c r="E115" s="81">
        <f>IF(OR(Scale!$X36="",Scale!$X36=0),"",IF(Scale!$X36="","","مقابل: "&amp;Scale!$E36))</f>
        <v/>
      </c>
      <c r="F115" s="83" t="n"/>
      <c r="G115" s="83" t="n"/>
      <c r="H115" s="83" t="n"/>
      <c r="I115" s="83" t="n"/>
      <c r="J115" s="83" t="n"/>
      <c r="K115" s="82">
        <f>IF(OR(Scale!$X36="",Scale!$X36=0),"",IF(Scale!$Y36="",0,Scale!$Y36)+IF(Scale!$Z36="",0,Scale!$Z36))</f>
        <v/>
      </c>
      <c r="L115" s="82">
        <f>IF(OR(Scale!$X36="",Scale!$X36=0),"",Scale!$Y36)</f>
        <v/>
      </c>
      <c r="M115" s="82">
        <f>IF(OR(Scale!$X36="",Scale!$X36=0),"",Scale!$Z36)</f>
        <v/>
      </c>
      <c r="N115" s="81">
        <f>IF(OR(Scale!$X36="",Scale!$X36=0),"","مقابل")</f>
        <v/>
      </c>
      <c r="O115" s="81">
        <f>IF(OR(Scale!$X36="",Scale!$X36=0),"",IFERROR(VLOOKUP(Scale!$X36,AcctTbl,3,0),""))</f>
        <v/>
      </c>
      <c r="P115" s="82">
        <f>IF(Scale!$X36&lt;&gt;"X011","","BN02")</f>
        <v/>
      </c>
    </row>
    <row r="116" ht="20.25" customHeight="1">
      <c r="A116" s="80">
        <f>IF(OR(Scale!$AA36="",Scale!$AA36=0),"",Scale!$B36)</f>
        <v/>
      </c>
      <c r="B116" s="80">
        <f>IF(OR(Scale!$AA36="",Scale!$AA36=0),"",Scale!$D36)</f>
        <v/>
      </c>
      <c r="C116" s="80">
        <f>IF(OR(Scale!$AA36="",Scale!$AA36=0),"","باسکول")</f>
        <v/>
      </c>
      <c r="D116" s="80">
        <f>IF(OR(Scale!$AA36="",Scale!$AA36=0),"",Scale!$AA36)</f>
        <v/>
      </c>
      <c r="E116" s="81">
        <f>IF(OR(Scale!$AA36="",Scale!$AA36=0),"",IF(Scale!$AA36="","","پوز باسکول — "&amp;Scale!$E36))</f>
        <v/>
      </c>
      <c r="F116" s="83" t="n"/>
      <c r="G116" s="83" t="n"/>
      <c r="H116" s="83" t="n"/>
      <c r="I116" s="83" t="n"/>
      <c r="J116" s="83" t="n"/>
      <c r="K116" s="82">
        <f>IF(OR(Scale!$AA36="",Scale!$AA36=0),"",IF(Scale!$AB36="",0,Scale!$AB36)+IF(Scale!$AC36="",0,Scale!$AC36))</f>
        <v/>
      </c>
      <c r="L116" s="82">
        <f>IF(OR(Scale!$AA36="",Scale!$AA36=0),"",Scale!$AB36)</f>
        <v/>
      </c>
      <c r="M116" s="82">
        <f>IF(OR(Scale!$AA36="",Scale!$AA36=0),"",Scale!$AC36)</f>
        <v/>
      </c>
      <c r="N116" s="81">
        <f>IF(OR(Scale!$AA36="",Scale!$AA36=0),"","پوز")</f>
        <v/>
      </c>
      <c r="O116" s="81">
        <f>IF(OR(Scale!$AA36="",Scale!$AA36=0),"",IFERROR(VLOOKUP(Scale!$AA36,AcctTbl,3,0),""))</f>
        <v/>
      </c>
      <c r="P116" s="82">
        <f>IF(Scale!$AA36&lt;&gt;"X011","","BN02")</f>
        <v/>
      </c>
    </row>
    <row r="117" ht="20.25" customHeight="1">
      <c r="A117" s="80">
        <f>IF(OR(Scale!$AD36="",Scale!$AD36=0),"",Scale!$B36)</f>
        <v/>
      </c>
      <c r="B117" s="80">
        <f>IF(OR(Scale!$AD36="",Scale!$AD36=0),"",Scale!$D36)</f>
        <v/>
      </c>
      <c r="C117" s="80">
        <f>IF(OR(Scale!$AD36="",Scale!$AD36=0),"","باسکول")</f>
        <v/>
      </c>
      <c r="D117" s="80">
        <f>IF(OR(Scale!$AD36="",Scale!$AD36=0),"",Scale!$AD36)</f>
        <v/>
      </c>
      <c r="E117" s="81">
        <f>IF(OR(Scale!$AD36="",Scale!$AD36=0),"",IF(Scale!$AD36="","","مقابل پوز — "&amp;Scale!$E36))</f>
        <v/>
      </c>
      <c r="F117" s="83" t="n"/>
      <c r="G117" s="83" t="n"/>
      <c r="H117" s="83" t="n"/>
      <c r="I117" s="83" t="n"/>
      <c r="J117" s="83" t="n"/>
      <c r="K117" s="82">
        <f>IF(OR(Scale!$AD36="",Scale!$AD36=0),"",IF(Scale!$AE36="",0,Scale!$AE36)+IF(Scale!$AF36="",0,Scale!$AF36))</f>
        <v/>
      </c>
      <c r="L117" s="82">
        <f>IF(OR(Scale!$AD36="",Scale!$AD36=0),"",Scale!$AE36)</f>
        <v/>
      </c>
      <c r="M117" s="82">
        <f>IF(OR(Scale!$AD36="",Scale!$AD36=0),"",Scale!$AF36)</f>
        <v/>
      </c>
      <c r="N117" s="81">
        <f>IF(OR(Scale!$AD36="",Scale!$AD36=0),"","مقابل پوز")</f>
        <v/>
      </c>
      <c r="O117" s="81">
        <f>IF(OR(Scale!$AD36="",Scale!$AD36=0),"",IFERROR(VLOOKUP(Scale!$AD36,AcctTbl,3,0),""))</f>
        <v/>
      </c>
      <c r="P117" s="82">
        <f>IF(Scale!$AD36&lt;&gt;"X011","","BN02")</f>
        <v/>
      </c>
    </row>
    <row r="118" ht="20.25" customHeight="1">
      <c r="A118" s="80">
        <f>IF(OR(Scale!$U37="",Scale!$U37=0),"",Scale!$B37)</f>
        <v/>
      </c>
      <c r="B118" s="80">
        <f>IF(OR(Scale!$U37="",Scale!$U37=0),"",Scale!$D37)</f>
        <v/>
      </c>
      <c r="C118" s="80">
        <f>IF(OR(Scale!$U37="",Scale!$U37=0),"","باسکول")</f>
        <v/>
      </c>
      <c r="D118" s="80">
        <f>IF(OR(Scale!$U37="",Scale!$U37=0),"",Scale!$U37)</f>
        <v/>
      </c>
      <c r="E118" s="81">
        <f>IF(OR(Scale!$U37="",Scale!$U37=0),"",Scale!$T37)</f>
        <v/>
      </c>
      <c r="F118" s="81">
        <f>IF(OR(Scale!$U37="",Scale!$U37=0),"",Scale!$J37)</f>
        <v/>
      </c>
      <c r="G118" s="82">
        <f>IF(OR(Scale!$U37="",Scale!$U37=0),"",Scale!$M37)</f>
        <v/>
      </c>
      <c r="H118" s="82">
        <f>IF(OR(Scale!$U37="",Scale!$U37=0),"",Scale!$L37)</f>
        <v/>
      </c>
      <c r="I118" s="82">
        <f>IF(OR(Scale!$U37="",Scale!$U37=0),"",Scale!$N37)</f>
        <v/>
      </c>
      <c r="J118" s="82">
        <f>IF(OR(Scale!$U37="",Scale!$U37=0),"",Scale!$O37)</f>
        <v/>
      </c>
      <c r="K118" s="82">
        <f>IF(OR(Scale!$U37="",Scale!$U37=0),"",IF(Scale!$V37="",0,Scale!$V37)+IF(Scale!$W37="",0,Scale!$W37))</f>
        <v/>
      </c>
      <c r="L118" s="82">
        <f>IF(OR(Scale!$U37="",Scale!$U37=0),"",Scale!$V37)</f>
        <v/>
      </c>
      <c r="M118" s="82">
        <f>IF(OR(Scale!$U37="",Scale!$U37=0),"",Scale!$W37)</f>
        <v/>
      </c>
      <c r="N118" s="81">
        <f>IF(OR(Scale!$U37="",Scale!$U37=0),"",Scale!$E37)</f>
        <v/>
      </c>
      <c r="O118" s="81">
        <f>IF(OR(Scale!$U37="",Scale!$U37=0),"",IFERROR(VLOOKUP(Scale!$U37,AcctTbl,3,0),""))</f>
        <v/>
      </c>
      <c r="P118" s="82">
        <f>IF(Scale!$U37&lt;&gt;"X011","","BN02")</f>
        <v/>
      </c>
    </row>
    <row r="119" ht="20.25" customHeight="1">
      <c r="A119" s="80">
        <f>IF(OR(Scale!$X37="",Scale!$X37=0),"",Scale!$B37)</f>
        <v/>
      </c>
      <c r="B119" s="80">
        <f>IF(OR(Scale!$X37="",Scale!$X37=0),"",Scale!$D37)</f>
        <v/>
      </c>
      <c r="C119" s="80">
        <f>IF(OR(Scale!$X37="",Scale!$X37=0),"","باسکول")</f>
        <v/>
      </c>
      <c r="D119" s="80">
        <f>IF(OR(Scale!$X37="",Scale!$X37=0),"",Scale!$X37)</f>
        <v/>
      </c>
      <c r="E119" s="81">
        <f>IF(OR(Scale!$X37="",Scale!$X37=0),"",IF(Scale!$X37="","","مقابل: "&amp;Scale!$E37))</f>
        <v/>
      </c>
      <c r="F119" s="83" t="n"/>
      <c r="G119" s="83" t="n"/>
      <c r="H119" s="83" t="n"/>
      <c r="I119" s="83" t="n"/>
      <c r="J119" s="83" t="n"/>
      <c r="K119" s="82">
        <f>IF(OR(Scale!$X37="",Scale!$X37=0),"",IF(Scale!$Y37="",0,Scale!$Y37)+IF(Scale!$Z37="",0,Scale!$Z37))</f>
        <v/>
      </c>
      <c r="L119" s="82">
        <f>IF(OR(Scale!$X37="",Scale!$X37=0),"",Scale!$Y37)</f>
        <v/>
      </c>
      <c r="M119" s="82">
        <f>IF(OR(Scale!$X37="",Scale!$X37=0),"",Scale!$Z37)</f>
        <v/>
      </c>
      <c r="N119" s="81">
        <f>IF(OR(Scale!$X37="",Scale!$X37=0),"","مقابل")</f>
        <v/>
      </c>
      <c r="O119" s="81">
        <f>IF(OR(Scale!$X37="",Scale!$X37=0),"",IFERROR(VLOOKUP(Scale!$X37,AcctTbl,3,0),""))</f>
        <v/>
      </c>
      <c r="P119" s="82">
        <f>IF(Scale!$X37&lt;&gt;"X011","","BN02")</f>
        <v/>
      </c>
    </row>
    <row r="120" ht="20.25" customHeight="1">
      <c r="A120" s="80">
        <f>IF(OR(Scale!$AA37="",Scale!$AA37=0),"",Scale!$B37)</f>
        <v/>
      </c>
      <c r="B120" s="80">
        <f>IF(OR(Scale!$AA37="",Scale!$AA37=0),"",Scale!$D37)</f>
        <v/>
      </c>
      <c r="C120" s="80">
        <f>IF(OR(Scale!$AA37="",Scale!$AA37=0),"","باسکول")</f>
        <v/>
      </c>
      <c r="D120" s="80">
        <f>IF(OR(Scale!$AA37="",Scale!$AA37=0),"",Scale!$AA37)</f>
        <v/>
      </c>
      <c r="E120" s="81">
        <f>IF(OR(Scale!$AA37="",Scale!$AA37=0),"",IF(Scale!$AA37="","","پوز باسکول — "&amp;Scale!$E37))</f>
        <v/>
      </c>
      <c r="F120" s="83" t="n"/>
      <c r="G120" s="83" t="n"/>
      <c r="H120" s="83" t="n"/>
      <c r="I120" s="83" t="n"/>
      <c r="J120" s="83" t="n"/>
      <c r="K120" s="82">
        <f>IF(OR(Scale!$AA37="",Scale!$AA37=0),"",IF(Scale!$AB37="",0,Scale!$AB37)+IF(Scale!$AC37="",0,Scale!$AC37))</f>
        <v/>
      </c>
      <c r="L120" s="82">
        <f>IF(OR(Scale!$AA37="",Scale!$AA37=0),"",Scale!$AB37)</f>
        <v/>
      </c>
      <c r="M120" s="82">
        <f>IF(OR(Scale!$AA37="",Scale!$AA37=0),"",Scale!$AC37)</f>
        <v/>
      </c>
      <c r="N120" s="81">
        <f>IF(OR(Scale!$AA37="",Scale!$AA37=0),"","پوز")</f>
        <v/>
      </c>
      <c r="O120" s="81">
        <f>IF(OR(Scale!$AA37="",Scale!$AA37=0),"",IFERROR(VLOOKUP(Scale!$AA37,AcctTbl,3,0),""))</f>
        <v/>
      </c>
      <c r="P120" s="82">
        <f>IF(Scale!$AA37&lt;&gt;"X011","","BN02")</f>
        <v/>
      </c>
    </row>
    <row r="121" ht="20.25" customHeight="1">
      <c r="A121" s="80">
        <f>IF(OR(Scale!$AD37="",Scale!$AD37=0),"",Scale!$B37)</f>
        <v/>
      </c>
      <c r="B121" s="80">
        <f>IF(OR(Scale!$AD37="",Scale!$AD37=0),"",Scale!$D37)</f>
        <v/>
      </c>
      <c r="C121" s="80">
        <f>IF(OR(Scale!$AD37="",Scale!$AD37=0),"","باسکول")</f>
        <v/>
      </c>
      <c r="D121" s="80">
        <f>IF(OR(Scale!$AD37="",Scale!$AD37=0),"",Scale!$AD37)</f>
        <v/>
      </c>
      <c r="E121" s="81">
        <f>IF(OR(Scale!$AD37="",Scale!$AD37=0),"",IF(Scale!$AD37="","","مقابل پوز — "&amp;Scale!$E37))</f>
        <v/>
      </c>
      <c r="F121" s="83" t="n"/>
      <c r="G121" s="83" t="n"/>
      <c r="H121" s="83" t="n"/>
      <c r="I121" s="83" t="n"/>
      <c r="J121" s="83" t="n"/>
      <c r="K121" s="82">
        <f>IF(OR(Scale!$AD37="",Scale!$AD37=0),"",IF(Scale!$AE37="",0,Scale!$AE37)+IF(Scale!$AF37="",0,Scale!$AF37))</f>
        <v/>
      </c>
      <c r="L121" s="82">
        <f>IF(OR(Scale!$AD37="",Scale!$AD37=0),"",Scale!$AE37)</f>
        <v/>
      </c>
      <c r="M121" s="82">
        <f>IF(OR(Scale!$AD37="",Scale!$AD37=0),"",Scale!$AF37)</f>
        <v/>
      </c>
      <c r="N121" s="81">
        <f>IF(OR(Scale!$AD37="",Scale!$AD37=0),"","مقابل پوز")</f>
        <v/>
      </c>
      <c r="O121" s="81">
        <f>IF(OR(Scale!$AD37="",Scale!$AD37=0),"",IFERROR(VLOOKUP(Scale!$AD37,AcctTbl,3,0),""))</f>
        <v/>
      </c>
      <c r="P121" s="82">
        <f>IF(Scale!$AD37&lt;&gt;"X011","","BN02")</f>
        <v/>
      </c>
    </row>
    <row r="122" ht="20.25" customHeight="1">
      <c r="A122" s="80">
        <f>IF(OR(Scale!$U38="",Scale!$U38=0),"",Scale!$B38)</f>
        <v/>
      </c>
      <c r="B122" s="80">
        <f>IF(OR(Scale!$U38="",Scale!$U38=0),"",Scale!$D38)</f>
        <v/>
      </c>
      <c r="C122" s="80">
        <f>IF(OR(Scale!$U38="",Scale!$U38=0),"","باسکول")</f>
        <v/>
      </c>
      <c r="D122" s="80">
        <f>IF(OR(Scale!$U38="",Scale!$U38=0),"",Scale!$U38)</f>
        <v/>
      </c>
      <c r="E122" s="81">
        <f>IF(OR(Scale!$U38="",Scale!$U38=0),"",Scale!$T38)</f>
        <v/>
      </c>
      <c r="F122" s="81">
        <f>IF(OR(Scale!$U38="",Scale!$U38=0),"",Scale!$J38)</f>
        <v/>
      </c>
      <c r="G122" s="82">
        <f>IF(OR(Scale!$U38="",Scale!$U38=0),"",Scale!$M38)</f>
        <v/>
      </c>
      <c r="H122" s="82">
        <f>IF(OR(Scale!$U38="",Scale!$U38=0),"",Scale!$L38)</f>
        <v/>
      </c>
      <c r="I122" s="82">
        <f>IF(OR(Scale!$U38="",Scale!$U38=0),"",Scale!$N38)</f>
        <v/>
      </c>
      <c r="J122" s="82">
        <f>IF(OR(Scale!$U38="",Scale!$U38=0),"",Scale!$O38)</f>
        <v/>
      </c>
      <c r="K122" s="82">
        <f>IF(OR(Scale!$U38="",Scale!$U38=0),"",IF(Scale!$V38="",0,Scale!$V38)+IF(Scale!$W38="",0,Scale!$W38))</f>
        <v/>
      </c>
      <c r="L122" s="82">
        <f>IF(OR(Scale!$U38="",Scale!$U38=0),"",Scale!$V38)</f>
        <v/>
      </c>
      <c r="M122" s="82">
        <f>IF(OR(Scale!$U38="",Scale!$U38=0),"",Scale!$W38)</f>
        <v/>
      </c>
      <c r="N122" s="81">
        <f>IF(OR(Scale!$U38="",Scale!$U38=0),"",Scale!$E38)</f>
        <v/>
      </c>
      <c r="O122" s="81">
        <f>IF(OR(Scale!$U38="",Scale!$U38=0),"",IFERROR(VLOOKUP(Scale!$U38,AcctTbl,3,0),""))</f>
        <v/>
      </c>
      <c r="P122" s="82">
        <f>IF(Scale!$U38&lt;&gt;"X011","","BN02")</f>
        <v/>
      </c>
    </row>
    <row r="123" ht="20.25" customHeight="1">
      <c r="A123" s="80">
        <f>IF(OR(Scale!$X38="",Scale!$X38=0),"",Scale!$B38)</f>
        <v/>
      </c>
      <c r="B123" s="80">
        <f>IF(OR(Scale!$X38="",Scale!$X38=0),"",Scale!$D38)</f>
        <v/>
      </c>
      <c r="C123" s="80">
        <f>IF(OR(Scale!$X38="",Scale!$X38=0),"","باسکول")</f>
        <v/>
      </c>
      <c r="D123" s="80">
        <f>IF(OR(Scale!$X38="",Scale!$X38=0),"",Scale!$X38)</f>
        <v/>
      </c>
      <c r="E123" s="81">
        <f>IF(OR(Scale!$X38="",Scale!$X38=0),"",IF(Scale!$X38="","","مقابل: "&amp;Scale!$E38))</f>
        <v/>
      </c>
      <c r="F123" s="83" t="n"/>
      <c r="G123" s="83" t="n"/>
      <c r="H123" s="83" t="n"/>
      <c r="I123" s="83" t="n"/>
      <c r="J123" s="83" t="n"/>
      <c r="K123" s="82">
        <f>IF(OR(Scale!$X38="",Scale!$X38=0),"",IF(Scale!$Y38="",0,Scale!$Y38)+IF(Scale!$Z38="",0,Scale!$Z38))</f>
        <v/>
      </c>
      <c r="L123" s="82">
        <f>IF(OR(Scale!$X38="",Scale!$X38=0),"",Scale!$Y38)</f>
        <v/>
      </c>
      <c r="M123" s="82">
        <f>IF(OR(Scale!$X38="",Scale!$X38=0),"",Scale!$Z38)</f>
        <v/>
      </c>
      <c r="N123" s="81">
        <f>IF(OR(Scale!$X38="",Scale!$X38=0),"","مقابل")</f>
        <v/>
      </c>
      <c r="O123" s="81">
        <f>IF(OR(Scale!$X38="",Scale!$X38=0),"",IFERROR(VLOOKUP(Scale!$X38,AcctTbl,3,0),""))</f>
        <v/>
      </c>
      <c r="P123" s="82">
        <f>IF(Scale!$X38&lt;&gt;"X011","","BN02")</f>
        <v/>
      </c>
    </row>
    <row r="124" ht="20.25" customHeight="1">
      <c r="A124" s="80">
        <f>IF(OR(Scale!$AA38="",Scale!$AA38=0),"",Scale!$B38)</f>
        <v/>
      </c>
      <c r="B124" s="80">
        <f>IF(OR(Scale!$AA38="",Scale!$AA38=0),"",Scale!$D38)</f>
        <v/>
      </c>
      <c r="C124" s="80">
        <f>IF(OR(Scale!$AA38="",Scale!$AA38=0),"","باسکول")</f>
        <v/>
      </c>
      <c r="D124" s="80">
        <f>IF(OR(Scale!$AA38="",Scale!$AA38=0),"",Scale!$AA38)</f>
        <v/>
      </c>
      <c r="E124" s="81">
        <f>IF(OR(Scale!$AA38="",Scale!$AA38=0),"",IF(Scale!$AA38="","","پوز باسکول — "&amp;Scale!$E38))</f>
        <v/>
      </c>
      <c r="F124" s="83" t="n"/>
      <c r="G124" s="83" t="n"/>
      <c r="H124" s="83" t="n"/>
      <c r="I124" s="83" t="n"/>
      <c r="J124" s="83" t="n"/>
      <c r="K124" s="82">
        <f>IF(OR(Scale!$AA38="",Scale!$AA38=0),"",IF(Scale!$AB38="",0,Scale!$AB38)+IF(Scale!$AC38="",0,Scale!$AC38))</f>
        <v/>
      </c>
      <c r="L124" s="82">
        <f>IF(OR(Scale!$AA38="",Scale!$AA38=0),"",Scale!$AB38)</f>
        <v/>
      </c>
      <c r="M124" s="82">
        <f>IF(OR(Scale!$AA38="",Scale!$AA38=0),"",Scale!$AC38)</f>
        <v/>
      </c>
      <c r="N124" s="81">
        <f>IF(OR(Scale!$AA38="",Scale!$AA38=0),"","پوز")</f>
        <v/>
      </c>
      <c r="O124" s="81">
        <f>IF(OR(Scale!$AA38="",Scale!$AA38=0),"",IFERROR(VLOOKUP(Scale!$AA38,AcctTbl,3,0),""))</f>
        <v/>
      </c>
      <c r="P124" s="82">
        <f>IF(Scale!$AA38&lt;&gt;"X011","","BN02")</f>
        <v/>
      </c>
    </row>
    <row r="125" ht="20.25" customHeight="1">
      <c r="A125" s="80">
        <f>IF(OR(Scale!$AD38="",Scale!$AD38=0),"",Scale!$B38)</f>
        <v/>
      </c>
      <c r="B125" s="80">
        <f>IF(OR(Scale!$AD38="",Scale!$AD38=0),"",Scale!$D38)</f>
        <v/>
      </c>
      <c r="C125" s="80">
        <f>IF(OR(Scale!$AD38="",Scale!$AD38=0),"","باسکول")</f>
        <v/>
      </c>
      <c r="D125" s="80">
        <f>IF(OR(Scale!$AD38="",Scale!$AD38=0),"",Scale!$AD38)</f>
        <v/>
      </c>
      <c r="E125" s="81">
        <f>IF(OR(Scale!$AD38="",Scale!$AD38=0),"",IF(Scale!$AD38="","","مقابل پوز — "&amp;Scale!$E38))</f>
        <v/>
      </c>
      <c r="F125" s="83" t="n"/>
      <c r="G125" s="83" t="n"/>
      <c r="H125" s="83" t="n"/>
      <c r="I125" s="83" t="n"/>
      <c r="J125" s="83" t="n"/>
      <c r="K125" s="82">
        <f>IF(OR(Scale!$AD38="",Scale!$AD38=0),"",IF(Scale!$AE38="",0,Scale!$AE38)+IF(Scale!$AF38="",0,Scale!$AF38))</f>
        <v/>
      </c>
      <c r="L125" s="82">
        <f>IF(OR(Scale!$AD38="",Scale!$AD38=0),"",Scale!$AE38)</f>
        <v/>
      </c>
      <c r="M125" s="82">
        <f>IF(OR(Scale!$AD38="",Scale!$AD38=0),"",Scale!$AF38)</f>
        <v/>
      </c>
      <c r="N125" s="81">
        <f>IF(OR(Scale!$AD38="",Scale!$AD38=0),"","مقابل پوز")</f>
        <v/>
      </c>
      <c r="O125" s="81">
        <f>IF(OR(Scale!$AD38="",Scale!$AD38=0),"",IFERROR(VLOOKUP(Scale!$AD38,AcctTbl,3,0),""))</f>
        <v/>
      </c>
      <c r="P125" s="82">
        <f>IF(Scale!$AD38&lt;&gt;"X011","","BN02")</f>
        <v/>
      </c>
    </row>
    <row r="126" ht="20.25" customHeight="1">
      <c r="A126" s="80">
        <f>IF(OR(Scale!$U39="",Scale!$U39=0),"",Scale!$B39)</f>
        <v/>
      </c>
      <c r="B126" s="80">
        <f>IF(OR(Scale!$U39="",Scale!$U39=0),"",Scale!$D39)</f>
        <v/>
      </c>
      <c r="C126" s="80">
        <f>IF(OR(Scale!$U39="",Scale!$U39=0),"","باسکول")</f>
        <v/>
      </c>
      <c r="D126" s="80">
        <f>IF(OR(Scale!$U39="",Scale!$U39=0),"",Scale!$U39)</f>
        <v/>
      </c>
      <c r="E126" s="81">
        <f>IF(OR(Scale!$U39="",Scale!$U39=0),"",Scale!$T39)</f>
        <v/>
      </c>
      <c r="F126" s="81">
        <f>IF(OR(Scale!$U39="",Scale!$U39=0),"",Scale!$J39)</f>
        <v/>
      </c>
      <c r="G126" s="82">
        <f>IF(OR(Scale!$U39="",Scale!$U39=0),"",Scale!$M39)</f>
        <v/>
      </c>
      <c r="H126" s="82">
        <f>IF(OR(Scale!$U39="",Scale!$U39=0),"",Scale!$L39)</f>
        <v/>
      </c>
      <c r="I126" s="82">
        <f>IF(OR(Scale!$U39="",Scale!$U39=0),"",Scale!$N39)</f>
        <v/>
      </c>
      <c r="J126" s="82">
        <f>IF(OR(Scale!$U39="",Scale!$U39=0),"",Scale!$O39)</f>
        <v/>
      </c>
      <c r="K126" s="82">
        <f>IF(OR(Scale!$U39="",Scale!$U39=0),"",IF(Scale!$V39="",0,Scale!$V39)+IF(Scale!$W39="",0,Scale!$W39))</f>
        <v/>
      </c>
      <c r="L126" s="82">
        <f>IF(OR(Scale!$U39="",Scale!$U39=0),"",Scale!$V39)</f>
        <v/>
      </c>
      <c r="M126" s="82">
        <f>IF(OR(Scale!$U39="",Scale!$U39=0),"",Scale!$W39)</f>
        <v/>
      </c>
      <c r="N126" s="81">
        <f>IF(OR(Scale!$U39="",Scale!$U39=0),"",Scale!$E39)</f>
        <v/>
      </c>
      <c r="O126" s="81">
        <f>IF(OR(Scale!$U39="",Scale!$U39=0),"",IFERROR(VLOOKUP(Scale!$U39,AcctTbl,3,0),""))</f>
        <v/>
      </c>
      <c r="P126" s="82">
        <f>IF(Scale!$U39&lt;&gt;"X011","","BN02")</f>
        <v/>
      </c>
    </row>
    <row r="127" ht="20.25" customHeight="1">
      <c r="A127" s="80">
        <f>IF(OR(Scale!$X39="",Scale!$X39=0),"",Scale!$B39)</f>
        <v/>
      </c>
      <c r="B127" s="80">
        <f>IF(OR(Scale!$X39="",Scale!$X39=0),"",Scale!$D39)</f>
        <v/>
      </c>
      <c r="C127" s="80">
        <f>IF(OR(Scale!$X39="",Scale!$X39=0),"","باسکول")</f>
        <v/>
      </c>
      <c r="D127" s="80">
        <f>IF(OR(Scale!$X39="",Scale!$X39=0),"",Scale!$X39)</f>
        <v/>
      </c>
      <c r="E127" s="81">
        <f>IF(OR(Scale!$X39="",Scale!$X39=0),"",IF(Scale!$X39="","","مقابل: "&amp;Scale!$E39))</f>
        <v/>
      </c>
      <c r="F127" s="83" t="n"/>
      <c r="G127" s="83" t="n"/>
      <c r="H127" s="83" t="n"/>
      <c r="I127" s="83" t="n"/>
      <c r="J127" s="83" t="n"/>
      <c r="K127" s="82">
        <f>IF(OR(Scale!$X39="",Scale!$X39=0),"",IF(Scale!$Y39="",0,Scale!$Y39)+IF(Scale!$Z39="",0,Scale!$Z39))</f>
        <v/>
      </c>
      <c r="L127" s="82">
        <f>IF(OR(Scale!$X39="",Scale!$X39=0),"",Scale!$Y39)</f>
        <v/>
      </c>
      <c r="M127" s="82">
        <f>IF(OR(Scale!$X39="",Scale!$X39=0),"",Scale!$Z39)</f>
        <v/>
      </c>
      <c r="N127" s="81">
        <f>IF(OR(Scale!$X39="",Scale!$X39=0),"","مقابل")</f>
        <v/>
      </c>
      <c r="O127" s="81">
        <f>IF(OR(Scale!$X39="",Scale!$X39=0),"",IFERROR(VLOOKUP(Scale!$X39,AcctTbl,3,0),""))</f>
        <v/>
      </c>
      <c r="P127" s="82">
        <f>IF(Scale!$X39&lt;&gt;"X011","","BN02")</f>
        <v/>
      </c>
    </row>
    <row r="128" ht="20.25" customHeight="1">
      <c r="A128" s="80">
        <f>IF(OR(Scale!$AA39="",Scale!$AA39=0),"",Scale!$B39)</f>
        <v/>
      </c>
      <c r="B128" s="80">
        <f>IF(OR(Scale!$AA39="",Scale!$AA39=0),"",Scale!$D39)</f>
        <v/>
      </c>
      <c r="C128" s="80">
        <f>IF(OR(Scale!$AA39="",Scale!$AA39=0),"","باسکول")</f>
        <v/>
      </c>
      <c r="D128" s="80">
        <f>IF(OR(Scale!$AA39="",Scale!$AA39=0),"",Scale!$AA39)</f>
        <v/>
      </c>
      <c r="E128" s="81">
        <f>IF(OR(Scale!$AA39="",Scale!$AA39=0),"",IF(Scale!$AA39="","","پوز باسکول — "&amp;Scale!$E39))</f>
        <v/>
      </c>
      <c r="F128" s="83" t="n"/>
      <c r="G128" s="83" t="n"/>
      <c r="H128" s="83" t="n"/>
      <c r="I128" s="83" t="n"/>
      <c r="J128" s="83" t="n"/>
      <c r="K128" s="82">
        <f>IF(OR(Scale!$AA39="",Scale!$AA39=0),"",IF(Scale!$AB39="",0,Scale!$AB39)+IF(Scale!$AC39="",0,Scale!$AC39))</f>
        <v/>
      </c>
      <c r="L128" s="82">
        <f>IF(OR(Scale!$AA39="",Scale!$AA39=0),"",Scale!$AB39)</f>
        <v/>
      </c>
      <c r="M128" s="82">
        <f>IF(OR(Scale!$AA39="",Scale!$AA39=0),"",Scale!$AC39)</f>
        <v/>
      </c>
      <c r="N128" s="81">
        <f>IF(OR(Scale!$AA39="",Scale!$AA39=0),"","پوز")</f>
        <v/>
      </c>
      <c r="O128" s="81">
        <f>IF(OR(Scale!$AA39="",Scale!$AA39=0),"",IFERROR(VLOOKUP(Scale!$AA39,AcctTbl,3,0),""))</f>
        <v/>
      </c>
      <c r="P128" s="82">
        <f>IF(Scale!$AA39&lt;&gt;"X011","","BN02")</f>
        <v/>
      </c>
    </row>
    <row r="129" ht="20.25" customHeight="1">
      <c r="A129" s="80">
        <f>IF(OR(Scale!$AD39="",Scale!$AD39=0),"",Scale!$B39)</f>
        <v/>
      </c>
      <c r="B129" s="80">
        <f>IF(OR(Scale!$AD39="",Scale!$AD39=0),"",Scale!$D39)</f>
        <v/>
      </c>
      <c r="C129" s="80">
        <f>IF(OR(Scale!$AD39="",Scale!$AD39=0),"","باسکول")</f>
        <v/>
      </c>
      <c r="D129" s="80">
        <f>IF(OR(Scale!$AD39="",Scale!$AD39=0),"",Scale!$AD39)</f>
        <v/>
      </c>
      <c r="E129" s="81">
        <f>IF(OR(Scale!$AD39="",Scale!$AD39=0),"",IF(Scale!$AD39="","","مقابل پوز — "&amp;Scale!$E39))</f>
        <v/>
      </c>
      <c r="F129" s="83" t="n"/>
      <c r="G129" s="83" t="n"/>
      <c r="H129" s="83" t="n"/>
      <c r="I129" s="83" t="n"/>
      <c r="J129" s="83" t="n"/>
      <c r="K129" s="82">
        <f>IF(OR(Scale!$AD39="",Scale!$AD39=0),"",IF(Scale!$AE39="",0,Scale!$AE39)+IF(Scale!$AF39="",0,Scale!$AF39))</f>
        <v/>
      </c>
      <c r="L129" s="82">
        <f>IF(OR(Scale!$AD39="",Scale!$AD39=0),"",Scale!$AE39)</f>
        <v/>
      </c>
      <c r="M129" s="82">
        <f>IF(OR(Scale!$AD39="",Scale!$AD39=0),"",Scale!$AF39)</f>
        <v/>
      </c>
      <c r="N129" s="81">
        <f>IF(OR(Scale!$AD39="",Scale!$AD39=0),"","مقابل پوز")</f>
        <v/>
      </c>
      <c r="O129" s="81">
        <f>IF(OR(Scale!$AD39="",Scale!$AD39=0),"",IFERROR(VLOOKUP(Scale!$AD39,AcctTbl,3,0),""))</f>
        <v/>
      </c>
      <c r="P129" s="82">
        <f>IF(Scale!$AD39&lt;&gt;"X011","","BN02")</f>
        <v/>
      </c>
    </row>
    <row r="130" ht="20.25" customHeight="1">
      <c r="A130" s="80">
        <f>IF(OR(Scale!$U40="",Scale!$U40=0),"",Scale!$B40)</f>
        <v/>
      </c>
      <c r="B130" s="80">
        <f>IF(OR(Scale!$U40="",Scale!$U40=0),"",Scale!$D40)</f>
        <v/>
      </c>
      <c r="C130" s="80">
        <f>IF(OR(Scale!$U40="",Scale!$U40=0),"","باسکول")</f>
        <v/>
      </c>
      <c r="D130" s="80">
        <f>IF(OR(Scale!$U40="",Scale!$U40=0),"",Scale!$U40)</f>
        <v/>
      </c>
      <c r="E130" s="81">
        <f>IF(OR(Scale!$U40="",Scale!$U40=0),"",Scale!$T40)</f>
        <v/>
      </c>
      <c r="F130" s="81">
        <f>IF(OR(Scale!$U40="",Scale!$U40=0),"",Scale!$J40)</f>
        <v/>
      </c>
      <c r="G130" s="82">
        <f>IF(OR(Scale!$U40="",Scale!$U40=0),"",Scale!$M40)</f>
        <v/>
      </c>
      <c r="H130" s="82">
        <f>IF(OR(Scale!$U40="",Scale!$U40=0),"",Scale!$L40)</f>
        <v/>
      </c>
      <c r="I130" s="82">
        <f>IF(OR(Scale!$U40="",Scale!$U40=0),"",Scale!$N40)</f>
        <v/>
      </c>
      <c r="J130" s="82">
        <f>IF(OR(Scale!$U40="",Scale!$U40=0),"",Scale!$O40)</f>
        <v/>
      </c>
      <c r="K130" s="82">
        <f>IF(OR(Scale!$U40="",Scale!$U40=0),"",IF(Scale!$V40="",0,Scale!$V40)+IF(Scale!$W40="",0,Scale!$W40))</f>
        <v/>
      </c>
      <c r="L130" s="82">
        <f>IF(OR(Scale!$U40="",Scale!$U40=0),"",Scale!$V40)</f>
        <v/>
      </c>
      <c r="M130" s="82">
        <f>IF(OR(Scale!$U40="",Scale!$U40=0),"",Scale!$W40)</f>
        <v/>
      </c>
      <c r="N130" s="81">
        <f>IF(OR(Scale!$U40="",Scale!$U40=0),"",Scale!$E40)</f>
        <v/>
      </c>
      <c r="O130" s="81">
        <f>IF(OR(Scale!$U40="",Scale!$U40=0),"",IFERROR(VLOOKUP(Scale!$U40,AcctTbl,3,0),""))</f>
        <v/>
      </c>
      <c r="P130" s="82">
        <f>IF(Scale!$U40&lt;&gt;"X011","","BN02")</f>
        <v/>
      </c>
    </row>
    <row r="131" ht="20.25" customHeight="1">
      <c r="A131" s="80">
        <f>IF(OR(Scale!$X40="",Scale!$X40=0),"",Scale!$B40)</f>
        <v/>
      </c>
      <c r="B131" s="80">
        <f>IF(OR(Scale!$X40="",Scale!$X40=0),"",Scale!$D40)</f>
        <v/>
      </c>
      <c r="C131" s="80">
        <f>IF(OR(Scale!$X40="",Scale!$X40=0),"","باسکول")</f>
        <v/>
      </c>
      <c r="D131" s="80">
        <f>IF(OR(Scale!$X40="",Scale!$X40=0),"",Scale!$X40)</f>
        <v/>
      </c>
      <c r="E131" s="81">
        <f>IF(OR(Scale!$X40="",Scale!$X40=0),"",IF(Scale!$X40="","","مقابل: "&amp;Scale!$E40))</f>
        <v/>
      </c>
      <c r="F131" s="83" t="n"/>
      <c r="G131" s="83" t="n"/>
      <c r="H131" s="83" t="n"/>
      <c r="I131" s="83" t="n"/>
      <c r="J131" s="83" t="n"/>
      <c r="K131" s="82">
        <f>IF(OR(Scale!$X40="",Scale!$X40=0),"",IF(Scale!$Y40="",0,Scale!$Y40)+IF(Scale!$Z40="",0,Scale!$Z40))</f>
        <v/>
      </c>
      <c r="L131" s="82">
        <f>IF(OR(Scale!$X40="",Scale!$X40=0),"",Scale!$Y40)</f>
        <v/>
      </c>
      <c r="M131" s="82">
        <f>IF(OR(Scale!$X40="",Scale!$X40=0),"",Scale!$Z40)</f>
        <v/>
      </c>
      <c r="N131" s="81">
        <f>IF(OR(Scale!$X40="",Scale!$X40=0),"","مقابل")</f>
        <v/>
      </c>
      <c r="O131" s="81">
        <f>IF(OR(Scale!$X40="",Scale!$X40=0),"",IFERROR(VLOOKUP(Scale!$X40,AcctTbl,3,0),""))</f>
        <v/>
      </c>
      <c r="P131" s="82">
        <f>IF(Scale!$X40&lt;&gt;"X011","","BN02")</f>
        <v/>
      </c>
    </row>
    <row r="132" ht="20.25" customHeight="1">
      <c r="A132" s="80">
        <f>IF(OR(Scale!$AA40="",Scale!$AA40=0),"",Scale!$B40)</f>
        <v/>
      </c>
      <c r="B132" s="80">
        <f>IF(OR(Scale!$AA40="",Scale!$AA40=0),"",Scale!$D40)</f>
        <v/>
      </c>
      <c r="C132" s="80">
        <f>IF(OR(Scale!$AA40="",Scale!$AA40=0),"","باسکول")</f>
        <v/>
      </c>
      <c r="D132" s="80">
        <f>IF(OR(Scale!$AA40="",Scale!$AA40=0),"",Scale!$AA40)</f>
        <v/>
      </c>
      <c r="E132" s="81">
        <f>IF(OR(Scale!$AA40="",Scale!$AA40=0),"",IF(Scale!$AA40="","","پوز باسکول — "&amp;Scale!$E40))</f>
        <v/>
      </c>
      <c r="F132" s="83" t="n"/>
      <c r="G132" s="83" t="n"/>
      <c r="H132" s="83" t="n"/>
      <c r="I132" s="83" t="n"/>
      <c r="J132" s="83" t="n"/>
      <c r="K132" s="82">
        <f>IF(OR(Scale!$AA40="",Scale!$AA40=0),"",IF(Scale!$AB40="",0,Scale!$AB40)+IF(Scale!$AC40="",0,Scale!$AC40))</f>
        <v/>
      </c>
      <c r="L132" s="82">
        <f>IF(OR(Scale!$AA40="",Scale!$AA40=0),"",Scale!$AB40)</f>
        <v/>
      </c>
      <c r="M132" s="82">
        <f>IF(OR(Scale!$AA40="",Scale!$AA40=0),"",Scale!$AC40)</f>
        <v/>
      </c>
      <c r="N132" s="81">
        <f>IF(OR(Scale!$AA40="",Scale!$AA40=0),"","پوز")</f>
        <v/>
      </c>
      <c r="O132" s="81">
        <f>IF(OR(Scale!$AA40="",Scale!$AA40=0),"",IFERROR(VLOOKUP(Scale!$AA40,AcctTbl,3,0),""))</f>
        <v/>
      </c>
      <c r="P132" s="82">
        <f>IF(Scale!$AA40&lt;&gt;"X011","","BN02")</f>
        <v/>
      </c>
    </row>
    <row r="133" ht="20.25" customHeight="1">
      <c r="A133" s="80">
        <f>IF(OR(Scale!$AD40="",Scale!$AD40=0),"",Scale!$B40)</f>
        <v/>
      </c>
      <c r="B133" s="80">
        <f>IF(OR(Scale!$AD40="",Scale!$AD40=0),"",Scale!$D40)</f>
        <v/>
      </c>
      <c r="C133" s="80">
        <f>IF(OR(Scale!$AD40="",Scale!$AD40=0),"","باسکول")</f>
        <v/>
      </c>
      <c r="D133" s="80">
        <f>IF(OR(Scale!$AD40="",Scale!$AD40=0),"",Scale!$AD40)</f>
        <v/>
      </c>
      <c r="E133" s="81">
        <f>IF(OR(Scale!$AD40="",Scale!$AD40=0),"",IF(Scale!$AD40="","","مقابل پوز — "&amp;Scale!$E40))</f>
        <v/>
      </c>
      <c r="F133" s="83" t="n"/>
      <c r="G133" s="83" t="n"/>
      <c r="H133" s="83" t="n"/>
      <c r="I133" s="83" t="n"/>
      <c r="J133" s="83" t="n"/>
      <c r="K133" s="82">
        <f>IF(OR(Scale!$AD40="",Scale!$AD40=0),"",IF(Scale!$AE40="",0,Scale!$AE40)+IF(Scale!$AF40="",0,Scale!$AF40))</f>
        <v/>
      </c>
      <c r="L133" s="82">
        <f>IF(OR(Scale!$AD40="",Scale!$AD40=0),"",Scale!$AE40)</f>
        <v/>
      </c>
      <c r="M133" s="82">
        <f>IF(OR(Scale!$AD40="",Scale!$AD40=0),"",Scale!$AF40)</f>
        <v/>
      </c>
      <c r="N133" s="81">
        <f>IF(OR(Scale!$AD40="",Scale!$AD40=0),"","مقابل پوز")</f>
        <v/>
      </c>
      <c r="O133" s="81">
        <f>IF(OR(Scale!$AD40="",Scale!$AD40=0),"",IFERROR(VLOOKUP(Scale!$AD40,AcctTbl,3,0),""))</f>
        <v/>
      </c>
      <c r="P133" s="82">
        <f>IF(Scale!$AD40&lt;&gt;"X011","","BN02")</f>
        <v/>
      </c>
    </row>
    <row r="134" ht="20.25" customHeight="1">
      <c r="A134" s="80">
        <f>IF(OR(Scale!$U41="",Scale!$U41=0),"",Scale!$B41)</f>
        <v/>
      </c>
      <c r="B134" s="80">
        <f>IF(OR(Scale!$U41="",Scale!$U41=0),"",Scale!$D41)</f>
        <v/>
      </c>
      <c r="C134" s="80">
        <f>IF(OR(Scale!$U41="",Scale!$U41=0),"","باسکول")</f>
        <v/>
      </c>
      <c r="D134" s="80">
        <f>IF(OR(Scale!$U41="",Scale!$U41=0),"",Scale!$U41)</f>
        <v/>
      </c>
      <c r="E134" s="81">
        <f>IF(OR(Scale!$U41="",Scale!$U41=0),"",Scale!$T41)</f>
        <v/>
      </c>
      <c r="F134" s="81">
        <f>IF(OR(Scale!$U41="",Scale!$U41=0),"",Scale!$J41)</f>
        <v/>
      </c>
      <c r="G134" s="82">
        <f>IF(OR(Scale!$U41="",Scale!$U41=0),"",Scale!$M41)</f>
        <v/>
      </c>
      <c r="H134" s="82">
        <f>IF(OR(Scale!$U41="",Scale!$U41=0),"",Scale!$L41)</f>
        <v/>
      </c>
      <c r="I134" s="82">
        <f>IF(OR(Scale!$U41="",Scale!$U41=0),"",Scale!$N41)</f>
        <v/>
      </c>
      <c r="J134" s="82">
        <f>IF(OR(Scale!$U41="",Scale!$U41=0),"",Scale!$O41)</f>
        <v/>
      </c>
      <c r="K134" s="82">
        <f>IF(OR(Scale!$U41="",Scale!$U41=0),"",IF(Scale!$V41="",0,Scale!$V41)+IF(Scale!$W41="",0,Scale!$W41))</f>
        <v/>
      </c>
      <c r="L134" s="82">
        <f>IF(OR(Scale!$U41="",Scale!$U41=0),"",Scale!$V41)</f>
        <v/>
      </c>
      <c r="M134" s="82">
        <f>IF(OR(Scale!$U41="",Scale!$U41=0),"",Scale!$W41)</f>
        <v/>
      </c>
      <c r="N134" s="81">
        <f>IF(OR(Scale!$U41="",Scale!$U41=0),"",Scale!$E41)</f>
        <v/>
      </c>
      <c r="O134" s="81">
        <f>IF(OR(Scale!$U41="",Scale!$U41=0),"",IFERROR(VLOOKUP(Scale!$U41,AcctTbl,3,0),""))</f>
        <v/>
      </c>
      <c r="P134" s="82">
        <f>IF(Scale!$U41&lt;&gt;"X011","","BN02")</f>
        <v/>
      </c>
    </row>
    <row r="135" ht="20.25" customHeight="1">
      <c r="A135" s="80">
        <f>IF(OR(Scale!$X41="",Scale!$X41=0),"",Scale!$B41)</f>
        <v/>
      </c>
      <c r="B135" s="80">
        <f>IF(OR(Scale!$X41="",Scale!$X41=0),"",Scale!$D41)</f>
        <v/>
      </c>
      <c r="C135" s="80">
        <f>IF(OR(Scale!$X41="",Scale!$X41=0),"","باسکول")</f>
        <v/>
      </c>
      <c r="D135" s="80">
        <f>IF(OR(Scale!$X41="",Scale!$X41=0),"",Scale!$X41)</f>
        <v/>
      </c>
      <c r="E135" s="81">
        <f>IF(OR(Scale!$X41="",Scale!$X41=0),"",IF(Scale!$X41="","","مقابل: "&amp;Scale!$E41))</f>
        <v/>
      </c>
      <c r="F135" s="83" t="n"/>
      <c r="G135" s="83" t="n"/>
      <c r="H135" s="83" t="n"/>
      <c r="I135" s="83" t="n"/>
      <c r="J135" s="83" t="n"/>
      <c r="K135" s="82">
        <f>IF(OR(Scale!$X41="",Scale!$X41=0),"",IF(Scale!$Y41="",0,Scale!$Y41)+IF(Scale!$Z41="",0,Scale!$Z41))</f>
        <v/>
      </c>
      <c r="L135" s="82">
        <f>IF(OR(Scale!$X41="",Scale!$X41=0),"",Scale!$Y41)</f>
        <v/>
      </c>
      <c r="M135" s="82">
        <f>IF(OR(Scale!$X41="",Scale!$X41=0),"",Scale!$Z41)</f>
        <v/>
      </c>
      <c r="N135" s="81">
        <f>IF(OR(Scale!$X41="",Scale!$X41=0),"","مقابل")</f>
        <v/>
      </c>
      <c r="O135" s="81">
        <f>IF(OR(Scale!$X41="",Scale!$X41=0),"",IFERROR(VLOOKUP(Scale!$X41,AcctTbl,3,0),""))</f>
        <v/>
      </c>
      <c r="P135" s="82">
        <f>IF(Scale!$X41&lt;&gt;"X011","","BN02")</f>
        <v/>
      </c>
    </row>
    <row r="136" ht="20.25" customHeight="1">
      <c r="A136" s="80">
        <f>IF(OR(Scale!$AA41="",Scale!$AA41=0),"",Scale!$B41)</f>
        <v/>
      </c>
      <c r="B136" s="80">
        <f>IF(OR(Scale!$AA41="",Scale!$AA41=0),"",Scale!$D41)</f>
        <v/>
      </c>
      <c r="C136" s="80">
        <f>IF(OR(Scale!$AA41="",Scale!$AA41=0),"","باسکول")</f>
        <v/>
      </c>
      <c r="D136" s="80">
        <f>IF(OR(Scale!$AA41="",Scale!$AA41=0),"",Scale!$AA41)</f>
        <v/>
      </c>
      <c r="E136" s="81">
        <f>IF(OR(Scale!$AA41="",Scale!$AA41=0),"",IF(Scale!$AA41="","","پوز باسکول — "&amp;Scale!$E41))</f>
        <v/>
      </c>
      <c r="F136" s="83" t="n"/>
      <c r="G136" s="83" t="n"/>
      <c r="H136" s="83" t="n"/>
      <c r="I136" s="83" t="n"/>
      <c r="J136" s="83" t="n"/>
      <c r="K136" s="82">
        <f>IF(OR(Scale!$AA41="",Scale!$AA41=0),"",IF(Scale!$AB41="",0,Scale!$AB41)+IF(Scale!$AC41="",0,Scale!$AC41))</f>
        <v/>
      </c>
      <c r="L136" s="82">
        <f>IF(OR(Scale!$AA41="",Scale!$AA41=0),"",Scale!$AB41)</f>
        <v/>
      </c>
      <c r="M136" s="82">
        <f>IF(OR(Scale!$AA41="",Scale!$AA41=0),"",Scale!$AC41)</f>
        <v/>
      </c>
      <c r="N136" s="81">
        <f>IF(OR(Scale!$AA41="",Scale!$AA41=0),"","پوز")</f>
        <v/>
      </c>
      <c r="O136" s="81">
        <f>IF(OR(Scale!$AA41="",Scale!$AA41=0),"",IFERROR(VLOOKUP(Scale!$AA41,AcctTbl,3,0),""))</f>
        <v/>
      </c>
      <c r="P136" s="82">
        <f>IF(Scale!$AA41&lt;&gt;"X011","","BN02")</f>
        <v/>
      </c>
    </row>
    <row r="137" ht="20.25" customHeight="1">
      <c r="A137" s="80">
        <f>IF(OR(Scale!$AD41="",Scale!$AD41=0),"",Scale!$B41)</f>
        <v/>
      </c>
      <c r="B137" s="80">
        <f>IF(OR(Scale!$AD41="",Scale!$AD41=0),"",Scale!$D41)</f>
        <v/>
      </c>
      <c r="C137" s="80">
        <f>IF(OR(Scale!$AD41="",Scale!$AD41=0),"","باسکول")</f>
        <v/>
      </c>
      <c r="D137" s="80">
        <f>IF(OR(Scale!$AD41="",Scale!$AD41=0),"",Scale!$AD41)</f>
        <v/>
      </c>
      <c r="E137" s="81">
        <f>IF(OR(Scale!$AD41="",Scale!$AD41=0),"",IF(Scale!$AD41="","","مقابل پوز — "&amp;Scale!$E41))</f>
        <v/>
      </c>
      <c r="F137" s="83" t="n"/>
      <c r="G137" s="83" t="n"/>
      <c r="H137" s="83" t="n"/>
      <c r="I137" s="83" t="n"/>
      <c r="J137" s="83" t="n"/>
      <c r="K137" s="82">
        <f>IF(OR(Scale!$AD41="",Scale!$AD41=0),"",IF(Scale!$AE41="",0,Scale!$AE41)+IF(Scale!$AF41="",0,Scale!$AF41))</f>
        <v/>
      </c>
      <c r="L137" s="82">
        <f>IF(OR(Scale!$AD41="",Scale!$AD41=0),"",Scale!$AE41)</f>
        <v/>
      </c>
      <c r="M137" s="82">
        <f>IF(OR(Scale!$AD41="",Scale!$AD41=0),"",Scale!$AF41)</f>
        <v/>
      </c>
      <c r="N137" s="81">
        <f>IF(OR(Scale!$AD41="",Scale!$AD41=0),"","مقابل پوز")</f>
        <v/>
      </c>
      <c r="O137" s="81">
        <f>IF(OR(Scale!$AD41="",Scale!$AD41=0),"",IFERROR(VLOOKUP(Scale!$AD41,AcctTbl,3,0),""))</f>
        <v/>
      </c>
      <c r="P137" s="82">
        <f>IF(Scale!$AD41&lt;&gt;"X011","","BN02")</f>
        <v/>
      </c>
    </row>
    <row r="138" ht="20.25" customHeight="1">
      <c r="A138" s="80">
        <f>IF(OR(Scale!$U42="",Scale!$U42=0),"",Scale!$B42)</f>
        <v/>
      </c>
      <c r="B138" s="80">
        <f>IF(OR(Scale!$U42="",Scale!$U42=0),"",Scale!$D42)</f>
        <v/>
      </c>
      <c r="C138" s="80">
        <f>IF(OR(Scale!$U42="",Scale!$U42=0),"","باسکول")</f>
        <v/>
      </c>
      <c r="D138" s="80">
        <f>IF(OR(Scale!$U42="",Scale!$U42=0),"",Scale!$U42)</f>
        <v/>
      </c>
      <c r="E138" s="81">
        <f>IF(OR(Scale!$U42="",Scale!$U42=0),"",Scale!$T42)</f>
        <v/>
      </c>
      <c r="F138" s="81">
        <f>IF(OR(Scale!$U42="",Scale!$U42=0),"",Scale!$J42)</f>
        <v/>
      </c>
      <c r="G138" s="82">
        <f>IF(OR(Scale!$U42="",Scale!$U42=0),"",Scale!$M42)</f>
        <v/>
      </c>
      <c r="H138" s="82">
        <f>IF(OR(Scale!$U42="",Scale!$U42=0),"",Scale!$L42)</f>
        <v/>
      </c>
      <c r="I138" s="82">
        <f>IF(OR(Scale!$U42="",Scale!$U42=0),"",Scale!$N42)</f>
        <v/>
      </c>
      <c r="J138" s="82">
        <f>IF(OR(Scale!$U42="",Scale!$U42=0),"",Scale!$O42)</f>
        <v/>
      </c>
      <c r="K138" s="82">
        <f>IF(OR(Scale!$U42="",Scale!$U42=0),"",IF(Scale!$V42="",0,Scale!$V42)+IF(Scale!$W42="",0,Scale!$W42))</f>
        <v/>
      </c>
      <c r="L138" s="82">
        <f>IF(OR(Scale!$U42="",Scale!$U42=0),"",Scale!$V42)</f>
        <v/>
      </c>
      <c r="M138" s="82">
        <f>IF(OR(Scale!$U42="",Scale!$U42=0),"",Scale!$W42)</f>
        <v/>
      </c>
      <c r="N138" s="81">
        <f>IF(OR(Scale!$U42="",Scale!$U42=0),"",Scale!$E42)</f>
        <v/>
      </c>
      <c r="O138" s="81">
        <f>IF(OR(Scale!$U42="",Scale!$U42=0),"",IFERROR(VLOOKUP(Scale!$U42,AcctTbl,3,0),""))</f>
        <v/>
      </c>
      <c r="P138" s="82">
        <f>IF(Scale!$U42&lt;&gt;"X011","","BN02")</f>
        <v/>
      </c>
    </row>
    <row r="139" ht="20.25" customHeight="1">
      <c r="A139" s="80">
        <f>IF(OR(Scale!$X42="",Scale!$X42=0),"",Scale!$B42)</f>
        <v/>
      </c>
      <c r="B139" s="80">
        <f>IF(OR(Scale!$X42="",Scale!$X42=0),"",Scale!$D42)</f>
        <v/>
      </c>
      <c r="C139" s="80">
        <f>IF(OR(Scale!$X42="",Scale!$X42=0),"","باسکول")</f>
        <v/>
      </c>
      <c r="D139" s="80">
        <f>IF(OR(Scale!$X42="",Scale!$X42=0),"",Scale!$X42)</f>
        <v/>
      </c>
      <c r="E139" s="81">
        <f>IF(OR(Scale!$X42="",Scale!$X42=0),"",IF(Scale!$X42="","","مقابل: "&amp;Scale!$E42))</f>
        <v/>
      </c>
      <c r="F139" s="83" t="n"/>
      <c r="G139" s="83" t="n"/>
      <c r="H139" s="83" t="n"/>
      <c r="I139" s="83" t="n"/>
      <c r="J139" s="83" t="n"/>
      <c r="K139" s="82">
        <f>IF(OR(Scale!$X42="",Scale!$X42=0),"",IF(Scale!$Y42="",0,Scale!$Y42)+IF(Scale!$Z42="",0,Scale!$Z42))</f>
        <v/>
      </c>
      <c r="L139" s="82">
        <f>IF(OR(Scale!$X42="",Scale!$X42=0),"",Scale!$Y42)</f>
        <v/>
      </c>
      <c r="M139" s="82">
        <f>IF(OR(Scale!$X42="",Scale!$X42=0),"",Scale!$Z42)</f>
        <v/>
      </c>
      <c r="N139" s="81">
        <f>IF(OR(Scale!$X42="",Scale!$X42=0),"","مقابل")</f>
        <v/>
      </c>
      <c r="O139" s="81">
        <f>IF(OR(Scale!$X42="",Scale!$X42=0),"",IFERROR(VLOOKUP(Scale!$X42,AcctTbl,3,0),""))</f>
        <v/>
      </c>
      <c r="P139" s="82">
        <f>IF(Scale!$X42&lt;&gt;"X011","","BN02")</f>
        <v/>
      </c>
    </row>
    <row r="140" ht="20.25" customHeight="1">
      <c r="A140" s="80">
        <f>IF(OR(Scale!$AA42="",Scale!$AA42=0),"",Scale!$B42)</f>
        <v/>
      </c>
      <c r="B140" s="80">
        <f>IF(OR(Scale!$AA42="",Scale!$AA42=0),"",Scale!$D42)</f>
        <v/>
      </c>
      <c r="C140" s="80">
        <f>IF(OR(Scale!$AA42="",Scale!$AA42=0),"","باسکول")</f>
        <v/>
      </c>
      <c r="D140" s="80">
        <f>IF(OR(Scale!$AA42="",Scale!$AA42=0),"",Scale!$AA42)</f>
        <v/>
      </c>
      <c r="E140" s="81">
        <f>IF(OR(Scale!$AA42="",Scale!$AA42=0),"",IF(Scale!$AA42="","","پوز باسکول — "&amp;Scale!$E42))</f>
        <v/>
      </c>
      <c r="F140" s="83" t="n"/>
      <c r="G140" s="83" t="n"/>
      <c r="H140" s="83" t="n"/>
      <c r="I140" s="83" t="n"/>
      <c r="J140" s="83" t="n"/>
      <c r="K140" s="82">
        <f>IF(OR(Scale!$AA42="",Scale!$AA42=0),"",IF(Scale!$AB42="",0,Scale!$AB42)+IF(Scale!$AC42="",0,Scale!$AC42))</f>
        <v/>
      </c>
      <c r="L140" s="82">
        <f>IF(OR(Scale!$AA42="",Scale!$AA42=0),"",Scale!$AB42)</f>
        <v/>
      </c>
      <c r="M140" s="82">
        <f>IF(OR(Scale!$AA42="",Scale!$AA42=0),"",Scale!$AC42)</f>
        <v/>
      </c>
      <c r="N140" s="81">
        <f>IF(OR(Scale!$AA42="",Scale!$AA42=0),"","پوز")</f>
        <v/>
      </c>
      <c r="O140" s="81">
        <f>IF(OR(Scale!$AA42="",Scale!$AA42=0),"",IFERROR(VLOOKUP(Scale!$AA42,AcctTbl,3,0),""))</f>
        <v/>
      </c>
      <c r="P140" s="82">
        <f>IF(Scale!$AA42&lt;&gt;"X011","","BN02")</f>
        <v/>
      </c>
    </row>
    <row r="141" ht="20.25" customHeight="1">
      <c r="A141" s="80">
        <f>IF(OR(Scale!$AD42="",Scale!$AD42=0),"",Scale!$B42)</f>
        <v/>
      </c>
      <c r="B141" s="80">
        <f>IF(OR(Scale!$AD42="",Scale!$AD42=0),"",Scale!$D42)</f>
        <v/>
      </c>
      <c r="C141" s="80">
        <f>IF(OR(Scale!$AD42="",Scale!$AD42=0),"","باسکول")</f>
        <v/>
      </c>
      <c r="D141" s="80">
        <f>IF(OR(Scale!$AD42="",Scale!$AD42=0),"",Scale!$AD42)</f>
        <v/>
      </c>
      <c r="E141" s="81">
        <f>IF(OR(Scale!$AD42="",Scale!$AD42=0),"",IF(Scale!$AD42="","","مقابل پوز — "&amp;Scale!$E42))</f>
        <v/>
      </c>
      <c r="F141" s="83" t="n"/>
      <c r="G141" s="83" t="n"/>
      <c r="H141" s="83" t="n"/>
      <c r="I141" s="83" t="n"/>
      <c r="J141" s="83" t="n"/>
      <c r="K141" s="82">
        <f>IF(OR(Scale!$AD42="",Scale!$AD42=0),"",IF(Scale!$AE42="",0,Scale!$AE42)+IF(Scale!$AF42="",0,Scale!$AF42))</f>
        <v/>
      </c>
      <c r="L141" s="82">
        <f>IF(OR(Scale!$AD42="",Scale!$AD42=0),"",Scale!$AE42)</f>
        <v/>
      </c>
      <c r="M141" s="82">
        <f>IF(OR(Scale!$AD42="",Scale!$AD42=0),"",Scale!$AF42)</f>
        <v/>
      </c>
      <c r="N141" s="81">
        <f>IF(OR(Scale!$AD42="",Scale!$AD42=0),"","مقابل پوز")</f>
        <v/>
      </c>
      <c r="O141" s="81">
        <f>IF(OR(Scale!$AD42="",Scale!$AD42=0),"",IFERROR(VLOOKUP(Scale!$AD42,AcctTbl,3,0),""))</f>
        <v/>
      </c>
      <c r="P141" s="82">
        <f>IF(Scale!$AD42&lt;&gt;"X011","","BN02")</f>
        <v/>
      </c>
    </row>
    <row r="142" ht="20.25" customHeight="1">
      <c r="A142" s="80">
        <f>IF(OR(Scale!$U43="",Scale!$U43=0),"",Scale!$B43)</f>
        <v/>
      </c>
      <c r="B142" s="80">
        <f>IF(OR(Scale!$U43="",Scale!$U43=0),"",Scale!$D43)</f>
        <v/>
      </c>
      <c r="C142" s="80">
        <f>IF(OR(Scale!$U43="",Scale!$U43=0),"","باسکول")</f>
        <v/>
      </c>
      <c r="D142" s="80">
        <f>IF(OR(Scale!$U43="",Scale!$U43=0),"",Scale!$U43)</f>
        <v/>
      </c>
      <c r="E142" s="81">
        <f>IF(OR(Scale!$U43="",Scale!$U43=0),"",Scale!$T43)</f>
        <v/>
      </c>
      <c r="F142" s="81">
        <f>IF(OR(Scale!$U43="",Scale!$U43=0),"",Scale!$J43)</f>
        <v/>
      </c>
      <c r="G142" s="82">
        <f>IF(OR(Scale!$U43="",Scale!$U43=0),"",Scale!$M43)</f>
        <v/>
      </c>
      <c r="H142" s="82">
        <f>IF(OR(Scale!$U43="",Scale!$U43=0),"",Scale!$L43)</f>
        <v/>
      </c>
      <c r="I142" s="82">
        <f>IF(OR(Scale!$U43="",Scale!$U43=0),"",Scale!$N43)</f>
        <v/>
      </c>
      <c r="J142" s="82">
        <f>IF(OR(Scale!$U43="",Scale!$U43=0),"",Scale!$O43)</f>
        <v/>
      </c>
      <c r="K142" s="82">
        <f>IF(OR(Scale!$U43="",Scale!$U43=0),"",IF(Scale!$V43="",0,Scale!$V43)+IF(Scale!$W43="",0,Scale!$W43))</f>
        <v/>
      </c>
      <c r="L142" s="82">
        <f>IF(OR(Scale!$U43="",Scale!$U43=0),"",Scale!$V43)</f>
        <v/>
      </c>
      <c r="M142" s="82">
        <f>IF(OR(Scale!$U43="",Scale!$U43=0),"",Scale!$W43)</f>
        <v/>
      </c>
      <c r="N142" s="81">
        <f>IF(OR(Scale!$U43="",Scale!$U43=0),"",Scale!$E43)</f>
        <v/>
      </c>
      <c r="O142" s="81">
        <f>IF(OR(Scale!$U43="",Scale!$U43=0),"",IFERROR(VLOOKUP(Scale!$U43,AcctTbl,3,0),""))</f>
        <v/>
      </c>
      <c r="P142" s="82">
        <f>IF(Scale!$U43&lt;&gt;"X011","","BN02")</f>
        <v/>
      </c>
    </row>
    <row r="143" ht="20.25" customHeight="1">
      <c r="A143" s="80">
        <f>IF(OR(Scale!$X43="",Scale!$X43=0),"",Scale!$B43)</f>
        <v/>
      </c>
      <c r="B143" s="80">
        <f>IF(OR(Scale!$X43="",Scale!$X43=0),"",Scale!$D43)</f>
        <v/>
      </c>
      <c r="C143" s="80">
        <f>IF(OR(Scale!$X43="",Scale!$X43=0),"","باسکول")</f>
        <v/>
      </c>
      <c r="D143" s="80">
        <f>IF(OR(Scale!$X43="",Scale!$X43=0),"",Scale!$X43)</f>
        <v/>
      </c>
      <c r="E143" s="81">
        <f>IF(OR(Scale!$X43="",Scale!$X43=0),"",IF(Scale!$X43="","","مقابل: "&amp;Scale!$E43))</f>
        <v/>
      </c>
      <c r="F143" s="83" t="n"/>
      <c r="G143" s="83" t="n"/>
      <c r="H143" s="83" t="n"/>
      <c r="I143" s="83" t="n"/>
      <c r="J143" s="83" t="n"/>
      <c r="K143" s="82">
        <f>IF(OR(Scale!$X43="",Scale!$X43=0),"",IF(Scale!$Y43="",0,Scale!$Y43)+IF(Scale!$Z43="",0,Scale!$Z43))</f>
        <v/>
      </c>
      <c r="L143" s="82">
        <f>IF(OR(Scale!$X43="",Scale!$X43=0),"",Scale!$Y43)</f>
        <v/>
      </c>
      <c r="M143" s="82">
        <f>IF(OR(Scale!$X43="",Scale!$X43=0),"",Scale!$Z43)</f>
        <v/>
      </c>
      <c r="N143" s="81">
        <f>IF(OR(Scale!$X43="",Scale!$X43=0),"","مقابل")</f>
        <v/>
      </c>
      <c r="O143" s="81">
        <f>IF(OR(Scale!$X43="",Scale!$X43=0),"",IFERROR(VLOOKUP(Scale!$X43,AcctTbl,3,0),""))</f>
        <v/>
      </c>
      <c r="P143" s="82">
        <f>IF(Scale!$X43&lt;&gt;"X011","","BN02")</f>
        <v/>
      </c>
    </row>
    <row r="144" ht="20.25" customHeight="1">
      <c r="A144" s="80">
        <f>IF(OR(Scale!$AA43="",Scale!$AA43=0),"",Scale!$B43)</f>
        <v/>
      </c>
      <c r="B144" s="80">
        <f>IF(OR(Scale!$AA43="",Scale!$AA43=0),"",Scale!$D43)</f>
        <v/>
      </c>
      <c r="C144" s="80">
        <f>IF(OR(Scale!$AA43="",Scale!$AA43=0),"","باسکول")</f>
        <v/>
      </c>
      <c r="D144" s="80">
        <f>IF(OR(Scale!$AA43="",Scale!$AA43=0),"",Scale!$AA43)</f>
        <v/>
      </c>
      <c r="E144" s="81">
        <f>IF(OR(Scale!$AA43="",Scale!$AA43=0),"",IF(Scale!$AA43="","","پوز باسکول — "&amp;Scale!$E43))</f>
        <v/>
      </c>
      <c r="F144" s="83" t="n"/>
      <c r="G144" s="83" t="n"/>
      <c r="H144" s="83" t="n"/>
      <c r="I144" s="83" t="n"/>
      <c r="J144" s="83" t="n"/>
      <c r="K144" s="82">
        <f>IF(OR(Scale!$AA43="",Scale!$AA43=0),"",IF(Scale!$AB43="",0,Scale!$AB43)+IF(Scale!$AC43="",0,Scale!$AC43))</f>
        <v/>
      </c>
      <c r="L144" s="82">
        <f>IF(OR(Scale!$AA43="",Scale!$AA43=0),"",Scale!$AB43)</f>
        <v/>
      </c>
      <c r="M144" s="82">
        <f>IF(OR(Scale!$AA43="",Scale!$AA43=0),"",Scale!$AC43)</f>
        <v/>
      </c>
      <c r="N144" s="81">
        <f>IF(OR(Scale!$AA43="",Scale!$AA43=0),"","پوز")</f>
        <v/>
      </c>
      <c r="O144" s="81">
        <f>IF(OR(Scale!$AA43="",Scale!$AA43=0),"",IFERROR(VLOOKUP(Scale!$AA43,AcctTbl,3,0),""))</f>
        <v/>
      </c>
      <c r="P144" s="82">
        <f>IF(Scale!$AA43&lt;&gt;"X011","","BN02")</f>
        <v/>
      </c>
    </row>
    <row r="145" ht="20.25" customHeight="1">
      <c r="A145" s="80">
        <f>IF(OR(Scale!$AD43="",Scale!$AD43=0),"",Scale!$B43)</f>
        <v/>
      </c>
      <c r="B145" s="80">
        <f>IF(OR(Scale!$AD43="",Scale!$AD43=0),"",Scale!$D43)</f>
        <v/>
      </c>
      <c r="C145" s="80">
        <f>IF(OR(Scale!$AD43="",Scale!$AD43=0),"","باسکول")</f>
        <v/>
      </c>
      <c r="D145" s="80">
        <f>IF(OR(Scale!$AD43="",Scale!$AD43=0),"",Scale!$AD43)</f>
        <v/>
      </c>
      <c r="E145" s="81">
        <f>IF(OR(Scale!$AD43="",Scale!$AD43=0),"",IF(Scale!$AD43="","","مقابل پوز — "&amp;Scale!$E43))</f>
        <v/>
      </c>
      <c r="F145" s="83" t="n"/>
      <c r="G145" s="83" t="n"/>
      <c r="H145" s="83" t="n"/>
      <c r="I145" s="83" t="n"/>
      <c r="J145" s="83" t="n"/>
      <c r="K145" s="82">
        <f>IF(OR(Scale!$AD43="",Scale!$AD43=0),"",IF(Scale!$AE43="",0,Scale!$AE43)+IF(Scale!$AF43="",0,Scale!$AF43))</f>
        <v/>
      </c>
      <c r="L145" s="82">
        <f>IF(OR(Scale!$AD43="",Scale!$AD43=0),"",Scale!$AE43)</f>
        <v/>
      </c>
      <c r="M145" s="82">
        <f>IF(OR(Scale!$AD43="",Scale!$AD43=0),"",Scale!$AF43)</f>
        <v/>
      </c>
      <c r="N145" s="81">
        <f>IF(OR(Scale!$AD43="",Scale!$AD43=0),"","مقابل پوز")</f>
        <v/>
      </c>
      <c r="O145" s="81">
        <f>IF(OR(Scale!$AD43="",Scale!$AD43=0),"",IFERROR(VLOOKUP(Scale!$AD43,AcctTbl,3,0),""))</f>
        <v/>
      </c>
      <c r="P145" s="82">
        <f>IF(Scale!$AD43&lt;&gt;"X011","","BN02")</f>
        <v/>
      </c>
    </row>
    <row r="146" ht="20.25" customHeight="1">
      <c r="A146" s="80">
        <f>IF(OR(Scale!$U44="",Scale!$U44=0),"",Scale!$B44)</f>
        <v/>
      </c>
      <c r="B146" s="80">
        <f>IF(OR(Scale!$U44="",Scale!$U44=0),"",Scale!$D44)</f>
        <v/>
      </c>
      <c r="C146" s="80">
        <f>IF(OR(Scale!$U44="",Scale!$U44=0),"","باسکول")</f>
        <v/>
      </c>
      <c r="D146" s="80">
        <f>IF(OR(Scale!$U44="",Scale!$U44=0),"",Scale!$U44)</f>
        <v/>
      </c>
      <c r="E146" s="81">
        <f>IF(OR(Scale!$U44="",Scale!$U44=0),"",Scale!$T44)</f>
        <v/>
      </c>
      <c r="F146" s="81">
        <f>IF(OR(Scale!$U44="",Scale!$U44=0),"",Scale!$J44)</f>
        <v/>
      </c>
      <c r="G146" s="82">
        <f>IF(OR(Scale!$U44="",Scale!$U44=0),"",Scale!$M44)</f>
        <v/>
      </c>
      <c r="H146" s="82">
        <f>IF(OR(Scale!$U44="",Scale!$U44=0),"",Scale!$L44)</f>
        <v/>
      </c>
      <c r="I146" s="82">
        <f>IF(OR(Scale!$U44="",Scale!$U44=0),"",Scale!$N44)</f>
        <v/>
      </c>
      <c r="J146" s="82">
        <f>IF(OR(Scale!$U44="",Scale!$U44=0),"",Scale!$O44)</f>
        <v/>
      </c>
      <c r="K146" s="82">
        <f>IF(OR(Scale!$U44="",Scale!$U44=0),"",IF(Scale!$V44="",0,Scale!$V44)+IF(Scale!$W44="",0,Scale!$W44))</f>
        <v/>
      </c>
      <c r="L146" s="82">
        <f>IF(OR(Scale!$U44="",Scale!$U44=0),"",Scale!$V44)</f>
        <v/>
      </c>
      <c r="M146" s="82">
        <f>IF(OR(Scale!$U44="",Scale!$U44=0),"",Scale!$W44)</f>
        <v/>
      </c>
      <c r="N146" s="81">
        <f>IF(OR(Scale!$U44="",Scale!$U44=0),"",Scale!$E44)</f>
        <v/>
      </c>
      <c r="O146" s="81">
        <f>IF(OR(Scale!$U44="",Scale!$U44=0),"",IFERROR(VLOOKUP(Scale!$U44,AcctTbl,3,0),""))</f>
        <v/>
      </c>
      <c r="P146" s="82">
        <f>IF(Scale!$U44&lt;&gt;"X011","","BN02")</f>
        <v/>
      </c>
    </row>
    <row r="147" ht="20.25" customHeight="1">
      <c r="A147" s="80">
        <f>IF(OR(Scale!$X44="",Scale!$X44=0),"",Scale!$B44)</f>
        <v/>
      </c>
      <c r="B147" s="80">
        <f>IF(OR(Scale!$X44="",Scale!$X44=0),"",Scale!$D44)</f>
        <v/>
      </c>
      <c r="C147" s="80">
        <f>IF(OR(Scale!$X44="",Scale!$X44=0),"","باسکول")</f>
        <v/>
      </c>
      <c r="D147" s="80">
        <f>IF(OR(Scale!$X44="",Scale!$X44=0),"",Scale!$X44)</f>
        <v/>
      </c>
      <c r="E147" s="81">
        <f>IF(OR(Scale!$X44="",Scale!$X44=0),"",IF(Scale!$X44="","","مقابل: "&amp;Scale!$E44))</f>
        <v/>
      </c>
      <c r="F147" s="83" t="n"/>
      <c r="G147" s="83" t="n"/>
      <c r="H147" s="83" t="n"/>
      <c r="I147" s="83" t="n"/>
      <c r="J147" s="83" t="n"/>
      <c r="K147" s="82">
        <f>IF(OR(Scale!$X44="",Scale!$X44=0),"",IF(Scale!$Y44="",0,Scale!$Y44)+IF(Scale!$Z44="",0,Scale!$Z44))</f>
        <v/>
      </c>
      <c r="L147" s="82">
        <f>IF(OR(Scale!$X44="",Scale!$X44=0),"",Scale!$Y44)</f>
        <v/>
      </c>
      <c r="M147" s="82">
        <f>IF(OR(Scale!$X44="",Scale!$X44=0),"",Scale!$Z44)</f>
        <v/>
      </c>
      <c r="N147" s="81">
        <f>IF(OR(Scale!$X44="",Scale!$X44=0),"","مقابل")</f>
        <v/>
      </c>
      <c r="O147" s="81">
        <f>IF(OR(Scale!$X44="",Scale!$X44=0),"",IFERROR(VLOOKUP(Scale!$X44,AcctTbl,3,0),""))</f>
        <v/>
      </c>
      <c r="P147" s="82">
        <f>IF(Scale!$X44&lt;&gt;"X011","","BN02")</f>
        <v/>
      </c>
    </row>
    <row r="148" ht="20.25" customHeight="1">
      <c r="A148" s="80">
        <f>IF(OR(Scale!$AA44="",Scale!$AA44=0),"",Scale!$B44)</f>
        <v/>
      </c>
      <c r="B148" s="80">
        <f>IF(OR(Scale!$AA44="",Scale!$AA44=0),"",Scale!$D44)</f>
        <v/>
      </c>
      <c r="C148" s="80">
        <f>IF(OR(Scale!$AA44="",Scale!$AA44=0),"","باسکول")</f>
        <v/>
      </c>
      <c r="D148" s="80">
        <f>IF(OR(Scale!$AA44="",Scale!$AA44=0),"",Scale!$AA44)</f>
        <v/>
      </c>
      <c r="E148" s="81">
        <f>IF(OR(Scale!$AA44="",Scale!$AA44=0),"",IF(Scale!$AA44="","","پوز باسکول — "&amp;Scale!$E44))</f>
        <v/>
      </c>
      <c r="F148" s="83" t="n"/>
      <c r="G148" s="83" t="n"/>
      <c r="H148" s="83" t="n"/>
      <c r="I148" s="83" t="n"/>
      <c r="J148" s="83" t="n"/>
      <c r="K148" s="82">
        <f>IF(OR(Scale!$AA44="",Scale!$AA44=0),"",IF(Scale!$AB44="",0,Scale!$AB44)+IF(Scale!$AC44="",0,Scale!$AC44))</f>
        <v/>
      </c>
      <c r="L148" s="82">
        <f>IF(OR(Scale!$AA44="",Scale!$AA44=0),"",Scale!$AB44)</f>
        <v/>
      </c>
      <c r="M148" s="82">
        <f>IF(OR(Scale!$AA44="",Scale!$AA44=0),"",Scale!$AC44)</f>
        <v/>
      </c>
      <c r="N148" s="81">
        <f>IF(OR(Scale!$AA44="",Scale!$AA44=0),"","پوز")</f>
        <v/>
      </c>
      <c r="O148" s="81">
        <f>IF(OR(Scale!$AA44="",Scale!$AA44=0),"",IFERROR(VLOOKUP(Scale!$AA44,AcctTbl,3,0),""))</f>
        <v/>
      </c>
      <c r="P148" s="82">
        <f>IF(Scale!$AA44&lt;&gt;"X011","","BN02")</f>
        <v/>
      </c>
    </row>
    <row r="149" ht="20.25" customHeight="1">
      <c r="A149" s="80">
        <f>IF(OR(Scale!$AD44="",Scale!$AD44=0),"",Scale!$B44)</f>
        <v/>
      </c>
      <c r="B149" s="80">
        <f>IF(OR(Scale!$AD44="",Scale!$AD44=0),"",Scale!$D44)</f>
        <v/>
      </c>
      <c r="C149" s="80">
        <f>IF(OR(Scale!$AD44="",Scale!$AD44=0),"","باسکول")</f>
        <v/>
      </c>
      <c r="D149" s="80">
        <f>IF(OR(Scale!$AD44="",Scale!$AD44=0),"",Scale!$AD44)</f>
        <v/>
      </c>
      <c r="E149" s="81">
        <f>IF(OR(Scale!$AD44="",Scale!$AD44=0),"",IF(Scale!$AD44="","","مقابل پوز — "&amp;Scale!$E44))</f>
        <v/>
      </c>
      <c r="F149" s="83" t="n"/>
      <c r="G149" s="83" t="n"/>
      <c r="H149" s="83" t="n"/>
      <c r="I149" s="83" t="n"/>
      <c r="J149" s="83" t="n"/>
      <c r="K149" s="82">
        <f>IF(OR(Scale!$AD44="",Scale!$AD44=0),"",IF(Scale!$AE44="",0,Scale!$AE44)+IF(Scale!$AF44="",0,Scale!$AF44))</f>
        <v/>
      </c>
      <c r="L149" s="82">
        <f>IF(OR(Scale!$AD44="",Scale!$AD44=0),"",Scale!$AE44)</f>
        <v/>
      </c>
      <c r="M149" s="82">
        <f>IF(OR(Scale!$AD44="",Scale!$AD44=0),"",Scale!$AF44)</f>
        <v/>
      </c>
      <c r="N149" s="81">
        <f>IF(OR(Scale!$AD44="",Scale!$AD44=0),"","مقابل پوز")</f>
        <v/>
      </c>
      <c r="O149" s="81">
        <f>IF(OR(Scale!$AD44="",Scale!$AD44=0),"",IFERROR(VLOOKUP(Scale!$AD44,AcctTbl,3,0),""))</f>
        <v/>
      </c>
      <c r="P149" s="82">
        <f>IF(Scale!$AD44&lt;&gt;"X011","","BN02")</f>
        <v/>
      </c>
    </row>
    <row r="150" ht="20.25" customHeight="1">
      <c r="A150" s="80">
        <f>IF(OR(Scale!$U45="",Scale!$U45=0),"",Scale!$B45)</f>
        <v/>
      </c>
      <c r="B150" s="80">
        <f>IF(OR(Scale!$U45="",Scale!$U45=0),"",Scale!$D45)</f>
        <v/>
      </c>
      <c r="C150" s="80">
        <f>IF(OR(Scale!$U45="",Scale!$U45=0),"","باسکول")</f>
        <v/>
      </c>
      <c r="D150" s="80">
        <f>IF(OR(Scale!$U45="",Scale!$U45=0),"",Scale!$U45)</f>
        <v/>
      </c>
      <c r="E150" s="81">
        <f>IF(OR(Scale!$U45="",Scale!$U45=0),"",Scale!$T45)</f>
        <v/>
      </c>
      <c r="F150" s="81">
        <f>IF(OR(Scale!$U45="",Scale!$U45=0),"",Scale!$J45)</f>
        <v/>
      </c>
      <c r="G150" s="82">
        <f>IF(OR(Scale!$U45="",Scale!$U45=0),"",Scale!$M45)</f>
        <v/>
      </c>
      <c r="H150" s="82">
        <f>IF(OR(Scale!$U45="",Scale!$U45=0),"",Scale!$L45)</f>
        <v/>
      </c>
      <c r="I150" s="82">
        <f>IF(OR(Scale!$U45="",Scale!$U45=0),"",Scale!$N45)</f>
        <v/>
      </c>
      <c r="J150" s="82">
        <f>IF(OR(Scale!$U45="",Scale!$U45=0),"",Scale!$O45)</f>
        <v/>
      </c>
      <c r="K150" s="82">
        <f>IF(OR(Scale!$U45="",Scale!$U45=0),"",IF(Scale!$V45="",0,Scale!$V45)+IF(Scale!$W45="",0,Scale!$W45))</f>
        <v/>
      </c>
      <c r="L150" s="82">
        <f>IF(OR(Scale!$U45="",Scale!$U45=0),"",Scale!$V45)</f>
        <v/>
      </c>
      <c r="M150" s="82">
        <f>IF(OR(Scale!$U45="",Scale!$U45=0),"",Scale!$W45)</f>
        <v/>
      </c>
      <c r="N150" s="81">
        <f>IF(OR(Scale!$U45="",Scale!$U45=0),"",Scale!$E45)</f>
        <v/>
      </c>
      <c r="O150" s="81">
        <f>IF(OR(Scale!$U45="",Scale!$U45=0),"",IFERROR(VLOOKUP(Scale!$U45,AcctTbl,3,0),""))</f>
        <v/>
      </c>
      <c r="P150" s="82">
        <f>IF(Scale!$U45&lt;&gt;"X011","","BN02")</f>
        <v/>
      </c>
    </row>
    <row r="151" ht="20.25" customHeight="1">
      <c r="A151" s="80">
        <f>IF(OR(Scale!$X45="",Scale!$X45=0),"",Scale!$B45)</f>
        <v/>
      </c>
      <c r="B151" s="80">
        <f>IF(OR(Scale!$X45="",Scale!$X45=0),"",Scale!$D45)</f>
        <v/>
      </c>
      <c r="C151" s="80">
        <f>IF(OR(Scale!$X45="",Scale!$X45=0),"","باسکول")</f>
        <v/>
      </c>
      <c r="D151" s="80">
        <f>IF(OR(Scale!$X45="",Scale!$X45=0),"",Scale!$X45)</f>
        <v/>
      </c>
      <c r="E151" s="81">
        <f>IF(OR(Scale!$X45="",Scale!$X45=0),"",IF(Scale!$X45="","","مقابل: "&amp;Scale!$E45))</f>
        <v/>
      </c>
      <c r="F151" s="83" t="n"/>
      <c r="G151" s="83" t="n"/>
      <c r="H151" s="83" t="n"/>
      <c r="I151" s="83" t="n"/>
      <c r="J151" s="83" t="n"/>
      <c r="K151" s="82">
        <f>IF(OR(Scale!$X45="",Scale!$X45=0),"",IF(Scale!$Y45="",0,Scale!$Y45)+IF(Scale!$Z45="",0,Scale!$Z45))</f>
        <v/>
      </c>
      <c r="L151" s="82">
        <f>IF(OR(Scale!$X45="",Scale!$X45=0),"",Scale!$Y45)</f>
        <v/>
      </c>
      <c r="M151" s="82">
        <f>IF(OR(Scale!$X45="",Scale!$X45=0),"",Scale!$Z45)</f>
        <v/>
      </c>
      <c r="N151" s="81">
        <f>IF(OR(Scale!$X45="",Scale!$X45=0),"","مقابل")</f>
        <v/>
      </c>
      <c r="O151" s="81">
        <f>IF(OR(Scale!$X45="",Scale!$X45=0),"",IFERROR(VLOOKUP(Scale!$X45,AcctTbl,3,0),""))</f>
        <v/>
      </c>
      <c r="P151" s="82">
        <f>IF(Scale!$X45&lt;&gt;"X011","","BN02")</f>
        <v/>
      </c>
    </row>
    <row r="152" ht="20.25" customHeight="1">
      <c r="A152" s="80">
        <f>IF(OR(Scale!$AA45="",Scale!$AA45=0),"",Scale!$B45)</f>
        <v/>
      </c>
      <c r="B152" s="80">
        <f>IF(OR(Scale!$AA45="",Scale!$AA45=0),"",Scale!$D45)</f>
        <v/>
      </c>
      <c r="C152" s="80">
        <f>IF(OR(Scale!$AA45="",Scale!$AA45=0),"","باسکول")</f>
        <v/>
      </c>
      <c r="D152" s="80">
        <f>IF(OR(Scale!$AA45="",Scale!$AA45=0),"",Scale!$AA45)</f>
        <v/>
      </c>
      <c r="E152" s="81">
        <f>IF(OR(Scale!$AA45="",Scale!$AA45=0),"",IF(Scale!$AA45="","","پوز باسکول — "&amp;Scale!$E45))</f>
        <v/>
      </c>
      <c r="F152" s="83" t="n"/>
      <c r="G152" s="83" t="n"/>
      <c r="H152" s="83" t="n"/>
      <c r="I152" s="83" t="n"/>
      <c r="J152" s="83" t="n"/>
      <c r="K152" s="82">
        <f>IF(OR(Scale!$AA45="",Scale!$AA45=0),"",IF(Scale!$AB45="",0,Scale!$AB45)+IF(Scale!$AC45="",0,Scale!$AC45))</f>
        <v/>
      </c>
      <c r="L152" s="82">
        <f>IF(OR(Scale!$AA45="",Scale!$AA45=0),"",Scale!$AB45)</f>
        <v/>
      </c>
      <c r="M152" s="82">
        <f>IF(OR(Scale!$AA45="",Scale!$AA45=0),"",Scale!$AC45)</f>
        <v/>
      </c>
      <c r="N152" s="81">
        <f>IF(OR(Scale!$AA45="",Scale!$AA45=0),"","پوز")</f>
        <v/>
      </c>
      <c r="O152" s="81">
        <f>IF(OR(Scale!$AA45="",Scale!$AA45=0),"",IFERROR(VLOOKUP(Scale!$AA45,AcctTbl,3,0),""))</f>
        <v/>
      </c>
      <c r="P152" s="82">
        <f>IF(Scale!$AA45&lt;&gt;"X011","","BN02")</f>
        <v/>
      </c>
    </row>
    <row r="153" ht="20.25" customHeight="1">
      <c r="A153" s="80">
        <f>IF(OR(Scale!$AD45="",Scale!$AD45=0),"",Scale!$B45)</f>
        <v/>
      </c>
      <c r="B153" s="80">
        <f>IF(OR(Scale!$AD45="",Scale!$AD45=0),"",Scale!$D45)</f>
        <v/>
      </c>
      <c r="C153" s="80">
        <f>IF(OR(Scale!$AD45="",Scale!$AD45=0),"","باسکول")</f>
        <v/>
      </c>
      <c r="D153" s="80">
        <f>IF(OR(Scale!$AD45="",Scale!$AD45=0),"",Scale!$AD45)</f>
        <v/>
      </c>
      <c r="E153" s="81">
        <f>IF(OR(Scale!$AD45="",Scale!$AD45=0),"",IF(Scale!$AD45="","","مقابل پوز — "&amp;Scale!$E45))</f>
        <v/>
      </c>
      <c r="F153" s="83" t="n"/>
      <c r="G153" s="83" t="n"/>
      <c r="H153" s="83" t="n"/>
      <c r="I153" s="83" t="n"/>
      <c r="J153" s="83" t="n"/>
      <c r="K153" s="82">
        <f>IF(OR(Scale!$AD45="",Scale!$AD45=0),"",IF(Scale!$AE45="",0,Scale!$AE45)+IF(Scale!$AF45="",0,Scale!$AF45))</f>
        <v/>
      </c>
      <c r="L153" s="82">
        <f>IF(OR(Scale!$AD45="",Scale!$AD45=0),"",Scale!$AE45)</f>
        <v/>
      </c>
      <c r="M153" s="82">
        <f>IF(OR(Scale!$AD45="",Scale!$AD45=0),"",Scale!$AF45)</f>
        <v/>
      </c>
      <c r="N153" s="81">
        <f>IF(OR(Scale!$AD45="",Scale!$AD45=0),"","مقابل پوز")</f>
        <v/>
      </c>
      <c r="O153" s="81">
        <f>IF(OR(Scale!$AD45="",Scale!$AD45=0),"",IFERROR(VLOOKUP(Scale!$AD45,AcctTbl,3,0),""))</f>
        <v/>
      </c>
      <c r="P153" s="82">
        <f>IF(Scale!$AD45&lt;&gt;"X011","","BN02")</f>
        <v/>
      </c>
    </row>
    <row r="154" ht="20.25" customHeight="1">
      <c r="A154" s="80">
        <f>IF(OR(Scale!$U46="",Scale!$U46=0),"",Scale!$B46)</f>
        <v/>
      </c>
      <c r="B154" s="80">
        <f>IF(OR(Scale!$U46="",Scale!$U46=0),"",Scale!$D46)</f>
        <v/>
      </c>
      <c r="C154" s="80">
        <f>IF(OR(Scale!$U46="",Scale!$U46=0),"","باسکول")</f>
        <v/>
      </c>
      <c r="D154" s="80">
        <f>IF(OR(Scale!$U46="",Scale!$U46=0),"",Scale!$U46)</f>
        <v/>
      </c>
      <c r="E154" s="81">
        <f>IF(OR(Scale!$U46="",Scale!$U46=0),"",Scale!$T46)</f>
        <v/>
      </c>
      <c r="F154" s="81">
        <f>IF(OR(Scale!$U46="",Scale!$U46=0),"",Scale!$J46)</f>
        <v/>
      </c>
      <c r="G154" s="82">
        <f>IF(OR(Scale!$U46="",Scale!$U46=0),"",Scale!$M46)</f>
        <v/>
      </c>
      <c r="H154" s="82">
        <f>IF(OR(Scale!$U46="",Scale!$U46=0),"",Scale!$L46)</f>
        <v/>
      </c>
      <c r="I154" s="82">
        <f>IF(OR(Scale!$U46="",Scale!$U46=0),"",Scale!$N46)</f>
        <v/>
      </c>
      <c r="J154" s="82">
        <f>IF(OR(Scale!$U46="",Scale!$U46=0),"",Scale!$O46)</f>
        <v/>
      </c>
      <c r="K154" s="82">
        <f>IF(OR(Scale!$U46="",Scale!$U46=0),"",IF(Scale!$V46="",0,Scale!$V46)+IF(Scale!$W46="",0,Scale!$W46))</f>
        <v/>
      </c>
      <c r="L154" s="82">
        <f>IF(OR(Scale!$U46="",Scale!$U46=0),"",Scale!$V46)</f>
        <v/>
      </c>
      <c r="M154" s="82">
        <f>IF(OR(Scale!$U46="",Scale!$U46=0),"",Scale!$W46)</f>
        <v/>
      </c>
      <c r="N154" s="81">
        <f>IF(OR(Scale!$U46="",Scale!$U46=0),"",Scale!$E46)</f>
        <v/>
      </c>
      <c r="O154" s="81">
        <f>IF(OR(Scale!$U46="",Scale!$U46=0),"",IFERROR(VLOOKUP(Scale!$U46,AcctTbl,3,0),""))</f>
        <v/>
      </c>
      <c r="P154" s="82">
        <f>IF(Scale!$U46&lt;&gt;"X011","","BN02")</f>
        <v/>
      </c>
    </row>
    <row r="155" ht="20.25" customHeight="1">
      <c r="A155" s="80">
        <f>IF(OR(Scale!$X46="",Scale!$X46=0),"",Scale!$B46)</f>
        <v/>
      </c>
      <c r="B155" s="80">
        <f>IF(OR(Scale!$X46="",Scale!$X46=0),"",Scale!$D46)</f>
        <v/>
      </c>
      <c r="C155" s="80">
        <f>IF(OR(Scale!$X46="",Scale!$X46=0),"","باسکول")</f>
        <v/>
      </c>
      <c r="D155" s="80">
        <f>IF(OR(Scale!$X46="",Scale!$X46=0),"",Scale!$X46)</f>
        <v/>
      </c>
      <c r="E155" s="81">
        <f>IF(OR(Scale!$X46="",Scale!$X46=0),"",IF(Scale!$X46="","","مقابل: "&amp;Scale!$E46))</f>
        <v/>
      </c>
      <c r="F155" s="83" t="n"/>
      <c r="G155" s="83" t="n"/>
      <c r="H155" s="83" t="n"/>
      <c r="I155" s="83" t="n"/>
      <c r="J155" s="83" t="n"/>
      <c r="K155" s="82">
        <f>IF(OR(Scale!$X46="",Scale!$X46=0),"",IF(Scale!$Y46="",0,Scale!$Y46)+IF(Scale!$Z46="",0,Scale!$Z46))</f>
        <v/>
      </c>
      <c r="L155" s="82">
        <f>IF(OR(Scale!$X46="",Scale!$X46=0),"",Scale!$Y46)</f>
        <v/>
      </c>
      <c r="M155" s="82">
        <f>IF(OR(Scale!$X46="",Scale!$X46=0),"",Scale!$Z46)</f>
        <v/>
      </c>
      <c r="N155" s="81">
        <f>IF(OR(Scale!$X46="",Scale!$X46=0),"","مقابل")</f>
        <v/>
      </c>
      <c r="O155" s="81">
        <f>IF(OR(Scale!$X46="",Scale!$X46=0),"",IFERROR(VLOOKUP(Scale!$X46,AcctTbl,3,0),""))</f>
        <v/>
      </c>
      <c r="P155" s="82">
        <f>IF(Scale!$X46&lt;&gt;"X011","","BN02")</f>
        <v/>
      </c>
    </row>
    <row r="156" ht="20.25" customHeight="1">
      <c r="A156" s="80">
        <f>IF(OR(Scale!$AA46="",Scale!$AA46=0),"",Scale!$B46)</f>
        <v/>
      </c>
      <c r="B156" s="80">
        <f>IF(OR(Scale!$AA46="",Scale!$AA46=0),"",Scale!$D46)</f>
        <v/>
      </c>
      <c r="C156" s="80">
        <f>IF(OR(Scale!$AA46="",Scale!$AA46=0),"","باسکول")</f>
        <v/>
      </c>
      <c r="D156" s="80">
        <f>IF(OR(Scale!$AA46="",Scale!$AA46=0),"",Scale!$AA46)</f>
        <v/>
      </c>
      <c r="E156" s="81">
        <f>IF(OR(Scale!$AA46="",Scale!$AA46=0),"",IF(Scale!$AA46="","","پوز باسکول — "&amp;Scale!$E46))</f>
        <v/>
      </c>
      <c r="F156" s="83" t="n"/>
      <c r="G156" s="83" t="n"/>
      <c r="H156" s="83" t="n"/>
      <c r="I156" s="83" t="n"/>
      <c r="J156" s="83" t="n"/>
      <c r="K156" s="82">
        <f>IF(OR(Scale!$AA46="",Scale!$AA46=0),"",IF(Scale!$AB46="",0,Scale!$AB46)+IF(Scale!$AC46="",0,Scale!$AC46))</f>
        <v/>
      </c>
      <c r="L156" s="82">
        <f>IF(OR(Scale!$AA46="",Scale!$AA46=0),"",Scale!$AB46)</f>
        <v/>
      </c>
      <c r="M156" s="82">
        <f>IF(OR(Scale!$AA46="",Scale!$AA46=0),"",Scale!$AC46)</f>
        <v/>
      </c>
      <c r="N156" s="81">
        <f>IF(OR(Scale!$AA46="",Scale!$AA46=0),"","پوز")</f>
        <v/>
      </c>
      <c r="O156" s="81">
        <f>IF(OR(Scale!$AA46="",Scale!$AA46=0),"",IFERROR(VLOOKUP(Scale!$AA46,AcctTbl,3,0),""))</f>
        <v/>
      </c>
      <c r="P156" s="82">
        <f>IF(Scale!$AA46&lt;&gt;"X011","","BN02")</f>
        <v/>
      </c>
    </row>
    <row r="157" ht="20.25" customHeight="1">
      <c r="A157" s="80">
        <f>IF(OR(Scale!$AD46="",Scale!$AD46=0),"",Scale!$B46)</f>
        <v/>
      </c>
      <c r="B157" s="80">
        <f>IF(OR(Scale!$AD46="",Scale!$AD46=0),"",Scale!$D46)</f>
        <v/>
      </c>
      <c r="C157" s="80">
        <f>IF(OR(Scale!$AD46="",Scale!$AD46=0),"","باسکول")</f>
        <v/>
      </c>
      <c r="D157" s="80">
        <f>IF(OR(Scale!$AD46="",Scale!$AD46=0),"",Scale!$AD46)</f>
        <v/>
      </c>
      <c r="E157" s="81">
        <f>IF(OR(Scale!$AD46="",Scale!$AD46=0),"",IF(Scale!$AD46="","","مقابل پوز — "&amp;Scale!$E46))</f>
        <v/>
      </c>
      <c r="F157" s="83" t="n"/>
      <c r="G157" s="83" t="n"/>
      <c r="H157" s="83" t="n"/>
      <c r="I157" s="83" t="n"/>
      <c r="J157" s="83" t="n"/>
      <c r="K157" s="82">
        <f>IF(OR(Scale!$AD46="",Scale!$AD46=0),"",IF(Scale!$AE46="",0,Scale!$AE46)+IF(Scale!$AF46="",0,Scale!$AF46))</f>
        <v/>
      </c>
      <c r="L157" s="82">
        <f>IF(OR(Scale!$AD46="",Scale!$AD46=0),"",Scale!$AE46)</f>
        <v/>
      </c>
      <c r="M157" s="82">
        <f>IF(OR(Scale!$AD46="",Scale!$AD46=0),"",Scale!$AF46)</f>
        <v/>
      </c>
      <c r="N157" s="81">
        <f>IF(OR(Scale!$AD46="",Scale!$AD46=0),"","مقابل پوز")</f>
        <v/>
      </c>
      <c r="O157" s="81">
        <f>IF(OR(Scale!$AD46="",Scale!$AD46=0),"",IFERROR(VLOOKUP(Scale!$AD46,AcctTbl,3,0),""))</f>
        <v/>
      </c>
      <c r="P157" s="82">
        <f>IF(Scale!$AD46&lt;&gt;"X011","","BN02")</f>
        <v/>
      </c>
    </row>
    <row r="158" ht="20.25" customHeight="1">
      <c r="A158" s="80">
        <f>IF(OR(Scale!$U47="",Scale!$U47=0),"",Scale!$B47)</f>
        <v/>
      </c>
      <c r="B158" s="80">
        <f>IF(OR(Scale!$U47="",Scale!$U47=0),"",Scale!$D47)</f>
        <v/>
      </c>
      <c r="C158" s="80">
        <f>IF(OR(Scale!$U47="",Scale!$U47=0),"","باسکول")</f>
        <v/>
      </c>
      <c r="D158" s="80">
        <f>IF(OR(Scale!$U47="",Scale!$U47=0),"",Scale!$U47)</f>
        <v/>
      </c>
      <c r="E158" s="81">
        <f>IF(OR(Scale!$U47="",Scale!$U47=0),"",Scale!$T47)</f>
        <v/>
      </c>
      <c r="F158" s="81">
        <f>IF(OR(Scale!$U47="",Scale!$U47=0),"",Scale!$J47)</f>
        <v/>
      </c>
      <c r="G158" s="82">
        <f>IF(OR(Scale!$U47="",Scale!$U47=0),"",Scale!$M47)</f>
        <v/>
      </c>
      <c r="H158" s="82">
        <f>IF(OR(Scale!$U47="",Scale!$U47=0),"",Scale!$L47)</f>
        <v/>
      </c>
      <c r="I158" s="82">
        <f>IF(OR(Scale!$U47="",Scale!$U47=0),"",Scale!$N47)</f>
        <v/>
      </c>
      <c r="J158" s="82">
        <f>IF(OR(Scale!$U47="",Scale!$U47=0),"",Scale!$O47)</f>
        <v/>
      </c>
      <c r="K158" s="82">
        <f>IF(OR(Scale!$U47="",Scale!$U47=0),"",IF(Scale!$V47="",0,Scale!$V47)+IF(Scale!$W47="",0,Scale!$W47))</f>
        <v/>
      </c>
      <c r="L158" s="82">
        <f>IF(OR(Scale!$U47="",Scale!$U47=0),"",Scale!$V47)</f>
        <v/>
      </c>
      <c r="M158" s="82">
        <f>IF(OR(Scale!$U47="",Scale!$U47=0),"",Scale!$W47)</f>
        <v/>
      </c>
      <c r="N158" s="81">
        <f>IF(OR(Scale!$U47="",Scale!$U47=0),"",Scale!$E47)</f>
        <v/>
      </c>
      <c r="O158" s="81">
        <f>IF(OR(Scale!$U47="",Scale!$U47=0),"",IFERROR(VLOOKUP(Scale!$U47,AcctTbl,3,0),""))</f>
        <v/>
      </c>
      <c r="P158" s="82">
        <f>IF(Scale!$U47&lt;&gt;"X011","","BN02")</f>
        <v/>
      </c>
    </row>
    <row r="159" ht="20.25" customHeight="1">
      <c r="A159" s="80">
        <f>IF(OR(Scale!$X47="",Scale!$X47=0),"",Scale!$B47)</f>
        <v/>
      </c>
      <c r="B159" s="80">
        <f>IF(OR(Scale!$X47="",Scale!$X47=0),"",Scale!$D47)</f>
        <v/>
      </c>
      <c r="C159" s="80">
        <f>IF(OR(Scale!$X47="",Scale!$X47=0),"","باسکول")</f>
        <v/>
      </c>
      <c r="D159" s="80">
        <f>IF(OR(Scale!$X47="",Scale!$X47=0),"",Scale!$X47)</f>
        <v/>
      </c>
      <c r="E159" s="81">
        <f>IF(OR(Scale!$X47="",Scale!$X47=0),"",IF(Scale!$X47="","","مقابل: "&amp;Scale!$E47))</f>
        <v/>
      </c>
      <c r="F159" s="83" t="n"/>
      <c r="G159" s="83" t="n"/>
      <c r="H159" s="83" t="n"/>
      <c r="I159" s="83" t="n"/>
      <c r="J159" s="83" t="n"/>
      <c r="K159" s="82">
        <f>IF(OR(Scale!$X47="",Scale!$X47=0),"",IF(Scale!$Y47="",0,Scale!$Y47)+IF(Scale!$Z47="",0,Scale!$Z47))</f>
        <v/>
      </c>
      <c r="L159" s="82">
        <f>IF(OR(Scale!$X47="",Scale!$X47=0),"",Scale!$Y47)</f>
        <v/>
      </c>
      <c r="M159" s="82">
        <f>IF(OR(Scale!$X47="",Scale!$X47=0),"",Scale!$Z47)</f>
        <v/>
      </c>
      <c r="N159" s="81">
        <f>IF(OR(Scale!$X47="",Scale!$X47=0),"","مقابل")</f>
        <v/>
      </c>
      <c r="O159" s="81">
        <f>IF(OR(Scale!$X47="",Scale!$X47=0),"",IFERROR(VLOOKUP(Scale!$X47,AcctTbl,3,0),""))</f>
        <v/>
      </c>
      <c r="P159" s="82">
        <f>IF(Scale!$X47&lt;&gt;"X011","","BN02")</f>
        <v/>
      </c>
    </row>
    <row r="160" ht="20.25" customHeight="1">
      <c r="A160" s="80">
        <f>IF(OR(Scale!$AA47="",Scale!$AA47=0),"",Scale!$B47)</f>
        <v/>
      </c>
      <c r="B160" s="80">
        <f>IF(OR(Scale!$AA47="",Scale!$AA47=0),"",Scale!$D47)</f>
        <v/>
      </c>
      <c r="C160" s="80">
        <f>IF(OR(Scale!$AA47="",Scale!$AA47=0),"","باسکول")</f>
        <v/>
      </c>
      <c r="D160" s="80">
        <f>IF(OR(Scale!$AA47="",Scale!$AA47=0),"",Scale!$AA47)</f>
        <v/>
      </c>
      <c r="E160" s="81">
        <f>IF(OR(Scale!$AA47="",Scale!$AA47=0),"",IF(Scale!$AA47="","","پوز باسکول — "&amp;Scale!$E47))</f>
        <v/>
      </c>
      <c r="F160" s="83" t="n"/>
      <c r="G160" s="83" t="n"/>
      <c r="H160" s="83" t="n"/>
      <c r="I160" s="83" t="n"/>
      <c r="J160" s="83" t="n"/>
      <c r="K160" s="82">
        <f>IF(OR(Scale!$AA47="",Scale!$AA47=0),"",IF(Scale!$AB47="",0,Scale!$AB47)+IF(Scale!$AC47="",0,Scale!$AC47))</f>
        <v/>
      </c>
      <c r="L160" s="82">
        <f>IF(OR(Scale!$AA47="",Scale!$AA47=0),"",Scale!$AB47)</f>
        <v/>
      </c>
      <c r="M160" s="82">
        <f>IF(OR(Scale!$AA47="",Scale!$AA47=0),"",Scale!$AC47)</f>
        <v/>
      </c>
      <c r="N160" s="81">
        <f>IF(OR(Scale!$AA47="",Scale!$AA47=0),"","پوز")</f>
        <v/>
      </c>
      <c r="O160" s="81">
        <f>IF(OR(Scale!$AA47="",Scale!$AA47=0),"",IFERROR(VLOOKUP(Scale!$AA47,AcctTbl,3,0),""))</f>
        <v/>
      </c>
      <c r="P160" s="82">
        <f>IF(Scale!$AA47&lt;&gt;"X011","","BN02")</f>
        <v/>
      </c>
    </row>
    <row r="161" ht="20.25" customHeight="1">
      <c r="A161" s="80">
        <f>IF(OR(Scale!$AD47="",Scale!$AD47=0),"",Scale!$B47)</f>
        <v/>
      </c>
      <c r="B161" s="80">
        <f>IF(OR(Scale!$AD47="",Scale!$AD47=0),"",Scale!$D47)</f>
        <v/>
      </c>
      <c r="C161" s="80">
        <f>IF(OR(Scale!$AD47="",Scale!$AD47=0),"","باسکول")</f>
        <v/>
      </c>
      <c r="D161" s="80">
        <f>IF(OR(Scale!$AD47="",Scale!$AD47=0),"",Scale!$AD47)</f>
        <v/>
      </c>
      <c r="E161" s="81">
        <f>IF(OR(Scale!$AD47="",Scale!$AD47=0),"",IF(Scale!$AD47="","","مقابل پوز — "&amp;Scale!$E47))</f>
        <v/>
      </c>
      <c r="F161" s="83" t="n"/>
      <c r="G161" s="83" t="n"/>
      <c r="H161" s="83" t="n"/>
      <c r="I161" s="83" t="n"/>
      <c r="J161" s="83" t="n"/>
      <c r="K161" s="82">
        <f>IF(OR(Scale!$AD47="",Scale!$AD47=0),"",IF(Scale!$AE47="",0,Scale!$AE47)+IF(Scale!$AF47="",0,Scale!$AF47))</f>
        <v/>
      </c>
      <c r="L161" s="82">
        <f>IF(OR(Scale!$AD47="",Scale!$AD47=0),"",Scale!$AE47)</f>
        <v/>
      </c>
      <c r="M161" s="82">
        <f>IF(OR(Scale!$AD47="",Scale!$AD47=0),"",Scale!$AF47)</f>
        <v/>
      </c>
      <c r="N161" s="81">
        <f>IF(OR(Scale!$AD47="",Scale!$AD47=0),"","مقابل پوز")</f>
        <v/>
      </c>
      <c r="O161" s="81">
        <f>IF(OR(Scale!$AD47="",Scale!$AD47=0),"",IFERROR(VLOOKUP(Scale!$AD47,AcctTbl,3,0),""))</f>
        <v/>
      </c>
      <c r="P161" s="82">
        <f>IF(Scale!$AD47&lt;&gt;"X011","","BN02")</f>
        <v/>
      </c>
    </row>
    <row r="162" ht="20.25" customHeight="1">
      <c r="A162" s="80">
        <f>IF(OR(Scale!$U48="",Scale!$U48=0),"",Scale!$B48)</f>
        <v/>
      </c>
      <c r="B162" s="80">
        <f>IF(OR(Scale!$U48="",Scale!$U48=0),"",Scale!$D48)</f>
        <v/>
      </c>
      <c r="C162" s="80">
        <f>IF(OR(Scale!$U48="",Scale!$U48=0),"","باسکول")</f>
        <v/>
      </c>
      <c r="D162" s="80">
        <f>IF(OR(Scale!$U48="",Scale!$U48=0),"",Scale!$U48)</f>
        <v/>
      </c>
      <c r="E162" s="81">
        <f>IF(OR(Scale!$U48="",Scale!$U48=0),"",Scale!$T48)</f>
        <v/>
      </c>
      <c r="F162" s="81">
        <f>IF(OR(Scale!$U48="",Scale!$U48=0),"",Scale!$J48)</f>
        <v/>
      </c>
      <c r="G162" s="82">
        <f>IF(OR(Scale!$U48="",Scale!$U48=0),"",Scale!$M48)</f>
        <v/>
      </c>
      <c r="H162" s="82">
        <f>IF(OR(Scale!$U48="",Scale!$U48=0),"",Scale!$L48)</f>
        <v/>
      </c>
      <c r="I162" s="82">
        <f>IF(OR(Scale!$U48="",Scale!$U48=0),"",Scale!$N48)</f>
        <v/>
      </c>
      <c r="J162" s="82">
        <f>IF(OR(Scale!$U48="",Scale!$U48=0),"",Scale!$O48)</f>
        <v/>
      </c>
      <c r="K162" s="82">
        <f>IF(OR(Scale!$U48="",Scale!$U48=0),"",IF(Scale!$V48="",0,Scale!$V48)+IF(Scale!$W48="",0,Scale!$W48))</f>
        <v/>
      </c>
      <c r="L162" s="82">
        <f>IF(OR(Scale!$U48="",Scale!$U48=0),"",Scale!$V48)</f>
        <v/>
      </c>
      <c r="M162" s="82">
        <f>IF(OR(Scale!$U48="",Scale!$U48=0),"",Scale!$W48)</f>
        <v/>
      </c>
      <c r="N162" s="81">
        <f>IF(OR(Scale!$U48="",Scale!$U48=0),"",Scale!$E48)</f>
        <v/>
      </c>
      <c r="O162" s="81">
        <f>IF(OR(Scale!$U48="",Scale!$U48=0),"",IFERROR(VLOOKUP(Scale!$U48,AcctTbl,3,0),""))</f>
        <v/>
      </c>
      <c r="P162" s="82">
        <f>IF(Scale!$U48&lt;&gt;"X011","","BN02")</f>
        <v/>
      </c>
    </row>
    <row r="163" ht="20.25" customHeight="1">
      <c r="A163" s="80">
        <f>IF(OR(Scale!$X48="",Scale!$X48=0),"",Scale!$B48)</f>
        <v/>
      </c>
      <c r="B163" s="80">
        <f>IF(OR(Scale!$X48="",Scale!$X48=0),"",Scale!$D48)</f>
        <v/>
      </c>
      <c r="C163" s="80">
        <f>IF(OR(Scale!$X48="",Scale!$X48=0),"","باسکول")</f>
        <v/>
      </c>
      <c r="D163" s="80">
        <f>IF(OR(Scale!$X48="",Scale!$X48=0),"",Scale!$X48)</f>
        <v/>
      </c>
      <c r="E163" s="81">
        <f>IF(OR(Scale!$X48="",Scale!$X48=0),"",IF(Scale!$X48="","","مقابل: "&amp;Scale!$E48))</f>
        <v/>
      </c>
      <c r="F163" s="83" t="n"/>
      <c r="G163" s="83" t="n"/>
      <c r="H163" s="83" t="n"/>
      <c r="I163" s="83" t="n"/>
      <c r="J163" s="83" t="n"/>
      <c r="K163" s="82">
        <f>IF(OR(Scale!$X48="",Scale!$X48=0),"",IF(Scale!$Y48="",0,Scale!$Y48)+IF(Scale!$Z48="",0,Scale!$Z48))</f>
        <v/>
      </c>
      <c r="L163" s="82">
        <f>IF(OR(Scale!$X48="",Scale!$X48=0),"",Scale!$Y48)</f>
        <v/>
      </c>
      <c r="M163" s="82">
        <f>IF(OR(Scale!$X48="",Scale!$X48=0),"",Scale!$Z48)</f>
        <v/>
      </c>
      <c r="N163" s="81">
        <f>IF(OR(Scale!$X48="",Scale!$X48=0),"","مقابل")</f>
        <v/>
      </c>
      <c r="O163" s="81">
        <f>IF(OR(Scale!$X48="",Scale!$X48=0),"",IFERROR(VLOOKUP(Scale!$X48,AcctTbl,3,0),""))</f>
        <v/>
      </c>
      <c r="P163" s="82">
        <f>IF(Scale!$X48&lt;&gt;"X011","","BN02")</f>
        <v/>
      </c>
    </row>
    <row r="164" ht="20.25" customHeight="1">
      <c r="A164" s="80">
        <f>IF(OR(Scale!$AA48="",Scale!$AA48=0),"",Scale!$B48)</f>
        <v/>
      </c>
      <c r="B164" s="80">
        <f>IF(OR(Scale!$AA48="",Scale!$AA48=0),"",Scale!$D48)</f>
        <v/>
      </c>
      <c r="C164" s="80">
        <f>IF(OR(Scale!$AA48="",Scale!$AA48=0),"","باسکول")</f>
        <v/>
      </c>
      <c r="D164" s="80">
        <f>IF(OR(Scale!$AA48="",Scale!$AA48=0),"",Scale!$AA48)</f>
        <v/>
      </c>
      <c r="E164" s="81">
        <f>IF(OR(Scale!$AA48="",Scale!$AA48=0),"",IF(Scale!$AA48="","","پوز باسکول — "&amp;Scale!$E48))</f>
        <v/>
      </c>
      <c r="F164" s="83" t="n"/>
      <c r="G164" s="83" t="n"/>
      <c r="H164" s="83" t="n"/>
      <c r="I164" s="83" t="n"/>
      <c r="J164" s="83" t="n"/>
      <c r="K164" s="82">
        <f>IF(OR(Scale!$AA48="",Scale!$AA48=0),"",IF(Scale!$AB48="",0,Scale!$AB48)+IF(Scale!$AC48="",0,Scale!$AC48))</f>
        <v/>
      </c>
      <c r="L164" s="82">
        <f>IF(OR(Scale!$AA48="",Scale!$AA48=0),"",Scale!$AB48)</f>
        <v/>
      </c>
      <c r="M164" s="82">
        <f>IF(OR(Scale!$AA48="",Scale!$AA48=0),"",Scale!$AC48)</f>
        <v/>
      </c>
      <c r="N164" s="81">
        <f>IF(OR(Scale!$AA48="",Scale!$AA48=0),"","پوز")</f>
        <v/>
      </c>
      <c r="O164" s="81">
        <f>IF(OR(Scale!$AA48="",Scale!$AA48=0),"",IFERROR(VLOOKUP(Scale!$AA48,AcctTbl,3,0),""))</f>
        <v/>
      </c>
      <c r="P164" s="82">
        <f>IF(Scale!$AA48&lt;&gt;"X011","","BN02")</f>
        <v/>
      </c>
    </row>
    <row r="165" ht="20.25" customHeight="1">
      <c r="A165" s="80">
        <f>IF(OR(Scale!$AD48="",Scale!$AD48=0),"",Scale!$B48)</f>
        <v/>
      </c>
      <c r="B165" s="80">
        <f>IF(OR(Scale!$AD48="",Scale!$AD48=0),"",Scale!$D48)</f>
        <v/>
      </c>
      <c r="C165" s="80">
        <f>IF(OR(Scale!$AD48="",Scale!$AD48=0),"","باسکول")</f>
        <v/>
      </c>
      <c r="D165" s="80">
        <f>IF(OR(Scale!$AD48="",Scale!$AD48=0),"",Scale!$AD48)</f>
        <v/>
      </c>
      <c r="E165" s="81">
        <f>IF(OR(Scale!$AD48="",Scale!$AD48=0),"",IF(Scale!$AD48="","","مقابل پوز — "&amp;Scale!$E48))</f>
        <v/>
      </c>
      <c r="F165" s="83" t="n"/>
      <c r="G165" s="83" t="n"/>
      <c r="H165" s="83" t="n"/>
      <c r="I165" s="83" t="n"/>
      <c r="J165" s="83" t="n"/>
      <c r="K165" s="82">
        <f>IF(OR(Scale!$AD48="",Scale!$AD48=0),"",IF(Scale!$AE48="",0,Scale!$AE48)+IF(Scale!$AF48="",0,Scale!$AF48))</f>
        <v/>
      </c>
      <c r="L165" s="82">
        <f>IF(OR(Scale!$AD48="",Scale!$AD48=0),"",Scale!$AE48)</f>
        <v/>
      </c>
      <c r="M165" s="82">
        <f>IF(OR(Scale!$AD48="",Scale!$AD48=0),"",Scale!$AF48)</f>
        <v/>
      </c>
      <c r="N165" s="81">
        <f>IF(OR(Scale!$AD48="",Scale!$AD48=0),"","مقابل پوز")</f>
        <v/>
      </c>
      <c r="O165" s="81">
        <f>IF(OR(Scale!$AD48="",Scale!$AD48=0),"",IFERROR(VLOOKUP(Scale!$AD48,AcctTbl,3,0),""))</f>
        <v/>
      </c>
      <c r="P165" s="82">
        <f>IF(Scale!$AD48&lt;&gt;"X011","","BN02")</f>
        <v/>
      </c>
    </row>
    <row r="166" ht="20.25" customHeight="1">
      <c r="A166" s="80">
        <f>IF(OR(Scale!$U49="",Scale!$U49=0),"",Scale!$B49)</f>
        <v/>
      </c>
      <c r="B166" s="80">
        <f>IF(OR(Scale!$U49="",Scale!$U49=0),"",Scale!$D49)</f>
        <v/>
      </c>
      <c r="C166" s="80">
        <f>IF(OR(Scale!$U49="",Scale!$U49=0),"","باسکول")</f>
        <v/>
      </c>
      <c r="D166" s="80">
        <f>IF(OR(Scale!$U49="",Scale!$U49=0),"",Scale!$U49)</f>
        <v/>
      </c>
      <c r="E166" s="81">
        <f>IF(OR(Scale!$U49="",Scale!$U49=0),"",Scale!$T49)</f>
        <v/>
      </c>
      <c r="F166" s="81">
        <f>IF(OR(Scale!$U49="",Scale!$U49=0),"",Scale!$J49)</f>
        <v/>
      </c>
      <c r="G166" s="82">
        <f>IF(OR(Scale!$U49="",Scale!$U49=0),"",Scale!$M49)</f>
        <v/>
      </c>
      <c r="H166" s="82">
        <f>IF(OR(Scale!$U49="",Scale!$U49=0),"",Scale!$L49)</f>
        <v/>
      </c>
      <c r="I166" s="82">
        <f>IF(OR(Scale!$U49="",Scale!$U49=0),"",Scale!$N49)</f>
        <v/>
      </c>
      <c r="J166" s="82">
        <f>IF(OR(Scale!$U49="",Scale!$U49=0),"",Scale!$O49)</f>
        <v/>
      </c>
      <c r="K166" s="82">
        <f>IF(OR(Scale!$U49="",Scale!$U49=0),"",IF(Scale!$V49="",0,Scale!$V49)+IF(Scale!$W49="",0,Scale!$W49))</f>
        <v/>
      </c>
      <c r="L166" s="82">
        <f>IF(OR(Scale!$U49="",Scale!$U49=0),"",Scale!$V49)</f>
        <v/>
      </c>
      <c r="M166" s="82">
        <f>IF(OR(Scale!$U49="",Scale!$U49=0),"",Scale!$W49)</f>
        <v/>
      </c>
      <c r="N166" s="81">
        <f>IF(OR(Scale!$U49="",Scale!$U49=0),"",Scale!$E49)</f>
        <v/>
      </c>
      <c r="O166" s="81">
        <f>IF(OR(Scale!$U49="",Scale!$U49=0),"",IFERROR(VLOOKUP(Scale!$U49,AcctTbl,3,0),""))</f>
        <v/>
      </c>
      <c r="P166" s="82">
        <f>IF(Scale!$U49&lt;&gt;"X011","","BN02")</f>
        <v/>
      </c>
    </row>
    <row r="167" ht="20.25" customHeight="1">
      <c r="A167" s="80">
        <f>IF(OR(Scale!$X49="",Scale!$X49=0),"",Scale!$B49)</f>
        <v/>
      </c>
      <c r="B167" s="80">
        <f>IF(OR(Scale!$X49="",Scale!$X49=0),"",Scale!$D49)</f>
        <v/>
      </c>
      <c r="C167" s="80">
        <f>IF(OR(Scale!$X49="",Scale!$X49=0),"","باسکول")</f>
        <v/>
      </c>
      <c r="D167" s="80">
        <f>IF(OR(Scale!$X49="",Scale!$X49=0),"",Scale!$X49)</f>
        <v/>
      </c>
      <c r="E167" s="81">
        <f>IF(OR(Scale!$X49="",Scale!$X49=0),"",IF(Scale!$X49="","","مقابل: "&amp;Scale!$E49))</f>
        <v/>
      </c>
      <c r="F167" s="83" t="n"/>
      <c r="G167" s="83" t="n"/>
      <c r="H167" s="83" t="n"/>
      <c r="I167" s="83" t="n"/>
      <c r="J167" s="83" t="n"/>
      <c r="K167" s="82">
        <f>IF(OR(Scale!$X49="",Scale!$X49=0),"",IF(Scale!$Y49="",0,Scale!$Y49)+IF(Scale!$Z49="",0,Scale!$Z49))</f>
        <v/>
      </c>
      <c r="L167" s="82">
        <f>IF(OR(Scale!$X49="",Scale!$X49=0),"",Scale!$Y49)</f>
        <v/>
      </c>
      <c r="M167" s="82">
        <f>IF(OR(Scale!$X49="",Scale!$X49=0),"",Scale!$Z49)</f>
        <v/>
      </c>
      <c r="N167" s="81">
        <f>IF(OR(Scale!$X49="",Scale!$X49=0),"","مقابل")</f>
        <v/>
      </c>
      <c r="O167" s="81">
        <f>IF(OR(Scale!$X49="",Scale!$X49=0),"",IFERROR(VLOOKUP(Scale!$X49,AcctTbl,3,0),""))</f>
        <v/>
      </c>
      <c r="P167" s="82">
        <f>IF(Scale!$X49&lt;&gt;"X011","","BN02")</f>
        <v/>
      </c>
    </row>
    <row r="168" ht="20.25" customHeight="1">
      <c r="A168" s="80">
        <f>IF(OR(Scale!$AA49="",Scale!$AA49=0),"",Scale!$B49)</f>
        <v/>
      </c>
      <c r="B168" s="80">
        <f>IF(OR(Scale!$AA49="",Scale!$AA49=0),"",Scale!$D49)</f>
        <v/>
      </c>
      <c r="C168" s="80">
        <f>IF(OR(Scale!$AA49="",Scale!$AA49=0),"","باسکول")</f>
        <v/>
      </c>
      <c r="D168" s="80">
        <f>IF(OR(Scale!$AA49="",Scale!$AA49=0),"",Scale!$AA49)</f>
        <v/>
      </c>
      <c r="E168" s="81">
        <f>IF(OR(Scale!$AA49="",Scale!$AA49=0),"",IF(Scale!$AA49="","","پوز باسکول — "&amp;Scale!$E49))</f>
        <v/>
      </c>
      <c r="F168" s="83" t="n"/>
      <c r="G168" s="83" t="n"/>
      <c r="H168" s="83" t="n"/>
      <c r="I168" s="83" t="n"/>
      <c r="J168" s="83" t="n"/>
      <c r="K168" s="82">
        <f>IF(OR(Scale!$AA49="",Scale!$AA49=0),"",IF(Scale!$AB49="",0,Scale!$AB49)+IF(Scale!$AC49="",0,Scale!$AC49))</f>
        <v/>
      </c>
      <c r="L168" s="82">
        <f>IF(OR(Scale!$AA49="",Scale!$AA49=0),"",Scale!$AB49)</f>
        <v/>
      </c>
      <c r="M168" s="82">
        <f>IF(OR(Scale!$AA49="",Scale!$AA49=0),"",Scale!$AC49)</f>
        <v/>
      </c>
      <c r="N168" s="81">
        <f>IF(OR(Scale!$AA49="",Scale!$AA49=0),"","پوز")</f>
        <v/>
      </c>
      <c r="O168" s="81">
        <f>IF(OR(Scale!$AA49="",Scale!$AA49=0),"",IFERROR(VLOOKUP(Scale!$AA49,AcctTbl,3,0),""))</f>
        <v/>
      </c>
      <c r="P168" s="82">
        <f>IF(Scale!$AA49&lt;&gt;"X011","","BN02")</f>
        <v/>
      </c>
    </row>
    <row r="169" ht="20.25" customHeight="1">
      <c r="A169" s="80">
        <f>IF(OR(Scale!$AD49="",Scale!$AD49=0),"",Scale!$B49)</f>
        <v/>
      </c>
      <c r="B169" s="80">
        <f>IF(OR(Scale!$AD49="",Scale!$AD49=0),"",Scale!$D49)</f>
        <v/>
      </c>
      <c r="C169" s="80">
        <f>IF(OR(Scale!$AD49="",Scale!$AD49=0),"","باسکول")</f>
        <v/>
      </c>
      <c r="D169" s="80">
        <f>IF(OR(Scale!$AD49="",Scale!$AD49=0),"",Scale!$AD49)</f>
        <v/>
      </c>
      <c r="E169" s="81">
        <f>IF(OR(Scale!$AD49="",Scale!$AD49=0),"",IF(Scale!$AD49="","","مقابل پوز — "&amp;Scale!$E49))</f>
        <v/>
      </c>
      <c r="F169" s="83" t="n"/>
      <c r="G169" s="83" t="n"/>
      <c r="H169" s="83" t="n"/>
      <c r="I169" s="83" t="n"/>
      <c r="J169" s="83" t="n"/>
      <c r="K169" s="82">
        <f>IF(OR(Scale!$AD49="",Scale!$AD49=0),"",IF(Scale!$AE49="",0,Scale!$AE49)+IF(Scale!$AF49="",0,Scale!$AF49))</f>
        <v/>
      </c>
      <c r="L169" s="82">
        <f>IF(OR(Scale!$AD49="",Scale!$AD49=0),"",Scale!$AE49)</f>
        <v/>
      </c>
      <c r="M169" s="82">
        <f>IF(OR(Scale!$AD49="",Scale!$AD49=0),"",Scale!$AF49)</f>
        <v/>
      </c>
      <c r="N169" s="81">
        <f>IF(OR(Scale!$AD49="",Scale!$AD49=0),"","مقابل پوز")</f>
        <v/>
      </c>
      <c r="O169" s="81">
        <f>IF(OR(Scale!$AD49="",Scale!$AD49=0),"",IFERROR(VLOOKUP(Scale!$AD49,AcctTbl,3,0),""))</f>
        <v/>
      </c>
      <c r="P169" s="82">
        <f>IF(Scale!$AD49&lt;&gt;"X011","","BN02")</f>
        <v/>
      </c>
    </row>
    <row r="170" ht="20.25" customHeight="1">
      <c r="A170" s="80">
        <f>IF(OR(Scale!$U50="",Scale!$U50=0),"",Scale!$B50)</f>
        <v/>
      </c>
      <c r="B170" s="80">
        <f>IF(OR(Scale!$U50="",Scale!$U50=0),"",Scale!$D50)</f>
        <v/>
      </c>
      <c r="C170" s="80">
        <f>IF(OR(Scale!$U50="",Scale!$U50=0),"","باسکول")</f>
        <v/>
      </c>
      <c r="D170" s="80">
        <f>IF(OR(Scale!$U50="",Scale!$U50=0),"",Scale!$U50)</f>
        <v/>
      </c>
      <c r="E170" s="81">
        <f>IF(OR(Scale!$U50="",Scale!$U50=0),"",Scale!$T50)</f>
        <v/>
      </c>
      <c r="F170" s="81">
        <f>IF(OR(Scale!$U50="",Scale!$U50=0),"",Scale!$J50)</f>
        <v/>
      </c>
      <c r="G170" s="82">
        <f>IF(OR(Scale!$U50="",Scale!$U50=0),"",Scale!$M50)</f>
        <v/>
      </c>
      <c r="H170" s="82">
        <f>IF(OR(Scale!$U50="",Scale!$U50=0),"",Scale!$L50)</f>
        <v/>
      </c>
      <c r="I170" s="82">
        <f>IF(OR(Scale!$U50="",Scale!$U50=0),"",Scale!$N50)</f>
        <v/>
      </c>
      <c r="J170" s="82">
        <f>IF(OR(Scale!$U50="",Scale!$U50=0),"",Scale!$O50)</f>
        <v/>
      </c>
      <c r="K170" s="82">
        <f>IF(OR(Scale!$U50="",Scale!$U50=0),"",IF(Scale!$V50="",0,Scale!$V50)+IF(Scale!$W50="",0,Scale!$W50))</f>
        <v/>
      </c>
      <c r="L170" s="82">
        <f>IF(OR(Scale!$U50="",Scale!$U50=0),"",Scale!$V50)</f>
        <v/>
      </c>
      <c r="M170" s="82">
        <f>IF(OR(Scale!$U50="",Scale!$U50=0),"",Scale!$W50)</f>
        <v/>
      </c>
      <c r="N170" s="81">
        <f>IF(OR(Scale!$U50="",Scale!$U50=0),"",Scale!$E50)</f>
        <v/>
      </c>
      <c r="O170" s="81">
        <f>IF(OR(Scale!$U50="",Scale!$U50=0),"",IFERROR(VLOOKUP(Scale!$U50,AcctTbl,3,0),""))</f>
        <v/>
      </c>
      <c r="P170" s="82">
        <f>IF(Scale!$U50&lt;&gt;"X011","","BN02")</f>
        <v/>
      </c>
    </row>
    <row r="171" ht="20.25" customHeight="1">
      <c r="A171" s="80">
        <f>IF(OR(Scale!$X50="",Scale!$X50=0),"",Scale!$B50)</f>
        <v/>
      </c>
      <c r="B171" s="80">
        <f>IF(OR(Scale!$X50="",Scale!$X50=0),"",Scale!$D50)</f>
        <v/>
      </c>
      <c r="C171" s="80">
        <f>IF(OR(Scale!$X50="",Scale!$X50=0),"","باسکول")</f>
        <v/>
      </c>
      <c r="D171" s="80">
        <f>IF(OR(Scale!$X50="",Scale!$X50=0),"",Scale!$X50)</f>
        <v/>
      </c>
      <c r="E171" s="81">
        <f>IF(OR(Scale!$X50="",Scale!$X50=0),"",IF(Scale!$X50="","","مقابل: "&amp;Scale!$E50))</f>
        <v/>
      </c>
      <c r="F171" s="83" t="n"/>
      <c r="G171" s="83" t="n"/>
      <c r="H171" s="83" t="n"/>
      <c r="I171" s="83" t="n"/>
      <c r="J171" s="83" t="n"/>
      <c r="K171" s="82">
        <f>IF(OR(Scale!$X50="",Scale!$X50=0),"",IF(Scale!$Y50="",0,Scale!$Y50)+IF(Scale!$Z50="",0,Scale!$Z50))</f>
        <v/>
      </c>
      <c r="L171" s="82">
        <f>IF(OR(Scale!$X50="",Scale!$X50=0),"",Scale!$Y50)</f>
        <v/>
      </c>
      <c r="M171" s="82">
        <f>IF(OR(Scale!$X50="",Scale!$X50=0),"",Scale!$Z50)</f>
        <v/>
      </c>
      <c r="N171" s="81">
        <f>IF(OR(Scale!$X50="",Scale!$X50=0),"","مقابل")</f>
        <v/>
      </c>
      <c r="O171" s="81">
        <f>IF(OR(Scale!$X50="",Scale!$X50=0),"",IFERROR(VLOOKUP(Scale!$X50,AcctTbl,3,0),""))</f>
        <v/>
      </c>
      <c r="P171" s="82">
        <f>IF(Scale!$X50&lt;&gt;"X011","","BN02")</f>
        <v/>
      </c>
    </row>
    <row r="172" ht="20.25" customHeight="1">
      <c r="A172" s="80">
        <f>IF(OR(Scale!$AA50="",Scale!$AA50=0),"",Scale!$B50)</f>
        <v/>
      </c>
      <c r="B172" s="80">
        <f>IF(OR(Scale!$AA50="",Scale!$AA50=0),"",Scale!$D50)</f>
        <v/>
      </c>
      <c r="C172" s="80">
        <f>IF(OR(Scale!$AA50="",Scale!$AA50=0),"","باسکول")</f>
        <v/>
      </c>
      <c r="D172" s="80">
        <f>IF(OR(Scale!$AA50="",Scale!$AA50=0),"",Scale!$AA50)</f>
        <v/>
      </c>
      <c r="E172" s="81">
        <f>IF(OR(Scale!$AA50="",Scale!$AA50=0),"",IF(Scale!$AA50="","","پوز باسکول — "&amp;Scale!$E50))</f>
        <v/>
      </c>
      <c r="F172" s="83" t="n"/>
      <c r="G172" s="83" t="n"/>
      <c r="H172" s="83" t="n"/>
      <c r="I172" s="83" t="n"/>
      <c r="J172" s="83" t="n"/>
      <c r="K172" s="82">
        <f>IF(OR(Scale!$AA50="",Scale!$AA50=0),"",IF(Scale!$AB50="",0,Scale!$AB50)+IF(Scale!$AC50="",0,Scale!$AC50))</f>
        <v/>
      </c>
      <c r="L172" s="82">
        <f>IF(OR(Scale!$AA50="",Scale!$AA50=0),"",Scale!$AB50)</f>
        <v/>
      </c>
      <c r="M172" s="82">
        <f>IF(OR(Scale!$AA50="",Scale!$AA50=0),"",Scale!$AC50)</f>
        <v/>
      </c>
      <c r="N172" s="81">
        <f>IF(OR(Scale!$AA50="",Scale!$AA50=0),"","پوز")</f>
        <v/>
      </c>
      <c r="O172" s="81">
        <f>IF(OR(Scale!$AA50="",Scale!$AA50=0),"",IFERROR(VLOOKUP(Scale!$AA50,AcctTbl,3,0),""))</f>
        <v/>
      </c>
      <c r="P172" s="82">
        <f>IF(Scale!$AA50&lt;&gt;"X011","","BN02")</f>
        <v/>
      </c>
    </row>
    <row r="173" ht="20.25" customHeight="1">
      <c r="A173" s="80">
        <f>IF(OR(Scale!$AD50="",Scale!$AD50=0),"",Scale!$B50)</f>
        <v/>
      </c>
      <c r="B173" s="80">
        <f>IF(OR(Scale!$AD50="",Scale!$AD50=0),"",Scale!$D50)</f>
        <v/>
      </c>
      <c r="C173" s="80">
        <f>IF(OR(Scale!$AD50="",Scale!$AD50=0),"","باسکول")</f>
        <v/>
      </c>
      <c r="D173" s="80">
        <f>IF(OR(Scale!$AD50="",Scale!$AD50=0),"",Scale!$AD50)</f>
        <v/>
      </c>
      <c r="E173" s="81">
        <f>IF(OR(Scale!$AD50="",Scale!$AD50=0),"",IF(Scale!$AD50="","","مقابل پوز — "&amp;Scale!$E50))</f>
        <v/>
      </c>
      <c r="F173" s="83" t="n"/>
      <c r="G173" s="83" t="n"/>
      <c r="H173" s="83" t="n"/>
      <c r="I173" s="83" t="n"/>
      <c r="J173" s="83" t="n"/>
      <c r="K173" s="82">
        <f>IF(OR(Scale!$AD50="",Scale!$AD50=0),"",IF(Scale!$AE50="",0,Scale!$AE50)+IF(Scale!$AF50="",0,Scale!$AF50))</f>
        <v/>
      </c>
      <c r="L173" s="82">
        <f>IF(OR(Scale!$AD50="",Scale!$AD50=0),"",Scale!$AE50)</f>
        <v/>
      </c>
      <c r="M173" s="82">
        <f>IF(OR(Scale!$AD50="",Scale!$AD50=0),"",Scale!$AF50)</f>
        <v/>
      </c>
      <c r="N173" s="81">
        <f>IF(OR(Scale!$AD50="",Scale!$AD50=0),"","مقابل پوز")</f>
        <v/>
      </c>
      <c r="O173" s="81">
        <f>IF(OR(Scale!$AD50="",Scale!$AD50=0),"",IFERROR(VLOOKUP(Scale!$AD50,AcctTbl,3,0),""))</f>
        <v/>
      </c>
      <c r="P173" s="82">
        <f>IF(Scale!$AD50&lt;&gt;"X011","","BN02")</f>
        <v/>
      </c>
    </row>
    <row r="174" ht="20.25" customHeight="1">
      <c r="A174" s="80">
        <f>IF(OR(Scale!$U51="",Scale!$U51=0),"",Scale!$B51)</f>
        <v/>
      </c>
      <c r="B174" s="80">
        <f>IF(OR(Scale!$U51="",Scale!$U51=0),"",Scale!$D51)</f>
        <v/>
      </c>
      <c r="C174" s="80">
        <f>IF(OR(Scale!$U51="",Scale!$U51=0),"","باسکول")</f>
        <v/>
      </c>
      <c r="D174" s="80">
        <f>IF(OR(Scale!$U51="",Scale!$U51=0),"",Scale!$U51)</f>
        <v/>
      </c>
      <c r="E174" s="81">
        <f>IF(OR(Scale!$U51="",Scale!$U51=0),"",Scale!$T51)</f>
        <v/>
      </c>
      <c r="F174" s="81">
        <f>IF(OR(Scale!$U51="",Scale!$U51=0),"",Scale!$J51)</f>
        <v/>
      </c>
      <c r="G174" s="82">
        <f>IF(OR(Scale!$U51="",Scale!$U51=0),"",Scale!$M51)</f>
        <v/>
      </c>
      <c r="H174" s="82">
        <f>IF(OR(Scale!$U51="",Scale!$U51=0),"",Scale!$L51)</f>
        <v/>
      </c>
      <c r="I174" s="82">
        <f>IF(OR(Scale!$U51="",Scale!$U51=0),"",Scale!$N51)</f>
        <v/>
      </c>
      <c r="J174" s="82">
        <f>IF(OR(Scale!$U51="",Scale!$U51=0),"",Scale!$O51)</f>
        <v/>
      </c>
      <c r="K174" s="82">
        <f>IF(OR(Scale!$U51="",Scale!$U51=0),"",IF(Scale!$V51="",0,Scale!$V51)+IF(Scale!$W51="",0,Scale!$W51))</f>
        <v/>
      </c>
      <c r="L174" s="82">
        <f>IF(OR(Scale!$U51="",Scale!$U51=0),"",Scale!$V51)</f>
        <v/>
      </c>
      <c r="M174" s="82">
        <f>IF(OR(Scale!$U51="",Scale!$U51=0),"",Scale!$W51)</f>
        <v/>
      </c>
      <c r="N174" s="81">
        <f>IF(OR(Scale!$U51="",Scale!$U51=0),"",Scale!$E51)</f>
        <v/>
      </c>
      <c r="O174" s="81">
        <f>IF(OR(Scale!$U51="",Scale!$U51=0),"",IFERROR(VLOOKUP(Scale!$U51,AcctTbl,3,0),""))</f>
        <v/>
      </c>
      <c r="P174" s="82">
        <f>IF(Scale!$U51&lt;&gt;"X011","","BN02")</f>
        <v/>
      </c>
    </row>
    <row r="175" ht="20.25" customHeight="1">
      <c r="A175" s="80">
        <f>IF(OR(Scale!$X51="",Scale!$X51=0),"",Scale!$B51)</f>
        <v/>
      </c>
      <c r="B175" s="80">
        <f>IF(OR(Scale!$X51="",Scale!$X51=0),"",Scale!$D51)</f>
        <v/>
      </c>
      <c r="C175" s="80">
        <f>IF(OR(Scale!$X51="",Scale!$X51=0),"","باسکول")</f>
        <v/>
      </c>
      <c r="D175" s="80">
        <f>IF(OR(Scale!$X51="",Scale!$X51=0),"",Scale!$X51)</f>
        <v/>
      </c>
      <c r="E175" s="81">
        <f>IF(OR(Scale!$X51="",Scale!$X51=0),"",IF(Scale!$X51="","","مقابل: "&amp;Scale!$E51))</f>
        <v/>
      </c>
      <c r="F175" s="83" t="n"/>
      <c r="G175" s="83" t="n"/>
      <c r="H175" s="83" t="n"/>
      <c r="I175" s="83" t="n"/>
      <c r="J175" s="83" t="n"/>
      <c r="K175" s="82">
        <f>IF(OR(Scale!$X51="",Scale!$X51=0),"",IF(Scale!$Y51="",0,Scale!$Y51)+IF(Scale!$Z51="",0,Scale!$Z51))</f>
        <v/>
      </c>
      <c r="L175" s="82">
        <f>IF(OR(Scale!$X51="",Scale!$X51=0),"",Scale!$Y51)</f>
        <v/>
      </c>
      <c r="M175" s="82">
        <f>IF(OR(Scale!$X51="",Scale!$X51=0),"",Scale!$Z51)</f>
        <v/>
      </c>
      <c r="N175" s="81">
        <f>IF(OR(Scale!$X51="",Scale!$X51=0),"","مقابل")</f>
        <v/>
      </c>
      <c r="O175" s="81">
        <f>IF(OR(Scale!$X51="",Scale!$X51=0),"",IFERROR(VLOOKUP(Scale!$X51,AcctTbl,3,0),""))</f>
        <v/>
      </c>
      <c r="P175" s="82">
        <f>IF(Scale!$X51&lt;&gt;"X011","","BN02")</f>
        <v/>
      </c>
    </row>
    <row r="176" ht="20.25" customHeight="1">
      <c r="A176" s="80">
        <f>IF(OR(Scale!$AA51="",Scale!$AA51=0),"",Scale!$B51)</f>
        <v/>
      </c>
      <c r="B176" s="80">
        <f>IF(OR(Scale!$AA51="",Scale!$AA51=0),"",Scale!$D51)</f>
        <v/>
      </c>
      <c r="C176" s="80">
        <f>IF(OR(Scale!$AA51="",Scale!$AA51=0),"","باسکول")</f>
        <v/>
      </c>
      <c r="D176" s="80">
        <f>IF(OR(Scale!$AA51="",Scale!$AA51=0),"",Scale!$AA51)</f>
        <v/>
      </c>
      <c r="E176" s="81">
        <f>IF(OR(Scale!$AA51="",Scale!$AA51=0),"",IF(Scale!$AA51="","","پوز باسکول — "&amp;Scale!$E51))</f>
        <v/>
      </c>
      <c r="F176" s="83" t="n"/>
      <c r="G176" s="83" t="n"/>
      <c r="H176" s="83" t="n"/>
      <c r="I176" s="83" t="n"/>
      <c r="J176" s="83" t="n"/>
      <c r="K176" s="82">
        <f>IF(OR(Scale!$AA51="",Scale!$AA51=0),"",IF(Scale!$AB51="",0,Scale!$AB51)+IF(Scale!$AC51="",0,Scale!$AC51))</f>
        <v/>
      </c>
      <c r="L176" s="82">
        <f>IF(OR(Scale!$AA51="",Scale!$AA51=0),"",Scale!$AB51)</f>
        <v/>
      </c>
      <c r="M176" s="82">
        <f>IF(OR(Scale!$AA51="",Scale!$AA51=0),"",Scale!$AC51)</f>
        <v/>
      </c>
      <c r="N176" s="81">
        <f>IF(OR(Scale!$AA51="",Scale!$AA51=0),"","پوز")</f>
        <v/>
      </c>
      <c r="O176" s="81">
        <f>IF(OR(Scale!$AA51="",Scale!$AA51=0),"",IFERROR(VLOOKUP(Scale!$AA51,AcctTbl,3,0),""))</f>
        <v/>
      </c>
      <c r="P176" s="82">
        <f>IF(Scale!$AA51&lt;&gt;"X011","","BN02")</f>
        <v/>
      </c>
    </row>
    <row r="177" ht="20.25" customHeight="1">
      <c r="A177" s="80">
        <f>IF(OR(Scale!$AD51="",Scale!$AD51=0),"",Scale!$B51)</f>
        <v/>
      </c>
      <c r="B177" s="80">
        <f>IF(OR(Scale!$AD51="",Scale!$AD51=0),"",Scale!$D51)</f>
        <v/>
      </c>
      <c r="C177" s="80">
        <f>IF(OR(Scale!$AD51="",Scale!$AD51=0),"","باسکول")</f>
        <v/>
      </c>
      <c r="D177" s="80">
        <f>IF(OR(Scale!$AD51="",Scale!$AD51=0),"",Scale!$AD51)</f>
        <v/>
      </c>
      <c r="E177" s="81">
        <f>IF(OR(Scale!$AD51="",Scale!$AD51=0),"",IF(Scale!$AD51="","","مقابل پوز — "&amp;Scale!$E51))</f>
        <v/>
      </c>
      <c r="F177" s="83" t="n"/>
      <c r="G177" s="83" t="n"/>
      <c r="H177" s="83" t="n"/>
      <c r="I177" s="83" t="n"/>
      <c r="J177" s="83" t="n"/>
      <c r="K177" s="82">
        <f>IF(OR(Scale!$AD51="",Scale!$AD51=0),"",IF(Scale!$AE51="",0,Scale!$AE51)+IF(Scale!$AF51="",0,Scale!$AF51))</f>
        <v/>
      </c>
      <c r="L177" s="82">
        <f>IF(OR(Scale!$AD51="",Scale!$AD51=0),"",Scale!$AE51)</f>
        <v/>
      </c>
      <c r="M177" s="82">
        <f>IF(OR(Scale!$AD51="",Scale!$AD51=0),"",Scale!$AF51)</f>
        <v/>
      </c>
      <c r="N177" s="81">
        <f>IF(OR(Scale!$AD51="",Scale!$AD51=0),"","مقابل پوز")</f>
        <v/>
      </c>
      <c r="O177" s="81">
        <f>IF(OR(Scale!$AD51="",Scale!$AD51=0),"",IFERROR(VLOOKUP(Scale!$AD51,AcctTbl,3,0),""))</f>
        <v/>
      </c>
      <c r="P177" s="82">
        <f>IF(Scale!$AD51&lt;&gt;"X011","","BN02")</f>
        <v/>
      </c>
    </row>
    <row r="178" ht="20.25" customHeight="1">
      <c r="A178" s="80">
        <f>IF(OR(Scale!$U52="",Scale!$U52=0),"",Scale!$B52)</f>
        <v/>
      </c>
      <c r="B178" s="80">
        <f>IF(OR(Scale!$U52="",Scale!$U52=0),"",Scale!$D52)</f>
        <v/>
      </c>
      <c r="C178" s="80">
        <f>IF(OR(Scale!$U52="",Scale!$U52=0),"","باسکول")</f>
        <v/>
      </c>
      <c r="D178" s="80">
        <f>IF(OR(Scale!$U52="",Scale!$U52=0),"",Scale!$U52)</f>
        <v/>
      </c>
      <c r="E178" s="81">
        <f>IF(OR(Scale!$U52="",Scale!$U52=0),"",Scale!$T52)</f>
        <v/>
      </c>
      <c r="F178" s="81">
        <f>IF(OR(Scale!$U52="",Scale!$U52=0),"",Scale!$J52)</f>
        <v/>
      </c>
      <c r="G178" s="82">
        <f>IF(OR(Scale!$U52="",Scale!$U52=0),"",Scale!$M52)</f>
        <v/>
      </c>
      <c r="H178" s="82">
        <f>IF(OR(Scale!$U52="",Scale!$U52=0),"",Scale!$L52)</f>
        <v/>
      </c>
      <c r="I178" s="82">
        <f>IF(OR(Scale!$U52="",Scale!$U52=0),"",Scale!$N52)</f>
        <v/>
      </c>
      <c r="J178" s="82">
        <f>IF(OR(Scale!$U52="",Scale!$U52=0),"",Scale!$O52)</f>
        <v/>
      </c>
      <c r="K178" s="82">
        <f>IF(OR(Scale!$U52="",Scale!$U52=0),"",IF(Scale!$V52="",0,Scale!$V52)+IF(Scale!$W52="",0,Scale!$W52))</f>
        <v/>
      </c>
      <c r="L178" s="82">
        <f>IF(OR(Scale!$U52="",Scale!$U52=0),"",Scale!$V52)</f>
        <v/>
      </c>
      <c r="M178" s="82">
        <f>IF(OR(Scale!$U52="",Scale!$U52=0),"",Scale!$W52)</f>
        <v/>
      </c>
      <c r="N178" s="81">
        <f>IF(OR(Scale!$U52="",Scale!$U52=0),"",Scale!$E52)</f>
        <v/>
      </c>
      <c r="O178" s="81">
        <f>IF(OR(Scale!$U52="",Scale!$U52=0),"",IFERROR(VLOOKUP(Scale!$U52,AcctTbl,3,0),""))</f>
        <v/>
      </c>
      <c r="P178" s="82">
        <f>IF(Scale!$U52&lt;&gt;"X011","","BN02")</f>
        <v/>
      </c>
    </row>
    <row r="179" ht="20.25" customHeight="1">
      <c r="A179" s="80">
        <f>IF(OR(Scale!$X52="",Scale!$X52=0),"",Scale!$B52)</f>
        <v/>
      </c>
      <c r="B179" s="80">
        <f>IF(OR(Scale!$X52="",Scale!$X52=0),"",Scale!$D52)</f>
        <v/>
      </c>
      <c r="C179" s="80">
        <f>IF(OR(Scale!$X52="",Scale!$X52=0),"","باسکول")</f>
        <v/>
      </c>
      <c r="D179" s="80">
        <f>IF(OR(Scale!$X52="",Scale!$X52=0),"",Scale!$X52)</f>
        <v/>
      </c>
      <c r="E179" s="81">
        <f>IF(OR(Scale!$X52="",Scale!$X52=0),"",IF(Scale!$X52="","","مقابل: "&amp;Scale!$E52))</f>
        <v/>
      </c>
      <c r="F179" s="83" t="n"/>
      <c r="G179" s="83" t="n"/>
      <c r="H179" s="83" t="n"/>
      <c r="I179" s="83" t="n"/>
      <c r="J179" s="83" t="n"/>
      <c r="K179" s="82">
        <f>IF(OR(Scale!$X52="",Scale!$X52=0),"",IF(Scale!$Y52="",0,Scale!$Y52)+IF(Scale!$Z52="",0,Scale!$Z52))</f>
        <v/>
      </c>
      <c r="L179" s="82">
        <f>IF(OR(Scale!$X52="",Scale!$X52=0),"",Scale!$Y52)</f>
        <v/>
      </c>
      <c r="M179" s="82">
        <f>IF(OR(Scale!$X52="",Scale!$X52=0),"",Scale!$Z52)</f>
        <v/>
      </c>
      <c r="N179" s="81">
        <f>IF(OR(Scale!$X52="",Scale!$X52=0),"","مقابل")</f>
        <v/>
      </c>
      <c r="O179" s="81">
        <f>IF(OR(Scale!$X52="",Scale!$X52=0),"",IFERROR(VLOOKUP(Scale!$X52,AcctTbl,3,0),""))</f>
        <v/>
      </c>
      <c r="P179" s="82">
        <f>IF(Scale!$X52&lt;&gt;"X011","","BN02")</f>
        <v/>
      </c>
    </row>
    <row r="180" ht="20.25" customHeight="1">
      <c r="A180" s="80">
        <f>IF(OR(Scale!$AA52="",Scale!$AA52=0),"",Scale!$B52)</f>
        <v/>
      </c>
      <c r="B180" s="80">
        <f>IF(OR(Scale!$AA52="",Scale!$AA52=0),"",Scale!$D52)</f>
        <v/>
      </c>
      <c r="C180" s="80">
        <f>IF(OR(Scale!$AA52="",Scale!$AA52=0),"","باسکول")</f>
        <v/>
      </c>
      <c r="D180" s="80">
        <f>IF(OR(Scale!$AA52="",Scale!$AA52=0),"",Scale!$AA52)</f>
        <v/>
      </c>
      <c r="E180" s="81">
        <f>IF(OR(Scale!$AA52="",Scale!$AA52=0),"",IF(Scale!$AA52="","","پوز باسکول — "&amp;Scale!$E52))</f>
        <v/>
      </c>
      <c r="F180" s="83" t="n"/>
      <c r="G180" s="83" t="n"/>
      <c r="H180" s="83" t="n"/>
      <c r="I180" s="83" t="n"/>
      <c r="J180" s="83" t="n"/>
      <c r="K180" s="82">
        <f>IF(OR(Scale!$AA52="",Scale!$AA52=0),"",IF(Scale!$AB52="",0,Scale!$AB52)+IF(Scale!$AC52="",0,Scale!$AC52))</f>
        <v/>
      </c>
      <c r="L180" s="82">
        <f>IF(OR(Scale!$AA52="",Scale!$AA52=0),"",Scale!$AB52)</f>
        <v/>
      </c>
      <c r="M180" s="82">
        <f>IF(OR(Scale!$AA52="",Scale!$AA52=0),"",Scale!$AC52)</f>
        <v/>
      </c>
      <c r="N180" s="81">
        <f>IF(OR(Scale!$AA52="",Scale!$AA52=0),"","پوز")</f>
        <v/>
      </c>
      <c r="O180" s="81">
        <f>IF(OR(Scale!$AA52="",Scale!$AA52=0),"",IFERROR(VLOOKUP(Scale!$AA52,AcctTbl,3,0),""))</f>
        <v/>
      </c>
      <c r="P180" s="82">
        <f>IF(Scale!$AA52&lt;&gt;"X011","","BN02")</f>
        <v/>
      </c>
    </row>
    <row r="181" ht="20.25" customHeight="1">
      <c r="A181" s="80">
        <f>IF(OR(Scale!$AD52="",Scale!$AD52=0),"",Scale!$B52)</f>
        <v/>
      </c>
      <c r="B181" s="80">
        <f>IF(OR(Scale!$AD52="",Scale!$AD52=0),"",Scale!$D52)</f>
        <v/>
      </c>
      <c r="C181" s="80">
        <f>IF(OR(Scale!$AD52="",Scale!$AD52=0),"","باسکول")</f>
        <v/>
      </c>
      <c r="D181" s="80">
        <f>IF(OR(Scale!$AD52="",Scale!$AD52=0),"",Scale!$AD52)</f>
        <v/>
      </c>
      <c r="E181" s="81">
        <f>IF(OR(Scale!$AD52="",Scale!$AD52=0),"",IF(Scale!$AD52="","","مقابل پوز — "&amp;Scale!$E52))</f>
        <v/>
      </c>
      <c r="F181" s="83" t="n"/>
      <c r="G181" s="83" t="n"/>
      <c r="H181" s="83" t="n"/>
      <c r="I181" s="83" t="n"/>
      <c r="J181" s="83" t="n"/>
      <c r="K181" s="82">
        <f>IF(OR(Scale!$AD52="",Scale!$AD52=0),"",IF(Scale!$AE52="",0,Scale!$AE52)+IF(Scale!$AF52="",0,Scale!$AF52))</f>
        <v/>
      </c>
      <c r="L181" s="82">
        <f>IF(OR(Scale!$AD52="",Scale!$AD52=0),"",Scale!$AE52)</f>
        <v/>
      </c>
      <c r="M181" s="82">
        <f>IF(OR(Scale!$AD52="",Scale!$AD52=0),"",Scale!$AF52)</f>
        <v/>
      </c>
      <c r="N181" s="81">
        <f>IF(OR(Scale!$AD52="",Scale!$AD52=0),"","مقابل پوز")</f>
        <v/>
      </c>
      <c r="O181" s="81">
        <f>IF(OR(Scale!$AD52="",Scale!$AD52=0),"",IFERROR(VLOOKUP(Scale!$AD52,AcctTbl,3,0),""))</f>
        <v/>
      </c>
      <c r="P181" s="82">
        <f>IF(Scale!$AD52&lt;&gt;"X011","","BN02")</f>
        <v/>
      </c>
    </row>
    <row r="182" ht="20.25" customHeight="1">
      <c r="A182" s="80">
        <f>IF(OR(Scale!$U53="",Scale!$U53=0),"",Scale!$B53)</f>
        <v/>
      </c>
      <c r="B182" s="80">
        <f>IF(OR(Scale!$U53="",Scale!$U53=0),"",Scale!$D53)</f>
        <v/>
      </c>
      <c r="C182" s="80">
        <f>IF(OR(Scale!$U53="",Scale!$U53=0),"","باسکول")</f>
        <v/>
      </c>
      <c r="D182" s="80">
        <f>IF(OR(Scale!$U53="",Scale!$U53=0),"",Scale!$U53)</f>
        <v/>
      </c>
      <c r="E182" s="81">
        <f>IF(OR(Scale!$U53="",Scale!$U53=0),"",Scale!$T53)</f>
        <v/>
      </c>
      <c r="F182" s="81">
        <f>IF(OR(Scale!$U53="",Scale!$U53=0),"",Scale!$J53)</f>
        <v/>
      </c>
      <c r="G182" s="82">
        <f>IF(OR(Scale!$U53="",Scale!$U53=0),"",Scale!$M53)</f>
        <v/>
      </c>
      <c r="H182" s="82">
        <f>IF(OR(Scale!$U53="",Scale!$U53=0),"",Scale!$L53)</f>
        <v/>
      </c>
      <c r="I182" s="82">
        <f>IF(OR(Scale!$U53="",Scale!$U53=0),"",Scale!$N53)</f>
        <v/>
      </c>
      <c r="J182" s="82">
        <f>IF(OR(Scale!$U53="",Scale!$U53=0),"",Scale!$O53)</f>
        <v/>
      </c>
      <c r="K182" s="82">
        <f>IF(OR(Scale!$U53="",Scale!$U53=0),"",IF(Scale!$V53="",0,Scale!$V53)+IF(Scale!$W53="",0,Scale!$W53))</f>
        <v/>
      </c>
      <c r="L182" s="82">
        <f>IF(OR(Scale!$U53="",Scale!$U53=0),"",Scale!$V53)</f>
        <v/>
      </c>
      <c r="M182" s="82">
        <f>IF(OR(Scale!$U53="",Scale!$U53=0),"",Scale!$W53)</f>
        <v/>
      </c>
      <c r="N182" s="81">
        <f>IF(OR(Scale!$U53="",Scale!$U53=0),"",Scale!$E53)</f>
        <v/>
      </c>
      <c r="O182" s="81">
        <f>IF(OR(Scale!$U53="",Scale!$U53=0),"",IFERROR(VLOOKUP(Scale!$U53,AcctTbl,3,0),""))</f>
        <v/>
      </c>
      <c r="P182" s="82">
        <f>IF(Scale!$U53&lt;&gt;"X011","","BN02")</f>
        <v/>
      </c>
    </row>
    <row r="183" ht="20.25" customHeight="1">
      <c r="A183" s="80">
        <f>IF(OR(Scale!$X53="",Scale!$X53=0),"",Scale!$B53)</f>
        <v/>
      </c>
      <c r="B183" s="80">
        <f>IF(OR(Scale!$X53="",Scale!$X53=0),"",Scale!$D53)</f>
        <v/>
      </c>
      <c r="C183" s="80">
        <f>IF(OR(Scale!$X53="",Scale!$X53=0),"","باسکول")</f>
        <v/>
      </c>
      <c r="D183" s="80">
        <f>IF(OR(Scale!$X53="",Scale!$X53=0),"",Scale!$X53)</f>
        <v/>
      </c>
      <c r="E183" s="81">
        <f>IF(OR(Scale!$X53="",Scale!$X53=0),"",IF(Scale!$X53="","","مقابل: "&amp;Scale!$E53))</f>
        <v/>
      </c>
      <c r="F183" s="83" t="n"/>
      <c r="G183" s="83" t="n"/>
      <c r="H183" s="83" t="n"/>
      <c r="I183" s="83" t="n"/>
      <c r="J183" s="83" t="n"/>
      <c r="K183" s="82">
        <f>IF(OR(Scale!$X53="",Scale!$X53=0),"",IF(Scale!$Y53="",0,Scale!$Y53)+IF(Scale!$Z53="",0,Scale!$Z53))</f>
        <v/>
      </c>
      <c r="L183" s="82">
        <f>IF(OR(Scale!$X53="",Scale!$X53=0),"",Scale!$Y53)</f>
        <v/>
      </c>
      <c r="M183" s="82">
        <f>IF(OR(Scale!$X53="",Scale!$X53=0),"",Scale!$Z53)</f>
        <v/>
      </c>
      <c r="N183" s="81">
        <f>IF(OR(Scale!$X53="",Scale!$X53=0),"","مقابل")</f>
        <v/>
      </c>
      <c r="O183" s="81">
        <f>IF(OR(Scale!$X53="",Scale!$X53=0),"",IFERROR(VLOOKUP(Scale!$X53,AcctTbl,3,0),""))</f>
        <v/>
      </c>
      <c r="P183" s="82">
        <f>IF(Scale!$X53&lt;&gt;"X011","","BN02")</f>
        <v/>
      </c>
    </row>
    <row r="184" ht="20.25" customHeight="1">
      <c r="A184" s="80">
        <f>IF(OR(Scale!$AA53="",Scale!$AA53=0),"",Scale!$B53)</f>
        <v/>
      </c>
      <c r="B184" s="80">
        <f>IF(OR(Scale!$AA53="",Scale!$AA53=0),"",Scale!$D53)</f>
        <v/>
      </c>
      <c r="C184" s="80">
        <f>IF(OR(Scale!$AA53="",Scale!$AA53=0),"","باسکول")</f>
        <v/>
      </c>
      <c r="D184" s="80">
        <f>IF(OR(Scale!$AA53="",Scale!$AA53=0),"",Scale!$AA53)</f>
        <v/>
      </c>
      <c r="E184" s="81">
        <f>IF(OR(Scale!$AA53="",Scale!$AA53=0),"",IF(Scale!$AA53="","","پوز باسکول — "&amp;Scale!$E53))</f>
        <v/>
      </c>
      <c r="F184" s="83" t="n"/>
      <c r="G184" s="83" t="n"/>
      <c r="H184" s="83" t="n"/>
      <c r="I184" s="83" t="n"/>
      <c r="J184" s="83" t="n"/>
      <c r="K184" s="82">
        <f>IF(OR(Scale!$AA53="",Scale!$AA53=0),"",IF(Scale!$AB53="",0,Scale!$AB53)+IF(Scale!$AC53="",0,Scale!$AC53))</f>
        <v/>
      </c>
      <c r="L184" s="82">
        <f>IF(OR(Scale!$AA53="",Scale!$AA53=0),"",Scale!$AB53)</f>
        <v/>
      </c>
      <c r="M184" s="82">
        <f>IF(OR(Scale!$AA53="",Scale!$AA53=0),"",Scale!$AC53)</f>
        <v/>
      </c>
      <c r="N184" s="81">
        <f>IF(OR(Scale!$AA53="",Scale!$AA53=0),"","پوز")</f>
        <v/>
      </c>
      <c r="O184" s="81">
        <f>IF(OR(Scale!$AA53="",Scale!$AA53=0),"",IFERROR(VLOOKUP(Scale!$AA53,AcctTbl,3,0),""))</f>
        <v/>
      </c>
      <c r="P184" s="82">
        <f>IF(Scale!$AA53&lt;&gt;"X011","","BN02")</f>
        <v/>
      </c>
    </row>
    <row r="185" ht="20.25" customHeight="1">
      <c r="A185" s="80">
        <f>IF(OR(Scale!$AD53="",Scale!$AD53=0),"",Scale!$B53)</f>
        <v/>
      </c>
      <c r="B185" s="80">
        <f>IF(OR(Scale!$AD53="",Scale!$AD53=0),"",Scale!$D53)</f>
        <v/>
      </c>
      <c r="C185" s="80">
        <f>IF(OR(Scale!$AD53="",Scale!$AD53=0),"","باسکول")</f>
        <v/>
      </c>
      <c r="D185" s="80">
        <f>IF(OR(Scale!$AD53="",Scale!$AD53=0),"",Scale!$AD53)</f>
        <v/>
      </c>
      <c r="E185" s="81">
        <f>IF(OR(Scale!$AD53="",Scale!$AD53=0),"",IF(Scale!$AD53="","","مقابل پوز — "&amp;Scale!$E53))</f>
        <v/>
      </c>
      <c r="F185" s="83" t="n"/>
      <c r="G185" s="83" t="n"/>
      <c r="H185" s="83" t="n"/>
      <c r="I185" s="83" t="n"/>
      <c r="J185" s="83" t="n"/>
      <c r="K185" s="82">
        <f>IF(OR(Scale!$AD53="",Scale!$AD53=0),"",IF(Scale!$AE53="",0,Scale!$AE53)+IF(Scale!$AF53="",0,Scale!$AF53))</f>
        <v/>
      </c>
      <c r="L185" s="82">
        <f>IF(OR(Scale!$AD53="",Scale!$AD53=0),"",Scale!$AE53)</f>
        <v/>
      </c>
      <c r="M185" s="82">
        <f>IF(OR(Scale!$AD53="",Scale!$AD53=0),"",Scale!$AF53)</f>
        <v/>
      </c>
      <c r="N185" s="81">
        <f>IF(OR(Scale!$AD53="",Scale!$AD53=0),"","مقابل پوز")</f>
        <v/>
      </c>
      <c r="O185" s="81">
        <f>IF(OR(Scale!$AD53="",Scale!$AD53=0),"",IFERROR(VLOOKUP(Scale!$AD53,AcctTbl,3,0),""))</f>
        <v/>
      </c>
      <c r="P185" s="82">
        <f>IF(Scale!$AD53&lt;&gt;"X011","","BN02")</f>
        <v/>
      </c>
    </row>
    <row r="186" ht="20.25" customHeight="1">
      <c r="A186" s="80">
        <f>IF(OR(Scale!$U54="",Scale!$U54=0),"",Scale!$B54)</f>
        <v/>
      </c>
      <c r="B186" s="80">
        <f>IF(OR(Scale!$U54="",Scale!$U54=0),"",Scale!$D54)</f>
        <v/>
      </c>
      <c r="C186" s="80">
        <f>IF(OR(Scale!$U54="",Scale!$U54=0),"","باسکول")</f>
        <v/>
      </c>
      <c r="D186" s="80">
        <f>IF(OR(Scale!$U54="",Scale!$U54=0),"",Scale!$U54)</f>
        <v/>
      </c>
      <c r="E186" s="81">
        <f>IF(OR(Scale!$U54="",Scale!$U54=0),"",Scale!$T54)</f>
        <v/>
      </c>
      <c r="F186" s="81">
        <f>IF(OR(Scale!$U54="",Scale!$U54=0),"",Scale!$J54)</f>
        <v/>
      </c>
      <c r="G186" s="82">
        <f>IF(OR(Scale!$U54="",Scale!$U54=0),"",Scale!$M54)</f>
        <v/>
      </c>
      <c r="H186" s="82">
        <f>IF(OR(Scale!$U54="",Scale!$U54=0),"",Scale!$L54)</f>
        <v/>
      </c>
      <c r="I186" s="82">
        <f>IF(OR(Scale!$U54="",Scale!$U54=0),"",Scale!$N54)</f>
        <v/>
      </c>
      <c r="J186" s="82">
        <f>IF(OR(Scale!$U54="",Scale!$U54=0),"",Scale!$O54)</f>
        <v/>
      </c>
      <c r="K186" s="82">
        <f>IF(OR(Scale!$U54="",Scale!$U54=0),"",IF(Scale!$V54="",0,Scale!$V54)+IF(Scale!$W54="",0,Scale!$W54))</f>
        <v/>
      </c>
      <c r="L186" s="82">
        <f>IF(OR(Scale!$U54="",Scale!$U54=0),"",Scale!$V54)</f>
        <v/>
      </c>
      <c r="M186" s="82">
        <f>IF(OR(Scale!$U54="",Scale!$U54=0),"",Scale!$W54)</f>
        <v/>
      </c>
      <c r="N186" s="81">
        <f>IF(OR(Scale!$U54="",Scale!$U54=0),"",Scale!$E54)</f>
        <v/>
      </c>
      <c r="O186" s="81">
        <f>IF(OR(Scale!$U54="",Scale!$U54=0),"",IFERROR(VLOOKUP(Scale!$U54,AcctTbl,3,0),""))</f>
        <v/>
      </c>
      <c r="P186" s="82">
        <f>IF(Scale!$U54&lt;&gt;"X011","","BN02")</f>
        <v/>
      </c>
    </row>
    <row r="187" ht="20.25" customHeight="1">
      <c r="A187" s="80">
        <f>IF(OR(Scale!$X54="",Scale!$X54=0),"",Scale!$B54)</f>
        <v/>
      </c>
      <c r="B187" s="80">
        <f>IF(OR(Scale!$X54="",Scale!$X54=0),"",Scale!$D54)</f>
        <v/>
      </c>
      <c r="C187" s="80">
        <f>IF(OR(Scale!$X54="",Scale!$X54=0),"","باسکول")</f>
        <v/>
      </c>
      <c r="D187" s="80">
        <f>IF(OR(Scale!$X54="",Scale!$X54=0),"",Scale!$X54)</f>
        <v/>
      </c>
      <c r="E187" s="81">
        <f>IF(OR(Scale!$X54="",Scale!$X54=0),"",IF(Scale!$X54="","","مقابل: "&amp;Scale!$E54))</f>
        <v/>
      </c>
      <c r="F187" s="83" t="n"/>
      <c r="G187" s="83" t="n"/>
      <c r="H187" s="83" t="n"/>
      <c r="I187" s="83" t="n"/>
      <c r="J187" s="83" t="n"/>
      <c r="K187" s="82">
        <f>IF(OR(Scale!$X54="",Scale!$X54=0),"",IF(Scale!$Y54="",0,Scale!$Y54)+IF(Scale!$Z54="",0,Scale!$Z54))</f>
        <v/>
      </c>
      <c r="L187" s="82">
        <f>IF(OR(Scale!$X54="",Scale!$X54=0),"",Scale!$Y54)</f>
        <v/>
      </c>
      <c r="M187" s="82">
        <f>IF(OR(Scale!$X54="",Scale!$X54=0),"",Scale!$Z54)</f>
        <v/>
      </c>
      <c r="N187" s="81">
        <f>IF(OR(Scale!$X54="",Scale!$X54=0),"","مقابل")</f>
        <v/>
      </c>
      <c r="O187" s="81">
        <f>IF(OR(Scale!$X54="",Scale!$X54=0),"",IFERROR(VLOOKUP(Scale!$X54,AcctTbl,3,0),""))</f>
        <v/>
      </c>
      <c r="P187" s="82">
        <f>IF(Scale!$X54&lt;&gt;"X011","","BN02")</f>
        <v/>
      </c>
    </row>
    <row r="188" ht="20.25" customHeight="1">
      <c r="A188" s="80">
        <f>IF(OR(Scale!$AA54="",Scale!$AA54=0),"",Scale!$B54)</f>
        <v/>
      </c>
      <c r="B188" s="80">
        <f>IF(OR(Scale!$AA54="",Scale!$AA54=0),"",Scale!$D54)</f>
        <v/>
      </c>
      <c r="C188" s="80">
        <f>IF(OR(Scale!$AA54="",Scale!$AA54=0),"","باسکول")</f>
        <v/>
      </c>
      <c r="D188" s="80">
        <f>IF(OR(Scale!$AA54="",Scale!$AA54=0),"",Scale!$AA54)</f>
        <v/>
      </c>
      <c r="E188" s="81">
        <f>IF(OR(Scale!$AA54="",Scale!$AA54=0),"",IF(Scale!$AA54="","","پوز باسکول — "&amp;Scale!$E54))</f>
        <v/>
      </c>
      <c r="F188" s="83" t="n"/>
      <c r="G188" s="83" t="n"/>
      <c r="H188" s="83" t="n"/>
      <c r="I188" s="83" t="n"/>
      <c r="J188" s="83" t="n"/>
      <c r="K188" s="82">
        <f>IF(OR(Scale!$AA54="",Scale!$AA54=0),"",IF(Scale!$AB54="",0,Scale!$AB54)+IF(Scale!$AC54="",0,Scale!$AC54))</f>
        <v/>
      </c>
      <c r="L188" s="82">
        <f>IF(OR(Scale!$AA54="",Scale!$AA54=0),"",Scale!$AB54)</f>
        <v/>
      </c>
      <c r="M188" s="82">
        <f>IF(OR(Scale!$AA54="",Scale!$AA54=0),"",Scale!$AC54)</f>
        <v/>
      </c>
      <c r="N188" s="81">
        <f>IF(OR(Scale!$AA54="",Scale!$AA54=0),"","پوز")</f>
        <v/>
      </c>
      <c r="O188" s="81">
        <f>IF(OR(Scale!$AA54="",Scale!$AA54=0),"",IFERROR(VLOOKUP(Scale!$AA54,AcctTbl,3,0),""))</f>
        <v/>
      </c>
      <c r="P188" s="82">
        <f>IF(Scale!$AA54&lt;&gt;"X011","","BN02")</f>
        <v/>
      </c>
    </row>
    <row r="189" ht="20.25" customHeight="1">
      <c r="A189" s="80">
        <f>IF(OR(Scale!$AD54="",Scale!$AD54=0),"",Scale!$B54)</f>
        <v/>
      </c>
      <c r="B189" s="80">
        <f>IF(OR(Scale!$AD54="",Scale!$AD54=0),"",Scale!$D54)</f>
        <v/>
      </c>
      <c r="C189" s="80">
        <f>IF(OR(Scale!$AD54="",Scale!$AD54=0),"","باسکول")</f>
        <v/>
      </c>
      <c r="D189" s="80">
        <f>IF(OR(Scale!$AD54="",Scale!$AD54=0),"",Scale!$AD54)</f>
        <v/>
      </c>
      <c r="E189" s="81">
        <f>IF(OR(Scale!$AD54="",Scale!$AD54=0),"",IF(Scale!$AD54="","","مقابل پوز — "&amp;Scale!$E54))</f>
        <v/>
      </c>
      <c r="F189" s="83" t="n"/>
      <c r="G189" s="83" t="n"/>
      <c r="H189" s="83" t="n"/>
      <c r="I189" s="83" t="n"/>
      <c r="J189" s="83" t="n"/>
      <c r="K189" s="82">
        <f>IF(OR(Scale!$AD54="",Scale!$AD54=0),"",IF(Scale!$AE54="",0,Scale!$AE54)+IF(Scale!$AF54="",0,Scale!$AF54))</f>
        <v/>
      </c>
      <c r="L189" s="82">
        <f>IF(OR(Scale!$AD54="",Scale!$AD54=0),"",Scale!$AE54)</f>
        <v/>
      </c>
      <c r="M189" s="82">
        <f>IF(OR(Scale!$AD54="",Scale!$AD54=0),"",Scale!$AF54)</f>
        <v/>
      </c>
      <c r="N189" s="81">
        <f>IF(OR(Scale!$AD54="",Scale!$AD54=0),"","مقابل پوز")</f>
        <v/>
      </c>
      <c r="O189" s="81">
        <f>IF(OR(Scale!$AD54="",Scale!$AD54=0),"",IFERROR(VLOOKUP(Scale!$AD54,AcctTbl,3,0),""))</f>
        <v/>
      </c>
      <c r="P189" s="82">
        <f>IF(Scale!$AD54&lt;&gt;"X011","","BN02")</f>
        <v/>
      </c>
    </row>
    <row r="190" ht="20.25" customHeight="1">
      <c r="A190" s="80">
        <f>IF(OR(Scale!$U55="",Scale!$U55=0),"",Scale!$B55)</f>
        <v/>
      </c>
      <c r="B190" s="80">
        <f>IF(OR(Scale!$U55="",Scale!$U55=0),"",Scale!$D55)</f>
        <v/>
      </c>
      <c r="C190" s="80">
        <f>IF(OR(Scale!$U55="",Scale!$U55=0),"","باسکول")</f>
        <v/>
      </c>
      <c r="D190" s="80">
        <f>IF(OR(Scale!$U55="",Scale!$U55=0),"",Scale!$U55)</f>
        <v/>
      </c>
      <c r="E190" s="81">
        <f>IF(OR(Scale!$U55="",Scale!$U55=0),"",Scale!$T55)</f>
        <v/>
      </c>
      <c r="F190" s="81">
        <f>IF(OR(Scale!$U55="",Scale!$U55=0),"",Scale!$J55)</f>
        <v/>
      </c>
      <c r="G190" s="82">
        <f>IF(OR(Scale!$U55="",Scale!$U55=0),"",Scale!$M55)</f>
        <v/>
      </c>
      <c r="H190" s="82">
        <f>IF(OR(Scale!$U55="",Scale!$U55=0),"",Scale!$L55)</f>
        <v/>
      </c>
      <c r="I190" s="82">
        <f>IF(OR(Scale!$U55="",Scale!$U55=0),"",Scale!$N55)</f>
        <v/>
      </c>
      <c r="J190" s="82">
        <f>IF(OR(Scale!$U55="",Scale!$U55=0),"",Scale!$O55)</f>
        <v/>
      </c>
      <c r="K190" s="82">
        <f>IF(OR(Scale!$U55="",Scale!$U55=0),"",IF(Scale!$V55="",0,Scale!$V55)+IF(Scale!$W55="",0,Scale!$W55))</f>
        <v/>
      </c>
      <c r="L190" s="82">
        <f>IF(OR(Scale!$U55="",Scale!$U55=0),"",Scale!$V55)</f>
        <v/>
      </c>
      <c r="M190" s="82">
        <f>IF(OR(Scale!$U55="",Scale!$U55=0),"",Scale!$W55)</f>
        <v/>
      </c>
      <c r="N190" s="81">
        <f>IF(OR(Scale!$U55="",Scale!$U55=0),"",Scale!$E55)</f>
        <v/>
      </c>
      <c r="O190" s="81">
        <f>IF(OR(Scale!$U55="",Scale!$U55=0),"",IFERROR(VLOOKUP(Scale!$U55,AcctTbl,3,0),""))</f>
        <v/>
      </c>
      <c r="P190" s="82">
        <f>IF(Scale!$U55&lt;&gt;"X011","","BN02")</f>
        <v/>
      </c>
    </row>
    <row r="191" ht="20.25" customHeight="1">
      <c r="A191" s="80">
        <f>IF(OR(Scale!$X55="",Scale!$X55=0),"",Scale!$B55)</f>
        <v/>
      </c>
      <c r="B191" s="80">
        <f>IF(OR(Scale!$X55="",Scale!$X55=0),"",Scale!$D55)</f>
        <v/>
      </c>
      <c r="C191" s="80">
        <f>IF(OR(Scale!$X55="",Scale!$X55=0),"","باسکول")</f>
        <v/>
      </c>
      <c r="D191" s="80">
        <f>IF(OR(Scale!$X55="",Scale!$X55=0),"",Scale!$X55)</f>
        <v/>
      </c>
      <c r="E191" s="81">
        <f>IF(OR(Scale!$X55="",Scale!$X55=0),"",IF(Scale!$X55="","","مقابل: "&amp;Scale!$E55))</f>
        <v/>
      </c>
      <c r="F191" s="83" t="n"/>
      <c r="G191" s="83" t="n"/>
      <c r="H191" s="83" t="n"/>
      <c r="I191" s="83" t="n"/>
      <c r="J191" s="83" t="n"/>
      <c r="K191" s="82">
        <f>IF(OR(Scale!$X55="",Scale!$X55=0),"",IF(Scale!$Y55="",0,Scale!$Y55)+IF(Scale!$Z55="",0,Scale!$Z55))</f>
        <v/>
      </c>
      <c r="L191" s="82">
        <f>IF(OR(Scale!$X55="",Scale!$X55=0),"",Scale!$Y55)</f>
        <v/>
      </c>
      <c r="M191" s="82">
        <f>IF(OR(Scale!$X55="",Scale!$X55=0),"",Scale!$Z55)</f>
        <v/>
      </c>
      <c r="N191" s="81">
        <f>IF(OR(Scale!$X55="",Scale!$X55=0),"","مقابل")</f>
        <v/>
      </c>
      <c r="O191" s="81">
        <f>IF(OR(Scale!$X55="",Scale!$X55=0),"",IFERROR(VLOOKUP(Scale!$X55,AcctTbl,3,0),""))</f>
        <v/>
      </c>
      <c r="P191" s="82">
        <f>IF(Scale!$X55&lt;&gt;"X011","","BN02")</f>
        <v/>
      </c>
    </row>
    <row r="192" ht="20.25" customHeight="1">
      <c r="A192" s="80">
        <f>IF(OR(Scale!$AA55="",Scale!$AA55=0),"",Scale!$B55)</f>
        <v/>
      </c>
      <c r="B192" s="80">
        <f>IF(OR(Scale!$AA55="",Scale!$AA55=0),"",Scale!$D55)</f>
        <v/>
      </c>
      <c r="C192" s="80">
        <f>IF(OR(Scale!$AA55="",Scale!$AA55=0),"","باسکول")</f>
        <v/>
      </c>
      <c r="D192" s="80">
        <f>IF(OR(Scale!$AA55="",Scale!$AA55=0),"",Scale!$AA55)</f>
        <v/>
      </c>
      <c r="E192" s="81">
        <f>IF(OR(Scale!$AA55="",Scale!$AA55=0),"",IF(Scale!$AA55="","","پوز باسکول — "&amp;Scale!$E55))</f>
        <v/>
      </c>
      <c r="F192" s="83" t="n"/>
      <c r="G192" s="83" t="n"/>
      <c r="H192" s="83" t="n"/>
      <c r="I192" s="83" t="n"/>
      <c r="J192" s="83" t="n"/>
      <c r="K192" s="82">
        <f>IF(OR(Scale!$AA55="",Scale!$AA55=0),"",IF(Scale!$AB55="",0,Scale!$AB55)+IF(Scale!$AC55="",0,Scale!$AC55))</f>
        <v/>
      </c>
      <c r="L192" s="82">
        <f>IF(OR(Scale!$AA55="",Scale!$AA55=0),"",Scale!$AB55)</f>
        <v/>
      </c>
      <c r="M192" s="82">
        <f>IF(OR(Scale!$AA55="",Scale!$AA55=0),"",Scale!$AC55)</f>
        <v/>
      </c>
      <c r="N192" s="81">
        <f>IF(OR(Scale!$AA55="",Scale!$AA55=0),"","پوز")</f>
        <v/>
      </c>
      <c r="O192" s="81">
        <f>IF(OR(Scale!$AA55="",Scale!$AA55=0),"",IFERROR(VLOOKUP(Scale!$AA55,AcctTbl,3,0),""))</f>
        <v/>
      </c>
      <c r="P192" s="82">
        <f>IF(Scale!$AA55&lt;&gt;"X011","","BN02")</f>
        <v/>
      </c>
    </row>
    <row r="193" ht="20.25" customHeight="1">
      <c r="A193" s="80">
        <f>IF(OR(Scale!$AD55="",Scale!$AD55=0),"",Scale!$B55)</f>
        <v/>
      </c>
      <c r="B193" s="80">
        <f>IF(OR(Scale!$AD55="",Scale!$AD55=0),"",Scale!$D55)</f>
        <v/>
      </c>
      <c r="C193" s="80">
        <f>IF(OR(Scale!$AD55="",Scale!$AD55=0),"","باسکول")</f>
        <v/>
      </c>
      <c r="D193" s="80">
        <f>IF(OR(Scale!$AD55="",Scale!$AD55=0),"",Scale!$AD55)</f>
        <v/>
      </c>
      <c r="E193" s="81">
        <f>IF(OR(Scale!$AD55="",Scale!$AD55=0),"",IF(Scale!$AD55="","","مقابل پوز — "&amp;Scale!$E55))</f>
        <v/>
      </c>
      <c r="F193" s="83" t="n"/>
      <c r="G193" s="83" t="n"/>
      <c r="H193" s="83" t="n"/>
      <c r="I193" s="83" t="n"/>
      <c r="J193" s="83" t="n"/>
      <c r="K193" s="82">
        <f>IF(OR(Scale!$AD55="",Scale!$AD55=0),"",IF(Scale!$AE55="",0,Scale!$AE55)+IF(Scale!$AF55="",0,Scale!$AF55))</f>
        <v/>
      </c>
      <c r="L193" s="82">
        <f>IF(OR(Scale!$AD55="",Scale!$AD55=0),"",Scale!$AE55)</f>
        <v/>
      </c>
      <c r="M193" s="82">
        <f>IF(OR(Scale!$AD55="",Scale!$AD55=0),"",Scale!$AF55)</f>
        <v/>
      </c>
      <c r="N193" s="81">
        <f>IF(OR(Scale!$AD55="",Scale!$AD55=0),"","مقابل پوز")</f>
        <v/>
      </c>
      <c r="O193" s="81">
        <f>IF(OR(Scale!$AD55="",Scale!$AD55=0),"",IFERROR(VLOOKUP(Scale!$AD55,AcctTbl,3,0),""))</f>
        <v/>
      </c>
      <c r="P193" s="82">
        <f>IF(Scale!$AD55&lt;&gt;"X011","","BN02")</f>
        <v/>
      </c>
    </row>
    <row r="194" ht="20.25" customHeight="1">
      <c r="A194" s="80">
        <f>IF(OR(Scale!$U56="",Scale!$U56=0),"",Scale!$B56)</f>
        <v/>
      </c>
      <c r="B194" s="80">
        <f>IF(OR(Scale!$U56="",Scale!$U56=0),"",Scale!$D56)</f>
        <v/>
      </c>
      <c r="C194" s="80">
        <f>IF(OR(Scale!$U56="",Scale!$U56=0),"","باسکول")</f>
        <v/>
      </c>
      <c r="D194" s="80">
        <f>IF(OR(Scale!$U56="",Scale!$U56=0),"",Scale!$U56)</f>
        <v/>
      </c>
      <c r="E194" s="81">
        <f>IF(OR(Scale!$U56="",Scale!$U56=0),"",Scale!$T56)</f>
        <v/>
      </c>
      <c r="F194" s="81">
        <f>IF(OR(Scale!$U56="",Scale!$U56=0),"",Scale!$J56)</f>
        <v/>
      </c>
      <c r="G194" s="82">
        <f>IF(OR(Scale!$U56="",Scale!$U56=0),"",Scale!$M56)</f>
        <v/>
      </c>
      <c r="H194" s="82">
        <f>IF(OR(Scale!$U56="",Scale!$U56=0),"",Scale!$L56)</f>
        <v/>
      </c>
      <c r="I194" s="82">
        <f>IF(OR(Scale!$U56="",Scale!$U56=0),"",Scale!$N56)</f>
        <v/>
      </c>
      <c r="J194" s="82">
        <f>IF(OR(Scale!$U56="",Scale!$U56=0),"",Scale!$O56)</f>
        <v/>
      </c>
      <c r="K194" s="82">
        <f>IF(OR(Scale!$U56="",Scale!$U56=0),"",IF(Scale!$V56="",0,Scale!$V56)+IF(Scale!$W56="",0,Scale!$W56))</f>
        <v/>
      </c>
      <c r="L194" s="82">
        <f>IF(OR(Scale!$U56="",Scale!$U56=0),"",Scale!$V56)</f>
        <v/>
      </c>
      <c r="M194" s="82">
        <f>IF(OR(Scale!$U56="",Scale!$U56=0),"",Scale!$W56)</f>
        <v/>
      </c>
      <c r="N194" s="81">
        <f>IF(OR(Scale!$U56="",Scale!$U56=0),"",Scale!$E56)</f>
        <v/>
      </c>
      <c r="O194" s="81">
        <f>IF(OR(Scale!$U56="",Scale!$U56=0),"",IFERROR(VLOOKUP(Scale!$U56,AcctTbl,3,0),""))</f>
        <v/>
      </c>
      <c r="P194" s="82">
        <f>IF(Scale!$U56&lt;&gt;"X011","","BN02")</f>
        <v/>
      </c>
    </row>
    <row r="195" ht="20.25" customHeight="1">
      <c r="A195" s="80">
        <f>IF(OR(Scale!$X56="",Scale!$X56=0),"",Scale!$B56)</f>
        <v/>
      </c>
      <c r="B195" s="80">
        <f>IF(OR(Scale!$X56="",Scale!$X56=0),"",Scale!$D56)</f>
        <v/>
      </c>
      <c r="C195" s="80">
        <f>IF(OR(Scale!$X56="",Scale!$X56=0),"","باسکول")</f>
        <v/>
      </c>
      <c r="D195" s="80">
        <f>IF(OR(Scale!$X56="",Scale!$X56=0),"",Scale!$X56)</f>
        <v/>
      </c>
      <c r="E195" s="81">
        <f>IF(OR(Scale!$X56="",Scale!$X56=0),"",IF(Scale!$X56="","","مقابل: "&amp;Scale!$E56))</f>
        <v/>
      </c>
      <c r="F195" s="83" t="n"/>
      <c r="G195" s="83" t="n"/>
      <c r="H195" s="83" t="n"/>
      <c r="I195" s="83" t="n"/>
      <c r="J195" s="83" t="n"/>
      <c r="K195" s="82">
        <f>IF(OR(Scale!$X56="",Scale!$X56=0),"",IF(Scale!$Y56="",0,Scale!$Y56)+IF(Scale!$Z56="",0,Scale!$Z56))</f>
        <v/>
      </c>
      <c r="L195" s="82">
        <f>IF(OR(Scale!$X56="",Scale!$X56=0),"",Scale!$Y56)</f>
        <v/>
      </c>
      <c r="M195" s="82">
        <f>IF(OR(Scale!$X56="",Scale!$X56=0),"",Scale!$Z56)</f>
        <v/>
      </c>
      <c r="N195" s="81">
        <f>IF(OR(Scale!$X56="",Scale!$X56=0),"","مقابل")</f>
        <v/>
      </c>
      <c r="O195" s="81">
        <f>IF(OR(Scale!$X56="",Scale!$X56=0),"",IFERROR(VLOOKUP(Scale!$X56,AcctTbl,3,0),""))</f>
        <v/>
      </c>
      <c r="P195" s="82">
        <f>IF(Scale!$X56&lt;&gt;"X011","","BN02")</f>
        <v/>
      </c>
    </row>
    <row r="196" ht="20.25" customHeight="1">
      <c r="A196" s="80">
        <f>IF(OR(Scale!$AA56="",Scale!$AA56=0),"",Scale!$B56)</f>
        <v/>
      </c>
      <c r="B196" s="80">
        <f>IF(OR(Scale!$AA56="",Scale!$AA56=0),"",Scale!$D56)</f>
        <v/>
      </c>
      <c r="C196" s="80">
        <f>IF(OR(Scale!$AA56="",Scale!$AA56=0),"","باسکول")</f>
        <v/>
      </c>
      <c r="D196" s="80">
        <f>IF(OR(Scale!$AA56="",Scale!$AA56=0),"",Scale!$AA56)</f>
        <v/>
      </c>
      <c r="E196" s="81">
        <f>IF(OR(Scale!$AA56="",Scale!$AA56=0),"",IF(Scale!$AA56="","","پوز باسکول — "&amp;Scale!$E56))</f>
        <v/>
      </c>
      <c r="F196" s="83" t="n"/>
      <c r="G196" s="83" t="n"/>
      <c r="H196" s="83" t="n"/>
      <c r="I196" s="83" t="n"/>
      <c r="J196" s="83" t="n"/>
      <c r="K196" s="82">
        <f>IF(OR(Scale!$AA56="",Scale!$AA56=0),"",IF(Scale!$AB56="",0,Scale!$AB56)+IF(Scale!$AC56="",0,Scale!$AC56))</f>
        <v/>
      </c>
      <c r="L196" s="82">
        <f>IF(OR(Scale!$AA56="",Scale!$AA56=0),"",Scale!$AB56)</f>
        <v/>
      </c>
      <c r="M196" s="82">
        <f>IF(OR(Scale!$AA56="",Scale!$AA56=0),"",Scale!$AC56)</f>
        <v/>
      </c>
      <c r="N196" s="81">
        <f>IF(OR(Scale!$AA56="",Scale!$AA56=0),"","پوز")</f>
        <v/>
      </c>
      <c r="O196" s="81">
        <f>IF(OR(Scale!$AA56="",Scale!$AA56=0),"",IFERROR(VLOOKUP(Scale!$AA56,AcctTbl,3,0),""))</f>
        <v/>
      </c>
      <c r="P196" s="82">
        <f>IF(Scale!$AA56&lt;&gt;"X011","","BN02")</f>
        <v/>
      </c>
    </row>
    <row r="197" ht="20.25" customHeight="1">
      <c r="A197" s="80">
        <f>IF(OR(Scale!$AD56="",Scale!$AD56=0),"",Scale!$B56)</f>
        <v/>
      </c>
      <c r="B197" s="80">
        <f>IF(OR(Scale!$AD56="",Scale!$AD56=0),"",Scale!$D56)</f>
        <v/>
      </c>
      <c r="C197" s="80">
        <f>IF(OR(Scale!$AD56="",Scale!$AD56=0),"","باسکول")</f>
        <v/>
      </c>
      <c r="D197" s="80">
        <f>IF(OR(Scale!$AD56="",Scale!$AD56=0),"",Scale!$AD56)</f>
        <v/>
      </c>
      <c r="E197" s="81">
        <f>IF(OR(Scale!$AD56="",Scale!$AD56=0),"",IF(Scale!$AD56="","","مقابل پوز — "&amp;Scale!$E56))</f>
        <v/>
      </c>
      <c r="F197" s="83" t="n"/>
      <c r="G197" s="83" t="n"/>
      <c r="H197" s="83" t="n"/>
      <c r="I197" s="83" t="n"/>
      <c r="J197" s="83" t="n"/>
      <c r="K197" s="82">
        <f>IF(OR(Scale!$AD56="",Scale!$AD56=0),"",IF(Scale!$AE56="",0,Scale!$AE56)+IF(Scale!$AF56="",0,Scale!$AF56))</f>
        <v/>
      </c>
      <c r="L197" s="82">
        <f>IF(OR(Scale!$AD56="",Scale!$AD56=0),"",Scale!$AE56)</f>
        <v/>
      </c>
      <c r="M197" s="82">
        <f>IF(OR(Scale!$AD56="",Scale!$AD56=0),"",Scale!$AF56)</f>
        <v/>
      </c>
      <c r="N197" s="81">
        <f>IF(OR(Scale!$AD56="",Scale!$AD56=0),"","مقابل پوز")</f>
        <v/>
      </c>
      <c r="O197" s="81">
        <f>IF(OR(Scale!$AD56="",Scale!$AD56=0),"",IFERROR(VLOOKUP(Scale!$AD56,AcctTbl,3,0),""))</f>
        <v/>
      </c>
      <c r="P197" s="82">
        <f>IF(Scale!$AD56&lt;&gt;"X011","","BN02")</f>
        <v/>
      </c>
    </row>
    <row r="198" ht="20.25" customHeight="1">
      <c r="A198" s="80">
        <f>IF(OR(Scale!$U57="",Scale!$U57=0),"",Scale!$B57)</f>
        <v/>
      </c>
      <c r="B198" s="80">
        <f>IF(OR(Scale!$U57="",Scale!$U57=0),"",Scale!$D57)</f>
        <v/>
      </c>
      <c r="C198" s="80">
        <f>IF(OR(Scale!$U57="",Scale!$U57=0),"","باسکول")</f>
        <v/>
      </c>
      <c r="D198" s="80">
        <f>IF(OR(Scale!$U57="",Scale!$U57=0),"",Scale!$U57)</f>
        <v/>
      </c>
      <c r="E198" s="81">
        <f>IF(OR(Scale!$U57="",Scale!$U57=0),"",Scale!$T57)</f>
        <v/>
      </c>
      <c r="F198" s="81">
        <f>IF(OR(Scale!$U57="",Scale!$U57=0),"",Scale!$J57)</f>
        <v/>
      </c>
      <c r="G198" s="82">
        <f>IF(OR(Scale!$U57="",Scale!$U57=0),"",Scale!$M57)</f>
        <v/>
      </c>
      <c r="H198" s="82">
        <f>IF(OR(Scale!$U57="",Scale!$U57=0),"",Scale!$L57)</f>
        <v/>
      </c>
      <c r="I198" s="82">
        <f>IF(OR(Scale!$U57="",Scale!$U57=0),"",Scale!$N57)</f>
        <v/>
      </c>
      <c r="J198" s="82">
        <f>IF(OR(Scale!$U57="",Scale!$U57=0),"",Scale!$O57)</f>
        <v/>
      </c>
      <c r="K198" s="82">
        <f>IF(OR(Scale!$U57="",Scale!$U57=0),"",IF(Scale!$V57="",0,Scale!$V57)+IF(Scale!$W57="",0,Scale!$W57))</f>
        <v/>
      </c>
      <c r="L198" s="82">
        <f>IF(OR(Scale!$U57="",Scale!$U57=0),"",Scale!$V57)</f>
        <v/>
      </c>
      <c r="M198" s="82">
        <f>IF(OR(Scale!$U57="",Scale!$U57=0),"",Scale!$W57)</f>
        <v/>
      </c>
      <c r="N198" s="81">
        <f>IF(OR(Scale!$U57="",Scale!$U57=0),"",Scale!$E57)</f>
        <v/>
      </c>
      <c r="O198" s="81">
        <f>IF(OR(Scale!$U57="",Scale!$U57=0),"",IFERROR(VLOOKUP(Scale!$U57,AcctTbl,3,0),""))</f>
        <v/>
      </c>
      <c r="P198" s="82">
        <f>IF(Scale!$U57&lt;&gt;"X011","","BN02")</f>
        <v/>
      </c>
    </row>
    <row r="199" ht="20.25" customHeight="1">
      <c r="A199" s="80">
        <f>IF(OR(Scale!$X57="",Scale!$X57=0),"",Scale!$B57)</f>
        <v/>
      </c>
      <c r="B199" s="80">
        <f>IF(OR(Scale!$X57="",Scale!$X57=0),"",Scale!$D57)</f>
        <v/>
      </c>
      <c r="C199" s="80">
        <f>IF(OR(Scale!$X57="",Scale!$X57=0),"","باسکول")</f>
        <v/>
      </c>
      <c r="D199" s="80">
        <f>IF(OR(Scale!$X57="",Scale!$X57=0),"",Scale!$X57)</f>
        <v/>
      </c>
      <c r="E199" s="81">
        <f>IF(OR(Scale!$X57="",Scale!$X57=0),"",IF(Scale!$X57="","","مقابل: "&amp;Scale!$E57))</f>
        <v/>
      </c>
      <c r="F199" s="83" t="n"/>
      <c r="G199" s="83" t="n"/>
      <c r="H199" s="83" t="n"/>
      <c r="I199" s="83" t="n"/>
      <c r="J199" s="83" t="n"/>
      <c r="K199" s="82">
        <f>IF(OR(Scale!$X57="",Scale!$X57=0),"",IF(Scale!$Y57="",0,Scale!$Y57)+IF(Scale!$Z57="",0,Scale!$Z57))</f>
        <v/>
      </c>
      <c r="L199" s="82">
        <f>IF(OR(Scale!$X57="",Scale!$X57=0),"",Scale!$Y57)</f>
        <v/>
      </c>
      <c r="M199" s="82">
        <f>IF(OR(Scale!$X57="",Scale!$X57=0),"",Scale!$Z57)</f>
        <v/>
      </c>
      <c r="N199" s="81">
        <f>IF(OR(Scale!$X57="",Scale!$X57=0),"","مقابل")</f>
        <v/>
      </c>
      <c r="O199" s="81">
        <f>IF(OR(Scale!$X57="",Scale!$X57=0),"",IFERROR(VLOOKUP(Scale!$X57,AcctTbl,3,0),""))</f>
        <v/>
      </c>
      <c r="P199" s="82">
        <f>IF(Scale!$X57&lt;&gt;"X011","","BN02")</f>
        <v/>
      </c>
    </row>
    <row r="200" ht="20.25" customHeight="1">
      <c r="A200" s="80">
        <f>IF(OR(Scale!$AA57="",Scale!$AA57=0),"",Scale!$B57)</f>
        <v/>
      </c>
      <c r="B200" s="80">
        <f>IF(OR(Scale!$AA57="",Scale!$AA57=0),"",Scale!$D57)</f>
        <v/>
      </c>
      <c r="C200" s="80">
        <f>IF(OR(Scale!$AA57="",Scale!$AA57=0),"","باسکول")</f>
        <v/>
      </c>
      <c r="D200" s="80">
        <f>IF(OR(Scale!$AA57="",Scale!$AA57=0),"",Scale!$AA57)</f>
        <v/>
      </c>
      <c r="E200" s="81">
        <f>IF(OR(Scale!$AA57="",Scale!$AA57=0),"",IF(Scale!$AA57="","","پوز باسکول — "&amp;Scale!$E57))</f>
        <v/>
      </c>
      <c r="F200" s="83" t="n"/>
      <c r="G200" s="83" t="n"/>
      <c r="H200" s="83" t="n"/>
      <c r="I200" s="83" t="n"/>
      <c r="J200" s="83" t="n"/>
      <c r="K200" s="82">
        <f>IF(OR(Scale!$AA57="",Scale!$AA57=0),"",IF(Scale!$AB57="",0,Scale!$AB57)+IF(Scale!$AC57="",0,Scale!$AC57))</f>
        <v/>
      </c>
      <c r="L200" s="82">
        <f>IF(OR(Scale!$AA57="",Scale!$AA57=0),"",Scale!$AB57)</f>
        <v/>
      </c>
      <c r="M200" s="82">
        <f>IF(OR(Scale!$AA57="",Scale!$AA57=0),"",Scale!$AC57)</f>
        <v/>
      </c>
      <c r="N200" s="81">
        <f>IF(OR(Scale!$AA57="",Scale!$AA57=0),"","پوز")</f>
        <v/>
      </c>
      <c r="O200" s="81">
        <f>IF(OR(Scale!$AA57="",Scale!$AA57=0),"",IFERROR(VLOOKUP(Scale!$AA57,AcctTbl,3,0),""))</f>
        <v/>
      </c>
      <c r="P200" s="82">
        <f>IF(Scale!$AA57&lt;&gt;"X011","","BN02")</f>
        <v/>
      </c>
    </row>
    <row r="201" ht="20.25" customHeight="1">
      <c r="A201" s="80">
        <f>IF(OR(Scale!$AD57="",Scale!$AD57=0),"",Scale!$B57)</f>
        <v/>
      </c>
      <c r="B201" s="80">
        <f>IF(OR(Scale!$AD57="",Scale!$AD57=0),"",Scale!$D57)</f>
        <v/>
      </c>
      <c r="C201" s="80">
        <f>IF(OR(Scale!$AD57="",Scale!$AD57=0),"","باسکول")</f>
        <v/>
      </c>
      <c r="D201" s="80">
        <f>IF(OR(Scale!$AD57="",Scale!$AD57=0),"",Scale!$AD57)</f>
        <v/>
      </c>
      <c r="E201" s="81">
        <f>IF(OR(Scale!$AD57="",Scale!$AD57=0),"",IF(Scale!$AD57="","","مقابل پوز — "&amp;Scale!$E57))</f>
        <v/>
      </c>
      <c r="F201" s="83" t="n"/>
      <c r="G201" s="83" t="n"/>
      <c r="H201" s="83" t="n"/>
      <c r="I201" s="83" t="n"/>
      <c r="J201" s="83" t="n"/>
      <c r="K201" s="82">
        <f>IF(OR(Scale!$AD57="",Scale!$AD57=0),"",IF(Scale!$AE57="",0,Scale!$AE57)+IF(Scale!$AF57="",0,Scale!$AF57))</f>
        <v/>
      </c>
      <c r="L201" s="82">
        <f>IF(OR(Scale!$AD57="",Scale!$AD57=0),"",Scale!$AE57)</f>
        <v/>
      </c>
      <c r="M201" s="82">
        <f>IF(OR(Scale!$AD57="",Scale!$AD57=0),"",Scale!$AF57)</f>
        <v/>
      </c>
      <c r="N201" s="81">
        <f>IF(OR(Scale!$AD57="",Scale!$AD57=0),"","مقابل پوز")</f>
        <v/>
      </c>
      <c r="O201" s="81">
        <f>IF(OR(Scale!$AD57="",Scale!$AD57=0),"",IFERROR(VLOOKUP(Scale!$AD57,AcctTbl,3,0),""))</f>
        <v/>
      </c>
      <c r="P201" s="82">
        <f>IF(Scale!$AD57&lt;&gt;"X011","","BN02")</f>
        <v/>
      </c>
    </row>
    <row r="202" ht="20.25" customHeight="1">
      <c r="A202" s="80">
        <f>IF(OR(Scale!$U58="",Scale!$U58=0),"",Scale!$B58)</f>
        <v/>
      </c>
      <c r="B202" s="80">
        <f>IF(OR(Scale!$U58="",Scale!$U58=0),"",Scale!$D58)</f>
        <v/>
      </c>
      <c r="C202" s="80">
        <f>IF(OR(Scale!$U58="",Scale!$U58=0),"","باسکول")</f>
        <v/>
      </c>
      <c r="D202" s="80">
        <f>IF(OR(Scale!$U58="",Scale!$U58=0),"",Scale!$U58)</f>
        <v/>
      </c>
      <c r="E202" s="81">
        <f>IF(OR(Scale!$U58="",Scale!$U58=0),"",Scale!$T58)</f>
        <v/>
      </c>
      <c r="F202" s="81">
        <f>IF(OR(Scale!$U58="",Scale!$U58=0),"",Scale!$J58)</f>
        <v/>
      </c>
      <c r="G202" s="82">
        <f>IF(OR(Scale!$U58="",Scale!$U58=0),"",Scale!$M58)</f>
        <v/>
      </c>
      <c r="H202" s="82">
        <f>IF(OR(Scale!$U58="",Scale!$U58=0),"",Scale!$L58)</f>
        <v/>
      </c>
      <c r="I202" s="82">
        <f>IF(OR(Scale!$U58="",Scale!$U58=0),"",Scale!$N58)</f>
        <v/>
      </c>
      <c r="J202" s="82">
        <f>IF(OR(Scale!$U58="",Scale!$U58=0),"",Scale!$O58)</f>
        <v/>
      </c>
      <c r="K202" s="82">
        <f>IF(OR(Scale!$U58="",Scale!$U58=0),"",IF(Scale!$V58="",0,Scale!$V58)+IF(Scale!$W58="",0,Scale!$W58))</f>
        <v/>
      </c>
      <c r="L202" s="82">
        <f>IF(OR(Scale!$U58="",Scale!$U58=0),"",Scale!$V58)</f>
        <v/>
      </c>
      <c r="M202" s="82">
        <f>IF(OR(Scale!$U58="",Scale!$U58=0),"",Scale!$W58)</f>
        <v/>
      </c>
      <c r="N202" s="81">
        <f>IF(OR(Scale!$U58="",Scale!$U58=0),"",Scale!$E58)</f>
        <v/>
      </c>
      <c r="O202" s="81">
        <f>IF(OR(Scale!$U58="",Scale!$U58=0),"",IFERROR(VLOOKUP(Scale!$U58,AcctTbl,3,0),""))</f>
        <v/>
      </c>
      <c r="P202" s="82">
        <f>IF(Scale!$U58&lt;&gt;"X011","","BN02")</f>
        <v/>
      </c>
    </row>
    <row r="203" ht="20.25" customHeight="1">
      <c r="A203" s="80">
        <f>IF(OR(Scale!$X58="",Scale!$X58=0),"",Scale!$B58)</f>
        <v/>
      </c>
      <c r="B203" s="80">
        <f>IF(OR(Scale!$X58="",Scale!$X58=0),"",Scale!$D58)</f>
        <v/>
      </c>
      <c r="C203" s="80">
        <f>IF(OR(Scale!$X58="",Scale!$X58=0),"","باسکول")</f>
        <v/>
      </c>
      <c r="D203" s="80">
        <f>IF(OR(Scale!$X58="",Scale!$X58=0),"",Scale!$X58)</f>
        <v/>
      </c>
      <c r="E203" s="81">
        <f>IF(OR(Scale!$X58="",Scale!$X58=0),"",IF(Scale!$X58="","","مقابل: "&amp;Scale!$E58))</f>
        <v/>
      </c>
      <c r="F203" s="83" t="n"/>
      <c r="G203" s="83" t="n"/>
      <c r="H203" s="83" t="n"/>
      <c r="I203" s="83" t="n"/>
      <c r="J203" s="83" t="n"/>
      <c r="K203" s="82">
        <f>IF(OR(Scale!$X58="",Scale!$X58=0),"",IF(Scale!$Y58="",0,Scale!$Y58)+IF(Scale!$Z58="",0,Scale!$Z58))</f>
        <v/>
      </c>
      <c r="L203" s="82">
        <f>IF(OR(Scale!$X58="",Scale!$X58=0),"",Scale!$Y58)</f>
        <v/>
      </c>
      <c r="M203" s="82">
        <f>IF(OR(Scale!$X58="",Scale!$X58=0),"",Scale!$Z58)</f>
        <v/>
      </c>
      <c r="N203" s="81">
        <f>IF(OR(Scale!$X58="",Scale!$X58=0),"","مقابل")</f>
        <v/>
      </c>
      <c r="O203" s="81">
        <f>IF(OR(Scale!$X58="",Scale!$X58=0),"",IFERROR(VLOOKUP(Scale!$X58,AcctTbl,3,0),""))</f>
        <v/>
      </c>
      <c r="P203" s="82">
        <f>IF(Scale!$X58&lt;&gt;"X011","","BN02")</f>
        <v/>
      </c>
    </row>
    <row r="204" ht="20.25" customHeight="1">
      <c r="A204" s="80">
        <f>IF(OR(Scale!$AA58="",Scale!$AA58=0),"",Scale!$B58)</f>
        <v/>
      </c>
      <c r="B204" s="80">
        <f>IF(OR(Scale!$AA58="",Scale!$AA58=0),"",Scale!$D58)</f>
        <v/>
      </c>
      <c r="C204" s="80">
        <f>IF(OR(Scale!$AA58="",Scale!$AA58=0),"","باسکول")</f>
        <v/>
      </c>
      <c r="D204" s="80">
        <f>IF(OR(Scale!$AA58="",Scale!$AA58=0),"",Scale!$AA58)</f>
        <v/>
      </c>
      <c r="E204" s="81">
        <f>IF(OR(Scale!$AA58="",Scale!$AA58=0),"",IF(Scale!$AA58="","","پوز باسکول — "&amp;Scale!$E58))</f>
        <v/>
      </c>
      <c r="F204" s="83" t="n"/>
      <c r="G204" s="83" t="n"/>
      <c r="H204" s="83" t="n"/>
      <c r="I204" s="83" t="n"/>
      <c r="J204" s="83" t="n"/>
      <c r="K204" s="82">
        <f>IF(OR(Scale!$AA58="",Scale!$AA58=0),"",IF(Scale!$AB58="",0,Scale!$AB58)+IF(Scale!$AC58="",0,Scale!$AC58))</f>
        <v/>
      </c>
      <c r="L204" s="82">
        <f>IF(OR(Scale!$AA58="",Scale!$AA58=0),"",Scale!$AB58)</f>
        <v/>
      </c>
      <c r="M204" s="82">
        <f>IF(OR(Scale!$AA58="",Scale!$AA58=0),"",Scale!$AC58)</f>
        <v/>
      </c>
      <c r="N204" s="81">
        <f>IF(OR(Scale!$AA58="",Scale!$AA58=0),"","پوز")</f>
        <v/>
      </c>
      <c r="O204" s="81">
        <f>IF(OR(Scale!$AA58="",Scale!$AA58=0),"",IFERROR(VLOOKUP(Scale!$AA58,AcctTbl,3,0),""))</f>
        <v/>
      </c>
      <c r="P204" s="82">
        <f>IF(Scale!$AA58&lt;&gt;"X011","","BN02")</f>
        <v/>
      </c>
    </row>
    <row r="205" ht="20.25" customHeight="1">
      <c r="A205" s="80">
        <f>IF(OR(Scale!$AD58="",Scale!$AD58=0),"",Scale!$B58)</f>
        <v/>
      </c>
      <c r="B205" s="80">
        <f>IF(OR(Scale!$AD58="",Scale!$AD58=0),"",Scale!$D58)</f>
        <v/>
      </c>
      <c r="C205" s="80">
        <f>IF(OR(Scale!$AD58="",Scale!$AD58=0),"","باسکول")</f>
        <v/>
      </c>
      <c r="D205" s="80">
        <f>IF(OR(Scale!$AD58="",Scale!$AD58=0),"",Scale!$AD58)</f>
        <v/>
      </c>
      <c r="E205" s="81">
        <f>IF(OR(Scale!$AD58="",Scale!$AD58=0),"",IF(Scale!$AD58="","","مقابل پوز — "&amp;Scale!$E58))</f>
        <v/>
      </c>
      <c r="F205" s="83" t="n"/>
      <c r="G205" s="83" t="n"/>
      <c r="H205" s="83" t="n"/>
      <c r="I205" s="83" t="n"/>
      <c r="J205" s="83" t="n"/>
      <c r="K205" s="82">
        <f>IF(OR(Scale!$AD58="",Scale!$AD58=0),"",IF(Scale!$AE58="",0,Scale!$AE58)+IF(Scale!$AF58="",0,Scale!$AF58))</f>
        <v/>
      </c>
      <c r="L205" s="82">
        <f>IF(OR(Scale!$AD58="",Scale!$AD58=0),"",Scale!$AE58)</f>
        <v/>
      </c>
      <c r="M205" s="82">
        <f>IF(OR(Scale!$AD58="",Scale!$AD58=0),"",Scale!$AF58)</f>
        <v/>
      </c>
      <c r="N205" s="81">
        <f>IF(OR(Scale!$AD58="",Scale!$AD58=0),"","مقابل پوز")</f>
        <v/>
      </c>
      <c r="O205" s="81">
        <f>IF(OR(Scale!$AD58="",Scale!$AD58=0),"",IFERROR(VLOOKUP(Scale!$AD58,AcctTbl,3,0),""))</f>
        <v/>
      </c>
      <c r="P205" s="82">
        <f>IF(Scale!$AD58&lt;&gt;"X011","","BN02")</f>
        <v/>
      </c>
    </row>
    <row r="206" ht="20.25" customHeight="1">
      <c r="A206" s="80">
        <f>IF(OR(Scale!$U59="",Scale!$U59=0),"",Scale!$B59)</f>
        <v/>
      </c>
      <c r="B206" s="80">
        <f>IF(OR(Scale!$U59="",Scale!$U59=0),"",Scale!$D59)</f>
        <v/>
      </c>
      <c r="C206" s="80">
        <f>IF(OR(Scale!$U59="",Scale!$U59=0),"","باسکول")</f>
        <v/>
      </c>
      <c r="D206" s="80">
        <f>IF(OR(Scale!$U59="",Scale!$U59=0),"",Scale!$U59)</f>
        <v/>
      </c>
      <c r="E206" s="81">
        <f>IF(OR(Scale!$U59="",Scale!$U59=0),"",Scale!$T59)</f>
        <v/>
      </c>
      <c r="F206" s="81">
        <f>IF(OR(Scale!$U59="",Scale!$U59=0),"",Scale!$J59)</f>
        <v/>
      </c>
      <c r="G206" s="82">
        <f>IF(OR(Scale!$U59="",Scale!$U59=0),"",Scale!$M59)</f>
        <v/>
      </c>
      <c r="H206" s="82">
        <f>IF(OR(Scale!$U59="",Scale!$U59=0),"",Scale!$L59)</f>
        <v/>
      </c>
      <c r="I206" s="82">
        <f>IF(OR(Scale!$U59="",Scale!$U59=0),"",Scale!$N59)</f>
        <v/>
      </c>
      <c r="J206" s="82">
        <f>IF(OR(Scale!$U59="",Scale!$U59=0),"",Scale!$O59)</f>
        <v/>
      </c>
      <c r="K206" s="82">
        <f>IF(OR(Scale!$U59="",Scale!$U59=0),"",IF(Scale!$V59="",0,Scale!$V59)+IF(Scale!$W59="",0,Scale!$W59))</f>
        <v/>
      </c>
      <c r="L206" s="82">
        <f>IF(OR(Scale!$U59="",Scale!$U59=0),"",Scale!$V59)</f>
        <v/>
      </c>
      <c r="M206" s="82">
        <f>IF(OR(Scale!$U59="",Scale!$U59=0),"",Scale!$W59)</f>
        <v/>
      </c>
      <c r="N206" s="81">
        <f>IF(OR(Scale!$U59="",Scale!$U59=0),"",Scale!$E59)</f>
        <v/>
      </c>
      <c r="O206" s="81">
        <f>IF(OR(Scale!$U59="",Scale!$U59=0),"",IFERROR(VLOOKUP(Scale!$U59,AcctTbl,3,0),""))</f>
        <v/>
      </c>
      <c r="P206" s="82">
        <f>IF(Scale!$U59&lt;&gt;"X011","","BN02")</f>
        <v/>
      </c>
    </row>
    <row r="207" ht="20.25" customHeight="1">
      <c r="A207" s="80">
        <f>IF(OR(Scale!$X59="",Scale!$X59=0),"",Scale!$B59)</f>
        <v/>
      </c>
      <c r="B207" s="80">
        <f>IF(OR(Scale!$X59="",Scale!$X59=0),"",Scale!$D59)</f>
        <v/>
      </c>
      <c r="C207" s="80">
        <f>IF(OR(Scale!$X59="",Scale!$X59=0),"","باسکول")</f>
        <v/>
      </c>
      <c r="D207" s="80">
        <f>IF(OR(Scale!$X59="",Scale!$X59=0),"",Scale!$X59)</f>
        <v/>
      </c>
      <c r="E207" s="81">
        <f>IF(OR(Scale!$X59="",Scale!$X59=0),"",IF(Scale!$X59="","","مقابل: "&amp;Scale!$E59))</f>
        <v/>
      </c>
      <c r="F207" s="83" t="n"/>
      <c r="G207" s="83" t="n"/>
      <c r="H207" s="83" t="n"/>
      <c r="I207" s="83" t="n"/>
      <c r="J207" s="83" t="n"/>
      <c r="K207" s="82">
        <f>IF(OR(Scale!$X59="",Scale!$X59=0),"",IF(Scale!$Y59="",0,Scale!$Y59)+IF(Scale!$Z59="",0,Scale!$Z59))</f>
        <v/>
      </c>
      <c r="L207" s="82">
        <f>IF(OR(Scale!$X59="",Scale!$X59=0),"",Scale!$Y59)</f>
        <v/>
      </c>
      <c r="M207" s="82">
        <f>IF(OR(Scale!$X59="",Scale!$X59=0),"",Scale!$Z59)</f>
        <v/>
      </c>
      <c r="N207" s="81">
        <f>IF(OR(Scale!$X59="",Scale!$X59=0),"","مقابل")</f>
        <v/>
      </c>
      <c r="O207" s="81">
        <f>IF(OR(Scale!$X59="",Scale!$X59=0),"",IFERROR(VLOOKUP(Scale!$X59,AcctTbl,3,0),""))</f>
        <v/>
      </c>
      <c r="P207" s="82">
        <f>IF(Scale!$X59&lt;&gt;"X011","","BN02")</f>
        <v/>
      </c>
    </row>
    <row r="208" ht="20.25" customHeight="1">
      <c r="A208" s="80">
        <f>IF(OR(Scale!$AA59="",Scale!$AA59=0),"",Scale!$B59)</f>
        <v/>
      </c>
      <c r="B208" s="80">
        <f>IF(OR(Scale!$AA59="",Scale!$AA59=0),"",Scale!$D59)</f>
        <v/>
      </c>
      <c r="C208" s="80">
        <f>IF(OR(Scale!$AA59="",Scale!$AA59=0),"","باسکول")</f>
        <v/>
      </c>
      <c r="D208" s="80">
        <f>IF(OR(Scale!$AA59="",Scale!$AA59=0),"",Scale!$AA59)</f>
        <v/>
      </c>
      <c r="E208" s="81">
        <f>IF(OR(Scale!$AA59="",Scale!$AA59=0),"",IF(Scale!$AA59="","","پوز باسکول — "&amp;Scale!$E59))</f>
        <v/>
      </c>
      <c r="F208" s="83" t="n"/>
      <c r="G208" s="83" t="n"/>
      <c r="H208" s="83" t="n"/>
      <c r="I208" s="83" t="n"/>
      <c r="J208" s="83" t="n"/>
      <c r="K208" s="82">
        <f>IF(OR(Scale!$AA59="",Scale!$AA59=0),"",IF(Scale!$AB59="",0,Scale!$AB59)+IF(Scale!$AC59="",0,Scale!$AC59))</f>
        <v/>
      </c>
      <c r="L208" s="82">
        <f>IF(OR(Scale!$AA59="",Scale!$AA59=0),"",Scale!$AB59)</f>
        <v/>
      </c>
      <c r="M208" s="82">
        <f>IF(OR(Scale!$AA59="",Scale!$AA59=0),"",Scale!$AC59)</f>
        <v/>
      </c>
      <c r="N208" s="81">
        <f>IF(OR(Scale!$AA59="",Scale!$AA59=0),"","پوز")</f>
        <v/>
      </c>
      <c r="O208" s="81">
        <f>IF(OR(Scale!$AA59="",Scale!$AA59=0),"",IFERROR(VLOOKUP(Scale!$AA59,AcctTbl,3,0),""))</f>
        <v/>
      </c>
      <c r="P208" s="82">
        <f>IF(Scale!$AA59&lt;&gt;"X011","","BN02")</f>
        <v/>
      </c>
    </row>
    <row r="209" ht="20.25" customHeight="1">
      <c r="A209" s="80">
        <f>IF(OR(Scale!$AD59="",Scale!$AD59=0),"",Scale!$B59)</f>
        <v/>
      </c>
      <c r="B209" s="80">
        <f>IF(OR(Scale!$AD59="",Scale!$AD59=0),"",Scale!$D59)</f>
        <v/>
      </c>
      <c r="C209" s="80">
        <f>IF(OR(Scale!$AD59="",Scale!$AD59=0),"","باسکول")</f>
        <v/>
      </c>
      <c r="D209" s="80">
        <f>IF(OR(Scale!$AD59="",Scale!$AD59=0),"",Scale!$AD59)</f>
        <v/>
      </c>
      <c r="E209" s="81">
        <f>IF(OR(Scale!$AD59="",Scale!$AD59=0),"",IF(Scale!$AD59="","","مقابل پوز — "&amp;Scale!$E59))</f>
        <v/>
      </c>
      <c r="F209" s="83" t="n"/>
      <c r="G209" s="83" t="n"/>
      <c r="H209" s="83" t="n"/>
      <c r="I209" s="83" t="n"/>
      <c r="J209" s="83" t="n"/>
      <c r="K209" s="82">
        <f>IF(OR(Scale!$AD59="",Scale!$AD59=0),"",IF(Scale!$AE59="",0,Scale!$AE59)+IF(Scale!$AF59="",0,Scale!$AF59))</f>
        <v/>
      </c>
      <c r="L209" s="82">
        <f>IF(OR(Scale!$AD59="",Scale!$AD59=0),"",Scale!$AE59)</f>
        <v/>
      </c>
      <c r="M209" s="82">
        <f>IF(OR(Scale!$AD59="",Scale!$AD59=0),"",Scale!$AF59)</f>
        <v/>
      </c>
      <c r="N209" s="81">
        <f>IF(OR(Scale!$AD59="",Scale!$AD59=0),"","مقابل پوز")</f>
        <v/>
      </c>
      <c r="O209" s="81">
        <f>IF(OR(Scale!$AD59="",Scale!$AD59=0),"",IFERROR(VLOOKUP(Scale!$AD59,AcctTbl,3,0),""))</f>
        <v/>
      </c>
      <c r="P209" s="82">
        <f>IF(Scale!$AD59&lt;&gt;"X011","","BN02")</f>
        <v/>
      </c>
    </row>
    <row r="210" ht="20.25" customHeight="1">
      <c r="A210" s="80">
        <f>IF(OR(Scale!$U60="",Scale!$U60=0),"",Scale!$B60)</f>
        <v/>
      </c>
      <c r="B210" s="80">
        <f>IF(OR(Scale!$U60="",Scale!$U60=0),"",Scale!$D60)</f>
        <v/>
      </c>
      <c r="C210" s="80">
        <f>IF(OR(Scale!$U60="",Scale!$U60=0),"","باسکول")</f>
        <v/>
      </c>
      <c r="D210" s="80">
        <f>IF(OR(Scale!$U60="",Scale!$U60=0),"",Scale!$U60)</f>
        <v/>
      </c>
      <c r="E210" s="81">
        <f>IF(OR(Scale!$U60="",Scale!$U60=0),"",Scale!$T60)</f>
        <v/>
      </c>
      <c r="F210" s="81">
        <f>IF(OR(Scale!$U60="",Scale!$U60=0),"",Scale!$J60)</f>
        <v/>
      </c>
      <c r="G210" s="82">
        <f>IF(OR(Scale!$U60="",Scale!$U60=0),"",Scale!$M60)</f>
        <v/>
      </c>
      <c r="H210" s="82">
        <f>IF(OR(Scale!$U60="",Scale!$U60=0),"",Scale!$L60)</f>
        <v/>
      </c>
      <c r="I210" s="82">
        <f>IF(OR(Scale!$U60="",Scale!$U60=0),"",Scale!$N60)</f>
        <v/>
      </c>
      <c r="J210" s="82">
        <f>IF(OR(Scale!$U60="",Scale!$U60=0),"",Scale!$O60)</f>
        <v/>
      </c>
      <c r="K210" s="82">
        <f>IF(OR(Scale!$U60="",Scale!$U60=0),"",IF(Scale!$V60="",0,Scale!$V60)+IF(Scale!$W60="",0,Scale!$W60))</f>
        <v/>
      </c>
      <c r="L210" s="82">
        <f>IF(OR(Scale!$U60="",Scale!$U60=0),"",Scale!$V60)</f>
        <v/>
      </c>
      <c r="M210" s="82">
        <f>IF(OR(Scale!$U60="",Scale!$U60=0),"",Scale!$W60)</f>
        <v/>
      </c>
      <c r="N210" s="81">
        <f>IF(OR(Scale!$U60="",Scale!$U60=0),"",Scale!$E60)</f>
        <v/>
      </c>
      <c r="O210" s="81">
        <f>IF(OR(Scale!$U60="",Scale!$U60=0),"",IFERROR(VLOOKUP(Scale!$U60,AcctTbl,3,0),""))</f>
        <v/>
      </c>
      <c r="P210" s="82">
        <f>IF(Scale!$U60&lt;&gt;"X011","","BN02")</f>
        <v/>
      </c>
    </row>
    <row r="211" ht="20.25" customHeight="1">
      <c r="A211" s="80">
        <f>IF(OR(Scale!$X60="",Scale!$X60=0),"",Scale!$B60)</f>
        <v/>
      </c>
      <c r="B211" s="80">
        <f>IF(OR(Scale!$X60="",Scale!$X60=0),"",Scale!$D60)</f>
        <v/>
      </c>
      <c r="C211" s="80">
        <f>IF(OR(Scale!$X60="",Scale!$X60=0),"","باسکول")</f>
        <v/>
      </c>
      <c r="D211" s="80">
        <f>IF(OR(Scale!$X60="",Scale!$X60=0),"",Scale!$X60)</f>
        <v/>
      </c>
      <c r="E211" s="81">
        <f>IF(OR(Scale!$X60="",Scale!$X60=0),"",IF(Scale!$X60="","","مقابل: "&amp;Scale!$E60))</f>
        <v/>
      </c>
      <c r="F211" s="83" t="n"/>
      <c r="G211" s="83" t="n"/>
      <c r="H211" s="83" t="n"/>
      <c r="I211" s="83" t="n"/>
      <c r="J211" s="83" t="n"/>
      <c r="K211" s="82">
        <f>IF(OR(Scale!$X60="",Scale!$X60=0),"",IF(Scale!$Y60="",0,Scale!$Y60)+IF(Scale!$Z60="",0,Scale!$Z60))</f>
        <v/>
      </c>
      <c r="L211" s="82">
        <f>IF(OR(Scale!$X60="",Scale!$X60=0),"",Scale!$Y60)</f>
        <v/>
      </c>
      <c r="M211" s="82">
        <f>IF(OR(Scale!$X60="",Scale!$X60=0),"",Scale!$Z60)</f>
        <v/>
      </c>
      <c r="N211" s="81">
        <f>IF(OR(Scale!$X60="",Scale!$X60=0),"","مقابل")</f>
        <v/>
      </c>
      <c r="O211" s="81">
        <f>IF(OR(Scale!$X60="",Scale!$X60=0),"",IFERROR(VLOOKUP(Scale!$X60,AcctTbl,3,0),""))</f>
        <v/>
      </c>
      <c r="P211" s="82">
        <f>IF(Scale!$X60&lt;&gt;"X011","","BN02")</f>
        <v/>
      </c>
    </row>
    <row r="212" ht="20.25" customHeight="1">
      <c r="A212" s="80">
        <f>IF(OR(Scale!$AA60="",Scale!$AA60=0),"",Scale!$B60)</f>
        <v/>
      </c>
      <c r="B212" s="80">
        <f>IF(OR(Scale!$AA60="",Scale!$AA60=0),"",Scale!$D60)</f>
        <v/>
      </c>
      <c r="C212" s="80">
        <f>IF(OR(Scale!$AA60="",Scale!$AA60=0),"","باسکول")</f>
        <v/>
      </c>
      <c r="D212" s="80">
        <f>IF(OR(Scale!$AA60="",Scale!$AA60=0),"",Scale!$AA60)</f>
        <v/>
      </c>
      <c r="E212" s="81">
        <f>IF(OR(Scale!$AA60="",Scale!$AA60=0),"",IF(Scale!$AA60="","","پوز باسکول — "&amp;Scale!$E60))</f>
        <v/>
      </c>
      <c r="F212" s="83" t="n"/>
      <c r="G212" s="83" t="n"/>
      <c r="H212" s="83" t="n"/>
      <c r="I212" s="83" t="n"/>
      <c r="J212" s="83" t="n"/>
      <c r="K212" s="82">
        <f>IF(OR(Scale!$AA60="",Scale!$AA60=0),"",IF(Scale!$AB60="",0,Scale!$AB60)+IF(Scale!$AC60="",0,Scale!$AC60))</f>
        <v/>
      </c>
      <c r="L212" s="82">
        <f>IF(OR(Scale!$AA60="",Scale!$AA60=0),"",Scale!$AB60)</f>
        <v/>
      </c>
      <c r="M212" s="82">
        <f>IF(OR(Scale!$AA60="",Scale!$AA60=0),"",Scale!$AC60)</f>
        <v/>
      </c>
      <c r="N212" s="81">
        <f>IF(OR(Scale!$AA60="",Scale!$AA60=0),"","پوز")</f>
        <v/>
      </c>
      <c r="O212" s="81">
        <f>IF(OR(Scale!$AA60="",Scale!$AA60=0),"",IFERROR(VLOOKUP(Scale!$AA60,AcctTbl,3,0),""))</f>
        <v/>
      </c>
      <c r="P212" s="82">
        <f>IF(Scale!$AA60&lt;&gt;"X011","","BN02")</f>
        <v/>
      </c>
    </row>
    <row r="213" ht="20.25" customHeight="1">
      <c r="A213" s="80">
        <f>IF(OR(Scale!$AD60="",Scale!$AD60=0),"",Scale!$B60)</f>
        <v/>
      </c>
      <c r="B213" s="80">
        <f>IF(OR(Scale!$AD60="",Scale!$AD60=0),"",Scale!$D60)</f>
        <v/>
      </c>
      <c r="C213" s="80">
        <f>IF(OR(Scale!$AD60="",Scale!$AD60=0),"","باسکول")</f>
        <v/>
      </c>
      <c r="D213" s="80">
        <f>IF(OR(Scale!$AD60="",Scale!$AD60=0),"",Scale!$AD60)</f>
        <v/>
      </c>
      <c r="E213" s="81">
        <f>IF(OR(Scale!$AD60="",Scale!$AD60=0),"",IF(Scale!$AD60="","","مقابل پوز — "&amp;Scale!$E60))</f>
        <v/>
      </c>
      <c r="F213" s="83" t="n"/>
      <c r="G213" s="83" t="n"/>
      <c r="H213" s="83" t="n"/>
      <c r="I213" s="83" t="n"/>
      <c r="J213" s="83" t="n"/>
      <c r="K213" s="82">
        <f>IF(OR(Scale!$AD60="",Scale!$AD60=0),"",IF(Scale!$AE60="",0,Scale!$AE60)+IF(Scale!$AF60="",0,Scale!$AF60))</f>
        <v/>
      </c>
      <c r="L213" s="82">
        <f>IF(OR(Scale!$AD60="",Scale!$AD60=0),"",Scale!$AE60)</f>
        <v/>
      </c>
      <c r="M213" s="82">
        <f>IF(OR(Scale!$AD60="",Scale!$AD60=0),"",Scale!$AF60)</f>
        <v/>
      </c>
      <c r="N213" s="81">
        <f>IF(OR(Scale!$AD60="",Scale!$AD60=0),"","مقابل پوز")</f>
        <v/>
      </c>
      <c r="O213" s="81">
        <f>IF(OR(Scale!$AD60="",Scale!$AD60=0),"",IFERROR(VLOOKUP(Scale!$AD60,AcctTbl,3,0),""))</f>
        <v/>
      </c>
      <c r="P213" s="82">
        <f>IF(Scale!$AD60&lt;&gt;"X011","","BN02")</f>
        <v/>
      </c>
    </row>
    <row r="214" ht="20.25" customHeight="1">
      <c r="A214" s="80">
        <f>IF(OR(Scale!$U61="",Scale!$U61=0),"",Scale!$B61)</f>
        <v/>
      </c>
      <c r="B214" s="80">
        <f>IF(OR(Scale!$U61="",Scale!$U61=0),"",Scale!$D61)</f>
        <v/>
      </c>
      <c r="C214" s="80">
        <f>IF(OR(Scale!$U61="",Scale!$U61=0),"","باسکول")</f>
        <v/>
      </c>
      <c r="D214" s="80">
        <f>IF(OR(Scale!$U61="",Scale!$U61=0),"",Scale!$U61)</f>
        <v/>
      </c>
      <c r="E214" s="81">
        <f>IF(OR(Scale!$U61="",Scale!$U61=0),"",Scale!$T61)</f>
        <v/>
      </c>
      <c r="F214" s="81">
        <f>IF(OR(Scale!$U61="",Scale!$U61=0),"",Scale!$J61)</f>
        <v/>
      </c>
      <c r="G214" s="82">
        <f>IF(OR(Scale!$U61="",Scale!$U61=0),"",Scale!$M61)</f>
        <v/>
      </c>
      <c r="H214" s="82">
        <f>IF(OR(Scale!$U61="",Scale!$U61=0),"",Scale!$L61)</f>
        <v/>
      </c>
      <c r="I214" s="82">
        <f>IF(OR(Scale!$U61="",Scale!$U61=0),"",Scale!$N61)</f>
        <v/>
      </c>
      <c r="J214" s="82">
        <f>IF(OR(Scale!$U61="",Scale!$U61=0),"",Scale!$O61)</f>
        <v/>
      </c>
      <c r="K214" s="82">
        <f>IF(OR(Scale!$U61="",Scale!$U61=0),"",IF(Scale!$V61="",0,Scale!$V61)+IF(Scale!$W61="",0,Scale!$W61))</f>
        <v/>
      </c>
      <c r="L214" s="82">
        <f>IF(OR(Scale!$U61="",Scale!$U61=0),"",Scale!$V61)</f>
        <v/>
      </c>
      <c r="M214" s="82">
        <f>IF(OR(Scale!$U61="",Scale!$U61=0),"",Scale!$W61)</f>
        <v/>
      </c>
      <c r="N214" s="81">
        <f>IF(OR(Scale!$U61="",Scale!$U61=0),"",Scale!$E61)</f>
        <v/>
      </c>
      <c r="O214" s="81">
        <f>IF(OR(Scale!$U61="",Scale!$U61=0),"",IFERROR(VLOOKUP(Scale!$U61,AcctTbl,3,0),""))</f>
        <v/>
      </c>
      <c r="P214" s="82">
        <f>IF(Scale!$U61&lt;&gt;"X011","","BN02")</f>
        <v/>
      </c>
    </row>
    <row r="215" ht="20.25" customHeight="1">
      <c r="A215" s="80">
        <f>IF(OR(Scale!$X61="",Scale!$X61=0),"",Scale!$B61)</f>
        <v/>
      </c>
      <c r="B215" s="80">
        <f>IF(OR(Scale!$X61="",Scale!$X61=0),"",Scale!$D61)</f>
        <v/>
      </c>
      <c r="C215" s="80">
        <f>IF(OR(Scale!$X61="",Scale!$X61=0),"","باسکول")</f>
        <v/>
      </c>
      <c r="D215" s="80">
        <f>IF(OR(Scale!$X61="",Scale!$X61=0),"",Scale!$X61)</f>
        <v/>
      </c>
      <c r="E215" s="81">
        <f>IF(OR(Scale!$X61="",Scale!$X61=0),"",IF(Scale!$X61="","","مقابل: "&amp;Scale!$E61))</f>
        <v/>
      </c>
      <c r="F215" s="83" t="n"/>
      <c r="G215" s="83" t="n"/>
      <c r="H215" s="83" t="n"/>
      <c r="I215" s="83" t="n"/>
      <c r="J215" s="83" t="n"/>
      <c r="K215" s="82">
        <f>IF(OR(Scale!$X61="",Scale!$X61=0),"",IF(Scale!$Y61="",0,Scale!$Y61)+IF(Scale!$Z61="",0,Scale!$Z61))</f>
        <v/>
      </c>
      <c r="L215" s="82">
        <f>IF(OR(Scale!$X61="",Scale!$X61=0),"",Scale!$Y61)</f>
        <v/>
      </c>
      <c r="M215" s="82">
        <f>IF(OR(Scale!$X61="",Scale!$X61=0),"",Scale!$Z61)</f>
        <v/>
      </c>
      <c r="N215" s="81">
        <f>IF(OR(Scale!$X61="",Scale!$X61=0),"","مقابل")</f>
        <v/>
      </c>
      <c r="O215" s="81">
        <f>IF(OR(Scale!$X61="",Scale!$X61=0),"",IFERROR(VLOOKUP(Scale!$X61,AcctTbl,3,0),""))</f>
        <v/>
      </c>
      <c r="P215" s="82">
        <f>IF(Scale!$X61&lt;&gt;"X011","","BN02")</f>
        <v/>
      </c>
    </row>
    <row r="216" ht="20.25" customHeight="1">
      <c r="A216" s="80">
        <f>IF(OR(Scale!$AA61="",Scale!$AA61=0),"",Scale!$B61)</f>
        <v/>
      </c>
      <c r="B216" s="80">
        <f>IF(OR(Scale!$AA61="",Scale!$AA61=0),"",Scale!$D61)</f>
        <v/>
      </c>
      <c r="C216" s="80">
        <f>IF(OR(Scale!$AA61="",Scale!$AA61=0),"","باسکول")</f>
        <v/>
      </c>
      <c r="D216" s="80">
        <f>IF(OR(Scale!$AA61="",Scale!$AA61=0),"",Scale!$AA61)</f>
        <v/>
      </c>
      <c r="E216" s="81">
        <f>IF(OR(Scale!$AA61="",Scale!$AA61=0),"",IF(Scale!$AA61="","","پوز باسکول — "&amp;Scale!$E61))</f>
        <v/>
      </c>
      <c r="F216" s="83" t="n"/>
      <c r="G216" s="83" t="n"/>
      <c r="H216" s="83" t="n"/>
      <c r="I216" s="83" t="n"/>
      <c r="J216" s="83" t="n"/>
      <c r="K216" s="82">
        <f>IF(OR(Scale!$AA61="",Scale!$AA61=0),"",IF(Scale!$AB61="",0,Scale!$AB61)+IF(Scale!$AC61="",0,Scale!$AC61))</f>
        <v/>
      </c>
      <c r="L216" s="82">
        <f>IF(OR(Scale!$AA61="",Scale!$AA61=0),"",Scale!$AB61)</f>
        <v/>
      </c>
      <c r="M216" s="82">
        <f>IF(OR(Scale!$AA61="",Scale!$AA61=0),"",Scale!$AC61)</f>
        <v/>
      </c>
      <c r="N216" s="81">
        <f>IF(OR(Scale!$AA61="",Scale!$AA61=0),"","پوز")</f>
        <v/>
      </c>
      <c r="O216" s="81">
        <f>IF(OR(Scale!$AA61="",Scale!$AA61=0),"",IFERROR(VLOOKUP(Scale!$AA61,AcctTbl,3,0),""))</f>
        <v/>
      </c>
      <c r="P216" s="82">
        <f>IF(Scale!$AA61&lt;&gt;"X011","","BN02")</f>
        <v/>
      </c>
    </row>
    <row r="217" ht="20.25" customHeight="1">
      <c r="A217" s="80">
        <f>IF(OR(Scale!$AD61="",Scale!$AD61=0),"",Scale!$B61)</f>
        <v/>
      </c>
      <c r="B217" s="80">
        <f>IF(OR(Scale!$AD61="",Scale!$AD61=0),"",Scale!$D61)</f>
        <v/>
      </c>
      <c r="C217" s="80">
        <f>IF(OR(Scale!$AD61="",Scale!$AD61=0),"","باسکول")</f>
        <v/>
      </c>
      <c r="D217" s="80">
        <f>IF(OR(Scale!$AD61="",Scale!$AD61=0),"",Scale!$AD61)</f>
        <v/>
      </c>
      <c r="E217" s="81">
        <f>IF(OR(Scale!$AD61="",Scale!$AD61=0),"",IF(Scale!$AD61="","","مقابل پوز — "&amp;Scale!$E61))</f>
        <v/>
      </c>
      <c r="F217" s="83" t="n"/>
      <c r="G217" s="83" t="n"/>
      <c r="H217" s="83" t="n"/>
      <c r="I217" s="83" t="n"/>
      <c r="J217" s="83" t="n"/>
      <c r="K217" s="82">
        <f>IF(OR(Scale!$AD61="",Scale!$AD61=0),"",IF(Scale!$AE61="",0,Scale!$AE61)+IF(Scale!$AF61="",0,Scale!$AF61))</f>
        <v/>
      </c>
      <c r="L217" s="82">
        <f>IF(OR(Scale!$AD61="",Scale!$AD61=0),"",Scale!$AE61)</f>
        <v/>
      </c>
      <c r="M217" s="82">
        <f>IF(OR(Scale!$AD61="",Scale!$AD61=0),"",Scale!$AF61)</f>
        <v/>
      </c>
      <c r="N217" s="81">
        <f>IF(OR(Scale!$AD61="",Scale!$AD61=0),"","مقابل پوز")</f>
        <v/>
      </c>
      <c r="O217" s="81">
        <f>IF(OR(Scale!$AD61="",Scale!$AD61=0),"",IFERROR(VLOOKUP(Scale!$AD61,AcctTbl,3,0),""))</f>
        <v/>
      </c>
      <c r="P217" s="82">
        <f>IF(Scale!$AD61&lt;&gt;"X011","","BN02")</f>
        <v/>
      </c>
    </row>
    <row r="218" ht="20.25" customHeight="1">
      <c r="A218" s="80">
        <f>IF(OR(Scale!$U62="",Scale!$U62=0),"",Scale!$B62)</f>
        <v/>
      </c>
      <c r="B218" s="80">
        <f>IF(OR(Scale!$U62="",Scale!$U62=0),"",Scale!$D62)</f>
        <v/>
      </c>
      <c r="C218" s="80">
        <f>IF(OR(Scale!$U62="",Scale!$U62=0),"","باسکول")</f>
        <v/>
      </c>
      <c r="D218" s="80">
        <f>IF(OR(Scale!$U62="",Scale!$U62=0),"",Scale!$U62)</f>
        <v/>
      </c>
      <c r="E218" s="81">
        <f>IF(OR(Scale!$U62="",Scale!$U62=0),"",Scale!$T62)</f>
        <v/>
      </c>
      <c r="F218" s="81">
        <f>IF(OR(Scale!$U62="",Scale!$U62=0),"",Scale!$J62)</f>
        <v/>
      </c>
      <c r="G218" s="82">
        <f>IF(OR(Scale!$U62="",Scale!$U62=0),"",Scale!$M62)</f>
        <v/>
      </c>
      <c r="H218" s="82">
        <f>IF(OR(Scale!$U62="",Scale!$U62=0),"",Scale!$L62)</f>
        <v/>
      </c>
      <c r="I218" s="82">
        <f>IF(OR(Scale!$U62="",Scale!$U62=0),"",Scale!$N62)</f>
        <v/>
      </c>
      <c r="J218" s="82">
        <f>IF(OR(Scale!$U62="",Scale!$U62=0),"",Scale!$O62)</f>
        <v/>
      </c>
      <c r="K218" s="82">
        <f>IF(OR(Scale!$U62="",Scale!$U62=0),"",IF(Scale!$V62="",0,Scale!$V62)+IF(Scale!$W62="",0,Scale!$W62))</f>
        <v/>
      </c>
      <c r="L218" s="82">
        <f>IF(OR(Scale!$U62="",Scale!$U62=0),"",Scale!$V62)</f>
        <v/>
      </c>
      <c r="M218" s="82">
        <f>IF(OR(Scale!$U62="",Scale!$U62=0),"",Scale!$W62)</f>
        <v/>
      </c>
      <c r="N218" s="81">
        <f>IF(OR(Scale!$U62="",Scale!$U62=0),"",Scale!$E62)</f>
        <v/>
      </c>
      <c r="O218" s="81">
        <f>IF(OR(Scale!$U62="",Scale!$U62=0),"",IFERROR(VLOOKUP(Scale!$U62,AcctTbl,3,0),""))</f>
        <v/>
      </c>
      <c r="P218" s="82">
        <f>IF(Scale!$U62&lt;&gt;"X011","","BN02")</f>
        <v/>
      </c>
    </row>
    <row r="219" ht="20.25" customHeight="1">
      <c r="A219" s="80">
        <f>IF(OR(Scale!$X62="",Scale!$X62=0),"",Scale!$B62)</f>
        <v/>
      </c>
      <c r="B219" s="80">
        <f>IF(OR(Scale!$X62="",Scale!$X62=0),"",Scale!$D62)</f>
        <v/>
      </c>
      <c r="C219" s="80">
        <f>IF(OR(Scale!$X62="",Scale!$X62=0),"","باسکول")</f>
        <v/>
      </c>
      <c r="D219" s="80">
        <f>IF(OR(Scale!$X62="",Scale!$X62=0),"",Scale!$X62)</f>
        <v/>
      </c>
      <c r="E219" s="81">
        <f>IF(OR(Scale!$X62="",Scale!$X62=0),"",IF(Scale!$X62="","","مقابل: "&amp;Scale!$E62))</f>
        <v/>
      </c>
      <c r="F219" s="83" t="n"/>
      <c r="G219" s="83" t="n"/>
      <c r="H219" s="83" t="n"/>
      <c r="I219" s="83" t="n"/>
      <c r="J219" s="83" t="n"/>
      <c r="K219" s="82">
        <f>IF(OR(Scale!$X62="",Scale!$X62=0),"",IF(Scale!$Y62="",0,Scale!$Y62)+IF(Scale!$Z62="",0,Scale!$Z62))</f>
        <v/>
      </c>
      <c r="L219" s="82">
        <f>IF(OR(Scale!$X62="",Scale!$X62=0),"",Scale!$Y62)</f>
        <v/>
      </c>
      <c r="M219" s="82">
        <f>IF(OR(Scale!$X62="",Scale!$X62=0),"",Scale!$Z62)</f>
        <v/>
      </c>
      <c r="N219" s="81">
        <f>IF(OR(Scale!$X62="",Scale!$X62=0),"","مقابل")</f>
        <v/>
      </c>
      <c r="O219" s="81">
        <f>IF(OR(Scale!$X62="",Scale!$X62=0),"",IFERROR(VLOOKUP(Scale!$X62,AcctTbl,3,0),""))</f>
        <v/>
      </c>
      <c r="P219" s="82">
        <f>IF(Scale!$X62&lt;&gt;"X011","","BN02")</f>
        <v/>
      </c>
    </row>
    <row r="220" ht="20.25" customHeight="1">
      <c r="A220" s="80">
        <f>IF(OR(Scale!$AA62="",Scale!$AA62=0),"",Scale!$B62)</f>
        <v/>
      </c>
      <c r="B220" s="80">
        <f>IF(OR(Scale!$AA62="",Scale!$AA62=0),"",Scale!$D62)</f>
        <v/>
      </c>
      <c r="C220" s="80">
        <f>IF(OR(Scale!$AA62="",Scale!$AA62=0),"","باسکول")</f>
        <v/>
      </c>
      <c r="D220" s="80">
        <f>IF(OR(Scale!$AA62="",Scale!$AA62=0),"",Scale!$AA62)</f>
        <v/>
      </c>
      <c r="E220" s="81">
        <f>IF(OR(Scale!$AA62="",Scale!$AA62=0),"",IF(Scale!$AA62="","","پوز باسکول — "&amp;Scale!$E62))</f>
        <v/>
      </c>
      <c r="F220" s="83" t="n"/>
      <c r="G220" s="83" t="n"/>
      <c r="H220" s="83" t="n"/>
      <c r="I220" s="83" t="n"/>
      <c r="J220" s="83" t="n"/>
      <c r="K220" s="82">
        <f>IF(OR(Scale!$AA62="",Scale!$AA62=0),"",IF(Scale!$AB62="",0,Scale!$AB62)+IF(Scale!$AC62="",0,Scale!$AC62))</f>
        <v/>
      </c>
      <c r="L220" s="82">
        <f>IF(OR(Scale!$AA62="",Scale!$AA62=0),"",Scale!$AB62)</f>
        <v/>
      </c>
      <c r="M220" s="82">
        <f>IF(OR(Scale!$AA62="",Scale!$AA62=0),"",Scale!$AC62)</f>
        <v/>
      </c>
      <c r="N220" s="81">
        <f>IF(OR(Scale!$AA62="",Scale!$AA62=0),"","پوز")</f>
        <v/>
      </c>
      <c r="O220" s="81">
        <f>IF(OR(Scale!$AA62="",Scale!$AA62=0),"",IFERROR(VLOOKUP(Scale!$AA62,AcctTbl,3,0),""))</f>
        <v/>
      </c>
      <c r="P220" s="82">
        <f>IF(Scale!$AA62&lt;&gt;"X011","","BN02")</f>
        <v/>
      </c>
    </row>
    <row r="221" ht="20.25" customHeight="1">
      <c r="A221" s="80">
        <f>IF(OR(Scale!$AD62="",Scale!$AD62=0),"",Scale!$B62)</f>
        <v/>
      </c>
      <c r="B221" s="80">
        <f>IF(OR(Scale!$AD62="",Scale!$AD62=0),"",Scale!$D62)</f>
        <v/>
      </c>
      <c r="C221" s="80">
        <f>IF(OR(Scale!$AD62="",Scale!$AD62=0),"","باسکول")</f>
        <v/>
      </c>
      <c r="D221" s="80">
        <f>IF(OR(Scale!$AD62="",Scale!$AD62=0),"",Scale!$AD62)</f>
        <v/>
      </c>
      <c r="E221" s="81">
        <f>IF(OR(Scale!$AD62="",Scale!$AD62=0),"",IF(Scale!$AD62="","","مقابل پوز — "&amp;Scale!$E62))</f>
        <v/>
      </c>
      <c r="F221" s="83" t="n"/>
      <c r="G221" s="83" t="n"/>
      <c r="H221" s="83" t="n"/>
      <c r="I221" s="83" t="n"/>
      <c r="J221" s="83" t="n"/>
      <c r="K221" s="82">
        <f>IF(OR(Scale!$AD62="",Scale!$AD62=0),"",IF(Scale!$AE62="",0,Scale!$AE62)+IF(Scale!$AF62="",0,Scale!$AF62))</f>
        <v/>
      </c>
      <c r="L221" s="82">
        <f>IF(OR(Scale!$AD62="",Scale!$AD62=0),"",Scale!$AE62)</f>
        <v/>
      </c>
      <c r="M221" s="82">
        <f>IF(OR(Scale!$AD62="",Scale!$AD62=0),"",Scale!$AF62)</f>
        <v/>
      </c>
      <c r="N221" s="81">
        <f>IF(OR(Scale!$AD62="",Scale!$AD62=0),"","مقابل پوز")</f>
        <v/>
      </c>
      <c r="O221" s="81">
        <f>IF(OR(Scale!$AD62="",Scale!$AD62=0),"",IFERROR(VLOOKUP(Scale!$AD62,AcctTbl,3,0),""))</f>
        <v/>
      </c>
      <c r="P221" s="82">
        <f>IF(Scale!$AD62&lt;&gt;"X011","","BN02")</f>
        <v/>
      </c>
    </row>
    <row r="222" ht="20.25" customHeight="1">
      <c r="A222" s="80">
        <f>IF(OR(Scale!$U63="",Scale!$U63=0),"",Scale!$B63)</f>
        <v/>
      </c>
      <c r="B222" s="80">
        <f>IF(OR(Scale!$U63="",Scale!$U63=0),"",Scale!$D63)</f>
        <v/>
      </c>
      <c r="C222" s="80">
        <f>IF(OR(Scale!$U63="",Scale!$U63=0),"","باسکول")</f>
        <v/>
      </c>
      <c r="D222" s="80">
        <f>IF(OR(Scale!$U63="",Scale!$U63=0),"",Scale!$U63)</f>
        <v/>
      </c>
      <c r="E222" s="81">
        <f>IF(OR(Scale!$U63="",Scale!$U63=0),"",Scale!$T63)</f>
        <v/>
      </c>
      <c r="F222" s="81">
        <f>IF(OR(Scale!$U63="",Scale!$U63=0),"",Scale!$J63)</f>
        <v/>
      </c>
      <c r="G222" s="82">
        <f>IF(OR(Scale!$U63="",Scale!$U63=0),"",Scale!$M63)</f>
        <v/>
      </c>
      <c r="H222" s="82">
        <f>IF(OR(Scale!$U63="",Scale!$U63=0),"",Scale!$L63)</f>
        <v/>
      </c>
      <c r="I222" s="82">
        <f>IF(OR(Scale!$U63="",Scale!$U63=0),"",Scale!$N63)</f>
        <v/>
      </c>
      <c r="J222" s="82">
        <f>IF(OR(Scale!$U63="",Scale!$U63=0),"",Scale!$O63)</f>
        <v/>
      </c>
      <c r="K222" s="82">
        <f>IF(OR(Scale!$U63="",Scale!$U63=0),"",IF(Scale!$V63="",0,Scale!$V63)+IF(Scale!$W63="",0,Scale!$W63))</f>
        <v/>
      </c>
      <c r="L222" s="82">
        <f>IF(OR(Scale!$U63="",Scale!$U63=0),"",Scale!$V63)</f>
        <v/>
      </c>
      <c r="M222" s="82">
        <f>IF(OR(Scale!$U63="",Scale!$U63=0),"",Scale!$W63)</f>
        <v/>
      </c>
      <c r="N222" s="81">
        <f>IF(OR(Scale!$U63="",Scale!$U63=0),"",Scale!$E63)</f>
        <v/>
      </c>
      <c r="O222" s="81">
        <f>IF(OR(Scale!$U63="",Scale!$U63=0),"",IFERROR(VLOOKUP(Scale!$U63,AcctTbl,3,0),""))</f>
        <v/>
      </c>
      <c r="P222" s="82">
        <f>IF(Scale!$U63&lt;&gt;"X011","","BN02")</f>
        <v/>
      </c>
    </row>
    <row r="223" ht="20.25" customHeight="1">
      <c r="A223" s="80">
        <f>IF(OR(Scale!$X63="",Scale!$X63=0),"",Scale!$B63)</f>
        <v/>
      </c>
      <c r="B223" s="80">
        <f>IF(OR(Scale!$X63="",Scale!$X63=0),"",Scale!$D63)</f>
        <v/>
      </c>
      <c r="C223" s="80">
        <f>IF(OR(Scale!$X63="",Scale!$X63=0),"","باسکول")</f>
        <v/>
      </c>
      <c r="D223" s="80">
        <f>IF(OR(Scale!$X63="",Scale!$X63=0),"",Scale!$X63)</f>
        <v/>
      </c>
      <c r="E223" s="81">
        <f>IF(OR(Scale!$X63="",Scale!$X63=0),"",IF(Scale!$X63="","","مقابل: "&amp;Scale!$E63))</f>
        <v/>
      </c>
      <c r="F223" s="83" t="n"/>
      <c r="G223" s="83" t="n"/>
      <c r="H223" s="83" t="n"/>
      <c r="I223" s="83" t="n"/>
      <c r="J223" s="83" t="n"/>
      <c r="K223" s="82">
        <f>IF(OR(Scale!$X63="",Scale!$X63=0),"",IF(Scale!$Y63="",0,Scale!$Y63)+IF(Scale!$Z63="",0,Scale!$Z63))</f>
        <v/>
      </c>
      <c r="L223" s="82">
        <f>IF(OR(Scale!$X63="",Scale!$X63=0),"",Scale!$Y63)</f>
        <v/>
      </c>
      <c r="M223" s="82">
        <f>IF(OR(Scale!$X63="",Scale!$X63=0),"",Scale!$Z63)</f>
        <v/>
      </c>
      <c r="N223" s="81">
        <f>IF(OR(Scale!$X63="",Scale!$X63=0),"","مقابل")</f>
        <v/>
      </c>
      <c r="O223" s="81">
        <f>IF(OR(Scale!$X63="",Scale!$X63=0),"",IFERROR(VLOOKUP(Scale!$X63,AcctTbl,3,0),""))</f>
        <v/>
      </c>
      <c r="P223" s="82">
        <f>IF(Scale!$X63&lt;&gt;"X011","","BN02")</f>
        <v/>
      </c>
    </row>
    <row r="224" ht="20.25" customHeight="1">
      <c r="A224" s="80">
        <f>IF(OR(Scale!$AA63="",Scale!$AA63=0),"",Scale!$B63)</f>
        <v/>
      </c>
      <c r="B224" s="80">
        <f>IF(OR(Scale!$AA63="",Scale!$AA63=0),"",Scale!$D63)</f>
        <v/>
      </c>
      <c r="C224" s="80">
        <f>IF(OR(Scale!$AA63="",Scale!$AA63=0),"","باسکول")</f>
        <v/>
      </c>
      <c r="D224" s="80">
        <f>IF(OR(Scale!$AA63="",Scale!$AA63=0),"",Scale!$AA63)</f>
        <v/>
      </c>
      <c r="E224" s="81">
        <f>IF(OR(Scale!$AA63="",Scale!$AA63=0),"",IF(Scale!$AA63="","","پوز باسکول — "&amp;Scale!$E63))</f>
        <v/>
      </c>
      <c r="F224" s="83" t="n"/>
      <c r="G224" s="83" t="n"/>
      <c r="H224" s="83" t="n"/>
      <c r="I224" s="83" t="n"/>
      <c r="J224" s="83" t="n"/>
      <c r="K224" s="82">
        <f>IF(OR(Scale!$AA63="",Scale!$AA63=0),"",IF(Scale!$AB63="",0,Scale!$AB63)+IF(Scale!$AC63="",0,Scale!$AC63))</f>
        <v/>
      </c>
      <c r="L224" s="82">
        <f>IF(OR(Scale!$AA63="",Scale!$AA63=0),"",Scale!$AB63)</f>
        <v/>
      </c>
      <c r="M224" s="82">
        <f>IF(OR(Scale!$AA63="",Scale!$AA63=0),"",Scale!$AC63)</f>
        <v/>
      </c>
      <c r="N224" s="81">
        <f>IF(OR(Scale!$AA63="",Scale!$AA63=0),"","پوز")</f>
        <v/>
      </c>
      <c r="O224" s="81">
        <f>IF(OR(Scale!$AA63="",Scale!$AA63=0),"",IFERROR(VLOOKUP(Scale!$AA63,AcctTbl,3,0),""))</f>
        <v/>
      </c>
      <c r="P224" s="82">
        <f>IF(Scale!$AA63&lt;&gt;"X011","","BN02")</f>
        <v/>
      </c>
    </row>
    <row r="225" ht="20.25" customHeight="1">
      <c r="A225" s="80">
        <f>IF(OR(Scale!$AD63="",Scale!$AD63=0),"",Scale!$B63)</f>
        <v/>
      </c>
      <c r="B225" s="80">
        <f>IF(OR(Scale!$AD63="",Scale!$AD63=0),"",Scale!$D63)</f>
        <v/>
      </c>
      <c r="C225" s="80">
        <f>IF(OR(Scale!$AD63="",Scale!$AD63=0),"","باسکول")</f>
        <v/>
      </c>
      <c r="D225" s="80">
        <f>IF(OR(Scale!$AD63="",Scale!$AD63=0),"",Scale!$AD63)</f>
        <v/>
      </c>
      <c r="E225" s="81">
        <f>IF(OR(Scale!$AD63="",Scale!$AD63=0),"",IF(Scale!$AD63="","","مقابل پوز — "&amp;Scale!$E63))</f>
        <v/>
      </c>
      <c r="F225" s="83" t="n"/>
      <c r="G225" s="83" t="n"/>
      <c r="H225" s="83" t="n"/>
      <c r="I225" s="83" t="n"/>
      <c r="J225" s="83" t="n"/>
      <c r="K225" s="82">
        <f>IF(OR(Scale!$AD63="",Scale!$AD63=0),"",IF(Scale!$AE63="",0,Scale!$AE63)+IF(Scale!$AF63="",0,Scale!$AF63))</f>
        <v/>
      </c>
      <c r="L225" s="82">
        <f>IF(OR(Scale!$AD63="",Scale!$AD63=0),"",Scale!$AE63)</f>
        <v/>
      </c>
      <c r="M225" s="82">
        <f>IF(OR(Scale!$AD63="",Scale!$AD63=0),"",Scale!$AF63)</f>
        <v/>
      </c>
      <c r="N225" s="81">
        <f>IF(OR(Scale!$AD63="",Scale!$AD63=0),"","مقابل پوز")</f>
        <v/>
      </c>
      <c r="O225" s="81">
        <f>IF(OR(Scale!$AD63="",Scale!$AD63=0),"",IFERROR(VLOOKUP(Scale!$AD63,AcctTbl,3,0),""))</f>
        <v/>
      </c>
      <c r="P225" s="82">
        <f>IF(Scale!$AD63&lt;&gt;"X011","","BN02")</f>
        <v/>
      </c>
    </row>
    <row r="226" ht="20.25" customHeight="1">
      <c r="A226" s="80">
        <f>IF(OR(Scale!$U64="",Scale!$U64=0),"",Scale!$B64)</f>
        <v/>
      </c>
      <c r="B226" s="80">
        <f>IF(OR(Scale!$U64="",Scale!$U64=0),"",Scale!$D64)</f>
        <v/>
      </c>
      <c r="C226" s="80">
        <f>IF(OR(Scale!$U64="",Scale!$U64=0),"","باسکول")</f>
        <v/>
      </c>
      <c r="D226" s="80">
        <f>IF(OR(Scale!$U64="",Scale!$U64=0),"",Scale!$U64)</f>
        <v/>
      </c>
      <c r="E226" s="81">
        <f>IF(OR(Scale!$U64="",Scale!$U64=0),"",Scale!$T64)</f>
        <v/>
      </c>
      <c r="F226" s="81">
        <f>IF(OR(Scale!$U64="",Scale!$U64=0),"",Scale!$J64)</f>
        <v/>
      </c>
      <c r="G226" s="82">
        <f>IF(OR(Scale!$U64="",Scale!$U64=0),"",Scale!$M64)</f>
        <v/>
      </c>
      <c r="H226" s="82">
        <f>IF(OR(Scale!$U64="",Scale!$U64=0),"",Scale!$L64)</f>
        <v/>
      </c>
      <c r="I226" s="82">
        <f>IF(OR(Scale!$U64="",Scale!$U64=0),"",Scale!$N64)</f>
        <v/>
      </c>
      <c r="J226" s="82">
        <f>IF(OR(Scale!$U64="",Scale!$U64=0),"",Scale!$O64)</f>
        <v/>
      </c>
      <c r="K226" s="82">
        <f>IF(OR(Scale!$U64="",Scale!$U64=0),"",IF(Scale!$V64="",0,Scale!$V64)+IF(Scale!$W64="",0,Scale!$W64))</f>
        <v/>
      </c>
      <c r="L226" s="82">
        <f>IF(OR(Scale!$U64="",Scale!$U64=0),"",Scale!$V64)</f>
        <v/>
      </c>
      <c r="M226" s="82">
        <f>IF(OR(Scale!$U64="",Scale!$U64=0),"",Scale!$W64)</f>
        <v/>
      </c>
      <c r="N226" s="81">
        <f>IF(OR(Scale!$U64="",Scale!$U64=0),"",Scale!$E64)</f>
        <v/>
      </c>
      <c r="O226" s="81">
        <f>IF(OR(Scale!$U64="",Scale!$U64=0),"",IFERROR(VLOOKUP(Scale!$U64,AcctTbl,3,0),""))</f>
        <v/>
      </c>
      <c r="P226" s="82">
        <f>IF(Scale!$U64&lt;&gt;"X011","","BN02")</f>
        <v/>
      </c>
    </row>
    <row r="227" ht="20.25" customHeight="1">
      <c r="A227" s="80">
        <f>IF(OR(Scale!$X64="",Scale!$X64=0),"",Scale!$B64)</f>
        <v/>
      </c>
      <c r="B227" s="80">
        <f>IF(OR(Scale!$X64="",Scale!$X64=0),"",Scale!$D64)</f>
        <v/>
      </c>
      <c r="C227" s="80">
        <f>IF(OR(Scale!$X64="",Scale!$X64=0),"","باسکول")</f>
        <v/>
      </c>
      <c r="D227" s="80">
        <f>IF(OR(Scale!$X64="",Scale!$X64=0),"",Scale!$X64)</f>
        <v/>
      </c>
      <c r="E227" s="81">
        <f>IF(OR(Scale!$X64="",Scale!$X64=0),"",IF(Scale!$X64="","","مقابل: "&amp;Scale!$E64))</f>
        <v/>
      </c>
      <c r="F227" s="83" t="n"/>
      <c r="G227" s="83" t="n"/>
      <c r="H227" s="83" t="n"/>
      <c r="I227" s="83" t="n"/>
      <c r="J227" s="83" t="n"/>
      <c r="K227" s="82">
        <f>IF(OR(Scale!$X64="",Scale!$X64=0),"",IF(Scale!$Y64="",0,Scale!$Y64)+IF(Scale!$Z64="",0,Scale!$Z64))</f>
        <v/>
      </c>
      <c r="L227" s="82">
        <f>IF(OR(Scale!$X64="",Scale!$X64=0),"",Scale!$Y64)</f>
        <v/>
      </c>
      <c r="M227" s="82">
        <f>IF(OR(Scale!$X64="",Scale!$X64=0),"",Scale!$Z64)</f>
        <v/>
      </c>
      <c r="N227" s="81">
        <f>IF(OR(Scale!$X64="",Scale!$X64=0),"","مقابل")</f>
        <v/>
      </c>
      <c r="O227" s="81">
        <f>IF(OR(Scale!$X64="",Scale!$X64=0),"",IFERROR(VLOOKUP(Scale!$X64,AcctTbl,3,0),""))</f>
        <v/>
      </c>
      <c r="P227" s="82">
        <f>IF(Scale!$X64&lt;&gt;"X011","","BN02")</f>
        <v/>
      </c>
    </row>
    <row r="228" ht="20.25" customHeight="1">
      <c r="A228" s="80">
        <f>IF(OR(Scale!$AA64="",Scale!$AA64=0),"",Scale!$B64)</f>
        <v/>
      </c>
      <c r="B228" s="80">
        <f>IF(OR(Scale!$AA64="",Scale!$AA64=0),"",Scale!$D64)</f>
        <v/>
      </c>
      <c r="C228" s="80">
        <f>IF(OR(Scale!$AA64="",Scale!$AA64=0),"","باسکول")</f>
        <v/>
      </c>
      <c r="D228" s="80">
        <f>IF(OR(Scale!$AA64="",Scale!$AA64=0),"",Scale!$AA64)</f>
        <v/>
      </c>
      <c r="E228" s="81">
        <f>IF(OR(Scale!$AA64="",Scale!$AA64=0),"",IF(Scale!$AA64="","","پوز باسکول — "&amp;Scale!$E64))</f>
        <v/>
      </c>
      <c r="F228" s="83" t="n"/>
      <c r="G228" s="83" t="n"/>
      <c r="H228" s="83" t="n"/>
      <c r="I228" s="83" t="n"/>
      <c r="J228" s="83" t="n"/>
      <c r="K228" s="82">
        <f>IF(OR(Scale!$AA64="",Scale!$AA64=0),"",IF(Scale!$AB64="",0,Scale!$AB64)+IF(Scale!$AC64="",0,Scale!$AC64))</f>
        <v/>
      </c>
      <c r="L228" s="82">
        <f>IF(OR(Scale!$AA64="",Scale!$AA64=0),"",Scale!$AB64)</f>
        <v/>
      </c>
      <c r="M228" s="82">
        <f>IF(OR(Scale!$AA64="",Scale!$AA64=0),"",Scale!$AC64)</f>
        <v/>
      </c>
      <c r="N228" s="81">
        <f>IF(OR(Scale!$AA64="",Scale!$AA64=0),"","پوز")</f>
        <v/>
      </c>
      <c r="O228" s="81">
        <f>IF(OR(Scale!$AA64="",Scale!$AA64=0),"",IFERROR(VLOOKUP(Scale!$AA64,AcctTbl,3,0),""))</f>
        <v/>
      </c>
      <c r="P228" s="82">
        <f>IF(Scale!$AA64&lt;&gt;"X011","","BN02")</f>
        <v/>
      </c>
    </row>
    <row r="229" ht="20.25" customHeight="1">
      <c r="A229" s="80">
        <f>IF(OR(Scale!$AD64="",Scale!$AD64=0),"",Scale!$B64)</f>
        <v/>
      </c>
      <c r="B229" s="80">
        <f>IF(OR(Scale!$AD64="",Scale!$AD64=0),"",Scale!$D64)</f>
        <v/>
      </c>
      <c r="C229" s="80">
        <f>IF(OR(Scale!$AD64="",Scale!$AD64=0),"","باسکول")</f>
        <v/>
      </c>
      <c r="D229" s="80">
        <f>IF(OR(Scale!$AD64="",Scale!$AD64=0),"",Scale!$AD64)</f>
        <v/>
      </c>
      <c r="E229" s="81">
        <f>IF(OR(Scale!$AD64="",Scale!$AD64=0),"",IF(Scale!$AD64="","","مقابل پوز — "&amp;Scale!$E64))</f>
        <v/>
      </c>
      <c r="F229" s="83" t="n"/>
      <c r="G229" s="83" t="n"/>
      <c r="H229" s="83" t="n"/>
      <c r="I229" s="83" t="n"/>
      <c r="J229" s="83" t="n"/>
      <c r="K229" s="82">
        <f>IF(OR(Scale!$AD64="",Scale!$AD64=0),"",IF(Scale!$AE64="",0,Scale!$AE64)+IF(Scale!$AF64="",0,Scale!$AF64))</f>
        <v/>
      </c>
      <c r="L229" s="82">
        <f>IF(OR(Scale!$AD64="",Scale!$AD64=0),"",Scale!$AE64)</f>
        <v/>
      </c>
      <c r="M229" s="82">
        <f>IF(OR(Scale!$AD64="",Scale!$AD64=0),"",Scale!$AF64)</f>
        <v/>
      </c>
      <c r="N229" s="81">
        <f>IF(OR(Scale!$AD64="",Scale!$AD64=0),"","مقابل پوز")</f>
        <v/>
      </c>
      <c r="O229" s="81">
        <f>IF(OR(Scale!$AD64="",Scale!$AD64=0),"",IFERROR(VLOOKUP(Scale!$AD64,AcctTbl,3,0),""))</f>
        <v/>
      </c>
      <c r="P229" s="82">
        <f>IF(Scale!$AD64&lt;&gt;"X011","","BN02")</f>
        <v/>
      </c>
    </row>
    <row r="230" ht="20.25" customHeight="1">
      <c r="A230" s="80">
        <f>IF(OR(Scale!$U65="",Scale!$U65=0),"",Scale!$B65)</f>
        <v/>
      </c>
      <c r="B230" s="80">
        <f>IF(OR(Scale!$U65="",Scale!$U65=0),"",Scale!$D65)</f>
        <v/>
      </c>
      <c r="C230" s="80">
        <f>IF(OR(Scale!$U65="",Scale!$U65=0),"","باسکول")</f>
        <v/>
      </c>
      <c r="D230" s="80">
        <f>IF(OR(Scale!$U65="",Scale!$U65=0),"",Scale!$U65)</f>
        <v/>
      </c>
      <c r="E230" s="81">
        <f>IF(OR(Scale!$U65="",Scale!$U65=0),"",Scale!$T65)</f>
        <v/>
      </c>
      <c r="F230" s="81">
        <f>IF(OR(Scale!$U65="",Scale!$U65=0),"",Scale!$J65)</f>
        <v/>
      </c>
      <c r="G230" s="82">
        <f>IF(OR(Scale!$U65="",Scale!$U65=0),"",Scale!$M65)</f>
        <v/>
      </c>
      <c r="H230" s="82">
        <f>IF(OR(Scale!$U65="",Scale!$U65=0),"",Scale!$L65)</f>
        <v/>
      </c>
      <c r="I230" s="82">
        <f>IF(OR(Scale!$U65="",Scale!$U65=0),"",Scale!$N65)</f>
        <v/>
      </c>
      <c r="J230" s="82">
        <f>IF(OR(Scale!$U65="",Scale!$U65=0),"",Scale!$O65)</f>
        <v/>
      </c>
      <c r="K230" s="82">
        <f>IF(OR(Scale!$U65="",Scale!$U65=0),"",IF(Scale!$V65="",0,Scale!$V65)+IF(Scale!$W65="",0,Scale!$W65))</f>
        <v/>
      </c>
      <c r="L230" s="82">
        <f>IF(OR(Scale!$U65="",Scale!$U65=0),"",Scale!$V65)</f>
        <v/>
      </c>
      <c r="M230" s="82">
        <f>IF(OR(Scale!$U65="",Scale!$U65=0),"",Scale!$W65)</f>
        <v/>
      </c>
      <c r="N230" s="81">
        <f>IF(OR(Scale!$U65="",Scale!$U65=0),"",Scale!$E65)</f>
        <v/>
      </c>
      <c r="O230" s="81">
        <f>IF(OR(Scale!$U65="",Scale!$U65=0),"",IFERROR(VLOOKUP(Scale!$U65,AcctTbl,3,0),""))</f>
        <v/>
      </c>
      <c r="P230" s="82">
        <f>IF(Scale!$U65&lt;&gt;"X011","","BN02")</f>
        <v/>
      </c>
    </row>
    <row r="231" ht="20.25" customHeight="1">
      <c r="A231" s="80">
        <f>IF(OR(Scale!$X65="",Scale!$X65=0),"",Scale!$B65)</f>
        <v/>
      </c>
      <c r="B231" s="80">
        <f>IF(OR(Scale!$X65="",Scale!$X65=0),"",Scale!$D65)</f>
        <v/>
      </c>
      <c r="C231" s="80">
        <f>IF(OR(Scale!$X65="",Scale!$X65=0),"","باسکول")</f>
        <v/>
      </c>
      <c r="D231" s="80">
        <f>IF(OR(Scale!$X65="",Scale!$X65=0),"",Scale!$X65)</f>
        <v/>
      </c>
      <c r="E231" s="81">
        <f>IF(OR(Scale!$X65="",Scale!$X65=0),"",IF(Scale!$X65="","","مقابل: "&amp;Scale!$E65))</f>
        <v/>
      </c>
      <c r="F231" s="83" t="n"/>
      <c r="G231" s="83" t="n"/>
      <c r="H231" s="83" t="n"/>
      <c r="I231" s="83" t="n"/>
      <c r="J231" s="83" t="n"/>
      <c r="K231" s="82">
        <f>IF(OR(Scale!$X65="",Scale!$X65=0),"",IF(Scale!$Y65="",0,Scale!$Y65)+IF(Scale!$Z65="",0,Scale!$Z65))</f>
        <v/>
      </c>
      <c r="L231" s="82">
        <f>IF(OR(Scale!$X65="",Scale!$X65=0),"",Scale!$Y65)</f>
        <v/>
      </c>
      <c r="M231" s="82">
        <f>IF(OR(Scale!$X65="",Scale!$X65=0),"",Scale!$Z65)</f>
        <v/>
      </c>
      <c r="N231" s="81">
        <f>IF(OR(Scale!$X65="",Scale!$X65=0),"","مقابل")</f>
        <v/>
      </c>
      <c r="O231" s="81">
        <f>IF(OR(Scale!$X65="",Scale!$X65=0),"",IFERROR(VLOOKUP(Scale!$X65,AcctTbl,3,0),""))</f>
        <v/>
      </c>
      <c r="P231" s="82">
        <f>IF(Scale!$X65&lt;&gt;"X011","","BN02")</f>
        <v/>
      </c>
    </row>
    <row r="232" ht="20.25" customHeight="1">
      <c r="A232" s="80">
        <f>IF(OR(Scale!$AA65="",Scale!$AA65=0),"",Scale!$B65)</f>
        <v/>
      </c>
      <c r="B232" s="80">
        <f>IF(OR(Scale!$AA65="",Scale!$AA65=0),"",Scale!$D65)</f>
        <v/>
      </c>
      <c r="C232" s="80">
        <f>IF(OR(Scale!$AA65="",Scale!$AA65=0),"","باسکول")</f>
        <v/>
      </c>
      <c r="D232" s="80">
        <f>IF(OR(Scale!$AA65="",Scale!$AA65=0),"",Scale!$AA65)</f>
        <v/>
      </c>
      <c r="E232" s="81">
        <f>IF(OR(Scale!$AA65="",Scale!$AA65=0),"",IF(Scale!$AA65="","","پوز باسکول — "&amp;Scale!$E65))</f>
        <v/>
      </c>
      <c r="F232" s="83" t="n"/>
      <c r="G232" s="83" t="n"/>
      <c r="H232" s="83" t="n"/>
      <c r="I232" s="83" t="n"/>
      <c r="J232" s="83" t="n"/>
      <c r="K232" s="82">
        <f>IF(OR(Scale!$AA65="",Scale!$AA65=0),"",IF(Scale!$AB65="",0,Scale!$AB65)+IF(Scale!$AC65="",0,Scale!$AC65))</f>
        <v/>
      </c>
      <c r="L232" s="82">
        <f>IF(OR(Scale!$AA65="",Scale!$AA65=0),"",Scale!$AB65)</f>
        <v/>
      </c>
      <c r="M232" s="82">
        <f>IF(OR(Scale!$AA65="",Scale!$AA65=0),"",Scale!$AC65)</f>
        <v/>
      </c>
      <c r="N232" s="81">
        <f>IF(OR(Scale!$AA65="",Scale!$AA65=0),"","پوز")</f>
        <v/>
      </c>
      <c r="O232" s="81">
        <f>IF(OR(Scale!$AA65="",Scale!$AA65=0),"",IFERROR(VLOOKUP(Scale!$AA65,AcctTbl,3,0),""))</f>
        <v/>
      </c>
      <c r="P232" s="82">
        <f>IF(Scale!$AA65&lt;&gt;"X011","","BN02")</f>
        <v/>
      </c>
    </row>
    <row r="233" ht="20.25" customHeight="1">
      <c r="A233" s="80">
        <f>IF(OR(Scale!$AD65="",Scale!$AD65=0),"",Scale!$B65)</f>
        <v/>
      </c>
      <c r="B233" s="80">
        <f>IF(OR(Scale!$AD65="",Scale!$AD65=0),"",Scale!$D65)</f>
        <v/>
      </c>
      <c r="C233" s="80">
        <f>IF(OR(Scale!$AD65="",Scale!$AD65=0),"","باسکول")</f>
        <v/>
      </c>
      <c r="D233" s="80">
        <f>IF(OR(Scale!$AD65="",Scale!$AD65=0),"",Scale!$AD65)</f>
        <v/>
      </c>
      <c r="E233" s="81">
        <f>IF(OR(Scale!$AD65="",Scale!$AD65=0),"",IF(Scale!$AD65="","","مقابل پوز — "&amp;Scale!$E65))</f>
        <v/>
      </c>
      <c r="F233" s="83" t="n"/>
      <c r="G233" s="83" t="n"/>
      <c r="H233" s="83" t="n"/>
      <c r="I233" s="83" t="n"/>
      <c r="J233" s="83" t="n"/>
      <c r="K233" s="82">
        <f>IF(OR(Scale!$AD65="",Scale!$AD65=0),"",IF(Scale!$AE65="",0,Scale!$AE65)+IF(Scale!$AF65="",0,Scale!$AF65))</f>
        <v/>
      </c>
      <c r="L233" s="82">
        <f>IF(OR(Scale!$AD65="",Scale!$AD65=0),"",Scale!$AE65)</f>
        <v/>
      </c>
      <c r="M233" s="82">
        <f>IF(OR(Scale!$AD65="",Scale!$AD65=0),"",Scale!$AF65)</f>
        <v/>
      </c>
      <c r="N233" s="81">
        <f>IF(OR(Scale!$AD65="",Scale!$AD65=0),"","مقابل پوز")</f>
        <v/>
      </c>
      <c r="O233" s="81">
        <f>IF(OR(Scale!$AD65="",Scale!$AD65=0),"",IFERROR(VLOOKUP(Scale!$AD65,AcctTbl,3,0),""))</f>
        <v/>
      </c>
      <c r="P233" s="82">
        <f>IF(Scale!$AD65&lt;&gt;"X011","","BN02")</f>
        <v/>
      </c>
    </row>
    <row r="234" ht="20.25" customHeight="1">
      <c r="A234" s="80">
        <f>IF(OR(Scale!$U66="",Scale!$U66=0),"",Scale!$B66)</f>
        <v/>
      </c>
      <c r="B234" s="80">
        <f>IF(OR(Scale!$U66="",Scale!$U66=0),"",Scale!$D66)</f>
        <v/>
      </c>
      <c r="C234" s="80">
        <f>IF(OR(Scale!$U66="",Scale!$U66=0),"","باسکول")</f>
        <v/>
      </c>
      <c r="D234" s="80">
        <f>IF(OR(Scale!$U66="",Scale!$U66=0),"",Scale!$U66)</f>
        <v/>
      </c>
      <c r="E234" s="81">
        <f>IF(OR(Scale!$U66="",Scale!$U66=0),"",Scale!$T66)</f>
        <v/>
      </c>
      <c r="F234" s="81">
        <f>IF(OR(Scale!$U66="",Scale!$U66=0),"",Scale!$J66)</f>
        <v/>
      </c>
      <c r="G234" s="82">
        <f>IF(OR(Scale!$U66="",Scale!$U66=0),"",Scale!$M66)</f>
        <v/>
      </c>
      <c r="H234" s="82">
        <f>IF(OR(Scale!$U66="",Scale!$U66=0),"",Scale!$L66)</f>
        <v/>
      </c>
      <c r="I234" s="82">
        <f>IF(OR(Scale!$U66="",Scale!$U66=0),"",Scale!$N66)</f>
        <v/>
      </c>
      <c r="J234" s="82">
        <f>IF(OR(Scale!$U66="",Scale!$U66=0),"",Scale!$O66)</f>
        <v/>
      </c>
      <c r="K234" s="82">
        <f>IF(OR(Scale!$U66="",Scale!$U66=0),"",IF(Scale!$V66="",0,Scale!$V66)+IF(Scale!$W66="",0,Scale!$W66))</f>
        <v/>
      </c>
      <c r="L234" s="82">
        <f>IF(OR(Scale!$U66="",Scale!$U66=0),"",Scale!$V66)</f>
        <v/>
      </c>
      <c r="M234" s="82">
        <f>IF(OR(Scale!$U66="",Scale!$U66=0),"",Scale!$W66)</f>
        <v/>
      </c>
      <c r="N234" s="81">
        <f>IF(OR(Scale!$U66="",Scale!$U66=0),"",Scale!$E66)</f>
        <v/>
      </c>
      <c r="O234" s="81">
        <f>IF(OR(Scale!$U66="",Scale!$U66=0),"",IFERROR(VLOOKUP(Scale!$U66,AcctTbl,3,0),""))</f>
        <v/>
      </c>
      <c r="P234" s="82">
        <f>IF(Scale!$U66&lt;&gt;"X011","","BN02")</f>
        <v/>
      </c>
    </row>
    <row r="235" ht="20.25" customHeight="1">
      <c r="A235" s="80">
        <f>IF(OR(Scale!$X66="",Scale!$X66=0),"",Scale!$B66)</f>
        <v/>
      </c>
      <c r="B235" s="80">
        <f>IF(OR(Scale!$X66="",Scale!$X66=0),"",Scale!$D66)</f>
        <v/>
      </c>
      <c r="C235" s="80">
        <f>IF(OR(Scale!$X66="",Scale!$X66=0),"","باسکول")</f>
        <v/>
      </c>
      <c r="D235" s="80">
        <f>IF(OR(Scale!$X66="",Scale!$X66=0),"",Scale!$X66)</f>
        <v/>
      </c>
      <c r="E235" s="81">
        <f>IF(OR(Scale!$X66="",Scale!$X66=0),"",IF(Scale!$X66="","","مقابل: "&amp;Scale!$E66))</f>
        <v/>
      </c>
      <c r="F235" s="83" t="n"/>
      <c r="G235" s="83" t="n"/>
      <c r="H235" s="83" t="n"/>
      <c r="I235" s="83" t="n"/>
      <c r="J235" s="83" t="n"/>
      <c r="K235" s="82">
        <f>IF(OR(Scale!$X66="",Scale!$X66=0),"",IF(Scale!$Y66="",0,Scale!$Y66)+IF(Scale!$Z66="",0,Scale!$Z66))</f>
        <v/>
      </c>
      <c r="L235" s="82">
        <f>IF(OR(Scale!$X66="",Scale!$X66=0),"",Scale!$Y66)</f>
        <v/>
      </c>
      <c r="M235" s="82">
        <f>IF(OR(Scale!$X66="",Scale!$X66=0),"",Scale!$Z66)</f>
        <v/>
      </c>
      <c r="N235" s="81">
        <f>IF(OR(Scale!$X66="",Scale!$X66=0),"","مقابل")</f>
        <v/>
      </c>
      <c r="O235" s="81">
        <f>IF(OR(Scale!$X66="",Scale!$X66=0),"",IFERROR(VLOOKUP(Scale!$X66,AcctTbl,3,0),""))</f>
        <v/>
      </c>
      <c r="P235" s="82">
        <f>IF(Scale!$X66&lt;&gt;"X011","","BN02")</f>
        <v/>
      </c>
    </row>
    <row r="236" ht="20.25" customHeight="1">
      <c r="A236" s="80">
        <f>IF(OR(Scale!$AA66="",Scale!$AA66=0),"",Scale!$B66)</f>
        <v/>
      </c>
      <c r="B236" s="80">
        <f>IF(OR(Scale!$AA66="",Scale!$AA66=0),"",Scale!$D66)</f>
        <v/>
      </c>
      <c r="C236" s="80">
        <f>IF(OR(Scale!$AA66="",Scale!$AA66=0),"","باسکول")</f>
        <v/>
      </c>
      <c r="D236" s="80">
        <f>IF(OR(Scale!$AA66="",Scale!$AA66=0),"",Scale!$AA66)</f>
        <v/>
      </c>
      <c r="E236" s="81">
        <f>IF(OR(Scale!$AA66="",Scale!$AA66=0),"",IF(Scale!$AA66="","","پوز باسکول — "&amp;Scale!$E66))</f>
        <v/>
      </c>
      <c r="F236" s="83" t="n"/>
      <c r="G236" s="83" t="n"/>
      <c r="H236" s="83" t="n"/>
      <c r="I236" s="83" t="n"/>
      <c r="J236" s="83" t="n"/>
      <c r="K236" s="82">
        <f>IF(OR(Scale!$AA66="",Scale!$AA66=0),"",IF(Scale!$AB66="",0,Scale!$AB66)+IF(Scale!$AC66="",0,Scale!$AC66))</f>
        <v/>
      </c>
      <c r="L236" s="82">
        <f>IF(OR(Scale!$AA66="",Scale!$AA66=0),"",Scale!$AB66)</f>
        <v/>
      </c>
      <c r="M236" s="82">
        <f>IF(OR(Scale!$AA66="",Scale!$AA66=0),"",Scale!$AC66)</f>
        <v/>
      </c>
      <c r="N236" s="81">
        <f>IF(OR(Scale!$AA66="",Scale!$AA66=0),"","پوز")</f>
        <v/>
      </c>
      <c r="O236" s="81">
        <f>IF(OR(Scale!$AA66="",Scale!$AA66=0),"",IFERROR(VLOOKUP(Scale!$AA66,AcctTbl,3,0),""))</f>
        <v/>
      </c>
      <c r="P236" s="82">
        <f>IF(Scale!$AA66&lt;&gt;"X011","","BN02")</f>
        <v/>
      </c>
    </row>
    <row r="237" ht="20.25" customHeight="1">
      <c r="A237" s="80">
        <f>IF(OR(Scale!$AD66="",Scale!$AD66=0),"",Scale!$B66)</f>
        <v/>
      </c>
      <c r="B237" s="80">
        <f>IF(OR(Scale!$AD66="",Scale!$AD66=0),"",Scale!$D66)</f>
        <v/>
      </c>
      <c r="C237" s="80">
        <f>IF(OR(Scale!$AD66="",Scale!$AD66=0),"","باسکول")</f>
        <v/>
      </c>
      <c r="D237" s="80">
        <f>IF(OR(Scale!$AD66="",Scale!$AD66=0),"",Scale!$AD66)</f>
        <v/>
      </c>
      <c r="E237" s="81">
        <f>IF(OR(Scale!$AD66="",Scale!$AD66=0),"",IF(Scale!$AD66="","","مقابل پوز — "&amp;Scale!$E66))</f>
        <v/>
      </c>
      <c r="F237" s="83" t="n"/>
      <c r="G237" s="83" t="n"/>
      <c r="H237" s="83" t="n"/>
      <c r="I237" s="83" t="n"/>
      <c r="J237" s="83" t="n"/>
      <c r="K237" s="82">
        <f>IF(OR(Scale!$AD66="",Scale!$AD66=0),"",IF(Scale!$AE66="",0,Scale!$AE66)+IF(Scale!$AF66="",0,Scale!$AF66))</f>
        <v/>
      </c>
      <c r="L237" s="82">
        <f>IF(OR(Scale!$AD66="",Scale!$AD66=0),"",Scale!$AE66)</f>
        <v/>
      </c>
      <c r="M237" s="82">
        <f>IF(OR(Scale!$AD66="",Scale!$AD66=0),"",Scale!$AF66)</f>
        <v/>
      </c>
      <c r="N237" s="81">
        <f>IF(OR(Scale!$AD66="",Scale!$AD66=0),"","مقابل پوز")</f>
        <v/>
      </c>
      <c r="O237" s="81">
        <f>IF(OR(Scale!$AD66="",Scale!$AD66=0),"",IFERROR(VLOOKUP(Scale!$AD66,AcctTbl,3,0),""))</f>
        <v/>
      </c>
      <c r="P237" s="82">
        <f>IF(Scale!$AD66&lt;&gt;"X011","","BN02")</f>
        <v/>
      </c>
    </row>
    <row r="238" ht="20.25" customHeight="1">
      <c r="A238" s="80">
        <f>IF(OR(Scale!$U67="",Scale!$U67=0),"",Scale!$B67)</f>
        <v/>
      </c>
      <c r="B238" s="80">
        <f>IF(OR(Scale!$U67="",Scale!$U67=0),"",Scale!$D67)</f>
        <v/>
      </c>
      <c r="C238" s="80">
        <f>IF(OR(Scale!$U67="",Scale!$U67=0),"","باسکول")</f>
        <v/>
      </c>
      <c r="D238" s="80">
        <f>IF(OR(Scale!$U67="",Scale!$U67=0),"",Scale!$U67)</f>
        <v/>
      </c>
      <c r="E238" s="81">
        <f>IF(OR(Scale!$U67="",Scale!$U67=0),"",Scale!$T67)</f>
        <v/>
      </c>
      <c r="F238" s="81">
        <f>IF(OR(Scale!$U67="",Scale!$U67=0),"",Scale!$J67)</f>
        <v/>
      </c>
      <c r="G238" s="82">
        <f>IF(OR(Scale!$U67="",Scale!$U67=0),"",Scale!$M67)</f>
        <v/>
      </c>
      <c r="H238" s="82">
        <f>IF(OR(Scale!$U67="",Scale!$U67=0),"",Scale!$L67)</f>
        <v/>
      </c>
      <c r="I238" s="82">
        <f>IF(OR(Scale!$U67="",Scale!$U67=0),"",Scale!$N67)</f>
        <v/>
      </c>
      <c r="J238" s="82">
        <f>IF(OR(Scale!$U67="",Scale!$U67=0),"",Scale!$O67)</f>
        <v/>
      </c>
      <c r="K238" s="82">
        <f>IF(OR(Scale!$U67="",Scale!$U67=0),"",IF(Scale!$V67="",0,Scale!$V67)+IF(Scale!$W67="",0,Scale!$W67))</f>
        <v/>
      </c>
      <c r="L238" s="82">
        <f>IF(OR(Scale!$U67="",Scale!$U67=0),"",Scale!$V67)</f>
        <v/>
      </c>
      <c r="M238" s="82">
        <f>IF(OR(Scale!$U67="",Scale!$U67=0),"",Scale!$W67)</f>
        <v/>
      </c>
      <c r="N238" s="81">
        <f>IF(OR(Scale!$U67="",Scale!$U67=0),"",Scale!$E67)</f>
        <v/>
      </c>
      <c r="O238" s="81">
        <f>IF(OR(Scale!$U67="",Scale!$U67=0),"",IFERROR(VLOOKUP(Scale!$U67,AcctTbl,3,0),""))</f>
        <v/>
      </c>
      <c r="P238" s="82">
        <f>IF(Scale!$U67&lt;&gt;"X011","","BN02")</f>
        <v/>
      </c>
    </row>
    <row r="239" ht="20.25" customHeight="1">
      <c r="A239" s="80">
        <f>IF(OR(Scale!$X67="",Scale!$X67=0),"",Scale!$B67)</f>
        <v/>
      </c>
      <c r="B239" s="80">
        <f>IF(OR(Scale!$X67="",Scale!$X67=0),"",Scale!$D67)</f>
        <v/>
      </c>
      <c r="C239" s="80">
        <f>IF(OR(Scale!$X67="",Scale!$X67=0),"","باسکول")</f>
        <v/>
      </c>
      <c r="D239" s="80">
        <f>IF(OR(Scale!$X67="",Scale!$X67=0),"",Scale!$X67)</f>
        <v/>
      </c>
      <c r="E239" s="81">
        <f>IF(OR(Scale!$X67="",Scale!$X67=0),"",IF(Scale!$X67="","","مقابل: "&amp;Scale!$E67))</f>
        <v/>
      </c>
      <c r="F239" s="83" t="n"/>
      <c r="G239" s="83" t="n"/>
      <c r="H239" s="83" t="n"/>
      <c r="I239" s="83" t="n"/>
      <c r="J239" s="83" t="n"/>
      <c r="K239" s="82">
        <f>IF(OR(Scale!$X67="",Scale!$X67=0),"",IF(Scale!$Y67="",0,Scale!$Y67)+IF(Scale!$Z67="",0,Scale!$Z67))</f>
        <v/>
      </c>
      <c r="L239" s="82">
        <f>IF(OR(Scale!$X67="",Scale!$X67=0),"",Scale!$Y67)</f>
        <v/>
      </c>
      <c r="M239" s="82">
        <f>IF(OR(Scale!$X67="",Scale!$X67=0),"",Scale!$Z67)</f>
        <v/>
      </c>
      <c r="N239" s="81">
        <f>IF(OR(Scale!$X67="",Scale!$X67=0),"","مقابل")</f>
        <v/>
      </c>
      <c r="O239" s="81">
        <f>IF(OR(Scale!$X67="",Scale!$X67=0),"",IFERROR(VLOOKUP(Scale!$X67,AcctTbl,3,0),""))</f>
        <v/>
      </c>
      <c r="P239" s="82">
        <f>IF(Scale!$X67&lt;&gt;"X011","","BN02")</f>
        <v/>
      </c>
    </row>
    <row r="240" ht="20.25" customHeight="1">
      <c r="A240" s="80">
        <f>IF(OR(Scale!$AA67="",Scale!$AA67=0),"",Scale!$B67)</f>
        <v/>
      </c>
      <c r="B240" s="80">
        <f>IF(OR(Scale!$AA67="",Scale!$AA67=0),"",Scale!$D67)</f>
        <v/>
      </c>
      <c r="C240" s="80">
        <f>IF(OR(Scale!$AA67="",Scale!$AA67=0),"","باسکول")</f>
        <v/>
      </c>
      <c r="D240" s="80">
        <f>IF(OR(Scale!$AA67="",Scale!$AA67=0),"",Scale!$AA67)</f>
        <v/>
      </c>
      <c r="E240" s="81">
        <f>IF(OR(Scale!$AA67="",Scale!$AA67=0),"",IF(Scale!$AA67="","","پوز باسکول — "&amp;Scale!$E67))</f>
        <v/>
      </c>
      <c r="F240" s="83" t="n"/>
      <c r="G240" s="83" t="n"/>
      <c r="H240" s="83" t="n"/>
      <c r="I240" s="83" t="n"/>
      <c r="J240" s="83" t="n"/>
      <c r="K240" s="82">
        <f>IF(OR(Scale!$AA67="",Scale!$AA67=0),"",IF(Scale!$AB67="",0,Scale!$AB67)+IF(Scale!$AC67="",0,Scale!$AC67))</f>
        <v/>
      </c>
      <c r="L240" s="82">
        <f>IF(OR(Scale!$AA67="",Scale!$AA67=0),"",Scale!$AB67)</f>
        <v/>
      </c>
      <c r="M240" s="82">
        <f>IF(OR(Scale!$AA67="",Scale!$AA67=0),"",Scale!$AC67)</f>
        <v/>
      </c>
      <c r="N240" s="81">
        <f>IF(OR(Scale!$AA67="",Scale!$AA67=0),"","پوز")</f>
        <v/>
      </c>
      <c r="O240" s="81">
        <f>IF(OR(Scale!$AA67="",Scale!$AA67=0),"",IFERROR(VLOOKUP(Scale!$AA67,AcctTbl,3,0),""))</f>
        <v/>
      </c>
      <c r="P240" s="82">
        <f>IF(Scale!$AA67&lt;&gt;"X011","","BN02")</f>
        <v/>
      </c>
    </row>
    <row r="241" ht="20.25" customHeight="1">
      <c r="A241" s="80">
        <f>IF(OR(Scale!$AD67="",Scale!$AD67=0),"",Scale!$B67)</f>
        <v/>
      </c>
      <c r="B241" s="80">
        <f>IF(OR(Scale!$AD67="",Scale!$AD67=0),"",Scale!$D67)</f>
        <v/>
      </c>
      <c r="C241" s="80">
        <f>IF(OR(Scale!$AD67="",Scale!$AD67=0),"","باسکول")</f>
        <v/>
      </c>
      <c r="D241" s="80">
        <f>IF(OR(Scale!$AD67="",Scale!$AD67=0),"",Scale!$AD67)</f>
        <v/>
      </c>
      <c r="E241" s="81">
        <f>IF(OR(Scale!$AD67="",Scale!$AD67=0),"",IF(Scale!$AD67="","","مقابل پوز — "&amp;Scale!$E67))</f>
        <v/>
      </c>
      <c r="F241" s="83" t="n"/>
      <c r="G241" s="83" t="n"/>
      <c r="H241" s="83" t="n"/>
      <c r="I241" s="83" t="n"/>
      <c r="J241" s="83" t="n"/>
      <c r="K241" s="82">
        <f>IF(OR(Scale!$AD67="",Scale!$AD67=0),"",IF(Scale!$AE67="",0,Scale!$AE67)+IF(Scale!$AF67="",0,Scale!$AF67))</f>
        <v/>
      </c>
      <c r="L241" s="82">
        <f>IF(OR(Scale!$AD67="",Scale!$AD67=0),"",Scale!$AE67)</f>
        <v/>
      </c>
      <c r="M241" s="82">
        <f>IF(OR(Scale!$AD67="",Scale!$AD67=0),"",Scale!$AF67)</f>
        <v/>
      </c>
      <c r="N241" s="81">
        <f>IF(OR(Scale!$AD67="",Scale!$AD67=0),"","مقابل پوز")</f>
        <v/>
      </c>
      <c r="O241" s="81">
        <f>IF(OR(Scale!$AD67="",Scale!$AD67=0),"",IFERROR(VLOOKUP(Scale!$AD67,AcctTbl,3,0),""))</f>
        <v/>
      </c>
      <c r="P241" s="82">
        <f>IF(Scale!$AD67&lt;&gt;"X011","","BN02")</f>
        <v/>
      </c>
    </row>
    <row r="242" ht="20.25" customHeight="1">
      <c r="A242" s="80">
        <f>IF(OR(Scale!$U68="",Scale!$U68=0),"",Scale!$B68)</f>
        <v/>
      </c>
      <c r="B242" s="80">
        <f>IF(OR(Scale!$U68="",Scale!$U68=0),"",Scale!$D68)</f>
        <v/>
      </c>
      <c r="C242" s="80">
        <f>IF(OR(Scale!$U68="",Scale!$U68=0),"","باسکول")</f>
        <v/>
      </c>
      <c r="D242" s="80">
        <f>IF(OR(Scale!$U68="",Scale!$U68=0),"",Scale!$U68)</f>
        <v/>
      </c>
      <c r="E242" s="81">
        <f>IF(OR(Scale!$U68="",Scale!$U68=0),"",Scale!$T68)</f>
        <v/>
      </c>
      <c r="F242" s="81">
        <f>IF(OR(Scale!$U68="",Scale!$U68=0),"",Scale!$J68)</f>
        <v/>
      </c>
      <c r="G242" s="82">
        <f>IF(OR(Scale!$U68="",Scale!$U68=0),"",Scale!$M68)</f>
        <v/>
      </c>
      <c r="H242" s="82">
        <f>IF(OR(Scale!$U68="",Scale!$U68=0),"",Scale!$L68)</f>
        <v/>
      </c>
      <c r="I242" s="82">
        <f>IF(OR(Scale!$U68="",Scale!$U68=0),"",Scale!$N68)</f>
        <v/>
      </c>
      <c r="J242" s="82">
        <f>IF(OR(Scale!$U68="",Scale!$U68=0),"",Scale!$O68)</f>
        <v/>
      </c>
      <c r="K242" s="82">
        <f>IF(OR(Scale!$U68="",Scale!$U68=0),"",IF(Scale!$V68="",0,Scale!$V68)+IF(Scale!$W68="",0,Scale!$W68))</f>
        <v/>
      </c>
      <c r="L242" s="82">
        <f>IF(OR(Scale!$U68="",Scale!$U68=0),"",Scale!$V68)</f>
        <v/>
      </c>
      <c r="M242" s="82">
        <f>IF(OR(Scale!$U68="",Scale!$U68=0),"",Scale!$W68)</f>
        <v/>
      </c>
      <c r="N242" s="81">
        <f>IF(OR(Scale!$U68="",Scale!$U68=0),"",Scale!$E68)</f>
        <v/>
      </c>
      <c r="O242" s="81">
        <f>IF(OR(Scale!$U68="",Scale!$U68=0),"",IFERROR(VLOOKUP(Scale!$U68,AcctTbl,3,0),""))</f>
        <v/>
      </c>
      <c r="P242" s="82">
        <f>IF(Scale!$U68&lt;&gt;"X011","","BN02")</f>
        <v/>
      </c>
    </row>
    <row r="243" ht="20.25" customHeight="1">
      <c r="A243" s="80">
        <f>IF(OR(Scale!$X68="",Scale!$X68=0),"",Scale!$B68)</f>
        <v/>
      </c>
      <c r="B243" s="80">
        <f>IF(OR(Scale!$X68="",Scale!$X68=0),"",Scale!$D68)</f>
        <v/>
      </c>
      <c r="C243" s="80">
        <f>IF(OR(Scale!$X68="",Scale!$X68=0),"","باسکول")</f>
        <v/>
      </c>
      <c r="D243" s="80">
        <f>IF(OR(Scale!$X68="",Scale!$X68=0),"",Scale!$X68)</f>
        <v/>
      </c>
      <c r="E243" s="81">
        <f>IF(OR(Scale!$X68="",Scale!$X68=0),"",IF(Scale!$X68="","","مقابل: "&amp;Scale!$E68))</f>
        <v/>
      </c>
      <c r="F243" s="83" t="n"/>
      <c r="G243" s="83" t="n"/>
      <c r="H243" s="83" t="n"/>
      <c r="I243" s="83" t="n"/>
      <c r="J243" s="83" t="n"/>
      <c r="K243" s="82">
        <f>IF(OR(Scale!$X68="",Scale!$X68=0),"",IF(Scale!$Y68="",0,Scale!$Y68)+IF(Scale!$Z68="",0,Scale!$Z68))</f>
        <v/>
      </c>
      <c r="L243" s="82">
        <f>IF(OR(Scale!$X68="",Scale!$X68=0),"",Scale!$Y68)</f>
        <v/>
      </c>
      <c r="M243" s="82">
        <f>IF(OR(Scale!$X68="",Scale!$X68=0),"",Scale!$Z68)</f>
        <v/>
      </c>
      <c r="N243" s="81">
        <f>IF(OR(Scale!$X68="",Scale!$X68=0),"","مقابل")</f>
        <v/>
      </c>
      <c r="O243" s="81">
        <f>IF(OR(Scale!$X68="",Scale!$X68=0),"",IFERROR(VLOOKUP(Scale!$X68,AcctTbl,3,0),""))</f>
        <v/>
      </c>
      <c r="P243" s="82">
        <f>IF(Scale!$X68&lt;&gt;"X011","","BN02")</f>
        <v/>
      </c>
    </row>
    <row r="244" ht="20.25" customHeight="1">
      <c r="A244" s="80">
        <f>IF(OR(Scale!$AA68="",Scale!$AA68=0),"",Scale!$B68)</f>
        <v/>
      </c>
      <c r="B244" s="80">
        <f>IF(OR(Scale!$AA68="",Scale!$AA68=0),"",Scale!$D68)</f>
        <v/>
      </c>
      <c r="C244" s="80">
        <f>IF(OR(Scale!$AA68="",Scale!$AA68=0),"","باسکول")</f>
        <v/>
      </c>
      <c r="D244" s="80">
        <f>IF(OR(Scale!$AA68="",Scale!$AA68=0),"",Scale!$AA68)</f>
        <v/>
      </c>
      <c r="E244" s="81">
        <f>IF(OR(Scale!$AA68="",Scale!$AA68=0),"",IF(Scale!$AA68="","","پوز باسکول — "&amp;Scale!$E68))</f>
        <v/>
      </c>
      <c r="F244" s="83" t="n"/>
      <c r="G244" s="83" t="n"/>
      <c r="H244" s="83" t="n"/>
      <c r="I244" s="83" t="n"/>
      <c r="J244" s="83" t="n"/>
      <c r="K244" s="82">
        <f>IF(OR(Scale!$AA68="",Scale!$AA68=0),"",IF(Scale!$AB68="",0,Scale!$AB68)+IF(Scale!$AC68="",0,Scale!$AC68))</f>
        <v/>
      </c>
      <c r="L244" s="82">
        <f>IF(OR(Scale!$AA68="",Scale!$AA68=0),"",Scale!$AB68)</f>
        <v/>
      </c>
      <c r="M244" s="82">
        <f>IF(OR(Scale!$AA68="",Scale!$AA68=0),"",Scale!$AC68)</f>
        <v/>
      </c>
      <c r="N244" s="81">
        <f>IF(OR(Scale!$AA68="",Scale!$AA68=0),"","پوز")</f>
        <v/>
      </c>
      <c r="O244" s="81">
        <f>IF(OR(Scale!$AA68="",Scale!$AA68=0),"",IFERROR(VLOOKUP(Scale!$AA68,AcctTbl,3,0),""))</f>
        <v/>
      </c>
      <c r="P244" s="82">
        <f>IF(Scale!$AA68&lt;&gt;"X011","","BN02")</f>
        <v/>
      </c>
    </row>
    <row r="245" ht="20.25" customHeight="1">
      <c r="A245" s="80">
        <f>IF(OR(Scale!$AD68="",Scale!$AD68=0),"",Scale!$B68)</f>
        <v/>
      </c>
      <c r="B245" s="80">
        <f>IF(OR(Scale!$AD68="",Scale!$AD68=0),"",Scale!$D68)</f>
        <v/>
      </c>
      <c r="C245" s="80">
        <f>IF(OR(Scale!$AD68="",Scale!$AD68=0),"","باسکول")</f>
        <v/>
      </c>
      <c r="D245" s="80">
        <f>IF(OR(Scale!$AD68="",Scale!$AD68=0),"",Scale!$AD68)</f>
        <v/>
      </c>
      <c r="E245" s="81">
        <f>IF(OR(Scale!$AD68="",Scale!$AD68=0),"",IF(Scale!$AD68="","","مقابل پوز — "&amp;Scale!$E68))</f>
        <v/>
      </c>
      <c r="F245" s="83" t="n"/>
      <c r="G245" s="83" t="n"/>
      <c r="H245" s="83" t="n"/>
      <c r="I245" s="83" t="n"/>
      <c r="J245" s="83" t="n"/>
      <c r="K245" s="82">
        <f>IF(OR(Scale!$AD68="",Scale!$AD68=0),"",IF(Scale!$AE68="",0,Scale!$AE68)+IF(Scale!$AF68="",0,Scale!$AF68))</f>
        <v/>
      </c>
      <c r="L245" s="82">
        <f>IF(OR(Scale!$AD68="",Scale!$AD68=0),"",Scale!$AE68)</f>
        <v/>
      </c>
      <c r="M245" s="82">
        <f>IF(OR(Scale!$AD68="",Scale!$AD68=0),"",Scale!$AF68)</f>
        <v/>
      </c>
      <c r="N245" s="81">
        <f>IF(OR(Scale!$AD68="",Scale!$AD68=0),"","مقابل پوز")</f>
        <v/>
      </c>
      <c r="O245" s="81">
        <f>IF(OR(Scale!$AD68="",Scale!$AD68=0),"",IFERROR(VLOOKUP(Scale!$AD68,AcctTbl,3,0),""))</f>
        <v/>
      </c>
      <c r="P245" s="82">
        <f>IF(Scale!$AD68&lt;&gt;"X011","","BN02")</f>
        <v/>
      </c>
    </row>
    <row r="246" ht="20.25" customHeight="1">
      <c r="A246" s="80">
        <f>IF(OR(Scale!$U69="",Scale!$U69=0),"",Scale!$B69)</f>
        <v/>
      </c>
      <c r="B246" s="80">
        <f>IF(OR(Scale!$U69="",Scale!$U69=0),"",Scale!$D69)</f>
        <v/>
      </c>
      <c r="C246" s="80">
        <f>IF(OR(Scale!$U69="",Scale!$U69=0),"","باسکول")</f>
        <v/>
      </c>
      <c r="D246" s="80">
        <f>IF(OR(Scale!$U69="",Scale!$U69=0),"",Scale!$U69)</f>
        <v/>
      </c>
      <c r="E246" s="81">
        <f>IF(OR(Scale!$U69="",Scale!$U69=0),"",Scale!$T69)</f>
        <v/>
      </c>
      <c r="F246" s="81">
        <f>IF(OR(Scale!$U69="",Scale!$U69=0),"",Scale!$J69)</f>
        <v/>
      </c>
      <c r="G246" s="82">
        <f>IF(OR(Scale!$U69="",Scale!$U69=0),"",Scale!$M69)</f>
        <v/>
      </c>
      <c r="H246" s="82">
        <f>IF(OR(Scale!$U69="",Scale!$U69=0),"",Scale!$L69)</f>
        <v/>
      </c>
      <c r="I246" s="82">
        <f>IF(OR(Scale!$U69="",Scale!$U69=0),"",Scale!$N69)</f>
        <v/>
      </c>
      <c r="J246" s="82">
        <f>IF(OR(Scale!$U69="",Scale!$U69=0),"",Scale!$O69)</f>
        <v/>
      </c>
      <c r="K246" s="82">
        <f>IF(OR(Scale!$U69="",Scale!$U69=0),"",IF(Scale!$V69="",0,Scale!$V69)+IF(Scale!$W69="",0,Scale!$W69))</f>
        <v/>
      </c>
      <c r="L246" s="82">
        <f>IF(OR(Scale!$U69="",Scale!$U69=0),"",Scale!$V69)</f>
        <v/>
      </c>
      <c r="M246" s="82">
        <f>IF(OR(Scale!$U69="",Scale!$U69=0),"",Scale!$W69)</f>
        <v/>
      </c>
      <c r="N246" s="81">
        <f>IF(OR(Scale!$U69="",Scale!$U69=0),"",Scale!$E69)</f>
        <v/>
      </c>
      <c r="O246" s="81">
        <f>IF(OR(Scale!$U69="",Scale!$U69=0),"",IFERROR(VLOOKUP(Scale!$U69,AcctTbl,3,0),""))</f>
        <v/>
      </c>
      <c r="P246" s="82">
        <f>IF(Scale!$U69&lt;&gt;"X011","","BN02")</f>
        <v/>
      </c>
    </row>
    <row r="247" ht="20.25" customHeight="1">
      <c r="A247" s="80">
        <f>IF(OR(Scale!$X69="",Scale!$X69=0),"",Scale!$B69)</f>
        <v/>
      </c>
      <c r="B247" s="80">
        <f>IF(OR(Scale!$X69="",Scale!$X69=0),"",Scale!$D69)</f>
        <v/>
      </c>
      <c r="C247" s="80">
        <f>IF(OR(Scale!$X69="",Scale!$X69=0),"","باسکول")</f>
        <v/>
      </c>
      <c r="D247" s="80">
        <f>IF(OR(Scale!$X69="",Scale!$X69=0),"",Scale!$X69)</f>
        <v/>
      </c>
      <c r="E247" s="81">
        <f>IF(OR(Scale!$X69="",Scale!$X69=0),"",IF(Scale!$X69="","","مقابل: "&amp;Scale!$E69))</f>
        <v/>
      </c>
      <c r="F247" s="83" t="n"/>
      <c r="G247" s="83" t="n"/>
      <c r="H247" s="83" t="n"/>
      <c r="I247" s="83" t="n"/>
      <c r="J247" s="83" t="n"/>
      <c r="K247" s="82">
        <f>IF(OR(Scale!$X69="",Scale!$X69=0),"",IF(Scale!$Y69="",0,Scale!$Y69)+IF(Scale!$Z69="",0,Scale!$Z69))</f>
        <v/>
      </c>
      <c r="L247" s="82">
        <f>IF(OR(Scale!$X69="",Scale!$X69=0),"",Scale!$Y69)</f>
        <v/>
      </c>
      <c r="M247" s="82">
        <f>IF(OR(Scale!$X69="",Scale!$X69=0),"",Scale!$Z69)</f>
        <v/>
      </c>
      <c r="N247" s="81">
        <f>IF(OR(Scale!$X69="",Scale!$X69=0),"","مقابل")</f>
        <v/>
      </c>
      <c r="O247" s="81">
        <f>IF(OR(Scale!$X69="",Scale!$X69=0),"",IFERROR(VLOOKUP(Scale!$X69,AcctTbl,3,0),""))</f>
        <v/>
      </c>
      <c r="P247" s="82">
        <f>IF(Scale!$X69&lt;&gt;"X011","","BN02")</f>
        <v/>
      </c>
    </row>
    <row r="248" ht="20.25" customHeight="1">
      <c r="A248" s="80">
        <f>IF(OR(Scale!$AA69="",Scale!$AA69=0),"",Scale!$B69)</f>
        <v/>
      </c>
      <c r="B248" s="80">
        <f>IF(OR(Scale!$AA69="",Scale!$AA69=0),"",Scale!$D69)</f>
        <v/>
      </c>
      <c r="C248" s="80">
        <f>IF(OR(Scale!$AA69="",Scale!$AA69=0),"","باسکول")</f>
        <v/>
      </c>
      <c r="D248" s="80">
        <f>IF(OR(Scale!$AA69="",Scale!$AA69=0),"",Scale!$AA69)</f>
        <v/>
      </c>
      <c r="E248" s="81">
        <f>IF(OR(Scale!$AA69="",Scale!$AA69=0),"",IF(Scale!$AA69="","","پوز باسکول — "&amp;Scale!$E69))</f>
        <v/>
      </c>
      <c r="F248" s="83" t="n"/>
      <c r="G248" s="83" t="n"/>
      <c r="H248" s="83" t="n"/>
      <c r="I248" s="83" t="n"/>
      <c r="J248" s="83" t="n"/>
      <c r="K248" s="82">
        <f>IF(OR(Scale!$AA69="",Scale!$AA69=0),"",IF(Scale!$AB69="",0,Scale!$AB69)+IF(Scale!$AC69="",0,Scale!$AC69))</f>
        <v/>
      </c>
      <c r="L248" s="82">
        <f>IF(OR(Scale!$AA69="",Scale!$AA69=0),"",Scale!$AB69)</f>
        <v/>
      </c>
      <c r="M248" s="82">
        <f>IF(OR(Scale!$AA69="",Scale!$AA69=0),"",Scale!$AC69)</f>
        <v/>
      </c>
      <c r="N248" s="81">
        <f>IF(OR(Scale!$AA69="",Scale!$AA69=0),"","پوز")</f>
        <v/>
      </c>
      <c r="O248" s="81">
        <f>IF(OR(Scale!$AA69="",Scale!$AA69=0),"",IFERROR(VLOOKUP(Scale!$AA69,AcctTbl,3,0),""))</f>
        <v/>
      </c>
      <c r="P248" s="82">
        <f>IF(Scale!$AA69&lt;&gt;"X011","","BN02")</f>
        <v/>
      </c>
    </row>
    <row r="249" ht="20.25" customHeight="1">
      <c r="A249" s="80">
        <f>IF(OR(Scale!$AD69="",Scale!$AD69=0),"",Scale!$B69)</f>
        <v/>
      </c>
      <c r="B249" s="80">
        <f>IF(OR(Scale!$AD69="",Scale!$AD69=0),"",Scale!$D69)</f>
        <v/>
      </c>
      <c r="C249" s="80">
        <f>IF(OR(Scale!$AD69="",Scale!$AD69=0),"","باسکول")</f>
        <v/>
      </c>
      <c r="D249" s="80">
        <f>IF(OR(Scale!$AD69="",Scale!$AD69=0),"",Scale!$AD69)</f>
        <v/>
      </c>
      <c r="E249" s="81">
        <f>IF(OR(Scale!$AD69="",Scale!$AD69=0),"",IF(Scale!$AD69="","","مقابل پوز — "&amp;Scale!$E69))</f>
        <v/>
      </c>
      <c r="F249" s="83" t="n"/>
      <c r="G249" s="83" t="n"/>
      <c r="H249" s="83" t="n"/>
      <c r="I249" s="83" t="n"/>
      <c r="J249" s="83" t="n"/>
      <c r="K249" s="82">
        <f>IF(OR(Scale!$AD69="",Scale!$AD69=0),"",IF(Scale!$AE69="",0,Scale!$AE69)+IF(Scale!$AF69="",0,Scale!$AF69))</f>
        <v/>
      </c>
      <c r="L249" s="82">
        <f>IF(OR(Scale!$AD69="",Scale!$AD69=0),"",Scale!$AE69)</f>
        <v/>
      </c>
      <c r="M249" s="82">
        <f>IF(OR(Scale!$AD69="",Scale!$AD69=0),"",Scale!$AF69)</f>
        <v/>
      </c>
      <c r="N249" s="81">
        <f>IF(OR(Scale!$AD69="",Scale!$AD69=0),"","مقابل پوز")</f>
        <v/>
      </c>
      <c r="O249" s="81">
        <f>IF(OR(Scale!$AD69="",Scale!$AD69=0),"",IFERROR(VLOOKUP(Scale!$AD69,AcctTbl,3,0),""))</f>
        <v/>
      </c>
      <c r="P249" s="82">
        <f>IF(Scale!$AD69&lt;&gt;"X011","","BN02")</f>
        <v/>
      </c>
    </row>
    <row r="250" ht="20.25" customHeight="1">
      <c r="A250" s="80">
        <f>IF(OR(Scale!$U70="",Scale!$U70=0),"",Scale!$B70)</f>
        <v/>
      </c>
      <c r="B250" s="80">
        <f>IF(OR(Scale!$U70="",Scale!$U70=0),"",Scale!$D70)</f>
        <v/>
      </c>
      <c r="C250" s="80">
        <f>IF(OR(Scale!$U70="",Scale!$U70=0),"","باسکول")</f>
        <v/>
      </c>
      <c r="D250" s="80">
        <f>IF(OR(Scale!$U70="",Scale!$U70=0),"",Scale!$U70)</f>
        <v/>
      </c>
      <c r="E250" s="81">
        <f>IF(OR(Scale!$U70="",Scale!$U70=0),"",Scale!$T70)</f>
        <v/>
      </c>
      <c r="F250" s="81">
        <f>IF(OR(Scale!$U70="",Scale!$U70=0),"",Scale!$J70)</f>
        <v/>
      </c>
      <c r="G250" s="82">
        <f>IF(OR(Scale!$U70="",Scale!$U70=0),"",Scale!$M70)</f>
        <v/>
      </c>
      <c r="H250" s="82">
        <f>IF(OR(Scale!$U70="",Scale!$U70=0),"",Scale!$L70)</f>
        <v/>
      </c>
      <c r="I250" s="82">
        <f>IF(OR(Scale!$U70="",Scale!$U70=0),"",Scale!$N70)</f>
        <v/>
      </c>
      <c r="J250" s="82">
        <f>IF(OR(Scale!$U70="",Scale!$U70=0),"",Scale!$O70)</f>
        <v/>
      </c>
      <c r="K250" s="82">
        <f>IF(OR(Scale!$U70="",Scale!$U70=0),"",IF(Scale!$V70="",0,Scale!$V70)+IF(Scale!$W70="",0,Scale!$W70))</f>
        <v/>
      </c>
      <c r="L250" s="82">
        <f>IF(OR(Scale!$U70="",Scale!$U70=0),"",Scale!$V70)</f>
        <v/>
      </c>
      <c r="M250" s="82">
        <f>IF(OR(Scale!$U70="",Scale!$U70=0),"",Scale!$W70)</f>
        <v/>
      </c>
      <c r="N250" s="81">
        <f>IF(OR(Scale!$U70="",Scale!$U70=0),"",Scale!$E70)</f>
        <v/>
      </c>
      <c r="O250" s="81">
        <f>IF(OR(Scale!$U70="",Scale!$U70=0),"",IFERROR(VLOOKUP(Scale!$U70,AcctTbl,3,0),""))</f>
        <v/>
      </c>
      <c r="P250" s="82">
        <f>IF(Scale!$U70&lt;&gt;"X011","","BN02")</f>
        <v/>
      </c>
    </row>
    <row r="251" ht="20.25" customHeight="1">
      <c r="A251" s="80">
        <f>IF(OR(Scale!$X70="",Scale!$X70=0),"",Scale!$B70)</f>
        <v/>
      </c>
      <c r="B251" s="80">
        <f>IF(OR(Scale!$X70="",Scale!$X70=0),"",Scale!$D70)</f>
        <v/>
      </c>
      <c r="C251" s="80">
        <f>IF(OR(Scale!$X70="",Scale!$X70=0),"","باسکول")</f>
        <v/>
      </c>
      <c r="D251" s="80">
        <f>IF(OR(Scale!$X70="",Scale!$X70=0),"",Scale!$X70)</f>
        <v/>
      </c>
      <c r="E251" s="81">
        <f>IF(OR(Scale!$X70="",Scale!$X70=0),"",IF(Scale!$X70="","","مقابل: "&amp;Scale!$E70))</f>
        <v/>
      </c>
      <c r="F251" s="83" t="n"/>
      <c r="G251" s="83" t="n"/>
      <c r="H251" s="83" t="n"/>
      <c r="I251" s="83" t="n"/>
      <c r="J251" s="83" t="n"/>
      <c r="K251" s="82">
        <f>IF(OR(Scale!$X70="",Scale!$X70=0),"",IF(Scale!$Y70="",0,Scale!$Y70)+IF(Scale!$Z70="",0,Scale!$Z70))</f>
        <v/>
      </c>
      <c r="L251" s="82">
        <f>IF(OR(Scale!$X70="",Scale!$X70=0),"",Scale!$Y70)</f>
        <v/>
      </c>
      <c r="M251" s="82">
        <f>IF(OR(Scale!$X70="",Scale!$X70=0),"",Scale!$Z70)</f>
        <v/>
      </c>
      <c r="N251" s="81">
        <f>IF(OR(Scale!$X70="",Scale!$X70=0),"","مقابل")</f>
        <v/>
      </c>
      <c r="O251" s="81">
        <f>IF(OR(Scale!$X70="",Scale!$X70=0),"",IFERROR(VLOOKUP(Scale!$X70,AcctTbl,3,0),""))</f>
        <v/>
      </c>
      <c r="P251" s="82">
        <f>IF(Scale!$X70&lt;&gt;"X011","","BN02")</f>
        <v/>
      </c>
    </row>
    <row r="252" ht="20.25" customHeight="1">
      <c r="A252" s="80">
        <f>IF(OR(Scale!$AA70="",Scale!$AA70=0),"",Scale!$B70)</f>
        <v/>
      </c>
      <c r="B252" s="80">
        <f>IF(OR(Scale!$AA70="",Scale!$AA70=0),"",Scale!$D70)</f>
        <v/>
      </c>
      <c r="C252" s="80">
        <f>IF(OR(Scale!$AA70="",Scale!$AA70=0),"","باسکول")</f>
        <v/>
      </c>
      <c r="D252" s="80">
        <f>IF(OR(Scale!$AA70="",Scale!$AA70=0),"",Scale!$AA70)</f>
        <v/>
      </c>
      <c r="E252" s="81">
        <f>IF(OR(Scale!$AA70="",Scale!$AA70=0),"",IF(Scale!$AA70="","","پوز باسکول — "&amp;Scale!$E70))</f>
        <v/>
      </c>
      <c r="F252" s="83" t="n"/>
      <c r="G252" s="83" t="n"/>
      <c r="H252" s="83" t="n"/>
      <c r="I252" s="83" t="n"/>
      <c r="J252" s="83" t="n"/>
      <c r="K252" s="82">
        <f>IF(OR(Scale!$AA70="",Scale!$AA70=0),"",IF(Scale!$AB70="",0,Scale!$AB70)+IF(Scale!$AC70="",0,Scale!$AC70))</f>
        <v/>
      </c>
      <c r="L252" s="82">
        <f>IF(OR(Scale!$AA70="",Scale!$AA70=0),"",Scale!$AB70)</f>
        <v/>
      </c>
      <c r="M252" s="82">
        <f>IF(OR(Scale!$AA70="",Scale!$AA70=0),"",Scale!$AC70)</f>
        <v/>
      </c>
      <c r="N252" s="81">
        <f>IF(OR(Scale!$AA70="",Scale!$AA70=0),"","پوز")</f>
        <v/>
      </c>
      <c r="O252" s="81">
        <f>IF(OR(Scale!$AA70="",Scale!$AA70=0),"",IFERROR(VLOOKUP(Scale!$AA70,AcctTbl,3,0),""))</f>
        <v/>
      </c>
      <c r="P252" s="82">
        <f>IF(Scale!$AA70&lt;&gt;"X011","","BN02")</f>
        <v/>
      </c>
    </row>
    <row r="253" ht="20.25" customHeight="1">
      <c r="A253" s="80">
        <f>IF(OR(Scale!$AD70="",Scale!$AD70=0),"",Scale!$B70)</f>
        <v/>
      </c>
      <c r="B253" s="80">
        <f>IF(OR(Scale!$AD70="",Scale!$AD70=0),"",Scale!$D70)</f>
        <v/>
      </c>
      <c r="C253" s="80">
        <f>IF(OR(Scale!$AD70="",Scale!$AD70=0),"","باسکول")</f>
        <v/>
      </c>
      <c r="D253" s="80">
        <f>IF(OR(Scale!$AD70="",Scale!$AD70=0),"",Scale!$AD70)</f>
        <v/>
      </c>
      <c r="E253" s="81">
        <f>IF(OR(Scale!$AD70="",Scale!$AD70=0),"",IF(Scale!$AD70="","","مقابل پوز — "&amp;Scale!$E70))</f>
        <v/>
      </c>
      <c r="F253" s="83" t="n"/>
      <c r="G253" s="83" t="n"/>
      <c r="H253" s="83" t="n"/>
      <c r="I253" s="83" t="n"/>
      <c r="J253" s="83" t="n"/>
      <c r="K253" s="82">
        <f>IF(OR(Scale!$AD70="",Scale!$AD70=0),"",IF(Scale!$AE70="",0,Scale!$AE70)+IF(Scale!$AF70="",0,Scale!$AF70))</f>
        <v/>
      </c>
      <c r="L253" s="82">
        <f>IF(OR(Scale!$AD70="",Scale!$AD70=0),"",Scale!$AE70)</f>
        <v/>
      </c>
      <c r="M253" s="82">
        <f>IF(OR(Scale!$AD70="",Scale!$AD70=0),"",Scale!$AF70)</f>
        <v/>
      </c>
      <c r="N253" s="81">
        <f>IF(OR(Scale!$AD70="",Scale!$AD70=0),"","مقابل پوز")</f>
        <v/>
      </c>
      <c r="O253" s="81">
        <f>IF(OR(Scale!$AD70="",Scale!$AD70=0),"",IFERROR(VLOOKUP(Scale!$AD70,AcctTbl,3,0),""))</f>
        <v/>
      </c>
      <c r="P253" s="82">
        <f>IF(Scale!$AD70&lt;&gt;"X011","","BN02")</f>
        <v/>
      </c>
    </row>
    <row r="254" ht="20.25" customHeight="1">
      <c r="A254" s="80">
        <f>IF(OR(Scale!$U71="",Scale!$U71=0),"",Scale!$B71)</f>
        <v/>
      </c>
      <c r="B254" s="80">
        <f>IF(OR(Scale!$U71="",Scale!$U71=0),"",Scale!$D71)</f>
        <v/>
      </c>
      <c r="C254" s="80">
        <f>IF(OR(Scale!$U71="",Scale!$U71=0),"","باسکول")</f>
        <v/>
      </c>
      <c r="D254" s="80">
        <f>IF(OR(Scale!$U71="",Scale!$U71=0),"",Scale!$U71)</f>
        <v/>
      </c>
      <c r="E254" s="81">
        <f>IF(OR(Scale!$U71="",Scale!$U71=0),"",Scale!$T71)</f>
        <v/>
      </c>
      <c r="F254" s="81">
        <f>IF(OR(Scale!$U71="",Scale!$U71=0),"",Scale!$J71)</f>
        <v/>
      </c>
      <c r="G254" s="82">
        <f>IF(OR(Scale!$U71="",Scale!$U71=0),"",Scale!$M71)</f>
        <v/>
      </c>
      <c r="H254" s="82">
        <f>IF(OR(Scale!$U71="",Scale!$U71=0),"",Scale!$L71)</f>
        <v/>
      </c>
      <c r="I254" s="82">
        <f>IF(OR(Scale!$U71="",Scale!$U71=0),"",Scale!$N71)</f>
        <v/>
      </c>
      <c r="J254" s="82">
        <f>IF(OR(Scale!$U71="",Scale!$U71=0),"",Scale!$O71)</f>
        <v/>
      </c>
      <c r="K254" s="82">
        <f>IF(OR(Scale!$U71="",Scale!$U71=0),"",IF(Scale!$V71="",0,Scale!$V71)+IF(Scale!$W71="",0,Scale!$W71))</f>
        <v/>
      </c>
      <c r="L254" s="82">
        <f>IF(OR(Scale!$U71="",Scale!$U71=0),"",Scale!$V71)</f>
        <v/>
      </c>
      <c r="M254" s="82">
        <f>IF(OR(Scale!$U71="",Scale!$U71=0),"",Scale!$W71)</f>
        <v/>
      </c>
      <c r="N254" s="81">
        <f>IF(OR(Scale!$U71="",Scale!$U71=0),"",Scale!$E71)</f>
        <v/>
      </c>
      <c r="O254" s="81">
        <f>IF(OR(Scale!$U71="",Scale!$U71=0),"",IFERROR(VLOOKUP(Scale!$U71,AcctTbl,3,0),""))</f>
        <v/>
      </c>
      <c r="P254" s="82">
        <f>IF(Scale!$U71&lt;&gt;"X011","","BN02")</f>
        <v/>
      </c>
    </row>
    <row r="255" ht="20.25" customHeight="1">
      <c r="A255" s="80">
        <f>IF(OR(Scale!$X71="",Scale!$X71=0),"",Scale!$B71)</f>
        <v/>
      </c>
      <c r="B255" s="80">
        <f>IF(OR(Scale!$X71="",Scale!$X71=0),"",Scale!$D71)</f>
        <v/>
      </c>
      <c r="C255" s="80">
        <f>IF(OR(Scale!$X71="",Scale!$X71=0),"","باسکول")</f>
        <v/>
      </c>
      <c r="D255" s="80">
        <f>IF(OR(Scale!$X71="",Scale!$X71=0),"",Scale!$X71)</f>
        <v/>
      </c>
      <c r="E255" s="81">
        <f>IF(OR(Scale!$X71="",Scale!$X71=0),"",IF(Scale!$X71="","","مقابل: "&amp;Scale!$E71))</f>
        <v/>
      </c>
      <c r="F255" s="83" t="n"/>
      <c r="G255" s="83" t="n"/>
      <c r="H255" s="83" t="n"/>
      <c r="I255" s="83" t="n"/>
      <c r="J255" s="83" t="n"/>
      <c r="K255" s="82">
        <f>IF(OR(Scale!$X71="",Scale!$X71=0),"",IF(Scale!$Y71="",0,Scale!$Y71)+IF(Scale!$Z71="",0,Scale!$Z71))</f>
        <v/>
      </c>
      <c r="L255" s="82">
        <f>IF(OR(Scale!$X71="",Scale!$X71=0),"",Scale!$Y71)</f>
        <v/>
      </c>
      <c r="M255" s="82">
        <f>IF(OR(Scale!$X71="",Scale!$X71=0),"",Scale!$Z71)</f>
        <v/>
      </c>
      <c r="N255" s="81">
        <f>IF(OR(Scale!$X71="",Scale!$X71=0),"","مقابل")</f>
        <v/>
      </c>
      <c r="O255" s="81">
        <f>IF(OR(Scale!$X71="",Scale!$X71=0),"",IFERROR(VLOOKUP(Scale!$X71,AcctTbl,3,0),""))</f>
        <v/>
      </c>
      <c r="P255" s="82">
        <f>IF(Scale!$X71&lt;&gt;"X011","","BN02")</f>
        <v/>
      </c>
    </row>
    <row r="256" ht="20.25" customHeight="1">
      <c r="A256" s="80">
        <f>IF(OR(Scale!$AA71="",Scale!$AA71=0),"",Scale!$B71)</f>
        <v/>
      </c>
      <c r="B256" s="80">
        <f>IF(OR(Scale!$AA71="",Scale!$AA71=0),"",Scale!$D71)</f>
        <v/>
      </c>
      <c r="C256" s="80">
        <f>IF(OR(Scale!$AA71="",Scale!$AA71=0),"","باسکول")</f>
        <v/>
      </c>
      <c r="D256" s="80">
        <f>IF(OR(Scale!$AA71="",Scale!$AA71=0),"",Scale!$AA71)</f>
        <v/>
      </c>
      <c r="E256" s="81">
        <f>IF(OR(Scale!$AA71="",Scale!$AA71=0),"",IF(Scale!$AA71="","","پوز باسکول — "&amp;Scale!$E71))</f>
        <v/>
      </c>
      <c r="F256" s="83" t="n"/>
      <c r="G256" s="83" t="n"/>
      <c r="H256" s="83" t="n"/>
      <c r="I256" s="83" t="n"/>
      <c r="J256" s="83" t="n"/>
      <c r="K256" s="82">
        <f>IF(OR(Scale!$AA71="",Scale!$AA71=0),"",IF(Scale!$AB71="",0,Scale!$AB71)+IF(Scale!$AC71="",0,Scale!$AC71))</f>
        <v/>
      </c>
      <c r="L256" s="82">
        <f>IF(OR(Scale!$AA71="",Scale!$AA71=0),"",Scale!$AB71)</f>
        <v/>
      </c>
      <c r="M256" s="82">
        <f>IF(OR(Scale!$AA71="",Scale!$AA71=0),"",Scale!$AC71)</f>
        <v/>
      </c>
      <c r="N256" s="81">
        <f>IF(OR(Scale!$AA71="",Scale!$AA71=0),"","پوز")</f>
        <v/>
      </c>
      <c r="O256" s="81">
        <f>IF(OR(Scale!$AA71="",Scale!$AA71=0),"",IFERROR(VLOOKUP(Scale!$AA71,AcctTbl,3,0),""))</f>
        <v/>
      </c>
      <c r="P256" s="82">
        <f>IF(Scale!$AA71&lt;&gt;"X011","","BN02")</f>
        <v/>
      </c>
    </row>
    <row r="257" ht="20.25" customHeight="1">
      <c r="A257" s="80">
        <f>IF(OR(Scale!$AD71="",Scale!$AD71=0),"",Scale!$B71)</f>
        <v/>
      </c>
      <c r="B257" s="80">
        <f>IF(OR(Scale!$AD71="",Scale!$AD71=0),"",Scale!$D71)</f>
        <v/>
      </c>
      <c r="C257" s="80">
        <f>IF(OR(Scale!$AD71="",Scale!$AD71=0),"","باسکول")</f>
        <v/>
      </c>
      <c r="D257" s="80">
        <f>IF(OR(Scale!$AD71="",Scale!$AD71=0),"",Scale!$AD71)</f>
        <v/>
      </c>
      <c r="E257" s="81">
        <f>IF(OR(Scale!$AD71="",Scale!$AD71=0),"",IF(Scale!$AD71="","","مقابل پوز — "&amp;Scale!$E71))</f>
        <v/>
      </c>
      <c r="F257" s="83" t="n"/>
      <c r="G257" s="83" t="n"/>
      <c r="H257" s="83" t="n"/>
      <c r="I257" s="83" t="n"/>
      <c r="J257" s="83" t="n"/>
      <c r="K257" s="82">
        <f>IF(OR(Scale!$AD71="",Scale!$AD71=0),"",IF(Scale!$AE71="",0,Scale!$AE71)+IF(Scale!$AF71="",0,Scale!$AF71))</f>
        <v/>
      </c>
      <c r="L257" s="82">
        <f>IF(OR(Scale!$AD71="",Scale!$AD71=0),"",Scale!$AE71)</f>
        <v/>
      </c>
      <c r="M257" s="82">
        <f>IF(OR(Scale!$AD71="",Scale!$AD71=0),"",Scale!$AF71)</f>
        <v/>
      </c>
      <c r="N257" s="81">
        <f>IF(OR(Scale!$AD71="",Scale!$AD71=0),"","مقابل پوز")</f>
        <v/>
      </c>
      <c r="O257" s="81">
        <f>IF(OR(Scale!$AD71="",Scale!$AD71=0),"",IFERROR(VLOOKUP(Scale!$AD71,AcctTbl,3,0),""))</f>
        <v/>
      </c>
      <c r="P257" s="82">
        <f>IF(Scale!$AD71&lt;&gt;"X011","","BN02")</f>
        <v/>
      </c>
    </row>
    <row r="258" ht="20.25" customHeight="1">
      <c r="A258" s="80">
        <f>IF(OR(Scale!$U72="",Scale!$U72=0),"",Scale!$B72)</f>
        <v/>
      </c>
      <c r="B258" s="80">
        <f>IF(OR(Scale!$U72="",Scale!$U72=0),"",Scale!$D72)</f>
        <v/>
      </c>
      <c r="C258" s="80">
        <f>IF(OR(Scale!$U72="",Scale!$U72=0),"","باسکول")</f>
        <v/>
      </c>
      <c r="D258" s="80">
        <f>IF(OR(Scale!$U72="",Scale!$U72=0),"",Scale!$U72)</f>
        <v/>
      </c>
      <c r="E258" s="81">
        <f>IF(OR(Scale!$U72="",Scale!$U72=0),"",Scale!$T72)</f>
        <v/>
      </c>
      <c r="F258" s="81">
        <f>IF(OR(Scale!$U72="",Scale!$U72=0),"",Scale!$J72)</f>
        <v/>
      </c>
      <c r="G258" s="82">
        <f>IF(OR(Scale!$U72="",Scale!$U72=0),"",Scale!$M72)</f>
        <v/>
      </c>
      <c r="H258" s="82">
        <f>IF(OR(Scale!$U72="",Scale!$U72=0),"",Scale!$L72)</f>
        <v/>
      </c>
      <c r="I258" s="82">
        <f>IF(OR(Scale!$U72="",Scale!$U72=0),"",Scale!$N72)</f>
        <v/>
      </c>
      <c r="J258" s="82">
        <f>IF(OR(Scale!$U72="",Scale!$U72=0),"",Scale!$O72)</f>
        <v/>
      </c>
      <c r="K258" s="82">
        <f>IF(OR(Scale!$U72="",Scale!$U72=0),"",IF(Scale!$V72="",0,Scale!$V72)+IF(Scale!$W72="",0,Scale!$W72))</f>
        <v/>
      </c>
      <c r="L258" s="82">
        <f>IF(OR(Scale!$U72="",Scale!$U72=0),"",Scale!$V72)</f>
        <v/>
      </c>
      <c r="M258" s="82">
        <f>IF(OR(Scale!$U72="",Scale!$U72=0),"",Scale!$W72)</f>
        <v/>
      </c>
      <c r="N258" s="81">
        <f>IF(OR(Scale!$U72="",Scale!$U72=0),"",Scale!$E72)</f>
        <v/>
      </c>
      <c r="O258" s="81">
        <f>IF(OR(Scale!$U72="",Scale!$U72=0),"",IFERROR(VLOOKUP(Scale!$U72,AcctTbl,3,0),""))</f>
        <v/>
      </c>
      <c r="P258" s="82">
        <f>IF(Scale!$U72&lt;&gt;"X011","","BN02")</f>
        <v/>
      </c>
    </row>
    <row r="259" ht="20.25" customHeight="1">
      <c r="A259" s="80">
        <f>IF(OR(Scale!$X72="",Scale!$X72=0),"",Scale!$B72)</f>
        <v/>
      </c>
      <c r="B259" s="80">
        <f>IF(OR(Scale!$X72="",Scale!$X72=0),"",Scale!$D72)</f>
        <v/>
      </c>
      <c r="C259" s="80">
        <f>IF(OR(Scale!$X72="",Scale!$X72=0),"","باسکول")</f>
        <v/>
      </c>
      <c r="D259" s="80">
        <f>IF(OR(Scale!$X72="",Scale!$X72=0),"",Scale!$X72)</f>
        <v/>
      </c>
      <c r="E259" s="81">
        <f>IF(OR(Scale!$X72="",Scale!$X72=0),"",IF(Scale!$X72="","","مقابل: "&amp;Scale!$E72))</f>
        <v/>
      </c>
      <c r="F259" s="83" t="n"/>
      <c r="G259" s="83" t="n"/>
      <c r="H259" s="83" t="n"/>
      <c r="I259" s="83" t="n"/>
      <c r="J259" s="83" t="n"/>
      <c r="K259" s="82">
        <f>IF(OR(Scale!$X72="",Scale!$X72=0),"",IF(Scale!$Y72="",0,Scale!$Y72)+IF(Scale!$Z72="",0,Scale!$Z72))</f>
        <v/>
      </c>
      <c r="L259" s="82">
        <f>IF(OR(Scale!$X72="",Scale!$X72=0),"",Scale!$Y72)</f>
        <v/>
      </c>
      <c r="M259" s="82">
        <f>IF(OR(Scale!$X72="",Scale!$X72=0),"",Scale!$Z72)</f>
        <v/>
      </c>
      <c r="N259" s="81">
        <f>IF(OR(Scale!$X72="",Scale!$X72=0),"","مقابل")</f>
        <v/>
      </c>
      <c r="O259" s="81">
        <f>IF(OR(Scale!$X72="",Scale!$X72=0),"",IFERROR(VLOOKUP(Scale!$X72,AcctTbl,3,0),""))</f>
        <v/>
      </c>
      <c r="P259" s="82">
        <f>IF(Scale!$X72&lt;&gt;"X011","","BN02")</f>
        <v/>
      </c>
    </row>
    <row r="260" ht="20.25" customHeight="1">
      <c r="A260" s="80">
        <f>IF(OR(Scale!$AA72="",Scale!$AA72=0),"",Scale!$B72)</f>
        <v/>
      </c>
      <c r="B260" s="80">
        <f>IF(OR(Scale!$AA72="",Scale!$AA72=0),"",Scale!$D72)</f>
        <v/>
      </c>
      <c r="C260" s="80">
        <f>IF(OR(Scale!$AA72="",Scale!$AA72=0),"","باسکول")</f>
        <v/>
      </c>
      <c r="D260" s="80">
        <f>IF(OR(Scale!$AA72="",Scale!$AA72=0),"",Scale!$AA72)</f>
        <v/>
      </c>
      <c r="E260" s="81">
        <f>IF(OR(Scale!$AA72="",Scale!$AA72=0),"",IF(Scale!$AA72="","","پوز باسکول — "&amp;Scale!$E72))</f>
        <v/>
      </c>
      <c r="F260" s="83" t="n"/>
      <c r="G260" s="83" t="n"/>
      <c r="H260" s="83" t="n"/>
      <c r="I260" s="83" t="n"/>
      <c r="J260" s="83" t="n"/>
      <c r="K260" s="82">
        <f>IF(OR(Scale!$AA72="",Scale!$AA72=0),"",IF(Scale!$AB72="",0,Scale!$AB72)+IF(Scale!$AC72="",0,Scale!$AC72))</f>
        <v/>
      </c>
      <c r="L260" s="82">
        <f>IF(OR(Scale!$AA72="",Scale!$AA72=0),"",Scale!$AB72)</f>
        <v/>
      </c>
      <c r="M260" s="82">
        <f>IF(OR(Scale!$AA72="",Scale!$AA72=0),"",Scale!$AC72)</f>
        <v/>
      </c>
      <c r="N260" s="81">
        <f>IF(OR(Scale!$AA72="",Scale!$AA72=0),"","پوز")</f>
        <v/>
      </c>
      <c r="O260" s="81">
        <f>IF(OR(Scale!$AA72="",Scale!$AA72=0),"",IFERROR(VLOOKUP(Scale!$AA72,AcctTbl,3,0),""))</f>
        <v/>
      </c>
      <c r="P260" s="82">
        <f>IF(Scale!$AA72&lt;&gt;"X011","","BN02")</f>
        <v/>
      </c>
    </row>
    <row r="261" ht="20.25" customHeight="1">
      <c r="A261" s="80">
        <f>IF(OR(Scale!$AD72="",Scale!$AD72=0),"",Scale!$B72)</f>
        <v/>
      </c>
      <c r="B261" s="80">
        <f>IF(OR(Scale!$AD72="",Scale!$AD72=0),"",Scale!$D72)</f>
        <v/>
      </c>
      <c r="C261" s="80">
        <f>IF(OR(Scale!$AD72="",Scale!$AD72=0),"","باسکول")</f>
        <v/>
      </c>
      <c r="D261" s="80">
        <f>IF(OR(Scale!$AD72="",Scale!$AD72=0),"",Scale!$AD72)</f>
        <v/>
      </c>
      <c r="E261" s="81">
        <f>IF(OR(Scale!$AD72="",Scale!$AD72=0),"",IF(Scale!$AD72="","","مقابل پوز — "&amp;Scale!$E72))</f>
        <v/>
      </c>
      <c r="F261" s="83" t="n"/>
      <c r="G261" s="83" t="n"/>
      <c r="H261" s="83" t="n"/>
      <c r="I261" s="83" t="n"/>
      <c r="J261" s="83" t="n"/>
      <c r="K261" s="82">
        <f>IF(OR(Scale!$AD72="",Scale!$AD72=0),"",IF(Scale!$AE72="",0,Scale!$AE72)+IF(Scale!$AF72="",0,Scale!$AF72))</f>
        <v/>
      </c>
      <c r="L261" s="82">
        <f>IF(OR(Scale!$AD72="",Scale!$AD72=0),"",Scale!$AE72)</f>
        <v/>
      </c>
      <c r="M261" s="82">
        <f>IF(OR(Scale!$AD72="",Scale!$AD72=0),"",Scale!$AF72)</f>
        <v/>
      </c>
      <c r="N261" s="81">
        <f>IF(OR(Scale!$AD72="",Scale!$AD72=0),"","مقابل پوز")</f>
        <v/>
      </c>
      <c r="O261" s="81">
        <f>IF(OR(Scale!$AD72="",Scale!$AD72=0),"",IFERROR(VLOOKUP(Scale!$AD72,AcctTbl,3,0),""))</f>
        <v/>
      </c>
      <c r="P261" s="82">
        <f>IF(Scale!$AD72&lt;&gt;"X011","","BN02")</f>
        <v/>
      </c>
    </row>
    <row r="262" ht="20.25" customHeight="1">
      <c r="A262" s="80">
        <f>IF(OR(Scale!$U73="",Scale!$U73=0),"",Scale!$B73)</f>
        <v/>
      </c>
      <c r="B262" s="80">
        <f>IF(OR(Scale!$U73="",Scale!$U73=0),"",Scale!$D73)</f>
        <v/>
      </c>
      <c r="C262" s="80">
        <f>IF(OR(Scale!$U73="",Scale!$U73=0),"","باسکول")</f>
        <v/>
      </c>
      <c r="D262" s="80">
        <f>IF(OR(Scale!$U73="",Scale!$U73=0),"",Scale!$U73)</f>
        <v/>
      </c>
      <c r="E262" s="81">
        <f>IF(OR(Scale!$U73="",Scale!$U73=0),"",Scale!$T73)</f>
        <v/>
      </c>
      <c r="F262" s="81">
        <f>IF(OR(Scale!$U73="",Scale!$U73=0),"",Scale!$J73)</f>
        <v/>
      </c>
      <c r="G262" s="82">
        <f>IF(OR(Scale!$U73="",Scale!$U73=0),"",Scale!$M73)</f>
        <v/>
      </c>
      <c r="H262" s="82">
        <f>IF(OR(Scale!$U73="",Scale!$U73=0),"",Scale!$L73)</f>
        <v/>
      </c>
      <c r="I262" s="82">
        <f>IF(OR(Scale!$U73="",Scale!$U73=0),"",Scale!$N73)</f>
        <v/>
      </c>
      <c r="J262" s="82">
        <f>IF(OR(Scale!$U73="",Scale!$U73=0),"",Scale!$O73)</f>
        <v/>
      </c>
      <c r="K262" s="82">
        <f>IF(OR(Scale!$U73="",Scale!$U73=0),"",IF(Scale!$V73="",0,Scale!$V73)+IF(Scale!$W73="",0,Scale!$W73))</f>
        <v/>
      </c>
      <c r="L262" s="82">
        <f>IF(OR(Scale!$U73="",Scale!$U73=0),"",Scale!$V73)</f>
        <v/>
      </c>
      <c r="M262" s="82">
        <f>IF(OR(Scale!$U73="",Scale!$U73=0),"",Scale!$W73)</f>
        <v/>
      </c>
      <c r="N262" s="81">
        <f>IF(OR(Scale!$U73="",Scale!$U73=0),"",Scale!$E73)</f>
        <v/>
      </c>
      <c r="O262" s="81">
        <f>IF(OR(Scale!$U73="",Scale!$U73=0),"",IFERROR(VLOOKUP(Scale!$U73,AcctTbl,3,0),""))</f>
        <v/>
      </c>
      <c r="P262" s="82">
        <f>IF(Scale!$U73&lt;&gt;"X011","","BN02")</f>
        <v/>
      </c>
    </row>
    <row r="263" ht="20.25" customHeight="1">
      <c r="A263" s="80">
        <f>IF(OR(Scale!$X73="",Scale!$X73=0),"",Scale!$B73)</f>
        <v/>
      </c>
      <c r="B263" s="80">
        <f>IF(OR(Scale!$X73="",Scale!$X73=0),"",Scale!$D73)</f>
        <v/>
      </c>
      <c r="C263" s="80">
        <f>IF(OR(Scale!$X73="",Scale!$X73=0),"","باسکول")</f>
        <v/>
      </c>
      <c r="D263" s="80">
        <f>IF(OR(Scale!$X73="",Scale!$X73=0),"",Scale!$X73)</f>
        <v/>
      </c>
      <c r="E263" s="81">
        <f>IF(OR(Scale!$X73="",Scale!$X73=0),"",IF(Scale!$X73="","","مقابل: "&amp;Scale!$E73))</f>
        <v/>
      </c>
      <c r="F263" s="83" t="n"/>
      <c r="G263" s="83" t="n"/>
      <c r="H263" s="83" t="n"/>
      <c r="I263" s="83" t="n"/>
      <c r="J263" s="83" t="n"/>
      <c r="K263" s="82">
        <f>IF(OR(Scale!$X73="",Scale!$X73=0),"",IF(Scale!$Y73="",0,Scale!$Y73)+IF(Scale!$Z73="",0,Scale!$Z73))</f>
        <v/>
      </c>
      <c r="L263" s="82">
        <f>IF(OR(Scale!$X73="",Scale!$X73=0),"",Scale!$Y73)</f>
        <v/>
      </c>
      <c r="M263" s="82">
        <f>IF(OR(Scale!$X73="",Scale!$X73=0),"",Scale!$Z73)</f>
        <v/>
      </c>
      <c r="N263" s="81">
        <f>IF(OR(Scale!$X73="",Scale!$X73=0),"","مقابل")</f>
        <v/>
      </c>
      <c r="O263" s="81">
        <f>IF(OR(Scale!$X73="",Scale!$X73=0),"",IFERROR(VLOOKUP(Scale!$X73,AcctTbl,3,0),""))</f>
        <v/>
      </c>
      <c r="P263" s="82">
        <f>IF(Scale!$X73&lt;&gt;"X011","","BN02")</f>
        <v/>
      </c>
    </row>
    <row r="264" ht="20.25" customHeight="1">
      <c r="A264" s="80">
        <f>IF(OR(Scale!$AA73="",Scale!$AA73=0),"",Scale!$B73)</f>
        <v/>
      </c>
      <c r="B264" s="80">
        <f>IF(OR(Scale!$AA73="",Scale!$AA73=0),"",Scale!$D73)</f>
        <v/>
      </c>
      <c r="C264" s="80">
        <f>IF(OR(Scale!$AA73="",Scale!$AA73=0),"","باسکول")</f>
        <v/>
      </c>
      <c r="D264" s="80">
        <f>IF(OR(Scale!$AA73="",Scale!$AA73=0),"",Scale!$AA73)</f>
        <v/>
      </c>
      <c r="E264" s="81">
        <f>IF(OR(Scale!$AA73="",Scale!$AA73=0),"",IF(Scale!$AA73="","","پوز باسکول — "&amp;Scale!$E73))</f>
        <v/>
      </c>
      <c r="F264" s="83" t="n"/>
      <c r="G264" s="83" t="n"/>
      <c r="H264" s="83" t="n"/>
      <c r="I264" s="83" t="n"/>
      <c r="J264" s="83" t="n"/>
      <c r="K264" s="82">
        <f>IF(OR(Scale!$AA73="",Scale!$AA73=0),"",IF(Scale!$AB73="",0,Scale!$AB73)+IF(Scale!$AC73="",0,Scale!$AC73))</f>
        <v/>
      </c>
      <c r="L264" s="82">
        <f>IF(OR(Scale!$AA73="",Scale!$AA73=0),"",Scale!$AB73)</f>
        <v/>
      </c>
      <c r="M264" s="82">
        <f>IF(OR(Scale!$AA73="",Scale!$AA73=0),"",Scale!$AC73)</f>
        <v/>
      </c>
      <c r="N264" s="81">
        <f>IF(OR(Scale!$AA73="",Scale!$AA73=0),"","پوز")</f>
        <v/>
      </c>
      <c r="O264" s="81">
        <f>IF(OR(Scale!$AA73="",Scale!$AA73=0),"",IFERROR(VLOOKUP(Scale!$AA73,AcctTbl,3,0),""))</f>
        <v/>
      </c>
      <c r="P264" s="82">
        <f>IF(Scale!$AA73&lt;&gt;"X011","","BN02")</f>
        <v/>
      </c>
    </row>
    <row r="265" ht="20.25" customHeight="1">
      <c r="A265" s="80">
        <f>IF(OR(Scale!$AD73="",Scale!$AD73=0),"",Scale!$B73)</f>
        <v/>
      </c>
      <c r="B265" s="80">
        <f>IF(OR(Scale!$AD73="",Scale!$AD73=0),"",Scale!$D73)</f>
        <v/>
      </c>
      <c r="C265" s="80">
        <f>IF(OR(Scale!$AD73="",Scale!$AD73=0),"","باسکول")</f>
        <v/>
      </c>
      <c r="D265" s="80">
        <f>IF(OR(Scale!$AD73="",Scale!$AD73=0),"",Scale!$AD73)</f>
        <v/>
      </c>
      <c r="E265" s="81">
        <f>IF(OR(Scale!$AD73="",Scale!$AD73=0),"",IF(Scale!$AD73="","","مقابل پوز — "&amp;Scale!$E73))</f>
        <v/>
      </c>
      <c r="F265" s="83" t="n"/>
      <c r="G265" s="83" t="n"/>
      <c r="H265" s="83" t="n"/>
      <c r="I265" s="83" t="n"/>
      <c r="J265" s="83" t="n"/>
      <c r="K265" s="82">
        <f>IF(OR(Scale!$AD73="",Scale!$AD73=0),"",IF(Scale!$AE73="",0,Scale!$AE73)+IF(Scale!$AF73="",0,Scale!$AF73))</f>
        <v/>
      </c>
      <c r="L265" s="82">
        <f>IF(OR(Scale!$AD73="",Scale!$AD73=0),"",Scale!$AE73)</f>
        <v/>
      </c>
      <c r="M265" s="82">
        <f>IF(OR(Scale!$AD73="",Scale!$AD73=0),"",Scale!$AF73)</f>
        <v/>
      </c>
      <c r="N265" s="81">
        <f>IF(OR(Scale!$AD73="",Scale!$AD73=0),"","مقابل پوز")</f>
        <v/>
      </c>
      <c r="O265" s="81">
        <f>IF(OR(Scale!$AD73="",Scale!$AD73=0),"",IFERROR(VLOOKUP(Scale!$AD73,AcctTbl,3,0),""))</f>
        <v/>
      </c>
      <c r="P265" s="82">
        <f>IF(Scale!$AD73&lt;&gt;"X011","","BN02")</f>
        <v/>
      </c>
    </row>
    <row r="266" ht="20.25" customHeight="1">
      <c r="A266" s="80">
        <f>IF(OR(Scale!$U74="",Scale!$U74=0),"",Scale!$B74)</f>
        <v/>
      </c>
      <c r="B266" s="80">
        <f>IF(OR(Scale!$U74="",Scale!$U74=0),"",Scale!$D74)</f>
        <v/>
      </c>
      <c r="C266" s="80">
        <f>IF(OR(Scale!$U74="",Scale!$U74=0),"","باسکول")</f>
        <v/>
      </c>
      <c r="D266" s="80">
        <f>IF(OR(Scale!$U74="",Scale!$U74=0),"",Scale!$U74)</f>
        <v/>
      </c>
      <c r="E266" s="81">
        <f>IF(OR(Scale!$U74="",Scale!$U74=0),"",Scale!$T74)</f>
        <v/>
      </c>
      <c r="F266" s="81">
        <f>IF(OR(Scale!$U74="",Scale!$U74=0),"",Scale!$J74)</f>
        <v/>
      </c>
      <c r="G266" s="82">
        <f>IF(OR(Scale!$U74="",Scale!$U74=0),"",Scale!$M74)</f>
        <v/>
      </c>
      <c r="H266" s="82">
        <f>IF(OR(Scale!$U74="",Scale!$U74=0),"",Scale!$L74)</f>
        <v/>
      </c>
      <c r="I266" s="82">
        <f>IF(OR(Scale!$U74="",Scale!$U74=0),"",Scale!$N74)</f>
        <v/>
      </c>
      <c r="J266" s="82">
        <f>IF(OR(Scale!$U74="",Scale!$U74=0),"",Scale!$O74)</f>
        <v/>
      </c>
      <c r="K266" s="82">
        <f>IF(OR(Scale!$U74="",Scale!$U74=0),"",IF(Scale!$V74="",0,Scale!$V74)+IF(Scale!$W74="",0,Scale!$W74))</f>
        <v/>
      </c>
      <c r="L266" s="82">
        <f>IF(OR(Scale!$U74="",Scale!$U74=0),"",Scale!$V74)</f>
        <v/>
      </c>
      <c r="M266" s="82">
        <f>IF(OR(Scale!$U74="",Scale!$U74=0),"",Scale!$W74)</f>
        <v/>
      </c>
      <c r="N266" s="81">
        <f>IF(OR(Scale!$U74="",Scale!$U74=0),"",Scale!$E74)</f>
        <v/>
      </c>
      <c r="O266" s="81">
        <f>IF(OR(Scale!$U74="",Scale!$U74=0),"",IFERROR(VLOOKUP(Scale!$U74,AcctTbl,3,0),""))</f>
        <v/>
      </c>
      <c r="P266" s="82">
        <f>IF(Scale!$U74&lt;&gt;"X011","","BN02")</f>
        <v/>
      </c>
    </row>
    <row r="267" ht="20.25" customHeight="1">
      <c r="A267" s="80">
        <f>IF(OR(Scale!$X74="",Scale!$X74=0),"",Scale!$B74)</f>
        <v/>
      </c>
      <c r="B267" s="80">
        <f>IF(OR(Scale!$X74="",Scale!$X74=0),"",Scale!$D74)</f>
        <v/>
      </c>
      <c r="C267" s="80">
        <f>IF(OR(Scale!$X74="",Scale!$X74=0),"","باسکول")</f>
        <v/>
      </c>
      <c r="D267" s="80">
        <f>IF(OR(Scale!$X74="",Scale!$X74=0),"",Scale!$X74)</f>
        <v/>
      </c>
      <c r="E267" s="81">
        <f>IF(OR(Scale!$X74="",Scale!$X74=0),"",IF(Scale!$X74="","","مقابل: "&amp;Scale!$E74))</f>
        <v/>
      </c>
      <c r="F267" s="83" t="n"/>
      <c r="G267" s="83" t="n"/>
      <c r="H267" s="83" t="n"/>
      <c r="I267" s="83" t="n"/>
      <c r="J267" s="83" t="n"/>
      <c r="K267" s="82">
        <f>IF(OR(Scale!$X74="",Scale!$X74=0),"",IF(Scale!$Y74="",0,Scale!$Y74)+IF(Scale!$Z74="",0,Scale!$Z74))</f>
        <v/>
      </c>
      <c r="L267" s="82">
        <f>IF(OR(Scale!$X74="",Scale!$X74=0),"",Scale!$Y74)</f>
        <v/>
      </c>
      <c r="M267" s="82">
        <f>IF(OR(Scale!$X74="",Scale!$X74=0),"",Scale!$Z74)</f>
        <v/>
      </c>
      <c r="N267" s="81">
        <f>IF(OR(Scale!$X74="",Scale!$X74=0),"","مقابل")</f>
        <v/>
      </c>
      <c r="O267" s="81">
        <f>IF(OR(Scale!$X74="",Scale!$X74=0),"",IFERROR(VLOOKUP(Scale!$X74,AcctTbl,3,0),""))</f>
        <v/>
      </c>
      <c r="P267" s="82">
        <f>IF(Scale!$X74&lt;&gt;"X011","","BN02")</f>
        <v/>
      </c>
    </row>
    <row r="268" ht="20.25" customHeight="1">
      <c r="A268" s="80">
        <f>IF(OR(Scale!$AA74="",Scale!$AA74=0),"",Scale!$B74)</f>
        <v/>
      </c>
      <c r="B268" s="80">
        <f>IF(OR(Scale!$AA74="",Scale!$AA74=0),"",Scale!$D74)</f>
        <v/>
      </c>
      <c r="C268" s="80">
        <f>IF(OR(Scale!$AA74="",Scale!$AA74=0),"","باسکول")</f>
        <v/>
      </c>
      <c r="D268" s="80">
        <f>IF(OR(Scale!$AA74="",Scale!$AA74=0),"",Scale!$AA74)</f>
        <v/>
      </c>
      <c r="E268" s="81">
        <f>IF(OR(Scale!$AA74="",Scale!$AA74=0),"",IF(Scale!$AA74="","","پوز باسکول — "&amp;Scale!$E74))</f>
        <v/>
      </c>
      <c r="F268" s="83" t="n"/>
      <c r="G268" s="83" t="n"/>
      <c r="H268" s="83" t="n"/>
      <c r="I268" s="83" t="n"/>
      <c r="J268" s="83" t="n"/>
      <c r="K268" s="82">
        <f>IF(OR(Scale!$AA74="",Scale!$AA74=0),"",IF(Scale!$AB74="",0,Scale!$AB74)+IF(Scale!$AC74="",0,Scale!$AC74))</f>
        <v/>
      </c>
      <c r="L268" s="82">
        <f>IF(OR(Scale!$AA74="",Scale!$AA74=0),"",Scale!$AB74)</f>
        <v/>
      </c>
      <c r="M268" s="82">
        <f>IF(OR(Scale!$AA74="",Scale!$AA74=0),"",Scale!$AC74)</f>
        <v/>
      </c>
      <c r="N268" s="81">
        <f>IF(OR(Scale!$AA74="",Scale!$AA74=0),"","پوز")</f>
        <v/>
      </c>
      <c r="O268" s="81">
        <f>IF(OR(Scale!$AA74="",Scale!$AA74=0),"",IFERROR(VLOOKUP(Scale!$AA74,AcctTbl,3,0),""))</f>
        <v/>
      </c>
      <c r="P268" s="82">
        <f>IF(Scale!$AA74&lt;&gt;"X011","","BN02")</f>
        <v/>
      </c>
    </row>
    <row r="269" ht="20.25" customHeight="1">
      <c r="A269" s="80">
        <f>IF(OR(Scale!$AD74="",Scale!$AD74=0),"",Scale!$B74)</f>
        <v/>
      </c>
      <c r="B269" s="80">
        <f>IF(OR(Scale!$AD74="",Scale!$AD74=0),"",Scale!$D74)</f>
        <v/>
      </c>
      <c r="C269" s="80">
        <f>IF(OR(Scale!$AD74="",Scale!$AD74=0),"","باسکول")</f>
        <v/>
      </c>
      <c r="D269" s="80">
        <f>IF(OR(Scale!$AD74="",Scale!$AD74=0),"",Scale!$AD74)</f>
        <v/>
      </c>
      <c r="E269" s="81">
        <f>IF(OR(Scale!$AD74="",Scale!$AD74=0),"",IF(Scale!$AD74="","","مقابل پوز — "&amp;Scale!$E74))</f>
        <v/>
      </c>
      <c r="F269" s="83" t="n"/>
      <c r="G269" s="83" t="n"/>
      <c r="H269" s="83" t="n"/>
      <c r="I269" s="83" t="n"/>
      <c r="J269" s="83" t="n"/>
      <c r="K269" s="82">
        <f>IF(OR(Scale!$AD74="",Scale!$AD74=0),"",IF(Scale!$AE74="",0,Scale!$AE74)+IF(Scale!$AF74="",0,Scale!$AF74))</f>
        <v/>
      </c>
      <c r="L269" s="82">
        <f>IF(OR(Scale!$AD74="",Scale!$AD74=0),"",Scale!$AE74)</f>
        <v/>
      </c>
      <c r="M269" s="82">
        <f>IF(OR(Scale!$AD74="",Scale!$AD74=0),"",Scale!$AF74)</f>
        <v/>
      </c>
      <c r="N269" s="81">
        <f>IF(OR(Scale!$AD74="",Scale!$AD74=0),"","مقابل پوز")</f>
        <v/>
      </c>
      <c r="O269" s="81">
        <f>IF(OR(Scale!$AD74="",Scale!$AD74=0),"",IFERROR(VLOOKUP(Scale!$AD74,AcctTbl,3,0),""))</f>
        <v/>
      </c>
      <c r="P269" s="82">
        <f>IF(Scale!$AD74&lt;&gt;"X011","","BN02")</f>
        <v/>
      </c>
    </row>
    <row r="270" ht="20.25" customHeight="1">
      <c r="A270" s="80">
        <f>IF(OR(Scale!$U75="",Scale!$U75=0),"",Scale!$B75)</f>
        <v/>
      </c>
      <c r="B270" s="80">
        <f>IF(OR(Scale!$U75="",Scale!$U75=0),"",Scale!$D75)</f>
        <v/>
      </c>
      <c r="C270" s="80">
        <f>IF(OR(Scale!$U75="",Scale!$U75=0),"","باسکول")</f>
        <v/>
      </c>
      <c r="D270" s="80">
        <f>IF(OR(Scale!$U75="",Scale!$U75=0),"",Scale!$U75)</f>
        <v/>
      </c>
      <c r="E270" s="81">
        <f>IF(OR(Scale!$U75="",Scale!$U75=0),"",Scale!$T75)</f>
        <v/>
      </c>
      <c r="F270" s="81">
        <f>IF(OR(Scale!$U75="",Scale!$U75=0),"",Scale!$J75)</f>
        <v/>
      </c>
      <c r="G270" s="82">
        <f>IF(OR(Scale!$U75="",Scale!$U75=0),"",Scale!$M75)</f>
        <v/>
      </c>
      <c r="H270" s="82">
        <f>IF(OR(Scale!$U75="",Scale!$U75=0),"",Scale!$L75)</f>
        <v/>
      </c>
      <c r="I270" s="82">
        <f>IF(OR(Scale!$U75="",Scale!$U75=0),"",Scale!$N75)</f>
        <v/>
      </c>
      <c r="J270" s="82">
        <f>IF(OR(Scale!$U75="",Scale!$U75=0),"",Scale!$O75)</f>
        <v/>
      </c>
      <c r="K270" s="82">
        <f>IF(OR(Scale!$U75="",Scale!$U75=0),"",IF(Scale!$V75="",0,Scale!$V75)+IF(Scale!$W75="",0,Scale!$W75))</f>
        <v/>
      </c>
      <c r="L270" s="82">
        <f>IF(OR(Scale!$U75="",Scale!$U75=0),"",Scale!$V75)</f>
        <v/>
      </c>
      <c r="M270" s="82">
        <f>IF(OR(Scale!$U75="",Scale!$U75=0),"",Scale!$W75)</f>
        <v/>
      </c>
      <c r="N270" s="81">
        <f>IF(OR(Scale!$U75="",Scale!$U75=0),"",Scale!$E75)</f>
        <v/>
      </c>
      <c r="O270" s="81">
        <f>IF(OR(Scale!$U75="",Scale!$U75=0),"",IFERROR(VLOOKUP(Scale!$U75,AcctTbl,3,0),""))</f>
        <v/>
      </c>
      <c r="P270" s="82">
        <f>IF(Scale!$U75&lt;&gt;"X011","","BN02")</f>
        <v/>
      </c>
    </row>
    <row r="271" ht="20.25" customHeight="1">
      <c r="A271" s="80">
        <f>IF(OR(Scale!$X75="",Scale!$X75=0),"",Scale!$B75)</f>
        <v/>
      </c>
      <c r="B271" s="80">
        <f>IF(OR(Scale!$X75="",Scale!$X75=0),"",Scale!$D75)</f>
        <v/>
      </c>
      <c r="C271" s="80">
        <f>IF(OR(Scale!$X75="",Scale!$X75=0),"","باسکول")</f>
        <v/>
      </c>
      <c r="D271" s="80">
        <f>IF(OR(Scale!$X75="",Scale!$X75=0),"",Scale!$X75)</f>
        <v/>
      </c>
      <c r="E271" s="81">
        <f>IF(OR(Scale!$X75="",Scale!$X75=0),"",IF(Scale!$X75="","","مقابل: "&amp;Scale!$E75))</f>
        <v/>
      </c>
      <c r="F271" s="83" t="n"/>
      <c r="G271" s="83" t="n"/>
      <c r="H271" s="83" t="n"/>
      <c r="I271" s="83" t="n"/>
      <c r="J271" s="83" t="n"/>
      <c r="K271" s="82">
        <f>IF(OR(Scale!$X75="",Scale!$X75=0),"",IF(Scale!$Y75="",0,Scale!$Y75)+IF(Scale!$Z75="",0,Scale!$Z75))</f>
        <v/>
      </c>
      <c r="L271" s="82">
        <f>IF(OR(Scale!$X75="",Scale!$X75=0),"",Scale!$Y75)</f>
        <v/>
      </c>
      <c r="M271" s="82">
        <f>IF(OR(Scale!$X75="",Scale!$X75=0),"",Scale!$Z75)</f>
        <v/>
      </c>
      <c r="N271" s="81">
        <f>IF(OR(Scale!$X75="",Scale!$X75=0),"","مقابل")</f>
        <v/>
      </c>
      <c r="O271" s="81">
        <f>IF(OR(Scale!$X75="",Scale!$X75=0),"",IFERROR(VLOOKUP(Scale!$X75,AcctTbl,3,0),""))</f>
        <v/>
      </c>
      <c r="P271" s="82">
        <f>IF(Scale!$X75&lt;&gt;"X011","","BN02")</f>
        <v/>
      </c>
    </row>
    <row r="272" ht="20.25" customHeight="1">
      <c r="A272" s="80">
        <f>IF(OR(Scale!$AA75="",Scale!$AA75=0),"",Scale!$B75)</f>
        <v/>
      </c>
      <c r="B272" s="80">
        <f>IF(OR(Scale!$AA75="",Scale!$AA75=0),"",Scale!$D75)</f>
        <v/>
      </c>
      <c r="C272" s="80">
        <f>IF(OR(Scale!$AA75="",Scale!$AA75=0),"","باسکول")</f>
        <v/>
      </c>
      <c r="D272" s="80">
        <f>IF(OR(Scale!$AA75="",Scale!$AA75=0),"",Scale!$AA75)</f>
        <v/>
      </c>
      <c r="E272" s="81">
        <f>IF(OR(Scale!$AA75="",Scale!$AA75=0),"",IF(Scale!$AA75="","","پوز باسکول — "&amp;Scale!$E75))</f>
        <v/>
      </c>
      <c r="F272" s="83" t="n"/>
      <c r="G272" s="83" t="n"/>
      <c r="H272" s="83" t="n"/>
      <c r="I272" s="83" t="n"/>
      <c r="J272" s="83" t="n"/>
      <c r="K272" s="82">
        <f>IF(OR(Scale!$AA75="",Scale!$AA75=0),"",IF(Scale!$AB75="",0,Scale!$AB75)+IF(Scale!$AC75="",0,Scale!$AC75))</f>
        <v/>
      </c>
      <c r="L272" s="82">
        <f>IF(OR(Scale!$AA75="",Scale!$AA75=0),"",Scale!$AB75)</f>
        <v/>
      </c>
      <c r="M272" s="82">
        <f>IF(OR(Scale!$AA75="",Scale!$AA75=0),"",Scale!$AC75)</f>
        <v/>
      </c>
      <c r="N272" s="81">
        <f>IF(OR(Scale!$AA75="",Scale!$AA75=0),"","پوز")</f>
        <v/>
      </c>
      <c r="O272" s="81">
        <f>IF(OR(Scale!$AA75="",Scale!$AA75=0),"",IFERROR(VLOOKUP(Scale!$AA75,AcctTbl,3,0),""))</f>
        <v/>
      </c>
      <c r="P272" s="82">
        <f>IF(Scale!$AA75&lt;&gt;"X011","","BN02")</f>
        <v/>
      </c>
    </row>
    <row r="273" ht="20.25" customHeight="1">
      <c r="A273" s="80">
        <f>IF(OR(Scale!$AD75="",Scale!$AD75=0),"",Scale!$B75)</f>
        <v/>
      </c>
      <c r="B273" s="80">
        <f>IF(OR(Scale!$AD75="",Scale!$AD75=0),"",Scale!$D75)</f>
        <v/>
      </c>
      <c r="C273" s="80">
        <f>IF(OR(Scale!$AD75="",Scale!$AD75=0),"","باسکول")</f>
        <v/>
      </c>
      <c r="D273" s="80">
        <f>IF(OR(Scale!$AD75="",Scale!$AD75=0),"",Scale!$AD75)</f>
        <v/>
      </c>
      <c r="E273" s="81">
        <f>IF(OR(Scale!$AD75="",Scale!$AD75=0),"",IF(Scale!$AD75="","","مقابل پوز — "&amp;Scale!$E75))</f>
        <v/>
      </c>
      <c r="F273" s="83" t="n"/>
      <c r="G273" s="83" t="n"/>
      <c r="H273" s="83" t="n"/>
      <c r="I273" s="83" t="n"/>
      <c r="J273" s="83" t="n"/>
      <c r="K273" s="82">
        <f>IF(OR(Scale!$AD75="",Scale!$AD75=0),"",IF(Scale!$AE75="",0,Scale!$AE75)+IF(Scale!$AF75="",0,Scale!$AF75))</f>
        <v/>
      </c>
      <c r="L273" s="82">
        <f>IF(OR(Scale!$AD75="",Scale!$AD75=0),"",Scale!$AE75)</f>
        <v/>
      </c>
      <c r="M273" s="82">
        <f>IF(OR(Scale!$AD75="",Scale!$AD75=0),"",Scale!$AF75)</f>
        <v/>
      </c>
      <c r="N273" s="81">
        <f>IF(OR(Scale!$AD75="",Scale!$AD75=0),"","مقابل پوز")</f>
        <v/>
      </c>
      <c r="O273" s="81">
        <f>IF(OR(Scale!$AD75="",Scale!$AD75=0),"",IFERROR(VLOOKUP(Scale!$AD75,AcctTbl,3,0),""))</f>
        <v/>
      </c>
      <c r="P273" s="82">
        <f>IF(Scale!$AD75&lt;&gt;"X011","","BN02")</f>
        <v/>
      </c>
    </row>
    <row r="274" ht="20.25" customHeight="1">
      <c r="A274" s="80">
        <f>IF(OR(Scale!$U76="",Scale!$U76=0),"",Scale!$B76)</f>
        <v/>
      </c>
      <c r="B274" s="80">
        <f>IF(OR(Scale!$U76="",Scale!$U76=0),"",Scale!$D76)</f>
        <v/>
      </c>
      <c r="C274" s="80">
        <f>IF(OR(Scale!$U76="",Scale!$U76=0),"","باسکول")</f>
        <v/>
      </c>
      <c r="D274" s="80">
        <f>IF(OR(Scale!$U76="",Scale!$U76=0),"",Scale!$U76)</f>
        <v/>
      </c>
      <c r="E274" s="81">
        <f>IF(OR(Scale!$U76="",Scale!$U76=0),"",Scale!$T76)</f>
        <v/>
      </c>
      <c r="F274" s="81">
        <f>IF(OR(Scale!$U76="",Scale!$U76=0),"",Scale!$J76)</f>
        <v/>
      </c>
      <c r="G274" s="82">
        <f>IF(OR(Scale!$U76="",Scale!$U76=0),"",Scale!$M76)</f>
        <v/>
      </c>
      <c r="H274" s="82">
        <f>IF(OR(Scale!$U76="",Scale!$U76=0),"",Scale!$L76)</f>
        <v/>
      </c>
      <c r="I274" s="82">
        <f>IF(OR(Scale!$U76="",Scale!$U76=0),"",Scale!$N76)</f>
        <v/>
      </c>
      <c r="J274" s="82">
        <f>IF(OR(Scale!$U76="",Scale!$U76=0),"",Scale!$O76)</f>
        <v/>
      </c>
      <c r="K274" s="82">
        <f>IF(OR(Scale!$U76="",Scale!$U76=0),"",IF(Scale!$V76="",0,Scale!$V76)+IF(Scale!$W76="",0,Scale!$W76))</f>
        <v/>
      </c>
      <c r="L274" s="82">
        <f>IF(OR(Scale!$U76="",Scale!$U76=0),"",Scale!$V76)</f>
        <v/>
      </c>
      <c r="M274" s="82">
        <f>IF(OR(Scale!$U76="",Scale!$U76=0),"",Scale!$W76)</f>
        <v/>
      </c>
      <c r="N274" s="81">
        <f>IF(OR(Scale!$U76="",Scale!$U76=0),"",Scale!$E76)</f>
        <v/>
      </c>
      <c r="O274" s="81">
        <f>IF(OR(Scale!$U76="",Scale!$U76=0),"",IFERROR(VLOOKUP(Scale!$U76,AcctTbl,3,0),""))</f>
        <v/>
      </c>
      <c r="P274" s="82">
        <f>IF(Scale!$U76&lt;&gt;"X011","","BN02")</f>
        <v/>
      </c>
    </row>
    <row r="275" ht="20.25" customHeight="1">
      <c r="A275" s="80">
        <f>IF(OR(Scale!$X76="",Scale!$X76=0),"",Scale!$B76)</f>
        <v/>
      </c>
      <c r="B275" s="80">
        <f>IF(OR(Scale!$X76="",Scale!$X76=0),"",Scale!$D76)</f>
        <v/>
      </c>
      <c r="C275" s="80">
        <f>IF(OR(Scale!$X76="",Scale!$X76=0),"","باسکول")</f>
        <v/>
      </c>
      <c r="D275" s="80">
        <f>IF(OR(Scale!$X76="",Scale!$X76=0),"",Scale!$X76)</f>
        <v/>
      </c>
      <c r="E275" s="81">
        <f>IF(OR(Scale!$X76="",Scale!$X76=0),"",IF(Scale!$X76="","","مقابل: "&amp;Scale!$E76))</f>
        <v/>
      </c>
      <c r="F275" s="83" t="n"/>
      <c r="G275" s="83" t="n"/>
      <c r="H275" s="83" t="n"/>
      <c r="I275" s="83" t="n"/>
      <c r="J275" s="83" t="n"/>
      <c r="K275" s="82">
        <f>IF(OR(Scale!$X76="",Scale!$X76=0),"",IF(Scale!$Y76="",0,Scale!$Y76)+IF(Scale!$Z76="",0,Scale!$Z76))</f>
        <v/>
      </c>
      <c r="L275" s="82">
        <f>IF(OR(Scale!$X76="",Scale!$X76=0),"",Scale!$Y76)</f>
        <v/>
      </c>
      <c r="M275" s="82">
        <f>IF(OR(Scale!$X76="",Scale!$X76=0),"",Scale!$Z76)</f>
        <v/>
      </c>
      <c r="N275" s="81">
        <f>IF(OR(Scale!$X76="",Scale!$X76=0),"","مقابل")</f>
        <v/>
      </c>
      <c r="O275" s="81">
        <f>IF(OR(Scale!$X76="",Scale!$X76=0),"",IFERROR(VLOOKUP(Scale!$X76,AcctTbl,3,0),""))</f>
        <v/>
      </c>
      <c r="P275" s="82">
        <f>IF(Scale!$X76&lt;&gt;"X011","","BN02")</f>
        <v/>
      </c>
    </row>
    <row r="276" ht="20.25" customHeight="1">
      <c r="A276" s="80">
        <f>IF(OR(Scale!$AA76="",Scale!$AA76=0),"",Scale!$B76)</f>
        <v/>
      </c>
      <c r="B276" s="80">
        <f>IF(OR(Scale!$AA76="",Scale!$AA76=0),"",Scale!$D76)</f>
        <v/>
      </c>
      <c r="C276" s="80">
        <f>IF(OR(Scale!$AA76="",Scale!$AA76=0),"","باسکول")</f>
        <v/>
      </c>
      <c r="D276" s="80">
        <f>IF(OR(Scale!$AA76="",Scale!$AA76=0),"",Scale!$AA76)</f>
        <v/>
      </c>
      <c r="E276" s="81">
        <f>IF(OR(Scale!$AA76="",Scale!$AA76=0),"",IF(Scale!$AA76="","","پوز باسکول — "&amp;Scale!$E76))</f>
        <v/>
      </c>
      <c r="F276" s="83" t="n"/>
      <c r="G276" s="83" t="n"/>
      <c r="H276" s="83" t="n"/>
      <c r="I276" s="83" t="n"/>
      <c r="J276" s="83" t="n"/>
      <c r="K276" s="82">
        <f>IF(OR(Scale!$AA76="",Scale!$AA76=0),"",IF(Scale!$AB76="",0,Scale!$AB76)+IF(Scale!$AC76="",0,Scale!$AC76))</f>
        <v/>
      </c>
      <c r="L276" s="82">
        <f>IF(OR(Scale!$AA76="",Scale!$AA76=0),"",Scale!$AB76)</f>
        <v/>
      </c>
      <c r="M276" s="82">
        <f>IF(OR(Scale!$AA76="",Scale!$AA76=0),"",Scale!$AC76)</f>
        <v/>
      </c>
      <c r="N276" s="81">
        <f>IF(OR(Scale!$AA76="",Scale!$AA76=0),"","پوز")</f>
        <v/>
      </c>
      <c r="O276" s="81">
        <f>IF(OR(Scale!$AA76="",Scale!$AA76=0),"",IFERROR(VLOOKUP(Scale!$AA76,AcctTbl,3,0),""))</f>
        <v/>
      </c>
      <c r="P276" s="82">
        <f>IF(Scale!$AA76&lt;&gt;"X011","","BN02")</f>
        <v/>
      </c>
    </row>
    <row r="277" ht="20.25" customHeight="1">
      <c r="A277" s="80">
        <f>IF(OR(Scale!$AD76="",Scale!$AD76=0),"",Scale!$B76)</f>
        <v/>
      </c>
      <c r="B277" s="80">
        <f>IF(OR(Scale!$AD76="",Scale!$AD76=0),"",Scale!$D76)</f>
        <v/>
      </c>
      <c r="C277" s="80">
        <f>IF(OR(Scale!$AD76="",Scale!$AD76=0),"","باسکول")</f>
        <v/>
      </c>
      <c r="D277" s="80">
        <f>IF(OR(Scale!$AD76="",Scale!$AD76=0),"",Scale!$AD76)</f>
        <v/>
      </c>
      <c r="E277" s="81">
        <f>IF(OR(Scale!$AD76="",Scale!$AD76=0),"",IF(Scale!$AD76="","","مقابل پوز — "&amp;Scale!$E76))</f>
        <v/>
      </c>
      <c r="F277" s="83" t="n"/>
      <c r="G277" s="83" t="n"/>
      <c r="H277" s="83" t="n"/>
      <c r="I277" s="83" t="n"/>
      <c r="J277" s="83" t="n"/>
      <c r="K277" s="82">
        <f>IF(OR(Scale!$AD76="",Scale!$AD76=0),"",IF(Scale!$AE76="",0,Scale!$AE76)+IF(Scale!$AF76="",0,Scale!$AF76))</f>
        <v/>
      </c>
      <c r="L277" s="82">
        <f>IF(OR(Scale!$AD76="",Scale!$AD76=0),"",Scale!$AE76)</f>
        <v/>
      </c>
      <c r="M277" s="82">
        <f>IF(OR(Scale!$AD76="",Scale!$AD76=0),"",Scale!$AF76)</f>
        <v/>
      </c>
      <c r="N277" s="81">
        <f>IF(OR(Scale!$AD76="",Scale!$AD76=0),"","مقابل پوز")</f>
        <v/>
      </c>
      <c r="O277" s="81">
        <f>IF(OR(Scale!$AD76="",Scale!$AD76=0),"",IFERROR(VLOOKUP(Scale!$AD76,AcctTbl,3,0),""))</f>
        <v/>
      </c>
      <c r="P277" s="82">
        <f>IF(Scale!$AD76&lt;&gt;"X011","","BN02")</f>
        <v/>
      </c>
    </row>
    <row r="278" ht="20.25" customHeight="1">
      <c r="A278" s="80">
        <f>IF(OR(Scale!$U77="",Scale!$U77=0),"",Scale!$B77)</f>
        <v/>
      </c>
      <c r="B278" s="80">
        <f>IF(OR(Scale!$U77="",Scale!$U77=0),"",Scale!$D77)</f>
        <v/>
      </c>
      <c r="C278" s="80">
        <f>IF(OR(Scale!$U77="",Scale!$U77=0),"","باسکول")</f>
        <v/>
      </c>
      <c r="D278" s="80">
        <f>IF(OR(Scale!$U77="",Scale!$U77=0),"",Scale!$U77)</f>
        <v/>
      </c>
      <c r="E278" s="81">
        <f>IF(OR(Scale!$U77="",Scale!$U77=0),"",Scale!$T77)</f>
        <v/>
      </c>
      <c r="F278" s="81">
        <f>IF(OR(Scale!$U77="",Scale!$U77=0),"",Scale!$J77)</f>
        <v/>
      </c>
      <c r="G278" s="82">
        <f>IF(OR(Scale!$U77="",Scale!$U77=0),"",Scale!$M77)</f>
        <v/>
      </c>
      <c r="H278" s="82">
        <f>IF(OR(Scale!$U77="",Scale!$U77=0),"",Scale!$L77)</f>
        <v/>
      </c>
      <c r="I278" s="82">
        <f>IF(OR(Scale!$U77="",Scale!$U77=0),"",Scale!$N77)</f>
        <v/>
      </c>
      <c r="J278" s="82">
        <f>IF(OR(Scale!$U77="",Scale!$U77=0),"",Scale!$O77)</f>
        <v/>
      </c>
      <c r="K278" s="82">
        <f>IF(OR(Scale!$U77="",Scale!$U77=0),"",IF(Scale!$V77="",0,Scale!$V77)+IF(Scale!$W77="",0,Scale!$W77))</f>
        <v/>
      </c>
      <c r="L278" s="82">
        <f>IF(OR(Scale!$U77="",Scale!$U77=0),"",Scale!$V77)</f>
        <v/>
      </c>
      <c r="M278" s="82">
        <f>IF(OR(Scale!$U77="",Scale!$U77=0),"",Scale!$W77)</f>
        <v/>
      </c>
      <c r="N278" s="81">
        <f>IF(OR(Scale!$U77="",Scale!$U77=0),"",Scale!$E77)</f>
        <v/>
      </c>
      <c r="O278" s="81">
        <f>IF(OR(Scale!$U77="",Scale!$U77=0),"",IFERROR(VLOOKUP(Scale!$U77,AcctTbl,3,0),""))</f>
        <v/>
      </c>
      <c r="P278" s="82">
        <f>IF(Scale!$U77&lt;&gt;"X011","","BN02")</f>
        <v/>
      </c>
    </row>
    <row r="279" ht="20.25" customHeight="1">
      <c r="A279" s="80">
        <f>IF(OR(Scale!$X77="",Scale!$X77=0),"",Scale!$B77)</f>
        <v/>
      </c>
      <c r="B279" s="80">
        <f>IF(OR(Scale!$X77="",Scale!$X77=0),"",Scale!$D77)</f>
        <v/>
      </c>
      <c r="C279" s="80">
        <f>IF(OR(Scale!$X77="",Scale!$X77=0),"","باسکول")</f>
        <v/>
      </c>
      <c r="D279" s="80">
        <f>IF(OR(Scale!$X77="",Scale!$X77=0),"",Scale!$X77)</f>
        <v/>
      </c>
      <c r="E279" s="81">
        <f>IF(OR(Scale!$X77="",Scale!$X77=0),"",IF(Scale!$X77="","","مقابل: "&amp;Scale!$E77))</f>
        <v/>
      </c>
      <c r="F279" s="83" t="n"/>
      <c r="G279" s="83" t="n"/>
      <c r="H279" s="83" t="n"/>
      <c r="I279" s="83" t="n"/>
      <c r="J279" s="83" t="n"/>
      <c r="K279" s="82">
        <f>IF(OR(Scale!$X77="",Scale!$X77=0),"",IF(Scale!$Y77="",0,Scale!$Y77)+IF(Scale!$Z77="",0,Scale!$Z77))</f>
        <v/>
      </c>
      <c r="L279" s="82">
        <f>IF(OR(Scale!$X77="",Scale!$X77=0),"",Scale!$Y77)</f>
        <v/>
      </c>
      <c r="M279" s="82">
        <f>IF(OR(Scale!$X77="",Scale!$X77=0),"",Scale!$Z77)</f>
        <v/>
      </c>
      <c r="N279" s="81">
        <f>IF(OR(Scale!$X77="",Scale!$X77=0),"","مقابل")</f>
        <v/>
      </c>
      <c r="O279" s="81">
        <f>IF(OR(Scale!$X77="",Scale!$X77=0),"",IFERROR(VLOOKUP(Scale!$X77,AcctTbl,3,0),""))</f>
        <v/>
      </c>
      <c r="P279" s="82">
        <f>IF(Scale!$X77&lt;&gt;"X011","","BN02")</f>
        <v/>
      </c>
    </row>
    <row r="280" ht="20.25" customHeight="1">
      <c r="A280" s="80">
        <f>IF(OR(Scale!$AA77="",Scale!$AA77=0),"",Scale!$B77)</f>
        <v/>
      </c>
      <c r="B280" s="80">
        <f>IF(OR(Scale!$AA77="",Scale!$AA77=0),"",Scale!$D77)</f>
        <v/>
      </c>
      <c r="C280" s="80">
        <f>IF(OR(Scale!$AA77="",Scale!$AA77=0),"","باسکول")</f>
        <v/>
      </c>
      <c r="D280" s="80">
        <f>IF(OR(Scale!$AA77="",Scale!$AA77=0),"",Scale!$AA77)</f>
        <v/>
      </c>
      <c r="E280" s="81">
        <f>IF(OR(Scale!$AA77="",Scale!$AA77=0),"",IF(Scale!$AA77="","","پوز باسکول — "&amp;Scale!$E77))</f>
        <v/>
      </c>
      <c r="F280" s="83" t="n"/>
      <c r="G280" s="83" t="n"/>
      <c r="H280" s="83" t="n"/>
      <c r="I280" s="83" t="n"/>
      <c r="J280" s="83" t="n"/>
      <c r="K280" s="82">
        <f>IF(OR(Scale!$AA77="",Scale!$AA77=0),"",IF(Scale!$AB77="",0,Scale!$AB77)+IF(Scale!$AC77="",0,Scale!$AC77))</f>
        <v/>
      </c>
      <c r="L280" s="82">
        <f>IF(OR(Scale!$AA77="",Scale!$AA77=0),"",Scale!$AB77)</f>
        <v/>
      </c>
      <c r="M280" s="82">
        <f>IF(OR(Scale!$AA77="",Scale!$AA77=0),"",Scale!$AC77)</f>
        <v/>
      </c>
      <c r="N280" s="81">
        <f>IF(OR(Scale!$AA77="",Scale!$AA77=0),"","پوز")</f>
        <v/>
      </c>
      <c r="O280" s="81">
        <f>IF(OR(Scale!$AA77="",Scale!$AA77=0),"",IFERROR(VLOOKUP(Scale!$AA77,AcctTbl,3,0),""))</f>
        <v/>
      </c>
      <c r="P280" s="82">
        <f>IF(Scale!$AA77&lt;&gt;"X011","","BN02")</f>
        <v/>
      </c>
    </row>
    <row r="281" ht="20.25" customHeight="1">
      <c r="A281" s="80">
        <f>IF(OR(Scale!$AD77="",Scale!$AD77=0),"",Scale!$B77)</f>
        <v/>
      </c>
      <c r="B281" s="80">
        <f>IF(OR(Scale!$AD77="",Scale!$AD77=0),"",Scale!$D77)</f>
        <v/>
      </c>
      <c r="C281" s="80">
        <f>IF(OR(Scale!$AD77="",Scale!$AD77=0),"","باسکول")</f>
        <v/>
      </c>
      <c r="D281" s="80">
        <f>IF(OR(Scale!$AD77="",Scale!$AD77=0),"",Scale!$AD77)</f>
        <v/>
      </c>
      <c r="E281" s="81">
        <f>IF(OR(Scale!$AD77="",Scale!$AD77=0),"",IF(Scale!$AD77="","","مقابل پوز — "&amp;Scale!$E77))</f>
        <v/>
      </c>
      <c r="F281" s="83" t="n"/>
      <c r="G281" s="83" t="n"/>
      <c r="H281" s="83" t="n"/>
      <c r="I281" s="83" t="n"/>
      <c r="J281" s="83" t="n"/>
      <c r="K281" s="82">
        <f>IF(OR(Scale!$AD77="",Scale!$AD77=0),"",IF(Scale!$AE77="",0,Scale!$AE77)+IF(Scale!$AF77="",0,Scale!$AF77))</f>
        <v/>
      </c>
      <c r="L281" s="82">
        <f>IF(OR(Scale!$AD77="",Scale!$AD77=0),"",Scale!$AE77)</f>
        <v/>
      </c>
      <c r="M281" s="82">
        <f>IF(OR(Scale!$AD77="",Scale!$AD77=0),"",Scale!$AF77)</f>
        <v/>
      </c>
      <c r="N281" s="81">
        <f>IF(OR(Scale!$AD77="",Scale!$AD77=0),"","مقابل پوز")</f>
        <v/>
      </c>
      <c r="O281" s="81">
        <f>IF(OR(Scale!$AD77="",Scale!$AD77=0),"",IFERROR(VLOOKUP(Scale!$AD77,AcctTbl,3,0),""))</f>
        <v/>
      </c>
      <c r="P281" s="82">
        <f>IF(Scale!$AD77&lt;&gt;"X011","","BN02")</f>
        <v/>
      </c>
    </row>
    <row r="282" ht="20.25" customHeight="1">
      <c r="A282" s="80">
        <f>IF(OR(Scale!$U78="",Scale!$U78=0),"",Scale!$B78)</f>
        <v/>
      </c>
      <c r="B282" s="80">
        <f>IF(OR(Scale!$U78="",Scale!$U78=0),"",Scale!$D78)</f>
        <v/>
      </c>
      <c r="C282" s="80">
        <f>IF(OR(Scale!$U78="",Scale!$U78=0),"","باسکول")</f>
        <v/>
      </c>
      <c r="D282" s="80">
        <f>IF(OR(Scale!$U78="",Scale!$U78=0),"",Scale!$U78)</f>
        <v/>
      </c>
      <c r="E282" s="81">
        <f>IF(OR(Scale!$U78="",Scale!$U78=0),"",Scale!$T78)</f>
        <v/>
      </c>
      <c r="F282" s="81">
        <f>IF(OR(Scale!$U78="",Scale!$U78=0),"",Scale!$J78)</f>
        <v/>
      </c>
      <c r="G282" s="82">
        <f>IF(OR(Scale!$U78="",Scale!$U78=0),"",Scale!$M78)</f>
        <v/>
      </c>
      <c r="H282" s="82">
        <f>IF(OR(Scale!$U78="",Scale!$U78=0),"",Scale!$L78)</f>
        <v/>
      </c>
      <c r="I282" s="82">
        <f>IF(OR(Scale!$U78="",Scale!$U78=0),"",Scale!$N78)</f>
        <v/>
      </c>
      <c r="J282" s="82">
        <f>IF(OR(Scale!$U78="",Scale!$U78=0),"",Scale!$O78)</f>
        <v/>
      </c>
      <c r="K282" s="82">
        <f>IF(OR(Scale!$U78="",Scale!$U78=0),"",IF(Scale!$V78="",0,Scale!$V78)+IF(Scale!$W78="",0,Scale!$W78))</f>
        <v/>
      </c>
      <c r="L282" s="82">
        <f>IF(OR(Scale!$U78="",Scale!$U78=0),"",Scale!$V78)</f>
        <v/>
      </c>
      <c r="M282" s="82">
        <f>IF(OR(Scale!$U78="",Scale!$U78=0),"",Scale!$W78)</f>
        <v/>
      </c>
      <c r="N282" s="81">
        <f>IF(OR(Scale!$U78="",Scale!$U78=0),"",Scale!$E78)</f>
        <v/>
      </c>
      <c r="O282" s="81">
        <f>IF(OR(Scale!$U78="",Scale!$U78=0),"",IFERROR(VLOOKUP(Scale!$U78,AcctTbl,3,0),""))</f>
        <v/>
      </c>
      <c r="P282" s="82">
        <f>IF(Scale!$U78&lt;&gt;"X011","","BN02")</f>
        <v/>
      </c>
    </row>
    <row r="283" ht="20.25" customHeight="1">
      <c r="A283" s="80">
        <f>IF(OR(Scale!$X78="",Scale!$X78=0),"",Scale!$B78)</f>
        <v/>
      </c>
      <c r="B283" s="80">
        <f>IF(OR(Scale!$X78="",Scale!$X78=0),"",Scale!$D78)</f>
        <v/>
      </c>
      <c r="C283" s="80">
        <f>IF(OR(Scale!$X78="",Scale!$X78=0),"","باسکول")</f>
        <v/>
      </c>
      <c r="D283" s="80">
        <f>IF(OR(Scale!$X78="",Scale!$X78=0),"",Scale!$X78)</f>
        <v/>
      </c>
      <c r="E283" s="81">
        <f>IF(OR(Scale!$X78="",Scale!$X78=0),"",IF(Scale!$X78="","","مقابل: "&amp;Scale!$E78))</f>
        <v/>
      </c>
      <c r="F283" s="83" t="n"/>
      <c r="G283" s="83" t="n"/>
      <c r="H283" s="83" t="n"/>
      <c r="I283" s="83" t="n"/>
      <c r="J283" s="83" t="n"/>
      <c r="K283" s="82">
        <f>IF(OR(Scale!$X78="",Scale!$X78=0),"",IF(Scale!$Y78="",0,Scale!$Y78)+IF(Scale!$Z78="",0,Scale!$Z78))</f>
        <v/>
      </c>
      <c r="L283" s="82">
        <f>IF(OR(Scale!$X78="",Scale!$X78=0),"",Scale!$Y78)</f>
        <v/>
      </c>
      <c r="M283" s="82">
        <f>IF(OR(Scale!$X78="",Scale!$X78=0),"",Scale!$Z78)</f>
        <v/>
      </c>
      <c r="N283" s="81">
        <f>IF(OR(Scale!$X78="",Scale!$X78=0),"","مقابل")</f>
        <v/>
      </c>
      <c r="O283" s="81">
        <f>IF(OR(Scale!$X78="",Scale!$X78=0),"",IFERROR(VLOOKUP(Scale!$X78,AcctTbl,3,0),""))</f>
        <v/>
      </c>
      <c r="P283" s="82">
        <f>IF(Scale!$X78&lt;&gt;"X011","","BN02")</f>
        <v/>
      </c>
    </row>
    <row r="284" ht="20.25" customHeight="1">
      <c r="A284" s="80">
        <f>IF(OR(Scale!$AA78="",Scale!$AA78=0),"",Scale!$B78)</f>
        <v/>
      </c>
      <c r="B284" s="80">
        <f>IF(OR(Scale!$AA78="",Scale!$AA78=0),"",Scale!$D78)</f>
        <v/>
      </c>
      <c r="C284" s="80">
        <f>IF(OR(Scale!$AA78="",Scale!$AA78=0),"","باسکول")</f>
        <v/>
      </c>
      <c r="D284" s="80">
        <f>IF(OR(Scale!$AA78="",Scale!$AA78=0),"",Scale!$AA78)</f>
        <v/>
      </c>
      <c r="E284" s="81">
        <f>IF(OR(Scale!$AA78="",Scale!$AA78=0),"",IF(Scale!$AA78="","","پوز باسکول — "&amp;Scale!$E78))</f>
        <v/>
      </c>
      <c r="F284" s="83" t="n"/>
      <c r="G284" s="83" t="n"/>
      <c r="H284" s="83" t="n"/>
      <c r="I284" s="83" t="n"/>
      <c r="J284" s="83" t="n"/>
      <c r="K284" s="82">
        <f>IF(OR(Scale!$AA78="",Scale!$AA78=0),"",IF(Scale!$AB78="",0,Scale!$AB78)+IF(Scale!$AC78="",0,Scale!$AC78))</f>
        <v/>
      </c>
      <c r="L284" s="82">
        <f>IF(OR(Scale!$AA78="",Scale!$AA78=0),"",Scale!$AB78)</f>
        <v/>
      </c>
      <c r="M284" s="82">
        <f>IF(OR(Scale!$AA78="",Scale!$AA78=0),"",Scale!$AC78)</f>
        <v/>
      </c>
      <c r="N284" s="81">
        <f>IF(OR(Scale!$AA78="",Scale!$AA78=0),"","پوز")</f>
        <v/>
      </c>
      <c r="O284" s="81">
        <f>IF(OR(Scale!$AA78="",Scale!$AA78=0),"",IFERROR(VLOOKUP(Scale!$AA78,AcctTbl,3,0),""))</f>
        <v/>
      </c>
      <c r="P284" s="82">
        <f>IF(Scale!$AA78&lt;&gt;"X011","","BN02")</f>
        <v/>
      </c>
    </row>
    <row r="285" ht="20.25" customHeight="1">
      <c r="A285" s="80">
        <f>IF(OR(Scale!$AD78="",Scale!$AD78=0),"",Scale!$B78)</f>
        <v/>
      </c>
      <c r="B285" s="80">
        <f>IF(OR(Scale!$AD78="",Scale!$AD78=0),"",Scale!$D78)</f>
        <v/>
      </c>
      <c r="C285" s="80">
        <f>IF(OR(Scale!$AD78="",Scale!$AD78=0),"","باسکول")</f>
        <v/>
      </c>
      <c r="D285" s="80">
        <f>IF(OR(Scale!$AD78="",Scale!$AD78=0),"",Scale!$AD78)</f>
        <v/>
      </c>
      <c r="E285" s="81">
        <f>IF(OR(Scale!$AD78="",Scale!$AD78=0),"",IF(Scale!$AD78="","","مقابل پوز — "&amp;Scale!$E78))</f>
        <v/>
      </c>
      <c r="F285" s="83" t="n"/>
      <c r="G285" s="83" t="n"/>
      <c r="H285" s="83" t="n"/>
      <c r="I285" s="83" t="n"/>
      <c r="J285" s="83" t="n"/>
      <c r="K285" s="82">
        <f>IF(OR(Scale!$AD78="",Scale!$AD78=0),"",IF(Scale!$AE78="",0,Scale!$AE78)+IF(Scale!$AF78="",0,Scale!$AF78))</f>
        <v/>
      </c>
      <c r="L285" s="82">
        <f>IF(OR(Scale!$AD78="",Scale!$AD78=0),"",Scale!$AE78)</f>
        <v/>
      </c>
      <c r="M285" s="82">
        <f>IF(OR(Scale!$AD78="",Scale!$AD78=0),"",Scale!$AF78)</f>
        <v/>
      </c>
      <c r="N285" s="81">
        <f>IF(OR(Scale!$AD78="",Scale!$AD78=0),"","مقابل پوز")</f>
        <v/>
      </c>
      <c r="O285" s="81">
        <f>IF(OR(Scale!$AD78="",Scale!$AD78=0),"",IFERROR(VLOOKUP(Scale!$AD78,AcctTbl,3,0),""))</f>
        <v/>
      </c>
      <c r="P285" s="82">
        <f>IF(Scale!$AD78&lt;&gt;"X011","","BN02")</f>
        <v/>
      </c>
    </row>
    <row r="286" ht="20.25" customHeight="1">
      <c r="A286" s="80">
        <f>IF(OR(Scale!$U79="",Scale!$U79=0),"",Scale!$B79)</f>
        <v/>
      </c>
      <c r="B286" s="80">
        <f>IF(OR(Scale!$U79="",Scale!$U79=0),"",Scale!$D79)</f>
        <v/>
      </c>
      <c r="C286" s="80">
        <f>IF(OR(Scale!$U79="",Scale!$U79=0),"","باسکول")</f>
        <v/>
      </c>
      <c r="D286" s="80">
        <f>IF(OR(Scale!$U79="",Scale!$U79=0),"",Scale!$U79)</f>
        <v/>
      </c>
      <c r="E286" s="81">
        <f>IF(OR(Scale!$U79="",Scale!$U79=0),"",Scale!$T79)</f>
        <v/>
      </c>
      <c r="F286" s="81">
        <f>IF(OR(Scale!$U79="",Scale!$U79=0),"",Scale!$J79)</f>
        <v/>
      </c>
      <c r="G286" s="82">
        <f>IF(OR(Scale!$U79="",Scale!$U79=0),"",Scale!$M79)</f>
        <v/>
      </c>
      <c r="H286" s="82">
        <f>IF(OR(Scale!$U79="",Scale!$U79=0),"",Scale!$L79)</f>
        <v/>
      </c>
      <c r="I286" s="82">
        <f>IF(OR(Scale!$U79="",Scale!$U79=0),"",Scale!$N79)</f>
        <v/>
      </c>
      <c r="J286" s="82">
        <f>IF(OR(Scale!$U79="",Scale!$U79=0),"",Scale!$O79)</f>
        <v/>
      </c>
      <c r="K286" s="82">
        <f>IF(OR(Scale!$U79="",Scale!$U79=0),"",IF(Scale!$V79="",0,Scale!$V79)+IF(Scale!$W79="",0,Scale!$W79))</f>
        <v/>
      </c>
      <c r="L286" s="82">
        <f>IF(OR(Scale!$U79="",Scale!$U79=0),"",Scale!$V79)</f>
        <v/>
      </c>
      <c r="M286" s="82">
        <f>IF(OR(Scale!$U79="",Scale!$U79=0),"",Scale!$W79)</f>
        <v/>
      </c>
      <c r="N286" s="81">
        <f>IF(OR(Scale!$U79="",Scale!$U79=0),"",Scale!$E79)</f>
        <v/>
      </c>
      <c r="O286" s="81">
        <f>IF(OR(Scale!$U79="",Scale!$U79=0),"",IFERROR(VLOOKUP(Scale!$U79,AcctTbl,3,0),""))</f>
        <v/>
      </c>
      <c r="P286" s="82">
        <f>IF(Scale!$U79&lt;&gt;"X011","","BN02")</f>
        <v/>
      </c>
    </row>
    <row r="287" ht="20.25" customHeight="1">
      <c r="A287" s="80">
        <f>IF(OR(Scale!$X79="",Scale!$X79=0),"",Scale!$B79)</f>
        <v/>
      </c>
      <c r="B287" s="80">
        <f>IF(OR(Scale!$X79="",Scale!$X79=0),"",Scale!$D79)</f>
        <v/>
      </c>
      <c r="C287" s="80">
        <f>IF(OR(Scale!$X79="",Scale!$X79=0),"","باسکول")</f>
        <v/>
      </c>
      <c r="D287" s="80">
        <f>IF(OR(Scale!$X79="",Scale!$X79=0),"",Scale!$X79)</f>
        <v/>
      </c>
      <c r="E287" s="81">
        <f>IF(OR(Scale!$X79="",Scale!$X79=0),"",IF(Scale!$X79="","","مقابل: "&amp;Scale!$E79))</f>
        <v/>
      </c>
      <c r="F287" s="83" t="n"/>
      <c r="G287" s="83" t="n"/>
      <c r="H287" s="83" t="n"/>
      <c r="I287" s="83" t="n"/>
      <c r="J287" s="83" t="n"/>
      <c r="K287" s="82">
        <f>IF(OR(Scale!$X79="",Scale!$X79=0),"",IF(Scale!$Y79="",0,Scale!$Y79)+IF(Scale!$Z79="",0,Scale!$Z79))</f>
        <v/>
      </c>
      <c r="L287" s="82">
        <f>IF(OR(Scale!$X79="",Scale!$X79=0),"",Scale!$Y79)</f>
        <v/>
      </c>
      <c r="M287" s="82">
        <f>IF(OR(Scale!$X79="",Scale!$X79=0),"",Scale!$Z79)</f>
        <v/>
      </c>
      <c r="N287" s="81">
        <f>IF(OR(Scale!$X79="",Scale!$X79=0),"","مقابل")</f>
        <v/>
      </c>
      <c r="O287" s="81">
        <f>IF(OR(Scale!$X79="",Scale!$X79=0),"",IFERROR(VLOOKUP(Scale!$X79,AcctTbl,3,0),""))</f>
        <v/>
      </c>
      <c r="P287" s="82">
        <f>IF(Scale!$X79&lt;&gt;"X011","","BN02")</f>
        <v/>
      </c>
    </row>
    <row r="288" ht="20.25" customHeight="1">
      <c r="A288" s="80">
        <f>IF(OR(Scale!$AA79="",Scale!$AA79=0),"",Scale!$B79)</f>
        <v/>
      </c>
      <c r="B288" s="80">
        <f>IF(OR(Scale!$AA79="",Scale!$AA79=0),"",Scale!$D79)</f>
        <v/>
      </c>
      <c r="C288" s="80">
        <f>IF(OR(Scale!$AA79="",Scale!$AA79=0),"","باسکول")</f>
        <v/>
      </c>
      <c r="D288" s="80">
        <f>IF(OR(Scale!$AA79="",Scale!$AA79=0),"",Scale!$AA79)</f>
        <v/>
      </c>
      <c r="E288" s="81">
        <f>IF(OR(Scale!$AA79="",Scale!$AA79=0),"",IF(Scale!$AA79="","","پوز باسکول — "&amp;Scale!$E79))</f>
        <v/>
      </c>
      <c r="F288" s="83" t="n"/>
      <c r="G288" s="83" t="n"/>
      <c r="H288" s="83" t="n"/>
      <c r="I288" s="83" t="n"/>
      <c r="J288" s="83" t="n"/>
      <c r="K288" s="82">
        <f>IF(OR(Scale!$AA79="",Scale!$AA79=0),"",IF(Scale!$AB79="",0,Scale!$AB79)+IF(Scale!$AC79="",0,Scale!$AC79))</f>
        <v/>
      </c>
      <c r="L288" s="82">
        <f>IF(OR(Scale!$AA79="",Scale!$AA79=0),"",Scale!$AB79)</f>
        <v/>
      </c>
      <c r="M288" s="82">
        <f>IF(OR(Scale!$AA79="",Scale!$AA79=0),"",Scale!$AC79)</f>
        <v/>
      </c>
      <c r="N288" s="81">
        <f>IF(OR(Scale!$AA79="",Scale!$AA79=0),"","پوز")</f>
        <v/>
      </c>
      <c r="O288" s="81">
        <f>IF(OR(Scale!$AA79="",Scale!$AA79=0),"",IFERROR(VLOOKUP(Scale!$AA79,AcctTbl,3,0),""))</f>
        <v/>
      </c>
      <c r="P288" s="82">
        <f>IF(Scale!$AA79&lt;&gt;"X011","","BN02")</f>
        <v/>
      </c>
    </row>
    <row r="289" ht="20.25" customHeight="1">
      <c r="A289" s="80">
        <f>IF(OR(Scale!$AD79="",Scale!$AD79=0),"",Scale!$B79)</f>
        <v/>
      </c>
      <c r="B289" s="80">
        <f>IF(OR(Scale!$AD79="",Scale!$AD79=0),"",Scale!$D79)</f>
        <v/>
      </c>
      <c r="C289" s="80">
        <f>IF(OR(Scale!$AD79="",Scale!$AD79=0),"","باسکول")</f>
        <v/>
      </c>
      <c r="D289" s="80">
        <f>IF(OR(Scale!$AD79="",Scale!$AD79=0),"",Scale!$AD79)</f>
        <v/>
      </c>
      <c r="E289" s="81">
        <f>IF(OR(Scale!$AD79="",Scale!$AD79=0),"",IF(Scale!$AD79="","","مقابل پوز — "&amp;Scale!$E79))</f>
        <v/>
      </c>
      <c r="F289" s="83" t="n"/>
      <c r="G289" s="83" t="n"/>
      <c r="H289" s="83" t="n"/>
      <c r="I289" s="83" t="n"/>
      <c r="J289" s="83" t="n"/>
      <c r="K289" s="82">
        <f>IF(OR(Scale!$AD79="",Scale!$AD79=0),"",IF(Scale!$AE79="",0,Scale!$AE79)+IF(Scale!$AF79="",0,Scale!$AF79))</f>
        <v/>
      </c>
      <c r="L289" s="82">
        <f>IF(OR(Scale!$AD79="",Scale!$AD79=0),"",Scale!$AE79)</f>
        <v/>
      </c>
      <c r="M289" s="82">
        <f>IF(OR(Scale!$AD79="",Scale!$AD79=0),"",Scale!$AF79)</f>
        <v/>
      </c>
      <c r="N289" s="81">
        <f>IF(OR(Scale!$AD79="",Scale!$AD79=0),"","مقابل پوز")</f>
        <v/>
      </c>
      <c r="O289" s="81">
        <f>IF(OR(Scale!$AD79="",Scale!$AD79=0),"",IFERROR(VLOOKUP(Scale!$AD79,AcctTbl,3,0),""))</f>
        <v/>
      </c>
      <c r="P289" s="82">
        <f>IF(Scale!$AD79&lt;&gt;"X011","","BN02")</f>
        <v/>
      </c>
    </row>
    <row r="290" ht="20.25" customHeight="1">
      <c r="A290" s="80">
        <f>IF(OR(Scale!$U80="",Scale!$U80=0),"",Scale!$B80)</f>
        <v/>
      </c>
      <c r="B290" s="80">
        <f>IF(OR(Scale!$U80="",Scale!$U80=0),"",Scale!$D80)</f>
        <v/>
      </c>
      <c r="C290" s="80">
        <f>IF(OR(Scale!$U80="",Scale!$U80=0),"","باسکول")</f>
        <v/>
      </c>
      <c r="D290" s="80">
        <f>IF(OR(Scale!$U80="",Scale!$U80=0),"",Scale!$U80)</f>
        <v/>
      </c>
      <c r="E290" s="81">
        <f>IF(OR(Scale!$U80="",Scale!$U80=0),"",Scale!$T80)</f>
        <v/>
      </c>
      <c r="F290" s="81">
        <f>IF(OR(Scale!$U80="",Scale!$U80=0),"",Scale!$J80)</f>
        <v/>
      </c>
      <c r="G290" s="82">
        <f>IF(OR(Scale!$U80="",Scale!$U80=0),"",Scale!$M80)</f>
        <v/>
      </c>
      <c r="H290" s="82">
        <f>IF(OR(Scale!$U80="",Scale!$U80=0),"",Scale!$L80)</f>
        <v/>
      </c>
      <c r="I290" s="82">
        <f>IF(OR(Scale!$U80="",Scale!$U80=0),"",Scale!$N80)</f>
        <v/>
      </c>
      <c r="J290" s="82">
        <f>IF(OR(Scale!$U80="",Scale!$U80=0),"",Scale!$O80)</f>
        <v/>
      </c>
      <c r="K290" s="82">
        <f>IF(OR(Scale!$U80="",Scale!$U80=0),"",IF(Scale!$V80="",0,Scale!$V80)+IF(Scale!$W80="",0,Scale!$W80))</f>
        <v/>
      </c>
      <c r="L290" s="82">
        <f>IF(OR(Scale!$U80="",Scale!$U80=0),"",Scale!$V80)</f>
        <v/>
      </c>
      <c r="M290" s="82">
        <f>IF(OR(Scale!$U80="",Scale!$U80=0),"",Scale!$W80)</f>
        <v/>
      </c>
      <c r="N290" s="81">
        <f>IF(OR(Scale!$U80="",Scale!$U80=0),"",Scale!$E80)</f>
        <v/>
      </c>
      <c r="O290" s="81">
        <f>IF(OR(Scale!$U80="",Scale!$U80=0),"",IFERROR(VLOOKUP(Scale!$U80,AcctTbl,3,0),""))</f>
        <v/>
      </c>
      <c r="P290" s="82">
        <f>IF(Scale!$U80&lt;&gt;"X011","","BN02")</f>
        <v/>
      </c>
    </row>
    <row r="291" ht="20.25" customHeight="1">
      <c r="A291" s="80">
        <f>IF(OR(Scale!$X80="",Scale!$X80=0),"",Scale!$B80)</f>
        <v/>
      </c>
      <c r="B291" s="80">
        <f>IF(OR(Scale!$X80="",Scale!$X80=0),"",Scale!$D80)</f>
        <v/>
      </c>
      <c r="C291" s="80">
        <f>IF(OR(Scale!$X80="",Scale!$X80=0),"","باسکول")</f>
        <v/>
      </c>
      <c r="D291" s="80">
        <f>IF(OR(Scale!$X80="",Scale!$X80=0),"",Scale!$X80)</f>
        <v/>
      </c>
      <c r="E291" s="81">
        <f>IF(OR(Scale!$X80="",Scale!$X80=0),"",IF(Scale!$X80="","","مقابل: "&amp;Scale!$E80))</f>
        <v/>
      </c>
      <c r="F291" s="83" t="n"/>
      <c r="G291" s="83" t="n"/>
      <c r="H291" s="83" t="n"/>
      <c r="I291" s="83" t="n"/>
      <c r="J291" s="83" t="n"/>
      <c r="K291" s="82">
        <f>IF(OR(Scale!$X80="",Scale!$X80=0),"",IF(Scale!$Y80="",0,Scale!$Y80)+IF(Scale!$Z80="",0,Scale!$Z80))</f>
        <v/>
      </c>
      <c r="L291" s="82">
        <f>IF(OR(Scale!$X80="",Scale!$X80=0),"",Scale!$Y80)</f>
        <v/>
      </c>
      <c r="M291" s="82">
        <f>IF(OR(Scale!$X80="",Scale!$X80=0),"",Scale!$Z80)</f>
        <v/>
      </c>
      <c r="N291" s="81">
        <f>IF(OR(Scale!$X80="",Scale!$X80=0),"","مقابل")</f>
        <v/>
      </c>
      <c r="O291" s="81">
        <f>IF(OR(Scale!$X80="",Scale!$X80=0),"",IFERROR(VLOOKUP(Scale!$X80,AcctTbl,3,0),""))</f>
        <v/>
      </c>
      <c r="P291" s="82">
        <f>IF(Scale!$X80&lt;&gt;"X011","","BN02")</f>
        <v/>
      </c>
    </row>
    <row r="292" ht="20.25" customHeight="1">
      <c r="A292" s="80">
        <f>IF(OR(Scale!$AA80="",Scale!$AA80=0),"",Scale!$B80)</f>
        <v/>
      </c>
      <c r="B292" s="80">
        <f>IF(OR(Scale!$AA80="",Scale!$AA80=0),"",Scale!$D80)</f>
        <v/>
      </c>
      <c r="C292" s="80">
        <f>IF(OR(Scale!$AA80="",Scale!$AA80=0),"","باسکول")</f>
        <v/>
      </c>
      <c r="D292" s="80">
        <f>IF(OR(Scale!$AA80="",Scale!$AA80=0),"",Scale!$AA80)</f>
        <v/>
      </c>
      <c r="E292" s="81">
        <f>IF(OR(Scale!$AA80="",Scale!$AA80=0),"",IF(Scale!$AA80="","","پوز باسکول — "&amp;Scale!$E80))</f>
        <v/>
      </c>
      <c r="F292" s="83" t="n"/>
      <c r="G292" s="83" t="n"/>
      <c r="H292" s="83" t="n"/>
      <c r="I292" s="83" t="n"/>
      <c r="J292" s="83" t="n"/>
      <c r="K292" s="82">
        <f>IF(OR(Scale!$AA80="",Scale!$AA80=0),"",IF(Scale!$AB80="",0,Scale!$AB80)+IF(Scale!$AC80="",0,Scale!$AC80))</f>
        <v/>
      </c>
      <c r="L292" s="82">
        <f>IF(OR(Scale!$AA80="",Scale!$AA80=0),"",Scale!$AB80)</f>
        <v/>
      </c>
      <c r="M292" s="82">
        <f>IF(OR(Scale!$AA80="",Scale!$AA80=0),"",Scale!$AC80)</f>
        <v/>
      </c>
      <c r="N292" s="81">
        <f>IF(OR(Scale!$AA80="",Scale!$AA80=0),"","پوز")</f>
        <v/>
      </c>
      <c r="O292" s="81">
        <f>IF(OR(Scale!$AA80="",Scale!$AA80=0),"",IFERROR(VLOOKUP(Scale!$AA80,AcctTbl,3,0),""))</f>
        <v/>
      </c>
      <c r="P292" s="82">
        <f>IF(Scale!$AA80&lt;&gt;"X011","","BN02")</f>
        <v/>
      </c>
    </row>
    <row r="293" ht="20.25" customHeight="1">
      <c r="A293" s="80">
        <f>IF(OR(Scale!$AD80="",Scale!$AD80=0),"",Scale!$B80)</f>
        <v/>
      </c>
      <c r="B293" s="80">
        <f>IF(OR(Scale!$AD80="",Scale!$AD80=0),"",Scale!$D80)</f>
        <v/>
      </c>
      <c r="C293" s="80">
        <f>IF(OR(Scale!$AD80="",Scale!$AD80=0),"","باسکول")</f>
        <v/>
      </c>
      <c r="D293" s="80">
        <f>IF(OR(Scale!$AD80="",Scale!$AD80=0),"",Scale!$AD80)</f>
        <v/>
      </c>
      <c r="E293" s="81">
        <f>IF(OR(Scale!$AD80="",Scale!$AD80=0),"",IF(Scale!$AD80="","","مقابل پوز — "&amp;Scale!$E80))</f>
        <v/>
      </c>
      <c r="F293" s="83" t="n"/>
      <c r="G293" s="83" t="n"/>
      <c r="H293" s="83" t="n"/>
      <c r="I293" s="83" t="n"/>
      <c r="J293" s="83" t="n"/>
      <c r="K293" s="82">
        <f>IF(OR(Scale!$AD80="",Scale!$AD80=0),"",IF(Scale!$AE80="",0,Scale!$AE80)+IF(Scale!$AF80="",0,Scale!$AF80))</f>
        <v/>
      </c>
      <c r="L293" s="82">
        <f>IF(OR(Scale!$AD80="",Scale!$AD80=0),"",Scale!$AE80)</f>
        <v/>
      </c>
      <c r="M293" s="82">
        <f>IF(OR(Scale!$AD80="",Scale!$AD80=0),"",Scale!$AF80)</f>
        <v/>
      </c>
      <c r="N293" s="81">
        <f>IF(OR(Scale!$AD80="",Scale!$AD80=0),"","مقابل پوز")</f>
        <v/>
      </c>
      <c r="O293" s="81">
        <f>IF(OR(Scale!$AD80="",Scale!$AD80=0),"",IFERROR(VLOOKUP(Scale!$AD80,AcctTbl,3,0),""))</f>
        <v/>
      </c>
      <c r="P293" s="82">
        <f>IF(Scale!$AD80&lt;&gt;"X011","","BN02")</f>
        <v/>
      </c>
    </row>
    <row r="294" ht="20.25" customHeight="1">
      <c r="A294" s="80">
        <f>IF(OR(Scale!$U81="",Scale!$U81=0),"",Scale!$B81)</f>
        <v/>
      </c>
      <c r="B294" s="80">
        <f>IF(OR(Scale!$U81="",Scale!$U81=0),"",Scale!$D81)</f>
        <v/>
      </c>
      <c r="C294" s="80">
        <f>IF(OR(Scale!$U81="",Scale!$U81=0),"","باسکول")</f>
        <v/>
      </c>
      <c r="D294" s="80">
        <f>IF(OR(Scale!$U81="",Scale!$U81=0),"",Scale!$U81)</f>
        <v/>
      </c>
      <c r="E294" s="81">
        <f>IF(OR(Scale!$U81="",Scale!$U81=0),"",Scale!$T81)</f>
        <v/>
      </c>
      <c r="F294" s="81">
        <f>IF(OR(Scale!$U81="",Scale!$U81=0),"",Scale!$J81)</f>
        <v/>
      </c>
      <c r="G294" s="82">
        <f>IF(OR(Scale!$U81="",Scale!$U81=0),"",Scale!$M81)</f>
        <v/>
      </c>
      <c r="H294" s="82">
        <f>IF(OR(Scale!$U81="",Scale!$U81=0),"",Scale!$L81)</f>
        <v/>
      </c>
      <c r="I294" s="82">
        <f>IF(OR(Scale!$U81="",Scale!$U81=0),"",Scale!$N81)</f>
        <v/>
      </c>
      <c r="J294" s="82">
        <f>IF(OR(Scale!$U81="",Scale!$U81=0),"",Scale!$O81)</f>
        <v/>
      </c>
      <c r="K294" s="82">
        <f>IF(OR(Scale!$U81="",Scale!$U81=0),"",IF(Scale!$V81="",0,Scale!$V81)+IF(Scale!$W81="",0,Scale!$W81))</f>
        <v/>
      </c>
      <c r="L294" s="82">
        <f>IF(OR(Scale!$U81="",Scale!$U81=0),"",Scale!$V81)</f>
        <v/>
      </c>
      <c r="M294" s="82">
        <f>IF(OR(Scale!$U81="",Scale!$U81=0),"",Scale!$W81)</f>
        <v/>
      </c>
      <c r="N294" s="81">
        <f>IF(OR(Scale!$U81="",Scale!$U81=0),"",Scale!$E81)</f>
        <v/>
      </c>
      <c r="O294" s="81">
        <f>IF(OR(Scale!$U81="",Scale!$U81=0),"",IFERROR(VLOOKUP(Scale!$U81,AcctTbl,3,0),""))</f>
        <v/>
      </c>
      <c r="P294" s="82">
        <f>IF(Scale!$U81&lt;&gt;"X011","","BN02")</f>
        <v/>
      </c>
    </row>
    <row r="295" ht="20.25" customHeight="1">
      <c r="A295" s="80">
        <f>IF(OR(Scale!$X81="",Scale!$X81=0),"",Scale!$B81)</f>
        <v/>
      </c>
      <c r="B295" s="80">
        <f>IF(OR(Scale!$X81="",Scale!$X81=0),"",Scale!$D81)</f>
        <v/>
      </c>
      <c r="C295" s="80">
        <f>IF(OR(Scale!$X81="",Scale!$X81=0),"","باسکول")</f>
        <v/>
      </c>
      <c r="D295" s="80">
        <f>IF(OR(Scale!$X81="",Scale!$X81=0),"",Scale!$X81)</f>
        <v/>
      </c>
      <c r="E295" s="81">
        <f>IF(OR(Scale!$X81="",Scale!$X81=0),"",IF(Scale!$X81="","","مقابل: "&amp;Scale!$E81))</f>
        <v/>
      </c>
      <c r="F295" s="83" t="n"/>
      <c r="G295" s="83" t="n"/>
      <c r="H295" s="83" t="n"/>
      <c r="I295" s="83" t="n"/>
      <c r="J295" s="83" t="n"/>
      <c r="K295" s="82">
        <f>IF(OR(Scale!$X81="",Scale!$X81=0),"",IF(Scale!$Y81="",0,Scale!$Y81)+IF(Scale!$Z81="",0,Scale!$Z81))</f>
        <v/>
      </c>
      <c r="L295" s="82">
        <f>IF(OR(Scale!$X81="",Scale!$X81=0),"",Scale!$Y81)</f>
        <v/>
      </c>
      <c r="M295" s="82">
        <f>IF(OR(Scale!$X81="",Scale!$X81=0),"",Scale!$Z81)</f>
        <v/>
      </c>
      <c r="N295" s="81">
        <f>IF(OR(Scale!$X81="",Scale!$X81=0),"","مقابل")</f>
        <v/>
      </c>
      <c r="O295" s="81">
        <f>IF(OR(Scale!$X81="",Scale!$X81=0),"",IFERROR(VLOOKUP(Scale!$X81,AcctTbl,3,0),""))</f>
        <v/>
      </c>
      <c r="P295" s="82">
        <f>IF(Scale!$X81&lt;&gt;"X011","","BN02")</f>
        <v/>
      </c>
    </row>
    <row r="296" ht="20.25" customHeight="1">
      <c r="A296" s="80">
        <f>IF(OR(Scale!$AA81="",Scale!$AA81=0),"",Scale!$B81)</f>
        <v/>
      </c>
      <c r="B296" s="80">
        <f>IF(OR(Scale!$AA81="",Scale!$AA81=0),"",Scale!$D81)</f>
        <v/>
      </c>
      <c r="C296" s="80">
        <f>IF(OR(Scale!$AA81="",Scale!$AA81=0),"","باسکول")</f>
        <v/>
      </c>
      <c r="D296" s="80">
        <f>IF(OR(Scale!$AA81="",Scale!$AA81=0),"",Scale!$AA81)</f>
        <v/>
      </c>
      <c r="E296" s="81">
        <f>IF(OR(Scale!$AA81="",Scale!$AA81=0),"",IF(Scale!$AA81="","","پوز باسکول — "&amp;Scale!$E81))</f>
        <v/>
      </c>
      <c r="F296" s="83" t="n"/>
      <c r="G296" s="83" t="n"/>
      <c r="H296" s="83" t="n"/>
      <c r="I296" s="83" t="n"/>
      <c r="J296" s="83" t="n"/>
      <c r="K296" s="82">
        <f>IF(OR(Scale!$AA81="",Scale!$AA81=0),"",IF(Scale!$AB81="",0,Scale!$AB81)+IF(Scale!$AC81="",0,Scale!$AC81))</f>
        <v/>
      </c>
      <c r="L296" s="82">
        <f>IF(OR(Scale!$AA81="",Scale!$AA81=0),"",Scale!$AB81)</f>
        <v/>
      </c>
      <c r="M296" s="82">
        <f>IF(OR(Scale!$AA81="",Scale!$AA81=0),"",Scale!$AC81)</f>
        <v/>
      </c>
      <c r="N296" s="81">
        <f>IF(OR(Scale!$AA81="",Scale!$AA81=0),"","پوز")</f>
        <v/>
      </c>
      <c r="O296" s="81">
        <f>IF(OR(Scale!$AA81="",Scale!$AA81=0),"",IFERROR(VLOOKUP(Scale!$AA81,AcctTbl,3,0),""))</f>
        <v/>
      </c>
      <c r="P296" s="82">
        <f>IF(Scale!$AA81&lt;&gt;"X011","","BN02")</f>
        <v/>
      </c>
    </row>
    <row r="297" ht="20.25" customHeight="1">
      <c r="A297" s="80">
        <f>IF(OR(Scale!$AD81="",Scale!$AD81=0),"",Scale!$B81)</f>
        <v/>
      </c>
      <c r="B297" s="80">
        <f>IF(OR(Scale!$AD81="",Scale!$AD81=0),"",Scale!$D81)</f>
        <v/>
      </c>
      <c r="C297" s="80">
        <f>IF(OR(Scale!$AD81="",Scale!$AD81=0),"","باسکول")</f>
        <v/>
      </c>
      <c r="D297" s="80">
        <f>IF(OR(Scale!$AD81="",Scale!$AD81=0),"",Scale!$AD81)</f>
        <v/>
      </c>
      <c r="E297" s="81">
        <f>IF(OR(Scale!$AD81="",Scale!$AD81=0),"",IF(Scale!$AD81="","","مقابل پوز — "&amp;Scale!$E81))</f>
        <v/>
      </c>
      <c r="F297" s="83" t="n"/>
      <c r="G297" s="83" t="n"/>
      <c r="H297" s="83" t="n"/>
      <c r="I297" s="83" t="n"/>
      <c r="J297" s="83" t="n"/>
      <c r="K297" s="82">
        <f>IF(OR(Scale!$AD81="",Scale!$AD81=0),"",IF(Scale!$AE81="",0,Scale!$AE81)+IF(Scale!$AF81="",0,Scale!$AF81))</f>
        <v/>
      </c>
      <c r="L297" s="82">
        <f>IF(OR(Scale!$AD81="",Scale!$AD81=0),"",Scale!$AE81)</f>
        <v/>
      </c>
      <c r="M297" s="82">
        <f>IF(OR(Scale!$AD81="",Scale!$AD81=0),"",Scale!$AF81)</f>
        <v/>
      </c>
      <c r="N297" s="81">
        <f>IF(OR(Scale!$AD81="",Scale!$AD81=0),"","مقابل پوز")</f>
        <v/>
      </c>
      <c r="O297" s="81">
        <f>IF(OR(Scale!$AD81="",Scale!$AD81=0),"",IFERROR(VLOOKUP(Scale!$AD81,AcctTbl,3,0),""))</f>
        <v/>
      </c>
      <c r="P297" s="82">
        <f>IF(Scale!$AD81&lt;&gt;"X011","","BN02")</f>
        <v/>
      </c>
    </row>
    <row r="298" ht="20.25" customHeight="1">
      <c r="A298" s="80">
        <f>IF(OR(Scale!$U82="",Scale!$U82=0),"",Scale!$B82)</f>
        <v/>
      </c>
      <c r="B298" s="80">
        <f>IF(OR(Scale!$U82="",Scale!$U82=0),"",Scale!$D82)</f>
        <v/>
      </c>
      <c r="C298" s="80">
        <f>IF(OR(Scale!$U82="",Scale!$U82=0),"","باسکول")</f>
        <v/>
      </c>
      <c r="D298" s="80">
        <f>IF(OR(Scale!$U82="",Scale!$U82=0),"",Scale!$U82)</f>
        <v/>
      </c>
      <c r="E298" s="81">
        <f>IF(OR(Scale!$U82="",Scale!$U82=0),"",Scale!$T82)</f>
        <v/>
      </c>
      <c r="F298" s="81">
        <f>IF(OR(Scale!$U82="",Scale!$U82=0),"",Scale!$J82)</f>
        <v/>
      </c>
      <c r="G298" s="82">
        <f>IF(OR(Scale!$U82="",Scale!$U82=0),"",Scale!$M82)</f>
        <v/>
      </c>
      <c r="H298" s="82">
        <f>IF(OR(Scale!$U82="",Scale!$U82=0),"",Scale!$L82)</f>
        <v/>
      </c>
      <c r="I298" s="82">
        <f>IF(OR(Scale!$U82="",Scale!$U82=0),"",Scale!$N82)</f>
        <v/>
      </c>
      <c r="J298" s="82">
        <f>IF(OR(Scale!$U82="",Scale!$U82=0),"",Scale!$O82)</f>
        <v/>
      </c>
      <c r="K298" s="82">
        <f>IF(OR(Scale!$U82="",Scale!$U82=0),"",IF(Scale!$V82="",0,Scale!$V82)+IF(Scale!$W82="",0,Scale!$W82))</f>
        <v/>
      </c>
      <c r="L298" s="82">
        <f>IF(OR(Scale!$U82="",Scale!$U82=0),"",Scale!$V82)</f>
        <v/>
      </c>
      <c r="M298" s="82">
        <f>IF(OR(Scale!$U82="",Scale!$U82=0),"",Scale!$W82)</f>
        <v/>
      </c>
      <c r="N298" s="81">
        <f>IF(OR(Scale!$U82="",Scale!$U82=0),"",Scale!$E82)</f>
        <v/>
      </c>
      <c r="O298" s="81">
        <f>IF(OR(Scale!$U82="",Scale!$U82=0),"",IFERROR(VLOOKUP(Scale!$U82,AcctTbl,3,0),""))</f>
        <v/>
      </c>
      <c r="P298" s="82">
        <f>IF(Scale!$U82&lt;&gt;"X011","","BN02")</f>
        <v/>
      </c>
    </row>
    <row r="299" ht="20.25" customHeight="1">
      <c r="A299" s="80">
        <f>IF(OR(Scale!$X82="",Scale!$X82=0),"",Scale!$B82)</f>
        <v/>
      </c>
      <c r="B299" s="80">
        <f>IF(OR(Scale!$X82="",Scale!$X82=0),"",Scale!$D82)</f>
        <v/>
      </c>
      <c r="C299" s="80">
        <f>IF(OR(Scale!$X82="",Scale!$X82=0),"","باسکول")</f>
        <v/>
      </c>
      <c r="D299" s="80">
        <f>IF(OR(Scale!$X82="",Scale!$X82=0),"",Scale!$X82)</f>
        <v/>
      </c>
      <c r="E299" s="81">
        <f>IF(OR(Scale!$X82="",Scale!$X82=0),"",IF(Scale!$X82="","","مقابل: "&amp;Scale!$E82))</f>
        <v/>
      </c>
      <c r="F299" s="83" t="n"/>
      <c r="G299" s="83" t="n"/>
      <c r="H299" s="83" t="n"/>
      <c r="I299" s="83" t="n"/>
      <c r="J299" s="83" t="n"/>
      <c r="K299" s="82">
        <f>IF(OR(Scale!$X82="",Scale!$X82=0),"",IF(Scale!$Y82="",0,Scale!$Y82)+IF(Scale!$Z82="",0,Scale!$Z82))</f>
        <v/>
      </c>
      <c r="L299" s="82">
        <f>IF(OR(Scale!$X82="",Scale!$X82=0),"",Scale!$Y82)</f>
        <v/>
      </c>
      <c r="M299" s="82">
        <f>IF(OR(Scale!$X82="",Scale!$X82=0),"",Scale!$Z82)</f>
        <v/>
      </c>
      <c r="N299" s="81">
        <f>IF(OR(Scale!$X82="",Scale!$X82=0),"","مقابل")</f>
        <v/>
      </c>
      <c r="O299" s="81">
        <f>IF(OR(Scale!$X82="",Scale!$X82=0),"",IFERROR(VLOOKUP(Scale!$X82,AcctTbl,3,0),""))</f>
        <v/>
      </c>
      <c r="P299" s="82">
        <f>IF(Scale!$X82&lt;&gt;"X011","","BN02")</f>
        <v/>
      </c>
    </row>
    <row r="300" ht="20.25" customHeight="1">
      <c r="A300" s="80">
        <f>IF(OR(Scale!$AA82="",Scale!$AA82=0),"",Scale!$B82)</f>
        <v/>
      </c>
      <c r="B300" s="80">
        <f>IF(OR(Scale!$AA82="",Scale!$AA82=0),"",Scale!$D82)</f>
        <v/>
      </c>
      <c r="C300" s="80">
        <f>IF(OR(Scale!$AA82="",Scale!$AA82=0),"","باسکول")</f>
        <v/>
      </c>
      <c r="D300" s="80">
        <f>IF(OR(Scale!$AA82="",Scale!$AA82=0),"",Scale!$AA82)</f>
        <v/>
      </c>
      <c r="E300" s="81">
        <f>IF(OR(Scale!$AA82="",Scale!$AA82=0),"",IF(Scale!$AA82="","","پوز باسکول — "&amp;Scale!$E82))</f>
        <v/>
      </c>
      <c r="F300" s="83" t="n"/>
      <c r="G300" s="83" t="n"/>
      <c r="H300" s="83" t="n"/>
      <c r="I300" s="83" t="n"/>
      <c r="J300" s="83" t="n"/>
      <c r="K300" s="82">
        <f>IF(OR(Scale!$AA82="",Scale!$AA82=0),"",IF(Scale!$AB82="",0,Scale!$AB82)+IF(Scale!$AC82="",0,Scale!$AC82))</f>
        <v/>
      </c>
      <c r="L300" s="82">
        <f>IF(OR(Scale!$AA82="",Scale!$AA82=0),"",Scale!$AB82)</f>
        <v/>
      </c>
      <c r="M300" s="82">
        <f>IF(OR(Scale!$AA82="",Scale!$AA82=0),"",Scale!$AC82)</f>
        <v/>
      </c>
      <c r="N300" s="81">
        <f>IF(OR(Scale!$AA82="",Scale!$AA82=0),"","پوز")</f>
        <v/>
      </c>
      <c r="O300" s="81">
        <f>IF(OR(Scale!$AA82="",Scale!$AA82=0),"",IFERROR(VLOOKUP(Scale!$AA82,AcctTbl,3,0),""))</f>
        <v/>
      </c>
      <c r="P300" s="82">
        <f>IF(Scale!$AA82&lt;&gt;"X011","","BN02")</f>
        <v/>
      </c>
    </row>
    <row r="301" ht="20.25" customHeight="1">
      <c r="A301" s="80">
        <f>IF(OR(Scale!$AD82="",Scale!$AD82=0),"",Scale!$B82)</f>
        <v/>
      </c>
      <c r="B301" s="80">
        <f>IF(OR(Scale!$AD82="",Scale!$AD82=0),"",Scale!$D82)</f>
        <v/>
      </c>
      <c r="C301" s="80">
        <f>IF(OR(Scale!$AD82="",Scale!$AD82=0),"","باسکول")</f>
        <v/>
      </c>
      <c r="D301" s="80">
        <f>IF(OR(Scale!$AD82="",Scale!$AD82=0),"",Scale!$AD82)</f>
        <v/>
      </c>
      <c r="E301" s="81">
        <f>IF(OR(Scale!$AD82="",Scale!$AD82=0),"",IF(Scale!$AD82="","","مقابل پوز — "&amp;Scale!$E82))</f>
        <v/>
      </c>
      <c r="F301" s="83" t="n"/>
      <c r="G301" s="83" t="n"/>
      <c r="H301" s="83" t="n"/>
      <c r="I301" s="83" t="n"/>
      <c r="J301" s="83" t="n"/>
      <c r="K301" s="82">
        <f>IF(OR(Scale!$AD82="",Scale!$AD82=0),"",IF(Scale!$AE82="",0,Scale!$AE82)+IF(Scale!$AF82="",0,Scale!$AF82))</f>
        <v/>
      </c>
      <c r="L301" s="82">
        <f>IF(OR(Scale!$AD82="",Scale!$AD82=0),"",Scale!$AE82)</f>
        <v/>
      </c>
      <c r="M301" s="82">
        <f>IF(OR(Scale!$AD82="",Scale!$AD82=0),"",Scale!$AF82)</f>
        <v/>
      </c>
      <c r="N301" s="81">
        <f>IF(OR(Scale!$AD82="",Scale!$AD82=0),"","مقابل پوز")</f>
        <v/>
      </c>
      <c r="O301" s="81">
        <f>IF(OR(Scale!$AD82="",Scale!$AD82=0),"",IFERROR(VLOOKUP(Scale!$AD82,AcctTbl,3,0),""))</f>
        <v/>
      </c>
      <c r="P301" s="82">
        <f>IF(Scale!$AD82&lt;&gt;"X011","","BN02")</f>
        <v/>
      </c>
    </row>
    <row r="302" ht="20.25" customHeight="1">
      <c r="A302" s="80">
        <f>IF(OR(Scale!$U83="",Scale!$U83=0),"",Scale!$B83)</f>
        <v/>
      </c>
      <c r="B302" s="80">
        <f>IF(OR(Scale!$U83="",Scale!$U83=0),"",Scale!$D83)</f>
        <v/>
      </c>
      <c r="C302" s="80">
        <f>IF(OR(Scale!$U83="",Scale!$U83=0),"","باسکول")</f>
        <v/>
      </c>
      <c r="D302" s="80">
        <f>IF(OR(Scale!$U83="",Scale!$U83=0),"",Scale!$U83)</f>
        <v/>
      </c>
      <c r="E302" s="81">
        <f>IF(OR(Scale!$U83="",Scale!$U83=0),"",Scale!$T83)</f>
        <v/>
      </c>
      <c r="F302" s="81">
        <f>IF(OR(Scale!$U83="",Scale!$U83=0),"",Scale!$J83)</f>
        <v/>
      </c>
      <c r="G302" s="82">
        <f>IF(OR(Scale!$U83="",Scale!$U83=0),"",Scale!$M83)</f>
        <v/>
      </c>
      <c r="H302" s="82">
        <f>IF(OR(Scale!$U83="",Scale!$U83=0),"",Scale!$L83)</f>
        <v/>
      </c>
      <c r="I302" s="82">
        <f>IF(OR(Scale!$U83="",Scale!$U83=0),"",Scale!$N83)</f>
        <v/>
      </c>
      <c r="J302" s="82">
        <f>IF(OR(Scale!$U83="",Scale!$U83=0),"",Scale!$O83)</f>
        <v/>
      </c>
      <c r="K302" s="82">
        <f>IF(OR(Scale!$U83="",Scale!$U83=0),"",IF(Scale!$V83="",0,Scale!$V83)+IF(Scale!$W83="",0,Scale!$W83))</f>
        <v/>
      </c>
      <c r="L302" s="82">
        <f>IF(OR(Scale!$U83="",Scale!$U83=0),"",Scale!$V83)</f>
        <v/>
      </c>
      <c r="M302" s="82">
        <f>IF(OR(Scale!$U83="",Scale!$U83=0),"",Scale!$W83)</f>
        <v/>
      </c>
      <c r="N302" s="81">
        <f>IF(OR(Scale!$U83="",Scale!$U83=0),"",Scale!$E83)</f>
        <v/>
      </c>
      <c r="O302" s="81">
        <f>IF(OR(Scale!$U83="",Scale!$U83=0),"",IFERROR(VLOOKUP(Scale!$U83,AcctTbl,3,0),""))</f>
        <v/>
      </c>
      <c r="P302" s="82">
        <f>IF(Scale!$U83&lt;&gt;"X011","","BN02")</f>
        <v/>
      </c>
    </row>
    <row r="303" ht="20.25" customHeight="1">
      <c r="A303" s="80">
        <f>IF(OR(Scale!$X83="",Scale!$X83=0),"",Scale!$B83)</f>
        <v/>
      </c>
      <c r="B303" s="80">
        <f>IF(OR(Scale!$X83="",Scale!$X83=0),"",Scale!$D83)</f>
        <v/>
      </c>
      <c r="C303" s="80">
        <f>IF(OR(Scale!$X83="",Scale!$X83=0),"","باسکول")</f>
        <v/>
      </c>
      <c r="D303" s="80">
        <f>IF(OR(Scale!$X83="",Scale!$X83=0),"",Scale!$X83)</f>
        <v/>
      </c>
      <c r="E303" s="81">
        <f>IF(OR(Scale!$X83="",Scale!$X83=0),"",IF(Scale!$X83="","","مقابل: "&amp;Scale!$E83))</f>
        <v/>
      </c>
      <c r="F303" s="83" t="n"/>
      <c r="G303" s="83" t="n"/>
      <c r="H303" s="83" t="n"/>
      <c r="I303" s="83" t="n"/>
      <c r="J303" s="83" t="n"/>
      <c r="K303" s="82">
        <f>IF(OR(Scale!$X83="",Scale!$X83=0),"",IF(Scale!$Y83="",0,Scale!$Y83)+IF(Scale!$Z83="",0,Scale!$Z83))</f>
        <v/>
      </c>
      <c r="L303" s="82">
        <f>IF(OR(Scale!$X83="",Scale!$X83=0),"",Scale!$Y83)</f>
        <v/>
      </c>
      <c r="M303" s="82">
        <f>IF(OR(Scale!$X83="",Scale!$X83=0),"",Scale!$Z83)</f>
        <v/>
      </c>
      <c r="N303" s="81">
        <f>IF(OR(Scale!$X83="",Scale!$X83=0),"","مقابل")</f>
        <v/>
      </c>
      <c r="O303" s="81">
        <f>IF(OR(Scale!$X83="",Scale!$X83=0),"",IFERROR(VLOOKUP(Scale!$X83,AcctTbl,3,0),""))</f>
        <v/>
      </c>
      <c r="P303" s="82">
        <f>IF(Scale!$X83&lt;&gt;"X011","","BN02")</f>
        <v/>
      </c>
    </row>
    <row r="304" ht="20.25" customHeight="1">
      <c r="A304" s="80">
        <f>IF(OR(Scale!$AA83="",Scale!$AA83=0),"",Scale!$B83)</f>
        <v/>
      </c>
      <c r="B304" s="80">
        <f>IF(OR(Scale!$AA83="",Scale!$AA83=0),"",Scale!$D83)</f>
        <v/>
      </c>
      <c r="C304" s="80">
        <f>IF(OR(Scale!$AA83="",Scale!$AA83=0),"","باسکول")</f>
        <v/>
      </c>
      <c r="D304" s="80">
        <f>IF(OR(Scale!$AA83="",Scale!$AA83=0),"",Scale!$AA83)</f>
        <v/>
      </c>
      <c r="E304" s="81">
        <f>IF(OR(Scale!$AA83="",Scale!$AA83=0),"",IF(Scale!$AA83="","","پوز باسکول — "&amp;Scale!$E83))</f>
        <v/>
      </c>
      <c r="F304" s="83" t="n"/>
      <c r="G304" s="83" t="n"/>
      <c r="H304" s="83" t="n"/>
      <c r="I304" s="83" t="n"/>
      <c r="J304" s="83" t="n"/>
      <c r="K304" s="82">
        <f>IF(OR(Scale!$AA83="",Scale!$AA83=0),"",IF(Scale!$AB83="",0,Scale!$AB83)+IF(Scale!$AC83="",0,Scale!$AC83))</f>
        <v/>
      </c>
      <c r="L304" s="82">
        <f>IF(OR(Scale!$AA83="",Scale!$AA83=0),"",Scale!$AB83)</f>
        <v/>
      </c>
      <c r="M304" s="82">
        <f>IF(OR(Scale!$AA83="",Scale!$AA83=0),"",Scale!$AC83)</f>
        <v/>
      </c>
      <c r="N304" s="81">
        <f>IF(OR(Scale!$AA83="",Scale!$AA83=0),"","پوز")</f>
        <v/>
      </c>
      <c r="O304" s="81">
        <f>IF(OR(Scale!$AA83="",Scale!$AA83=0),"",IFERROR(VLOOKUP(Scale!$AA83,AcctTbl,3,0),""))</f>
        <v/>
      </c>
      <c r="P304" s="82">
        <f>IF(Scale!$AA83&lt;&gt;"X011","","BN02")</f>
        <v/>
      </c>
    </row>
    <row r="305" ht="20.25" customHeight="1">
      <c r="A305" s="80">
        <f>IF(OR(Scale!$AD83="",Scale!$AD83=0),"",Scale!$B83)</f>
        <v/>
      </c>
      <c r="B305" s="80">
        <f>IF(OR(Scale!$AD83="",Scale!$AD83=0),"",Scale!$D83)</f>
        <v/>
      </c>
      <c r="C305" s="80">
        <f>IF(OR(Scale!$AD83="",Scale!$AD83=0),"","باسکول")</f>
        <v/>
      </c>
      <c r="D305" s="80">
        <f>IF(OR(Scale!$AD83="",Scale!$AD83=0),"",Scale!$AD83)</f>
        <v/>
      </c>
      <c r="E305" s="81">
        <f>IF(OR(Scale!$AD83="",Scale!$AD83=0),"",IF(Scale!$AD83="","","مقابل پوز — "&amp;Scale!$E83))</f>
        <v/>
      </c>
      <c r="F305" s="83" t="n"/>
      <c r="G305" s="83" t="n"/>
      <c r="H305" s="83" t="n"/>
      <c r="I305" s="83" t="n"/>
      <c r="J305" s="83" t="n"/>
      <c r="K305" s="82">
        <f>IF(OR(Scale!$AD83="",Scale!$AD83=0),"",IF(Scale!$AE83="",0,Scale!$AE83)+IF(Scale!$AF83="",0,Scale!$AF83))</f>
        <v/>
      </c>
      <c r="L305" s="82">
        <f>IF(OR(Scale!$AD83="",Scale!$AD83=0),"",Scale!$AE83)</f>
        <v/>
      </c>
      <c r="M305" s="82">
        <f>IF(OR(Scale!$AD83="",Scale!$AD83=0),"",Scale!$AF83)</f>
        <v/>
      </c>
      <c r="N305" s="81">
        <f>IF(OR(Scale!$AD83="",Scale!$AD83=0),"","مقابل پوز")</f>
        <v/>
      </c>
      <c r="O305" s="81">
        <f>IF(OR(Scale!$AD83="",Scale!$AD83=0),"",IFERROR(VLOOKUP(Scale!$AD83,AcctTbl,3,0),""))</f>
        <v/>
      </c>
      <c r="P305" s="82">
        <f>IF(Scale!$AD83&lt;&gt;"X011","","BN02")</f>
        <v/>
      </c>
    </row>
    <row r="306" ht="20.25" customHeight="1">
      <c r="A306" s="80">
        <f>IF(OR(Scale!$U84="",Scale!$U84=0),"",Scale!$B84)</f>
        <v/>
      </c>
      <c r="B306" s="80">
        <f>IF(OR(Scale!$U84="",Scale!$U84=0),"",Scale!$D84)</f>
        <v/>
      </c>
      <c r="C306" s="80">
        <f>IF(OR(Scale!$U84="",Scale!$U84=0),"","باسکول")</f>
        <v/>
      </c>
      <c r="D306" s="80">
        <f>IF(OR(Scale!$U84="",Scale!$U84=0),"",Scale!$U84)</f>
        <v/>
      </c>
      <c r="E306" s="81">
        <f>IF(OR(Scale!$U84="",Scale!$U84=0),"",Scale!$T84)</f>
        <v/>
      </c>
      <c r="F306" s="81">
        <f>IF(OR(Scale!$U84="",Scale!$U84=0),"",Scale!$J84)</f>
        <v/>
      </c>
      <c r="G306" s="82">
        <f>IF(OR(Scale!$U84="",Scale!$U84=0),"",Scale!$M84)</f>
        <v/>
      </c>
      <c r="H306" s="82">
        <f>IF(OR(Scale!$U84="",Scale!$U84=0),"",Scale!$L84)</f>
        <v/>
      </c>
      <c r="I306" s="82">
        <f>IF(OR(Scale!$U84="",Scale!$U84=0),"",Scale!$N84)</f>
        <v/>
      </c>
      <c r="J306" s="82">
        <f>IF(OR(Scale!$U84="",Scale!$U84=0),"",Scale!$O84)</f>
        <v/>
      </c>
      <c r="K306" s="82">
        <f>IF(OR(Scale!$U84="",Scale!$U84=0),"",IF(Scale!$V84="",0,Scale!$V84)+IF(Scale!$W84="",0,Scale!$W84))</f>
        <v/>
      </c>
      <c r="L306" s="82">
        <f>IF(OR(Scale!$U84="",Scale!$U84=0),"",Scale!$V84)</f>
        <v/>
      </c>
      <c r="M306" s="82">
        <f>IF(OR(Scale!$U84="",Scale!$U84=0),"",Scale!$W84)</f>
        <v/>
      </c>
      <c r="N306" s="81">
        <f>IF(OR(Scale!$U84="",Scale!$U84=0),"",Scale!$E84)</f>
        <v/>
      </c>
      <c r="O306" s="81">
        <f>IF(OR(Scale!$U84="",Scale!$U84=0),"",IFERROR(VLOOKUP(Scale!$U84,AcctTbl,3,0),""))</f>
        <v/>
      </c>
      <c r="P306" s="82">
        <f>IF(Scale!$U84&lt;&gt;"X011","","BN02")</f>
        <v/>
      </c>
    </row>
    <row r="307" ht="20.25" customHeight="1">
      <c r="A307" s="80">
        <f>IF(OR(Scale!$X84="",Scale!$X84=0),"",Scale!$B84)</f>
        <v/>
      </c>
      <c r="B307" s="80">
        <f>IF(OR(Scale!$X84="",Scale!$X84=0),"",Scale!$D84)</f>
        <v/>
      </c>
      <c r="C307" s="80">
        <f>IF(OR(Scale!$X84="",Scale!$X84=0),"","باسکول")</f>
        <v/>
      </c>
      <c r="D307" s="80">
        <f>IF(OR(Scale!$X84="",Scale!$X84=0),"",Scale!$X84)</f>
        <v/>
      </c>
      <c r="E307" s="81">
        <f>IF(OR(Scale!$X84="",Scale!$X84=0),"",IF(Scale!$X84="","","مقابل: "&amp;Scale!$E84))</f>
        <v/>
      </c>
      <c r="F307" s="83" t="n"/>
      <c r="G307" s="83" t="n"/>
      <c r="H307" s="83" t="n"/>
      <c r="I307" s="83" t="n"/>
      <c r="J307" s="83" t="n"/>
      <c r="K307" s="82">
        <f>IF(OR(Scale!$X84="",Scale!$X84=0),"",IF(Scale!$Y84="",0,Scale!$Y84)+IF(Scale!$Z84="",0,Scale!$Z84))</f>
        <v/>
      </c>
      <c r="L307" s="82">
        <f>IF(OR(Scale!$X84="",Scale!$X84=0),"",Scale!$Y84)</f>
        <v/>
      </c>
      <c r="M307" s="82">
        <f>IF(OR(Scale!$X84="",Scale!$X84=0),"",Scale!$Z84)</f>
        <v/>
      </c>
      <c r="N307" s="81">
        <f>IF(OR(Scale!$X84="",Scale!$X84=0),"","مقابل")</f>
        <v/>
      </c>
      <c r="O307" s="81">
        <f>IF(OR(Scale!$X84="",Scale!$X84=0),"",IFERROR(VLOOKUP(Scale!$X84,AcctTbl,3,0),""))</f>
        <v/>
      </c>
      <c r="P307" s="82">
        <f>IF(Scale!$X84&lt;&gt;"X011","","BN02")</f>
        <v/>
      </c>
    </row>
    <row r="308" ht="20.25" customHeight="1">
      <c r="A308" s="80">
        <f>IF(OR(Scale!$AA84="",Scale!$AA84=0),"",Scale!$B84)</f>
        <v/>
      </c>
      <c r="B308" s="80">
        <f>IF(OR(Scale!$AA84="",Scale!$AA84=0),"",Scale!$D84)</f>
        <v/>
      </c>
      <c r="C308" s="80">
        <f>IF(OR(Scale!$AA84="",Scale!$AA84=0),"","باسکول")</f>
        <v/>
      </c>
      <c r="D308" s="80">
        <f>IF(OR(Scale!$AA84="",Scale!$AA84=0),"",Scale!$AA84)</f>
        <v/>
      </c>
      <c r="E308" s="81">
        <f>IF(OR(Scale!$AA84="",Scale!$AA84=0),"",IF(Scale!$AA84="","","پوز باسکول — "&amp;Scale!$E84))</f>
        <v/>
      </c>
      <c r="F308" s="83" t="n"/>
      <c r="G308" s="83" t="n"/>
      <c r="H308" s="83" t="n"/>
      <c r="I308" s="83" t="n"/>
      <c r="J308" s="83" t="n"/>
      <c r="K308" s="82">
        <f>IF(OR(Scale!$AA84="",Scale!$AA84=0),"",IF(Scale!$AB84="",0,Scale!$AB84)+IF(Scale!$AC84="",0,Scale!$AC84))</f>
        <v/>
      </c>
      <c r="L308" s="82">
        <f>IF(OR(Scale!$AA84="",Scale!$AA84=0),"",Scale!$AB84)</f>
        <v/>
      </c>
      <c r="M308" s="82">
        <f>IF(OR(Scale!$AA84="",Scale!$AA84=0),"",Scale!$AC84)</f>
        <v/>
      </c>
      <c r="N308" s="81">
        <f>IF(OR(Scale!$AA84="",Scale!$AA84=0),"","پوز")</f>
        <v/>
      </c>
      <c r="O308" s="81">
        <f>IF(OR(Scale!$AA84="",Scale!$AA84=0),"",IFERROR(VLOOKUP(Scale!$AA84,AcctTbl,3,0),""))</f>
        <v/>
      </c>
      <c r="P308" s="82">
        <f>IF(Scale!$AA84&lt;&gt;"X011","","BN02")</f>
        <v/>
      </c>
    </row>
    <row r="309" ht="20.25" customHeight="1">
      <c r="A309" s="80">
        <f>IF(OR(Scale!$AD84="",Scale!$AD84=0),"",Scale!$B84)</f>
        <v/>
      </c>
      <c r="B309" s="80">
        <f>IF(OR(Scale!$AD84="",Scale!$AD84=0),"",Scale!$D84)</f>
        <v/>
      </c>
      <c r="C309" s="80">
        <f>IF(OR(Scale!$AD84="",Scale!$AD84=0),"","باسکول")</f>
        <v/>
      </c>
      <c r="D309" s="80">
        <f>IF(OR(Scale!$AD84="",Scale!$AD84=0),"",Scale!$AD84)</f>
        <v/>
      </c>
      <c r="E309" s="81">
        <f>IF(OR(Scale!$AD84="",Scale!$AD84=0),"",IF(Scale!$AD84="","","مقابل پوز — "&amp;Scale!$E84))</f>
        <v/>
      </c>
      <c r="F309" s="83" t="n"/>
      <c r="G309" s="83" t="n"/>
      <c r="H309" s="83" t="n"/>
      <c r="I309" s="83" t="n"/>
      <c r="J309" s="83" t="n"/>
      <c r="K309" s="82">
        <f>IF(OR(Scale!$AD84="",Scale!$AD84=0),"",IF(Scale!$AE84="",0,Scale!$AE84)+IF(Scale!$AF84="",0,Scale!$AF84))</f>
        <v/>
      </c>
      <c r="L309" s="82">
        <f>IF(OR(Scale!$AD84="",Scale!$AD84=0),"",Scale!$AE84)</f>
        <v/>
      </c>
      <c r="M309" s="82">
        <f>IF(OR(Scale!$AD84="",Scale!$AD84=0),"",Scale!$AF84)</f>
        <v/>
      </c>
      <c r="N309" s="81">
        <f>IF(OR(Scale!$AD84="",Scale!$AD84=0),"","مقابل پوز")</f>
        <v/>
      </c>
      <c r="O309" s="81">
        <f>IF(OR(Scale!$AD84="",Scale!$AD84=0),"",IFERROR(VLOOKUP(Scale!$AD84,AcctTbl,3,0),""))</f>
        <v/>
      </c>
      <c r="P309" s="82">
        <f>IF(Scale!$AD84&lt;&gt;"X011","","BN02")</f>
        <v/>
      </c>
    </row>
    <row r="310" ht="20.25" customHeight="1">
      <c r="A310" s="80">
        <f>IF(OR(Scale!$U85="",Scale!$U85=0),"",Scale!$B85)</f>
        <v/>
      </c>
      <c r="B310" s="80">
        <f>IF(OR(Scale!$U85="",Scale!$U85=0),"",Scale!$D85)</f>
        <v/>
      </c>
      <c r="C310" s="80">
        <f>IF(OR(Scale!$U85="",Scale!$U85=0),"","باسکول")</f>
        <v/>
      </c>
      <c r="D310" s="80">
        <f>IF(OR(Scale!$U85="",Scale!$U85=0),"",Scale!$U85)</f>
        <v/>
      </c>
      <c r="E310" s="81">
        <f>IF(OR(Scale!$U85="",Scale!$U85=0),"",Scale!$T85)</f>
        <v/>
      </c>
      <c r="F310" s="81">
        <f>IF(OR(Scale!$U85="",Scale!$U85=0),"",Scale!$J85)</f>
        <v/>
      </c>
      <c r="G310" s="82">
        <f>IF(OR(Scale!$U85="",Scale!$U85=0),"",Scale!$M85)</f>
        <v/>
      </c>
      <c r="H310" s="82">
        <f>IF(OR(Scale!$U85="",Scale!$U85=0),"",Scale!$L85)</f>
        <v/>
      </c>
      <c r="I310" s="82">
        <f>IF(OR(Scale!$U85="",Scale!$U85=0),"",Scale!$N85)</f>
        <v/>
      </c>
      <c r="J310" s="82">
        <f>IF(OR(Scale!$U85="",Scale!$U85=0),"",Scale!$O85)</f>
        <v/>
      </c>
      <c r="K310" s="82">
        <f>IF(OR(Scale!$U85="",Scale!$U85=0),"",IF(Scale!$V85="",0,Scale!$V85)+IF(Scale!$W85="",0,Scale!$W85))</f>
        <v/>
      </c>
      <c r="L310" s="82">
        <f>IF(OR(Scale!$U85="",Scale!$U85=0),"",Scale!$V85)</f>
        <v/>
      </c>
      <c r="M310" s="82">
        <f>IF(OR(Scale!$U85="",Scale!$U85=0),"",Scale!$W85)</f>
        <v/>
      </c>
      <c r="N310" s="81">
        <f>IF(OR(Scale!$U85="",Scale!$U85=0),"",Scale!$E85)</f>
        <v/>
      </c>
      <c r="O310" s="81">
        <f>IF(OR(Scale!$U85="",Scale!$U85=0),"",IFERROR(VLOOKUP(Scale!$U85,AcctTbl,3,0),""))</f>
        <v/>
      </c>
      <c r="P310" s="82">
        <f>IF(Scale!$U85&lt;&gt;"X011","","BN02")</f>
        <v/>
      </c>
    </row>
    <row r="311" ht="20.25" customHeight="1">
      <c r="A311" s="80">
        <f>IF(OR(Scale!$X85="",Scale!$X85=0),"",Scale!$B85)</f>
        <v/>
      </c>
      <c r="B311" s="80">
        <f>IF(OR(Scale!$X85="",Scale!$X85=0),"",Scale!$D85)</f>
        <v/>
      </c>
      <c r="C311" s="80">
        <f>IF(OR(Scale!$X85="",Scale!$X85=0),"","باسکول")</f>
        <v/>
      </c>
      <c r="D311" s="80">
        <f>IF(OR(Scale!$X85="",Scale!$X85=0),"",Scale!$X85)</f>
        <v/>
      </c>
      <c r="E311" s="81">
        <f>IF(OR(Scale!$X85="",Scale!$X85=0),"",IF(Scale!$X85="","","مقابل: "&amp;Scale!$E85))</f>
        <v/>
      </c>
      <c r="F311" s="83" t="n"/>
      <c r="G311" s="83" t="n"/>
      <c r="H311" s="83" t="n"/>
      <c r="I311" s="83" t="n"/>
      <c r="J311" s="83" t="n"/>
      <c r="K311" s="82">
        <f>IF(OR(Scale!$X85="",Scale!$X85=0),"",IF(Scale!$Y85="",0,Scale!$Y85)+IF(Scale!$Z85="",0,Scale!$Z85))</f>
        <v/>
      </c>
      <c r="L311" s="82">
        <f>IF(OR(Scale!$X85="",Scale!$X85=0),"",Scale!$Y85)</f>
        <v/>
      </c>
      <c r="M311" s="82">
        <f>IF(OR(Scale!$X85="",Scale!$X85=0),"",Scale!$Z85)</f>
        <v/>
      </c>
      <c r="N311" s="81">
        <f>IF(OR(Scale!$X85="",Scale!$X85=0),"","مقابل")</f>
        <v/>
      </c>
      <c r="O311" s="81">
        <f>IF(OR(Scale!$X85="",Scale!$X85=0),"",IFERROR(VLOOKUP(Scale!$X85,AcctTbl,3,0),""))</f>
        <v/>
      </c>
      <c r="P311" s="82">
        <f>IF(Scale!$X85&lt;&gt;"X011","","BN02")</f>
        <v/>
      </c>
    </row>
    <row r="312" ht="20.25" customHeight="1">
      <c r="A312" s="80">
        <f>IF(OR(Scale!$AA85="",Scale!$AA85=0),"",Scale!$B85)</f>
        <v/>
      </c>
      <c r="B312" s="80">
        <f>IF(OR(Scale!$AA85="",Scale!$AA85=0),"",Scale!$D85)</f>
        <v/>
      </c>
      <c r="C312" s="80">
        <f>IF(OR(Scale!$AA85="",Scale!$AA85=0),"","باسکول")</f>
        <v/>
      </c>
      <c r="D312" s="80">
        <f>IF(OR(Scale!$AA85="",Scale!$AA85=0),"",Scale!$AA85)</f>
        <v/>
      </c>
      <c r="E312" s="81">
        <f>IF(OR(Scale!$AA85="",Scale!$AA85=0),"",IF(Scale!$AA85="","","پوز باسکول — "&amp;Scale!$E85))</f>
        <v/>
      </c>
      <c r="F312" s="83" t="n"/>
      <c r="G312" s="83" t="n"/>
      <c r="H312" s="83" t="n"/>
      <c r="I312" s="83" t="n"/>
      <c r="J312" s="83" t="n"/>
      <c r="K312" s="82">
        <f>IF(OR(Scale!$AA85="",Scale!$AA85=0),"",IF(Scale!$AB85="",0,Scale!$AB85)+IF(Scale!$AC85="",0,Scale!$AC85))</f>
        <v/>
      </c>
      <c r="L312" s="82">
        <f>IF(OR(Scale!$AA85="",Scale!$AA85=0),"",Scale!$AB85)</f>
        <v/>
      </c>
      <c r="M312" s="82">
        <f>IF(OR(Scale!$AA85="",Scale!$AA85=0),"",Scale!$AC85)</f>
        <v/>
      </c>
      <c r="N312" s="81">
        <f>IF(OR(Scale!$AA85="",Scale!$AA85=0),"","پوز")</f>
        <v/>
      </c>
      <c r="O312" s="81">
        <f>IF(OR(Scale!$AA85="",Scale!$AA85=0),"",IFERROR(VLOOKUP(Scale!$AA85,AcctTbl,3,0),""))</f>
        <v/>
      </c>
      <c r="P312" s="82">
        <f>IF(Scale!$AA85&lt;&gt;"X011","","BN02")</f>
        <v/>
      </c>
    </row>
    <row r="313" ht="20.25" customHeight="1">
      <c r="A313" s="80">
        <f>IF(OR(Scale!$AD85="",Scale!$AD85=0),"",Scale!$B85)</f>
        <v/>
      </c>
      <c r="B313" s="80">
        <f>IF(OR(Scale!$AD85="",Scale!$AD85=0),"",Scale!$D85)</f>
        <v/>
      </c>
      <c r="C313" s="80">
        <f>IF(OR(Scale!$AD85="",Scale!$AD85=0),"","باسکول")</f>
        <v/>
      </c>
      <c r="D313" s="80">
        <f>IF(OR(Scale!$AD85="",Scale!$AD85=0),"",Scale!$AD85)</f>
        <v/>
      </c>
      <c r="E313" s="81">
        <f>IF(OR(Scale!$AD85="",Scale!$AD85=0),"",IF(Scale!$AD85="","","مقابل پوز — "&amp;Scale!$E85))</f>
        <v/>
      </c>
      <c r="F313" s="83" t="n"/>
      <c r="G313" s="83" t="n"/>
      <c r="H313" s="83" t="n"/>
      <c r="I313" s="83" t="n"/>
      <c r="J313" s="83" t="n"/>
      <c r="K313" s="82">
        <f>IF(OR(Scale!$AD85="",Scale!$AD85=0),"",IF(Scale!$AE85="",0,Scale!$AE85)+IF(Scale!$AF85="",0,Scale!$AF85))</f>
        <v/>
      </c>
      <c r="L313" s="82">
        <f>IF(OR(Scale!$AD85="",Scale!$AD85=0),"",Scale!$AE85)</f>
        <v/>
      </c>
      <c r="M313" s="82">
        <f>IF(OR(Scale!$AD85="",Scale!$AD85=0),"",Scale!$AF85)</f>
        <v/>
      </c>
      <c r="N313" s="81">
        <f>IF(OR(Scale!$AD85="",Scale!$AD85=0),"","مقابل پوز")</f>
        <v/>
      </c>
      <c r="O313" s="81">
        <f>IF(OR(Scale!$AD85="",Scale!$AD85=0),"",IFERROR(VLOOKUP(Scale!$AD85,AcctTbl,3,0),""))</f>
        <v/>
      </c>
      <c r="P313" s="82">
        <f>IF(Scale!$AD85&lt;&gt;"X011","","BN02")</f>
        <v/>
      </c>
    </row>
    <row r="314" ht="20.25" customHeight="1">
      <c r="A314" s="80">
        <f>IF(OR(Scale!$U86="",Scale!$U86=0),"",Scale!$B86)</f>
        <v/>
      </c>
      <c r="B314" s="80">
        <f>IF(OR(Scale!$U86="",Scale!$U86=0),"",Scale!$D86)</f>
        <v/>
      </c>
      <c r="C314" s="80">
        <f>IF(OR(Scale!$U86="",Scale!$U86=0),"","باسکول")</f>
        <v/>
      </c>
      <c r="D314" s="80">
        <f>IF(OR(Scale!$U86="",Scale!$U86=0),"",Scale!$U86)</f>
        <v/>
      </c>
      <c r="E314" s="81">
        <f>IF(OR(Scale!$U86="",Scale!$U86=0),"",Scale!$T86)</f>
        <v/>
      </c>
      <c r="F314" s="81">
        <f>IF(OR(Scale!$U86="",Scale!$U86=0),"",Scale!$J86)</f>
        <v/>
      </c>
      <c r="G314" s="82">
        <f>IF(OR(Scale!$U86="",Scale!$U86=0),"",Scale!$M86)</f>
        <v/>
      </c>
      <c r="H314" s="82">
        <f>IF(OR(Scale!$U86="",Scale!$U86=0),"",Scale!$L86)</f>
        <v/>
      </c>
      <c r="I314" s="82">
        <f>IF(OR(Scale!$U86="",Scale!$U86=0),"",Scale!$N86)</f>
        <v/>
      </c>
      <c r="J314" s="82">
        <f>IF(OR(Scale!$U86="",Scale!$U86=0),"",Scale!$O86)</f>
        <v/>
      </c>
      <c r="K314" s="82">
        <f>IF(OR(Scale!$U86="",Scale!$U86=0),"",IF(Scale!$V86="",0,Scale!$V86)+IF(Scale!$W86="",0,Scale!$W86))</f>
        <v/>
      </c>
      <c r="L314" s="82">
        <f>IF(OR(Scale!$U86="",Scale!$U86=0),"",Scale!$V86)</f>
        <v/>
      </c>
      <c r="M314" s="82">
        <f>IF(OR(Scale!$U86="",Scale!$U86=0),"",Scale!$W86)</f>
        <v/>
      </c>
      <c r="N314" s="81">
        <f>IF(OR(Scale!$U86="",Scale!$U86=0),"",Scale!$E86)</f>
        <v/>
      </c>
      <c r="O314" s="81">
        <f>IF(OR(Scale!$U86="",Scale!$U86=0),"",IFERROR(VLOOKUP(Scale!$U86,AcctTbl,3,0),""))</f>
        <v/>
      </c>
      <c r="P314" s="82">
        <f>IF(Scale!$U86&lt;&gt;"X011","","BN02")</f>
        <v/>
      </c>
    </row>
    <row r="315" ht="20.25" customHeight="1">
      <c r="A315" s="80">
        <f>IF(OR(Scale!$X86="",Scale!$X86=0),"",Scale!$B86)</f>
        <v/>
      </c>
      <c r="B315" s="80">
        <f>IF(OR(Scale!$X86="",Scale!$X86=0),"",Scale!$D86)</f>
        <v/>
      </c>
      <c r="C315" s="80">
        <f>IF(OR(Scale!$X86="",Scale!$X86=0),"","باسکول")</f>
        <v/>
      </c>
      <c r="D315" s="80">
        <f>IF(OR(Scale!$X86="",Scale!$X86=0),"",Scale!$X86)</f>
        <v/>
      </c>
      <c r="E315" s="81">
        <f>IF(OR(Scale!$X86="",Scale!$X86=0),"",IF(Scale!$X86="","","مقابل: "&amp;Scale!$E86))</f>
        <v/>
      </c>
      <c r="F315" s="83" t="n"/>
      <c r="G315" s="83" t="n"/>
      <c r="H315" s="83" t="n"/>
      <c r="I315" s="83" t="n"/>
      <c r="J315" s="83" t="n"/>
      <c r="K315" s="82">
        <f>IF(OR(Scale!$X86="",Scale!$X86=0),"",IF(Scale!$Y86="",0,Scale!$Y86)+IF(Scale!$Z86="",0,Scale!$Z86))</f>
        <v/>
      </c>
      <c r="L315" s="82">
        <f>IF(OR(Scale!$X86="",Scale!$X86=0),"",Scale!$Y86)</f>
        <v/>
      </c>
      <c r="M315" s="82">
        <f>IF(OR(Scale!$X86="",Scale!$X86=0),"",Scale!$Z86)</f>
        <v/>
      </c>
      <c r="N315" s="81">
        <f>IF(OR(Scale!$X86="",Scale!$X86=0),"","مقابل")</f>
        <v/>
      </c>
      <c r="O315" s="81">
        <f>IF(OR(Scale!$X86="",Scale!$X86=0),"",IFERROR(VLOOKUP(Scale!$X86,AcctTbl,3,0),""))</f>
        <v/>
      </c>
      <c r="P315" s="82">
        <f>IF(Scale!$X86&lt;&gt;"X011","","BN02")</f>
        <v/>
      </c>
    </row>
    <row r="316" ht="20.25" customHeight="1">
      <c r="A316" s="80">
        <f>IF(OR(Scale!$AA86="",Scale!$AA86=0),"",Scale!$B86)</f>
        <v/>
      </c>
      <c r="B316" s="80">
        <f>IF(OR(Scale!$AA86="",Scale!$AA86=0),"",Scale!$D86)</f>
        <v/>
      </c>
      <c r="C316" s="80">
        <f>IF(OR(Scale!$AA86="",Scale!$AA86=0),"","باسکول")</f>
        <v/>
      </c>
      <c r="D316" s="80">
        <f>IF(OR(Scale!$AA86="",Scale!$AA86=0),"",Scale!$AA86)</f>
        <v/>
      </c>
      <c r="E316" s="81">
        <f>IF(OR(Scale!$AA86="",Scale!$AA86=0),"",IF(Scale!$AA86="","","پوز باسکول — "&amp;Scale!$E86))</f>
        <v/>
      </c>
      <c r="F316" s="83" t="n"/>
      <c r="G316" s="83" t="n"/>
      <c r="H316" s="83" t="n"/>
      <c r="I316" s="83" t="n"/>
      <c r="J316" s="83" t="n"/>
      <c r="K316" s="82">
        <f>IF(OR(Scale!$AA86="",Scale!$AA86=0),"",IF(Scale!$AB86="",0,Scale!$AB86)+IF(Scale!$AC86="",0,Scale!$AC86))</f>
        <v/>
      </c>
      <c r="L316" s="82">
        <f>IF(OR(Scale!$AA86="",Scale!$AA86=0),"",Scale!$AB86)</f>
        <v/>
      </c>
      <c r="M316" s="82">
        <f>IF(OR(Scale!$AA86="",Scale!$AA86=0),"",Scale!$AC86)</f>
        <v/>
      </c>
      <c r="N316" s="81">
        <f>IF(OR(Scale!$AA86="",Scale!$AA86=0),"","پوز")</f>
        <v/>
      </c>
      <c r="O316" s="81">
        <f>IF(OR(Scale!$AA86="",Scale!$AA86=0),"",IFERROR(VLOOKUP(Scale!$AA86,AcctTbl,3,0),""))</f>
        <v/>
      </c>
      <c r="P316" s="82">
        <f>IF(Scale!$AA86&lt;&gt;"X011","","BN02")</f>
        <v/>
      </c>
    </row>
    <row r="317" ht="20.25" customHeight="1">
      <c r="A317" s="80">
        <f>IF(OR(Scale!$AD86="",Scale!$AD86=0),"",Scale!$B86)</f>
        <v/>
      </c>
      <c r="B317" s="80">
        <f>IF(OR(Scale!$AD86="",Scale!$AD86=0),"",Scale!$D86)</f>
        <v/>
      </c>
      <c r="C317" s="80">
        <f>IF(OR(Scale!$AD86="",Scale!$AD86=0),"","باسکول")</f>
        <v/>
      </c>
      <c r="D317" s="80">
        <f>IF(OR(Scale!$AD86="",Scale!$AD86=0),"",Scale!$AD86)</f>
        <v/>
      </c>
      <c r="E317" s="81">
        <f>IF(OR(Scale!$AD86="",Scale!$AD86=0),"",IF(Scale!$AD86="","","مقابل پوز — "&amp;Scale!$E86))</f>
        <v/>
      </c>
      <c r="F317" s="83" t="n"/>
      <c r="G317" s="83" t="n"/>
      <c r="H317" s="83" t="n"/>
      <c r="I317" s="83" t="n"/>
      <c r="J317" s="83" t="n"/>
      <c r="K317" s="82">
        <f>IF(OR(Scale!$AD86="",Scale!$AD86=0),"",IF(Scale!$AE86="",0,Scale!$AE86)+IF(Scale!$AF86="",0,Scale!$AF86))</f>
        <v/>
      </c>
      <c r="L317" s="82">
        <f>IF(OR(Scale!$AD86="",Scale!$AD86=0),"",Scale!$AE86)</f>
        <v/>
      </c>
      <c r="M317" s="82">
        <f>IF(OR(Scale!$AD86="",Scale!$AD86=0),"",Scale!$AF86)</f>
        <v/>
      </c>
      <c r="N317" s="81">
        <f>IF(OR(Scale!$AD86="",Scale!$AD86=0),"","مقابل پوز")</f>
        <v/>
      </c>
      <c r="O317" s="81">
        <f>IF(OR(Scale!$AD86="",Scale!$AD86=0),"",IFERROR(VLOOKUP(Scale!$AD86,AcctTbl,3,0),""))</f>
        <v/>
      </c>
      <c r="P317" s="82">
        <f>IF(Scale!$AD86&lt;&gt;"X011","","BN02")</f>
        <v/>
      </c>
    </row>
    <row r="318" ht="20.25" customHeight="1">
      <c r="A318" s="80">
        <f>IF(OR(Scale!$U87="",Scale!$U87=0),"",Scale!$B87)</f>
        <v/>
      </c>
      <c r="B318" s="80">
        <f>IF(OR(Scale!$U87="",Scale!$U87=0),"",Scale!$D87)</f>
        <v/>
      </c>
      <c r="C318" s="80">
        <f>IF(OR(Scale!$U87="",Scale!$U87=0),"","باسکول")</f>
        <v/>
      </c>
      <c r="D318" s="80">
        <f>IF(OR(Scale!$U87="",Scale!$U87=0),"",Scale!$U87)</f>
        <v/>
      </c>
      <c r="E318" s="81">
        <f>IF(OR(Scale!$U87="",Scale!$U87=0),"",Scale!$T87)</f>
        <v/>
      </c>
      <c r="F318" s="81">
        <f>IF(OR(Scale!$U87="",Scale!$U87=0),"",Scale!$J87)</f>
        <v/>
      </c>
      <c r="G318" s="82">
        <f>IF(OR(Scale!$U87="",Scale!$U87=0),"",Scale!$M87)</f>
        <v/>
      </c>
      <c r="H318" s="82">
        <f>IF(OR(Scale!$U87="",Scale!$U87=0),"",Scale!$L87)</f>
        <v/>
      </c>
      <c r="I318" s="82">
        <f>IF(OR(Scale!$U87="",Scale!$U87=0),"",Scale!$N87)</f>
        <v/>
      </c>
      <c r="J318" s="82">
        <f>IF(OR(Scale!$U87="",Scale!$U87=0),"",Scale!$O87)</f>
        <v/>
      </c>
      <c r="K318" s="82">
        <f>IF(OR(Scale!$U87="",Scale!$U87=0),"",IF(Scale!$V87="",0,Scale!$V87)+IF(Scale!$W87="",0,Scale!$W87))</f>
        <v/>
      </c>
      <c r="L318" s="82">
        <f>IF(OR(Scale!$U87="",Scale!$U87=0),"",Scale!$V87)</f>
        <v/>
      </c>
      <c r="M318" s="82">
        <f>IF(OR(Scale!$U87="",Scale!$U87=0),"",Scale!$W87)</f>
        <v/>
      </c>
      <c r="N318" s="81">
        <f>IF(OR(Scale!$U87="",Scale!$U87=0),"",Scale!$E87)</f>
        <v/>
      </c>
      <c r="O318" s="81">
        <f>IF(OR(Scale!$U87="",Scale!$U87=0),"",IFERROR(VLOOKUP(Scale!$U87,AcctTbl,3,0),""))</f>
        <v/>
      </c>
      <c r="P318" s="82">
        <f>IF(Scale!$U87&lt;&gt;"X011","","BN02")</f>
        <v/>
      </c>
    </row>
    <row r="319" ht="20.25" customHeight="1">
      <c r="A319" s="80">
        <f>IF(OR(Scale!$X87="",Scale!$X87=0),"",Scale!$B87)</f>
        <v/>
      </c>
      <c r="B319" s="80">
        <f>IF(OR(Scale!$X87="",Scale!$X87=0),"",Scale!$D87)</f>
        <v/>
      </c>
      <c r="C319" s="80">
        <f>IF(OR(Scale!$X87="",Scale!$X87=0),"","باسکول")</f>
        <v/>
      </c>
      <c r="D319" s="80">
        <f>IF(OR(Scale!$X87="",Scale!$X87=0),"",Scale!$X87)</f>
        <v/>
      </c>
      <c r="E319" s="81">
        <f>IF(OR(Scale!$X87="",Scale!$X87=0),"",IF(Scale!$X87="","","مقابل: "&amp;Scale!$E87))</f>
        <v/>
      </c>
      <c r="F319" s="83" t="n"/>
      <c r="G319" s="83" t="n"/>
      <c r="H319" s="83" t="n"/>
      <c r="I319" s="83" t="n"/>
      <c r="J319" s="83" t="n"/>
      <c r="K319" s="82">
        <f>IF(OR(Scale!$X87="",Scale!$X87=0),"",IF(Scale!$Y87="",0,Scale!$Y87)+IF(Scale!$Z87="",0,Scale!$Z87))</f>
        <v/>
      </c>
      <c r="L319" s="82">
        <f>IF(OR(Scale!$X87="",Scale!$X87=0),"",Scale!$Y87)</f>
        <v/>
      </c>
      <c r="M319" s="82">
        <f>IF(OR(Scale!$X87="",Scale!$X87=0),"",Scale!$Z87)</f>
        <v/>
      </c>
      <c r="N319" s="81">
        <f>IF(OR(Scale!$X87="",Scale!$X87=0),"","مقابل")</f>
        <v/>
      </c>
      <c r="O319" s="81">
        <f>IF(OR(Scale!$X87="",Scale!$X87=0),"",IFERROR(VLOOKUP(Scale!$X87,AcctTbl,3,0),""))</f>
        <v/>
      </c>
      <c r="P319" s="82">
        <f>IF(Scale!$X87&lt;&gt;"X011","","BN02")</f>
        <v/>
      </c>
    </row>
    <row r="320" ht="20.25" customHeight="1">
      <c r="A320" s="80">
        <f>IF(OR(Scale!$AA87="",Scale!$AA87=0),"",Scale!$B87)</f>
        <v/>
      </c>
      <c r="B320" s="80">
        <f>IF(OR(Scale!$AA87="",Scale!$AA87=0),"",Scale!$D87)</f>
        <v/>
      </c>
      <c r="C320" s="80">
        <f>IF(OR(Scale!$AA87="",Scale!$AA87=0),"","باسکول")</f>
        <v/>
      </c>
      <c r="D320" s="80">
        <f>IF(OR(Scale!$AA87="",Scale!$AA87=0),"",Scale!$AA87)</f>
        <v/>
      </c>
      <c r="E320" s="81">
        <f>IF(OR(Scale!$AA87="",Scale!$AA87=0),"",IF(Scale!$AA87="","","پوز باسکول — "&amp;Scale!$E87))</f>
        <v/>
      </c>
      <c r="F320" s="83" t="n"/>
      <c r="G320" s="83" t="n"/>
      <c r="H320" s="83" t="n"/>
      <c r="I320" s="83" t="n"/>
      <c r="J320" s="83" t="n"/>
      <c r="K320" s="82">
        <f>IF(OR(Scale!$AA87="",Scale!$AA87=0),"",IF(Scale!$AB87="",0,Scale!$AB87)+IF(Scale!$AC87="",0,Scale!$AC87))</f>
        <v/>
      </c>
      <c r="L320" s="82">
        <f>IF(OR(Scale!$AA87="",Scale!$AA87=0),"",Scale!$AB87)</f>
        <v/>
      </c>
      <c r="M320" s="82">
        <f>IF(OR(Scale!$AA87="",Scale!$AA87=0),"",Scale!$AC87)</f>
        <v/>
      </c>
      <c r="N320" s="81">
        <f>IF(OR(Scale!$AA87="",Scale!$AA87=0),"","پوز")</f>
        <v/>
      </c>
      <c r="O320" s="81">
        <f>IF(OR(Scale!$AA87="",Scale!$AA87=0),"",IFERROR(VLOOKUP(Scale!$AA87,AcctTbl,3,0),""))</f>
        <v/>
      </c>
      <c r="P320" s="82">
        <f>IF(Scale!$AA87&lt;&gt;"X011","","BN02")</f>
        <v/>
      </c>
    </row>
    <row r="321" ht="20.25" customHeight="1">
      <c r="A321" s="80">
        <f>IF(OR(Scale!$AD87="",Scale!$AD87=0),"",Scale!$B87)</f>
        <v/>
      </c>
      <c r="B321" s="80">
        <f>IF(OR(Scale!$AD87="",Scale!$AD87=0),"",Scale!$D87)</f>
        <v/>
      </c>
      <c r="C321" s="80">
        <f>IF(OR(Scale!$AD87="",Scale!$AD87=0),"","باسکول")</f>
        <v/>
      </c>
      <c r="D321" s="80">
        <f>IF(OR(Scale!$AD87="",Scale!$AD87=0),"",Scale!$AD87)</f>
        <v/>
      </c>
      <c r="E321" s="81">
        <f>IF(OR(Scale!$AD87="",Scale!$AD87=0),"",IF(Scale!$AD87="","","مقابل پوز — "&amp;Scale!$E87))</f>
        <v/>
      </c>
      <c r="F321" s="83" t="n"/>
      <c r="G321" s="83" t="n"/>
      <c r="H321" s="83" t="n"/>
      <c r="I321" s="83" t="n"/>
      <c r="J321" s="83" t="n"/>
      <c r="K321" s="82">
        <f>IF(OR(Scale!$AD87="",Scale!$AD87=0),"",IF(Scale!$AE87="",0,Scale!$AE87)+IF(Scale!$AF87="",0,Scale!$AF87))</f>
        <v/>
      </c>
      <c r="L321" s="82">
        <f>IF(OR(Scale!$AD87="",Scale!$AD87=0),"",Scale!$AE87)</f>
        <v/>
      </c>
      <c r="M321" s="82">
        <f>IF(OR(Scale!$AD87="",Scale!$AD87=0),"",Scale!$AF87)</f>
        <v/>
      </c>
      <c r="N321" s="81">
        <f>IF(OR(Scale!$AD87="",Scale!$AD87=0),"","مقابل پوز")</f>
        <v/>
      </c>
      <c r="O321" s="81">
        <f>IF(OR(Scale!$AD87="",Scale!$AD87=0),"",IFERROR(VLOOKUP(Scale!$AD87,AcctTbl,3,0),""))</f>
        <v/>
      </c>
      <c r="P321" s="82">
        <f>IF(Scale!$AD87&lt;&gt;"X011","","BN02")</f>
        <v/>
      </c>
    </row>
    <row r="322" ht="20.25" customHeight="1">
      <c r="A322" s="80">
        <f>IF(OR(Scale!$U88="",Scale!$U88=0),"",Scale!$B88)</f>
        <v/>
      </c>
      <c r="B322" s="80">
        <f>IF(OR(Scale!$U88="",Scale!$U88=0),"",Scale!$D88)</f>
        <v/>
      </c>
      <c r="C322" s="80">
        <f>IF(OR(Scale!$U88="",Scale!$U88=0),"","باسکول")</f>
        <v/>
      </c>
      <c r="D322" s="80">
        <f>IF(OR(Scale!$U88="",Scale!$U88=0),"",Scale!$U88)</f>
        <v/>
      </c>
      <c r="E322" s="81">
        <f>IF(OR(Scale!$U88="",Scale!$U88=0),"",Scale!$T88)</f>
        <v/>
      </c>
      <c r="F322" s="81">
        <f>IF(OR(Scale!$U88="",Scale!$U88=0),"",Scale!$J88)</f>
        <v/>
      </c>
      <c r="G322" s="82">
        <f>IF(OR(Scale!$U88="",Scale!$U88=0),"",Scale!$M88)</f>
        <v/>
      </c>
      <c r="H322" s="82">
        <f>IF(OR(Scale!$U88="",Scale!$U88=0),"",Scale!$L88)</f>
        <v/>
      </c>
      <c r="I322" s="82">
        <f>IF(OR(Scale!$U88="",Scale!$U88=0),"",Scale!$N88)</f>
        <v/>
      </c>
      <c r="J322" s="82">
        <f>IF(OR(Scale!$U88="",Scale!$U88=0),"",Scale!$O88)</f>
        <v/>
      </c>
      <c r="K322" s="82">
        <f>IF(OR(Scale!$U88="",Scale!$U88=0),"",IF(Scale!$V88="",0,Scale!$V88)+IF(Scale!$W88="",0,Scale!$W88))</f>
        <v/>
      </c>
      <c r="L322" s="82">
        <f>IF(OR(Scale!$U88="",Scale!$U88=0),"",Scale!$V88)</f>
        <v/>
      </c>
      <c r="M322" s="82">
        <f>IF(OR(Scale!$U88="",Scale!$U88=0),"",Scale!$W88)</f>
        <v/>
      </c>
      <c r="N322" s="81">
        <f>IF(OR(Scale!$U88="",Scale!$U88=0),"",Scale!$E88)</f>
        <v/>
      </c>
      <c r="O322" s="81">
        <f>IF(OR(Scale!$U88="",Scale!$U88=0),"",IFERROR(VLOOKUP(Scale!$U88,AcctTbl,3,0),""))</f>
        <v/>
      </c>
      <c r="P322" s="82">
        <f>IF(Scale!$U88&lt;&gt;"X011","","BN02")</f>
        <v/>
      </c>
    </row>
    <row r="323" ht="20.25" customHeight="1">
      <c r="A323" s="80">
        <f>IF(OR(Scale!$X88="",Scale!$X88=0),"",Scale!$B88)</f>
        <v/>
      </c>
      <c r="B323" s="80">
        <f>IF(OR(Scale!$X88="",Scale!$X88=0),"",Scale!$D88)</f>
        <v/>
      </c>
      <c r="C323" s="80">
        <f>IF(OR(Scale!$X88="",Scale!$X88=0),"","باسکول")</f>
        <v/>
      </c>
      <c r="D323" s="80">
        <f>IF(OR(Scale!$X88="",Scale!$X88=0),"",Scale!$X88)</f>
        <v/>
      </c>
      <c r="E323" s="81">
        <f>IF(OR(Scale!$X88="",Scale!$X88=0),"",IF(Scale!$X88="","","مقابل: "&amp;Scale!$E88))</f>
        <v/>
      </c>
      <c r="F323" s="83" t="n"/>
      <c r="G323" s="83" t="n"/>
      <c r="H323" s="83" t="n"/>
      <c r="I323" s="83" t="n"/>
      <c r="J323" s="83" t="n"/>
      <c r="K323" s="82">
        <f>IF(OR(Scale!$X88="",Scale!$X88=0),"",IF(Scale!$Y88="",0,Scale!$Y88)+IF(Scale!$Z88="",0,Scale!$Z88))</f>
        <v/>
      </c>
      <c r="L323" s="82">
        <f>IF(OR(Scale!$X88="",Scale!$X88=0),"",Scale!$Y88)</f>
        <v/>
      </c>
      <c r="M323" s="82">
        <f>IF(OR(Scale!$X88="",Scale!$X88=0),"",Scale!$Z88)</f>
        <v/>
      </c>
      <c r="N323" s="81">
        <f>IF(OR(Scale!$X88="",Scale!$X88=0),"","مقابل")</f>
        <v/>
      </c>
      <c r="O323" s="81">
        <f>IF(OR(Scale!$X88="",Scale!$X88=0),"",IFERROR(VLOOKUP(Scale!$X88,AcctTbl,3,0),""))</f>
        <v/>
      </c>
      <c r="P323" s="82">
        <f>IF(Scale!$X88&lt;&gt;"X011","","BN02")</f>
        <v/>
      </c>
    </row>
    <row r="324" ht="20.25" customHeight="1">
      <c r="A324" s="80">
        <f>IF(OR(Scale!$AA88="",Scale!$AA88=0),"",Scale!$B88)</f>
        <v/>
      </c>
      <c r="B324" s="80">
        <f>IF(OR(Scale!$AA88="",Scale!$AA88=0),"",Scale!$D88)</f>
        <v/>
      </c>
      <c r="C324" s="80">
        <f>IF(OR(Scale!$AA88="",Scale!$AA88=0),"","باسکول")</f>
        <v/>
      </c>
      <c r="D324" s="80">
        <f>IF(OR(Scale!$AA88="",Scale!$AA88=0),"",Scale!$AA88)</f>
        <v/>
      </c>
      <c r="E324" s="81">
        <f>IF(OR(Scale!$AA88="",Scale!$AA88=0),"",IF(Scale!$AA88="","","پوز باسکول — "&amp;Scale!$E88))</f>
        <v/>
      </c>
      <c r="F324" s="83" t="n"/>
      <c r="G324" s="83" t="n"/>
      <c r="H324" s="83" t="n"/>
      <c r="I324" s="83" t="n"/>
      <c r="J324" s="83" t="n"/>
      <c r="K324" s="82">
        <f>IF(OR(Scale!$AA88="",Scale!$AA88=0),"",IF(Scale!$AB88="",0,Scale!$AB88)+IF(Scale!$AC88="",0,Scale!$AC88))</f>
        <v/>
      </c>
      <c r="L324" s="82">
        <f>IF(OR(Scale!$AA88="",Scale!$AA88=0),"",Scale!$AB88)</f>
        <v/>
      </c>
      <c r="M324" s="82">
        <f>IF(OR(Scale!$AA88="",Scale!$AA88=0),"",Scale!$AC88)</f>
        <v/>
      </c>
      <c r="N324" s="81">
        <f>IF(OR(Scale!$AA88="",Scale!$AA88=0),"","پوز")</f>
        <v/>
      </c>
      <c r="O324" s="81">
        <f>IF(OR(Scale!$AA88="",Scale!$AA88=0),"",IFERROR(VLOOKUP(Scale!$AA88,AcctTbl,3,0),""))</f>
        <v/>
      </c>
      <c r="P324" s="82">
        <f>IF(Scale!$AA88&lt;&gt;"X011","","BN02")</f>
        <v/>
      </c>
    </row>
    <row r="325" ht="20.25" customHeight="1">
      <c r="A325" s="80">
        <f>IF(OR(Scale!$AD88="",Scale!$AD88=0),"",Scale!$B88)</f>
        <v/>
      </c>
      <c r="B325" s="80">
        <f>IF(OR(Scale!$AD88="",Scale!$AD88=0),"",Scale!$D88)</f>
        <v/>
      </c>
      <c r="C325" s="80">
        <f>IF(OR(Scale!$AD88="",Scale!$AD88=0),"","باسکول")</f>
        <v/>
      </c>
      <c r="D325" s="80">
        <f>IF(OR(Scale!$AD88="",Scale!$AD88=0),"",Scale!$AD88)</f>
        <v/>
      </c>
      <c r="E325" s="81">
        <f>IF(OR(Scale!$AD88="",Scale!$AD88=0),"",IF(Scale!$AD88="","","مقابل پوز — "&amp;Scale!$E88))</f>
        <v/>
      </c>
      <c r="F325" s="83" t="n"/>
      <c r="G325" s="83" t="n"/>
      <c r="H325" s="83" t="n"/>
      <c r="I325" s="83" t="n"/>
      <c r="J325" s="83" t="n"/>
      <c r="K325" s="82">
        <f>IF(OR(Scale!$AD88="",Scale!$AD88=0),"",IF(Scale!$AE88="",0,Scale!$AE88)+IF(Scale!$AF88="",0,Scale!$AF88))</f>
        <v/>
      </c>
      <c r="L325" s="82">
        <f>IF(OR(Scale!$AD88="",Scale!$AD88=0),"",Scale!$AE88)</f>
        <v/>
      </c>
      <c r="M325" s="82">
        <f>IF(OR(Scale!$AD88="",Scale!$AD88=0),"",Scale!$AF88)</f>
        <v/>
      </c>
      <c r="N325" s="81">
        <f>IF(OR(Scale!$AD88="",Scale!$AD88=0),"","مقابل پوز")</f>
        <v/>
      </c>
      <c r="O325" s="81">
        <f>IF(OR(Scale!$AD88="",Scale!$AD88=0),"",IFERROR(VLOOKUP(Scale!$AD88,AcctTbl,3,0),""))</f>
        <v/>
      </c>
      <c r="P325" s="82">
        <f>IF(Scale!$AD88&lt;&gt;"X011","","BN02")</f>
        <v/>
      </c>
    </row>
    <row r="326" ht="20.25" customHeight="1">
      <c r="A326" s="80">
        <f>IF(OR(Scale!$U89="",Scale!$U89=0),"",Scale!$B89)</f>
        <v/>
      </c>
      <c r="B326" s="80">
        <f>IF(OR(Scale!$U89="",Scale!$U89=0),"",Scale!$D89)</f>
        <v/>
      </c>
      <c r="C326" s="80">
        <f>IF(OR(Scale!$U89="",Scale!$U89=0),"","باسکول")</f>
        <v/>
      </c>
      <c r="D326" s="80">
        <f>IF(OR(Scale!$U89="",Scale!$U89=0),"",Scale!$U89)</f>
        <v/>
      </c>
      <c r="E326" s="81">
        <f>IF(OR(Scale!$U89="",Scale!$U89=0),"",Scale!$T89)</f>
        <v/>
      </c>
      <c r="F326" s="81">
        <f>IF(OR(Scale!$U89="",Scale!$U89=0),"",Scale!$J89)</f>
        <v/>
      </c>
      <c r="G326" s="82">
        <f>IF(OR(Scale!$U89="",Scale!$U89=0),"",Scale!$M89)</f>
        <v/>
      </c>
      <c r="H326" s="82">
        <f>IF(OR(Scale!$U89="",Scale!$U89=0),"",Scale!$L89)</f>
        <v/>
      </c>
      <c r="I326" s="82">
        <f>IF(OR(Scale!$U89="",Scale!$U89=0),"",Scale!$N89)</f>
        <v/>
      </c>
      <c r="J326" s="82">
        <f>IF(OR(Scale!$U89="",Scale!$U89=0),"",Scale!$O89)</f>
        <v/>
      </c>
      <c r="K326" s="82">
        <f>IF(OR(Scale!$U89="",Scale!$U89=0),"",IF(Scale!$V89="",0,Scale!$V89)+IF(Scale!$W89="",0,Scale!$W89))</f>
        <v/>
      </c>
      <c r="L326" s="82">
        <f>IF(OR(Scale!$U89="",Scale!$U89=0),"",Scale!$V89)</f>
        <v/>
      </c>
      <c r="M326" s="82">
        <f>IF(OR(Scale!$U89="",Scale!$U89=0),"",Scale!$W89)</f>
        <v/>
      </c>
      <c r="N326" s="81">
        <f>IF(OR(Scale!$U89="",Scale!$U89=0),"",Scale!$E89)</f>
        <v/>
      </c>
      <c r="O326" s="81">
        <f>IF(OR(Scale!$U89="",Scale!$U89=0),"",IFERROR(VLOOKUP(Scale!$U89,AcctTbl,3,0),""))</f>
        <v/>
      </c>
      <c r="P326" s="82">
        <f>IF(Scale!$U89&lt;&gt;"X011","","BN02")</f>
        <v/>
      </c>
    </row>
    <row r="327" ht="20.25" customHeight="1">
      <c r="A327" s="80">
        <f>IF(OR(Scale!$X89="",Scale!$X89=0),"",Scale!$B89)</f>
        <v/>
      </c>
      <c r="B327" s="80">
        <f>IF(OR(Scale!$X89="",Scale!$X89=0),"",Scale!$D89)</f>
        <v/>
      </c>
      <c r="C327" s="80">
        <f>IF(OR(Scale!$X89="",Scale!$X89=0),"","باسکول")</f>
        <v/>
      </c>
      <c r="D327" s="80">
        <f>IF(OR(Scale!$X89="",Scale!$X89=0),"",Scale!$X89)</f>
        <v/>
      </c>
      <c r="E327" s="81">
        <f>IF(OR(Scale!$X89="",Scale!$X89=0),"",IF(Scale!$X89="","","مقابل: "&amp;Scale!$E89))</f>
        <v/>
      </c>
      <c r="F327" s="83" t="n"/>
      <c r="G327" s="83" t="n"/>
      <c r="H327" s="83" t="n"/>
      <c r="I327" s="83" t="n"/>
      <c r="J327" s="83" t="n"/>
      <c r="K327" s="82">
        <f>IF(OR(Scale!$X89="",Scale!$X89=0),"",IF(Scale!$Y89="",0,Scale!$Y89)+IF(Scale!$Z89="",0,Scale!$Z89))</f>
        <v/>
      </c>
      <c r="L327" s="82">
        <f>IF(OR(Scale!$X89="",Scale!$X89=0),"",Scale!$Y89)</f>
        <v/>
      </c>
      <c r="M327" s="82">
        <f>IF(OR(Scale!$X89="",Scale!$X89=0),"",Scale!$Z89)</f>
        <v/>
      </c>
      <c r="N327" s="81">
        <f>IF(OR(Scale!$X89="",Scale!$X89=0),"","مقابل")</f>
        <v/>
      </c>
      <c r="O327" s="81">
        <f>IF(OR(Scale!$X89="",Scale!$X89=0),"",IFERROR(VLOOKUP(Scale!$X89,AcctTbl,3,0),""))</f>
        <v/>
      </c>
      <c r="P327" s="82">
        <f>IF(Scale!$X89&lt;&gt;"X011","","BN02")</f>
        <v/>
      </c>
    </row>
    <row r="328" ht="20.25" customHeight="1">
      <c r="A328" s="80">
        <f>IF(OR(Scale!$AA89="",Scale!$AA89=0),"",Scale!$B89)</f>
        <v/>
      </c>
      <c r="B328" s="80">
        <f>IF(OR(Scale!$AA89="",Scale!$AA89=0),"",Scale!$D89)</f>
        <v/>
      </c>
      <c r="C328" s="80">
        <f>IF(OR(Scale!$AA89="",Scale!$AA89=0),"","باسکول")</f>
        <v/>
      </c>
      <c r="D328" s="80">
        <f>IF(OR(Scale!$AA89="",Scale!$AA89=0),"",Scale!$AA89)</f>
        <v/>
      </c>
      <c r="E328" s="81">
        <f>IF(OR(Scale!$AA89="",Scale!$AA89=0),"",IF(Scale!$AA89="","","پوز باسکول — "&amp;Scale!$E89))</f>
        <v/>
      </c>
      <c r="F328" s="83" t="n"/>
      <c r="G328" s="83" t="n"/>
      <c r="H328" s="83" t="n"/>
      <c r="I328" s="83" t="n"/>
      <c r="J328" s="83" t="n"/>
      <c r="K328" s="82">
        <f>IF(OR(Scale!$AA89="",Scale!$AA89=0),"",IF(Scale!$AB89="",0,Scale!$AB89)+IF(Scale!$AC89="",0,Scale!$AC89))</f>
        <v/>
      </c>
      <c r="L328" s="82">
        <f>IF(OR(Scale!$AA89="",Scale!$AA89=0),"",Scale!$AB89)</f>
        <v/>
      </c>
      <c r="M328" s="82">
        <f>IF(OR(Scale!$AA89="",Scale!$AA89=0),"",Scale!$AC89)</f>
        <v/>
      </c>
      <c r="N328" s="81">
        <f>IF(OR(Scale!$AA89="",Scale!$AA89=0),"","پوز")</f>
        <v/>
      </c>
      <c r="O328" s="81">
        <f>IF(OR(Scale!$AA89="",Scale!$AA89=0),"",IFERROR(VLOOKUP(Scale!$AA89,AcctTbl,3,0),""))</f>
        <v/>
      </c>
      <c r="P328" s="82">
        <f>IF(Scale!$AA89&lt;&gt;"X011","","BN02")</f>
        <v/>
      </c>
    </row>
    <row r="329" ht="20.25" customHeight="1">
      <c r="A329" s="80">
        <f>IF(OR(Scale!$AD89="",Scale!$AD89=0),"",Scale!$B89)</f>
        <v/>
      </c>
      <c r="B329" s="80">
        <f>IF(OR(Scale!$AD89="",Scale!$AD89=0),"",Scale!$D89)</f>
        <v/>
      </c>
      <c r="C329" s="80">
        <f>IF(OR(Scale!$AD89="",Scale!$AD89=0),"","باسکول")</f>
        <v/>
      </c>
      <c r="D329" s="80">
        <f>IF(OR(Scale!$AD89="",Scale!$AD89=0),"",Scale!$AD89)</f>
        <v/>
      </c>
      <c r="E329" s="81">
        <f>IF(OR(Scale!$AD89="",Scale!$AD89=0),"",IF(Scale!$AD89="","","مقابل پوز — "&amp;Scale!$E89))</f>
        <v/>
      </c>
      <c r="F329" s="83" t="n"/>
      <c r="G329" s="83" t="n"/>
      <c r="H329" s="83" t="n"/>
      <c r="I329" s="83" t="n"/>
      <c r="J329" s="83" t="n"/>
      <c r="K329" s="82">
        <f>IF(OR(Scale!$AD89="",Scale!$AD89=0),"",IF(Scale!$AE89="",0,Scale!$AE89)+IF(Scale!$AF89="",0,Scale!$AF89))</f>
        <v/>
      </c>
      <c r="L329" s="82">
        <f>IF(OR(Scale!$AD89="",Scale!$AD89=0),"",Scale!$AE89)</f>
        <v/>
      </c>
      <c r="M329" s="82">
        <f>IF(OR(Scale!$AD89="",Scale!$AD89=0),"",Scale!$AF89)</f>
        <v/>
      </c>
      <c r="N329" s="81">
        <f>IF(OR(Scale!$AD89="",Scale!$AD89=0),"","مقابل پوز")</f>
        <v/>
      </c>
      <c r="O329" s="81">
        <f>IF(OR(Scale!$AD89="",Scale!$AD89=0),"",IFERROR(VLOOKUP(Scale!$AD89,AcctTbl,3,0),""))</f>
        <v/>
      </c>
      <c r="P329" s="82">
        <f>IF(Scale!$AD89&lt;&gt;"X011","","BN02")</f>
        <v/>
      </c>
    </row>
    <row r="330" ht="20.25" customHeight="1">
      <c r="A330" s="80">
        <f>IF(OR(Scale!$U90="",Scale!$U90=0),"",Scale!$B90)</f>
        <v/>
      </c>
      <c r="B330" s="80">
        <f>IF(OR(Scale!$U90="",Scale!$U90=0),"",Scale!$D90)</f>
        <v/>
      </c>
      <c r="C330" s="80">
        <f>IF(OR(Scale!$U90="",Scale!$U90=0),"","باسکول")</f>
        <v/>
      </c>
      <c r="D330" s="80">
        <f>IF(OR(Scale!$U90="",Scale!$U90=0),"",Scale!$U90)</f>
        <v/>
      </c>
      <c r="E330" s="81">
        <f>IF(OR(Scale!$U90="",Scale!$U90=0),"",Scale!$T90)</f>
        <v/>
      </c>
      <c r="F330" s="81">
        <f>IF(OR(Scale!$U90="",Scale!$U90=0),"",Scale!$J90)</f>
        <v/>
      </c>
      <c r="G330" s="82">
        <f>IF(OR(Scale!$U90="",Scale!$U90=0),"",Scale!$M90)</f>
        <v/>
      </c>
      <c r="H330" s="82">
        <f>IF(OR(Scale!$U90="",Scale!$U90=0),"",Scale!$L90)</f>
        <v/>
      </c>
      <c r="I330" s="82">
        <f>IF(OR(Scale!$U90="",Scale!$U90=0),"",Scale!$N90)</f>
        <v/>
      </c>
      <c r="J330" s="82">
        <f>IF(OR(Scale!$U90="",Scale!$U90=0),"",Scale!$O90)</f>
        <v/>
      </c>
      <c r="K330" s="82">
        <f>IF(OR(Scale!$U90="",Scale!$U90=0),"",IF(Scale!$V90="",0,Scale!$V90)+IF(Scale!$W90="",0,Scale!$W90))</f>
        <v/>
      </c>
      <c r="L330" s="82">
        <f>IF(OR(Scale!$U90="",Scale!$U90=0),"",Scale!$V90)</f>
        <v/>
      </c>
      <c r="M330" s="82">
        <f>IF(OR(Scale!$U90="",Scale!$U90=0),"",Scale!$W90)</f>
        <v/>
      </c>
      <c r="N330" s="81">
        <f>IF(OR(Scale!$U90="",Scale!$U90=0),"",Scale!$E90)</f>
        <v/>
      </c>
      <c r="O330" s="81">
        <f>IF(OR(Scale!$U90="",Scale!$U90=0),"",IFERROR(VLOOKUP(Scale!$U90,AcctTbl,3,0),""))</f>
        <v/>
      </c>
      <c r="P330" s="82">
        <f>IF(Scale!$U90&lt;&gt;"X011","","BN02")</f>
        <v/>
      </c>
    </row>
    <row r="331" ht="20.25" customHeight="1">
      <c r="A331" s="80">
        <f>IF(OR(Scale!$X90="",Scale!$X90=0),"",Scale!$B90)</f>
        <v/>
      </c>
      <c r="B331" s="80">
        <f>IF(OR(Scale!$X90="",Scale!$X90=0),"",Scale!$D90)</f>
        <v/>
      </c>
      <c r="C331" s="80">
        <f>IF(OR(Scale!$X90="",Scale!$X90=0),"","باسکول")</f>
        <v/>
      </c>
      <c r="D331" s="80">
        <f>IF(OR(Scale!$X90="",Scale!$X90=0),"",Scale!$X90)</f>
        <v/>
      </c>
      <c r="E331" s="81">
        <f>IF(OR(Scale!$X90="",Scale!$X90=0),"",IF(Scale!$X90="","","مقابل: "&amp;Scale!$E90))</f>
        <v/>
      </c>
      <c r="F331" s="83" t="n"/>
      <c r="G331" s="83" t="n"/>
      <c r="H331" s="83" t="n"/>
      <c r="I331" s="83" t="n"/>
      <c r="J331" s="83" t="n"/>
      <c r="K331" s="82">
        <f>IF(OR(Scale!$X90="",Scale!$X90=0),"",IF(Scale!$Y90="",0,Scale!$Y90)+IF(Scale!$Z90="",0,Scale!$Z90))</f>
        <v/>
      </c>
      <c r="L331" s="82">
        <f>IF(OR(Scale!$X90="",Scale!$X90=0),"",Scale!$Y90)</f>
        <v/>
      </c>
      <c r="M331" s="82">
        <f>IF(OR(Scale!$X90="",Scale!$X90=0),"",Scale!$Z90)</f>
        <v/>
      </c>
      <c r="N331" s="81">
        <f>IF(OR(Scale!$X90="",Scale!$X90=0),"","مقابل")</f>
        <v/>
      </c>
      <c r="O331" s="81">
        <f>IF(OR(Scale!$X90="",Scale!$X90=0),"",IFERROR(VLOOKUP(Scale!$X90,AcctTbl,3,0),""))</f>
        <v/>
      </c>
      <c r="P331" s="82">
        <f>IF(Scale!$X90&lt;&gt;"X011","","BN02")</f>
        <v/>
      </c>
    </row>
    <row r="332" ht="20.25" customHeight="1">
      <c r="A332" s="80">
        <f>IF(OR(Scale!$AA90="",Scale!$AA90=0),"",Scale!$B90)</f>
        <v/>
      </c>
      <c r="B332" s="80">
        <f>IF(OR(Scale!$AA90="",Scale!$AA90=0),"",Scale!$D90)</f>
        <v/>
      </c>
      <c r="C332" s="80">
        <f>IF(OR(Scale!$AA90="",Scale!$AA90=0),"","باسکول")</f>
        <v/>
      </c>
      <c r="D332" s="80">
        <f>IF(OR(Scale!$AA90="",Scale!$AA90=0),"",Scale!$AA90)</f>
        <v/>
      </c>
      <c r="E332" s="81">
        <f>IF(OR(Scale!$AA90="",Scale!$AA90=0),"",IF(Scale!$AA90="","","پوز باسکول — "&amp;Scale!$E90))</f>
        <v/>
      </c>
      <c r="F332" s="83" t="n"/>
      <c r="G332" s="83" t="n"/>
      <c r="H332" s="83" t="n"/>
      <c r="I332" s="83" t="n"/>
      <c r="J332" s="83" t="n"/>
      <c r="K332" s="82">
        <f>IF(OR(Scale!$AA90="",Scale!$AA90=0),"",IF(Scale!$AB90="",0,Scale!$AB90)+IF(Scale!$AC90="",0,Scale!$AC90))</f>
        <v/>
      </c>
      <c r="L332" s="82">
        <f>IF(OR(Scale!$AA90="",Scale!$AA90=0),"",Scale!$AB90)</f>
        <v/>
      </c>
      <c r="M332" s="82">
        <f>IF(OR(Scale!$AA90="",Scale!$AA90=0),"",Scale!$AC90)</f>
        <v/>
      </c>
      <c r="N332" s="81">
        <f>IF(OR(Scale!$AA90="",Scale!$AA90=0),"","پوز")</f>
        <v/>
      </c>
      <c r="O332" s="81">
        <f>IF(OR(Scale!$AA90="",Scale!$AA90=0),"",IFERROR(VLOOKUP(Scale!$AA90,AcctTbl,3,0),""))</f>
        <v/>
      </c>
      <c r="P332" s="82">
        <f>IF(Scale!$AA90&lt;&gt;"X011","","BN02")</f>
        <v/>
      </c>
    </row>
    <row r="333" ht="20.25" customHeight="1">
      <c r="A333" s="80">
        <f>IF(OR(Scale!$AD90="",Scale!$AD90=0),"",Scale!$B90)</f>
        <v/>
      </c>
      <c r="B333" s="80">
        <f>IF(OR(Scale!$AD90="",Scale!$AD90=0),"",Scale!$D90)</f>
        <v/>
      </c>
      <c r="C333" s="80">
        <f>IF(OR(Scale!$AD90="",Scale!$AD90=0),"","باسکول")</f>
        <v/>
      </c>
      <c r="D333" s="80">
        <f>IF(OR(Scale!$AD90="",Scale!$AD90=0),"",Scale!$AD90)</f>
        <v/>
      </c>
      <c r="E333" s="81">
        <f>IF(OR(Scale!$AD90="",Scale!$AD90=0),"",IF(Scale!$AD90="","","مقابل پوز — "&amp;Scale!$E90))</f>
        <v/>
      </c>
      <c r="F333" s="83" t="n"/>
      <c r="G333" s="83" t="n"/>
      <c r="H333" s="83" t="n"/>
      <c r="I333" s="83" t="n"/>
      <c r="J333" s="83" t="n"/>
      <c r="K333" s="82">
        <f>IF(OR(Scale!$AD90="",Scale!$AD90=0),"",IF(Scale!$AE90="",0,Scale!$AE90)+IF(Scale!$AF90="",0,Scale!$AF90))</f>
        <v/>
      </c>
      <c r="L333" s="82">
        <f>IF(OR(Scale!$AD90="",Scale!$AD90=0),"",Scale!$AE90)</f>
        <v/>
      </c>
      <c r="M333" s="82">
        <f>IF(OR(Scale!$AD90="",Scale!$AD90=0),"",Scale!$AF90)</f>
        <v/>
      </c>
      <c r="N333" s="81">
        <f>IF(OR(Scale!$AD90="",Scale!$AD90=0),"","مقابل پوز")</f>
        <v/>
      </c>
      <c r="O333" s="81">
        <f>IF(OR(Scale!$AD90="",Scale!$AD90=0),"",IFERROR(VLOOKUP(Scale!$AD90,AcctTbl,3,0),""))</f>
        <v/>
      </c>
      <c r="P333" s="82">
        <f>IF(Scale!$AD90&lt;&gt;"X011","","BN02")</f>
        <v/>
      </c>
    </row>
    <row r="334" ht="20.25" customHeight="1">
      <c r="A334" s="80">
        <f>IF(OR(Scale!$U91="",Scale!$U91=0),"",Scale!$B91)</f>
        <v/>
      </c>
      <c r="B334" s="80">
        <f>IF(OR(Scale!$U91="",Scale!$U91=0),"",Scale!$D91)</f>
        <v/>
      </c>
      <c r="C334" s="80">
        <f>IF(OR(Scale!$U91="",Scale!$U91=0),"","باسکول")</f>
        <v/>
      </c>
      <c r="D334" s="80">
        <f>IF(OR(Scale!$U91="",Scale!$U91=0),"",Scale!$U91)</f>
        <v/>
      </c>
      <c r="E334" s="81">
        <f>IF(OR(Scale!$U91="",Scale!$U91=0),"",Scale!$T91)</f>
        <v/>
      </c>
      <c r="F334" s="81">
        <f>IF(OR(Scale!$U91="",Scale!$U91=0),"",Scale!$J91)</f>
        <v/>
      </c>
      <c r="G334" s="82">
        <f>IF(OR(Scale!$U91="",Scale!$U91=0),"",Scale!$M91)</f>
        <v/>
      </c>
      <c r="H334" s="82">
        <f>IF(OR(Scale!$U91="",Scale!$U91=0),"",Scale!$L91)</f>
        <v/>
      </c>
      <c r="I334" s="82">
        <f>IF(OR(Scale!$U91="",Scale!$U91=0),"",Scale!$N91)</f>
        <v/>
      </c>
      <c r="J334" s="82">
        <f>IF(OR(Scale!$U91="",Scale!$U91=0),"",Scale!$O91)</f>
        <v/>
      </c>
      <c r="K334" s="82">
        <f>IF(OR(Scale!$U91="",Scale!$U91=0),"",IF(Scale!$V91="",0,Scale!$V91)+IF(Scale!$W91="",0,Scale!$W91))</f>
        <v/>
      </c>
      <c r="L334" s="82">
        <f>IF(OR(Scale!$U91="",Scale!$U91=0),"",Scale!$V91)</f>
        <v/>
      </c>
      <c r="M334" s="82">
        <f>IF(OR(Scale!$U91="",Scale!$U91=0),"",Scale!$W91)</f>
        <v/>
      </c>
      <c r="N334" s="81">
        <f>IF(OR(Scale!$U91="",Scale!$U91=0),"",Scale!$E91)</f>
        <v/>
      </c>
      <c r="O334" s="81">
        <f>IF(OR(Scale!$U91="",Scale!$U91=0),"",IFERROR(VLOOKUP(Scale!$U91,AcctTbl,3,0),""))</f>
        <v/>
      </c>
      <c r="P334" s="82">
        <f>IF(Scale!$U91&lt;&gt;"X011","","BN02")</f>
        <v/>
      </c>
    </row>
    <row r="335" ht="20.25" customHeight="1">
      <c r="A335" s="80">
        <f>IF(OR(Scale!$X91="",Scale!$X91=0),"",Scale!$B91)</f>
        <v/>
      </c>
      <c r="B335" s="80">
        <f>IF(OR(Scale!$X91="",Scale!$X91=0),"",Scale!$D91)</f>
        <v/>
      </c>
      <c r="C335" s="80">
        <f>IF(OR(Scale!$X91="",Scale!$X91=0),"","باسکول")</f>
        <v/>
      </c>
      <c r="D335" s="80">
        <f>IF(OR(Scale!$X91="",Scale!$X91=0),"",Scale!$X91)</f>
        <v/>
      </c>
      <c r="E335" s="81">
        <f>IF(OR(Scale!$X91="",Scale!$X91=0),"",IF(Scale!$X91="","","مقابل: "&amp;Scale!$E91))</f>
        <v/>
      </c>
      <c r="F335" s="83" t="n"/>
      <c r="G335" s="83" t="n"/>
      <c r="H335" s="83" t="n"/>
      <c r="I335" s="83" t="n"/>
      <c r="J335" s="83" t="n"/>
      <c r="K335" s="82">
        <f>IF(OR(Scale!$X91="",Scale!$X91=0),"",IF(Scale!$Y91="",0,Scale!$Y91)+IF(Scale!$Z91="",0,Scale!$Z91))</f>
        <v/>
      </c>
      <c r="L335" s="82">
        <f>IF(OR(Scale!$X91="",Scale!$X91=0),"",Scale!$Y91)</f>
        <v/>
      </c>
      <c r="M335" s="82">
        <f>IF(OR(Scale!$X91="",Scale!$X91=0),"",Scale!$Z91)</f>
        <v/>
      </c>
      <c r="N335" s="81">
        <f>IF(OR(Scale!$X91="",Scale!$X91=0),"","مقابل")</f>
        <v/>
      </c>
      <c r="O335" s="81">
        <f>IF(OR(Scale!$X91="",Scale!$X91=0),"",IFERROR(VLOOKUP(Scale!$X91,AcctTbl,3,0),""))</f>
        <v/>
      </c>
      <c r="P335" s="82">
        <f>IF(Scale!$X91&lt;&gt;"X011","","BN02")</f>
        <v/>
      </c>
    </row>
    <row r="336" ht="20.25" customHeight="1">
      <c r="A336" s="80">
        <f>IF(OR(Scale!$AA91="",Scale!$AA91=0),"",Scale!$B91)</f>
        <v/>
      </c>
      <c r="B336" s="80">
        <f>IF(OR(Scale!$AA91="",Scale!$AA91=0),"",Scale!$D91)</f>
        <v/>
      </c>
      <c r="C336" s="80">
        <f>IF(OR(Scale!$AA91="",Scale!$AA91=0),"","باسکول")</f>
        <v/>
      </c>
      <c r="D336" s="80">
        <f>IF(OR(Scale!$AA91="",Scale!$AA91=0),"",Scale!$AA91)</f>
        <v/>
      </c>
      <c r="E336" s="81">
        <f>IF(OR(Scale!$AA91="",Scale!$AA91=0),"",IF(Scale!$AA91="","","پوز باسکول — "&amp;Scale!$E91))</f>
        <v/>
      </c>
      <c r="F336" s="83" t="n"/>
      <c r="G336" s="83" t="n"/>
      <c r="H336" s="83" t="n"/>
      <c r="I336" s="83" t="n"/>
      <c r="J336" s="83" t="n"/>
      <c r="K336" s="82">
        <f>IF(OR(Scale!$AA91="",Scale!$AA91=0),"",IF(Scale!$AB91="",0,Scale!$AB91)+IF(Scale!$AC91="",0,Scale!$AC91))</f>
        <v/>
      </c>
      <c r="L336" s="82">
        <f>IF(OR(Scale!$AA91="",Scale!$AA91=0),"",Scale!$AB91)</f>
        <v/>
      </c>
      <c r="M336" s="82">
        <f>IF(OR(Scale!$AA91="",Scale!$AA91=0),"",Scale!$AC91)</f>
        <v/>
      </c>
      <c r="N336" s="81">
        <f>IF(OR(Scale!$AA91="",Scale!$AA91=0),"","پوز")</f>
        <v/>
      </c>
      <c r="O336" s="81">
        <f>IF(OR(Scale!$AA91="",Scale!$AA91=0),"",IFERROR(VLOOKUP(Scale!$AA91,AcctTbl,3,0),""))</f>
        <v/>
      </c>
      <c r="P336" s="82">
        <f>IF(Scale!$AA91&lt;&gt;"X011","","BN02")</f>
        <v/>
      </c>
    </row>
    <row r="337" ht="20.25" customHeight="1">
      <c r="A337" s="80">
        <f>IF(OR(Scale!$AD91="",Scale!$AD91=0),"",Scale!$B91)</f>
        <v/>
      </c>
      <c r="B337" s="80">
        <f>IF(OR(Scale!$AD91="",Scale!$AD91=0),"",Scale!$D91)</f>
        <v/>
      </c>
      <c r="C337" s="80">
        <f>IF(OR(Scale!$AD91="",Scale!$AD91=0),"","باسکول")</f>
        <v/>
      </c>
      <c r="D337" s="80">
        <f>IF(OR(Scale!$AD91="",Scale!$AD91=0),"",Scale!$AD91)</f>
        <v/>
      </c>
      <c r="E337" s="81">
        <f>IF(OR(Scale!$AD91="",Scale!$AD91=0),"",IF(Scale!$AD91="","","مقابل پوز — "&amp;Scale!$E91))</f>
        <v/>
      </c>
      <c r="F337" s="83" t="n"/>
      <c r="G337" s="83" t="n"/>
      <c r="H337" s="83" t="n"/>
      <c r="I337" s="83" t="n"/>
      <c r="J337" s="83" t="n"/>
      <c r="K337" s="82">
        <f>IF(OR(Scale!$AD91="",Scale!$AD91=0),"",IF(Scale!$AE91="",0,Scale!$AE91)+IF(Scale!$AF91="",0,Scale!$AF91))</f>
        <v/>
      </c>
      <c r="L337" s="82">
        <f>IF(OR(Scale!$AD91="",Scale!$AD91=0),"",Scale!$AE91)</f>
        <v/>
      </c>
      <c r="M337" s="82">
        <f>IF(OR(Scale!$AD91="",Scale!$AD91=0),"",Scale!$AF91)</f>
        <v/>
      </c>
      <c r="N337" s="81">
        <f>IF(OR(Scale!$AD91="",Scale!$AD91=0),"","مقابل پوز")</f>
        <v/>
      </c>
      <c r="O337" s="81">
        <f>IF(OR(Scale!$AD91="",Scale!$AD91=0),"",IFERROR(VLOOKUP(Scale!$AD91,AcctTbl,3,0),""))</f>
        <v/>
      </c>
      <c r="P337" s="82">
        <f>IF(Scale!$AD91&lt;&gt;"X011","","BN02")</f>
        <v/>
      </c>
    </row>
    <row r="338" ht="20.25" customHeight="1">
      <c r="A338" s="80">
        <f>IF(OR(Scale!$U92="",Scale!$U92=0),"",Scale!$B92)</f>
        <v/>
      </c>
      <c r="B338" s="80">
        <f>IF(OR(Scale!$U92="",Scale!$U92=0),"",Scale!$D92)</f>
        <v/>
      </c>
      <c r="C338" s="80">
        <f>IF(OR(Scale!$U92="",Scale!$U92=0),"","باسکول")</f>
        <v/>
      </c>
      <c r="D338" s="80">
        <f>IF(OR(Scale!$U92="",Scale!$U92=0),"",Scale!$U92)</f>
        <v/>
      </c>
      <c r="E338" s="81">
        <f>IF(OR(Scale!$U92="",Scale!$U92=0),"",Scale!$T92)</f>
        <v/>
      </c>
      <c r="F338" s="81">
        <f>IF(OR(Scale!$U92="",Scale!$U92=0),"",Scale!$J92)</f>
        <v/>
      </c>
      <c r="G338" s="82">
        <f>IF(OR(Scale!$U92="",Scale!$U92=0),"",Scale!$M92)</f>
        <v/>
      </c>
      <c r="H338" s="82">
        <f>IF(OR(Scale!$U92="",Scale!$U92=0),"",Scale!$L92)</f>
        <v/>
      </c>
      <c r="I338" s="82">
        <f>IF(OR(Scale!$U92="",Scale!$U92=0),"",Scale!$N92)</f>
        <v/>
      </c>
      <c r="J338" s="82">
        <f>IF(OR(Scale!$U92="",Scale!$U92=0),"",Scale!$O92)</f>
        <v/>
      </c>
      <c r="K338" s="82">
        <f>IF(OR(Scale!$U92="",Scale!$U92=0),"",IF(Scale!$V92="",0,Scale!$V92)+IF(Scale!$W92="",0,Scale!$W92))</f>
        <v/>
      </c>
      <c r="L338" s="82">
        <f>IF(OR(Scale!$U92="",Scale!$U92=0),"",Scale!$V92)</f>
        <v/>
      </c>
      <c r="M338" s="82">
        <f>IF(OR(Scale!$U92="",Scale!$U92=0),"",Scale!$W92)</f>
        <v/>
      </c>
      <c r="N338" s="81">
        <f>IF(OR(Scale!$U92="",Scale!$U92=0),"",Scale!$E92)</f>
        <v/>
      </c>
      <c r="O338" s="81">
        <f>IF(OR(Scale!$U92="",Scale!$U92=0),"",IFERROR(VLOOKUP(Scale!$U92,AcctTbl,3,0),""))</f>
        <v/>
      </c>
      <c r="P338" s="82">
        <f>IF(Scale!$U92&lt;&gt;"X011","","BN02")</f>
        <v/>
      </c>
    </row>
    <row r="339" ht="20.25" customHeight="1">
      <c r="A339" s="80">
        <f>IF(OR(Scale!$X92="",Scale!$X92=0),"",Scale!$B92)</f>
        <v/>
      </c>
      <c r="B339" s="80">
        <f>IF(OR(Scale!$X92="",Scale!$X92=0),"",Scale!$D92)</f>
        <v/>
      </c>
      <c r="C339" s="80">
        <f>IF(OR(Scale!$X92="",Scale!$X92=0),"","باسکول")</f>
        <v/>
      </c>
      <c r="D339" s="80">
        <f>IF(OR(Scale!$X92="",Scale!$X92=0),"",Scale!$X92)</f>
        <v/>
      </c>
      <c r="E339" s="81">
        <f>IF(OR(Scale!$X92="",Scale!$X92=0),"",IF(Scale!$X92="","","مقابل: "&amp;Scale!$E92))</f>
        <v/>
      </c>
      <c r="F339" s="83" t="n"/>
      <c r="G339" s="83" t="n"/>
      <c r="H339" s="83" t="n"/>
      <c r="I339" s="83" t="n"/>
      <c r="J339" s="83" t="n"/>
      <c r="K339" s="82">
        <f>IF(OR(Scale!$X92="",Scale!$X92=0),"",IF(Scale!$Y92="",0,Scale!$Y92)+IF(Scale!$Z92="",0,Scale!$Z92))</f>
        <v/>
      </c>
      <c r="L339" s="82">
        <f>IF(OR(Scale!$X92="",Scale!$X92=0),"",Scale!$Y92)</f>
        <v/>
      </c>
      <c r="M339" s="82">
        <f>IF(OR(Scale!$X92="",Scale!$X92=0),"",Scale!$Z92)</f>
        <v/>
      </c>
      <c r="N339" s="81">
        <f>IF(OR(Scale!$X92="",Scale!$X92=0),"","مقابل")</f>
        <v/>
      </c>
      <c r="O339" s="81">
        <f>IF(OR(Scale!$X92="",Scale!$X92=0),"",IFERROR(VLOOKUP(Scale!$X92,AcctTbl,3,0),""))</f>
        <v/>
      </c>
      <c r="P339" s="82">
        <f>IF(Scale!$X92&lt;&gt;"X011","","BN02")</f>
        <v/>
      </c>
    </row>
    <row r="340" ht="20.25" customHeight="1">
      <c r="A340" s="80">
        <f>IF(OR(Scale!$AA92="",Scale!$AA92=0),"",Scale!$B92)</f>
        <v/>
      </c>
      <c r="B340" s="80">
        <f>IF(OR(Scale!$AA92="",Scale!$AA92=0),"",Scale!$D92)</f>
        <v/>
      </c>
      <c r="C340" s="80">
        <f>IF(OR(Scale!$AA92="",Scale!$AA92=0),"","باسکول")</f>
        <v/>
      </c>
      <c r="D340" s="80">
        <f>IF(OR(Scale!$AA92="",Scale!$AA92=0),"",Scale!$AA92)</f>
        <v/>
      </c>
      <c r="E340" s="81">
        <f>IF(OR(Scale!$AA92="",Scale!$AA92=0),"",IF(Scale!$AA92="","","پوز باسکول — "&amp;Scale!$E92))</f>
        <v/>
      </c>
      <c r="F340" s="83" t="n"/>
      <c r="G340" s="83" t="n"/>
      <c r="H340" s="83" t="n"/>
      <c r="I340" s="83" t="n"/>
      <c r="J340" s="83" t="n"/>
      <c r="K340" s="82">
        <f>IF(OR(Scale!$AA92="",Scale!$AA92=0),"",IF(Scale!$AB92="",0,Scale!$AB92)+IF(Scale!$AC92="",0,Scale!$AC92))</f>
        <v/>
      </c>
      <c r="L340" s="82">
        <f>IF(OR(Scale!$AA92="",Scale!$AA92=0),"",Scale!$AB92)</f>
        <v/>
      </c>
      <c r="M340" s="82">
        <f>IF(OR(Scale!$AA92="",Scale!$AA92=0),"",Scale!$AC92)</f>
        <v/>
      </c>
      <c r="N340" s="81">
        <f>IF(OR(Scale!$AA92="",Scale!$AA92=0),"","پوز")</f>
        <v/>
      </c>
      <c r="O340" s="81">
        <f>IF(OR(Scale!$AA92="",Scale!$AA92=0),"",IFERROR(VLOOKUP(Scale!$AA92,AcctTbl,3,0),""))</f>
        <v/>
      </c>
      <c r="P340" s="82">
        <f>IF(Scale!$AA92&lt;&gt;"X011","","BN02")</f>
        <v/>
      </c>
    </row>
    <row r="341" ht="20.25" customHeight="1">
      <c r="A341" s="80">
        <f>IF(OR(Scale!$AD92="",Scale!$AD92=0),"",Scale!$B92)</f>
        <v/>
      </c>
      <c r="B341" s="80">
        <f>IF(OR(Scale!$AD92="",Scale!$AD92=0),"",Scale!$D92)</f>
        <v/>
      </c>
      <c r="C341" s="80">
        <f>IF(OR(Scale!$AD92="",Scale!$AD92=0),"","باسکول")</f>
        <v/>
      </c>
      <c r="D341" s="80">
        <f>IF(OR(Scale!$AD92="",Scale!$AD92=0),"",Scale!$AD92)</f>
        <v/>
      </c>
      <c r="E341" s="81">
        <f>IF(OR(Scale!$AD92="",Scale!$AD92=0),"",IF(Scale!$AD92="","","مقابل پوز — "&amp;Scale!$E92))</f>
        <v/>
      </c>
      <c r="F341" s="83" t="n"/>
      <c r="G341" s="83" t="n"/>
      <c r="H341" s="83" t="n"/>
      <c r="I341" s="83" t="n"/>
      <c r="J341" s="83" t="n"/>
      <c r="K341" s="82">
        <f>IF(OR(Scale!$AD92="",Scale!$AD92=0),"",IF(Scale!$AE92="",0,Scale!$AE92)+IF(Scale!$AF92="",0,Scale!$AF92))</f>
        <v/>
      </c>
      <c r="L341" s="82">
        <f>IF(OR(Scale!$AD92="",Scale!$AD92=0),"",Scale!$AE92)</f>
        <v/>
      </c>
      <c r="M341" s="82">
        <f>IF(OR(Scale!$AD92="",Scale!$AD92=0),"",Scale!$AF92)</f>
        <v/>
      </c>
      <c r="N341" s="81">
        <f>IF(OR(Scale!$AD92="",Scale!$AD92=0),"","مقابل پوز")</f>
        <v/>
      </c>
      <c r="O341" s="81">
        <f>IF(OR(Scale!$AD92="",Scale!$AD92=0),"",IFERROR(VLOOKUP(Scale!$AD92,AcctTbl,3,0),""))</f>
        <v/>
      </c>
      <c r="P341" s="82">
        <f>IF(Scale!$AD92&lt;&gt;"X011","","BN02")</f>
        <v/>
      </c>
    </row>
    <row r="342" ht="20.25" customHeight="1">
      <c r="A342" s="80">
        <f>IF(OR(Scale!$U93="",Scale!$U93=0),"",Scale!$B93)</f>
        <v/>
      </c>
      <c r="B342" s="80">
        <f>IF(OR(Scale!$U93="",Scale!$U93=0),"",Scale!$D93)</f>
        <v/>
      </c>
      <c r="C342" s="80">
        <f>IF(OR(Scale!$U93="",Scale!$U93=0),"","باسکول")</f>
        <v/>
      </c>
      <c r="D342" s="80">
        <f>IF(OR(Scale!$U93="",Scale!$U93=0),"",Scale!$U93)</f>
        <v/>
      </c>
      <c r="E342" s="81">
        <f>IF(OR(Scale!$U93="",Scale!$U93=0),"",Scale!$T93)</f>
        <v/>
      </c>
      <c r="F342" s="81">
        <f>IF(OR(Scale!$U93="",Scale!$U93=0),"",Scale!$J93)</f>
        <v/>
      </c>
      <c r="G342" s="82">
        <f>IF(OR(Scale!$U93="",Scale!$U93=0),"",Scale!$M93)</f>
        <v/>
      </c>
      <c r="H342" s="82">
        <f>IF(OR(Scale!$U93="",Scale!$U93=0),"",Scale!$L93)</f>
        <v/>
      </c>
      <c r="I342" s="82">
        <f>IF(OR(Scale!$U93="",Scale!$U93=0),"",Scale!$N93)</f>
        <v/>
      </c>
      <c r="J342" s="82">
        <f>IF(OR(Scale!$U93="",Scale!$U93=0),"",Scale!$O93)</f>
        <v/>
      </c>
      <c r="K342" s="82">
        <f>IF(OR(Scale!$U93="",Scale!$U93=0),"",IF(Scale!$V93="",0,Scale!$V93)+IF(Scale!$W93="",0,Scale!$W93))</f>
        <v/>
      </c>
      <c r="L342" s="82">
        <f>IF(OR(Scale!$U93="",Scale!$U93=0),"",Scale!$V93)</f>
        <v/>
      </c>
      <c r="M342" s="82">
        <f>IF(OR(Scale!$U93="",Scale!$U93=0),"",Scale!$W93)</f>
        <v/>
      </c>
      <c r="N342" s="81">
        <f>IF(OR(Scale!$U93="",Scale!$U93=0),"",Scale!$E93)</f>
        <v/>
      </c>
      <c r="O342" s="81">
        <f>IF(OR(Scale!$U93="",Scale!$U93=0),"",IFERROR(VLOOKUP(Scale!$U93,AcctTbl,3,0),""))</f>
        <v/>
      </c>
      <c r="P342" s="82">
        <f>IF(Scale!$U93&lt;&gt;"X011","","BN02")</f>
        <v/>
      </c>
    </row>
    <row r="343" ht="20.25" customHeight="1">
      <c r="A343" s="80">
        <f>IF(OR(Scale!$X93="",Scale!$X93=0),"",Scale!$B93)</f>
        <v/>
      </c>
      <c r="B343" s="80">
        <f>IF(OR(Scale!$X93="",Scale!$X93=0),"",Scale!$D93)</f>
        <v/>
      </c>
      <c r="C343" s="80">
        <f>IF(OR(Scale!$X93="",Scale!$X93=0),"","باسکول")</f>
        <v/>
      </c>
      <c r="D343" s="80">
        <f>IF(OR(Scale!$X93="",Scale!$X93=0),"",Scale!$X93)</f>
        <v/>
      </c>
      <c r="E343" s="81">
        <f>IF(OR(Scale!$X93="",Scale!$X93=0),"",IF(Scale!$X93="","","مقابل: "&amp;Scale!$E93))</f>
        <v/>
      </c>
      <c r="F343" s="83" t="n"/>
      <c r="G343" s="83" t="n"/>
      <c r="H343" s="83" t="n"/>
      <c r="I343" s="83" t="n"/>
      <c r="J343" s="83" t="n"/>
      <c r="K343" s="82">
        <f>IF(OR(Scale!$X93="",Scale!$X93=0),"",IF(Scale!$Y93="",0,Scale!$Y93)+IF(Scale!$Z93="",0,Scale!$Z93))</f>
        <v/>
      </c>
      <c r="L343" s="82">
        <f>IF(OR(Scale!$X93="",Scale!$X93=0),"",Scale!$Y93)</f>
        <v/>
      </c>
      <c r="M343" s="82">
        <f>IF(OR(Scale!$X93="",Scale!$X93=0),"",Scale!$Z93)</f>
        <v/>
      </c>
      <c r="N343" s="81">
        <f>IF(OR(Scale!$X93="",Scale!$X93=0),"","مقابل")</f>
        <v/>
      </c>
      <c r="O343" s="81">
        <f>IF(OR(Scale!$X93="",Scale!$X93=0),"",IFERROR(VLOOKUP(Scale!$X93,AcctTbl,3,0),""))</f>
        <v/>
      </c>
      <c r="P343" s="82">
        <f>IF(Scale!$X93&lt;&gt;"X011","","BN02")</f>
        <v/>
      </c>
    </row>
    <row r="344" ht="20.25" customHeight="1">
      <c r="A344" s="80">
        <f>IF(OR(Scale!$AA93="",Scale!$AA93=0),"",Scale!$B93)</f>
        <v/>
      </c>
      <c r="B344" s="80">
        <f>IF(OR(Scale!$AA93="",Scale!$AA93=0),"",Scale!$D93)</f>
        <v/>
      </c>
      <c r="C344" s="80">
        <f>IF(OR(Scale!$AA93="",Scale!$AA93=0),"","باسکول")</f>
        <v/>
      </c>
      <c r="D344" s="80">
        <f>IF(OR(Scale!$AA93="",Scale!$AA93=0),"",Scale!$AA93)</f>
        <v/>
      </c>
      <c r="E344" s="81">
        <f>IF(OR(Scale!$AA93="",Scale!$AA93=0),"",IF(Scale!$AA93="","","پوز باسکول — "&amp;Scale!$E93))</f>
        <v/>
      </c>
      <c r="F344" s="83" t="n"/>
      <c r="G344" s="83" t="n"/>
      <c r="H344" s="83" t="n"/>
      <c r="I344" s="83" t="n"/>
      <c r="J344" s="83" t="n"/>
      <c r="K344" s="82">
        <f>IF(OR(Scale!$AA93="",Scale!$AA93=0),"",IF(Scale!$AB93="",0,Scale!$AB93)+IF(Scale!$AC93="",0,Scale!$AC93))</f>
        <v/>
      </c>
      <c r="L344" s="82">
        <f>IF(OR(Scale!$AA93="",Scale!$AA93=0),"",Scale!$AB93)</f>
        <v/>
      </c>
      <c r="M344" s="82">
        <f>IF(OR(Scale!$AA93="",Scale!$AA93=0),"",Scale!$AC93)</f>
        <v/>
      </c>
      <c r="N344" s="81">
        <f>IF(OR(Scale!$AA93="",Scale!$AA93=0),"","پوز")</f>
        <v/>
      </c>
      <c r="O344" s="81">
        <f>IF(OR(Scale!$AA93="",Scale!$AA93=0),"",IFERROR(VLOOKUP(Scale!$AA93,AcctTbl,3,0),""))</f>
        <v/>
      </c>
      <c r="P344" s="82">
        <f>IF(Scale!$AA93&lt;&gt;"X011","","BN02")</f>
        <v/>
      </c>
    </row>
    <row r="345" ht="20.25" customHeight="1">
      <c r="A345" s="80">
        <f>IF(OR(Scale!$AD93="",Scale!$AD93=0),"",Scale!$B93)</f>
        <v/>
      </c>
      <c r="B345" s="80">
        <f>IF(OR(Scale!$AD93="",Scale!$AD93=0),"",Scale!$D93)</f>
        <v/>
      </c>
      <c r="C345" s="80">
        <f>IF(OR(Scale!$AD93="",Scale!$AD93=0),"","باسکول")</f>
        <v/>
      </c>
      <c r="D345" s="80">
        <f>IF(OR(Scale!$AD93="",Scale!$AD93=0),"",Scale!$AD93)</f>
        <v/>
      </c>
      <c r="E345" s="81">
        <f>IF(OR(Scale!$AD93="",Scale!$AD93=0),"",IF(Scale!$AD93="","","مقابل پوز — "&amp;Scale!$E93))</f>
        <v/>
      </c>
      <c r="F345" s="83" t="n"/>
      <c r="G345" s="83" t="n"/>
      <c r="H345" s="83" t="n"/>
      <c r="I345" s="83" t="n"/>
      <c r="J345" s="83" t="n"/>
      <c r="K345" s="82">
        <f>IF(OR(Scale!$AD93="",Scale!$AD93=0),"",IF(Scale!$AE93="",0,Scale!$AE93)+IF(Scale!$AF93="",0,Scale!$AF93))</f>
        <v/>
      </c>
      <c r="L345" s="82">
        <f>IF(OR(Scale!$AD93="",Scale!$AD93=0),"",Scale!$AE93)</f>
        <v/>
      </c>
      <c r="M345" s="82">
        <f>IF(OR(Scale!$AD93="",Scale!$AD93=0),"",Scale!$AF93)</f>
        <v/>
      </c>
      <c r="N345" s="81">
        <f>IF(OR(Scale!$AD93="",Scale!$AD93=0),"","مقابل پوز")</f>
        <v/>
      </c>
      <c r="O345" s="81">
        <f>IF(OR(Scale!$AD93="",Scale!$AD93=0),"",IFERROR(VLOOKUP(Scale!$AD93,AcctTbl,3,0),""))</f>
        <v/>
      </c>
      <c r="P345" s="82">
        <f>IF(Scale!$AD93&lt;&gt;"X011","","BN02")</f>
        <v/>
      </c>
    </row>
    <row r="346" ht="20.25" customHeight="1">
      <c r="A346" s="80">
        <f>IF(OR(Scale!$U94="",Scale!$U94=0),"",Scale!$B94)</f>
        <v/>
      </c>
      <c r="B346" s="80">
        <f>IF(OR(Scale!$U94="",Scale!$U94=0),"",Scale!$D94)</f>
        <v/>
      </c>
      <c r="C346" s="80">
        <f>IF(OR(Scale!$U94="",Scale!$U94=0),"","باسکول")</f>
        <v/>
      </c>
      <c r="D346" s="80">
        <f>IF(OR(Scale!$U94="",Scale!$U94=0),"",Scale!$U94)</f>
        <v/>
      </c>
      <c r="E346" s="81">
        <f>IF(OR(Scale!$U94="",Scale!$U94=0),"",Scale!$T94)</f>
        <v/>
      </c>
      <c r="F346" s="81">
        <f>IF(OR(Scale!$U94="",Scale!$U94=0),"",Scale!$J94)</f>
        <v/>
      </c>
      <c r="G346" s="82">
        <f>IF(OR(Scale!$U94="",Scale!$U94=0),"",Scale!$M94)</f>
        <v/>
      </c>
      <c r="H346" s="82">
        <f>IF(OR(Scale!$U94="",Scale!$U94=0),"",Scale!$L94)</f>
        <v/>
      </c>
      <c r="I346" s="82">
        <f>IF(OR(Scale!$U94="",Scale!$U94=0),"",Scale!$N94)</f>
        <v/>
      </c>
      <c r="J346" s="82">
        <f>IF(OR(Scale!$U94="",Scale!$U94=0),"",Scale!$O94)</f>
        <v/>
      </c>
      <c r="K346" s="82">
        <f>IF(OR(Scale!$U94="",Scale!$U94=0),"",IF(Scale!$V94="",0,Scale!$V94)+IF(Scale!$W94="",0,Scale!$W94))</f>
        <v/>
      </c>
      <c r="L346" s="82">
        <f>IF(OR(Scale!$U94="",Scale!$U94=0),"",Scale!$V94)</f>
        <v/>
      </c>
      <c r="M346" s="82">
        <f>IF(OR(Scale!$U94="",Scale!$U94=0),"",Scale!$W94)</f>
        <v/>
      </c>
      <c r="N346" s="81">
        <f>IF(OR(Scale!$U94="",Scale!$U94=0),"",Scale!$E94)</f>
        <v/>
      </c>
      <c r="O346" s="81">
        <f>IF(OR(Scale!$U94="",Scale!$U94=0),"",IFERROR(VLOOKUP(Scale!$U94,AcctTbl,3,0),""))</f>
        <v/>
      </c>
      <c r="P346" s="82">
        <f>IF(Scale!$U94&lt;&gt;"X011","","BN02")</f>
        <v/>
      </c>
    </row>
    <row r="347" ht="20.25" customHeight="1">
      <c r="A347" s="80">
        <f>IF(OR(Scale!$X94="",Scale!$X94=0),"",Scale!$B94)</f>
        <v/>
      </c>
      <c r="B347" s="80">
        <f>IF(OR(Scale!$X94="",Scale!$X94=0),"",Scale!$D94)</f>
        <v/>
      </c>
      <c r="C347" s="80">
        <f>IF(OR(Scale!$X94="",Scale!$X94=0),"","باسکول")</f>
        <v/>
      </c>
      <c r="D347" s="80">
        <f>IF(OR(Scale!$X94="",Scale!$X94=0),"",Scale!$X94)</f>
        <v/>
      </c>
      <c r="E347" s="81">
        <f>IF(OR(Scale!$X94="",Scale!$X94=0),"",IF(Scale!$X94="","","مقابل: "&amp;Scale!$E94))</f>
        <v/>
      </c>
      <c r="F347" s="83" t="n"/>
      <c r="G347" s="83" t="n"/>
      <c r="H347" s="83" t="n"/>
      <c r="I347" s="83" t="n"/>
      <c r="J347" s="83" t="n"/>
      <c r="K347" s="82">
        <f>IF(OR(Scale!$X94="",Scale!$X94=0),"",IF(Scale!$Y94="",0,Scale!$Y94)+IF(Scale!$Z94="",0,Scale!$Z94))</f>
        <v/>
      </c>
      <c r="L347" s="82">
        <f>IF(OR(Scale!$X94="",Scale!$X94=0),"",Scale!$Y94)</f>
        <v/>
      </c>
      <c r="M347" s="82">
        <f>IF(OR(Scale!$X94="",Scale!$X94=0),"",Scale!$Z94)</f>
        <v/>
      </c>
      <c r="N347" s="81">
        <f>IF(OR(Scale!$X94="",Scale!$X94=0),"","مقابل")</f>
        <v/>
      </c>
      <c r="O347" s="81">
        <f>IF(OR(Scale!$X94="",Scale!$X94=0),"",IFERROR(VLOOKUP(Scale!$X94,AcctTbl,3,0),""))</f>
        <v/>
      </c>
      <c r="P347" s="82">
        <f>IF(Scale!$X94&lt;&gt;"X011","","BN02")</f>
        <v/>
      </c>
    </row>
    <row r="348" ht="20.25" customHeight="1">
      <c r="A348" s="80">
        <f>IF(OR(Scale!$AA94="",Scale!$AA94=0),"",Scale!$B94)</f>
        <v/>
      </c>
      <c r="B348" s="80">
        <f>IF(OR(Scale!$AA94="",Scale!$AA94=0),"",Scale!$D94)</f>
        <v/>
      </c>
      <c r="C348" s="80">
        <f>IF(OR(Scale!$AA94="",Scale!$AA94=0),"","باسکول")</f>
        <v/>
      </c>
      <c r="D348" s="80">
        <f>IF(OR(Scale!$AA94="",Scale!$AA94=0),"",Scale!$AA94)</f>
        <v/>
      </c>
      <c r="E348" s="81">
        <f>IF(OR(Scale!$AA94="",Scale!$AA94=0),"",IF(Scale!$AA94="","","پوز باسکول — "&amp;Scale!$E94))</f>
        <v/>
      </c>
      <c r="F348" s="83" t="n"/>
      <c r="G348" s="83" t="n"/>
      <c r="H348" s="83" t="n"/>
      <c r="I348" s="83" t="n"/>
      <c r="J348" s="83" t="n"/>
      <c r="K348" s="82">
        <f>IF(OR(Scale!$AA94="",Scale!$AA94=0),"",IF(Scale!$AB94="",0,Scale!$AB94)+IF(Scale!$AC94="",0,Scale!$AC94))</f>
        <v/>
      </c>
      <c r="L348" s="82">
        <f>IF(OR(Scale!$AA94="",Scale!$AA94=0),"",Scale!$AB94)</f>
        <v/>
      </c>
      <c r="M348" s="82">
        <f>IF(OR(Scale!$AA94="",Scale!$AA94=0),"",Scale!$AC94)</f>
        <v/>
      </c>
      <c r="N348" s="81">
        <f>IF(OR(Scale!$AA94="",Scale!$AA94=0),"","پوز")</f>
        <v/>
      </c>
      <c r="O348" s="81">
        <f>IF(OR(Scale!$AA94="",Scale!$AA94=0),"",IFERROR(VLOOKUP(Scale!$AA94,AcctTbl,3,0),""))</f>
        <v/>
      </c>
      <c r="P348" s="82">
        <f>IF(Scale!$AA94&lt;&gt;"X011","","BN02")</f>
        <v/>
      </c>
    </row>
    <row r="349" ht="20.25" customHeight="1">
      <c r="A349" s="80">
        <f>IF(OR(Scale!$AD94="",Scale!$AD94=0),"",Scale!$B94)</f>
        <v/>
      </c>
      <c r="B349" s="80">
        <f>IF(OR(Scale!$AD94="",Scale!$AD94=0),"",Scale!$D94)</f>
        <v/>
      </c>
      <c r="C349" s="80">
        <f>IF(OR(Scale!$AD94="",Scale!$AD94=0),"","باسکول")</f>
        <v/>
      </c>
      <c r="D349" s="80">
        <f>IF(OR(Scale!$AD94="",Scale!$AD94=0),"",Scale!$AD94)</f>
        <v/>
      </c>
      <c r="E349" s="81">
        <f>IF(OR(Scale!$AD94="",Scale!$AD94=0),"",IF(Scale!$AD94="","","مقابل پوز — "&amp;Scale!$E94))</f>
        <v/>
      </c>
      <c r="F349" s="83" t="n"/>
      <c r="G349" s="83" t="n"/>
      <c r="H349" s="83" t="n"/>
      <c r="I349" s="83" t="n"/>
      <c r="J349" s="83" t="n"/>
      <c r="K349" s="82">
        <f>IF(OR(Scale!$AD94="",Scale!$AD94=0),"",IF(Scale!$AE94="",0,Scale!$AE94)+IF(Scale!$AF94="",0,Scale!$AF94))</f>
        <v/>
      </c>
      <c r="L349" s="82">
        <f>IF(OR(Scale!$AD94="",Scale!$AD94=0),"",Scale!$AE94)</f>
        <v/>
      </c>
      <c r="M349" s="82">
        <f>IF(OR(Scale!$AD94="",Scale!$AD94=0),"",Scale!$AF94)</f>
        <v/>
      </c>
      <c r="N349" s="81">
        <f>IF(OR(Scale!$AD94="",Scale!$AD94=0),"","مقابل پوز")</f>
        <v/>
      </c>
      <c r="O349" s="81">
        <f>IF(OR(Scale!$AD94="",Scale!$AD94=0),"",IFERROR(VLOOKUP(Scale!$AD94,AcctTbl,3,0),""))</f>
        <v/>
      </c>
      <c r="P349" s="82">
        <f>IF(Scale!$AD94&lt;&gt;"X011","","BN02")</f>
        <v/>
      </c>
    </row>
    <row r="350" ht="20.25" customHeight="1">
      <c r="A350" s="80">
        <f>IF(OR(Scale!$U95="",Scale!$U95=0),"",Scale!$B95)</f>
        <v/>
      </c>
      <c r="B350" s="80">
        <f>IF(OR(Scale!$U95="",Scale!$U95=0),"",Scale!$D95)</f>
        <v/>
      </c>
      <c r="C350" s="80">
        <f>IF(OR(Scale!$U95="",Scale!$U95=0),"","باسکول")</f>
        <v/>
      </c>
      <c r="D350" s="80">
        <f>IF(OR(Scale!$U95="",Scale!$U95=0),"",Scale!$U95)</f>
        <v/>
      </c>
      <c r="E350" s="81">
        <f>IF(OR(Scale!$U95="",Scale!$U95=0),"",Scale!$T95)</f>
        <v/>
      </c>
      <c r="F350" s="81">
        <f>IF(OR(Scale!$U95="",Scale!$U95=0),"",Scale!$J95)</f>
        <v/>
      </c>
      <c r="G350" s="82">
        <f>IF(OR(Scale!$U95="",Scale!$U95=0),"",Scale!$M95)</f>
        <v/>
      </c>
      <c r="H350" s="82">
        <f>IF(OR(Scale!$U95="",Scale!$U95=0),"",Scale!$L95)</f>
        <v/>
      </c>
      <c r="I350" s="82">
        <f>IF(OR(Scale!$U95="",Scale!$U95=0),"",Scale!$N95)</f>
        <v/>
      </c>
      <c r="J350" s="82">
        <f>IF(OR(Scale!$U95="",Scale!$U95=0),"",Scale!$O95)</f>
        <v/>
      </c>
      <c r="K350" s="82">
        <f>IF(OR(Scale!$U95="",Scale!$U95=0),"",IF(Scale!$V95="",0,Scale!$V95)+IF(Scale!$W95="",0,Scale!$W95))</f>
        <v/>
      </c>
      <c r="L350" s="82">
        <f>IF(OR(Scale!$U95="",Scale!$U95=0),"",Scale!$V95)</f>
        <v/>
      </c>
      <c r="M350" s="82">
        <f>IF(OR(Scale!$U95="",Scale!$U95=0),"",Scale!$W95)</f>
        <v/>
      </c>
      <c r="N350" s="81">
        <f>IF(OR(Scale!$U95="",Scale!$U95=0),"",Scale!$E95)</f>
        <v/>
      </c>
      <c r="O350" s="81">
        <f>IF(OR(Scale!$U95="",Scale!$U95=0),"",IFERROR(VLOOKUP(Scale!$U95,AcctTbl,3,0),""))</f>
        <v/>
      </c>
      <c r="P350" s="82">
        <f>IF(Scale!$U95&lt;&gt;"X011","","BN02")</f>
        <v/>
      </c>
    </row>
    <row r="351" ht="20.25" customHeight="1">
      <c r="A351" s="80">
        <f>IF(OR(Scale!$X95="",Scale!$X95=0),"",Scale!$B95)</f>
        <v/>
      </c>
      <c r="B351" s="80">
        <f>IF(OR(Scale!$X95="",Scale!$X95=0),"",Scale!$D95)</f>
        <v/>
      </c>
      <c r="C351" s="80">
        <f>IF(OR(Scale!$X95="",Scale!$X95=0),"","باسکول")</f>
        <v/>
      </c>
      <c r="D351" s="80">
        <f>IF(OR(Scale!$X95="",Scale!$X95=0),"",Scale!$X95)</f>
        <v/>
      </c>
      <c r="E351" s="81">
        <f>IF(OR(Scale!$X95="",Scale!$X95=0),"",IF(Scale!$X95="","","مقابل: "&amp;Scale!$E95))</f>
        <v/>
      </c>
      <c r="F351" s="83" t="n"/>
      <c r="G351" s="83" t="n"/>
      <c r="H351" s="83" t="n"/>
      <c r="I351" s="83" t="n"/>
      <c r="J351" s="83" t="n"/>
      <c r="K351" s="82">
        <f>IF(OR(Scale!$X95="",Scale!$X95=0),"",IF(Scale!$Y95="",0,Scale!$Y95)+IF(Scale!$Z95="",0,Scale!$Z95))</f>
        <v/>
      </c>
      <c r="L351" s="82">
        <f>IF(OR(Scale!$X95="",Scale!$X95=0),"",Scale!$Y95)</f>
        <v/>
      </c>
      <c r="M351" s="82">
        <f>IF(OR(Scale!$X95="",Scale!$X95=0),"",Scale!$Z95)</f>
        <v/>
      </c>
      <c r="N351" s="81">
        <f>IF(OR(Scale!$X95="",Scale!$X95=0),"","مقابل")</f>
        <v/>
      </c>
      <c r="O351" s="81">
        <f>IF(OR(Scale!$X95="",Scale!$X95=0),"",IFERROR(VLOOKUP(Scale!$X95,AcctTbl,3,0),""))</f>
        <v/>
      </c>
      <c r="P351" s="82">
        <f>IF(Scale!$X95&lt;&gt;"X011","","BN02")</f>
        <v/>
      </c>
    </row>
    <row r="352" ht="20.25" customHeight="1">
      <c r="A352" s="80">
        <f>IF(OR(Scale!$AA95="",Scale!$AA95=0),"",Scale!$B95)</f>
        <v/>
      </c>
      <c r="B352" s="80">
        <f>IF(OR(Scale!$AA95="",Scale!$AA95=0),"",Scale!$D95)</f>
        <v/>
      </c>
      <c r="C352" s="80">
        <f>IF(OR(Scale!$AA95="",Scale!$AA95=0),"","باسکول")</f>
        <v/>
      </c>
      <c r="D352" s="80">
        <f>IF(OR(Scale!$AA95="",Scale!$AA95=0),"",Scale!$AA95)</f>
        <v/>
      </c>
      <c r="E352" s="81">
        <f>IF(OR(Scale!$AA95="",Scale!$AA95=0),"",IF(Scale!$AA95="","","پوز باسکول — "&amp;Scale!$E95))</f>
        <v/>
      </c>
      <c r="F352" s="83" t="n"/>
      <c r="G352" s="83" t="n"/>
      <c r="H352" s="83" t="n"/>
      <c r="I352" s="83" t="n"/>
      <c r="J352" s="83" t="n"/>
      <c r="K352" s="82">
        <f>IF(OR(Scale!$AA95="",Scale!$AA95=0),"",IF(Scale!$AB95="",0,Scale!$AB95)+IF(Scale!$AC95="",0,Scale!$AC95))</f>
        <v/>
      </c>
      <c r="L352" s="82">
        <f>IF(OR(Scale!$AA95="",Scale!$AA95=0),"",Scale!$AB95)</f>
        <v/>
      </c>
      <c r="M352" s="82">
        <f>IF(OR(Scale!$AA95="",Scale!$AA95=0),"",Scale!$AC95)</f>
        <v/>
      </c>
      <c r="N352" s="81">
        <f>IF(OR(Scale!$AA95="",Scale!$AA95=0),"","پوز")</f>
        <v/>
      </c>
      <c r="O352" s="81">
        <f>IF(OR(Scale!$AA95="",Scale!$AA95=0),"",IFERROR(VLOOKUP(Scale!$AA95,AcctTbl,3,0),""))</f>
        <v/>
      </c>
      <c r="P352" s="82">
        <f>IF(Scale!$AA95&lt;&gt;"X011","","BN02")</f>
        <v/>
      </c>
    </row>
    <row r="353" ht="20.25" customHeight="1">
      <c r="A353" s="80">
        <f>IF(OR(Scale!$AD95="",Scale!$AD95=0),"",Scale!$B95)</f>
        <v/>
      </c>
      <c r="B353" s="80">
        <f>IF(OR(Scale!$AD95="",Scale!$AD95=0),"",Scale!$D95)</f>
        <v/>
      </c>
      <c r="C353" s="80">
        <f>IF(OR(Scale!$AD95="",Scale!$AD95=0),"","باسکول")</f>
        <v/>
      </c>
      <c r="D353" s="80">
        <f>IF(OR(Scale!$AD95="",Scale!$AD95=0),"",Scale!$AD95)</f>
        <v/>
      </c>
      <c r="E353" s="81">
        <f>IF(OR(Scale!$AD95="",Scale!$AD95=0),"",IF(Scale!$AD95="","","مقابل پوز — "&amp;Scale!$E95))</f>
        <v/>
      </c>
      <c r="F353" s="83" t="n"/>
      <c r="G353" s="83" t="n"/>
      <c r="H353" s="83" t="n"/>
      <c r="I353" s="83" t="n"/>
      <c r="J353" s="83" t="n"/>
      <c r="K353" s="82">
        <f>IF(OR(Scale!$AD95="",Scale!$AD95=0),"",IF(Scale!$AE95="",0,Scale!$AE95)+IF(Scale!$AF95="",0,Scale!$AF95))</f>
        <v/>
      </c>
      <c r="L353" s="82">
        <f>IF(OR(Scale!$AD95="",Scale!$AD95=0),"",Scale!$AE95)</f>
        <v/>
      </c>
      <c r="M353" s="82">
        <f>IF(OR(Scale!$AD95="",Scale!$AD95=0),"",Scale!$AF95)</f>
        <v/>
      </c>
      <c r="N353" s="81">
        <f>IF(OR(Scale!$AD95="",Scale!$AD95=0),"","مقابل پوز")</f>
        <v/>
      </c>
      <c r="O353" s="81">
        <f>IF(OR(Scale!$AD95="",Scale!$AD95=0),"",IFERROR(VLOOKUP(Scale!$AD95,AcctTbl,3,0),""))</f>
        <v/>
      </c>
      <c r="P353" s="82">
        <f>IF(Scale!$AD95&lt;&gt;"X011","","BN02")</f>
        <v/>
      </c>
    </row>
    <row r="354" ht="20.25" customHeight="1">
      <c r="A354" s="80">
        <f>IF(OR(Scale!$U96="",Scale!$U96=0),"",Scale!$B96)</f>
        <v/>
      </c>
      <c r="B354" s="80">
        <f>IF(OR(Scale!$U96="",Scale!$U96=0),"",Scale!$D96)</f>
        <v/>
      </c>
      <c r="C354" s="80">
        <f>IF(OR(Scale!$U96="",Scale!$U96=0),"","باسکول")</f>
        <v/>
      </c>
      <c r="D354" s="80">
        <f>IF(OR(Scale!$U96="",Scale!$U96=0),"",Scale!$U96)</f>
        <v/>
      </c>
      <c r="E354" s="81">
        <f>IF(OR(Scale!$U96="",Scale!$U96=0),"",Scale!$T96)</f>
        <v/>
      </c>
      <c r="F354" s="81">
        <f>IF(OR(Scale!$U96="",Scale!$U96=0),"",Scale!$J96)</f>
        <v/>
      </c>
      <c r="G354" s="82">
        <f>IF(OR(Scale!$U96="",Scale!$U96=0),"",Scale!$M96)</f>
        <v/>
      </c>
      <c r="H354" s="82">
        <f>IF(OR(Scale!$U96="",Scale!$U96=0),"",Scale!$L96)</f>
        <v/>
      </c>
      <c r="I354" s="82">
        <f>IF(OR(Scale!$U96="",Scale!$U96=0),"",Scale!$N96)</f>
        <v/>
      </c>
      <c r="J354" s="82">
        <f>IF(OR(Scale!$U96="",Scale!$U96=0),"",Scale!$O96)</f>
        <v/>
      </c>
      <c r="K354" s="82">
        <f>IF(OR(Scale!$U96="",Scale!$U96=0),"",IF(Scale!$V96="",0,Scale!$V96)+IF(Scale!$W96="",0,Scale!$W96))</f>
        <v/>
      </c>
      <c r="L354" s="82">
        <f>IF(OR(Scale!$U96="",Scale!$U96=0),"",Scale!$V96)</f>
        <v/>
      </c>
      <c r="M354" s="82">
        <f>IF(OR(Scale!$U96="",Scale!$U96=0),"",Scale!$W96)</f>
        <v/>
      </c>
      <c r="N354" s="81">
        <f>IF(OR(Scale!$U96="",Scale!$U96=0),"",Scale!$E96)</f>
        <v/>
      </c>
      <c r="O354" s="81">
        <f>IF(OR(Scale!$U96="",Scale!$U96=0),"",IFERROR(VLOOKUP(Scale!$U96,AcctTbl,3,0),""))</f>
        <v/>
      </c>
      <c r="P354" s="82">
        <f>IF(Scale!$U96&lt;&gt;"X011","","BN02")</f>
        <v/>
      </c>
    </row>
    <row r="355" ht="20.25" customHeight="1">
      <c r="A355" s="80">
        <f>IF(OR(Scale!$X96="",Scale!$X96=0),"",Scale!$B96)</f>
        <v/>
      </c>
      <c r="B355" s="80">
        <f>IF(OR(Scale!$X96="",Scale!$X96=0),"",Scale!$D96)</f>
        <v/>
      </c>
      <c r="C355" s="80">
        <f>IF(OR(Scale!$X96="",Scale!$X96=0),"","باسکول")</f>
        <v/>
      </c>
      <c r="D355" s="80">
        <f>IF(OR(Scale!$X96="",Scale!$X96=0),"",Scale!$X96)</f>
        <v/>
      </c>
      <c r="E355" s="81">
        <f>IF(OR(Scale!$X96="",Scale!$X96=0),"",IF(Scale!$X96="","","مقابل: "&amp;Scale!$E96))</f>
        <v/>
      </c>
      <c r="F355" s="83" t="n"/>
      <c r="G355" s="83" t="n"/>
      <c r="H355" s="83" t="n"/>
      <c r="I355" s="83" t="n"/>
      <c r="J355" s="83" t="n"/>
      <c r="K355" s="82">
        <f>IF(OR(Scale!$X96="",Scale!$X96=0),"",IF(Scale!$Y96="",0,Scale!$Y96)+IF(Scale!$Z96="",0,Scale!$Z96))</f>
        <v/>
      </c>
      <c r="L355" s="82">
        <f>IF(OR(Scale!$X96="",Scale!$X96=0),"",Scale!$Y96)</f>
        <v/>
      </c>
      <c r="M355" s="82">
        <f>IF(OR(Scale!$X96="",Scale!$X96=0),"",Scale!$Z96)</f>
        <v/>
      </c>
      <c r="N355" s="81">
        <f>IF(OR(Scale!$X96="",Scale!$X96=0),"","مقابل")</f>
        <v/>
      </c>
      <c r="O355" s="81">
        <f>IF(OR(Scale!$X96="",Scale!$X96=0),"",IFERROR(VLOOKUP(Scale!$X96,AcctTbl,3,0),""))</f>
        <v/>
      </c>
      <c r="P355" s="82">
        <f>IF(Scale!$X96&lt;&gt;"X011","","BN02")</f>
        <v/>
      </c>
    </row>
    <row r="356" ht="20.25" customHeight="1">
      <c r="A356" s="80">
        <f>IF(OR(Scale!$AA96="",Scale!$AA96=0),"",Scale!$B96)</f>
        <v/>
      </c>
      <c r="B356" s="80">
        <f>IF(OR(Scale!$AA96="",Scale!$AA96=0),"",Scale!$D96)</f>
        <v/>
      </c>
      <c r="C356" s="80">
        <f>IF(OR(Scale!$AA96="",Scale!$AA96=0),"","باسکول")</f>
        <v/>
      </c>
      <c r="D356" s="80">
        <f>IF(OR(Scale!$AA96="",Scale!$AA96=0),"",Scale!$AA96)</f>
        <v/>
      </c>
      <c r="E356" s="81">
        <f>IF(OR(Scale!$AA96="",Scale!$AA96=0),"",IF(Scale!$AA96="","","پوز باسکول — "&amp;Scale!$E96))</f>
        <v/>
      </c>
      <c r="F356" s="83" t="n"/>
      <c r="G356" s="83" t="n"/>
      <c r="H356" s="83" t="n"/>
      <c r="I356" s="83" t="n"/>
      <c r="J356" s="83" t="n"/>
      <c r="K356" s="82">
        <f>IF(OR(Scale!$AA96="",Scale!$AA96=0),"",IF(Scale!$AB96="",0,Scale!$AB96)+IF(Scale!$AC96="",0,Scale!$AC96))</f>
        <v/>
      </c>
      <c r="L356" s="82">
        <f>IF(OR(Scale!$AA96="",Scale!$AA96=0),"",Scale!$AB96)</f>
        <v/>
      </c>
      <c r="M356" s="82">
        <f>IF(OR(Scale!$AA96="",Scale!$AA96=0),"",Scale!$AC96)</f>
        <v/>
      </c>
      <c r="N356" s="81">
        <f>IF(OR(Scale!$AA96="",Scale!$AA96=0),"","پوز")</f>
        <v/>
      </c>
      <c r="O356" s="81">
        <f>IF(OR(Scale!$AA96="",Scale!$AA96=0),"",IFERROR(VLOOKUP(Scale!$AA96,AcctTbl,3,0),""))</f>
        <v/>
      </c>
      <c r="P356" s="82">
        <f>IF(Scale!$AA96&lt;&gt;"X011","","BN02")</f>
        <v/>
      </c>
    </row>
    <row r="357" ht="20.25" customHeight="1">
      <c r="A357" s="80">
        <f>IF(OR(Scale!$AD96="",Scale!$AD96=0),"",Scale!$B96)</f>
        <v/>
      </c>
      <c r="B357" s="80">
        <f>IF(OR(Scale!$AD96="",Scale!$AD96=0),"",Scale!$D96)</f>
        <v/>
      </c>
      <c r="C357" s="80">
        <f>IF(OR(Scale!$AD96="",Scale!$AD96=0),"","باسکول")</f>
        <v/>
      </c>
      <c r="D357" s="80">
        <f>IF(OR(Scale!$AD96="",Scale!$AD96=0),"",Scale!$AD96)</f>
        <v/>
      </c>
      <c r="E357" s="81">
        <f>IF(OR(Scale!$AD96="",Scale!$AD96=0),"",IF(Scale!$AD96="","","مقابل پوز — "&amp;Scale!$E96))</f>
        <v/>
      </c>
      <c r="F357" s="83" t="n"/>
      <c r="G357" s="83" t="n"/>
      <c r="H357" s="83" t="n"/>
      <c r="I357" s="83" t="n"/>
      <c r="J357" s="83" t="n"/>
      <c r="K357" s="82">
        <f>IF(OR(Scale!$AD96="",Scale!$AD96=0),"",IF(Scale!$AE96="",0,Scale!$AE96)+IF(Scale!$AF96="",0,Scale!$AF96))</f>
        <v/>
      </c>
      <c r="L357" s="82">
        <f>IF(OR(Scale!$AD96="",Scale!$AD96=0),"",Scale!$AE96)</f>
        <v/>
      </c>
      <c r="M357" s="82">
        <f>IF(OR(Scale!$AD96="",Scale!$AD96=0),"",Scale!$AF96)</f>
        <v/>
      </c>
      <c r="N357" s="81">
        <f>IF(OR(Scale!$AD96="",Scale!$AD96=0),"","مقابل پوز")</f>
        <v/>
      </c>
      <c r="O357" s="81">
        <f>IF(OR(Scale!$AD96="",Scale!$AD96=0),"",IFERROR(VLOOKUP(Scale!$AD96,AcctTbl,3,0),""))</f>
        <v/>
      </c>
      <c r="P357" s="82">
        <f>IF(Scale!$AD96&lt;&gt;"X011","","BN02")</f>
        <v/>
      </c>
    </row>
    <row r="358" ht="20.25" customHeight="1">
      <c r="A358" s="80">
        <f>IF(OR(Scale!$U97="",Scale!$U97=0),"",Scale!$B97)</f>
        <v/>
      </c>
      <c r="B358" s="80">
        <f>IF(OR(Scale!$U97="",Scale!$U97=0),"",Scale!$D97)</f>
        <v/>
      </c>
      <c r="C358" s="80">
        <f>IF(OR(Scale!$U97="",Scale!$U97=0),"","باسکول")</f>
        <v/>
      </c>
      <c r="D358" s="80">
        <f>IF(OR(Scale!$U97="",Scale!$U97=0),"",Scale!$U97)</f>
        <v/>
      </c>
      <c r="E358" s="81">
        <f>IF(OR(Scale!$U97="",Scale!$U97=0),"",Scale!$T97)</f>
        <v/>
      </c>
      <c r="F358" s="81">
        <f>IF(OR(Scale!$U97="",Scale!$U97=0),"",Scale!$J97)</f>
        <v/>
      </c>
      <c r="G358" s="82">
        <f>IF(OR(Scale!$U97="",Scale!$U97=0),"",Scale!$M97)</f>
        <v/>
      </c>
      <c r="H358" s="82">
        <f>IF(OR(Scale!$U97="",Scale!$U97=0),"",Scale!$L97)</f>
        <v/>
      </c>
      <c r="I358" s="82">
        <f>IF(OR(Scale!$U97="",Scale!$U97=0),"",Scale!$N97)</f>
        <v/>
      </c>
      <c r="J358" s="82">
        <f>IF(OR(Scale!$U97="",Scale!$U97=0),"",Scale!$O97)</f>
        <v/>
      </c>
      <c r="K358" s="82">
        <f>IF(OR(Scale!$U97="",Scale!$U97=0),"",IF(Scale!$V97="",0,Scale!$V97)+IF(Scale!$W97="",0,Scale!$W97))</f>
        <v/>
      </c>
      <c r="L358" s="82">
        <f>IF(OR(Scale!$U97="",Scale!$U97=0),"",Scale!$V97)</f>
        <v/>
      </c>
      <c r="M358" s="82">
        <f>IF(OR(Scale!$U97="",Scale!$U97=0),"",Scale!$W97)</f>
        <v/>
      </c>
      <c r="N358" s="81">
        <f>IF(OR(Scale!$U97="",Scale!$U97=0),"",Scale!$E97)</f>
        <v/>
      </c>
      <c r="O358" s="81">
        <f>IF(OR(Scale!$U97="",Scale!$U97=0),"",IFERROR(VLOOKUP(Scale!$U97,AcctTbl,3,0),""))</f>
        <v/>
      </c>
      <c r="P358" s="82">
        <f>IF(Scale!$U97&lt;&gt;"X011","","BN02")</f>
        <v/>
      </c>
    </row>
    <row r="359" ht="20.25" customHeight="1">
      <c r="A359" s="80">
        <f>IF(OR(Scale!$X97="",Scale!$X97=0),"",Scale!$B97)</f>
        <v/>
      </c>
      <c r="B359" s="80">
        <f>IF(OR(Scale!$X97="",Scale!$X97=0),"",Scale!$D97)</f>
        <v/>
      </c>
      <c r="C359" s="80">
        <f>IF(OR(Scale!$X97="",Scale!$X97=0),"","باسکول")</f>
        <v/>
      </c>
      <c r="D359" s="80">
        <f>IF(OR(Scale!$X97="",Scale!$X97=0),"",Scale!$X97)</f>
        <v/>
      </c>
      <c r="E359" s="81">
        <f>IF(OR(Scale!$X97="",Scale!$X97=0),"",IF(Scale!$X97="","","مقابل: "&amp;Scale!$E97))</f>
        <v/>
      </c>
      <c r="F359" s="83" t="n"/>
      <c r="G359" s="83" t="n"/>
      <c r="H359" s="83" t="n"/>
      <c r="I359" s="83" t="n"/>
      <c r="J359" s="83" t="n"/>
      <c r="K359" s="82">
        <f>IF(OR(Scale!$X97="",Scale!$X97=0),"",IF(Scale!$Y97="",0,Scale!$Y97)+IF(Scale!$Z97="",0,Scale!$Z97))</f>
        <v/>
      </c>
      <c r="L359" s="82">
        <f>IF(OR(Scale!$X97="",Scale!$X97=0),"",Scale!$Y97)</f>
        <v/>
      </c>
      <c r="M359" s="82">
        <f>IF(OR(Scale!$X97="",Scale!$X97=0),"",Scale!$Z97)</f>
        <v/>
      </c>
      <c r="N359" s="81">
        <f>IF(OR(Scale!$X97="",Scale!$X97=0),"","مقابل")</f>
        <v/>
      </c>
      <c r="O359" s="81">
        <f>IF(OR(Scale!$X97="",Scale!$X97=0),"",IFERROR(VLOOKUP(Scale!$X97,AcctTbl,3,0),""))</f>
        <v/>
      </c>
      <c r="P359" s="82">
        <f>IF(Scale!$X97&lt;&gt;"X011","","BN02")</f>
        <v/>
      </c>
    </row>
    <row r="360" ht="20.25" customHeight="1">
      <c r="A360" s="80">
        <f>IF(OR(Scale!$AA97="",Scale!$AA97=0),"",Scale!$B97)</f>
        <v/>
      </c>
      <c r="B360" s="80">
        <f>IF(OR(Scale!$AA97="",Scale!$AA97=0),"",Scale!$D97)</f>
        <v/>
      </c>
      <c r="C360" s="80">
        <f>IF(OR(Scale!$AA97="",Scale!$AA97=0),"","باسکول")</f>
        <v/>
      </c>
      <c r="D360" s="80">
        <f>IF(OR(Scale!$AA97="",Scale!$AA97=0),"",Scale!$AA97)</f>
        <v/>
      </c>
      <c r="E360" s="81">
        <f>IF(OR(Scale!$AA97="",Scale!$AA97=0),"",IF(Scale!$AA97="","","پوز باسکول — "&amp;Scale!$E97))</f>
        <v/>
      </c>
      <c r="F360" s="83" t="n"/>
      <c r="G360" s="83" t="n"/>
      <c r="H360" s="83" t="n"/>
      <c r="I360" s="83" t="n"/>
      <c r="J360" s="83" t="n"/>
      <c r="K360" s="82">
        <f>IF(OR(Scale!$AA97="",Scale!$AA97=0),"",IF(Scale!$AB97="",0,Scale!$AB97)+IF(Scale!$AC97="",0,Scale!$AC97))</f>
        <v/>
      </c>
      <c r="L360" s="82">
        <f>IF(OR(Scale!$AA97="",Scale!$AA97=0),"",Scale!$AB97)</f>
        <v/>
      </c>
      <c r="M360" s="82">
        <f>IF(OR(Scale!$AA97="",Scale!$AA97=0),"",Scale!$AC97)</f>
        <v/>
      </c>
      <c r="N360" s="81">
        <f>IF(OR(Scale!$AA97="",Scale!$AA97=0),"","پوز")</f>
        <v/>
      </c>
      <c r="O360" s="81">
        <f>IF(OR(Scale!$AA97="",Scale!$AA97=0),"",IFERROR(VLOOKUP(Scale!$AA97,AcctTbl,3,0),""))</f>
        <v/>
      </c>
      <c r="P360" s="82">
        <f>IF(Scale!$AA97&lt;&gt;"X011","","BN02")</f>
        <v/>
      </c>
    </row>
    <row r="361" ht="20.25" customHeight="1">
      <c r="A361" s="80">
        <f>IF(OR(Scale!$AD97="",Scale!$AD97=0),"",Scale!$B97)</f>
        <v/>
      </c>
      <c r="B361" s="80">
        <f>IF(OR(Scale!$AD97="",Scale!$AD97=0),"",Scale!$D97)</f>
        <v/>
      </c>
      <c r="C361" s="80">
        <f>IF(OR(Scale!$AD97="",Scale!$AD97=0),"","باسکول")</f>
        <v/>
      </c>
      <c r="D361" s="80">
        <f>IF(OR(Scale!$AD97="",Scale!$AD97=0),"",Scale!$AD97)</f>
        <v/>
      </c>
      <c r="E361" s="81">
        <f>IF(OR(Scale!$AD97="",Scale!$AD97=0),"",IF(Scale!$AD97="","","مقابل پوز — "&amp;Scale!$E97))</f>
        <v/>
      </c>
      <c r="F361" s="83" t="n"/>
      <c r="G361" s="83" t="n"/>
      <c r="H361" s="83" t="n"/>
      <c r="I361" s="83" t="n"/>
      <c r="J361" s="83" t="n"/>
      <c r="K361" s="82">
        <f>IF(OR(Scale!$AD97="",Scale!$AD97=0),"",IF(Scale!$AE97="",0,Scale!$AE97)+IF(Scale!$AF97="",0,Scale!$AF97))</f>
        <v/>
      </c>
      <c r="L361" s="82">
        <f>IF(OR(Scale!$AD97="",Scale!$AD97=0),"",Scale!$AE97)</f>
        <v/>
      </c>
      <c r="M361" s="82">
        <f>IF(OR(Scale!$AD97="",Scale!$AD97=0),"",Scale!$AF97)</f>
        <v/>
      </c>
      <c r="N361" s="81">
        <f>IF(OR(Scale!$AD97="",Scale!$AD97=0),"","مقابل پوز")</f>
        <v/>
      </c>
      <c r="O361" s="81">
        <f>IF(OR(Scale!$AD97="",Scale!$AD97=0),"",IFERROR(VLOOKUP(Scale!$AD97,AcctTbl,3,0),""))</f>
        <v/>
      </c>
      <c r="P361" s="82">
        <f>IF(Scale!$AD97&lt;&gt;"X011","","BN02")</f>
        <v/>
      </c>
    </row>
    <row r="362" ht="20.25" customHeight="1">
      <c r="A362" s="80">
        <f>IF(OR(Scale!$U98="",Scale!$U98=0),"",Scale!$B98)</f>
        <v/>
      </c>
      <c r="B362" s="80">
        <f>IF(OR(Scale!$U98="",Scale!$U98=0),"",Scale!$D98)</f>
        <v/>
      </c>
      <c r="C362" s="80">
        <f>IF(OR(Scale!$U98="",Scale!$U98=0),"","باسکول")</f>
        <v/>
      </c>
      <c r="D362" s="80">
        <f>IF(OR(Scale!$U98="",Scale!$U98=0),"",Scale!$U98)</f>
        <v/>
      </c>
      <c r="E362" s="81">
        <f>IF(OR(Scale!$U98="",Scale!$U98=0),"",Scale!$T98)</f>
        <v/>
      </c>
      <c r="F362" s="81">
        <f>IF(OR(Scale!$U98="",Scale!$U98=0),"",Scale!$J98)</f>
        <v/>
      </c>
      <c r="G362" s="82">
        <f>IF(OR(Scale!$U98="",Scale!$U98=0),"",Scale!$M98)</f>
        <v/>
      </c>
      <c r="H362" s="82">
        <f>IF(OR(Scale!$U98="",Scale!$U98=0),"",Scale!$L98)</f>
        <v/>
      </c>
      <c r="I362" s="82">
        <f>IF(OR(Scale!$U98="",Scale!$U98=0),"",Scale!$N98)</f>
        <v/>
      </c>
      <c r="J362" s="82">
        <f>IF(OR(Scale!$U98="",Scale!$U98=0),"",Scale!$O98)</f>
        <v/>
      </c>
      <c r="K362" s="82">
        <f>IF(OR(Scale!$U98="",Scale!$U98=0),"",IF(Scale!$V98="",0,Scale!$V98)+IF(Scale!$W98="",0,Scale!$W98))</f>
        <v/>
      </c>
      <c r="L362" s="82">
        <f>IF(OR(Scale!$U98="",Scale!$U98=0),"",Scale!$V98)</f>
        <v/>
      </c>
      <c r="M362" s="82">
        <f>IF(OR(Scale!$U98="",Scale!$U98=0),"",Scale!$W98)</f>
        <v/>
      </c>
      <c r="N362" s="81">
        <f>IF(OR(Scale!$U98="",Scale!$U98=0),"",Scale!$E98)</f>
        <v/>
      </c>
      <c r="O362" s="81">
        <f>IF(OR(Scale!$U98="",Scale!$U98=0),"",IFERROR(VLOOKUP(Scale!$U98,AcctTbl,3,0),""))</f>
        <v/>
      </c>
      <c r="P362" s="82">
        <f>IF(Scale!$U98&lt;&gt;"X011","","BN02")</f>
        <v/>
      </c>
    </row>
    <row r="363" ht="20.25" customHeight="1">
      <c r="A363" s="80">
        <f>IF(OR(Scale!$X98="",Scale!$X98=0),"",Scale!$B98)</f>
        <v/>
      </c>
      <c r="B363" s="80">
        <f>IF(OR(Scale!$X98="",Scale!$X98=0),"",Scale!$D98)</f>
        <v/>
      </c>
      <c r="C363" s="80">
        <f>IF(OR(Scale!$X98="",Scale!$X98=0),"","باسکول")</f>
        <v/>
      </c>
      <c r="D363" s="80">
        <f>IF(OR(Scale!$X98="",Scale!$X98=0),"",Scale!$X98)</f>
        <v/>
      </c>
      <c r="E363" s="81">
        <f>IF(OR(Scale!$X98="",Scale!$X98=0),"",IF(Scale!$X98="","","مقابل: "&amp;Scale!$E98))</f>
        <v/>
      </c>
      <c r="F363" s="83" t="n"/>
      <c r="G363" s="83" t="n"/>
      <c r="H363" s="83" t="n"/>
      <c r="I363" s="83" t="n"/>
      <c r="J363" s="83" t="n"/>
      <c r="K363" s="82">
        <f>IF(OR(Scale!$X98="",Scale!$X98=0),"",IF(Scale!$Y98="",0,Scale!$Y98)+IF(Scale!$Z98="",0,Scale!$Z98))</f>
        <v/>
      </c>
      <c r="L363" s="82">
        <f>IF(OR(Scale!$X98="",Scale!$X98=0),"",Scale!$Y98)</f>
        <v/>
      </c>
      <c r="M363" s="82">
        <f>IF(OR(Scale!$X98="",Scale!$X98=0),"",Scale!$Z98)</f>
        <v/>
      </c>
      <c r="N363" s="81">
        <f>IF(OR(Scale!$X98="",Scale!$X98=0),"","مقابل")</f>
        <v/>
      </c>
      <c r="O363" s="81">
        <f>IF(OR(Scale!$X98="",Scale!$X98=0),"",IFERROR(VLOOKUP(Scale!$X98,AcctTbl,3,0),""))</f>
        <v/>
      </c>
      <c r="P363" s="82">
        <f>IF(Scale!$X98&lt;&gt;"X011","","BN02")</f>
        <v/>
      </c>
    </row>
    <row r="364" ht="20.25" customHeight="1">
      <c r="A364" s="80">
        <f>IF(OR(Scale!$AA98="",Scale!$AA98=0),"",Scale!$B98)</f>
        <v/>
      </c>
      <c r="B364" s="80">
        <f>IF(OR(Scale!$AA98="",Scale!$AA98=0),"",Scale!$D98)</f>
        <v/>
      </c>
      <c r="C364" s="80">
        <f>IF(OR(Scale!$AA98="",Scale!$AA98=0),"","باسکول")</f>
        <v/>
      </c>
      <c r="D364" s="80">
        <f>IF(OR(Scale!$AA98="",Scale!$AA98=0),"",Scale!$AA98)</f>
        <v/>
      </c>
      <c r="E364" s="81">
        <f>IF(OR(Scale!$AA98="",Scale!$AA98=0),"",IF(Scale!$AA98="","","پوز باسکول — "&amp;Scale!$E98))</f>
        <v/>
      </c>
      <c r="F364" s="83" t="n"/>
      <c r="G364" s="83" t="n"/>
      <c r="H364" s="83" t="n"/>
      <c r="I364" s="83" t="n"/>
      <c r="J364" s="83" t="n"/>
      <c r="K364" s="82">
        <f>IF(OR(Scale!$AA98="",Scale!$AA98=0),"",IF(Scale!$AB98="",0,Scale!$AB98)+IF(Scale!$AC98="",0,Scale!$AC98))</f>
        <v/>
      </c>
      <c r="L364" s="82">
        <f>IF(OR(Scale!$AA98="",Scale!$AA98=0),"",Scale!$AB98)</f>
        <v/>
      </c>
      <c r="M364" s="82">
        <f>IF(OR(Scale!$AA98="",Scale!$AA98=0),"",Scale!$AC98)</f>
        <v/>
      </c>
      <c r="N364" s="81">
        <f>IF(OR(Scale!$AA98="",Scale!$AA98=0),"","پوز")</f>
        <v/>
      </c>
      <c r="O364" s="81">
        <f>IF(OR(Scale!$AA98="",Scale!$AA98=0),"",IFERROR(VLOOKUP(Scale!$AA98,AcctTbl,3,0),""))</f>
        <v/>
      </c>
      <c r="P364" s="82">
        <f>IF(Scale!$AA98&lt;&gt;"X011","","BN02")</f>
        <v/>
      </c>
    </row>
    <row r="365" ht="20.25" customHeight="1">
      <c r="A365" s="80">
        <f>IF(OR(Scale!$AD98="",Scale!$AD98=0),"",Scale!$B98)</f>
        <v/>
      </c>
      <c r="B365" s="80">
        <f>IF(OR(Scale!$AD98="",Scale!$AD98=0),"",Scale!$D98)</f>
        <v/>
      </c>
      <c r="C365" s="80">
        <f>IF(OR(Scale!$AD98="",Scale!$AD98=0),"","باسکول")</f>
        <v/>
      </c>
      <c r="D365" s="80">
        <f>IF(OR(Scale!$AD98="",Scale!$AD98=0),"",Scale!$AD98)</f>
        <v/>
      </c>
      <c r="E365" s="81">
        <f>IF(OR(Scale!$AD98="",Scale!$AD98=0),"",IF(Scale!$AD98="","","مقابل پوز — "&amp;Scale!$E98))</f>
        <v/>
      </c>
      <c r="F365" s="83" t="n"/>
      <c r="G365" s="83" t="n"/>
      <c r="H365" s="83" t="n"/>
      <c r="I365" s="83" t="n"/>
      <c r="J365" s="83" t="n"/>
      <c r="K365" s="82">
        <f>IF(OR(Scale!$AD98="",Scale!$AD98=0),"",IF(Scale!$AE98="",0,Scale!$AE98)+IF(Scale!$AF98="",0,Scale!$AF98))</f>
        <v/>
      </c>
      <c r="L365" s="82">
        <f>IF(OR(Scale!$AD98="",Scale!$AD98=0),"",Scale!$AE98)</f>
        <v/>
      </c>
      <c r="M365" s="82">
        <f>IF(OR(Scale!$AD98="",Scale!$AD98=0),"",Scale!$AF98)</f>
        <v/>
      </c>
      <c r="N365" s="81">
        <f>IF(OR(Scale!$AD98="",Scale!$AD98=0),"","مقابل پوز")</f>
        <v/>
      </c>
      <c r="O365" s="81">
        <f>IF(OR(Scale!$AD98="",Scale!$AD98=0),"",IFERROR(VLOOKUP(Scale!$AD98,AcctTbl,3,0),""))</f>
        <v/>
      </c>
      <c r="P365" s="82">
        <f>IF(Scale!$AD98&lt;&gt;"X011","","BN02")</f>
        <v/>
      </c>
    </row>
    <row r="366" ht="20.25" customHeight="1">
      <c r="A366" s="80">
        <f>IF(OR(Scale!$U99="",Scale!$U99=0),"",Scale!$B99)</f>
        <v/>
      </c>
      <c r="B366" s="80">
        <f>IF(OR(Scale!$U99="",Scale!$U99=0),"",Scale!$D99)</f>
        <v/>
      </c>
      <c r="C366" s="80">
        <f>IF(OR(Scale!$U99="",Scale!$U99=0),"","باسکول")</f>
        <v/>
      </c>
      <c r="D366" s="80">
        <f>IF(OR(Scale!$U99="",Scale!$U99=0),"",Scale!$U99)</f>
        <v/>
      </c>
      <c r="E366" s="81">
        <f>IF(OR(Scale!$U99="",Scale!$U99=0),"",Scale!$T99)</f>
        <v/>
      </c>
      <c r="F366" s="81">
        <f>IF(OR(Scale!$U99="",Scale!$U99=0),"",Scale!$J99)</f>
        <v/>
      </c>
      <c r="G366" s="82">
        <f>IF(OR(Scale!$U99="",Scale!$U99=0),"",Scale!$M99)</f>
        <v/>
      </c>
      <c r="H366" s="82">
        <f>IF(OR(Scale!$U99="",Scale!$U99=0),"",Scale!$L99)</f>
        <v/>
      </c>
      <c r="I366" s="82">
        <f>IF(OR(Scale!$U99="",Scale!$U99=0),"",Scale!$N99)</f>
        <v/>
      </c>
      <c r="J366" s="82">
        <f>IF(OR(Scale!$U99="",Scale!$U99=0),"",Scale!$O99)</f>
        <v/>
      </c>
      <c r="K366" s="82">
        <f>IF(OR(Scale!$U99="",Scale!$U99=0),"",IF(Scale!$V99="",0,Scale!$V99)+IF(Scale!$W99="",0,Scale!$W99))</f>
        <v/>
      </c>
      <c r="L366" s="82">
        <f>IF(OR(Scale!$U99="",Scale!$U99=0),"",Scale!$V99)</f>
        <v/>
      </c>
      <c r="M366" s="82">
        <f>IF(OR(Scale!$U99="",Scale!$U99=0),"",Scale!$W99)</f>
        <v/>
      </c>
      <c r="N366" s="81">
        <f>IF(OR(Scale!$U99="",Scale!$U99=0),"",Scale!$E99)</f>
        <v/>
      </c>
      <c r="O366" s="81">
        <f>IF(OR(Scale!$U99="",Scale!$U99=0),"",IFERROR(VLOOKUP(Scale!$U99,AcctTbl,3,0),""))</f>
        <v/>
      </c>
      <c r="P366" s="82">
        <f>IF(Scale!$U99&lt;&gt;"X011","","BN02")</f>
        <v/>
      </c>
    </row>
    <row r="367" ht="20.25" customHeight="1">
      <c r="A367" s="80">
        <f>IF(OR(Scale!$X99="",Scale!$X99=0),"",Scale!$B99)</f>
        <v/>
      </c>
      <c r="B367" s="80">
        <f>IF(OR(Scale!$X99="",Scale!$X99=0),"",Scale!$D99)</f>
        <v/>
      </c>
      <c r="C367" s="80">
        <f>IF(OR(Scale!$X99="",Scale!$X99=0),"","باسکول")</f>
        <v/>
      </c>
      <c r="D367" s="80">
        <f>IF(OR(Scale!$X99="",Scale!$X99=0),"",Scale!$X99)</f>
        <v/>
      </c>
      <c r="E367" s="81">
        <f>IF(OR(Scale!$X99="",Scale!$X99=0),"",IF(Scale!$X99="","","مقابل: "&amp;Scale!$E99))</f>
        <v/>
      </c>
      <c r="F367" s="83" t="n"/>
      <c r="G367" s="83" t="n"/>
      <c r="H367" s="83" t="n"/>
      <c r="I367" s="83" t="n"/>
      <c r="J367" s="83" t="n"/>
      <c r="K367" s="82">
        <f>IF(OR(Scale!$X99="",Scale!$X99=0),"",IF(Scale!$Y99="",0,Scale!$Y99)+IF(Scale!$Z99="",0,Scale!$Z99))</f>
        <v/>
      </c>
      <c r="L367" s="82">
        <f>IF(OR(Scale!$X99="",Scale!$X99=0),"",Scale!$Y99)</f>
        <v/>
      </c>
      <c r="M367" s="82">
        <f>IF(OR(Scale!$X99="",Scale!$X99=0),"",Scale!$Z99)</f>
        <v/>
      </c>
      <c r="N367" s="81">
        <f>IF(OR(Scale!$X99="",Scale!$X99=0),"","مقابل")</f>
        <v/>
      </c>
      <c r="O367" s="81">
        <f>IF(OR(Scale!$X99="",Scale!$X99=0),"",IFERROR(VLOOKUP(Scale!$X99,AcctTbl,3,0),""))</f>
        <v/>
      </c>
      <c r="P367" s="82">
        <f>IF(Scale!$X99&lt;&gt;"X011","","BN02")</f>
        <v/>
      </c>
    </row>
    <row r="368" ht="20.25" customHeight="1">
      <c r="A368" s="80">
        <f>IF(OR(Scale!$AA99="",Scale!$AA99=0),"",Scale!$B99)</f>
        <v/>
      </c>
      <c r="B368" s="80">
        <f>IF(OR(Scale!$AA99="",Scale!$AA99=0),"",Scale!$D99)</f>
        <v/>
      </c>
      <c r="C368" s="80">
        <f>IF(OR(Scale!$AA99="",Scale!$AA99=0),"","باسکول")</f>
        <v/>
      </c>
      <c r="D368" s="80">
        <f>IF(OR(Scale!$AA99="",Scale!$AA99=0),"",Scale!$AA99)</f>
        <v/>
      </c>
      <c r="E368" s="81">
        <f>IF(OR(Scale!$AA99="",Scale!$AA99=0),"",IF(Scale!$AA99="","","پوز باسکول — "&amp;Scale!$E99))</f>
        <v/>
      </c>
      <c r="F368" s="83" t="n"/>
      <c r="G368" s="83" t="n"/>
      <c r="H368" s="83" t="n"/>
      <c r="I368" s="83" t="n"/>
      <c r="J368" s="83" t="n"/>
      <c r="K368" s="82">
        <f>IF(OR(Scale!$AA99="",Scale!$AA99=0),"",IF(Scale!$AB99="",0,Scale!$AB99)+IF(Scale!$AC99="",0,Scale!$AC99))</f>
        <v/>
      </c>
      <c r="L368" s="82">
        <f>IF(OR(Scale!$AA99="",Scale!$AA99=0),"",Scale!$AB99)</f>
        <v/>
      </c>
      <c r="M368" s="82">
        <f>IF(OR(Scale!$AA99="",Scale!$AA99=0),"",Scale!$AC99)</f>
        <v/>
      </c>
      <c r="N368" s="81">
        <f>IF(OR(Scale!$AA99="",Scale!$AA99=0),"","پوز")</f>
        <v/>
      </c>
      <c r="O368" s="81">
        <f>IF(OR(Scale!$AA99="",Scale!$AA99=0),"",IFERROR(VLOOKUP(Scale!$AA99,AcctTbl,3,0),""))</f>
        <v/>
      </c>
      <c r="P368" s="82">
        <f>IF(Scale!$AA99&lt;&gt;"X011","","BN02")</f>
        <v/>
      </c>
    </row>
    <row r="369" ht="20.25" customHeight="1">
      <c r="A369" s="80">
        <f>IF(OR(Scale!$AD99="",Scale!$AD99=0),"",Scale!$B99)</f>
        <v/>
      </c>
      <c r="B369" s="80">
        <f>IF(OR(Scale!$AD99="",Scale!$AD99=0),"",Scale!$D99)</f>
        <v/>
      </c>
      <c r="C369" s="80">
        <f>IF(OR(Scale!$AD99="",Scale!$AD99=0),"","باسکول")</f>
        <v/>
      </c>
      <c r="D369" s="80">
        <f>IF(OR(Scale!$AD99="",Scale!$AD99=0),"",Scale!$AD99)</f>
        <v/>
      </c>
      <c r="E369" s="81">
        <f>IF(OR(Scale!$AD99="",Scale!$AD99=0),"",IF(Scale!$AD99="","","مقابل پوز — "&amp;Scale!$E99))</f>
        <v/>
      </c>
      <c r="F369" s="83" t="n"/>
      <c r="G369" s="83" t="n"/>
      <c r="H369" s="83" t="n"/>
      <c r="I369" s="83" t="n"/>
      <c r="J369" s="83" t="n"/>
      <c r="K369" s="82">
        <f>IF(OR(Scale!$AD99="",Scale!$AD99=0),"",IF(Scale!$AE99="",0,Scale!$AE99)+IF(Scale!$AF99="",0,Scale!$AF99))</f>
        <v/>
      </c>
      <c r="L369" s="82">
        <f>IF(OR(Scale!$AD99="",Scale!$AD99=0),"",Scale!$AE99)</f>
        <v/>
      </c>
      <c r="M369" s="82">
        <f>IF(OR(Scale!$AD99="",Scale!$AD99=0),"",Scale!$AF99)</f>
        <v/>
      </c>
      <c r="N369" s="81">
        <f>IF(OR(Scale!$AD99="",Scale!$AD99=0),"","مقابل پوز")</f>
        <v/>
      </c>
      <c r="O369" s="81">
        <f>IF(OR(Scale!$AD99="",Scale!$AD99=0),"",IFERROR(VLOOKUP(Scale!$AD99,AcctTbl,3,0),""))</f>
        <v/>
      </c>
      <c r="P369" s="82">
        <f>IF(Scale!$AD99&lt;&gt;"X011","","BN02")</f>
        <v/>
      </c>
    </row>
    <row r="370" ht="20.25" customHeight="1">
      <c r="A370" s="80">
        <f>IF(OR(Scale!$U100="",Scale!$U100=0),"",Scale!$B100)</f>
        <v/>
      </c>
      <c r="B370" s="80">
        <f>IF(OR(Scale!$U100="",Scale!$U100=0),"",Scale!$D100)</f>
        <v/>
      </c>
      <c r="C370" s="80">
        <f>IF(OR(Scale!$U100="",Scale!$U100=0),"","باسکول")</f>
        <v/>
      </c>
      <c r="D370" s="80">
        <f>IF(OR(Scale!$U100="",Scale!$U100=0),"",Scale!$U100)</f>
        <v/>
      </c>
      <c r="E370" s="81">
        <f>IF(OR(Scale!$U100="",Scale!$U100=0),"",Scale!$T100)</f>
        <v/>
      </c>
      <c r="F370" s="81">
        <f>IF(OR(Scale!$U100="",Scale!$U100=0),"",Scale!$J100)</f>
        <v/>
      </c>
      <c r="G370" s="82">
        <f>IF(OR(Scale!$U100="",Scale!$U100=0),"",Scale!$M100)</f>
        <v/>
      </c>
      <c r="H370" s="82">
        <f>IF(OR(Scale!$U100="",Scale!$U100=0),"",Scale!$L100)</f>
        <v/>
      </c>
      <c r="I370" s="82">
        <f>IF(OR(Scale!$U100="",Scale!$U100=0),"",Scale!$N100)</f>
        <v/>
      </c>
      <c r="J370" s="82">
        <f>IF(OR(Scale!$U100="",Scale!$U100=0),"",Scale!$O100)</f>
        <v/>
      </c>
      <c r="K370" s="82">
        <f>IF(OR(Scale!$U100="",Scale!$U100=0),"",IF(Scale!$V100="",0,Scale!$V100)+IF(Scale!$W100="",0,Scale!$W100))</f>
        <v/>
      </c>
      <c r="L370" s="82">
        <f>IF(OR(Scale!$U100="",Scale!$U100=0),"",Scale!$V100)</f>
        <v/>
      </c>
      <c r="M370" s="82">
        <f>IF(OR(Scale!$U100="",Scale!$U100=0),"",Scale!$W100)</f>
        <v/>
      </c>
      <c r="N370" s="81">
        <f>IF(OR(Scale!$U100="",Scale!$U100=0),"",Scale!$E100)</f>
        <v/>
      </c>
      <c r="O370" s="81">
        <f>IF(OR(Scale!$U100="",Scale!$U100=0),"",IFERROR(VLOOKUP(Scale!$U100,AcctTbl,3,0),""))</f>
        <v/>
      </c>
      <c r="P370" s="82">
        <f>IF(Scale!$U100&lt;&gt;"X011","","BN02")</f>
        <v/>
      </c>
    </row>
    <row r="371" ht="20.25" customHeight="1">
      <c r="A371" s="80">
        <f>IF(OR(Scale!$X100="",Scale!$X100=0),"",Scale!$B100)</f>
        <v/>
      </c>
      <c r="B371" s="80">
        <f>IF(OR(Scale!$X100="",Scale!$X100=0),"",Scale!$D100)</f>
        <v/>
      </c>
      <c r="C371" s="80">
        <f>IF(OR(Scale!$X100="",Scale!$X100=0),"","باسکول")</f>
        <v/>
      </c>
      <c r="D371" s="80">
        <f>IF(OR(Scale!$X100="",Scale!$X100=0),"",Scale!$X100)</f>
        <v/>
      </c>
      <c r="E371" s="81">
        <f>IF(OR(Scale!$X100="",Scale!$X100=0),"",IF(Scale!$X100="","","مقابل: "&amp;Scale!$E100))</f>
        <v/>
      </c>
      <c r="F371" s="83" t="n"/>
      <c r="G371" s="83" t="n"/>
      <c r="H371" s="83" t="n"/>
      <c r="I371" s="83" t="n"/>
      <c r="J371" s="83" t="n"/>
      <c r="K371" s="82">
        <f>IF(OR(Scale!$X100="",Scale!$X100=0),"",IF(Scale!$Y100="",0,Scale!$Y100)+IF(Scale!$Z100="",0,Scale!$Z100))</f>
        <v/>
      </c>
      <c r="L371" s="82">
        <f>IF(OR(Scale!$X100="",Scale!$X100=0),"",Scale!$Y100)</f>
        <v/>
      </c>
      <c r="M371" s="82">
        <f>IF(OR(Scale!$X100="",Scale!$X100=0),"",Scale!$Z100)</f>
        <v/>
      </c>
      <c r="N371" s="81">
        <f>IF(OR(Scale!$X100="",Scale!$X100=0),"","مقابل")</f>
        <v/>
      </c>
      <c r="O371" s="81">
        <f>IF(OR(Scale!$X100="",Scale!$X100=0),"",IFERROR(VLOOKUP(Scale!$X100,AcctTbl,3,0),""))</f>
        <v/>
      </c>
      <c r="P371" s="82">
        <f>IF(Scale!$X100&lt;&gt;"X011","","BN02")</f>
        <v/>
      </c>
    </row>
    <row r="372" ht="20.25" customHeight="1">
      <c r="A372" s="80">
        <f>IF(OR(Scale!$AA100="",Scale!$AA100=0),"",Scale!$B100)</f>
        <v/>
      </c>
      <c r="B372" s="80">
        <f>IF(OR(Scale!$AA100="",Scale!$AA100=0),"",Scale!$D100)</f>
        <v/>
      </c>
      <c r="C372" s="80">
        <f>IF(OR(Scale!$AA100="",Scale!$AA100=0),"","باسکول")</f>
        <v/>
      </c>
      <c r="D372" s="80">
        <f>IF(OR(Scale!$AA100="",Scale!$AA100=0),"",Scale!$AA100)</f>
        <v/>
      </c>
      <c r="E372" s="81">
        <f>IF(OR(Scale!$AA100="",Scale!$AA100=0),"",IF(Scale!$AA100="","","پوز باسکول — "&amp;Scale!$E100))</f>
        <v/>
      </c>
      <c r="F372" s="83" t="n"/>
      <c r="G372" s="83" t="n"/>
      <c r="H372" s="83" t="n"/>
      <c r="I372" s="83" t="n"/>
      <c r="J372" s="83" t="n"/>
      <c r="K372" s="82">
        <f>IF(OR(Scale!$AA100="",Scale!$AA100=0),"",IF(Scale!$AB100="",0,Scale!$AB100)+IF(Scale!$AC100="",0,Scale!$AC100))</f>
        <v/>
      </c>
      <c r="L372" s="82">
        <f>IF(OR(Scale!$AA100="",Scale!$AA100=0),"",Scale!$AB100)</f>
        <v/>
      </c>
      <c r="M372" s="82">
        <f>IF(OR(Scale!$AA100="",Scale!$AA100=0),"",Scale!$AC100)</f>
        <v/>
      </c>
      <c r="N372" s="81">
        <f>IF(OR(Scale!$AA100="",Scale!$AA100=0),"","پوز")</f>
        <v/>
      </c>
      <c r="O372" s="81">
        <f>IF(OR(Scale!$AA100="",Scale!$AA100=0),"",IFERROR(VLOOKUP(Scale!$AA100,AcctTbl,3,0),""))</f>
        <v/>
      </c>
      <c r="P372" s="82">
        <f>IF(Scale!$AA100&lt;&gt;"X011","","BN02")</f>
        <v/>
      </c>
    </row>
    <row r="373" ht="20.25" customHeight="1">
      <c r="A373" s="80">
        <f>IF(OR(Scale!$AD100="",Scale!$AD100=0),"",Scale!$B100)</f>
        <v/>
      </c>
      <c r="B373" s="80">
        <f>IF(OR(Scale!$AD100="",Scale!$AD100=0),"",Scale!$D100)</f>
        <v/>
      </c>
      <c r="C373" s="80">
        <f>IF(OR(Scale!$AD100="",Scale!$AD100=0),"","باسکول")</f>
        <v/>
      </c>
      <c r="D373" s="80">
        <f>IF(OR(Scale!$AD100="",Scale!$AD100=0),"",Scale!$AD100)</f>
        <v/>
      </c>
      <c r="E373" s="81">
        <f>IF(OR(Scale!$AD100="",Scale!$AD100=0),"",IF(Scale!$AD100="","","مقابل پوز — "&amp;Scale!$E100))</f>
        <v/>
      </c>
      <c r="F373" s="83" t="n"/>
      <c r="G373" s="83" t="n"/>
      <c r="H373" s="83" t="n"/>
      <c r="I373" s="83" t="n"/>
      <c r="J373" s="83" t="n"/>
      <c r="K373" s="82">
        <f>IF(OR(Scale!$AD100="",Scale!$AD100=0),"",IF(Scale!$AE100="",0,Scale!$AE100)+IF(Scale!$AF100="",0,Scale!$AF100))</f>
        <v/>
      </c>
      <c r="L373" s="82">
        <f>IF(OR(Scale!$AD100="",Scale!$AD100=0),"",Scale!$AE100)</f>
        <v/>
      </c>
      <c r="M373" s="82">
        <f>IF(OR(Scale!$AD100="",Scale!$AD100=0),"",Scale!$AF100)</f>
        <v/>
      </c>
      <c r="N373" s="81">
        <f>IF(OR(Scale!$AD100="",Scale!$AD100=0),"","مقابل پوز")</f>
        <v/>
      </c>
      <c r="O373" s="81">
        <f>IF(OR(Scale!$AD100="",Scale!$AD100=0),"",IFERROR(VLOOKUP(Scale!$AD100,AcctTbl,3,0),""))</f>
        <v/>
      </c>
      <c r="P373" s="82">
        <f>IF(Scale!$AD100&lt;&gt;"X011","","BN02")</f>
        <v/>
      </c>
    </row>
    <row r="374" ht="20.25" customHeight="1">
      <c r="A374" s="80">
        <f>IF(OR(Scale!$U101="",Scale!$U101=0),"",Scale!$B101)</f>
        <v/>
      </c>
      <c r="B374" s="80">
        <f>IF(OR(Scale!$U101="",Scale!$U101=0),"",Scale!$D101)</f>
        <v/>
      </c>
      <c r="C374" s="80">
        <f>IF(OR(Scale!$U101="",Scale!$U101=0),"","باسکول")</f>
        <v/>
      </c>
      <c r="D374" s="80">
        <f>IF(OR(Scale!$U101="",Scale!$U101=0),"",Scale!$U101)</f>
        <v/>
      </c>
      <c r="E374" s="81">
        <f>IF(OR(Scale!$U101="",Scale!$U101=0),"",Scale!$T101)</f>
        <v/>
      </c>
      <c r="F374" s="81">
        <f>IF(OR(Scale!$U101="",Scale!$U101=0),"",Scale!$J101)</f>
        <v/>
      </c>
      <c r="G374" s="82">
        <f>IF(OR(Scale!$U101="",Scale!$U101=0),"",Scale!$M101)</f>
        <v/>
      </c>
      <c r="H374" s="82">
        <f>IF(OR(Scale!$U101="",Scale!$U101=0),"",Scale!$L101)</f>
        <v/>
      </c>
      <c r="I374" s="82">
        <f>IF(OR(Scale!$U101="",Scale!$U101=0),"",Scale!$N101)</f>
        <v/>
      </c>
      <c r="J374" s="82">
        <f>IF(OR(Scale!$U101="",Scale!$U101=0),"",Scale!$O101)</f>
        <v/>
      </c>
      <c r="K374" s="82">
        <f>IF(OR(Scale!$U101="",Scale!$U101=0),"",IF(Scale!$V101="",0,Scale!$V101)+IF(Scale!$W101="",0,Scale!$W101))</f>
        <v/>
      </c>
      <c r="L374" s="82">
        <f>IF(OR(Scale!$U101="",Scale!$U101=0),"",Scale!$V101)</f>
        <v/>
      </c>
      <c r="M374" s="82">
        <f>IF(OR(Scale!$U101="",Scale!$U101=0),"",Scale!$W101)</f>
        <v/>
      </c>
      <c r="N374" s="81">
        <f>IF(OR(Scale!$U101="",Scale!$U101=0),"",Scale!$E101)</f>
        <v/>
      </c>
      <c r="O374" s="81">
        <f>IF(OR(Scale!$U101="",Scale!$U101=0),"",IFERROR(VLOOKUP(Scale!$U101,AcctTbl,3,0),""))</f>
        <v/>
      </c>
      <c r="P374" s="82">
        <f>IF(Scale!$U101&lt;&gt;"X011","","BN02")</f>
        <v/>
      </c>
    </row>
    <row r="375" ht="20.25" customHeight="1">
      <c r="A375" s="80">
        <f>IF(OR(Scale!$X101="",Scale!$X101=0),"",Scale!$B101)</f>
        <v/>
      </c>
      <c r="B375" s="80">
        <f>IF(OR(Scale!$X101="",Scale!$X101=0),"",Scale!$D101)</f>
        <v/>
      </c>
      <c r="C375" s="80">
        <f>IF(OR(Scale!$X101="",Scale!$X101=0),"","باسکول")</f>
        <v/>
      </c>
      <c r="D375" s="80">
        <f>IF(OR(Scale!$X101="",Scale!$X101=0),"",Scale!$X101)</f>
        <v/>
      </c>
      <c r="E375" s="81">
        <f>IF(OR(Scale!$X101="",Scale!$X101=0),"",IF(Scale!$X101="","","مقابل: "&amp;Scale!$E101))</f>
        <v/>
      </c>
      <c r="F375" s="83" t="n"/>
      <c r="G375" s="83" t="n"/>
      <c r="H375" s="83" t="n"/>
      <c r="I375" s="83" t="n"/>
      <c r="J375" s="83" t="n"/>
      <c r="K375" s="82">
        <f>IF(OR(Scale!$X101="",Scale!$X101=0),"",IF(Scale!$Y101="",0,Scale!$Y101)+IF(Scale!$Z101="",0,Scale!$Z101))</f>
        <v/>
      </c>
      <c r="L375" s="82">
        <f>IF(OR(Scale!$X101="",Scale!$X101=0),"",Scale!$Y101)</f>
        <v/>
      </c>
      <c r="M375" s="82">
        <f>IF(OR(Scale!$X101="",Scale!$X101=0),"",Scale!$Z101)</f>
        <v/>
      </c>
      <c r="N375" s="81">
        <f>IF(OR(Scale!$X101="",Scale!$X101=0),"","مقابل")</f>
        <v/>
      </c>
      <c r="O375" s="81">
        <f>IF(OR(Scale!$X101="",Scale!$X101=0),"",IFERROR(VLOOKUP(Scale!$X101,AcctTbl,3,0),""))</f>
        <v/>
      </c>
      <c r="P375" s="82">
        <f>IF(Scale!$X101&lt;&gt;"X011","","BN02")</f>
        <v/>
      </c>
    </row>
    <row r="376" ht="20.25" customHeight="1">
      <c r="A376" s="80">
        <f>IF(OR(Scale!$AA101="",Scale!$AA101=0),"",Scale!$B101)</f>
        <v/>
      </c>
      <c r="B376" s="80">
        <f>IF(OR(Scale!$AA101="",Scale!$AA101=0),"",Scale!$D101)</f>
        <v/>
      </c>
      <c r="C376" s="80">
        <f>IF(OR(Scale!$AA101="",Scale!$AA101=0),"","باسکول")</f>
        <v/>
      </c>
      <c r="D376" s="80">
        <f>IF(OR(Scale!$AA101="",Scale!$AA101=0),"",Scale!$AA101)</f>
        <v/>
      </c>
      <c r="E376" s="81">
        <f>IF(OR(Scale!$AA101="",Scale!$AA101=0),"",IF(Scale!$AA101="","","پوز باسکول — "&amp;Scale!$E101))</f>
        <v/>
      </c>
      <c r="F376" s="83" t="n"/>
      <c r="G376" s="83" t="n"/>
      <c r="H376" s="83" t="n"/>
      <c r="I376" s="83" t="n"/>
      <c r="J376" s="83" t="n"/>
      <c r="K376" s="82">
        <f>IF(OR(Scale!$AA101="",Scale!$AA101=0),"",IF(Scale!$AB101="",0,Scale!$AB101)+IF(Scale!$AC101="",0,Scale!$AC101))</f>
        <v/>
      </c>
      <c r="L376" s="82">
        <f>IF(OR(Scale!$AA101="",Scale!$AA101=0),"",Scale!$AB101)</f>
        <v/>
      </c>
      <c r="M376" s="82">
        <f>IF(OR(Scale!$AA101="",Scale!$AA101=0),"",Scale!$AC101)</f>
        <v/>
      </c>
      <c r="N376" s="81">
        <f>IF(OR(Scale!$AA101="",Scale!$AA101=0),"","پوز")</f>
        <v/>
      </c>
      <c r="O376" s="81">
        <f>IF(OR(Scale!$AA101="",Scale!$AA101=0),"",IFERROR(VLOOKUP(Scale!$AA101,AcctTbl,3,0),""))</f>
        <v/>
      </c>
      <c r="P376" s="82">
        <f>IF(Scale!$AA101&lt;&gt;"X011","","BN02")</f>
        <v/>
      </c>
    </row>
    <row r="377" ht="20.25" customHeight="1">
      <c r="A377" s="80">
        <f>IF(OR(Scale!$AD101="",Scale!$AD101=0),"",Scale!$B101)</f>
        <v/>
      </c>
      <c r="B377" s="80">
        <f>IF(OR(Scale!$AD101="",Scale!$AD101=0),"",Scale!$D101)</f>
        <v/>
      </c>
      <c r="C377" s="80">
        <f>IF(OR(Scale!$AD101="",Scale!$AD101=0),"","باسکول")</f>
        <v/>
      </c>
      <c r="D377" s="80">
        <f>IF(OR(Scale!$AD101="",Scale!$AD101=0),"",Scale!$AD101)</f>
        <v/>
      </c>
      <c r="E377" s="81">
        <f>IF(OR(Scale!$AD101="",Scale!$AD101=0),"",IF(Scale!$AD101="","","مقابل پوز — "&amp;Scale!$E101))</f>
        <v/>
      </c>
      <c r="F377" s="83" t="n"/>
      <c r="G377" s="83" t="n"/>
      <c r="H377" s="83" t="n"/>
      <c r="I377" s="83" t="n"/>
      <c r="J377" s="83" t="n"/>
      <c r="K377" s="82">
        <f>IF(OR(Scale!$AD101="",Scale!$AD101=0),"",IF(Scale!$AE101="",0,Scale!$AE101)+IF(Scale!$AF101="",0,Scale!$AF101))</f>
        <v/>
      </c>
      <c r="L377" s="82">
        <f>IF(OR(Scale!$AD101="",Scale!$AD101=0),"",Scale!$AE101)</f>
        <v/>
      </c>
      <c r="M377" s="82">
        <f>IF(OR(Scale!$AD101="",Scale!$AD101=0),"",Scale!$AF101)</f>
        <v/>
      </c>
      <c r="N377" s="81">
        <f>IF(OR(Scale!$AD101="",Scale!$AD101=0),"","مقابل پوز")</f>
        <v/>
      </c>
      <c r="O377" s="81">
        <f>IF(OR(Scale!$AD101="",Scale!$AD101=0),"",IFERROR(VLOOKUP(Scale!$AD101,AcctTbl,3,0),""))</f>
        <v/>
      </c>
      <c r="P377" s="82">
        <f>IF(Scale!$AD101&lt;&gt;"X011","","BN02")</f>
        <v/>
      </c>
    </row>
    <row r="378" ht="20.25" customHeight="1">
      <c r="A378" s="80">
        <f>IF(OR(Scale!$U102="",Scale!$U102=0),"",Scale!$B102)</f>
        <v/>
      </c>
      <c r="B378" s="80">
        <f>IF(OR(Scale!$U102="",Scale!$U102=0),"",Scale!$D102)</f>
        <v/>
      </c>
      <c r="C378" s="80">
        <f>IF(OR(Scale!$U102="",Scale!$U102=0),"","باسکول")</f>
        <v/>
      </c>
      <c r="D378" s="80">
        <f>IF(OR(Scale!$U102="",Scale!$U102=0),"",Scale!$U102)</f>
        <v/>
      </c>
      <c r="E378" s="81">
        <f>IF(OR(Scale!$U102="",Scale!$U102=0),"",Scale!$T102)</f>
        <v/>
      </c>
      <c r="F378" s="81">
        <f>IF(OR(Scale!$U102="",Scale!$U102=0),"",Scale!$J102)</f>
        <v/>
      </c>
      <c r="G378" s="82">
        <f>IF(OR(Scale!$U102="",Scale!$U102=0),"",Scale!$M102)</f>
        <v/>
      </c>
      <c r="H378" s="82">
        <f>IF(OR(Scale!$U102="",Scale!$U102=0),"",Scale!$L102)</f>
        <v/>
      </c>
      <c r="I378" s="82">
        <f>IF(OR(Scale!$U102="",Scale!$U102=0),"",Scale!$N102)</f>
        <v/>
      </c>
      <c r="J378" s="82">
        <f>IF(OR(Scale!$U102="",Scale!$U102=0),"",Scale!$O102)</f>
        <v/>
      </c>
      <c r="K378" s="82">
        <f>IF(OR(Scale!$U102="",Scale!$U102=0),"",IF(Scale!$V102="",0,Scale!$V102)+IF(Scale!$W102="",0,Scale!$W102))</f>
        <v/>
      </c>
      <c r="L378" s="82">
        <f>IF(OR(Scale!$U102="",Scale!$U102=0),"",Scale!$V102)</f>
        <v/>
      </c>
      <c r="M378" s="82">
        <f>IF(OR(Scale!$U102="",Scale!$U102=0),"",Scale!$W102)</f>
        <v/>
      </c>
      <c r="N378" s="81">
        <f>IF(OR(Scale!$U102="",Scale!$U102=0),"",Scale!$E102)</f>
        <v/>
      </c>
      <c r="O378" s="81">
        <f>IF(OR(Scale!$U102="",Scale!$U102=0),"",IFERROR(VLOOKUP(Scale!$U102,AcctTbl,3,0),""))</f>
        <v/>
      </c>
      <c r="P378" s="82">
        <f>IF(Scale!$U102&lt;&gt;"X011","","BN02")</f>
        <v/>
      </c>
    </row>
    <row r="379" ht="20.25" customHeight="1">
      <c r="A379" s="80">
        <f>IF(OR(Scale!$X102="",Scale!$X102=0),"",Scale!$B102)</f>
        <v/>
      </c>
      <c r="B379" s="80">
        <f>IF(OR(Scale!$X102="",Scale!$X102=0),"",Scale!$D102)</f>
        <v/>
      </c>
      <c r="C379" s="80">
        <f>IF(OR(Scale!$X102="",Scale!$X102=0),"","باسکول")</f>
        <v/>
      </c>
      <c r="D379" s="80">
        <f>IF(OR(Scale!$X102="",Scale!$X102=0),"",Scale!$X102)</f>
        <v/>
      </c>
      <c r="E379" s="81">
        <f>IF(OR(Scale!$X102="",Scale!$X102=0),"",IF(Scale!$X102="","","مقابل: "&amp;Scale!$E102))</f>
        <v/>
      </c>
      <c r="F379" s="83" t="n"/>
      <c r="G379" s="83" t="n"/>
      <c r="H379" s="83" t="n"/>
      <c r="I379" s="83" t="n"/>
      <c r="J379" s="83" t="n"/>
      <c r="K379" s="82">
        <f>IF(OR(Scale!$X102="",Scale!$X102=0),"",IF(Scale!$Y102="",0,Scale!$Y102)+IF(Scale!$Z102="",0,Scale!$Z102))</f>
        <v/>
      </c>
      <c r="L379" s="82">
        <f>IF(OR(Scale!$X102="",Scale!$X102=0),"",Scale!$Y102)</f>
        <v/>
      </c>
      <c r="M379" s="82">
        <f>IF(OR(Scale!$X102="",Scale!$X102=0),"",Scale!$Z102)</f>
        <v/>
      </c>
      <c r="N379" s="81">
        <f>IF(OR(Scale!$X102="",Scale!$X102=0),"","مقابل")</f>
        <v/>
      </c>
      <c r="O379" s="81">
        <f>IF(OR(Scale!$X102="",Scale!$X102=0),"",IFERROR(VLOOKUP(Scale!$X102,AcctTbl,3,0),""))</f>
        <v/>
      </c>
      <c r="P379" s="82">
        <f>IF(Scale!$X102&lt;&gt;"X011","","BN02")</f>
        <v/>
      </c>
    </row>
    <row r="380" ht="20.25" customHeight="1">
      <c r="A380" s="80">
        <f>IF(OR(Scale!$AA102="",Scale!$AA102=0),"",Scale!$B102)</f>
        <v/>
      </c>
      <c r="B380" s="80">
        <f>IF(OR(Scale!$AA102="",Scale!$AA102=0),"",Scale!$D102)</f>
        <v/>
      </c>
      <c r="C380" s="80">
        <f>IF(OR(Scale!$AA102="",Scale!$AA102=0),"","باسکول")</f>
        <v/>
      </c>
      <c r="D380" s="80">
        <f>IF(OR(Scale!$AA102="",Scale!$AA102=0),"",Scale!$AA102)</f>
        <v/>
      </c>
      <c r="E380" s="81">
        <f>IF(OR(Scale!$AA102="",Scale!$AA102=0),"",IF(Scale!$AA102="","","پوز باسکول — "&amp;Scale!$E102))</f>
        <v/>
      </c>
      <c r="F380" s="83" t="n"/>
      <c r="G380" s="83" t="n"/>
      <c r="H380" s="83" t="n"/>
      <c r="I380" s="83" t="n"/>
      <c r="J380" s="83" t="n"/>
      <c r="K380" s="82">
        <f>IF(OR(Scale!$AA102="",Scale!$AA102=0),"",IF(Scale!$AB102="",0,Scale!$AB102)+IF(Scale!$AC102="",0,Scale!$AC102))</f>
        <v/>
      </c>
      <c r="L380" s="82">
        <f>IF(OR(Scale!$AA102="",Scale!$AA102=0),"",Scale!$AB102)</f>
        <v/>
      </c>
      <c r="M380" s="82">
        <f>IF(OR(Scale!$AA102="",Scale!$AA102=0),"",Scale!$AC102)</f>
        <v/>
      </c>
      <c r="N380" s="81">
        <f>IF(OR(Scale!$AA102="",Scale!$AA102=0),"","پوز")</f>
        <v/>
      </c>
      <c r="O380" s="81">
        <f>IF(OR(Scale!$AA102="",Scale!$AA102=0),"",IFERROR(VLOOKUP(Scale!$AA102,AcctTbl,3,0),""))</f>
        <v/>
      </c>
      <c r="P380" s="82">
        <f>IF(Scale!$AA102&lt;&gt;"X011","","BN02")</f>
        <v/>
      </c>
    </row>
    <row r="381" ht="20.25" customHeight="1">
      <c r="A381" s="80">
        <f>IF(OR(Scale!$AD102="",Scale!$AD102=0),"",Scale!$B102)</f>
        <v/>
      </c>
      <c r="B381" s="80">
        <f>IF(OR(Scale!$AD102="",Scale!$AD102=0),"",Scale!$D102)</f>
        <v/>
      </c>
      <c r="C381" s="80">
        <f>IF(OR(Scale!$AD102="",Scale!$AD102=0),"","باسکول")</f>
        <v/>
      </c>
      <c r="D381" s="80">
        <f>IF(OR(Scale!$AD102="",Scale!$AD102=0),"",Scale!$AD102)</f>
        <v/>
      </c>
      <c r="E381" s="81">
        <f>IF(OR(Scale!$AD102="",Scale!$AD102=0),"",IF(Scale!$AD102="","","مقابل پوز — "&amp;Scale!$E102))</f>
        <v/>
      </c>
      <c r="F381" s="83" t="n"/>
      <c r="G381" s="83" t="n"/>
      <c r="H381" s="83" t="n"/>
      <c r="I381" s="83" t="n"/>
      <c r="J381" s="83" t="n"/>
      <c r="K381" s="82">
        <f>IF(OR(Scale!$AD102="",Scale!$AD102=0),"",IF(Scale!$AE102="",0,Scale!$AE102)+IF(Scale!$AF102="",0,Scale!$AF102))</f>
        <v/>
      </c>
      <c r="L381" s="82">
        <f>IF(OR(Scale!$AD102="",Scale!$AD102=0),"",Scale!$AE102)</f>
        <v/>
      </c>
      <c r="M381" s="82">
        <f>IF(OR(Scale!$AD102="",Scale!$AD102=0),"",Scale!$AF102)</f>
        <v/>
      </c>
      <c r="N381" s="81">
        <f>IF(OR(Scale!$AD102="",Scale!$AD102=0),"","مقابل پوز")</f>
        <v/>
      </c>
      <c r="O381" s="81">
        <f>IF(OR(Scale!$AD102="",Scale!$AD102=0),"",IFERROR(VLOOKUP(Scale!$AD102,AcctTbl,3,0),""))</f>
        <v/>
      </c>
      <c r="P381" s="82">
        <f>IF(Scale!$AD102&lt;&gt;"X011","","BN02")</f>
        <v/>
      </c>
    </row>
    <row r="382" ht="20.25" customHeight="1">
      <c r="A382" s="80">
        <f>IF(OR(Scale!$U103="",Scale!$U103=0),"",Scale!$B103)</f>
        <v/>
      </c>
      <c r="B382" s="80">
        <f>IF(OR(Scale!$U103="",Scale!$U103=0),"",Scale!$D103)</f>
        <v/>
      </c>
      <c r="C382" s="80">
        <f>IF(OR(Scale!$U103="",Scale!$U103=0),"","باسکول")</f>
        <v/>
      </c>
      <c r="D382" s="80">
        <f>IF(OR(Scale!$U103="",Scale!$U103=0),"",Scale!$U103)</f>
        <v/>
      </c>
      <c r="E382" s="81">
        <f>IF(OR(Scale!$U103="",Scale!$U103=0),"",Scale!$T103)</f>
        <v/>
      </c>
      <c r="F382" s="81">
        <f>IF(OR(Scale!$U103="",Scale!$U103=0),"",Scale!$J103)</f>
        <v/>
      </c>
      <c r="G382" s="82">
        <f>IF(OR(Scale!$U103="",Scale!$U103=0),"",Scale!$M103)</f>
        <v/>
      </c>
      <c r="H382" s="82">
        <f>IF(OR(Scale!$U103="",Scale!$U103=0),"",Scale!$L103)</f>
        <v/>
      </c>
      <c r="I382" s="82">
        <f>IF(OR(Scale!$U103="",Scale!$U103=0),"",Scale!$N103)</f>
        <v/>
      </c>
      <c r="J382" s="82">
        <f>IF(OR(Scale!$U103="",Scale!$U103=0),"",Scale!$O103)</f>
        <v/>
      </c>
      <c r="K382" s="82">
        <f>IF(OR(Scale!$U103="",Scale!$U103=0),"",IF(Scale!$V103="",0,Scale!$V103)+IF(Scale!$W103="",0,Scale!$W103))</f>
        <v/>
      </c>
      <c r="L382" s="82">
        <f>IF(OR(Scale!$U103="",Scale!$U103=0),"",Scale!$V103)</f>
        <v/>
      </c>
      <c r="M382" s="82">
        <f>IF(OR(Scale!$U103="",Scale!$U103=0),"",Scale!$W103)</f>
        <v/>
      </c>
      <c r="N382" s="81">
        <f>IF(OR(Scale!$U103="",Scale!$U103=0),"",Scale!$E103)</f>
        <v/>
      </c>
      <c r="O382" s="81">
        <f>IF(OR(Scale!$U103="",Scale!$U103=0),"",IFERROR(VLOOKUP(Scale!$U103,AcctTbl,3,0),""))</f>
        <v/>
      </c>
      <c r="P382" s="82">
        <f>IF(Scale!$U103&lt;&gt;"X011","","BN02")</f>
        <v/>
      </c>
    </row>
    <row r="383" ht="20.25" customHeight="1">
      <c r="A383" s="80">
        <f>IF(OR(Scale!$X103="",Scale!$X103=0),"",Scale!$B103)</f>
        <v/>
      </c>
      <c r="B383" s="80">
        <f>IF(OR(Scale!$X103="",Scale!$X103=0),"",Scale!$D103)</f>
        <v/>
      </c>
      <c r="C383" s="80">
        <f>IF(OR(Scale!$X103="",Scale!$X103=0),"","باسکول")</f>
        <v/>
      </c>
      <c r="D383" s="80">
        <f>IF(OR(Scale!$X103="",Scale!$X103=0),"",Scale!$X103)</f>
        <v/>
      </c>
      <c r="E383" s="81">
        <f>IF(OR(Scale!$X103="",Scale!$X103=0),"",IF(Scale!$X103="","","مقابل: "&amp;Scale!$E103))</f>
        <v/>
      </c>
      <c r="F383" s="83" t="n"/>
      <c r="G383" s="83" t="n"/>
      <c r="H383" s="83" t="n"/>
      <c r="I383" s="83" t="n"/>
      <c r="J383" s="83" t="n"/>
      <c r="K383" s="82">
        <f>IF(OR(Scale!$X103="",Scale!$X103=0),"",IF(Scale!$Y103="",0,Scale!$Y103)+IF(Scale!$Z103="",0,Scale!$Z103))</f>
        <v/>
      </c>
      <c r="L383" s="82">
        <f>IF(OR(Scale!$X103="",Scale!$X103=0),"",Scale!$Y103)</f>
        <v/>
      </c>
      <c r="M383" s="82">
        <f>IF(OR(Scale!$X103="",Scale!$X103=0),"",Scale!$Z103)</f>
        <v/>
      </c>
      <c r="N383" s="81">
        <f>IF(OR(Scale!$X103="",Scale!$X103=0),"","مقابل")</f>
        <v/>
      </c>
      <c r="O383" s="81">
        <f>IF(OR(Scale!$X103="",Scale!$X103=0),"",IFERROR(VLOOKUP(Scale!$X103,AcctTbl,3,0),""))</f>
        <v/>
      </c>
      <c r="P383" s="82">
        <f>IF(Scale!$X103&lt;&gt;"X011","","BN02")</f>
        <v/>
      </c>
    </row>
    <row r="384" ht="20.25" customHeight="1">
      <c r="A384" s="80">
        <f>IF(OR(Scale!$AA103="",Scale!$AA103=0),"",Scale!$B103)</f>
        <v/>
      </c>
      <c r="B384" s="80">
        <f>IF(OR(Scale!$AA103="",Scale!$AA103=0),"",Scale!$D103)</f>
        <v/>
      </c>
      <c r="C384" s="80">
        <f>IF(OR(Scale!$AA103="",Scale!$AA103=0),"","باسکول")</f>
        <v/>
      </c>
      <c r="D384" s="80">
        <f>IF(OR(Scale!$AA103="",Scale!$AA103=0),"",Scale!$AA103)</f>
        <v/>
      </c>
      <c r="E384" s="81">
        <f>IF(OR(Scale!$AA103="",Scale!$AA103=0),"",IF(Scale!$AA103="","","پوز باسکول — "&amp;Scale!$E103))</f>
        <v/>
      </c>
      <c r="F384" s="83" t="n"/>
      <c r="G384" s="83" t="n"/>
      <c r="H384" s="83" t="n"/>
      <c r="I384" s="83" t="n"/>
      <c r="J384" s="83" t="n"/>
      <c r="K384" s="82">
        <f>IF(OR(Scale!$AA103="",Scale!$AA103=0),"",IF(Scale!$AB103="",0,Scale!$AB103)+IF(Scale!$AC103="",0,Scale!$AC103))</f>
        <v/>
      </c>
      <c r="L384" s="82">
        <f>IF(OR(Scale!$AA103="",Scale!$AA103=0),"",Scale!$AB103)</f>
        <v/>
      </c>
      <c r="M384" s="82">
        <f>IF(OR(Scale!$AA103="",Scale!$AA103=0),"",Scale!$AC103)</f>
        <v/>
      </c>
      <c r="N384" s="81">
        <f>IF(OR(Scale!$AA103="",Scale!$AA103=0),"","پوز")</f>
        <v/>
      </c>
      <c r="O384" s="81">
        <f>IF(OR(Scale!$AA103="",Scale!$AA103=0),"",IFERROR(VLOOKUP(Scale!$AA103,AcctTbl,3,0),""))</f>
        <v/>
      </c>
      <c r="P384" s="82">
        <f>IF(Scale!$AA103&lt;&gt;"X011","","BN02")</f>
        <v/>
      </c>
    </row>
    <row r="385" ht="20.25" customHeight="1">
      <c r="A385" s="80">
        <f>IF(OR(Scale!$AD103="",Scale!$AD103=0),"",Scale!$B103)</f>
        <v/>
      </c>
      <c r="B385" s="80">
        <f>IF(OR(Scale!$AD103="",Scale!$AD103=0),"",Scale!$D103)</f>
        <v/>
      </c>
      <c r="C385" s="80">
        <f>IF(OR(Scale!$AD103="",Scale!$AD103=0),"","باسکول")</f>
        <v/>
      </c>
      <c r="D385" s="80">
        <f>IF(OR(Scale!$AD103="",Scale!$AD103=0),"",Scale!$AD103)</f>
        <v/>
      </c>
      <c r="E385" s="81">
        <f>IF(OR(Scale!$AD103="",Scale!$AD103=0),"",IF(Scale!$AD103="","","مقابل پوز — "&amp;Scale!$E103))</f>
        <v/>
      </c>
      <c r="F385" s="83" t="n"/>
      <c r="G385" s="83" t="n"/>
      <c r="H385" s="83" t="n"/>
      <c r="I385" s="83" t="n"/>
      <c r="J385" s="83" t="n"/>
      <c r="K385" s="82">
        <f>IF(OR(Scale!$AD103="",Scale!$AD103=0),"",IF(Scale!$AE103="",0,Scale!$AE103)+IF(Scale!$AF103="",0,Scale!$AF103))</f>
        <v/>
      </c>
      <c r="L385" s="82">
        <f>IF(OR(Scale!$AD103="",Scale!$AD103=0),"",Scale!$AE103)</f>
        <v/>
      </c>
      <c r="M385" s="82">
        <f>IF(OR(Scale!$AD103="",Scale!$AD103=0),"",Scale!$AF103)</f>
        <v/>
      </c>
      <c r="N385" s="81">
        <f>IF(OR(Scale!$AD103="",Scale!$AD103=0),"","مقابل پوز")</f>
        <v/>
      </c>
      <c r="O385" s="81">
        <f>IF(OR(Scale!$AD103="",Scale!$AD103=0),"",IFERROR(VLOOKUP(Scale!$AD103,AcctTbl,3,0),""))</f>
        <v/>
      </c>
      <c r="P385" s="82">
        <f>IF(Scale!$AD103&lt;&gt;"X011","","BN02")</f>
        <v/>
      </c>
    </row>
    <row r="386" ht="20.25" customHeight="1">
      <c r="A386" s="80">
        <f>IF(OR(Scale!$U104="",Scale!$U104=0),"",Scale!$B104)</f>
        <v/>
      </c>
      <c r="B386" s="80">
        <f>IF(OR(Scale!$U104="",Scale!$U104=0),"",Scale!$D104)</f>
        <v/>
      </c>
      <c r="C386" s="80">
        <f>IF(OR(Scale!$U104="",Scale!$U104=0),"","باسکول")</f>
        <v/>
      </c>
      <c r="D386" s="80">
        <f>IF(OR(Scale!$U104="",Scale!$U104=0),"",Scale!$U104)</f>
        <v/>
      </c>
      <c r="E386" s="81">
        <f>IF(OR(Scale!$U104="",Scale!$U104=0),"",Scale!$T104)</f>
        <v/>
      </c>
      <c r="F386" s="81">
        <f>IF(OR(Scale!$U104="",Scale!$U104=0),"",Scale!$J104)</f>
        <v/>
      </c>
      <c r="G386" s="82">
        <f>IF(OR(Scale!$U104="",Scale!$U104=0),"",Scale!$M104)</f>
        <v/>
      </c>
      <c r="H386" s="82">
        <f>IF(OR(Scale!$U104="",Scale!$U104=0),"",Scale!$L104)</f>
        <v/>
      </c>
      <c r="I386" s="82">
        <f>IF(OR(Scale!$U104="",Scale!$U104=0),"",Scale!$N104)</f>
        <v/>
      </c>
      <c r="J386" s="82">
        <f>IF(OR(Scale!$U104="",Scale!$U104=0),"",Scale!$O104)</f>
        <v/>
      </c>
      <c r="K386" s="82">
        <f>IF(OR(Scale!$U104="",Scale!$U104=0),"",IF(Scale!$V104="",0,Scale!$V104)+IF(Scale!$W104="",0,Scale!$W104))</f>
        <v/>
      </c>
      <c r="L386" s="82">
        <f>IF(OR(Scale!$U104="",Scale!$U104=0),"",Scale!$V104)</f>
        <v/>
      </c>
      <c r="M386" s="82">
        <f>IF(OR(Scale!$U104="",Scale!$U104=0),"",Scale!$W104)</f>
        <v/>
      </c>
      <c r="N386" s="81">
        <f>IF(OR(Scale!$U104="",Scale!$U104=0),"",Scale!$E104)</f>
        <v/>
      </c>
      <c r="O386" s="81">
        <f>IF(OR(Scale!$U104="",Scale!$U104=0),"",IFERROR(VLOOKUP(Scale!$U104,AcctTbl,3,0),""))</f>
        <v/>
      </c>
      <c r="P386" s="82">
        <f>IF(Scale!$U104&lt;&gt;"X011","","BN02")</f>
        <v/>
      </c>
    </row>
    <row r="387" ht="20.25" customHeight="1">
      <c r="A387" s="80">
        <f>IF(OR(Scale!$X104="",Scale!$X104=0),"",Scale!$B104)</f>
        <v/>
      </c>
      <c r="B387" s="80">
        <f>IF(OR(Scale!$X104="",Scale!$X104=0),"",Scale!$D104)</f>
        <v/>
      </c>
      <c r="C387" s="80">
        <f>IF(OR(Scale!$X104="",Scale!$X104=0),"","باسکول")</f>
        <v/>
      </c>
      <c r="D387" s="80">
        <f>IF(OR(Scale!$X104="",Scale!$X104=0),"",Scale!$X104)</f>
        <v/>
      </c>
      <c r="E387" s="81">
        <f>IF(OR(Scale!$X104="",Scale!$X104=0),"",IF(Scale!$X104="","","مقابل: "&amp;Scale!$E104))</f>
        <v/>
      </c>
      <c r="F387" s="83" t="n"/>
      <c r="G387" s="83" t="n"/>
      <c r="H387" s="83" t="n"/>
      <c r="I387" s="83" t="n"/>
      <c r="J387" s="83" t="n"/>
      <c r="K387" s="82">
        <f>IF(OR(Scale!$X104="",Scale!$X104=0),"",IF(Scale!$Y104="",0,Scale!$Y104)+IF(Scale!$Z104="",0,Scale!$Z104))</f>
        <v/>
      </c>
      <c r="L387" s="82">
        <f>IF(OR(Scale!$X104="",Scale!$X104=0),"",Scale!$Y104)</f>
        <v/>
      </c>
      <c r="M387" s="82">
        <f>IF(OR(Scale!$X104="",Scale!$X104=0),"",Scale!$Z104)</f>
        <v/>
      </c>
      <c r="N387" s="81">
        <f>IF(OR(Scale!$X104="",Scale!$X104=0),"","مقابل")</f>
        <v/>
      </c>
      <c r="O387" s="81">
        <f>IF(OR(Scale!$X104="",Scale!$X104=0),"",IFERROR(VLOOKUP(Scale!$X104,AcctTbl,3,0),""))</f>
        <v/>
      </c>
      <c r="P387" s="82">
        <f>IF(Scale!$X104&lt;&gt;"X011","","BN02")</f>
        <v/>
      </c>
    </row>
    <row r="388" ht="20.25" customHeight="1">
      <c r="A388" s="80">
        <f>IF(OR(Scale!$AA104="",Scale!$AA104=0),"",Scale!$B104)</f>
        <v/>
      </c>
      <c r="B388" s="80">
        <f>IF(OR(Scale!$AA104="",Scale!$AA104=0),"",Scale!$D104)</f>
        <v/>
      </c>
      <c r="C388" s="80">
        <f>IF(OR(Scale!$AA104="",Scale!$AA104=0),"","باسکول")</f>
        <v/>
      </c>
      <c r="D388" s="80">
        <f>IF(OR(Scale!$AA104="",Scale!$AA104=0),"",Scale!$AA104)</f>
        <v/>
      </c>
      <c r="E388" s="81">
        <f>IF(OR(Scale!$AA104="",Scale!$AA104=0),"",IF(Scale!$AA104="","","پوز باسکول — "&amp;Scale!$E104))</f>
        <v/>
      </c>
      <c r="F388" s="83" t="n"/>
      <c r="G388" s="83" t="n"/>
      <c r="H388" s="83" t="n"/>
      <c r="I388" s="83" t="n"/>
      <c r="J388" s="83" t="n"/>
      <c r="K388" s="82">
        <f>IF(OR(Scale!$AA104="",Scale!$AA104=0),"",IF(Scale!$AB104="",0,Scale!$AB104)+IF(Scale!$AC104="",0,Scale!$AC104))</f>
        <v/>
      </c>
      <c r="L388" s="82">
        <f>IF(OR(Scale!$AA104="",Scale!$AA104=0),"",Scale!$AB104)</f>
        <v/>
      </c>
      <c r="M388" s="82">
        <f>IF(OR(Scale!$AA104="",Scale!$AA104=0),"",Scale!$AC104)</f>
        <v/>
      </c>
      <c r="N388" s="81">
        <f>IF(OR(Scale!$AA104="",Scale!$AA104=0),"","پوز")</f>
        <v/>
      </c>
      <c r="O388" s="81">
        <f>IF(OR(Scale!$AA104="",Scale!$AA104=0),"",IFERROR(VLOOKUP(Scale!$AA104,AcctTbl,3,0),""))</f>
        <v/>
      </c>
      <c r="P388" s="82">
        <f>IF(Scale!$AA104&lt;&gt;"X011","","BN02")</f>
        <v/>
      </c>
    </row>
    <row r="389" ht="20.25" customHeight="1">
      <c r="A389" s="80">
        <f>IF(OR(Scale!$AD104="",Scale!$AD104=0),"",Scale!$B104)</f>
        <v/>
      </c>
      <c r="B389" s="80">
        <f>IF(OR(Scale!$AD104="",Scale!$AD104=0),"",Scale!$D104)</f>
        <v/>
      </c>
      <c r="C389" s="80">
        <f>IF(OR(Scale!$AD104="",Scale!$AD104=0),"","باسکول")</f>
        <v/>
      </c>
      <c r="D389" s="80">
        <f>IF(OR(Scale!$AD104="",Scale!$AD104=0),"",Scale!$AD104)</f>
        <v/>
      </c>
      <c r="E389" s="81">
        <f>IF(OR(Scale!$AD104="",Scale!$AD104=0),"",IF(Scale!$AD104="","","مقابل پوز — "&amp;Scale!$E104))</f>
        <v/>
      </c>
      <c r="F389" s="83" t="n"/>
      <c r="G389" s="83" t="n"/>
      <c r="H389" s="83" t="n"/>
      <c r="I389" s="83" t="n"/>
      <c r="J389" s="83" t="n"/>
      <c r="K389" s="82">
        <f>IF(OR(Scale!$AD104="",Scale!$AD104=0),"",IF(Scale!$AE104="",0,Scale!$AE104)+IF(Scale!$AF104="",0,Scale!$AF104))</f>
        <v/>
      </c>
      <c r="L389" s="82">
        <f>IF(OR(Scale!$AD104="",Scale!$AD104=0),"",Scale!$AE104)</f>
        <v/>
      </c>
      <c r="M389" s="82">
        <f>IF(OR(Scale!$AD104="",Scale!$AD104=0),"",Scale!$AF104)</f>
        <v/>
      </c>
      <c r="N389" s="81">
        <f>IF(OR(Scale!$AD104="",Scale!$AD104=0),"","مقابل پوز")</f>
        <v/>
      </c>
      <c r="O389" s="81">
        <f>IF(OR(Scale!$AD104="",Scale!$AD104=0),"",IFERROR(VLOOKUP(Scale!$AD104,AcctTbl,3,0),""))</f>
        <v/>
      </c>
      <c r="P389" s="82">
        <f>IF(Scale!$AD104&lt;&gt;"X011","","BN02")</f>
        <v/>
      </c>
    </row>
    <row r="390" ht="20.25" customHeight="1">
      <c r="A390" s="80">
        <f>IF(OR(Scale!$U105="",Scale!$U105=0),"",Scale!$B105)</f>
        <v/>
      </c>
      <c r="B390" s="80">
        <f>IF(OR(Scale!$U105="",Scale!$U105=0),"",Scale!$D105)</f>
        <v/>
      </c>
      <c r="C390" s="80">
        <f>IF(OR(Scale!$U105="",Scale!$U105=0),"","باسکول")</f>
        <v/>
      </c>
      <c r="D390" s="80">
        <f>IF(OR(Scale!$U105="",Scale!$U105=0),"",Scale!$U105)</f>
        <v/>
      </c>
      <c r="E390" s="81">
        <f>IF(OR(Scale!$U105="",Scale!$U105=0),"",Scale!$T105)</f>
        <v/>
      </c>
      <c r="F390" s="81">
        <f>IF(OR(Scale!$U105="",Scale!$U105=0),"",Scale!$J105)</f>
        <v/>
      </c>
      <c r="G390" s="82">
        <f>IF(OR(Scale!$U105="",Scale!$U105=0),"",Scale!$M105)</f>
        <v/>
      </c>
      <c r="H390" s="82">
        <f>IF(OR(Scale!$U105="",Scale!$U105=0),"",Scale!$L105)</f>
        <v/>
      </c>
      <c r="I390" s="82">
        <f>IF(OR(Scale!$U105="",Scale!$U105=0),"",Scale!$N105)</f>
        <v/>
      </c>
      <c r="J390" s="82">
        <f>IF(OR(Scale!$U105="",Scale!$U105=0),"",Scale!$O105)</f>
        <v/>
      </c>
      <c r="K390" s="82">
        <f>IF(OR(Scale!$U105="",Scale!$U105=0),"",IF(Scale!$V105="",0,Scale!$V105)+IF(Scale!$W105="",0,Scale!$W105))</f>
        <v/>
      </c>
      <c r="L390" s="82">
        <f>IF(OR(Scale!$U105="",Scale!$U105=0),"",Scale!$V105)</f>
        <v/>
      </c>
      <c r="M390" s="82">
        <f>IF(OR(Scale!$U105="",Scale!$U105=0),"",Scale!$W105)</f>
        <v/>
      </c>
      <c r="N390" s="81">
        <f>IF(OR(Scale!$U105="",Scale!$U105=0),"",Scale!$E105)</f>
        <v/>
      </c>
      <c r="O390" s="81">
        <f>IF(OR(Scale!$U105="",Scale!$U105=0),"",IFERROR(VLOOKUP(Scale!$U105,AcctTbl,3,0),""))</f>
        <v/>
      </c>
      <c r="P390" s="82">
        <f>IF(Scale!$U105&lt;&gt;"X011","","BN02")</f>
        <v/>
      </c>
    </row>
    <row r="391" ht="20.25" customHeight="1">
      <c r="A391" s="80">
        <f>IF(OR(Scale!$X105="",Scale!$X105=0),"",Scale!$B105)</f>
        <v/>
      </c>
      <c r="B391" s="80">
        <f>IF(OR(Scale!$X105="",Scale!$X105=0),"",Scale!$D105)</f>
        <v/>
      </c>
      <c r="C391" s="80">
        <f>IF(OR(Scale!$X105="",Scale!$X105=0),"","باسکول")</f>
        <v/>
      </c>
      <c r="D391" s="80">
        <f>IF(OR(Scale!$X105="",Scale!$X105=0),"",Scale!$X105)</f>
        <v/>
      </c>
      <c r="E391" s="81">
        <f>IF(OR(Scale!$X105="",Scale!$X105=0),"",IF(Scale!$X105="","","مقابل: "&amp;Scale!$E105))</f>
        <v/>
      </c>
      <c r="F391" s="83" t="n"/>
      <c r="G391" s="83" t="n"/>
      <c r="H391" s="83" t="n"/>
      <c r="I391" s="83" t="n"/>
      <c r="J391" s="83" t="n"/>
      <c r="K391" s="82">
        <f>IF(OR(Scale!$X105="",Scale!$X105=0),"",IF(Scale!$Y105="",0,Scale!$Y105)+IF(Scale!$Z105="",0,Scale!$Z105))</f>
        <v/>
      </c>
      <c r="L391" s="82">
        <f>IF(OR(Scale!$X105="",Scale!$X105=0),"",Scale!$Y105)</f>
        <v/>
      </c>
      <c r="M391" s="82">
        <f>IF(OR(Scale!$X105="",Scale!$X105=0),"",Scale!$Z105)</f>
        <v/>
      </c>
      <c r="N391" s="81">
        <f>IF(OR(Scale!$X105="",Scale!$X105=0),"","مقابل")</f>
        <v/>
      </c>
      <c r="O391" s="81">
        <f>IF(OR(Scale!$X105="",Scale!$X105=0),"",IFERROR(VLOOKUP(Scale!$X105,AcctTbl,3,0),""))</f>
        <v/>
      </c>
      <c r="P391" s="82">
        <f>IF(Scale!$X105&lt;&gt;"X011","","BN02")</f>
        <v/>
      </c>
    </row>
    <row r="392" ht="20.25" customHeight="1">
      <c r="A392" s="80">
        <f>IF(OR(Scale!$AA105="",Scale!$AA105=0),"",Scale!$B105)</f>
        <v/>
      </c>
      <c r="B392" s="80">
        <f>IF(OR(Scale!$AA105="",Scale!$AA105=0),"",Scale!$D105)</f>
        <v/>
      </c>
      <c r="C392" s="80">
        <f>IF(OR(Scale!$AA105="",Scale!$AA105=0),"","باسکول")</f>
        <v/>
      </c>
      <c r="D392" s="80">
        <f>IF(OR(Scale!$AA105="",Scale!$AA105=0),"",Scale!$AA105)</f>
        <v/>
      </c>
      <c r="E392" s="81">
        <f>IF(OR(Scale!$AA105="",Scale!$AA105=0),"",IF(Scale!$AA105="","","پوز باسکول — "&amp;Scale!$E105))</f>
        <v/>
      </c>
      <c r="F392" s="83" t="n"/>
      <c r="G392" s="83" t="n"/>
      <c r="H392" s="83" t="n"/>
      <c r="I392" s="83" t="n"/>
      <c r="J392" s="83" t="n"/>
      <c r="K392" s="82">
        <f>IF(OR(Scale!$AA105="",Scale!$AA105=0),"",IF(Scale!$AB105="",0,Scale!$AB105)+IF(Scale!$AC105="",0,Scale!$AC105))</f>
        <v/>
      </c>
      <c r="L392" s="82">
        <f>IF(OR(Scale!$AA105="",Scale!$AA105=0),"",Scale!$AB105)</f>
        <v/>
      </c>
      <c r="M392" s="82">
        <f>IF(OR(Scale!$AA105="",Scale!$AA105=0),"",Scale!$AC105)</f>
        <v/>
      </c>
      <c r="N392" s="81">
        <f>IF(OR(Scale!$AA105="",Scale!$AA105=0),"","پوز")</f>
        <v/>
      </c>
      <c r="O392" s="81">
        <f>IF(OR(Scale!$AA105="",Scale!$AA105=0),"",IFERROR(VLOOKUP(Scale!$AA105,AcctTbl,3,0),""))</f>
        <v/>
      </c>
      <c r="P392" s="82">
        <f>IF(Scale!$AA105&lt;&gt;"X011","","BN02")</f>
        <v/>
      </c>
    </row>
    <row r="393" ht="20.25" customHeight="1">
      <c r="A393" s="80">
        <f>IF(OR(Scale!$AD105="",Scale!$AD105=0),"",Scale!$B105)</f>
        <v/>
      </c>
      <c r="B393" s="80">
        <f>IF(OR(Scale!$AD105="",Scale!$AD105=0),"",Scale!$D105)</f>
        <v/>
      </c>
      <c r="C393" s="80">
        <f>IF(OR(Scale!$AD105="",Scale!$AD105=0),"","باسکول")</f>
        <v/>
      </c>
      <c r="D393" s="80">
        <f>IF(OR(Scale!$AD105="",Scale!$AD105=0),"",Scale!$AD105)</f>
        <v/>
      </c>
      <c r="E393" s="81">
        <f>IF(OR(Scale!$AD105="",Scale!$AD105=0),"",IF(Scale!$AD105="","","مقابل پوز — "&amp;Scale!$E105))</f>
        <v/>
      </c>
      <c r="F393" s="83" t="n"/>
      <c r="G393" s="83" t="n"/>
      <c r="H393" s="83" t="n"/>
      <c r="I393" s="83" t="n"/>
      <c r="J393" s="83" t="n"/>
      <c r="K393" s="82">
        <f>IF(OR(Scale!$AD105="",Scale!$AD105=0),"",IF(Scale!$AE105="",0,Scale!$AE105)+IF(Scale!$AF105="",0,Scale!$AF105))</f>
        <v/>
      </c>
      <c r="L393" s="82">
        <f>IF(OR(Scale!$AD105="",Scale!$AD105=0),"",Scale!$AE105)</f>
        <v/>
      </c>
      <c r="M393" s="82">
        <f>IF(OR(Scale!$AD105="",Scale!$AD105=0),"",Scale!$AF105)</f>
        <v/>
      </c>
      <c r="N393" s="81">
        <f>IF(OR(Scale!$AD105="",Scale!$AD105=0),"","مقابل پوز")</f>
        <v/>
      </c>
      <c r="O393" s="81">
        <f>IF(OR(Scale!$AD105="",Scale!$AD105=0),"",IFERROR(VLOOKUP(Scale!$AD105,AcctTbl,3,0),""))</f>
        <v/>
      </c>
      <c r="P393" s="82">
        <f>IF(Scale!$AD105&lt;&gt;"X011","","BN02")</f>
        <v/>
      </c>
    </row>
    <row r="394" ht="20.25" customHeight="1">
      <c r="A394" s="80">
        <f>IF(OR(Scale!$U106="",Scale!$U106=0),"",Scale!$B106)</f>
        <v/>
      </c>
      <c r="B394" s="80">
        <f>IF(OR(Scale!$U106="",Scale!$U106=0),"",Scale!$D106)</f>
        <v/>
      </c>
      <c r="C394" s="80">
        <f>IF(OR(Scale!$U106="",Scale!$U106=0),"","باسکول")</f>
        <v/>
      </c>
      <c r="D394" s="80">
        <f>IF(OR(Scale!$U106="",Scale!$U106=0),"",Scale!$U106)</f>
        <v/>
      </c>
      <c r="E394" s="81">
        <f>IF(OR(Scale!$U106="",Scale!$U106=0),"",Scale!$T106)</f>
        <v/>
      </c>
      <c r="F394" s="81">
        <f>IF(OR(Scale!$U106="",Scale!$U106=0),"",Scale!$J106)</f>
        <v/>
      </c>
      <c r="G394" s="82">
        <f>IF(OR(Scale!$U106="",Scale!$U106=0),"",Scale!$M106)</f>
        <v/>
      </c>
      <c r="H394" s="82">
        <f>IF(OR(Scale!$U106="",Scale!$U106=0),"",Scale!$L106)</f>
        <v/>
      </c>
      <c r="I394" s="82">
        <f>IF(OR(Scale!$U106="",Scale!$U106=0),"",Scale!$N106)</f>
        <v/>
      </c>
      <c r="J394" s="82">
        <f>IF(OR(Scale!$U106="",Scale!$U106=0),"",Scale!$O106)</f>
        <v/>
      </c>
      <c r="K394" s="82">
        <f>IF(OR(Scale!$U106="",Scale!$U106=0),"",IF(Scale!$V106="",0,Scale!$V106)+IF(Scale!$W106="",0,Scale!$W106))</f>
        <v/>
      </c>
      <c r="L394" s="82">
        <f>IF(OR(Scale!$U106="",Scale!$U106=0),"",Scale!$V106)</f>
        <v/>
      </c>
      <c r="M394" s="82">
        <f>IF(OR(Scale!$U106="",Scale!$U106=0),"",Scale!$W106)</f>
        <v/>
      </c>
      <c r="N394" s="81">
        <f>IF(OR(Scale!$U106="",Scale!$U106=0),"",Scale!$E106)</f>
        <v/>
      </c>
      <c r="O394" s="81">
        <f>IF(OR(Scale!$U106="",Scale!$U106=0),"",IFERROR(VLOOKUP(Scale!$U106,AcctTbl,3,0),""))</f>
        <v/>
      </c>
      <c r="P394" s="82">
        <f>IF(Scale!$U106&lt;&gt;"X011","","BN02")</f>
        <v/>
      </c>
    </row>
    <row r="395" ht="20.25" customHeight="1">
      <c r="A395" s="80">
        <f>IF(OR(Scale!$X106="",Scale!$X106=0),"",Scale!$B106)</f>
        <v/>
      </c>
      <c r="B395" s="80">
        <f>IF(OR(Scale!$X106="",Scale!$X106=0),"",Scale!$D106)</f>
        <v/>
      </c>
      <c r="C395" s="80">
        <f>IF(OR(Scale!$X106="",Scale!$X106=0),"","باسکول")</f>
        <v/>
      </c>
      <c r="D395" s="80">
        <f>IF(OR(Scale!$X106="",Scale!$X106=0),"",Scale!$X106)</f>
        <v/>
      </c>
      <c r="E395" s="81">
        <f>IF(OR(Scale!$X106="",Scale!$X106=0),"",IF(Scale!$X106="","","مقابل: "&amp;Scale!$E106))</f>
        <v/>
      </c>
      <c r="F395" s="83" t="n"/>
      <c r="G395" s="83" t="n"/>
      <c r="H395" s="83" t="n"/>
      <c r="I395" s="83" t="n"/>
      <c r="J395" s="83" t="n"/>
      <c r="K395" s="82">
        <f>IF(OR(Scale!$X106="",Scale!$X106=0),"",IF(Scale!$Y106="",0,Scale!$Y106)+IF(Scale!$Z106="",0,Scale!$Z106))</f>
        <v/>
      </c>
      <c r="L395" s="82">
        <f>IF(OR(Scale!$X106="",Scale!$X106=0),"",Scale!$Y106)</f>
        <v/>
      </c>
      <c r="M395" s="82">
        <f>IF(OR(Scale!$X106="",Scale!$X106=0),"",Scale!$Z106)</f>
        <v/>
      </c>
      <c r="N395" s="81">
        <f>IF(OR(Scale!$X106="",Scale!$X106=0),"","مقابل")</f>
        <v/>
      </c>
      <c r="O395" s="81">
        <f>IF(OR(Scale!$X106="",Scale!$X106=0),"",IFERROR(VLOOKUP(Scale!$X106,AcctTbl,3,0),""))</f>
        <v/>
      </c>
      <c r="P395" s="82">
        <f>IF(Scale!$X106&lt;&gt;"X011","","BN02")</f>
        <v/>
      </c>
    </row>
    <row r="396" ht="20.25" customHeight="1">
      <c r="A396" s="80">
        <f>IF(OR(Scale!$AA106="",Scale!$AA106=0),"",Scale!$B106)</f>
        <v/>
      </c>
      <c r="B396" s="80">
        <f>IF(OR(Scale!$AA106="",Scale!$AA106=0),"",Scale!$D106)</f>
        <v/>
      </c>
      <c r="C396" s="80">
        <f>IF(OR(Scale!$AA106="",Scale!$AA106=0),"","باسکول")</f>
        <v/>
      </c>
      <c r="D396" s="80">
        <f>IF(OR(Scale!$AA106="",Scale!$AA106=0),"",Scale!$AA106)</f>
        <v/>
      </c>
      <c r="E396" s="81">
        <f>IF(OR(Scale!$AA106="",Scale!$AA106=0),"",IF(Scale!$AA106="","","پوز باسکول — "&amp;Scale!$E106))</f>
        <v/>
      </c>
      <c r="F396" s="83" t="n"/>
      <c r="G396" s="83" t="n"/>
      <c r="H396" s="83" t="n"/>
      <c r="I396" s="83" t="n"/>
      <c r="J396" s="83" t="n"/>
      <c r="K396" s="82">
        <f>IF(OR(Scale!$AA106="",Scale!$AA106=0),"",IF(Scale!$AB106="",0,Scale!$AB106)+IF(Scale!$AC106="",0,Scale!$AC106))</f>
        <v/>
      </c>
      <c r="L396" s="82">
        <f>IF(OR(Scale!$AA106="",Scale!$AA106=0),"",Scale!$AB106)</f>
        <v/>
      </c>
      <c r="M396" s="82">
        <f>IF(OR(Scale!$AA106="",Scale!$AA106=0),"",Scale!$AC106)</f>
        <v/>
      </c>
      <c r="N396" s="81">
        <f>IF(OR(Scale!$AA106="",Scale!$AA106=0),"","پوز")</f>
        <v/>
      </c>
      <c r="O396" s="81">
        <f>IF(OR(Scale!$AA106="",Scale!$AA106=0),"",IFERROR(VLOOKUP(Scale!$AA106,AcctTbl,3,0),""))</f>
        <v/>
      </c>
      <c r="P396" s="82">
        <f>IF(Scale!$AA106&lt;&gt;"X011","","BN02")</f>
        <v/>
      </c>
    </row>
    <row r="397" ht="20.25" customHeight="1">
      <c r="A397" s="80">
        <f>IF(OR(Scale!$AD106="",Scale!$AD106=0),"",Scale!$B106)</f>
        <v/>
      </c>
      <c r="B397" s="80">
        <f>IF(OR(Scale!$AD106="",Scale!$AD106=0),"",Scale!$D106)</f>
        <v/>
      </c>
      <c r="C397" s="80">
        <f>IF(OR(Scale!$AD106="",Scale!$AD106=0),"","باسکول")</f>
        <v/>
      </c>
      <c r="D397" s="80">
        <f>IF(OR(Scale!$AD106="",Scale!$AD106=0),"",Scale!$AD106)</f>
        <v/>
      </c>
      <c r="E397" s="81">
        <f>IF(OR(Scale!$AD106="",Scale!$AD106=0),"",IF(Scale!$AD106="","","مقابل پوز — "&amp;Scale!$E106))</f>
        <v/>
      </c>
      <c r="F397" s="83" t="n"/>
      <c r="G397" s="83" t="n"/>
      <c r="H397" s="83" t="n"/>
      <c r="I397" s="83" t="n"/>
      <c r="J397" s="83" t="n"/>
      <c r="K397" s="82">
        <f>IF(OR(Scale!$AD106="",Scale!$AD106=0),"",IF(Scale!$AE106="",0,Scale!$AE106)+IF(Scale!$AF106="",0,Scale!$AF106))</f>
        <v/>
      </c>
      <c r="L397" s="82">
        <f>IF(OR(Scale!$AD106="",Scale!$AD106=0),"",Scale!$AE106)</f>
        <v/>
      </c>
      <c r="M397" s="82">
        <f>IF(OR(Scale!$AD106="",Scale!$AD106=0),"",Scale!$AF106)</f>
        <v/>
      </c>
      <c r="N397" s="81">
        <f>IF(OR(Scale!$AD106="",Scale!$AD106=0),"","مقابل پوز")</f>
        <v/>
      </c>
      <c r="O397" s="81">
        <f>IF(OR(Scale!$AD106="",Scale!$AD106=0),"",IFERROR(VLOOKUP(Scale!$AD106,AcctTbl,3,0),""))</f>
        <v/>
      </c>
      <c r="P397" s="82">
        <f>IF(Scale!$AD106&lt;&gt;"X011","","BN02")</f>
        <v/>
      </c>
    </row>
    <row r="398" ht="20.25" customHeight="1">
      <c r="A398" s="80">
        <f>IF(OR(Scale!$U107="",Scale!$U107=0),"",Scale!$B107)</f>
        <v/>
      </c>
      <c r="B398" s="80">
        <f>IF(OR(Scale!$U107="",Scale!$U107=0),"",Scale!$D107)</f>
        <v/>
      </c>
      <c r="C398" s="80">
        <f>IF(OR(Scale!$U107="",Scale!$U107=0),"","باسکول")</f>
        <v/>
      </c>
      <c r="D398" s="80">
        <f>IF(OR(Scale!$U107="",Scale!$U107=0),"",Scale!$U107)</f>
        <v/>
      </c>
      <c r="E398" s="81">
        <f>IF(OR(Scale!$U107="",Scale!$U107=0),"",Scale!$T107)</f>
        <v/>
      </c>
      <c r="F398" s="81">
        <f>IF(OR(Scale!$U107="",Scale!$U107=0),"",Scale!$J107)</f>
        <v/>
      </c>
      <c r="G398" s="82">
        <f>IF(OR(Scale!$U107="",Scale!$U107=0),"",Scale!$M107)</f>
        <v/>
      </c>
      <c r="H398" s="82">
        <f>IF(OR(Scale!$U107="",Scale!$U107=0),"",Scale!$L107)</f>
        <v/>
      </c>
      <c r="I398" s="82">
        <f>IF(OR(Scale!$U107="",Scale!$U107=0),"",Scale!$N107)</f>
        <v/>
      </c>
      <c r="J398" s="82">
        <f>IF(OR(Scale!$U107="",Scale!$U107=0),"",Scale!$O107)</f>
        <v/>
      </c>
      <c r="K398" s="82">
        <f>IF(OR(Scale!$U107="",Scale!$U107=0),"",IF(Scale!$V107="",0,Scale!$V107)+IF(Scale!$W107="",0,Scale!$W107))</f>
        <v/>
      </c>
      <c r="L398" s="82">
        <f>IF(OR(Scale!$U107="",Scale!$U107=0),"",Scale!$V107)</f>
        <v/>
      </c>
      <c r="M398" s="82">
        <f>IF(OR(Scale!$U107="",Scale!$U107=0),"",Scale!$W107)</f>
        <v/>
      </c>
      <c r="N398" s="81">
        <f>IF(OR(Scale!$U107="",Scale!$U107=0),"",Scale!$E107)</f>
        <v/>
      </c>
      <c r="O398" s="81">
        <f>IF(OR(Scale!$U107="",Scale!$U107=0),"",IFERROR(VLOOKUP(Scale!$U107,AcctTbl,3,0),""))</f>
        <v/>
      </c>
      <c r="P398" s="82">
        <f>IF(Scale!$U107&lt;&gt;"X011","","BN02")</f>
        <v/>
      </c>
    </row>
    <row r="399" ht="20.25" customHeight="1">
      <c r="A399" s="80">
        <f>IF(OR(Scale!$X107="",Scale!$X107=0),"",Scale!$B107)</f>
        <v/>
      </c>
      <c r="B399" s="80">
        <f>IF(OR(Scale!$X107="",Scale!$X107=0),"",Scale!$D107)</f>
        <v/>
      </c>
      <c r="C399" s="80">
        <f>IF(OR(Scale!$X107="",Scale!$X107=0),"","باسکول")</f>
        <v/>
      </c>
      <c r="D399" s="80">
        <f>IF(OR(Scale!$X107="",Scale!$X107=0),"",Scale!$X107)</f>
        <v/>
      </c>
      <c r="E399" s="81">
        <f>IF(OR(Scale!$X107="",Scale!$X107=0),"",IF(Scale!$X107="","","مقابل: "&amp;Scale!$E107))</f>
        <v/>
      </c>
      <c r="F399" s="83" t="n"/>
      <c r="G399" s="83" t="n"/>
      <c r="H399" s="83" t="n"/>
      <c r="I399" s="83" t="n"/>
      <c r="J399" s="83" t="n"/>
      <c r="K399" s="82">
        <f>IF(OR(Scale!$X107="",Scale!$X107=0),"",IF(Scale!$Y107="",0,Scale!$Y107)+IF(Scale!$Z107="",0,Scale!$Z107))</f>
        <v/>
      </c>
      <c r="L399" s="82">
        <f>IF(OR(Scale!$X107="",Scale!$X107=0),"",Scale!$Y107)</f>
        <v/>
      </c>
      <c r="M399" s="82">
        <f>IF(OR(Scale!$X107="",Scale!$X107=0),"",Scale!$Z107)</f>
        <v/>
      </c>
      <c r="N399" s="81">
        <f>IF(OR(Scale!$X107="",Scale!$X107=0),"","مقابل")</f>
        <v/>
      </c>
      <c r="O399" s="81">
        <f>IF(OR(Scale!$X107="",Scale!$X107=0),"",IFERROR(VLOOKUP(Scale!$X107,AcctTbl,3,0),""))</f>
        <v/>
      </c>
      <c r="P399" s="82">
        <f>IF(Scale!$X107&lt;&gt;"X011","","BN02")</f>
        <v/>
      </c>
    </row>
    <row r="400" ht="20.25" customHeight="1">
      <c r="A400" s="80">
        <f>IF(OR(Scale!$AA107="",Scale!$AA107=0),"",Scale!$B107)</f>
        <v/>
      </c>
      <c r="B400" s="80">
        <f>IF(OR(Scale!$AA107="",Scale!$AA107=0),"",Scale!$D107)</f>
        <v/>
      </c>
      <c r="C400" s="80">
        <f>IF(OR(Scale!$AA107="",Scale!$AA107=0),"","باسکول")</f>
        <v/>
      </c>
      <c r="D400" s="80">
        <f>IF(OR(Scale!$AA107="",Scale!$AA107=0),"",Scale!$AA107)</f>
        <v/>
      </c>
      <c r="E400" s="81">
        <f>IF(OR(Scale!$AA107="",Scale!$AA107=0),"",IF(Scale!$AA107="","","پوز باسکول — "&amp;Scale!$E107))</f>
        <v/>
      </c>
      <c r="F400" s="83" t="n"/>
      <c r="G400" s="83" t="n"/>
      <c r="H400" s="83" t="n"/>
      <c r="I400" s="83" t="n"/>
      <c r="J400" s="83" t="n"/>
      <c r="K400" s="82">
        <f>IF(OR(Scale!$AA107="",Scale!$AA107=0),"",IF(Scale!$AB107="",0,Scale!$AB107)+IF(Scale!$AC107="",0,Scale!$AC107))</f>
        <v/>
      </c>
      <c r="L400" s="82">
        <f>IF(OR(Scale!$AA107="",Scale!$AA107=0),"",Scale!$AB107)</f>
        <v/>
      </c>
      <c r="M400" s="82">
        <f>IF(OR(Scale!$AA107="",Scale!$AA107=0),"",Scale!$AC107)</f>
        <v/>
      </c>
      <c r="N400" s="81">
        <f>IF(OR(Scale!$AA107="",Scale!$AA107=0),"","پوز")</f>
        <v/>
      </c>
      <c r="O400" s="81">
        <f>IF(OR(Scale!$AA107="",Scale!$AA107=0),"",IFERROR(VLOOKUP(Scale!$AA107,AcctTbl,3,0),""))</f>
        <v/>
      </c>
      <c r="P400" s="82">
        <f>IF(Scale!$AA107&lt;&gt;"X011","","BN02")</f>
        <v/>
      </c>
    </row>
    <row r="401" ht="20.25" customHeight="1">
      <c r="A401" s="80">
        <f>IF(OR(Scale!$AD107="",Scale!$AD107=0),"",Scale!$B107)</f>
        <v/>
      </c>
      <c r="B401" s="80">
        <f>IF(OR(Scale!$AD107="",Scale!$AD107=0),"",Scale!$D107)</f>
        <v/>
      </c>
      <c r="C401" s="80">
        <f>IF(OR(Scale!$AD107="",Scale!$AD107=0),"","باسکول")</f>
        <v/>
      </c>
      <c r="D401" s="80">
        <f>IF(OR(Scale!$AD107="",Scale!$AD107=0),"",Scale!$AD107)</f>
        <v/>
      </c>
      <c r="E401" s="81">
        <f>IF(OR(Scale!$AD107="",Scale!$AD107=0),"",IF(Scale!$AD107="","","مقابل پوز — "&amp;Scale!$E107))</f>
        <v/>
      </c>
      <c r="F401" s="83" t="n"/>
      <c r="G401" s="83" t="n"/>
      <c r="H401" s="83" t="n"/>
      <c r="I401" s="83" t="n"/>
      <c r="J401" s="83" t="n"/>
      <c r="K401" s="82">
        <f>IF(OR(Scale!$AD107="",Scale!$AD107=0),"",IF(Scale!$AE107="",0,Scale!$AE107)+IF(Scale!$AF107="",0,Scale!$AF107))</f>
        <v/>
      </c>
      <c r="L401" s="82">
        <f>IF(OR(Scale!$AD107="",Scale!$AD107=0),"",Scale!$AE107)</f>
        <v/>
      </c>
      <c r="M401" s="82">
        <f>IF(OR(Scale!$AD107="",Scale!$AD107=0),"",Scale!$AF107)</f>
        <v/>
      </c>
      <c r="N401" s="81">
        <f>IF(OR(Scale!$AD107="",Scale!$AD107=0),"","مقابل پوز")</f>
        <v/>
      </c>
      <c r="O401" s="81">
        <f>IF(OR(Scale!$AD107="",Scale!$AD107=0),"",IFERROR(VLOOKUP(Scale!$AD107,AcctTbl,3,0),""))</f>
        <v/>
      </c>
      <c r="P401" s="82">
        <f>IF(Scale!$AD107&lt;&gt;"X011","","BN02")</f>
        <v/>
      </c>
    </row>
    <row r="402" ht="20.25" customHeight="1">
      <c r="A402" s="80">
        <f>IF(OR(Scale!$U108="",Scale!$U108=0),"",Scale!$B108)</f>
        <v/>
      </c>
      <c r="B402" s="80">
        <f>IF(OR(Scale!$U108="",Scale!$U108=0),"",Scale!$D108)</f>
        <v/>
      </c>
      <c r="C402" s="80">
        <f>IF(OR(Scale!$U108="",Scale!$U108=0),"","باسکول")</f>
        <v/>
      </c>
      <c r="D402" s="80">
        <f>IF(OR(Scale!$U108="",Scale!$U108=0),"",Scale!$U108)</f>
        <v/>
      </c>
      <c r="E402" s="81">
        <f>IF(OR(Scale!$U108="",Scale!$U108=0),"",Scale!$T108)</f>
        <v/>
      </c>
      <c r="F402" s="81">
        <f>IF(OR(Scale!$U108="",Scale!$U108=0),"",Scale!$J108)</f>
        <v/>
      </c>
      <c r="G402" s="82">
        <f>IF(OR(Scale!$U108="",Scale!$U108=0),"",Scale!$M108)</f>
        <v/>
      </c>
      <c r="H402" s="82">
        <f>IF(OR(Scale!$U108="",Scale!$U108=0),"",Scale!$L108)</f>
        <v/>
      </c>
      <c r="I402" s="82">
        <f>IF(OR(Scale!$U108="",Scale!$U108=0),"",Scale!$N108)</f>
        <v/>
      </c>
      <c r="J402" s="82">
        <f>IF(OR(Scale!$U108="",Scale!$U108=0),"",Scale!$O108)</f>
        <v/>
      </c>
      <c r="K402" s="82">
        <f>IF(OR(Scale!$U108="",Scale!$U108=0),"",IF(Scale!$V108="",0,Scale!$V108)+IF(Scale!$W108="",0,Scale!$W108))</f>
        <v/>
      </c>
      <c r="L402" s="82">
        <f>IF(OR(Scale!$U108="",Scale!$U108=0),"",Scale!$V108)</f>
        <v/>
      </c>
      <c r="M402" s="82">
        <f>IF(OR(Scale!$U108="",Scale!$U108=0),"",Scale!$W108)</f>
        <v/>
      </c>
      <c r="N402" s="81">
        <f>IF(OR(Scale!$U108="",Scale!$U108=0),"",Scale!$E108)</f>
        <v/>
      </c>
      <c r="O402" s="81">
        <f>IF(OR(Scale!$U108="",Scale!$U108=0),"",IFERROR(VLOOKUP(Scale!$U108,AcctTbl,3,0),""))</f>
        <v/>
      </c>
      <c r="P402" s="82">
        <f>IF(Scale!$U108&lt;&gt;"X011","","BN02")</f>
        <v/>
      </c>
    </row>
    <row r="403" ht="20.25" customHeight="1">
      <c r="A403" s="80">
        <f>IF(OR(Scale!$X108="",Scale!$X108=0),"",Scale!$B108)</f>
        <v/>
      </c>
      <c r="B403" s="80">
        <f>IF(OR(Scale!$X108="",Scale!$X108=0),"",Scale!$D108)</f>
        <v/>
      </c>
      <c r="C403" s="80">
        <f>IF(OR(Scale!$X108="",Scale!$X108=0),"","باسکول")</f>
        <v/>
      </c>
      <c r="D403" s="80">
        <f>IF(OR(Scale!$X108="",Scale!$X108=0),"",Scale!$X108)</f>
        <v/>
      </c>
      <c r="E403" s="81">
        <f>IF(OR(Scale!$X108="",Scale!$X108=0),"",IF(Scale!$X108="","","مقابل: "&amp;Scale!$E108))</f>
        <v/>
      </c>
      <c r="F403" s="83" t="n"/>
      <c r="G403" s="83" t="n"/>
      <c r="H403" s="83" t="n"/>
      <c r="I403" s="83" t="n"/>
      <c r="J403" s="83" t="n"/>
      <c r="K403" s="82">
        <f>IF(OR(Scale!$X108="",Scale!$X108=0),"",IF(Scale!$Y108="",0,Scale!$Y108)+IF(Scale!$Z108="",0,Scale!$Z108))</f>
        <v/>
      </c>
      <c r="L403" s="82">
        <f>IF(OR(Scale!$X108="",Scale!$X108=0),"",Scale!$Y108)</f>
        <v/>
      </c>
      <c r="M403" s="82">
        <f>IF(OR(Scale!$X108="",Scale!$X108=0),"",Scale!$Z108)</f>
        <v/>
      </c>
      <c r="N403" s="81">
        <f>IF(OR(Scale!$X108="",Scale!$X108=0),"","مقابل")</f>
        <v/>
      </c>
      <c r="O403" s="81">
        <f>IF(OR(Scale!$X108="",Scale!$X108=0),"",IFERROR(VLOOKUP(Scale!$X108,AcctTbl,3,0),""))</f>
        <v/>
      </c>
      <c r="P403" s="82">
        <f>IF(Scale!$X108&lt;&gt;"X011","","BN02")</f>
        <v/>
      </c>
    </row>
    <row r="404" ht="20.25" customHeight="1">
      <c r="A404" s="80">
        <f>IF(OR(Scale!$AA108="",Scale!$AA108=0),"",Scale!$B108)</f>
        <v/>
      </c>
      <c r="B404" s="80">
        <f>IF(OR(Scale!$AA108="",Scale!$AA108=0),"",Scale!$D108)</f>
        <v/>
      </c>
      <c r="C404" s="80">
        <f>IF(OR(Scale!$AA108="",Scale!$AA108=0),"","باسکول")</f>
        <v/>
      </c>
      <c r="D404" s="80">
        <f>IF(OR(Scale!$AA108="",Scale!$AA108=0),"",Scale!$AA108)</f>
        <v/>
      </c>
      <c r="E404" s="81">
        <f>IF(OR(Scale!$AA108="",Scale!$AA108=0),"",IF(Scale!$AA108="","","پوز باسکول — "&amp;Scale!$E108))</f>
        <v/>
      </c>
      <c r="F404" s="83" t="n"/>
      <c r="G404" s="83" t="n"/>
      <c r="H404" s="83" t="n"/>
      <c r="I404" s="83" t="n"/>
      <c r="J404" s="83" t="n"/>
      <c r="K404" s="82">
        <f>IF(OR(Scale!$AA108="",Scale!$AA108=0),"",IF(Scale!$AB108="",0,Scale!$AB108)+IF(Scale!$AC108="",0,Scale!$AC108))</f>
        <v/>
      </c>
      <c r="L404" s="82">
        <f>IF(OR(Scale!$AA108="",Scale!$AA108=0),"",Scale!$AB108)</f>
        <v/>
      </c>
      <c r="M404" s="82">
        <f>IF(OR(Scale!$AA108="",Scale!$AA108=0),"",Scale!$AC108)</f>
        <v/>
      </c>
      <c r="N404" s="81">
        <f>IF(OR(Scale!$AA108="",Scale!$AA108=0),"","پوز")</f>
        <v/>
      </c>
      <c r="O404" s="81">
        <f>IF(OR(Scale!$AA108="",Scale!$AA108=0),"",IFERROR(VLOOKUP(Scale!$AA108,AcctTbl,3,0),""))</f>
        <v/>
      </c>
      <c r="P404" s="82">
        <f>IF(Scale!$AA108&lt;&gt;"X011","","BN02")</f>
        <v/>
      </c>
    </row>
    <row r="405" ht="20.25" customHeight="1">
      <c r="A405" s="80">
        <f>IF(OR(Scale!$AD108="",Scale!$AD108=0),"",Scale!$B108)</f>
        <v/>
      </c>
      <c r="B405" s="80">
        <f>IF(OR(Scale!$AD108="",Scale!$AD108=0),"",Scale!$D108)</f>
        <v/>
      </c>
      <c r="C405" s="80">
        <f>IF(OR(Scale!$AD108="",Scale!$AD108=0),"","باسکول")</f>
        <v/>
      </c>
      <c r="D405" s="80">
        <f>IF(OR(Scale!$AD108="",Scale!$AD108=0),"",Scale!$AD108)</f>
        <v/>
      </c>
      <c r="E405" s="81">
        <f>IF(OR(Scale!$AD108="",Scale!$AD108=0),"",IF(Scale!$AD108="","","مقابل پوز — "&amp;Scale!$E108))</f>
        <v/>
      </c>
      <c r="F405" s="83" t="n"/>
      <c r="G405" s="83" t="n"/>
      <c r="H405" s="83" t="n"/>
      <c r="I405" s="83" t="n"/>
      <c r="J405" s="83" t="n"/>
      <c r="K405" s="82">
        <f>IF(OR(Scale!$AD108="",Scale!$AD108=0),"",IF(Scale!$AE108="",0,Scale!$AE108)+IF(Scale!$AF108="",0,Scale!$AF108))</f>
        <v/>
      </c>
      <c r="L405" s="82">
        <f>IF(OR(Scale!$AD108="",Scale!$AD108=0),"",Scale!$AE108)</f>
        <v/>
      </c>
      <c r="M405" s="82">
        <f>IF(OR(Scale!$AD108="",Scale!$AD108=0),"",Scale!$AF108)</f>
        <v/>
      </c>
      <c r="N405" s="81">
        <f>IF(OR(Scale!$AD108="",Scale!$AD108=0),"","مقابل پوز")</f>
        <v/>
      </c>
      <c r="O405" s="81">
        <f>IF(OR(Scale!$AD108="",Scale!$AD108=0),"",IFERROR(VLOOKUP(Scale!$AD108,AcctTbl,3,0),""))</f>
        <v/>
      </c>
      <c r="P405" s="82">
        <f>IF(Scale!$AD108&lt;&gt;"X011","","BN02")</f>
        <v/>
      </c>
    </row>
    <row r="406" ht="20.25" customHeight="1">
      <c r="A406" s="80">
        <f>IF(OR(Scale!$U109="",Scale!$U109=0),"",Scale!$B109)</f>
        <v/>
      </c>
      <c r="B406" s="80">
        <f>IF(OR(Scale!$U109="",Scale!$U109=0),"",Scale!$D109)</f>
        <v/>
      </c>
      <c r="C406" s="80">
        <f>IF(OR(Scale!$U109="",Scale!$U109=0),"","باسکول")</f>
        <v/>
      </c>
      <c r="D406" s="80">
        <f>IF(OR(Scale!$U109="",Scale!$U109=0),"",Scale!$U109)</f>
        <v/>
      </c>
      <c r="E406" s="81">
        <f>IF(OR(Scale!$U109="",Scale!$U109=0),"",Scale!$T109)</f>
        <v/>
      </c>
      <c r="F406" s="81">
        <f>IF(OR(Scale!$U109="",Scale!$U109=0),"",Scale!$J109)</f>
        <v/>
      </c>
      <c r="G406" s="82">
        <f>IF(OR(Scale!$U109="",Scale!$U109=0),"",Scale!$M109)</f>
        <v/>
      </c>
      <c r="H406" s="82">
        <f>IF(OR(Scale!$U109="",Scale!$U109=0),"",Scale!$L109)</f>
        <v/>
      </c>
      <c r="I406" s="82">
        <f>IF(OR(Scale!$U109="",Scale!$U109=0),"",Scale!$N109)</f>
        <v/>
      </c>
      <c r="J406" s="82">
        <f>IF(OR(Scale!$U109="",Scale!$U109=0),"",Scale!$O109)</f>
        <v/>
      </c>
      <c r="K406" s="82">
        <f>IF(OR(Scale!$U109="",Scale!$U109=0),"",IF(Scale!$V109="",0,Scale!$V109)+IF(Scale!$W109="",0,Scale!$W109))</f>
        <v/>
      </c>
      <c r="L406" s="82">
        <f>IF(OR(Scale!$U109="",Scale!$U109=0),"",Scale!$V109)</f>
        <v/>
      </c>
      <c r="M406" s="82">
        <f>IF(OR(Scale!$U109="",Scale!$U109=0),"",Scale!$W109)</f>
        <v/>
      </c>
      <c r="N406" s="81">
        <f>IF(OR(Scale!$U109="",Scale!$U109=0),"",Scale!$E109)</f>
        <v/>
      </c>
      <c r="O406" s="81">
        <f>IF(OR(Scale!$U109="",Scale!$U109=0),"",IFERROR(VLOOKUP(Scale!$U109,AcctTbl,3,0),""))</f>
        <v/>
      </c>
      <c r="P406" s="82">
        <f>IF(Scale!$U109&lt;&gt;"X011","","BN02")</f>
        <v/>
      </c>
    </row>
    <row r="407" ht="20.25" customHeight="1">
      <c r="A407" s="80">
        <f>IF(OR(Scale!$X109="",Scale!$X109=0),"",Scale!$B109)</f>
        <v/>
      </c>
      <c r="B407" s="80">
        <f>IF(OR(Scale!$X109="",Scale!$X109=0),"",Scale!$D109)</f>
        <v/>
      </c>
      <c r="C407" s="80">
        <f>IF(OR(Scale!$X109="",Scale!$X109=0),"","باسکول")</f>
        <v/>
      </c>
      <c r="D407" s="80">
        <f>IF(OR(Scale!$X109="",Scale!$X109=0),"",Scale!$X109)</f>
        <v/>
      </c>
      <c r="E407" s="81">
        <f>IF(OR(Scale!$X109="",Scale!$X109=0),"",IF(Scale!$X109="","","مقابل: "&amp;Scale!$E109))</f>
        <v/>
      </c>
      <c r="F407" s="83" t="n"/>
      <c r="G407" s="83" t="n"/>
      <c r="H407" s="83" t="n"/>
      <c r="I407" s="83" t="n"/>
      <c r="J407" s="83" t="n"/>
      <c r="K407" s="82">
        <f>IF(OR(Scale!$X109="",Scale!$X109=0),"",IF(Scale!$Y109="",0,Scale!$Y109)+IF(Scale!$Z109="",0,Scale!$Z109))</f>
        <v/>
      </c>
      <c r="L407" s="82">
        <f>IF(OR(Scale!$X109="",Scale!$X109=0),"",Scale!$Y109)</f>
        <v/>
      </c>
      <c r="M407" s="82">
        <f>IF(OR(Scale!$X109="",Scale!$X109=0),"",Scale!$Z109)</f>
        <v/>
      </c>
      <c r="N407" s="81">
        <f>IF(OR(Scale!$X109="",Scale!$X109=0),"","مقابل")</f>
        <v/>
      </c>
      <c r="O407" s="81">
        <f>IF(OR(Scale!$X109="",Scale!$X109=0),"",IFERROR(VLOOKUP(Scale!$X109,AcctTbl,3,0),""))</f>
        <v/>
      </c>
      <c r="P407" s="82">
        <f>IF(Scale!$X109&lt;&gt;"X011","","BN02")</f>
        <v/>
      </c>
    </row>
    <row r="408" ht="20.25" customHeight="1">
      <c r="A408" s="80">
        <f>IF(OR(Scale!$AA109="",Scale!$AA109=0),"",Scale!$B109)</f>
        <v/>
      </c>
      <c r="B408" s="80">
        <f>IF(OR(Scale!$AA109="",Scale!$AA109=0),"",Scale!$D109)</f>
        <v/>
      </c>
      <c r="C408" s="80">
        <f>IF(OR(Scale!$AA109="",Scale!$AA109=0),"","باسکول")</f>
        <v/>
      </c>
      <c r="D408" s="80">
        <f>IF(OR(Scale!$AA109="",Scale!$AA109=0),"",Scale!$AA109)</f>
        <v/>
      </c>
      <c r="E408" s="81">
        <f>IF(OR(Scale!$AA109="",Scale!$AA109=0),"",IF(Scale!$AA109="","","پوز باسکول — "&amp;Scale!$E109))</f>
        <v/>
      </c>
      <c r="F408" s="83" t="n"/>
      <c r="G408" s="83" t="n"/>
      <c r="H408" s="83" t="n"/>
      <c r="I408" s="83" t="n"/>
      <c r="J408" s="83" t="n"/>
      <c r="K408" s="82">
        <f>IF(OR(Scale!$AA109="",Scale!$AA109=0),"",IF(Scale!$AB109="",0,Scale!$AB109)+IF(Scale!$AC109="",0,Scale!$AC109))</f>
        <v/>
      </c>
      <c r="L408" s="82">
        <f>IF(OR(Scale!$AA109="",Scale!$AA109=0),"",Scale!$AB109)</f>
        <v/>
      </c>
      <c r="M408" s="82">
        <f>IF(OR(Scale!$AA109="",Scale!$AA109=0),"",Scale!$AC109)</f>
        <v/>
      </c>
      <c r="N408" s="81">
        <f>IF(OR(Scale!$AA109="",Scale!$AA109=0),"","پوز")</f>
        <v/>
      </c>
      <c r="O408" s="81">
        <f>IF(OR(Scale!$AA109="",Scale!$AA109=0),"",IFERROR(VLOOKUP(Scale!$AA109,AcctTbl,3,0),""))</f>
        <v/>
      </c>
      <c r="P408" s="82">
        <f>IF(Scale!$AA109&lt;&gt;"X011","","BN02")</f>
        <v/>
      </c>
    </row>
    <row r="409" ht="20.25" customHeight="1">
      <c r="A409" s="80">
        <f>IF(OR(Scale!$AD109="",Scale!$AD109=0),"",Scale!$B109)</f>
        <v/>
      </c>
      <c r="B409" s="80">
        <f>IF(OR(Scale!$AD109="",Scale!$AD109=0),"",Scale!$D109)</f>
        <v/>
      </c>
      <c r="C409" s="80">
        <f>IF(OR(Scale!$AD109="",Scale!$AD109=0),"","باسکول")</f>
        <v/>
      </c>
      <c r="D409" s="80">
        <f>IF(OR(Scale!$AD109="",Scale!$AD109=0),"",Scale!$AD109)</f>
        <v/>
      </c>
      <c r="E409" s="81">
        <f>IF(OR(Scale!$AD109="",Scale!$AD109=0),"",IF(Scale!$AD109="","","مقابل پوز — "&amp;Scale!$E109))</f>
        <v/>
      </c>
      <c r="F409" s="83" t="n"/>
      <c r="G409" s="83" t="n"/>
      <c r="H409" s="83" t="n"/>
      <c r="I409" s="83" t="n"/>
      <c r="J409" s="83" t="n"/>
      <c r="K409" s="82">
        <f>IF(OR(Scale!$AD109="",Scale!$AD109=0),"",IF(Scale!$AE109="",0,Scale!$AE109)+IF(Scale!$AF109="",0,Scale!$AF109))</f>
        <v/>
      </c>
      <c r="L409" s="82">
        <f>IF(OR(Scale!$AD109="",Scale!$AD109=0),"",Scale!$AE109)</f>
        <v/>
      </c>
      <c r="M409" s="82">
        <f>IF(OR(Scale!$AD109="",Scale!$AD109=0),"",Scale!$AF109)</f>
        <v/>
      </c>
      <c r="N409" s="81">
        <f>IF(OR(Scale!$AD109="",Scale!$AD109=0),"","مقابل پوز")</f>
        <v/>
      </c>
      <c r="O409" s="81">
        <f>IF(OR(Scale!$AD109="",Scale!$AD109=0),"",IFERROR(VLOOKUP(Scale!$AD109,AcctTbl,3,0),""))</f>
        <v/>
      </c>
      <c r="P409" s="82">
        <f>IF(Scale!$AD109&lt;&gt;"X011","","BN02")</f>
        <v/>
      </c>
    </row>
    <row r="410" ht="20.25" customHeight="1">
      <c r="A410" s="80">
        <f>IF(OR(Scale!$U110="",Scale!$U110=0),"",Scale!$B110)</f>
        <v/>
      </c>
      <c r="B410" s="80">
        <f>IF(OR(Scale!$U110="",Scale!$U110=0),"",Scale!$D110)</f>
        <v/>
      </c>
      <c r="C410" s="80">
        <f>IF(OR(Scale!$U110="",Scale!$U110=0),"","باسکول")</f>
        <v/>
      </c>
      <c r="D410" s="80">
        <f>IF(OR(Scale!$U110="",Scale!$U110=0),"",Scale!$U110)</f>
        <v/>
      </c>
      <c r="E410" s="81">
        <f>IF(OR(Scale!$U110="",Scale!$U110=0),"",Scale!$T110)</f>
        <v/>
      </c>
      <c r="F410" s="81">
        <f>IF(OR(Scale!$U110="",Scale!$U110=0),"",Scale!$J110)</f>
        <v/>
      </c>
      <c r="G410" s="82">
        <f>IF(OR(Scale!$U110="",Scale!$U110=0),"",Scale!$M110)</f>
        <v/>
      </c>
      <c r="H410" s="82">
        <f>IF(OR(Scale!$U110="",Scale!$U110=0),"",Scale!$L110)</f>
        <v/>
      </c>
      <c r="I410" s="82">
        <f>IF(OR(Scale!$U110="",Scale!$U110=0),"",Scale!$N110)</f>
        <v/>
      </c>
      <c r="J410" s="82">
        <f>IF(OR(Scale!$U110="",Scale!$U110=0),"",Scale!$O110)</f>
        <v/>
      </c>
      <c r="K410" s="82">
        <f>IF(OR(Scale!$U110="",Scale!$U110=0),"",IF(Scale!$V110="",0,Scale!$V110)+IF(Scale!$W110="",0,Scale!$W110))</f>
        <v/>
      </c>
      <c r="L410" s="82">
        <f>IF(OR(Scale!$U110="",Scale!$U110=0),"",Scale!$V110)</f>
        <v/>
      </c>
      <c r="M410" s="82">
        <f>IF(OR(Scale!$U110="",Scale!$U110=0),"",Scale!$W110)</f>
        <v/>
      </c>
      <c r="N410" s="81">
        <f>IF(OR(Scale!$U110="",Scale!$U110=0),"",Scale!$E110)</f>
        <v/>
      </c>
      <c r="O410" s="81">
        <f>IF(OR(Scale!$U110="",Scale!$U110=0),"",IFERROR(VLOOKUP(Scale!$U110,AcctTbl,3,0),""))</f>
        <v/>
      </c>
      <c r="P410" s="82">
        <f>IF(Scale!$U110&lt;&gt;"X011","","BN02")</f>
        <v/>
      </c>
    </row>
    <row r="411" ht="20.25" customHeight="1">
      <c r="A411" s="80">
        <f>IF(OR(Scale!$X110="",Scale!$X110=0),"",Scale!$B110)</f>
        <v/>
      </c>
      <c r="B411" s="80">
        <f>IF(OR(Scale!$X110="",Scale!$X110=0),"",Scale!$D110)</f>
        <v/>
      </c>
      <c r="C411" s="80">
        <f>IF(OR(Scale!$X110="",Scale!$X110=0),"","باسکول")</f>
        <v/>
      </c>
      <c r="D411" s="80">
        <f>IF(OR(Scale!$X110="",Scale!$X110=0),"",Scale!$X110)</f>
        <v/>
      </c>
      <c r="E411" s="81">
        <f>IF(OR(Scale!$X110="",Scale!$X110=0),"",IF(Scale!$X110="","","مقابل: "&amp;Scale!$E110))</f>
        <v/>
      </c>
      <c r="F411" s="83" t="n"/>
      <c r="G411" s="83" t="n"/>
      <c r="H411" s="83" t="n"/>
      <c r="I411" s="83" t="n"/>
      <c r="J411" s="83" t="n"/>
      <c r="K411" s="82">
        <f>IF(OR(Scale!$X110="",Scale!$X110=0),"",IF(Scale!$Y110="",0,Scale!$Y110)+IF(Scale!$Z110="",0,Scale!$Z110))</f>
        <v/>
      </c>
      <c r="L411" s="82">
        <f>IF(OR(Scale!$X110="",Scale!$X110=0),"",Scale!$Y110)</f>
        <v/>
      </c>
      <c r="M411" s="82">
        <f>IF(OR(Scale!$X110="",Scale!$X110=0),"",Scale!$Z110)</f>
        <v/>
      </c>
      <c r="N411" s="81">
        <f>IF(OR(Scale!$X110="",Scale!$X110=0),"","مقابل")</f>
        <v/>
      </c>
      <c r="O411" s="81">
        <f>IF(OR(Scale!$X110="",Scale!$X110=0),"",IFERROR(VLOOKUP(Scale!$X110,AcctTbl,3,0),""))</f>
        <v/>
      </c>
      <c r="P411" s="82">
        <f>IF(Scale!$X110&lt;&gt;"X011","","BN02")</f>
        <v/>
      </c>
    </row>
    <row r="412" ht="20.25" customHeight="1">
      <c r="A412" s="80">
        <f>IF(OR(Scale!$AA110="",Scale!$AA110=0),"",Scale!$B110)</f>
        <v/>
      </c>
      <c r="B412" s="80">
        <f>IF(OR(Scale!$AA110="",Scale!$AA110=0),"",Scale!$D110)</f>
        <v/>
      </c>
      <c r="C412" s="80">
        <f>IF(OR(Scale!$AA110="",Scale!$AA110=0),"","باسکول")</f>
        <v/>
      </c>
      <c r="D412" s="80">
        <f>IF(OR(Scale!$AA110="",Scale!$AA110=0),"",Scale!$AA110)</f>
        <v/>
      </c>
      <c r="E412" s="81">
        <f>IF(OR(Scale!$AA110="",Scale!$AA110=0),"",IF(Scale!$AA110="","","پوز باسکول — "&amp;Scale!$E110))</f>
        <v/>
      </c>
      <c r="F412" s="83" t="n"/>
      <c r="G412" s="83" t="n"/>
      <c r="H412" s="83" t="n"/>
      <c r="I412" s="83" t="n"/>
      <c r="J412" s="83" t="n"/>
      <c r="K412" s="82">
        <f>IF(OR(Scale!$AA110="",Scale!$AA110=0),"",IF(Scale!$AB110="",0,Scale!$AB110)+IF(Scale!$AC110="",0,Scale!$AC110))</f>
        <v/>
      </c>
      <c r="L412" s="82">
        <f>IF(OR(Scale!$AA110="",Scale!$AA110=0),"",Scale!$AB110)</f>
        <v/>
      </c>
      <c r="M412" s="82">
        <f>IF(OR(Scale!$AA110="",Scale!$AA110=0),"",Scale!$AC110)</f>
        <v/>
      </c>
      <c r="N412" s="81">
        <f>IF(OR(Scale!$AA110="",Scale!$AA110=0),"","پوز")</f>
        <v/>
      </c>
      <c r="O412" s="81">
        <f>IF(OR(Scale!$AA110="",Scale!$AA110=0),"",IFERROR(VLOOKUP(Scale!$AA110,AcctTbl,3,0),""))</f>
        <v/>
      </c>
      <c r="P412" s="82">
        <f>IF(Scale!$AA110&lt;&gt;"X011","","BN02")</f>
        <v/>
      </c>
    </row>
    <row r="413" ht="20.25" customHeight="1">
      <c r="A413" s="80">
        <f>IF(OR(Scale!$AD110="",Scale!$AD110=0),"",Scale!$B110)</f>
        <v/>
      </c>
      <c r="B413" s="80">
        <f>IF(OR(Scale!$AD110="",Scale!$AD110=0),"",Scale!$D110)</f>
        <v/>
      </c>
      <c r="C413" s="80">
        <f>IF(OR(Scale!$AD110="",Scale!$AD110=0),"","باسکول")</f>
        <v/>
      </c>
      <c r="D413" s="80">
        <f>IF(OR(Scale!$AD110="",Scale!$AD110=0),"",Scale!$AD110)</f>
        <v/>
      </c>
      <c r="E413" s="81">
        <f>IF(OR(Scale!$AD110="",Scale!$AD110=0),"",IF(Scale!$AD110="","","مقابل پوز — "&amp;Scale!$E110))</f>
        <v/>
      </c>
      <c r="F413" s="83" t="n"/>
      <c r="G413" s="83" t="n"/>
      <c r="H413" s="83" t="n"/>
      <c r="I413" s="83" t="n"/>
      <c r="J413" s="83" t="n"/>
      <c r="K413" s="82">
        <f>IF(OR(Scale!$AD110="",Scale!$AD110=0),"",IF(Scale!$AE110="",0,Scale!$AE110)+IF(Scale!$AF110="",0,Scale!$AF110))</f>
        <v/>
      </c>
      <c r="L413" s="82">
        <f>IF(OR(Scale!$AD110="",Scale!$AD110=0),"",Scale!$AE110)</f>
        <v/>
      </c>
      <c r="M413" s="82">
        <f>IF(OR(Scale!$AD110="",Scale!$AD110=0),"",Scale!$AF110)</f>
        <v/>
      </c>
      <c r="N413" s="81">
        <f>IF(OR(Scale!$AD110="",Scale!$AD110=0),"","مقابل پوز")</f>
        <v/>
      </c>
      <c r="O413" s="81">
        <f>IF(OR(Scale!$AD110="",Scale!$AD110=0),"",IFERROR(VLOOKUP(Scale!$AD110,AcctTbl,3,0),""))</f>
        <v/>
      </c>
      <c r="P413" s="82">
        <f>IF(Scale!$AD110&lt;&gt;"X011","","BN02")</f>
        <v/>
      </c>
    </row>
    <row r="414" ht="20.25" customHeight="1">
      <c r="A414" s="80">
        <f>IF(OR(Scale!$U111="",Scale!$U111=0),"",Scale!$B111)</f>
        <v/>
      </c>
      <c r="B414" s="80">
        <f>IF(OR(Scale!$U111="",Scale!$U111=0),"",Scale!$D111)</f>
        <v/>
      </c>
      <c r="C414" s="80">
        <f>IF(OR(Scale!$U111="",Scale!$U111=0),"","باسکول")</f>
        <v/>
      </c>
      <c r="D414" s="80">
        <f>IF(OR(Scale!$U111="",Scale!$U111=0),"",Scale!$U111)</f>
        <v/>
      </c>
      <c r="E414" s="81">
        <f>IF(OR(Scale!$U111="",Scale!$U111=0),"",Scale!$T111)</f>
        <v/>
      </c>
      <c r="F414" s="81">
        <f>IF(OR(Scale!$U111="",Scale!$U111=0),"",Scale!$J111)</f>
        <v/>
      </c>
      <c r="G414" s="82">
        <f>IF(OR(Scale!$U111="",Scale!$U111=0),"",Scale!$M111)</f>
        <v/>
      </c>
      <c r="H414" s="82">
        <f>IF(OR(Scale!$U111="",Scale!$U111=0),"",Scale!$L111)</f>
        <v/>
      </c>
      <c r="I414" s="82">
        <f>IF(OR(Scale!$U111="",Scale!$U111=0),"",Scale!$N111)</f>
        <v/>
      </c>
      <c r="J414" s="82">
        <f>IF(OR(Scale!$U111="",Scale!$U111=0),"",Scale!$O111)</f>
        <v/>
      </c>
      <c r="K414" s="82">
        <f>IF(OR(Scale!$U111="",Scale!$U111=0),"",IF(Scale!$V111="",0,Scale!$V111)+IF(Scale!$W111="",0,Scale!$W111))</f>
        <v/>
      </c>
      <c r="L414" s="82">
        <f>IF(OR(Scale!$U111="",Scale!$U111=0),"",Scale!$V111)</f>
        <v/>
      </c>
      <c r="M414" s="82">
        <f>IF(OR(Scale!$U111="",Scale!$U111=0),"",Scale!$W111)</f>
        <v/>
      </c>
      <c r="N414" s="81">
        <f>IF(OR(Scale!$U111="",Scale!$U111=0),"",Scale!$E111)</f>
        <v/>
      </c>
      <c r="O414" s="81">
        <f>IF(OR(Scale!$U111="",Scale!$U111=0),"",IFERROR(VLOOKUP(Scale!$U111,AcctTbl,3,0),""))</f>
        <v/>
      </c>
      <c r="P414" s="82">
        <f>IF(Scale!$U111&lt;&gt;"X011","","BN02")</f>
        <v/>
      </c>
    </row>
    <row r="415" ht="20.25" customHeight="1">
      <c r="A415" s="80">
        <f>IF(OR(Scale!$X111="",Scale!$X111=0),"",Scale!$B111)</f>
        <v/>
      </c>
      <c r="B415" s="80">
        <f>IF(OR(Scale!$X111="",Scale!$X111=0),"",Scale!$D111)</f>
        <v/>
      </c>
      <c r="C415" s="80">
        <f>IF(OR(Scale!$X111="",Scale!$X111=0),"","باسکول")</f>
        <v/>
      </c>
      <c r="D415" s="80">
        <f>IF(OR(Scale!$X111="",Scale!$X111=0),"",Scale!$X111)</f>
        <v/>
      </c>
      <c r="E415" s="81">
        <f>IF(OR(Scale!$X111="",Scale!$X111=0),"",IF(Scale!$X111="","","مقابل: "&amp;Scale!$E111))</f>
        <v/>
      </c>
      <c r="F415" s="83" t="n"/>
      <c r="G415" s="83" t="n"/>
      <c r="H415" s="83" t="n"/>
      <c r="I415" s="83" t="n"/>
      <c r="J415" s="83" t="n"/>
      <c r="K415" s="82">
        <f>IF(OR(Scale!$X111="",Scale!$X111=0),"",IF(Scale!$Y111="",0,Scale!$Y111)+IF(Scale!$Z111="",0,Scale!$Z111))</f>
        <v/>
      </c>
      <c r="L415" s="82">
        <f>IF(OR(Scale!$X111="",Scale!$X111=0),"",Scale!$Y111)</f>
        <v/>
      </c>
      <c r="M415" s="82">
        <f>IF(OR(Scale!$X111="",Scale!$X111=0),"",Scale!$Z111)</f>
        <v/>
      </c>
      <c r="N415" s="81">
        <f>IF(OR(Scale!$X111="",Scale!$X111=0),"","مقابل")</f>
        <v/>
      </c>
      <c r="O415" s="81">
        <f>IF(OR(Scale!$X111="",Scale!$X111=0),"",IFERROR(VLOOKUP(Scale!$X111,AcctTbl,3,0),""))</f>
        <v/>
      </c>
      <c r="P415" s="82">
        <f>IF(Scale!$X111&lt;&gt;"X011","","BN02")</f>
        <v/>
      </c>
    </row>
    <row r="416" ht="20.25" customHeight="1">
      <c r="A416" s="80">
        <f>IF(OR(Scale!$AA111="",Scale!$AA111=0),"",Scale!$B111)</f>
        <v/>
      </c>
      <c r="B416" s="80">
        <f>IF(OR(Scale!$AA111="",Scale!$AA111=0),"",Scale!$D111)</f>
        <v/>
      </c>
      <c r="C416" s="80">
        <f>IF(OR(Scale!$AA111="",Scale!$AA111=0),"","باسکول")</f>
        <v/>
      </c>
      <c r="D416" s="80">
        <f>IF(OR(Scale!$AA111="",Scale!$AA111=0),"",Scale!$AA111)</f>
        <v/>
      </c>
      <c r="E416" s="81">
        <f>IF(OR(Scale!$AA111="",Scale!$AA111=0),"",IF(Scale!$AA111="","","پوز باسکول — "&amp;Scale!$E111))</f>
        <v/>
      </c>
      <c r="F416" s="83" t="n"/>
      <c r="G416" s="83" t="n"/>
      <c r="H416" s="83" t="n"/>
      <c r="I416" s="83" t="n"/>
      <c r="J416" s="83" t="n"/>
      <c r="K416" s="82">
        <f>IF(OR(Scale!$AA111="",Scale!$AA111=0),"",IF(Scale!$AB111="",0,Scale!$AB111)+IF(Scale!$AC111="",0,Scale!$AC111))</f>
        <v/>
      </c>
      <c r="L416" s="82">
        <f>IF(OR(Scale!$AA111="",Scale!$AA111=0),"",Scale!$AB111)</f>
        <v/>
      </c>
      <c r="M416" s="82">
        <f>IF(OR(Scale!$AA111="",Scale!$AA111=0),"",Scale!$AC111)</f>
        <v/>
      </c>
      <c r="N416" s="81">
        <f>IF(OR(Scale!$AA111="",Scale!$AA111=0),"","پوز")</f>
        <v/>
      </c>
      <c r="O416" s="81">
        <f>IF(OR(Scale!$AA111="",Scale!$AA111=0),"",IFERROR(VLOOKUP(Scale!$AA111,AcctTbl,3,0),""))</f>
        <v/>
      </c>
      <c r="P416" s="82">
        <f>IF(Scale!$AA111&lt;&gt;"X011","","BN02")</f>
        <v/>
      </c>
    </row>
    <row r="417" ht="20.25" customHeight="1">
      <c r="A417" s="80">
        <f>IF(OR(Scale!$AD111="",Scale!$AD111=0),"",Scale!$B111)</f>
        <v/>
      </c>
      <c r="B417" s="80">
        <f>IF(OR(Scale!$AD111="",Scale!$AD111=0),"",Scale!$D111)</f>
        <v/>
      </c>
      <c r="C417" s="80">
        <f>IF(OR(Scale!$AD111="",Scale!$AD111=0),"","باسکول")</f>
        <v/>
      </c>
      <c r="D417" s="80">
        <f>IF(OR(Scale!$AD111="",Scale!$AD111=0),"",Scale!$AD111)</f>
        <v/>
      </c>
      <c r="E417" s="81">
        <f>IF(OR(Scale!$AD111="",Scale!$AD111=0),"",IF(Scale!$AD111="","","مقابل پوز — "&amp;Scale!$E111))</f>
        <v/>
      </c>
      <c r="F417" s="83" t="n"/>
      <c r="G417" s="83" t="n"/>
      <c r="H417" s="83" t="n"/>
      <c r="I417" s="83" t="n"/>
      <c r="J417" s="83" t="n"/>
      <c r="K417" s="82">
        <f>IF(OR(Scale!$AD111="",Scale!$AD111=0),"",IF(Scale!$AE111="",0,Scale!$AE111)+IF(Scale!$AF111="",0,Scale!$AF111))</f>
        <v/>
      </c>
      <c r="L417" s="82">
        <f>IF(OR(Scale!$AD111="",Scale!$AD111=0),"",Scale!$AE111)</f>
        <v/>
      </c>
      <c r="M417" s="82">
        <f>IF(OR(Scale!$AD111="",Scale!$AD111=0),"",Scale!$AF111)</f>
        <v/>
      </c>
      <c r="N417" s="81">
        <f>IF(OR(Scale!$AD111="",Scale!$AD111=0),"","مقابل پوز")</f>
        <v/>
      </c>
      <c r="O417" s="81">
        <f>IF(OR(Scale!$AD111="",Scale!$AD111=0),"",IFERROR(VLOOKUP(Scale!$AD111,AcctTbl,3,0),""))</f>
        <v/>
      </c>
      <c r="P417" s="82">
        <f>IF(Scale!$AD111&lt;&gt;"X011","","BN02")</f>
        <v/>
      </c>
    </row>
    <row r="418" ht="20.25" customHeight="1">
      <c r="A418" s="80">
        <f>IF(OR(Scale!$U112="",Scale!$U112=0),"",Scale!$B112)</f>
        <v/>
      </c>
      <c r="B418" s="80">
        <f>IF(OR(Scale!$U112="",Scale!$U112=0),"",Scale!$D112)</f>
        <v/>
      </c>
      <c r="C418" s="80">
        <f>IF(OR(Scale!$U112="",Scale!$U112=0),"","باسکول")</f>
        <v/>
      </c>
      <c r="D418" s="80">
        <f>IF(OR(Scale!$U112="",Scale!$U112=0),"",Scale!$U112)</f>
        <v/>
      </c>
      <c r="E418" s="81">
        <f>IF(OR(Scale!$U112="",Scale!$U112=0),"",Scale!$T112)</f>
        <v/>
      </c>
      <c r="F418" s="81">
        <f>IF(OR(Scale!$U112="",Scale!$U112=0),"",Scale!$J112)</f>
        <v/>
      </c>
      <c r="G418" s="82">
        <f>IF(OR(Scale!$U112="",Scale!$U112=0),"",Scale!$M112)</f>
        <v/>
      </c>
      <c r="H418" s="82">
        <f>IF(OR(Scale!$U112="",Scale!$U112=0),"",Scale!$L112)</f>
        <v/>
      </c>
      <c r="I418" s="82">
        <f>IF(OR(Scale!$U112="",Scale!$U112=0),"",Scale!$N112)</f>
        <v/>
      </c>
      <c r="J418" s="82">
        <f>IF(OR(Scale!$U112="",Scale!$U112=0),"",Scale!$O112)</f>
        <v/>
      </c>
      <c r="K418" s="82">
        <f>IF(OR(Scale!$U112="",Scale!$U112=0),"",IF(Scale!$V112="",0,Scale!$V112)+IF(Scale!$W112="",0,Scale!$W112))</f>
        <v/>
      </c>
      <c r="L418" s="82">
        <f>IF(OR(Scale!$U112="",Scale!$U112=0),"",Scale!$V112)</f>
        <v/>
      </c>
      <c r="M418" s="82">
        <f>IF(OR(Scale!$U112="",Scale!$U112=0),"",Scale!$W112)</f>
        <v/>
      </c>
      <c r="N418" s="81">
        <f>IF(OR(Scale!$U112="",Scale!$U112=0),"",Scale!$E112)</f>
        <v/>
      </c>
      <c r="O418" s="81">
        <f>IF(OR(Scale!$U112="",Scale!$U112=0),"",IFERROR(VLOOKUP(Scale!$U112,AcctTbl,3,0),""))</f>
        <v/>
      </c>
      <c r="P418" s="82">
        <f>IF(Scale!$U112&lt;&gt;"X011","","BN02")</f>
        <v/>
      </c>
    </row>
    <row r="419" ht="20.25" customHeight="1">
      <c r="A419" s="80">
        <f>IF(OR(Scale!$X112="",Scale!$X112=0),"",Scale!$B112)</f>
        <v/>
      </c>
      <c r="B419" s="80">
        <f>IF(OR(Scale!$X112="",Scale!$X112=0),"",Scale!$D112)</f>
        <v/>
      </c>
      <c r="C419" s="80">
        <f>IF(OR(Scale!$X112="",Scale!$X112=0),"","باسکول")</f>
        <v/>
      </c>
      <c r="D419" s="80">
        <f>IF(OR(Scale!$X112="",Scale!$X112=0),"",Scale!$X112)</f>
        <v/>
      </c>
      <c r="E419" s="81">
        <f>IF(OR(Scale!$X112="",Scale!$X112=0),"",IF(Scale!$X112="","","مقابل: "&amp;Scale!$E112))</f>
        <v/>
      </c>
      <c r="F419" s="83" t="n"/>
      <c r="G419" s="83" t="n"/>
      <c r="H419" s="83" t="n"/>
      <c r="I419" s="83" t="n"/>
      <c r="J419" s="83" t="n"/>
      <c r="K419" s="82">
        <f>IF(OR(Scale!$X112="",Scale!$X112=0),"",IF(Scale!$Y112="",0,Scale!$Y112)+IF(Scale!$Z112="",0,Scale!$Z112))</f>
        <v/>
      </c>
      <c r="L419" s="82">
        <f>IF(OR(Scale!$X112="",Scale!$X112=0),"",Scale!$Y112)</f>
        <v/>
      </c>
      <c r="M419" s="82">
        <f>IF(OR(Scale!$X112="",Scale!$X112=0),"",Scale!$Z112)</f>
        <v/>
      </c>
      <c r="N419" s="81">
        <f>IF(OR(Scale!$X112="",Scale!$X112=0),"","مقابل")</f>
        <v/>
      </c>
      <c r="O419" s="81">
        <f>IF(OR(Scale!$X112="",Scale!$X112=0),"",IFERROR(VLOOKUP(Scale!$X112,AcctTbl,3,0),""))</f>
        <v/>
      </c>
      <c r="P419" s="82">
        <f>IF(Scale!$X112&lt;&gt;"X011","","BN02")</f>
        <v/>
      </c>
    </row>
    <row r="420" ht="20.25" customHeight="1">
      <c r="A420" s="80">
        <f>IF(OR(Scale!$AA112="",Scale!$AA112=0),"",Scale!$B112)</f>
        <v/>
      </c>
      <c r="B420" s="80">
        <f>IF(OR(Scale!$AA112="",Scale!$AA112=0),"",Scale!$D112)</f>
        <v/>
      </c>
      <c r="C420" s="80">
        <f>IF(OR(Scale!$AA112="",Scale!$AA112=0),"","باسکول")</f>
        <v/>
      </c>
      <c r="D420" s="80">
        <f>IF(OR(Scale!$AA112="",Scale!$AA112=0),"",Scale!$AA112)</f>
        <v/>
      </c>
      <c r="E420" s="81">
        <f>IF(OR(Scale!$AA112="",Scale!$AA112=0),"",IF(Scale!$AA112="","","پوز باسکول — "&amp;Scale!$E112))</f>
        <v/>
      </c>
      <c r="F420" s="83" t="n"/>
      <c r="G420" s="83" t="n"/>
      <c r="H420" s="83" t="n"/>
      <c r="I420" s="83" t="n"/>
      <c r="J420" s="83" t="n"/>
      <c r="K420" s="82">
        <f>IF(OR(Scale!$AA112="",Scale!$AA112=0),"",IF(Scale!$AB112="",0,Scale!$AB112)+IF(Scale!$AC112="",0,Scale!$AC112))</f>
        <v/>
      </c>
      <c r="L420" s="82">
        <f>IF(OR(Scale!$AA112="",Scale!$AA112=0),"",Scale!$AB112)</f>
        <v/>
      </c>
      <c r="M420" s="82">
        <f>IF(OR(Scale!$AA112="",Scale!$AA112=0),"",Scale!$AC112)</f>
        <v/>
      </c>
      <c r="N420" s="81">
        <f>IF(OR(Scale!$AA112="",Scale!$AA112=0),"","پوز")</f>
        <v/>
      </c>
      <c r="O420" s="81">
        <f>IF(OR(Scale!$AA112="",Scale!$AA112=0),"",IFERROR(VLOOKUP(Scale!$AA112,AcctTbl,3,0),""))</f>
        <v/>
      </c>
      <c r="P420" s="82">
        <f>IF(Scale!$AA112&lt;&gt;"X011","","BN02")</f>
        <v/>
      </c>
    </row>
    <row r="421" ht="20.25" customHeight="1">
      <c r="A421" s="80">
        <f>IF(OR(Scale!$AD112="",Scale!$AD112=0),"",Scale!$B112)</f>
        <v/>
      </c>
      <c r="B421" s="80">
        <f>IF(OR(Scale!$AD112="",Scale!$AD112=0),"",Scale!$D112)</f>
        <v/>
      </c>
      <c r="C421" s="80">
        <f>IF(OR(Scale!$AD112="",Scale!$AD112=0),"","باسکول")</f>
        <v/>
      </c>
      <c r="D421" s="80">
        <f>IF(OR(Scale!$AD112="",Scale!$AD112=0),"",Scale!$AD112)</f>
        <v/>
      </c>
      <c r="E421" s="81">
        <f>IF(OR(Scale!$AD112="",Scale!$AD112=0),"",IF(Scale!$AD112="","","مقابل پوز — "&amp;Scale!$E112))</f>
        <v/>
      </c>
      <c r="F421" s="83" t="n"/>
      <c r="G421" s="83" t="n"/>
      <c r="H421" s="83" t="n"/>
      <c r="I421" s="83" t="n"/>
      <c r="J421" s="83" t="n"/>
      <c r="K421" s="82">
        <f>IF(OR(Scale!$AD112="",Scale!$AD112=0),"",IF(Scale!$AE112="",0,Scale!$AE112)+IF(Scale!$AF112="",0,Scale!$AF112))</f>
        <v/>
      </c>
      <c r="L421" s="82">
        <f>IF(OR(Scale!$AD112="",Scale!$AD112=0),"",Scale!$AE112)</f>
        <v/>
      </c>
      <c r="M421" s="82">
        <f>IF(OR(Scale!$AD112="",Scale!$AD112=0),"",Scale!$AF112)</f>
        <v/>
      </c>
      <c r="N421" s="81">
        <f>IF(OR(Scale!$AD112="",Scale!$AD112=0),"","مقابل پوز")</f>
        <v/>
      </c>
      <c r="O421" s="81">
        <f>IF(OR(Scale!$AD112="",Scale!$AD112=0),"",IFERROR(VLOOKUP(Scale!$AD112,AcctTbl,3,0),""))</f>
        <v/>
      </c>
      <c r="P421" s="82">
        <f>IF(Scale!$AD112&lt;&gt;"X011","","BN02")</f>
        <v/>
      </c>
    </row>
    <row r="422" ht="20.25" customHeight="1">
      <c r="A422" s="80">
        <f>IF(OR(Scale!$U113="",Scale!$U113=0),"",Scale!$B113)</f>
        <v/>
      </c>
      <c r="B422" s="80">
        <f>IF(OR(Scale!$U113="",Scale!$U113=0),"",Scale!$D113)</f>
        <v/>
      </c>
      <c r="C422" s="80">
        <f>IF(OR(Scale!$U113="",Scale!$U113=0),"","باسکول")</f>
        <v/>
      </c>
      <c r="D422" s="80">
        <f>IF(OR(Scale!$U113="",Scale!$U113=0),"",Scale!$U113)</f>
        <v/>
      </c>
      <c r="E422" s="81">
        <f>IF(OR(Scale!$U113="",Scale!$U113=0),"",Scale!$T113)</f>
        <v/>
      </c>
      <c r="F422" s="81">
        <f>IF(OR(Scale!$U113="",Scale!$U113=0),"",Scale!$J113)</f>
        <v/>
      </c>
      <c r="G422" s="82">
        <f>IF(OR(Scale!$U113="",Scale!$U113=0),"",Scale!$M113)</f>
        <v/>
      </c>
      <c r="H422" s="82">
        <f>IF(OR(Scale!$U113="",Scale!$U113=0),"",Scale!$L113)</f>
        <v/>
      </c>
      <c r="I422" s="82">
        <f>IF(OR(Scale!$U113="",Scale!$U113=0),"",Scale!$N113)</f>
        <v/>
      </c>
      <c r="J422" s="82">
        <f>IF(OR(Scale!$U113="",Scale!$U113=0),"",Scale!$O113)</f>
        <v/>
      </c>
      <c r="K422" s="82">
        <f>IF(OR(Scale!$U113="",Scale!$U113=0),"",IF(Scale!$V113="",0,Scale!$V113)+IF(Scale!$W113="",0,Scale!$W113))</f>
        <v/>
      </c>
      <c r="L422" s="82">
        <f>IF(OR(Scale!$U113="",Scale!$U113=0),"",Scale!$V113)</f>
        <v/>
      </c>
      <c r="M422" s="82">
        <f>IF(OR(Scale!$U113="",Scale!$U113=0),"",Scale!$W113)</f>
        <v/>
      </c>
      <c r="N422" s="81">
        <f>IF(OR(Scale!$U113="",Scale!$U113=0),"",Scale!$E113)</f>
        <v/>
      </c>
      <c r="O422" s="81">
        <f>IF(OR(Scale!$U113="",Scale!$U113=0),"",IFERROR(VLOOKUP(Scale!$U113,AcctTbl,3,0),""))</f>
        <v/>
      </c>
      <c r="P422" s="82">
        <f>IF(Scale!$U113&lt;&gt;"X011","","BN02")</f>
        <v/>
      </c>
    </row>
    <row r="423" ht="20.25" customHeight="1">
      <c r="A423" s="80">
        <f>IF(OR(Scale!$X113="",Scale!$X113=0),"",Scale!$B113)</f>
        <v/>
      </c>
      <c r="B423" s="80">
        <f>IF(OR(Scale!$X113="",Scale!$X113=0),"",Scale!$D113)</f>
        <v/>
      </c>
      <c r="C423" s="80">
        <f>IF(OR(Scale!$X113="",Scale!$X113=0),"","باسکول")</f>
        <v/>
      </c>
      <c r="D423" s="80">
        <f>IF(OR(Scale!$X113="",Scale!$X113=0),"",Scale!$X113)</f>
        <v/>
      </c>
      <c r="E423" s="81">
        <f>IF(OR(Scale!$X113="",Scale!$X113=0),"",IF(Scale!$X113="","","مقابل: "&amp;Scale!$E113))</f>
        <v/>
      </c>
      <c r="F423" s="83" t="n"/>
      <c r="G423" s="83" t="n"/>
      <c r="H423" s="83" t="n"/>
      <c r="I423" s="83" t="n"/>
      <c r="J423" s="83" t="n"/>
      <c r="K423" s="82">
        <f>IF(OR(Scale!$X113="",Scale!$X113=0),"",IF(Scale!$Y113="",0,Scale!$Y113)+IF(Scale!$Z113="",0,Scale!$Z113))</f>
        <v/>
      </c>
      <c r="L423" s="82">
        <f>IF(OR(Scale!$X113="",Scale!$X113=0),"",Scale!$Y113)</f>
        <v/>
      </c>
      <c r="M423" s="82">
        <f>IF(OR(Scale!$X113="",Scale!$X113=0),"",Scale!$Z113)</f>
        <v/>
      </c>
      <c r="N423" s="81">
        <f>IF(OR(Scale!$X113="",Scale!$X113=0),"","مقابل")</f>
        <v/>
      </c>
      <c r="O423" s="81">
        <f>IF(OR(Scale!$X113="",Scale!$X113=0),"",IFERROR(VLOOKUP(Scale!$X113,AcctTbl,3,0),""))</f>
        <v/>
      </c>
      <c r="P423" s="82">
        <f>IF(Scale!$X113&lt;&gt;"X011","","BN02")</f>
        <v/>
      </c>
    </row>
    <row r="424" ht="20.25" customHeight="1">
      <c r="A424" s="80">
        <f>IF(OR(Scale!$AA113="",Scale!$AA113=0),"",Scale!$B113)</f>
        <v/>
      </c>
      <c r="B424" s="80">
        <f>IF(OR(Scale!$AA113="",Scale!$AA113=0),"",Scale!$D113)</f>
        <v/>
      </c>
      <c r="C424" s="80">
        <f>IF(OR(Scale!$AA113="",Scale!$AA113=0),"","باسکول")</f>
        <v/>
      </c>
      <c r="D424" s="80">
        <f>IF(OR(Scale!$AA113="",Scale!$AA113=0),"",Scale!$AA113)</f>
        <v/>
      </c>
      <c r="E424" s="81">
        <f>IF(OR(Scale!$AA113="",Scale!$AA113=0),"",IF(Scale!$AA113="","","پوز باسکول — "&amp;Scale!$E113))</f>
        <v/>
      </c>
      <c r="F424" s="83" t="n"/>
      <c r="G424" s="83" t="n"/>
      <c r="H424" s="83" t="n"/>
      <c r="I424" s="83" t="n"/>
      <c r="J424" s="83" t="n"/>
      <c r="K424" s="82">
        <f>IF(OR(Scale!$AA113="",Scale!$AA113=0),"",IF(Scale!$AB113="",0,Scale!$AB113)+IF(Scale!$AC113="",0,Scale!$AC113))</f>
        <v/>
      </c>
      <c r="L424" s="82">
        <f>IF(OR(Scale!$AA113="",Scale!$AA113=0),"",Scale!$AB113)</f>
        <v/>
      </c>
      <c r="M424" s="82">
        <f>IF(OR(Scale!$AA113="",Scale!$AA113=0),"",Scale!$AC113)</f>
        <v/>
      </c>
      <c r="N424" s="81">
        <f>IF(OR(Scale!$AA113="",Scale!$AA113=0),"","پوز")</f>
        <v/>
      </c>
      <c r="O424" s="81">
        <f>IF(OR(Scale!$AA113="",Scale!$AA113=0),"",IFERROR(VLOOKUP(Scale!$AA113,AcctTbl,3,0),""))</f>
        <v/>
      </c>
      <c r="P424" s="82">
        <f>IF(Scale!$AA113&lt;&gt;"X011","","BN02")</f>
        <v/>
      </c>
    </row>
    <row r="425" ht="20.25" customHeight="1">
      <c r="A425" s="80">
        <f>IF(OR(Scale!$AD113="",Scale!$AD113=0),"",Scale!$B113)</f>
        <v/>
      </c>
      <c r="B425" s="80">
        <f>IF(OR(Scale!$AD113="",Scale!$AD113=0),"",Scale!$D113)</f>
        <v/>
      </c>
      <c r="C425" s="80">
        <f>IF(OR(Scale!$AD113="",Scale!$AD113=0),"","باسکول")</f>
        <v/>
      </c>
      <c r="D425" s="80">
        <f>IF(OR(Scale!$AD113="",Scale!$AD113=0),"",Scale!$AD113)</f>
        <v/>
      </c>
      <c r="E425" s="81">
        <f>IF(OR(Scale!$AD113="",Scale!$AD113=0),"",IF(Scale!$AD113="","","مقابل پوز — "&amp;Scale!$E113))</f>
        <v/>
      </c>
      <c r="F425" s="83" t="n"/>
      <c r="G425" s="83" t="n"/>
      <c r="H425" s="83" t="n"/>
      <c r="I425" s="83" t="n"/>
      <c r="J425" s="83" t="n"/>
      <c r="K425" s="82">
        <f>IF(OR(Scale!$AD113="",Scale!$AD113=0),"",IF(Scale!$AE113="",0,Scale!$AE113)+IF(Scale!$AF113="",0,Scale!$AF113))</f>
        <v/>
      </c>
      <c r="L425" s="82">
        <f>IF(OR(Scale!$AD113="",Scale!$AD113=0),"",Scale!$AE113)</f>
        <v/>
      </c>
      <c r="M425" s="82">
        <f>IF(OR(Scale!$AD113="",Scale!$AD113=0),"",Scale!$AF113)</f>
        <v/>
      </c>
      <c r="N425" s="81">
        <f>IF(OR(Scale!$AD113="",Scale!$AD113=0),"","مقابل پوز")</f>
        <v/>
      </c>
      <c r="O425" s="81">
        <f>IF(OR(Scale!$AD113="",Scale!$AD113=0),"",IFERROR(VLOOKUP(Scale!$AD113,AcctTbl,3,0),""))</f>
        <v/>
      </c>
      <c r="P425" s="82">
        <f>IF(Scale!$AD113&lt;&gt;"X011","","BN02")</f>
        <v/>
      </c>
    </row>
    <row r="426" ht="20.25" customHeight="1">
      <c r="A426" s="80">
        <f>IF(OR(Scale!$U114="",Scale!$U114=0),"",Scale!$B114)</f>
        <v/>
      </c>
      <c r="B426" s="80">
        <f>IF(OR(Scale!$U114="",Scale!$U114=0),"",Scale!$D114)</f>
        <v/>
      </c>
      <c r="C426" s="80">
        <f>IF(OR(Scale!$U114="",Scale!$U114=0),"","باسکول")</f>
        <v/>
      </c>
      <c r="D426" s="80">
        <f>IF(OR(Scale!$U114="",Scale!$U114=0),"",Scale!$U114)</f>
        <v/>
      </c>
      <c r="E426" s="81">
        <f>IF(OR(Scale!$U114="",Scale!$U114=0),"",Scale!$T114)</f>
        <v/>
      </c>
      <c r="F426" s="81">
        <f>IF(OR(Scale!$U114="",Scale!$U114=0),"",Scale!$J114)</f>
        <v/>
      </c>
      <c r="G426" s="82">
        <f>IF(OR(Scale!$U114="",Scale!$U114=0),"",Scale!$M114)</f>
        <v/>
      </c>
      <c r="H426" s="82">
        <f>IF(OR(Scale!$U114="",Scale!$U114=0),"",Scale!$L114)</f>
        <v/>
      </c>
      <c r="I426" s="82">
        <f>IF(OR(Scale!$U114="",Scale!$U114=0),"",Scale!$N114)</f>
        <v/>
      </c>
      <c r="J426" s="82">
        <f>IF(OR(Scale!$U114="",Scale!$U114=0),"",Scale!$O114)</f>
        <v/>
      </c>
      <c r="K426" s="82">
        <f>IF(OR(Scale!$U114="",Scale!$U114=0),"",IF(Scale!$V114="",0,Scale!$V114)+IF(Scale!$W114="",0,Scale!$W114))</f>
        <v/>
      </c>
      <c r="L426" s="82">
        <f>IF(OR(Scale!$U114="",Scale!$U114=0),"",Scale!$V114)</f>
        <v/>
      </c>
      <c r="M426" s="82">
        <f>IF(OR(Scale!$U114="",Scale!$U114=0),"",Scale!$W114)</f>
        <v/>
      </c>
      <c r="N426" s="81">
        <f>IF(OR(Scale!$U114="",Scale!$U114=0),"",Scale!$E114)</f>
        <v/>
      </c>
      <c r="O426" s="81">
        <f>IF(OR(Scale!$U114="",Scale!$U114=0),"",IFERROR(VLOOKUP(Scale!$U114,AcctTbl,3,0),""))</f>
        <v/>
      </c>
      <c r="P426" s="82">
        <f>IF(Scale!$U114&lt;&gt;"X011","","BN02")</f>
        <v/>
      </c>
    </row>
    <row r="427" ht="20.25" customHeight="1">
      <c r="A427" s="80">
        <f>IF(OR(Scale!$X114="",Scale!$X114=0),"",Scale!$B114)</f>
        <v/>
      </c>
      <c r="B427" s="80">
        <f>IF(OR(Scale!$X114="",Scale!$X114=0),"",Scale!$D114)</f>
        <v/>
      </c>
      <c r="C427" s="80">
        <f>IF(OR(Scale!$X114="",Scale!$X114=0),"","باسکول")</f>
        <v/>
      </c>
      <c r="D427" s="80">
        <f>IF(OR(Scale!$X114="",Scale!$X114=0),"",Scale!$X114)</f>
        <v/>
      </c>
      <c r="E427" s="81">
        <f>IF(OR(Scale!$X114="",Scale!$X114=0),"",IF(Scale!$X114="","","مقابل: "&amp;Scale!$E114))</f>
        <v/>
      </c>
      <c r="F427" s="83" t="n"/>
      <c r="G427" s="83" t="n"/>
      <c r="H427" s="83" t="n"/>
      <c r="I427" s="83" t="n"/>
      <c r="J427" s="83" t="n"/>
      <c r="K427" s="82">
        <f>IF(OR(Scale!$X114="",Scale!$X114=0),"",IF(Scale!$Y114="",0,Scale!$Y114)+IF(Scale!$Z114="",0,Scale!$Z114))</f>
        <v/>
      </c>
      <c r="L427" s="82">
        <f>IF(OR(Scale!$X114="",Scale!$X114=0),"",Scale!$Y114)</f>
        <v/>
      </c>
      <c r="M427" s="82">
        <f>IF(OR(Scale!$X114="",Scale!$X114=0),"",Scale!$Z114)</f>
        <v/>
      </c>
      <c r="N427" s="81">
        <f>IF(OR(Scale!$X114="",Scale!$X114=0),"","مقابل")</f>
        <v/>
      </c>
      <c r="O427" s="81">
        <f>IF(OR(Scale!$X114="",Scale!$X114=0),"",IFERROR(VLOOKUP(Scale!$X114,AcctTbl,3,0),""))</f>
        <v/>
      </c>
      <c r="P427" s="82">
        <f>IF(Scale!$X114&lt;&gt;"X011","","BN02")</f>
        <v/>
      </c>
    </row>
    <row r="428" ht="20.25" customHeight="1">
      <c r="A428" s="80">
        <f>IF(OR(Scale!$AA114="",Scale!$AA114=0),"",Scale!$B114)</f>
        <v/>
      </c>
      <c r="B428" s="80">
        <f>IF(OR(Scale!$AA114="",Scale!$AA114=0),"",Scale!$D114)</f>
        <v/>
      </c>
      <c r="C428" s="80">
        <f>IF(OR(Scale!$AA114="",Scale!$AA114=0),"","باسکول")</f>
        <v/>
      </c>
      <c r="D428" s="80">
        <f>IF(OR(Scale!$AA114="",Scale!$AA114=0),"",Scale!$AA114)</f>
        <v/>
      </c>
      <c r="E428" s="81">
        <f>IF(OR(Scale!$AA114="",Scale!$AA114=0),"",IF(Scale!$AA114="","","پوز باسکول — "&amp;Scale!$E114))</f>
        <v/>
      </c>
      <c r="F428" s="83" t="n"/>
      <c r="G428" s="83" t="n"/>
      <c r="H428" s="83" t="n"/>
      <c r="I428" s="83" t="n"/>
      <c r="J428" s="83" t="n"/>
      <c r="K428" s="82">
        <f>IF(OR(Scale!$AA114="",Scale!$AA114=0),"",IF(Scale!$AB114="",0,Scale!$AB114)+IF(Scale!$AC114="",0,Scale!$AC114))</f>
        <v/>
      </c>
      <c r="L428" s="82">
        <f>IF(OR(Scale!$AA114="",Scale!$AA114=0),"",Scale!$AB114)</f>
        <v/>
      </c>
      <c r="M428" s="82">
        <f>IF(OR(Scale!$AA114="",Scale!$AA114=0),"",Scale!$AC114)</f>
        <v/>
      </c>
      <c r="N428" s="81">
        <f>IF(OR(Scale!$AA114="",Scale!$AA114=0),"","پوز")</f>
        <v/>
      </c>
      <c r="O428" s="81">
        <f>IF(OR(Scale!$AA114="",Scale!$AA114=0),"",IFERROR(VLOOKUP(Scale!$AA114,AcctTbl,3,0),""))</f>
        <v/>
      </c>
      <c r="P428" s="82">
        <f>IF(Scale!$AA114&lt;&gt;"X011","","BN02")</f>
        <v/>
      </c>
    </row>
    <row r="429" ht="20.25" customHeight="1">
      <c r="A429" s="80">
        <f>IF(OR(Scale!$AD114="",Scale!$AD114=0),"",Scale!$B114)</f>
        <v/>
      </c>
      <c r="B429" s="80">
        <f>IF(OR(Scale!$AD114="",Scale!$AD114=0),"",Scale!$D114)</f>
        <v/>
      </c>
      <c r="C429" s="80">
        <f>IF(OR(Scale!$AD114="",Scale!$AD114=0),"","باسکول")</f>
        <v/>
      </c>
      <c r="D429" s="80">
        <f>IF(OR(Scale!$AD114="",Scale!$AD114=0),"",Scale!$AD114)</f>
        <v/>
      </c>
      <c r="E429" s="81">
        <f>IF(OR(Scale!$AD114="",Scale!$AD114=0),"",IF(Scale!$AD114="","","مقابل پوز — "&amp;Scale!$E114))</f>
        <v/>
      </c>
      <c r="F429" s="83" t="n"/>
      <c r="G429" s="83" t="n"/>
      <c r="H429" s="83" t="n"/>
      <c r="I429" s="83" t="n"/>
      <c r="J429" s="83" t="n"/>
      <c r="K429" s="82">
        <f>IF(OR(Scale!$AD114="",Scale!$AD114=0),"",IF(Scale!$AE114="",0,Scale!$AE114)+IF(Scale!$AF114="",0,Scale!$AF114))</f>
        <v/>
      </c>
      <c r="L429" s="82">
        <f>IF(OR(Scale!$AD114="",Scale!$AD114=0),"",Scale!$AE114)</f>
        <v/>
      </c>
      <c r="M429" s="82">
        <f>IF(OR(Scale!$AD114="",Scale!$AD114=0),"",Scale!$AF114)</f>
        <v/>
      </c>
      <c r="N429" s="81">
        <f>IF(OR(Scale!$AD114="",Scale!$AD114=0),"","مقابل پوز")</f>
        <v/>
      </c>
      <c r="O429" s="81">
        <f>IF(OR(Scale!$AD114="",Scale!$AD114=0),"",IFERROR(VLOOKUP(Scale!$AD114,AcctTbl,3,0),""))</f>
        <v/>
      </c>
      <c r="P429" s="82">
        <f>IF(Scale!$AD114&lt;&gt;"X011","","BN02")</f>
        <v/>
      </c>
    </row>
    <row r="430" ht="20.25" customHeight="1">
      <c r="A430" s="80">
        <f>IF(OR(Scale!$U115="",Scale!$U115=0),"",Scale!$B115)</f>
        <v/>
      </c>
      <c r="B430" s="80">
        <f>IF(OR(Scale!$U115="",Scale!$U115=0),"",Scale!$D115)</f>
        <v/>
      </c>
      <c r="C430" s="80">
        <f>IF(OR(Scale!$U115="",Scale!$U115=0),"","باسکول")</f>
        <v/>
      </c>
      <c r="D430" s="80">
        <f>IF(OR(Scale!$U115="",Scale!$U115=0),"",Scale!$U115)</f>
        <v/>
      </c>
      <c r="E430" s="81">
        <f>IF(OR(Scale!$U115="",Scale!$U115=0),"",Scale!$T115)</f>
        <v/>
      </c>
      <c r="F430" s="81">
        <f>IF(OR(Scale!$U115="",Scale!$U115=0),"",Scale!$J115)</f>
        <v/>
      </c>
      <c r="G430" s="82">
        <f>IF(OR(Scale!$U115="",Scale!$U115=0),"",Scale!$M115)</f>
        <v/>
      </c>
      <c r="H430" s="82">
        <f>IF(OR(Scale!$U115="",Scale!$U115=0),"",Scale!$L115)</f>
        <v/>
      </c>
      <c r="I430" s="82">
        <f>IF(OR(Scale!$U115="",Scale!$U115=0),"",Scale!$N115)</f>
        <v/>
      </c>
      <c r="J430" s="82">
        <f>IF(OR(Scale!$U115="",Scale!$U115=0),"",Scale!$O115)</f>
        <v/>
      </c>
      <c r="K430" s="82">
        <f>IF(OR(Scale!$U115="",Scale!$U115=0),"",IF(Scale!$V115="",0,Scale!$V115)+IF(Scale!$W115="",0,Scale!$W115))</f>
        <v/>
      </c>
      <c r="L430" s="82">
        <f>IF(OR(Scale!$U115="",Scale!$U115=0),"",Scale!$V115)</f>
        <v/>
      </c>
      <c r="M430" s="82">
        <f>IF(OR(Scale!$U115="",Scale!$U115=0),"",Scale!$W115)</f>
        <v/>
      </c>
      <c r="N430" s="81">
        <f>IF(OR(Scale!$U115="",Scale!$U115=0),"",Scale!$E115)</f>
        <v/>
      </c>
      <c r="O430" s="81">
        <f>IF(OR(Scale!$U115="",Scale!$U115=0),"",IFERROR(VLOOKUP(Scale!$U115,AcctTbl,3,0),""))</f>
        <v/>
      </c>
      <c r="P430" s="82">
        <f>IF(Scale!$U115&lt;&gt;"X011","","BN02")</f>
        <v/>
      </c>
    </row>
    <row r="431" ht="20.25" customHeight="1">
      <c r="A431" s="80">
        <f>IF(OR(Scale!$X115="",Scale!$X115=0),"",Scale!$B115)</f>
        <v/>
      </c>
      <c r="B431" s="80">
        <f>IF(OR(Scale!$X115="",Scale!$X115=0),"",Scale!$D115)</f>
        <v/>
      </c>
      <c r="C431" s="80">
        <f>IF(OR(Scale!$X115="",Scale!$X115=0),"","باسکول")</f>
        <v/>
      </c>
      <c r="D431" s="80">
        <f>IF(OR(Scale!$X115="",Scale!$X115=0),"",Scale!$X115)</f>
        <v/>
      </c>
      <c r="E431" s="81">
        <f>IF(OR(Scale!$X115="",Scale!$X115=0),"",IF(Scale!$X115="","","مقابل: "&amp;Scale!$E115))</f>
        <v/>
      </c>
      <c r="F431" s="83" t="n"/>
      <c r="G431" s="83" t="n"/>
      <c r="H431" s="83" t="n"/>
      <c r="I431" s="83" t="n"/>
      <c r="J431" s="83" t="n"/>
      <c r="K431" s="82">
        <f>IF(OR(Scale!$X115="",Scale!$X115=0),"",IF(Scale!$Y115="",0,Scale!$Y115)+IF(Scale!$Z115="",0,Scale!$Z115))</f>
        <v/>
      </c>
      <c r="L431" s="82">
        <f>IF(OR(Scale!$X115="",Scale!$X115=0),"",Scale!$Y115)</f>
        <v/>
      </c>
      <c r="M431" s="82">
        <f>IF(OR(Scale!$X115="",Scale!$X115=0),"",Scale!$Z115)</f>
        <v/>
      </c>
      <c r="N431" s="81">
        <f>IF(OR(Scale!$X115="",Scale!$X115=0),"","مقابل")</f>
        <v/>
      </c>
      <c r="O431" s="81">
        <f>IF(OR(Scale!$X115="",Scale!$X115=0),"",IFERROR(VLOOKUP(Scale!$X115,AcctTbl,3,0),""))</f>
        <v/>
      </c>
      <c r="P431" s="82">
        <f>IF(Scale!$X115&lt;&gt;"X011","","BN02")</f>
        <v/>
      </c>
    </row>
    <row r="432" ht="20.25" customHeight="1">
      <c r="A432" s="80">
        <f>IF(OR(Scale!$AA115="",Scale!$AA115=0),"",Scale!$B115)</f>
        <v/>
      </c>
      <c r="B432" s="80">
        <f>IF(OR(Scale!$AA115="",Scale!$AA115=0),"",Scale!$D115)</f>
        <v/>
      </c>
      <c r="C432" s="80">
        <f>IF(OR(Scale!$AA115="",Scale!$AA115=0),"","باسکول")</f>
        <v/>
      </c>
      <c r="D432" s="80">
        <f>IF(OR(Scale!$AA115="",Scale!$AA115=0),"",Scale!$AA115)</f>
        <v/>
      </c>
      <c r="E432" s="81">
        <f>IF(OR(Scale!$AA115="",Scale!$AA115=0),"",IF(Scale!$AA115="","","پوز باسکول — "&amp;Scale!$E115))</f>
        <v/>
      </c>
      <c r="F432" s="83" t="n"/>
      <c r="G432" s="83" t="n"/>
      <c r="H432" s="83" t="n"/>
      <c r="I432" s="83" t="n"/>
      <c r="J432" s="83" t="n"/>
      <c r="K432" s="82">
        <f>IF(OR(Scale!$AA115="",Scale!$AA115=0),"",IF(Scale!$AB115="",0,Scale!$AB115)+IF(Scale!$AC115="",0,Scale!$AC115))</f>
        <v/>
      </c>
      <c r="L432" s="82">
        <f>IF(OR(Scale!$AA115="",Scale!$AA115=0),"",Scale!$AB115)</f>
        <v/>
      </c>
      <c r="M432" s="82">
        <f>IF(OR(Scale!$AA115="",Scale!$AA115=0),"",Scale!$AC115)</f>
        <v/>
      </c>
      <c r="N432" s="81">
        <f>IF(OR(Scale!$AA115="",Scale!$AA115=0),"","پوز")</f>
        <v/>
      </c>
      <c r="O432" s="81">
        <f>IF(OR(Scale!$AA115="",Scale!$AA115=0),"",IFERROR(VLOOKUP(Scale!$AA115,AcctTbl,3,0),""))</f>
        <v/>
      </c>
      <c r="P432" s="82">
        <f>IF(Scale!$AA115&lt;&gt;"X011","","BN02")</f>
        <v/>
      </c>
    </row>
    <row r="433" ht="20.25" customHeight="1">
      <c r="A433" s="80">
        <f>IF(OR(Scale!$AD115="",Scale!$AD115=0),"",Scale!$B115)</f>
        <v/>
      </c>
      <c r="B433" s="80">
        <f>IF(OR(Scale!$AD115="",Scale!$AD115=0),"",Scale!$D115)</f>
        <v/>
      </c>
      <c r="C433" s="80">
        <f>IF(OR(Scale!$AD115="",Scale!$AD115=0),"","باسکول")</f>
        <v/>
      </c>
      <c r="D433" s="80">
        <f>IF(OR(Scale!$AD115="",Scale!$AD115=0),"",Scale!$AD115)</f>
        <v/>
      </c>
      <c r="E433" s="81">
        <f>IF(OR(Scale!$AD115="",Scale!$AD115=0),"",IF(Scale!$AD115="","","مقابل پوز — "&amp;Scale!$E115))</f>
        <v/>
      </c>
      <c r="F433" s="83" t="n"/>
      <c r="G433" s="83" t="n"/>
      <c r="H433" s="83" t="n"/>
      <c r="I433" s="83" t="n"/>
      <c r="J433" s="83" t="n"/>
      <c r="K433" s="82">
        <f>IF(OR(Scale!$AD115="",Scale!$AD115=0),"",IF(Scale!$AE115="",0,Scale!$AE115)+IF(Scale!$AF115="",0,Scale!$AF115))</f>
        <v/>
      </c>
      <c r="L433" s="82">
        <f>IF(OR(Scale!$AD115="",Scale!$AD115=0),"",Scale!$AE115)</f>
        <v/>
      </c>
      <c r="M433" s="82">
        <f>IF(OR(Scale!$AD115="",Scale!$AD115=0),"",Scale!$AF115)</f>
        <v/>
      </c>
      <c r="N433" s="81">
        <f>IF(OR(Scale!$AD115="",Scale!$AD115=0),"","مقابل پوز")</f>
        <v/>
      </c>
      <c r="O433" s="81">
        <f>IF(OR(Scale!$AD115="",Scale!$AD115=0),"",IFERROR(VLOOKUP(Scale!$AD115,AcctTbl,3,0),""))</f>
        <v/>
      </c>
      <c r="P433" s="82">
        <f>IF(Scale!$AD115&lt;&gt;"X011","","BN02")</f>
        <v/>
      </c>
    </row>
    <row r="434" ht="20.25" customHeight="1">
      <c r="A434" s="80">
        <f>IF(OR(Scale!$U116="",Scale!$U116=0),"",Scale!$B116)</f>
        <v/>
      </c>
      <c r="B434" s="80">
        <f>IF(OR(Scale!$U116="",Scale!$U116=0),"",Scale!$D116)</f>
        <v/>
      </c>
      <c r="C434" s="80">
        <f>IF(OR(Scale!$U116="",Scale!$U116=0),"","باسکول")</f>
        <v/>
      </c>
      <c r="D434" s="80">
        <f>IF(OR(Scale!$U116="",Scale!$U116=0),"",Scale!$U116)</f>
        <v/>
      </c>
      <c r="E434" s="81">
        <f>IF(OR(Scale!$U116="",Scale!$U116=0),"",Scale!$T116)</f>
        <v/>
      </c>
      <c r="F434" s="81">
        <f>IF(OR(Scale!$U116="",Scale!$U116=0),"",Scale!$J116)</f>
        <v/>
      </c>
      <c r="G434" s="82">
        <f>IF(OR(Scale!$U116="",Scale!$U116=0),"",Scale!$M116)</f>
        <v/>
      </c>
      <c r="H434" s="82">
        <f>IF(OR(Scale!$U116="",Scale!$U116=0),"",Scale!$L116)</f>
        <v/>
      </c>
      <c r="I434" s="82">
        <f>IF(OR(Scale!$U116="",Scale!$U116=0),"",Scale!$N116)</f>
        <v/>
      </c>
      <c r="J434" s="82">
        <f>IF(OR(Scale!$U116="",Scale!$U116=0),"",Scale!$O116)</f>
        <v/>
      </c>
      <c r="K434" s="82">
        <f>IF(OR(Scale!$U116="",Scale!$U116=0),"",IF(Scale!$V116="",0,Scale!$V116)+IF(Scale!$W116="",0,Scale!$W116))</f>
        <v/>
      </c>
      <c r="L434" s="82">
        <f>IF(OR(Scale!$U116="",Scale!$U116=0),"",Scale!$V116)</f>
        <v/>
      </c>
      <c r="M434" s="82">
        <f>IF(OR(Scale!$U116="",Scale!$U116=0),"",Scale!$W116)</f>
        <v/>
      </c>
      <c r="N434" s="81">
        <f>IF(OR(Scale!$U116="",Scale!$U116=0),"",Scale!$E116)</f>
        <v/>
      </c>
      <c r="O434" s="81">
        <f>IF(OR(Scale!$U116="",Scale!$U116=0),"",IFERROR(VLOOKUP(Scale!$U116,AcctTbl,3,0),""))</f>
        <v/>
      </c>
      <c r="P434" s="82">
        <f>IF(Scale!$U116&lt;&gt;"X011","","BN02")</f>
        <v/>
      </c>
    </row>
    <row r="435" ht="20.25" customHeight="1">
      <c r="A435" s="80">
        <f>IF(OR(Scale!$X116="",Scale!$X116=0),"",Scale!$B116)</f>
        <v/>
      </c>
      <c r="B435" s="80">
        <f>IF(OR(Scale!$X116="",Scale!$X116=0),"",Scale!$D116)</f>
        <v/>
      </c>
      <c r="C435" s="80">
        <f>IF(OR(Scale!$X116="",Scale!$X116=0),"","باسکول")</f>
        <v/>
      </c>
      <c r="D435" s="80">
        <f>IF(OR(Scale!$X116="",Scale!$X116=0),"",Scale!$X116)</f>
        <v/>
      </c>
      <c r="E435" s="81">
        <f>IF(OR(Scale!$X116="",Scale!$X116=0),"",IF(Scale!$X116="","","مقابل: "&amp;Scale!$E116))</f>
        <v/>
      </c>
      <c r="F435" s="83" t="n"/>
      <c r="G435" s="83" t="n"/>
      <c r="H435" s="83" t="n"/>
      <c r="I435" s="83" t="n"/>
      <c r="J435" s="83" t="n"/>
      <c r="K435" s="82">
        <f>IF(OR(Scale!$X116="",Scale!$X116=0),"",IF(Scale!$Y116="",0,Scale!$Y116)+IF(Scale!$Z116="",0,Scale!$Z116))</f>
        <v/>
      </c>
      <c r="L435" s="82">
        <f>IF(OR(Scale!$X116="",Scale!$X116=0),"",Scale!$Y116)</f>
        <v/>
      </c>
      <c r="M435" s="82">
        <f>IF(OR(Scale!$X116="",Scale!$X116=0),"",Scale!$Z116)</f>
        <v/>
      </c>
      <c r="N435" s="81">
        <f>IF(OR(Scale!$X116="",Scale!$X116=0),"","مقابل")</f>
        <v/>
      </c>
      <c r="O435" s="81">
        <f>IF(OR(Scale!$X116="",Scale!$X116=0),"",IFERROR(VLOOKUP(Scale!$X116,AcctTbl,3,0),""))</f>
        <v/>
      </c>
      <c r="P435" s="82">
        <f>IF(Scale!$X116&lt;&gt;"X011","","BN02")</f>
        <v/>
      </c>
    </row>
    <row r="436" ht="20.25" customHeight="1">
      <c r="A436" s="80">
        <f>IF(OR(Scale!$AA116="",Scale!$AA116=0),"",Scale!$B116)</f>
        <v/>
      </c>
      <c r="B436" s="80">
        <f>IF(OR(Scale!$AA116="",Scale!$AA116=0),"",Scale!$D116)</f>
        <v/>
      </c>
      <c r="C436" s="80">
        <f>IF(OR(Scale!$AA116="",Scale!$AA116=0),"","باسکول")</f>
        <v/>
      </c>
      <c r="D436" s="80">
        <f>IF(OR(Scale!$AA116="",Scale!$AA116=0),"",Scale!$AA116)</f>
        <v/>
      </c>
      <c r="E436" s="81">
        <f>IF(OR(Scale!$AA116="",Scale!$AA116=0),"",IF(Scale!$AA116="","","پوز باسکول — "&amp;Scale!$E116))</f>
        <v/>
      </c>
      <c r="F436" s="83" t="n"/>
      <c r="G436" s="83" t="n"/>
      <c r="H436" s="83" t="n"/>
      <c r="I436" s="83" t="n"/>
      <c r="J436" s="83" t="n"/>
      <c r="K436" s="82">
        <f>IF(OR(Scale!$AA116="",Scale!$AA116=0),"",IF(Scale!$AB116="",0,Scale!$AB116)+IF(Scale!$AC116="",0,Scale!$AC116))</f>
        <v/>
      </c>
      <c r="L436" s="82">
        <f>IF(OR(Scale!$AA116="",Scale!$AA116=0),"",Scale!$AB116)</f>
        <v/>
      </c>
      <c r="M436" s="82">
        <f>IF(OR(Scale!$AA116="",Scale!$AA116=0),"",Scale!$AC116)</f>
        <v/>
      </c>
      <c r="N436" s="81">
        <f>IF(OR(Scale!$AA116="",Scale!$AA116=0),"","پوز")</f>
        <v/>
      </c>
      <c r="O436" s="81">
        <f>IF(OR(Scale!$AA116="",Scale!$AA116=0),"",IFERROR(VLOOKUP(Scale!$AA116,AcctTbl,3,0),""))</f>
        <v/>
      </c>
      <c r="P436" s="82">
        <f>IF(Scale!$AA116&lt;&gt;"X011","","BN02")</f>
        <v/>
      </c>
    </row>
    <row r="437" ht="20.25" customHeight="1">
      <c r="A437" s="80">
        <f>IF(OR(Scale!$AD116="",Scale!$AD116=0),"",Scale!$B116)</f>
        <v/>
      </c>
      <c r="B437" s="80">
        <f>IF(OR(Scale!$AD116="",Scale!$AD116=0),"",Scale!$D116)</f>
        <v/>
      </c>
      <c r="C437" s="80">
        <f>IF(OR(Scale!$AD116="",Scale!$AD116=0),"","باسکول")</f>
        <v/>
      </c>
      <c r="D437" s="80">
        <f>IF(OR(Scale!$AD116="",Scale!$AD116=0),"",Scale!$AD116)</f>
        <v/>
      </c>
      <c r="E437" s="81">
        <f>IF(OR(Scale!$AD116="",Scale!$AD116=0),"",IF(Scale!$AD116="","","مقابل پوز — "&amp;Scale!$E116))</f>
        <v/>
      </c>
      <c r="F437" s="83" t="n"/>
      <c r="G437" s="83" t="n"/>
      <c r="H437" s="83" t="n"/>
      <c r="I437" s="83" t="n"/>
      <c r="J437" s="83" t="n"/>
      <c r="K437" s="82">
        <f>IF(OR(Scale!$AD116="",Scale!$AD116=0),"",IF(Scale!$AE116="",0,Scale!$AE116)+IF(Scale!$AF116="",0,Scale!$AF116))</f>
        <v/>
      </c>
      <c r="L437" s="82">
        <f>IF(OR(Scale!$AD116="",Scale!$AD116=0),"",Scale!$AE116)</f>
        <v/>
      </c>
      <c r="M437" s="82">
        <f>IF(OR(Scale!$AD116="",Scale!$AD116=0),"",Scale!$AF116)</f>
        <v/>
      </c>
      <c r="N437" s="81">
        <f>IF(OR(Scale!$AD116="",Scale!$AD116=0),"","مقابل پوز")</f>
        <v/>
      </c>
      <c r="O437" s="81">
        <f>IF(OR(Scale!$AD116="",Scale!$AD116=0),"",IFERROR(VLOOKUP(Scale!$AD116,AcctTbl,3,0),""))</f>
        <v/>
      </c>
      <c r="P437" s="82">
        <f>IF(Scale!$AD116&lt;&gt;"X011","","BN02")</f>
        <v/>
      </c>
    </row>
    <row r="438" ht="20.25" customHeight="1">
      <c r="A438" s="80">
        <f>IF(OR(Scale!$U117="",Scale!$U117=0),"",Scale!$B117)</f>
        <v/>
      </c>
      <c r="B438" s="80">
        <f>IF(OR(Scale!$U117="",Scale!$U117=0),"",Scale!$D117)</f>
        <v/>
      </c>
      <c r="C438" s="80">
        <f>IF(OR(Scale!$U117="",Scale!$U117=0),"","باسکول")</f>
        <v/>
      </c>
      <c r="D438" s="80">
        <f>IF(OR(Scale!$U117="",Scale!$U117=0),"",Scale!$U117)</f>
        <v/>
      </c>
      <c r="E438" s="81">
        <f>IF(OR(Scale!$U117="",Scale!$U117=0),"",Scale!$T117)</f>
        <v/>
      </c>
      <c r="F438" s="81">
        <f>IF(OR(Scale!$U117="",Scale!$U117=0),"",Scale!$J117)</f>
        <v/>
      </c>
      <c r="G438" s="82">
        <f>IF(OR(Scale!$U117="",Scale!$U117=0),"",Scale!$M117)</f>
        <v/>
      </c>
      <c r="H438" s="82">
        <f>IF(OR(Scale!$U117="",Scale!$U117=0),"",Scale!$L117)</f>
        <v/>
      </c>
      <c r="I438" s="82">
        <f>IF(OR(Scale!$U117="",Scale!$U117=0),"",Scale!$N117)</f>
        <v/>
      </c>
      <c r="J438" s="82">
        <f>IF(OR(Scale!$U117="",Scale!$U117=0),"",Scale!$O117)</f>
        <v/>
      </c>
      <c r="K438" s="82">
        <f>IF(OR(Scale!$U117="",Scale!$U117=0),"",IF(Scale!$V117="",0,Scale!$V117)+IF(Scale!$W117="",0,Scale!$W117))</f>
        <v/>
      </c>
      <c r="L438" s="82">
        <f>IF(OR(Scale!$U117="",Scale!$U117=0),"",Scale!$V117)</f>
        <v/>
      </c>
      <c r="M438" s="82">
        <f>IF(OR(Scale!$U117="",Scale!$U117=0),"",Scale!$W117)</f>
        <v/>
      </c>
      <c r="N438" s="81">
        <f>IF(OR(Scale!$U117="",Scale!$U117=0),"",Scale!$E117)</f>
        <v/>
      </c>
      <c r="O438" s="81">
        <f>IF(OR(Scale!$U117="",Scale!$U117=0),"",IFERROR(VLOOKUP(Scale!$U117,AcctTbl,3,0),""))</f>
        <v/>
      </c>
      <c r="P438" s="82">
        <f>IF(Scale!$U117&lt;&gt;"X011","","BN02")</f>
        <v/>
      </c>
    </row>
    <row r="439" ht="20.25" customHeight="1">
      <c r="A439" s="80">
        <f>IF(OR(Scale!$X117="",Scale!$X117=0),"",Scale!$B117)</f>
        <v/>
      </c>
      <c r="B439" s="80">
        <f>IF(OR(Scale!$X117="",Scale!$X117=0),"",Scale!$D117)</f>
        <v/>
      </c>
      <c r="C439" s="80">
        <f>IF(OR(Scale!$X117="",Scale!$X117=0),"","باسکول")</f>
        <v/>
      </c>
      <c r="D439" s="80">
        <f>IF(OR(Scale!$X117="",Scale!$X117=0),"",Scale!$X117)</f>
        <v/>
      </c>
      <c r="E439" s="81">
        <f>IF(OR(Scale!$X117="",Scale!$X117=0),"",IF(Scale!$X117="","","مقابل: "&amp;Scale!$E117))</f>
        <v/>
      </c>
      <c r="F439" s="83" t="n"/>
      <c r="G439" s="83" t="n"/>
      <c r="H439" s="83" t="n"/>
      <c r="I439" s="83" t="n"/>
      <c r="J439" s="83" t="n"/>
      <c r="K439" s="82">
        <f>IF(OR(Scale!$X117="",Scale!$X117=0),"",IF(Scale!$Y117="",0,Scale!$Y117)+IF(Scale!$Z117="",0,Scale!$Z117))</f>
        <v/>
      </c>
      <c r="L439" s="82">
        <f>IF(OR(Scale!$X117="",Scale!$X117=0),"",Scale!$Y117)</f>
        <v/>
      </c>
      <c r="M439" s="82">
        <f>IF(OR(Scale!$X117="",Scale!$X117=0),"",Scale!$Z117)</f>
        <v/>
      </c>
      <c r="N439" s="81">
        <f>IF(OR(Scale!$X117="",Scale!$X117=0),"","مقابل")</f>
        <v/>
      </c>
      <c r="O439" s="81">
        <f>IF(OR(Scale!$X117="",Scale!$X117=0),"",IFERROR(VLOOKUP(Scale!$X117,AcctTbl,3,0),""))</f>
        <v/>
      </c>
      <c r="P439" s="82">
        <f>IF(Scale!$X117&lt;&gt;"X011","","BN02")</f>
        <v/>
      </c>
    </row>
    <row r="440" ht="20.25" customHeight="1">
      <c r="A440" s="80">
        <f>IF(OR(Scale!$AA117="",Scale!$AA117=0),"",Scale!$B117)</f>
        <v/>
      </c>
      <c r="B440" s="80">
        <f>IF(OR(Scale!$AA117="",Scale!$AA117=0),"",Scale!$D117)</f>
        <v/>
      </c>
      <c r="C440" s="80">
        <f>IF(OR(Scale!$AA117="",Scale!$AA117=0),"","باسکول")</f>
        <v/>
      </c>
      <c r="D440" s="80">
        <f>IF(OR(Scale!$AA117="",Scale!$AA117=0),"",Scale!$AA117)</f>
        <v/>
      </c>
      <c r="E440" s="81">
        <f>IF(OR(Scale!$AA117="",Scale!$AA117=0),"",IF(Scale!$AA117="","","پوز باسکول — "&amp;Scale!$E117))</f>
        <v/>
      </c>
      <c r="F440" s="83" t="n"/>
      <c r="G440" s="83" t="n"/>
      <c r="H440" s="83" t="n"/>
      <c r="I440" s="83" t="n"/>
      <c r="J440" s="83" t="n"/>
      <c r="K440" s="82">
        <f>IF(OR(Scale!$AA117="",Scale!$AA117=0),"",IF(Scale!$AB117="",0,Scale!$AB117)+IF(Scale!$AC117="",0,Scale!$AC117))</f>
        <v/>
      </c>
      <c r="L440" s="82">
        <f>IF(OR(Scale!$AA117="",Scale!$AA117=0),"",Scale!$AB117)</f>
        <v/>
      </c>
      <c r="M440" s="82">
        <f>IF(OR(Scale!$AA117="",Scale!$AA117=0),"",Scale!$AC117)</f>
        <v/>
      </c>
      <c r="N440" s="81">
        <f>IF(OR(Scale!$AA117="",Scale!$AA117=0),"","پوز")</f>
        <v/>
      </c>
      <c r="O440" s="81">
        <f>IF(OR(Scale!$AA117="",Scale!$AA117=0),"",IFERROR(VLOOKUP(Scale!$AA117,AcctTbl,3,0),""))</f>
        <v/>
      </c>
      <c r="P440" s="82">
        <f>IF(Scale!$AA117&lt;&gt;"X011","","BN02")</f>
        <v/>
      </c>
    </row>
    <row r="441" ht="20.25" customHeight="1">
      <c r="A441" s="80">
        <f>IF(OR(Scale!$AD117="",Scale!$AD117=0),"",Scale!$B117)</f>
        <v/>
      </c>
      <c r="B441" s="80">
        <f>IF(OR(Scale!$AD117="",Scale!$AD117=0),"",Scale!$D117)</f>
        <v/>
      </c>
      <c r="C441" s="80">
        <f>IF(OR(Scale!$AD117="",Scale!$AD117=0),"","باسکول")</f>
        <v/>
      </c>
      <c r="D441" s="80">
        <f>IF(OR(Scale!$AD117="",Scale!$AD117=0),"",Scale!$AD117)</f>
        <v/>
      </c>
      <c r="E441" s="81">
        <f>IF(OR(Scale!$AD117="",Scale!$AD117=0),"",IF(Scale!$AD117="","","مقابل پوز — "&amp;Scale!$E117))</f>
        <v/>
      </c>
      <c r="F441" s="83" t="n"/>
      <c r="G441" s="83" t="n"/>
      <c r="H441" s="83" t="n"/>
      <c r="I441" s="83" t="n"/>
      <c r="J441" s="83" t="n"/>
      <c r="K441" s="82">
        <f>IF(OR(Scale!$AD117="",Scale!$AD117=0),"",IF(Scale!$AE117="",0,Scale!$AE117)+IF(Scale!$AF117="",0,Scale!$AF117))</f>
        <v/>
      </c>
      <c r="L441" s="82">
        <f>IF(OR(Scale!$AD117="",Scale!$AD117=0),"",Scale!$AE117)</f>
        <v/>
      </c>
      <c r="M441" s="82">
        <f>IF(OR(Scale!$AD117="",Scale!$AD117=0),"",Scale!$AF117)</f>
        <v/>
      </c>
      <c r="N441" s="81">
        <f>IF(OR(Scale!$AD117="",Scale!$AD117=0),"","مقابل پوز")</f>
        <v/>
      </c>
      <c r="O441" s="81">
        <f>IF(OR(Scale!$AD117="",Scale!$AD117=0),"",IFERROR(VLOOKUP(Scale!$AD117,AcctTbl,3,0),""))</f>
        <v/>
      </c>
      <c r="P441" s="82">
        <f>IF(Scale!$AD117&lt;&gt;"X011","","BN02")</f>
        <v/>
      </c>
    </row>
    <row r="442" ht="20.25" customHeight="1">
      <c r="A442" s="80">
        <f>IF(OR(Scale!$U118="",Scale!$U118=0),"",Scale!$B118)</f>
        <v/>
      </c>
      <c r="B442" s="80">
        <f>IF(OR(Scale!$U118="",Scale!$U118=0),"",Scale!$D118)</f>
        <v/>
      </c>
      <c r="C442" s="80">
        <f>IF(OR(Scale!$U118="",Scale!$U118=0),"","باسکول")</f>
        <v/>
      </c>
      <c r="D442" s="80">
        <f>IF(OR(Scale!$U118="",Scale!$U118=0),"",Scale!$U118)</f>
        <v/>
      </c>
      <c r="E442" s="81">
        <f>IF(OR(Scale!$U118="",Scale!$U118=0),"",Scale!$T118)</f>
        <v/>
      </c>
      <c r="F442" s="81">
        <f>IF(OR(Scale!$U118="",Scale!$U118=0),"",Scale!$J118)</f>
        <v/>
      </c>
      <c r="G442" s="82">
        <f>IF(OR(Scale!$U118="",Scale!$U118=0),"",Scale!$M118)</f>
        <v/>
      </c>
      <c r="H442" s="82">
        <f>IF(OR(Scale!$U118="",Scale!$U118=0),"",Scale!$L118)</f>
        <v/>
      </c>
      <c r="I442" s="82">
        <f>IF(OR(Scale!$U118="",Scale!$U118=0),"",Scale!$N118)</f>
        <v/>
      </c>
      <c r="J442" s="82">
        <f>IF(OR(Scale!$U118="",Scale!$U118=0),"",Scale!$O118)</f>
        <v/>
      </c>
      <c r="K442" s="82">
        <f>IF(OR(Scale!$U118="",Scale!$U118=0),"",IF(Scale!$V118="",0,Scale!$V118)+IF(Scale!$W118="",0,Scale!$W118))</f>
        <v/>
      </c>
      <c r="L442" s="82">
        <f>IF(OR(Scale!$U118="",Scale!$U118=0),"",Scale!$V118)</f>
        <v/>
      </c>
      <c r="M442" s="82">
        <f>IF(OR(Scale!$U118="",Scale!$U118=0),"",Scale!$W118)</f>
        <v/>
      </c>
      <c r="N442" s="81">
        <f>IF(OR(Scale!$U118="",Scale!$U118=0),"",Scale!$E118)</f>
        <v/>
      </c>
      <c r="O442" s="81">
        <f>IF(OR(Scale!$U118="",Scale!$U118=0),"",IFERROR(VLOOKUP(Scale!$U118,AcctTbl,3,0),""))</f>
        <v/>
      </c>
      <c r="P442" s="82">
        <f>IF(Scale!$U118&lt;&gt;"X011","","BN02")</f>
        <v/>
      </c>
    </row>
    <row r="443" ht="20.25" customHeight="1">
      <c r="A443" s="80">
        <f>IF(OR(Scale!$X118="",Scale!$X118=0),"",Scale!$B118)</f>
        <v/>
      </c>
      <c r="B443" s="80">
        <f>IF(OR(Scale!$X118="",Scale!$X118=0),"",Scale!$D118)</f>
        <v/>
      </c>
      <c r="C443" s="80">
        <f>IF(OR(Scale!$X118="",Scale!$X118=0),"","باسکول")</f>
        <v/>
      </c>
      <c r="D443" s="80">
        <f>IF(OR(Scale!$X118="",Scale!$X118=0),"",Scale!$X118)</f>
        <v/>
      </c>
      <c r="E443" s="81">
        <f>IF(OR(Scale!$X118="",Scale!$X118=0),"",IF(Scale!$X118="","","مقابل: "&amp;Scale!$E118))</f>
        <v/>
      </c>
      <c r="F443" s="83" t="n"/>
      <c r="G443" s="83" t="n"/>
      <c r="H443" s="83" t="n"/>
      <c r="I443" s="83" t="n"/>
      <c r="J443" s="83" t="n"/>
      <c r="K443" s="82">
        <f>IF(OR(Scale!$X118="",Scale!$X118=0),"",IF(Scale!$Y118="",0,Scale!$Y118)+IF(Scale!$Z118="",0,Scale!$Z118))</f>
        <v/>
      </c>
      <c r="L443" s="82">
        <f>IF(OR(Scale!$X118="",Scale!$X118=0),"",Scale!$Y118)</f>
        <v/>
      </c>
      <c r="M443" s="82">
        <f>IF(OR(Scale!$X118="",Scale!$X118=0),"",Scale!$Z118)</f>
        <v/>
      </c>
      <c r="N443" s="81">
        <f>IF(OR(Scale!$X118="",Scale!$X118=0),"","مقابل")</f>
        <v/>
      </c>
      <c r="O443" s="81">
        <f>IF(OR(Scale!$X118="",Scale!$X118=0),"",IFERROR(VLOOKUP(Scale!$X118,AcctTbl,3,0),""))</f>
        <v/>
      </c>
      <c r="P443" s="82">
        <f>IF(Scale!$X118&lt;&gt;"X011","","BN02")</f>
        <v/>
      </c>
    </row>
    <row r="444" ht="20.25" customHeight="1">
      <c r="A444" s="80">
        <f>IF(OR(Scale!$AA118="",Scale!$AA118=0),"",Scale!$B118)</f>
        <v/>
      </c>
      <c r="B444" s="80">
        <f>IF(OR(Scale!$AA118="",Scale!$AA118=0),"",Scale!$D118)</f>
        <v/>
      </c>
      <c r="C444" s="80">
        <f>IF(OR(Scale!$AA118="",Scale!$AA118=0),"","باسکول")</f>
        <v/>
      </c>
      <c r="D444" s="80">
        <f>IF(OR(Scale!$AA118="",Scale!$AA118=0),"",Scale!$AA118)</f>
        <v/>
      </c>
      <c r="E444" s="81">
        <f>IF(OR(Scale!$AA118="",Scale!$AA118=0),"",IF(Scale!$AA118="","","پوز باسکول — "&amp;Scale!$E118))</f>
        <v/>
      </c>
      <c r="F444" s="83" t="n"/>
      <c r="G444" s="83" t="n"/>
      <c r="H444" s="83" t="n"/>
      <c r="I444" s="83" t="n"/>
      <c r="J444" s="83" t="n"/>
      <c r="K444" s="82">
        <f>IF(OR(Scale!$AA118="",Scale!$AA118=0),"",IF(Scale!$AB118="",0,Scale!$AB118)+IF(Scale!$AC118="",0,Scale!$AC118))</f>
        <v/>
      </c>
      <c r="L444" s="82">
        <f>IF(OR(Scale!$AA118="",Scale!$AA118=0),"",Scale!$AB118)</f>
        <v/>
      </c>
      <c r="M444" s="82">
        <f>IF(OR(Scale!$AA118="",Scale!$AA118=0),"",Scale!$AC118)</f>
        <v/>
      </c>
      <c r="N444" s="81">
        <f>IF(OR(Scale!$AA118="",Scale!$AA118=0),"","پوز")</f>
        <v/>
      </c>
      <c r="O444" s="81">
        <f>IF(OR(Scale!$AA118="",Scale!$AA118=0),"",IFERROR(VLOOKUP(Scale!$AA118,AcctTbl,3,0),""))</f>
        <v/>
      </c>
      <c r="P444" s="82">
        <f>IF(Scale!$AA118&lt;&gt;"X011","","BN02")</f>
        <v/>
      </c>
    </row>
    <row r="445" ht="20.25" customHeight="1">
      <c r="A445" s="80">
        <f>IF(OR(Scale!$AD118="",Scale!$AD118=0),"",Scale!$B118)</f>
        <v/>
      </c>
      <c r="B445" s="80">
        <f>IF(OR(Scale!$AD118="",Scale!$AD118=0),"",Scale!$D118)</f>
        <v/>
      </c>
      <c r="C445" s="80">
        <f>IF(OR(Scale!$AD118="",Scale!$AD118=0),"","باسکول")</f>
        <v/>
      </c>
      <c r="D445" s="80">
        <f>IF(OR(Scale!$AD118="",Scale!$AD118=0),"",Scale!$AD118)</f>
        <v/>
      </c>
      <c r="E445" s="81">
        <f>IF(OR(Scale!$AD118="",Scale!$AD118=0),"",IF(Scale!$AD118="","","مقابل پوز — "&amp;Scale!$E118))</f>
        <v/>
      </c>
      <c r="F445" s="83" t="n"/>
      <c r="G445" s="83" t="n"/>
      <c r="H445" s="83" t="n"/>
      <c r="I445" s="83" t="n"/>
      <c r="J445" s="83" t="n"/>
      <c r="K445" s="82">
        <f>IF(OR(Scale!$AD118="",Scale!$AD118=0),"",IF(Scale!$AE118="",0,Scale!$AE118)+IF(Scale!$AF118="",0,Scale!$AF118))</f>
        <v/>
      </c>
      <c r="L445" s="82">
        <f>IF(OR(Scale!$AD118="",Scale!$AD118=0),"",Scale!$AE118)</f>
        <v/>
      </c>
      <c r="M445" s="82">
        <f>IF(OR(Scale!$AD118="",Scale!$AD118=0),"",Scale!$AF118)</f>
        <v/>
      </c>
      <c r="N445" s="81">
        <f>IF(OR(Scale!$AD118="",Scale!$AD118=0),"","مقابل پوز")</f>
        <v/>
      </c>
      <c r="O445" s="81">
        <f>IF(OR(Scale!$AD118="",Scale!$AD118=0),"",IFERROR(VLOOKUP(Scale!$AD118,AcctTbl,3,0),""))</f>
        <v/>
      </c>
      <c r="P445" s="82">
        <f>IF(Scale!$AD118&lt;&gt;"X011","","BN02")</f>
        <v/>
      </c>
    </row>
    <row r="446" ht="20.25" customHeight="1">
      <c r="A446" s="80">
        <f>IF(OR(Scale!$U119="",Scale!$U119=0),"",Scale!$B119)</f>
        <v/>
      </c>
      <c r="B446" s="80">
        <f>IF(OR(Scale!$U119="",Scale!$U119=0),"",Scale!$D119)</f>
        <v/>
      </c>
      <c r="C446" s="80">
        <f>IF(OR(Scale!$U119="",Scale!$U119=0),"","باسکول")</f>
        <v/>
      </c>
      <c r="D446" s="80">
        <f>IF(OR(Scale!$U119="",Scale!$U119=0),"",Scale!$U119)</f>
        <v/>
      </c>
      <c r="E446" s="81">
        <f>IF(OR(Scale!$U119="",Scale!$U119=0),"",Scale!$T119)</f>
        <v/>
      </c>
      <c r="F446" s="81">
        <f>IF(OR(Scale!$U119="",Scale!$U119=0),"",Scale!$J119)</f>
        <v/>
      </c>
      <c r="G446" s="82">
        <f>IF(OR(Scale!$U119="",Scale!$U119=0),"",Scale!$M119)</f>
        <v/>
      </c>
      <c r="H446" s="82">
        <f>IF(OR(Scale!$U119="",Scale!$U119=0),"",Scale!$L119)</f>
        <v/>
      </c>
      <c r="I446" s="82">
        <f>IF(OR(Scale!$U119="",Scale!$U119=0),"",Scale!$N119)</f>
        <v/>
      </c>
      <c r="J446" s="82">
        <f>IF(OR(Scale!$U119="",Scale!$U119=0),"",Scale!$O119)</f>
        <v/>
      </c>
      <c r="K446" s="82">
        <f>IF(OR(Scale!$U119="",Scale!$U119=0),"",IF(Scale!$V119="",0,Scale!$V119)+IF(Scale!$W119="",0,Scale!$W119))</f>
        <v/>
      </c>
      <c r="L446" s="82">
        <f>IF(OR(Scale!$U119="",Scale!$U119=0),"",Scale!$V119)</f>
        <v/>
      </c>
      <c r="M446" s="82">
        <f>IF(OR(Scale!$U119="",Scale!$U119=0),"",Scale!$W119)</f>
        <v/>
      </c>
      <c r="N446" s="81">
        <f>IF(OR(Scale!$U119="",Scale!$U119=0),"",Scale!$E119)</f>
        <v/>
      </c>
      <c r="O446" s="81">
        <f>IF(OR(Scale!$U119="",Scale!$U119=0),"",IFERROR(VLOOKUP(Scale!$U119,AcctTbl,3,0),""))</f>
        <v/>
      </c>
      <c r="P446" s="82">
        <f>IF(Scale!$U119&lt;&gt;"X011","","BN02")</f>
        <v/>
      </c>
    </row>
    <row r="447" ht="20.25" customHeight="1">
      <c r="A447" s="80">
        <f>IF(OR(Scale!$X119="",Scale!$X119=0),"",Scale!$B119)</f>
        <v/>
      </c>
      <c r="B447" s="80">
        <f>IF(OR(Scale!$X119="",Scale!$X119=0),"",Scale!$D119)</f>
        <v/>
      </c>
      <c r="C447" s="80">
        <f>IF(OR(Scale!$X119="",Scale!$X119=0),"","باسکول")</f>
        <v/>
      </c>
      <c r="D447" s="80">
        <f>IF(OR(Scale!$X119="",Scale!$X119=0),"",Scale!$X119)</f>
        <v/>
      </c>
      <c r="E447" s="81">
        <f>IF(OR(Scale!$X119="",Scale!$X119=0),"",IF(Scale!$X119="","","مقابل: "&amp;Scale!$E119))</f>
        <v/>
      </c>
      <c r="F447" s="83" t="n"/>
      <c r="G447" s="83" t="n"/>
      <c r="H447" s="83" t="n"/>
      <c r="I447" s="83" t="n"/>
      <c r="J447" s="83" t="n"/>
      <c r="K447" s="82">
        <f>IF(OR(Scale!$X119="",Scale!$X119=0),"",IF(Scale!$Y119="",0,Scale!$Y119)+IF(Scale!$Z119="",0,Scale!$Z119))</f>
        <v/>
      </c>
      <c r="L447" s="82">
        <f>IF(OR(Scale!$X119="",Scale!$X119=0),"",Scale!$Y119)</f>
        <v/>
      </c>
      <c r="M447" s="82">
        <f>IF(OR(Scale!$X119="",Scale!$X119=0),"",Scale!$Z119)</f>
        <v/>
      </c>
      <c r="N447" s="81">
        <f>IF(OR(Scale!$X119="",Scale!$X119=0),"","مقابل")</f>
        <v/>
      </c>
      <c r="O447" s="81">
        <f>IF(OR(Scale!$X119="",Scale!$X119=0),"",IFERROR(VLOOKUP(Scale!$X119,AcctTbl,3,0),""))</f>
        <v/>
      </c>
      <c r="P447" s="82">
        <f>IF(Scale!$X119&lt;&gt;"X011","","BN02")</f>
        <v/>
      </c>
    </row>
    <row r="448" ht="20.25" customHeight="1">
      <c r="A448" s="80">
        <f>IF(OR(Scale!$AA119="",Scale!$AA119=0),"",Scale!$B119)</f>
        <v/>
      </c>
      <c r="B448" s="80">
        <f>IF(OR(Scale!$AA119="",Scale!$AA119=0),"",Scale!$D119)</f>
        <v/>
      </c>
      <c r="C448" s="80">
        <f>IF(OR(Scale!$AA119="",Scale!$AA119=0),"","باسکول")</f>
        <v/>
      </c>
      <c r="D448" s="80">
        <f>IF(OR(Scale!$AA119="",Scale!$AA119=0),"",Scale!$AA119)</f>
        <v/>
      </c>
      <c r="E448" s="81">
        <f>IF(OR(Scale!$AA119="",Scale!$AA119=0),"",IF(Scale!$AA119="","","پوز باسکول — "&amp;Scale!$E119))</f>
        <v/>
      </c>
      <c r="F448" s="83" t="n"/>
      <c r="G448" s="83" t="n"/>
      <c r="H448" s="83" t="n"/>
      <c r="I448" s="83" t="n"/>
      <c r="J448" s="83" t="n"/>
      <c r="K448" s="82">
        <f>IF(OR(Scale!$AA119="",Scale!$AA119=0),"",IF(Scale!$AB119="",0,Scale!$AB119)+IF(Scale!$AC119="",0,Scale!$AC119))</f>
        <v/>
      </c>
      <c r="L448" s="82">
        <f>IF(OR(Scale!$AA119="",Scale!$AA119=0),"",Scale!$AB119)</f>
        <v/>
      </c>
      <c r="M448" s="82">
        <f>IF(OR(Scale!$AA119="",Scale!$AA119=0),"",Scale!$AC119)</f>
        <v/>
      </c>
      <c r="N448" s="81">
        <f>IF(OR(Scale!$AA119="",Scale!$AA119=0),"","پوز")</f>
        <v/>
      </c>
      <c r="O448" s="81">
        <f>IF(OR(Scale!$AA119="",Scale!$AA119=0),"",IFERROR(VLOOKUP(Scale!$AA119,AcctTbl,3,0),""))</f>
        <v/>
      </c>
      <c r="P448" s="82">
        <f>IF(Scale!$AA119&lt;&gt;"X011","","BN02")</f>
        <v/>
      </c>
    </row>
    <row r="449" ht="20.25" customHeight="1">
      <c r="A449" s="80">
        <f>IF(OR(Scale!$AD119="",Scale!$AD119=0),"",Scale!$B119)</f>
        <v/>
      </c>
      <c r="B449" s="80">
        <f>IF(OR(Scale!$AD119="",Scale!$AD119=0),"",Scale!$D119)</f>
        <v/>
      </c>
      <c r="C449" s="80">
        <f>IF(OR(Scale!$AD119="",Scale!$AD119=0),"","باسکول")</f>
        <v/>
      </c>
      <c r="D449" s="80">
        <f>IF(OR(Scale!$AD119="",Scale!$AD119=0),"",Scale!$AD119)</f>
        <v/>
      </c>
      <c r="E449" s="81">
        <f>IF(OR(Scale!$AD119="",Scale!$AD119=0),"",IF(Scale!$AD119="","","مقابل پوز — "&amp;Scale!$E119))</f>
        <v/>
      </c>
      <c r="F449" s="83" t="n"/>
      <c r="G449" s="83" t="n"/>
      <c r="H449" s="83" t="n"/>
      <c r="I449" s="83" t="n"/>
      <c r="J449" s="83" t="n"/>
      <c r="K449" s="82">
        <f>IF(OR(Scale!$AD119="",Scale!$AD119=0),"",IF(Scale!$AE119="",0,Scale!$AE119)+IF(Scale!$AF119="",0,Scale!$AF119))</f>
        <v/>
      </c>
      <c r="L449" s="82">
        <f>IF(OR(Scale!$AD119="",Scale!$AD119=0),"",Scale!$AE119)</f>
        <v/>
      </c>
      <c r="M449" s="82">
        <f>IF(OR(Scale!$AD119="",Scale!$AD119=0),"",Scale!$AF119)</f>
        <v/>
      </c>
      <c r="N449" s="81">
        <f>IF(OR(Scale!$AD119="",Scale!$AD119=0),"","مقابل پوز")</f>
        <v/>
      </c>
      <c r="O449" s="81">
        <f>IF(OR(Scale!$AD119="",Scale!$AD119=0),"",IFERROR(VLOOKUP(Scale!$AD119,AcctTbl,3,0),""))</f>
        <v/>
      </c>
      <c r="P449" s="82">
        <f>IF(Scale!$AD119&lt;&gt;"X011","","BN02")</f>
        <v/>
      </c>
    </row>
    <row r="450" ht="20.25" customHeight="1">
      <c r="A450" s="80">
        <f>IF(OR(Scale!$U120="",Scale!$U120=0),"",Scale!$B120)</f>
        <v/>
      </c>
      <c r="B450" s="80">
        <f>IF(OR(Scale!$U120="",Scale!$U120=0),"",Scale!$D120)</f>
        <v/>
      </c>
      <c r="C450" s="80">
        <f>IF(OR(Scale!$U120="",Scale!$U120=0),"","باسکول")</f>
        <v/>
      </c>
      <c r="D450" s="80">
        <f>IF(OR(Scale!$U120="",Scale!$U120=0),"",Scale!$U120)</f>
        <v/>
      </c>
      <c r="E450" s="81">
        <f>IF(OR(Scale!$U120="",Scale!$U120=0),"",Scale!$T120)</f>
        <v/>
      </c>
      <c r="F450" s="81">
        <f>IF(OR(Scale!$U120="",Scale!$U120=0),"",Scale!$J120)</f>
        <v/>
      </c>
      <c r="G450" s="82">
        <f>IF(OR(Scale!$U120="",Scale!$U120=0),"",Scale!$M120)</f>
        <v/>
      </c>
      <c r="H450" s="82">
        <f>IF(OR(Scale!$U120="",Scale!$U120=0),"",Scale!$L120)</f>
        <v/>
      </c>
      <c r="I450" s="82">
        <f>IF(OR(Scale!$U120="",Scale!$U120=0),"",Scale!$N120)</f>
        <v/>
      </c>
      <c r="J450" s="82">
        <f>IF(OR(Scale!$U120="",Scale!$U120=0),"",Scale!$O120)</f>
        <v/>
      </c>
      <c r="K450" s="82">
        <f>IF(OR(Scale!$U120="",Scale!$U120=0),"",IF(Scale!$V120="",0,Scale!$V120)+IF(Scale!$W120="",0,Scale!$W120))</f>
        <v/>
      </c>
      <c r="L450" s="82">
        <f>IF(OR(Scale!$U120="",Scale!$U120=0),"",Scale!$V120)</f>
        <v/>
      </c>
      <c r="M450" s="82">
        <f>IF(OR(Scale!$U120="",Scale!$U120=0),"",Scale!$W120)</f>
        <v/>
      </c>
      <c r="N450" s="81">
        <f>IF(OR(Scale!$U120="",Scale!$U120=0),"",Scale!$E120)</f>
        <v/>
      </c>
      <c r="O450" s="81">
        <f>IF(OR(Scale!$U120="",Scale!$U120=0),"",IFERROR(VLOOKUP(Scale!$U120,AcctTbl,3,0),""))</f>
        <v/>
      </c>
      <c r="P450" s="82">
        <f>IF(Scale!$U120&lt;&gt;"X011","","BN02")</f>
        <v/>
      </c>
    </row>
    <row r="451" ht="20.25" customHeight="1">
      <c r="A451" s="80">
        <f>IF(OR(Scale!$X120="",Scale!$X120=0),"",Scale!$B120)</f>
        <v/>
      </c>
      <c r="B451" s="80">
        <f>IF(OR(Scale!$X120="",Scale!$X120=0),"",Scale!$D120)</f>
        <v/>
      </c>
      <c r="C451" s="80">
        <f>IF(OR(Scale!$X120="",Scale!$X120=0),"","باسکول")</f>
        <v/>
      </c>
      <c r="D451" s="80">
        <f>IF(OR(Scale!$X120="",Scale!$X120=0),"",Scale!$X120)</f>
        <v/>
      </c>
      <c r="E451" s="81">
        <f>IF(OR(Scale!$X120="",Scale!$X120=0),"",IF(Scale!$X120="","","مقابل: "&amp;Scale!$E120))</f>
        <v/>
      </c>
      <c r="F451" s="83" t="n"/>
      <c r="G451" s="83" t="n"/>
      <c r="H451" s="83" t="n"/>
      <c r="I451" s="83" t="n"/>
      <c r="J451" s="83" t="n"/>
      <c r="K451" s="82">
        <f>IF(OR(Scale!$X120="",Scale!$X120=0),"",IF(Scale!$Y120="",0,Scale!$Y120)+IF(Scale!$Z120="",0,Scale!$Z120))</f>
        <v/>
      </c>
      <c r="L451" s="82">
        <f>IF(OR(Scale!$X120="",Scale!$X120=0),"",Scale!$Y120)</f>
        <v/>
      </c>
      <c r="M451" s="82">
        <f>IF(OR(Scale!$X120="",Scale!$X120=0),"",Scale!$Z120)</f>
        <v/>
      </c>
      <c r="N451" s="81">
        <f>IF(OR(Scale!$X120="",Scale!$X120=0),"","مقابل")</f>
        <v/>
      </c>
      <c r="O451" s="81">
        <f>IF(OR(Scale!$X120="",Scale!$X120=0),"",IFERROR(VLOOKUP(Scale!$X120,AcctTbl,3,0),""))</f>
        <v/>
      </c>
      <c r="P451" s="82">
        <f>IF(Scale!$X120&lt;&gt;"X011","","BN02")</f>
        <v/>
      </c>
    </row>
    <row r="452" ht="20.25" customHeight="1">
      <c r="A452" s="80">
        <f>IF(OR(Scale!$AA120="",Scale!$AA120=0),"",Scale!$B120)</f>
        <v/>
      </c>
      <c r="B452" s="80">
        <f>IF(OR(Scale!$AA120="",Scale!$AA120=0),"",Scale!$D120)</f>
        <v/>
      </c>
      <c r="C452" s="80">
        <f>IF(OR(Scale!$AA120="",Scale!$AA120=0),"","باسکول")</f>
        <v/>
      </c>
      <c r="D452" s="80">
        <f>IF(OR(Scale!$AA120="",Scale!$AA120=0),"",Scale!$AA120)</f>
        <v/>
      </c>
      <c r="E452" s="81">
        <f>IF(OR(Scale!$AA120="",Scale!$AA120=0),"",IF(Scale!$AA120="","","پوز باسکول — "&amp;Scale!$E120))</f>
        <v/>
      </c>
      <c r="F452" s="83" t="n"/>
      <c r="G452" s="83" t="n"/>
      <c r="H452" s="83" t="n"/>
      <c r="I452" s="83" t="n"/>
      <c r="J452" s="83" t="n"/>
      <c r="K452" s="82">
        <f>IF(OR(Scale!$AA120="",Scale!$AA120=0),"",IF(Scale!$AB120="",0,Scale!$AB120)+IF(Scale!$AC120="",0,Scale!$AC120))</f>
        <v/>
      </c>
      <c r="L452" s="82">
        <f>IF(OR(Scale!$AA120="",Scale!$AA120=0),"",Scale!$AB120)</f>
        <v/>
      </c>
      <c r="M452" s="82">
        <f>IF(OR(Scale!$AA120="",Scale!$AA120=0),"",Scale!$AC120)</f>
        <v/>
      </c>
      <c r="N452" s="81">
        <f>IF(OR(Scale!$AA120="",Scale!$AA120=0),"","پوز")</f>
        <v/>
      </c>
      <c r="O452" s="81">
        <f>IF(OR(Scale!$AA120="",Scale!$AA120=0),"",IFERROR(VLOOKUP(Scale!$AA120,AcctTbl,3,0),""))</f>
        <v/>
      </c>
      <c r="P452" s="82">
        <f>IF(Scale!$AA120&lt;&gt;"X011","","BN02")</f>
        <v/>
      </c>
    </row>
    <row r="453" ht="20.25" customHeight="1">
      <c r="A453" s="80">
        <f>IF(OR(Scale!$AD120="",Scale!$AD120=0),"",Scale!$B120)</f>
        <v/>
      </c>
      <c r="B453" s="80">
        <f>IF(OR(Scale!$AD120="",Scale!$AD120=0),"",Scale!$D120)</f>
        <v/>
      </c>
      <c r="C453" s="80">
        <f>IF(OR(Scale!$AD120="",Scale!$AD120=0),"","باسکول")</f>
        <v/>
      </c>
      <c r="D453" s="80">
        <f>IF(OR(Scale!$AD120="",Scale!$AD120=0),"",Scale!$AD120)</f>
        <v/>
      </c>
      <c r="E453" s="81">
        <f>IF(OR(Scale!$AD120="",Scale!$AD120=0),"",IF(Scale!$AD120="","","مقابل پوز — "&amp;Scale!$E120))</f>
        <v/>
      </c>
      <c r="F453" s="83" t="n"/>
      <c r="G453" s="83" t="n"/>
      <c r="H453" s="83" t="n"/>
      <c r="I453" s="83" t="n"/>
      <c r="J453" s="83" t="n"/>
      <c r="K453" s="82">
        <f>IF(OR(Scale!$AD120="",Scale!$AD120=0),"",IF(Scale!$AE120="",0,Scale!$AE120)+IF(Scale!$AF120="",0,Scale!$AF120))</f>
        <v/>
      </c>
      <c r="L453" s="82">
        <f>IF(OR(Scale!$AD120="",Scale!$AD120=0),"",Scale!$AE120)</f>
        <v/>
      </c>
      <c r="M453" s="82">
        <f>IF(OR(Scale!$AD120="",Scale!$AD120=0),"",Scale!$AF120)</f>
        <v/>
      </c>
      <c r="N453" s="81">
        <f>IF(OR(Scale!$AD120="",Scale!$AD120=0),"","مقابل پوز")</f>
        <v/>
      </c>
      <c r="O453" s="81">
        <f>IF(OR(Scale!$AD120="",Scale!$AD120=0),"",IFERROR(VLOOKUP(Scale!$AD120,AcctTbl,3,0),""))</f>
        <v/>
      </c>
      <c r="P453" s="82">
        <f>IF(Scale!$AD120&lt;&gt;"X011","","BN02")</f>
        <v/>
      </c>
    </row>
    <row r="454" ht="20.25" customHeight="1">
      <c r="A454" s="80">
        <f>IF(OR(Scale!$U121="",Scale!$U121=0),"",Scale!$B121)</f>
        <v/>
      </c>
      <c r="B454" s="80">
        <f>IF(OR(Scale!$U121="",Scale!$U121=0),"",Scale!$D121)</f>
        <v/>
      </c>
      <c r="C454" s="80">
        <f>IF(OR(Scale!$U121="",Scale!$U121=0),"","باسکول")</f>
        <v/>
      </c>
      <c r="D454" s="80">
        <f>IF(OR(Scale!$U121="",Scale!$U121=0),"",Scale!$U121)</f>
        <v/>
      </c>
      <c r="E454" s="81">
        <f>IF(OR(Scale!$U121="",Scale!$U121=0),"",Scale!$T121)</f>
        <v/>
      </c>
      <c r="F454" s="81">
        <f>IF(OR(Scale!$U121="",Scale!$U121=0),"",Scale!$J121)</f>
        <v/>
      </c>
      <c r="G454" s="82">
        <f>IF(OR(Scale!$U121="",Scale!$U121=0),"",Scale!$M121)</f>
        <v/>
      </c>
      <c r="H454" s="82">
        <f>IF(OR(Scale!$U121="",Scale!$U121=0),"",Scale!$L121)</f>
        <v/>
      </c>
      <c r="I454" s="82">
        <f>IF(OR(Scale!$U121="",Scale!$U121=0),"",Scale!$N121)</f>
        <v/>
      </c>
      <c r="J454" s="82">
        <f>IF(OR(Scale!$U121="",Scale!$U121=0),"",Scale!$O121)</f>
        <v/>
      </c>
      <c r="K454" s="82">
        <f>IF(OR(Scale!$U121="",Scale!$U121=0),"",IF(Scale!$V121="",0,Scale!$V121)+IF(Scale!$W121="",0,Scale!$W121))</f>
        <v/>
      </c>
      <c r="L454" s="82">
        <f>IF(OR(Scale!$U121="",Scale!$U121=0),"",Scale!$V121)</f>
        <v/>
      </c>
      <c r="M454" s="82">
        <f>IF(OR(Scale!$U121="",Scale!$U121=0),"",Scale!$W121)</f>
        <v/>
      </c>
      <c r="N454" s="81">
        <f>IF(OR(Scale!$U121="",Scale!$U121=0),"",Scale!$E121)</f>
        <v/>
      </c>
      <c r="O454" s="81">
        <f>IF(OR(Scale!$U121="",Scale!$U121=0),"",IFERROR(VLOOKUP(Scale!$U121,AcctTbl,3,0),""))</f>
        <v/>
      </c>
      <c r="P454" s="82">
        <f>IF(Scale!$U121&lt;&gt;"X011","","BN02")</f>
        <v/>
      </c>
    </row>
    <row r="455" ht="20.25" customHeight="1">
      <c r="A455" s="80">
        <f>IF(OR(Scale!$X121="",Scale!$X121=0),"",Scale!$B121)</f>
        <v/>
      </c>
      <c r="B455" s="80">
        <f>IF(OR(Scale!$X121="",Scale!$X121=0),"",Scale!$D121)</f>
        <v/>
      </c>
      <c r="C455" s="80">
        <f>IF(OR(Scale!$X121="",Scale!$X121=0),"","باسکول")</f>
        <v/>
      </c>
      <c r="D455" s="80">
        <f>IF(OR(Scale!$X121="",Scale!$X121=0),"",Scale!$X121)</f>
        <v/>
      </c>
      <c r="E455" s="81">
        <f>IF(OR(Scale!$X121="",Scale!$X121=0),"",IF(Scale!$X121="","","مقابل: "&amp;Scale!$E121))</f>
        <v/>
      </c>
      <c r="F455" s="83" t="n"/>
      <c r="G455" s="83" t="n"/>
      <c r="H455" s="83" t="n"/>
      <c r="I455" s="83" t="n"/>
      <c r="J455" s="83" t="n"/>
      <c r="K455" s="82">
        <f>IF(OR(Scale!$X121="",Scale!$X121=0),"",IF(Scale!$Y121="",0,Scale!$Y121)+IF(Scale!$Z121="",0,Scale!$Z121))</f>
        <v/>
      </c>
      <c r="L455" s="82">
        <f>IF(OR(Scale!$X121="",Scale!$X121=0),"",Scale!$Y121)</f>
        <v/>
      </c>
      <c r="M455" s="82">
        <f>IF(OR(Scale!$X121="",Scale!$X121=0),"",Scale!$Z121)</f>
        <v/>
      </c>
      <c r="N455" s="81">
        <f>IF(OR(Scale!$X121="",Scale!$X121=0),"","مقابل")</f>
        <v/>
      </c>
      <c r="O455" s="81">
        <f>IF(OR(Scale!$X121="",Scale!$X121=0),"",IFERROR(VLOOKUP(Scale!$X121,AcctTbl,3,0),""))</f>
        <v/>
      </c>
      <c r="P455" s="82">
        <f>IF(Scale!$X121&lt;&gt;"X011","","BN02")</f>
        <v/>
      </c>
    </row>
    <row r="456" ht="20.25" customHeight="1">
      <c r="A456" s="80">
        <f>IF(OR(Scale!$AA121="",Scale!$AA121=0),"",Scale!$B121)</f>
        <v/>
      </c>
      <c r="B456" s="80">
        <f>IF(OR(Scale!$AA121="",Scale!$AA121=0),"",Scale!$D121)</f>
        <v/>
      </c>
      <c r="C456" s="80">
        <f>IF(OR(Scale!$AA121="",Scale!$AA121=0),"","باسکول")</f>
        <v/>
      </c>
      <c r="D456" s="80">
        <f>IF(OR(Scale!$AA121="",Scale!$AA121=0),"",Scale!$AA121)</f>
        <v/>
      </c>
      <c r="E456" s="81">
        <f>IF(OR(Scale!$AA121="",Scale!$AA121=0),"",IF(Scale!$AA121="","","پوز باسکول — "&amp;Scale!$E121))</f>
        <v/>
      </c>
      <c r="F456" s="83" t="n"/>
      <c r="G456" s="83" t="n"/>
      <c r="H456" s="83" t="n"/>
      <c r="I456" s="83" t="n"/>
      <c r="J456" s="83" t="n"/>
      <c r="K456" s="82">
        <f>IF(OR(Scale!$AA121="",Scale!$AA121=0),"",IF(Scale!$AB121="",0,Scale!$AB121)+IF(Scale!$AC121="",0,Scale!$AC121))</f>
        <v/>
      </c>
      <c r="L456" s="82">
        <f>IF(OR(Scale!$AA121="",Scale!$AA121=0),"",Scale!$AB121)</f>
        <v/>
      </c>
      <c r="M456" s="82">
        <f>IF(OR(Scale!$AA121="",Scale!$AA121=0),"",Scale!$AC121)</f>
        <v/>
      </c>
      <c r="N456" s="81">
        <f>IF(OR(Scale!$AA121="",Scale!$AA121=0),"","پوز")</f>
        <v/>
      </c>
      <c r="O456" s="81">
        <f>IF(OR(Scale!$AA121="",Scale!$AA121=0),"",IFERROR(VLOOKUP(Scale!$AA121,AcctTbl,3,0),""))</f>
        <v/>
      </c>
      <c r="P456" s="82">
        <f>IF(Scale!$AA121&lt;&gt;"X011","","BN02")</f>
        <v/>
      </c>
    </row>
    <row r="457" ht="20.25" customHeight="1">
      <c r="A457" s="80">
        <f>IF(OR(Scale!$AD121="",Scale!$AD121=0),"",Scale!$B121)</f>
        <v/>
      </c>
      <c r="B457" s="80">
        <f>IF(OR(Scale!$AD121="",Scale!$AD121=0),"",Scale!$D121)</f>
        <v/>
      </c>
      <c r="C457" s="80">
        <f>IF(OR(Scale!$AD121="",Scale!$AD121=0),"","باسکول")</f>
        <v/>
      </c>
      <c r="D457" s="80">
        <f>IF(OR(Scale!$AD121="",Scale!$AD121=0),"",Scale!$AD121)</f>
        <v/>
      </c>
      <c r="E457" s="81">
        <f>IF(OR(Scale!$AD121="",Scale!$AD121=0),"",IF(Scale!$AD121="","","مقابل پوز — "&amp;Scale!$E121))</f>
        <v/>
      </c>
      <c r="F457" s="83" t="n"/>
      <c r="G457" s="83" t="n"/>
      <c r="H457" s="83" t="n"/>
      <c r="I457" s="83" t="n"/>
      <c r="J457" s="83" t="n"/>
      <c r="K457" s="82">
        <f>IF(OR(Scale!$AD121="",Scale!$AD121=0),"",IF(Scale!$AE121="",0,Scale!$AE121)+IF(Scale!$AF121="",0,Scale!$AF121))</f>
        <v/>
      </c>
      <c r="L457" s="82">
        <f>IF(OR(Scale!$AD121="",Scale!$AD121=0),"",Scale!$AE121)</f>
        <v/>
      </c>
      <c r="M457" s="82">
        <f>IF(OR(Scale!$AD121="",Scale!$AD121=0),"",Scale!$AF121)</f>
        <v/>
      </c>
      <c r="N457" s="81">
        <f>IF(OR(Scale!$AD121="",Scale!$AD121=0),"","مقابل پوز")</f>
        <v/>
      </c>
      <c r="O457" s="81">
        <f>IF(OR(Scale!$AD121="",Scale!$AD121=0),"",IFERROR(VLOOKUP(Scale!$AD121,AcctTbl,3,0),""))</f>
        <v/>
      </c>
      <c r="P457" s="82">
        <f>IF(Scale!$AD121&lt;&gt;"X011","","BN02")</f>
        <v/>
      </c>
    </row>
    <row r="458" ht="20.25" customHeight="1">
      <c r="A458" s="80">
        <f>IF(OR(Scale!$U122="",Scale!$U122=0),"",Scale!$B122)</f>
        <v/>
      </c>
      <c r="B458" s="80">
        <f>IF(OR(Scale!$U122="",Scale!$U122=0),"",Scale!$D122)</f>
        <v/>
      </c>
      <c r="C458" s="80">
        <f>IF(OR(Scale!$U122="",Scale!$U122=0),"","باسکول")</f>
        <v/>
      </c>
      <c r="D458" s="80">
        <f>IF(OR(Scale!$U122="",Scale!$U122=0),"",Scale!$U122)</f>
        <v/>
      </c>
      <c r="E458" s="81">
        <f>IF(OR(Scale!$U122="",Scale!$U122=0),"",Scale!$T122)</f>
        <v/>
      </c>
      <c r="F458" s="81">
        <f>IF(OR(Scale!$U122="",Scale!$U122=0),"",Scale!$J122)</f>
        <v/>
      </c>
      <c r="G458" s="82">
        <f>IF(OR(Scale!$U122="",Scale!$U122=0),"",Scale!$M122)</f>
        <v/>
      </c>
      <c r="H458" s="82">
        <f>IF(OR(Scale!$U122="",Scale!$U122=0),"",Scale!$L122)</f>
        <v/>
      </c>
      <c r="I458" s="82">
        <f>IF(OR(Scale!$U122="",Scale!$U122=0),"",Scale!$N122)</f>
        <v/>
      </c>
      <c r="J458" s="82">
        <f>IF(OR(Scale!$U122="",Scale!$U122=0),"",Scale!$O122)</f>
        <v/>
      </c>
      <c r="K458" s="82">
        <f>IF(OR(Scale!$U122="",Scale!$U122=0),"",IF(Scale!$V122="",0,Scale!$V122)+IF(Scale!$W122="",0,Scale!$W122))</f>
        <v/>
      </c>
      <c r="L458" s="82">
        <f>IF(OR(Scale!$U122="",Scale!$U122=0),"",Scale!$V122)</f>
        <v/>
      </c>
      <c r="M458" s="82">
        <f>IF(OR(Scale!$U122="",Scale!$U122=0),"",Scale!$W122)</f>
        <v/>
      </c>
      <c r="N458" s="81">
        <f>IF(OR(Scale!$U122="",Scale!$U122=0),"",Scale!$E122)</f>
        <v/>
      </c>
      <c r="O458" s="81">
        <f>IF(OR(Scale!$U122="",Scale!$U122=0),"",IFERROR(VLOOKUP(Scale!$U122,AcctTbl,3,0),""))</f>
        <v/>
      </c>
      <c r="P458" s="82">
        <f>IF(Scale!$U122&lt;&gt;"X011","","BN02")</f>
        <v/>
      </c>
    </row>
    <row r="459" ht="20.25" customHeight="1">
      <c r="A459" s="80">
        <f>IF(OR(Scale!$X122="",Scale!$X122=0),"",Scale!$B122)</f>
        <v/>
      </c>
      <c r="B459" s="80">
        <f>IF(OR(Scale!$X122="",Scale!$X122=0),"",Scale!$D122)</f>
        <v/>
      </c>
      <c r="C459" s="80">
        <f>IF(OR(Scale!$X122="",Scale!$X122=0),"","باسکول")</f>
        <v/>
      </c>
      <c r="D459" s="80">
        <f>IF(OR(Scale!$X122="",Scale!$X122=0),"",Scale!$X122)</f>
        <v/>
      </c>
      <c r="E459" s="81">
        <f>IF(OR(Scale!$X122="",Scale!$X122=0),"",IF(Scale!$X122="","","مقابل: "&amp;Scale!$E122))</f>
        <v/>
      </c>
      <c r="F459" s="83" t="n"/>
      <c r="G459" s="83" t="n"/>
      <c r="H459" s="83" t="n"/>
      <c r="I459" s="83" t="n"/>
      <c r="J459" s="83" t="n"/>
      <c r="K459" s="82">
        <f>IF(OR(Scale!$X122="",Scale!$X122=0),"",IF(Scale!$Y122="",0,Scale!$Y122)+IF(Scale!$Z122="",0,Scale!$Z122))</f>
        <v/>
      </c>
      <c r="L459" s="82">
        <f>IF(OR(Scale!$X122="",Scale!$X122=0),"",Scale!$Y122)</f>
        <v/>
      </c>
      <c r="M459" s="82">
        <f>IF(OR(Scale!$X122="",Scale!$X122=0),"",Scale!$Z122)</f>
        <v/>
      </c>
      <c r="N459" s="81">
        <f>IF(OR(Scale!$X122="",Scale!$X122=0),"","مقابل")</f>
        <v/>
      </c>
      <c r="O459" s="81">
        <f>IF(OR(Scale!$X122="",Scale!$X122=0),"",IFERROR(VLOOKUP(Scale!$X122,AcctTbl,3,0),""))</f>
        <v/>
      </c>
      <c r="P459" s="82">
        <f>IF(Scale!$X122&lt;&gt;"X011","","BN02")</f>
        <v/>
      </c>
    </row>
    <row r="460" ht="20.25" customHeight="1">
      <c r="A460" s="80">
        <f>IF(OR(Scale!$AA122="",Scale!$AA122=0),"",Scale!$B122)</f>
        <v/>
      </c>
      <c r="B460" s="80">
        <f>IF(OR(Scale!$AA122="",Scale!$AA122=0),"",Scale!$D122)</f>
        <v/>
      </c>
      <c r="C460" s="80">
        <f>IF(OR(Scale!$AA122="",Scale!$AA122=0),"","باسکول")</f>
        <v/>
      </c>
      <c r="D460" s="80">
        <f>IF(OR(Scale!$AA122="",Scale!$AA122=0),"",Scale!$AA122)</f>
        <v/>
      </c>
      <c r="E460" s="81">
        <f>IF(OR(Scale!$AA122="",Scale!$AA122=0),"",IF(Scale!$AA122="","","پوز باسکول — "&amp;Scale!$E122))</f>
        <v/>
      </c>
      <c r="F460" s="83" t="n"/>
      <c r="G460" s="83" t="n"/>
      <c r="H460" s="83" t="n"/>
      <c r="I460" s="83" t="n"/>
      <c r="J460" s="83" t="n"/>
      <c r="K460" s="82">
        <f>IF(OR(Scale!$AA122="",Scale!$AA122=0),"",IF(Scale!$AB122="",0,Scale!$AB122)+IF(Scale!$AC122="",0,Scale!$AC122))</f>
        <v/>
      </c>
      <c r="L460" s="82">
        <f>IF(OR(Scale!$AA122="",Scale!$AA122=0),"",Scale!$AB122)</f>
        <v/>
      </c>
      <c r="M460" s="82">
        <f>IF(OR(Scale!$AA122="",Scale!$AA122=0),"",Scale!$AC122)</f>
        <v/>
      </c>
      <c r="N460" s="81">
        <f>IF(OR(Scale!$AA122="",Scale!$AA122=0),"","پوز")</f>
        <v/>
      </c>
      <c r="O460" s="81">
        <f>IF(OR(Scale!$AA122="",Scale!$AA122=0),"",IFERROR(VLOOKUP(Scale!$AA122,AcctTbl,3,0),""))</f>
        <v/>
      </c>
      <c r="P460" s="82">
        <f>IF(Scale!$AA122&lt;&gt;"X011","","BN02")</f>
        <v/>
      </c>
    </row>
    <row r="461" ht="20.25" customHeight="1">
      <c r="A461" s="80">
        <f>IF(OR(Scale!$AD122="",Scale!$AD122=0),"",Scale!$B122)</f>
        <v/>
      </c>
      <c r="B461" s="80">
        <f>IF(OR(Scale!$AD122="",Scale!$AD122=0),"",Scale!$D122)</f>
        <v/>
      </c>
      <c r="C461" s="80">
        <f>IF(OR(Scale!$AD122="",Scale!$AD122=0),"","باسکول")</f>
        <v/>
      </c>
      <c r="D461" s="80">
        <f>IF(OR(Scale!$AD122="",Scale!$AD122=0),"",Scale!$AD122)</f>
        <v/>
      </c>
      <c r="E461" s="81">
        <f>IF(OR(Scale!$AD122="",Scale!$AD122=0),"",IF(Scale!$AD122="","","مقابل پوز — "&amp;Scale!$E122))</f>
        <v/>
      </c>
      <c r="F461" s="83" t="n"/>
      <c r="G461" s="83" t="n"/>
      <c r="H461" s="83" t="n"/>
      <c r="I461" s="83" t="n"/>
      <c r="J461" s="83" t="n"/>
      <c r="K461" s="82">
        <f>IF(OR(Scale!$AD122="",Scale!$AD122=0),"",IF(Scale!$AE122="",0,Scale!$AE122)+IF(Scale!$AF122="",0,Scale!$AF122))</f>
        <v/>
      </c>
      <c r="L461" s="82">
        <f>IF(OR(Scale!$AD122="",Scale!$AD122=0),"",Scale!$AE122)</f>
        <v/>
      </c>
      <c r="M461" s="82">
        <f>IF(OR(Scale!$AD122="",Scale!$AD122=0),"",Scale!$AF122)</f>
        <v/>
      </c>
      <c r="N461" s="81">
        <f>IF(OR(Scale!$AD122="",Scale!$AD122=0),"","مقابل پوز")</f>
        <v/>
      </c>
      <c r="O461" s="81">
        <f>IF(OR(Scale!$AD122="",Scale!$AD122=0),"",IFERROR(VLOOKUP(Scale!$AD122,AcctTbl,3,0),""))</f>
        <v/>
      </c>
      <c r="P461" s="82">
        <f>IF(Scale!$AD122&lt;&gt;"X011","","BN02")</f>
        <v/>
      </c>
    </row>
    <row r="462" ht="20.25" customHeight="1">
      <c r="A462" s="80">
        <f>IF(OR(Scale!$U123="",Scale!$U123=0),"",Scale!$B123)</f>
        <v/>
      </c>
      <c r="B462" s="80">
        <f>IF(OR(Scale!$U123="",Scale!$U123=0),"",Scale!$D123)</f>
        <v/>
      </c>
      <c r="C462" s="80">
        <f>IF(OR(Scale!$U123="",Scale!$U123=0),"","باسکول")</f>
        <v/>
      </c>
      <c r="D462" s="80">
        <f>IF(OR(Scale!$U123="",Scale!$U123=0),"",Scale!$U123)</f>
        <v/>
      </c>
      <c r="E462" s="81">
        <f>IF(OR(Scale!$U123="",Scale!$U123=0),"",Scale!$T123)</f>
        <v/>
      </c>
      <c r="F462" s="81">
        <f>IF(OR(Scale!$U123="",Scale!$U123=0),"",Scale!$J123)</f>
        <v/>
      </c>
      <c r="G462" s="82">
        <f>IF(OR(Scale!$U123="",Scale!$U123=0),"",Scale!$M123)</f>
        <v/>
      </c>
      <c r="H462" s="82">
        <f>IF(OR(Scale!$U123="",Scale!$U123=0),"",Scale!$L123)</f>
        <v/>
      </c>
      <c r="I462" s="82">
        <f>IF(OR(Scale!$U123="",Scale!$U123=0),"",Scale!$N123)</f>
        <v/>
      </c>
      <c r="J462" s="82">
        <f>IF(OR(Scale!$U123="",Scale!$U123=0),"",Scale!$O123)</f>
        <v/>
      </c>
      <c r="K462" s="82">
        <f>IF(OR(Scale!$U123="",Scale!$U123=0),"",IF(Scale!$V123="",0,Scale!$V123)+IF(Scale!$W123="",0,Scale!$W123))</f>
        <v/>
      </c>
      <c r="L462" s="82">
        <f>IF(OR(Scale!$U123="",Scale!$U123=0),"",Scale!$V123)</f>
        <v/>
      </c>
      <c r="M462" s="82">
        <f>IF(OR(Scale!$U123="",Scale!$U123=0),"",Scale!$W123)</f>
        <v/>
      </c>
      <c r="N462" s="81">
        <f>IF(OR(Scale!$U123="",Scale!$U123=0),"",Scale!$E123)</f>
        <v/>
      </c>
      <c r="O462" s="81">
        <f>IF(OR(Scale!$U123="",Scale!$U123=0),"",IFERROR(VLOOKUP(Scale!$U123,AcctTbl,3,0),""))</f>
        <v/>
      </c>
      <c r="P462" s="82">
        <f>IF(Scale!$U123&lt;&gt;"X011","","BN02")</f>
        <v/>
      </c>
    </row>
    <row r="463" ht="20.25" customHeight="1">
      <c r="A463" s="80">
        <f>IF(OR(Scale!$X123="",Scale!$X123=0),"",Scale!$B123)</f>
        <v/>
      </c>
      <c r="B463" s="80">
        <f>IF(OR(Scale!$X123="",Scale!$X123=0),"",Scale!$D123)</f>
        <v/>
      </c>
      <c r="C463" s="80">
        <f>IF(OR(Scale!$X123="",Scale!$X123=0),"","باسکول")</f>
        <v/>
      </c>
      <c r="D463" s="80">
        <f>IF(OR(Scale!$X123="",Scale!$X123=0),"",Scale!$X123)</f>
        <v/>
      </c>
      <c r="E463" s="81">
        <f>IF(OR(Scale!$X123="",Scale!$X123=0),"",IF(Scale!$X123="","","مقابل: "&amp;Scale!$E123))</f>
        <v/>
      </c>
      <c r="F463" s="83" t="n"/>
      <c r="G463" s="83" t="n"/>
      <c r="H463" s="83" t="n"/>
      <c r="I463" s="83" t="n"/>
      <c r="J463" s="83" t="n"/>
      <c r="K463" s="82">
        <f>IF(OR(Scale!$X123="",Scale!$X123=0),"",IF(Scale!$Y123="",0,Scale!$Y123)+IF(Scale!$Z123="",0,Scale!$Z123))</f>
        <v/>
      </c>
      <c r="L463" s="82">
        <f>IF(OR(Scale!$X123="",Scale!$X123=0),"",Scale!$Y123)</f>
        <v/>
      </c>
      <c r="M463" s="82">
        <f>IF(OR(Scale!$X123="",Scale!$X123=0),"",Scale!$Z123)</f>
        <v/>
      </c>
      <c r="N463" s="81">
        <f>IF(OR(Scale!$X123="",Scale!$X123=0),"","مقابل")</f>
        <v/>
      </c>
      <c r="O463" s="81">
        <f>IF(OR(Scale!$X123="",Scale!$X123=0),"",IFERROR(VLOOKUP(Scale!$X123,AcctTbl,3,0),""))</f>
        <v/>
      </c>
      <c r="P463" s="82">
        <f>IF(Scale!$X123&lt;&gt;"X011","","BN02")</f>
        <v/>
      </c>
    </row>
    <row r="464" ht="20.25" customHeight="1">
      <c r="A464" s="80">
        <f>IF(OR(Scale!$AA123="",Scale!$AA123=0),"",Scale!$B123)</f>
        <v/>
      </c>
      <c r="B464" s="80">
        <f>IF(OR(Scale!$AA123="",Scale!$AA123=0),"",Scale!$D123)</f>
        <v/>
      </c>
      <c r="C464" s="80">
        <f>IF(OR(Scale!$AA123="",Scale!$AA123=0),"","باسکول")</f>
        <v/>
      </c>
      <c r="D464" s="80">
        <f>IF(OR(Scale!$AA123="",Scale!$AA123=0),"",Scale!$AA123)</f>
        <v/>
      </c>
      <c r="E464" s="81">
        <f>IF(OR(Scale!$AA123="",Scale!$AA123=0),"",IF(Scale!$AA123="","","پوز باسکول — "&amp;Scale!$E123))</f>
        <v/>
      </c>
      <c r="F464" s="83" t="n"/>
      <c r="G464" s="83" t="n"/>
      <c r="H464" s="83" t="n"/>
      <c r="I464" s="83" t="n"/>
      <c r="J464" s="83" t="n"/>
      <c r="K464" s="82">
        <f>IF(OR(Scale!$AA123="",Scale!$AA123=0),"",IF(Scale!$AB123="",0,Scale!$AB123)+IF(Scale!$AC123="",0,Scale!$AC123))</f>
        <v/>
      </c>
      <c r="L464" s="82">
        <f>IF(OR(Scale!$AA123="",Scale!$AA123=0),"",Scale!$AB123)</f>
        <v/>
      </c>
      <c r="M464" s="82">
        <f>IF(OR(Scale!$AA123="",Scale!$AA123=0),"",Scale!$AC123)</f>
        <v/>
      </c>
      <c r="N464" s="81">
        <f>IF(OR(Scale!$AA123="",Scale!$AA123=0),"","پوز")</f>
        <v/>
      </c>
      <c r="O464" s="81">
        <f>IF(OR(Scale!$AA123="",Scale!$AA123=0),"",IFERROR(VLOOKUP(Scale!$AA123,AcctTbl,3,0),""))</f>
        <v/>
      </c>
      <c r="P464" s="82">
        <f>IF(Scale!$AA123&lt;&gt;"X011","","BN02")</f>
        <v/>
      </c>
    </row>
    <row r="465" ht="20.25" customHeight="1">
      <c r="A465" s="80">
        <f>IF(OR(Scale!$AD123="",Scale!$AD123=0),"",Scale!$B123)</f>
        <v/>
      </c>
      <c r="B465" s="80">
        <f>IF(OR(Scale!$AD123="",Scale!$AD123=0),"",Scale!$D123)</f>
        <v/>
      </c>
      <c r="C465" s="80">
        <f>IF(OR(Scale!$AD123="",Scale!$AD123=0),"","باسکول")</f>
        <v/>
      </c>
      <c r="D465" s="80">
        <f>IF(OR(Scale!$AD123="",Scale!$AD123=0),"",Scale!$AD123)</f>
        <v/>
      </c>
      <c r="E465" s="81">
        <f>IF(OR(Scale!$AD123="",Scale!$AD123=0),"",IF(Scale!$AD123="","","مقابل پوز — "&amp;Scale!$E123))</f>
        <v/>
      </c>
      <c r="F465" s="83" t="n"/>
      <c r="G465" s="83" t="n"/>
      <c r="H465" s="83" t="n"/>
      <c r="I465" s="83" t="n"/>
      <c r="J465" s="83" t="n"/>
      <c r="K465" s="82">
        <f>IF(OR(Scale!$AD123="",Scale!$AD123=0),"",IF(Scale!$AE123="",0,Scale!$AE123)+IF(Scale!$AF123="",0,Scale!$AF123))</f>
        <v/>
      </c>
      <c r="L465" s="82">
        <f>IF(OR(Scale!$AD123="",Scale!$AD123=0),"",Scale!$AE123)</f>
        <v/>
      </c>
      <c r="M465" s="82">
        <f>IF(OR(Scale!$AD123="",Scale!$AD123=0),"",Scale!$AF123)</f>
        <v/>
      </c>
      <c r="N465" s="81">
        <f>IF(OR(Scale!$AD123="",Scale!$AD123=0),"","مقابل پوز")</f>
        <v/>
      </c>
      <c r="O465" s="81">
        <f>IF(OR(Scale!$AD123="",Scale!$AD123=0),"",IFERROR(VLOOKUP(Scale!$AD123,AcctTbl,3,0),""))</f>
        <v/>
      </c>
      <c r="P465" s="82">
        <f>IF(Scale!$AD123&lt;&gt;"X011","","BN02")</f>
        <v/>
      </c>
    </row>
    <row r="466" ht="20.25" customHeight="1">
      <c r="A466" s="80">
        <f>IF(OR(Scale!$U124="",Scale!$U124=0),"",Scale!$B124)</f>
        <v/>
      </c>
      <c r="B466" s="80">
        <f>IF(OR(Scale!$U124="",Scale!$U124=0),"",Scale!$D124)</f>
        <v/>
      </c>
      <c r="C466" s="80">
        <f>IF(OR(Scale!$U124="",Scale!$U124=0),"","باسکول")</f>
        <v/>
      </c>
      <c r="D466" s="80">
        <f>IF(OR(Scale!$U124="",Scale!$U124=0),"",Scale!$U124)</f>
        <v/>
      </c>
      <c r="E466" s="81">
        <f>IF(OR(Scale!$U124="",Scale!$U124=0),"",Scale!$T124)</f>
        <v/>
      </c>
      <c r="F466" s="81">
        <f>IF(OR(Scale!$U124="",Scale!$U124=0),"",Scale!$J124)</f>
        <v/>
      </c>
      <c r="G466" s="82">
        <f>IF(OR(Scale!$U124="",Scale!$U124=0),"",Scale!$M124)</f>
        <v/>
      </c>
      <c r="H466" s="82">
        <f>IF(OR(Scale!$U124="",Scale!$U124=0),"",Scale!$L124)</f>
        <v/>
      </c>
      <c r="I466" s="82">
        <f>IF(OR(Scale!$U124="",Scale!$U124=0),"",Scale!$N124)</f>
        <v/>
      </c>
      <c r="J466" s="82">
        <f>IF(OR(Scale!$U124="",Scale!$U124=0),"",Scale!$O124)</f>
        <v/>
      </c>
      <c r="K466" s="82">
        <f>IF(OR(Scale!$U124="",Scale!$U124=0),"",IF(Scale!$V124="",0,Scale!$V124)+IF(Scale!$W124="",0,Scale!$W124))</f>
        <v/>
      </c>
      <c r="L466" s="82">
        <f>IF(OR(Scale!$U124="",Scale!$U124=0),"",Scale!$V124)</f>
        <v/>
      </c>
      <c r="M466" s="82">
        <f>IF(OR(Scale!$U124="",Scale!$U124=0),"",Scale!$W124)</f>
        <v/>
      </c>
      <c r="N466" s="81">
        <f>IF(OR(Scale!$U124="",Scale!$U124=0),"",Scale!$E124)</f>
        <v/>
      </c>
      <c r="O466" s="81">
        <f>IF(OR(Scale!$U124="",Scale!$U124=0),"",IFERROR(VLOOKUP(Scale!$U124,AcctTbl,3,0),""))</f>
        <v/>
      </c>
      <c r="P466" s="82">
        <f>IF(Scale!$U124&lt;&gt;"X011","","BN02")</f>
        <v/>
      </c>
    </row>
    <row r="467" ht="20.25" customHeight="1">
      <c r="A467" s="80">
        <f>IF(OR(Scale!$X124="",Scale!$X124=0),"",Scale!$B124)</f>
        <v/>
      </c>
      <c r="B467" s="80">
        <f>IF(OR(Scale!$X124="",Scale!$X124=0),"",Scale!$D124)</f>
        <v/>
      </c>
      <c r="C467" s="80">
        <f>IF(OR(Scale!$X124="",Scale!$X124=0),"","باسکول")</f>
        <v/>
      </c>
      <c r="D467" s="80">
        <f>IF(OR(Scale!$X124="",Scale!$X124=0),"",Scale!$X124)</f>
        <v/>
      </c>
      <c r="E467" s="81">
        <f>IF(OR(Scale!$X124="",Scale!$X124=0),"",IF(Scale!$X124="","","مقابل: "&amp;Scale!$E124))</f>
        <v/>
      </c>
      <c r="F467" s="83" t="n"/>
      <c r="G467" s="83" t="n"/>
      <c r="H467" s="83" t="n"/>
      <c r="I467" s="83" t="n"/>
      <c r="J467" s="83" t="n"/>
      <c r="K467" s="82">
        <f>IF(OR(Scale!$X124="",Scale!$X124=0),"",IF(Scale!$Y124="",0,Scale!$Y124)+IF(Scale!$Z124="",0,Scale!$Z124))</f>
        <v/>
      </c>
      <c r="L467" s="82">
        <f>IF(OR(Scale!$X124="",Scale!$X124=0),"",Scale!$Y124)</f>
        <v/>
      </c>
      <c r="M467" s="82">
        <f>IF(OR(Scale!$X124="",Scale!$X124=0),"",Scale!$Z124)</f>
        <v/>
      </c>
      <c r="N467" s="81">
        <f>IF(OR(Scale!$X124="",Scale!$X124=0),"","مقابل")</f>
        <v/>
      </c>
      <c r="O467" s="81">
        <f>IF(OR(Scale!$X124="",Scale!$X124=0),"",IFERROR(VLOOKUP(Scale!$X124,AcctTbl,3,0),""))</f>
        <v/>
      </c>
      <c r="P467" s="82">
        <f>IF(Scale!$X124&lt;&gt;"X011","","BN02")</f>
        <v/>
      </c>
    </row>
    <row r="468" ht="20.25" customHeight="1">
      <c r="A468" s="80">
        <f>IF(OR(Scale!$AA124="",Scale!$AA124=0),"",Scale!$B124)</f>
        <v/>
      </c>
      <c r="B468" s="80">
        <f>IF(OR(Scale!$AA124="",Scale!$AA124=0),"",Scale!$D124)</f>
        <v/>
      </c>
      <c r="C468" s="80">
        <f>IF(OR(Scale!$AA124="",Scale!$AA124=0),"","باسکول")</f>
        <v/>
      </c>
      <c r="D468" s="80">
        <f>IF(OR(Scale!$AA124="",Scale!$AA124=0),"",Scale!$AA124)</f>
        <v/>
      </c>
      <c r="E468" s="81">
        <f>IF(OR(Scale!$AA124="",Scale!$AA124=0),"",IF(Scale!$AA124="","","پوز باسکول — "&amp;Scale!$E124))</f>
        <v/>
      </c>
      <c r="F468" s="83" t="n"/>
      <c r="G468" s="83" t="n"/>
      <c r="H468" s="83" t="n"/>
      <c r="I468" s="83" t="n"/>
      <c r="J468" s="83" t="n"/>
      <c r="K468" s="82">
        <f>IF(OR(Scale!$AA124="",Scale!$AA124=0),"",IF(Scale!$AB124="",0,Scale!$AB124)+IF(Scale!$AC124="",0,Scale!$AC124))</f>
        <v/>
      </c>
      <c r="L468" s="82">
        <f>IF(OR(Scale!$AA124="",Scale!$AA124=0),"",Scale!$AB124)</f>
        <v/>
      </c>
      <c r="M468" s="82">
        <f>IF(OR(Scale!$AA124="",Scale!$AA124=0),"",Scale!$AC124)</f>
        <v/>
      </c>
      <c r="N468" s="81">
        <f>IF(OR(Scale!$AA124="",Scale!$AA124=0),"","پوز")</f>
        <v/>
      </c>
      <c r="O468" s="81">
        <f>IF(OR(Scale!$AA124="",Scale!$AA124=0),"",IFERROR(VLOOKUP(Scale!$AA124,AcctTbl,3,0),""))</f>
        <v/>
      </c>
      <c r="P468" s="82">
        <f>IF(Scale!$AA124&lt;&gt;"X011","","BN02")</f>
        <v/>
      </c>
    </row>
    <row r="469" ht="20.25" customHeight="1">
      <c r="A469" s="80">
        <f>IF(OR(Scale!$AD124="",Scale!$AD124=0),"",Scale!$B124)</f>
        <v/>
      </c>
      <c r="B469" s="80">
        <f>IF(OR(Scale!$AD124="",Scale!$AD124=0),"",Scale!$D124)</f>
        <v/>
      </c>
      <c r="C469" s="80">
        <f>IF(OR(Scale!$AD124="",Scale!$AD124=0),"","باسکول")</f>
        <v/>
      </c>
      <c r="D469" s="80">
        <f>IF(OR(Scale!$AD124="",Scale!$AD124=0),"",Scale!$AD124)</f>
        <v/>
      </c>
      <c r="E469" s="81">
        <f>IF(OR(Scale!$AD124="",Scale!$AD124=0),"",IF(Scale!$AD124="","","مقابل پوز — "&amp;Scale!$E124))</f>
        <v/>
      </c>
      <c r="F469" s="83" t="n"/>
      <c r="G469" s="83" t="n"/>
      <c r="H469" s="83" t="n"/>
      <c r="I469" s="83" t="n"/>
      <c r="J469" s="83" t="n"/>
      <c r="K469" s="82">
        <f>IF(OR(Scale!$AD124="",Scale!$AD124=0),"",IF(Scale!$AE124="",0,Scale!$AE124)+IF(Scale!$AF124="",0,Scale!$AF124))</f>
        <v/>
      </c>
      <c r="L469" s="82">
        <f>IF(OR(Scale!$AD124="",Scale!$AD124=0),"",Scale!$AE124)</f>
        <v/>
      </c>
      <c r="M469" s="82">
        <f>IF(OR(Scale!$AD124="",Scale!$AD124=0),"",Scale!$AF124)</f>
        <v/>
      </c>
      <c r="N469" s="81">
        <f>IF(OR(Scale!$AD124="",Scale!$AD124=0),"","مقابل پوز")</f>
        <v/>
      </c>
      <c r="O469" s="81">
        <f>IF(OR(Scale!$AD124="",Scale!$AD124=0),"",IFERROR(VLOOKUP(Scale!$AD124,AcctTbl,3,0),""))</f>
        <v/>
      </c>
      <c r="P469" s="82">
        <f>IF(Scale!$AD124&lt;&gt;"X011","","BN02")</f>
        <v/>
      </c>
    </row>
    <row r="470" ht="20.25" customHeight="1">
      <c r="A470" s="80">
        <f>IF(OR(Scale!$U125="",Scale!$U125=0),"",Scale!$B125)</f>
        <v/>
      </c>
      <c r="B470" s="80">
        <f>IF(OR(Scale!$U125="",Scale!$U125=0),"",Scale!$D125)</f>
        <v/>
      </c>
      <c r="C470" s="80">
        <f>IF(OR(Scale!$U125="",Scale!$U125=0),"","باسکول")</f>
        <v/>
      </c>
      <c r="D470" s="80">
        <f>IF(OR(Scale!$U125="",Scale!$U125=0),"",Scale!$U125)</f>
        <v/>
      </c>
      <c r="E470" s="81">
        <f>IF(OR(Scale!$U125="",Scale!$U125=0),"",Scale!$T125)</f>
        <v/>
      </c>
      <c r="F470" s="81">
        <f>IF(OR(Scale!$U125="",Scale!$U125=0),"",Scale!$J125)</f>
        <v/>
      </c>
      <c r="G470" s="82">
        <f>IF(OR(Scale!$U125="",Scale!$U125=0),"",Scale!$M125)</f>
        <v/>
      </c>
      <c r="H470" s="82">
        <f>IF(OR(Scale!$U125="",Scale!$U125=0),"",Scale!$L125)</f>
        <v/>
      </c>
      <c r="I470" s="82">
        <f>IF(OR(Scale!$U125="",Scale!$U125=0),"",Scale!$N125)</f>
        <v/>
      </c>
      <c r="J470" s="82">
        <f>IF(OR(Scale!$U125="",Scale!$U125=0),"",Scale!$O125)</f>
        <v/>
      </c>
      <c r="K470" s="82">
        <f>IF(OR(Scale!$U125="",Scale!$U125=0),"",IF(Scale!$V125="",0,Scale!$V125)+IF(Scale!$W125="",0,Scale!$W125))</f>
        <v/>
      </c>
      <c r="L470" s="82">
        <f>IF(OR(Scale!$U125="",Scale!$U125=0),"",Scale!$V125)</f>
        <v/>
      </c>
      <c r="M470" s="82">
        <f>IF(OR(Scale!$U125="",Scale!$U125=0),"",Scale!$W125)</f>
        <v/>
      </c>
      <c r="N470" s="81">
        <f>IF(OR(Scale!$U125="",Scale!$U125=0),"",Scale!$E125)</f>
        <v/>
      </c>
      <c r="O470" s="81">
        <f>IF(OR(Scale!$U125="",Scale!$U125=0),"",IFERROR(VLOOKUP(Scale!$U125,AcctTbl,3,0),""))</f>
        <v/>
      </c>
      <c r="P470" s="82">
        <f>IF(Scale!$U125&lt;&gt;"X011","","BN02")</f>
        <v/>
      </c>
    </row>
    <row r="471" ht="20.25" customHeight="1">
      <c r="A471" s="80">
        <f>IF(OR(Scale!$X125="",Scale!$X125=0),"",Scale!$B125)</f>
        <v/>
      </c>
      <c r="B471" s="80">
        <f>IF(OR(Scale!$X125="",Scale!$X125=0),"",Scale!$D125)</f>
        <v/>
      </c>
      <c r="C471" s="80">
        <f>IF(OR(Scale!$X125="",Scale!$X125=0),"","باسکول")</f>
        <v/>
      </c>
      <c r="D471" s="80">
        <f>IF(OR(Scale!$X125="",Scale!$X125=0),"",Scale!$X125)</f>
        <v/>
      </c>
      <c r="E471" s="81">
        <f>IF(OR(Scale!$X125="",Scale!$X125=0),"",IF(Scale!$X125="","","مقابل: "&amp;Scale!$E125))</f>
        <v/>
      </c>
      <c r="F471" s="83" t="n"/>
      <c r="G471" s="83" t="n"/>
      <c r="H471" s="83" t="n"/>
      <c r="I471" s="83" t="n"/>
      <c r="J471" s="83" t="n"/>
      <c r="K471" s="82">
        <f>IF(OR(Scale!$X125="",Scale!$X125=0),"",IF(Scale!$Y125="",0,Scale!$Y125)+IF(Scale!$Z125="",0,Scale!$Z125))</f>
        <v/>
      </c>
      <c r="L471" s="82">
        <f>IF(OR(Scale!$X125="",Scale!$X125=0),"",Scale!$Y125)</f>
        <v/>
      </c>
      <c r="M471" s="82">
        <f>IF(OR(Scale!$X125="",Scale!$X125=0),"",Scale!$Z125)</f>
        <v/>
      </c>
      <c r="N471" s="81">
        <f>IF(OR(Scale!$X125="",Scale!$X125=0),"","مقابل")</f>
        <v/>
      </c>
      <c r="O471" s="81">
        <f>IF(OR(Scale!$X125="",Scale!$X125=0),"",IFERROR(VLOOKUP(Scale!$X125,AcctTbl,3,0),""))</f>
        <v/>
      </c>
      <c r="P471" s="82">
        <f>IF(Scale!$X125&lt;&gt;"X011","","BN02")</f>
        <v/>
      </c>
    </row>
    <row r="472" ht="20.25" customHeight="1">
      <c r="A472" s="80">
        <f>IF(OR(Scale!$AA125="",Scale!$AA125=0),"",Scale!$B125)</f>
        <v/>
      </c>
      <c r="B472" s="80">
        <f>IF(OR(Scale!$AA125="",Scale!$AA125=0),"",Scale!$D125)</f>
        <v/>
      </c>
      <c r="C472" s="80">
        <f>IF(OR(Scale!$AA125="",Scale!$AA125=0),"","باسکول")</f>
        <v/>
      </c>
      <c r="D472" s="80">
        <f>IF(OR(Scale!$AA125="",Scale!$AA125=0),"",Scale!$AA125)</f>
        <v/>
      </c>
      <c r="E472" s="81">
        <f>IF(OR(Scale!$AA125="",Scale!$AA125=0),"",IF(Scale!$AA125="","","پوز باسکول — "&amp;Scale!$E125))</f>
        <v/>
      </c>
      <c r="F472" s="83" t="n"/>
      <c r="G472" s="83" t="n"/>
      <c r="H472" s="83" t="n"/>
      <c r="I472" s="83" t="n"/>
      <c r="J472" s="83" t="n"/>
      <c r="K472" s="82">
        <f>IF(OR(Scale!$AA125="",Scale!$AA125=0),"",IF(Scale!$AB125="",0,Scale!$AB125)+IF(Scale!$AC125="",0,Scale!$AC125))</f>
        <v/>
      </c>
      <c r="L472" s="82">
        <f>IF(OR(Scale!$AA125="",Scale!$AA125=0),"",Scale!$AB125)</f>
        <v/>
      </c>
      <c r="M472" s="82">
        <f>IF(OR(Scale!$AA125="",Scale!$AA125=0),"",Scale!$AC125)</f>
        <v/>
      </c>
      <c r="N472" s="81">
        <f>IF(OR(Scale!$AA125="",Scale!$AA125=0),"","پوز")</f>
        <v/>
      </c>
      <c r="O472" s="81">
        <f>IF(OR(Scale!$AA125="",Scale!$AA125=0),"",IFERROR(VLOOKUP(Scale!$AA125,AcctTbl,3,0),""))</f>
        <v/>
      </c>
      <c r="P472" s="82">
        <f>IF(Scale!$AA125&lt;&gt;"X011","","BN02")</f>
        <v/>
      </c>
    </row>
    <row r="473" ht="20.25" customHeight="1">
      <c r="A473" s="80">
        <f>IF(OR(Scale!$AD125="",Scale!$AD125=0),"",Scale!$B125)</f>
        <v/>
      </c>
      <c r="B473" s="80">
        <f>IF(OR(Scale!$AD125="",Scale!$AD125=0),"",Scale!$D125)</f>
        <v/>
      </c>
      <c r="C473" s="80">
        <f>IF(OR(Scale!$AD125="",Scale!$AD125=0),"","باسکول")</f>
        <v/>
      </c>
      <c r="D473" s="80">
        <f>IF(OR(Scale!$AD125="",Scale!$AD125=0),"",Scale!$AD125)</f>
        <v/>
      </c>
      <c r="E473" s="81">
        <f>IF(OR(Scale!$AD125="",Scale!$AD125=0),"",IF(Scale!$AD125="","","مقابل پوز — "&amp;Scale!$E125))</f>
        <v/>
      </c>
      <c r="F473" s="83" t="n"/>
      <c r="G473" s="83" t="n"/>
      <c r="H473" s="83" t="n"/>
      <c r="I473" s="83" t="n"/>
      <c r="J473" s="83" t="n"/>
      <c r="K473" s="82">
        <f>IF(OR(Scale!$AD125="",Scale!$AD125=0),"",IF(Scale!$AE125="",0,Scale!$AE125)+IF(Scale!$AF125="",0,Scale!$AF125))</f>
        <v/>
      </c>
      <c r="L473" s="82">
        <f>IF(OR(Scale!$AD125="",Scale!$AD125=0),"",Scale!$AE125)</f>
        <v/>
      </c>
      <c r="M473" s="82">
        <f>IF(OR(Scale!$AD125="",Scale!$AD125=0),"",Scale!$AF125)</f>
        <v/>
      </c>
      <c r="N473" s="81">
        <f>IF(OR(Scale!$AD125="",Scale!$AD125=0),"","مقابل پوز")</f>
        <v/>
      </c>
      <c r="O473" s="81">
        <f>IF(OR(Scale!$AD125="",Scale!$AD125=0),"",IFERROR(VLOOKUP(Scale!$AD125,AcctTbl,3,0),""))</f>
        <v/>
      </c>
      <c r="P473" s="82">
        <f>IF(Scale!$AD125&lt;&gt;"X011","","BN02")</f>
        <v/>
      </c>
    </row>
    <row r="474" ht="20.25" customHeight="1">
      <c r="A474" s="80">
        <f>IF(OR(Scale!$U126="",Scale!$U126=0),"",Scale!$B126)</f>
        <v/>
      </c>
      <c r="B474" s="80">
        <f>IF(OR(Scale!$U126="",Scale!$U126=0),"",Scale!$D126)</f>
        <v/>
      </c>
      <c r="C474" s="80">
        <f>IF(OR(Scale!$U126="",Scale!$U126=0),"","باسکول")</f>
        <v/>
      </c>
      <c r="D474" s="80">
        <f>IF(OR(Scale!$U126="",Scale!$U126=0),"",Scale!$U126)</f>
        <v/>
      </c>
      <c r="E474" s="81">
        <f>IF(OR(Scale!$U126="",Scale!$U126=0),"",Scale!$T126)</f>
        <v/>
      </c>
      <c r="F474" s="81">
        <f>IF(OR(Scale!$U126="",Scale!$U126=0),"",Scale!$J126)</f>
        <v/>
      </c>
      <c r="G474" s="82">
        <f>IF(OR(Scale!$U126="",Scale!$U126=0),"",Scale!$M126)</f>
        <v/>
      </c>
      <c r="H474" s="82">
        <f>IF(OR(Scale!$U126="",Scale!$U126=0),"",Scale!$L126)</f>
        <v/>
      </c>
      <c r="I474" s="82">
        <f>IF(OR(Scale!$U126="",Scale!$U126=0),"",Scale!$N126)</f>
        <v/>
      </c>
      <c r="J474" s="82">
        <f>IF(OR(Scale!$U126="",Scale!$U126=0),"",Scale!$O126)</f>
        <v/>
      </c>
      <c r="K474" s="82">
        <f>IF(OR(Scale!$U126="",Scale!$U126=0),"",IF(Scale!$V126="",0,Scale!$V126)+IF(Scale!$W126="",0,Scale!$W126))</f>
        <v/>
      </c>
      <c r="L474" s="82">
        <f>IF(OR(Scale!$U126="",Scale!$U126=0),"",Scale!$V126)</f>
        <v/>
      </c>
      <c r="M474" s="82">
        <f>IF(OR(Scale!$U126="",Scale!$U126=0),"",Scale!$W126)</f>
        <v/>
      </c>
      <c r="N474" s="81">
        <f>IF(OR(Scale!$U126="",Scale!$U126=0),"",Scale!$E126)</f>
        <v/>
      </c>
      <c r="O474" s="81">
        <f>IF(OR(Scale!$U126="",Scale!$U126=0),"",IFERROR(VLOOKUP(Scale!$U126,AcctTbl,3,0),""))</f>
        <v/>
      </c>
      <c r="P474" s="82">
        <f>IF(Scale!$U126&lt;&gt;"X011","","BN02")</f>
        <v/>
      </c>
    </row>
    <row r="475" ht="20.25" customHeight="1">
      <c r="A475" s="80">
        <f>IF(OR(Scale!$X126="",Scale!$X126=0),"",Scale!$B126)</f>
        <v/>
      </c>
      <c r="B475" s="80">
        <f>IF(OR(Scale!$X126="",Scale!$X126=0),"",Scale!$D126)</f>
        <v/>
      </c>
      <c r="C475" s="80">
        <f>IF(OR(Scale!$X126="",Scale!$X126=0),"","باسکول")</f>
        <v/>
      </c>
      <c r="D475" s="80">
        <f>IF(OR(Scale!$X126="",Scale!$X126=0),"",Scale!$X126)</f>
        <v/>
      </c>
      <c r="E475" s="81">
        <f>IF(OR(Scale!$X126="",Scale!$X126=0),"",IF(Scale!$X126="","","مقابل: "&amp;Scale!$E126))</f>
        <v/>
      </c>
      <c r="F475" s="83" t="n"/>
      <c r="G475" s="83" t="n"/>
      <c r="H475" s="83" t="n"/>
      <c r="I475" s="83" t="n"/>
      <c r="J475" s="83" t="n"/>
      <c r="K475" s="82">
        <f>IF(OR(Scale!$X126="",Scale!$X126=0),"",IF(Scale!$Y126="",0,Scale!$Y126)+IF(Scale!$Z126="",0,Scale!$Z126))</f>
        <v/>
      </c>
      <c r="L475" s="82">
        <f>IF(OR(Scale!$X126="",Scale!$X126=0),"",Scale!$Y126)</f>
        <v/>
      </c>
      <c r="M475" s="82">
        <f>IF(OR(Scale!$X126="",Scale!$X126=0),"",Scale!$Z126)</f>
        <v/>
      </c>
      <c r="N475" s="81">
        <f>IF(OR(Scale!$X126="",Scale!$X126=0),"","مقابل")</f>
        <v/>
      </c>
      <c r="O475" s="81">
        <f>IF(OR(Scale!$X126="",Scale!$X126=0),"",IFERROR(VLOOKUP(Scale!$X126,AcctTbl,3,0),""))</f>
        <v/>
      </c>
      <c r="P475" s="82">
        <f>IF(Scale!$X126&lt;&gt;"X011","","BN02")</f>
        <v/>
      </c>
    </row>
    <row r="476" ht="20.25" customHeight="1">
      <c r="A476" s="80">
        <f>IF(OR(Scale!$AA126="",Scale!$AA126=0),"",Scale!$B126)</f>
        <v/>
      </c>
      <c r="B476" s="80">
        <f>IF(OR(Scale!$AA126="",Scale!$AA126=0),"",Scale!$D126)</f>
        <v/>
      </c>
      <c r="C476" s="80">
        <f>IF(OR(Scale!$AA126="",Scale!$AA126=0),"","باسکول")</f>
        <v/>
      </c>
      <c r="D476" s="80">
        <f>IF(OR(Scale!$AA126="",Scale!$AA126=0),"",Scale!$AA126)</f>
        <v/>
      </c>
      <c r="E476" s="81">
        <f>IF(OR(Scale!$AA126="",Scale!$AA126=0),"",IF(Scale!$AA126="","","پوز باسکول — "&amp;Scale!$E126))</f>
        <v/>
      </c>
      <c r="F476" s="83" t="n"/>
      <c r="G476" s="83" t="n"/>
      <c r="H476" s="83" t="n"/>
      <c r="I476" s="83" t="n"/>
      <c r="J476" s="83" t="n"/>
      <c r="K476" s="82">
        <f>IF(OR(Scale!$AA126="",Scale!$AA126=0),"",IF(Scale!$AB126="",0,Scale!$AB126)+IF(Scale!$AC126="",0,Scale!$AC126))</f>
        <v/>
      </c>
      <c r="L476" s="82">
        <f>IF(OR(Scale!$AA126="",Scale!$AA126=0),"",Scale!$AB126)</f>
        <v/>
      </c>
      <c r="M476" s="82">
        <f>IF(OR(Scale!$AA126="",Scale!$AA126=0),"",Scale!$AC126)</f>
        <v/>
      </c>
      <c r="N476" s="81">
        <f>IF(OR(Scale!$AA126="",Scale!$AA126=0),"","پوز")</f>
        <v/>
      </c>
      <c r="O476" s="81">
        <f>IF(OR(Scale!$AA126="",Scale!$AA126=0),"",IFERROR(VLOOKUP(Scale!$AA126,AcctTbl,3,0),""))</f>
        <v/>
      </c>
      <c r="P476" s="82">
        <f>IF(Scale!$AA126&lt;&gt;"X011","","BN02")</f>
        <v/>
      </c>
    </row>
    <row r="477" ht="20.25" customHeight="1">
      <c r="A477" s="80">
        <f>IF(OR(Scale!$AD126="",Scale!$AD126=0),"",Scale!$B126)</f>
        <v/>
      </c>
      <c r="B477" s="80">
        <f>IF(OR(Scale!$AD126="",Scale!$AD126=0),"",Scale!$D126)</f>
        <v/>
      </c>
      <c r="C477" s="80">
        <f>IF(OR(Scale!$AD126="",Scale!$AD126=0),"","باسکول")</f>
        <v/>
      </c>
      <c r="D477" s="80">
        <f>IF(OR(Scale!$AD126="",Scale!$AD126=0),"",Scale!$AD126)</f>
        <v/>
      </c>
      <c r="E477" s="81">
        <f>IF(OR(Scale!$AD126="",Scale!$AD126=0),"",IF(Scale!$AD126="","","مقابل پوز — "&amp;Scale!$E126))</f>
        <v/>
      </c>
      <c r="F477" s="83" t="n"/>
      <c r="G477" s="83" t="n"/>
      <c r="H477" s="83" t="n"/>
      <c r="I477" s="83" t="n"/>
      <c r="J477" s="83" t="n"/>
      <c r="K477" s="82">
        <f>IF(OR(Scale!$AD126="",Scale!$AD126=0),"",IF(Scale!$AE126="",0,Scale!$AE126)+IF(Scale!$AF126="",0,Scale!$AF126))</f>
        <v/>
      </c>
      <c r="L477" s="82">
        <f>IF(OR(Scale!$AD126="",Scale!$AD126=0),"",Scale!$AE126)</f>
        <v/>
      </c>
      <c r="M477" s="82">
        <f>IF(OR(Scale!$AD126="",Scale!$AD126=0),"",Scale!$AF126)</f>
        <v/>
      </c>
      <c r="N477" s="81">
        <f>IF(OR(Scale!$AD126="",Scale!$AD126=0),"","مقابل پوز")</f>
        <v/>
      </c>
      <c r="O477" s="81">
        <f>IF(OR(Scale!$AD126="",Scale!$AD126=0),"",IFERROR(VLOOKUP(Scale!$AD126,AcctTbl,3,0),""))</f>
        <v/>
      </c>
      <c r="P477" s="82">
        <f>IF(Scale!$AD126&lt;&gt;"X011","","BN02")</f>
        <v/>
      </c>
    </row>
    <row r="478" ht="20.25" customHeight="1">
      <c r="A478" s="80">
        <f>IF(OR(Scale!$U127="",Scale!$U127=0),"",Scale!$B127)</f>
        <v/>
      </c>
      <c r="B478" s="80">
        <f>IF(OR(Scale!$U127="",Scale!$U127=0),"",Scale!$D127)</f>
        <v/>
      </c>
      <c r="C478" s="80">
        <f>IF(OR(Scale!$U127="",Scale!$U127=0),"","باسکول")</f>
        <v/>
      </c>
      <c r="D478" s="80">
        <f>IF(OR(Scale!$U127="",Scale!$U127=0),"",Scale!$U127)</f>
        <v/>
      </c>
      <c r="E478" s="81">
        <f>IF(OR(Scale!$U127="",Scale!$U127=0),"",Scale!$T127)</f>
        <v/>
      </c>
      <c r="F478" s="81">
        <f>IF(OR(Scale!$U127="",Scale!$U127=0),"",Scale!$J127)</f>
        <v/>
      </c>
      <c r="G478" s="82">
        <f>IF(OR(Scale!$U127="",Scale!$U127=0),"",Scale!$M127)</f>
        <v/>
      </c>
      <c r="H478" s="82">
        <f>IF(OR(Scale!$U127="",Scale!$U127=0),"",Scale!$L127)</f>
        <v/>
      </c>
      <c r="I478" s="82">
        <f>IF(OR(Scale!$U127="",Scale!$U127=0),"",Scale!$N127)</f>
        <v/>
      </c>
      <c r="J478" s="82">
        <f>IF(OR(Scale!$U127="",Scale!$U127=0),"",Scale!$O127)</f>
        <v/>
      </c>
      <c r="K478" s="82">
        <f>IF(OR(Scale!$U127="",Scale!$U127=0),"",IF(Scale!$V127="",0,Scale!$V127)+IF(Scale!$W127="",0,Scale!$W127))</f>
        <v/>
      </c>
      <c r="L478" s="82">
        <f>IF(OR(Scale!$U127="",Scale!$U127=0),"",Scale!$V127)</f>
        <v/>
      </c>
      <c r="M478" s="82">
        <f>IF(OR(Scale!$U127="",Scale!$U127=0),"",Scale!$W127)</f>
        <v/>
      </c>
      <c r="N478" s="81">
        <f>IF(OR(Scale!$U127="",Scale!$U127=0),"",Scale!$E127)</f>
        <v/>
      </c>
      <c r="O478" s="81">
        <f>IF(OR(Scale!$U127="",Scale!$U127=0),"",IFERROR(VLOOKUP(Scale!$U127,AcctTbl,3,0),""))</f>
        <v/>
      </c>
      <c r="P478" s="82">
        <f>IF(Scale!$U127&lt;&gt;"X011","","BN02")</f>
        <v/>
      </c>
    </row>
    <row r="479" ht="20.25" customHeight="1">
      <c r="A479" s="80">
        <f>IF(OR(Scale!$X127="",Scale!$X127=0),"",Scale!$B127)</f>
        <v/>
      </c>
      <c r="B479" s="80">
        <f>IF(OR(Scale!$X127="",Scale!$X127=0),"",Scale!$D127)</f>
        <v/>
      </c>
      <c r="C479" s="80">
        <f>IF(OR(Scale!$X127="",Scale!$X127=0),"","باسکول")</f>
        <v/>
      </c>
      <c r="D479" s="80">
        <f>IF(OR(Scale!$X127="",Scale!$X127=0),"",Scale!$X127)</f>
        <v/>
      </c>
      <c r="E479" s="81">
        <f>IF(OR(Scale!$X127="",Scale!$X127=0),"",IF(Scale!$X127="","","مقابل: "&amp;Scale!$E127))</f>
        <v/>
      </c>
      <c r="F479" s="83" t="n"/>
      <c r="G479" s="83" t="n"/>
      <c r="H479" s="83" t="n"/>
      <c r="I479" s="83" t="n"/>
      <c r="J479" s="83" t="n"/>
      <c r="K479" s="82">
        <f>IF(OR(Scale!$X127="",Scale!$X127=0),"",IF(Scale!$Y127="",0,Scale!$Y127)+IF(Scale!$Z127="",0,Scale!$Z127))</f>
        <v/>
      </c>
      <c r="L479" s="82">
        <f>IF(OR(Scale!$X127="",Scale!$X127=0),"",Scale!$Y127)</f>
        <v/>
      </c>
      <c r="M479" s="82">
        <f>IF(OR(Scale!$X127="",Scale!$X127=0),"",Scale!$Z127)</f>
        <v/>
      </c>
      <c r="N479" s="81">
        <f>IF(OR(Scale!$X127="",Scale!$X127=0),"","مقابل")</f>
        <v/>
      </c>
      <c r="O479" s="81">
        <f>IF(OR(Scale!$X127="",Scale!$X127=0),"",IFERROR(VLOOKUP(Scale!$X127,AcctTbl,3,0),""))</f>
        <v/>
      </c>
      <c r="P479" s="82">
        <f>IF(Scale!$X127&lt;&gt;"X011","","BN02")</f>
        <v/>
      </c>
    </row>
    <row r="480" ht="20.25" customHeight="1">
      <c r="A480" s="80">
        <f>IF(OR(Scale!$AA127="",Scale!$AA127=0),"",Scale!$B127)</f>
        <v/>
      </c>
      <c r="B480" s="80">
        <f>IF(OR(Scale!$AA127="",Scale!$AA127=0),"",Scale!$D127)</f>
        <v/>
      </c>
      <c r="C480" s="80">
        <f>IF(OR(Scale!$AA127="",Scale!$AA127=0),"","باسکول")</f>
        <v/>
      </c>
      <c r="D480" s="80">
        <f>IF(OR(Scale!$AA127="",Scale!$AA127=0),"",Scale!$AA127)</f>
        <v/>
      </c>
      <c r="E480" s="81">
        <f>IF(OR(Scale!$AA127="",Scale!$AA127=0),"",IF(Scale!$AA127="","","پوز باسکول — "&amp;Scale!$E127))</f>
        <v/>
      </c>
      <c r="F480" s="83" t="n"/>
      <c r="G480" s="83" t="n"/>
      <c r="H480" s="83" t="n"/>
      <c r="I480" s="83" t="n"/>
      <c r="J480" s="83" t="n"/>
      <c r="K480" s="82">
        <f>IF(OR(Scale!$AA127="",Scale!$AA127=0),"",IF(Scale!$AB127="",0,Scale!$AB127)+IF(Scale!$AC127="",0,Scale!$AC127))</f>
        <v/>
      </c>
      <c r="L480" s="82">
        <f>IF(OR(Scale!$AA127="",Scale!$AA127=0),"",Scale!$AB127)</f>
        <v/>
      </c>
      <c r="M480" s="82">
        <f>IF(OR(Scale!$AA127="",Scale!$AA127=0),"",Scale!$AC127)</f>
        <v/>
      </c>
      <c r="N480" s="81">
        <f>IF(OR(Scale!$AA127="",Scale!$AA127=0),"","پوز")</f>
        <v/>
      </c>
      <c r="O480" s="81">
        <f>IF(OR(Scale!$AA127="",Scale!$AA127=0),"",IFERROR(VLOOKUP(Scale!$AA127,AcctTbl,3,0),""))</f>
        <v/>
      </c>
      <c r="P480" s="82">
        <f>IF(Scale!$AA127&lt;&gt;"X011","","BN02")</f>
        <v/>
      </c>
    </row>
    <row r="481" ht="20.25" customHeight="1">
      <c r="A481" s="80">
        <f>IF(OR(Scale!$AD127="",Scale!$AD127=0),"",Scale!$B127)</f>
        <v/>
      </c>
      <c r="B481" s="80">
        <f>IF(OR(Scale!$AD127="",Scale!$AD127=0),"",Scale!$D127)</f>
        <v/>
      </c>
      <c r="C481" s="80">
        <f>IF(OR(Scale!$AD127="",Scale!$AD127=0),"","باسکول")</f>
        <v/>
      </c>
      <c r="D481" s="80">
        <f>IF(OR(Scale!$AD127="",Scale!$AD127=0),"",Scale!$AD127)</f>
        <v/>
      </c>
      <c r="E481" s="81">
        <f>IF(OR(Scale!$AD127="",Scale!$AD127=0),"",IF(Scale!$AD127="","","مقابل پوز — "&amp;Scale!$E127))</f>
        <v/>
      </c>
      <c r="F481" s="83" t="n"/>
      <c r="G481" s="83" t="n"/>
      <c r="H481" s="83" t="n"/>
      <c r="I481" s="83" t="n"/>
      <c r="J481" s="83" t="n"/>
      <c r="K481" s="82">
        <f>IF(OR(Scale!$AD127="",Scale!$AD127=0),"",IF(Scale!$AE127="",0,Scale!$AE127)+IF(Scale!$AF127="",0,Scale!$AF127))</f>
        <v/>
      </c>
      <c r="L481" s="82">
        <f>IF(OR(Scale!$AD127="",Scale!$AD127=0),"",Scale!$AE127)</f>
        <v/>
      </c>
      <c r="M481" s="82">
        <f>IF(OR(Scale!$AD127="",Scale!$AD127=0),"",Scale!$AF127)</f>
        <v/>
      </c>
      <c r="N481" s="81">
        <f>IF(OR(Scale!$AD127="",Scale!$AD127=0),"","مقابل پوز")</f>
        <v/>
      </c>
      <c r="O481" s="81">
        <f>IF(OR(Scale!$AD127="",Scale!$AD127=0),"",IFERROR(VLOOKUP(Scale!$AD127,AcctTbl,3,0),""))</f>
        <v/>
      </c>
      <c r="P481" s="82">
        <f>IF(Scale!$AD127&lt;&gt;"X011","","BN02")</f>
        <v/>
      </c>
    </row>
    <row r="482" ht="20.25" customHeight="1">
      <c r="A482" s="80">
        <f>IF(OR(Scale!$U128="",Scale!$U128=0),"",Scale!$B128)</f>
        <v/>
      </c>
      <c r="B482" s="80">
        <f>IF(OR(Scale!$U128="",Scale!$U128=0),"",Scale!$D128)</f>
        <v/>
      </c>
      <c r="C482" s="80">
        <f>IF(OR(Scale!$U128="",Scale!$U128=0),"","باسکول")</f>
        <v/>
      </c>
      <c r="D482" s="80">
        <f>IF(OR(Scale!$U128="",Scale!$U128=0),"",Scale!$U128)</f>
        <v/>
      </c>
      <c r="E482" s="81">
        <f>IF(OR(Scale!$U128="",Scale!$U128=0),"",Scale!$T128)</f>
        <v/>
      </c>
      <c r="F482" s="81">
        <f>IF(OR(Scale!$U128="",Scale!$U128=0),"",Scale!$J128)</f>
        <v/>
      </c>
      <c r="G482" s="82">
        <f>IF(OR(Scale!$U128="",Scale!$U128=0),"",Scale!$M128)</f>
        <v/>
      </c>
      <c r="H482" s="82">
        <f>IF(OR(Scale!$U128="",Scale!$U128=0),"",Scale!$L128)</f>
        <v/>
      </c>
      <c r="I482" s="82">
        <f>IF(OR(Scale!$U128="",Scale!$U128=0),"",Scale!$N128)</f>
        <v/>
      </c>
      <c r="J482" s="82">
        <f>IF(OR(Scale!$U128="",Scale!$U128=0),"",Scale!$O128)</f>
        <v/>
      </c>
      <c r="K482" s="82">
        <f>IF(OR(Scale!$U128="",Scale!$U128=0),"",IF(Scale!$V128="",0,Scale!$V128)+IF(Scale!$W128="",0,Scale!$W128))</f>
        <v/>
      </c>
      <c r="L482" s="82">
        <f>IF(OR(Scale!$U128="",Scale!$U128=0),"",Scale!$V128)</f>
        <v/>
      </c>
      <c r="M482" s="82">
        <f>IF(OR(Scale!$U128="",Scale!$U128=0),"",Scale!$W128)</f>
        <v/>
      </c>
      <c r="N482" s="81">
        <f>IF(OR(Scale!$U128="",Scale!$U128=0),"",Scale!$E128)</f>
        <v/>
      </c>
      <c r="O482" s="81">
        <f>IF(OR(Scale!$U128="",Scale!$U128=0),"",IFERROR(VLOOKUP(Scale!$U128,AcctTbl,3,0),""))</f>
        <v/>
      </c>
      <c r="P482" s="82">
        <f>IF(Scale!$U128&lt;&gt;"X011","","BN02")</f>
        <v/>
      </c>
    </row>
    <row r="483" ht="20.25" customHeight="1">
      <c r="A483" s="80">
        <f>IF(OR(Scale!$X128="",Scale!$X128=0),"",Scale!$B128)</f>
        <v/>
      </c>
      <c r="B483" s="80">
        <f>IF(OR(Scale!$X128="",Scale!$X128=0),"",Scale!$D128)</f>
        <v/>
      </c>
      <c r="C483" s="80">
        <f>IF(OR(Scale!$X128="",Scale!$X128=0),"","باسکول")</f>
        <v/>
      </c>
      <c r="D483" s="80">
        <f>IF(OR(Scale!$X128="",Scale!$X128=0),"",Scale!$X128)</f>
        <v/>
      </c>
      <c r="E483" s="81">
        <f>IF(OR(Scale!$X128="",Scale!$X128=0),"",IF(Scale!$X128="","","مقابل: "&amp;Scale!$E128))</f>
        <v/>
      </c>
      <c r="F483" s="83" t="n"/>
      <c r="G483" s="83" t="n"/>
      <c r="H483" s="83" t="n"/>
      <c r="I483" s="83" t="n"/>
      <c r="J483" s="83" t="n"/>
      <c r="K483" s="82">
        <f>IF(OR(Scale!$X128="",Scale!$X128=0),"",IF(Scale!$Y128="",0,Scale!$Y128)+IF(Scale!$Z128="",0,Scale!$Z128))</f>
        <v/>
      </c>
      <c r="L483" s="82">
        <f>IF(OR(Scale!$X128="",Scale!$X128=0),"",Scale!$Y128)</f>
        <v/>
      </c>
      <c r="M483" s="82">
        <f>IF(OR(Scale!$X128="",Scale!$X128=0),"",Scale!$Z128)</f>
        <v/>
      </c>
      <c r="N483" s="81">
        <f>IF(OR(Scale!$X128="",Scale!$X128=0),"","مقابل")</f>
        <v/>
      </c>
      <c r="O483" s="81">
        <f>IF(OR(Scale!$X128="",Scale!$X128=0),"",IFERROR(VLOOKUP(Scale!$X128,AcctTbl,3,0),""))</f>
        <v/>
      </c>
      <c r="P483" s="82">
        <f>IF(Scale!$X128&lt;&gt;"X011","","BN02")</f>
        <v/>
      </c>
    </row>
    <row r="484" ht="20.25" customHeight="1">
      <c r="A484" s="80">
        <f>IF(OR(Scale!$AA128="",Scale!$AA128=0),"",Scale!$B128)</f>
        <v/>
      </c>
      <c r="B484" s="80">
        <f>IF(OR(Scale!$AA128="",Scale!$AA128=0),"",Scale!$D128)</f>
        <v/>
      </c>
      <c r="C484" s="80">
        <f>IF(OR(Scale!$AA128="",Scale!$AA128=0),"","باسکول")</f>
        <v/>
      </c>
      <c r="D484" s="80">
        <f>IF(OR(Scale!$AA128="",Scale!$AA128=0),"",Scale!$AA128)</f>
        <v/>
      </c>
      <c r="E484" s="81">
        <f>IF(OR(Scale!$AA128="",Scale!$AA128=0),"",IF(Scale!$AA128="","","پوز باسکول — "&amp;Scale!$E128))</f>
        <v/>
      </c>
      <c r="F484" s="83" t="n"/>
      <c r="G484" s="83" t="n"/>
      <c r="H484" s="83" t="n"/>
      <c r="I484" s="83" t="n"/>
      <c r="J484" s="83" t="n"/>
      <c r="K484" s="82">
        <f>IF(OR(Scale!$AA128="",Scale!$AA128=0),"",IF(Scale!$AB128="",0,Scale!$AB128)+IF(Scale!$AC128="",0,Scale!$AC128))</f>
        <v/>
      </c>
      <c r="L484" s="82">
        <f>IF(OR(Scale!$AA128="",Scale!$AA128=0),"",Scale!$AB128)</f>
        <v/>
      </c>
      <c r="M484" s="82">
        <f>IF(OR(Scale!$AA128="",Scale!$AA128=0),"",Scale!$AC128)</f>
        <v/>
      </c>
      <c r="N484" s="81">
        <f>IF(OR(Scale!$AA128="",Scale!$AA128=0),"","پوز")</f>
        <v/>
      </c>
      <c r="O484" s="81">
        <f>IF(OR(Scale!$AA128="",Scale!$AA128=0),"",IFERROR(VLOOKUP(Scale!$AA128,AcctTbl,3,0),""))</f>
        <v/>
      </c>
      <c r="P484" s="82">
        <f>IF(Scale!$AA128&lt;&gt;"X011","","BN02")</f>
        <v/>
      </c>
    </row>
    <row r="485" ht="20.25" customHeight="1">
      <c r="A485" s="80">
        <f>IF(OR(Scale!$AD128="",Scale!$AD128=0),"",Scale!$B128)</f>
        <v/>
      </c>
      <c r="B485" s="80">
        <f>IF(OR(Scale!$AD128="",Scale!$AD128=0),"",Scale!$D128)</f>
        <v/>
      </c>
      <c r="C485" s="80">
        <f>IF(OR(Scale!$AD128="",Scale!$AD128=0),"","باسکول")</f>
        <v/>
      </c>
      <c r="D485" s="80">
        <f>IF(OR(Scale!$AD128="",Scale!$AD128=0),"",Scale!$AD128)</f>
        <v/>
      </c>
      <c r="E485" s="81">
        <f>IF(OR(Scale!$AD128="",Scale!$AD128=0),"",IF(Scale!$AD128="","","مقابل پوز — "&amp;Scale!$E128))</f>
        <v/>
      </c>
      <c r="F485" s="83" t="n"/>
      <c r="G485" s="83" t="n"/>
      <c r="H485" s="83" t="n"/>
      <c r="I485" s="83" t="n"/>
      <c r="J485" s="83" t="n"/>
      <c r="K485" s="82">
        <f>IF(OR(Scale!$AD128="",Scale!$AD128=0),"",IF(Scale!$AE128="",0,Scale!$AE128)+IF(Scale!$AF128="",0,Scale!$AF128))</f>
        <v/>
      </c>
      <c r="L485" s="82">
        <f>IF(OR(Scale!$AD128="",Scale!$AD128=0),"",Scale!$AE128)</f>
        <v/>
      </c>
      <c r="M485" s="82">
        <f>IF(OR(Scale!$AD128="",Scale!$AD128=0),"",Scale!$AF128)</f>
        <v/>
      </c>
      <c r="N485" s="81">
        <f>IF(OR(Scale!$AD128="",Scale!$AD128=0),"","مقابل پوز")</f>
        <v/>
      </c>
      <c r="O485" s="81">
        <f>IF(OR(Scale!$AD128="",Scale!$AD128=0),"",IFERROR(VLOOKUP(Scale!$AD128,AcctTbl,3,0),""))</f>
        <v/>
      </c>
      <c r="P485" s="82">
        <f>IF(Scale!$AD128&lt;&gt;"X011","","BN02")</f>
        <v/>
      </c>
    </row>
    <row r="486" ht="20.25" customHeight="1">
      <c r="A486" s="80">
        <f>IF(OR(Scale!$U129="",Scale!$U129=0),"",Scale!$B129)</f>
        <v/>
      </c>
      <c r="B486" s="80">
        <f>IF(OR(Scale!$U129="",Scale!$U129=0),"",Scale!$D129)</f>
        <v/>
      </c>
      <c r="C486" s="80">
        <f>IF(OR(Scale!$U129="",Scale!$U129=0),"","باسکول")</f>
        <v/>
      </c>
      <c r="D486" s="80">
        <f>IF(OR(Scale!$U129="",Scale!$U129=0),"",Scale!$U129)</f>
        <v/>
      </c>
      <c r="E486" s="81">
        <f>IF(OR(Scale!$U129="",Scale!$U129=0),"",Scale!$T129)</f>
        <v/>
      </c>
      <c r="F486" s="81">
        <f>IF(OR(Scale!$U129="",Scale!$U129=0),"",Scale!$J129)</f>
        <v/>
      </c>
      <c r="G486" s="82">
        <f>IF(OR(Scale!$U129="",Scale!$U129=0),"",Scale!$M129)</f>
        <v/>
      </c>
      <c r="H486" s="82">
        <f>IF(OR(Scale!$U129="",Scale!$U129=0),"",Scale!$L129)</f>
        <v/>
      </c>
      <c r="I486" s="82">
        <f>IF(OR(Scale!$U129="",Scale!$U129=0),"",Scale!$N129)</f>
        <v/>
      </c>
      <c r="J486" s="82">
        <f>IF(OR(Scale!$U129="",Scale!$U129=0),"",Scale!$O129)</f>
        <v/>
      </c>
      <c r="K486" s="82">
        <f>IF(OR(Scale!$U129="",Scale!$U129=0),"",IF(Scale!$V129="",0,Scale!$V129)+IF(Scale!$W129="",0,Scale!$W129))</f>
        <v/>
      </c>
      <c r="L486" s="82">
        <f>IF(OR(Scale!$U129="",Scale!$U129=0),"",Scale!$V129)</f>
        <v/>
      </c>
      <c r="M486" s="82">
        <f>IF(OR(Scale!$U129="",Scale!$U129=0),"",Scale!$W129)</f>
        <v/>
      </c>
      <c r="N486" s="81">
        <f>IF(OR(Scale!$U129="",Scale!$U129=0),"",Scale!$E129)</f>
        <v/>
      </c>
      <c r="O486" s="81">
        <f>IF(OR(Scale!$U129="",Scale!$U129=0),"",IFERROR(VLOOKUP(Scale!$U129,AcctTbl,3,0),""))</f>
        <v/>
      </c>
      <c r="P486" s="82">
        <f>IF(Scale!$U129&lt;&gt;"X011","","BN02")</f>
        <v/>
      </c>
    </row>
    <row r="487" ht="20.25" customHeight="1">
      <c r="A487" s="80">
        <f>IF(OR(Scale!$X129="",Scale!$X129=0),"",Scale!$B129)</f>
        <v/>
      </c>
      <c r="B487" s="80">
        <f>IF(OR(Scale!$X129="",Scale!$X129=0),"",Scale!$D129)</f>
        <v/>
      </c>
      <c r="C487" s="80">
        <f>IF(OR(Scale!$X129="",Scale!$X129=0),"","باسکول")</f>
        <v/>
      </c>
      <c r="D487" s="80">
        <f>IF(OR(Scale!$X129="",Scale!$X129=0),"",Scale!$X129)</f>
        <v/>
      </c>
      <c r="E487" s="81">
        <f>IF(OR(Scale!$X129="",Scale!$X129=0),"",IF(Scale!$X129="","","مقابل: "&amp;Scale!$E129))</f>
        <v/>
      </c>
      <c r="F487" s="83" t="n"/>
      <c r="G487" s="83" t="n"/>
      <c r="H487" s="83" t="n"/>
      <c r="I487" s="83" t="n"/>
      <c r="J487" s="83" t="n"/>
      <c r="K487" s="82">
        <f>IF(OR(Scale!$X129="",Scale!$X129=0),"",IF(Scale!$Y129="",0,Scale!$Y129)+IF(Scale!$Z129="",0,Scale!$Z129))</f>
        <v/>
      </c>
      <c r="L487" s="82">
        <f>IF(OR(Scale!$X129="",Scale!$X129=0),"",Scale!$Y129)</f>
        <v/>
      </c>
      <c r="M487" s="82">
        <f>IF(OR(Scale!$X129="",Scale!$X129=0),"",Scale!$Z129)</f>
        <v/>
      </c>
      <c r="N487" s="81">
        <f>IF(OR(Scale!$X129="",Scale!$X129=0),"","مقابل")</f>
        <v/>
      </c>
      <c r="O487" s="81">
        <f>IF(OR(Scale!$X129="",Scale!$X129=0),"",IFERROR(VLOOKUP(Scale!$X129,AcctTbl,3,0),""))</f>
        <v/>
      </c>
      <c r="P487" s="82">
        <f>IF(Scale!$X129&lt;&gt;"X011","","BN02")</f>
        <v/>
      </c>
    </row>
    <row r="488" ht="20.25" customHeight="1">
      <c r="A488" s="80">
        <f>IF(OR(Scale!$AA129="",Scale!$AA129=0),"",Scale!$B129)</f>
        <v/>
      </c>
      <c r="B488" s="80">
        <f>IF(OR(Scale!$AA129="",Scale!$AA129=0),"",Scale!$D129)</f>
        <v/>
      </c>
      <c r="C488" s="80">
        <f>IF(OR(Scale!$AA129="",Scale!$AA129=0),"","باسکول")</f>
        <v/>
      </c>
      <c r="D488" s="80">
        <f>IF(OR(Scale!$AA129="",Scale!$AA129=0),"",Scale!$AA129)</f>
        <v/>
      </c>
      <c r="E488" s="81">
        <f>IF(OR(Scale!$AA129="",Scale!$AA129=0),"",IF(Scale!$AA129="","","پوز باسکول — "&amp;Scale!$E129))</f>
        <v/>
      </c>
      <c r="F488" s="83" t="n"/>
      <c r="G488" s="83" t="n"/>
      <c r="H488" s="83" t="n"/>
      <c r="I488" s="83" t="n"/>
      <c r="J488" s="83" t="n"/>
      <c r="K488" s="82">
        <f>IF(OR(Scale!$AA129="",Scale!$AA129=0),"",IF(Scale!$AB129="",0,Scale!$AB129)+IF(Scale!$AC129="",0,Scale!$AC129))</f>
        <v/>
      </c>
      <c r="L488" s="82">
        <f>IF(OR(Scale!$AA129="",Scale!$AA129=0),"",Scale!$AB129)</f>
        <v/>
      </c>
      <c r="M488" s="82">
        <f>IF(OR(Scale!$AA129="",Scale!$AA129=0),"",Scale!$AC129)</f>
        <v/>
      </c>
      <c r="N488" s="81">
        <f>IF(OR(Scale!$AA129="",Scale!$AA129=0),"","پوز")</f>
        <v/>
      </c>
      <c r="O488" s="81">
        <f>IF(OR(Scale!$AA129="",Scale!$AA129=0),"",IFERROR(VLOOKUP(Scale!$AA129,AcctTbl,3,0),""))</f>
        <v/>
      </c>
      <c r="P488" s="82">
        <f>IF(Scale!$AA129&lt;&gt;"X011","","BN02")</f>
        <v/>
      </c>
    </row>
    <row r="489" ht="20.25" customHeight="1">
      <c r="A489" s="80">
        <f>IF(OR(Scale!$AD129="",Scale!$AD129=0),"",Scale!$B129)</f>
        <v/>
      </c>
      <c r="B489" s="80">
        <f>IF(OR(Scale!$AD129="",Scale!$AD129=0),"",Scale!$D129)</f>
        <v/>
      </c>
      <c r="C489" s="80">
        <f>IF(OR(Scale!$AD129="",Scale!$AD129=0),"","باسکول")</f>
        <v/>
      </c>
      <c r="D489" s="80">
        <f>IF(OR(Scale!$AD129="",Scale!$AD129=0),"",Scale!$AD129)</f>
        <v/>
      </c>
      <c r="E489" s="81">
        <f>IF(OR(Scale!$AD129="",Scale!$AD129=0),"",IF(Scale!$AD129="","","مقابل پوز — "&amp;Scale!$E129))</f>
        <v/>
      </c>
      <c r="F489" s="83" t="n"/>
      <c r="G489" s="83" t="n"/>
      <c r="H489" s="83" t="n"/>
      <c r="I489" s="83" t="n"/>
      <c r="J489" s="83" t="n"/>
      <c r="K489" s="82">
        <f>IF(OR(Scale!$AD129="",Scale!$AD129=0),"",IF(Scale!$AE129="",0,Scale!$AE129)+IF(Scale!$AF129="",0,Scale!$AF129))</f>
        <v/>
      </c>
      <c r="L489" s="82">
        <f>IF(OR(Scale!$AD129="",Scale!$AD129=0),"",Scale!$AE129)</f>
        <v/>
      </c>
      <c r="M489" s="82">
        <f>IF(OR(Scale!$AD129="",Scale!$AD129=0),"",Scale!$AF129)</f>
        <v/>
      </c>
      <c r="N489" s="81">
        <f>IF(OR(Scale!$AD129="",Scale!$AD129=0),"","مقابل پوز")</f>
        <v/>
      </c>
      <c r="O489" s="81">
        <f>IF(OR(Scale!$AD129="",Scale!$AD129=0),"",IFERROR(VLOOKUP(Scale!$AD129,AcctTbl,3,0),""))</f>
        <v/>
      </c>
      <c r="P489" s="82">
        <f>IF(Scale!$AD129&lt;&gt;"X011","","BN02")</f>
        <v/>
      </c>
    </row>
    <row r="490" ht="20.25" customHeight="1">
      <c r="A490" s="80">
        <f>IF(OR(Scale!$U130="",Scale!$U130=0),"",Scale!$B130)</f>
        <v/>
      </c>
      <c r="B490" s="80">
        <f>IF(OR(Scale!$U130="",Scale!$U130=0),"",Scale!$D130)</f>
        <v/>
      </c>
      <c r="C490" s="80">
        <f>IF(OR(Scale!$U130="",Scale!$U130=0),"","باسکول")</f>
        <v/>
      </c>
      <c r="D490" s="80">
        <f>IF(OR(Scale!$U130="",Scale!$U130=0),"",Scale!$U130)</f>
        <v/>
      </c>
      <c r="E490" s="81">
        <f>IF(OR(Scale!$U130="",Scale!$U130=0),"",Scale!$T130)</f>
        <v/>
      </c>
      <c r="F490" s="81">
        <f>IF(OR(Scale!$U130="",Scale!$U130=0),"",Scale!$J130)</f>
        <v/>
      </c>
      <c r="G490" s="82">
        <f>IF(OR(Scale!$U130="",Scale!$U130=0),"",Scale!$M130)</f>
        <v/>
      </c>
      <c r="H490" s="82">
        <f>IF(OR(Scale!$U130="",Scale!$U130=0),"",Scale!$L130)</f>
        <v/>
      </c>
      <c r="I490" s="82">
        <f>IF(OR(Scale!$U130="",Scale!$U130=0),"",Scale!$N130)</f>
        <v/>
      </c>
      <c r="J490" s="82">
        <f>IF(OR(Scale!$U130="",Scale!$U130=0),"",Scale!$O130)</f>
        <v/>
      </c>
      <c r="K490" s="82">
        <f>IF(OR(Scale!$U130="",Scale!$U130=0),"",IF(Scale!$V130="",0,Scale!$V130)+IF(Scale!$W130="",0,Scale!$W130))</f>
        <v/>
      </c>
      <c r="L490" s="82">
        <f>IF(OR(Scale!$U130="",Scale!$U130=0),"",Scale!$V130)</f>
        <v/>
      </c>
      <c r="M490" s="82">
        <f>IF(OR(Scale!$U130="",Scale!$U130=0),"",Scale!$W130)</f>
        <v/>
      </c>
      <c r="N490" s="81">
        <f>IF(OR(Scale!$U130="",Scale!$U130=0),"",Scale!$E130)</f>
        <v/>
      </c>
      <c r="O490" s="81">
        <f>IF(OR(Scale!$U130="",Scale!$U130=0),"",IFERROR(VLOOKUP(Scale!$U130,AcctTbl,3,0),""))</f>
        <v/>
      </c>
      <c r="P490" s="82">
        <f>IF(Scale!$U130&lt;&gt;"X011","","BN02")</f>
        <v/>
      </c>
    </row>
    <row r="491" ht="20.25" customHeight="1">
      <c r="A491" s="80">
        <f>IF(OR(Scale!$X130="",Scale!$X130=0),"",Scale!$B130)</f>
        <v/>
      </c>
      <c r="B491" s="80">
        <f>IF(OR(Scale!$X130="",Scale!$X130=0),"",Scale!$D130)</f>
        <v/>
      </c>
      <c r="C491" s="80">
        <f>IF(OR(Scale!$X130="",Scale!$X130=0),"","باسکول")</f>
        <v/>
      </c>
      <c r="D491" s="80">
        <f>IF(OR(Scale!$X130="",Scale!$X130=0),"",Scale!$X130)</f>
        <v/>
      </c>
      <c r="E491" s="81">
        <f>IF(OR(Scale!$X130="",Scale!$X130=0),"",IF(Scale!$X130="","","مقابل: "&amp;Scale!$E130))</f>
        <v/>
      </c>
      <c r="F491" s="83" t="n"/>
      <c r="G491" s="83" t="n"/>
      <c r="H491" s="83" t="n"/>
      <c r="I491" s="83" t="n"/>
      <c r="J491" s="83" t="n"/>
      <c r="K491" s="82">
        <f>IF(OR(Scale!$X130="",Scale!$X130=0),"",IF(Scale!$Y130="",0,Scale!$Y130)+IF(Scale!$Z130="",0,Scale!$Z130))</f>
        <v/>
      </c>
      <c r="L491" s="82">
        <f>IF(OR(Scale!$X130="",Scale!$X130=0),"",Scale!$Y130)</f>
        <v/>
      </c>
      <c r="M491" s="82">
        <f>IF(OR(Scale!$X130="",Scale!$X130=0),"",Scale!$Z130)</f>
        <v/>
      </c>
      <c r="N491" s="81">
        <f>IF(OR(Scale!$X130="",Scale!$X130=0),"","مقابل")</f>
        <v/>
      </c>
      <c r="O491" s="81">
        <f>IF(OR(Scale!$X130="",Scale!$X130=0),"",IFERROR(VLOOKUP(Scale!$X130,AcctTbl,3,0),""))</f>
        <v/>
      </c>
      <c r="P491" s="82">
        <f>IF(Scale!$X130&lt;&gt;"X011","","BN02")</f>
        <v/>
      </c>
    </row>
    <row r="492" ht="20.25" customHeight="1">
      <c r="A492" s="80">
        <f>IF(OR(Scale!$AA130="",Scale!$AA130=0),"",Scale!$B130)</f>
        <v/>
      </c>
      <c r="B492" s="80">
        <f>IF(OR(Scale!$AA130="",Scale!$AA130=0),"",Scale!$D130)</f>
        <v/>
      </c>
      <c r="C492" s="80">
        <f>IF(OR(Scale!$AA130="",Scale!$AA130=0),"","باسکول")</f>
        <v/>
      </c>
      <c r="D492" s="80">
        <f>IF(OR(Scale!$AA130="",Scale!$AA130=0),"",Scale!$AA130)</f>
        <v/>
      </c>
      <c r="E492" s="81">
        <f>IF(OR(Scale!$AA130="",Scale!$AA130=0),"",IF(Scale!$AA130="","","پوز باسکول — "&amp;Scale!$E130))</f>
        <v/>
      </c>
      <c r="F492" s="83" t="n"/>
      <c r="G492" s="83" t="n"/>
      <c r="H492" s="83" t="n"/>
      <c r="I492" s="83" t="n"/>
      <c r="J492" s="83" t="n"/>
      <c r="K492" s="82">
        <f>IF(OR(Scale!$AA130="",Scale!$AA130=0),"",IF(Scale!$AB130="",0,Scale!$AB130)+IF(Scale!$AC130="",0,Scale!$AC130))</f>
        <v/>
      </c>
      <c r="L492" s="82">
        <f>IF(OR(Scale!$AA130="",Scale!$AA130=0),"",Scale!$AB130)</f>
        <v/>
      </c>
      <c r="M492" s="82">
        <f>IF(OR(Scale!$AA130="",Scale!$AA130=0),"",Scale!$AC130)</f>
        <v/>
      </c>
      <c r="N492" s="81">
        <f>IF(OR(Scale!$AA130="",Scale!$AA130=0),"","پوز")</f>
        <v/>
      </c>
      <c r="O492" s="81">
        <f>IF(OR(Scale!$AA130="",Scale!$AA130=0),"",IFERROR(VLOOKUP(Scale!$AA130,AcctTbl,3,0),""))</f>
        <v/>
      </c>
      <c r="P492" s="82">
        <f>IF(Scale!$AA130&lt;&gt;"X011","","BN02")</f>
        <v/>
      </c>
    </row>
    <row r="493" ht="20.25" customHeight="1">
      <c r="A493" s="80">
        <f>IF(OR(Scale!$AD130="",Scale!$AD130=0),"",Scale!$B130)</f>
        <v/>
      </c>
      <c r="B493" s="80">
        <f>IF(OR(Scale!$AD130="",Scale!$AD130=0),"",Scale!$D130)</f>
        <v/>
      </c>
      <c r="C493" s="80">
        <f>IF(OR(Scale!$AD130="",Scale!$AD130=0),"","باسکول")</f>
        <v/>
      </c>
      <c r="D493" s="80">
        <f>IF(OR(Scale!$AD130="",Scale!$AD130=0),"",Scale!$AD130)</f>
        <v/>
      </c>
      <c r="E493" s="81">
        <f>IF(OR(Scale!$AD130="",Scale!$AD130=0),"",IF(Scale!$AD130="","","مقابل پوز — "&amp;Scale!$E130))</f>
        <v/>
      </c>
      <c r="F493" s="83" t="n"/>
      <c r="G493" s="83" t="n"/>
      <c r="H493" s="83" t="n"/>
      <c r="I493" s="83" t="n"/>
      <c r="J493" s="83" t="n"/>
      <c r="K493" s="82">
        <f>IF(OR(Scale!$AD130="",Scale!$AD130=0),"",IF(Scale!$AE130="",0,Scale!$AE130)+IF(Scale!$AF130="",0,Scale!$AF130))</f>
        <v/>
      </c>
      <c r="L493" s="82">
        <f>IF(OR(Scale!$AD130="",Scale!$AD130=0),"",Scale!$AE130)</f>
        <v/>
      </c>
      <c r="M493" s="82">
        <f>IF(OR(Scale!$AD130="",Scale!$AD130=0),"",Scale!$AF130)</f>
        <v/>
      </c>
      <c r="N493" s="81">
        <f>IF(OR(Scale!$AD130="",Scale!$AD130=0),"","مقابل پوز")</f>
        <v/>
      </c>
      <c r="O493" s="81">
        <f>IF(OR(Scale!$AD130="",Scale!$AD130=0),"",IFERROR(VLOOKUP(Scale!$AD130,AcctTbl,3,0),""))</f>
        <v/>
      </c>
      <c r="P493" s="82">
        <f>IF(Scale!$AD130&lt;&gt;"X011","","BN02")</f>
        <v/>
      </c>
    </row>
    <row r="494" ht="20.25" customHeight="1">
      <c r="A494" s="80">
        <f>IF(OR(Scale!$U131="",Scale!$U131=0),"",Scale!$B131)</f>
        <v/>
      </c>
      <c r="B494" s="80">
        <f>IF(OR(Scale!$U131="",Scale!$U131=0),"",Scale!$D131)</f>
        <v/>
      </c>
      <c r="C494" s="80">
        <f>IF(OR(Scale!$U131="",Scale!$U131=0),"","باسکول")</f>
        <v/>
      </c>
      <c r="D494" s="80">
        <f>IF(OR(Scale!$U131="",Scale!$U131=0),"",Scale!$U131)</f>
        <v/>
      </c>
      <c r="E494" s="81">
        <f>IF(OR(Scale!$U131="",Scale!$U131=0),"",Scale!$T131)</f>
        <v/>
      </c>
      <c r="F494" s="81">
        <f>IF(OR(Scale!$U131="",Scale!$U131=0),"",Scale!$J131)</f>
        <v/>
      </c>
      <c r="G494" s="82">
        <f>IF(OR(Scale!$U131="",Scale!$U131=0),"",Scale!$M131)</f>
        <v/>
      </c>
      <c r="H494" s="82">
        <f>IF(OR(Scale!$U131="",Scale!$U131=0),"",Scale!$L131)</f>
        <v/>
      </c>
      <c r="I494" s="82">
        <f>IF(OR(Scale!$U131="",Scale!$U131=0),"",Scale!$N131)</f>
        <v/>
      </c>
      <c r="J494" s="82">
        <f>IF(OR(Scale!$U131="",Scale!$U131=0),"",Scale!$O131)</f>
        <v/>
      </c>
      <c r="K494" s="82">
        <f>IF(OR(Scale!$U131="",Scale!$U131=0),"",IF(Scale!$V131="",0,Scale!$V131)+IF(Scale!$W131="",0,Scale!$W131))</f>
        <v/>
      </c>
      <c r="L494" s="82">
        <f>IF(OR(Scale!$U131="",Scale!$U131=0),"",Scale!$V131)</f>
        <v/>
      </c>
      <c r="M494" s="82">
        <f>IF(OR(Scale!$U131="",Scale!$U131=0),"",Scale!$W131)</f>
        <v/>
      </c>
      <c r="N494" s="81">
        <f>IF(OR(Scale!$U131="",Scale!$U131=0),"",Scale!$E131)</f>
        <v/>
      </c>
      <c r="O494" s="81">
        <f>IF(OR(Scale!$U131="",Scale!$U131=0),"",IFERROR(VLOOKUP(Scale!$U131,AcctTbl,3,0),""))</f>
        <v/>
      </c>
      <c r="P494" s="82">
        <f>IF(Scale!$U131&lt;&gt;"X011","","BN02")</f>
        <v/>
      </c>
    </row>
    <row r="495" ht="20.25" customHeight="1">
      <c r="A495" s="80">
        <f>IF(OR(Scale!$X131="",Scale!$X131=0),"",Scale!$B131)</f>
        <v/>
      </c>
      <c r="B495" s="80">
        <f>IF(OR(Scale!$X131="",Scale!$X131=0),"",Scale!$D131)</f>
        <v/>
      </c>
      <c r="C495" s="80">
        <f>IF(OR(Scale!$X131="",Scale!$X131=0),"","باسکول")</f>
        <v/>
      </c>
      <c r="D495" s="80">
        <f>IF(OR(Scale!$X131="",Scale!$X131=0),"",Scale!$X131)</f>
        <v/>
      </c>
      <c r="E495" s="81">
        <f>IF(OR(Scale!$X131="",Scale!$X131=0),"",IF(Scale!$X131="","","مقابل: "&amp;Scale!$E131))</f>
        <v/>
      </c>
      <c r="F495" s="83" t="n"/>
      <c r="G495" s="83" t="n"/>
      <c r="H495" s="83" t="n"/>
      <c r="I495" s="83" t="n"/>
      <c r="J495" s="83" t="n"/>
      <c r="K495" s="82">
        <f>IF(OR(Scale!$X131="",Scale!$X131=0),"",IF(Scale!$Y131="",0,Scale!$Y131)+IF(Scale!$Z131="",0,Scale!$Z131))</f>
        <v/>
      </c>
      <c r="L495" s="82">
        <f>IF(OR(Scale!$X131="",Scale!$X131=0),"",Scale!$Y131)</f>
        <v/>
      </c>
      <c r="M495" s="82">
        <f>IF(OR(Scale!$X131="",Scale!$X131=0),"",Scale!$Z131)</f>
        <v/>
      </c>
      <c r="N495" s="81">
        <f>IF(OR(Scale!$X131="",Scale!$X131=0),"","مقابل")</f>
        <v/>
      </c>
      <c r="O495" s="81">
        <f>IF(OR(Scale!$X131="",Scale!$X131=0),"",IFERROR(VLOOKUP(Scale!$X131,AcctTbl,3,0),""))</f>
        <v/>
      </c>
      <c r="P495" s="82">
        <f>IF(Scale!$X131&lt;&gt;"X011","","BN02")</f>
        <v/>
      </c>
    </row>
    <row r="496" ht="20.25" customHeight="1">
      <c r="A496" s="80">
        <f>IF(OR(Scale!$AA131="",Scale!$AA131=0),"",Scale!$B131)</f>
        <v/>
      </c>
      <c r="B496" s="80">
        <f>IF(OR(Scale!$AA131="",Scale!$AA131=0),"",Scale!$D131)</f>
        <v/>
      </c>
      <c r="C496" s="80">
        <f>IF(OR(Scale!$AA131="",Scale!$AA131=0),"","باسکول")</f>
        <v/>
      </c>
      <c r="D496" s="80">
        <f>IF(OR(Scale!$AA131="",Scale!$AA131=0),"",Scale!$AA131)</f>
        <v/>
      </c>
      <c r="E496" s="81">
        <f>IF(OR(Scale!$AA131="",Scale!$AA131=0),"",IF(Scale!$AA131="","","پوز باسکول — "&amp;Scale!$E131))</f>
        <v/>
      </c>
      <c r="F496" s="83" t="n"/>
      <c r="G496" s="83" t="n"/>
      <c r="H496" s="83" t="n"/>
      <c r="I496" s="83" t="n"/>
      <c r="J496" s="83" t="n"/>
      <c r="K496" s="82">
        <f>IF(OR(Scale!$AA131="",Scale!$AA131=0),"",IF(Scale!$AB131="",0,Scale!$AB131)+IF(Scale!$AC131="",0,Scale!$AC131))</f>
        <v/>
      </c>
      <c r="L496" s="82">
        <f>IF(OR(Scale!$AA131="",Scale!$AA131=0),"",Scale!$AB131)</f>
        <v/>
      </c>
      <c r="M496" s="82">
        <f>IF(OR(Scale!$AA131="",Scale!$AA131=0),"",Scale!$AC131)</f>
        <v/>
      </c>
      <c r="N496" s="81">
        <f>IF(OR(Scale!$AA131="",Scale!$AA131=0),"","پوز")</f>
        <v/>
      </c>
      <c r="O496" s="81">
        <f>IF(OR(Scale!$AA131="",Scale!$AA131=0),"",IFERROR(VLOOKUP(Scale!$AA131,AcctTbl,3,0),""))</f>
        <v/>
      </c>
      <c r="P496" s="82">
        <f>IF(Scale!$AA131&lt;&gt;"X011","","BN02")</f>
        <v/>
      </c>
    </row>
    <row r="497" ht="20.25" customHeight="1">
      <c r="A497" s="80">
        <f>IF(OR(Scale!$AD131="",Scale!$AD131=0),"",Scale!$B131)</f>
        <v/>
      </c>
      <c r="B497" s="80">
        <f>IF(OR(Scale!$AD131="",Scale!$AD131=0),"",Scale!$D131)</f>
        <v/>
      </c>
      <c r="C497" s="80">
        <f>IF(OR(Scale!$AD131="",Scale!$AD131=0),"","باسکول")</f>
        <v/>
      </c>
      <c r="D497" s="80">
        <f>IF(OR(Scale!$AD131="",Scale!$AD131=0),"",Scale!$AD131)</f>
        <v/>
      </c>
      <c r="E497" s="81">
        <f>IF(OR(Scale!$AD131="",Scale!$AD131=0),"",IF(Scale!$AD131="","","مقابل پوز — "&amp;Scale!$E131))</f>
        <v/>
      </c>
      <c r="F497" s="83" t="n"/>
      <c r="G497" s="83" t="n"/>
      <c r="H497" s="83" t="n"/>
      <c r="I497" s="83" t="n"/>
      <c r="J497" s="83" t="n"/>
      <c r="K497" s="82">
        <f>IF(OR(Scale!$AD131="",Scale!$AD131=0),"",IF(Scale!$AE131="",0,Scale!$AE131)+IF(Scale!$AF131="",0,Scale!$AF131))</f>
        <v/>
      </c>
      <c r="L497" s="82">
        <f>IF(OR(Scale!$AD131="",Scale!$AD131=0),"",Scale!$AE131)</f>
        <v/>
      </c>
      <c r="M497" s="82">
        <f>IF(OR(Scale!$AD131="",Scale!$AD131=0),"",Scale!$AF131)</f>
        <v/>
      </c>
      <c r="N497" s="81">
        <f>IF(OR(Scale!$AD131="",Scale!$AD131=0),"","مقابل پوز")</f>
        <v/>
      </c>
      <c r="O497" s="81">
        <f>IF(OR(Scale!$AD131="",Scale!$AD131=0),"",IFERROR(VLOOKUP(Scale!$AD131,AcctTbl,3,0),""))</f>
        <v/>
      </c>
      <c r="P497" s="82">
        <f>IF(Scale!$AD131&lt;&gt;"X011","","BN02")</f>
        <v/>
      </c>
    </row>
    <row r="498" ht="20.25" customHeight="1">
      <c r="A498" s="80">
        <f>IF(OR(Scale!$U132="",Scale!$U132=0),"",Scale!$B132)</f>
        <v/>
      </c>
      <c r="B498" s="80">
        <f>IF(OR(Scale!$U132="",Scale!$U132=0),"",Scale!$D132)</f>
        <v/>
      </c>
      <c r="C498" s="80">
        <f>IF(OR(Scale!$U132="",Scale!$U132=0),"","باسکول")</f>
        <v/>
      </c>
      <c r="D498" s="80">
        <f>IF(OR(Scale!$U132="",Scale!$U132=0),"",Scale!$U132)</f>
        <v/>
      </c>
      <c r="E498" s="81">
        <f>IF(OR(Scale!$U132="",Scale!$U132=0),"",Scale!$T132)</f>
        <v/>
      </c>
      <c r="F498" s="81">
        <f>IF(OR(Scale!$U132="",Scale!$U132=0),"",Scale!$J132)</f>
        <v/>
      </c>
      <c r="G498" s="82">
        <f>IF(OR(Scale!$U132="",Scale!$U132=0),"",Scale!$M132)</f>
        <v/>
      </c>
      <c r="H498" s="82">
        <f>IF(OR(Scale!$U132="",Scale!$U132=0),"",Scale!$L132)</f>
        <v/>
      </c>
      <c r="I498" s="82">
        <f>IF(OR(Scale!$U132="",Scale!$U132=0),"",Scale!$N132)</f>
        <v/>
      </c>
      <c r="J498" s="82">
        <f>IF(OR(Scale!$U132="",Scale!$U132=0),"",Scale!$O132)</f>
        <v/>
      </c>
      <c r="K498" s="82">
        <f>IF(OR(Scale!$U132="",Scale!$U132=0),"",IF(Scale!$V132="",0,Scale!$V132)+IF(Scale!$W132="",0,Scale!$W132))</f>
        <v/>
      </c>
      <c r="L498" s="82">
        <f>IF(OR(Scale!$U132="",Scale!$U132=0),"",Scale!$V132)</f>
        <v/>
      </c>
      <c r="M498" s="82">
        <f>IF(OR(Scale!$U132="",Scale!$U132=0),"",Scale!$W132)</f>
        <v/>
      </c>
      <c r="N498" s="81">
        <f>IF(OR(Scale!$U132="",Scale!$U132=0),"",Scale!$E132)</f>
        <v/>
      </c>
      <c r="O498" s="81">
        <f>IF(OR(Scale!$U132="",Scale!$U132=0),"",IFERROR(VLOOKUP(Scale!$U132,AcctTbl,3,0),""))</f>
        <v/>
      </c>
      <c r="P498" s="82">
        <f>IF(Scale!$U132&lt;&gt;"X011","","BN02")</f>
        <v/>
      </c>
    </row>
    <row r="499" ht="20.25" customHeight="1">
      <c r="A499" s="80">
        <f>IF(OR(Scale!$X132="",Scale!$X132=0),"",Scale!$B132)</f>
        <v/>
      </c>
      <c r="B499" s="80">
        <f>IF(OR(Scale!$X132="",Scale!$X132=0),"",Scale!$D132)</f>
        <v/>
      </c>
      <c r="C499" s="80">
        <f>IF(OR(Scale!$X132="",Scale!$X132=0),"","باسکول")</f>
        <v/>
      </c>
      <c r="D499" s="80">
        <f>IF(OR(Scale!$X132="",Scale!$X132=0),"",Scale!$X132)</f>
        <v/>
      </c>
      <c r="E499" s="81">
        <f>IF(OR(Scale!$X132="",Scale!$X132=0),"",IF(Scale!$X132="","","مقابل: "&amp;Scale!$E132))</f>
        <v/>
      </c>
      <c r="F499" s="83" t="n"/>
      <c r="G499" s="83" t="n"/>
      <c r="H499" s="83" t="n"/>
      <c r="I499" s="83" t="n"/>
      <c r="J499" s="83" t="n"/>
      <c r="K499" s="82">
        <f>IF(OR(Scale!$X132="",Scale!$X132=0),"",IF(Scale!$Y132="",0,Scale!$Y132)+IF(Scale!$Z132="",0,Scale!$Z132))</f>
        <v/>
      </c>
      <c r="L499" s="82">
        <f>IF(OR(Scale!$X132="",Scale!$X132=0),"",Scale!$Y132)</f>
        <v/>
      </c>
      <c r="M499" s="82">
        <f>IF(OR(Scale!$X132="",Scale!$X132=0),"",Scale!$Z132)</f>
        <v/>
      </c>
      <c r="N499" s="81">
        <f>IF(OR(Scale!$X132="",Scale!$X132=0),"","مقابل")</f>
        <v/>
      </c>
      <c r="O499" s="81">
        <f>IF(OR(Scale!$X132="",Scale!$X132=0),"",IFERROR(VLOOKUP(Scale!$X132,AcctTbl,3,0),""))</f>
        <v/>
      </c>
      <c r="P499" s="82">
        <f>IF(Scale!$X132&lt;&gt;"X011","","BN02")</f>
        <v/>
      </c>
    </row>
    <row r="500" ht="20.25" customHeight="1">
      <c r="A500" s="80">
        <f>IF(OR(Scale!$AA132="",Scale!$AA132=0),"",Scale!$B132)</f>
        <v/>
      </c>
      <c r="B500" s="80">
        <f>IF(OR(Scale!$AA132="",Scale!$AA132=0),"",Scale!$D132)</f>
        <v/>
      </c>
      <c r="C500" s="80">
        <f>IF(OR(Scale!$AA132="",Scale!$AA132=0),"","باسکول")</f>
        <v/>
      </c>
      <c r="D500" s="80">
        <f>IF(OR(Scale!$AA132="",Scale!$AA132=0),"",Scale!$AA132)</f>
        <v/>
      </c>
      <c r="E500" s="81">
        <f>IF(OR(Scale!$AA132="",Scale!$AA132=0),"",IF(Scale!$AA132="","","پوز باسکول — "&amp;Scale!$E132))</f>
        <v/>
      </c>
      <c r="F500" s="83" t="n"/>
      <c r="G500" s="83" t="n"/>
      <c r="H500" s="83" t="n"/>
      <c r="I500" s="83" t="n"/>
      <c r="J500" s="83" t="n"/>
      <c r="K500" s="82">
        <f>IF(OR(Scale!$AA132="",Scale!$AA132=0),"",IF(Scale!$AB132="",0,Scale!$AB132)+IF(Scale!$AC132="",0,Scale!$AC132))</f>
        <v/>
      </c>
      <c r="L500" s="82">
        <f>IF(OR(Scale!$AA132="",Scale!$AA132=0),"",Scale!$AB132)</f>
        <v/>
      </c>
      <c r="M500" s="82">
        <f>IF(OR(Scale!$AA132="",Scale!$AA132=0),"",Scale!$AC132)</f>
        <v/>
      </c>
      <c r="N500" s="81">
        <f>IF(OR(Scale!$AA132="",Scale!$AA132=0),"","پوز")</f>
        <v/>
      </c>
      <c r="O500" s="81">
        <f>IF(OR(Scale!$AA132="",Scale!$AA132=0),"",IFERROR(VLOOKUP(Scale!$AA132,AcctTbl,3,0),""))</f>
        <v/>
      </c>
      <c r="P500" s="82">
        <f>IF(Scale!$AA132&lt;&gt;"X011","","BN02")</f>
        <v/>
      </c>
    </row>
    <row r="501" ht="20.25" customHeight="1">
      <c r="A501" s="80">
        <f>IF(OR(Scale!$AD132="",Scale!$AD132=0),"",Scale!$B132)</f>
        <v/>
      </c>
      <c r="B501" s="80">
        <f>IF(OR(Scale!$AD132="",Scale!$AD132=0),"",Scale!$D132)</f>
        <v/>
      </c>
      <c r="C501" s="80">
        <f>IF(OR(Scale!$AD132="",Scale!$AD132=0),"","باسکول")</f>
        <v/>
      </c>
      <c r="D501" s="80">
        <f>IF(OR(Scale!$AD132="",Scale!$AD132=0),"",Scale!$AD132)</f>
        <v/>
      </c>
      <c r="E501" s="81">
        <f>IF(OR(Scale!$AD132="",Scale!$AD132=0),"",IF(Scale!$AD132="","","مقابل پوز — "&amp;Scale!$E132))</f>
        <v/>
      </c>
      <c r="F501" s="83" t="n"/>
      <c r="G501" s="83" t="n"/>
      <c r="H501" s="83" t="n"/>
      <c r="I501" s="83" t="n"/>
      <c r="J501" s="83" t="n"/>
      <c r="K501" s="82">
        <f>IF(OR(Scale!$AD132="",Scale!$AD132=0),"",IF(Scale!$AE132="",0,Scale!$AE132)+IF(Scale!$AF132="",0,Scale!$AF132))</f>
        <v/>
      </c>
      <c r="L501" s="82">
        <f>IF(OR(Scale!$AD132="",Scale!$AD132=0),"",Scale!$AE132)</f>
        <v/>
      </c>
      <c r="M501" s="82">
        <f>IF(OR(Scale!$AD132="",Scale!$AD132=0),"",Scale!$AF132)</f>
        <v/>
      </c>
      <c r="N501" s="81">
        <f>IF(OR(Scale!$AD132="",Scale!$AD132=0),"","مقابل پوز")</f>
        <v/>
      </c>
      <c r="O501" s="81">
        <f>IF(OR(Scale!$AD132="",Scale!$AD132=0),"",IFERROR(VLOOKUP(Scale!$AD132,AcctTbl,3,0),""))</f>
        <v/>
      </c>
      <c r="P501" s="82">
        <f>IF(Scale!$AD132&lt;&gt;"X011","","BN02")</f>
        <v/>
      </c>
    </row>
    <row r="502" ht="20.25" customHeight="1">
      <c r="A502" s="80">
        <f>IF(OR(Scale!$U133="",Scale!$U133=0),"",Scale!$B133)</f>
        <v/>
      </c>
      <c r="B502" s="80">
        <f>IF(OR(Scale!$U133="",Scale!$U133=0),"",Scale!$D133)</f>
        <v/>
      </c>
      <c r="C502" s="80">
        <f>IF(OR(Scale!$U133="",Scale!$U133=0),"","باسکول")</f>
        <v/>
      </c>
      <c r="D502" s="80">
        <f>IF(OR(Scale!$U133="",Scale!$U133=0),"",Scale!$U133)</f>
        <v/>
      </c>
      <c r="E502" s="81">
        <f>IF(OR(Scale!$U133="",Scale!$U133=0),"",Scale!$T133)</f>
        <v/>
      </c>
      <c r="F502" s="81">
        <f>IF(OR(Scale!$U133="",Scale!$U133=0),"",Scale!$J133)</f>
        <v/>
      </c>
      <c r="G502" s="82">
        <f>IF(OR(Scale!$U133="",Scale!$U133=0),"",Scale!$M133)</f>
        <v/>
      </c>
      <c r="H502" s="82">
        <f>IF(OR(Scale!$U133="",Scale!$U133=0),"",Scale!$L133)</f>
        <v/>
      </c>
      <c r="I502" s="82">
        <f>IF(OR(Scale!$U133="",Scale!$U133=0),"",Scale!$N133)</f>
        <v/>
      </c>
      <c r="J502" s="82">
        <f>IF(OR(Scale!$U133="",Scale!$U133=0),"",Scale!$O133)</f>
        <v/>
      </c>
      <c r="K502" s="82">
        <f>IF(OR(Scale!$U133="",Scale!$U133=0),"",IF(Scale!$V133="",0,Scale!$V133)+IF(Scale!$W133="",0,Scale!$W133))</f>
        <v/>
      </c>
      <c r="L502" s="82">
        <f>IF(OR(Scale!$U133="",Scale!$U133=0),"",Scale!$V133)</f>
        <v/>
      </c>
      <c r="M502" s="82">
        <f>IF(OR(Scale!$U133="",Scale!$U133=0),"",Scale!$W133)</f>
        <v/>
      </c>
      <c r="N502" s="81">
        <f>IF(OR(Scale!$U133="",Scale!$U133=0),"",Scale!$E133)</f>
        <v/>
      </c>
      <c r="O502" s="81">
        <f>IF(OR(Scale!$U133="",Scale!$U133=0),"",IFERROR(VLOOKUP(Scale!$U133,AcctTbl,3,0),""))</f>
        <v/>
      </c>
      <c r="P502" s="82">
        <f>IF(Scale!$U133&lt;&gt;"X011","","BN02")</f>
        <v/>
      </c>
    </row>
    <row r="503" ht="20.25" customHeight="1">
      <c r="A503" s="80">
        <f>IF(OR(Scale!$X133="",Scale!$X133=0),"",Scale!$B133)</f>
        <v/>
      </c>
      <c r="B503" s="80">
        <f>IF(OR(Scale!$X133="",Scale!$X133=0),"",Scale!$D133)</f>
        <v/>
      </c>
      <c r="C503" s="80">
        <f>IF(OR(Scale!$X133="",Scale!$X133=0),"","باسکول")</f>
        <v/>
      </c>
      <c r="D503" s="80">
        <f>IF(OR(Scale!$X133="",Scale!$X133=0),"",Scale!$X133)</f>
        <v/>
      </c>
      <c r="E503" s="81">
        <f>IF(OR(Scale!$X133="",Scale!$X133=0),"",IF(Scale!$X133="","","مقابل: "&amp;Scale!$E133))</f>
        <v/>
      </c>
      <c r="F503" s="83" t="n"/>
      <c r="G503" s="83" t="n"/>
      <c r="H503" s="83" t="n"/>
      <c r="I503" s="83" t="n"/>
      <c r="J503" s="83" t="n"/>
      <c r="K503" s="82">
        <f>IF(OR(Scale!$X133="",Scale!$X133=0),"",IF(Scale!$Y133="",0,Scale!$Y133)+IF(Scale!$Z133="",0,Scale!$Z133))</f>
        <v/>
      </c>
      <c r="L503" s="82">
        <f>IF(OR(Scale!$X133="",Scale!$X133=0),"",Scale!$Y133)</f>
        <v/>
      </c>
      <c r="M503" s="82">
        <f>IF(OR(Scale!$X133="",Scale!$X133=0),"",Scale!$Z133)</f>
        <v/>
      </c>
      <c r="N503" s="81">
        <f>IF(OR(Scale!$X133="",Scale!$X133=0),"","مقابل")</f>
        <v/>
      </c>
      <c r="O503" s="81">
        <f>IF(OR(Scale!$X133="",Scale!$X133=0),"",IFERROR(VLOOKUP(Scale!$X133,AcctTbl,3,0),""))</f>
        <v/>
      </c>
      <c r="P503" s="82">
        <f>IF(Scale!$X133&lt;&gt;"X011","","BN02")</f>
        <v/>
      </c>
    </row>
    <row r="504" ht="20.25" customHeight="1">
      <c r="A504" s="80">
        <f>IF(OR(Scale!$AA133="",Scale!$AA133=0),"",Scale!$B133)</f>
        <v/>
      </c>
      <c r="B504" s="80">
        <f>IF(OR(Scale!$AA133="",Scale!$AA133=0),"",Scale!$D133)</f>
        <v/>
      </c>
      <c r="C504" s="80">
        <f>IF(OR(Scale!$AA133="",Scale!$AA133=0),"","باسکول")</f>
        <v/>
      </c>
      <c r="D504" s="80">
        <f>IF(OR(Scale!$AA133="",Scale!$AA133=0),"",Scale!$AA133)</f>
        <v/>
      </c>
      <c r="E504" s="81">
        <f>IF(OR(Scale!$AA133="",Scale!$AA133=0),"",IF(Scale!$AA133="","","پوز باسکول — "&amp;Scale!$E133))</f>
        <v/>
      </c>
      <c r="F504" s="83" t="n"/>
      <c r="G504" s="83" t="n"/>
      <c r="H504" s="83" t="n"/>
      <c r="I504" s="83" t="n"/>
      <c r="J504" s="83" t="n"/>
      <c r="K504" s="82">
        <f>IF(OR(Scale!$AA133="",Scale!$AA133=0),"",IF(Scale!$AB133="",0,Scale!$AB133)+IF(Scale!$AC133="",0,Scale!$AC133))</f>
        <v/>
      </c>
      <c r="L504" s="82">
        <f>IF(OR(Scale!$AA133="",Scale!$AA133=0),"",Scale!$AB133)</f>
        <v/>
      </c>
      <c r="M504" s="82">
        <f>IF(OR(Scale!$AA133="",Scale!$AA133=0),"",Scale!$AC133)</f>
        <v/>
      </c>
      <c r="N504" s="81">
        <f>IF(OR(Scale!$AA133="",Scale!$AA133=0),"","پوز")</f>
        <v/>
      </c>
      <c r="O504" s="81">
        <f>IF(OR(Scale!$AA133="",Scale!$AA133=0),"",IFERROR(VLOOKUP(Scale!$AA133,AcctTbl,3,0),""))</f>
        <v/>
      </c>
      <c r="P504" s="82">
        <f>IF(Scale!$AA133&lt;&gt;"X011","","BN02")</f>
        <v/>
      </c>
    </row>
    <row r="505" ht="20.25" customHeight="1">
      <c r="A505" s="80">
        <f>IF(OR(Scale!$AD133="",Scale!$AD133=0),"",Scale!$B133)</f>
        <v/>
      </c>
      <c r="B505" s="80">
        <f>IF(OR(Scale!$AD133="",Scale!$AD133=0),"",Scale!$D133)</f>
        <v/>
      </c>
      <c r="C505" s="80">
        <f>IF(OR(Scale!$AD133="",Scale!$AD133=0),"","باسکول")</f>
        <v/>
      </c>
      <c r="D505" s="80">
        <f>IF(OR(Scale!$AD133="",Scale!$AD133=0),"",Scale!$AD133)</f>
        <v/>
      </c>
      <c r="E505" s="81">
        <f>IF(OR(Scale!$AD133="",Scale!$AD133=0),"",IF(Scale!$AD133="","","مقابل پوز — "&amp;Scale!$E133))</f>
        <v/>
      </c>
      <c r="F505" s="83" t="n"/>
      <c r="G505" s="83" t="n"/>
      <c r="H505" s="83" t="n"/>
      <c r="I505" s="83" t="n"/>
      <c r="J505" s="83" t="n"/>
      <c r="K505" s="82">
        <f>IF(OR(Scale!$AD133="",Scale!$AD133=0),"",IF(Scale!$AE133="",0,Scale!$AE133)+IF(Scale!$AF133="",0,Scale!$AF133))</f>
        <v/>
      </c>
      <c r="L505" s="82">
        <f>IF(OR(Scale!$AD133="",Scale!$AD133=0),"",Scale!$AE133)</f>
        <v/>
      </c>
      <c r="M505" s="82">
        <f>IF(OR(Scale!$AD133="",Scale!$AD133=0),"",Scale!$AF133)</f>
        <v/>
      </c>
      <c r="N505" s="81">
        <f>IF(OR(Scale!$AD133="",Scale!$AD133=0),"","مقابل پوز")</f>
        <v/>
      </c>
      <c r="O505" s="81">
        <f>IF(OR(Scale!$AD133="",Scale!$AD133=0),"",IFERROR(VLOOKUP(Scale!$AD133,AcctTbl,3,0),""))</f>
        <v/>
      </c>
      <c r="P505" s="82">
        <f>IF(Scale!$AD133&lt;&gt;"X011","","BN02")</f>
        <v/>
      </c>
    </row>
    <row r="506" ht="20.25" customHeight="1">
      <c r="A506" s="80">
        <f>IF(OR(Scale!$U134="",Scale!$U134=0),"",Scale!$B134)</f>
        <v/>
      </c>
      <c r="B506" s="80">
        <f>IF(OR(Scale!$U134="",Scale!$U134=0),"",Scale!$D134)</f>
        <v/>
      </c>
      <c r="C506" s="80">
        <f>IF(OR(Scale!$U134="",Scale!$U134=0),"","باسکول")</f>
        <v/>
      </c>
      <c r="D506" s="80">
        <f>IF(OR(Scale!$U134="",Scale!$U134=0),"",Scale!$U134)</f>
        <v/>
      </c>
      <c r="E506" s="81">
        <f>IF(OR(Scale!$U134="",Scale!$U134=0),"",Scale!$T134)</f>
        <v/>
      </c>
      <c r="F506" s="81">
        <f>IF(OR(Scale!$U134="",Scale!$U134=0),"",Scale!$J134)</f>
        <v/>
      </c>
      <c r="G506" s="82">
        <f>IF(OR(Scale!$U134="",Scale!$U134=0),"",Scale!$M134)</f>
        <v/>
      </c>
      <c r="H506" s="82">
        <f>IF(OR(Scale!$U134="",Scale!$U134=0),"",Scale!$L134)</f>
        <v/>
      </c>
      <c r="I506" s="82">
        <f>IF(OR(Scale!$U134="",Scale!$U134=0),"",Scale!$N134)</f>
        <v/>
      </c>
      <c r="J506" s="82">
        <f>IF(OR(Scale!$U134="",Scale!$U134=0),"",Scale!$O134)</f>
        <v/>
      </c>
      <c r="K506" s="82">
        <f>IF(OR(Scale!$U134="",Scale!$U134=0),"",IF(Scale!$V134="",0,Scale!$V134)+IF(Scale!$W134="",0,Scale!$W134))</f>
        <v/>
      </c>
      <c r="L506" s="82">
        <f>IF(OR(Scale!$U134="",Scale!$U134=0),"",Scale!$V134)</f>
        <v/>
      </c>
      <c r="M506" s="82">
        <f>IF(OR(Scale!$U134="",Scale!$U134=0),"",Scale!$W134)</f>
        <v/>
      </c>
      <c r="N506" s="81">
        <f>IF(OR(Scale!$U134="",Scale!$U134=0),"",Scale!$E134)</f>
        <v/>
      </c>
      <c r="O506" s="81">
        <f>IF(OR(Scale!$U134="",Scale!$U134=0),"",IFERROR(VLOOKUP(Scale!$U134,AcctTbl,3,0),""))</f>
        <v/>
      </c>
      <c r="P506" s="82">
        <f>IF(Scale!$U134&lt;&gt;"X011","","BN02")</f>
        <v/>
      </c>
    </row>
    <row r="507" ht="20.25" customHeight="1">
      <c r="A507" s="80">
        <f>IF(OR(Scale!$X134="",Scale!$X134=0),"",Scale!$B134)</f>
        <v/>
      </c>
      <c r="B507" s="80">
        <f>IF(OR(Scale!$X134="",Scale!$X134=0),"",Scale!$D134)</f>
        <v/>
      </c>
      <c r="C507" s="80">
        <f>IF(OR(Scale!$X134="",Scale!$X134=0),"","باسکول")</f>
        <v/>
      </c>
      <c r="D507" s="80">
        <f>IF(OR(Scale!$X134="",Scale!$X134=0),"",Scale!$X134)</f>
        <v/>
      </c>
      <c r="E507" s="81">
        <f>IF(OR(Scale!$X134="",Scale!$X134=0),"",IF(Scale!$X134="","","مقابل: "&amp;Scale!$E134))</f>
        <v/>
      </c>
      <c r="F507" s="83" t="n"/>
      <c r="G507" s="83" t="n"/>
      <c r="H507" s="83" t="n"/>
      <c r="I507" s="83" t="n"/>
      <c r="J507" s="83" t="n"/>
      <c r="K507" s="82">
        <f>IF(OR(Scale!$X134="",Scale!$X134=0),"",IF(Scale!$Y134="",0,Scale!$Y134)+IF(Scale!$Z134="",0,Scale!$Z134))</f>
        <v/>
      </c>
      <c r="L507" s="82">
        <f>IF(OR(Scale!$X134="",Scale!$X134=0),"",Scale!$Y134)</f>
        <v/>
      </c>
      <c r="M507" s="82">
        <f>IF(OR(Scale!$X134="",Scale!$X134=0),"",Scale!$Z134)</f>
        <v/>
      </c>
      <c r="N507" s="81">
        <f>IF(OR(Scale!$X134="",Scale!$X134=0),"","مقابل")</f>
        <v/>
      </c>
      <c r="O507" s="81">
        <f>IF(OR(Scale!$X134="",Scale!$X134=0),"",IFERROR(VLOOKUP(Scale!$X134,AcctTbl,3,0),""))</f>
        <v/>
      </c>
      <c r="P507" s="82">
        <f>IF(Scale!$X134&lt;&gt;"X011","","BN02")</f>
        <v/>
      </c>
    </row>
    <row r="508" ht="20.25" customHeight="1">
      <c r="A508" s="80">
        <f>IF(OR(Scale!$AA134="",Scale!$AA134=0),"",Scale!$B134)</f>
        <v/>
      </c>
      <c r="B508" s="80">
        <f>IF(OR(Scale!$AA134="",Scale!$AA134=0),"",Scale!$D134)</f>
        <v/>
      </c>
      <c r="C508" s="80">
        <f>IF(OR(Scale!$AA134="",Scale!$AA134=0),"","باسکول")</f>
        <v/>
      </c>
      <c r="D508" s="80">
        <f>IF(OR(Scale!$AA134="",Scale!$AA134=0),"",Scale!$AA134)</f>
        <v/>
      </c>
      <c r="E508" s="81">
        <f>IF(OR(Scale!$AA134="",Scale!$AA134=0),"",IF(Scale!$AA134="","","پوز باسکول — "&amp;Scale!$E134))</f>
        <v/>
      </c>
      <c r="F508" s="83" t="n"/>
      <c r="G508" s="83" t="n"/>
      <c r="H508" s="83" t="n"/>
      <c r="I508" s="83" t="n"/>
      <c r="J508" s="83" t="n"/>
      <c r="K508" s="82">
        <f>IF(OR(Scale!$AA134="",Scale!$AA134=0),"",IF(Scale!$AB134="",0,Scale!$AB134)+IF(Scale!$AC134="",0,Scale!$AC134))</f>
        <v/>
      </c>
      <c r="L508" s="82">
        <f>IF(OR(Scale!$AA134="",Scale!$AA134=0),"",Scale!$AB134)</f>
        <v/>
      </c>
      <c r="M508" s="82">
        <f>IF(OR(Scale!$AA134="",Scale!$AA134=0),"",Scale!$AC134)</f>
        <v/>
      </c>
      <c r="N508" s="81">
        <f>IF(OR(Scale!$AA134="",Scale!$AA134=0),"","پوز")</f>
        <v/>
      </c>
      <c r="O508" s="81">
        <f>IF(OR(Scale!$AA134="",Scale!$AA134=0),"",IFERROR(VLOOKUP(Scale!$AA134,AcctTbl,3,0),""))</f>
        <v/>
      </c>
      <c r="P508" s="82">
        <f>IF(Scale!$AA134&lt;&gt;"X011","","BN02")</f>
        <v/>
      </c>
    </row>
    <row r="509" ht="20.25" customHeight="1">
      <c r="A509" s="80">
        <f>IF(OR(Scale!$AD134="",Scale!$AD134=0),"",Scale!$B134)</f>
        <v/>
      </c>
      <c r="B509" s="80">
        <f>IF(OR(Scale!$AD134="",Scale!$AD134=0),"",Scale!$D134)</f>
        <v/>
      </c>
      <c r="C509" s="80">
        <f>IF(OR(Scale!$AD134="",Scale!$AD134=0),"","باسکول")</f>
        <v/>
      </c>
      <c r="D509" s="80">
        <f>IF(OR(Scale!$AD134="",Scale!$AD134=0),"",Scale!$AD134)</f>
        <v/>
      </c>
      <c r="E509" s="81">
        <f>IF(OR(Scale!$AD134="",Scale!$AD134=0),"",IF(Scale!$AD134="","","مقابل پوز — "&amp;Scale!$E134))</f>
        <v/>
      </c>
      <c r="F509" s="83" t="n"/>
      <c r="G509" s="83" t="n"/>
      <c r="H509" s="83" t="n"/>
      <c r="I509" s="83" t="n"/>
      <c r="J509" s="83" t="n"/>
      <c r="K509" s="82">
        <f>IF(OR(Scale!$AD134="",Scale!$AD134=0),"",IF(Scale!$AE134="",0,Scale!$AE134)+IF(Scale!$AF134="",0,Scale!$AF134))</f>
        <v/>
      </c>
      <c r="L509" s="82">
        <f>IF(OR(Scale!$AD134="",Scale!$AD134=0),"",Scale!$AE134)</f>
        <v/>
      </c>
      <c r="M509" s="82">
        <f>IF(OR(Scale!$AD134="",Scale!$AD134=0),"",Scale!$AF134)</f>
        <v/>
      </c>
      <c r="N509" s="81">
        <f>IF(OR(Scale!$AD134="",Scale!$AD134=0),"","مقابل پوز")</f>
        <v/>
      </c>
      <c r="O509" s="81">
        <f>IF(OR(Scale!$AD134="",Scale!$AD134=0),"",IFERROR(VLOOKUP(Scale!$AD134,AcctTbl,3,0),""))</f>
        <v/>
      </c>
      <c r="P509" s="82">
        <f>IF(Scale!$AD134&lt;&gt;"X011","","BN02")</f>
        <v/>
      </c>
    </row>
    <row r="510" ht="20.25" customHeight="1">
      <c r="A510" s="80">
        <f>IF(OR(Scale!$U135="",Scale!$U135=0),"",Scale!$B135)</f>
        <v/>
      </c>
      <c r="B510" s="80">
        <f>IF(OR(Scale!$U135="",Scale!$U135=0),"",Scale!$D135)</f>
        <v/>
      </c>
      <c r="C510" s="80">
        <f>IF(OR(Scale!$U135="",Scale!$U135=0),"","باسکول")</f>
        <v/>
      </c>
      <c r="D510" s="80">
        <f>IF(OR(Scale!$U135="",Scale!$U135=0),"",Scale!$U135)</f>
        <v/>
      </c>
      <c r="E510" s="81">
        <f>IF(OR(Scale!$U135="",Scale!$U135=0),"",Scale!$T135)</f>
        <v/>
      </c>
      <c r="F510" s="81">
        <f>IF(OR(Scale!$U135="",Scale!$U135=0),"",Scale!$J135)</f>
        <v/>
      </c>
      <c r="G510" s="82">
        <f>IF(OR(Scale!$U135="",Scale!$U135=0),"",Scale!$M135)</f>
        <v/>
      </c>
      <c r="H510" s="82">
        <f>IF(OR(Scale!$U135="",Scale!$U135=0),"",Scale!$L135)</f>
        <v/>
      </c>
      <c r="I510" s="82">
        <f>IF(OR(Scale!$U135="",Scale!$U135=0),"",Scale!$N135)</f>
        <v/>
      </c>
      <c r="J510" s="82">
        <f>IF(OR(Scale!$U135="",Scale!$U135=0),"",Scale!$O135)</f>
        <v/>
      </c>
      <c r="K510" s="82">
        <f>IF(OR(Scale!$U135="",Scale!$U135=0),"",IF(Scale!$V135="",0,Scale!$V135)+IF(Scale!$W135="",0,Scale!$W135))</f>
        <v/>
      </c>
      <c r="L510" s="82">
        <f>IF(OR(Scale!$U135="",Scale!$U135=0),"",Scale!$V135)</f>
        <v/>
      </c>
      <c r="M510" s="82">
        <f>IF(OR(Scale!$U135="",Scale!$U135=0),"",Scale!$W135)</f>
        <v/>
      </c>
      <c r="N510" s="81">
        <f>IF(OR(Scale!$U135="",Scale!$U135=0),"",Scale!$E135)</f>
        <v/>
      </c>
      <c r="O510" s="81">
        <f>IF(OR(Scale!$U135="",Scale!$U135=0),"",IFERROR(VLOOKUP(Scale!$U135,AcctTbl,3,0),""))</f>
        <v/>
      </c>
      <c r="P510" s="82">
        <f>IF(Scale!$U135&lt;&gt;"X011","","BN02")</f>
        <v/>
      </c>
    </row>
    <row r="511" ht="20.25" customHeight="1">
      <c r="A511" s="80">
        <f>IF(OR(Scale!$X135="",Scale!$X135=0),"",Scale!$B135)</f>
        <v/>
      </c>
      <c r="B511" s="80">
        <f>IF(OR(Scale!$X135="",Scale!$X135=0),"",Scale!$D135)</f>
        <v/>
      </c>
      <c r="C511" s="80">
        <f>IF(OR(Scale!$X135="",Scale!$X135=0),"","باسکول")</f>
        <v/>
      </c>
      <c r="D511" s="80">
        <f>IF(OR(Scale!$X135="",Scale!$X135=0),"",Scale!$X135)</f>
        <v/>
      </c>
      <c r="E511" s="81">
        <f>IF(OR(Scale!$X135="",Scale!$X135=0),"",IF(Scale!$X135="","","مقابل: "&amp;Scale!$E135))</f>
        <v/>
      </c>
      <c r="F511" s="83" t="n"/>
      <c r="G511" s="83" t="n"/>
      <c r="H511" s="83" t="n"/>
      <c r="I511" s="83" t="n"/>
      <c r="J511" s="83" t="n"/>
      <c r="K511" s="82">
        <f>IF(OR(Scale!$X135="",Scale!$X135=0),"",IF(Scale!$Y135="",0,Scale!$Y135)+IF(Scale!$Z135="",0,Scale!$Z135))</f>
        <v/>
      </c>
      <c r="L511" s="82">
        <f>IF(OR(Scale!$X135="",Scale!$X135=0),"",Scale!$Y135)</f>
        <v/>
      </c>
      <c r="M511" s="82">
        <f>IF(OR(Scale!$X135="",Scale!$X135=0),"",Scale!$Z135)</f>
        <v/>
      </c>
      <c r="N511" s="81">
        <f>IF(OR(Scale!$X135="",Scale!$X135=0),"","مقابل")</f>
        <v/>
      </c>
      <c r="O511" s="81">
        <f>IF(OR(Scale!$X135="",Scale!$X135=0),"",IFERROR(VLOOKUP(Scale!$X135,AcctTbl,3,0),""))</f>
        <v/>
      </c>
      <c r="P511" s="82">
        <f>IF(Scale!$X135&lt;&gt;"X011","","BN02")</f>
        <v/>
      </c>
    </row>
    <row r="512" ht="20.25" customHeight="1">
      <c r="A512" s="80">
        <f>IF(OR(Scale!$AA135="",Scale!$AA135=0),"",Scale!$B135)</f>
        <v/>
      </c>
      <c r="B512" s="80">
        <f>IF(OR(Scale!$AA135="",Scale!$AA135=0),"",Scale!$D135)</f>
        <v/>
      </c>
      <c r="C512" s="80">
        <f>IF(OR(Scale!$AA135="",Scale!$AA135=0),"","باسکول")</f>
        <v/>
      </c>
      <c r="D512" s="80">
        <f>IF(OR(Scale!$AA135="",Scale!$AA135=0),"",Scale!$AA135)</f>
        <v/>
      </c>
      <c r="E512" s="81">
        <f>IF(OR(Scale!$AA135="",Scale!$AA135=0),"",IF(Scale!$AA135="","","پوز باسکول — "&amp;Scale!$E135))</f>
        <v/>
      </c>
      <c r="F512" s="83" t="n"/>
      <c r="G512" s="83" t="n"/>
      <c r="H512" s="83" t="n"/>
      <c r="I512" s="83" t="n"/>
      <c r="J512" s="83" t="n"/>
      <c r="K512" s="82">
        <f>IF(OR(Scale!$AA135="",Scale!$AA135=0),"",IF(Scale!$AB135="",0,Scale!$AB135)+IF(Scale!$AC135="",0,Scale!$AC135))</f>
        <v/>
      </c>
      <c r="L512" s="82">
        <f>IF(OR(Scale!$AA135="",Scale!$AA135=0),"",Scale!$AB135)</f>
        <v/>
      </c>
      <c r="M512" s="82">
        <f>IF(OR(Scale!$AA135="",Scale!$AA135=0),"",Scale!$AC135)</f>
        <v/>
      </c>
      <c r="N512" s="81">
        <f>IF(OR(Scale!$AA135="",Scale!$AA135=0),"","پوز")</f>
        <v/>
      </c>
      <c r="O512" s="81">
        <f>IF(OR(Scale!$AA135="",Scale!$AA135=0),"",IFERROR(VLOOKUP(Scale!$AA135,AcctTbl,3,0),""))</f>
        <v/>
      </c>
      <c r="P512" s="82">
        <f>IF(Scale!$AA135&lt;&gt;"X011","","BN02")</f>
        <v/>
      </c>
    </row>
    <row r="513" ht="20.25" customHeight="1">
      <c r="A513" s="80">
        <f>IF(OR(Scale!$AD135="",Scale!$AD135=0),"",Scale!$B135)</f>
        <v/>
      </c>
      <c r="B513" s="80">
        <f>IF(OR(Scale!$AD135="",Scale!$AD135=0),"",Scale!$D135)</f>
        <v/>
      </c>
      <c r="C513" s="80">
        <f>IF(OR(Scale!$AD135="",Scale!$AD135=0),"","باسکول")</f>
        <v/>
      </c>
      <c r="D513" s="80">
        <f>IF(OR(Scale!$AD135="",Scale!$AD135=0),"",Scale!$AD135)</f>
        <v/>
      </c>
      <c r="E513" s="81">
        <f>IF(OR(Scale!$AD135="",Scale!$AD135=0),"",IF(Scale!$AD135="","","مقابل پوز — "&amp;Scale!$E135))</f>
        <v/>
      </c>
      <c r="F513" s="83" t="n"/>
      <c r="G513" s="83" t="n"/>
      <c r="H513" s="83" t="n"/>
      <c r="I513" s="83" t="n"/>
      <c r="J513" s="83" t="n"/>
      <c r="K513" s="82">
        <f>IF(OR(Scale!$AD135="",Scale!$AD135=0),"",IF(Scale!$AE135="",0,Scale!$AE135)+IF(Scale!$AF135="",0,Scale!$AF135))</f>
        <v/>
      </c>
      <c r="L513" s="82">
        <f>IF(OR(Scale!$AD135="",Scale!$AD135=0),"",Scale!$AE135)</f>
        <v/>
      </c>
      <c r="M513" s="82">
        <f>IF(OR(Scale!$AD135="",Scale!$AD135=0),"",Scale!$AF135)</f>
        <v/>
      </c>
      <c r="N513" s="81">
        <f>IF(OR(Scale!$AD135="",Scale!$AD135=0),"","مقابل پوز")</f>
        <v/>
      </c>
      <c r="O513" s="81">
        <f>IF(OR(Scale!$AD135="",Scale!$AD135=0),"",IFERROR(VLOOKUP(Scale!$AD135,AcctTbl,3,0),""))</f>
        <v/>
      </c>
      <c r="P513" s="82">
        <f>IF(Scale!$AD135&lt;&gt;"X011","","BN02")</f>
        <v/>
      </c>
    </row>
    <row r="514" ht="20.25" customHeight="1">
      <c r="A514" s="80">
        <f>IF(OR(Scale!$U136="",Scale!$U136=0),"",Scale!$B136)</f>
        <v/>
      </c>
      <c r="B514" s="80">
        <f>IF(OR(Scale!$U136="",Scale!$U136=0),"",Scale!$D136)</f>
        <v/>
      </c>
      <c r="C514" s="80">
        <f>IF(OR(Scale!$U136="",Scale!$U136=0),"","باسکول")</f>
        <v/>
      </c>
      <c r="D514" s="80">
        <f>IF(OR(Scale!$U136="",Scale!$U136=0),"",Scale!$U136)</f>
        <v/>
      </c>
      <c r="E514" s="81">
        <f>IF(OR(Scale!$U136="",Scale!$U136=0),"",Scale!$T136)</f>
        <v/>
      </c>
      <c r="F514" s="81">
        <f>IF(OR(Scale!$U136="",Scale!$U136=0),"",Scale!$J136)</f>
        <v/>
      </c>
      <c r="G514" s="82">
        <f>IF(OR(Scale!$U136="",Scale!$U136=0),"",Scale!$M136)</f>
        <v/>
      </c>
      <c r="H514" s="82">
        <f>IF(OR(Scale!$U136="",Scale!$U136=0),"",Scale!$L136)</f>
        <v/>
      </c>
      <c r="I514" s="82">
        <f>IF(OR(Scale!$U136="",Scale!$U136=0),"",Scale!$N136)</f>
        <v/>
      </c>
      <c r="J514" s="82">
        <f>IF(OR(Scale!$U136="",Scale!$U136=0),"",Scale!$O136)</f>
        <v/>
      </c>
      <c r="K514" s="82">
        <f>IF(OR(Scale!$U136="",Scale!$U136=0),"",IF(Scale!$V136="",0,Scale!$V136)+IF(Scale!$W136="",0,Scale!$W136))</f>
        <v/>
      </c>
      <c r="L514" s="82">
        <f>IF(OR(Scale!$U136="",Scale!$U136=0),"",Scale!$V136)</f>
        <v/>
      </c>
      <c r="M514" s="82">
        <f>IF(OR(Scale!$U136="",Scale!$U136=0),"",Scale!$W136)</f>
        <v/>
      </c>
      <c r="N514" s="81">
        <f>IF(OR(Scale!$U136="",Scale!$U136=0),"",Scale!$E136)</f>
        <v/>
      </c>
      <c r="O514" s="81">
        <f>IF(OR(Scale!$U136="",Scale!$U136=0),"",IFERROR(VLOOKUP(Scale!$U136,AcctTbl,3,0),""))</f>
        <v/>
      </c>
      <c r="P514" s="82">
        <f>IF(Scale!$U136&lt;&gt;"X011","","BN02")</f>
        <v/>
      </c>
    </row>
    <row r="515" ht="20.25" customHeight="1">
      <c r="A515" s="80">
        <f>IF(OR(Scale!$X136="",Scale!$X136=0),"",Scale!$B136)</f>
        <v/>
      </c>
      <c r="B515" s="80">
        <f>IF(OR(Scale!$X136="",Scale!$X136=0),"",Scale!$D136)</f>
        <v/>
      </c>
      <c r="C515" s="80">
        <f>IF(OR(Scale!$X136="",Scale!$X136=0),"","باسکول")</f>
        <v/>
      </c>
      <c r="D515" s="80">
        <f>IF(OR(Scale!$X136="",Scale!$X136=0),"",Scale!$X136)</f>
        <v/>
      </c>
      <c r="E515" s="81">
        <f>IF(OR(Scale!$X136="",Scale!$X136=0),"",IF(Scale!$X136="","","مقابل: "&amp;Scale!$E136))</f>
        <v/>
      </c>
      <c r="F515" s="83" t="n"/>
      <c r="G515" s="83" t="n"/>
      <c r="H515" s="83" t="n"/>
      <c r="I515" s="83" t="n"/>
      <c r="J515" s="83" t="n"/>
      <c r="K515" s="82">
        <f>IF(OR(Scale!$X136="",Scale!$X136=0),"",IF(Scale!$Y136="",0,Scale!$Y136)+IF(Scale!$Z136="",0,Scale!$Z136))</f>
        <v/>
      </c>
      <c r="L515" s="82">
        <f>IF(OR(Scale!$X136="",Scale!$X136=0),"",Scale!$Y136)</f>
        <v/>
      </c>
      <c r="M515" s="82">
        <f>IF(OR(Scale!$X136="",Scale!$X136=0),"",Scale!$Z136)</f>
        <v/>
      </c>
      <c r="N515" s="81">
        <f>IF(OR(Scale!$X136="",Scale!$X136=0),"","مقابل")</f>
        <v/>
      </c>
      <c r="O515" s="81">
        <f>IF(OR(Scale!$X136="",Scale!$X136=0),"",IFERROR(VLOOKUP(Scale!$X136,AcctTbl,3,0),""))</f>
        <v/>
      </c>
      <c r="P515" s="82">
        <f>IF(Scale!$X136&lt;&gt;"X011","","BN02")</f>
        <v/>
      </c>
    </row>
    <row r="516" ht="20.25" customHeight="1">
      <c r="A516" s="80">
        <f>IF(OR(Scale!$AA136="",Scale!$AA136=0),"",Scale!$B136)</f>
        <v/>
      </c>
      <c r="B516" s="80">
        <f>IF(OR(Scale!$AA136="",Scale!$AA136=0),"",Scale!$D136)</f>
        <v/>
      </c>
      <c r="C516" s="80">
        <f>IF(OR(Scale!$AA136="",Scale!$AA136=0),"","باسکول")</f>
        <v/>
      </c>
      <c r="D516" s="80">
        <f>IF(OR(Scale!$AA136="",Scale!$AA136=0),"",Scale!$AA136)</f>
        <v/>
      </c>
      <c r="E516" s="81">
        <f>IF(OR(Scale!$AA136="",Scale!$AA136=0),"",IF(Scale!$AA136="","","پوز باسکول — "&amp;Scale!$E136))</f>
        <v/>
      </c>
      <c r="F516" s="83" t="n"/>
      <c r="G516" s="83" t="n"/>
      <c r="H516" s="83" t="n"/>
      <c r="I516" s="83" t="n"/>
      <c r="J516" s="83" t="n"/>
      <c r="K516" s="82">
        <f>IF(OR(Scale!$AA136="",Scale!$AA136=0),"",IF(Scale!$AB136="",0,Scale!$AB136)+IF(Scale!$AC136="",0,Scale!$AC136))</f>
        <v/>
      </c>
      <c r="L516" s="82">
        <f>IF(OR(Scale!$AA136="",Scale!$AA136=0),"",Scale!$AB136)</f>
        <v/>
      </c>
      <c r="M516" s="82">
        <f>IF(OR(Scale!$AA136="",Scale!$AA136=0),"",Scale!$AC136)</f>
        <v/>
      </c>
      <c r="N516" s="81">
        <f>IF(OR(Scale!$AA136="",Scale!$AA136=0),"","پوز")</f>
        <v/>
      </c>
      <c r="O516" s="81">
        <f>IF(OR(Scale!$AA136="",Scale!$AA136=0),"",IFERROR(VLOOKUP(Scale!$AA136,AcctTbl,3,0),""))</f>
        <v/>
      </c>
      <c r="P516" s="82">
        <f>IF(Scale!$AA136&lt;&gt;"X011","","BN02")</f>
        <v/>
      </c>
    </row>
    <row r="517" ht="20.25" customHeight="1">
      <c r="A517" s="80">
        <f>IF(OR(Scale!$AD136="",Scale!$AD136=0),"",Scale!$B136)</f>
        <v/>
      </c>
      <c r="B517" s="80">
        <f>IF(OR(Scale!$AD136="",Scale!$AD136=0),"",Scale!$D136)</f>
        <v/>
      </c>
      <c r="C517" s="80">
        <f>IF(OR(Scale!$AD136="",Scale!$AD136=0),"","باسکول")</f>
        <v/>
      </c>
      <c r="D517" s="80">
        <f>IF(OR(Scale!$AD136="",Scale!$AD136=0),"",Scale!$AD136)</f>
        <v/>
      </c>
      <c r="E517" s="81">
        <f>IF(OR(Scale!$AD136="",Scale!$AD136=0),"",IF(Scale!$AD136="","","مقابل پوز — "&amp;Scale!$E136))</f>
        <v/>
      </c>
      <c r="F517" s="83" t="n"/>
      <c r="G517" s="83" t="n"/>
      <c r="H517" s="83" t="n"/>
      <c r="I517" s="83" t="n"/>
      <c r="J517" s="83" t="n"/>
      <c r="K517" s="82">
        <f>IF(OR(Scale!$AD136="",Scale!$AD136=0),"",IF(Scale!$AE136="",0,Scale!$AE136)+IF(Scale!$AF136="",0,Scale!$AF136))</f>
        <v/>
      </c>
      <c r="L517" s="82">
        <f>IF(OR(Scale!$AD136="",Scale!$AD136=0),"",Scale!$AE136)</f>
        <v/>
      </c>
      <c r="M517" s="82">
        <f>IF(OR(Scale!$AD136="",Scale!$AD136=0),"",Scale!$AF136)</f>
        <v/>
      </c>
      <c r="N517" s="81">
        <f>IF(OR(Scale!$AD136="",Scale!$AD136=0),"","مقابل پوز")</f>
        <v/>
      </c>
      <c r="O517" s="81">
        <f>IF(OR(Scale!$AD136="",Scale!$AD136=0),"",IFERROR(VLOOKUP(Scale!$AD136,AcctTbl,3,0),""))</f>
        <v/>
      </c>
      <c r="P517" s="82">
        <f>IF(Scale!$AD136&lt;&gt;"X011","","BN02")</f>
        <v/>
      </c>
    </row>
    <row r="518" ht="20.25" customHeight="1">
      <c r="A518" s="80">
        <f>IF(OR(Scale!$U137="",Scale!$U137=0),"",Scale!$B137)</f>
        <v/>
      </c>
      <c r="B518" s="80">
        <f>IF(OR(Scale!$U137="",Scale!$U137=0),"",Scale!$D137)</f>
        <v/>
      </c>
      <c r="C518" s="80">
        <f>IF(OR(Scale!$U137="",Scale!$U137=0),"","باسکول")</f>
        <v/>
      </c>
      <c r="D518" s="80">
        <f>IF(OR(Scale!$U137="",Scale!$U137=0),"",Scale!$U137)</f>
        <v/>
      </c>
      <c r="E518" s="81">
        <f>IF(OR(Scale!$U137="",Scale!$U137=0),"",Scale!$T137)</f>
        <v/>
      </c>
      <c r="F518" s="81">
        <f>IF(OR(Scale!$U137="",Scale!$U137=0),"",Scale!$J137)</f>
        <v/>
      </c>
      <c r="G518" s="82">
        <f>IF(OR(Scale!$U137="",Scale!$U137=0),"",Scale!$M137)</f>
        <v/>
      </c>
      <c r="H518" s="82">
        <f>IF(OR(Scale!$U137="",Scale!$U137=0),"",Scale!$L137)</f>
        <v/>
      </c>
      <c r="I518" s="82">
        <f>IF(OR(Scale!$U137="",Scale!$U137=0),"",Scale!$N137)</f>
        <v/>
      </c>
      <c r="J518" s="82">
        <f>IF(OR(Scale!$U137="",Scale!$U137=0),"",Scale!$O137)</f>
        <v/>
      </c>
      <c r="K518" s="82">
        <f>IF(OR(Scale!$U137="",Scale!$U137=0),"",IF(Scale!$V137="",0,Scale!$V137)+IF(Scale!$W137="",0,Scale!$W137))</f>
        <v/>
      </c>
      <c r="L518" s="82">
        <f>IF(OR(Scale!$U137="",Scale!$U137=0),"",Scale!$V137)</f>
        <v/>
      </c>
      <c r="M518" s="82">
        <f>IF(OR(Scale!$U137="",Scale!$U137=0),"",Scale!$W137)</f>
        <v/>
      </c>
      <c r="N518" s="81">
        <f>IF(OR(Scale!$U137="",Scale!$U137=0),"",Scale!$E137)</f>
        <v/>
      </c>
      <c r="O518" s="81">
        <f>IF(OR(Scale!$U137="",Scale!$U137=0),"",IFERROR(VLOOKUP(Scale!$U137,AcctTbl,3,0),""))</f>
        <v/>
      </c>
      <c r="P518" s="82">
        <f>IF(Scale!$U137&lt;&gt;"X011","","BN02")</f>
        <v/>
      </c>
    </row>
    <row r="519" ht="20.25" customHeight="1">
      <c r="A519" s="80">
        <f>IF(OR(Scale!$X137="",Scale!$X137=0),"",Scale!$B137)</f>
        <v/>
      </c>
      <c r="B519" s="80">
        <f>IF(OR(Scale!$X137="",Scale!$X137=0),"",Scale!$D137)</f>
        <v/>
      </c>
      <c r="C519" s="80">
        <f>IF(OR(Scale!$X137="",Scale!$X137=0),"","باسکول")</f>
        <v/>
      </c>
      <c r="D519" s="80">
        <f>IF(OR(Scale!$X137="",Scale!$X137=0),"",Scale!$X137)</f>
        <v/>
      </c>
      <c r="E519" s="81">
        <f>IF(OR(Scale!$X137="",Scale!$X137=0),"",IF(Scale!$X137="","","مقابل: "&amp;Scale!$E137))</f>
        <v/>
      </c>
      <c r="F519" s="83" t="n"/>
      <c r="G519" s="83" t="n"/>
      <c r="H519" s="83" t="n"/>
      <c r="I519" s="83" t="n"/>
      <c r="J519" s="83" t="n"/>
      <c r="K519" s="82">
        <f>IF(OR(Scale!$X137="",Scale!$X137=0),"",IF(Scale!$Y137="",0,Scale!$Y137)+IF(Scale!$Z137="",0,Scale!$Z137))</f>
        <v/>
      </c>
      <c r="L519" s="82">
        <f>IF(OR(Scale!$X137="",Scale!$X137=0),"",Scale!$Y137)</f>
        <v/>
      </c>
      <c r="M519" s="82">
        <f>IF(OR(Scale!$X137="",Scale!$X137=0),"",Scale!$Z137)</f>
        <v/>
      </c>
      <c r="N519" s="81">
        <f>IF(OR(Scale!$X137="",Scale!$X137=0),"","مقابل")</f>
        <v/>
      </c>
      <c r="O519" s="81">
        <f>IF(OR(Scale!$X137="",Scale!$X137=0),"",IFERROR(VLOOKUP(Scale!$X137,AcctTbl,3,0),""))</f>
        <v/>
      </c>
      <c r="P519" s="82">
        <f>IF(Scale!$X137&lt;&gt;"X011","","BN02")</f>
        <v/>
      </c>
    </row>
    <row r="520" ht="20.25" customHeight="1">
      <c r="A520" s="80">
        <f>IF(OR(Scale!$AA137="",Scale!$AA137=0),"",Scale!$B137)</f>
        <v/>
      </c>
      <c r="B520" s="80">
        <f>IF(OR(Scale!$AA137="",Scale!$AA137=0),"",Scale!$D137)</f>
        <v/>
      </c>
      <c r="C520" s="80">
        <f>IF(OR(Scale!$AA137="",Scale!$AA137=0),"","باسکول")</f>
        <v/>
      </c>
      <c r="D520" s="80">
        <f>IF(OR(Scale!$AA137="",Scale!$AA137=0),"",Scale!$AA137)</f>
        <v/>
      </c>
      <c r="E520" s="81">
        <f>IF(OR(Scale!$AA137="",Scale!$AA137=0),"",IF(Scale!$AA137="","","پوز باسکول — "&amp;Scale!$E137))</f>
        <v/>
      </c>
      <c r="F520" s="83" t="n"/>
      <c r="G520" s="83" t="n"/>
      <c r="H520" s="83" t="n"/>
      <c r="I520" s="83" t="n"/>
      <c r="J520" s="83" t="n"/>
      <c r="K520" s="82">
        <f>IF(OR(Scale!$AA137="",Scale!$AA137=0),"",IF(Scale!$AB137="",0,Scale!$AB137)+IF(Scale!$AC137="",0,Scale!$AC137))</f>
        <v/>
      </c>
      <c r="L520" s="82">
        <f>IF(OR(Scale!$AA137="",Scale!$AA137=0),"",Scale!$AB137)</f>
        <v/>
      </c>
      <c r="M520" s="82">
        <f>IF(OR(Scale!$AA137="",Scale!$AA137=0),"",Scale!$AC137)</f>
        <v/>
      </c>
      <c r="N520" s="81">
        <f>IF(OR(Scale!$AA137="",Scale!$AA137=0),"","پوز")</f>
        <v/>
      </c>
      <c r="O520" s="81">
        <f>IF(OR(Scale!$AA137="",Scale!$AA137=0),"",IFERROR(VLOOKUP(Scale!$AA137,AcctTbl,3,0),""))</f>
        <v/>
      </c>
      <c r="P520" s="82">
        <f>IF(Scale!$AA137&lt;&gt;"X011","","BN02")</f>
        <v/>
      </c>
    </row>
    <row r="521" ht="20.25" customHeight="1">
      <c r="A521" s="80">
        <f>IF(OR(Scale!$AD137="",Scale!$AD137=0),"",Scale!$B137)</f>
        <v/>
      </c>
      <c r="B521" s="80">
        <f>IF(OR(Scale!$AD137="",Scale!$AD137=0),"",Scale!$D137)</f>
        <v/>
      </c>
      <c r="C521" s="80">
        <f>IF(OR(Scale!$AD137="",Scale!$AD137=0),"","باسکول")</f>
        <v/>
      </c>
      <c r="D521" s="80">
        <f>IF(OR(Scale!$AD137="",Scale!$AD137=0),"",Scale!$AD137)</f>
        <v/>
      </c>
      <c r="E521" s="81">
        <f>IF(OR(Scale!$AD137="",Scale!$AD137=0),"",IF(Scale!$AD137="","","مقابل پوز — "&amp;Scale!$E137))</f>
        <v/>
      </c>
      <c r="F521" s="83" t="n"/>
      <c r="G521" s="83" t="n"/>
      <c r="H521" s="83" t="n"/>
      <c r="I521" s="83" t="n"/>
      <c r="J521" s="83" t="n"/>
      <c r="K521" s="82">
        <f>IF(OR(Scale!$AD137="",Scale!$AD137=0),"",IF(Scale!$AE137="",0,Scale!$AE137)+IF(Scale!$AF137="",0,Scale!$AF137))</f>
        <v/>
      </c>
      <c r="L521" s="82">
        <f>IF(OR(Scale!$AD137="",Scale!$AD137=0),"",Scale!$AE137)</f>
        <v/>
      </c>
      <c r="M521" s="82">
        <f>IF(OR(Scale!$AD137="",Scale!$AD137=0),"",Scale!$AF137)</f>
        <v/>
      </c>
      <c r="N521" s="81">
        <f>IF(OR(Scale!$AD137="",Scale!$AD137=0),"","مقابل پوز")</f>
        <v/>
      </c>
      <c r="O521" s="81">
        <f>IF(OR(Scale!$AD137="",Scale!$AD137=0),"",IFERROR(VLOOKUP(Scale!$AD137,AcctTbl,3,0),""))</f>
        <v/>
      </c>
      <c r="P521" s="82">
        <f>IF(Scale!$AD137&lt;&gt;"X011","","BN02")</f>
        <v/>
      </c>
    </row>
    <row r="522" ht="20.25" customHeight="1">
      <c r="A522" s="80">
        <f>IF(OR(Scale!$U138="",Scale!$U138=0),"",Scale!$B138)</f>
        <v/>
      </c>
      <c r="B522" s="80">
        <f>IF(OR(Scale!$U138="",Scale!$U138=0),"",Scale!$D138)</f>
        <v/>
      </c>
      <c r="C522" s="80">
        <f>IF(OR(Scale!$U138="",Scale!$U138=0),"","باسکول")</f>
        <v/>
      </c>
      <c r="D522" s="80">
        <f>IF(OR(Scale!$U138="",Scale!$U138=0),"",Scale!$U138)</f>
        <v/>
      </c>
      <c r="E522" s="81">
        <f>IF(OR(Scale!$U138="",Scale!$U138=0),"",Scale!$T138)</f>
        <v/>
      </c>
      <c r="F522" s="81">
        <f>IF(OR(Scale!$U138="",Scale!$U138=0),"",Scale!$J138)</f>
        <v/>
      </c>
      <c r="G522" s="82">
        <f>IF(OR(Scale!$U138="",Scale!$U138=0),"",Scale!$M138)</f>
        <v/>
      </c>
      <c r="H522" s="82">
        <f>IF(OR(Scale!$U138="",Scale!$U138=0),"",Scale!$L138)</f>
        <v/>
      </c>
      <c r="I522" s="82">
        <f>IF(OR(Scale!$U138="",Scale!$U138=0),"",Scale!$N138)</f>
        <v/>
      </c>
      <c r="J522" s="82">
        <f>IF(OR(Scale!$U138="",Scale!$U138=0),"",Scale!$O138)</f>
        <v/>
      </c>
      <c r="K522" s="82">
        <f>IF(OR(Scale!$U138="",Scale!$U138=0),"",IF(Scale!$V138="",0,Scale!$V138)+IF(Scale!$W138="",0,Scale!$W138))</f>
        <v/>
      </c>
      <c r="L522" s="82">
        <f>IF(OR(Scale!$U138="",Scale!$U138=0),"",Scale!$V138)</f>
        <v/>
      </c>
      <c r="M522" s="82">
        <f>IF(OR(Scale!$U138="",Scale!$U138=0),"",Scale!$W138)</f>
        <v/>
      </c>
      <c r="N522" s="81">
        <f>IF(OR(Scale!$U138="",Scale!$U138=0),"",Scale!$E138)</f>
        <v/>
      </c>
      <c r="O522" s="81">
        <f>IF(OR(Scale!$U138="",Scale!$U138=0),"",IFERROR(VLOOKUP(Scale!$U138,AcctTbl,3,0),""))</f>
        <v/>
      </c>
      <c r="P522" s="82">
        <f>IF(Scale!$U138&lt;&gt;"X011","","BN02")</f>
        <v/>
      </c>
    </row>
    <row r="523" ht="20.25" customHeight="1">
      <c r="A523" s="80">
        <f>IF(OR(Scale!$X138="",Scale!$X138=0),"",Scale!$B138)</f>
        <v/>
      </c>
      <c r="B523" s="80">
        <f>IF(OR(Scale!$X138="",Scale!$X138=0),"",Scale!$D138)</f>
        <v/>
      </c>
      <c r="C523" s="80">
        <f>IF(OR(Scale!$X138="",Scale!$X138=0),"","باسکول")</f>
        <v/>
      </c>
      <c r="D523" s="80">
        <f>IF(OR(Scale!$X138="",Scale!$X138=0),"",Scale!$X138)</f>
        <v/>
      </c>
      <c r="E523" s="81">
        <f>IF(OR(Scale!$X138="",Scale!$X138=0),"",IF(Scale!$X138="","","مقابل: "&amp;Scale!$E138))</f>
        <v/>
      </c>
      <c r="F523" s="83" t="n"/>
      <c r="G523" s="83" t="n"/>
      <c r="H523" s="83" t="n"/>
      <c r="I523" s="83" t="n"/>
      <c r="J523" s="83" t="n"/>
      <c r="K523" s="82">
        <f>IF(OR(Scale!$X138="",Scale!$X138=0),"",IF(Scale!$Y138="",0,Scale!$Y138)+IF(Scale!$Z138="",0,Scale!$Z138))</f>
        <v/>
      </c>
      <c r="L523" s="82">
        <f>IF(OR(Scale!$X138="",Scale!$X138=0),"",Scale!$Y138)</f>
        <v/>
      </c>
      <c r="M523" s="82">
        <f>IF(OR(Scale!$X138="",Scale!$X138=0),"",Scale!$Z138)</f>
        <v/>
      </c>
      <c r="N523" s="81">
        <f>IF(OR(Scale!$X138="",Scale!$X138=0),"","مقابل")</f>
        <v/>
      </c>
      <c r="O523" s="81">
        <f>IF(OR(Scale!$X138="",Scale!$X138=0),"",IFERROR(VLOOKUP(Scale!$X138,AcctTbl,3,0),""))</f>
        <v/>
      </c>
      <c r="P523" s="82">
        <f>IF(Scale!$X138&lt;&gt;"X011","","BN02")</f>
        <v/>
      </c>
    </row>
    <row r="524" ht="20.25" customHeight="1">
      <c r="A524" s="80">
        <f>IF(OR(Scale!$AA138="",Scale!$AA138=0),"",Scale!$B138)</f>
        <v/>
      </c>
      <c r="B524" s="80">
        <f>IF(OR(Scale!$AA138="",Scale!$AA138=0),"",Scale!$D138)</f>
        <v/>
      </c>
      <c r="C524" s="80">
        <f>IF(OR(Scale!$AA138="",Scale!$AA138=0),"","باسکول")</f>
        <v/>
      </c>
      <c r="D524" s="80">
        <f>IF(OR(Scale!$AA138="",Scale!$AA138=0),"",Scale!$AA138)</f>
        <v/>
      </c>
      <c r="E524" s="81">
        <f>IF(OR(Scale!$AA138="",Scale!$AA138=0),"",IF(Scale!$AA138="","","پوز باسکول — "&amp;Scale!$E138))</f>
        <v/>
      </c>
      <c r="F524" s="83" t="n"/>
      <c r="G524" s="83" t="n"/>
      <c r="H524" s="83" t="n"/>
      <c r="I524" s="83" t="n"/>
      <c r="J524" s="83" t="n"/>
      <c r="K524" s="82">
        <f>IF(OR(Scale!$AA138="",Scale!$AA138=0),"",IF(Scale!$AB138="",0,Scale!$AB138)+IF(Scale!$AC138="",0,Scale!$AC138))</f>
        <v/>
      </c>
      <c r="L524" s="82">
        <f>IF(OR(Scale!$AA138="",Scale!$AA138=0),"",Scale!$AB138)</f>
        <v/>
      </c>
      <c r="M524" s="82">
        <f>IF(OR(Scale!$AA138="",Scale!$AA138=0),"",Scale!$AC138)</f>
        <v/>
      </c>
      <c r="N524" s="81">
        <f>IF(OR(Scale!$AA138="",Scale!$AA138=0),"","پوز")</f>
        <v/>
      </c>
      <c r="O524" s="81">
        <f>IF(OR(Scale!$AA138="",Scale!$AA138=0),"",IFERROR(VLOOKUP(Scale!$AA138,AcctTbl,3,0),""))</f>
        <v/>
      </c>
      <c r="P524" s="82">
        <f>IF(Scale!$AA138&lt;&gt;"X011","","BN02")</f>
        <v/>
      </c>
    </row>
    <row r="525" ht="20.25" customHeight="1">
      <c r="A525" s="80">
        <f>IF(OR(Scale!$AD138="",Scale!$AD138=0),"",Scale!$B138)</f>
        <v/>
      </c>
      <c r="B525" s="80">
        <f>IF(OR(Scale!$AD138="",Scale!$AD138=0),"",Scale!$D138)</f>
        <v/>
      </c>
      <c r="C525" s="80">
        <f>IF(OR(Scale!$AD138="",Scale!$AD138=0),"","باسکول")</f>
        <v/>
      </c>
      <c r="D525" s="80">
        <f>IF(OR(Scale!$AD138="",Scale!$AD138=0),"",Scale!$AD138)</f>
        <v/>
      </c>
      <c r="E525" s="81">
        <f>IF(OR(Scale!$AD138="",Scale!$AD138=0),"",IF(Scale!$AD138="","","مقابل پوز — "&amp;Scale!$E138))</f>
        <v/>
      </c>
      <c r="F525" s="83" t="n"/>
      <c r="G525" s="83" t="n"/>
      <c r="H525" s="83" t="n"/>
      <c r="I525" s="83" t="n"/>
      <c r="J525" s="83" t="n"/>
      <c r="K525" s="82">
        <f>IF(OR(Scale!$AD138="",Scale!$AD138=0),"",IF(Scale!$AE138="",0,Scale!$AE138)+IF(Scale!$AF138="",0,Scale!$AF138))</f>
        <v/>
      </c>
      <c r="L525" s="82">
        <f>IF(OR(Scale!$AD138="",Scale!$AD138=0),"",Scale!$AE138)</f>
        <v/>
      </c>
      <c r="M525" s="82">
        <f>IF(OR(Scale!$AD138="",Scale!$AD138=0),"",Scale!$AF138)</f>
        <v/>
      </c>
      <c r="N525" s="81">
        <f>IF(OR(Scale!$AD138="",Scale!$AD138=0),"","مقابل پوز")</f>
        <v/>
      </c>
      <c r="O525" s="81">
        <f>IF(OR(Scale!$AD138="",Scale!$AD138=0),"",IFERROR(VLOOKUP(Scale!$AD138,AcctTbl,3,0),""))</f>
        <v/>
      </c>
      <c r="P525" s="82">
        <f>IF(Scale!$AD138&lt;&gt;"X011","","BN02")</f>
        <v/>
      </c>
    </row>
    <row r="526" ht="20.25" customHeight="1">
      <c r="A526" s="80">
        <f>IF(OR(Scale!$U139="",Scale!$U139=0),"",Scale!$B139)</f>
        <v/>
      </c>
      <c r="B526" s="80">
        <f>IF(OR(Scale!$U139="",Scale!$U139=0),"",Scale!$D139)</f>
        <v/>
      </c>
      <c r="C526" s="80">
        <f>IF(OR(Scale!$U139="",Scale!$U139=0),"","باسکول")</f>
        <v/>
      </c>
      <c r="D526" s="80">
        <f>IF(OR(Scale!$U139="",Scale!$U139=0),"",Scale!$U139)</f>
        <v/>
      </c>
      <c r="E526" s="81">
        <f>IF(OR(Scale!$U139="",Scale!$U139=0),"",Scale!$T139)</f>
        <v/>
      </c>
      <c r="F526" s="81">
        <f>IF(OR(Scale!$U139="",Scale!$U139=0),"",Scale!$J139)</f>
        <v/>
      </c>
      <c r="G526" s="82">
        <f>IF(OR(Scale!$U139="",Scale!$U139=0),"",Scale!$M139)</f>
        <v/>
      </c>
      <c r="H526" s="82">
        <f>IF(OR(Scale!$U139="",Scale!$U139=0),"",Scale!$L139)</f>
        <v/>
      </c>
      <c r="I526" s="82">
        <f>IF(OR(Scale!$U139="",Scale!$U139=0),"",Scale!$N139)</f>
        <v/>
      </c>
      <c r="J526" s="82">
        <f>IF(OR(Scale!$U139="",Scale!$U139=0),"",Scale!$O139)</f>
        <v/>
      </c>
      <c r="K526" s="82">
        <f>IF(OR(Scale!$U139="",Scale!$U139=0),"",IF(Scale!$V139="",0,Scale!$V139)+IF(Scale!$W139="",0,Scale!$W139))</f>
        <v/>
      </c>
      <c r="L526" s="82">
        <f>IF(OR(Scale!$U139="",Scale!$U139=0),"",Scale!$V139)</f>
        <v/>
      </c>
      <c r="M526" s="82">
        <f>IF(OR(Scale!$U139="",Scale!$U139=0),"",Scale!$W139)</f>
        <v/>
      </c>
      <c r="N526" s="81">
        <f>IF(OR(Scale!$U139="",Scale!$U139=0),"",Scale!$E139)</f>
        <v/>
      </c>
      <c r="O526" s="81">
        <f>IF(OR(Scale!$U139="",Scale!$U139=0),"",IFERROR(VLOOKUP(Scale!$U139,AcctTbl,3,0),""))</f>
        <v/>
      </c>
      <c r="P526" s="82">
        <f>IF(Scale!$U139&lt;&gt;"X011","","BN02")</f>
        <v/>
      </c>
    </row>
    <row r="527" ht="20.25" customHeight="1">
      <c r="A527" s="80">
        <f>IF(OR(Scale!$X139="",Scale!$X139=0),"",Scale!$B139)</f>
        <v/>
      </c>
      <c r="B527" s="80">
        <f>IF(OR(Scale!$X139="",Scale!$X139=0),"",Scale!$D139)</f>
        <v/>
      </c>
      <c r="C527" s="80">
        <f>IF(OR(Scale!$X139="",Scale!$X139=0),"","باسکول")</f>
        <v/>
      </c>
      <c r="D527" s="80">
        <f>IF(OR(Scale!$X139="",Scale!$X139=0),"",Scale!$X139)</f>
        <v/>
      </c>
      <c r="E527" s="81">
        <f>IF(OR(Scale!$X139="",Scale!$X139=0),"",IF(Scale!$X139="","","مقابل: "&amp;Scale!$E139))</f>
        <v/>
      </c>
      <c r="F527" s="83" t="n"/>
      <c r="G527" s="83" t="n"/>
      <c r="H527" s="83" t="n"/>
      <c r="I527" s="83" t="n"/>
      <c r="J527" s="83" t="n"/>
      <c r="K527" s="82">
        <f>IF(OR(Scale!$X139="",Scale!$X139=0),"",IF(Scale!$Y139="",0,Scale!$Y139)+IF(Scale!$Z139="",0,Scale!$Z139))</f>
        <v/>
      </c>
      <c r="L527" s="82">
        <f>IF(OR(Scale!$X139="",Scale!$X139=0),"",Scale!$Y139)</f>
        <v/>
      </c>
      <c r="M527" s="82">
        <f>IF(OR(Scale!$X139="",Scale!$X139=0),"",Scale!$Z139)</f>
        <v/>
      </c>
      <c r="N527" s="81">
        <f>IF(OR(Scale!$X139="",Scale!$X139=0),"","مقابل")</f>
        <v/>
      </c>
      <c r="O527" s="81">
        <f>IF(OR(Scale!$X139="",Scale!$X139=0),"",IFERROR(VLOOKUP(Scale!$X139,AcctTbl,3,0),""))</f>
        <v/>
      </c>
      <c r="P527" s="82">
        <f>IF(Scale!$X139&lt;&gt;"X011","","BN02")</f>
        <v/>
      </c>
    </row>
    <row r="528" ht="20.25" customHeight="1">
      <c r="A528" s="80">
        <f>IF(OR(Scale!$AA139="",Scale!$AA139=0),"",Scale!$B139)</f>
        <v/>
      </c>
      <c r="B528" s="80">
        <f>IF(OR(Scale!$AA139="",Scale!$AA139=0),"",Scale!$D139)</f>
        <v/>
      </c>
      <c r="C528" s="80">
        <f>IF(OR(Scale!$AA139="",Scale!$AA139=0),"","باسکول")</f>
        <v/>
      </c>
      <c r="D528" s="80">
        <f>IF(OR(Scale!$AA139="",Scale!$AA139=0),"",Scale!$AA139)</f>
        <v/>
      </c>
      <c r="E528" s="81">
        <f>IF(OR(Scale!$AA139="",Scale!$AA139=0),"",IF(Scale!$AA139="","","پوز باسکول — "&amp;Scale!$E139))</f>
        <v/>
      </c>
      <c r="F528" s="83" t="n"/>
      <c r="G528" s="83" t="n"/>
      <c r="H528" s="83" t="n"/>
      <c r="I528" s="83" t="n"/>
      <c r="J528" s="83" t="n"/>
      <c r="K528" s="82">
        <f>IF(OR(Scale!$AA139="",Scale!$AA139=0),"",IF(Scale!$AB139="",0,Scale!$AB139)+IF(Scale!$AC139="",0,Scale!$AC139))</f>
        <v/>
      </c>
      <c r="L528" s="82">
        <f>IF(OR(Scale!$AA139="",Scale!$AA139=0),"",Scale!$AB139)</f>
        <v/>
      </c>
      <c r="M528" s="82">
        <f>IF(OR(Scale!$AA139="",Scale!$AA139=0),"",Scale!$AC139)</f>
        <v/>
      </c>
      <c r="N528" s="81">
        <f>IF(OR(Scale!$AA139="",Scale!$AA139=0),"","پوز")</f>
        <v/>
      </c>
      <c r="O528" s="81">
        <f>IF(OR(Scale!$AA139="",Scale!$AA139=0),"",IFERROR(VLOOKUP(Scale!$AA139,AcctTbl,3,0),""))</f>
        <v/>
      </c>
      <c r="P528" s="82">
        <f>IF(Scale!$AA139&lt;&gt;"X011","","BN02")</f>
        <v/>
      </c>
    </row>
    <row r="529" ht="20.25" customHeight="1">
      <c r="A529" s="80">
        <f>IF(OR(Scale!$AD139="",Scale!$AD139=0),"",Scale!$B139)</f>
        <v/>
      </c>
      <c r="B529" s="80">
        <f>IF(OR(Scale!$AD139="",Scale!$AD139=0),"",Scale!$D139)</f>
        <v/>
      </c>
      <c r="C529" s="80">
        <f>IF(OR(Scale!$AD139="",Scale!$AD139=0),"","باسکول")</f>
        <v/>
      </c>
      <c r="D529" s="80">
        <f>IF(OR(Scale!$AD139="",Scale!$AD139=0),"",Scale!$AD139)</f>
        <v/>
      </c>
      <c r="E529" s="81">
        <f>IF(OR(Scale!$AD139="",Scale!$AD139=0),"",IF(Scale!$AD139="","","مقابل پوز — "&amp;Scale!$E139))</f>
        <v/>
      </c>
      <c r="F529" s="83" t="n"/>
      <c r="G529" s="83" t="n"/>
      <c r="H529" s="83" t="n"/>
      <c r="I529" s="83" t="n"/>
      <c r="J529" s="83" t="n"/>
      <c r="K529" s="82">
        <f>IF(OR(Scale!$AD139="",Scale!$AD139=0),"",IF(Scale!$AE139="",0,Scale!$AE139)+IF(Scale!$AF139="",0,Scale!$AF139))</f>
        <v/>
      </c>
      <c r="L529" s="82">
        <f>IF(OR(Scale!$AD139="",Scale!$AD139=0),"",Scale!$AE139)</f>
        <v/>
      </c>
      <c r="M529" s="82">
        <f>IF(OR(Scale!$AD139="",Scale!$AD139=0),"",Scale!$AF139)</f>
        <v/>
      </c>
      <c r="N529" s="81">
        <f>IF(OR(Scale!$AD139="",Scale!$AD139=0),"","مقابل پوز")</f>
        <v/>
      </c>
      <c r="O529" s="81">
        <f>IF(OR(Scale!$AD139="",Scale!$AD139=0),"",IFERROR(VLOOKUP(Scale!$AD139,AcctTbl,3,0),""))</f>
        <v/>
      </c>
      <c r="P529" s="82">
        <f>IF(Scale!$AD139&lt;&gt;"X011","","BN02")</f>
        <v/>
      </c>
    </row>
    <row r="530" ht="20.25" customHeight="1">
      <c r="A530" s="80">
        <f>IF(OR(Scale!$U140="",Scale!$U140=0),"",Scale!$B140)</f>
        <v/>
      </c>
      <c r="B530" s="80">
        <f>IF(OR(Scale!$U140="",Scale!$U140=0),"",Scale!$D140)</f>
        <v/>
      </c>
      <c r="C530" s="80">
        <f>IF(OR(Scale!$U140="",Scale!$U140=0),"","باسکول")</f>
        <v/>
      </c>
      <c r="D530" s="80">
        <f>IF(OR(Scale!$U140="",Scale!$U140=0),"",Scale!$U140)</f>
        <v/>
      </c>
      <c r="E530" s="81">
        <f>IF(OR(Scale!$U140="",Scale!$U140=0),"",Scale!$T140)</f>
        <v/>
      </c>
      <c r="F530" s="81">
        <f>IF(OR(Scale!$U140="",Scale!$U140=0),"",Scale!$J140)</f>
        <v/>
      </c>
      <c r="G530" s="82">
        <f>IF(OR(Scale!$U140="",Scale!$U140=0),"",Scale!$M140)</f>
        <v/>
      </c>
      <c r="H530" s="82">
        <f>IF(OR(Scale!$U140="",Scale!$U140=0),"",Scale!$L140)</f>
        <v/>
      </c>
      <c r="I530" s="82">
        <f>IF(OR(Scale!$U140="",Scale!$U140=0),"",Scale!$N140)</f>
        <v/>
      </c>
      <c r="J530" s="82">
        <f>IF(OR(Scale!$U140="",Scale!$U140=0),"",Scale!$O140)</f>
        <v/>
      </c>
      <c r="K530" s="82">
        <f>IF(OR(Scale!$U140="",Scale!$U140=0),"",IF(Scale!$V140="",0,Scale!$V140)+IF(Scale!$W140="",0,Scale!$W140))</f>
        <v/>
      </c>
      <c r="L530" s="82">
        <f>IF(OR(Scale!$U140="",Scale!$U140=0),"",Scale!$V140)</f>
        <v/>
      </c>
      <c r="M530" s="82">
        <f>IF(OR(Scale!$U140="",Scale!$U140=0),"",Scale!$W140)</f>
        <v/>
      </c>
      <c r="N530" s="81">
        <f>IF(OR(Scale!$U140="",Scale!$U140=0),"",Scale!$E140)</f>
        <v/>
      </c>
      <c r="O530" s="81">
        <f>IF(OR(Scale!$U140="",Scale!$U140=0),"",IFERROR(VLOOKUP(Scale!$U140,AcctTbl,3,0),""))</f>
        <v/>
      </c>
      <c r="P530" s="82">
        <f>IF(Scale!$U140&lt;&gt;"X011","","BN02")</f>
        <v/>
      </c>
    </row>
    <row r="531" ht="20.25" customHeight="1">
      <c r="A531" s="80">
        <f>IF(OR(Scale!$X140="",Scale!$X140=0),"",Scale!$B140)</f>
        <v/>
      </c>
      <c r="B531" s="80">
        <f>IF(OR(Scale!$X140="",Scale!$X140=0),"",Scale!$D140)</f>
        <v/>
      </c>
      <c r="C531" s="80">
        <f>IF(OR(Scale!$X140="",Scale!$X140=0),"","باسکول")</f>
        <v/>
      </c>
      <c r="D531" s="80">
        <f>IF(OR(Scale!$X140="",Scale!$X140=0),"",Scale!$X140)</f>
        <v/>
      </c>
      <c r="E531" s="81">
        <f>IF(OR(Scale!$X140="",Scale!$X140=0),"",IF(Scale!$X140="","","مقابل: "&amp;Scale!$E140))</f>
        <v/>
      </c>
      <c r="F531" s="83" t="n"/>
      <c r="G531" s="83" t="n"/>
      <c r="H531" s="83" t="n"/>
      <c r="I531" s="83" t="n"/>
      <c r="J531" s="83" t="n"/>
      <c r="K531" s="82">
        <f>IF(OR(Scale!$X140="",Scale!$X140=0),"",IF(Scale!$Y140="",0,Scale!$Y140)+IF(Scale!$Z140="",0,Scale!$Z140))</f>
        <v/>
      </c>
      <c r="L531" s="82">
        <f>IF(OR(Scale!$X140="",Scale!$X140=0),"",Scale!$Y140)</f>
        <v/>
      </c>
      <c r="M531" s="82">
        <f>IF(OR(Scale!$X140="",Scale!$X140=0),"",Scale!$Z140)</f>
        <v/>
      </c>
      <c r="N531" s="81">
        <f>IF(OR(Scale!$X140="",Scale!$X140=0),"","مقابل")</f>
        <v/>
      </c>
      <c r="O531" s="81">
        <f>IF(OR(Scale!$X140="",Scale!$X140=0),"",IFERROR(VLOOKUP(Scale!$X140,AcctTbl,3,0),""))</f>
        <v/>
      </c>
      <c r="P531" s="82">
        <f>IF(Scale!$X140&lt;&gt;"X011","","BN02")</f>
        <v/>
      </c>
    </row>
    <row r="532" ht="20.25" customHeight="1">
      <c r="A532" s="80">
        <f>IF(OR(Scale!$AA140="",Scale!$AA140=0),"",Scale!$B140)</f>
        <v/>
      </c>
      <c r="B532" s="80">
        <f>IF(OR(Scale!$AA140="",Scale!$AA140=0),"",Scale!$D140)</f>
        <v/>
      </c>
      <c r="C532" s="80">
        <f>IF(OR(Scale!$AA140="",Scale!$AA140=0),"","باسکول")</f>
        <v/>
      </c>
      <c r="D532" s="80">
        <f>IF(OR(Scale!$AA140="",Scale!$AA140=0),"",Scale!$AA140)</f>
        <v/>
      </c>
      <c r="E532" s="81">
        <f>IF(OR(Scale!$AA140="",Scale!$AA140=0),"",IF(Scale!$AA140="","","پوز باسکول — "&amp;Scale!$E140))</f>
        <v/>
      </c>
      <c r="F532" s="83" t="n"/>
      <c r="G532" s="83" t="n"/>
      <c r="H532" s="83" t="n"/>
      <c r="I532" s="83" t="n"/>
      <c r="J532" s="83" t="n"/>
      <c r="K532" s="82">
        <f>IF(OR(Scale!$AA140="",Scale!$AA140=0),"",IF(Scale!$AB140="",0,Scale!$AB140)+IF(Scale!$AC140="",0,Scale!$AC140))</f>
        <v/>
      </c>
      <c r="L532" s="82">
        <f>IF(OR(Scale!$AA140="",Scale!$AA140=0),"",Scale!$AB140)</f>
        <v/>
      </c>
      <c r="M532" s="82">
        <f>IF(OR(Scale!$AA140="",Scale!$AA140=0),"",Scale!$AC140)</f>
        <v/>
      </c>
      <c r="N532" s="81">
        <f>IF(OR(Scale!$AA140="",Scale!$AA140=0),"","پوز")</f>
        <v/>
      </c>
      <c r="O532" s="81">
        <f>IF(OR(Scale!$AA140="",Scale!$AA140=0),"",IFERROR(VLOOKUP(Scale!$AA140,AcctTbl,3,0),""))</f>
        <v/>
      </c>
      <c r="P532" s="82">
        <f>IF(Scale!$AA140&lt;&gt;"X011","","BN02")</f>
        <v/>
      </c>
    </row>
    <row r="533" ht="20.25" customHeight="1">
      <c r="A533" s="80">
        <f>IF(OR(Scale!$AD140="",Scale!$AD140=0),"",Scale!$B140)</f>
        <v/>
      </c>
      <c r="B533" s="80">
        <f>IF(OR(Scale!$AD140="",Scale!$AD140=0),"",Scale!$D140)</f>
        <v/>
      </c>
      <c r="C533" s="80">
        <f>IF(OR(Scale!$AD140="",Scale!$AD140=0),"","باسکول")</f>
        <v/>
      </c>
      <c r="D533" s="80">
        <f>IF(OR(Scale!$AD140="",Scale!$AD140=0),"",Scale!$AD140)</f>
        <v/>
      </c>
      <c r="E533" s="81">
        <f>IF(OR(Scale!$AD140="",Scale!$AD140=0),"",IF(Scale!$AD140="","","مقابل پوز — "&amp;Scale!$E140))</f>
        <v/>
      </c>
      <c r="F533" s="83" t="n"/>
      <c r="G533" s="83" t="n"/>
      <c r="H533" s="83" t="n"/>
      <c r="I533" s="83" t="n"/>
      <c r="J533" s="83" t="n"/>
      <c r="K533" s="82">
        <f>IF(OR(Scale!$AD140="",Scale!$AD140=0),"",IF(Scale!$AE140="",0,Scale!$AE140)+IF(Scale!$AF140="",0,Scale!$AF140))</f>
        <v/>
      </c>
      <c r="L533" s="82">
        <f>IF(OR(Scale!$AD140="",Scale!$AD140=0),"",Scale!$AE140)</f>
        <v/>
      </c>
      <c r="M533" s="82">
        <f>IF(OR(Scale!$AD140="",Scale!$AD140=0),"",Scale!$AF140)</f>
        <v/>
      </c>
      <c r="N533" s="81">
        <f>IF(OR(Scale!$AD140="",Scale!$AD140=0),"","مقابل پوز")</f>
        <v/>
      </c>
      <c r="O533" s="81">
        <f>IF(OR(Scale!$AD140="",Scale!$AD140=0),"",IFERROR(VLOOKUP(Scale!$AD140,AcctTbl,3,0),""))</f>
        <v/>
      </c>
      <c r="P533" s="82">
        <f>IF(Scale!$AD140&lt;&gt;"X011","","BN02")</f>
        <v/>
      </c>
    </row>
    <row r="534" ht="20.25" customHeight="1">
      <c r="A534" s="80">
        <f>IF(OR(Scale!$U141="",Scale!$U141=0),"",Scale!$B141)</f>
        <v/>
      </c>
      <c r="B534" s="80">
        <f>IF(OR(Scale!$U141="",Scale!$U141=0),"",Scale!$D141)</f>
        <v/>
      </c>
      <c r="C534" s="80">
        <f>IF(OR(Scale!$U141="",Scale!$U141=0),"","باسکول")</f>
        <v/>
      </c>
      <c r="D534" s="80">
        <f>IF(OR(Scale!$U141="",Scale!$U141=0),"",Scale!$U141)</f>
        <v/>
      </c>
      <c r="E534" s="81">
        <f>IF(OR(Scale!$U141="",Scale!$U141=0),"",Scale!$T141)</f>
        <v/>
      </c>
      <c r="F534" s="81">
        <f>IF(OR(Scale!$U141="",Scale!$U141=0),"",Scale!$J141)</f>
        <v/>
      </c>
      <c r="G534" s="82">
        <f>IF(OR(Scale!$U141="",Scale!$U141=0),"",Scale!$M141)</f>
        <v/>
      </c>
      <c r="H534" s="82">
        <f>IF(OR(Scale!$U141="",Scale!$U141=0),"",Scale!$L141)</f>
        <v/>
      </c>
      <c r="I534" s="82">
        <f>IF(OR(Scale!$U141="",Scale!$U141=0),"",Scale!$N141)</f>
        <v/>
      </c>
      <c r="J534" s="82">
        <f>IF(OR(Scale!$U141="",Scale!$U141=0),"",Scale!$O141)</f>
        <v/>
      </c>
      <c r="K534" s="82">
        <f>IF(OR(Scale!$U141="",Scale!$U141=0),"",IF(Scale!$V141="",0,Scale!$V141)+IF(Scale!$W141="",0,Scale!$W141))</f>
        <v/>
      </c>
      <c r="L534" s="82">
        <f>IF(OR(Scale!$U141="",Scale!$U141=0),"",Scale!$V141)</f>
        <v/>
      </c>
      <c r="M534" s="82">
        <f>IF(OR(Scale!$U141="",Scale!$U141=0),"",Scale!$W141)</f>
        <v/>
      </c>
      <c r="N534" s="81">
        <f>IF(OR(Scale!$U141="",Scale!$U141=0),"",Scale!$E141)</f>
        <v/>
      </c>
      <c r="O534" s="81">
        <f>IF(OR(Scale!$U141="",Scale!$U141=0),"",IFERROR(VLOOKUP(Scale!$U141,AcctTbl,3,0),""))</f>
        <v/>
      </c>
      <c r="P534" s="82">
        <f>IF(Scale!$U141&lt;&gt;"X011","","BN02")</f>
        <v/>
      </c>
    </row>
    <row r="535" ht="20.25" customHeight="1">
      <c r="A535" s="80">
        <f>IF(OR(Scale!$X141="",Scale!$X141=0),"",Scale!$B141)</f>
        <v/>
      </c>
      <c r="B535" s="80">
        <f>IF(OR(Scale!$X141="",Scale!$X141=0),"",Scale!$D141)</f>
        <v/>
      </c>
      <c r="C535" s="80">
        <f>IF(OR(Scale!$X141="",Scale!$X141=0),"","باسکول")</f>
        <v/>
      </c>
      <c r="D535" s="80">
        <f>IF(OR(Scale!$X141="",Scale!$X141=0),"",Scale!$X141)</f>
        <v/>
      </c>
      <c r="E535" s="81">
        <f>IF(OR(Scale!$X141="",Scale!$X141=0),"",IF(Scale!$X141="","","مقابل: "&amp;Scale!$E141))</f>
        <v/>
      </c>
      <c r="F535" s="83" t="n"/>
      <c r="G535" s="83" t="n"/>
      <c r="H535" s="83" t="n"/>
      <c r="I535" s="83" t="n"/>
      <c r="J535" s="83" t="n"/>
      <c r="K535" s="82">
        <f>IF(OR(Scale!$X141="",Scale!$X141=0),"",IF(Scale!$Y141="",0,Scale!$Y141)+IF(Scale!$Z141="",0,Scale!$Z141))</f>
        <v/>
      </c>
      <c r="L535" s="82">
        <f>IF(OR(Scale!$X141="",Scale!$X141=0),"",Scale!$Y141)</f>
        <v/>
      </c>
      <c r="M535" s="82">
        <f>IF(OR(Scale!$X141="",Scale!$X141=0),"",Scale!$Z141)</f>
        <v/>
      </c>
      <c r="N535" s="81">
        <f>IF(OR(Scale!$X141="",Scale!$X141=0),"","مقابل")</f>
        <v/>
      </c>
      <c r="O535" s="81">
        <f>IF(OR(Scale!$X141="",Scale!$X141=0),"",IFERROR(VLOOKUP(Scale!$X141,AcctTbl,3,0),""))</f>
        <v/>
      </c>
      <c r="P535" s="82">
        <f>IF(Scale!$X141&lt;&gt;"X011","","BN02")</f>
        <v/>
      </c>
    </row>
    <row r="536" ht="20.25" customHeight="1">
      <c r="A536" s="80">
        <f>IF(OR(Scale!$AA141="",Scale!$AA141=0),"",Scale!$B141)</f>
        <v/>
      </c>
      <c r="B536" s="80">
        <f>IF(OR(Scale!$AA141="",Scale!$AA141=0),"",Scale!$D141)</f>
        <v/>
      </c>
      <c r="C536" s="80">
        <f>IF(OR(Scale!$AA141="",Scale!$AA141=0),"","باسکول")</f>
        <v/>
      </c>
      <c r="D536" s="80">
        <f>IF(OR(Scale!$AA141="",Scale!$AA141=0),"",Scale!$AA141)</f>
        <v/>
      </c>
      <c r="E536" s="81">
        <f>IF(OR(Scale!$AA141="",Scale!$AA141=0),"",IF(Scale!$AA141="","","پوز باسکول — "&amp;Scale!$E141))</f>
        <v/>
      </c>
      <c r="F536" s="83" t="n"/>
      <c r="G536" s="83" t="n"/>
      <c r="H536" s="83" t="n"/>
      <c r="I536" s="83" t="n"/>
      <c r="J536" s="83" t="n"/>
      <c r="K536" s="82">
        <f>IF(OR(Scale!$AA141="",Scale!$AA141=0),"",IF(Scale!$AB141="",0,Scale!$AB141)+IF(Scale!$AC141="",0,Scale!$AC141))</f>
        <v/>
      </c>
      <c r="L536" s="82">
        <f>IF(OR(Scale!$AA141="",Scale!$AA141=0),"",Scale!$AB141)</f>
        <v/>
      </c>
      <c r="M536" s="82">
        <f>IF(OR(Scale!$AA141="",Scale!$AA141=0),"",Scale!$AC141)</f>
        <v/>
      </c>
      <c r="N536" s="81">
        <f>IF(OR(Scale!$AA141="",Scale!$AA141=0),"","پوز")</f>
        <v/>
      </c>
      <c r="O536" s="81">
        <f>IF(OR(Scale!$AA141="",Scale!$AA141=0),"",IFERROR(VLOOKUP(Scale!$AA141,AcctTbl,3,0),""))</f>
        <v/>
      </c>
      <c r="P536" s="82">
        <f>IF(Scale!$AA141&lt;&gt;"X011","","BN02")</f>
        <v/>
      </c>
    </row>
    <row r="537" ht="20.25" customHeight="1">
      <c r="A537" s="80">
        <f>IF(OR(Scale!$AD141="",Scale!$AD141=0),"",Scale!$B141)</f>
        <v/>
      </c>
      <c r="B537" s="80">
        <f>IF(OR(Scale!$AD141="",Scale!$AD141=0),"",Scale!$D141)</f>
        <v/>
      </c>
      <c r="C537" s="80">
        <f>IF(OR(Scale!$AD141="",Scale!$AD141=0),"","باسکول")</f>
        <v/>
      </c>
      <c r="D537" s="80">
        <f>IF(OR(Scale!$AD141="",Scale!$AD141=0),"",Scale!$AD141)</f>
        <v/>
      </c>
      <c r="E537" s="81">
        <f>IF(OR(Scale!$AD141="",Scale!$AD141=0),"",IF(Scale!$AD141="","","مقابل پوز — "&amp;Scale!$E141))</f>
        <v/>
      </c>
      <c r="F537" s="83" t="n"/>
      <c r="G537" s="83" t="n"/>
      <c r="H537" s="83" t="n"/>
      <c r="I537" s="83" t="n"/>
      <c r="J537" s="83" t="n"/>
      <c r="K537" s="82">
        <f>IF(OR(Scale!$AD141="",Scale!$AD141=0),"",IF(Scale!$AE141="",0,Scale!$AE141)+IF(Scale!$AF141="",0,Scale!$AF141))</f>
        <v/>
      </c>
      <c r="L537" s="82">
        <f>IF(OR(Scale!$AD141="",Scale!$AD141=0),"",Scale!$AE141)</f>
        <v/>
      </c>
      <c r="M537" s="82">
        <f>IF(OR(Scale!$AD141="",Scale!$AD141=0),"",Scale!$AF141)</f>
        <v/>
      </c>
      <c r="N537" s="81">
        <f>IF(OR(Scale!$AD141="",Scale!$AD141=0),"","مقابل پوز")</f>
        <v/>
      </c>
      <c r="O537" s="81">
        <f>IF(OR(Scale!$AD141="",Scale!$AD141=0),"",IFERROR(VLOOKUP(Scale!$AD141,AcctTbl,3,0),""))</f>
        <v/>
      </c>
      <c r="P537" s="82">
        <f>IF(Scale!$AD141&lt;&gt;"X011","","BN02")</f>
        <v/>
      </c>
    </row>
    <row r="538" ht="20.25" customHeight="1">
      <c r="A538" s="80">
        <f>IF(OR(Scale!$U142="",Scale!$U142=0),"",Scale!$B142)</f>
        <v/>
      </c>
      <c r="B538" s="80">
        <f>IF(OR(Scale!$U142="",Scale!$U142=0),"",Scale!$D142)</f>
        <v/>
      </c>
      <c r="C538" s="80">
        <f>IF(OR(Scale!$U142="",Scale!$U142=0),"","باسکول")</f>
        <v/>
      </c>
      <c r="D538" s="80">
        <f>IF(OR(Scale!$U142="",Scale!$U142=0),"",Scale!$U142)</f>
        <v/>
      </c>
      <c r="E538" s="81">
        <f>IF(OR(Scale!$U142="",Scale!$U142=0),"",Scale!$T142)</f>
        <v/>
      </c>
      <c r="F538" s="81">
        <f>IF(OR(Scale!$U142="",Scale!$U142=0),"",Scale!$J142)</f>
        <v/>
      </c>
      <c r="G538" s="82">
        <f>IF(OR(Scale!$U142="",Scale!$U142=0),"",Scale!$M142)</f>
        <v/>
      </c>
      <c r="H538" s="82">
        <f>IF(OR(Scale!$U142="",Scale!$U142=0),"",Scale!$L142)</f>
        <v/>
      </c>
      <c r="I538" s="82">
        <f>IF(OR(Scale!$U142="",Scale!$U142=0),"",Scale!$N142)</f>
        <v/>
      </c>
      <c r="J538" s="82">
        <f>IF(OR(Scale!$U142="",Scale!$U142=0),"",Scale!$O142)</f>
        <v/>
      </c>
      <c r="K538" s="82">
        <f>IF(OR(Scale!$U142="",Scale!$U142=0),"",IF(Scale!$V142="",0,Scale!$V142)+IF(Scale!$W142="",0,Scale!$W142))</f>
        <v/>
      </c>
      <c r="L538" s="82">
        <f>IF(OR(Scale!$U142="",Scale!$U142=0),"",Scale!$V142)</f>
        <v/>
      </c>
      <c r="M538" s="82">
        <f>IF(OR(Scale!$U142="",Scale!$U142=0),"",Scale!$W142)</f>
        <v/>
      </c>
      <c r="N538" s="81">
        <f>IF(OR(Scale!$U142="",Scale!$U142=0),"",Scale!$E142)</f>
        <v/>
      </c>
      <c r="O538" s="81">
        <f>IF(OR(Scale!$U142="",Scale!$U142=0),"",IFERROR(VLOOKUP(Scale!$U142,AcctTbl,3,0),""))</f>
        <v/>
      </c>
      <c r="P538" s="82">
        <f>IF(Scale!$U142&lt;&gt;"X011","","BN02")</f>
        <v/>
      </c>
    </row>
    <row r="539" ht="20.25" customHeight="1">
      <c r="A539" s="80">
        <f>IF(OR(Scale!$X142="",Scale!$X142=0),"",Scale!$B142)</f>
        <v/>
      </c>
      <c r="B539" s="80">
        <f>IF(OR(Scale!$X142="",Scale!$X142=0),"",Scale!$D142)</f>
        <v/>
      </c>
      <c r="C539" s="80">
        <f>IF(OR(Scale!$X142="",Scale!$X142=0),"","باسکول")</f>
        <v/>
      </c>
      <c r="D539" s="80">
        <f>IF(OR(Scale!$X142="",Scale!$X142=0),"",Scale!$X142)</f>
        <v/>
      </c>
      <c r="E539" s="81">
        <f>IF(OR(Scale!$X142="",Scale!$X142=0),"",IF(Scale!$X142="","","مقابل: "&amp;Scale!$E142))</f>
        <v/>
      </c>
      <c r="F539" s="83" t="n"/>
      <c r="G539" s="83" t="n"/>
      <c r="H539" s="83" t="n"/>
      <c r="I539" s="83" t="n"/>
      <c r="J539" s="83" t="n"/>
      <c r="K539" s="82">
        <f>IF(OR(Scale!$X142="",Scale!$X142=0),"",IF(Scale!$Y142="",0,Scale!$Y142)+IF(Scale!$Z142="",0,Scale!$Z142))</f>
        <v/>
      </c>
      <c r="L539" s="82">
        <f>IF(OR(Scale!$X142="",Scale!$X142=0),"",Scale!$Y142)</f>
        <v/>
      </c>
      <c r="M539" s="82">
        <f>IF(OR(Scale!$X142="",Scale!$X142=0),"",Scale!$Z142)</f>
        <v/>
      </c>
      <c r="N539" s="81">
        <f>IF(OR(Scale!$X142="",Scale!$X142=0),"","مقابل")</f>
        <v/>
      </c>
      <c r="O539" s="81">
        <f>IF(OR(Scale!$X142="",Scale!$X142=0),"",IFERROR(VLOOKUP(Scale!$X142,AcctTbl,3,0),""))</f>
        <v/>
      </c>
      <c r="P539" s="82">
        <f>IF(Scale!$X142&lt;&gt;"X011","","BN02")</f>
        <v/>
      </c>
    </row>
    <row r="540" ht="20.25" customHeight="1">
      <c r="A540" s="80">
        <f>IF(OR(Scale!$AA142="",Scale!$AA142=0),"",Scale!$B142)</f>
        <v/>
      </c>
      <c r="B540" s="80">
        <f>IF(OR(Scale!$AA142="",Scale!$AA142=0),"",Scale!$D142)</f>
        <v/>
      </c>
      <c r="C540" s="80">
        <f>IF(OR(Scale!$AA142="",Scale!$AA142=0),"","باسکول")</f>
        <v/>
      </c>
      <c r="D540" s="80">
        <f>IF(OR(Scale!$AA142="",Scale!$AA142=0),"",Scale!$AA142)</f>
        <v/>
      </c>
      <c r="E540" s="81">
        <f>IF(OR(Scale!$AA142="",Scale!$AA142=0),"",IF(Scale!$AA142="","","پوز باسکول — "&amp;Scale!$E142))</f>
        <v/>
      </c>
      <c r="F540" s="83" t="n"/>
      <c r="G540" s="83" t="n"/>
      <c r="H540" s="83" t="n"/>
      <c r="I540" s="83" t="n"/>
      <c r="J540" s="83" t="n"/>
      <c r="K540" s="82">
        <f>IF(OR(Scale!$AA142="",Scale!$AA142=0),"",IF(Scale!$AB142="",0,Scale!$AB142)+IF(Scale!$AC142="",0,Scale!$AC142))</f>
        <v/>
      </c>
      <c r="L540" s="82">
        <f>IF(OR(Scale!$AA142="",Scale!$AA142=0),"",Scale!$AB142)</f>
        <v/>
      </c>
      <c r="M540" s="82">
        <f>IF(OR(Scale!$AA142="",Scale!$AA142=0),"",Scale!$AC142)</f>
        <v/>
      </c>
      <c r="N540" s="81">
        <f>IF(OR(Scale!$AA142="",Scale!$AA142=0),"","پوز")</f>
        <v/>
      </c>
      <c r="O540" s="81">
        <f>IF(OR(Scale!$AA142="",Scale!$AA142=0),"",IFERROR(VLOOKUP(Scale!$AA142,AcctTbl,3,0),""))</f>
        <v/>
      </c>
      <c r="P540" s="82">
        <f>IF(Scale!$AA142&lt;&gt;"X011","","BN02")</f>
        <v/>
      </c>
    </row>
    <row r="541" ht="20.25" customHeight="1">
      <c r="A541" s="80">
        <f>IF(OR(Scale!$AD142="",Scale!$AD142=0),"",Scale!$B142)</f>
        <v/>
      </c>
      <c r="B541" s="80">
        <f>IF(OR(Scale!$AD142="",Scale!$AD142=0),"",Scale!$D142)</f>
        <v/>
      </c>
      <c r="C541" s="80">
        <f>IF(OR(Scale!$AD142="",Scale!$AD142=0),"","باسکول")</f>
        <v/>
      </c>
      <c r="D541" s="80">
        <f>IF(OR(Scale!$AD142="",Scale!$AD142=0),"",Scale!$AD142)</f>
        <v/>
      </c>
      <c r="E541" s="81">
        <f>IF(OR(Scale!$AD142="",Scale!$AD142=0),"",IF(Scale!$AD142="","","مقابل پوز — "&amp;Scale!$E142))</f>
        <v/>
      </c>
      <c r="F541" s="83" t="n"/>
      <c r="G541" s="83" t="n"/>
      <c r="H541" s="83" t="n"/>
      <c r="I541" s="83" t="n"/>
      <c r="J541" s="83" t="n"/>
      <c r="K541" s="82">
        <f>IF(OR(Scale!$AD142="",Scale!$AD142=0),"",IF(Scale!$AE142="",0,Scale!$AE142)+IF(Scale!$AF142="",0,Scale!$AF142))</f>
        <v/>
      </c>
      <c r="L541" s="82">
        <f>IF(OR(Scale!$AD142="",Scale!$AD142=0),"",Scale!$AE142)</f>
        <v/>
      </c>
      <c r="M541" s="82">
        <f>IF(OR(Scale!$AD142="",Scale!$AD142=0),"",Scale!$AF142)</f>
        <v/>
      </c>
      <c r="N541" s="81">
        <f>IF(OR(Scale!$AD142="",Scale!$AD142=0),"","مقابل پوز")</f>
        <v/>
      </c>
      <c r="O541" s="81">
        <f>IF(OR(Scale!$AD142="",Scale!$AD142=0),"",IFERROR(VLOOKUP(Scale!$AD142,AcctTbl,3,0),""))</f>
        <v/>
      </c>
      <c r="P541" s="82">
        <f>IF(Scale!$AD142&lt;&gt;"X011","","BN02")</f>
        <v/>
      </c>
    </row>
    <row r="542" ht="20.25" customHeight="1">
      <c r="A542" s="80">
        <f>IF(OR(Scale!$U143="",Scale!$U143=0),"",Scale!$B143)</f>
        <v/>
      </c>
      <c r="B542" s="80">
        <f>IF(OR(Scale!$U143="",Scale!$U143=0),"",Scale!$D143)</f>
        <v/>
      </c>
      <c r="C542" s="80">
        <f>IF(OR(Scale!$U143="",Scale!$U143=0),"","باسکول")</f>
        <v/>
      </c>
      <c r="D542" s="80">
        <f>IF(OR(Scale!$U143="",Scale!$U143=0),"",Scale!$U143)</f>
        <v/>
      </c>
      <c r="E542" s="81">
        <f>IF(OR(Scale!$U143="",Scale!$U143=0),"",Scale!$T143)</f>
        <v/>
      </c>
      <c r="F542" s="81">
        <f>IF(OR(Scale!$U143="",Scale!$U143=0),"",Scale!$J143)</f>
        <v/>
      </c>
      <c r="G542" s="82">
        <f>IF(OR(Scale!$U143="",Scale!$U143=0),"",Scale!$M143)</f>
        <v/>
      </c>
      <c r="H542" s="82">
        <f>IF(OR(Scale!$U143="",Scale!$U143=0),"",Scale!$L143)</f>
        <v/>
      </c>
      <c r="I542" s="82">
        <f>IF(OR(Scale!$U143="",Scale!$U143=0),"",Scale!$N143)</f>
        <v/>
      </c>
      <c r="J542" s="82">
        <f>IF(OR(Scale!$U143="",Scale!$U143=0),"",Scale!$O143)</f>
        <v/>
      </c>
      <c r="K542" s="82">
        <f>IF(OR(Scale!$U143="",Scale!$U143=0),"",IF(Scale!$V143="",0,Scale!$V143)+IF(Scale!$W143="",0,Scale!$W143))</f>
        <v/>
      </c>
      <c r="L542" s="82">
        <f>IF(OR(Scale!$U143="",Scale!$U143=0),"",Scale!$V143)</f>
        <v/>
      </c>
      <c r="M542" s="82">
        <f>IF(OR(Scale!$U143="",Scale!$U143=0),"",Scale!$W143)</f>
        <v/>
      </c>
      <c r="N542" s="81">
        <f>IF(OR(Scale!$U143="",Scale!$U143=0),"",Scale!$E143)</f>
        <v/>
      </c>
      <c r="O542" s="81">
        <f>IF(OR(Scale!$U143="",Scale!$U143=0),"",IFERROR(VLOOKUP(Scale!$U143,AcctTbl,3,0),""))</f>
        <v/>
      </c>
      <c r="P542" s="82">
        <f>IF(Scale!$U143&lt;&gt;"X011","","BN02")</f>
        <v/>
      </c>
    </row>
    <row r="543" ht="20.25" customHeight="1">
      <c r="A543" s="80">
        <f>IF(OR(Scale!$X143="",Scale!$X143=0),"",Scale!$B143)</f>
        <v/>
      </c>
      <c r="B543" s="80">
        <f>IF(OR(Scale!$X143="",Scale!$X143=0),"",Scale!$D143)</f>
        <v/>
      </c>
      <c r="C543" s="80">
        <f>IF(OR(Scale!$X143="",Scale!$X143=0),"","باسکول")</f>
        <v/>
      </c>
      <c r="D543" s="80">
        <f>IF(OR(Scale!$X143="",Scale!$X143=0),"",Scale!$X143)</f>
        <v/>
      </c>
      <c r="E543" s="81">
        <f>IF(OR(Scale!$X143="",Scale!$X143=0),"",IF(Scale!$X143="","","مقابل: "&amp;Scale!$E143))</f>
        <v/>
      </c>
      <c r="F543" s="83" t="n"/>
      <c r="G543" s="83" t="n"/>
      <c r="H543" s="83" t="n"/>
      <c r="I543" s="83" t="n"/>
      <c r="J543" s="83" t="n"/>
      <c r="K543" s="82">
        <f>IF(OR(Scale!$X143="",Scale!$X143=0),"",IF(Scale!$Y143="",0,Scale!$Y143)+IF(Scale!$Z143="",0,Scale!$Z143))</f>
        <v/>
      </c>
      <c r="L543" s="82">
        <f>IF(OR(Scale!$X143="",Scale!$X143=0),"",Scale!$Y143)</f>
        <v/>
      </c>
      <c r="M543" s="82">
        <f>IF(OR(Scale!$X143="",Scale!$X143=0),"",Scale!$Z143)</f>
        <v/>
      </c>
      <c r="N543" s="81">
        <f>IF(OR(Scale!$X143="",Scale!$X143=0),"","مقابل")</f>
        <v/>
      </c>
      <c r="O543" s="81">
        <f>IF(OR(Scale!$X143="",Scale!$X143=0),"",IFERROR(VLOOKUP(Scale!$X143,AcctTbl,3,0),""))</f>
        <v/>
      </c>
      <c r="P543" s="82">
        <f>IF(Scale!$X143&lt;&gt;"X011","","BN02")</f>
        <v/>
      </c>
    </row>
    <row r="544" ht="20.25" customHeight="1">
      <c r="A544" s="80">
        <f>IF(OR(Scale!$AA143="",Scale!$AA143=0),"",Scale!$B143)</f>
        <v/>
      </c>
      <c r="B544" s="80">
        <f>IF(OR(Scale!$AA143="",Scale!$AA143=0),"",Scale!$D143)</f>
        <v/>
      </c>
      <c r="C544" s="80">
        <f>IF(OR(Scale!$AA143="",Scale!$AA143=0),"","باسکول")</f>
        <v/>
      </c>
      <c r="D544" s="80">
        <f>IF(OR(Scale!$AA143="",Scale!$AA143=0),"",Scale!$AA143)</f>
        <v/>
      </c>
      <c r="E544" s="81">
        <f>IF(OR(Scale!$AA143="",Scale!$AA143=0),"",IF(Scale!$AA143="","","پوز باسکول — "&amp;Scale!$E143))</f>
        <v/>
      </c>
      <c r="F544" s="83" t="n"/>
      <c r="G544" s="83" t="n"/>
      <c r="H544" s="83" t="n"/>
      <c r="I544" s="83" t="n"/>
      <c r="J544" s="83" t="n"/>
      <c r="K544" s="82">
        <f>IF(OR(Scale!$AA143="",Scale!$AA143=0),"",IF(Scale!$AB143="",0,Scale!$AB143)+IF(Scale!$AC143="",0,Scale!$AC143))</f>
        <v/>
      </c>
      <c r="L544" s="82">
        <f>IF(OR(Scale!$AA143="",Scale!$AA143=0),"",Scale!$AB143)</f>
        <v/>
      </c>
      <c r="M544" s="82">
        <f>IF(OR(Scale!$AA143="",Scale!$AA143=0),"",Scale!$AC143)</f>
        <v/>
      </c>
      <c r="N544" s="81">
        <f>IF(OR(Scale!$AA143="",Scale!$AA143=0),"","پوز")</f>
        <v/>
      </c>
      <c r="O544" s="81">
        <f>IF(OR(Scale!$AA143="",Scale!$AA143=0),"",IFERROR(VLOOKUP(Scale!$AA143,AcctTbl,3,0),""))</f>
        <v/>
      </c>
      <c r="P544" s="82">
        <f>IF(Scale!$AA143&lt;&gt;"X011","","BN02")</f>
        <v/>
      </c>
    </row>
    <row r="545" ht="20.25" customHeight="1">
      <c r="A545" s="80">
        <f>IF(OR(Scale!$AD143="",Scale!$AD143=0),"",Scale!$B143)</f>
        <v/>
      </c>
      <c r="B545" s="80">
        <f>IF(OR(Scale!$AD143="",Scale!$AD143=0),"",Scale!$D143)</f>
        <v/>
      </c>
      <c r="C545" s="80">
        <f>IF(OR(Scale!$AD143="",Scale!$AD143=0),"","باسکول")</f>
        <v/>
      </c>
      <c r="D545" s="80">
        <f>IF(OR(Scale!$AD143="",Scale!$AD143=0),"",Scale!$AD143)</f>
        <v/>
      </c>
      <c r="E545" s="81">
        <f>IF(OR(Scale!$AD143="",Scale!$AD143=0),"",IF(Scale!$AD143="","","مقابل پوز — "&amp;Scale!$E143))</f>
        <v/>
      </c>
      <c r="F545" s="83" t="n"/>
      <c r="G545" s="83" t="n"/>
      <c r="H545" s="83" t="n"/>
      <c r="I545" s="83" t="n"/>
      <c r="J545" s="83" t="n"/>
      <c r="K545" s="82">
        <f>IF(OR(Scale!$AD143="",Scale!$AD143=0),"",IF(Scale!$AE143="",0,Scale!$AE143)+IF(Scale!$AF143="",0,Scale!$AF143))</f>
        <v/>
      </c>
      <c r="L545" s="82">
        <f>IF(OR(Scale!$AD143="",Scale!$AD143=0),"",Scale!$AE143)</f>
        <v/>
      </c>
      <c r="M545" s="82">
        <f>IF(OR(Scale!$AD143="",Scale!$AD143=0),"",Scale!$AF143)</f>
        <v/>
      </c>
      <c r="N545" s="81">
        <f>IF(OR(Scale!$AD143="",Scale!$AD143=0),"","مقابل پوز")</f>
        <v/>
      </c>
      <c r="O545" s="81">
        <f>IF(OR(Scale!$AD143="",Scale!$AD143=0),"",IFERROR(VLOOKUP(Scale!$AD143,AcctTbl,3,0),""))</f>
        <v/>
      </c>
      <c r="P545" s="82">
        <f>IF(Scale!$AD143&lt;&gt;"X011","","BN02")</f>
        <v/>
      </c>
    </row>
    <row r="546" ht="20.25" customHeight="1">
      <c r="A546" s="80">
        <f>IF(OR(Scale!$U144="",Scale!$U144=0),"",Scale!$B144)</f>
        <v/>
      </c>
      <c r="B546" s="80">
        <f>IF(OR(Scale!$U144="",Scale!$U144=0),"",Scale!$D144)</f>
        <v/>
      </c>
      <c r="C546" s="80">
        <f>IF(OR(Scale!$U144="",Scale!$U144=0),"","باسکول")</f>
        <v/>
      </c>
      <c r="D546" s="80">
        <f>IF(OR(Scale!$U144="",Scale!$U144=0),"",Scale!$U144)</f>
        <v/>
      </c>
      <c r="E546" s="81">
        <f>IF(OR(Scale!$U144="",Scale!$U144=0),"",Scale!$T144)</f>
        <v/>
      </c>
      <c r="F546" s="81">
        <f>IF(OR(Scale!$U144="",Scale!$U144=0),"",Scale!$J144)</f>
        <v/>
      </c>
      <c r="G546" s="82">
        <f>IF(OR(Scale!$U144="",Scale!$U144=0),"",Scale!$M144)</f>
        <v/>
      </c>
      <c r="H546" s="82">
        <f>IF(OR(Scale!$U144="",Scale!$U144=0),"",Scale!$L144)</f>
        <v/>
      </c>
      <c r="I546" s="82">
        <f>IF(OR(Scale!$U144="",Scale!$U144=0),"",Scale!$N144)</f>
        <v/>
      </c>
      <c r="J546" s="82">
        <f>IF(OR(Scale!$U144="",Scale!$U144=0),"",Scale!$O144)</f>
        <v/>
      </c>
      <c r="K546" s="82">
        <f>IF(OR(Scale!$U144="",Scale!$U144=0),"",IF(Scale!$V144="",0,Scale!$V144)+IF(Scale!$W144="",0,Scale!$W144))</f>
        <v/>
      </c>
      <c r="L546" s="82">
        <f>IF(OR(Scale!$U144="",Scale!$U144=0),"",Scale!$V144)</f>
        <v/>
      </c>
      <c r="M546" s="82">
        <f>IF(OR(Scale!$U144="",Scale!$U144=0),"",Scale!$W144)</f>
        <v/>
      </c>
      <c r="N546" s="81">
        <f>IF(OR(Scale!$U144="",Scale!$U144=0),"",Scale!$E144)</f>
        <v/>
      </c>
      <c r="O546" s="81">
        <f>IF(OR(Scale!$U144="",Scale!$U144=0),"",IFERROR(VLOOKUP(Scale!$U144,AcctTbl,3,0),""))</f>
        <v/>
      </c>
      <c r="P546" s="82">
        <f>IF(Scale!$U144&lt;&gt;"X011","","BN02")</f>
        <v/>
      </c>
    </row>
    <row r="547" ht="20.25" customHeight="1">
      <c r="A547" s="80">
        <f>IF(OR(Scale!$X144="",Scale!$X144=0),"",Scale!$B144)</f>
        <v/>
      </c>
      <c r="B547" s="80">
        <f>IF(OR(Scale!$X144="",Scale!$X144=0),"",Scale!$D144)</f>
        <v/>
      </c>
      <c r="C547" s="80">
        <f>IF(OR(Scale!$X144="",Scale!$X144=0),"","باسکول")</f>
        <v/>
      </c>
      <c r="D547" s="80">
        <f>IF(OR(Scale!$X144="",Scale!$X144=0),"",Scale!$X144)</f>
        <v/>
      </c>
      <c r="E547" s="81">
        <f>IF(OR(Scale!$X144="",Scale!$X144=0),"",IF(Scale!$X144="","","مقابل: "&amp;Scale!$E144))</f>
        <v/>
      </c>
      <c r="F547" s="83" t="n"/>
      <c r="G547" s="83" t="n"/>
      <c r="H547" s="83" t="n"/>
      <c r="I547" s="83" t="n"/>
      <c r="J547" s="83" t="n"/>
      <c r="K547" s="82">
        <f>IF(OR(Scale!$X144="",Scale!$X144=0),"",IF(Scale!$Y144="",0,Scale!$Y144)+IF(Scale!$Z144="",0,Scale!$Z144))</f>
        <v/>
      </c>
      <c r="L547" s="82">
        <f>IF(OR(Scale!$X144="",Scale!$X144=0),"",Scale!$Y144)</f>
        <v/>
      </c>
      <c r="M547" s="82">
        <f>IF(OR(Scale!$X144="",Scale!$X144=0),"",Scale!$Z144)</f>
        <v/>
      </c>
      <c r="N547" s="81">
        <f>IF(OR(Scale!$X144="",Scale!$X144=0),"","مقابل")</f>
        <v/>
      </c>
      <c r="O547" s="81">
        <f>IF(OR(Scale!$X144="",Scale!$X144=0),"",IFERROR(VLOOKUP(Scale!$X144,AcctTbl,3,0),""))</f>
        <v/>
      </c>
      <c r="P547" s="82">
        <f>IF(Scale!$X144&lt;&gt;"X011","","BN02")</f>
        <v/>
      </c>
    </row>
    <row r="548" ht="20.25" customHeight="1">
      <c r="A548" s="80">
        <f>IF(OR(Scale!$AA144="",Scale!$AA144=0),"",Scale!$B144)</f>
        <v/>
      </c>
      <c r="B548" s="80">
        <f>IF(OR(Scale!$AA144="",Scale!$AA144=0),"",Scale!$D144)</f>
        <v/>
      </c>
      <c r="C548" s="80">
        <f>IF(OR(Scale!$AA144="",Scale!$AA144=0),"","باسکول")</f>
        <v/>
      </c>
      <c r="D548" s="80">
        <f>IF(OR(Scale!$AA144="",Scale!$AA144=0),"",Scale!$AA144)</f>
        <v/>
      </c>
      <c r="E548" s="81">
        <f>IF(OR(Scale!$AA144="",Scale!$AA144=0),"",IF(Scale!$AA144="","","پوز باسکول — "&amp;Scale!$E144))</f>
        <v/>
      </c>
      <c r="F548" s="83" t="n"/>
      <c r="G548" s="83" t="n"/>
      <c r="H548" s="83" t="n"/>
      <c r="I548" s="83" t="n"/>
      <c r="J548" s="83" t="n"/>
      <c r="K548" s="82">
        <f>IF(OR(Scale!$AA144="",Scale!$AA144=0),"",IF(Scale!$AB144="",0,Scale!$AB144)+IF(Scale!$AC144="",0,Scale!$AC144))</f>
        <v/>
      </c>
      <c r="L548" s="82">
        <f>IF(OR(Scale!$AA144="",Scale!$AA144=0),"",Scale!$AB144)</f>
        <v/>
      </c>
      <c r="M548" s="82">
        <f>IF(OR(Scale!$AA144="",Scale!$AA144=0),"",Scale!$AC144)</f>
        <v/>
      </c>
      <c r="N548" s="81">
        <f>IF(OR(Scale!$AA144="",Scale!$AA144=0),"","پوز")</f>
        <v/>
      </c>
      <c r="O548" s="81">
        <f>IF(OR(Scale!$AA144="",Scale!$AA144=0),"",IFERROR(VLOOKUP(Scale!$AA144,AcctTbl,3,0),""))</f>
        <v/>
      </c>
      <c r="P548" s="82">
        <f>IF(Scale!$AA144&lt;&gt;"X011","","BN02")</f>
        <v/>
      </c>
    </row>
    <row r="549" ht="20.25" customHeight="1">
      <c r="A549" s="80">
        <f>IF(OR(Scale!$AD144="",Scale!$AD144=0),"",Scale!$B144)</f>
        <v/>
      </c>
      <c r="B549" s="80">
        <f>IF(OR(Scale!$AD144="",Scale!$AD144=0),"",Scale!$D144)</f>
        <v/>
      </c>
      <c r="C549" s="80">
        <f>IF(OR(Scale!$AD144="",Scale!$AD144=0),"","باسکول")</f>
        <v/>
      </c>
      <c r="D549" s="80">
        <f>IF(OR(Scale!$AD144="",Scale!$AD144=0),"",Scale!$AD144)</f>
        <v/>
      </c>
      <c r="E549" s="81">
        <f>IF(OR(Scale!$AD144="",Scale!$AD144=0),"",IF(Scale!$AD144="","","مقابل پوز — "&amp;Scale!$E144))</f>
        <v/>
      </c>
      <c r="F549" s="83" t="n"/>
      <c r="G549" s="83" t="n"/>
      <c r="H549" s="83" t="n"/>
      <c r="I549" s="83" t="n"/>
      <c r="J549" s="83" t="n"/>
      <c r="K549" s="82">
        <f>IF(OR(Scale!$AD144="",Scale!$AD144=0),"",IF(Scale!$AE144="",0,Scale!$AE144)+IF(Scale!$AF144="",0,Scale!$AF144))</f>
        <v/>
      </c>
      <c r="L549" s="82">
        <f>IF(OR(Scale!$AD144="",Scale!$AD144=0),"",Scale!$AE144)</f>
        <v/>
      </c>
      <c r="M549" s="82">
        <f>IF(OR(Scale!$AD144="",Scale!$AD144=0),"",Scale!$AF144)</f>
        <v/>
      </c>
      <c r="N549" s="81">
        <f>IF(OR(Scale!$AD144="",Scale!$AD144=0),"","مقابل پوز")</f>
        <v/>
      </c>
      <c r="O549" s="81">
        <f>IF(OR(Scale!$AD144="",Scale!$AD144=0),"",IFERROR(VLOOKUP(Scale!$AD144,AcctTbl,3,0),""))</f>
        <v/>
      </c>
      <c r="P549" s="82">
        <f>IF(Scale!$AD144&lt;&gt;"X011","","BN02")</f>
        <v/>
      </c>
    </row>
    <row r="550" ht="20.25" customHeight="1">
      <c r="A550" s="80">
        <f>IF(OR(Scale!$U145="",Scale!$U145=0),"",Scale!$B145)</f>
        <v/>
      </c>
      <c r="B550" s="80">
        <f>IF(OR(Scale!$U145="",Scale!$U145=0),"",Scale!$D145)</f>
        <v/>
      </c>
      <c r="C550" s="80">
        <f>IF(OR(Scale!$U145="",Scale!$U145=0),"","باسکول")</f>
        <v/>
      </c>
      <c r="D550" s="80">
        <f>IF(OR(Scale!$U145="",Scale!$U145=0),"",Scale!$U145)</f>
        <v/>
      </c>
      <c r="E550" s="81">
        <f>IF(OR(Scale!$U145="",Scale!$U145=0),"",Scale!$T145)</f>
        <v/>
      </c>
      <c r="F550" s="81">
        <f>IF(OR(Scale!$U145="",Scale!$U145=0),"",Scale!$J145)</f>
        <v/>
      </c>
      <c r="G550" s="82">
        <f>IF(OR(Scale!$U145="",Scale!$U145=0),"",Scale!$M145)</f>
        <v/>
      </c>
      <c r="H550" s="82">
        <f>IF(OR(Scale!$U145="",Scale!$U145=0),"",Scale!$L145)</f>
        <v/>
      </c>
      <c r="I550" s="82">
        <f>IF(OR(Scale!$U145="",Scale!$U145=0),"",Scale!$N145)</f>
        <v/>
      </c>
      <c r="J550" s="82">
        <f>IF(OR(Scale!$U145="",Scale!$U145=0),"",Scale!$O145)</f>
        <v/>
      </c>
      <c r="K550" s="82">
        <f>IF(OR(Scale!$U145="",Scale!$U145=0),"",IF(Scale!$V145="",0,Scale!$V145)+IF(Scale!$W145="",0,Scale!$W145))</f>
        <v/>
      </c>
      <c r="L550" s="82">
        <f>IF(OR(Scale!$U145="",Scale!$U145=0),"",Scale!$V145)</f>
        <v/>
      </c>
      <c r="M550" s="82">
        <f>IF(OR(Scale!$U145="",Scale!$U145=0),"",Scale!$W145)</f>
        <v/>
      </c>
      <c r="N550" s="81">
        <f>IF(OR(Scale!$U145="",Scale!$U145=0),"",Scale!$E145)</f>
        <v/>
      </c>
      <c r="O550" s="81">
        <f>IF(OR(Scale!$U145="",Scale!$U145=0),"",IFERROR(VLOOKUP(Scale!$U145,AcctTbl,3,0),""))</f>
        <v/>
      </c>
      <c r="P550" s="82">
        <f>IF(Scale!$U145&lt;&gt;"X011","","BN02")</f>
        <v/>
      </c>
    </row>
    <row r="551" ht="20.25" customHeight="1">
      <c r="A551" s="80">
        <f>IF(OR(Scale!$X145="",Scale!$X145=0),"",Scale!$B145)</f>
        <v/>
      </c>
      <c r="B551" s="80">
        <f>IF(OR(Scale!$X145="",Scale!$X145=0),"",Scale!$D145)</f>
        <v/>
      </c>
      <c r="C551" s="80">
        <f>IF(OR(Scale!$X145="",Scale!$X145=0),"","باسکول")</f>
        <v/>
      </c>
      <c r="D551" s="80">
        <f>IF(OR(Scale!$X145="",Scale!$X145=0),"",Scale!$X145)</f>
        <v/>
      </c>
      <c r="E551" s="81">
        <f>IF(OR(Scale!$X145="",Scale!$X145=0),"",IF(Scale!$X145="","","مقابل: "&amp;Scale!$E145))</f>
        <v/>
      </c>
      <c r="F551" s="83" t="n"/>
      <c r="G551" s="83" t="n"/>
      <c r="H551" s="83" t="n"/>
      <c r="I551" s="83" t="n"/>
      <c r="J551" s="83" t="n"/>
      <c r="K551" s="82">
        <f>IF(OR(Scale!$X145="",Scale!$X145=0),"",IF(Scale!$Y145="",0,Scale!$Y145)+IF(Scale!$Z145="",0,Scale!$Z145))</f>
        <v/>
      </c>
      <c r="L551" s="82">
        <f>IF(OR(Scale!$X145="",Scale!$X145=0),"",Scale!$Y145)</f>
        <v/>
      </c>
      <c r="M551" s="82">
        <f>IF(OR(Scale!$X145="",Scale!$X145=0),"",Scale!$Z145)</f>
        <v/>
      </c>
      <c r="N551" s="81">
        <f>IF(OR(Scale!$X145="",Scale!$X145=0),"","مقابل")</f>
        <v/>
      </c>
      <c r="O551" s="81">
        <f>IF(OR(Scale!$X145="",Scale!$X145=0),"",IFERROR(VLOOKUP(Scale!$X145,AcctTbl,3,0),""))</f>
        <v/>
      </c>
      <c r="P551" s="82">
        <f>IF(Scale!$X145&lt;&gt;"X011","","BN02")</f>
        <v/>
      </c>
    </row>
    <row r="552" ht="20.25" customHeight="1">
      <c r="A552" s="80">
        <f>IF(OR(Scale!$AA145="",Scale!$AA145=0),"",Scale!$B145)</f>
        <v/>
      </c>
      <c r="B552" s="80">
        <f>IF(OR(Scale!$AA145="",Scale!$AA145=0),"",Scale!$D145)</f>
        <v/>
      </c>
      <c r="C552" s="80">
        <f>IF(OR(Scale!$AA145="",Scale!$AA145=0),"","باسکول")</f>
        <v/>
      </c>
      <c r="D552" s="80">
        <f>IF(OR(Scale!$AA145="",Scale!$AA145=0),"",Scale!$AA145)</f>
        <v/>
      </c>
      <c r="E552" s="81">
        <f>IF(OR(Scale!$AA145="",Scale!$AA145=0),"",IF(Scale!$AA145="","","پوز باسکول — "&amp;Scale!$E145))</f>
        <v/>
      </c>
      <c r="F552" s="83" t="n"/>
      <c r="G552" s="83" t="n"/>
      <c r="H552" s="83" t="n"/>
      <c r="I552" s="83" t="n"/>
      <c r="J552" s="83" t="n"/>
      <c r="K552" s="82">
        <f>IF(OR(Scale!$AA145="",Scale!$AA145=0),"",IF(Scale!$AB145="",0,Scale!$AB145)+IF(Scale!$AC145="",0,Scale!$AC145))</f>
        <v/>
      </c>
      <c r="L552" s="82">
        <f>IF(OR(Scale!$AA145="",Scale!$AA145=0),"",Scale!$AB145)</f>
        <v/>
      </c>
      <c r="M552" s="82">
        <f>IF(OR(Scale!$AA145="",Scale!$AA145=0),"",Scale!$AC145)</f>
        <v/>
      </c>
      <c r="N552" s="81">
        <f>IF(OR(Scale!$AA145="",Scale!$AA145=0),"","پوز")</f>
        <v/>
      </c>
      <c r="O552" s="81">
        <f>IF(OR(Scale!$AA145="",Scale!$AA145=0),"",IFERROR(VLOOKUP(Scale!$AA145,AcctTbl,3,0),""))</f>
        <v/>
      </c>
      <c r="P552" s="82">
        <f>IF(Scale!$AA145&lt;&gt;"X011","","BN02")</f>
        <v/>
      </c>
    </row>
    <row r="553" ht="20.25" customHeight="1">
      <c r="A553" s="80">
        <f>IF(OR(Scale!$AD145="",Scale!$AD145=0),"",Scale!$B145)</f>
        <v/>
      </c>
      <c r="B553" s="80">
        <f>IF(OR(Scale!$AD145="",Scale!$AD145=0),"",Scale!$D145)</f>
        <v/>
      </c>
      <c r="C553" s="80">
        <f>IF(OR(Scale!$AD145="",Scale!$AD145=0),"","باسکول")</f>
        <v/>
      </c>
      <c r="D553" s="80">
        <f>IF(OR(Scale!$AD145="",Scale!$AD145=0),"",Scale!$AD145)</f>
        <v/>
      </c>
      <c r="E553" s="81">
        <f>IF(OR(Scale!$AD145="",Scale!$AD145=0),"",IF(Scale!$AD145="","","مقابل پوز — "&amp;Scale!$E145))</f>
        <v/>
      </c>
      <c r="F553" s="83" t="n"/>
      <c r="G553" s="83" t="n"/>
      <c r="H553" s="83" t="n"/>
      <c r="I553" s="83" t="n"/>
      <c r="J553" s="83" t="n"/>
      <c r="K553" s="82">
        <f>IF(OR(Scale!$AD145="",Scale!$AD145=0),"",IF(Scale!$AE145="",0,Scale!$AE145)+IF(Scale!$AF145="",0,Scale!$AF145))</f>
        <v/>
      </c>
      <c r="L553" s="82">
        <f>IF(OR(Scale!$AD145="",Scale!$AD145=0),"",Scale!$AE145)</f>
        <v/>
      </c>
      <c r="M553" s="82">
        <f>IF(OR(Scale!$AD145="",Scale!$AD145=0),"",Scale!$AF145)</f>
        <v/>
      </c>
      <c r="N553" s="81">
        <f>IF(OR(Scale!$AD145="",Scale!$AD145=0),"","مقابل پوز")</f>
        <v/>
      </c>
      <c r="O553" s="81">
        <f>IF(OR(Scale!$AD145="",Scale!$AD145=0),"",IFERROR(VLOOKUP(Scale!$AD145,AcctTbl,3,0),""))</f>
        <v/>
      </c>
      <c r="P553" s="82">
        <f>IF(Scale!$AD145&lt;&gt;"X011","","BN02")</f>
        <v/>
      </c>
    </row>
    <row r="554" ht="20.25" customHeight="1">
      <c r="A554" s="80">
        <f>IF(OR(Scale!$U146="",Scale!$U146=0),"",Scale!$B146)</f>
        <v/>
      </c>
      <c r="B554" s="80">
        <f>IF(OR(Scale!$U146="",Scale!$U146=0),"",Scale!$D146)</f>
        <v/>
      </c>
      <c r="C554" s="80">
        <f>IF(OR(Scale!$U146="",Scale!$U146=0),"","باسکول")</f>
        <v/>
      </c>
      <c r="D554" s="80">
        <f>IF(OR(Scale!$U146="",Scale!$U146=0),"",Scale!$U146)</f>
        <v/>
      </c>
      <c r="E554" s="81">
        <f>IF(OR(Scale!$U146="",Scale!$U146=0),"",Scale!$T146)</f>
        <v/>
      </c>
      <c r="F554" s="81">
        <f>IF(OR(Scale!$U146="",Scale!$U146=0),"",Scale!$J146)</f>
        <v/>
      </c>
      <c r="G554" s="82">
        <f>IF(OR(Scale!$U146="",Scale!$U146=0),"",Scale!$M146)</f>
        <v/>
      </c>
      <c r="H554" s="82">
        <f>IF(OR(Scale!$U146="",Scale!$U146=0),"",Scale!$L146)</f>
        <v/>
      </c>
      <c r="I554" s="82">
        <f>IF(OR(Scale!$U146="",Scale!$U146=0),"",Scale!$N146)</f>
        <v/>
      </c>
      <c r="J554" s="82">
        <f>IF(OR(Scale!$U146="",Scale!$U146=0),"",Scale!$O146)</f>
        <v/>
      </c>
      <c r="K554" s="82">
        <f>IF(OR(Scale!$U146="",Scale!$U146=0),"",IF(Scale!$V146="",0,Scale!$V146)+IF(Scale!$W146="",0,Scale!$W146))</f>
        <v/>
      </c>
      <c r="L554" s="82">
        <f>IF(OR(Scale!$U146="",Scale!$U146=0),"",Scale!$V146)</f>
        <v/>
      </c>
      <c r="M554" s="82">
        <f>IF(OR(Scale!$U146="",Scale!$U146=0),"",Scale!$W146)</f>
        <v/>
      </c>
      <c r="N554" s="81">
        <f>IF(OR(Scale!$U146="",Scale!$U146=0),"",Scale!$E146)</f>
        <v/>
      </c>
      <c r="O554" s="81">
        <f>IF(OR(Scale!$U146="",Scale!$U146=0),"",IFERROR(VLOOKUP(Scale!$U146,AcctTbl,3,0),""))</f>
        <v/>
      </c>
      <c r="P554" s="82">
        <f>IF(Scale!$U146&lt;&gt;"X011","","BN02")</f>
        <v/>
      </c>
    </row>
    <row r="555" ht="20.25" customHeight="1">
      <c r="A555" s="80">
        <f>IF(OR(Scale!$X146="",Scale!$X146=0),"",Scale!$B146)</f>
        <v/>
      </c>
      <c r="B555" s="80">
        <f>IF(OR(Scale!$X146="",Scale!$X146=0),"",Scale!$D146)</f>
        <v/>
      </c>
      <c r="C555" s="80">
        <f>IF(OR(Scale!$X146="",Scale!$X146=0),"","باسکول")</f>
        <v/>
      </c>
      <c r="D555" s="80">
        <f>IF(OR(Scale!$X146="",Scale!$X146=0),"",Scale!$X146)</f>
        <v/>
      </c>
      <c r="E555" s="81">
        <f>IF(OR(Scale!$X146="",Scale!$X146=0),"",IF(Scale!$X146="","","مقابل: "&amp;Scale!$E146))</f>
        <v/>
      </c>
      <c r="F555" s="83" t="n"/>
      <c r="G555" s="83" t="n"/>
      <c r="H555" s="83" t="n"/>
      <c r="I555" s="83" t="n"/>
      <c r="J555" s="83" t="n"/>
      <c r="K555" s="82">
        <f>IF(OR(Scale!$X146="",Scale!$X146=0),"",IF(Scale!$Y146="",0,Scale!$Y146)+IF(Scale!$Z146="",0,Scale!$Z146))</f>
        <v/>
      </c>
      <c r="L555" s="82">
        <f>IF(OR(Scale!$X146="",Scale!$X146=0),"",Scale!$Y146)</f>
        <v/>
      </c>
      <c r="M555" s="82">
        <f>IF(OR(Scale!$X146="",Scale!$X146=0),"",Scale!$Z146)</f>
        <v/>
      </c>
      <c r="N555" s="81">
        <f>IF(OR(Scale!$X146="",Scale!$X146=0),"","مقابل")</f>
        <v/>
      </c>
      <c r="O555" s="81">
        <f>IF(OR(Scale!$X146="",Scale!$X146=0),"",IFERROR(VLOOKUP(Scale!$X146,AcctTbl,3,0),""))</f>
        <v/>
      </c>
      <c r="P555" s="82">
        <f>IF(Scale!$X146&lt;&gt;"X011","","BN02")</f>
        <v/>
      </c>
    </row>
    <row r="556" ht="20.25" customHeight="1">
      <c r="A556" s="80">
        <f>IF(OR(Scale!$AA146="",Scale!$AA146=0),"",Scale!$B146)</f>
        <v/>
      </c>
      <c r="B556" s="80">
        <f>IF(OR(Scale!$AA146="",Scale!$AA146=0),"",Scale!$D146)</f>
        <v/>
      </c>
      <c r="C556" s="80">
        <f>IF(OR(Scale!$AA146="",Scale!$AA146=0),"","باسکول")</f>
        <v/>
      </c>
      <c r="D556" s="80">
        <f>IF(OR(Scale!$AA146="",Scale!$AA146=0),"",Scale!$AA146)</f>
        <v/>
      </c>
      <c r="E556" s="81">
        <f>IF(OR(Scale!$AA146="",Scale!$AA146=0),"",IF(Scale!$AA146="","","پوز باسکول — "&amp;Scale!$E146))</f>
        <v/>
      </c>
      <c r="F556" s="83" t="n"/>
      <c r="G556" s="83" t="n"/>
      <c r="H556" s="83" t="n"/>
      <c r="I556" s="83" t="n"/>
      <c r="J556" s="83" t="n"/>
      <c r="K556" s="82">
        <f>IF(OR(Scale!$AA146="",Scale!$AA146=0),"",IF(Scale!$AB146="",0,Scale!$AB146)+IF(Scale!$AC146="",0,Scale!$AC146))</f>
        <v/>
      </c>
      <c r="L556" s="82">
        <f>IF(OR(Scale!$AA146="",Scale!$AA146=0),"",Scale!$AB146)</f>
        <v/>
      </c>
      <c r="M556" s="82">
        <f>IF(OR(Scale!$AA146="",Scale!$AA146=0),"",Scale!$AC146)</f>
        <v/>
      </c>
      <c r="N556" s="81">
        <f>IF(OR(Scale!$AA146="",Scale!$AA146=0),"","پوز")</f>
        <v/>
      </c>
      <c r="O556" s="81">
        <f>IF(OR(Scale!$AA146="",Scale!$AA146=0),"",IFERROR(VLOOKUP(Scale!$AA146,AcctTbl,3,0),""))</f>
        <v/>
      </c>
      <c r="P556" s="82">
        <f>IF(Scale!$AA146&lt;&gt;"X011","","BN02")</f>
        <v/>
      </c>
    </row>
    <row r="557" ht="20.25" customHeight="1">
      <c r="A557" s="80">
        <f>IF(OR(Scale!$AD146="",Scale!$AD146=0),"",Scale!$B146)</f>
        <v/>
      </c>
      <c r="B557" s="80">
        <f>IF(OR(Scale!$AD146="",Scale!$AD146=0),"",Scale!$D146)</f>
        <v/>
      </c>
      <c r="C557" s="80">
        <f>IF(OR(Scale!$AD146="",Scale!$AD146=0),"","باسکول")</f>
        <v/>
      </c>
      <c r="D557" s="80">
        <f>IF(OR(Scale!$AD146="",Scale!$AD146=0),"",Scale!$AD146)</f>
        <v/>
      </c>
      <c r="E557" s="81">
        <f>IF(OR(Scale!$AD146="",Scale!$AD146=0),"",IF(Scale!$AD146="","","مقابل پوز — "&amp;Scale!$E146))</f>
        <v/>
      </c>
      <c r="F557" s="83" t="n"/>
      <c r="G557" s="83" t="n"/>
      <c r="H557" s="83" t="n"/>
      <c r="I557" s="83" t="n"/>
      <c r="J557" s="83" t="n"/>
      <c r="K557" s="82">
        <f>IF(OR(Scale!$AD146="",Scale!$AD146=0),"",IF(Scale!$AE146="",0,Scale!$AE146)+IF(Scale!$AF146="",0,Scale!$AF146))</f>
        <v/>
      </c>
      <c r="L557" s="82">
        <f>IF(OR(Scale!$AD146="",Scale!$AD146=0),"",Scale!$AE146)</f>
        <v/>
      </c>
      <c r="M557" s="82">
        <f>IF(OR(Scale!$AD146="",Scale!$AD146=0),"",Scale!$AF146)</f>
        <v/>
      </c>
      <c r="N557" s="81">
        <f>IF(OR(Scale!$AD146="",Scale!$AD146=0),"","مقابل پوز")</f>
        <v/>
      </c>
      <c r="O557" s="81">
        <f>IF(OR(Scale!$AD146="",Scale!$AD146=0),"",IFERROR(VLOOKUP(Scale!$AD146,AcctTbl,3,0),""))</f>
        <v/>
      </c>
      <c r="P557" s="82">
        <f>IF(Scale!$AD146&lt;&gt;"X011","","BN02")</f>
        <v/>
      </c>
    </row>
    <row r="558" ht="20.25" customHeight="1">
      <c r="A558" s="80">
        <f>IF(OR(Scale!$U147="",Scale!$U147=0),"",Scale!$B147)</f>
        <v/>
      </c>
      <c r="B558" s="80">
        <f>IF(OR(Scale!$U147="",Scale!$U147=0),"",Scale!$D147)</f>
        <v/>
      </c>
      <c r="C558" s="80">
        <f>IF(OR(Scale!$U147="",Scale!$U147=0),"","باسکول")</f>
        <v/>
      </c>
      <c r="D558" s="80">
        <f>IF(OR(Scale!$U147="",Scale!$U147=0),"",Scale!$U147)</f>
        <v/>
      </c>
      <c r="E558" s="81">
        <f>IF(OR(Scale!$U147="",Scale!$U147=0),"",Scale!$T147)</f>
        <v/>
      </c>
      <c r="F558" s="81">
        <f>IF(OR(Scale!$U147="",Scale!$U147=0),"",Scale!$J147)</f>
        <v/>
      </c>
      <c r="G558" s="82">
        <f>IF(OR(Scale!$U147="",Scale!$U147=0),"",Scale!$M147)</f>
        <v/>
      </c>
      <c r="H558" s="82">
        <f>IF(OR(Scale!$U147="",Scale!$U147=0),"",Scale!$L147)</f>
        <v/>
      </c>
      <c r="I558" s="82">
        <f>IF(OR(Scale!$U147="",Scale!$U147=0),"",Scale!$N147)</f>
        <v/>
      </c>
      <c r="J558" s="82">
        <f>IF(OR(Scale!$U147="",Scale!$U147=0),"",Scale!$O147)</f>
        <v/>
      </c>
      <c r="K558" s="82">
        <f>IF(OR(Scale!$U147="",Scale!$U147=0),"",IF(Scale!$V147="",0,Scale!$V147)+IF(Scale!$W147="",0,Scale!$W147))</f>
        <v/>
      </c>
      <c r="L558" s="82">
        <f>IF(OR(Scale!$U147="",Scale!$U147=0),"",Scale!$V147)</f>
        <v/>
      </c>
      <c r="M558" s="82">
        <f>IF(OR(Scale!$U147="",Scale!$U147=0),"",Scale!$W147)</f>
        <v/>
      </c>
      <c r="N558" s="81">
        <f>IF(OR(Scale!$U147="",Scale!$U147=0),"",Scale!$E147)</f>
        <v/>
      </c>
      <c r="O558" s="81">
        <f>IF(OR(Scale!$U147="",Scale!$U147=0),"",IFERROR(VLOOKUP(Scale!$U147,AcctTbl,3,0),""))</f>
        <v/>
      </c>
      <c r="P558" s="82">
        <f>IF(Scale!$U147&lt;&gt;"X011","","BN02")</f>
        <v/>
      </c>
    </row>
    <row r="559" ht="20.25" customHeight="1">
      <c r="A559" s="80">
        <f>IF(OR(Scale!$X147="",Scale!$X147=0),"",Scale!$B147)</f>
        <v/>
      </c>
      <c r="B559" s="80">
        <f>IF(OR(Scale!$X147="",Scale!$X147=0),"",Scale!$D147)</f>
        <v/>
      </c>
      <c r="C559" s="80">
        <f>IF(OR(Scale!$X147="",Scale!$X147=0),"","باسکول")</f>
        <v/>
      </c>
      <c r="D559" s="80">
        <f>IF(OR(Scale!$X147="",Scale!$X147=0),"",Scale!$X147)</f>
        <v/>
      </c>
      <c r="E559" s="81">
        <f>IF(OR(Scale!$X147="",Scale!$X147=0),"",IF(Scale!$X147="","","مقابل: "&amp;Scale!$E147))</f>
        <v/>
      </c>
      <c r="F559" s="83" t="n"/>
      <c r="G559" s="83" t="n"/>
      <c r="H559" s="83" t="n"/>
      <c r="I559" s="83" t="n"/>
      <c r="J559" s="83" t="n"/>
      <c r="K559" s="82">
        <f>IF(OR(Scale!$X147="",Scale!$X147=0),"",IF(Scale!$Y147="",0,Scale!$Y147)+IF(Scale!$Z147="",0,Scale!$Z147))</f>
        <v/>
      </c>
      <c r="L559" s="82">
        <f>IF(OR(Scale!$X147="",Scale!$X147=0),"",Scale!$Y147)</f>
        <v/>
      </c>
      <c r="M559" s="82">
        <f>IF(OR(Scale!$X147="",Scale!$X147=0),"",Scale!$Z147)</f>
        <v/>
      </c>
      <c r="N559" s="81">
        <f>IF(OR(Scale!$X147="",Scale!$X147=0),"","مقابل")</f>
        <v/>
      </c>
      <c r="O559" s="81">
        <f>IF(OR(Scale!$X147="",Scale!$X147=0),"",IFERROR(VLOOKUP(Scale!$X147,AcctTbl,3,0),""))</f>
        <v/>
      </c>
      <c r="P559" s="82">
        <f>IF(Scale!$X147&lt;&gt;"X011","","BN02")</f>
        <v/>
      </c>
    </row>
    <row r="560" ht="20.25" customHeight="1">
      <c r="A560" s="80">
        <f>IF(OR(Scale!$AA147="",Scale!$AA147=0),"",Scale!$B147)</f>
        <v/>
      </c>
      <c r="B560" s="80">
        <f>IF(OR(Scale!$AA147="",Scale!$AA147=0),"",Scale!$D147)</f>
        <v/>
      </c>
      <c r="C560" s="80">
        <f>IF(OR(Scale!$AA147="",Scale!$AA147=0),"","باسکول")</f>
        <v/>
      </c>
      <c r="D560" s="80">
        <f>IF(OR(Scale!$AA147="",Scale!$AA147=0),"",Scale!$AA147)</f>
        <v/>
      </c>
      <c r="E560" s="81">
        <f>IF(OR(Scale!$AA147="",Scale!$AA147=0),"",IF(Scale!$AA147="","","پوز باسکول — "&amp;Scale!$E147))</f>
        <v/>
      </c>
      <c r="F560" s="83" t="n"/>
      <c r="G560" s="83" t="n"/>
      <c r="H560" s="83" t="n"/>
      <c r="I560" s="83" t="n"/>
      <c r="J560" s="83" t="n"/>
      <c r="K560" s="82">
        <f>IF(OR(Scale!$AA147="",Scale!$AA147=0),"",IF(Scale!$AB147="",0,Scale!$AB147)+IF(Scale!$AC147="",0,Scale!$AC147))</f>
        <v/>
      </c>
      <c r="L560" s="82">
        <f>IF(OR(Scale!$AA147="",Scale!$AA147=0),"",Scale!$AB147)</f>
        <v/>
      </c>
      <c r="M560" s="82">
        <f>IF(OR(Scale!$AA147="",Scale!$AA147=0),"",Scale!$AC147)</f>
        <v/>
      </c>
      <c r="N560" s="81">
        <f>IF(OR(Scale!$AA147="",Scale!$AA147=0),"","پوز")</f>
        <v/>
      </c>
      <c r="O560" s="81">
        <f>IF(OR(Scale!$AA147="",Scale!$AA147=0),"",IFERROR(VLOOKUP(Scale!$AA147,AcctTbl,3,0),""))</f>
        <v/>
      </c>
      <c r="P560" s="82">
        <f>IF(Scale!$AA147&lt;&gt;"X011","","BN02")</f>
        <v/>
      </c>
    </row>
    <row r="561" ht="20.25" customHeight="1">
      <c r="A561" s="80">
        <f>IF(OR(Scale!$AD147="",Scale!$AD147=0),"",Scale!$B147)</f>
        <v/>
      </c>
      <c r="B561" s="80">
        <f>IF(OR(Scale!$AD147="",Scale!$AD147=0),"",Scale!$D147)</f>
        <v/>
      </c>
      <c r="C561" s="80">
        <f>IF(OR(Scale!$AD147="",Scale!$AD147=0),"","باسکول")</f>
        <v/>
      </c>
      <c r="D561" s="80">
        <f>IF(OR(Scale!$AD147="",Scale!$AD147=0),"",Scale!$AD147)</f>
        <v/>
      </c>
      <c r="E561" s="81">
        <f>IF(OR(Scale!$AD147="",Scale!$AD147=0),"",IF(Scale!$AD147="","","مقابل پوز — "&amp;Scale!$E147))</f>
        <v/>
      </c>
      <c r="F561" s="83" t="n"/>
      <c r="G561" s="83" t="n"/>
      <c r="H561" s="83" t="n"/>
      <c r="I561" s="83" t="n"/>
      <c r="J561" s="83" t="n"/>
      <c r="K561" s="82">
        <f>IF(OR(Scale!$AD147="",Scale!$AD147=0),"",IF(Scale!$AE147="",0,Scale!$AE147)+IF(Scale!$AF147="",0,Scale!$AF147))</f>
        <v/>
      </c>
      <c r="L561" s="82">
        <f>IF(OR(Scale!$AD147="",Scale!$AD147=0),"",Scale!$AE147)</f>
        <v/>
      </c>
      <c r="M561" s="82">
        <f>IF(OR(Scale!$AD147="",Scale!$AD147=0),"",Scale!$AF147)</f>
        <v/>
      </c>
      <c r="N561" s="81">
        <f>IF(OR(Scale!$AD147="",Scale!$AD147=0),"","مقابل پوز")</f>
        <v/>
      </c>
      <c r="O561" s="81">
        <f>IF(OR(Scale!$AD147="",Scale!$AD147=0),"",IFERROR(VLOOKUP(Scale!$AD147,AcctTbl,3,0),""))</f>
        <v/>
      </c>
      <c r="P561" s="82">
        <f>IF(Scale!$AD147&lt;&gt;"X011","","BN02")</f>
        <v/>
      </c>
    </row>
    <row r="562" ht="20.25" customHeight="1">
      <c r="A562" s="80">
        <f>IF(OR(Scale!$U148="",Scale!$U148=0),"",Scale!$B148)</f>
        <v/>
      </c>
      <c r="B562" s="80">
        <f>IF(OR(Scale!$U148="",Scale!$U148=0),"",Scale!$D148)</f>
        <v/>
      </c>
      <c r="C562" s="80">
        <f>IF(OR(Scale!$U148="",Scale!$U148=0),"","باسکول")</f>
        <v/>
      </c>
      <c r="D562" s="80">
        <f>IF(OR(Scale!$U148="",Scale!$U148=0),"",Scale!$U148)</f>
        <v/>
      </c>
      <c r="E562" s="81">
        <f>IF(OR(Scale!$U148="",Scale!$U148=0),"",Scale!$T148)</f>
        <v/>
      </c>
      <c r="F562" s="81">
        <f>IF(OR(Scale!$U148="",Scale!$U148=0),"",Scale!$J148)</f>
        <v/>
      </c>
      <c r="G562" s="82">
        <f>IF(OR(Scale!$U148="",Scale!$U148=0),"",Scale!$M148)</f>
        <v/>
      </c>
      <c r="H562" s="82">
        <f>IF(OR(Scale!$U148="",Scale!$U148=0),"",Scale!$L148)</f>
        <v/>
      </c>
      <c r="I562" s="82">
        <f>IF(OR(Scale!$U148="",Scale!$U148=0),"",Scale!$N148)</f>
        <v/>
      </c>
      <c r="J562" s="82">
        <f>IF(OR(Scale!$U148="",Scale!$U148=0),"",Scale!$O148)</f>
        <v/>
      </c>
      <c r="K562" s="82">
        <f>IF(OR(Scale!$U148="",Scale!$U148=0),"",IF(Scale!$V148="",0,Scale!$V148)+IF(Scale!$W148="",0,Scale!$W148))</f>
        <v/>
      </c>
      <c r="L562" s="82">
        <f>IF(OR(Scale!$U148="",Scale!$U148=0),"",Scale!$V148)</f>
        <v/>
      </c>
      <c r="M562" s="82">
        <f>IF(OR(Scale!$U148="",Scale!$U148=0),"",Scale!$W148)</f>
        <v/>
      </c>
      <c r="N562" s="81">
        <f>IF(OR(Scale!$U148="",Scale!$U148=0),"",Scale!$E148)</f>
        <v/>
      </c>
      <c r="O562" s="81">
        <f>IF(OR(Scale!$U148="",Scale!$U148=0),"",IFERROR(VLOOKUP(Scale!$U148,AcctTbl,3,0),""))</f>
        <v/>
      </c>
      <c r="P562" s="82">
        <f>IF(Scale!$U148&lt;&gt;"X011","","BN02")</f>
        <v/>
      </c>
    </row>
    <row r="563" ht="20.25" customHeight="1">
      <c r="A563" s="80">
        <f>IF(OR(Scale!$X148="",Scale!$X148=0),"",Scale!$B148)</f>
        <v/>
      </c>
      <c r="B563" s="80">
        <f>IF(OR(Scale!$X148="",Scale!$X148=0),"",Scale!$D148)</f>
        <v/>
      </c>
      <c r="C563" s="80">
        <f>IF(OR(Scale!$X148="",Scale!$X148=0),"","باسکول")</f>
        <v/>
      </c>
      <c r="D563" s="80">
        <f>IF(OR(Scale!$X148="",Scale!$X148=0),"",Scale!$X148)</f>
        <v/>
      </c>
      <c r="E563" s="81">
        <f>IF(OR(Scale!$X148="",Scale!$X148=0),"",IF(Scale!$X148="","","مقابل: "&amp;Scale!$E148))</f>
        <v/>
      </c>
      <c r="F563" s="83" t="n"/>
      <c r="G563" s="83" t="n"/>
      <c r="H563" s="83" t="n"/>
      <c r="I563" s="83" t="n"/>
      <c r="J563" s="83" t="n"/>
      <c r="K563" s="82">
        <f>IF(OR(Scale!$X148="",Scale!$X148=0),"",IF(Scale!$Y148="",0,Scale!$Y148)+IF(Scale!$Z148="",0,Scale!$Z148))</f>
        <v/>
      </c>
      <c r="L563" s="82">
        <f>IF(OR(Scale!$X148="",Scale!$X148=0),"",Scale!$Y148)</f>
        <v/>
      </c>
      <c r="M563" s="82">
        <f>IF(OR(Scale!$X148="",Scale!$X148=0),"",Scale!$Z148)</f>
        <v/>
      </c>
      <c r="N563" s="81">
        <f>IF(OR(Scale!$X148="",Scale!$X148=0),"","مقابل")</f>
        <v/>
      </c>
      <c r="O563" s="81">
        <f>IF(OR(Scale!$X148="",Scale!$X148=0),"",IFERROR(VLOOKUP(Scale!$X148,AcctTbl,3,0),""))</f>
        <v/>
      </c>
      <c r="P563" s="82">
        <f>IF(Scale!$X148&lt;&gt;"X011","","BN02")</f>
        <v/>
      </c>
    </row>
    <row r="564" ht="20.25" customHeight="1">
      <c r="A564" s="80">
        <f>IF(OR(Scale!$AA148="",Scale!$AA148=0),"",Scale!$B148)</f>
        <v/>
      </c>
      <c r="B564" s="80">
        <f>IF(OR(Scale!$AA148="",Scale!$AA148=0),"",Scale!$D148)</f>
        <v/>
      </c>
      <c r="C564" s="80">
        <f>IF(OR(Scale!$AA148="",Scale!$AA148=0),"","باسکول")</f>
        <v/>
      </c>
      <c r="D564" s="80">
        <f>IF(OR(Scale!$AA148="",Scale!$AA148=0),"",Scale!$AA148)</f>
        <v/>
      </c>
      <c r="E564" s="81">
        <f>IF(OR(Scale!$AA148="",Scale!$AA148=0),"",IF(Scale!$AA148="","","پوز باسکول — "&amp;Scale!$E148))</f>
        <v/>
      </c>
      <c r="F564" s="83" t="n"/>
      <c r="G564" s="83" t="n"/>
      <c r="H564" s="83" t="n"/>
      <c r="I564" s="83" t="n"/>
      <c r="J564" s="83" t="n"/>
      <c r="K564" s="82">
        <f>IF(OR(Scale!$AA148="",Scale!$AA148=0),"",IF(Scale!$AB148="",0,Scale!$AB148)+IF(Scale!$AC148="",0,Scale!$AC148))</f>
        <v/>
      </c>
      <c r="L564" s="82">
        <f>IF(OR(Scale!$AA148="",Scale!$AA148=0),"",Scale!$AB148)</f>
        <v/>
      </c>
      <c r="M564" s="82">
        <f>IF(OR(Scale!$AA148="",Scale!$AA148=0),"",Scale!$AC148)</f>
        <v/>
      </c>
      <c r="N564" s="81">
        <f>IF(OR(Scale!$AA148="",Scale!$AA148=0),"","پوز")</f>
        <v/>
      </c>
      <c r="O564" s="81">
        <f>IF(OR(Scale!$AA148="",Scale!$AA148=0),"",IFERROR(VLOOKUP(Scale!$AA148,AcctTbl,3,0),""))</f>
        <v/>
      </c>
      <c r="P564" s="82">
        <f>IF(Scale!$AA148&lt;&gt;"X011","","BN02")</f>
        <v/>
      </c>
    </row>
    <row r="565" ht="20.25" customHeight="1">
      <c r="A565" s="80">
        <f>IF(OR(Scale!$AD148="",Scale!$AD148=0),"",Scale!$B148)</f>
        <v/>
      </c>
      <c r="B565" s="80">
        <f>IF(OR(Scale!$AD148="",Scale!$AD148=0),"",Scale!$D148)</f>
        <v/>
      </c>
      <c r="C565" s="80">
        <f>IF(OR(Scale!$AD148="",Scale!$AD148=0),"","باسکول")</f>
        <v/>
      </c>
      <c r="D565" s="80">
        <f>IF(OR(Scale!$AD148="",Scale!$AD148=0),"",Scale!$AD148)</f>
        <v/>
      </c>
      <c r="E565" s="81">
        <f>IF(OR(Scale!$AD148="",Scale!$AD148=0),"",IF(Scale!$AD148="","","مقابل پوز — "&amp;Scale!$E148))</f>
        <v/>
      </c>
      <c r="F565" s="83" t="n"/>
      <c r="G565" s="83" t="n"/>
      <c r="H565" s="83" t="n"/>
      <c r="I565" s="83" t="n"/>
      <c r="J565" s="83" t="n"/>
      <c r="K565" s="82">
        <f>IF(OR(Scale!$AD148="",Scale!$AD148=0),"",IF(Scale!$AE148="",0,Scale!$AE148)+IF(Scale!$AF148="",0,Scale!$AF148))</f>
        <v/>
      </c>
      <c r="L565" s="82">
        <f>IF(OR(Scale!$AD148="",Scale!$AD148=0),"",Scale!$AE148)</f>
        <v/>
      </c>
      <c r="M565" s="82">
        <f>IF(OR(Scale!$AD148="",Scale!$AD148=0),"",Scale!$AF148)</f>
        <v/>
      </c>
      <c r="N565" s="81">
        <f>IF(OR(Scale!$AD148="",Scale!$AD148=0),"","مقابل پوز")</f>
        <v/>
      </c>
      <c r="O565" s="81">
        <f>IF(OR(Scale!$AD148="",Scale!$AD148=0),"",IFERROR(VLOOKUP(Scale!$AD148,AcctTbl,3,0),""))</f>
        <v/>
      </c>
      <c r="P565" s="82">
        <f>IF(Scale!$AD148&lt;&gt;"X011","","BN02")</f>
        <v/>
      </c>
    </row>
    <row r="566" ht="20.25" customHeight="1">
      <c r="A566" s="80">
        <f>IF(OR(Scale!$U149="",Scale!$U149=0),"",Scale!$B149)</f>
        <v/>
      </c>
      <c r="B566" s="80">
        <f>IF(OR(Scale!$U149="",Scale!$U149=0),"",Scale!$D149)</f>
        <v/>
      </c>
      <c r="C566" s="80">
        <f>IF(OR(Scale!$U149="",Scale!$U149=0),"","باسکول")</f>
        <v/>
      </c>
      <c r="D566" s="80">
        <f>IF(OR(Scale!$U149="",Scale!$U149=0),"",Scale!$U149)</f>
        <v/>
      </c>
      <c r="E566" s="81">
        <f>IF(OR(Scale!$U149="",Scale!$U149=0),"",Scale!$T149)</f>
        <v/>
      </c>
      <c r="F566" s="81">
        <f>IF(OR(Scale!$U149="",Scale!$U149=0),"",Scale!$J149)</f>
        <v/>
      </c>
      <c r="G566" s="82">
        <f>IF(OR(Scale!$U149="",Scale!$U149=0),"",Scale!$M149)</f>
        <v/>
      </c>
      <c r="H566" s="82">
        <f>IF(OR(Scale!$U149="",Scale!$U149=0),"",Scale!$L149)</f>
        <v/>
      </c>
      <c r="I566" s="82">
        <f>IF(OR(Scale!$U149="",Scale!$U149=0),"",Scale!$N149)</f>
        <v/>
      </c>
      <c r="J566" s="82">
        <f>IF(OR(Scale!$U149="",Scale!$U149=0),"",Scale!$O149)</f>
        <v/>
      </c>
      <c r="K566" s="82">
        <f>IF(OR(Scale!$U149="",Scale!$U149=0),"",IF(Scale!$V149="",0,Scale!$V149)+IF(Scale!$W149="",0,Scale!$W149))</f>
        <v/>
      </c>
      <c r="L566" s="82">
        <f>IF(OR(Scale!$U149="",Scale!$U149=0),"",Scale!$V149)</f>
        <v/>
      </c>
      <c r="M566" s="82">
        <f>IF(OR(Scale!$U149="",Scale!$U149=0),"",Scale!$W149)</f>
        <v/>
      </c>
      <c r="N566" s="81">
        <f>IF(OR(Scale!$U149="",Scale!$U149=0),"",Scale!$E149)</f>
        <v/>
      </c>
      <c r="O566" s="81">
        <f>IF(OR(Scale!$U149="",Scale!$U149=0),"",IFERROR(VLOOKUP(Scale!$U149,AcctTbl,3,0),""))</f>
        <v/>
      </c>
      <c r="P566" s="82">
        <f>IF(Scale!$U149&lt;&gt;"X011","","BN02")</f>
        <v/>
      </c>
    </row>
    <row r="567" ht="20.25" customHeight="1">
      <c r="A567" s="80">
        <f>IF(OR(Scale!$X149="",Scale!$X149=0),"",Scale!$B149)</f>
        <v/>
      </c>
      <c r="B567" s="80">
        <f>IF(OR(Scale!$X149="",Scale!$X149=0),"",Scale!$D149)</f>
        <v/>
      </c>
      <c r="C567" s="80">
        <f>IF(OR(Scale!$X149="",Scale!$X149=0),"","باسکول")</f>
        <v/>
      </c>
      <c r="D567" s="80">
        <f>IF(OR(Scale!$X149="",Scale!$X149=0),"",Scale!$X149)</f>
        <v/>
      </c>
      <c r="E567" s="81">
        <f>IF(OR(Scale!$X149="",Scale!$X149=0),"",IF(Scale!$X149="","","مقابل: "&amp;Scale!$E149))</f>
        <v/>
      </c>
      <c r="F567" s="83" t="n"/>
      <c r="G567" s="83" t="n"/>
      <c r="H567" s="83" t="n"/>
      <c r="I567" s="83" t="n"/>
      <c r="J567" s="83" t="n"/>
      <c r="K567" s="82">
        <f>IF(OR(Scale!$X149="",Scale!$X149=0),"",IF(Scale!$Y149="",0,Scale!$Y149)+IF(Scale!$Z149="",0,Scale!$Z149))</f>
        <v/>
      </c>
      <c r="L567" s="82">
        <f>IF(OR(Scale!$X149="",Scale!$X149=0),"",Scale!$Y149)</f>
        <v/>
      </c>
      <c r="M567" s="82">
        <f>IF(OR(Scale!$X149="",Scale!$X149=0),"",Scale!$Z149)</f>
        <v/>
      </c>
      <c r="N567" s="81">
        <f>IF(OR(Scale!$X149="",Scale!$X149=0),"","مقابل")</f>
        <v/>
      </c>
      <c r="O567" s="81">
        <f>IF(OR(Scale!$X149="",Scale!$X149=0),"",IFERROR(VLOOKUP(Scale!$X149,AcctTbl,3,0),""))</f>
        <v/>
      </c>
      <c r="P567" s="82">
        <f>IF(Scale!$X149&lt;&gt;"X011","","BN02")</f>
        <v/>
      </c>
    </row>
    <row r="568" ht="20.25" customHeight="1">
      <c r="A568" s="80">
        <f>IF(OR(Scale!$AA149="",Scale!$AA149=0),"",Scale!$B149)</f>
        <v/>
      </c>
      <c r="B568" s="80">
        <f>IF(OR(Scale!$AA149="",Scale!$AA149=0),"",Scale!$D149)</f>
        <v/>
      </c>
      <c r="C568" s="80">
        <f>IF(OR(Scale!$AA149="",Scale!$AA149=0),"","باسکول")</f>
        <v/>
      </c>
      <c r="D568" s="80">
        <f>IF(OR(Scale!$AA149="",Scale!$AA149=0),"",Scale!$AA149)</f>
        <v/>
      </c>
      <c r="E568" s="81">
        <f>IF(OR(Scale!$AA149="",Scale!$AA149=0),"",IF(Scale!$AA149="","","پوز باسکول — "&amp;Scale!$E149))</f>
        <v/>
      </c>
      <c r="F568" s="83" t="n"/>
      <c r="G568" s="83" t="n"/>
      <c r="H568" s="83" t="n"/>
      <c r="I568" s="83" t="n"/>
      <c r="J568" s="83" t="n"/>
      <c r="K568" s="82">
        <f>IF(OR(Scale!$AA149="",Scale!$AA149=0),"",IF(Scale!$AB149="",0,Scale!$AB149)+IF(Scale!$AC149="",0,Scale!$AC149))</f>
        <v/>
      </c>
      <c r="L568" s="82">
        <f>IF(OR(Scale!$AA149="",Scale!$AA149=0),"",Scale!$AB149)</f>
        <v/>
      </c>
      <c r="M568" s="82">
        <f>IF(OR(Scale!$AA149="",Scale!$AA149=0),"",Scale!$AC149)</f>
        <v/>
      </c>
      <c r="N568" s="81">
        <f>IF(OR(Scale!$AA149="",Scale!$AA149=0),"","پوز")</f>
        <v/>
      </c>
      <c r="O568" s="81">
        <f>IF(OR(Scale!$AA149="",Scale!$AA149=0),"",IFERROR(VLOOKUP(Scale!$AA149,AcctTbl,3,0),""))</f>
        <v/>
      </c>
      <c r="P568" s="82">
        <f>IF(Scale!$AA149&lt;&gt;"X011","","BN02")</f>
        <v/>
      </c>
    </row>
    <row r="569" ht="20.25" customHeight="1">
      <c r="A569" s="80">
        <f>IF(OR(Scale!$AD149="",Scale!$AD149=0),"",Scale!$B149)</f>
        <v/>
      </c>
      <c r="B569" s="80">
        <f>IF(OR(Scale!$AD149="",Scale!$AD149=0),"",Scale!$D149)</f>
        <v/>
      </c>
      <c r="C569" s="80">
        <f>IF(OR(Scale!$AD149="",Scale!$AD149=0),"","باسکول")</f>
        <v/>
      </c>
      <c r="D569" s="80">
        <f>IF(OR(Scale!$AD149="",Scale!$AD149=0),"",Scale!$AD149)</f>
        <v/>
      </c>
      <c r="E569" s="81">
        <f>IF(OR(Scale!$AD149="",Scale!$AD149=0),"",IF(Scale!$AD149="","","مقابل پوز — "&amp;Scale!$E149))</f>
        <v/>
      </c>
      <c r="F569" s="83" t="n"/>
      <c r="G569" s="83" t="n"/>
      <c r="H569" s="83" t="n"/>
      <c r="I569" s="83" t="n"/>
      <c r="J569" s="83" t="n"/>
      <c r="K569" s="82">
        <f>IF(OR(Scale!$AD149="",Scale!$AD149=0),"",IF(Scale!$AE149="",0,Scale!$AE149)+IF(Scale!$AF149="",0,Scale!$AF149))</f>
        <v/>
      </c>
      <c r="L569" s="82">
        <f>IF(OR(Scale!$AD149="",Scale!$AD149=0),"",Scale!$AE149)</f>
        <v/>
      </c>
      <c r="M569" s="82">
        <f>IF(OR(Scale!$AD149="",Scale!$AD149=0),"",Scale!$AF149)</f>
        <v/>
      </c>
      <c r="N569" s="81">
        <f>IF(OR(Scale!$AD149="",Scale!$AD149=0),"","مقابل پوز")</f>
        <v/>
      </c>
      <c r="O569" s="81">
        <f>IF(OR(Scale!$AD149="",Scale!$AD149=0),"",IFERROR(VLOOKUP(Scale!$AD149,AcctTbl,3,0),""))</f>
        <v/>
      </c>
      <c r="P569" s="82">
        <f>IF(Scale!$AD149&lt;&gt;"X011","","BN02")</f>
        <v/>
      </c>
    </row>
    <row r="570" ht="20.25" customHeight="1">
      <c r="A570" s="80">
        <f>IF(OR(Scale!$U150="",Scale!$U150=0),"",Scale!$B150)</f>
        <v/>
      </c>
      <c r="B570" s="80">
        <f>IF(OR(Scale!$U150="",Scale!$U150=0),"",Scale!$D150)</f>
        <v/>
      </c>
      <c r="C570" s="80">
        <f>IF(OR(Scale!$U150="",Scale!$U150=0),"","باسکول")</f>
        <v/>
      </c>
      <c r="D570" s="80">
        <f>IF(OR(Scale!$U150="",Scale!$U150=0),"",Scale!$U150)</f>
        <v/>
      </c>
      <c r="E570" s="81">
        <f>IF(OR(Scale!$U150="",Scale!$U150=0),"",Scale!$T150)</f>
        <v/>
      </c>
      <c r="F570" s="81">
        <f>IF(OR(Scale!$U150="",Scale!$U150=0),"",Scale!$J150)</f>
        <v/>
      </c>
      <c r="G570" s="82">
        <f>IF(OR(Scale!$U150="",Scale!$U150=0),"",Scale!$M150)</f>
        <v/>
      </c>
      <c r="H570" s="82">
        <f>IF(OR(Scale!$U150="",Scale!$U150=0),"",Scale!$L150)</f>
        <v/>
      </c>
      <c r="I570" s="82">
        <f>IF(OR(Scale!$U150="",Scale!$U150=0),"",Scale!$N150)</f>
        <v/>
      </c>
      <c r="J570" s="82">
        <f>IF(OR(Scale!$U150="",Scale!$U150=0),"",Scale!$O150)</f>
        <v/>
      </c>
      <c r="K570" s="82">
        <f>IF(OR(Scale!$U150="",Scale!$U150=0),"",IF(Scale!$V150="",0,Scale!$V150)+IF(Scale!$W150="",0,Scale!$W150))</f>
        <v/>
      </c>
      <c r="L570" s="82">
        <f>IF(OR(Scale!$U150="",Scale!$U150=0),"",Scale!$V150)</f>
        <v/>
      </c>
      <c r="M570" s="82">
        <f>IF(OR(Scale!$U150="",Scale!$U150=0),"",Scale!$W150)</f>
        <v/>
      </c>
      <c r="N570" s="81">
        <f>IF(OR(Scale!$U150="",Scale!$U150=0),"",Scale!$E150)</f>
        <v/>
      </c>
      <c r="O570" s="81">
        <f>IF(OR(Scale!$U150="",Scale!$U150=0),"",IFERROR(VLOOKUP(Scale!$U150,AcctTbl,3,0),""))</f>
        <v/>
      </c>
      <c r="P570" s="82">
        <f>IF(Scale!$U150&lt;&gt;"X011","","BN02")</f>
        <v/>
      </c>
    </row>
    <row r="571" ht="20.25" customHeight="1">
      <c r="A571" s="80">
        <f>IF(OR(Scale!$X150="",Scale!$X150=0),"",Scale!$B150)</f>
        <v/>
      </c>
      <c r="B571" s="80">
        <f>IF(OR(Scale!$X150="",Scale!$X150=0),"",Scale!$D150)</f>
        <v/>
      </c>
      <c r="C571" s="80">
        <f>IF(OR(Scale!$X150="",Scale!$X150=0),"","باسکول")</f>
        <v/>
      </c>
      <c r="D571" s="80">
        <f>IF(OR(Scale!$X150="",Scale!$X150=0),"",Scale!$X150)</f>
        <v/>
      </c>
      <c r="E571" s="81">
        <f>IF(OR(Scale!$X150="",Scale!$X150=0),"",IF(Scale!$X150="","","مقابل: "&amp;Scale!$E150))</f>
        <v/>
      </c>
      <c r="F571" s="83" t="n"/>
      <c r="G571" s="83" t="n"/>
      <c r="H571" s="83" t="n"/>
      <c r="I571" s="83" t="n"/>
      <c r="J571" s="83" t="n"/>
      <c r="K571" s="82">
        <f>IF(OR(Scale!$X150="",Scale!$X150=0),"",IF(Scale!$Y150="",0,Scale!$Y150)+IF(Scale!$Z150="",0,Scale!$Z150))</f>
        <v/>
      </c>
      <c r="L571" s="82">
        <f>IF(OR(Scale!$X150="",Scale!$X150=0),"",Scale!$Y150)</f>
        <v/>
      </c>
      <c r="M571" s="82">
        <f>IF(OR(Scale!$X150="",Scale!$X150=0),"",Scale!$Z150)</f>
        <v/>
      </c>
      <c r="N571" s="81">
        <f>IF(OR(Scale!$X150="",Scale!$X150=0),"","مقابل")</f>
        <v/>
      </c>
      <c r="O571" s="81">
        <f>IF(OR(Scale!$X150="",Scale!$X150=0),"",IFERROR(VLOOKUP(Scale!$X150,AcctTbl,3,0),""))</f>
        <v/>
      </c>
      <c r="P571" s="82">
        <f>IF(Scale!$X150&lt;&gt;"X011","","BN02")</f>
        <v/>
      </c>
    </row>
    <row r="572" ht="20.25" customHeight="1">
      <c r="A572" s="80">
        <f>IF(OR(Scale!$AA150="",Scale!$AA150=0),"",Scale!$B150)</f>
        <v/>
      </c>
      <c r="B572" s="80">
        <f>IF(OR(Scale!$AA150="",Scale!$AA150=0),"",Scale!$D150)</f>
        <v/>
      </c>
      <c r="C572" s="80">
        <f>IF(OR(Scale!$AA150="",Scale!$AA150=0),"","باسکول")</f>
        <v/>
      </c>
      <c r="D572" s="80">
        <f>IF(OR(Scale!$AA150="",Scale!$AA150=0),"",Scale!$AA150)</f>
        <v/>
      </c>
      <c r="E572" s="81">
        <f>IF(OR(Scale!$AA150="",Scale!$AA150=0),"",IF(Scale!$AA150="","","پوز باسکول — "&amp;Scale!$E150))</f>
        <v/>
      </c>
      <c r="F572" s="83" t="n"/>
      <c r="G572" s="83" t="n"/>
      <c r="H572" s="83" t="n"/>
      <c r="I572" s="83" t="n"/>
      <c r="J572" s="83" t="n"/>
      <c r="K572" s="82">
        <f>IF(OR(Scale!$AA150="",Scale!$AA150=0),"",IF(Scale!$AB150="",0,Scale!$AB150)+IF(Scale!$AC150="",0,Scale!$AC150))</f>
        <v/>
      </c>
      <c r="L572" s="82">
        <f>IF(OR(Scale!$AA150="",Scale!$AA150=0),"",Scale!$AB150)</f>
        <v/>
      </c>
      <c r="M572" s="82">
        <f>IF(OR(Scale!$AA150="",Scale!$AA150=0),"",Scale!$AC150)</f>
        <v/>
      </c>
      <c r="N572" s="81">
        <f>IF(OR(Scale!$AA150="",Scale!$AA150=0),"","پوز")</f>
        <v/>
      </c>
      <c r="O572" s="81">
        <f>IF(OR(Scale!$AA150="",Scale!$AA150=0),"",IFERROR(VLOOKUP(Scale!$AA150,AcctTbl,3,0),""))</f>
        <v/>
      </c>
      <c r="P572" s="82">
        <f>IF(Scale!$AA150&lt;&gt;"X011","","BN02")</f>
        <v/>
      </c>
    </row>
    <row r="573" ht="20.25" customHeight="1">
      <c r="A573" s="80">
        <f>IF(OR(Scale!$AD150="",Scale!$AD150=0),"",Scale!$B150)</f>
        <v/>
      </c>
      <c r="B573" s="80">
        <f>IF(OR(Scale!$AD150="",Scale!$AD150=0),"",Scale!$D150)</f>
        <v/>
      </c>
      <c r="C573" s="80">
        <f>IF(OR(Scale!$AD150="",Scale!$AD150=0),"","باسکول")</f>
        <v/>
      </c>
      <c r="D573" s="80">
        <f>IF(OR(Scale!$AD150="",Scale!$AD150=0),"",Scale!$AD150)</f>
        <v/>
      </c>
      <c r="E573" s="81">
        <f>IF(OR(Scale!$AD150="",Scale!$AD150=0),"",IF(Scale!$AD150="","","مقابل پوز — "&amp;Scale!$E150))</f>
        <v/>
      </c>
      <c r="F573" s="83" t="n"/>
      <c r="G573" s="83" t="n"/>
      <c r="H573" s="83" t="n"/>
      <c r="I573" s="83" t="n"/>
      <c r="J573" s="83" t="n"/>
      <c r="K573" s="82">
        <f>IF(OR(Scale!$AD150="",Scale!$AD150=0),"",IF(Scale!$AE150="",0,Scale!$AE150)+IF(Scale!$AF150="",0,Scale!$AF150))</f>
        <v/>
      </c>
      <c r="L573" s="82">
        <f>IF(OR(Scale!$AD150="",Scale!$AD150=0),"",Scale!$AE150)</f>
        <v/>
      </c>
      <c r="M573" s="82">
        <f>IF(OR(Scale!$AD150="",Scale!$AD150=0),"",Scale!$AF150)</f>
        <v/>
      </c>
      <c r="N573" s="81">
        <f>IF(OR(Scale!$AD150="",Scale!$AD150=0),"","مقابل پوز")</f>
        <v/>
      </c>
      <c r="O573" s="81">
        <f>IF(OR(Scale!$AD150="",Scale!$AD150=0),"",IFERROR(VLOOKUP(Scale!$AD150,AcctTbl,3,0),""))</f>
        <v/>
      </c>
      <c r="P573" s="82">
        <f>IF(Scale!$AD150&lt;&gt;"X011","","BN02")</f>
        <v/>
      </c>
    </row>
    <row r="574" ht="20.25" customHeight="1">
      <c r="A574" s="80">
        <f>IF(OR(Scale!$U151="",Scale!$U151=0),"",Scale!$B151)</f>
        <v/>
      </c>
      <c r="B574" s="80">
        <f>IF(OR(Scale!$U151="",Scale!$U151=0),"",Scale!$D151)</f>
        <v/>
      </c>
      <c r="C574" s="80">
        <f>IF(OR(Scale!$U151="",Scale!$U151=0),"","باسکول")</f>
        <v/>
      </c>
      <c r="D574" s="80">
        <f>IF(OR(Scale!$U151="",Scale!$U151=0),"",Scale!$U151)</f>
        <v/>
      </c>
      <c r="E574" s="81">
        <f>IF(OR(Scale!$U151="",Scale!$U151=0),"",Scale!$T151)</f>
        <v/>
      </c>
      <c r="F574" s="81">
        <f>IF(OR(Scale!$U151="",Scale!$U151=0),"",Scale!$J151)</f>
        <v/>
      </c>
      <c r="G574" s="82">
        <f>IF(OR(Scale!$U151="",Scale!$U151=0),"",Scale!$M151)</f>
        <v/>
      </c>
      <c r="H574" s="82">
        <f>IF(OR(Scale!$U151="",Scale!$U151=0),"",Scale!$L151)</f>
        <v/>
      </c>
      <c r="I574" s="82">
        <f>IF(OR(Scale!$U151="",Scale!$U151=0),"",Scale!$N151)</f>
        <v/>
      </c>
      <c r="J574" s="82">
        <f>IF(OR(Scale!$U151="",Scale!$U151=0),"",Scale!$O151)</f>
        <v/>
      </c>
      <c r="K574" s="82">
        <f>IF(OR(Scale!$U151="",Scale!$U151=0),"",IF(Scale!$V151="",0,Scale!$V151)+IF(Scale!$W151="",0,Scale!$W151))</f>
        <v/>
      </c>
      <c r="L574" s="82">
        <f>IF(OR(Scale!$U151="",Scale!$U151=0),"",Scale!$V151)</f>
        <v/>
      </c>
      <c r="M574" s="82">
        <f>IF(OR(Scale!$U151="",Scale!$U151=0),"",Scale!$W151)</f>
        <v/>
      </c>
      <c r="N574" s="81">
        <f>IF(OR(Scale!$U151="",Scale!$U151=0),"",Scale!$E151)</f>
        <v/>
      </c>
      <c r="O574" s="81">
        <f>IF(OR(Scale!$U151="",Scale!$U151=0),"",IFERROR(VLOOKUP(Scale!$U151,AcctTbl,3,0),""))</f>
        <v/>
      </c>
      <c r="P574" s="82">
        <f>IF(Scale!$U151&lt;&gt;"X011","","BN02")</f>
        <v/>
      </c>
    </row>
    <row r="575" ht="20.25" customHeight="1">
      <c r="A575" s="80">
        <f>IF(OR(Scale!$X151="",Scale!$X151=0),"",Scale!$B151)</f>
        <v/>
      </c>
      <c r="B575" s="80">
        <f>IF(OR(Scale!$X151="",Scale!$X151=0),"",Scale!$D151)</f>
        <v/>
      </c>
      <c r="C575" s="80">
        <f>IF(OR(Scale!$X151="",Scale!$X151=0),"","باسکول")</f>
        <v/>
      </c>
      <c r="D575" s="80">
        <f>IF(OR(Scale!$X151="",Scale!$X151=0),"",Scale!$X151)</f>
        <v/>
      </c>
      <c r="E575" s="81">
        <f>IF(OR(Scale!$X151="",Scale!$X151=0),"",IF(Scale!$X151="","","مقابل: "&amp;Scale!$E151))</f>
        <v/>
      </c>
      <c r="F575" s="83" t="n"/>
      <c r="G575" s="83" t="n"/>
      <c r="H575" s="83" t="n"/>
      <c r="I575" s="83" t="n"/>
      <c r="J575" s="83" t="n"/>
      <c r="K575" s="82">
        <f>IF(OR(Scale!$X151="",Scale!$X151=0),"",IF(Scale!$Y151="",0,Scale!$Y151)+IF(Scale!$Z151="",0,Scale!$Z151))</f>
        <v/>
      </c>
      <c r="L575" s="82">
        <f>IF(OR(Scale!$X151="",Scale!$X151=0),"",Scale!$Y151)</f>
        <v/>
      </c>
      <c r="M575" s="82">
        <f>IF(OR(Scale!$X151="",Scale!$X151=0),"",Scale!$Z151)</f>
        <v/>
      </c>
      <c r="N575" s="81">
        <f>IF(OR(Scale!$X151="",Scale!$X151=0),"","مقابل")</f>
        <v/>
      </c>
      <c r="O575" s="81">
        <f>IF(OR(Scale!$X151="",Scale!$X151=0),"",IFERROR(VLOOKUP(Scale!$X151,AcctTbl,3,0),""))</f>
        <v/>
      </c>
      <c r="P575" s="82">
        <f>IF(Scale!$X151&lt;&gt;"X011","","BN02")</f>
        <v/>
      </c>
    </row>
    <row r="576" ht="20.25" customHeight="1">
      <c r="A576" s="80">
        <f>IF(OR(Scale!$AA151="",Scale!$AA151=0),"",Scale!$B151)</f>
        <v/>
      </c>
      <c r="B576" s="80">
        <f>IF(OR(Scale!$AA151="",Scale!$AA151=0),"",Scale!$D151)</f>
        <v/>
      </c>
      <c r="C576" s="80">
        <f>IF(OR(Scale!$AA151="",Scale!$AA151=0),"","باسکول")</f>
        <v/>
      </c>
      <c r="D576" s="80">
        <f>IF(OR(Scale!$AA151="",Scale!$AA151=0),"",Scale!$AA151)</f>
        <v/>
      </c>
      <c r="E576" s="81">
        <f>IF(OR(Scale!$AA151="",Scale!$AA151=0),"",IF(Scale!$AA151="","","پوز باسکول — "&amp;Scale!$E151))</f>
        <v/>
      </c>
      <c r="F576" s="83" t="n"/>
      <c r="G576" s="83" t="n"/>
      <c r="H576" s="83" t="n"/>
      <c r="I576" s="83" t="n"/>
      <c r="J576" s="83" t="n"/>
      <c r="K576" s="82">
        <f>IF(OR(Scale!$AA151="",Scale!$AA151=0),"",IF(Scale!$AB151="",0,Scale!$AB151)+IF(Scale!$AC151="",0,Scale!$AC151))</f>
        <v/>
      </c>
      <c r="L576" s="82">
        <f>IF(OR(Scale!$AA151="",Scale!$AA151=0),"",Scale!$AB151)</f>
        <v/>
      </c>
      <c r="M576" s="82">
        <f>IF(OR(Scale!$AA151="",Scale!$AA151=0),"",Scale!$AC151)</f>
        <v/>
      </c>
      <c r="N576" s="81">
        <f>IF(OR(Scale!$AA151="",Scale!$AA151=0),"","پوز")</f>
        <v/>
      </c>
      <c r="O576" s="81">
        <f>IF(OR(Scale!$AA151="",Scale!$AA151=0),"",IFERROR(VLOOKUP(Scale!$AA151,AcctTbl,3,0),""))</f>
        <v/>
      </c>
      <c r="P576" s="82">
        <f>IF(Scale!$AA151&lt;&gt;"X011","","BN02")</f>
        <v/>
      </c>
    </row>
    <row r="577" ht="20.25" customHeight="1">
      <c r="A577" s="80">
        <f>IF(OR(Scale!$AD151="",Scale!$AD151=0),"",Scale!$B151)</f>
        <v/>
      </c>
      <c r="B577" s="80">
        <f>IF(OR(Scale!$AD151="",Scale!$AD151=0),"",Scale!$D151)</f>
        <v/>
      </c>
      <c r="C577" s="80">
        <f>IF(OR(Scale!$AD151="",Scale!$AD151=0),"","باسکول")</f>
        <v/>
      </c>
      <c r="D577" s="80">
        <f>IF(OR(Scale!$AD151="",Scale!$AD151=0),"",Scale!$AD151)</f>
        <v/>
      </c>
      <c r="E577" s="81">
        <f>IF(OR(Scale!$AD151="",Scale!$AD151=0),"",IF(Scale!$AD151="","","مقابل پوز — "&amp;Scale!$E151))</f>
        <v/>
      </c>
      <c r="F577" s="83" t="n"/>
      <c r="G577" s="83" t="n"/>
      <c r="H577" s="83" t="n"/>
      <c r="I577" s="83" t="n"/>
      <c r="J577" s="83" t="n"/>
      <c r="K577" s="82">
        <f>IF(OR(Scale!$AD151="",Scale!$AD151=0),"",IF(Scale!$AE151="",0,Scale!$AE151)+IF(Scale!$AF151="",0,Scale!$AF151))</f>
        <v/>
      </c>
      <c r="L577" s="82">
        <f>IF(OR(Scale!$AD151="",Scale!$AD151=0),"",Scale!$AE151)</f>
        <v/>
      </c>
      <c r="M577" s="82">
        <f>IF(OR(Scale!$AD151="",Scale!$AD151=0),"",Scale!$AF151)</f>
        <v/>
      </c>
      <c r="N577" s="81">
        <f>IF(OR(Scale!$AD151="",Scale!$AD151=0),"","مقابل پوز")</f>
        <v/>
      </c>
      <c r="O577" s="81">
        <f>IF(OR(Scale!$AD151="",Scale!$AD151=0),"",IFERROR(VLOOKUP(Scale!$AD151,AcctTbl,3,0),""))</f>
        <v/>
      </c>
      <c r="P577" s="82">
        <f>IF(Scale!$AD151&lt;&gt;"X011","","BN02")</f>
        <v/>
      </c>
    </row>
    <row r="578" ht="20.25" customHeight="1">
      <c r="A578" s="80">
        <f>IF(OR(Scale!$U152="",Scale!$U152=0),"",Scale!$B152)</f>
        <v/>
      </c>
      <c r="B578" s="80">
        <f>IF(OR(Scale!$U152="",Scale!$U152=0),"",Scale!$D152)</f>
        <v/>
      </c>
      <c r="C578" s="80">
        <f>IF(OR(Scale!$U152="",Scale!$U152=0),"","باسکول")</f>
        <v/>
      </c>
      <c r="D578" s="80">
        <f>IF(OR(Scale!$U152="",Scale!$U152=0),"",Scale!$U152)</f>
        <v/>
      </c>
      <c r="E578" s="81">
        <f>IF(OR(Scale!$U152="",Scale!$U152=0),"",Scale!$T152)</f>
        <v/>
      </c>
      <c r="F578" s="81">
        <f>IF(OR(Scale!$U152="",Scale!$U152=0),"",Scale!$J152)</f>
        <v/>
      </c>
      <c r="G578" s="82">
        <f>IF(OR(Scale!$U152="",Scale!$U152=0),"",Scale!$M152)</f>
        <v/>
      </c>
      <c r="H578" s="82">
        <f>IF(OR(Scale!$U152="",Scale!$U152=0),"",Scale!$L152)</f>
        <v/>
      </c>
      <c r="I578" s="82">
        <f>IF(OR(Scale!$U152="",Scale!$U152=0),"",Scale!$N152)</f>
        <v/>
      </c>
      <c r="J578" s="82">
        <f>IF(OR(Scale!$U152="",Scale!$U152=0),"",Scale!$O152)</f>
        <v/>
      </c>
      <c r="K578" s="82">
        <f>IF(OR(Scale!$U152="",Scale!$U152=0),"",IF(Scale!$V152="",0,Scale!$V152)+IF(Scale!$W152="",0,Scale!$W152))</f>
        <v/>
      </c>
      <c r="L578" s="82">
        <f>IF(OR(Scale!$U152="",Scale!$U152=0),"",Scale!$V152)</f>
        <v/>
      </c>
      <c r="M578" s="82">
        <f>IF(OR(Scale!$U152="",Scale!$U152=0),"",Scale!$W152)</f>
        <v/>
      </c>
      <c r="N578" s="81">
        <f>IF(OR(Scale!$U152="",Scale!$U152=0),"",Scale!$E152)</f>
        <v/>
      </c>
      <c r="O578" s="81">
        <f>IF(OR(Scale!$U152="",Scale!$U152=0),"",IFERROR(VLOOKUP(Scale!$U152,AcctTbl,3,0),""))</f>
        <v/>
      </c>
      <c r="P578" s="82">
        <f>IF(Scale!$U152&lt;&gt;"X011","","BN02")</f>
        <v/>
      </c>
    </row>
    <row r="579" ht="20.25" customHeight="1">
      <c r="A579" s="80">
        <f>IF(OR(Scale!$X152="",Scale!$X152=0),"",Scale!$B152)</f>
        <v/>
      </c>
      <c r="B579" s="80">
        <f>IF(OR(Scale!$X152="",Scale!$X152=0),"",Scale!$D152)</f>
        <v/>
      </c>
      <c r="C579" s="80">
        <f>IF(OR(Scale!$X152="",Scale!$X152=0),"","باسکول")</f>
        <v/>
      </c>
      <c r="D579" s="80">
        <f>IF(OR(Scale!$X152="",Scale!$X152=0),"",Scale!$X152)</f>
        <v/>
      </c>
      <c r="E579" s="81">
        <f>IF(OR(Scale!$X152="",Scale!$X152=0),"",IF(Scale!$X152="","","مقابل: "&amp;Scale!$E152))</f>
        <v/>
      </c>
      <c r="F579" s="83" t="n"/>
      <c r="G579" s="83" t="n"/>
      <c r="H579" s="83" t="n"/>
      <c r="I579" s="83" t="n"/>
      <c r="J579" s="83" t="n"/>
      <c r="K579" s="82">
        <f>IF(OR(Scale!$X152="",Scale!$X152=0),"",IF(Scale!$Y152="",0,Scale!$Y152)+IF(Scale!$Z152="",0,Scale!$Z152))</f>
        <v/>
      </c>
      <c r="L579" s="82">
        <f>IF(OR(Scale!$X152="",Scale!$X152=0),"",Scale!$Y152)</f>
        <v/>
      </c>
      <c r="M579" s="82">
        <f>IF(OR(Scale!$X152="",Scale!$X152=0),"",Scale!$Z152)</f>
        <v/>
      </c>
      <c r="N579" s="81">
        <f>IF(OR(Scale!$X152="",Scale!$X152=0),"","مقابل")</f>
        <v/>
      </c>
      <c r="O579" s="81">
        <f>IF(OR(Scale!$X152="",Scale!$X152=0),"",IFERROR(VLOOKUP(Scale!$X152,AcctTbl,3,0),""))</f>
        <v/>
      </c>
      <c r="P579" s="82">
        <f>IF(Scale!$X152&lt;&gt;"X011","","BN02")</f>
        <v/>
      </c>
    </row>
    <row r="580" ht="20.25" customHeight="1">
      <c r="A580" s="80">
        <f>IF(OR(Scale!$AA152="",Scale!$AA152=0),"",Scale!$B152)</f>
        <v/>
      </c>
      <c r="B580" s="80">
        <f>IF(OR(Scale!$AA152="",Scale!$AA152=0),"",Scale!$D152)</f>
        <v/>
      </c>
      <c r="C580" s="80">
        <f>IF(OR(Scale!$AA152="",Scale!$AA152=0),"","باسکول")</f>
        <v/>
      </c>
      <c r="D580" s="80">
        <f>IF(OR(Scale!$AA152="",Scale!$AA152=0),"",Scale!$AA152)</f>
        <v/>
      </c>
      <c r="E580" s="81">
        <f>IF(OR(Scale!$AA152="",Scale!$AA152=0),"",IF(Scale!$AA152="","","پوز باسکول — "&amp;Scale!$E152))</f>
        <v/>
      </c>
      <c r="F580" s="83" t="n"/>
      <c r="G580" s="83" t="n"/>
      <c r="H580" s="83" t="n"/>
      <c r="I580" s="83" t="n"/>
      <c r="J580" s="83" t="n"/>
      <c r="K580" s="82">
        <f>IF(OR(Scale!$AA152="",Scale!$AA152=0),"",IF(Scale!$AB152="",0,Scale!$AB152)+IF(Scale!$AC152="",0,Scale!$AC152))</f>
        <v/>
      </c>
      <c r="L580" s="82">
        <f>IF(OR(Scale!$AA152="",Scale!$AA152=0),"",Scale!$AB152)</f>
        <v/>
      </c>
      <c r="M580" s="82">
        <f>IF(OR(Scale!$AA152="",Scale!$AA152=0),"",Scale!$AC152)</f>
        <v/>
      </c>
      <c r="N580" s="81">
        <f>IF(OR(Scale!$AA152="",Scale!$AA152=0),"","پوز")</f>
        <v/>
      </c>
      <c r="O580" s="81">
        <f>IF(OR(Scale!$AA152="",Scale!$AA152=0),"",IFERROR(VLOOKUP(Scale!$AA152,AcctTbl,3,0),""))</f>
        <v/>
      </c>
      <c r="P580" s="82">
        <f>IF(Scale!$AA152&lt;&gt;"X011","","BN02")</f>
        <v/>
      </c>
    </row>
    <row r="581" ht="20.25" customHeight="1">
      <c r="A581" s="80">
        <f>IF(OR(Scale!$AD152="",Scale!$AD152=0),"",Scale!$B152)</f>
        <v/>
      </c>
      <c r="B581" s="80">
        <f>IF(OR(Scale!$AD152="",Scale!$AD152=0),"",Scale!$D152)</f>
        <v/>
      </c>
      <c r="C581" s="80">
        <f>IF(OR(Scale!$AD152="",Scale!$AD152=0),"","باسکول")</f>
        <v/>
      </c>
      <c r="D581" s="80">
        <f>IF(OR(Scale!$AD152="",Scale!$AD152=0),"",Scale!$AD152)</f>
        <v/>
      </c>
      <c r="E581" s="81">
        <f>IF(OR(Scale!$AD152="",Scale!$AD152=0),"",IF(Scale!$AD152="","","مقابل پوز — "&amp;Scale!$E152))</f>
        <v/>
      </c>
      <c r="F581" s="83" t="n"/>
      <c r="G581" s="83" t="n"/>
      <c r="H581" s="83" t="n"/>
      <c r="I581" s="83" t="n"/>
      <c r="J581" s="83" t="n"/>
      <c r="K581" s="82">
        <f>IF(OR(Scale!$AD152="",Scale!$AD152=0),"",IF(Scale!$AE152="",0,Scale!$AE152)+IF(Scale!$AF152="",0,Scale!$AF152))</f>
        <v/>
      </c>
      <c r="L581" s="82">
        <f>IF(OR(Scale!$AD152="",Scale!$AD152=0),"",Scale!$AE152)</f>
        <v/>
      </c>
      <c r="M581" s="82">
        <f>IF(OR(Scale!$AD152="",Scale!$AD152=0),"",Scale!$AF152)</f>
        <v/>
      </c>
      <c r="N581" s="81">
        <f>IF(OR(Scale!$AD152="",Scale!$AD152=0),"","مقابل پوز")</f>
        <v/>
      </c>
      <c r="O581" s="81">
        <f>IF(OR(Scale!$AD152="",Scale!$AD152=0),"",IFERROR(VLOOKUP(Scale!$AD152,AcctTbl,3,0),""))</f>
        <v/>
      </c>
      <c r="P581" s="82">
        <f>IF(Scale!$AD152&lt;&gt;"X011","","BN02")</f>
        <v/>
      </c>
    </row>
    <row r="582" ht="20.25" customHeight="1">
      <c r="A582" s="80">
        <f>IF(OR(Scale!$U153="",Scale!$U153=0),"",Scale!$B153)</f>
        <v/>
      </c>
      <c r="B582" s="80">
        <f>IF(OR(Scale!$U153="",Scale!$U153=0),"",Scale!$D153)</f>
        <v/>
      </c>
      <c r="C582" s="80">
        <f>IF(OR(Scale!$U153="",Scale!$U153=0),"","باسکول")</f>
        <v/>
      </c>
      <c r="D582" s="80">
        <f>IF(OR(Scale!$U153="",Scale!$U153=0),"",Scale!$U153)</f>
        <v/>
      </c>
      <c r="E582" s="81">
        <f>IF(OR(Scale!$U153="",Scale!$U153=0),"",Scale!$T153)</f>
        <v/>
      </c>
      <c r="F582" s="81">
        <f>IF(OR(Scale!$U153="",Scale!$U153=0),"",Scale!$J153)</f>
        <v/>
      </c>
      <c r="G582" s="82">
        <f>IF(OR(Scale!$U153="",Scale!$U153=0),"",Scale!$M153)</f>
        <v/>
      </c>
      <c r="H582" s="82">
        <f>IF(OR(Scale!$U153="",Scale!$U153=0),"",Scale!$L153)</f>
        <v/>
      </c>
      <c r="I582" s="82">
        <f>IF(OR(Scale!$U153="",Scale!$U153=0),"",Scale!$N153)</f>
        <v/>
      </c>
      <c r="J582" s="82">
        <f>IF(OR(Scale!$U153="",Scale!$U153=0),"",Scale!$O153)</f>
        <v/>
      </c>
      <c r="K582" s="82">
        <f>IF(OR(Scale!$U153="",Scale!$U153=0),"",IF(Scale!$V153="",0,Scale!$V153)+IF(Scale!$W153="",0,Scale!$W153))</f>
        <v/>
      </c>
      <c r="L582" s="82">
        <f>IF(OR(Scale!$U153="",Scale!$U153=0),"",Scale!$V153)</f>
        <v/>
      </c>
      <c r="M582" s="82">
        <f>IF(OR(Scale!$U153="",Scale!$U153=0),"",Scale!$W153)</f>
        <v/>
      </c>
      <c r="N582" s="81">
        <f>IF(OR(Scale!$U153="",Scale!$U153=0),"",Scale!$E153)</f>
        <v/>
      </c>
      <c r="O582" s="81">
        <f>IF(OR(Scale!$U153="",Scale!$U153=0),"",IFERROR(VLOOKUP(Scale!$U153,AcctTbl,3,0),""))</f>
        <v/>
      </c>
      <c r="P582" s="82">
        <f>IF(Scale!$U153&lt;&gt;"X011","","BN02")</f>
        <v/>
      </c>
    </row>
    <row r="583" ht="20.25" customHeight="1">
      <c r="A583" s="80">
        <f>IF(OR(Scale!$X153="",Scale!$X153=0),"",Scale!$B153)</f>
        <v/>
      </c>
      <c r="B583" s="80">
        <f>IF(OR(Scale!$X153="",Scale!$X153=0),"",Scale!$D153)</f>
        <v/>
      </c>
      <c r="C583" s="80">
        <f>IF(OR(Scale!$X153="",Scale!$X153=0),"","باسکول")</f>
        <v/>
      </c>
      <c r="D583" s="80">
        <f>IF(OR(Scale!$X153="",Scale!$X153=0),"",Scale!$X153)</f>
        <v/>
      </c>
      <c r="E583" s="81">
        <f>IF(OR(Scale!$X153="",Scale!$X153=0),"",IF(Scale!$X153="","","مقابل: "&amp;Scale!$E153))</f>
        <v/>
      </c>
      <c r="F583" s="83" t="n"/>
      <c r="G583" s="83" t="n"/>
      <c r="H583" s="83" t="n"/>
      <c r="I583" s="83" t="n"/>
      <c r="J583" s="83" t="n"/>
      <c r="K583" s="82">
        <f>IF(OR(Scale!$X153="",Scale!$X153=0),"",IF(Scale!$Y153="",0,Scale!$Y153)+IF(Scale!$Z153="",0,Scale!$Z153))</f>
        <v/>
      </c>
      <c r="L583" s="82">
        <f>IF(OR(Scale!$X153="",Scale!$X153=0),"",Scale!$Y153)</f>
        <v/>
      </c>
      <c r="M583" s="82">
        <f>IF(OR(Scale!$X153="",Scale!$X153=0),"",Scale!$Z153)</f>
        <v/>
      </c>
      <c r="N583" s="81">
        <f>IF(OR(Scale!$X153="",Scale!$X153=0),"","مقابل")</f>
        <v/>
      </c>
      <c r="O583" s="81">
        <f>IF(OR(Scale!$X153="",Scale!$X153=0),"",IFERROR(VLOOKUP(Scale!$X153,AcctTbl,3,0),""))</f>
        <v/>
      </c>
      <c r="P583" s="82">
        <f>IF(Scale!$X153&lt;&gt;"X011","","BN02")</f>
        <v/>
      </c>
    </row>
    <row r="584" ht="20.25" customHeight="1">
      <c r="A584" s="80">
        <f>IF(OR(Scale!$AA153="",Scale!$AA153=0),"",Scale!$B153)</f>
        <v/>
      </c>
      <c r="B584" s="80">
        <f>IF(OR(Scale!$AA153="",Scale!$AA153=0),"",Scale!$D153)</f>
        <v/>
      </c>
      <c r="C584" s="80">
        <f>IF(OR(Scale!$AA153="",Scale!$AA153=0),"","باسکول")</f>
        <v/>
      </c>
      <c r="D584" s="80">
        <f>IF(OR(Scale!$AA153="",Scale!$AA153=0),"",Scale!$AA153)</f>
        <v/>
      </c>
      <c r="E584" s="81">
        <f>IF(OR(Scale!$AA153="",Scale!$AA153=0),"",IF(Scale!$AA153="","","پوز باسکول — "&amp;Scale!$E153))</f>
        <v/>
      </c>
      <c r="F584" s="83" t="n"/>
      <c r="G584" s="83" t="n"/>
      <c r="H584" s="83" t="n"/>
      <c r="I584" s="83" t="n"/>
      <c r="J584" s="83" t="n"/>
      <c r="K584" s="82">
        <f>IF(OR(Scale!$AA153="",Scale!$AA153=0),"",IF(Scale!$AB153="",0,Scale!$AB153)+IF(Scale!$AC153="",0,Scale!$AC153))</f>
        <v/>
      </c>
      <c r="L584" s="82">
        <f>IF(OR(Scale!$AA153="",Scale!$AA153=0),"",Scale!$AB153)</f>
        <v/>
      </c>
      <c r="M584" s="82">
        <f>IF(OR(Scale!$AA153="",Scale!$AA153=0),"",Scale!$AC153)</f>
        <v/>
      </c>
      <c r="N584" s="81">
        <f>IF(OR(Scale!$AA153="",Scale!$AA153=0),"","پوز")</f>
        <v/>
      </c>
      <c r="O584" s="81">
        <f>IF(OR(Scale!$AA153="",Scale!$AA153=0),"",IFERROR(VLOOKUP(Scale!$AA153,AcctTbl,3,0),""))</f>
        <v/>
      </c>
      <c r="P584" s="82">
        <f>IF(Scale!$AA153&lt;&gt;"X011","","BN02")</f>
        <v/>
      </c>
    </row>
    <row r="585" ht="20.25" customHeight="1">
      <c r="A585" s="80">
        <f>IF(OR(Scale!$AD153="",Scale!$AD153=0),"",Scale!$B153)</f>
        <v/>
      </c>
      <c r="B585" s="80">
        <f>IF(OR(Scale!$AD153="",Scale!$AD153=0),"",Scale!$D153)</f>
        <v/>
      </c>
      <c r="C585" s="80">
        <f>IF(OR(Scale!$AD153="",Scale!$AD153=0),"","باسکول")</f>
        <v/>
      </c>
      <c r="D585" s="80">
        <f>IF(OR(Scale!$AD153="",Scale!$AD153=0),"",Scale!$AD153)</f>
        <v/>
      </c>
      <c r="E585" s="81">
        <f>IF(OR(Scale!$AD153="",Scale!$AD153=0),"",IF(Scale!$AD153="","","مقابل پوز — "&amp;Scale!$E153))</f>
        <v/>
      </c>
      <c r="F585" s="83" t="n"/>
      <c r="G585" s="83" t="n"/>
      <c r="H585" s="83" t="n"/>
      <c r="I585" s="83" t="n"/>
      <c r="J585" s="83" t="n"/>
      <c r="K585" s="82">
        <f>IF(OR(Scale!$AD153="",Scale!$AD153=0),"",IF(Scale!$AE153="",0,Scale!$AE153)+IF(Scale!$AF153="",0,Scale!$AF153))</f>
        <v/>
      </c>
      <c r="L585" s="82">
        <f>IF(OR(Scale!$AD153="",Scale!$AD153=0),"",Scale!$AE153)</f>
        <v/>
      </c>
      <c r="M585" s="82">
        <f>IF(OR(Scale!$AD153="",Scale!$AD153=0),"",Scale!$AF153)</f>
        <v/>
      </c>
      <c r="N585" s="81">
        <f>IF(OR(Scale!$AD153="",Scale!$AD153=0),"","مقابل پوز")</f>
        <v/>
      </c>
      <c r="O585" s="81">
        <f>IF(OR(Scale!$AD153="",Scale!$AD153=0),"",IFERROR(VLOOKUP(Scale!$AD153,AcctTbl,3,0),""))</f>
        <v/>
      </c>
      <c r="P585" s="82">
        <f>IF(Scale!$AD153&lt;&gt;"X011","","BN02")</f>
        <v/>
      </c>
    </row>
    <row r="586" ht="20.25" customHeight="1">
      <c r="A586" s="80">
        <f>IF(OR(Scale!$U154="",Scale!$U154=0),"",Scale!$B154)</f>
        <v/>
      </c>
      <c r="B586" s="80">
        <f>IF(OR(Scale!$U154="",Scale!$U154=0),"",Scale!$D154)</f>
        <v/>
      </c>
      <c r="C586" s="80">
        <f>IF(OR(Scale!$U154="",Scale!$U154=0),"","باسکول")</f>
        <v/>
      </c>
      <c r="D586" s="80">
        <f>IF(OR(Scale!$U154="",Scale!$U154=0),"",Scale!$U154)</f>
        <v/>
      </c>
      <c r="E586" s="81">
        <f>IF(OR(Scale!$U154="",Scale!$U154=0),"",Scale!$T154)</f>
        <v/>
      </c>
      <c r="F586" s="81">
        <f>IF(OR(Scale!$U154="",Scale!$U154=0),"",Scale!$J154)</f>
        <v/>
      </c>
      <c r="G586" s="82">
        <f>IF(OR(Scale!$U154="",Scale!$U154=0),"",Scale!$M154)</f>
        <v/>
      </c>
      <c r="H586" s="82">
        <f>IF(OR(Scale!$U154="",Scale!$U154=0),"",Scale!$L154)</f>
        <v/>
      </c>
      <c r="I586" s="82">
        <f>IF(OR(Scale!$U154="",Scale!$U154=0),"",Scale!$N154)</f>
        <v/>
      </c>
      <c r="J586" s="82">
        <f>IF(OR(Scale!$U154="",Scale!$U154=0),"",Scale!$O154)</f>
        <v/>
      </c>
      <c r="K586" s="82">
        <f>IF(OR(Scale!$U154="",Scale!$U154=0),"",IF(Scale!$V154="",0,Scale!$V154)+IF(Scale!$W154="",0,Scale!$W154))</f>
        <v/>
      </c>
      <c r="L586" s="82">
        <f>IF(OR(Scale!$U154="",Scale!$U154=0),"",Scale!$V154)</f>
        <v/>
      </c>
      <c r="M586" s="82">
        <f>IF(OR(Scale!$U154="",Scale!$U154=0),"",Scale!$W154)</f>
        <v/>
      </c>
      <c r="N586" s="81">
        <f>IF(OR(Scale!$U154="",Scale!$U154=0),"",Scale!$E154)</f>
        <v/>
      </c>
      <c r="O586" s="81">
        <f>IF(OR(Scale!$U154="",Scale!$U154=0),"",IFERROR(VLOOKUP(Scale!$U154,AcctTbl,3,0),""))</f>
        <v/>
      </c>
      <c r="P586" s="82">
        <f>IF(Scale!$U154&lt;&gt;"X011","","BN02")</f>
        <v/>
      </c>
    </row>
    <row r="587" ht="20.25" customHeight="1">
      <c r="A587" s="80">
        <f>IF(OR(Scale!$X154="",Scale!$X154=0),"",Scale!$B154)</f>
        <v/>
      </c>
      <c r="B587" s="80">
        <f>IF(OR(Scale!$X154="",Scale!$X154=0),"",Scale!$D154)</f>
        <v/>
      </c>
      <c r="C587" s="80">
        <f>IF(OR(Scale!$X154="",Scale!$X154=0),"","باسکول")</f>
        <v/>
      </c>
      <c r="D587" s="80">
        <f>IF(OR(Scale!$X154="",Scale!$X154=0),"",Scale!$X154)</f>
        <v/>
      </c>
      <c r="E587" s="81">
        <f>IF(OR(Scale!$X154="",Scale!$X154=0),"",IF(Scale!$X154="","","مقابل: "&amp;Scale!$E154))</f>
        <v/>
      </c>
      <c r="F587" s="83" t="n"/>
      <c r="G587" s="83" t="n"/>
      <c r="H587" s="83" t="n"/>
      <c r="I587" s="83" t="n"/>
      <c r="J587" s="83" t="n"/>
      <c r="K587" s="82">
        <f>IF(OR(Scale!$X154="",Scale!$X154=0),"",IF(Scale!$Y154="",0,Scale!$Y154)+IF(Scale!$Z154="",0,Scale!$Z154))</f>
        <v/>
      </c>
      <c r="L587" s="82">
        <f>IF(OR(Scale!$X154="",Scale!$X154=0),"",Scale!$Y154)</f>
        <v/>
      </c>
      <c r="M587" s="82">
        <f>IF(OR(Scale!$X154="",Scale!$X154=0),"",Scale!$Z154)</f>
        <v/>
      </c>
      <c r="N587" s="81">
        <f>IF(OR(Scale!$X154="",Scale!$X154=0),"","مقابل")</f>
        <v/>
      </c>
      <c r="O587" s="81">
        <f>IF(OR(Scale!$X154="",Scale!$X154=0),"",IFERROR(VLOOKUP(Scale!$X154,AcctTbl,3,0),""))</f>
        <v/>
      </c>
      <c r="P587" s="82">
        <f>IF(Scale!$X154&lt;&gt;"X011","","BN02")</f>
        <v/>
      </c>
    </row>
    <row r="588" ht="20.25" customHeight="1">
      <c r="A588" s="80">
        <f>IF(OR(Scale!$AA154="",Scale!$AA154=0),"",Scale!$B154)</f>
        <v/>
      </c>
      <c r="B588" s="80">
        <f>IF(OR(Scale!$AA154="",Scale!$AA154=0),"",Scale!$D154)</f>
        <v/>
      </c>
      <c r="C588" s="80">
        <f>IF(OR(Scale!$AA154="",Scale!$AA154=0),"","باسکول")</f>
        <v/>
      </c>
      <c r="D588" s="80">
        <f>IF(OR(Scale!$AA154="",Scale!$AA154=0),"",Scale!$AA154)</f>
        <v/>
      </c>
      <c r="E588" s="81">
        <f>IF(OR(Scale!$AA154="",Scale!$AA154=0),"",IF(Scale!$AA154="","","پوز باسکول — "&amp;Scale!$E154))</f>
        <v/>
      </c>
      <c r="F588" s="83" t="n"/>
      <c r="G588" s="83" t="n"/>
      <c r="H588" s="83" t="n"/>
      <c r="I588" s="83" t="n"/>
      <c r="J588" s="83" t="n"/>
      <c r="K588" s="82">
        <f>IF(OR(Scale!$AA154="",Scale!$AA154=0),"",IF(Scale!$AB154="",0,Scale!$AB154)+IF(Scale!$AC154="",0,Scale!$AC154))</f>
        <v/>
      </c>
      <c r="L588" s="82">
        <f>IF(OR(Scale!$AA154="",Scale!$AA154=0),"",Scale!$AB154)</f>
        <v/>
      </c>
      <c r="M588" s="82">
        <f>IF(OR(Scale!$AA154="",Scale!$AA154=0),"",Scale!$AC154)</f>
        <v/>
      </c>
      <c r="N588" s="81">
        <f>IF(OR(Scale!$AA154="",Scale!$AA154=0),"","پوز")</f>
        <v/>
      </c>
      <c r="O588" s="81">
        <f>IF(OR(Scale!$AA154="",Scale!$AA154=0),"",IFERROR(VLOOKUP(Scale!$AA154,AcctTbl,3,0),""))</f>
        <v/>
      </c>
      <c r="P588" s="82">
        <f>IF(Scale!$AA154&lt;&gt;"X011","","BN02")</f>
        <v/>
      </c>
    </row>
    <row r="589" ht="20.25" customHeight="1">
      <c r="A589" s="80">
        <f>IF(OR(Scale!$AD154="",Scale!$AD154=0),"",Scale!$B154)</f>
        <v/>
      </c>
      <c r="B589" s="80">
        <f>IF(OR(Scale!$AD154="",Scale!$AD154=0),"",Scale!$D154)</f>
        <v/>
      </c>
      <c r="C589" s="80">
        <f>IF(OR(Scale!$AD154="",Scale!$AD154=0),"","باسکول")</f>
        <v/>
      </c>
      <c r="D589" s="80">
        <f>IF(OR(Scale!$AD154="",Scale!$AD154=0),"",Scale!$AD154)</f>
        <v/>
      </c>
      <c r="E589" s="81">
        <f>IF(OR(Scale!$AD154="",Scale!$AD154=0),"",IF(Scale!$AD154="","","مقابل پوز — "&amp;Scale!$E154))</f>
        <v/>
      </c>
      <c r="F589" s="83" t="n"/>
      <c r="G589" s="83" t="n"/>
      <c r="H589" s="83" t="n"/>
      <c r="I589" s="83" t="n"/>
      <c r="J589" s="83" t="n"/>
      <c r="K589" s="82">
        <f>IF(OR(Scale!$AD154="",Scale!$AD154=0),"",IF(Scale!$AE154="",0,Scale!$AE154)+IF(Scale!$AF154="",0,Scale!$AF154))</f>
        <v/>
      </c>
      <c r="L589" s="82">
        <f>IF(OR(Scale!$AD154="",Scale!$AD154=0),"",Scale!$AE154)</f>
        <v/>
      </c>
      <c r="M589" s="82">
        <f>IF(OR(Scale!$AD154="",Scale!$AD154=0),"",Scale!$AF154)</f>
        <v/>
      </c>
      <c r="N589" s="81">
        <f>IF(OR(Scale!$AD154="",Scale!$AD154=0),"","مقابل پوز")</f>
        <v/>
      </c>
      <c r="O589" s="81">
        <f>IF(OR(Scale!$AD154="",Scale!$AD154=0),"",IFERROR(VLOOKUP(Scale!$AD154,AcctTbl,3,0),""))</f>
        <v/>
      </c>
      <c r="P589" s="82">
        <f>IF(Scale!$AD154&lt;&gt;"X011","","BN02")</f>
        <v/>
      </c>
    </row>
    <row r="590" ht="20.25" customHeight="1">
      <c r="A590" s="80">
        <f>IF(OR(Scale!$U155="",Scale!$U155=0),"",Scale!$B155)</f>
        <v/>
      </c>
      <c r="B590" s="80">
        <f>IF(OR(Scale!$U155="",Scale!$U155=0),"",Scale!$D155)</f>
        <v/>
      </c>
      <c r="C590" s="80">
        <f>IF(OR(Scale!$U155="",Scale!$U155=0),"","باسکول")</f>
        <v/>
      </c>
      <c r="D590" s="80">
        <f>IF(OR(Scale!$U155="",Scale!$U155=0),"",Scale!$U155)</f>
        <v/>
      </c>
      <c r="E590" s="81">
        <f>IF(OR(Scale!$U155="",Scale!$U155=0),"",Scale!$T155)</f>
        <v/>
      </c>
      <c r="F590" s="81">
        <f>IF(OR(Scale!$U155="",Scale!$U155=0),"",Scale!$J155)</f>
        <v/>
      </c>
      <c r="G590" s="82">
        <f>IF(OR(Scale!$U155="",Scale!$U155=0),"",Scale!$M155)</f>
        <v/>
      </c>
      <c r="H590" s="82">
        <f>IF(OR(Scale!$U155="",Scale!$U155=0),"",Scale!$L155)</f>
        <v/>
      </c>
      <c r="I590" s="82">
        <f>IF(OR(Scale!$U155="",Scale!$U155=0),"",Scale!$N155)</f>
        <v/>
      </c>
      <c r="J590" s="82">
        <f>IF(OR(Scale!$U155="",Scale!$U155=0),"",Scale!$O155)</f>
        <v/>
      </c>
      <c r="K590" s="82">
        <f>IF(OR(Scale!$U155="",Scale!$U155=0),"",IF(Scale!$V155="",0,Scale!$V155)+IF(Scale!$W155="",0,Scale!$W155))</f>
        <v/>
      </c>
      <c r="L590" s="82">
        <f>IF(OR(Scale!$U155="",Scale!$U155=0),"",Scale!$V155)</f>
        <v/>
      </c>
      <c r="M590" s="82">
        <f>IF(OR(Scale!$U155="",Scale!$U155=0),"",Scale!$W155)</f>
        <v/>
      </c>
      <c r="N590" s="81">
        <f>IF(OR(Scale!$U155="",Scale!$U155=0),"",Scale!$E155)</f>
        <v/>
      </c>
      <c r="O590" s="81">
        <f>IF(OR(Scale!$U155="",Scale!$U155=0),"",IFERROR(VLOOKUP(Scale!$U155,AcctTbl,3,0),""))</f>
        <v/>
      </c>
      <c r="P590" s="82">
        <f>IF(Scale!$U155&lt;&gt;"X011","","BN02")</f>
        <v/>
      </c>
    </row>
    <row r="591" ht="20.25" customHeight="1">
      <c r="A591" s="80">
        <f>IF(OR(Scale!$X155="",Scale!$X155=0),"",Scale!$B155)</f>
        <v/>
      </c>
      <c r="B591" s="80">
        <f>IF(OR(Scale!$X155="",Scale!$X155=0),"",Scale!$D155)</f>
        <v/>
      </c>
      <c r="C591" s="80">
        <f>IF(OR(Scale!$X155="",Scale!$X155=0),"","باسکول")</f>
        <v/>
      </c>
      <c r="D591" s="80">
        <f>IF(OR(Scale!$X155="",Scale!$X155=0),"",Scale!$X155)</f>
        <v/>
      </c>
      <c r="E591" s="81">
        <f>IF(OR(Scale!$X155="",Scale!$X155=0),"",IF(Scale!$X155="","","مقابل: "&amp;Scale!$E155))</f>
        <v/>
      </c>
      <c r="F591" s="83" t="n"/>
      <c r="G591" s="83" t="n"/>
      <c r="H591" s="83" t="n"/>
      <c r="I591" s="83" t="n"/>
      <c r="J591" s="83" t="n"/>
      <c r="K591" s="82">
        <f>IF(OR(Scale!$X155="",Scale!$X155=0),"",IF(Scale!$Y155="",0,Scale!$Y155)+IF(Scale!$Z155="",0,Scale!$Z155))</f>
        <v/>
      </c>
      <c r="L591" s="82">
        <f>IF(OR(Scale!$X155="",Scale!$X155=0),"",Scale!$Y155)</f>
        <v/>
      </c>
      <c r="M591" s="82">
        <f>IF(OR(Scale!$X155="",Scale!$X155=0),"",Scale!$Z155)</f>
        <v/>
      </c>
      <c r="N591" s="81">
        <f>IF(OR(Scale!$X155="",Scale!$X155=0),"","مقابل")</f>
        <v/>
      </c>
      <c r="O591" s="81">
        <f>IF(OR(Scale!$X155="",Scale!$X155=0),"",IFERROR(VLOOKUP(Scale!$X155,AcctTbl,3,0),""))</f>
        <v/>
      </c>
      <c r="P591" s="82">
        <f>IF(Scale!$X155&lt;&gt;"X011","","BN02")</f>
        <v/>
      </c>
    </row>
    <row r="592" ht="20.25" customHeight="1">
      <c r="A592" s="80">
        <f>IF(OR(Scale!$AA155="",Scale!$AA155=0),"",Scale!$B155)</f>
        <v/>
      </c>
      <c r="B592" s="80">
        <f>IF(OR(Scale!$AA155="",Scale!$AA155=0),"",Scale!$D155)</f>
        <v/>
      </c>
      <c r="C592" s="80">
        <f>IF(OR(Scale!$AA155="",Scale!$AA155=0),"","باسکول")</f>
        <v/>
      </c>
      <c r="D592" s="80">
        <f>IF(OR(Scale!$AA155="",Scale!$AA155=0),"",Scale!$AA155)</f>
        <v/>
      </c>
      <c r="E592" s="81">
        <f>IF(OR(Scale!$AA155="",Scale!$AA155=0),"",IF(Scale!$AA155="","","پوز باسکول — "&amp;Scale!$E155))</f>
        <v/>
      </c>
      <c r="F592" s="83" t="n"/>
      <c r="G592" s="83" t="n"/>
      <c r="H592" s="83" t="n"/>
      <c r="I592" s="83" t="n"/>
      <c r="J592" s="83" t="n"/>
      <c r="K592" s="82">
        <f>IF(OR(Scale!$AA155="",Scale!$AA155=0),"",IF(Scale!$AB155="",0,Scale!$AB155)+IF(Scale!$AC155="",0,Scale!$AC155))</f>
        <v/>
      </c>
      <c r="L592" s="82">
        <f>IF(OR(Scale!$AA155="",Scale!$AA155=0),"",Scale!$AB155)</f>
        <v/>
      </c>
      <c r="M592" s="82">
        <f>IF(OR(Scale!$AA155="",Scale!$AA155=0),"",Scale!$AC155)</f>
        <v/>
      </c>
      <c r="N592" s="81">
        <f>IF(OR(Scale!$AA155="",Scale!$AA155=0),"","پوز")</f>
        <v/>
      </c>
      <c r="O592" s="81">
        <f>IF(OR(Scale!$AA155="",Scale!$AA155=0),"",IFERROR(VLOOKUP(Scale!$AA155,AcctTbl,3,0),""))</f>
        <v/>
      </c>
      <c r="P592" s="82">
        <f>IF(Scale!$AA155&lt;&gt;"X011","","BN02")</f>
        <v/>
      </c>
    </row>
    <row r="593" ht="20.25" customHeight="1">
      <c r="A593" s="80">
        <f>IF(OR(Scale!$AD155="",Scale!$AD155=0),"",Scale!$B155)</f>
        <v/>
      </c>
      <c r="B593" s="80">
        <f>IF(OR(Scale!$AD155="",Scale!$AD155=0),"",Scale!$D155)</f>
        <v/>
      </c>
      <c r="C593" s="80">
        <f>IF(OR(Scale!$AD155="",Scale!$AD155=0),"","باسکول")</f>
        <v/>
      </c>
      <c r="D593" s="80">
        <f>IF(OR(Scale!$AD155="",Scale!$AD155=0),"",Scale!$AD155)</f>
        <v/>
      </c>
      <c r="E593" s="81">
        <f>IF(OR(Scale!$AD155="",Scale!$AD155=0),"",IF(Scale!$AD155="","","مقابل پوز — "&amp;Scale!$E155))</f>
        <v/>
      </c>
      <c r="F593" s="83" t="n"/>
      <c r="G593" s="83" t="n"/>
      <c r="H593" s="83" t="n"/>
      <c r="I593" s="83" t="n"/>
      <c r="J593" s="83" t="n"/>
      <c r="K593" s="82">
        <f>IF(OR(Scale!$AD155="",Scale!$AD155=0),"",IF(Scale!$AE155="",0,Scale!$AE155)+IF(Scale!$AF155="",0,Scale!$AF155))</f>
        <v/>
      </c>
      <c r="L593" s="82">
        <f>IF(OR(Scale!$AD155="",Scale!$AD155=0),"",Scale!$AE155)</f>
        <v/>
      </c>
      <c r="M593" s="82">
        <f>IF(OR(Scale!$AD155="",Scale!$AD155=0),"",Scale!$AF155)</f>
        <v/>
      </c>
      <c r="N593" s="81">
        <f>IF(OR(Scale!$AD155="",Scale!$AD155=0),"","مقابل پوز")</f>
        <v/>
      </c>
      <c r="O593" s="81">
        <f>IF(OR(Scale!$AD155="",Scale!$AD155=0),"",IFERROR(VLOOKUP(Scale!$AD155,AcctTbl,3,0),""))</f>
        <v/>
      </c>
      <c r="P593" s="82">
        <f>IF(Scale!$AD155&lt;&gt;"X011","","BN02")</f>
        <v/>
      </c>
    </row>
    <row r="594" ht="20.25" customHeight="1">
      <c r="A594" s="80">
        <f>IF(OR(Scale!$U156="",Scale!$U156=0),"",Scale!$B156)</f>
        <v/>
      </c>
      <c r="B594" s="80">
        <f>IF(OR(Scale!$U156="",Scale!$U156=0),"",Scale!$D156)</f>
        <v/>
      </c>
      <c r="C594" s="80">
        <f>IF(OR(Scale!$U156="",Scale!$U156=0),"","باسکول")</f>
        <v/>
      </c>
      <c r="D594" s="80">
        <f>IF(OR(Scale!$U156="",Scale!$U156=0),"",Scale!$U156)</f>
        <v/>
      </c>
      <c r="E594" s="81">
        <f>IF(OR(Scale!$U156="",Scale!$U156=0),"",Scale!$T156)</f>
        <v/>
      </c>
      <c r="F594" s="81">
        <f>IF(OR(Scale!$U156="",Scale!$U156=0),"",Scale!$J156)</f>
        <v/>
      </c>
      <c r="G594" s="82">
        <f>IF(OR(Scale!$U156="",Scale!$U156=0),"",Scale!$M156)</f>
        <v/>
      </c>
      <c r="H594" s="82">
        <f>IF(OR(Scale!$U156="",Scale!$U156=0),"",Scale!$L156)</f>
        <v/>
      </c>
      <c r="I594" s="82">
        <f>IF(OR(Scale!$U156="",Scale!$U156=0),"",Scale!$N156)</f>
        <v/>
      </c>
      <c r="J594" s="82">
        <f>IF(OR(Scale!$U156="",Scale!$U156=0),"",Scale!$O156)</f>
        <v/>
      </c>
      <c r="K594" s="82">
        <f>IF(OR(Scale!$U156="",Scale!$U156=0),"",IF(Scale!$V156="",0,Scale!$V156)+IF(Scale!$W156="",0,Scale!$W156))</f>
        <v/>
      </c>
      <c r="L594" s="82">
        <f>IF(OR(Scale!$U156="",Scale!$U156=0),"",Scale!$V156)</f>
        <v/>
      </c>
      <c r="M594" s="82">
        <f>IF(OR(Scale!$U156="",Scale!$U156=0),"",Scale!$W156)</f>
        <v/>
      </c>
      <c r="N594" s="81">
        <f>IF(OR(Scale!$U156="",Scale!$U156=0),"",Scale!$E156)</f>
        <v/>
      </c>
      <c r="O594" s="81">
        <f>IF(OR(Scale!$U156="",Scale!$U156=0),"",IFERROR(VLOOKUP(Scale!$U156,AcctTbl,3,0),""))</f>
        <v/>
      </c>
      <c r="P594" s="82">
        <f>IF(Scale!$U156&lt;&gt;"X011","","BN02")</f>
        <v/>
      </c>
    </row>
    <row r="595" ht="20.25" customHeight="1">
      <c r="A595" s="80">
        <f>IF(OR(Scale!$X156="",Scale!$X156=0),"",Scale!$B156)</f>
        <v/>
      </c>
      <c r="B595" s="80">
        <f>IF(OR(Scale!$X156="",Scale!$X156=0),"",Scale!$D156)</f>
        <v/>
      </c>
      <c r="C595" s="80">
        <f>IF(OR(Scale!$X156="",Scale!$X156=0),"","باسکول")</f>
        <v/>
      </c>
      <c r="D595" s="80">
        <f>IF(OR(Scale!$X156="",Scale!$X156=0),"",Scale!$X156)</f>
        <v/>
      </c>
      <c r="E595" s="81">
        <f>IF(OR(Scale!$X156="",Scale!$X156=0),"",IF(Scale!$X156="","","مقابل: "&amp;Scale!$E156))</f>
        <v/>
      </c>
      <c r="F595" s="83" t="n"/>
      <c r="G595" s="83" t="n"/>
      <c r="H595" s="83" t="n"/>
      <c r="I595" s="83" t="n"/>
      <c r="J595" s="83" t="n"/>
      <c r="K595" s="82">
        <f>IF(OR(Scale!$X156="",Scale!$X156=0),"",IF(Scale!$Y156="",0,Scale!$Y156)+IF(Scale!$Z156="",0,Scale!$Z156))</f>
        <v/>
      </c>
      <c r="L595" s="82">
        <f>IF(OR(Scale!$X156="",Scale!$X156=0),"",Scale!$Y156)</f>
        <v/>
      </c>
      <c r="M595" s="82">
        <f>IF(OR(Scale!$X156="",Scale!$X156=0),"",Scale!$Z156)</f>
        <v/>
      </c>
      <c r="N595" s="81">
        <f>IF(OR(Scale!$X156="",Scale!$X156=0),"","مقابل")</f>
        <v/>
      </c>
      <c r="O595" s="81">
        <f>IF(OR(Scale!$X156="",Scale!$X156=0),"",IFERROR(VLOOKUP(Scale!$X156,AcctTbl,3,0),""))</f>
        <v/>
      </c>
      <c r="P595" s="82">
        <f>IF(Scale!$X156&lt;&gt;"X011","","BN02")</f>
        <v/>
      </c>
    </row>
    <row r="596" ht="20.25" customHeight="1">
      <c r="A596" s="80">
        <f>IF(OR(Scale!$AA156="",Scale!$AA156=0),"",Scale!$B156)</f>
        <v/>
      </c>
      <c r="B596" s="80">
        <f>IF(OR(Scale!$AA156="",Scale!$AA156=0),"",Scale!$D156)</f>
        <v/>
      </c>
      <c r="C596" s="80">
        <f>IF(OR(Scale!$AA156="",Scale!$AA156=0),"","باسکول")</f>
        <v/>
      </c>
      <c r="D596" s="80">
        <f>IF(OR(Scale!$AA156="",Scale!$AA156=0),"",Scale!$AA156)</f>
        <v/>
      </c>
      <c r="E596" s="81">
        <f>IF(OR(Scale!$AA156="",Scale!$AA156=0),"",IF(Scale!$AA156="","","پوز باسکول — "&amp;Scale!$E156))</f>
        <v/>
      </c>
      <c r="F596" s="83" t="n"/>
      <c r="G596" s="83" t="n"/>
      <c r="H596" s="83" t="n"/>
      <c r="I596" s="83" t="n"/>
      <c r="J596" s="83" t="n"/>
      <c r="K596" s="82">
        <f>IF(OR(Scale!$AA156="",Scale!$AA156=0),"",IF(Scale!$AB156="",0,Scale!$AB156)+IF(Scale!$AC156="",0,Scale!$AC156))</f>
        <v/>
      </c>
      <c r="L596" s="82">
        <f>IF(OR(Scale!$AA156="",Scale!$AA156=0),"",Scale!$AB156)</f>
        <v/>
      </c>
      <c r="M596" s="82">
        <f>IF(OR(Scale!$AA156="",Scale!$AA156=0),"",Scale!$AC156)</f>
        <v/>
      </c>
      <c r="N596" s="81">
        <f>IF(OR(Scale!$AA156="",Scale!$AA156=0),"","پوز")</f>
        <v/>
      </c>
      <c r="O596" s="81">
        <f>IF(OR(Scale!$AA156="",Scale!$AA156=0),"",IFERROR(VLOOKUP(Scale!$AA156,AcctTbl,3,0),""))</f>
        <v/>
      </c>
      <c r="P596" s="82">
        <f>IF(Scale!$AA156&lt;&gt;"X011","","BN02")</f>
        <v/>
      </c>
    </row>
    <row r="597" ht="20.25" customHeight="1">
      <c r="A597" s="80">
        <f>IF(OR(Scale!$AD156="",Scale!$AD156=0),"",Scale!$B156)</f>
        <v/>
      </c>
      <c r="B597" s="80">
        <f>IF(OR(Scale!$AD156="",Scale!$AD156=0),"",Scale!$D156)</f>
        <v/>
      </c>
      <c r="C597" s="80">
        <f>IF(OR(Scale!$AD156="",Scale!$AD156=0),"","باسکول")</f>
        <v/>
      </c>
      <c r="D597" s="80">
        <f>IF(OR(Scale!$AD156="",Scale!$AD156=0),"",Scale!$AD156)</f>
        <v/>
      </c>
      <c r="E597" s="81">
        <f>IF(OR(Scale!$AD156="",Scale!$AD156=0),"",IF(Scale!$AD156="","","مقابل پوز — "&amp;Scale!$E156))</f>
        <v/>
      </c>
      <c r="F597" s="83" t="n"/>
      <c r="G597" s="83" t="n"/>
      <c r="H597" s="83" t="n"/>
      <c r="I597" s="83" t="n"/>
      <c r="J597" s="83" t="n"/>
      <c r="K597" s="82">
        <f>IF(OR(Scale!$AD156="",Scale!$AD156=0),"",IF(Scale!$AE156="",0,Scale!$AE156)+IF(Scale!$AF156="",0,Scale!$AF156))</f>
        <v/>
      </c>
      <c r="L597" s="82">
        <f>IF(OR(Scale!$AD156="",Scale!$AD156=0),"",Scale!$AE156)</f>
        <v/>
      </c>
      <c r="M597" s="82">
        <f>IF(OR(Scale!$AD156="",Scale!$AD156=0),"",Scale!$AF156)</f>
        <v/>
      </c>
      <c r="N597" s="81">
        <f>IF(OR(Scale!$AD156="",Scale!$AD156=0),"","مقابل پوز")</f>
        <v/>
      </c>
      <c r="O597" s="81">
        <f>IF(OR(Scale!$AD156="",Scale!$AD156=0),"",IFERROR(VLOOKUP(Scale!$AD156,AcctTbl,3,0),""))</f>
        <v/>
      </c>
      <c r="P597" s="82">
        <f>IF(Scale!$AD156&lt;&gt;"X011","","BN02")</f>
        <v/>
      </c>
    </row>
    <row r="598" ht="20.25" customHeight="1">
      <c r="A598" s="80">
        <f>IF(OR(Scale!$U157="",Scale!$U157=0),"",Scale!$B157)</f>
        <v/>
      </c>
      <c r="B598" s="80">
        <f>IF(OR(Scale!$U157="",Scale!$U157=0),"",Scale!$D157)</f>
        <v/>
      </c>
      <c r="C598" s="80">
        <f>IF(OR(Scale!$U157="",Scale!$U157=0),"","باسکول")</f>
        <v/>
      </c>
      <c r="D598" s="80">
        <f>IF(OR(Scale!$U157="",Scale!$U157=0),"",Scale!$U157)</f>
        <v/>
      </c>
      <c r="E598" s="81">
        <f>IF(OR(Scale!$U157="",Scale!$U157=0),"",Scale!$T157)</f>
        <v/>
      </c>
      <c r="F598" s="81">
        <f>IF(OR(Scale!$U157="",Scale!$U157=0),"",Scale!$J157)</f>
        <v/>
      </c>
      <c r="G598" s="82">
        <f>IF(OR(Scale!$U157="",Scale!$U157=0),"",Scale!$M157)</f>
        <v/>
      </c>
      <c r="H598" s="82">
        <f>IF(OR(Scale!$U157="",Scale!$U157=0),"",Scale!$L157)</f>
        <v/>
      </c>
      <c r="I598" s="82">
        <f>IF(OR(Scale!$U157="",Scale!$U157=0),"",Scale!$N157)</f>
        <v/>
      </c>
      <c r="J598" s="82">
        <f>IF(OR(Scale!$U157="",Scale!$U157=0),"",Scale!$O157)</f>
        <v/>
      </c>
      <c r="K598" s="82">
        <f>IF(OR(Scale!$U157="",Scale!$U157=0),"",IF(Scale!$V157="",0,Scale!$V157)+IF(Scale!$W157="",0,Scale!$W157))</f>
        <v/>
      </c>
      <c r="L598" s="82">
        <f>IF(OR(Scale!$U157="",Scale!$U157=0),"",Scale!$V157)</f>
        <v/>
      </c>
      <c r="M598" s="82">
        <f>IF(OR(Scale!$U157="",Scale!$U157=0),"",Scale!$W157)</f>
        <v/>
      </c>
      <c r="N598" s="81">
        <f>IF(OR(Scale!$U157="",Scale!$U157=0),"",Scale!$E157)</f>
        <v/>
      </c>
      <c r="O598" s="81">
        <f>IF(OR(Scale!$U157="",Scale!$U157=0),"",IFERROR(VLOOKUP(Scale!$U157,AcctTbl,3,0),""))</f>
        <v/>
      </c>
      <c r="P598" s="82">
        <f>IF(Scale!$U157&lt;&gt;"X011","","BN02")</f>
        <v/>
      </c>
    </row>
    <row r="599" ht="20.25" customHeight="1">
      <c r="A599" s="80">
        <f>IF(OR(Scale!$X157="",Scale!$X157=0),"",Scale!$B157)</f>
        <v/>
      </c>
      <c r="B599" s="80">
        <f>IF(OR(Scale!$X157="",Scale!$X157=0),"",Scale!$D157)</f>
        <v/>
      </c>
      <c r="C599" s="80">
        <f>IF(OR(Scale!$X157="",Scale!$X157=0),"","باسکول")</f>
        <v/>
      </c>
      <c r="D599" s="80">
        <f>IF(OR(Scale!$X157="",Scale!$X157=0),"",Scale!$X157)</f>
        <v/>
      </c>
      <c r="E599" s="81">
        <f>IF(OR(Scale!$X157="",Scale!$X157=0),"",IF(Scale!$X157="","","مقابل: "&amp;Scale!$E157))</f>
        <v/>
      </c>
      <c r="F599" s="83" t="n"/>
      <c r="G599" s="83" t="n"/>
      <c r="H599" s="83" t="n"/>
      <c r="I599" s="83" t="n"/>
      <c r="J599" s="83" t="n"/>
      <c r="K599" s="82">
        <f>IF(OR(Scale!$X157="",Scale!$X157=0),"",IF(Scale!$Y157="",0,Scale!$Y157)+IF(Scale!$Z157="",0,Scale!$Z157))</f>
        <v/>
      </c>
      <c r="L599" s="82">
        <f>IF(OR(Scale!$X157="",Scale!$X157=0),"",Scale!$Y157)</f>
        <v/>
      </c>
      <c r="M599" s="82">
        <f>IF(OR(Scale!$X157="",Scale!$X157=0),"",Scale!$Z157)</f>
        <v/>
      </c>
      <c r="N599" s="81">
        <f>IF(OR(Scale!$X157="",Scale!$X157=0),"","مقابل")</f>
        <v/>
      </c>
      <c r="O599" s="81">
        <f>IF(OR(Scale!$X157="",Scale!$X157=0),"",IFERROR(VLOOKUP(Scale!$X157,AcctTbl,3,0),""))</f>
        <v/>
      </c>
      <c r="P599" s="82">
        <f>IF(Scale!$X157&lt;&gt;"X011","","BN02")</f>
        <v/>
      </c>
    </row>
    <row r="600" ht="20.25" customHeight="1">
      <c r="A600" s="80">
        <f>IF(OR(Scale!$AA157="",Scale!$AA157=0),"",Scale!$B157)</f>
        <v/>
      </c>
      <c r="B600" s="80">
        <f>IF(OR(Scale!$AA157="",Scale!$AA157=0),"",Scale!$D157)</f>
        <v/>
      </c>
      <c r="C600" s="80">
        <f>IF(OR(Scale!$AA157="",Scale!$AA157=0),"","باسکول")</f>
        <v/>
      </c>
      <c r="D600" s="80">
        <f>IF(OR(Scale!$AA157="",Scale!$AA157=0),"",Scale!$AA157)</f>
        <v/>
      </c>
      <c r="E600" s="81">
        <f>IF(OR(Scale!$AA157="",Scale!$AA157=0),"",IF(Scale!$AA157="","","پوز باسکول — "&amp;Scale!$E157))</f>
        <v/>
      </c>
      <c r="F600" s="83" t="n"/>
      <c r="G600" s="83" t="n"/>
      <c r="H600" s="83" t="n"/>
      <c r="I600" s="83" t="n"/>
      <c r="J600" s="83" t="n"/>
      <c r="K600" s="82">
        <f>IF(OR(Scale!$AA157="",Scale!$AA157=0),"",IF(Scale!$AB157="",0,Scale!$AB157)+IF(Scale!$AC157="",0,Scale!$AC157))</f>
        <v/>
      </c>
      <c r="L600" s="82">
        <f>IF(OR(Scale!$AA157="",Scale!$AA157=0),"",Scale!$AB157)</f>
        <v/>
      </c>
      <c r="M600" s="82">
        <f>IF(OR(Scale!$AA157="",Scale!$AA157=0),"",Scale!$AC157)</f>
        <v/>
      </c>
      <c r="N600" s="81">
        <f>IF(OR(Scale!$AA157="",Scale!$AA157=0),"","پوز")</f>
        <v/>
      </c>
      <c r="O600" s="81">
        <f>IF(OR(Scale!$AA157="",Scale!$AA157=0),"",IFERROR(VLOOKUP(Scale!$AA157,AcctTbl,3,0),""))</f>
        <v/>
      </c>
      <c r="P600" s="82">
        <f>IF(Scale!$AA157&lt;&gt;"X011","","BN02")</f>
        <v/>
      </c>
    </row>
    <row r="601" ht="20.25" customHeight="1">
      <c r="A601" s="80">
        <f>IF(OR(Scale!$AD157="",Scale!$AD157=0),"",Scale!$B157)</f>
        <v/>
      </c>
      <c r="B601" s="80">
        <f>IF(OR(Scale!$AD157="",Scale!$AD157=0),"",Scale!$D157)</f>
        <v/>
      </c>
      <c r="C601" s="80">
        <f>IF(OR(Scale!$AD157="",Scale!$AD157=0),"","باسکول")</f>
        <v/>
      </c>
      <c r="D601" s="80">
        <f>IF(OR(Scale!$AD157="",Scale!$AD157=0),"",Scale!$AD157)</f>
        <v/>
      </c>
      <c r="E601" s="81">
        <f>IF(OR(Scale!$AD157="",Scale!$AD157=0),"",IF(Scale!$AD157="","","مقابل پوز — "&amp;Scale!$E157))</f>
        <v/>
      </c>
      <c r="F601" s="83" t="n"/>
      <c r="G601" s="83" t="n"/>
      <c r="H601" s="83" t="n"/>
      <c r="I601" s="83" t="n"/>
      <c r="J601" s="83" t="n"/>
      <c r="K601" s="82">
        <f>IF(OR(Scale!$AD157="",Scale!$AD157=0),"",IF(Scale!$AE157="",0,Scale!$AE157)+IF(Scale!$AF157="",0,Scale!$AF157))</f>
        <v/>
      </c>
      <c r="L601" s="82">
        <f>IF(OR(Scale!$AD157="",Scale!$AD157=0),"",Scale!$AE157)</f>
        <v/>
      </c>
      <c r="M601" s="82">
        <f>IF(OR(Scale!$AD157="",Scale!$AD157=0),"",Scale!$AF157)</f>
        <v/>
      </c>
      <c r="N601" s="81">
        <f>IF(OR(Scale!$AD157="",Scale!$AD157=0),"","مقابل پوز")</f>
        <v/>
      </c>
      <c r="O601" s="81">
        <f>IF(OR(Scale!$AD157="",Scale!$AD157=0),"",IFERROR(VLOOKUP(Scale!$AD157,AcctTbl,3,0),""))</f>
        <v/>
      </c>
      <c r="P601" s="82">
        <f>IF(Scale!$AD157&lt;&gt;"X011","","BN02")</f>
        <v/>
      </c>
    </row>
    <row r="602" ht="20.25" customHeight="1">
      <c r="A602" s="80">
        <f>IF(OR(Scale!$U158="",Scale!$U158=0),"",Scale!$B158)</f>
        <v/>
      </c>
      <c r="B602" s="80">
        <f>IF(OR(Scale!$U158="",Scale!$U158=0),"",Scale!$D158)</f>
        <v/>
      </c>
      <c r="C602" s="80">
        <f>IF(OR(Scale!$U158="",Scale!$U158=0),"","باسکول")</f>
        <v/>
      </c>
      <c r="D602" s="80">
        <f>IF(OR(Scale!$U158="",Scale!$U158=0),"",Scale!$U158)</f>
        <v/>
      </c>
      <c r="E602" s="81">
        <f>IF(OR(Scale!$U158="",Scale!$U158=0),"",Scale!$T158)</f>
        <v/>
      </c>
      <c r="F602" s="81">
        <f>IF(OR(Scale!$U158="",Scale!$U158=0),"",Scale!$J158)</f>
        <v/>
      </c>
      <c r="G602" s="82">
        <f>IF(OR(Scale!$U158="",Scale!$U158=0),"",Scale!$M158)</f>
        <v/>
      </c>
      <c r="H602" s="82">
        <f>IF(OR(Scale!$U158="",Scale!$U158=0),"",Scale!$L158)</f>
        <v/>
      </c>
      <c r="I602" s="82">
        <f>IF(OR(Scale!$U158="",Scale!$U158=0),"",Scale!$N158)</f>
        <v/>
      </c>
      <c r="J602" s="82">
        <f>IF(OR(Scale!$U158="",Scale!$U158=0),"",Scale!$O158)</f>
        <v/>
      </c>
      <c r="K602" s="82">
        <f>IF(OR(Scale!$U158="",Scale!$U158=0),"",IF(Scale!$V158="",0,Scale!$V158)+IF(Scale!$W158="",0,Scale!$W158))</f>
        <v/>
      </c>
      <c r="L602" s="82">
        <f>IF(OR(Scale!$U158="",Scale!$U158=0),"",Scale!$V158)</f>
        <v/>
      </c>
      <c r="M602" s="82">
        <f>IF(OR(Scale!$U158="",Scale!$U158=0),"",Scale!$W158)</f>
        <v/>
      </c>
      <c r="N602" s="81">
        <f>IF(OR(Scale!$U158="",Scale!$U158=0),"",Scale!$E158)</f>
        <v/>
      </c>
      <c r="O602" s="81">
        <f>IF(OR(Scale!$U158="",Scale!$U158=0),"",IFERROR(VLOOKUP(Scale!$U158,AcctTbl,3,0),""))</f>
        <v/>
      </c>
      <c r="P602" s="82">
        <f>IF(Scale!$U158&lt;&gt;"X011","","BN02")</f>
        <v/>
      </c>
    </row>
    <row r="603" ht="20.25" customHeight="1">
      <c r="A603" s="80">
        <f>IF(OR(Scale!$X158="",Scale!$X158=0),"",Scale!$B158)</f>
        <v/>
      </c>
      <c r="B603" s="80">
        <f>IF(OR(Scale!$X158="",Scale!$X158=0),"",Scale!$D158)</f>
        <v/>
      </c>
      <c r="C603" s="80">
        <f>IF(OR(Scale!$X158="",Scale!$X158=0),"","باسکول")</f>
        <v/>
      </c>
      <c r="D603" s="80">
        <f>IF(OR(Scale!$X158="",Scale!$X158=0),"",Scale!$X158)</f>
        <v/>
      </c>
      <c r="E603" s="81">
        <f>IF(OR(Scale!$X158="",Scale!$X158=0),"",IF(Scale!$X158="","","مقابل: "&amp;Scale!$E158))</f>
        <v/>
      </c>
      <c r="F603" s="83" t="n"/>
      <c r="G603" s="83" t="n"/>
      <c r="H603" s="83" t="n"/>
      <c r="I603" s="83" t="n"/>
      <c r="J603" s="83" t="n"/>
      <c r="K603" s="82">
        <f>IF(OR(Scale!$X158="",Scale!$X158=0),"",IF(Scale!$Y158="",0,Scale!$Y158)+IF(Scale!$Z158="",0,Scale!$Z158))</f>
        <v/>
      </c>
      <c r="L603" s="82">
        <f>IF(OR(Scale!$X158="",Scale!$X158=0),"",Scale!$Y158)</f>
        <v/>
      </c>
      <c r="M603" s="82">
        <f>IF(OR(Scale!$X158="",Scale!$X158=0),"",Scale!$Z158)</f>
        <v/>
      </c>
      <c r="N603" s="81">
        <f>IF(OR(Scale!$X158="",Scale!$X158=0),"","مقابل")</f>
        <v/>
      </c>
      <c r="O603" s="81">
        <f>IF(OR(Scale!$X158="",Scale!$X158=0),"",IFERROR(VLOOKUP(Scale!$X158,AcctTbl,3,0),""))</f>
        <v/>
      </c>
      <c r="P603" s="82">
        <f>IF(Scale!$X158&lt;&gt;"X011","","BN02")</f>
        <v/>
      </c>
    </row>
    <row r="604" ht="20.25" customHeight="1">
      <c r="A604" s="80">
        <f>IF(OR(Scale!$AA158="",Scale!$AA158=0),"",Scale!$B158)</f>
        <v/>
      </c>
      <c r="B604" s="80">
        <f>IF(OR(Scale!$AA158="",Scale!$AA158=0),"",Scale!$D158)</f>
        <v/>
      </c>
      <c r="C604" s="80">
        <f>IF(OR(Scale!$AA158="",Scale!$AA158=0),"","باسکول")</f>
        <v/>
      </c>
      <c r="D604" s="80">
        <f>IF(OR(Scale!$AA158="",Scale!$AA158=0),"",Scale!$AA158)</f>
        <v/>
      </c>
      <c r="E604" s="81">
        <f>IF(OR(Scale!$AA158="",Scale!$AA158=0),"",IF(Scale!$AA158="","","پوز باسکول — "&amp;Scale!$E158))</f>
        <v/>
      </c>
      <c r="F604" s="83" t="n"/>
      <c r="G604" s="83" t="n"/>
      <c r="H604" s="83" t="n"/>
      <c r="I604" s="83" t="n"/>
      <c r="J604" s="83" t="n"/>
      <c r="K604" s="82">
        <f>IF(OR(Scale!$AA158="",Scale!$AA158=0),"",IF(Scale!$AB158="",0,Scale!$AB158)+IF(Scale!$AC158="",0,Scale!$AC158))</f>
        <v/>
      </c>
      <c r="L604" s="82">
        <f>IF(OR(Scale!$AA158="",Scale!$AA158=0),"",Scale!$AB158)</f>
        <v/>
      </c>
      <c r="M604" s="82">
        <f>IF(OR(Scale!$AA158="",Scale!$AA158=0),"",Scale!$AC158)</f>
        <v/>
      </c>
      <c r="N604" s="81">
        <f>IF(OR(Scale!$AA158="",Scale!$AA158=0),"","پوز")</f>
        <v/>
      </c>
      <c r="O604" s="81">
        <f>IF(OR(Scale!$AA158="",Scale!$AA158=0),"",IFERROR(VLOOKUP(Scale!$AA158,AcctTbl,3,0),""))</f>
        <v/>
      </c>
      <c r="P604" s="82">
        <f>IF(Scale!$AA158&lt;&gt;"X011","","BN02")</f>
        <v/>
      </c>
    </row>
    <row r="605" ht="20.25" customHeight="1">
      <c r="A605" s="80">
        <f>IF(OR(Scale!$AD158="",Scale!$AD158=0),"",Scale!$B158)</f>
        <v/>
      </c>
      <c r="B605" s="80">
        <f>IF(OR(Scale!$AD158="",Scale!$AD158=0),"",Scale!$D158)</f>
        <v/>
      </c>
      <c r="C605" s="80">
        <f>IF(OR(Scale!$AD158="",Scale!$AD158=0),"","باسکول")</f>
        <v/>
      </c>
      <c r="D605" s="80">
        <f>IF(OR(Scale!$AD158="",Scale!$AD158=0),"",Scale!$AD158)</f>
        <v/>
      </c>
      <c r="E605" s="81">
        <f>IF(OR(Scale!$AD158="",Scale!$AD158=0),"",IF(Scale!$AD158="","","مقابل پوز — "&amp;Scale!$E158))</f>
        <v/>
      </c>
      <c r="F605" s="83" t="n"/>
      <c r="G605" s="83" t="n"/>
      <c r="H605" s="83" t="n"/>
      <c r="I605" s="83" t="n"/>
      <c r="J605" s="83" t="n"/>
      <c r="K605" s="82">
        <f>IF(OR(Scale!$AD158="",Scale!$AD158=0),"",IF(Scale!$AE158="",0,Scale!$AE158)+IF(Scale!$AF158="",0,Scale!$AF158))</f>
        <v/>
      </c>
      <c r="L605" s="82">
        <f>IF(OR(Scale!$AD158="",Scale!$AD158=0),"",Scale!$AE158)</f>
        <v/>
      </c>
      <c r="M605" s="82">
        <f>IF(OR(Scale!$AD158="",Scale!$AD158=0),"",Scale!$AF158)</f>
        <v/>
      </c>
      <c r="N605" s="81">
        <f>IF(OR(Scale!$AD158="",Scale!$AD158=0),"","مقابل پوز")</f>
        <v/>
      </c>
      <c r="O605" s="81">
        <f>IF(OR(Scale!$AD158="",Scale!$AD158=0),"",IFERROR(VLOOKUP(Scale!$AD158,AcctTbl,3,0),""))</f>
        <v/>
      </c>
      <c r="P605" s="82">
        <f>IF(Scale!$AD158&lt;&gt;"X011","","BN02")</f>
        <v/>
      </c>
    </row>
    <row r="606" ht="20.25" customHeight="1">
      <c r="A606" s="80">
        <f>IF(OR(Scale!$U159="",Scale!$U159=0),"",Scale!$B159)</f>
        <v/>
      </c>
      <c r="B606" s="80">
        <f>IF(OR(Scale!$U159="",Scale!$U159=0),"",Scale!$D159)</f>
        <v/>
      </c>
      <c r="C606" s="80">
        <f>IF(OR(Scale!$U159="",Scale!$U159=0),"","باسکول")</f>
        <v/>
      </c>
      <c r="D606" s="80">
        <f>IF(OR(Scale!$U159="",Scale!$U159=0),"",Scale!$U159)</f>
        <v/>
      </c>
      <c r="E606" s="81">
        <f>IF(OR(Scale!$U159="",Scale!$U159=0),"",Scale!$T159)</f>
        <v/>
      </c>
      <c r="F606" s="81">
        <f>IF(OR(Scale!$U159="",Scale!$U159=0),"",Scale!$J159)</f>
        <v/>
      </c>
      <c r="G606" s="82">
        <f>IF(OR(Scale!$U159="",Scale!$U159=0),"",Scale!$M159)</f>
        <v/>
      </c>
      <c r="H606" s="82">
        <f>IF(OR(Scale!$U159="",Scale!$U159=0),"",Scale!$L159)</f>
        <v/>
      </c>
      <c r="I606" s="82">
        <f>IF(OR(Scale!$U159="",Scale!$U159=0),"",Scale!$N159)</f>
        <v/>
      </c>
      <c r="J606" s="82">
        <f>IF(OR(Scale!$U159="",Scale!$U159=0),"",Scale!$O159)</f>
        <v/>
      </c>
      <c r="K606" s="82">
        <f>IF(OR(Scale!$U159="",Scale!$U159=0),"",IF(Scale!$V159="",0,Scale!$V159)+IF(Scale!$W159="",0,Scale!$W159))</f>
        <v/>
      </c>
      <c r="L606" s="82">
        <f>IF(OR(Scale!$U159="",Scale!$U159=0),"",Scale!$V159)</f>
        <v/>
      </c>
      <c r="M606" s="82">
        <f>IF(OR(Scale!$U159="",Scale!$U159=0),"",Scale!$W159)</f>
        <v/>
      </c>
      <c r="N606" s="81">
        <f>IF(OR(Scale!$U159="",Scale!$U159=0),"",Scale!$E159)</f>
        <v/>
      </c>
      <c r="O606" s="81">
        <f>IF(OR(Scale!$U159="",Scale!$U159=0),"",IFERROR(VLOOKUP(Scale!$U159,AcctTbl,3,0),""))</f>
        <v/>
      </c>
      <c r="P606" s="82">
        <f>IF(Scale!$U159&lt;&gt;"X011","","BN02")</f>
        <v/>
      </c>
    </row>
    <row r="607" ht="20.25" customHeight="1">
      <c r="A607" s="80">
        <f>IF(OR(Scale!$X159="",Scale!$X159=0),"",Scale!$B159)</f>
        <v/>
      </c>
      <c r="B607" s="80">
        <f>IF(OR(Scale!$X159="",Scale!$X159=0),"",Scale!$D159)</f>
        <v/>
      </c>
      <c r="C607" s="80">
        <f>IF(OR(Scale!$X159="",Scale!$X159=0),"","باسکول")</f>
        <v/>
      </c>
      <c r="D607" s="80">
        <f>IF(OR(Scale!$X159="",Scale!$X159=0),"",Scale!$X159)</f>
        <v/>
      </c>
      <c r="E607" s="81">
        <f>IF(OR(Scale!$X159="",Scale!$X159=0),"",IF(Scale!$X159="","","مقابل: "&amp;Scale!$E159))</f>
        <v/>
      </c>
      <c r="F607" s="83" t="n"/>
      <c r="G607" s="83" t="n"/>
      <c r="H607" s="83" t="n"/>
      <c r="I607" s="83" t="n"/>
      <c r="J607" s="83" t="n"/>
      <c r="K607" s="82">
        <f>IF(OR(Scale!$X159="",Scale!$X159=0),"",IF(Scale!$Y159="",0,Scale!$Y159)+IF(Scale!$Z159="",0,Scale!$Z159))</f>
        <v/>
      </c>
      <c r="L607" s="82">
        <f>IF(OR(Scale!$X159="",Scale!$X159=0),"",Scale!$Y159)</f>
        <v/>
      </c>
      <c r="M607" s="82">
        <f>IF(OR(Scale!$X159="",Scale!$X159=0),"",Scale!$Z159)</f>
        <v/>
      </c>
      <c r="N607" s="81">
        <f>IF(OR(Scale!$X159="",Scale!$X159=0),"","مقابل")</f>
        <v/>
      </c>
      <c r="O607" s="81">
        <f>IF(OR(Scale!$X159="",Scale!$X159=0),"",IFERROR(VLOOKUP(Scale!$X159,AcctTbl,3,0),""))</f>
        <v/>
      </c>
      <c r="P607" s="82">
        <f>IF(Scale!$X159&lt;&gt;"X011","","BN02")</f>
        <v/>
      </c>
    </row>
    <row r="608" ht="20.25" customHeight="1">
      <c r="A608" s="80">
        <f>IF(OR(Scale!$AA159="",Scale!$AA159=0),"",Scale!$B159)</f>
        <v/>
      </c>
      <c r="B608" s="80">
        <f>IF(OR(Scale!$AA159="",Scale!$AA159=0),"",Scale!$D159)</f>
        <v/>
      </c>
      <c r="C608" s="80">
        <f>IF(OR(Scale!$AA159="",Scale!$AA159=0),"","باسکول")</f>
        <v/>
      </c>
      <c r="D608" s="80">
        <f>IF(OR(Scale!$AA159="",Scale!$AA159=0),"",Scale!$AA159)</f>
        <v/>
      </c>
      <c r="E608" s="81">
        <f>IF(OR(Scale!$AA159="",Scale!$AA159=0),"",IF(Scale!$AA159="","","پوز باسکول — "&amp;Scale!$E159))</f>
        <v/>
      </c>
      <c r="F608" s="83" t="n"/>
      <c r="G608" s="83" t="n"/>
      <c r="H608" s="83" t="n"/>
      <c r="I608" s="83" t="n"/>
      <c r="J608" s="83" t="n"/>
      <c r="K608" s="82">
        <f>IF(OR(Scale!$AA159="",Scale!$AA159=0),"",IF(Scale!$AB159="",0,Scale!$AB159)+IF(Scale!$AC159="",0,Scale!$AC159))</f>
        <v/>
      </c>
      <c r="L608" s="82">
        <f>IF(OR(Scale!$AA159="",Scale!$AA159=0),"",Scale!$AB159)</f>
        <v/>
      </c>
      <c r="M608" s="82">
        <f>IF(OR(Scale!$AA159="",Scale!$AA159=0),"",Scale!$AC159)</f>
        <v/>
      </c>
      <c r="N608" s="81">
        <f>IF(OR(Scale!$AA159="",Scale!$AA159=0),"","پوز")</f>
        <v/>
      </c>
      <c r="O608" s="81">
        <f>IF(OR(Scale!$AA159="",Scale!$AA159=0),"",IFERROR(VLOOKUP(Scale!$AA159,AcctTbl,3,0),""))</f>
        <v/>
      </c>
      <c r="P608" s="82">
        <f>IF(Scale!$AA159&lt;&gt;"X011","","BN02")</f>
        <v/>
      </c>
    </row>
    <row r="609" ht="20.25" customHeight="1">
      <c r="A609" s="80">
        <f>IF(OR(Scale!$AD159="",Scale!$AD159=0),"",Scale!$B159)</f>
        <v/>
      </c>
      <c r="B609" s="80">
        <f>IF(OR(Scale!$AD159="",Scale!$AD159=0),"",Scale!$D159)</f>
        <v/>
      </c>
      <c r="C609" s="80">
        <f>IF(OR(Scale!$AD159="",Scale!$AD159=0),"","باسکول")</f>
        <v/>
      </c>
      <c r="D609" s="80">
        <f>IF(OR(Scale!$AD159="",Scale!$AD159=0),"",Scale!$AD159)</f>
        <v/>
      </c>
      <c r="E609" s="81">
        <f>IF(OR(Scale!$AD159="",Scale!$AD159=0),"",IF(Scale!$AD159="","","مقابل پوز — "&amp;Scale!$E159))</f>
        <v/>
      </c>
      <c r="F609" s="83" t="n"/>
      <c r="G609" s="83" t="n"/>
      <c r="H609" s="83" t="n"/>
      <c r="I609" s="83" t="n"/>
      <c r="J609" s="83" t="n"/>
      <c r="K609" s="82">
        <f>IF(OR(Scale!$AD159="",Scale!$AD159=0),"",IF(Scale!$AE159="",0,Scale!$AE159)+IF(Scale!$AF159="",0,Scale!$AF159))</f>
        <v/>
      </c>
      <c r="L609" s="82">
        <f>IF(OR(Scale!$AD159="",Scale!$AD159=0),"",Scale!$AE159)</f>
        <v/>
      </c>
      <c r="M609" s="82">
        <f>IF(OR(Scale!$AD159="",Scale!$AD159=0),"",Scale!$AF159)</f>
        <v/>
      </c>
      <c r="N609" s="81">
        <f>IF(OR(Scale!$AD159="",Scale!$AD159=0),"","مقابل پوز")</f>
        <v/>
      </c>
      <c r="O609" s="81">
        <f>IF(OR(Scale!$AD159="",Scale!$AD159=0),"",IFERROR(VLOOKUP(Scale!$AD159,AcctTbl,3,0),""))</f>
        <v/>
      </c>
      <c r="P609" s="82">
        <f>IF(Scale!$AD159&lt;&gt;"X011","","BN02")</f>
        <v/>
      </c>
    </row>
    <row r="610" ht="20.25" customHeight="1">
      <c r="A610" s="80">
        <f>IF(OR(Scale!$U160="",Scale!$U160=0),"",Scale!$B160)</f>
        <v/>
      </c>
      <c r="B610" s="80">
        <f>IF(OR(Scale!$U160="",Scale!$U160=0),"",Scale!$D160)</f>
        <v/>
      </c>
      <c r="C610" s="80">
        <f>IF(OR(Scale!$U160="",Scale!$U160=0),"","باسکول")</f>
        <v/>
      </c>
      <c r="D610" s="80">
        <f>IF(OR(Scale!$U160="",Scale!$U160=0),"",Scale!$U160)</f>
        <v/>
      </c>
      <c r="E610" s="81">
        <f>IF(OR(Scale!$U160="",Scale!$U160=0),"",Scale!$T160)</f>
        <v/>
      </c>
      <c r="F610" s="81">
        <f>IF(OR(Scale!$U160="",Scale!$U160=0),"",Scale!$J160)</f>
        <v/>
      </c>
      <c r="G610" s="82">
        <f>IF(OR(Scale!$U160="",Scale!$U160=0),"",Scale!$M160)</f>
        <v/>
      </c>
      <c r="H610" s="82">
        <f>IF(OR(Scale!$U160="",Scale!$U160=0),"",Scale!$L160)</f>
        <v/>
      </c>
      <c r="I610" s="82">
        <f>IF(OR(Scale!$U160="",Scale!$U160=0),"",Scale!$N160)</f>
        <v/>
      </c>
      <c r="J610" s="82">
        <f>IF(OR(Scale!$U160="",Scale!$U160=0),"",Scale!$O160)</f>
        <v/>
      </c>
      <c r="K610" s="82">
        <f>IF(OR(Scale!$U160="",Scale!$U160=0),"",IF(Scale!$V160="",0,Scale!$V160)+IF(Scale!$W160="",0,Scale!$W160))</f>
        <v/>
      </c>
      <c r="L610" s="82">
        <f>IF(OR(Scale!$U160="",Scale!$U160=0),"",Scale!$V160)</f>
        <v/>
      </c>
      <c r="M610" s="82">
        <f>IF(OR(Scale!$U160="",Scale!$U160=0),"",Scale!$W160)</f>
        <v/>
      </c>
      <c r="N610" s="81">
        <f>IF(OR(Scale!$U160="",Scale!$U160=0),"",Scale!$E160)</f>
        <v/>
      </c>
      <c r="O610" s="81">
        <f>IF(OR(Scale!$U160="",Scale!$U160=0),"",IFERROR(VLOOKUP(Scale!$U160,AcctTbl,3,0),""))</f>
        <v/>
      </c>
      <c r="P610" s="82">
        <f>IF(Scale!$U160&lt;&gt;"X011","","BN02")</f>
        <v/>
      </c>
    </row>
    <row r="611" ht="20.25" customHeight="1">
      <c r="A611" s="80">
        <f>IF(OR(Scale!$X160="",Scale!$X160=0),"",Scale!$B160)</f>
        <v/>
      </c>
      <c r="B611" s="80">
        <f>IF(OR(Scale!$X160="",Scale!$X160=0),"",Scale!$D160)</f>
        <v/>
      </c>
      <c r="C611" s="80">
        <f>IF(OR(Scale!$X160="",Scale!$X160=0),"","باسکول")</f>
        <v/>
      </c>
      <c r="D611" s="80">
        <f>IF(OR(Scale!$X160="",Scale!$X160=0),"",Scale!$X160)</f>
        <v/>
      </c>
      <c r="E611" s="81">
        <f>IF(OR(Scale!$X160="",Scale!$X160=0),"",IF(Scale!$X160="","","مقابل: "&amp;Scale!$E160))</f>
        <v/>
      </c>
      <c r="F611" s="83" t="n"/>
      <c r="G611" s="83" t="n"/>
      <c r="H611" s="83" t="n"/>
      <c r="I611" s="83" t="n"/>
      <c r="J611" s="83" t="n"/>
      <c r="K611" s="82">
        <f>IF(OR(Scale!$X160="",Scale!$X160=0),"",IF(Scale!$Y160="",0,Scale!$Y160)+IF(Scale!$Z160="",0,Scale!$Z160))</f>
        <v/>
      </c>
      <c r="L611" s="82">
        <f>IF(OR(Scale!$X160="",Scale!$X160=0),"",Scale!$Y160)</f>
        <v/>
      </c>
      <c r="M611" s="82">
        <f>IF(OR(Scale!$X160="",Scale!$X160=0),"",Scale!$Z160)</f>
        <v/>
      </c>
      <c r="N611" s="81">
        <f>IF(OR(Scale!$X160="",Scale!$X160=0),"","مقابل")</f>
        <v/>
      </c>
      <c r="O611" s="81">
        <f>IF(OR(Scale!$X160="",Scale!$X160=0),"",IFERROR(VLOOKUP(Scale!$X160,AcctTbl,3,0),""))</f>
        <v/>
      </c>
      <c r="P611" s="82">
        <f>IF(Scale!$X160&lt;&gt;"X011","","BN02")</f>
        <v/>
      </c>
    </row>
    <row r="612" ht="20.25" customHeight="1">
      <c r="A612" s="80">
        <f>IF(OR(Scale!$AA160="",Scale!$AA160=0),"",Scale!$B160)</f>
        <v/>
      </c>
      <c r="B612" s="80">
        <f>IF(OR(Scale!$AA160="",Scale!$AA160=0),"",Scale!$D160)</f>
        <v/>
      </c>
      <c r="C612" s="80">
        <f>IF(OR(Scale!$AA160="",Scale!$AA160=0),"","باسکول")</f>
        <v/>
      </c>
      <c r="D612" s="80">
        <f>IF(OR(Scale!$AA160="",Scale!$AA160=0),"",Scale!$AA160)</f>
        <v/>
      </c>
      <c r="E612" s="81">
        <f>IF(OR(Scale!$AA160="",Scale!$AA160=0),"",IF(Scale!$AA160="","","پوز باسکول — "&amp;Scale!$E160))</f>
        <v/>
      </c>
      <c r="F612" s="83" t="n"/>
      <c r="G612" s="83" t="n"/>
      <c r="H612" s="83" t="n"/>
      <c r="I612" s="83" t="n"/>
      <c r="J612" s="83" t="n"/>
      <c r="K612" s="82">
        <f>IF(OR(Scale!$AA160="",Scale!$AA160=0),"",IF(Scale!$AB160="",0,Scale!$AB160)+IF(Scale!$AC160="",0,Scale!$AC160))</f>
        <v/>
      </c>
      <c r="L612" s="82">
        <f>IF(OR(Scale!$AA160="",Scale!$AA160=0),"",Scale!$AB160)</f>
        <v/>
      </c>
      <c r="M612" s="82">
        <f>IF(OR(Scale!$AA160="",Scale!$AA160=0),"",Scale!$AC160)</f>
        <v/>
      </c>
      <c r="N612" s="81">
        <f>IF(OR(Scale!$AA160="",Scale!$AA160=0),"","پوز")</f>
        <v/>
      </c>
      <c r="O612" s="81">
        <f>IF(OR(Scale!$AA160="",Scale!$AA160=0),"",IFERROR(VLOOKUP(Scale!$AA160,AcctTbl,3,0),""))</f>
        <v/>
      </c>
      <c r="P612" s="82">
        <f>IF(Scale!$AA160&lt;&gt;"X011","","BN02")</f>
        <v/>
      </c>
    </row>
    <row r="613" ht="20.25" customHeight="1">
      <c r="A613" s="80">
        <f>IF(OR(Scale!$AD160="",Scale!$AD160=0),"",Scale!$B160)</f>
        <v/>
      </c>
      <c r="B613" s="80">
        <f>IF(OR(Scale!$AD160="",Scale!$AD160=0),"",Scale!$D160)</f>
        <v/>
      </c>
      <c r="C613" s="80">
        <f>IF(OR(Scale!$AD160="",Scale!$AD160=0),"","باسکول")</f>
        <v/>
      </c>
      <c r="D613" s="80">
        <f>IF(OR(Scale!$AD160="",Scale!$AD160=0),"",Scale!$AD160)</f>
        <v/>
      </c>
      <c r="E613" s="81">
        <f>IF(OR(Scale!$AD160="",Scale!$AD160=0),"",IF(Scale!$AD160="","","مقابل پوز — "&amp;Scale!$E160))</f>
        <v/>
      </c>
      <c r="F613" s="83" t="n"/>
      <c r="G613" s="83" t="n"/>
      <c r="H613" s="83" t="n"/>
      <c r="I613" s="83" t="n"/>
      <c r="J613" s="83" t="n"/>
      <c r="K613" s="82">
        <f>IF(OR(Scale!$AD160="",Scale!$AD160=0),"",IF(Scale!$AE160="",0,Scale!$AE160)+IF(Scale!$AF160="",0,Scale!$AF160))</f>
        <v/>
      </c>
      <c r="L613" s="82">
        <f>IF(OR(Scale!$AD160="",Scale!$AD160=0),"",Scale!$AE160)</f>
        <v/>
      </c>
      <c r="M613" s="82">
        <f>IF(OR(Scale!$AD160="",Scale!$AD160=0),"",Scale!$AF160)</f>
        <v/>
      </c>
      <c r="N613" s="81">
        <f>IF(OR(Scale!$AD160="",Scale!$AD160=0),"","مقابل پوز")</f>
        <v/>
      </c>
      <c r="O613" s="81">
        <f>IF(OR(Scale!$AD160="",Scale!$AD160=0),"",IFERROR(VLOOKUP(Scale!$AD160,AcctTbl,3,0),""))</f>
        <v/>
      </c>
      <c r="P613" s="82">
        <f>IF(Scale!$AD160&lt;&gt;"X011","","BN02")</f>
        <v/>
      </c>
    </row>
    <row r="614" ht="20.25" customHeight="1">
      <c r="A614" s="80">
        <f>IF(OR(Scale!$U161="",Scale!$U161=0),"",Scale!$B161)</f>
        <v/>
      </c>
      <c r="B614" s="80">
        <f>IF(OR(Scale!$U161="",Scale!$U161=0),"",Scale!$D161)</f>
        <v/>
      </c>
      <c r="C614" s="80">
        <f>IF(OR(Scale!$U161="",Scale!$U161=0),"","باسکول")</f>
        <v/>
      </c>
      <c r="D614" s="80">
        <f>IF(OR(Scale!$U161="",Scale!$U161=0),"",Scale!$U161)</f>
        <v/>
      </c>
      <c r="E614" s="81">
        <f>IF(OR(Scale!$U161="",Scale!$U161=0),"",Scale!$T161)</f>
        <v/>
      </c>
      <c r="F614" s="81">
        <f>IF(OR(Scale!$U161="",Scale!$U161=0),"",Scale!$J161)</f>
        <v/>
      </c>
      <c r="G614" s="82">
        <f>IF(OR(Scale!$U161="",Scale!$U161=0),"",Scale!$M161)</f>
        <v/>
      </c>
      <c r="H614" s="82">
        <f>IF(OR(Scale!$U161="",Scale!$U161=0),"",Scale!$L161)</f>
        <v/>
      </c>
      <c r="I614" s="82">
        <f>IF(OR(Scale!$U161="",Scale!$U161=0),"",Scale!$N161)</f>
        <v/>
      </c>
      <c r="J614" s="82">
        <f>IF(OR(Scale!$U161="",Scale!$U161=0),"",Scale!$O161)</f>
        <v/>
      </c>
      <c r="K614" s="82">
        <f>IF(OR(Scale!$U161="",Scale!$U161=0),"",IF(Scale!$V161="",0,Scale!$V161)+IF(Scale!$W161="",0,Scale!$W161))</f>
        <v/>
      </c>
      <c r="L614" s="82">
        <f>IF(OR(Scale!$U161="",Scale!$U161=0),"",Scale!$V161)</f>
        <v/>
      </c>
      <c r="M614" s="82">
        <f>IF(OR(Scale!$U161="",Scale!$U161=0),"",Scale!$W161)</f>
        <v/>
      </c>
      <c r="N614" s="81">
        <f>IF(OR(Scale!$U161="",Scale!$U161=0),"",Scale!$E161)</f>
        <v/>
      </c>
      <c r="O614" s="81">
        <f>IF(OR(Scale!$U161="",Scale!$U161=0),"",IFERROR(VLOOKUP(Scale!$U161,AcctTbl,3,0),""))</f>
        <v/>
      </c>
      <c r="P614" s="82">
        <f>IF(Scale!$U161&lt;&gt;"X011","","BN02")</f>
        <v/>
      </c>
    </row>
    <row r="615" ht="20.25" customHeight="1">
      <c r="A615" s="80">
        <f>IF(OR(Scale!$X161="",Scale!$X161=0),"",Scale!$B161)</f>
        <v/>
      </c>
      <c r="B615" s="80">
        <f>IF(OR(Scale!$X161="",Scale!$X161=0),"",Scale!$D161)</f>
        <v/>
      </c>
      <c r="C615" s="80">
        <f>IF(OR(Scale!$X161="",Scale!$X161=0),"","باسکول")</f>
        <v/>
      </c>
      <c r="D615" s="80">
        <f>IF(OR(Scale!$X161="",Scale!$X161=0),"",Scale!$X161)</f>
        <v/>
      </c>
      <c r="E615" s="81">
        <f>IF(OR(Scale!$X161="",Scale!$X161=0),"",IF(Scale!$X161="","","مقابل: "&amp;Scale!$E161))</f>
        <v/>
      </c>
      <c r="F615" s="83" t="n"/>
      <c r="G615" s="83" t="n"/>
      <c r="H615" s="83" t="n"/>
      <c r="I615" s="83" t="n"/>
      <c r="J615" s="83" t="n"/>
      <c r="K615" s="82">
        <f>IF(OR(Scale!$X161="",Scale!$X161=0),"",IF(Scale!$Y161="",0,Scale!$Y161)+IF(Scale!$Z161="",0,Scale!$Z161))</f>
        <v/>
      </c>
      <c r="L615" s="82">
        <f>IF(OR(Scale!$X161="",Scale!$X161=0),"",Scale!$Y161)</f>
        <v/>
      </c>
      <c r="M615" s="82">
        <f>IF(OR(Scale!$X161="",Scale!$X161=0),"",Scale!$Z161)</f>
        <v/>
      </c>
      <c r="N615" s="81">
        <f>IF(OR(Scale!$X161="",Scale!$X161=0),"","مقابل")</f>
        <v/>
      </c>
      <c r="O615" s="81">
        <f>IF(OR(Scale!$X161="",Scale!$X161=0),"",IFERROR(VLOOKUP(Scale!$X161,AcctTbl,3,0),""))</f>
        <v/>
      </c>
      <c r="P615" s="82">
        <f>IF(Scale!$X161&lt;&gt;"X011","","BN02")</f>
        <v/>
      </c>
    </row>
    <row r="616" ht="20.25" customHeight="1">
      <c r="A616" s="80">
        <f>IF(OR(Scale!$AA161="",Scale!$AA161=0),"",Scale!$B161)</f>
        <v/>
      </c>
      <c r="B616" s="80">
        <f>IF(OR(Scale!$AA161="",Scale!$AA161=0),"",Scale!$D161)</f>
        <v/>
      </c>
      <c r="C616" s="80">
        <f>IF(OR(Scale!$AA161="",Scale!$AA161=0),"","باسکول")</f>
        <v/>
      </c>
      <c r="D616" s="80">
        <f>IF(OR(Scale!$AA161="",Scale!$AA161=0),"",Scale!$AA161)</f>
        <v/>
      </c>
      <c r="E616" s="81">
        <f>IF(OR(Scale!$AA161="",Scale!$AA161=0),"",IF(Scale!$AA161="","","پوز باسکول — "&amp;Scale!$E161))</f>
        <v/>
      </c>
      <c r="F616" s="83" t="n"/>
      <c r="G616" s="83" t="n"/>
      <c r="H616" s="83" t="n"/>
      <c r="I616" s="83" t="n"/>
      <c r="J616" s="83" t="n"/>
      <c r="K616" s="82">
        <f>IF(OR(Scale!$AA161="",Scale!$AA161=0),"",IF(Scale!$AB161="",0,Scale!$AB161)+IF(Scale!$AC161="",0,Scale!$AC161))</f>
        <v/>
      </c>
      <c r="L616" s="82">
        <f>IF(OR(Scale!$AA161="",Scale!$AA161=0),"",Scale!$AB161)</f>
        <v/>
      </c>
      <c r="M616" s="82">
        <f>IF(OR(Scale!$AA161="",Scale!$AA161=0),"",Scale!$AC161)</f>
        <v/>
      </c>
      <c r="N616" s="81">
        <f>IF(OR(Scale!$AA161="",Scale!$AA161=0),"","پوز")</f>
        <v/>
      </c>
      <c r="O616" s="81">
        <f>IF(OR(Scale!$AA161="",Scale!$AA161=0),"",IFERROR(VLOOKUP(Scale!$AA161,AcctTbl,3,0),""))</f>
        <v/>
      </c>
      <c r="P616" s="82">
        <f>IF(Scale!$AA161&lt;&gt;"X011","","BN02")</f>
        <v/>
      </c>
    </row>
    <row r="617" ht="20.25" customHeight="1">
      <c r="A617" s="80">
        <f>IF(OR(Scale!$AD161="",Scale!$AD161=0),"",Scale!$B161)</f>
        <v/>
      </c>
      <c r="B617" s="80">
        <f>IF(OR(Scale!$AD161="",Scale!$AD161=0),"",Scale!$D161)</f>
        <v/>
      </c>
      <c r="C617" s="80">
        <f>IF(OR(Scale!$AD161="",Scale!$AD161=0),"","باسکول")</f>
        <v/>
      </c>
      <c r="D617" s="80">
        <f>IF(OR(Scale!$AD161="",Scale!$AD161=0),"",Scale!$AD161)</f>
        <v/>
      </c>
      <c r="E617" s="81">
        <f>IF(OR(Scale!$AD161="",Scale!$AD161=0),"",IF(Scale!$AD161="","","مقابل پوز — "&amp;Scale!$E161))</f>
        <v/>
      </c>
      <c r="F617" s="83" t="n"/>
      <c r="G617" s="83" t="n"/>
      <c r="H617" s="83" t="n"/>
      <c r="I617" s="83" t="n"/>
      <c r="J617" s="83" t="n"/>
      <c r="K617" s="82">
        <f>IF(OR(Scale!$AD161="",Scale!$AD161=0),"",IF(Scale!$AE161="",0,Scale!$AE161)+IF(Scale!$AF161="",0,Scale!$AF161))</f>
        <v/>
      </c>
      <c r="L617" s="82">
        <f>IF(OR(Scale!$AD161="",Scale!$AD161=0),"",Scale!$AE161)</f>
        <v/>
      </c>
      <c r="M617" s="82">
        <f>IF(OR(Scale!$AD161="",Scale!$AD161=0),"",Scale!$AF161)</f>
        <v/>
      </c>
      <c r="N617" s="81">
        <f>IF(OR(Scale!$AD161="",Scale!$AD161=0),"","مقابل پوز")</f>
        <v/>
      </c>
      <c r="O617" s="81">
        <f>IF(OR(Scale!$AD161="",Scale!$AD161=0),"",IFERROR(VLOOKUP(Scale!$AD161,AcctTbl,3,0),""))</f>
        <v/>
      </c>
      <c r="P617" s="82">
        <f>IF(Scale!$AD161&lt;&gt;"X011","","BN02")</f>
        <v/>
      </c>
    </row>
    <row r="618" ht="20.25" customHeight="1">
      <c r="A618" s="80">
        <f>IF(OR(Scale!$U162="",Scale!$U162=0),"",Scale!$B162)</f>
        <v/>
      </c>
      <c r="B618" s="80">
        <f>IF(OR(Scale!$U162="",Scale!$U162=0),"",Scale!$D162)</f>
        <v/>
      </c>
      <c r="C618" s="80">
        <f>IF(OR(Scale!$U162="",Scale!$U162=0),"","باسکول")</f>
        <v/>
      </c>
      <c r="D618" s="80">
        <f>IF(OR(Scale!$U162="",Scale!$U162=0),"",Scale!$U162)</f>
        <v/>
      </c>
      <c r="E618" s="81">
        <f>IF(OR(Scale!$U162="",Scale!$U162=0),"",Scale!$T162)</f>
        <v/>
      </c>
      <c r="F618" s="81">
        <f>IF(OR(Scale!$U162="",Scale!$U162=0),"",Scale!$J162)</f>
        <v/>
      </c>
      <c r="G618" s="82">
        <f>IF(OR(Scale!$U162="",Scale!$U162=0),"",Scale!$M162)</f>
        <v/>
      </c>
      <c r="H618" s="82">
        <f>IF(OR(Scale!$U162="",Scale!$U162=0),"",Scale!$L162)</f>
        <v/>
      </c>
      <c r="I618" s="82">
        <f>IF(OR(Scale!$U162="",Scale!$U162=0),"",Scale!$N162)</f>
        <v/>
      </c>
      <c r="J618" s="82">
        <f>IF(OR(Scale!$U162="",Scale!$U162=0),"",Scale!$O162)</f>
        <v/>
      </c>
      <c r="K618" s="82">
        <f>IF(OR(Scale!$U162="",Scale!$U162=0),"",IF(Scale!$V162="",0,Scale!$V162)+IF(Scale!$W162="",0,Scale!$W162))</f>
        <v/>
      </c>
      <c r="L618" s="82">
        <f>IF(OR(Scale!$U162="",Scale!$U162=0),"",Scale!$V162)</f>
        <v/>
      </c>
      <c r="M618" s="82">
        <f>IF(OR(Scale!$U162="",Scale!$U162=0),"",Scale!$W162)</f>
        <v/>
      </c>
      <c r="N618" s="81">
        <f>IF(OR(Scale!$U162="",Scale!$U162=0),"",Scale!$E162)</f>
        <v/>
      </c>
      <c r="O618" s="81">
        <f>IF(OR(Scale!$U162="",Scale!$U162=0),"",IFERROR(VLOOKUP(Scale!$U162,AcctTbl,3,0),""))</f>
        <v/>
      </c>
      <c r="P618" s="82">
        <f>IF(Scale!$U162&lt;&gt;"X011","","BN02")</f>
        <v/>
      </c>
    </row>
    <row r="619" ht="20.25" customHeight="1">
      <c r="A619" s="80">
        <f>IF(OR(Scale!$X162="",Scale!$X162=0),"",Scale!$B162)</f>
        <v/>
      </c>
      <c r="B619" s="80">
        <f>IF(OR(Scale!$X162="",Scale!$X162=0),"",Scale!$D162)</f>
        <v/>
      </c>
      <c r="C619" s="80">
        <f>IF(OR(Scale!$X162="",Scale!$X162=0),"","باسکول")</f>
        <v/>
      </c>
      <c r="D619" s="80">
        <f>IF(OR(Scale!$X162="",Scale!$X162=0),"",Scale!$X162)</f>
        <v/>
      </c>
      <c r="E619" s="81">
        <f>IF(OR(Scale!$X162="",Scale!$X162=0),"",IF(Scale!$X162="","","مقابل: "&amp;Scale!$E162))</f>
        <v/>
      </c>
      <c r="F619" s="83" t="n"/>
      <c r="G619" s="83" t="n"/>
      <c r="H619" s="83" t="n"/>
      <c r="I619" s="83" t="n"/>
      <c r="J619" s="83" t="n"/>
      <c r="K619" s="82">
        <f>IF(OR(Scale!$X162="",Scale!$X162=0),"",IF(Scale!$Y162="",0,Scale!$Y162)+IF(Scale!$Z162="",0,Scale!$Z162))</f>
        <v/>
      </c>
      <c r="L619" s="82">
        <f>IF(OR(Scale!$X162="",Scale!$X162=0),"",Scale!$Y162)</f>
        <v/>
      </c>
      <c r="M619" s="82">
        <f>IF(OR(Scale!$X162="",Scale!$X162=0),"",Scale!$Z162)</f>
        <v/>
      </c>
      <c r="N619" s="81">
        <f>IF(OR(Scale!$X162="",Scale!$X162=0),"","مقابل")</f>
        <v/>
      </c>
      <c r="O619" s="81">
        <f>IF(OR(Scale!$X162="",Scale!$X162=0),"",IFERROR(VLOOKUP(Scale!$X162,AcctTbl,3,0),""))</f>
        <v/>
      </c>
      <c r="P619" s="82">
        <f>IF(Scale!$X162&lt;&gt;"X011","","BN02")</f>
        <v/>
      </c>
    </row>
    <row r="620" ht="20.25" customHeight="1">
      <c r="A620" s="80">
        <f>IF(OR(Scale!$AA162="",Scale!$AA162=0),"",Scale!$B162)</f>
        <v/>
      </c>
      <c r="B620" s="80">
        <f>IF(OR(Scale!$AA162="",Scale!$AA162=0),"",Scale!$D162)</f>
        <v/>
      </c>
      <c r="C620" s="80">
        <f>IF(OR(Scale!$AA162="",Scale!$AA162=0),"","باسکول")</f>
        <v/>
      </c>
      <c r="D620" s="80">
        <f>IF(OR(Scale!$AA162="",Scale!$AA162=0),"",Scale!$AA162)</f>
        <v/>
      </c>
      <c r="E620" s="81">
        <f>IF(OR(Scale!$AA162="",Scale!$AA162=0),"",IF(Scale!$AA162="","","پوز باسکول — "&amp;Scale!$E162))</f>
        <v/>
      </c>
      <c r="F620" s="83" t="n"/>
      <c r="G620" s="83" t="n"/>
      <c r="H620" s="83" t="n"/>
      <c r="I620" s="83" t="n"/>
      <c r="J620" s="83" t="n"/>
      <c r="K620" s="82">
        <f>IF(OR(Scale!$AA162="",Scale!$AA162=0),"",IF(Scale!$AB162="",0,Scale!$AB162)+IF(Scale!$AC162="",0,Scale!$AC162))</f>
        <v/>
      </c>
      <c r="L620" s="82">
        <f>IF(OR(Scale!$AA162="",Scale!$AA162=0),"",Scale!$AB162)</f>
        <v/>
      </c>
      <c r="M620" s="82">
        <f>IF(OR(Scale!$AA162="",Scale!$AA162=0),"",Scale!$AC162)</f>
        <v/>
      </c>
      <c r="N620" s="81">
        <f>IF(OR(Scale!$AA162="",Scale!$AA162=0),"","پوز")</f>
        <v/>
      </c>
      <c r="O620" s="81">
        <f>IF(OR(Scale!$AA162="",Scale!$AA162=0),"",IFERROR(VLOOKUP(Scale!$AA162,AcctTbl,3,0),""))</f>
        <v/>
      </c>
      <c r="P620" s="82">
        <f>IF(Scale!$AA162&lt;&gt;"X011","","BN02")</f>
        <v/>
      </c>
    </row>
    <row r="621" ht="20.25" customHeight="1">
      <c r="A621" s="80">
        <f>IF(OR(Scale!$AD162="",Scale!$AD162=0),"",Scale!$B162)</f>
        <v/>
      </c>
      <c r="B621" s="80">
        <f>IF(OR(Scale!$AD162="",Scale!$AD162=0),"",Scale!$D162)</f>
        <v/>
      </c>
      <c r="C621" s="80">
        <f>IF(OR(Scale!$AD162="",Scale!$AD162=0),"","باسکول")</f>
        <v/>
      </c>
      <c r="D621" s="80">
        <f>IF(OR(Scale!$AD162="",Scale!$AD162=0),"",Scale!$AD162)</f>
        <v/>
      </c>
      <c r="E621" s="81">
        <f>IF(OR(Scale!$AD162="",Scale!$AD162=0),"",IF(Scale!$AD162="","","مقابل پوز — "&amp;Scale!$E162))</f>
        <v/>
      </c>
      <c r="F621" s="83" t="n"/>
      <c r="G621" s="83" t="n"/>
      <c r="H621" s="83" t="n"/>
      <c r="I621" s="83" t="n"/>
      <c r="J621" s="83" t="n"/>
      <c r="K621" s="82">
        <f>IF(OR(Scale!$AD162="",Scale!$AD162=0),"",IF(Scale!$AE162="",0,Scale!$AE162)+IF(Scale!$AF162="",0,Scale!$AF162))</f>
        <v/>
      </c>
      <c r="L621" s="82">
        <f>IF(OR(Scale!$AD162="",Scale!$AD162=0),"",Scale!$AE162)</f>
        <v/>
      </c>
      <c r="M621" s="82">
        <f>IF(OR(Scale!$AD162="",Scale!$AD162=0),"",Scale!$AF162)</f>
        <v/>
      </c>
      <c r="N621" s="81">
        <f>IF(OR(Scale!$AD162="",Scale!$AD162=0),"","مقابل پوز")</f>
        <v/>
      </c>
      <c r="O621" s="81">
        <f>IF(OR(Scale!$AD162="",Scale!$AD162=0),"",IFERROR(VLOOKUP(Scale!$AD162,AcctTbl,3,0),""))</f>
        <v/>
      </c>
      <c r="P621" s="82">
        <f>IF(Scale!$AD162&lt;&gt;"X011","","BN02")</f>
        <v/>
      </c>
    </row>
    <row r="622" ht="20.25" customHeight="1">
      <c r="A622" s="80">
        <f>IF(OR(Scale!$U163="",Scale!$U163=0),"",Scale!$B163)</f>
        <v/>
      </c>
      <c r="B622" s="80">
        <f>IF(OR(Scale!$U163="",Scale!$U163=0),"",Scale!$D163)</f>
        <v/>
      </c>
      <c r="C622" s="80">
        <f>IF(OR(Scale!$U163="",Scale!$U163=0),"","باسکول")</f>
        <v/>
      </c>
      <c r="D622" s="80">
        <f>IF(OR(Scale!$U163="",Scale!$U163=0),"",Scale!$U163)</f>
        <v/>
      </c>
      <c r="E622" s="81">
        <f>IF(OR(Scale!$U163="",Scale!$U163=0),"",Scale!$T163)</f>
        <v/>
      </c>
      <c r="F622" s="81">
        <f>IF(OR(Scale!$U163="",Scale!$U163=0),"",Scale!$J163)</f>
        <v/>
      </c>
      <c r="G622" s="82">
        <f>IF(OR(Scale!$U163="",Scale!$U163=0),"",Scale!$M163)</f>
        <v/>
      </c>
      <c r="H622" s="82">
        <f>IF(OR(Scale!$U163="",Scale!$U163=0),"",Scale!$L163)</f>
        <v/>
      </c>
      <c r="I622" s="82">
        <f>IF(OR(Scale!$U163="",Scale!$U163=0),"",Scale!$N163)</f>
        <v/>
      </c>
      <c r="J622" s="82">
        <f>IF(OR(Scale!$U163="",Scale!$U163=0),"",Scale!$O163)</f>
        <v/>
      </c>
      <c r="K622" s="82">
        <f>IF(OR(Scale!$U163="",Scale!$U163=0),"",IF(Scale!$V163="",0,Scale!$V163)+IF(Scale!$W163="",0,Scale!$W163))</f>
        <v/>
      </c>
      <c r="L622" s="82">
        <f>IF(OR(Scale!$U163="",Scale!$U163=0),"",Scale!$V163)</f>
        <v/>
      </c>
      <c r="M622" s="82">
        <f>IF(OR(Scale!$U163="",Scale!$U163=0),"",Scale!$W163)</f>
        <v/>
      </c>
      <c r="N622" s="81">
        <f>IF(OR(Scale!$U163="",Scale!$U163=0),"",Scale!$E163)</f>
        <v/>
      </c>
      <c r="O622" s="81">
        <f>IF(OR(Scale!$U163="",Scale!$U163=0),"",IFERROR(VLOOKUP(Scale!$U163,AcctTbl,3,0),""))</f>
        <v/>
      </c>
      <c r="P622" s="82">
        <f>IF(Scale!$U163&lt;&gt;"X011","","BN02")</f>
        <v/>
      </c>
    </row>
    <row r="623" ht="20.25" customHeight="1">
      <c r="A623" s="80">
        <f>IF(OR(Scale!$X163="",Scale!$X163=0),"",Scale!$B163)</f>
        <v/>
      </c>
      <c r="B623" s="80">
        <f>IF(OR(Scale!$X163="",Scale!$X163=0),"",Scale!$D163)</f>
        <v/>
      </c>
      <c r="C623" s="80">
        <f>IF(OR(Scale!$X163="",Scale!$X163=0),"","باسکول")</f>
        <v/>
      </c>
      <c r="D623" s="80">
        <f>IF(OR(Scale!$X163="",Scale!$X163=0),"",Scale!$X163)</f>
        <v/>
      </c>
      <c r="E623" s="81">
        <f>IF(OR(Scale!$X163="",Scale!$X163=0),"",IF(Scale!$X163="","","مقابل: "&amp;Scale!$E163))</f>
        <v/>
      </c>
      <c r="F623" s="83" t="n"/>
      <c r="G623" s="83" t="n"/>
      <c r="H623" s="83" t="n"/>
      <c r="I623" s="83" t="n"/>
      <c r="J623" s="83" t="n"/>
      <c r="K623" s="82">
        <f>IF(OR(Scale!$X163="",Scale!$X163=0),"",IF(Scale!$Y163="",0,Scale!$Y163)+IF(Scale!$Z163="",0,Scale!$Z163))</f>
        <v/>
      </c>
      <c r="L623" s="82">
        <f>IF(OR(Scale!$X163="",Scale!$X163=0),"",Scale!$Y163)</f>
        <v/>
      </c>
      <c r="M623" s="82">
        <f>IF(OR(Scale!$X163="",Scale!$X163=0),"",Scale!$Z163)</f>
        <v/>
      </c>
      <c r="N623" s="81">
        <f>IF(OR(Scale!$X163="",Scale!$X163=0),"","مقابل")</f>
        <v/>
      </c>
      <c r="O623" s="81">
        <f>IF(OR(Scale!$X163="",Scale!$X163=0),"",IFERROR(VLOOKUP(Scale!$X163,AcctTbl,3,0),""))</f>
        <v/>
      </c>
      <c r="P623" s="82">
        <f>IF(Scale!$X163&lt;&gt;"X011","","BN02")</f>
        <v/>
      </c>
    </row>
    <row r="624" ht="20.25" customHeight="1">
      <c r="A624" s="80">
        <f>IF(OR(Scale!$AA163="",Scale!$AA163=0),"",Scale!$B163)</f>
        <v/>
      </c>
      <c r="B624" s="80">
        <f>IF(OR(Scale!$AA163="",Scale!$AA163=0),"",Scale!$D163)</f>
        <v/>
      </c>
      <c r="C624" s="80">
        <f>IF(OR(Scale!$AA163="",Scale!$AA163=0),"","باسکول")</f>
        <v/>
      </c>
      <c r="D624" s="80">
        <f>IF(OR(Scale!$AA163="",Scale!$AA163=0),"",Scale!$AA163)</f>
        <v/>
      </c>
      <c r="E624" s="81">
        <f>IF(OR(Scale!$AA163="",Scale!$AA163=0),"",IF(Scale!$AA163="","","پوز باسکول — "&amp;Scale!$E163))</f>
        <v/>
      </c>
      <c r="F624" s="83" t="n"/>
      <c r="G624" s="83" t="n"/>
      <c r="H624" s="83" t="n"/>
      <c r="I624" s="83" t="n"/>
      <c r="J624" s="83" t="n"/>
      <c r="K624" s="82">
        <f>IF(OR(Scale!$AA163="",Scale!$AA163=0),"",IF(Scale!$AB163="",0,Scale!$AB163)+IF(Scale!$AC163="",0,Scale!$AC163))</f>
        <v/>
      </c>
      <c r="L624" s="82">
        <f>IF(OR(Scale!$AA163="",Scale!$AA163=0),"",Scale!$AB163)</f>
        <v/>
      </c>
      <c r="M624" s="82">
        <f>IF(OR(Scale!$AA163="",Scale!$AA163=0),"",Scale!$AC163)</f>
        <v/>
      </c>
      <c r="N624" s="81">
        <f>IF(OR(Scale!$AA163="",Scale!$AA163=0),"","پوز")</f>
        <v/>
      </c>
      <c r="O624" s="81">
        <f>IF(OR(Scale!$AA163="",Scale!$AA163=0),"",IFERROR(VLOOKUP(Scale!$AA163,AcctTbl,3,0),""))</f>
        <v/>
      </c>
      <c r="P624" s="82">
        <f>IF(Scale!$AA163&lt;&gt;"X011","","BN02")</f>
        <v/>
      </c>
    </row>
    <row r="625" ht="20.25" customHeight="1">
      <c r="A625" s="80">
        <f>IF(OR(Scale!$AD163="",Scale!$AD163=0),"",Scale!$B163)</f>
        <v/>
      </c>
      <c r="B625" s="80">
        <f>IF(OR(Scale!$AD163="",Scale!$AD163=0),"",Scale!$D163)</f>
        <v/>
      </c>
      <c r="C625" s="80">
        <f>IF(OR(Scale!$AD163="",Scale!$AD163=0),"","باسکول")</f>
        <v/>
      </c>
      <c r="D625" s="80">
        <f>IF(OR(Scale!$AD163="",Scale!$AD163=0),"",Scale!$AD163)</f>
        <v/>
      </c>
      <c r="E625" s="81">
        <f>IF(OR(Scale!$AD163="",Scale!$AD163=0),"",IF(Scale!$AD163="","","مقابل پوز — "&amp;Scale!$E163))</f>
        <v/>
      </c>
      <c r="F625" s="83" t="n"/>
      <c r="G625" s="83" t="n"/>
      <c r="H625" s="83" t="n"/>
      <c r="I625" s="83" t="n"/>
      <c r="J625" s="83" t="n"/>
      <c r="K625" s="82">
        <f>IF(OR(Scale!$AD163="",Scale!$AD163=0),"",IF(Scale!$AE163="",0,Scale!$AE163)+IF(Scale!$AF163="",0,Scale!$AF163))</f>
        <v/>
      </c>
      <c r="L625" s="82">
        <f>IF(OR(Scale!$AD163="",Scale!$AD163=0),"",Scale!$AE163)</f>
        <v/>
      </c>
      <c r="M625" s="82">
        <f>IF(OR(Scale!$AD163="",Scale!$AD163=0),"",Scale!$AF163)</f>
        <v/>
      </c>
      <c r="N625" s="81">
        <f>IF(OR(Scale!$AD163="",Scale!$AD163=0),"","مقابل پوز")</f>
        <v/>
      </c>
      <c r="O625" s="81">
        <f>IF(OR(Scale!$AD163="",Scale!$AD163=0),"",IFERROR(VLOOKUP(Scale!$AD163,AcctTbl,3,0),""))</f>
        <v/>
      </c>
      <c r="P625" s="82">
        <f>IF(Scale!$AD163&lt;&gt;"X011","","BN02")</f>
        <v/>
      </c>
    </row>
    <row r="626" ht="20.25" customHeight="1">
      <c r="A626" s="80">
        <f>IF(OR(Scale!$U164="",Scale!$U164=0),"",Scale!$B164)</f>
        <v/>
      </c>
      <c r="B626" s="80">
        <f>IF(OR(Scale!$U164="",Scale!$U164=0),"",Scale!$D164)</f>
        <v/>
      </c>
      <c r="C626" s="80">
        <f>IF(OR(Scale!$U164="",Scale!$U164=0),"","باسکول")</f>
        <v/>
      </c>
      <c r="D626" s="80">
        <f>IF(OR(Scale!$U164="",Scale!$U164=0),"",Scale!$U164)</f>
        <v/>
      </c>
      <c r="E626" s="81">
        <f>IF(OR(Scale!$U164="",Scale!$U164=0),"",Scale!$T164)</f>
        <v/>
      </c>
      <c r="F626" s="81">
        <f>IF(OR(Scale!$U164="",Scale!$U164=0),"",Scale!$J164)</f>
        <v/>
      </c>
      <c r="G626" s="82">
        <f>IF(OR(Scale!$U164="",Scale!$U164=0),"",Scale!$M164)</f>
        <v/>
      </c>
      <c r="H626" s="82">
        <f>IF(OR(Scale!$U164="",Scale!$U164=0),"",Scale!$L164)</f>
        <v/>
      </c>
      <c r="I626" s="82">
        <f>IF(OR(Scale!$U164="",Scale!$U164=0),"",Scale!$N164)</f>
        <v/>
      </c>
      <c r="J626" s="82">
        <f>IF(OR(Scale!$U164="",Scale!$U164=0),"",Scale!$O164)</f>
        <v/>
      </c>
      <c r="K626" s="82">
        <f>IF(OR(Scale!$U164="",Scale!$U164=0),"",IF(Scale!$V164="",0,Scale!$V164)+IF(Scale!$W164="",0,Scale!$W164))</f>
        <v/>
      </c>
      <c r="L626" s="82">
        <f>IF(OR(Scale!$U164="",Scale!$U164=0),"",Scale!$V164)</f>
        <v/>
      </c>
      <c r="M626" s="82">
        <f>IF(OR(Scale!$U164="",Scale!$U164=0),"",Scale!$W164)</f>
        <v/>
      </c>
      <c r="N626" s="81">
        <f>IF(OR(Scale!$U164="",Scale!$U164=0),"",Scale!$E164)</f>
        <v/>
      </c>
      <c r="O626" s="81">
        <f>IF(OR(Scale!$U164="",Scale!$U164=0),"",IFERROR(VLOOKUP(Scale!$U164,AcctTbl,3,0),""))</f>
        <v/>
      </c>
      <c r="P626" s="82">
        <f>IF(Scale!$U164&lt;&gt;"X011","","BN02")</f>
        <v/>
      </c>
    </row>
    <row r="627" ht="20.25" customHeight="1">
      <c r="A627" s="80">
        <f>IF(OR(Scale!$X164="",Scale!$X164=0),"",Scale!$B164)</f>
        <v/>
      </c>
      <c r="B627" s="80">
        <f>IF(OR(Scale!$X164="",Scale!$X164=0),"",Scale!$D164)</f>
        <v/>
      </c>
      <c r="C627" s="80">
        <f>IF(OR(Scale!$X164="",Scale!$X164=0),"","باسکول")</f>
        <v/>
      </c>
      <c r="D627" s="80">
        <f>IF(OR(Scale!$X164="",Scale!$X164=0),"",Scale!$X164)</f>
        <v/>
      </c>
      <c r="E627" s="81">
        <f>IF(OR(Scale!$X164="",Scale!$X164=0),"",IF(Scale!$X164="","","مقابل: "&amp;Scale!$E164))</f>
        <v/>
      </c>
      <c r="F627" s="83" t="n"/>
      <c r="G627" s="83" t="n"/>
      <c r="H627" s="83" t="n"/>
      <c r="I627" s="83" t="n"/>
      <c r="J627" s="83" t="n"/>
      <c r="K627" s="82">
        <f>IF(OR(Scale!$X164="",Scale!$X164=0),"",IF(Scale!$Y164="",0,Scale!$Y164)+IF(Scale!$Z164="",0,Scale!$Z164))</f>
        <v/>
      </c>
      <c r="L627" s="82">
        <f>IF(OR(Scale!$X164="",Scale!$X164=0),"",Scale!$Y164)</f>
        <v/>
      </c>
      <c r="M627" s="82">
        <f>IF(OR(Scale!$X164="",Scale!$X164=0),"",Scale!$Z164)</f>
        <v/>
      </c>
      <c r="N627" s="81">
        <f>IF(OR(Scale!$X164="",Scale!$X164=0),"","مقابل")</f>
        <v/>
      </c>
      <c r="O627" s="81">
        <f>IF(OR(Scale!$X164="",Scale!$X164=0),"",IFERROR(VLOOKUP(Scale!$X164,AcctTbl,3,0),""))</f>
        <v/>
      </c>
      <c r="P627" s="82">
        <f>IF(Scale!$X164&lt;&gt;"X011","","BN02")</f>
        <v/>
      </c>
    </row>
    <row r="628" ht="20.25" customHeight="1">
      <c r="A628" s="80">
        <f>IF(OR(Scale!$AA164="",Scale!$AA164=0),"",Scale!$B164)</f>
        <v/>
      </c>
      <c r="B628" s="80">
        <f>IF(OR(Scale!$AA164="",Scale!$AA164=0),"",Scale!$D164)</f>
        <v/>
      </c>
      <c r="C628" s="80">
        <f>IF(OR(Scale!$AA164="",Scale!$AA164=0),"","باسکول")</f>
        <v/>
      </c>
      <c r="D628" s="80">
        <f>IF(OR(Scale!$AA164="",Scale!$AA164=0),"",Scale!$AA164)</f>
        <v/>
      </c>
      <c r="E628" s="81">
        <f>IF(OR(Scale!$AA164="",Scale!$AA164=0),"",IF(Scale!$AA164="","","پوز باسکول — "&amp;Scale!$E164))</f>
        <v/>
      </c>
      <c r="F628" s="83" t="n"/>
      <c r="G628" s="83" t="n"/>
      <c r="H628" s="83" t="n"/>
      <c r="I628" s="83" t="n"/>
      <c r="J628" s="83" t="n"/>
      <c r="K628" s="82">
        <f>IF(OR(Scale!$AA164="",Scale!$AA164=0),"",IF(Scale!$AB164="",0,Scale!$AB164)+IF(Scale!$AC164="",0,Scale!$AC164))</f>
        <v/>
      </c>
      <c r="L628" s="82">
        <f>IF(OR(Scale!$AA164="",Scale!$AA164=0),"",Scale!$AB164)</f>
        <v/>
      </c>
      <c r="M628" s="82">
        <f>IF(OR(Scale!$AA164="",Scale!$AA164=0),"",Scale!$AC164)</f>
        <v/>
      </c>
      <c r="N628" s="81">
        <f>IF(OR(Scale!$AA164="",Scale!$AA164=0),"","پوز")</f>
        <v/>
      </c>
      <c r="O628" s="81">
        <f>IF(OR(Scale!$AA164="",Scale!$AA164=0),"",IFERROR(VLOOKUP(Scale!$AA164,AcctTbl,3,0),""))</f>
        <v/>
      </c>
      <c r="P628" s="82">
        <f>IF(Scale!$AA164&lt;&gt;"X011","","BN02")</f>
        <v/>
      </c>
    </row>
    <row r="629" ht="20.25" customHeight="1">
      <c r="A629" s="80">
        <f>IF(OR(Scale!$AD164="",Scale!$AD164=0),"",Scale!$B164)</f>
        <v/>
      </c>
      <c r="B629" s="80">
        <f>IF(OR(Scale!$AD164="",Scale!$AD164=0),"",Scale!$D164)</f>
        <v/>
      </c>
      <c r="C629" s="80">
        <f>IF(OR(Scale!$AD164="",Scale!$AD164=0),"","باسکول")</f>
        <v/>
      </c>
      <c r="D629" s="80">
        <f>IF(OR(Scale!$AD164="",Scale!$AD164=0),"",Scale!$AD164)</f>
        <v/>
      </c>
      <c r="E629" s="81">
        <f>IF(OR(Scale!$AD164="",Scale!$AD164=0),"",IF(Scale!$AD164="","","مقابل پوز — "&amp;Scale!$E164))</f>
        <v/>
      </c>
      <c r="F629" s="83" t="n"/>
      <c r="G629" s="83" t="n"/>
      <c r="H629" s="83" t="n"/>
      <c r="I629" s="83" t="n"/>
      <c r="J629" s="83" t="n"/>
      <c r="K629" s="82">
        <f>IF(OR(Scale!$AD164="",Scale!$AD164=0),"",IF(Scale!$AE164="",0,Scale!$AE164)+IF(Scale!$AF164="",0,Scale!$AF164))</f>
        <v/>
      </c>
      <c r="L629" s="82">
        <f>IF(OR(Scale!$AD164="",Scale!$AD164=0),"",Scale!$AE164)</f>
        <v/>
      </c>
      <c r="M629" s="82">
        <f>IF(OR(Scale!$AD164="",Scale!$AD164=0),"",Scale!$AF164)</f>
        <v/>
      </c>
      <c r="N629" s="81">
        <f>IF(OR(Scale!$AD164="",Scale!$AD164=0),"","مقابل پوز")</f>
        <v/>
      </c>
      <c r="O629" s="81">
        <f>IF(OR(Scale!$AD164="",Scale!$AD164=0),"",IFERROR(VLOOKUP(Scale!$AD164,AcctTbl,3,0),""))</f>
        <v/>
      </c>
      <c r="P629" s="82">
        <f>IF(Scale!$AD164&lt;&gt;"X011","","BN02")</f>
        <v/>
      </c>
    </row>
    <row r="630" ht="20.25" customHeight="1">
      <c r="A630" s="80">
        <f>IF(OR(Scale!$U165="",Scale!$U165=0),"",Scale!$B165)</f>
        <v/>
      </c>
      <c r="B630" s="80">
        <f>IF(OR(Scale!$U165="",Scale!$U165=0),"",Scale!$D165)</f>
        <v/>
      </c>
      <c r="C630" s="80">
        <f>IF(OR(Scale!$U165="",Scale!$U165=0),"","باسکول")</f>
        <v/>
      </c>
      <c r="D630" s="80">
        <f>IF(OR(Scale!$U165="",Scale!$U165=0),"",Scale!$U165)</f>
        <v/>
      </c>
      <c r="E630" s="81">
        <f>IF(OR(Scale!$U165="",Scale!$U165=0),"",Scale!$T165)</f>
        <v/>
      </c>
      <c r="F630" s="81">
        <f>IF(OR(Scale!$U165="",Scale!$U165=0),"",Scale!$J165)</f>
        <v/>
      </c>
      <c r="G630" s="82">
        <f>IF(OR(Scale!$U165="",Scale!$U165=0),"",Scale!$M165)</f>
        <v/>
      </c>
      <c r="H630" s="82">
        <f>IF(OR(Scale!$U165="",Scale!$U165=0),"",Scale!$L165)</f>
        <v/>
      </c>
      <c r="I630" s="82">
        <f>IF(OR(Scale!$U165="",Scale!$U165=0),"",Scale!$N165)</f>
        <v/>
      </c>
      <c r="J630" s="82">
        <f>IF(OR(Scale!$U165="",Scale!$U165=0),"",Scale!$O165)</f>
        <v/>
      </c>
      <c r="K630" s="82">
        <f>IF(OR(Scale!$U165="",Scale!$U165=0),"",IF(Scale!$V165="",0,Scale!$V165)+IF(Scale!$W165="",0,Scale!$W165))</f>
        <v/>
      </c>
      <c r="L630" s="82">
        <f>IF(OR(Scale!$U165="",Scale!$U165=0),"",Scale!$V165)</f>
        <v/>
      </c>
      <c r="M630" s="82">
        <f>IF(OR(Scale!$U165="",Scale!$U165=0),"",Scale!$W165)</f>
        <v/>
      </c>
      <c r="N630" s="81">
        <f>IF(OR(Scale!$U165="",Scale!$U165=0),"",Scale!$E165)</f>
        <v/>
      </c>
      <c r="O630" s="81">
        <f>IF(OR(Scale!$U165="",Scale!$U165=0),"",IFERROR(VLOOKUP(Scale!$U165,AcctTbl,3,0),""))</f>
        <v/>
      </c>
      <c r="P630" s="82">
        <f>IF(Scale!$U165&lt;&gt;"X011","","BN02")</f>
        <v/>
      </c>
    </row>
    <row r="631" ht="20.25" customHeight="1">
      <c r="A631" s="80">
        <f>IF(OR(Scale!$X165="",Scale!$X165=0),"",Scale!$B165)</f>
        <v/>
      </c>
      <c r="B631" s="80">
        <f>IF(OR(Scale!$X165="",Scale!$X165=0),"",Scale!$D165)</f>
        <v/>
      </c>
      <c r="C631" s="80">
        <f>IF(OR(Scale!$X165="",Scale!$X165=0),"","باسکول")</f>
        <v/>
      </c>
      <c r="D631" s="80">
        <f>IF(OR(Scale!$X165="",Scale!$X165=0),"",Scale!$X165)</f>
        <v/>
      </c>
      <c r="E631" s="81">
        <f>IF(OR(Scale!$X165="",Scale!$X165=0),"",IF(Scale!$X165="","","مقابل: "&amp;Scale!$E165))</f>
        <v/>
      </c>
      <c r="F631" s="83" t="n"/>
      <c r="G631" s="83" t="n"/>
      <c r="H631" s="83" t="n"/>
      <c r="I631" s="83" t="n"/>
      <c r="J631" s="83" t="n"/>
      <c r="K631" s="82">
        <f>IF(OR(Scale!$X165="",Scale!$X165=0),"",IF(Scale!$Y165="",0,Scale!$Y165)+IF(Scale!$Z165="",0,Scale!$Z165))</f>
        <v/>
      </c>
      <c r="L631" s="82">
        <f>IF(OR(Scale!$X165="",Scale!$X165=0),"",Scale!$Y165)</f>
        <v/>
      </c>
      <c r="M631" s="82">
        <f>IF(OR(Scale!$X165="",Scale!$X165=0),"",Scale!$Z165)</f>
        <v/>
      </c>
      <c r="N631" s="81">
        <f>IF(OR(Scale!$X165="",Scale!$X165=0),"","مقابل")</f>
        <v/>
      </c>
      <c r="O631" s="81">
        <f>IF(OR(Scale!$X165="",Scale!$X165=0),"",IFERROR(VLOOKUP(Scale!$X165,AcctTbl,3,0),""))</f>
        <v/>
      </c>
      <c r="P631" s="82">
        <f>IF(Scale!$X165&lt;&gt;"X011","","BN02")</f>
        <v/>
      </c>
    </row>
    <row r="632" ht="20.25" customHeight="1">
      <c r="A632" s="80">
        <f>IF(OR(Scale!$AA165="",Scale!$AA165=0),"",Scale!$B165)</f>
        <v/>
      </c>
      <c r="B632" s="80">
        <f>IF(OR(Scale!$AA165="",Scale!$AA165=0),"",Scale!$D165)</f>
        <v/>
      </c>
      <c r="C632" s="80">
        <f>IF(OR(Scale!$AA165="",Scale!$AA165=0),"","باسکول")</f>
        <v/>
      </c>
      <c r="D632" s="80">
        <f>IF(OR(Scale!$AA165="",Scale!$AA165=0),"",Scale!$AA165)</f>
        <v/>
      </c>
      <c r="E632" s="81">
        <f>IF(OR(Scale!$AA165="",Scale!$AA165=0),"",IF(Scale!$AA165="","","پوز باسکول — "&amp;Scale!$E165))</f>
        <v/>
      </c>
      <c r="F632" s="83" t="n"/>
      <c r="G632" s="83" t="n"/>
      <c r="H632" s="83" t="n"/>
      <c r="I632" s="83" t="n"/>
      <c r="J632" s="83" t="n"/>
      <c r="K632" s="82">
        <f>IF(OR(Scale!$AA165="",Scale!$AA165=0),"",IF(Scale!$AB165="",0,Scale!$AB165)+IF(Scale!$AC165="",0,Scale!$AC165))</f>
        <v/>
      </c>
      <c r="L632" s="82">
        <f>IF(OR(Scale!$AA165="",Scale!$AA165=0),"",Scale!$AB165)</f>
        <v/>
      </c>
      <c r="M632" s="82">
        <f>IF(OR(Scale!$AA165="",Scale!$AA165=0),"",Scale!$AC165)</f>
        <v/>
      </c>
      <c r="N632" s="81">
        <f>IF(OR(Scale!$AA165="",Scale!$AA165=0),"","پوز")</f>
        <v/>
      </c>
      <c r="O632" s="81">
        <f>IF(OR(Scale!$AA165="",Scale!$AA165=0),"",IFERROR(VLOOKUP(Scale!$AA165,AcctTbl,3,0),""))</f>
        <v/>
      </c>
      <c r="P632" s="82">
        <f>IF(Scale!$AA165&lt;&gt;"X011","","BN02")</f>
        <v/>
      </c>
    </row>
    <row r="633" ht="20.25" customHeight="1">
      <c r="A633" s="80">
        <f>IF(OR(Scale!$AD165="",Scale!$AD165=0),"",Scale!$B165)</f>
        <v/>
      </c>
      <c r="B633" s="80">
        <f>IF(OR(Scale!$AD165="",Scale!$AD165=0),"",Scale!$D165)</f>
        <v/>
      </c>
      <c r="C633" s="80">
        <f>IF(OR(Scale!$AD165="",Scale!$AD165=0),"","باسکول")</f>
        <v/>
      </c>
      <c r="D633" s="80">
        <f>IF(OR(Scale!$AD165="",Scale!$AD165=0),"",Scale!$AD165)</f>
        <v/>
      </c>
      <c r="E633" s="81">
        <f>IF(OR(Scale!$AD165="",Scale!$AD165=0),"",IF(Scale!$AD165="","","مقابل پوز — "&amp;Scale!$E165))</f>
        <v/>
      </c>
      <c r="F633" s="83" t="n"/>
      <c r="G633" s="83" t="n"/>
      <c r="H633" s="83" t="n"/>
      <c r="I633" s="83" t="n"/>
      <c r="J633" s="83" t="n"/>
      <c r="K633" s="82">
        <f>IF(OR(Scale!$AD165="",Scale!$AD165=0),"",IF(Scale!$AE165="",0,Scale!$AE165)+IF(Scale!$AF165="",0,Scale!$AF165))</f>
        <v/>
      </c>
      <c r="L633" s="82">
        <f>IF(OR(Scale!$AD165="",Scale!$AD165=0),"",Scale!$AE165)</f>
        <v/>
      </c>
      <c r="M633" s="82">
        <f>IF(OR(Scale!$AD165="",Scale!$AD165=0),"",Scale!$AF165)</f>
        <v/>
      </c>
      <c r="N633" s="81">
        <f>IF(OR(Scale!$AD165="",Scale!$AD165=0),"","مقابل پوز")</f>
        <v/>
      </c>
      <c r="O633" s="81">
        <f>IF(OR(Scale!$AD165="",Scale!$AD165=0),"",IFERROR(VLOOKUP(Scale!$AD165,AcctTbl,3,0),""))</f>
        <v/>
      </c>
      <c r="P633" s="82">
        <f>IF(Scale!$AD165&lt;&gt;"X011","","BN02")</f>
        <v/>
      </c>
    </row>
    <row r="634" ht="20.25" customHeight="1">
      <c r="A634" s="80">
        <f>IF(OR(Scale!$U166="",Scale!$U166=0),"",Scale!$B166)</f>
        <v/>
      </c>
      <c r="B634" s="80">
        <f>IF(OR(Scale!$U166="",Scale!$U166=0),"",Scale!$D166)</f>
        <v/>
      </c>
      <c r="C634" s="80">
        <f>IF(OR(Scale!$U166="",Scale!$U166=0),"","باسکول")</f>
        <v/>
      </c>
      <c r="D634" s="80">
        <f>IF(OR(Scale!$U166="",Scale!$U166=0),"",Scale!$U166)</f>
        <v/>
      </c>
      <c r="E634" s="81">
        <f>IF(OR(Scale!$U166="",Scale!$U166=0),"",Scale!$T166)</f>
        <v/>
      </c>
      <c r="F634" s="81">
        <f>IF(OR(Scale!$U166="",Scale!$U166=0),"",Scale!$J166)</f>
        <v/>
      </c>
      <c r="G634" s="82">
        <f>IF(OR(Scale!$U166="",Scale!$U166=0),"",Scale!$M166)</f>
        <v/>
      </c>
      <c r="H634" s="82">
        <f>IF(OR(Scale!$U166="",Scale!$U166=0),"",Scale!$L166)</f>
        <v/>
      </c>
      <c r="I634" s="82">
        <f>IF(OR(Scale!$U166="",Scale!$U166=0),"",Scale!$N166)</f>
        <v/>
      </c>
      <c r="J634" s="82">
        <f>IF(OR(Scale!$U166="",Scale!$U166=0),"",Scale!$O166)</f>
        <v/>
      </c>
      <c r="K634" s="82">
        <f>IF(OR(Scale!$U166="",Scale!$U166=0),"",IF(Scale!$V166="",0,Scale!$V166)+IF(Scale!$W166="",0,Scale!$W166))</f>
        <v/>
      </c>
      <c r="L634" s="82">
        <f>IF(OR(Scale!$U166="",Scale!$U166=0),"",Scale!$V166)</f>
        <v/>
      </c>
      <c r="M634" s="82">
        <f>IF(OR(Scale!$U166="",Scale!$U166=0),"",Scale!$W166)</f>
        <v/>
      </c>
      <c r="N634" s="81">
        <f>IF(OR(Scale!$U166="",Scale!$U166=0),"",Scale!$E166)</f>
        <v/>
      </c>
      <c r="O634" s="81">
        <f>IF(OR(Scale!$U166="",Scale!$U166=0),"",IFERROR(VLOOKUP(Scale!$U166,AcctTbl,3,0),""))</f>
        <v/>
      </c>
      <c r="P634" s="82">
        <f>IF(Scale!$U166&lt;&gt;"X011","","BN02")</f>
        <v/>
      </c>
    </row>
    <row r="635" ht="20.25" customHeight="1">
      <c r="A635" s="80">
        <f>IF(OR(Scale!$X166="",Scale!$X166=0),"",Scale!$B166)</f>
        <v/>
      </c>
      <c r="B635" s="80">
        <f>IF(OR(Scale!$X166="",Scale!$X166=0),"",Scale!$D166)</f>
        <v/>
      </c>
      <c r="C635" s="80">
        <f>IF(OR(Scale!$X166="",Scale!$X166=0),"","باسکول")</f>
        <v/>
      </c>
      <c r="D635" s="80">
        <f>IF(OR(Scale!$X166="",Scale!$X166=0),"",Scale!$X166)</f>
        <v/>
      </c>
      <c r="E635" s="81">
        <f>IF(OR(Scale!$X166="",Scale!$X166=0),"",IF(Scale!$X166="","","مقابل: "&amp;Scale!$E166))</f>
        <v/>
      </c>
      <c r="F635" s="83" t="n"/>
      <c r="G635" s="83" t="n"/>
      <c r="H635" s="83" t="n"/>
      <c r="I635" s="83" t="n"/>
      <c r="J635" s="83" t="n"/>
      <c r="K635" s="82">
        <f>IF(OR(Scale!$X166="",Scale!$X166=0),"",IF(Scale!$Y166="",0,Scale!$Y166)+IF(Scale!$Z166="",0,Scale!$Z166))</f>
        <v/>
      </c>
      <c r="L635" s="82">
        <f>IF(OR(Scale!$X166="",Scale!$X166=0),"",Scale!$Y166)</f>
        <v/>
      </c>
      <c r="M635" s="82">
        <f>IF(OR(Scale!$X166="",Scale!$X166=0),"",Scale!$Z166)</f>
        <v/>
      </c>
      <c r="N635" s="81">
        <f>IF(OR(Scale!$X166="",Scale!$X166=0),"","مقابل")</f>
        <v/>
      </c>
      <c r="O635" s="81">
        <f>IF(OR(Scale!$X166="",Scale!$X166=0),"",IFERROR(VLOOKUP(Scale!$X166,AcctTbl,3,0),""))</f>
        <v/>
      </c>
      <c r="P635" s="82">
        <f>IF(Scale!$X166&lt;&gt;"X011","","BN02")</f>
        <v/>
      </c>
    </row>
    <row r="636" ht="20.25" customHeight="1">
      <c r="A636" s="80">
        <f>IF(OR(Scale!$AA166="",Scale!$AA166=0),"",Scale!$B166)</f>
        <v/>
      </c>
      <c r="B636" s="80">
        <f>IF(OR(Scale!$AA166="",Scale!$AA166=0),"",Scale!$D166)</f>
        <v/>
      </c>
      <c r="C636" s="80">
        <f>IF(OR(Scale!$AA166="",Scale!$AA166=0),"","باسکول")</f>
        <v/>
      </c>
      <c r="D636" s="80">
        <f>IF(OR(Scale!$AA166="",Scale!$AA166=0),"",Scale!$AA166)</f>
        <v/>
      </c>
      <c r="E636" s="81">
        <f>IF(OR(Scale!$AA166="",Scale!$AA166=0),"",IF(Scale!$AA166="","","پوز باسکول — "&amp;Scale!$E166))</f>
        <v/>
      </c>
      <c r="F636" s="83" t="n"/>
      <c r="G636" s="83" t="n"/>
      <c r="H636" s="83" t="n"/>
      <c r="I636" s="83" t="n"/>
      <c r="J636" s="83" t="n"/>
      <c r="K636" s="82">
        <f>IF(OR(Scale!$AA166="",Scale!$AA166=0),"",IF(Scale!$AB166="",0,Scale!$AB166)+IF(Scale!$AC166="",0,Scale!$AC166))</f>
        <v/>
      </c>
      <c r="L636" s="82">
        <f>IF(OR(Scale!$AA166="",Scale!$AA166=0),"",Scale!$AB166)</f>
        <v/>
      </c>
      <c r="M636" s="82">
        <f>IF(OR(Scale!$AA166="",Scale!$AA166=0),"",Scale!$AC166)</f>
        <v/>
      </c>
      <c r="N636" s="81">
        <f>IF(OR(Scale!$AA166="",Scale!$AA166=0),"","پوز")</f>
        <v/>
      </c>
      <c r="O636" s="81">
        <f>IF(OR(Scale!$AA166="",Scale!$AA166=0),"",IFERROR(VLOOKUP(Scale!$AA166,AcctTbl,3,0),""))</f>
        <v/>
      </c>
      <c r="P636" s="82">
        <f>IF(Scale!$AA166&lt;&gt;"X011","","BN02")</f>
        <v/>
      </c>
    </row>
    <row r="637" ht="20.25" customHeight="1">
      <c r="A637" s="80">
        <f>IF(OR(Scale!$AD166="",Scale!$AD166=0),"",Scale!$B166)</f>
        <v/>
      </c>
      <c r="B637" s="80">
        <f>IF(OR(Scale!$AD166="",Scale!$AD166=0),"",Scale!$D166)</f>
        <v/>
      </c>
      <c r="C637" s="80">
        <f>IF(OR(Scale!$AD166="",Scale!$AD166=0),"","باسکول")</f>
        <v/>
      </c>
      <c r="D637" s="80">
        <f>IF(OR(Scale!$AD166="",Scale!$AD166=0),"",Scale!$AD166)</f>
        <v/>
      </c>
      <c r="E637" s="81">
        <f>IF(OR(Scale!$AD166="",Scale!$AD166=0),"",IF(Scale!$AD166="","","مقابل پوز — "&amp;Scale!$E166))</f>
        <v/>
      </c>
      <c r="F637" s="83" t="n"/>
      <c r="G637" s="83" t="n"/>
      <c r="H637" s="83" t="n"/>
      <c r="I637" s="83" t="n"/>
      <c r="J637" s="83" t="n"/>
      <c r="K637" s="82">
        <f>IF(OR(Scale!$AD166="",Scale!$AD166=0),"",IF(Scale!$AE166="",0,Scale!$AE166)+IF(Scale!$AF166="",0,Scale!$AF166))</f>
        <v/>
      </c>
      <c r="L637" s="82">
        <f>IF(OR(Scale!$AD166="",Scale!$AD166=0),"",Scale!$AE166)</f>
        <v/>
      </c>
      <c r="M637" s="82">
        <f>IF(OR(Scale!$AD166="",Scale!$AD166=0),"",Scale!$AF166)</f>
        <v/>
      </c>
      <c r="N637" s="81">
        <f>IF(OR(Scale!$AD166="",Scale!$AD166=0),"","مقابل پوز")</f>
        <v/>
      </c>
      <c r="O637" s="81">
        <f>IF(OR(Scale!$AD166="",Scale!$AD166=0),"",IFERROR(VLOOKUP(Scale!$AD166,AcctTbl,3,0),""))</f>
        <v/>
      </c>
      <c r="P637" s="82">
        <f>IF(Scale!$AD166&lt;&gt;"X011","","BN02")</f>
        <v/>
      </c>
    </row>
    <row r="638" ht="20.25" customHeight="1">
      <c r="A638" s="80">
        <f>IF(OR(Scale!$U167="",Scale!$U167=0),"",Scale!$B167)</f>
        <v/>
      </c>
      <c r="B638" s="80">
        <f>IF(OR(Scale!$U167="",Scale!$U167=0),"",Scale!$D167)</f>
        <v/>
      </c>
      <c r="C638" s="80">
        <f>IF(OR(Scale!$U167="",Scale!$U167=0),"","باسکول")</f>
        <v/>
      </c>
      <c r="D638" s="80">
        <f>IF(OR(Scale!$U167="",Scale!$U167=0),"",Scale!$U167)</f>
        <v/>
      </c>
      <c r="E638" s="81">
        <f>IF(OR(Scale!$U167="",Scale!$U167=0),"",Scale!$T167)</f>
        <v/>
      </c>
      <c r="F638" s="81">
        <f>IF(OR(Scale!$U167="",Scale!$U167=0),"",Scale!$J167)</f>
        <v/>
      </c>
      <c r="G638" s="82">
        <f>IF(OR(Scale!$U167="",Scale!$U167=0),"",Scale!$M167)</f>
        <v/>
      </c>
      <c r="H638" s="82">
        <f>IF(OR(Scale!$U167="",Scale!$U167=0),"",Scale!$L167)</f>
        <v/>
      </c>
      <c r="I638" s="82">
        <f>IF(OR(Scale!$U167="",Scale!$U167=0),"",Scale!$N167)</f>
        <v/>
      </c>
      <c r="J638" s="82">
        <f>IF(OR(Scale!$U167="",Scale!$U167=0),"",Scale!$O167)</f>
        <v/>
      </c>
      <c r="K638" s="82">
        <f>IF(OR(Scale!$U167="",Scale!$U167=0),"",IF(Scale!$V167="",0,Scale!$V167)+IF(Scale!$W167="",0,Scale!$W167))</f>
        <v/>
      </c>
      <c r="L638" s="82">
        <f>IF(OR(Scale!$U167="",Scale!$U167=0),"",Scale!$V167)</f>
        <v/>
      </c>
      <c r="M638" s="82">
        <f>IF(OR(Scale!$U167="",Scale!$U167=0),"",Scale!$W167)</f>
        <v/>
      </c>
      <c r="N638" s="81">
        <f>IF(OR(Scale!$U167="",Scale!$U167=0),"",Scale!$E167)</f>
        <v/>
      </c>
      <c r="O638" s="81">
        <f>IF(OR(Scale!$U167="",Scale!$U167=0),"",IFERROR(VLOOKUP(Scale!$U167,AcctTbl,3,0),""))</f>
        <v/>
      </c>
      <c r="P638" s="82">
        <f>IF(Scale!$U167&lt;&gt;"X011","","BN02")</f>
        <v/>
      </c>
    </row>
    <row r="639" ht="20.25" customHeight="1">
      <c r="A639" s="80">
        <f>IF(OR(Scale!$X167="",Scale!$X167=0),"",Scale!$B167)</f>
        <v/>
      </c>
      <c r="B639" s="80">
        <f>IF(OR(Scale!$X167="",Scale!$X167=0),"",Scale!$D167)</f>
        <v/>
      </c>
      <c r="C639" s="80">
        <f>IF(OR(Scale!$X167="",Scale!$X167=0),"","باسکول")</f>
        <v/>
      </c>
      <c r="D639" s="80">
        <f>IF(OR(Scale!$X167="",Scale!$X167=0),"",Scale!$X167)</f>
        <v/>
      </c>
      <c r="E639" s="81">
        <f>IF(OR(Scale!$X167="",Scale!$X167=0),"",IF(Scale!$X167="","","مقابل: "&amp;Scale!$E167))</f>
        <v/>
      </c>
      <c r="F639" s="83" t="n"/>
      <c r="G639" s="83" t="n"/>
      <c r="H639" s="83" t="n"/>
      <c r="I639" s="83" t="n"/>
      <c r="J639" s="83" t="n"/>
      <c r="K639" s="82">
        <f>IF(OR(Scale!$X167="",Scale!$X167=0),"",IF(Scale!$Y167="",0,Scale!$Y167)+IF(Scale!$Z167="",0,Scale!$Z167))</f>
        <v/>
      </c>
      <c r="L639" s="82">
        <f>IF(OR(Scale!$X167="",Scale!$X167=0),"",Scale!$Y167)</f>
        <v/>
      </c>
      <c r="M639" s="82">
        <f>IF(OR(Scale!$X167="",Scale!$X167=0),"",Scale!$Z167)</f>
        <v/>
      </c>
      <c r="N639" s="81">
        <f>IF(OR(Scale!$X167="",Scale!$X167=0),"","مقابل")</f>
        <v/>
      </c>
      <c r="O639" s="81">
        <f>IF(OR(Scale!$X167="",Scale!$X167=0),"",IFERROR(VLOOKUP(Scale!$X167,AcctTbl,3,0),""))</f>
        <v/>
      </c>
      <c r="P639" s="82">
        <f>IF(Scale!$X167&lt;&gt;"X011","","BN02")</f>
        <v/>
      </c>
    </row>
    <row r="640" ht="20.25" customHeight="1">
      <c r="A640" s="80">
        <f>IF(OR(Scale!$AA167="",Scale!$AA167=0),"",Scale!$B167)</f>
        <v/>
      </c>
      <c r="B640" s="80">
        <f>IF(OR(Scale!$AA167="",Scale!$AA167=0),"",Scale!$D167)</f>
        <v/>
      </c>
      <c r="C640" s="80">
        <f>IF(OR(Scale!$AA167="",Scale!$AA167=0),"","باسکول")</f>
        <v/>
      </c>
      <c r="D640" s="80">
        <f>IF(OR(Scale!$AA167="",Scale!$AA167=0),"",Scale!$AA167)</f>
        <v/>
      </c>
      <c r="E640" s="81">
        <f>IF(OR(Scale!$AA167="",Scale!$AA167=0),"",IF(Scale!$AA167="","","پوز باسکول — "&amp;Scale!$E167))</f>
        <v/>
      </c>
      <c r="F640" s="83" t="n"/>
      <c r="G640" s="83" t="n"/>
      <c r="H640" s="83" t="n"/>
      <c r="I640" s="83" t="n"/>
      <c r="J640" s="83" t="n"/>
      <c r="K640" s="82">
        <f>IF(OR(Scale!$AA167="",Scale!$AA167=0),"",IF(Scale!$AB167="",0,Scale!$AB167)+IF(Scale!$AC167="",0,Scale!$AC167))</f>
        <v/>
      </c>
      <c r="L640" s="82">
        <f>IF(OR(Scale!$AA167="",Scale!$AA167=0),"",Scale!$AB167)</f>
        <v/>
      </c>
      <c r="M640" s="82">
        <f>IF(OR(Scale!$AA167="",Scale!$AA167=0),"",Scale!$AC167)</f>
        <v/>
      </c>
      <c r="N640" s="81">
        <f>IF(OR(Scale!$AA167="",Scale!$AA167=0),"","پوز")</f>
        <v/>
      </c>
      <c r="O640" s="81">
        <f>IF(OR(Scale!$AA167="",Scale!$AA167=0),"",IFERROR(VLOOKUP(Scale!$AA167,AcctTbl,3,0),""))</f>
        <v/>
      </c>
      <c r="P640" s="82">
        <f>IF(Scale!$AA167&lt;&gt;"X011","","BN02")</f>
        <v/>
      </c>
    </row>
    <row r="641" ht="20.25" customHeight="1">
      <c r="A641" s="80">
        <f>IF(OR(Scale!$AD167="",Scale!$AD167=0),"",Scale!$B167)</f>
        <v/>
      </c>
      <c r="B641" s="80">
        <f>IF(OR(Scale!$AD167="",Scale!$AD167=0),"",Scale!$D167)</f>
        <v/>
      </c>
      <c r="C641" s="80">
        <f>IF(OR(Scale!$AD167="",Scale!$AD167=0),"","باسکول")</f>
        <v/>
      </c>
      <c r="D641" s="80">
        <f>IF(OR(Scale!$AD167="",Scale!$AD167=0),"",Scale!$AD167)</f>
        <v/>
      </c>
      <c r="E641" s="81">
        <f>IF(OR(Scale!$AD167="",Scale!$AD167=0),"",IF(Scale!$AD167="","","مقابل پوز — "&amp;Scale!$E167))</f>
        <v/>
      </c>
      <c r="F641" s="83" t="n"/>
      <c r="G641" s="83" t="n"/>
      <c r="H641" s="83" t="n"/>
      <c r="I641" s="83" t="n"/>
      <c r="J641" s="83" t="n"/>
      <c r="K641" s="82">
        <f>IF(OR(Scale!$AD167="",Scale!$AD167=0),"",IF(Scale!$AE167="",0,Scale!$AE167)+IF(Scale!$AF167="",0,Scale!$AF167))</f>
        <v/>
      </c>
      <c r="L641" s="82">
        <f>IF(OR(Scale!$AD167="",Scale!$AD167=0),"",Scale!$AE167)</f>
        <v/>
      </c>
      <c r="M641" s="82">
        <f>IF(OR(Scale!$AD167="",Scale!$AD167=0),"",Scale!$AF167)</f>
        <v/>
      </c>
      <c r="N641" s="81">
        <f>IF(OR(Scale!$AD167="",Scale!$AD167=0),"","مقابل پوز")</f>
        <v/>
      </c>
      <c r="O641" s="81">
        <f>IF(OR(Scale!$AD167="",Scale!$AD167=0),"",IFERROR(VLOOKUP(Scale!$AD167,AcctTbl,3,0),""))</f>
        <v/>
      </c>
      <c r="P641" s="82">
        <f>IF(Scale!$AD167&lt;&gt;"X011","","BN02")</f>
        <v/>
      </c>
    </row>
    <row r="642" ht="20.25" customHeight="1">
      <c r="A642" s="80">
        <f>IF(OR(Scale!$U168="",Scale!$U168=0),"",Scale!$B168)</f>
        <v/>
      </c>
      <c r="B642" s="80">
        <f>IF(OR(Scale!$U168="",Scale!$U168=0),"",Scale!$D168)</f>
        <v/>
      </c>
      <c r="C642" s="80">
        <f>IF(OR(Scale!$U168="",Scale!$U168=0),"","باسکول")</f>
        <v/>
      </c>
      <c r="D642" s="80">
        <f>IF(OR(Scale!$U168="",Scale!$U168=0),"",Scale!$U168)</f>
        <v/>
      </c>
      <c r="E642" s="81">
        <f>IF(OR(Scale!$U168="",Scale!$U168=0),"",Scale!$T168)</f>
        <v/>
      </c>
      <c r="F642" s="81">
        <f>IF(OR(Scale!$U168="",Scale!$U168=0),"",Scale!$J168)</f>
        <v/>
      </c>
      <c r="G642" s="82">
        <f>IF(OR(Scale!$U168="",Scale!$U168=0),"",Scale!$M168)</f>
        <v/>
      </c>
      <c r="H642" s="82">
        <f>IF(OR(Scale!$U168="",Scale!$U168=0),"",Scale!$L168)</f>
        <v/>
      </c>
      <c r="I642" s="82">
        <f>IF(OR(Scale!$U168="",Scale!$U168=0),"",Scale!$N168)</f>
        <v/>
      </c>
      <c r="J642" s="82">
        <f>IF(OR(Scale!$U168="",Scale!$U168=0),"",Scale!$O168)</f>
        <v/>
      </c>
      <c r="K642" s="82">
        <f>IF(OR(Scale!$U168="",Scale!$U168=0),"",IF(Scale!$V168="",0,Scale!$V168)+IF(Scale!$W168="",0,Scale!$W168))</f>
        <v/>
      </c>
      <c r="L642" s="82">
        <f>IF(OR(Scale!$U168="",Scale!$U168=0),"",Scale!$V168)</f>
        <v/>
      </c>
      <c r="M642" s="82">
        <f>IF(OR(Scale!$U168="",Scale!$U168=0),"",Scale!$W168)</f>
        <v/>
      </c>
      <c r="N642" s="81">
        <f>IF(OR(Scale!$U168="",Scale!$U168=0),"",Scale!$E168)</f>
        <v/>
      </c>
      <c r="O642" s="81">
        <f>IF(OR(Scale!$U168="",Scale!$U168=0),"",IFERROR(VLOOKUP(Scale!$U168,AcctTbl,3,0),""))</f>
        <v/>
      </c>
      <c r="P642" s="82">
        <f>IF(Scale!$U168&lt;&gt;"X011","","BN02")</f>
        <v/>
      </c>
    </row>
    <row r="643" ht="20.25" customHeight="1">
      <c r="A643" s="80">
        <f>IF(OR(Scale!$X168="",Scale!$X168=0),"",Scale!$B168)</f>
        <v/>
      </c>
      <c r="B643" s="80">
        <f>IF(OR(Scale!$X168="",Scale!$X168=0),"",Scale!$D168)</f>
        <v/>
      </c>
      <c r="C643" s="80">
        <f>IF(OR(Scale!$X168="",Scale!$X168=0),"","باسکول")</f>
        <v/>
      </c>
      <c r="D643" s="80">
        <f>IF(OR(Scale!$X168="",Scale!$X168=0),"",Scale!$X168)</f>
        <v/>
      </c>
      <c r="E643" s="81">
        <f>IF(OR(Scale!$X168="",Scale!$X168=0),"",IF(Scale!$X168="","","مقابل: "&amp;Scale!$E168))</f>
        <v/>
      </c>
      <c r="F643" s="83" t="n"/>
      <c r="G643" s="83" t="n"/>
      <c r="H643" s="83" t="n"/>
      <c r="I643" s="83" t="n"/>
      <c r="J643" s="83" t="n"/>
      <c r="K643" s="82">
        <f>IF(OR(Scale!$X168="",Scale!$X168=0),"",IF(Scale!$Y168="",0,Scale!$Y168)+IF(Scale!$Z168="",0,Scale!$Z168))</f>
        <v/>
      </c>
      <c r="L643" s="82">
        <f>IF(OR(Scale!$X168="",Scale!$X168=0),"",Scale!$Y168)</f>
        <v/>
      </c>
      <c r="M643" s="82">
        <f>IF(OR(Scale!$X168="",Scale!$X168=0),"",Scale!$Z168)</f>
        <v/>
      </c>
      <c r="N643" s="81">
        <f>IF(OR(Scale!$X168="",Scale!$X168=0),"","مقابل")</f>
        <v/>
      </c>
      <c r="O643" s="81">
        <f>IF(OR(Scale!$X168="",Scale!$X168=0),"",IFERROR(VLOOKUP(Scale!$X168,AcctTbl,3,0),""))</f>
        <v/>
      </c>
      <c r="P643" s="82">
        <f>IF(Scale!$X168&lt;&gt;"X011","","BN02")</f>
        <v/>
      </c>
    </row>
    <row r="644" ht="20.25" customHeight="1">
      <c r="A644" s="80">
        <f>IF(OR(Scale!$AA168="",Scale!$AA168=0),"",Scale!$B168)</f>
        <v/>
      </c>
      <c r="B644" s="80">
        <f>IF(OR(Scale!$AA168="",Scale!$AA168=0),"",Scale!$D168)</f>
        <v/>
      </c>
      <c r="C644" s="80">
        <f>IF(OR(Scale!$AA168="",Scale!$AA168=0),"","باسکول")</f>
        <v/>
      </c>
      <c r="D644" s="80">
        <f>IF(OR(Scale!$AA168="",Scale!$AA168=0),"",Scale!$AA168)</f>
        <v/>
      </c>
      <c r="E644" s="81">
        <f>IF(OR(Scale!$AA168="",Scale!$AA168=0),"",IF(Scale!$AA168="","","پوز باسکول — "&amp;Scale!$E168))</f>
        <v/>
      </c>
      <c r="F644" s="83" t="n"/>
      <c r="G644" s="83" t="n"/>
      <c r="H644" s="83" t="n"/>
      <c r="I644" s="83" t="n"/>
      <c r="J644" s="83" t="n"/>
      <c r="K644" s="82">
        <f>IF(OR(Scale!$AA168="",Scale!$AA168=0),"",IF(Scale!$AB168="",0,Scale!$AB168)+IF(Scale!$AC168="",0,Scale!$AC168))</f>
        <v/>
      </c>
      <c r="L644" s="82">
        <f>IF(OR(Scale!$AA168="",Scale!$AA168=0),"",Scale!$AB168)</f>
        <v/>
      </c>
      <c r="M644" s="82">
        <f>IF(OR(Scale!$AA168="",Scale!$AA168=0),"",Scale!$AC168)</f>
        <v/>
      </c>
      <c r="N644" s="81">
        <f>IF(OR(Scale!$AA168="",Scale!$AA168=0),"","پوز")</f>
        <v/>
      </c>
      <c r="O644" s="81">
        <f>IF(OR(Scale!$AA168="",Scale!$AA168=0),"",IFERROR(VLOOKUP(Scale!$AA168,AcctTbl,3,0),""))</f>
        <v/>
      </c>
      <c r="P644" s="82">
        <f>IF(Scale!$AA168&lt;&gt;"X011","","BN02")</f>
        <v/>
      </c>
    </row>
    <row r="645" ht="20.25" customHeight="1">
      <c r="A645" s="80">
        <f>IF(OR(Scale!$AD168="",Scale!$AD168=0),"",Scale!$B168)</f>
        <v/>
      </c>
      <c r="B645" s="80">
        <f>IF(OR(Scale!$AD168="",Scale!$AD168=0),"",Scale!$D168)</f>
        <v/>
      </c>
      <c r="C645" s="80">
        <f>IF(OR(Scale!$AD168="",Scale!$AD168=0),"","باسکول")</f>
        <v/>
      </c>
      <c r="D645" s="80">
        <f>IF(OR(Scale!$AD168="",Scale!$AD168=0),"",Scale!$AD168)</f>
        <v/>
      </c>
      <c r="E645" s="81">
        <f>IF(OR(Scale!$AD168="",Scale!$AD168=0),"",IF(Scale!$AD168="","","مقابل پوز — "&amp;Scale!$E168))</f>
        <v/>
      </c>
      <c r="F645" s="83" t="n"/>
      <c r="G645" s="83" t="n"/>
      <c r="H645" s="83" t="n"/>
      <c r="I645" s="83" t="n"/>
      <c r="J645" s="83" t="n"/>
      <c r="K645" s="82">
        <f>IF(OR(Scale!$AD168="",Scale!$AD168=0),"",IF(Scale!$AE168="",0,Scale!$AE168)+IF(Scale!$AF168="",0,Scale!$AF168))</f>
        <v/>
      </c>
      <c r="L645" s="82">
        <f>IF(OR(Scale!$AD168="",Scale!$AD168=0),"",Scale!$AE168)</f>
        <v/>
      </c>
      <c r="M645" s="82">
        <f>IF(OR(Scale!$AD168="",Scale!$AD168=0),"",Scale!$AF168)</f>
        <v/>
      </c>
      <c r="N645" s="81">
        <f>IF(OR(Scale!$AD168="",Scale!$AD168=0),"","مقابل پوز")</f>
        <v/>
      </c>
      <c r="O645" s="81">
        <f>IF(OR(Scale!$AD168="",Scale!$AD168=0),"",IFERROR(VLOOKUP(Scale!$AD168,AcctTbl,3,0),""))</f>
        <v/>
      </c>
      <c r="P645" s="82">
        <f>IF(Scale!$AD168&lt;&gt;"X011","","BN02")</f>
        <v/>
      </c>
    </row>
    <row r="646" ht="20.25" customHeight="1">
      <c r="A646" s="80">
        <f>IF(OR(Scale!$U169="",Scale!$U169=0),"",Scale!$B169)</f>
        <v/>
      </c>
      <c r="B646" s="80">
        <f>IF(OR(Scale!$U169="",Scale!$U169=0),"",Scale!$D169)</f>
        <v/>
      </c>
      <c r="C646" s="80">
        <f>IF(OR(Scale!$U169="",Scale!$U169=0),"","باسکول")</f>
        <v/>
      </c>
      <c r="D646" s="80">
        <f>IF(OR(Scale!$U169="",Scale!$U169=0),"",Scale!$U169)</f>
        <v/>
      </c>
      <c r="E646" s="81">
        <f>IF(OR(Scale!$U169="",Scale!$U169=0),"",Scale!$T169)</f>
        <v/>
      </c>
      <c r="F646" s="81">
        <f>IF(OR(Scale!$U169="",Scale!$U169=0),"",Scale!$J169)</f>
        <v/>
      </c>
      <c r="G646" s="82">
        <f>IF(OR(Scale!$U169="",Scale!$U169=0),"",Scale!$M169)</f>
        <v/>
      </c>
      <c r="H646" s="82">
        <f>IF(OR(Scale!$U169="",Scale!$U169=0),"",Scale!$L169)</f>
        <v/>
      </c>
      <c r="I646" s="82">
        <f>IF(OR(Scale!$U169="",Scale!$U169=0),"",Scale!$N169)</f>
        <v/>
      </c>
      <c r="J646" s="82">
        <f>IF(OR(Scale!$U169="",Scale!$U169=0),"",Scale!$O169)</f>
        <v/>
      </c>
      <c r="K646" s="82">
        <f>IF(OR(Scale!$U169="",Scale!$U169=0),"",IF(Scale!$V169="",0,Scale!$V169)+IF(Scale!$W169="",0,Scale!$W169))</f>
        <v/>
      </c>
      <c r="L646" s="82">
        <f>IF(OR(Scale!$U169="",Scale!$U169=0),"",Scale!$V169)</f>
        <v/>
      </c>
      <c r="M646" s="82">
        <f>IF(OR(Scale!$U169="",Scale!$U169=0),"",Scale!$W169)</f>
        <v/>
      </c>
      <c r="N646" s="81">
        <f>IF(OR(Scale!$U169="",Scale!$U169=0),"",Scale!$E169)</f>
        <v/>
      </c>
      <c r="O646" s="81">
        <f>IF(OR(Scale!$U169="",Scale!$U169=0),"",IFERROR(VLOOKUP(Scale!$U169,AcctTbl,3,0),""))</f>
        <v/>
      </c>
      <c r="P646" s="82">
        <f>IF(Scale!$U169&lt;&gt;"X011","","BN02")</f>
        <v/>
      </c>
    </row>
    <row r="647" ht="20.25" customHeight="1">
      <c r="A647" s="80">
        <f>IF(OR(Scale!$X169="",Scale!$X169=0),"",Scale!$B169)</f>
        <v/>
      </c>
      <c r="B647" s="80">
        <f>IF(OR(Scale!$X169="",Scale!$X169=0),"",Scale!$D169)</f>
        <v/>
      </c>
      <c r="C647" s="80">
        <f>IF(OR(Scale!$X169="",Scale!$X169=0),"","باسکول")</f>
        <v/>
      </c>
      <c r="D647" s="80">
        <f>IF(OR(Scale!$X169="",Scale!$X169=0),"",Scale!$X169)</f>
        <v/>
      </c>
      <c r="E647" s="81">
        <f>IF(OR(Scale!$X169="",Scale!$X169=0),"",IF(Scale!$X169="","","مقابل: "&amp;Scale!$E169))</f>
        <v/>
      </c>
      <c r="F647" s="83" t="n"/>
      <c r="G647" s="83" t="n"/>
      <c r="H647" s="83" t="n"/>
      <c r="I647" s="83" t="n"/>
      <c r="J647" s="83" t="n"/>
      <c r="K647" s="82">
        <f>IF(OR(Scale!$X169="",Scale!$X169=0),"",IF(Scale!$Y169="",0,Scale!$Y169)+IF(Scale!$Z169="",0,Scale!$Z169))</f>
        <v/>
      </c>
      <c r="L647" s="82">
        <f>IF(OR(Scale!$X169="",Scale!$X169=0),"",Scale!$Y169)</f>
        <v/>
      </c>
      <c r="M647" s="82">
        <f>IF(OR(Scale!$X169="",Scale!$X169=0),"",Scale!$Z169)</f>
        <v/>
      </c>
      <c r="N647" s="81">
        <f>IF(OR(Scale!$X169="",Scale!$X169=0),"","مقابل")</f>
        <v/>
      </c>
      <c r="O647" s="81">
        <f>IF(OR(Scale!$X169="",Scale!$X169=0),"",IFERROR(VLOOKUP(Scale!$X169,AcctTbl,3,0),""))</f>
        <v/>
      </c>
      <c r="P647" s="82">
        <f>IF(Scale!$X169&lt;&gt;"X011","","BN02")</f>
        <v/>
      </c>
    </row>
    <row r="648" ht="20.25" customHeight="1">
      <c r="A648" s="80">
        <f>IF(OR(Scale!$AA169="",Scale!$AA169=0),"",Scale!$B169)</f>
        <v/>
      </c>
      <c r="B648" s="80">
        <f>IF(OR(Scale!$AA169="",Scale!$AA169=0),"",Scale!$D169)</f>
        <v/>
      </c>
      <c r="C648" s="80">
        <f>IF(OR(Scale!$AA169="",Scale!$AA169=0),"","باسکول")</f>
        <v/>
      </c>
      <c r="D648" s="80">
        <f>IF(OR(Scale!$AA169="",Scale!$AA169=0),"",Scale!$AA169)</f>
        <v/>
      </c>
      <c r="E648" s="81">
        <f>IF(OR(Scale!$AA169="",Scale!$AA169=0),"",IF(Scale!$AA169="","","پوز باسکول — "&amp;Scale!$E169))</f>
        <v/>
      </c>
      <c r="F648" s="83" t="n"/>
      <c r="G648" s="83" t="n"/>
      <c r="H648" s="83" t="n"/>
      <c r="I648" s="83" t="n"/>
      <c r="J648" s="83" t="n"/>
      <c r="K648" s="82">
        <f>IF(OR(Scale!$AA169="",Scale!$AA169=0),"",IF(Scale!$AB169="",0,Scale!$AB169)+IF(Scale!$AC169="",0,Scale!$AC169))</f>
        <v/>
      </c>
      <c r="L648" s="82">
        <f>IF(OR(Scale!$AA169="",Scale!$AA169=0),"",Scale!$AB169)</f>
        <v/>
      </c>
      <c r="M648" s="82">
        <f>IF(OR(Scale!$AA169="",Scale!$AA169=0),"",Scale!$AC169)</f>
        <v/>
      </c>
      <c r="N648" s="81">
        <f>IF(OR(Scale!$AA169="",Scale!$AA169=0),"","پوز")</f>
        <v/>
      </c>
      <c r="O648" s="81">
        <f>IF(OR(Scale!$AA169="",Scale!$AA169=0),"",IFERROR(VLOOKUP(Scale!$AA169,AcctTbl,3,0),""))</f>
        <v/>
      </c>
      <c r="P648" s="82">
        <f>IF(Scale!$AA169&lt;&gt;"X011","","BN02")</f>
        <v/>
      </c>
    </row>
    <row r="649" ht="20.25" customHeight="1">
      <c r="A649" s="80">
        <f>IF(OR(Scale!$AD169="",Scale!$AD169=0),"",Scale!$B169)</f>
        <v/>
      </c>
      <c r="B649" s="80">
        <f>IF(OR(Scale!$AD169="",Scale!$AD169=0),"",Scale!$D169)</f>
        <v/>
      </c>
      <c r="C649" s="80">
        <f>IF(OR(Scale!$AD169="",Scale!$AD169=0),"","باسکول")</f>
        <v/>
      </c>
      <c r="D649" s="80">
        <f>IF(OR(Scale!$AD169="",Scale!$AD169=0),"",Scale!$AD169)</f>
        <v/>
      </c>
      <c r="E649" s="81">
        <f>IF(OR(Scale!$AD169="",Scale!$AD169=0),"",IF(Scale!$AD169="","","مقابل پوز — "&amp;Scale!$E169))</f>
        <v/>
      </c>
      <c r="F649" s="83" t="n"/>
      <c r="G649" s="83" t="n"/>
      <c r="H649" s="83" t="n"/>
      <c r="I649" s="83" t="n"/>
      <c r="J649" s="83" t="n"/>
      <c r="K649" s="82">
        <f>IF(OR(Scale!$AD169="",Scale!$AD169=0),"",IF(Scale!$AE169="",0,Scale!$AE169)+IF(Scale!$AF169="",0,Scale!$AF169))</f>
        <v/>
      </c>
      <c r="L649" s="82">
        <f>IF(OR(Scale!$AD169="",Scale!$AD169=0),"",Scale!$AE169)</f>
        <v/>
      </c>
      <c r="M649" s="82">
        <f>IF(OR(Scale!$AD169="",Scale!$AD169=0),"",Scale!$AF169)</f>
        <v/>
      </c>
      <c r="N649" s="81">
        <f>IF(OR(Scale!$AD169="",Scale!$AD169=0),"","مقابل پوز")</f>
        <v/>
      </c>
      <c r="O649" s="81">
        <f>IF(OR(Scale!$AD169="",Scale!$AD169=0),"",IFERROR(VLOOKUP(Scale!$AD169,AcctTbl,3,0),""))</f>
        <v/>
      </c>
      <c r="P649" s="82">
        <f>IF(Scale!$AD169&lt;&gt;"X011","","BN02")</f>
        <v/>
      </c>
    </row>
    <row r="650" ht="20.25" customHeight="1">
      <c r="A650" s="80">
        <f>IF(OR(Scale!$U170="",Scale!$U170=0),"",Scale!$B170)</f>
        <v/>
      </c>
      <c r="B650" s="80">
        <f>IF(OR(Scale!$U170="",Scale!$U170=0),"",Scale!$D170)</f>
        <v/>
      </c>
      <c r="C650" s="80">
        <f>IF(OR(Scale!$U170="",Scale!$U170=0),"","باسکول")</f>
        <v/>
      </c>
      <c r="D650" s="80">
        <f>IF(OR(Scale!$U170="",Scale!$U170=0),"",Scale!$U170)</f>
        <v/>
      </c>
      <c r="E650" s="81">
        <f>IF(OR(Scale!$U170="",Scale!$U170=0),"",Scale!$T170)</f>
        <v/>
      </c>
      <c r="F650" s="81">
        <f>IF(OR(Scale!$U170="",Scale!$U170=0),"",Scale!$J170)</f>
        <v/>
      </c>
      <c r="G650" s="82">
        <f>IF(OR(Scale!$U170="",Scale!$U170=0),"",Scale!$M170)</f>
        <v/>
      </c>
      <c r="H650" s="82">
        <f>IF(OR(Scale!$U170="",Scale!$U170=0),"",Scale!$L170)</f>
        <v/>
      </c>
      <c r="I650" s="82">
        <f>IF(OR(Scale!$U170="",Scale!$U170=0),"",Scale!$N170)</f>
        <v/>
      </c>
      <c r="J650" s="82">
        <f>IF(OR(Scale!$U170="",Scale!$U170=0),"",Scale!$O170)</f>
        <v/>
      </c>
      <c r="K650" s="82">
        <f>IF(OR(Scale!$U170="",Scale!$U170=0),"",IF(Scale!$V170="",0,Scale!$V170)+IF(Scale!$W170="",0,Scale!$W170))</f>
        <v/>
      </c>
      <c r="L650" s="82">
        <f>IF(OR(Scale!$U170="",Scale!$U170=0),"",Scale!$V170)</f>
        <v/>
      </c>
      <c r="M650" s="82">
        <f>IF(OR(Scale!$U170="",Scale!$U170=0),"",Scale!$W170)</f>
        <v/>
      </c>
      <c r="N650" s="81">
        <f>IF(OR(Scale!$U170="",Scale!$U170=0),"",Scale!$E170)</f>
        <v/>
      </c>
      <c r="O650" s="81">
        <f>IF(OR(Scale!$U170="",Scale!$U170=0),"",IFERROR(VLOOKUP(Scale!$U170,AcctTbl,3,0),""))</f>
        <v/>
      </c>
      <c r="P650" s="82">
        <f>IF(Scale!$U170&lt;&gt;"X011","","BN02")</f>
        <v/>
      </c>
    </row>
    <row r="651" ht="20.25" customHeight="1">
      <c r="A651" s="80">
        <f>IF(OR(Scale!$X170="",Scale!$X170=0),"",Scale!$B170)</f>
        <v/>
      </c>
      <c r="B651" s="80">
        <f>IF(OR(Scale!$X170="",Scale!$X170=0),"",Scale!$D170)</f>
        <v/>
      </c>
      <c r="C651" s="80">
        <f>IF(OR(Scale!$X170="",Scale!$X170=0),"","باسکول")</f>
        <v/>
      </c>
      <c r="D651" s="80">
        <f>IF(OR(Scale!$X170="",Scale!$X170=0),"",Scale!$X170)</f>
        <v/>
      </c>
      <c r="E651" s="81">
        <f>IF(OR(Scale!$X170="",Scale!$X170=0),"",IF(Scale!$X170="","","مقابل: "&amp;Scale!$E170))</f>
        <v/>
      </c>
      <c r="F651" s="83" t="n"/>
      <c r="G651" s="83" t="n"/>
      <c r="H651" s="83" t="n"/>
      <c r="I651" s="83" t="n"/>
      <c r="J651" s="83" t="n"/>
      <c r="K651" s="82">
        <f>IF(OR(Scale!$X170="",Scale!$X170=0),"",IF(Scale!$Y170="",0,Scale!$Y170)+IF(Scale!$Z170="",0,Scale!$Z170))</f>
        <v/>
      </c>
      <c r="L651" s="82">
        <f>IF(OR(Scale!$X170="",Scale!$X170=0),"",Scale!$Y170)</f>
        <v/>
      </c>
      <c r="M651" s="82">
        <f>IF(OR(Scale!$X170="",Scale!$X170=0),"",Scale!$Z170)</f>
        <v/>
      </c>
      <c r="N651" s="81">
        <f>IF(OR(Scale!$X170="",Scale!$X170=0),"","مقابل")</f>
        <v/>
      </c>
      <c r="O651" s="81">
        <f>IF(OR(Scale!$X170="",Scale!$X170=0),"",IFERROR(VLOOKUP(Scale!$X170,AcctTbl,3,0),""))</f>
        <v/>
      </c>
      <c r="P651" s="82">
        <f>IF(Scale!$X170&lt;&gt;"X011","","BN02")</f>
        <v/>
      </c>
    </row>
    <row r="652" ht="20.25" customHeight="1">
      <c r="A652" s="80">
        <f>IF(OR(Scale!$AA170="",Scale!$AA170=0),"",Scale!$B170)</f>
        <v/>
      </c>
      <c r="B652" s="80">
        <f>IF(OR(Scale!$AA170="",Scale!$AA170=0),"",Scale!$D170)</f>
        <v/>
      </c>
      <c r="C652" s="80">
        <f>IF(OR(Scale!$AA170="",Scale!$AA170=0),"","باسکول")</f>
        <v/>
      </c>
      <c r="D652" s="80">
        <f>IF(OR(Scale!$AA170="",Scale!$AA170=0),"",Scale!$AA170)</f>
        <v/>
      </c>
      <c r="E652" s="81">
        <f>IF(OR(Scale!$AA170="",Scale!$AA170=0),"",IF(Scale!$AA170="","","پوز باسکول — "&amp;Scale!$E170))</f>
        <v/>
      </c>
      <c r="F652" s="83" t="n"/>
      <c r="G652" s="83" t="n"/>
      <c r="H652" s="83" t="n"/>
      <c r="I652" s="83" t="n"/>
      <c r="J652" s="83" t="n"/>
      <c r="K652" s="82">
        <f>IF(OR(Scale!$AA170="",Scale!$AA170=0),"",IF(Scale!$AB170="",0,Scale!$AB170)+IF(Scale!$AC170="",0,Scale!$AC170))</f>
        <v/>
      </c>
      <c r="L652" s="82">
        <f>IF(OR(Scale!$AA170="",Scale!$AA170=0),"",Scale!$AB170)</f>
        <v/>
      </c>
      <c r="M652" s="82">
        <f>IF(OR(Scale!$AA170="",Scale!$AA170=0),"",Scale!$AC170)</f>
        <v/>
      </c>
      <c r="N652" s="81">
        <f>IF(OR(Scale!$AA170="",Scale!$AA170=0),"","پوز")</f>
        <v/>
      </c>
      <c r="O652" s="81">
        <f>IF(OR(Scale!$AA170="",Scale!$AA170=0),"",IFERROR(VLOOKUP(Scale!$AA170,AcctTbl,3,0),""))</f>
        <v/>
      </c>
      <c r="P652" s="82">
        <f>IF(Scale!$AA170&lt;&gt;"X011","","BN02")</f>
        <v/>
      </c>
    </row>
    <row r="653" ht="20.25" customHeight="1">
      <c r="A653" s="80">
        <f>IF(OR(Scale!$AD170="",Scale!$AD170=0),"",Scale!$B170)</f>
        <v/>
      </c>
      <c r="B653" s="80">
        <f>IF(OR(Scale!$AD170="",Scale!$AD170=0),"",Scale!$D170)</f>
        <v/>
      </c>
      <c r="C653" s="80">
        <f>IF(OR(Scale!$AD170="",Scale!$AD170=0),"","باسکول")</f>
        <v/>
      </c>
      <c r="D653" s="80">
        <f>IF(OR(Scale!$AD170="",Scale!$AD170=0),"",Scale!$AD170)</f>
        <v/>
      </c>
      <c r="E653" s="81">
        <f>IF(OR(Scale!$AD170="",Scale!$AD170=0),"",IF(Scale!$AD170="","","مقابل پوز — "&amp;Scale!$E170))</f>
        <v/>
      </c>
      <c r="F653" s="83" t="n"/>
      <c r="G653" s="83" t="n"/>
      <c r="H653" s="83" t="n"/>
      <c r="I653" s="83" t="n"/>
      <c r="J653" s="83" t="n"/>
      <c r="K653" s="82">
        <f>IF(OR(Scale!$AD170="",Scale!$AD170=0),"",IF(Scale!$AE170="",0,Scale!$AE170)+IF(Scale!$AF170="",0,Scale!$AF170))</f>
        <v/>
      </c>
      <c r="L653" s="82">
        <f>IF(OR(Scale!$AD170="",Scale!$AD170=0),"",Scale!$AE170)</f>
        <v/>
      </c>
      <c r="M653" s="82">
        <f>IF(OR(Scale!$AD170="",Scale!$AD170=0),"",Scale!$AF170)</f>
        <v/>
      </c>
      <c r="N653" s="81">
        <f>IF(OR(Scale!$AD170="",Scale!$AD170=0),"","مقابل پوز")</f>
        <v/>
      </c>
      <c r="O653" s="81">
        <f>IF(OR(Scale!$AD170="",Scale!$AD170=0),"",IFERROR(VLOOKUP(Scale!$AD170,AcctTbl,3,0),""))</f>
        <v/>
      </c>
      <c r="P653" s="82">
        <f>IF(Scale!$AD170&lt;&gt;"X011","","BN02")</f>
        <v/>
      </c>
    </row>
    <row r="654" ht="20.25" customHeight="1">
      <c r="A654" s="80">
        <f>IF(OR(Scale!$U171="",Scale!$U171=0),"",Scale!$B171)</f>
        <v/>
      </c>
      <c r="B654" s="80">
        <f>IF(OR(Scale!$U171="",Scale!$U171=0),"",Scale!$D171)</f>
        <v/>
      </c>
      <c r="C654" s="80">
        <f>IF(OR(Scale!$U171="",Scale!$U171=0),"","باسکول")</f>
        <v/>
      </c>
      <c r="D654" s="80">
        <f>IF(OR(Scale!$U171="",Scale!$U171=0),"",Scale!$U171)</f>
        <v/>
      </c>
      <c r="E654" s="81">
        <f>IF(OR(Scale!$U171="",Scale!$U171=0),"",Scale!$T171)</f>
        <v/>
      </c>
      <c r="F654" s="81">
        <f>IF(OR(Scale!$U171="",Scale!$U171=0),"",Scale!$J171)</f>
        <v/>
      </c>
      <c r="G654" s="82">
        <f>IF(OR(Scale!$U171="",Scale!$U171=0),"",Scale!$M171)</f>
        <v/>
      </c>
      <c r="H654" s="82">
        <f>IF(OR(Scale!$U171="",Scale!$U171=0),"",Scale!$L171)</f>
        <v/>
      </c>
      <c r="I654" s="82">
        <f>IF(OR(Scale!$U171="",Scale!$U171=0),"",Scale!$N171)</f>
        <v/>
      </c>
      <c r="J654" s="82">
        <f>IF(OR(Scale!$U171="",Scale!$U171=0),"",Scale!$O171)</f>
        <v/>
      </c>
      <c r="K654" s="82">
        <f>IF(OR(Scale!$U171="",Scale!$U171=0),"",IF(Scale!$V171="",0,Scale!$V171)+IF(Scale!$W171="",0,Scale!$W171))</f>
        <v/>
      </c>
      <c r="L654" s="82">
        <f>IF(OR(Scale!$U171="",Scale!$U171=0),"",Scale!$V171)</f>
        <v/>
      </c>
      <c r="M654" s="82">
        <f>IF(OR(Scale!$U171="",Scale!$U171=0),"",Scale!$W171)</f>
        <v/>
      </c>
      <c r="N654" s="81">
        <f>IF(OR(Scale!$U171="",Scale!$U171=0),"",Scale!$E171)</f>
        <v/>
      </c>
      <c r="O654" s="81">
        <f>IF(OR(Scale!$U171="",Scale!$U171=0),"",IFERROR(VLOOKUP(Scale!$U171,AcctTbl,3,0),""))</f>
        <v/>
      </c>
      <c r="P654" s="82">
        <f>IF(Scale!$U171&lt;&gt;"X011","","BN02")</f>
        <v/>
      </c>
    </row>
    <row r="655" ht="20.25" customHeight="1">
      <c r="A655" s="80">
        <f>IF(OR(Scale!$X171="",Scale!$X171=0),"",Scale!$B171)</f>
        <v/>
      </c>
      <c r="B655" s="80">
        <f>IF(OR(Scale!$X171="",Scale!$X171=0),"",Scale!$D171)</f>
        <v/>
      </c>
      <c r="C655" s="80">
        <f>IF(OR(Scale!$X171="",Scale!$X171=0),"","باسکول")</f>
        <v/>
      </c>
      <c r="D655" s="80">
        <f>IF(OR(Scale!$X171="",Scale!$X171=0),"",Scale!$X171)</f>
        <v/>
      </c>
      <c r="E655" s="81">
        <f>IF(OR(Scale!$X171="",Scale!$X171=0),"",IF(Scale!$X171="","","مقابل: "&amp;Scale!$E171))</f>
        <v/>
      </c>
      <c r="F655" s="83" t="n"/>
      <c r="G655" s="83" t="n"/>
      <c r="H655" s="83" t="n"/>
      <c r="I655" s="83" t="n"/>
      <c r="J655" s="83" t="n"/>
      <c r="K655" s="82">
        <f>IF(OR(Scale!$X171="",Scale!$X171=0),"",IF(Scale!$Y171="",0,Scale!$Y171)+IF(Scale!$Z171="",0,Scale!$Z171))</f>
        <v/>
      </c>
      <c r="L655" s="82">
        <f>IF(OR(Scale!$X171="",Scale!$X171=0),"",Scale!$Y171)</f>
        <v/>
      </c>
      <c r="M655" s="82">
        <f>IF(OR(Scale!$X171="",Scale!$X171=0),"",Scale!$Z171)</f>
        <v/>
      </c>
      <c r="N655" s="81">
        <f>IF(OR(Scale!$X171="",Scale!$X171=0),"","مقابل")</f>
        <v/>
      </c>
      <c r="O655" s="81">
        <f>IF(OR(Scale!$X171="",Scale!$X171=0),"",IFERROR(VLOOKUP(Scale!$X171,AcctTbl,3,0),""))</f>
        <v/>
      </c>
      <c r="P655" s="82">
        <f>IF(Scale!$X171&lt;&gt;"X011","","BN02")</f>
        <v/>
      </c>
    </row>
    <row r="656" ht="20.25" customHeight="1">
      <c r="A656" s="80">
        <f>IF(OR(Scale!$AA171="",Scale!$AA171=0),"",Scale!$B171)</f>
        <v/>
      </c>
      <c r="B656" s="80">
        <f>IF(OR(Scale!$AA171="",Scale!$AA171=0),"",Scale!$D171)</f>
        <v/>
      </c>
      <c r="C656" s="80">
        <f>IF(OR(Scale!$AA171="",Scale!$AA171=0),"","باسکول")</f>
        <v/>
      </c>
      <c r="D656" s="80">
        <f>IF(OR(Scale!$AA171="",Scale!$AA171=0),"",Scale!$AA171)</f>
        <v/>
      </c>
      <c r="E656" s="81">
        <f>IF(OR(Scale!$AA171="",Scale!$AA171=0),"",IF(Scale!$AA171="","","پوز باسکول — "&amp;Scale!$E171))</f>
        <v/>
      </c>
      <c r="F656" s="83" t="n"/>
      <c r="G656" s="83" t="n"/>
      <c r="H656" s="83" t="n"/>
      <c r="I656" s="83" t="n"/>
      <c r="J656" s="83" t="n"/>
      <c r="K656" s="82">
        <f>IF(OR(Scale!$AA171="",Scale!$AA171=0),"",IF(Scale!$AB171="",0,Scale!$AB171)+IF(Scale!$AC171="",0,Scale!$AC171))</f>
        <v/>
      </c>
      <c r="L656" s="82">
        <f>IF(OR(Scale!$AA171="",Scale!$AA171=0),"",Scale!$AB171)</f>
        <v/>
      </c>
      <c r="M656" s="82">
        <f>IF(OR(Scale!$AA171="",Scale!$AA171=0),"",Scale!$AC171)</f>
        <v/>
      </c>
      <c r="N656" s="81">
        <f>IF(OR(Scale!$AA171="",Scale!$AA171=0),"","پوز")</f>
        <v/>
      </c>
      <c r="O656" s="81">
        <f>IF(OR(Scale!$AA171="",Scale!$AA171=0),"",IFERROR(VLOOKUP(Scale!$AA171,AcctTbl,3,0),""))</f>
        <v/>
      </c>
      <c r="P656" s="82">
        <f>IF(Scale!$AA171&lt;&gt;"X011","","BN02")</f>
        <v/>
      </c>
    </row>
    <row r="657" ht="20.25" customHeight="1">
      <c r="A657" s="80">
        <f>IF(OR(Scale!$AD171="",Scale!$AD171=0),"",Scale!$B171)</f>
        <v/>
      </c>
      <c r="B657" s="80">
        <f>IF(OR(Scale!$AD171="",Scale!$AD171=0),"",Scale!$D171)</f>
        <v/>
      </c>
      <c r="C657" s="80">
        <f>IF(OR(Scale!$AD171="",Scale!$AD171=0),"","باسکول")</f>
        <v/>
      </c>
      <c r="D657" s="80">
        <f>IF(OR(Scale!$AD171="",Scale!$AD171=0),"",Scale!$AD171)</f>
        <v/>
      </c>
      <c r="E657" s="81">
        <f>IF(OR(Scale!$AD171="",Scale!$AD171=0),"",IF(Scale!$AD171="","","مقابل پوز — "&amp;Scale!$E171))</f>
        <v/>
      </c>
      <c r="F657" s="83" t="n"/>
      <c r="G657" s="83" t="n"/>
      <c r="H657" s="83" t="n"/>
      <c r="I657" s="83" t="n"/>
      <c r="J657" s="83" t="n"/>
      <c r="K657" s="82">
        <f>IF(OR(Scale!$AD171="",Scale!$AD171=0),"",IF(Scale!$AE171="",0,Scale!$AE171)+IF(Scale!$AF171="",0,Scale!$AF171))</f>
        <v/>
      </c>
      <c r="L657" s="82">
        <f>IF(OR(Scale!$AD171="",Scale!$AD171=0),"",Scale!$AE171)</f>
        <v/>
      </c>
      <c r="M657" s="82">
        <f>IF(OR(Scale!$AD171="",Scale!$AD171=0),"",Scale!$AF171)</f>
        <v/>
      </c>
      <c r="N657" s="81">
        <f>IF(OR(Scale!$AD171="",Scale!$AD171=0),"","مقابل پوز")</f>
        <v/>
      </c>
      <c r="O657" s="81">
        <f>IF(OR(Scale!$AD171="",Scale!$AD171=0),"",IFERROR(VLOOKUP(Scale!$AD171,AcctTbl,3,0),""))</f>
        <v/>
      </c>
      <c r="P657" s="82">
        <f>IF(Scale!$AD171&lt;&gt;"X011","","BN02")</f>
        <v/>
      </c>
    </row>
    <row r="658" ht="20.25" customHeight="1">
      <c r="A658" s="80">
        <f>IF(OR(Scale!$U172="",Scale!$U172=0),"",Scale!$B172)</f>
        <v/>
      </c>
      <c r="B658" s="80">
        <f>IF(OR(Scale!$U172="",Scale!$U172=0),"",Scale!$D172)</f>
        <v/>
      </c>
      <c r="C658" s="80">
        <f>IF(OR(Scale!$U172="",Scale!$U172=0),"","باسکول")</f>
        <v/>
      </c>
      <c r="D658" s="80">
        <f>IF(OR(Scale!$U172="",Scale!$U172=0),"",Scale!$U172)</f>
        <v/>
      </c>
      <c r="E658" s="81">
        <f>IF(OR(Scale!$U172="",Scale!$U172=0),"",Scale!$T172)</f>
        <v/>
      </c>
      <c r="F658" s="81">
        <f>IF(OR(Scale!$U172="",Scale!$U172=0),"",Scale!$J172)</f>
        <v/>
      </c>
      <c r="G658" s="82">
        <f>IF(OR(Scale!$U172="",Scale!$U172=0),"",Scale!$M172)</f>
        <v/>
      </c>
      <c r="H658" s="82">
        <f>IF(OR(Scale!$U172="",Scale!$U172=0),"",Scale!$L172)</f>
        <v/>
      </c>
      <c r="I658" s="82">
        <f>IF(OR(Scale!$U172="",Scale!$U172=0),"",Scale!$N172)</f>
        <v/>
      </c>
      <c r="J658" s="82">
        <f>IF(OR(Scale!$U172="",Scale!$U172=0),"",Scale!$O172)</f>
        <v/>
      </c>
      <c r="K658" s="82">
        <f>IF(OR(Scale!$U172="",Scale!$U172=0),"",IF(Scale!$V172="",0,Scale!$V172)+IF(Scale!$W172="",0,Scale!$W172))</f>
        <v/>
      </c>
      <c r="L658" s="82">
        <f>IF(OR(Scale!$U172="",Scale!$U172=0),"",Scale!$V172)</f>
        <v/>
      </c>
      <c r="M658" s="82">
        <f>IF(OR(Scale!$U172="",Scale!$U172=0),"",Scale!$W172)</f>
        <v/>
      </c>
      <c r="N658" s="81">
        <f>IF(OR(Scale!$U172="",Scale!$U172=0),"",Scale!$E172)</f>
        <v/>
      </c>
      <c r="O658" s="81">
        <f>IF(OR(Scale!$U172="",Scale!$U172=0),"",IFERROR(VLOOKUP(Scale!$U172,AcctTbl,3,0),""))</f>
        <v/>
      </c>
      <c r="P658" s="82">
        <f>IF(Scale!$U172&lt;&gt;"X011","","BN02")</f>
        <v/>
      </c>
    </row>
    <row r="659" ht="20.25" customHeight="1">
      <c r="A659" s="80">
        <f>IF(OR(Scale!$X172="",Scale!$X172=0),"",Scale!$B172)</f>
        <v/>
      </c>
      <c r="B659" s="80">
        <f>IF(OR(Scale!$X172="",Scale!$X172=0),"",Scale!$D172)</f>
        <v/>
      </c>
      <c r="C659" s="80">
        <f>IF(OR(Scale!$X172="",Scale!$X172=0),"","باسکول")</f>
        <v/>
      </c>
      <c r="D659" s="80">
        <f>IF(OR(Scale!$X172="",Scale!$X172=0),"",Scale!$X172)</f>
        <v/>
      </c>
      <c r="E659" s="81">
        <f>IF(OR(Scale!$X172="",Scale!$X172=0),"",IF(Scale!$X172="","","مقابل: "&amp;Scale!$E172))</f>
        <v/>
      </c>
      <c r="F659" s="83" t="n"/>
      <c r="G659" s="83" t="n"/>
      <c r="H659" s="83" t="n"/>
      <c r="I659" s="83" t="n"/>
      <c r="J659" s="83" t="n"/>
      <c r="K659" s="82">
        <f>IF(OR(Scale!$X172="",Scale!$X172=0),"",IF(Scale!$Y172="",0,Scale!$Y172)+IF(Scale!$Z172="",0,Scale!$Z172))</f>
        <v/>
      </c>
      <c r="L659" s="82">
        <f>IF(OR(Scale!$X172="",Scale!$X172=0),"",Scale!$Y172)</f>
        <v/>
      </c>
      <c r="M659" s="82">
        <f>IF(OR(Scale!$X172="",Scale!$X172=0),"",Scale!$Z172)</f>
        <v/>
      </c>
      <c r="N659" s="81">
        <f>IF(OR(Scale!$X172="",Scale!$X172=0),"","مقابل")</f>
        <v/>
      </c>
      <c r="O659" s="81">
        <f>IF(OR(Scale!$X172="",Scale!$X172=0),"",IFERROR(VLOOKUP(Scale!$X172,AcctTbl,3,0),""))</f>
        <v/>
      </c>
      <c r="P659" s="82">
        <f>IF(Scale!$X172&lt;&gt;"X011","","BN02")</f>
        <v/>
      </c>
    </row>
    <row r="660" ht="20.25" customHeight="1">
      <c r="A660" s="80">
        <f>IF(OR(Scale!$AA172="",Scale!$AA172=0),"",Scale!$B172)</f>
        <v/>
      </c>
      <c r="B660" s="80">
        <f>IF(OR(Scale!$AA172="",Scale!$AA172=0),"",Scale!$D172)</f>
        <v/>
      </c>
      <c r="C660" s="80">
        <f>IF(OR(Scale!$AA172="",Scale!$AA172=0),"","باسکول")</f>
        <v/>
      </c>
      <c r="D660" s="80">
        <f>IF(OR(Scale!$AA172="",Scale!$AA172=0),"",Scale!$AA172)</f>
        <v/>
      </c>
      <c r="E660" s="81">
        <f>IF(OR(Scale!$AA172="",Scale!$AA172=0),"",IF(Scale!$AA172="","","پوز باسکول — "&amp;Scale!$E172))</f>
        <v/>
      </c>
      <c r="F660" s="83" t="n"/>
      <c r="G660" s="83" t="n"/>
      <c r="H660" s="83" t="n"/>
      <c r="I660" s="83" t="n"/>
      <c r="J660" s="83" t="n"/>
      <c r="K660" s="82">
        <f>IF(OR(Scale!$AA172="",Scale!$AA172=0),"",IF(Scale!$AB172="",0,Scale!$AB172)+IF(Scale!$AC172="",0,Scale!$AC172))</f>
        <v/>
      </c>
      <c r="L660" s="82">
        <f>IF(OR(Scale!$AA172="",Scale!$AA172=0),"",Scale!$AB172)</f>
        <v/>
      </c>
      <c r="M660" s="82">
        <f>IF(OR(Scale!$AA172="",Scale!$AA172=0),"",Scale!$AC172)</f>
        <v/>
      </c>
      <c r="N660" s="81">
        <f>IF(OR(Scale!$AA172="",Scale!$AA172=0),"","پوز")</f>
        <v/>
      </c>
      <c r="O660" s="81">
        <f>IF(OR(Scale!$AA172="",Scale!$AA172=0),"",IFERROR(VLOOKUP(Scale!$AA172,AcctTbl,3,0),""))</f>
        <v/>
      </c>
      <c r="P660" s="82">
        <f>IF(Scale!$AA172&lt;&gt;"X011","","BN02")</f>
        <v/>
      </c>
    </row>
    <row r="661" ht="20.25" customHeight="1">
      <c r="A661" s="80">
        <f>IF(OR(Scale!$AD172="",Scale!$AD172=0),"",Scale!$B172)</f>
        <v/>
      </c>
      <c r="B661" s="80">
        <f>IF(OR(Scale!$AD172="",Scale!$AD172=0),"",Scale!$D172)</f>
        <v/>
      </c>
      <c r="C661" s="80">
        <f>IF(OR(Scale!$AD172="",Scale!$AD172=0),"","باسکول")</f>
        <v/>
      </c>
      <c r="D661" s="80">
        <f>IF(OR(Scale!$AD172="",Scale!$AD172=0),"",Scale!$AD172)</f>
        <v/>
      </c>
      <c r="E661" s="81">
        <f>IF(OR(Scale!$AD172="",Scale!$AD172=0),"",IF(Scale!$AD172="","","مقابل پوز — "&amp;Scale!$E172))</f>
        <v/>
      </c>
      <c r="F661" s="83" t="n"/>
      <c r="G661" s="83" t="n"/>
      <c r="H661" s="83" t="n"/>
      <c r="I661" s="83" t="n"/>
      <c r="J661" s="83" t="n"/>
      <c r="K661" s="82">
        <f>IF(OR(Scale!$AD172="",Scale!$AD172=0),"",IF(Scale!$AE172="",0,Scale!$AE172)+IF(Scale!$AF172="",0,Scale!$AF172))</f>
        <v/>
      </c>
      <c r="L661" s="82">
        <f>IF(OR(Scale!$AD172="",Scale!$AD172=0),"",Scale!$AE172)</f>
        <v/>
      </c>
      <c r="M661" s="82">
        <f>IF(OR(Scale!$AD172="",Scale!$AD172=0),"",Scale!$AF172)</f>
        <v/>
      </c>
      <c r="N661" s="81">
        <f>IF(OR(Scale!$AD172="",Scale!$AD172=0),"","مقابل پوز")</f>
        <v/>
      </c>
      <c r="O661" s="81">
        <f>IF(OR(Scale!$AD172="",Scale!$AD172=0),"",IFERROR(VLOOKUP(Scale!$AD172,AcctTbl,3,0),""))</f>
        <v/>
      </c>
      <c r="P661" s="82">
        <f>IF(Scale!$AD172&lt;&gt;"X011","","BN02")</f>
        <v/>
      </c>
    </row>
    <row r="662" ht="20.25" customHeight="1">
      <c r="A662" s="80">
        <f>IF(OR(Scale!$U173="",Scale!$U173=0),"",Scale!$B173)</f>
        <v/>
      </c>
      <c r="B662" s="80">
        <f>IF(OR(Scale!$U173="",Scale!$U173=0),"",Scale!$D173)</f>
        <v/>
      </c>
      <c r="C662" s="80">
        <f>IF(OR(Scale!$U173="",Scale!$U173=0),"","باسکول")</f>
        <v/>
      </c>
      <c r="D662" s="80">
        <f>IF(OR(Scale!$U173="",Scale!$U173=0),"",Scale!$U173)</f>
        <v/>
      </c>
      <c r="E662" s="81">
        <f>IF(OR(Scale!$U173="",Scale!$U173=0),"",Scale!$T173)</f>
        <v/>
      </c>
      <c r="F662" s="81">
        <f>IF(OR(Scale!$U173="",Scale!$U173=0),"",Scale!$J173)</f>
        <v/>
      </c>
      <c r="G662" s="82">
        <f>IF(OR(Scale!$U173="",Scale!$U173=0),"",Scale!$M173)</f>
        <v/>
      </c>
      <c r="H662" s="82">
        <f>IF(OR(Scale!$U173="",Scale!$U173=0),"",Scale!$L173)</f>
        <v/>
      </c>
      <c r="I662" s="82">
        <f>IF(OR(Scale!$U173="",Scale!$U173=0),"",Scale!$N173)</f>
        <v/>
      </c>
      <c r="J662" s="82">
        <f>IF(OR(Scale!$U173="",Scale!$U173=0),"",Scale!$O173)</f>
        <v/>
      </c>
      <c r="K662" s="82">
        <f>IF(OR(Scale!$U173="",Scale!$U173=0),"",IF(Scale!$V173="",0,Scale!$V173)+IF(Scale!$W173="",0,Scale!$W173))</f>
        <v/>
      </c>
      <c r="L662" s="82">
        <f>IF(OR(Scale!$U173="",Scale!$U173=0),"",Scale!$V173)</f>
        <v/>
      </c>
      <c r="M662" s="82">
        <f>IF(OR(Scale!$U173="",Scale!$U173=0),"",Scale!$W173)</f>
        <v/>
      </c>
      <c r="N662" s="81">
        <f>IF(OR(Scale!$U173="",Scale!$U173=0),"",Scale!$E173)</f>
        <v/>
      </c>
      <c r="O662" s="81">
        <f>IF(OR(Scale!$U173="",Scale!$U173=0),"",IFERROR(VLOOKUP(Scale!$U173,AcctTbl,3,0),""))</f>
        <v/>
      </c>
      <c r="P662" s="82">
        <f>IF(Scale!$U173&lt;&gt;"X011","","BN02")</f>
        <v/>
      </c>
    </row>
    <row r="663" ht="20.25" customHeight="1">
      <c r="A663" s="80">
        <f>IF(OR(Scale!$X173="",Scale!$X173=0),"",Scale!$B173)</f>
        <v/>
      </c>
      <c r="B663" s="80">
        <f>IF(OR(Scale!$X173="",Scale!$X173=0),"",Scale!$D173)</f>
        <v/>
      </c>
      <c r="C663" s="80">
        <f>IF(OR(Scale!$X173="",Scale!$X173=0),"","باسکول")</f>
        <v/>
      </c>
      <c r="D663" s="80">
        <f>IF(OR(Scale!$X173="",Scale!$X173=0),"",Scale!$X173)</f>
        <v/>
      </c>
      <c r="E663" s="81">
        <f>IF(OR(Scale!$X173="",Scale!$X173=0),"",IF(Scale!$X173="","","مقابل: "&amp;Scale!$E173))</f>
        <v/>
      </c>
      <c r="F663" s="83" t="n"/>
      <c r="G663" s="83" t="n"/>
      <c r="H663" s="83" t="n"/>
      <c r="I663" s="83" t="n"/>
      <c r="J663" s="83" t="n"/>
      <c r="K663" s="82">
        <f>IF(OR(Scale!$X173="",Scale!$X173=0),"",IF(Scale!$Y173="",0,Scale!$Y173)+IF(Scale!$Z173="",0,Scale!$Z173))</f>
        <v/>
      </c>
      <c r="L663" s="82">
        <f>IF(OR(Scale!$X173="",Scale!$X173=0),"",Scale!$Y173)</f>
        <v/>
      </c>
      <c r="M663" s="82">
        <f>IF(OR(Scale!$X173="",Scale!$X173=0),"",Scale!$Z173)</f>
        <v/>
      </c>
      <c r="N663" s="81">
        <f>IF(OR(Scale!$X173="",Scale!$X173=0),"","مقابل")</f>
        <v/>
      </c>
      <c r="O663" s="81">
        <f>IF(OR(Scale!$X173="",Scale!$X173=0),"",IFERROR(VLOOKUP(Scale!$X173,AcctTbl,3,0),""))</f>
        <v/>
      </c>
      <c r="P663" s="82">
        <f>IF(Scale!$X173&lt;&gt;"X011","","BN02")</f>
        <v/>
      </c>
    </row>
    <row r="664" ht="20.25" customHeight="1">
      <c r="A664" s="80">
        <f>IF(OR(Scale!$AA173="",Scale!$AA173=0),"",Scale!$B173)</f>
        <v/>
      </c>
      <c r="B664" s="80">
        <f>IF(OR(Scale!$AA173="",Scale!$AA173=0),"",Scale!$D173)</f>
        <v/>
      </c>
      <c r="C664" s="80">
        <f>IF(OR(Scale!$AA173="",Scale!$AA173=0),"","باسکول")</f>
        <v/>
      </c>
      <c r="D664" s="80">
        <f>IF(OR(Scale!$AA173="",Scale!$AA173=0),"",Scale!$AA173)</f>
        <v/>
      </c>
      <c r="E664" s="81">
        <f>IF(OR(Scale!$AA173="",Scale!$AA173=0),"",IF(Scale!$AA173="","","پوز باسکول — "&amp;Scale!$E173))</f>
        <v/>
      </c>
      <c r="F664" s="83" t="n"/>
      <c r="G664" s="83" t="n"/>
      <c r="H664" s="83" t="n"/>
      <c r="I664" s="83" t="n"/>
      <c r="J664" s="83" t="n"/>
      <c r="K664" s="82">
        <f>IF(OR(Scale!$AA173="",Scale!$AA173=0),"",IF(Scale!$AB173="",0,Scale!$AB173)+IF(Scale!$AC173="",0,Scale!$AC173))</f>
        <v/>
      </c>
      <c r="L664" s="82">
        <f>IF(OR(Scale!$AA173="",Scale!$AA173=0),"",Scale!$AB173)</f>
        <v/>
      </c>
      <c r="M664" s="82">
        <f>IF(OR(Scale!$AA173="",Scale!$AA173=0),"",Scale!$AC173)</f>
        <v/>
      </c>
      <c r="N664" s="81">
        <f>IF(OR(Scale!$AA173="",Scale!$AA173=0),"","پوز")</f>
        <v/>
      </c>
      <c r="O664" s="81">
        <f>IF(OR(Scale!$AA173="",Scale!$AA173=0),"",IFERROR(VLOOKUP(Scale!$AA173,AcctTbl,3,0),""))</f>
        <v/>
      </c>
      <c r="P664" s="82">
        <f>IF(Scale!$AA173&lt;&gt;"X011","","BN02")</f>
        <v/>
      </c>
    </row>
    <row r="665" ht="20.25" customHeight="1">
      <c r="A665" s="80">
        <f>IF(OR(Scale!$AD173="",Scale!$AD173=0),"",Scale!$B173)</f>
        <v/>
      </c>
      <c r="B665" s="80">
        <f>IF(OR(Scale!$AD173="",Scale!$AD173=0),"",Scale!$D173)</f>
        <v/>
      </c>
      <c r="C665" s="80">
        <f>IF(OR(Scale!$AD173="",Scale!$AD173=0),"","باسکول")</f>
        <v/>
      </c>
      <c r="D665" s="80">
        <f>IF(OR(Scale!$AD173="",Scale!$AD173=0),"",Scale!$AD173)</f>
        <v/>
      </c>
      <c r="E665" s="81">
        <f>IF(OR(Scale!$AD173="",Scale!$AD173=0),"",IF(Scale!$AD173="","","مقابل پوز — "&amp;Scale!$E173))</f>
        <v/>
      </c>
      <c r="F665" s="83" t="n"/>
      <c r="G665" s="83" t="n"/>
      <c r="H665" s="83" t="n"/>
      <c r="I665" s="83" t="n"/>
      <c r="J665" s="83" t="n"/>
      <c r="K665" s="82">
        <f>IF(OR(Scale!$AD173="",Scale!$AD173=0),"",IF(Scale!$AE173="",0,Scale!$AE173)+IF(Scale!$AF173="",0,Scale!$AF173))</f>
        <v/>
      </c>
      <c r="L665" s="82">
        <f>IF(OR(Scale!$AD173="",Scale!$AD173=0),"",Scale!$AE173)</f>
        <v/>
      </c>
      <c r="M665" s="82">
        <f>IF(OR(Scale!$AD173="",Scale!$AD173=0),"",Scale!$AF173)</f>
        <v/>
      </c>
      <c r="N665" s="81">
        <f>IF(OR(Scale!$AD173="",Scale!$AD173=0),"","مقابل پوز")</f>
        <v/>
      </c>
      <c r="O665" s="81">
        <f>IF(OR(Scale!$AD173="",Scale!$AD173=0),"",IFERROR(VLOOKUP(Scale!$AD173,AcctTbl,3,0),""))</f>
        <v/>
      </c>
      <c r="P665" s="82">
        <f>IF(Scale!$AD173&lt;&gt;"X011","","BN02")</f>
        <v/>
      </c>
    </row>
    <row r="666" ht="20.25" customHeight="1">
      <c r="A666" s="80">
        <f>IF(OR(Scale!$U174="",Scale!$U174=0),"",Scale!$B174)</f>
        <v/>
      </c>
      <c r="B666" s="80">
        <f>IF(OR(Scale!$U174="",Scale!$U174=0),"",Scale!$D174)</f>
        <v/>
      </c>
      <c r="C666" s="80">
        <f>IF(OR(Scale!$U174="",Scale!$U174=0),"","باسکول")</f>
        <v/>
      </c>
      <c r="D666" s="80">
        <f>IF(OR(Scale!$U174="",Scale!$U174=0),"",Scale!$U174)</f>
        <v/>
      </c>
      <c r="E666" s="81">
        <f>IF(OR(Scale!$U174="",Scale!$U174=0),"",Scale!$T174)</f>
        <v/>
      </c>
      <c r="F666" s="81">
        <f>IF(OR(Scale!$U174="",Scale!$U174=0),"",Scale!$J174)</f>
        <v/>
      </c>
      <c r="G666" s="82">
        <f>IF(OR(Scale!$U174="",Scale!$U174=0),"",Scale!$M174)</f>
        <v/>
      </c>
      <c r="H666" s="82">
        <f>IF(OR(Scale!$U174="",Scale!$U174=0),"",Scale!$L174)</f>
        <v/>
      </c>
      <c r="I666" s="82">
        <f>IF(OR(Scale!$U174="",Scale!$U174=0),"",Scale!$N174)</f>
        <v/>
      </c>
      <c r="J666" s="82">
        <f>IF(OR(Scale!$U174="",Scale!$U174=0),"",Scale!$O174)</f>
        <v/>
      </c>
      <c r="K666" s="82">
        <f>IF(OR(Scale!$U174="",Scale!$U174=0),"",IF(Scale!$V174="",0,Scale!$V174)+IF(Scale!$W174="",0,Scale!$W174))</f>
        <v/>
      </c>
      <c r="L666" s="82">
        <f>IF(OR(Scale!$U174="",Scale!$U174=0),"",Scale!$V174)</f>
        <v/>
      </c>
      <c r="M666" s="82">
        <f>IF(OR(Scale!$U174="",Scale!$U174=0),"",Scale!$W174)</f>
        <v/>
      </c>
      <c r="N666" s="81">
        <f>IF(OR(Scale!$U174="",Scale!$U174=0),"",Scale!$E174)</f>
        <v/>
      </c>
      <c r="O666" s="81">
        <f>IF(OR(Scale!$U174="",Scale!$U174=0),"",IFERROR(VLOOKUP(Scale!$U174,AcctTbl,3,0),""))</f>
        <v/>
      </c>
      <c r="P666" s="82">
        <f>IF(Scale!$U174&lt;&gt;"X011","","BN02")</f>
        <v/>
      </c>
    </row>
    <row r="667" ht="20.25" customHeight="1">
      <c r="A667" s="80">
        <f>IF(OR(Scale!$X174="",Scale!$X174=0),"",Scale!$B174)</f>
        <v/>
      </c>
      <c r="B667" s="80">
        <f>IF(OR(Scale!$X174="",Scale!$X174=0),"",Scale!$D174)</f>
        <v/>
      </c>
      <c r="C667" s="80">
        <f>IF(OR(Scale!$X174="",Scale!$X174=0),"","باسکول")</f>
        <v/>
      </c>
      <c r="D667" s="80">
        <f>IF(OR(Scale!$X174="",Scale!$X174=0),"",Scale!$X174)</f>
        <v/>
      </c>
      <c r="E667" s="81">
        <f>IF(OR(Scale!$X174="",Scale!$X174=0),"",IF(Scale!$X174="","","مقابل: "&amp;Scale!$E174))</f>
        <v/>
      </c>
      <c r="F667" s="83" t="n"/>
      <c r="G667" s="83" t="n"/>
      <c r="H667" s="83" t="n"/>
      <c r="I667" s="83" t="n"/>
      <c r="J667" s="83" t="n"/>
      <c r="K667" s="82">
        <f>IF(OR(Scale!$X174="",Scale!$X174=0),"",IF(Scale!$Y174="",0,Scale!$Y174)+IF(Scale!$Z174="",0,Scale!$Z174))</f>
        <v/>
      </c>
      <c r="L667" s="82">
        <f>IF(OR(Scale!$X174="",Scale!$X174=0),"",Scale!$Y174)</f>
        <v/>
      </c>
      <c r="M667" s="82">
        <f>IF(OR(Scale!$X174="",Scale!$X174=0),"",Scale!$Z174)</f>
        <v/>
      </c>
      <c r="N667" s="81">
        <f>IF(OR(Scale!$X174="",Scale!$X174=0),"","مقابل")</f>
        <v/>
      </c>
      <c r="O667" s="81">
        <f>IF(OR(Scale!$X174="",Scale!$X174=0),"",IFERROR(VLOOKUP(Scale!$X174,AcctTbl,3,0),""))</f>
        <v/>
      </c>
      <c r="P667" s="82">
        <f>IF(Scale!$X174&lt;&gt;"X011","","BN02")</f>
        <v/>
      </c>
    </row>
    <row r="668" ht="20.25" customHeight="1">
      <c r="A668" s="80">
        <f>IF(OR(Scale!$AA174="",Scale!$AA174=0),"",Scale!$B174)</f>
        <v/>
      </c>
      <c r="B668" s="80">
        <f>IF(OR(Scale!$AA174="",Scale!$AA174=0),"",Scale!$D174)</f>
        <v/>
      </c>
      <c r="C668" s="80">
        <f>IF(OR(Scale!$AA174="",Scale!$AA174=0),"","باسکول")</f>
        <v/>
      </c>
      <c r="D668" s="80">
        <f>IF(OR(Scale!$AA174="",Scale!$AA174=0),"",Scale!$AA174)</f>
        <v/>
      </c>
      <c r="E668" s="81">
        <f>IF(OR(Scale!$AA174="",Scale!$AA174=0),"",IF(Scale!$AA174="","","پوز باسکول — "&amp;Scale!$E174))</f>
        <v/>
      </c>
      <c r="F668" s="83" t="n"/>
      <c r="G668" s="83" t="n"/>
      <c r="H668" s="83" t="n"/>
      <c r="I668" s="83" t="n"/>
      <c r="J668" s="83" t="n"/>
      <c r="K668" s="82">
        <f>IF(OR(Scale!$AA174="",Scale!$AA174=0),"",IF(Scale!$AB174="",0,Scale!$AB174)+IF(Scale!$AC174="",0,Scale!$AC174))</f>
        <v/>
      </c>
      <c r="L668" s="82">
        <f>IF(OR(Scale!$AA174="",Scale!$AA174=0),"",Scale!$AB174)</f>
        <v/>
      </c>
      <c r="M668" s="82">
        <f>IF(OR(Scale!$AA174="",Scale!$AA174=0),"",Scale!$AC174)</f>
        <v/>
      </c>
      <c r="N668" s="81">
        <f>IF(OR(Scale!$AA174="",Scale!$AA174=0),"","پوز")</f>
        <v/>
      </c>
      <c r="O668" s="81">
        <f>IF(OR(Scale!$AA174="",Scale!$AA174=0),"",IFERROR(VLOOKUP(Scale!$AA174,AcctTbl,3,0),""))</f>
        <v/>
      </c>
      <c r="P668" s="82">
        <f>IF(Scale!$AA174&lt;&gt;"X011","","BN02")</f>
        <v/>
      </c>
    </row>
    <row r="669" ht="20.25" customHeight="1">
      <c r="A669" s="80">
        <f>IF(OR(Scale!$AD174="",Scale!$AD174=0),"",Scale!$B174)</f>
        <v/>
      </c>
      <c r="B669" s="80">
        <f>IF(OR(Scale!$AD174="",Scale!$AD174=0),"",Scale!$D174)</f>
        <v/>
      </c>
      <c r="C669" s="80">
        <f>IF(OR(Scale!$AD174="",Scale!$AD174=0),"","باسکول")</f>
        <v/>
      </c>
      <c r="D669" s="80">
        <f>IF(OR(Scale!$AD174="",Scale!$AD174=0),"",Scale!$AD174)</f>
        <v/>
      </c>
      <c r="E669" s="81">
        <f>IF(OR(Scale!$AD174="",Scale!$AD174=0),"",IF(Scale!$AD174="","","مقابل پوز — "&amp;Scale!$E174))</f>
        <v/>
      </c>
      <c r="F669" s="83" t="n"/>
      <c r="G669" s="83" t="n"/>
      <c r="H669" s="83" t="n"/>
      <c r="I669" s="83" t="n"/>
      <c r="J669" s="83" t="n"/>
      <c r="K669" s="82">
        <f>IF(OR(Scale!$AD174="",Scale!$AD174=0),"",IF(Scale!$AE174="",0,Scale!$AE174)+IF(Scale!$AF174="",0,Scale!$AF174))</f>
        <v/>
      </c>
      <c r="L669" s="82">
        <f>IF(OR(Scale!$AD174="",Scale!$AD174=0),"",Scale!$AE174)</f>
        <v/>
      </c>
      <c r="M669" s="82">
        <f>IF(OR(Scale!$AD174="",Scale!$AD174=0),"",Scale!$AF174)</f>
        <v/>
      </c>
      <c r="N669" s="81">
        <f>IF(OR(Scale!$AD174="",Scale!$AD174=0),"","مقابل پوز")</f>
        <v/>
      </c>
      <c r="O669" s="81">
        <f>IF(OR(Scale!$AD174="",Scale!$AD174=0),"",IFERROR(VLOOKUP(Scale!$AD174,AcctTbl,3,0),""))</f>
        <v/>
      </c>
      <c r="P669" s="82">
        <f>IF(Scale!$AD174&lt;&gt;"X011","","BN02")</f>
        <v/>
      </c>
    </row>
    <row r="670" ht="20.25" customHeight="1">
      <c r="A670" s="80">
        <f>IF(OR(Scale!$U175="",Scale!$U175=0),"",Scale!$B175)</f>
        <v/>
      </c>
      <c r="B670" s="80">
        <f>IF(OR(Scale!$U175="",Scale!$U175=0),"",Scale!$D175)</f>
        <v/>
      </c>
      <c r="C670" s="80">
        <f>IF(OR(Scale!$U175="",Scale!$U175=0),"","باسکول")</f>
        <v/>
      </c>
      <c r="D670" s="80">
        <f>IF(OR(Scale!$U175="",Scale!$U175=0),"",Scale!$U175)</f>
        <v/>
      </c>
      <c r="E670" s="81">
        <f>IF(OR(Scale!$U175="",Scale!$U175=0),"",Scale!$T175)</f>
        <v/>
      </c>
      <c r="F670" s="81">
        <f>IF(OR(Scale!$U175="",Scale!$U175=0),"",Scale!$J175)</f>
        <v/>
      </c>
      <c r="G670" s="82">
        <f>IF(OR(Scale!$U175="",Scale!$U175=0),"",Scale!$M175)</f>
        <v/>
      </c>
      <c r="H670" s="82">
        <f>IF(OR(Scale!$U175="",Scale!$U175=0),"",Scale!$L175)</f>
        <v/>
      </c>
      <c r="I670" s="82">
        <f>IF(OR(Scale!$U175="",Scale!$U175=0),"",Scale!$N175)</f>
        <v/>
      </c>
      <c r="J670" s="82">
        <f>IF(OR(Scale!$U175="",Scale!$U175=0),"",Scale!$O175)</f>
        <v/>
      </c>
      <c r="K670" s="82">
        <f>IF(OR(Scale!$U175="",Scale!$U175=0),"",IF(Scale!$V175="",0,Scale!$V175)+IF(Scale!$W175="",0,Scale!$W175))</f>
        <v/>
      </c>
      <c r="L670" s="82">
        <f>IF(OR(Scale!$U175="",Scale!$U175=0),"",Scale!$V175)</f>
        <v/>
      </c>
      <c r="M670" s="82">
        <f>IF(OR(Scale!$U175="",Scale!$U175=0),"",Scale!$W175)</f>
        <v/>
      </c>
      <c r="N670" s="81">
        <f>IF(OR(Scale!$U175="",Scale!$U175=0),"",Scale!$E175)</f>
        <v/>
      </c>
      <c r="O670" s="81">
        <f>IF(OR(Scale!$U175="",Scale!$U175=0),"",IFERROR(VLOOKUP(Scale!$U175,AcctTbl,3,0),""))</f>
        <v/>
      </c>
      <c r="P670" s="82">
        <f>IF(Scale!$U175&lt;&gt;"X011","","BN02")</f>
        <v/>
      </c>
    </row>
    <row r="671" ht="20.25" customHeight="1">
      <c r="A671" s="80">
        <f>IF(OR(Scale!$X175="",Scale!$X175=0),"",Scale!$B175)</f>
        <v/>
      </c>
      <c r="B671" s="80">
        <f>IF(OR(Scale!$X175="",Scale!$X175=0),"",Scale!$D175)</f>
        <v/>
      </c>
      <c r="C671" s="80">
        <f>IF(OR(Scale!$X175="",Scale!$X175=0),"","باسکول")</f>
        <v/>
      </c>
      <c r="D671" s="80">
        <f>IF(OR(Scale!$X175="",Scale!$X175=0),"",Scale!$X175)</f>
        <v/>
      </c>
      <c r="E671" s="81">
        <f>IF(OR(Scale!$X175="",Scale!$X175=0),"",IF(Scale!$X175="","","مقابل: "&amp;Scale!$E175))</f>
        <v/>
      </c>
      <c r="F671" s="83" t="n"/>
      <c r="G671" s="83" t="n"/>
      <c r="H671" s="83" t="n"/>
      <c r="I671" s="83" t="n"/>
      <c r="J671" s="83" t="n"/>
      <c r="K671" s="82">
        <f>IF(OR(Scale!$X175="",Scale!$X175=0),"",IF(Scale!$Y175="",0,Scale!$Y175)+IF(Scale!$Z175="",0,Scale!$Z175))</f>
        <v/>
      </c>
      <c r="L671" s="82">
        <f>IF(OR(Scale!$X175="",Scale!$X175=0),"",Scale!$Y175)</f>
        <v/>
      </c>
      <c r="M671" s="82">
        <f>IF(OR(Scale!$X175="",Scale!$X175=0),"",Scale!$Z175)</f>
        <v/>
      </c>
      <c r="N671" s="81">
        <f>IF(OR(Scale!$X175="",Scale!$X175=0),"","مقابل")</f>
        <v/>
      </c>
      <c r="O671" s="81">
        <f>IF(OR(Scale!$X175="",Scale!$X175=0),"",IFERROR(VLOOKUP(Scale!$X175,AcctTbl,3,0),""))</f>
        <v/>
      </c>
      <c r="P671" s="82">
        <f>IF(Scale!$X175&lt;&gt;"X011","","BN02")</f>
        <v/>
      </c>
    </row>
    <row r="672" ht="20.25" customHeight="1">
      <c r="A672" s="80">
        <f>IF(OR(Scale!$AA175="",Scale!$AA175=0),"",Scale!$B175)</f>
        <v/>
      </c>
      <c r="B672" s="80">
        <f>IF(OR(Scale!$AA175="",Scale!$AA175=0),"",Scale!$D175)</f>
        <v/>
      </c>
      <c r="C672" s="80">
        <f>IF(OR(Scale!$AA175="",Scale!$AA175=0),"","باسکول")</f>
        <v/>
      </c>
      <c r="D672" s="80">
        <f>IF(OR(Scale!$AA175="",Scale!$AA175=0),"",Scale!$AA175)</f>
        <v/>
      </c>
      <c r="E672" s="81">
        <f>IF(OR(Scale!$AA175="",Scale!$AA175=0),"",IF(Scale!$AA175="","","پوز باسکول — "&amp;Scale!$E175))</f>
        <v/>
      </c>
      <c r="F672" s="83" t="n"/>
      <c r="G672" s="83" t="n"/>
      <c r="H672" s="83" t="n"/>
      <c r="I672" s="83" t="n"/>
      <c r="J672" s="83" t="n"/>
      <c r="K672" s="82">
        <f>IF(OR(Scale!$AA175="",Scale!$AA175=0),"",IF(Scale!$AB175="",0,Scale!$AB175)+IF(Scale!$AC175="",0,Scale!$AC175))</f>
        <v/>
      </c>
      <c r="L672" s="82">
        <f>IF(OR(Scale!$AA175="",Scale!$AA175=0),"",Scale!$AB175)</f>
        <v/>
      </c>
      <c r="M672" s="82">
        <f>IF(OR(Scale!$AA175="",Scale!$AA175=0),"",Scale!$AC175)</f>
        <v/>
      </c>
      <c r="N672" s="81">
        <f>IF(OR(Scale!$AA175="",Scale!$AA175=0),"","پوز")</f>
        <v/>
      </c>
      <c r="O672" s="81">
        <f>IF(OR(Scale!$AA175="",Scale!$AA175=0),"",IFERROR(VLOOKUP(Scale!$AA175,AcctTbl,3,0),""))</f>
        <v/>
      </c>
      <c r="P672" s="82">
        <f>IF(Scale!$AA175&lt;&gt;"X011","","BN02")</f>
        <v/>
      </c>
    </row>
    <row r="673" ht="20.25" customHeight="1">
      <c r="A673" s="80">
        <f>IF(OR(Scale!$AD175="",Scale!$AD175=0),"",Scale!$B175)</f>
        <v/>
      </c>
      <c r="B673" s="80">
        <f>IF(OR(Scale!$AD175="",Scale!$AD175=0),"",Scale!$D175)</f>
        <v/>
      </c>
      <c r="C673" s="80">
        <f>IF(OR(Scale!$AD175="",Scale!$AD175=0),"","باسکول")</f>
        <v/>
      </c>
      <c r="D673" s="80">
        <f>IF(OR(Scale!$AD175="",Scale!$AD175=0),"",Scale!$AD175)</f>
        <v/>
      </c>
      <c r="E673" s="81">
        <f>IF(OR(Scale!$AD175="",Scale!$AD175=0),"",IF(Scale!$AD175="","","مقابل پوز — "&amp;Scale!$E175))</f>
        <v/>
      </c>
      <c r="F673" s="83" t="n"/>
      <c r="G673" s="83" t="n"/>
      <c r="H673" s="83" t="n"/>
      <c r="I673" s="83" t="n"/>
      <c r="J673" s="83" t="n"/>
      <c r="K673" s="82">
        <f>IF(OR(Scale!$AD175="",Scale!$AD175=0),"",IF(Scale!$AE175="",0,Scale!$AE175)+IF(Scale!$AF175="",0,Scale!$AF175))</f>
        <v/>
      </c>
      <c r="L673" s="82">
        <f>IF(OR(Scale!$AD175="",Scale!$AD175=0),"",Scale!$AE175)</f>
        <v/>
      </c>
      <c r="M673" s="82">
        <f>IF(OR(Scale!$AD175="",Scale!$AD175=0),"",Scale!$AF175)</f>
        <v/>
      </c>
      <c r="N673" s="81">
        <f>IF(OR(Scale!$AD175="",Scale!$AD175=0),"","مقابل پوز")</f>
        <v/>
      </c>
      <c r="O673" s="81">
        <f>IF(OR(Scale!$AD175="",Scale!$AD175=0),"",IFERROR(VLOOKUP(Scale!$AD175,AcctTbl,3,0),""))</f>
        <v/>
      </c>
      <c r="P673" s="82">
        <f>IF(Scale!$AD175&lt;&gt;"X011","","BN02")</f>
        <v/>
      </c>
    </row>
    <row r="674" ht="20.25" customHeight="1">
      <c r="A674" s="80">
        <f>IF(OR(Scale!$U176="",Scale!$U176=0),"",Scale!$B176)</f>
        <v/>
      </c>
      <c r="B674" s="80">
        <f>IF(OR(Scale!$U176="",Scale!$U176=0),"",Scale!$D176)</f>
        <v/>
      </c>
      <c r="C674" s="80">
        <f>IF(OR(Scale!$U176="",Scale!$U176=0),"","باسکول")</f>
        <v/>
      </c>
      <c r="D674" s="80">
        <f>IF(OR(Scale!$U176="",Scale!$U176=0),"",Scale!$U176)</f>
        <v/>
      </c>
      <c r="E674" s="81">
        <f>IF(OR(Scale!$U176="",Scale!$U176=0),"",Scale!$T176)</f>
        <v/>
      </c>
      <c r="F674" s="81">
        <f>IF(OR(Scale!$U176="",Scale!$U176=0),"",Scale!$J176)</f>
        <v/>
      </c>
      <c r="G674" s="82">
        <f>IF(OR(Scale!$U176="",Scale!$U176=0),"",Scale!$M176)</f>
        <v/>
      </c>
      <c r="H674" s="82">
        <f>IF(OR(Scale!$U176="",Scale!$U176=0),"",Scale!$L176)</f>
        <v/>
      </c>
      <c r="I674" s="82">
        <f>IF(OR(Scale!$U176="",Scale!$U176=0),"",Scale!$N176)</f>
        <v/>
      </c>
      <c r="J674" s="82">
        <f>IF(OR(Scale!$U176="",Scale!$U176=0),"",Scale!$O176)</f>
        <v/>
      </c>
      <c r="K674" s="82">
        <f>IF(OR(Scale!$U176="",Scale!$U176=0),"",IF(Scale!$V176="",0,Scale!$V176)+IF(Scale!$W176="",0,Scale!$W176))</f>
        <v/>
      </c>
      <c r="L674" s="82">
        <f>IF(OR(Scale!$U176="",Scale!$U176=0),"",Scale!$V176)</f>
        <v/>
      </c>
      <c r="M674" s="82">
        <f>IF(OR(Scale!$U176="",Scale!$U176=0),"",Scale!$W176)</f>
        <v/>
      </c>
      <c r="N674" s="81">
        <f>IF(OR(Scale!$U176="",Scale!$U176=0),"",Scale!$E176)</f>
        <v/>
      </c>
      <c r="O674" s="81">
        <f>IF(OR(Scale!$U176="",Scale!$U176=0),"",IFERROR(VLOOKUP(Scale!$U176,AcctTbl,3,0),""))</f>
        <v/>
      </c>
      <c r="P674" s="82">
        <f>IF(Scale!$U176&lt;&gt;"X011","","BN02")</f>
        <v/>
      </c>
    </row>
    <row r="675" ht="20.25" customHeight="1">
      <c r="A675" s="80">
        <f>IF(OR(Scale!$X176="",Scale!$X176=0),"",Scale!$B176)</f>
        <v/>
      </c>
      <c r="B675" s="80">
        <f>IF(OR(Scale!$X176="",Scale!$X176=0),"",Scale!$D176)</f>
        <v/>
      </c>
      <c r="C675" s="80">
        <f>IF(OR(Scale!$X176="",Scale!$X176=0),"","باسکول")</f>
        <v/>
      </c>
      <c r="D675" s="80">
        <f>IF(OR(Scale!$X176="",Scale!$X176=0),"",Scale!$X176)</f>
        <v/>
      </c>
      <c r="E675" s="81">
        <f>IF(OR(Scale!$X176="",Scale!$X176=0),"",IF(Scale!$X176="","","مقابل: "&amp;Scale!$E176))</f>
        <v/>
      </c>
      <c r="F675" s="83" t="n"/>
      <c r="G675" s="83" t="n"/>
      <c r="H675" s="83" t="n"/>
      <c r="I675" s="83" t="n"/>
      <c r="J675" s="83" t="n"/>
      <c r="K675" s="82">
        <f>IF(OR(Scale!$X176="",Scale!$X176=0),"",IF(Scale!$Y176="",0,Scale!$Y176)+IF(Scale!$Z176="",0,Scale!$Z176))</f>
        <v/>
      </c>
      <c r="L675" s="82">
        <f>IF(OR(Scale!$X176="",Scale!$X176=0),"",Scale!$Y176)</f>
        <v/>
      </c>
      <c r="M675" s="82">
        <f>IF(OR(Scale!$X176="",Scale!$X176=0),"",Scale!$Z176)</f>
        <v/>
      </c>
      <c r="N675" s="81">
        <f>IF(OR(Scale!$X176="",Scale!$X176=0),"","مقابل")</f>
        <v/>
      </c>
      <c r="O675" s="81">
        <f>IF(OR(Scale!$X176="",Scale!$X176=0),"",IFERROR(VLOOKUP(Scale!$X176,AcctTbl,3,0),""))</f>
        <v/>
      </c>
      <c r="P675" s="82">
        <f>IF(Scale!$X176&lt;&gt;"X011","","BN02")</f>
        <v/>
      </c>
    </row>
    <row r="676" ht="20.25" customHeight="1">
      <c r="A676" s="80">
        <f>IF(OR(Scale!$AA176="",Scale!$AA176=0),"",Scale!$B176)</f>
        <v/>
      </c>
      <c r="B676" s="80">
        <f>IF(OR(Scale!$AA176="",Scale!$AA176=0),"",Scale!$D176)</f>
        <v/>
      </c>
      <c r="C676" s="80">
        <f>IF(OR(Scale!$AA176="",Scale!$AA176=0),"","باسکول")</f>
        <v/>
      </c>
      <c r="D676" s="80">
        <f>IF(OR(Scale!$AA176="",Scale!$AA176=0),"",Scale!$AA176)</f>
        <v/>
      </c>
      <c r="E676" s="81">
        <f>IF(OR(Scale!$AA176="",Scale!$AA176=0),"",IF(Scale!$AA176="","","پوز باسکول — "&amp;Scale!$E176))</f>
        <v/>
      </c>
      <c r="F676" s="83" t="n"/>
      <c r="G676" s="83" t="n"/>
      <c r="H676" s="83" t="n"/>
      <c r="I676" s="83" t="n"/>
      <c r="J676" s="83" t="n"/>
      <c r="K676" s="82">
        <f>IF(OR(Scale!$AA176="",Scale!$AA176=0),"",IF(Scale!$AB176="",0,Scale!$AB176)+IF(Scale!$AC176="",0,Scale!$AC176))</f>
        <v/>
      </c>
      <c r="L676" s="82">
        <f>IF(OR(Scale!$AA176="",Scale!$AA176=0),"",Scale!$AB176)</f>
        <v/>
      </c>
      <c r="M676" s="82">
        <f>IF(OR(Scale!$AA176="",Scale!$AA176=0),"",Scale!$AC176)</f>
        <v/>
      </c>
      <c r="N676" s="81">
        <f>IF(OR(Scale!$AA176="",Scale!$AA176=0),"","پوز")</f>
        <v/>
      </c>
      <c r="O676" s="81">
        <f>IF(OR(Scale!$AA176="",Scale!$AA176=0),"",IFERROR(VLOOKUP(Scale!$AA176,AcctTbl,3,0),""))</f>
        <v/>
      </c>
      <c r="P676" s="82">
        <f>IF(Scale!$AA176&lt;&gt;"X011","","BN02")</f>
        <v/>
      </c>
    </row>
    <row r="677" ht="20.25" customHeight="1">
      <c r="A677" s="80">
        <f>IF(OR(Scale!$AD176="",Scale!$AD176=0),"",Scale!$B176)</f>
        <v/>
      </c>
      <c r="B677" s="80">
        <f>IF(OR(Scale!$AD176="",Scale!$AD176=0),"",Scale!$D176)</f>
        <v/>
      </c>
      <c r="C677" s="80">
        <f>IF(OR(Scale!$AD176="",Scale!$AD176=0),"","باسکول")</f>
        <v/>
      </c>
      <c r="D677" s="80">
        <f>IF(OR(Scale!$AD176="",Scale!$AD176=0),"",Scale!$AD176)</f>
        <v/>
      </c>
      <c r="E677" s="81">
        <f>IF(OR(Scale!$AD176="",Scale!$AD176=0),"",IF(Scale!$AD176="","","مقابل پوز — "&amp;Scale!$E176))</f>
        <v/>
      </c>
      <c r="F677" s="83" t="n"/>
      <c r="G677" s="83" t="n"/>
      <c r="H677" s="83" t="n"/>
      <c r="I677" s="83" t="n"/>
      <c r="J677" s="83" t="n"/>
      <c r="K677" s="82">
        <f>IF(OR(Scale!$AD176="",Scale!$AD176=0),"",IF(Scale!$AE176="",0,Scale!$AE176)+IF(Scale!$AF176="",0,Scale!$AF176))</f>
        <v/>
      </c>
      <c r="L677" s="82">
        <f>IF(OR(Scale!$AD176="",Scale!$AD176=0),"",Scale!$AE176)</f>
        <v/>
      </c>
      <c r="M677" s="82">
        <f>IF(OR(Scale!$AD176="",Scale!$AD176=0),"",Scale!$AF176)</f>
        <v/>
      </c>
      <c r="N677" s="81">
        <f>IF(OR(Scale!$AD176="",Scale!$AD176=0),"","مقابل پوز")</f>
        <v/>
      </c>
      <c r="O677" s="81">
        <f>IF(OR(Scale!$AD176="",Scale!$AD176=0),"",IFERROR(VLOOKUP(Scale!$AD176,AcctTbl,3,0),""))</f>
        <v/>
      </c>
      <c r="P677" s="82">
        <f>IF(Scale!$AD176&lt;&gt;"X011","","BN02")</f>
        <v/>
      </c>
    </row>
    <row r="678" ht="20.25" customHeight="1">
      <c r="A678" s="80">
        <f>IF(OR(Scale!$U177="",Scale!$U177=0),"",Scale!$B177)</f>
        <v/>
      </c>
      <c r="B678" s="80">
        <f>IF(OR(Scale!$U177="",Scale!$U177=0),"",Scale!$D177)</f>
        <v/>
      </c>
      <c r="C678" s="80">
        <f>IF(OR(Scale!$U177="",Scale!$U177=0),"","باسکول")</f>
        <v/>
      </c>
      <c r="D678" s="80">
        <f>IF(OR(Scale!$U177="",Scale!$U177=0),"",Scale!$U177)</f>
        <v/>
      </c>
      <c r="E678" s="81">
        <f>IF(OR(Scale!$U177="",Scale!$U177=0),"",Scale!$T177)</f>
        <v/>
      </c>
      <c r="F678" s="81">
        <f>IF(OR(Scale!$U177="",Scale!$U177=0),"",Scale!$J177)</f>
        <v/>
      </c>
      <c r="G678" s="82">
        <f>IF(OR(Scale!$U177="",Scale!$U177=0),"",Scale!$M177)</f>
        <v/>
      </c>
      <c r="H678" s="82">
        <f>IF(OR(Scale!$U177="",Scale!$U177=0),"",Scale!$L177)</f>
        <v/>
      </c>
      <c r="I678" s="82">
        <f>IF(OR(Scale!$U177="",Scale!$U177=0),"",Scale!$N177)</f>
        <v/>
      </c>
      <c r="J678" s="82">
        <f>IF(OR(Scale!$U177="",Scale!$U177=0),"",Scale!$O177)</f>
        <v/>
      </c>
      <c r="K678" s="82">
        <f>IF(OR(Scale!$U177="",Scale!$U177=0),"",IF(Scale!$V177="",0,Scale!$V177)+IF(Scale!$W177="",0,Scale!$W177))</f>
        <v/>
      </c>
      <c r="L678" s="82">
        <f>IF(OR(Scale!$U177="",Scale!$U177=0),"",Scale!$V177)</f>
        <v/>
      </c>
      <c r="M678" s="82">
        <f>IF(OR(Scale!$U177="",Scale!$U177=0),"",Scale!$W177)</f>
        <v/>
      </c>
      <c r="N678" s="81">
        <f>IF(OR(Scale!$U177="",Scale!$U177=0),"",Scale!$E177)</f>
        <v/>
      </c>
      <c r="O678" s="81">
        <f>IF(OR(Scale!$U177="",Scale!$U177=0),"",IFERROR(VLOOKUP(Scale!$U177,AcctTbl,3,0),""))</f>
        <v/>
      </c>
      <c r="P678" s="82">
        <f>IF(Scale!$U177&lt;&gt;"X011","","BN02")</f>
        <v/>
      </c>
    </row>
    <row r="679" ht="20.25" customHeight="1">
      <c r="A679" s="80">
        <f>IF(OR(Scale!$X177="",Scale!$X177=0),"",Scale!$B177)</f>
        <v/>
      </c>
      <c r="B679" s="80">
        <f>IF(OR(Scale!$X177="",Scale!$X177=0),"",Scale!$D177)</f>
        <v/>
      </c>
      <c r="C679" s="80">
        <f>IF(OR(Scale!$X177="",Scale!$X177=0),"","باسکول")</f>
        <v/>
      </c>
      <c r="D679" s="80">
        <f>IF(OR(Scale!$X177="",Scale!$X177=0),"",Scale!$X177)</f>
        <v/>
      </c>
      <c r="E679" s="81">
        <f>IF(OR(Scale!$X177="",Scale!$X177=0),"",IF(Scale!$X177="","","مقابل: "&amp;Scale!$E177))</f>
        <v/>
      </c>
      <c r="F679" s="83" t="n"/>
      <c r="G679" s="83" t="n"/>
      <c r="H679" s="83" t="n"/>
      <c r="I679" s="83" t="n"/>
      <c r="J679" s="83" t="n"/>
      <c r="K679" s="82">
        <f>IF(OR(Scale!$X177="",Scale!$X177=0),"",IF(Scale!$Y177="",0,Scale!$Y177)+IF(Scale!$Z177="",0,Scale!$Z177))</f>
        <v/>
      </c>
      <c r="L679" s="82">
        <f>IF(OR(Scale!$X177="",Scale!$X177=0),"",Scale!$Y177)</f>
        <v/>
      </c>
      <c r="M679" s="82">
        <f>IF(OR(Scale!$X177="",Scale!$X177=0),"",Scale!$Z177)</f>
        <v/>
      </c>
      <c r="N679" s="81">
        <f>IF(OR(Scale!$X177="",Scale!$X177=0),"","مقابل")</f>
        <v/>
      </c>
      <c r="O679" s="81">
        <f>IF(OR(Scale!$X177="",Scale!$X177=0),"",IFERROR(VLOOKUP(Scale!$X177,AcctTbl,3,0),""))</f>
        <v/>
      </c>
      <c r="P679" s="82">
        <f>IF(Scale!$X177&lt;&gt;"X011","","BN02")</f>
        <v/>
      </c>
    </row>
    <row r="680" ht="20.25" customHeight="1">
      <c r="A680" s="80">
        <f>IF(OR(Scale!$AA177="",Scale!$AA177=0),"",Scale!$B177)</f>
        <v/>
      </c>
      <c r="B680" s="80">
        <f>IF(OR(Scale!$AA177="",Scale!$AA177=0),"",Scale!$D177)</f>
        <v/>
      </c>
      <c r="C680" s="80">
        <f>IF(OR(Scale!$AA177="",Scale!$AA177=0),"","باسکول")</f>
        <v/>
      </c>
      <c r="D680" s="80">
        <f>IF(OR(Scale!$AA177="",Scale!$AA177=0),"",Scale!$AA177)</f>
        <v/>
      </c>
      <c r="E680" s="81">
        <f>IF(OR(Scale!$AA177="",Scale!$AA177=0),"",IF(Scale!$AA177="","","پوز باسکول — "&amp;Scale!$E177))</f>
        <v/>
      </c>
      <c r="F680" s="83" t="n"/>
      <c r="G680" s="83" t="n"/>
      <c r="H680" s="83" t="n"/>
      <c r="I680" s="83" t="n"/>
      <c r="J680" s="83" t="n"/>
      <c r="K680" s="82">
        <f>IF(OR(Scale!$AA177="",Scale!$AA177=0),"",IF(Scale!$AB177="",0,Scale!$AB177)+IF(Scale!$AC177="",0,Scale!$AC177))</f>
        <v/>
      </c>
      <c r="L680" s="82">
        <f>IF(OR(Scale!$AA177="",Scale!$AA177=0),"",Scale!$AB177)</f>
        <v/>
      </c>
      <c r="M680" s="82">
        <f>IF(OR(Scale!$AA177="",Scale!$AA177=0),"",Scale!$AC177)</f>
        <v/>
      </c>
      <c r="N680" s="81">
        <f>IF(OR(Scale!$AA177="",Scale!$AA177=0),"","پوز")</f>
        <v/>
      </c>
      <c r="O680" s="81">
        <f>IF(OR(Scale!$AA177="",Scale!$AA177=0),"",IFERROR(VLOOKUP(Scale!$AA177,AcctTbl,3,0),""))</f>
        <v/>
      </c>
      <c r="P680" s="82">
        <f>IF(Scale!$AA177&lt;&gt;"X011","","BN02")</f>
        <v/>
      </c>
    </row>
    <row r="681" ht="20.25" customHeight="1">
      <c r="A681" s="80">
        <f>IF(OR(Scale!$AD177="",Scale!$AD177=0),"",Scale!$B177)</f>
        <v/>
      </c>
      <c r="B681" s="80">
        <f>IF(OR(Scale!$AD177="",Scale!$AD177=0),"",Scale!$D177)</f>
        <v/>
      </c>
      <c r="C681" s="80">
        <f>IF(OR(Scale!$AD177="",Scale!$AD177=0),"","باسکول")</f>
        <v/>
      </c>
      <c r="D681" s="80">
        <f>IF(OR(Scale!$AD177="",Scale!$AD177=0),"",Scale!$AD177)</f>
        <v/>
      </c>
      <c r="E681" s="81">
        <f>IF(OR(Scale!$AD177="",Scale!$AD177=0),"",IF(Scale!$AD177="","","مقابل پوز — "&amp;Scale!$E177))</f>
        <v/>
      </c>
      <c r="F681" s="83" t="n"/>
      <c r="G681" s="83" t="n"/>
      <c r="H681" s="83" t="n"/>
      <c r="I681" s="83" t="n"/>
      <c r="J681" s="83" t="n"/>
      <c r="K681" s="82">
        <f>IF(OR(Scale!$AD177="",Scale!$AD177=0),"",IF(Scale!$AE177="",0,Scale!$AE177)+IF(Scale!$AF177="",0,Scale!$AF177))</f>
        <v/>
      </c>
      <c r="L681" s="82">
        <f>IF(OR(Scale!$AD177="",Scale!$AD177=0),"",Scale!$AE177)</f>
        <v/>
      </c>
      <c r="M681" s="82">
        <f>IF(OR(Scale!$AD177="",Scale!$AD177=0),"",Scale!$AF177)</f>
        <v/>
      </c>
      <c r="N681" s="81">
        <f>IF(OR(Scale!$AD177="",Scale!$AD177=0),"","مقابل پوز")</f>
        <v/>
      </c>
      <c r="O681" s="81">
        <f>IF(OR(Scale!$AD177="",Scale!$AD177=0),"",IFERROR(VLOOKUP(Scale!$AD177,AcctTbl,3,0),""))</f>
        <v/>
      </c>
      <c r="P681" s="82">
        <f>IF(Scale!$AD177&lt;&gt;"X011","","BN02")</f>
        <v/>
      </c>
    </row>
    <row r="682" ht="20.25" customHeight="1">
      <c r="A682" s="80">
        <f>IF(OR(Scale!$U178="",Scale!$U178=0),"",Scale!$B178)</f>
        <v/>
      </c>
      <c r="B682" s="80">
        <f>IF(OR(Scale!$U178="",Scale!$U178=0),"",Scale!$D178)</f>
        <v/>
      </c>
      <c r="C682" s="80">
        <f>IF(OR(Scale!$U178="",Scale!$U178=0),"","باسکول")</f>
        <v/>
      </c>
      <c r="D682" s="80">
        <f>IF(OR(Scale!$U178="",Scale!$U178=0),"",Scale!$U178)</f>
        <v/>
      </c>
      <c r="E682" s="81">
        <f>IF(OR(Scale!$U178="",Scale!$U178=0),"",Scale!$T178)</f>
        <v/>
      </c>
      <c r="F682" s="81">
        <f>IF(OR(Scale!$U178="",Scale!$U178=0),"",Scale!$J178)</f>
        <v/>
      </c>
      <c r="G682" s="82">
        <f>IF(OR(Scale!$U178="",Scale!$U178=0),"",Scale!$M178)</f>
        <v/>
      </c>
      <c r="H682" s="82">
        <f>IF(OR(Scale!$U178="",Scale!$U178=0),"",Scale!$L178)</f>
        <v/>
      </c>
      <c r="I682" s="82">
        <f>IF(OR(Scale!$U178="",Scale!$U178=0),"",Scale!$N178)</f>
        <v/>
      </c>
      <c r="J682" s="82">
        <f>IF(OR(Scale!$U178="",Scale!$U178=0),"",Scale!$O178)</f>
        <v/>
      </c>
      <c r="K682" s="82">
        <f>IF(OR(Scale!$U178="",Scale!$U178=0),"",IF(Scale!$V178="",0,Scale!$V178)+IF(Scale!$W178="",0,Scale!$W178))</f>
        <v/>
      </c>
      <c r="L682" s="82">
        <f>IF(OR(Scale!$U178="",Scale!$U178=0),"",Scale!$V178)</f>
        <v/>
      </c>
      <c r="M682" s="82">
        <f>IF(OR(Scale!$U178="",Scale!$U178=0),"",Scale!$W178)</f>
        <v/>
      </c>
      <c r="N682" s="81">
        <f>IF(OR(Scale!$U178="",Scale!$U178=0),"",Scale!$E178)</f>
        <v/>
      </c>
      <c r="O682" s="81">
        <f>IF(OR(Scale!$U178="",Scale!$U178=0),"",IFERROR(VLOOKUP(Scale!$U178,AcctTbl,3,0),""))</f>
        <v/>
      </c>
      <c r="P682" s="82">
        <f>IF(Scale!$U178&lt;&gt;"X011","","BN02")</f>
        <v/>
      </c>
    </row>
    <row r="683" ht="20.25" customHeight="1">
      <c r="A683" s="80">
        <f>IF(OR(Scale!$X178="",Scale!$X178=0),"",Scale!$B178)</f>
        <v/>
      </c>
      <c r="B683" s="80">
        <f>IF(OR(Scale!$X178="",Scale!$X178=0),"",Scale!$D178)</f>
        <v/>
      </c>
      <c r="C683" s="80">
        <f>IF(OR(Scale!$X178="",Scale!$X178=0),"","باسکول")</f>
        <v/>
      </c>
      <c r="D683" s="80">
        <f>IF(OR(Scale!$X178="",Scale!$X178=0),"",Scale!$X178)</f>
        <v/>
      </c>
      <c r="E683" s="81">
        <f>IF(OR(Scale!$X178="",Scale!$X178=0),"",IF(Scale!$X178="","","مقابل: "&amp;Scale!$E178))</f>
        <v/>
      </c>
      <c r="F683" s="83" t="n"/>
      <c r="G683" s="83" t="n"/>
      <c r="H683" s="83" t="n"/>
      <c r="I683" s="83" t="n"/>
      <c r="J683" s="83" t="n"/>
      <c r="K683" s="82">
        <f>IF(OR(Scale!$X178="",Scale!$X178=0),"",IF(Scale!$Y178="",0,Scale!$Y178)+IF(Scale!$Z178="",0,Scale!$Z178))</f>
        <v/>
      </c>
      <c r="L683" s="82">
        <f>IF(OR(Scale!$X178="",Scale!$X178=0),"",Scale!$Y178)</f>
        <v/>
      </c>
      <c r="M683" s="82">
        <f>IF(OR(Scale!$X178="",Scale!$X178=0),"",Scale!$Z178)</f>
        <v/>
      </c>
      <c r="N683" s="81">
        <f>IF(OR(Scale!$X178="",Scale!$X178=0),"","مقابل")</f>
        <v/>
      </c>
      <c r="O683" s="81">
        <f>IF(OR(Scale!$X178="",Scale!$X178=0),"",IFERROR(VLOOKUP(Scale!$X178,AcctTbl,3,0),""))</f>
        <v/>
      </c>
      <c r="P683" s="82">
        <f>IF(Scale!$X178&lt;&gt;"X011","","BN02")</f>
        <v/>
      </c>
    </row>
    <row r="684" ht="20.25" customHeight="1">
      <c r="A684" s="80">
        <f>IF(OR(Scale!$AA178="",Scale!$AA178=0),"",Scale!$B178)</f>
        <v/>
      </c>
      <c r="B684" s="80">
        <f>IF(OR(Scale!$AA178="",Scale!$AA178=0),"",Scale!$D178)</f>
        <v/>
      </c>
      <c r="C684" s="80">
        <f>IF(OR(Scale!$AA178="",Scale!$AA178=0),"","باسکول")</f>
        <v/>
      </c>
      <c r="D684" s="80">
        <f>IF(OR(Scale!$AA178="",Scale!$AA178=0),"",Scale!$AA178)</f>
        <v/>
      </c>
      <c r="E684" s="81">
        <f>IF(OR(Scale!$AA178="",Scale!$AA178=0),"",IF(Scale!$AA178="","","پوز باسکول — "&amp;Scale!$E178))</f>
        <v/>
      </c>
      <c r="F684" s="83" t="n"/>
      <c r="G684" s="83" t="n"/>
      <c r="H684" s="83" t="n"/>
      <c r="I684" s="83" t="n"/>
      <c r="J684" s="83" t="n"/>
      <c r="K684" s="82">
        <f>IF(OR(Scale!$AA178="",Scale!$AA178=0),"",IF(Scale!$AB178="",0,Scale!$AB178)+IF(Scale!$AC178="",0,Scale!$AC178))</f>
        <v/>
      </c>
      <c r="L684" s="82">
        <f>IF(OR(Scale!$AA178="",Scale!$AA178=0),"",Scale!$AB178)</f>
        <v/>
      </c>
      <c r="M684" s="82">
        <f>IF(OR(Scale!$AA178="",Scale!$AA178=0),"",Scale!$AC178)</f>
        <v/>
      </c>
      <c r="N684" s="81">
        <f>IF(OR(Scale!$AA178="",Scale!$AA178=0),"","پوز")</f>
        <v/>
      </c>
      <c r="O684" s="81">
        <f>IF(OR(Scale!$AA178="",Scale!$AA178=0),"",IFERROR(VLOOKUP(Scale!$AA178,AcctTbl,3,0),""))</f>
        <v/>
      </c>
      <c r="P684" s="82">
        <f>IF(Scale!$AA178&lt;&gt;"X011","","BN02")</f>
        <v/>
      </c>
    </row>
    <row r="685" ht="20.25" customHeight="1">
      <c r="A685" s="80">
        <f>IF(OR(Scale!$AD178="",Scale!$AD178=0),"",Scale!$B178)</f>
        <v/>
      </c>
      <c r="B685" s="80">
        <f>IF(OR(Scale!$AD178="",Scale!$AD178=0),"",Scale!$D178)</f>
        <v/>
      </c>
      <c r="C685" s="80">
        <f>IF(OR(Scale!$AD178="",Scale!$AD178=0),"","باسکول")</f>
        <v/>
      </c>
      <c r="D685" s="80">
        <f>IF(OR(Scale!$AD178="",Scale!$AD178=0),"",Scale!$AD178)</f>
        <v/>
      </c>
      <c r="E685" s="81">
        <f>IF(OR(Scale!$AD178="",Scale!$AD178=0),"",IF(Scale!$AD178="","","مقابل پوز — "&amp;Scale!$E178))</f>
        <v/>
      </c>
      <c r="F685" s="83" t="n"/>
      <c r="G685" s="83" t="n"/>
      <c r="H685" s="83" t="n"/>
      <c r="I685" s="83" t="n"/>
      <c r="J685" s="83" t="n"/>
      <c r="K685" s="82">
        <f>IF(OR(Scale!$AD178="",Scale!$AD178=0),"",IF(Scale!$AE178="",0,Scale!$AE178)+IF(Scale!$AF178="",0,Scale!$AF178))</f>
        <v/>
      </c>
      <c r="L685" s="82">
        <f>IF(OR(Scale!$AD178="",Scale!$AD178=0),"",Scale!$AE178)</f>
        <v/>
      </c>
      <c r="M685" s="82">
        <f>IF(OR(Scale!$AD178="",Scale!$AD178=0),"",Scale!$AF178)</f>
        <v/>
      </c>
      <c r="N685" s="81">
        <f>IF(OR(Scale!$AD178="",Scale!$AD178=0),"","مقابل پوز")</f>
        <v/>
      </c>
      <c r="O685" s="81">
        <f>IF(OR(Scale!$AD178="",Scale!$AD178=0),"",IFERROR(VLOOKUP(Scale!$AD178,AcctTbl,3,0),""))</f>
        <v/>
      </c>
      <c r="P685" s="82">
        <f>IF(Scale!$AD178&lt;&gt;"X011","","BN02")</f>
        <v/>
      </c>
    </row>
    <row r="686" ht="20.25" customHeight="1">
      <c r="A686" s="80">
        <f>IF(OR(Scale!$U179="",Scale!$U179=0),"",Scale!$B179)</f>
        <v/>
      </c>
      <c r="B686" s="80">
        <f>IF(OR(Scale!$U179="",Scale!$U179=0),"",Scale!$D179)</f>
        <v/>
      </c>
      <c r="C686" s="80">
        <f>IF(OR(Scale!$U179="",Scale!$U179=0),"","باسکول")</f>
        <v/>
      </c>
      <c r="D686" s="80">
        <f>IF(OR(Scale!$U179="",Scale!$U179=0),"",Scale!$U179)</f>
        <v/>
      </c>
      <c r="E686" s="81">
        <f>IF(OR(Scale!$U179="",Scale!$U179=0),"",Scale!$T179)</f>
        <v/>
      </c>
      <c r="F686" s="81">
        <f>IF(OR(Scale!$U179="",Scale!$U179=0),"",Scale!$J179)</f>
        <v/>
      </c>
      <c r="G686" s="82">
        <f>IF(OR(Scale!$U179="",Scale!$U179=0),"",Scale!$M179)</f>
        <v/>
      </c>
      <c r="H686" s="82">
        <f>IF(OR(Scale!$U179="",Scale!$U179=0),"",Scale!$L179)</f>
        <v/>
      </c>
      <c r="I686" s="82">
        <f>IF(OR(Scale!$U179="",Scale!$U179=0),"",Scale!$N179)</f>
        <v/>
      </c>
      <c r="J686" s="82">
        <f>IF(OR(Scale!$U179="",Scale!$U179=0),"",Scale!$O179)</f>
        <v/>
      </c>
      <c r="K686" s="82">
        <f>IF(OR(Scale!$U179="",Scale!$U179=0),"",IF(Scale!$V179="",0,Scale!$V179)+IF(Scale!$W179="",0,Scale!$W179))</f>
        <v/>
      </c>
      <c r="L686" s="82">
        <f>IF(OR(Scale!$U179="",Scale!$U179=0),"",Scale!$V179)</f>
        <v/>
      </c>
      <c r="M686" s="82">
        <f>IF(OR(Scale!$U179="",Scale!$U179=0),"",Scale!$W179)</f>
        <v/>
      </c>
      <c r="N686" s="81">
        <f>IF(OR(Scale!$U179="",Scale!$U179=0),"",Scale!$E179)</f>
        <v/>
      </c>
      <c r="O686" s="81">
        <f>IF(OR(Scale!$U179="",Scale!$U179=0),"",IFERROR(VLOOKUP(Scale!$U179,AcctTbl,3,0),""))</f>
        <v/>
      </c>
      <c r="P686" s="82">
        <f>IF(Scale!$U179&lt;&gt;"X011","","BN02")</f>
        <v/>
      </c>
    </row>
    <row r="687" ht="20.25" customHeight="1">
      <c r="A687" s="80">
        <f>IF(OR(Scale!$X179="",Scale!$X179=0),"",Scale!$B179)</f>
        <v/>
      </c>
      <c r="B687" s="80">
        <f>IF(OR(Scale!$X179="",Scale!$X179=0),"",Scale!$D179)</f>
        <v/>
      </c>
      <c r="C687" s="80">
        <f>IF(OR(Scale!$X179="",Scale!$X179=0),"","باسکول")</f>
        <v/>
      </c>
      <c r="D687" s="80">
        <f>IF(OR(Scale!$X179="",Scale!$X179=0),"",Scale!$X179)</f>
        <v/>
      </c>
      <c r="E687" s="81">
        <f>IF(OR(Scale!$X179="",Scale!$X179=0),"",IF(Scale!$X179="","","مقابل: "&amp;Scale!$E179))</f>
        <v/>
      </c>
      <c r="F687" s="83" t="n"/>
      <c r="G687" s="83" t="n"/>
      <c r="H687" s="83" t="n"/>
      <c r="I687" s="83" t="n"/>
      <c r="J687" s="83" t="n"/>
      <c r="K687" s="82">
        <f>IF(OR(Scale!$X179="",Scale!$X179=0),"",IF(Scale!$Y179="",0,Scale!$Y179)+IF(Scale!$Z179="",0,Scale!$Z179))</f>
        <v/>
      </c>
      <c r="L687" s="82">
        <f>IF(OR(Scale!$X179="",Scale!$X179=0),"",Scale!$Y179)</f>
        <v/>
      </c>
      <c r="M687" s="82">
        <f>IF(OR(Scale!$X179="",Scale!$X179=0),"",Scale!$Z179)</f>
        <v/>
      </c>
      <c r="N687" s="81">
        <f>IF(OR(Scale!$X179="",Scale!$X179=0),"","مقابل")</f>
        <v/>
      </c>
      <c r="O687" s="81">
        <f>IF(OR(Scale!$X179="",Scale!$X179=0),"",IFERROR(VLOOKUP(Scale!$X179,AcctTbl,3,0),""))</f>
        <v/>
      </c>
      <c r="P687" s="82">
        <f>IF(Scale!$X179&lt;&gt;"X011","","BN02")</f>
        <v/>
      </c>
    </row>
    <row r="688" ht="20.25" customHeight="1">
      <c r="A688" s="80">
        <f>IF(OR(Scale!$AA179="",Scale!$AA179=0),"",Scale!$B179)</f>
        <v/>
      </c>
      <c r="B688" s="80">
        <f>IF(OR(Scale!$AA179="",Scale!$AA179=0),"",Scale!$D179)</f>
        <v/>
      </c>
      <c r="C688" s="80">
        <f>IF(OR(Scale!$AA179="",Scale!$AA179=0),"","باسکول")</f>
        <v/>
      </c>
      <c r="D688" s="80">
        <f>IF(OR(Scale!$AA179="",Scale!$AA179=0),"",Scale!$AA179)</f>
        <v/>
      </c>
      <c r="E688" s="81">
        <f>IF(OR(Scale!$AA179="",Scale!$AA179=0),"",IF(Scale!$AA179="","","پوز باسکول — "&amp;Scale!$E179))</f>
        <v/>
      </c>
      <c r="F688" s="83" t="n"/>
      <c r="G688" s="83" t="n"/>
      <c r="H688" s="83" t="n"/>
      <c r="I688" s="83" t="n"/>
      <c r="J688" s="83" t="n"/>
      <c r="K688" s="82">
        <f>IF(OR(Scale!$AA179="",Scale!$AA179=0),"",IF(Scale!$AB179="",0,Scale!$AB179)+IF(Scale!$AC179="",0,Scale!$AC179))</f>
        <v/>
      </c>
      <c r="L688" s="82">
        <f>IF(OR(Scale!$AA179="",Scale!$AA179=0),"",Scale!$AB179)</f>
        <v/>
      </c>
      <c r="M688" s="82">
        <f>IF(OR(Scale!$AA179="",Scale!$AA179=0),"",Scale!$AC179)</f>
        <v/>
      </c>
      <c r="N688" s="81">
        <f>IF(OR(Scale!$AA179="",Scale!$AA179=0),"","پوز")</f>
        <v/>
      </c>
      <c r="O688" s="81">
        <f>IF(OR(Scale!$AA179="",Scale!$AA179=0),"",IFERROR(VLOOKUP(Scale!$AA179,AcctTbl,3,0),""))</f>
        <v/>
      </c>
      <c r="P688" s="82">
        <f>IF(Scale!$AA179&lt;&gt;"X011","","BN02")</f>
        <v/>
      </c>
    </row>
    <row r="689" ht="20.25" customHeight="1">
      <c r="A689" s="80">
        <f>IF(OR(Scale!$AD179="",Scale!$AD179=0),"",Scale!$B179)</f>
        <v/>
      </c>
      <c r="B689" s="80">
        <f>IF(OR(Scale!$AD179="",Scale!$AD179=0),"",Scale!$D179)</f>
        <v/>
      </c>
      <c r="C689" s="80">
        <f>IF(OR(Scale!$AD179="",Scale!$AD179=0),"","باسکول")</f>
        <v/>
      </c>
      <c r="D689" s="80">
        <f>IF(OR(Scale!$AD179="",Scale!$AD179=0),"",Scale!$AD179)</f>
        <v/>
      </c>
      <c r="E689" s="81">
        <f>IF(OR(Scale!$AD179="",Scale!$AD179=0),"",IF(Scale!$AD179="","","مقابل پوز — "&amp;Scale!$E179))</f>
        <v/>
      </c>
      <c r="F689" s="83" t="n"/>
      <c r="G689" s="83" t="n"/>
      <c r="H689" s="83" t="n"/>
      <c r="I689" s="83" t="n"/>
      <c r="J689" s="83" t="n"/>
      <c r="K689" s="82">
        <f>IF(OR(Scale!$AD179="",Scale!$AD179=0),"",IF(Scale!$AE179="",0,Scale!$AE179)+IF(Scale!$AF179="",0,Scale!$AF179))</f>
        <v/>
      </c>
      <c r="L689" s="82">
        <f>IF(OR(Scale!$AD179="",Scale!$AD179=0),"",Scale!$AE179)</f>
        <v/>
      </c>
      <c r="M689" s="82">
        <f>IF(OR(Scale!$AD179="",Scale!$AD179=0),"",Scale!$AF179)</f>
        <v/>
      </c>
      <c r="N689" s="81">
        <f>IF(OR(Scale!$AD179="",Scale!$AD179=0),"","مقابل پوز")</f>
        <v/>
      </c>
      <c r="O689" s="81">
        <f>IF(OR(Scale!$AD179="",Scale!$AD179=0),"",IFERROR(VLOOKUP(Scale!$AD179,AcctTbl,3,0),""))</f>
        <v/>
      </c>
      <c r="P689" s="82">
        <f>IF(Scale!$AD179&lt;&gt;"X011","","BN02")</f>
        <v/>
      </c>
    </row>
    <row r="690" ht="20.25" customHeight="1">
      <c r="A690" s="80">
        <f>IF(OR(Scale!$U180="",Scale!$U180=0),"",Scale!$B180)</f>
        <v/>
      </c>
      <c r="B690" s="80">
        <f>IF(OR(Scale!$U180="",Scale!$U180=0),"",Scale!$D180)</f>
        <v/>
      </c>
      <c r="C690" s="80">
        <f>IF(OR(Scale!$U180="",Scale!$U180=0),"","باسکول")</f>
        <v/>
      </c>
      <c r="D690" s="80">
        <f>IF(OR(Scale!$U180="",Scale!$U180=0),"",Scale!$U180)</f>
        <v/>
      </c>
      <c r="E690" s="81">
        <f>IF(OR(Scale!$U180="",Scale!$U180=0),"",Scale!$T180)</f>
        <v/>
      </c>
      <c r="F690" s="81">
        <f>IF(OR(Scale!$U180="",Scale!$U180=0),"",Scale!$J180)</f>
        <v/>
      </c>
      <c r="G690" s="82">
        <f>IF(OR(Scale!$U180="",Scale!$U180=0),"",Scale!$M180)</f>
        <v/>
      </c>
      <c r="H690" s="82">
        <f>IF(OR(Scale!$U180="",Scale!$U180=0),"",Scale!$L180)</f>
        <v/>
      </c>
      <c r="I690" s="82">
        <f>IF(OR(Scale!$U180="",Scale!$U180=0),"",Scale!$N180)</f>
        <v/>
      </c>
      <c r="J690" s="82">
        <f>IF(OR(Scale!$U180="",Scale!$U180=0),"",Scale!$O180)</f>
        <v/>
      </c>
      <c r="K690" s="82">
        <f>IF(OR(Scale!$U180="",Scale!$U180=0),"",IF(Scale!$V180="",0,Scale!$V180)+IF(Scale!$W180="",0,Scale!$W180))</f>
        <v/>
      </c>
      <c r="L690" s="82">
        <f>IF(OR(Scale!$U180="",Scale!$U180=0),"",Scale!$V180)</f>
        <v/>
      </c>
      <c r="M690" s="82">
        <f>IF(OR(Scale!$U180="",Scale!$U180=0),"",Scale!$W180)</f>
        <v/>
      </c>
      <c r="N690" s="81">
        <f>IF(OR(Scale!$U180="",Scale!$U180=0),"",Scale!$E180)</f>
        <v/>
      </c>
      <c r="O690" s="81">
        <f>IF(OR(Scale!$U180="",Scale!$U180=0),"",IFERROR(VLOOKUP(Scale!$U180,AcctTbl,3,0),""))</f>
        <v/>
      </c>
      <c r="P690" s="82">
        <f>IF(Scale!$U180&lt;&gt;"X011","","BN02")</f>
        <v/>
      </c>
    </row>
    <row r="691" ht="20.25" customHeight="1">
      <c r="A691" s="80">
        <f>IF(OR(Scale!$X180="",Scale!$X180=0),"",Scale!$B180)</f>
        <v/>
      </c>
      <c r="B691" s="80">
        <f>IF(OR(Scale!$X180="",Scale!$X180=0),"",Scale!$D180)</f>
        <v/>
      </c>
      <c r="C691" s="80">
        <f>IF(OR(Scale!$X180="",Scale!$X180=0),"","باسکول")</f>
        <v/>
      </c>
      <c r="D691" s="80">
        <f>IF(OR(Scale!$X180="",Scale!$X180=0),"",Scale!$X180)</f>
        <v/>
      </c>
      <c r="E691" s="81">
        <f>IF(OR(Scale!$X180="",Scale!$X180=0),"",IF(Scale!$X180="","","مقابل: "&amp;Scale!$E180))</f>
        <v/>
      </c>
      <c r="F691" s="83" t="n"/>
      <c r="G691" s="83" t="n"/>
      <c r="H691" s="83" t="n"/>
      <c r="I691" s="83" t="n"/>
      <c r="J691" s="83" t="n"/>
      <c r="K691" s="82">
        <f>IF(OR(Scale!$X180="",Scale!$X180=0),"",IF(Scale!$Y180="",0,Scale!$Y180)+IF(Scale!$Z180="",0,Scale!$Z180))</f>
        <v/>
      </c>
      <c r="L691" s="82">
        <f>IF(OR(Scale!$X180="",Scale!$X180=0),"",Scale!$Y180)</f>
        <v/>
      </c>
      <c r="M691" s="82">
        <f>IF(OR(Scale!$X180="",Scale!$X180=0),"",Scale!$Z180)</f>
        <v/>
      </c>
      <c r="N691" s="81">
        <f>IF(OR(Scale!$X180="",Scale!$X180=0),"","مقابل")</f>
        <v/>
      </c>
      <c r="O691" s="81">
        <f>IF(OR(Scale!$X180="",Scale!$X180=0),"",IFERROR(VLOOKUP(Scale!$X180,AcctTbl,3,0),""))</f>
        <v/>
      </c>
      <c r="P691" s="82">
        <f>IF(Scale!$X180&lt;&gt;"X011","","BN02")</f>
        <v/>
      </c>
    </row>
    <row r="692" ht="20.25" customHeight="1">
      <c r="A692" s="80">
        <f>IF(OR(Scale!$AA180="",Scale!$AA180=0),"",Scale!$B180)</f>
        <v/>
      </c>
      <c r="B692" s="80">
        <f>IF(OR(Scale!$AA180="",Scale!$AA180=0),"",Scale!$D180)</f>
        <v/>
      </c>
      <c r="C692" s="80">
        <f>IF(OR(Scale!$AA180="",Scale!$AA180=0),"","باسکول")</f>
        <v/>
      </c>
      <c r="D692" s="80">
        <f>IF(OR(Scale!$AA180="",Scale!$AA180=0),"",Scale!$AA180)</f>
        <v/>
      </c>
      <c r="E692" s="81">
        <f>IF(OR(Scale!$AA180="",Scale!$AA180=0),"",IF(Scale!$AA180="","","پوز باسکول — "&amp;Scale!$E180))</f>
        <v/>
      </c>
      <c r="F692" s="83" t="n"/>
      <c r="G692" s="83" t="n"/>
      <c r="H692" s="83" t="n"/>
      <c r="I692" s="83" t="n"/>
      <c r="J692" s="83" t="n"/>
      <c r="K692" s="82">
        <f>IF(OR(Scale!$AA180="",Scale!$AA180=0),"",IF(Scale!$AB180="",0,Scale!$AB180)+IF(Scale!$AC180="",0,Scale!$AC180))</f>
        <v/>
      </c>
      <c r="L692" s="82">
        <f>IF(OR(Scale!$AA180="",Scale!$AA180=0),"",Scale!$AB180)</f>
        <v/>
      </c>
      <c r="M692" s="82">
        <f>IF(OR(Scale!$AA180="",Scale!$AA180=0),"",Scale!$AC180)</f>
        <v/>
      </c>
      <c r="N692" s="81">
        <f>IF(OR(Scale!$AA180="",Scale!$AA180=0),"","پوز")</f>
        <v/>
      </c>
      <c r="O692" s="81">
        <f>IF(OR(Scale!$AA180="",Scale!$AA180=0),"",IFERROR(VLOOKUP(Scale!$AA180,AcctTbl,3,0),""))</f>
        <v/>
      </c>
      <c r="P692" s="82">
        <f>IF(Scale!$AA180&lt;&gt;"X011","","BN02")</f>
        <v/>
      </c>
    </row>
    <row r="693" ht="20.25" customHeight="1">
      <c r="A693" s="80">
        <f>IF(OR(Scale!$AD180="",Scale!$AD180=0),"",Scale!$B180)</f>
        <v/>
      </c>
      <c r="B693" s="80">
        <f>IF(OR(Scale!$AD180="",Scale!$AD180=0),"",Scale!$D180)</f>
        <v/>
      </c>
      <c r="C693" s="80">
        <f>IF(OR(Scale!$AD180="",Scale!$AD180=0),"","باسکول")</f>
        <v/>
      </c>
      <c r="D693" s="80">
        <f>IF(OR(Scale!$AD180="",Scale!$AD180=0),"",Scale!$AD180)</f>
        <v/>
      </c>
      <c r="E693" s="81">
        <f>IF(OR(Scale!$AD180="",Scale!$AD180=0),"",IF(Scale!$AD180="","","مقابل پوز — "&amp;Scale!$E180))</f>
        <v/>
      </c>
      <c r="F693" s="83" t="n"/>
      <c r="G693" s="83" t="n"/>
      <c r="H693" s="83" t="n"/>
      <c r="I693" s="83" t="n"/>
      <c r="J693" s="83" t="n"/>
      <c r="K693" s="82">
        <f>IF(OR(Scale!$AD180="",Scale!$AD180=0),"",IF(Scale!$AE180="",0,Scale!$AE180)+IF(Scale!$AF180="",0,Scale!$AF180))</f>
        <v/>
      </c>
      <c r="L693" s="82">
        <f>IF(OR(Scale!$AD180="",Scale!$AD180=0),"",Scale!$AE180)</f>
        <v/>
      </c>
      <c r="M693" s="82">
        <f>IF(OR(Scale!$AD180="",Scale!$AD180=0),"",Scale!$AF180)</f>
        <v/>
      </c>
      <c r="N693" s="81">
        <f>IF(OR(Scale!$AD180="",Scale!$AD180=0),"","مقابل پوز")</f>
        <v/>
      </c>
      <c r="O693" s="81">
        <f>IF(OR(Scale!$AD180="",Scale!$AD180=0),"",IFERROR(VLOOKUP(Scale!$AD180,AcctTbl,3,0),""))</f>
        <v/>
      </c>
      <c r="P693" s="82">
        <f>IF(Scale!$AD180&lt;&gt;"X011","","BN02")</f>
        <v/>
      </c>
    </row>
    <row r="694" ht="20.25" customHeight="1">
      <c r="A694" s="80">
        <f>IF(OR(Scale!$U181="",Scale!$U181=0),"",Scale!$B181)</f>
        <v/>
      </c>
      <c r="B694" s="80">
        <f>IF(OR(Scale!$U181="",Scale!$U181=0),"",Scale!$D181)</f>
        <v/>
      </c>
      <c r="C694" s="80">
        <f>IF(OR(Scale!$U181="",Scale!$U181=0),"","باسکول")</f>
        <v/>
      </c>
      <c r="D694" s="80">
        <f>IF(OR(Scale!$U181="",Scale!$U181=0),"",Scale!$U181)</f>
        <v/>
      </c>
      <c r="E694" s="81">
        <f>IF(OR(Scale!$U181="",Scale!$U181=0),"",Scale!$T181)</f>
        <v/>
      </c>
      <c r="F694" s="81">
        <f>IF(OR(Scale!$U181="",Scale!$U181=0),"",Scale!$J181)</f>
        <v/>
      </c>
      <c r="G694" s="82">
        <f>IF(OR(Scale!$U181="",Scale!$U181=0),"",Scale!$M181)</f>
        <v/>
      </c>
      <c r="H694" s="82">
        <f>IF(OR(Scale!$U181="",Scale!$U181=0),"",Scale!$L181)</f>
        <v/>
      </c>
      <c r="I694" s="82">
        <f>IF(OR(Scale!$U181="",Scale!$U181=0),"",Scale!$N181)</f>
        <v/>
      </c>
      <c r="J694" s="82">
        <f>IF(OR(Scale!$U181="",Scale!$U181=0),"",Scale!$O181)</f>
        <v/>
      </c>
      <c r="K694" s="82">
        <f>IF(OR(Scale!$U181="",Scale!$U181=0),"",IF(Scale!$V181="",0,Scale!$V181)+IF(Scale!$W181="",0,Scale!$W181))</f>
        <v/>
      </c>
      <c r="L694" s="82">
        <f>IF(OR(Scale!$U181="",Scale!$U181=0),"",Scale!$V181)</f>
        <v/>
      </c>
      <c r="M694" s="82">
        <f>IF(OR(Scale!$U181="",Scale!$U181=0),"",Scale!$W181)</f>
        <v/>
      </c>
      <c r="N694" s="81">
        <f>IF(OR(Scale!$U181="",Scale!$U181=0),"",Scale!$E181)</f>
        <v/>
      </c>
      <c r="O694" s="81">
        <f>IF(OR(Scale!$U181="",Scale!$U181=0),"",IFERROR(VLOOKUP(Scale!$U181,AcctTbl,3,0),""))</f>
        <v/>
      </c>
      <c r="P694" s="82">
        <f>IF(Scale!$U181&lt;&gt;"X011","","BN02")</f>
        <v/>
      </c>
    </row>
    <row r="695" ht="20.25" customHeight="1">
      <c r="A695" s="80">
        <f>IF(OR(Scale!$X181="",Scale!$X181=0),"",Scale!$B181)</f>
        <v/>
      </c>
      <c r="B695" s="80">
        <f>IF(OR(Scale!$X181="",Scale!$X181=0),"",Scale!$D181)</f>
        <v/>
      </c>
      <c r="C695" s="80">
        <f>IF(OR(Scale!$X181="",Scale!$X181=0),"","باسکول")</f>
        <v/>
      </c>
      <c r="D695" s="80">
        <f>IF(OR(Scale!$X181="",Scale!$X181=0),"",Scale!$X181)</f>
        <v/>
      </c>
      <c r="E695" s="81">
        <f>IF(OR(Scale!$X181="",Scale!$X181=0),"",IF(Scale!$X181="","","مقابل: "&amp;Scale!$E181))</f>
        <v/>
      </c>
      <c r="F695" s="83" t="n"/>
      <c r="G695" s="83" t="n"/>
      <c r="H695" s="83" t="n"/>
      <c r="I695" s="83" t="n"/>
      <c r="J695" s="83" t="n"/>
      <c r="K695" s="82">
        <f>IF(OR(Scale!$X181="",Scale!$X181=0),"",IF(Scale!$Y181="",0,Scale!$Y181)+IF(Scale!$Z181="",0,Scale!$Z181))</f>
        <v/>
      </c>
      <c r="L695" s="82">
        <f>IF(OR(Scale!$X181="",Scale!$X181=0),"",Scale!$Y181)</f>
        <v/>
      </c>
      <c r="M695" s="82">
        <f>IF(OR(Scale!$X181="",Scale!$X181=0),"",Scale!$Z181)</f>
        <v/>
      </c>
      <c r="N695" s="81">
        <f>IF(OR(Scale!$X181="",Scale!$X181=0),"","مقابل")</f>
        <v/>
      </c>
      <c r="O695" s="81">
        <f>IF(OR(Scale!$X181="",Scale!$X181=0),"",IFERROR(VLOOKUP(Scale!$X181,AcctTbl,3,0),""))</f>
        <v/>
      </c>
      <c r="P695" s="82">
        <f>IF(Scale!$X181&lt;&gt;"X011","","BN02")</f>
        <v/>
      </c>
    </row>
    <row r="696" ht="20.25" customHeight="1">
      <c r="A696" s="80">
        <f>IF(OR(Scale!$AA181="",Scale!$AA181=0),"",Scale!$B181)</f>
        <v/>
      </c>
      <c r="B696" s="80">
        <f>IF(OR(Scale!$AA181="",Scale!$AA181=0),"",Scale!$D181)</f>
        <v/>
      </c>
      <c r="C696" s="80">
        <f>IF(OR(Scale!$AA181="",Scale!$AA181=0),"","باسکول")</f>
        <v/>
      </c>
      <c r="D696" s="80">
        <f>IF(OR(Scale!$AA181="",Scale!$AA181=0),"",Scale!$AA181)</f>
        <v/>
      </c>
      <c r="E696" s="81">
        <f>IF(OR(Scale!$AA181="",Scale!$AA181=0),"",IF(Scale!$AA181="","","پوز باسکول — "&amp;Scale!$E181))</f>
        <v/>
      </c>
      <c r="F696" s="83" t="n"/>
      <c r="G696" s="83" t="n"/>
      <c r="H696" s="83" t="n"/>
      <c r="I696" s="83" t="n"/>
      <c r="J696" s="83" t="n"/>
      <c r="K696" s="82">
        <f>IF(OR(Scale!$AA181="",Scale!$AA181=0),"",IF(Scale!$AB181="",0,Scale!$AB181)+IF(Scale!$AC181="",0,Scale!$AC181))</f>
        <v/>
      </c>
      <c r="L696" s="82">
        <f>IF(OR(Scale!$AA181="",Scale!$AA181=0),"",Scale!$AB181)</f>
        <v/>
      </c>
      <c r="M696" s="82">
        <f>IF(OR(Scale!$AA181="",Scale!$AA181=0),"",Scale!$AC181)</f>
        <v/>
      </c>
      <c r="N696" s="81">
        <f>IF(OR(Scale!$AA181="",Scale!$AA181=0),"","پوز")</f>
        <v/>
      </c>
      <c r="O696" s="81">
        <f>IF(OR(Scale!$AA181="",Scale!$AA181=0),"",IFERROR(VLOOKUP(Scale!$AA181,AcctTbl,3,0),""))</f>
        <v/>
      </c>
      <c r="P696" s="82">
        <f>IF(Scale!$AA181&lt;&gt;"X011","","BN02")</f>
        <v/>
      </c>
    </row>
    <row r="697" ht="20.25" customHeight="1">
      <c r="A697" s="80">
        <f>IF(OR(Scale!$AD181="",Scale!$AD181=0),"",Scale!$B181)</f>
        <v/>
      </c>
      <c r="B697" s="80">
        <f>IF(OR(Scale!$AD181="",Scale!$AD181=0),"",Scale!$D181)</f>
        <v/>
      </c>
      <c r="C697" s="80">
        <f>IF(OR(Scale!$AD181="",Scale!$AD181=0),"","باسکول")</f>
        <v/>
      </c>
      <c r="D697" s="80">
        <f>IF(OR(Scale!$AD181="",Scale!$AD181=0),"",Scale!$AD181)</f>
        <v/>
      </c>
      <c r="E697" s="81">
        <f>IF(OR(Scale!$AD181="",Scale!$AD181=0),"",IF(Scale!$AD181="","","مقابل پوز — "&amp;Scale!$E181))</f>
        <v/>
      </c>
      <c r="F697" s="83" t="n"/>
      <c r="G697" s="83" t="n"/>
      <c r="H697" s="83" t="n"/>
      <c r="I697" s="83" t="n"/>
      <c r="J697" s="83" t="n"/>
      <c r="K697" s="82">
        <f>IF(OR(Scale!$AD181="",Scale!$AD181=0),"",IF(Scale!$AE181="",0,Scale!$AE181)+IF(Scale!$AF181="",0,Scale!$AF181))</f>
        <v/>
      </c>
      <c r="L697" s="82">
        <f>IF(OR(Scale!$AD181="",Scale!$AD181=0),"",Scale!$AE181)</f>
        <v/>
      </c>
      <c r="M697" s="82">
        <f>IF(OR(Scale!$AD181="",Scale!$AD181=0),"",Scale!$AF181)</f>
        <v/>
      </c>
      <c r="N697" s="81">
        <f>IF(OR(Scale!$AD181="",Scale!$AD181=0),"","مقابل پوز")</f>
        <v/>
      </c>
      <c r="O697" s="81">
        <f>IF(OR(Scale!$AD181="",Scale!$AD181=0),"",IFERROR(VLOOKUP(Scale!$AD181,AcctTbl,3,0),""))</f>
        <v/>
      </c>
      <c r="P697" s="82">
        <f>IF(Scale!$AD181&lt;&gt;"X011","","BN02")</f>
        <v/>
      </c>
    </row>
    <row r="698" ht="20.25" customHeight="1">
      <c r="A698" s="80">
        <f>IF(OR(Scale!$U182="",Scale!$U182=0),"",Scale!$B182)</f>
        <v/>
      </c>
      <c r="B698" s="80">
        <f>IF(OR(Scale!$U182="",Scale!$U182=0),"",Scale!$D182)</f>
        <v/>
      </c>
      <c r="C698" s="80">
        <f>IF(OR(Scale!$U182="",Scale!$U182=0),"","باسکول")</f>
        <v/>
      </c>
      <c r="D698" s="80">
        <f>IF(OR(Scale!$U182="",Scale!$U182=0),"",Scale!$U182)</f>
        <v/>
      </c>
      <c r="E698" s="81">
        <f>IF(OR(Scale!$U182="",Scale!$U182=0),"",Scale!$T182)</f>
        <v/>
      </c>
      <c r="F698" s="81">
        <f>IF(OR(Scale!$U182="",Scale!$U182=0),"",Scale!$J182)</f>
        <v/>
      </c>
      <c r="G698" s="82">
        <f>IF(OR(Scale!$U182="",Scale!$U182=0),"",Scale!$M182)</f>
        <v/>
      </c>
      <c r="H698" s="82">
        <f>IF(OR(Scale!$U182="",Scale!$U182=0),"",Scale!$L182)</f>
        <v/>
      </c>
      <c r="I698" s="82">
        <f>IF(OR(Scale!$U182="",Scale!$U182=0),"",Scale!$N182)</f>
        <v/>
      </c>
      <c r="J698" s="82">
        <f>IF(OR(Scale!$U182="",Scale!$U182=0),"",Scale!$O182)</f>
        <v/>
      </c>
      <c r="K698" s="82">
        <f>IF(OR(Scale!$U182="",Scale!$U182=0),"",IF(Scale!$V182="",0,Scale!$V182)+IF(Scale!$W182="",0,Scale!$W182))</f>
        <v/>
      </c>
      <c r="L698" s="82">
        <f>IF(OR(Scale!$U182="",Scale!$U182=0),"",Scale!$V182)</f>
        <v/>
      </c>
      <c r="M698" s="82">
        <f>IF(OR(Scale!$U182="",Scale!$U182=0),"",Scale!$W182)</f>
        <v/>
      </c>
      <c r="N698" s="81">
        <f>IF(OR(Scale!$U182="",Scale!$U182=0),"",Scale!$E182)</f>
        <v/>
      </c>
      <c r="O698" s="81">
        <f>IF(OR(Scale!$U182="",Scale!$U182=0),"",IFERROR(VLOOKUP(Scale!$U182,AcctTbl,3,0),""))</f>
        <v/>
      </c>
      <c r="P698" s="82">
        <f>IF(Scale!$U182&lt;&gt;"X011","","BN02")</f>
        <v/>
      </c>
    </row>
    <row r="699" ht="20.25" customHeight="1">
      <c r="A699" s="80">
        <f>IF(OR(Scale!$X182="",Scale!$X182=0),"",Scale!$B182)</f>
        <v/>
      </c>
      <c r="B699" s="80">
        <f>IF(OR(Scale!$X182="",Scale!$X182=0),"",Scale!$D182)</f>
        <v/>
      </c>
      <c r="C699" s="80">
        <f>IF(OR(Scale!$X182="",Scale!$X182=0),"","باسکول")</f>
        <v/>
      </c>
      <c r="D699" s="80">
        <f>IF(OR(Scale!$X182="",Scale!$X182=0),"",Scale!$X182)</f>
        <v/>
      </c>
      <c r="E699" s="81">
        <f>IF(OR(Scale!$X182="",Scale!$X182=0),"",IF(Scale!$X182="","","مقابل: "&amp;Scale!$E182))</f>
        <v/>
      </c>
      <c r="F699" s="83" t="n"/>
      <c r="G699" s="83" t="n"/>
      <c r="H699" s="83" t="n"/>
      <c r="I699" s="83" t="n"/>
      <c r="J699" s="83" t="n"/>
      <c r="K699" s="82">
        <f>IF(OR(Scale!$X182="",Scale!$X182=0),"",IF(Scale!$Y182="",0,Scale!$Y182)+IF(Scale!$Z182="",0,Scale!$Z182))</f>
        <v/>
      </c>
      <c r="L699" s="82">
        <f>IF(OR(Scale!$X182="",Scale!$X182=0),"",Scale!$Y182)</f>
        <v/>
      </c>
      <c r="M699" s="82">
        <f>IF(OR(Scale!$X182="",Scale!$X182=0),"",Scale!$Z182)</f>
        <v/>
      </c>
      <c r="N699" s="81">
        <f>IF(OR(Scale!$X182="",Scale!$X182=0),"","مقابل")</f>
        <v/>
      </c>
      <c r="O699" s="81">
        <f>IF(OR(Scale!$X182="",Scale!$X182=0),"",IFERROR(VLOOKUP(Scale!$X182,AcctTbl,3,0),""))</f>
        <v/>
      </c>
      <c r="P699" s="82">
        <f>IF(Scale!$X182&lt;&gt;"X011","","BN02")</f>
        <v/>
      </c>
    </row>
    <row r="700" ht="20.25" customHeight="1">
      <c r="A700" s="80">
        <f>IF(OR(Scale!$AA182="",Scale!$AA182=0),"",Scale!$B182)</f>
        <v/>
      </c>
      <c r="B700" s="80">
        <f>IF(OR(Scale!$AA182="",Scale!$AA182=0),"",Scale!$D182)</f>
        <v/>
      </c>
      <c r="C700" s="80">
        <f>IF(OR(Scale!$AA182="",Scale!$AA182=0),"","باسکول")</f>
        <v/>
      </c>
      <c r="D700" s="80">
        <f>IF(OR(Scale!$AA182="",Scale!$AA182=0),"",Scale!$AA182)</f>
        <v/>
      </c>
      <c r="E700" s="81">
        <f>IF(OR(Scale!$AA182="",Scale!$AA182=0),"",IF(Scale!$AA182="","","پوز باسکول — "&amp;Scale!$E182))</f>
        <v/>
      </c>
      <c r="F700" s="83" t="n"/>
      <c r="G700" s="83" t="n"/>
      <c r="H700" s="83" t="n"/>
      <c r="I700" s="83" t="n"/>
      <c r="J700" s="83" t="n"/>
      <c r="K700" s="82">
        <f>IF(OR(Scale!$AA182="",Scale!$AA182=0),"",IF(Scale!$AB182="",0,Scale!$AB182)+IF(Scale!$AC182="",0,Scale!$AC182))</f>
        <v/>
      </c>
      <c r="L700" s="82">
        <f>IF(OR(Scale!$AA182="",Scale!$AA182=0),"",Scale!$AB182)</f>
        <v/>
      </c>
      <c r="M700" s="82">
        <f>IF(OR(Scale!$AA182="",Scale!$AA182=0),"",Scale!$AC182)</f>
        <v/>
      </c>
      <c r="N700" s="81">
        <f>IF(OR(Scale!$AA182="",Scale!$AA182=0),"","پوز")</f>
        <v/>
      </c>
      <c r="O700" s="81">
        <f>IF(OR(Scale!$AA182="",Scale!$AA182=0),"",IFERROR(VLOOKUP(Scale!$AA182,AcctTbl,3,0),""))</f>
        <v/>
      </c>
      <c r="P700" s="82">
        <f>IF(Scale!$AA182&lt;&gt;"X011","","BN02")</f>
        <v/>
      </c>
    </row>
    <row r="701" ht="20.25" customHeight="1">
      <c r="A701" s="80">
        <f>IF(OR(Scale!$AD182="",Scale!$AD182=0),"",Scale!$B182)</f>
        <v/>
      </c>
      <c r="B701" s="80">
        <f>IF(OR(Scale!$AD182="",Scale!$AD182=0),"",Scale!$D182)</f>
        <v/>
      </c>
      <c r="C701" s="80">
        <f>IF(OR(Scale!$AD182="",Scale!$AD182=0),"","باسکول")</f>
        <v/>
      </c>
      <c r="D701" s="80">
        <f>IF(OR(Scale!$AD182="",Scale!$AD182=0),"",Scale!$AD182)</f>
        <v/>
      </c>
      <c r="E701" s="81">
        <f>IF(OR(Scale!$AD182="",Scale!$AD182=0),"",IF(Scale!$AD182="","","مقابل پوز — "&amp;Scale!$E182))</f>
        <v/>
      </c>
      <c r="F701" s="83" t="n"/>
      <c r="G701" s="83" t="n"/>
      <c r="H701" s="83" t="n"/>
      <c r="I701" s="83" t="n"/>
      <c r="J701" s="83" t="n"/>
      <c r="K701" s="82">
        <f>IF(OR(Scale!$AD182="",Scale!$AD182=0),"",IF(Scale!$AE182="",0,Scale!$AE182)+IF(Scale!$AF182="",0,Scale!$AF182))</f>
        <v/>
      </c>
      <c r="L701" s="82">
        <f>IF(OR(Scale!$AD182="",Scale!$AD182=0),"",Scale!$AE182)</f>
        <v/>
      </c>
      <c r="M701" s="82">
        <f>IF(OR(Scale!$AD182="",Scale!$AD182=0),"",Scale!$AF182)</f>
        <v/>
      </c>
      <c r="N701" s="81">
        <f>IF(OR(Scale!$AD182="",Scale!$AD182=0),"","مقابل پوز")</f>
        <v/>
      </c>
      <c r="O701" s="81">
        <f>IF(OR(Scale!$AD182="",Scale!$AD182=0),"",IFERROR(VLOOKUP(Scale!$AD182,AcctTbl,3,0),""))</f>
        <v/>
      </c>
      <c r="P701" s="82">
        <f>IF(Scale!$AD182&lt;&gt;"X011","","BN02")</f>
        <v/>
      </c>
    </row>
    <row r="702" ht="20.25" customHeight="1">
      <c r="A702" s="80">
        <f>IF(OR(Scale!$U183="",Scale!$U183=0),"",Scale!$B183)</f>
        <v/>
      </c>
      <c r="B702" s="80">
        <f>IF(OR(Scale!$U183="",Scale!$U183=0),"",Scale!$D183)</f>
        <v/>
      </c>
      <c r="C702" s="80">
        <f>IF(OR(Scale!$U183="",Scale!$U183=0),"","باسکول")</f>
        <v/>
      </c>
      <c r="D702" s="80">
        <f>IF(OR(Scale!$U183="",Scale!$U183=0),"",Scale!$U183)</f>
        <v/>
      </c>
      <c r="E702" s="81">
        <f>IF(OR(Scale!$U183="",Scale!$U183=0),"",Scale!$T183)</f>
        <v/>
      </c>
      <c r="F702" s="81">
        <f>IF(OR(Scale!$U183="",Scale!$U183=0),"",Scale!$J183)</f>
        <v/>
      </c>
      <c r="G702" s="82">
        <f>IF(OR(Scale!$U183="",Scale!$U183=0),"",Scale!$M183)</f>
        <v/>
      </c>
      <c r="H702" s="82">
        <f>IF(OR(Scale!$U183="",Scale!$U183=0),"",Scale!$L183)</f>
        <v/>
      </c>
      <c r="I702" s="82">
        <f>IF(OR(Scale!$U183="",Scale!$U183=0),"",Scale!$N183)</f>
        <v/>
      </c>
      <c r="J702" s="82">
        <f>IF(OR(Scale!$U183="",Scale!$U183=0),"",Scale!$O183)</f>
        <v/>
      </c>
      <c r="K702" s="82">
        <f>IF(OR(Scale!$U183="",Scale!$U183=0),"",IF(Scale!$V183="",0,Scale!$V183)+IF(Scale!$W183="",0,Scale!$W183))</f>
        <v/>
      </c>
      <c r="L702" s="82">
        <f>IF(OR(Scale!$U183="",Scale!$U183=0),"",Scale!$V183)</f>
        <v/>
      </c>
      <c r="M702" s="82">
        <f>IF(OR(Scale!$U183="",Scale!$U183=0),"",Scale!$W183)</f>
        <v/>
      </c>
      <c r="N702" s="81">
        <f>IF(OR(Scale!$U183="",Scale!$U183=0),"",Scale!$E183)</f>
        <v/>
      </c>
      <c r="O702" s="81">
        <f>IF(OR(Scale!$U183="",Scale!$U183=0),"",IFERROR(VLOOKUP(Scale!$U183,AcctTbl,3,0),""))</f>
        <v/>
      </c>
      <c r="P702" s="82">
        <f>IF(Scale!$U183&lt;&gt;"X011","","BN02")</f>
        <v/>
      </c>
    </row>
    <row r="703" ht="20.25" customHeight="1">
      <c r="A703" s="80">
        <f>IF(OR(Scale!$X183="",Scale!$X183=0),"",Scale!$B183)</f>
        <v/>
      </c>
      <c r="B703" s="80">
        <f>IF(OR(Scale!$X183="",Scale!$X183=0),"",Scale!$D183)</f>
        <v/>
      </c>
      <c r="C703" s="80">
        <f>IF(OR(Scale!$X183="",Scale!$X183=0),"","باسکول")</f>
        <v/>
      </c>
      <c r="D703" s="80">
        <f>IF(OR(Scale!$X183="",Scale!$X183=0),"",Scale!$X183)</f>
        <v/>
      </c>
      <c r="E703" s="81">
        <f>IF(OR(Scale!$X183="",Scale!$X183=0),"",IF(Scale!$X183="","","مقابل: "&amp;Scale!$E183))</f>
        <v/>
      </c>
      <c r="F703" s="83" t="n"/>
      <c r="G703" s="83" t="n"/>
      <c r="H703" s="83" t="n"/>
      <c r="I703" s="83" t="n"/>
      <c r="J703" s="83" t="n"/>
      <c r="K703" s="82">
        <f>IF(OR(Scale!$X183="",Scale!$X183=0),"",IF(Scale!$Y183="",0,Scale!$Y183)+IF(Scale!$Z183="",0,Scale!$Z183))</f>
        <v/>
      </c>
      <c r="L703" s="82">
        <f>IF(OR(Scale!$X183="",Scale!$X183=0),"",Scale!$Y183)</f>
        <v/>
      </c>
      <c r="M703" s="82">
        <f>IF(OR(Scale!$X183="",Scale!$X183=0),"",Scale!$Z183)</f>
        <v/>
      </c>
      <c r="N703" s="81">
        <f>IF(OR(Scale!$X183="",Scale!$X183=0),"","مقابل")</f>
        <v/>
      </c>
      <c r="O703" s="81">
        <f>IF(OR(Scale!$X183="",Scale!$X183=0),"",IFERROR(VLOOKUP(Scale!$X183,AcctTbl,3,0),""))</f>
        <v/>
      </c>
      <c r="P703" s="82">
        <f>IF(Scale!$X183&lt;&gt;"X011","","BN02")</f>
        <v/>
      </c>
    </row>
    <row r="704" ht="20.25" customHeight="1">
      <c r="A704" s="80">
        <f>IF(OR(Scale!$AA183="",Scale!$AA183=0),"",Scale!$B183)</f>
        <v/>
      </c>
      <c r="B704" s="80">
        <f>IF(OR(Scale!$AA183="",Scale!$AA183=0),"",Scale!$D183)</f>
        <v/>
      </c>
      <c r="C704" s="80">
        <f>IF(OR(Scale!$AA183="",Scale!$AA183=0),"","باسکول")</f>
        <v/>
      </c>
      <c r="D704" s="80">
        <f>IF(OR(Scale!$AA183="",Scale!$AA183=0),"",Scale!$AA183)</f>
        <v/>
      </c>
      <c r="E704" s="81">
        <f>IF(OR(Scale!$AA183="",Scale!$AA183=0),"",IF(Scale!$AA183="","","پوز باسکول — "&amp;Scale!$E183))</f>
        <v/>
      </c>
      <c r="F704" s="83" t="n"/>
      <c r="G704" s="83" t="n"/>
      <c r="H704" s="83" t="n"/>
      <c r="I704" s="83" t="n"/>
      <c r="J704" s="83" t="n"/>
      <c r="K704" s="82">
        <f>IF(OR(Scale!$AA183="",Scale!$AA183=0),"",IF(Scale!$AB183="",0,Scale!$AB183)+IF(Scale!$AC183="",0,Scale!$AC183))</f>
        <v/>
      </c>
      <c r="L704" s="82">
        <f>IF(OR(Scale!$AA183="",Scale!$AA183=0),"",Scale!$AB183)</f>
        <v/>
      </c>
      <c r="M704" s="82">
        <f>IF(OR(Scale!$AA183="",Scale!$AA183=0),"",Scale!$AC183)</f>
        <v/>
      </c>
      <c r="N704" s="81">
        <f>IF(OR(Scale!$AA183="",Scale!$AA183=0),"","پوز")</f>
        <v/>
      </c>
      <c r="O704" s="81">
        <f>IF(OR(Scale!$AA183="",Scale!$AA183=0),"",IFERROR(VLOOKUP(Scale!$AA183,AcctTbl,3,0),""))</f>
        <v/>
      </c>
      <c r="P704" s="82">
        <f>IF(Scale!$AA183&lt;&gt;"X011","","BN02")</f>
        <v/>
      </c>
    </row>
    <row r="705" ht="20.25" customHeight="1">
      <c r="A705" s="80">
        <f>IF(OR(Scale!$AD183="",Scale!$AD183=0),"",Scale!$B183)</f>
        <v/>
      </c>
      <c r="B705" s="80">
        <f>IF(OR(Scale!$AD183="",Scale!$AD183=0),"",Scale!$D183)</f>
        <v/>
      </c>
      <c r="C705" s="80">
        <f>IF(OR(Scale!$AD183="",Scale!$AD183=0),"","باسکول")</f>
        <v/>
      </c>
      <c r="D705" s="80">
        <f>IF(OR(Scale!$AD183="",Scale!$AD183=0),"",Scale!$AD183)</f>
        <v/>
      </c>
      <c r="E705" s="81">
        <f>IF(OR(Scale!$AD183="",Scale!$AD183=0),"",IF(Scale!$AD183="","","مقابل پوز — "&amp;Scale!$E183))</f>
        <v/>
      </c>
      <c r="F705" s="83" t="n"/>
      <c r="G705" s="83" t="n"/>
      <c r="H705" s="83" t="n"/>
      <c r="I705" s="83" t="n"/>
      <c r="J705" s="83" t="n"/>
      <c r="K705" s="82">
        <f>IF(OR(Scale!$AD183="",Scale!$AD183=0),"",IF(Scale!$AE183="",0,Scale!$AE183)+IF(Scale!$AF183="",0,Scale!$AF183))</f>
        <v/>
      </c>
      <c r="L705" s="82">
        <f>IF(OR(Scale!$AD183="",Scale!$AD183=0),"",Scale!$AE183)</f>
        <v/>
      </c>
      <c r="M705" s="82">
        <f>IF(OR(Scale!$AD183="",Scale!$AD183=0),"",Scale!$AF183)</f>
        <v/>
      </c>
      <c r="N705" s="81">
        <f>IF(OR(Scale!$AD183="",Scale!$AD183=0),"","مقابل پوز")</f>
        <v/>
      </c>
      <c r="O705" s="81">
        <f>IF(OR(Scale!$AD183="",Scale!$AD183=0),"",IFERROR(VLOOKUP(Scale!$AD183,AcctTbl,3,0),""))</f>
        <v/>
      </c>
      <c r="P705" s="82">
        <f>IF(Scale!$AD183&lt;&gt;"X011","","BN02")</f>
        <v/>
      </c>
    </row>
    <row r="706" ht="20.25" customHeight="1">
      <c r="A706" s="80">
        <f>IF(OR(Scale!$U184="",Scale!$U184=0),"",Scale!$B184)</f>
        <v/>
      </c>
      <c r="B706" s="80">
        <f>IF(OR(Scale!$U184="",Scale!$U184=0),"",Scale!$D184)</f>
        <v/>
      </c>
      <c r="C706" s="80">
        <f>IF(OR(Scale!$U184="",Scale!$U184=0),"","باسکول")</f>
        <v/>
      </c>
      <c r="D706" s="80">
        <f>IF(OR(Scale!$U184="",Scale!$U184=0),"",Scale!$U184)</f>
        <v/>
      </c>
      <c r="E706" s="81">
        <f>IF(OR(Scale!$U184="",Scale!$U184=0),"",Scale!$T184)</f>
        <v/>
      </c>
      <c r="F706" s="81">
        <f>IF(OR(Scale!$U184="",Scale!$U184=0),"",Scale!$J184)</f>
        <v/>
      </c>
      <c r="G706" s="82">
        <f>IF(OR(Scale!$U184="",Scale!$U184=0),"",Scale!$M184)</f>
        <v/>
      </c>
      <c r="H706" s="82">
        <f>IF(OR(Scale!$U184="",Scale!$U184=0),"",Scale!$L184)</f>
        <v/>
      </c>
      <c r="I706" s="82">
        <f>IF(OR(Scale!$U184="",Scale!$U184=0),"",Scale!$N184)</f>
        <v/>
      </c>
      <c r="J706" s="82">
        <f>IF(OR(Scale!$U184="",Scale!$U184=0),"",Scale!$O184)</f>
        <v/>
      </c>
      <c r="K706" s="82">
        <f>IF(OR(Scale!$U184="",Scale!$U184=0),"",IF(Scale!$V184="",0,Scale!$V184)+IF(Scale!$W184="",0,Scale!$W184))</f>
        <v/>
      </c>
      <c r="L706" s="82">
        <f>IF(OR(Scale!$U184="",Scale!$U184=0),"",Scale!$V184)</f>
        <v/>
      </c>
      <c r="M706" s="82">
        <f>IF(OR(Scale!$U184="",Scale!$U184=0),"",Scale!$W184)</f>
        <v/>
      </c>
      <c r="N706" s="81">
        <f>IF(OR(Scale!$U184="",Scale!$U184=0),"",Scale!$E184)</f>
        <v/>
      </c>
      <c r="O706" s="81">
        <f>IF(OR(Scale!$U184="",Scale!$U184=0),"",IFERROR(VLOOKUP(Scale!$U184,AcctTbl,3,0),""))</f>
        <v/>
      </c>
      <c r="P706" s="82">
        <f>IF(Scale!$U184&lt;&gt;"X011","","BN02")</f>
        <v/>
      </c>
    </row>
    <row r="707" ht="20.25" customHeight="1">
      <c r="A707" s="80">
        <f>IF(OR(Scale!$X184="",Scale!$X184=0),"",Scale!$B184)</f>
        <v/>
      </c>
      <c r="B707" s="80">
        <f>IF(OR(Scale!$X184="",Scale!$X184=0),"",Scale!$D184)</f>
        <v/>
      </c>
      <c r="C707" s="80">
        <f>IF(OR(Scale!$X184="",Scale!$X184=0),"","باسکول")</f>
        <v/>
      </c>
      <c r="D707" s="80">
        <f>IF(OR(Scale!$X184="",Scale!$X184=0),"",Scale!$X184)</f>
        <v/>
      </c>
      <c r="E707" s="81">
        <f>IF(OR(Scale!$X184="",Scale!$X184=0),"",IF(Scale!$X184="","","مقابل: "&amp;Scale!$E184))</f>
        <v/>
      </c>
      <c r="F707" s="83" t="n"/>
      <c r="G707" s="83" t="n"/>
      <c r="H707" s="83" t="n"/>
      <c r="I707" s="83" t="n"/>
      <c r="J707" s="83" t="n"/>
      <c r="K707" s="82">
        <f>IF(OR(Scale!$X184="",Scale!$X184=0),"",IF(Scale!$Y184="",0,Scale!$Y184)+IF(Scale!$Z184="",0,Scale!$Z184))</f>
        <v/>
      </c>
      <c r="L707" s="82">
        <f>IF(OR(Scale!$X184="",Scale!$X184=0),"",Scale!$Y184)</f>
        <v/>
      </c>
      <c r="M707" s="82">
        <f>IF(OR(Scale!$X184="",Scale!$X184=0),"",Scale!$Z184)</f>
        <v/>
      </c>
      <c r="N707" s="81">
        <f>IF(OR(Scale!$X184="",Scale!$X184=0),"","مقابل")</f>
        <v/>
      </c>
      <c r="O707" s="81">
        <f>IF(OR(Scale!$X184="",Scale!$X184=0),"",IFERROR(VLOOKUP(Scale!$X184,AcctTbl,3,0),""))</f>
        <v/>
      </c>
      <c r="P707" s="82">
        <f>IF(Scale!$X184&lt;&gt;"X011","","BN02")</f>
        <v/>
      </c>
    </row>
    <row r="708" ht="20.25" customHeight="1">
      <c r="A708" s="80">
        <f>IF(OR(Scale!$AA184="",Scale!$AA184=0),"",Scale!$B184)</f>
        <v/>
      </c>
      <c r="B708" s="80">
        <f>IF(OR(Scale!$AA184="",Scale!$AA184=0),"",Scale!$D184)</f>
        <v/>
      </c>
      <c r="C708" s="80">
        <f>IF(OR(Scale!$AA184="",Scale!$AA184=0),"","باسکول")</f>
        <v/>
      </c>
      <c r="D708" s="80">
        <f>IF(OR(Scale!$AA184="",Scale!$AA184=0),"",Scale!$AA184)</f>
        <v/>
      </c>
      <c r="E708" s="81">
        <f>IF(OR(Scale!$AA184="",Scale!$AA184=0),"",IF(Scale!$AA184="","","پوز باسکول — "&amp;Scale!$E184))</f>
        <v/>
      </c>
      <c r="F708" s="83" t="n"/>
      <c r="G708" s="83" t="n"/>
      <c r="H708" s="83" t="n"/>
      <c r="I708" s="83" t="n"/>
      <c r="J708" s="83" t="n"/>
      <c r="K708" s="82">
        <f>IF(OR(Scale!$AA184="",Scale!$AA184=0),"",IF(Scale!$AB184="",0,Scale!$AB184)+IF(Scale!$AC184="",0,Scale!$AC184))</f>
        <v/>
      </c>
      <c r="L708" s="82">
        <f>IF(OR(Scale!$AA184="",Scale!$AA184=0),"",Scale!$AB184)</f>
        <v/>
      </c>
      <c r="M708" s="82">
        <f>IF(OR(Scale!$AA184="",Scale!$AA184=0),"",Scale!$AC184)</f>
        <v/>
      </c>
      <c r="N708" s="81">
        <f>IF(OR(Scale!$AA184="",Scale!$AA184=0),"","پوز")</f>
        <v/>
      </c>
      <c r="O708" s="81">
        <f>IF(OR(Scale!$AA184="",Scale!$AA184=0),"",IFERROR(VLOOKUP(Scale!$AA184,AcctTbl,3,0),""))</f>
        <v/>
      </c>
      <c r="P708" s="82">
        <f>IF(Scale!$AA184&lt;&gt;"X011","","BN02")</f>
        <v/>
      </c>
    </row>
    <row r="709" ht="20.25" customHeight="1">
      <c r="A709" s="80">
        <f>IF(OR(Scale!$AD184="",Scale!$AD184=0),"",Scale!$B184)</f>
        <v/>
      </c>
      <c r="B709" s="80">
        <f>IF(OR(Scale!$AD184="",Scale!$AD184=0),"",Scale!$D184)</f>
        <v/>
      </c>
      <c r="C709" s="80">
        <f>IF(OR(Scale!$AD184="",Scale!$AD184=0),"","باسکول")</f>
        <v/>
      </c>
      <c r="D709" s="80">
        <f>IF(OR(Scale!$AD184="",Scale!$AD184=0),"",Scale!$AD184)</f>
        <v/>
      </c>
      <c r="E709" s="81">
        <f>IF(OR(Scale!$AD184="",Scale!$AD184=0),"",IF(Scale!$AD184="","","مقابل پوز — "&amp;Scale!$E184))</f>
        <v/>
      </c>
      <c r="F709" s="83" t="n"/>
      <c r="G709" s="83" t="n"/>
      <c r="H709" s="83" t="n"/>
      <c r="I709" s="83" t="n"/>
      <c r="J709" s="83" t="n"/>
      <c r="K709" s="82">
        <f>IF(OR(Scale!$AD184="",Scale!$AD184=0),"",IF(Scale!$AE184="",0,Scale!$AE184)+IF(Scale!$AF184="",0,Scale!$AF184))</f>
        <v/>
      </c>
      <c r="L709" s="82">
        <f>IF(OR(Scale!$AD184="",Scale!$AD184=0),"",Scale!$AE184)</f>
        <v/>
      </c>
      <c r="M709" s="82">
        <f>IF(OR(Scale!$AD184="",Scale!$AD184=0),"",Scale!$AF184)</f>
        <v/>
      </c>
      <c r="N709" s="81">
        <f>IF(OR(Scale!$AD184="",Scale!$AD184=0),"","مقابل پوز")</f>
        <v/>
      </c>
      <c r="O709" s="81">
        <f>IF(OR(Scale!$AD184="",Scale!$AD184=0),"",IFERROR(VLOOKUP(Scale!$AD184,AcctTbl,3,0),""))</f>
        <v/>
      </c>
      <c r="P709" s="82">
        <f>IF(Scale!$AD184&lt;&gt;"X011","","BN02")</f>
        <v/>
      </c>
    </row>
    <row r="710" ht="20.25" customHeight="1">
      <c r="A710" s="80">
        <f>IF(OR(Scale!$U185="",Scale!$U185=0),"",Scale!$B185)</f>
        <v/>
      </c>
      <c r="B710" s="80">
        <f>IF(OR(Scale!$U185="",Scale!$U185=0),"",Scale!$D185)</f>
        <v/>
      </c>
      <c r="C710" s="80">
        <f>IF(OR(Scale!$U185="",Scale!$U185=0),"","باسکول")</f>
        <v/>
      </c>
      <c r="D710" s="80">
        <f>IF(OR(Scale!$U185="",Scale!$U185=0),"",Scale!$U185)</f>
        <v/>
      </c>
      <c r="E710" s="81">
        <f>IF(OR(Scale!$U185="",Scale!$U185=0),"",Scale!$T185)</f>
        <v/>
      </c>
      <c r="F710" s="81">
        <f>IF(OR(Scale!$U185="",Scale!$U185=0),"",Scale!$J185)</f>
        <v/>
      </c>
      <c r="G710" s="82">
        <f>IF(OR(Scale!$U185="",Scale!$U185=0),"",Scale!$M185)</f>
        <v/>
      </c>
      <c r="H710" s="82">
        <f>IF(OR(Scale!$U185="",Scale!$U185=0),"",Scale!$L185)</f>
        <v/>
      </c>
      <c r="I710" s="82">
        <f>IF(OR(Scale!$U185="",Scale!$U185=0),"",Scale!$N185)</f>
        <v/>
      </c>
      <c r="J710" s="82">
        <f>IF(OR(Scale!$U185="",Scale!$U185=0),"",Scale!$O185)</f>
        <v/>
      </c>
      <c r="K710" s="82">
        <f>IF(OR(Scale!$U185="",Scale!$U185=0),"",IF(Scale!$V185="",0,Scale!$V185)+IF(Scale!$W185="",0,Scale!$W185))</f>
        <v/>
      </c>
      <c r="L710" s="82">
        <f>IF(OR(Scale!$U185="",Scale!$U185=0),"",Scale!$V185)</f>
        <v/>
      </c>
      <c r="M710" s="82">
        <f>IF(OR(Scale!$U185="",Scale!$U185=0),"",Scale!$W185)</f>
        <v/>
      </c>
      <c r="N710" s="81">
        <f>IF(OR(Scale!$U185="",Scale!$U185=0),"",Scale!$E185)</f>
        <v/>
      </c>
      <c r="O710" s="81">
        <f>IF(OR(Scale!$U185="",Scale!$U185=0),"",IFERROR(VLOOKUP(Scale!$U185,AcctTbl,3,0),""))</f>
        <v/>
      </c>
      <c r="P710" s="82">
        <f>IF(Scale!$U185&lt;&gt;"X011","","BN02")</f>
        <v/>
      </c>
    </row>
    <row r="711" ht="20.25" customHeight="1">
      <c r="A711" s="80">
        <f>IF(OR(Scale!$X185="",Scale!$X185=0),"",Scale!$B185)</f>
        <v/>
      </c>
      <c r="B711" s="80">
        <f>IF(OR(Scale!$X185="",Scale!$X185=0),"",Scale!$D185)</f>
        <v/>
      </c>
      <c r="C711" s="80">
        <f>IF(OR(Scale!$X185="",Scale!$X185=0),"","باسکول")</f>
        <v/>
      </c>
      <c r="D711" s="80">
        <f>IF(OR(Scale!$X185="",Scale!$X185=0),"",Scale!$X185)</f>
        <v/>
      </c>
      <c r="E711" s="81">
        <f>IF(OR(Scale!$X185="",Scale!$X185=0),"",IF(Scale!$X185="","","مقابل: "&amp;Scale!$E185))</f>
        <v/>
      </c>
      <c r="F711" s="83" t="n"/>
      <c r="G711" s="83" t="n"/>
      <c r="H711" s="83" t="n"/>
      <c r="I711" s="83" t="n"/>
      <c r="J711" s="83" t="n"/>
      <c r="K711" s="82">
        <f>IF(OR(Scale!$X185="",Scale!$X185=0),"",IF(Scale!$Y185="",0,Scale!$Y185)+IF(Scale!$Z185="",0,Scale!$Z185))</f>
        <v/>
      </c>
      <c r="L711" s="82">
        <f>IF(OR(Scale!$X185="",Scale!$X185=0),"",Scale!$Y185)</f>
        <v/>
      </c>
      <c r="M711" s="82">
        <f>IF(OR(Scale!$X185="",Scale!$X185=0),"",Scale!$Z185)</f>
        <v/>
      </c>
      <c r="N711" s="81">
        <f>IF(OR(Scale!$X185="",Scale!$X185=0),"","مقابل")</f>
        <v/>
      </c>
      <c r="O711" s="81">
        <f>IF(OR(Scale!$X185="",Scale!$X185=0),"",IFERROR(VLOOKUP(Scale!$X185,AcctTbl,3,0),""))</f>
        <v/>
      </c>
      <c r="P711" s="82">
        <f>IF(Scale!$X185&lt;&gt;"X011","","BN02")</f>
        <v/>
      </c>
    </row>
    <row r="712" ht="20.25" customHeight="1">
      <c r="A712" s="80">
        <f>IF(OR(Scale!$AA185="",Scale!$AA185=0),"",Scale!$B185)</f>
        <v/>
      </c>
      <c r="B712" s="80">
        <f>IF(OR(Scale!$AA185="",Scale!$AA185=0),"",Scale!$D185)</f>
        <v/>
      </c>
      <c r="C712" s="80">
        <f>IF(OR(Scale!$AA185="",Scale!$AA185=0),"","باسکول")</f>
        <v/>
      </c>
      <c r="D712" s="80">
        <f>IF(OR(Scale!$AA185="",Scale!$AA185=0),"",Scale!$AA185)</f>
        <v/>
      </c>
      <c r="E712" s="81">
        <f>IF(OR(Scale!$AA185="",Scale!$AA185=0),"",IF(Scale!$AA185="","","پوز باسکول — "&amp;Scale!$E185))</f>
        <v/>
      </c>
      <c r="F712" s="83" t="n"/>
      <c r="G712" s="83" t="n"/>
      <c r="H712" s="83" t="n"/>
      <c r="I712" s="83" t="n"/>
      <c r="J712" s="83" t="n"/>
      <c r="K712" s="82">
        <f>IF(OR(Scale!$AA185="",Scale!$AA185=0),"",IF(Scale!$AB185="",0,Scale!$AB185)+IF(Scale!$AC185="",0,Scale!$AC185))</f>
        <v/>
      </c>
      <c r="L712" s="82">
        <f>IF(OR(Scale!$AA185="",Scale!$AA185=0),"",Scale!$AB185)</f>
        <v/>
      </c>
      <c r="M712" s="82">
        <f>IF(OR(Scale!$AA185="",Scale!$AA185=0),"",Scale!$AC185)</f>
        <v/>
      </c>
      <c r="N712" s="81">
        <f>IF(OR(Scale!$AA185="",Scale!$AA185=0),"","پوز")</f>
        <v/>
      </c>
      <c r="O712" s="81">
        <f>IF(OR(Scale!$AA185="",Scale!$AA185=0),"",IFERROR(VLOOKUP(Scale!$AA185,AcctTbl,3,0),""))</f>
        <v/>
      </c>
      <c r="P712" s="82">
        <f>IF(Scale!$AA185&lt;&gt;"X011","","BN02")</f>
        <v/>
      </c>
    </row>
    <row r="713" ht="20.25" customHeight="1">
      <c r="A713" s="80">
        <f>IF(OR(Scale!$AD185="",Scale!$AD185=0),"",Scale!$B185)</f>
        <v/>
      </c>
      <c r="B713" s="80">
        <f>IF(OR(Scale!$AD185="",Scale!$AD185=0),"",Scale!$D185)</f>
        <v/>
      </c>
      <c r="C713" s="80">
        <f>IF(OR(Scale!$AD185="",Scale!$AD185=0),"","باسکول")</f>
        <v/>
      </c>
      <c r="D713" s="80">
        <f>IF(OR(Scale!$AD185="",Scale!$AD185=0),"",Scale!$AD185)</f>
        <v/>
      </c>
      <c r="E713" s="81">
        <f>IF(OR(Scale!$AD185="",Scale!$AD185=0),"",IF(Scale!$AD185="","","مقابل پوز — "&amp;Scale!$E185))</f>
        <v/>
      </c>
      <c r="F713" s="83" t="n"/>
      <c r="G713" s="83" t="n"/>
      <c r="H713" s="83" t="n"/>
      <c r="I713" s="83" t="n"/>
      <c r="J713" s="83" t="n"/>
      <c r="K713" s="82">
        <f>IF(OR(Scale!$AD185="",Scale!$AD185=0),"",IF(Scale!$AE185="",0,Scale!$AE185)+IF(Scale!$AF185="",0,Scale!$AF185))</f>
        <v/>
      </c>
      <c r="L713" s="82">
        <f>IF(OR(Scale!$AD185="",Scale!$AD185=0),"",Scale!$AE185)</f>
        <v/>
      </c>
      <c r="M713" s="82">
        <f>IF(OR(Scale!$AD185="",Scale!$AD185=0),"",Scale!$AF185)</f>
        <v/>
      </c>
      <c r="N713" s="81">
        <f>IF(OR(Scale!$AD185="",Scale!$AD185=0),"","مقابل پوز")</f>
        <v/>
      </c>
      <c r="O713" s="81">
        <f>IF(OR(Scale!$AD185="",Scale!$AD185=0),"",IFERROR(VLOOKUP(Scale!$AD185,AcctTbl,3,0),""))</f>
        <v/>
      </c>
      <c r="P713" s="82">
        <f>IF(Scale!$AD185&lt;&gt;"X011","","BN02")</f>
        <v/>
      </c>
    </row>
    <row r="714" ht="20.25" customHeight="1">
      <c r="A714" s="80">
        <f>IF(OR(Scale!$U186="",Scale!$U186=0),"",Scale!$B186)</f>
        <v/>
      </c>
      <c r="B714" s="80">
        <f>IF(OR(Scale!$U186="",Scale!$U186=0),"",Scale!$D186)</f>
        <v/>
      </c>
      <c r="C714" s="80">
        <f>IF(OR(Scale!$U186="",Scale!$U186=0),"","باسکول")</f>
        <v/>
      </c>
      <c r="D714" s="80">
        <f>IF(OR(Scale!$U186="",Scale!$U186=0),"",Scale!$U186)</f>
        <v/>
      </c>
      <c r="E714" s="81">
        <f>IF(OR(Scale!$U186="",Scale!$U186=0),"",Scale!$T186)</f>
        <v/>
      </c>
      <c r="F714" s="81">
        <f>IF(OR(Scale!$U186="",Scale!$U186=0),"",Scale!$J186)</f>
        <v/>
      </c>
      <c r="G714" s="82">
        <f>IF(OR(Scale!$U186="",Scale!$U186=0),"",Scale!$M186)</f>
        <v/>
      </c>
      <c r="H714" s="82">
        <f>IF(OR(Scale!$U186="",Scale!$U186=0),"",Scale!$L186)</f>
        <v/>
      </c>
      <c r="I714" s="82">
        <f>IF(OR(Scale!$U186="",Scale!$U186=0),"",Scale!$N186)</f>
        <v/>
      </c>
      <c r="J714" s="82">
        <f>IF(OR(Scale!$U186="",Scale!$U186=0),"",Scale!$O186)</f>
        <v/>
      </c>
      <c r="K714" s="82">
        <f>IF(OR(Scale!$U186="",Scale!$U186=0),"",IF(Scale!$V186="",0,Scale!$V186)+IF(Scale!$W186="",0,Scale!$W186))</f>
        <v/>
      </c>
      <c r="L714" s="82">
        <f>IF(OR(Scale!$U186="",Scale!$U186=0),"",Scale!$V186)</f>
        <v/>
      </c>
      <c r="M714" s="82">
        <f>IF(OR(Scale!$U186="",Scale!$U186=0),"",Scale!$W186)</f>
        <v/>
      </c>
      <c r="N714" s="81">
        <f>IF(OR(Scale!$U186="",Scale!$U186=0),"",Scale!$E186)</f>
        <v/>
      </c>
      <c r="O714" s="81">
        <f>IF(OR(Scale!$U186="",Scale!$U186=0),"",IFERROR(VLOOKUP(Scale!$U186,AcctTbl,3,0),""))</f>
        <v/>
      </c>
      <c r="P714" s="82">
        <f>IF(Scale!$U186&lt;&gt;"X011","","BN02")</f>
        <v/>
      </c>
    </row>
    <row r="715" ht="20.25" customHeight="1">
      <c r="A715" s="80">
        <f>IF(OR(Scale!$X186="",Scale!$X186=0),"",Scale!$B186)</f>
        <v/>
      </c>
      <c r="B715" s="80">
        <f>IF(OR(Scale!$X186="",Scale!$X186=0),"",Scale!$D186)</f>
        <v/>
      </c>
      <c r="C715" s="80">
        <f>IF(OR(Scale!$X186="",Scale!$X186=0),"","باسکول")</f>
        <v/>
      </c>
      <c r="D715" s="80">
        <f>IF(OR(Scale!$X186="",Scale!$X186=0),"",Scale!$X186)</f>
        <v/>
      </c>
      <c r="E715" s="81">
        <f>IF(OR(Scale!$X186="",Scale!$X186=0),"",IF(Scale!$X186="","","مقابل: "&amp;Scale!$E186))</f>
        <v/>
      </c>
      <c r="F715" s="83" t="n"/>
      <c r="G715" s="83" t="n"/>
      <c r="H715" s="83" t="n"/>
      <c r="I715" s="83" t="n"/>
      <c r="J715" s="83" t="n"/>
      <c r="K715" s="82">
        <f>IF(OR(Scale!$X186="",Scale!$X186=0),"",IF(Scale!$Y186="",0,Scale!$Y186)+IF(Scale!$Z186="",0,Scale!$Z186))</f>
        <v/>
      </c>
      <c r="L715" s="82">
        <f>IF(OR(Scale!$X186="",Scale!$X186=0),"",Scale!$Y186)</f>
        <v/>
      </c>
      <c r="M715" s="82">
        <f>IF(OR(Scale!$X186="",Scale!$X186=0),"",Scale!$Z186)</f>
        <v/>
      </c>
      <c r="N715" s="81">
        <f>IF(OR(Scale!$X186="",Scale!$X186=0),"","مقابل")</f>
        <v/>
      </c>
      <c r="O715" s="81">
        <f>IF(OR(Scale!$X186="",Scale!$X186=0),"",IFERROR(VLOOKUP(Scale!$X186,AcctTbl,3,0),""))</f>
        <v/>
      </c>
      <c r="P715" s="82">
        <f>IF(Scale!$X186&lt;&gt;"X011","","BN02")</f>
        <v/>
      </c>
    </row>
    <row r="716" ht="20.25" customHeight="1">
      <c r="A716" s="80">
        <f>IF(OR(Scale!$AA186="",Scale!$AA186=0),"",Scale!$B186)</f>
        <v/>
      </c>
      <c r="B716" s="80">
        <f>IF(OR(Scale!$AA186="",Scale!$AA186=0),"",Scale!$D186)</f>
        <v/>
      </c>
      <c r="C716" s="80">
        <f>IF(OR(Scale!$AA186="",Scale!$AA186=0),"","باسکول")</f>
        <v/>
      </c>
      <c r="D716" s="80">
        <f>IF(OR(Scale!$AA186="",Scale!$AA186=0),"",Scale!$AA186)</f>
        <v/>
      </c>
      <c r="E716" s="81">
        <f>IF(OR(Scale!$AA186="",Scale!$AA186=0),"",IF(Scale!$AA186="","","پوز باسکول — "&amp;Scale!$E186))</f>
        <v/>
      </c>
      <c r="F716" s="83" t="n"/>
      <c r="G716" s="83" t="n"/>
      <c r="H716" s="83" t="n"/>
      <c r="I716" s="83" t="n"/>
      <c r="J716" s="83" t="n"/>
      <c r="K716" s="82">
        <f>IF(OR(Scale!$AA186="",Scale!$AA186=0),"",IF(Scale!$AB186="",0,Scale!$AB186)+IF(Scale!$AC186="",0,Scale!$AC186))</f>
        <v/>
      </c>
      <c r="L716" s="82">
        <f>IF(OR(Scale!$AA186="",Scale!$AA186=0),"",Scale!$AB186)</f>
        <v/>
      </c>
      <c r="M716" s="82">
        <f>IF(OR(Scale!$AA186="",Scale!$AA186=0),"",Scale!$AC186)</f>
        <v/>
      </c>
      <c r="N716" s="81">
        <f>IF(OR(Scale!$AA186="",Scale!$AA186=0),"","پوز")</f>
        <v/>
      </c>
      <c r="O716" s="81">
        <f>IF(OR(Scale!$AA186="",Scale!$AA186=0),"",IFERROR(VLOOKUP(Scale!$AA186,AcctTbl,3,0),""))</f>
        <v/>
      </c>
      <c r="P716" s="82">
        <f>IF(Scale!$AA186&lt;&gt;"X011","","BN02")</f>
        <v/>
      </c>
    </row>
    <row r="717" ht="20.25" customHeight="1">
      <c r="A717" s="80">
        <f>IF(OR(Scale!$AD186="",Scale!$AD186=0),"",Scale!$B186)</f>
        <v/>
      </c>
      <c r="B717" s="80">
        <f>IF(OR(Scale!$AD186="",Scale!$AD186=0),"",Scale!$D186)</f>
        <v/>
      </c>
      <c r="C717" s="80">
        <f>IF(OR(Scale!$AD186="",Scale!$AD186=0),"","باسکول")</f>
        <v/>
      </c>
      <c r="D717" s="80">
        <f>IF(OR(Scale!$AD186="",Scale!$AD186=0),"",Scale!$AD186)</f>
        <v/>
      </c>
      <c r="E717" s="81">
        <f>IF(OR(Scale!$AD186="",Scale!$AD186=0),"",IF(Scale!$AD186="","","مقابل پوز — "&amp;Scale!$E186))</f>
        <v/>
      </c>
      <c r="F717" s="83" t="n"/>
      <c r="G717" s="83" t="n"/>
      <c r="H717" s="83" t="n"/>
      <c r="I717" s="83" t="n"/>
      <c r="J717" s="83" t="n"/>
      <c r="K717" s="82">
        <f>IF(OR(Scale!$AD186="",Scale!$AD186=0),"",IF(Scale!$AE186="",0,Scale!$AE186)+IF(Scale!$AF186="",0,Scale!$AF186))</f>
        <v/>
      </c>
      <c r="L717" s="82">
        <f>IF(OR(Scale!$AD186="",Scale!$AD186=0),"",Scale!$AE186)</f>
        <v/>
      </c>
      <c r="M717" s="82">
        <f>IF(OR(Scale!$AD186="",Scale!$AD186=0),"",Scale!$AF186)</f>
        <v/>
      </c>
      <c r="N717" s="81">
        <f>IF(OR(Scale!$AD186="",Scale!$AD186=0),"","مقابل پوز")</f>
        <v/>
      </c>
      <c r="O717" s="81">
        <f>IF(OR(Scale!$AD186="",Scale!$AD186=0),"",IFERROR(VLOOKUP(Scale!$AD186,AcctTbl,3,0),""))</f>
        <v/>
      </c>
      <c r="P717" s="82">
        <f>IF(Scale!$AD186&lt;&gt;"X011","","BN02")</f>
        <v/>
      </c>
    </row>
    <row r="718" ht="20.25" customHeight="1">
      <c r="A718" s="80">
        <f>IF(OR(Scale!$U187="",Scale!$U187=0),"",Scale!$B187)</f>
        <v/>
      </c>
      <c r="B718" s="80">
        <f>IF(OR(Scale!$U187="",Scale!$U187=0),"",Scale!$D187)</f>
        <v/>
      </c>
      <c r="C718" s="80">
        <f>IF(OR(Scale!$U187="",Scale!$U187=0),"","باسکول")</f>
        <v/>
      </c>
      <c r="D718" s="80">
        <f>IF(OR(Scale!$U187="",Scale!$U187=0),"",Scale!$U187)</f>
        <v/>
      </c>
      <c r="E718" s="81">
        <f>IF(OR(Scale!$U187="",Scale!$U187=0),"",Scale!$T187)</f>
        <v/>
      </c>
      <c r="F718" s="81">
        <f>IF(OR(Scale!$U187="",Scale!$U187=0),"",Scale!$J187)</f>
        <v/>
      </c>
      <c r="G718" s="82">
        <f>IF(OR(Scale!$U187="",Scale!$U187=0),"",Scale!$M187)</f>
        <v/>
      </c>
      <c r="H718" s="82">
        <f>IF(OR(Scale!$U187="",Scale!$U187=0),"",Scale!$L187)</f>
        <v/>
      </c>
      <c r="I718" s="82">
        <f>IF(OR(Scale!$U187="",Scale!$U187=0),"",Scale!$N187)</f>
        <v/>
      </c>
      <c r="J718" s="82">
        <f>IF(OR(Scale!$U187="",Scale!$U187=0),"",Scale!$O187)</f>
        <v/>
      </c>
      <c r="K718" s="82">
        <f>IF(OR(Scale!$U187="",Scale!$U187=0),"",IF(Scale!$V187="",0,Scale!$V187)+IF(Scale!$W187="",0,Scale!$W187))</f>
        <v/>
      </c>
      <c r="L718" s="82">
        <f>IF(OR(Scale!$U187="",Scale!$U187=0),"",Scale!$V187)</f>
        <v/>
      </c>
      <c r="M718" s="82">
        <f>IF(OR(Scale!$U187="",Scale!$U187=0),"",Scale!$W187)</f>
        <v/>
      </c>
      <c r="N718" s="81">
        <f>IF(OR(Scale!$U187="",Scale!$U187=0),"",Scale!$E187)</f>
        <v/>
      </c>
      <c r="O718" s="81">
        <f>IF(OR(Scale!$U187="",Scale!$U187=0),"",IFERROR(VLOOKUP(Scale!$U187,AcctTbl,3,0),""))</f>
        <v/>
      </c>
      <c r="P718" s="82">
        <f>IF(Scale!$U187&lt;&gt;"X011","","BN02")</f>
        <v/>
      </c>
    </row>
    <row r="719" ht="20.25" customHeight="1">
      <c r="A719" s="80">
        <f>IF(OR(Scale!$X187="",Scale!$X187=0),"",Scale!$B187)</f>
        <v/>
      </c>
      <c r="B719" s="80">
        <f>IF(OR(Scale!$X187="",Scale!$X187=0),"",Scale!$D187)</f>
        <v/>
      </c>
      <c r="C719" s="80">
        <f>IF(OR(Scale!$X187="",Scale!$X187=0),"","باسکول")</f>
        <v/>
      </c>
      <c r="D719" s="80">
        <f>IF(OR(Scale!$X187="",Scale!$X187=0),"",Scale!$X187)</f>
        <v/>
      </c>
      <c r="E719" s="81">
        <f>IF(OR(Scale!$X187="",Scale!$X187=0),"",IF(Scale!$X187="","","مقابل: "&amp;Scale!$E187))</f>
        <v/>
      </c>
      <c r="F719" s="83" t="n"/>
      <c r="G719" s="83" t="n"/>
      <c r="H719" s="83" t="n"/>
      <c r="I719" s="83" t="n"/>
      <c r="J719" s="83" t="n"/>
      <c r="K719" s="82">
        <f>IF(OR(Scale!$X187="",Scale!$X187=0),"",IF(Scale!$Y187="",0,Scale!$Y187)+IF(Scale!$Z187="",0,Scale!$Z187))</f>
        <v/>
      </c>
      <c r="L719" s="82">
        <f>IF(OR(Scale!$X187="",Scale!$X187=0),"",Scale!$Y187)</f>
        <v/>
      </c>
      <c r="M719" s="82">
        <f>IF(OR(Scale!$X187="",Scale!$X187=0),"",Scale!$Z187)</f>
        <v/>
      </c>
      <c r="N719" s="81">
        <f>IF(OR(Scale!$X187="",Scale!$X187=0),"","مقابل")</f>
        <v/>
      </c>
      <c r="O719" s="81">
        <f>IF(OR(Scale!$X187="",Scale!$X187=0),"",IFERROR(VLOOKUP(Scale!$X187,AcctTbl,3,0),""))</f>
        <v/>
      </c>
      <c r="P719" s="82">
        <f>IF(Scale!$X187&lt;&gt;"X011","","BN02")</f>
        <v/>
      </c>
    </row>
    <row r="720" ht="20.25" customHeight="1">
      <c r="A720" s="80">
        <f>IF(OR(Scale!$AA187="",Scale!$AA187=0),"",Scale!$B187)</f>
        <v/>
      </c>
      <c r="B720" s="80">
        <f>IF(OR(Scale!$AA187="",Scale!$AA187=0),"",Scale!$D187)</f>
        <v/>
      </c>
      <c r="C720" s="80">
        <f>IF(OR(Scale!$AA187="",Scale!$AA187=0),"","باسکول")</f>
        <v/>
      </c>
      <c r="D720" s="80">
        <f>IF(OR(Scale!$AA187="",Scale!$AA187=0),"",Scale!$AA187)</f>
        <v/>
      </c>
      <c r="E720" s="81">
        <f>IF(OR(Scale!$AA187="",Scale!$AA187=0),"",IF(Scale!$AA187="","","پوز باسکول — "&amp;Scale!$E187))</f>
        <v/>
      </c>
      <c r="F720" s="83" t="n"/>
      <c r="G720" s="83" t="n"/>
      <c r="H720" s="83" t="n"/>
      <c r="I720" s="83" t="n"/>
      <c r="J720" s="83" t="n"/>
      <c r="K720" s="82">
        <f>IF(OR(Scale!$AA187="",Scale!$AA187=0),"",IF(Scale!$AB187="",0,Scale!$AB187)+IF(Scale!$AC187="",0,Scale!$AC187))</f>
        <v/>
      </c>
      <c r="L720" s="82">
        <f>IF(OR(Scale!$AA187="",Scale!$AA187=0),"",Scale!$AB187)</f>
        <v/>
      </c>
      <c r="M720" s="82">
        <f>IF(OR(Scale!$AA187="",Scale!$AA187=0),"",Scale!$AC187)</f>
        <v/>
      </c>
      <c r="N720" s="81">
        <f>IF(OR(Scale!$AA187="",Scale!$AA187=0),"","پوز")</f>
        <v/>
      </c>
      <c r="O720" s="81">
        <f>IF(OR(Scale!$AA187="",Scale!$AA187=0),"",IFERROR(VLOOKUP(Scale!$AA187,AcctTbl,3,0),""))</f>
        <v/>
      </c>
      <c r="P720" s="82">
        <f>IF(Scale!$AA187&lt;&gt;"X011","","BN02")</f>
        <v/>
      </c>
    </row>
    <row r="721" ht="20.25" customHeight="1">
      <c r="A721" s="80">
        <f>IF(OR(Scale!$AD187="",Scale!$AD187=0),"",Scale!$B187)</f>
        <v/>
      </c>
      <c r="B721" s="80">
        <f>IF(OR(Scale!$AD187="",Scale!$AD187=0),"",Scale!$D187)</f>
        <v/>
      </c>
      <c r="C721" s="80">
        <f>IF(OR(Scale!$AD187="",Scale!$AD187=0),"","باسکول")</f>
        <v/>
      </c>
      <c r="D721" s="80">
        <f>IF(OR(Scale!$AD187="",Scale!$AD187=0),"",Scale!$AD187)</f>
        <v/>
      </c>
      <c r="E721" s="81">
        <f>IF(OR(Scale!$AD187="",Scale!$AD187=0),"",IF(Scale!$AD187="","","مقابل پوز — "&amp;Scale!$E187))</f>
        <v/>
      </c>
      <c r="F721" s="83" t="n"/>
      <c r="G721" s="83" t="n"/>
      <c r="H721" s="83" t="n"/>
      <c r="I721" s="83" t="n"/>
      <c r="J721" s="83" t="n"/>
      <c r="K721" s="82">
        <f>IF(OR(Scale!$AD187="",Scale!$AD187=0),"",IF(Scale!$AE187="",0,Scale!$AE187)+IF(Scale!$AF187="",0,Scale!$AF187))</f>
        <v/>
      </c>
      <c r="L721" s="82">
        <f>IF(OR(Scale!$AD187="",Scale!$AD187=0),"",Scale!$AE187)</f>
        <v/>
      </c>
      <c r="M721" s="82">
        <f>IF(OR(Scale!$AD187="",Scale!$AD187=0),"",Scale!$AF187)</f>
        <v/>
      </c>
      <c r="N721" s="81">
        <f>IF(OR(Scale!$AD187="",Scale!$AD187=0),"","مقابل پوز")</f>
        <v/>
      </c>
      <c r="O721" s="81">
        <f>IF(OR(Scale!$AD187="",Scale!$AD187=0),"",IFERROR(VLOOKUP(Scale!$AD187,AcctTbl,3,0),""))</f>
        <v/>
      </c>
      <c r="P721" s="82">
        <f>IF(Scale!$AD187&lt;&gt;"X011","","BN02")</f>
        <v/>
      </c>
    </row>
    <row r="722" ht="20.25" customHeight="1">
      <c r="A722" s="80">
        <f>IF(OR(Scale!$U188="",Scale!$U188=0),"",Scale!$B188)</f>
        <v/>
      </c>
      <c r="B722" s="80">
        <f>IF(OR(Scale!$U188="",Scale!$U188=0),"",Scale!$D188)</f>
        <v/>
      </c>
      <c r="C722" s="80">
        <f>IF(OR(Scale!$U188="",Scale!$U188=0),"","باسکول")</f>
        <v/>
      </c>
      <c r="D722" s="80">
        <f>IF(OR(Scale!$U188="",Scale!$U188=0),"",Scale!$U188)</f>
        <v/>
      </c>
      <c r="E722" s="81">
        <f>IF(OR(Scale!$U188="",Scale!$U188=0),"",Scale!$T188)</f>
        <v/>
      </c>
      <c r="F722" s="81">
        <f>IF(OR(Scale!$U188="",Scale!$U188=0),"",Scale!$J188)</f>
        <v/>
      </c>
      <c r="G722" s="82">
        <f>IF(OR(Scale!$U188="",Scale!$U188=0),"",Scale!$M188)</f>
        <v/>
      </c>
      <c r="H722" s="82">
        <f>IF(OR(Scale!$U188="",Scale!$U188=0),"",Scale!$L188)</f>
        <v/>
      </c>
      <c r="I722" s="82">
        <f>IF(OR(Scale!$U188="",Scale!$U188=0),"",Scale!$N188)</f>
        <v/>
      </c>
      <c r="J722" s="82">
        <f>IF(OR(Scale!$U188="",Scale!$U188=0),"",Scale!$O188)</f>
        <v/>
      </c>
      <c r="K722" s="82">
        <f>IF(OR(Scale!$U188="",Scale!$U188=0),"",IF(Scale!$V188="",0,Scale!$V188)+IF(Scale!$W188="",0,Scale!$W188))</f>
        <v/>
      </c>
      <c r="L722" s="82">
        <f>IF(OR(Scale!$U188="",Scale!$U188=0),"",Scale!$V188)</f>
        <v/>
      </c>
      <c r="M722" s="82">
        <f>IF(OR(Scale!$U188="",Scale!$U188=0),"",Scale!$W188)</f>
        <v/>
      </c>
      <c r="N722" s="81">
        <f>IF(OR(Scale!$U188="",Scale!$U188=0),"",Scale!$E188)</f>
        <v/>
      </c>
      <c r="O722" s="81">
        <f>IF(OR(Scale!$U188="",Scale!$U188=0),"",IFERROR(VLOOKUP(Scale!$U188,AcctTbl,3,0),""))</f>
        <v/>
      </c>
      <c r="P722" s="82">
        <f>IF(Scale!$U188&lt;&gt;"X011","","BN02")</f>
        <v/>
      </c>
    </row>
    <row r="723" ht="20.25" customHeight="1">
      <c r="A723" s="80">
        <f>IF(OR(Scale!$X188="",Scale!$X188=0),"",Scale!$B188)</f>
        <v/>
      </c>
      <c r="B723" s="80">
        <f>IF(OR(Scale!$X188="",Scale!$X188=0),"",Scale!$D188)</f>
        <v/>
      </c>
      <c r="C723" s="80">
        <f>IF(OR(Scale!$X188="",Scale!$X188=0),"","باسکول")</f>
        <v/>
      </c>
      <c r="D723" s="80">
        <f>IF(OR(Scale!$X188="",Scale!$X188=0),"",Scale!$X188)</f>
        <v/>
      </c>
      <c r="E723" s="81">
        <f>IF(OR(Scale!$X188="",Scale!$X188=0),"",IF(Scale!$X188="","","مقابل: "&amp;Scale!$E188))</f>
        <v/>
      </c>
      <c r="F723" s="83" t="n"/>
      <c r="G723" s="83" t="n"/>
      <c r="H723" s="83" t="n"/>
      <c r="I723" s="83" t="n"/>
      <c r="J723" s="83" t="n"/>
      <c r="K723" s="82">
        <f>IF(OR(Scale!$X188="",Scale!$X188=0),"",IF(Scale!$Y188="",0,Scale!$Y188)+IF(Scale!$Z188="",0,Scale!$Z188))</f>
        <v/>
      </c>
      <c r="L723" s="82">
        <f>IF(OR(Scale!$X188="",Scale!$X188=0),"",Scale!$Y188)</f>
        <v/>
      </c>
      <c r="M723" s="82">
        <f>IF(OR(Scale!$X188="",Scale!$X188=0),"",Scale!$Z188)</f>
        <v/>
      </c>
      <c r="N723" s="81">
        <f>IF(OR(Scale!$X188="",Scale!$X188=0),"","مقابل")</f>
        <v/>
      </c>
      <c r="O723" s="81">
        <f>IF(OR(Scale!$X188="",Scale!$X188=0),"",IFERROR(VLOOKUP(Scale!$X188,AcctTbl,3,0),""))</f>
        <v/>
      </c>
      <c r="P723" s="82">
        <f>IF(Scale!$X188&lt;&gt;"X011","","BN02")</f>
        <v/>
      </c>
    </row>
    <row r="724" ht="20.25" customHeight="1">
      <c r="A724" s="80">
        <f>IF(OR(Scale!$AA188="",Scale!$AA188=0),"",Scale!$B188)</f>
        <v/>
      </c>
      <c r="B724" s="80">
        <f>IF(OR(Scale!$AA188="",Scale!$AA188=0),"",Scale!$D188)</f>
        <v/>
      </c>
      <c r="C724" s="80">
        <f>IF(OR(Scale!$AA188="",Scale!$AA188=0),"","باسکول")</f>
        <v/>
      </c>
      <c r="D724" s="80">
        <f>IF(OR(Scale!$AA188="",Scale!$AA188=0),"",Scale!$AA188)</f>
        <v/>
      </c>
      <c r="E724" s="81">
        <f>IF(OR(Scale!$AA188="",Scale!$AA188=0),"",IF(Scale!$AA188="","","پوز باسکول — "&amp;Scale!$E188))</f>
        <v/>
      </c>
      <c r="F724" s="83" t="n"/>
      <c r="G724" s="83" t="n"/>
      <c r="H724" s="83" t="n"/>
      <c r="I724" s="83" t="n"/>
      <c r="J724" s="83" t="n"/>
      <c r="K724" s="82">
        <f>IF(OR(Scale!$AA188="",Scale!$AA188=0),"",IF(Scale!$AB188="",0,Scale!$AB188)+IF(Scale!$AC188="",0,Scale!$AC188))</f>
        <v/>
      </c>
      <c r="L724" s="82">
        <f>IF(OR(Scale!$AA188="",Scale!$AA188=0),"",Scale!$AB188)</f>
        <v/>
      </c>
      <c r="M724" s="82">
        <f>IF(OR(Scale!$AA188="",Scale!$AA188=0),"",Scale!$AC188)</f>
        <v/>
      </c>
      <c r="N724" s="81">
        <f>IF(OR(Scale!$AA188="",Scale!$AA188=0),"","پوز")</f>
        <v/>
      </c>
      <c r="O724" s="81">
        <f>IF(OR(Scale!$AA188="",Scale!$AA188=0),"",IFERROR(VLOOKUP(Scale!$AA188,AcctTbl,3,0),""))</f>
        <v/>
      </c>
      <c r="P724" s="82">
        <f>IF(Scale!$AA188&lt;&gt;"X011","","BN02")</f>
        <v/>
      </c>
    </row>
    <row r="725" ht="20.25" customHeight="1">
      <c r="A725" s="80">
        <f>IF(OR(Scale!$AD188="",Scale!$AD188=0),"",Scale!$B188)</f>
        <v/>
      </c>
      <c r="B725" s="80">
        <f>IF(OR(Scale!$AD188="",Scale!$AD188=0),"",Scale!$D188)</f>
        <v/>
      </c>
      <c r="C725" s="80">
        <f>IF(OR(Scale!$AD188="",Scale!$AD188=0),"","باسکول")</f>
        <v/>
      </c>
      <c r="D725" s="80">
        <f>IF(OR(Scale!$AD188="",Scale!$AD188=0),"",Scale!$AD188)</f>
        <v/>
      </c>
      <c r="E725" s="81">
        <f>IF(OR(Scale!$AD188="",Scale!$AD188=0),"",IF(Scale!$AD188="","","مقابل پوز — "&amp;Scale!$E188))</f>
        <v/>
      </c>
      <c r="F725" s="83" t="n"/>
      <c r="G725" s="83" t="n"/>
      <c r="H725" s="83" t="n"/>
      <c r="I725" s="83" t="n"/>
      <c r="J725" s="83" t="n"/>
      <c r="K725" s="82">
        <f>IF(OR(Scale!$AD188="",Scale!$AD188=0),"",IF(Scale!$AE188="",0,Scale!$AE188)+IF(Scale!$AF188="",0,Scale!$AF188))</f>
        <v/>
      </c>
      <c r="L725" s="82">
        <f>IF(OR(Scale!$AD188="",Scale!$AD188=0),"",Scale!$AE188)</f>
        <v/>
      </c>
      <c r="M725" s="82">
        <f>IF(OR(Scale!$AD188="",Scale!$AD188=0),"",Scale!$AF188)</f>
        <v/>
      </c>
      <c r="N725" s="81">
        <f>IF(OR(Scale!$AD188="",Scale!$AD188=0),"","مقابل پوز")</f>
        <v/>
      </c>
      <c r="O725" s="81">
        <f>IF(OR(Scale!$AD188="",Scale!$AD188=0),"",IFERROR(VLOOKUP(Scale!$AD188,AcctTbl,3,0),""))</f>
        <v/>
      </c>
      <c r="P725" s="82">
        <f>IF(Scale!$AD188&lt;&gt;"X011","","BN02")</f>
        <v/>
      </c>
    </row>
    <row r="726" ht="20.25" customHeight="1">
      <c r="A726" s="80">
        <f>IF(OR(Scale!$U189="",Scale!$U189=0),"",Scale!$B189)</f>
        <v/>
      </c>
      <c r="B726" s="80">
        <f>IF(OR(Scale!$U189="",Scale!$U189=0),"",Scale!$D189)</f>
        <v/>
      </c>
      <c r="C726" s="80">
        <f>IF(OR(Scale!$U189="",Scale!$U189=0),"","باسکول")</f>
        <v/>
      </c>
      <c r="D726" s="80">
        <f>IF(OR(Scale!$U189="",Scale!$U189=0),"",Scale!$U189)</f>
        <v/>
      </c>
      <c r="E726" s="81">
        <f>IF(OR(Scale!$U189="",Scale!$U189=0),"",Scale!$T189)</f>
        <v/>
      </c>
      <c r="F726" s="81">
        <f>IF(OR(Scale!$U189="",Scale!$U189=0),"",Scale!$J189)</f>
        <v/>
      </c>
      <c r="G726" s="82">
        <f>IF(OR(Scale!$U189="",Scale!$U189=0),"",Scale!$M189)</f>
        <v/>
      </c>
      <c r="H726" s="82">
        <f>IF(OR(Scale!$U189="",Scale!$U189=0),"",Scale!$L189)</f>
        <v/>
      </c>
      <c r="I726" s="82">
        <f>IF(OR(Scale!$U189="",Scale!$U189=0),"",Scale!$N189)</f>
        <v/>
      </c>
      <c r="J726" s="82">
        <f>IF(OR(Scale!$U189="",Scale!$U189=0),"",Scale!$O189)</f>
        <v/>
      </c>
      <c r="K726" s="82">
        <f>IF(OR(Scale!$U189="",Scale!$U189=0),"",IF(Scale!$V189="",0,Scale!$V189)+IF(Scale!$W189="",0,Scale!$W189))</f>
        <v/>
      </c>
      <c r="L726" s="82">
        <f>IF(OR(Scale!$U189="",Scale!$U189=0),"",Scale!$V189)</f>
        <v/>
      </c>
      <c r="M726" s="82">
        <f>IF(OR(Scale!$U189="",Scale!$U189=0),"",Scale!$W189)</f>
        <v/>
      </c>
      <c r="N726" s="81">
        <f>IF(OR(Scale!$U189="",Scale!$U189=0),"",Scale!$E189)</f>
        <v/>
      </c>
      <c r="O726" s="81">
        <f>IF(OR(Scale!$U189="",Scale!$U189=0),"",IFERROR(VLOOKUP(Scale!$U189,AcctTbl,3,0),""))</f>
        <v/>
      </c>
      <c r="P726" s="82">
        <f>IF(Scale!$U189&lt;&gt;"X011","","BN02")</f>
        <v/>
      </c>
    </row>
    <row r="727" ht="20.25" customHeight="1">
      <c r="A727" s="80">
        <f>IF(OR(Scale!$X189="",Scale!$X189=0),"",Scale!$B189)</f>
        <v/>
      </c>
      <c r="B727" s="80">
        <f>IF(OR(Scale!$X189="",Scale!$X189=0),"",Scale!$D189)</f>
        <v/>
      </c>
      <c r="C727" s="80">
        <f>IF(OR(Scale!$X189="",Scale!$X189=0),"","باسکول")</f>
        <v/>
      </c>
      <c r="D727" s="80">
        <f>IF(OR(Scale!$X189="",Scale!$X189=0),"",Scale!$X189)</f>
        <v/>
      </c>
      <c r="E727" s="81">
        <f>IF(OR(Scale!$X189="",Scale!$X189=0),"",IF(Scale!$X189="","","مقابل: "&amp;Scale!$E189))</f>
        <v/>
      </c>
      <c r="F727" s="83" t="n"/>
      <c r="G727" s="83" t="n"/>
      <c r="H727" s="83" t="n"/>
      <c r="I727" s="83" t="n"/>
      <c r="J727" s="83" t="n"/>
      <c r="K727" s="82">
        <f>IF(OR(Scale!$X189="",Scale!$X189=0),"",IF(Scale!$Y189="",0,Scale!$Y189)+IF(Scale!$Z189="",0,Scale!$Z189))</f>
        <v/>
      </c>
      <c r="L727" s="82">
        <f>IF(OR(Scale!$X189="",Scale!$X189=0),"",Scale!$Y189)</f>
        <v/>
      </c>
      <c r="M727" s="82">
        <f>IF(OR(Scale!$X189="",Scale!$X189=0),"",Scale!$Z189)</f>
        <v/>
      </c>
      <c r="N727" s="81">
        <f>IF(OR(Scale!$X189="",Scale!$X189=0),"","مقابل")</f>
        <v/>
      </c>
      <c r="O727" s="81">
        <f>IF(OR(Scale!$X189="",Scale!$X189=0),"",IFERROR(VLOOKUP(Scale!$X189,AcctTbl,3,0),""))</f>
        <v/>
      </c>
      <c r="P727" s="82">
        <f>IF(Scale!$X189&lt;&gt;"X011","","BN02")</f>
        <v/>
      </c>
    </row>
    <row r="728" ht="20.25" customHeight="1">
      <c r="A728" s="80">
        <f>IF(OR(Scale!$AA189="",Scale!$AA189=0),"",Scale!$B189)</f>
        <v/>
      </c>
      <c r="B728" s="80">
        <f>IF(OR(Scale!$AA189="",Scale!$AA189=0),"",Scale!$D189)</f>
        <v/>
      </c>
      <c r="C728" s="80">
        <f>IF(OR(Scale!$AA189="",Scale!$AA189=0),"","باسکول")</f>
        <v/>
      </c>
      <c r="D728" s="80">
        <f>IF(OR(Scale!$AA189="",Scale!$AA189=0),"",Scale!$AA189)</f>
        <v/>
      </c>
      <c r="E728" s="81">
        <f>IF(OR(Scale!$AA189="",Scale!$AA189=0),"",IF(Scale!$AA189="","","پوز باسکول — "&amp;Scale!$E189))</f>
        <v/>
      </c>
      <c r="F728" s="83" t="n"/>
      <c r="G728" s="83" t="n"/>
      <c r="H728" s="83" t="n"/>
      <c r="I728" s="83" t="n"/>
      <c r="J728" s="83" t="n"/>
      <c r="K728" s="82">
        <f>IF(OR(Scale!$AA189="",Scale!$AA189=0),"",IF(Scale!$AB189="",0,Scale!$AB189)+IF(Scale!$AC189="",0,Scale!$AC189))</f>
        <v/>
      </c>
      <c r="L728" s="82">
        <f>IF(OR(Scale!$AA189="",Scale!$AA189=0),"",Scale!$AB189)</f>
        <v/>
      </c>
      <c r="M728" s="82">
        <f>IF(OR(Scale!$AA189="",Scale!$AA189=0),"",Scale!$AC189)</f>
        <v/>
      </c>
      <c r="N728" s="81">
        <f>IF(OR(Scale!$AA189="",Scale!$AA189=0),"","پوز")</f>
        <v/>
      </c>
      <c r="O728" s="81">
        <f>IF(OR(Scale!$AA189="",Scale!$AA189=0),"",IFERROR(VLOOKUP(Scale!$AA189,AcctTbl,3,0),""))</f>
        <v/>
      </c>
      <c r="P728" s="82">
        <f>IF(Scale!$AA189&lt;&gt;"X011","","BN02")</f>
        <v/>
      </c>
    </row>
    <row r="729" ht="20.25" customHeight="1">
      <c r="A729" s="80">
        <f>IF(OR(Scale!$AD189="",Scale!$AD189=0),"",Scale!$B189)</f>
        <v/>
      </c>
      <c r="B729" s="80">
        <f>IF(OR(Scale!$AD189="",Scale!$AD189=0),"",Scale!$D189)</f>
        <v/>
      </c>
      <c r="C729" s="80">
        <f>IF(OR(Scale!$AD189="",Scale!$AD189=0),"","باسکول")</f>
        <v/>
      </c>
      <c r="D729" s="80">
        <f>IF(OR(Scale!$AD189="",Scale!$AD189=0),"",Scale!$AD189)</f>
        <v/>
      </c>
      <c r="E729" s="81">
        <f>IF(OR(Scale!$AD189="",Scale!$AD189=0),"",IF(Scale!$AD189="","","مقابل پوز — "&amp;Scale!$E189))</f>
        <v/>
      </c>
      <c r="F729" s="83" t="n"/>
      <c r="G729" s="83" t="n"/>
      <c r="H729" s="83" t="n"/>
      <c r="I729" s="83" t="n"/>
      <c r="J729" s="83" t="n"/>
      <c r="K729" s="82">
        <f>IF(OR(Scale!$AD189="",Scale!$AD189=0),"",IF(Scale!$AE189="",0,Scale!$AE189)+IF(Scale!$AF189="",0,Scale!$AF189))</f>
        <v/>
      </c>
      <c r="L729" s="82">
        <f>IF(OR(Scale!$AD189="",Scale!$AD189=0),"",Scale!$AE189)</f>
        <v/>
      </c>
      <c r="M729" s="82">
        <f>IF(OR(Scale!$AD189="",Scale!$AD189=0),"",Scale!$AF189)</f>
        <v/>
      </c>
      <c r="N729" s="81">
        <f>IF(OR(Scale!$AD189="",Scale!$AD189=0),"","مقابل پوز")</f>
        <v/>
      </c>
      <c r="O729" s="81">
        <f>IF(OR(Scale!$AD189="",Scale!$AD189=0),"",IFERROR(VLOOKUP(Scale!$AD189,AcctTbl,3,0),""))</f>
        <v/>
      </c>
      <c r="P729" s="82">
        <f>IF(Scale!$AD189&lt;&gt;"X011","","BN02")</f>
        <v/>
      </c>
    </row>
    <row r="730" ht="20.25" customHeight="1">
      <c r="A730" s="80">
        <f>IF(OR(Scale!$U190="",Scale!$U190=0),"",Scale!$B190)</f>
        <v/>
      </c>
      <c r="B730" s="80">
        <f>IF(OR(Scale!$U190="",Scale!$U190=0),"",Scale!$D190)</f>
        <v/>
      </c>
      <c r="C730" s="80">
        <f>IF(OR(Scale!$U190="",Scale!$U190=0),"","باسکول")</f>
        <v/>
      </c>
      <c r="D730" s="80">
        <f>IF(OR(Scale!$U190="",Scale!$U190=0),"",Scale!$U190)</f>
        <v/>
      </c>
      <c r="E730" s="81">
        <f>IF(OR(Scale!$U190="",Scale!$U190=0),"",Scale!$T190)</f>
        <v/>
      </c>
      <c r="F730" s="81">
        <f>IF(OR(Scale!$U190="",Scale!$U190=0),"",Scale!$J190)</f>
        <v/>
      </c>
      <c r="G730" s="82">
        <f>IF(OR(Scale!$U190="",Scale!$U190=0),"",Scale!$M190)</f>
        <v/>
      </c>
      <c r="H730" s="82">
        <f>IF(OR(Scale!$U190="",Scale!$U190=0),"",Scale!$L190)</f>
        <v/>
      </c>
      <c r="I730" s="82">
        <f>IF(OR(Scale!$U190="",Scale!$U190=0),"",Scale!$N190)</f>
        <v/>
      </c>
      <c r="J730" s="82">
        <f>IF(OR(Scale!$U190="",Scale!$U190=0),"",Scale!$O190)</f>
        <v/>
      </c>
      <c r="K730" s="82">
        <f>IF(OR(Scale!$U190="",Scale!$U190=0),"",IF(Scale!$V190="",0,Scale!$V190)+IF(Scale!$W190="",0,Scale!$W190))</f>
        <v/>
      </c>
      <c r="L730" s="82">
        <f>IF(OR(Scale!$U190="",Scale!$U190=0),"",Scale!$V190)</f>
        <v/>
      </c>
      <c r="M730" s="82">
        <f>IF(OR(Scale!$U190="",Scale!$U190=0),"",Scale!$W190)</f>
        <v/>
      </c>
      <c r="N730" s="81">
        <f>IF(OR(Scale!$U190="",Scale!$U190=0),"",Scale!$E190)</f>
        <v/>
      </c>
      <c r="O730" s="81">
        <f>IF(OR(Scale!$U190="",Scale!$U190=0),"",IFERROR(VLOOKUP(Scale!$U190,AcctTbl,3,0),""))</f>
        <v/>
      </c>
      <c r="P730" s="82">
        <f>IF(Scale!$U190&lt;&gt;"X011","","BN02")</f>
        <v/>
      </c>
    </row>
    <row r="731" ht="20.25" customHeight="1">
      <c r="A731" s="80">
        <f>IF(OR(Scale!$X190="",Scale!$X190=0),"",Scale!$B190)</f>
        <v/>
      </c>
      <c r="B731" s="80">
        <f>IF(OR(Scale!$X190="",Scale!$X190=0),"",Scale!$D190)</f>
        <v/>
      </c>
      <c r="C731" s="80">
        <f>IF(OR(Scale!$X190="",Scale!$X190=0),"","باسکول")</f>
        <v/>
      </c>
      <c r="D731" s="80">
        <f>IF(OR(Scale!$X190="",Scale!$X190=0),"",Scale!$X190)</f>
        <v/>
      </c>
      <c r="E731" s="81">
        <f>IF(OR(Scale!$X190="",Scale!$X190=0),"",IF(Scale!$X190="","","مقابل: "&amp;Scale!$E190))</f>
        <v/>
      </c>
      <c r="F731" s="83" t="n"/>
      <c r="G731" s="83" t="n"/>
      <c r="H731" s="83" t="n"/>
      <c r="I731" s="83" t="n"/>
      <c r="J731" s="83" t="n"/>
      <c r="K731" s="82">
        <f>IF(OR(Scale!$X190="",Scale!$X190=0),"",IF(Scale!$Y190="",0,Scale!$Y190)+IF(Scale!$Z190="",0,Scale!$Z190))</f>
        <v/>
      </c>
      <c r="L731" s="82">
        <f>IF(OR(Scale!$X190="",Scale!$X190=0),"",Scale!$Y190)</f>
        <v/>
      </c>
      <c r="M731" s="82">
        <f>IF(OR(Scale!$X190="",Scale!$X190=0),"",Scale!$Z190)</f>
        <v/>
      </c>
      <c r="N731" s="81">
        <f>IF(OR(Scale!$X190="",Scale!$X190=0),"","مقابل")</f>
        <v/>
      </c>
      <c r="O731" s="81">
        <f>IF(OR(Scale!$X190="",Scale!$X190=0),"",IFERROR(VLOOKUP(Scale!$X190,AcctTbl,3,0),""))</f>
        <v/>
      </c>
      <c r="P731" s="82">
        <f>IF(Scale!$X190&lt;&gt;"X011","","BN02")</f>
        <v/>
      </c>
    </row>
    <row r="732" ht="20.25" customHeight="1">
      <c r="A732" s="80">
        <f>IF(OR(Scale!$AA190="",Scale!$AA190=0),"",Scale!$B190)</f>
        <v/>
      </c>
      <c r="B732" s="80">
        <f>IF(OR(Scale!$AA190="",Scale!$AA190=0),"",Scale!$D190)</f>
        <v/>
      </c>
      <c r="C732" s="80">
        <f>IF(OR(Scale!$AA190="",Scale!$AA190=0),"","باسکول")</f>
        <v/>
      </c>
      <c r="D732" s="80">
        <f>IF(OR(Scale!$AA190="",Scale!$AA190=0),"",Scale!$AA190)</f>
        <v/>
      </c>
      <c r="E732" s="81">
        <f>IF(OR(Scale!$AA190="",Scale!$AA190=0),"",IF(Scale!$AA190="","","پوز باسکول — "&amp;Scale!$E190))</f>
        <v/>
      </c>
      <c r="F732" s="83" t="n"/>
      <c r="G732" s="83" t="n"/>
      <c r="H732" s="83" t="n"/>
      <c r="I732" s="83" t="n"/>
      <c r="J732" s="83" t="n"/>
      <c r="K732" s="82">
        <f>IF(OR(Scale!$AA190="",Scale!$AA190=0),"",IF(Scale!$AB190="",0,Scale!$AB190)+IF(Scale!$AC190="",0,Scale!$AC190))</f>
        <v/>
      </c>
      <c r="L732" s="82">
        <f>IF(OR(Scale!$AA190="",Scale!$AA190=0),"",Scale!$AB190)</f>
        <v/>
      </c>
      <c r="M732" s="82">
        <f>IF(OR(Scale!$AA190="",Scale!$AA190=0),"",Scale!$AC190)</f>
        <v/>
      </c>
      <c r="N732" s="81">
        <f>IF(OR(Scale!$AA190="",Scale!$AA190=0),"","پوز")</f>
        <v/>
      </c>
      <c r="O732" s="81">
        <f>IF(OR(Scale!$AA190="",Scale!$AA190=0),"",IFERROR(VLOOKUP(Scale!$AA190,AcctTbl,3,0),""))</f>
        <v/>
      </c>
      <c r="P732" s="82">
        <f>IF(Scale!$AA190&lt;&gt;"X011","","BN02")</f>
        <v/>
      </c>
    </row>
    <row r="733" ht="20.25" customHeight="1">
      <c r="A733" s="80">
        <f>IF(OR(Scale!$AD190="",Scale!$AD190=0),"",Scale!$B190)</f>
        <v/>
      </c>
      <c r="B733" s="80">
        <f>IF(OR(Scale!$AD190="",Scale!$AD190=0),"",Scale!$D190)</f>
        <v/>
      </c>
      <c r="C733" s="80">
        <f>IF(OR(Scale!$AD190="",Scale!$AD190=0),"","باسکول")</f>
        <v/>
      </c>
      <c r="D733" s="80">
        <f>IF(OR(Scale!$AD190="",Scale!$AD190=0),"",Scale!$AD190)</f>
        <v/>
      </c>
      <c r="E733" s="81">
        <f>IF(OR(Scale!$AD190="",Scale!$AD190=0),"",IF(Scale!$AD190="","","مقابل پوز — "&amp;Scale!$E190))</f>
        <v/>
      </c>
      <c r="F733" s="83" t="n"/>
      <c r="G733" s="83" t="n"/>
      <c r="H733" s="83" t="n"/>
      <c r="I733" s="83" t="n"/>
      <c r="J733" s="83" t="n"/>
      <c r="K733" s="82">
        <f>IF(OR(Scale!$AD190="",Scale!$AD190=0),"",IF(Scale!$AE190="",0,Scale!$AE190)+IF(Scale!$AF190="",0,Scale!$AF190))</f>
        <v/>
      </c>
      <c r="L733" s="82">
        <f>IF(OR(Scale!$AD190="",Scale!$AD190=0),"",Scale!$AE190)</f>
        <v/>
      </c>
      <c r="M733" s="82">
        <f>IF(OR(Scale!$AD190="",Scale!$AD190=0),"",Scale!$AF190)</f>
        <v/>
      </c>
      <c r="N733" s="81">
        <f>IF(OR(Scale!$AD190="",Scale!$AD190=0),"","مقابل پوز")</f>
        <v/>
      </c>
      <c r="O733" s="81">
        <f>IF(OR(Scale!$AD190="",Scale!$AD190=0),"",IFERROR(VLOOKUP(Scale!$AD190,AcctTbl,3,0),""))</f>
        <v/>
      </c>
      <c r="P733" s="82">
        <f>IF(Scale!$AD190&lt;&gt;"X011","","BN02")</f>
        <v/>
      </c>
    </row>
    <row r="734" ht="20.25" customHeight="1">
      <c r="A734" s="80">
        <f>IF(OR(Scale!$U191="",Scale!$U191=0),"",Scale!$B191)</f>
        <v/>
      </c>
      <c r="B734" s="80">
        <f>IF(OR(Scale!$U191="",Scale!$U191=0),"",Scale!$D191)</f>
        <v/>
      </c>
      <c r="C734" s="80">
        <f>IF(OR(Scale!$U191="",Scale!$U191=0),"","باسکول")</f>
        <v/>
      </c>
      <c r="D734" s="80">
        <f>IF(OR(Scale!$U191="",Scale!$U191=0),"",Scale!$U191)</f>
        <v/>
      </c>
      <c r="E734" s="81">
        <f>IF(OR(Scale!$U191="",Scale!$U191=0),"",Scale!$T191)</f>
        <v/>
      </c>
      <c r="F734" s="81">
        <f>IF(OR(Scale!$U191="",Scale!$U191=0),"",Scale!$J191)</f>
        <v/>
      </c>
      <c r="G734" s="82">
        <f>IF(OR(Scale!$U191="",Scale!$U191=0),"",Scale!$M191)</f>
        <v/>
      </c>
      <c r="H734" s="82">
        <f>IF(OR(Scale!$U191="",Scale!$U191=0),"",Scale!$L191)</f>
        <v/>
      </c>
      <c r="I734" s="82">
        <f>IF(OR(Scale!$U191="",Scale!$U191=0),"",Scale!$N191)</f>
        <v/>
      </c>
      <c r="J734" s="82">
        <f>IF(OR(Scale!$U191="",Scale!$U191=0),"",Scale!$O191)</f>
        <v/>
      </c>
      <c r="K734" s="82">
        <f>IF(OR(Scale!$U191="",Scale!$U191=0),"",IF(Scale!$V191="",0,Scale!$V191)+IF(Scale!$W191="",0,Scale!$W191))</f>
        <v/>
      </c>
      <c r="L734" s="82">
        <f>IF(OR(Scale!$U191="",Scale!$U191=0),"",Scale!$V191)</f>
        <v/>
      </c>
      <c r="M734" s="82">
        <f>IF(OR(Scale!$U191="",Scale!$U191=0),"",Scale!$W191)</f>
        <v/>
      </c>
      <c r="N734" s="81">
        <f>IF(OR(Scale!$U191="",Scale!$U191=0),"",Scale!$E191)</f>
        <v/>
      </c>
      <c r="O734" s="81">
        <f>IF(OR(Scale!$U191="",Scale!$U191=0),"",IFERROR(VLOOKUP(Scale!$U191,AcctTbl,3,0),""))</f>
        <v/>
      </c>
      <c r="P734" s="82">
        <f>IF(Scale!$U191&lt;&gt;"X011","","BN02")</f>
        <v/>
      </c>
    </row>
    <row r="735" ht="20.25" customHeight="1">
      <c r="A735" s="80">
        <f>IF(OR(Scale!$X191="",Scale!$X191=0),"",Scale!$B191)</f>
        <v/>
      </c>
      <c r="B735" s="80">
        <f>IF(OR(Scale!$X191="",Scale!$X191=0),"",Scale!$D191)</f>
        <v/>
      </c>
      <c r="C735" s="80">
        <f>IF(OR(Scale!$X191="",Scale!$X191=0),"","باسکول")</f>
        <v/>
      </c>
      <c r="D735" s="80">
        <f>IF(OR(Scale!$X191="",Scale!$X191=0),"",Scale!$X191)</f>
        <v/>
      </c>
      <c r="E735" s="81">
        <f>IF(OR(Scale!$X191="",Scale!$X191=0),"",IF(Scale!$X191="","","مقابل: "&amp;Scale!$E191))</f>
        <v/>
      </c>
      <c r="F735" s="83" t="n"/>
      <c r="G735" s="83" t="n"/>
      <c r="H735" s="83" t="n"/>
      <c r="I735" s="83" t="n"/>
      <c r="J735" s="83" t="n"/>
      <c r="K735" s="82">
        <f>IF(OR(Scale!$X191="",Scale!$X191=0),"",IF(Scale!$Y191="",0,Scale!$Y191)+IF(Scale!$Z191="",0,Scale!$Z191))</f>
        <v/>
      </c>
      <c r="L735" s="82">
        <f>IF(OR(Scale!$X191="",Scale!$X191=0),"",Scale!$Y191)</f>
        <v/>
      </c>
      <c r="M735" s="82">
        <f>IF(OR(Scale!$X191="",Scale!$X191=0),"",Scale!$Z191)</f>
        <v/>
      </c>
      <c r="N735" s="81">
        <f>IF(OR(Scale!$X191="",Scale!$X191=0),"","مقابل")</f>
        <v/>
      </c>
      <c r="O735" s="81">
        <f>IF(OR(Scale!$X191="",Scale!$X191=0),"",IFERROR(VLOOKUP(Scale!$X191,AcctTbl,3,0),""))</f>
        <v/>
      </c>
      <c r="P735" s="82">
        <f>IF(Scale!$X191&lt;&gt;"X011","","BN02")</f>
        <v/>
      </c>
    </row>
    <row r="736" ht="20.25" customHeight="1">
      <c r="A736" s="80">
        <f>IF(OR(Scale!$AA191="",Scale!$AA191=0),"",Scale!$B191)</f>
        <v/>
      </c>
      <c r="B736" s="80">
        <f>IF(OR(Scale!$AA191="",Scale!$AA191=0),"",Scale!$D191)</f>
        <v/>
      </c>
      <c r="C736" s="80">
        <f>IF(OR(Scale!$AA191="",Scale!$AA191=0),"","باسکول")</f>
        <v/>
      </c>
      <c r="D736" s="80">
        <f>IF(OR(Scale!$AA191="",Scale!$AA191=0),"",Scale!$AA191)</f>
        <v/>
      </c>
      <c r="E736" s="81">
        <f>IF(OR(Scale!$AA191="",Scale!$AA191=0),"",IF(Scale!$AA191="","","پوز باسکول — "&amp;Scale!$E191))</f>
        <v/>
      </c>
      <c r="F736" s="83" t="n"/>
      <c r="G736" s="83" t="n"/>
      <c r="H736" s="83" t="n"/>
      <c r="I736" s="83" t="n"/>
      <c r="J736" s="83" t="n"/>
      <c r="K736" s="82">
        <f>IF(OR(Scale!$AA191="",Scale!$AA191=0),"",IF(Scale!$AB191="",0,Scale!$AB191)+IF(Scale!$AC191="",0,Scale!$AC191))</f>
        <v/>
      </c>
      <c r="L736" s="82">
        <f>IF(OR(Scale!$AA191="",Scale!$AA191=0),"",Scale!$AB191)</f>
        <v/>
      </c>
      <c r="M736" s="82">
        <f>IF(OR(Scale!$AA191="",Scale!$AA191=0),"",Scale!$AC191)</f>
        <v/>
      </c>
      <c r="N736" s="81">
        <f>IF(OR(Scale!$AA191="",Scale!$AA191=0),"","پوز")</f>
        <v/>
      </c>
      <c r="O736" s="81">
        <f>IF(OR(Scale!$AA191="",Scale!$AA191=0),"",IFERROR(VLOOKUP(Scale!$AA191,AcctTbl,3,0),""))</f>
        <v/>
      </c>
      <c r="P736" s="82">
        <f>IF(Scale!$AA191&lt;&gt;"X011","","BN02")</f>
        <v/>
      </c>
    </row>
    <row r="737" ht="20.25" customHeight="1">
      <c r="A737" s="80">
        <f>IF(OR(Scale!$AD191="",Scale!$AD191=0),"",Scale!$B191)</f>
        <v/>
      </c>
      <c r="B737" s="80">
        <f>IF(OR(Scale!$AD191="",Scale!$AD191=0),"",Scale!$D191)</f>
        <v/>
      </c>
      <c r="C737" s="80">
        <f>IF(OR(Scale!$AD191="",Scale!$AD191=0),"","باسکول")</f>
        <v/>
      </c>
      <c r="D737" s="80">
        <f>IF(OR(Scale!$AD191="",Scale!$AD191=0),"",Scale!$AD191)</f>
        <v/>
      </c>
      <c r="E737" s="81">
        <f>IF(OR(Scale!$AD191="",Scale!$AD191=0),"",IF(Scale!$AD191="","","مقابل پوز — "&amp;Scale!$E191))</f>
        <v/>
      </c>
      <c r="F737" s="83" t="n"/>
      <c r="G737" s="83" t="n"/>
      <c r="H737" s="83" t="n"/>
      <c r="I737" s="83" t="n"/>
      <c r="J737" s="83" t="n"/>
      <c r="K737" s="82">
        <f>IF(OR(Scale!$AD191="",Scale!$AD191=0),"",IF(Scale!$AE191="",0,Scale!$AE191)+IF(Scale!$AF191="",0,Scale!$AF191))</f>
        <v/>
      </c>
      <c r="L737" s="82">
        <f>IF(OR(Scale!$AD191="",Scale!$AD191=0),"",Scale!$AE191)</f>
        <v/>
      </c>
      <c r="M737" s="82">
        <f>IF(OR(Scale!$AD191="",Scale!$AD191=0),"",Scale!$AF191)</f>
        <v/>
      </c>
      <c r="N737" s="81">
        <f>IF(OR(Scale!$AD191="",Scale!$AD191=0),"","مقابل پوز")</f>
        <v/>
      </c>
      <c r="O737" s="81">
        <f>IF(OR(Scale!$AD191="",Scale!$AD191=0),"",IFERROR(VLOOKUP(Scale!$AD191,AcctTbl,3,0),""))</f>
        <v/>
      </c>
      <c r="P737" s="82">
        <f>IF(Scale!$AD191&lt;&gt;"X011","","BN02")</f>
        <v/>
      </c>
    </row>
    <row r="738" ht="20.25" customHeight="1">
      <c r="A738" s="80">
        <f>IF(OR(Scale!$U192="",Scale!$U192=0),"",Scale!$B192)</f>
        <v/>
      </c>
      <c r="B738" s="80">
        <f>IF(OR(Scale!$U192="",Scale!$U192=0),"",Scale!$D192)</f>
        <v/>
      </c>
      <c r="C738" s="80">
        <f>IF(OR(Scale!$U192="",Scale!$U192=0),"","باسکول")</f>
        <v/>
      </c>
      <c r="D738" s="80">
        <f>IF(OR(Scale!$U192="",Scale!$U192=0),"",Scale!$U192)</f>
        <v/>
      </c>
      <c r="E738" s="81">
        <f>IF(OR(Scale!$U192="",Scale!$U192=0),"",Scale!$T192)</f>
        <v/>
      </c>
      <c r="F738" s="81">
        <f>IF(OR(Scale!$U192="",Scale!$U192=0),"",Scale!$J192)</f>
        <v/>
      </c>
      <c r="G738" s="82">
        <f>IF(OR(Scale!$U192="",Scale!$U192=0),"",Scale!$M192)</f>
        <v/>
      </c>
      <c r="H738" s="82">
        <f>IF(OR(Scale!$U192="",Scale!$U192=0),"",Scale!$L192)</f>
        <v/>
      </c>
      <c r="I738" s="82">
        <f>IF(OR(Scale!$U192="",Scale!$U192=0),"",Scale!$N192)</f>
        <v/>
      </c>
      <c r="J738" s="82">
        <f>IF(OR(Scale!$U192="",Scale!$U192=0),"",Scale!$O192)</f>
        <v/>
      </c>
      <c r="K738" s="82">
        <f>IF(OR(Scale!$U192="",Scale!$U192=0),"",IF(Scale!$V192="",0,Scale!$V192)+IF(Scale!$W192="",0,Scale!$W192))</f>
        <v/>
      </c>
      <c r="L738" s="82">
        <f>IF(OR(Scale!$U192="",Scale!$U192=0),"",Scale!$V192)</f>
        <v/>
      </c>
      <c r="M738" s="82">
        <f>IF(OR(Scale!$U192="",Scale!$U192=0),"",Scale!$W192)</f>
        <v/>
      </c>
      <c r="N738" s="81">
        <f>IF(OR(Scale!$U192="",Scale!$U192=0),"",Scale!$E192)</f>
        <v/>
      </c>
      <c r="O738" s="81">
        <f>IF(OR(Scale!$U192="",Scale!$U192=0),"",IFERROR(VLOOKUP(Scale!$U192,AcctTbl,3,0),""))</f>
        <v/>
      </c>
      <c r="P738" s="82">
        <f>IF(Scale!$U192&lt;&gt;"X011","","BN02")</f>
        <v/>
      </c>
    </row>
    <row r="739" ht="20.25" customHeight="1">
      <c r="A739" s="80">
        <f>IF(OR(Scale!$X192="",Scale!$X192=0),"",Scale!$B192)</f>
        <v/>
      </c>
      <c r="B739" s="80">
        <f>IF(OR(Scale!$X192="",Scale!$X192=0),"",Scale!$D192)</f>
        <v/>
      </c>
      <c r="C739" s="80">
        <f>IF(OR(Scale!$X192="",Scale!$X192=0),"","باسکول")</f>
        <v/>
      </c>
      <c r="D739" s="80">
        <f>IF(OR(Scale!$X192="",Scale!$X192=0),"",Scale!$X192)</f>
        <v/>
      </c>
      <c r="E739" s="81">
        <f>IF(OR(Scale!$X192="",Scale!$X192=0),"",IF(Scale!$X192="","","مقابل: "&amp;Scale!$E192))</f>
        <v/>
      </c>
      <c r="F739" s="83" t="n"/>
      <c r="G739" s="83" t="n"/>
      <c r="H739" s="83" t="n"/>
      <c r="I739" s="83" t="n"/>
      <c r="J739" s="83" t="n"/>
      <c r="K739" s="82">
        <f>IF(OR(Scale!$X192="",Scale!$X192=0),"",IF(Scale!$Y192="",0,Scale!$Y192)+IF(Scale!$Z192="",0,Scale!$Z192))</f>
        <v/>
      </c>
      <c r="L739" s="82">
        <f>IF(OR(Scale!$X192="",Scale!$X192=0),"",Scale!$Y192)</f>
        <v/>
      </c>
      <c r="M739" s="82">
        <f>IF(OR(Scale!$X192="",Scale!$X192=0),"",Scale!$Z192)</f>
        <v/>
      </c>
      <c r="N739" s="81">
        <f>IF(OR(Scale!$X192="",Scale!$X192=0),"","مقابل")</f>
        <v/>
      </c>
      <c r="O739" s="81">
        <f>IF(OR(Scale!$X192="",Scale!$X192=0),"",IFERROR(VLOOKUP(Scale!$X192,AcctTbl,3,0),""))</f>
        <v/>
      </c>
      <c r="P739" s="82">
        <f>IF(Scale!$X192&lt;&gt;"X011","","BN02")</f>
        <v/>
      </c>
    </row>
    <row r="740" ht="20.25" customHeight="1">
      <c r="A740" s="80">
        <f>IF(OR(Scale!$AA192="",Scale!$AA192=0),"",Scale!$B192)</f>
        <v/>
      </c>
      <c r="B740" s="80">
        <f>IF(OR(Scale!$AA192="",Scale!$AA192=0),"",Scale!$D192)</f>
        <v/>
      </c>
      <c r="C740" s="80">
        <f>IF(OR(Scale!$AA192="",Scale!$AA192=0),"","باسکول")</f>
        <v/>
      </c>
      <c r="D740" s="80">
        <f>IF(OR(Scale!$AA192="",Scale!$AA192=0),"",Scale!$AA192)</f>
        <v/>
      </c>
      <c r="E740" s="81">
        <f>IF(OR(Scale!$AA192="",Scale!$AA192=0),"",IF(Scale!$AA192="","","پوز باسکول — "&amp;Scale!$E192))</f>
        <v/>
      </c>
      <c r="F740" s="83" t="n"/>
      <c r="G740" s="83" t="n"/>
      <c r="H740" s="83" t="n"/>
      <c r="I740" s="83" t="n"/>
      <c r="J740" s="83" t="n"/>
      <c r="K740" s="82">
        <f>IF(OR(Scale!$AA192="",Scale!$AA192=0),"",IF(Scale!$AB192="",0,Scale!$AB192)+IF(Scale!$AC192="",0,Scale!$AC192))</f>
        <v/>
      </c>
      <c r="L740" s="82">
        <f>IF(OR(Scale!$AA192="",Scale!$AA192=0),"",Scale!$AB192)</f>
        <v/>
      </c>
      <c r="M740" s="82">
        <f>IF(OR(Scale!$AA192="",Scale!$AA192=0),"",Scale!$AC192)</f>
        <v/>
      </c>
      <c r="N740" s="81">
        <f>IF(OR(Scale!$AA192="",Scale!$AA192=0),"","پوز")</f>
        <v/>
      </c>
      <c r="O740" s="81">
        <f>IF(OR(Scale!$AA192="",Scale!$AA192=0),"",IFERROR(VLOOKUP(Scale!$AA192,AcctTbl,3,0),""))</f>
        <v/>
      </c>
      <c r="P740" s="82">
        <f>IF(Scale!$AA192&lt;&gt;"X011","","BN02")</f>
        <v/>
      </c>
    </row>
    <row r="741" ht="20.25" customHeight="1">
      <c r="A741" s="80">
        <f>IF(OR(Scale!$AD192="",Scale!$AD192=0),"",Scale!$B192)</f>
        <v/>
      </c>
      <c r="B741" s="80">
        <f>IF(OR(Scale!$AD192="",Scale!$AD192=0),"",Scale!$D192)</f>
        <v/>
      </c>
      <c r="C741" s="80">
        <f>IF(OR(Scale!$AD192="",Scale!$AD192=0),"","باسکول")</f>
        <v/>
      </c>
      <c r="D741" s="80">
        <f>IF(OR(Scale!$AD192="",Scale!$AD192=0),"",Scale!$AD192)</f>
        <v/>
      </c>
      <c r="E741" s="81">
        <f>IF(OR(Scale!$AD192="",Scale!$AD192=0),"",IF(Scale!$AD192="","","مقابل پوز — "&amp;Scale!$E192))</f>
        <v/>
      </c>
      <c r="F741" s="83" t="n"/>
      <c r="G741" s="83" t="n"/>
      <c r="H741" s="83" t="n"/>
      <c r="I741" s="83" t="n"/>
      <c r="J741" s="83" t="n"/>
      <c r="K741" s="82">
        <f>IF(OR(Scale!$AD192="",Scale!$AD192=0),"",IF(Scale!$AE192="",0,Scale!$AE192)+IF(Scale!$AF192="",0,Scale!$AF192))</f>
        <v/>
      </c>
      <c r="L741" s="82">
        <f>IF(OR(Scale!$AD192="",Scale!$AD192=0),"",Scale!$AE192)</f>
        <v/>
      </c>
      <c r="M741" s="82">
        <f>IF(OR(Scale!$AD192="",Scale!$AD192=0),"",Scale!$AF192)</f>
        <v/>
      </c>
      <c r="N741" s="81">
        <f>IF(OR(Scale!$AD192="",Scale!$AD192=0),"","مقابل پوز")</f>
        <v/>
      </c>
      <c r="O741" s="81">
        <f>IF(OR(Scale!$AD192="",Scale!$AD192=0),"",IFERROR(VLOOKUP(Scale!$AD192,AcctTbl,3,0),""))</f>
        <v/>
      </c>
      <c r="P741" s="82">
        <f>IF(Scale!$AD192&lt;&gt;"X011","","BN02")</f>
        <v/>
      </c>
    </row>
    <row r="742" ht="20.25" customHeight="1">
      <c r="A742" s="80">
        <f>IF(OR(Scale!$U193="",Scale!$U193=0),"",Scale!$B193)</f>
        <v/>
      </c>
      <c r="B742" s="80">
        <f>IF(OR(Scale!$U193="",Scale!$U193=0),"",Scale!$D193)</f>
        <v/>
      </c>
      <c r="C742" s="80">
        <f>IF(OR(Scale!$U193="",Scale!$U193=0),"","باسکول")</f>
        <v/>
      </c>
      <c r="D742" s="80">
        <f>IF(OR(Scale!$U193="",Scale!$U193=0),"",Scale!$U193)</f>
        <v/>
      </c>
      <c r="E742" s="81">
        <f>IF(OR(Scale!$U193="",Scale!$U193=0),"",Scale!$T193)</f>
        <v/>
      </c>
      <c r="F742" s="81">
        <f>IF(OR(Scale!$U193="",Scale!$U193=0),"",Scale!$J193)</f>
        <v/>
      </c>
      <c r="G742" s="82">
        <f>IF(OR(Scale!$U193="",Scale!$U193=0),"",Scale!$M193)</f>
        <v/>
      </c>
      <c r="H742" s="82">
        <f>IF(OR(Scale!$U193="",Scale!$U193=0),"",Scale!$L193)</f>
        <v/>
      </c>
      <c r="I742" s="82">
        <f>IF(OR(Scale!$U193="",Scale!$U193=0),"",Scale!$N193)</f>
        <v/>
      </c>
      <c r="J742" s="82">
        <f>IF(OR(Scale!$U193="",Scale!$U193=0),"",Scale!$O193)</f>
        <v/>
      </c>
      <c r="K742" s="82">
        <f>IF(OR(Scale!$U193="",Scale!$U193=0),"",IF(Scale!$V193="",0,Scale!$V193)+IF(Scale!$W193="",0,Scale!$W193))</f>
        <v/>
      </c>
      <c r="L742" s="82">
        <f>IF(OR(Scale!$U193="",Scale!$U193=0),"",Scale!$V193)</f>
        <v/>
      </c>
      <c r="M742" s="82">
        <f>IF(OR(Scale!$U193="",Scale!$U193=0),"",Scale!$W193)</f>
        <v/>
      </c>
      <c r="N742" s="81">
        <f>IF(OR(Scale!$U193="",Scale!$U193=0),"",Scale!$E193)</f>
        <v/>
      </c>
      <c r="O742" s="81">
        <f>IF(OR(Scale!$U193="",Scale!$U193=0),"",IFERROR(VLOOKUP(Scale!$U193,AcctTbl,3,0),""))</f>
        <v/>
      </c>
      <c r="P742" s="82">
        <f>IF(Scale!$U193&lt;&gt;"X011","","BN02")</f>
        <v/>
      </c>
    </row>
    <row r="743" ht="20.25" customHeight="1">
      <c r="A743" s="80">
        <f>IF(OR(Scale!$X193="",Scale!$X193=0),"",Scale!$B193)</f>
        <v/>
      </c>
      <c r="B743" s="80">
        <f>IF(OR(Scale!$X193="",Scale!$X193=0),"",Scale!$D193)</f>
        <v/>
      </c>
      <c r="C743" s="80">
        <f>IF(OR(Scale!$X193="",Scale!$X193=0),"","باسکول")</f>
        <v/>
      </c>
      <c r="D743" s="80">
        <f>IF(OR(Scale!$X193="",Scale!$X193=0),"",Scale!$X193)</f>
        <v/>
      </c>
      <c r="E743" s="81">
        <f>IF(OR(Scale!$X193="",Scale!$X193=0),"",IF(Scale!$X193="","","مقابل: "&amp;Scale!$E193))</f>
        <v/>
      </c>
      <c r="F743" s="83" t="n"/>
      <c r="G743" s="83" t="n"/>
      <c r="H743" s="83" t="n"/>
      <c r="I743" s="83" t="n"/>
      <c r="J743" s="83" t="n"/>
      <c r="K743" s="82">
        <f>IF(OR(Scale!$X193="",Scale!$X193=0),"",IF(Scale!$Y193="",0,Scale!$Y193)+IF(Scale!$Z193="",0,Scale!$Z193))</f>
        <v/>
      </c>
      <c r="L743" s="82">
        <f>IF(OR(Scale!$X193="",Scale!$X193=0),"",Scale!$Y193)</f>
        <v/>
      </c>
      <c r="M743" s="82">
        <f>IF(OR(Scale!$X193="",Scale!$X193=0),"",Scale!$Z193)</f>
        <v/>
      </c>
      <c r="N743" s="81">
        <f>IF(OR(Scale!$X193="",Scale!$X193=0),"","مقابل")</f>
        <v/>
      </c>
      <c r="O743" s="81">
        <f>IF(OR(Scale!$X193="",Scale!$X193=0),"",IFERROR(VLOOKUP(Scale!$X193,AcctTbl,3,0),""))</f>
        <v/>
      </c>
      <c r="P743" s="82">
        <f>IF(Scale!$X193&lt;&gt;"X011","","BN02")</f>
        <v/>
      </c>
    </row>
    <row r="744" ht="20.25" customHeight="1">
      <c r="A744" s="80">
        <f>IF(OR(Scale!$AA193="",Scale!$AA193=0),"",Scale!$B193)</f>
        <v/>
      </c>
      <c r="B744" s="80">
        <f>IF(OR(Scale!$AA193="",Scale!$AA193=0),"",Scale!$D193)</f>
        <v/>
      </c>
      <c r="C744" s="80">
        <f>IF(OR(Scale!$AA193="",Scale!$AA193=0),"","باسکول")</f>
        <v/>
      </c>
      <c r="D744" s="80">
        <f>IF(OR(Scale!$AA193="",Scale!$AA193=0),"",Scale!$AA193)</f>
        <v/>
      </c>
      <c r="E744" s="81">
        <f>IF(OR(Scale!$AA193="",Scale!$AA193=0),"",IF(Scale!$AA193="","","پوز باسکول — "&amp;Scale!$E193))</f>
        <v/>
      </c>
      <c r="F744" s="83" t="n"/>
      <c r="G744" s="83" t="n"/>
      <c r="H744" s="83" t="n"/>
      <c r="I744" s="83" t="n"/>
      <c r="J744" s="83" t="n"/>
      <c r="K744" s="82">
        <f>IF(OR(Scale!$AA193="",Scale!$AA193=0),"",IF(Scale!$AB193="",0,Scale!$AB193)+IF(Scale!$AC193="",0,Scale!$AC193))</f>
        <v/>
      </c>
      <c r="L744" s="82">
        <f>IF(OR(Scale!$AA193="",Scale!$AA193=0),"",Scale!$AB193)</f>
        <v/>
      </c>
      <c r="M744" s="82">
        <f>IF(OR(Scale!$AA193="",Scale!$AA193=0),"",Scale!$AC193)</f>
        <v/>
      </c>
      <c r="N744" s="81">
        <f>IF(OR(Scale!$AA193="",Scale!$AA193=0),"","پوز")</f>
        <v/>
      </c>
      <c r="O744" s="81">
        <f>IF(OR(Scale!$AA193="",Scale!$AA193=0),"",IFERROR(VLOOKUP(Scale!$AA193,AcctTbl,3,0),""))</f>
        <v/>
      </c>
      <c r="P744" s="82">
        <f>IF(Scale!$AA193&lt;&gt;"X011","","BN02")</f>
        <v/>
      </c>
    </row>
    <row r="745" ht="20.25" customHeight="1">
      <c r="A745" s="80">
        <f>IF(OR(Scale!$AD193="",Scale!$AD193=0),"",Scale!$B193)</f>
        <v/>
      </c>
      <c r="B745" s="80">
        <f>IF(OR(Scale!$AD193="",Scale!$AD193=0),"",Scale!$D193)</f>
        <v/>
      </c>
      <c r="C745" s="80">
        <f>IF(OR(Scale!$AD193="",Scale!$AD193=0),"","باسکول")</f>
        <v/>
      </c>
      <c r="D745" s="80">
        <f>IF(OR(Scale!$AD193="",Scale!$AD193=0),"",Scale!$AD193)</f>
        <v/>
      </c>
      <c r="E745" s="81">
        <f>IF(OR(Scale!$AD193="",Scale!$AD193=0),"",IF(Scale!$AD193="","","مقابل پوز — "&amp;Scale!$E193))</f>
        <v/>
      </c>
      <c r="F745" s="83" t="n"/>
      <c r="G745" s="83" t="n"/>
      <c r="H745" s="83" t="n"/>
      <c r="I745" s="83" t="n"/>
      <c r="J745" s="83" t="n"/>
      <c r="K745" s="82">
        <f>IF(OR(Scale!$AD193="",Scale!$AD193=0),"",IF(Scale!$AE193="",0,Scale!$AE193)+IF(Scale!$AF193="",0,Scale!$AF193))</f>
        <v/>
      </c>
      <c r="L745" s="82">
        <f>IF(OR(Scale!$AD193="",Scale!$AD193=0),"",Scale!$AE193)</f>
        <v/>
      </c>
      <c r="M745" s="82">
        <f>IF(OR(Scale!$AD193="",Scale!$AD193=0),"",Scale!$AF193)</f>
        <v/>
      </c>
      <c r="N745" s="81">
        <f>IF(OR(Scale!$AD193="",Scale!$AD193=0),"","مقابل پوز")</f>
        <v/>
      </c>
      <c r="O745" s="81">
        <f>IF(OR(Scale!$AD193="",Scale!$AD193=0),"",IFERROR(VLOOKUP(Scale!$AD193,AcctTbl,3,0),""))</f>
        <v/>
      </c>
      <c r="P745" s="82">
        <f>IF(Scale!$AD193&lt;&gt;"X011","","BN02")</f>
        <v/>
      </c>
    </row>
    <row r="746" ht="20.25" customHeight="1">
      <c r="A746" s="80">
        <f>IF(OR(Scale!$U194="",Scale!$U194=0),"",Scale!$B194)</f>
        <v/>
      </c>
      <c r="B746" s="80">
        <f>IF(OR(Scale!$U194="",Scale!$U194=0),"",Scale!$D194)</f>
        <v/>
      </c>
      <c r="C746" s="80">
        <f>IF(OR(Scale!$U194="",Scale!$U194=0),"","باسکول")</f>
        <v/>
      </c>
      <c r="D746" s="80">
        <f>IF(OR(Scale!$U194="",Scale!$U194=0),"",Scale!$U194)</f>
        <v/>
      </c>
      <c r="E746" s="81">
        <f>IF(OR(Scale!$U194="",Scale!$U194=0),"",Scale!$T194)</f>
        <v/>
      </c>
      <c r="F746" s="81">
        <f>IF(OR(Scale!$U194="",Scale!$U194=0),"",Scale!$J194)</f>
        <v/>
      </c>
      <c r="G746" s="82">
        <f>IF(OR(Scale!$U194="",Scale!$U194=0),"",Scale!$M194)</f>
        <v/>
      </c>
      <c r="H746" s="82">
        <f>IF(OR(Scale!$U194="",Scale!$U194=0),"",Scale!$L194)</f>
        <v/>
      </c>
      <c r="I746" s="82">
        <f>IF(OR(Scale!$U194="",Scale!$U194=0),"",Scale!$N194)</f>
        <v/>
      </c>
      <c r="J746" s="82">
        <f>IF(OR(Scale!$U194="",Scale!$U194=0),"",Scale!$O194)</f>
        <v/>
      </c>
      <c r="K746" s="82">
        <f>IF(OR(Scale!$U194="",Scale!$U194=0),"",IF(Scale!$V194="",0,Scale!$V194)+IF(Scale!$W194="",0,Scale!$W194))</f>
        <v/>
      </c>
      <c r="L746" s="82">
        <f>IF(OR(Scale!$U194="",Scale!$U194=0),"",Scale!$V194)</f>
        <v/>
      </c>
      <c r="M746" s="82">
        <f>IF(OR(Scale!$U194="",Scale!$U194=0),"",Scale!$W194)</f>
        <v/>
      </c>
      <c r="N746" s="81">
        <f>IF(OR(Scale!$U194="",Scale!$U194=0),"",Scale!$E194)</f>
        <v/>
      </c>
      <c r="O746" s="81">
        <f>IF(OR(Scale!$U194="",Scale!$U194=0),"",IFERROR(VLOOKUP(Scale!$U194,AcctTbl,3,0),""))</f>
        <v/>
      </c>
      <c r="P746" s="82">
        <f>IF(Scale!$U194&lt;&gt;"X011","","BN02")</f>
        <v/>
      </c>
    </row>
    <row r="747" ht="20.25" customHeight="1">
      <c r="A747" s="80">
        <f>IF(OR(Scale!$X194="",Scale!$X194=0),"",Scale!$B194)</f>
        <v/>
      </c>
      <c r="B747" s="80">
        <f>IF(OR(Scale!$X194="",Scale!$X194=0),"",Scale!$D194)</f>
        <v/>
      </c>
      <c r="C747" s="80">
        <f>IF(OR(Scale!$X194="",Scale!$X194=0),"","باسکول")</f>
        <v/>
      </c>
      <c r="D747" s="80">
        <f>IF(OR(Scale!$X194="",Scale!$X194=0),"",Scale!$X194)</f>
        <v/>
      </c>
      <c r="E747" s="81">
        <f>IF(OR(Scale!$X194="",Scale!$X194=0),"",IF(Scale!$X194="","","مقابل: "&amp;Scale!$E194))</f>
        <v/>
      </c>
      <c r="F747" s="83" t="n"/>
      <c r="G747" s="83" t="n"/>
      <c r="H747" s="83" t="n"/>
      <c r="I747" s="83" t="n"/>
      <c r="J747" s="83" t="n"/>
      <c r="K747" s="82">
        <f>IF(OR(Scale!$X194="",Scale!$X194=0),"",IF(Scale!$Y194="",0,Scale!$Y194)+IF(Scale!$Z194="",0,Scale!$Z194))</f>
        <v/>
      </c>
      <c r="L747" s="82">
        <f>IF(OR(Scale!$X194="",Scale!$X194=0),"",Scale!$Y194)</f>
        <v/>
      </c>
      <c r="M747" s="82">
        <f>IF(OR(Scale!$X194="",Scale!$X194=0),"",Scale!$Z194)</f>
        <v/>
      </c>
      <c r="N747" s="81">
        <f>IF(OR(Scale!$X194="",Scale!$X194=0),"","مقابل")</f>
        <v/>
      </c>
      <c r="O747" s="81">
        <f>IF(OR(Scale!$X194="",Scale!$X194=0),"",IFERROR(VLOOKUP(Scale!$X194,AcctTbl,3,0),""))</f>
        <v/>
      </c>
      <c r="P747" s="82">
        <f>IF(Scale!$X194&lt;&gt;"X011","","BN02")</f>
        <v/>
      </c>
    </row>
    <row r="748" ht="20.25" customHeight="1">
      <c r="A748" s="80">
        <f>IF(OR(Scale!$AA194="",Scale!$AA194=0),"",Scale!$B194)</f>
        <v/>
      </c>
      <c r="B748" s="80">
        <f>IF(OR(Scale!$AA194="",Scale!$AA194=0),"",Scale!$D194)</f>
        <v/>
      </c>
      <c r="C748" s="80">
        <f>IF(OR(Scale!$AA194="",Scale!$AA194=0),"","باسکول")</f>
        <v/>
      </c>
      <c r="D748" s="80">
        <f>IF(OR(Scale!$AA194="",Scale!$AA194=0),"",Scale!$AA194)</f>
        <v/>
      </c>
      <c r="E748" s="81">
        <f>IF(OR(Scale!$AA194="",Scale!$AA194=0),"",IF(Scale!$AA194="","","پوز باسکول — "&amp;Scale!$E194))</f>
        <v/>
      </c>
      <c r="F748" s="83" t="n"/>
      <c r="G748" s="83" t="n"/>
      <c r="H748" s="83" t="n"/>
      <c r="I748" s="83" t="n"/>
      <c r="J748" s="83" t="n"/>
      <c r="K748" s="82">
        <f>IF(OR(Scale!$AA194="",Scale!$AA194=0),"",IF(Scale!$AB194="",0,Scale!$AB194)+IF(Scale!$AC194="",0,Scale!$AC194))</f>
        <v/>
      </c>
      <c r="L748" s="82">
        <f>IF(OR(Scale!$AA194="",Scale!$AA194=0),"",Scale!$AB194)</f>
        <v/>
      </c>
      <c r="M748" s="82">
        <f>IF(OR(Scale!$AA194="",Scale!$AA194=0),"",Scale!$AC194)</f>
        <v/>
      </c>
      <c r="N748" s="81">
        <f>IF(OR(Scale!$AA194="",Scale!$AA194=0),"","پوز")</f>
        <v/>
      </c>
      <c r="O748" s="81">
        <f>IF(OR(Scale!$AA194="",Scale!$AA194=0),"",IFERROR(VLOOKUP(Scale!$AA194,AcctTbl,3,0),""))</f>
        <v/>
      </c>
      <c r="P748" s="82">
        <f>IF(Scale!$AA194&lt;&gt;"X011","","BN02")</f>
        <v/>
      </c>
    </row>
    <row r="749" ht="20.25" customHeight="1">
      <c r="A749" s="80">
        <f>IF(OR(Scale!$AD194="",Scale!$AD194=0),"",Scale!$B194)</f>
        <v/>
      </c>
      <c r="B749" s="80">
        <f>IF(OR(Scale!$AD194="",Scale!$AD194=0),"",Scale!$D194)</f>
        <v/>
      </c>
      <c r="C749" s="80">
        <f>IF(OR(Scale!$AD194="",Scale!$AD194=0),"","باسکول")</f>
        <v/>
      </c>
      <c r="D749" s="80">
        <f>IF(OR(Scale!$AD194="",Scale!$AD194=0),"",Scale!$AD194)</f>
        <v/>
      </c>
      <c r="E749" s="81">
        <f>IF(OR(Scale!$AD194="",Scale!$AD194=0),"",IF(Scale!$AD194="","","مقابل پوز — "&amp;Scale!$E194))</f>
        <v/>
      </c>
      <c r="F749" s="83" t="n"/>
      <c r="G749" s="83" t="n"/>
      <c r="H749" s="83" t="n"/>
      <c r="I749" s="83" t="n"/>
      <c r="J749" s="83" t="n"/>
      <c r="K749" s="82">
        <f>IF(OR(Scale!$AD194="",Scale!$AD194=0),"",IF(Scale!$AE194="",0,Scale!$AE194)+IF(Scale!$AF194="",0,Scale!$AF194))</f>
        <v/>
      </c>
      <c r="L749" s="82">
        <f>IF(OR(Scale!$AD194="",Scale!$AD194=0),"",Scale!$AE194)</f>
        <v/>
      </c>
      <c r="M749" s="82">
        <f>IF(OR(Scale!$AD194="",Scale!$AD194=0),"",Scale!$AF194)</f>
        <v/>
      </c>
      <c r="N749" s="81">
        <f>IF(OR(Scale!$AD194="",Scale!$AD194=0),"","مقابل پوز")</f>
        <v/>
      </c>
      <c r="O749" s="81">
        <f>IF(OR(Scale!$AD194="",Scale!$AD194=0),"",IFERROR(VLOOKUP(Scale!$AD194,AcctTbl,3,0),""))</f>
        <v/>
      </c>
      <c r="P749" s="82">
        <f>IF(Scale!$AD194&lt;&gt;"X011","","BN02")</f>
        <v/>
      </c>
    </row>
    <row r="750" ht="20.25" customHeight="1">
      <c r="A750" s="80">
        <f>IF(OR(Scale!$U195="",Scale!$U195=0),"",Scale!$B195)</f>
        <v/>
      </c>
      <c r="B750" s="80">
        <f>IF(OR(Scale!$U195="",Scale!$U195=0),"",Scale!$D195)</f>
        <v/>
      </c>
      <c r="C750" s="80">
        <f>IF(OR(Scale!$U195="",Scale!$U195=0),"","باسکول")</f>
        <v/>
      </c>
      <c r="D750" s="80">
        <f>IF(OR(Scale!$U195="",Scale!$U195=0),"",Scale!$U195)</f>
        <v/>
      </c>
      <c r="E750" s="81">
        <f>IF(OR(Scale!$U195="",Scale!$U195=0),"",Scale!$T195)</f>
        <v/>
      </c>
      <c r="F750" s="81">
        <f>IF(OR(Scale!$U195="",Scale!$U195=0),"",Scale!$J195)</f>
        <v/>
      </c>
      <c r="G750" s="82">
        <f>IF(OR(Scale!$U195="",Scale!$U195=0),"",Scale!$M195)</f>
        <v/>
      </c>
      <c r="H750" s="82">
        <f>IF(OR(Scale!$U195="",Scale!$U195=0),"",Scale!$L195)</f>
        <v/>
      </c>
      <c r="I750" s="82">
        <f>IF(OR(Scale!$U195="",Scale!$U195=0),"",Scale!$N195)</f>
        <v/>
      </c>
      <c r="J750" s="82">
        <f>IF(OR(Scale!$U195="",Scale!$U195=0),"",Scale!$O195)</f>
        <v/>
      </c>
      <c r="K750" s="82">
        <f>IF(OR(Scale!$U195="",Scale!$U195=0),"",IF(Scale!$V195="",0,Scale!$V195)+IF(Scale!$W195="",0,Scale!$W195))</f>
        <v/>
      </c>
      <c r="L750" s="82">
        <f>IF(OR(Scale!$U195="",Scale!$U195=0),"",Scale!$V195)</f>
        <v/>
      </c>
      <c r="M750" s="82">
        <f>IF(OR(Scale!$U195="",Scale!$U195=0),"",Scale!$W195)</f>
        <v/>
      </c>
      <c r="N750" s="81">
        <f>IF(OR(Scale!$U195="",Scale!$U195=0),"",Scale!$E195)</f>
        <v/>
      </c>
      <c r="O750" s="81">
        <f>IF(OR(Scale!$U195="",Scale!$U195=0),"",IFERROR(VLOOKUP(Scale!$U195,AcctTbl,3,0),""))</f>
        <v/>
      </c>
      <c r="P750" s="82">
        <f>IF(Scale!$U195&lt;&gt;"X011","","BN02")</f>
        <v/>
      </c>
    </row>
    <row r="751" ht="20.25" customHeight="1">
      <c r="A751" s="80">
        <f>IF(OR(Scale!$X195="",Scale!$X195=0),"",Scale!$B195)</f>
        <v/>
      </c>
      <c r="B751" s="80">
        <f>IF(OR(Scale!$X195="",Scale!$X195=0),"",Scale!$D195)</f>
        <v/>
      </c>
      <c r="C751" s="80">
        <f>IF(OR(Scale!$X195="",Scale!$X195=0),"","باسکول")</f>
        <v/>
      </c>
      <c r="D751" s="80">
        <f>IF(OR(Scale!$X195="",Scale!$X195=0),"",Scale!$X195)</f>
        <v/>
      </c>
      <c r="E751" s="81">
        <f>IF(OR(Scale!$X195="",Scale!$X195=0),"",IF(Scale!$X195="","","مقابل: "&amp;Scale!$E195))</f>
        <v/>
      </c>
      <c r="F751" s="83" t="n"/>
      <c r="G751" s="83" t="n"/>
      <c r="H751" s="83" t="n"/>
      <c r="I751" s="83" t="n"/>
      <c r="J751" s="83" t="n"/>
      <c r="K751" s="82">
        <f>IF(OR(Scale!$X195="",Scale!$X195=0),"",IF(Scale!$Y195="",0,Scale!$Y195)+IF(Scale!$Z195="",0,Scale!$Z195))</f>
        <v/>
      </c>
      <c r="L751" s="82">
        <f>IF(OR(Scale!$X195="",Scale!$X195=0),"",Scale!$Y195)</f>
        <v/>
      </c>
      <c r="M751" s="82">
        <f>IF(OR(Scale!$X195="",Scale!$X195=0),"",Scale!$Z195)</f>
        <v/>
      </c>
      <c r="N751" s="81">
        <f>IF(OR(Scale!$X195="",Scale!$X195=0),"","مقابل")</f>
        <v/>
      </c>
      <c r="O751" s="81">
        <f>IF(OR(Scale!$X195="",Scale!$X195=0),"",IFERROR(VLOOKUP(Scale!$X195,AcctTbl,3,0),""))</f>
        <v/>
      </c>
      <c r="P751" s="82">
        <f>IF(Scale!$X195&lt;&gt;"X011","","BN02")</f>
        <v/>
      </c>
    </row>
    <row r="752" ht="20.25" customHeight="1">
      <c r="A752" s="80">
        <f>IF(OR(Scale!$AA195="",Scale!$AA195=0),"",Scale!$B195)</f>
        <v/>
      </c>
      <c r="B752" s="80">
        <f>IF(OR(Scale!$AA195="",Scale!$AA195=0),"",Scale!$D195)</f>
        <v/>
      </c>
      <c r="C752" s="80">
        <f>IF(OR(Scale!$AA195="",Scale!$AA195=0),"","باسکول")</f>
        <v/>
      </c>
      <c r="D752" s="80">
        <f>IF(OR(Scale!$AA195="",Scale!$AA195=0),"",Scale!$AA195)</f>
        <v/>
      </c>
      <c r="E752" s="81">
        <f>IF(OR(Scale!$AA195="",Scale!$AA195=0),"",IF(Scale!$AA195="","","پوز باسکول — "&amp;Scale!$E195))</f>
        <v/>
      </c>
      <c r="F752" s="83" t="n"/>
      <c r="G752" s="83" t="n"/>
      <c r="H752" s="83" t="n"/>
      <c r="I752" s="83" t="n"/>
      <c r="J752" s="83" t="n"/>
      <c r="K752" s="82">
        <f>IF(OR(Scale!$AA195="",Scale!$AA195=0),"",IF(Scale!$AB195="",0,Scale!$AB195)+IF(Scale!$AC195="",0,Scale!$AC195))</f>
        <v/>
      </c>
      <c r="L752" s="82">
        <f>IF(OR(Scale!$AA195="",Scale!$AA195=0),"",Scale!$AB195)</f>
        <v/>
      </c>
      <c r="M752" s="82">
        <f>IF(OR(Scale!$AA195="",Scale!$AA195=0),"",Scale!$AC195)</f>
        <v/>
      </c>
      <c r="N752" s="81">
        <f>IF(OR(Scale!$AA195="",Scale!$AA195=0),"","پوز")</f>
        <v/>
      </c>
      <c r="O752" s="81">
        <f>IF(OR(Scale!$AA195="",Scale!$AA195=0),"",IFERROR(VLOOKUP(Scale!$AA195,AcctTbl,3,0),""))</f>
        <v/>
      </c>
      <c r="P752" s="82">
        <f>IF(Scale!$AA195&lt;&gt;"X011","","BN02")</f>
        <v/>
      </c>
    </row>
    <row r="753" ht="20.25" customHeight="1">
      <c r="A753" s="80">
        <f>IF(OR(Scale!$AD195="",Scale!$AD195=0),"",Scale!$B195)</f>
        <v/>
      </c>
      <c r="B753" s="80">
        <f>IF(OR(Scale!$AD195="",Scale!$AD195=0),"",Scale!$D195)</f>
        <v/>
      </c>
      <c r="C753" s="80">
        <f>IF(OR(Scale!$AD195="",Scale!$AD195=0),"","باسکول")</f>
        <v/>
      </c>
      <c r="D753" s="80">
        <f>IF(OR(Scale!$AD195="",Scale!$AD195=0),"",Scale!$AD195)</f>
        <v/>
      </c>
      <c r="E753" s="81">
        <f>IF(OR(Scale!$AD195="",Scale!$AD195=0),"",IF(Scale!$AD195="","","مقابل پوز — "&amp;Scale!$E195))</f>
        <v/>
      </c>
      <c r="F753" s="83" t="n"/>
      <c r="G753" s="83" t="n"/>
      <c r="H753" s="83" t="n"/>
      <c r="I753" s="83" t="n"/>
      <c r="J753" s="83" t="n"/>
      <c r="K753" s="82">
        <f>IF(OR(Scale!$AD195="",Scale!$AD195=0),"",IF(Scale!$AE195="",0,Scale!$AE195)+IF(Scale!$AF195="",0,Scale!$AF195))</f>
        <v/>
      </c>
      <c r="L753" s="82">
        <f>IF(OR(Scale!$AD195="",Scale!$AD195=0),"",Scale!$AE195)</f>
        <v/>
      </c>
      <c r="M753" s="82">
        <f>IF(OR(Scale!$AD195="",Scale!$AD195=0),"",Scale!$AF195)</f>
        <v/>
      </c>
      <c r="N753" s="81">
        <f>IF(OR(Scale!$AD195="",Scale!$AD195=0),"","مقابل پوز")</f>
        <v/>
      </c>
      <c r="O753" s="81">
        <f>IF(OR(Scale!$AD195="",Scale!$AD195=0),"",IFERROR(VLOOKUP(Scale!$AD195,AcctTbl,3,0),""))</f>
        <v/>
      </c>
      <c r="P753" s="82">
        <f>IF(Scale!$AD195&lt;&gt;"X011","","BN02")</f>
        <v/>
      </c>
    </row>
    <row r="754" ht="20.25" customHeight="1">
      <c r="A754" s="80">
        <f>IF(OR(Scale!$U196="",Scale!$U196=0),"",Scale!$B196)</f>
        <v/>
      </c>
      <c r="B754" s="80">
        <f>IF(OR(Scale!$U196="",Scale!$U196=0),"",Scale!$D196)</f>
        <v/>
      </c>
      <c r="C754" s="80">
        <f>IF(OR(Scale!$U196="",Scale!$U196=0),"","باسکول")</f>
        <v/>
      </c>
      <c r="D754" s="80">
        <f>IF(OR(Scale!$U196="",Scale!$U196=0),"",Scale!$U196)</f>
        <v/>
      </c>
      <c r="E754" s="81">
        <f>IF(OR(Scale!$U196="",Scale!$U196=0),"",Scale!$T196)</f>
        <v/>
      </c>
      <c r="F754" s="81">
        <f>IF(OR(Scale!$U196="",Scale!$U196=0),"",Scale!$J196)</f>
        <v/>
      </c>
      <c r="G754" s="82">
        <f>IF(OR(Scale!$U196="",Scale!$U196=0),"",Scale!$M196)</f>
        <v/>
      </c>
      <c r="H754" s="82">
        <f>IF(OR(Scale!$U196="",Scale!$U196=0),"",Scale!$L196)</f>
        <v/>
      </c>
      <c r="I754" s="82">
        <f>IF(OR(Scale!$U196="",Scale!$U196=0),"",Scale!$N196)</f>
        <v/>
      </c>
      <c r="J754" s="82">
        <f>IF(OR(Scale!$U196="",Scale!$U196=0),"",Scale!$O196)</f>
        <v/>
      </c>
      <c r="K754" s="82">
        <f>IF(OR(Scale!$U196="",Scale!$U196=0),"",IF(Scale!$V196="",0,Scale!$V196)+IF(Scale!$W196="",0,Scale!$W196))</f>
        <v/>
      </c>
      <c r="L754" s="82">
        <f>IF(OR(Scale!$U196="",Scale!$U196=0),"",Scale!$V196)</f>
        <v/>
      </c>
      <c r="M754" s="82">
        <f>IF(OR(Scale!$U196="",Scale!$U196=0),"",Scale!$W196)</f>
        <v/>
      </c>
      <c r="N754" s="81">
        <f>IF(OR(Scale!$U196="",Scale!$U196=0),"",Scale!$E196)</f>
        <v/>
      </c>
      <c r="O754" s="81">
        <f>IF(OR(Scale!$U196="",Scale!$U196=0),"",IFERROR(VLOOKUP(Scale!$U196,AcctTbl,3,0),""))</f>
        <v/>
      </c>
      <c r="P754" s="82">
        <f>IF(Scale!$U196&lt;&gt;"X011","","BN02")</f>
        <v/>
      </c>
    </row>
    <row r="755" ht="20.25" customHeight="1">
      <c r="A755" s="80">
        <f>IF(OR(Scale!$X196="",Scale!$X196=0),"",Scale!$B196)</f>
        <v/>
      </c>
      <c r="B755" s="80">
        <f>IF(OR(Scale!$X196="",Scale!$X196=0),"",Scale!$D196)</f>
        <v/>
      </c>
      <c r="C755" s="80">
        <f>IF(OR(Scale!$X196="",Scale!$X196=0),"","باسکول")</f>
        <v/>
      </c>
      <c r="D755" s="80">
        <f>IF(OR(Scale!$X196="",Scale!$X196=0),"",Scale!$X196)</f>
        <v/>
      </c>
      <c r="E755" s="81">
        <f>IF(OR(Scale!$X196="",Scale!$X196=0),"",IF(Scale!$X196="","","مقابل: "&amp;Scale!$E196))</f>
        <v/>
      </c>
      <c r="F755" s="83" t="n"/>
      <c r="G755" s="83" t="n"/>
      <c r="H755" s="83" t="n"/>
      <c r="I755" s="83" t="n"/>
      <c r="J755" s="83" t="n"/>
      <c r="K755" s="82">
        <f>IF(OR(Scale!$X196="",Scale!$X196=0),"",IF(Scale!$Y196="",0,Scale!$Y196)+IF(Scale!$Z196="",0,Scale!$Z196))</f>
        <v/>
      </c>
      <c r="L755" s="82">
        <f>IF(OR(Scale!$X196="",Scale!$X196=0),"",Scale!$Y196)</f>
        <v/>
      </c>
      <c r="M755" s="82">
        <f>IF(OR(Scale!$X196="",Scale!$X196=0),"",Scale!$Z196)</f>
        <v/>
      </c>
      <c r="N755" s="81">
        <f>IF(OR(Scale!$X196="",Scale!$X196=0),"","مقابل")</f>
        <v/>
      </c>
      <c r="O755" s="81">
        <f>IF(OR(Scale!$X196="",Scale!$X196=0),"",IFERROR(VLOOKUP(Scale!$X196,AcctTbl,3,0),""))</f>
        <v/>
      </c>
      <c r="P755" s="82">
        <f>IF(Scale!$X196&lt;&gt;"X011","","BN02")</f>
        <v/>
      </c>
    </row>
    <row r="756" ht="20.25" customHeight="1">
      <c r="A756" s="80">
        <f>IF(OR(Scale!$AA196="",Scale!$AA196=0),"",Scale!$B196)</f>
        <v/>
      </c>
      <c r="B756" s="80">
        <f>IF(OR(Scale!$AA196="",Scale!$AA196=0),"",Scale!$D196)</f>
        <v/>
      </c>
      <c r="C756" s="80">
        <f>IF(OR(Scale!$AA196="",Scale!$AA196=0),"","باسکول")</f>
        <v/>
      </c>
      <c r="D756" s="80">
        <f>IF(OR(Scale!$AA196="",Scale!$AA196=0),"",Scale!$AA196)</f>
        <v/>
      </c>
      <c r="E756" s="81">
        <f>IF(OR(Scale!$AA196="",Scale!$AA196=0),"",IF(Scale!$AA196="","","پوز باسکول — "&amp;Scale!$E196))</f>
        <v/>
      </c>
      <c r="F756" s="83" t="n"/>
      <c r="G756" s="83" t="n"/>
      <c r="H756" s="83" t="n"/>
      <c r="I756" s="83" t="n"/>
      <c r="J756" s="83" t="n"/>
      <c r="K756" s="82">
        <f>IF(OR(Scale!$AA196="",Scale!$AA196=0),"",IF(Scale!$AB196="",0,Scale!$AB196)+IF(Scale!$AC196="",0,Scale!$AC196))</f>
        <v/>
      </c>
      <c r="L756" s="82">
        <f>IF(OR(Scale!$AA196="",Scale!$AA196=0),"",Scale!$AB196)</f>
        <v/>
      </c>
      <c r="M756" s="82">
        <f>IF(OR(Scale!$AA196="",Scale!$AA196=0),"",Scale!$AC196)</f>
        <v/>
      </c>
      <c r="N756" s="81">
        <f>IF(OR(Scale!$AA196="",Scale!$AA196=0),"","پوز")</f>
        <v/>
      </c>
      <c r="O756" s="81">
        <f>IF(OR(Scale!$AA196="",Scale!$AA196=0),"",IFERROR(VLOOKUP(Scale!$AA196,AcctTbl,3,0),""))</f>
        <v/>
      </c>
      <c r="P756" s="82">
        <f>IF(Scale!$AA196&lt;&gt;"X011","","BN02")</f>
        <v/>
      </c>
    </row>
    <row r="757" ht="20.25" customHeight="1">
      <c r="A757" s="80">
        <f>IF(OR(Scale!$AD196="",Scale!$AD196=0),"",Scale!$B196)</f>
        <v/>
      </c>
      <c r="B757" s="80">
        <f>IF(OR(Scale!$AD196="",Scale!$AD196=0),"",Scale!$D196)</f>
        <v/>
      </c>
      <c r="C757" s="80">
        <f>IF(OR(Scale!$AD196="",Scale!$AD196=0),"","باسکول")</f>
        <v/>
      </c>
      <c r="D757" s="80">
        <f>IF(OR(Scale!$AD196="",Scale!$AD196=0),"",Scale!$AD196)</f>
        <v/>
      </c>
      <c r="E757" s="81">
        <f>IF(OR(Scale!$AD196="",Scale!$AD196=0),"",IF(Scale!$AD196="","","مقابل پوز — "&amp;Scale!$E196))</f>
        <v/>
      </c>
      <c r="F757" s="83" t="n"/>
      <c r="G757" s="83" t="n"/>
      <c r="H757" s="83" t="n"/>
      <c r="I757" s="83" t="n"/>
      <c r="J757" s="83" t="n"/>
      <c r="K757" s="82">
        <f>IF(OR(Scale!$AD196="",Scale!$AD196=0),"",IF(Scale!$AE196="",0,Scale!$AE196)+IF(Scale!$AF196="",0,Scale!$AF196))</f>
        <v/>
      </c>
      <c r="L757" s="82">
        <f>IF(OR(Scale!$AD196="",Scale!$AD196=0),"",Scale!$AE196)</f>
        <v/>
      </c>
      <c r="M757" s="82">
        <f>IF(OR(Scale!$AD196="",Scale!$AD196=0),"",Scale!$AF196)</f>
        <v/>
      </c>
      <c r="N757" s="81">
        <f>IF(OR(Scale!$AD196="",Scale!$AD196=0),"","مقابل پوز")</f>
        <v/>
      </c>
      <c r="O757" s="81">
        <f>IF(OR(Scale!$AD196="",Scale!$AD196=0),"",IFERROR(VLOOKUP(Scale!$AD196,AcctTbl,3,0),""))</f>
        <v/>
      </c>
      <c r="P757" s="82">
        <f>IF(Scale!$AD196&lt;&gt;"X011","","BN02")</f>
        <v/>
      </c>
    </row>
    <row r="758" ht="20.25" customHeight="1">
      <c r="A758" s="80">
        <f>IF(OR(Scale!$U197="",Scale!$U197=0),"",Scale!$B197)</f>
        <v/>
      </c>
      <c r="B758" s="80">
        <f>IF(OR(Scale!$U197="",Scale!$U197=0),"",Scale!$D197)</f>
        <v/>
      </c>
      <c r="C758" s="80">
        <f>IF(OR(Scale!$U197="",Scale!$U197=0),"","باسکول")</f>
        <v/>
      </c>
      <c r="D758" s="80">
        <f>IF(OR(Scale!$U197="",Scale!$U197=0),"",Scale!$U197)</f>
        <v/>
      </c>
      <c r="E758" s="81">
        <f>IF(OR(Scale!$U197="",Scale!$U197=0),"",Scale!$T197)</f>
        <v/>
      </c>
      <c r="F758" s="81">
        <f>IF(OR(Scale!$U197="",Scale!$U197=0),"",Scale!$J197)</f>
        <v/>
      </c>
      <c r="G758" s="82">
        <f>IF(OR(Scale!$U197="",Scale!$U197=0),"",Scale!$M197)</f>
        <v/>
      </c>
      <c r="H758" s="82">
        <f>IF(OR(Scale!$U197="",Scale!$U197=0),"",Scale!$L197)</f>
        <v/>
      </c>
      <c r="I758" s="82">
        <f>IF(OR(Scale!$U197="",Scale!$U197=0),"",Scale!$N197)</f>
        <v/>
      </c>
      <c r="J758" s="82">
        <f>IF(OR(Scale!$U197="",Scale!$U197=0),"",Scale!$O197)</f>
        <v/>
      </c>
      <c r="K758" s="82">
        <f>IF(OR(Scale!$U197="",Scale!$U197=0),"",IF(Scale!$V197="",0,Scale!$V197)+IF(Scale!$W197="",0,Scale!$W197))</f>
        <v/>
      </c>
      <c r="L758" s="82">
        <f>IF(OR(Scale!$U197="",Scale!$U197=0),"",Scale!$V197)</f>
        <v/>
      </c>
      <c r="M758" s="82">
        <f>IF(OR(Scale!$U197="",Scale!$U197=0),"",Scale!$W197)</f>
        <v/>
      </c>
      <c r="N758" s="81">
        <f>IF(OR(Scale!$U197="",Scale!$U197=0),"",Scale!$E197)</f>
        <v/>
      </c>
      <c r="O758" s="81">
        <f>IF(OR(Scale!$U197="",Scale!$U197=0),"",IFERROR(VLOOKUP(Scale!$U197,AcctTbl,3,0),""))</f>
        <v/>
      </c>
      <c r="P758" s="82">
        <f>IF(Scale!$U197&lt;&gt;"X011","","BN02")</f>
        <v/>
      </c>
    </row>
    <row r="759" ht="20.25" customHeight="1">
      <c r="A759" s="80">
        <f>IF(OR(Scale!$X197="",Scale!$X197=0),"",Scale!$B197)</f>
        <v/>
      </c>
      <c r="B759" s="80">
        <f>IF(OR(Scale!$X197="",Scale!$X197=0),"",Scale!$D197)</f>
        <v/>
      </c>
      <c r="C759" s="80">
        <f>IF(OR(Scale!$X197="",Scale!$X197=0),"","باسکول")</f>
        <v/>
      </c>
      <c r="D759" s="80">
        <f>IF(OR(Scale!$X197="",Scale!$X197=0),"",Scale!$X197)</f>
        <v/>
      </c>
      <c r="E759" s="81">
        <f>IF(OR(Scale!$X197="",Scale!$X197=0),"",IF(Scale!$X197="","","مقابل: "&amp;Scale!$E197))</f>
        <v/>
      </c>
      <c r="F759" s="83" t="n"/>
      <c r="G759" s="83" t="n"/>
      <c r="H759" s="83" t="n"/>
      <c r="I759" s="83" t="n"/>
      <c r="J759" s="83" t="n"/>
      <c r="K759" s="82">
        <f>IF(OR(Scale!$X197="",Scale!$X197=0),"",IF(Scale!$Y197="",0,Scale!$Y197)+IF(Scale!$Z197="",0,Scale!$Z197))</f>
        <v/>
      </c>
      <c r="L759" s="82">
        <f>IF(OR(Scale!$X197="",Scale!$X197=0),"",Scale!$Y197)</f>
        <v/>
      </c>
      <c r="M759" s="82">
        <f>IF(OR(Scale!$X197="",Scale!$X197=0),"",Scale!$Z197)</f>
        <v/>
      </c>
      <c r="N759" s="81">
        <f>IF(OR(Scale!$X197="",Scale!$X197=0),"","مقابل")</f>
        <v/>
      </c>
      <c r="O759" s="81">
        <f>IF(OR(Scale!$X197="",Scale!$X197=0),"",IFERROR(VLOOKUP(Scale!$X197,AcctTbl,3,0),""))</f>
        <v/>
      </c>
      <c r="P759" s="82">
        <f>IF(Scale!$X197&lt;&gt;"X011","","BN02")</f>
        <v/>
      </c>
    </row>
    <row r="760" ht="20.25" customHeight="1">
      <c r="A760" s="80">
        <f>IF(OR(Scale!$AA197="",Scale!$AA197=0),"",Scale!$B197)</f>
        <v/>
      </c>
      <c r="B760" s="80">
        <f>IF(OR(Scale!$AA197="",Scale!$AA197=0),"",Scale!$D197)</f>
        <v/>
      </c>
      <c r="C760" s="80">
        <f>IF(OR(Scale!$AA197="",Scale!$AA197=0),"","باسکول")</f>
        <v/>
      </c>
      <c r="D760" s="80">
        <f>IF(OR(Scale!$AA197="",Scale!$AA197=0),"",Scale!$AA197)</f>
        <v/>
      </c>
      <c r="E760" s="81">
        <f>IF(OR(Scale!$AA197="",Scale!$AA197=0),"",IF(Scale!$AA197="","","پوز باسکول — "&amp;Scale!$E197))</f>
        <v/>
      </c>
      <c r="F760" s="83" t="n"/>
      <c r="G760" s="83" t="n"/>
      <c r="H760" s="83" t="n"/>
      <c r="I760" s="83" t="n"/>
      <c r="J760" s="83" t="n"/>
      <c r="K760" s="82">
        <f>IF(OR(Scale!$AA197="",Scale!$AA197=0),"",IF(Scale!$AB197="",0,Scale!$AB197)+IF(Scale!$AC197="",0,Scale!$AC197))</f>
        <v/>
      </c>
      <c r="L760" s="82">
        <f>IF(OR(Scale!$AA197="",Scale!$AA197=0),"",Scale!$AB197)</f>
        <v/>
      </c>
      <c r="M760" s="82">
        <f>IF(OR(Scale!$AA197="",Scale!$AA197=0),"",Scale!$AC197)</f>
        <v/>
      </c>
      <c r="N760" s="81">
        <f>IF(OR(Scale!$AA197="",Scale!$AA197=0),"","پوز")</f>
        <v/>
      </c>
      <c r="O760" s="81">
        <f>IF(OR(Scale!$AA197="",Scale!$AA197=0),"",IFERROR(VLOOKUP(Scale!$AA197,AcctTbl,3,0),""))</f>
        <v/>
      </c>
      <c r="P760" s="82">
        <f>IF(Scale!$AA197&lt;&gt;"X011","","BN02")</f>
        <v/>
      </c>
    </row>
    <row r="761" ht="20.25" customHeight="1">
      <c r="A761" s="80">
        <f>IF(OR(Scale!$AD197="",Scale!$AD197=0),"",Scale!$B197)</f>
        <v/>
      </c>
      <c r="B761" s="80">
        <f>IF(OR(Scale!$AD197="",Scale!$AD197=0),"",Scale!$D197)</f>
        <v/>
      </c>
      <c r="C761" s="80">
        <f>IF(OR(Scale!$AD197="",Scale!$AD197=0),"","باسکول")</f>
        <v/>
      </c>
      <c r="D761" s="80">
        <f>IF(OR(Scale!$AD197="",Scale!$AD197=0),"",Scale!$AD197)</f>
        <v/>
      </c>
      <c r="E761" s="81">
        <f>IF(OR(Scale!$AD197="",Scale!$AD197=0),"",IF(Scale!$AD197="","","مقابل پوز — "&amp;Scale!$E197))</f>
        <v/>
      </c>
      <c r="F761" s="83" t="n"/>
      <c r="G761" s="83" t="n"/>
      <c r="H761" s="83" t="n"/>
      <c r="I761" s="83" t="n"/>
      <c r="J761" s="83" t="n"/>
      <c r="K761" s="82">
        <f>IF(OR(Scale!$AD197="",Scale!$AD197=0),"",IF(Scale!$AE197="",0,Scale!$AE197)+IF(Scale!$AF197="",0,Scale!$AF197))</f>
        <v/>
      </c>
      <c r="L761" s="82">
        <f>IF(OR(Scale!$AD197="",Scale!$AD197=0),"",Scale!$AE197)</f>
        <v/>
      </c>
      <c r="M761" s="82">
        <f>IF(OR(Scale!$AD197="",Scale!$AD197=0),"",Scale!$AF197)</f>
        <v/>
      </c>
      <c r="N761" s="81">
        <f>IF(OR(Scale!$AD197="",Scale!$AD197=0),"","مقابل پوز")</f>
        <v/>
      </c>
      <c r="O761" s="81">
        <f>IF(OR(Scale!$AD197="",Scale!$AD197=0),"",IFERROR(VLOOKUP(Scale!$AD197,AcctTbl,3,0),""))</f>
        <v/>
      </c>
      <c r="P761" s="82">
        <f>IF(Scale!$AD197&lt;&gt;"X011","","BN02")</f>
        <v/>
      </c>
    </row>
    <row r="762" ht="20.25" customHeight="1">
      <c r="A762" s="80">
        <f>IF(OR(Scale!$U198="",Scale!$U198=0),"",Scale!$B198)</f>
        <v/>
      </c>
      <c r="B762" s="80">
        <f>IF(OR(Scale!$U198="",Scale!$U198=0),"",Scale!$D198)</f>
        <v/>
      </c>
      <c r="C762" s="80">
        <f>IF(OR(Scale!$U198="",Scale!$U198=0),"","باسکول")</f>
        <v/>
      </c>
      <c r="D762" s="80">
        <f>IF(OR(Scale!$U198="",Scale!$U198=0),"",Scale!$U198)</f>
        <v/>
      </c>
      <c r="E762" s="81">
        <f>IF(OR(Scale!$U198="",Scale!$U198=0),"",Scale!$T198)</f>
        <v/>
      </c>
      <c r="F762" s="81">
        <f>IF(OR(Scale!$U198="",Scale!$U198=0),"",Scale!$J198)</f>
        <v/>
      </c>
      <c r="G762" s="82">
        <f>IF(OR(Scale!$U198="",Scale!$U198=0),"",Scale!$M198)</f>
        <v/>
      </c>
      <c r="H762" s="82">
        <f>IF(OR(Scale!$U198="",Scale!$U198=0),"",Scale!$L198)</f>
        <v/>
      </c>
      <c r="I762" s="82">
        <f>IF(OR(Scale!$U198="",Scale!$U198=0),"",Scale!$N198)</f>
        <v/>
      </c>
      <c r="J762" s="82">
        <f>IF(OR(Scale!$U198="",Scale!$U198=0),"",Scale!$O198)</f>
        <v/>
      </c>
      <c r="K762" s="82">
        <f>IF(OR(Scale!$U198="",Scale!$U198=0),"",IF(Scale!$V198="",0,Scale!$V198)+IF(Scale!$W198="",0,Scale!$W198))</f>
        <v/>
      </c>
      <c r="L762" s="82">
        <f>IF(OR(Scale!$U198="",Scale!$U198=0),"",Scale!$V198)</f>
        <v/>
      </c>
      <c r="M762" s="82">
        <f>IF(OR(Scale!$U198="",Scale!$U198=0),"",Scale!$W198)</f>
        <v/>
      </c>
      <c r="N762" s="81">
        <f>IF(OR(Scale!$U198="",Scale!$U198=0),"",Scale!$E198)</f>
        <v/>
      </c>
      <c r="O762" s="81">
        <f>IF(OR(Scale!$U198="",Scale!$U198=0),"",IFERROR(VLOOKUP(Scale!$U198,AcctTbl,3,0),""))</f>
        <v/>
      </c>
      <c r="P762" s="82">
        <f>IF(Scale!$U198&lt;&gt;"X011","","BN02")</f>
        <v/>
      </c>
    </row>
    <row r="763" ht="20.25" customHeight="1">
      <c r="A763" s="80">
        <f>IF(OR(Scale!$X198="",Scale!$X198=0),"",Scale!$B198)</f>
        <v/>
      </c>
      <c r="B763" s="80">
        <f>IF(OR(Scale!$X198="",Scale!$X198=0),"",Scale!$D198)</f>
        <v/>
      </c>
      <c r="C763" s="80">
        <f>IF(OR(Scale!$X198="",Scale!$X198=0),"","باسکول")</f>
        <v/>
      </c>
      <c r="D763" s="80">
        <f>IF(OR(Scale!$X198="",Scale!$X198=0),"",Scale!$X198)</f>
        <v/>
      </c>
      <c r="E763" s="81">
        <f>IF(OR(Scale!$X198="",Scale!$X198=0),"",IF(Scale!$X198="","","مقابل: "&amp;Scale!$E198))</f>
        <v/>
      </c>
      <c r="F763" s="83" t="n"/>
      <c r="G763" s="83" t="n"/>
      <c r="H763" s="83" t="n"/>
      <c r="I763" s="83" t="n"/>
      <c r="J763" s="83" t="n"/>
      <c r="K763" s="82">
        <f>IF(OR(Scale!$X198="",Scale!$X198=0),"",IF(Scale!$Y198="",0,Scale!$Y198)+IF(Scale!$Z198="",0,Scale!$Z198))</f>
        <v/>
      </c>
      <c r="L763" s="82">
        <f>IF(OR(Scale!$X198="",Scale!$X198=0),"",Scale!$Y198)</f>
        <v/>
      </c>
      <c r="M763" s="82">
        <f>IF(OR(Scale!$X198="",Scale!$X198=0),"",Scale!$Z198)</f>
        <v/>
      </c>
      <c r="N763" s="81">
        <f>IF(OR(Scale!$X198="",Scale!$X198=0),"","مقابل")</f>
        <v/>
      </c>
      <c r="O763" s="81">
        <f>IF(OR(Scale!$X198="",Scale!$X198=0),"",IFERROR(VLOOKUP(Scale!$X198,AcctTbl,3,0),""))</f>
        <v/>
      </c>
      <c r="P763" s="82">
        <f>IF(Scale!$X198&lt;&gt;"X011","","BN02")</f>
        <v/>
      </c>
    </row>
    <row r="764" ht="20.25" customHeight="1">
      <c r="A764" s="80">
        <f>IF(OR(Scale!$AA198="",Scale!$AA198=0),"",Scale!$B198)</f>
        <v/>
      </c>
      <c r="B764" s="80">
        <f>IF(OR(Scale!$AA198="",Scale!$AA198=0),"",Scale!$D198)</f>
        <v/>
      </c>
      <c r="C764" s="80">
        <f>IF(OR(Scale!$AA198="",Scale!$AA198=0),"","باسکول")</f>
        <v/>
      </c>
      <c r="D764" s="80">
        <f>IF(OR(Scale!$AA198="",Scale!$AA198=0),"",Scale!$AA198)</f>
        <v/>
      </c>
      <c r="E764" s="81">
        <f>IF(OR(Scale!$AA198="",Scale!$AA198=0),"",IF(Scale!$AA198="","","پوز باسکول — "&amp;Scale!$E198))</f>
        <v/>
      </c>
      <c r="F764" s="83" t="n"/>
      <c r="G764" s="83" t="n"/>
      <c r="H764" s="83" t="n"/>
      <c r="I764" s="83" t="n"/>
      <c r="J764" s="83" t="n"/>
      <c r="K764" s="82">
        <f>IF(OR(Scale!$AA198="",Scale!$AA198=0),"",IF(Scale!$AB198="",0,Scale!$AB198)+IF(Scale!$AC198="",0,Scale!$AC198))</f>
        <v/>
      </c>
      <c r="L764" s="82">
        <f>IF(OR(Scale!$AA198="",Scale!$AA198=0),"",Scale!$AB198)</f>
        <v/>
      </c>
      <c r="M764" s="82">
        <f>IF(OR(Scale!$AA198="",Scale!$AA198=0),"",Scale!$AC198)</f>
        <v/>
      </c>
      <c r="N764" s="81">
        <f>IF(OR(Scale!$AA198="",Scale!$AA198=0),"","پوز")</f>
        <v/>
      </c>
      <c r="O764" s="81">
        <f>IF(OR(Scale!$AA198="",Scale!$AA198=0),"",IFERROR(VLOOKUP(Scale!$AA198,AcctTbl,3,0),""))</f>
        <v/>
      </c>
      <c r="P764" s="82">
        <f>IF(Scale!$AA198&lt;&gt;"X011","","BN02")</f>
        <v/>
      </c>
    </row>
    <row r="765" ht="20.25" customHeight="1">
      <c r="A765" s="80">
        <f>IF(OR(Scale!$AD198="",Scale!$AD198=0),"",Scale!$B198)</f>
        <v/>
      </c>
      <c r="B765" s="80">
        <f>IF(OR(Scale!$AD198="",Scale!$AD198=0),"",Scale!$D198)</f>
        <v/>
      </c>
      <c r="C765" s="80">
        <f>IF(OR(Scale!$AD198="",Scale!$AD198=0),"","باسکول")</f>
        <v/>
      </c>
      <c r="D765" s="80">
        <f>IF(OR(Scale!$AD198="",Scale!$AD198=0),"",Scale!$AD198)</f>
        <v/>
      </c>
      <c r="E765" s="81">
        <f>IF(OR(Scale!$AD198="",Scale!$AD198=0),"",IF(Scale!$AD198="","","مقابل پوز — "&amp;Scale!$E198))</f>
        <v/>
      </c>
      <c r="F765" s="83" t="n"/>
      <c r="G765" s="83" t="n"/>
      <c r="H765" s="83" t="n"/>
      <c r="I765" s="83" t="n"/>
      <c r="J765" s="83" t="n"/>
      <c r="K765" s="82">
        <f>IF(OR(Scale!$AD198="",Scale!$AD198=0),"",IF(Scale!$AE198="",0,Scale!$AE198)+IF(Scale!$AF198="",0,Scale!$AF198))</f>
        <v/>
      </c>
      <c r="L765" s="82">
        <f>IF(OR(Scale!$AD198="",Scale!$AD198=0),"",Scale!$AE198)</f>
        <v/>
      </c>
      <c r="M765" s="82">
        <f>IF(OR(Scale!$AD198="",Scale!$AD198=0),"",Scale!$AF198)</f>
        <v/>
      </c>
      <c r="N765" s="81">
        <f>IF(OR(Scale!$AD198="",Scale!$AD198=0),"","مقابل پوز")</f>
        <v/>
      </c>
      <c r="O765" s="81">
        <f>IF(OR(Scale!$AD198="",Scale!$AD198=0),"",IFERROR(VLOOKUP(Scale!$AD198,AcctTbl,3,0),""))</f>
        <v/>
      </c>
      <c r="P765" s="82">
        <f>IF(Scale!$AD198&lt;&gt;"X011","","BN02")</f>
        <v/>
      </c>
    </row>
    <row r="766" ht="20.25" customHeight="1">
      <c r="A766" s="80">
        <f>IF(OR(Scale!$U199="",Scale!$U199=0),"",Scale!$B199)</f>
        <v/>
      </c>
      <c r="B766" s="80">
        <f>IF(OR(Scale!$U199="",Scale!$U199=0),"",Scale!$D199)</f>
        <v/>
      </c>
      <c r="C766" s="80">
        <f>IF(OR(Scale!$U199="",Scale!$U199=0),"","باسکول")</f>
        <v/>
      </c>
      <c r="D766" s="80">
        <f>IF(OR(Scale!$U199="",Scale!$U199=0),"",Scale!$U199)</f>
        <v/>
      </c>
      <c r="E766" s="81">
        <f>IF(OR(Scale!$U199="",Scale!$U199=0),"",Scale!$T199)</f>
        <v/>
      </c>
      <c r="F766" s="81">
        <f>IF(OR(Scale!$U199="",Scale!$U199=0),"",Scale!$J199)</f>
        <v/>
      </c>
      <c r="G766" s="82">
        <f>IF(OR(Scale!$U199="",Scale!$U199=0),"",Scale!$M199)</f>
        <v/>
      </c>
      <c r="H766" s="82">
        <f>IF(OR(Scale!$U199="",Scale!$U199=0),"",Scale!$L199)</f>
        <v/>
      </c>
      <c r="I766" s="82">
        <f>IF(OR(Scale!$U199="",Scale!$U199=0),"",Scale!$N199)</f>
        <v/>
      </c>
      <c r="J766" s="82">
        <f>IF(OR(Scale!$U199="",Scale!$U199=0),"",Scale!$O199)</f>
        <v/>
      </c>
      <c r="K766" s="82">
        <f>IF(OR(Scale!$U199="",Scale!$U199=0),"",IF(Scale!$V199="",0,Scale!$V199)+IF(Scale!$W199="",0,Scale!$W199))</f>
        <v/>
      </c>
      <c r="L766" s="82">
        <f>IF(OR(Scale!$U199="",Scale!$U199=0),"",Scale!$V199)</f>
        <v/>
      </c>
      <c r="M766" s="82">
        <f>IF(OR(Scale!$U199="",Scale!$U199=0),"",Scale!$W199)</f>
        <v/>
      </c>
      <c r="N766" s="81">
        <f>IF(OR(Scale!$U199="",Scale!$U199=0),"",Scale!$E199)</f>
        <v/>
      </c>
      <c r="O766" s="81">
        <f>IF(OR(Scale!$U199="",Scale!$U199=0),"",IFERROR(VLOOKUP(Scale!$U199,AcctTbl,3,0),""))</f>
        <v/>
      </c>
      <c r="P766" s="82">
        <f>IF(Scale!$U199&lt;&gt;"X011","","BN02")</f>
        <v/>
      </c>
    </row>
    <row r="767" ht="20.25" customHeight="1">
      <c r="A767" s="80">
        <f>IF(OR(Scale!$X199="",Scale!$X199=0),"",Scale!$B199)</f>
        <v/>
      </c>
      <c r="B767" s="80">
        <f>IF(OR(Scale!$X199="",Scale!$X199=0),"",Scale!$D199)</f>
        <v/>
      </c>
      <c r="C767" s="80">
        <f>IF(OR(Scale!$X199="",Scale!$X199=0),"","باسکول")</f>
        <v/>
      </c>
      <c r="D767" s="80">
        <f>IF(OR(Scale!$X199="",Scale!$X199=0),"",Scale!$X199)</f>
        <v/>
      </c>
      <c r="E767" s="81">
        <f>IF(OR(Scale!$X199="",Scale!$X199=0),"",IF(Scale!$X199="","","مقابل: "&amp;Scale!$E199))</f>
        <v/>
      </c>
      <c r="F767" s="83" t="n"/>
      <c r="G767" s="83" t="n"/>
      <c r="H767" s="83" t="n"/>
      <c r="I767" s="83" t="n"/>
      <c r="J767" s="83" t="n"/>
      <c r="K767" s="82">
        <f>IF(OR(Scale!$X199="",Scale!$X199=0),"",IF(Scale!$Y199="",0,Scale!$Y199)+IF(Scale!$Z199="",0,Scale!$Z199))</f>
        <v/>
      </c>
      <c r="L767" s="82">
        <f>IF(OR(Scale!$X199="",Scale!$X199=0),"",Scale!$Y199)</f>
        <v/>
      </c>
      <c r="M767" s="82">
        <f>IF(OR(Scale!$X199="",Scale!$X199=0),"",Scale!$Z199)</f>
        <v/>
      </c>
      <c r="N767" s="81">
        <f>IF(OR(Scale!$X199="",Scale!$X199=0),"","مقابل")</f>
        <v/>
      </c>
      <c r="O767" s="81">
        <f>IF(OR(Scale!$X199="",Scale!$X199=0),"",IFERROR(VLOOKUP(Scale!$X199,AcctTbl,3,0),""))</f>
        <v/>
      </c>
      <c r="P767" s="82">
        <f>IF(Scale!$X199&lt;&gt;"X011","","BN02")</f>
        <v/>
      </c>
    </row>
    <row r="768" ht="20.25" customHeight="1">
      <c r="A768" s="80">
        <f>IF(OR(Scale!$AA199="",Scale!$AA199=0),"",Scale!$B199)</f>
        <v/>
      </c>
      <c r="B768" s="80">
        <f>IF(OR(Scale!$AA199="",Scale!$AA199=0),"",Scale!$D199)</f>
        <v/>
      </c>
      <c r="C768" s="80">
        <f>IF(OR(Scale!$AA199="",Scale!$AA199=0),"","باسکول")</f>
        <v/>
      </c>
      <c r="D768" s="80">
        <f>IF(OR(Scale!$AA199="",Scale!$AA199=0),"",Scale!$AA199)</f>
        <v/>
      </c>
      <c r="E768" s="81">
        <f>IF(OR(Scale!$AA199="",Scale!$AA199=0),"",IF(Scale!$AA199="","","پوز باسکول — "&amp;Scale!$E199))</f>
        <v/>
      </c>
      <c r="F768" s="83" t="n"/>
      <c r="G768" s="83" t="n"/>
      <c r="H768" s="83" t="n"/>
      <c r="I768" s="83" t="n"/>
      <c r="J768" s="83" t="n"/>
      <c r="K768" s="82">
        <f>IF(OR(Scale!$AA199="",Scale!$AA199=0),"",IF(Scale!$AB199="",0,Scale!$AB199)+IF(Scale!$AC199="",0,Scale!$AC199))</f>
        <v/>
      </c>
      <c r="L768" s="82">
        <f>IF(OR(Scale!$AA199="",Scale!$AA199=0),"",Scale!$AB199)</f>
        <v/>
      </c>
      <c r="M768" s="82">
        <f>IF(OR(Scale!$AA199="",Scale!$AA199=0),"",Scale!$AC199)</f>
        <v/>
      </c>
      <c r="N768" s="81">
        <f>IF(OR(Scale!$AA199="",Scale!$AA199=0),"","پوز")</f>
        <v/>
      </c>
      <c r="O768" s="81">
        <f>IF(OR(Scale!$AA199="",Scale!$AA199=0),"",IFERROR(VLOOKUP(Scale!$AA199,AcctTbl,3,0),""))</f>
        <v/>
      </c>
      <c r="P768" s="82">
        <f>IF(Scale!$AA199&lt;&gt;"X011","","BN02")</f>
        <v/>
      </c>
    </row>
    <row r="769" ht="20.25" customHeight="1">
      <c r="A769" s="80">
        <f>IF(OR(Scale!$AD199="",Scale!$AD199=0),"",Scale!$B199)</f>
        <v/>
      </c>
      <c r="B769" s="80">
        <f>IF(OR(Scale!$AD199="",Scale!$AD199=0),"",Scale!$D199)</f>
        <v/>
      </c>
      <c r="C769" s="80">
        <f>IF(OR(Scale!$AD199="",Scale!$AD199=0),"","باسکول")</f>
        <v/>
      </c>
      <c r="D769" s="80">
        <f>IF(OR(Scale!$AD199="",Scale!$AD199=0),"",Scale!$AD199)</f>
        <v/>
      </c>
      <c r="E769" s="81">
        <f>IF(OR(Scale!$AD199="",Scale!$AD199=0),"",IF(Scale!$AD199="","","مقابل پوز — "&amp;Scale!$E199))</f>
        <v/>
      </c>
      <c r="F769" s="83" t="n"/>
      <c r="G769" s="83" t="n"/>
      <c r="H769" s="83" t="n"/>
      <c r="I769" s="83" t="n"/>
      <c r="J769" s="83" t="n"/>
      <c r="K769" s="82">
        <f>IF(OR(Scale!$AD199="",Scale!$AD199=0),"",IF(Scale!$AE199="",0,Scale!$AE199)+IF(Scale!$AF199="",0,Scale!$AF199))</f>
        <v/>
      </c>
      <c r="L769" s="82">
        <f>IF(OR(Scale!$AD199="",Scale!$AD199=0),"",Scale!$AE199)</f>
        <v/>
      </c>
      <c r="M769" s="82">
        <f>IF(OR(Scale!$AD199="",Scale!$AD199=0),"",Scale!$AF199)</f>
        <v/>
      </c>
      <c r="N769" s="81">
        <f>IF(OR(Scale!$AD199="",Scale!$AD199=0),"","مقابل پوز")</f>
        <v/>
      </c>
      <c r="O769" s="81">
        <f>IF(OR(Scale!$AD199="",Scale!$AD199=0),"",IFERROR(VLOOKUP(Scale!$AD199,AcctTbl,3,0),""))</f>
        <v/>
      </c>
      <c r="P769" s="82">
        <f>IF(Scale!$AD199&lt;&gt;"X011","","BN02")</f>
        <v/>
      </c>
    </row>
    <row r="770" ht="20.25" customHeight="1">
      <c r="A770" s="80">
        <f>IF(OR(Scale!$U200="",Scale!$U200=0),"",Scale!$B200)</f>
        <v/>
      </c>
      <c r="B770" s="80">
        <f>IF(OR(Scale!$U200="",Scale!$U200=0),"",Scale!$D200)</f>
        <v/>
      </c>
      <c r="C770" s="80">
        <f>IF(OR(Scale!$U200="",Scale!$U200=0),"","باسکول")</f>
        <v/>
      </c>
      <c r="D770" s="80">
        <f>IF(OR(Scale!$U200="",Scale!$U200=0),"",Scale!$U200)</f>
        <v/>
      </c>
      <c r="E770" s="81">
        <f>IF(OR(Scale!$U200="",Scale!$U200=0),"",Scale!$T200)</f>
        <v/>
      </c>
      <c r="F770" s="81">
        <f>IF(OR(Scale!$U200="",Scale!$U200=0),"",Scale!$J200)</f>
        <v/>
      </c>
      <c r="G770" s="82">
        <f>IF(OR(Scale!$U200="",Scale!$U200=0),"",Scale!$M200)</f>
        <v/>
      </c>
      <c r="H770" s="82">
        <f>IF(OR(Scale!$U200="",Scale!$U200=0),"",Scale!$L200)</f>
        <v/>
      </c>
      <c r="I770" s="82">
        <f>IF(OR(Scale!$U200="",Scale!$U200=0),"",Scale!$N200)</f>
        <v/>
      </c>
      <c r="J770" s="82">
        <f>IF(OR(Scale!$U200="",Scale!$U200=0),"",Scale!$O200)</f>
        <v/>
      </c>
      <c r="K770" s="82">
        <f>IF(OR(Scale!$U200="",Scale!$U200=0),"",IF(Scale!$V200="",0,Scale!$V200)+IF(Scale!$W200="",0,Scale!$W200))</f>
        <v/>
      </c>
      <c r="L770" s="82">
        <f>IF(OR(Scale!$U200="",Scale!$U200=0),"",Scale!$V200)</f>
        <v/>
      </c>
      <c r="M770" s="82">
        <f>IF(OR(Scale!$U200="",Scale!$U200=0),"",Scale!$W200)</f>
        <v/>
      </c>
      <c r="N770" s="81">
        <f>IF(OR(Scale!$U200="",Scale!$U200=0),"",Scale!$E200)</f>
        <v/>
      </c>
      <c r="O770" s="81">
        <f>IF(OR(Scale!$U200="",Scale!$U200=0),"",IFERROR(VLOOKUP(Scale!$U200,AcctTbl,3,0),""))</f>
        <v/>
      </c>
      <c r="P770" s="82">
        <f>IF(Scale!$U200&lt;&gt;"X011","","BN02")</f>
        <v/>
      </c>
    </row>
    <row r="771" ht="20.25" customHeight="1">
      <c r="A771" s="80">
        <f>IF(OR(Scale!$X200="",Scale!$X200=0),"",Scale!$B200)</f>
        <v/>
      </c>
      <c r="B771" s="80">
        <f>IF(OR(Scale!$X200="",Scale!$X200=0),"",Scale!$D200)</f>
        <v/>
      </c>
      <c r="C771" s="80">
        <f>IF(OR(Scale!$X200="",Scale!$X200=0),"","باسکول")</f>
        <v/>
      </c>
      <c r="D771" s="80">
        <f>IF(OR(Scale!$X200="",Scale!$X200=0),"",Scale!$X200)</f>
        <v/>
      </c>
      <c r="E771" s="81">
        <f>IF(OR(Scale!$X200="",Scale!$X200=0),"",IF(Scale!$X200="","","مقابل: "&amp;Scale!$E200))</f>
        <v/>
      </c>
      <c r="F771" s="83" t="n"/>
      <c r="G771" s="83" t="n"/>
      <c r="H771" s="83" t="n"/>
      <c r="I771" s="83" t="n"/>
      <c r="J771" s="83" t="n"/>
      <c r="K771" s="82">
        <f>IF(OR(Scale!$X200="",Scale!$X200=0),"",IF(Scale!$Y200="",0,Scale!$Y200)+IF(Scale!$Z200="",0,Scale!$Z200))</f>
        <v/>
      </c>
      <c r="L771" s="82">
        <f>IF(OR(Scale!$X200="",Scale!$X200=0),"",Scale!$Y200)</f>
        <v/>
      </c>
      <c r="M771" s="82">
        <f>IF(OR(Scale!$X200="",Scale!$X200=0),"",Scale!$Z200)</f>
        <v/>
      </c>
      <c r="N771" s="81">
        <f>IF(OR(Scale!$X200="",Scale!$X200=0),"","مقابل")</f>
        <v/>
      </c>
      <c r="O771" s="81">
        <f>IF(OR(Scale!$X200="",Scale!$X200=0),"",IFERROR(VLOOKUP(Scale!$X200,AcctTbl,3,0),""))</f>
        <v/>
      </c>
      <c r="P771" s="82">
        <f>IF(Scale!$X200&lt;&gt;"X011","","BN02")</f>
        <v/>
      </c>
    </row>
    <row r="772" ht="20.25" customHeight="1">
      <c r="A772" s="80">
        <f>IF(OR(Scale!$AA200="",Scale!$AA200=0),"",Scale!$B200)</f>
        <v/>
      </c>
      <c r="B772" s="80">
        <f>IF(OR(Scale!$AA200="",Scale!$AA200=0),"",Scale!$D200)</f>
        <v/>
      </c>
      <c r="C772" s="80">
        <f>IF(OR(Scale!$AA200="",Scale!$AA200=0),"","باسکول")</f>
        <v/>
      </c>
      <c r="D772" s="80">
        <f>IF(OR(Scale!$AA200="",Scale!$AA200=0),"",Scale!$AA200)</f>
        <v/>
      </c>
      <c r="E772" s="81">
        <f>IF(OR(Scale!$AA200="",Scale!$AA200=0),"",IF(Scale!$AA200="","","پوز باسکول — "&amp;Scale!$E200))</f>
        <v/>
      </c>
      <c r="F772" s="83" t="n"/>
      <c r="G772" s="83" t="n"/>
      <c r="H772" s="83" t="n"/>
      <c r="I772" s="83" t="n"/>
      <c r="J772" s="83" t="n"/>
      <c r="K772" s="82">
        <f>IF(OR(Scale!$AA200="",Scale!$AA200=0),"",IF(Scale!$AB200="",0,Scale!$AB200)+IF(Scale!$AC200="",0,Scale!$AC200))</f>
        <v/>
      </c>
      <c r="L772" s="82">
        <f>IF(OR(Scale!$AA200="",Scale!$AA200=0),"",Scale!$AB200)</f>
        <v/>
      </c>
      <c r="M772" s="82">
        <f>IF(OR(Scale!$AA200="",Scale!$AA200=0),"",Scale!$AC200)</f>
        <v/>
      </c>
      <c r="N772" s="81">
        <f>IF(OR(Scale!$AA200="",Scale!$AA200=0),"","پوز")</f>
        <v/>
      </c>
      <c r="O772" s="81">
        <f>IF(OR(Scale!$AA200="",Scale!$AA200=0),"",IFERROR(VLOOKUP(Scale!$AA200,AcctTbl,3,0),""))</f>
        <v/>
      </c>
      <c r="P772" s="82">
        <f>IF(Scale!$AA200&lt;&gt;"X011","","BN02")</f>
        <v/>
      </c>
    </row>
    <row r="773" ht="20.25" customHeight="1">
      <c r="A773" s="80">
        <f>IF(OR(Scale!$AD200="",Scale!$AD200=0),"",Scale!$B200)</f>
        <v/>
      </c>
      <c r="B773" s="80">
        <f>IF(OR(Scale!$AD200="",Scale!$AD200=0),"",Scale!$D200)</f>
        <v/>
      </c>
      <c r="C773" s="80">
        <f>IF(OR(Scale!$AD200="",Scale!$AD200=0),"","باسکول")</f>
        <v/>
      </c>
      <c r="D773" s="80">
        <f>IF(OR(Scale!$AD200="",Scale!$AD200=0),"",Scale!$AD200)</f>
        <v/>
      </c>
      <c r="E773" s="81">
        <f>IF(OR(Scale!$AD200="",Scale!$AD200=0),"",IF(Scale!$AD200="","","مقابل پوز — "&amp;Scale!$E200))</f>
        <v/>
      </c>
      <c r="F773" s="83" t="n"/>
      <c r="G773" s="83" t="n"/>
      <c r="H773" s="83" t="n"/>
      <c r="I773" s="83" t="n"/>
      <c r="J773" s="83" t="n"/>
      <c r="K773" s="82">
        <f>IF(OR(Scale!$AD200="",Scale!$AD200=0),"",IF(Scale!$AE200="",0,Scale!$AE200)+IF(Scale!$AF200="",0,Scale!$AF200))</f>
        <v/>
      </c>
      <c r="L773" s="82">
        <f>IF(OR(Scale!$AD200="",Scale!$AD200=0),"",Scale!$AE200)</f>
        <v/>
      </c>
      <c r="M773" s="82">
        <f>IF(OR(Scale!$AD200="",Scale!$AD200=0),"",Scale!$AF200)</f>
        <v/>
      </c>
      <c r="N773" s="81">
        <f>IF(OR(Scale!$AD200="",Scale!$AD200=0),"","مقابل پوز")</f>
        <v/>
      </c>
      <c r="O773" s="81">
        <f>IF(OR(Scale!$AD200="",Scale!$AD200=0),"",IFERROR(VLOOKUP(Scale!$AD200,AcctTbl,3,0),""))</f>
        <v/>
      </c>
      <c r="P773" s="82">
        <f>IF(Scale!$AD200&lt;&gt;"X011","","BN02")</f>
        <v/>
      </c>
    </row>
    <row r="774" ht="20.25" customHeight="1">
      <c r="A774" s="80">
        <f>IF(OR(Scale!$U201="",Scale!$U201=0),"",Scale!$B201)</f>
        <v/>
      </c>
      <c r="B774" s="80">
        <f>IF(OR(Scale!$U201="",Scale!$U201=0),"",Scale!$D201)</f>
        <v/>
      </c>
      <c r="C774" s="80">
        <f>IF(OR(Scale!$U201="",Scale!$U201=0),"","باسکول")</f>
        <v/>
      </c>
      <c r="D774" s="80">
        <f>IF(OR(Scale!$U201="",Scale!$U201=0),"",Scale!$U201)</f>
        <v/>
      </c>
      <c r="E774" s="81">
        <f>IF(OR(Scale!$U201="",Scale!$U201=0),"",Scale!$T201)</f>
        <v/>
      </c>
      <c r="F774" s="81">
        <f>IF(OR(Scale!$U201="",Scale!$U201=0),"",Scale!$J201)</f>
        <v/>
      </c>
      <c r="G774" s="82">
        <f>IF(OR(Scale!$U201="",Scale!$U201=0),"",Scale!$M201)</f>
        <v/>
      </c>
      <c r="H774" s="82">
        <f>IF(OR(Scale!$U201="",Scale!$U201=0),"",Scale!$L201)</f>
        <v/>
      </c>
      <c r="I774" s="82">
        <f>IF(OR(Scale!$U201="",Scale!$U201=0),"",Scale!$N201)</f>
        <v/>
      </c>
      <c r="J774" s="82">
        <f>IF(OR(Scale!$U201="",Scale!$U201=0),"",Scale!$O201)</f>
        <v/>
      </c>
      <c r="K774" s="82">
        <f>IF(OR(Scale!$U201="",Scale!$U201=0),"",IF(Scale!$V201="",0,Scale!$V201)+IF(Scale!$W201="",0,Scale!$W201))</f>
        <v/>
      </c>
      <c r="L774" s="82">
        <f>IF(OR(Scale!$U201="",Scale!$U201=0),"",Scale!$V201)</f>
        <v/>
      </c>
      <c r="M774" s="82">
        <f>IF(OR(Scale!$U201="",Scale!$U201=0),"",Scale!$W201)</f>
        <v/>
      </c>
      <c r="N774" s="81">
        <f>IF(OR(Scale!$U201="",Scale!$U201=0),"",Scale!$E201)</f>
        <v/>
      </c>
      <c r="O774" s="81">
        <f>IF(OR(Scale!$U201="",Scale!$U201=0),"",IFERROR(VLOOKUP(Scale!$U201,AcctTbl,3,0),""))</f>
        <v/>
      </c>
      <c r="P774" s="82">
        <f>IF(Scale!$U201&lt;&gt;"X011","","BN02")</f>
        <v/>
      </c>
    </row>
    <row r="775" ht="20.25" customHeight="1">
      <c r="A775" s="80">
        <f>IF(OR(Scale!$X201="",Scale!$X201=0),"",Scale!$B201)</f>
        <v/>
      </c>
      <c r="B775" s="80">
        <f>IF(OR(Scale!$X201="",Scale!$X201=0),"",Scale!$D201)</f>
        <v/>
      </c>
      <c r="C775" s="80">
        <f>IF(OR(Scale!$X201="",Scale!$X201=0),"","باسکول")</f>
        <v/>
      </c>
      <c r="D775" s="80">
        <f>IF(OR(Scale!$X201="",Scale!$X201=0),"",Scale!$X201)</f>
        <v/>
      </c>
      <c r="E775" s="81">
        <f>IF(OR(Scale!$X201="",Scale!$X201=0),"",IF(Scale!$X201="","","مقابل: "&amp;Scale!$E201))</f>
        <v/>
      </c>
      <c r="F775" s="83" t="n"/>
      <c r="G775" s="83" t="n"/>
      <c r="H775" s="83" t="n"/>
      <c r="I775" s="83" t="n"/>
      <c r="J775" s="83" t="n"/>
      <c r="K775" s="82">
        <f>IF(OR(Scale!$X201="",Scale!$X201=0),"",IF(Scale!$Y201="",0,Scale!$Y201)+IF(Scale!$Z201="",0,Scale!$Z201))</f>
        <v/>
      </c>
      <c r="L775" s="82">
        <f>IF(OR(Scale!$X201="",Scale!$X201=0),"",Scale!$Y201)</f>
        <v/>
      </c>
      <c r="M775" s="82">
        <f>IF(OR(Scale!$X201="",Scale!$X201=0),"",Scale!$Z201)</f>
        <v/>
      </c>
      <c r="N775" s="81">
        <f>IF(OR(Scale!$X201="",Scale!$X201=0),"","مقابل")</f>
        <v/>
      </c>
      <c r="O775" s="81">
        <f>IF(OR(Scale!$X201="",Scale!$X201=0),"",IFERROR(VLOOKUP(Scale!$X201,AcctTbl,3,0),""))</f>
        <v/>
      </c>
      <c r="P775" s="82">
        <f>IF(Scale!$X201&lt;&gt;"X011","","BN02")</f>
        <v/>
      </c>
    </row>
    <row r="776" ht="20.25" customHeight="1">
      <c r="A776" s="80">
        <f>IF(OR(Scale!$AA201="",Scale!$AA201=0),"",Scale!$B201)</f>
        <v/>
      </c>
      <c r="B776" s="80">
        <f>IF(OR(Scale!$AA201="",Scale!$AA201=0),"",Scale!$D201)</f>
        <v/>
      </c>
      <c r="C776" s="80">
        <f>IF(OR(Scale!$AA201="",Scale!$AA201=0),"","باسکول")</f>
        <v/>
      </c>
      <c r="D776" s="80">
        <f>IF(OR(Scale!$AA201="",Scale!$AA201=0),"",Scale!$AA201)</f>
        <v/>
      </c>
      <c r="E776" s="81">
        <f>IF(OR(Scale!$AA201="",Scale!$AA201=0),"",IF(Scale!$AA201="","","پوز باسکول — "&amp;Scale!$E201))</f>
        <v/>
      </c>
      <c r="F776" s="83" t="n"/>
      <c r="G776" s="83" t="n"/>
      <c r="H776" s="83" t="n"/>
      <c r="I776" s="83" t="n"/>
      <c r="J776" s="83" t="n"/>
      <c r="K776" s="82">
        <f>IF(OR(Scale!$AA201="",Scale!$AA201=0),"",IF(Scale!$AB201="",0,Scale!$AB201)+IF(Scale!$AC201="",0,Scale!$AC201))</f>
        <v/>
      </c>
      <c r="L776" s="82">
        <f>IF(OR(Scale!$AA201="",Scale!$AA201=0),"",Scale!$AB201)</f>
        <v/>
      </c>
      <c r="M776" s="82">
        <f>IF(OR(Scale!$AA201="",Scale!$AA201=0),"",Scale!$AC201)</f>
        <v/>
      </c>
      <c r="N776" s="81">
        <f>IF(OR(Scale!$AA201="",Scale!$AA201=0),"","پوز")</f>
        <v/>
      </c>
      <c r="O776" s="81">
        <f>IF(OR(Scale!$AA201="",Scale!$AA201=0),"",IFERROR(VLOOKUP(Scale!$AA201,AcctTbl,3,0),""))</f>
        <v/>
      </c>
      <c r="P776" s="82">
        <f>IF(Scale!$AA201&lt;&gt;"X011","","BN02")</f>
        <v/>
      </c>
    </row>
    <row r="777" ht="20.25" customHeight="1">
      <c r="A777" s="80">
        <f>IF(OR(Scale!$AD201="",Scale!$AD201=0),"",Scale!$B201)</f>
        <v/>
      </c>
      <c r="B777" s="80">
        <f>IF(OR(Scale!$AD201="",Scale!$AD201=0),"",Scale!$D201)</f>
        <v/>
      </c>
      <c r="C777" s="80">
        <f>IF(OR(Scale!$AD201="",Scale!$AD201=0),"","باسکول")</f>
        <v/>
      </c>
      <c r="D777" s="80">
        <f>IF(OR(Scale!$AD201="",Scale!$AD201=0),"",Scale!$AD201)</f>
        <v/>
      </c>
      <c r="E777" s="81">
        <f>IF(OR(Scale!$AD201="",Scale!$AD201=0),"",IF(Scale!$AD201="","","مقابل پوز — "&amp;Scale!$E201))</f>
        <v/>
      </c>
      <c r="F777" s="83" t="n"/>
      <c r="G777" s="83" t="n"/>
      <c r="H777" s="83" t="n"/>
      <c r="I777" s="83" t="n"/>
      <c r="J777" s="83" t="n"/>
      <c r="K777" s="82">
        <f>IF(OR(Scale!$AD201="",Scale!$AD201=0),"",IF(Scale!$AE201="",0,Scale!$AE201)+IF(Scale!$AF201="",0,Scale!$AF201))</f>
        <v/>
      </c>
      <c r="L777" s="82">
        <f>IF(OR(Scale!$AD201="",Scale!$AD201=0),"",Scale!$AE201)</f>
        <v/>
      </c>
      <c r="M777" s="82">
        <f>IF(OR(Scale!$AD201="",Scale!$AD201=0),"",Scale!$AF201)</f>
        <v/>
      </c>
      <c r="N777" s="81">
        <f>IF(OR(Scale!$AD201="",Scale!$AD201=0),"","مقابل پوز")</f>
        <v/>
      </c>
      <c r="O777" s="81">
        <f>IF(OR(Scale!$AD201="",Scale!$AD201=0),"",IFERROR(VLOOKUP(Scale!$AD201,AcctTbl,3,0),""))</f>
        <v/>
      </c>
      <c r="P777" s="82">
        <f>IF(Scale!$AD201&lt;&gt;"X011","","BN02")</f>
        <v/>
      </c>
    </row>
    <row r="778" ht="20.25" customHeight="1">
      <c r="A778" s="80">
        <f>IF(OR(Scale!$U202="",Scale!$U202=0),"",Scale!$B202)</f>
        <v/>
      </c>
      <c r="B778" s="80">
        <f>IF(OR(Scale!$U202="",Scale!$U202=0),"",Scale!$D202)</f>
        <v/>
      </c>
      <c r="C778" s="80">
        <f>IF(OR(Scale!$U202="",Scale!$U202=0),"","باسکول")</f>
        <v/>
      </c>
      <c r="D778" s="80">
        <f>IF(OR(Scale!$U202="",Scale!$U202=0),"",Scale!$U202)</f>
        <v/>
      </c>
      <c r="E778" s="81">
        <f>IF(OR(Scale!$U202="",Scale!$U202=0),"",Scale!$T202)</f>
        <v/>
      </c>
      <c r="F778" s="81">
        <f>IF(OR(Scale!$U202="",Scale!$U202=0),"",Scale!$J202)</f>
        <v/>
      </c>
      <c r="G778" s="82">
        <f>IF(OR(Scale!$U202="",Scale!$U202=0),"",Scale!$M202)</f>
        <v/>
      </c>
      <c r="H778" s="82">
        <f>IF(OR(Scale!$U202="",Scale!$U202=0),"",Scale!$L202)</f>
        <v/>
      </c>
      <c r="I778" s="82">
        <f>IF(OR(Scale!$U202="",Scale!$U202=0),"",Scale!$N202)</f>
        <v/>
      </c>
      <c r="J778" s="82">
        <f>IF(OR(Scale!$U202="",Scale!$U202=0),"",Scale!$O202)</f>
        <v/>
      </c>
      <c r="K778" s="82">
        <f>IF(OR(Scale!$U202="",Scale!$U202=0),"",IF(Scale!$V202="",0,Scale!$V202)+IF(Scale!$W202="",0,Scale!$W202))</f>
        <v/>
      </c>
      <c r="L778" s="82">
        <f>IF(OR(Scale!$U202="",Scale!$U202=0),"",Scale!$V202)</f>
        <v/>
      </c>
      <c r="M778" s="82">
        <f>IF(OR(Scale!$U202="",Scale!$U202=0),"",Scale!$W202)</f>
        <v/>
      </c>
      <c r="N778" s="81">
        <f>IF(OR(Scale!$U202="",Scale!$U202=0),"",Scale!$E202)</f>
        <v/>
      </c>
      <c r="O778" s="81">
        <f>IF(OR(Scale!$U202="",Scale!$U202=0),"",IFERROR(VLOOKUP(Scale!$U202,AcctTbl,3,0),""))</f>
        <v/>
      </c>
      <c r="P778" s="82">
        <f>IF(Scale!$U202&lt;&gt;"X011","","BN02")</f>
        <v/>
      </c>
    </row>
    <row r="779" ht="20.25" customHeight="1">
      <c r="A779" s="80">
        <f>IF(OR(Scale!$X202="",Scale!$X202=0),"",Scale!$B202)</f>
        <v/>
      </c>
      <c r="B779" s="80">
        <f>IF(OR(Scale!$X202="",Scale!$X202=0),"",Scale!$D202)</f>
        <v/>
      </c>
      <c r="C779" s="80">
        <f>IF(OR(Scale!$X202="",Scale!$X202=0),"","باسکول")</f>
        <v/>
      </c>
      <c r="D779" s="80">
        <f>IF(OR(Scale!$X202="",Scale!$X202=0),"",Scale!$X202)</f>
        <v/>
      </c>
      <c r="E779" s="81">
        <f>IF(OR(Scale!$X202="",Scale!$X202=0),"",IF(Scale!$X202="","","مقابل: "&amp;Scale!$E202))</f>
        <v/>
      </c>
      <c r="F779" s="83" t="n"/>
      <c r="G779" s="83" t="n"/>
      <c r="H779" s="83" t="n"/>
      <c r="I779" s="83" t="n"/>
      <c r="J779" s="83" t="n"/>
      <c r="K779" s="82">
        <f>IF(OR(Scale!$X202="",Scale!$X202=0),"",IF(Scale!$Y202="",0,Scale!$Y202)+IF(Scale!$Z202="",0,Scale!$Z202))</f>
        <v/>
      </c>
      <c r="L779" s="82">
        <f>IF(OR(Scale!$X202="",Scale!$X202=0),"",Scale!$Y202)</f>
        <v/>
      </c>
      <c r="M779" s="82">
        <f>IF(OR(Scale!$X202="",Scale!$X202=0),"",Scale!$Z202)</f>
        <v/>
      </c>
      <c r="N779" s="81">
        <f>IF(OR(Scale!$X202="",Scale!$X202=0),"","مقابل")</f>
        <v/>
      </c>
      <c r="O779" s="81">
        <f>IF(OR(Scale!$X202="",Scale!$X202=0),"",IFERROR(VLOOKUP(Scale!$X202,AcctTbl,3,0),""))</f>
        <v/>
      </c>
      <c r="P779" s="82">
        <f>IF(Scale!$X202&lt;&gt;"X011","","BN02")</f>
        <v/>
      </c>
    </row>
    <row r="780" ht="20.25" customHeight="1">
      <c r="A780" s="80">
        <f>IF(OR(Scale!$AA202="",Scale!$AA202=0),"",Scale!$B202)</f>
        <v/>
      </c>
      <c r="B780" s="80">
        <f>IF(OR(Scale!$AA202="",Scale!$AA202=0),"",Scale!$D202)</f>
        <v/>
      </c>
      <c r="C780" s="80">
        <f>IF(OR(Scale!$AA202="",Scale!$AA202=0),"","باسکول")</f>
        <v/>
      </c>
      <c r="D780" s="80">
        <f>IF(OR(Scale!$AA202="",Scale!$AA202=0),"",Scale!$AA202)</f>
        <v/>
      </c>
      <c r="E780" s="81">
        <f>IF(OR(Scale!$AA202="",Scale!$AA202=0),"",IF(Scale!$AA202="","","پوز باسکول — "&amp;Scale!$E202))</f>
        <v/>
      </c>
      <c r="F780" s="83" t="n"/>
      <c r="G780" s="83" t="n"/>
      <c r="H780" s="83" t="n"/>
      <c r="I780" s="83" t="n"/>
      <c r="J780" s="83" t="n"/>
      <c r="K780" s="82">
        <f>IF(OR(Scale!$AA202="",Scale!$AA202=0),"",IF(Scale!$AB202="",0,Scale!$AB202)+IF(Scale!$AC202="",0,Scale!$AC202))</f>
        <v/>
      </c>
      <c r="L780" s="82">
        <f>IF(OR(Scale!$AA202="",Scale!$AA202=0),"",Scale!$AB202)</f>
        <v/>
      </c>
      <c r="M780" s="82">
        <f>IF(OR(Scale!$AA202="",Scale!$AA202=0),"",Scale!$AC202)</f>
        <v/>
      </c>
      <c r="N780" s="81">
        <f>IF(OR(Scale!$AA202="",Scale!$AA202=0),"","پوز")</f>
        <v/>
      </c>
      <c r="O780" s="81">
        <f>IF(OR(Scale!$AA202="",Scale!$AA202=0),"",IFERROR(VLOOKUP(Scale!$AA202,AcctTbl,3,0),""))</f>
        <v/>
      </c>
      <c r="P780" s="82">
        <f>IF(Scale!$AA202&lt;&gt;"X011","","BN02")</f>
        <v/>
      </c>
    </row>
    <row r="781" ht="20.25" customHeight="1">
      <c r="A781" s="80">
        <f>IF(OR(Scale!$AD202="",Scale!$AD202=0),"",Scale!$B202)</f>
        <v/>
      </c>
      <c r="B781" s="80">
        <f>IF(OR(Scale!$AD202="",Scale!$AD202=0),"",Scale!$D202)</f>
        <v/>
      </c>
      <c r="C781" s="80">
        <f>IF(OR(Scale!$AD202="",Scale!$AD202=0),"","باسکول")</f>
        <v/>
      </c>
      <c r="D781" s="80">
        <f>IF(OR(Scale!$AD202="",Scale!$AD202=0),"",Scale!$AD202)</f>
        <v/>
      </c>
      <c r="E781" s="81">
        <f>IF(OR(Scale!$AD202="",Scale!$AD202=0),"",IF(Scale!$AD202="","","مقابل پوز — "&amp;Scale!$E202))</f>
        <v/>
      </c>
      <c r="F781" s="83" t="n"/>
      <c r="G781" s="83" t="n"/>
      <c r="H781" s="83" t="n"/>
      <c r="I781" s="83" t="n"/>
      <c r="J781" s="83" t="n"/>
      <c r="K781" s="82">
        <f>IF(OR(Scale!$AD202="",Scale!$AD202=0),"",IF(Scale!$AE202="",0,Scale!$AE202)+IF(Scale!$AF202="",0,Scale!$AF202))</f>
        <v/>
      </c>
      <c r="L781" s="82">
        <f>IF(OR(Scale!$AD202="",Scale!$AD202=0),"",Scale!$AE202)</f>
        <v/>
      </c>
      <c r="M781" s="82">
        <f>IF(OR(Scale!$AD202="",Scale!$AD202=0),"",Scale!$AF202)</f>
        <v/>
      </c>
      <c r="N781" s="81">
        <f>IF(OR(Scale!$AD202="",Scale!$AD202=0),"","مقابل پوز")</f>
        <v/>
      </c>
      <c r="O781" s="81">
        <f>IF(OR(Scale!$AD202="",Scale!$AD202=0),"",IFERROR(VLOOKUP(Scale!$AD202,AcctTbl,3,0),""))</f>
        <v/>
      </c>
      <c r="P781" s="82">
        <f>IF(Scale!$AD202&lt;&gt;"X011","","BN02")</f>
        <v/>
      </c>
    </row>
    <row r="782" ht="20.25" customHeight="1">
      <c r="A782" s="80">
        <f>IF(OR(Scale!$U203="",Scale!$U203=0),"",Scale!$B203)</f>
        <v/>
      </c>
      <c r="B782" s="80">
        <f>IF(OR(Scale!$U203="",Scale!$U203=0),"",Scale!$D203)</f>
        <v/>
      </c>
      <c r="C782" s="80">
        <f>IF(OR(Scale!$U203="",Scale!$U203=0),"","باسکول")</f>
        <v/>
      </c>
      <c r="D782" s="80">
        <f>IF(OR(Scale!$U203="",Scale!$U203=0),"",Scale!$U203)</f>
        <v/>
      </c>
      <c r="E782" s="81">
        <f>IF(OR(Scale!$U203="",Scale!$U203=0),"",Scale!$T203)</f>
        <v/>
      </c>
      <c r="F782" s="81">
        <f>IF(OR(Scale!$U203="",Scale!$U203=0),"",Scale!$J203)</f>
        <v/>
      </c>
      <c r="G782" s="82">
        <f>IF(OR(Scale!$U203="",Scale!$U203=0),"",Scale!$M203)</f>
        <v/>
      </c>
      <c r="H782" s="82">
        <f>IF(OR(Scale!$U203="",Scale!$U203=0),"",Scale!$L203)</f>
        <v/>
      </c>
      <c r="I782" s="82">
        <f>IF(OR(Scale!$U203="",Scale!$U203=0),"",Scale!$N203)</f>
        <v/>
      </c>
      <c r="J782" s="82">
        <f>IF(OR(Scale!$U203="",Scale!$U203=0),"",Scale!$O203)</f>
        <v/>
      </c>
      <c r="K782" s="82">
        <f>IF(OR(Scale!$U203="",Scale!$U203=0),"",IF(Scale!$V203="",0,Scale!$V203)+IF(Scale!$W203="",0,Scale!$W203))</f>
        <v/>
      </c>
      <c r="L782" s="82">
        <f>IF(OR(Scale!$U203="",Scale!$U203=0),"",Scale!$V203)</f>
        <v/>
      </c>
      <c r="M782" s="82">
        <f>IF(OR(Scale!$U203="",Scale!$U203=0),"",Scale!$W203)</f>
        <v/>
      </c>
      <c r="N782" s="81">
        <f>IF(OR(Scale!$U203="",Scale!$U203=0),"",Scale!$E203)</f>
        <v/>
      </c>
      <c r="O782" s="81">
        <f>IF(OR(Scale!$U203="",Scale!$U203=0),"",IFERROR(VLOOKUP(Scale!$U203,AcctTbl,3,0),""))</f>
        <v/>
      </c>
      <c r="P782" s="82">
        <f>IF(Scale!$U203&lt;&gt;"X011","","BN02")</f>
        <v/>
      </c>
    </row>
    <row r="783" ht="20.25" customHeight="1">
      <c r="A783" s="80">
        <f>IF(OR(Scale!$X203="",Scale!$X203=0),"",Scale!$B203)</f>
        <v/>
      </c>
      <c r="B783" s="80">
        <f>IF(OR(Scale!$X203="",Scale!$X203=0),"",Scale!$D203)</f>
        <v/>
      </c>
      <c r="C783" s="80">
        <f>IF(OR(Scale!$X203="",Scale!$X203=0),"","باسکول")</f>
        <v/>
      </c>
      <c r="D783" s="80">
        <f>IF(OR(Scale!$X203="",Scale!$X203=0),"",Scale!$X203)</f>
        <v/>
      </c>
      <c r="E783" s="81">
        <f>IF(OR(Scale!$X203="",Scale!$X203=0),"",IF(Scale!$X203="","","مقابل: "&amp;Scale!$E203))</f>
        <v/>
      </c>
      <c r="F783" s="83" t="n"/>
      <c r="G783" s="83" t="n"/>
      <c r="H783" s="83" t="n"/>
      <c r="I783" s="83" t="n"/>
      <c r="J783" s="83" t="n"/>
      <c r="K783" s="82">
        <f>IF(OR(Scale!$X203="",Scale!$X203=0),"",IF(Scale!$Y203="",0,Scale!$Y203)+IF(Scale!$Z203="",0,Scale!$Z203))</f>
        <v/>
      </c>
      <c r="L783" s="82">
        <f>IF(OR(Scale!$X203="",Scale!$X203=0),"",Scale!$Y203)</f>
        <v/>
      </c>
      <c r="M783" s="82">
        <f>IF(OR(Scale!$X203="",Scale!$X203=0),"",Scale!$Z203)</f>
        <v/>
      </c>
      <c r="N783" s="81">
        <f>IF(OR(Scale!$X203="",Scale!$X203=0),"","مقابل")</f>
        <v/>
      </c>
      <c r="O783" s="81">
        <f>IF(OR(Scale!$X203="",Scale!$X203=0),"",IFERROR(VLOOKUP(Scale!$X203,AcctTbl,3,0),""))</f>
        <v/>
      </c>
      <c r="P783" s="82">
        <f>IF(Scale!$X203&lt;&gt;"X011","","BN02")</f>
        <v/>
      </c>
    </row>
    <row r="784" ht="20.25" customHeight="1">
      <c r="A784" s="80">
        <f>IF(OR(Scale!$AA203="",Scale!$AA203=0),"",Scale!$B203)</f>
        <v/>
      </c>
      <c r="B784" s="80">
        <f>IF(OR(Scale!$AA203="",Scale!$AA203=0),"",Scale!$D203)</f>
        <v/>
      </c>
      <c r="C784" s="80">
        <f>IF(OR(Scale!$AA203="",Scale!$AA203=0),"","باسکول")</f>
        <v/>
      </c>
      <c r="D784" s="80">
        <f>IF(OR(Scale!$AA203="",Scale!$AA203=0),"",Scale!$AA203)</f>
        <v/>
      </c>
      <c r="E784" s="81">
        <f>IF(OR(Scale!$AA203="",Scale!$AA203=0),"",IF(Scale!$AA203="","","پوز باسکول — "&amp;Scale!$E203))</f>
        <v/>
      </c>
      <c r="F784" s="83" t="n"/>
      <c r="G784" s="83" t="n"/>
      <c r="H784" s="83" t="n"/>
      <c r="I784" s="83" t="n"/>
      <c r="J784" s="83" t="n"/>
      <c r="K784" s="82">
        <f>IF(OR(Scale!$AA203="",Scale!$AA203=0),"",IF(Scale!$AB203="",0,Scale!$AB203)+IF(Scale!$AC203="",0,Scale!$AC203))</f>
        <v/>
      </c>
      <c r="L784" s="82">
        <f>IF(OR(Scale!$AA203="",Scale!$AA203=0),"",Scale!$AB203)</f>
        <v/>
      </c>
      <c r="M784" s="82">
        <f>IF(OR(Scale!$AA203="",Scale!$AA203=0),"",Scale!$AC203)</f>
        <v/>
      </c>
      <c r="N784" s="81">
        <f>IF(OR(Scale!$AA203="",Scale!$AA203=0),"","پوز")</f>
        <v/>
      </c>
      <c r="O784" s="81">
        <f>IF(OR(Scale!$AA203="",Scale!$AA203=0),"",IFERROR(VLOOKUP(Scale!$AA203,AcctTbl,3,0),""))</f>
        <v/>
      </c>
      <c r="P784" s="82">
        <f>IF(Scale!$AA203&lt;&gt;"X011","","BN02")</f>
        <v/>
      </c>
    </row>
    <row r="785" ht="20.25" customHeight="1">
      <c r="A785" s="80">
        <f>IF(OR(Scale!$AD203="",Scale!$AD203=0),"",Scale!$B203)</f>
        <v/>
      </c>
      <c r="B785" s="80">
        <f>IF(OR(Scale!$AD203="",Scale!$AD203=0),"",Scale!$D203)</f>
        <v/>
      </c>
      <c r="C785" s="80">
        <f>IF(OR(Scale!$AD203="",Scale!$AD203=0),"","باسکول")</f>
        <v/>
      </c>
      <c r="D785" s="80">
        <f>IF(OR(Scale!$AD203="",Scale!$AD203=0),"",Scale!$AD203)</f>
        <v/>
      </c>
      <c r="E785" s="81">
        <f>IF(OR(Scale!$AD203="",Scale!$AD203=0),"",IF(Scale!$AD203="","","مقابل پوز — "&amp;Scale!$E203))</f>
        <v/>
      </c>
      <c r="F785" s="83" t="n"/>
      <c r="G785" s="83" t="n"/>
      <c r="H785" s="83" t="n"/>
      <c r="I785" s="83" t="n"/>
      <c r="J785" s="83" t="n"/>
      <c r="K785" s="82">
        <f>IF(OR(Scale!$AD203="",Scale!$AD203=0),"",IF(Scale!$AE203="",0,Scale!$AE203)+IF(Scale!$AF203="",0,Scale!$AF203))</f>
        <v/>
      </c>
      <c r="L785" s="82">
        <f>IF(OR(Scale!$AD203="",Scale!$AD203=0),"",Scale!$AE203)</f>
        <v/>
      </c>
      <c r="M785" s="82">
        <f>IF(OR(Scale!$AD203="",Scale!$AD203=0),"",Scale!$AF203)</f>
        <v/>
      </c>
      <c r="N785" s="81">
        <f>IF(OR(Scale!$AD203="",Scale!$AD203=0),"","مقابل پوز")</f>
        <v/>
      </c>
      <c r="O785" s="81">
        <f>IF(OR(Scale!$AD203="",Scale!$AD203=0),"",IFERROR(VLOOKUP(Scale!$AD203,AcctTbl,3,0),""))</f>
        <v/>
      </c>
      <c r="P785" s="82">
        <f>IF(Scale!$AD203&lt;&gt;"X011","","BN02")</f>
        <v/>
      </c>
    </row>
    <row r="786" ht="20.25" customHeight="1">
      <c r="A786" s="80">
        <f>IF(OR(Scale!$U204="",Scale!$U204=0),"",Scale!$B204)</f>
        <v/>
      </c>
      <c r="B786" s="80">
        <f>IF(OR(Scale!$U204="",Scale!$U204=0),"",Scale!$D204)</f>
        <v/>
      </c>
      <c r="C786" s="80">
        <f>IF(OR(Scale!$U204="",Scale!$U204=0),"","باسکول")</f>
        <v/>
      </c>
      <c r="D786" s="80">
        <f>IF(OR(Scale!$U204="",Scale!$U204=0),"",Scale!$U204)</f>
        <v/>
      </c>
      <c r="E786" s="81">
        <f>IF(OR(Scale!$U204="",Scale!$U204=0),"",Scale!$T204)</f>
        <v/>
      </c>
      <c r="F786" s="81">
        <f>IF(OR(Scale!$U204="",Scale!$U204=0),"",Scale!$J204)</f>
        <v/>
      </c>
      <c r="G786" s="82">
        <f>IF(OR(Scale!$U204="",Scale!$U204=0),"",Scale!$M204)</f>
        <v/>
      </c>
      <c r="H786" s="82">
        <f>IF(OR(Scale!$U204="",Scale!$U204=0),"",Scale!$L204)</f>
        <v/>
      </c>
      <c r="I786" s="82">
        <f>IF(OR(Scale!$U204="",Scale!$U204=0),"",Scale!$N204)</f>
        <v/>
      </c>
      <c r="J786" s="82">
        <f>IF(OR(Scale!$U204="",Scale!$U204=0),"",Scale!$O204)</f>
        <v/>
      </c>
      <c r="K786" s="82">
        <f>IF(OR(Scale!$U204="",Scale!$U204=0),"",IF(Scale!$V204="",0,Scale!$V204)+IF(Scale!$W204="",0,Scale!$W204))</f>
        <v/>
      </c>
      <c r="L786" s="82">
        <f>IF(OR(Scale!$U204="",Scale!$U204=0),"",Scale!$V204)</f>
        <v/>
      </c>
      <c r="M786" s="82">
        <f>IF(OR(Scale!$U204="",Scale!$U204=0),"",Scale!$W204)</f>
        <v/>
      </c>
      <c r="N786" s="81">
        <f>IF(OR(Scale!$U204="",Scale!$U204=0),"",Scale!$E204)</f>
        <v/>
      </c>
      <c r="O786" s="81">
        <f>IF(OR(Scale!$U204="",Scale!$U204=0),"",IFERROR(VLOOKUP(Scale!$U204,AcctTbl,3,0),""))</f>
        <v/>
      </c>
      <c r="P786" s="82">
        <f>IF(Scale!$U204&lt;&gt;"X011","","BN02")</f>
        <v/>
      </c>
    </row>
    <row r="787" ht="20.25" customHeight="1">
      <c r="A787" s="80">
        <f>IF(OR(Scale!$X204="",Scale!$X204=0),"",Scale!$B204)</f>
        <v/>
      </c>
      <c r="B787" s="80">
        <f>IF(OR(Scale!$X204="",Scale!$X204=0),"",Scale!$D204)</f>
        <v/>
      </c>
      <c r="C787" s="80">
        <f>IF(OR(Scale!$X204="",Scale!$X204=0),"","باسکول")</f>
        <v/>
      </c>
      <c r="D787" s="80">
        <f>IF(OR(Scale!$X204="",Scale!$X204=0),"",Scale!$X204)</f>
        <v/>
      </c>
      <c r="E787" s="81">
        <f>IF(OR(Scale!$X204="",Scale!$X204=0),"",IF(Scale!$X204="","","مقابل: "&amp;Scale!$E204))</f>
        <v/>
      </c>
      <c r="F787" s="83" t="n"/>
      <c r="G787" s="83" t="n"/>
      <c r="H787" s="83" t="n"/>
      <c r="I787" s="83" t="n"/>
      <c r="J787" s="83" t="n"/>
      <c r="K787" s="82">
        <f>IF(OR(Scale!$X204="",Scale!$X204=0),"",IF(Scale!$Y204="",0,Scale!$Y204)+IF(Scale!$Z204="",0,Scale!$Z204))</f>
        <v/>
      </c>
      <c r="L787" s="82">
        <f>IF(OR(Scale!$X204="",Scale!$X204=0),"",Scale!$Y204)</f>
        <v/>
      </c>
      <c r="M787" s="82">
        <f>IF(OR(Scale!$X204="",Scale!$X204=0),"",Scale!$Z204)</f>
        <v/>
      </c>
      <c r="N787" s="81">
        <f>IF(OR(Scale!$X204="",Scale!$X204=0),"","مقابل")</f>
        <v/>
      </c>
      <c r="O787" s="81">
        <f>IF(OR(Scale!$X204="",Scale!$X204=0),"",IFERROR(VLOOKUP(Scale!$X204,AcctTbl,3,0),""))</f>
        <v/>
      </c>
      <c r="P787" s="82">
        <f>IF(Scale!$X204&lt;&gt;"X011","","BN02")</f>
        <v/>
      </c>
    </row>
    <row r="788" ht="20.25" customHeight="1">
      <c r="A788" s="80">
        <f>IF(OR(Scale!$AA204="",Scale!$AA204=0),"",Scale!$B204)</f>
        <v/>
      </c>
      <c r="B788" s="80">
        <f>IF(OR(Scale!$AA204="",Scale!$AA204=0),"",Scale!$D204)</f>
        <v/>
      </c>
      <c r="C788" s="80">
        <f>IF(OR(Scale!$AA204="",Scale!$AA204=0),"","باسکول")</f>
        <v/>
      </c>
      <c r="D788" s="80">
        <f>IF(OR(Scale!$AA204="",Scale!$AA204=0),"",Scale!$AA204)</f>
        <v/>
      </c>
      <c r="E788" s="81">
        <f>IF(OR(Scale!$AA204="",Scale!$AA204=0),"",IF(Scale!$AA204="","","پوز باسکول — "&amp;Scale!$E204))</f>
        <v/>
      </c>
      <c r="F788" s="83" t="n"/>
      <c r="G788" s="83" t="n"/>
      <c r="H788" s="83" t="n"/>
      <c r="I788" s="83" t="n"/>
      <c r="J788" s="83" t="n"/>
      <c r="K788" s="82">
        <f>IF(OR(Scale!$AA204="",Scale!$AA204=0),"",IF(Scale!$AB204="",0,Scale!$AB204)+IF(Scale!$AC204="",0,Scale!$AC204))</f>
        <v/>
      </c>
      <c r="L788" s="82">
        <f>IF(OR(Scale!$AA204="",Scale!$AA204=0),"",Scale!$AB204)</f>
        <v/>
      </c>
      <c r="M788" s="82">
        <f>IF(OR(Scale!$AA204="",Scale!$AA204=0),"",Scale!$AC204)</f>
        <v/>
      </c>
      <c r="N788" s="81">
        <f>IF(OR(Scale!$AA204="",Scale!$AA204=0),"","پوز")</f>
        <v/>
      </c>
      <c r="O788" s="81">
        <f>IF(OR(Scale!$AA204="",Scale!$AA204=0),"",IFERROR(VLOOKUP(Scale!$AA204,AcctTbl,3,0),""))</f>
        <v/>
      </c>
      <c r="P788" s="82">
        <f>IF(Scale!$AA204&lt;&gt;"X011","","BN02")</f>
        <v/>
      </c>
    </row>
    <row r="789" ht="20.25" customHeight="1">
      <c r="A789" s="80">
        <f>IF(OR(Scale!$AD204="",Scale!$AD204=0),"",Scale!$B204)</f>
        <v/>
      </c>
      <c r="B789" s="80">
        <f>IF(OR(Scale!$AD204="",Scale!$AD204=0),"",Scale!$D204)</f>
        <v/>
      </c>
      <c r="C789" s="80">
        <f>IF(OR(Scale!$AD204="",Scale!$AD204=0),"","باسکول")</f>
        <v/>
      </c>
      <c r="D789" s="80">
        <f>IF(OR(Scale!$AD204="",Scale!$AD204=0),"",Scale!$AD204)</f>
        <v/>
      </c>
      <c r="E789" s="81">
        <f>IF(OR(Scale!$AD204="",Scale!$AD204=0),"",IF(Scale!$AD204="","","مقابل پوز — "&amp;Scale!$E204))</f>
        <v/>
      </c>
      <c r="F789" s="83" t="n"/>
      <c r="G789" s="83" t="n"/>
      <c r="H789" s="83" t="n"/>
      <c r="I789" s="83" t="n"/>
      <c r="J789" s="83" t="n"/>
      <c r="K789" s="82">
        <f>IF(OR(Scale!$AD204="",Scale!$AD204=0),"",IF(Scale!$AE204="",0,Scale!$AE204)+IF(Scale!$AF204="",0,Scale!$AF204))</f>
        <v/>
      </c>
      <c r="L789" s="82">
        <f>IF(OR(Scale!$AD204="",Scale!$AD204=0),"",Scale!$AE204)</f>
        <v/>
      </c>
      <c r="M789" s="82">
        <f>IF(OR(Scale!$AD204="",Scale!$AD204=0),"",Scale!$AF204)</f>
        <v/>
      </c>
      <c r="N789" s="81">
        <f>IF(OR(Scale!$AD204="",Scale!$AD204=0),"","مقابل پوز")</f>
        <v/>
      </c>
      <c r="O789" s="81">
        <f>IF(OR(Scale!$AD204="",Scale!$AD204=0),"",IFERROR(VLOOKUP(Scale!$AD204,AcctTbl,3,0),""))</f>
        <v/>
      </c>
      <c r="P789" s="82">
        <f>IF(Scale!$AD204&lt;&gt;"X011","","BN02")</f>
        <v/>
      </c>
    </row>
    <row r="790" ht="20.25" customHeight="1">
      <c r="A790" s="80">
        <f>IF(OR(Scale!$U205="",Scale!$U205=0),"",Scale!$B205)</f>
        <v/>
      </c>
      <c r="B790" s="80">
        <f>IF(OR(Scale!$U205="",Scale!$U205=0),"",Scale!$D205)</f>
        <v/>
      </c>
      <c r="C790" s="80">
        <f>IF(OR(Scale!$U205="",Scale!$U205=0),"","باسکول")</f>
        <v/>
      </c>
      <c r="D790" s="80">
        <f>IF(OR(Scale!$U205="",Scale!$U205=0),"",Scale!$U205)</f>
        <v/>
      </c>
      <c r="E790" s="81">
        <f>IF(OR(Scale!$U205="",Scale!$U205=0),"",Scale!$T205)</f>
        <v/>
      </c>
      <c r="F790" s="81">
        <f>IF(OR(Scale!$U205="",Scale!$U205=0),"",Scale!$J205)</f>
        <v/>
      </c>
      <c r="G790" s="82">
        <f>IF(OR(Scale!$U205="",Scale!$U205=0),"",Scale!$M205)</f>
        <v/>
      </c>
      <c r="H790" s="82">
        <f>IF(OR(Scale!$U205="",Scale!$U205=0),"",Scale!$L205)</f>
        <v/>
      </c>
      <c r="I790" s="82">
        <f>IF(OR(Scale!$U205="",Scale!$U205=0),"",Scale!$N205)</f>
        <v/>
      </c>
      <c r="J790" s="82">
        <f>IF(OR(Scale!$U205="",Scale!$U205=0),"",Scale!$O205)</f>
        <v/>
      </c>
      <c r="K790" s="82">
        <f>IF(OR(Scale!$U205="",Scale!$U205=0),"",IF(Scale!$V205="",0,Scale!$V205)+IF(Scale!$W205="",0,Scale!$W205))</f>
        <v/>
      </c>
      <c r="L790" s="82">
        <f>IF(OR(Scale!$U205="",Scale!$U205=0),"",Scale!$V205)</f>
        <v/>
      </c>
      <c r="M790" s="82">
        <f>IF(OR(Scale!$U205="",Scale!$U205=0),"",Scale!$W205)</f>
        <v/>
      </c>
      <c r="N790" s="81">
        <f>IF(OR(Scale!$U205="",Scale!$U205=0),"",Scale!$E205)</f>
        <v/>
      </c>
      <c r="O790" s="81">
        <f>IF(OR(Scale!$U205="",Scale!$U205=0),"",IFERROR(VLOOKUP(Scale!$U205,AcctTbl,3,0),""))</f>
        <v/>
      </c>
      <c r="P790" s="82">
        <f>IF(Scale!$U205&lt;&gt;"X011","","BN02")</f>
        <v/>
      </c>
    </row>
    <row r="791" ht="20.25" customHeight="1">
      <c r="A791" s="80">
        <f>IF(OR(Scale!$X205="",Scale!$X205=0),"",Scale!$B205)</f>
        <v/>
      </c>
      <c r="B791" s="80">
        <f>IF(OR(Scale!$X205="",Scale!$X205=0),"",Scale!$D205)</f>
        <v/>
      </c>
      <c r="C791" s="80">
        <f>IF(OR(Scale!$X205="",Scale!$X205=0),"","باسکول")</f>
        <v/>
      </c>
      <c r="D791" s="80">
        <f>IF(OR(Scale!$X205="",Scale!$X205=0),"",Scale!$X205)</f>
        <v/>
      </c>
      <c r="E791" s="81">
        <f>IF(OR(Scale!$X205="",Scale!$X205=0),"",IF(Scale!$X205="","","مقابل: "&amp;Scale!$E205))</f>
        <v/>
      </c>
      <c r="F791" s="83" t="n"/>
      <c r="G791" s="83" t="n"/>
      <c r="H791" s="83" t="n"/>
      <c r="I791" s="83" t="n"/>
      <c r="J791" s="83" t="n"/>
      <c r="K791" s="82">
        <f>IF(OR(Scale!$X205="",Scale!$X205=0),"",IF(Scale!$Y205="",0,Scale!$Y205)+IF(Scale!$Z205="",0,Scale!$Z205))</f>
        <v/>
      </c>
      <c r="L791" s="82">
        <f>IF(OR(Scale!$X205="",Scale!$X205=0),"",Scale!$Y205)</f>
        <v/>
      </c>
      <c r="M791" s="82">
        <f>IF(OR(Scale!$X205="",Scale!$X205=0),"",Scale!$Z205)</f>
        <v/>
      </c>
      <c r="N791" s="81">
        <f>IF(OR(Scale!$X205="",Scale!$X205=0),"","مقابل")</f>
        <v/>
      </c>
      <c r="O791" s="81">
        <f>IF(OR(Scale!$X205="",Scale!$X205=0),"",IFERROR(VLOOKUP(Scale!$X205,AcctTbl,3,0),""))</f>
        <v/>
      </c>
      <c r="P791" s="82">
        <f>IF(Scale!$X205&lt;&gt;"X011","","BN02")</f>
        <v/>
      </c>
    </row>
    <row r="792" ht="20.25" customHeight="1">
      <c r="A792" s="80">
        <f>IF(OR(Scale!$AA205="",Scale!$AA205=0),"",Scale!$B205)</f>
        <v/>
      </c>
      <c r="B792" s="80">
        <f>IF(OR(Scale!$AA205="",Scale!$AA205=0),"",Scale!$D205)</f>
        <v/>
      </c>
      <c r="C792" s="80">
        <f>IF(OR(Scale!$AA205="",Scale!$AA205=0),"","باسکول")</f>
        <v/>
      </c>
      <c r="D792" s="80">
        <f>IF(OR(Scale!$AA205="",Scale!$AA205=0),"",Scale!$AA205)</f>
        <v/>
      </c>
      <c r="E792" s="81">
        <f>IF(OR(Scale!$AA205="",Scale!$AA205=0),"",IF(Scale!$AA205="","","پوز باسکول — "&amp;Scale!$E205))</f>
        <v/>
      </c>
      <c r="F792" s="83" t="n"/>
      <c r="G792" s="83" t="n"/>
      <c r="H792" s="83" t="n"/>
      <c r="I792" s="83" t="n"/>
      <c r="J792" s="83" t="n"/>
      <c r="K792" s="82">
        <f>IF(OR(Scale!$AA205="",Scale!$AA205=0),"",IF(Scale!$AB205="",0,Scale!$AB205)+IF(Scale!$AC205="",0,Scale!$AC205))</f>
        <v/>
      </c>
      <c r="L792" s="82">
        <f>IF(OR(Scale!$AA205="",Scale!$AA205=0),"",Scale!$AB205)</f>
        <v/>
      </c>
      <c r="M792" s="82">
        <f>IF(OR(Scale!$AA205="",Scale!$AA205=0),"",Scale!$AC205)</f>
        <v/>
      </c>
      <c r="N792" s="81">
        <f>IF(OR(Scale!$AA205="",Scale!$AA205=0),"","پوز")</f>
        <v/>
      </c>
      <c r="O792" s="81">
        <f>IF(OR(Scale!$AA205="",Scale!$AA205=0),"",IFERROR(VLOOKUP(Scale!$AA205,AcctTbl,3,0),""))</f>
        <v/>
      </c>
      <c r="P792" s="82">
        <f>IF(Scale!$AA205&lt;&gt;"X011","","BN02")</f>
        <v/>
      </c>
    </row>
    <row r="793" ht="20.25" customHeight="1">
      <c r="A793" s="80">
        <f>IF(OR(Scale!$AD205="",Scale!$AD205=0),"",Scale!$B205)</f>
        <v/>
      </c>
      <c r="B793" s="80">
        <f>IF(OR(Scale!$AD205="",Scale!$AD205=0),"",Scale!$D205)</f>
        <v/>
      </c>
      <c r="C793" s="80">
        <f>IF(OR(Scale!$AD205="",Scale!$AD205=0),"","باسکول")</f>
        <v/>
      </c>
      <c r="D793" s="80">
        <f>IF(OR(Scale!$AD205="",Scale!$AD205=0),"",Scale!$AD205)</f>
        <v/>
      </c>
      <c r="E793" s="81">
        <f>IF(OR(Scale!$AD205="",Scale!$AD205=0),"",IF(Scale!$AD205="","","مقابل پوز — "&amp;Scale!$E205))</f>
        <v/>
      </c>
      <c r="F793" s="83" t="n"/>
      <c r="G793" s="83" t="n"/>
      <c r="H793" s="83" t="n"/>
      <c r="I793" s="83" t="n"/>
      <c r="J793" s="83" t="n"/>
      <c r="K793" s="82">
        <f>IF(OR(Scale!$AD205="",Scale!$AD205=0),"",IF(Scale!$AE205="",0,Scale!$AE205)+IF(Scale!$AF205="",0,Scale!$AF205))</f>
        <v/>
      </c>
      <c r="L793" s="82">
        <f>IF(OR(Scale!$AD205="",Scale!$AD205=0),"",Scale!$AE205)</f>
        <v/>
      </c>
      <c r="M793" s="82">
        <f>IF(OR(Scale!$AD205="",Scale!$AD205=0),"",Scale!$AF205)</f>
        <v/>
      </c>
      <c r="N793" s="81">
        <f>IF(OR(Scale!$AD205="",Scale!$AD205=0),"","مقابل پوز")</f>
        <v/>
      </c>
      <c r="O793" s="81">
        <f>IF(OR(Scale!$AD205="",Scale!$AD205=0),"",IFERROR(VLOOKUP(Scale!$AD205,AcctTbl,3,0),""))</f>
        <v/>
      </c>
      <c r="P793" s="82">
        <f>IF(Scale!$AD205&lt;&gt;"X011","","BN02")</f>
        <v/>
      </c>
    </row>
    <row r="794" ht="20.25" customHeight="1">
      <c r="A794" s="80">
        <f>IF(OR(Scale!$U206="",Scale!$U206=0),"",Scale!$B206)</f>
        <v/>
      </c>
      <c r="B794" s="80">
        <f>IF(OR(Scale!$U206="",Scale!$U206=0),"",Scale!$D206)</f>
        <v/>
      </c>
      <c r="C794" s="80">
        <f>IF(OR(Scale!$U206="",Scale!$U206=0),"","باسکول")</f>
        <v/>
      </c>
      <c r="D794" s="80">
        <f>IF(OR(Scale!$U206="",Scale!$U206=0),"",Scale!$U206)</f>
        <v/>
      </c>
      <c r="E794" s="81">
        <f>IF(OR(Scale!$U206="",Scale!$U206=0),"",Scale!$T206)</f>
        <v/>
      </c>
      <c r="F794" s="81">
        <f>IF(OR(Scale!$U206="",Scale!$U206=0),"",Scale!$J206)</f>
        <v/>
      </c>
      <c r="G794" s="82">
        <f>IF(OR(Scale!$U206="",Scale!$U206=0),"",Scale!$M206)</f>
        <v/>
      </c>
      <c r="H794" s="82">
        <f>IF(OR(Scale!$U206="",Scale!$U206=0),"",Scale!$L206)</f>
        <v/>
      </c>
      <c r="I794" s="82">
        <f>IF(OR(Scale!$U206="",Scale!$U206=0),"",Scale!$N206)</f>
        <v/>
      </c>
      <c r="J794" s="82">
        <f>IF(OR(Scale!$U206="",Scale!$U206=0),"",Scale!$O206)</f>
        <v/>
      </c>
      <c r="K794" s="82">
        <f>IF(OR(Scale!$U206="",Scale!$U206=0),"",IF(Scale!$V206="",0,Scale!$V206)+IF(Scale!$W206="",0,Scale!$W206))</f>
        <v/>
      </c>
      <c r="L794" s="82">
        <f>IF(OR(Scale!$U206="",Scale!$U206=0),"",Scale!$V206)</f>
        <v/>
      </c>
      <c r="M794" s="82">
        <f>IF(OR(Scale!$U206="",Scale!$U206=0),"",Scale!$W206)</f>
        <v/>
      </c>
      <c r="N794" s="81">
        <f>IF(OR(Scale!$U206="",Scale!$U206=0),"",Scale!$E206)</f>
        <v/>
      </c>
      <c r="O794" s="81">
        <f>IF(OR(Scale!$U206="",Scale!$U206=0),"",IFERROR(VLOOKUP(Scale!$U206,AcctTbl,3,0),""))</f>
        <v/>
      </c>
      <c r="P794" s="82">
        <f>IF(Scale!$U206&lt;&gt;"X011","","BN02")</f>
        <v/>
      </c>
    </row>
    <row r="795" ht="20.25" customHeight="1">
      <c r="A795" s="80">
        <f>IF(OR(Scale!$X206="",Scale!$X206=0),"",Scale!$B206)</f>
        <v/>
      </c>
      <c r="B795" s="80">
        <f>IF(OR(Scale!$X206="",Scale!$X206=0),"",Scale!$D206)</f>
        <v/>
      </c>
      <c r="C795" s="80">
        <f>IF(OR(Scale!$X206="",Scale!$X206=0),"","باسکول")</f>
        <v/>
      </c>
      <c r="D795" s="80">
        <f>IF(OR(Scale!$X206="",Scale!$X206=0),"",Scale!$X206)</f>
        <v/>
      </c>
      <c r="E795" s="81">
        <f>IF(OR(Scale!$X206="",Scale!$X206=0),"",IF(Scale!$X206="","","مقابل: "&amp;Scale!$E206))</f>
        <v/>
      </c>
      <c r="F795" s="83" t="n"/>
      <c r="G795" s="83" t="n"/>
      <c r="H795" s="83" t="n"/>
      <c r="I795" s="83" t="n"/>
      <c r="J795" s="83" t="n"/>
      <c r="K795" s="82">
        <f>IF(OR(Scale!$X206="",Scale!$X206=0),"",IF(Scale!$Y206="",0,Scale!$Y206)+IF(Scale!$Z206="",0,Scale!$Z206))</f>
        <v/>
      </c>
      <c r="L795" s="82">
        <f>IF(OR(Scale!$X206="",Scale!$X206=0),"",Scale!$Y206)</f>
        <v/>
      </c>
      <c r="M795" s="82">
        <f>IF(OR(Scale!$X206="",Scale!$X206=0),"",Scale!$Z206)</f>
        <v/>
      </c>
      <c r="N795" s="81">
        <f>IF(OR(Scale!$X206="",Scale!$X206=0),"","مقابل")</f>
        <v/>
      </c>
      <c r="O795" s="81">
        <f>IF(OR(Scale!$X206="",Scale!$X206=0),"",IFERROR(VLOOKUP(Scale!$X206,AcctTbl,3,0),""))</f>
        <v/>
      </c>
      <c r="P795" s="82">
        <f>IF(Scale!$X206&lt;&gt;"X011","","BN02")</f>
        <v/>
      </c>
    </row>
    <row r="796" ht="20.25" customHeight="1">
      <c r="A796" s="80">
        <f>IF(OR(Scale!$AA206="",Scale!$AA206=0),"",Scale!$B206)</f>
        <v/>
      </c>
      <c r="B796" s="80">
        <f>IF(OR(Scale!$AA206="",Scale!$AA206=0),"",Scale!$D206)</f>
        <v/>
      </c>
      <c r="C796" s="80">
        <f>IF(OR(Scale!$AA206="",Scale!$AA206=0),"","باسکول")</f>
        <v/>
      </c>
      <c r="D796" s="80">
        <f>IF(OR(Scale!$AA206="",Scale!$AA206=0),"",Scale!$AA206)</f>
        <v/>
      </c>
      <c r="E796" s="81">
        <f>IF(OR(Scale!$AA206="",Scale!$AA206=0),"",IF(Scale!$AA206="","","پوز باسکول — "&amp;Scale!$E206))</f>
        <v/>
      </c>
      <c r="F796" s="83" t="n"/>
      <c r="G796" s="83" t="n"/>
      <c r="H796" s="83" t="n"/>
      <c r="I796" s="83" t="n"/>
      <c r="J796" s="83" t="n"/>
      <c r="K796" s="82">
        <f>IF(OR(Scale!$AA206="",Scale!$AA206=0),"",IF(Scale!$AB206="",0,Scale!$AB206)+IF(Scale!$AC206="",0,Scale!$AC206))</f>
        <v/>
      </c>
      <c r="L796" s="82">
        <f>IF(OR(Scale!$AA206="",Scale!$AA206=0),"",Scale!$AB206)</f>
        <v/>
      </c>
      <c r="M796" s="82">
        <f>IF(OR(Scale!$AA206="",Scale!$AA206=0),"",Scale!$AC206)</f>
        <v/>
      </c>
      <c r="N796" s="81">
        <f>IF(OR(Scale!$AA206="",Scale!$AA206=0),"","پوز")</f>
        <v/>
      </c>
      <c r="O796" s="81">
        <f>IF(OR(Scale!$AA206="",Scale!$AA206=0),"",IFERROR(VLOOKUP(Scale!$AA206,AcctTbl,3,0),""))</f>
        <v/>
      </c>
      <c r="P796" s="82">
        <f>IF(Scale!$AA206&lt;&gt;"X011","","BN02")</f>
        <v/>
      </c>
    </row>
    <row r="797" ht="20.25" customHeight="1">
      <c r="A797" s="80">
        <f>IF(OR(Scale!$AD206="",Scale!$AD206=0),"",Scale!$B206)</f>
        <v/>
      </c>
      <c r="B797" s="80">
        <f>IF(OR(Scale!$AD206="",Scale!$AD206=0),"",Scale!$D206)</f>
        <v/>
      </c>
      <c r="C797" s="80">
        <f>IF(OR(Scale!$AD206="",Scale!$AD206=0),"","باسکول")</f>
        <v/>
      </c>
      <c r="D797" s="80">
        <f>IF(OR(Scale!$AD206="",Scale!$AD206=0),"",Scale!$AD206)</f>
        <v/>
      </c>
      <c r="E797" s="81">
        <f>IF(OR(Scale!$AD206="",Scale!$AD206=0),"",IF(Scale!$AD206="","","مقابل پوز — "&amp;Scale!$E206))</f>
        <v/>
      </c>
      <c r="F797" s="83" t="n"/>
      <c r="G797" s="83" t="n"/>
      <c r="H797" s="83" t="n"/>
      <c r="I797" s="83" t="n"/>
      <c r="J797" s="83" t="n"/>
      <c r="K797" s="82">
        <f>IF(OR(Scale!$AD206="",Scale!$AD206=0),"",IF(Scale!$AE206="",0,Scale!$AE206)+IF(Scale!$AF206="",0,Scale!$AF206))</f>
        <v/>
      </c>
      <c r="L797" s="82">
        <f>IF(OR(Scale!$AD206="",Scale!$AD206=0),"",Scale!$AE206)</f>
        <v/>
      </c>
      <c r="M797" s="82">
        <f>IF(OR(Scale!$AD206="",Scale!$AD206=0),"",Scale!$AF206)</f>
        <v/>
      </c>
      <c r="N797" s="81">
        <f>IF(OR(Scale!$AD206="",Scale!$AD206=0),"","مقابل پوز")</f>
        <v/>
      </c>
      <c r="O797" s="81">
        <f>IF(OR(Scale!$AD206="",Scale!$AD206=0),"",IFERROR(VLOOKUP(Scale!$AD206,AcctTbl,3,0),""))</f>
        <v/>
      </c>
      <c r="P797" s="82">
        <f>IF(Scale!$AD206&lt;&gt;"X011","","BN02")</f>
        <v/>
      </c>
    </row>
    <row r="798" ht="20.25" customHeight="1">
      <c r="A798" s="80">
        <f>IF(OR(Scale!$U207="",Scale!$U207=0),"",Scale!$B207)</f>
        <v/>
      </c>
      <c r="B798" s="80">
        <f>IF(OR(Scale!$U207="",Scale!$U207=0),"",Scale!$D207)</f>
        <v/>
      </c>
      <c r="C798" s="80">
        <f>IF(OR(Scale!$U207="",Scale!$U207=0),"","باسکول")</f>
        <v/>
      </c>
      <c r="D798" s="80">
        <f>IF(OR(Scale!$U207="",Scale!$U207=0),"",Scale!$U207)</f>
        <v/>
      </c>
      <c r="E798" s="81">
        <f>IF(OR(Scale!$U207="",Scale!$U207=0),"",Scale!$T207)</f>
        <v/>
      </c>
      <c r="F798" s="81">
        <f>IF(OR(Scale!$U207="",Scale!$U207=0),"",Scale!$J207)</f>
        <v/>
      </c>
      <c r="G798" s="82">
        <f>IF(OR(Scale!$U207="",Scale!$U207=0),"",Scale!$M207)</f>
        <v/>
      </c>
      <c r="H798" s="82">
        <f>IF(OR(Scale!$U207="",Scale!$U207=0),"",Scale!$L207)</f>
        <v/>
      </c>
      <c r="I798" s="82">
        <f>IF(OR(Scale!$U207="",Scale!$U207=0),"",Scale!$N207)</f>
        <v/>
      </c>
      <c r="J798" s="82">
        <f>IF(OR(Scale!$U207="",Scale!$U207=0),"",Scale!$O207)</f>
        <v/>
      </c>
      <c r="K798" s="82">
        <f>IF(OR(Scale!$U207="",Scale!$U207=0),"",IF(Scale!$V207="",0,Scale!$V207)+IF(Scale!$W207="",0,Scale!$W207))</f>
        <v/>
      </c>
      <c r="L798" s="82">
        <f>IF(OR(Scale!$U207="",Scale!$U207=0),"",Scale!$V207)</f>
        <v/>
      </c>
      <c r="M798" s="82">
        <f>IF(OR(Scale!$U207="",Scale!$U207=0),"",Scale!$W207)</f>
        <v/>
      </c>
      <c r="N798" s="81">
        <f>IF(OR(Scale!$U207="",Scale!$U207=0),"",Scale!$E207)</f>
        <v/>
      </c>
      <c r="O798" s="81">
        <f>IF(OR(Scale!$U207="",Scale!$U207=0),"",IFERROR(VLOOKUP(Scale!$U207,AcctTbl,3,0),""))</f>
        <v/>
      </c>
      <c r="P798" s="82">
        <f>IF(Scale!$U207&lt;&gt;"X011","","BN02")</f>
        <v/>
      </c>
    </row>
    <row r="799" ht="20.25" customHeight="1">
      <c r="A799" s="80">
        <f>IF(OR(Scale!$X207="",Scale!$X207=0),"",Scale!$B207)</f>
        <v/>
      </c>
      <c r="B799" s="80">
        <f>IF(OR(Scale!$X207="",Scale!$X207=0),"",Scale!$D207)</f>
        <v/>
      </c>
      <c r="C799" s="80">
        <f>IF(OR(Scale!$X207="",Scale!$X207=0),"","باسکول")</f>
        <v/>
      </c>
      <c r="D799" s="80">
        <f>IF(OR(Scale!$X207="",Scale!$X207=0),"",Scale!$X207)</f>
        <v/>
      </c>
      <c r="E799" s="81">
        <f>IF(OR(Scale!$X207="",Scale!$X207=0),"",IF(Scale!$X207="","","مقابل: "&amp;Scale!$E207))</f>
        <v/>
      </c>
      <c r="F799" s="83" t="n"/>
      <c r="G799" s="83" t="n"/>
      <c r="H799" s="83" t="n"/>
      <c r="I799" s="83" t="n"/>
      <c r="J799" s="83" t="n"/>
      <c r="K799" s="82">
        <f>IF(OR(Scale!$X207="",Scale!$X207=0),"",IF(Scale!$Y207="",0,Scale!$Y207)+IF(Scale!$Z207="",0,Scale!$Z207))</f>
        <v/>
      </c>
      <c r="L799" s="82">
        <f>IF(OR(Scale!$X207="",Scale!$X207=0),"",Scale!$Y207)</f>
        <v/>
      </c>
      <c r="M799" s="82">
        <f>IF(OR(Scale!$X207="",Scale!$X207=0),"",Scale!$Z207)</f>
        <v/>
      </c>
      <c r="N799" s="81">
        <f>IF(OR(Scale!$X207="",Scale!$X207=0),"","مقابل")</f>
        <v/>
      </c>
      <c r="O799" s="81">
        <f>IF(OR(Scale!$X207="",Scale!$X207=0),"",IFERROR(VLOOKUP(Scale!$X207,AcctTbl,3,0),""))</f>
        <v/>
      </c>
      <c r="P799" s="82">
        <f>IF(Scale!$X207&lt;&gt;"X011","","BN02")</f>
        <v/>
      </c>
    </row>
    <row r="800" ht="20.25" customHeight="1">
      <c r="A800" s="80">
        <f>IF(OR(Scale!$AA207="",Scale!$AA207=0),"",Scale!$B207)</f>
        <v/>
      </c>
      <c r="B800" s="80">
        <f>IF(OR(Scale!$AA207="",Scale!$AA207=0),"",Scale!$D207)</f>
        <v/>
      </c>
      <c r="C800" s="80">
        <f>IF(OR(Scale!$AA207="",Scale!$AA207=0),"","باسکول")</f>
        <v/>
      </c>
      <c r="D800" s="80">
        <f>IF(OR(Scale!$AA207="",Scale!$AA207=0),"",Scale!$AA207)</f>
        <v/>
      </c>
      <c r="E800" s="81">
        <f>IF(OR(Scale!$AA207="",Scale!$AA207=0),"",IF(Scale!$AA207="","","پوز باسکول — "&amp;Scale!$E207))</f>
        <v/>
      </c>
      <c r="F800" s="83" t="n"/>
      <c r="G800" s="83" t="n"/>
      <c r="H800" s="83" t="n"/>
      <c r="I800" s="83" t="n"/>
      <c r="J800" s="83" t="n"/>
      <c r="K800" s="82">
        <f>IF(OR(Scale!$AA207="",Scale!$AA207=0),"",IF(Scale!$AB207="",0,Scale!$AB207)+IF(Scale!$AC207="",0,Scale!$AC207))</f>
        <v/>
      </c>
      <c r="L800" s="82">
        <f>IF(OR(Scale!$AA207="",Scale!$AA207=0),"",Scale!$AB207)</f>
        <v/>
      </c>
      <c r="M800" s="82">
        <f>IF(OR(Scale!$AA207="",Scale!$AA207=0),"",Scale!$AC207)</f>
        <v/>
      </c>
      <c r="N800" s="81">
        <f>IF(OR(Scale!$AA207="",Scale!$AA207=0),"","پوز")</f>
        <v/>
      </c>
      <c r="O800" s="81">
        <f>IF(OR(Scale!$AA207="",Scale!$AA207=0),"",IFERROR(VLOOKUP(Scale!$AA207,AcctTbl,3,0),""))</f>
        <v/>
      </c>
      <c r="P800" s="82">
        <f>IF(Scale!$AA207&lt;&gt;"X011","","BN02")</f>
        <v/>
      </c>
    </row>
    <row r="801" ht="20.25" customHeight="1">
      <c r="A801" s="80">
        <f>IF(OR(Scale!$AD207="",Scale!$AD207=0),"",Scale!$B207)</f>
        <v/>
      </c>
      <c r="B801" s="80">
        <f>IF(OR(Scale!$AD207="",Scale!$AD207=0),"",Scale!$D207)</f>
        <v/>
      </c>
      <c r="C801" s="80">
        <f>IF(OR(Scale!$AD207="",Scale!$AD207=0),"","باسکول")</f>
        <v/>
      </c>
      <c r="D801" s="80">
        <f>IF(OR(Scale!$AD207="",Scale!$AD207=0),"",Scale!$AD207)</f>
        <v/>
      </c>
      <c r="E801" s="81">
        <f>IF(OR(Scale!$AD207="",Scale!$AD207=0),"",IF(Scale!$AD207="","","مقابل پوز — "&amp;Scale!$E207))</f>
        <v/>
      </c>
      <c r="F801" s="83" t="n"/>
      <c r="G801" s="83" t="n"/>
      <c r="H801" s="83" t="n"/>
      <c r="I801" s="83" t="n"/>
      <c r="J801" s="83" t="n"/>
      <c r="K801" s="82">
        <f>IF(OR(Scale!$AD207="",Scale!$AD207=0),"",IF(Scale!$AE207="",0,Scale!$AE207)+IF(Scale!$AF207="",0,Scale!$AF207))</f>
        <v/>
      </c>
      <c r="L801" s="82">
        <f>IF(OR(Scale!$AD207="",Scale!$AD207=0),"",Scale!$AE207)</f>
        <v/>
      </c>
      <c r="M801" s="82">
        <f>IF(OR(Scale!$AD207="",Scale!$AD207=0),"",Scale!$AF207)</f>
        <v/>
      </c>
      <c r="N801" s="81">
        <f>IF(OR(Scale!$AD207="",Scale!$AD207=0),"","مقابل پوز")</f>
        <v/>
      </c>
      <c r="O801" s="81">
        <f>IF(OR(Scale!$AD207="",Scale!$AD207=0),"",IFERROR(VLOOKUP(Scale!$AD207,AcctTbl,3,0),""))</f>
        <v/>
      </c>
      <c r="P801" s="82">
        <f>IF(Scale!$AD207&lt;&gt;"X011","","BN02")</f>
        <v/>
      </c>
    </row>
    <row r="802" ht="20.25" customHeight="1">
      <c r="A802" s="80">
        <f>IF(OR(Scale!$U208="",Scale!$U208=0),"",Scale!$B208)</f>
        <v/>
      </c>
      <c r="B802" s="80">
        <f>IF(OR(Scale!$U208="",Scale!$U208=0),"",Scale!$D208)</f>
        <v/>
      </c>
      <c r="C802" s="80">
        <f>IF(OR(Scale!$U208="",Scale!$U208=0),"","باسکول")</f>
        <v/>
      </c>
      <c r="D802" s="80">
        <f>IF(OR(Scale!$U208="",Scale!$U208=0),"",Scale!$U208)</f>
        <v/>
      </c>
      <c r="E802" s="81">
        <f>IF(OR(Scale!$U208="",Scale!$U208=0),"",Scale!$T208)</f>
        <v/>
      </c>
      <c r="F802" s="81">
        <f>IF(OR(Scale!$U208="",Scale!$U208=0),"",Scale!$J208)</f>
        <v/>
      </c>
      <c r="G802" s="82">
        <f>IF(OR(Scale!$U208="",Scale!$U208=0),"",Scale!$M208)</f>
        <v/>
      </c>
      <c r="H802" s="82">
        <f>IF(OR(Scale!$U208="",Scale!$U208=0),"",Scale!$L208)</f>
        <v/>
      </c>
      <c r="I802" s="82">
        <f>IF(OR(Scale!$U208="",Scale!$U208=0),"",Scale!$N208)</f>
        <v/>
      </c>
      <c r="J802" s="82">
        <f>IF(OR(Scale!$U208="",Scale!$U208=0),"",Scale!$O208)</f>
        <v/>
      </c>
      <c r="K802" s="82">
        <f>IF(OR(Scale!$U208="",Scale!$U208=0),"",IF(Scale!$V208="",0,Scale!$V208)+IF(Scale!$W208="",0,Scale!$W208))</f>
        <v/>
      </c>
      <c r="L802" s="82">
        <f>IF(OR(Scale!$U208="",Scale!$U208=0),"",Scale!$V208)</f>
        <v/>
      </c>
      <c r="M802" s="82">
        <f>IF(OR(Scale!$U208="",Scale!$U208=0),"",Scale!$W208)</f>
        <v/>
      </c>
      <c r="N802" s="81">
        <f>IF(OR(Scale!$U208="",Scale!$U208=0),"",Scale!$E208)</f>
        <v/>
      </c>
      <c r="O802" s="81">
        <f>IF(OR(Scale!$U208="",Scale!$U208=0),"",IFERROR(VLOOKUP(Scale!$U208,AcctTbl,3,0),""))</f>
        <v/>
      </c>
      <c r="P802" s="82">
        <f>IF(Scale!$U208&lt;&gt;"X011","","BN02")</f>
        <v/>
      </c>
    </row>
    <row r="803" ht="20.25" customHeight="1">
      <c r="A803" s="80">
        <f>IF(OR(Scale!$X208="",Scale!$X208=0),"",Scale!$B208)</f>
        <v/>
      </c>
      <c r="B803" s="80">
        <f>IF(OR(Scale!$X208="",Scale!$X208=0),"",Scale!$D208)</f>
        <v/>
      </c>
      <c r="C803" s="80">
        <f>IF(OR(Scale!$X208="",Scale!$X208=0),"","باسکول")</f>
        <v/>
      </c>
      <c r="D803" s="80">
        <f>IF(OR(Scale!$X208="",Scale!$X208=0),"",Scale!$X208)</f>
        <v/>
      </c>
      <c r="E803" s="81">
        <f>IF(OR(Scale!$X208="",Scale!$X208=0),"",IF(Scale!$X208="","","مقابل: "&amp;Scale!$E208))</f>
        <v/>
      </c>
      <c r="F803" s="83" t="n"/>
      <c r="G803" s="83" t="n"/>
      <c r="H803" s="83" t="n"/>
      <c r="I803" s="83" t="n"/>
      <c r="J803" s="83" t="n"/>
      <c r="K803" s="82">
        <f>IF(OR(Scale!$X208="",Scale!$X208=0),"",IF(Scale!$Y208="",0,Scale!$Y208)+IF(Scale!$Z208="",0,Scale!$Z208))</f>
        <v/>
      </c>
      <c r="L803" s="82">
        <f>IF(OR(Scale!$X208="",Scale!$X208=0),"",Scale!$Y208)</f>
        <v/>
      </c>
      <c r="M803" s="82">
        <f>IF(OR(Scale!$X208="",Scale!$X208=0),"",Scale!$Z208)</f>
        <v/>
      </c>
      <c r="N803" s="81">
        <f>IF(OR(Scale!$X208="",Scale!$X208=0),"","مقابل")</f>
        <v/>
      </c>
      <c r="O803" s="81">
        <f>IF(OR(Scale!$X208="",Scale!$X208=0),"",IFERROR(VLOOKUP(Scale!$X208,AcctTbl,3,0),""))</f>
        <v/>
      </c>
      <c r="P803" s="82">
        <f>IF(Scale!$X208&lt;&gt;"X011","","BN02")</f>
        <v/>
      </c>
    </row>
    <row r="804" ht="20.25" customHeight="1">
      <c r="A804" s="80">
        <f>IF(OR(Scale!$AA208="",Scale!$AA208=0),"",Scale!$B208)</f>
        <v/>
      </c>
      <c r="B804" s="80">
        <f>IF(OR(Scale!$AA208="",Scale!$AA208=0),"",Scale!$D208)</f>
        <v/>
      </c>
      <c r="C804" s="80">
        <f>IF(OR(Scale!$AA208="",Scale!$AA208=0),"","باسکول")</f>
        <v/>
      </c>
      <c r="D804" s="80">
        <f>IF(OR(Scale!$AA208="",Scale!$AA208=0),"",Scale!$AA208)</f>
        <v/>
      </c>
      <c r="E804" s="81">
        <f>IF(OR(Scale!$AA208="",Scale!$AA208=0),"",IF(Scale!$AA208="","","پوز باسکول — "&amp;Scale!$E208))</f>
        <v/>
      </c>
      <c r="F804" s="83" t="n"/>
      <c r="G804" s="83" t="n"/>
      <c r="H804" s="83" t="n"/>
      <c r="I804" s="83" t="n"/>
      <c r="J804" s="83" t="n"/>
      <c r="K804" s="82">
        <f>IF(OR(Scale!$AA208="",Scale!$AA208=0),"",IF(Scale!$AB208="",0,Scale!$AB208)+IF(Scale!$AC208="",0,Scale!$AC208))</f>
        <v/>
      </c>
      <c r="L804" s="82">
        <f>IF(OR(Scale!$AA208="",Scale!$AA208=0),"",Scale!$AB208)</f>
        <v/>
      </c>
      <c r="M804" s="82">
        <f>IF(OR(Scale!$AA208="",Scale!$AA208=0),"",Scale!$AC208)</f>
        <v/>
      </c>
      <c r="N804" s="81">
        <f>IF(OR(Scale!$AA208="",Scale!$AA208=0),"","پوز")</f>
        <v/>
      </c>
      <c r="O804" s="81">
        <f>IF(OR(Scale!$AA208="",Scale!$AA208=0),"",IFERROR(VLOOKUP(Scale!$AA208,AcctTbl,3,0),""))</f>
        <v/>
      </c>
      <c r="P804" s="82">
        <f>IF(Scale!$AA208&lt;&gt;"X011","","BN02")</f>
        <v/>
      </c>
    </row>
    <row r="805" ht="20.25" customHeight="1">
      <c r="A805" s="80">
        <f>IF(OR(Scale!$AD208="",Scale!$AD208=0),"",Scale!$B208)</f>
        <v/>
      </c>
      <c r="B805" s="80">
        <f>IF(OR(Scale!$AD208="",Scale!$AD208=0),"",Scale!$D208)</f>
        <v/>
      </c>
      <c r="C805" s="80">
        <f>IF(OR(Scale!$AD208="",Scale!$AD208=0),"","باسکول")</f>
        <v/>
      </c>
      <c r="D805" s="80">
        <f>IF(OR(Scale!$AD208="",Scale!$AD208=0),"",Scale!$AD208)</f>
        <v/>
      </c>
      <c r="E805" s="81">
        <f>IF(OR(Scale!$AD208="",Scale!$AD208=0),"",IF(Scale!$AD208="","","مقابل پوز — "&amp;Scale!$E208))</f>
        <v/>
      </c>
      <c r="F805" s="83" t="n"/>
      <c r="G805" s="83" t="n"/>
      <c r="H805" s="83" t="n"/>
      <c r="I805" s="83" t="n"/>
      <c r="J805" s="83" t="n"/>
      <c r="K805" s="82">
        <f>IF(OR(Scale!$AD208="",Scale!$AD208=0),"",IF(Scale!$AE208="",0,Scale!$AE208)+IF(Scale!$AF208="",0,Scale!$AF208))</f>
        <v/>
      </c>
      <c r="L805" s="82">
        <f>IF(OR(Scale!$AD208="",Scale!$AD208=0),"",Scale!$AE208)</f>
        <v/>
      </c>
      <c r="M805" s="82">
        <f>IF(OR(Scale!$AD208="",Scale!$AD208=0),"",Scale!$AF208)</f>
        <v/>
      </c>
      <c r="N805" s="81">
        <f>IF(OR(Scale!$AD208="",Scale!$AD208=0),"","مقابل پوز")</f>
        <v/>
      </c>
      <c r="O805" s="81">
        <f>IF(OR(Scale!$AD208="",Scale!$AD208=0),"",IFERROR(VLOOKUP(Scale!$AD208,AcctTbl,3,0),""))</f>
        <v/>
      </c>
      <c r="P805" s="82">
        <f>IF(Scale!$AD208&lt;&gt;"X011","","BN02")</f>
        <v/>
      </c>
    </row>
    <row r="806" ht="20.25" customHeight="1">
      <c r="A806" s="80">
        <f>IF(OR(Scale!$U209="",Scale!$U209=0),"",Scale!$B209)</f>
        <v/>
      </c>
      <c r="B806" s="80">
        <f>IF(OR(Scale!$U209="",Scale!$U209=0),"",Scale!$D209)</f>
        <v/>
      </c>
      <c r="C806" s="80">
        <f>IF(OR(Scale!$U209="",Scale!$U209=0),"","باسکول")</f>
        <v/>
      </c>
      <c r="D806" s="80">
        <f>IF(OR(Scale!$U209="",Scale!$U209=0),"",Scale!$U209)</f>
        <v/>
      </c>
      <c r="E806" s="81">
        <f>IF(OR(Scale!$U209="",Scale!$U209=0),"",Scale!$T209)</f>
        <v/>
      </c>
      <c r="F806" s="81">
        <f>IF(OR(Scale!$U209="",Scale!$U209=0),"",Scale!$J209)</f>
        <v/>
      </c>
      <c r="G806" s="82">
        <f>IF(OR(Scale!$U209="",Scale!$U209=0),"",Scale!$M209)</f>
        <v/>
      </c>
      <c r="H806" s="82">
        <f>IF(OR(Scale!$U209="",Scale!$U209=0),"",Scale!$L209)</f>
        <v/>
      </c>
      <c r="I806" s="82">
        <f>IF(OR(Scale!$U209="",Scale!$U209=0),"",Scale!$N209)</f>
        <v/>
      </c>
      <c r="J806" s="82">
        <f>IF(OR(Scale!$U209="",Scale!$U209=0),"",Scale!$O209)</f>
        <v/>
      </c>
      <c r="K806" s="82">
        <f>IF(OR(Scale!$U209="",Scale!$U209=0),"",IF(Scale!$V209="",0,Scale!$V209)+IF(Scale!$W209="",0,Scale!$W209))</f>
        <v/>
      </c>
      <c r="L806" s="82">
        <f>IF(OR(Scale!$U209="",Scale!$U209=0),"",Scale!$V209)</f>
        <v/>
      </c>
      <c r="M806" s="82">
        <f>IF(OR(Scale!$U209="",Scale!$U209=0),"",Scale!$W209)</f>
        <v/>
      </c>
      <c r="N806" s="81">
        <f>IF(OR(Scale!$U209="",Scale!$U209=0),"",Scale!$E209)</f>
        <v/>
      </c>
      <c r="O806" s="81">
        <f>IF(OR(Scale!$U209="",Scale!$U209=0),"",IFERROR(VLOOKUP(Scale!$U209,AcctTbl,3,0),""))</f>
        <v/>
      </c>
      <c r="P806" s="82">
        <f>IF(Scale!$U209&lt;&gt;"X011","","BN02")</f>
        <v/>
      </c>
    </row>
    <row r="807" ht="20.25" customHeight="1">
      <c r="A807" s="80">
        <f>IF(OR(Scale!$X209="",Scale!$X209=0),"",Scale!$B209)</f>
        <v/>
      </c>
      <c r="B807" s="80">
        <f>IF(OR(Scale!$X209="",Scale!$X209=0),"",Scale!$D209)</f>
        <v/>
      </c>
      <c r="C807" s="80">
        <f>IF(OR(Scale!$X209="",Scale!$X209=0),"","باسکول")</f>
        <v/>
      </c>
      <c r="D807" s="80">
        <f>IF(OR(Scale!$X209="",Scale!$X209=0),"",Scale!$X209)</f>
        <v/>
      </c>
      <c r="E807" s="81">
        <f>IF(OR(Scale!$X209="",Scale!$X209=0),"",IF(Scale!$X209="","","مقابل: "&amp;Scale!$E209))</f>
        <v/>
      </c>
      <c r="F807" s="83" t="n"/>
      <c r="G807" s="83" t="n"/>
      <c r="H807" s="83" t="n"/>
      <c r="I807" s="83" t="n"/>
      <c r="J807" s="83" t="n"/>
      <c r="K807" s="82">
        <f>IF(OR(Scale!$X209="",Scale!$X209=0),"",IF(Scale!$Y209="",0,Scale!$Y209)+IF(Scale!$Z209="",0,Scale!$Z209))</f>
        <v/>
      </c>
      <c r="L807" s="82">
        <f>IF(OR(Scale!$X209="",Scale!$X209=0),"",Scale!$Y209)</f>
        <v/>
      </c>
      <c r="M807" s="82">
        <f>IF(OR(Scale!$X209="",Scale!$X209=0),"",Scale!$Z209)</f>
        <v/>
      </c>
      <c r="N807" s="81">
        <f>IF(OR(Scale!$X209="",Scale!$X209=0),"","مقابل")</f>
        <v/>
      </c>
      <c r="O807" s="81">
        <f>IF(OR(Scale!$X209="",Scale!$X209=0),"",IFERROR(VLOOKUP(Scale!$X209,AcctTbl,3,0),""))</f>
        <v/>
      </c>
      <c r="P807" s="82">
        <f>IF(Scale!$X209&lt;&gt;"X011","","BN02")</f>
        <v/>
      </c>
    </row>
    <row r="808" ht="20.25" customHeight="1">
      <c r="A808" s="80">
        <f>IF(OR(Scale!$AA209="",Scale!$AA209=0),"",Scale!$B209)</f>
        <v/>
      </c>
      <c r="B808" s="80">
        <f>IF(OR(Scale!$AA209="",Scale!$AA209=0),"",Scale!$D209)</f>
        <v/>
      </c>
      <c r="C808" s="80">
        <f>IF(OR(Scale!$AA209="",Scale!$AA209=0),"","باسکول")</f>
        <v/>
      </c>
      <c r="D808" s="80">
        <f>IF(OR(Scale!$AA209="",Scale!$AA209=0),"",Scale!$AA209)</f>
        <v/>
      </c>
      <c r="E808" s="81">
        <f>IF(OR(Scale!$AA209="",Scale!$AA209=0),"",IF(Scale!$AA209="","","پوز باسکول — "&amp;Scale!$E209))</f>
        <v/>
      </c>
      <c r="F808" s="83" t="n"/>
      <c r="G808" s="83" t="n"/>
      <c r="H808" s="83" t="n"/>
      <c r="I808" s="83" t="n"/>
      <c r="J808" s="83" t="n"/>
      <c r="K808" s="82">
        <f>IF(OR(Scale!$AA209="",Scale!$AA209=0),"",IF(Scale!$AB209="",0,Scale!$AB209)+IF(Scale!$AC209="",0,Scale!$AC209))</f>
        <v/>
      </c>
      <c r="L808" s="82">
        <f>IF(OR(Scale!$AA209="",Scale!$AA209=0),"",Scale!$AB209)</f>
        <v/>
      </c>
      <c r="M808" s="82">
        <f>IF(OR(Scale!$AA209="",Scale!$AA209=0),"",Scale!$AC209)</f>
        <v/>
      </c>
      <c r="N808" s="81">
        <f>IF(OR(Scale!$AA209="",Scale!$AA209=0),"","پوز")</f>
        <v/>
      </c>
      <c r="O808" s="81">
        <f>IF(OR(Scale!$AA209="",Scale!$AA209=0),"",IFERROR(VLOOKUP(Scale!$AA209,AcctTbl,3,0),""))</f>
        <v/>
      </c>
      <c r="P808" s="82">
        <f>IF(Scale!$AA209&lt;&gt;"X011","","BN02")</f>
        <v/>
      </c>
    </row>
    <row r="809" ht="20.25" customHeight="1">
      <c r="A809" s="80">
        <f>IF(OR(Scale!$AD209="",Scale!$AD209=0),"",Scale!$B209)</f>
        <v/>
      </c>
      <c r="B809" s="80">
        <f>IF(OR(Scale!$AD209="",Scale!$AD209=0),"",Scale!$D209)</f>
        <v/>
      </c>
      <c r="C809" s="80">
        <f>IF(OR(Scale!$AD209="",Scale!$AD209=0),"","باسکول")</f>
        <v/>
      </c>
      <c r="D809" s="80">
        <f>IF(OR(Scale!$AD209="",Scale!$AD209=0),"",Scale!$AD209)</f>
        <v/>
      </c>
      <c r="E809" s="81">
        <f>IF(OR(Scale!$AD209="",Scale!$AD209=0),"",IF(Scale!$AD209="","","مقابل پوز — "&amp;Scale!$E209))</f>
        <v/>
      </c>
      <c r="F809" s="83" t="n"/>
      <c r="G809" s="83" t="n"/>
      <c r="H809" s="83" t="n"/>
      <c r="I809" s="83" t="n"/>
      <c r="J809" s="83" t="n"/>
      <c r="K809" s="82">
        <f>IF(OR(Scale!$AD209="",Scale!$AD209=0),"",IF(Scale!$AE209="",0,Scale!$AE209)+IF(Scale!$AF209="",0,Scale!$AF209))</f>
        <v/>
      </c>
      <c r="L809" s="82">
        <f>IF(OR(Scale!$AD209="",Scale!$AD209=0),"",Scale!$AE209)</f>
        <v/>
      </c>
      <c r="M809" s="82">
        <f>IF(OR(Scale!$AD209="",Scale!$AD209=0),"",Scale!$AF209)</f>
        <v/>
      </c>
      <c r="N809" s="81">
        <f>IF(OR(Scale!$AD209="",Scale!$AD209=0),"","مقابل پوز")</f>
        <v/>
      </c>
      <c r="O809" s="81">
        <f>IF(OR(Scale!$AD209="",Scale!$AD209=0),"",IFERROR(VLOOKUP(Scale!$AD209,AcctTbl,3,0),""))</f>
        <v/>
      </c>
      <c r="P809" s="82">
        <f>IF(Scale!$AD209&lt;&gt;"X011","","BN02")</f>
        <v/>
      </c>
    </row>
    <row r="810" ht="20.25" customHeight="1">
      <c r="A810" s="80">
        <f>IF(OR(Scale!$U210="",Scale!$U210=0),"",Scale!$B210)</f>
        <v/>
      </c>
      <c r="B810" s="80">
        <f>IF(OR(Scale!$U210="",Scale!$U210=0),"",Scale!$D210)</f>
        <v/>
      </c>
      <c r="C810" s="80">
        <f>IF(OR(Scale!$U210="",Scale!$U210=0),"","باسکول")</f>
        <v/>
      </c>
      <c r="D810" s="80">
        <f>IF(OR(Scale!$U210="",Scale!$U210=0),"",Scale!$U210)</f>
        <v/>
      </c>
      <c r="E810" s="81">
        <f>IF(OR(Scale!$U210="",Scale!$U210=0),"",Scale!$T210)</f>
        <v/>
      </c>
      <c r="F810" s="81">
        <f>IF(OR(Scale!$U210="",Scale!$U210=0),"",Scale!$J210)</f>
        <v/>
      </c>
      <c r="G810" s="82">
        <f>IF(OR(Scale!$U210="",Scale!$U210=0),"",Scale!$M210)</f>
        <v/>
      </c>
      <c r="H810" s="82">
        <f>IF(OR(Scale!$U210="",Scale!$U210=0),"",Scale!$L210)</f>
        <v/>
      </c>
      <c r="I810" s="82">
        <f>IF(OR(Scale!$U210="",Scale!$U210=0),"",Scale!$N210)</f>
        <v/>
      </c>
      <c r="J810" s="82">
        <f>IF(OR(Scale!$U210="",Scale!$U210=0),"",Scale!$O210)</f>
        <v/>
      </c>
      <c r="K810" s="82">
        <f>IF(OR(Scale!$U210="",Scale!$U210=0),"",IF(Scale!$V210="",0,Scale!$V210)+IF(Scale!$W210="",0,Scale!$W210))</f>
        <v/>
      </c>
      <c r="L810" s="82">
        <f>IF(OR(Scale!$U210="",Scale!$U210=0),"",Scale!$V210)</f>
        <v/>
      </c>
      <c r="M810" s="82">
        <f>IF(OR(Scale!$U210="",Scale!$U210=0),"",Scale!$W210)</f>
        <v/>
      </c>
      <c r="N810" s="81">
        <f>IF(OR(Scale!$U210="",Scale!$U210=0),"",Scale!$E210)</f>
        <v/>
      </c>
      <c r="O810" s="81">
        <f>IF(OR(Scale!$U210="",Scale!$U210=0),"",IFERROR(VLOOKUP(Scale!$U210,AcctTbl,3,0),""))</f>
        <v/>
      </c>
      <c r="P810" s="82">
        <f>IF(Scale!$U210&lt;&gt;"X011","","BN02")</f>
        <v/>
      </c>
    </row>
    <row r="811" ht="20.25" customHeight="1">
      <c r="A811" s="80">
        <f>IF(OR(Scale!$X210="",Scale!$X210=0),"",Scale!$B210)</f>
        <v/>
      </c>
      <c r="B811" s="80">
        <f>IF(OR(Scale!$X210="",Scale!$X210=0),"",Scale!$D210)</f>
        <v/>
      </c>
      <c r="C811" s="80">
        <f>IF(OR(Scale!$X210="",Scale!$X210=0),"","باسکول")</f>
        <v/>
      </c>
      <c r="D811" s="80">
        <f>IF(OR(Scale!$X210="",Scale!$X210=0),"",Scale!$X210)</f>
        <v/>
      </c>
      <c r="E811" s="81">
        <f>IF(OR(Scale!$X210="",Scale!$X210=0),"",IF(Scale!$X210="","","مقابل: "&amp;Scale!$E210))</f>
        <v/>
      </c>
      <c r="F811" s="83" t="n"/>
      <c r="G811" s="83" t="n"/>
      <c r="H811" s="83" t="n"/>
      <c r="I811" s="83" t="n"/>
      <c r="J811" s="83" t="n"/>
      <c r="K811" s="82">
        <f>IF(OR(Scale!$X210="",Scale!$X210=0),"",IF(Scale!$Y210="",0,Scale!$Y210)+IF(Scale!$Z210="",0,Scale!$Z210))</f>
        <v/>
      </c>
      <c r="L811" s="82">
        <f>IF(OR(Scale!$X210="",Scale!$X210=0),"",Scale!$Y210)</f>
        <v/>
      </c>
      <c r="M811" s="82">
        <f>IF(OR(Scale!$X210="",Scale!$X210=0),"",Scale!$Z210)</f>
        <v/>
      </c>
      <c r="N811" s="81">
        <f>IF(OR(Scale!$X210="",Scale!$X210=0),"","مقابل")</f>
        <v/>
      </c>
      <c r="O811" s="81">
        <f>IF(OR(Scale!$X210="",Scale!$X210=0),"",IFERROR(VLOOKUP(Scale!$X210,AcctTbl,3,0),""))</f>
        <v/>
      </c>
      <c r="P811" s="82">
        <f>IF(Scale!$X210&lt;&gt;"X011","","BN02")</f>
        <v/>
      </c>
    </row>
    <row r="812" ht="20.25" customHeight="1">
      <c r="A812" s="80">
        <f>IF(OR(Scale!$AA210="",Scale!$AA210=0),"",Scale!$B210)</f>
        <v/>
      </c>
      <c r="B812" s="80">
        <f>IF(OR(Scale!$AA210="",Scale!$AA210=0),"",Scale!$D210)</f>
        <v/>
      </c>
      <c r="C812" s="80">
        <f>IF(OR(Scale!$AA210="",Scale!$AA210=0),"","باسکول")</f>
        <v/>
      </c>
      <c r="D812" s="80">
        <f>IF(OR(Scale!$AA210="",Scale!$AA210=0),"",Scale!$AA210)</f>
        <v/>
      </c>
      <c r="E812" s="81">
        <f>IF(OR(Scale!$AA210="",Scale!$AA210=0),"",IF(Scale!$AA210="","","پوز باسکول — "&amp;Scale!$E210))</f>
        <v/>
      </c>
      <c r="F812" s="83" t="n"/>
      <c r="G812" s="83" t="n"/>
      <c r="H812" s="83" t="n"/>
      <c r="I812" s="83" t="n"/>
      <c r="J812" s="83" t="n"/>
      <c r="K812" s="82">
        <f>IF(OR(Scale!$AA210="",Scale!$AA210=0),"",IF(Scale!$AB210="",0,Scale!$AB210)+IF(Scale!$AC210="",0,Scale!$AC210))</f>
        <v/>
      </c>
      <c r="L812" s="82">
        <f>IF(OR(Scale!$AA210="",Scale!$AA210=0),"",Scale!$AB210)</f>
        <v/>
      </c>
      <c r="M812" s="82">
        <f>IF(OR(Scale!$AA210="",Scale!$AA210=0),"",Scale!$AC210)</f>
        <v/>
      </c>
      <c r="N812" s="81">
        <f>IF(OR(Scale!$AA210="",Scale!$AA210=0),"","پوز")</f>
        <v/>
      </c>
      <c r="O812" s="81">
        <f>IF(OR(Scale!$AA210="",Scale!$AA210=0),"",IFERROR(VLOOKUP(Scale!$AA210,AcctTbl,3,0),""))</f>
        <v/>
      </c>
      <c r="P812" s="82">
        <f>IF(Scale!$AA210&lt;&gt;"X011","","BN02")</f>
        <v/>
      </c>
    </row>
    <row r="813" ht="20.25" customHeight="1">
      <c r="A813" s="80">
        <f>IF(OR(Scale!$AD210="",Scale!$AD210=0),"",Scale!$B210)</f>
        <v/>
      </c>
      <c r="B813" s="80">
        <f>IF(OR(Scale!$AD210="",Scale!$AD210=0),"",Scale!$D210)</f>
        <v/>
      </c>
      <c r="C813" s="80">
        <f>IF(OR(Scale!$AD210="",Scale!$AD210=0),"","باسکول")</f>
        <v/>
      </c>
      <c r="D813" s="80">
        <f>IF(OR(Scale!$AD210="",Scale!$AD210=0),"",Scale!$AD210)</f>
        <v/>
      </c>
      <c r="E813" s="81">
        <f>IF(OR(Scale!$AD210="",Scale!$AD210=0),"",IF(Scale!$AD210="","","مقابل پوز — "&amp;Scale!$E210))</f>
        <v/>
      </c>
      <c r="F813" s="83" t="n"/>
      <c r="G813" s="83" t="n"/>
      <c r="H813" s="83" t="n"/>
      <c r="I813" s="83" t="n"/>
      <c r="J813" s="83" t="n"/>
      <c r="K813" s="82">
        <f>IF(OR(Scale!$AD210="",Scale!$AD210=0),"",IF(Scale!$AE210="",0,Scale!$AE210)+IF(Scale!$AF210="",0,Scale!$AF210))</f>
        <v/>
      </c>
      <c r="L813" s="82">
        <f>IF(OR(Scale!$AD210="",Scale!$AD210=0),"",Scale!$AE210)</f>
        <v/>
      </c>
      <c r="M813" s="82">
        <f>IF(OR(Scale!$AD210="",Scale!$AD210=0),"",Scale!$AF210)</f>
        <v/>
      </c>
      <c r="N813" s="81">
        <f>IF(OR(Scale!$AD210="",Scale!$AD210=0),"","مقابل پوز")</f>
        <v/>
      </c>
      <c r="O813" s="81">
        <f>IF(OR(Scale!$AD210="",Scale!$AD210=0),"",IFERROR(VLOOKUP(Scale!$AD210,AcctTbl,3,0),""))</f>
        <v/>
      </c>
      <c r="P813" s="82">
        <f>IF(Scale!$AD210&lt;&gt;"X011","","BN02")</f>
        <v/>
      </c>
    </row>
    <row r="814" ht="20.25" customHeight="1">
      <c r="A814" s="80">
        <f>IF(OR(Scale!$U211="",Scale!$U211=0),"",Scale!$B211)</f>
        <v/>
      </c>
      <c r="B814" s="80">
        <f>IF(OR(Scale!$U211="",Scale!$U211=0),"",Scale!$D211)</f>
        <v/>
      </c>
      <c r="C814" s="80">
        <f>IF(OR(Scale!$U211="",Scale!$U211=0),"","باسکول")</f>
        <v/>
      </c>
      <c r="D814" s="80">
        <f>IF(OR(Scale!$U211="",Scale!$U211=0),"",Scale!$U211)</f>
        <v/>
      </c>
      <c r="E814" s="81">
        <f>IF(OR(Scale!$U211="",Scale!$U211=0),"",Scale!$T211)</f>
        <v/>
      </c>
      <c r="F814" s="81">
        <f>IF(OR(Scale!$U211="",Scale!$U211=0),"",Scale!$J211)</f>
        <v/>
      </c>
      <c r="G814" s="82">
        <f>IF(OR(Scale!$U211="",Scale!$U211=0),"",Scale!$M211)</f>
        <v/>
      </c>
      <c r="H814" s="82">
        <f>IF(OR(Scale!$U211="",Scale!$U211=0),"",Scale!$L211)</f>
        <v/>
      </c>
      <c r="I814" s="82">
        <f>IF(OR(Scale!$U211="",Scale!$U211=0),"",Scale!$N211)</f>
        <v/>
      </c>
      <c r="J814" s="82">
        <f>IF(OR(Scale!$U211="",Scale!$U211=0),"",Scale!$O211)</f>
        <v/>
      </c>
      <c r="K814" s="82">
        <f>IF(OR(Scale!$U211="",Scale!$U211=0),"",IF(Scale!$V211="",0,Scale!$V211)+IF(Scale!$W211="",0,Scale!$W211))</f>
        <v/>
      </c>
      <c r="L814" s="82">
        <f>IF(OR(Scale!$U211="",Scale!$U211=0),"",Scale!$V211)</f>
        <v/>
      </c>
      <c r="M814" s="82">
        <f>IF(OR(Scale!$U211="",Scale!$U211=0),"",Scale!$W211)</f>
        <v/>
      </c>
      <c r="N814" s="81">
        <f>IF(OR(Scale!$U211="",Scale!$U211=0),"",Scale!$E211)</f>
        <v/>
      </c>
      <c r="O814" s="81">
        <f>IF(OR(Scale!$U211="",Scale!$U211=0),"",IFERROR(VLOOKUP(Scale!$U211,AcctTbl,3,0),""))</f>
        <v/>
      </c>
      <c r="P814" s="82">
        <f>IF(Scale!$U211&lt;&gt;"X011","","BN02")</f>
        <v/>
      </c>
    </row>
    <row r="815" ht="20.25" customHeight="1">
      <c r="A815" s="80">
        <f>IF(OR(Scale!$X211="",Scale!$X211=0),"",Scale!$B211)</f>
        <v/>
      </c>
      <c r="B815" s="80">
        <f>IF(OR(Scale!$X211="",Scale!$X211=0),"",Scale!$D211)</f>
        <v/>
      </c>
      <c r="C815" s="80">
        <f>IF(OR(Scale!$X211="",Scale!$X211=0),"","باسکول")</f>
        <v/>
      </c>
      <c r="D815" s="80">
        <f>IF(OR(Scale!$X211="",Scale!$X211=0),"",Scale!$X211)</f>
        <v/>
      </c>
      <c r="E815" s="81">
        <f>IF(OR(Scale!$X211="",Scale!$X211=0),"",IF(Scale!$X211="","","مقابل: "&amp;Scale!$E211))</f>
        <v/>
      </c>
      <c r="F815" s="83" t="n"/>
      <c r="G815" s="83" t="n"/>
      <c r="H815" s="83" t="n"/>
      <c r="I815" s="83" t="n"/>
      <c r="J815" s="83" t="n"/>
      <c r="K815" s="82">
        <f>IF(OR(Scale!$X211="",Scale!$X211=0),"",IF(Scale!$Y211="",0,Scale!$Y211)+IF(Scale!$Z211="",0,Scale!$Z211))</f>
        <v/>
      </c>
      <c r="L815" s="82">
        <f>IF(OR(Scale!$X211="",Scale!$X211=0),"",Scale!$Y211)</f>
        <v/>
      </c>
      <c r="M815" s="82">
        <f>IF(OR(Scale!$X211="",Scale!$X211=0),"",Scale!$Z211)</f>
        <v/>
      </c>
      <c r="N815" s="81">
        <f>IF(OR(Scale!$X211="",Scale!$X211=0),"","مقابل")</f>
        <v/>
      </c>
      <c r="O815" s="81">
        <f>IF(OR(Scale!$X211="",Scale!$X211=0),"",IFERROR(VLOOKUP(Scale!$X211,AcctTbl,3,0),""))</f>
        <v/>
      </c>
      <c r="P815" s="82">
        <f>IF(Scale!$X211&lt;&gt;"X011","","BN02")</f>
        <v/>
      </c>
    </row>
    <row r="816" ht="20.25" customHeight="1">
      <c r="A816" s="80">
        <f>IF(OR(Scale!$AA211="",Scale!$AA211=0),"",Scale!$B211)</f>
        <v/>
      </c>
      <c r="B816" s="80">
        <f>IF(OR(Scale!$AA211="",Scale!$AA211=0),"",Scale!$D211)</f>
        <v/>
      </c>
      <c r="C816" s="80">
        <f>IF(OR(Scale!$AA211="",Scale!$AA211=0),"","باسکول")</f>
        <v/>
      </c>
      <c r="D816" s="80">
        <f>IF(OR(Scale!$AA211="",Scale!$AA211=0),"",Scale!$AA211)</f>
        <v/>
      </c>
      <c r="E816" s="81">
        <f>IF(OR(Scale!$AA211="",Scale!$AA211=0),"",IF(Scale!$AA211="","","پوز باسکول — "&amp;Scale!$E211))</f>
        <v/>
      </c>
      <c r="F816" s="83" t="n"/>
      <c r="G816" s="83" t="n"/>
      <c r="H816" s="83" t="n"/>
      <c r="I816" s="83" t="n"/>
      <c r="J816" s="83" t="n"/>
      <c r="K816" s="82">
        <f>IF(OR(Scale!$AA211="",Scale!$AA211=0),"",IF(Scale!$AB211="",0,Scale!$AB211)+IF(Scale!$AC211="",0,Scale!$AC211))</f>
        <v/>
      </c>
      <c r="L816" s="82">
        <f>IF(OR(Scale!$AA211="",Scale!$AA211=0),"",Scale!$AB211)</f>
        <v/>
      </c>
      <c r="M816" s="82">
        <f>IF(OR(Scale!$AA211="",Scale!$AA211=0),"",Scale!$AC211)</f>
        <v/>
      </c>
      <c r="N816" s="81">
        <f>IF(OR(Scale!$AA211="",Scale!$AA211=0),"","پوز")</f>
        <v/>
      </c>
      <c r="O816" s="81">
        <f>IF(OR(Scale!$AA211="",Scale!$AA211=0),"",IFERROR(VLOOKUP(Scale!$AA211,AcctTbl,3,0),""))</f>
        <v/>
      </c>
      <c r="P816" s="82">
        <f>IF(Scale!$AA211&lt;&gt;"X011","","BN02")</f>
        <v/>
      </c>
    </row>
    <row r="817" ht="20.25" customHeight="1">
      <c r="A817" s="80">
        <f>IF(OR(Scale!$AD211="",Scale!$AD211=0),"",Scale!$B211)</f>
        <v/>
      </c>
      <c r="B817" s="80">
        <f>IF(OR(Scale!$AD211="",Scale!$AD211=0),"",Scale!$D211)</f>
        <v/>
      </c>
      <c r="C817" s="80">
        <f>IF(OR(Scale!$AD211="",Scale!$AD211=0),"","باسکول")</f>
        <v/>
      </c>
      <c r="D817" s="80">
        <f>IF(OR(Scale!$AD211="",Scale!$AD211=0),"",Scale!$AD211)</f>
        <v/>
      </c>
      <c r="E817" s="81">
        <f>IF(OR(Scale!$AD211="",Scale!$AD211=0),"",IF(Scale!$AD211="","","مقابل پوز — "&amp;Scale!$E211))</f>
        <v/>
      </c>
      <c r="F817" s="83" t="n"/>
      <c r="G817" s="83" t="n"/>
      <c r="H817" s="83" t="n"/>
      <c r="I817" s="83" t="n"/>
      <c r="J817" s="83" t="n"/>
      <c r="K817" s="82">
        <f>IF(OR(Scale!$AD211="",Scale!$AD211=0),"",IF(Scale!$AE211="",0,Scale!$AE211)+IF(Scale!$AF211="",0,Scale!$AF211))</f>
        <v/>
      </c>
      <c r="L817" s="82">
        <f>IF(OR(Scale!$AD211="",Scale!$AD211=0),"",Scale!$AE211)</f>
        <v/>
      </c>
      <c r="M817" s="82">
        <f>IF(OR(Scale!$AD211="",Scale!$AD211=0),"",Scale!$AF211)</f>
        <v/>
      </c>
      <c r="N817" s="81">
        <f>IF(OR(Scale!$AD211="",Scale!$AD211=0),"","مقابل پوز")</f>
        <v/>
      </c>
      <c r="O817" s="81">
        <f>IF(OR(Scale!$AD211="",Scale!$AD211=0),"",IFERROR(VLOOKUP(Scale!$AD211,AcctTbl,3,0),""))</f>
        <v/>
      </c>
      <c r="P817" s="82">
        <f>IF(Scale!$AD211&lt;&gt;"X011","","BN02")</f>
        <v/>
      </c>
    </row>
    <row r="818" ht="20.25" customHeight="1">
      <c r="A818" s="80">
        <f>IF(OR(Scale!$U212="",Scale!$U212=0),"",Scale!$B212)</f>
        <v/>
      </c>
      <c r="B818" s="80">
        <f>IF(OR(Scale!$U212="",Scale!$U212=0),"",Scale!$D212)</f>
        <v/>
      </c>
      <c r="C818" s="80">
        <f>IF(OR(Scale!$U212="",Scale!$U212=0),"","باسکول")</f>
        <v/>
      </c>
      <c r="D818" s="80">
        <f>IF(OR(Scale!$U212="",Scale!$U212=0),"",Scale!$U212)</f>
        <v/>
      </c>
      <c r="E818" s="81">
        <f>IF(OR(Scale!$U212="",Scale!$U212=0),"",Scale!$T212)</f>
        <v/>
      </c>
      <c r="F818" s="81">
        <f>IF(OR(Scale!$U212="",Scale!$U212=0),"",Scale!$J212)</f>
        <v/>
      </c>
      <c r="G818" s="82">
        <f>IF(OR(Scale!$U212="",Scale!$U212=0),"",Scale!$M212)</f>
        <v/>
      </c>
      <c r="H818" s="82">
        <f>IF(OR(Scale!$U212="",Scale!$U212=0),"",Scale!$L212)</f>
        <v/>
      </c>
      <c r="I818" s="82">
        <f>IF(OR(Scale!$U212="",Scale!$U212=0),"",Scale!$N212)</f>
        <v/>
      </c>
      <c r="J818" s="82">
        <f>IF(OR(Scale!$U212="",Scale!$U212=0),"",Scale!$O212)</f>
        <v/>
      </c>
      <c r="K818" s="82">
        <f>IF(OR(Scale!$U212="",Scale!$U212=0),"",IF(Scale!$V212="",0,Scale!$V212)+IF(Scale!$W212="",0,Scale!$W212))</f>
        <v/>
      </c>
      <c r="L818" s="82">
        <f>IF(OR(Scale!$U212="",Scale!$U212=0),"",Scale!$V212)</f>
        <v/>
      </c>
      <c r="M818" s="82">
        <f>IF(OR(Scale!$U212="",Scale!$U212=0),"",Scale!$W212)</f>
        <v/>
      </c>
      <c r="N818" s="81">
        <f>IF(OR(Scale!$U212="",Scale!$U212=0),"",Scale!$E212)</f>
        <v/>
      </c>
      <c r="O818" s="81">
        <f>IF(OR(Scale!$U212="",Scale!$U212=0),"",IFERROR(VLOOKUP(Scale!$U212,AcctTbl,3,0),""))</f>
        <v/>
      </c>
      <c r="P818" s="82">
        <f>IF(Scale!$U212&lt;&gt;"X011","","BN02")</f>
        <v/>
      </c>
    </row>
    <row r="819" ht="20.25" customHeight="1">
      <c r="A819" s="80">
        <f>IF(OR(Scale!$X212="",Scale!$X212=0),"",Scale!$B212)</f>
        <v/>
      </c>
      <c r="B819" s="80">
        <f>IF(OR(Scale!$X212="",Scale!$X212=0),"",Scale!$D212)</f>
        <v/>
      </c>
      <c r="C819" s="80">
        <f>IF(OR(Scale!$X212="",Scale!$X212=0),"","باسکول")</f>
        <v/>
      </c>
      <c r="D819" s="80">
        <f>IF(OR(Scale!$X212="",Scale!$X212=0),"",Scale!$X212)</f>
        <v/>
      </c>
      <c r="E819" s="81">
        <f>IF(OR(Scale!$X212="",Scale!$X212=0),"",IF(Scale!$X212="","","مقابل: "&amp;Scale!$E212))</f>
        <v/>
      </c>
      <c r="F819" s="83" t="n"/>
      <c r="G819" s="83" t="n"/>
      <c r="H819" s="83" t="n"/>
      <c r="I819" s="83" t="n"/>
      <c r="J819" s="83" t="n"/>
      <c r="K819" s="82">
        <f>IF(OR(Scale!$X212="",Scale!$X212=0),"",IF(Scale!$Y212="",0,Scale!$Y212)+IF(Scale!$Z212="",0,Scale!$Z212))</f>
        <v/>
      </c>
      <c r="L819" s="82">
        <f>IF(OR(Scale!$X212="",Scale!$X212=0),"",Scale!$Y212)</f>
        <v/>
      </c>
      <c r="M819" s="82">
        <f>IF(OR(Scale!$X212="",Scale!$X212=0),"",Scale!$Z212)</f>
        <v/>
      </c>
      <c r="N819" s="81">
        <f>IF(OR(Scale!$X212="",Scale!$X212=0),"","مقابل")</f>
        <v/>
      </c>
      <c r="O819" s="81">
        <f>IF(OR(Scale!$X212="",Scale!$X212=0),"",IFERROR(VLOOKUP(Scale!$X212,AcctTbl,3,0),""))</f>
        <v/>
      </c>
      <c r="P819" s="82">
        <f>IF(Scale!$X212&lt;&gt;"X011","","BN02")</f>
        <v/>
      </c>
    </row>
    <row r="820" ht="20.25" customHeight="1">
      <c r="A820" s="80">
        <f>IF(OR(Scale!$AA212="",Scale!$AA212=0),"",Scale!$B212)</f>
        <v/>
      </c>
      <c r="B820" s="80">
        <f>IF(OR(Scale!$AA212="",Scale!$AA212=0),"",Scale!$D212)</f>
        <v/>
      </c>
      <c r="C820" s="80">
        <f>IF(OR(Scale!$AA212="",Scale!$AA212=0),"","باسکول")</f>
        <v/>
      </c>
      <c r="D820" s="80">
        <f>IF(OR(Scale!$AA212="",Scale!$AA212=0),"",Scale!$AA212)</f>
        <v/>
      </c>
      <c r="E820" s="81">
        <f>IF(OR(Scale!$AA212="",Scale!$AA212=0),"",IF(Scale!$AA212="","","پوز باسکول — "&amp;Scale!$E212))</f>
        <v/>
      </c>
      <c r="F820" s="83" t="n"/>
      <c r="G820" s="83" t="n"/>
      <c r="H820" s="83" t="n"/>
      <c r="I820" s="83" t="n"/>
      <c r="J820" s="83" t="n"/>
      <c r="K820" s="82">
        <f>IF(OR(Scale!$AA212="",Scale!$AA212=0),"",IF(Scale!$AB212="",0,Scale!$AB212)+IF(Scale!$AC212="",0,Scale!$AC212))</f>
        <v/>
      </c>
      <c r="L820" s="82">
        <f>IF(OR(Scale!$AA212="",Scale!$AA212=0),"",Scale!$AB212)</f>
        <v/>
      </c>
      <c r="M820" s="82">
        <f>IF(OR(Scale!$AA212="",Scale!$AA212=0),"",Scale!$AC212)</f>
        <v/>
      </c>
      <c r="N820" s="81">
        <f>IF(OR(Scale!$AA212="",Scale!$AA212=0),"","پوز")</f>
        <v/>
      </c>
      <c r="O820" s="81">
        <f>IF(OR(Scale!$AA212="",Scale!$AA212=0),"",IFERROR(VLOOKUP(Scale!$AA212,AcctTbl,3,0),""))</f>
        <v/>
      </c>
      <c r="P820" s="82">
        <f>IF(Scale!$AA212&lt;&gt;"X011","","BN02")</f>
        <v/>
      </c>
    </row>
    <row r="821" ht="20.25" customHeight="1">
      <c r="A821" s="80">
        <f>IF(OR(Scale!$AD212="",Scale!$AD212=0),"",Scale!$B212)</f>
        <v/>
      </c>
      <c r="B821" s="80">
        <f>IF(OR(Scale!$AD212="",Scale!$AD212=0),"",Scale!$D212)</f>
        <v/>
      </c>
      <c r="C821" s="80">
        <f>IF(OR(Scale!$AD212="",Scale!$AD212=0),"","باسکول")</f>
        <v/>
      </c>
      <c r="D821" s="80">
        <f>IF(OR(Scale!$AD212="",Scale!$AD212=0),"",Scale!$AD212)</f>
        <v/>
      </c>
      <c r="E821" s="81">
        <f>IF(OR(Scale!$AD212="",Scale!$AD212=0),"",IF(Scale!$AD212="","","مقابل پوز — "&amp;Scale!$E212))</f>
        <v/>
      </c>
      <c r="F821" s="83" t="n"/>
      <c r="G821" s="83" t="n"/>
      <c r="H821" s="83" t="n"/>
      <c r="I821" s="83" t="n"/>
      <c r="J821" s="83" t="n"/>
      <c r="K821" s="82">
        <f>IF(OR(Scale!$AD212="",Scale!$AD212=0),"",IF(Scale!$AE212="",0,Scale!$AE212)+IF(Scale!$AF212="",0,Scale!$AF212))</f>
        <v/>
      </c>
      <c r="L821" s="82">
        <f>IF(OR(Scale!$AD212="",Scale!$AD212=0),"",Scale!$AE212)</f>
        <v/>
      </c>
      <c r="M821" s="82">
        <f>IF(OR(Scale!$AD212="",Scale!$AD212=0),"",Scale!$AF212)</f>
        <v/>
      </c>
      <c r="N821" s="81">
        <f>IF(OR(Scale!$AD212="",Scale!$AD212=0),"","مقابل پوز")</f>
        <v/>
      </c>
      <c r="O821" s="81">
        <f>IF(OR(Scale!$AD212="",Scale!$AD212=0),"",IFERROR(VLOOKUP(Scale!$AD212,AcctTbl,3,0),""))</f>
        <v/>
      </c>
      <c r="P821" s="82">
        <f>IF(Scale!$AD212&lt;&gt;"X011","","BN02")</f>
        <v/>
      </c>
    </row>
    <row r="822" ht="20.25" customHeight="1">
      <c r="A822" s="80">
        <f>IF(OR(Scale!$U213="",Scale!$U213=0),"",Scale!$B213)</f>
        <v/>
      </c>
      <c r="B822" s="80">
        <f>IF(OR(Scale!$U213="",Scale!$U213=0),"",Scale!$D213)</f>
        <v/>
      </c>
      <c r="C822" s="80">
        <f>IF(OR(Scale!$U213="",Scale!$U213=0),"","باسکول")</f>
        <v/>
      </c>
      <c r="D822" s="80">
        <f>IF(OR(Scale!$U213="",Scale!$U213=0),"",Scale!$U213)</f>
        <v/>
      </c>
      <c r="E822" s="81">
        <f>IF(OR(Scale!$U213="",Scale!$U213=0),"",Scale!$T213)</f>
        <v/>
      </c>
      <c r="F822" s="81">
        <f>IF(OR(Scale!$U213="",Scale!$U213=0),"",Scale!$J213)</f>
        <v/>
      </c>
      <c r="G822" s="82">
        <f>IF(OR(Scale!$U213="",Scale!$U213=0),"",Scale!$M213)</f>
        <v/>
      </c>
      <c r="H822" s="82">
        <f>IF(OR(Scale!$U213="",Scale!$U213=0),"",Scale!$L213)</f>
        <v/>
      </c>
      <c r="I822" s="82">
        <f>IF(OR(Scale!$U213="",Scale!$U213=0),"",Scale!$N213)</f>
        <v/>
      </c>
      <c r="J822" s="82">
        <f>IF(OR(Scale!$U213="",Scale!$U213=0),"",Scale!$O213)</f>
        <v/>
      </c>
      <c r="K822" s="82">
        <f>IF(OR(Scale!$U213="",Scale!$U213=0),"",IF(Scale!$V213="",0,Scale!$V213)+IF(Scale!$W213="",0,Scale!$W213))</f>
        <v/>
      </c>
      <c r="L822" s="82">
        <f>IF(OR(Scale!$U213="",Scale!$U213=0),"",Scale!$V213)</f>
        <v/>
      </c>
      <c r="M822" s="82">
        <f>IF(OR(Scale!$U213="",Scale!$U213=0),"",Scale!$W213)</f>
        <v/>
      </c>
      <c r="N822" s="81">
        <f>IF(OR(Scale!$U213="",Scale!$U213=0),"",Scale!$E213)</f>
        <v/>
      </c>
      <c r="O822" s="81">
        <f>IF(OR(Scale!$U213="",Scale!$U213=0),"",IFERROR(VLOOKUP(Scale!$U213,AcctTbl,3,0),""))</f>
        <v/>
      </c>
      <c r="P822" s="82">
        <f>IF(Scale!$U213&lt;&gt;"X011","","BN02")</f>
        <v/>
      </c>
    </row>
    <row r="823" ht="20.25" customHeight="1">
      <c r="A823" s="80">
        <f>IF(OR(Scale!$X213="",Scale!$X213=0),"",Scale!$B213)</f>
        <v/>
      </c>
      <c r="B823" s="80">
        <f>IF(OR(Scale!$X213="",Scale!$X213=0),"",Scale!$D213)</f>
        <v/>
      </c>
      <c r="C823" s="80">
        <f>IF(OR(Scale!$X213="",Scale!$X213=0),"","باسکول")</f>
        <v/>
      </c>
      <c r="D823" s="80">
        <f>IF(OR(Scale!$X213="",Scale!$X213=0),"",Scale!$X213)</f>
        <v/>
      </c>
      <c r="E823" s="81">
        <f>IF(OR(Scale!$X213="",Scale!$X213=0),"",IF(Scale!$X213="","","مقابل: "&amp;Scale!$E213))</f>
        <v/>
      </c>
      <c r="F823" s="83" t="n"/>
      <c r="G823" s="83" t="n"/>
      <c r="H823" s="83" t="n"/>
      <c r="I823" s="83" t="n"/>
      <c r="J823" s="83" t="n"/>
      <c r="K823" s="82">
        <f>IF(OR(Scale!$X213="",Scale!$X213=0),"",IF(Scale!$Y213="",0,Scale!$Y213)+IF(Scale!$Z213="",0,Scale!$Z213))</f>
        <v/>
      </c>
      <c r="L823" s="82">
        <f>IF(OR(Scale!$X213="",Scale!$X213=0),"",Scale!$Y213)</f>
        <v/>
      </c>
      <c r="M823" s="82">
        <f>IF(OR(Scale!$X213="",Scale!$X213=0),"",Scale!$Z213)</f>
        <v/>
      </c>
      <c r="N823" s="81">
        <f>IF(OR(Scale!$X213="",Scale!$X213=0),"","مقابل")</f>
        <v/>
      </c>
      <c r="O823" s="81">
        <f>IF(OR(Scale!$X213="",Scale!$X213=0),"",IFERROR(VLOOKUP(Scale!$X213,AcctTbl,3,0),""))</f>
        <v/>
      </c>
      <c r="P823" s="82">
        <f>IF(Scale!$X213&lt;&gt;"X011","","BN02")</f>
        <v/>
      </c>
    </row>
    <row r="824" ht="20.25" customHeight="1">
      <c r="A824" s="80">
        <f>IF(OR(Scale!$AA213="",Scale!$AA213=0),"",Scale!$B213)</f>
        <v/>
      </c>
      <c r="B824" s="80">
        <f>IF(OR(Scale!$AA213="",Scale!$AA213=0),"",Scale!$D213)</f>
        <v/>
      </c>
      <c r="C824" s="80">
        <f>IF(OR(Scale!$AA213="",Scale!$AA213=0),"","باسکول")</f>
        <v/>
      </c>
      <c r="D824" s="80">
        <f>IF(OR(Scale!$AA213="",Scale!$AA213=0),"",Scale!$AA213)</f>
        <v/>
      </c>
      <c r="E824" s="81">
        <f>IF(OR(Scale!$AA213="",Scale!$AA213=0),"",IF(Scale!$AA213="","","پوز باسکول — "&amp;Scale!$E213))</f>
        <v/>
      </c>
      <c r="F824" s="83" t="n"/>
      <c r="G824" s="83" t="n"/>
      <c r="H824" s="83" t="n"/>
      <c r="I824" s="83" t="n"/>
      <c r="J824" s="83" t="n"/>
      <c r="K824" s="82">
        <f>IF(OR(Scale!$AA213="",Scale!$AA213=0),"",IF(Scale!$AB213="",0,Scale!$AB213)+IF(Scale!$AC213="",0,Scale!$AC213))</f>
        <v/>
      </c>
      <c r="L824" s="82">
        <f>IF(OR(Scale!$AA213="",Scale!$AA213=0),"",Scale!$AB213)</f>
        <v/>
      </c>
      <c r="M824" s="82">
        <f>IF(OR(Scale!$AA213="",Scale!$AA213=0),"",Scale!$AC213)</f>
        <v/>
      </c>
      <c r="N824" s="81">
        <f>IF(OR(Scale!$AA213="",Scale!$AA213=0),"","پوز")</f>
        <v/>
      </c>
      <c r="O824" s="81">
        <f>IF(OR(Scale!$AA213="",Scale!$AA213=0),"",IFERROR(VLOOKUP(Scale!$AA213,AcctTbl,3,0),""))</f>
        <v/>
      </c>
      <c r="P824" s="82">
        <f>IF(Scale!$AA213&lt;&gt;"X011","","BN02")</f>
        <v/>
      </c>
    </row>
    <row r="825" ht="20.25" customHeight="1">
      <c r="A825" s="80">
        <f>IF(OR(Scale!$AD213="",Scale!$AD213=0),"",Scale!$B213)</f>
        <v/>
      </c>
      <c r="B825" s="80">
        <f>IF(OR(Scale!$AD213="",Scale!$AD213=0),"",Scale!$D213)</f>
        <v/>
      </c>
      <c r="C825" s="80">
        <f>IF(OR(Scale!$AD213="",Scale!$AD213=0),"","باسکول")</f>
        <v/>
      </c>
      <c r="D825" s="80">
        <f>IF(OR(Scale!$AD213="",Scale!$AD213=0),"",Scale!$AD213)</f>
        <v/>
      </c>
      <c r="E825" s="81">
        <f>IF(OR(Scale!$AD213="",Scale!$AD213=0),"",IF(Scale!$AD213="","","مقابل پوز — "&amp;Scale!$E213))</f>
        <v/>
      </c>
      <c r="F825" s="83" t="n"/>
      <c r="G825" s="83" t="n"/>
      <c r="H825" s="83" t="n"/>
      <c r="I825" s="83" t="n"/>
      <c r="J825" s="83" t="n"/>
      <c r="K825" s="82">
        <f>IF(OR(Scale!$AD213="",Scale!$AD213=0),"",IF(Scale!$AE213="",0,Scale!$AE213)+IF(Scale!$AF213="",0,Scale!$AF213))</f>
        <v/>
      </c>
      <c r="L825" s="82">
        <f>IF(OR(Scale!$AD213="",Scale!$AD213=0),"",Scale!$AE213)</f>
        <v/>
      </c>
      <c r="M825" s="82">
        <f>IF(OR(Scale!$AD213="",Scale!$AD213=0),"",Scale!$AF213)</f>
        <v/>
      </c>
      <c r="N825" s="81">
        <f>IF(OR(Scale!$AD213="",Scale!$AD213=0),"","مقابل پوز")</f>
        <v/>
      </c>
      <c r="O825" s="81">
        <f>IF(OR(Scale!$AD213="",Scale!$AD213=0),"",IFERROR(VLOOKUP(Scale!$AD213,AcctTbl,3,0),""))</f>
        <v/>
      </c>
      <c r="P825" s="82">
        <f>IF(Scale!$AD213&lt;&gt;"X011","","BN02")</f>
        <v/>
      </c>
    </row>
    <row r="826" ht="20.25" customHeight="1">
      <c r="A826" s="80">
        <f>IF(OR(Scale!$U214="",Scale!$U214=0),"",Scale!$B214)</f>
        <v/>
      </c>
      <c r="B826" s="80">
        <f>IF(OR(Scale!$U214="",Scale!$U214=0),"",Scale!$D214)</f>
        <v/>
      </c>
      <c r="C826" s="80">
        <f>IF(OR(Scale!$U214="",Scale!$U214=0),"","باسکول")</f>
        <v/>
      </c>
      <c r="D826" s="80">
        <f>IF(OR(Scale!$U214="",Scale!$U214=0),"",Scale!$U214)</f>
        <v/>
      </c>
      <c r="E826" s="81">
        <f>IF(OR(Scale!$U214="",Scale!$U214=0),"",Scale!$T214)</f>
        <v/>
      </c>
      <c r="F826" s="81">
        <f>IF(OR(Scale!$U214="",Scale!$U214=0),"",Scale!$J214)</f>
        <v/>
      </c>
      <c r="G826" s="82">
        <f>IF(OR(Scale!$U214="",Scale!$U214=0),"",Scale!$M214)</f>
        <v/>
      </c>
      <c r="H826" s="82">
        <f>IF(OR(Scale!$U214="",Scale!$U214=0),"",Scale!$L214)</f>
        <v/>
      </c>
      <c r="I826" s="82">
        <f>IF(OR(Scale!$U214="",Scale!$U214=0),"",Scale!$N214)</f>
        <v/>
      </c>
      <c r="J826" s="82">
        <f>IF(OR(Scale!$U214="",Scale!$U214=0),"",Scale!$O214)</f>
        <v/>
      </c>
      <c r="K826" s="82">
        <f>IF(OR(Scale!$U214="",Scale!$U214=0),"",IF(Scale!$V214="",0,Scale!$V214)+IF(Scale!$W214="",0,Scale!$W214))</f>
        <v/>
      </c>
      <c r="L826" s="82">
        <f>IF(OR(Scale!$U214="",Scale!$U214=0),"",Scale!$V214)</f>
        <v/>
      </c>
      <c r="M826" s="82">
        <f>IF(OR(Scale!$U214="",Scale!$U214=0),"",Scale!$W214)</f>
        <v/>
      </c>
      <c r="N826" s="81">
        <f>IF(OR(Scale!$U214="",Scale!$U214=0),"",Scale!$E214)</f>
        <v/>
      </c>
      <c r="O826" s="81">
        <f>IF(OR(Scale!$U214="",Scale!$U214=0),"",IFERROR(VLOOKUP(Scale!$U214,AcctTbl,3,0),""))</f>
        <v/>
      </c>
      <c r="P826" s="82">
        <f>IF(Scale!$U214&lt;&gt;"X011","","BN02")</f>
        <v/>
      </c>
    </row>
    <row r="827" ht="20.25" customHeight="1">
      <c r="A827" s="80">
        <f>IF(OR(Scale!$X214="",Scale!$X214=0),"",Scale!$B214)</f>
        <v/>
      </c>
      <c r="B827" s="80">
        <f>IF(OR(Scale!$X214="",Scale!$X214=0),"",Scale!$D214)</f>
        <v/>
      </c>
      <c r="C827" s="80">
        <f>IF(OR(Scale!$X214="",Scale!$X214=0),"","باسکول")</f>
        <v/>
      </c>
      <c r="D827" s="80">
        <f>IF(OR(Scale!$X214="",Scale!$X214=0),"",Scale!$X214)</f>
        <v/>
      </c>
      <c r="E827" s="81">
        <f>IF(OR(Scale!$X214="",Scale!$X214=0),"",IF(Scale!$X214="","","مقابل: "&amp;Scale!$E214))</f>
        <v/>
      </c>
      <c r="F827" s="83" t="n"/>
      <c r="G827" s="83" t="n"/>
      <c r="H827" s="83" t="n"/>
      <c r="I827" s="83" t="n"/>
      <c r="J827" s="83" t="n"/>
      <c r="K827" s="82">
        <f>IF(OR(Scale!$X214="",Scale!$X214=0),"",IF(Scale!$Y214="",0,Scale!$Y214)+IF(Scale!$Z214="",0,Scale!$Z214))</f>
        <v/>
      </c>
      <c r="L827" s="82">
        <f>IF(OR(Scale!$X214="",Scale!$X214=0),"",Scale!$Y214)</f>
        <v/>
      </c>
      <c r="M827" s="82">
        <f>IF(OR(Scale!$X214="",Scale!$X214=0),"",Scale!$Z214)</f>
        <v/>
      </c>
      <c r="N827" s="81">
        <f>IF(OR(Scale!$X214="",Scale!$X214=0),"","مقابل")</f>
        <v/>
      </c>
      <c r="O827" s="81">
        <f>IF(OR(Scale!$X214="",Scale!$X214=0),"",IFERROR(VLOOKUP(Scale!$X214,AcctTbl,3,0),""))</f>
        <v/>
      </c>
      <c r="P827" s="82">
        <f>IF(Scale!$X214&lt;&gt;"X011","","BN02")</f>
        <v/>
      </c>
    </row>
    <row r="828" ht="20.25" customHeight="1">
      <c r="A828" s="80">
        <f>IF(OR(Scale!$AA214="",Scale!$AA214=0),"",Scale!$B214)</f>
        <v/>
      </c>
      <c r="B828" s="80">
        <f>IF(OR(Scale!$AA214="",Scale!$AA214=0),"",Scale!$D214)</f>
        <v/>
      </c>
      <c r="C828" s="80">
        <f>IF(OR(Scale!$AA214="",Scale!$AA214=0),"","باسکول")</f>
        <v/>
      </c>
      <c r="D828" s="80">
        <f>IF(OR(Scale!$AA214="",Scale!$AA214=0),"",Scale!$AA214)</f>
        <v/>
      </c>
      <c r="E828" s="81">
        <f>IF(OR(Scale!$AA214="",Scale!$AA214=0),"",IF(Scale!$AA214="","","پوز باسکول — "&amp;Scale!$E214))</f>
        <v/>
      </c>
      <c r="F828" s="83" t="n"/>
      <c r="G828" s="83" t="n"/>
      <c r="H828" s="83" t="n"/>
      <c r="I828" s="83" t="n"/>
      <c r="J828" s="83" t="n"/>
      <c r="K828" s="82">
        <f>IF(OR(Scale!$AA214="",Scale!$AA214=0),"",IF(Scale!$AB214="",0,Scale!$AB214)+IF(Scale!$AC214="",0,Scale!$AC214))</f>
        <v/>
      </c>
      <c r="L828" s="82">
        <f>IF(OR(Scale!$AA214="",Scale!$AA214=0),"",Scale!$AB214)</f>
        <v/>
      </c>
      <c r="M828" s="82">
        <f>IF(OR(Scale!$AA214="",Scale!$AA214=0),"",Scale!$AC214)</f>
        <v/>
      </c>
      <c r="N828" s="81">
        <f>IF(OR(Scale!$AA214="",Scale!$AA214=0),"","پوز")</f>
        <v/>
      </c>
      <c r="O828" s="81">
        <f>IF(OR(Scale!$AA214="",Scale!$AA214=0),"",IFERROR(VLOOKUP(Scale!$AA214,AcctTbl,3,0),""))</f>
        <v/>
      </c>
      <c r="P828" s="82">
        <f>IF(Scale!$AA214&lt;&gt;"X011","","BN02")</f>
        <v/>
      </c>
    </row>
    <row r="829" ht="20.25" customHeight="1">
      <c r="A829" s="80">
        <f>IF(OR(Scale!$AD214="",Scale!$AD214=0),"",Scale!$B214)</f>
        <v/>
      </c>
      <c r="B829" s="80">
        <f>IF(OR(Scale!$AD214="",Scale!$AD214=0),"",Scale!$D214)</f>
        <v/>
      </c>
      <c r="C829" s="80">
        <f>IF(OR(Scale!$AD214="",Scale!$AD214=0),"","باسکول")</f>
        <v/>
      </c>
      <c r="D829" s="80">
        <f>IF(OR(Scale!$AD214="",Scale!$AD214=0),"",Scale!$AD214)</f>
        <v/>
      </c>
      <c r="E829" s="81">
        <f>IF(OR(Scale!$AD214="",Scale!$AD214=0),"",IF(Scale!$AD214="","","مقابل پوز — "&amp;Scale!$E214))</f>
        <v/>
      </c>
      <c r="F829" s="83" t="n"/>
      <c r="G829" s="83" t="n"/>
      <c r="H829" s="83" t="n"/>
      <c r="I829" s="83" t="n"/>
      <c r="J829" s="83" t="n"/>
      <c r="K829" s="82">
        <f>IF(OR(Scale!$AD214="",Scale!$AD214=0),"",IF(Scale!$AE214="",0,Scale!$AE214)+IF(Scale!$AF214="",0,Scale!$AF214))</f>
        <v/>
      </c>
      <c r="L829" s="82">
        <f>IF(OR(Scale!$AD214="",Scale!$AD214=0),"",Scale!$AE214)</f>
        <v/>
      </c>
      <c r="M829" s="82">
        <f>IF(OR(Scale!$AD214="",Scale!$AD214=0),"",Scale!$AF214)</f>
        <v/>
      </c>
      <c r="N829" s="81">
        <f>IF(OR(Scale!$AD214="",Scale!$AD214=0),"","مقابل پوز")</f>
        <v/>
      </c>
      <c r="O829" s="81">
        <f>IF(OR(Scale!$AD214="",Scale!$AD214=0),"",IFERROR(VLOOKUP(Scale!$AD214,AcctTbl,3,0),""))</f>
        <v/>
      </c>
      <c r="P829" s="82">
        <f>IF(Scale!$AD214&lt;&gt;"X011","","BN02")</f>
        <v/>
      </c>
    </row>
    <row r="830" ht="20.25" customHeight="1">
      <c r="A830" s="80">
        <f>IF(OR(Scale!$U215="",Scale!$U215=0),"",Scale!$B215)</f>
        <v/>
      </c>
      <c r="B830" s="80">
        <f>IF(OR(Scale!$U215="",Scale!$U215=0),"",Scale!$D215)</f>
        <v/>
      </c>
      <c r="C830" s="80">
        <f>IF(OR(Scale!$U215="",Scale!$U215=0),"","باسکول")</f>
        <v/>
      </c>
      <c r="D830" s="80">
        <f>IF(OR(Scale!$U215="",Scale!$U215=0),"",Scale!$U215)</f>
        <v/>
      </c>
      <c r="E830" s="81">
        <f>IF(OR(Scale!$U215="",Scale!$U215=0),"",Scale!$T215)</f>
        <v/>
      </c>
      <c r="F830" s="81">
        <f>IF(OR(Scale!$U215="",Scale!$U215=0),"",Scale!$J215)</f>
        <v/>
      </c>
      <c r="G830" s="82">
        <f>IF(OR(Scale!$U215="",Scale!$U215=0),"",Scale!$M215)</f>
        <v/>
      </c>
      <c r="H830" s="82">
        <f>IF(OR(Scale!$U215="",Scale!$U215=0),"",Scale!$L215)</f>
        <v/>
      </c>
      <c r="I830" s="82">
        <f>IF(OR(Scale!$U215="",Scale!$U215=0),"",Scale!$N215)</f>
        <v/>
      </c>
      <c r="J830" s="82">
        <f>IF(OR(Scale!$U215="",Scale!$U215=0),"",Scale!$O215)</f>
        <v/>
      </c>
      <c r="K830" s="82">
        <f>IF(OR(Scale!$U215="",Scale!$U215=0),"",IF(Scale!$V215="",0,Scale!$V215)+IF(Scale!$W215="",0,Scale!$W215))</f>
        <v/>
      </c>
      <c r="L830" s="82">
        <f>IF(OR(Scale!$U215="",Scale!$U215=0),"",Scale!$V215)</f>
        <v/>
      </c>
      <c r="M830" s="82">
        <f>IF(OR(Scale!$U215="",Scale!$U215=0),"",Scale!$W215)</f>
        <v/>
      </c>
      <c r="N830" s="81">
        <f>IF(OR(Scale!$U215="",Scale!$U215=0),"",Scale!$E215)</f>
        <v/>
      </c>
      <c r="O830" s="81">
        <f>IF(OR(Scale!$U215="",Scale!$U215=0),"",IFERROR(VLOOKUP(Scale!$U215,AcctTbl,3,0),""))</f>
        <v/>
      </c>
      <c r="P830" s="82">
        <f>IF(Scale!$U215&lt;&gt;"X011","","BN02")</f>
        <v/>
      </c>
    </row>
    <row r="831" ht="20.25" customHeight="1">
      <c r="A831" s="80">
        <f>IF(OR(Scale!$X215="",Scale!$X215=0),"",Scale!$B215)</f>
        <v/>
      </c>
      <c r="B831" s="80">
        <f>IF(OR(Scale!$X215="",Scale!$X215=0),"",Scale!$D215)</f>
        <v/>
      </c>
      <c r="C831" s="80">
        <f>IF(OR(Scale!$X215="",Scale!$X215=0),"","باسکول")</f>
        <v/>
      </c>
      <c r="D831" s="80">
        <f>IF(OR(Scale!$X215="",Scale!$X215=0),"",Scale!$X215)</f>
        <v/>
      </c>
      <c r="E831" s="81">
        <f>IF(OR(Scale!$X215="",Scale!$X215=0),"",IF(Scale!$X215="","","مقابل: "&amp;Scale!$E215))</f>
        <v/>
      </c>
      <c r="F831" s="83" t="n"/>
      <c r="G831" s="83" t="n"/>
      <c r="H831" s="83" t="n"/>
      <c r="I831" s="83" t="n"/>
      <c r="J831" s="83" t="n"/>
      <c r="K831" s="82">
        <f>IF(OR(Scale!$X215="",Scale!$X215=0),"",IF(Scale!$Y215="",0,Scale!$Y215)+IF(Scale!$Z215="",0,Scale!$Z215))</f>
        <v/>
      </c>
      <c r="L831" s="82">
        <f>IF(OR(Scale!$X215="",Scale!$X215=0),"",Scale!$Y215)</f>
        <v/>
      </c>
      <c r="M831" s="82">
        <f>IF(OR(Scale!$X215="",Scale!$X215=0),"",Scale!$Z215)</f>
        <v/>
      </c>
      <c r="N831" s="81">
        <f>IF(OR(Scale!$X215="",Scale!$X215=0),"","مقابل")</f>
        <v/>
      </c>
      <c r="O831" s="81">
        <f>IF(OR(Scale!$X215="",Scale!$X215=0),"",IFERROR(VLOOKUP(Scale!$X215,AcctTbl,3,0),""))</f>
        <v/>
      </c>
      <c r="P831" s="82">
        <f>IF(Scale!$X215&lt;&gt;"X011","","BN02")</f>
        <v/>
      </c>
    </row>
    <row r="832" ht="20.25" customHeight="1">
      <c r="A832" s="80">
        <f>IF(OR(Scale!$AA215="",Scale!$AA215=0),"",Scale!$B215)</f>
        <v/>
      </c>
      <c r="B832" s="80">
        <f>IF(OR(Scale!$AA215="",Scale!$AA215=0),"",Scale!$D215)</f>
        <v/>
      </c>
      <c r="C832" s="80">
        <f>IF(OR(Scale!$AA215="",Scale!$AA215=0),"","باسکول")</f>
        <v/>
      </c>
      <c r="D832" s="80">
        <f>IF(OR(Scale!$AA215="",Scale!$AA215=0),"",Scale!$AA215)</f>
        <v/>
      </c>
      <c r="E832" s="81">
        <f>IF(OR(Scale!$AA215="",Scale!$AA215=0),"",IF(Scale!$AA215="","","پوز باسکول — "&amp;Scale!$E215))</f>
        <v/>
      </c>
      <c r="F832" s="83" t="n"/>
      <c r="G832" s="83" t="n"/>
      <c r="H832" s="83" t="n"/>
      <c r="I832" s="83" t="n"/>
      <c r="J832" s="83" t="n"/>
      <c r="K832" s="82">
        <f>IF(OR(Scale!$AA215="",Scale!$AA215=0),"",IF(Scale!$AB215="",0,Scale!$AB215)+IF(Scale!$AC215="",0,Scale!$AC215))</f>
        <v/>
      </c>
      <c r="L832" s="82">
        <f>IF(OR(Scale!$AA215="",Scale!$AA215=0),"",Scale!$AB215)</f>
        <v/>
      </c>
      <c r="M832" s="82">
        <f>IF(OR(Scale!$AA215="",Scale!$AA215=0),"",Scale!$AC215)</f>
        <v/>
      </c>
      <c r="N832" s="81">
        <f>IF(OR(Scale!$AA215="",Scale!$AA215=0),"","پوز")</f>
        <v/>
      </c>
      <c r="O832" s="81">
        <f>IF(OR(Scale!$AA215="",Scale!$AA215=0),"",IFERROR(VLOOKUP(Scale!$AA215,AcctTbl,3,0),""))</f>
        <v/>
      </c>
      <c r="P832" s="82">
        <f>IF(Scale!$AA215&lt;&gt;"X011","","BN02")</f>
        <v/>
      </c>
    </row>
    <row r="833" ht="20.25" customHeight="1">
      <c r="A833" s="80">
        <f>IF(OR(Scale!$AD215="",Scale!$AD215=0),"",Scale!$B215)</f>
        <v/>
      </c>
      <c r="B833" s="80">
        <f>IF(OR(Scale!$AD215="",Scale!$AD215=0),"",Scale!$D215)</f>
        <v/>
      </c>
      <c r="C833" s="80">
        <f>IF(OR(Scale!$AD215="",Scale!$AD215=0),"","باسکول")</f>
        <v/>
      </c>
      <c r="D833" s="80">
        <f>IF(OR(Scale!$AD215="",Scale!$AD215=0),"",Scale!$AD215)</f>
        <v/>
      </c>
      <c r="E833" s="81">
        <f>IF(OR(Scale!$AD215="",Scale!$AD215=0),"",IF(Scale!$AD215="","","مقابل پوز — "&amp;Scale!$E215))</f>
        <v/>
      </c>
      <c r="F833" s="83" t="n"/>
      <c r="G833" s="83" t="n"/>
      <c r="H833" s="83" t="n"/>
      <c r="I833" s="83" t="n"/>
      <c r="J833" s="83" t="n"/>
      <c r="K833" s="82">
        <f>IF(OR(Scale!$AD215="",Scale!$AD215=0),"",IF(Scale!$AE215="",0,Scale!$AE215)+IF(Scale!$AF215="",0,Scale!$AF215))</f>
        <v/>
      </c>
      <c r="L833" s="82">
        <f>IF(OR(Scale!$AD215="",Scale!$AD215=0),"",Scale!$AE215)</f>
        <v/>
      </c>
      <c r="M833" s="82">
        <f>IF(OR(Scale!$AD215="",Scale!$AD215=0),"",Scale!$AF215)</f>
        <v/>
      </c>
      <c r="N833" s="81">
        <f>IF(OR(Scale!$AD215="",Scale!$AD215=0),"","مقابل پوز")</f>
        <v/>
      </c>
      <c r="O833" s="81">
        <f>IF(OR(Scale!$AD215="",Scale!$AD215=0),"",IFERROR(VLOOKUP(Scale!$AD215,AcctTbl,3,0),""))</f>
        <v/>
      </c>
      <c r="P833" s="82">
        <f>IF(Scale!$AD215&lt;&gt;"X011","","BN02")</f>
        <v/>
      </c>
    </row>
    <row r="834" ht="20.25" customHeight="1">
      <c r="A834" s="80">
        <f>IF(OR(Scale!$U216="",Scale!$U216=0),"",Scale!$B216)</f>
        <v/>
      </c>
      <c r="B834" s="80">
        <f>IF(OR(Scale!$U216="",Scale!$U216=0),"",Scale!$D216)</f>
        <v/>
      </c>
      <c r="C834" s="80">
        <f>IF(OR(Scale!$U216="",Scale!$U216=0),"","باسکول")</f>
        <v/>
      </c>
      <c r="D834" s="80">
        <f>IF(OR(Scale!$U216="",Scale!$U216=0),"",Scale!$U216)</f>
        <v/>
      </c>
      <c r="E834" s="81">
        <f>IF(OR(Scale!$U216="",Scale!$U216=0),"",Scale!$T216)</f>
        <v/>
      </c>
      <c r="F834" s="81">
        <f>IF(OR(Scale!$U216="",Scale!$U216=0),"",Scale!$J216)</f>
        <v/>
      </c>
      <c r="G834" s="82">
        <f>IF(OR(Scale!$U216="",Scale!$U216=0),"",Scale!$M216)</f>
        <v/>
      </c>
      <c r="H834" s="82">
        <f>IF(OR(Scale!$U216="",Scale!$U216=0),"",Scale!$L216)</f>
        <v/>
      </c>
      <c r="I834" s="82">
        <f>IF(OR(Scale!$U216="",Scale!$U216=0),"",Scale!$N216)</f>
        <v/>
      </c>
      <c r="J834" s="82">
        <f>IF(OR(Scale!$U216="",Scale!$U216=0),"",Scale!$O216)</f>
        <v/>
      </c>
      <c r="K834" s="82">
        <f>IF(OR(Scale!$U216="",Scale!$U216=0),"",IF(Scale!$V216="",0,Scale!$V216)+IF(Scale!$W216="",0,Scale!$W216))</f>
        <v/>
      </c>
      <c r="L834" s="82">
        <f>IF(OR(Scale!$U216="",Scale!$U216=0),"",Scale!$V216)</f>
        <v/>
      </c>
      <c r="M834" s="82">
        <f>IF(OR(Scale!$U216="",Scale!$U216=0),"",Scale!$W216)</f>
        <v/>
      </c>
      <c r="N834" s="81">
        <f>IF(OR(Scale!$U216="",Scale!$U216=0),"",Scale!$E216)</f>
        <v/>
      </c>
      <c r="O834" s="81">
        <f>IF(OR(Scale!$U216="",Scale!$U216=0),"",IFERROR(VLOOKUP(Scale!$U216,AcctTbl,3,0),""))</f>
        <v/>
      </c>
      <c r="P834" s="82">
        <f>IF(Scale!$U216&lt;&gt;"X011","","BN02")</f>
        <v/>
      </c>
    </row>
    <row r="835" ht="20.25" customHeight="1">
      <c r="A835" s="80">
        <f>IF(OR(Scale!$X216="",Scale!$X216=0),"",Scale!$B216)</f>
        <v/>
      </c>
      <c r="B835" s="80">
        <f>IF(OR(Scale!$X216="",Scale!$X216=0),"",Scale!$D216)</f>
        <v/>
      </c>
      <c r="C835" s="80">
        <f>IF(OR(Scale!$X216="",Scale!$X216=0),"","باسکول")</f>
        <v/>
      </c>
      <c r="D835" s="80">
        <f>IF(OR(Scale!$X216="",Scale!$X216=0),"",Scale!$X216)</f>
        <v/>
      </c>
      <c r="E835" s="81">
        <f>IF(OR(Scale!$X216="",Scale!$X216=0),"",IF(Scale!$X216="","","مقابل: "&amp;Scale!$E216))</f>
        <v/>
      </c>
      <c r="F835" s="83" t="n"/>
      <c r="G835" s="83" t="n"/>
      <c r="H835" s="83" t="n"/>
      <c r="I835" s="83" t="n"/>
      <c r="J835" s="83" t="n"/>
      <c r="K835" s="82">
        <f>IF(OR(Scale!$X216="",Scale!$X216=0),"",IF(Scale!$Y216="",0,Scale!$Y216)+IF(Scale!$Z216="",0,Scale!$Z216))</f>
        <v/>
      </c>
      <c r="L835" s="82">
        <f>IF(OR(Scale!$X216="",Scale!$X216=0),"",Scale!$Y216)</f>
        <v/>
      </c>
      <c r="M835" s="82">
        <f>IF(OR(Scale!$X216="",Scale!$X216=0),"",Scale!$Z216)</f>
        <v/>
      </c>
      <c r="N835" s="81">
        <f>IF(OR(Scale!$X216="",Scale!$X216=0),"","مقابل")</f>
        <v/>
      </c>
      <c r="O835" s="81">
        <f>IF(OR(Scale!$X216="",Scale!$X216=0),"",IFERROR(VLOOKUP(Scale!$X216,AcctTbl,3,0),""))</f>
        <v/>
      </c>
      <c r="P835" s="82">
        <f>IF(Scale!$X216&lt;&gt;"X011","","BN02")</f>
        <v/>
      </c>
    </row>
    <row r="836" ht="20.25" customHeight="1">
      <c r="A836" s="80">
        <f>IF(OR(Scale!$AA216="",Scale!$AA216=0),"",Scale!$B216)</f>
        <v/>
      </c>
      <c r="B836" s="80">
        <f>IF(OR(Scale!$AA216="",Scale!$AA216=0),"",Scale!$D216)</f>
        <v/>
      </c>
      <c r="C836" s="80">
        <f>IF(OR(Scale!$AA216="",Scale!$AA216=0),"","باسکول")</f>
        <v/>
      </c>
      <c r="D836" s="80">
        <f>IF(OR(Scale!$AA216="",Scale!$AA216=0),"",Scale!$AA216)</f>
        <v/>
      </c>
      <c r="E836" s="81">
        <f>IF(OR(Scale!$AA216="",Scale!$AA216=0),"",IF(Scale!$AA216="","","پوز باسکول — "&amp;Scale!$E216))</f>
        <v/>
      </c>
      <c r="F836" s="83" t="n"/>
      <c r="G836" s="83" t="n"/>
      <c r="H836" s="83" t="n"/>
      <c r="I836" s="83" t="n"/>
      <c r="J836" s="83" t="n"/>
      <c r="K836" s="82">
        <f>IF(OR(Scale!$AA216="",Scale!$AA216=0),"",IF(Scale!$AB216="",0,Scale!$AB216)+IF(Scale!$AC216="",0,Scale!$AC216))</f>
        <v/>
      </c>
      <c r="L836" s="82">
        <f>IF(OR(Scale!$AA216="",Scale!$AA216=0),"",Scale!$AB216)</f>
        <v/>
      </c>
      <c r="M836" s="82">
        <f>IF(OR(Scale!$AA216="",Scale!$AA216=0),"",Scale!$AC216)</f>
        <v/>
      </c>
      <c r="N836" s="81">
        <f>IF(OR(Scale!$AA216="",Scale!$AA216=0),"","پوز")</f>
        <v/>
      </c>
      <c r="O836" s="81">
        <f>IF(OR(Scale!$AA216="",Scale!$AA216=0),"",IFERROR(VLOOKUP(Scale!$AA216,AcctTbl,3,0),""))</f>
        <v/>
      </c>
      <c r="P836" s="82">
        <f>IF(Scale!$AA216&lt;&gt;"X011","","BN02")</f>
        <v/>
      </c>
    </row>
    <row r="837" ht="20.25" customHeight="1">
      <c r="A837" s="80">
        <f>IF(OR(Scale!$AD216="",Scale!$AD216=0),"",Scale!$B216)</f>
        <v/>
      </c>
      <c r="B837" s="80">
        <f>IF(OR(Scale!$AD216="",Scale!$AD216=0),"",Scale!$D216)</f>
        <v/>
      </c>
      <c r="C837" s="80">
        <f>IF(OR(Scale!$AD216="",Scale!$AD216=0),"","باسکول")</f>
        <v/>
      </c>
      <c r="D837" s="80">
        <f>IF(OR(Scale!$AD216="",Scale!$AD216=0),"",Scale!$AD216)</f>
        <v/>
      </c>
      <c r="E837" s="81">
        <f>IF(OR(Scale!$AD216="",Scale!$AD216=0),"",IF(Scale!$AD216="","","مقابل پوز — "&amp;Scale!$E216))</f>
        <v/>
      </c>
      <c r="F837" s="83" t="n"/>
      <c r="G837" s="83" t="n"/>
      <c r="H837" s="83" t="n"/>
      <c r="I837" s="83" t="n"/>
      <c r="J837" s="83" t="n"/>
      <c r="K837" s="82">
        <f>IF(OR(Scale!$AD216="",Scale!$AD216=0),"",IF(Scale!$AE216="",0,Scale!$AE216)+IF(Scale!$AF216="",0,Scale!$AF216))</f>
        <v/>
      </c>
      <c r="L837" s="82">
        <f>IF(OR(Scale!$AD216="",Scale!$AD216=0),"",Scale!$AE216)</f>
        <v/>
      </c>
      <c r="M837" s="82">
        <f>IF(OR(Scale!$AD216="",Scale!$AD216=0),"",Scale!$AF216)</f>
        <v/>
      </c>
      <c r="N837" s="81">
        <f>IF(OR(Scale!$AD216="",Scale!$AD216=0),"","مقابل پوز")</f>
        <v/>
      </c>
      <c r="O837" s="81">
        <f>IF(OR(Scale!$AD216="",Scale!$AD216=0),"",IFERROR(VLOOKUP(Scale!$AD216,AcctTbl,3,0),""))</f>
        <v/>
      </c>
      <c r="P837" s="82">
        <f>IF(Scale!$AD216&lt;&gt;"X011","","BN02")</f>
        <v/>
      </c>
    </row>
    <row r="838" ht="20.25" customHeight="1">
      <c r="A838" s="80">
        <f>IF(OR(Scale!$U217="",Scale!$U217=0),"",Scale!$B217)</f>
        <v/>
      </c>
      <c r="B838" s="80">
        <f>IF(OR(Scale!$U217="",Scale!$U217=0),"",Scale!$D217)</f>
        <v/>
      </c>
      <c r="C838" s="80">
        <f>IF(OR(Scale!$U217="",Scale!$U217=0),"","باسکول")</f>
        <v/>
      </c>
      <c r="D838" s="80">
        <f>IF(OR(Scale!$U217="",Scale!$U217=0),"",Scale!$U217)</f>
        <v/>
      </c>
      <c r="E838" s="81">
        <f>IF(OR(Scale!$U217="",Scale!$U217=0),"",Scale!$T217)</f>
        <v/>
      </c>
      <c r="F838" s="81">
        <f>IF(OR(Scale!$U217="",Scale!$U217=0),"",Scale!$J217)</f>
        <v/>
      </c>
      <c r="G838" s="82">
        <f>IF(OR(Scale!$U217="",Scale!$U217=0),"",Scale!$M217)</f>
        <v/>
      </c>
      <c r="H838" s="82">
        <f>IF(OR(Scale!$U217="",Scale!$U217=0),"",Scale!$L217)</f>
        <v/>
      </c>
      <c r="I838" s="82">
        <f>IF(OR(Scale!$U217="",Scale!$U217=0),"",Scale!$N217)</f>
        <v/>
      </c>
      <c r="J838" s="82">
        <f>IF(OR(Scale!$U217="",Scale!$U217=0),"",Scale!$O217)</f>
        <v/>
      </c>
      <c r="K838" s="82">
        <f>IF(OR(Scale!$U217="",Scale!$U217=0),"",IF(Scale!$V217="",0,Scale!$V217)+IF(Scale!$W217="",0,Scale!$W217))</f>
        <v/>
      </c>
      <c r="L838" s="82">
        <f>IF(OR(Scale!$U217="",Scale!$U217=0),"",Scale!$V217)</f>
        <v/>
      </c>
      <c r="M838" s="82">
        <f>IF(OR(Scale!$U217="",Scale!$U217=0),"",Scale!$W217)</f>
        <v/>
      </c>
      <c r="N838" s="81">
        <f>IF(OR(Scale!$U217="",Scale!$U217=0),"",Scale!$E217)</f>
        <v/>
      </c>
      <c r="O838" s="81">
        <f>IF(OR(Scale!$U217="",Scale!$U217=0),"",IFERROR(VLOOKUP(Scale!$U217,AcctTbl,3,0),""))</f>
        <v/>
      </c>
      <c r="P838" s="82">
        <f>IF(Scale!$U217&lt;&gt;"X011","","BN02")</f>
        <v/>
      </c>
    </row>
    <row r="839" ht="20.25" customHeight="1">
      <c r="A839" s="80">
        <f>IF(OR(Scale!$X217="",Scale!$X217=0),"",Scale!$B217)</f>
        <v/>
      </c>
      <c r="B839" s="80">
        <f>IF(OR(Scale!$X217="",Scale!$X217=0),"",Scale!$D217)</f>
        <v/>
      </c>
      <c r="C839" s="80">
        <f>IF(OR(Scale!$X217="",Scale!$X217=0),"","باسکول")</f>
        <v/>
      </c>
      <c r="D839" s="80">
        <f>IF(OR(Scale!$X217="",Scale!$X217=0),"",Scale!$X217)</f>
        <v/>
      </c>
      <c r="E839" s="81">
        <f>IF(OR(Scale!$X217="",Scale!$X217=0),"",IF(Scale!$X217="","","مقابل: "&amp;Scale!$E217))</f>
        <v/>
      </c>
      <c r="F839" s="83" t="n"/>
      <c r="G839" s="83" t="n"/>
      <c r="H839" s="83" t="n"/>
      <c r="I839" s="83" t="n"/>
      <c r="J839" s="83" t="n"/>
      <c r="K839" s="82">
        <f>IF(OR(Scale!$X217="",Scale!$X217=0),"",IF(Scale!$Y217="",0,Scale!$Y217)+IF(Scale!$Z217="",0,Scale!$Z217))</f>
        <v/>
      </c>
      <c r="L839" s="82">
        <f>IF(OR(Scale!$X217="",Scale!$X217=0),"",Scale!$Y217)</f>
        <v/>
      </c>
      <c r="M839" s="82">
        <f>IF(OR(Scale!$X217="",Scale!$X217=0),"",Scale!$Z217)</f>
        <v/>
      </c>
      <c r="N839" s="81">
        <f>IF(OR(Scale!$X217="",Scale!$X217=0),"","مقابل")</f>
        <v/>
      </c>
      <c r="O839" s="81">
        <f>IF(OR(Scale!$X217="",Scale!$X217=0),"",IFERROR(VLOOKUP(Scale!$X217,AcctTbl,3,0),""))</f>
        <v/>
      </c>
      <c r="P839" s="82">
        <f>IF(Scale!$X217&lt;&gt;"X011","","BN02")</f>
        <v/>
      </c>
    </row>
    <row r="840" ht="20.25" customHeight="1">
      <c r="A840" s="80">
        <f>IF(OR(Scale!$AA217="",Scale!$AA217=0),"",Scale!$B217)</f>
        <v/>
      </c>
      <c r="B840" s="80">
        <f>IF(OR(Scale!$AA217="",Scale!$AA217=0),"",Scale!$D217)</f>
        <v/>
      </c>
      <c r="C840" s="80">
        <f>IF(OR(Scale!$AA217="",Scale!$AA217=0),"","باسکول")</f>
        <v/>
      </c>
      <c r="D840" s="80">
        <f>IF(OR(Scale!$AA217="",Scale!$AA217=0),"",Scale!$AA217)</f>
        <v/>
      </c>
      <c r="E840" s="81">
        <f>IF(OR(Scale!$AA217="",Scale!$AA217=0),"",IF(Scale!$AA217="","","پوز باسکول — "&amp;Scale!$E217))</f>
        <v/>
      </c>
      <c r="F840" s="83" t="n"/>
      <c r="G840" s="83" t="n"/>
      <c r="H840" s="83" t="n"/>
      <c r="I840" s="83" t="n"/>
      <c r="J840" s="83" t="n"/>
      <c r="K840" s="82">
        <f>IF(OR(Scale!$AA217="",Scale!$AA217=0),"",IF(Scale!$AB217="",0,Scale!$AB217)+IF(Scale!$AC217="",0,Scale!$AC217))</f>
        <v/>
      </c>
      <c r="L840" s="82">
        <f>IF(OR(Scale!$AA217="",Scale!$AA217=0),"",Scale!$AB217)</f>
        <v/>
      </c>
      <c r="M840" s="82">
        <f>IF(OR(Scale!$AA217="",Scale!$AA217=0),"",Scale!$AC217)</f>
        <v/>
      </c>
      <c r="N840" s="81">
        <f>IF(OR(Scale!$AA217="",Scale!$AA217=0),"","پوز")</f>
        <v/>
      </c>
      <c r="O840" s="81">
        <f>IF(OR(Scale!$AA217="",Scale!$AA217=0),"",IFERROR(VLOOKUP(Scale!$AA217,AcctTbl,3,0),""))</f>
        <v/>
      </c>
      <c r="P840" s="82">
        <f>IF(Scale!$AA217&lt;&gt;"X011","","BN02")</f>
        <v/>
      </c>
    </row>
    <row r="841" ht="20.25" customHeight="1">
      <c r="A841" s="80">
        <f>IF(OR(Scale!$AD217="",Scale!$AD217=0),"",Scale!$B217)</f>
        <v/>
      </c>
      <c r="B841" s="80">
        <f>IF(OR(Scale!$AD217="",Scale!$AD217=0),"",Scale!$D217)</f>
        <v/>
      </c>
      <c r="C841" s="80">
        <f>IF(OR(Scale!$AD217="",Scale!$AD217=0),"","باسکول")</f>
        <v/>
      </c>
      <c r="D841" s="80">
        <f>IF(OR(Scale!$AD217="",Scale!$AD217=0),"",Scale!$AD217)</f>
        <v/>
      </c>
      <c r="E841" s="81">
        <f>IF(OR(Scale!$AD217="",Scale!$AD217=0),"",IF(Scale!$AD217="","","مقابل پوز — "&amp;Scale!$E217))</f>
        <v/>
      </c>
      <c r="F841" s="83" t="n"/>
      <c r="G841" s="83" t="n"/>
      <c r="H841" s="83" t="n"/>
      <c r="I841" s="83" t="n"/>
      <c r="J841" s="83" t="n"/>
      <c r="K841" s="82">
        <f>IF(OR(Scale!$AD217="",Scale!$AD217=0),"",IF(Scale!$AE217="",0,Scale!$AE217)+IF(Scale!$AF217="",0,Scale!$AF217))</f>
        <v/>
      </c>
      <c r="L841" s="82">
        <f>IF(OR(Scale!$AD217="",Scale!$AD217=0),"",Scale!$AE217)</f>
        <v/>
      </c>
      <c r="M841" s="82">
        <f>IF(OR(Scale!$AD217="",Scale!$AD217=0),"",Scale!$AF217)</f>
        <v/>
      </c>
      <c r="N841" s="81">
        <f>IF(OR(Scale!$AD217="",Scale!$AD217=0),"","مقابل پوز")</f>
        <v/>
      </c>
      <c r="O841" s="81">
        <f>IF(OR(Scale!$AD217="",Scale!$AD217=0),"",IFERROR(VLOOKUP(Scale!$AD217,AcctTbl,3,0),""))</f>
        <v/>
      </c>
      <c r="P841" s="82">
        <f>IF(Scale!$AD217&lt;&gt;"X011","","BN02")</f>
        <v/>
      </c>
    </row>
    <row r="842" ht="20.25" customHeight="1">
      <c r="A842" s="80">
        <f>IF(OR(Scale!$U218="",Scale!$U218=0),"",Scale!$B218)</f>
        <v/>
      </c>
      <c r="B842" s="80">
        <f>IF(OR(Scale!$U218="",Scale!$U218=0),"",Scale!$D218)</f>
        <v/>
      </c>
      <c r="C842" s="80">
        <f>IF(OR(Scale!$U218="",Scale!$U218=0),"","باسکول")</f>
        <v/>
      </c>
      <c r="D842" s="80">
        <f>IF(OR(Scale!$U218="",Scale!$U218=0),"",Scale!$U218)</f>
        <v/>
      </c>
      <c r="E842" s="81">
        <f>IF(OR(Scale!$U218="",Scale!$U218=0),"",Scale!$T218)</f>
        <v/>
      </c>
      <c r="F842" s="81">
        <f>IF(OR(Scale!$U218="",Scale!$U218=0),"",Scale!$J218)</f>
        <v/>
      </c>
      <c r="G842" s="82">
        <f>IF(OR(Scale!$U218="",Scale!$U218=0),"",Scale!$M218)</f>
        <v/>
      </c>
      <c r="H842" s="82">
        <f>IF(OR(Scale!$U218="",Scale!$U218=0),"",Scale!$L218)</f>
        <v/>
      </c>
      <c r="I842" s="82">
        <f>IF(OR(Scale!$U218="",Scale!$U218=0),"",Scale!$N218)</f>
        <v/>
      </c>
      <c r="J842" s="82">
        <f>IF(OR(Scale!$U218="",Scale!$U218=0),"",Scale!$O218)</f>
        <v/>
      </c>
      <c r="K842" s="82">
        <f>IF(OR(Scale!$U218="",Scale!$U218=0),"",IF(Scale!$V218="",0,Scale!$V218)+IF(Scale!$W218="",0,Scale!$W218))</f>
        <v/>
      </c>
      <c r="L842" s="82">
        <f>IF(OR(Scale!$U218="",Scale!$U218=0),"",Scale!$V218)</f>
        <v/>
      </c>
      <c r="M842" s="82">
        <f>IF(OR(Scale!$U218="",Scale!$U218=0),"",Scale!$W218)</f>
        <v/>
      </c>
      <c r="N842" s="81">
        <f>IF(OR(Scale!$U218="",Scale!$U218=0),"",Scale!$E218)</f>
        <v/>
      </c>
      <c r="O842" s="81">
        <f>IF(OR(Scale!$U218="",Scale!$U218=0),"",IFERROR(VLOOKUP(Scale!$U218,AcctTbl,3,0),""))</f>
        <v/>
      </c>
      <c r="P842" s="82">
        <f>IF(Scale!$U218&lt;&gt;"X011","","BN02")</f>
        <v/>
      </c>
    </row>
    <row r="843" ht="20.25" customHeight="1">
      <c r="A843" s="80">
        <f>IF(OR(Scale!$X218="",Scale!$X218=0),"",Scale!$B218)</f>
        <v/>
      </c>
      <c r="B843" s="80">
        <f>IF(OR(Scale!$X218="",Scale!$X218=0),"",Scale!$D218)</f>
        <v/>
      </c>
      <c r="C843" s="80">
        <f>IF(OR(Scale!$X218="",Scale!$X218=0),"","باسکول")</f>
        <v/>
      </c>
      <c r="D843" s="80">
        <f>IF(OR(Scale!$X218="",Scale!$X218=0),"",Scale!$X218)</f>
        <v/>
      </c>
      <c r="E843" s="81">
        <f>IF(OR(Scale!$X218="",Scale!$X218=0),"",IF(Scale!$X218="","","مقابل: "&amp;Scale!$E218))</f>
        <v/>
      </c>
      <c r="F843" s="83" t="n"/>
      <c r="G843" s="83" t="n"/>
      <c r="H843" s="83" t="n"/>
      <c r="I843" s="83" t="n"/>
      <c r="J843" s="83" t="n"/>
      <c r="K843" s="82">
        <f>IF(OR(Scale!$X218="",Scale!$X218=0),"",IF(Scale!$Y218="",0,Scale!$Y218)+IF(Scale!$Z218="",0,Scale!$Z218))</f>
        <v/>
      </c>
      <c r="L843" s="82">
        <f>IF(OR(Scale!$X218="",Scale!$X218=0),"",Scale!$Y218)</f>
        <v/>
      </c>
      <c r="M843" s="82">
        <f>IF(OR(Scale!$X218="",Scale!$X218=0),"",Scale!$Z218)</f>
        <v/>
      </c>
      <c r="N843" s="81">
        <f>IF(OR(Scale!$X218="",Scale!$X218=0),"","مقابل")</f>
        <v/>
      </c>
      <c r="O843" s="81">
        <f>IF(OR(Scale!$X218="",Scale!$X218=0),"",IFERROR(VLOOKUP(Scale!$X218,AcctTbl,3,0),""))</f>
        <v/>
      </c>
      <c r="P843" s="82">
        <f>IF(Scale!$X218&lt;&gt;"X011","","BN02")</f>
        <v/>
      </c>
    </row>
    <row r="844" ht="20.25" customHeight="1">
      <c r="A844" s="80">
        <f>IF(OR(Scale!$AA218="",Scale!$AA218=0),"",Scale!$B218)</f>
        <v/>
      </c>
      <c r="B844" s="80">
        <f>IF(OR(Scale!$AA218="",Scale!$AA218=0),"",Scale!$D218)</f>
        <v/>
      </c>
      <c r="C844" s="80">
        <f>IF(OR(Scale!$AA218="",Scale!$AA218=0),"","باسکول")</f>
        <v/>
      </c>
      <c r="D844" s="80">
        <f>IF(OR(Scale!$AA218="",Scale!$AA218=0),"",Scale!$AA218)</f>
        <v/>
      </c>
      <c r="E844" s="81">
        <f>IF(OR(Scale!$AA218="",Scale!$AA218=0),"",IF(Scale!$AA218="","","پوز باسکول — "&amp;Scale!$E218))</f>
        <v/>
      </c>
      <c r="F844" s="83" t="n"/>
      <c r="G844" s="83" t="n"/>
      <c r="H844" s="83" t="n"/>
      <c r="I844" s="83" t="n"/>
      <c r="J844" s="83" t="n"/>
      <c r="K844" s="82">
        <f>IF(OR(Scale!$AA218="",Scale!$AA218=0),"",IF(Scale!$AB218="",0,Scale!$AB218)+IF(Scale!$AC218="",0,Scale!$AC218))</f>
        <v/>
      </c>
      <c r="L844" s="82">
        <f>IF(OR(Scale!$AA218="",Scale!$AA218=0),"",Scale!$AB218)</f>
        <v/>
      </c>
      <c r="M844" s="82">
        <f>IF(OR(Scale!$AA218="",Scale!$AA218=0),"",Scale!$AC218)</f>
        <v/>
      </c>
      <c r="N844" s="81">
        <f>IF(OR(Scale!$AA218="",Scale!$AA218=0),"","پوز")</f>
        <v/>
      </c>
      <c r="O844" s="81">
        <f>IF(OR(Scale!$AA218="",Scale!$AA218=0),"",IFERROR(VLOOKUP(Scale!$AA218,AcctTbl,3,0),""))</f>
        <v/>
      </c>
      <c r="P844" s="82">
        <f>IF(Scale!$AA218&lt;&gt;"X011","","BN02")</f>
        <v/>
      </c>
    </row>
    <row r="845" ht="20.25" customHeight="1">
      <c r="A845" s="80">
        <f>IF(OR(Scale!$AD218="",Scale!$AD218=0),"",Scale!$B218)</f>
        <v/>
      </c>
      <c r="B845" s="80">
        <f>IF(OR(Scale!$AD218="",Scale!$AD218=0),"",Scale!$D218)</f>
        <v/>
      </c>
      <c r="C845" s="80">
        <f>IF(OR(Scale!$AD218="",Scale!$AD218=0),"","باسکول")</f>
        <v/>
      </c>
      <c r="D845" s="80">
        <f>IF(OR(Scale!$AD218="",Scale!$AD218=0),"",Scale!$AD218)</f>
        <v/>
      </c>
      <c r="E845" s="81">
        <f>IF(OR(Scale!$AD218="",Scale!$AD218=0),"",IF(Scale!$AD218="","","مقابل پوز — "&amp;Scale!$E218))</f>
        <v/>
      </c>
      <c r="F845" s="83" t="n"/>
      <c r="G845" s="83" t="n"/>
      <c r="H845" s="83" t="n"/>
      <c r="I845" s="83" t="n"/>
      <c r="J845" s="83" t="n"/>
      <c r="K845" s="82">
        <f>IF(OR(Scale!$AD218="",Scale!$AD218=0),"",IF(Scale!$AE218="",0,Scale!$AE218)+IF(Scale!$AF218="",0,Scale!$AF218))</f>
        <v/>
      </c>
      <c r="L845" s="82">
        <f>IF(OR(Scale!$AD218="",Scale!$AD218=0),"",Scale!$AE218)</f>
        <v/>
      </c>
      <c r="M845" s="82">
        <f>IF(OR(Scale!$AD218="",Scale!$AD218=0),"",Scale!$AF218)</f>
        <v/>
      </c>
      <c r="N845" s="81">
        <f>IF(OR(Scale!$AD218="",Scale!$AD218=0),"","مقابل پوز")</f>
        <v/>
      </c>
      <c r="O845" s="81">
        <f>IF(OR(Scale!$AD218="",Scale!$AD218=0),"",IFERROR(VLOOKUP(Scale!$AD218,AcctTbl,3,0),""))</f>
        <v/>
      </c>
      <c r="P845" s="82">
        <f>IF(Scale!$AD218&lt;&gt;"X011","","BN02")</f>
        <v/>
      </c>
    </row>
    <row r="846" ht="20.25" customHeight="1">
      <c r="A846" s="80">
        <f>IF(OR(Scale!$U219="",Scale!$U219=0),"",Scale!$B219)</f>
        <v/>
      </c>
      <c r="B846" s="80">
        <f>IF(OR(Scale!$U219="",Scale!$U219=0),"",Scale!$D219)</f>
        <v/>
      </c>
      <c r="C846" s="80">
        <f>IF(OR(Scale!$U219="",Scale!$U219=0),"","باسکول")</f>
        <v/>
      </c>
      <c r="D846" s="80">
        <f>IF(OR(Scale!$U219="",Scale!$U219=0),"",Scale!$U219)</f>
        <v/>
      </c>
      <c r="E846" s="81">
        <f>IF(OR(Scale!$U219="",Scale!$U219=0),"",Scale!$T219)</f>
        <v/>
      </c>
      <c r="F846" s="81">
        <f>IF(OR(Scale!$U219="",Scale!$U219=0),"",Scale!$J219)</f>
        <v/>
      </c>
      <c r="G846" s="82">
        <f>IF(OR(Scale!$U219="",Scale!$U219=0),"",Scale!$M219)</f>
        <v/>
      </c>
      <c r="H846" s="82">
        <f>IF(OR(Scale!$U219="",Scale!$U219=0),"",Scale!$L219)</f>
        <v/>
      </c>
      <c r="I846" s="82">
        <f>IF(OR(Scale!$U219="",Scale!$U219=0),"",Scale!$N219)</f>
        <v/>
      </c>
      <c r="J846" s="82">
        <f>IF(OR(Scale!$U219="",Scale!$U219=0),"",Scale!$O219)</f>
        <v/>
      </c>
      <c r="K846" s="82">
        <f>IF(OR(Scale!$U219="",Scale!$U219=0),"",IF(Scale!$V219="",0,Scale!$V219)+IF(Scale!$W219="",0,Scale!$W219))</f>
        <v/>
      </c>
      <c r="L846" s="82">
        <f>IF(OR(Scale!$U219="",Scale!$U219=0),"",Scale!$V219)</f>
        <v/>
      </c>
      <c r="M846" s="82">
        <f>IF(OR(Scale!$U219="",Scale!$U219=0),"",Scale!$W219)</f>
        <v/>
      </c>
      <c r="N846" s="81">
        <f>IF(OR(Scale!$U219="",Scale!$U219=0),"",Scale!$E219)</f>
        <v/>
      </c>
      <c r="O846" s="81">
        <f>IF(OR(Scale!$U219="",Scale!$U219=0),"",IFERROR(VLOOKUP(Scale!$U219,AcctTbl,3,0),""))</f>
        <v/>
      </c>
      <c r="P846" s="82">
        <f>IF(Scale!$U219&lt;&gt;"X011","","BN02")</f>
        <v/>
      </c>
    </row>
    <row r="847" ht="20.25" customHeight="1">
      <c r="A847" s="80">
        <f>IF(OR(Scale!$X219="",Scale!$X219=0),"",Scale!$B219)</f>
        <v/>
      </c>
      <c r="B847" s="80">
        <f>IF(OR(Scale!$X219="",Scale!$X219=0),"",Scale!$D219)</f>
        <v/>
      </c>
      <c r="C847" s="80">
        <f>IF(OR(Scale!$X219="",Scale!$X219=0),"","باسکول")</f>
        <v/>
      </c>
      <c r="D847" s="80">
        <f>IF(OR(Scale!$X219="",Scale!$X219=0),"",Scale!$X219)</f>
        <v/>
      </c>
      <c r="E847" s="81">
        <f>IF(OR(Scale!$X219="",Scale!$X219=0),"",IF(Scale!$X219="","","مقابل: "&amp;Scale!$E219))</f>
        <v/>
      </c>
      <c r="F847" s="83" t="n"/>
      <c r="G847" s="83" t="n"/>
      <c r="H847" s="83" t="n"/>
      <c r="I847" s="83" t="n"/>
      <c r="J847" s="83" t="n"/>
      <c r="K847" s="82">
        <f>IF(OR(Scale!$X219="",Scale!$X219=0),"",IF(Scale!$Y219="",0,Scale!$Y219)+IF(Scale!$Z219="",0,Scale!$Z219))</f>
        <v/>
      </c>
      <c r="L847" s="82">
        <f>IF(OR(Scale!$X219="",Scale!$X219=0),"",Scale!$Y219)</f>
        <v/>
      </c>
      <c r="M847" s="82">
        <f>IF(OR(Scale!$X219="",Scale!$X219=0),"",Scale!$Z219)</f>
        <v/>
      </c>
      <c r="N847" s="81">
        <f>IF(OR(Scale!$X219="",Scale!$X219=0),"","مقابل")</f>
        <v/>
      </c>
      <c r="O847" s="81">
        <f>IF(OR(Scale!$X219="",Scale!$X219=0),"",IFERROR(VLOOKUP(Scale!$X219,AcctTbl,3,0),""))</f>
        <v/>
      </c>
      <c r="P847" s="82">
        <f>IF(Scale!$X219&lt;&gt;"X011","","BN02")</f>
        <v/>
      </c>
    </row>
    <row r="848" ht="20.25" customHeight="1">
      <c r="A848" s="80">
        <f>IF(OR(Scale!$AA219="",Scale!$AA219=0),"",Scale!$B219)</f>
        <v/>
      </c>
      <c r="B848" s="80">
        <f>IF(OR(Scale!$AA219="",Scale!$AA219=0),"",Scale!$D219)</f>
        <v/>
      </c>
      <c r="C848" s="80">
        <f>IF(OR(Scale!$AA219="",Scale!$AA219=0),"","باسکول")</f>
        <v/>
      </c>
      <c r="D848" s="80">
        <f>IF(OR(Scale!$AA219="",Scale!$AA219=0),"",Scale!$AA219)</f>
        <v/>
      </c>
      <c r="E848" s="81">
        <f>IF(OR(Scale!$AA219="",Scale!$AA219=0),"",IF(Scale!$AA219="","","پوز باسکول — "&amp;Scale!$E219))</f>
        <v/>
      </c>
      <c r="F848" s="83" t="n"/>
      <c r="G848" s="83" t="n"/>
      <c r="H848" s="83" t="n"/>
      <c r="I848" s="83" t="n"/>
      <c r="J848" s="83" t="n"/>
      <c r="K848" s="82">
        <f>IF(OR(Scale!$AA219="",Scale!$AA219=0),"",IF(Scale!$AB219="",0,Scale!$AB219)+IF(Scale!$AC219="",0,Scale!$AC219))</f>
        <v/>
      </c>
      <c r="L848" s="82">
        <f>IF(OR(Scale!$AA219="",Scale!$AA219=0),"",Scale!$AB219)</f>
        <v/>
      </c>
      <c r="M848" s="82">
        <f>IF(OR(Scale!$AA219="",Scale!$AA219=0),"",Scale!$AC219)</f>
        <v/>
      </c>
      <c r="N848" s="81">
        <f>IF(OR(Scale!$AA219="",Scale!$AA219=0),"","پوز")</f>
        <v/>
      </c>
      <c r="O848" s="81">
        <f>IF(OR(Scale!$AA219="",Scale!$AA219=0),"",IFERROR(VLOOKUP(Scale!$AA219,AcctTbl,3,0),""))</f>
        <v/>
      </c>
      <c r="P848" s="82">
        <f>IF(Scale!$AA219&lt;&gt;"X011","","BN02")</f>
        <v/>
      </c>
    </row>
    <row r="849" ht="20.25" customHeight="1">
      <c r="A849" s="80">
        <f>IF(OR(Scale!$AD219="",Scale!$AD219=0),"",Scale!$B219)</f>
        <v/>
      </c>
      <c r="B849" s="80">
        <f>IF(OR(Scale!$AD219="",Scale!$AD219=0),"",Scale!$D219)</f>
        <v/>
      </c>
      <c r="C849" s="80">
        <f>IF(OR(Scale!$AD219="",Scale!$AD219=0),"","باسکول")</f>
        <v/>
      </c>
      <c r="D849" s="80">
        <f>IF(OR(Scale!$AD219="",Scale!$AD219=0),"",Scale!$AD219)</f>
        <v/>
      </c>
      <c r="E849" s="81">
        <f>IF(OR(Scale!$AD219="",Scale!$AD219=0),"",IF(Scale!$AD219="","","مقابل پوز — "&amp;Scale!$E219))</f>
        <v/>
      </c>
      <c r="F849" s="83" t="n"/>
      <c r="G849" s="83" t="n"/>
      <c r="H849" s="83" t="n"/>
      <c r="I849" s="83" t="n"/>
      <c r="J849" s="83" t="n"/>
      <c r="K849" s="82">
        <f>IF(OR(Scale!$AD219="",Scale!$AD219=0),"",IF(Scale!$AE219="",0,Scale!$AE219)+IF(Scale!$AF219="",0,Scale!$AF219))</f>
        <v/>
      </c>
      <c r="L849" s="82">
        <f>IF(OR(Scale!$AD219="",Scale!$AD219=0),"",Scale!$AE219)</f>
        <v/>
      </c>
      <c r="M849" s="82">
        <f>IF(OR(Scale!$AD219="",Scale!$AD219=0),"",Scale!$AF219)</f>
        <v/>
      </c>
      <c r="N849" s="81">
        <f>IF(OR(Scale!$AD219="",Scale!$AD219=0),"","مقابل پوز")</f>
        <v/>
      </c>
      <c r="O849" s="81">
        <f>IF(OR(Scale!$AD219="",Scale!$AD219=0),"",IFERROR(VLOOKUP(Scale!$AD219,AcctTbl,3,0),""))</f>
        <v/>
      </c>
      <c r="P849" s="82">
        <f>IF(Scale!$AD219&lt;&gt;"X011","","BN02")</f>
        <v/>
      </c>
    </row>
    <row r="850" ht="20.25" customHeight="1">
      <c r="A850" s="80">
        <f>IF(OR(Scale!$U220="",Scale!$U220=0),"",Scale!$B220)</f>
        <v/>
      </c>
      <c r="B850" s="80">
        <f>IF(OR(Scale!$U220="",Scale!$U220=0),"",Scale!$D220)</f>
        <v/>
      </c>
      <c r="C850" s="80">
        <f>IF(OR(Scale!$U220="",Scale!$U220=0),"","باسکول")</f>
        <v/>
      </c>
      <c r="D850" s="80">
        <f>IF(OR(Scale!$U220="",Scale!$U220=0),"",Scale!$U220)</f>
        <v/>
      </c>
      <c r="E850" s="81">
        <f>IF(OR(Scale!$U220="",Scale!$U220=0),"",Scale!$T220)</f>
        <v/>
      </c>
      <c r="F850" s="81">
        <f>IF(OR(Scale!$U220="",Scale!$U220=0),"",Scale!$J220)</f>
        <v/>
      </c>
      <c r="G850" s="82">
        <f>IF(OR(Scale!$U220="",Scale!$U220=0),"",Scale!$M220)</f>
        <v/>
      </c>
      <c r="H850" s="82">
        <f>IF(OR(Scale!$U220="",Scale!$U220=0),"",Scale!$L220)</f>
        <v/>
      </c>
      <c r="I850" s="82">
        <f>IF(OR(Scale!$U220="",Scale!$U220=0),"",Scale!$N220)</f>
        <v/>
      </c>
      <c r="J850" s="82">
        <f>IF(OR(Scale!$U220="",Scale!$U220=0),"",Scale!$O220)</f>
        <v/>
      </c>
      <c r="K850" s="82">
        <f>IF(OR(Scale!$U220="",Scale!$U220=0),"",IF(Scale!$V220="",0,Scale!$V220)+IF(Scale!$W220="",0,Scale!$W220))</f>
        <v/>
      </c>
      <c r="L850" s="82">
        <f>IF(OR(Scale!$U220="",Scale!$U220=0),"",Scale!$V220)</f>
        <v/>
      </c>
      <c r="M850" s="82">
        <f>IF(OR(Scale!$U220="",Scale!$U220=0),"",Scale!$W220)</f>
        <v/>
      </c>
      <c r="N850" s="81">
        <f>IF(OR(Scale!$U220="",Scale!$U220=0),"",Scale!$E220)</f>
        <v/>
      </c>
      <c r="O850" s="81">
        <f>IF(OR(Scale!$U220="",Scale!$U220=0),"",IFERROR(VLOOKUP(Scale!$U220,AcctTbl,3,0),""))</f>
        <v/>
      </c>
      <c r="P850" s="82">
        <f>IF(Scale!$U220&lt;&gt;"X011","","BN02")</f>
        <v/>
      </c>
    </row>
    <row r="851" ht="20.25" customHeight="1">
      <c r="A851" s="80">
        <f>IF(OR(Scale!$X220="",Scale!$X220=0),"",Scale!$B220)</f>
        <v/>
      </c>
      <c r="B851" s="80">
        <f>IF(OR(Scale!$X220="",Scale!$X220=0),"",Scale!$D220)</f>
        <v/>
      </c>
      <c r="C851" s="80">
        <f>IF(OR(Scale!$X220="",Scale!$X220=0),"","باسکول")</f>
        <v/>
      </c>
      <c r="D851" s="80">
        <f>IF(OR(Scale!$X220="",Scale!$X220=0),"",Scale!$X220)</f>
        <v/>
      </c>
      <c r="E851" s="81">
        <f>IF(OR(Scale!$X220="",Scale!$X220=0),"",IF(Scale!$X220="","","مقابل: "&amp;Scale!$E220))</f>
        <v/>
      </c>
      <c r="F851" s="83" t="n"/>
      <c r="G851" s="83" t="n"/>
      <c r="H851" s="83" t="n"/>
      <c r="I851" s="83" t="n"/>
      <c r="J851" s="83" t="n"/>
      <c r="K851" s="82">
        <f>IF(OR(Scale!$X220="",Scale!$X220=0),"",IF(Scale!$Y220="",0,Scale!$Y220)+IF(Scale!$Z220="",0,Scale!$Z220))</f>
        <v/>
      </c>
      <c r="L851" s="82">
        <f>IF(OR(Scale!$X220="",Scale!$X220=0),"",Scale!$Y220)</f>
        <v/>
      </c>
      <c r="M851" s="82">
        <f>IF(OR(Scale!$X220="",Scale!$X220=0),"",Scale!$Z220)</f>
        <v/>
      </c>
      <c r="N851" s="81">
        <f>IF(OR(Scale!$X220="",Scale!$X220=0),"","مقابل")</f>
        <v/>
      </c>
      <c r="O851" s="81">
        <f>IF(OR(Scale!$X220="",Scale!$X220=0),"",IFERROR(VLOOKUP(Scale!$X220,AcctTbl,3,0),""))</f>
        <v/>
      </c>
      <c r="P851" s="82">
        <f>IF(Scale!$X220&lt;&gt;"X011","","BN02")</f>
        <v/>
      </c>
    </row>
    <row r="852" ht="20.25" customHeight="1">
      <c r="A852" s="80">
        <f>IF(OR(Scale!$AA220="",Scale!$AA220=0),"",Scale!$B220)</f>
        <v/>
      </c>
      <c r="B852" s="80">
        <f>IF(OR(Scale!$AA220="",Scale!$AA220=0),"",Scale!$D220)</f>
        <v/>
      </c>
      <c r="C852" s="80">
        <f>IF(OR(Scale!$AA220="",Scale!$AA220=0),"","باسکول")</f>
        <v/>
      </c>
      <c r="D852" s="80">
        <f>IF(OR(Scale!$AA220="",Scale!$AA220=0),"",Scale!$AA220)</f>
        <v/>
      </c>
      <c r="E852" s="81">
        <f>IF(OR(Scale!$AA220="",Scale!$AA220=0),"",IF(Scale!$AA220="","","پوز باسکول — "&amp;Scale!$E220))</f>
        <v/>
      </c>
      <c r="F852" s="83" t="n"/>
      <c r="G852" s="83" t="n"/>
      <c r="H852" s="83" t="n"/>
      <c r="I852" s="83" t="n"/>
      <c r="J852" s="83" t="n"/>
      <c r="K852" s="82">
        <f>IF(OR(Scale!$AA220="",Scale!$AA220=0),"",IF(Scale!$AB220="",0,Scale!$AB220)+IF(Scale!$AC220="",0,Scale!$AC220))</f>
        <v/>
      </c>
      <c r="L852" s="82">
        <f>IF(OR(Scale!$AA220="",Scale!$AA220=0),"",Scale!$AB220)</f>
        <v/>
      </c>
      <c r="M852" s="82">
        <f>IF(OR(Scale!$AA220="",Scale!$AA220=0),"",Scale!$AC220)</f>
        <v/>
      </c>
      <c r="N852" s="81">
        <f>IF(OR(Scale!$AA220="",Scale!$AA220=0),"","پوز")</f>
        <v/>
      </c>
      <c r="O852" s="81">
        <f>IF(OR(Scale!$AA220="",Scale!$AA220=0),"",IFERROR(VLOOKUP(Scale!$AA220,AcctTbl,3,0),""))</f>
        <v/>
      </c>
      <c r="P852" s="82">
        <f>IF(Scale!$AA220&lt;&gt;"X011","","BN02")</f>
        <v/>
      </c>
    </row>
    <row r="853" ht="20.25" customHeight="1">
      <c r="A853" s="80">
        <f>IF(OR(Scale!$AD220="",Scale!$AD220=0),"",Scale!$B220)</f>
        <v/>
      </c>
      <c r="B853" s="80">
        <f>IF(OR(Scale!$AD220="",Scale!$AD220=0),"",Scale!$D220)</f>
        <v/>
      </c>
      <c r="C853" s="80">
        <f>IF(OR(Scale!$AD220="",Scale!$AD220=0),"","باسکول")</f>
        <v/>
      </c>
      <c r="D853" s="80">
        <f>IF(OR(Scale!$AD220="",Scale!$AD220=0),"",Scale!$AD220)</f>
        <v/>
      </c>
      <c r="E853" s="81">
        <f>IF(OR(Scale!$AD220="",Scale!$AD220=0),"",IF(Scale!$AD220="","","مقابل پوز — "&amp;Scale!$E220))</f>
        <v/>
      </c>
      <c r="F853" s="83" t="n"/>
      <c r="G853" s="83" t="n"/>
      <c r="H853" s="83" t="n"/>
      <c r="I853" s="83" t="n"/>
      <c r="J853" s="83" t="n"/>
      <c r="K853" s="82">
        <f>IF(OR(Scale!$AD220="",Scale!$AD220=0),"",IF(Scale!$AE220="",0,Scale!$AE220)+IF(Scale!$AF220="",0,Scale!$AF220))</f>
        <v/>
      </c>
      <c r="L853" s="82">
        <f>IF(OR(Scale!$AD220="",Scale!$AD220=0),"",Scale!$AE220)</f>
        <v/>
      </c>
      <c r="M853" s="82">
        <f>IF(OR(Scale!$AD220="",Scale!$AD220=0),"",Scale!$AF220)</f>
        <v/>
      </c>
      <c r="N853" s="81">
        <f>IF(OR(Scale!$AD220="",Scale!$AD220=0),"","مقابل پوز")</f>
        <v/>
      </c>
      <c r="O853" s="81">
        <f>IF(OR(Scale!$AD220="",Scale!$AD220=0),"",IFERROR(VLOOKUP(Scale!$AD220,AcctTbl,3,0),""))</f>
        <v/>
      </c>
      <c r="P853" s="82">
        <f>IF(Scale!$AD220&lt;&gt;"X011","","BN02")</f>
        <v/>
      </c>
    </row>
    <row r="854" ht="20.25" customHeight="1">
      <c r="A854" s="80">
        <f>IF(OR(Scale!$U221="",Scale!$U221=0),"",Scale!$B221)</f>
        <v/>
      </c>
      <c r="B854" s="80">
        <f>IF(OR(Scale!$U221="",Scale!$U221=0),"",Scale!$D221)</f>
        <v/>
      </c>
      <c r="C854" s="80">
        <f>IF(OR(Scale!$U221="",Scale!$U221=0),"","باسکول")</f>
        <v/>
      </c>
      <c r="D854" s="80">
        <f>IF(OR(Scale!$U221="",Scale!$U221=0),"",Scale!$U221)</f>
        <v/>
      </c>
      <c r="E854" s="81">
        <f>IF(OR(Scale!$U221="",Scale!$U221=0),"",Scale!$T221)</f>
        <v/>
      </c>
      <c r="F854" s="81">
        <f>IF(OR(Scale!$U221="",Scale!$U221=0),"",Scale!$J221)</f>
        <v/>
      </c>
      <c r="G854" s="82">
        <f>IF(OR(Scale!$U221="",Scale!$U221=0),"",Scale!$M221)</f>
        <v/>
      </c>
      <c r="H854" s="82">
        <f>IF(OR(Scale!$U221="",Scale!$U221=0),"",Scale!$L221)</f>
        <v/>
      </c>
      <c r="I854" s="82">
        <f>IF(OR(Scale!$U221="",Scale!$U221=0),"",Scale!$N221)</f>
        <v/>
      </c>
      <c r="J854" s="82">
        <f>IF(OR(Scale!$U221="",Scale!$U221=0),"",Scale!$O221)</f>
        <v/>
      </c>
      <c r="K854" s="82">
        <f>IF(OR(Scale!$U221="",Scale!$U221=0),"",IF(Scale!$V221="",0,Scale!$V221)+IF(Scale!$W221="",0,Scale!$W221))</f>
        <v/>
      </c>
      <c r="L854" s="82">
        <f>IF(OR(Scale!$U221="",Scale!$U221=0),"",Scale!$V221)</f>
        <v/>
      </c>
      <c r="M854" s="82">
        <f>IF(OR(Scale!$U221="",Scale!$U221=0),"",Scale!$W221)</f>
        <v/>
      </c>
      <c r="N854" s="81">
        <f>IF(OR(Scale!$U221="",Scale!$U221=0),"",Scale!$E221)</f>
        <v/>
      </c>
      <c r="O854" s="81">
        <f>IF(OR(Scale!$U221="",Scale!$U221=0),"",IFERROR(VLOOKUP(Scale!$U221,AcctTbl,3,0),""))</f>
        <v/>
      </c>
      <c r="P854" s="82">
        <f>IF(Scale!$U221&lt;&gt;"X011","","BN02")</f>
        <v/>
      </c>
    </row>
    <row r="855" ht="20.25" customHeight="1">
      <c r="A855" s="80">
        <f>IF(OR(Scale!$X221="",Scale!$X221=0),"",Scale!$B221)</f>
        <v/>
      </c>
      <c r="B855" s="80">
        <f>IF(OR(Scale!$X221="",Scale!$X221=0),"",Scale!$D221)</f>
        <v/>
      </c>
      <c r="C855" s="80">
        <f>IF(OR(Scale!$X221="",Scale!$X221=0),"","باسکول")</f>
        <v/>
      </c>
      <c r="D855" s="80">
        <f>IF(OR(Scale!$X221="",Scale!$X221=0),"",Scale!$X221)</f>
        <v/>
      </c>
      <c r="E855" s="81">
        <f>IF(OR(Scale!$X221="",Scale!$X221=0),"",IF(Scale!$X221="","","مقابل: "&amp;Scale!$E221))</f>
        <v/>
      </c>
      <c r="F855" s="83" t="n"/>
      <c r="G855" s="83" t="n"/>
      <c r="H855" s="83" t="n"/>
      <c r="I855" s="83" t="n"/>
      <c r="J855" s="83" t="n"/>
      <c r="K855" s="82">
        <f>IF(OR(Scale!$X221="",Scale!$X221=0),"",IF(Scale!$Y221="",0,Scale!$Y221)+IF(Scale!$Z221="",0,Scale!$Z221))</f>
        <v/>
      </c>
      <c r="L855" s="82">
        <f>IF(OR(Scale!$X221="",Scale!$X221=0),"",Scale!$Y221)</f>
        <v/>
      </c>
      <c r="M855" s="82">
        <f>IF(OR(Scale!$X221="",Scale!$X221=0),"",Scale!$Z221)</f>
        <v/>
      </c>
      <c r="N855" s="81">
        <f>IF(OR(Scale!$X221="",Scale!$X221=0),"","مقابل")</f>
        <v/>
      </c>
      <c r="O855" s="81">
        <f>IF(OR(Scale!$X221="",Scale!$X221=0),"",IFERROR(VLOOKUP(Scale!$X221,AcctTbl,3,0),""))</f>
        <v/>
      </c>
      <c r="P855" s="82">
        <f>IF(Scale!$X221&lt;&gt;"X011","","BN02")</f>
        <v/>
      </c>
    </row>
    <row r="856" ht="20.25" customHeight="1">
      <c r="A856" s="80">
        <f>IF(OR(Scale!$AA221="",Scale!$AA221=0),"",Scale!$B221)</f>
        <v/>
      </c>
      <c r="B856" s="80">
        <f>IF(OR(Scale!$AA221="",Scale!$AA221=0),"",Scale!$D221)</f>
        <v/>
      </c>
      <c r="C856" s="80">
        <f>IF(OR(Scale!$AA221="",Scale!$AA221=0),"","باسکول")</f>
        <v/>
      </c>
      <c r="D856" s="80">
        <f>IF(OR(Scale!$AA221="",Scale!$AA221=0),"",Scale!$AA221)</f>
        <v/>
      </c>
      <c r="E856" s="81">
        <f>IF(OR(Scale!$AA221="",Scale!$AA221=0),"",IF(Scale!$AA221="","","پوز باسکول — "&amp;Scale!$E221))</f>
        <v/>
      </c>
      <c r="F856" s="83" t="n"/>
      <c r="G856" s="83" t="n"/>
      <c r="H856" s="83" t="n"/>
      <c r="I856" s="83" t="n"/>
      <c r="J856" s="83" t="n"/>
      <c r="K856" s="82">
        <f>IF(OR(Scale!$AA221="",Scale!$AA221=0),"",IF(Scale!$AB221="",0,Scale!$AB221)+IF(Scale!$AC221="",0,Scale!$AC221))</f>
        <v/>
      </c>
      <c r="L856" s="82">
        <f>IF(OR(Scale!$AA221="",Scale!$AA221=0),"",Scale!$AB221)</f>
        <v/>
      </c>
      <c r="M856" s="82">
        <f>IF(OR(Scale!$AA221="",Scale!$AA221=0),"",Scale!$AC221)</f>
        <v/>
      </c>
      <c r="N856" s="81">
        <f>IF(OR(Scale!$AA221="",Scale!$AA221=0),"","پوز")</f>
        <v/>
      </c>
      <c r="O856" s="81">
        <f>IF(OR(Scale!$AA221="",Scale!$AA221=0),"",IFERROR(VLOOKUP(Scale!$AA221,AcctTbl,3,0),""))</f>
        <v/>
      </c>
      <c r="P856" s="82">
        <f>IF(Scale!$AA221&lt;&gt;"X011","","BN02")</f>
        <v/>
      </c>
    </row>
    <row r="857" ht="20.25" customHeight="1">
      <c r="A857" s="80">
        <f>IF(OR(Scale!$AD221="",Scale!$AD221=0),"",Scale!$B221)</f>
        <v/>
      </c>
      <c r="B857" s="80">
        <f>IF(OR(Scale!$AD221="",Scale!$AD221=0),"",Scale!$D221)</f>
        <v/>
      </c>
      <c r="C857" s="80">
        <f>IF(OR(Scale!$AD221="",Scale!$AD221=0),"","باسکول")</f>
        <v/>
      </c>
      <c r="D857" s="80">
        <f>IF(OR(Scale!$AD221="",Scale!$AD221=0),"",Scale!$AD221)</f>
        <v/>
      </c>
      <c r="E857" s="81">
        <f>IF(OR(Scale!$AD221="",Scale!$AD221=0),"",IF(Scale!$AD221="","","مقابل پوز — "&amp;Scale!$E221))</f>
        <v/>
      </c>
      <c r="F857" s="83" t="n"/>
      <c r="G857" s="83" t="n"/>
      <c r="H857" s="83" t="n"/>
      <c r="I857" s="83" t="n"/>
      <c r="J857" s="83" t="n"/>
      <c r="K857" s="82">
        <f>IF(OR(Scale!$AD221="",Scale!$AD221=0),"",IF(Scale!$AE221="",0,Scale!$AE221)+IF(Scale!$AF221="",0,Scale!$AF221))</f>
        <v/>
      </c>
      <c r="L857" s="82">
        <f>IF(OR(Scale!$AD221="",Scale!$AD221=0),"",Scale!$AE221)</f>
        <v/>
      </c>
      <c r="M857" s="82">
        <f>IF(OR(Scale!$AD221="",Scale!$AD221=0),"",Scale!$AF221)</f>
        <v/>
      </c>
      <c r="N857" s="81">
        <f>IF(OR(Scale!$AD221="",Scale!$AD221=0),"","مقابل پوز")</f>
        <v/>
      </c>
      <c r="O857" s="81">
        <f>IF(OR(Scale!$AD221="",Scale!$AD221=0),"",IFERROR(VLOOKUP(Scale!$AD221,AcctTbl,3,0),""))</f>
        <v/>
      </c>
      <c r="P857" s="82">
        <f>IF(Scale!$AD221&lt;&gt;"X011","","BN02")</f>
        <v/>
      </c>
    </row>
    <row r="858" ht="20.25" customHeight="1">
      <c r="A858" s="80">
        <f>IF(OR(Scale!$U222="",Scale!$U222=0),"",Scale!$B222)</f>
        <v/>
      </c>
      <c r="B858" s="80">
        <f>IF(OR(Scale!$U222="",Scale!$U222=0),"",Scale!$D222)</f>
        <v/>
      </c>
      <c r="C858" s="80">
        <f>IF(OR(Scale!$U222="",Scale!$U222=0),"","باسکول")</f>
        <v/>
      </c>
      <c r="D858" s="80">
        <f>IF(OR(Scale!$U222="",Scale!$U222=0),"",Scale!$U222)</f>
        <v/>
      </c>
      <c r="E858" s="81">
        <f>IF(OR(Scale!$U222="",Scale!$U222=0),"",Scale!$T222)</f>
        <v/>
      </c>
      <c r="F858" s="81">
        <f>IF(OR(Scale!$U222="",Scale!$U222=0),"",Scale!$J222)</f>
        <v/>
      </c>
      <c r="G858" s="82">
        <f>IF(OR(Scale!$U222="",Scale!$U222=0),"",Scale!$M222)</f>
        <v/>
      </c>
      <c r="H858" s="82">
        <f>IF(OR(Scale!$U222="",Scale!$U222=0),"",Scale!$L222)</f>
        <v/>
      </c>
      <c r="I858" s="82">
        <f>IF(OR(Scale!$U222="",Scale!$U222=0),"",Scale!$N222)</f>
        <v/>
      </c>
      <c r="J858" s="82">
        <f>IF(OR(Scale!$U222="",Scale!$U222=0),"",Scale!$O222)</f>
        <v/>
      </c>
      <c r="K858" s="82">
        <f>IF(OR(Scale!$U222="",Scale!$U222=0),"",IF(Scale!$V222="",0,Scale!$V222)+IF(Scale!$W222="",0,Scale!$W222))</f>
        <v/>
      </c>
      <c r="L858" s="82">
        <f>IF(OR(Scale!$U222="",Scale!$U222=0),"",Scale!$V222)</f>
        <v/>
      </c>
      <c r="M858" s="82">
        <f>IF(OR(Scale!$U222="",Scale!$U222=0),"",Scale!$W222)</f>
        <v/>
      </c>
      <c r="N858" s="81">
        <f>IF(OR(Scale!$U222="",Scale!$U222=0),"",Scale!$E222)</f>
        <v/>
      </c>
      <c r="O858" s="81">
        <f>IF(OR(Scale!$U222="",Scale!$U222=0),"",IFERROR(VLOOKUP(Scale!$U222,AcctTbl,3,0),""))</f>
        <v/>
      </c>
      <c r="P858" s="82">
        <f>IF(Scale!$U222&lt;&gt;"X011","","BN02")</f>
        <v/>
      </c>
    </row>
    <row r="859" ht="20.25" customHeight="1">
      <c r="A859" s="80">
        <f>IF(OR(Scale!$X222="",Scale!$X222=0),"",Scale!$B222)</f>
        <v/>
      </c>
      <c r="B859" s="80">
        <f>IF(OR(Scale!$X222="",Scale!$X222=0),"",Scale!$D222)</f>
        <v/>
      </c>
      <c r="C859" s="80">
        <f>IF(OR(Scale!$X222="",Scale!$X222=0),"","باسکول")</f>
        <v/>
      </c>
      <c r="D859" s="80">
        <f>IF(OR(Scale!$X222="",Scale!$X222=0),"",Scale!$X222)</f>
        <v/>
      </c>
      <c r="E859" s="81">
        <f>IF(OR(Scale!$X222="",Scale!$X222=0),"",IF(Scale!$X222="","","مقابل: "&amp;Scale!$E222))</f>
        <v/>
      </c>
      <c r="F859" s="83" t="n"/>
      <c r="G859" s="83" t="n"/>
      <c r="H859" s="83" t="n"/>
      <c r="I859" s="83" t="n"/>
      <c r="J859" s="83" t="n"/>
      <c r="K859" s="82">
        <f>IF(OR(Scale!$X222="",Scale!$X222=0),"",IF(Scale!$Y222="",0,Scale!$Y222)+IF(Scale!$Z222="",0,Scale!$Z222))</f>
        <v/>
      </c>
      <c r="L859" s="82">
        <f>IF(OR(Scale!$X222="",Scale!$X222=0),"",Scale!$Y222)</f>
        <v/>
      </c>
      <c r="M859" s="82">
        <f>IF(OR(Scale!$X222="",Scale!$X222=0),"",Scale!$Z222)</f>
        <v/>
      </c>
      <c r="N859" s="81">
        <f>IF(OR(Scale!$X222="",Scale!$X222=0),"","مقابل")</f>
        <v/>
      </c>
      <c r="O859" s="81">
        <f>IF(OR(Scale!$X222="",Scale!$X222=0),"",IFERROR(VLOOKUP(Scale!$X222,AcctTbl,3,0),""))</f>
        <v/>
      </c>
      <c r="P859" s="82">
        <f>IF(Scale!$X222&lt;&gt;"X011","","BN02")</f>
        <v/>
      </c>
    </row>
    <row r="860" ht="20.25" customHeight="1">
      <c r="A860" s="80">
        <f>IF(OR(Scale!$AA222="",Scale!$AA222=0),"",Scale!$B222)</f>
        <v/>
      </c>
      <c r="B860" s="80">
        <f>IF(OR(Scale!$AA222="",Scale!$AA222=0),"",Scale!$D222)</f>
        <v/>
      </c>
      <c r="C860" s="80">
        <f>IF(OR(Scale!$AA222="",Scale!$AA222=0),"","باسکول")</f>
        <v/>
      </c>
      <c r="D860" s="80">
        <f>IF(OR(Scale!$AA222="",Scale!$AA222=0),"",Scale!$AA222)</f>
        <v/>
      </c>
      <c r="E860" s="81">
        <f>IF(OR(Scale!$AA222="",Scale!$AA222=0),"",IF(Scale!$AA222="","","پوز باسکول — "&amp;Scale!$E222))</f>
        <v/>
      </c>
      <c r="F860" s="83" t="n"/>
      <c r="G860" s="83" t="n"/>
      <c r="H860" s="83" t="n"/>
      <c r="I860" s="83" t="n"/>
      <c r="J860" s="83" t="n"/>
      <c r="K860" s="82">
        <f>IF(OR(Scale!$AA222="",Scale!$AA222=0),"",IF(Scale!$AB222="",0,Scale!$AB222)+IF(Scale!$AC222="",0,Scale!$AC222))</f>
        <v/>
      </c>
      <c r="L860" s="82">
        <f>IF(OR(Scale!$AA222="",Scale!$AA222=0),"",Scale!$AB222)</f>
        <v/>
      </c>
      <c r="M860" s="82">
        <f>IF(OR(Scale!$AA222="",Scale!$AA222=0),"",Scale!$AC222)</f>
        <v/>
      </c>
      <c r="N860" s="81">
        <f>IF(OR(Scale!$AA222="",Scale!$AA222=0),"","پوز")</f>
        <v/>
      </c>
      <c r="O860" s="81">
        <f>IF(OR(Scale!$AA222="",Scale!$AA222=0),"",IFERROR(VLOOKUP(Scale!$AA222,AcctTbl,3,0),""))</f>
        <v/>
      </c>
      <c r="P860" s="82">
        <f>IF(Scale!$AA222&lt;&gt;"X011","","BN02")</f>
        <v/>
      </c>
    </row>
    <row r="861" ht="20.25" customHeight="1">
      <c r="A861" s="80">
        <f>IF(OR(Scale!$AD222="",Scale!$AD222=0),"",Scale!$B222)</f>
        <v/>
      </c>
      <c r="B861" s="80">
        <f>IF(OR(Scale!$AD222="",Scale!$AD222=0),"",Scale!$D222)</f>
        <v/>
      </c>
      <c r="C861" s="80">
        <f>IF(OR(Scale!$AD222="",Scale!$AD222=0),"","باسکول")</f>
        <v/>
      </c>
      <c r="D861" s="80">
        <f>IF(OR(Scale!$AD222="",Scale!$AD222=0),"",Scale!$AD222)</f>
        <v/>
      </c>
      <c r="E861" s="81">
        <f>IF(OR(Scale!$AD222="",Scale!$AD222=0),"",IF(Scale!$AD222="","","مقابل پوز — "&amp;Scale!$E222))</f>
        <v/>
      </c>
      <c r="F861" s="83" t="n"/>
      <c r="G861" s="83" t="n"/>
      <c r="H861" s="83" t="n"/>
      <c r="I861" s="83" t="n"/>
      <c r="J861" s="83" t="n"/>
      <c r="K861" s="82">
        <f>IF(OR(Scale!$AD222="",Scale!$AD222=0),"",IF(Scale!$AE222="",0,Scale!$AE222)+IF(Scale!$AF222="",0,Scale!$AF222))</f>
        <v/>
      </c>
      <c r="L861" s="82">
        <f>IF(OR(Scale!$AD222="",Scale!$AD222=0),"",Scale!$AE222)</f>
        <v/>
      </c>
      <c r="M861" s="82">
        <f>IF(OR(Scale!$AD222="",Scale!$AD222=0),"",Scale!$AF222)</f>
        <v/>
      </c>
      <c r="N861" s="81">
        <f>IF(OR(Scale!$AD222="",Scale!$AD222=0),"","مقابل پوز")</f>
        <v/>
      </c>
      <c r="O861" s="81">
        <f>IF(OR(Scale!$AD222="",Scale!$AD222=0),"",IFERROR(VLOOKUP(Scale!$AD222,AcctTbl,3,0),""))</f>
        <v/>
      </c>
      <c r="P861" s="82">
        <f>IF(Scale!$AD222&lt;&gt;"X011","","BN02")</f>
        <v/>
      </c>
    </row>
    <row r="862" ht="20.25" customHeight="1">
      <c r="A862" s="80">
        <f>IF(OR(Scale!$U223="",Scale!$U223=0),"",Scale!$B223)</f>
        <v/>
      </c>
      <c r="B862" s="80">
        <f>IF(OR(Scale!$U223="",Scale!$U223=0),"",Scale!$D223)</f>
        <v/>
      </c>
      <c r="C862" s="80">
        <f>IF(OR(Scale!$U223="",Scale!$U223=0),"","باسکول")</f>
        <v/>
      </c>
      <c r="D862" s="80">
        <f>IF(OR(Scale!$U223="",Scale!$U223=0),"",Scale!$U223)</f>
        <v/>
      </c>
      <c r="E862" s="81">
        <f>IF(OR(Scale!$U223="",Scale!$U223=0),"",Scale!$T223)</f>
        <v/>
      </c>
      <c r="F862" s="81">
        <f>IF(OR(Scale!$U223="",Scale!$U223=0),"",Scale!$J223)</f>
        <v/>
      </c>
      <c r="G862" s="82">
        <f>IF(OR(Scale!$U223="",Scale!$U223=0),"",Scale!$M223)</f>
        <v/>
      </c>
      <c r="H862" s="82">
        <f>IF(OR(Scale!$U223="",Scale!$U223=0),"",Scale!$L223)</f>
        <v/>
      </c>
      <c r="I862" s="82">
        <f>IF(OR(Scale!$U223="",Scale!$U223=0),"",Scale!$N223)</f>
        <v/>
      </c>
      <c r="J862" s="82">
        <f>IF(OR(Scale!$U223="",Scale!$U223=0),"",Scale!$O223)</f>
        <v/>
      </c>
      <c r="K862" s="82">
        <f>IF(OR(Scale!$U223="",Scale!$U223=0),"",IF(Scale!$V223="",0,Scale!$V223)+IF(Scale!$W223="",0,Scale!$W223))</f>
        <v/>
      </c>
      <c r="L862" s="82">
        <f>IF(OR(Scale!$U223="",Scale!$U223=0),"",Scale!$V223)</f>
        <v/>
      </c>
      <c r="M862" s="82">
        <f>IF(OR(Scale!$U223="",Scale!$U223=0),"",Scale!$W223)</f>
        <v/>
      </c>
      <c r="N862" s="81">
        <f>IF(OR(Scale!$U223="",Scale!$U223=0),"",Scale!$E223)</f>
        <v/>
      </c>
      <c r="O862" s="81">
        <f>IF(OR(Scale!$U223="",Scale!$U223=0),"",IFERROR(VLOOKUP(Scale!$U223,AcctTbl,3,0),""))</f>
        <v/>
      </c>
      <c r="P862" s="82">
        <f>IF(Scale!$U223&lt;&gt;"X011","","BN02")</f>
        <v/>
      </c>
    </row>
    <row r="863" ht="20.25" customHeight="1">
      <c r="A863" s="80">
        <f>IF(OR(Scale!$X223="",Scale!$X223=0),"",Scale!$B223)</f>
        <v/>
      </c>
      <c r="B863" s="80">
        <f>IF(OR(Scale!$X223="",Scale!$X223=0),"",Scale!$D223)</f>
        <v/>
      </c>
      <c r="C863" s="80">
        <f>IF(OR(Scale!$X223="",Scale!$X223=0),"","باسکول")</f>
        <v/>
      </c>
      <c r="D863" s="80">
        <f>IF(OR(Scale!$X223="",Scale!$X223=0),"",Scale!$X223)</f>
        <v/>
      </c>
      <c r="E863" s="81">
        <f>IF(OR(Scale!$X223="",Scale!$X223=0),"",IF(Scale!$X223="","","مقابل: "&amp;Scale!$E223))</f>
        <v/>
      </c>
      <c r="F863" s="83" t="n"/>
      <c r="G863" s="83" t="n"/>
      <c r="H863" s="83" t="n"/>
      <c r="I863" s="83" t="n"/>
      <c r="J863" s="83" t="n"/>
      <c r="K863" s="82">
        <f>IF(OR(Scale!$X223="",Scale!$X223=0),"",IF(Scale!$Y223="",0,Scale!$Y223)+IF(Scale!$Z223="",0,Scale!$Z223))</f>
        <v/>
      </c>
      <c r="L863" s="82">
        <f>IF(OR(Scale!$X223="",Scale!$X223=0),"",Scale!$Y223)</f>
        <v/>
      </c>
      <c r="M863" s="82">
        <f>IF(OR(Scale!$X223="",Scale!$X223=0),"",Scale!$Z223)</f>
        <v/>
      </c>
      <c r="N863" s="81">
        <f>IF(OR(Scale!$X223="",Scale!$X223=0),"","مقابل")</f>
        <v/>
      </c>
      <c r="O863" s="81">
        <f>IF(OR(Scale!$X223="",Scale!$X223=0),"",IFERROR(VLOOKUP(Scale!$X223,AcctTbl,3,0),""))</f>
        <v/>
      </c>
      <c r="P863" s="82">
        <f>IF(Scale!$X223&lt;&gt;"X011","","BN02")</f>
        <v/>
      </c>
    </row>
    <row r="864" ht="20.25" customHeight="1">
      <c r="A864" s="80">
        <f>IF(OR(Scale!$AA223="",Scale!$AA223=0),"",Scale!$B223)</f>
        <v/>
      </c>
      <c r="B864" s="80">
        <f>IF(OR(Scale!$AA223="",Scale!$AA223=0),"",Scale!$D223)</f>
        <v/>
      </c>
      <c r="C864" s="80">
        <f>IF(OR(Scale!$AA223="",Scale!$AA223=0),"","باسکول")</f>
        <v/>
      </c>
      <c r="D864" s="80">
        <f>IF(OR(Scale!$AA223="",Scale!$AA223=0),"",Scale!$AA223)</f>
        <v/>
      </c>
      <c r="E864" s="81">
        <f>IF(OR(Scale!$AA223="",Scale!$AA223=0),"",IF(Scale!$AA223="","","پوز باسکول — "&amp;Scale!$E223))</f>
        <v/>
      </c>
      <c r="F864" s="83" t="n"/>
      <c r="G864" s="83" t="n"/>
      <c r="H864" s="83" t="n"/>
      <c r="I864" s="83" t="n"/>
      <c r="J864" s="83" t="n"/>
      <c r="K864" s="82">
        <f>IF(OR(Scale!$AA223="",Scale!$AA223=0),"",IF(Scale!$AB223="",0,Scale!$AB223)+IF(Scale!$AC223="",0,Scale!$AC223))</f>
        <v/>
      </c>
      <c r="L864" s="82">
        <f>IF(OR(Scale!$AA223="",Scale!$AA223=0),"",Scale!$AB223)</f>
        <v/>
      </c>
      <c r="M864" s="82">
        <f>IF(OR(Scale!$AA223="",Scale!$AA223=0),"",Scale!$AC223)</f>
        <v/>
      </c>
      <c r="N864" s="81">
        <f>IF(OR(Scale!$AA223="",Scale!$AA223=0),"","پوز")</f>
        <v/>
      </c>
      <c r="O864" s="81">
        <f>IF(OR(Scale!$AA223="",Scale!$AA223=0),"",IFERROR(VLOOKUP(Scale!$AA223,AcctTbl,3,0),""))</f>
        <v/>
      </c>
      <c r="P864" s="82">
        <f>IF(Scale!$AA223&lt;&gt;"X011","","BN02")</f>
        <v/>
      </c>
    </row>
    <row r="865" ht="20.25" customHeight="1">
      <c r="A865" s="80">
        <f>IF(OR(Scale!$AD223="",Scale!$AD223=0),"",Scale!$B223)</f>
        <v/>
      </c>
      <c r="B865" s="80">
        <f>IF(OR(Scale!$AD223="",Scale!$AD223=0),"",Scale!$D223)</f>
        <v/>
      </c>
      <c r="C865" s="80">
        <f>IF(OR(Scale!$AD223="",Scale!$AD223=0),"","باسکول")</f>
        <v/>
      </c>
      <c r="D865" s="80">
        <f>IF(OR(Scale!$AD223="",Scale!$AD223=0),"",Scale!$AD223)</f>
        <v/>
      </c>
      <c r="E865" s="81">
        <f>IF(OR(Scale!$AD223="",Scale!$AD223=0),"",IF(Scale!$AD223="","","مقابل پوز — "&amp;Scale!$E223))</f>
        <v/>
      </c>
      <c r="F865" s="83" t="n"/>
      <c r="G865" s="83" t="n"/>
      <c r="H865" s="83" t="n"/>
      <c r="I865" s="83" t="n"/>
      <c r="J865" s="83" t="n"/>
      <c r="K865" s="82">
        <f>IF(OR(Scale!$AD223="",Scale!$AD223=0),"",IF(Scale!$AE223="",0,Scale!$AE223)+IF(Scale!$AF223="",0,Scale!$AF223))</f>
        <v/>
      </c>
      <c r="L865" s="82">
        <f>IF(OR(Scale!$AD223="",Scale!$AD223=0),"",Scale!$AE223)</f>
        <v/>
      </c>
      <c r="M865" s="82">
        <f>IF(OR(Scale!$AD223="",Scale!$AD223=0),"",Scale!$AF223)</f>
        <v/>
      </c>
      <c r="N865" s="81">
        <f>IF(OR(Scale!$AD223="",Scale!$AD223=0),"","مقابل پوز")</f>
        <v/>
      </c>
      <c r="O865" s="81">
        <f>IF(OR(Scale!$AD223="",Scale!$AD223=0),"",IFERROR(VLOOKUP(Scale!$AD223,AcctTbl,3,0),""))</f>
        <v/>
      </c>
      <c r="P865" s="82">
        <f>IF(Scale!$AD223&lt;&gt;"X011","","BN02")</f>
        <v/>
      </c>
    </row>
    <row r="866" ht="20.25" customHeight="1">
      <c r="A866" s="80">
        <f>IF(OR(Scale!$U224="",Scale!$U224=0),"",Scale!$B224)</f>
        <v/>
      </c>
      <c r="B866" s="80">
        <f>IF(OR(Scale!$U224="",Scale!$U224=0),"",Scale!$D224)</f>
        <v/>
      </c>
      <c r="C866" s="80">
        <f>IF(OR(Scale!$U224="",Scale!$U224=0),"","باسکول")</f>
        <v/>
      </c>
      <c r="D866" s="80">
        <f>IF(OR(Scale!$U224="",Scale!$U224=0),"",Scale!$U224)</f>
        <v/>
      </c>
      <c r="E866" s="81">
        <f>IF(OR(Scale!$U224="",Scale!$U224=0),"",Scale!$T224)</f>
        <v/>
      </c>
      <c r="F866" s="81">
        <f>IF(OR(Scale!$U224="",Scale!$U224=0),"",Scale!$J224)</f>
        <v/>
      </c>
      <c r="G866" s="82">
        <f>IF(OR(Scale!$U224="",Scale!$U224=0),"",Scale!$M224)</f>
        <v/>
      </c>
      <c r="H866" s="82">
        <f>IF(OR(Scale!$U224="",Scale!$U224=0),"",Scale!$L224)</f>
        <v/>
      </c>
      <c r="I866" s="82">
        <f>IF(OR(Scale!$U224="",Scale!$U224=0),"",Scale!$N224)</f>
        <v/>
      </c>
      <c r="J866" s="82">
        <f>IF(OR(Scale!$U224="",Scale!$U224=0),"",Scale!$O224)</f>
        <v/>
      </c>
      <c r="K866" s="82">
        <f>IF(OR(Scale!$U224="",Scale!$U224=0),"",IF(Scale!$V224="",0,Scale!$V224)+IF(Scale!$W224="",0,Scale!$W224))</f>
        <v/>
      </c>
      <c r="L866" s="82">
        <f>IF(OR(Scale!$U224="",Scale!$U224=0),"",Scale!$V224)</f>
        <v/>
      </c>
      <c r="M866" s="82">
        <f>IF(OR(Scale!$U224="",Scale!$U224=0),"",Scale!$W224)</f>
        <v/>
      </c>
      <c r="N866" s="81">
        <f>IF(OR(Scale!$U224="",Scale!$U224=0),"",Scale!$E224)</f>
        <v/>
      </c>
      <c r="O866" s="81">
        <f>IF(OR(Scale!$U224="",Scale!$U224=0),"",IFERROR(VLOOKUP(Scale!$U224,AcctTbl,3,0),""))</f>
        <v/>
      </c>
      <c r="P866" s="82">
        <f>IF(Scale!$U224&lt;&gt;"X011","","BN02")</f>
        <v/>
      </c>
    </row>
    <row r="867" ht="20.25" customHeight="1">
      <c r="A867" s="80">
        <f>IF(OR(Scale!$X224="",Scale!$X224=0),"",Scale!$B224)</f>
        <v/>
      </c>
      <c r="B867" s="80">
        <f>IF(OR(Scale!$X224="",Scale!$X224=0),"",Scale!$D224)</f>
        <v/>
      </c>
      <c r="C867" s="80">
        <f>IF(OR(Scale!$X224="",Scale!$X224=0),"","باسکول")</f>
        <v/>
      </c>
      <c r="D867" s="80">
        <f>IF(OR(Scale!$X224="",Scale!$X224=0),"",Scale!$X224)</f>
        <v/>
      </c>
      <c r="E867" s="81">
        <f>IF(OR(Scale!$X224="",Scale!$X224=0),"",IF(Scale!$X224="","","مقابل: "&amp;Scale!$E224))</f>
        <v/>
      </c>
      <c r="F867" s="83" t="n"/>
      <c r="G867" s="83" t="n"/>
      <c r="H867" s="83" t="n"/>
      <c r="I867" s="83" t="n"/>
      <c r="J867" s="83" t="n"/>
      <c r="K867" s="82">
        <f>IF(OR(Scale!$X224="",Scale!$X224=0),"",IF(Scale!$Y224="",0,Scale!$Y224)+IF(Scale!$Z224="",0,Scale!$Z224))</f>
        <v/>
      </c>
      <c r="L867" s="82">
        <f>IF(OR(Scale!$X224="",Scale!$X224=0),"",Scale!$Y224)</f>
        <v/>
      </c>
      <c r="M867" s="82">
        <f>IF(OR(Scale!$X224="",Scale!$X224=0),"",Scale!$Z224)</f>
        <v/>
      </c>
      <c r="N867" s="81">
        <f>IF(OR(Scale!$X224="",Scale!$X224=0),"","مقابل")</f>
        <v/>
      </c>
      <c r="O867" s="81">
        <f>IF(OR(Scale!$X224="",Scale!$X224=0),"",IFERROR(VLOOKUP(Scale!$X224,AcctTbl,3,0),""))</f>
        <v/>
      </c>
      <c r="P867" s="82">
        <f>IF(Scale!$X224&lt;&gt;"X011","","BN02")</f>
        <v/>
      </c>
    </row>
    <row r="868" ht="20.25" customHeight="1">
      <c r="A868" s="80">
        <f>IF(OR(Scale!$AA224="",Scale!$AA224=0),"",Scale!$B224)</f>
        <v/>
      </c>
      <c r="B868" s="80">
        <f>IF(OR(Scale!$AA224="",Scale!$AA224=0),"",Scale!$D224)</f>
        <v/>
      </c>
      <c r="C868" s="80">
        <f>IF(OR(Scale!$AA224="",Scale!$AA224=0),"","باسکول")</f>
        <v/>
      </c>
      <c r="D868" s="80">
        <f>IF(OR(Scale!$AA224="",Scale!$AA224=0),"",Scale!$AA224)</f>
        <v/>
      </c>
      <c r="E868" s="81">
        <f>IF(OR(Scale!$AA224="",Scale!$AA224=0),"",IF(Scale!$AA224="","","پوز باسکول — "&amp;Scale!$E224))</f>
        <v/>
      </c>
      <c r="F868" s="83" t="n"/>
      <c r="G868" s="83" t="n"/>
      <c r="H868" s="83" t="n"/>
      <c r="I868" s="83" t="n"/>
      <c r="J868" s="83" t="n"/>
      <c r="K868" s="82">
        <f>IF(OR(Scale!$AA224="",Scale!$AA224=0),"",IF(Scale!$AB224="",0,Scale!$AB224)+IF(Scale!$AC224="",0,Scale!$AC224))</f>
        <v/>
      </c>
      <c r="L868" s="82">
        <f>IF(OR(Scale!$AA224="",Scale!$AA224=0),"",Scale!$AB224)</f>
        <v/>
      </c>
      <c r="M868" s="82">
        <f>IF(OR(Scale!$AA224="",Scale!$AA224=0),"",Scale!$AC224)</f>
        <v/>
      </c>
      <c r="N868" s="81">
        <f>IF(OR(Scale!$AA224="",Scale!$AA224=0),"","پوز")</f>
        <v/>
      </c>
      <c r="O868" s="81">
        <f>IF(OR(Scale!$AA224="",Scale!$AA224=0),"",IFERROR(VLOOKUP(Scale!$AA224,AcctTbl,3,0),""))</f>
        <v/>
      </c>
      <c r="P868" s="82">
        <f>IF(Scale!$AA224&lt;&gt;"X011","","BN02")</f>
        <v/>
      </c>
    </row>
    <row r="869" ht="20.25" customHeight="1">
      <c r="A869" s="80">
        <f>IF(OR(Scale!$AD224="",Scale!$AD224=0),"",Scale!$B224)</f>
        <v/>
      </c>
      <c r="B869" s="80">
        <f>IF(OR(Scale!$AD224="",Scale!$AD224=0),"",Scale!$D224)</f>
        <v/>
      </c>
      <c r="C869" s="80">
        <f>IF(OR(Scale!$AD224="",Scale!$AD224=0),"","باسکول")</f>
        <v/>
      </c>
      <c r="D869" s="80">
        <f>IF(OR(Scale!$AD224="",Scale!$AD224=0),"",Scale!$AD224)</f>
        <v/>
      </c>
      <c r="E869" s="81">
        <f>IF(OR(Scale!$AD224="",Scale!$AD224=0),"",IF(Scale!$AD224="","","مقابل پوز — "&amp;Scale!$E224))</f>
        <v/>
      </c>
      <c r="F869" s="83" t="n"/>
      <c r="G869" s="83" t="n"/>
      <c r="H869" s="83" t="n"/>
      <c r="I869" s="83" t="n"/>
      <c r="J869" s="83" t="n"/>
      <c r="K869" s="82">
        <f>IF(OR(Scale!$AD224="",Scale!$AD224=0),"",IF(Scale!$AE224="",0,Scale!$AE224)+IF(Scale!$AF224="",0,Scale!$AF224))</f>
        <v/>
      </c>
      <c r="L869" s="82">
        <f>IF(OR(Scale!$AD224="",Scale!$AD224=0),"",Scale!$AE224)</f>
        <v/>
      </c>
      <c r="M869" s="82">
        <f>IF(OR(Scale!$AD224="",Scale!$AD224=0),"",Scale!$AF224)</f>
        <v/>
      </c>
      <c r="N869" s="81">
        <f>IF(OR(Scale!$AD224="",Scale!$AD224=0),"","مقابل پوز")</f>
        <v/>
      </c>
      <c r="O869" s="81">
        <f>IF(OR(Scale!$AD224="",Scale!$AD224=0),"",IFERROR(VLOOKUP(Scale!$AD224,AcctTbl,3,0),""))</f>
        <v/>
      </c>
      <c r="P869" s="82">
        <f>IF(Scale!$AD224&lt;&gt;"X011","","BN02")</f>
        <v/>
      </c>
    </row>
    <row r="870" ht="20.25" customHeight="1">
      <c r="A870" s="80">
        <f>IF(OR(Scale!$U225="",Scale!$U225=0),"",Scale!$B225)</f>
        <v/>
      </c>
      <c r="B870" s="80">
        <f>IF(OR(Scale!$U225="",Scale!$U225=0),"",Scale!$D225)</f>
        <v/>
      </c>
      <c r="C870" s="80">
        <f>IF(OR(Scale!$U225="",Scale!$U225=0),"","باسکول")</f>
        <v/>
      </c>
      <c r="D870" s="80">
        <f>IF(OR(Scale!$U225="",Scale!$U225=0),"",Scale!$U225)</f>
        <v/>
      </c>
      <c r="E870" s="81">
        <f>IF(OR(Scale!$U225="",Scale!$U225=0),"",Scale!$T225)</f>
        <v/>
      </c>
      <c r="F870" s="81">
        <f>IF(OR(Scale!$U225="",Scale!$U225=0),"",Scale!$J225)</f>
        <v/>
      </c>
      <c r="G870" s="82">
        <f>IF(OR(Scale!$U225="",Scale!$U225=0),"",Scale!$M225)</f>
        <v/>
      </c>
      <c r="H870" s="82">
        <f>IF(OR(Scale!$U225="",Scale!$U225=0),"",Scale!$L225)</f>
        <v/>
      </c>
      <c r="I870" s="82">
        <f>IF(OR(Scale!$U225="",Scale!$U225=0),"",Scale!$N225)</f>
        <v/>
      </c>
      <c r="J870" s="82">
        <f>IF(OR(Scale!$U225="",Scale!$U225=0),"",Scale!$O225)</f>
        <v/>
      </c>
      <c r="K870" s="82">
        <f>IF(OR(Scale!$U225="",Scale!$U225=0),"",IF(Scale!$V225="",0,Scale!$V225)+IF(Scale!$W225="",0,Scale!$W225))</f>
        <v/>
      </c>
      <c r="L870" s="82">
        <f>IF(OR(Scale!$U225="",Scale!$U225=0),"",Scale!$V225)</f>
        <v/>
      </c>
      <c r="M870" s="82">
        <f>IF(OR(Scale!$U225="",Scale!$U225=0),"",Scale!$W225)</f>
        <v/>
      </c>
      <c r="N870" s="81">
        <f>IF(OR(Scale!$U225="",Scale!$U225=0),"",Scale!$E225)</f>
        <v/>
      </c>
      <c r="O870" s="81">
        <f>IF(OR(Scale!$U225="",Scale!$U225=0),"",IFERROR(VLOOKUP(Scale!$U225,AcctTbl,3,0),""))</f>
        <v/>
      </c>
      <c r="P870" s="82">
        <f>IF(Scale!$U225&lt;&gt;"X011","","BN02")</f>
        <v/>
      </c>
    </row>
    <row r="871" ht="20.25" customHeight="1">
      <c r="A871" s="80">
        <f>IF(OR(Scale!$X225="",Scale!$X225=0),"",Scale!$B225)</f>
        <v/>
      </c>
      <c r="B871" s="80">
        <f>IF(OR(Scale!$X225="",Scale!$X225=0),"",Scale!$D225)</f>
        <v/>
      </c>
      <c r="C871" s="80">
        <f>IF(OR(Scale!$X225="",Scale!$X225=0),"","باسکول")</f>
        <v/>
      </c>
      <c r="D871" s="80">
        <f>IF(OR(Scale!$X225="",Scale!$X225=0),"",Scale!$X225)</f>
        <v/>
      </c>
      <c r="E871" s="81">
        <f>IF(OR(Scale!$X225="",Scale!$X225=0),"",IF(Scale!$X225="","","مقابل: "&amp;Scale!$E225))</f>
        <v/>
      </c>
      <c r="F871" s="83" t="n"/>
      <c r="G871" s="83" t="n"/>
      <c r="H871" s="83" t="n"/>
      <c r="I871" s="83" t="n"/>
      <c r="J871" s="83" t="n"/>
      <c r="K871" s="82">
        <f>IF(OR(Scale!$X225="",Scale!$X225=0),"",IF(Scale!$Y225="",0,Scale!$Y225)+IF(Scale!$Z225="",0,Scale!$Z225))</f>
        <v/>
      </c>
      <c r="L871" s="82">
        <f>IF(OR(Scale!$X225="",Scale!$X225=0),"",Scale!$Y225)</f>
        <v/>
      </c>
      <c r="M871" s="82">
        <f>IF(OR(Scale!$X225="",Scale!$X225=0),"",Scale!$Z225)</f>
        <v/>
      </c>
      <c r="N871" s="81">
        <f>IF(OR(Scale!$X225="",Scale!$X225=0),"","مقابل")</f>
        <v/>
      </c>
      <c r="O871" s="81">
        <f>IF(OR(Scale!$X225="",Scale!$X225=0),"",IFERROR(VLOOKUP(Scale!$X225,AcctTbl,3,0),""))</f>
        <v/>
      </c>
      <c r="P871" s="82">
        <f>IF(Scale!$X225&lt;&gt;"X011","","BN02")</f>
        <v/>
      </c>
    </row>
    <row r="872" ht="20.25" customHeight="1">
      <c r="A872" s="80">
        <f>IF(OR(Scale!$AA225="",Scale!$AA225=0),"",Scale!$B225)</f>
        <v/>
      </c>
      <c r="B872" s="80">
        <f>IF(OR(Scale!$AA225="",Scale!$AA225=0),"",Scale!$D225)</f>
        <v/>
      </c>
      <c r="C872" s="80">
        <f>IF(OR(Scale!$AA225="",Scale!$AA225=0),"","باسکول")</f>
        <v/>
      </c>
      <c r="D872" s="80">
        <f>IF(OR(Scale!$AA225="",Scale!$AA225=0),"",Scale!$AA225)</f>
        <v/>
      </c>
      <c r="E872" s="81">
        <f>IF(OR(Scale!$AA225="",Scale!$AA225=0),"",IF(Scale!$AA225="","","پوز باسکول — "&amp;Scale!$E225))</f>
        <v/>
      </c>
      <c r="F872" s="83" t="n"/>
      <c r="G872" s="83" t="n"/>
      <c r="H872" s="83" t="n"/>
      <c r="I872" s="83" t="n"/>
      <c r="J872" s="83" t="n"/>
      <c r="K872" s="82">
        <f>IF(OR(Scale!$AA225="",Scale!$AA225=0),"",IF(Scale!$AB225="",0,Scale!$AB225)+IF(Scale!$AC225="",0,Scale!$AC225))</f>
        <v/>
      </c>
      <c r="L872" s="82">
        <f>IF(OR(Scale!$AA225="",Scale!$AA225=0),"",Scale!$AB225)</f>
        <v/>
      </c>
      <c r="M872" s="82">
        <f>IF(OR(Scale!$AA225="",Scale!$AA225=0),"",Scale!$AC225)</f>
        <v/>
      </c>
      <c r="N872" s="81">
        <f>IF(OR(Scale!$AA225="",Scale!$AA225=0),"","پوز")</f>
        <v/>
      </c>
      <c r="O872" s="81">
        <f>IF(OR(Scale!$AA225="",Scale!$AA225=0),"",IFERROR(VLOOKUP(Scale!$AA225,AcctTbl,3,0),""))</f>
        <v/>
      </c>
      <c r="P872" s="82">
        <f>IF(Scale!$AA225&lt;&gt;"X011","","BN02")</f>
        <v/>
      </c>
    </row>
    <row r="873" ht="20.25" customHeight="1">
      <c r="A873" s="80">
        <f>IF(OR(Scale!$AD225="",Scale!$AD225=0),"",Scale!$B225)</f>
        <v/>
      </c>
      <c r="B873" s="80">
        <f>IF(OR(Scale!$AD225="",Scale!$AD225=0),"",Scale!$D225)</f>
        <v/>
      </c>
      <c r="C873" s="80">
        <f>IF(OR(Scale!$AD225="",Scale!$AD225=0),"","باسکول")</f>
        <v/>
      </c>
      <c r="D873" s="80">
        <f>IF(OR(Scale!$AD225="",Scale!$AD225=0),"",Scale!$AD225)</f>
        <v/>
      </c>
      <c r="E873" s="81">
        <f>IF(OR(Scale!$AD225="",Scale!$AD225=0),"",IF(Scale!$AD225="","","مقابل پوز — "&amp;Scale!$E225))</f>
        <v/>
      </c>
      <c r="F873" s="83" t="n"/>
      <c r="G873" s="83" t="n"/>
      <c r="H873" s="83" t="n"/>
      <c r="I873" s="83" t="n"/>
      <c r="J873" s="83" t="n"/>
      <c r="K873" s="82">
        <f>IF(OR(Scale!$AD225="",Scale!$AD225=0),"",IF(Scale!$AE225="",0,Scale!$AE225)+IF(Scale!$AF225="",0,Scale!$AF225))</f>
        <v/>
      </c>
      <c r="L873" s="82">
        <f>IF(OR(Scale!$AD225="",Scale!$AD225=0),"",Scale!$AE225)</f>
        <v/>
      </c>
      <c r="M873" s="82">
        <f>IF(OR(Scale!$AD225="",Scale!$AD225=0),"",Scale!$AF225)</f>
        <v/>
      </c>
      <c r="N873" s="81">
        <f>IF(OR(Scale!$AD225="",Scale!$AD225=0),"","مقابل پوز")</f>
        <v/>
      </c>
      <c r="O873" s="81">
        <f>IF(OR(Scale!$AD225="",Scale!$AD225=0),"",IFERROR(VLOOKUP(Scale!$AD225,AcctTbl,3,0),""))</f>
        <v/>
      </c>
      <c r="P873" s="82">
        <f>IF(Scale!$AD225&lt;&gt;"X011","","BN02")</f>
        <v/>
      </c>
    </row>
    <row r="874" ht="20.25" customHeight="1">
      <c r="A874" s="80">
        <f>IF(OR(Scale!$U226="",Scale!$U226=0),"",Scale!$B226)</f>
        <v/>
      </c>
      <c r="B874" s="80">
        <f>IF(OR(Scale!$U226="",Scale!$U226=0),"",Scale!$D226)</f>
        <v/>
      </c>
      <c r="C874" s="80">
        <f>IF(OR(Scale!$U226="",Scale!$U226=0),"","باسکول")</f>
        <v/>
      </c>
      <c r="D874" s="80">
        <f>IF(OR(Scale!$U226="",Scale!$U226=0),"",Scale!$U226)</f>
        <v/>
      </c>
      <c r="E874" s="81">
        <f>IF(OR(Scale!$U226="",Scale!$U226=0),"",Scale!$T226)</f>
        <v/>
      </c>
      <c r="F874" s="81">
        <f>IF(OR(Scale!$U226="",Scale!$U226=0),"",Scale!$J226)</f>
        <v/>
      </c>
      <c r="G874" s="82">
        <f>IF(OR(Scale!$U226="",Scale!$U226=0),"",Scale!$M226)</f>
        <v/>
      </c>
      <c r="H874" s="82">
        <f>IF(OR(Scale!$U226="",Scale!$U226=0),"",Scale!$L226)</f>
        <v/>
      </c>
      <c r="I874" s="82">
        <f>IF(OR(Scale!$U226="",Scale!$U226=0),"",Scale!$N226)</f>
        <v/>
      </c>
      <c r="J874" s="82">
        <f>IF(OR(Scale!$U226="",Scale!$U226=0),"",Scale!$O226)</f>
        <v/>
      </c>
      <c r="K874" s="82">
        <f>IF(OR(Scale!$U226="",Scale!$U226=0),"",IF(Scale!$V226="",0,Scale!$V226)+IF(Scale!$W226="",0,Scale!$W226))</f>
        <v/>
      </c>
      <c r="L874" s="82">
        <f>IF(OR(Scale!$U226="",Scale!$U226=0),"",Scale!$V226)</f>
        <v/>
      </c>
      <c r="M874" s="82">
        <f>IF(OR(Scale!$U226="",Scale!$U226=0),"",Scale!$W226)</f>
        <v/>
      </c>
      <c r="N874" s="81">
        <f>IF(OR(Scale!$U226="",Scale!$U226=0),"",Scale!$E226)</f>
        <v/>
      </c>
      <c r="O874" s="81">
        <f>IF(OR(Scale!$U226="",Scale!$U226=0),"",IFERROR(VLOOKUP(Scale!$U226,AcctTbl,3,0),""))</f>
        <v/>
      </c>
      <c r="P874" s="82">
        <f>IF(Scale!$U226&lt;&gt;"X011","","BN02")</f>
        <v/>
      </c>
    </row>
    <row r="875" ht="20.25" customHeight="1">
      <c r="A875" s="80">
        <f>IF(OR(Scale!$X226="",Scale!$X226=0),"",Scale!$B226)</f>
        <v/>
      </c>
      <c r="B875" s="80">
        <f>IF(OR(Scale!$X226="",Scale!$X226=0),"",Scale!$D226)</f>
        <v/>
      </c>
      <c r="C875" s="80">
        <f>IF(OR(Scale!$X226="",Scale!$X226=0),"","باسکول")</f>
        <v/>
      </c>
      <c r="D875" s="80">
        <f>IF(OR(Scale!$X226="",Scale!$X226=0),"",Scale!$X226)</f>
        <v/>
      </c>
      <c r="E875" s="81">
        <f>IF(OR(Scale!$X226="",Scale!$X226=0),"",IF(Scale!$X226="","","مقابل: "&amp;Scale!$E226))</f>
        <v/>
      </c>
      <c r="F875" s="83" t="n"/>
      <c r="G875" s="83" t="n"/>
      <c r="H875" s="83" t="n"/>
      <c r="I875" s="83" t="n"/>
      <c r="J875" s="83" t="n"/>
      <c r="K875" s="82">
        <f>IF(OR(Scale!$X226="",Scale!$X226=0),"",IF(Scale!$Y226="",0,Scale!$Y226)+IF(Scale!$Z226="",0,Scale!$Z226))</f>
        <v/>
      </c>
      <c r="L875" s="82">
        <f>IF(OR(Scale!$X226="",Scale!$X226=0),"",Scale!$Y226)</f>
        <v/>
      </c>
      <c r="M875" s="82">
        <f>IF(OR(Scale!$X226="",Scale!$X226=0),"",Scale!$Z226)</f>
        <v/>
      </c>
      <c r="N875" s="81">
        <f>IF(OR(Scale!$X226="",Scale!$X226=0),"","مقابل")</f>
        <v/>
      </c>
      <c r="O875" s="81">
        <f>IF(OR(Scale!$X226="",Scale!$X226=0),"",IFERROR(VLOOKUP(Scale!$X226,AcctTbl,3,0),""))</f>
        <v/>
      </c>
      <c r="P875" s="82">
        <f>IF(Scale!$X226&lt;&gt;"X011","","BN02")</f>
        <v/>
      </c>
    </row>
    <row r="876" ht="20.25" customHeight="1">
      <c r="A876" s="80">
        <f>IF(OR(Scale!$AA226="",Scale!$AA226=0),"",Scale!$B226)</f>
        <v/>
      </c>
      <c r="B876" s="80">
        <f>IF(OR(Scale!$AA226="",Scale!$AA226=0),"",Scale!$D226)</f>
        <v/>
      </c>
      <c r="C876" s="80">
        <f>IF(OR(Scale!$AA226="",Scale!$AA226=0),"","باسکول")</f>
        <v/>
      </c>
      <c r="D876" s="80">
        <f>IF(OR(Scale!$AA226="",Scale!$AA226=0),"",Scale!$AA226)</f>
        <v/>
      </c>
      <c r="E876" s="81">
        <f>IF(OR(Scale!$AA226="",Scale!$AA226=0),"",IF(Scale!$AA226="","","پوز باسکول — "&amp;Scale!$E226))</f>
        <v/>
      </c>
      <c r="F876" s="83" t="n"/>
      <c r="G876" s="83" t="n"/>
      <c r="H876" s="83" t="n"/>
      <c r="I876" s="83" t="n"/>
      <c r="J876" s="83" t="n"/>
      <c r="K876" s="82">
        <f>IF(OR(Scale!$AA226="",Scale!$AA226=0),"",IF(Scale!$AB226="",0,Scale!$AB226)+IF(Scale!$AC226="",0,Scale!$AC226))</f>
        <v/>
      </c>
      <c r="L876" s="82">
        <f>IF(OR(Scale!$AA226="",Scale!$AA226=0),"",Scale!$AB226)</f>
        <v/>
      </c>
      <c r="M876" s="82">
        <f>IF(OR(Scale!$AA226="",Scale!$AA226=0),"",Scale!$AC226)</f>
        <v/>
      </c>
      <c r="N876" s="81">
        <f>IF(OR(Scale!$AA226="",Scale!$AA226=0),"","پوز")</f>
        <v/>
      </c>
      <c r="O876" s="81">
        <f>IF(OR(Scale!$AA226="",Scale!$AA226=0),"",IFERROR(VLOOKUP(Scale!$AA226,AcctTbl,3,0),""))</f>
        <v/>
      </c>
      <c r="P876" s="82">
        <f>IF(Scale!$AA226&lt;&gt;"X011","","BN02")</f>
        <v/>
      </c>
    </row>
    <row r="877" ht="20.25" customHeight="1">
      <c r="A877" s="80">
        <f>IF(OR(Scale!$AD226="",Scale!$AD226=0),"",Scale!$B226)</f>
        <v/>
      </c>
      <c r="B877" s="80">
        <f>IF(OR(Scale!$AD226="",Scale!$AD226=0),"",Scale!$D226)</f>
        <v/>
      </c>
      <c r="C877" s="80">
        <f>IF(OR(Scale!$AD226="",Scale!$AD226=0),"","باسکول")</f>
        <v/>
      </c>
      <c r="D877" s="80">
        <f>IF(OR(Scale!$AD226="",Scale!$AD226=0),"",Scale!$AD226)</f>
        <v/>
      </c>
      <c r="E877" s="81">
        <f>IF(OR(Scale!$AD226="",Scale!$AD226=0),"",IF(Scale!$AD226="","","مقابل پوز — "&amp;Scale!$E226))</f>
        <v/>
      </c>
      <c r="F877" s="83" t="n"/>
      <c r="G877" s="83" t="n"/>
      <c r="H877" s="83" t="n"/>
      <c r="I877" s="83" t="n"/>
      <c r="J877" s="83" t="n"/>
      <c r="K877" s="82">
        <f>IF(OR(Scale!$AD226="",Scale!$AD226=0),"",IF(Scale!$AE226="",0,Scale!$AE226)+IF(Scale!$AF226="",0,Scale!$AF226))</f>
        <v/>
      </c>
      <c r="L877" s="82">
        <f>IF(OR(Scale!$AD226="",Scale!$AD226=0),"",Scale!$AE226)</f>
        <v/>
      </c>
      <c r="M877" s="82">
        <f>IF(OR(Scale!$AD226="",Scale!$AD226=0),"",Scale!$AF226)</f>
        <v/>
      </c>
      <c r="N877" s="81">
        <f>IF(OR(Scale!$AD226="",Scale!$AD226=0),"","مقابل پوز")</f>
        <v/>
      </c>
      <c r="O877" s="81">
        <f>IF(OR(Scale!$AD226="",Scale!$AD226=0),"",IFERROR(VLOOKUP(Scale!$AD226,AcctTbl,3,0),""))</f>
        <v/>
      </c>
      <c r="P877" s="82">
        <f>IF(Scale!$AD226&lt;&gt;"X011","","BN02")</f>
        <v/>
      </c>
    </row>
    <row r="878" ht="20.25" customHeight="1">
      <c r="A878" s="80">
        <f>IF(OR(Scale!$U227="",Scale!$U227=0),"",Scale!$B227)</f>
        <v/>
      </c>
      <c r="B878" s="80">
        <f>IF(OR(Scale!$U227="",Scale!$U227=0),"",Scale!$D227)</f>
        <v/>
      </c>
      <c r="C878" s="80">
        <f>IF(OR(Scale!$U227="",Scale!$U227=0),"","باسکول")</f>
        <v/>
      </c>
      <c r="D878" s="80">
        <f>IF(OR(Scale!$U227="",Scale!$U227=0),"",Scale!$U227)</f>
        <v/>
      </c>
      <c r="E878" s="81">
        <f>IF(OR(Scale!$U227="",Scale!$U227=0),"",Scale!$T227)</f>
        <v/>
      </c>
      <c r="F878" s="81">
        <f>IF(OR(Scale!$U227="",Scale!$U227=0),"",Scale!$J227)</f>
        <v/>
      </c>
      <c r="G878" s="82">
        <f>IF(OR(Scale!$U227="",Scale!$U227=0),"",Scale!$M227)</f>
        <v/>
      </c>
      <c r="H878" s="82">
        <f>IF(OR(Scale!$U227="",Scale!$U227=0),"",Scale!$L227)</f>
        <v/>
      </c>
      <c r="I878" s="82">
        <f>IF(OR(Scale!$U227="",Scale!$U227=0),"",Scale!$N227)</f>
        <v/>
      </c>
      <c r="J878" s="82">
        <f>IF(OR(Scale!$U227="",Scale!$U227=0),"",Scale!$O227)</f>
        <v/>
      </c>
      <c r="K878" s="82">
        <f>IF(OR(Scale!$U227="",Scale!$U227=0),"",IF(Scale!$V227="",0,Scale!$V227)+IF(Scale!$W227="",0,Scale!$W227))</f>
        <v/>
      </c>
      <c r="L878" s="82">
        <f>IF(OR(Scale!$U227="",Scale!$U227=0),"",Scale!$V227)</f>
        <v/>
      </c>
      <c r="M878" s="82">
        <f>IF(OR(Scale!$U227="",Scale!$U227=0),"",Scale!$W227)</f>
        <v/>
      </c>
      <c r="N878" s="81">
        <f>IF(OR(Scale!$U227="",Scale!$U227=0),"",Scale!$E227)</f>
        <v/>
      </c>
      <c r="O878" s="81">
        <f>IF(OR(Scale!$U227="",Scale!$U227=0),"",IFERROR(VLOOKUP(Scale!$U227,AcctTbl,3,0),""))</f>
        <v/>
      </c>
      <c r="P878" s="82">
        <f>IF(Scale!$U227&lt;&gt;"X011","","BN02")</f>
        <v/>
      </c>
    </row>
    <row r="879" ht="20.25" customHeight="1">
      <c r="A879" s="80">
        <f>IF(OR(Scale!$X227="",Scale!$X227=0),"",Scale!$B227)</f>
        <v/>
      </c>
      <c r="B879" s="80">
        <f>IF(OR(Scale!$X227="",Scale!$X227=0),"",Scale!$D227)</f>
        <v/>
      </c>
      <c r="C879" s="80">
        <f>IF(OR(Scale!$X227="",Scale!$X227=0),"","باسکول")</f>
        <v/>
      </c>
      <c r="D879" s="80">
        <f>IF(OR(Scale!$X227="",Scale!$X227=0),"",Scale!$X227)</f>
        <v/>
      </c>
      <c r="E879" s="81">
        <f>IF(OR(Scale!$X227="",Scale!$X227=0),"",IF(Scale!$X227="","","مقابل: "&amp;Scale!$E227))</f>
        <v/>
      </c>
      <c r="F879" s="83" t="n"/>
      <c r="G879" s="83" t="n"/>
      <c r="H879" s="83" t="n"/>
      <c r="I879" s="83" t="n"/>
      <c r="J879" s="83" t="n"/>
      <c r="K879" s="82">
        <f>IF(OR(Scale!$X227="",Scale!$X227=0),"",IF(Scale!$Y227="",0,Scale!$Y227)+IF(Scale!$Z227="",0,Scale!$Z227))</f>
        <v/>
      </c>
      <c r="L879" s="82">
        <f>IF(OR(Scale!$X227="",Scale!$X227=0),"",Scale!$Y227)</f>
        <v/>
      </c>
      <c r="M879" s="82">
        <f>IF(OR(Scale!$X227="",Scale!$X227=0),"",Scale!$Z227)</f>
        <v/>
      </c>
      <c r="N879" s="81">
        <f>IF(OR(Scale!$X227="",Scale!$X227=0),"","مقابل")</f>
        <v/>
      </c>
      <c r="O879" s="81">
        <f>IF(OR(Scale!$X227="",Scale!$X227=0),"",IFERROR(VLOOKUP(Scale!$X227,AcctTbl,3,0),""))</f>
        <v/>
      </c>
      <c r="P879" s="82">
        <f>IF(Scale!$X227&lt;&gt;"X011","","BN02")</f>
        <v/>
      </c>
    </row>
    <row r="880" ht="20.25" customHeight="1">
      <c r="A880" s="80">
        <f>IF(OR(Scale!$AA227="",Scale!$AA227=0),"",Scale!$B227)</f>
        <v/>
      </c>
      <c r="B880" s="80">
        <f>IF(OR(Scale!$AA227="",Scale!$AA227=0),"",Scale!$D227)</f>
        <v/>
      </c>
      <c r="C880" s="80">
        <f>IF(OR(Scale!$AA227="",Scale!$AA227=0),"","باسکول")</f>
        <v/>
      </c>
      <c r="D880" s="80">
        <f>IF(OR(Scale!$AA227="",Scale!$AA227=0),"",Scale!$AA227)</f>
        <v/>
      </c>
      <c r="E880" s="81">
        <f>IF(OR(Scale!$AA227="",Scale!$AA227=0),"",IF(Scale!$AA227="","","پوز باسکول — "&amp;Scale!$E227))</f>
        <v/>
      </c>
      <c r="F880" s="83" t="n"/>
      <c r="G880" s="83" t="n"/>
      <c r="H880" s="83" t="n"/>
      <c r="I880" s="83" t="n"/>
      <c r="J880" s="83" t="n"/>
      <c r="K880" s="82">
        <f>IF(OR(Scale!$AA227="",Scale!$AA227=0),"",IF(Scale!$AB227="",0,Scale!$AB227)+IF(Scale!$AC227="",0,Scale!$AC227))</f>
        <v/>
      </c>
      <c r="L880" s="82">
        <f>IF(OR(Scale!$AA227="",Scale!$AA227=0),"",Scale!$AB227)</f>
        <v/>
      </c>
      <c r="M880" s="82">
        <f>IF(OR(Scale!$AA227="",Scale!$AA227=0),"",Scale!$AC227)</f>
        <v/>
      </c>
      <c r="N880" s="81">
        <f>IF(OR(Scale!$AA227="",Scale!$AA227=0),"","پوز")</f>
        <v/>
      </c>
      <c r="O880" s="81">
        <f>IF(OR(Scale!$AA227="",Scale!$AA227=0),"",IFERROR(VLOOKUP(Scale!$AA227,AcctTbl,3,0),""))</f>
        <v/>
      </c>
      <c r="P880" s="82">
        <f>IF(Scale!$AA227&lt;&gt;"X011","","BN02")</f>
        <v/>
      </c>
    </row>
    <row r="881" ht="20.25" customHeight="1">
      <c r="A881" s="80">
        <f>IF(OR(Scale!$AD227="",Scale!$AD227=0),"",Scale!$B227)</f>
        <v/>
      </c>
      <c r="B881" s="80">
        <f>IF(OR(Scale!$AD227="",Scale!$AD227=0),"",Scale!$D227)</f>
        <v/>
      </c>
      <c r="C881" s="80">
        <f>IF(OR(Scale!$AD227="",Scale!$AD227=0),"","باسکول")</f>
        <v/>
      </c>
      <c r="D881" s="80">
        <f>IF(OR(Scale!$AD227="",Scale!$AD227=0),"",Scale!$AD227)</f>
        <v/>
      </c>
      <c r="E881" s="81">
        <f>IF(OR(Scale!$AD227="",Scale!$AD227=0),"",IF(Scale!$AD227="","","مقابل پوز — "&amp;Scale!$E227))</f>
        <v/>
      </c>
      <c r="F881" s="83" t="n"/>
      <c r="G881" s="83" t="n"/>
      <c r="H881" s="83" t="n"/>
      <c r="I881" s="83" t="n"/>
      <c r="J881" s="83" t="n"/>
      <c r="K881" s="82">
        <f>IF(OR(Scale!$AD227="",Scale!$AD227=0),"",IF(Scale!$AE227="",0,Scale!$AE227)+IF(Scale!$AF227="",0,Scale!$AF227))</f>
        <v/>
      </c>
      <c r="L881" s="82">
        <f>IF(OR(Scale!$AD227="",Scale!$AD227=0),"",Scale!$AE227)</f>
        <v/>
      </c>
      <c r="M881" s="82">
        <f>IF(OR(Scale!$AD227="",Scale!$AD227=0),"",Scale!$AF227)</f>
        <v/>
      </c>
      <c r="N881" s="81">
        <f>IF(OR(Scale!$AD227="",Scale!$AD227=0),"","مقابل پوز")</f>
        <v/>
      </c>
      <c r="O881" s="81">
        <f>IF(OR(Scale!$AD227="",Scale!$AD227=0),"",IFERROR(VLOOKUP(Scale!$AD227,AcctTbl,3,0),""))</f>
        <v/>
      </c>
      <c r="P881" s="82">
        <f>IF(Scale!$AD227&lt;&gt;"X011","","BN02")</f>
        <v/>
      </c>
    </row>
    <row r="882" ht="20.25" customHeight="1">
      <c r="A882" s="80">
        <f>IF(OR(Scale!$U228="",Scale!$U228=0),"",Scale!$B228)</f>
        <v/>
      </c>
      <c r="B882" s="80">
        <f>IF(OR(Scale!$U228="",Scale!$U228=0),"",Scale!$D228)</f>
        <v/>
      </c>
      <c r="C882" s="80">
        <f>IF(OR(Scale!$U228="",Scale!$U228=0),"","باسکول")</f>
        <v/>
      </c>
      <c r="D882" s="80">
        <f>IF(OR(Scale!$U228="",Scale!$U228=0),"",Scale!$U228)</f>
        <v/>
      </c>
      <c r="E882" s="81">
        <f>IF(OR(Scale!$U228="",Scale!$U228=0),"",Scale!$T228)</f>
        <v/>
      </c>
      <c r="F882" s="81">
        <f>IF(OR(Scale!$U228="",Scale!$U228=0),"",Scale!$J228)</f>
        <v/>
      </c>
      <c r="G882" s="82">
        <f>IF(OR(Scale!$U228="",Scale!$U228=0),"",Scale!$M228)</f>
        <v/>
      </c>
      <c r="H882" s="82">
        <f>IF(OR(Scale!$U228="",Scale!$U228=0),"",Scale!$L228)</f>
        <v/>
      </c>
      <c r="I882" s="82">
        <f>IF(OR(Scale!$U228="",Scale!$U228=0),"",Scale!$N228)</f>
        <v/>
      </c>
      <c r="J882" s="82">
        <f>IF(OR(Scale!$U228="",Scale!$U228=0),"",Scale!$O228)</f>
        <v/>
      </c>
      <c r="K882" s="82">
        <f>IF(OR(Scale!$U228="",Scale!$U228=0),"",IF(Scale!$V228="",0,Scale!$V228)+IF(Scale!$W228="",0,Scale!$W228))</f>
        <v/>
      </c>
      <c r="L882" s="82">
        <f>IF(OR(Scale!$U228="",Scale!$U228=0),"",Scale!$V228)</f>
        <v/>
      </c>
      <c r="M882" s="82">
        <f>IF(OR(Scale!$U228="",Scale!$U228=0),"",Scale!$W228)</f>
        <v/>
      </c>
      <c r="N882" s="81">
        <f>IF(OR(Scale!$U228="",Scale!$U228=0),"",Scale!$E228)</f>
        <v/>
      </c>
      <c r="O882" s="81">
        <f>IF(OR(Scale!$U228="",Scale!$U228=0),"",IFERROR(VLOOKUP(Scale!$U228,AcctTbl,3,0),""))</f>
        <v/>
      </c>
      <c r="P882" s="82">
        <f>IF(Scale!$U228&lt;&gt;"X011","","BN02")</f>
        <v/>
      </c>
    </row>
    <row r="883" ht="20.25" customHeight="1">
      <c r="A883" s="80">
        <f>IF(OR(Scale!$X228="",Scale!$X228=0),"",Scale!$B228)</f>
        <v/>
      </c>
      <c r="B883" s="80">
        <f>IF(OR(Scale!$X228="",Scale!$X228=0),"",Scale!$D228)</f>
        <v/>
      </c>
      <c r="C883" s="80">
        <f>IF(OR(Scale!$X228="",Scale!$X228=0),"","باسکول")</f>
        <v/>
      </c>
      <c r="D883" s="80">
        <f>IF(OR(Scale!$X228="",Scale!$X228=0),"",Scale!$X228)</f>
        <v/>
      </c>
      <c r="E883" s="81">
        <f>IF(OR(Scale!$X228="",Scale!$X228=0),"",IF(Scale!$X228="","","مقابل: "&amp;Scale!$E228))</f>
        <v/>
      </c>
      <c r="F883" s="83" t="n"/>
      <c r="G883" s="83" t="n"/>
      <c r="H883" s="83" t="n"/>
      <c r="I883" s="83" t="n"/>
      <c r="J883" s="83" t="n"/>
      <c r="K883" s="82">
        <f>IF(OR(Scale!$X228="",Scale!$X228=0),"",IF(Scale!$Y228="",0,Scale!$Y228)+IF(Scale!$Z228="",0,Scale!$Z228))</f>
        <v/>
      </c>
      <c r="L883" s="82">
        <f>IF(OR(Scale!$X228="",Scale!$X228=0),"",Scale!$Y228)</f>
        <v/>
      </c>
      <c r="M883" s="82">
        <f>IF(OR(Scale!$X228="",Scale!$X228=0),"",Scale!$Z228)</f>
        <v/>
      </c>
      <c r="N883" s="81">
        <f>IF(OR(Scale!$X228="",Scale!$X228=0),"","مقابل")</f>
        <v/>
      </c>
      <c r="O883" s="81">
        <f>IF(OR(Scale!$X228="",Scale!$X228=0),"",IFERROR(VLOOKUP(Scale!$X228,AcctTbl,3,0),""))</f>
        <v/>
      </c>
      <c r="P883" s="82">
        <f>IF(Scale!$X228&lt;&gt;"X011","","BN02")</f>
        <v/>
      </c>
    </row>
    <row r="884" ht="20.25" customHeight="1">
      <c r="A884" s="80">
        <f>IF(OR(Scale!$AA228="",Scale!$AA228=0),"",Scale!$B228)</f>
        <v/>
      </c>
      <c r="B884" s="80">
        <f>IF(OR(Scale!$AA228="",Scale!$AA228=0),"",Scale!$D228)</f>
        <v/>
      </c>
      <c r="C884" s="80">
        <f>IF(OR(Scale!$AA228="",Scale!$AA228=0),"","باسکول")</f>
        <v/>
      </c>
      <c r="D884" s="80">
        <f>IF(OR(Scale!$AA228="",Scale!$AA228=0),"",Scale!$AA228)</f>
        <v/>
      </c>
      <c r="E884" s="81">
        <f>IF(OR(Scale!$AA228="",Scale!$AA228=0),"",IF(Scale!$AA228="","","پوز باسکول — "&amp;Scale!$E228))</f>
        <v/>
      </c>
      <c r="F884" s="83" t="n"/>
      <c r="G884" s="83" t="n"/>
      <c r="H884" s="83" t="n"/>
      <c r="I884" s="83" t="n"/>
      <c r="J884" s="83" t="n"/>
      <c r="K884" s="82">
        <f>IF(OR(Scale!$AA228="",Scale!$AA228=0),"",IF(Scale!$AB228="",0,Scale!$AB228)+IF(Scale!$AC228="",0,Scale!$AC228))</f>
        <v/>
      </c>
      <c r="L884" s="82">
        <f>IF(OR(Scale!$AA228="",Scale!$AA228=0),"",Scale!$AB228)</f>
        <v/>
      </c>
      <c r="M884" s="82">
        <f>IF(OR(Scale!$AA228="",Scale!$AA228=0),"",Scale!$AC228)</f>
        <v/>
      </c>
      <c r="N884" s="81">
        <f>IF(OR(Scale!$AA228="",Scale!$AA228=0),"","پوز")</f>
        <v/>
      </c>
      <c r="O884" s="81">
        <f>IF(OR(Scale!$AA228="",Scale!$AA228=0),"",IFERROR(VLOOKUP(Scale!$AA228,AcctTbl,3,0),""))</f>
        <v/>
      </c>
      <c r="P884" s="82">
        <f>IF(Scale!$AA228&lt;&gt;"X011","","BN02")</f>
        <v/>
      </c>
    </row>
    <row r="885" ht="20.25" customHeight="1">
      <c r="A885" s="80">
        <f>IF(OR(Scale!$AD228="",Scale!$AD228=0),"",Scale!$B228)</f>
        <v/>
      </c>
      <c r="B885" s="80">
        <f>IF(OR(Scale!$AD228="",Scale!$AD228=0),"",Scale!$D228)</f>
        <v/>
      </c>
      <c r="C885" s="80">
        <f>IF(OR(Scale!$AD228="",Scale!$AD228=0),"","باسکول")</f>
        <v/>
      </c>
      <c r="D885" s="80">
        <f>IF(OR(Scale!$AD228="",Scale!$AD228=0),"",Scale!$AD228)</f>
        <v/>
      </c>
      <c r="E885" s="81">
        <f>IF(OR(Scale!$AD228="",Scale!$AD228=0),"",IF(Scale!$AD228="","","مقابل پوز — "&amp;Scale!$E228))</f>
        <v/>
      </c>
      <c r="F885" s="83" t="n"/>
      <c r="G885" s="83" t="n"/>
      <c r="H885" s="83" t="n"/>
      <c r="I885" s="83" t="n"/>
      <c r="J885" s="83" t="n"/>
      <c r="K885" s="82">
        <f>IF(OR(Scale!$AD228="",Scale!$AD228=0),"",IF(Scale!$AE228="",0,Scale!$AE228)+IF(Scale!$AF228="",0,Scale!$AF228))</f>
        <v/>
      </c>
      <c r="L885" s="82">
        <f>IF(OR(Scale!$AD228="",Scale!$AD228=0),"",Scale!$AE228)</f>
        <v/>
      </c>
      <c r="M885" s="82">
        <f>IF(OR(Scale!$AD228="",Scale!$AD228=0),"",Scale!$AF228)</f>
        <v/>
      </c>
      <c r="N885" s="81">
        <f>IF(OR(Scale!$AD228="",Scale!$AD228=0),"","مقابل پوز")</f>
        <v/>
      </c>
      <c r="O885" s="81">
        <f>IF(OR(Scale!$AD228="",Scale!$AD228=0),"",IFERROR(VLOOKUP(Scale!$AD228,AcctTbl,3,0),""))</f>
        <v/>
      </c>
      <c r="P885" s="82">
        <f>IF(Scale!$AD228&lt;&gt;"X011","","BN02")</f>
        <v/>
      </c>
    </row>
    <row r="886" ht="20.25" customHeight="1">
      <c r="A886" s="80">
        <f>IF(OR(Scale!$U229="",Scale!$U229=0),"",Scale!$B229)</f>
        <v/>
      </c>
      <c r="B886" s="80">
        <f>IF(OR(Scale!$U229="",Scale!$U229=0),"",Scale!$D229)</f>
        <v/>
      </c>
      <c r="C886" s="80">
        <f>IF(OR(Scale!$U229="",Scale!$U229=0),"","باسکول")</f>
        <v/>
      </c>
      <c r="D886" s="80">
        <f>IF(OR(Scale!$U229="",Scale!$U229=0),"",Scale!$U229)</f>
        <v/>
      </c>
      <c r="E886" s="81">
        <f>IF(OR(Scale!$U229="",Scale!$U229=0),"",Scale!$T229)</f>
        <v/>
      </c>
      <c r="F886" s="81">
        <f>IF(OR(Scale!$U229="",Scale!$U229=0),"",Scale!$J229)</f>
        <v/>
      </c>
      <c r="G886" s="82">
        <f>IF(OR(Scale!$U229="",Scale!$U229=0),"",Scale!$M229)</f>
        <v/>
      </c>
      <c r="H886" s="82">
        <f>IF(OR(Scale!$U229="",Scale!$U229=0),"",Scale!$L229)</f>
        <v/>
      </c>
      <c r="I886" s="82">
        <f>IF(OR(Scale!$U229="",Scale!$U229=0),"",Scale!$N229)</f>
        <v/>
      </c>
      <c r="J886" s="82">
        <f>IF(OR(Scale!$U229="",Scale!$U229=0),"",Scale!$O229)</f>
        <v/>
      </c>
      <c r="K886" s="82">
        <f>IF(OR(Scale!$U229="",Scale!$U229=0),"",IF(Scale!$V229="",0,Scale!$V229)+IF(Scale!$W229="",0,Scale!$W229))</f>
        <v/>
      </c>
      <c r="L886" s="82">
        <f>IF(OR(Scale!$U229="",Scale!$U229=0),"",Scale!$V229)</f>
        <v/>
      </c>
      <c r="M886" s="82">
        <f>IF(OR(Scale!$U229="",Scale!$U229=0),"",Scale!$W229)</f>
        <v/>
      </c>
      <c r="N886" s="81">
        <f>IF(OR(Scale!$U229="",Scale!$U229=0),"",Scale!$E229)</f>
        <v/>
      </c>
      <c r="O886" s="81">
        <f>IF(OR(Scale!$U229="",Scale!$U229=0),"",IFERROR(VLOOKUP(Scale!$U229,AcctTbl,3,0),""))</f>
        <v/>
      </c>
      <c r="P886" s="82">
        <f>IF(Scale!$U229&lt;&gt;"X011","","BN02")</f>
        <v/>
      </c>
    </row>
    <row r="887" ht="20.25" customHeight="1">
      <c r="A887" s="80">
        <f>IF(OR(Scale!$X229="",Scale!$X229=0),"",Scale!$B229)</f>
        <v/>
      </c>
      <c r="B887" s="80">
        <f>IF(OR(Scale!$X229="",Scale!$X229=0),"",Scale!$D229)</f>
        <v/>
      </c>
      <c r="C887" s="80">
        <f>IF(OR(Scale!$X229="",Scale!$X229=0),"","باسکول")</f>
        <v/>
      </c>
      <c r="D887" s="80">
        <f>IF(OR(Scale!$X229="",Scale!$X229=0),"",Scale!$X229)</f>
        <v/>
      </c>
      <c r="E887" s="81">
        <f>IF(OR(Scale!$X229="",Scale!$X229=0),"",IF(Scale!$X229="","","مقابل: "&amp;Scale!$E229))</f>
        <v/>
      </c>
      <c r="F887" s="83" t="n"/>
      <c r="G887" s="83" t="n"/>
      <c r="H887" s="83" t="n"/>
      <c r="I887" s="83" t="n"/>
      <c r="J887" s="83" t="n"/>
      <c r="K887" s="82">
        <f>IF(OR(Scale!$X229="",Scale!$X229=0),"",IF(Scale!$Y229="",0,Scale!$Y229)+IF(Scale!$Z229="",0,Scale!$Z229))</f>
        <v/>
      </c>
      <c r="L887" s="82">
        <f>IF(OR(Scale!$X229="",Scale!$X229=0),"",Scale!$Y229)</f>
        <v/>
      </c>
      <c r="M887" s="82">
        <f>IF(OR(Scale!$X229="",Scale!$X229=0),"",Scale!$Z229)</f>
        <v/>
      </c>
      <c r="N887" s="81">
        <f>IF(OR(Scale!$X229="",Scale!$X229=0),"","مقابل")</f>
        <v/>
      </c>
      <c r="O887" s="81">
        <f>IF(OR(Scale!$X229="",Scale!$X229=0),"",IFERROR(VLOOKUP(Scale!$X229,AcctTbl,3,0),""))</f>
        <v/>
      </c>
      <c r="P887" s="82">
        <f>IF(Scale!$X229&lt;&gt;"X011","","BN02")</f>
        <v/>
      </c>
    </row>
    <row r="888" ht="20.25" customHeight="1">
      <c r="A888" s="80">
        <f>IF(OR(Scale!$AA229="",Scale!$AA229=0),"",Scale!$B229)</f>
        <v/>
      </c>
      <c r="B888" s="80">
        <f>IF(OR(Scale!$AA229="",Scale!$AA229=0),"",Scale!$D229)</f>
        <v/>
      </c>
      <c r="C888" s="80">
        <f>IF(OR(Scale!$AA229="",Scale!$AA229=0),"","باسکول")</f>
        <v/>
      </c>
      <c r="D888" s="80">
        <f>IF(OR(Scale!$AA229="",Scale!$AA229=0),"",Scale!$AA229)</f>
        <v/>
      </c>
      <c r="E888" s="81">
        <f>IF(OR(Scale!$AA229="",Scale!$AA229=0),"",IF(Scale!$AA229="","","پوز باسکول — "&amp;Scale!$E229))</f>
        <v/>
      </c>
      <c r="F888" s="83" t="n"/>
      <c r="G888" s="83" t="n"/>
      <c r="H888" s="83" t="n"/>
      <c r="I888" s="83" t="n"/>
      <c r="J888" s="83" t="n"/>
      <c r="K888" s="82">
        <f>IF(OR(Scale!$AA229="",Scale!$AA229=0),"",IF(Scale!$AB229="",0,Scale!$AB229)+IF(Scale!$AC229="",0,Scale!$AC229))</f>
        <v/>
      </c>
      <c r="L888" s="82">
        <f>IF(OR(Scale!$AA229="",Scale!$AA229=0),"",Scale!$AB229)</f>
        <v/>
      </c>
      <c r="M888" s="82">
        <f>IF(OR(Scale!$AA229="",Scale!$AA229=0),"",Scale!$AC229)</f>
        <v/>
      </c>
      <c r="N888" s="81">
        <f>IF(OR(Scale!$AA229="",Scale!$AA229=0),"","پوز")</f>
        <v/>
      </c>
      <c r="O888" s="81">
        <f>IF(OR(Scale!$AA229="",Scale!$AA229=0),"",IFERROR(VLOOKUP(Scale!$AA229,AcctTbl,3,0),""))</f>
        <v/>
      </c>
      <c r="P888" s="82">
        <f>IF(Scale!$AA229&lt;&gt;"X011","","BN02")</f>
        <v/>
      </c>
    </row>
    <row r="889" ht="20.25" customHeight="1">
      <c r="A889" s="80">
        <f>IF(OR(Scale!$AD229="",Scale!$AD229=0),"",Scale!$B229)</f>
        <v/>
      </c>
      <c r="B889" s="80">
        <f>IF(OR(Scale!$AD229="",Scale!$AD229=0),"",Scale!$D229)</f>
        <v/>
      </c>
      <c r="C889" s="80">
        <f>IF(OR(Scale!$AD229="",Scale!$AD229=0),"","باسکول")</f>
        <v/>
      </c>
      <c r="D889" s="80">
        <f>IF(OR(Scale!$AD229="",Scale!$AD229=0),"",Scale!$AD229)</f>
        <v/>
      </c>
      <c r="E889" s="81">
        <f>IF(OR(Scale!$AD229="",Scale!$AD229=0),"",IF(Scale!$AD229="","","مقابل پوز — "&amp;Scale!$E229))</f>
        <v/>
      </c>
      <c r="F889" s="83" t="n"/>
      <c r="G889" s="83" t="n"/>
      <c r="H889" s="83" t="n"/>
      <c r="I889" s="83" t="n"/>
      <c r="J889" s="83" t="n"/>
      <c r="K889" s="82">
        <f>IF(OR(Scale!$AD229="",Scale!$AD229=0),"",IF(Scale!$AE229="",0,Scale!$AE229)+IF(Scale!$AF229="",0,Scale!$AF229))</f>
        <v/>
      </c>
      <c r="L889" s="82">
        <f>IF(OR(Scale!$AD229="",Scale!$AD229=0),"",Scale!$AE229)</f>
        <v/>
      </c>
      <c r="M889" s="82">
        <f>IF(OR(Scale!$AD229="",Scale!$AD229=0),"",Scale!$AF229)</f>
        <v/>
      </c>
      <c r="N889" s="81">
        <f>IF(OR(Scale!$AD229="",Scale!$AD229=0),"","مقابل پوز")</f>
        <v/>
      </c>
      <c r="O889" s="81">
        <f>IF(OR(Scale!$AD229="",Scale!$AD229=0),"",IFERROR(VLOOKUP(Scale!$AD229,AcctTbl,3,0),""))</f>
        <v/>
      </c>
      <c r="P889" s="82">
        <f>IF(Scale!$AD229&lt;&gt;"X011","","BN02")</f>
        <v/>
      </c>
    </row>
    <row r="890" ht="20.25" customHeight="1">
      <c r="A890" s="80">
        <f>IF(OR(Scale!$U230="",Scale!$U230=0),"",Scale!$B230)</f>
        <v/>
      </c>
      <c r="B890" s="80">
        <f>IF(OR(Scale!$U230="",Scale!$U230=0),"",Scale!$D230)</f>
        <v/>
      </c>
      <c r="C890" s="80">
        <f>IF(OR(Scale!$U230="",Scale!$U230=0),"","باسکول")</f>
        <v/>
      </c>
      <c r="D890" s="80">
        <f>IF(OR(Scale!$U230="",Scale!$U230=0),"",Scale!$U230)</f>
        <v/>
      </c>
      <c r="E890" s="81">
        <f>IF(OR(Scale!$U230="",Scale!$U230=0),"",Scale!$T230)</f>
        <v/>
      </c>
      <c r="F890" s="81">
        <f>IF(OR(Scale!$U230="",Scale!$U230=0),"",Scale!$J230)</f>
        <v/>
      </c>
      <c r="G890" s="82">
        <f>IF(OR(Scale!$U230="",Scale!$U230=0),"",Scale!$M230)</f>
        <v/>
      </c>
      <c r="H890" s="82">
        <f>IF(OR(Scale!$U230="",Scale!$U230=0),"",Scale!$L230)</f>
        <v/>
      </c>
      <c r="I890" s="82">
        <f>IF(OR(Scale!$U230="",Scale!$U230=0),"",Scale!$N230)</f>
        <v/>
      </c>
      <c r="J890" s="82">
        <f>IF(OR(Scale!$U230="",Scale!$U230=0),"",Scale!$O230)</f>
        <v/>
      </c>
      <c r="K890" s="82">
        <f>IF(OR(Scale!$U230="",Scale!$U230=0),"",IF(Scale!$V230="",0,Scale!$V230)+IF(Scale!$W230="",0,Scale!$W230))</f>
        <v/>
      </c>
      <c r="L890" s="82">
        <f>IF(OR(Scale!$U230="",Scale!$U230=0),"",Scale!$V230)</f>
        <v/>
      </c>
      <c r="M890" s="82">
        <f>IF(OR(Scale!$U230="",Scale!$U230=0),"",Scale!$W230)</f>
        <v/>
      </c>
      <c r="N890" s="81">
        <f>IF(OR(Scale!$U230="",Scale!$U230=0),"",Scale!$E230)</f>
        <v/>
      </c>
      <c r="O890" s="81">
        <f>IF(OR(Scale!$U230="",Scale!$U230=0),"",IFERROR(VLOOKUP(Scale!$U230,AcctTbl,3,0),""))</f>
        <v/>
      </c>
      <c r="P890" s="82">
        <f>IF(Scale!$U230&lt;&gt;"X011","","BN02")</f>
        <v/>
      </c>
    </row>
    <row r="891" ht="20.25" customHeight="1">
      <c r="A891" s="80">
        <f>IF(OR(Scale!$X230="",Scale!$X230=0),"",Scale!$B230)</f>
        <v/>
      </c>
      <c r="B891" s="80">
        <f>IF(OR(Scale!$X230="",Scale!$X230=0),"",Scale!$D230)</f>
        <v/>
      </c>
      <c r="C891" s="80">
        <f>IF(OR(Scale!$X230="",Scale!$X230=0),"","باسکول")</f>
        <v/>
      </c>
      <c r="D891" s="80">
        <f>IF(OR(Scale!$X230="",Scale!$X230=0),"",Scale!$X230)</f>
        <v/>
      </c>
      <c r="E891" s="81">
        <f>IF(OR(Scale!$X230="",Scale!$X230=0),"",IF(Scale!$X230="","","مقابل: "&amp;Scale!$E230))</f>
        <v/>
      </c>
      <c r="F891" s="83" t="n"/>
      <c r="G891" s="83" t="n"/>
      <c r="H891" s="83" t="n"/>
      <c r="I891" s="83" t="n"/>
      <c r="J891" s="83" t="n"/>
      <c r="K891" s="82">
        <f>IF(OR(Scale!$X230="",Scale!$X230=0),"",IF(Scale!$Y230="",0,Scale!$Y230)+IF(Scale!$Z230="",0,Scale!$Z230))</f>
        <v/>
      </c>
      <c r="L891" s="82">
        <f>IF(OR(Scale!$X230="",Scale!$X230=0),"",Scale!$Y230)</f>
        <v/>
      </c>
      <c r="M891" s="82">
        <f>IF(OR(Scale!$X230="",Scale!$X230=0),"",Scale!$Z230)</f>
        <v/>
      </c>
      <c r="N891" s="81">
        <f>IF(OR(Scale!$X230="",Scale!$X230=0),"","مقابل")</f>
        <v/>
      </c>
      <c r="O891" s="81">
        <f>IF(OR(Scale!$X230="",Scale!$X230=0),"",IFERROR(VLOOKUP(Scale!$X230,AcctTbl,3,0),""))</f>
        <v/>
      </c>
      <c r="P891" s="82">
        <f>IF(Scale!$X230&lt;&gt;"X011","","BN02")</f>
        <v/>
      </c>
    </row>
    <row r="892" ht="20.25" customHeight="1">
      <c r="A892" s="80">
        <f>IF(OR(Scale!$AA230="",Scale!$AA230=0),"",Scale!$B230)</f>
        <v/>
      </c>
      <c r="B892" s="80">
        <f>IF(OR(Scale!$AA230="",Scale!$AA230=0),"",Scale!$D230)</f>
        <v/>
      </c>
      <c r="C892" s="80">
        <f>IF(OR(Scale!$AA230="",Scale!$AA230=0),"","باسکول")</f>
        <v/>
      </c>
      <c r="D892" s="80">
        <f>IF(OR(Scale!$AA230="",Scale!$AA230=0),"",Scale!$AA230)</f>
        <v/>
      </c>
      <c r="E892" s="81">
        <f>IF(OR(Scale!$AA230="",Scale!$AA230=0),"",IF(Scale!$AA230="","","پوز باسکول — "&amp;Scale!$E230))</f>
        <v/>
      </c>
      <c r="F892" s="83" t="n"/>
      <c r="G892" s="83" t="n"/>
      <c r="H892" s="83" t="n"/>
      <c r="I892" s="83" t="n"/>
      <c r="J892" s="83" t="n"/>
      <c r="K892" s="82">
        <f>IF(OR(Scale!$AA230="",Scale!$AA230=0),"",IF(Scale!$AB230="",0,Scale!$AB230)+IF(Scale!$AC230="",0,Scale!$AC230))</f>
        <v/>
      </c>
      <c r="L892" s="82">
        <f>IF(OR(Scale!$AA230="",Scale!$AA230=0),"",Scale!$AB230)</f>
        <v/>
      </c>
      <c r="M892" s="82">
        <f>IF(OR(Scale!$AA230="",Scale!$AA230=0),"",Scale!$AC230)</f>
        <v/>
      </c>
      <c r="N892" s="81">
        <f>IF(OR(Scale!$AA230="",Scale!$AA230=0),"","پوز")</f>
        <v/>
      </c>
      <c r="O892" s="81">
        <f>IF(OR(Scale!$AA230="",Scale!$AA230=0),"",IFERROR(VLOOKUP(Scale!$AA230,AcctTbl,3,0),""))</f>
        <v/>
      </c>
      <c r="P892" s="82">
        <f>IF(Scale!$AA230&lt;&gt;"X011","","BN02")</f>
        <v/>
      </c>
    </row>
    <row r="893" ht="20.25" customHeight="1">
      <c r="A893" s="80">
        <f>IF(OR(Scale!$AD230="",Scale!$AD230=0),"",Scale!$B230)</f>
        <v/>
      </c>
      <c r="B893" s="80">
        <f>IF(OR(Scale!$AD230="",Scale!$AD230=0),"",Scale!$D230)</f>
        <v/>
      </c>
      <c r="C893" s="80">
        <f>IF(OR(Scale!$AD230="",Scale!$AD230=0),"","باسکول")</f>
        <v/>
      </c>
      <c r="D893" s="80">
        <f>IF(OR(Scale!$AD230="",Scale!$AD230=0),"",Scale!$AD230)</f>
        <v/>
      </c>
      <c r="E893" s="81">
        <f>IF(OR(Scale!$AD230="",Scale!$AD230=0),"",IF(Scale!$AD230="","","مقابل پوز — "&amp;Scale!$E230))</f>
        <v/>
      </c>
      <c r="F893" s="83" t="n"/>
      <c r="G893" s="83" t="n"/>
      <c r="H893" s="83" t="n"/>
      <c r="I893" s="83" t="n"/>
      <c r="J893" s="83" t="n"/>
      <c r="K893" s="82">
        <f>IF(OR(Scale!$AD230="",Scale!$AD230=0),"",IF(Scale!$AE230="",0,Scale!$AE230)+IF(Scale!$AF230="",0,Scale!$AF230))</f>
        <v/>
      </c>
      <c r="L893" s="82">
        <f>IF(OR(Scale!$AD230="",Scale!$AD230=0),"",Scale!$AE230)</f>
        <v/>
      </c>
      <c r="M893" s="82">
        <f>IF(OR(Scale!$AD230="",Scale!$AD230=0),"",Scale!$AF230)</f>
        <v/>
      </c>
      <c r="N893" s="81">
        <f>IF(OR(Scale!$AD230="",Scale!$AD230=0),"","مقابل پوز")</f>
        <v/>
      </c>
      <c r="O893" s="81">
        <f>IF(OR(Scale!$AD230="",Scale!$AD230=0),"",IFERROR(VLOOKUP(Scale!$AD230,AcctTbl,3,0),""))</f>
        <v/>
      </c>
      <c r="P893" s="82">
        <f>IF(Scale!$AD230&lt;&gt;"X011","","BN02")</f>
        <v/>
      </c>
    </row>
    <row r="894" ht="20.25" customHeight="1">
      <c r="A894" s="80">
        <f>IF(OR(Scale!$U231="",Scale!$U231=0),"",Scale!$B231)</f>
        <v/>
      </c>
      <c r="B894" s="80">
        <f>IF(OR(Scale!$U231="",Scale!$U231=0),"",Scale!$D231)</f>
        <v/>
      </c>
      <c r="C894" s="80">
        <f>IF(OR(Scale!$U231="",Scale!$U231=0),"","باسکول")</f>
        <v/>
      </c>
      <c r="D894" s="80">
        <f>IF(OR(Scale!$U231="",Scale!$U231=0),"",Scale!$U231)</f>
        <v/>
      </c>
      <c r="E894" s="81">
        <f>IF(OR(Scale!$U231="",Scale!$U231=0),"",Scale!$T231)</f>
        <v/>
      </c>
      <c r="F894" s="81">
        <f>IF(OR(Scale!$U231="",Scale!$U231=0),"",Scale!$J231)</f>
        <v/>
      </c>
      <c r="G894" s="82">
        <f>IF(OR(Scale!$U231="",Scale!$U231=0),"",Scale!$M231)</f>
        <v/>
      </c>
      <c r="H894" s="82">
        <f>IF(OR(Scale!$U231="",Scale!$U231=0),"",Scale!$L231)</f>
        <v/>
      </c>
      <c r="I894" s="82">
        <f>IF(OR(Scale!$U231="",Scale!$U231=0),"",Scale!$N231)</f>
        <v/>
      </c>
      <c r="J894" s="82">
        <f>IF(OR(Scale!$U231="",Scale!$U231=0),"",Scale!$O231)</f>
        <v/>
      </c>
      <c r="K894" s="82">
        <f>IF(OR(Scale!$U231="",Scale!$U231=0),"",IF(Scale!$V231="",0,Scale!$V231)+IF(Scale!$W231="",0,Scale!$W231))</f>
        <v/>
      </c>
      <c r="L894" s="82">
        <f>IF(OR(Scale!$U231="",Scale!$U231=0),"",Scale!$V231)</f>
        <v/>
      </c>
      <c r="M894" s="82">
        <f>IF(OR(Scale!$U231="",Scale!$U231=0),"",Scale!$W231)</f>
        <v/>
      </c>
      <c r="N894" s="81">
        <f>IF(OR(Scale!$U231="",Scale!$U231=0),"",Scale!$E231)</f>
        <v/>
      </c>
      <c r="O894" s="81">
        <f>IF(OR(Scale!$U231="",Scale!$U231=0),"",IFERROR(VLOOKUP(Scale!$U231,AcctTbl,3,0),""))</f>
        <v/>
      </c>
      <c r="P894" s="82">
        <f>IF(Scale!$U231&lt;&gt;"X011","","BN02")</f>
        <v/>
      </c>
    </row>
    <row r="895" ht="20.25" customHeight="1">
      <c r="A895" s="80">
        <f>IF(OR(Scale!$X231="",Scale!$X231=0),"",Scale!$B231)</f>
        <v/>
      </c>
      <c r="B895" s="80">
        <f>IF(OR(Scale!$X231="",Scale!$X231=0),"",Scale!$D231)</f>
        <v/>
      </c>
      <c r="C895" s="80">
        <f>IF(OR(Scale!$X231="",Scale!$X231=0),"","باسکول")</f>
        <v/>
      </c>
      <c r="D895" s="80">
        <f>IF(OR(Scale!$X231="",Scale!$X231=0),"",Scale!$X231)</f>
        <v/>
      </c>
      <c r="E895" s="81">
        <f>IF(OR(Scale!$X231="",Scale!$X231=0),"",IF(Scale!$X231="","","مقابل: "&amp;Scale!$E231))</f>
        <v/>
      </c>
      <c r="F895" s="83" t="n"/>
      <c r="G895" s="83" t="n"/>
      <c r="H895" s="83" t="n"/>
      <c r="I895" s="83" t="n"/>
      <c r="J895" s="83" t="n"/>
      <c r="K895" s="82">
        <f>IF(OR(Scale!$X231="",Scale!$X231=0),"",IF(Scale!$Y231="",0,Scale!$Y231)+IF(Scale!$Z231="",0,Scale!$Z231))</f>
        <v/>
      </c>
      <c r="L895" s="82">
        <f>IF(OR(Scale!$X231="",Scale!$X231=0),"",Scale!$Y231)</f>
        <v/>
      </c>
      <c r="M895" s="82">
        <f>IF(OR(Scale!$X231="",Scale!$X231=0),"",Scale!$Z231)</f>
        <v/>
      </c>
      <c r="N895" s="81">
        <f>IF(OR(Scale!$X231="",Scale!$X231=0),"","مقابل")</f>
        <v/>
      </c>
      <c r="O895" s="81">
        <f>IF(OR(Scale!$X231="",Scale!$X231=0),"",IFERROR(VLOOKUP(Scale!$X231,AcctTbl,3,0),""))</f>
        <v/>
      </c>
      <c r="P895" s="82">
        <f>IF(Scale!$X231&lt;&gt;"X011","","BN02")</f>
        <v/>
      </c>
    </row>
    <row r="896" ht="20.25" customHeight="1">
      <c r="A896" s="80">
        <f>IF(OR(Scale!$AA231="",Scale!$AA231=0),"",Scale!$B231)</f>
        <v/>
      </c>
      <c r="B896" s="80">
        <f>IF(OR(Scale!$AA231="",Scale!$AA231=0),"",Scale!$D231)</f>
        <v/>
      </c>
      <c r="C896" s="80">
        <f>IF(OR(Scale!$AA231="",Scale!$AA231=0),"","باسکول")</f>
        <v/>
      </c>
      <c r="D896" s="80">
        <f>IF(OR(Scale!$AA231="",Scale!$AA231=0),"",Scale!$AA231)</f>
        <v/>
      </c>
      <c r="E896" s="81">
        <f>IF(OR(Scale!$AA231="",Scale!$AA231=0),"",IF(Scale!$AA231="","","پوز باسکول — "&amp;Scale!$E231))</f>
        <v/>
      </c>
      <c r="F896" s="83" t="n"/>
      <c r="G896" s="83" t="n"/>
      <c r="H896" s="83" t="n"/>
      <c r="I896" s="83" t="n"/>
      <c r="J896" s="83" t="n"/>
      <c r="K896" s="82">
        <f>IF(OR(Scale!$AA231="",Scale!$AA231=0),"",IF(Scale!$AB231="",0,Scale!$AB231)+IF(Scale!$AC231="",0,Scale!$AC231))</f>
        <v/>
      </c>
      <c r="L896" s="82">
        <f>IF(OR(Scale!$AA231="",Scale!$AA231=0),"",Scale!$AB231)</f>
        <v/>
      </c>
      <c r="M896" s="82">
        <f>IF(OR(Scale!$AA231="",Scale!$AA231=0),"",Scale!$AC231)</f>
        <v/>
      </c>
      <c r="N896" s="81">
        <f>IF(OR(Scale!$AA231="",Scale!$AA231=0),"","پوز")</f>
        <v/>
      </c>
      <c r="O896" s="81">
        <f>IF(OR(Scale!$AA231="",Scale!$AA231=0),"",IFERROR(VLOOKUP(Scale!$AA231,AcctTbl,3,0),""))</f>
        <v/>
      </c>
      <c r="P896" s="82">
        <f>IF(Scale!$AA231&lt;&gt;"X011","","BN02")</f>
        <v/>
      </c>
    </row>
    <row r="897" ht="20.25" customHeight="1">
      <c r="A897" s="80">
        <f>IF(OR(Scale!$AD231="",Scale!$AD231=0),"",Scale!$B231)</f>
        <v/>
      </c>
      <c r="B897" s="80">
        <f>IF(OR(Scale!$AD231="",Scale!$AD231=0),"",Scale!$D231)</f>
        <v/>
      </c>
      <c r="C897" s="80">
        <f>IF(OR(Scale!$AD231="",Scale!$AD231=0),"","باسکول")</f>
        <v/>
      </c>
      <c r="D897" s="80">
        <f>IF(OR(Scale!$AD231="",Scale!$AD231=0),"",Scale!$AD231)</f>
        <v/>
      </c>
      <c r="E897" s="81">
        <f>IF(OR(Scale!$AD231="",Scale!$AD231=0),"",IF(Scale!$AD231="","","مقابل پوز — "&amp;Scale!$E231))</f>
        <v/>
      </c>
      <c r="F897" s="83" t="n"/>
      <c r="G897" s="83" t="n"/>
      <c r="H897" s="83" t="n"/>
      <c r="I897" s="83" t="n"/>
      <c r="J897" s="83" t="n"/>
      <c r="K897" s="82">
        <f>IF(OR(Scale!$AD231="",Scale!$AD231=0),"",IF(Scale!$AE231="",0,Scale!$AE231)+IF(Scale!$AF231="",0,Scale!$AF231))</f>
        <v/>
      </c>
      <c r="L897" s="82">
        <f>IF(OR(Scale!$AD231="",Scale!$AD231=0),"",Scale!$AE231)</f>
        <v/>
      </c>
      <c r="M897" s="82">
        <f>IF(OR(Scale!$AD231="",Scale!$AD231=0),"",Scale!$AF231)</f>
        <v/>
      </c>
      <c r="N897" s="81">
        <f>IF(OR(Scale!$AD231="",Scale!$AD231=0),"","مقابل پوز")</f>
        <v/>
      </c>
      <c r="O897" s="81">
        <f>IF(OR(Scale!$AD231="",Scale!$AD231=0),"",IFERROR(VLOOKUP(Scale!$AD231,AcctTbl,3,0),""))</f>
        <v/>
      </c>
      <c r="P897" s="82">
        <f>IF(Scale!$AD231&lt;&gt;"X011","","BN02")</f>
        <v/>
      </c>
    </row>
    <row r="898" ht="20.25" customHeight="1">
      <c r="A898" s="80">
        <f>IF(OR(Scale!$U232="",Scale!$U232=0),"",Scale!$B232)</f>
        <v/>
      </c>
      <c r="B898" s="80">
        <f>IF(OR(Scale!$U232="",Scale!$U232=0),"",Scale!$D232)</f>
        <v/>
      </c>
      <c r="C898" s="80">
        <f>IF(OR(Scale!$U232="",Scale!$U232=0),"","باسکول")</f>
        <v/>
      </c>
      <c r="D898" s="80">
        <f>IF(OR(Scale!$U232="",Scale!$U232=0),"",Scale!$U232)</f>
        <v/>
      </c>
      <c r="E898" s="81">
        <f>IF(OR(Scale!$U232="",Scale!$U232=0),"",Scale!$T232)</f>
        <v/>
      </c>
      <c r="F898" s="81">
        <f>IF(OR(Scale!$U232="",Scale!$U232=0),"",Scale!$J232)</f>
        <v/>
      </c>
      <c r="G898" s="82">
        <f>IF(OR(Scale!$U232="",Scale!$U232=0),"",Scale!$M232)</f>
        <v/>
      </c>
      <c r="H898" s="82">
        <f>IF(OR(Scale!$U232="",Scale!$U232=0),"",Scale!$L232)</f>
        <v/>
      </c>
      <c r="I898" s="82">
        <f>IF(OR(Scale!$U232="",Scale!$U232=0),"",Scale!$N232)</f>
        <v/>
      </c>
      <c r="J898" s="82">
        <f>IF(OR(Scale!$U232="",Scale!$U232=0),"",Scale!$O232)</f>
        <v/>
      </c>
      <c r="K898" s="82">
        <f>IF(OR(Scale!$U232="",Scale!$U232=0),"",IF(Scale!$V232="",0,Scale!$V232)+IF(Scale!$W232="",0,Scale!$W232))</f>
        <v/>
      </c>
      <c r="L898" s="82">
        <f>IF(OR(Scale!$U232="",Scale!$U232=0),"",Scale!$V232)</f>
        <v/>
      </c>
      <c r="M898" s="82">
        <f>IF(OR(Scale!$U232="",Scale!$U232=0),"",Scale!$W232)</f>
        <v/>
      </c>
      <c r="N898" s="81">
        <f>IF(OR(Scale!$U232="",Scale!$U232=0),"",Scale!$E232)</f>
        <v/>
      </c>
      <c r="O898" s="81">
        <f>IF(OR(Scale!$U232="",Scale!$U232=0),"",IFERROR(VLOOKUP(Scale!$U232,AcctTbl,3,0),""))</f>
        <v/>
      </c>
      <c r="P898" s="82">
        <f>IF(Scale!$U232&lt;&gt;"X011","","BN02")</f>
        <v/>
      </c>
    </row>
    <row r="899" ht="20.25" customHeight="1">
      <c r="A899" s="80">
        <f>IF(OR(Scale!$X232="",Scale!$X232=0),"",Scale!$B232)</f>
        <v/>
      </c>
      <c r="B899" s="80">
        <f>IF(OR(Scale!$X232="",Scale!$X232=0),"",Scale!$D232)</f>
        <v/>
      </c>
      <c r="C899" s="80">
        <f>IF(OR(Scale!$X232="",Scale!$X232=0),"","باسکول")</f>
        <v/>
      </c>
      <c r="D899" s="80">
        <f>IF(OR(Scale!$X232="",Scale!$X232=0),"",Scale!$X232)</f>
        <v/>
      </c>
      <c r="E899" s="81">
        <f>IF(OR(Scale!$X232="",Scale!$X232=0),"",IF(Scale!$X232="","","مقابل: "&amp;Scale!$E232))</f>
        <v/>
      </c>
      <c r="F899" s="83" t="n"/>
      <c r="G899" s="83" t="n"/>
      <c r="H899" s="83" t="n"/>
      <c r="I899" s="83" t="n"/>
      <c r="J899" s="83" t="n"/>
      <c r="K899" s="82">
        <f>IF(OR(Scale!$X232="",Scale!$X232=0),"",IF(Scale!$Y232="",0,Scale!$Y232)+IF(Scale!$Z232="",0,Scale!$Z232))</f>
        <v/>
      </c>
      <c r="L899" s="82">
        <f>IF(OR(Scale!$X232="",Scale!$X232=0),"",Scale!$Y232)</f>
        <v/>
      </c>
      <c r="M899" s="82">
        <f>IF(OR(Scale!$X232="",Scale!$X232=0),"",Scale!$Z232)</f>
        <v/>
      </c>
      <c r="N899" s="81">
        <f>IF(OR(Scale!$X232="",Scale!$X232=0),"","مقابل")</f>
        <v/>
      </c>
      <c r="O899" s="81">
        <f>IF(OR(Scale!$X232="",Scale!$X232=0),"",IFERROR(VLOOKUP(Scale!$X232,AcctTbl,3,0),""))</f>
        <v/>
      </c>
      <c r="P899" s="82">
        <f>IF(Scale!$X232&lt;&gt;"X011","","BN02")</f>
        <v/>
      </c>
    </row>
    <row r="900" ht="20.25" customHeight="1">
      <c r="A900" s="80">
        <f>IF(OR(Scale!$AA232="",Scale!$AA232=0),"",Scale!$B232)</f>
        <v/>
      </c>
      <c r="B900" s="80">
        <f>IF(OR(Scale!$AA232="",Scale!$AA232=0),"",Scale!$D232)</f>
        <v/>
      </c>
      <c r="C900" s="80">
        <f>IF(OR(Scale!$AA232="",Scale!$AA232=0),"","باسکول")</f>
        <v/>
      </c>
      <c r="D900" s="80">
        <f>IF(OR(Scale!$AA232="",Scale!$AA232=0),"",Scale!$AA232)</f>
        <v/>
      </c>
      <c r="E900" s="81">
        <f>IF(OR(Scale!$AA232="",Scale!$AA232=0),"",IF(Scale!$AA232="","","پوز باسکول — "&amp;Scale!$E232))</f>
        <v/>
      </c>
      <c r="F900" s="83" t="n"/>
      <c r="G900" s="83" t="n"/>
      <c r="H900" s="83" t="n"/>
      <c r="I900" s="83" t="n"/>
      <c r="J900" s="83" t="n"/>
      <c r="K900" s="82">
        <f>IF(OR(Scale!$AA232="",Scale!$AA232=0),"",IF(Scale!$AB232="",0,Scale!$AB232)+IF(Scale!$AC232="",0,Scale!$AC232))</f>
        <v/>
      </c>
      <c r="L900" s="82">
        <f>IF(OR(Scale!$AA232="",Scale!$AA232=0),"",Scale!$AB232)</f>
        <v/>
      </c>
      <c r="M900" s="82">
        <f>IF(OR(Scale!$AA232="",Scale!$AA232=0),"",Scale!$AC232)</f>
        <v/>
      </c>
      <c r="N900" s="81">
        <f>IF(OR(Scale!$AA232="",Scale!$AA232=0),"","پوز")</f>
        <v/>
      </c>
      <c r="O900" s="81">
        <f>IF(OR(Scale!$AA232="",Scale!$AA232=0),"",IFERROR(VLOOKUP(Scale!$AA232,AcctTbl,3,0),""))</f>
        <v/>
      </c>
      <c r="P900" s="82">
        <f>IF(Scale!$AA232&lt;&gt;"X011","","BN02")</f>
        <v/>
      </c>
    </row>
    <row r="901" ht="20.25" customHeight="1">
      <c r="A901" s="80">
        <f>IF(OR(Scale!$AD232="",Scale!$AD232=0),"",Scale!$B232)</f>
        <v/>
      </c>
      <c r="B901" s="80">
        <f>IF(OR(Scale!$AD232="",Scale!$AD232=0),"",Scale!$D232)</f>
        <v/>
      </c>
      <c r="C901" s="80">
        <f>IF(OR(Scale!$AD232="",Scale!$AD232=0),"","باسکول")</f>
        <v/>
      </c>
      <c r="D901" s="80">
        <f>IF(OR(Scale!$AD232="",Scale!$AD232=0),"",Scale!$AD232)</f>
        <v/>
      </c>
      <c r="E901" s="81">
        <f>IF(OR(Scale!$AD232="",Scale!$AD232=0),"",IF(Scale!$AD232="","","مقابل پوز — "&amp;Scale!$E232))</f>
        <v/>
      </c>
      <c r="F901" s="83" t="n"/>
      <c r="G901" s="83" t="n"/>
      <c r="H901" s="83" t="n"/>
      <c r="I901" s="83" t="n"/>
      <c r="J901" s="83" t="n"/>
      <c r="K901" s="82">
        <f>IF(OR(Scale!$AD232="",Scale!$AD232=0),"",IF(Scale!$AE232="",0,Scale!$AE232)+IF(Scale!$AF232="",0,Scale!$AF232))</f>
        <v/>
      </c>
      <c r="L901" s="82">
        <f>IF(OR(Scale!$AD232="",Scale!$AD232=0),"",Scale!$AE232)</f>
        <v/>
      </c>
      <c r="M901" s="82">
        <f>IF(OR(Scale!$AD232="",Scale!$AD232=0),"",Scale!$AF232)</f>
        <v/>
      </c>
      <c r="N901" s="81">
        <f>IF(OR(Scale!$AD232="",Scale!$AD232=0),"","مقابل پوز")</f>
        <v/>
      </c>
      <c r="O901" s="81">
        <f>IF(OR(Scale!$AD232="",Scale!$AD232=0),"",IFERROR(VLOOKUP(Scale!$AD232,AcctTbl,3,0),""))</f>
        <v/>
      </c>
      <c r="P901" s="82">
        <f>IF(Scale!$AD232&lt;&gt;"X011","","BN02")</f>
        <v/>
      </c>
    </row>
    <row r="902" ht="20.25" customHeight="1">
      <c r="A902" s="80">
        <f>IF(OR(Scale!$U233="",Scale!$U233=0),"",Scale!$B233)</f>
        <v/>
      </c>
      <c r="B902" s="80">
        <f>IF(OR(Scale!$U233="",Scale!$U233=0),"",Scale!$D233)</f>
        <v/>
      </c>
      <c r="C902" s="80">
        <f>IF(OR(Scale!$U233="",Scale!$U233=0),"","باسکول")</f>
        <v/>
      </c>
      <c r="D902" s="80">
        <f>IF(OR(Scale!$U233="",Scale!$U233=0),"",Scale!$U233)</f>
        <v/>
      </c>
      <c r="E902" s="81">
        <f>IF(OR(Scale!$U233="",Scale!$U233=0),"",Scale!$T233)</f>
        <v/>
      </c>
      <c r="F902" s="81">
        <f>IF(OR(Scale!$U233="",Scale!$U233=0),"",Scale!$J233)</f>
        <v/>
      </c>
      <c r="G902" s="82">
        <f>IF(OR(Scale!$U233="",Scale!$U233=0),"",Scale!$M233)</f>
        <v/>
      </c>
      <c r="H902" s="82">
        <f>IF(OR(Scale!$U233="",Scale!$U233=0),"",Scale!$L233)</f>
        <v/>
      </c>
      <c r="I902" s="82">
        <f>IF(OR(Scale!$U233="",Scale!$U233=0),"",Scale!$N233)</f>
        <v/>
      </c>
      <c r="J902" s="82">
        <f>IF(OR(Scale!$U233="",Scale!$U233=0),"",Scale!$O233)</f>
        <v/>
      </c>
      <c r="K902" s="82">
        <f>IF(OR(Scale!$U233="",Scale!$U233=0),"",IF(Scale!$V233="",0,Scale!$V233)+IF(Scale!$W233="",0,Scale!$W233))</f>
        <v/>
      </c>
      <c r="L902" s="82">
        <f>IF(OR(Scale!$U233="",Scale!$U233=0),"",Scale!$V233)</f>
        <v/>
      </c>
      <c r="M902" s="82">
        <f>IF(OR(Scale!$U233="",Scale!$U233=0),"",Scale!$W233)</f>
        <v/>
      </c>
      <c r="N902" s="81">
        <f>IF(OR(Scale!$U233="",Scale!$U233=0),"",Scale!$E233)</f>
        <v/>
      </c>
      <c r="O902" s="81">
        <f>IF(OR(Scale!$U233="",Scale!$U233=0),"",IFERROR(VLOOKUP(Scale!$U233,AcctTbl,3,0),""))</f>
        <v/>
      </c>
      <c r="P902" s="82">
        <f>IF(Scale!$U233&lt;&gt;"X011","","BN02")</f>
        <v/>
      </c>
    </row>
    <row r="903" ht="20.25" customHeight="1">
      <c r="A903" s="80">
        <f>IF(OR(Scale!$X233="",Scale!$X233=0),"",Scale!$B233)</f>
        <v/>
      </c>
      <c r="B903" s="80">
        <f>IF(OR(Scale!$X233="",Scale!$X233=0),"",Scale!$D233)</f>
        <v/>
      </c>
      <c r="C903" s="80">
        <f>IF(OR(Scale!$X233="",Scale!$X233=0),"","باسکول")</f>
        <v/>
      </c>
      <c r="D903" s="80">
        <f>IF(OR(Scale!$X233="",Scale!$X233=0),"",Scale!$X233)</f>
        <v/>
      </c>
      <c r="E903" s="81">
        <f>IF(OR(Scale!$X233="",Scale!$X233=0),"",IF(Scale!$X233="","","مقابل: "&amp;Scale!$E233))</f>
        <v/>
      </c>
      <c r="F903" s="83" t="n"/>
      <c r="G903" s="83" t="n"/>
      <c r="H903" s="83" t="n"/>
      <c r="I903" s="83" t="n"/>
      <c r="J903" s="83" t="n"/>
      <c r="K903" s="82">
        <f>IF(OR(Scale!$X233="",Scale!$X233=0),"",IF(Scale!$Y233="",0,Scale!$Y233)+IF(Scale!$Z233="",0,Scale!$Z233))</f>
        <v/>
      </c>
      <c r="L903" s="82">
        <f>IF(OR(Scale!$X233="",Scale!$X233=0),"",Scale!$Y233)</f>
        <v/>
      </c>
      <c r="M903" s="82">
        <f>IF(OR(Scale!$X233="",Scale!$X233=0),"",Scale!$Z233)</f>
        <v/>
      </c>
      <c r="N903" s="81">
        <f>IF(OR(Scale!$X233="",Scale!$X233=0),"","مقابل")</f>
        <v/>
      </c>
      <c r="O903" s="81">
        <f>IF(OR(Scale!$X233="",Scale!$X233=0),"",IFERROR(VLOOKUP(Scale!$X233,AcctTbl,3,0),""))</f>
        <v/>
      </c>
      <c r="P903" s="82">
        <f>IF(Scale!$X233&lt;&gt;"X011","","BN02")</f>
        <v/>
      </c>
    </row>
    <row r="904" ht="20.25" customHeight="1">
      <c r="A904" s="80">
        <f>IF(OR(Scale!$AA233="",Scale!$AA233=0),"",Scale!$B233)</f>
        <v/>
      </c>
      <c r="B904" s="80">
        <f>IF(OR(Scale!$AA233="",Scale!$AA233=0),"",Scale!$D233)</f>
        <v/>
      </c>
      <c r="C904" s="80">
        <f>IF(OR(Scale!$AA233="",Scale!$AA233=0),"","باسکول")</f>
        <v/>
      </c>
      <c r="D904" s="80">
        <f>IF(OR(Scale!$AA233="",Scale!$AA233=0),"",Scale!$AA233)</f>
        <v/>
      </c>
      <c r="E904" s="81">
        <f>IF(OR(Scale!$AA233="",Scale!$AA233=0),"",IF(Scale!$AA233="","","پوز باسکول — "&amp;Scale!$E233))</f>
        <v/>
      </c>
      <c r="F904" s="83" t="n"/>
      <c r="G904" s="83" t="n"/>
      <c r="H904" s="83" t="n"/>
      <c r="I904" s="83" t="n"/>
      <c r="J904" s="83" t="n"/>
      <c r="K904" s="82">
        <f>IF(OR(Scale!$AA233="",Scale!$AA233=0),"",IF(Scale!$AB233="",0,Scale!$AB233)+IF(Scale!$AC233="",0,Scale!$AC233))</f>
        <v/>
      </c>
      <c r="L904" s="82">
        <f>IF(OR(Scale!$AA233="",Scale!$AA233=0),"",Scale!$AB233)</f>
        <v/>
      </c>
      <c r="M904" s="82">
        <f>IF(OR(Scale!$AA233="",Scale!$AA233=0),"",Scale!$AC233)</f>
        <v/>
      </c>
      <c r="N904" s="81">
        <f>IF(OR(Scale!$AA233="",Scale!$AA233=0),"","پوز")</f>
        <v/>
      </c>
      <c r="O904" s="81">
        <f>IF(OR(Scale!$AA233="",Scale!$AA233=0),"",IFERROR(VLOOKUP(Scale!$AA233,AcctTbl,3,0),""))</f>
        <v/>
      </c>
      <c r="P904" s="82">
        <f>IF(Scale!$AA233&lt;&gt;"X011","","BN02")</f>
        <v/>
      </c>
    </row>
    <row r="905" ht="20.25" customHeight="1">
      <c r="A905" s="80">
        <f>IF(OR(Scale!$AD233="",Scale!$AD233=0),"",Scale!$B233)</f>
        <v/>
      </c>
      <c r="B905" s="80">
        <f>IF(OR(Scale!$AD233="",Scale!$AD233=0),"",Scale!$D233)</f>
        <v/>
      </c>
      <c r="C905" s="80">
        <f>IF(OR(Scale!$AD233="",Scale!$AD233=0),"","باسکول")</f>
        <v/>
      </c>
      <c r="D905" s="80">
        <f>IF(OR(Scale!$AD233="",Scale!$AD233=0),"",Scale!$AD233)</f>
        <v/>
      </c>
      <c r="E905" s="81">
        <f>IF(OR(Scale!$AD233="",Scale!$AD233=0),"",IF(Scale!$AD233="","","مقابل پوز — "&amp;Scale!$E233))</f>
        <v/>
      </c>
      <c r="F905" s="83" t="n"/>
      <c r="G905" s="83" t="n"/>
      <c r="H905" s="83" t="n"/>
      <c r="I905" s="83" t="n"/>
      <c r="J905" s="83" t="n"/>
      <c r="K905" s="82">
        <f>IF(OR(Scale!$AD233="",Scale!$AD233=0),"",IF(Scale!$AE233="",0,Scale!$AE233)+IF(Scale!$AF233="",0,Scale!$AF233))</f>
        <v/>
      </c>
      <c r="L905" s="82">
        <f>IF(OR(Scale!$AD233="",Scale!$AD233=0),"",Scale!$AE233)</f>
        <v/>
      </c>
      <c r="M905" s="82">
        <f>IF(OR(Scale!$AD233="",Scale!$AD233=0),"",Scale!$AF233)</f>
        <v/>
      </c>
      <c r="N905" s="81">
        <f>IF(OR(Scale!$AD233="",Scale!$AD233=0),"","مقابل پوز")</f>
        <v/>
      </c>
      <c r="O905" s="81">
        <f>IF(OR(Scale!$AD233="",Scale!$AD233=0),"",IFERROR(VLOOKUP(Scale!$AD233,AcctTbl,3,0),""))</f>
        <v/>
      </c>
      <c r="P905" s="82">
        <f>IF(Scale!$AD233&lt;&gt;"X011","","BN02")</f>
        <v/>
      </c>
    </row>
    <row r="906" ht="20.25" customHeight="1">
      <c r="A906" s="80">
        <f>IF(OR(Scale!$U234="",Scale!$U234=0),"",Scale!$B234)</f>
        <v/>
      </c>
      <c r="B906" s="80">
        <f>IF(OR(Scale!$U234="",Scale!$U234=0),"",Scale!$D234)</f>
        <v/>
      </c>
      <c r="C906" s="80">
        <f>IF(OR(Scale!$U234="",Scale!$U234=0),"","باسکول")</f>
        <v/>
      </c>
      <c r="D906" s="80">
        <f>IF(OR(Scale!$U234="",Scale!$U234=0),"",Scale!$U234)</f>
        <v/>
      </c>
      <c r="E906" s="81">
        <f>IF(OR(Scale!$U234="",Scale!$U234=0),"",Scale!$T234)</f>
        <v/>
      </c>
      <c r="F906" s="81">
        <f>IF(OR(Scale!$U234="",Scale!$U234=0),"",Scale!$J234)</f>
        <v/>
      </c>
      <c r="G906" s="82">
        <f>IF(OR(Scale!$U234="",Scale!$U234=0),"",Scale!$M234)</f>
        <v/>
      </c>
      <c r="H906" s="82">
        <f>IF(OR(Scale!$U234="",Scale!$U234=0),"",Scale!$L234)</f>
        <v/>
      </c>
      <c r="I906" s="82">
        <f>IF(OR(Scale!$U234="",Scale!$U234=0),"",Scale!$N234)</f>
        <v/>
      </c>
      <c r="J906" s="82">
        <f>IF(OR(Scale!$U234="",Scale!$U234=0),"",Scale!$O234)</f>
        <v/>
      </c>
      <c r="K906" s="82">
        <f>IF(OR(Scale!$U234="",Scale!$U234=0),"",IF(Scale!$V234="",0,Scale!$V234)+IF(Scale!$W234="",0,Scale!$W234))</f>
        <v/>
      </c>
      <c r="L906" s="82">
        <f>IF(OR(Scale!$U234="",Scale!$U234=0),"",Scale!$V234)</f>
        <v/>
      </c>
      <c r="M906" s="82">
        <f>IF(OR(Scale!$U234="",Scale!$U234=0),"",Scale!$W234)</f>
        <v/>
      </c>
      <c r="N906" s="81">
        <f>IF(OR(Scale!$U234="",Scale!$U234=0),"",Scale!$E234)</f>
        <v/>
      </c>
      <c r="O906" s="81">
        <f>IF(OR(Scale!$U234="",Scale!$U234=0),"",IFERROR(VLOOKUP(Scale!$U234,AcctTbl,3,0),""))</f>
        <v/>
      </c>
      <c r="P906" s="82">
        <f>IF(Scale!$U234&lt;&gt;"X011","","BN02")</f>
        <v/>
      </c>
    </row>
    <row r="907" ht="20.25" customHeight="1">
      <c r="A907" s="80">
        <f>IF(OR(Scale!$X234="",Scale!$X234=0),"",Scale!$B234)</f>
        <v/>
      </c>
      <c r="B907" s="80">
        <f>IF(OR(Scale!$X234="",Scale!$X234=0),"",Scale!$D234)</f>
        <v/>
      </c>
      <c r="C907" s="80">
        <f>IF(OR(Scale!$X234="",Scale!$X234=0),"","باسکول")</f>
        <v/>
      </c>
      <c r="D907" s="80">
        <f>IF(OR(Scale!$X234="",Scale!$X234=0),"",Scale!$X234)</f>
        <v/>
      </c>
      <c r="E907" s="81">
        <f>IF(OR(Scale!$X234="",Scale!$X234=0),"",IF(Scale!$X234="","","مقابل: "&amp;Scale!$E234))</f>
        <v/>
      </c>
      <c r="F907" s="83" t="n"/>
      <c r="G907" s="83" t="n"/>
      <c r="H907" s="83" t="n"/>
      <c r="I907" s="83" t="n"/>
      <c r="J907" s="83" t="n"/>
      <c r="K907" s="82">
        <f>IF(OR(Scale!$X234="",Scale!$X234=0),"",IF(Scale!$Y234="",0,Scale!$Y234)+IF(Scale!$Z234="",0,Scale!$Z234))</f>
        <v/>
      </c>
      <c r="L907" s="82">
        <f>IF(OR(Scale!$X234="",Scale!$X234=0),"",Scale!$Y234)</f>
        <v/>
      </c>
      <c r="M907" s="82">
        <f>IF(OR(Scale!$X234="",Scale!$X234=0),"",Scale!$Z234)</f>
        <v/>
      </c>
      <c r="N907" s="81">
        <f>IF(OR(Scale!$X234="",Scale!$X234=0),"","مقابل")</f>
        <v/>
      </c>
      <c r="O907" s="81">
        <f>IF(OR(Scale!$X234="",Scale!$X234=0),"",IFERROR(VLOOKUP(Scale!$X234,AcctTbl,3,0),""))</f>
        <v/>
      </c>
      <c r="P907" s="82">
        <f>IF(Scale!$X234&lt;&gt;"X011","","BN02")</f>
        <v/>
      </c>
    </row>
    <row r="908" ht="20.25" customHeight="1">
      <c r="A908" s="80">
        <f>IF(OR(Scale!$AA234="",Scale!$AA234=0),"",Scale!$B234)</f>
        <v/>
      </c>
      <c r="B908" s="80">
        <f>IF(OR(Scale!$AA234="",Scale!$AA234=0),"",Scale!$D234)</f>
        <v/>
      </c>
      <c r="C908" s="80">
        <f>IF(OR(Scale!$AA234="",Scale!$AA234=0),"","باسکول")</f>
        <v/>
      </c>
      <c r="D908" s="80">
        <f>IF(OR(Scale!$AA234="",Scale!$AA234=0),"",Scale!$AA234)</f>
        <v/>
      </c>
      <c r="E908" s="81">
        <f>IF(OR(Scale!$AA234="",Scale!$AA234=0),"",IF(Scale!$AA234="","","پوز باسکول — "&amp;Scale!$E234))</f>
        <v/>
      </c>
      <c r="F908" s="83" t="n"/>
      <c r="G908" s="83" t="n"/>
      <c r="H908" s="83" t="n"/>
      <c r="I908" s="83" t="n"/>
      <c r="J908" s="83" t="n"/>
      <c r="K908" s="82">
        <f>IF(OR(Scale!$AA234="",Scale!$AA234=0),"",IF(Scale!$AB234="",0,Scale!$AB234)+IF(Scale!$AC234="",0,Scale!$AC234))</f>
        <v/>
      </c>
      <c r="L908" s="82">
        <f>IF(OR(Scale!$AA234="",Scale!$AA234=0),"",Scale!$AB234)</f>
        <v/>
      </c>
      <c r="M908" s="82">
        <f>IF(OR(Scale!$AA234="",Scale!$AA234=0),"",Scale!$AC234)</f>
        <v/>
      </c>
      <c r="N908" s="81">
        <f>IF(OR(Scale!$AA234="",Scale!$AA234=0),"","پوز")</f>
        <v/>
      </c>
      <c r="O908" s="81">
        <f>IF(OR(Scale!$AA234="",Scale!$AA234=0),"",IFERROR(VLOOKUP(Scale!$AA234,AcctTbl,3,0),""))</f>
        <v/>
      </c>
      <c r="P908" s="82">
        <f>IF(Scale!$AA234&lt;&gt;"X011","","BN02")</f>
        <v/>
      </c>
    </row>
    <row r="909" ht="20.25" customHeight="1">
      <c r="A909" s="80">
        <f>IF(OR(Scale!$AD234="",Scale!$AD234=0),"",Scale!$B234)</f>
        <v/>
      </c>
      <c r="B909" s="80">
        <f>IF(OR(Scale!$AD234="",Scale!$AD234=0),"",Scale!$D234)</f>
        <v/>
      </c>
      <c r="C909" s="80">
        <f>IF(OR(Scale!$AD234="",Scale!$AD234=0),"","باسکول")</f>
        <v/>
      </c>
      <c r="D909" s="80">
        <f>IF(OR(Scale!$AD234="",Scale!$AD234=0),"",Scale!$AD234)</f>
        <v/>
      </c>
      <c r="E909" s="81">
        <f>IF(OR(Scale!$AD234="",Scale!$AD234=0),"",IF(Scale!$AD234="","","مقابل پوز — "&amp;Scale!$E234))</f>
        <v/>
      </c>
      <c r="F909" s="83" t="n"/>
      <c r="G909" s="83" t="n"/>
      <c r="H909" s="83" t="n"/>
      <c r="I909" s="83" t="n"/>
      <c r="J909" s="83" t="n"/>
      <c r="K909" s="82">
        <f>IF(OR(Scale!$AD234="",Scale!$AD234=0),"",IF(Scale!$AE234="",0,Scale!$AE234)+IF(Scale!$AF234="",0,Scale!$AF234))</f>
        <v/>
      </c>
      <c r="L909" s="82">
        <f>IF(OR(Scale!$AD234="",Scale!$AD234=0),"",Scale!$AE234)</f>
        <v/>
      </c>
      <c r="M909" s="82">
        <f>IF(OR(Scale!$AD234="",Scale!$AD234=0),"",Scale!$AF234)</f>
        <v/>
      </c>
      <c r="N909" s="81">
        <f>IF(OR(Scale!$AD234="",Scale!$AD234=0),"","مقابل پوز")</f>
        <v/>
      </c>
      <c r="O909" s="81">
        <f>IF(OR(Scale!$AD234="",Scale!$AD234=0),"",IFERROR(VLOOKUP(Scale!$AD234,AcctTbl,3,0),""))</f>
        <v/>
      </c>
      <c r="P909" s="82">
        <f>IF(Scale!$AD234&lt;&gt;"X011","","BN02")</f>
        <v/>
      </c>
    </row>
    <row r="910" ht="20.25" customHeight="1">
      <c r="A910" s="80">
        <f>IF(OR(Scale!$U235="",Scale!$U235=0),"",Scale!$B235)</f>
        <v/>
      </c>
      <c r="B910" s="80">
        <f>IF(OR(Scale!$U235="",Scale!$U235=0),"",Scale!$D235)</f>
        <v/>
      </c>
      <c r="C910" s="80">
        <f>IF(OR(Scale!$U235="",Scale!$U235=0),"","باسکول")</f>
        <v/>
      </c>
      <c r="D910" s="80">
        <f>IF(OR(Scale!$U235="",Scale!$U235=0),"",Scale!$U235)</f>
        <v/>
      </c>
      <c r="E910" s="81">
        <f>IF(OR(Scale!$U235="",Scale!$U235=0),"",Scale!$T235)</f>
        <v/>
      </c>
      <c r="F910" s="81">
        <f>IF(OR(Scale!$U235="",Scale!$U235=0),"",Scale!$J235)</f>
        <v/>
      </c>
      <c r="G910" s="82">
        <f>IF(OR(Scale!$U235="",Scale!$U235=0),"",Scale!$M235)</f>
        <v/>
      </c>
      <c r="H910" s="82">
        <f>IF(OR(Scale!$U235="",Scale!$U235=0),"",Scale!$L235)</f>
        <v/>
      </c>
      <c r="I910" s="82">
        <f>IF(OR(Scale!$U235="",Scale!$U235=0),"",Scale!$N235)</f>
        <v/>
      </c>
      <c r="J910" s="82">
        <f>IF(OR(Scale!$U235="",Scale!$U235=0),"",Scale!$O235)</f>
        <v/>
      </c>
      <c r="K910" s="82">
        <f>IF(OR(Scale!$U235="",Scale!$U235=0),"",IF(Scale!$V235="",0,Scale!$V235)+IF(Scale!$W235="",0,Scale!$W235))</f>
        <v/>
      </c>
      <c r="L910" s="82">
        <f>IF(OR(Scale!$U235="",Scale!$U235=0),"",Scale!$V235)</f>
        <v/>
      </c>
      <c r="M910" s="82">
        <f>IF(OR(Scale!$U235="",Scale!$U235=0),"",Scale!$W235)</f>
        <v/>
      </c>
      <c r="N910" s="81">
        <f>IF(OR(Scale!$U235="",Scale!$U235=0),"",Scale!$E235)</f>
        <v/>
      </c>
      <c r="O910" s="81">
        <f>IF(OR(Scale!$U235="",Scale!$U235=0),"",IFERROR(VLOOKUP(Scale!$U235,AcctTbl,3,0),""))</f>
        <v/>
      </c>
      <c r="P910" s="82">
        <f>IF(Scale!$U235&lt;&gt;"X011","","BN02")</f>
        <v/>
      </c>
    </row>
    <row r="911" ht="20.25" customHeight="1">
      <c r="A911" s="80">
        <f>IF(OR(Scale!$X235="",Scale!$X235=0),"",Scale!$B235)</f>
        <v/>
      </c>
      <c r="B911" s="80">
        <f>IF(OR(Scale!$X235="",Scale!$X235=0),"",Scale!$D235)</f>
        <v/>
      </c>
      <c r="C911" s="80">
        <f>IF(OR(Scale!$X235="",Scale!$X235=0),"","باسکول")</f>
        <v/>
      </c>
      <c r="D911" s="80">
        <f>IF(OR(Scale!$X235="",Scale!$X235=0),"",Scale!$X235)</f>
        <v/>
      </c>
      <c r="E911" s="81">
        <f>IF(OR(Scale!$X235="",Scale!$X235=0),"",IF(Scale!$X235="","","مقابل: "&amp;Scale!$E235))</f>
        <v/>
      </c>
      <c r="F911" s="83" t="n"/>
      <c r="G911" s="83" t="n"/>
      <c r="H911" s="83" t="n"/>
      <c r="I911" s="83" t="n"/>
      <c r="J911" s="83" t="n"/>
      <c r="K911" s="82">
        <f>IF(OR(Scale!$X235="",Scale!$X235=0),"",IF(Scale!$Y235="",0,Scale!$Y235)+IF(Scale!$Z235="",0,Scale!$Z235))</f>
        <v/>
      </c>
      <c r="L911" s="82">
        <f>IF(OR(Scale!$X235="",Scale!$X235=0),"",Scale!$Y235)</f>
        <v/>
      </c>
      <c r="M911" s="82">
        <f>IF(OR(Scale!$X235="",Scale!$X235=0),"",Scale!$Z235)</f>
        <v/>
      </c>
      <c r="N911" s="81">
        <f>IF(OR(Scale!$X235="",Scale!$X235=0),"","مقابل")</f>
        <v/>
      </c>
      <c r="O911" s="81">
        <f>IF(OR(Scale!$X235="",Scale!$X235=0),"",IFERROR(VLOOKUP(Scale!$X235,AcctTbl,3,0),""))</f>
        <v/>
      </c>
      <c r="P911" s="82">
        <f>IF(Scale!$X235&lt;&gt;"X011","","BN02")</f>
        <v/>
      </c>
    </row>
    <row r="912" ht="20.25" customHeight="1">
      <c r="A912" s="80">
        <f>IF(OR(Scale!$AA235="",Scale!$AA235=0),"",Scale!$B235)</f>
        <v/>
      </c>
      <c r="B912" s="80">
        <f>IF(OR(Scale!$AA235="",Scale!$AA235=0),"",Scale!$D235)</f>
        <v/>
      </c>
      <c r="C912" s="80">
        <f>IF(OR(Scale!$AA235="",Scale!$AA235=0),"","باسکول")</f>
        <v/>
      </c>
      <c r="D912" s="80">
        <f>IF(OR(Scale!$AA235="",Scale!$AA235=0),"",Scale!$AA235)</f>
        <v/>
      </c>
      <c r="E912" s="81">
        <f>IF(OR(Scale!$AA235="",Scale!$AA235=0),"",IF(Scale!$AA235="","","پوز باسکول — "&amp;Scale!$E235))</f>
        <v/>
      </c>
      <c r="F912" s="83" t="n"/>
      <c r="G912" s="83" t="n"/>
      <c r="H912" s="83" t="n"/>
      <c r="I912" s="83" t="n"/>
      <c r="J912" s="83" t="n"/>
      <c r="K912" s="82">
        <f>IF(OR(Scale!$AA235="",Scale!$AA235=0),"",IF(Scale!$AB235="",0,Scale!$AB235)+IF(Scale!$AC235="",0,Scale!$AC235))</f>
        <v/>
      </c>
      <c r="L912" s="82">
        <f>IF(OR(Scale!$AA235="",Scale!$AA235=0),"",Scale!$AB235)</f>
        <v/>
      </c>
      <c r="M912" s="82">
        <f>IF(OR(Scale!$AA235="",Scale!$AA235=0),"",Scale!$AC235)</f>
        <v/>
      </c>
      <c r="N912" s="81">
        <f>IF(OR(Scale!$AA235="",Scale!$AA235=0),"","پوز")</f>
        <v/>
      </c>
      <c r="O912" s="81">
        <f>IF(OR(Scale!$AA235="",Scale!$AA235=0),"",IFERROR(VLOOKUP(Scale!$AA235,AcctTbl,3,0),""))</f>
        <v/>
      </c>
      <c r="P912" s="82">
        <f>IF(Scale!$AA235&lt;&gt;"X011","","BN02")</f>
        <v/>
      </c>
    </row>
    <row r="913" ht="20.25" customHeight="1">
      <c r="A913" s="80">
        <f>IF(OR(Scale!$AD235="",Scale!$AD235=0),"",Scale!$B235)</f>
        <v/>
      </c>
      <c r="B913" s="80">
        <f>IF(OR(Scale!$AD235="",Scale!$AD235=0),"",Scale!$D235)</f>
        <v/>
      </c>
      <c r="C913" s="80">
        <f>IF(OR(Scale!$AD235="",Scale!$AD235=0),"","باسکول")</f>
        <v/>
      </c>
      <c r="D913" s="80">
        <f>IF(OR(Scale!$AD235="",Scale!$AD235=0),"",Scale!$AD235)</f>
        <v/>
      </c>
      <c r="E913" s="81">
        <f>IF(OR(Scale!$AD235="",Scale!$AD235=0),"",IF(Scale!$AD235="","","مقابل پوز — "&amp;Scale!$E235))</f>
        <v/>
      </c>
      <c r="F913" s="83" t="n"/>
      <c r="G913" s="83" t="n"/>
      <c r="H913" s="83" t="n"/>
      <c r="I913" s="83" t="n"/>
      <c r="J913" s="83" t="n"/>
      <c r="K913" s="82">
        <f>IF(OR(Scale!$AD235="",Scale!$AD235=0),"",IF(Scale!$AE235="",0,Scale!$AE235)+IF(Scale!$AF235="",0,Scale!$AF235))</f>
        <v/>
      </c>
      <c r="L913" s="82">
        <f>IF(OR(Scale!$AD235="",Scale!$AD235=0),"",Scale!$AE235)</f>
        <v/>
      </c>
      <c r="M913" s="82">
        <f>IF(OR(Scale!$AD235="",Scale!$AD235=0),"",Scale!$AF235)</f>
        <v/>
      </c>
      <c r="N913" s="81">
        <f>IF(OR(Scale!$AD235="",Scale!$AD235=0),"","مقابل پوز")</f>
        <v/>
      </c>
      <c r="O913" s="81">
        <f>IF(OR(Scale!$AD235="",Scale!$AD235=0),"",IFERROR(VLOOKUP(Scale!$AD235,AcctTbl,3,0),""))</f>
        <v/>
      </c>
      <c r="P913" s="82">
        <f>IF(Scale!$AD235&lt;&gt;"X011","","BN02")</f>
        <v/>
      </c>
    </row>
    <row r="914" ht="20.25" customHeight="1">
      <c r="A914" s="80">
        <f>IF(OR(Scale!$U236="",Scale!$U236=0),"",Scale!$B236)</f>
        <v/>
      </c>
      <c r="B914" s="80">
        <f>IF(OR(Scale!$U236="",Scale!$U236=0),"",Scale!$D236)</f>
        <v/>
      </c>
      <c r="C914" s="80">
        <f>IF(OR(Scale!$U236="",Scale!$U236=0),"","باسکول")</f>
        <v/>
      </c>
      <c r="D914" s="80">
        <f>IF(OR(Scale!$U236="",Scale!$U236=0),"",Scale!$U236)</f>
        <v/>
      </c>
      <c r="E914" s="81">
        <f>IF(OR(Scale!$U236="",Scale!$U236=0),"",Scale!$T236)</f>
        <v/>
      </c>
      <c r="F914" s="81">
        <f>IF(OR(Scale!$U236="",Scale!$U236=0),"",Scale!$J236)</f>
        <v/>
      </c>
      <c r="G914" s="82">
        <f>IF(OR(Scale!$U236="",Scale!$U236=0),"",Scale!$M236)</f>
        <v/>
      </c>
      <c r="H914" s="82">
        <f>IF(OR(Scale!$U236="",Scale!$U236=0),"",Scale!$L236)</f>
        <v/>
      </c>
      <c r="I914" s="82">
        <f>IF(OR(Scale!$U236="",Scale!$U236=0),"",Scale!$N236)</f>
        <v/>
      </c>
      <c r="J914" s="82">
        <f>IF(OR(Scale!$U236="",Scale!$U236=0),"",Scale!$O236)</f>
        <v/>
      </c>
      <c r="K914" s="82">
        <f>IF(OR(Scale!$U236="",Scale!$U236=0),"",IF(Scale!$V236="",0,Scale!$V236)+IF(Scale!$W236="",0,Scale!$W236))</f>
        <v/>
      </c>
      <c r="L914" s="82">
        <f>IF(OR(Scale!$U236="",Scale!$U236=0),"",Scale!$V236)</f>
        <v/>
      </c>
      <c r="M914" s="82">
        <f>IF(OR(Scale!$U236="",Scale!$U236=0),"",Scale!$W236)</f>
        <v/>
      </c>
      <c r="N914" s="81">
        <f>IF(OR(Scale!$U236="",Scale!$U236=0),"",Scale!$E236)</f>
        <v/>
      </c>
      <c r="O914" s="81">
        <f>IF(OR(Scale!$U236="",Scale!$U236=0),"",IFERROR(VLOOKUP(Scale!$U236,AcctTbl,3,0),""))</f>
        <v/>
      </c>
      <c r="P914" s="82">
        <f>IF(Scale!$U236&lt;&gt;"X011","","BN02")</f>
        <v/>
      </c>
    </row>
    <row r="915" ht="20.25" customHeight="1">
      <c r="A915" s="80">
        <f>IF(OR(Scale!$X236="",Scale!$X236=0),"",Scale!$B236)</f>
        <v/>
      </c>
      <c r="B915" s="80">
        <f>IF(OR(Scale!$X236="",Scale!$X236=0),"",Scale!$D236)</f>
        <v/>
      </c>
      <c r="C915" s="80">
        <f>IF(OR(Scale!$X236="",Scale!$X236=0),"","باسکول")</f>
        <v/>
      </c>
      <c r="D915" s="80">
        <f>IF(OR(Scale!$X236="",Scale!$X236=0),"",Scale!$X236)</f>
        <v/>
      </c>
      <c r="E915" s="81">
        <f>IF(OR(Scale!$X236="",Scale!$X236=0),"",IF(Scale!$X236="","","مقابل: "&amp;Scale!$E236))</f>
        <v/>
      </c>
      <c r="F915" s="83" t="n"/>
      <c r="G915" s="83" t="n"/>
      <c r="H915" s="83" t="n"/>
      <c r="I915" s="83" t="n"/>
      <c r="J915" s="83" t="n"/>
      <c r="K915" s="82">
        <f>IF(OR(Scale!$X236="",Scale!$X236=0),"",IF(Scale!$Y236="",0,Scale!$Y236)+IF(Scale!$Z236="",0,Scale!$Z236))</f>
        <v/>
      </c>
      <c r="L915" s="82">
        <f>IF(OR(Scale!$X236="",Scale!$X236=0),"",Scale!$Y236)</f>
        <v/>
      </c>
      <c r="M915" s="82">
        <f>IF(OR(Scale!$X236="",Scale!$X236=0),"",Scale!$Z236)</f>
        <v/>
      </c>
      <c r="N915" s="81">
        <f>IF(OR(Scale!$X236="",Scale!$X236=0),"","مقابل")</f>
        <v/>
      </c>
      <c r="O915" s="81">
        <f>IF(OR(Scale!$X236="",Scale!$X236=0),"",IFERROR(VLOOKUP(Scale!$X236,AcctTbl,3,0),""))</f>
        <v/>
      </c>
      <c r="P915" s="82">
        <f>IF(Scale!$X236&lt;&gt;"X011","","BN02")</f>
        <v/>
      </c>
    </row>
    <row r="916" ht="20.25" customHeight="1">
      <c r="A916" s="80">
        <f>IF(OR(Scale!$AA236="",Scale!$AA236=0),"",Scale!$B236)</f>
        <v/>
      </c>
      <c r="B916" s="80">
        <f>IF(OR(Scale!$AA236="",Scale!$AA236=0),"",Scale!$D236)</f>
        <v/>
      </c>
      <c r="C916" s="80">
        <f>IF(OR(Scale!$AA236="",Scale!$AA236=0),"","باسکول")</f>
        <v/>
      </c>
      <c r="D916" s="80">
        <f>IF(OR(Scale!$AA236="",Scale!$AA236=0),"",Scale!$AA236)</f>
        <v/>
      </c>
      <c r="E916" s="81">
        <f>IF(OR(Scale!$AA236="",Scale!$AA236=0),"",IF(Scale!$AA236="","","پوز باسکول — "&amp;Scale!$E236))</f>
        <v/>
      </c>
      <c r="F916" s="83" t="n"/>
      <c r="G916" s="83" t="n"/>
      <c r="H916" s="83" t="n"/>
      <c r="I916" s="83" t="n"/>
      <c r="J916" s="83" t="n"/>
      <c r="K916" s="82">
        <f>IF(OR(Scale!$AA236="",Scale!$AA236=0),"",IF(Scale!$AB236="",0,Scale!$AB236)+IF(Scale!$AC236="",0,Scale!$AC236))</f>
        <v/>
      </c>
      <c r="L916" s="82">
        <f>IF(OR(Scale!$AA236="",Scale!$AA236=0),"",Scale!$AB236)</f>
        <v/>
      </c>
      <c r="M916" s="82">
        <f>IF(OR(Scale!$AA236="",Scale!$AA236=0),"",Scale!$AC236)</f>
        <v/>
      </c>
      <c r="N916" s="81">
        <f>IF(OR(Scale!$AA236="",Scale!$AA236=0),"","پوز")</f>
        <v/>
      </c>
      <c r="O916" s="81">
        <f>IF(OR(Scale!$AA236="",Scale!$AA236=0),"",IFERROR(VLOOKUP(Scale!$AA236,AcctTbl,3,0),""))</f>
        <v/>
      </c>
      <c r="P916" s="82">
        <f>IF(Scale!$AA236&lt;&gt;"X011","","BN02")</f>
        <v/>
      </c>
    </row>
    <row r="917" ht="20.25" customHeight="1">
      <c r="A917" s="80">
        <f>IF(OR(Scale!$AD236="",Scale!$AD236=0),"",Scale!$B236)</f>
        <v/>
      </c>
      <c r="B917" s="80">
        <f>IF(OR(Scale!$AD236="",Scale!$AD236=0),"",Scale!$D236)</f>
        <v/>
      </c>
      <c r="C917" s="80">
        <f>IF(OR(Scale!$AD236="",Scale!$AD236=0),"","باسکول")</f>
        <v/>
      </c>
      <c r="D917" s="80">
        <f>IF(OR(Scale!$AD236="",Scale!$AD236=0),"",Scale!$AD236)</f>
        <v/>
      </c>
      <c r="E917" s="81">
        <f>IF(OR(Scale!$AD236="",Scale!$AD236=0),"",IF(Scale!$AD236="","","مقابل پوز — "&amp;Scale!$E236))</f>
        <v/>
      </c>
      <c r="F917" s="83" t="n"/>
      <c r="G917" s="83" t="n"/>
      <c r="H917" s="83" t="n"/>
      <c r="I917" s="83" t="n"/>
      <c r="J917" s="83" t="n"/>
      <c r="K917" s="82">
        <f>IF(OR(Scale!$AD236="",Scale!$AD236=0),"",IF(Scale!$AE236="",0,Scale!$AE236)+IF(Scale!$AF236="",0,Scale!$AF236))</f>
        <v/>
      </c>
      <c r="L917" s="82">
        <f>IF(OR(Scale!$AD236="",Scale!$AD236=0),"",Scale!$AE236)</f>
        <v/>
      </c>
      <c r="M917" s="82">
        <f>IF(OR(Scale!$AD236="",Scale!$AD236=0),"",Scale!$AF236)</f>
        <v/>
      </c>
      <c r="N917" s="81">
        <f>IF(OR(Scale!$AD236="",Scale!$AD236=0),"","مقابل پوز")</f>
        <v/>
      </c>
      <c r="O917" s="81">
        <f>IF(OR(Scale!$AD236="",Scale!$AD236=0),"",IFERROR(VLOOKUP(Scale!$AD236,AcctTbl,3,0),""))</f>
        <v/>
      </c>
      <c r="P917" s="82">
        <f>IF(Scale!$AD236&lt;&gt;"X011","","BN02")</f>
        <v/>
      </c>
    </row>
    <row r="918" ht="20.25" customHeight="1">
      <c r="A918" s="80">
        <f>IF(OR(Scale!$U237="",Scale!$U237=0),"",Scale!$B237)</f>
        <v/>
      </c>
      <c r="B918" s="80">
        <f>IF(OR(Scale!$U237="",Scale!$U237=0),"",Scale!$D237)</f>
        <v/>
      </c>
      <c r="C918" s="80">
        <f>IF(OR(Scale!$U237="",Scale!$U237=0),"","باسکول")</f>
        <v/>
      </c>
      <c r="D918" s="80">
        <f>IF(OR(Scale!$U237="",Scale!$U237=0),"",Scale!$U237)</f>
        <v/>
      </c>
      <c r="E918" s="81">
        <f>IF(OR(Scale!$U237="",Scale!$U237=0),"",Scale!$T237)</f>
        <v/>
      </c>
      <c r="F918" s="81">
        <f>IF(OR(Scale!$U237="",Scale!$U237=0),"",Scale!$J237)</f>
        <v/>
      </c>
      <c r="G918" s="82">
        <f>IF(OR(Scale!$U237="",Scale!$U237=0),"",Scale!$M237)</f>
        <v/>
      </c>
      <c r="H918" s="82">
        <f>IF(OR(Scale!$U237="",Scale!$U237=0),"",Scale!$L237)</f>
        <v/>
      </c>
      <c r="I918" s="82">
        <f>IF(OR(Scale!$U237="",Scale!$U237=0),"",Scale!$N237)</f>
        <v/>
      </c>
      <c r="J918" s="82">
        <f>IF(OR(Scale!$U237="",Scale!$U237=0),"",Scale!$O237)</f>
        <v/>
      </c>
      <c r="K918" s="82">
        <f>IF(OR(Scale!$U237="",Scale!$U237=0),"",IF(Scale!$V237="",0,Scale!$V237)+IF(Scale!$W237="",0,Scale!$W237))</f>
        <v/>
      </c>
      <c r="L918" s="82">
        <f>IF(OR(Scale!$U237="",Scale!$U237=0),"",Scale!$V237)</f>
        <v/>
      </c>
      <c r="M918" s="82">
        <f>IF(OR(Scale!$U237="",Scale!$U237=0),"",Scale!$W237)</f>
        <v/>
      </c>
      <c r="N918" s="81">
        <f>IF(OR(Scale!$U237="",Scale!$U237=0),"",Scale!$E237)</f>
        <v/>
      </c>
      <c r="O918" s="81">
        <f>IF(OR(Scale!$U237="",Scale!$U237=0),"",IFERROR(VLOOKUP(Scale!$U237,AcctTbl,3,0),""))</f>
        <v/>
      </c>
      <c r="P918" s="82">
        <f>IF(Scale!$U237&lt;&gt;"X011","","BN02")</f>
        <v/>
      </c>
    </row>
    <row r="919" ht="20.25" customHeight="1">
      <c r="A919" s="80">
        <f>IF(OR(Scale!$X237="",Scale!$X237=0),"",Scale!$B237)</f>
        <v/>
      </c>
      <c r="B919" s="80">
        <f>IF(OR(Scale!$X237="",Scale!$X237=0),"",Scale!$D237)</f>
        <v/>
      </c>
      <c r="C919" s="80">
        <f>IF(OR(Scale!$X237="",Scale!$X237=0),"","باسکول")</f>
        <v/>
      </c>
      <c r="D919" s="80">
        <f>IF(OR(Scale!$X237="",Scale!$X237=0),"",Scale!$X237)</f>
        <v/>
      </c>
      <c r="E919" s="81">
        <f>IF(OR(Scale!$X237="",Scale!$X237=0),"",IF(Scale!$X237="","","مقابل: "&amp;Scale!$E237))</f>
        <v/>
      </c>
      <c r="F919" s="83" t="n"/>
      <c r="G919" s="83" t="n"/>
      <c r="H919" s="83" t="n"/>
      <c r="I919" s="83" t="n"/>
      <c r="J919" s="83" t="n"/>
      <c r="K919" s="82">
        <f>IF(OR(Scale!$X237="",Scale!$X237=0),"",IF(Scale!$Y237="",0,Scale!$Y237)+IF(Scale!$Z237="",0,Scale!$Z237))</f>
        <v/>
      </c>
      <c r="L919" s="82">
        <f>IF(OR(Scale!$X237="",Scale!$X237=0),"",Scale!$Y237)</f>
        <v/>
      </c>
      <c r="M919" s="82">
        <f>IF(OR(Scale!$X237="",Scale!$X237=0),"",Scale!$Z237)</f>
        <v/>
      </c>
      <c r="N919" s="81">
        <f>IF(OR(Scale!$X237="",Scale!$X237=0),"","مقابل")</f>
        <v/>
      </c>
      <c r="O919" s="81">
        <f>IF(OR(Scale!$X237="",Scale!$X237=0),"",IFERROR(VLOOKUP(Scale!$X237,AcctTbl,3,0),""))</f>
        <v/>
      </c>
      <c r="P919" s="82">
        <f>IF(Scale!$X237&lt;&gt;"X011","","BN02")</f>
        <v/>
      </c>
    </row>
    <row r="920" ht="20.25" customHeight="1">
      <c r="A920" s="80">
        <f>IF(OR(Scale!$AA237="",Scale!$AA237=0),"",Scale!$B237)</f>
        <v/>
      </c>
      <c r="B920" s="80">
        <f>IF(OR(Scale!$AA237="",Scale!$AA237=0),"",Scale!$D237)</f>
        <v/>
      </c>
      <c r="C920" s="80">
        <f>IF(OR(Scale!$AA237="",Scale!$AA237=0),"","باسکول")</f>
        <v/>
      </c>
      <c r="D920" s="80">
        <f>IF(OR(Scale!$AA237="",Scale!$AA237=0),"",Scale!$AA237)</f>
        <v/>
      </c>
      <c r="E920" s="81">
        <f>IF(OR(Scale!$AA237="",Scale!$AA237=0),"",IF(Scale!$AA237="","","پوز باسکول — "&amp;Scale!$E237))</f>
        <v/>
      </c>
      <c r="F920" s="83" t="n"/>
      <c r="G920" s="83" t="n"/>
      <c r="H920" s="83" t="n"/>
      <c r="I920" s="83" t="n"/>
      <c r="J920" s="83" t="n"/>
      <c r="K920" s="82">
        <f>IF(OR(Scale!$AA237="",Scale!$AA237=0),"",IF(Scale!$AB237="",0,Scale!$AB237)+IF(Scale!$AC237="",0,Scale!$AC237))</f>
        <v/>
      </c>
      <c r="L920" s="82">
        <f>IF(OR(Scale!$AA237="",Scale!$AA237=0),"",Scale!$AB237)</f>
        <v/>
      </c>
      <c r="M920" s="82">
        <f>IF(OR(Scale!$AA237="",Scale!$AA237=0),"",Scale!$AC237)</f>
        <v/>
      </c>
      <c r="N920" s="81">
        <f>IF(OR(Scale!$AA237="",Scale!$AA237=0),"","پوز")</f>
        <v/>
      </c>
      <c r="O920" s="81">
        <f>IF(OR(Scale!$AA237="",Scale!$AA237=0),"",IFERROR(VLOOKUP(Scale!$AA237,AcctTbl,3,0),""))</f>
        <v/>
      </c>
      <c r="P920" s="82">
        <f>IF(Scale!$AA237&lt;&gt;"X011","","BN02")</f>
        <v/>
      </c>
    </row>
    <row r="921" ht="20.25" customHeight="1">
      <c r="A921" s="80">
        <f>IF(OR(Scale!$AD237="",Scale!$AD237=0),"",Scale!$B237)</f>
        <v/>
      </c>
      <c r="B921" s="80">
        <f>IF(OR(Scale!$AD237="",Scale!$AD237=0),"",Scale!$D237)</f>
        <v/>
      </c>
      <c r="C921" s="80">
        <f>IF(OR(Scale!$AD237="",Scale!$AD237=0),"","باسکول")</f>
        <v/>
      </c>
      <c r="D921" s="80">
        <f>IF(OR(Scale!$AD237="",Scale!$AD237=0),"",Scale!$AD237)</f>
        <v/>
      </c>
      <c r="E921" s="81">
        <f>IF(OR(Scale!$AD237="",Scale!$AD237=0),"",IF(Scale!$AD237="","","مقابل پوز — "&amp;Scale!$E237))</f>
        <v/>
      </c>
      <c r="F921" s="83" t="n"/>
      <c r="G921" s="83" t="n"/>
      <c r="H921" s="83" t="n"/>
      <c r="I921" s="83" t="n"/>
      <c r="J921" s="83" t="n"/>
      <c r="K921" s="82">
        <f>IF(OR(Scale!$AD237="",Scale!$AD237=0),"",IF(Scale!$AE237="",0,Scale!$AE237)+IF(Scale!$AF237="",0,Scale!$AF237))</f>
        <v/>
      </c>
      <c r="L921" s="82">
        <f>IF(OR(Scale!$AD237="",Scale!$AD237=0),"",Scale!$AE237)</f>
        <v/>
      </c>
      <c r="M921" s="82">
        <f>IF(OR(Scale!$AD237="",Scale!$AD237=0),"",Scale!$AF237)</f>
        <v/>
      </c>
      <c r="N921" s="81">
        <f>IF(OR(Scale!$AD237="",Scale!$AD237=0),"","مقابل پوز")</f>
        <v/>
      </c>
      <c r="O921" s="81">
        <f>IF(OR(Scale!$AD237="",Scale!$AD237=0),"",IFERROR(VLOOKUP(Scale!$AD237,AcctTbl,3,0),""))</f>
        <v/>
      </c>
      <c r="P921" s="82">
        <f>IF(Scale!$AD237&lt;&gt;"X011","","BN02")</f>
        <v/>
      </c>
    </row>
    <row r="922" ht="20.25" customHeight="1">
      <c r="A922" s="80">
        <f>IF(OR(Scale!$U238="",Scale!$U238=0),"",Scale!$B238)</f>
        <v/>
      </c>
      <c r="B922" s="80">
        <f>IF(OR(Scale!$U238="",Scale!$U238=0),"",Scale!$D238)</f>
        <v/>
      </c>
      <c r="C922" s="80">
        <f>IF(OR(Scale!$U238="",Scale!$U238=0),"","باسکول")</f>
        <v/>
      </c>
      <c r="D922" s="80">
        <f>IF(OR(Scale!$U238="",Scale!$U238=0),"",Scale!$U238)</f>
        <v/>
      </c>
      <c r="E922" s="81">
        <f>IF(OR(Scale!$U238="",Scale!$U238=0),"",Scale!$T238)</f>
        <v/>
      </c>
      <c r="F922" s="81">
        <f>IF(OR(Scale!$U238="",Scale!$U238=0),"",Scale!$J238)</f>
        <v/>
      </c>
      <c r="G922" s="82">
        <f>IF(OR(Scale!$U238="",Scale!$U238=0),"",Scale!$M238)</f>
        <v/>
      </c>
      <c r="H922" s="82">
        <f>IF(OR(Scale!$U238="",Scale!$U238=0),"",Scale!$L238)</f>
        <v/>
      </c>
      <c r="I922" s="82">
        <f>IF(OR(Scale!$U238="",Scale!$U238=0),"",Scale!$N238)</f>
        <v/>
      </c>
      <c r="J922" s="82">
        <f>IF(OR(Scale!$U238="",Scale!$U238=0),"",Scale!$O238)</f>
        <v/>
      </c>
      <c r="K922" s="82">
        <f>IF(OR(Scale!$U238="",Scale!$U238=0),"",IF(Scale!$V238="",0,Scale!$V238)+IF(Scale!$W238="",0,Scale!$W238))</f>
        <v/>
      </c>
      <c r="L922" s="82">
        <f>IF(OR(Scale!$U238="",Scale!$U238=0),"",Scale!$V238)</f>
        <v/>
      </c>
      <c r="M922" s="82">
        <f>IF(OR(Scale!$U238="",Scale!$U238=0),"",Scale!$W238)</f>
        <v/>
      </c>
      <c r="N922" s="81">
        <f>IF(OR(Scale!$U238="",Scale!$U238=0),"",Scale!$E238)</f>
        <v/>
      </c>
      <c r="O922" s="81">
        <f>IF(OR(Scale!$U238="",Scale!$U238=0),"",IFERROR(VLOOKUP(Scale!$U238,AcctTbl,3,0),""))</f>
        <v/>
      </c>
      <c r="P922" s="82">
        <f>IF(Scale!$U238&lt;&gt;"X011","","BN02")</f>
        <v/>
      </c>
    </row>
    <row r="923" ht="20.25" customHeight="1">
      <c r="A923" s="80">
        <f>IF(OR(Scale!$X238="",Scale!$X238=0),"",Scale!$B238)</f>
        <v/>
      </c>
      <c r="B923" s="80">
        <f>IF(OR(Scale!$X238="",Scale!$X238=0),"",Scale!$D238)</f>
        <v/>
      </c>
      <c r="C923" s="80">
        <f>IF(OR(Scale!$X238="",Scale!$X238=0),"","باسکول")</f>
        <v/>
      </c>
      <c r="D923" s="80">
        <f>IF(OR(Scale!$X238="",Scale!$X238=0),"",Scale!$X238)</f>
        <v/>
      </c>
      <c r="E923" s="81">
        <f>IF(OR(Scale!$X238="",Scale!$X238=0),"",IF(Scale!$X238="","","مقابل: "&amp;Scale!$E238))</f>
        <v/>
      </c>
      <c r="F923" s="83" t="n"/>
      <c r="G923" s="83" t="n"/>
      <c r="H923" s="83" t="n"/>
      <c r="I923" s="83" t="n"/>
      <c r="J923" s="83" t="n"/>
      <c r="K923" s="82">
        <f>IF(OR(Scale!$X238="",Scale!$X238=0),"",IF(Scale!$Y238="",0,Scale!$Y238)+IF(Scale!$Z238="",0,Scale!$Z238))</f>
        <v/>
      </c>
      <c r="L923" s="82">
        <f>IF(OR(Scale!$X238="",Scale!$X238=0),"",Scale!$Y238)</f>
        <v/>
      </c>
      <c r="M923" s="82">
        <f>IF(OR(Scale!$X238="",Scale!$X238=0),"",Scale!$Z238)</f>
        <v/>
      </c>
      <c r="N923" s="81">
        <f>IF(OR(Scale!$X238="",Scale!$X238=0),"","مقابل")</f>
        <v/>
      </c>
      <c r="O923" s="81">
        <f>IF(OR(Scale!$X238="",Scale!$X238=0),"",IFERROR(VLOOKUP(Scale!$X238,AcctTbl,3,0),""))</f>
        <v/>
      </c>
      <c r="P923" s="82">
        <f>IF(Scale!$X238&lt;&gt;"X011","","BN02")</f>
        <v/>
      </c>
    </row>
    <row r="924" ht="20.25" customHeight="1">
      <c r="A924" s="80">
        <f>IF(OR(Scale!$AA238="",Scale!$AA238=0),"",Scale!$B238)</f>
        <v/>
      </c>
      <c r="B924" s="80">
        <f>IF(OR(Scale!$AA238="",Scale!$AA238=0),"",Scale!$D238)</f>
        <v/>
      </c>
      <c r="C924" s="80">
        <f>IF(OR(Scale!$AA238="",Scale!$AA238=0),"","باسکول")</f>
        <v/>
      </c>
      <c r="D924" s="80">
        <f>IF(OR(Scale!$AA238="",Scale!$AA238=0),"",Scale!$AA238)</f>
        <v/>
      </c>
      <c r="E924" s="81">
        <f>IF(OR(Scale!$AA238="",Scale!$AA238=0),"",IF(Scale!$AA238="","","پوز باسکول — "&amp;Scale!$E238))</f>
        <v/>
      </c>
      <c r="F924" s="83" t="n"/>
      <c r="G924" s="83" t="n"/>
      <c r="H924" s="83" t="n"/>
      <c r="I924" s="83" t="n"/>
      <c r="J924" s="83" t="n"/>
      <c r="K924" s="82">
        <f>IF(OR(Scale!$AA238="",Scale!$AA238=0),"",IF(Scale!$AB238="",0,Scale!$AB238)+IF(Scale!$AC238="",0,Scale!$AC238))</f>
        <v/>
      </c>
      <c r="L924" s="82">
        <f>IF(OR(Scale!$AA238="",Scale!$AA238=0),"",Scale!$AB238)</f>
        <v/>
      </c>
      <c r="M924" s="82">
        <f>IF(OR(Scale!$AA238="",Scale!$AA238=0),"",Scale!$AC238)</f>
        <v/>
      </c>
      <c r="N924" s="81">
        <f>IF(OR(Scale!$AA238="",Scale!$AA238=0),"","پوز")</f>
        <v/>
      </c>
      <c r="O924" s="81">
        <f>IF(OR(Scale!$AA238="",Scale!$AA238=0),"",IFERROR(VLOOKUP(Scale!$AA238,AcctTbl,3,0),""))</f>
        <v/>
      </c>
      <c r="P924" s="82">
        <f>IF(Scale!$AA238&lt;&gt;"X011","","BN02")</f>
        <v/>
      </c>
    </row>
    <row r="925" ht="20.25" customHeight="1">
      <c r="A925" s="80">
        <f>IF(OR(Scale!$AD238="",Scale!$AD238=0),"",Scale!$B238)</f>
        <v/>
      </c>
      <c r="B925" s="80">
        <f>IF(OR(Scale!$AD238="",Scale!$AD238=0),"",Scale!$D238)</f>
        <v/>
      </c>
      <c r="C925" s="80">
        <f>IF(OR(Scale!$AD238="",Scale!$AD238=0),"","باسکول")</f>
        <v/>
      </c>
      <c r="D925" s="80">
        <f>IF(OR(Scale!$AD238="",Scale!$AD238=0),"",Scale!$AD238)</f>
        <v/>
      </c>
      <c r="E925" s="81">
        <f>IF(OR(Scale!$AD238="",Scale!$AD238=0),"",IF(Scale!$AD238="","","مقابل پوز — "&amp;Scale!$E238))</f>
        <v/>
      </c>
      <c r="F925" s="83" t="n"/>
      <c r="G925" s="83" t="n"/>
      <c r="H925" s="83" t="n"/>
      <c r="I925" s="83" t="n"/>
      <c r="J925" s="83" t="n"/>
      <c r="K925" s="82">
        <f>IF(OR(Scale!$AD238="",Scale!$AD238=0),"",IF(Scale!$AE238="",0,Scale!$AE238)+IF(Scale!$AF238="",0,Scale!$AF238))</f>
        <v/>
      </c>
      <c r="L925" s="82">
        <f>IF(OR(Scale!$AD238="",Scale!$AD238=0),"",Scale!$AE238)</f>
        <v/>
      </c>
      <c r="M925" s="82">
        <f>IF(OR(Scale!$AD238="",Scale!$AD238=0),"",Scale!$AF238)</f>
        <v/>
      </c>
      <c r="N925" s="81">
        <f>IF(OR(Scale!$AD238="",Scale!$AD238=0),"","مقابل پوز")</f>
        <v/>
      </c>
      <c r="O925" s="81">
        <f>IF(OR(Scale!$AD238="",Scale!$AD238=0),"",IFERROR(VLOOKUP(Scale!$AD238,AcctTbl,3,0),""))</f>
        <v/>
      </c>
      <c r="P925" s="82">
        <f>IF(Scale!$AD238&lt;&gt;"X011","","BN02")</f>
        <v/>
      </c>
    </row>
    <row r="926" ht="20.25" customHeight="1">
      <c r="A926" s="80">
        <f>IF(OR(Scale!$U239="",Scale!$U239=0),"",Scale!$B239)</f>
        <v/>
      </c>
      <c r="B926" s="80">
        <f>IF(OR(Scale!$U239="",Scale!$U239=0),"",Scale!$D239)</f>
        <v/>
      </c>
      <c r="C926" s="80">
        <f>IF(OR(Scale!$U239="",Scale!$U239=0),"","باسکول")</f>
        <v/>
      </c>
      <c r="D926" s="80">
        <f>IF(OR(Scale!$U239="",Scale!$U239=0),"",Scale!$U239)</f>
        <v/>
      </c>
      <c r="E926" s="81">
        <f>IF(OR(Scale!$U239="",Scale!$U239=0),"",Scale!$T239)</f>
        <v/>
      </c>
      <c r="F926" s="81">
        <f>IF(OR(Scale!$U239="",Scale!$U239=0),"",Scale!$J239)</f>
        <v/>
      </c>
      <c r="G926" s="82">
        <f>IF(OR(Scale!$U239="",Scale!$U239=0),"",Scale!$M239)</f>
        <v/>
      </c>
      <c r="H926" s="82">
        <f>IF(OR(Scale!$U239="",Scale!$U239=0),"",Scale!$L239)</f>
        <v/>
      </c>
      <c r="I926" s="82">
        <f>IF(OR(Scale!$U239="",Scale!$U239=0),"",Scale!$N239)</f>
        <v/>
      </c>
      <c r="J926" s="82">
        <f>IF(OR(Scale!$U239="",Scale!$U239=0),"",Scale!$O239)</f>
        <v/>
      </c>
      <c r="K926" s="82">
        <f>IF(OR(Scale!$U239="",Scale!$U239=0),"",IF(Scale!$V239="",0,Scale!$V239)+IF(Scale!$W239="",0,Scale!$W239))</f>
        <v/>
      </c>
      <c r="L926" s="82">
        <f>IF(OR(Scale!$U239="",Scale!$U239=0),"",Scale!$V239)</f>
        <v/>
      </c>
      <c r="M926" s="82">
        <f>IF(OR(Scale!$U239="",Scale!$U239=0),"",Scale!$W239)</f>
        <v/>
      </c>
      <c r="N926" s="81">
        <f>IF(OR(Scale!$U239="",Scale!$U239=0),"",Scale!$E239)</f>
        <v/>
      </c>
      <c r="O926" s="81">
        <f>IF(OR(Scale!$U239="",Scale!$U239=0),"",IFERROR(VLOOKUP(Scale!$U239,AcctTbl,3,0),""))</f>
        <v/>
      </c>
      <c r="P926" s="82">
        <f>IF(Scale!$U239&lt;&gt;"X011","","BN02")</f>
        <v/>
      </c>
    </row>
    <row r="927" ht="20.25" customHeight="1">
      <c r="A927" s="80">
        <f>IF(OR(Scale!$X239="",Scale!$X239=0),"",Scale!$B239)</f>
        <v/>
      </c>
      <c r="B927" s="80">
        <f>IF(OR(Scale!$X239="",Scale!$X239=0),"",Scale!$D239)</f>
        <v/>
      </c>
      <c r="C927" s="80">
        <f>IF(OR(Scale!$X239="",Scale!$X239=0),"","باسکول")</f>
        <v/>
      </c>
      <c r="D927" s="80">
        <f>IF(OR(Scale!$X239="",Scale!$X239=0),"",Scale!$X239)</f>
        <v/>
      </c>
      <c r="E927" s="81">
        <f>IF(OR(Scale!$X239="",Scale!$X239=0),"",IF(Scale!$X239="","","مقابل: "&amp;Scale!$E239))</f>
        <v/>
      </c>
      <c r="F927" s="83" t="n"/>
      <c r="G927" s="83" t="n"/>
      <c r="H927" s="83" t="n"/>
      <c r="I927" s="83" t="n"/>
      <c r="J927" s="83" t="n"/>
      <c r="K927" s="82">
        <f>IF(OR(Scale!$X239="",Scale!$X239=0),"",IF(Scale!$Y239="",0,Scale!$Y239)+IF(Scale!$Z239="",0,Scale!$Z239))</f>
        <v/>
      </c>
      <c r="L927" s="82">
        <f>IF(OR(Scale!$X239="",Scale!$X239=0),"",Scale!$Y239)</f>
        <v/>
      </c>
      <c r="M927" s="82">
        <f>IF(OR(Scale!$X239="",Scale!$X239=0),"",Scale!$Z239)</f>
        <v/>
      </c>
      <c r="N927" s="81">
        <f>IF(OR(Scale!$X239="",Scale!$X239=0),"","مقابل")</f>
        <v/>
      </c>
      <c r="O927" s="81">
        <f>IF(OR(Scale!$X239="",Scale!$X239=0),"",IFERROR(VLOOKUP(Scale!$X239,AcctTbl,3,0),""))</f>
        <v/>
      </c>
      <c r="P927" s="82">
        <f>IF(Scale!$X239&lt;&gt;"X011","","BN02")</f>
        <v/>
      </c>
    </row>
    <row r="928" ht="20.25" customHeight="1">
      <c r="A928" s="80">
        <f>IF(OR(Scale!$AA239="",Scale!$AA239=0),"",Scale!$B239)</f>
        <v/>
      </c>
      <c r="B928" s="80">
        <f>IF(OR(Scale!$AA239="",Scale!$AA239=0),"",Scale!$D239)</f>
        <v/>
      </c>
      <c r="C928" s="80">
        <f>IF(OR(Scale!$AA239="",Scale!$AA239=0),"","باسکول")</f>
        <v/>
      </c>
      <c r="D928" s="80">
        <f>IF(OR(Scale!$AA239="",Scale!$AA239=0),"",Scale!$AA239)</f>
        <v/>
      </c>
      <c r="E928" s="81">
        <f>IF(OR(Scale!$AA239="",Scale!$AA239=0),"",IF(Scale!$AA239="","","پوز باسکول — "&amp;Scale!$E239))</f>
        <v/>
      </c>
      <c r="F928" s="83" t="n"/>
      <c r="G928" s="83" t="n"/>
      <c r="H928" s="83" t="n"/>
      <c r="I928" s="83" t="n"/>
      <c r="J928" s="83" t="n"/>
      <c r="K928" s="82">
        <f>IF(OR(Scale!$AA239="",Scale!$AA239=0),"",IF(Scale!$AB239="",0,Scale!$AB239)+IF(Scale!$AC239="",0,Scale!$AC239))</f>
        <v/>
      </c>
      <c r="L928" s="82">
        <f>IF(OR(Scale!$AA239="",Scale!$AA239=0),"",Scale!$AB239)</f>
        <v/>
      </c>
      <c r="M928" s="82">
        <f>IF(OR(Scale!$AA239="",Scale!$AA239=0),"",Scale!$AC239)</f>
        <v/>
      </c>
      <c r="N928" s="81">
        <f>IF(OR(Scale!$AA239="",Scale!$AA239=0),"","پوز")</f>
        <v/>
      </c>
      <c r="O928" s="81">
        <f>IF(OR(Scale!$AA239="",Scale!$AA239=0),"",IFERROR(VLOOKUP(Scale!$AA239,AcctTbl,3,0),""))</f>
        <v/>
      </c>
      <c r="P928" s="82">
        <f>IF(Scale!$AA239&lt;&gt;"X011","","BN02")</f>
        <v/>
      </c>
    </row>
    <row r="929" ht="20.25" customHeight="1">
      <c r="A929" s="80">
        <f>IF(OR(Scale!$AD239="",Scale!$AD239=0),"",Scale!$B239)</f>
        <v/>
      </c>
      <c r="B929" s="80">
        <f>IF(OR(Scale!$AD239="",Scale!$AD239=0),"",Scale!$D239)</f>
        <v/>
      </c>
      <c r="C929" s="80">
        <f>IF(OR(Scale!$AD239="",Scale!$AD239=0),"","باسکول")</f>
        <v/>
      </c>
      <c r="D929" s="80">
        <f>IF(OR(Scale!$AD239="",Scale!$AD239=0),"",Scale!$AD239)</f>
        <v/>
      </c>
      <c r="E929" s="81">
        <f>IF(OR(Scale!$AD239="",Scale!$AD239=0),"",IF(Scale!$AD239="","","مقابل پوز — "&amp;Scale!$E239))</f>
        <v/>
      </c>
      <c r="F929" s="83" t="n"/>
      <c r="G929" s="83" t="n"/>
      <c r="H929" s="83" t="n"/>
      <c r="I929" s="83" t="n"/>
      <c r="J929" s="83" t="n"/>
      <c r="K929" s="82">
        <f>IF(OR(Scale!$AD239="",Scale!$AD239=0),"",IF(Scale!$AE239="",0,Scale!$AE239)+IF(Scale!$AF239="",0,Scale!$AF239))</f>
        <v/>
      </c>
      <c r="L929" s="82">
        <f>IF(OR(Scale!$AD239="",Scale!$AD239=0),"",Scale!$AE239)</f>
        <v/>
      </c>
      <c r="M929" s="82">
        <f>IF(OR(Scale!$AD239="",Scale!$AD239=0),"",Scale!$AF239)</f>
        <v/>
      </c>
      <c r="N929" s="81">
        <f>IF(OR(Scale!$AD239="",Scale!$AD239=0),"","مقابل پوز")</f>
        <v/>
      </c>
      <c r="O929" s="81">
        <f>IF(OR(Scale!$AD239="",Scale!$AD239=0),"",IFERROR(VLOOKUP(Scale!$AD239,AcctTbl,3,0),""))</f>
        <v/>
      </c>
      <c r="P929" s="82">
        <f>IF(Scale!$AD239&lt;&gt;"X011","","BN02")</f>
        <v/>
      </c>
    </row>
    <row r="930" ht="20.25" customHeight="1">
      <c r="A930" s="80">
        <f>IF(OR(Scale!$U240="",Scale!$U240=0),"",Scale!$B240)</f>
        <v/>
      </c>
      <c r="B930" s="80">
        <f>IF(OR(Scale!$U240="",Scale!$U240=0),"",Scale!$D240)</f>
        <v/>
      </c>
      <c r="C930" s="80">
        <f>IF(OR(Scale!$U240="",Scale!$U240=0),"","باسکول")</f>
        <v/>
      </c>
      <c r="D930" s="80">
        <f>IF(OR(Scale!$U240="",Scale!$U240=0),"",Scale!$U240)</f>
        <v/>
      </c>
      <c r="E930" s="81">
        <f>IF(OR(Scale!$U240="",Scale!$U240=0),"",Scale!$T240)</f>
        <v/>
      </c>
      <c r="F930" s="81">
        <f>IF(OR(Scale!$U240="",Scale!$U240=0),"",Scale!$J240)</f>
        <v/>
      </c>
      <c r="G930" s="82">
        <f>IF(OR(Scale!$U240="",Scale!$U240=0),"",Scale!$M240)</f>
        <v/>
      </c>
      <c r="H930" s="82">
        <f>IF(OR(Scale!$U240="",Scale!$U240=0),"",Scale!$L240)</f>
        <v/>
      </c>
      <c r="I930" s="82">
        <f>IF(OR(Scale!$U240="",Scale!$U240=0),"",Scale!$N240)</f>
        <v/>
      </c>
      <c r="J930" s="82">
        <f>IF(OR(Scale!$U240="",Scale!$U240=0),"",Scale!$O240)</f>
        <v/>
      </c>
      <c r="K930" s="82">
        <f>IF(OR(Scale!$U240="",Scale!$U240=0),"",IF(Scale!$V240="",0,Scale!$V240)+IF(Scale!$W240="",0,Scale!$W240))</f>
        <v/>
      </c>
      <c r="L930" s="82">
        <f>IF(OR(Scale!$U240="",Scale!$U240=0),"",Scale!$V240)</f>
        <v/>
      </c>
      <c r="M930" s="82">
        <f>IF(OR(Scale!$U240="",Scale!$U240=0),"",Scale!$W240)</f>
        <v/>
      </c>
      <c r="N930" s="81">
        <f>IF(OR(Scale!$U240="",Scale!$U240=0),"",Scale!$E240)</f>
        <v/>
      </c>
      <c r="O930" s="81">
        <f>IF(OR(Scale!$U240="",Scale!$U240=0),"",IFERROR(VLOOKUP(Scale!$U240,AcctTbl,3,0),""))</f>
        <v/>
      </c>
      <c r="P930" s="82">
        <f>IF(Scale!$U240&lt;&gt;"X011","","BN02")</f>
        <v/>
      </c>
    </row>
    <row r="931" ht="20.25" customHeight="1">
      <c r="A931" s="80">
        <f>IF(OR(Scale!$X240="",Scale!$X240=0),"",Scale!$B240)</f>
        <v/>
      </c>
      <c r="B931" s="80">
        <f>IF(OR(Scale!$X240="",Scale!$X240=0),"",Scale!$D240)</f>
        <v/>
      </c>
      <c r="C931" s="80">
        <f>IF(OR(Scale!$X240="",Scale!$X240=0),"","باسکول")</f>
        <v/>
      </c>
      <c r="D931" s="80">
        <f>IF(OR(Scale!$X240="",Scale!$X240=0),"",Scale!$X240)</f>
        <v/>
      </c>
      <c r="E931" s="81">
        <f>IF(OR(Scale!$X240="",Scale!$X240=0),"",IF(Scale!$X240="","","مقابل: "&amp;Scale!$E240))</f>
        <v/>
      </c>
      <c r="F931" s="83" t="n"/>
      <c r="G931" s="83" t="n"/>
      <c r="H931" s="83" t="n"/>
      <c r="I931" s="83" t="n"/>
      <c r="J931" s="83" t="n"/>
      <c r="K931" s="82">
        <f>IF(OR(Scale!$X240="",Scale!$X240=0),"",IF(Scale!$Y240="",0,Scale!$Y240)+IF(Scale!$Z240="",0,Scale!$Z240))</f>
        <v/>
      </c>
      <c r="L931" s="82">
        <f>IF(OR(Scale!$X240="",Scale!$X240=0),"",Scale!$Y240)</f>
        <v/>
      </c>
      <c r="M931" s="82">
        <f>IF(OR(Scale!$X240="",Scale!$X240=0),"",Scale!$Z240)</f>
        <v/>
      </c>
      <c r="N931" s="81">
        <f>IF(OR(Scale!$X240="",Scale!$X240=0),"","مقابل")</f>
        <v/>
      </c>
      <c r="O931" s="81">
        <f>IF(OR(Scale!$X240="",Scale!$X240=0),"",IFERROR(VLOOKUP(Scale!$X240,AcctTbl,3,0),""))</f>
        <v/>
      </c>
      <c r="P931" s="82">
        <f>IF(Scale!$X240&lt;&gt;"X011","","BN02")</f>
        <v/>
      </c>
    </row>
    <row r="932" ht="20.25" customHeight="1">
      <c r="A932" s="80">
        <f>IF(OR(Scale!$AA240="",Scale!$AA240=0),"",Scale!$B240)</f>
        <v/>
      </c>
      <c r="B932" s="80">
        <f>IF(OR(Scale!$AA240="",Scale!$AA240=0),"",Scale!$D240)</f>
        <v/>
      </c>
      <c r="C932" s="80">
        <f>IF(OR(Scale!$AA240="",Scale!$AA240=0),"","باسکول")</f>
        <v/>
      </c>
      <c r="D932" s="80">
        <f>IF(OR(Scale!$AA240="",Scale!$AA240=0),"",Scale!$AA240)</f>
        <v/>
      </c>
      <c r="E932" s="81">
        <f>IF(OR(Scale!$AA240="",Scale!$AA240=0),"",IF(Scale!$AA240="","","پوز باسکول — "&amp;Scale!$E240))</f>
        <v/>
      </c>
      <c r="F932" s="83" t="n"/>
      <c r="G932" s="83" t="n"/>
      <c r="H932" s="83" t="n"/>
      <c r="I932" s="83" t="n"/>
      <c r="J932" s="83" t="n"/>
      <c r="K932" s="82">
        <f>IF(OR(Scale!$AA240="",Scale!$AA240=0),"",IF(Scale!$AB240="",0,Scale!$AB240)+IF(Scale!$AC240="",0,Scale!$AC240))</f>
        <v/>
      </c>
      <c r="L932" s="82">
        <f>IF(OR(Scale!$AA240="",Scale!$AA240=0),"",Scale!$AB240)</f>
        <v/>
      </c>
      <c r="M932" s="82">
        <f>IF(OR(Scale!$AA240="",Scale!$AA240=0),"",Scale!$AC240)</f>
        <v/>
      </c>
      <c r="N932" s="81">
        <f>IF(OR(Scale!$AA240="",Scale!$AA240=0),"","پوز")</f>
        <v/>
      </c>
      <c r="O932" s="81">
        <f>IF(OR(Scale!$AA240="",Scale!$AA240=0),"",IFERROR(VLOOKUP(Scale!$AA240,AcctTbl,3,0),""))</f>
        <v/>
      </c>
      <c r="P932" s="82">
        <f>IF(Scale!$AA240&lt;&gt;"X011","","BN02")</f>
        <v/>
      </c>
    </row>
    <row r="933" ht="20.25" customHeight="1">
      <c r="A933" s="80">
        <f>IF(OR(Scale!$AD240="",Scale!$AD240=0),"",Scale!$B240)</f>
        <v/>
      </c>
      <c r="B933" s="80">
        <f>IF(OR(Scale!$AD240="",Scale!$AD240=0),"",Scale!$D240)</f>
        <v/>
      </c>
      <c r="C933" s="80">
        <f>IF(OR(Scale!$AD240="",Scale!$AD240=0),"","باسکول")</f>
        <v/>
      </c>
      <c r="D933" s="80">
        <f>IF(OR(Scale!$AD240="",Scale!$AD240=0),"",Scale!$AD240)</f>
        <v/>
      </c>
      <c r="E933" s="81">
        <f>IF(OR(Scale!$AD240="",Scale!$AD240=0),"",IF(Scale!$AD240="","","مقابل پوز — "&amp;Scale!$E240))</f>
        <v/>
      </c>
      <c r="F933" s="83" t="n"/>
      <c r="G933" s="83" t="n"/>
      <c r="H933" s="83" t="n"/>
      <c r="I933" s="83" t="n"/>
      <c r="J933" s="83" t="n"/>
      <c r="K933" s="82">
        <f>IF(OR(Scale!$AD240="",Scale!$AD240=0),"",IF(Scale!$AE240="",0,Scale!$AE240)+IF(Scale!$AF240="",0,Scale!$AF240))</f>
        <v/>
      </c>
      <c r="L933" s="82">
        <f>IF(OR(Scale!$AD240="",Scale!$AD240=0),"",Scale!$AE240)</f>
        <v/>
      </c>
      <c r="M933" s="82">
        <f>IF(OR(Scale!$AD240="",Scale!$AD240=0),"",Scale!$AF240)</f>
        <v/>
      </c>
      <c r="N933" s="81">
        <f>IF(OR(Scale!$AD240="",Scale!$AD240=0),"","مقابل پوز")</f>
        <v/>
      </c>
      <c r="O933" s="81">
        <f>IF(OR(Scale!$AD240="",Scale!$AD240=0),"",IFERROR(VLOOKUP(Scale!$AD240,AcctTbl,3,0),""))</f>
        <v/>
      </c>
      <c r="P933" s="82">
        <f>IF(Scale!$AD240&lt;&gt;"X011","","BN02")</f>
        <v/>
      </c>
    </row>
    <row r="934" ht="20.25" customHeight="1">
      <c r="A934" s="80">
        <f>IF(OR(Scale!$U241="",Scale!$U241=0),"",Scale!$B241)</f>
        <v/>
      </c>
      <c r="B934" s="80">
        <f>IF(OR(Scale!$U241="",Scale!$U241=0),"",Scale!$D241)</f>
        <v/>
      </c>
      <c r="C934" s="80">
        <f>IF(OR(Scale!$U241="",Scale!$U241=0),"","باسکول")</f>
        <v/>
      </c>
      <c r="D934" s="80">
        <f>IF(OR(Scale!$U241="",Scale!$U241=0),"",Scale!$U241)</f>
        <v/>
      </c>
      <c r="E934" s="81">
        <f>IF(OR(Scale!$U241="",Scale!$U241=0),"",Scale!$T241)</f>
        <v/>
      </c>
      <c r="F934" s="81">
        <f>IF(OR(Scale!$U241="",Scale!$U241=0),"",Scale!$J241)</f>
        <v/>
      </c>
      <c r="G934" s="82">
        <f>IF(OR(Scale!$U241="",Scale!$U241=0),"",Scale!$M241)</f>
        <v/>
      </c>
      <c r="H934" s="82">
        <f>IF(OR(Scale!$U241="",Scale!$U241=0),"",Scale!$L241)</f>
        <v/>
      </c>
      <c r="I934" s="82">
        <f>IF(OR(Scale!$U241="",Scale!$U241=0),"",Scale!$N241)</f>
        <v/>
      </c>
      <c r="J934" s="82">
        <f>IF(OR(Scale!$U241="",Scale!$U241=0),"",Scale!$O241)</f>
        <v/>
      </c>
      <c r="K934" s="82">
        <f>IF(OR(Scale!$U241="",Scale!$U241=0),"",IF(Scale!$V241="",0,Scale!$V241)+IF(Scale!$W241="",0,Scale!$W241))</f>
        <v/>
      </c>
      <c r="L934" s="82">
        <f>IF(OR(Scale!$U241="",Scale!$U241=0),"",Scale!$V241)</f>
        <v/>
      </c>
      <c r="M934" s="82">
        <f>IF(OR(Scale!$U241="",Scale!$U241=0),"",Scale!$W241)</f>
        <v/>
      </c>
      <c r="N934" s="81">
        <f>IF(OR(Scale!$U241="",Scale!$U241=0),"",Scale!$E241)</f>
        <v/>
      </c>
      <c r="O934" s="81">
        <f>IF(OR(Scale!$U241="",Scale!$U241=0),"",IFERROR(VLOOKUP(Scale!$U241,AcctTbl,3,0),""))</f>
        <v/>
      </c>
      <c r="P934" s="82">
        <f>IF(Scale!$U241&lt;&gt;"X011","","BN02")</f>
        <v/>
      </c>
    </row>
    <row r="935" ht="20.25" customHeight="1">
      <c r="A935" s="80">
        <f>IF(OR(Scale!$X241="",Scale!$X241=0),"",Scale!$B241)</f>
        <v/>
      </c>
      <c r="B935" s="80">
        <f>IF(OR(Scale!$X241="",Scale!$X241=0),"",Scale!$D241)</f>
        <v/>
      </c>
      <c r="C935" s="80">
        <f>IF(OR(Scale!$X241="",Scale!$X241=0),"","باسکول")</f>
        <v/>
      </c>
      <c r="D935" s="80">
        <f>IF(OR(Scale!$X241="",Scale!$X241=0),"",Scale!$X241)</f>
        <v/>
      </c>
      <c r="E935" s="81">
        <f>IF(OR(Scale!$X241="",Scale!$X241=0),"",IF(Scale!$X241="","","مقابل: "&amp;Scale!$E241))</f>
        <v/>
      </c>
      <c r="F935" s="83" t="n"/>
      <c r="G935" s="83" t="n"/>
      <c r="H935" s="83" t="n"/>
      <c r="I935" s="83" t="n"/>
      <c r="J935" s="83" t="n"/>
      <c r="K935" s="82">
        <f>IF(OR(Scale!$X241="",Scale!$X241=0),"",IF(Scale!$Y241="",0,Scale!$Y241)+IF(Scale!$Z241="",0,Scale!$Z241))</f>
        <v/>
      </c>
      <c r="L935" s="82">
        <f>IF(OR(Scale!$X241="",Scale!$X241=0),"",Scale!$Y241)</f>
        <v/>
      </c>
      <c r="M935" s="82">
        <f>IF(OR(Scale!$X241="",Scale!$X241=0),"",Scale!$Z241)</f>
        <v/>
      </c>
      <c r="N935" s="81">
        <f>IF(OR(Scale!$X241="",Scale!$X241=0),"","مقابل")</f>
        <v/>
      </c>
      <c r="O935" s="81">
        <f>IF(OR(Scale!$X241="",Scale!$X241=0),"",IFERROR(VLOOKUP(Scale!$X241,AcctTbl,3,0),""))</f>
        <v/>
      </c>
      <c r="P935" s="82">
        <f>IF(Scale!$X241&lt;&gt;"X011","","BN02")</f>
        <v/>
      </c>
    </row>
    <row r="936" ht="20.25" customHeight="1">
      <c r="A936" s="80">
        <f>IF(OR(Scale!$AA241="",Scale!$AA241=0),"",Scale!$B241)</f>
        <v/>
      </c>
      <c r="B936" s="80">
        <f>IF(OR(Scale!$AA241="",Scale!$AA241=0),"",Scale!$D241)</f>
        <v/>
      </c>
      <c r="C936" s="80">
        <f>IF(OR(Scale!$AA241="",Scale!$AA241=0),"","باسکول")</f>
        <v/>
      </c>
      <c r="D936" s="80">
        <f>IF(OR(Scale!$AA241="",Scale!$AA241=0),"",Scale!$AA241)</f>
        <v/>
      </c>
      <c r="E936" s="81">
        <f>IF(OR(Scale!$AA241="",Scale!$AA241=0),"",IF(Scale!$AA241="","","پوز باسکول — "&amp;Scale!$E241))</f>
        <v/>
      </c>
      <c r="F936" s="83" t="n"/>
      <c r="G936" s="83" t="n"/>
      <c r="H936" s="83" t="n"/>
      <c r="I936" s="83" t="n"/>
      <c r="J936" s="83" t="n"/>
      <c r="K936" s="82">
        <f>IF(OR(Scale!$AA241="",Scale!$AA241=0),"",IF(Scale!$AB241="",0,Scale!$AB241)+IF(Scale!$AC241="",0,Scale!$AC241))</f>
        <v/>
      </c>
      <c r="L936" s="82">
        <f>IF(OR(Scale!$AA241="",Scale!$AA241=0),"",Scale!$AB241)</f>
        <v/>
      </c>
      <c r="M936" s="82">
        <f>IF(OR(Scale!$AA241="",Scale!$AA241=0),"",Scale!$AC241)</f>
        <v/>
      </c>
      <c r="N936" s="81">
        <f>IF(OR(Scale!$AA241="",Scale!$AA241=0),"","پوز")</f>
        <v/>
      </c>
      <c r="O936" s="81">
        <f>IF(OR(Scale!$AA241="",Scale!$AA241=0),"",IFERROR(VLOOKUP(Scale!$AA241,AcctTbl,3,0),""))</f>
        <v/>
      </c>
      <c r="P936" s="82">
        <f>IF(Scale!$AA241&lt;&gt;"X011","","BN02")</f>
        <v/>
      </c>
    </row>
    <row r="937" ht="20.25" customHeight="1">
      <c r="A937" s="80">
        <f>IF(OR(Scale!$AD241="",Scale!$AD241=0),"",Scale!$B241)</f>
        <v/>
      </c>
      <c r="B937" s="80">
        <f>IF(OR(Scale!$AD241="",Scale!$AD241=0),"",Scale!$D241)</f>
        <v/>
      </c>
      <c r="C937" s="80">
        <f>IF(OR(Scale!$AD241="",Scale!$AD241=0),"","باسکول")</f>
        <v/>
      </c>
      <c r="D937" s="80">
        <f>IF(OR(Scale!$AD241="",Scale!$AD241=0),"",Scale!$AD241)</f>
        <v/>
      </c>
      <c r="E937" s="81">
        <f>IF(OR(Scale!$AD241="",Scale!$AD241=0),"",IF(Scale!$AD241="","","مقابل پوز — "&amp;Scale!$E241))</f>
        <v/>
      </c>
      <c r="F937" s="83" t="n"/>
      <c r="G937" s="83" t="n"/>
      <c r="H937" s="83" t="n"/>
      <c r="I937" s="83" t="n"/>
      <c r="J937" s="83" t="n"/>
      <c r="K937" s="82">
        <f>IF(OR(Scale!$AD241="",Scale!$AD241=0),"",IF(Scale!$AE241="",0,Scale!$AE241)+IF(Scale!$AF241="",0,Scale!$AF241))</f>
        <v/>
      </c>
      <c r="L937" s="82">
        <f>IF(OR(Scale!$AD241="",Scale!$AD241=0),"",Scale!$AE241)</f>
        <v/>
      </c>
      <c r="M937" s="82">
        <f>IF(OR(Scale!$AD241="",Scale!$AD241=0),"",Scale!$AF241)</f>
        <v/>
      </c>
      <c r="N937" s="81">
        <f>IF(OR(Scale!$AD241="",Scale!$AD241=0),"","مقابل پوز")</f>
        <v/>
      </c>
      <c r="O937" s="81">
        <f>IF(OR(Scale!$AD241="",Scale!$AD241=0),"",IFERROR(VLOOKUP(Scale!$AD241,AcctTbl,3,0),""))</f>
        <v/>
      </c>
      <c r="P937" s="82">
        <f>IF(Scale!$AD241&lt;&gt;"X011","","BN02")</f>
        <v/>
      </c>
    </row>
    <row r="938" ht="20.25" customHeight="1">
      <c r="A938" s="80">
        <f>IF(OR(Scale!$U242="",Scale!$U242=0),"",Scale!$B242)</f>
        <v/>
      </c>
      <c r="B938" s="80">
        <f>IF(OR(Scale!$U242="",Scale!$U242=0),"",Scale!$D242)</f>
        <v/>
      </c>
      <c r="C938" s="80">
        <f>IF(OR(Scale!$U242="",Scale!$U242=0),"","باسکول")</f>
        <v/>
      </c>
      <c r="D938" s="80">
        <f>IF(OR(Scale!$U242="",Scale!$U242=0),"",Scale!$U242)</f>
        <v/>
      </c>
      <c r="E938" s="81">
        <f>IF(OR(Scale!$U242="",Scale!$U242=0),"",Scale!$T242)</f>
        <v/>
      </c>
      <c r="F938" s="81">
        <f>IF(OR(Scale!$U242="",Scale!$U242=0),"",Scale!$J242)</f>
        <v/>
      </c>
      <c r="G938" s="82">
        <f>IF(OR(Scale!$U242="",Scale!$U242=0),"",Scale!$M242)</f>
        <v/>
      </c>
      <c r="H938" s="82">
        <f>IF(OR(Scale!$U242="",Scale!$U242=0),"",Scale!$L242)</f>
        <v/>
      </c>
      <c r="I938" s="82">
        <f>IF(OR(Scale!$U242="",Scale!$U242=0),"",Scale!$N242)</f>
        <v/>
      </c>
      <c r="J938" s="82">
        <f>IF(OR(Scale!$U242="",Scale!$U242=0),"",Scale!$O242)</f>
        <v/>
      </c>
      <c r="K938" s="82">
        <f>IF(OR(Scale!$U242="",Scale!$U242=0),"",IF(Scale!$V242="",0,Scale!$V242)+IF(Scale!$W242="",0,Scale!$W242))</f>
        <v/>
      </c>
      <c r="L938" s="82">
        <f>IF(OR(Scale!$U242="",Scale!$U242=0),"",Scale!$V242)</f>
        <v/>
      </c>
      <c r="M938" s="82">
        <f>IF(OR(Scale!$U242="",Scale!$U242=0),"",Scale!$W242)</f>
        <v/>
      </c>
      <c r="N938" s="81">
        <f>IF(OR(Scale!$U242="",Scale!$U242=0),"",Scale!$E242)</f>
        <v/>
      </c>
      <c r="O938" s="81">
        <f>IF(OR(Scale!$U242="",Scale!$U242=0),"",IFERROR(VLOOKUP(Scale!$U242,AcctTbl,3,0),""))</f>
        <v/>
      </c>
      <c r="P938" s="82">
        <f>IF(Scale!$U242&lt;&gt;"X011","","BN02")</f>
        <v/>
      </c>
    </row>
    <row r="939" ht="20.25" customHeight="1">
      <c r="A939" s="80">
        <f>IF(OR(Scale!$X242="",Scale!$X242=0),"",Scale!$B242)</f>
        <v/>
      </c>
      <c r="B939" s="80">
        <f>IF(OR(Scale!$X242="",Scale!$X242=0),"",Scale!$D242)</f>
        <v/>
      </c>
      <c r="C939" s="80">
        <f>IF(OR(Scale!$X242="",Scale!$X242=0),"","باسکول")</f>
        <v/>
      </c>
      <c r="D939" s="80">
        <f>IF(OR(Scale!$X242="",Scale!$X242=0),"",Scale!$X242)</f>
        <v/>
      </c>
      <c r="E939" s="81">
        <f>IF(OR(Scale!$X242="",Scale!$X242=0),"",IF(Scale!$X242="","","مقابل: "&amp;Scale!$E242))</f>
        <v/>
      </c>
      <c r="F939" s="83" t="n"/>
      <c r="G939" s="83" t="n"/>
      <c r="H939" s="83" t="n"/>
      <c r="I939" s="83" t="n"/>
      <c r="J939" s="83" t="n"/>
      <c r="K939" s="82">
        <f>IF(OR(Scale!$X242="",Scale!$X242=0),"",IF(Scale!$Y242="",0,Scale!$Y242)+IF(Scale!$Z242="",0,Scale!$Z242))</f>
        <v/>
      </c>
      <c r="L939" s="82">
        <f>IF(OR(Scale!$X242="",Scale!$X242=0),"",Scale!$Y242)</f>
        <v/>
      </c>
      <c r="M939" s="82">
        <f>IF(OR(Scale!$X242="",Scale!$X242=0),"",Scale!$Z242)</f>
        <v/>
      </c>
      <c r="N939" s="81">
        <f>IF(OR(Scale!$X242="",Scale!$X242=0),"","مقابل")</f>
        <v/>
      </c>
      <c r="O939" s="81">
        <f>IF(OR(Scale!$X242="",Scale!$X242=0),"",IFERROR(VLOOKUP(Scale!$X242,AcctTbl,3,0),""))</f>
        <v/>
      </c>
      <c r="P939" s="82">
        <f>IF(Scale!$X242&lt;&gt;"X011","","BN02")</f>
        <v/>
      </c>
    </row>
    <row r="940" ht="20.25" customHeight="1">
      <c r="A940" s="80">
        <f>IF(OR(Scale!$AA242="",Scale!$AA242=0),"",Scale!$B242)</f>
        <v/>
      </c>
      <c r="B940" s="80">
        <f>IF(OR(Scale!$AA242="",Scale!$AA242=0),"",Scale!$D242)</f>
        <v/>
      </c>
      <c r="C940" s="80">
        <f>IF(OR(Scale!$AA242="",Scale!$AA242=0),"","باسکول")</f>
        <v/>
      </c>
      <c r="D940" s="80">
        <f>IF(OR(Scale!$AA242="",Scale!$AA242=0),"",Scale!$AA242)</f>
        <v/>
      </c>
      <c r="E940" s="81">
        <f>IF(OR(Scale!$AA242="",Scale!$AA242=0),"",IF(Scale!$AA242="","","پوز باسکول — "&amp;Scale!$E242))</f>
        <v/>
      </c>
      <c r="F940" s="83" t="n"/>
      <c r="G940" s="83" t="n"/>
      <c r="H940" s="83" t="n"/>
      <c r="I940" s="83" t="n"/>
      <c r="J940" s="83" t="n"/>
      <c r="K940" s="82">
        <f>IF(OR(Scale!$AA242="",Scale!$AA242=0),"",IF(Scale!$AB242="",0,Scale!$AB242)+IF(Scale!$AC242="",0,Scale!$AC242))</f>
        <v/>
      </c>
      <c r="L940" s="82">
        <f>IF(OR(Scale!$AA242="",Scale!$AA242=0),"",Scale!$AB242)</f>
        <v/>
      </c>
      <c r="M940" s="82">
        <f>IF(OR(Scale!$AA242="",Scale!$AA242=0),"",Scale!$AC242)</f>
        <v/>
      </c>
      <c r="N940" s="81">
        <f>IF(OR(Scale!$AA242="",Scale!$AA242=0),"","پوز")</f>
        <v/>
      </c>
      <c r="O940" s="81">
        <f>IF(OR(Scale!$AA242="",Scale!$AA242=0),"",IFERROR(VLOOKUP(Scale!$AA242,AcctTbl,3,0),""))</f>
        <v/>
      </c>
      <c r="P940" s="82">
        <f>IF(Scale!$AA242&lt;&gt;"X011","","BN02")</f>
        <v/>
      </c>
    </row>
    <row r="941" ht="20.25" customHeight="1">
      <c r="A941" s="80">
        <f>IF(OR(Scale!$AD242="",Scale!$AD242=0),"",Scale!$B242)</f>
        <v/>
      </c>
      <c r="B941" s="80">
        <f>IF(OR(Scale!$AD242="",Scale!$AD242=0),"",Scale!$D242)</f>
        <v/>
      </c>
      <c r="C941" s="80">
        <f>IF(OR(Scale!$AD242="",Scale!$AD242=0),"","باسکول")</f>
        <v/>
      </c>
      <c r="D941" s="80">
        <f>IF(OR(Scale!$AD242="",Scale!$AD242=0),"",Scale!$AD242)</f>
        <v/>
      </c>
      <c r="E941" s="81">
        <f>IF(OR(Scale!$AD242="",Scale!$AD242=0),"",IF(Scale!$AD242="","","مقابل پوز — "&amp;Scale!$E242))</f>
        <v/>
      </c>
      <c r="F941" s="83" t="n"/>
      <c r="G941" s="83" t="n"/>
      <c r="H941" s="83" t="n"/>
      <c r="I941" s="83" t="n"/>
      <c r="J941" s="83" t="n"/>
      <c r="K941" s="82">
        <f>IF(OR(Scale!$AD242="",Scale!$AD242=0),"",IF(Scale!$AE242="",0,Scale!$AE242)+IF(Scale!$AF242="",0,Scale!$AF242))</f>
        <v/>
      </c>
      <c r="L941" s="82">
        <f>IF(OR(Scale!$AD242="",Scale!$AD242=0),"",Scale!$AE242)</f>
        <v/>
      </c>
      <c r="M941" s="82">
        <f>IF(OR(Scale!$AD242="",Scale!$AD242=0),"",Scale!$AF242)</f>
        <v/>
      </c>
      <c r="N941" s="81">
        <f>IF(OR(Scale!$AD242="",Scale!$AD242=0),"","مقابل پوز")</f>
        <v/>
      </c>
      <c r="O941" s="81">
        <f>IF(OR(Scale!$AD242="",Scale!$AD242=0),"",IFERROR(VLOOKUP(Scale!$AD242,AcctTbl,3,0),""))</f>
        <v/>
      </c>
      <c r="P941" s="82">
        <f>IF(Scale!$AD242&lt;&gt;"X011","","BN02")</f>
        <v/>
      </c>
    </row>
    <row r="942" ht="20.25" customHeight="1">
      <c r="A942" s="80">
        <f>IF(OR(Scale!$U243="",Scale!$U243=0),"",Scale!$B243)</f>
        <v/>
      </c>
      <c r="B942" s="80">
        <f>IF(OR(Scale!$U243="",Scale!$U243=0),"",Scale!$D243)</f>
        <v/>
      </c>
      <c r="C942" s="80">
        <f>IF(OR(Scale!$U243="",Scale!$U243=0),"","باسکول")</f>
        <v/>
      </c>
      <c r="D942" s="80">
        <f>IF(OR(Scale!$U243="",Scale!$U243=0),"",Scale!$U243)</f>
        <v/>
      </c>
      <c r="E942" s="81">
        <f>IF(OR(Scale!$U243="",Scale!$U243=0),"",Scale!$T243)</f>
        <v/>
      </c>
      <c r="F942" s="81">
        <f>IF(OR(Scale!$U243="",Scale!$U243=0),"",Scale!$J243)</f>
        <v/>
      </c>
      <c r="G942" s="82">
        <f>IF(OR(Scale!$U243="",Scale!$U243=0),"",Scale!$M243)</f>
        <v/>
      </c>
      <c r="H942" s="82">
        <f>IF(OR(Scale!$U243="",Scale!$U243=0),"",Scale!$L243)</f>
        <v/>
      </c>
      <c r="I942" s="82">
        <f>IF(OR(Scale!$U243="",Scale!$U243=0),"",Scale!$N243)</f>
        <v/>
      </c>
      <c r="J942" s="82">
        <f>IF(OR(Scale!$U243="",Scale!$U243=0),"",Scale!$O243)</f>
        <v/>
      </c>
      <c r="K942" s="82">
        <f>IF(OR(Scale!$U243="",Scale!$U243=0),"",IF(Scale!$V243="",0,Scale!$V243)+IF(Scale!$W243="",0,Scale!$W243))</f>
        <v/>
      </c>
      <c r="L942" s="82">
        <f>IF(OR(Scale!$U243="",Scale!$U243=0),"",Scale!$V243)</f>
        <v/>
      </c>
      <c r="M942" s="82">
        <f>IF(OR(Scale!$U243="",Scale!$U243=0),"",Scale!$W243)</f>
        <v/>
      </c>
      <c r="N942" s="81">
        <f>IF(OR(Scale!$U243="",Scale!$U243=0),"",Scale!$E243)</f>
        <v/>
      </c>
      <c r="O942" s="81">
        <f>IF(OR(Scale!$U243="",Scale!$U243=0),"",IFERROR(VLOOKUP(Scale!$U243,AcctTbl,3,0),""))</f>
        <v/>
      </c>
      <c r="P942" s="82">
        <f>IF(Scale!$U243&lt;&gt;"X011","","BN02")</f>
        <v/>
      </c>
    </row>
    <row r="943" ht="20.25" customHeight="1">
      <c r="A943" s="80">
        <f>IF(OR(Scale!$X243="",Scale!$X243=0),"",Scale!$B243)</f>
        <v/>
      </c>
      <c r="B943" s="80">
        <f>IF(OR(Scale!$X243="",Scale!$X243=0),"",Scale!$D243)</f>
        <v/>
      </c>
      <c r="C943" s="80">
        <f>IF(OR(Scale!$X243="",Scale!$X243=0),"","باسکول")</f>
        <v/>
      </c>
      <c r="D943" s="80">
        <f>IF(OR(Scale!$X243="",Scale!$X243=0),"",Scale!$X243)</f>
        <v/>
      </c>
      <c r="E943" s="81">
        <f>IF(OR(Scale!$X243="",Scale!$X243=0),"",IF(Scale!$X243="","","مقابل: "&amp;Scale!$E243))</f>
        <v/>
      </c>
      <c r="F943" s="83" t="n"/>
      <c r="G943" s="83" t="n"/>
      <c r="H943" s="83" t="n"/>
      <c r="I943" s="83" t="n"/>
      <c r="J943" s="83" t="n"/>
      <c r="K943" s="82">
        <f>IF(OR(Scale!$X243="",Scale!$X243=0),"",IF(Scale!$Y243="",0,Scale!$Y243)+IF(Scale!$Z243="",0,Scale!$Z243))</f>
        <v/>
      </c>
      <c r="L943" s="82">
        <f>IF(OR(Scale!$X243="",Scale!$X243=0),"",Scale!$Y243)</f>
        <v/>
      </c>
      <c r="M943" s="82">
        <f>IF(OR(Scale!$X243="",Scale!$X243=0),"",Scale!$Z243)</f>
        <v/>
      </c>
      <c r="N943" s="81">
        <f>IF(OR(Scale!$X243="",Scale!$X243=0),"","مقابل")</f>
        <v/>
      </c>
      <c r="O943" s="81">
        <f>IF(OR(Scale!$X243="",Scale!$X243=0),"",IFERROR(VLOOKUP(Scale!$X243,AcctTbl,3,0),""))</f>
        <v/>
      </c>
      <c r="P943" s="82">
        <f>IF(Scale!$X243&lt;&gt;"X011","","BN02")</f>
        <v/>
      </c>
    </row>
    <row r="944" ht="20.25" customHeight="1">
      <c r="A944" s="80">
        <f>IF(OR(Scale!$AA243="",Scale!$AA243=0),"",Scale!$B243)</f>
        <v/>
      </c>
      <c r="B944" s="80">
        <f>IF(OR(Scale!$AA243="",Scale!$AA243=0),"",Scale!$D243)</f>
        <v/>
      </c>
      <c r="C944" s="80">
        <f>IF(OR(Scale!$AA243="",Scale!$AA243=0),"","باسکول")</f>
        <v/>
      </c>
      <c r="D944" s="80">
        <f>IF(OR(Scale!$AA243="",Scale!$AA243=0),"",Scale!$AA243)</f>
        <v/>
      </c>
      <c r="E944" s="81">
        <f>IF(OR(Scale!$AA243="",Scale!$AA243=0),"",IF(Scale!$AA243="","","پوز باسکول — "&amp;Scale!$E243))</f>
        <v/>
      </c>
      <c r="F944" s="83" t="n"/>
      <c r="G944" s="83" t="n"/>
      <c r="H944" s="83" t="n"/>
      <c r="I944" s="83" t="n"/>
      <c r="J944" s="83" t="n"/>
      <c r="K944" s="82">
        <f>IF(OR(Scale!$AA243="",Scale!$AA243=0),"",IF(Scale!$AB243="",0,Scale!$AB243)+IF(Scale!$AC243="",0,Scale!$AC243))</f>
        <v/>
      </c>
      <c r="L944" s="82">
        <f>IF(OR(Scale!$AA243="",Scale!$AA243=0),"",Scale!$AB243)</f>
        <v/>
      </c>
      <c r="M944" s="82">
        <f>IF(OR(Scale!$AA243="",Scale!$AA243=0),"",Scale!$AC243)</f>
        <v/>
      </c>
      <c r="N944" s="81">
        <f>IF(OR(Scale!$AA243="",Scale!$AA243=0),"","پوز")</f>
        <v/>
      </c>
      <c r="O944" s="81">
        <f>IF(OR(Scale!$AA243="",Scale!$AA243=0),"",IFERROR(VLOOKUP(Scale!$AA243,AcctTbl,3,0),""))</f>
        <v/>
      </c>
      <c r="P944" s="82">
        <f>IF(Scale!$AA243&lt;&gt;"X011","","BN02")</f>
        <v/>
      </c>
    </row>
    <row r="945" ht="20.25" customHeight="1">
      <c r="A945" s="80">
        <f>IF(OR(Scale!$AD243="",Scale!$AD243=0),"",Scale!$B243)</f>
        <v/>
      </c>
      <c r="B945" s="80">
        <f>IF(OR(Scale!$AD243="",Scale!$AD243=0),"",Scale!$D243)</f>
        <v/>
      </c>
      <c r="C945" s="80">
        <f>IF(OR(Scale!$AD243="",Scale!$AD243=0),"","باسکول")</f>
        <v/>
      </c>
      <c r="D945" s="80">
        <f>IF(OR(Scale!$AD243="",Scale!$AD243=0),"",Scale!$AD243)</f>
        <v/>
      </c>
      <c r="E945" s="81">
        <f>IF(OR(Scale!$AD243="",Scale!$AD243=0),"",IF(Scale!$AD243="","","مقابل پوز — "&amp;Scale!$E243))</f>
        <v/>
      </c>
      <c r="F945" s="83" t="n"/>
      <c r="G945" s="83" t="n"/>
      <c r="H945" s="83" t="n"/>
      <c r="I945" s="83" t="n"/>
      <c r="J945" s="83" t="n"/>
      <c r="K945" s="82">
        <f>IF(OR(Scale!$AD243="",Scale!$AD243=0),"",IF(Scale!$AE243="",0,Scale!$AE243)+IF(Scale!$AF243="",0,Scale!$AF243))</f>
        <v/>
      </c>
      <c r="L945" s="82">
        <f>IF(OR(Scale!$AD243="",Scale!$AD243=0),"",Scale!$AE243)</f>
        <v/>
      </c>
      <c r="M945" s="82">
        <f>IF(OR(Scale!$AD243="",Scale!$AD243=0),"",Scale!$AF243)</f>
        <v/>
      </c>
      <c r="N945" s="81">
        <f>IF(OR(Scale!$AD243="",Scale!$AD243=0),"","مقابل پوز")</f>
        <v/>
      </c>
      <c r="O945" s="81">
        <f>IF(OR(Scale!$AD243="",Scale!$AD243=0),"",IFERROR(VLOOKUP(Scale!$AD243,AcctTbl,3,0),""))</f>
        <v/>
      </c>
      <c r="P945" s="82">
        <f>IF(Scale!$AD243&lt;&gt;"X011","","BN02")</f>
        <v/>
      </c>
    </row>
    <row r="946" ht="20.25" customHeight="1">
      <c r="A946" s="80">
        <f>IF(OR(Scale!$U244="",Scale!$U244=0),"",Scale!$B244)</f>
        <v/>
      </c>
      <c r="B946" s="80">
        <f>IF(OR(Scale!$U244="",Scale!$U244=0),"",Scale!$D244)</f>
        <v/>
      </c>
      <c r="C946" s="80">
        <f>IF(OR(Scale!$U244="",Scale!$U244=0),"","باسکول")</f>
        <v/>
      </c>
      <c r="D946" s="80">
        <f>IF(OR(Scale!$U244="",Scale!$U244=0),"",Scale!$U244)</f>
        <v/>
      </c>
      <c r="E946" s="81">
        <f>IF(OR(Scale!$U244="",Scale!$U244=0),"",Scale!$T244)</f>
        <v/>
      </c>
      <c r="F946" s="81">
        <f>IF(OR(Scale!$U244="",Scale!$U244=0),"",Scale!$J244)</f>
        <v/>
      </c>
      <c r="G946" s="82">
        <f>IF(OR(Scale!$U244="",Scale!$U244=0),"",Scale!$M244)</f>
        <v/>
      </c>
      <c r="H946" s="82">
        <f>IF(OR(Scale!$U244="",Scale!$U244=0),"",Scale!$L244)</f>
        <v/>
      </c>
      <c r="I946" s="82">
        <f>IF(OR(Scale!$U244="",Scale!$U244=0),"",Scale!$N244)</f>
        <v/>
      </c>
      <c r="J946" s="82">
        <f>IF(OR(Scale!$U244="",Scale!$U244=0),"",Scale!$O244)</f>
        <v/>
      </c>
      <c r="K946" s="82">
        <f>IF(OR(Scale!$U244="",Scale!$U244=0),"",IF(Scale!$V244="",0,Scale!$V244)+IF(Scale!$W244="",0,Scale!$W244))</f>
        <v/>
      </c>
      <c r="L946" s="82">
        <f>IF(OR(Scale!$U244="",Scale!$U244=0),"",Scale!$V244)</f>
        <v/>
      </c>
      <c r="M946" s="82">
        <f>IF(OR(Scale!$U244="",Scale!$U244=0),"",Scale!$W244)</f>
        <v/>
      </c>
      <c r="N946" s="81">
        <f>IF(OR(Scale!$U244="",Scale!$U244=0),"",Scale!$E244)</f>
        <v/>
      </c>
      <c r="O946" s="81">
        <f>IF(OR(Scale!$U244="",Scale!$U244=0),"",IFERROR(VLOOKUP(Scale!$U244,AcctTbl,3,0),""))</f>
        <v/>
      </c>
      <c r="P946" s="82">
        <f>IF(Scale!$U244&lt;&gt;"X011","","BN02")</f>
        <v/>
      </c>
    </row>
    <row r="947" ht="20.25" customHeight="1">
      <c r="A947" s="80">
        <f>IF(OR(Scale!$X244="",Scale!$X244=0),"",Scale!$B244)</f>
        <v/>
      </c>
      <c r="B947" s="80">
        <f>IF(OR(Scale!$X244="",Scale!$X244=0),"",Scale!$D244)</f>
        <v/>
      </c>
      <c r="C947" s="80">
        <f>IF(OR(Scale!$X244="",Scale!$X244=0),"","باسکول")</f>
        <v/>
      </c>
      <c r="D947" s="80">
        <f>IF(OR(Scale!$X244="",Scale!$X244=0),"",Scale!$X244)</f>
        <v/>
      </c>
      <c r="E947" s="81">
        <f>IF(OR(Scale!$X244="",Scale!$X244=0),"",IF(Scale!$X244="","","مقابل: "&amp;Scale!$E244))</f>
        <v/>
      </c>
      <c r="F947" s="83" t="n"/>
      <c r="G947" s="83" t="n"/>
      <c r="H947" s="83" t="n"/>
      <c r="I947" s="83" t="n"/>
      <c r="J947" s="83" t="n"/>
      <c r="K947" s="82">
        <f>IF(OR(Scale!$X244="",Scale!$X244=0),"",IF(Scale!$Y244="",0,Scale!$Y244)+IF(Scale!$Z244="",0,Scale!$Z244))</f>
        <v/>
      </c>
      <c r="L947" s="82">
        <f>IF(OR(Scale!$X244="",Scale!$X244=0),"",Scale!$Y244)</f>
        <v/>
      </c>
      <c r="M947" s="82">
        <f>IF(OR(Scale!$X244="",Scale!$X244=0),"",Scale!$Z244)</f>
        <v/>
      </c>
      <c r="N947" s="81">
        <f>IF(OR(Scale!$X244="",Scale!$X244=0),"","مقابل")</f>
        <v/>
      </c>
      <c r="O947" s="81">
        <f>IF(OR(Scale!$X244="",Scale!$X244=0),"",IFERROR(VLOOKUP(Scale!$X244,AcctTbl,3,0),""))</f>
        <v/>
      </c>
      <c r="P947" s="82">
        <f>IF(Scale!$X244&lt;&gt;"X011","","BN02")</f>
        <v/>
      </c>
    </row>
    <row r="948" ht="20.25" customHeight="1">
      <c r="A948" s="80">
        <f>IF(OR(Scale!$AA244="",Scale!$AA244=0),"",Scale!$B244)</f>
        <v/>
      </c>
      <c r="B948" s="80">
        <f>IF(OR(Scale!$AA244="",Scale!$AA244=0),"",Scale!$D244)</f>
        <v/>
      </c>
      <c r="C948" s="80">
        <f>IF(OR(Scale!$AA244="",Scale!$AA244=0),"","باسکول")</f>
        <v/>
      </c>
      <c r="D948" s="80">
        <f>IF(OR(Scale!$AA244="",Scale!$AA244=0),"",Scale!$AA244)</f>
        <v/>
      </c>
      <c r="E948" s="81">
        <f>IF(OR(Scale!$AA244="",Scale!$AA244=0),"",IF(Scale!$AA244="","","پوز باسکول — "&amp;Scale!$E244))</f>
        <v/>
      </c>
      <c r="F948" s="83" t="n"/>
      <c r="G948" s="83" t="n"/>
      <c r="H948" s="83" t="n"/>
      <c r="I948" s="83" t="n"/>
      <c r="J948" s="83" t="n"/>
      <c r="K948" s="82">
        <f>IF(OR(Scale!$AA244="",Scale!$AA244=0),"",IF(Scale!$AB244="",0,Scale!$AB244)+IF(Scale!$AC244="",0,Scale!$AC244))</f>
        <v/>
      </c>
      <c r="L948" s="82">
        <f>IF(OR(Scale!$AA244="",Scale!$AA244=0),"",Scale!$AB244)</f>
        <v/>
      </c>
      <c r="M948" s="82">
        <f>IF(OR(Scale!$AA244="",Scale!$AA244=0),"",Scale!$AC244)</f>
        <v/>
      </c>
      <c r="N948" s="81">
        <f>IF(OR(Scale!$AA244="",Scale!$AA244=0),"","پوز")</f>
        <v/>
      </c>
      <c r="O948" s="81">
        <f>IF(OR(Scale!$AA244="",Scale!$AA244=0),"",IFERROR(VLOOKUP(Scale!$AA244,AcctTbl,3,0),""))</f>
        <v/>
      </c>
      <c r="P948" s="82">
        <f>IF(Scale!$AA244&lt;&gt;"X011","","BN02")</f>
        <v/>
      </c>
    </row>
    <row r="949" ht="20.25" customHeight="1">
      <c r="A949" s="80">
        <f>IF(OR(Scale!$AD244="",Scale!$AD244=0),"",Scale!$B244)</f>
        <v/>
      </c>
      <c r="B949" s="80">
        <f>IF(OR(Scale!$AD244="",Scale!$AD244=0),"",Scale!$D244)</f>
        <v/>
      </c>
      <c r="C949" s="80">
        <f>IF(OR(Scale!$AD244="",Scale!$AD244=0),"","باسکول")</f>
        <v/>
      </c>
      <c r="D949" s="80">
        <f>IF(OR(Scale!$AD244="",Scale!$AD244=0),"",Scale!$AD244)</f>
        <v/>
      </c>
      <c r="E949" s="81">
        <f>IF(OR(Scale!$AD244="",Scale!$AD244=0),"",IF(Scale!$AD244="","","مقابل پوز — "&amp;Scale!$E244))</f>
        <v/>
      </c>
      <c r="F949" s="83" t="n"/>
      <c r="G949" s="83" t="n"/>
      <c r="H949" s="83" t="n"/>
      <c r="I949" s="83" t="n"/>
      <c r="J949" s="83" t="n"/>
      <c r="K949" s="82">
        <f>IF(OR(Scale!$AD244="",Scale!$AD244=0),"",IF(Scale!$AE244="",0,Scale!$AE244)+IF(Scale!$AF244="",0,Scale!$AF244))</f>
        <v/>
      </c>
      <c r="L949" s="82">
        <f>IF(OR(Scale!$AD244="",Scale!$AD244=0),"",Scale!$AE244)</f>
        <v/>
      </c>
      <c r="M949" s="82">
        <f>IF(OR(Scale!$AD244="",Scale!$AD244=0),"",Scale!$AF244)</f>
        <v/>
      </c>
      <c r="N949" s="81">
        <f>IF(OR(Scale!$AD244="",Scale!$AD244=0),"","مقابل پوز")</f>
        <v/>
      </c>
      <c r="O949" s="81">
        <f>IF(OR(Scale!$AD244="",Scale!$AD244=0),"",IFERROR(VLOOKUP(Scale!$AD244,AcctTbl,3,0),""))</f>
        <v/>
      </c>
      <c r="P949" s="82">
        <f>IF(Scale!$AD244&lt;&gt;"X011","","BN02")</f>
        <v/>
      </c>
    </row>
    <row r="950" ht="20.25" customHeight="1">
      <c r="A950" s="80">
        <f>IF(OR(Scale!$U245="",Scale!$U245=0),"",Scale!$B245)</f>
        <v/>
      </c>
      <c r="B950" s="80">
        <f>IF(OR(Scale!$U245="",Scale!$U245=0),"",Scale!$D245)</f>
        <v/>
      </c>
      <c r="C950" s="80">
        <f>IF(OR(Scale!$U245="",Scale!$U245=0),"","باسکول")</f>
        <v/>
      </c>
      <c r="D950" s="80">
        <f>IF(OR(Scale!$U245="",Scale!$U245=0),"",Scale!$U245)</f>
        <v/>
      </c>
      <c r="E950" s="81">
        <f>IF(OR(Scale!$U245="",Scale!$U245=0),"",Scale!$T245)</f>
        <v/>
      </c>
      <c r="F950" s="81">
        <f>IF(OR(Scale!$U245="",Scale!$U245=0),"",Scale!$J245)</f>
        <v/>
      </c>
      <c r="G950" s="82">
        <f>IF(OR(Scale!$U245="",Scale!$U245=0),"",Scale!$M245)</f>
        <v/>
      </c>
      <c r="H950" s="82">
        <f>IF(OR(Scale!$U245="",Scale!$U245=0),"",Scale!$L245)</f>
        <v/>
      </c>
      <c r="I950" s="82">
        <f>IF(OR(Scale!$U245="",Scale!$U245=0),"",Scale!$N245)</f>
        <v/>
      </c>
      <c r="J950" s="82">
        <f>IF(OR(Scale!$U245="",Scale!$U245=0),"",Scale!$O245)</f>
        <v/>
      </c>
      <c r="K950" s="82">
        <f>IF(OR(Scale!$U245="",Scale!$U245=0),"",IF(Scale!$V245="",0,Scale!$V245)+IF(Scale!$W245="",0,Scale!$W245))</f>
        <v/>
      </c>
      <c r="L950" s="82">
        <f>IF(OR(Scale!$U245="",Scale!$U245=0),"",Scale!$V245)</f>
        <v/>
      </c>
      <c r="M950" s="82">
        <f>IF(OR(Scale!$U245="",Scale!$U245=0),"",Scale!$W245)</f>
        <v/>
      </c>
      <c r="N950" s="81">
        <f>IF(OR(Scale!$U245="",Scale!$U245=0),"",Scale!$E245)</f>
        <v/>
      </c>
      <c r="O950" s="81">
        <f>IF(OR(Scale!$U245="",Scale!$U245=0),"",IFERROR(VLOOKUP(Scale!$U245,AcctTbl,3,0),""))</f>
        <v/>
      </c>
      <c r="P950" s="82">
        <f>IF(Scale!$U245&lt;&gt;"X011","","BN02")</f>
        <v/>
      </c>
    </row>
    <row r="951" ht="20.25" customHeight="1">
      <c r="A951" s="80">
        <f>IF(OR(Scale!$X245="",Scale!$X245=0),"",Scale!$B245)</f>
        <v/>
      </c>
      <c r="B951" s="80">
        <f>IF(OR(Scale!$X245="",Scale!$X245=0),"",Scale!$D245)</f>
        <v/>
      </c>
      <c r="C951" s="80">
        <f>IF(OR(Scale!$X245="",Scale!$X245=0),"","باسکول")</f>
        <v/>
      </c>
      <c r="D951" s="80">
        <f>IF(OR(Scale!$X245="",Scale!$X245=0),"",Scale!$X245)</f>
        <v/>
      </c>
      <c r="E951" s="81">
        <f>IF(OR(Scale!$X245="",Scale!$X245=0),"",IF(Scale!$X245="","","مقابل: "&amp;Scale!$E245))</f>
        <v/>
      </c>
      <c r="F951" s="83" t="n"/>
      <c r="G951" s="83" t="n"/>
      <c r="H951" s="83" t="n"/>
      <c r="I951" s="83" t="n"/>
      <c r="J951" s="83" t="n"/>
      <c r="K951" s="82">
        <f>IF(OR(Scale!$X245="",Scale!$X245=0),"",IF(Scale!$Y245="",0,Scale!$Y245)+IF(Scale!$Z245="",0,Scale!$Z245))</f>
        <v/>
      </c>
      <c r="L951" s="82">
        <f>IF(OR(Scale!$X245="",Scale!$X245=0),"",Scale!$Y245)</f>
        <v/>
      </c>
      <c r="M951" s="82">
        <f>IF(OR(Scale!$X245="",Scale!$X245=0),"",Scale!$Z245)</f>
        <v/>
      </c>
      <c r="N951" s="81">
        <f>IF(OR(Scale!$X245="",Scale!$X245=0),"","مقابل")</f>
        <v/>
      </c>
      <c r="O951" s="81">
        <f>IF(OR(Scale!$X245="",Scale!$X245=0),"",IFERROR(VLOOKUP(Scale!$X245,AcctTbl,3,0),""))</f>
        <v/>
      </c>
      <c r="P951" s="82">
        <f>IF(Scale!$X245&lt;&gt;"X011","","BN02")</f>
        <v/>
      </c>
    </row>
    <row r="952" ht="20.25" customHeight="1">
      <c r="A952" s="80">
        <f>IF(OR(Scale!$AA245="",Scale!$AA245=0),"",Scale!$B245)</f>
        <v/>
      </c>
      <c r="B952" s="80">
        <f>IF(OR(Scale!$AA245="",Scale!$AA245=0),"",Scale!$D245)</f>
        <v/>
      </c>
      <c r="C952" s="80">
        <f>IF(OR(Scale!$AA245="",Scale!$AA245=0),"","باسکول")</f>
        <v/>
      </c>
      <c r="D952" s="80">
        <f>IF(OR(Scale!$AA245="",Scale!$AA245=0),"",Scale!$AA245)</f>
        <v/>
      </c>
      <c r="E952" s="81">
        <f>IF(OR(Scale!$AA245="",Scale!$AA245=0),"",IF(Scale!$AA245="","","پوز باسکول — "&amp;Scale!$E245))</f>
        <v/>
      </c>
      <c r="F952" s="83" t="n"/>
      <c r="G952" s="83" t="n"/>
      <c r="H952" s="83" t="n"/>
      <c r="I952" s="83" t="n"/>
      <c r="J952" s="83" t="n"/>
      <c r="K952" s="82">
        <f>IF(OR(Scale!$AA245="",Scale!$AA245=0),"",IF(Scale!$AB245="",0,Scale!$AB245)+IF(Scale!$AC245="",0,Scale!$AC245))</f>
        <v/>
      </c>
      <c r="L952" s="82">
        <f>IF(OR(Scale!$AA245="",Scale!$AA245=0),"",Scale!$AB245)</f>
        <v/>
      </c>
      <c r="M952" s="82">
        <f>IF(OR(Scale!$AA245="",Scale!$AA245=0),"",Scale!$AC245)</f>
        <v/>
      </c>
      <c r="N952" s="81">
        <f>IF(OR(Scale!$AA245="",Scale!$AA245=0),"","پوز")</f>
        <v/>
      </c>
      <c r="O952" s="81">
        <f>IF(OR(Scale!$AA245="",Scale!$AA245=0),"",IFERROR(VLOOKUP(Scale!$AA245,AcctTbl,3,0),""))</f>
        <v/>
      </c>
      <c r="P952" s="82">
        <f>IF(Scale!$AA245&lt;&gt;"X011","","BN02")</f>
        <v/>
      </c>
    </row>
    <row r="953" ht="20.25" customHeight="1">
      <c r="A953" s="80">
        <f>IF(OR(Scale!$AD245="",Scale!$AD245=0),"",Scale!$B245)</f>
        <v/>
      </c>
      <c r="B953" s="80">
        <f>IF(OR(Scale!$AD245="",Scale!$AD245=0),"",Scale!$D245)</f>
        <v/>
      </c>
      <c r="C953" s="80">
        <f>IF(OR(Scale!$AD245="",Scale!$AD245=0),"","باسکول")</f>
        <v/>
      </c>
      <c r="D953" s="80">
        <f>IF(OR(Scale!$AD245="",Scale!$AD245=0),"",Scale!$AD245)</f>
        <v/>
      </c>
      <c r="E953" s="81">
        <f>IF(OR(Scale!$AD245="",Scale!$AD245=0),"",IF(Scale!$AD245="","","مقابل پوز — "&amp;Scale!$E245))</f>
        <v/>
      </c>
      <c r="F953" s="83" t="n"/>
      <c r="G953" s="83" t="n"/>
      <c r="H953" s="83" t="n"/>
      <c r="I953" s="83" t="n"/>
      <c r="J953" s="83" t="n"/>
      <c r="K953" s="82">
        <f>IF(OR(Scale!$AD245="",Scale!$AD245=0),"",IF(Scale!$AE245="",0,Scale!$AE245)+IF(Scale!$AF245="",0,Scale!$AF245))</f>
        <v/>
      </c>
      <c r="L953" s="82">
        <f>IF(OR(Scale!$AD245="",Scale!$AD245=0),"",Scale!$AE245)</f>
        <v/>
      </c>
      <c r="M953" s="82">
        <f>IF(OR(Scale!$AD245="",Scale!$AD245=0),"",Scale!$AF245)</f>
        <v/>
      </c>
      <c r="N953" s="81">
        <f>IF(OR(Scale!$AD245="",Scale!$AD245=0),"","مقابل پوز")</f>
        <v/>
      </c>
      <c r="O953" s="81">
        <f>IF(OR(Scale!$AD245="",Scale!$AD245=0),"",IFERROR(VLOOKUP(Scale!$AD245,AcctTbl,3,0),""))</f>
        <v/>
      </c>
      <c r="P953" s="82">
        <f>IF(Scale!$AD245&lt;&gt;"X011","","BN02")</f>
        <v/>
      </c>
    </row>
    <row r="954" ht="20.25" customHeight="1">
      <c r="A954" s="80">
        <f>IF(OR(Scale!$U246="",Scale!$U246=0),"",Scale!$B246)</f>
        <v/>
      </c>
      <c r="B954" s="80">
        <f>IF(OR(Scale!$U246="",Scale!$U246=0),"",Scale!$D246)</f>
        <v/>
      </c>
      <c r="C954" s="80">
        <f>IF(OR(Scale!$U246="",Scale!$U246=0),"","باسکول")</f>
        <v/>
      </c>
      <c r="D954" s="80">
        <f>IF(OR(Scale!$U246="",Scale!$U246=0),"",Scale!$U246)</f>
        <v/>
      </c>
      <c r="E954" s="81">
        <f>IF(OR(Scale!$U246="",Scale!$U246=0),"",Scale!$T246)</f>
        <v/>
      </c>
      <c r="F954" s="81">
        <f>IF(OR(Scale!$U246="",Scale!$U246=0),"",Scale!$J246)</f>
        <v/>
      </c>
      <c r="G954" s="82">
        <f>IF(OR(Scale!$U246="",Scale!$U246=0),"",Scale!$M246)</f>
        <v/>
      </c>
      <c r="H954" s="82">
        <f>IF(OR(Scale!$U246="",Scale!$U246=0),"",Scale!$L246)</f>
        <v/>
      </c>
      <c r="I954" s="82">
        <f>IF(OR(Scale!$U246="",Scale!$U246=0),"",Scale!$N246)</f>
        <v/>
      </c>
      <c r="J954" s="82">
        <f>IF(OR(Scale!$U246="",Scale!$U246=0),"",Scale!$O246)</f>
        <v/>
      </c>
      <c r="K954" s="82">
        <f>IF(OR(Scale!$U246="",Scale!$U246=0),"",IF(Scale!$V246="",0,Scale!$V246)+IF(Scale!$W246="",0,Scale!$W246))</f>
        <v/>
      </c>
      <c r="L954" s="82">
        <f>IF(OR(Scale!$U246="",Scale!$U246=0),"",Scale!$V246)</f>
        <v/>
      </c>
      <c r="M954" s="82">
        <f>IF(OR(Scale!$U246="",Scale!$U246=0),"",Scale!$W246)</f>
        <v/>
      </c>
      <c r="N954" s="81">
        <f>IF(OR(Scale!$U246="",Scale!$U246=0),"",Scale!$E246)</f>
        <v/>
      </c>
      <c r="O954" s="81">
        <f>IF(OR(Scale!$U246="",Scale!$U246=0),"",IFERROR(VLOOKUP(Scale!$U246,AcctTbl,3,0),""))</f>
        <v/>
      </c>
      <c r="P954" s="82">
        <f>IF(Scale!$U246&lt;&gt;"X011","","BN02")</f>
        <v/>
      </c>
    </row>
    <row r="955" ht="20.25" customHeight="1">
      <c r="A955" s="80">
        <f>IF(OR(Scale!$X246="",Scale!$X246=0),"",Scale!$B246)</f>
        <v/>
      </c>
      <c r="B955" s="80">
        <f>IF(OR(Scale!$X246="",Scale!$X246=0),"",Scale!$D246)</f>
        <v/>
      </c>
      <c r="C955" s="80">
        <f>IF(OR(Scale!$X246="",Scale!$X246=0),"","باسکول")</f>
        <v/>
      </c>
      <c r="D955" s="80">
        <f>IF(OR(Scale!$X246="",Scale!$X246=0),"",Scale!$X246)</f>
        <v/>
      </c>
      <c r="E955" s="81">
        <f>IF(OR(Scale!$X246="",Scale!$X246=0),"",IF(Scale!$X246="","","مقابل: "&amp;Scale!$E246))</f>
        <v/>
      </c>
      <c r="F955" s="83" t="n"/>
      <c r="G955" s="83" t="n"/>
      <c r="H955" s="83" t="n"/>
      <c r="I955" s="83" t="n"/>
      <c r="J955" s="83" t="n"/>
      <c r="K955" s="82">
        <f>IF(OR(Scale!$X246="",Scale!$X246=0),"",IF(Scale!$Y246="",0,Scale!$Y246)+IF(Scale!$Z246="",0,Scale!$Z246))</f>
        <v/>
      </c>
      <c r="L955" s="82">
        <f>IF(OR(Scale!$X246="",Scale!$X246=0),"",Scale!$Y246)</f>
        <v/>
      </c>
      <c r="M955" s="82">
        <f>IF(OR(Scale!$X246="",Scale!$X246=0),"",Scale!$Z246)</f>
        <v/>
      </c>
      <c r="N955" s="81">
        <f>IF(OR(Scale!$X246="",Scale!$X246=0),"","مقابل")</f>
        <v/>
      </c>
      <c r="O955" s="81">
        <f>IF(OR(Scale!$X246="",Scale!$X246=0),"",IFERROR(VLOOKUP(Scale!$X246,AcctTbl,3,0),""))</f>
        <v/>
      </c>
      <c r="P955" s="82">
        <f>IF(Scale!$X246&lt;&gt;"X011","","BN02")</f>
        <v/>
      </c>
    </row>
    <row r="956" ht="20.25" customHeight="1">
      <c r="A956" s="80">
        <f>IF(OR(Scale!$AA246="",Scale!$AA246=0),"",Scale!$B246)</f>
        <v/>
      </c>
      <c r="B956" s="80">
        <f>IF(OR(Scale!$AA246="",Scale!$AA246=0),"",Scale!$D246)</f>
        <v/>
      </c>
      <c r="C956" s="80">
        <f>IF(OR(Scale!$AA246="",Scale!$AA246=0),"","باسکول")</f>
        <v/>
      </c>
      <c r="D956" s="80">
        <f>IF(OR(Scale!$AA246="",Scale!$AA246=0),"",Scale!$AA246)</f>
        <v/>
      </c>
      <c r="E956" s="81">
        <f>IF(OR(Scale!$AA246="",Scale!$AA246=0),"",IF(Scale!$AA246="","","پوز باسکول — "&amp;Scale!$E246))</f>
        <v/>
      </c>
      <c r="F956" s="83" t="n"/>
      <c r="G956" s="83" t="n"/>
      <c r="H956" s="83" t="n"/>
      <c r="I956" s="83" t="n"/>
      <c r="J956" s="83" t="n"/>
      <c r="K956" s="82">
        <f>IF(OR(Scale!$AA246="",Scale!$AA246=0),"",IF(Scale!$AB246="",0,Scale!$AB246)+IF(Scale!$AC246="",0,Scale!$AC246))</f>
        <v/>
      </c>
      <c r="L956" s="82">
        <f>IF(OR(Scale!$AA246="",Scale!$AA246=0),"",Scale!$AB246)</f>
        <v/>
      </c>
      <c r="M956" s="82">
        <f>IF(OR(Scale!$AA246="",Scale!$AA246=0),"",Scale!$AC246)</f>
        <v/>
      </c>
      <c r="N956" s="81">
        <f>IF(OR(Scale!$AA246="",Scale!$AA246=0),"","پوز")</f>
        <v/>
      </c>
      <c r="O956" s="81">
        <f>IF(OR(Scale!$AA246="",Scale!$AA246=0),"",IFERROR(VLOOKUP(Scale!$AA246,AcctTbl,3,0),""))</f>
        <v/>
      </c>
      <c r="P956" s="82">
        <f>IF(Scale!$AA246&lt;&gt;"X011","","BN02")</f>
        <v/>
      </c>
    </row>
    <row r="957" ht="20.25" customHeight="1">
      <c r="A957" s="80">
        <f>IF(OR(Scale!$AD246="",Scale!$AD246=0),"",Scale!$B246)</f>
        <v/>
      </c>
      <c r="B957" s="80">
        <f>IF(OR(Scale!$AD246="",Scale!$AD246=0),"",Scale!$D246)</f>
        <v/>
      </c>
      <c r="C957" s="80">
        <f>IF(OR(Scale!$AD246="",Scale!$AD246=0),"","باسکول")</f>
        <v/>
      </c>
      <c r="D957" s="80">
        <f>IF(OR(Scale!$AD246="",Scale!$AD246=0),"",Scale!$AD246)</f>
        <v/>
      </c>
      <c r="E957" s="81">
        <f>IF(OR(Scale!$AD246="",Scale!$AD246=0),"",IF(Scale!$AD246="","","مقابل پوز — "&amp;Scale!$E246))</f>
        <v/>
      </c>
      <c r="F957" s="83" t="n"/>
      <c r="G957" s="83" t="n"/>
      <c r="H957" s="83" t="n"/>
      <c r="I957" s="83" t="n"/>
      <c r="J957" s="83" t="n"/>
      <c r="K957" s="82">
        <f>IF(OR(Scale!$AD246="",Scale!$AD246=0),"",IF(Scale!$AE246="",0,Scale!$AE246)+IF(Scale!$AF246="",0,Scale!$AF246))</f>
        <v/>
      </c>
      <c r="L957" s="82">
        <f>IF(OR(Scale!$AD246="",Scale!$AD246=0),"",Scale!$AE246)</f>
        <v/>
      </c>
      <c r="M957" s="82">
        <f>IF(OR(Scale!$AD246="",Scale!$AD246=0),"",Scale!$AF246)</f>
        <v/>
      </c>
      <c r="N957" s="81">
        <f>IF(OR(Scale!$AD246="",Scale!$AD246=0),"","مقابل پوز")</f>
        <v/>
      </c>
      <c r="O957" s="81">
        <f>IF(OR(Scale!$AD246="",Scale!$AD246=0),"",IFERROR(VLOOKUP(Scale!$AD246,AcctTbl,3,0),""))</f>
        <v/>
      </c>
      <c r="P957" s="82">
        <f>IF(Scale!$AD246&lt;&gt;"X011","","BN02")</f>
        <v/>
      </c>
    </row>
    <row r="958" ht="20.25" customHeight="1">
      <c r="A958" s="80">
        <f>IF(OR(Scale!$U247="",Scale!$U247=0),"",Scale!$B247)</f>
        <v/>
      </c>
      <c r="B958" s="80">
        <f>IF(OR(Scale!$U247="",Scale!$U247=0),"",Scale!$D247)</f>
        <v/>
      </c>
      <c r="C958" s="80">
        <f>IF(OR(Scale!$U247="",Scale!$U247=0),"","باسکول")</f>
        <v/>
      </c>
      <c r="D958" s="80">
        <f>IF(OR(Scale!$U247="",Scale!$U247=0),"",Scale!$U247)</f>
        <v/>
      </c>
      <c r="E958" s="81">
        <f>IF(OR(Scale!$U247="",Scale!$U247=0),"",Scale!$T247)</f>
        <v/>
      </c>
      <c r="F958" s="81">
        <f>IF(OR(Scale!$U247="",Scale!$U247=0),"",Scale!$J247)</f>
        <v/>
      </c>
      <c r="G958" s="82">
        <f>IF(OR(Scale!$U247="",Scale!$U247=0),"",Scale!$M247)</f>
        <v/>
      </c>
      <c r="H958" s="82">
        <f>IF(OR(Scale!$U247="",Scale!$U247=0),"",Scale!$L247)</f>
        <v/>
      </c>
      <c r="I958" s="82">
        <f>IF(OR(Scale!$U247="",Scale!$U247=0),"",Scale!$N247)</f>
        <v/>
      </c>
      <c r="J958" s="82">
        <f>IF(OR(Scale!$U247="",Scale!$U247=0),"",Scale!$O247)</f>
        <v/>
      </c>
      <c r="K958" s="82">
        <f>IF(OR(Scale!$U247="",Scale!$U247=0),"",IF(Scale!$V247="",0,Scale!$V247)+IF(Scale!$W247="",0,Scale!$W247))</f>
        <v/>
      </c>
      <c r="L958" s="82">
        <f>IF(OR(Scale!$U247="",Scale!$U247=0),"",Scale!$V247)</f>
        <v/>
      </c>
      <c r="M958" s="82">
        <f>IF(OR(Scale!$U247="",Scale!$U247=0),"",Scale!$W247)</f>
        <v/>
      </c>
      <c r="N958" s="81">
        <f>IF(OR(Scale!$U247="",Scale!$U247=0),"",Scale!$E247)</f>
        <v/>
      </c>
      <c r="O958" s="81">
        <f>IF(OR(Scale!$U247="",Scale!$U247=0),"",IFERROR(VLOOKUP(Scale!$U247,AcctTbl,3,0),""))</f>
        <v/>
      </c>
      <c r="P958" s="82">
        <f>IF(Scale!$U247&lt;&gt;"X011","","BN02")</f>
        <v/>
      </c>
    </row>
    <row r="959" ht="20.25" customHeight="1">
      <c r="A959" s="80">
        <f>IF(OR(Scale!$X247="",Scale!$X247=0),"",Scale!$B247)</f>
        <v/>
      </c>
      <c r="B959" s="80">
        <f>IF(OR(Scale!$X247="",Scale!$X247=0),"",Scale!$D247)</f>
        <v/>
      </c>
      <c r="C959" s="80">
        <f>IF(OR(Scale!$X247="",Scale!$X247=0),"","باسکول")</f>
        <v/>
      </c>
      <c r="D959" s="80">
        <f>IF(OR(Scale!$X247="",Scale!$X247=0),"",Scale!$X247)</f>
        <v/>
      </c>
      <c r="E959" s="81">
        <f>IF(OR(Scale!$X247="",Scale!$X247=0),"",IF(Scale!$X247="","","مقابل: "&amp;Scale!$E247))</f>
        <v/>
      </c>
      <c r="F959" s="83" t="n"/>
      <c r="G959" s="83" t="n"/>
      <c r="H959" s="83" t="n"/>
      <c r="I959" s="83" t="n"/>
      <c r="J959" s="83" t="n"/>
      <c r="K959" s="82">
        <f>IF(OR(Scale!$X247="",Scale!$X247=0),"",IF(Scale!$Y247="",0,Scale!$Y247)+IF(Scale!$Z247="",0,Scale!$Z247))</f>
        <v/>
      </c>
      <c r="L959" s="82">
        <f>IF(OR(Scale!$X247="",Scale!$X247=0),"",Scale!$Y247)</f>
        <v/>
      </c>
      <c r="M959" s="82">
        <f>IF(OR(Scale!$X247="",Scale!$X247=0),"",Scale!$Z247)</f>
        <v/>
      </c>
      <c r="N959" s="81">
        <f>IF(OR(Scale!$X247="",Scale!$X247=0),"","مقابل")</f>
        <v/>
      </c>
      <c r="O959" s="81">
        <f>IF(OR(Scale!$X247="",Scale!$X247=0),"",IFERROR(VLOOKUP(Scale!$X247,AcctTbl,3,0),""))</f>
        <v/>
      </c>
      <c r="P959" s="82">
        <f>IF(Scale!$X247&lt;&gt;"X011","","BN02")</f>
        <v/>
      </c>
    </row>
    <row r="960" ht="20.25" customHeight="1">
      <c r="A960" s="80">
        <f>IF(OR(Scale!$AA247="",Scale!$AA247=0),"",Scale!$B247)</f>
        <v/>
      </c>
      <c r="B960" s="80">
        <f>IF(OR(Scale!$AA247="",Scale!$AA247=0),"",Scale!$D247)</f>
        <v/>
      </c>
      <c r="C960" s="80">
        <f>IF(OR(Scale!$AA247="",Scale!$AA247=0),"","باسکول")</f>
        <v/>
      </c>
      <c r="D960" s="80">
        <f>IF(OR(Scale!$AA247="",Scale!$AA247=0),"",Scale!$AA247)</f>
        <v/>
      </c>
      <c r="E960" s="81">
        <f>IF(OR(Scale!$AA247="",Scale!$AA247=0),"",IF(Scale!$AA247="","","پوز باسکول — "&amp;Scale!$E247))</f>
        <v/>
      </c>
      <c r="F960" s="83" t="n"/>
      <c r="G960" s="83" t="n"/>
      <c r="H960" s="83" t="n"/>
      <c r="I960" s="83" t="n"/>
      <c r="J960" s="83" t="n"/>
      <c r="K960" s="82">
        <f>IF(OR(Scale!$AA247="",Scale!$AA247=0),"",IF(Scale!$AB247="",0,Scale!$AB247)+IF(Scale!$AC247="",0,Scale!$AC247))</f>
        <v/>
      </c>
      <c r="L960" s="82">
        <f>IF(OR(Scale!$AA247="",Scale!$AA247=0),"",Scale!$AB247)</f>
        <v/>
      </c>
      <c r="M960" s="82">
        <f>IF(OR(Scale!$AA247="",Scale!$AA247=0),"",Scale!$AC247)</f>
        <v/>
      </c>
      <c r="N960" s="81">
        <f>IF(OR(Scale!$AA247="",Scale!$AA247=0),"","پوز")</f>
        <v/>
      </c>
      <c r="O960" s="81">
        <f>IF(OR(Scale!$AA247="",Scale!$AA247=0),"",IFERROR(VLOOKUP(Scale!$AA247,AcctTbl,3,0),""))</f>
        <v/>
      </c>
      <c r="P960" s="82">
        <f>IF(Scale!$AA247&lt;&gt;"X011","","BN02")</f>
        <v/>
      </c>
    </row>
    <row r="961" ht="20.25" customHeight="1">
      <c r="A961" s="80">
        <f>IF(OR(Scale!$AD247="",Scale!$AD247=0),"",Scale!$B247)</f>
        <v/>
      </c>
      <c r="B961" s="80">
        <f>IF(OR(Scale!$AD247="",Scale!$AD247=0),"",Scale!$D247)</f>
        <v/>
      </c>
      <c r="C961" s="80">
        <f>IF(OR(Scale!$AD247="",Scale!$AD247=0),"","باسکول")</f>
        <v/>
      </c>
      <c r="D961" s="80">
        <f>IF(OR(Scale!$AD247="",Scale!$AD247=0),"",Scale!$AD247)</f>
        <v/>
      </c>
      <c r="E961" s="81">
        <f>IF(OR(Scale!$AD247="",Scale!$AD247=0),"",IF(Scale!$AD247="","","مقابل پوز — "&amp;Scale!$E247))</f>
        <v/>
      </c>
      <c r="F961" s="83" t="n"/>
      <c r="G961" s="83" t="n"/>
      <c r="H961" s="83" t="n"/>
      <c r="I961" s="83" t="n"/>
      <c r="J961" s="83" t="n"/>
      <c r="K961" s="82">
        <f>IF(OR(Scale!$AD247="",Scale!$AD247=0),"",IF(Scale!$AE247="",0,Scale!$AE247)+IF(Scale!$AF247="",0,Scale!$AF247))</f>
        <v/>
      </c>
      <c r="L961" s="82">
        <f>IF(OR(Scale!$AD247="",Scale!$AD247=0),"",Scale!$AE247)</f>
        <v/>
      </c>
      <c r="M961" s="82">
        <f>IF(OR(Scale!$AD247="",Scale!$AD247=0),"",Scale!$AF247)</f>
        <v/>
      </c>
      <c r="N961" s="81">
        <f>IF(OR(Scale!$AD247="",Scale!$AD247=0),"","مقابل پوز")</f>
        <v/>
      </c>
      <c r="O961" s="81">
        <f>IF(OR(Scale!$AD247="",Scale!$AD247=0),"",IFERROR(VLOOKUP(Scale!$AD247,AcctTbl,3,0),""))</f>
        <v/>
      </c>
      <c r="P961" s="82">
        <f>IF(Scale!$AD247&lt;&gt;"X011","","BN02")</f>
        <v/>
      </c>
    </row>
    <row r="962" ht="20.25" customHeight="1">
      <c r="A962" s="80">
        <f>IF(OR(Scale!$U248="",Scale!$U248=0),"",Scale!$B248)</f>
        <v/>
      </c>
      <c r="B962" s="80">
        <f>IF(OR(Scale!$U248="",Scale!$U248=0),"",Scale!$D248)</f>
        <v/>
      </c>
      <c r="C962" s="80">
        <f>IF(OR(Scale!$U248="",Scale!$U248=0),"","باسکول")</f>
        <v/>
      </c>
      <c r="D962" s="80">
        <f>IF(OR(Scale!$U248="",Scale!$U248=0),"",Scale!$U248)</f>
        <v/>
      </c>
      <c r="E962" s="81">
        <f>IF(OR(Scale!$U248="",Scale!$U248=0),"",Scale!$T248)</f>
        <v/>
      </c>
      <c r="F962" s="81">
        <f>IF(OR(Scale!$U248="",Scale!$U248=0),"",Scale!$J248)</f>
        <v/>
      </c>
      <c r="G962" s="82">
        <f>IF(OR(Scale!$U248="",Scale!$U248=0),"",Scale!$M248)</f>
        <v/>
      </c>
      <c r="H962" s="82">
        <f>IF(OR(Scale!$U248="",Scale!$U248=0),"",Scale!$L248)</f>
        <v/>
      </c>
      <c r="I962" s="82">
        <f>IF(OR(Scale!$U248="",Scale!$U248=0),"",Scale!$N248)</f>
        <v/>
      </c>
      <c r="J962" s="82">
        <f>IF(OR(Scale!$U248="",Scale!$U248=0),"",Scale!$O248)</f>
        <v/>
      </c>
      <c r="K962" s="82">
        <f>IF(OR(Scale!$U248="",Scale!$U248=0),"",IF(Scale!$V248="",0,Scale!$V248)+IF(Scale!$W248="",0,Scale!$W248))</f>
        <v/>
      </c>
      <c r="L962" s="82">
        <f>IF(OR(Scale!$U248="",Scale!$U248=0),"",Scale!$V248)</f>
        <v/>
      </c>
      <c r="M962" s="82">
        <f>IF(OR(Scale!$U248="",Scale!$U248=0),"",Scale!$W248)</f>
        <v/>
      </c>
      <c r="N962" s="81">
        <f>IF(OR(Scale!$U248="",Scale!$U248=0),"",Scale!$E248)</f>
        <v/>
      </c>
      <c r="O962" s="81">
        <f>IF(OR(Scale!$U248="",Scale!$U248=0),"",IFERROR(VLOOKUP(Scale!$U248,AcctTbl,3,0),""))</f>
        <v/>
      </c>
      <c r="P962" s="82">
        <f>IF(Scale!$U248&lt;&gt;"X011","","BN02")</f>
        <v/>
      </c>
    </row>
    <row r="963" ht="20.25" customHeight="1">
      <c r="A963" s="80">
        <f>IF(OR(Scale!$X248="",Scale!$X248=0),"",Scale!$B248)</f>
        <v/>
      </c>
      <c r="B963" s="80">
        <f>IF(OR(Scale!$X248="",Scale!$X248=0),"",Scale!$D248)</f>
        <v/>
      </c>
      <c r="C963" s="80">
        <f>IF(OR(Scale!$X248="",Scale!$X248=0),"","باسکول")</f>
        <v/>
      </c>
      <c r="D963" s="80">
        <f>IF(OR(Scale!$X248="",Scale!$X248=0),"",Scale!$X248)</f>
        <v/>
      </c>
      <c r="E963" s="81">
        <f>IF(OR(Scale!$X248="",Scale!$X248=0),"",IF(Scale!$X248="","","مقابل: "&amp;Scale!$E248))</f>
        <v/>
      </c>
      <c r="F963" s="83" t="n"/>
      <c r="G963" s="83" t="n"/>
      <c r="H963" s="83" t="n"/>
      <c r="I963" s="83" t="n"/>
      <c r="J963" s="83" t="n"/>
      <c r="K963" s="82">
        <f>IF(OR(Scale!$X248="",Scale!$X248=0),"",IF(Scale!$Y248="",0,Scale!$Y248)+IF(Scale!$Z248="",0,Scale!$Z248))</f>
        <v/>
      </c>
      <c r="L963" s="82">
        <f>IF(OR(Scale!$X248="",Scale!$X248=0),"",Scale!$Y248)</f>
        <v/>
      </c>
      <c r="M963" s="82">
        <f>IF(OR(Scale!$X248="",Scale!$X248=0),"",Scale!$Z248)</f>
        <v/>
      </c>
      <c r="N963" s="81">
        <f>IF(OR(Scale!$X248="",Scale!$X248=0),"","مقابل")</f>
        <v/>
      </c>
      <c r="O963" s="81">
        <f>IF(OR(Scale!$X248="",Scale!$X248=0),"",IFERROR(VLOOKUP(Scale!$X248,AcctTbl,3,0),""))</f>
        <v/>
      </c>
      <c r="P963" s="82">
        <f>IF(Scale!$X248&lt;&gt;"X011","","BN02")</f>
        <v/>
      </c>
    </row>
    <row r="964" ht="20.25" customHeight="1">
      <c r="A964" s="80">
        <f>IF(OR(Scale!$AA248="",Scale!$AA248=0),"",Scale!$B248)</f>
        <v/>
      </c>
      <c r="B964" s="80">
        <f>IF(OR(Scale!$AA248="",Scale!$AA248=0),"",Scale!$D248)</f>
        <v/>
      </c>
      <c r="C964" s="80">
        <f>IF(OR(Scale!$AA248="",Scale!$AA248=0),"","باسکول")</f>
        <v/>
      </c>
      <c r="D964" s="80">
        <f>IF(OR(Scale!$AA248="",Scale!$AA248=0),"",Scale!$AA248)</f>
        <v/>
      </c>
      <c r="E964" s="81">
        <f>IF(OR(Scale!$AA248="",Scale!$AA248=0),"",IF(Scale!$AA248="","","پوز باسکول — "&amp;Scale!$E248))</f>
        <v/>
      </c>
      <c r="F964" s="83" t="n"/>
      <c r="G964" s="83" t="n"/>
      <c r="H964" s="83" t="n"/>
      <c r="I964" s="83" t="n"/>
      <c r="J964" s="83" t="n"/>
      <c r="K964" s="82">
        <f>IF(OR(Scale!$AA248="",Scale!$AA248=0),"",IF(Scale!$AB248="",0,Scale!$AB248)+IF(Scale!$AC248="",0,Scale!$AC248))</f>
        <v/>
      </c>
      <c r="L964" s="82">
        <f>IF(OR(Scale!$AA248="",Scale!$AA248=0),"",Scale!$AB248)</f>
        <v/>
      </c>
      <c r="M964" s="82">
        <f>IF(OR(Scale!$AA248="",Scale!$AA248=0),"",Scale!$AC248)</f>
        <v/>
      </c>
      <c r="N964" s="81">
        <f>IF(OR(Scale!$AA248="",Scale!$AA248=0),"","پوز")</f>
        <v/>
      </c>
      <c r="O964" s="81">
        <f>IF(OR(Scale!$AA248="",Scale!$AA248=0),"",IFERROR(VLOOKUP(Scale!$AA248,AcctTbl,3,0),""))</f>
        <v/>
      </c>
      <c r="P964" s="82">
        <f>IF(Scale!$AA248&lt;&gt;"X011","","BN02")</f>
        <v/>
      </c>
    </row>
    <row r="965" ht="20.25" customHeight="1">
      <c r="A965" s="80">
        <f>IF(OR(Scale!$AD248="",Scale!$AD248=0),"",Scale!$B248)</f>
        <v/>
      </c>
      <c r="B965" s="80">
        <f>IF(OR(Scale!$AD248="",Scale!$AD248=0),"",Scale!$D248)</f>
        <v/>
      </c>
      <c r="C965" s="80">
        <f>IF(OR(Scale!$AD248="",Scale!$AD248=0),"","باسکول")</f>
        <v/>
      </c>
      <c r="D965" s="80">
        <f>IF(OR(Scale!$AD248="",Scale!$AD248=0),"",Scale!$AD248)</f>
        <v/>
      </c>
      <c r="E965" s="81">
        <f>IF(OR(Scale!$AD248="",Scale!$AD248=0),"",IF(Scale!$AD248="","","مقابل پوز — "&amp;Scale!$E248))</f>
        <v/>
      </c>
      <c r="F965" s="83" t="n"/>
      <c r="G965" s="83" t="n"/>
      <c r="H965" s="83" t="n"/>
      <c r="I965" s="83" t="n"/>
      <c r="J965" s="83" t="n"/>
      <c r="K965" s="82">
        <f>IF(OR(Scale!$AD248="",Scale!$AD248=0),"",IF(Scale!$AE248="",0,Scale!$AE248)+IF(Scale!$AF248="",0,Scale!$AF248))</f>
        <v/>
      </c>
      <c r="L965" s="82">
        <f>IF(OR(Scale!$AD248="",Scale!$AD248=0),"",Scale!$AE248)</f>
        <v/>
      </c>
      <c r="M965" s="82">
        <f>IF(OR(Scale!$AD248="",Scale!$AD248=0),"",Scale!$AF248)</f>
        <v/>
      </c>
      <c r="N965" s="81">
        <f>IF(OR(Scale!$AD248="",Scale!$AD248=0),"","مقابل پوز")</f>
        <v/>
      </c>
      <c r="O965" s="81">
        <f>IF(OR(Scale!$AD248="",Scale!$AD248=0),"",IFERROR(VLOOKUP(Scale!$AD248,AcctTbl,3,0),""))</f>
        <v/>
      </c>
      <c r="P965" s="82">
        <f>IF(Scale!$AD248&lt;&gt;"X011","","BN02")</f>
        <v/>
      </c>
    </row>
    <row r="966" ht="20.25" customHeight="1">
      <c r="A966" s="80">
        <f>IF(OR(Scale!$U249="",Scale!$U249=0),"",Scale!$B249)</f>
        <v/>
      </c>
      <c r="B966" s="80">
        <f>IF(OR(Scale!$U249="",Scale!$U249=0),"",Scale!$D249)</f>
        <v/>
      </c>
      <c r="C966" s="80">
        <f>IF(OR(Scale!$U249="",Scale!$U249=0),"","باسکول")</f>
        <v/>
      </c>
      <c r="D966" s="80">
        <f>IF(OR(Scale!$U249="",Scale!$U249=0),"",Scale!$U249)</f>
        <v/>
      </c>
      <c r="E966" s="81">
        <f>IF(OR(Scale!$U249="",Scale!$U249=0),"",Scale!$T249)</f>
        <v/>
      </c>
      <c r="F966" s="81">
        <f>IF(OR(Scale!$U249="",Scale!$U249=0),"",Scale!$J249)</f>
        <v/>
      </c>
      <c r="G966" s="82">
        <f>IF(OR(Scale!$U249="",Scale!$U249=0),"",Scale!$M249)</f>
        <v/>
      </c>
      <c r="H966" s="82">
        <f>IF(OR(Scale!$U249="",Scale!$U249=0),"",Scale!$L249)</f>
        <v/>
      </c>
      <c r="I966" s="82">
        <f>IF(OR(Scale!$U249="",Scale!$U249=0),"",Scale!$N249)</f>
        <v/>
      </c>
      <c r="J966" s="82">
        <f>IF(OR(Scale!$U249="",Scale!$U249=0),"",Scale!$O249)</f>
        <v/>
      </c>
      <c r="K966" s="82">
        <f>IF(OR(Scale!$U249="",Scale!$U249=0),"",IF(Scale!$V249="",0,Scale!$V249)+IF(Scale!$W249="",0,Scale!$W249))</f>
        <v/>
      </c>
      <c r="L966" s="82">
        <f>IF(OR(Scale!$U249="",Scale!$U249=0),"",Scale!$V249)</f>
        <v/>
      </c>
      <c r="M966" s="82">
        <f>IF(OR(Scale!$U249="",Scale!$U249=0),"",Scale!$W249)</f>
        <v/>
      </c>
      <c r="N966" s="81">
        <f>IF(OR(Scale!$U249="",Scale!$U249=0),"",Scale!$E249)</f>
        <v/>
      </c>
      <c r="O966" s="81">
        <f>IF(OR(Scale!$U249="",Scale!$U249=0),"",IFERROR(VLOOKUP(Scale!$U249,AcctTbl,3,0),""))</f>
        <v/>
      </c>
      <c r="P966" s="82">
        <f>IF(Scale!$U249&lt;&gt;"X011","","BN02")</f>
        <v/>
      </c>
    </row>
    <row r="967" ht="20.25" customHeight="1">
      <c r="A967" s="80">
        <f>IF(OR(Scale!$X249="",Scale!$X249=0),"",Scale!$B249)</f>
        <v/>
      </c>
      <c r="B967" s="80">
        <f>IF(OR(Scale!$X249="",Scale!$X249=0),"",Scale!$D249)</f>
        <v/>
      </c>
      <c r="C967" s="80">
        <f>IF(OR(Scale!$X249="",Scale!$X249=0),"","باسکول")</f>
        <v/>
      </c>
      <c r="D967" s="80">
        <f>IF(OR(Scale!$X249="",Scale!$X249=0),"",Scale!$X249)</f>
        <v/>
      </c>
      <c r="E967" s="81">
        <f>IF(OR(Scale!$X249="",Scale!$X249=0),"",IF(Scale!$X249="","","مقابل: "&amp;Scale!$E249))</f>
        <v/>
      </c>
      <c r="F967" s="83" t="n"/>
      <c r="G967" s="83" t="n"/>
      <c r="H967" s="83" t="n"/>
      <c r="I967" s="83" t="n"/>
      <c r="J967" s="83" t="n"/>
      <c r="K967" s="82">
        <f>IF(OR(Scale!$X249="",Scale!$X249=0),"",IF(Scale!$Y249="",0,Scale!$Y249)+IF(Scale!$Z249="",0,Scale!$Z249))</f>
        <v/>
      </c>
      <c r="L967" s="82">
        <f>IF(OR(Scale!$X249="",Scale!$X249=0),"",Scale!$Y249)</f>
        <v/>
      </c>
      <c r="M967" s="82">
        <f>IF(OR(Scale!$X249="",Scale!$X249=0),"",Scale!$Z249)</f>
        <v/>
      </c>
      <c r="N967" s="81">
        <f>IF(OR(Scale!$X249="",Scale!$X249=0),"","مقابل")</f>
        <v/>
      </c>
      <c r="O967" s="81">
        <f>IF(OR(Scale!$X249="",Scale!$X249=0),"",IFERROR(VLOOKUP(Scale!$X249,AcctTbl,3,0),""))</f>
        <v/>
      </c>
      <c r="P967" s="82">
        <f>IF(Scale!$X249&lt;&gt;"X011","","BN02")</f>
        <v/>
      </c>
    </row>
    <row r="968" ht="20.25" customHeight="1">
      <c r="A968" s="80">
        <f>IF(OR(Scale!$AA249="",Scale!$AA249=0),"",Scale!$B249)</f>
        <v/>
      </c>
      <c r="B968" s="80">
        <f>IF(OR(Scale!$AA249="",Scale!$AA249=0),"",Scale!$D249)</f>
        <v/>
      </c>
      <c r="C968" s="80">
        <f>IF(OR(Scale!$AA249="",Scale!$AA249=0),"","باسکول")</f>
        <v/>
      </c>
      <c r="D968" s="80">
        <f>IF(OR(Scale!$AA249="",Scale!$AA249=0),"",Scale!$AA249)</f>
        <v/>
      </c>
      <c r="E968" s="81">
        <f>IF(OR(Scale!$AA249="",Scale!$AA249=0),"",IF(Scale!$AA249="","","پوز باسکول — "&amp;Scale!$E249))</f>
        <v/>
      </c>
      <c r="F968" s="83" t="n"/>
      <c r="G968" s="83" t="n"/>
      <c r="H968" s="83" t="n"/>
      <c r="I968" s="83" t="n"/>
      <c r="J968" s="83" t="n"/>
      <c r="K968" s="82">
        <f>IF(OR(Scale!$AA249="",Scale!$AA249=0),"",IF(Scale!$AB249="",0,Scale!$AB249)+IF(Scale!$AC249="",0,Scale!$AC249))</f>
        <v/>
      </c>
      <c r="L968" s="82">
        <f>IF(OR(Scale!$AA249="",Scale!$AA249=0),"",Scale!$AB249)</f>
        <v/>
      </c>
      <c r="M968" s="82">
        <f>IF(OR(Scale!$AA249="",Scale!$AA249=0),"",Scale!$AC249)</f>
        <v/>
      </c>
      <c r="N968" s="81">
        <f>IF(OR(Scale!$AA249="",Scale!$AA249=0),"","پوز")</f>
        <v/>
      </c>
      <c r="O968" s="81">
        <f>IF(OR(Scale!$AA249="",Scale!$AA249=0),"",IFERROR(VLOOKUP(Scale!$AA249,AcctTbl,3,0),""))</f>
        <v/>
      </c>
      <c r="P968" s="82">
        <f>IF(Scale!$AA249&lt;&gt;"X011","","BN02")</f>
        <v/>
      </c>
    </row>
    <row r="969" ht="20.25" customHeight="1">
      <c r="A969" s="80">
        <f>IF(OR(Scale!$AD249="",Scale!$AD249=0),"",Scale!$B249)</f>
        <v/>
      </c>
      <c r="B969" s="80">
        <f>IF(OR(Scale!$AD249="",Scale!$AD249=0),"",Scale!$D249)</f>
        <v/>
      </c>
      <c r="C969" s="80">
        <f>IF(OR(Scale!$AD249="",Scale!$AD249=0),"","باسکول")</f>
        <v/>
      </c>
      <c r="D969" s="80">
        <f>IF(OR(Scale!$AD249="",Scale!$AD249=0),"",Scale!$AD249)</f>
        <v/>
      </c>
      <c r="E969" s="81">
        <f>IF(OR(Scale!$AD249="",Scale!$AD249=0),"",IF(Scale!$AD249="","","مقابل پوز — "&amp;Scale!$E249))</f>
        <v/>
      </c>
      <c r="F969" s="83" t="n"/>
      <c r="G969" s="83" t="n"/>
      <c r="H969" s="83" t="n"/>
      <c r="I969" s="83" t="n"/>
      <c r="J969" s="83" t="n"/>
      <c r="K969" s="82">
        <f>IF(OR(Scale!$AD249="",Scale!$AD249=0),"",IF(Scale!$AE249="",0,Scale!$AE249)+IF(Scale!$AF249="",0,Scale!$AF249))</f>
        <v/>
      </c>
      <c r="L969" s="82">
        <f>IF(OR(Scale!$AD249="",Scale!$AD249=0),"",Scale!$AE249)</f>
        <v/>
      </c>
      <c r="M969" s="82">
        <f>IF(OR(Scale!$AD249="",Scale!$AD249=0),"",Scale!$AF249)</f>
        <v/>
      </c>
      <c r="N969" s="81">
        <f>IF(OR(Scale!$AD249="",Scale!$AD249=0),"","مقابل پوز")</f>
        <v/>
      </c>
      <c r="O969" s="81">
        <f>IF(OR(Scale!$AD249="",Scale!$AD249=0),"",IFERROR(VLOOKUP(Scale!$AD249,AcctTbl,3,0),""))</f>
        <v/>
      </c>
      <c r="P969" s="82">
        <f>IF(Scale!$AD249&lt;&gt;"X011","","BN02")</f>
        <v/>
      </c>
    </row>
    <row r="970" ht="20.25" customHeight="1">
      <c r="A970" s="80">
        <f>IF(OR(Scale!$U250="",Scale!$U250=0),"",Scale!$B250)</f>
        <v/>
      </c>
      <c r="B970" s="80">
        <f>IF(OR(Scale!$U250="",Scale!$U250=0),"",Scale!$D250)</f>
        <v/>
      </c>
      <c r="C970" s="80">
        <f>IF(OR(Scale!$U250="",Scale!$U250=0),"","باسکول")</f>
        <v/>
      </c>
      <c r="D970" s="80">
        <f>IF(OR(Scale!$U250="",Scale!$U250=0),"",Scale!$U250)</f>
        <v/>
      </c>
      <c r="E970" s="81">
        <f>IF(OR(Scale!$U250="",Scale!$U250=0),"",Scale!$T250)</f>
        <v/>
      </c>
      <c r="F970" s="81">
        <f>IF(OR(Scale!$U250="",Scale!$U250=0),"",Scale!$J250)</f>
        <v/>
      </c>
      <c r="G970" s="82">
        <f>IF(OR(Scale!$U250="",Scale!$U250=0),"",Scale!$M250)</f>
        <v/>
      </c>
      <c r="H970" s="82">
        <f>IF(OR(Scale!$U250="",Scale!$U250=0),"",Scale!$L250)</f>
        <v/>
      </c>
      <c r="I970" s="82">
        <f>IF(OR(Scale!$U250="",Scale!$U250=0),"",Scale!$N250)</f>
        <v/>
      </c>
      <c r="J970" s="82">
        <f>IF(OR(Scale!$U250="",Scale!$U250=0),"",Scale!$O250)</f>
        <v/>
      </c>
      <c r="K970" s="82">
        <f>IF(OR(Scale!$U250="",Scale!$U250=0),"",IF(Scale!$V250="",0,Scale!$V250)+IF(Scale!$W250="",0,Scale!$W250))</f>
        <v/>
      </c>
      <c r="L970" s="82">
        <f>IF(OR(Scale!$U250="",Scale!$U250=0),"",Scale!$V250)</f>
        <v/>
      </c>
      <c r="M970" s="82">
        <f>IF(OR(Scale!$U250="",Scale!$U250=0),"",Scale!$W250)</f>
        <v/>
      </c>
      <c r="N970" s="81">
        <f>IF(OR(Scale!$U250="",Scale!$U250=0),"",Scale!$E250)</f>
        <v/>
      </c>
      <c r="O970" s="81">
        <f>IF(OR(Scale!$U250="",Scale!$U250=0),"",IFERROR(VLOOKUP(Scale!$U250,AcctTbl,3,0),""))</f>
        <v/>
      </c>
      <c r="P970" s="82">
        <f>IF(Scale!$U250&lt;&gt;"X011","","BN02")</f>
        <v/>
      </c>
    </row>
    <row r="971" ht="20.25" customHeight="1">
      <c r="A971" s="80">
        <f>IF(OR(Scale!$X250="",Scale!$X250=0),"",Scale!$B250)</f>
        <v/>
      </c>
      <c r="B971" s="80">
        <f>IF(OR(Scale!$X250="",Scale!$X250=0),"",Scale!$D250)</f>
        <v/>
      </c>
      <c r="C971" s="80">
        <f>IF(OR(Scale!$X250="",Scale!$X250=0),"","باسکول")</f>
        <v/>
      </c>
      <c r="D971" s="80">
        <f>IF(OR(Scale!$X250="",Scale!$X250=0),"",Scale!$X250)</f>
        <v/>
      </c>
      <c r="E971" s="81">
        <f>IF(OR(Scale!$X250="",Scale!$X250=0),"",IF(Scale!$X250="","","مقابل: "&amp;Scale!$E250))</f>
        <v/>
      </c>
      <c r="F971" s="83" t="n"/>
      <c r="G971" s="83" t="n"/>
      <c r="H971" s="83" t="n"/>
      <c r="I971" s="83" t="n"/>
      <c r="J971" s="83" t="n"/>
      <c r="K971" s="82">
        <f>IF(OR(Scale!$X250="",Scale!$X250=0),"",IF(Scale!$Y250="",0,Scale!$Y250)+IF(Scale!$Z250="",0,Scale!$Z250))</f>
        <v/>
      </c>
      <c r="L971" s="82">
        <f>IF(OR(Scale!$X250="",Scale!$X250=0),"",Scale!$Y250)</f>
        <v/>
      </c>
      <c r="M971" s="82">
        <f>IF(OR(Scale!$X250="",Scale!$X250=0),"",Scale!$Z250)</f>
        <v/>
      </c>
      <c r="N971" s="81">
        <f>IF(OR(Scale!$X250="",Scale!$X250=0),"","مقابل")</f>
        <v/>
      </c>
      <c r="O971" s="81">
        <f>IF(OR(Scale!$X250="",Scale!$X250=0),"",IFERROR(VLOOKUP(Scale!$X250,AcctTbl,3,0),""))</f>
        <v/>
      </c>
      <c r="P971" s="82">
        <f>IF(Scale!$X250&lt;&gt;"X011","","BN02")</f>
        <v/>
      </c>
    </row>
    <row r="972" ht="20.25" customHeight="1">
      <c r="A972" s="80">
        <f>IF(OR(Scale!$AA250="",Scale!$AA250=0),"",Scale!$B250)</f>
        <v/>
      </c>
      <c r="B972" s="80">
        <f>IF(OR(Scale!$AA250="",Scale!$AA250=0),"",Scale!$D250)</f>
        <v/>
      </c>
      <c r="C972" s="80">
        <f>IF(OR(Scale!$AA250="",Scale!$AA250=0),"","باسکول")</f>
        <v/>
      </c>
      <c r="D972" s="80">
        <f>IF(OR(Scale!$AA250="",Scale!$AA250=0),"",Scale!$AA250)</f>
        <v/>
      </c>
      <c r="E972" s="81">
        <f>IF(OR(Scale!$AA250="",Scale!$AA250=0),"",IF(Scale!$AA250="","","پوز باسکول — "&amp;Scale!$E250))</f>
        <v/>
      </c>
      <c r="F972" s="83" t="n"/>
      <c r="G972" s="83" t="n"/>
      <c r="H972" s="83" t="n"/>
      <c r="I972" s="83" t="n"/>
      <c r="J972" s="83" t="n"/>
      <c r="K972" s="82">
        <f>IF(OR(Scale!$AA250="",Scale!$AA250=0),"",IF(Scale!$AB250="",0,Scale!$AB250)+IF(Scale!$AC250="",0,Scale!$AC250))</f>
        <v/>
      </c>
      <c r="L972" s="82">
        <f>IF(OR(Scale!$AA250="",Scale!$AA250=0),"",Scale!$AB250)</f>
        <v/>
      </c>
      <c r="M972" s="82">
        <f>IF(OR(Scale!$AA250="",Scale!$AA250=0),"",Scale!$AC250)</f>
        <v/>
      </c>
      <c r="N972" s="81">
        <f>IF(OR(Scale!$AA250="",Scale!$AA250=0),"","پوز")</f>
        <v/>
      </c>
      <c r="O972" s="81">
        <f>IF(OR(Scale!$AA250="",Scale!$AA250=0),"",IFERROR(VLOOKUP(Scale!$AA250,AcctTbl,3,0),""))</f>
        <v/>
      </c>
      <c r="P972" s="82">
        <f>IF(Scale!$AA250&lt;&gt;"X011","","BN02")</f>
        <v/>
      </c>
    </row>
    <row r="973" ht="20.25" customHeight="1">
      <c r="A973" s="80">
        <f>IF(OR(Scale!$AD250="",Scale!$AD250=0),"",Scale!$B250)</f>
        <v/>
      </c>
      <c r="B973" s="80">
        <f>IF(OR(Scale!$AD250="",Scale!$AD250=0),"",Scale!$D250)</f>
        <v/>
      </c>
      <c r="C973" s="80">
        <f>IF(OR(Scale!$AD250="",Scale!$AD250=0),"","باسکول")</f>
        <v/>
      </c>
      <c r="D973" s="80">
        <f>IF(OR(Scale!$AD250="",Scale!$AD250=0),"",Scale!$AD250)</f>
        <v/>
      </c>
      <c r="E973" s="81">
        <f>IF(OR(Scale!$AD250="",Scale!$AD250=0),"",IF(Scale!$AD250="","","مقابل پوز — "&amp;Scale!$E250))</f>
        <v/>
      </c>
      <c r="F973" s="83" t="n"/>
      <c r="G973" s="83" t="n"/>
      <c r="H973" s="83" t="n"/>
      <c r="I973" s="83" t="n"/>
      <c r="J973" s="83" t="n"/>
      <c r="K973" s="82">
        <f>IF(OR(Scale!$AD250="",Scale!$AD250=0),"",IF(Scale!$AE250="",0,Scale!$AE250)+IF(Scale!$AF250="",0,Scale!$AF250))</f>
        <v/>
      </c>
      <c r="L973" s="82">
        <f>IF(OR(Scale!$AD250="",Scale!$AD250=0),"",Scale!$AE250)</f>
        <v/>
      </c>
      <c r="M973" s="82">
        <f>IF(OR(Scale!$AD250="",Scale!$AD250=0),"",Scale!$AF250)</f>
        <v/>
      </c>
      <c r="N973" s="81">
        <f>IF(OR(Scale!$AD250="",Scale!$AD250=0),"","مقابل پوز")</f>
        <v/>
      </c>
      <c r="O973" s="81">
        <f>IF(OR(Scale!$AD250="",Scale!$AD250=0),"",IFERROR(VLOOKUP(Scale!$AD250,AcctTbl,3,0),""))</f>
        <v/>
      </c>
      <c r="P973" s="82">
        <f>IF(Scale!$AD250&lt;&gt;"X011","","BN02")</f>
        <v/>
      </c>
    </row>
    <row r="974" ht="20.25" customHeight="1">
      <c r="A974" s="80">
        <f>IF(OR(Scale!$U251="",Scale!$U251=0),"",Scale!$B251)</f>
        <v/>
      </c>
      <c r="B974" s="80">
        <f>IF(OR(Scale!$U251="",Scale!$U251=0),"",Scale!$D251)</f>
        <v/>
      </c>
      <c r="C974" s="80">
        <f>IF(OR(Scale!$U251="",Scale!$U251=0),"","باسکول")</f>
        <v/>
      </c>
      <c r="D974" s="80">
        <f>IF(OR(Scale!$U251="",Scale!$U251=0),"",Scale!$U251)</f>
        <v/>
      </c>
      <c r="E974" s="81">
        <f>IF(OR(Scale!$U251="",Scale!$U251=0),"",Scale!$T251)</f>
        <v/>
      </c>
      <c r="F974" s="81">
        <f>IF(OR(Scale!$U251="",Scale!$U251=0),"",Scale!$J251)</f>
        <v/>
      </c>
      <c r="G974" s="82">
        <f>IF(OR(Scale!$U251="",Scale!$U251=0),"",Scale!$M251)</f>
        <v/>
      </c>
      <c r="H974" s="82">
        <f>IF(OR(Scale!$U251="",Scale!$U251=0),"",Scale!$L251)</f>
        <v/>
      </c>
      <c r="I974" s="82">
        <f>IF(OR(Scale!$U251="",Scale!$U251=0),"",Scale!$N251)</f>
        <v/>
      </c>
      <c r="J974" s="82">
        <f>IF(OR(Scale!$U251="",Scale!$U251=0),"",Scale!$O251)</f>
        <v/>
      </c>
      <c r="K974" s="82">
        <f>IF(OR(Scale!$U251="",Scale!$U251=0),"",IF(Scale!$V251="",0,Scale!$V251)+IF(Scale!$W251="",0,Scale!$W251))</f>
        <v/>
      </c>
      <c r="L974" s="82">
        <f>IF(OR(Scale!$U251="",Scale!$U251=0),"",Scale!$V251)</f>
        <v/>
      </c>
      <c r="M974" s="82">
        <f>IF(OR(Scale!$U251="",Scale!$U251=0),"",Scale!$W251)</f>
        <v/>
      </c>
      <c r="N974" s="81">
        <f>IF(OR(Scale!$U251="",Scale!$U251=0),"",Scale!$E251)</f>
        <v/>
      </c>
      <c r="O974" s="81">
        <f>IF(OR(Scale!$U251="",Scale!$U251=0),"",IFERROR(VLOOKUP(Scale!$U251,AcctTbl,3,0),""))</f>
        <v/>
      </c>
      <c r="P974" s="82">
        <f>IF(Scale!$U251&lt;&gt;"X011","","BN02")</f>
        <v/>
      </c>
    </row>
    <row r="975" ht="20.25" customHeight="1">
      <c r="A975" s="80">
        <f>IF(OR(Scale!$X251="",Scale!$X251=0),"",Scale!$B251)</f>
        <v/>
      </c>
      <c r="B975" s="80">
        <f>IF(OR(Scale!$X251="",Scale!$X251=0),"",Scale!$D251)</f>
        <v/>
      </c>
      <c r="C975" s="80">
        <f>IF(OR(Scale!$X251="",Scale!$X251=0),"","باسکول")</f>
        <v/>
      </c>
      <c r="D975" s="80">
        <f>IF(OR(Scale!$X251="",Scale!$X251=0),"",Scale!$X251)</f>
        <v/>
      </c>
      <c r="E975" s="81">
        <f>IF(OR(Scale!$X251="",Scale!$X251=0),"",IF(Scale!$X251="","","مقابل: "&amp;Scale!$E251))</f>
        <v/>
      </c>
      <c r="F975" s="83" t="n"/>
      <c r="G975" s="83" t="n"/>
      <c r="H975" s="83" t="n"/>
      <c r="I975" s="83" t="n"/>
      <c r="J975" s="83" t="n"/>
      <c r="K975" s="82">
        <f>IF(OR(Scale!$X251="",Scale!$X251=0),"",IF(Scale!$Y251="",0,Scale!$Y251)+IF(Scale!$Z251="",0,Scale!$Z251))</f>
        <v/>
      </c>
      <c r="L975" s="82">
        <f>IF(OR(Scale!$X251="",Scale!$X251=0),"",Scale!$Y251)</f>
        <v/>
      </c>
      <c r="M975" s="82">
        <f>IF(OR(Scale!$X251="",Scale!$X251=0),"",Scale!$Z251)</f>
        <v/>
      </c>
      <c r="N975" s="81">
        <f>IF(OR(Scale!$X251="",Scale!$X251=0),"","مقابل")</f>
        <v/>
      </c>
      <c r="O975" s="81">
        <f>IF(OR(Scale!$X251="",Scale!$X251=0),"",IFERROR(VLOOKUP(Scale!$X251,AcctTbl,3,0),""))</f>
        <v/>
      </c>
      <c r="P975" s="82">
        <f>IF(Scale!$X251&lt;&gt;"X011","","BN02")</f>
        <v/>
      </c>
    </row>
    <row r="976" ht="20.25" customHeight="1">
      <c r="A976" s="80">
        <f>IF(OR(Scale!$AA251="",Scale!$AA251=0),"",Scale!$B251)</f>
        <v/>
      </c>
      <c r="B976" s="80">
        <f>IF(OR(Scale!$AA251="",Scale!$AA251=0),"",Scale!$D251)</f>
        <v/>
      </c>
      <c r="C976" s="80">
        <f>IF(OR(Scale!$AA251="",Scale!$AA251=0),"","باسکول")</f>
        <v/>
      </c>
      <c r="D976" s="80">
        <f>IF(OR(Scale!$AA251="",Scale!$AA251=0),"",Scale!$AA251)</f>
        <v/>
      </c>
      <c r="E976" s="81">
        <f>IF(OR(Scale!$AA251="",Scale!$AA251=0),"",IF(Scale!$AA251="","","پوز باسکول — "&amp;Scale!$E251))</f>
        <v/>
      </c>
      <c r="F976" s="83" t="n"/>
      <c r="G976" s="83" t="n"/>
      <c r="H976" s="83" t="n"/>
      <c r="I976" s="83" t="n"/>
      <c r="J976" s="83" t="n"/>
      <c r="K976" s="82">
        <f>IF(OR(Scale!$AA251="",Scale!$AA251=0),"",IF(Scale!$AB251="",0,Scale!$AB251)+IF(Scale!$AC251="",0,Scale!$AC251))</f>
        <v/>
      </c>
      <c r="L976" s="82">
        <f>IF(OR(Scale!$AA251="",Scale!$AA251=0),"",Scale!$AB251)</f>
        <v/>
      </c>
      <c r="M976" s="82">
        <f>IF(OR(Scale!$AA251="",Scale!$AA251=0),"",Scale!$AC251)</f>
        <v/>
      </c>
      <c r="N976" s="81">
        <f>IF(OR(Scale!$AA251="",Scale!$AA251=0),"","پوز")</f>
        <v/>
      </c>
      <c r="O976" s="81">
        <f>IF(OR(Scale!$AA251="",Scale!$AA251=0),"",IFERROR(VLOOKUP(Scale!$AA251,AcctTbl,3,0),""))</f>
        <v/>
      </c>
      <c r="P976" s="82">
        <f>IF(Scale!$AA251&lt;&gt;"X011","","BN02")</f>
        <v/>
      </c>
    </row>
    <row r="977" ht="20.25" customHeight="1">
      <c r="A977" s="80">
        <f>IF(OR(Scale!$AD251="",Scale!$AD251=0),"",Scale!$B251)</f>
        <v/>
      </c>
      <c r="B977" s="80">
        <f>IF(OR(Scale!$AD251="",Scale!$AD251=0),"",Scale!$D251)</f>
        <v/>
      </c>
      <c r="C977" s="80">
        <f>IF(OR(Scale!$AD251="",Scale!$AD251=0),"","باسکول")</f>
        <v/>
      </c>
      <c r="D977" s="80">
        <f>IF(OR(Scale!$AD251="",Scale!$AD251=0),"",Scale!$AD251)</f>
        <v/>
      </c>
      <c r="E977" s="81">
        <f>IF(OR(Scale!$AD251="",Scale!$AD251=0),"",IF(Scale!$AD251="","","مقابل پوز — "&amp;Scale!$E251))</f>
        <v/>
      </c>
      <c r="F977" s="83" t="n"/>
      <c r="G977" s="83" t="n"/>
      <c r="H977" s="83" t="n"/>
      <c r="I977" s="83" t="n"/>
      <c r="J977" s="83" t="n"/>
      <c r="K977" s="82">
        <f>IF(OR(Scale!$AD251="",Scale!$AD251=0),"",IF(Scale!$AE251="",0,Scale!$AE251)+IF(Scale!$AF251="",0,Scale!$AF251))</f>
        <v/>
      </c>
      <c r="L977" s="82">
        <f>IF(OR(Scale!$AD251="",Scale!$AD251=0),"",Scale!$AE251)</f>
        <v/>
      </c>
      <c r="M977" s="82">
        <f>IF(OR(Scale!$AD251="",Scale!$AD251=0),"",Scale!$AF251)</f>
        <v/>
      </c>
      <c r="N977" s="81">
        <f>IF(OR(Scale!$AD251="",Scale!$AD251=0),"","مقابل پوز")</f>
        <v/>
      </c>
      <c r="O977" s="81">
        <f>IF(OR(Scale!$AD251="",Scale!$AD251=0),"",IFERROR(VLOOKUP(Scale!$AD251,AcctTbl,3,0),""))</f>
        <v/>
      </c>
      <c r="P977" s="82">
        <f>IF(Scale!$AD251&lt;&gt;"X011","","BN02")</f>
        <v/>
      </c>
    </row>
    <row r="978" ht="20.25" customHeight="1">
      <c r="A978" s="80">
        <f>IF(OR(Scale!$U252="",Scale!$U252=0),"",Scale!$B252)</f>
        <v/>
      </c>
      <c r="B978" s="80">
        <f>IF(OR(Scale!$U252="",Scale!$U252=0),"",Scale!$D252)</f>
        <v/>
      </c>
      <c r="C978" s="80">
        <f>IF(OR(Scale!$U252="",Scale!$U252=0),"","باسکول")</f>
        <v/>
      </c>
      <c r="D978" s="80">
        <f>IF(OR(Scale!$U252="",Scale!$U252=0),"",Scale!$U252)</f>
        <v/>
      </c>
      <c r="E978" s="81">
        <f>IF(OR(Scale!$U252="",Scale!$U252=0),"",Scale!$T252)</f>
        <v/>
      </c>
      <c r="F978" s="81">
        <f>IF(OR(Scale!$U252="",Scale!$U252=0),"",Scale!$J252)</f>
        <v/>
      </c>
      <c r="G978" s="82">
        <f>IF(OR(Scale!$U252="",Scale!$U252=0),"",Scale!$M252)</f>
        <v/>
      </c>
      <c r="H978" s="82">
        <f>IF(OR(Scale!$U252="",Scale!$U252=0),"",Scale!$L252)</f>
        <v/>
      </c>
      <c r="I978" s="82">
        <f>IF(OR(Scale!$U252="",Scale!$U252=0),"",Scale!$N252)</f>
        <v/>
      </c>
      <c r="J978" s="82">
        <f>IF(OR(Scale!$U252="",Scale!$U252=0),"",Scale!$O252)</f>
        <v/>
      </c>
      <c r="K978" s="82">
        <f>IF(OR(Scale!$U252="",Scale!$U252=0),"",IF(Scale!$V252="",0,Scale!$V252)+IF(Scale!$W252="",0,Scale!$W252))</f>
        <v/>
      </c>
      <c r="L978" s="82">
        <f>IF(OR(Scale!$U252="",Scale!$U252=0),"",Scale!$V252)</f>
        <v/>
      </c>
      <c r="M978" s="82">
        <f>IF(OR(Scale!$U252="",Scale!$U252=0),"",Scale!$W252)</f>
        <v/>
      </c>
      <c r="N978" s="81">
        <f>IF(OR(Scale!$U252="",Scale!$U252=0),"",Scale!$E252)</f>
        <v/>
      </c>
      <c r="O978" s="81">
        <f>IF(OR(Scale!$U252="",Scale!$U252=0),"",IFERROR(VLOOKUP(Scale!$U252,AcctTbl,3,0),""))</f>
        <v/>
      </c>
      <c r="P978" s="82">
        <f>IF(Scale!$U252&lt;&gt;"X011","","BN02")</f>
        <v/>
      </c>
    </row>
    <row r="979" ht="20.25" customHeight="1">
      <c r="A979" s="80">
        <f>IF(OR(Scale!$X252="",Scale!$X252=0),"",Scale!$B252)</f>
        <v/>
      </c>
      <c r="B979" s="80">
        <f>IF(OR(Scale!$X252="",Scale!$X252=0),"",Scale!$D252)</f>
        <v/>
      </c>
      <c r="C979" s="80">
        <f>IF(OR(Scale!$X252="",Scale!$X252=0),"","باسکول")</f>
        <v/>
      </c>
      <c r="D979" s="80">
        <f>IF(OR(Scale!$X252="",Scale!$X252=0),"",Scale!$X252)</f>
        <v/>
      </c>
      <c r="E979" s="81">
        <f>IF(OR(Scale!$X252="",Scale!$X252=0),"",IF(Scale!$X252="","","مقابل: "&amp;Scale!$E252))</f>
        <v/>
      </c>
      <c r="F979" s="83" t="n"/>
      <c r="G979" s="83" t="n"/>
      <c r="H979" s="83" t="n"/>
      <c r="I979" s="83" t="n"/>
      <c r="J979" s="83" t="n"/>
      <c r="K979" s="82">
        <f>IF(OR(Scale!$X252="",Scale!$X252=0),"",IF(Scale!$Y252="",0,Scale!$Y252)+IF(Scale!$Z252="",0,Scale!$Z252))</f>
        <v/>
      </c>
      <c r="L979" s="82">
        <f>IF(OR(Scale!$X252="",Scale!$X252=0),"",Scale!$Y252)</f>
        <v/>
      </c>
      <c r="M979" s="82">
        <f>IF(OR(Scale!$X252="",Scale!$X252=0),"",Scale!$Z252)</f>
        <v/>
      </c>
      <c r="N979" s="81">
        <f>IF(OR(Scale!$X252="",Scale!$X252=0),"","مقابل")</f>
        <v/>
      </c>
      <c r="O979" s="81">
        <f>IF(OR(Scale!$X252="",Scale!$X252=0),"",IFERROR(VLOOKUP(Scale!$X252,AcctTbl,3,0),""))</f>
        <v/>
      </c>
      <c r="P979" s="82">
        <f>IF(Scale!$X252&lt;&gt;"X011","","BN02")</f>
        <v/>
      </c>
    </row>
    <row r="980" ht="20.25" customHeight="1">
      <c r="A980" s="80">
        <f>IF(OR(Scale!$AA252="",Scale!$AA252=0),"",Scale!$B252)</f>
        <v/>
      </c>
      <c r="B980" s="80">
        <f>IF(OR(Scale!$AA252="",Scale!$AA252=0),"",Scale!$D252)</f>
        <v/>
      </c>
      <c r="C980" s="80">
        <f>IF(OR(Scale!$AA252="",Scale!$AA252=0),"","باسکول")</f>
        <v/>
      </c>
      <c r="D980" s="80">
        <f>IF(OR(Scale!$AA252="",Scale!$AA252=0),"",Scale!$AA252)</f>
        <v/>
      </c>
      <c r="E980" s="81">
        <f>IF(OR(Scale!$AA252="",Scale!$AA252=0),"",IF(Scale!$AA252="","","پوز باسکول — "&amp;Scale!$E252))</f>
        <v/>
      </c>
      <c r="F980" s="83" t="n"/>
      <c r="G980" s="83" t="n"/>
      <c r="H980" s="83" t="n"/>
      <c r="I980" s="83" t="n"/>
      <c r="J980" s="83" t="n"/>
      <c r="K980" s="82">
        <f>IF(OR(Scale!$AA252="",Scale!$AA252=0),"",IF(Scale!$AB252="",0,Scale!$AB252)+IF(Scale!$AC252="",0,Scale!$AC252))</f>
        <v/>
      </c>
      <c r="L980" s="82">
        <f>IF(OR(Scale!$AA252="",Scale!$AA252=0),"",Scale!$AB252)</f>
        <v/>
      </c>
      <c r="M980" s="82">
        <f>IF(OR(Scale!$AA252="",Scale!$AA252=0),"",Scale!$AC252)</f>
        <v/>
      </c>
      <c r="N980" s="81">
        <f>IF(OR(Scale!$AA252="",Scale!$AA252=0),"","پوز")</f>
        <v/>
      </c>
      <c r="O980" s="81">
        <f>IF(OR(Scale!$AA252="",Scale!$AA252=0),"",IFERROR(VLOOKUP(Scale!$AA252,AcctTbl,3,0),""))</f>
        <v/>
      </c>
      <c r="P980" s="82">
        <f>IF(Scale!$AA252&lt;&gt;"X011","","BN02")</f>
        <v/>
      </c>
    </row>
    <row r="981" ht="20.25" customHeight="1">
      <c r="A981" s="80">
        <f>IF(OR(Scale!$AD252="",Scale!$AD252=0),"",Scale!$B252)</f>
        <v/>
      </c>
      <c r="B981" s="80">
        <f>IF(OR(Scale!$AD252="",Scale!$AD252=0),"",Scale!$D252)</f>
        <v/>
      </c>
      <c r="C981" s="80">
        <f>IF(OR(Scale!$AD252="",Scale!$AD252=0),"","باسکول")</f>
        <v/>
      </c>
      <c r="D981" s="80">
        <f>IF(OR(Scale!$AD252="",Scale!$AD252=0),"",Scale!$AD252)</f>
        <v/>
      </c>
      <c r="E981" s="81">
        <f>IF(OR(Scale!$AD252="",Scale!$AD252=0),"",IF(Scale!$AD252="","","مقابل پوز — "&amp;Scale!$E252))</f>
        <v/>
      </c>
      <c r="F981" s="83" t="n"/>
      <c r="G981" s="83" t="n"/>
      <c r="H981" s="83" t="n"/>
      <c r="I981" s="83" t="n"/>
      <c r="J981" s="83" t="n"/>
      <c r="K981" s="82">
        <f>IF(OR(Scale!$AD252="",Scale!$AD252=0),"",IF(Scale!$AE252="",0,Scale!$AE252)+IF(Scale!$AF252="",0,Scale!$AF252))</f>
        <v/>
      </c>
      <c r="L981" s="82">
        <f>IF(OR(Scale!$AD252="",Scale!$AD252=0),"",Scale!$AE252)</f>
        <v/>
      </c>
      <c r="M981" s="82">
        <f>IF(OR(Scale!$AD252="",Scale!$AD252=0),"",Scale!$AF252)</f>
        <v/>
      </c>
      <c r="N981" s="81">
        <f>IF(OR(Scale!$AD252="",Scale!$AD252=0),"","مقابل پوز")</f>
        <v/>
      </c>
      <c r="O981" s="81">
        <f>IF(OR(Scale!$AD252="",Scale!$AD252=0),"",IFERROR(VLOOKUP(Scale!$AD252,AcctTbl,3,0),""))</f>
        <v/>
      </c>
      <c r="P981" s="82">
        <f>IF(Scale!$AD252&lt;&gt;"X011","","BN02")</f>
        <v/>
      </c>
    </row>
    <row r="982" ht="20.25" customHeight="1">
      <c r="A982" s="80">
        <f>IF(OR(Scale!$U253="",Scale!$U253=0),"",Scale!$B253)</f>
        <v/>
      </c>
      <c r="B982" s="80">
        <f>IF(OR(Scale!$U253="",Scale!$U253=0),"",Scale!$D253)</f>
        <v/>
      </c>
      <c r="C982" s="80">
        <f>IF(OR(Scale!$U253="",Scale!$U253=0),"","باسکول")</f>
        <v/>
      </c>
      <c r="D982" s="80">
        <f>IF(OR(Scale!$U253="",Scale!$U253=0),"",Scale!$U253)</f>
        <v/>
      </c>
      <c r="E982" s="81">
        <f>IF(OR(Scale!$U253="",Scale!$U253=0),"",Scale!$T253)</f>
        <v/>
      </c>
      <c r="F982" s="81">
        <f>IF(OR(Scale!$U253="",Scale!$U253=0),"",Scale!$J253)</f>
        <v/>
      </c>
      <c r="G982" s="82">
        <f>IF(OR(Scale!$U253="",Scale!$U253=0),"",Scale!$M253)</f>
        <v/>
      </c>
      <c r="H982" s="82">
        <f>IF(OR(Scale!$U253="",Scale!$U253=0),"",Scale!$L253)</f>
        <v/>
      </c>
      <c r="I982" s="82">
        <f>IF(OR(Scale!$U253="",Scale!$U253=0),"",Scale!$N253)</f>
        <v/>
      </c>
      <c r="J982" s="82">
        <f>IF(OR(Scale!$U253="",Scale!$U253=0),"",Scale!$O253)</f>
        <v/>
      </c>
      <c r="K982" s="82">
        <f>IF(OR(Scale!$U253="",Scale!$U253=0),"",IF(Scale!$V253="",0,Scale!$V253)+IF(Scale!$W253="",0,Scale!$W253))</f>
        <v/>
      </c>
      <c r="L982" s="82">
        <f>IF(OR(Scale!$U253="",Scale!$U253=0),"",Scale!$V253)</f>
        <v/>
      </c>
      <c r="M982" s="82">
        <f>IF(OR(Scale!$U253="",Scale!$U253=0),"",Scale!$W253)</f>
        <v/>
      </c>
      <c r="N982" s="81">
        <f>IF(OR(Scale!$U253="",Scale!$U253=0),"",Scale!$E253)</f>
        <v/>
      </c>
      <c r="O982" s="81">
        <f>IF(OR(Scale!$U253="",Scale!$U253=0),"",IFERROR(VLOOKUP(Scale!$U253,AcctTbl,3,0),""))</f>
        <v/>
      </c>
      <c r="P982" s="82">
        <f>IF(Scale!$U253&lt;&gt;"X011","","BN02")</f>
        <v/>
      </c>
    </row>
    <row r="983" ht="20.25" customHeight="1">
      <c r="A983" s="80">
        <f>IF(OR(Scale!$X253="",Scale!$X253=0),"",Scale!$B253)</f>
        <v/>
      </c>
      <c r="B983" s="80">
        <f>IF(OR(Scale!$X253="",Scale!$X253=0),"",Scale!$D253)</f>
        <v/>
      </c>
      <c r="C983" s="80">
        <f>IF(OR(Scale!$X253="",Scale!$X253=0),"","باسکول")</f>
        <v/>
      </c>
      <c r="D983" s="80">
        <f>IF(OR(Scale!$X253="",Scale!$X253=0),"",Scale!$X253)</f>
        <v/>
      </c>
      <c r="E983" s="81">
        <f>IF(OR(Scale!$X253="",Scale!$X253=0),"",IF(Scale!$X253="","","مقابل: "&amp;Scale!$E253))</f>
        <v/>
      </c>
      <c r="F983" s="83" t="n"/>
      <c r="G983" s="83" t="n"/>
      <c r="H983" s="83" t="n"/>
      <c r="I983" s="83" t="n"/>
      <c r="J983" s="83" t="n"/>
      <c r="K983" s="82">
        <f>IF(OR(Scale!$X253="",Scale!$X253=0),"",IF(Scale!$Y253="",0,Scale!$Y253)+IF(Scale!$Z253="",0,Scale!$Z253))</f>
        <v/>
      </c>
      <c r="L983" s="82">
        <f>IF(OR(Scale!$X253="",Scale!$X253=0),"",Scale!$Y253)</f>
        <v/>
      </c>
      <c r="M983" s="82">
        <f>IF(OR(Scale!$X253="",Scale!$X253=0),"",Scale!$Z253)</f>
        <v/>
      </c>
      <c r="N983" s="81">
        <f>IF(OR(Scale!$X253="",Scale!$X253=0),"","مقابل")</f>
        <v/>
      </c>
      <c r="O983" s="81">
        <f>IF(OR(Scale!$X253="",Scale!$X253=0),"",IFERROR(VLOOKUP(Scale!$X253,AcctTbl,3,0),""))</f>
        <v/>
      </c>
      <c r="P983" s="82">
        <f>IF(Scale!$X253&lt;&gt;"X011","","BN02")</f>
        <v/>
      </c>
    </row>
    <row r="984" ht="20.25" customHeight="1">
      <c r="A984" s="80">
        <f>IF(OR(Scale!$AA253="",Scale!$AA253=0),"",Scale!$B253)</f>
        <v/>
      </c>
      <c r="B984" s="80">
        <f>IF(OR(Scale!$AA253="",Scale!$AA253=0),"",Scale!$D253)</f>
        <v/>
      </c>
      <c r="C984" s="80">
        <f>IF(OR(Scale!$AA253="",Scale!$AA253=0),"","باسکول")</f>
        <v/>
      </c>
      <c r="D984" s="80">
        <f>IF(OR(Scale!$AA253="",Scale!$AA253=0),"",Scale!$AA253)</f>
        <v/>
      </c>
      <c r="E984" s="81">
        <f>IF(OR(Scale!$AA253="",Scale!$AA253=0),"",IF(Scale!$AA253="","","پوز باسکول — "&amp;Scale!$E253))</f>
        <v/>
      </c>
      <c r="F984" s="83" t="n"/>
      <c r="G984" s="83" t="n"/>
      <c r="H984" s="83" t="n"/>
      <c r="I984" s="83" t="n"/>
      <c r="J984" s="83" t="n"/>
      <c r="K984" s="82">
        <f>IF(OR(Scale!$AA253="",Scale!$AA253=0),"",IF(Scale!$AB253="",0,Scale!$AB253)+IF(Scale!$AC253="",0,Scale!$AC253))</f>
        <v/>
      </c>
      <c r="L984" s="82">
        <f>IF(OR(Scale!$AA253="",Scale!$AA253=0),"",Scale!$AB253)</f>
        <v/>
      </c>
      <c r="M984" s="82">
        <f>IF(OR(Scale!$AA253="",Scale!$AA253=0),"",Scale!$AC253)</f>
        <v/>
      </c>
      <c r="N984" s="81">
        <f>IF(OR(Scale!$AA253="",Scale!$AA253=0),"","پوز")</f>
        <v/>
      </c>
      <c r="O984" s="81">
        <f>IF(OR(Scale!$AA253="",Scale!$AA253=0),"",IFERROR(VLOOKUP(Scale!$AA253,AcctTbl,3,0),""))</f>
        <v/>
      </c>
      <c r="P984" s="82">
        <f>IF(Scale!$AA253&lt;&gt;"X011","","BN02")</f>
        <v/>
      </c>
    </row>
    <row r="985" ht="20.25" customHeight="1">
      <c r="A985" s="80">
        <f>IF(OR(Scale!$AD253="",Scale!$AD253=0),"",Scale!$B253)</f>
        <v/>
      </c>
      <c r="B985" s="80">
        <f>IF(OR(Scale!$AD253="",Scale!$AD253=0),"",Scale!$D253)</f>
        <v/>
      </c>
      <c r="C985" s="80">
        <f>IF(OR(Scale!$AD253="",Scale!$AD253=0),"","باسکول")</f>
        <v/>
      </c>
      <c r="D985" s="80">
        <f>IF(OR(Scale!$AD253="",Scale!$AD253=0),"",Scale!$AD253)</f>
        <v/>
      </c>
      <c r="E985" s="81">
        <f>IF(OR(Scale!$AD253="",Scale!$AD253=0),"",IF(Scale!$AD253="","","مقابل پوز — "&amp;Scale!$E253))</f>
        <v/>
      </c>
      <c r="F985" s="83" t="n"/>
      <c r="G985" s="83" t="n"/>
      <c r="H985" s="83" t="n"/>
      <c r="I985" s="83" t="n"/>
      <c r="J985" s="83" t="n"/>
      <c r="K985" s="82">
        <f>IF(OR(Scale!$AD253="",Scale!$AD253=0),"",IF(Scale!$AE253="",0,Scale!$AE253)+IF(Scale!$AF253="",0,Scale!$AF253))</f>
        <v/>
      </c>
      <c r="L985" s="82">
        <f>IF(OR(Scale!$AD253="",Scale!$AD253=0),"",Scale!$AE253)</f>
        <v/>
      </c>
      <c r="M985" s="82">
        <f>IF(OR(Scale!$AD253="",Scale!$AD253=0),"",Scale!$AF253)</f>
        <v/>
      </c>
      <c r="N985" s="81">
        <f>IF(OR(Scale!$AD253="",Scale!$AD253=0),"","مقابل پوز")</f>
        <v/>
      </c>
      <c r="O985" s="81">
        <f>IF(OR(Scale!$AD253="",Scale!$AD253=0),"",IFERROR(VLOOKUP(Scale!$AD253,AcctTbl,3,0),""))</f>
        <v/>
      </c>
      <c r="P985" s="82">
        <f>IF(Scale!$AD253&lt;&gt;"X011","","BN02")</f>
        <v/>
      </c>
    </row>
    <row r="986" ht="20.25" customHeight="1">
      <c r="A986" s="80">
        <f>IF(OR(Scale!$U254="",Scale!$U254=0),"",Scale!$B254)</f>
        <v/>
      </c>
      <c r="B986" s="80">
        <f>IF(OR(Scale!$U254="",Scale!$U254=0),"",Scale!$D254)</f>
        <v/>
      </c>
      <c r="C986" s="80">
        <f>IF(OR(Scale!$U254="",Scale!$U254=0),"","باسکول")</f>
        <v/>
      </c>
      <c r="D986" s="80">
        <f>IF(OR(Scale!$U254="",Scale!$U254=0),"",Scale!$U254)</f>
        <v/>
      </c>
      <c r="E986" s="81">
        <f>IF(OR(Scale!$U254="",Scale!$U254=0),"",Scale!$T254)</f>
        <v/>
      </c>
      <c r="F986" s="81">
        <f>IF(OR(Scale!$U254="",Scale!$U254=0),"",Scale!$J254)</f>
        <v/>
      </c>
      <c r="G986" s="82">
        <f>IF(OR(Scale!$U254="",Scale!$U254=0),"",Scale!$M254)</f>
        <v/>
      </c>
      <c r="H986" s="82">
        <f>IF(OR(Scale!$U254="",Scale!$U254=0),"",Scale!$L254)</f>
        <v/>
      </c>
      <c r="I986" s="82">
        <f>IF(OR(Scale!$U254="",Scale!$U254=0),"",Scale!$N254)</f>
        <v/>
      </c>
      <c r="J986" s="82">
        <f>IF(OR(Scale!$U254="",Scale!$U254=0),"",Scale!$O254)</f>
        <v/>
      </c>
      <c r="K986" s="82">
        <f>IF(OR(Scale!$U254="",Scale!$U254=0),"",IF(Scale!$V254="",0,Scale!$V254)+IF(Scale!$W254="",0,Scale!$W254))</f>
        <v/>
      </c>
      <c r="L986" s="82">
        <f>IF(OR(Scale!$U254="",Scale!$U254=0),"",Scale!$V254)</f>
        <v/>
      </c>
      <c r="M986" s="82">
        <f>IF(OR(Scale!$U254="",Scale!$U254=0),"",Scale!$W254)</f>
        <v/>
      </c>
      <c r="N986" s="81">
        <f>IF(OR(Scale!$U254="",Scale!$U254=0),"",Scale!$E254)</f>
        <v/>
      </c>
      <c r="O986" s="81">
        <f>IF(OR(Scale!$U254="",Scale!$U254=0),"",IFERROR(VLOOKUP(Scale!$U254,AcctTbl,3,0),""))</f>
        <v/>
      </c>
      <c r="P986" s="82">
        <f>IF(Scale!$U254&lt;&gt;"X011","","BN02")</f>
        <v/>
      </c>
    </row>
    <row r="987" ht="20.25" customHeight="1">
      <c r="A987" s="80">
        <f>IF(OR(Scale!$X254="",Scale!$X254=0),"",Scale!$B254)</f>
        <v/>
      </c>
      <c r="B987" s="80">
        <f>IF(OR(Scale!$X254="",Scale!$X254=0),"",Scale!$D254)</f>
        <v/>
      </c>
      <c r="C987" s="80">
        <f>IF(OR(Scale!$X254="",Scale!$X254=0),"","باسکول")</f>
        <v/>
      </c>
      <c r="D987" s="80">
        <f>IF(OR(Scale!$X254="",Scale!$X254=0),"",Scale!$X254)</f>
        <v/>
      </c>
      <c r="E987" s="81">
        <f>IF(OR(Scale!$X254="",Scale!$X254=0),"",IF(Scale!$X254="","","مقابل: "&amp;Scale!$E254))</f>
        <v/>
      </c>
      <c r="F987" s="83" t="n"/>
      <c r="G987" s="83" t="n"/>
      <c r="H987" s="83" t="n"/>
      <c r="I987" s="83" t="n"/>
      <c r="J987" s="83" t="n"/>
      <c r="K987" s="82">
        <f>IF(OR(Scale!$X254="",Scale!$X254=0),"",IF(Scale!$Y254="",0,Scale!$Y254)+IF(Scale!$Z254="",0,Scale!$Z254))</f>
        <v/>
      </c>
      <c r="L987" s="82">
        <f>IF(OR(Scale!$X254="",Scale!$X254=0),"",Scale!$Y254)</f>
        <v/>
      </c>
      <c r="M987" s="82">
        <f>IF(OR(Scale!$X254="",Scale!$X254=0),"",Scale!$Z254)</f>
        <v/>
      </c>
      <c r="N987" s="81">
        <f>IF(OR(Scale!$X254="",Scale!$X254=0),"","مقابل")</f>
        <v/>
      </c>
      <c r="O987" s="81">
        <f>IF(OR(Scale!$X254="",Scale!$X254=0),"",IFERROR(VLOOKUP(Scale!$X254,AcctTbl,3,0),""))</f>
        <v/>
      </c>
      <c r="P987" s="82">
        <f>IF(Scale!$X254&lt;&gt;"X011","","BN02")</f>
        <v/>
      </c>
    </row>
    <row r="988" ht="20.25" customHeight="1">
      <c r="A988" s="80">
        <f>IF(OR(Scale!$AA254="",Scale!$AA254=0),"",Scale!$B254)</f>
        <v/>
      </c>
      <c r="B988" s="80">
        <f>IF(OR(Scale!$AA254="",Scale!$AA254=0),"",Scale!$D254)</f>
        <v/>
      </c>
      <c r="C988" s="80">
        <f>IF(OR(Scale!$AA254="",Scale!$AA254=0),"","باسکول")</f>
        <v/>
      </c>
      <c r="D988" s="80">
        <f>IF(OR(Scale!$AA254="",Scale!$AA254=0),"",Scale!$AA254)</f>
        <v/>
      </c>
      <c r="E988" s="81">
        <f>IF(OR(Scale!$AA254="",Scale!$AA254=0),"",IF(Scale!$AA254="","","پوز باسکول — "&amp;Scale!$E254))</f>
        <v/>
      </c>
      <c r="F988" s="83" t="n"/>
      <c r="G988" s="83" t="n"/>
      <c r="H988" s="83" t="n"/>
      <c r="I988" s="83" t="n"/>
      <c r="J988" s="83" t="n"/>
      <c r="K988" s="82">
        <f>IF(OR(Scale!$AA254="",Scale!$AA254=0),"",IF(Scale!$AB254="",0,Scale!$AB254)+IF(Scale!$AC254="",0,Scale!$AC254))</f>
        <v/>
      </c>
      <c r="L988" s="82">
        <f>IF(OR(Scale!$AA254="",Scale!$AA254=0),"",Scale!$AB254)</f>
        <v/>
      </c>
      <c r="M988" s="82">
        <f>IF(OR(Scale!$AA254="",Scale!$AA254=0),"",Scale!$AC254)</f>
        <v/>
      </c>
      <c r="N988" s="81">
        <f>IF(OR(Scale!$AA254="",Scale!$AA254=0),"","پوز")</f>
        <v/>
      </c>
      <c r="O988" s="81">
        <f>IF(OR(Scale!$AA254="",Scale!$AA254=0),"",IFERROR(VLOOKUP(Scale!$AA254,AcctTbl,3,0),""))</f>
        <v/>
      </c>
      <c r="P988" s="82">
        <f>IF(Scale!$AA254&lt;&gt;"X011","","BN02")</f>
        <v/>
      </c>
    </row>
    <row r="989" ht="20.25" customHeight="1">
      <c r="A989" s="80">
        <f>IF(OR(Scale!$AD254="",Scale!$AD254=0),"",Scale!$B254)</f>
        <v/>
      </c>
      <c r="B989" s="80">
        <f>IF(OR(Scale!$AD254="",Scale!$AD254=0),"",Scale!$D254)</f>
        <v/>
      </c>
      <c r="C989" s="80">
        <f>IF(OR(Scale!$AD254="",Scale!$AD254=0),"","باسکول")</f>
        <v/>
      </c>
      <c r="D989" s="80">
        <f>IF(OR(Scale!$AD254="",Scale!$AD254=0),"",Scale!$AD254)</f>
        <v/>
      </c>
      <c r="E989" s="81">
        <f>IF(OR(Scale!$AD254="",Scale!$AD254=0),"",IF(Scale!$AD254="","","مقابل پوز — "&amp;Scale!$E254))</f>
        <v/>
      </c>
      <c r="F989" s="83" t="n"/>
      <c r="G989" s="83" t="n"/>
      <c r="H989" s="83" t="n"/>
      <c r="I989" s="83" t="n"/>
      <c r="J989" s="83" t="n"/>
      <c r="K989" s="82">
        <f>IF(OR(Scale!$AD254="",Scale!$AD254=0),"",IF(Scale!$AE254="",0,Scale!$AE254)+IF(Scale!$AF254="",0,Scale!$AF254))</f>
        <v/>
      </c>
      <c r="L989" s="82">
        <f>IF(OR(Scale!$AD254="",Scale!$AD254=0),"",Scale!$AE254)</f>
        <v/>
      </c>
      <c r="M989" s="82">
        <f>IF(OR(Scale!$AD254="",Scale!$AD254=0),"",Scale!$AF254)</f>
        <v/>
      </c>
      <c r="N989" s="81">
        <f>IF(OR(Scale!$AD254="",Scale!$AD254=0),"","مقابل پوز")</f>
        <v/>
      </c>
      <c r="O989" s="81">
        <f>IF(OR(Scale!$AD254="",Scale!$AD254=0),"",IFERROR(VLOOKUP(Scale!$AD254,AcctTbl,3,0),""))</f>
        <v/>
      </c>
      <c r="P989" s="82">
        <f>IF(Scale!$AD254&lt;&gt;"X011","","BN02")</f>
        <v/>
      </c>
    </row>
    <row r="990" ht="20.25" customHeight="1">
      <c r="A990" s="80">
        <f>IF(OR(Scale!$U255="",Scale!$U255=0),"",Scale!$B255)</f>
        <v/>
      </c>
      <c r="B990" s="80">
        <f>IF(OR(Scale!$U255="",Scale!$U255=0),"",Scale!$D255)</f>
        <v/>
      </c>
      <c r="C990" s="80">
        <f>IF(OR(Scale!$U255="",Scale!$U255=0),"","باسکول")</f>
        <v/>
      </c>
      <c r="D990" s="80">
        <f>IF(OR(Scale!$U255="",Scale!$U255=0),"",Scale!$U255)</f>
        <v/>
      </c>
      <c r="E990" s="81">
        <f>IF(OR(Scale!$U255="",Scale!$U255=0),"",Scale!$T255)</f>
        <v/>
      </c>
      <c r="F990" s="81">
        <f>IF(OR(Scale!$U255="",Scale!$U255=0),"",Scale!$J255)</f>
        <v/>
      </c>
      <c r="G990" s="82">
        <f>IF(OR(Scale!$U255="",Scale!$U255=0),"",Scale!$M255)</f>
        <v/>
      </c>
      <c r="H990" s="82">
        <f>IF(OR(Scale!$U255="",Scale!$U255=0),"",Scale!$L255)</f>
        <v/>
      </c>
      <c r="I990" s="82">
        <f>IF(OR(Scale!$U255="",Scale!$U255=0),"",Scale!$N255)</f>
        <v/>
      </c>
      <c r="J990" s="82">
        <f>IF(OR(Scale!$U255="",Scale!$U255=0),"",Scale!$O255)</f>
        <v/>
      </c>
      <c r="K990" s="82">
        <f>IF(OR(Scale!$U255="",Scale!$U255=0),"",IF(Scale!$V255="",0,Scale!$V255)+IF(Scale!$W255="",0,Scale!$W255))</f>
        <v/>
      </c>
      <c r="L990" s="82">
        <f>IF(OR(Scale!$U255="",Scale!$U255=0),"",Scale!$V255)</f>
        <v/>
      </c>
      <c r="M990" s="82">
        <f>IF(OR(Scale!$U255="",Scale!$U255=0),"",Scale!$W255)</f>
        <v/>
      </c>
      <c r="N990" s="81">
        <f>IF(OR(Scale!$U255="",Scale!$U255=0),"",Scale!$E255)</f>
        <v/>
      </c>
      <c r="O990" s="81">
        <f>IF(OR(Scale!$U255="",Scale!$U255=0),"",IFERROR(VLOOKUP(Scale!$U255,AcctTbl,3,0),""))</f>
        <v/>
      </c>
      <c r="P990" s="82">
        <f>IF(Scale!$U255&lt;&gt;"X011","","BN02")</f>
        <v/>
      </c>
    </row>
    <row r="991" ht="20.25" customHeight="1">
      <c r="A991" s="80">
        <f>IF(OR(Scale!$X255="",Scale!$X255=0),"",Scale!$B255)</f>
        <v/>
      </c>
      <c r="B991" s="80">
        <f>IF(OR(Scale!$X255="",Scale!$X255=0),"",Scale!$D255)</f>
        <v/>
      </c>
      <c r="C991" s="80">
        <f>IF(OR(Scale!$X255="",Scale!$X255=0),"","باسکول")</f>
        <v/>
      </c>
      <c r="D991" s="80">
        <f>IF(OR(Scale!$X255="",Scale!$X255=0),"",Scale!$X255)</f>
        <v/>
      </c>
      <c r="E991" s="81">
        <f>IF(OR(Scale!$X255="",Scale!$X255=0),"",IF(Scale!$X255="","","مقابل: "&amp;Scale!$E255))</f>
        <v/>
      </c>
      <c r="F991" s="83" t="n"/>
      <c r="G991" s="83" t="n"/>
      <c r="H991" s="83" t="n"/>
      <c r="I991" s="83" t="n"/>
      <c r="J991" s="83" t="n"/>
      <c r="K991" s="82">
        <f>IF(OR(Scale!$X255="",Scale!$X255=0),"",IF(Scale!$Y255="",0,Scale!$Y255)+IF(Scale!$Z255="",0,Scale!$Z255))</f>
        <v/>
      </c>
      <c r="L991" s="82">
        <f>IF(OR(Scale!$X255="",Scale!$X255=0),"",Scale!$Y255)</f>
        <v/>
      </c>
      <c r="M991" s="82">
        <f>IF(OR(Scale!$X255="",Scale!$X255=0),"",Scale!$Z255)</f>
        <v/>
      </c>
      <c r="N991" s="81">
        <f>IF(OR(Scale!$X255="",Scale!$X255=0),"","مقابل")</f>
        <v/>
      </c>
      <c r="O991" s="81">
        <f>IF(OR(Scale!$X255="",Scale!$X255=0),"",IFERROR(VLOOKUP(Scale!$X255,AcctTbl,3,0),""))</f>
        <v/>
      </c>
      <c r="P991" s="82">
        <f>IF(Scale!$X255&lt;&gt;"X011","","BN02")</f>
        <v/>
      </c>
    </row>
    <row r="992" ht="20.25" customHeight="1">
      <c r="A992" s="80">
        <f>IF(OR(Scale!$AA255="",Scale!$AA255=0),"",Scale!$B255)</f>
        <v/>
      </c>
      <c r="B992" s="80">
        <f>IF(OR(Scale!$AA255="",Scale!$AA255=0),"",Scale!$D255)</f>
        <v/>
      </c>
      <c r="C992" s="80">
        <f>IF(OR(Scale!$AA255="",Scale!$AA255=0),"","باسکول")</f>
        <v/>
      </c>
      <c r="D992" s="80">
        <f>IF(OR(Scale!$AA255="",Scale!$AA255=0),"",Scale!$AA255)</f>
        <v/>
      </c>
      <c r="E992" s="81">
        <f>IF(OR(Scale!$AA255="",Scale!$AA255=0),"",IF(Scale!$AA255="","","پوز باسکول — "&amp;Scale!$E255))</f>
        <v/>
      </c>
      <c r="F992" s="83" t="n"/>
      <c r="G992" s="83" t="n"/>
      <c r="H992" s="83" t="n"/>
      <c r="I992" s="83" t="n"/>
      <c r="J992" s="83" t="n"/>
      <c r="K992" s="82">
        <f>IF(OR(Scale!$AA255="",Scale!$AA255=0),"",IF(Scale!$AB255="",0,Scale!$AB255)+IF(Scale!$AC255="",0,Scale!$AC255))</f>
        <v/>
      </c>
      <c r="L992" s="82">
        <f>IF(OR(Scale!$AA255="",Scale!$AA255=0),"",Scale!$AB255)</f>
        <v/>
      </c>
      <c r="M992" s="82">
        <f>IF(OR(Scale!$AA255="",Scale!$AA255=0),"",Scale!$AC255)</f>
        <v/>
      </c>
      <c r="N992" s="81">
        <f>IF(OR(Scale!$AA255="",Scale!$AA255=0),"","پوز")</f>
        <v/>
      </c>
      <c r="O992" s="81">
        <f>IF(OR(Scale!$AA255="",Scale!$AA255=0),"",IFERROR(VLOOKUP(Scale!$AA255,AcctTbl,3,0),""))</f>
        <v/>
      </c>
      <c r="P992" s="82">
        <f>IF(Scale!$AA255&lt;&gt;"X011","","BN02")</f>
        <v/>
      </c>
    </row>
    <row r="993" ht="20.25" customHeight="1">
      <c r="A993" s="80">
        <f>IF(OR(Scale!$AD255="",Scale!$AD255=0),"",Scale!$B255)</f>
        <v/>
      </c>
      <c r="B993" s="80">
        <f>IF(OR(Scale!$AD255="",Scale!$AD255=0),"",Scale!$D255)</f>
        <v/>
      </c>
      <c r="C993" s="80">
        <f>IF(OR(Scale!$AD255="",Scale!$AD255=0),"","باسکول")</f>
        <v/>
      </c>
      <c r="D993" s="80">
        <f>IF(OR(Scale!$AD255="",Scale!$AD255=0),"",Scale!$AD255)</f>
        <v/>
      </c>
      <c r="E993" s="81">
        <f>IF(OR(Scale!$AD255="",Scale!$AD255=0),"",IF(Scale!$AD255="","","مقابل پوز — "&amp;Scale!$E255))</f>
        <v/>
      </c>
      <c r="F993" s="83" t="n"/>
      <c r="G993" s="83" t="n"/>
      <c r="H993" s="83" t="n"/>
      <c r="I993" s="83" t="n"/>
      <c r="J993" s="83" t="n"/>
      <c r="K993" s="82">
        <f>IF(OR(Scale!$AD255="",Scale!$AD255=0),"",IF(Scale!$AE255="",0,Scale!$AE255)+IF(Scale!$AF255="",0,Scale!$AF255))</f>
        <v/>
      </c>
      <c r="L993" s="82">
        <f>IF(OR(Scale!$AD255="",Scale!$AD255=0),"",Scale!$AE255)</f>
        <v/>
      </c>
      <c r="M993" s="82">
        <f>IF(OR(Scale!$AD255="",Scale!$AD255=0),"",Scale!$AF255)</f>
        <v/>
      </c>
      <c r="N993" s="81">
        <f>IF(OR(Scale!$AD255="",Scale!$AD255=0),"","مقابل پوز")</f>
        <v/>
      </c>
      <c r="O993" s="81">
        <f>IF(OR(Scale!$AD255="",Scale!$AD255=0),"",IFERROR(VLOOKUP(Scale!$AD255,AcctTbl,3,0),""))</f>
        <v/>
      </c>
      <c r="P993" s="82">
        <f>IF(Scale!$AD255&lt;&gt;"X011","","BN02")</f>
        <v/>
      </c>
    </row>
    <row r="994" ht="20.25" customHeight="1">
      <c r="A994" s="80">
        <f>IF(OR(Scale!$U256="",Scale!$U256=0),"",Scale!$B256)</f>
        <v/>
      </c>
      <c r="B994" s="80">
        <f>IF(OR(Scale!$U256="",Scale!$U256=0),"",Scale!$D256)</f>
        <v/>
      </c>
      <c r="C994" s="80">
        <f>IF(OR(Scale!$U256="",Scale!$U256=0),"","باسکول")</f>
        <v/>
      </c>
      <c r="D994" s="80">
        <f>IF(OR(Scale!$U256="",Scale!$U256=0),"",Scale!$U256)</f>
        <v/>
      </c>
      <c r="E994" s="81">
        <f>IF(OR(Scale!$U256="",Scale!$U256=0),"",Scale!$T256)</f>
        <v/>
      </c>
      <c r="F994" s="81">
        <f>IF(OR(Scale!$U256="",Scale!$U256=0),"",Scale!$J256)</f>
        <v/>
      </c>
      <c r="G994" s="82">
        <f>IF(OR(Scale!$U256="",Scale!$U256=0),"",Scale!$M256)</f>
        <v/>
      </c>
      <c r="H994" s="82">
        <f>IF(OR(Scale!$U256="",Scale!$U256=0),"",Scale!$L256)</f>
        <v/>
      </c>
      <c r="I994" s="82">
        <f>IF(OR(Scale!$U256="",Scale!$U256=0),"",Scale!$N256)</f>
        <v/>
      </c>
      <c r="J994" s="82">
        <f>IF(OR(Scale!$U256="",Scale!$U256=0),"",Scale!$O256)</f>
        <v/>
      </c>
      <c r="K994" s="82">
        <f>IF(OR(Scale!$U256="",Scale!$U256=0),"",IF(Scale!$V256="",0,Scale!$V256)+IF(Scale!$W256="",0,Scale!$W256))</f>
        <v/>
      </c>
      <c r="L994" s="82">
        <f>IF(OR(Scale!$U256="",Scale!$U256=0),"",Scale!$V256)</f>
        <v/>
      </c>
      <c r="M994" s="82">
        <f>IF(OR(Scale!$U256="",Scale!$U256=0),"",Scale!$W256)</f>
        <v/>
      </c>
      <c r="N994" s="81">
        <f>IF(OR(Scale!$U256="",Scale!$U256=0),"",Scale!$E256)</f>
        <v/>
      </c>
      <c r="O994" s="81">
        <f>IF(OR(Scale!$U256="",Scale!$U256=0),"",IFERROR(VLOOKUP(Scale!$U256,AcctTbl,3,0),""))</f>
        <v/>
      </c>
      <c r="P994" s="82">
        <f>IF(Scale!$U256&lt;&gt;"X011","","BN02")</f>
        <v/>
      </c>
    </row>
    <row r="995" ht="20.25" customHeight="1">
      <c r="A995" s="80">
        <f>IF(OR(Scale!$X256="",Scale!$X256=0),"",Scale!$B256)</f>
        <v/>
      </c>
      <c r="B995" s="80">
        <f>IF(OR(Scale!$X256="",Scale!$X256=0),"",Scale!$D256)</f>
        <v/>
      </c>
      <c r="C995" s="80">
        <f>IF(OR(Scale!$X256="",Scale!$X256=0),"","باسکول")</f>
        <v/>
      </c>
      <c r="D995" s="80">
        <f>IF(OR(Scale!$X256="",Scale!$X256=0),"",Scale!$X256)</f>
        <v/>
      </c>
      <c r="E995" s="81">
        <f>IF(OR(Scale!$X256="",Scale!$X256=0),"",IF(Scale!$X256="","","مقابل: "&amp;Scale!$E256))</f>
        <v/>
      </c>
      <c r="F995" s="83" t="n"/>
      <c r="G995" s="83" t="n"/>
      <c r="H995" s="83" t="n"/>
      <c r="I995" s="83" t="n"/>
      <c r="J995" s="83" t="n"/>
      <c r="K995" s="82">
        <f>IF(OR(Scale!$X256="",Scale!$X256=0),"",IF(Scale!$Y256="",0,Scale!$Y256)+IF(Scale!$Z256="",0,Scale!$Z256))</f>
        <v/>
      </c>
      <c r="L995" s="82">
        <f>IF(OR(Scale!$X256="",Scale!$X256=0),"",Scale!$Y256)</f>
        <v/>
      </c>
      <c r="M995" s="82">
        <f>IF(OR(Scale!$X256="",Scale!$X256=0),"",Scale!$Z256)</f>
        <v/>
      </c>
      <c r="N995" s="81">
        <f>IF(OR(Scale!$X256="",Scale!$X256=0),"","مقابل")</f>
        <v/>
      </c>
      <c r="O995" s="81">
        <f>IF(OR(Scale!$X256="",Scale!$X256=0),"",IFERROR(VLOOKUP(Scale!$X256,AcctTbl,3,0),""))</f>
        <v/>
      </c>
      <c r="P995" s="82">
        <f>IF(Scale!$X256&lt;&gt;"X011","","BN02")</f>
        <v/>
      </c>
    </row>
    <row r="996" ht="20.25" customHeight="1">
      <c r="A996" s="80">
        <f>IF(OR(Scale!$AA256="",Scale!$AA256=0),"",Scale!$B256)</f>
        <v/>
      </c>
      <c r="B996" s="80">
        <f>IF(OR(Scale!$AA256="",Scale!$AA256=0),"",Scale!$D256)</f>
        <v/>
      </c>
      <c r="C996" s="80">
        <f>IF(OR(Scale!$AA256="",Scale!$AA256=0),"","باسکول")</f>
        <v/>
      </c>
      <c r="D996" s="80">
        <f>IF(OR(Scale!$AA256="",Scale!$AA256=0),"",Scale!$AA256)</f>
        <v/>
      </c>
      <c r="E996" s="81">
        <f>IF(OR(Scale!$AA256="",Scale!$AA256=0),"",IF(Scale!$AA256="","","پوز باسکول — "&amp;Scale!$E256))</f>
        <v/>
      </c>
      <c r="F996" s="83" t="n"/>
      <c r="G996" s="83" t="n"/>
      <c r="H996" s="83" t="n"/>
      <c r="I996" s="83" t="n"/>
      <c r="J996" s="83" t="n"/>
      <c r="K996" s="82">
        <f>IF(OR(Scale!$AA256="",Scale!$AA256=0),"",IF(Scale!$AB256="",0,Scale!$AB256)+IF(Scale!$AC256="",0,Scale!$AC256))</f>
        <v/>
      </c>
      <c r="L996" s="82">
        <f>IF(OR(Scale!$AA256="",Scale!$AA256=0),"",Scale!$AB256)</f>
        <v/>
      </c>
      <c r="M996" s="82">
        <f>IF(OR(Scale!$AA256="",Scale!$AA256=0),"",Scale!$AC256)</f>
        <v/>
      </c>
      <c r="N996" s="81">
        <f>IF(OR(Scale!$AA256="",Scale!$AA256=0),"","پوز")</f>
        <v/>
      </c>
      <c r="O996" s="81">
        <f>IF(OR(Scale!$AA256="",Scale!$AA256=0),"",IFERROR(VLOOKUP(Scale!$AA256,AcctTbl,3,0),""))</f>
        <v/>
      </c>
      <c r="P996" s="82">
        <f>IF(Scale!$AA256&lt;&gt;"X011","","BN02")</f>
        <v/>
      </c>
    </row>
    <row r="997" ht="20.25" customHeight="1">
      <c r="A997" s="80">
        <f>IF(OR(Scale!$AD256="",Scale!$AD256=0),"",Scale!$B256)</f>
        <v/>
      </c>
      <c r="B997" s="80">
        <f>IF(OR(Scale!$AD256="",Scale!$AD256=0),"",Scale!$D256)</f>
        <v/>
      </c>
      <c r="C997" s="80">
        <f>IF(OR(Scale!$AD256="",Scale!$AD256=0),"","باسکول")</f>
        <v/>
      </c>
      <c r="D997" s="80">
        <f>IF(OR(Scale!$AD256="",Scale!$AD256=0),"",Scale!$AD256)</f>
        <v/>
      </c>
      <c r="E997" s="81">
        <f>IF(OR(Scale!$AD256="",Scale!$AD256=0),"",IF(Scale!$AD256="","","مقابل پوز — "&amp;Scale!$E256))</f>
        <v/>
      </c>
      <c r="F997" s="83" t="n"/>
      <c r="G997" s="83" t="n"/>
      <c r="H997" s="83" t="n"/>
      <c r="I997" s="83" t="n"/>
      <c r="J997" s="83" t="n"/>
      <c r="K997" s="82">
        <f>IF(OR(Scale!$AD256="",Scale!$AD256=0),"",IF(Scale!$AE256="",0,Scale!$AE256)+IF(Scale!$AF256="",0,Scale!$AF256))</f>
        <v/>
      </c>
      <c r="L997" s="82">
        <f>IF(OR(Scale!$AD256="",Scale!$AD256=0),"",Scale!$AE256)</f>
        <v/>
      </c>
      <c r="M997" s="82">
        <f>IF(OR(Scale!$AD256="",Scale!$AD256=0),"",Scale!$AF256)</f>
        <v/>
      </c>
      <c r="N997" s="81">
        <f>IF(OR(Scale!$AD256="",Scale!$AD256=0),"","مقابل پوز")</f>
        <v/>
      </c>
      <c r="O997" s="81">
        <f>IF(OR(Scale!$AD256="",Scale!$AD256=0),"",IFERROR(VLOOKUP(Scale!$AD256,AcctTbl,3,0),""))</f>
        <v/>
      </c>
      <c r="P997" s="82">
        <f>IF(Scale!$AD256&lt;&gt;"X011","","BN02")</f>
        <v/>
      </c>
    </row>
    <row r="998" ht="20.25" customHeight="1">
      <c r="A998" s="80">
        <f>IF(OR(Scale!$U257="",Scale!$U257=0),"",Scale!$B257)</f>
        <v/>
      </c>
      <c r="B998" s="80">
        <f>IF(OR(Scale!$U257="",Scale!$U257=0),"",Scale!$D257)</f>
        <v/>
      </c>
      <c r="C998" s="80">
        <f>IF(OR(Scale!$U257="",Scale!$U257=0),"","باسکول")</f>
        <v/>
      </c>
      <c r="D998" s="80">
        <f>IF(OR(Scale!$U257="",Scale!$U257=0),"",Scale!$U257)</f>
        <v/>
      </c>
      <c r="E998" s="81">
        <f>IF(OR(Scale!$U257="",Scale!$U257=0),"",Scale!$T257)</f>
        <v/>
      </c>
      <c r="F998" s="81">
        <f>IF(OR(Scale!$U257="",Scale!$U257=0),"",Scale!$J257)</f>
        <v/>
      </c>
      <c r="G998" s="82">
        <f>IF(OR(Scale!$U257="",Scale!$U257=0),"",Scale!$M257)</f>
        <v/>
      </c>
      <c r="H998" s="82">
        <f>IF(OR(Scale!$U257="",Scale!$U257=0),"",Scale!$L257)</f>
        <v/>
      </c>
      <c r="I998" s="82">
        <f>IF(OR(Scale!$U257="",Scale!$U257=0),"",Scale!$N257)</f>
        <v/>
      </c>
      <c r="J998" s="82">
        <f>IF(OR(Scale!$U257="",Scale!$U257=0),"",Scale!$O257)</f>
        <v/>
      </c>
      <c r="K998" s="82">
        <f>IF(OR(Scale!$U257="",Scale!$U257=0),"",IF(Scale!$V257="",0,Scale!$V257)+IF(Scale!$W257="",0,Scale!$W257))</f>
        <v/>
      </c>
      <c r="L998" s="82">
        <f>IF(OR(Scale!$U257="",Scale!$U257=0),"",Scale!$V257)</f>
        <v/>
      </c>
      <c r="M998" s="82">
        <f>IF(OR(Scale!$U257="",Scale!$U257=0),"",Scale!$W257)</f>
        <v/>
      </c>
      <c r="N998" s="81">
        <f>IF(OR(Scale!$U257="",Scale!$U257=0),"",Scale!$E257)</f>
        <v/>
      </c>
      <c r="O998" s="81">
        <f>IF(OR(Scale!$U257="",Scale!$U257=0),"",IFERROR(VLOOKUP(Scale!$U257,AcctTbl,3,0),""))</f>
        <v/>
      </c>
      <c r="P998" s="82">
        <f>IF(Scale!$U257&lt;&gt;"X011","","BN02")</f>
        <v/>
      </c>
    </row>
    <row r="999" ht="20.25" customHeight="1">
      <c r="A999" s="80">
        <f>IF(OR(Scale!$X257="",Scale!$X257=0),"",Scale!$B257)</f>
        <v/>
      </c>
      <c r="B999" s="80">
        <f>IF(OR(Scale!$X257="",Scale!$X257=0),"",Scale!$D257)</f>
        <v/>
      </c>
      <c r="C999" s="80">
        <f>IF(OR(Scale!$X257="",Scale!$X257=0),"","باسکول")</f>
        <v/>
      </c>
      <c r="D999" s="80">
        <f>IF(OR(Scale!$X257="",Scale!$X257=0),"",Scale!$X257)</f>
        <v/>
      </c>
      <c r="E999" s="81">
        <f>IF(OR(Scale!$X257="",Scale!$X257=0),"",IF(Scale!$X257="","","مقابل: "&amp;Scale!$E257))</f>
        <v/>
      </c>
      <c r="F999" s="83" t="n"/>
      <c r="G999" s="83" t="n"/>
      <c r="H999" s="83" t="n"/>
      <c r="I999" s="83" t="n"/>
      <c r="J999" s="83" t="n"/>
      <c r="K999" s="82">
        <f>IF(OR(Scale!$X257="",Scale!$X257=0),"",IF(Scale!$Y257="",0,Scale!$Y257)+IF(Scale!$Z257="",0,Scale!$Z257))</f>
        <v/>
      </c>
      <c r="L999" s="82">
        <f>IF(OR(Scale!$X257="",Scale!$X257=0),"",Scale!$Y257)</f>
        <v/>
      </c>
      <c r="M999" s="82">
        <f>IF(OR(Scale!$X257="",Scale!$X257=0),"",Scale!$Z257)</f>
        <v/>
      </c>
      <c r="N999" s="81">
        <f>IF(OR(Scale!$X257="",Scale!$X257=0),"","مقابل")</f>
        <v/>
      </c>
      <c r="O999" s="81">
        <f>IF(OR(Scale!$X257="",Scale!$X257=0),"",IFERROR(VLOOKUP(Scale!$X257,AcctTbl,3,0),""))</f>
        <v/>
      </c>
      <c r="P999" s="82">
        <f>IF(Scale!$X257&lt;&gt;"X011","","BN02")</f>
        <v/>
      </c>
    </row>
    <row r="1000" ht="20.25" customHeight="1">
      <c r="A1000" s="80">
        <f>IF(OR(Scale!$AA257="",Scale!$AA257=0),"",Scale!$B257)</f>
        <v/>
      </c>
      <c r="B1000" s="80">
        <f>IF(OR(Scale!$AA257="",Scale!$AA257=0),"",Scale!$D257)</f>
        <v/>
      </c>
      <c r="C1000" s="80">
        <f>IF(OR(Scale!$AA257="",Scale!$AA257=0),"","باسکول")</f>
        <v/>
      </c>
      <c r="D1000" s="80">
        <f>IF(OR(Scale!$AA257="",Scale!$AA257=0),"",Scale!$AA257)</f>
        <v/>
      </c>
      <c r="E1000" s="81">
        <f>IF(OR(Scale!$AA257="",Scale!$AA257=0),"",IF(Scale!$AA257="","","پوز باسکول — "&amp;Scale!$E257))</f>
        <v/>
      </c>
      <c r="F1000" s="83" t="n"/>
      <c r="G1000" s="83" t="n"/>
      <c r="H1000" s="83" t="n"/>
      <c r="I1000" s="83" t="n"/>
      <c r="J1000" s="83" t="n"/>
      <c r="K1000" s="82">
        <f>IF(OR(Scale!$AA257="",Scale!$AA257=0),"",IF(Scale!$AB257="",0,Scale!$AB257)+IF(Scale!$AC257="",0,Scale!$AC257))</f>
        <v/>
      </c>
      <c r="L1000" s="82">
        <f>IF(OR(Scale!$AA257="",Scale!$AA257=0),"",Scale!$AB257)</f>
        <v/>
      </c>
      <c r="M1000" s="82">
        <f>IF(OR(Scale!$AA257="",Scale!$AA257=0),"",Scale!$AC257)</f>
        <v/>
      </c>
      <c r="N1000" s="81">
        <f>IF(OR(Scale!$AA257="",Scale!$AA257=0),"","پوز")</f>
        <v/>
      </c>
      <c r="O1000" s="81">
        <f>IF(OR(Scale!$AA257="",Scale!$AA257=0),"",IFERROR(VLOOKUP(Scale!$AA257,AcctTbl,3,0),""))</f>
        <v/>
      </c>
      <c r="P1000" s="82">
        <f>IF(Scale!$AA257&lt;&gt;"X011","","BN02")</f>
        <v/>
      </c>
    </row>
    <row r="1001" ht="20.25" customHeight="1">
      <c r="A1001" s="80">
        <f>IF(OR(Scale!$AD257="",Scale!$AD257=0),"",Scale!$B257)</f>
        <v/>
      </c>
      <c r="B1001" s="80">
        <f>IF(OR(Scale!$AD257="",Scale!$AD257=0),"",Scale!$D257)</f>
        <v/>
      </c>
      <c r="C1001" s="80">
        <f>IF(OR(Scale!$AD257="",Scale!$AD257=0),"","باسکول")</f>
        <v/>
      </c>
      <c r="D1001" s="80">
        <f>IF(OR(Scale!$AD257="",Scale!$AD257=0),"",Scale!$AD257)</f>
        <v/>
      </c>
      <c r="E1001" s="81">
        <f>IF(OR(Scale!$AD257="",Scale!$AD257=0),"",IF(Scale!$AD257="","","مقابل پوز — "&amp;Scale!$E257))</f>
        <v/>
      </c>
      <c r="F1001" s="83" t="n"/>
      <c r="G1001" s="83" t="n"/>
      <c r="H1001" s="83" t="n"/>
      <c r="I1001" s="83" t="n"/>
      <c r="J1001" s="83" t="n"/>
      <c r="K1001" s="82">
        <f>IF(OR(Scale!$AD257="",Scale!$AD257=0),"",IF(Scale!$AE257="",0,Scale!$AE257)+IF(Scale!$AF257="",0,Scale!$AF257))</f>
        <v/>
      </c>
      <c r="L1001" s="82">
        <f>IF(OR(Scale!$AD257="",Scale!$AD257=0),"",Scale!$AE257)</f>
        <v/>
      </c>
      <c r="M1001" s="82">
        <f>IF(OR(Scale!$AD257="",Scale!$AD257=0),"",Scale!$AF257)</f>
        <v/>
      </c>
      <c r="N1001" s="81">
        <f>IF(OR(Scale!$AD257="",Scale!$AD257=0),"","مقابل پوز")</f>
        <v/>
      </c>
      <c r="O1001" s="81">
        <f>IF(OR(Scale!$AD257="",Scale!$AD257=0),"",IFERROR(VLOOKUP(Scale!$AD257,AcctTbl,3,0),""))</f>
        <v/>
      </c>
      <c r="P1001" s="82">
        <f>IF(Scale!$AD257&lt;&gt;"X011","","BN02")</f>
        <v/>
      </c>
    </row>
    <row r="1002" ht="20.25" customHeight="1">
      <c r="A1002" s="80">
        <f>IF(OR(Scale!$U258="",Scale!$U258=0),"",Scale!$B258)</f>
        <v/>
      </c>
      <c r="B1002" s="80">
        <f>IF(OR(Scale!$U258="",Scale!$U258=0),"",Scale!$D258)</f>
        <v/>
      </c>
      <c r="C1002" s="80">
        <f>IF(OR(Scale!$U258="",Scale!$U258=0),"","باسکول")</f>
        <v/>
      </c>
      <c r="D1002" s="80">
        <f>IF(OR(Scale!$U258="",Scale!$U258=0),"",Scale!$U258)</f>
        <v/>
      </c>
      <c r="E1002" s="81">
        <f>IF(OR(Scale!$U258="",Scale!$U258=0),"",Scale!$T258)</f>
        <v/>
      </c>
      <c r="F1002" s="81">
        <f>IF(OR(Scale!$U258="",Scale!$U258=0),"",Scale!$J258)</f>
        <v/>
      </c>
      <c r="G1002" s="82">
        <f>IF(OR(Scale!$U258="",Scale!$U258=0),"",Scale!$M258)</f>
        <v/>
      </c>
      <c r="H1002" s="82">
        <f>IF(OR(Scale!$U258="",Scale!$U258=0),"",Scale!$L258)</f>
        <v/>
      </c>
      <c r="I1002" s="82">
        <f>IF(OR(Scale!$U258="",Scale!$U258=0),"",Scale!$N258)</f>
        <v/>
      </c>
      <c r="J1002" s="82">
        <f>IF(OR(Scale!$U258="",Scale!$U258=0),"",Scale!$O258)</f>
        <v/>
      </c>
      <c r="K1002" s="82">
        <f>IF(OR(Scale!$U258="",Scale!$U258=0),"",IF(Scale!$V258="",0,Scale!$V258)+IF(Scale!$W258="",0,Scale!$W258))</f>
        <v/>
      </c>
      <c r="L1002" s="82">
        <f>IF(OR(Scale!$U258="",Scale!$U258=0),"",Scale!$V258)</f>
        <v/>
      </c>
      <c r="M1002" s="82">
        <f>IF(OR(Scale!$U258="",Scale!$U258=0),"",Scale!$W258)</f>
        <v/>
      </c>
      <c r="N1002" s="81">
        <f>IF(OR(Scale!$U258="",Scale!$U258=0),"",Scale!$E258)</f>
        <v/>
      </c>
      <c r="O1002" s="81">
        <f>IF(OR(Scale!$U258="",Scale!$U258=0),"",IFERROR(VLOOKUP(Scale!$U258,AcctTbl,3,0),""))</f>
        <v/>
      </c>
      <c r="P1002" s="82">
        <f>IF(Scale!$U258&lt;&gt;"X011","","BN02")</f>
        <v/>
      </c>
    </row>
    <row r="1003" ht="20.25" customHeight="1">
      <c r="A1003" s="80">
        <f>IF(OR(Scale!$X258="",Scale!$X258=0),"",Scale!$B258)</f>
        <v/>
      </c>
      <c r="B1003" s="80">
        <f>IF(OR(Scale!$X258="",Scale!$X258=0),"",Scale!$D258)</f>
        <v/>
      </c>
      <c r="C1003" s="80">
        <f>IF(OR(Scale!$X258="",Scale!$X258=0),"","باسکول")</f>
        <v/>
      </c>
      <c r="D1003" s="80">
        <f>IF(OR(Scale!$X258="",Scale!$X258=0),"",Scale!$X258)</f>
        <v/>
      </c>
      <c r="E1003" s="81">
        <f>IF(OR(Scale!$X258="",Scale!$X258=0),"",IF(Scale!$X258="","","مقابل: "&amp;Scale!$E258))</f>
        <v/>
      </c>
      <c r="F1003" s="83" t="n"/>
      <c r="G1003" s="83" t="n"/>
      <c r="H1003" s="83" t="n"/>
      <c r="I1003" s="83" t="n"/>
      <c r="J1003" s="83" t="n"/>
      <c r="K1003" s="82">
        <f>IF(OR(Scale!$X258="",Scale!$X258=0),"",IF(Scale!$Y258="",0,Scale!$Y258)+IF(Scale!$Z258="",0,Scale!$Z258))</f>
        <v/>
      </c>
      <c r="L1003" s="82">
        <f>IF(OR(Scale!$X258="",Scale!$X258=0),"",Scale!$Y258)</f>
        <v/>
      </c>
      <c r="M1003" s="82">
        <f>IF(OR(Scale!$X258="",Scale!$X258=0),"",Scale!$Z258)</f>
        <v/>
      </c>
      <c r="N1003" s="81">
        <f>IF(OR(Scale!$X258="",Scale!$X258=0),"","مقابل")</f>
        <v/>
      </c>
      <c r="O1003" s="81">
        <f>IF(OR(Scale!$X258="",Scale!$X258=0),"",IFERROR(VLOOKUP(Scale!$X258,AcctTbl,3,0),""))</f>
        <v/>
      </c>
      <c r="P1003" s="82">
        <f>IF(Scale!$X258&lt;&gt;"X011","","BN02")</f>
        <v/>
      </c>
    </row>
    <row r="1004" ht="20.25" customHeight="1">
      <c r="A1004" s="80">
        <f>IF(OR(Scale!$AA258="",Scale!$AA258=0),"",Scale!$B258)</f>
        <v/>
      </c>
      <c r="B1004" s="80">
        <f>IF(OR(Scale!$AA258="",Scale!$AA258=0),"",Scale!$D258)</f>
        <v/>
      </c>
      <c r="C1004" s="80">
        <f>IF(OR(Scale!$AA258="",Scale!$AA258=0),"","باسکول")</f>
        <v/>
      </c>
      <c r="D1004" s="80">
        <f>IF(OR(Scale!$AA258="",Scale!$AA258=0),"",Scale!$AA258)</f>
        <v/>
      </c>
      <c r="E1004" s="81">
        <f>IF(OR(Scale!$AA258="",Scale!$AA258=0),"",IF(Scale!$AA258="","","پوز باسکول — "&amp;Scale!$E258))</f>
        <v/>
      </c>
      <c r="F1004" s="83" t="n"/>
      <c r="G1004" s="83" t="n"/>
      <c r="H1004" s="83" t="n"/>
      <c r="I1004" s="83" t="n"/>
      <c r="J1004" s="83" t="n"/>
      <c r="K1004" s="82">
        <f>IF(OR(Scale!$AA258="",Scale!$AA258=0),"",IF(Scale!$AB258="",0,Scale!$AB258)+IF(Scale!$AC258="",0,Scale!$AC258))</f>
        <v/>
      </c>
      <c r="L1004" s="82">
        <f>IF(OR(Scale!$AA258="",Scale!$AA258=0),"",Scale!$AB258)</f>
        <v/>
      </c>
      <c r="M1004" s="82">
        <f>IF(OR(Scale!$AA258="",Scale!$AA258=0),"",Scale!$AC258)</f>
        <v/>
      </c>
      <c r="N1004" s="81">
        <f>IF(OR(Scale!$AA258="",Scale!$AA258=0),"","پوز")</f>
        <v/>
      </c>
      <c r="O1004" s="81">
        <f>IF(OR(Scale!$AA258="",Scale!$AA258=0),"",IFERROR(VLOOKUP(Scale!$AA258,AcctTbl,3,0),""))</f>
        <v/>
      </c>
      <c r="P1004" s="82">
        <f>IF(Scale!$AA258&lt;&gt;"X011","","BN02")</f>
        <v/>
      </c>
    </row>
    <row r="1005" ht="20.25" customHeight="1">
      <c r="A1005" s="80">
        <f>IF(OR(Scale!$AD258="",Scale!$AD258=0),"",Scale!$B258)</f>
        <v/>
      </c>
      <c r="B1005" s="80">
        <f>IF(OR(Scale!$AD258="",Scale!$AD258=0),"",Scale!$D258)</f>
        <v/>
      </c>
      <c r="C1005" s="80">
        <f>IF(OR(Scale!$AD258="",Scale!$AD258=0),"","باسکول")</f>
        <v/>
      </c>
      <c r="D1005" s="80">
        <f>IF(OR(Scale!$AD258="",Scale!$AD258=0),"",Scale!$AD258)</f>
        <v/>
      </c>
      <c r="E1005" s="81">
        <f>IF(OR(Scale!$AD258="",Scale!$AD258=0),"",IF(Scale!$AD258="","","مقابل پوز — "&amp;Scale!$E258))</f>
        <v/>
      </c>
      <c r="F1005" s="83" t="n"/>
      <c r="G1005" s="83" t="n"/>
      <c r="H1005" s="83" t="n"/>
      <c r="I1005" s="83" t="n"/>
      <c r="J1005" s="83" t="n"/>
      <c r="K1005" s="82">
        <f>IF(OR(Scale!$AD258="",Scale!$AD258=0),"",IF(Scale!$AE258="",0,Scale!$AE258)+IF(Scale!$AF258="",0,Scale!$AF258))</f>
        <v/>
      </c>
      <c r="L1005" s="82">
        <f>IF(OR(Scale!$AD258="",Scale!$AD258=0),"",Scale!$AE258)</f>
        <v/>
      </c>
      <c r="M1005" s="82">
        <f>IF(OR(Scale!$AD258="",Scale!$AD258=0),"",Scale!$AF258)</f>
        <v/>
      </c>
      <c r="N1005" s="81">
        <f>IF(OR(Scale!$AD258="",Scale!$AD258=0),"","مقابل پوز")</f>
        <v/>
      </c>
      <c r="O1005" s="81">
        <f>IF(OR(Scale!$AD258="",Scale!$AD258=0),"",IFERROR(VLOOKUP(Scale!$AD258,AcctTbl,3,0),""))</f>
        <v/>
      </c>
      <c r="P1005" s="82">
        <f>IF(Scale!$AD258&lt;&gt;"X011","","BN02")</f>
        <v/>
      </c>
    </row>
    <row r="1006" ht="20.25" customHeight="1">
      <c r="A1006" s="80">
        <f>IF(OR(Scale!$U259="",Scale!$U259=0),"",Scale!$B259)</f>
        <v/>
      </c>
      <c r="B1006" s="80">
        <f>IF(OR(Scale!$U259="",Scale!$U259=0),"",Scale!$D259)</f>
        <v/>
      </c>
      <c r="C1006" s="80">
        <f>IF(OR(Scale!$U259="",Scale!$U259=0),"","باسکول")</f>
        <v/>
      </c>
      <c r="D1006" s="80">
        <f>IF(OR(Scale!$U259="",Scale!$U259=0),"",Scale!$U259)</f>
        <v/>
      </c>
      <c r="E1006" s="81">
        <f>IF(OR(Scale!$U259="",Scale!$U259=0),"",Scale!$T259)</f>
        <v/>
      </c>
      <c r="F1006" s="81">
        <f>IF(OR(Scale!$U259="",Scale!$U259=0),"",Scale!$J259)</f>
        <v/>
      </c>
      <c r="G1006" s="82">
        <f>IF(OR(Scale!$U259="",Scale!$U259=0),"",Scale!$M259)</f>
        <v/>
      </c>
      <c r="H1006" s="82">
        <f>IF(OR(Scale!$U259="",Scale!$U259=0),"",Scale!$L259)</f>
        <v/>
      </c>
      <c r="I1006" s="82">
        <f>IF(OR(Scale!$U259="",Scale!$U259=0),"",Scale!$N259)</f>
        <v/>
      </c>
      <c r="J1006" s="82">
        <f>IF(OR(Scale!$U259="",Scale!$U259=0),"",Scale!$O259)</f>
        <v/>
      </c>
      <c r="K1006" s="82">
        <f>IF(OR(Scale!$U259="",Scale!$U259=0),"",IF(Scale!$V259="",0,Scale!$V259)+IF(Scale!$W259="",0,Scale!$W259))</f>
        <v/>
      </c>
      <c r="L1006" s="82">
        <f>IF(OR(Scale!$U259="",Scale!$U259=0),"",Scale!$V259)</f>
        <v/>
      </c>
      <c r="M1006" s="82">
        <f>IF(OR(Scale!$U259="",Scale!$U259=0),"",Scale!$W259)</f>
        <v/>
      </c>
      <c r="N1006" s="81">
        <f>IF(OR(Scale!$U259="",Scale!$U259=0),"",Scale!$E259)</f>
        <v/>
      </c>
      <c r="O1006" s="81">
        <f>IF(OR(Scale!$U259="",Scale!$U259=0),"",IFERROR(VLOOKUP(Scale!$U259,AcctTbl,3,0),""))</f>
        <v/>
      </c>
      <c r="P1006" s="82">
        <f>IF(Scale!$U259&lt;&gt;"X011","","BN02")</f>
        <v/>
      </c>
    </row>
    <row r="1007" ht="20.25" customHeight="1">
      <c r="A1007" s="80">
        <f>IF(OR(Scale!$X259="",Scale!$X259=0),"",Scale!$B259)</f>
        <v/>
      </c>
      <c r="B1007" s="80">
        <f>IF(OR(Scale!$X259="",Scale!$X259=0),"",Scale!$D259)</f>
        <v/>
      </c>
      <c r="C1007" s="80">
        <f>IF(OR(Scale!$X259="",Scale!$X259=0),"","باسکول")</f>
        <v/>
      </c>
      <c r="D1007" s="80">
        <f>IF(OR(Scale!$X259="",Scale!$X259=0),"",Scale!$X259)</f>
        <v/>
      </c>
      <c r="E1007" s="81">
        <f>IF(OR(Scale!$X259="",Scale!$X259=0),"",IF(Scale!$X259="","","مقابل: "&amp;Scale!$E259))</f>
        <v/>
      </c>
      <c r="F1007" s="83" t="n"/>
      <c r="G1007" s="83" t="n"/>
      <c r="H1007" s="83" t="n"/>
      <c r="I1007" s="83" t="n"/>
      <c r="J1007" s="83" t="n"/>
      <c r="K1007" s="82">
        <f>IF(OR(Scale!$X259="",Scale!$X259=0),"",IF(Scale!$Y259="",0,Scale!$Y259)+IF(Scale!$Z259="",0,Scale!$Z259))</f>
        <v/>
      </c>
      <c r="L1007" s="82">
        <f>IF(OR(Scale!$X259="",Scale!$X259=0),"",Scale!$Y259)</f>
        <v/>
      </c>
      <c r="M1007" s="82">
        <f>IF(OR(Scale!$X259="",Scale!$X259=0),"",Scale!$Z259)</f>
        <v/>
      </c>
      <c r="N1007" s="81">
        <f>IF(OR(Scale!$X259="",Scale!$X259=0),"","مقابل")</f>
        <v/>
      </c>
      <c r="O1007" s="81">
        <f>IF(OR(Scale!$X259="",Scale!$X259=0),"",IFERROR(VLOOKUP(Scale!$X259,AcctTbl,3,0),""))</f>
        <v/>
      </c>
      <c r="P1007" s="82">
        <f>IF(Scale!$X259&lt;&gt;"X011","","BN02")</f>
        <v/>
      </c>
    </row>
    <row r="1008" ht="20.25" customHeight="1">
      <c r="A1008" s="80">
        <f>IF(OR(Scale!$AA259="",Scale!$AA259=0),"",Scale!$B259)</f>
        <v/>
      </c>
      <c r="B1008" s="80">
        <f>IF(OR(Scale!$AA259="",Scale!$AA259=0),"",Scale!$D259)</f>
        <v/>
      </c>
      <c r="C1008" s="80">
        <f>IF(OR(Scale!$AA259="",Scale!$AA259=0),"","باسکول")</f>
        <v/>
      </c>
      <c r="D1008" s="80">
        <f>IF(OR(Scale!$AA259="",Scale!$AA259=0),"",Scale!$AA259)</f>
        <v/>
      </c>
      <c r="E1008" s="81">
        <f>IF(OR(Scale!$AA259="",Scale!$AA259=0),"",IF(Scale!$AA259="","","پوز باسکول — "&amp;Scale!$E259))</f>
        <v/>
      </c>
      <c r="F1008" s="83" t="n"/>
      <c r="G1008" s="83" t="n"/>
      <c r="H1008" s="83" t="n"/>
      <c r="I1008" s="83" t="n"/>
      <c r="J1008" s="83" t="n"/>
      <c r="K1008" s="82">
        <f>IF(OR(Scale!$AA259="",Scale!$AA259=0),"",IF(Scale!$AB259="",0,Scale!$AB259)+IF(Scale!$AC259="",0,Scale!$AC259))</f>
        <v/>
      </c>
      <c r="L1008" s="82">
        <f>IF(OR(Scale!$AA259="",Scale!$AA259=0),"",Scale!$AB259)</f>
        <v/>
      </c>
      <c r="M1008" s="82">
        <f>IF(OR(Scale!$AA259="",Scale!$AA259=0),"",Scale!$AC259)</f>
        <v/>
      </c>
      <c r="N1008" s="81">
        <f>IF(OR(Scale!$AA259="",Scale!$AA259=0),"","پوز")</f>
        <v/>
      </c>
      <c r="O1008" s="81">
        <f>IF(OR(Scale!$AA259="",Scale!$AA259=0),"",IFERROR(VLOOKUP(Scale!$AA259,AcctTbl,3,0),""))</f>
        <v/>
      </c>
      <c r="P1008" s="82">
        <f>IF(Scale!$AA259&lt;&gt;"X011","","BN02")</f>
        <v/>
      </c>
    </row>
    <row r="1009" ht="20.25" customHeight="1">
      <c r="A1009" s="80">
        <f>IF(OR(Scale!$AD259="",Scale!$AD259=0),"",Scale!$B259)</f>
        <v/>
      </c>
      <c r="B1009" s="80">
        <f>IF(OR(Scale!$AD259="",Scale!$AD259=0),"",Scale!$D259)</f>
        <v/>
      </c>
      <c r="C1009" s="80">
        <f>IF(OR(Scale!$AD259="",Scale!$AD259=0),"","باسکول")</f>
        <v/>
      </c>
      <c r="D1009" s="80">
        <f>IF(OR(Scale!$AD259="",Scale!$AD259=0),"",Scale!$AD259)</f>
        <v/>
      </c>
      <c r="E1009" s="81">
        <f>IF(OR(Scale!$AD259="",Scale!$AD259=0),"",IF(Scale!$AD259="","","مقابل پوز — "&amp;Scale!$E259))</f>
        <v/>
      </c>
      <c r="F1009" s="83" t="n"/>
      <c r="G1009" s="83" t="n"/>
      <c r="H1009" s="83" t="n"/>
      <c r="I1009" s="83" t="n"/>
      <c r="J1009" s="83" t="n"/>
      <c r="K1009" s="82">
        <f>IF(OR(Scale!$AD259="",Scale!$AD259=0),"",IF(Scale!$AE259="",0,Scale!$AE259)+IF(Scale!$AF259="",0,Scale!$AF259))</f>
        <v/>
      </c>
      <c r="L1009" s="82">
        <f>IF(OR(Scale!$AD259="",Scale!$AD259=0),"",Scale!$AE259)</f>
        <v/>
      </c>
      <c r="M1009" s="82">
        <f>IF(OR(Scale!$AD259="",Scale!$AD259=0),"",Scale!$AF259)</f>
        <v/>
      </c>
      <c r="N1009" s="81">
        <f>IF(OR(Scale!$AD259="",Scale!$AD259=0),"","مقابل پوز")</f>
        <v/>
      </c>
      <c r="O1009" s="81">
        <f>IF(OR(Scale!$AD259="",Scale!$AD259=0),"",IFERROR(VLOOKUP(Scale!$AD259,AcctTbl,3,0),""))</f>
        <v/>
      </c>
      <c r="P1009" s="82">
        <f>IF(Scale!$AD259&lt;&gt;"X011","","BN02")</f>
        <v/>
      </c>
    </row>
    <row r="1010" ht="20.25" customHeight="1">
      <c r="A1010" s="80">
        <f>IF(OR(Scale!$U260="",Scale!$U260=0),"",Scale!$B260)</f>
        <v/>
      </c>
      <c r="B1010" s="80">
        <f>IF(OR(Scale!$U260="",Scale!$U260=0),"",Scale!$D260)</f>
        <v/>
      </c>
      <c r="C1010" s="80">
        <f>IF(OR(Scale!$U260="",Scale!$U260=0),"","باسکول")</f>
        <v/>
      </c>
      <c r="D1010" s="80">
        <f>IF(OR(Scale!$U260="",Scale!$U260=0),"",Scale!$U260)</f>
        <v/>
      </c>
      <c r="E1010" s="81">
        <f>IF(OR(Scale!$U260="",Scale!$U260=0),"",Scale!$T260)</f>
        <v/>
      </c>
      <c r="F1010" s="81">
        <f>IF(OR(Scale!$U260="",Scale!$U260=0),"",Scale!$J260)</f>
        <v/>
      </c>
      <c r="G1010" s="82">
        <f>IF(OR(Scale!$U260="",Scale!$U260=0),"",Scale!$M260)</f>
        <v/>
      </c>
      <c r="H1010" s="82">
        <f>IF(OR(Scale!$U260="",Scale!$U260=0),"",Scale!$L260)</f>
        <v/>
      </c>
      <c r="I1010" s="82">
        <f>IF(OR(Scale!$U260="",Scale!$U260=0),"",Scale!$N260)</f>
        <v/>
      </c>
      <c r="J1010" s="82">
        <f>IF(OR(Scale!$U260="",Scale!$U260=0),"",Scale!$O260)</f>
        <v/>
      </c>
      <c r="K1010" s="82">
        <f>IF(OR(Scale!$U260="",Scale!$U260=0),"",IF(Scale!$V260="",0,Scale!$V260)+IF(Scale!$W260="",0,Scale!$W260))</f>
        <v/>
      </c>
      <c r="L1010" s="82">
        <f>IF(OR(Scale!$U260="",Scale!$U260=0),"",Scale!$V260)</f>
        <v/>
      </c>
      <c r="M1010" s="82">
        <f>IF(OR(Scale!$U260="",Scale!$U260=0),"",Scale!$W260)</f>
        <v/>
      </c>
      <c r="N1010" s="81">
        <f>IF(OR(Scale!$U260="",Scale!$U260=0),"",Scale!$E260)</f>
        <v/>
      </c>
      <c r="O1010" s="81">
        <f>IF(OR(Scale!$U260="",Scale!$U260=0),"",IFERROR(VLOOKUP(Scale!$U260,AcctTbl,3,0),""))</f>
        <v/>
      </c>
      <c r="P1010" s="82">
        <f>IF(Scale!$U260&lt;&gt;"X011","","BN02")</f>
        <v/>
      </c>
    </row>
    <row r="1011" ht="20.25" customHeight="1">
      <c r="A1011" s="80">
        <f>IF(OR(Scale!$X260="",Scale!$X260=0),"",Scale!$B260)</f>
        <v/>
      </c>
      <c r="B1011" s="80">
        <f>IF(OR(Scale!$X260="",Scale!$X260=0),"",Scale!$D260)</f>
        <v/>
      </c>
      <c r="C1011" s="80">
        <f>IF(OR(Scale!$X260="",Scale!$X260=0),"","باسکول")</f>
        <v/>
      </c>
      <c r="D1011" s="80">
        <f>IF(OR(Scale!$X260="",Scale!$X260=0),"",Scale!$X260)</f>
        <v/>
      </c>
      <c r="E1011" s="81">
        <f>IF(OR(Scale!$X260="",Scale!$X260=0),"",IF(Scale!$X260="","","مقابل: "&amp;Scale!$E260))</f>
        <v/>
      </c>
      <c r="F1011" s="83" t="n"/>
      <c r="G1011" s="83" t="n"/>
      <c r="H1011" s="83" t="n"/>
      <c r="I1011" s="83" t="n"/>
      <c r="J1011" s="83" t="n"/>
      <c r="K1011" s="82">
        <f>IF(OR(Scale!$X260="",Scale!$X260=0),"",IF(Scale!$Y260="",0,Scale!$Y260)+IF(Scale!$Z260="",0,Scale!$Z260))</f>
        <v/>
      </c>
      <c r="L1011" s="82">
        <f>IF(OR(Scale!$X260="",Scale!$X260=0),"",Scale!$Y260)</f>
        <v/>
      </c>
      <c r="M1011" s="82">
        <f>IF(OR(Scale!$X260="",Scale!$X260=0),"",Scale!$Z260)</f>
        <v/>
      </c>
      <c r="N1011" s="81">
        <f>IF(OR(Scale!$X260="",Scale!$X260=0),"","مقابل")</f>
        <v/>
      </c>
      <c r="O1011" s="81">
        <f>IF(OR(Scale!$X260="",Scale!$X260=0),"",IFERROR(VLOOKUP(Scale!$X260,AcctTbl,3,0),""))</f>
        <v/>
      </c>
      <c r="P1011" s="82">
        <f>IF(Scale!$X260&lt;&gt;"X011","","BN02")</f>
        <v/>
      </c>
    </row>
    <row r="1012" ht="20.25" customHeight="1">
      <c r="A1012" s="80">
        <f>IF(OR(Scale!$AA260="",Scale!$AA260=0),"",Scale!$B260)</f>
        <v/>
      </c>
      <c r="B1012" s="80">
        <f>IF(OR(Scale!$AA260="",Scale!$AA260=0),"",Scale!$D260)</f>
        <v/>
      </c>
      <c r="C1012" s="80">
        <f>IF(OR(Scale!$AA260="",Scale!$AA260=0),"","باسکول")</f>
        <v/>
      </c>
      <c r="D1012" s="80">
        <f>IF(OR(Scale!$AA260="",Scale!$AA260=0),"",Scale!$AA260)</f>
        <v/>
      </c>
      <c r="E1012" s="81">
        <f>IF(OR(Scale!$AA260="",Scale!$AA260=0),"",IF(Scale!$AA260="","","پوز باسکول — "&amp;Scale!$E260))</f>
        <v/>
      </c>
      <c r="F1012" s="83" t="n"/>
      <c r="G1012" s="83" t="n"/>
      <c r="H1012" s="83" t="n"/>
      <c r="I1012" s="83" t="n"/>
      <c r="J1012" s="83" t="n"/>
      <c r="K1012" s="82">
        <f>IF(OR(Scale!$AA260="",Scale!$AA260=0),"",IF(Scale!$AB260="",0,Scale!$AB260)+IF(Scale!$AC260="",0,Scale!$AC260))</f>
        <v/>
      </c>
      <c r="L1012" s="82">
        <f>IF(OR(Scale!$AA260="",Scale!$AA260=0),"",Scale!$AB260)</f>
        <v/>
      </c>
      <c r="M1012" s="82">
        <f>IF(OR(Scale!$AA260="",Scale!$AA260=0),"",Scale!$AC260)</f>
        <v/>
      </c>
      <c r="N1012" s="81">
        <f>IF(OR(Scale!$AA260="",Scale!$AA260=0),"","پوز")</f>
        <v/>
      </c>
      <c r="O1012" s="81">
        <f>IF(OR(Scale!$AA260="",Scale!$AA260=0),"",IFERROR(VLOOKUP(Scale!$AA260,AcctTbl,3,0),""))</f>
        <v/>
      </c>
      <c r="P1012" s="82">
        <f>IF(Scale!$AA260&lt;&gt;"X011","","BN02")</f>
        <v/>
      </c>
    </row>
    <row r="1013" ht="20.25" customHeight="1">
      <c r="A1013" s="80">
        <f>IF(OR(Scale!$AD260="",Scale!$AD260=0),"",Scale!$B260)</f>
        <v/>
      </c>
      <c r="B1013" s="80">
        <f>IF(OR(Scale!$AD260="",Scale!$AD260=0),"",Scale!$D260)</f>
        <v/>
      </c>
      <c r="C1013" s="80">
        <f>IF(OR(Scale!$AD260="",Scale!$AD260=0),"","باسکول")</f>
        <v/>
      </c>
      <c r="D1013" s="80">
        <f>IF(OR(Scale!$AD260="",Scale!$AD260=0),"",Scale!$AD260)</f>
        <v/>
      </c>
      <c r="E1013" s="81">
        <f>IF(OR(Scale!$AD260="",Scale!$AD260=0),"",IF(Scale!$AD260="","","مقابل پوز — "&amp;Scale!$E260))</f>
        <v/>
      </c>
      <c r="F1013" s="83" t="n"/>
      <c r="G1013" s="83" t="n"/>
      <c r="H1013" s="83" t="n"/>
      <c r="I1013" s="83" t="n"/>
      <c r="J1013" s="83" t="n"/>
      <c r="K1013" s="82">
        <f>IF(OR(Scale!$AD260="",Scale!$AD260=0),"",IF(Scale!$AE260="",0,Scale!$AE260)+IF(Scale!$AF260="",0,Scale!$AF260))</f>
        <v/>
      </c>
      <c r="L1013" s="82">
        <f>IF(OR(Scale!$AD260="",Scale!$AD260=0),"",Scale!$AE260)</f>
        <v/>
      </c>
      <c r="M1013" s="82">
        <f>IF(OR(Scale!$AD260="",Scale!$AD260=0),"",Scale!$AF260)</f>
        <v/>
      </c>
      <c r="N1013" s="81">
        <f>IF(OR(Scale!$AD260="",Scale!$AD260=0),"","مقابل پوز")</f>
        <v/>
      </c>
      <c r="O1013" s="81">
        <f>IF(OR(Scale!$AD260="",Scale!$AD260=0),"",IFERROR(VLOOKUP(Scale!$AD260,AcctTbl,3,0),""))</f>
        <v/>
      </c>
      <c r="P1013" s="82">
        <f>IF(Scale!$AD260&lt;&gt;"X011","","BN02")</f>
        <v/>
      </c>
    </row>
    <row r="1014" ht="20.25" customHeight="1">
      <c r="A1014" s="80">
        <f>IF(OR(Scale!$U261="",Scale!$U261=0),"",Scale!$B261)</f>
        <v/>
      </c>
      <c r="B1014" s="80">
        <f>IF(OR(Scale!$U261="",Scale!$U261=0),"",Scale!$D261)</f>
        <v/>
      </c>
      <c r="C1014" s="80">
        <f>IF(OR(Scale!$U261="",Scale!$U261=0),"","باسکول")</f>
        <v/>
      </c>
      <c r="D1014" s="80">
        <f>IF(OR(Scale!$U261="",Scale!$U261=0),"",Scale!$U261)</f>
        <v/>
      </c>
      <c r="E1014" s="81">
        <f>IF(OR(Scale!$U261="",Scale!$U261=0),"",Scale!$T261)</f>
        <v/>
      </c>
      <c r="F1014" s="81">
        <f>IF(OR(Scale!$U261="",Scale!$U261=0),"",Scale!$J261)</f>
        <v/>
      </c>
      <c r="G1014" s="82">
        <f>IF(OR(Scale!$U261="",Scale!$U261=0),"",Scale!$M261)</f>
        <v/>
      </c>
      <c r="H1014" s="82">
        <f>IF(OR(Scale!$U261="",Scale!$U261=0),"",Scale!$L261)</f>
        <v/>
      </c>
      <c r="I1014" s="82">
        <f>IF(OR(Scale!$U261="",Scale!$U261=0),"",Scale!$N261)</f>
        <v/>
      </c>
      <c r="J1014" s="82">
        <f>IF(OR(Scale!$U261="",Scale!$U261=0),"",Scale!$O261)</f>
        <v/>
      </c>
      <c r="K1014" s="82">
        <f>IF(OR(Scale!$U261="",Scale!$U261=0),"",IF(Scale!$V261="",0,Scale!$V261)+IF(Scale!$W261="",0,Scale!$W261))</f>
        <v/>
      </c>
      <c r="L1014" s="82">
        <f>IF(OR(Scale!$U261="",Scale!$U261=0),"",Scale!$V261)</f>
        <v/>
      </c>
      <c r="M1014" s="82">
        <f>IF(OR(Scale!$U261="",Scale!$U261=0),"",Scale!$W261)</f>
        <v/>
      </c>
      <c r="N1014" s="81">
        <f>IF(OR(Scale!$U261="",Scale!$U261=0),"",Scale!$E261)</f>
        <v/>
      </c>
      <c r="O1014" s="81">
        <f>IF(OR(Scale!$U261="",Scale!$U261=0),"",IFERROR(VLOOKUP(Scale!$U261,AcctTbl,3,0),""))</f>
        <v/>
      </c>
      <c r="P1014" s="82">
        <f>IF(Scale!$U261&lt;&gt;"X011","","BN02")</f>
        <v/>
      </c>
    </row>
    <row r="1015" ht="20.25" customHeight="1">
      <c r="A1015" s="80">
        <f>IF(OR(Scale!$X261="",Scale!$X261=0),"",Scale!$B261)</f>
        <v/>
      </c>
      <c r="B1015" s="80">
        <f>IF(OR(Scale!$X261="",Scale!$X261=0),"",Scale!$D261)</f>
        <v/>
      </c>
      <c r="C1015" s="80">
        <f>IF(OR(Scale!$X261="",Scale!$X261=0),"","باسکول")</f>
        <v/>
      </c>
      <c r="D1015" s="80">
        <f>IF(OR(Scale!$X261="",Scale!$X261=0),"",Scale!$X261)</f>
        <v/>
      </c>
      <c r="E1015" s="81">
        <f>IF(OR(Scale!$X261="",Scale!$X261=0),"",IF(Scale!$X261="","","مقابل: "&amp;Scale!$E261))</f>
        <v/>
      </c>
      <c r="F1015" s="83" t="n"/>
      <c r="G1015" s="83" t="n"/>
      <c r="H1015" s="83" t="n"/>
      <c r="I1015" s="83" t="n"/>
      <c r="J1015" s="83" t="n"/>
      <c r="K1015" s="82">
        <f>IF(OR(Scale!$X261="",Scale!$X261=0),"",IF(Scale!$Y261="",0,Scale!$Y261)+IF(Scale!$Z261="",0,Scale!$Z261))</f>
        <v/>
      </c>
      <c r="L1015" s="82">
        <f>IF(OR(Scale!$X261="",Scale!$X261=0),"",Scale!$Y261)</f>
        <v/>
      </c>
      <c r="M1015" s="82">
        <f>IF(OR(Scale!$X261="",Scale!$X261=0),"",Scale!$Z261)</f>
        <v/>
      </c>
      <c r="N1015" s="81">
        <f>IF(OR(Scale!$X261="",Scale!$X261=0),"","مقابل")</f>
        <v/>
      </c>
      <c r="O1015" s="81">
        <f>IF(OR(Scale!$X261="",Scale!$X261=0),"",IFERROR(VLOOKUP(Scale!$X261,AcctTbl,3,0),""))</f>
        <v/>
      </c>
      <c r="P1015" s="82">
        <f>IF(Scale!$X261&lt;&gt;"X011","","BN02")</f>
        <v/>
      </c>
    </row>
    <row r="1016" ht="20.25" customHeight="1">
      <c r="A1016" s="80">
        <f>IF(OR(Scale!$AA261="",Scale!$AA261=0),"",Scale!$B261)</f>
        <v/>
      </c>
      <c r="B1016" s="80">
        <f>IF(OR(Scale!$AA261="",Scale!$AA261=0),"",Scale!$D261)</f>
        <v/>
      </c>
      <c r="C1016" s="80">
        <f>IF(OR(Scale!$AA261="",Scale!$AA261=0),"","باسکول")</f>
        <v/>
      </c>
      <c r="D1016" s="80">
        <f>IF(OR(Scale!$AA261="",Scale!$AA261=0),"",Scale!$AA261)</f>
        <v/>
      </c>
      <c r="E1016" s="81">
        <f>IF(OR(Scale!$AA261="",Scale!$AA261=0),"",IF(Scale!$AA261="","","پوز باسکول — "&amp;Scale!$E261))</f>
        <v/>
      </c>
      <c r="F1016" s="83" t="n"/>
      <c r="G1016" s="83" t="n"/>
      <c r="H1016" s="83" t="n"/>
      <c r="I1016" s="83" t="n"/>
      <c r="J1016" s="83" t="n"/>
      <c r="K1016" s="82">
        <f>IF(OR(Scale!$AA261="",Scale!$AA261=0),"",IF(Scale!$AB261="",0,Scale!$AB261)+IF(Scale!$AC261="",0,Scale!$AC261))</f>
        <v/>
      </c>
      <c r="L1016" s="82">
        <f>IF(OR(Scale!$AA261="",Scale!$AA261=0),"",Scale!$AB261)</f>
        <v/>
      </c>
      <c r="M1016" s="82">
        <f>IF(OR(Scale!$AA261="",Scale!$AA261=0),"",Scale!$AC261)</f>
        <v/>
      </c>
      <c r="N1016" s="81">
        <f>IF(OR(Scale!$AA261="",Scale!$AA261=0),"","پوز")</f>
        <v/>
      </c>
      <c r="O1016" s="81">
        <f>IF(OR(Scale!$AA261="",Scale!$AA261=0),"",IFERROR(VLOOKUP(Scale!$AA261,AcctTbl,3,0),""))</f>
        <v/>
      </c>
      <c r="P1016" s="82">
        <f>IF(Scale!$AA261&lt;&gt;"X011","","BN02")</f>
        <v/>
      </c>
    </row>
    <row r="1017" ht="20.25" customHeight="1">
      <c r="A1017" s="80">
        <f>IF(OR(Scale!$AD261="",Scale!$AD261=0),"",Scale!$B261)</f>
        <v/>
      </c>
      <c r="B1017" s="80">
        <f>IF(OR(Scale!$AD261="",Scale!$AD261=0),"",Scale!$D261)</f>
        <v/>
      </c>
      <c r="C1017" s="80">
        <f>IF(OR(Scale!$AD261="",Scale!$AD261=0),"","باسکول")</f>
        <v/>
      </c>
      <c r="D1017" s="80">
        <f>IF(OR(Scale!$AD261="",Scale!$AD261=0),"",Scale!$AD261)</f>
        <v/>
      </c>
      <c r="E1017" s="81">
        <f>IF(OR(Scale!$AD261="",Scale!$AD261=0),"",IF(Scale!$AD261="","","مقابل پوز — "&amp;Scale!$E261))</f>
        <v/>
      </c>
      <c r="F1017" s="83" t="n"/>
      <c r="G1017" s="83" t="n"/>
      <c r="H1017" s="83" t="n"/>
      <c r="I1017" s="83" t="n"/>
      <c r="J1017" s="83" t="n"/>
      <c r="K1017" s="82">
        <f>IF(OR(Scale!$AD261="",Scale!$AD261=0),"",IF(Scale!$AE261="",0,Scale!$AE261)+IF(Scale!$AF261="",0,Scale!$AF261))</f>
        <v/>
      </c>
      <c r="L1017" s="82">
        <f>IF(OR(Scale!$AD261="",Scale!$AD261=0),"",Scale!$AE261)</f>
        <v/>
      </c>
      <c r="M1017" s="82">
        <f>IF(OR(Scale!$AD261="",Scale!$AD261=0),"",Scale!$AF261)</f>
        <v/>
      </c>
      <c r="N1017" s="81">
        <f>IF(OR(Scale!$AD261="",Scale!$AD261=0),"","مقابل پوز")</f>
        <v/>
      </c>
      <c r="O1017" s="81">
        <f>IF(OR(Scale!$AD261="",Scale!$AD261=0),"",IFERROR(VLOOKUP(Scale!$AD261,AcctTbl,3,0),""))</f>
        <v/>
      </c>
      <c r="P1017" s="82">
        <f>IF(Scale!$AD261&lt;&gt;"X011","","BN02")</f>
        <v/>
      </c>
    </row>
    <row r="1018" ht="20.25" customHeight="1">
      <c r="A1018" s="80">
        <f>IF(OR(Scale!$U262="",Scale!$U262=0),"",Scale!$B262)</f>
        <v/>
      </c>
      <c r="B1018" s="80">
        <f>IF(OR(Scale!$U262="",Scale!$U262=0),"",Scale!$D262)</f>
        <v/>
      </c>
      <c r="C1018" s="80">
        <f>IF(OR(Scale!$U262="",Scale!$U262=0),"","باسکول")</f>
        <v/>
      </c>
      <c r="D1018" s="80">
        <f>IF(OR(Scale!$U262="",Scale!$U262=0),"",Scale!$U262)</f>
        <v/>
      </c>
      <c r="E1018" s="81">
        <f>IF(OR(Scale!$U262="",Scale!$U262=0),"",Scale!$T262)</f>
        <v/>
      </c>
      <c r="F1018" s="81">
        <f>IF(OR(Scale!$U262="",Scale!$U262=0),"",Scale!$J262)</f>
        <v/>
      </c>
      <c r="G1018" s="82">
        <f>IF(OR(Scale!$U262="",Scale!$U262=0),"",Scale!$M262)</f>
        <v/>
      </c>
      <c r="H1018" s="82">
        <f>IF(OR(Scale!$U262="",Scale!$U262=0),"",Scale!$L262)</f>
        <v/>
      </c>
      <c r="I1018" s="82">
        <f>IF(OR(Scale!$U262="",Scale!$U262=0),"",Scale!$N262)</f>
        <v/>
      </c>
      <c r="J1018" s="82">
        <f>IF(OR(Scale!$U262="",Scale!$U262=0),"",Scale!$O262)</f>
        <v/>
      </c>
      <c r="K1018" s="82">
        <f>IF(OR(Scale!$U262="",Scale!$U262=0),"",IF(Scale!$V262="",0,Scale!$V262)+IF(Scale!$W262="",0,Scale!$W262))</f>
        <v/>
      </c>
      <c r="L1018" s="82">
        <f>IF(OR(Scale!$U262="",Scale!$U262=0),"",Scale!$V262)</f>
        <v/>
      </c>
      <c r="M1018" s="82">
        <f>IF(OR(Scale!$U262="",Scale!$U262=0),"",Scale!$W262)</f>
        <v/>
      </c>
      <c r="N1018" s="81">
        <f>IF(OR(Scale!$U262="",Scale!$U262=0),"",Scale!$E262)</f>
        <v/>
      </c>
      <c r="O1018" s="81">
        <f>IF(OR(Scale!$U262="",Scale!$U262=0),"",IFERROR(VLOOKUP(Scale!$U262,AcctTbl,3,0),""))</f>
        <v/>
      </c>
      <c r="P1018" s="82">
        <f>IF(Scale!$U262&lt;&gt;"X011","","BN02")</f>
        <v/>
      </c>
    </row>
    <row r="1019" ht="20.25" customHeight="1">
      <c r="A1019" s="80">
        <f>IF(OR(Scale!$X262="",Scale!$X262=0),"",Scale!$B262)</f>
        <v/>
      </c>
      <c r="B1019" s="80">
        <f>IF(OR(Scale!$X262="",Scale!$X262=0),"",Scale!$D262)</f>
        <v/>
      </c>
      <c r="C1019" s="80">
        <f>IF(OR(Scale!$X262="",Scale!$X262=0),"","باسکول")</f>
        <v/>
      </c>
      <c r="D1019" s="80">
        <f>IF(OR(Scale!$X262="",Scale!$X262=0),"",Scale!$X262)</f>
        <v/>
      </c>
      <c r="E1019" s="81">
        <f>IF(OR(Scale!$X262="",Scale!$X262=0),"",IF(Scale!$X262="","","مقابل: "&amp;Scale!$E262))</f>
        <v/>
      </c>
      <c r="F1019" s="83" t="n"/>
      <c r="G1019" s="83" t="n"/>
      <c r="H1019" s="83" t="n"/>
      <c r="I1019" s="83" t="n"/>
      <c r="J1019" s="83" t="n"/>
      <c r="K1019" s="82">
        <f>IF(OR(Scale!$X262="",Scale!$X262=0),"",IF(Scale!$Y262="",0,Scale!$Y262)+IF(Scale!$Z262="",0,Scale!$Z262))</f>
        <v/>
      </c>
      <c r="L1019" s="82">
        <f>IF(OR(Scale!$X262="",Scale!$X262=0),"",Scale!$Y262)</f>
        <v/>
      </c>
      <c r="M1019" s="82">
        <f>IF(OR(Scale!$X262="",Scale!$X262=0),"",Scale!$Z262)</f>
        <v/>
      </c>
      <c r="N1019" s="81">
        <f>IF(OR(Scale!$X262="",Scale!$X262=0),"","مقابل")</f>
        <v/>
      </c>
      <c r="O1019" s="81">
        <f>IF(OR(Scale!$X262="",Scale!$X262=0),"",IFERROR(VLOOKUP(Scale!$X262,AcctTbl,3,0),""))</f>
        <v/>
      </c>
      <c r="P1019" s="82">
        <f>IF(Scale!$X262&lt;&gt;"X011","","BN02")</f>
        <v/>
      </c>
    </row>
    <row r="1020" ht="20.25" customHeight="1">
      <c r="A1020" s="80">
        <f>IF(OR(Scale!$AA262="",Scale!$AA262=0),"",Scale!$B262)</f>
        <v/>
      </c>
      <c r="B1020" s="80">
        <f>IF(OR(Scale!$AA262="",Scale!$AA262=0),"",Scale!$D262)</f>
        <v/>
      </c>
      <c r="C1020" s="80">
        <f>IF(OR(Scale!$AA262="",Scale!$AA262=0),"","باسکول")</f>
        <v/>
      </c>
      <c r="D1020" s="80">
        <f>IF(OR(Scale!$AA262="",Scale!$AA262=0),"",Scale!$AA262)</f>
        <v/>
      </c>
      <c r="E1020" s="81">
        <f>IF(OR(Scale!$AA262="",Scale!$AA262=0),"",IF(Scale!$AA262="","","پوز باسکول — "&amp;Scale!$E262))</f>
        <v/>
      </c>
      <c r="F1020" s="83" t="n"/>
      <c r="G1020" s="83" t="n"/>
      <c r="H1020" s="83" t="n"/>
      <c r="I1020" s="83" t="n"/>
      <c r="J1020" s="83" t="n"/>
      <c r="K1020" s="82">
        <f>IF(OR(Scale!$AA262="",Scale!$AA262=0),"",IF(Scale!$AB262="",0,Scale!$AB262)+IF(Scale!$AC262="",0,Scale!$AC262))</f>
        <v/>
      </c>
      <c r="L1020" s="82">
        <f>IF(OR(Scale!$AA262="",Scale!$AA262=0),"",Scale!$AB262)</f>
        <v/>
      </c>
      <c r="M1020" s="82">
        <f>IF(OR(Scale!$AA262="",Scale!$AA262=0),"",Scale!$AC262)</f>
        <v/>
      </c>
      <c r="N1020" s="81">
        <f>IF(OR(Scale!$AA262="",Scale!$AA262=0),"","پوز")</f>
        <v/>
      </c>
      <c r="O1020" s="81">
        <f>IF(OR(Scale!$AA262="",Scale!$AA262=0),"",IFERROR(VLOOKUP(Scale!$AA262,AcctTbl,3,0),""))</f>
        <v/>
      </c>
      <c r="P1020" s="82">
        <f>IF(Scale!$AA262&lt;&gt;"X011","","BN02")</f>
        <v/>
      </c>
    </row>
    <row r="1021" ht="20.25" customHeight="1">
      <c r="A1021" s="80">
        <f>IF(OR(Scale!$AD262="",Scale!$AD262=0),"",Scale!$B262)</f>
        <v/>
      </c>
      <c r="B1021" s="80">
        <f>IF(OR(Scale!$AD262="",Scale!$AD262=0),"",Scale!$D262)</f>
        <v/>
      </c>
      <c r="C1021" s="80">
        <f>IF(OR(Scale!$AD262="",Scale!$AD262=0),"","باسکول")</f>
        <v/>
      </c>
      <c r="D1021" s="80">
        <f>IF(OR(Scale!$AD262="",Scale!$AD262=0),"",Scale!$AD262)</f>
        <v/>
      </c>
      <c r="E1021" s="81">
        <f>IF(OR(Scale!$AD262="",Scale!$AD262=0),"",IF(Scale!$AD262="","","مقابل پوز — "&amp;Scale!$E262))</f>
        <v/>
      </c>
      <c r="F1021" s="83" t="n"/>
      <c r="G1021" s="83" t="n"/>
      <c r="H1021" s="83" t="n"/>
      <c r="I1021" s="83" t="n"/>
      <c r="J1021" s="83" t="n"/>
      <c r="K1021" s="82">
        <f>IF(OR(Scale!$AD262="",Scale!$AD262=0),"",IF(Scale!$AE262="",0,Scale!$AE262)+IF(Scale!$AF262="",0,Scale!$AF262))</f>
        <v/>
      </c>
      <c r="L1021" s="82">
        <f>IF(OR(Scale!$AD262="",Scale!$AD262=0),"",Scale!$AE262)</f>
        <v/>
      </c>
      <c r="M1021" s="82">
        <f>IF(OR(Scale!$AD262="",Scale!$AD262=0),"",Scale!$AF262)</f>
        <v/>
      </c>
      <c r="N1021" s="81">
        <f>IF(OR(Scale!$AD262="",Scale!$AD262=0),"","مقابل پوز")</f>
        <v/>
      </c>
      <c r="O1021" s="81">
        <f>IF(OR(Scale!$AD262="",Scale!$AD262=0),"",IFERROR(VLOOKUP(Scale!$AD262,AcctTbl,3,0),""))</f>
        <v/>
      </c>
      <c r="P1021" s="82">
        <f>IF(Scale!$AD262&lt;&gt;"X011","","BN02")</f>
        <v/>
      </c>
    </row>
    <row r="1022" ht="20.25" customHeight="1">
      <c r="A1022" s="80">
        <f>IF(OR(Scale!$U263="",Scale!$U263=0),"",Scale!$B263)</f>
        <v/>
      </c>
      <c r="B1022" s="80">
        <f>IF(OR(Scale!$U263="",Scale!$U263=0),"",Scale!$D263)</f>
        <v/>
      </c>
      <c r="C1022" s="80">
        <f>IF(OR(Scale!$U263="",Scale!$U263=0),"","باسکول")</f>
        <v/>
      </c>
      <c r="D1022" s="80">
        <f>IF(OR(Scale!$U263="",Scale!$U263=0),"",Scale!$U263)</f>
        <v/>
      </c>
      <c r="E1022" s="81">
        <f>IF(OR(Scale!$U263="",Scale!$U263=0),"",Scale!$T263)</f>
        <v/>
      </c>
      <c r="F1022" s="81">
        <f>IF(OR(Scale!$U263="",Scale!$U263=0),"",Scale!$J263)</f>
        <v/>
      </c>
      <c r="G1022" s="82">
        <f>IF(OR(Scale!$U263="",Scale!$U263=0),"",Scale!$M263)</f>
        <v/>
      </c>
      <c r="H1022" s="82">
        <f>IF(OR(Scale!$U263="",Scale!$U263=0),"",Scale!$L263)</f>
        <v/>
      </c>
      <c r="I1022" s="82">
        <f>IF(OR(Scale!$U263="",Scale!$U263=0),"",Scale!$N263)</f>
        <v/>
      </c>
      <c r="J1022" s="82">
        <f>IF(OR(Scale!$U263="",Scale!$U263=0),"",Scale!$O263)</f>
        <v/>
      </c>
      <c r="K1022" s="82">
        <f>IF(OR(Scale!$U263="",Scale!$U263=0),"",IF(Scale!$V263="",0,Scale!$V263)+IF(Scale!$W263="",0,Scale!$W263))</f>
        <v/>
      </c>
      <c r="L1022" s="82">
        <f>IF(OR(Scale!$U263="",Scale!$U263=0),"",Scale!$V263)</f>
        <v/>
      </c>
      <c r="M1022" s="82">
        <f>IF(OR(Scale!$U263="",Scale!$U263=0),"",Scale!$W263)</f>
        <v/>
      </c>
      <c r="N1022" s="81">
        <f>IF(OR(Scale!$U263="",Scale!$U263=0),"",Scale!$E263)</f>
        <v/>
      </c>
      <c r="O1022" s="81">
        <f>IF(OR(Scale!$U263="",Scale!$U263=0),"",IFERROR(VLOOKUP(Scale!$U263,AcctTbl,3,0),""))</f>
        <v/>
      </c>
      <c r="P1022" s="82">
        <f>IF(Scale!$U263&lt;&gt;"X011","","BN02")</f>
        <v/>
      </c>
    </row>
    <row r="1023" ht="20.25" customHeight="1">
      <c r="A1023" s="80">
        <f>IF(OR(Scale!$X263="",Scale!$X263=0),"",Scale!$B263)</f>
        <v/>
      </c>
      <c r="B1023" s="80">
        <f>IF(OR(Scale!$X263="",Scale!$X263=0),"",Scale!$D263)</f>
        <v/>
      </c>
      <c r="C1023" s="80">
        <f>IF(OR(Scale!$X263="",Scale!$X263=0),"","باسکول")</f>
        <v/>
      </c>
      <c r="D1023" s="80">
        <f>IF(OR(Scale!$X263="",Scale!$X263=0),"",Scale!$X263)</f>
        <v/>
      </c>
      <c r="E1023" s="81">
        <f>IF(OR(Scale!$X263="",Scale!$X263=0),"",IF(Scale!$X263="","","مقابل: "&amp;Scale!$E263))</f>
        <v/>
      </c>
      <c r="F1023" s="83" t="n"/>
      <c r="G1023" s="83" t="n"/>
      <c r="H1023" s="83" t="n"/>
      <c r="I1023" s="83" t="n"/>
      <c r="J1023" s="83" t="n"/>
      <c r="K1023" s="82">
        <f>IF(OR(Scale!$X263="",Scale!$X263=0),"",IF(Scale!$Y263="",0,Scale!$Y263)+IF(Scale!$Z263="",0,Scale!$Z263))</f>
        <v/>
      </c>
      <c r="L1023" s="82">
        <f>IF(OR(Scale!$X263="",Scale!$X263=0),"",Scale!$Y263)</f>
        <v/>
      </c>
      <c r="M1023" s="82">
        <f>IF(OR(Scale!$X263="",Scale!$X263=0),"",Scale!$Z263)</f>
        <v/>
      </c>
      <c r="N1023" s="81">
        <f>IF(OR(Scale!$X263="",Scale!$X263=0),"","مقابل")</f>
        <v/>
      </c>
      <c r="O1023" s="81">
        <f>IF(OR(Scale!$X263="",Scale!$X263=0),"",IFERROR(VLOOKUP(Scale!$X263,AcctTbl,3,0),""))</f>
        <v/>
      </c>
      <c r="P1023" s="82">
        <f>IF(Scale!$X263&lt;&gt;"X011","","BN02")</f>
        <v/>
      </c>
    </row>
    <row r="1024" ht="20.25" customHeight="1">
      <c r="A1024" s="80">
        <f>IF(OR(Scale!$AA263="",Scale!$AA263=0),"",Scale!$B263)</f>
        <v/>
      </c>
      <c r="B1024" s="80">
        <f>IF(OR(Scale!$AA263="",Scale!$AA263=0),"",Scale!$D263)</f>
        <v/>
      </c>
      <c r="C1024" s="80">
        <f>IF(OR(Scale!$AA263="",Scale!$AA263=0),"","باسکول")</f>
        <v/>
      </c>
      <c r="D1024" s="80">
        <f>IF(OR(Scale!$AA263="",Scale!$AA263=0),"",Scale!$AA263)</f>
        <v/>
      </c>
      <c r="E1024" s="81">
        <f>IF(OR(Scale!$AA263="",Scale!$AA263=0),"",IF(Scale!$AA263="","","پوز باسکول — "&amp;Scale!$E263))</f>
        <v/>
      </c>
      <c r="F1024" s="83" t="n"/>
      <c r="G1024" s="83" t="n"/>
      <c r="H1024" s="83" t="n"/>
      <c r="I1024" s="83" t="n"/>
      <c r="J1024" s="83" t="n"/>
      <c r="K1024" s="82">
        <f>IF(OR(Scale!$AA263="",Scale!$AA263=0),"",IF(Scale!$AB263="",0,Scale!$AB263)+IF(Scale!$AC263="",0,Scale!$AC263))</f>
        <v/>
      </c>
      <c r="L1024" s="82">
        <f>IF(OR(Scale!$AA263="",Scale!$AA263=0),"",Scale!$AB263)</f>
        <v/>
      </c>
      <c r="M1024" s="82">
        <f>IF(OR(Scale!$AA263="",Scale!$AA263=0),"",Scale!$AC263)</f>
        <v/>
      </c>
      <c r="N1024" s="81">
        <f>IF(OR(Scale!$AA263="",Scale!$AA263=0),"","پوز")</f>
        <v/>
      </c>
      <c r="O1024" s="81">
        <f>IF(OR(Scale!$AA263="",Scale!$AA263=0),"",IFERROR(VLOOKUP(Scale!$AA263,AcctTbl,3,0),""))</f>
        <v/>
      </c>
      <c r="P1024" s="82">
        <f>IF(Scale!$AA263&lt;&gt;"X011","","BN02")</f>
        <v/>
      </c>
    </row>
    <row r="1025" ht="20.25" customHeight="1">
      <c r="A1025" s="80">
        <f>IF(OR(Scale!$AD263="",Scale!$AD263=0),"",Scale!$B263)</f>
        <v/>
      </c>
      <c r="B1025" s="80">
        <f>IF(OR(Scale!$AD263="",Scale!$AD263=0),"",Scale!$D263)</f>
        <v/>
      </c>
      <c r="C1025" s="80">
        <f>IF(OR(Scale!$AD263="",Scale!$AD263=0),"","باسکول")</f>
        <v/>
      </c>
      <c r="D1025" s="80">
        <f>IF(OR(Scale!$AD263="",Scale!$AD263=0),"",Scale!$AD263)</f>
        <v/>
      </c>
      <c r="E1025" s="81">
        <f>IF(OR(Scale!$AD263="",Scale!$AD263=0),"",IF(Scale!$AD263="","","مقابل پوز — "&amp;Scale!$E263))</f>
        <v/>
      </c>
      <c r="F1025" s="83" t="n"/>
      <c r="G1025" s="83" t="n"/>
      <c r="H1025" s="83" t="n"/>
      <c r="I1025" s="83" t="n"/>
      <c r="J1025" s="83" t="n"/>
      <c r="K1025" s="82">
        <f>IF(OR(Scale!$AD263="",Scale!$AD263=0),"",IF(Scale!$AE263="",0,Scale!$AE263)+IF(Scale!$AF263="",0,Scale!$AF263))</f>
        <v/>
      </c>
      <c r="L1025" s="82">
        <f>IF(OR(Scale!$AD263="",Scale!$AD263=0),"",Scale!$AE263)</f>
        <v/>
      </c>
      <c r="M1025" s="82">
        <f>IF(OR(Scale!$AD263="",Scale!$AD263=0),"",Scale!$AF263)</f>
        <v/>
      </c>
      <c r="N1025" s="81">
        <f>IF(OR(Scale!$AD263="",Scale!$AD263=0),"","مقابل پوز")</f>
        <v/>
      </c>
      <c r="O1025" s="81">
        <f>IF(OR(Scale!$AD263="",Scale!$AD263=0),"",IFERROR(VLOOKUP(Scale!$AD263,AcctTbl,3,0),""))</f>
        <v/>
      </c>
      <c r="P1025" s="82">
        <f>IF(Scale!$AD263&lt;&gt;"X011","","BN02")</f>
        <v/>
      </c>
    </row>
    <row r="1026" ht="20.25" customHeight="1">
      <c r="A1026" s="80">
        <f>IF(OR(Scale!$U264="",Scale!$U264=0),"",Scale!$B264)</f>
        <v/>
      </c>
      <c r="B1026" s="80">
        <f>IF(OR(Scale!$U264="",Scale!$U264=0),"",Scale!$D264)</f>
        <v/>
      </c>
      <c r="C1026" s="80">
        <f>IF(OR(Scale!$U264="",Scale!$U264=0),"","باسکول")</f>
        <v/>
      </c>
      <c r="D1026" s="80">
        <f>IF(OR(Scale!$U264="",Scale!$U264=0),"",Scale!$U264)</f>
        <v/>
      </c>
      <c r="E1026" s="81">
        <f>IF(OR(Scale!$U264="",Scale!$U264=0),"",Scale!$T264)</f>
        <v/>
      </c>
      <c r="F1026" s="81">
        <f>IF(OR(Scale!$U264="",Scale!$U264=0),"",Scale!$J264)</f>
        <v/>
      </c>
      <c r="G1026" s="82">
        <f>IF(OR(Scale!$U264="",Scale!$U264=0),"",Scale!$M264)</f>
        <v/>
      </c>
      <c r="H1026" s="82">
        <f>IF(OR(Scale!$U264="",Scale!$U264=0),"",Scale!$L264)</f>
        <v/>
      </c>
      <c r="I1026" s="82">
        <f>IF(OR(Scale!$U264="",Scale!$U264=0),"",Scale!$N264)</f>
        <v/>
      </c>
      <c r="J1026" s="82">
        <f>IF(OR(Scale!$U264="",Scale!$U264=0),"",Scale!$O264)</f>
        <v/>
      </c>
      <c r="K1026" s="82">
        <f>IF(OR(Scale!$U264="",Scale!$U264=0),"",IF(Scale!$V264="",0,Scale!$V264)+IF(Scale!$W264="",0,Scale!$W264))</f>
        <v/>
      </c>
      <c r="L1026" s="82">
        <f>IF(OR(Scale!$U264="",Scale!$U264=0),"",Scale!$V264)</f>
        <v/>
      </c>
      <c r="M1026" s="82">
        <f>IF(OR(Scale!$U264="",Scale!$U264=0),"",Scale!$W264)</f>
        <v/>
      </c>
      <c r="N1026" s="81">
        <f>IF(OR(Scale!$U264="",Scale!$U264=0),"",Scale!$E264)</f>
        <v/>
      </c>
      <c r="O1026" s="81">
        <f>IF(OR(Scale!$U264="",Scale!$U264=0),"",IFERROR(VLOOKUP(Scale!$U264,AcctTbl,3,0),""))</f>
        <v/>
      </c>
      <c r="P1026" s="82">
        <f>IF(Scale!$U264&lt;&gt;"X011","","BN02")</f>
        <v/>
      </c>
    </row>
    <row r="1027" ht="20.25" customHeight="1">
      <c r="A1027" s="80">
        <f>IF(OR(Scale!$X264="",Scale!$X264=0),"",Scale!$B264)</f>
        <v/>
      </c>
      <c r="B1027" s="80">
        <f>IF(OR(Scale!$X264="",Scale!$X264=0),"",Scale!$D264)</f>
        <v/>
      </c>
      <c r="C1027" s="80">
        <f>IF(OR(Scale!$X264="",Scale!$X264=0),"","باسکول")</f>
        <v/>
      </c>
      <c r="D1027" s="80">
        <f>IF(OR(Scale!$X264="",Scale!$X264=0),"",Scale!$X264)</f>
        <v/>
      </c>
      <c r="E1027" s="81">
        <f>IF(OR(Scale!$X264="",Scale!$X264=0),"",IF(Scale!$X264="","","مقابل: "&amp;Scale!$E264))</f>
        <v/>
      </c>
      <c r="F1027" s="83" t="n"/>
      <c r="G1027" s="83" t="n"/>
      <c r="H1027" s="83" t="n"/>
      <c r="I1027" s="83" t="n"/>
      <c r="J1027" s="83" t="n"/>
      <c r="K1027" s="82">
        <f>IF(OR(Scale!$X264="",Scale!$X264=0),"",IF(Scale!$Y264="",0,Scale!$Y264)+IF(Scale!$Z264="",0,Scale!$Z264))</f>
        <v/>
      </c>
      <c r="L1027" s="82">
        <f>IF(OR(Scale!$X264="",Scale!$X264=0),"",Scale!$Y264)</f>
        <v/>
      </c>
      <c r="M1027" s="82">
        <f>IF(OR(Scale!$X264="",Scale!$X264=0),"",Scale!$Z264)</f>
        <v/>
      </c>
      <c r="N1027" s="81">
        <f>IF(OR(Scale!$X264="",Scale!$X264=0),"","مقابل")</f>
        <v/>
      </c>
      <c r="O1027" s="81">
        <f>IF(OR(Scale!$X264="",Scale!$X264=0),"",IFERROR(VLOOKUP(Scale!$X264,AcctTbl,3,0),""))</f>
        <v/>
      </c>
      <c r="P1027" s="82">
        <f>IF(Scale!$X264&lt;&gt;"X011","","BN02")</f>
        <v/>
      </c>
    </row>
    <row r="1028" ht="20.25" customHeight="1">
      <c r="A1028" s="80">
        <f>IF(OR(Scale!$AA264="",Scale!$AA264=0),"",Scale!$B264)</f>
        <v/>
      </c>
      <c r="B1028" s="80">
        <f>IF(OR(Scale!$AA264="",Scale!$AA264=0),"",Scale!$D264)</f>
        <v/>
      </c>
      <c r="C1028" s="80">
        <f>IF(OR(Scale!$AA264="",Scale!$AA264=0),"","باسکول")</f>
        <v/>
      </c>
      <c r="D1028" s="80">
        <f>IF(OR(Scale!$AA264="",Scale!$AA264=0),"",Scale!$AA264)</f>
        <v/>
      </c>
      <c r="E1028" s="81">
        <f>IF(OR(Scale!$AA264="",Scale!$AA264=0),"",IF(Scale!$AA264="","","پوز باسکول — "&amp;Scale!$E264))</f>
        <v/>
      </c>
      <c r="F1028" s="83" t="n"/>
      <c r="G1028" s="83" t="n"/>
      <c r="H1028" s="83" t="n"/>
      <c r="I1028" s="83" t="n"/>
      <c r="J1028" s="83" t="n"/>
      <c r="K1028" s="82">
        <f>IF(OR(Scale!$AA264="",Scale!$AA264=0),"",IF(Scale!$AB264="",0,Scale!$AB264)+IF(Scale!$AC264="",0,Scale!$AC264))</f>
        <v/>
      </c>
      <c r="L1028" s="82">
        <f>IF(OR(Scale!$AA264="",Scale!$AA264=0),"",Scale!$AB264)</f>
        <v/>
      </c>
      <c r="M1028" s="82">
        <f>IF(OR(Scale!$AA264="",Scale!$AA264=0),"",Scale!$AC264)</f>
        <v/>
      </c>
      <c r="N1028" s="81">
        <f>IF(OR(Scale!$AA264="",Scale!$AA264=0),"","پوز")</f>
        <v/>
      </c>
      <c r="O1028" s="81">
        <f>IF(OR(Scale!$AA264="",Scale!$AA264=0),"",IFERROR(VLOOKUP(Scale!$AA264,AcctTbl,3,0),""))</f>
        <v/>
      </c>
      <c r="P1028" s="82">
        <f>IF(Scale!$AA264&lt;&gt;"X011","","BN02")</f>
        <v/>
      </c>
    </row>
    <row r="1029" ht="20.25" customHeight="1">
      <c r="A1029" s="80">
        <f>IF(OR(Scale!$AD264="",Scale!$AD264=0),"",Scale!$B264)</f>
        <v/>
      </c>
      <c r="B1029" s="80">
        <f>IF(OR(Scale!$AD264="",Scale!$AD264=0),"",Scale!$D264)</f>
        <v/>
      </c>
      <c r="C1029" s="80">
        <f>IF(OR(Scale!$AD264="",Scale!$AD264=0),"","باسکول")</f>
        <v/>
      </c>
      <c r="D1029" s="80">
        <f>IF(OR(Scale!$AD264="",Scale!$AD264=0),"",Scale!$AD264)</f>
        <v/>
      </c>
      <c r="E1029" s="81">
        <f>IF(OR(Scale!$AD264="",Scale!$AD264=0),"",IF(Scale!$AD264="","","مقابل پوز — "&amp;Scale!$E264))</f>
        <v/>
      </c>
      <c r="F1029" s="83" t="n"/>
      <c r="G1029" s="83" t="n"/>
      <c r="H1029" s="83" t="n"/>
      <c r="I1029" s="83" t="n"/>
      <c r="J1029" s="83" t="n"/>
      <c r="K1029" s="82">
        <f>IF(OR(Scale!$AD264="",Scale!$AD264=0),"",IF(Scale!$AE264="",0,Scale!$AE264)+IF(Scale!$AF264="",0,Scale!$AF264))</f>
        <v/>
      </c>
      <c r="L1029" s="82">
        <f>IF(OR(Scale!$AD264="",Scale!$AD264=0),"",Scale!$AE264)</f>
        <v/>
      </c>
      <c r="M1029" s="82">
        <f>IF(OR(Scale!$AD264="",Scale!$AD264=0),"",Scale!$AF264)</f>
        <v/>
      </c>
      <c r="N1029" s="81">
        <f>IF(OR(Scale!$AD264="",Scale!$AD264=0),"","مقابل پوز")</f>
        <v/>
      </c>
      <c r="O1029" s="81">
        <f>IF(OR(Scale!$AD264="",Scale!$AD264=0),"",IFERROR(VLOOKUP(Scale!$AD264,AcctTbl,3,0),""))</f>
        <v/>
      </c>
      <c r="P1029" s="82">
        <f>IF(Scale!$AD264&lt;&gt;"X011","","BN02")</f>
        <v/>
      </c>
    </row>
    <row r="1030" ht="20.25" customHeight="1">
      <c r="A1030" s="80">
        <f>IF(OR(Scale!$U265="",Scale!$U265=0),"",Scale!$B265)</f>
        <v/>
      </c>
      <c r="B1030" s="80">
        <f>IF(OR(Scale!$U265="",Scale!$U265=0),"",Scale!$D265)</f>
        <v/>
      </c>
      <c r="C1030" s="80">
        <f>IF(OR(Scale!$U265="",Scale!$U265=0),"","باسکول")</f>
        <v/>
      </c>
      <c r="D1030" s="80">
        <f>IF(OR(Scale!$U265="",Scale!$U265=0),"",Scale!$U265)</f>
        <v/>
      </c>
      <c r="E1030" s="81">
        <f>IF(OR(Scale!$U265="",Scale!$U265=0),"",Scale!$T265)</f>
        <v/>
      </c>
      <c r="F1030" s="81">
        <f>IF(OR(Scale!$U265="",Scale!$U265=0),"",Scale!$J265)</f>
        <v/>
      </c>
      <c r="G1030" s="82">
        <f>IF(OR(Scale!$U265="",Scale!$U265=0),"",Scale!$M265)</f>
        <v/>
      </c>
      <c r="H1030" s="82">
        <f>IF(OR(Scale!$U265="",Scale!$U265=0),"",Scale!$L265)</f>
        <v/>
      </c>
      <c r="I1030" s="82">
        <f>IF(OR(Scale!$U265="",Scale!$U265=0),"",Scale!$N265)</f>
        <v/>
      </c>
      <c r="J1030" s="82">
        <f>IF(OR(Scale!$U265="",Scale!$U265=0),"",Scale!$O265)</f>
        <v/>
      </c>
      <c r="K1030" s="82">
        <f>IF(OR(Scale!$U265="",Scale!$U265=0),"",IF(Scale!$V265="",0,Scale!$V265)+IF(Scale!$W265="",0,Scale!$W265))</f>
        <v/>
      </c>
      <c r="L1030" s="82">
        <f>IF(OR(Scale!$U265="",Scale!$U265=0),"",Scale!$V265)</f>
        <v/>
      </c>
      <c r="M1030" s="82">
        <f>IF(OR(Scale!$U265="",Scale!$U265=0),"",Scale!$W265)</f>
        <v/>
      </c>
      <c r="N1030" s="81">
        <f>IF(OR(Scale!$U265="",Scale!$U265=0),"",Scale!$E265)</f>
        <v/>
      </c>
      <c r="O1030" s="81">
        <f>IF(OR(Scale!$U265="",Scale!$U265=0),"",IFERROR(VLOOKUP(Scale!$U265,AcctTbl,3,0),""))</f>
        <v/>
      </c>
      <c r="P1030" s="82">
        <f>IF(Scale!$U265&lt;&gt;"X011","","BN02")</f>
        <v/>
      </c>
    </row>
    <row r="1031" ht="20.25" customHeight="1">
      <c r="A1031" s="80">
        <f>IF(OR(Scale!$X265="",Scale!$X265=0),"",Scale!$B265)</f>
        <v/>
      </c>
      <c r="B1031" s="80">
        <f>IF(OR(Scale!$X265="",Scale!$X265=0),"",Scale!$D265)</f>
        <v/>
      </c>
      <c r="C1031" s="80">
        <f>IF(OR(Scale!$X265="",Scale!$X265=0),"","باسکول")</f>
        <v/>
      </c>
      <c r="D1031" s="80">
        <f>IF(OR(Scale!$X265="",Scale!$X265=0),"",Scale!$X265)</f>
        <v/>
      </c>
      <c r="E1031" s="81">
        <f>IF(OR(Scale!$X265="",Scale!$X265=0),"",IF(Scale!$X265="","","مقابل: "&amp;Scale!$E265))</f>
        <v/>
      </c>
      <c r="F1031" s="83" t="n"/>
      <c r="G1031" s="83" t="n"/>
      <c r="H1031" s="83" t="n"/>
      <c r="I1031" s="83" t="n"/>
      <c r="J1031" s="83" t="n"/>
      <c r="K1031" s="82">
        <f>IF(OR(Scale!$X265="",Scale!$X265=0),"",IF(Scale!$Y265="",0,Scale!$Y265)+IF(Scale!$Z265="",0,Scale!$Z265))</f>
        <v/>
      </c>
      <c r="L1031" s="82">
        <f>IF(OR(Scale!$X265="",Scale!$X265=0),"",Scale!$Y265)</f>
        <v/>
      </c>
      <c r="M1031" s="82">
        <f>IF(OR(Scale!$X265="",Scale!$X265=0),"",Scale!$Z265)</f>
        <v/>
      </c>
      <c r="N1031" s="81">
        <f>IF(OR(Scale!$X265="",Scale!$X265=0),"","مقابل")</f>
        <v/>
      </c>
      <c r="O1031" s="81">
        <f>IF(OR(Scale!$X265="",Scale!$X265=0),"",IFERROR(VLOOKUP(Scale!$X265,AcctTbl,3,0),""))</f>
        <v/>
      </c>
      <c r="P1031" s="82">
        <f>IF(Scale!$X265&lt;&gt;"X011","","BN02")</f>
        <v/>
      </c>
    </row>
    <row r="1032" ht="20.25" customHeight="1">
      <c r="A1032" s="80">
        <f>IF(OR(Scale!$AA265="",Scale!$AA265=0),"",Scale!$B265)</f>
        <v/>
      </c>
      <c r="B1032" s="80">
        <f>IF(OR(Scale!$AA265="",Scale!$AA265=0),"",Scale!$D265)</f>
        <v/>
      </c>
      <c r="C1032" s="80">
        <f>IF(OR(Scale!$AA265="",Scale!$AA265=0),"","باسکول")</f>
        <v/>
      </c>
      <c r="D1032" s="80">
        <f>IF(OR(Scale!$AA265="",Scale!$AA265=0),"",Scale!$AA265)</f>
        <v/>
      </c>
      <c r="E1032" s="81">
        <f>IF(OR(Scale!$AA265="",Scale!$AA265=0),"",IF(Scale!$AA265="","","پوز باسکول — "&amp;Scale!$E265))</f>
        <v/>
      </c>
      <c r="F1032" s="83" t="n"/>
      <c r="G1032" s="83" t="n"/>
      <c r="H1032" s="83" t="n"/>
      <c r="I1032" s="83" t="n"/>
      <c r="J1032" s="83" t="n"/>
      <c r="K1032" s="82">
        <f>IF(OR(Scale!$AA265="",Scale!$AA265=0),"",IF(Scale!$AB265="",0,Scale!$AB265)+IF(Scale!$AC265="",0,Scale!$AC265))</f>
        <v/>
      </c>
      <c r="L1032" s="82">
        <f>IF(OR(Scale!$AA265="",Scale!$AA265=0),"",Scale!$AB265)</f>
        <v/>
      </c>
      <c r="M1032" s="82">
        <f>IF(OR(Scale!$AA265="",Scale!$AA265=0),"",Scale!$AC265)</f>
        <v/>
      </c>
      <c r="N1032" s="81">
        <f>IF(OR(Scale!$AA265="",Scale!$AA265=0),"","پوز")</f>
        <v/>
      </c>
      <c r="O1032" s="81">
        <f>IF(OR(Scale!$AA265="",Scale!$AA265=0),"",IFERROR(VLOOKUP(Scale!$AA265,AcctTbl,3,0),""))</f>
        <v/>
      </c>
      <c r="P1032" s="82">
        <f>IF(Scale!$AA265&lt;&gt;"X011","","BN02")</f>
        <v/>
      </c>
    </row>
    <row r="1033" ht="20.25" customHeight="1">
      <c r="A1033" s="80">
        <f>IF(OR(Scale!$AD265="",Scale!$AD265=0),"",Scale!$B265)</f>
        <v/>
      </c>
      <c r="B1033" s="80">
        <f>IF(OR(Scale!$AD265="",Scale!$AD265=0),"",Scale!$D265)</f>
        <v/>
      </c>
      <c r="C1033" s="80">
        <f>IF(OR(Scale!$AD265="",Scale!$AD265=0),"","باسکول")</f>
        <v/>
      </c>
      <c r="D1033" s="80">
        <f>IF(OR(Scale!$AD265="",Scale!$AD265=0),"",Scale!$AD265)</f>
        <v/>
      </c>
      <c r="E1033" s="81">
        <f>IF(OR(Scale!$AD265="",Scale!$AD265=0),"",IF(Scale!$AD265="","","مقابل پوز — "&amp;Scale!$E265))</f>
        <v/>
      </c>
      <c r="F1033" s="83" t="n"/>
      <c r="G1033" s="83" t="n"/>
      <c r="H1033" s="83" t="n"/>
      <c r="I1033" s="83" t="n"/>
      <c r="J1033" s="83" t="n"/>
      <c r="K1033" s="82">
        <f>IF(OR(Scale!$AD265="",Scale!$AD265=0),"",IF(Scale!$AE265="",0,Scale!$AE265)+IF(Scale!$AF265="",0,Scale!$AF265))</f>
        <v/>
      </c>
      <c r="L1033" s="82">
        <f>IF(OR(Scale!$AD265="",Scale!$AD265=0),"",Scale!$AE265)</f>
        <v/>
      </c>
      <c r="M1033" s="82">
        <f>IF(OR(Scale!$AD265="",Scale!$AD265=0),"",Scale!$AF265)</f>
        <v/>
      </c>
      <c r="N1033" s="81">
        <f>IF(OR(Scale!$AD265="",Scale!$AD265=0),"","مقابل پوز")</f>
        <v/>
      </c>
      <c r="O1033" s="81">
        <f>IF(OR(Scale!$AD265="",Scale!$AD265=0),"",IFERROR(VLOOKUP(Scale!$AD265,AcctTbl,3,0),""))</f>
        <v/>
      </c>
      <c r="P1033" s="82">
        <f>IF(Scale!$AD265&lt;&gt;"X011","","BN02")</f>
        <v/>
      </c>
    </row>
    <row r="1034" ht="20.25" customHeight="1">
      <c r="A1034" s="80">
        <f>IF(OR(Scale!$U266="",Scale!$U266=0),"",Scale!$B266)</f>
        <v/>
      </c>
      <c r="B1034" s="80">
        <f>IF(OR(Scale!$U266="",Scale!$U266=0),"",Scale!$D266)</f>
        <v/>
      </c>
      <c r="C1034" s="80">
        <f>IF(OR(Scale!$U266="",Scale!$U266=0),"","باسکول")</f>
        <v/>
      </c>
      <c r="D1034" s="80">
        <f>IF(OR(Scale!$U266="",Scale!$U266=0),"",Scale!$U266)</f>
        <v/>
      </c>
      <c r="E1034" s="81">
        <f>IF(OR(Scale!$U266="",Scale!$U266=0),"",Scale!$T266)</f>
        <v/>
      </c>
      <c r="F1034" s="81">
        <f>IF(OR(Scale!$U266="",Scale!$U266=0),"",Scale!$J266)</f>
        <v/>
      </c>
      <c r="G1034" s="82">
        <f>IF(OR(Scale!$U266="",Scale!$U266=0),"",Scale!$M266)</f>
        <v/>
      </c>
      <c r="H1034" s="82">
        <f>IF(OR(Scale!$U266="",Scale!$U266=0),"",Scale!$L266)</f>
        <v/>
      </c>
      <c r="I1034" s="82">
        <f>IF(OR(Scale!$U266="",Scale!$U266=0),"",Scale!$N266)</f>
        <v/>
      </c>
      <c r="J1034" s="82">
        <f>IF(OR(Scale!$U266="",Scale!$U266=0),"",Scale!$O266)</f>
        <v/>
      </c>
      <c r="K1034" s="82">
        <f>IF(OR(Scale!$U266="",Scale!$U266=0),"",IF(Scale!$V266="",0,Scale!$V266)+IF(Scale!$W266="",0,Scale!$W266))</f>
        <v/>
      </c>
      <c r="L1034" s="82">
        <f>IF(OR(Scale!$U266="",Scale!$U266=0),"",Scale!$V266)</f>
        <v/>
      </c>
      <c r="M1034" s="82">
        <f>IF(OR(Scale!$U266="",Scale!$U266=0),"",Scale!$W266)</f>
        <v/>
      </c>
      <c r="N1034" s="81">
        <f>IF(OR(Scale!$U266="",Scale!$U266=0),"",Scale!$E266)</f>
        <v/>
      </c>
      <c r="O1034" s="81">
        <f>IF(OR(Scale!$U266="",Scale!$U266=0),"",IFERROR(VLOOKUP(Scale!$U266,AcctTbl,3,0),""))</f>
        <v/>
      </c>
      <c r="P1034" s="82">
        <f>IF(Scale!$U266&lt;&gt;"X011","","BN02")</f>
        <v/>
      </c>
    </row>
    <row r="1035" ht="20.25" customHeight="1">
      <c r="A1035" s="80">
        <f>IF(OR(Scale!$X266="",Scale!$X266=0),"",Scale!$B266)</f>
        <v/>
      </c>
      <c r="B1035" s="80">
        <f>IF(OR(Scale!$X266="",Scale!$X266=0),"",Scale!$D266)</f>
        <v/>
      </c>
      <c r="C1035" s="80">
        <f>IF(OR(Scale!$X266="",Scale!$X266=0),"","باسکول")</f>
        <v/>
      </c>
      <c r="D1035" s="80">
        <f>IF(OR(Scale!$X266="",Scale!$X266=0),"",Scale!$X266)</f>
        <v/>
      </c>
      <c r="E1035" s="81">
        <f>IF(OR(Scale!$X266="",Scale!$X266=0),"",IF(Scale!$X266="","","مقابل: "&amp;Scale!$E266))</f>
        <v/>
      </c>
      <c r="F1035" s="83" t="n"/>
      <c r="G1035" s="83" t="n"/>
      <c r="H1035" s="83" t="n"/>
      <c r="I1035" s="83" t="n"/>
      <c r="J1035" s="83" t="n"/>
      <c r="K1035" s="82">
        <f>IF(OR(Scale!$X266="",Scale!$X266=0),"",IF(Scale!$Y266="",0,Scale!$Y266)+IF(Scale!$Z266="",0,Scale!$Z266))</f>
        <v/>
      </c>
      <c r="L1035" s="82">
        <f>IF(OR(Scale!$X266="",Scale!$X266=0),"",Scale!$Y266)</f>
        <v/>
      </c>
      <c r="M1035" s="82">
        <f>IF(OR(Scale!$X266="",Scale!$X266=0),"",Scale!$Z266)</f>
        <v/>
      </c>
      <c r="N1035" s="81">
        <f>IF(OR(Scale!$X266="",Scale!$X266=0),"","مقابل")</f>
        <v/>
      </c>
      <c r="O1035" s="81">
        <f>IF(OR(Scale!$X266="",Scale!$X266=0),"",IFERROR(VLOOKUP(Scale!$X266,AcctTbl,3,0),""))</f>
        <v/>
      </c>
      <c r="P1035" s="82">
        <f>IF(Scale!$X266&lt;&gt;"X011","","BN02")</f>
        <v/>
      </c>
    </row>
    <row r="1036" ht="20.25" customHeight="1">
      <c r="A1036" s="80">
        <f>IF(OR(Scale!$AA266="",Scale!$AA266=0),"",Scale!$B266)</f>
        <v/>
      </c>
      <c r="B1036" s="80">
        <f>IF(OR(Scale!$AA266="",Scale!$AA266=0),"",Scale!$D266)</f>
        <v/>
      </c>
      <c r="C1036" s="80">
        <f>IF(OR(Scale!$AA266="",Scale!$AA266=0),"","باسکول")</f>
        <v/>
      </c>
      <c r="D1036" s="80">
        <f>IF(OR(Scale!$AA266="",Scale!$AA266=0),"",Scale!$AA266)</f>
        <v/>
      </c>
      <c r="E1036" s="81">
        <f>IF(OR(Scale!$AA266="",Scale!$AA266=0),"",IF(Scale!$AA266="","","پوز باسکول — "&amp;Scale!$E266))</f>
        <v/>
      </c>
      <c r="F1036" s="83" t="n"/>
      <c r="G1036" s="83" t="n"/>
      <c r="H1036" s="83" t="n"/>
      <c r="I1036" s="83" t="n"/>
      <c r="J1036" s="83" t="n"/>
      <c r="K1036" s="82">
        <f>IF(OR(Scale!$AA266="",Scale!$AA266=0),"",IF(Scale!$AB266="",0,Scale!$AB266)+IF(Scale!$AC266="",0,Scale!$AC266))</f>
        <v/>
      </c>
      <c r="L1036" s="82">
        <f>IF(OR(Scale!$AA266="",Scale!$AA266=0),"",Scale!$AB266)</f>
        <v/>
      </c>
      <c r="M1036" s="82">
        <f>IF(OR(Scale!$AA266="",Scale!$AA266=0),"",Scale!$AC266)</f>
        <v/>
      </c>
      <c r="N1036" s="81">
        <f>IF(OR(Scale!$AA266="",Scale!$AA266=0),"","پوز")</f>
        <v/>
      </c>
      <c r="O1036" s="81">
        <f>IF(OR(Scale!$AA266="",Scale!$AA266=0),"",IFERROR(VLOOKUP(Scale!$AA266,AcctTbl,3,0),""))</f>
        <v/>
      </c>
      <c r="P1036" s="82">
        <f>IF(Scale!$AA266&lt;&gt;"X011","","BN02")</f>
        <v/>
      </c>
    </row>
    <row r="1037" ht="20.25" customHeight="1">
      <c r="A1037" s="80">
        <f>IF(OR(Scale!$AD266="",Scale!$AD266=0),"",Scale!$B266)</f>
        <v/>
      </c>
      <c r="B1037" s="80">
        <f>IF(OR(Scale!$AD266="",Scale!$AD266=0),"",Scale!$D266)</f>
        <v/>
      </c>
      <c r="C1037" s="80">
        <f>IF(OR(Scale!$AD266="",Scale!$AD266=0),"","باسکول")</f>
        <v/>
      </c>
      <c r="D1037" s="80">
        <f>IF(OR(Scale!$AD266="",Scale!$AD266=0),"",Scale!$AD266)</f>
        <v/>
      </c>
      <c r="E1037" s="81">
        <f>IF(OR(Scale!$AD266="",Scale!$AD266=0),"",IF(Scale!$AD266="","","مقابل پوز — "&amp;Scale!$E266))</f>
        <v/>
      </c>
      <c r="F1037" s="83" t="n"/>
      <c r="G1037" s="83" t="n"/>
      <c r="H1037" s="83" t="n"/>
      <c r="I1037" s="83" t="n"/>
      <c r="J1037" s="83" t="n"/>
      <c r="K1037" s="82">
        <f>IF(OR(Scale!$AD266="",Scale!$AD266=0),"",IF(Scale!$AE266="",0,Scale!$AE266)+IF(Scale!$AF266="",0,Scale!$AF266))</f>
        <v/>
      </c>
      <c r="L1037" s="82">
        <f>IF(OR(Scale!$AD266="",Scale!$AD266=0),"",Scale!$AE266)</f>
        <v/>
      </c>
      <c r="M1037" s="82">
        <f>IF(OR(Scale!$AD266="",Scale!$AD266=0),"",Scale!$AF266)</f>
        <v/>
      </c>
      <c r="N1037" s="81">
        <f>IF(OR(Scale!$AD266="",Scale!$AD266=0),"","مقابل پوز")</f>
        <v/>
      </c>
      <c r="O1037" s="81">
        <f>IF(OR(Scale!$AD266="",Scale!$AD266=0),"",IFERROR(VLOOKUP(Scale!$AD266,AcctTbl,3,0),""))</f>
        <v/>
      </c>
      <c r="P1037" s="82">
        <f>IF(Scale!$AD266&lt;&gt;"X011","","BN02")</f>
        <v/>
      </c>
    </row>
    <row r="1038" ht="20.25" customHeight="1">
      <c r="A1038" s="80">
        <f>IF(OR(Scale!$U267="",Scale!$U267=0),"",Scale!$B267)</f>
        <v/>
      </c>
      <c r="B1038" s="80">
        <f>IF(OR(Scale!$U267="",Scale!$U267=0),"",Scale!$D267)</f>
        <v/>
      </c>
      <c r="C1038" s="80">
        <f>IF(OR(Scale!$U267="",Scale!$U267=0),"","باسکول")</f>
        <v/>
      </c>
      <c r="D1038" s="80">
        <f>IF(OR(Scale!$U267="",Scale!$U267=0),"",Scale!$U267)</f>
        <v/>
      </c>
      <c r="E1038" s="81">
        <f>IF(OR(Scale!$U267="",Scale!$U267=0),"",Scale!$T267)</f>
        <v/>
      </c>
      <c r="F1038" s="81">
        <f>IF(OR(Scale!$U267="",Scale!$U267=0),"",Scale!$J267)</f>
        <v/>
      </c>
      <c r="G1038" s="82">
        <f>IF(OR(Scale!$U267="",Scale!$U267=0),"",Scale!$M267)</f>
        <v/>
      </c>
      <c r="H1038" s="82">
        <f>IF(OR(Scale!$U267="",Scale!$U267=0),"",Scale!$L267)</f>
        <v/>
      </c>
      <c r="I1038" s="82">
        <f>IF(OR(Scale!$U267="",Scale!$U267=0),"",Scale!$N267)</f>
        <v/>
      </c>
      <c r="J1038" s="82">
        <f>IF(OR(Scale!$U267="",Scale!$U267=0),"",Scale!$O267)</f>
        <v/>
      </c>
      <c r="K1038" s="82">
        <f>IF(OR(Scale!$U267="",Scale!$U267=0),"",IF(Scale!$V267="",0,Scale!$V267)+IF(Scale!$W267="",0,Scale!$W267))</f>
        <v/>
      </c>
      <c r="L1038" s="82">
        <f>IF(OR(Scale!$U267="",Scale!$U267=0),"",Scale!$V267)</f>
        <v/>
      </c>
      <c r="M1038" s="82">
        <f>IF(OR(Scale!$U267="",Scale!$U267=0),"",Scale!$W267)</f>
        <v/>
      </c>
      <c r="N1038" s="81">
        <f>IF(OR(Scale!$U267="",Scale!$U267=0),"",Scale!$E267)</f>
        <v/>
      </c>
      <c r="O1038" s="81">
        <f>IF(OR(Scale!$U267="",Scale!$U267=0),"",IFERROR(VLOOKUP(Scale!$U267,AcctTbl,3,0),""))</f>
        <v/>
      </c>
      <c r="P1038" s="82">
        <f>IF(Scale!$U267&lt;&gt;"X011","","BN02")</f>
        <v/>
      </c>
    </row>
    <row r="1039" ht="20.25" customHeight="1">
      <c r="A1039" s="80">
        <f>IF(OR(Scale!$X267="",Scale!$X267=0),"",Scale!$B267)</f>
        <v/>
      </c>
      <c r="B1039" s="80">
        <f>IF(OR(Scale!$X267="",Scale!$X267=0),"",Scale!$D267)</f>
        <v/>
      </c>
      <c r="C1039" s="80">
        <f>IF(OR(Scale!$X267="",Scale!$X267=0),"","باسکول")</f>
        <v/>
      </c>
      <c r="D1039" s="80">
        <f>IF(OR(Scale!$X267="",Scale!$X267=0),"",Scale!$X267)</f>
        <v/>
      </c>
      <c r="E1039" s="81">
        <f>IF(OR(Scale!$X267="",Scale!$X267=0),"",IF(Scale!$X267="","","مقابل: "&amp;Scale!$E267))</f>
        <v/>
      </c>
      <c r="F1039" s="83" t="n"/>
      <c r="G1039" s="83" t="n"/>
      <c r="H1039" s="83" t="n"/>
      <c r="I1039" s="83" t="n"/>
      <c r="J1039" s="83" t="n"/>
      <c r="K1039" s="82">
        <f>IF(OR(Scale!$X267="",Scale!$X267=0),"",IF(Scale!$Y267="",0,Scale!$Y267)+IF(Scale!$Z267="",0,Scale!$Z267))</f>
        <v/>
      </c>
      <c r="L1039" s="82">
        <f>IF(OR(Scale!$X267="",Scale!$X267=0),"",Scale!$Y267)</f>
        <v/>
      </c>
      <c r="M1039" s="82">
        <f>IF(OR(Scale!$X267="",Scale!$X267=0),"",Scale!$Z267)</f>
        <v/>
      </c>
      <c r="N1039" s="81">
        <f>IF(OR(Scale!$X267="",Scale!$X267=0),"","مقابل")</f>
        <v/>
      </c>
      <c r="O1039" s="81">
        <f>IF(OR(Scale!$X267="",Scale!$X267=0),"",IFERROR(VLOOKUP(Scale!$X267,AcctTbl,3,0),""))</f>
        <v/>
      </c>
      <c r="P1039" s="82">
        <f>IF(Scale!$X267&lt;&gt;"X011","","BN02")</f>
        <v/>
      </c>
    </row>
    <row r="1040" ht="20.25" customHeight="1">
      <c r="A1040" s="80">
        <f>IF(OR(Scale!$AA267="",Scale!$AA267=0),"",Scale!$B267)</f>
        <v/>
      </c>
      <c r="B1040" s="80">
        <f>IF(OR(Scale!$AA267="",Scale!$AA267=0),"",Scale!$D267)</f>
        <v/>
      </c>
      <c r="C1040" s="80">
        <f>IF(OR(Scale!$AA267="",Scale!$AA267=0),"","باسکول")</f>
        <v/>
      </c>
      <c r="D1040" s="80">
        <f>IF(OR(Scale!$AA267="",Scale!$AA267=0),"",Scale!$AA267)</f>
        <v/>
      </c>
      <c r="E1040" s="81">
        <f>IF(OR(Scale!$AA267="",Scale!$AA267=0),"",IF(Scale!$AA267="","","پوز باسکول — "&amp;Scale!$E267))</f>
        <v/>
      </c>
      <c r="F1040" s="83" t="n"/>
      <c r="G1040" s="83" t="n"/>
      <c r="H1040" s="83" t="n"/>
      <c r="I1040" s="83" t="n"/>
      <c r="J1040" s="83" t="n"/>
      <c r="K1040" s="82">
        <f>IF(OR(Scale!$AA267="",Scale!$AA267=0),"",IF(Scale!$AB267="",0,Scale!$AB267)+IF(Scale!$AC267="",0,Scale!$AC267))</f>
        <v/>
      </c>
      <c r="L1040" s="82">
        <f>IF(OR(Scale!$AA267="",Scale!$AA267=0),"",Scale!$AB267)</f>
        <v/>
      </c>
      <c r="M1040" s="82">
        <f>IF(OR(Scale!$AA267="",Scale!$AA267=0),"",Scale!$AC267)</f>
        <v/>
      </c>
      <c r="N1040" s="81">
        <f>IF(OR(Scale!$AA267="",Scale!$AA267=0),"","پوز")</f>
        <v/>
      </c>
      <c r="O1040" s="81">
        <f>IF(OR(Scale!$AA267="",Scale!$AA267=0),"",IFERROR(VLOOKUP(Scale!$AA267,AcctTbl,3,0),""))</f>
        <v/>
      </c>
      <c r="P1040" s="82">
        <f>IF(Scale!$AA267&lt;&gt;"X011","","BN02")</f>
        <v/>
      </c>
    </row>
    <row r="1041" ht="20.25" customHeight="1">
      <c r="A1041" s="80">
        <f>IF(OR(Scale!$AD267="",Scale!$AD267=0),"",Scale!$B267)</f>
        <v/>
      </c>
      <c r="B1041" s="80">
        <f>IF(OR(Scale!$AD267="",Scale!$AD267=0),"",Scale!$D267)</f>
        <v/>
      </c>
      <c r="C1041" s="80">
        <f>IF(OR(Scale!$AD267="",Scale!$AD267=0),"","باسکول")</f>
        <v/>
      </c>
      <c r="D1041" s="80">
        <f>IF(OR(Scale!$AD267="",Scale!$AD267=0),"",Scale!$AD267)</f>
        <v/>
      </c>
      <c r="E1041" s="81">
        <f>IF(OR(Scale!$AD267="",Scale!$AD267=0),"",IF(Scale!$AD267="","","مقابل پوز — "&amp;Scale!$E267))</f>
        <v/>
      </c>
      <c r="F1041" s="83" t="n"/>
      <c r="G1041" s="83" t="n"/>
      <c r="H1041" s="83" t="n"/>
      <c r="I1041" s="83" t="n"/>
      <c r="J1041" s="83" t="n"/>
      <c r="K1041" s="82">
        <f>IF(OR(Scale!$AD267="",Scale!$AD267=0),"",IF(Scale!$AE267="",0,Scale!$AE267)+IF(Scale!$AF267="",0,Scale!$AF267))</f>
        <v/>
      </c>
      <c r="L1041" s="82">
        <f>IF(OR(Scale!$AD267="",Scale!$AD267=0),"",Scale!$AE267)</f>
        <v/>
      </c>
      <c r="M1041" s="82">
        <f>IF(OR(Scale!$AD267="",Scale!$AD267=0),"",Scale!$AF267)</f>
        <v/>
      </c>
      <c r="N1041" s="81">
        <f>IF(OR(Scale!$AD267="",Scale!$AD267=0),"","مقابل پوز")</f>
        <v/>
      </c>
      <c r="O1041" s="81">
        <f>IF(OR(Scale!$AD267="",Scale!$AD267=0),"",IFERROR(VLOOKUP(Scale!$AD267,AcctTbl,3,0),""))</f>
        <v/>
      </c>
      <c r="P1041" s="82">
        <f>IF(Scale!$AD267&lt;&gt;"X011","","BN02")</f>
        <v/>
      </c>
    </row>
    <row r="1042" ht="20.25" customHeight="1">
      <c r="A1042" s="80">
        <f>IF(OR(Scale!$U268="",Scale!$U268=0),"",Scale!$B268)</f>
        <v/>
      </c>
      <c r="B1042" s="80">
        <f>IF(OR(Scale!$U268="",Scale!$U268=0),"",Scale!$D268)</f>
        <v/>
      </c>
      <c r="C1042" s="80">
        <f>IF(OR(Scale!$U268="",Scale!$U268=0),"","باسکول")</f>
        <v/>
      </c>
      <c r="D1042" s="80">
        <f>IF(OR(Scale!$U268="",Scale!$U268=0),"",Scale!$U268)</f>
        <v/>
      </c>
      <c r="E1042" s="81">
        <f>IF(OR(Scale!$U268="",Scale!$U268=0),"",Scale!$T268)</f>
        <v/>
      </c>
      <c r="F1042" s="81">
        <f>IF(OR(Scale!$U268="",Scale!$U268=0),"",Scale!$J268)</f>
        <v/>
      </c>
      <c r="G1042" s="82">
        <f>IF(OR(Scale!$U268="",Scale!$U268=0),"",Scale!$M268)</f>
        <v/>
      </c>
      <c r="H1042" s="82">
        <f>IF(OR(Scale!$U268="",Scale!$U268=0),"",Scale!$L268)</f>
        <v/>
      </c>
      <c r="I1042" s="82">
        <f>IF(OR(Scale!$U268="",Scale!$U268=0),"",Scale!$N268)</f>
        <v/>
      </c>
      <c r="J1042" s="82">
        <f>IF(OR(Scale!$U268="",Scale!$U268=0),"",Scale!$O268)</f>
        <v/>
      </c>
      <c r="K1042" s="82">
        <f>IF(OR(Scale!$U268="",Scale!$U268=0),"",IF(Scale!$V268="",0,Scale!$V268)+IF(Scale!$W268="",0,Scale!$W268))</f>
        <v/>
      </c>
      <c r="L1042" s="82">
        <f>IF(OR(Scale!$U268="",Scale!$U268=0),"",Scale!$V268)</f>
        <v/>
      </c>
      <c r="M1042" s="82">
        <f>IF(OR(Scale!$U268="",Scale!$U268=0),"",Scale!$W268)</f>
        <v/>
      </c>
      <c r="N1042" s="81">
        <f>IF(OR(Scale!$U268="",Scale!$U268=0),"",Scale!$E268)</f>
        <v/>
      </c>
      <c r="O1042" s="81">
        <f>IF(OR(Scale!$U268="",Scale!$U268=0),"",IFERROR(VLOOKUP(Scale!$U268,AcctTbl,3,0),""))</f>
        <v/>
      </c>
      <c r="P1042" s="82">
        <f>IF(Scale!$U268&lt;&gt;"X011","","BN02")</f>
        <v/>
      </c>
    </row>
    <row r="1043" ht="20.25" customHeight="1">
      <c r="A1043" s="80">
        <f>IF(OR(Scale!$X268="",Scale!$X268=0),"",Scale!$B268)</f>
        <v/>
      </c>
      <c r="B1043" s="80">
        <f>IF(OR(Scale!$X268="",Scale!$X268=0),"",Scale!$D268)</f>
        <v/>
      </c>
      <c r="C1043" s="80">
        <f>IF(OR(Scale!$X268="",Scale!$X268=0),"","باسکول")</f>
        <v/>
      </c>
      <c r="D1043" s="80">
        <f>IF(OR(Scale!$X268="",Scale!$X268=0),"",Scale!$X268)</f>
        <v/>
      </c>
      <c r="E1043" s="81">
        <f>IF(OR(Scale!$X268="",Scale!$X268=0),"",IF(Scale!$X268="","","مقابل: "&amp;Scale!$E268))</f>
        <v/>
      </c>
      <c r="F1043" s="83" t="n"/>
      <c r="G1043" s="83" t="n"/>
      <c r="H1043" s="83" t="n"/>
      <c r="I1043" s="83" t="n"/>
      <c r="J1043" s="83" t="n"/>
      <c r="K1043" s="82">
        <f>IF(OR(Scale!$X268="",Scale!$X268=0),"",IF(Scale!$Y268="",0,Scale!$Y268)+IF(Scale!$Z268="",0,Scale!$Z268))</f>
        <v/>
      </c>
      <c r="L1043" s="82">
        <f>IF(OR(Scale!$X268="",Scale!$X268=0),"",Scale!$Y268)</f>
        <v/>
      </c>
      <c r="M1043" s="82">
        <f>IF(OR(Scale!$X268="",Scale!$X268=0),"",Scale!$Z268)</f>
        <v/>
      </c>
      <c r="N1043" s="81">
        <f>IF(OR(Scale!$X268="",Scale!$X268=0),"","مقابل")</f>
        <v/>
      </c>
      <c r="O1043" s="81">
        <f>IF(OR(Scale!$X268="",Scale!$X268=0),"",IFERROR(VLOOKUP(Scale!$X268,AcctTbl,3,0),""))</f>
        <v/>
      </c>
      <c r="P1043" s="82">
        <f>IF(Scale!$X268&lt;&gt;"X011","","BN02")</f>
        <v/>
      </c>
    </row>
    <row r="1044" ht="20.25" customHeight="1">
      <c r="A1044" s="80">
        <f>IF(OR(Scale!$AA268="",Scale!$AA268=0),"",Scale!$B268)</f>
        <v/>
      </c>
      <c r="B1044" s="80">
        <f>IF(OR(Scale!$AA268="",Scale!$AA268=0),"",Scale!$D268)</f>
        <v/>
      </c>
      <c r="C1044" s="80">
        <f>IF(OR(Scale!$AA268="",Scale!$AA268=0),"","باسکول")</f>
        <v/>
      </c>
      <c r="D1044" s="80">
        <f>IF(OR(Scale!$AA268="",Scale!$AA268=0),"",Scale!$AA268)</f>
        <v/>
      </c>
      <c r="E1044" s="81">
        <f>IF(OR(Scale!$AA268="",Scale!$AA268=0),"",IF(Scale!$AA268="","","پوز باسکول — "&amp;Scale!$E268))</f>
        <v/>
      </c>
      <c r="F1044" s="83" t="n"/>
      <c r="G1044" s="83" t="n"/>
      <c r="H1044" s="83" t="n"/>
      <c r="I1044" s="83" t="n"/>
      <c r="J1044" s="83" t="n"/>
      <c r="K1044" s="82">
        <f>IF(OR(Scale!$AA268="",Scale!$AA268=0),"",IF(Scale!$AB268="",0,Scale!$AB268)+IF(Scale!$AC268="",0,Scale!$AC268))</f>
        <v/>
      </c>
      <c r="L1044" s="82">
        <f>IF(OR(Scale!$AA268="",Scale!$AA268=0),"",Scale!$AB268)</f>
        <v/>
      </c>
      <c r="M1044" s="82">
        <f>IF(OR(Scale!$AA268="",Scale!$AA268=0),"",Scale!$AC268)</f>
        <v/>
      </c>
      <c r="N1044" s="81">
        <f>IF(OR(Scale!$AA268="",Scale!$AA268=0),"","پوز")</f>
        <v/>
      </c>
      <c r="O1044" s="81">
        <f>IF(OR(Scale!$AA268="",Scale!$AA268=0),"",IFERROR(VLOOKUP(Scale!$AA268,AcctTbl,3,0),""))</f>
        <v/>
      </c>
      <c r="P1044" s="82">
        <f>IF(Scale!$AA268&lt;&gt;"X011","","BN02")</f>
        <v/>
      </c>
    </row>
    <row r="1045" ht="20.25" customHeight="1">
      <c r="A1045" s="80">
        <f>IF(OR(Scale!$AD268="",Scale!$AD268=0),"",Scale!$B268)</f>
        <v/>
      </c>
      <c r="B1045" s="80">
        <f>IF(OR(Scale!$AD268="",Scale!$AD268=0),"",Scale!$D268)</f>
        <v/>
      </c>
      <c r="C1045" s="80">
        <f>IF(OR(Scale!$AD268="",Scale!$AD268=0),"","باسکول")</f>
        <v/>
      </c>
      <c r="D1045" s="80">
        <f>IF(OR(Scale!$AD268="",Scale!$AD268=0),"",Scale!$AD268)</f>
        <v/>
      </c>
      <c r="E1045" s="81">
        <f>IF(OR(Scale!$AD268="",Scale!$AD268=0),"",IF(Scale!$AD268="","","مقابل پوز — "&amp;Scale!$E268))</f>
        <v/>
      </c>
      <c r="F1045" s="83" t="n"/>
      <c r="G1045" s="83" t="n"/>
      <c r="H1045" s="83" t="n"/>
      <c r="I1045" s="83" t="n"/>
      <c r="J1045" s="83" t="n"/>
      <c r="K1045" s="82">
        <f>IF(OR(Scale!$AD268="",Scale!$AD268=0),"",IF(Scale!$AE268="",0,Scale!$AE268)+IF(Scale!$AF268="",0,Scale!$AF268))</f>
        <v/>
      </c>
      <c r="L1045" s="82">
        <f>IF(OR(Scale!$AD268="",Scale!$AD268=0),"",Scale!$AE268)</f>
        <v/>
      </c>
      <c r="M1045" s="82">
        <f>IF(OR(Scale!$AD268="",Scale!$AD268=0),"",Scale!$AF268)</f>
        <v/>
      </c>
      <c r="N1045" s="81">
        <f>IF(OR(Scale!$AD268="",Scale!$AD268=0),"","مقابل پوز")</f>
        <v/>
      </c>
      <c r="O1045" s="81">
        <f>IF(OR(Scale!$AD268="",Scale!$AD268=0),"",IFERROR(VLOOKUP(Scale!$AD268,AcctTbl,3,0),""))</f>
        <v/>
      </c>
      <c r="P1045" s="82">
        <f>IF(Scale!$AD268&lt;&gt;"X011","","BN02")</f>
        <v/>
      </c>
    </row>
    <row r="1046" ht="20.25" customHeight="1">
      <c r="A1046" s="80">
        <f>IF(OR(Scale!$U269="",Scale!$U269=0),"",Scale!$B269)</f>
        <v/>
      </c>
      <c r="B1046" s="80">
        <f>IF(OR(Scale!$U269="",Scale!$U269=0),"",Scale!$D269)</f>
        <v/>
      </c>
      <c r="C1046" s="80">
        <f>IF(OR(Scale!$U269="",Scale!$U269=0),"","باسکول")</f>
        <v/>
      </c>
      <c r="D1046" s="80">
        <f>IF(OR(Scale!$U269="",Scale!$U269=0),"",Scale!$U269)</f>
        <v/>
      </c>
      <c r="E1046" s="81">
        <f>IF(OR(Scale!$U269="",Scale!$U269=0),"",Scale!$T269)</f>
        <v/>
      </c>
      <c r="F1046" s="81">
        <f>IF(OR(Scale!$U269="",Scale!$U269=0),"",Scale!$J269)</f>
        <v/>
      </c>
      <c r="G1046" s="82">
        <f>IF(OR(Scale!$U269="",Scale!$U269=0),"",Scale!$M269)</f>
        <v/>
      </c>
      <c r="H1046" s="82">
        <f>IF(OR(Scale!$U269="",Scale!$U269=0),"",Scale!$L269)</f>
        <v/>
      </c>
      <c r="I1046" s="82">
        <f>IF(OR(Scale!$U269="",Scale!$U269=0),"",Scale!$N269)</f>
        <v/>
      </c>
      <c r="J1046" s="82">
        <f>IF(OR(Scale!$U269="",Scale!$U269=0),"",Scale!$O269)</f>
        <v/>
      </c>
      <c r="K1046" s="82">
        <f>IF(OR(Scale!$U269="",Scale!$U269=0),"",IF(Scale!$V269="",0,Scale!$V269)+IF(Scale!$W269="",0,Scale!$W269))</f>
        <v/>
      </c>
      <c r="L1046" s="82">
        <f>IF(OR(Scale!$U269="",Scale!$U269=0),"",Scale!$V269)</f>
        <v/>
      </c>
      <c r="M1046" s="82">
        <f>IF(OR(Scale!$U269="",Scale!$U269=0),"",Scale!$W269)</f>
        <v/>
      </c>
      <c r="N1046" s="81">
        <f>IF(OR(Scale!$U269="",Scale!$U269=0),"",Scale!$E269)</f>
        <v/>
      </c>
      <c r="O1046" s="81">
        <f>IF(OR(Scale!$U269="",Scale!$U269=0),"",IFERROR(VLOOKUP(Scale!$U269,AcctTbl,3,0),""))</f>
        <v/>
      </c>
      <c r="P1046" s="82">
        <f>IF(Scale!$U269&lt;&gt;"X011","","BN02")</f>
        <v/>
      </c>
    </row>
    <row r="1047" ht="20.25" customHeight="1">
      <c r="A1047" s="80">
        <f>IF(OR(Scale!$X269="",Scale!$X269=0),"",Scale!$B269)</f>
        <v/>
      </c>
      <c r="B1047" s="80">
        <f>IF(OR(Scale!$X269="",Scale!$X269=0),"",Scale!$D269)</f>
        <v/>
      </c>
      <c r="C1047" s="80">
        <f>IF(OR(Scale!$X269="",Scale!$X269=0),"","باسکول")</f>
        <v/>
      </c>
      <c r="D1047" s="80">
        <f>IF(OR(Scale!$X269="",Scale!$X269=0),"",Scale!$X269)</f>
        <v/>
      </c>
      <c r="E1047" s="81">
        <f>IF(OR(Scale!$X269="",Scale!$X269=0),"",IF(Scale!$X269="","","مقابل: "&amp;Scale!$E269))</f>
        <v/>
      </c>
      <c r="F1047" s="83" t="n"/>
      <c r="G1047" s="83" t="n"/>
      <c r="H1047" s="83" t="n"/>
      <c r="I1047" s="83" t="n"/>
      <c r="J1047" s="83" t="n"/>
      <c r="K1047" s="82">
        <f>IF(OR(Scale!$X269="",Scale!$X269=0),"",IF(Scale!$Y269="",0,Scale!$Y269)+IF(Scale!$Z269="",0,Scale!$Z269))</f>
        <v/>
      </c>
      <c r="L1047" s="82">
        <f>IF(OR(Scale!$X269="",Scale!$X269=0),"",Scale!$Y269)</f>
        <v/>
      </c>
      <c r="M1047" s="82">
        <f>IF(OR(Scale!$X269="",Scale!$X269=0),"",Scale!$Z269)</f>
        <v/>
      </c>
      <c r="N1047" s="81">
        <f>IF(OR(Scale!$X269="",Scale!$X269=0),"","مقابل")</f>
        <v/>
      </c>
      <c r="O1047" s="81">
        <f>IF(OR(Scale!$X269="",Scale!$X269=0),"",IFERROR(VLOOKUP(Scale!$X269,AcctTbl,3,0),""))</f>
        <v/>
      </c>
      <c r="P1047" s="82">
        <f>IF(Scale!$X269&lt;&gt;"X011","","BN02")</f>
        <v/>
      </c>
    </row>
    <row r="1048" ht="20.25" customHeight="1">
      <c r="A1048" s="80">
        <f>IF(OR(Scale!$AA269="",Scale!$AA269=0),"",Scale!$B269)</f>
        <v/>
      </c>
      <c r="B1048" s="80">
        <f>IF(OR(Scale!$AA269="",Scale!$AA269=0),"",Scale!$D269)</f>
        <v/>
      </c>
      <c r="C1048" s="80">
        <f>IF(OR(Scale!$AA269="",Scale!$AA269=0),"","باسکول")</f>
        <v/>
      </c>
      <c r="D1048" s="80">
        <f>IF(OR(Scale!$AA269="",Scale!$AA269=0),"",Scale!$AA269)</f>
        <v/>
      </c>
      <c r="E1048" s="81">
        <f>IF(OR(Scale!$AA269="",Scale!$AA269=0),"",IF(Scale!$AA269="","","پوز باسکول — "&amp;Scale!$E269))</f>
        <v/>
      </c>
      <c r="F1048" s="83" t="n"/>
      <c r="G1048" s="83" t="n"/>
      <c r="H1048" s="83" t="n"/>
      <c r="I1048" s="83" t="n"/>
      <c r="J1048" s="83" t="n"/>
      <c r="K1048" s="82">
        <f>IF(OR(Scale!$AA269="",Scale!$AA269=0),"",IF(Scale!$AB269="",0,Scale!$AB269)+IF(Scale!$AC269="",0,Scale!$AC269))</f>
        <v/>
      </c>
      <c r="L1048" s="82">
        <f>IF(OR(Scale!$AA269="",Scale!$AA269=0),"",Scale!$AB269)</f>
        <v/>
      </c>
      <c r="M1048" s="82">
        <f>IF(OR(Scale!$AA269="",Scale!$AA269=0),"",Scale!$AC269)</f>
        <v/>
      </c>
      <c r="N1048" s="81">
        <f>IF(OR(Scale!$AA269="",Scale!$AA269=0),"","پوز")</f>
        <v/>
      </c>
      <c r="O1048" s="81">
        <f>IF(OR(Scale!$AA269="",Scale!$AA269=0),"",IFERROR(VLOOKUP(Scale!$AA269,AcctTbl,3,0),""))</f>
        <v/>
      </c>
      <c r="P1048" s="82">
        <f>IF(Scale!$AA269&lt;&gt;"X011","","BN02")</f>
        <v/>
      </c>
    </row>
    <row r="1049" ht="20.25" customHeight="1">
      <c r="A1049" s="80">
        <f>IF(OR(Scale!$AD269="",Scale!$AD269=0),"",Scale!$B269)</f>
        <v/>
      </c>
      <c r="B1049" s="80">
        <f>IF(OR(Scale!$AD269="",Scale!$AD269=0),"",Scale!$D269)</f>
        <v/>
      </c>
      <c r="C1049" s="80">
        <f>IF(OR(Scale!$AD269="",Scale!$AD269=0),"","باسکول")</f>
        <v/>
      </c>
      <c r="D1049" s="80">
        <f>IF(OR(Scale!$AD269="",Scale!$AD269=0),"",Scale!$AD269)</f>
        <v/>
      </c>
      <c r="E1049" s="81">
        <f>IF(OR(Scale!$AD269="",Scale!$AD269=0),"",IF(Scale!$AD269="","","مقابل پوز — "&amp;Scale!$E269))</f>
        <v/>
      </c>
      <c r="F1049" s="83" t="n"/>
      <c r="G1049" s="83" t="n"/>
      <c r="H1049" s="83" t="n"/>
      <c r="I1049" s="83" t="n"/>
      <c r="J1049" s="83" t="n"/>
      <c r="K1049" s="82">
        <f>IF(OR(Scale!$AD269="",Scale!$AD269=0),"",IF(Scale!$AE269="",0,Scale!$AE269)+IF(Scale!$AF269="",0,Scale!$AF269))</f>
        <v/>
      </c>
      <c r="L1049" s="82">
        <f>IF(OR(Scale!$AD269="",Scale!$AD269=0),"",Scale!$AE269)</f>
        <v/>
      </c>
      <c r="M1049" s="82">
        <f>IF(OR(Scale!$AD269="",Scale!$AD269=0),"",Scale!$AF269)</f>
        <v/>
      </c>
      <c r="N1049" s="81">
        <f>IF(OR(Scale!$AD269="",Scale!$AD269=0),"","مقابل پوز")</f>
        <v/>
      </c>
      <c r="O1049" s="81">
        <f>IF(OR(Scale!$AD269="",Scale!$AD269=0),"",IFERROR(VLOOKUP(Scale!$AD269,AcctTbl,3,0),""))</f>
        <v/>
      </c>
      <c r="P1049" s="82">
        <f>IF(Scale!$AD269&lt;&gt;"X011","","BN02")</f>
        <v/>
      </c>
    </row>
    <row r="1050" ht="20.25" customHeight="1">
      <c r="A1050" s="80">
        <f>IF(OR(Scale!$U270="",Scale!$U270=0),"",Scale!$B270)</f>
        <v/>
      </c>
      <c r="B1050" s="80">
        <f>IF(OR(Scale!$U270="",Scale!$U270=0),"",Scale!$D270)</f>
        <v/>
      </c>
      <c r="C1050" s="80">
        <f>IF(OR(Scale!$U270="",Scale!$U270=0),"","باسکول")</f>
        <v/>
      </c>
      <c r="D1050" s="80">
        <f>IF(OR(Scale!$U270="",Scale!$U270=0),"",Scale!$U270)</f>
        <v/>
      </c>
      <c r="E1050" s="81">
        <f>IF(OR(Scale!$U270="",Scale!$U270=0),"",Scale!$T270)</f>
        <v/>
      </c>
      <c r="F1050" s="81">
        <f>IF(OR(Scale!$U270="",Scale!$U270=0),"",Scale!$J270)</f>
        <v/>
      </c>
      <c r="G1050" s="82">
        <f>IF(OR(Scale!$U270="",Scale!$U270=0),"",Scale!$M270)</f>
        <v/>
      </c>
      <c r="H1050" s="82">
        <f>IF(OR(Scale!$U270="",Scale!$U270=0),"",Scale!$L270)</f>
        <v/>
      </c>
      <c r="I1050" s="82">
        <f>IF(OR(Scale!$U270="",Scale!$U270=0),"",Scale!$N270)</f>
        <v/>
      </c>
      <c r="J1050" s="82">
        <f>IF(OR(Scale!$U270="",Scale!$U270=0),"",Scale!$O270)</f>
        <v/>
      </c>
      <c r="K1050" s="82">
        <f>IF(OR(Scale!$U270="",Scale!$U270=0),"",IF(Scale!$V270="",0,Scale!$V270)+IF(Scale!$W270="",0,Scale!$W270))</f>
        <v/>
      </c>
      <c r="L1050" s="82">
        <f>IF(OR(Scale!$U270="",Scale!$U270=0),"",Scale!$V270)</f>
        <v/>
      </c>
      <c r="M1050" s="82">
        <f>IF(OR(Scale!$U270="",Scale!$U270=0),"",Scale!$W270)</f>
        <v/>
      </c>
      <c r="N1050" s="81">
        <f>IF(OR(Scale!$U270="",Scale!$U270=0),"",Scale!$E270)</f>
        <v/>
      </c>
      <c r="O1050" s="81">
        <f>IF(OR(Scale!$U270="",Scale!$U270=0),"",IFERROR(VLOOKUP(Scale!$U270,AcctTbl,3,0),""))</f>
        <v/>
      </c>
      <c r="P1050" s="82">
        <f>IF(Scale!$U270&lt;&gt;"X011","","BN02")</f>
        <v/>
      </c>
    </row>
    <row r="1051" ht="20.25" customHeight="1">
      <c r="A1051" s="80">
        <f>IF(OR(Scale!$X270="",Scale!$X270=0),"",Scale!$B270)</f>
        <v/>
      </c>
      <c r="B1051" s="80">
        <f>IF(OR(Scale!$X270="",Scale!$X270=0),"",Scale!$D270)</f>
        <v/>
      </c>
      <c r="C1051" s="80">
        <f>IF(OR(Scale!$X270="",Scale!$X270=0),"","باسکول")</f>
        <v/>
      </c>
      <c r="D1051" s="80">
        <f>IF(OR(Scale!$X270="",Scale!$X270=0),"",Scale!$X270)</f>
        <v/>
      </c>
      <c r="E1051" s="81">
        <f>IF(OR(Scale!$X270="",Scale!$X270=0),"",IF(Scale!$X270="","","مقابل: "&amp;Scale!$E270))</f>
        <v/>
      </c>
      <c r="F1051" s="83" t="n"/>
      <c r="G1051" s="83" t="n"/>
      <c r="H1051" s="83" t="n"/>
      <c r="I1051" s="83" t="n"/>
      <c r="J1051" s="83" t="n"/>
      <c r="K1051" s="82">
        <f>IF(OR(Scale!$X270="",Scale!$X270=0),"",IF(Scale!$Y270="",0,Scale!$Y270)+IF(Scale!$Z270="",0,Scale!$Z270))</f>
        <v/>
      </c>
      <c r="L1051" s="82">
        <f>IF(OR(Scale!$X270="",Scale!$X270=0),"",Scale!$Y270)</f>
        <v/>
      </c>
      <c r="M1051" s="82">
        <f>IF(OR(Scale!$X270="",Scale!$X270=0),"",Scale!$Z270)</f>
        <v/>
      </c>
      <c r="N1051" s="81">
        <f>IF(OR(Scale!$X270="",Scale!$X270=0),"","مقابل")</f>
        <v/>
      </c>
      <c r="O1051" s="81">
        <f>IF(OR(Scale!$X270="",Scale!$X270=0),"",IFERROR(VLOOKUP(Scale!$X270,AcctTbl,3,0),""))</f>
        <v/>
      </c>
      <c r="P1051" s="82">
        <f>IF(Scale!$X270&lt;&gt;"X011","","BN02")</f>
        <v/>
      </c>
    </row>
    <row r="1052" ht="20.25" customHeight="1">
      <c r="A1052" s="80">
        <f>IF(OR(Scale!$AA270="",Scale!$AA270=0),"",Scale!$B270)</f>
        <v/>
      </c>
      <c r="B1052" s="80">
        <f>IF(OR(Scale!$AA270="",Scale!$AA270=0),"",Scale!$D270)</f>
        <v/>
      </c>
      <c r="C1052" s="80">
        <f>IF(OR(Scale!$AA270="",Scale!$AA270=0),"","باسکول")</f>
        <v/>
      </c>
      <c r="D1052" s="80">
        <f>IF(OR(Scale!$AA270="",Scale!$AA270=0),"",Scale!$AA270)</f>
        <v/>
      </c>
      <c r="E1052" s="81">
        <f>IF(OR(Scale!$AA270="",Scale!$AA270=0),"",IF(Scale!$AA270="","","پوز باسکول — "&amp;Scale!$E270))</f>
        <v/>
      </c>
      <c r="F1052" s="83" t="n"/>
      <c r="G1052" s="83" t="n"/>
      <c r="H1052" s="83" t="n"/>
      <c r="I1052" s="83" t="n"/>
      <c r="J1052" s="83" t="n"/>
      <c r="K1052" s="82">
        <f>IF(OR(Scale!$AA270="",Scale!$AA270=0),"",IF(Scale!$AB270="",0,Scale!$AB270)+IF(Scale!$AC270="",0,Scale!$AC270))</f>
        <v/>
      </c>
      <c r="L1052" s="82">
        <f>IF(OR(Scale!$AA270="",Scale!$AA270=0),"",Scale!$AB270)</f>
        <v/>
      </c>
      <c r="M1052" s="82">
        <f>IF(OR(Scale!$AA270="",Scale!$AA270=0),"",Scale!$AC270)</f>
        <v/>
      </c>
      <c r="N1052" s="81">
        <f>IF(OR(Scale!$AA270="",Scale!$AA270=0),"","پوز")</f>
        <v/>
      </c>
      <c r="O1052" s="81">
        <f>IF(OR(Scale!$AA270="",Scale!$AA270=0),"",IFERROR(VLOOKUP(Scale!$AA270,AcctTbl,3,0),""))</f>
        <v/>
      </c>
      <c r="P1052" s="82">
        <f>IF(Scale!$AA270&lt;&gt;"X011","","BN02")</f>
        <v/>
      </c>
    </row>
    <row r="1053" ht="20.25" customHeight="1">
      <c r="A1053" s="80">
        <f>IF(OR(Scale!$AD270="",Scale!$AD270=0),"",Scale!$B270)</f>
        <v/>
      </c>
      <c r="B1053" s="80">
        <f>IF(OR(Scale!$AD270="",Scale!$AD270=0),"",Scale!$D270)</f>
        <v/>
      </c>
      <c r="C1053" s="80">
        <f>IF(OR(Scale!$AD270="",Scale!$AD270=0),"","باسکول")</f>
        <v/>
      </c>
      <c r="D1053" s="80">
        <f>IF(OR(Scale!$AD270="",Scale!$AD270=0),"",Scale!$AD270)</f>
        <v/>
      </c>
      <c r="E1053" s="81">
        <f>IF(OR(Scale!$AD270="",Scale!$AD270=0),"",IF(Scale!$AD270="","","مقابل پوز — "&amp;Scale!$E270))</f>
        <v/>
      </c>
      <c r="F1053" s="83" t="n"/>
      <c r="G1053" s="83" t="n"/>
      <c r="H1053" s="83" t="n"/>
      <c r="I1053" s="83" t="n"/>
      <c r="J1053" s="83" t="n"/>
      <c r="K1053" s="82">
        <f>IF(OR(Scale!$AD270="",Scale!$AD270=0),"",IF(Scale!$AE270="",0,Scale!$AE270)+IF(Scale!$AF270="",0,Scale!$AF270))</f>
        <v/>
      </c>
      <c r="L1053" s="82">
        <f>IF(OR(Scale!$AD270="",Scale!$AD270=0),"",Scale!$AE270)</f>
        <v/>
      </c>
      <c r="M1053" s="82">
        <f>IF(OR(Scale!$AD270="",Scale!$AD270=0),"",Scale!$AF270)</f>
        <v/>
      </c>
      <c r="N1053" s="81">
        <f>IF(OR(Scale!$AD270="",Scale!$AD270=0),"","مقابل پوز")</f>
        <v/>
      </c>
      <c r="O1053" s="81">
        <f>IF(OR(Scale!$AD270="",Scale!$AD270=0),"",IFERROR(VLOOKUP(Scale!$AD270,AcctTbl,3,0),""))</f>
        <v/>
      </c>
      <c r="P1053" s="82">
        <f>IF(Scale!$AD270&lt;&gt;"X011","","BN02")</f>
        <v/>
      </c>
    </row>
    <row r="1054" ht="20.25" customHeight="1">
      <c r="A1054" s="80">
        <f>IF(OR(Scale!$U271="",Scale!$U271=0),"",Scale!$B271)</f>
        <v/>
      </c>
      <c r="B1054" s="80">
        <f>IF(OR(Scale!$U271="",Scale!$U271=0),"",Scale!$D271)</f>
        <v/>
      </c>
      <c r="C1054" s="80">
        <f>IF(OR(Scale!$U271="",Scale!$U271=0),"","باسکول")</f>
        <v/>
      </c>
      <c r="D1054" s="80">
        <f>IF(OR(Scale!$U271="",Scale!$U271=0),"",Scale!$U271)</f>
        <v/>
      </c>
      <c r="E1054" s="81">
        <f>IF(OR(Scale!$U271="",Scale!$U271=0),"",Scale!$T271)</f>
        <v/>
      </c>
      <c r="F1054" s="81">
        <f>IF(OR(Scale!$U271="",Scale!$U271=0),"",Scale!$J271)</f>
        <v/>
      </c>
      <c r="G1054" s="82">
        <f>IF(OR(Scale!$U271="",Scale!$U271=0),"",Scale!$M271)</f>
        <v/>
      </c>
      <c r="H1054" s="82">
        <f>IF(OR(Scale!$U271="",Scale!$U271=0),"",Scale!$L271)</f>
        <v/>
      </c>
      <c r="I1054" s="82">
        <f>IF(OR(Scale!$U271="",Scale!$U271=0),"",Scale!$N271)</f>
        <v/>
      </c>
      <c r="J1054" s="82">
        <f>IF(OR(Scale!$U271="",Scale!$U271=0),"",Scale!$O271)</f>
        <v/>
      </c>
      <c r="K1054" s="82">
        <f>IF(OR(Scale!$U271="",Scale!$U271=0),"",IF(Scale!$V271="",0,Scale!$V271)+IF(Scale!$W271="",0,Scale!$W271))</f>
        <v/>
      </c>
      <c r="L1054" s="82">
        <f>IF(OR(Scale!$U271="",Scale!$U271=0),"",Scale!$V271)</f>
        <v/>
      </c>
      <c r="M1054" s="82">
        <f>IF(OR(Scale!$U271="",Scale!$U271=0),"",Scale!$W271)</f>
        <v/>
      </c>
      <c r="N1054" s="81">
        <f>IF(OR(Scale!$U271="",Scale!$U271=0),"",Scale!$E271)</f>
        <v/>
      </c>
      <c r="O1054" s="81">
        <f>IF(OR(Scale!$U271="",Scale!$U271=0),"",IFERROR(VLOOKUP(Scale!$U271,AcctTbl,3,0),""))</f>
        <v/>
      </c>
      <c r="P1054" s="82">
        <f>IF(Scale!$U271&lt;&gt;"X011","","BN02")</f>
        <v/>
      </c>
    </row>
    <row r="1055" ht="20.25" customHeight="1">
      <c r="A1055" s="80">
        <f>IF(OR(Scale!$X271="",Scale!$X271=0),"",Scale!$B271)</f>
        <v/>
      </c>
      <c r="B1055" s="80">
        <f>IF(OR(Scale!$X271="",Scale!$X271=0),"",Scale!$D271)</f>
        <v/>
      </c>
      <c r="C1055" s="80">
        <f>IF(OR(Scale!$X271="",Scale!$X271=0),"","باسکول")</f>
        <v/>
      </c>
      <c r="D1055" s="80">
        <f>IF(OR(Scale!$X271="",Scale!$X271=0),"",Scale!$X271)</f>
        <v/>
      </c>
      <c r="E1055" s="81">
        <f>IF(OR(Scale!$X271="",Scale!$X271=0),"",IF(Scale!$X271="","","مقابل: "&amp;Scale!$E271))</f>
        <v/>
      </c>
      <c r="F1055" s="83" t="n"/>
      <c r="G1055" s="83" t="n"/>
      <c r="H1055" s="83" t="n"/>
      <c r="I1055" s="83" t="n"/>
      <c r="J1055" s="83" t="n"/>
      <c r="K1055" s="82">
        <f>IF(OR(Scale!$X271="",Scale!$X271=0),"",IF(Scale!$Y271="",0,Scale!$Y271)+IF(Scale!$Z271="",0,Scale!$Z271))</f>
        <v/>
      </c>
      <c r="L1055" s="82">
        <f>IF(OR(Scale!$X271="",Scale!$X271=0),"",Scale!$Y271)</f>
        <v/>
      </c>
      <c r="M1055" s="82">
        <f>IF(OR(Scale!$X271="",Scale!$X271=0),"",Scale!$Z271)</f>
        <v/>
      </c>
      <c r="N1055" s="81">
        <f>IF(OR(Scale!$X271="",Scale!$X271=0),"","مقابل")</f>
        <v/>
      </c>
      <c r="O1055" s="81">
        <f>IF(OR(Scale!$X271="",Scale!$X271=0),"",IFERROR(VLOOKUP(Scale!$X271,AcctTbl,3,0),""))</f>
        <v/>
      </c>
      <c r="P1055" s="82">
        <f>IF(Scale!$X271&lt;&gt;"X011","","BN02")</f>
        <v/>
      </c>
    </row>
    <row r="1056" ht="20.25" customHeight="1">
      <c r="A1056" s="80">
        <f>IF(OR(Scale!$AA271="",Scale!$AA271=0),"",Scale!$B271)</f>
        <v/>
      </c>
      <c r="B1056" s="80">
        <f>IF(OR(Scale!$AA271="",Scale!$AA271=0),"",Scale!$D271)</f>
        <v/>
      </c>
      <c r="C1056" s="80">
        <f>IF(OR(Scale!$AA271="",Scale!$AA271=0),"","باسکول")</f>
        <v/>
      </c>
      <c r="D1056" s="80">
        <f>IF(OR(Scale!$AA271="",Scale!$AA271=0),"",Scale!$AA271)</f>
        <v/>
      </c>
      <c r="E1056" s="81">
        <f>IF(OR(Scale!$AA271="",Scale!$AA271=0),"",IF(Scale!$AA271="","","پوز باسکول — "&amp;Scale!$E271))</f>
        <v/>
      </c>
      <c r="F1056" s="83" t="n"/>
      <c r="G1056" s="83" t="n"/>
      <c r="H1056" s="83" t="n"/>
      <c r="I1056" s="83" t="n"/>
      <c r="J1056" s="83" t="n"/>
      <c r="K1056" s="82">
        <f>IF(OR(Scale!$AA271="",Scale!$AA271=0),"",IF(Scale!$AB271="",0,Scale!$AB271)+IF(Scale!$AC271="",0,Scale!$AC271))</f>
        <v/>
      </c>
      <c r="L1056" s="82">
        <f>IF(OR(Scale!$AA271="",Scale!$AA271=0),"",Scale!$AB271)</f>
        <v/>
      </c>
      <c r="M1056" s="82">
        <f>IF(OR(Scale!$AA271="",Scale!$AA271=0),"",Scale!$AC271)</f>
        <v/>
      </c>
      <c r="N1056" s="81">
        <f>IF(OR(Scale!$AA271="",Scale!$AA271=0),"","پوز")</f>
        <v/>
      </c>
      <c r="O1056" s="81">
        <f>IF(OR(Scale!$AA271="",Scale!$AA271=0),"",IFERROR(VLOOKUP(Scale!$AA271,AcctTbl,3,0),""))</f>
        <v/>
      </c>
      <c r="P1056" s="82">
        <f>IF(Scale!$AA271&lt;&gt;"X011","","BN02")</f>
        <v/>
      </c>
    </row>
    <row r="1057" ht="20.25" customHeight="1">
      <c r="A1057" s="80">
        <f>IF(OR(Scale!$AD271="",Scale!$AD271=0),"",Scale!$B271)</f>
        <v/>
      </c>
      <c r="B1057" s="80">
        <f>IF(OR(Scale!$AD271="",Scale!$AD271=0),"",Scale!$D271)</f>
        <v/>
      </c>
      <c r="C1057" s="80">
        <f>IF(OR(Scale!$AD271="",Scale!$AD271=0),"","باسکول")</f>
        <v/>
      </c>
      <c r="D1057" s="80">
        <f>IF(OR(Scale!$AD271="",Scale!$AD271=0),"",Scale!$AD271)</f>
        <v/>
      </c>
      <c r="E1057" s="81">
        <f>IF(OR(Scale!$AD271="",Scale!$AD271=0),"",IF(Scale!$AD271="","","مقابل پوز — "&amp;Scale!$E271))</f>
        <v/>
      </c>
      <c r="F1057" s="83" t="n"/>
      <c r="G1057" s="83" t="n"/>
      <c r="H1057" s="83" t="n"/>
      <c r="I1057" s="83" t="n"/>
      <c r="J1057" s="83" t="n"/>
      <c r="K1057" s="82">
        <f>IF(OR(Scale!$AD271="",Scale!$AD271=0),"",IF(Scale!$AE271="",0,Scale!$AE271)+IF(Scale!$AF271="",0,Scale!$AF271))</f>
        <v/>
      </c>
      <c r="L1057" s="82">
        <f>IF(OR(Scale!$AD271="",Scale!$AD271=0),"",Scale!$AE271)</f>
        <v/>
      </c>
      <c r="M1057" s="82">
        <f>IF(OR(Scale!$AD271="",Scale!$AD271=0),"",Scale!$AF271)</f>
        <v/>
      </c>
      <c r="N1057" s="81">
        <f>IF(OR(Scale!$AD271="",Scale!$AD271=0),"","مقابل پوز")</f>
        <v/>
      </c>
      <c r="O1057" s="81">
        <f>IF(OR(Scale!$AD271="",Scale!$AD271=0),"",IFERROR(VLOOKUP(Scale!$AD271,AcctTbl,3,0),""))</f>
        <v/>
      </c>
      <c r="P1057" s="82">
        <f>IF(Scale!$AD271&lt;&gt;"X011","","BN02")</f>
        <v/>
      </c>
    </row>
    <row r="1058" ht="20.25" customHeight="1">
      <c r="A1058" s="80">
        <f>IF(OR(Scale!$U272="",Scale!$U272=0),"",Scale!$B272)</f>
        <v/>
      </c>
      <c r="B1058" s="80">
        <f>IF(OR(Scale!$U272="",Scale!$U272=0),"",Scale!$D272)</f>
        <v/>
      </c>
      <c r="C1058" s="80">
        <f>IF(OR(Scale!$U272="",Scale!$U272=0),"","باسکول")</f>
        <v/>
      </c>
      <c r="D1058" s="80">
        <f>IF(OR(Scale!$U272="",Scale!$U272=0),"",Scale!$U272)</f>
        <v/>
      </c>
      <c r="E1058" s="81">
        <f>IF(OR(Scale!$U272="",Scale!$U272=0),"",Scale!$T272)</f>
        <v/>
      </c>
      <c r="F1058" s="81">
        <f>IF(OR(Scale!$U272="",Scale!$U272=0),"",Scale!$J272)</f>
        <v/>
      </c>
      <c r="G1058" s="82">
        <f>IF(OR(Scale!$U272="",Scale!$U272=0),"",Scale!$M272)</f>
        <v/>
      </c>
      <c r="H1058" s="82">
        <f>IF(OR(Scale!$U272="",Scale!$U272=0),"",Scale!$L272)</f>
        <v/>
      </c>
      <c r="I1058" s="82">
        <f>IF(OR(Scale!$U272="",Scale!$U272=0),"",Scale!$N272)</f>
        <v/>
      </c>
      <c r="J1058" s="82">
        <f>IF(OR(Scale!$U272="",Scale!$U272=0),"",Scale!$O272)</f>
        <v/>
      </c>
      <c r="K1058" s="82">
        <f>IF(OR(Scale!$U272="",Scale!$U272=0),"",IF(Scale!$V272="",0,Scale!$V272)+IF(Scale!$W272="",0,Scale!$W272))</f>
        <v/>
      </c>
      <c r="L1058" s="82">
        <f>IF(OR(Scale!$U272="",Scale!$U272=0),"",Scale!$V272)</f>
        <v/>
      </c>
      <c r="M1058" s="82">
        <f>IF(OR(Scale!$U272="",Scale!$U272=0),"",Scale!$W272)</f>
        <v/>
      </c>
      <c r="N1058" s="81">
        <f>IF(OR(Scale!$U272="",Scale!$U272=0),"",Scale!$E272)</f>
        <v/>
      </c>
      <c r="O1058" s="81">
        <f>IF(OR(Scale!$U272="",Scale!$U272=0),"",IFERROR(VLOOKUP(Scale!$U272,AcctTbl,3,0),""))</f>
        <v/>
      </c>
      <c r="P1058" s="82">
        <f>IF(Scale!$U272&lt;&gt;"X011","","BN02")</f>
        <v/>
      </c>
    </row>
    <row r="1059" ht="20.25" customHeight="1">
      <c r="A1059" s="80">
        <f>IF(OR(Scale!$X272="",Scale!$X272=0),"",Scale!$B272)</f>
        <v/>
      </c>
      <c r="B1059" s="80">
        <f>IF(OR(Scale!$X272="",Scale!$X272=0),"",Scale!$D272)</f>
        <v/>
      </c>
      <c r="C1059" s="80">
        <f>IF(OR(Scale!$X272="",Scale!$X272=0),"","باسکول")</f>
        <v/>
      </c>
      <c r="D1059" s="80">
        <f>IF(OR(Scale!$X272="",Scale!$X272=0),"",Scale!$X272)</f>
        <v/>
      </c>
      <c r="E1059" s="81">
        <f>IF(OR(Scale!$X272="",Scale!$X272=0),"",IF(Scale!$X272="","","مقابل: "&amp;Scale!$E272))</f>
        <v/>
      </c>
      <c r="F1059" s="83" t="n"/>
      <c r="G1059" s="83" t="n"/>
      <c r="H1059" s="83" t="n"/>
      <c r="I1059" s="83" t="n"/>
      <c r="J1059" s="83" t="n"/>
      <c r="K1059" s="82">
        <f>IF(OR(Scale!$X272="",Scale!$X272=0),"",IF(Scale!$Y272="",0,Scale!$Y272)+IF(Scale!$Z272="",0,Scale!$Z272))</f>
        <v/>
      </c>
      <c r="L1059" s="82">
        <f>IF(OR(Scale!$X272="",Scale!$X272=0),"",Scale!$Y272)</f>
        <v/>
      </c>
      <c r="M1059" s="82">
        <f>IF(OR(Scale!$X272="",Scale!$X272=0),"",Scale!$Z272)</f>
        <v/>
      </c>
      <c r="N1059" s="81">
        <f>IF(OR(Scale!$X272="",Scale!$X272=0),"","مقابل")</f>
        <v/>
      </c>
      <c r="O1059" s="81">
        <f>IF(OR(Scale!$X272="",Scale!$X272=0),"",IFERROR(VLOOKUP(Scale!$X272,AcctTbl,3,0),""))</f>
        <v/>
      </c>
      <c r="P1059" s="82">
        <f>IF(Scale!$X272&lt;&gt;"X011","","BN02")</f>
        <v/>
      </c>
    </row>
    <row r="1060" ht="20.25" customHeight="1">
      <c r="A1060" s="80">
        <f>IF(OR(Scale!$AA272="",Scale!$AA272=0),"",Scale!$B272)</f>
        <v/>
      </c>
      <c r="B1060" s="80">
        <f>IF(OR(Scale!$AA272="",Scale!$AA272=0),"",Scale!$D272)</f>
        <v/>
      </c>
      <c r="C1060" s="80">
        <f>IF(OR(Scale!$AA272="",Scale!$AA272=0),"","باسکول")</f>
        <v/>
      </c>
      <c r="D1060" s="80">
        <f>IF(OR(Scale!$AA272="",Scale!$AA272=0),"",Scale!$AA272)</f>
        <v/>
      </c>
      <c r="E1060" s="81">
        <f>IF(OR(Scale!$AA272="",Scale!$AA272=0),"",IF(Scale!$AA272="","","پوز باسکول — "&amp;Scale!$E272))</f>
        <v/>
      </c>
      <c r="F1060" s="83" t="n"/>
      <c r="G1060" s="83" t="n"/>
      <c r="H1060" s="83" t="n"/>
      <c r="I1060" s="83" t="n"/>
      <c r="J1060" s="83" t="n"/>
      <c r="K1060" s="82">
        <f>IF(OR(Scale!$AA272="",Scale!$AA272=0),"",IF(Scale!$AB272="",0,Scale!$AB272)+IF(Scale!$AC272="",0,Scale!$AC272))</f>
        <v/>
      </c>
      <c r="L1060" s="82">
        <f>IF(OR(Scale!$AA272="",Scale!$AA272=0),"",Scale!$AB272)</f>
        <v/>
      </c>
      <c r="M1060" s="82">
        <f>IF(OR(Scale!$AA272="",Scale!$AA272=0),"",Scale!$AC272)</f>
        <v/>
      </c>
      <c r="N1060" s="81">
        <f>IF(OR(Scale!$AA272="",Scale!$AA272=0),"","پوز")</f>
        <v/>
      </c>
      <c r="O1060" s="81">
        <f>IF(OR(Scale!$AA272="",Scale!$AA272=0),"",IFERROR(VLOOKUP(Scale!$AA272,AcctTbl,3,0),""))</f>
        <v/>
      </c>
      <c r="P1060" s="82">
        <f>IF(Scale!$AA272&lt;&gt;"X011","","BN02")</f>
        <v/>
      </c>
    </row>
    <row r="1061" ht="20.25" customHeight="1">
      <c r="A1061" s="80">
        <f>IF(OR(Scale!$AD272="",Scale!$AD272=0),"",Scale!$B272)</f>
        <v/>
      </c>
      <c r="B1061" s="80">
        <f>IF(OR(Scale!$AD272="",Scale!$AD272=0),"",Scale!$D272)</f>
        <v/>
      </c>
      <c r="C1061" s="80">
        <f>IF(OR(Scale!$AD272="",Scale!$AD272=0),"","باسکول")</f>
        <v/>
      </c>
      <c r="D1061" s="80">
        <f>IF(OR(Scale!$AD272="",Scale!$AD272=0),"",Scale!$AD272)</f>
        <v/>
      </c>
      <c r="E1061" s="81">
        <f>IF(OR(Scale!$AD272="",Scale!$AD272=0),"",IF(Scale!$AD272="","","مقابل پوز — "&amp;Scale!$E272))</f>
        <v/>
      </c>
      <c r="F1061" s="83" t="n"/>
      <c r="G1061" s="83" t="n"/>
      <c r="H1061" s="83" t="n"/>
      <c r="I1061" s="83" t="n"/>
      <c r="J1061" s="83" t="n"/>
      <c r="K1061" s="82">
        <f>IF(OR(Scale!$AD272="",Scale!$AD272=0),"",IF(Scale!$AE272="",0,Scale!$AE272)+IF(Scale!$AF272="",0,Scale!$AF272))</f>
        <v/>
      </c>
      <c r="L1061" s="82">
        <f>IF(OR(Scale!$AD272="",Scale!$AD272=0),"",Scale!$AE272)</f>
        <v/>
      </c>
      <c r="M1061" s="82">
        <f>IF(OR(Scale!$AD272="",Scale!$AD272=0),"",Scale!$AF272)</f>
        <v/>
      </c>
      <c r="N1061" s="81">
        <f>IF(OR(Scale!$AD272="",Scale!$AD272=0),"","مقابل پوز")</f>
        <v/>
      </c>
      <c r="O1061" s="81">
        <f>IF(OR(Scale!$AD272="",Scale!$AD272=0),"",IFERROR(VLOOKUP(Scale!$AD272,AcctTbl,3,0),""))</f>
        <v/>
      </c>
      <c r="P1061" s="82">
        <f>IF(Scale!$AD272&lt;&gt;"X011","","BN02")</f>
        <v/>
      </c>
    </row>
    <row r="1062" ht="20.25" customHeight="1">
      <c r="A1062" s="80">
        <f>IF(OR(Scale!$U273="",Scale!$U273=0),"",Scale!$B273)</f>
        <v/>
      </c>
      <c r="B1062" s="80">
        <f>IF(OR(Scale!$U273="",Scale!$U273=0),"",Scale!$D273)</f>
        <v/>
      </c>
      <c r="C1062" s="80">
        <f>IF(OR(Scale!$U273="",Scale!$U273=0),"","باسکول")</f>
        <v/>
      </c>
      <c r="D1062" s="80">
        <f>IF(OR(Scale!$U273="",Scale!$U273=0),"",Scale!$U273)</f>
        <v/>
      </c>
      <c r="E1062" s="81">
        <f>IF(OR(Scale!$U273="",Scale!$U273=0),"",Scale!$T273)</f>
        <v/>
      </c>
      <c r="F1062" s="81">
        <f>IF(OR(Scale!$U273="",Scale!$U273=0),"",Scale!$J273)</f>
        <v/>
      </c>
      <c r="G1062" s="82">
        <f>IF(OR(Scale!$U273="",Scale!$U273=0),"",Scale!$M273)</f>
        <v/>
      </c>
      <c r="H1062" s="82">
        <f>IF(OR(Scale!$U273="",Scale!$U273=0),"",Scale!$L273)</f>
        <v/>
      </c>
      <c r="I1062" s="82">
        <f>IF(OR(Scale!$U273="",Scale!$U273=0),"",Scale!$N273)</f>
        <v/>
      </c>
      <c r="J1062" s="82">
        <f>IF(OR(Scale!$U273="",Scale!$U273=0),"",Scale!$O273)</f>
        <v/>
      </c>
      <c r="K1062" s="82">
        <f>IF(OR(Scale!$U273="",Scale!$U273=0),"",IF(Scale!$V273="",0,Scale!$V273)+IF(Scale!$W273="",0,Scale!$W273))</f>
        <v/>
      </c>
      <c r="L1062" s="82">
        <f>IF(OR(Scale!$U273="",Scale!$U273=0),"",Scale!$V273)</f>
        <v/>
      </c>
      <c r="M1062" s="82">
        <f>IF(OR(Scale!$U273="",Scale!$U273=0),"",Scale!$W273)</f>
        <v/>
      </c>
      <c r="N1062" s="81">
        <f>IF(OR(Scale!$U273="",Scale!$U273=0),"",Scale!$E273)</f>
        <v/>
      </c>
      <c r="O1062" s="81">
        <f>IF(OR(Scale!$U273="",Scale!$U273=0),"",IFERROR(VLOOKUP(Scale!$U273,AcctTbl,3,0),""))</f>
        <v/>
      </c>
      <c r="P1062" s="82">
        <f>IF(Scale!$U273&lt;&gt;"X011","","BN02")</f>
        <v/>
      </c>
    </row>
    <row r="1063" ht="20.25" customHeight="1">
      <c r="A1063" s="80">
        <f>IF(OR(Scale!$X273="",Scale!$X273=0),"",Scale!$B273)</f>
        <v/>
      </c>
      <c r="B1063" s="80">
        <f>IF(OR(Scale!$X273="",Scale!$X273=0),"",Scale!$D273)</f>
        <v/>
      </c>
      <c r="C1063" s="80">
        <f>IF(OR(Scale!$X273="",Scale!$X273=0),"","باسکول")</f>
        <v/>
      </c>
      <c r="D1063" s="80">
        <f>IF(OR(Scale!$X273="",Scale!$X273=0),"",Scale!$X273)</f>
        <v/>
      </c>
      <c r="E1063" s="81">
        <f>IF(OR(Scale!$X273="",Scale!$X273=0),"",IF(Scale!$X273="","","مقابل: "&amp;Scale!$E273))</f>
        <v/>
      </c>
      <c r="F1063" s="83" t="n"/>
      <c r="G1063" s="83" t="n"/>
      <c r="H1063" s="83" t="n"/>
      <c r="I1063" s="83" t="n"/>
      <c r="J1063" s="83" t="n"/>
      <c r="K1063" s="82">
        <f>IF(OR(Scale!$X273="",Scale!$X273=0),"",IF(Scale!$Y273="",0,Scale!$Y273)+IF(Scale!$Z273="",0,Scale!$Z273))</f>
        <v/>
      </c>
      <c r="L1063" s="82">
        <f>IF(OR(Scale!$X273="",Scale!$X273=0),"",Scale!$Y273)</f>
        <v/>
      </c>
      <c r="M1063" s="82">
        <f>IF(OR(Scale!$X273="",Scale!$X273=0),"",Scale!$Z273)</f>
        <v/>
      </c>
      <c r="N1063" s="81">
        <f>IF(OR(Scale!$X273="",Scale!$X273=0),"","مقابل")</f>
        <v/>
      </c>
      <c r="O1063" s="81">
        <f>IF(OR(Scale!$X273="",Scale!$X273=0),"",IFERROR(VLOOKUP(Scale!$X273,AcctTbl,3,0),""))</f>
        <v/>
      </c>
      <c r="P1063" s="82">
        <f>IF(Scale!$X273&lt;&gt;"X011","","BN02")</f>
        <v/>
      </c>
    </row>
    <row r="1064" ht="20.25" customHeight="1">
      <c r="A1064" s="80">
        <f>IF(OR(Scale!$AA273="",Scale!$AA273=0),"",Scale!$B273)</f>
        <v/>
      </c>
      <c r="B1064" s="80">
        <f>IF(OR(Scale!$AA273="",Scale!$AA273=0),"",Scale!$D273)</f>
        <v/>
      </c>
      <c r="C1064" s="80">
        <f>IF(OR(Scale!$AA273="",Scale!$AA273=0),"","باسکول")</f>
        <v/>
      </c>
      <c r="D1064" s="80">
        <f>IF(OR(Scale!$AA273="",Scale!$AA273=0),"",Scale!$AA273)</f>
        <v/>
      </c>
      <c r="E1064" s="81">
        <f>IF(OR(Scale!$AA273="",Scale!$AA273=0),"",IF(Scale!$AA273="","","پوز باسکول — "&amp;Scale!$E273))</f>
        <v/>
      </c>
      <c r="F1064" s="83" t="n"/>
      <c r="G1064" s="83" t="n"/>
      <c r="H1064" s="83" t="n"/>
      <c r="I1064" s="83" t="n"/>
      <c r="J1064" s="83" t="n"/>
      <c r="K1064" s="82">
        <f>IF(OR(Scale!$AA273="",Scale!$AA273=0),"",IF(Scale!$AB273="",0,Scale!$AB273)+IF(Scale!$AC273="",0,Scale!$AC273))</f>
        <v/>
      </c>
      <c r="L1064" s="82">
        <f>IF(OR(Scale!$AA273="",Scale!$AA273=0),"",Scale!$AB273)</f>
        <v/>
      </c>
      <c r="M1064" s="82">
        <f>IF(OR(Scale!$AA273="",Scale!$AA273=0),"",Scale!$AC273)</f>
        <v/>
      </c>
      <c r="N1064" s="81">
        <f>IF(OR(Scale!$AA273="",Scale!$AA273=0),"","پوز")</f>
        <v/>
      </c>
      <c r="O1064" s="81">
        <f>IF(OR(Scale!$AA273="",Scale!$AA273=0),"",IFERROR(VLOOKUP(Scale!$AA273,AcctTbl,3,0),""))</f>
        <v/>
      </c>
      <c r="P1064" s="82">
        <f>IF(Scale!$AA273&lt;&gt;"X011","","BN02")</f>
        <v/>
      </c>
    </row>
    <row r="1065" ht="20.25" customHeight="1">
      <c r="A1065" s="80">
        <f>IF(OR(Scale!$AD273="",Scale!$AD273=0),"",Scale!$B273)</f>
        <v/>
      </c>
      <c r="B1065" s="80">
        <f>IF(OR(Scale!$AD273="",Scale!$AD273=0),"",Scale!$D273)</f>
        <v/>
      </c>
      <c r="C1065" s="80">
        <f>IF(OR(Scale!$AD273="",Scale!$AD273=0),"","باسکول")</f>
        <v/>
      </c>
      <c r="D1065" s="80">
        <f>IF(OR(Scale!$AD273="",Scale!$AD273=0),"",Scale!$AD273)</f>
        <v/>
      </c>
      <c r="E1065" s="81">
        <f>IF(OR(Scale!$AD273="",Scale!$AD273=0),"",IF(Scale!$AD273="","","مقابل پوز — "&amp;Scale!$E273))</f>
        <v/>
      </c>
      <c r="F1065" s="83" t="n"/>
      <c r="G1065" s="83" t="n"/>
      <c r="H1065" s="83" t="n"/>
      <c r="I1065" s="83" t="n"/>
      <c r="J1065" s="83" t="n"/>
      <c r="K1065" s="82">
        <f>IF(OR(Scale!$AD273="",Scale!$AD273=0),"",IF(Scale!$AE273="",0,Scale!$AE273)+IF(Scale!$AF273="",0,Scale!$AF273))</f>
        <v/>
      </c>
      <c r="L1065" s="82">
        <f>IF(OR(Scale!$AD273="",Scale!$AD273=0),"",Scale!$AE273)</f>
        <v/>
      </c>
      <c r="M1065" s="82">
        <f>IF(OR(Scale!$AD273="",Scale!$AD273=0),"",Scale!$AF273)</f>
        <v/>
      </c>
      <c r="N1065" s="81">
        <f>IF(OR(Scale!$AD273="",Scale!$AD273=0),"","مقابل پوز")</f>
        <v/>
      </c>
      <c r="O1065" s="81">
        <f>IF(OR(Scale!$AD273="",Scale!$AD273=0),"",IFERROR(VLOOKUP(Scale!$AD273,AcctTbl,3,0),""))</f>
        <v/>
      </c>
      <c r="P1065" s="82">
        <f>IF(Scale!$AD273&lt;&gt;"X011","","BN02")</f>
        <v/>
      </c>
    </row>
    <row r="1066" ht="20.25" customHeight="1">
      <c r="A1066" s="80">
        <f>IF(OR(Scale!$U274="",Scale!$U274=0),"",Scale!$B274)</f>
        <v/>
      </c>
      <c r="B1066" s="80">
        <f>IF(OR(Scale!$U274="",Scale!$U274=0),"",Scale!$D274)</f>
        <v/>
      </c>
      <c r="C1066" s="80">
        <f>IF(OR(Scale!$U274="",Scale!$U274=0),"","باسکول")</f>
        <v/>
      </c>
      <c r="D1066" s="80">
        <f>IF(OR(Scale!$U274="",Scale!$U274=0),"",Scale!$U274)</f>
        <v/>
      </c>
      <c r="E1066" s="81">
        <f>IF(OR(Scale!$U274="",Scale!$U274=0),"",Scale!$T274)</f>
        <v/>
      </c>
      <c r="F1066" s="81">
        <f>IF(OR(Scale!$U274="",Scale!$U274=0),"",Scale!$J274)</f>
        <v/>
      </c>
      <c r="G1066" s="82">
        <f>IF(OR(Scale!$U274="",Scale!$U274=0),"",Scale!$M274)</f>
        <v/>
      </c>
      <c r="H1066" s="82">
        <f>IF(OR(Scale!$U274="",Scale!$U274=0),"",Scale!$L274)</f>
        <v/>
      </c>
      <c r="I1066" s="82">
        <f>IF(OR(Scale!$U274="",Scale!$U274=0),"",Scale!$N274)</f>
        <v/>
      </c>
      <c r="J1066" s="82">
        <f>IF(OR(Scale!$U274="",Scale!$U274=0),"",Scale!$O274)</f>
        <v/>
      </c>
      <c r="K1066" s="82">
        <f>IF(OR(Scale!$U274="",Scale!$U274=0),"",IF(Scale!$V274="",0,Scale!$V274)+IF(Scale!$W274="",0,Scale!$W274))</f>
        <v/>
      </c>
      <c r="L1066" s="82">
        <f>IF(OR(Scale!$U274="",Scale!$U274=0),"",Scale!$V274)</f>
        <v/>
      </c>
      <c r="M1066" s="82">
        <f>IF(OR(Scale!$U274="",Scale!$U274=0),"",Scale!$W274)</f>
        <v/>
      </c>
      <c r="N1066" s="81">
        <f>IF(OR(Scale!$U274="",Scale!$U274=0),"",Scale!$E274)</f>
        <v/>
      </c>
      <c r="O1066" s="81">
        <f>IF(OR(Scale!$U274="",Scale!$U274=0),"",IFERROR(VLOOKUP(Scale!$U274,AcctTbl,3,0),""))</f>
        <v/>
      </c>
      <c r="P1066" s="82">
        <f>IF(Scale!$U274&lt;&gt;"X011","","BN02")</f>
        <v/>
      </c>
    </row>
    <row r="1067" ht="20.25" customHeight="1">
      <c r="A1067" s="80">
        <f>IF(OR(Scale!$X274="",Scale!$X274=0),"",Scale!$B274)</f>
        <v/>
      </c>
      <c r="B1067" s="80">
        <f>IF(OR(Scale!$X274="",Scale!$X274=0),"",Scale!$D274)</f>
        <v/>
      </c>
      <c r="C1067" s="80">
        <f>IF(OR(Scale!$X274="",Scale!$X274=0),"","باسکول")</f>
        <v/>
      </c>
      <c r="D1067" s="80">
        <f>IF(OR(Scale!$X274="",Scale!$X274=0),"",Scale!$X274)</f>
        <v/>
      </c>
      <c r="E1067" s="81">
        <f>IF(OR(Scale!$X274="",Scale!$X274=0),"",IF(Scale!$X274="","","مقابل: "&amp;Scale!$E274))</f>
        <v/>
      </c>
      <c r="F1067" s="83" t="n"/>
      <c r="G1067" s="83" t="n"/>
      <c r="H1067" s="83" t="n"/>
      <c r="I1067" s="83" t="n"/>
      <c r="J1067" s="83" t="n"/>
      <c r="K1067" s="82">
        <f>IF(OR(Scale!$X274="",Scale!$X274=0),"",IF(Scale!$Y274="",0,Scale!$Y274)+IF(Scale!$Z274="",0,Scale!$Z274))</f>
        <v/>
      </c>
      <c r="L1067" s="82">
        <f>IF(OR(Scale!$X274="",Scale!$X274=0),"",Scale!$Y274)</f>
        <v/>
      </c>
      <c r="M1067" s="82">
        <f>IF(OR(Scale!$X274="",Scale!$X274=0),"",Scale!$Z274)</f>
        <v/>
      </c>
      <c r="N1067" s="81">
        <f>IF(OR(Scale!$X274="",Scale!$X274=0),"","مقابل")</f>
        <v/>
      </c>
      <c r="O1067" s="81">
        <f>IF(OR(Scale!$X274="",Scale!$X274=0),"",IFERROR(VLOOKUP(Scale!$X274,AcctTbl,3,0),""))</f>
        <v/>
      </c>
      <c r="P1067" s="82">
        <f>IF(Scale!$X274&lt;&gt;"X011","","BN02")</f>
        <v/>
      </c>
    </row>
    <row r="1068" ht="20.25" customHeight="1">
      <c r="A1068" s="80">
        <f>IF(OR(Scale!$AA274="",Scale!$AA274=0),"",Scale!$B274)</f>
        <v/>
      </c>
      <c r="B1068" s="80">
        <f>IF(OR(Scale!$AA274="",Scale!$AA274=0),"",Scale!$D274)</f>
        <v/>
      </c>
      <c r="C1068" s="80">
        <f>IF(OR(Scale!$AA274="",Scale!$AA274=0),"","باسکول")</f>
        <v/>
      </c>
      <c r="D1068" s="80">
        <f>IF(OR(Scale!$AA274="",Scale!$AA274=0),"",Scale!$AA274)</f>
        <v/>
      </c>
      <c r="E1068" s="81">
        <f>IF(OR(Scale!$AA274="",Scale!$AA274=0),"",IF(Scale!$AA274="","","پوز باسکول — "&amp;Scale!$E274))</f>
        <v/>
      </c>
      <c r="F1068" s="83" t="n"/>
      <c r="G1068" s="83" t="n"/>
      <c r="H1068" s="83" t="n"/>
      <c r="I1068" s="83" t="n"/>
      <c r="J1068" s="83" t="n"/>
      <c r="K1068" s="82">
        <f>IF(OR(Scale!$AA274="",Scale!$AA274=0),"",IF(Scale!$AB274="",0,Scale!$AB274)+IF(Scale!$AC274="",0,Scale!$AC274))</f>
        <v/>
      </c>
      <c r="L1068" s="82">
        <f>IF(OR(Scale!$AA274="",Scale!$AA274=0),"",Scale!$AB274)</f>
        <v/>
      </c>
      <c r="M1068" s="82">
        <f>IF(OR(Scale!$AA274="",Scale!$AA274=0),"",Scale!$AC274)</f>
        <v/>
      </c>
      <c r="N1068" s="81">
        <f>IF(OR(Scale!$AA274="",Scale!$AA274=0),"","پوز")</f>
        <v/>
      </c>
      <c r="O1068" s="81">
        <f>IF(OR(Scale!$AA274="",Scale!$AA274=0),"",IFERROR(VLOOKUP(Scale!$AA274,AcctTbl,3,0),""))</f>
        <v/>
      </c>
      <c r="P1068" s="82">
        <f>IF(Scale!$AA274&lt;&gt;"X011","","BN02")</f>
        <v/>
      </c>
    </row>
    <row r="1069" ht="20.25" customHeight="1">
      <c r="A1069" s="80">
        <f>IF(OR(Scale!$AD274="",Scale!$AD274=0),"",Scale!$B274)</f>
        <v/>
      </c>
      <c r="B1069" s="80">
        <f>IF(OR(Scale!$AD274="",Scale!$AD274=0),"",Scale!$D274)</f>
        <v/>
      </c>
      <c r="C1069" s="80">
        <f>IF(OR(Scale!$AD274="",Scale!$AD274=0),"","باسکول")</f>
        <v/>
      </c>
      <c r="D1069" s="80">
        <f>IF(OR(Scale!$AD274="",Scale!$AD274=0),"",Scale!$AD274)</f>
        <v/>
      </c>
      <c r="E1069" s="81">
        <f>IF(OR(Scale!$AD274="",Scale!$AD274=0),"",IF(Scale!$AD274="","","مقابل پوز — "&amp;Scale!$E274))</f>
        <v/>
      </c>
      <c r="F1069" s="83" t="n"/>
      <c r="G1069" s="83" t="n"/>
      <c r="H1069" s="83" t="n"/>
      <c r="I1069" s="83" t="n"/>
      <c r="J1069" s="83" t="n"/>
      <c r="K1069" s="82">
        <f>IF(OR(Scale!$AD274="",Scale!$AD274=0),"",IF(Scale!$AE274="",0,Scale!$AE274)+IF(Scale!$AF274="",0,Scale!$AF274))</f>
        <v/>
      </c>
      <c r="L1069" s="82">
        <f>IF(OR(Scale!$AD274="",Scale!$AD274=0),"",Scale!$AE274)</f>
        <v/>
      </c>
      <c r="M1069" s="82">
        <f>IF(OR(Scale!$AD274="",Scale!$AD274=0),"",Scale!$AF274)</f>
        <v/>
      </c>
      <c r="N1069" s="81">
        <f>IF(OR(Scale!$AD274="",Scale!$AD274=0),"","مقابل پوز")</f>
        <v/>
      </c>
      <c r="O1069" s="81">
        <f>IF(OR(Scale!$AD274="",Scale!$AD274=0),"",IFERROR(VLOOKUP(Scale!$AD274,AcctTbl,3,0),""))</f>
        <v/>
      </c>
      <c r="P1069" s="82">
        <f>IF(Scale!$AD274&lt;&gt;"X011","","BN02")</f>
        <v/>
      </c>
    </row>
    <row r="1070" ht="20.25" customHeight="1">
      <c r="A1070" s="80">
        <f>IF(OR(Scale!$U275="",Scale!$U275=0),"",Scale!$B275)</f>
        <v/>
      </c>
      <c r="B1070" s="80">
        <f>IF(OR(Scale!$U275="",Scale!$U275=0),"",Scale!$D275)</f>
        <v/>
      </c>
      <c r="C1070" s="80">
        <f>IF(OR(Scale!$U275="",Scale!$U275=0),"","باسکول")</f>
        <v/>
      </c>
      <c r="D1070" s="80">
        <f>IF(OR(Scale!$U275="",Scale!$U275=0),"",Scale!$U275)</f>
        <v/>
      </c>
      <c r="E1070" s="81">
        <f>IF(OR(Scale!$U275="",Scale!$U275=0),"",Scale!$T275)</f>
        <v/>
      </c>
      <c r="F1070" s="81">
        <f>IF(OR(Scale!$U275="",Scale!$U275=0),"",Scale!$J275)</f>
        <v/>
      </c>
      <c r="G1070" s="82">
        <f>IF(OR(Scale!$U275="",Scale!$U275=0),"",Scale!$M275)</f>
        <v/>
      </c>
      <c r="H1070" s="82">
        <f>IF(OR(Scale!$U275="",Scale!$U275=0),"",Scale!$L275)</f>
        <v/>
      </c>
      <c r="I1070" s="82">
        <f>IF(OR(Scale!$U275="",Scale!$U275=0),"",Scale!$N275)</f>
        <v/>
      </c>
      <c r="J1070" s="82">
        <f>IF(OR(Scale!$U275="",Scale!$U275=0),"",Scale!$O275)</f>
        <v/>
      </c>
      <c r="K1070" s="82">
        <f>IF(OR(Scale!$U275="",Scale!$U275=0),"",IF(Scale!$V275="",0,Scale!$V275)+IF(Scale!$W275="",0,Scale!$W275))</f>
        <v/>
      </c>
      <c r="L1070" s="82">
        <f>IF(OR(Scale!$U275="",Scale!$U275=0),"",Scale!$V275)</f>
        <v/>
      </c>
      <c r="M1070" s="82">
        <f>IF(OR(Scale!$U275="",Scale!$U275=0),"",Scale!$W275)</f>
        <v/>
      </c>
      <c r="N1070" s="81">
        <f>IF(OR(Scale!$U275="",Scale!$U275=0),"",Scale!$E275)</f>
        <v/>
      </c>
      <c r="O1070" s="81">
        <f>IF(OR(Scale!$U275="",Scale!$U275=0),"",IFERROR(VLOOKUP(Scale!$U275,AcctTbl,3,0),""))</f>
        <v/>
      </c>
      <c r="P1070" s="82">
        <f>IF(Scale!$U275&lt;&gt;"X011","","BN02")</f>
        <v/>
      </c>
    </row>
    <row r="1071" ht="20.25" customHeight="1">
      <c r="A1071" s="80">
        <f>IF(OR(Scale!$X275="",Scale!$X275=0),"",Scale!$B275)</f>
        <v/>
      </c>
      <c r="B1071" s="80">
        <f>IF(OR(Scale!$X275="",Scale!$X275=0),"",Scale!$D275)</f>
        <v/>
      </c>
      <c r="C1071" s="80">
        <f>IF(OR(Scale!$X275="",Scale!$X275=0),"","باسکول")</f>
        <v/>
      </c>
      <c r="D1071" s="80">
        <f>IF(OR(Scale!$X275="",Scale!$X275=0),"",Scale!$X275)</f>
        <v/>
      </c>
      <c r="E1071" s="81">
        <f>IF(OR(Scale!$X275="",Scale!$X275=0),"",IF(Scale!$X275="","","مقابل: "&amp;Scale!$E275))</f>
        <v/>
      </c>
      <c r="F1071" s="83" t="n"/>
      <c r="G1071" s="83" t="n"/>
      <c r="H1071" s="83" t="n"/>
      <c r="I1071" s="83" t="n"/>
      <c r="J1071" s="83" t="n"/>
      <c r="K1071" s="82">
        <f>IF(OR(Scale!$X275="",Scale!$X275=0),"",IF(Scale!$Y275="",0,Scale!$Y275)+IF(Scale!$Z275="",0,Scale!$Z275))</f>
        <v/>
      </c>
      <c r="L1071" s="82">
        <f>IF(OR(Scale!$X275="",Scale!$X275=0),"",Scale!$Y275)</f>
        <v/>
      </c>
      <c r="M1071" s="82">
        <f>IF(OR(Scale!$X275="",Scale!$X275=0),"",Scale!$Z275)</f>
        <v/>
      </c>
      <c r="N1071" s="81">
        <f>IF(OR(Scale!$X275="",Scale!$X275=0),"","مقابل")</f>
        <v/>
      </c>
      <c r="O1071" s="81">
        <f>IF(OR(Scale!$X275="",Scale!$X275=0),"",IFERROR(VLOOKUP(Scale!$X275,AcctTbl,3,0),""))</f>
        <v/>
      </c>
      <c r="P1071" s="82">
        <f>IF(Scale!$X275&lt;&gt;"X011","","BN02")</f>
        <v/>
      </c>
    </row>
    <row r="1072" ht="20.25" customHeight="1">
      <c r="A1072" s="80">
        <f>IF(OR(Scale!$AA275="",Scale!$AA275=0),"",Scale!$B275)</f>
        <v/>
      </c>
      <c r="B1072" s="80">
        <f>IF(OR(Scale!$AA275="",Scale!$AA275=0),"",Scale!$D275)</f>
        <v/>
      </c>
      <c r="C1072" s="80">
        <f>IF(OR(Scale!$AA275="",Scale!$AA275=0),"","باسکول")</f>
        <v/>
      </c>
      <c r="D1072" s="80">
        <f>IF(OR(Scale!$AA275="",Scale!$AA275=0),"",Scale!$AA275)</f>
        <v/>
      </c>
      <c r="E1072" s="81">
        <f>IF(OR(Scale!$AA275="",Scale!$AA275=0),"",IF(Scale!$AA275="","","پوز باسکول — "&amp;Scale!$E275))</f>
        <v/>
      </c>
      <c r="F1072" s="83" t="n"/>
      <c r="G1072" s="83" t="n"/>
      <c r="H1072" s="83" t="n"/>
      <c r="I1072" s="83" t="n"/>
      <c r="J1072" s="83" t="n"/>
      <c r="K1072" s="82">
        <f>IF(OR(Scale!$AA275="",Scale!$AA275=0),"",IF(Scale!$AB275="",0,Scale!$AB275)+IF(Scale!$AC275="",0,Scale!$AC275))</f>
        <v/>
      </c>
      <c r="L1072" s="82">
        <f>IF(OR(Scale!$AA275="",Scale!$AA275=0),"",Scale!$AB275)</f>
        <v/>
      </c>
      <c r="M1072" s="82">
        <f>IF(OR(Scale!$AA275="",Scale!$AA275=0),"",Scale!$AC275)</f>
        <v/>
      </c>
      <c r="N1072" s="81">
        <f>IF(OR(Scale!$AA275="",Scale!$AA275=0),"","پوز")</f>
        <v/>
      </c>
      <c r="O1072" s="81">
        <f>IF(OR(Scale!$AA275="",Scale!$AA275=0),"",IFERROR(VLOOKUP(Scale!$AA275,AcctTbl,3,0),""))</f>
        <v/>
      </c>
      <c r="P1072" s="82">
        <f>IF(Scale!$AA275&lt;&gt;"X011","","BN02")</f>
        <v/>
      </c>
    </row>
    <row r="1073" ht="20.25" customHeight="1">
      <c r="A1073" s="80">
        <f>IF(OR(Scale!$AD275="",Scale!$AD275=0),"",Scale!$B275)</f>
        <v/>
      </c>
      <c r="B1073" s="80">
        <f>IF(OR(Scale!$AD275="",Scale!$AD275=0),"",Scale!$D275)</f>
        <v/>
      </c>
      <c r="C1073" s="80">
        <f>IF(OR(Scale!$AD275="",Scale!$AD275=0),"","باسکول")</f>
        <v/>
      </c>
      <c r="D1073" s="80">
        <f>IF(OR(Scale!$AD275="",Scale!$AD275=0),"",Scale!$AD275)</f>
        <v/>
      </c>
      <c r="E1073" s="81">
        <f>IF(OR(Scale!$AD275="",Scale!$AD275=0),"",IF(Scale!$AD275="","","مقابل پوز — "&amp;Scale!$E275))</f>
        <v/>
      </c>
      <c r="F1073" s="83" t="n"/>
      <c r="G1073" s="83" t="n"/>
      <c r="H1073" s="83" t="n"/>
      <c r="I1073" s="83" t="n"/>
      <c r="J1073" s="83" t="n"/>
      <c r="K1073" s="82">
        <f>IF(OR(Scale!$AD275="",Scale!$AD275=0),"",IF(Scale!$AE275="",0,Scale!$AE275)+IF(Scale!$AF275="",0,Scale!$AF275))</f>
        <v/>
      </c>
      <c r="L1073" s="82">
        <f>IF(OR(Scale!$AD275="",Scale!$AD275=0),"",Scale!$AE275)</f>
        <v/>
      </c>
      <c r="M1073" s="82">
        <f>IF(OR(Scale!$AD275="",Scale!$AD275=0),"",Scale!$AF275)</f>
        <v/>
      </c>
      <c r="N1073" s="81">
        <f>IF(OR(Scale!$AD275="",Scale!$AD275=0),"","مقابل پوز")</f>
        <v/>
      </c>
      <c r="O1073" s="81">
        <f>IF(OR(Scale!$AD275="",Scale!$AD275=0),"",IFERROR(VLOOKUP(Scale!$AD275,AcctTbl,3,0),""))</f>
        <v/>
      </c>
      <c r="P1073" s="82">
        <f>IF(Scale!$AD275&lt;&gt;"X011","","BN02")</f>
        <v/>
      </c>
    </row>
    <row r="1074" ht="20.25" customHeight="1">
      <c r="A1074" s="80">
        <f>IF(OR(Scale!$U276="",Scale!$U276=0),"",Scale!$B276)</f>
        <v/>
      </c>
      <c r="B1074" s="80">
        <f>IF(OR(Scale!$U276="",Scale!$U276=0),"",Scale!$D276)</f>
        <v/>
      </c>
      <c r="C1074" s="80">
        <f>IF(OR(Scale!$U276="",Scale!$U276=0),"","باسکول")</f>
        <v/>
      </c>
      <c r="D1074" s="80">
        <f>IF(OR(Scale!$U276="",Scale!$U276=0),"",Scale!$U276)</f>
        <v/>
      </c>
      <c r="E1074" s="81">
        <f>IF(OR(Scale!$U276="",Scale!$U276=0),"",Scale!$T276)</f>
        <v/>
      </c>
      <c r="F1074" s="81">
        <f>IF(OR(Scale!$U276="",Scale!$U276=0),"",Scale!$J276)</f>
        <v/>
      </c>
      <c r="G1074" s="82">
        <f>IF(OR(Scale!$U276="",Scale!$U276=0),"",Scale!$M276)</f>
        <v/>
      </c>
      <c r="H1074" s="82">
        <f>IF(OR(Scale!$U276="",Scale!$U276=0),"",Scale!$L276)</f>
        <v/>
      </c>
      <c r="I1074" s="82">
        <f>IF(OR(Scale!$U276="",Scale!$U276=0),"",Scale!$N276)</f>
        <v/>
      </c>
      <c r="J1074" s="82">
        <f>IF(OR(Scale!$U276="",Scale!$U276=0),"",Scale!$O276)</f>
        <v/>
      </c>
      <c r="K1074" s="82">
        <f>IF(OR(Scale!$U276="",Scale!$U276=0),"",IF(Scale!$V276="",0,Scale!$V276)+IF(Scale!$W276="",0,Scale!$W276))</f>
        <v/>
      </c>
      <c r="L1074" s="82">
        <f>IF(OR(Scale!$U276="",Scale!$U276=0),"",Scale!$V276)</f>
        <v/>
      </c>
      <c r="M1074" s="82">
        <f>IF(OR(Scale!$U276="",Scale!$U276=0),"",Scale!$W276)</f>
        <v/>
      </c>
      <c r="N1074" s="81">
        <f>IF(OR(Scale!$U276="",Scale!$U276=0),"",Scale!$E276)</f>
        <v/>
      </c>
      <c r="O1074" s="81">
        <f>IF(OR(Scale!$U276="",Scale!$U276=0),"",IFERROR(VLOOKUP(Scale!$U276,AcctTbl,3,0),""))</f>
        <v/>
      </c>
      <c r="P1074" s="82">
        <f>IF(Scale!$U276&lt;&gt;"X011","","BN02")</f>
        <v/>
      </c>
    </row>
    <row r="1075" ht="20.25" customHeight="1">
      <c r="A1075" s="80">
        <f>IF(OR(Scale!$X276="",Scale!$X276=0),"",Scale!$B276)</f>
        <v/>
      </c>
      <c r="B1075" s="80">
        <f>IF(OR(Scale!$X276="",Scale!$X276=0),"",Scale!$D276)</f>
        <v/>
      </c>
      <c r="C1075" s="80">
        <f>IF(OR(Scale!$X276="",Scale!$X276=0),"","باسکول")</f>
        <v/>
      </c>
      <c r="D1075" s="80">
        <f>IF(OR(Scale!$X276="",Scale!$X276=0),"",Scale!$X276)</f>
        <v/>
      </c>
      <c r="E1075" s="81">
        <f>IF(OR(Scale!$X276="",Scale!$X276=0),"",IF(Scale!$X276="","","مقابل: "&amp;Scale!$E276))</f>
        <v/>
      </c>
      <c r="F1075" s="83" t="n"/>
      <c r="G1075" s="83" t="n"/>
      <c r="H1075" s="83" t="n"/>
      <c r="I1075" s="83" t="n"/>
      <c r="J1075" s="83" t="n"/>
      <c r="K1075" s="82">
        <f>IF(OR(Scale!$X276="",Scale!$X276=0),"",IF(Scale!$Y276="",0,Scale!$Y276)+IF(Scale!$Z276="",0,Scale!$Z276))</f>
        <v/>
      </c>
      <c r="L1075" s="82">
        <f>IF(OR(Scale!$X276="",Scale!$X276=0),"",Scale!$Y276)</f>
        <v/>
      </c>
      <c r="M1075" s="82">
        <f>IF(OR(Scale!$X276="",Scale!$X276=0),"",Scale!$Z276)</f>
        <v/>
      </c>
      <c r="N1075" s="81">
        <f>IF(OR(Scale!$X276="",Scale!$X276=0),"","مقابل")</f>
        <v/>
      </c>
      <c r="O1075" s="81">
        <f>IF(OR(Scale!$X276="",Scale!$X276=0),"",IFERROR(VLOOKUP(Scale!$X276,AcctTbl,3,0),""))</f>
        <v/>
      </c>
      <c r="P1075" s="82">
        <f>IF(Scale!$X276&lt;&gt;"X011","","BN02")</f>
        <v/>
      </c>
    </row>
    <row r="1076" ht="20.25" customHeight="1">
      <c r="A1076" s="80">
        <f>IF(OR(Scale!$AA276="",Scale!$AA276=0),"",Scale!$B276)</f>
        <v/>
      </c>
      <c r="B1076" s="80">
        <f>IF(OR(Scale!$AA276="",Scale!$AA276=0),"",Scale!$D276)</f>
        <v/>
      </c>
      <c r="C1076" s="80">
        <f>IF(OR(Scale!$AA276="",Scale!$AA276=0),"","باسکول")</f>
        <v/>
      </c>
      <c r="D1076" s="80">
        <f>IF(OR(Scale!$AA276="",Scale!$AA276=0),"",Scale!$AA276)</f>
        <v/>
      </c>
      <c r="E1076" s="81">
        <f>IF(OR(Scale!$AA276="",Scale!$AA276=0),"",IF(Scale!$AA276="","","پوز باسکول — "&amp;Scale!$E276))</f>
        <v/>
      </c>
      <c r="F1076" s="83" t="n"/>
      <c r="G1076" s="83" t="n"/>
      <c r="H1076" s="83" t="n"/>
      <c r="I1076" s="83" t="n"/>
      <c r="J1076" s="83" t="n"/>
      <c r="K1076" s="82">
        <f>IF(OR(Scale!$AA276="",Scale!$AA276=0),"",IF(Scale!$AB276="",0,Scale!$AB276)+IF(Scale!$AC276="",0,Scale!$AC276))</f>
        <v/>
      </c>
      <c r="L1076" s="82">
        <f>IF(OR(Scale!$AA276="",Scale!$AA276=0),"",Scale!$AB276)</f>
        <v/>
      </c>
      <c r="M1076" s="82">
        <f>IF(OR(Scale!$AA276="",Scale!$AA276=0),"",Scale!$AC276)</f>
        <v/>
      </c>
      <c r="N1076" s="81">
        <f>IF(OR(Scale!$AA276="",Scale!$AA276=0),"","پوز")</f>
        <v/>
      </c>
      <c r="O1076" s="81">
        <f>IF(OR(Scale!$AA276="",Scale!$AA276=0),"",IFERROR(VLOOKUP(Scale!$AA276,AcctTbl,3,0),""))</f>
        <v/>
      </c>
      <c r="P1076" s="82">
        <f>IF(Scale!$AA276&lt;&gt;"X011","","BN02")</f>
        <v/>
      </c>
    </row>
    <row r="1077" ht="20.25" customHeight="1">
      <c r="A1077" s="80">
        <f>IF(OR(Scale!$AD276="",Scale!$AD276=0),"",Scale!$B276)</f>
        <v/>
      </c>
      <c r="B1077" s="80">
        <f>IF(OR(Scale!$AD276="",Scale!$AD276=0),"",Scale!$D276)</f>
        <v/>
      </c>
      <c r="C1077" s="80">
        <f>IF(OR(Scale!$AD276="",Scale!$AD276=0),"","باسکول")</f>
        <v/>
      </c>
      <c r="D1077" s="80">
        <f>IF(OR(Scale!$AD276="",Scale!$AD276=0),"",Scale!$AD276)</f>
        <v/>
      </c>
      <c r="E1077" s="81">
        <f>IF(OR(Scale!$AD276="",Scale!$AD276=0),"",IF(Scale!$AD276="","","مقابل پوز — "&amp;Scale!$E276))</f>
        <v/>
      </c>
      <c r="F1077" s="83" t="n"/>
      <c r="G1077" s="83" t="n"/>
      <c r="H1077" s="83" t="n"/>
      <c r="I1077" s="83" t="n"/>
      <c r="J1077" s="83" t="n"/>
      <c r="K1077" s="82">
        <f>IF(OR(Scale!$AD276="",Scale!$AD276=0),"",IF(Scale!$AE276="",0,Scale!$AE276)+IF(Scale!$AF276="",0,Scale!$AF276))</f>
        <v/>
      </c>
      <c r="L1077" s="82">
        <f>IF(OR(Scale!$AD276="",Scale!$AD276=0),"",Scale!$AE276)</f>
        <v/>
      </c>
      <c r="M1077" s="82">
        <f>IF(OR(Scale!$AD276="",Scale!$AD276=0),"",Scale!$AF276)</f>
        <v/>
      </c>
      <c r="N1077" s="81">
        <f>IF(OR(Scale!$AD276="",Scale!$AD276=0),"","مقابل پوز")</f>
        <v/>
      </c>
      <c r="O1077" s="81">
        <f>IF(OR(Scale!$AD276="",Scale!$AD276=0),"",IFERROR(VLOOKUP(Scale!$AD276,AcctTbl,3,0),""))</f>
        <v/>
      </c>
      <c r="P1077" s="82">
        <f>IF(Scale!$AD276&lt;&gt;"X011","","BN02")</f>
        <v/>
      </c>
    </row>
    <row r="1078" ht="20.25" customHeight="1">
      <c r="A1078" s="80">
        <f>IF(OR(Scale!$U277="",Scale!$U277=0),"",Scale!$B277)</f>
        <v/>
      </c>
      <c r="B1078" s="80">
        <f>IF(OR(Scale!$U277="",Scale!$U277=0),"",Scale!$D277)</f>
        <v/>
      </c>
      <c r="C1078" s="80">
        <f>IF(OR(Scale!$U277="",Scale!$U277=0),"","باسکول")</f>
        <v/>
      </c>
      <c r="D1078" s="80">
        <f>IF(OR(Scale!$U277="",Scale!$U277=0),"",Scale!$U277)</f>
        <v/>
      </c>
      <c r="E1078" s="81">
        <f>IF(OR(Scale!$U277="",Scale!$U277=0),"",Scale!$T277)</f>
        <v/>
      </c>
      <c r="F1078" s="81">
        <f>IF(OR(Scale!$U277="",Scale!$U277=0),"",Scale!$J277)</f>
        <v/>
      </c>
      <c r="G1078" s="82">
        <f>IF(OR(Scale!$U277="",Scale!$U277=0),"",Scale!$M277)</f>
        <v/>
      </c>
      <c r="H1078" s="82">
        <f>IF(OR(Scale!$U277="",Scale!$U277=0),"",Scale!$L277)</f>
        <v/>
      </c>
      <c r="I1078" s="82">
        <f>IF(OR(Scale!$U277="",Scale!$U277=0),"",Scale!$N277)</f>
        <v/>
      </c>
      <c r="J1078" s="82">
        <f>IF(OR(Scale!$U277="",Scale!$U277=0),"",Scale!$O277)</f>
        <v/>
      </c>
      <c r="K1078" s="82">
        <f>IF(OR(Scale!$U277="",Scale!$U277=0),"",IF(Scale!$V277="",0,Scale!$V277)+IF(Scale!$W277="",0,Scale!$W277))</f>
        <v/>
      </c>
      <c r="L1078" s="82">
        <f>IF(OR(Scale!$U277="",Scale!$U277=0),"",Scale!$V277)</f>
        <v/>
      </c>
      <c r="M1078" s="82">
        <f>IF(OR(Scale!$U277="",Scale!$U277=0),"",Scale!$W277)</f>
        <v/>
      </c>
      <c r="N1078" s="81">
        <f>IF(OR(Scale!$U277="",Scale!$U277=0),"",Scale!$E277)</f>
        <v/>
      </c>
      <c r="O1078" s="81">
        <f>IF(OR(Scale!$U277="",Scale!$U277=0),"",IFERROR(VLOOKUP(Scale!$U277,AcctTbl,3,0),""))</f>
        <v/>
      </c>
      <c r="P1078" s="82">
        <f>IF(Scale!$U277&lt;&gt;"X011","","BN02")</f>
        <v/>
      </c>
    </row>
    <row r="1079" ht="20.25" customHeight="1">
      <c r="A1079" s="80">
        <f>IF(OR(Scale!$X277="",Scale!$X277=0),"",Scale!$B277)</f>
        <v/>
      </c>
      <c r="B1079" s="80">
        <f>IF(OR(Scale!$X277="",Scale!$X277=0),"",Scale!$D277)</f>
        <v/>
      </c>
      <c r="C1079" s="80">
        <f>IF(OR(Scale!$X277="",Scale!$X277=0),"","باسکول")</f>
        <v/>
      </c>
      <c r="D1079" s="80">
        <f>IF(OR(Scale!$X277="",Scale!$X277=0),"",Scale!$X277)</f>
        <v/>
      </c>
      <c r="E1079" s="81">
        <f>IF(OR(Scale!$X277="",Scale!$X277=0),"",IF(Scale!$X277="","","مقابل: "&amp;Scale!$E277))</f>
        <v/>
      </c>
      <c r="F1079" s="83" t="n"/>
      <c r="G1079" s="83" t="n"/>
      <c r="H1079" s="83" t="n"/>
      <c r="I1079" s="83" t="n"/>
      <c r="J1079" s="83" t="n"/>
      <c r="K1079" s="82">
        <f>IF(OR(Scale!$X277="",Scale!$X277=0),"",IF(Scale!$Y277="",0,Scale!$Y277)+IF(Scale!$Z277="",0,Scale!$Z277))</f>
        <v/>
      </c>
      <c r="L1079" s="82">
        <f>IF(OR(Scale!$X277="",Scale!$X277=0),"",Scale!$Y277)</f>
        <v/>
      </c>
      <c r="M1079" s="82">
        <f>IF(OR(Scale!$X277="",Scale!$X277=0),"",Scale!$Z277)</f>
        <v/>
      </c>
      <c r="N1079" s="81">
        <f>IF(OR(Scale!$X277="",Scale!$X277=0),"","مقابل")</f>
        <v/>
      </c>
      <c r="O1079" s="81">
        <f>IF(OR(Scale!$X277="",Scale!$X277=0),"",IFERROR(VLOOKUP(Scale!$X277,AcctTbl,3,0),""))</f>
        <v/>
      </c>
      <c r="P1079" s="82">
        <f>IF(Scale!$X277&lt;&gt;"X011","","BN02")</f>
        <v/>
      </c>
    </row>
    <row r="1080" ht="20.25" customHeight="1">
      <c r="A1080" s="80">
        <f>IF(OR(Scale!$AA277="",Scale!$AA277=0),"",Scale!$B277)</f>
        <v/>
      </c>
      <c r="B1080" s="80">
        <f>IF(OR(Scale!$AA277="",Scale!$AA277=0),"",Scale!$D277)</f>
        <v/>
      </c>
      <c r="C1080" s="80">
        <f>IF(OR(Scale!$AA277="",Scale!$AA277=0),"","باسکول")</f>
        <v/>
      </c>
      <c r="D1080" s="80">
        <f>IF(OR(Scale!$AA277="",Scale!$AA277=0),"",Scale!$AA277)</f>
        <v/>
      </c>
      <c r="E1080" s="81">
        <f>IF(OR(Scale!$AA277="",Scale!$AA277=0),"",IF(Scale!$AA277="","","پوز باسکول — "&amp;Scale!$E277))</f>
        <v/>
      </c>
      <c r="F1080" s="83" t="n"/>
      <c r="G1080" s="83" t="n"/>
      <c r="H1080" s="83" t="n"/>
      <c r="I1080" s="83" t="n"/>
      <c r="J1080" s="83" t="n"/>
      <c r="K1080" s="82">
        <f>IF(OR(Scale!$AA277="",Scale!$AA277=0),"",IF(Scale!$AB277="",0,Scale!$AB277)+IF(Scale!$AC277="",0,Scale!$AC277))</f>
        <v/>
      </c>
      <c r="L1080" s="82">
        <f>IF(OR(Scale!$AA277="",Scale!$AA277=0),"",Scale!$AB277)</f>
        <v/>
      </c>
      <c r="M1080" s="82">
        <f>IF(OR(Scale!$AA277="",Scale!$AA277=0),"",Scale!$AC277)</f>
        <v/>
      </c>
      <c r="N1080" s="81">
        <f>IF(OR(Scale!$AA277="",Scale!$AA277=0),"","پوز")</f>
        <v/>
      </c>
      <c r="O1080" s="81">
        <f>IF(OR(Scale!$AA277="",Scale!$AA277=0),"",IFERROR(VLOOKUP(Scale!$AA277,AcctTbl,3,0),""))</f>
        <v/>
      </c>
      <c r="P1080" s="82">
        <f>IF(Scale!$AA277&lt;&gt;"X011","","BN02")</f>
        <v/>
      </c>
    </row>
    <row r="1081" ht="20.25" customHeight="1">
      <c r="A1081" s="80">
        <f>IF(OR(Scale!$AD277="",Scale!$AD277=0),"",Scale!$B277)</f>
        <v/>
      </c>
      <c r="B1081" s="80">
        <f>IF(OR(Scale!$AD277="",Scale!$AD277=0),"",Scale!$D277)</f>
        <v/>
      </c>
      <c r="C1081" s="80">
        <f>IF(OR(Scale!$AD277="",Scale!$AD277=0),"","باسکول")</f>
        <v/>
      </c>
      <c r="D1081" s="80">
        <f>IF(OR(Scale!$AD277="",Scale!$AD277=0),"",Scale!$AD277)</f>
        <v/>
      </c>
      <c r="E1081" s="81">
        <f>IF(OR(Scale!$AD277="",Scale!$AD277=0),"",IF(Scale!$AD277="","","مقابل پوز — "&amp;Scale!$E277))</f>
        <v/>
      </c>
      <c r="F1081" s="83" t="n"/>
      <c r="G1081" s="83" t="n"/>
      <c r="H1081" s="83" t="n"/>
      <c r="I1081" s="83" t="n"/>
      <c r="J1081" s="83" t="n"/>
      <c r="K1081" s="82">
        <f>IF(OR(Scale!$AD277="",Scale!$AD277=0),"",IF(Scale!$AE277="",0,Scale!$AE277)+IF(Scale!$AF277="",0,Scale!$AF277))</f>
        <v/>
      </c>
      <c r="L1081" s="82">
        <f>IF(OR(Scale!$AD277="",Scale!$AD277=0),"",Scale!$AE277)</f>
        <v/>
      </c>
      <c r="M1081" s="82">
        <f>IF(OR(Scale!$AD277="",Scale!$AD277=0),"",Scale!$AF277)</f>
        <v/>
      </c>
      <c r="N1081" s="81">
        <f>IF(OR(Scale!$AD277="",Scale!$AD277=0),"","مقابل پوز")</f>
        <v/>
      </c>
      <c r="O1081" s="81">
        <f>IF(OR(Scale!$AD277="",Scale!$AD277=0),"",IFERROR(VLOOKUP(Scale!$AD277,AcctTbl,3,0),""))</f>
        <v/>
      </c>
      <c r="P1081" s="82">
        <f>IF(Scale!$AD277&lt;&gt;"X011","","BN02")</f>
        <v/>
      </c>
    </row>
    <row r="1082" ht="20.25" customHeight="1">
      <c r="A1082" s="80">
        <f>IF(OR(Scale!$U278="",Scale!$U278=0),"",Scale!$B278)</f>
        <v/>
      </c>
      <c r="B1082" s="80">
        <f>IF(OR(Scale!$U278="",Scale!$U278=0),"",Scale!$D278)</f>
        <v/>
      </c>
      <c r="C1082" s="80">
        <f>IF(OR(Scale!$U278="",Scale!$U278=0),"","باسکول")</f>
        <v/>
      </c>
      <c r="D1082" s="80">
        <f>IF(OR(Scale!$U278="",Scale!$U278=0),"",Scale!$U278)</f>
        <v/>
      </c>
      <c r="E1082" s="81">
        <f>IF(OR(Scale!$U278="",Scale!$U278=0),"",Scale!$T278)</f>
        <v/>
      </c>
      <c r="F1082" s="81">
        <f>IF(OR(Scale!$U278="",Scale!$U278=0),"",Scale!$J278)</f>
        <v/>
      </c>
      <c r="G1082" s="82">
        <f>IF(OR(Scale!$U278="",Scale!$U278=0),"",Scale!$M278)</f>
        <v/>
      </c>
      <c r="H1082" s="82">
        <f>IF(OR(Scale!$U278="",Scale!$U278=0),"",Scale!$L278)</f>
        <v/>
      </c>
      <c r="I1082" s="82">
        <f>IF(OR(Scale!$U278="",Scale!$U278=0),"",Scale!$N278)</f>
        <v/>
      </c>
      <c r="J1082" s="82">
        <f>IF(OR(Scale!$U278="",Scale!$U278=0),"",Scale!$O278)</f>
        <v/>
      </c>
      <c r="K1082" s="82">
        <f>IF(OR(Scale!$U278="",Scale!$U278=0),"",IF(Scale!$V278="",0,Scale!$V278)+IF(Scale!$W278="",0,Scale!$W278))</f>
        <v/>
      </c>
      <c r="L1082" s="82">
        <f>IF(OR(Scale!$U278="",Scale!$U278=0),"",Scale!$V278)</f>
        <v/>
      </c>
      <c r="M1082" s="82">
        <f>IF(OR(Scale!$U278="",Scale!$U278=0),"",Scale!$W278)</f>
        <v/>
      </c>
      <c r="N1082" s="81">
        <f>IF(OR(Scale!$U278="",Scale!$U278=0),"",Scale!$E278)</f>
        <v/>
      </c>
      <c r="O1082" s="81">
        <f>IF(OR(Scale!$U278="",Scale!$U278=0),"",IFERROR(VLOOKUP(Scale!$U278,AcctTbl,3,0),""))</f>
        <v/>
      </c>
      <c r="P1082" s="82">
        <f>IF(Scale!$U278&lt;&gt;"X011","","BN02")</f>
        <v/>
      </c>
    </row>
    <row r="1083" ht="20.25" customHeight="1">
      <c r="A1083" s="80">
        <f>IF(OR(Scale!$X278="",Scale!$X278=0),"",Scale!$B278)</f>
        <v/>
      </c>
      <c r="B1083" s="80">
        <f>IF(OR(Scale!$X278="",Scale!$X278=0),"",Scale!$D278)</f>
        <v/>
      </c>
      <c r="C1083" s="80">
        <f>IF(OR(Scale!$X278="",Scale!$X278=0),"","باسکول")</f>
        <v/>
      </c>
      <c r="D1083" s="80">
        <f>IF(OR(Scale!$X278="",Scale!$X278=0),"",Scale!$X278)</f>
        <v/>
      </c>
      <c r="E1083" s="81">
        <f>IF(OR(Scale!$X278="",Scale!$X278=0),"",IF(Scale!$X278="","","مقابل: "&amp;Scale!$E278))</f>
        <v/>
      </c>
      <c r="F1083" s="83" t="n"/>
      <c r="G1083" s="83" t="n"/>
      <c r="H1083" s="83" t="n"/>
      <c r="I1083" s="83" t="n"/>
      <c r="J1083" s="83" t="n"/>
      <c r="K1083" s="82">
        <f>IF(OR(Scale!$X278="",Scale!$X278=0),"",IF(Scale!$Y278="",0,Scale!$Y278)+IF(Scale!$Z278="",0,Scale!$Z278))</f>
        <v/>
      </c>
      <c r="L1083" s="82">
        <f>IF(OR(Scale!$X278="",Scale!$X278=0),"",Scale!$Y278)</f>
        <v/>
      </c>
      <c r="M1083" s="82">
        <f>IF(OR(Scale!$X278="",Scale!$X278=0),"",Scale!$Z278)</f>
        <v/>
      </c>
      <c r="N1083" s="81">
        <f>IF(OR(Scale!$X278="",Scale!$X278=0),"","مقابل")</f>
        <v/>
      </c>
      <c r="O1083" s="81">
        <f>IF(OR(Scale!$X278="",Scale!$X278=0),"",IFERROR(VLOOKUP(Scale!$X278,AcctTbl,3,0),""))</f>
        <v/>
      </c>
      <c r="P1083" s="82">
        <f>IF(Scale!$X278&lt;&gt;"X011","","BN02")</f>
        <v/>
      </c>
    </row>
    <row r="1084" ht="20.25" customHeight="1">
      <c r="A1084" s="80">
        <f>IF(OR(Scale!$AA278="",Scale!$AA278=0),"",Scale!$B278)</f>
        <v/>
      </c>
      <c r="B1084" s="80">
        <f>IF(OR(Scale!$AA278="",Scale!$AA278=0),"",Scale!$D278)</f>
        <v/>
      </c>
      <c r="C1084" s="80">
        <f>IF(OR(Scale!$AA278="",Scale!$AA278=0),"","باسکول")</f>
        <v/>
      </c>
      <c r="D1084" s="80">
        <f>IF(OR(Scale!$AA278="",Scale!$AA278=0),"",Scale!$AA278)</f>
        <v/>
      </c>
      <c r="E1084" s="81">
        <f>IF(OR(Scale!$AA278="",Scale!$AA278=0),"",IF(Scale!$AA278="","","پوز باسکول — "&amp;Scale!$E278))</f>
        <v/>
      </c>
      <c r="F1084" s="83" t="n"/>
      <c r="G1084" s="83" t="n"/>
      <c r="H1084" s="83" t="n"/>
      <c r="I1084" s="83" t="n"/>
      <c r="J1084" s="83" t="n"/>
      <c r="K1084" s="82">
        <f>IF(OR(Scale!$AA278="",Scale!$AA278=0),"",IF(Scale!$AB278="",0,Scale!$AB278)+IF(Scale!$AC278="",0,Scale!$AC278))</f>
        <v/>
      </c>
      <c r="L1084" s="82">
        <f>IF(OR(Scale!$AA278="",Scale!$AA278=0),"",Scale!$AB278)</f>
        <v/>
      </c>
      <c r="M1084" s="82">
        <f>IF(OR(Scale!$AA278="",Scale!$AA278=0),"",Scale!$AC278)</f>
        <v/>
      </c>
      <c r="N1084" s="81">
        <f>IF(OR(Scale!$AA278="",Scale!$AA278=0),"","پوز")</f>
        <v/>
      </c>
      <c r="O1084" s="81">
        <f>IF(OR(Scale!$AA278="",Scale!$AA278=0),"",IFERROR(VLOOKUP(Scale!$AA278,AcctTbl,3,0),""))</f>
        <v/>
      </c>
      <c r="P1084" s="82">
        <f>IF(Scale!$AA278&lt;&gt;"X011","","BN02")</f>
        <v/>
      </c>
    </row>
    <row r="1085" ht="20.25" customHeight="1">
      <c r="A1085" s="80">
        <f>IF(OR(Scale!$AD278="",Scale!$AD278=0),"",Scale!$B278)</f>
        <v/>
      </c>
      <c r="B1085" s="80">
        <f>IF(OR(Scale!$AD278="",Scale!$AD278=0),"",Scale!$D278)</f>
        <v/>
      </c>
      <c r="C1085" s="80">
        <f>IF(OR(Scale!$AD278="",Scale!$AD278=0),"","باسکول")</f>
        <v/>
      </c>
      <c r="D1085" s="80">
        <f>IF(OR(Scale!$AD278="",Scale!$AD278=0),"",Scale!$AD278)</f>
        <v/>
      </c>
      <c r="E1085" s="81">
        <f>IF(OR(Scale!$AD278="",Scale!$AD278=0),"",IF(Scale!$AD278="","","مقابل پوز — "&amp;Scale!$E278))</f>
        <v/>
      </c>
      <c r="F1085" s="83" t="n"/>
      <c r="G1085" s="83" t="n"/>
      <c r="H1085" s="83" t="n"/>
      <c r="I1085" s="83" t="n"/>
      <c r="J1085" s="83" t="n"/>
      <c r="K1085" s="82">
        <f>IF(OR(Scale!$AD278="",Scale!$AD278=0),"",IF(Scale!$AE278="",0,Scale!$AE278)+IF(Scale!$AF278="",0,Scale!$AF278))</f>
        <v/>
      </c>
      <c r="L1085" s="82">
        <f>IF(OR(Scale!$AD278="",Scale!$AD278=0),"",Scale!$AE278)</f>
        <v/>
      </c>
      <c r="M1085" s="82">
        <f>IF(OR(Scale!$AD278="",Scale!$AD278=0),"",Scale!$AF278)</f>
        <v/>
      </c>
      <c r="N1085" s="81">
        <f>IF(OR(Scale!$AD278="",Scale!$AD278=0),"","مقابل پوز")</f>
        <v/>
      </c>
      <c r="O1085" s="81">
        <f>IF(OR(Scale!$AD278="",Scale!$AD278=0),"",IFERROR(VLOOKUP(Scale!$AD278,AcctTbl,3,0),""))</f>
        <v/>
      </c>
      <c r="P1085" s="82">
        <f>IF(Scale!$AD278&lt;&gt;"X011","","BN02")</f>
        <v/>
      </c>
    </row>
    <row r="1086" ht="20.25" customHeight="1">
      <c r="A1086" s="80">
        <f>IF(OR(Scale!$U279="",Scale!$U279=0),"",Scale!$B279)</f>
        <v/>
      </c>
      <c r="B1086" s="80">
        <f>IF(OR(Scale!$U279="",Scale!$U279=0),"",Scale!$D279)</f>
        <v/>
      </c>
      <c r="C1086" s="80">
        <f>IF(OR(Scale!$U279="",Scale!$U279=0),"","باسکول")</f>
        <v/>
      </c>
      <c r="D1086" s="80">
        <f>IF(OR(Scale!$U279="",Scale!$U279=0),"",Scale!$U279)</f>
        <v/>
      </c>
      <c r="E1086" s="81">
        <f>IF(OR(Scale!$U279="",Scale!$U279=0),"",Scale!$T279)</f>
        <v/>
      </c>
      <c r="F1086" s="81">
        <f>IF(OR(Scale!$U279="",Scale!$U279=0),"",Scale!$J279)</f>
        <v/>
      </c>
      <c r="G1086" s="82">
        <f>IF(OR(Scale!$U279="",Scale!$U279=0),"",Scale!$M279)</f>
        <v/>
      </c>
      <c r="H1086" s="82">
        <f>IF(OR(Scale!$U279="",Scale!$U279=0),"",Scale!$L279)</f>
        <v/>
      </c>
      <c r="I1086" s="82">
        <f>IF(OR(Scale!$U279="",Scale!$U279=0),"",Scale!$N279)</f>
        <v/>
      </c>
      <c r="J1086" s="82">
        <f>IF(OR(Scale!$U279="",Scale!$U279=0),"",Scale!$O279)</f>
        <v/>
      </c>
      <c r="K1086" s="82">
        <f>IF(OR(Scale!$U279="",Scale!$U279=0),"",IF(Scale!$V279="",0,Scale!$V279)+IF(Scale!$W279="",0,Scale!$W279))</f>
        <v/>
      </c>
      <c r="L1086" s="82">
        <f>IF(OR(Scale!$U279="",Scale!$U279=0),"",Scale!$V279)</f>
        <v/>
      </c>
      <c r="M1086" s="82">
        <f>IF(OR(Scale!$U279="",Scale!$U279=0),"",Scale!$W279)</f>
        <v/>
      </c>
      <c r="N1086" s="81">
        <f>IF(OR(Scale!$U279="",Scale!$U279=0),"",Scale!$E279)</f>
        <v/>
      </c>
      <c r="O1086" s="81">
        <f>IF(OR(Scale!$U279="",Scale!$U279=0),"",IFERROR(VLOOKUP(Scale!$U279,AcctTbl,3,0),""))</f>
        <v/>
      </c>
      <c r="P1086" s="82">
        <f>IF(Scale!$U279&lt;&gt;"X011","","BN02")</f>
        <v/>
      </c>
    </row>
    <row r="1087" ht="20.25" customHeight="1">
      <c r="A1087" s="80">
        <f>IF(OR(Scale!$X279="",Scale!$X279=0),"",Scale!$B279)</f>
        <v/>
      </c>
      <c r="B1087" s="80">
        <f>IF(OR(Scale!$X279="",Scale!$X279=0),"",Scale!$D279)</f>
        <v/>
      </c>
      <c r="C1087" s="80">
        <f>IF(OR(Scale!$X279="",Scale!$X279=0),"","باسکول")</f>
        <v/>
      </c>
      <c r="D1087" s="80">
        <f>IF(OR(Scale!$X279="",Scale!$X279=0),"",Scale!$X279)</f>
        <v/>
      </c>
      <c r="E1087" s="81">
        <f>IF(OR(Scale!$X279="",Scale!$X279=0),"",IF(Scale!$X279="","","مقابل: "&amp;Scale!$E279))</f>
        <v/>
      </c>
      <c r="F1087" s="83" t="n"/>
      <c r="G1087" s="83" t="n"/>
      <c r="H1087" s="83" t="n"/>
      <c r="I1087" s="83" t="n"/>
      <c r="J1087" s="83" t="n"/>
      <c r="K1087" s="82">
        <f>IF(OR(Scale!$X279="",Scale!$X279=0),"",IF(Scale!$Y279="",0,Scale!$Y279)+IF(Scale!$Z279="",0,Scale!$Z279))</f>
        <v/>
      </c>
      <c r="L1087" s="82">
        <f>IF(OR(Scale!$X279="",Scale!$X279=0),"",Scale!$Y279)</f>
        <v/>
      </c>
      <c r="M1087" s="82">
        <f>IF(OR(Scale!$X279="",Scale!$X279=0),"",Scale!$Z279)</f>
        <v/>
      </c>
      <c r="N1087" s="81">
        <f>IF(OR(Scale!$X279="",Scale!$X279=0),"","مقابل")</f>
        <v/>
      </c>
      <c r="O1087" s="81">
        <f>IF(OR(Scale!$X279="",Scale!$X279=0),"",IFERROR(VLOOKUP(Scale!$X279,AcctTbl,3,0),""))</f>
        <v/>
      </c>
      <c r="P1087" s="82">
        <f>IF(Scale!$X279&lt;&gt;"X011","","BN02")</f>
        <v/>
      </c>
    </row>
    <row r="1088" ht="20.25" customHeight="1">
      <c r="A1088" s="80">
        <f>IF(OR(Scale!$AA279="",Scale!$AA279=0),"",Scale!$B279)</f>
        <v/>
      </c>
      <c r="B1088" s="80">
        <f>IF(OR(Scale!$AA279="",Scale!$AA279=0),"",Scale!$D279)</f>
        <v/>
      </c>
      <c r="C1088" s="80">
        <f>IF(OR(Scale!$AA279="",Scale!$AA279=0),"","باسکول")</f>
        <v/>
      </c>
      <c r="D1088" s="80">
        <f>IF(OR(Scale!$AA279="",Scale!$AA279=0),"",Scale!$AA279)</f>
        <v/>
      </c>
      <c r="E1088" s="81">
        <f>IF(OR(Scale!$AA279="",Scale!$AA279=0),"",IF(Scale!$AA279="","","پوز باسکول — "&amp;Scale!$E279))</f>
        <v/>
      </c>
      <c r="F1088" s="83" t="n"/>
      <c r="G1088" s="83" t="n"/>
      <c r="H1088" s="83" t="n"/>
      <c r="I1088" s="83" t="n"/>
      <c r="J1088" s="83" t="n"/>
      <c r="K1088" s="82">
        <f>IF(OR(Scale!$AA279="",Scale!$AA279=0),"",IF(Scale!$AB279="",0,Scale!$AB279)+IF(Scale!$AC279="",0,Scale!$AC279))</f>
        <v/>
      </c>
      <c r="L1088" s="82">
        <f>IF(OR(Scale!$AA279="",Scale!$AA279=0),"",Scale!$AB279)</f>
        <v/>
      </c>
      <c r="M1088" s="82">
        <f>IF(OR(Scale!$AA279="",Scale!$AA279=0),"",Scale!$AC279)</f>
        <v/>
      </c>
      <c r="N1088" s="81">
        <f>IF(OR(Scale!$AA279="",Scale!$AA279=0),"","پوز")</f>
        <v/>
      </c>
      <c r="O1088" s="81">
        <f>IF(OR(Scale!$AA279="",Scale!$AA279=0),"",IFERROR(VLOOKUP(Scale!$AA279,AcctTbl,3,0),""))</f>
        <v/>
      </c>
      <c r="P1088" s="82">
        <f>IF(Scale!$AA279&lt;&gt;"X011","","BN02")</f>
        <v/>
      </c>
    </row>
    <row r="1089" ht="20.25" customHeight="1">
      <c r="A1089" s="80">
        <f>IF(OR(Scale!$AD279="",Scale!$AD279=0),"",Scale!$B279)</f>
        <v/>
      </c>
      <c r="B1089" s="80">
        <f>IF(OR(Scale!$AD279="",Scale!$AD279=0),"",Scale!$D279)</f>
        <v/>
      </c>
      <c r="C1089" s="80">
        <f>IF(OR(Scale!$AD279="",Scale!$AD279=0),"","باسکول")</f>
        <v/>
      </c>
      <c r="D1089" s="80">
        <f>IF(OR(Scale!$AD279="",Scale!$AD279=0),"",Scale!$AD279)</f>
        <v/>
      </c>
      <c r="E1089" s="81">
        <f>IF(OR(Scale!$AD279="",Scale!$AD279=0),"",IF(Scale!$AD279="","","مقابل پوز — "&amp;Scale!$E279))</f>
        <v/>
      </c>
      <c r="F1089" s="83" t="n"/>
      <c r="G1089" s="83" t="n"/>
      <c r="H1089" s="83" t="n"/>
      <c r="I1089" s="83" t="n"/>
      <c r="J1089" s="83" t="n"/>
      <c r="K1089" s="82">
        <f>IF(OR(Scale!$AD279="",Scale!$AD279=0),"",IF(Scale!$AE279="",0,Scale!$AE279)+IF(Scale!$AF279="",0,Scale!$AF279))</f>
        <v/>
      </c>
      <c r="L1089" s="82">
        <f>IF(OR(Scale!$AD279="",Scale!$AD279=0),"",Scale!$AE279)</f>
        <v/>
      </c>
      <c r="M1089" s="82">
        <f>IF(OR(Scale!$AD279="",Scale!$AD279=0),"",Scale!$AF279)</f>
        <v/>
      </c>
      <c r="N1089" s="81">
        <f>IF(OR(Scale!$AD279="",Scale!$AD279=0),"","مقابل پوز")</f>
        <v/>
      </c>
      <c r="O1089" s="81">
        <f>IF(OR(Scale!$AD279="",Scale!$AD279=0),"",IFERROR(VLOOKUP(Scale!$AD279,AcctTbl,3,0),""))</f>
        <v/>
      </c>
      <c r="P1089" s="82">
        <f>IF(Scale!$AD279&lt;&gt;"X011","","BN02")</f>
        <v/>
      </c>
    </row>
    <row r="1090" ht="20.25" customHeight="1">
      <c r="A1090" s="80">
        <f>IF(OR(Scale!$U280="",Scale!$U280=0),"",Scale!$B280)</f>
        <v/>
      </c>
      <c r="B1090" s="80">
        <f>IF(OR(Scale!$U280="",Scale!$U280=0),"",Scale!$D280)</f>
        <v/>
      </c>
      <c r="C1090" s="80">
        <f>IF(OR(Scale!$U280="",Scale!$U280=0),"","باسکول")</f>
        <v/>
      </c>
      <c r="D1090" s="80">
        <f>IF(OR(Scale!$U280="",Scale!$U280=0),"",Scale!$U280)</f>
        <v/>
      </c>
      <c r="E1090" s="81">
        <f>IF(OR(Scale!$U280="",Scale!$U280=0),"",Scale!$T280)</f>
        <v/>
      </c>
      <c r="F1090" s="81">
        <f>IF(OR(Scale!$U280="",Scale!$U280=0),"",Scale!$J280)</f>
        <v/>
      </c>
      <c r="G1090" s="82">
        <f>IF(OR(Scale!$U280="",Scale!$U280=0),"",Scale!$M280)</f>
        <v/>
      </c>
      <c r="H1090" s="82">
        <f>IF(OR(Scale!$U280="",Scale!$U280=0),"",Scale!$L280)</f>
        <v/>
      </c>
      <c r="I1090" s="82">
        <f>IF(OR(Scale!$U280="",Scale!$U280=0),"",Scale!$N280)</f>
        <v/>
      </c>
      <c r="J1090" s="82">
        <f>IF(OR(Scale!$U280="",Scale!$U280=0),"",Scale!$O280)</f>
        <v/>
      </c>
      <c r="K1090" s="82">
        <f>IF(OR(Scale!$U280="",Scale!$U280=0),"",IF(Scale!$V280="",0,Scale!$V280)+IF(Scale!$W280="",0,Scale!$W280))</f>
        <v/>
      </c>
      <c r="L1090" s="82">
        <f>IF(OR(Scale!$U280="",Scale!$U280=0),"",Scale!$V280)</f>
        <v/>
      </c>
      <c r="M1090" s="82">
        <f>IF(OR(Scale!$U280="",Scale!$U280=0),"",Scale!$W280)</f>
        <v/>
      </c>
      <c r="N1090" s="81">
        <f>IF(OR(Scale!$U280="",Scale!$U280=0),"",Scale!$E280)</f>
        <v/>
      </c>
      <c r="O1090" s="81">
        <f>IF(OR(Scale!$U280="",Scale!$U280=0),"",IFERROR(VLOOKUP(Scale!$U280,AcctTbl,3,0),""))</f>
        <v/>
      </c>
      <c r="P1090" s="82">
        <f>IF(Scale!$U280&lt;&gt;"X011","","BN02")</f>
        <v/>
      </c>
    </row>
    <row r="1091" ht="20.25" customHeight="1">
      <c r="A1091" s="80">
        <f>IF(OR(Scale!$X280="",Scale!$X280=0),"",Scale!$B280)</f>
        <v/>
      </c>
      <c r="B1091" s="80">
        <f>IF(OR(Scale!$X280="",Scale!$X280=0),"",Scale!$D280)</f>
        <v/>
      </c>
      <c r="C1091" s="80">
        <f>IF(OR(Scale!$X280="",Scale!$X280=0),"","باسکول")</f>
        <v/>
      </c>
      <c r="D1091" s="80">
        <f>IF(OR(Scale!$X280="",Scale!$X280=0),"",Scale!$X280)</f>
        <v/>
      </c>
      <c r="E1091" s="81">
        <f>IF(OR(Scale!$X280="",Scale!$X280=0),"",IF(Scale!$X280="","","مقابل: "&amp;Scale!$E280))</f>
        <v/>
      </c>
      <c r="F1091" s="83" t="n"/>
      <c r="G1091" s="83" t="n"/>
      <c r="H1091" s="83" t="n"/>
      <c r="I1091" s="83" t="n"/>
      <c r="J1091" s="83" t="n"/>
      <c r="K1091" s="82">
        <f>IF(OR(Scale!$X280="",Scale!$X280=0),"",IF(Scale!$Y280="",0,Scale!$Y280)+IF(Scale!$Z280="",0,Scale!$Z280))</f>
        <v/>
      </c>
      <c r="L1091" s="82">
        <f>IF(OR(Scale!$X280="",Scale!$X280=0),"",Scale!$Y280)</f>
        <v/>
      </c>
      <c r="M1091" s="82">
        <f>IF(OR(Scale!$X280="",Scale!$X280=0),"",Scale!$Z280)</f>
        <v/>
      </c>
      <c r="N1091" s="81">
        <f>IF(OR(Scale!$X280="",Scale!$X280=0),"","مقابل")</f>
        <v/>
      </c>
      <c r="O1091" s="81">
        <f>IF(OR(Scale!$X280="",Scale!$X280=0),"",IFERROR(VLOOKUP(Scale!$X280,AcctTbl,3,0),""))</f>
        <v/>
      </c>
      <c r="P1091" s="82">
        <f>IF(Scale!$X280&lt;&gt;"X011","","BN02")</f>
        <v/>
      </c>
    </row>
    <row r="1092" ht="20.25" customHeight="1">
      <c r="A1092" s="80">
        <f>IF(OR(Scale!$AA280="",Scale!$AA280=0),"",Scale!$B280)</f>
        <v/>
      </c>
      <c r="B1092" s="80">
        <f>IF(OR(Scale!$AA280="",Scale!$AA280=0),"",Scale!$D280)</f>
        <v/>
      </c>
      <c r="C1092" s="80">
        <f>IF(OR(Scale!$AA280="",Scale!$AA280=0),"","باسکول")</f>
        <v/>
      </c>
      <c r="D1092" s="80">
        <f>IF(OR(Scale!$AA280="",Scale!$AA280=0),"",Scale!$AA280)</f>
        <v/>
      </c>
      <c r="E1092" s="81">
        <f>IF(OR(Scale!$AA280="",Scale!$AA280=0),"",IF(Scale!$AA280="","","پوز باسکول — "&amp;Scale!$E280))</f>
        <v/>
      </c>
      <c r="F1092" s="83" t="n"/>
      <c r="G1092" s="83" t="n"/>
      <c r="H1092" s="83" t="n"/>
      <c r="I1092" s="83" t="n"/>
      <c r="J1092" s="83" t="n"/>
      <c r="K1092" s="82">
        <f>IF(OR(Scale!$AA280="",Scale!$AA280=0),"",IF(Scale!$AB280="",0,Scale!$AB280)+IF(Scale!$AC280="",0,Scale!$AC280))</f>
        <v/>
      </c>
      <c r="L1092" s="82">
        <f>IF(OR(Scale!$AA280="",Scale!$AA280=0),"",Scale!$AB280)</f>
        <v/>
      </c>
      <c r="M1092" s="82">
        <f>IF(OR(Scale!$AA280="",Scale!$AA280=0),"",Scale!$AC280)</f>
        <v/>
      </c>
      <c r="N1092" s="81">
        <f>IF(OR(Scale!$AA280="",Scale!$AA280=0),"","پوز")</f>
        <v/>
      </c>
      <c r="O1092" s="81">
        <f>IF(OR(Scale!$AA280="",Scale!$AA280=0),"",IFERROR(VLOOKUP(Scale!$AA280,AcctTbl,3,0),""))</f>
        <v/>
      </c>
      <c r="P1092" s="82">
        <f>IF(Scale!$AA280&lt;&gt;"X011","","BN02")</f>
        <v/>
      </c>
    </row>
    <row r="1093" ht="20.25" customHeight="1">
      <c r="A1093" s="80">
        <f>IF(OR(Scale!$AD280="",Scale!$AD280=0),"",Scale!$B280)</f>
        <v/>
      </c>
      <c r="B1093" s="80">
        <f>IF(OR(Scale!$AD280="",Scale!$AD280=0),"",Scale!$D280)</f>
        <v/>
      </c>
      <c r="C1093" s="80">
        <f>IF(OR(Scale!$AD280="",Scale!$AD280=0),"","باسکول")</f>
        <v/>
      </c>
      <c r="D1093" s="80">
        <f>IF(OR(Scale!$AD280="",Scale!$AD280=0),"",Scale!$AD280)</f>
        <v/>
      </c>
      <c r="E1093" s="81">
        <f>IF(OR(Scale!$AD280="",Scale!$AD280=0),"",IF(Scale!$AD280="","","مقابل پوز — "&amp;Scale!$E280))</f>
        <v/>
      </c>
      <c r="F1093" s="83" t="n"/>
      <c r="G1093" s="83" t="n"/>
      <c r="H1093" s="83" t="n"/>
      <c r="I1093" s="83" t="n"/>
      <c r="J1093" s="83" t="n"/>
      <c r="K1093" s="82">
        <f>IF(OR(Scale!$AD280="",Scale!$AD280=0),"",IF(Scale!$AE280="",0,Scale!$AE280)+IF(Scale!$AF280="",0,Scale!$AF280))</f>
        <v/>
      </c>
      <c r="L1093" s="82">
        <f>IF(OR(Scale!$AD280="",Scale!$AD280=0),"",Scale!$AE280)</f>
        <v/>
      </c>
      <c r="M1093" s="82">
        <f>IF(OR(Scale!$AD280="",Scale!$AD280=0),"",Scale!$AF280)</f>
        <v/>
      </c>
      <c r="N1093" s="81">
        <f>IF(OR(Scale!$AD280="",Scale!$AD280=0),"","مقابل پوز")</f>
        <v/>
      </c>
      <c r="O1093" s="81">
        <f>IF(OR(Scale!$AD280="",Scale!$AD280=0),"",IFERROR(VLOOKUP(Scale!$AD280,AcctTbl,3,0),""))</f>
        <v/>
      </c>
      <c r="P1093" s="82">
        <f>IF(Scale!$AD280&lt;&gt;"X011","","BN02")</f>
        <v/>
      </c>
    </row>
    <row r="1094" ht="20.25" customHeight="1">
      <c r="A1094" s="80">
        <f>IF(OR(Scale!$U281="",Scale!$U281=0),"",Scale!$B281)</f>
        <v/>
      </c>
      <c r="B1094" s="80">
        <f>IF(OR(Scale!$U281="",Scale!$U281=0),"",Scale!$D281)</f>
        <v/>
      </c>
      <c r="C1094" s="80">
        <f>IF(OR(Scale!$U281="",Scale!$U281=0),"","باسکول")</f>
        <v/>
      </c>
      <c r="D1094" s="80">
        <f>IF(OR(Scale!$U281="",Scale!$U281=0),"",Scale!$U281)</f>
        <v/>
      </c>
      <c r="E1094" s="81">
        <f>IF(OR(Scale!$U281="",Scale!$U281=0),"",Scale!$T281)</f>
        <v/>
      </c>
      <c r="F1094" s="81">
        <f>IF(OR(Scale!$U281="",Scale!$U281=0),"",Scale!$J281)</f>
        <v/>
      </c>
      <c r="G1094" s="82">
        <f>IF(OR(Scale!$U281="",Scale!$U281=0),"",Scale!$M281)</f>
        <v/>
      </c>
      <c r="H1094" s="82">
        <f>IF(OR(Scale!$U281="",Scale!$U281=0),"",Scale!$L281)</f>
        <v/>
      </c>
      <c r="I1094" s="82">
        <f>IF(OR(Scale!$U281="",Scale!$U281=0),"",Scale!$N281)</f>
        <v/>
      </c>
      <c r="J1094" s="82">
        <f>IF(OR(Scale!$U281="",Scale!$U281=0),"",Scale!$O281)</f>
        <v/>
      </c>
      <c r="K1094" s="82">
        <f>IF(OR(Scale!$U281="",Scale!$U281=0),"",IF(Scale!$V281="",0,Scale!$V281)+IF(Scale!$W281="",0,Scale!$W281))</f>
        <v/>
      </c>
      <c r="L1094" s="82">
        <f>IF(OR(Scale!$U281="",Scale!$U281=0),"",Scale!$V281)</f>
        <v/>
      </c>
      <c r="M1094" s="82">
        <f>IF(OR(Scale!$U281="",Scale!$U281=0),"",Scale!$W281)</f>
        <v/>
      </c>
      <c r="N1094" s="81">
        <f>IF(OR(Scale!$U281="",Scale!$U281=0),"",Scale!$E281)</f>
        <v/>
      </c>
      <c r="O1094" s="81">
        <f>IF(OR(Scale!$U281="",Scale!$U281=0),"",IFERROR(VLOOKUP(Scale!$U281,AcctTbl,3,0),""))</f>
        <v/>
      </c>
      <c r="P1094" s="82">
        <f>IF(Scale!$U281&lt;&gt;"X011","","BN02")</f>
        <v/>
      </c>
    </row>
    <row r="1095" ht="20.25" customHeight="1">
      <c r="A1095" s="80">
        <f>IF(OR(Scale!$X281="",Scale!$X281=0),"",Scale!$B281)</f>
        <v/>
      </c>
      <c r="B1095" s="80">
        <f>IF(OR(Scale!$X281="",Scale!$X281=0),"",Scale!$D281)</f>
        <v/>
      </c>
      <c r="C1095" s="80">
        <f>IF(OR(Scale!$X281="",Scale!$X281=0),"","باسکول")</f>
        <v/>
      </c>
      <c r="D1095" s="80">
        <f>IF(OR(Scale!$X281="",Scale!$X281=0),"",Scale!$X281)</f>
        <v/>
      </c>
      <c r="E1095" s="81">
        <f>IF(OR(Scale!$X281="",Scale!$X281=0),"",IF(Scale!$X281="","","مقابل: "&amp;Scale!$E281))</f>
        <v/>
      </c>
      <c r="F1095" s="83" t="n"/>
      <c r="G1095" s="83" t="n"/>
      <c r="H1095" s="83" t="n"/>
      <c r="I1095" s="83" t="n"/>
      <c r="J1095" s="83" t="n"/>
      <c r="K1095" s="82">
        <f>IF(OR(Scale!$X281="",Scale!$X281=0),"",IF(Scale!$Y281="",0,Scale!$Y281)+IF(Scale!$Z281="",0,Scale!$Z281))</f>
        <v/>
      </c>
      <c r="L1095" s="82">
        <f>IF(OR(Scale!$X281="",Scale!$X281=0),"",Scale!$Y281)</f>
        <v/>
      </c>
      <c r="M1095" s="82">
        <f>IF(OR(Scale!$X281="",Scale!$X281=0),"",Scale!$Z281)</f>
        <v/>
      </c>
      <c r="N1095" s="81">
        <f>IF(OR(Scale!$X281="",Scale!$X281=0),"","مقابل")</f>
        <v/>
      </c>
      <c r="O1095" s="81">
        <f>IF(OR(Scale!$X281="",Scale!$X281=0),"",IFERROR(VLOOKUP(Scale!$X281,AcctTbl,3,0),""))</f>
        <v/>
      </c>
      <c r="P1095" s="82">
        <f>IF(Scale!$X281&lt;&gt;"X011","","BN02")</f>
        <v/>
      </c>
    </row>
    <row r="1096" ht="20.25" customHeight="1">
      <c r="A1096" s="80">
        <f>IF(OR(Scale!$AA281="",Scale!$AA281=0),"",Scale!$B281)</f>
        <v/>
      </c>
      <c r="B1096" s="80">
        <f>IF(OR(Scale!$AA281="",Scale!$AA281=0),"",Scale!$D281)</f>
        <v/>
      </c>
      <c r="C1096" s="80">
        <f>IF(OR(Scale!$AA281="",Scale!$AA281=0),"","باسکول")</f>
        <v/>
      </c>
      <c r="D1096" s="80">
        <f>IF(OR(Scale!$AA281="",Scale!$AA281=0),"",Scale!$AA281)</f>
        <v/>
      </c>
      <c r="E1096" s="81">
        <f>IF(OR(Scale!$AA281="",Scale!$AA281=0),"",IF(Scale!$AA281="","","پوز باسکول — "&amp;Scale!$E281))</f>
        <v/>
      </c>
      <c r="F1096" s="83" t="n"/>
      <c r="G1096" s="83" t="n"/>
      <c r="H1096" s="83" t="n"/>
      <c r="I1096" s="83" t="n"/>
      <c r="J1096" s="83" t="n"/>
      <c r="K1096" s="82">
        <f>IF(OR(Scale!$AA281="",Scale!$AA281=0),"",IF(Scale!$AB281="",0,Scale!$AB281)+IF(Scale!$AC281="",0,Scale!$AC281))</f>
        <v/>
      </c>
      <c r="L1096" s="82">
        <f>IF(OR(Scale!$AA281="",Scale!$AA281=0),"",Scale!$AB281)</f>
        <v/>
      </c>
      <c r="M1096" s="82">
        <f>IF(OR(Scale!$AA281="",Scale!$AA281=0),"",Scale!$AC281)</f>
        <v/>
      </c>
      <c r="N1096" s="81">
        <f>IF(OR(Scale!$AA281="",Scale!$AA281=0),"","پوز")</f>
        <v/>
      </c>
      <c r="O1096" s="81">
        <f>IF(OR(Scale!$AA281="",Scale!$AA281=0),"",IFERROR(VLOOKUP(Scale!$AA281,AcctTbl,3,0),""))</f>
        <v/>
      </c>
      <c r="P1096" s="82">
        <f>IF(Scale!$AA281&lt;&gt;"X011","","BN02")</f>
        <v/>
      </c>
    </row>
    <row r="1097" ht="20.25" customHeight="1">
      <c r="A1097" s="80">
        <f>IF(OR(Scale!$AD281="",Scale!$AD281=0),"",Scale!$B281)</f>
        <v/>
      </c>
      <c r="B1097" s="80">
        <f>IF(OR(Scale!$AD281="",Scale!$AD281=0),"",Scale!$D281)</f>
        <v/>
      </c>
      <c r="C1097" s="80">
        <f>IF(OR(Scale!$AD281="",Scale!$AD281=0),"","باسکول")</f>
        <v/>
      </c>
      <c r="D1097" s="80">
        <f>IF(OR(Scale!$AD281="",Scale!$AD281=0),"",Scale!$AD281)</f>
        <v/>
      </c>
      <c r="E1097" s="81">
        <f>IF(OR(Scale!$AD281="",Scale!$AD281=0),"",IF(Scale!$AD281="","","مقابل پوز — "&amp;Scale!$E281))</f>
        <v/>
      </c>
      <c r="F1097" s="83" t="n"/>
      <c r="G1097" s="83" t="n"/>
      <c r="H1097" s="83" t="n"/>
      <c r="I1097" s="83" t="n"/>
      <c r="J1097" s="83" t="n"/>
      <c r="K1097" s="82">
        <f>IF(OR(Scale!$AD281="",Scale!$AD281=0),"",IF(Scale!$AE281="",0,Scale!$AE281)+IF(Scale!$AF281="",0,Scale!$AF281))</f>
        <v/>
      </c>
      <c r="L1097" s="82">
        <f>IF(OR(Scale!$AD281="",Scale!$AD281=0),"",Scale!$AE281)</f>
        <v/>
      </c>
      <c r="M1097" s="82">
        <f>IF(OR(Scale!$AD281="",Scale!$AD281=0),"",Scale!$AF281)</f>
        <v/>
      </c>
      <c r="N1097" s="81">
        <f>IF(OR(Scale!$AD281="",Scale!$AD281=0),"","مقابل پوز")</f>
        <v/>
      </c>
      <c r="O1097" s="81">
        <f>IF(OR(Scale!$AD281="",Scale!$AD281=0),"",IFERROR(VLOOKUP(Scale!$AD281,AcctTbl,3,0),""))</f>
        <v/>
      </c>
      <c r="P1097" s="82">
        <f>IF(Scale!$AD281&lt;&gt;"X011","","BN02")</f>
        <v/>
      </c>
    </row>
    <row r="1098" ht="20.25" customHeight="1">
      <c r="A1098" s="80">
        <f>IF(OR(Scale!$U282="",Scale!$U282=0),"",Scale!$B282)</f>
        <v/>
      </c>
      <c r="B1098" s="80">
        <f>IF(OR(Scale!$U282="",Scale!$U282=0),"",Scale!$D282)</f>
        <v/>
      </c>
      <c r="C1098" s="80">
        <f>IF(OR(Scale!$U282="",Scale!$U282=0),"","باسکول")</f>
        <v/>
      </c>
      <c r="D1098" s="80">
        <f>IF(OR(Scale!$U282="",Scale!$U282=0),"",Scale!$U282)</f>
        <v/>
      </c>
      <c r="E1098" s="81">
        <f>IF(OR(Scale!$U282="",Scale!$U282=0),"",Scale!$T282)</f>
        <v/>
      </c>
      <c r="F1098" s="81">
        <f>IF(OR(Scale!$U282="",Scale!$U282=0),"",Scale!$J282)</f>
        <v/>
      </c>
      <c r="G1098" s="82">
        <f>IF(OR(Scale!$U282="",Scale!$U282=0),"",Scale!$M282)</f>
        <v/>
      </c>
      <c r="H1098" s="82">
        <f>IF(OR(Scale!$U282="",Scale!$U282=0),"",Scale!$L282)</f>
        <v/>
      </c>
      <c r="I1098" s="82">
        <f>IF(OR(Scale!$U282="",Scale!$U282=0),"",Scale!$N282)</f>
        <v/>
      </c>
      <c r="J1098" s="82">
        <f>IF(OR(Scale!$U282="",Scale!$U282=0),"",Scale!$O282)</f>
        <v/>
      </c>
      <c r="K1098" s="82">
        <f>IF(OR(Scale!$U282="",Scale!$U282=0),"",IF(Scale!$V282="",0,Scale!$V282)+IF(Scale!$W282="",0,Scale!$W282))</f>
        <v/>
      </c>
      <c r="L1098" s="82">
        <f>IF(OR(Scale!$U282="",Scale!$U282=0),"",Scale!$V282)</f>
        <v/>
      </c>
      <c r="M1098" s="82">
        <f>IF(OR(Scale!$U282="",Scale!$U282=0),"",Scale!$W282)</f>
        <v/>
      </c>
      <c r="N1098" s="81">
        <f>IF(OR(Scale!$U282="",Scale!$U282=0),"",Scale!$E282)</f>
        <v/>
      </c>
      <c r="O1098" s="81">
        <f>IF(OR(Scale!$U282="",Scale!$U282=0),"",IFERROR(VLOOKUP(Scale!$U282,AcctTbl,3,0),""))</f>
        <v/>
      </c>
      <c r="P1098" s="82">
        <f>IF(Scale!$U282&lt;&gt;"X011","","BN02")</f>
        <v/>
      </c>
    </row>
    <row r="1099" ht="20.25" customHeight="1">
      <c r="A1099" s="80">
        <f>IF(OR(Scale!$X282="",Scale!$X282=0),"",Scale!$B282)</f>
        <v/>
      </c>
      <c r="B1099" s="80">
        <f>IF(OR(Scale!$X282="",Scale!$X282=0),"",Scale!$D282)</f>
        <v/>
      </c>
      <c r="C1099" s="80">
        <f>IF(OR(Scale!$X282="",Scale!$X282=0),"","باسکول")</f>
        <v/>
      </c>
      <c r="D1099" s="80">
        <f>IF(OR(Scale!$X282="",Scale!$X282=0),"",Scale!$X282)</f>
        <v/>
      </c>
      <c r="E1099" s="81">
        <f>IF(OR(Scale!$X282="",Scale!$X282=0),"",IF(Scale!$X282="","","مقابل: "&amp;Scale!$E282))</f>
        <v/>
      </c>
      <c r="F1099" s="83" t="n"/>
      <c r="G1099" s="83" t="n"/>
      <c r="H1099" s="83" t="n"/>
      <c r="I1099" s="83" t="n"/>
      <c r="J1099" s="83" t="n"/>
      <c r="K1099" s="82">
        <f>IF(OR(Scale!$X282="",Scale!$X282=0),"",IF(Scale!$Y282="",0,Scale!$Y282)+IF(Scale!$Z282="",0,Scale!$Z282))</f>
        <v/>
      </c>
      <c r="L1099" s="82">
        <f>IF(OR(Scale!$X282="",Scale!$X282=0),"",Scale!$Y282)</f>
        <v/>
      </c>
      <c r="M1099" s="82">
        <f>IF(OR(Scale!$X282="",Scale!$X282=0),"",Scale!$Z282)</f>
        <v/>
      </c>
      <c r="N1099" s="81">
        <f>IF(OR(Scale!$X282="",Scale!$X282=0),"","مقابل")</f>
        <v/>
      </c>
      <c r="O1099" s="81">
        <f>IF(OR(Scale!$X282="",Scale!$X282=0),"",IFERROR(VLOOKUP(Scale!$X282,AcctTbl,3,0),""))</f>
        <v/>
      </c>
      <c r="P1099" s="82">
        <f>IF(Scale!$X282&lt;&gt;"X011","","BN02")</f>
        <v/>
      </c>
    </row>
    <row r="1100" ht="20.25" customHeight="1">
      <c r="A1100" s="80">
        <f>IF(OR(Scale!$AA282="",Scale!$AA282=0),"",Scale!$B282)</f>
        <v/>
      </c>
      <c r="B1100" s="80">
        <f>IF(OR(Scale!$AA282="",Scale!$AA282=0),"",Scale!$D282)</f>
        <v/>
      </c>
      <c r="C1100" s="80">
        <f>IF(OR(Scale!$AA282="",Scale!$AA282=0),"","باسکول")</f>
        <v/>
      </c>
      <c r="D1100" s="80">
        <f>IF(OR(Scale!$AA282="",Scale!$AA282=0),"",Scale!$AA282)</f>
        <v/>
      </c>
      <c r="E1100" s="81">
        <f>IF(OR(Scale!$AA282="",Scale!$AA282=0),"",IF(Scale!$AA282="","","پوز باسکول — "&amp;Scale!$E282))</f>
        <v/>
      </c>
      <c r="F1100" s="83" t="n"/>
      <c r="G1100" s="83" t="n"/>
      <c r="H1100" s="83" t="n"/>
      <c r="I1100" s="83" t="n"/>
      <c r="J1100" s="83" t="n"/>
      <c r="K1100" s="82">
        <f>IF(OR(Scale!$AA282="",Scale!$AA282=0),"",IF(Scale!$AB282="",0,Scale!$AB282)+IF(Scale!$AC282="",0,Scale!$AC282))</f>
        <v/>
      </c>
      <c r="L1100" s="82">
        <f>IF(OR(Scale!$AA282="",Scale!$AA282=0),"",Scale!$AB282)</f>
        <v/>
      </c>
      <c r="M1100" s="82">
        <f>IF(OR(Scale!$AA282="",Scale!$AA282=0),"",Scale!$AC282)</f>
        <v/>
      </c>
      <c r="N1100" s="81">
        <f>IF(OR(Scale!$AA282="",Scale!$AA282=0),"","پوز")</f>
        <v/>
      </c>
      <c r="O1100" s="81">
        <f>IF(OR(Scale!$AA282="",Scale!$AA282=0),"",IFERROR(VLOOKUP(Scale!$AA282,AcctTbl,3,0),""))</f>
        <v/>
      </c>
      <c r="P1100" s="82">
        <f>IF(Scale!$AA282&lt;&gt;"X011","","BN02")</f>
        <v/>
      </c>
    </row>
    <row r="1101" ht="20.25" customHeight="1">
      <c r="A1101" s="80">
        <f>IF(OR(Scale!$AD282="",Scale!$AD282=0),"",Scale!$B282)</f>
        <v/>
      </c>
      <c r="B1101" s="80">
        <f>IF(OR(Scale!$AD282="",Scale!$AD282=0),"",Scale!$D282)</f>
        <v/>
      </c>
      <c r="C1101" s="80">
        <f>IF(OR(Scale!$AD282="",Scale!$AD282=0),"","باسکول")</f>
        <v/>
      </c>
      <c r="D1101" s="80">
        <f>IF(OR(Scale!$AD282="",Scale!$AD282=0),"",Scale!$AD282)</f>
        <v/>
      </c>
      <c r="E1101" s="81">
        <f>IF(OR(Scale!$AD282="",Scale!$AD282=0),"",IF(Scale!$AD282="","","مقابل پوز — "&amp;Scale!$E282))</f>
        <v/>
      </c>
      <c r="F1101" s="83" t="n"/>
      <c r="G1101" s="83" t="n"/>
      <c r="H1101" s="83" t="n"/>
      <c r="I1101" s="83" t="n"/>
      <c r="J1101" s="83" t="n"/>
      <c r="K1101" s="82">
        <f>IF(OR(Scale!$AD282="",Scale!$AD282=0),"",IF(Scale!$AE282="",0,Scale!$AE282)+IF(Scale!$AF282="",0,Scale!$AF282))</f>
        <v/>
      </c>
      <c r="L1101" s="82">
        <f>IF(OR(Scale!$AD282="",Scale!$AD282=0),"",Scale!$AE282)</f>
        <v/>
      </c>
      <c r="M1101" s="82">
        <f>IF(OR(Scale!$AD282="",Scale!$AD282=0),"",Scale!$AF282)</f>
        <v/>
      </c>
      <c r="N1101" s="81">
        <f>IF(OR(Scale!$AD282="",Scale!$AD282=0),"","مقابل پوز")</f>
        <v/>
      </c>
      <c r="O1101" s="81">
        <f>IF(OR(Scale!$AD282="",Scale!$AD282=0),"",IFERROR(VLOOKUP(Scale!$AD282,AcctTbl,3,0),""))</f>
        <v/>
      </c>
      <c r="P1101" s="82">
        <f>IF(Scale!$AD282&lt;&gt;"X011","","BN02")</f>
        <v/>
      </c>
    </row>
    <row r="1102" ht="20.25" customHeight="1">
      <c r="A1102" s="80">
        <f>IF(OR(Scale!$U283="",Scale!$U283=0),"",Scale!$B283)</f>
        <v/>
      </c>
      <c r="B1102" s="80">
        <f>IF(OR(Scale!$U283="",Scale!$U283=0),"",Scale!$D283)</f>
        <v/>
      </c>
      <c r="C1102" s="80">
        <f>IF(OR(Scale!$U283="",Scale!$U283=0),"","باسکول")</f>
        <v/>
      </c>
      <c r="D1102" s="80">
        <f>IF(OR(Scale!$U283="",Scale!$U283=0),"",Scale!$U283)</f>
        <v/>
      </c>
      <c r="E1102" s="81">
        <f>IF(OR(Scale!$U283="",Scale!$U283=0),"",Scale!$T283)</f>
        <v/>
      </c>
      <c r="F1102" s="81">
        <f>IF(OR(Scale!$U283="",Scale!$U283=0),"",Scale!$J283)</f>
        <v/>
      </c>
      <c r="G1102" s="82">
        <f>IF(OR(Scale!$U283="",Scale!$U283=0),"",Scale!$M283)</f>
        <v/>
      </c>
      <c r="H1102" s="82">
        <f>IF(OR(Scale!$U283="",Scale!$U283=0),"",Scale!$L283)</f>
        <v/>
      </c>
      <c r="I1102" s="82">
        <f>IF(OR(Scale!$U283="",Scale!$U283=0),"",Scale!$N283)</f>
        <v/>
      </c>
      <c r="J1102" s="82">
        <f>IF(OR(Scale!$U283="",Scale!$U283=0),"",Scale!$O283)</f>
        <v/>
      </c>
      <c r="K1102" s="82">
        <f>IF(OR(Scale!$U283="",Scale!$U283=0),"",IF(Scale!$V283="",0,Scale!$V283)+IF(Scale!$W283="",0,Scale!$W283))</f>
        <v/>
      </c>
      <c r="L1102" s="82">
        <f>IF(OR(Scale!$U283="",Scale!$U283=0),"",Scale!$V283)</f>
        <v/>
      </c>
      <c r="M1102" s="82">
        <f>IF(OR(Scale!$U283="",Scale!$U283=0),"",Scale!$W283)</f>
        <v/>
      </c>
      <c r="N1102" s="81">
        <f>IF(OR(Scale!$U283="",Scale!$U283=0),"",Scale!$E283)</f>
        <v/>
      </c>
      <c r="O1102" s="81">
        <f>IF(OR(Scale!$U283="",Scale!$U283=0),"",IFERROR(VLOOKUP(Scale!$U283,AcctTbl,3,0),""))</f>
        <v/>
      </c>
      <c r="P1102" s="82">
        <f>IF(Scale!$U283&lt;&gt;"X011","","BN02")</f>
        <v/>
      </c>
    </row>
    <row r="1103" ht="20.25" customHeight="1">
      <c r="A1103" s="80">
        <f>IF(OR(Scale!$X283="",Scale!$X283=0),"",Scale!$B283)</f>
        <v/>
      </c>
      <c r="B1103" s="80">
        <f>IF(OR(Scale!$X283="",Scale!$X283=0),"",Scale!$D283)</f>
        <v/>
      </c>
      <c r="C1103" s="80">
        <f>IF(OR(Scale!$X283="",Scale!$X283=0),"","باسکول")</f>
        <v/>
      </c>
      <c r="D1103" s="80">
        <f>IF(OR(Scale!$X283="",Scale!$X283=0),"",Scale!$X283)</f>
        <v/>
      </c>
      <c r="E1103" s="81">
        <f>IF(OR(Scale!$X283="",Scale!$X283=0),"",IF(Scale!$X283="","","مقابل: "&amp;Scale!$E283))</f>
        <v/>
      </c>
      <c r="F1103" s="83" t="n"/>
      <c r="G1103" s="83" t="n"/>
      <c r="H1103" s="83" t="n"/>
      <c r="I1103" s="83" t="n"/>
      <c r="J1103" s="83" t="n"/>
      <c r="K1103" s="82">
        <f>IF(OR(Scale!$X283="",Scale!$X283=0),"",IF(Scale!$Y283="",0,Scale!$Y283)+IF(Scale!$Z283="",0,Scale!$Z283))</f>
        <v/>
      </c>
      <c r="L1103" s="82">
        <f>IF(OR(Scale!$X283="",Scale!$X283=0),"",Scale!$Y283)</f>
        <v/>
      </c>
      <c r="M1103" s="82">
        <f>IF(OR(Scale!$X283="",Scale!$X283=0),"",Scale!$Z283)</f>
        <v/>
      </c>
      <c r="N1103" s="81">
        <f>IF(OR(Scale!$X283="",Scale!$X283=0),"","مقابل")</f>
        <v/>
      </c>
      <c r="O1103" s="81">
        <f>IF(OR(Scale!$X283="",Scale!$X283=0),"",IFERROR(VLOOKUP(Scale!$X283,AcctTbl,3,0),""))</f>
        <v/>
      </c>
      <c r="P1103" s="82">
        <f>IF(Scale!$X283&lt;&gt;"X011","","BN02")</f>
        <v/>
      </c>
    </row>
    <row r="1104" ht="20.25" customHeight="1">
      <c r="A1104" s="80">
        <f>IF(OR(Scale!$AA283="",Scale!$AA283=0),"",Scale!$B283)</f>
        <v/>
      </c>
      <c r="B1104" s="80">
        <f>IF(OR(Scale!$AA283="",Scale!$AA283=0),"",Scale!$D283)</f>
        <v/>
      </c>
      <c r="C1104" s="80">
        <f>IF(OR(Scale!$AA283="",Scale!$AA283=0),"","باسکول")</f>
        <v/>
      </c>
      <c r="D1104" s="80">
        <f>IF(OR(Scale!$AA283="",Scale!$AA283=0),"",Scale!$AA283)</f>
        <v/>
      </c>
      <c r="E1104" s="81">
        <f>IF(OR(Scale!$AA283="",Scale!$AA283=0),"",IF(Scale!$AA283="","","پوز باسکول — "&amp;Scale!$E283))</f>
        <v/>
      </c>
      <c r="F1104" s="83" t="n"/>
      <c r="G1104" s="83" t="n"/>
      <c r="H1104" s="83" t="n"/>
      <c r="I1104" s="83" t="n"/>
      <c r="J1104" s="83" t="n"/>
      <c r="K1104" s="82">
        <f>IF(OR(Scale!$AA283="",Scale!$AA283=0),"",IF(Scale!$AB283="",0,Scale!$AB283)+IF(Scale!$AC283="",0,Scale!$AC283))</f>
        <v/>
      </c>
      <c r="L1104" s="82">
        <f>IF(OR(Scale!$AA283="",Scale!$AA283=0),"",Scale!$AB283)</f>
        <v/>
      </c>
      <c r="M1104" s="82">
        <f>IF(OR(Scale!$AA283="",Scale!$AA283=0),"",Scale!$AC283)</f>
        <v/>
      </c>
      <c r="N1104" s="81">
        <f>IF(OR(Scale!$AA283="",Scale!$AA283=0),"","پوز")</f>
        <v/>
      </c>
      <c r="O1104" s="81">
        <f>IF(OR(Scale!$AA283="",Scale!$AA283=0),"",IFERROR(VLOOKUP(Scale!$AA283,AcctTbl,3,0),""))</f>
        <v/>
      </c>
      <c r="P1104" s="82">
        <f>IF(Scale!$AA283&lt;&gt;"X011","","BN02")</f>
        <v/>
      </c>
    </row>
    <row r="1105" ht="20.25" customHeight="1">
      <c r="A1105" s="80">
        <f>IF(OR(Scale!$AD283="",Scale!$AD283=0),"",Scale!$B283)</f>
        <v/>
      </c>
      <c r="B1105" s="80">
        <f>IF(OR(Scale!$AD283="",Scale!$AD283=0),"",Scale!$D283)</f>
        <v/>
      </c>
      <c r="C1105" s="80">
        <f>IF(OR(Scale!$AD283="",Scale!$AD283=0),"","باسکول")</f>
        <v/>
      </c>
      <c r="D1105" s="80">
        <f>IF(OR(Scale!$AD283="",Scale!$AD283=0),"",Scale!$AD283)</f>
        <v/>
      </c>
      <c r="E1105" s="81">
        <f>IF(OR(Scale!$AD283="",Scale!$AD283=0),"",IF(Scale!$AD283="","","مقابل پوز — "&amp;Scale!$E283))</f>
        <v/>
      </c>
      <c r="F1105" s="83" t="n"/>
      <c r="G1105" s="83" t="n"/>
      <c r="H1105" s="83" t="n"/>
      <c r="I1105" s="83" t="n"/>
      <c r="J1105" s="83" t="n"/>
      <c r="K1105" s="82">
        <f>IF(OR(Scale!$AD283="",Scale!$AD283=0),"",IF(Scale!$AE283="",0,Scale!$AE283)+IF(Scale!$AF283="",0,Scale!$AF283))</f>
        <v/>
      </c>
      <c r="L1105" s="82">
        <f>IF(OR(Scale!$AD283="",Scale!$AD283=0),"",Scale!$AE283)</f>
        <v/>
      </c>
      <c r="M1105" s="82">
        <f>IF(OR(Scale!$AD283="",Scale!$AD283=0),"",Scale!$AF283)</f>
        <v/>
      </c>
      <c r="N1105" s="81">
        <f>IF(OR(Scale!$AD283="",Scale!$AD283=0),"","مقابل پوز")</f>
        <v/>
      </c>
      <c r="O1105" s="81">
        <f>IF(OR(Scale!$AD283="",Scale!$AD283=0),"",IFERROR(VLOOKUP(Scale!$AD283,AcctTbl,3,0),""))</f>
        <v/>
      </c>
      <c r="P1105" s="82">
        <f>IF(Scale!$AD283&lt;&gt;"X011","","BN02")</f>
        <v/>
      </c>
    </row>
    <row r="1106" ht="20.25" customHeight="1">
      <c r="A1106" s="80">
        <f>IF(OR(Scale!$U284="",Scale!$U284=0),"",Scale!$B284)</f>
        <v/>
      </c>
      <c r="B1106" s="80">
        <f>IF(OR(Scale!$U284="",Scale!$U284=0),"",Scale!$D284)</f>
        <v/>
      </c>
      <c r="C1106" s="80">
        <f>IF(OR(Scale!$U284="",Scale!$U284=0),"","باسکول")</f>
        <v/>
      </c>
      <c r="D1106" s="80">
        <f>IF(OR(Scale!$U284="",Scale!$U284=0),"",Scale!$U284)</f>
        <v/>
      </c>
      <c r="E1106" s="81">
        <f>IF(OR(Scale!$U284="",Scale!$U284=0),"",Scale!$T284)</f>
        <v/>
      </c>
      <c r="F1106" s="81">
        <f>IF(OR(Scale!$U284="",Scale!$U284=0),"",Scale!$J284)</f>
        <v/>
      </c>
      <c r="G1106" s="82">
        <f>IF(OR(Scale!$U284="",Scale!$U284=0),"",Scale!$M284)</f>
        <v/>
      </c>
      <c r="H1106" s="82">
        <f>IF(OR(Scale!$U284="",Scale!$U284=0),"",Scale!$L284)</f>
        <v/>
      </c>
      <c r="I1106" s="82">
        <f>IF(OR(Scale!$U284="",Scale!$U284=0),"",Scale!$N284)</f>
        <v/>
      </c>
      <c r="J1106" s="82">
        <f>IF(OR(Scale!$U284="",Scale!$U284=0),"",Scale!$O284)</f>
        <v/>
      </c>
      <c r="K1106" s="82">
        <f>IF(OR(Scale!$U284="",Scale!$U284=0),"",IF(Scale!$V284="",0,Scale!$V284)+IF(Scale!$W284="",0,Scale!$W284))</f>
        <v/>
      </c>
      <c r="L1106" s="82">
        <f>IF(OR(Scale!$U284="",Scale!$U284=0),"",Scale!$V284)</f>
        <v/>
      </c>
      <c r="M1106" s="82">
        <f>IF(OR(Scale!$U284="",Scale!$U284=0),"",Scale!$W284)</f>
        <v/>
      </c>
      <c r="N1106" s="81">
        <f>IF(OR(Scale!$U284="",Scale!$U284=0),"",Scale!$E284)</f>
        <v/>
      </c>
      <c r="O1106" s="81">
        <f>IF(OR(Scale!$U284="",Scale!$U284=0),"",IFERROR(VLOOKUP(Scale!$U284,AcctTbl,3,0),""))</f>
        <v/>
      </c>
      <c r="P1106" s="82">
        <f>IF(Scale!$U284&lt;&gt;"X011","","BN02")</f>
        <v/>
      </c>
    </row>
    <row r="1107" ht="20.25" customHeight="1">
      <c r="A1107" s="80">
        <f>IF(OR(Scale!$X284="",Scale!$X284=0),"",Scale!$B284)</f>
        <v/>
      </c>
      <c r="B1107" s="80">
        <f>IF(OR(Scale!$X284="",Scale!$X284=0),"",Scale!$D284)</f>
        <v/>
      </c>
      <c r="C1107" s="80">
        <f>IF(OR(Scale!$X284="",Scale!$X284=0),"","باسکول")</f>
        <v/>
      </c>
      <c r="D1107" s="80">
        <f>IF(OR(Scale!$X284="",Scale!$X284=0),"",Scale!$X284)</f>
        <v/>
      </c>
      <c r="E1107" s="81">
        <f>IF(OR(Scale!$X284="",Scale!$X284=0),"",IF(Scale!$X284="","","مقابل: "&amp;Scale!$E284))</f>
        <v/>
      </c>
      <c r="F1107" s="83" t="n"/>
      <c r="G1107" s="83" t="n"/>
      <c r="H1107" s="83" t="n"/>
      <c r="I1107" s="83" t="n"/>
      <c r="J1107" s="83" t="n"/>
      <c r="K1107" s="82">
        <f>IF(OR(Scale!$X284="",Scale!$X284=0),"",IF(Scale!$Y284="",0,Scale!$Y284)+IF(Scale!$Z284="",0,Scale!$Z284))</f>
        <v/>
      </c>
      <c r="L1107" s="82">
        <f>IF(OR(Scale!$X284="",Scale!$X284=0),"",Scale!$Y284)</f>
        <v/>
      </c>
      <c r="M1107" s="82">
        <f>IF(OR(Scale!$X284="",Scale!$X284=0),"",Scale!$Z284)</f>
        <v/>
      </c>
      <c r="N1107" s="81">
        <f>IF(OR(Scale!$X284="",Scale!$X284=0),"","مقابل")</f>
        <v/>
      </c>
      <c r="O1107" s="81">
        <f>IF(OR(Scale!$X284="",Scale!$X284=0),"",IFERROR(VLOOKUP(Scale!$X284,AcctTbl,3,0),""))</f>
        <v/>
      </c>
      <c r="P1107" s="82">
        <f>IF(Scale!$X284&lt;&gt;"X011","","BN02")</f>
        <v/>
      </c>
    </row>
    <row r="1108" ht="20.25" customHeight="1">
      <c r="A1108" s="80">
        <f>IF(OR(Scale!$AA284="",Scale!$AA284=0),"",Scale!$B284)</f>
        <v/>
      </c>
      <c r="B1108" s="80">
        <f>IF(OR(Scale!$AA284="",Scale!$AA284=0),"",Scale!$D284)</f>
        <v/>
      </c>
      <c r="C1108" s="80">
        <f>IF(OR(Scale!$AA284="",Scale!$AA284=0),"","باسکول")</f>
        <v/>
      </c>
      <c r="D1108" s="80">
        <f>IF(OR(Scale!$AA284="",Scale!$AA284=0),"",Scale!$AA284)</f>
        <v/>
      </c>
      <c r="E1108" s="81">
        <f>IF(OR(Scale!$AA284="",Scale!$AA284=0),"",IF(Scale!$AA284="","","پوز باسکول — "&amp;Scale!$E284))</f>
        <v/>
      </c>
      <c r="F1108" s="83" t="n"/>
      <c r="G1108" s="83" t="n"/>
      <c r="H1108" s="83" t="n"/>
      <c r="I1108" s="83" t="n"/>
      <c r="J1108" s="83" t="n"/>
      <c r="K1108" s="82">
        <f>IF(OR(Scale!$AA284="",Scale!$AA284=0),"",IF(Scale!$AB284="",0,Scale!$AB284)+IF(Scale!$AC284="",0,Scale!$AC284))</f>
        <v/>
      </c>
      <c r="L1108" s="82">
        <f>IF(OR(Scale!$AA284="",Scale!$AA284=0),"",Scale!$AB284)</f>
        <v/>
      </c>
      <c r="M1108" s="82">
        <f>IF(OR(Scale!$AA284="",Scale!$AA284=0),"",Scale!$AC284)</f>
        <v/>
      </c>
      <c r="N1108" s="81">
        <f>IF(OR(Scale!$AA284="",Scale!$AA284=0),"","پوز")</f>
        <v/>
      </c>
      <c r="O1108" s="81">
        <f>IF(OR(Scale!$AA284="",Scale!$AA284=0),"",IFERROR(VLOOKUP(Scale!$AA284,AcctTbl,3,0),""))</f>
        <v/>
      </c>
      <c r="P1108" s="82">
        <f>IF(Scale!$AA284&lt;&gt;"X011","","BN02")</f>
        <v/>
      </c>
    </row>
    <row r="1109" ht="20.25" customHeight="1">
      <c r="A1109" s="80">
        <f>IF(OR(Scale!$AD284="",Scale!$AD284=0),"",Scale!$B284)</f>
        <v/>
      </c>
      <c r="B1109" s="80">
        <f>IF(OR(Scale!$AD284="",Scale!$AD284=0),"",Scale!$D284)</f>
        <v/>
      </c>
      <c r="C1109" s="80">
        <f>IF(OR(Scale!$AD284="",Scale!$AD284=0),"","باسکول")</f>
        <v/>
      </c>
      <c r="D1109" s="80">
        <f>IF(OR(Scale!$AD284="",Scale!$AD284=0),"",Scale!$AD284)</f>
        <v/>
      </c>
      <c r="E1109" s="81">
        <f>IF(OR(Scale!$AD284="",Scale!$AD284=0),"",IF(Scale!$AD284="","","مقابل پوز — "&amp;Scale!$E284))</f>
        <v/>
      </c>
      <c r="F1109" s="83" t="n"/>
      <c r="G1109" s="83" t="n"/>
      <c r="H1109" s="83" t="n"/>
      <c r="I1109" s="83" t="n"/>
      <c r="J1109" s="83" t="n"/>
      <c r="K1109" s="82">
        <f>IF(OR(Scale!$AD284="",Scale!$AD284=0),"",IF(Scale!$AE284="",0,Scale!$AE284)+IF(Scale!$AF284="",0,Scale!$AF284))</f>
        <v/>
      </c>
      <c r="L1109" s="82">
        <f>IF(OR(Scale!$AD284="",Scale!$AD284=0),"",Scale!$AE284)</f>
        <v/>
      </c>
      <c r="M1109" s="82">
        <f>IF(OR(Scale!$AD284="",Scale!$AD284=0),"",Scale!$AF284)</f>
        <v/>
      </c>
      <c r="N1109" s="81">
        <f>IF(OR(Scale!$AD284="",Scale!$AD284=0),"","مقابل پوز")</f>
        <v/>
      </c>
      <c r="O1109" s="81">
        <f>IF(OR(Scale!$AD284="",Scale!$AD284=0),"",IFERROR(VLOOKUP(Scale!$AD284,AcctTbl,3,0),""))</f>
        <v/>
      </c>
      <c r="P1109" s="82">
        <f>IF(Scale!$AD284&lt;&gt;"X011","","BN02")</f>
        <v/>
      </c>
    </row>
    <row r="1110" ht="20.25" customHeight="1">
      <c r="A1110" s="80">
        <f>IF(OR(Scale!$U285="",Scale!$U285=0),"",Scale!$B285)</f>
        <v/>
      </c>
      <c r="B1110" s="80">
        <f>IF(OR(Scale!$U285="",Scale!$U285=0),"",Scale!$D285)</f>
        <v/>
      </c>
      <c r="C1110" s="80">
        <f>IF(OR(Scale!$U285="",Scale!$U285=0),"","باسکول")</f>
        <v/>
      </c>
      <c r="D1110" s="80">
        <f>IF(OR(Scale!$U285="",Scale!$U285=0),"",Scale!$U285)</f>
        <v/>
      </c>
      <c r="E1110" s="81">
        <f>IF(OR(Scale!$U285="",Scale!$U285=0),"",Scale!$T285)</f>
        <v/>
      </c>
      <c r="F1110" s="81">
        <f>IF(OR(Scale!$U285="",Scale!$U285=0),"",Scale!$J285)</f>
        <v/>
      </c>
      <c r="G1110" s="82">
        <f>IF(OR(Scale!$U285="",Scale!$U285=0),"",Scale!$M285)</f>
        <v/>
      </c>
      <c r="H1110" s="82">
        <f>IF(OR(Scale!$U285="",Scale!$U285=0),"",Scale!$L285)</f>
        <v/>
      </c>
      <c r="I1110" s="82">
        <f>IF(OR(Scale!$U285="",Scale!$U285=0),"",Scale!$N285)</f>
        <v/>
      </c>
      <c r="J1110" s="82">
        <f>IF(OR(Scale!$U285="",Scale!$U285=0),"",Scale!$O285)</f>
        <v/>
      </c>
      <c r="K1110" s="82">
        <f>IF(OR(Scale!$U285="",Scale!$U285=0),"",IF(Scale!$V285="",0,Scale!$V285)+IF(Scale!$W285="",0,Scale!$W285))</f>
        <v/>
      </c>
      <c r="L1110" s="82">
        <f>IF(OR(Scale!$U285="",Scale!$U285=0),"",Scale!$V285)</f>
        <v/>
      </c>
      <c r="M1110" s="82">
        <f>IF(OR(Scale!$U285="",Scale!$U285=0),"",Scale!$W285)</f>
        <v/>
      </c>
      <c r="N1110" s="81">
        <f>IF(OR(Scale!$U285="",Scale!$U285=0),"",Scale!$E285)</f>
        <v/>
      </c>
      <c r="O1110" s="81">
        <f>IF(OR(Scale!$U285="",Scale!$U285=0),"",IFERROR(VLOOKUP(Scale!$U285,AcctTbl,3,0),""))</f>
        <v/>
      </c>
      <c r="P1110" s="82">
        <f>IF(Scale!$U285&lt;&gt;"X011","","BN02")</f>
        <v/>
      </c>
    </row>
    <row r="1111" ht="20.25" customHeight="1">
      <c r="A1111" s="80">
        <f>IF(OR(Scale!$X285="",Scale!$X285=0),"",Scale!$B285)</f>
        <v/>
      </c>
      <c r="B1111" s="80">
        <f>IF(OR(Scale!$X285="",Scale!$X285=0),"",Scale!$D285)</f>
        <v/>
      </c>
      <c r="C1111" s="80">
        <f>IF(OR(Scale!$X285="",Scale!$X285=0),"","باسکول")</f>
        <v/>
      </c>
      <c r="D1111" s="80">
        <f>IF(OR(Scale!$X285="",Scale!$X285=0),"",Scale!$X285)</f>
        <v/>
      </c>
      <c r="E1111" s="81">
        <f>IF(OR(Scale!$X285="",Scale!$X285=0),"",IF(Scale!$X285="","","مقابل: "&amp;Scale!$E285))</f>
        <v/>
      </c>
      <c r="F1111" s="83" t="n"/>
      <c r="G1111" s="83" t="n"/>
      <c r="H1111" s="83" t="n"/>
      <c r="I1111" s="83" t="n"/>
      <c r="J1111" s="83" t="n"/>
      <c r="K1111" s="82">
        <f>IF(OR(Scale!$X285="",Scale!$X285=0),"",IF(Scale!$Y285="",0,Scale!$Y285)+IF(Scale!$Z285="",0,Scale!$Z285))</f>
        <v/>
      </c>
      <c r="L1111" s="82">
        <f>IF(OR(Scale!$X285="",Scale!$X285=0),"",Scale!$Y285)</f>
        <v/>
      </c>
      <c r="M1111" s="82">
        <f>IF(OR(Scale!$X285="",Scale!$X285=0),"",Scale!$Z285)</f>
        <v/>
      </c>
      <c r="N1111" s="81">
        <f>IF(OR(Scale!$X285="",Scale!$X285=0),"","مقابل")</f>
        <v/>
      </c>
      <c r="O1111" s="81">
        <f>IF(OR(Scale!$X285="",Scale!$X285=0),"",IFERROR(VLOOKUP(Scale!$X285,AcctTbl,3,0),""))</f>
        <v/>
      </c>
      <c r="P1111" s="82">
        <f>IF(Scale!$X285&lt;&gt;"X011","","BN02")</f>
        <v/>
      </c>
    </row>
    <row r="1112" ht="20.25" customHeight="1">
      <c r="A1112" s="80">
        <f>IF(OR(Scale!$AA285="",Scale!$AA285=0),"",Scale!$B285)</f>
        <v/>
      </c>
      <c r="B1112" s="80">
        <f>IF(OR(Scale!$AA285="",Scale!$AA285=0),"",Scale!$D285)</f>
        <v/>
      </c>
      <c r="C1112" s="80">
        <f>IF(OR(Scale!$AA285="",Scale!$AA285=0),"","باسکول")</f>
        <v/>
      </c>
      <c r="D1112" s="80">
        <f>IF(OR(Scale!$AA285="",Scale!$AA285=0),"",Scale!$AA285)</f>
        <v/>
      </c>
      <c r="E1112" s="81">
        <f>IF(OR(Scale!$AA285="",Scale!$AA285=0),"",IF(Scale!$AA285="","","پوز باسکول — "&amp;Scale!$E285))</f>
        <v/>
      </c>
      <c r="F1112" s="83" t="n"/>
      <c r="G1112" s="83" t="n"/>
      <c r="H1112" s="83" t="n"/>
      <c r="I1112" s="83" t="n"/>
      <c r="J1112" s="83" t="n"/>
      <c r="K1112" s="82">
        <f>IF(OR(Scale!$AA285="",Scale!$AA285=0),"",IF(Scale!$AB285="",0,Scale!$AB285)+IF(Scale!$AC285="",0,Scale!$AC285))</f>
        <v/>
      </c>
      <c r="L1112" s="82">
        <f>IF(OR(Scale!$AA285="",Scale!$AA285=0),"",Scale!$AB285)</f>
        <v/>
      </c>
      <c r="M1112" s="82">
        <f>IF(OR(Scale!$AA285="",Scale!$AA285=0),"",Scale!$AC285)</f>
        <v/>
      </c>
      <c r="N1112" s="81">
        <f>IF(OR(Scale!$AA285="",Scale!$AA285=0),"","پوز")</f>
        <v/>
      </c>
      <c r="O1112" s="81">
        <f>IF(OR(Scale!$AA285="",Scale!$AA285=0),"",IFERROR(VLOOKUP(Scale!$AA285,AcctTbl,3,0),""))</f>
        <v/>
      </c>
      <c r="P1112" s="82">
        <f>IF(Scale!$AA285&lt;&gt;"X011","","BN02")</f>
        <v/>
      </c>
    </row>
    <row r="1113" ht="20.25" customHeight="1">
      <c r="A1113" s="80">
        <f>IF(OR(Scale!$AD285="",Scale!$AD285=0),"",Scale!$B285)</f>
        <v/>
      </c>
      <c r="B1113" s="80">
        <f>IF(OR(Scale!$AD285="",Scale!$AD285=0),"",Scale!$D285)</f>
        <v/>
      </c>
      <c r="C1113" s="80">
        <f>IF(OR(Scale!$AD285="",Scale!$AD285=0),"","باسکول")</f>
        <v/>
      </c>
      <c r="D1113" s="80">
        <f>IF(OR(Scale!$AD285="",Scale!$AD285=0),"",Scale!$AD285)</f>
        <v/>
      </c>
      <c r="E1113" s="81">
        <f>IF(OR(Scale!$AD285="",Scale!$AD285=0),"",IF(Scale!$AD285="","","مقابل پوز — "&amp;Scale!$E285))</f>
        <v/>
      </c>
      <c r="F1113" s="83" t="n"/>
      <c r="G1113" s="83" t="n"/>
      <c r="H1113" s="83" t="n"/>
      <c r="I1113" s="83" t="n"/>
      <c r="J1113" s="83" t="n"/>
      <c r="K1113" s="82">
        <f>IF(OR(Scale!$AD285="",Scale!$AD285=0),"",IF(Scale!$AE285="",0,Scale!$AE285)+IF(Scale!$AF285="",0,Scale!$AF285))</f>
        <v/>
      </c>
      <c r="L1113" s="82">
        <f>IF(OR(Scale!$AD285="",Scale!$AD285=0),"",Scale!$AE285)</f>
        <v/>
      </c>
      <c r="M1113" s="82">
        <f>IF(OR(Scale!$AD285="",Scale!$AD285=0),"",Scale!$AF285)</f>
        <v/>
      </c>
      <c r="N1113" s="81">
        <f>IF(OR(Scale!$AD285="",Scale!$AD285=0),"","مقابل پوز")</f>
        <v/>
      </c>
      <c r="O1113" s="81">
        <f>IF(OR(Scale!$AD285="",Scale!$AD285=0),"",IFERROR(VLOOKUP(Scale!$AD285,AcctTbl,3,0),""))</f>
        <v/>
      </c>
      <c r="P1113" s="82">
        <f>IF(Scale!$AD285&lt;&gt;"X011","","BN02")</f>
        <v/>
      </c>
    </row>
    <row r="1114" ht="20.25" customHeight="1">
      <c r="A1114" s="80">
        <f>IF(OR(Scale!$U286="",Scale!$U286=0),"",Scale!$B286)</f>
        <v/>
      </c>
      <c r="B1114" s="80">
        <f>IF(OR(Scale!$U286="",Scale!$U286=0),"",Scale!$D286)</f>
        <v/>
      </c>
      <c r="C1114" s="80">
        <f>IF(OR(Scale!$U286="",Scale!$U286=0),"","باسکول")</f>
        <v/>
      </c>
      <c r="D1114" s="80">
        <f>IF(OR(Scale!$U286="",Scale!$U286=0),"",Scale!$U286)</f>
        <v/>
      </c>
      <c r="E1114" s="81">
        <f>IF(OR(Scale!$U286="",Scale!$U286=0),"",Scale!$T286)</f>
        <v/>
      </c>
      <c r="F1114" s="81">
        <f>IF(OR(Scale!$U286="",Scale!$U286=0),"",Scale!$J286)</f>
        <v/>
      </c>
      <c r="G1114" s="82">
        <f>IF(OR(Scale!$U286="",Scale!$U286=0),"",Scale!$M286)</f>
        <v/>
      </c>
      <c r="H1114" s="82">
        <f>IF(OR(Scale!$U286="",Scale!$U286=0),"",Scale!$L286)</f>
        <v/>
      </c>
      <c r="I1114" s="82">
        <f>IF(OR(Scale!$U286="",Scale!$U286=0),"",Scale!$N286)</f>
        <v/>
      </c>
      <c r="J1114" s="82">
        <f>IF(OR(Scale!$U286="",Scale!$U286=0),"",Scale!$O286)</f>
        <v/>
      </c>
      <c r="K1114" s="82">
        <f>IF(OR(Scale!$U286="",Scale!$U286=0),"",IF(Scale!$V286="",0,Scale!$V286)+IF(Scale!$W286="",0,Scale!$W286))</f>
        <v/>
      </c>
      <c r="L1114" s="82">
        <f>IF(OR(Scale!$U286="",Scale!$U286=0),"",Scale!$V286)</f>
        <v/>
      </c>
      <c r="M1114" s="82">
        <f>IF(OR(Scale!$U286="",Scale!$U286=0),"",Scale!$W286)</f>
        <v/>
      </c>
      <c r="N1114" s="81">
        <f>IF(OR(Scale!$U286="",Scale!$U286=0),"",Scale!$E286)</f>
        <v/>
      </c>
      <c r="O1114" s="81">
        <f>IF(OR(Scale!$U286="",Scale!$U286=0),"",IFERROR(VLOOKUP(Scale!$U286,AcctTbl,3,0),""))</f>
        <v/>
      </c>
      <c r="P1114" s="82">
        <f>IF(Scale!$U286&lt;&gt;"X011","","BN02")</f>
        <v/>
      </c>
    </row>
    <row r="1115" ht="20.25" customHeight="1">
      <c r="A1115" s="80">
        <f>IF(OR(Scale!$X286="",Scale!$X286=0),"",Scale!$B286)</f>
        <v/>
      </c>
      <c r="B1115" s="80">
        <f>IF(OR(Scale!$X286="",Scale!$X286=0),"",Scale!$D286)</f>
        <v/>
      </c>
      <c r="C1115" s="80">
        <f>IF(OR(Scale!$X286="",Scale!$X286=0),"","باسکول")</f>
        <v/>
      </c>
      <c r="D1115" s="80">
        <f>IF(OR(Scale!$X286="",Scale!$X286=0),"",Scale!$X286)</f>
        <v/>
      </c>
      <c r="E1115" s="81">
        <f>IF(OR(Scale!$X286="",Scale!$X286=0),"",IF(Scale!$X286="","","مقابل: "&amp;Scale!$E286))</f>
        <v/>
      </c>
      <c r="F1115" s="83" t="n"/>
      <c r="G1115" s="83" t="n"/>
      <c r="H1115" s="83" t="n"/>
      <c r="I1115" s="83" t="n"/>
      <c r="J1115" s="83" t="n"/>
      <c r="K1115" s="82">
        <f>IF(OR(Scale!$X286="",Scale!$X286=0),"",IF(Scale!$Y286="",0,Scale!$Y286)+IF(Scale!$Z286="",0,Scale!$Z286))</f>
        <v/>
      </c>
      <c r="L1115" s="82">
        <f>IF(OR(Scale!$X286="",Scale!$X286=0),"",Scale!$Y286)</f>
        <v/>
      </c>
      <c r="M1115" s="82">
        <f>IF(OR(Scale!$X286="",Scale!$X286=0),"",Scale!$Z286)</f>
        <v/>
      </c>
      <c r="N1115" s="81">
        <f>IF(OR(Scale!$X286="",Scale!$X286=0),"","مقابل")</f>
        <v/>
      </c>
      <c r="O1115" s="81">
        <f>IF(OR(Scale!$X286="",Scale!$X286=0),"",IFERROR(VLOOKUP(Scale!$X286,AcctTbl,3,0),""))</f>
        <v/>
      </c>
      <c r="P1115" s="82">
        <f>IF(Scale!$X286&lt;&gt;"X011","","BN02")</f>
        <v/>
      </c>
    </row>
    <row r="1116" ht="20.25" customHeight="1">
      <c r="A1116" s="80">
        <f>IF(OR(Scale!$AA286="",Scale!$AA286=0),"",Scale!$B286)</f>
        <v/>
      </c>
      <c r="B1116" s="80">
        <f>IF(OR(Scale!$AA286="",Scale!$AA286=0),"",Scale!$D286)</f>
        <v/>
      </c>
      <c r="C1116" s="80">
        <f>IF(OR(Scale!$AA286="",Scale!$AA286=0),"","باسکول")</f>
        <v/>
      </c>
      <c r="D1116" s="80">
        <f>IF(OR(Scale!$AA286="",Scale!$AA286=0),"",Scale!$AA286)</f>
        <v/>
      </c>
      <c r="E1116" s="81">
        <f>IF(OR(Scale!$AA286="",Scale!$AA286=0),"",IF(Scale!$AA286="","","پوز باسکول — "&amp;Scale!$E286))</f>
        <v/>
      </c>
      <c r="F1116" s="83" t="n"/>
      <c r="G1116" s="83" t="n"/>
      <c r="H1116" s="83" t="n"/>
      <c r="I1116" s="83" t="n"/>
      <c r="J1116" s="83" t="n"/>
      <c r="K1116" s="82">
        <f>IF(OR(Scale!$AA286="",Scale!$AA286=0),"",IF(Scale!$AB286="",0,Scale!$AB286)+IF(Scale!$AC286="",0,Scale!$AC286))</f>
        <v/>
      </c>
      <c r="L1116" s="82">
        <f>IF(OR(Scale!$AA286="",Scale!$AA286=0),"",Scale!$AB286)</f>
        <v/>
      </c>
      <c r="M1116" s="82">
        <f>IF(OR(Scale!$AA286="",Scale!$AA286=0),"",Scale!$AC286)</f>
        <v/>
      </c>
      <c r="N1116" s="81">
        <f>IF(OR(Scale!$AA286="",Scale!$AA286=0),"","پوز")</f>
        <v/>
      </c>
      <c r="O1116" s="81">
        <f>IF(OR(Scale!$AA286="",Scale!$AA286=0),"",IFERROR(VLOOKUP(Scale!$AA286,AcctTbl,3,0),""))</f>
        <v/>
      </c>
      <c r="P1116" s="82">
        <f>IF(Scale!$AA286&lt;&gt;"X011","","BN02")</f>
        <v/>
      </c>
    </row>
    <row r="1117" ht="20.25" customHeight="1">
      <c r="A1117" s="80">
        <f>IF(OR(Scale!$AD286="",Scale!$AD286=0),"",Scale!$B286)</f>
        <v/>
      </c>
      <c r="B1117" s="80">
        <f>IF(OR(Scale!$AD286="",Scale!$AD286=0),"",Scale!$D286)</f>
        <v/>
      </c>
      <c r="C1117" s="80">
        <f>IF(OR(Scale!$AD286="",Scale!$AD286=0),"","باسکول")</f>
        <v/>
      </c>
      <c r="D1117" s="80">
        <f>IF(OR(Scale!$AD286="",Scale!$AD286=0),"",Scale!$AD286)</f>
        <v/>
      </c>
      <c r="E1117" s="81">
        <f>IF(OR(Scale!$AD286="",Scale!$AD286=0),"",IF(Scale!$AD286="","","مقابل پوز — "&amp;Scale!$E286))</f>
        <v/>
      </c>
      <c r="F1117" s="83" t="n"/>
      <c r="G1117" s="83" t="n"/>
      <c r="H1117" s="83" t="n"/>
      <c r="I1117" s="83" t="n"/>
      <c r="J1117" s="83" t="n"/>
      <c r="K1117" s="82">
        <f>IF(OR(Scale!$AD286="",Scale!$AD286=0),"",IF(Scale!$AE286="",0,Scale!$AE286)+IF(Scale!$AF286="",0,Scale!$AF286))</f>
        <v/>
      </c>
      <c r="L1117" s="82">
        <f>IF(OR(Scale!$AD286="",Scale!$AD286=0),"",Scale!$AE286)</f>
        <v/>
      </c>
      <c r="M1117" s="82">
        <f>IF(OR(Scale!$AD286="",Scale!$AD286=0),"",Scale!$AF286)</f>
        <v/>
      </c>
      <c r="N1117" s="81">
        <f>IF(OR(Scale!$AD286="",Scale!$AD286=0),"","مقابل پوز")</f>
        <v/>
      </c>
      <c r="O1117" s="81">
        <f>IF(OR(Scale!$AD286="",Scale!$AD286=0),"",IFERROR(VLOOKUP(Scale!$AD286,AcctTbl,3,0),""))</f>
        <v/>
      </c>
      <c r="P1117" s="82">
        <f>IF(Scale!$AD286&lt;&gt;"X011","","BN02")</f>
        <v/>
      </c>
    </row>
    <row r="1118" ht="20.25" customHeight="1">
      <c r="A1118" s="80">
        <f>IF(OR(Scale!$U287="",Scale!$U287=0),"",Scale!$B287)</f>
        <v/>
      </c>
      <c r="B1118" s="80">
        <f>IF(OR(Scale!$U287="",Scale!$U287=0),"",Scale!$D287)</f>
        <v/>
      </c>
      <c r="C1118" s="80">
        <f>IF(OR(Scale!$U287="",Scale!$U287=0),"","باسکول")</f>
        <v/>
      </c>
      <c r="D1118" s="80">
        <f>IF(OR(Scale!$U287="",Scale!$U287=0),"",Scale!$U287)</f>
        <v/>
      </c>
      <c r="E1118" s="81">
        <f>IF(OR(Scale!$U287="",Scale!$U287=0),"",Scale!$T287)</f>
        <v/>
      </c>
      <c r="F1118" s="81">
        <f>IF(OR(Scale!$U287="",Scale!$U287=0),"",Scale!$J287)</f>
        <v/>
      </c>
      <c r="G1118" s="82">
        <f>IF(OR(Scale!$U287="",Scale!$U287=0),"",Scale!$M287)</f>
        <v/>
      </c>
      <c r="H1118" s="82">
        <f>IF(OR(Scale!$U287="",Scale!$U287=0),"",Scale!$L287)</f>
        <v/>
      </c>
      <c r="I1118" s="82">
        <f>IF(OR(Scale!$U287="",Scale!$U287=0),"",Scale!$N287)</f>
        <v/>
      </c>
      <c r="J1118" s="82">
        <f>IF(OR(Scale!$U287="",Scale!$U287=0),"",Scale!$O287)</f>
        <v/>
      </c>
      <c r="K1118" s="82">
        <f>IF(OR(Scale!$U287="",Scale!$U287=0),"",IF(Scale!$V287="",0,Scale!$V287)+IF(Scale!$W287="",0,Scale!$W287))</f>
        <v/>
      </c>
      <c r="L1118" s="82">
        <f>IF(OR(Scale!$U287="",Scale!$U287=0),"",Scale!$V287)</f>
        <v/>
      </c>
      <c r="M1118" s="82">
        <f>IF(OR(Scale!$U287="",Scale!$U287=0),"",Scale!$W287)</f>
        <v/>
      </c>
      <c r="N1118" s="81">
        <f>IF(OR(Scale!$U287="",Scale!$U287=0),"",Scale!$E287)</f>
        <v/>
      </c>
      <c r="O1118" s="81">
        <f>IF(OR(Scale!$U287="",Scale!$U287=0),"",IFERROR(VLOOKUP(Scale!$U287,AcctTbl,3,0),""))</f>
        <v/>
      </c>
      <c r="P1118" s="82">
        <f>IF(Scale!$U287&lt;&gt;"X011","","BN02")</f>
        <v/>
      </c>
    </row>
    <row r="1119" ht="20.25" customHeight="1">
      <c r="A1119" s="80">
        <f>IF(OR(Scale!$X287="",Scale!$X287=0),"",Scale!$B287)</f>
        <v/>
      </c>
      <c r="B1119" s="80">
        <f>IF(OR(Scale!$X287="",Scale!$X287=0),"",Scale!$D287)</f>
        <v/>
      </c>
      <c r="C1119" s="80">
        <f>IF(OR(Scale!$X287="",Scale!$X287=0),"","باسکول")</f>
        <v/>
      </c>
      <c r="D1119" s="80">
        <f>IF(OR(Scale!$X287="",Scale!$X287=0),"",Scale!$X287)</f>
        <v/>
      </c>
      <c r="E1119" s="81">
        <f>IF(OR(Scale!$X287="",Scale!$X287=0),"",IF(Scale!$X287="","","مقابل: "&amp;Scale!$E287))</f>
        <v/>
      </c>
      <c r="F1119" s="83" t="n"/>
      <c r="G1119" s="83" t="n"/>
      <c r="H1119" s="83" t="n"/>
      <c r="I1119" s="83" t="n"/>
      <c r="J1119" s="83" t="n"/>
      <c r="K1119" s="82">
        <f>IF(OR(Scale!$X287="",Scale!$X287=0),"",IF(Scale!$Y287="",0,Scale!$Y287)+IF(Scale!$Z287="",0,Scale!$Z287))</f>
        <v/>
      </c>
      <c r="L1119" s="82">
        <f>IF(OR(Scale!$X287="",Scale!$X287=0),"",Scale!$Y287)</f>
        <v/>
      </c>
      <c r="M1119" s="82">
        <f>IF(OR(Scale!$X287="",Scale!$X287=0),"",Scale!$Z287)</f>
        <v/>
      </c>
      <c r="N1119" s="81">
        <f>IF(OR(Scale!$X287="",Scale!$X287=0),"","مقابل")</f>
        <v/>
      </c>
      <c r="O1119" s="81">
        <f>IF(OR(Scale!$X287="",Scale!$X287=0),"",IFERROR(VLOOKUP(Scale!$X287,AcctTbl,3,0),""))</f>
        <v/>
      </c>
      <c r="P1119" s="82">
        <f>IF(Scale!$X287&lt;&gt;"X011","","BN02")</f>
        <v/>
      </c>
    </row>
    <row r="1120" ht="20.25" customHeight="1">
      <c r="A1120" s="80">
        <f>IF(OR(Scale!$AA287="",Scale!$AA287=0),"",Scale!$B287)</f>
        <v/>
      </c>
      <c r="B1120" s="80">
        <f>IF(OR(Scale!$AA287="",Scale!$AA287=0),"",Scale!$D287)</f>
        <v/>
      </c>
      <c r="C1120" s="80">
        <f>IF(OR(Scale!$AA287="",Scale!$AA287=0),"","باسکول")</f>
        <v/>
      </c>
      <c r="D1120" s="80">
        <f>IF(OR(Scale!$AA287="",Scale!$AA287=0),"",Scale!$AA287)</f>
        <v/>
      </c>
      <c r="E1120" s="81">
        <f>IF(OR(Scale!$AA287="",Scale!$AA287=0),"",IF(Scale!$AA287="","","پوز باسکول — "&amp;Scale!$E287))</f>
        <v/>
      </c>
      <c r="F1120" s="83" t="n"/>
      <c r="G1120" s="83" t="n"/>
      <c r="H1120" s="83" t="n"/>
      <c r="I1120" s="83" t="n"/>
      <c r="J1120" s="83" t="n"/>
      <c r="K1120" s="82">
        <f>IF(OR(Scale!$AA287="",Scale!$AA287=0),"",IF(Scale!$AB287="",0,Scale!$AB287)+IF(Scale!$AC287="",0,Scale!$AC287))</f>
        <v/>
      </c>
      <c r="L1120" s="82">
        <f>IF(OR(Scale!$AA287="",Scale!$AA287=0),"",Scale!$AB287)</f>
        <v/>
      </c>
      <c r="M1120" s="82">
        <f>IF(OR(Scale!$AA287="",Scale!$AA287=0),"",Scale!$AC287)</f>
        <v/>
      </c>
      <c r="N1120" s="81">
        <f>IF(OR(Scale!$AA287="",Scale!$AA287=0),"","پوز")</f>
        <v/>
      </c>
      <c r="O1120" s="81">
        <f>IF(OR(Scale!$AA287="",Scale!$AA287=0),"",IFERROR(VLOOKUP(Scale!$AA287,AcctTbl,3,0),""))</f>
        <v/>
      </c>
      <c r="P1120" s="82">
        <f>IF(Scale!$AA287&lt;&gt;"X011","","BN02")</f>
        <v/>
      </c>
    </row>
    <row r="1121" ht="20.25" customHeight="1">
      <c r="A1121" s="80">
        <f>IF(OR(Scale!$AD287="",Scale!$AD287=0),"",Scale!$B287)</f>
        <v/>
      </c>
      <c r="B1121" s="80">
        <f>IF(OR(Scale!$AD287="",Scale!$AD287=0),"",Scale!$D287)</f>
        <v/>
      </c>
      <c r="C1121" s="80">
        <f>IF(OR(Scale!$AD287="",Scale!$AD287=0),"","باسکول")</f>
        <v/>
      </c>
      <c r="D1121" s="80">
        <f>IF(OR(Scale!$AD287="",Scale!$AD287=0),"",Scale!$AD287)</f>
        <v/>
      </c>
      <c r="E1121" s="81">
        <f>IF(OR(Scale!$AD287="",Scale!$AD287=0),"",IF(Scale!$AD287="","","مقابل پوز — "&amp;Scale!$E287))</f>
        <v/>
      </c>
      <c r="F1121" s="83" t="n"/>
      <c r="G1121" s="83" t="n"/>
      <c r="H1121" s="83" t="n"/>
      <c r="I1121" s="83" t="n"/>
      <c r="J1121" s="83" t="n"/>
      <c r="K1121" s="82">
        <f>IF(OR(Scale!$AD287="",Scale!$AD287=0),"",IF(Scale!$AE287="",0,Scale!$AE287)+IF(Scale!$AF287="",0,Scale!$AF287))</f>
        <v/>
      </c>
      <c r="L1121" s="82">
        <f>IF(OR(Scale!$AD287="",Scale!$AD287=0),"",Scale!$AE287)</f>
        <v/>
      </c>
      <c r="M1121" s="82">
        <f>IF(OR(Scale!$AD287="",Scale!$AD287=0),"",Scale!$AF287)</f>
        <v/>
      </c>
      <c r="N1121" s="81">
        <f>IF(OR(Scale!$AD287="",Scale!$AD287=0),"","مقابل پوز")</f>
        <v/>
      </c>
      <c r="O1121" s="81">
        <f>IF(OR(Scale!$AD287="",Scale!$AD287=0),"",IFERROR(VLOOKUP(Scale!$AD287,AcctTbl,3,0),""))</f>
        <v/>
      </c>
      <c r="P1121" s="82">
        <f>IF(Scale!$AD287&lt;&gt;"X011","","BN02")</f>
        <v/>
      </c>
    </row>
    <row r="1122" ht="20.25" customHeight="1">
      <c r="A1122" s="80">
        <f>IF(OR(Scale!$U288="",Scale!$U288=0),"",Scale!$B288)</f>
        <v/>
      </c>
      <c r="B1122" s="80">
        <f>IF(OR(Scale!$U288="",Scale!$U288=0),"",Scale!$D288)</f>
        <v/>
      </c>
      <c r="C1122" s="80">
        <f>IF(OR(Scale!$U288="",Scale!$U288=0),"","باسکول")</f>
        <v/>
      </c>
      <c r="D1122" s="80">
        <f>IF(OR(Scale!$U288="",Scale!$U288=0),"",Scale!$U288)</f>
        <v/>
      </c>
      <c r="E1122" s="81">
        <f>IF(OR(Scale!$U288="",Scale!$U288=0),"",Scale!$T288)</f>
        <v/>
      </c>
      <c r="F1122" s="81">
        <f>IF(OR(Scale!$U288="",Scale!$U288=0),"",Scale!$J288)</f>
        <v/>
      </c>
      <c r="G1122" s="82">
        <f>IF(OR(Scale!$U288="",Scale!$U288=0),"",Scale!$M288)</f>
        <v/>
      </c>
      <c r="H1122" s="82">
        <f>IF(OR(Scale!$U288="",Scale!$U288=0),"",Scale!$L288)</f>
        <v/>
      </c>
      <c r="I1122" s="82">
        <f>IF(OR(Scale!$U288="",Scale!$U288=0),"",Scale!$N288)</f>
        <v/>
      </c>
      <c r="J1122" s="82">
        <f>IF(OR(Scale!$U288="",Scale!$U288=0),"",Scale!$O288)</f>
        <v/>
      </c>
      <c r="K1122" s="82">
        <f>IF(OR(Scale!$U288="",Scale!$U288=0),"",IF(Scale!$V288="",0,Scale!$V288)+IF(Scale!$W288="",0,Scale!$W288))</f>
        <v/>
      </c>
      <c r="L1122" s="82">
        <f>IF(OR(Scale!$U288="",Scale!$U288=0),"",Scale!$V288)</f>
        <v/>
      </c>
      <c r="M1122" s="82">
        <f>IF(OR(Scale!$U288="",Scale!$U288=0),"",Scale!$W288)</f>
        <v/>
      </c>
      <c r="N1122" s="81">
        <f>IF(OR(Scale!$U288="",Scale!$U288=0),"",Scale!$E288)</f>
        <v/>
      </c>
      <c r="O1122" s="81">
        <f>IF(OR(Scale!$U288="",Scale!$U288=0),"",IFERROR(VLOOKUP(Scale!$U288,AcctTbl,3,0),""))</f>
        <v/>
      </c>
      <c r="P1122" s="82">
        <f>IF(Scale!$U288&lt;&gt;"X011","","BN02")</f>
        <v/>
      </c>
    </row>
    <row r="1123" ht="20.25" customHeight="1">
      <c r="A1123" s="80">
        <f>IF(OR(Scale!$X288="",Scale!$X288=0),"",Scale!$B288)</f>
        <v/>
      </c>
      <c r="B1123" s="80">
        <f>IF(OR(Scale!$X288="",Scale!$X288=0),"",Scale!$D288)</f>
        <v/>
      </c>
      <c r="C1123" s="80">
        <f>IF(OR(Scale!$X288="",Scale!$X288=0),"","باسکول")</f>
        <v/>
      </c>
      <c r="D1123" s="80">
        <f>IF(OR(Scale!$X288="",Scale!$X288=0),"",Scale!$X288)</f>
        <v/>
      </c>
      <c r="E1123" s="81">
        <f>IF(OR(Scale!$X288="",Scale!$X288=0),"",IF(Scale!$X288="","","مقابل: "&amp;Scale!$E288))</f>
        <v/>
      </c>
      <c r="F1123" s="83" t="n"/>
      <c r="G1123" s="83" t="n"/>
      <c r="H1123" s="83" t="n"/>
      <c r="I1123" s="83" t="n"/>
      <c r="J1123" s="83" t="n"/>
      <c r="K1123" s="82">
        <f>IF(OR(Scale!$X288="",Scale!$X288=0),"",IF(Scale!$Y288="",0,Scale!$Y288)+IF(Scale!$Z288="",0,Scale!$Z288))</f>
        <v/>
      </c>
      <c r="L1123" s="82">
        <f>IF(OR(Scale!$X288="",Scale!$X288=0),"",Scale!$Y288)</f>
        <v/>
      </c>
      <c r="M1123" s="82">
        <f>IF(OR(Scale!$X288="",Scale!$X288=0),"",Scale!$Z288)</f>
        <v/>
      </c>
      <c r="N1123" s="81">
        <f>IF(OR(Scale!$X288="",Scale!$X288=0),"","مقابل")</f>
        <v/>
      </c>
      <c r="O1123" s="81">
        <f>IF(OR(Scale!$X288="",Scale!$X288=0),"",IFERROR(VLOOKUP(Scale!$X288,AcctTbl,3,0),""))</f>
        <v/>
      </c>
      <c r="P1123" s="82">
        <f>IF(Scale!$X288&lt;&gt;"X011","","BN02")</f>
        <v/>
      </c>
    </row>
    <row r="1124" ht="20.25" customHeight="1">
      <c r="A1124" s="80">
        <f>IF(OR(Scale!$AA288="",Scale!$AA288=0),"",Scale!$B288)</f>
        <v/>
      </c>
      <c r="B1124" s="80">
        <f>IF(OR(Scale!$AA288="",Scale!$AA288=0),"",Scale!$D288)</f>
        <v/>
      </c>
      <c r="C1124" s="80">
        <f>IF(OR(Scale!$AA288="",Scale!$AA288=0),"","باسکول")</f>
        <v/>
      </c>
      <c r="D1124" s="80">
        <f>IF(OR(Scale!$AA288="",Scale!$AA288=0),"",Scale!$AA288)</f>
        <v/>
      </c>
      <c r="E1124" s="81">
        <f>IF(OR(Scale!$AA288="",Scale!$AA288=0),"",IF(Scale!$AA288="","","پوز باسکول — "&amp;Scale!$E288))</f>
        <v/>
      </c>
      <c r="F1124" s="83" t="n"/>
      <c r="G1124" s="83" t="n"/>
      <c r="H1124" s="83" t="n"/>
      <c r="I1124" s="83" t="n"/>
      <c r="J1124" s="83" t="n"/>
      <c r="K1124" s="82">
        <f>IF(OR(Scale!$AA288="",Scale!$AA288=0),"",IF(Scale!$AB288="",0,Scale!$AB288)+IF(Scale!$AC288="",0,Scale!$AC288))</f>
        <v/>
      </c>
      <c r="L1124" s="82">
        <f>IF(OR(Scale!$AA288="",Scale!$AA288=0),"",Scale!$AB288)</f>
        <v/>
      </c>
      <c r="M1124" s="82">
        <f>IF(OR(Scale!$AA288="",Scale!$AA288=0),"",Scale!$AC288)</f>
        <v/>
      </c>
      <c r="N1124" s="81">
        <f>IF(OR(Scale!$AA288="",Scale!$AA288=0),"","پوز")</f>
        <v/>
      </c>
      <c r="O1124" s="81">
        <f>IF(OR(Scale!$AA288="",Scale!$AA288=0),"",IFERROR(VLOOKUP(Scale!$AA288,AcctTbl,3,0),""))</f>
        <v/>
      </c>
      <c r="P1124" s="82">
        <f>IF(Scale!$AA288&lt;&gt;"X011","","BN02")</f>
        <v/>
      </c>
    </row>
    <row r="1125" ht="20.25" customHeight="1">
      <c r="A1125" s="80">
        <f>IF(OR(Scale!$AD288="",Scale!$AD288=0),"",Scale!$B288)</f>
        <v/>
      </c>
      <c r="B1125" s="80">
        <f>IF(OR(Scale!$AD288="",Scale!$AD288=0),"",Scale!$D288)</f>
        <v/>
      </c>
      <c r="C1125" s="80">
        <f>IF(OR(Scale!$AD288="",Scale!$AD288=0),"","باسکول")</f>
        <v/>
      </c>
      <c r="D1125" s="80">
        <f>IF(OR(Scale!$AD288="",Scale!$AD288=0),"",Scale!$AD288)</f>
        <v/>
      </c>
      <c r="E1125" s="81">
        <f>IF(OR(Scale!$AD288="",Scale!$AD288=0),"",IF(Scale!$AD288="","","مقابل پوز — "&amp;Scale!$E288))</f>
        <v/>
      </c>
      <c r="F1125" s="83" t="n"/>
      <c r="G1125" s="83" t="n"/>
      <c r="H1125" s="83" t="n"/>
      <c r="I1125" s="83" t="n"/>
      <c r="J1125" s="83" t="n"/>
      <c r="K1125" s="82">
        <f>IF(OR(Scale!$AD288="",Scale!$AD288=0),"",IF(Scale!$AE288="",0,Scale!$AE288)+IF(Scale!$AF288="",0,Scale!$AF288))</f>
        <v/>
      </c>
      <c r="L1125" s="82">
        <f>IF(OR(Scale!$AD288="",Scale!$AD288=0),"",Scale!$AE288)</f>
        <v/>
      </c>
      <c r="M1125" s="82">
        <f>IF(OR(Scale!$AD288="",Scale!$AD288=0),"",Scale!$AF288)</f>
        <v/>
      </c>
      <c r="N1125" s="81">
        <f>IF(OR(Scale!$AD288="",Scale!$AD288=0),"","مقابل پوز")</f>
        <v/>
      </c>
      <c r="O1125" s="81">
        <f>IF(OR(Scale!$AD288="",Scale!$AD288=0),"",IFERROR(VLOOKUP(Scale!$AD288,AcctTbl,3,0),""))</f>
        <v/>
      </c>
      <c r="P1125" s="82">
        <f>IF(Scale!$AD288&lt;&gt;"X011","","BN02")</f>
        <v/>
      </c>
    </row>
    <row r="1126" ht="20.25" customHeight="1">
      <c r="A1126" s="80">
        <f>IF(OR(Scale!$U289="",Scale!$U289=0),"",Scale!$B289)</f>
        <v/>
      </c>
      <c r="B1126" s="80">
        <f>IF(OR(Scale!$U289="",Scale!$U289=0),"",Scale!$D289)</f>
        <v/>
      </c>
      <c r="C1126" s="80">
        <f>IF(OR(Scale!$U289="",Scale!$U289=0),"","باسکول")</f>
        <v/>
      </c>
      <c r="D1126" s="80">
        <f>IF(OR(Scale!$U289="",Scale!$U289=0),"",Scale!$U289)</f>
        <v/>
      </c>
      <c r="E1126" s="81">
        <f>IF(OR(Scale!$U289="",Scale!$U289=0),"",Scale!$T289)</f>
        <v/>
      </c>
      <c r="F1126" s="81">
        <f>IF(OR(Scale!$U289="",Scale!$U289=0),"",Scale!$J289)</f>
        <v/>
      </c>
      <c r="G1126" s="82">
        <f>IF(OR(Scale!$U289="",Scale!$U289=0),"",Scale!$M289)</f>
        <v/>
      </c>
      <c r="H1126" s="82">
        <f>IF(OR(Scale!$U289="",Scale!$U289=0),"",Scale!$L289)</f>
        <v/>
      </c>
      <c r="I1126" s="82">
        <f>IF(OR(Scale!$U289="",Scale!$U289=0),"",Scale!$N289)</f>
        <v/>
      </c>
      <c r="J1126" s="82">
        <f>IF(OR(Scale!$U289="",Scale!$U289=0),"",Scale!$O289)</f>
        <v/>
      </c>
      <c r="K1126" s="82">
        <f>IF(OR(Scale!$U289="",Scale!$U289=0),"",IF(Scale!$V289="",0,Scale!$V289)+IF(Scale!$W289="",0,Scale!$W289))</f>
        <v/>
      </c>
      <c r="L1126" s="82">
        <f>IF(OR(Scale!$U289="",Scale!$U289=0),"",Scale!$V289)</f>
        <v/>
      </c>
      <c r="M1126" s="82">
        <f>IF(OR(Scale!$U289="",Scale!$U289=0),"",Scale!$W289)</f>
        <v/>
      </c>
      <c r="N1126" s="81">
        <f>IF(OR(Scale!$U289="",Scale!$U289=0),"",Scale!$E289)</f>
        <v/>
      </c>
      <c r="O1126" s="81">
        <f>IF(OR(Scale!$U289="",Scale!$U289=0),"",IFERROR(VLOOKUP(Scale!$U289,AcctTbl,3,0),""))</f>
        <v/>
      </c>
      <c r="P1126" s="82">
        <f>IF(Scale!$U289&lt;&gt;"X011","","BN02")</f>
        <v/>
      </c>
    </row>
    <row r="1127" ht="20.25" customHeight="1">
      <c r="A1127" s="80">
        <f>IF(OR(Scale!$X289="",Scale!$X289=0),"",Scale!$B289)</f>
        <v/>
      </c>
      <c r="B1127" s="80">
        <f>IF(OR(Scale!$X289="",Scale!$X289=0),"",Scale!$D289)</f>
        <v/>
      </c>
      <c r="C1127" s="80">
        <f>IF(OR(Scale!$X289="",Scale!$X289=0),"","باسکول")</f>
        <v/>
      </c>
      <c r="D1127" s="80">
        <f>IF(OR(Scale!$X289="",Scale!$X289=0),"",Scale!$X289)</f>
        <v/>
      </c>
      <c r="E1127" s="81">
        <f>IF(OR(Scale!$X289="",Scale!$X289=0),"",IF(Scale!$X289="","","مقابل: "&amp;Scale!$E289))</f>
        <v/>
      </c>
      <c r="F1127" s="83" t="n"/>
      <c r="G1127" s="83" t="n"/>
      <c r="H1127" s="83" t="n"/>
      <c r="I1127" s="83" t="n"/>
      <c r="J1127" s="83" t="n"/>
      <c r="K1127" s="82">
        <f>IF(OR(Scale!$X289="",Scale!$X289=0),"",IF(Scale!$Y289="",0,Scale!$Y289)+IF(Scale!$Z289="",0,Scale!$Z289))</f>
        <v/>
      </c>
      <c r="L1127" s="82">
        <f>IF(OR(Scale!$X289="",Scale!$X289=0),"",Scale!$Y289)</f>
        <v/>
      </c>
      <c r="M1127" s="82">
        <f>IF(OR(Scale!$X289="",Scale!$X289=0),"",Scale!$Z289)</f>
        <v/>
      </c>
      <c r="N1127" s="81">
        <f>IF(OR(Scale!$X289="",Scale!$X289=0),"","مقابل")</f>
        <v/>
      </c>
      <c r="O1127" s="81">
        <f>IF(OR(Scale!$X289="",Scale!$X289=0),"",IFERROR(VLOOKUP(Scale!$X289,AcctTbl,3,0),""))</f>
        <v/>
      </c>
      <c r="P1127" s="82">
        <f>IF(Scale!$X289&lt;&gt;"X011","","BN02")</f>
        <v/>
      </c>
    </row>
    <row r="1128" ht="20.25" customHeight="1">
      <c r="A1128" s="80">
        <f>IF(OR(Scale!$AA289="",Scale!$AA289=0),"",Scale!$B289)</f>
        <v/>
      </c>
      <c r="B1128" s="80">
        <f>IF(OR(Scale!$AA289="",Scale!$AA289=0),"",Scale!$D289)</f>
        <v/>
      </c>
      <c r="C1128" s="80">
        <f>IF(OR(Scale!$AA289="",Scale!$AA289=0),"","باسکول")</f>
        <v/>
      </c>
      <c r="D1128" s="80">
        <f>IF(OR(Scale!$AA289="",Scale!$AA289=0),"",Scale!$AA289)</f>
        <v/>
      </c>
      <c r="E1128" s="81">
        <f>IF(OR(Scale!$AA289="",Scale!$AA289=0),"",IF(Scale!$AA289="","","پوز باسکول — "&amp;Scale!$E289))</f>
        <v/>
      </c>
      <c r="F1128" s="83" t="n"/>
      <c r="G1128" s="83" t="n"/>
      <c r="H1128" s="83" t="n"/>
      <c r="I1128" s="83" t="n"/>
      <c r="J1128" s="83" t="n"/>
      <c r="K1128" s="82">
        <f>IF(OR(Scale!$AA289="",Scale!$AA289=0),"",IF(Scale!$AB289="",0,Scale!$AB289)+IF(Scale!$AC289="",0,Scale!$AC289))</f>
        <v/>
      </c>
      <c r="L1128" s="82">
        <f>IF(OR(Scale!$AA289="",Scale!$AA289=0),"",Scale!$AB289)</f>
        <v/>
      </c>
      <c r="M1128" s="82">
        <f>IF(OR(Scale!$AA289="",Scale!$AA289=0),"",Scale!$AC289)</f>
        <v/>
      </c>
      <c r="N1128" s="81">
        <f>IF(OR(Scale!$AA289="",Scale!$AA289=0),"","پوز")</f>
        <v/>
      </c>
      <c r="O1128" s="81">
        <f>IF(OR(Scale!$AA289="",Scale!$AA289=0),"",IFERROR(VLOOKUP(Scale!$AA289,AcctTbl,3,0),""))</f>
        <v/>
      </c>
      <c r="P1128" s="82">
        <f>IF(Scale!$AA289&lt;&gt;"X011","","BN02")</f>
        <v/>
      </c>
    </row>
    <row r="1129" ht="20.25" customHeight="1">
      <c r="A1129" s="80">
        <f>IF(OR(Scale!$AD289="",Scale!$AD289=0),"",Scale!$B289)</f>
        <v/>
      </c>
      <c r="B1129" s="80">
        <f>IF(OR(Scale!$AD289="",Scale!$AD289=0),"",Scale!$D289)</f>
        <v/>
      </c>
      <c r="C1129" s="80">
        <f>IF(OR(Scale!$AD289="",Scale!$AD289=0),"","باسکول")</f>
        <v/>
      </c>
      <c r="D1129" s="80">
        <f>IF(OR(Scale!$AD289="",Scale!$AD289=0),"",Scale!$AD289)</f>
        <v/>
      </c>
      <c r="E1129" s="81">
        <f>IF(OR(Scale!$AD289="",Scale!$AD289=0),"",IF(Scale!$AD289="","","مقابل پوز — "&amp;Scale!$E289))</f>
        <v/>
      </c>
      <c r="F1129" s="83" t="n"/>
      <c r="G1129" s="83" t="n"/>
      <c r="H1129" s="83" t="n"/>
      <c r="I1129" s="83" t="n"/>
      <c r="J1129" s="83" t="n"/>
      <c r="K1129" s="82">
        <f>IF(OR(Scale!$AD289="",Scale!$AD289=0),"",IF(Scale!$AE289="",0,Scale!$AE289)+IF(Scale!$AF289="",0,Scale!$AF289))</f>
        <v/>
      </c>
      <c r="L1129" s="82">
        <f>IF(OR(Scale!$AD289="",Scale!$AD289=0),"",Scale!$AE289)</f>
        <v/>
      </c>
      <c r="M1129" s="82">
        <f>IF(OR(Scale!$AD289="",Scale!$AD289=0),"",Scale!$AF289)</f>
        <v/>
      </c>
      <c r="N1129" s="81">
        <f>IF(OR(Scale!$AD289="",Scale!$AD289=0),"","مقابل پوز")</f>
        <v/>
      </c>
      <c r="O1129" s="81">
        <f>IF(OR(Scale!$AD289="",Scale!$AD289=0),"",IFERROR(VLOOKUP(Scale!$AD289,AcctTbl,3,0),""))</f>
        <v/>
      </c>
      <c r="P1129" s="82">
        <f>IF(Scale!$AD289&lt;&gt;"X011","","BN02")</f>
        <v/>
      </c>
    </row>
    <row r="1130" ht="20.25" customHeight="1">
      <c r="A1130" s="80">
        <f>IF(OR(Scale!$U290="",Scale!$U290=0),"",Scale!$B290)</f>
        <v/>
      </c>
      <c r="B1130" s="80">
        <f>IF(OR(Scale!$U290="",Scale!$U290=0),"",Scale!$D290)</f>
        <v/>
      </c>
      <c r="C1130" s="80">
        <f>IF(OR(Scale!$U290="",Scale!$U290=0),"","باسکول")</f>
        <v/>
      </c>
      <c r="D1130" s="80">
        <f>IF(OR(Scale!$U290="",Scale!$U290=0),"",Scale!$U290)</f>
        <v/>
      </c>
      <c r="E1130" s="81">
        <f>IF(OR(Scale!$U290="",Scale!$U290=0),"",Scale!$T290)</f>
        <v/>
      </c>
      <c r="F1130" s="81">
        <f>IF(OR(Scale!$U290="",Scale!$U290=0),"",Scale!$J290)</f>
        <v/>
      </c>
      <c r="G1130" s="82">
        <f>IF(OR(Scale!$U290="",Scale!$U290=0),"",Scale!$M290)</f>
        <v/>
      </c>
      <c r="H1130" s="82">
        <f>IF(OR(Scale!$U290="",Scale!$U290=0),"",Scale!$L290)</f>
        <v/>
      </c>
      <c r="I1130" s="82">
        <f>IF(OR(Scale!$U290="",Scale!$U290=0),"",Scale!$N290)</f>
        <v/>
      </c>
      <c r="J1130" s="82">
        <f>IF(OR(Scale!$U290="",Scale!$U290=0),"",Scale!$O290)</f>
        <v/>
      </c>
      <c r="K1130" s="82">
        <f>IF(OR(Scale!$U290="",Scale!$U290=0),"",IF(Scale!$V290="",0,Scale!$V290)+IF(Scale!$W290="",0,Scale!$W290))</f>
        <v/>
      </c>
      <c r="L1130" s="82">
        <f>IF(OR(Scale!$U290="",Scale!$U290=0),"",Scale!$V290)</f>
        <v/>
      </c>
      <c r="M1130" s="82">
        <f>IF(OR(Scale!$U290="",Scale!$U290=0),"",Scale!$W290)</f>
        <v/>
      </c>
      <c r="N1130" s="81">
        <f>IF(OR(Scale!$U290="",Scale!$U290=0),"",Scale!$E290)</f>
        <v/>
      </c>
      <c r="O1130" s="81">
        <f>IF(OR(Scale!$U290="",Scale!$U290=0),"",IFERROR(VLOOKUP(Scale!$U290,AcctTbl,3,0),""))</f>
        <v/>
      </c>
      <c r="P1130" s="82">
        <f>IF(Scale!$U290&lt;&gt;"X011","","BN02")</f>
        <v/>
      </c>
    </row>
    <row r="1131" ht="20.25" customHeight="1">
      <c r="A1131" s="80">
        <f>IF(OR(Scale!$X290="",Scale!$X290=0),"",Scale!$B290)</f>
        <v/>
      </c>
      <c r="B1131" s="80">
        <f>IF(OR(Scale!$X290="",Scale!$X290=0),"",Scale!$D290)</f>
        <v/>
      </c>
      <c r="C1131" s="80">
        <f>IF(OR(Scale!$X290="",Scale!$X290=0),"","باسکول")</f>
        <v/>
      </c>
      <c r="D1131" s="80">
        <f>IF(OR(Scale!$X290="",Scale!$X290=0),"",Scale!$X290)</f>
        <v/>
      </c>
      <c r="E1131" s="81">
        <f>IF(OR(Scale!$X290="",Scale!$X290=0),"",IF(Scale!$X290="","","مقابل: "&amp;Scale!$E290))</f>
        <v/>
      </c>
      <c r="F1131" s="83" t="n"/>
      <c r="G1131" s="83" t="n"/>
      <c r="H1131" s="83" t="n"/>
      <c r="I1131" s="83" t="n"/>
      <c r="J1131" s="83" t="n"/>
      <c r="K1131" s="82">
        <f>IF(OR(Scale!$X290="",Scale!$X290=0),"",IF(Scale!$Y290="",0,Scale!$Y290)+IF(Scale!$Z290="",0,Scale!$Z290))</f>
        <v/>
      </c>
      <c r="L1131" s="82">
        <f>IF(OR(Scale!$X290="",Scale!$X290=0),"",Scale!$Y290)</f>
        <v/>
      </c>
      <c r="M1131" s="82">
        <f>IF(OR(Scale!$X290="",Scale!$X290=0),"",Scale!$Z290)</f>
        <v/>
      </c>
      <c r="N1131" s="81">
        <f>IF(OR(Scale!$X290="",Scale!$X290=0),"","مقابل")</f>
        <v/>
      </c>
      <c r="O1131" s="81">
        <f>IF(OR(Scale!$X290="",Scale!$X290=0),"",IFERROR(VLOOKUP(Scale!$X290,AcctTbl,3,0),""))</f>
        <v/>
      </c>
      <c r="P1131" s="82">
        <f>IF(Scale!$X290&lt;&gt;"X011","","BN02")</f>
        <v/>
      </c>
    </row>
    <row r="1132" ht="20.25" customHeight="1">
      <c r="A1132" s="80">
        <f>IF(OR(Scale!$AA290="",Scale!$AA290=0),"",Scale!$B290)</f>
        <v/>
      </c>
      <c r="B1132" s="80">
        <f>IF(OR(Scale!$AA290="",Scale!$AA290=0),"",Scale!$D290)</f>
        <v/>
      </c>
      <c r="C1132" s="80">
        <f>IF(OR(Scale!$AA290="",Scale!$AA290=0),"","باسکول")</f>
        <v/>
      </c>
      <c r="D1132" s="80">
        <f>IF(OR(Scale!$AA290="",Scale!$AA290=0),"",Scale!$AA290)</f>
        <v/>
      </c>
      <c r="E1132" s="81">
        <f>IF(OR(Scale!$AA290="",Scale!$AA290=0),"",IF(Scale!$AA290="","","پوز باسکول — "&amp;Scale!$E290))</f>
        <v/>
      </c>
      <c r="F1132" s="83" t="n"/>
      <c r="G1132" s="83" t="n"/>
      <c r="H1132" s="83" t="n"/>
      <c r="I1132" s="83" t="n"/>
      <c r="J1132" s="83" t="n"/>
      <c r="K1132" s="82">
        <f>IF(OR(Scale!$AA290="",Scale!$AA290=0),"",IF(Scale!$AB290="",0,Scale!$AB290)+IF(Scale!$AC290="",0,Scale!$AC290))</f>
        <v/>
      </c>
      <c r="L1132" s="82">
        <f>IF(OR(Scale!$AA290="",Scale!$AA290=0),"",Scale!$AB290)</f>
        <v/>
      </c>
      <c r="M1132" s="82">
        <f>IF(OR(Scale!$AA290="",Scale!$AA290=0),"",Scale!$AC290)</f>
        <v/>
      </c>
      <c r="N1132" s="81">
        <f>IF(OR(Scale!$AA290="",Scale!$AA290=0),"","پوز")</f>
        <v/>
      </c>
      <c r="O1132" s="81">
        <f>IF(OR(Scale!$AA290="",Scale!$AA290=0),"",IFERROR(VLOOKUP(Scale!$AA290,AcctTbl,3,0),""))</f>
        <v/>
      </c>
      <c r="P1132" s="82">
        <f>IF(Scale!$AA290&lt;&gt;"X011","","BN02")</f>
        <v/>
      </c>
    </row>
    <row r="1133" ht="20.25" customHeight="1">
      <c r="A1133" s="80">
        <f>IF(OR(Scale!$AD290="",Scale!$AD290=0),"",Scale!$B290)</f>
        <v/>
      </c>
      <c r="B1133" s="80">
        <f>IF(OR(Scale!$AD290="",Scale!$AD290=0),"",Scale!$D290)</f>
        <v/>
      </c>
      <c r="C1133" s="80">
        <f>IF(OR(Scale!$AD290="",Scale!$AD290=0),"","باسکول")</f>
        <v/>
      </c>
      <c r="D1133" s="80">
        <f>IF(OR(Scale!$AD290="",Scale!$AD290=0),"",Scale!$AD290)</f>
        <v/>
      </c>
      <c r="E1133" s="81">
        <f>IF(OR(Scale!$AD290="",Scale!$AD290=0),"",IF(Scale!$AD290="","","مقابل پوز — "&amp;Scale!$E290))</f>
        <v/>
      </c>
      <c r="F1133" s="83" t="n"/>
      <c r="G1133" s="83" t="n"/>
      <c r="H1133" s="83" t="n"/>
      <c r="I1133" s="83" t="n"/>
      <c r="J1133" s="83" t="n"/>
      <c r="K1133" s="82">
        <f>IF(OR(Scale!$AD290="",Scale!$AD290=0),"",IF(Scale!$AE290="",0,Scale!$AE290)+IF(Scale!$AF290="",0,Scale!$AF290))</f>
        <v/>
      </c>
      <c r="L1133" s="82">
        <f>IF(OR(Scale!$AD290="",Scale!$AD290=0),"",Scale!$AE290)</f>
        <v/>
      </c>
      <c r="M1133" s="82">
        <f>IF(OR(Scale!$AD290="",Scale!$AD290=0),"",Scale!$AF290)</f>
        <v/>
      </c>
      <c r="N1133" s="81">
        <f>IF(OR(Scale!$AD290="",Scale!$AD290=0),"","مقابل پوز")</f>
        <v/>
      </c>
      <c r="O1133" s="81">
        <f>IF(OR(Scale!$AD290="",Scale!$AD290=0),"",IFERROR(VLOOKUP(Scale!$AD290,AcctTbl,3,0),""))</f>
        <v/>
      </c>
      <c r="P1133" s="82">
        <f>IF(Scale!$AD290&lt;&gt;"X011","","BN02")</f>
        <v/>
      </c>
    </row>
    <row r="1134" ht="20.25" customHeight="1">
      <c r="A1134" s="80">
        <f>IF(OR(Scale!$U291="",Scale!$U291=0),"",Scale!$B291)</f>
        <v/>
      </c>
      <c r="B1134" s="80">
        <f>IF(OR(Scale!$U291="",Scale!$U291=0),"",Scale!$D291)</f>
        <v/>
      </c>
      <c r="C1134" s="80">
        <f>IF(OR(Scale!$U291="",Scale!$U291=0),"","باسکول")</f>
        <v/>
      </c>
      <c r="D1134" s="80">
        <f>IF(OR(Scale!$U291="",Scale!$U291=0),"",Scale!$U291)</f>
        <v/>
      </c>
      <c r="E1134" s="81">
        <f>IF(OR(Scale!$U291="",Scale!$U291=0),"",Scale!$T291)</f>
        <v/>
      </c>
      <c r="F1134" s="81">
        <f>IF(OR(Scale!$U291="",Scale!$U291=0),"",Scale!$J291)</f>
        <v/>
      </c>
      <c r="G1134" s="82">
        <f>IF(OR(Scale!$U291="",Scale!$U291=0),"",Scale!$M291)</f>
        <v/>
      </c>
      <c r="H1134" s="82">
        <f>IF(OR(Scale!$U291="",Scale!$U291=0),"",Scale!$L291)</f>
        <v/>
      </c>
      <c r="I1134" s="82">
        <f>IF(OR(Scale!$U291="",Scale!$U291=0),"",Scale!$N291)</f>
        <v/>
      </c>
      <c r="J1134" s="82">
        <f>IF(OR(Scale!$U291="",Scale!$U291=0),"",Scale!$O291)</f>
        <v/>
      </c>
      <c r="K1134" s="82">
        <f>IF(OR(Scale!$U291="",Scale!$U291=0),"",IF(Scale!$V291="",0,Scale!$V291)+IF(Scale!$W291="",0,Scale!$W291))</f>
        <v/>
      </c>
      <c r="L1134" s="82">
        <f>IF(OR(Scale!$U291="",Scale!$U291=0),"",Scale!$V291)</f>
        <v/>
      </c>
      <c r="M1134" s="82">
        <f>IF(OR(Scale!$U291="",Scale!$U291=0),"",Scale!$W291)</f>
        <v/>
      </c>
      <c r="N1134" s="81">
        <f>IF(OR(Scale!$U291="",Scale!$U291=0),"",Scale!$E291)</f>
        <v/>
      </c>
      <c r="O1134" s="81">
        <f>IF(OR(Scale!$U291="",Scale!$U291=0),"",IFERROR(VLOOKUP(Scale!$U291,AcctTbl,3,0),""))</f>
        <v/>
      </c>
      <c r="P1134" s="82">
        <f>IF(Scale!$U291&lt;&gt;"X011","","BN02")</f>
        <v/>
      </c>
    </row>
    <row r="1135" ht="20.25" customHeight="1">
      <c r="A1135" s="80">
        <f>IF(OR(Scale!$X291="",Scale!$X291=0),"",Scale!$B291)</f>
        <v/>
      </c>
      <c r="B1135" s="80">
        <f>IF(OR(Scale!$X291="",Scale!$X291=0),"",Scale!$D291)</f>
        <v/>
      </c>
      <c r="C1135" s="80">
        <f>IF(OR(Scale!$X291="",Scale!$X291=0),"","باسکول")</f>
        <v/>
      </c>
      <c r="D1135" s="80">
        <f>IF(OR(Scale!$X291="",Scale!$X291=0),"",Scale!$X291)</f>
        <v/>
      </c>
      <c r="E1135" s="81">
        <f>IF(OR(Scale!$X291="",Scale!$X291=0),"",IF(Scale!$X291="","","مقابل: "&amp;Scale!$E291))</f>
        <v/>
      </c>
      <c r="F1135" s="83" t="n"/>
      <c r="G1135" s="83" t="n"/>
      <c r="H1135" s="83" t="n"/>
      <c r="I1135" s="83" t="n"/>
      <c r="J1135" s="83" t="n"/>
      <c r="K1135" s="82">
        <f>IF(OR(Scale!$X291="",Scale!$X291=0),"",IF(Scale!$Y291="",0,Scale!$Y291)+IF(Scale!$Z291="",0,Scale!$Z291))</f>
        <v/>
      </c>
      <c r="L1135" s="82">
        <f>IF(OR(Scale!$X291="",Scale!$X291=0),"",Scale!$Y291)</f>
        <v/>
      </c>
      <c r="M1135" s="82">
        <f>IF(OR(Scale!$X291="",Scale!$X291=0),"",Scale!$Z291)</f>
        <v/>
      </c>
      <c r="N1135" s="81">
        <f>IF(OR(Scale!$X291="",Scale!$X291=0),"","مقابل")</f>
        <v/>
      </c>
      <c r="O1135" s="81">
        <f>IF(OR(Scale!$X291="",Scale!$X291=0),"",IFERROR(VLOOKUP(Scale!$X291,AcctTbl,3,0),""))</f>
        <v/>
      </c>
      <c r="P1135" s="82">
        <f>IF(Scale!$X291&lt;&gt;"X011","","BN02")</f>
        <v/>
      </c>
    </row>
    <row r="1136" ht="20.25" customHeight="1">
      <c r="A1136" s="80">
        <f>IF(OR(Scale!$AA291="",Scale!$AA291=0),"",Scale!$B291)</f>
        <v/>
      </c>
      <c r="B1136" s="80">
        <f>IF(OR(Scale!$AA291="",Scale!$AA291=0),"",Scale!$D291)</f>
        <v/>
      </c>
      <c r="C1136" s="80">
        <f>IF(OR(Scale!$AA291="",Scale!$AA291=0),"","باسکول")</f>
        <v/>
      </c>
      <c r="D1136" s="80">
        <f>IF(OR(Scale!$AA291="",Scale!$AA291=0),"",Scale!$AA291)</f>
        <v/>
      </c>
      <c r="E1136" s="81">
        <f>IF(OR(Scale!$AA291="",Scale!$AA291=0),"",IF(Scale!$AA291="","","پوز باسکول — "&amp;Scale!$E291))</f>
        <v/>
      </c>
      <c r="F1136" s="83" t="n"/>
      <c r="G1136" s="83" t="n"/>
      <c r="H1136" s="83" t="n"/>
      <c r="I1136" s="83" t="n"/>
      <c r="J1136" s="83" t="n"/>
      <c r="K1136" s="82">
        <f>IF(OR(Scale!$AA291="",Scale!$AA291=0),"",IF(Scale!$AB291="",0,Scale!$AB291)+IF(Scale!$AC291="",0,Scale!$AC291))</f>
        <v/>
      </c>
      <c r="L1136" s="82">
        <f>IF(OR(Scale!$AA291="",Scale!$AA291=0),"",Scale!$AB291)</f>
        <v/>
      </c>
      <c r="M1136" s="82">
        <f>IF(OR(Scale!$AA291="",Scale!$AA291=0),"",Scale!$AC291)</f>
        <v/>
      </c>
      <c r="N1136" s="81">
        <f>IF(OR(Scale!$AA291="",Scale!$AA291=0),"","پوز")</f>
        <v/>
      </c>
      <c r="O1136" s="81">
        <f>IF(OR(Scale!$AA291="",Scale!$AA291=0),"",IFERROR(VLOOKUP(Scale!$AA291,AcctTbl,3,0),""))</f>
        <v/>
      </c>
      <c r="P1136" s="82">
        <f>IF(Scale!$AA291&lt;&gt;"X011","","BN02")</f>
        <v/>
      </c>
    </row>
    <row r="1137" ht="20.25" customHeight="1">
      <c r="A1137" s="80">
        <f>IF(OR(Scale!$AD291="",Scale!$AD291=0),"",Scale!$B291)</f>
        <v/>
      </c>
      <c r="B1137" s="80">
        <f>IF(OR(Scale!$AD291="",Scale!$AD291=0),"",Scale!$D291)</f>
        <v/>
      </c>
      <c r="C1137" s="80">
        <f>IF(OR(Scale!$AD291="",Scale!$AD291=0),"","باسکول")</f>
        <v/>
      </c>
      <c r="D1137" s="80">
        <f>IF(OR(Scale!$AD291="",Scale!$AD291=0),"",Scale!$AD291)</f>
        <v/>
      </c>
      <c r="E1137" s="81">
        <f>IF(OR(Scale!$AD291="",Scale!$AD291=0),"",IF(Scale!$AD291="","","مقابل پوز — "&amp;Scale!$E291))</f>
        <v/>
      </c>
      <c r="F1137" s="83" t="n"/>
      <c r="G1137" s="83" t="n"/>
      <c r="H1137" s="83" t="n"/>
      <c r="I1137" s="83" t="n"/>
      <c r="J1137" s="83" t="n"/>
      <c r="K1137" s="82">
        <f>IF(OR(Scale!$AD291="",Scale!$AD291=0),"",IF(Scale!$AE291="",0,Scale!$AE291)+IF(Scale!$AF291="",0,Scale!$AF291))</f>
        <v/>
      </c>
      <c r="L1137" s="82">
        <f>IF(OR(Scale!$AD291="",Scale!$AD291=0),"",Scale!$AE291)</f>
        <v/>
      </c>
      <c r="M1137" s="82">
        <f>IF(OR(Scale!$AD291="",Scale!$AD291=0),"",Scale!$AF291)</f>
        <v/>
      </c>
      <c r="N1137" s="81">
        <f>IF(OR(Scale!$AD291="",Scale!$AD291=0),"","مقابل پوز")</f>
        <v/>
      </c>
      <c r="O1137" s="81">
        <f>IF(OR(Scale!$AD291="",Scale!$AD291=0),"",IFERROR(VLOOKUP(Scale!$AD291,AcctTbl,3,0),""))</f>
        <v/>
      </c>
      <c r="P1137" s="82">
        <f>IF(Scale!$AD291&lt;&gt;"X011","","BN02")</f>
        <v/>
      </c>
    </row>
    <row r="1138" ht="20.25" customHeight="1">
      <c r="A1138" s="80">
        <f>IF(OR(Scale!$U292="",Scale!$U292=0),"",Scale!$B292)</f>
        <v/>
      </c>
      <c r="B1138" s="80">
        <f>IF(OR(Scale!$U292="",Scale!$U292=0),"",Scale!$D292)</f>
        <v/>
      </c>
      <c r="C1138" s="80">
        <f>IF(OR(Scale!$U292="",Scale!$U292=0),"","باسکول")</f>
        <v/>
      </c>
      <c r="D1138" s="80">
        <f>IF(OR(Scale!$U292="",Scale!$U292=0),"",Scale!$U292)</f>
        <v/>
      </c>
      <c r="E1138" s="81">
        <f>IF(OR(Scale!$U292="",Scale!$U292=0),"",Scale!$T292)</f>
        <v/>
      </c>
      <c r="F1138" s="81">
        <f>IF(OR(Scale!$U292="",Scale!$U292=0),"",Scale!$J292)</f>
        <v/>
      </c>
      <c r="G1138" s="82">
        <f>IF(OR(Scale!$U292="",Scale!$U292=0),"",Scale!$M292)</f>
        <v/>
      </c>
      <c r="H1138" s="82">
        <f>IF(OR(Scale!$U292="",Scale!$U292=0),"",Scale!$L292)</f>
        <v/>
      </c>
      <c r="I1138" s="82">
        <f>IF(OR(Scale!$U292="",Scale!$U292=0),"",Scale!$N292)</f>
        <v/>
      </c>
      <c r="J1138" s="82">
        <f>IF(OR(Scale!$U292="",Scale!$U292=0),"",Scale!$O292)</f>
        <v/>
      </c>
      <c r="K1138" s="82">
        <f>IF(OR(Scale!$U292="",Scale!$U292=0),"",IF(Scale!$V292="",0,Scale!$V292)+IF(Scale!$W292="",0,Scale!$W292))</f>
        <v/>
      </c>
      <c r="L1138" s="82">
        <f>IF(OR(Scale!$U292="",Scale!$U292=0),"",Scale!$V292)</f>
        <v/>
      </c>
      <c r="M1138" s="82">
        <f>IF(OR(Scale!$U292="",Scale!$U292=0),"",Scale!$W292)</f>
        <v/>
      </c>
      <c r="N1138" s="81">
        <f>IF(OR(Scale!$U292="",Scale!$U292=0),"",Scale!$E292)</f>
        <v/>
      </c>
      <c r="O1138" s="81">
        <f>IF(OR(Scale!$U292="",Scale!$U292=0),"",IFERROR(VLOOKUP(Scale!$U292,AcctTbl,3,0),""))</f>
        <v/>
      </c>
      <c r="P1138" s="82">
        <f>IF(Scale!$U292&lt;&gt;"X011","","BN02")</f>
        <v/>
      </c>
    </row>
    <row r="1139" ht="20.25" customHeight="1">
      <c r="A1139" s="80">
        <f>IF(OR(Scale!$X292="",Scale!$X292=0),"",Scale!$B292)</f>
        <v/>
      </c>
      <c r="B1139" s="80">
        <f>IF(OR(Scale!$X292="",Scale!$X292=0),"",Scale!$D292)</f>
        <v/>
      </c>
      <c r="C1139" s="80">
        <f>IF(OR(Scale!$X292="",Scale!$X292=0),"","باسکول")</f>
        <v/>
      </c>
      <c r="D1139" s="80">
        <f>IF(OR(Scale!$X292="",Scale!$X292=0),"",Scale!$X292)</f>
        <v/>
      </c>
      <c r="E1139" s="81">
        <f>IF(OR(Scale!$X292="",Scale!$X292=0),"",IF(Scale!$X292="","","مقابل: "&amp;Scale!$E292))</f>
        <v/>
      </c>
      <c r="F1139" s="83" t="n"/>
      <c r="G1139" s="83" t="n"/>
      <c r="H1139" s="83" t="n"/>
      <c r="I1139" s="83" t="n"/>
      <c r="J1139" s="83" t="n"/>
      <c r="K1139" s="82">
        <f>IF(OR(Scale!$X292="",Scale!$X292=0),"",IF(Scale!$Y292="",0,Scale!$Y292)+IF(Scale!$Z292="",0,Scale!$Z292))</f>
        <v/>
      </c>
      <c r="L1139" s="82">
        <f>IF(OR(Scale!$X292="",Scale!$X292=0),"",Scale!$Y292)</f>
        <v/>
      </c>
      <c r="M1139" s="82">
        <f>IF(OR(Scale!$X292="",Scale!$X292=0),"",Scale!$Z292)</f>
        <v/>
      </c>
      <c r="N1139" s="81">
        <f>IF(OR(Scale!$X292="",Scale!$X292=0),"","مقابل")</f>
        <v/>
      </c>
      <c r="O1139" s="81">
        <f>IF(OR(Scale!$X292="",Scale!$X292=0),"",IFERROR(VLOOKUP(Scale!$X292,AcctTbl,3,0),""))</f>
        <v/>
      </c>
      <c r="P1139" s="82">
        <f>IF(Scale!$X292&lt;&gt;"X011","","BN02")</f>
        <v/>
      </c>
    </row>
    <row r="1140" ht="20.25" customHeight="1">
      <c r="A1140" s="80">
        <f>IF(OR(Scale!$AA292="",Scale!$AA292=0),"",Scale!$B292)</f>
        <v/>
      </c>
      <c r="B1140" s="80">
        <f>IF(OR(Scale!$AA292="",Scale!$AA292=0),"",Scale!$D292)</f>
        <v/>
      </c>
      <c r="C1140" s="80">
        <f>IF(OR(Scale!$AA292="",Scale!$AA292=0),"","باسکول")</f>
        <v/>
      </c>
      <c r="D1140" s="80">
        <f>IF(OR(Scale!$AA292="",Scale!$AA292=0),"",Scale!$AA292)</f>
        <v/>
      </c>
      <c r="E1140" s="81">
        <f>IF(OR(Scale!$AA292="",Scale!$AA292=0),"",IF(Scale!$AA292="","","پوز باسکول — "&amp;Scale!$E292))</f>
        <v/>
      </c>
      <c r="F1140" s="83" t="n"/>
      <c r="G1140" s="83" t="n"/>
      <c r="H1140" s="83" t="n"/>
      <c r="I1140" s="83" t="n"/>
      <c r="J1140" s="83" t="n"/>
      <c r="K1140" s="82">
        <f>IF(OR(Scale!$AA292="",Scale!$AA292=0),"",IF(Scale!$AB292="",0,Scale!$AB292)+IF(Scale!$AC292="",0,Scale!$AC292))</f>
        <v/>
      </c>
      <c r="L1140" s="82">
        <f>IF(OR(Scale!$AA292="",Scale!$AA292=0),"",Scale!$AB292)</f>
        <v/>
      </c>
      <c r="M1140" s="82">
        <f>IF(OR(Scale!$AA292="",Scale!$AA292=0),"",Scale!$AC292)</f>
        <v/>
      </c>
      <c r="N1140" s="81">
        <f>IF(OR(Scale!$AA292="",Scale!$AA292=0),"","پوز")</f>
        <v/>
      </c>
      <c r="O1140" s="81">
        <f>IF(OR(Scale!$AA292="",Scale!$AA292=0),"",IFERROR(VLOOKUP(Scale!$AA292,AcctTbl,3,0),""))</f>
        <v/>
      </c>
      <c r="P1140" s="82">
        <f>IF(Scale!$AA292&lt;&gt;"X011","","BN02")</f>
        <v/>
      </c>
    </row>
    <row r="1141" ht="20.25" customHeight="1">
      <c r="A1141" s="80">
        <f>IF(OR(Scale!$AD292="",Scale!$AD292=0),"",Scale!$B292)</f>
        <v/>
      </c>
      <c r="B1141" s="80">
        <f>IF(OR(Scale!$AD292="",Scale!$AD292=0),"",Scale!$D292)</f>
        <v/>
      </c>
      <c r="C1141" s="80">
        <f>IF(OR(Scale!$AD292="",Scale!$AD292=0),"","باسکول")</f>
        <v/>
      </c>
      <c r="D1141" s="80">
        <f>IF(OR(Scale!$AD292="",Scale!$AD292=0),"",Scale!$AD292)</f>
        <v/>
      </c>
      <c r="E1141" s="81">
        <f>IF(OR(Scale!$AD292="",Scale!$AD292=0),"",IF(Scale!$AD292="","","مقابل پوز — "&amp;Scale!$E292))</f>
        <v/>
      </c>
      <c r="F1141" s="83" t="n"/>
      <c r="G1141" s="83" t="n"/>
      <c r="H1141" s="83" t="n"/>
      <c r="I1141" s="83" t="n"/>
      <c r="J1141" s="83" t="n"/>
      <c r="K1141" s="82">
        <f>IF(OR(Scale!$AD292="",Scale!$AD292=0),"",IF(Scale!$AE292="",0,Scale!$AE292)+IF(Scale!$AF292="",0,Scale!$AF292))</f>
        <v/>
      </c>
      <c r="L1141" s="82">
        <f>IF(OR(Scale!$AD292="",Scale!$AD292=0),"",Scale!$AE292)</f>
        <v/>
      </c>
      <c r="M1141" s="82">
        <f>IF(OR(Scale!$AD292="",Scale!$AD292=0),"",Scale!$AF292)</f>
        <v/>
      </c>
      <c r="N1141" s="81">
        <f>IF(OR(Scale!$AD292="",Scale!$AD292=0),"","مقابل پوز")</f>
        <v/>
      </c>
      <c r="O1141" s="81">
        <f>IF(OR(Scale!$AD292="",Scale!$AD292=0),"",IFERROR(VLOOKUP(Scale!$AD292,AcctTbl,3,0),""))</f>
        <v/>
      </c>
      <c r="P1141" s="82">
        <f>IF(Scale!$AD292&lt;&gt;"X011","","BN02")</f>
        <v/>
      </c>
    </row>
    <row r="1142" ht="20.25" customHeight="1">
      <c r="A1142" s="80">
        <f>IF(OR(Scale!$U293="",Scale!$U293=0),"",Scale!$B293)</f>
        <v/>
      </c>
      <c r="B1142" s="80">
        <f>IF(OR(Scale!$U293="",Scale!$U293=0),"",Scale!$D293)</f>
        <v/>
      </c>
      <c r="C1142" s="80">
        <f>IF(OR(Scale!$U293="",Scale!$U293=0),"","باسکول")</f>
        <v/>
      </c>
      <c r="D1142" s="80">
        <f>IF(OR(Scale!$U293="",Scale!$U293=0),"",Scale!$U293)</f>
        <v/>
      </c>
      <c r="E1142" s="81">
        <f>IF(OR(Scale!$U293="",Scale!$U293=0),"",Scale!$T293)</f>
        <v/>
      </c>
      <c r="F1142" s="81">
        <f>IF(OR(Scale!$U293="",Scale!$U293=0),"",Scale!$J293)</f>
        <v/>
      </c>
      <c r="G1142" s="82">
        <f>IF(OR(Scale!$U293="",Scale!$U293=0),"",Scale!$M293)</f>
        <v/>
      </c>
      <c r="H1142" s="82">
        <f>IF(OR(Scale!$U293="",Scale!$U293=0),"",Scale!$L293)</f>
        <v/>
      </c>
      <c r="I1142" s="82">
        <f>IF(OR(Scale!$U293="",Scale!$U293=0),"",Scale!$N293)</f>
        <v/>
      </c>
      <c r="J1142" s="82">
        <f>IF(OR(Scale!$U293="",Scale!$U293=0),"",Scale!$O293)</f>
        <v/>
      </c>
      <c r="K1142" s="82">
        <f>IF(OR(Scale!$U293="",Scale!$U293=0),"",IF(Scale!$V293="",0,Scale!$V293)+IF(Scale!$W293="",0,Scale!$W293))</f>
        <v/>
      </c>
      <c r="L1142" s="82">
        <f>IF(OR(Scale!$U293="",Scale!$U293=0),"",Scale!$V293)</f>
        <v/>
      </c>
      <c r="M1142" s="82">
        <f>IF(OR(Scale!$U293="",Scale!$U293=0),"",Scale!$W293)</f>
        <v/>
      </c>
      <c r="N1142" s="81">
        <f>IF(OR(Scale!$U293="",Scale!$U293=0),"",Scale!$E293)</f>
        <v/>
      </c>
      <c r="O1142" s="81">
        <f>IF(OR(Scale!$U293="",Scale!$U293=0),"",IFERROR(VLOOKUP(Scale!$U293,AcctTbl,3,0),""))</f>
        <v/>
      </c>
      <c r="P1142" s="82">
        <f>IF(Scale!$U293&lt;&gt;"X011","","BN02")</f>
        <v/>
      </c>
    </row>
    <row r="1143" ht="20.25" customHeight="1">
      <c r="A1143" s="80">
        <f>IF(OR(Scale!$X293="",Scale!$X293=0),"",Scale!$B293)</f>
        <v/>
      </c>
      <c r="B1143" s="80">
        <f>IF(OR(Scale!$X293="",Scale!$X293=0),"",Scale!$D293)</f>
        <v/>
      </c>
      <c r="C1143" s="80">
        <f>IF(OR(Scale!$X293="",Scale!$X293=0),"","باسکول")</f>
        <v/>
      </c>
      <c r="D1143" s="80">
        <f>IF(OR(Scale!$X293="",Scale!$X293=0),"",Scale!$X293)</f>
        <v/>
      </c>
      <c r="E1143" s="81">
        <f>IF(OR(Scale!$X293="",Scale!$X293=0),"",IF(Scale!$X293="","","مقابل: "&amp;Scale!$E293))</f>
        <v/>
      </c>
      <c r="F1143" s="83" t="n"/>
      <c r="G1143" s="83" t="n"/>
      <c r="H1143" s="83" t="n"/>
      <c r="I1143" s="83" t="n"/>
      <c r="J1143" s="83" t="n"/>
      <c r="K1143" s="82">
        <f>IF(OR(Scale!$X293="",Scale!$X293=0),"",IF(Scale!$Y293="",0,Scale!$Y293)+IF(Scale!$Z293="",0,Scale!$Z293))</f>
        <v/>
      </c>
      <c r="L1143" s="82">
        <f>IF(OR(Scale!$X293="",Scale!$X293=0),"",Scale!$Y293)</f>
        <v/>
      </c>
      <c r="M1143" s="82">
        <f>IF(OR(Scale!$X293="",Scale!$X293=0),"",Scale!$Z293)</f>
        <v/>
      </c>
      <c r="N1143" s="81">
        <f>IF(OR(Scale!$X293="",Scale!$X293=0),"","مقابل")</f>
        <v/>
      </c>
      <c r="O1143" s="81">
        <f>IF(OR(Scale!$X293="",Scale!$X293=0),"",IFERROR(VLOOKUP(Scale!$X293,AcctTbl,3,0),""))</f>
        <v/>
      </c>
      <c r="P1143" s="82">
        <f>IF(Scale!$X293&lt;&gt;"X011","","BN02")</f>
        <v/>
      </c>
    </row>
    <row r="1144" ht="20.25" customHeight="1">
      <c r="A1144" s="80">
        <f>IF(OR(Scale!$AA293="",Scale!$AA293=0),"",Scale!$B293)</f>
        <v/>
      </c>
      <c r="B1144" s="80">
        <f>IF(OR(Scale!$AA293="",Scale!$AA293=0),"",Scale!$D293)</f>
        <v/>
      </c>
      <c r="C1144" s="80">
        <f>IF(OR(Scale!$AA293="",Scale!$AA293=0),"","باسکول")</f>
        <v/>
      </c>
      <c r="D1144" s="80">
        <f>IF(OR(Scale!$AA293="",Scale!$AA293=0),"",Scale!$AA293)</f>
        <v/>
      </c>
      <c r="E1144" s="81">
        <f>IF(OR(Scale!$AA293="",Scale!$AA293=0),"",IF(Scale!$AA293="","","پوز باسکول — "&amp;Scale!$E293))</f>
        <v/>
      </c>
      <c r="F1144" s="83" t="n"/>
      <c r="G1144" s="83" t="n"/>
      <c r="H1144" s="83" t="n"/>
      <c r="I1144" s="83" t="n"/>
      <c r="J1144" s="83" t="n"/>
      <c r="K1144" s="82">
        <f>IF(OR(Scale!$AA293="",Scale!$AA293=0),"",IF(Scale!$AB293="",0,Scale!$AB293)+IF(Scale!$AC293="",0,Scale!$AC293))</f>
        <v/>
      </c>
      <c r="L1144" s="82">
        <f>IF(OR(Scale!$AA293="",Scale!$AA293=0),"",Scale!$AB293)</f>
        <v/>
      </c>
      <c r="M1144" s="82">
        <f>IF(OR(Scale!$AA293="",Scale!$AA293=0),"",Scale!$AC293)</f>
        <v/>
      </c>
      <c r="N1144" s="81">
        <f>IF(OR(Scale!$AA293="",Scale!$AA293=0),"","پوز")</f>
        <v/>
      </c>
      <c r="O1144" s="81">
        <f>IF(OR(Scale!$AA293="",Scale!$AA293=0),"",IFERROR(VLOOKUP(Scale!$AA293,AcctTbl,3,0),""))</f>
        <v/>
      </c>
      <c r="P1144" s="82">
        <f>IF(Scale!$AA293&lt;&gt;"X011","","BN02")</f>
        <v/>
      </c>
    </row>
    <row r="1145" ht="20.25" customHeight="1">
      <c r="A1145" s="80">
        <f>IF(OR(Scale!$AD293="",Scale!$AD293=0),"",Scale!$B293)</f>
        <v/>
      </c>
      <c r="B1145" s="80">
        <f>IF(OR(Scale!$AD293="",Scale!$AD293=0),"",Scale!$D293)</f>
        <v/>
      </c>
      <c r="C1145" s="80">
        <f>IF(OR(Scale!$AD293="",Scale!$AD293=0),"","باسکول")</f>
        <v/>
      </c>
      <c r="D1145" s="80">
        <f>IF(OR(Scale!$AD293="",Scale!$AD293=0),"",Scale!$AD293)</f>
        <v/>
      </c>
      <c r="E1145" s="81">
        <f>IF(OR(Scale!$AD293="",Scale!$AD293=0),"",IF(Scale!$AD293="","","مقابل پوز — "&amp;Scale!$E293))</f>
        <v/>
      </c>
      <c r="F1145" s="83" t="n"/>
      <c r="G1145" s="83" t="n"/>
      <c r="H1145" s="83" t="n"/>
      <c r="I1145" s="83" t="n"/>
      <c r="J1145" s="83" t="n"/>
      <c r="K1145" s="82">
        <f>IF(OR(Scale!$AD293="",Scale!$AD293=0),"",IF(Scale!$AE293="",0,Scale!$AE293)+IF(Scale!$AF293="",0,Scale!$AF293))</f>
        <v/>
      </c>
      <c r="L1145" s="82">
        <f>IF(OR(Scale!$AD293="",Scale!$AD293=0),"",Scale!$AE293)</f>
        <v/>
      </c>
      <c r="M1145" s="82">
        <f>IF(OR(Scale!$AD293="",Scale!$AD293=0),"",Scale!$AF293)</f>
        <v/>
      </c>
      <c r="N1145" s="81">
        <f>IF(OR(Scale!$AD293="",Scale!$AD293=0),"","مقابل پوز")</f>
        <v/>
      </c>
      <c r="O1145" s="81">
        <f>IF(OR(Scale!$AD293="",Scale!$AD293=0),"",IFERROR(VLOOKUP(Scale!$AD293,AcctTbl,3,0),""))</f>
        <v/>
      </c>
      <c r="P1145" s="82">
        <f>IF(Scale!$AD293&lt;&gt;"X011","","BN02")</f>
        <v/>
      </c>
    </row>
    <row r="1146" ht="20.25" customHeight="1">
      <c r="A1146" s="80">
        <f>IF(OR(Scale!$U294="",Scale!$U294=0),"",Scale!$B294)</f>
        <v/>
      </c>
      <c r="B1146" s="80">
        <f>IF(OR(Scale!$U294="",Scale!$U294=0),"",Scale!$D294)</f>
        <v/>
      </c>
      <c r="C1146" s="80">
        <f>IF(OR(Scale!$U294="",Scale!$U294=0),"","باسکول")</f>
        <v/>
      </c>
      <c r="D1146" s="80">
        <f>IF(OR(Scale!$U294="",Scale!$U294=0),"",Scale!$U294)</f>
        <v/>
      </c>
      <c r="E1146" s="81">
        <f>IF(OR(Scale!$U294="",Scale!$U294=0),"",Scale!$T294)</f>
        <v/>
      </c>
      <c r="F1146" s="81">
        <f>IF(OR(Scale!$U294="",Scale!$U294=0),"",Scale!$J294)</f>
        <v/>
      </c>
      <c r="G1146" s="82">
        <f>IF(OR(Scale!$U294="",Scale!$U294=0),"",Scale!$M294)</f>
        <v/>
      </c>
      <c r="H1146" s="82">
        <f>IF(OR(Scale!$U294="",Scale!$U294=0),"",Scale!$L294)</f>
        <v/>
      </c>
      <c r="I1146" s="82">
        <f>IF(OR(Scale!$U294="",Scale!$U294=0),"",Scale!$N294)</f>
        <v/>
      </c>
      <c r="J1146" s="82">
        <f>IF(OR(Scale!$U294="",Scale!$U294=0),"",Scale!$O294)</f>
        <v/>
      </c>
      <c r="K1146" s="82">
        <f>IF(OR(Scale!$U294="",Scale!$U294=0),"",IF(Scale!$V294="",0,Scale!$V294)+IF(Scale!$W294="",0,Scale!$W294))</f>
        <v/>
      </c>
      <c r="L1146" s="82">
        <f>IF(OR(Scale!$U294="",Scale!$U294=0),"",Scale!$V294)</f>
        <v/>
      </c>
      <c r="M1146" s="82">
        <f>IF(OR(Scale!$U294="",Scale!$U294=0),"",Scale!$W294)</f>
        <v/>
      </c>
      <c r="N1146" s="81">
        <f>IF(OR(Scale!$U294="",Scale!$U294=0),"",Scale!$E294)</f>
        <v/>
      </c>
      <c r="O1146" s="81">
        <f>IF(OR(Scale!$U294="",Scale!$U294=0),"",IFERROR(VLOOKUP(Scale!$U294,AcctTbl,3,0),""))</f>
        <v/>
      </c>
      <c r="P1146" s="82">
        <f>IF(Scale!$U294&lt;&gt;"X011","","BN02")</f>
        <v/>
      </c>
    </row>
    <row r="1147" ht="20.25" customHeight="1">
      <c r="A1147" s="80">
        <f>IF(OR(Scale!$X294="",Scale!$X294=0),"",Scale!$B294)</f>
        <v/>
      </c>
      <c r="B1147" s="80">
        <f>IF(OR(Scale!$X294="",Scale!$X294=0),"",Scale!$D294)</f>
        <v/>
      </c>
      <c r="C1147" s="80">
        <f>IF(OR(Scale!$X294="",Scale!$X294=0),"","باسکول")</f>
        <v/>
      </c>
      <c r="D1147" s="80">
        <f>IF(OR(Scale!$X294="",Scale!$X294=0),"",Scale!$X294)</f>
        <v/>
      </c>
      <c r="E1147" s="81">
        <f>IF(OR(Scale!$X294="",Scale!$X294=0),"",IF(Scale!$X294="","","مقابل: "&amp;Scale!$E294))</f>
        <v/>
      </c>
      <c r="F1147" s="83" t="n"/>
      <c r="G1147" s="83" t="n"/>
      <c r="H1147" s="83" t="n"/>
      <c r="I1147" s="83" t="n"/>
      <c r="J1147" s="83" t="n"/>
      <c r="K1147" s="82">
        <f>IF(OR(Scale!$X294="",Scale!$X294=0),"",IF(Scale!$Y294="",0,Scale!$Y294)+IF(Scale!$Z294="",0,Scale!$Z294))</f>
        <v/>
      </c>
      <c r="L1147" s="82">
        <f>IF(OR(Scale!$X294="",Scale!$X294=0),"",Scale!$Y294)</f>
        <v/>
      </c>
      <c r="M1147" s="82">
        <f>IF(OR(Scale!$X294="",Scale!$X294=0),"",Scale!$Z294)</f>
        <v/>
      </c>
      <c r="N1147" s="81">
        <f>IF(OR(Scale!$X294="",Scale!$X294=0),"","مقابل")</f>
        <v/>
      </c>
      <c r="O1147" s="81">
        <f>IF(OR(Scale!$X294="",Scale!$X294=0),"",IFERROR(VLOOKUP(Scale!$X294,AcctTbl,3,0),""))</f>
        <v/>
      </c>
      <c r="P1147" s="82">
        <f>IF(Scale!$X294&lt;&gt;"X011","","BN02")</f>
        <v/>
      </c>
    </row>
    <row r="1148" ht="20.25" customHeight="1">
      <c r="A1148" s="80">
        <f>IF(OR(Scale!$AA294="",Scale!$AA294=0),"",Scale!$B294)</f>
        <v/>
      </c>
      <c r="B1148" s="80">
        <f>IF(OR(Scale!$AA294="",Scale!$AA294=0),"",Scale!$D294)</f>
        <v/>
      </c>
      <c r="C1148" s="80">
        <f>IF(OR(Scale!$AA294="",Scale!$AA294=0),"","باسکول")</f>
        <v/>
      </c>
      <c r="D1148" s="80">
        <f>IF(OR(Scale!$AA294="",Scale!$AA294=0),"",Scale!$AA294)</f>
        <v/>
      </c>
      <c r="E1148" s="81">
        <f>IF(OR(Scale!$AA294="",Scale!$AA294=0),"",IF(Scale!$AA294="","","پوز باسکول — "&amp;Scale!$E294))</f>
        <v/>
      </c>
      <c r="F1148" s="83" t="n"/>
      <c r="G1148" s="83" t="n"/>
      <c r="H1148" s="83" t="n"/>
      <c r="I1148" s="83" t="n"/>
      <c r="J1148" s="83" t="n"/>
      <c r="K1148" s="82">
        <f>IF(OR(Scale!$AA294="",Scale!$AA294=0),"",IF(Scale!$AB294="",0,Scale!$AB294)+IF(Scale!$AC294="",0,Scale!$AC294))</f>
        <v/>
      </c>
      <c r="L1148" s="82">
        <f>IF(OR(Scale!$AA294="",Scale!$AA294=0),"",Scale!$AB294)</f>
        <v/>
      </c>
      <c r="M1148" s="82">
        <f>IF(OR(Scale!$AA294="",Scale!$AA294=0),"",Scale!$AC294)</f>
        <v/>
      </c>
      <c r="N1148" s="81">
        <f>IF(OR(Scale!$AA294="",Scale!$AA294=0),"","پوز")</f>
        <v/>
      </c>
      <c r="O1148" s="81">
        <f>IF(OR(Scale!$AA294="",Scale!$AA294=0),"",IFERROR(VLOOKUP(Scale!$AA294,AcctTbl,3,0),""))</f>
        <v/>
      </c>
      <c r="P1148" s="82">
        <f>IF(Scale!$AA294&lt;&gt;"X011","","BN02")</f>
        <v/>
      </c>
    </row>
    <row r="1149" ht="20.25" customHeight="1">
      <c r="A1149" s="80">
        <f>IF(OR(Scale!$AD294="",Scale!$AD294=0),"",Scale!$B294)</f>
        <v/>
      </c>
      <c r="B1149" s="80">
        <f>IF(OR(Scale!$AD294="",Scale!$AD294=0),"",Scale!$D294)</f>
        <v/>
      </c>
      <c r="C1149" s="80">
        <f>IF(OR(Scale!$AD294="",Scale!$AD294=0),"","باسکول")</f>
        <v/>
      </c>
      <c r="D1149" s="80">
        <f>IF(OR(Scale!$AD294="",Scale!$AD294=0),"",Scale!$AD294)</f>
        <v/>
      </c>
      <c r="E1149" s="81">
        <f>IF(OR(Scale!$AD294="",Scale!$AD294=0),"",IF(Scale!$AD294="","","مقابل پوز — "&amp;Scale!$E294))</f>
        <v/>
      </c>
      <c r="F1149" s="83" t="n"/>
      <c r="G1149" s="83" t="n"/>
      <c r="H1149" s="83" t="n"/>
      <c r="I1149" s="83" t="n"/>
      <c r="J1149" s="83" t="n"/>
      <c r="K1149" s="82">
        <f>IF(OR(Scale!$AD294="",Scale!$AD294=0),"",IF(Scale!$AE294="",0,Scale!$AE294)+IF(Scale!$AF294="",0,Scale!$AF294))</f>
        <v/>
      </c>
      <c r="L1149" s="82">
        <f>IF(OR(Scale!$AD294="",Scale!$AD294=0),"",Scale!$AE294)</f>
        <v/>
      </c>
      <c r="M1149" s="82">
        <f>IF(OR(Scale!$AD294="",Scale!$AD294=0),"",Scale!$AF294)</f>
        <v/>
      </c>
      <c r="N1149" s="81">
        <f>IF(OR(Scale!$AD294="",Scale!$AD294=0),"","مقابل پوز")</f>
        <v/>
      </c>
      <c r="O1149" s="81">
        <f>IF(OR(Scale!$AD294="",Scale!$AD294=0),"",IFERROR(VLOOKUP(Scale!$AD294,AcctTbl,3,0),""))</f>
        <v/>
      </c>
      <c r="P1149" s="82">
        <f>IF(Scale!$AD294&lt;&gt;"X011","","BN02")</f>
        <v/>
      </c>
    </row>
    <row r="1150" ht="20.25" customHeight="1">
      <c r="A1150" s="80">
        <f>IF(OR(Scale!$U295="",Scale!$U295=0),"",Scale!$B295)</f>
        <v/>
      </c>
      <c r="B1150" s="80">
        <f>IF(OR(Scale!$U295="",Scale!$U295=0),"",Scale!$D295)</f>
        <v/>
      </c>
      <c r="C1150" s="80">
        <f>IF(OR(Scale!$U295="",Scale!$U295=0),"","باسکول")</f>
        <v/>
      </c>
      <c r="D1150" s="80">
        <f>IF(OR(Scale!$U295="",Scale!$U295=0),"",Scale!$U295)</f>
        <v/>
      </c>
      <c r="E1150" s="81">
        <f>IF(OR(Scale!$U295="",Scale!$U295=0),"",Scale!$T295)</f>
        <v/>
      </c>
      <c r="F1150" s="81">
        <f>IF(OR(Scale!$U295="",Scale!$U295=0),"",Scale!$J295)</f>
        <v/>
      </c>
      <c r="G1150" s="82">
        <f>IF(OR(Scale!$U295="",Scale!$U295=0),"",Scale!$M295)</f>
        <v/>
      </c>
      <c r="H1150" s="82">
        <f>IF(OR(Scale!$U295="",Scale!$U295=0),"",Scale!$L295)</f>
        <v/>
      </c>
      <c r="I1150" s="82">
        <f>IF(OR(Scale!$U295="",Scale!$U295=0),"",Scale!$N295)</f>
        <v/>
      </c>
      <c r="J1150" s="82">
        <f>IF(OR(Scale!$U295="",Scale!$U295=0),"",Scale!$O295)</f>
        <v/>
      </c>
      <c r="K1150" s="82">
        <f>IF(OR(Scale!$U295="",Scale!$U295=0),"",IF(Scale!$V295="",0,Scale!$V295)+IF(Scale!$W295="",0,Scale!$W295))</f>
        <v/>
      </c>
      <c r="L1150" s="82">
        <f>IF(OR(Scale!$U295="",Scale!$U295=0),"",Scale!$V295)</f>
        <v/>
      </c>
      <c r="M1150" s="82">
        <f>IF(OR(Scale!$U295="",Scale!$U295=0),"",Scale!$W295)</f>
        <v/>
      </c>
      <c r="N1150" s="81">
        <f>IF(OR(Scale!$U295="",Scale!$U295=0),"",Scale!$E295)</f>
        <v/>
      </c>
      <c r="O1150" s="81">
        <f>IF(OR(Scale!$U295="",Scale!$U295=0),"",IFERROR(VLOOKUP(Scale!$U295,AcctTbl,3,0),""))</f>
        <v/>
      </c>
      <c r="P1150" s="82">
        <f>IF(Scale!$U295&lt;&gt;"X011","","BN02")</f>
        <v/>
      </c>
    </row>
    <row r="1151" ht="20.25" customHeight="1">
      <c r="A1151" s="80">
        <f>IF(OR(Scale!$X295="",Scale!$X295=0),"",Scale!$B295)</f>
        <v/>
      </c>
      <c r="B1151" s="80">
        <f>IF(OR(Scale!$X295="",Scale!$X295=0),"",Scale!$D295)</f>
        <v/>
      </c>
      <c r="C1151" s="80">
        <f>IF(OR(Scale!$X295="",Scale!$X295=0),"","باسکول")</f>
        <v/>
      </c>
      <c r="D1151" s="80">
        <f>IF(OR(Scale!$X295="",Scale!$X295=0),"",Scale!$X295)</f>
        <v/>
      </c>
      <c r="E1151" s="81">
        <f>IF(OR(Scale!$X295="",Scale!$X295=0),"",IF(Scale!$X295="","","مقابل: "&amp;Scale!$E295))</f>
        <v/>
      </c>
      <c r="F1151" s="83" t="n"/>
      <c r="G1151" s="83" t="n"/>
      <c r="H1151" s="83" t="n"/>
      <c r="I1151" s="83" t="n"/>
      <c r="J1151" s="83" t="n"/>
      <c r="K1151" s="82">
        <f>IF(OR(Scale!$X295="",Scale!$X295=0),"",IF(Scale!$Y295="",0,Scale!$Y295)+IF(Scale!$Z295="",0,Scale!$Z295))</f>
        <v/>
      </c>
      <c r="L1151" s="82">
        <f>IF(OR(Scale!$X295="",Scale!$X295=0),"",Scale!$Y295)</f>
        <v/>
      </c>
      <c r="M1151" s="82">
        <f>IF(OR(Scale!$X295="",Scale!$X295=0),"",Scale!$Z295)</f>
        <v/>
      </c>
      <c r="N1151" s="81">
        <f>IF(OR(Scale!$X295="",Scale!$X295=0),"","مقابل")</f>
        <v/>
      </c>
      <c r="O1151" s="81">
        <f>IF(OR(Scale!$X295="",Scale!$X295=0),"",IFERROR(VLOOKUP(Scale!$X295,AcctTbl,3,0),""))</f>
        <v/>
      </c>
      <c r="P1151" s="82">
        <f>IF(Scale!$X295&lt;&gt;"X011","","BN02")</f>
        <v/>
      </c>
    </row>
    <row r="1152" ht="20.25" customHeight="1">
      <c r="A1152" s="80">
        <f>IF(OR(Scale!$AA295="",Scale!$AA295=0),"",Scale!$B295)</f>
        <v/>
      </c>
      <c r="B1152" s="80">
        <f>IF(OR(Scale!$AA295="",Scale!$AA295=0),"",Scale!$D295)</f>
        <v/>
      </c>
      <c r="C1152" s="80">
        <f>IF(OR(Scale!$AA295="",Scale!$AA295=0),"","باسکول")</f>
        <v/>
      </c>
      <c r="D1152" s="80">
        <f>IF(OR(Scale!$AA295="",Scale!$AA295=0),"",Scale!$AA295)</f>
        <v/>
      </c>
      <c r="E1152" s="81">
        <f>IF(OR(Scale!$AA295="",Scale!$AA295=0),"",IF(Scale!$AA295="","","پوز باسکول — "&amp;Scale!$E295))</f>
        <v/>
      </c>
      <c r="F1152" s="83" t="n"/>
      <c r="G1152" s="83" t="n"/>
      <c r="H1152" s="83" t="n"/>
      <c r="I1152" s="83" t="n"/>
      <c r="J1152" s="83" t="n"/>
      <c r="K1152" s="82">
        <f>IF(OR(Scale!$AA295="",Scale!$AA295=0),"",IF(Scale!$AB295="",0,Scale!$AB295)+IF(Scale!$AC295="",0,Scale!$AC295))</f>
        <v/>
      </c>
      <c r="L1152" s="82">
        <f>IF(OR(Scale!$AA295="",Scale!$AA295=0),"",Scale!$AB295)</f>
        <v/>
      </c>
      <c r="M1152" s="82">
        <f>IF(OR(Scale!$AA295="",Scale!$AA295=0),"",Scale!$AC295)</f>
        <v/>
      </c>
      <c r="N1152" s="81">
        <f>IF(OR(Scale!$AA295="",Scale!$AA295=0),"","پوز")</f>
        <v/>
      </c>
      <c r="O1152" s="81">
        <f>IF(OR(Scale!$AA295="",Scale!$AA295=0),"",IFERROR(VLOOKUP(Scale!$AA295,AcctTbl,3,0),""))</f>
        <v/>
      </c>
      <c r="P1152" s="82">
        <f>IF(Scale!$AA295&lt;&gt;"X011","","BN02")</f>
        <v/>
      </c>
    </row>
    <row r="1153" ht="20.25" customHeight="1">
      <c r="A1153" s="80">
        <f>IF(OR(Scale!$AD295="",Scale!$AD295=0),"",Scale!$B295)</f>
        <v/>
      </c>
      <c r="B1153" s="80">
        <f>IF(OR(Scale!$AD295="",Scale!$AD295=0),"",Scale!$D295)</f>
        <v/>
      </c>
      <c r="C1153" s="80">
        <f>IF(OR(Scale!$AD295="",Scale!$AD295=0),"","باسکول")</f>
        <v/>
      </c>
      <c r="D1153" s="80">
        <f>IF(OR(Scale!$AD295="",Scale!$AD295=0),"",Scale!$AD295)</f>
        <v/>
      </c>
      <c r="E1153" s="81">
        <f>IF(OR(Scale!$AD295="",Scale!$AD295=0),"",IF(Scale!$AD295="","","مقابل پوز — "&amp;Scale!$E295))</f>
        <v/>
      </c>
      <c r="F1153" s="83" t="n"/>
      <c r="G1153" s="83" t="n"/>
      <c r="H1153" s="83" t="n"/>
      <c r="I1153" s="83" t="n"/>
      <c r="J1153" s="83" t="n"/>
      <c r="K1153" s="82">
        <f>IF(OR(Scale!$AD295="",Scale!$AD295=0),"",IF(Scale!$AE295="",0,Scale!$AE295)+IF(Scale!$AF295="",0,Scale!$AF295))</f>
        <v/>
      </c>
      <c r="L1153" s="82">
        <f>IF(OR(Scale!$AD295="",Scale!$AD295=0),"",Scale!$AE295)</f>
        <v/>
      </c>
      <c r="M1153" s="82">
        <f>IF(OR(Scale!$AD295="",Scale!$AD295=0),"",Scale!$AF295)</f>
        <v/>
      </c>
      <c r="N1153" s="81">
        <f>IF(OR(Scale!$AD295="",Scale!$AD295=0),"","مقابل پوز")</f>
        <v/>
      </c>
      <c r="O1153" s="81">
        <f>IF(OR(Scale!$AD295="",Scale!$AD295=0),"",IFERROR(VLOOKUP(Scale!$AD295,AcctTbl,3,0),""))</f>
        <v/>
      </c>
      <c r="P1153" s="82">
        <f>IF(Scale!$AD295&lt;&gt;"X011","","BN02")</f>
        <v/>
      </c>
    </row>
    <row r="1154" ht="20.25" customHeight="1">
      <c r="A1154" s="80">
        <f>IF(OR(Scale!$U296="",Scale!$U296=0),"",Scale!$B296)</f>
        <v/>
      </c>
      <c r="B1154" s="80">
        <f>IF(OR(Scale!$U296="",Scale!$U296=0),"",Scale!$D296)</f>
        <v/>
      </c>
      <c r="C1154" s="80">
        <f>IF(OR(Scale!$U296="",Scale!$U296=0),"","باسکول")</f>
        <v/>
      </c>
      <c r="D1154" s="80">
        <f>IF(OR(Scale!$U296="",Scale!$U296=0),"",Scale!$U296)</f>
        <v/>
      </c>
      <c r="E1154" s="81">
        <f>IF(OR(Scale!$U296="",Scale!$U296=0),"",Scale!$T296)</f>
        <v/>
      </c>
      <c r="F1154" s="81">
        <f>IF(OR(Scale!$U296="",Scale!$U296=0),"",Scale!$J296)</f>
        <v/>
      </c>
      <c r="G1154" s="82">
        <f>IF(OR(Scale!$U296="",Scale!$U296=0),"",Scale!$M296)</f>
        <v/>
      </c>
      <c r="H1154" s="82">
        <f>IF(OR(Scale!$U296="",Scale!$U296=0),"",Scale!$L296)</f>
        <v/>
      </c>
      <c r="I1154" s="82">
        <f>IF(OR(Scale!$U296="",Scale!$U296=0),"",Scale!$N296)</f>
        <v/>
      </c>
      <c r="J1154" s="82">
        <f>IF(OR(Scale!$U296="",Scale!$U296=0),"",Scale!$O296)</f>
        <v/>
      </c>
      <c r="K1154" s="82">
        <f>IF(OR(Scale!$U296="",Scale!$U296=0),"",IF(Scale!$V296="",0,Scale!$V296)+IF(Scale!$W296="",0,Scale!$W296))</f>
        <v/>
      </c>
      <c r="L1154" s="82">
        <f>IF(OR(Scale!$U296="",Scale!$U296=0),"",Scale!$V296)</f>
        <v/>
      </c>
      <c r="M1154" s="82">
        <f>IF(OR(Scale!$U296="",Scale!$U296=0),"",Scale!$W296)</f>
        <v/>
      </c>
      <c r="N1154" s="81">
        <f>IF(OR(Scale!$U296="",Scale!$U296=0),"",Scale!$E296)</f>
        <v/>
      </c>
      <c r="O1154" s="81">
        <f>IF(OR(Scale!$U296="",Scale!$U296=0),"",IFERROR(VLOOKUP(Scale!$U296,AcctTbl,3,0),""))</f>
        <v/>
      </c>
      <c r="P1154" s="82">
        <f>IF(Scale!$U296&lt;&gt;"X011","","BN02")</f>
        <v/>
      </c>
    </row>
    <row r="1155" ht="20.25" customHeight="1">
      <c r="A1155" s="80">
        <f>IF(OR(Scale!$X296="",Scale!$X296=0),"",Scale!$B296)</f>
        <v/>
      </c>
      <c r="B1155" s="80">
        <f>IF(OR(Scale!$X296="",Scale!$X296=0),"",Scale!$D296)</f>
        <v/>
      </c>
      <c r="C1155" s="80">
        <f>IF(OR(Scale!$X296="",Scale!$X296=0),"","باسکول")</f>
        <v/>
      </c>
      <c r="D1155" s="80">
        <f>IF(OR(Scale!$X296="",Scale!$X296=0),"",Scale!$X296)</f>
        <v/>
      </c>
      <c r="E1155" s="81">
        <f>IF(OR(Scale!$X296="",Scale!$X296=0),"",IF(Scale!$X296="","","مقابل: "&amp;Scale!$E296))</f>
        <v/>
      </c>
      <c r="F1155" s="83" t="n"/>
      <c r="G1155" s="83" t="n"/>
      <c r="H1155" s="83" t="n"/>
      <c r="I1155" s="83" t="n"/>
      <c r="J1155" s="83" t="n"/>
      <c r="K1155" s="82">
        <f>IF(OR(Scale!$X296="",Scale!$X296=0),"",IF(Scale!$Y296="",0,Scale!$Y296)+IF(Scale!$Z296="",0,Scale!$Z296))</f>
        <v/>
      </c>
      <c r="L1155" s="82">
        <f>IF(OR(Scale!$X296="",Scale!$X296=0),"",Scale!$Y296)</f>
        <v/>
      </c>
      <c r="M1155" s="82">
        <f>IF(OR(Scale!$X296="",Scale!$X296=0),"",Scale!$Z296)</f>
        <v/>
      </c>
      <c r="N1155" s="81">
        <f>IF(OR(Scale!$X296="",Scale!$X296=0),"","مقابل")</f>
        <v/>
      </c>
      <c r="O1155" s="81">
        <f>IF(OR(Scale!$X296="",Scale!$X296=0),"",IFERROR(VLOOKUP(Scale!$X296,AcctTbl,3,0),""))</f>
        <v/>
      </c>
      <c r="P1155" s="82">
        <f>IF(Scale!$X296&lt;&gt;"X011","","BN02")</f>
        <v/>
      </c>
    </row>
    <row r="1156" ht="20.25" customHeight="1">
      <c r="A1156" s="80">
        <f>IF(OR(Scale!$AA296="",Scale!$AA296=0),"",Scale!$B296)</f>
        <v/>
      </c>
      <c r="B1156" s="80">
        <f>IF(OR(Scale!$AA296="",Scale!$AA296=0),"",Scale!$D296)</f>
        <v/>
      </c>
      <c r="C1156" s="80">
        <f>IF(OR(Scale!$AA296="",Scale!$AA296=0),"","باسکول")</f>
        <v/>
      </c>
      <c r="D1156" s="80">
        <f>IF(OR(Scale!$AA296="",Scale!$AA296=0),"",Scale!$AA296)</f>
        <v/>
      </c>
      <c r="E1156" s="81">
        <f>IF(OR(Scale!$AA296="",Scale!$AA296=0),"",IF(Scale!$AA296="","","پوز باسکول — "&amp;Scale!$E296))</f>
        <v/>
      </c>
      <c r="F1156" s="83" t="n"/>
      <c r="G1156" s="83" t="n"/>
      <c r="H1156" s="83" t="n"/>
      <c r="I1156" s="83" t="n"/>
      <c r="J1156" s="83" t="n"/>
      <c r="K1156" s="82">
        <f>IF(OR(Scale!$AA296="",Scale!$AA296=0),"",IF(Scale!$AB296="",0,Scale!$AB296)+IF(Scale!$AC296="",0,Scale!$AC296))</f>
        <v/>
      </c>
      <c r="L1156" s="82">
        <f>IF(OR(Scale!$AA296="",Scale!$AA296=0),"",Scale!$AB296)</f>
        <v/>
      </c>
      <c r="M1156" s="82">
        <f>IF(OR(Scale!$AA296="",Scale!$AA296=0),"",Scale!$AC296)</f>
        <v/>
      </c>
      <c r="N1156" s="81">
        <f>IF(OR(Scale!$AA296="",Scale!$AA296=0),"","پوز")</f>
        <v/>
      </c>
      <c r="O1156" s="81">
        <f>IF(OR(Scale!$AA296="",Scale!$AA296=0),"",IFERROR(VLOOKUP(Scale!$AA296,AcctTbl,3,0),""))</f>
        <v/>
      </c>
      <c r="P1156" s="82">
        <f>IF(Scale!$AA296&lt;&gt;"X011","","BN02")</f>
        <v/>
      </c>
    </row>
    <row r="1157" ht="20.25" customHeight="1">
      <c r="A1157" s="80">
        <f>IF(OR(Scale!$AD296="",Scale!$AD296=0),"",Scale!$B296)</f>
        <v/>
      </c>
      <c r="B1157" s="80">
        <f>IF(OR(Scale!$AD296="",Scale!$AD296=0),"",Scale!$D296)</f>
        <v/>
      </c>
      <c r="C1157" s="80">
        <f>IF(OR(Scale!$AD296="",Scale!$AD296=0),"","باسکول")</f>
        <v/>
      </c>
      <c r="D1157" s="80">
        <f>IF(OR(Scale!$AD296="",Scale!$AD296=0),"",Scale!$AD296)</f>
        <v/>
      </c>
      <c r="E1157" s="81">
        <f>IF(OR(Scale!$AD296="",Scale!$AD296=0),"",IF(Scale!$AD296="","","مقابل پوز — "&amp;Scale!$E296))</f>
        <v/>
      </c>
      <c r="F1157" s="83" t="n"/>
      <c r="G1157" s="83" t="n"/>
      <c r="H1157" s="83" t="n"/>
      <c r="I1157" s="83" t="n"/>
      <c r="J1157" s="83" t="n"/>
      <c r="K1157" s="82">
        <f>IF(OR(Scale!$AD296="",Scale!$AD296=0),"",IF(Scale!$AE296="",0,Scale!$AE296)+IF(Scale!$AF296="",0,Scale!$AF296))</f>
        <v/>
      </c>
      <c r="L1157" s="82">
        <f>IF(OR(Scale!$AD296="",Scale!$AD296=0),"",Scale!$AE296)</f>
        <v/>
      </c>
      <c r="M1157" s="82">
        <f>IF(OR(Scale!$AD296="",Scale!$AD296=0),"",Scale!$AF296)</f>
        <v/>
      </c>
      <c r="N1157" s="81">
        <f>IF(OR(Scale!$AD296="",Scale!$AD296=0),"","مقابل پوز")</f>
        <v/>
      </c>
      <c r="O1157" s="81">
        <f>IF(OR(Scale!$AD296="",Scale!$AD296=0),"",IFERROR(VLOOKUP(Scale!$AD296,AcctTbl,3,0),""))</f>
        <v/>
      </c>
      <c r="P1157" s="82">
        <f>IF(Scale!$AD296&lt;&gt;"X011","","BN02")</f>
        <v/>
      </c>
    </row>
    <row r="1158" ht="20.25" customHeight="1">
      <c r="A1158" s="80">
        <f>IF(OR(Scale!$U297="",Scale!$U297=0),"",Scale!$B297)</f>
        <v/>
      </c>
      <c r="B1158" s="80">
        <f>IF(OR(Scale!$U297="",Scale!$U297=0),"",Scale!$D297)</f>
        <v/>
      </c>
      <c r="C1158" s="80">
        <f>IF(OR(Scale!$U297="",Scale!$U297=0),"","باسکول")</f>
        <v/>
      </c>
      <c r="D1158" s="80">
        <f>IF(OR(Scale!$U297="",Scale!$U297=0),"",Scale!$U297)</f>
        <v/>
      </c>
      <c r="E1158" s="81">
        <f>IF(OR(Scale!$U297="",Scale!$U297=0),"",Scale!$T297)</f>
        <v/>
      </c>
      <c r="F1158" s="81">
        <f>IF(OR(Scale!$U297="",Scale!$U297=0),"",Scale!$J297)</f>
        <v/>
      </c>
      <c r="G1158" s="82">
        <f>IF(OR(Scale!$U297="",Scale!$U297=0),"",Scale!$M297)</f>
        <v/>
      </c>
      <c r="H1158" s="82">
        <f>IF(OR(Scale!$U297="",Scale!$U297=0),"",Scale!$L297)</f>
        <v/>
      </c>
      <c r="I1158" s="82">
        <f>IF(OR(Scale!$U297="",Scale!$U297=0),"",Scale!$N297)</f>
        <v/>
      </c>
      <c r="J1158" s="82">
        <f>IF(OR(Scale!$U297="",Scale!$U297=0),"",Scale!$O297)</f>
        <v/>
      </c>
      <c r="K1158" s="82">
        <f>IF(OR(Scale!$U297="",Scale!$U297=0),"",IF(Scale!$V297="",0,Scale!$V297)+IF(Scale!$W297="",0,Scale!$W297))</f>
        <v/>
      </c>
      <c r="L1158" s="82">
        <f>IF(OR(Scale!$U297="",Scale!$U297=0),"",Scale!$V297)</f>
        <v/>
      </c>
      <c r="M1158" s="82">
        <f>IF(OR(Scale!$U297="",Scale!$U297=0),"",Scale!$W297)</f>
        <v/>
      </c>
      <c r="N1158" s="81">
        <f>IF(OR(Scale!$U297="",Scale!$U297=0),"",Scale!$E297)</f>
        <v/>
      </c>
      <c r="O1158" s="81">
        <f>IF(OR(Scale!$U297="",Scale!$U297=0),"",IFERROR(VLOOKUP(Scale!$U297,AcctTbl,3,0),""))</f>
        <v/>
      </c>
      <c r="P1158" s="82">
        <f>IF(Scale!$U297&lt;&gt;"X011","","BN02")</f>
        <v/>
      </c>
    </row>
    <row r="1159" ht="20.25" customHeight="1">
      <c r="A1159" s="80">
        <f>IF(OR(Scale!$X297="",Scale!$X297=0),"",Scale!$B297)</f>
        <v/>
      </c>
      <c r="B1159" s="80">
        <f>IF(OR(Scale!$X297="",Scale!$X297=0),"",Scale!$D297)</f>
        <v/>
      </c>
      <c r="C1159" s="80">
        <f>IF(OR(Scale!$X297="",Scale!$X297=0),"","باسکول")</f>
        <v/>
      </c>
      <c r="D1159" s="80">
        <f>IF(OR(Scale!$X297="",Scale!$X297=0),"",Scale!$X297)</f>
        <v/>
      </c>
      <c r="E1159" s="81">
        <f>IF(OR(Scale!$X297="",Scale!$X297=0),"",IF(Scale!$X297="","","مقابل: "&amp;Scale!$E297))</f>
        <v/>
      </c>
      <c r="F1159" s="83" t="n"/>
      <c r="G1159" s="83" t="n"/>
      <c r="H1159" s="83" t="n"/>
      <c r="I1159" s="83" t="n"/>
      <c r="J1159" s="83" t="n"/>
      <c r="K1159" s="82">
        <f>IF(OR(Scale!$X297="",Scale!$X297=0),"",IF(Scale!$Y297="",0,Scale!$Y297)+IF(Scale!$Z297="",0,Scale!$Z297))</f>
        <v/>
      </c>
      <c r="L1159" s="82">
        <f>IF(OR(Scale!$X297="",Scale!$X297=0),"",Scale!$Y297)</f>
        <v/>
      </c>
      <c r="M1159" s="82">
        <f>IF(OR(Scale!$X297="",Scale!$X297=0),"",Scale!$Z297)</f>
        <v/>
      </c>
      <c r="N1159" s="81">
        <f>IF(OR(Scale!$X297="",Scale!$X297=0),"","مقابل")</f>
        <v/>
      </c>
      <c r="O1159" s="81">
        <f>IF(OR(Scale!$X297="",Scale!$X297=0),"",IFERROR(VLOOKUP(Scale!$X297,AcctTbl,3,0),""))</f>
        <v/>
      </c>
      <c r="P1159" s="82">
        <f>IF(Scale!$X297&lt;&gt;"X011","","BN02")</f>
        <v/>
      </c>
    </row>
    <row r="1160" ht="20.25" customHeight="1">
      <c r="A1160" s="80">
        <f>IF(OR(Scale!$AA297="",Scale!$AA297=0),"",Scale!$B297)</f>
        <v/>
      </c>
      <c r="B1160" s="80">
        <f>IF(OR(Scale!$AA297="",Scale!$AA297=0),"",Scale!$D297)</f>
        <v/>
      </c>
      <c r="C1160" s="80">
        <f>IF(OR(Scale!$AA297="",Scale!$AA297=0),"","باسکول")</f>
        <v/>
      </c>
      <c r="D1160" s="80">
        <f>IF(OR(Scale!$AA297="",Scale!$AA297=0),"",Scale!$AA297)</f>
        <v/>
      </c>
      <c r="E1160" s="81">
        <f>IF(OR(Scale!$AA297="",Scale!$AA297=0),"",IF(Scale!$AA297="","","پوز باسکول — "&amp;Scale!$E297))</f>
        <v/>
      </c>
      <c r="F1160" s="83" t="n"/>
      <c r="G1160" s="83" t="n"/>
      <c r="H1160" s="83" t="n"/>
      <c r="I1160" s="83" t="n"/>
      <c r="J1160" s="83" t="n"/>
      <c r="K1160" s="82">
        <f>IF(OR(Scale!$AA297="",Scale!$AA297=0),"",IF(Scale!$AB297="",0,Scale!$AB297)+IF(Scale!$AC297="",0,Scale!$AC297))</f>
        <v/>
      </c>
      <c r="L1160" s="82">
        <f>IF(OR(Scale!$AA297="",Scale!$AA297=0),"",Scale!$AB297)</f>
        <v/>
      </c>
      <c r="M1160" s="82">
        <f>IF(OR(Scale!$AA297="",Scale!$AA297=0),"",Scale!$AC297)</f>
        <v/>
      </c>
      <c r="N1160" s="81">
        <f>IF(OR(Scale!$AA297="",Scale!$AA297=0),"","پوز")</f>
        <v/>
      </c>
      <c r="O1160" s="81">
        <f>IF(OR(Scale!$AA297="",Scale!$AA297=0),"",IFERROR(VLOOKUP(Scale!$AA297,AcctTbl,3,0),""))</f>
        <v/>
      </c>
      <c r="P1160" s="82">
        <f>IF(Scale!$AA297&lt;&gt;"X011","","BN02")</f>
        <v/>
      </c>
    </row>
    <row r="1161" ht="20.25" customHeight="1">
      <c r="A1161" s="80">
        <f>IF(OR(Scale!$AD297="",Scale!$AD297=0),"",Scale!$B297)</f>
        <v/>
      </c>
      <c r="B1161" s="80">
        <f>IF(OR(Scale!$AD297="",Scale!$AD297=0),"",Scale!$D297)</f>
        <v/>
      </c>
      <c r="C1161" s="80">
        <f>IF(OR(Scale!$AD297="",Scale!$AD297=0),"","باسکول")</f>
        <v/>
      </c>
      <c r="D1161" s="80">
        <f>IF(OR(Scale!$AD297="",Scale!$AD297=0),"",Scale!$AD297)</f>
        <v/>
      </c>
      <c r="E1161" s="81">
        <f>IF(OR(Scale!$AD297="",Scale!$AD297=0),"",IF(Scale!$AD297="","","مقابل پوز — "&amp;Scale!$E297))</f>
        <v/>
      </c>
      <c r="F1161" s="83" t="n"/>
      <c r="G1161" s="83" t="n"/>
      <c r="H1161" s="83" t="n"/>
      <c r="I1161" s="83" t="n"/>
      <c r="J1161" s="83" t="n"/>
      <c r="K1161" s="82">
        <f>IF(OR(Scale!$AD297="",Scale!$AD297=0),"",IF(Scale!$AE297="",0,Scale!$AE297)+IF(Scale!$AF297="",0,Scale!$AF297))</f>
        <v/>
      </c>
      <c r="L1161" s="82">
        <f>IF(OR(Scale!$AD297="",Scale!$AD297=0),"",Scale!$AE297)</f>
        <v/>
      </c>
      <c r="M1161" s="82">
        <f>IF(OR(Scale!$AD297="",Scale!$AD297=0),"",Scale!$AF297)</f>
        <v/>
      </c>
      <c r="N1161" s="81">
        <f>IF(OR(Scale!$AD297="",Scale!$AD297=0),"","مقابل پوز")</f>
        <v/>
      </c>
      <c r="O1161" s="81">
        <f>IF(OR(Scale!$AD297="",Scale!$AD297=0),"",IFERROR(VLOOKUP(Scale!$AD297,AcctTbl,3,0),""))</f>
        <v/>
      </c>
      <c r="P1161" s="82">
        <f>IF(Scale!$AD297&lt;&gt;"X011","","BN02")</f>
        <v/>
      </c>
    </row>
    <row r="1162" ht="20.25" customHeight="1">
      <c r="A1162" s="80">
        <f>IF(OR(Scale!$U298="",Scale!$U298=0),"",Scale!$B298)</f>
        <v/>
      </c>
      <c r="B1162" s="80">
        <f>IF(OR(Scale!$U298="",Scale!$U298=0),"",Scale!$D298)</f>
        <v/>
      </c>
      <c r="C1162" s="80">
        <f>IF(OR(Scale!$U298="",Scale!$U298=0),"","باسکول")</f>
        <v/>
      </c>
      <c r="D1162" s="80">
        <f>IF(OR(Scale!$U298="",Scale!$U298=0),"",Scale!$U298)</f>
        <v/>
      </c>
      <c r="E1162" s="81">
        <f>IF(OR(Scale!$U298="",Scale!$U298=0),"",Scale!$T298)</f>
        <v/>
      </c>
      <c r="F1162" s="81">
        <f>IF(OR(Scale!$U298="",Scale!$U298=0),"",Scale!$J298)</f>
        <v/>
      </c>
      <c r="G1162" s="82">
        <f>IF(OR(Scale!$U298="",Scale!$U298=0),"",Scale!$M298)</f>
        <v/>
      </c>
      <c r="H1162" s="82">
        <f>IF(OR(Scale!$U298="",Scale!$U298=0),"",Scale!$L298)</f>
        <v/>
      </c>
      <c r="I1162" s="82">
        <f>IF(OR(Scale!$U298="",Scale!$U298=0),"",Scale!$N298)</f>
        <v/>
      </c>
      <c r="J1162" s="82">
        <f>IF(OR(Scale!$U298="",Scale!$U298=0),"",Scale!$O298)</f>
        <v/>
      </c>
      <c r="K1162" s="82">
        <f>IF(OR(Scale!$U298="",Scale!$U298=0),"",IF(Scale!$V298="",0,Scale!$V298)+IF(Scale!$W298="",0,Scale!$W298))</f>
        <v/>
      </c>
      <c r="L1162" s="82">
        <f>IF(OR(Scale!$U298="",Scale!$U298=0),"",Scale!$V298)</f>
        <v/>
      </c>
      <c r="M1162" s="82">
        <f>IF(OR(Scale!$U298="",Scale!$U298=0),"",Scale!$W298)</f>
        <v/>
      </c>
      <c r="N1162" s="81">
        <f>IF(OR(Scale!$U298="",Scale!$U298=0),"",Scale!$E298)</f>
        <v/>
      </c>
      <c r="O1162" s="81">
        <f>IF(OR(Scale!$U298="",Scale!$U298=0),"",IFERROR(VLOOKUP(Scale!$U298,AcctTbl,3,0),""))</f>
        <v/>
      </c>
      <c r="P1162" s="82">
        <f>IF(Scale!$U298&lt;&gt;"X011","","BN02")</f>
        <v/>
      </c>
    </row>
    <row r="1163" ht="20.25" customHeight="1">
      <c r="A1163" s="80">
        <f>IF(OR(Scale!$X298="",Scale!$X298=0),"",Scale!$B298)</f>
        <v/>
      </c>
      <c r="B1163" s="80">
        <f>IF(OR(Scale!$X298="",Scale!$X298=0),"",Scale!$D298)</f>
        <v/>
      </c>
      <c r="C1163" s="80">
        <f>IF(OR(Scale!$X298="",Scale!$X298=0),"","باسکول")</f>
        <v/>
      </c>
      <c r="D1163" s="80">
        <f>IF(OR(Scale!$X298="",Scale!$X298=0),"",Scale!$X298)</f>
        <v/>
      </c>
      <c r="E1163" s="81">
        <f>IF(OR(Scale!$X298="",Scale!$X298=0),"",IF(Scale!$X298="","","مقابل: "&amp;Scale!$E298))</f>
        <v/>
      </c>
      <c r="F1163" s="83" t="n"/>
      <c r="G1163" s="83" t="n"/>
      <c r="H1163" s="83" t="n"/>
      <c r="I1163" s="83" t="n"/>
      <c r="J1163" s="83" t="n"/>
      <c r="K1163" s="82">
        <f>IF(OR(Scale!$X298="",Scale!$X298=0),"",IF(Scale!$Y298="",0,Scale!$Y298)+IF(Scale!$Z298="",0,Scale!$Z298))</f>
        <v/>
      </c>
      <c r="L1163" s="82">
        <f>IF(OR(Scale!$X298="",Scale!$X298=0),"",Scale!$Y298)</f>
        <v/>
      </c>
      <c r="M1163" s="82">
        <f>IF(OR(Scale!$X298="",Scale!$X298=0),"",Scale!$Z298)</f>
        <v/>
      </c>
      <c r="N1163" s="81">
        <f>IF(OR(Scale!$X298="",Scale!$X298=0),"","مقابل")</f>
        <v/>
      </c>
      <c r="O1163" s="81">
        <f>IF(OR(Scale!$X298="",Scale!$X298=0),"",IFERROR(VLOOKUP(Scale!$X298,AcctTbl,3,0),""))</f>
        <v/>
      </c>
      <c r="P1163" s="82">
        <f>IF(Scale!$X298&lt;&gt;"X011","","BN02")</f>
        <v/>
      </c>
    </row>
    <row r="1164" ht="20.25" customHeight="1">
      <c r="A1164" s="80">
        <f>IF(OR(Scale!$AA298="",Scale!$AA298=0),"",Scale!$B298)</f>
        <v/>
      </c>
      <c r="B1164" s="80">
        <f>IF(OR(Scale!$AA298="",Scale!$AA298=0),"",Scale!$D298)</f>
        <v/>
      </c>
      <c r="C1164" s="80">
        <f>IF(OR(Scale!$AA298="",Scale!$AA298=0),"","باسکول")</f>
        <v/>
      </c>
      <c r="D1164" s="80">
        <f>IF(OR(Scale!$AA298="",Scale!$AA298=0),"",Scale!$AA298)</f>
        <v/>
      </c>
      <c r="E1164" s="81">
        <f>IF(OR(Scale!$AA298="",Scale!$AA298=0),"",IF(Scale!$AA298="","","پوز باسکول — "&amp;Scale!$E298))</f>
        <v/>
      </c>
      <c r="F1164" s="83" t="n"/>
      <c r="G1164" s="83" t="n"/>
      <c r="H1164" s="83" t="n"/>
      <c r="I1164" s="83" t="n"/>
      <c r="J1164" s="83" t="n"/>
      <c r="K1164" s="82">
        <f>IF(OR(Scale!$AA298="",Scale!$AA298=0),"",IF(Scale!$AB298="",0,Scale!$AB298)+IF(Scale!$AC298="",0,Scale!$AC298))</f>
        <v/>
      </c>
      <c r="L1164" s="82">
        <f>IF(OR(Scale!$AA298="",Scale!$AA298=0),"",Scale!$AB298)</f>
        <v/>
      </c>
      <c r="M1164" s="82">
        <f>IF(OR(Scale!$AA298="",Scale!$AA298=0),"",Scale!$AC298)</f>
        <v/>
      </c>
      <c r="N1164" s="81">
        <f>IF(OR(Scale!$AA298="",Scale!$AA298=0),"","پوز")</f>
        <v/>
      </c>
      <c r="O1164" s="81">
        <f>IF(OR(Scale!$AA298="",Scale!$AA298=0),"",IFERROR(VLOOKUP(Scale!$AA298,AcctTbl,3,0),""))</f>
        <v/>
      </c>
      <c r="P1164" s="82">
        <f>IF(Scale!$AA298&lt;&gt;"X011","","BN02")</f>
        <v/>
      </c>
    </row>
    <row r="1165" ht="20.25" customHeight="1">
      <c r="A1165" s="80">
        <f>IF(OR(Scale!$AD298="",Scale!$AD298=0),"",Scale!$B298)</f>
        <v/>
      </c>
      <c r="B1165" s="80">
        <f>IF(OR(Scale!$AD298="",Scale!$AD298=0),"",Scale!$D298)</f>
        <v/>
      </c>
      <c r="C1165" s="80">
        <f>IF(OR(Scale!$AD298="",Scale!$AD298=0),"","باسکول")</f>
        <v/>
      </c>
      <c r="D1165" s="80">
        <f>IF(OR(Scale!$AD298="",Scale!$AD298=0),"",Scale!$AD298)</f>
        <v/>
      </c>
      <c r="E1165" s="81">
        <f>IF(OR(Scale!$AD298="",Scale!$AD298=0),"",IF(Scale!$AD298="","","مقابل پوز — "&amp;Scale!$E298))</f>
        <v/>
      </c>
      <c r="F1165" s="83" t="n"/>
      <c r="G1165" s="83" t="n"/>
      <c r="H1165" s="83" t="n"/>
      <c r="I1165" s="83" t="n"/>
      <c r="J1165" s="83" t="n"/>
      <c r="K1165" s="82">
        <f>IF(OR(Scale!$AD298="",Scale!$AD298=0),"",IF(Scale!$AE298="",0,Scale!$AE298)+IF(Scale!$AF298="",0,Scale!$AF298))</f>
        <v/>
      </c>
      <c r="L1165" s="82">
        <f>IF(OR(Scale!$AD298="",Scale!$AD298=0),"",Scale!$AE298)</f>
        <v/>
      </c>
      <c r="M1165" s="82">
        <f>IF(OR(Scale!$AD298="",Scale!$AD298=0),"",Scale!$AF298)</f>
        <v/>
      </c>
      <c r="N1165" s="81">
        <f>IF(OR(Scale!$AD298="",Scale!$AD298=0),"","مقابل پوز")</f>
        <v/>
      </c>
      <c r="O1165" s="81">
        <f>IF(OR(Scale!$AD298="",Scale!$AD298=0),"",IFERROR(VLOOKUP(Scale!$AD298,AcctTbl,3,0),""))</f>
        <v/>
      </c>
      <c r="P1165" s="82">
        <f>IF(Scale!$AD298&lt;&gt;"X011","","BN02")</f>
        <v/>
      </c>
    </row>
    <row r="1166" ht="20.25" customHeight="1">
      <c r="A1166" s="80">
        <f>IF(OR(Scale!$U299="",Scale!$U299=0),"",Scale!$B299)</f>
        <v/>
      </c>
      <c r="B1166" s="80">
        <f>IF(OR(Scale!$U299="",Scale!$U299=0),"",Scale!$D299)</f>
        <v/>
      </c>
      <c r="C1166" s="80">
        <f>IF(OR(Scale!$U299="",Scale!$U299=0),"","باسکول")</f>
        <v/>
      </c>
      <c r="D1166" s="80">
        <f>IF(OR(Scale!$U299="",Scale!$U299=0),"",Scale!$U299)</f>
        <v/>
      </c>
      <c r="E1166" s="81">
        <f>IF(OR(Scale!$U299="",Scale!$U299=0),"",Scale!$T299)</f>
        <v/>
      </c>
      <c r="F1166" s="81">
        <f>IF(OR(Scale!$U299="",Scale!$U299=0),"",Scale!$J299)</f>
        <v/>
      </c>
      <c r="G1166" s="82">
        <f>IF(OR(Scale!$U299="",Scale!$U299=0),"",Scale!$M299)</f>
        <v/>
      </c>
      <c r="H1166" s="82">
        <f>IF(OR(Scale!$U299="",Scale!$U299=0),"",Scale!$L299)</f>
        <v/>
      </c>
      <c r="I1166" s="82">
        <f>IF(OR(Scale!$U299="",Scale!$U299=0),"",Scale!$N299)</f>
        <v/>
      </c>
      <c r="J1166" s="82">
        <f>IF(OR(Scale!$U299="",Scale!$U299=0),"",Scale!$O299)</f>
        <v/>
      </c>
      <c r="K1166" s="82">
        <f>IF(OR(Scale!$U299="",Scale!$U299=0),"",IF(Scale!$V299="",0,Scale!$V299)+IF(Scale!$W299="",0,Scale!$W299))</f>
        <v/>
      </c>
      <c r="L1166" s="82">
        <f>IF(OR(Scale!$U299="",Scale!$U299=0),"",Scale!$V299)</f>
        <v/>
      </c>
      <c r="M1166" s="82">
        <f>IF(OR(Scale!$U299="",Scale!$U299=0),"",Scale!$W299)</f>
        <v/>
      </c>
      <c r="N1166" s="81">
        <f>IF(OR(Scale!$U299="",Scale!$U299=0),"",Scale!$E299)</f>
        <v/>
      </c>
      <c r="O1166" s="81">
        <f>IF(OR(Scale!$U299="",Scale!$U299=0),"",IFERROR(VLOOKUP(Scale!$U299,AcctTbl,3,0),""))</f>
        <v/>
      </c>
      <c r="P1166" s="82">
        <f>IF(Scale!$U299&lt;&gt;"X011","","BN02")</f>
        <v/>
      </c>
    </row>
    <row r="1167" ht="20.25" customHeight="1">
      <c r="A1167" s="80">
        <f>IF(OR(Scale!$X299="",Scale!$X299=0),"",Scale!$B299)</f>
        <v/>
      </c>
      <c r="B1167" s="80">
        <f>IF(OR(Scale!$X299="",Scale!$X299=0),"",Scale!$D299)</f>
        <v/>
      </c>
      <c r="C1167" s="80">
        <f>IF(OR(Scale!$X299="",Scale!$X299=0),"","باسکول")</f>
        <v/>
      </c>
      <c r="D1167" s="80">
        <f>IF(OR(Scale!$X299="",Scale!$X299=0),"",Scale!$X299)</f>
        <v/>
      </c>
      <c r="E1167" s="81">
        <f>IF(OR(Scale!$X299="",Scale!$X299=0),"",IF(Scale!$X299="","","مقابل: "&amp;Scale!$E299))</f>
        <v/>
      </c>
      <c r="F1167" s="83" t="n"/>
      <c r="G1167" s="83" t="n"/>
      <c r="H1167" s="83" t="n"/>
      <c r="I1167" s="83" t="n"/>
      <c r="J1167" s="83" t="n"/>
      <c r="K1167" s="82">
        <f>IF(OR(Scale!$X299="",Scale!$X299=0),"",IF(Scale!$Y299="",0,Scale!$Y299)+IF(Scale!$Z299="",0,Scale!$Z299))</f>
        <v/>
      </c>
      <c r="L1167" s="82">
        <f>IF(OR(Scale!$X299="",Scale!$X299=0),"",Scale!$Y299)</f>
        <v/>
      </c>
      <c r="M1167" s="82">
        <f>IF(OR(Scale!$X299="",Scale!$X299=0),"",Scale!$Z299)</f>
        <v/>
      </c>
      <c r="N1167" s="81">
        <f>IF(OR(Scale!$X299="",Scale!$X299=0),"","مقابل")</f>
        <v/>
      </c>
      <c r="O1167" s="81">
        <f>IF(OR(Scale!$X299="",Scale!$X299=0),"",IFERROR(VLOOKUP(Scale!$X299,AcctTbl,3,0),""))</f>
        <v/>
      </c>
      <c r="P1167" s="82">
        <f>IF(Scale!$X299&lt;&gt;"X011","","BN02")</f>
        <v/>
      </c>
    </row>
    <row r="1168" ht="20.25" customHeight="1">
      <c r="A1168" s="80">
        <f>IF(OR(Scale!$AA299="",Scale!$AA299=0),"",Scale!$B299)</f>
        <v/>
      </c>
      <c r="B1168" s="80">
        <f>IF(OR(Scale!$AA299="",Scale!$AA299=0),"",Scale!$D299)</f>
        <v/>
      </c>
      <c r="C1168" s="80">
        <f>IF(OR(Scale!$AA299="",Scale!$AA299=0),"","باسکول")</f>
        <v/>
      </c>
      <c r="D1168" s="80">
        <f>IF(OR(Scale!$AA299="",Scale!$AA299=0),"",Scale!$AA299)</f>
        <v/>
      </c>
      <c r="E1168" s="81">
        <f>IF(OR(Scale!$AA299="",Scale!$AA299=0),"",IF(Scale!$AA299="","","پوز باسکول — "&amp;Scale!$E299))</f>
        <v/>
      </c>
      <c r="F1168" s="83" t="n"/>
      <c r="G1168" s="83" t="n"/>
      <c r="H1168" s="83" t="n"/>
      <c r="I1168" s="83" t="n"/>
      <c r="J1168" s="83" t="n"/>
      <c r="K1168" s="82">
        <f>IF(OR(Scale!$AA299="",Scale!$AA299=0),"",IF(Scale!$AB299="",0,Scale!$AB299)+IF(Scale!$AC299="",0,Scale!$AC299))</f>
        <v/>
      </c>
      <c r="L1168" s="82">
        <f>IF(OR(Scale!$AA299="",Scale!$AA299=0),"",Scale!$AB299)</f>
        <v/>
      </c>
      <c r="M1168" s="82">
        <f>IF(OR(Scale!$AA299="",Scale!$AA299=0),"",Scale!$AC299)</f>
        <v/>
      </c>
      <c r="N1168" s="81">
        <f>IF(OR(Scale!$AA299="",Scale!$AA299=0),"","پوز")</f>
        <v/>
      </c>
      <c r="O1168" s="81">
        <f>IF(OR(Scale!$AA299="",Scale!$AA299=0),"",IFERROR(VLOOKUP(Scale!$AA299,AcctTbl,3,0),""))</f>
        <v/>
      </c>
      <c r="P1168" s="82">
        <f>IF(Scale!$AA299&lt;&gt;"X011","","BN02")</f>
        <v/>
      </c>
    </row>
    <row r="1169" ht="20.25" customHeight="1">
      <c r="A1169" s="80">
        <f>IF(OR(Scale!$AD299="",Scale!$AD299=0),"",Scale!$B299)</f>
        <v/>
      </c>
      <c r="B1169" s="80">
        <f>IF(OR(Scale!$AD299="",Scale!$AD299=0),"",Scale!$D299)</f>
        <v/>
      </c>
      <c r="C1169" s="80">
        <f>IF(OR(Scale!$AD299="",Scale!$AD299=0),"","باسکول")</f>
        <v/>
      </c>
      <c r="D1169" s="80">
        <f>IF(OR(Scale!$AD299="",Scale!$AD299=0),"",Scale!$AD299)</f>
        <v/>
      </c>
      <c r="E1169" s="81">
        <f>IF(OR(Scale!$AD299="",Scale!$AD299=0),"",IF(Scale!$AD299="","","مقابل پوز — "&amp;Scale!$E299))</f>
        <v/>
      </c>
      <c r="F1169" s="83" t="n"/>
      <c r="G1169" s="83" t="n"/>
      <c r="H1169" s="83" t="n"/>
      <c r="I1169" s="83" t="n"/>
      <c r="J1169" s="83" t="n"/>
      <c r="K1169" s="82">
        <f>IF(OR(Scale!$AD299="",Scale!$AD299=0),"",IF(Scale!$AE299="",0,Scale!$AE299)+IF(Scale!$AF299="",0,Scale!$AF299))</f>
        <v/>
      </c>
      <c r="L1169" s="82">
        <f>IF(OR(Scale!$AD299="",Scale!$AD299=0),"",Scale!$AE299)</f>
        <v/>
      </c>
      <c r="M1169" s="82">
        <f>IF(OR(Scale!$AD299="",Scale!$AD299=0),"",Scale!$AF299)</f>
        <v/>
      </c>
      <c r="N1169" s="81">
        <f>IF(OR(Scale!$AD299="",Scale!$AD299=0),"","مقابل پوز")</f>
        <v/>
      </c>
      <c r="O1169" s="81">
        <f>IF(OR(Scale!$AD299="",Scale!$AD299=0),"",IFERROR(VLOOKUP(Scale!$AD299,AcctTbl,3,0),""))</f>
        <v/>
      </c>
      <c r="P1169" s="82">
        <f>IF(Scale!$AD299&lt;&gt;"X011","","BN02")</f>
        <v/>
      </c>
    </row>
    <row r="1170" ht="20.25" customHeight="1">
      <c r="A1170" s="80">
        <f>IF(OR(Scale!$U300="",Scale!$U300=0),"",Scale!$B300)</f>
        <v/>
      </c>
      <c r="B1170" s="80">
        <f>IF(OR(Scale!$U300="",Scale!$U300=0),"",Scale!$D300)</f>
        <v/>
      </c>
      <c r="C1170" s="80">
        <f>IF(OR(Scale!$U300="",Scale!$U300=0),"","باسکول")</f>
        <v/>
      </c>
      <c r="D1170" s="80">
        <f>IF(OR(Scale!$U300="",Scale!$U300=0),"",Scale!$U300)</f>
        <v/>
      </c>
      <c r="E1170" s="81">
        <f>IF(OR(Scale!$U300="",Scale!$U300=0),"",Scale!$T300)</f>
        <v/>
      </c>
      <c r="F1170" s="81">
        <f>IF(OR(Scale!$U300="",Scale!$U300=0),"",Scale!$J300)</f>
        <v/>
      </c>
      <c r="G1170" s="82">
        <f>IF(OR(Scale!$U300="",Scale!$U300=0),"",Scale!$M300)</f>
        <v/>
      </c>
      <c r="H1170" s="82">
        <f>IF(OR(Scale!$U300="",Scale!$U300=0),"",Scale!$L300)</f>
        <v/>
      </c>
      <c r="I1170" s="82">
        <f>IF(OR(Scale!$U300="",Scale!$U300=0),"",Scale!$N300)</f>
        <v/>
      </c>
      <c r="J1170" s="82">
        <f>IF(OR(Scale!$U300="",Scale!$U300=0),"",Scale!$O300)</f>
        <v/>
      </c>
      <c r="K1170" s="82">
        <f>IF(OR(Scale!$U300="",Scale!$U300=0),"",IF(Scale!$V300="",0,Scale!$V300)+IF(Scale!$W300="",0,Scale!$W300))</f>
        <v/>
      </c>
      <c r="L1170" s="82">
        <f>IF(OR(Scale!$U300="",Scale!$U300=0),"",Scale!$V300)</f>
        <v/>
      </c>
      <c r="M1170" s="82">
        <f>IF(OR(Scale!$U300="",Scale!$U300=0),"",Scale!$W300)</f>
        <v/>
      </c>
      <c r="N1170" s="81">
        <f>IF(OR(Scale!$U300="",Scale!$U300=0),"",Scale!$E300)</f>
        <v/>
      </c>
      <c r="O1170" s="81">
        <f>IF(OR(Scale!$U300="",Scale!$U300=0),"",IFERROR(VLOOKUP(Scale!$U300,AcctTbl,3,0),""))</f>
        <v/>
      </c>
      <c r="P1170" s="82">
        <f>IF(Scale!$U300&lt;&gt;"X011","","BN02")</f>
        <v/>
      </c>
    </row>
    <row r="1171" ht="20.25" customHeight="1">
      <c r="A1171" s="80">
        <f>IF(OR(Scale!$X300="",Scale!$X300=0),"",Scale!$B300)</f>
        <v/>
      </c>
      <c r="B1171" s="80">
        <f>IF(OR(Scale!$X300="",Scale!$X300=0),"",Scale!$D300)</f>
        <v/>
      </c>
      <c r="C1171" s="80">
        <f>IF(OR(Scale!$X300="",Scale!$X300=0),"","باسکول")</f>
        <v/>
      </c>
      <c r="D1171" s="80">
        <f>IF(OR(Scale!$X300="",Scale!$X300=0),"",Scale!$X300)</f>
        <v/>
      </c>
      <c r="E1171" s="81">
        <f>IF(OR(Scale!$X300="",Scale!$X300=0),"",IF(Scale!$X300="","","مقابل: "&amp;Scale!$E300))</f>
        <v/>
      </c>
      <c r="F1171" s="83" t="n"/>
      <c r="G1171" s="83" t="n"/>
      <c r="H1171" s="83" t="n"/>
      <c r="I1171" s="83" t="n"/>
      <c r="J1171" s="83" t="n"/>
      <c r="K1171" s="82">
        <f>IF(OR(Scale!$X300="",Scale!$X300=0),"",IF(Scale!$Y300="",0,Scale!$Y300)+IF(Scale!$Z300="",0,Scale!$Z300))</f>
        <v/>
      </c>
      <c r="L1171" s="82">
        <f>IF(OR(Scale!$X300="",Scale!$X300=0),"",Scale!$Y300)</f>
        <v/>
      </c>
      <c r="M1171" s="82">
        <f>IF(OR(Scale!$X300="",Scale!$X300=0),"",Scale!$Z300)</f>
        <v/>
      </c>
      <c r="N1171" s="81">
        <f>IF(OR(Scale!$X300="",Scale!$X300=0),"","مقابل")</f>
        <v/>
      </c>
      <c r="O1171" s="81">
        <f>IF(OR(Scale!$X300="",Scale!$X300=0),"",IFERROR(VLOOKUP(Scale!$X300,AcctTbl,3,0),""))</f>
        <v/>
      </c>
      <c r="P1171" s="82">
        <f>IF(Scale!$X300&lt;&gt;"X011","","BN02")</f>
        <v/>
      </c>
    </row>
    <row r="1172" ht="20.25" customHeight="1">
      <c r="A1172" s="80">
        <f>IF(OR(Scale!$AA300="",Scale!$AA300=0),"",Scale!$B300)</f>
        <v/>
      </c>
      <c r="B1172" s="80">
        <f>IF(OR(Scale!$AA300="",Scale!$AA300=0),"",Scale!$D300)</f>
        <v/>
      </c>
      <c r="C1172" s="80">
        <f>IF(OR(Scale!$AA300="",Scale!$AA300=0),"","باسکول")</f>
        <v/>
      </c>
      <c r="D1172" s="80">
        <f>IF(OR(Scale!$AA300="",Scale!$AA300=0),"",Scale!$AA300)</f>
        <v/>
      </c>
      <c r="E1172" s="81">
        <f>IF(OR(Scale!$AA300="",Scale!$AA300=0),"",IF(Scale!$AA300="","","پوز باسکول — "&amp;Scale!$E300))</f>
        <v/>
      </c>
      <c r="F1172" s="83" t="n"/>
      <c r="G1172" s="83" t="n"/>
      <c r="H1172" s="83" t="n"/>
      <c r="I1172" s="83" t="n"/>
      <c r="J1172" s="83" t="n"/>
      <c r="K1172" s="82">
        <f>IF(OR(Scale!$AA300="",Scale!$AA300=0),"",IF(Scale!$AB300="",0,Scale!$AB300)+IF(Scale!$AC300="",0,Scale!$AC300))</f>
        <v/>
      </c>
      <c r="L1172" s="82">
        <f>IF(OR(Scale!$AA300="",Scale!$AA300=0),"",Scale!$AB300)</f>
        <v/>
      </c>
      <c r="M1172" s="82">
        <f>IF(OR(Scale!$AA300="",Scale!$AA300=0),"",Scale!$AC300)</f>
        <v/>
      </c>
      <c r="N1172" s="81">
        <f>IF(OR(Scale!$AA300="",Scale!$AA300=0),"","پوز")</f>
        <v/>
      </c>
      <c r="O1172" s="81">
        <f>IF(OR(Scale!$AA300="",Scale!$AA300=0),"",IFERROR(VLOOKUP(Scale!$AA300,AcctTbl,3,0),""))</f>
        <v/>
      </c>
      <c r="P1172" s="82">
        <f>IF(Scale!$AA300&lt;&gt;"X011","","BN02")</f>
        <v/>
      </c>
    </row>
    <row r="1173" ht="20.25" customHeight="1">
      <c r="A1173" s="80">
        <f>IF(OR(Scale!$AD300="",Scale!$AD300=0),"",Scale!$B300)</f>
        <v/>
      </c>
      <c r="B1173" s="80">
        <f>IF(OR(Scale!$AD300="",Scale!$AD300=0),"",Scale!$D300)</f>
        <v/>
      </c>
      <c r="C1173" s="80">
        <f>IF(OR(Scale!$AD300="",Scale!$AD300=0),"","باسکول")</f>
        <v/>
      </c>
      <c r="D1173" s="80">
        <f>IF(OR(Scale!$AD300="",Scale!$AD300=0),"",Scale!$AD300)</f>
        <v/>
      </c>
      <c r="E1173" s="81">
        <f>IF(OR(Scale!$AD300="",Scale!$AD300=0),"",IF(Scale!$AD300="","","مقابل پوز — "&amp;Scale!$E300))</f>
        <v/>
      </c>
      <c r="F1173" s="83" t="n"/>
      <c r="G1173" s="83" t="n"/>
      <c r="H1173" s="83" t="n"/>
      <c r="I1173" s="83" t="n"/>
      <c r="J1173" s="83" t="n"/>
      <c r="K1173" s="82">
        <f>IF(OR(Scale!$AD300="",Scale!$AD300=0),"",IF(Scale!$AE300="",0,Scale!$AE300)+IF(Scale!$AF300="",0,Scale!$AF300))</f>
        <v/>
      </c>
      <c r="L1173" s="82">
        <f>IF(OR(Scale!$AD300="",Scale!$AD300=0),"",Scale!$AE300)</f>
        <v/>
      </c>
      <c r="M1173" s="82">
        <f>IF(OR(Scale!$AD300="",Scale!$AD300=0),"",Scale!$AF300)</f>
        <v/>
      </c>
      <c r="N1173" s="81">
        <f>IF(OR(Scale!$AD300="",Scale!$AD300=0),"","مقابل پوز")</f>
        <v/>
      </c>
      <c r="O1173" s="81">
        <f>IF(OR(Scale!$AD300="",Scale!$AD300=0),"",IFERROR(VLOOKUP(Scale!$AD300,AcctTbl,3,0),""))</f>
        <v/>
      </c>
      <c r="P1173" s="82">
        <f>IF(Scale!$AD300&lt;&gt;"X011","","BN02")</f>
        <v/>
      </c>
    </row>
    <row r="1174" ht="20.25" customHeight="1">
      <c r="A1174" s="80">
        <f>IF(OR(Scale!$U301="",Scale!$U301=0),"",Scale!$B301)</f>
        <v/>
      </c>
      <c r="B1174" s="80">
        <f>IF(OR(Scale!$U301="",Scale!$U301=0),"",Scale!$D301)</f>
        <v/>
      </c>
      <c r="C1174" s="80">
        <f>IF(OR(Scale!$U301="",Scale!$U301=0),"","باسکول")</f>
        <v/>
      </c>
      <c r="D1174" s="80">
        <f>IF(OR(Scale!$U301="",Scale!$U301=0),"",Scale!$U301)</f>
        <v/>
      </c>
      <c r="E1174" s="81">
        <f>IF(OR(Scale!$U301="",Scale!$U301=0),"",Scale!$T301)</f>
        <v/>
      </c>
      <c r="F1174" s="81">
        <f>IF(OR(Scale!$U301="",Scale!$U301=0),"",Scale!$J301)</f>
        <v/>
      </c>
      <c r="G1174" s="82">
        <f>IF(OR(Scale!$U301="",Scale!$U301=0),"",Scale!$M301)</f>
        <v/>
      </c>
      <c r="H1174" s="82">
        <f>IF(OR(Scale!$U301="",Scale!$U301=0),"",Scale!$L301)</f>
        <v/>
      </c>
      <c r="I1174" s="82">
        <f>IF(OR(Scale!$U301="",Scale!$U301=0),"",Scale!$N301)</f>
        <v/>
      </c>
      <c r="J1174" s="82">
        <f>IF(OR(Scale!$U301="",Scale!$U301=0),"",Scale!$O301)</f>
        <v/>
      </c>
      <c r="K1174" s="82">
        <f>IF(OR(Scale!$U301="",Scale!$U301=0),"",IF(Scale!$V301="",0,Scale!$V301)+IF(Scale!$W301="",0,Scale!$W301))</f>
        <v/>
      </c>
      <c r="L1174" s="82">
        <f>IF(OR(Scale!$U301="",Scale!$U301=0),"",Scale!$V301)</f>
        <v/>
      </c>
      <c r="M1174" s="82">
        <f>IF(OR(Scale!$U301="",Scale!$U301=0),"",Scale!$W301)</f>
        <v/>
      </c>
      <c r="N1174" s="81">
        <f>IF(OR(Scale!$U301="",Scale!$U301=0),"",Scale!$E301)</f>
        <v/>
      </c>
      <c r="O1174" s="81">
        <f>IF(OR(Scale!$U301="",Scale!$U301=0),"",IFERROR(VLOOKUP(Scale!$U301,AcctTbl,3,0),""))</f>
        <v/>
      </c>
      <c r="P1174" s="82">
        <f>IF(Scale!$U301&lt;&gt;"X011","","BN02")</f>
        <v/>
      </c>
    </row>
    <row r="1175" ht="20.25" customHeight="1">
      <c r="A1175" s="80">
        <f>IF(OR(Scale!$X301="",Scale!$X301=0),"",Scale!$B301)</f>
        <v/>
      </c>
      <c r="B1175" s="80">
        <f>IF(OR(Scale!$X301="",Scale!$X301=0),"",Scale!$D301)</f>
        <v/>
      </c>
      <c r="C1175" s="80">
        <f>IF(OR(Scale!$X301="",Scale!$X301=0),"","باسکول")</f>
        <v/>
      </c>
      <c r="D1175" s="80">
        <f>IF(OR(Scale!$X301="",Scale!$X301=0),"",Scale!$X301)</f>
        <v/>
      </c>
      <c r="E1175" s="81">
        <f>IF(OR(Scale!$X301="",Scale!$X301=0),"",IF(Scale!$X301="","","مقابل: "&amp;Scale!$E301))</f>
        <v/>
      </c>
      <c r="F1175" s="83" t="n"/>
      <c r="G1175" s="83" t="n"/>
      <c r="H1175" s="83" t="n"/>
      <c r="I1175" s="83" t="n"/>
      <c r="J1175" s="83" t="n"/>
      <c r="K1175" s="82">
        <f>IF(OR(Scale!$X301="",Scale!$X301=0),"",IF(Scale!$Y301="",0,Scale!$Y301)+IF(Scale!$Z301="",0,Scale!$Z301))</f>
        <v/>
      </c>
      <c r="L1175" s="82">
        <f>IF(OR(Scale!$X301="",Scale!$X301=0),"",Scale!$Y301)</f>
        <v/>
      </c>
      <c r="M1175" s="82">
        <f>IF(OR(Scale!$X301="",Scale!$X301=0),"",Scale!$Z301)</f>
        <v/>
      </c>
      <c r="N1175" s="81">
        <f>IF(OR(Scale!$X301="",Scale!$X301=0),"","مقابل")</f>
        <v/>
      </c>
      <c r="O1175" s="81">
        <f>IF(OR(Scale!$X301="",Scale!$X301=0),"",IFERROR(VLOOKUP(Scale!$X301,AcctTbl,3,0),""))</f>
        <v/>
      </c>
      <c r="P1175" s="82">
        <f>IF(Scale!$X301&lt;&gt;"X011","","BN02")</f>
        <v/>
      </c>
    </row>
    <row r="1176" ht="20.25" customHeight="1">
      <c r="A1176" s="80">
        <f>IF(OR(Scale!$AA301="",Scale!$AA301=0),"",Scale!$B301)</f>
        <v/>
      </c>
      <c r="B1176" s="80">
        <f>IF(OR(Scale!$AA301="",Scale!$AA301=0),"",Scale!$D301)</f>
        <v/>
      </c>
      <c r="C1176" s="80">
        <f>IF(OR(Scale!$AA301="",Scale!$AA301=0),"","باسکول")</f>
        <v/>
      </c>
      <c r="D1176" s="80">
        <f>IF(OR(Scale!$AA301="",Scale!$AA301=0),"",Scale!$AA301)</f>
        <v/>
      </c>
      <c r="E1176" s="81">
        <f>IF(OR(Scale!$AA301="",Scale!$AA301=0),"",IF(Scale!$AA301="","","پوز باسکول — "&amp;Scale!$E301))</f>
        <v/>
      </c>
      <c r="F1176" s="83" t="n"/>
      <c r="G1176" s="83" t="n"/>
      <c r="H1176" s="83" t="n"/>
      <c r="I1176" s="83" t="n"/>
      <c r="J1176" s="83" t="n"/>
      <c r="K1176" s="82">
        <f>IF(OR(Scale!$AA301="",Scale!$AA301=0),"",IF(Scale!$AB301="",0,Scale!$AB301)+IF(Scale!$AC301="",0,Scale!$AC301))</f>
        <v/>
      </c>
      <c r="L1176" s="82">
        <f>IF(OR(Scale!$AA301="",Scale!$AA301=0),"",Scale!$AB301)</f>
        <v/>
      </c>
      <c r="M1176" s="82">
        <f>IF(OR(Scale!$AA301="",Scale!$AA301=0),"",Scale!$AC301)</f>
        <v/>
      </c>
      <c r="N1176" s="81">
        <f>IF(OR(Scale!$AA301="",Scale!$AA301=0),"","پوز")</f>
        <v/>
      </c>
      <c r="O1176" s="81">
        <f>IF(OR(Scale!$AA301="",Scale!$AA301=0),"",IFERROR(VLOOKUP(Scale!$AA301,AcctTbl,3,0),""))</f>
        <v/>
      </c>
      <c r="P1176" s="82">
        <f>IF(Scale!$AA301&lt;&gt;"X011","","BN02")</f>
        <v/>
      </c>
    </row>
    <row r="1177" ht="20.25" customHeight="1">
      <c r="A1177" s="80">
        <f>IF(OR(Scale!$AD301="",Scale!$AD301=0),"",Scale!$B301)</f>
        <v/>
      </c>
      <c r="B1177" s="80">
        <f>IF(OR(Scale!$AD301="",Scale!$AD301=0),"",Scale!$D301)</f>
        <v/>
      </c>
      <c r="C1177" s="80">
        <f>IF(OR(Scale!$AD301="",Scale!$AD301=0),"","باسکول")</f>
        <v/>
      </c>
      <c r="D1177" s="80">
        <f>IF(OR(Scale!$AD301="",Scale!$AD301=0),"",Scale!$AD301)</f>
        <v/>
      </c>
      <c r="E1177" s="81">
        <f>IF(OR(Scale!$AD301="",Scale!$AD301=0),"",IF(Scale!$AD301="","","مقابل پوز — "&amp;Scale!$E301))</f>
        <v/>
      </c>
      <c r="F1177" s="83" t="n"/>
      <c r="G1177" s="83" t="n"/>
      <c r="H1177" s="83" t="n"/>
      <c r="I1177" s="83" t="n"/>
      <c r="J1177" s="83" t="n"/>
      <c r="K1177" s="82">
        <f>IF(OR(Scale!$AD301="",Scale!$AD301=0),"",IF(Scale!$AE301="",0,Scale!$AE301)+IF(Scale!$AF301="",0,Scale!$AF301))</f>
        <v/>
      </c>
      <c r="L1177" s="82">
        <f>IF(OR(Scale!$AD301="",Scale!$AD301=0),"",Scale!$AE301)</f>
        <v/>
      </c>
      <c r="M1177" s="82">
        <f>IF(OR(Scale!$AD301="",Scale!$AD301=0),"",Scale!$AF301)</f>
        <v/>
      </c>
      <c r="N1177" s="81">
        <f>IF(OR(Scale!$AD301="",Scale!$AD301=0),"","مقابل پوز")</f>
        <v/>
      </c>
      <c r="O1177" s="81">
        <f>IF(OR(Scale!$AD301="",Scale!$AD301=0),"",IFERROR(VLOOKUP(Scale!$AD301,AcctTbl,3,0),""))</f>
        <v/>
      </c>
      <c r="P1177" s="82">
        <f>IF(Scale!$AD301&lt;&gt;"X011","","BN02")</f>
        <v/>
      </c>
    </row>
    <row r="1178" ht="20.25" customHeight="1">
      <c r="A1178" s="80">
        <f>IF(OR(Scale!$U302="",Scale!$U302=0),"",Scale!$B302)</f>
        <v/>
      </c>
      <c r="B1178" s="80">
        <f>IF(OR(Scale!$U302="",Scale!$U302=0),"",Scale!$D302)</f>
        <v/>
      </c>
      <c r="C1178" s="80">
        <f>IF(OR(Scale!$U302="",Scale!$U302=0),"","باسکول")</f>
        <v/>
      </c>
      <c r="D1178" s="80">
        <f>IF(OR(Scale!$U302="",Scale!$U302=0),"",Scale!$U302)</f>
        <v/>
      </c>
      <c r="E1178" s="81">
        <f>IF(OR(Scale!$U302="",Scale!$U302=0),"",Scale!$T302)</f>
        <v/>
      </c>
      <c r="F1178" s="81">
        <f>IF(OR(Scale!$U302="",Scale!$U302=0),"",Scale!$J302)</f>
        <v/>
      </c>
      <c r="G1178" s="82">
        <f>IF(OR(Scale!$U302="",Scale!$U302=0),"",Scale!$M302)</f>
        <v/>
      </c>
      <c r="H1178" s="82">
        <f>IF(OR(Scale!$U302="",Scale!$U302=0),"",Scale!$L302)</f>
        <v/>
      </c>
      <c r="I1178" s="82">
        <f>IF(OR(Scale!$U302="",Scale!$U302=0),"",Scale!$N302)</f>
        <v/>
      </c>
      <c r="J1178" s="82">
        <f>IF(OR(Scale!$U302="",Scale!$U302=0),"",Scale!$O302)</f>
        <v/>
      </c>
      <c r="K1178" s="82">
        <f>IF(OR(Scale!$U302="",Scale!$U302=0),"",IF(Scale!$V302="",0,Scale!$V302)+IF(Scale!$W302="",0,Scale!$W302))</f>
        <v/>
      </c>
      <c r="L1178" s="82">
        <f>IF(OR(Scale!$U302="",Scale!$U302=0),"",Scale!$V302)</f>
        <v/>
      </c>
      <c r="M1178" s="82">
        <f>IF(OR(Scale!$U302="",Scale!$U302=0),"",Scale!$W302)</f>
        <v/>
      </c>
      <c r="N1178" s="81">
        <f>IF(OR(Scale!$U302="",Scale!$U302=0),"",Scale!$E302)</f>
        <v/>
      </c>
      <c r="O1178" s="81">
        <f>IF(OR(Scale!$U302="",Scale!$U302=0),"",IFERROR(VLOOKUP(Scale!$U302,AcctTbl,3,0),""))</f>
        <v/>
      </c>
      <c r="P1178" s="82">
        <f>IF(Scale!$U302&lt;&gt;"X011","","BN02")</f>
        <v/>
      </c>
    </row>
    <row r="1179" ht="20.25" customHeight="1">
      <c r="A1179" s="80">
        <f>IF(OR(Scale!$X302="",Scale!$X302=0),"",Scale!$B302)</f>
        <v/>
      </c>
      <c r="B1179" s="80">
        <f>IF(OR(Scale!$X302="",Scale!$X302=0),"",Scale!$D302)</f>
        <v/>
      </c>
      <c r="C1179" s="80">
        <f>IF(OR(Scale!$X302="",Scale!$X302=0),"","باسکول")</f>
        <v/>
      </c>
      <c r="D1179" s="80">
        <f>IF(OR(Scale!$X302="",Scale!$X302=0),"",Scale!$X302)</f>
        <v/>
      </c>
      <c r="E1179" s="81">
        <f>IF(OR(Scale!$X302="",Scale!$X302=0),"",IF(Scale!$X302="","","مقابل: "&amp;Scale!$E302))</f>
        <v/>
      </c>
      <c r="F1179" s="83" t="n"/>
      <c r="G1179" s="83" t="n"/>
      <c r="H1179" s="83" t="n"/>
      <c r="I1179" s="83" t="n"/>
      <c r="J1179" s="83" t="n"/>
      <c r="K1179" s="82">
        <f>IF(OR(Scale!$X302="",Scale!$X302=0),"",IF(Scale!$Y302="",0,Scale!$Y302)+IF(Scale!$Z302="",0,Scale!$Z302))</f>
        <v/>
      </c>
      <c r="L1179" s="82">
        <f>IF(OR(Scale!$X302="",Scale!$X302=0),"",Scale!$Y302)</f>
        <v/>
      </c>
      <c r="M1179" s="82">
        <f>IF(OR(Scale!$X302="",Scale!$X302=0),"",Scale!$Z302)</f>
        <v/>
      </c>
      <c r="N1179" s="81">
        <f>IF(OR(Scale!$X302="",Scale!$X302=0),"","مقابل")</f>
        <v/>
      </c>
      <c r="O1179" s="81">
        <f>IF(OR(Scale!$X302="",Scale!$X302=0),"",IFERROR(VLOOKUP(Scale!$X302,AcctTbl,3,0),""))</f>
        <v/>
      </c>
      <c r="P1179" s="82">
        <f>IF(Scale!$X302&lt;&gt;"X011","","BN02")</f>
        <v/>
      </c>
    </row>
    <row r="1180" ht="20.25" customHeight="1">
      <c r="A1180" s="80">
        <f>IF(OR(Scale!$AA302="",Scale!$AA302=0),"",Scale!$B302)</f>
        <v/>
      </c>
      <c r="B1180" s="80">
        <f>IF(OR(Scale!$AA302="",Scale!$AA302=0),"",Scale!$D302)</f>
        <v/>
      </c>
      <c r="C1180" s="80">
        <f>IF(OR(Scale!$AA302="",Scale!$AA302=0),"","باسکول")</f>
        <v/>
      </c>
      <c r="D1180" s="80">
        <f>IF(OR(Scale!$AA302="",Scale!$AA302=0),"",Scale!$AA302)</f>
        <v/>
      </c>
      <c r="E1180" s="81">
        <f>IF(OR(Scale!$AA302="",Scale!$AA302=0),"",IF(Scale!$AA302="","","پوز باسکول — "&amp;Scale!$E302))</f>
        <v/>
      </c>
      <c r="F1180" s="83" t="n"/>
      <c r="G1180" s="83" t="n"/>
      <c r="H1180" s="83" t="n"/>
      <c r="I1180" s="83" t="n"/>
      <c r="J1180" s="83" t="n"/>
      <c r="K1180" s="82">
        <f>IF(OR(Scale!$AA302="",Scale!$AA302=0),"",IF(Scale!$AB302="",0,Scale!$AB302)+IF(Scale!$AC302="",0,Scale!$AC302))</f>
        <v/>
      </c>
      <c r="L1180" s="82">
        <f>IF(OR(Scale!$AA302="",Scale!$AA302=0),"",Scale!$AB302)</f>
        <v/>
      </c>
      <c r="M1180" s="82">
        <f>IF(OR(Scale!$AA302="",Scale!$AA302=0),"",Scale!$AC302)</f>
        <v/>
      </c>
      <c r="N1180" s="81">
        <f>IF(OR(Scale!$AA302="",Scale!$AA302=0),"","پوز")</f>
        <v/>
      </c>
      <c r="O1180" s="81">
        <f>IF(OR(Scale!$AA302="",Scale!$AA302=0),"",IFERROR(VLOOKUP(Scale!$AA302,AcctTbl,3,0),""))</f>
        <v/>
      </c>
      <c r="P1180" s="82">
        <f>IF(Scale!$AA302&lt;&gt;"X011","","BN02")</f>
        <v/>
      </c>
    </row>
    <row r="1181" ht="20.25" customHeight="1">
      <c r="A1181" s="80">
        <f>IF(OR(Scale!$AD302="",Scale!$AD302=0),"",Scale!$B302)</f>
        <v/>
      </c>
      <c r="B1181" s="80">
        <f>IF(OR(Scale!$AD302="",Scale!$AD302=0),"",Scale!$D302)</f>
        <v/>
      </c>
      <c r="C1181" s="80">
        <f>IF(OR(Scale!$AD302="",Scale!$AD302=0),"","باسکول")</f>
        <v/>
      </c>
      <c r="D1181" s="80">
        <f>IF(OR(Scale!$AD302="",Scale!$AD302=0),"",Scale!$AD302)</f>
        <v/>
      </c>
      <c r="E1181" s="81">
        <f>IF(OR(Scale!$AD302="",Scale!$AD302=0),"",IF(Scale!$AD302="","","مقابل پوز — "&amp;Scale!$E302))</f>
        <v/>
      </c>
      <c r="F1181" s="83" t="n"/>
      <c r="G1181" s="83" t="n"/>
      <c r="H1181" s="83" t="n"/>
      <c r="I1181" s="83" t="n"/>
      <c r="J1181" s="83" t="n"/>
      <c r="K1181" s="82">
        <f>IF(OR(Scale!$AD302="",Scale!$AD302=0),"",IF(Scale!$AE302="",0,Scale!$AE302)+IF(Scale!$AF302="",0,Scale!$AF302))</f>
        <v/>
      </c>
      <c r="L1181" s="82">
        <f>IF(OR(Scale!$AD302="",Scale!$AD302=0),"",Scale!$AE302)</f>
        <v/>
      </c>
      <c r="M1181" s="82">
        <f>IF(OR(Scale!$AD302="",Scale!$AD302=0),"",Scale!$AF302)</f>
        <v/>
      </c>
      <c r="N1181" s="81">
        <f>IF(OR(Scale!$AD302="",Scale!$AD302=0),"","مقابل پوز")</f>
        <v/>
      </c>
      <c r="O1181" s="81">
        <f>IF(OR(Scale!$AD302="",Scale!$AD302=0),"",IFERROR(VLOOKUP(Scale!$AD302,AcctTbl,3,0),""))</f>
        <v/>
      </c>
      <c r="P1181" s="82">
        <f>IF(Scale!$AD302&lt;&gt;"X011","","BN02")</f>
        <v/>
      </c>
    </row>
    <row r="1182" ht="20.25" customHeight="1">
      <c r="A1182" s="80">
        <f>IF(OR(Scale!$U303="",Scale!$U303=0),"",Scale!$B303)</f>
        <v/>
      </c>
      <c r="B1182" s="80">
        <f>IF(OR(Scale!$U303="",Scale!$U303=0),"",Scale!$D303)</f>
        <v/>
      </c>
      <c r="C1182" s="80">
        <f>IF(OR(Scale!$U303="",Scale!$U303=0),"","باسکول")</f>
        <v/>
      </c>
      <c r="D1182" s="80">
        <f>IF(OR(Scale!$U303="",Scale!$U303=0),"",Scale!$U303)</f>
        <v/>
      </c>
      <c r="E1182" s="81">
        <f>IF(OR(Scale!$U303="",Scale!$U303=0),"",Scale!$T303)</f>
        <v/>
      </c>
      <c r="F1182" s="81">
        <f>IF(OR(Scale!$U303="",Scale!$U303=0),"",Scale!$J303)</f>
        <v/>
      </c>
      <c r="G1182" s="82">
        <f>IF(OR(Scale!$U303="",Scale!$U303=0),"",Scale!$M303)</f>
        <v/>
      </c>
      <c r="H1182" s="82">
        <f>IF(OR(Scale!$U303="",Scale!$U303=0),"",Scale!$L303)</f>
        <v/>
      </c>
      <c r="I1182" s="82">
        <f>IF(OR(Scale!$U303="",Scale!$U303=0),"",Scale!$N303)</f>
        <v/>
      </c>
      <c r="J1182" s="82">
        <f>IF(OR(Scale!$U303="",Scale!$U303=0),"",Scale!$O303)</f>
        <v/>
      </c>
      <c r="K1182" s="82">
        <f>IF(OR(Scale!$U303="",Scale!$U303=0),"",IF(Scale!$V303="",0,Scale!$V303)+IF(Scale!$W303="",0,Scale!$W303))</f>
        <v/>
      </c>
      <c r="L1182" s="82">
        <f>IF(OR(Scale!$U303="",Scale!$U303=0),"",Scale!$V303)</f>
        <v/>
      </c>
      <c r="M1182" s="82">
        <f>IF(OR(Scale!$U303="",Scale!$U303=0),"",Scale!$W303)</f>
        <v/>
      </c>
      <c r="N1182" s="81">
        <f>IF(OR(Scale!$U303="",Scale!$U303=0),"",Scale!$E303)</f>
        <v/>
      </c>
      <c r="O1182" s="81">
        <f>IF(OR(Scale!$U303="",Scale!$U303=0),"",IFERROR(VLOOKUP(Scale!$U303,AcctTbl,3,0),""))</f>
        <v/>
      </c>
      <c r="P1182" s="82">
        <f>IF(Scale!$U303&lt;&gt;"X011","","BN02")</f>
        <v/>
      </c>
    </row>
    <row r="1183" ht="20.25" customHeight="1">
      <c r="A1183" s="80">
        <f>IF(OR(Scale!$X303="",Scale!$X303=0),"",Scale!$B303)</f>
        <v/>
      </c>
      <c r="B1183" s="80">
        <f>IF(OR(Scale!$X303="",Scale!$X303=0),"",Scale!$D303)</f>
        <v/>
      </c>
      <c r="C1183" s="80">
        <f>IF(OR(Scale!$X303="",Scale!$X303=0),"","باسکول")</f>
        <v/>
      </c>
      <c r="D1183" s="80">
        <f>IF(OR(Scale!$X303="",Scale!$X303=0),"",Scale!$X303)</f>
        <v/>
      </c>
      <c r="E1183" s="81">
        <f>IF(OR(Scale!$X303="",Scale!$X303=0),"",IF(Scale!$X303="","","مقابل: "&amp;Scale!$E303))</f>
        <v/>
      </c>
      <c r="F1183" s="83" t="n"/>
      <c r="G1183" s="83" t="n"/>
      <c r="H1183" s="83" t="n"/>
      <c r="I1183" s="83" t="n"/>
      <c r="J1183" s="83" t="n"/>
      <c r="K1183" s="82">
        <f>IF(OR(Scale!$X303="",Scale!$X303=0),"",IF(Scale!$Y303="",0,Scale!$Y303)+IF(Scale!$Z303="",0,Scale!$Z303))</f>
        <v/>
      </c>
      <c r="L1183" s="82">
        <f>IF(OR(Scale!$X303="",Scale!$X303=0),"",Scale!$Y303)</f>
        <v/>
      </c>
      <c r="M1183" s="82">
        <f>IF(OR(Scale!$X303="",Scale!$X303=0),"",Scale!$Z303)</f>
        <v/>
      </c>
      <c r="N1183" s="81">
        <f>IF(OR(Scale!$X303="",Scale!$X303=0),"","مقابل")</f>
        <v/>
      </c>
      <c r="O1183" s="81">
        <f>IF(OR(Scale!$X303="",Scale!$X303=0),"",IFERROR(VLOOKUP(Scale!$X303,AcctTbl,3,0),""))</f>
        <v/>
      </c>
      <c r="P1183" s="82">
        <f>IF(Scale!$X303&lt;&gt;"X011","","BN02")</f>
        <v/>
      </c>
    </row>
    <row r="1184" ht="20.25" customHeight="1">
      <c r="A1184" s="80">
        <f>IF(OR(Scale!$AA303="",Scale!$AA303=0),"",Scale!$B303)</f>
        <v/>
      </c>
      <c r="B1184" s="80">
        <f>IF(OR(Scale!$AA303="",Scale!$AA303=0),"",Scale!$D303)</f>
        <v/>
      </c>
      <c r="C1184" s="80">
        <f>IF(OR(Scale!$AA303="",Scale!$AA303=0),"","باسکول")</f>
        <v/>
      </c>
      <c r="D1184" s="80">
        <f>IF(OR(Scale!$AA303="",Scale!$AA303=0),"",Scale!$AA303)</f>
        <v/>
      </c>
      <c r="E1184" s="81">
        <f>IF(OR(Scale!$AA303="",Scale!$AA303=0),"",IF(Scale!$AA303="","","پوز باسکول — "&amp;Scale!$E303))</f>
        <v/>
      </c>
      <c r="F1184" s="83" t="n"/>
      <c r="G1184" s="83" t="n"/>
      <c r="H1184" s="83" t="n"/>
      <c r="I1184" s="83" t="n"/>
      <c r="J1184" s="83" t="n"/>
      <c r="K1184" s="82">
        <f>IF(OR(Scale!$AA303="",Scale!$AA303=0),"",IF(Scale!$AB303="",0,Scale!$AB303)+IF(Scale!$AC303="",0,Scale!$AC303))</f>
        <v/>
      </c>
      <c r="L1184" s="82">
        <f>IF(OR(Scale!$AA303="",Scale!$AA303=0),"",Scale!$AB303)</f>
        <v/>
      </c>
      <c r="M1184" s="82">
        <f>IF(OR(Scale!$AA303="",Scale!$AA303=0),"",Scale!$AC303)</f>
        <v/>
      </c>
      <c r="N1184" s="81">
        <f>IF(OR(Scale!$AA303="",Scale!$AA303=0),"","پوز")</f>
        <v/>
      </c>
      <c r="O1184" s="81">
        <f>IF(OR(Scale!$AA303="",Scale!$AA303=0),"",IFERROR(VLOOKUP(Scale!$AA303,AcctTbl,3,0),""))</f>
        <v/>
      </c>
      <c r="P1184" s="82">
        <f>IF(Scale!$AA303&lt;&gt;"X011","","BN02")</f>
        <v/>
      </c>
    </row>
    <row r="1185" ht="20.25" customHeight="1">
      <c r="A1185" s="80">
        <f>IF(OR(Scale!$AD303="",Scale!$AD303=0),"",Scale!$B303)</f>
        <v/>
      </c>
      <c r="B1185" s="80">
        <f>IF(OR(Scale!$AD303="",Scale!$AD303=0),"",Scale!$D303)</f>
        <v/>
      </c>
      <c r="C1185" s="80">
        <f>IF(OR(Scale!$AD303="",Scale!$AD303=0),"","باسکول")</f>
        <v/>
      </c>
      <c r="D1185" s="80">
        <f>IF(OR(Scale!$AD303="",Scale!$AD303=0),"",Scale!$AD303)</f>
        <v/>
      </c>
      <c r="E1185" s="81">
        <f>IF(OR(Scale!$AD303="",Scale!$AD303=0),"",IF(Scale!$AD303="","","مقابل پوز — "&amp;Scale!$E303))</f>
        <v/>
      </c>
      <c r="F1185" s="83" t="n"/>
      <c r="G1185" s="83" t="n"/>
      <c r="H1185" s="83" t="n"/>
      <c r="I1185" s="83" t="n"/>
      <c r="J1185" s="83" t="n"/>
      <c r="K1185" s="82">
        <f>IF(OR(Scale!$AD303="",Scale!$AD303=0),"",IF(Scale!$AE303="",0,Scale!$AE303)+IF(Scale!$AF303="",0,Scale!$AF303))</f>
        <v/>
      </c>
      <c r="L1185" s="82">
        <f>IF(OR(Scale!$AD303="",Scale!$AD303=0),"",Scale!$AE303)</f>
        <v/>
      </c>
      <c r="M1185" s="82">
        <f>IF(OR(Scale!$AD303="",Scale!$AD303=0),"",Scale!$AF303)</f>
        <v/>
      </c>
      <c r="N1185" s="81">
        <f>IF(OR(Scale!$AD303="",Scale!$AD303=0),"","مقابل پوز")</f>
        <v/>
      </c>
      <c r="O1185" s="81">
        <f>IF(OR(Scale!$AD303="",Scale!$AD303=0),"",IFERROR(VLOOKUP(Scale!$AD303,AcctTbl,3,0),""))</f>
        <v/>
      </c>
      <c r="P1185" s="82">
        <f>IF(Scale!$AD303&lt;&gt;"X011","","BN02")</f>
        <v/>
      </c>
    </row>
    <row r="1186" ht="20.25" customHeight="1">
      <c r="A1186" s="80">
        <f>IF(OR(Scale!$U304="",Scale!$U304=0),"",Scale!$B304)</f>
        <v/>
      </c>
      <c r="B1186" s="80">
        <f>IF(OR(Scale!$U304="",Scale!$U304=0),"",Scale!$D304)</f>
        <v/>
      </c>
      <c r="C1186" s="80">
        <f>IF(OR(Scale!$U304="",Scale!$U304=0),"","باسکول")</f>
        <v/>
      </c>
      <c r="D1186" s="80">
        <f>IF(OR(Scale!$U304="",Scale!$U304=0),"",Scale!$U304)</f>
        <v/>
      </c>
      <c r="E1186" s="81">
        <f>IF(OR(Scale!$U304="",Scale!$U304=0),"",Scale!$T304)</f>
        <v/>
      </c>
      <c r="F1186" s="81">
        <f>IF(OR(Scale!$U304="",Scale!$U304=0),"",Scale!$J304)</f>
        <v/>
      </c>
      <c r="G1186" s="82">
        <f>IF(OR(Scale!$U304="",Scale!$U304=0),"",Scale!$M304)</f>
        <v/>
      </c>
      <c r="H1186" s="82">
        <f>IF(OR(Scale!$U304="",Scale!$U304=0),"",Scale!$L304)</f>
        <v/>
      </c>
      <c r="I1186" s="82">
        <f>IF(OR(Scale!$U304="",Scale!$U304=0),"",Scale!$N304)</f>
        <v/>
      </c>
      <c r="J1186" s="82">
        <f>IF(OR(Scale!$U304="",Scale!$U304=0),"",Scale!$O304)</f>
        <v/>
      </c>
      <c r="K1186" s="82">
        <f>IF(OR(Scale!$U304="",Scale!$U304=0),"",IF(Scale!$V304="",0,Scale!$V304)+IF(Scale!$W304="",0,Scale!$W304))</f>
        <v/>
      </c>
      <c r="L1186" s="82">
        <f>IF(OR(Scale!$U304="",Scale!$U304=0),"",Scale!$V304)</f>
        <v/>
      </c>
      <c r="M1186" s="82">
        <f>IF(OR(Scale!$U304="",Scale!$U304=0),"",Scale!$W304)</f>
        <v/>
      </c>
      <c r="N1186" s="81">
        <f>IF(OR(Scale!$U304="",Scale!$U304=0),"",Scale!$E304)</f>
        <v/>
      </c>
      <c r="O1186" s="81">
        <f>IF(OR(Scale!$U304="",Scale!$U304=0),"",IFERROR(VLOOKUP(Scale!$U304,AcctTbl,3,0),""))</f>
        <v/>
      </c>
      <c r="P1186" s="82">
        <f>IF(Scale!$U304&lt;&gt;"X011","","BN02")</f>
        <v/>
      </c>
    </row>
    <row r="1187" ht="20.25" customHeight="1">
      <c r="A1187" s="80">
        <f>IF(OR(Scale!$X304="",Scale!$X304=0),"",Scale!$B304)</f>
        <v/>
      </c>
      <c r="B1187" s="80">
        <f>IF(OR(Scale!$X304="",Scale!$X304=0),"",Scale!$D304)</f>
        <v/>
      </c>
      <c r="C1187" s="80">
        <f>IF(OR(Scale!$X304="",Scale!$X304=0),"","باسکول")</f>
        <v/>
      </c>
      <c r="D1187" s="80">
        <f>IF(OR(Scale!$X304="",Scale!$X304=0),"",Scale!$X304)</f>
        <v/>
      </c>
      <c r="E1187" s="81">
        <f>IF(OR(Scale!$X304="",Scale!$X304=0),"",IF(Scale!$X304="","","مقابل: "&amp;Scale!$E304))</f>
        <v/>
      </c>
      <c r="F1187" s="83" t="n"/>
      <c r="G1187" s="83" t="n"/>
      <c r="H1187" s="83" t="n"/>
      <c r="I1187" s="83" t="n"/>
      <c r="J1187" s="83" t="n"/>
      <c r="K1187" s="82">
        <f>IF(OR(Scale!$X304="",Scale!$X304=0),"",IF(Scale!$Y304="",0,Scale!$Y304)+IF(Scale!$Z304="",0,Scale!$Z304))</f>
        <v/>
      </c>
      <c r="L1187" s="82">
        <f>IF(OR(Scale!$X304="",Scale!$X304=0),"",Scale!$Y304)</f>
        <v/>
      </c>
      <c r="M1187" s="82">
        <f>IF(OR(Scale!$X304="",Scale!$X304=0),"",Scale!$Z304)</f>
        <v/>
      </c>
      <c r="N1187" s="81">
        <f>IF(OR(Scale!$X304="",Scale!$X304=0),"","مقابل")</f>
        <v/>
      </c>
      <c r="O1187" s="81">
        <f>IF(OR(Scale!$X304="",Scale!$X304=0),"",IFERROR(VLOOKUP(Scale!$X304,AcctTbl,3,0),""))</f>
        <v/>
      </c>
      <c r="P1187" s="82">
        <f>IF(Scale!$X304&lt;&gt;"X011","","BN02")</f>
        <v/>
      </c>
    </row>
    <row r="1188" ht="20.25" customHeight="1">
      <c r="A1188" s="80">
        <f>IF(OR(Scale!$AA304="",Scale!$AA304=0),"",Scale!$B304)</f>
        <v/>
      </c>
      <c r="B1188" s="80">
        <f>IF(OR(Scale!$AA304="",Scale!$AA304=0),"",Scale!$D304)</f>
        <v/>
      </c>
      <c r="C1188" s="80">
        <f>IF(OR(Scale!$AA304="",Scale!$AA304=0),"","باسکول")</f>
        <v/>
      </c>
      <c r="D1188" s="80">
        <f>IF(OR(Scale!$AA304="",Scale!$AA304=0),"",Scale!$AA304)</f>
        <v/>
      </c>
      <c r="E1188" s="81">
        <f>IF(OR(Scale!$AA304="",Scale!$AA304=0),"",IF(Scale!$AA304="","","پوز باسکول — "&amp;Scale!$E304))</f>
        <v/>
      </c>
      <c r="F1188" s="83" t="n"/>
      <c r="G1188" s="83" t="n"/>
      <c r="H1188" s="83" t="n"/>
      <c r="I1188" s="83" t="n"/>
      <c r="J1188" s="83" t="n"/>
      <c r="K1188" s="82">
        <f>IF(OR(Scale!$AA304="",Scale!$AA304=0),"",IF(Scale!$AB304="",0,Scale!$AB304)+IF(Scale!$AC304="",0,Scale!$AC304))</f>
        <v/>
      </c>
      <c r="L1188" s="82">
        <f>IF(OR(Scale!$AA304="",Scale!$AA304=0),"",Scale!$AB304)</f>
        <v/>
      </c>
      <c r="M1188" s="82">
        <f>IF(OR(Scale!$AA304="",Scale!$AA304=0),"",Scale!$AC304)</f>
        <v/>
      </c>
      <c r="N1188" s="81">
        <f>IF(OR(Scale!$AA304="",Scale!$AA304=0),"","پوز")</f>
        <v/>
      </c>
      <c r="O1188" s="81">
        <f>IF(OR(Scale!$AA304="",Scale!$AA304=0),"",IFERROR(VLOOKUP(Scale!$AA304,AcctTbl,3,0),""))</f>
        <v/>
      </c>
      <c r="P1188" s="82">
        <f>IF(Scale!$AA304&lt;&gt;"X011","","BN02")</f>
        <v/>
      </c>
    </row>
    <row r="1189" ht="20.25" customHeight="1">
      <c r="A1189" s="80">
        <f>IF(OR(Scale!$AD304="",Scale!$AD304=0),"",Scale!$B304)</f>
        <v/>
      </c>
      <c r="B1189" s="80">
        <f>IF(OR(Scale!$AD304="",Scale!$AD304=0),"",Scale!$D304)</f>
        <v/>
      </c>
      <c r="C1189" s="80">
        <f>IF(OR(Scale!$AD304="",Scale!$AD304=0),"","باسکول")</f>
        <v/>
      </c>
      <c r="D1189" s="80">
        <f>IF(OR(Scale!$AD304="",Scale!$AD304=0),"",Scale!$AD304)</f>
        <v/>
      </c>
      <c r="E1189" s="81">
        <f>IF(OR(Scale!$AD304="",Scale!$AD304=0),"",IF(Scale!$AD304="","","مقابل پوز — "&amp;Scale!$E304))</f>
        <v/>
      </c>
      <c r="F1189" s="83" t="n"/>
      <c r="G1189" s="83" t="n"/>
      <c r="H1189" s="83" t="n"/>
      <c r="I1189" s="83" t="n"/>
      <c r="J1189" s="83" t="n"/>
      <c r="K1189" s="82">
        <f>IF(OR(Scale!$AD304="",Scale!$AD304=0),"",IF(Scale!$AE304="",0,Scale!$AE304)+IF(Scale!$AF304="",0,Scale!$AF304))</f>
        <v/>
      </c>
      <c r="L1189" s="82">
        <f>IF(OR(Scale!$AD304="",Scale!$AD304=0),"",Scale!$AE304)</f>
        <v/>
      </c>
      <c r="M1189" s="82">
        <f>IF(OR(Scale!$AD304="",Scale!$AD304=0),"",Scale!$AF304)</f>
        <v/>
      </c>
      <c r="N1189" s="81">
        <f>IF(OR(Scale!$AD304="",Scale!$AD304=0),"","مقابل پوز")</f>
        <v/>
      </c>
      <c r="O1189" s="81">
        <f>IF(OR(Scale!$AD304="",Scale!$AD304=0),"",IFERROR(VLOOKUP(Scale!$AD304,AcctTbl,3,0),""))</f>
        <v/>
      </c>
      <c r="P1189" s="82">
        <f>IF(Scale!$AD304&lt;&gt;"X011","","BN02")</f>
        <v/>
      </c>
    </row>
    <row r="1190" ht="20.25" customHeight="1">
      <c r="A1190" s="80">
        <f>IF(OR(Scale!$U305="",Scale!$U305=0),"",Scale!$B305)</f>
        <v/>
      </c>
      <c r="B1190" s="80">
        <f>IF(OR(Scale!$U305="",Scale!$U305=0),"",Scale!$D305)</f>
        <v/>
      </c>
      <c r="C1190" s="80">
        <f>IF(OR(Scale!$U305="",Scale!$U305=0),"","باسکول")</f>
        <v/>
      </c>
      <c r="D1190" s="80">
        <f>IF(OR(Scale!$U305="",Scale!$U305=0),"",Scale!$U305)</f>
        <v/>
      </c>
      <c r="E1190" s="81">
        <f>IF(OR(Scale!$U305="",Scale!$U305=0),"",Scale!$T305)</f>
        <v/>
      </c>
      <c r="F1190" s="81">
        <f>IF(OR(Scale!$U305="",Scale!$U305=0),"",Scale!$J305)</f>
        <v/>
      </c>
      <c r="G1190" s="82">
        <f>IF(OR(Scale!$U305="",Scale!$U305=0),"",Scale!$M305)</f>
        <v/>
      </c>
      <c r="H1190" s="82">
        <f>IF(OR(Scale!$U305="",Scale!$U305=0),"",Scale!$L305)</f>
        <v/>
      </c>
      <c r="I1190" s="82">
        <f>IF(OR(Scale!$U305="",Scale!$U305=0),"",Scale!$N305)</f>
        <v/>
      </c>
      <c r="J1190" s="82">
        <f>IF(OR(Scale!$U305="",Scale!$U305=0),"",Scale!$O305)</f>
        <v/>
      </c>
      <c r="K1190" s="82">
        <f>IF(OR(Scale!$U305="",Scale!$U305=0),"",IF(Scale!$V305="",0,Scale!$V305)+IF(Scale!$W305="",0,Scale!$W305))</f>
        <v/>
      </c>
      <c r="L1190" s="82">
        <f>IF(OR(Scale!$U305="",Scale!$U305=0),"",Scale!$V305)</f>
        <v/>
      </c>
      <c r="M1190" s="82">
        <f>IF(OR(Scale!$U305="",Scale!$U305=0),"",Scale!$W305)</f>
        <v/>
      </c>
      <c r="N1190" s="81">
        <f>IF(OR(Scale!$U305="",Scale!$U305=0),"",Scale!$E305)</f>
        <v/>
      </c>
      <c r="O1190" s="81">
        <f>IF(OR(Scale!$U305="",Scale!$U305=0),"",IFERROR(VLOOKUP(Scale!$U305,AcctTbl,3,0),""))</f>
        <v/>
      </c>
      <c r="P1190" s="82">
        <f>IF(Scale!$U305&lt;&gt;"X011","","BN02")</f>
        <v/>
      </c>
    </row>
    <row r="1191" ht="20.25" customHeight="1">
      <c r="A1191" s="80">
        <f>IF(OR(Scale!$X305="",Scale!$X305=0),"",Scale!$B305)</f>
        <v/>
      </c>
      <c r="B1191" s="80">
        <f>IF(OR(Scale!$X305="",Scale!$X305=0),"",Scale!$D305)</f>
        <v/>
      </c>
      <c r="C1191" s="80">
        <f>IF(OR(Scale!$X305="",Scale!$X305=0),"","باسکول")</f>
        <v/>
      </c>
      <c r="D1191" s="80">
        <f>IF(OR(Scale!$X305="",Scale!$X305=0),"",Scale!$X305)</f>
        <v/>
      </c>
      <c r="E1191" s="81">
        <f>IF(OR(Scale!$X305="",Scale!$X305=0),"",IF(Scale!$X305="","","مقابل: "&amp;Scale!$E305))</f>
        <v/>
      </c>
      <c r="F1191" s="83" t="n"/>
      <c r="G1191" s="83" t="n"/>
      <c r="H1191" s="83" t="n"/>
      <c r="I1191" s="83" t="n"/>
      <c r="J1191" s="83" t="n"/>
      <c r="K1191" s="82">
        <f>IF(OR(Scale!$X305="",Scale!$X305=0),"",IF(Scale!$Y305="",0,Scale!$Y305)+IF(Scale!$Z305="",0,Scale!$Z305))</f>
        <v/>
      </c>
      <c r="L1191" s="82">
        <f>IF(OR(Scale!$X305="",Scale!$X305=0),"",Scale!$Y305)</f>
        <v/>
      </c>
      <c r="M1191" s="82">
        <f>IF(OR(Scale!$X305="",Scale!$X305=0),"",Scale!$Z305)</f>
        <v/>
      </c>
      <c r="N1191" s="81">
        <f>IF(OR(Scale!$X305="",Scale!$X305=0),"","مقابل")</f>
        <v/>
      </c>
      <c r="O1191" s="81">
        <f>IF(OR(Scale!$X305="",Scale!$X305=0),"",IFERROR(VLOOKUP(Scale!$X305,AcctTbl,3,0),""))</f>
        <v/>
      </c>
      <c r="P1191" s="82">
        <f>IF(Scale!$X305&lt;&gt;"X011","","BN02")</f>
        <v/>
      </c>
    </row>
    <row r="1192" ht="20.25" customHeight="1">
      <c r="A1192" s="80">
        <f>IF(OR(Scale!$AA305="",Scale!$AA305=0),"",Scale!$B305)</f>
        <v/>
      </c>
      <c r="B1192" s="80">
        <f>IF(OR(Scale!$AA305="",Scale!$AA305=0),"",Scale!$D305)</f>
        <v/>
      </c>
      <c r="C1192" s="80">
        <f>IF(OR(Scale!$AA305="",Scale!$AA305=0),"","باسکول")</f>
        <v/>
      </c>
      <c r="D1192" s="80">
        <f>IF(OR(Scale!$AA305="",Scale!$AA305=0),"",Scale!$AA305)</f>
        <v/>
      </c>
      <c r="E1192" s="81">
        <f>IF(OR(Scale!$AA305="",Scale!$AA305=0),"",IF(Scale!$AA305="","","پوز باسکول — "&amp;Scale!$E305))</f>
        <v/>
      </c>
      <c r="F1192" s="83" t="n"/>
      <c r="G1192" s="83" t="n"/>
      <c r="H1192" s="83" t="n"/>
      <c r="I1192" s="83" t="n"/>
      <c r="J1192" s="83" t="n"/>
      <c r="K1192" s="82">
        <f>IF(OR(Scale!$AA305="",Scale!$AA305=0),"",IF(Scale!$AB305="",0,Scale!$AB305)+IF(Scale!$AC305="",0,Scale!$AC305))</f>
        <v/>
      </c>
      <c r="L1192" s="82">
        <f>IF(OR(Scale!$AA305="",Scale!$AA305=0),"",Scale!$AB305)</f>
        <v/>
      </c>
      <c r="M1192" s="82">
        <f>IF(OR(Scale!$AA305="",Scale!$AA305=0),"",Scale!$AC305)</f>
        <v/>
      </c>
      <c r="N1192" s="81">
        <f>IF(OR(Scale!$AA305="",Scale!$AA305=0),"","پوز")</f>
        <v/>
      </c>
      <c r="O1192" s="81">
        <f>IF(OR(Scale!$AA305="",Scale!$AA305=0),"",IFERROR(VLOOKUP(Scale!$AA305,AcctTbl,3,0),""))</f>
        <v/>
      </c>
      <c r="P1192" s="82">
        <f>IF(Scale!$AA305&lt;&gt;"X011","","BN02")</f>
        <v/>
      </c>
    </row>
    <row r="1193" ht="20.25" customHeight="1">
      <c r="A1193" s="80">
        <f>IF(OR(Scale!$AD305="",Scale!$AD305=0),"",Scale!$B305)</f>
        <v/>
      </c>
      <c r="B1193" s="80">
        <f>IF(OR(Scale!$AD305="",Scale!$AD305=0),"",Scale!$D305)</f>
        <v/>
      </c>
      <c r="C1193" s="80">
        <f>IF(OR(Scale!$AD305="",Scale!$AD305=0),"","باسکول")</f>
        <v/>
      </c>
      <c r="D1193" s="80">
        <f>IF(OR(Scale!$AD305="",Scale!$AD305=0),"",Scale!$AD305)</f>
        <v/>
      </c>
      <c r="E1193" s="81">
        <f>IF(OR(Scale!$AD305="",Scale!$AD305=0),"",IF(Scale!$AD305="","","مقابل پوز — "&amp;Scale!$E305))</f>
        <v/>
      </c>
      <c r="F1193" s="83" t="n"/>
      <c r="G1193" s="83" t="n"/>
      <c r="H1193" s="83" t="n"/>
      <c r="I1193" s="83" t="n"/>
      <c r="J1193" s="83" t="n"/>
      <c r="K1193" s="82">
        <f>IF(OR(Scale!$AD305="",Scale!$AD305=0),"",IF(Scale!$AE305="",0,Scale!$AE305)+IF(Scale!$AF305="",0,Scale!$AF305))</f>
        <v/>
      </c>
      <c r="L1193" s="82">
        <f>IF(OR(Scale!$AD305="",Scale!$AD305=0),"",Scale!$AE305)</f>
        <v/>
      </c>
      <c r="M1193" s="82">
        <f>IF(OR(Scale!$AD305="",Scale!$AD305=0),"",Scale!$AF305)</f>
        <v/>
      </c>
      <c r="N1193" s="81">
        <f>IF(OR(Scale!$AD305="",Scale!$AD305=0),"","مقابل پوز")</f>
        <v/>
      </c>
      <c r="O1193" s="81">
        <f>IF(OR(Scale!$AD305="",Scale!$AD305=0),"",IFERROR(VLOOKUP(Scale!$AD305,AcctTbl,3,0),""))</f>
        <v/>
      </c>
      <c r="P1193" s="82">
        <f>IF(Scale!$AD305&lt;&gt;"X011","","BN02")</f>
        <v/>
      </c>
    </row>
    <row r="1194" ht="20.25" customHeight="1">
      <c r="A1194" s="80">
        <f>IF(OR(Scale!$U306="",Scale!$U306=0),"",Scale!$B306)</f>
        <v/>
      </c>
      <c r="B1194" s="80">
        <f>IF(OR(Scale!$U306="",Scale!$U306=0),"",Scale!$D306)</f>
        <v/>
      </c>
      <c r="C1194" s="80">
        <f>IF(OR(Scale!$U306="",Scale!$U306=0),"","باسکول")</f>
        <v/>
      </c>
      <c r="D1194" s="80">
        <f>IF(OR(Scale!$U306="",Scale!$U306=0),"",Scale!$U306)</f>
        <v/>
      </c>
      <c r="E1194" s="81">
        <f>IF(OR(Scale!$U306="",Scale!$U306=0),"",Scale!$T306)</f>
        <v/>
      </c>
      <c r="F1194" s="81">
        <f>IF(OR(Scale!$U306="",Scale!$U306=0),"",Scale!$J306)</f>
        <v/>
      </c>
      <c r="G1194" s="82">
        <f>IF(OR(Scale!$U306="",Scale!$U306=0),"",Scale!$M306)</f>
        <v/>
      </c>
      <c r="H1194" s="82">
        <f>IF(OR(Scale!$U306="",Scale!$U306=0),"",Scale!$L306)</f>
        <v/>
      </c>
      <c r="I1194" s="82">
        <f>IF(OR(Scale!$U306="",Scale!$U306=0),"",Scale!$N306)</f>
        <v/>
      </c>
      <c r="J1194" s="82">
        <f>IF(OR(Scale!$U306="",Scale!$U306=0),"",Scale!$O306)</f>
        <v/>
      </c>
      <c r="K1194" s="82">
        <f>IF(OR(Scale!$U306="",Scale!$U306=0),"",IF(Scale!$V306="",0,Scale!$V306)+IF(Scale!$W306="",0,Scale!$W306))</f>
        <v/>
      </c>
      <c r="L1194" s="82">
        <f>IF(OR(Scale!$U306="",Scale!$U306=0),"",Scale!$V306)</f>
        <v/>
      </c>
      <c r="M1194" s="82">
        <f>IF(OR(Scale!$U306="",Scale!$U306=0),"",Scale!$W306)</f>
        <v/>
      </c>
      <c r="N1194" s="81">
        <f>IF(OR(Scale!$U306="",Scale!$U306=0),"",Scale!$E306)</f>
        <v/>
      </c>
      <c r="O1194" s="81">
        <f>IF(OR(Scale!$U306="",Scale!$U306=0),"",IFERROR(VLOOKUP(Scale!$U306,AcctTbl,3,0),""))</f>
        <v/>
      </c>
      <c r="P1194" s="82">
        <f>IF(Scale!$U306&lt;&gt;"X011","","BN02")</f>
        <v/>
      </c>
    </row>
    <row r="1195" ht="20.25" customHeight="1">
      <c r="A1195" s="80">
        <f>IF(OR(Scale!$X306="",Scale!$X306=0),"",Scale!$B306)</f>
        <v/>
      </c>
      <c r="B1195" s="80">
        <f>IF(OR(Scale!$X306="",Scale!$X306=0),"",Scale!$D306)</f>
        <v/>
      </c>
      <c r="C1195" s="80">
        <f>IF(OR(Scale!$X306="",Scale!$X306=0),"","باسکول")</f>
        <v/>
      </c>
      <c r="D1195" s="80">
        <f>IF(OR(Scale!$X306="",Scale!$X306=0),"",Scale!$X306)</f>
        <v/>
      </c>
      <c r="E1195" s="81">
        <f>IF(OR(Scale!$X306="",Scale!$X306=0),"",IF(Scale!$X306="","","مقابل: "&amp;Scale!$E306))</f>
        <v/>
      </c>
      <c r="F1195" s="83" t="n"/>
      <c r="G1195" s="83" t="n"/>
      <c r="H1195" s="83" t="n"/>
      <c r="I1195" s="83" t="n"/>
      <c r="J1195" s="83" t="n"/>
      <c r="K1195" s="82">
        <f>IF(OR(Scale!$X306="",Scale!$X306=0),"",IF(Scale!$Y306="",0,Scale!$Y306)+IF(Scale!$Z306="",0,Scale!$Z306))</f>
        <v/>
      </c>
      <c r="L1195" s="82">
        <f>IF(OR(Scale!$X306="",Scale!$X306=0),"",Scale!$Y306)</f>
        <v/>
      </c>
      <c r="M1195" s="82">
        <f>IF(OR(Scale!$X306="",Scale!$X306=0),"",Scale!$Z306)</f>
        <v/>
      </c>
      <c r="N1195" s="81">
        <f>IF(OR(Scale!$X306="",Scale!$X306=0),"","مقابل")</f>
        <v/>
      </c>
      <c r="O1195" s="81">
        <f>IF(OR(Scale!$X306="",Scale!$X306=0),"",IFERROR(VLOOKUP(Scale!$X306,AcctTbl,3,0),""))</f>
        <v/>
      </c>
      <c r="P1195" s="82">
        <f>IF(Scale!$X306&lt;&gt;"X011","","BN02")</f>
        <v/>
      </c>
    </row>
    <row r="1196" ht="20.25" customHeight="1">
      <c r="A1196" s="80">
        <f>IF(OR(Scale!$AA306="",Scale!$AA306=0),"",Scale!$B306)</f>
        <v/>
      </c>
      <c r="B1196" s="80">
        <f>IF(OR(Scale!$AA306="",Scale!$AA306=0),"",Scale!$D306)</f>
        <v/>
      </c>
      <c r="C1196" s="80">
        <f>IF(OR(Scale!$AA306="",Scale!$AA306=0),"","باسکول")</f>
        <v/>
      </c>
      <c r="D1196" s="80">
        <f>IF(OR(Scale!$AA306="",Scale!$AA306=0),"",Scale!$AA306)</f>
        <v/>
      </c>
      <c r="E1196" s="81">
        <f>IF(OR(Scale!$AA306="",Scale!$AA306=0),"",IF(Scale!$AA306="","","پوز باسکول — "&amp;Scale!$E306))</f>
        <v/>
      </c>
      <c r="F1196" s="83" t="n"/>
      <c r="G1196" s="83" t="n"/>
      <c r="H1196" s="83" t="n"/>
      <c r="I1196" s="83" t="n"/>
      <c r="J1196" s="83" t="n"/>
      <c r="K1196" s="82">
        <f>IF(OR(Scale!$AA306="",Scale!$AA306=0),"",IF(Scale!$AB306="",0,Scale!$AB306)+IF(Scale!$AC306="",0,Scale!$AC306))</f>
        <v/>
      </c>
      <c r="L1196" s="82">
        <f>IF(OR(Scale!$AA306="",Scale!$AA306=0),"",Scale!$AB306)</f>
        <v/>
      </c>
      <c r="M1196" s="82">
        <f>IF(OR(Scale!$AA306="",Scale!$AA306=0),"",Scale!$AC306)</f>
        <v/>
      </c>
      <c r="N1196" s="81">
        <f>IF(OR(Scale!$AA306="",Scale!$AA306=0),"","پوز")</f>
        <v/>
      </c>
      <c r="O1196" s="81">
        <f>IF(OR(Scale!$AA306="",Scale!$AA306=0),"",IFERROR(VLOOKUP(Scale!$AA306,AcctTbl,3,0),""))</f>
        <v/>
      </c>
      <c r="P1196" s="82">
        <f>IF(Scale!$AA306&lt;&gt;"X011","","BN02")</f>
        <v/>
      </c>
    </row>
    <row r="1197" ht="20.25" customHeight="1">
      <c r="A1197" s="80">
        <f>IF(OR(Scale!$AD306="",Scale!$AD306=0),"",Scale!$B306)</f>
        <v/>
      </c>
      <c r="B1197" s="80">
        <f>IF(OR(Scale!$AD306="",Scale!$AD306=0),"",Scale!$D306)</f>
        <v/>
      </c>
      <c r="C1197" s="80">
        <f>IF(OR(Scale!$AD306="",Scale!$AD306=0),"","باسکول")</f>
        <v/>
      </c>
      <c r="D1197" s="80">
        <f>IF(OR(Scale!$AD306="",Scale!$AD306=0),"",Scale!$AD306)</f>
        <v/>
      </c>
      <c r="E1197" s="81">
        <f>IF(OR(Scale!$AD306="",Scale!$AD306=0),"",IF(Scale!$AD306="","","مقابل پوز — "&amp;Scale!$E306))</f>
        <v/>
      </c>
      <c r="F1197" s="83" t="n"/>
      <c r="G1197" s="83" t="n"/>
      <c r="H1197" s="83" t="n"/>
      <c r="I1197" s="83" t="n"/>
      <c r="J1197" s="83" t="n"/>
      <c r="K1197" s="82">
        <f>IF(OR(Scale!$AD306="",Scale!$AD306=0),"",IF(Scale!$AE306="",0,Scale!$AE306)+IF(Scale!$AF306="",0,Scale!$AF306))</f>
        <v/>
      </c>
      <c r="L1197" s="82">
        <f>IF(OR(Scale!$AD306="",Scale!$AD306=0),"",Scale!$AE306)</f>
        <v/>
      </c>
      <c r="M1197" s="82">
        <f>IF(OR(Scale!$AD306="",Scale!$AD306=0),"",Scale!$AF306)</f>
        <v/>
      </c>
      <c r="N1197" s="81">
        <f>IF(OR(Scale!$AD306="",Scale!$AD306=0),"","مقابل پوز")</f>
        <v/>
      </c>
      <c r="O1197" s="81">
        <f>IF(OR(Scale!$AD306="",Scale!$AD306=0),"",IFERROR(VLOOKUP(Scale!$AD306,AcctTbl,3,0),""))</f>
        <v/>
      </c>
      <c r="P1197" s="82">
        <f>IF(Scale!$AD306&lt;&gt;"X011","","BN02")</f>
        <v/>
      </c>
    </row>
    <row r="1198" ht="20.25" customHeight="1">
      <c r="A1198" s="80">
        <f>IF(OR(Scale!$U307="",Scale!$U307=0),"",Scale!$B307)</f>
        <v/>
      </c>
      <c r="B1198" s="80">
        <f>IF(OR(Scale!$U307="",Scale!$U307=0),"",Scale!$D307)</f>
        <v/>
      </c>
      <c r="C1198" s="80">
        <f>IF(OR(Scale!$U307="",Scale!$U307=0),"","باسکول")</f>
        <v/>
      </c>
      <c r="D1198" s="80">
        <f>IF(OR(Scale!$U307="",Scale!$U307=0),"",Scale!$U307)</f>
        <v/>
      </c>
      <c r="E1198" s="81">
        <f>IF(OR(Scale!$U307="",Scale!$U307=0),"",Scale!$T307)</f>
        <v/>
      </c>
      <c r="F1198" s="81">
        <f>IF(OR(Scale!$U307="",Scale!$U307=0),"",Scale!$J307)</f>
        <v/>
      </c>
      <c r="G1198" s="82">
        <f>IF(OR(Scale!$U307="",Scale!$U307=0),"",Scale!$M307)</f>
        <v/>
      </c>
      <c r="H1198" s="82">
        <f>IF(OR(Scale!$U307="",Scale!$U307=0),"",Scale!$L307)</f>
        <v/>
      </c>
      <c r="I1198" s="82">
        <f>IF(OR(Scale!$U307="",Scale!$U307=0),"",Scale!$N307)</f>
        <v/>
      </c>
      <c r="J1198" s="82">
        <f>IF(OR(Scale!$U307="",Scale!$U307=0),"",Scale!$O307)</f>
        <v/>
      </c>
      <c r="K1198" s="82">
        <f>IF(OR(Scale!$U307="",Scale!$U307=0),"",IF(Scale!$V307="",0,Scale!$V307)+IF(Scale!$W307="",0,Scale!$W307))</f>
        <v/>
      </c>
      <c r="L1198" s="82">
        <f>IF(OR(Scale!$U307="",Scale!$U307=0),"",Scale!$V307)</f>
        <v/>
      </c>
      <c r="M1198" s="82">
        <f>IF(OR(Scale!$U307="",Scale!$U307=0),"",Scale!$W307)</f>
        <v/>
      </c>
      <c r="N1198" s="81">
        <f>IF(OR(Scale!$U307="",Scale!$U307=0),"",Scale!$E307)</f>
        <v/>
      </c>
      <c r="O1198" s="81">
        <f>IF(OR(Scale!$U307="",Scale!$U307=0),"",IFERROR(VLOOKUP(Scale!$U307,AcctTbl,3,0),""))</f>
        <v/>
      </c>
      <c r="P1198" s="82">
        <f>IF(Scale!$U307&lt;&gt;"X011","","BN02")</f>
        <v/>
      </c>
    </row>
    <row r="1199" ht="20.25" customHeight="1">
      <c r="A1199" s="80">
        <f>IF(OR(Scale!$X307="",Scale!$X307=0),"",Scale!$B307)</f>
        <v/>
      </c>
      <c r="B1199" s="80">
        <f>IF(OR(Scale!$X307="",Scale!$X307=0),"",Scale!$D307)</f>
        <v/>
      </c>
      <c r="C1199" s="80">
        <f>IF(OR(Scale!$X307="",Scale!$X307=0),"","باسکول")</f>
        <v/>
      </c>
      <c r="D1199" s="80">
        <f>IF(OR(Scale!$X307="",Scale!$X307=0),"",Scale!$X307)</f>
        <v/>
      </c>
      <c r="E1199" s="81">
        <f>IF(OR(Scale!$X307="",Scale!$X307=0),"",IF(Scale!$X307="","","مقابل: "&amp;Scale!$E307))</f>
        <v/>
      </c>
      <c r="F1199" s="83" t="n"/>
      <c r="G1199" s="83" t="n"/>
      <c r="H1199" s="83" t="n"/>
      <c r="I1199" s="83" t="n"/>
      <c r="J1199" s="83" t="n"/>
      <c r="K1199" s="82">
        <f>IF(OR(Scale!$X307="",Scale!$X307=0),"",IF(Scale!$Y307="",0,Scale!$Y307)+IF(Scale!$Z307="",0,Scale!$Z307))</f>
        <v/>
      </c>
      <c r="L1199" s="82">
        <f>IF(OR(Scale!$X307="",Scale!$X307=0),"",Scale!$Y307)</f>
        <v/>
      </c>
      <c r="M1199" s="82">
        <f>IF(OR(Scale!$X307="",Scale!$X307=0),"",Scale!$Z307)</f>
        <v/>
      </c>
      <c r="N1199" s="81">
        <f>IF(OR(Scale!$X307="",Scale!$X307=0),"","مقابل")</f>
        <v/>
      </c>
      <c r="O1199" s="81">
        <f>IF(OR(Scale!$X307="",Scale!$X307=0),"",IFERROR(VLOOKUP(Scale!$X307,AcctTbl,3,0),""))</f>
        <v/>
      </c>
      <c r="P1199" s="82">
        <f>IF(Scale!$X307&lt;&gt;"X011","","BN02")</f>
        <v/>
      </c>
    </row>
    <row r="1200" ht="20.25" customHeight="1">
      <c r="A1200" s="80">
        <f>IF(OR(Scale!$AA307="",Scale!$AA307=0),"",Scale!$B307)</f>
        <v/>
      </c>
      <c r="B1200" s="80">
        <f>IF(OR(Scale!$AA307="",Scale!$AA307=0),"",Scale!$D307)</f>
        <v/>
      </c>
      <c r="C1200" s="80">
        <f>IF(OR(Scale!$AA307="",Scale!$AA307=0),"","باسکول")</f>
        <v/>
      </c>
      <c r="D1200" s="80">
        <f>IF(OR(Scale!$AA307="",Scale!$AA307=0),"",Scale!$AA307)</f>
        <v/>
      </c>
      <c r="E1200" s="81">
        <f>IF(OR(Scale!$AA307="",Scale!$AA307=0),"",IF(Scale!$AA307="","","پوز باسکول — "&amp;Scale!$E307))</f>
        <v/>
      </c>
      <c r="F1200" s="83" t="n"/>
      <c r="G1200" s="83" t="n"/>
      <c r="H1200" s="83" t="n"/>
      <c r="I1200" s="83" t="n"/>
      <c r="J1200" s="83" t="n"/>
      <c r="K1200" s="82">
        <f>IF(OR(Scale!$AA307="",Scale!$AA307=0),"",IF(Scale!$AB307="",0,Scale!$AB307)+IF(Scale!$AC307="",0,Scale!$AC307))</f>
        <v/>
      </c>
      <c r="L1200" s="82">
        <f>IF(OR(Scale!$AA307="",Scale!$AA307=0),"",Scale!$AB307)</f>
        <v/>
      </c>
      <c r="M1200" s="82">
        <f>IF(OR(Scale!$AA307="",Scale!$AA307=0),"",Scale!$AC307)</f>
        <v/>
      </c>
      <c r="N1200" s="81">
        <f>IF(OR(Scale!$AA307="",Scale!$AA307=0),"","پوز")</f>
        <v/>
      </c>
      <c r="O1200" s="81">
        <f>IF(OR(Scale!$AA307="",Scale!$AA307=0),"",IFERROR(VLOOKUP(Scale!$AA307,AcctTbl,3,0),""))</f>
        <v/>
      </c>
      <c r="P1200" s="82">
        <f>IF(Scale!$AA307&lt;&gt;"X011","","BN02")</f>
        <v/>
      </c>
    </row>
    <row r="1201" ht="20.25" customHeight="1">
      <c r="A1201" s="80">
        <f>IF(OR(Scale!$AD307="",Scale!$AD307=0),"",Scale!$B307)</f>
        <v/>
      </c>
      <c r="B1201" s="80">
        <f>IF(OR(Scale!$AD307="",Scale!$AD307=0),"",Scale!$D307)</f>
        <v/>
      </c>
      <c r="C1201" s="80">
        <f>IF(OR(Scale!$AD307="",Scale!$AD307=0),"","باسکول")</f>
        <v/>
      </c>
      <c r="D1201" s="80">
        <f>IF(OR(Scale!$AD307="",Scale!$AD307=0),"",Scale!$AD307)</f>
        <v/>
      </c>
      <c r="E1201" s="81">
        <f>IF(OR(Scale!$AD307="",Scale!$AD307=0),"",IF(Scale!$AD307="","","مقابل پوز — "&amp;Scale!$E307))</f>
        <v/>
      </c>
      <c r="F1201" s="83" t="n"/>
      <c r="G1201" s="83" t="n"/>
      <c r="H1201" s="83" t="n"/>
      <c r="I1201" s="83" t="n"/>
      <c r="J1201" s="83" t="n"/>
      <c r="K1201" s="82">
        <f>IF(OR(Scale!$AD307="",Scale!$AD307=0),"",IF(Scale!$AE307="",0,Scale!$AE307)+IF(Scale!$AF307="",0,Scale!$AF307))</f>
        <v/>
      </c>
      <c r="L1201" s="82">
        <f>IF(OR(Scale!$AD307="",Scale!$AD307=0),"",Scale!$AE307)</f>
        <v/>
      </c>
      <c r="M1201" s="82">
        <f>IF(OR(Scale!$AD307="",Scale!$AD307=0),"",Scale!$AF307)</f>
        <v/>
      </c>
      <c r="N1201" s="81">
        <f>IF(OR(Scale!$AD307="",Scale!$AD307=0),"","مقابل پوز")</f>
        <v/>
      </c>
      <c r="O1201" s="81">
        <f>IF(OR(Scale!$AD307="",Scale!$AD307=0),"",IFERROR(VLOOKUP(Scale!$AD307,AcctTbl,3,0),""))</f>
        <v/>
      </c>
      <c r="P1201" s="82">
        <f>IF(Scale!$AD307&lt;&gt;"X011","","BN02")</f>
        <v/>
      </c>
    </row>
    <row r="1202" ht="20.25" customHeight="1">
      <c r="A1202" s="80">
        <f>IF(OR(Scale!$U308="",Scale!$U308=0),"",Scale!$B308)</f>
        <v/>
      </c>
      <c r="B1202" s="80">
        <f>IF(OR(Scale!$U308="",Scale!$U308=0),"",Scale!$D308)</f>
        <v/>
      </c>
      <c r="C1202" s="80">
        <f>IF(OR(Scale!$U308="",Scale!$U308=0),"","باسکول")</f>
        <v/>
      </c>
      <c r="D1202" s="80">
        <f>IF(OR(Scale!$U308="",Scale!$U308=0),"",Scale!$U308)</f>
        <v/>
      </c>
      <c r="E1202" s="81">
        <f>IF(OR(Scale!$U308="",Scale!$U308=0),"",Scale!$T308)</f>
        <v/>
      </c>
      <c r="F1202" s="81">
        <f>IF(OR(Scale!$U308="",Scale!$U308=0),"",Scale!$J308)</f>
        <v/>
      </c>
      <c r="G1202" s="82">
        <f>IF(OR(Scale!$U308="",Scale!$U308=0),"",Scale!$M308)</f>
        <v/>
      </c>
      <c r="H1202" s="82">
        <f>IF(OR(Scale!$U308="",Scale!$U308=0),"",Scale!$L308)</f>
        <v/>
      </c>
      <c r="I1202" s="82">
        <f>IF(OR(Scale!$U308="",Scale!$U308=0),"",Scale!$N308)</f>
        <v/>
      </c>
      <c r="J1202" s="82">
        <f>IF(OR(Scale!$U308="",Scale!$U308=0),"",Scale!$O308)</f>
        <v/>
      </c>
      <c r="K1202" s="82">
        <f>IF(OR(Scale!$U308="",Scale!$U308=0),"",IF(Scale!$V308="",0,Scale!$V308)+IF(Scale!$W308="",0,Scale!$W308))</f>
        <v/>
      </c>
      <c r="L1202" s="82">
        <f>IF(OR(Scale!$U308="",Scale!$U308=0),"",Scale!$V308)</f>
        <v/>
      </c>
      <c r="M1202" s="82">
        <f>IF(OR(Scale!$U308="",Scale!$U308=0),"",Scale!$W308)</f>
        <v/>
      </c>
      <c r="N1202" s="81">
        <f>IF(OR(Scale!$U308="",Scale!$U308=0),"",Scale!$E308)</f>
        <v/>
      </c>
      <c r="O1202" s="81">
        <f>IF(OR(Scale!$U308="",Scale!$U308=0),"",IFERROR(VLOOKUP(Scale!$U308,AcctTbl,3,0),""))</f>
        <v/>
      </c>
      <c r="P1202" s="82">
        <f>IF(Scale!$U308&lt;&gt;"X011","","BN02")</f>
        <v/>
      </c>
    </row>
    <row r="1203" ht="20.25" customHeight="1">
      <c r="A1203" s="80">
        <f>IF(OR(Scale!$X308="",Scale!$X308=0),"",Scale!$B308)</f>
        <v/>
      </c>
      <c r="B1203" s="80">
        <f>IF(OR(Scale!$X308="",Scale!$X308=0),"",Scale!$D308)</f>
        <v/>
      </c>
      <c r="C1203" s="80">
        <f>IF(OR(Scale!$X308="",Scale!$X308=0),"","باسکول")</f>
        <v/>
      </c>
      <c r="D1203" s="80">
        <f>IF(OR(Scale!$X308="",Scale!$X308=0),"",Scale!$X308)</f>
        <v/>
      </c>
      <c r="E1203" s="81">
        <f>IF(OR(Scale!$X308="",Scale!$X308=0),"",IF(Scale!$X308="","","مقابل: "&amp;Scale!$E308))</f>
        <v/>
      </c>
      <c r="F1203" s="83" t="n"/>
      <c r="G1203" s="83" t="n"/>
      <c r="H1203" s="83" t="n"/>
      <c r="I1203" s="83" t="n"/>
      <c r="J1203" s="83" t="n"/>
      <c r="K1203" s="82">
        <f>IF(OR(Scale!$X308="",Scale!$X308=0),"",IF(Scale!$Y308="",0,Scale!$Y308)+IF(Scale!$Z308="",0,Scale!$Z308))</f>
        <v/>
      </c>
      <c r="L1203" s="82">
        <f>IF(OR(Scale!$X308="",Scale!$X308=0),"",Scale!$Y308)</f>
        <v/>
      </c>
      <c r="M1203" s="82">
        <f>IF(OR(Scale!$X308="",Scale!$X308=0),"",Scale!$Z308)</f>
        <v/>
      </c>
      <c r="N1203" s="81">
        <f>IF(OR(Scale!$X308="",Scale!$X308=0),"","مقابل")</f>
        <v/>
      </c>
      <c r="O1203" s="81">
        <f>IF(OR(Scale!$X308="",Scale!$X308=0),"",IFERROR(VLOOKUP(Scale!$X308,AcctTbl,3,0),""))</f>
        <v/>
      </c>
      <c r="P1203" s="82">
        <f>IF(Scale!$X308&lt;&gt;"X011","","BN02")</f>
        <v/>
      </c>
    </row>
    <row r="1204" ht="20.25" customHeight="1">
      <c r="A1204" s="80">
        <f>IF(OR(Scale!$AA308="",Scale!$AA308=0),"",Scale!$B308)</f>
        <v/>
      </c>
      <c r="B1204" s="80">
        <f>IF(OR(Scale!$AA308="",Scale!$AA308=0),"",Scale!$D308)</f>
        <v/>
      </c>
      <c r="C1204" s="80">
        <f>IF(OR(Scale!$AA308="",Scale!$AA308=0),"","باسکول")</f>
        <v/>
      </c>
      <c r="D1204" s="80">
        <f>IF(OR(Scale!$AA308="",Scale!$AA308=0),"",Scale!$AA308)</f>
        <v/>
      </c>
      <c r="E1204" s="81">
        <f>IF(OR(Scale!$AA308="",Scale!$AA308=0),"",IF(Scale!$AA308="","","پوز باسکول — "&amp;Scale!$E308))</f>
        <v/>
      </c>
      <c r="F1204" s="83" t="n"/>
      <c r="G1204" s="83" t="n"/>
      <c r="H1204" s="83" t="n"/>
      <c r="I1204" s="83" t="n"/>
      <c r="J1204" s="83" t="n"/>
      <c r="K1204" s="82">
        <f>IF(OR(Scale!$AA308="",Scale!$AA308=0),"",IF(Scale!$AB308="",0,Scale!$AB308)+IF(Scale!$AC308="",0,Scale!$AC308))</f>
        <v/>
      </c>
      <c r="L1204" s="82">
        <f>IF(OR(Scale!$AA308="",Scale!$AA308=0),"",Scale!$AB308)</f>
        <v/>
      </c>
      <c r="M1204" s="82">
        <f>IF(OR(Scale!$AA308="",Scale!$AA308=0),"",Scale!$AC308)</f>
        <v/>
      </c>
      <c r="N1204" s="81">
        <f>IF(OR(Scale!$AA308="",Scale!$AA308=0),"","پوز")</f>
        <v/>
      </c>
      <c r="O1204" s="81">
        <f>IF(OR(Scale!$AA308="",Scale!$AA308=0),"",IFERROR(VLOOKUP(Scale!$AA308,AcctTbl,3,0),""))</f>
        <v/>
      </c>
      <c r="P1204" s="82">
        <f>IF(Scale!$AA308&lt;&gt;"X011","","BN02")</f>
        <v/>
      </c>
    </row>
    <row r="1205" ht="20.25" customHeight="1">
      <c r="A1205" s="80">
        <f>IF(OR(Scale!$AD308="",Scale!$AD308=0),"",Scale!$B308)</f>
        <v/>
      </c>
      <c r="B1205" s="80">
        <f>IF(OR(Scale!$AD308="",Scale!$AD308=0),"",Scale!$D308)</f>
        <v/>
      </c>
      <c r="C1205" s="80">
        <f>IF(OR(Scale!$AD308="",Scale!$AD308=0),"","باسکول")</f>
        <v/>
      </c>
      <c r="D1205" s="80">
        <f>IF(OR(Scale!$AD308="",Scale!$AD308=0),"",Scale!$AD308)</f>
        <v/>
      </c>
      <c r="E1205" s="81">
        <f>IF(OR(Scale!$AD308="",Scale!$AD308=0),"",IF(Scale!$AD308="","","مقابل پوز — "&amp;Scale!$E308))</f>
        <v/>
      </c>
      <c r="F1205" s="83" t="n"/>
      <c r="G1205" s="83" t="n"/>
      <c r="H1205" s="83" t="n"/>
      <c r="I1205" s="83" t="n"/>
      <c r="J1205" s="83" t="n"/>
      <c r="K1205" s="82">
        <f>IF(OR(Scale!$AD308="",Scale!$AD308=0),"",IF(Scale!$AE308="",0,Scale!$AE308)+IF(Scale!$AF308="",0,Scale!$AF308))</f>
        <v/>
      </c>
      <c r="L1205" s="82">
        <f>IF(OR(Scale!$AD308="",Scale!$AD308=0),"",Scale!$AE308)</f>
        <v/>
      </c>
      <c r="M1205" s="82">
        <f>IF(OR(Scale!$AD308="",Scale!$AD308=0),"",Scale!$AF308)</f>
        <v/>
      </c>
      <c r="N1205" s="81">
        <f>IF(OR(Scale!$AD308="",Scale!$AD308=0),"","مقابل پوز")</f>
        <v/>
      </c>
      <c r="O1205" s="81">
        <f>IF(OR(Scale!$AD308="",Scale!$AD308=0),"",IFERROR(VLOOKUP(Scale!$AD308,AcctTbl,3,0),""))</f>
        <v/>
      </c>
      <c r="P1205" s="82">
        <f>IF(Scale!$AD308&lt;&gt;"X011","","BN02")</f>
        <v/>
      </c>
    </row>
    <row r="1206" ht="20.25" customHeight="1">
      <c r="A1206" s="80">
        <f>IF(OR(Scale!$U309="",Scale!$U309=0),"",Scale!$B309)</f>
        <v/>
      </c>
      <c r="B1206" s="80">
        <f>IF(OR(Scale!$U309="",Scale!$U309=0),"",Scale!$D309)</f>
        <v/>
      </c>
      <c r="C1206" s="80">
        <f>IF(OR(Scale!$U309="",Scale!$U309=0),"","باسکول")</f>
        <v/>
      </c>
      <c r="D1206" s="80">
        <f>IF(OR(Scale!$U309="",Scale!$U309=0),"",Scale!$U309)</f>
        <v/>
      </c>
      <c r="E1206" s="81">
        <f>IF(OR(Scale!$U309="",Scale!$U309=0),"",Scale!$T309)</f>
        <v/>
      </c>
      <c r="F1206" s="81">
        <f>IF(OR(Scale!$U309="",Scale!$U309=0),"",Scale!$J309)</f>
        <v/>
      </c>
      <c r="G1206" s="82">
        <f>IF(OR(Scale!$U309="",Scale!$U309=0),"",Scale!$M309)</f>
        <v/>
      </c>
      <c r="H1206" s="82">
        <f>IF(OR(Scale!$U309="",Scale!$U309=0),"",Scale!$L309)</f>
        <v/>
      </c>
      <c r="I1206" s="82">
        <f>IF(OR(Scale!$U309="",Scale!$U309=0),"",Scale!$N309)</f>
        <v/>
      </c>
      <c r="J1206" s="82">
        <f>IF(OR(Scale!$U309="",Scale!$U309=0),"",Scale!$O309)</f>
        <v/>
      </c>
      <c r="K1206" s="82">
        <f>IF(OR(Scale!$U309="",Scale!$U309=0),"",IF(Scale!$V309="",0,Scale!$V309)+IF(Scale!$W309="",0,Scale!$W309))</f>
        <v/>
      </c>
      <c r="L1206" s="82">
        <f>IF(OR(Scale!$U309="",Scale!$U309=0),"",Scale!$V309)</f>
        <v/>
      </c>
      <c r="M1206" s="82">
        <f>IF(OR(Scale!$U309="",Scale!$U309=0),"",Scale!$W309)</f>
        <v/>
      </c>
      <c r="N1206" s="81">
        <f>IF(OR(Scale!$U309="",Scale!$U309=0),"",Scale!$E309)</f>
        <v/>
      </c>
      <c r="O1206" s="81">
        <f>IF(OR(Scale!$U309="",Scale!$U309=0),"",IFERROR(VLOOKUP(Scale!$U309,AcctTbl,3,0),""))</f>
        <v/>
      </c>
      <c r="P1206" s="82">
        <f>IF(Scale!$U309&lt;&gt;"X011","","BN02")</f>
        <v/>
      </c>
    </row>
    <row r="1207" ht="20.25" customHeight="1">
      <c r="A1207" s="80">
        <f>IF(OR(Scale!$X309="",Scale!$X309=0),"",Scale!$B309)</f>
        <v/>
      </c>
      <c r="B1207" s="80">
        <f>IF(OR(Scale!$X309="",Scale!$X309=0),"",Scale!$D309)</f>
        <v/>
      </c>
      <c r="C1207" s="80">
        <f>IF(OR(Scale!$X309="",Scale!$X309=0),"","باسکول")</f>
        <v/>
      </c>
      <c r="D1207" s="80">
        <f>IF(OR(Scale!$X309="",Scale!$X309=0),"",Scale!$X309)</f>
        <v/>
      </c>
      <c r="E1207" s="81">
        <f>IF(OR(Scale!$X309="",Scale!$X309=0),"",IF(Scale!$X309="","","مقابل: "&amp;Scale!$E309))</f>
        <v/>
      </c>
      <c r="F1207" s="83" t="n"/>
      <c r="G1207" s="83" t="n"/>
      <c r="H1207" s="83" t="n"/>
      <c r="I1207" s="83" t="n"/>
      <c r="J1207" s="83" t="n"/>
      <c r="K1207" s="82">
        <f>IF(OR(Scale!$X309="",Scale!$X309=0),"",IF(Scale!$Y309="",0,Scale!$Y309)+IF(Scale!$Z309="",0,Scale!$Z309))</f>
        <v/>
      </c>
      <c r="L1207" s="82">
        <f>IF(OR(Scale!$X309="",Scale!$X309=0),"",Scale!$Y309)</f>
        <v/>
      </c>
      <c r="M1207" s="82">
        <f>IF(OR(Scale!$X309="",Scale!$X309=0),"",Scale!$Z309)</f>
        <v/>
      </c>
      <c r="N1207" s="81">
        <f>IF(OR(Scale!$X309="",Scale!$X309=0),"","مقابل")</f>
        <v/>
      </c>
      <c r="O1207" s="81">
        <f>IF(OR(Scale!$X309="",Scale!$X309=0),"",IFERROR(VLOOKUP(Scale!$X309,AcctTbl,3,0),""))</f>
        <v/>
      </c>
      <c r="P1207" s="82">
        <f>IF(Scale!$X309&lt;&gt;"X011","","BN02")</f>
        <v/>
      </c>
    </row>
    <row r="1208" ht="20.25" customHeight="1">
      <c r="A1208" s="80">
        <f>IF(OR(Scale!$AA309="",Scale!$AA309=0),"",Scale!$B309)</f>
        <v/>
      </c>
      <c r="B1208" s="80">
        <f>IF(OR(Scale!$AA309="",Scale!$AA309=0),"",Scale!$D309)</f>
        <v/>
      </c>
      <c r="C1208" s="80">
        <f>IF(OR(Scale!$AA309="",Scale!$AA309=0),"","باسکول")</f>
        <v/>
      </c>
      <c r="D1208" s="80">
        <f>IF(OR(Scale!$AA309="",Scale!$AA309=0),"",Scale!$AA309)</f>
        <v/>
      </c>
      <c r="E1208" s="81">
        <f>IF(OR(Scale!$AA309="",Scale!$AA309=0),"",IF(Scale!$AA309="","","پوز باسکول — "&amp;Scale!$E309))</f>
        <v/>
      </c>
      <c r="F1208" s="83" t="n"/>
      <c r="G1208" s="83" t="n"/>
      <c r="H1208" s="83" t="n"/>
      <c r="I1208" s="83" t="n"/>
      <c r="J1208" s="83" t="n"/>
      <c r="K1208" s="82">
        <f>IF(OR(Scale!$AA309="",Scale!$AA309=0),"",IF(Scale!$AB309="",0,Scale!$AB309)+IF(Scale!$AC309="",0,Scale!$AC309))</f>
        <v/>
      </c>
      <c r="L1208" s="82">
        <f>IF(OR(Scale!$AA309="",Scale!$AA309=0),"",Scale!$AB309)</f>
        <v/>
      </c>
      <c r="M1208" s="82">
        <f>IF(OR(Scale!$AA309="",Scale!$AA309=0),"",Scale!$AC309)</f>
        <v/>
      </c>
      <c r="N1208" s="81">
        <f>IF(OR(Scale!$AA309="",Scale!$AA309=0),"","پوز")</f>
        <v/>
      </c>
      <c r="O1208" s="81">
        <f>IF(OR(Scale!$AA309="",Scale!$AA309=0),"",IFERROR(VLOOKUP(Scale!$AA309,AcctTbl,3,0),""))</f>
        <v/>
      </c>
      <c r="P1208" s="82">
        <f>IF(Scale!$AA309&lt;&gt;"X011","","BN02")</f>
        <v/>
      </c>
    </row>
    <row r="1209" ht="20.25" customHeight="1">
      <c r="A1209" s="80">
        <f>IF(OR(Scale!$AD309="",Scale!$AD309=0),"",Scale!$B309)</f>
        <v/>
      </c>
      <c r="B1209" s="80">
        <f>IF(OR(Scale!$AD309="",Scale!$AD309=0),"",Scale!$D309)</f>
        <v/>
      </c>
      <c r="C1209" s="80">
        <f>IF(OR(Scale!$AD309="",Scale!$AD309=0),"","باسکول")</f>
        <v/>
      </c>
      <c r="D1209" s="80">
        <f>IF(OR(Scale!$AD309="",Scale!$AD309=0),"",Scale!$AD309)</f>
        <v/>
      </c>
      <c r="E1209" s="81">
        <f>IF(OR(Scale!$AD309="",Scale!$AD309=0),"",IF(Scale!$AD309="","","مقابل پوز — "&amp;Scale!$E309))</f>
        <v/>
      </c>
      <c r="F1209" s="83" t="n"/>
      <c r="G1209" s="83" t="n"/>
      <c r="H1209" s="83" t="n"/>
      <c r="I1209" s="83" t="n"/>
      <c r="J1209" s="83" t="n"/>
      <c r="K1209" s="82">
        <f>IF(OR(Scale!$AD309="",Scale!$AD309=0),"",IF(Scale!$AE309="",0,Scale!$AE309)+IF(Scale!$AF309="",0,Scale!$AF309))</f>
        <v/>
      </c>
      <c r="L1209" s="82">
        <f>IF(OR(Scale!$AD309="",Scale!$AD309=0),"",Scale!$AE309)</f>
        <v/>
      </c>
      <c r="M1209" s="82">
        <f>IF(OR(Scale!$AD309="",Scale!$AD309=0),"",Scale!$AF309)</f>
        <v/>
      </c>
      <c r="N1209" s="81">
        <f>IF(OR(Scale!$AD309="",Scale!$AD309=0),"","مقابل پوز")</f>
        <v/>
      </c>
      <c r="O1209" s="81">
        <f>IF(OR(Scale!$AD309="",Scale!$AD309=0),"",IFERROR(VLOOKUP(Scale!$AD309,AcctTbl,3,0),""))</f>
        <v/>
      </c>
      <c r="P1209" s="82">
        <f>IF(Scale!$AD309&lt;&gt;"X011","","BN02")</f>
        <v/>
      </c>
    </row>
    <row r="1210" ht="20.25" customHeight="1">
      <c r="A1210" s="80">
        <f>IF(OR(Pay!$AD10="",Pay!$AD10=0),"",Pay!$B10)</f>
        <v/>
      </c>
      <c r="B1210" s="80">
        <f>IF(OR(Pay!$AD10="",Pay!$AD10=0),"",Pay!$C10)</f>
        <v/>
      </c>
      <c r="C1210" s="80">
        <f>IF(OR(Pay!$AD10="",Pay!$AD10=0),"","پرداخت")</f>
        <v/>
      </c>
      <c r="D1210" s="80">
        <f>IF(OR(Pay!$AD10="",Pay!$AD10=0),"",Pay!$AD10)</f>
        <v/>
      </c>
      <c r="E1210" s="81">
        <f>IF(OR(Pay!$AD10="",Pay!$AD10=0),"",Pay!$P10)</f>
        <v/>
      </c>
      <c r="F1210" s="83" t="n"/>
      <c r="G1210" s="83" t="n"/>
      <c r="H1210" s="83" t="n"/>
      <c r="I1210" s="83" t="n"/>
      <c r="J1210" s="83" t="n"/>
      <c r="K1210" s="82">
        <f>IF(OR(Pay!$AD10="",Pay!$AD10=0),"",Pay!$K10)</f>
        <v/>
      </c>
      <c r="L1210" s="82">
        <f>IF(OR(Pay!$AD10="",Pay!$AD10=0),"",Pay!$AE10)</f>
        <v/>
      </c>
      <c r="M1210" s="82" t="n"/>
      <c r="N1210" s="81">
        <f>IF(OR(Pay!$AD10="",Pay!$AD10=0),"",Pay!$D10&amp;" — "&amp;Pay!$E10)</f>
        <v/>
      </c>
      <c r="O1210" s="81">
        <f>IF(OR(Pay!$AD10="",Pay!$AD10=0),"",IFERROR(VLOOKUP(Pay!$AD10,AcctTbl,3,0),""))</f>
        <v/>
      </c>
      <c r="P1210" s="82">
        <f>IF(Pay!$AD10&lt;&gt;"X011","",IF(Pay!$I10="","",Pay!$I10))</f>
        <v/>
      </c>
    </row>
    <row r="1211" ht="20.25" customHeight="1">
      <c r="A1211" s="80">
        <f>IF(OR(Pay!$AF10="",Pay!$AF10=0),"",Pay!$B10)</f>
        <v/>
      </c>
      <c r="B1211" s="80">
        <f>IF(OR(Pay!$AF10="",Pay!$AF10=0),"",Pay!$C10)</f>
        <v/>
      </c>
      <c r="C1211" s="80">
        <f>IF(OR(Pay!$AF10="",Pay!$AF10=0),"","پرداخت")</f>
        <v/>
      </c>
      <c r="D1211" s="80">
        <f>IF(OR(Pay!$AF10="",Pay!$AF10=0),"",Pay!$AF10)</f>
        <v/>
      </c>
      <c r="E1211" s="81">
        <f>IF(OR(Pay!$AF10="",Pay!$AF10=0),"",Pay!$P10)</f>
        <v/>
      </c>
      <c r="F1211" s="83" t="n"/>
      <c r="G1211" s="83" t="n"/>
      <c r="H1211" s="83" t="n"/>
      <c r="I1211" s="83" t="n"/>
      <c r="J1211" s="83" t="n"/>
      <c r="K1211" s="82">
        <f>IF(OR(Pay!$AF10="",Pay!$AF10=0),"",Pay!$K10)</f>
        <v/>
      </c>
      <c r="L1211" s="82" t="n"/>
      <c r="M1211" s="82">
        <f>IF(OR(Pay!$AF10="",Pay!$AF10=0),"",Pay!$AG10)</f>
        <v/>
      </c>
      <c r="N1211" s="81">
        <f>IF(OR(Pay!$AF10="",Pay!$AF10=0),"",Pay!$D10&amp;" — "&amp;Pay!$E10)</f>
        <v/>
      </c>
      <c r="O1211" s="81">
        <f>IF(OR(Pay!$AF10="",Pay!$AF10=0),"",IFERROR(VLOOKUP(Pay!$AF10,AcctTbl,3,0),""))</f>
        <v/>
      </c>
      <c r="P1211" s="82">
        <f>IF(Pay!$AF10&lt;&gt;"X011","",IF(Pay!$I10="","",Pay!$I10))</f>
        <v/>
      </c>
    </row>
    <row r="1212" ht="20.25" customHeight="1">
      <c r="A1212" s="80">
        <f>IF(OR(Pay!$AD11="",Pay!$AD11=0),"",Pay!$B11)</f>
        <v/>
      </c>
      <c r="B1212" s="80">
        <f>IF(OR(Pay!$AD11="",Pay!$AD11=0),"",Pay!$C11)</f>
        <v/>
      </c>
      <c r="C1212" s="80">
        <f>IF(OR(Pay!$AD11="",Pay!$AD11=0),"","پرداخت")</f>
        <v/>
      </c>
      <c r="D1212" s="80">
        <f>IF(OR(Pay!$AD11="",Pay!$AD11=0),"",Pay!$AD11)</f>
        <v/>
      </c>
      <c r="E1212" s="81">
        <f>IF(OR(Pay!$AD11="",Pay!$AD11=0),"",Pay!$P11)</f>
        <v/>
      </c>
      <c r="F1212" s="83" t="n"/>
      <c r="G1212" s="83" t="n"/>
      <c r="H1212" s="83" t="n"/>
      <c r="I1212" s="83" t="n"/>
      <c r="J1212" s="83" t="n"/>
      <c r="K1212" s="82">
        <f>IF(OR(Pay!$AD11="",Pay!$AD11=0),"",Pay!$K11)</f>
        <v/>
      </c>
      <c r="L1212" s="82">
        <f>IF(OR(Pay!$AD11="",Pay!$AD11=0),"",Pay!$AE11)</f>
        <v/>
      </c>
      <c r="M1212" s="82" t="n"/>
      <c r="N1212" s="81">
        <f>IF(OR(Pay!$AD11="",Pay!$AD11=0),"",Pay!$D11&amp;" — "&amp;Pay!$E11)</f>
        <v/>
      </c>
      <c r="O1212" s="81">
        <f>IF(OR(Pay!$AD11="",Pay!$AD11=0),"",IFERROR(VLOOKUP(Pay!$AD11,AcctTbl,3,0),""))</f>
        <v/>
      </c>
      <c r="P1212" s="82">
        <f>IF(Pay!$AD11&lt;&gt;"X011","",IF(Pay!$I11="","",Pay!$I11))</f>
        <v/>
      </c>
    </row>
    <row r="1213" ht="20.25" customHeight="1">
      <c r="A1213" s="80">
        <f>IF(OR(Pay!$AF11="",Pay!$AF11=0),"",Pay!$B11)</f>
        <v/>
      </c>
      <c r="B1213" s="80">
        <f>IF(OR(Pay!$AF11="",Pay!$AF11=0),"",Pay!$C11)</f>
        <v/>
      </c>
      <c r="C1213" s="80">
        <f>IF(OR(Pay!$AF11="",Pay!$AF11=0),"","پرداخت")</f>
        <v/>
      </c>
      <c r="D1213" s="80">
        <f>IF(OR(Pay!$AF11="",Pay!$AF11=0),"",Pay!$AF11)</f>
        <v/>
      </c>
      <c r="E1213" s="81">
        <f>IF(OR(Pay!$AF11="",Pay!$AF11=0),"",Pay!$P11)</f>
        <v/>
      </c>
      <c r="F1213" s="83" t="n"/>
      <c r="G1213" s="83" t="n"/>
      <c r="H1213" s="83" t="n"/>
      <c r="I1213" s="83" t="n"/>
      <c r="J1213" s="83" t="n"/>
      <c r="K1213" s="82">
        <f>IF(OR(Pay!$AF11="",Pay!$AF11=0),"",Pay!$K11)</f>
        <v/>
      </c>
      <c r="L1213" s="82" t="n"/>
      <c r="M1213" s="82">
        <f>IF(OR(Pay!$AF11="",Pay!$AF11=0),"",Pay!$AG11)</f>
        <v/>
      </c>
      <c r="N1213" s="81">
        <f>IF(OR(Pay!$AF11="",Pay!$AF11=0),"",Pay!$D11&amp;" — "&amp;Pay!$E11)</f>
        <v/>
      </c>
      <c r="O1213" s="81">
        <f>IF(OR(Pay!$AF11="",Pay!$AF11=0),"",IFERROR(VLOOKUP(Pay!$AF11,AcctTbl,3,0),""))</f>
        <v/>
      </c>
      <c r="P1213" s="82">
        <f>IF(Pay!$AF11&lt;&gt;"X011","",IF(Pay!$I11="","",Pay!$I11))</f>
        <v/>
      </c>
    </row>
    <row r="1214" ht="20.25" customHeight="1">
      <c r="A1214" s="80">
        <f>IF(OR(Pay!$AD12="",Pay!$AD12=0),"",Pay!$B12)</f>
        <v/>
      </c>
      <c r="B1214" s="80">
        <f>IF(OR(Pay!$AD12="",Pay!$AD12=0),"",Pay!$C12)</f>
        <v/>
      </c>
      <c r="C1214" s="80">
        <f>IF(OR(Pay!$AD12="",Pay!$AD12=0),"","پرداخت")</f>
        <v/>
      </c>
      <c r="D1214" s="80">
        <f>IF(OR(Pay!$AD12="",Pay!$AD12=0),"",Pay!$AD12)</f>
        <v/>
      </c>
      <c r="E1214" s="81">
        <f>IF(OR(Pay!$AD12="",Pay!$AD12=0),"",Pay!$P12)</f>
        <v/>
      </c>
      <c r="F1214" s="83" t="n"/>
      <c r="G1214" s="83" t="n"/>
      <c r="H1214" s="83" t="n"/>
      <c r="I1214" s="83" t="n"/>
      <c r="J1214" s="83" t="n"/>
      <c r="K1214" s="82">
        <f>IF(OR(Pay!$AD12="",Pay!$AD12=0),"",Pay!$K12)</f>
        <v/>
      </c>
      <c r="L1214" s="82">
        <f>IF(OR(Pay!$AD12="",Pay!$AD12=0),"",Pay!$AE12)</f>
        <v/>
      </c>
      <c r="M1214" s="82" t="n"/>
      <c r="N1214" s="81">
        <f>IF(OR(Pay!$AD12="",Pay!$AD12=0),"",Pay!$D12&amp;" — "&amp;Pay!$E12)</f>
        <v/>
      </c>
      <c r="O1214" s="81">
        <f>IF(OR(Pay!$AD12="",Pay!$AD12=0),"",IFERROR(VLOOKUP(Pay!$AD12,AcctTbl,3,0),""))</f>
        <v/>
      </c>
      <c r="P1214" s="82">
        <f>IF(Pay!$AD12&lt;&gt;"X011","",IF(Pay!$I12="","",Pay!$I12))</f>
        <v/>
      </c>
    </row>
    <row r="1215" ht="20.25" customHeight="1">
      <c r="A1215" s="80">
        <f>IF(OR(Pay!$AF12="",Pay!$AF12=0),"",Pay!$B12)</f>
        <v/>
      </c>
      <c r="B1215" s="80">
        <f>IF(OR(Pay!$AF12="",Pay!$AF12=0),"",Pay!$C12)</f>
        <v/>
      </c>
      <c r="C1215" s="80">
        <f>IF(OR(Pay!$AF12="",Pay!$AF12=0),"","پرداخت")</f>
        <v/>
      </c>
      <c r="D1215" s="80">
        <f>IF(OR(Pay!$AF12="",Pay!$AF12=0),"",Pay!$AF12)</f>
        <v/>
      </c>
      <c r="E1215" s="81">
        <f>IF(OR(Pay!$AF12="",Pay!$AF12=0),"",Pay!$P12)</f>
        <v/>
      </c>
      <c r="F1215" s="83" t="n"/>
      <c r="G1215" s="83" t="n"/>
      <c r="H1215" s="83" t="n"/>
      <c r="I1215" s="83" t="n"/>
      <c r="J1215" s="83" t="n"/>
      <c r="K1215" s="82">
        <f>IF(OR(Pay!$AF12="",Pay!$AF12=0),"",Pay!$K12)</f>
        <v/>
      </c>
      <c r="L1215" s="82" t="n"/>
      <c r="M1215" s="82">
        <f>IF(OR(Pay!$AF12="",Pay!$AF12=0),"",Pay!$AG12)</f>
        <v/>
      </c>
      <c r="N1215" s="81">
        <f>IF(OR(Pay!$AF12="",Pay!$AF12=0),"",Pay!$D12&amp;" — "&amp;Pay!$E12)</f>
        <v/>
      </c>
      <c r="O1215" s="81">
        <f>IF(OR(Pay!$AF12="",Pay!$AF12=0),"",IFERROR(VLOOKUP(Pay!$AF12,AcctTbl,3,0),""))</f>
        <v/>
      </c>
      <c r="P1215" s="82">
        <f>IF(Pay!$AF12&lt;&gt;"X011","",IF(Pay!$I12="","",Pay!$I12))</f>
        <v/>
      </c>
    </row>
    <row r="1216" ht="20.25" customHeight="1">
      <c r="A1216" s="80">
        <f>IF(OR(Pay!$AD13="",Pay!$AD13=0),"",Pay!$B13)</f>
        <v/>
      </c>
      <c r="B1216" s="80">
        <f>IF(OR(Pay!$AD13="",Pay!$AD13=0),"",Pay!$C13)</f>
        <v/>
      </c>
      <c r="C1216" s="80">
        <f>IF(OR(Pay!$AD13="",Pay!$AD13=0),"","پرداخت")</f>
        <v/>
      </c>
      <c r="D1216" s="80">
        <f>IF(OR(Pay!$AD13="",Pay!$AD13=0),"",Pay!$AD13)</f>
        <v/>
      </c>
      <c r="E1216" s="81">
        <f>IF(OR(Pay!$AD13="",Pay!$AD13=0),"",Pay!$P13)</f>
        <v/>
      </c>
      <c r="F1216" s="83" t="n"/>
      <c r="G1216" s="83" t="n"/>
      <c r="H1216" s="83" t="n"/>
      <c r="I1216" s="83" t="n"/>
      <c r="J1216" s="83" t="n"/>
      <c r="K1216" s="82">
        <f>IF(OR(Pay!$AD13="",Pay!$AD13=0),"",Pay!$K13)</f>
        <v/>
      </c>
      <c r="L1216" s="82">
        <f>IF(OR(Pay!$AD13="",Pay!$AD13=0),"",Pay!$AE13)</f>
        <v/>
      </c>
      <c r="M1216" s="82" t="n"/>
      <c r="N1216" s="81">
        <f>IF(OR(Pay!$AD13="",Pay!$AD13=0),"",Pay!$D13&amp;" — "&amp;Pay!$E13)</f>
        <v/>
      </c>
      <c r="O1216" s="81">
        <f>IF(OR(Pay!$AD13="",Pay!$AD13=0),"",IFERROR(VLOOKUP(Pay!$AD13,AcctTbl,3,0),""))</f>
        <v/>
      </c>
      <c r="P1216" s="82">
        <f>IF(Pay!$AD13&lt;&gt;"X011","",IF(Pay!$I13="","",Pay!$I13))</f>
        <v/>
      </c>
    </row>
    <row r="1217" ht="20.25" customHeight="1">
      <c r="A1217" s="80">
        <f>IF(OR(Pay!$AF13="",Pay!$AF13=0),"",Pay!$B13)</f>
        <v/>
      </c>
      <c r="B1217" s="80">
        <f>IF(OR(Pay!$AF13="",Pay!$AF13=0),"",Pay!$C13)</f>
        <v/>
      </c>
      <c r="C1217" s="80">
        <f>IF(OR(Pay!$AF13="",Pay!$AF13=0),"","پرداخت")</f>
        <v/>
      </c>
      <c r="D1217" s="80">
        <f>IF(OR(Pay!$AF13="",Pay!$AF13=0),"",Pay!$AF13)</f>
        <v/>
      </c>
      <c r="E1217" s="81">
        <f>IF(OR(Pay!$AF13="",Pay!$AF13=0),"",Pay!$P13)</f>
        <v/>
      </c>
      <c r="F1217" s="83" t="n"/>
      <c r="G1217" s="83" t="n"/>
      <c r="H1217" s="83" t="n"/>
      <c r="I1217" s="83" t="n"/>
      <c r="J1217" s="83" t="n"/>
      <c r="K1217" s="82">
        <f>IF(OR(Pay!$AF13="",Pay!$AF13=0),"",Pay!$K13)</f>
        <v/>
      </c>
      <c r="L1217" s="82" t="n"/>
      <c r="M1217" s="82">
        <f>IF(OR(Pay!$AF13="",Pay!$AF13=0),"",Pay!$AG13)</f>
        <v/>
      </c>
      <c r="N1217" s="81">
        <f>IF(OR(Pay!$AF13="",Pay!$AF13=0),"",Pay!$D13&amp;" — "&amp;Pay!$E13)</f>
        <v/>
      </c>
      <c r="O1217" s="81">
        <f>IF(OR(Pay!$AF13="",Pay!$AF13=0),"",IFERROR(VLOOKUP(Pay!$AF13,AcctTbl,3,0),""))</f>
        <v/>
      </c>
      <c r="P1217" s="82">
        <f>IF(Pay!$AF13&lt;&gt;"X011","",IF(Pay!$I13="","",Pay!$I13))</f>
        <v/>
      </c>
    </row>
    <row r="1218" ht="20.25" customHeight="1">
      <c r="A1218" s="80">
        <f>IF(OR(Pay!$AD14="",Pay!$AD14=0),"",Pay!$B14)</f>
        <v/>
      </c>
      <c r="B1218" s="80">
        <f>IF(OR(Pay!$AD14="",Pay!$AD14=0),"",Pay!$C14)</f>
        <v/>
      </c>
      <c r="C1218" s="80">
        <f>IF(OR(Pay!$AD14="",Pay!$AD14=0),"","پرداخت")</f>
        <v/>
      </c>
      <c r="D1218" s="80">
        <f>IF(OR(Pay!$AD14="",Pay!$AD14=0),"",Pay!$AD14)</f>
        <v/>
      </c>
      <c r="E1218" s="81">
        <f>IF(OR(Pay!$AD14="",Pay!$AD14=0),"",Pay!$P14)</f>
        <v/>
      </c>
      <c r="F1218" s="83" t="n"/>
      <c r="G1218" s="83" t="n"/>
      <c r="H1218" s="83" t="n"/>
      <c r="I1218" s="83" t="n"/>
      <c r="J1218" s="83" t="n"/>
      <c r="K1218" s="82">
        <f>IF(OR(Pay!$AD14="",Pay!$AD14=0),"",Pay!$K14)</f>
        <v/>
      </c>
      <c r="L1218" s="82">
        <f>IF(OR(Pay!$AD14="",Pay!$AD14=0),"",Pay!$AE14)</f>
        <v/>
      </c>
      <c r="M1218" s="82" t="n"/>
      <c r="N1218" s="81">
        <f>IF(OR(Pay!$AD14="",Pay!$AD14=0),"",Pay!$D14&amp;" — "&amp;Pay!$E14)</f>
        <v/>
      </c>
      <c r="O1218" s="81">
        <f>IF(OR(Pay!$AD14="",Pay!$AD14=0),"",IFERROR(VLOOKUP(Pay!$AD14,AcctTbl,3,0),""))</f>
        <v/>
      </c>
      <c r="P1218" s="82">
        <f>IF(Pay!$AD14&lt;&gt;"X011","",IF(Pay!$I14="","",Pay!$I14))</f>
        <v/>
      </c>
    </row>
    <row r="1219" ht="20.25" customHeight="1">
      <c r="A1219" s="80">
        <f>IF(OR(Pay!$AF14="",Pay!$AF14=0),"",Pay!$B14)</f>
        <v/>
      </c>
      <c r="B1219" s="80">
        <f>IF(OR(Pay!$AF14="",Pay!$AF14=0),"",Pay!$C14)</f>
        <v/>
      </c>
      <c r="C1219" s="80">
        <f>IF(OR(Pay!$AF14="",Pay!$AF14=0),"","پرداخت")</f>
        <v/>
      </c>
      <c r="D1219" s="80">
        <f>IF(OR(Pay!$AF14="",Pay!$AF14=0),"",Pay!$AF14)</f>
        <v/>
      </c>
      <c r="E1219" s="81">
        <f>IF(OR(Pay!$AF14="",Pay!$AF14=0),"",Pay!$P14)</f>
        <v/>
      </c>
      <c r="F1219" s="83" t="n"/>
      <c r="G1219" s="83" t="n"/>
      <c r="H1219" s="83" t="n"/>
      <c r="I1219" s="83" t="n"/>
      <c r="J1219" s="83" t="n"/>
      <c r="K1219" s="82">
        <f>IF(OR(Pay!$AF14="",Pay!$AF14=0),"",Pay!$K14)</f>
        <v/>
      </c>
      <c r="L1219" s="82" t="n"/>
      <c r="M1219" s="82">
        <f>IF(OR(Pay!$AF14="",Pay!$AF14=0),"",Pay!$AG14)</f>
        <v/>
      </c>
      <c r="N1219" s="81">
        <f>IF(OR(Pay!$AF14="",Pay!$AF14=0),"",Pay!$D14&amp;" — "&amp;Pay!$E14)</f>
        <v/>
      </c>
      <c r="O1219" s="81">
        <f>IF(OR(Pay!$AF14="",Pay!$AF14=0),"",IFERROR(VLOOKUP(Pay!$AF14,AcctTbl,3,0),""))</f>
        <v/>
      </c>
      <c r="P1219" s="82">
        <f>IF(Pay!$AF14&lt;&gt;"X011","",IF(Pay!$I14="","",Pay!$I14))</f>
        <v/>
      </c>
    </row>
    <row r="1220" ht="20.25" customHeight="1">
      <c r="A1220" s="80">
        <f>IF(OR(Pay!$AD15="",Pay!$AD15=0),"",Pay!$B15)</f>
        <v/>
      </c>
      <c r="B1220" s="80">
        <f>IF(OR(Pay!$AD15="",Pay!$AD15=0),"",Pay!$C15)</f>
        <v/>
      </c>
      <c r="C1220" s="80">
        <f>IF(OR(Pay!$AD15="",Pay!$AD15=0),"","پرداخت")</f>
        <v/>
      </c>
      <c r="D1220" s="80">
        <f>IF(OR(Pay!$AD15="",Pay!$AD15=0),"",Pay!$AD15)</f>
        <v/>
      </c>
      <c r="E1220" s="81">
        <f>IF(OR(Pay!$AD15="",Pay!$AD15=0),"",Pay!$P15)</f>
        <v/>
      </c>
      <c r="F1220" s="83" t="n"/>
      <c r="G1220" s="83" t="n"/>
      <c r="H1220" s="83" t="n"/>
      <c r="I1220" s="83" t="n"/>
      <c r="J1220" s="83" t="n"/>
      <c r="K1220" s="82">
        <f>IF(OR(Pay!$AD15="",Pay!$AD15=0),"",Pay!$K15)</f>
        <v/>
      </c>
      <c r="L1220" s="82">
        <f>IF(OR(Pay!$AD15="",Pay!$AD15=0),"",Pay!$AE15)</f>
        <v/>
      </c>
      <c r="M1220" s="82" t="n"/>
      <c r="N1220" s="81">
        <f>IF(OR(Pay!$AD15="",Pay!$AD15=0),"",Pay!$D15&amp;" — "&amp;Pay!$E15)</f>
        <v/>
      </c>
      <c r="O1220" s="81">
        <f>IF(OR(Pay!$AD15="",Pay!$AD15=0),"",IFERROR(VLOOKUP(Pay!$AD15,AcctTbl,3,0),""))</f>
        <v/>
      </c>
      <c r="P1220" s="82">
        <f>IF(Pay!$AD15&lt;&gt;"X011","",IF(Pay!$I15="","",Pay!$I15))</f>
        <v/>
      </c>
    </row>
    <row r="1221" ht="20.25" customHeight="1">
      <c r="A1221" s="80">
        <f>IF(OR(Pay!$AF15="",Pay!$AF15=0),"",Pay!$B15)</f>
        <v/>
      </c>
      <c r="B1221" s="80">
        <f>IF(OR(Pay!$AF15="",Pay!$AF15=0),"",Pay!$C15)</f>
        <v/>
      </c>
      <c r="C1221" s="80">
        <f>IF(OR(Pay!$AF15="",Pay!$AF15=0),"","پرداخت")</f>
        <v/>
      </c>
      <c r="D1221" s="80">
        <f>IF(OR(Pay!$AF15="",Pay!$AF15=0),"",Pay!$AF15)</f>
        <v/>
      </c>
      <c r="E1221" s="81">
        <f>IF(OR(Pay!$AF15="",Pay!$AF15=0),"",Pay!$P15)</f>
        <v/>
      </c>
      <c r="F1221" s="83" t="n"/>
      <c r="G1221" s="83" t="n"/>
      <c r="H1221" s="83" t="n"/>
      <c r="I1221" s="83" t="n"/>
      <c r="J1221" s="83" t="n"/>
      <c r="K1221" s="82">
        <f>IF(OR(Pay!$AF15="",Pay!$AF15=0),"",Pay!$K15)</f>
        <v/>
      </c>
      <c r="L1221" s="82" t="n"/>
      <c r="M1221" s="82">
        <f>IF(OR(Pay!$AF15="",Pay!$AF15=0),"",Pay!$AG15)</f>
        <v/>
      </c>
      <c r="N1221" s="81">
        <f>IF(OR(Pay!$AF15="",Pay!$AF15=0),"",Pay!$D15&amp;" — "&amp;Pay!$E15)</f>
        <v/>
      </c>
      <c r="O1221" s="81">
        <f>IF(OR(Pay!$AF15="",Pay!$AF15=0),"",IFERROR(VLOOKUP(Pay!$AF15,AcctTbl,3,0),""))</f>
        <v/>
      </c>
      <c r="P1221" s="82">
        <f>IF(Pay!$AF15&lt;&gt;"X011","",IF(Pay!$I15="","",Pay!$I15))</f>
        <v/>
      </c>
    </row>
    <row r="1222" ht="20.25" customHeight="1">
      <c r="A1222" s="80">
        <f>IF(OR(Pay!$AD16="",Pay!$AD16=0),"",Pay!$B16)</f>
        <v/>
      </c>
      <c r="B1222" s="80">
        <f>IF(OR(Pay!$AD16="",Pay!$AD16=0),"",Pay!$C16)</f>
        <v/>
      </c>
      <c r="C1222" s="80">
        <f>IF(OR(Pay!$AD16="",Pay!$AD16=0),"","پرداخت")</f>
        <v/>
      </c>
      <c r="D1222" s="80">
        <f>IF(OR(Pay!$AD16="",Pay!$AD16=0),"",Pay!$AD16)</f>
        <v/>
      </c>
      <c r="E1222" s="81">
        <f>IF(OR(Pay!$AD16="",Pay!$AD16=0),"",Pay!$P16)</f>
        <v/>
      </c>
      <c r="F1222" s="83" t="n"/>
      <c r="G1222" s="83" t="n"/>
      <c r="H1222" s="83" t="n"/>
      <c r="I1222" s="83" t="n"/>
      <c r="J1222" s="83" t="n"/>
      <c r="K1222" s="82">
        <f>IF(OR(Pay!$AD16="",Pay!$AD16=0),"",Pay!$K16)</f>
        <v/>
      </c>
      <c r="L1222" s="82">
        <f>IF(OR(Pay!$AD16="",Pay!$AD16=0),"",Pay!$AE16)</f>
        <v/>
      </c>
      <c r="M1222" s="82" t="n"/>
      <c r="N1222" s="81">
        <f>IF(OR(Pay!$AD16="",Pay!$AD16=0),"",Pay!$D16&amp;" — "&amp;Pay!$E16)</f>
        <v/>
      </c>
      <c r="O1222" s="81">
        <f>IF(OR(Pay!$AD16="",Pay!$AD16=0),"",IFERROR(VLOOKUP(Pay!$AD16,AcctTbl,3,0),""))</f>
        <v/>
      </c>
      <c r="P1222" s="82">
        <f>IF(Pay!$AD16&lt;&gt;"X011","",IF(Pay!$I16="","",Pay!$I16))</f>
        <v/>
      </c>
    </row>
    <row r="1223" ht="20.25" customHeight="1">
      <c r="A1223" s="80">
        <f>IF(OR(Pay!$AF16="",Pay!$AF16=0),"",Pay!$B16)</f>
        <v/>
      </c>
      <c r="B1223" s="80">
        <f>IF(OR(Pay!$AF16="",Pay!$AF16=0),"",Pay!$C16)</f>
        <v/>
      </c>
      <c r="C1223" s="80">
        <f>IF(OR(Pay!$AF16="",Pay!$AF16=0),"","پرداخت")</f>
        <v/>
      </c>
      <c r="D1223" s="80">
        <f>IF(OR(Pay!$AF16="",Pay!$AF16=0),"",Pay!$AF16)</f>
        <v/>
      </c>
      <c r="E1223" s="81">
        <f>IF(OR(Pay!$AF16="",Pay!$AF16=0),"",Pay!$P16)</f>
        <v/>
      </c>
      <c r="F1223" s="83" t="n"/>
      <c r="G1223" s="83" t="n"/>
      <c r="H1223" s="83" t="n"/>
      <c r="I1223" s="83" t="n"/>
      <c r="J1223" s="83" t="n"/>
      <c r="K1223" s="82">
        <f>IF(OR(Pay!$AF16="",Pay!$AF16=0),"",Pay!$K16)</f>
        <v/>
      </c>
      <c r="L1223" s="82" t="n"/>
      <c r="M1223" s="82">
        <f>IF(OR(Pay!$AF16="",Pay!$AF16=0),"",Pay!$AG16)</f>
        <v/>
      </c>
      <c r="N1223" s="81">
        <f>IF(OR(Pay!$AF16="",Pay!$AF16=0),"",Pay!$D16&amp;" — "&amp;Pay!$E16)</f>
        <v/>
      </c>
      <c r="O1223" s="81">
        <f>IF(OR(Pay!$AF16="",Pay!$AF16=0),"",IFERROR(VLOOKUP(Pay!$AF16,AcctTbl,3,0),""))</f>
        <v/>
      </c>
      <c r="P1223" s="82">
        <f>IF(Pay!$AF16&lt;&gt;"X011","",IF(Pay!$I16="","",Pay!$I16))</f>
        <v/>
      </c>
    </row>
    <row r="1224" ht="20.25" customHeight="1">
      <c r="A1224" s="80">
        <f>IF(OR(Pay!$AD17="",Pay!$AD17=0),"",Pay!$B17)</f>
        <v/>
      </c>
      <c r="B1224" s="80">
        <f>IF(OR(Pay!$AD17="",Pay!$AD17=0),"",Pay!$C17)</f>
        <v/>
      </c>
      <c r="C1224" s="80">
        <f>IF(OR(Pay!$AD17="",Pay!$AD17=0),"","پرداخت")</f>
        <v/>
      </c>
      <c r="D1224" s="80">
        <f>IF(OR(Pay!$AD17="",Pay!$AD17=0),"",Pay!$AD17)</f>
        <v/>
      </c>
      <c r="E1224" s="81">
        <f>IF(OR(Pay!$AD17="",Pay!$AD17=0),"",Pay!$P17)</f>
        <v/>
      </c>
      <c r="F1224" s="83" t="n"/>
      <c r="G1224" s="83" t="n"/>
      <c r="H1224" s="83" t="n"/>
      <c r="I1224" s="83" t="n"/>
      <c r="J1224" s="83" t="n"/>
      <c r="K1224" s="82">
        <f>IF(OR(Pay!$AD17="",Pay!$AD17=0),"",Pay!$K17)</f>
        <v/>
      </c>
      <c r="L1224" s="82">
        <f>IF(OR(Pay!$AD17="",Pay!$AD17=0),"",Pay!$AE17)</f>
        <v/>
      </c>
      <c r="M1224" s="82" t="n"/>
      <c r="N1224" s="81">
        <f>IF(OR(Pay!$AD17="",Pay!$AD17=0),"",Pay!$D17&amp;" — "&amp;Pay!$E17)</f>
        <v/>
      </c>
      <c r="O1224" s="81">
        <f>IF(OR(Pay!$AD17="",Pay!$AD17=0),"",IFERROR(VLOOKUP(Pay!$AD17,AcctTbl,3,0),""))</f>
        <v/>
      </c>
      <c r="P1224" s="82">
        <f>IF(Pay!$AD17&lt;&gt;"X011","",IF(Pay!$I17="","",Pay!$I17))</f>
        <v/>
      </c>
    </row>
    <row r="1225" ht="20.25" customHeight="1">
      <c r="A1225" s="80">
        <f>IF(OR(Pay!$AF17="",Pay!$AF17=0),"",Pay!$B17)</f>
        <v/>
      </c>
      <c r="B1225" s="80">
        <f>IF(OR(Pay!$AF17="",Pay!$AF17=0),"",Pay!$C17)</f>
        <v/>
      </c>
      <c r="C1225" s="80">
        <f>IF(OR(Pay!$AF17="",Pay!$AF17=0),"","پرداخت")</f>
        <v/>
      </c>
      <c r="D1225" s="80">
        <f>IF(OR(Pay!$AF17="",Pay!$AF17=0),"",Pay!$AF17)</f>
        <v/>
      </c>
      <c r="E1225" s="81">
        <f>IF(OR(Pay!$AF17="",Pay!$AF17=0),"",Pay!$P17)</f>
        <v/>
      </c>
      <c r="F1225" s="83" t="n"/>
      <c r="G1225" s="83" t="n"/>
      <c r="H1225" s="83" t="n"/>
      <c r="I1225" s="83" t="n"/>
      <c r="J1225" s="83" t="n"/>
      <c r="K1225" s="82">
        <f>IF(OR(Pay!$AF17="",Pay!$AF17=0),"",Pay!$K17)</f>
        <v/>
      </c>
      <c r="L1225" s="82" t="n"/>
      <c r="M1225" s="82">
        <f>IF(OR(Pay!$AF17="",Pay!$AF17=0),"",Pay!$AG17)</f>
        <v/>
      </c>
      <c r="N1225" s="81">
        <f>IF(OR(Pay!$AF17="",Pay!$AF17=0),"",Pay!$D17&amp;" — "&amp;Pay!$E17)</f>
        <v/>
      </c>
      <c r="O1225" s="81">
        <f>IF(OR(Pay!$AF17="",Pay!$AF17=0),"",IFERROR(VLOOKUP(Pay!$AF17,AcctTbl,3,0),""))</f>
        <v/>
      </c>
      <c r="P1225" s="82">
        <f>IF(Pay!$AF17&lt;&gt;"X011","",IF(Pay!$I17="","",Pay!$I17))</f>
        <v/>
      </c>
    </row>
    <row r="1226" ht="20.25" customHeight="1">
      <c r="A1226" s="80">
        <f>IF(OR(Pay!$AD18="",Pay!$AD18=0),"",Pay!$B18)</f>
        <v/>
      </c>
      <c r="B1226" s="80">
        <f>IF(OR(Pay!$AD18="",Pay!$AD18=0),"",Pay!$C18)</f>
        <v/>
      </c>
      <c r="C1226" s="80">
        <f>IF(OR(Pay!$AD18="",Pay!$AD18=0),"","پرداخت")</f>
        <v/>
      </c>
      <c r="D1226" s="80">
        <f>IF(OR(Pay!$AD18="",Pay!$AD18=0),"",Pay!$AD18)</f>
        <v/>
      </c>
      <c r="E1226" s="81">
        <f>IF(OR(Pay!$AD18="",Pay!$AD18=0),"",Pay!$P18)</f>
        <v/>
      </c>
      <c r="F1226" s="83" t="n"/>
      <c r="G1226" s="83" t="n"/>
      <c r="H1226" s="83" t="n"/>
      <c r="I1226" s="83" t="n"/>
      <c r="J1226" s="83" t="n"/>
      <c r="K1226" s="82">
        <f>IF(OR(Pay!$AD18="",Pay!$AD18=0),"",Pay!$K18)</f>
        <v/>
      </c>
      <c r="L1226" s="82">
        <f>IF(OR(Pay!$AD18="",Pay!$AD18=0),"",Pay!$AE18)</f>
        <v/>
      </c>
      <c r="M1226" s="82" t="n"/>
      <c r="N1226" s="81">
        <f>IF(OR(Pay!$AD18="",Pay!$AD18=0),"",Pay!$D18&amp;" — "&amp;Pay!$E18)</f>
        <v/>
      </c>
      <c r="O1226" s="81">
        <f>IF(OR(Pay!$AD18="",Pay!$AD18=0),"",IFERROR(VLOOKUP(Pay!$AD18,AcctTbl,3,0),""))</f>
        <v/>
      </c>
      <c r="P1226" s="82">
        <f>IF(Pay!$AD18&lt;&gt;"X011","",IF(Pay!$I18="","",Pay!$I18))</f>
        <v/>
      </c>
    </row>
    <row r="1227" ht="20.25" customHeight="1">
      <c r="A1227" s="80">
        <f>IF(OR(Pay!$AF18="",Pay!$AF18=0),"",Pay!$B18)</f>
        <v/>
      </c>
      <c r="B1227" s="80">
        <f>IF(OR(Pay!$AF18="",Pay!$AF18=0),"",Pay!$C18)</f>
        <v/>
      </c>
      <c r="C1227" s="80">
        <f>IF(OR(Pay!$AF18="",Pay!$AF18=0),"","پرداخت")</f>
        <v/>
      </c>
      <c r="D1227" s="80">
        <f>IF(OR(Pay!$AF18="",Pay!$AF18=0),"",Pay!$AF18)</f>
        <v/>
      </c>
      <c r="E1227" s="81">
        <f>IF(OR(Pay!$AF18="",Pay!$AF18=0),"",Pay!$P18)</f>
        <v/>
      </c>
      <c r="F1227" s="83" t="n"/>
      <c r="G1227" s="83" t="n"/>
      <c r="H1227" s="83" t="n"/>
      <c r="I1227" s="83" t="n"/>
      <c r="J1227" s="83" t="n"/>
      <c r="K1227" s="82">
        <f>IF(OR(Pay!$AF18="",Pay!$AF18=0),"",Pay!$K18)</f>
        <v/>
      </c>
      <c r="L1227" s="82" t="n"/>
      <c r="M1227" s="82">
        <f>IF(OR(Pay!$AF18="",Pay!$AF18=0),"",Pay!$AG18)</f>
        <v/>
      </c>
      <c r="N1227" s="81">
        <f>IF(OR(Pay!$AF18="",Pay!$AF18=0),"",Pay!$D18&amp;" — "&amp;Pay!$E18)</f>
        <v/>
      </c>
      <c r="O1227" s="81">
        <f>IF(OR(Pay!$AF18="",Pay!$AF18=0),"",IFERROR(VLOOKUP(Pay!$AF18,AcctTbl,3,0),""))</f>
        <v/>
      </c>
      <c r="P1227" s="82">
        <f>IF(Pay!$AF18&lt;&gt;"X011","",IF(Pay!$I18="","",Pay!$I18))</f>
        <v/>
      </c>
    </row>
    <row r="1228" ht="20.25" customHeight="1">
      <c r="A1228" s="80">
        <f>IF(OR(Pay!$AD19="",Pay!$AD19=0),"",Pay!$B19)</f>
        <v/>
      </c>
      <c r="B1228" s="80">
        <f>IF(OR(Pay!$AD19="",Pay!$AD19=0),"",Pay!$C19)</f>
        <v/>
      </c>
      <c r="C1228" s="80">
        <f>IF(OR(Pay!$AD19="",Pay!$AD19=0),"","پرداخت")</f>
        <v/>
      </c>
      <c r="D1228" s="80">
        <f>IF(OR(Pay!$AD19="",Pay!$AD19=0),"",Pay!$AD19)</f>
        <v/>
      </c>
      <c r="E1228" s="81">
        <f>IF(OR(Pay!$AD19="",Pay!$AD19=0),"",Pay!$P19)</f>
        <v/>
      </c>
      <c r="F1228" s="83" t="n"/>
      <c r="G1228" s="83" t="n"/>
      <c r="H1228" s="83" t="n"/>
      <c r="I1228" s="83" t="n"/>
      <c r="J1228" s="83" t="n"/>
      <c r="K1228" s="82">
        <f>IF(OR(Pay!$AD19="",Pay!$AD19=0),"",Pay!$K19)</f>
        <v/>
      </c>
      <c r="L1228" s="82">
        <f>IF(OR(Pay!$AD19="",Pay!$AD19=0),"",Pay!$AE19)</f>
        <v/>
      </c>
      <c r="M1228" s="82" t="n"/>
      <c r="N1228" s="81">
        <f>IF(OR(Pay!$AD19="",Pay!$AD19=0),"",Pay!$D19&amp;" — "&amp;Pay!$E19)</f>
        <v/>
      </c>
      <c r="O1228" s="81">
        <f>IF(OR(Pay!$AD19="",Pay!$AD19=0),"",IFERROR(VLOOKUP(Pay!$AD19,AcctTbl,3,0),""))</f>
        <v/>
      </c>
      <c r="P1228" s="82">
        <f>IF(Pay!$AD19&lt;&gt;"X011","",IF(Pay!$I19="","",Pay!$I19))</f>
        <v/>
      </c>
    </row>
    <row r="1229" ht="20.25" customHeight="1">
      <c r="A1229" s="80">
        <f>IF(OR(Pay!$AF19="",Pay!$AF19=0),"",Pay!$B19)</f>
        <v/>
      </c>
      <c r="B1229" s="80">
        <f>IF(OR(Pay!$AF19="",Pay!$AF19=0),"",Pay!$C19)</f>
        <v/>
      </c>
      <c r="C1229" s="80">
        <f>IF(OR(Pay!$AF19="",Pay!$AF19=0),"","پرداخت")</f>
        <v/>
      </c>
      <c r="D1229" s="80">
        <f>IF(OR(Pay!$AF19="",Pay!$AF19=0),"",Pay!$AF19)</f>
        <v/>
      </c>
      <c r="E1229" s="81">
        <f>IF(OR(Pay!$AF19="",Pay!$AF19=0),"",Pay!$P19)</f>
        <v/>
      </c>
      <c r="F1229" s="83" t="n"/>
      <c r="G1229" s="83" t="n"/>
      <c r="H1229" s="83" t="n"/>
      <c r="I1229" s="83" t="n"/>
      <c r="J1229" s="83" t="n"/>
      <c r="K1229" s="82">
        <f>IF(OR(Pay!$AF19="",Pay!$AF19=0),"",Pay!$K19)</f>
        <v/>
      </c>
      <c r="L1229" s="82" t="n"/>
      <c r="M1229" s="82">
        <f>IF(OR(Pay!$AF19="",Pay!$AF19=0),"",Pay!$AG19)</f>
        <v/>
      </c>
      <c r="N1229" s="81">
        <f>IF(OR(Pay!$AF19="",Pay!$AF19=0),"",Pay!$D19&amp;" — "&amp;Pay!$E19)</f>
        <v/>
      </c>
      <c r="O1229" s="81">
        <f>IF(OR(Pay!$AF19="",Pay!$AF19=0),"",IFERROR(VLOOKUP(Pay!$AF19,AcctTbl,3,0),""))</f>
        <v/>
      </c>
      <c r="P1229" s="82">
        <f>IF(Pay!$AF19&lt;&gt;"X011","",IF(Pay!$I19="","",Pay!$I19))</f>
        <v/>
      </c>
    </row>
    <row r="1230" ht="20.25" customHeight="1">
      <c r="A1230" s="80">
        <f>IF(OR(Pay!$AD20="",Pay!$AD20=0),"",Pay!$B20)</f>
        <v/>
      </c>
      <c r="B1230" s="80">
        <f>IF(OR(Pay!$AD20="",Pay!$AD20=0),"",Pay!$C20)</f>
        <v/>
      </c>
      <c r="C1230" s="80">
        <f>IF(OR(Pay!$AD20="",Pay!$AD20=0),"","پرداخت")</f>
        <v/>
      </c>
      <c r="D1230" s="80">
        <f>IF(OR(Pay!$AD20="",Pay!$AD20=0),"",Pay!$AD20)</f>
        <v/>
      </c>
      <c r="E1230" s="81">
        <f>IF(OR(Pay!$AD20="",Pay!$AD20=0),"",Pay!$P20)</f>
        <v/>
      </c>
      <c r="F1230" s="83" t="n"/>
      <c r="G1230" s="83" t="n"/>
      <c r="H1230" s="83" t="n"/>
      <c r="I1230" s="83" t="n"/>
      <c r="J1230" s="83" t="n"/>
      <c r="K1230" s="82">
        <f>IF(OR(Pay!$AD20="",Pay!$AD20=0),"",Pay!$K20)</f>
        <v/>
      </c>
      <c r="L1230" s="82">
        <f>IF(OR(Pay!$AD20="",Pay!$AD20=0),"",Pay!$AE20)</f>
        <v/>
      </c>
      <c r="M1230" s="82" t="n"/>
      <c r="N1230" s="81">
        <f>IF(OR(Pay!$AD20="",Pay!$AD20=0),"",Pay!$D20&amp;" — "&amp;Pay!$E20)</f>
        <v/>
      </c>
      <c r="O1230" s="81">
        <f>IF(OR(Pay!$AD20="",Pay!$AD20=0),"",IFERROR(VLOOKUP(Pay!$AD20,AcctTbl,3,0),""))</f>
        <v/>
      </c>
      <c r="P1230" s="82">
        <f>IF(Pay!$AD20&lt;&gt;"X011","",IF(Pay!$I20="","",Pay!$I20))</f>
        <v/>
      </c>
    </row>
    <row r="1231" ht="20.25" customHeight="1">
      <c r="A1231" s="80">
        <f>IF(OR(Pay!$AF20="",Pay!$AF20=0),"",Pay!$B20)</f>
        <v/>
      </c>
      <c r="B1231" s="80">
        <f>IF(OR(Pay!$AF20="",Pay!$AF20=0),"",Pay!$C20)</f>
        <v/>
      </c>
      <c r="C1231" s="80">
        <f>IF(OR(Pay!$AF20="",Pay!$AF20=0),"","پرداخت")</f>
        <v/>
      </c>
      <c r="D1231" s="80">
        <f>IF(OR(Pay!$AF20="",Pay!$AF20=0),"",Pay!$AF20)</f>
        <v/>
      </c>
      <c r="E1231" s="81">
        <f>IF(OR(Pay!$AF20="",Pay!$AF20=0),"",Pay!$P20)</f>
        <v/>
      </c>
      <c r="F1231" s="83" t="n"/>
      <c r="G1231" s="83" t="n"/>
      <c r="H1231" s="83" t="n"/>
      <c r="I1231" s="83" t="n"/>
      <c r="J1231" s="83" t="n"/>
      <c r="K1231" s="82">
        <f>IF(OR(Pay!$AF20="",Pay!$AF20=0),"",Pay!$K20)</f>
        <v/>
      </c>
      <c r="L1231" s="82" t="n"/>
      <c r="M1231" s="82">
        <f>IF(OR(Pay!$AF20="",Pay!$AF20=0),"",Pay!$AG20)</f>
        <v/>
      </c>
      <c r="N1231" s="81">
        <f>IF(OR(Pay!$AF20="",Pay!$AF20=0),"",Pay!$D20&amp;" — "&amp;Pay!$E20)</f>
        <v/>
      </c>
      <c r="O1231" s="81">
        <f>IF(OR(Pay!$AF20="",Pay!$AF20=0),"",IFERROR(VLOOKUP(Pay!$AF20,AcctTbl,3,0),""))</f>
        <v/>
      </c>
      <c r="P1231" s="82">
        <f>IF(Pay!$AF20&lt;&gt;"X011","",IF(Pay!$I20="","",Pay!$I20))</f>
        <v/>
      </c>
    </row>
    <row r="1232" ht="20.25" customHeight="1">
      <c r="A1232" s="80">
        <f>IF(OR(Pay!$AD21="",Pay!$AD21=0),"",Pay!$B21)</f>
        <v/>
      </c>
      <c r="B1232" s="80">
        <f>IF(OR(Pay!$AD21="",Pay!$AD21=0),"",Pay!$C21)</f>
        <v/>
      </c>
      <c r="C1232" s="80">
        <f>IF(OR(Pay!$AD21="",Pay!$AD21=0),"","پرداخت")</f>
        <v/>
      </c>
      <c r="D1232" s="80">
        <f>IF(OR(Pay!$AD21="",Pay!$AD21=0),"",Pay!$AD21)</f>
        <v/>
      </c>
      <c r="E1232" s="81">
        <f>IF(OR(Pay!$AD21="",Pay!$AD21=0),"",Pay!$P21)</f>
        <v/>
      </c>
      <c r="F1232" s="83" t="n"/>
      <c r="G1232" s="83" t="n"/>
      <c r="H1232" s="83" t="n"/>
      <c r="I1232" s="83" t="n"/>
      <c r="J1232" s="83" t="n"/>
      <c r="K1232" s="82">
        <f>IF(OR(Pay!$AD21="",Pay!$AD21=0),"",Pay!$K21)</f>
        <v/>
      </c>
      <c r="L1232" s="82">
        <f>IF(OR(Pay!$AD21="",Pay!$AD21=0),"",Pay!$AE21)</f>
        <v/>
      </c>
      <c r="M1232" s="82" t="n"/>
      <c r="N1232" s="81">
        <f>IF(OR(Pay!$AD21="",Pay!$AD21=0),"",Pay!$D21&amp;" — "&amp;Pay!$E21)</f>
        <v/>
      </c>
      <c r="O1232" s="81">
        <f>IF(OR(Pay!$AD21="",Pay!$AD21=0),"",IFERROR(VLOOKUP(Pay!$AD21,AcctTbl,3,0),""))</f>
        <v/>
      </c>
      <c r="P1232" s="82">
        <f>IF(Pay!$AD21&lt;&gt;"X011","",IF(Pay!$I21="","",Pay!$I21))</f>
        <v/>
      </c>
    </row>
    <row r="1233" ht="20.25" customHeight="1">
      <c r="A1233" s="80">
        <f>IF(OR(Pay!$AF21="",Pay!$AF21=0),"",Pay!$B21)</f>
        <v/>
      </c>
      <c r="B1233" s="80">
        <f>IF(OR(Pay!$AF21="",Pay!$AF21=0),"",Pay!$C21)</f>
        <v/>
      </c>
      <c r="C1233" s="80">
        <f>IF(OR(Pay!$AF21="",Pay!$AF21=0),"","پرداخت")</f>
        <v/>
      </c>
      <c r="D1233" s="80">
        <f>IF(OR(Pay!$AF21="",Pay!$AF21=0),"",Pay!$AF21)</f>
        <v/>
      </c>
      <c r="E1233" s="81">
        <f>IF(OR(Pay!$AF21="",Pay!$AF21=0),"",Pay!$P21)</f>
        <v/>
      </c>
      <c r="F1233" s="83" t="n"/>
      <c r="G1233" s="83" t="n"/>
      <c r="H1233" s="83" t="n"/>
      <c r="I1233" s="83" t="n"/>
      <c r="J1233" s="83" t="n"/>
      <c r="K1233" s="82">
        <f>IF(OR(Pay!$AF21="",Pay!$AF21=0),"",Pay!$K21)</f>
        <v/>
      </c>
      <c r="L1233" s="82" t="n"/>
      <c r="M1233" s="82">
        <f>IF(OR(Pay!$AF21="",Pay!$AF21=0),"",Pay!$AG21)</f>
        <v/>
      </c>
      <c r="N1233" s="81">
        <f>IF(OR(Pay!$AF21="",Pay!$AF21=0),"",Pay!$D21&amp;" — "&amp;Pay!$E21)</f>
        <v/>
      </c>
      <c r="O1233" s="81">
        <f>IF(OR(Pay!$AF21="",Pay!$AF21=0),"",IFERROR(VLOOKUP(Pay!$AF21,AcctTbl,3,0),""))</f>
        <v/>
      </c>
      <c r="P1233" s="82">
        <f>IF(Pay!$AF21&lt;&gt;"X011","",IF(Pay!$I21="","",Pay!$I21))</f>
        <v/>
      </c>
    </row>
    <row r="1234" ht="20.25" customHeight="1">
      <c r="A1234" s="80">
        <f>IF(OR(Pay!$AD22="",Pay!$AD22=0),"",Pay!$B22)</f>
        <v/>
      </c>
      <c r="B1234" s="80">
        <f>IF(OR(Pay!$AD22="",Pay!$AD22=0),"",Pay!$C22)</f>
        <v/>
      </c>
      <c r="C1234" s="80">
        <f>IF(OR(Pay!$AD22="",Pay!$AD22=0),"","پرداخت")</f>
        <v/>
      </c>
      <c r="D1234" s="80">
        <f>IF(OR(Pay!$AD22="",Pay!$AD22=0),"",Pay!$AD22)</f>
        <v/>
      </c>
      <c r="E1234" s="81">
        <f>IF(OR(Pay!$AD22="",Pay!$AD22=0),"",Pay!$P22)</f>
        <v/>
      </c>
      <c r="F1234" s="83" t="n"/>
      <c r="G1234" s="83" t="n"/>
      <c r="H1234" s="83" t="n"/>
      <c r="I1234" s="83" t="n"/>
      <c r="J1234" s="83" t="n"/>
      <c r="K1234" s="82">
        <f>IF(OR(Pay!$AD22="",Pay!$AD22=0),"",Pay!$K22)</f>
        <v/>
      </c>
      <c r="L1234" s="82">
        <f>IF(OR(Pay!$AD22="",Pay!$AD22=0),"",Pay!$AE22)</f>
        <v/>
      </c>
      <c r="M1234" s="82" t="n"/>
      <c r="N1234" s="81">
        <f>IF(OR(Pay!$AD22="",Pay!$AD22=0),"",Pay!$D22&amp;" — "&amp;Pay!$E22)</f>
        <v/>
      </c>
      <c r="O1234" s="81">
        <f>IF(OR(Pay!$AD22="",Pay!$AD22=0),"",IFERROR(VLOOKUP(Pay!$AD22,AcctTbl,3,0),""))</f>
        <v/>
      </c>
      <c r="P1234" s="82">
        <f>IF(Pay!$AD22&lt;&gt;"X011","",IF(Pay!$I22="","",Pay!$I22))</f>
        <v/>
      </c>
    </row>
    <row r="1235" ht="20.25" customHeight="1">
      <c r="A1235" s="80">
        <f>IF(OR(Pay!$AF22="",Pay!$AF22=0),"",Pay!$B22)</f>
        <v/>
      </c>
      <c r="B1235" s="80">
        <f>IF(OR(Pay!$AF22="",Pay!$AF22=0),"",Pay!$C22)</f>
        <v/>
      </c>
      <c r="C1235" s="80">
        <f>IF(OR(Pay!$AF22="",Pay!$AF22=0),"","پرداخت")</f>
        <v/>
      </c>
      <c r="D1235" s="80">
        <f>IF(OR(Pay!$AF22="",Pay!$AF22=0),"",Pay!$AF22)</f>
        <v/>
      </c>
      <c r="E1235" s="81">
        <f>IF(OR(Pay!$AF22="",Pay!$AF22=0),"",Pay!$P22)</f>
        <v/>
      </c>
      <c r="F1235" s="83" t="n"/>
      <c r="G1235" s="83" t="n"/>
      <c r="H1235" s="83" t="n"/>
      <c r="I1235" s="83" t="n"/>
      <c r="J1235" s="83" t="n"/>
      <c r="K1235" s="82">
        <f>IF(OR(Pay!$AF22="",Pay!$AF22=0),"",Pay!$K22)</f>
        <v/>
      </c>
      <c r="L1235" s="82" t="n"/>
      <c r="M1235" s="82">
        <f>IF(OR(Pay!$AF22="",Pay!$AF22=0),"",Pay!$AG22)</f>
        <v/>
      </c>
      <c r="N1235" s="81">
        <f>IF(OR(Pay!$AF22="",Pay!$AF22=0),"",Pay!$D22&amp;" — "&amp;Pay!$E22)</f>
        <v/>
      </c>
      <c r="O1235" s="81">
        <f>IF(OR(Pay!$AF22="",Pay!$AF22=0),"",IFERROR(VLOOKUP(Pay!$AF22,AcctTbl,3,0),""))</f>
        <v/>
      </c>
      <c r="P1235" s="82">
        <f>IF(Pay!$AF22&lt;&gt;"X011","",IF(Pay!$I22="","",Pay!$I22))</f>
        <v/>
      </c>
    </row>
    <row r="1236" ht="20.25" customHeight="1">
      <c r="A1236" s="80">
        <f>IF(OR(Pay!$AD23="",Pay!$AD23=0),"",Pay!$B23)</f>
        <v/>
      </c>
      <c r="B1236" s="80">
        <f>IF(OR(Pay!$AD23="",Pay!$AD23=0),"",Pay!$C23)</f>
        <v/>
      </c>
      <c r="C1236" s="80">
        <f>IF(OR(Pay!$AD23="",Pay!$AD23=0),"","پرداخت")</f>
        <v/>
      </c>
      <c r="D1236" s="80">
        <f>IF(OR(Pay!$AD23="",Pay!$AD23=0),"",Pay!$AD23)</f>
        <v/>
      </c>
      <c r="E1236" s="81">
        <f>IF(OR(Pay!$AD23="",Pay!$AD23=0),"",Pay!$P23)</f>
        <v/>
      </c>
      <c r="F1236" s="83" t="n"/>
      <c r="G1236" s="83" t="n"/>
      <c r="H1236" s="83" t="n"/>
      <c r="I1236" s="83" t="n"/>
      <c r="J1236" s="83" t="n"/>
      <c r="K1236" s="82">
        <f>IF(OR(Pay!$AD23="",Pay!$AD23=0),"",Pay!$K23)</f>
        <v/>
      </c>
      <c r="L1236" s="82">
        <f>IF(OR(Pay!$AD23="",Pay!$AD23=0),"",Pay!$AE23)</f>
        <v/>
      </c>
      <c r="M1236" s="82" t="n"/>
      <c r="N1236" s="81">
        <f>IF(OR(Pay!$AD23="",Pay!$AD23=0),"",Pay!$D23&amp;" — "&amp;Pay!$E23)</f>
        <v/>
      </c>
      <c r="O1236" s="81">
        <f>IF(OR(Pay!$AD23="",Pay!$AD23=0),"",IFERROR(VLOOKUP(Pay!$AD23,AcctTbl,3,0),""))</f>
        <v/>
      </c>
      <c r="P1236" s="82">
        <f>IF(Pay!$AD23&lt;&gt;"X011","",IF(Pay!$I23="","",Pay!$I23))</f>
        <v/>
      </c>
    </row>
    <row r="1237" ht="20.25" customHeight="1">
      <c r="A1237" s="80">
        <f>IF(OR(Pay!$AF23="",Pay!$AF23=0),"",Pay!$B23)</f>
        <v/>
      </c>
      <c r="B1237" s="80">
        <f>IF(OR(Pay!$AF23="",Pay!$AF23=0),"",Pay!$C23)</f>
        <v/>
      </c>
      <c r="C1237" s="80">
        <f>IF(OR(Pay!$AF23="",Pay!$AF23=0),"","پرداخت")</f>
        <v/>
      </c>
      <c r="D1237" s="80">
        <f>IF(OR(Pay!$AF23="",Pay!$AF23=0),"",Pay!$AF23)</f>
        <v/>
      </c>
      <c r="E1237" s="81">
        <f>IF(OR(Pay!$AF23="",Pay!$AF23=0),"",Pay!$P23)</f>
        <v/>
      </c>
      <c r="F1237" s="83" t="n"/>
      <c r="G1237" s="83" t="n"/>
      <c r="H1237" s="83" t="n"/>
      <c r="I1237" s="83" t="n"/>
      <c r="J1237" s="83" t="n"/>
      <c r="K1237" s="82">
        <f>IF(OR(Pay!$AF23="",Pay!$AF23=0),"",Pay!$K23)</f>
        <v/>
      </c>
      <c r="L1237" s="82" t="n"/>
      <c r="M1237" s="82">
        <f>IF(OR(Pay!$AF23="",Pay!$AF23=0),"",Pay!$AG23)</f>
        <v/>
      </c>
      <c r="N1237" s="81">
        <f>IF(OR(Pay!$AF23="",Pay!$AF23=0),"",Pay!$D23&amp;" — "&amp;Pay!$E23)</f>
        <v/>
      </c>
      <c r="O1237" s="81">
        <f>IF(OR(Pay!$AF23="",Pay!$AF23=0),"",IFERROR(VLOOKUP(Pay!$AF23,AcctTbl,3,0),""))</f>
        <v/>
      </c>
      <c r="P1237" s="82">
        <f>IF(Pay!$AF23&lt;&gt;"X011","",IF(Pay!$I23="","",Pay!$I23))</f>
        <v/>
      </c>
    </row>
    <row r="1238" ht="20.25" customHeight="1">
      <c r="A1238" s="80">
        <f>IF(OR(Pay!$AD24="",Pay!$AD24=0),"",Pay!$B24)</f>
        <v/>
      </c>
      <c r="B1238" s="80">
        <f>IF(OR(Pay!$AD24="",Pay!$AD24=0),"",Pay!$C24)</f>
        <v/>
      </c>
      <c r="C1238" s="80">
        <f>IF(OR(Pay!$AD24="",Pay!$AD24=0),"","پرداخت")</f>
        <v/>
      </c>
      <c r="D1238" s="80">
        <f>IF(OR(Pay!$AD24="",Pay!$AD24=0),"",Pay!$AD24)</f>
        <v/>
      </c>
      <c r="E1238" s="81">
        <f>IF(OR(Pay!$AD24="",Pay!$AD24=0),"",Pay!$P24)</f>
        <v/>
      </c>
      <c r="F1238" s="83" t="n"/>
      <c r="G1238" s="83" t="n"/>
      <c r="H1238" s="83" t="n"/>
      <c r="I1238" s="83" t="n"/>
      <c r="J1238" s="83" t="n"/>
      <c r="K1238" s="82">
        <f>IF(OR(Pay!$AD24="",Pay!$AD24=0),"",Pay!$K24)</f>
        <v/>
      </c>
      <c r="L1238" s="82">
        <f>IF(OR(Pay!$AD24="",Pay!$AD24=0),"",Pay!$AE24)</f>
        <v/>
      </c>
      <c r="M1238" s="82" t="n"/>
      <c r="N1238" s="81">
        <f>IF(OR(Pay!$AD24="",Pay!$AD24=0),"",Pay!$D24&amp;" — "&amp;Pay!$E24)</f>
        <v/>
      </c>
      <c r="O1238" s="81">
        <f>IF(OR(Pay!$AD24="",Pay!$AD24=0),"",IFERROR(VLOOKUP(Pay!$AD24,AcctTbl,3,0),""))</f>
        <v/>
      </c>
      <c r="P1238" s="82">
        <f>IF(Pay!$AD24&lt;&gt;"X011","",IF(Pay!$I24="","",Pay!$I24))</f>
        <v/>
      </c>
    </row>
    <row r="1239" ht="20.25" customHeight="1">
      <c r="A1239" s="80">
        <f>IF(OR(Pay!$AF24="",Pay!$AF24=0),"",Pay!$B24)</f>
        <v/>
      </c>
      <c r="B1239" s="80">
        <f>IF(OR(Pay!$AF24="",Pay!$AF24=0),"",Pay!$C24)</f>
        <v/>
      </c>
      <c r="C1239" s="80">
        <f>IF(OR(Pay!$AF24="",Pay!$AF24=0),"","پرداخت")</f>
        <v/>
      </c>
      <c r="D1239" s="80">
        <f>IF(OR(Pay!$AF24="",Pay!$AF24=0),"",Pay!$AF24)</f>
        <v/>
      </c>
      <c r="E1239" s="81">
        <f>IF(OR(Pay!$AF24="",Pay!$AF24=0),"",Pay!$P24)</f>
        <v/>
      </c>
      <c r="F1239" s="83" t="n"/>
      <c r="G1239" s="83" t="n"/>
      <c r="H1239" s="83" t="n"/>
      <c r="I1239" s="83" t="n"/>
      <c r="J1239" s="83" t="n"/>
      <c r="K1239" s="82">
        <f>IF(OR(Pay!$AF24="",Pay!$AF24=0),"",Pay!$K24)</f>
        <v/>
      </c>
      <c r="L1239" s="82" t="n"/>
      <c r="M1239" s="82">
        <f>IF(OR(Pay!$AF24="",Pay!$AF24=0),"",Pay!$AG24)</f>
        <v/>
      </c>
      <c r="N1239" s="81">
        <f>IF(OR(Pay!$AF24="",Pay!$AF24=0),"",Pay!$D24&amp;" — "&amp;Pay!$E24)</f>
        <v/>
      </c>
      <c r="O1239" s="81">
        <f>IF(OR(Pay!$AF24="",Pay!$AF24=0),"",IFERROR(VLOOKUP(Pay!$AF24,AcctTbl,3,0),""))</f>
        <v/>
      </c>
      <c r="P1239" s="82">
        <f>IF(Pay!$AF24&lt;&gt;"X011","",IF(Pay!$I24="","",Pay!$I24))</f>
        <v/>
      </c>
    </row>
    <row r="1240" ht="20.25" customHeight="1">
      <c r="A1240" s="80">
        <f>IF(OR(Pay!$AD25="",Pay!$AD25=0),"",Pay!$B25)</f>
        <v/>
      </c>
      <c r="B1240" s="80">
        <f>IF(OR(Pay!$AD25="",Pay!$AD25=0),"",Pay!$C25)</f>
        <v/>
      </c>
      <c r="C1240" s="80">
        <f>IF(OR(Pay!$AD25="",Pay!$AD25=0),"","پرداخت")</f>
        <v/>
      </c>
      <c r="D1240" s="80">
        <f>IF(OR(Pay!$AD25="",Pay!$AD25=0),"",Pay!$AD25)</f>
        <v/>
      </c>
      <c r="E1240" s="81">
        <f>IF(OR(Pay!$AD25="",Pay!$AD25=0),"",Pay!$P25)</f>
        <v/>
      </c>
      <c r="F1240" s="83" t="n"/>
      <c r="G1240" s="83" t="n"/>
      <c r="H1240" s="83" t="n"/>
      <c r="I1240" s="83" t="n"/>
      <c r="J1240" s="83" t="n"/>
      <c r="K1240" s="82">
        <f>IF(OR(Pay!$AD25="",Pay!$AD25=0),"",Pay!$K25)</f>
        <v/>
      </c>
      <c r="L1240" s="82">
        <f>IF(OR(Pay!$AD25="",Pay!$AD25=0),"",Pay!$AE25)</f>
        <v/>
      </c>
      <c r="M1240" s="82" t="n"/>
      <c r="N1240" s="81">
        <f>IF(OR(Pay!$AD25="",Pay!$AD25=0),"",Pay!$D25&amp;" — "&amp;Pay!$E25)</f>
        <v/>
      </c>
      <c r="O1240" s="81">
        <f>IF(OR(Pay!$AD25="",Pay!$AD25=0),"",IFERROR(VLOOKUP(Pay!$AD25,AcctTbl,3,0),""))</f>
        <v/>
      </c>
      <c r="P1240" s="82">
        <f>IF(Pay!$AD25&lt;&gt;"X011","",IF(Pay!$I25="","",Pay!$I25))</f>
        <v/>
      </c>
    </row>
    <row r="1241" ht="20.25" customHeight="1">
      <c r="A1241" s="80">
        <f>IF(OR(Pay!$AF25="",Pay!$AF25=0),"",Pay!$B25)</f>
        <v/>
      </c>
      <c r="B1241" s="80">
        <f>IF(OR(Pay!$AF25="",Pay!$AF25=0),"",Pay!$C25)</f>
        <v/>
      </c>
      <c r="C1241" s="80">
        <f>IF(OR(Pay!$AF25="",Pay!$AF25=0),"","پرداخت")</f>
        <v/>
      </c>
      <c r="D1241" s="80">
        <f>IF(OR(Pay!$AF25="",Pay!$AF25=0),"",Pay!$AF25)</f>
        <v/>
      </c>
      <c r="E1241" s="81">
        <f>IF(OR(Pay!$AF25="",Pay!$AF25=0),"",Pay!$P25)</f>
        <v/>
      </c>
      <c r="F1241" s="83" t="n"/>
      <c r="G1241" s="83" t="n"/>
      <c r="H1241" s="83" t="n"/>
      <c r="I1241" s="83" t="n"/>
      <c r="J1241" s="83" t="n"/>
      <c r="K1241" s="82">
        <f>IF(OR(Pay!$AF25="",Pay!$AF25=0),"",Pay!$K25)</f>
        <v/>
      </c>
      <c r="L1241" s="82" t="n"/>
      <c r="M1241" s="82">
        <f>IF(OR(Pay!$AF25="",Pay!$AF25=0),"",Pay!$AG25)</f>
        <v/>
      </c>
      <c r="N1241" s="81">
        <f>IF(OR(Pay!$AF25="",Pay!$AF25=0),"",Pay!$D25&amp;" — "&amp;Pay!$E25)</f>
        <v/>
      </c>
      <c r="O1241" s="81">
        <f>IF(OR(Pay!$AF25="",Pay!$AF25=0),"",IFERROR(VLOOKUP(Pay!$AF25,AcctTbl,3,0),""))</f>
        <v/>
      </c>
      <c r="P1241" s="82">
        <f>IF(Pay!$AF25&lt;&gt;"X011","",IF(Pay!$I25="","",Pay!$I25))</f>
        <v/>
      </c>
    </row>
    <row r="1242" ht="20.25" customHeight="1">
      <c r="A1242" s="80">
        <f>IF(OR(Pay!$AD26="",Pay!$AD26=0),"",Pay!$B26)</f>
        <v/>
      </c>
      <c r="B1242" s="80">
        <f>IF(OR(Pay!$AD26="",Pay!$AD26=0),"",Pay!$C26)</f>
        <v/>
      </c>
      <c r="C1242" s="80">
        <f>IF(OR(Pay!$AD26="",Pay!$AD26=0),"","پرداخت")</f>
        <v/>
      </c>
      <c r="D1242" s="80">
        <f>IF(OR(Pay!$AD26="",Pay!$AD26=0),"",Pay!$AD26)</f>
        <v/>
      </c>
      <c r="E1242" s="81">
        <f>IF(OR(Pay!$AD26="",Pay!$AD26=0),"",Pay!$P26)</f>
        <v/>
      </c>
      <c r="F1242" s="83" t="n"/>
      <c r="G1242" s="83" t="n"/>
      <c r="H1242" s="83" t="n"/>
      <c r="I1242" s="83" t="n"/>
      <c r="J1242" s="83" t="n"/>
      <c r="K1242" s="82">
        <f>IF(OR(Pay!$AD26="",Pay!$AD26=0),"",Pay!$K26)</f>
        <v/>
      </c>
      <c r="L1242" s="82">
        <f>IF(OR(Pay!$AD26="",Pay!$AD26=0),"",Pay!$AE26)</f>
        <v/>
      </c>
      <c r="M1242" s="82" t="n"/>
      <c r="N1242" s="81">
        <f>IF(OR(Pay!$AD26="",Pay!$AD26=0),"",Pay!$D26&amp;" — "&amp;Pay!$E26)</f>
        <v/>
      </c>
      <c r="O1242" s="81">
        <f>IF(OR(Pay!$AD26="",Pay!$AD26=0),"",IFERROR(VLOOKUP(Pay!$AD26,AcctTbl,3,0),""))</f>
        <v/>
      </c>
      <c r="P1242" s="82">
        <f>IF(Pay!$AD26&lt;&gt;"X011","",IF(Pay!$I26="","",Pay!$I26))</f>
        <v/>
      </c>
    </row>
    <row r="1243" ht="20.25" customHeight="1">
      <c r="A1243" s="80">
        <f>IF(OR(Pay!$AF26="",Pay!$AF26=0),"",Pay!$B26)</f>
        <v/>
      </c>
      <c r="B1243" s="80">
        <f>IF(OR(Pay!$AF26="",Pay!$AF26=0),"",Pay!$C26)</f>
        <v/>
      </c>
      <c r="C1243" s="80">
        <f>IF(OR(Pay!$AF26="",Pay!$AF26=0),"","پرداخت")</f>
        <v/>
      </c>
      <c r="D1243" s="80">
        <f>IF(OR(Pay!$AF26="",Pay!$AF26=0),"",Pay!$AF26)</f>
        <v/>
      </c>
      <c r="E1243" s="81">
        <f>IF(OR(Pay!$AF26="",Pay!$AF26=0),"",Pay!$P26)</f>
        <v/>
      </c>
      <c r="F1243" s="83" t="n"/>
      <c r="G1243" s="83" t="n"/>
      <c r="H1243" s="83" t="n"/>
      <c r="I1243" s="83" t="n"/>
      <c r="J1243" s="83" t="n"/>
      <c r="K1243" s="82">
        <f>IF(OR(Pay!$AF26="",Pay!$AF26=0),"",Pay!$K26)</f>
        <v/>
      </c>
      <c r="L1243" s="82" t="n"/>
      <c r="M1243" s="82">
        <f>IF(OR(Pay!$AF26="",Pay!$AF26=0),"",Pay!$AG26)</f>
        <v/>
      </c>
      <c r="N1243" s="81">
        <f>IF(OR(Pay!$AF26="",Pay!$AF26=0),"",Pay!$D26&amp;" — "&amp;Pay!$E26)</f>
        <v/>
      </c>
      <c r="O1243" s="81">
        <f>IF(OR(Pay!$AF26="",Pay!$AF26=0),"",IFERROR(VLOOKUP(Pay!$AF26,AcctTbl,3,0),""))</f>
        <v/>
      </c>
      <c r="P1243" s="82">
        <f>IF(Pay!$AF26&lt;&gt;"X011","",IF(Pay!$I26="","",Pay!$I26))</f>
        <v/>
      </c>
    </row>
    <row r="1244" ht="20.25" customHeight="1">
      <c r="A1244" s="80">
        <f>IF(OR(Pay!$AD27="",Pay!$AD27=0),"",Pay!$B27)</f>
        <v/>
      </c>
      <c r="B1244" s="80">
        <f>IF(OR(Pay!$AD27="",Pay!$AD27=0),"",Pay!$C27)</f>
        <v/>
      </c>
      <c r="C1244" s="80">
        <f>IF(OR(Pay!$AD27="",Pay!$AD27=0),"","پرداخت")</f>
        <v/>
      </c>
      <c r="D1244" s="80">
        <f>IF(OR(Pay!$AD27="",Pay!$AD27=0),"",Pay!$AD27)</f>
        <v/>
      </c>
      <c r="E1244" s="81">
        <f>IF(OR(Pay!$AD27="",Pay!$AD27=0),"",Pay!$P27)</f>
        <v/>
      </c>
      <c r="F1244" s="83" t="n"/>
      <c r="G1244" s="83" t="n"/>
      <c r="H1244" s="83" t="n"/>
      <c r="I1244" s="83" t="n"/>
      <c r="J1244" s="83" t="n"/>
      <c r="K1244" s="82">
        <f>IF(OR(Pay!$AD27="",Pay!$AD27=0),"",Pay!$K27)</f>
        <v/>
      </c>
      <c r="L1244" s="82">
        <f>IF(OR(Pay!$AD27="",Pay!$AD27=0),"",Pay!$AE27)</f>
        <v/>
      </c>
      <c r="M1244" s="82" t="n"/>
      <c r="N1244" s="81">
        <f>IF(OR(Pay!$AD27="",Pay!$AD27=0),"",Pay!$D27&amp;" — "&amp;Pay!$E27)</f>
        <v/>
      </c>
      <c r="O1244" s="81">
        <f>IF(OR(Pay!$AD27="",Pay!$AD27=0),"",IFERROR(VLOOKUP(Pay!$AD27,AcctTbl,3,0),""))</f>
        <v/>
      </c>
      <c r="P1244" s="82">
        <f>IF(Pay!$AD27&lt;&gt;"X011","",IF(Pay!$I27="","",Pay!$I27))</f>
        <v/>
      </c>
    </row>
    <row r="1245" ht="20.25" customHeight="1">
      <c r="A1245" s="80">
        <f>IF(OR(Pay!$AF27="",Pay!$AF27=0),"",Pay!$B27)</f>
        <v/>
      </c>
      <c r="B1245" s="80">
        <f>IF(OR(Pay!$AF27="",Pay!$AF27=0),"",Pay!$C27)</f>
        <v/>
      </c>
      <c r="C1245" s="80">
        <f>IF(OR(Pay!$AF27="",Pay!$AF27=0),"","پرداخت")</f>
        <v/>
      </c>
      <c r="D1245" s="80">
        <f>IF(OR(Pay!$AF27="",Pay!$AF27=0),"",Pay!$AF27)</f>
        <v/>
      </c>
      <c r="E1245" s="81">
        <f>IF(OR(Pay!$AF27="",Pay!$AF27=0),"",Pay!$P27)</f>
        <v/>
      </c>
      <c r="F1245" s="83" t="n"/>
      <c r="G1245" s="83" t="n"/>
      <c r="H1245" s="83" t="n"/>
      <c r="I1245" s="83" t="n"/>
      <c r="J1245" s="83" t="n"/>
      <c r="K1245" s="82">
        <f>IF(OR(Pay!$AF27="",Pay!$AF27=0),"",Pay!$K27)</f>
        <v/>
      </c>
      <c r="L1245" s="82" t="n"/>
      <c r="M1245" s="82">
        <f>IF(OR(Pay!$AF27="",Pay!$AF27=0),"",Pay!$AG27)</f>
        <v/>
      </c>
      <c r="N1245" s="81">
        <f>IF(OR(Pay!$AF27="",Pay!$AF27=0),"",Pay!$D27&amp;" — "&amp;Pay!$E27)</f>
        <v/>
      </c>
      <c r="O1245" s="81">
        <f>IF(OR(Pay!$AF27="",Pay!$AF27=0),"",IFERROR(VLOOKUP(Pay!$AF27,AcctTbl,3,0),""))</f>
        <v/>
      </c>
      <c r="P1245" s="82">
        <f>IF(Pay!$AF27&lt;&gt;"X011","",IF(Pay!$I27="","",Pay!$I27))</f>
        <v/>
      </c>
    </row>
    <row r="1246" ht="20.25" customHeight="1">
      <c r="A1246" s="80">
        <f>IF(OR(Pay!$AD28="",Pay!$AD28=0),"",Pay!$B28)</f>
        <v/>
      </c>
      <c r="B1246" s="80">
        <f>IF(OR(Pay!$AD28="",Pay!$AD28=0),"",Pay!$C28)</f>
        <v/>
      </c>
      <c r="C1246" s="80">
        <f>IF(OR(Pay!$AD28="",Pay!$AD28=0),"","پرداخت")</f>
        <v/>
      </c>
      <c r="D1246" s="80">
        <f>IF(OR(Pay!$AD28="",Pay!$AD28=0),"",Pay!$AD28)</f>
        <v/>
      </c>
      <c r="E1246" s="81">
        <f>IF(OR(Pay!$AD28="",Pay!$AD28=0),"",Pay!$P28)</f>
        <v/>
      </c>
      <c r="F1246" s="83" t="n"/>
      <c r="G1246" s="83" t="n"/>
      <c r="H1246" s="83" t="n"/>
      <c r="I1246" s="83" t="n"/>
      <c r="J1246" s="83" t="n"/>
      <c r="K1246" s="82">
        <f>IF(OR(Pay!$AD28="",Pay!$AD28=0),"",Pay!$K28)</f>
        <v/>
      </c>
      <c r="L1246" s="82">
        <f>IF(OR(Pay!$AD28="",Pay!$AD28=0),"",Pay!$AE28)</f>
        <v/>
      </c>
      <c r="M1246" s="82" t="n"/>
      <c r="N1246" s="81">
        <f>IF(OR(Pay!$AD28="",Pay!$AD28=0),"",Pay!$D28&amp;" — "&amp;Pay!$E28)</f>
        <v/>
      </c>
      <c r="O1246" s="81">
        <f>IF(OR(Pay!$AD28="",Pay!$AD28=0),"",IFERROR(VLOOKUP(Pay!$AD28,AcctTbl,3,0),""))</f>
        <v/>
      </c>
      <c r="P1246" s="82">
        <f>IF(Pay!$AD28&lt;&gt;"X011","",IF(Pay!$I28="","",Pay!$I28))</f>
        <v/>
      </c>
    </row>
    <row r="1247" ht="20.25" customHeight="1">
      <c r="A1247" s="80">
        <f>IF(OR(Pay!$AF28="",Pay!$AF28=0),"",Pay!$B28)</f>
        <v/>
      </c>
      <c r="B1247" s="80">
        <f>IF(OR(Pay!$AF28="",Pay!$AF28=0),"",Pay!$C28)</f>
        <v/>
      </c>
      <c r="C1247" s="80">
        <f>IF(OR(Pay!$AF28="",Pay!$AF28=0),"","پرداخت")</f>
        <v/>
      </c>
      <c r="D1247" s="80">
        <f>IF(OR(Pay!$AF28="",Pay!$AF28=0),"",Pay!$AF28)</f>
        <v/>
      </c>
      <c r="E1247" s="81">
        <f>IF(OR(Pay!$AF28="",Pay!$AF28=0),"",Pay!$P28)</f>
        <v/>
      </c>
      <c r="F1247" s="83" t="n"/>
      <c r="G1247" s="83" t="n"/>
      <c r="H1247" s="83" t="n"/>
      <c r="I1247" s="83" t="n"/>
      <c r="J1247" s="83" t="n"/>
      <c r="K1247" s="82">
        <f>IF(OR(Pay!$AF28="",Pay!$AF28=0),"",Pay!$K28)</f>
        <v/>
      </c>
      <c r="L1247" s="82" t="n"/>
      <c r="M1247" s="82">
        <f>IF(OR(Pay!$AF28="",Pay!$AF28=0),"",Pay!$AG28)</f>
        <v/>
      </c>
      <c r="N1247" s="81">
        <f>IF(OR(Pay!$AF28="",Pay!$AF28=0),"",Pay!$D28&amp;" — "&amp;Pay!$E28)</f>
        <v/>
      </c>
      <c r="O1247" s="81">
        <f>IF(OR(Pay!$AF28="",Pay!$AF28=0),"",IFERROR(VLOOKUP(Pay!$AF28,AcctTbl,3,0),""))</f>
        <v/>
      </c>
      <c r="P1247" s="82">
        <f>IF(Pay!$AF28&lt;&gt;"X011","",IF(Pay!$I28="","",Pay!$I28))</f>
        <v/>
      </c>
    </row>
    <row r="1248" ht="20.25" customHeight="1">
      <c r="A1248" s="80">
        <f>IF(OR(Pay!$AD29="",Pay!$AD29=0),"",Pay!$B29)</f>
        <v/>
      </c>
      <c r="B1248" s="80">
        <f>IF(OR(Pay!$AD29="",Pay!$AD29=0),"",Pay!$C29)</f>
        <v/>
      </c>
      <c r="C1248" s="80">
        <f>IF(OR(Pay!$AD29="",Pay!$AD29=0),"","پرداخت")</f>
        <v/>
      </c>
      <c r="D1248" s="80">
        <f>IF(OR(Pay!$AD29="",Pay!$AD29=0),"",Pay!$AD29)</f>
        <v/>
      </c>
      <c r="E1248" s="81">
        <f>IF(OR(Pay!$AD29="",Pay!$AD29=0),"",Pay!$P29)</f>
        <v/>
      </c>
      <c r="F1248" s="83" t="n"/>
      <c r="G1248" s="83" t="n"/>
      <c r="H1248" s="83" t="n"/>
      <c r="I1248" s="83" t="n"/>
      <c r="J1248" s="83" t="n"/>
      <c r="K1248" s="82">
        <f>IF(OR(Pay!$AD29="",Pay!$AD29=0),"",Pay!$K29)</f>
        <v/>
      </c>
      <c r="L1248" s="82">
        <f>IF(OR(Pay!$AD29="",Pay!$AD29=0),"",Pay!$AE29)</f>
        <v/>
      </c>
      <c r="M1248" s="82" t="n"/>
      <c r="N1248" s="81">
        <f>IF(OR(Pay!$AD29="",Pay!$AD29=0),"",Pay!$D29&amp;" — "&amp;Pay!$E29)</f>
        <v/>
      </c>
      <c r="O1248" s="81">
        <f>IF(OR(Pay!$AD29="",Pay!$AD29=0),"",IFERROR(VLOOKUP(Pay!$AD29,AcctTbl,3,0),""))</f>
        <v/>
      </c>
      <c r="P1248" s="82">
        <f>IF(Pay!$AD29&lt;&gt;"X011","",IF(Pay!$I29="","",Pay!$I29))</f>
        <v/>
      </c>
    </row>
    <row r="1249" ht="20.25" customHeight="1">
      <c r="A1249" s="80">
        <f>IF(OR(Pay!$AF29="",Pay!$AF29=0),"",Pay!$B29)</f>
        <v/>
      </c>
      <c r="B1249" s="80">
        <f>IF(OR(Pay!$AF29="",Pay!$AF29=0),"",Pay!$C29)</f>
        <v/>
      </c>
      <c r="C1249" s="80">
        <f>IF(OR(Pay!$AF29="",Pay!$AF29=0),"","پرداخت")</f>
        <v/>
      </c>
      <c r="D1249" s="80">
        <f>IF(OR(Pay!$AF29="",Pay!$AF29=0),"",Pay!$AF29)</f>
        <v/>
      </c>
      <c r="E1249" s="81">
        <f>IF(OR(Pay!$AF29="",Pay!$AF29=0),"",Pay!$P29)</f>
        <v/>
      </c>
      <c r="F1249" s="83" t="n"/>
      <c r="G1249" s="83" t="n"/>
      <c r="H1249" s="83" t="n"/>
      <c r="I1249" s="83" t="n"/>
      <c r="J1249" s="83" t="n"/>
      <c r="K1249" s="82">
        <f>IF(OR(Pay!$AF29="",Pay!$AF29=0),"",Pay!$K29)</f>
        <v/>
      </c>
      <c r="L1249" s="82" t="n"/>
      <c r="M1249" s="82">
        <f>IF(OR(Pay!$AF29="",Pay!$AF29=0),"",Pay!$AG29)</f>
        <v/>
      </c>
      <c r="N1249" s="81">
        <f>IF(OR(Pay!$AF29="",Pay!$AF29=0),"",Pay!$D29&amp;" — "&amp;Pay!$E29)</f>
        <v/>
      </c>
      <c r="O1249" s="81">
        <f>IF(OR(Pay!$AF29="",Pay!$AF29=0),"",IFERROR(VLOOKUP(Pay!$AF29,AcctTbl,3,0),""))</f>
        <v/>
      </c>
      <c r="P1249" s="82">
        <f>IF(Pay!$AF29&lt;&gt;"X011","",IF(Pay!$I29="","",Pay!$I29))</f>
        <v/>
      </c>
    </row>
    <row r="1250" ht="20.25" customHeight="1">
      <c r="A1250" s="80">
        <f>IF(OR(Pay!$AD30="",Pay!$AD30=0),"",Pay!$B30)</f>
        <v/>
      </c>
      <c r="B1250" s="80">
        <f>IF(OR(Pay!$AD30="",Pay!$AD30=0),"",Pay!$C30)</f>
        <v/>
      </c>
      <c r="C1250" s="80">
        <f>IF(OR(Pay!$AD30="",Pay!$AD30=0),"","پرداخت")</f>
        <v/>
      </c>
      <c r="D1250" s="80">
        <f>IF(OR(Pay!$AD30="",Pay!$AD30=0),"",Pay!$AD30)</f>
        <v/>
      </c>
      <c r="E1250" s="81">
        <f>IF(OR(Pay!$AD30="",Pay!$AD30=0),"",Pay!$P30)</f>
        <v/>
      </c>
      <c r="F1250" s="83" t="n"/>
      <c r="G1250" s="83" t="n"/>
      <c r="H1250" s="83" t="n"/>
      <c r="I1250" s="83" t="n"/>
      <c r="J1250" s="83" t="n"/>
      <c r="K1250" s="82">
        <f>IF(OR(Pay!$AD30="",Pay!$AD30=0),"",Pay!$K30)</f>
        <v/>
      </c>
      <c r="L1250" s="82">
        <f>IF(OR(Pay!$AD30="",Pay!$AD30=0),"",Pay!$AE30)</f>
        <v/>
      </c>
      <c r="M1250" s="82" t="n"/>
      <c r="N1250" s="81">
        <f>IF(OR(Pay!$AD30="",Pay!$AD30=0),"",Pay!$D30&amp;" — "&amp;Pay!$E30)</f>
        <v/>
      </c>
      <c r="O1250" s="81">
        <f>IF(OR(Pay!$AD30="",Pay!$AD30=0),"",IFERROR(VLOOKUP(Pay!$AD30,AcctTbl,3,0),""))</f>
        <v/>
      </c>
      <c r="P1250" s="82">
        <f>IF(Pay!$AD30&lt;&gt;"X011","",IF(Pay!$I30="","",Pay!$I30))</f>
        <v/>
      </c>
    </row>
    <row r="1251" ht="20.25" customHeight="1">
      <c r="A1251" s="80">
        <f>IF(OR(Pay!$AF30="",Pay!$AF30=0),"",Pay!$B30)</f>
        <v/>
      </c>
      <c r="B1251" s="80">
        <f>IF(OR(Pay!$AF30="",Pay!$AF30=0),"",Pay!$C30)</f>
        <v/>
      </c>
      <c r="C1251" s="80">
        <f>IF(OR(Pay!$AF30="",Pay!$AF30=0),"","پرداخت")</f>
        <v/>
      </c>
      <c r="D1251" s="80">
        <f>IF(OR(Pay!$AF30="",Pay!$AF30=0),"",Pay!$AF30)</f>
        <v/>
      </c>
      <c r="E1251" s="81">
        <f>IF(OR(Pay!$AF30="",Pay!$AF30=0),"",Pay!$P30)</f>
        <v/>
      </c>
      <c r="F1251" s="83" t="n"/>
      <c r="G1251" s="83" t="n"/>
      <c r="H1251" s="83" t="n"/>
      <c r="I1251" s="83" t="n"/>
      <c r="J1251" s="83" t="n"/>
      <c r="K1251" s="82">
        <f>IF(OR(Pay!$AF30="",Pay!$AF30=0),"",Pay!$K30)</f>
        <v/>
      </c>
      <c r="L1251" s="82" t="n"/>
      <c r="M1251" s="82">
        <f>IF(OR(Pay!$AF30="",Pay!$AF30=0),"",Pay!$AG30)</f>
        <v/>
      </c>
      <c r="N1251" s="81">
        <f>IF(OR(Pay!$AF30="",Pay!$AF30=0),"",Pay!$D30&amp;" — "&amp;Pay!$E30)</f>
        <v/>
      </c>
      <c r="O1251" s="81">
        <f>IF(OR(Pay!$AF30="",Pay!$AF30=0),"",IFERROR(VLOOKUP(Pay!$AF30,AcctTbl,3,0),""))</f>
        <v/>
      </c>
      <c r="P1251" s="82">
        <f>IF(Pay!$AF30&lt;&gt;"X011","",IF(Pay!$I30="","",Pay!$I30))</f>
        <v/>
      </c>
    </row>
    <row r="1252" ht="20.25" customHeight="1">
      <c r="A1252" s="80">
        <f>IF(OR(Pay!$AD31="",Pay!$AD31=0),"",Pay!$B31)</f>
        <v/>
      </c>
      <c r="B1252" s="80">
        <f>IF(OR(Pay!$AD31="",Pay!$AD31=0),"",Pay!$C31)</f>
        <v/>
      </c>
      <c r="C1252" s="80">
        <f>IF(OR(Pay!$AD31="",Pay!$AD31=0),"","پرداخت")</f>
        <v/>
      </c>
      <c r="D1252" s="80">
        <f>IF(OR(Pay!$AD31="",Pay!$AD31=0),"",Pay!$AD31)</f>
        <v/>
      </c>
      <c r="E1252" s="81">
        <f>IF(OR(Pay!$AD31="",Pay!$AD31=0),"",Pay!$P31)</f>
        <v/>
      </c>
      <c r="F1252" s="83" t="n"/>
      <c r="G1252" s="83" t="n"/>
      <c r="H1252" s="83" t="n"/>
      <c r="I1252" s="83" t="n"/>
      <c r="J1252" s="83" t="n"/>
      <c r="K1252" s="82">
        <f>IF(OR(Pay!$AD31="",Pay!$AD31=0),"",Pay!$K31)</f>
        <v/>
      </c>
      <c r="L1252" s="82">
        <f>IF(OR(Pay!$AD31="",Pay!$AD31=0),"",Pay!$AE31)</f>
        <v/>
      </c>
      <c r="M1252" s="82" t="n"/>
      <c r="N1252" s="81">
        <f>IF(OR(Pay!$AD31="",Pay!$AD31=0),"",Pay!$D31&amp;" — "&amp;Pay!$E31)</f>
        <v/>
      </c>
      <c r="O1252" s="81">
        <f>IF(OR(Pay!$AD31="",Pay!$AD31=0),"",IFERROR(VLOOKUP(Pay!$AD31,AcctTbl,3,0),""))</f>
        <v/>
      </c>
      <c r="P1252" s="82">
        <f>IF(Pay!$AD31&lt;&gt;"X011","",IF(Pay!$I31="","",Pay!$I31))</f>
        <v/>
      </c>
    </row>
    <row r="1253" ht="20.25" customHeight="1">
      <c r="A1253" s="80">
        <f>IF(OR(Pay!$AF31="",Pay!$AF31=0),"",Pay!$B31)</f>
        <v/>
      </c>
      <c r="B1253" s="80">
        <f>IF(OR(Pay!$AF31="",Pay!$AF31=0),"",Pay!$C31)</f>
        <v/>
      </c>
      <c r="C1253" s="80">
        <f>IF(OR(Pay!$AF31="",Pay!$AF31=0),"","پرداخت")</f>
        <v/>
      </c>
      <c r="D1253" s="80">
        <f>IF(OR(Pay!$AF31="",Pay!$AF31=0),"",Pay!$AF31)</f>
        <v/>
      </c>
      <c r="E1253" s="81">
        <f>IF(OR(Pay!$AF31="",Pay!$AF31=0),"",Pay!$P31)</f>
        <v/>
      </c>
      <c r="F1253" s="83" t="n"/>
      <c r="G1253" s="83" t="n"/>
      <c r="H1253" s="83" t="n"/>
      <c r="I1253" s="83" t="n"/>
      <c r="J1253" s="83" t="n"/>
      <c r="K1253" s="82">
        <f>IF(OR(Pay!$AF31="",Pay!$AF31=0),"",Pay!$K31)</f>
        <v/>
      </c>
      <c r="L1253" s="82" t="n"/>
      <c r="M1253" s="82">
        <f>IF(OR(Pay!$AF31="",Pay!$AF31=0),"",Pay!$AG31)</f>
        <v/>
      </c>
      <c r="N1253" s="81">
        <f>IF(OR(Pay!$AF31="",Pay!$AF31=0),"",Pay!$D31&amp;" — "&amp;Pay!$E31)</f>
        <v/>
      </c>
      <c r="O1253" s="81">
        <f>IF(OR(Pay!$AF31="",Pay!$AF31=0),"",IFERROR(VLOOKUP(Pay!$AF31,AcctTbl,3,0),""))</f>
        <v/>
      </c>
      <c r="P1253" s="82">
        <f>IF(Pay!$AF31&lt;&gt;"X011","",IF(Pay!$I31="","",Pay!$I31))</f>
        <v/>
      </c>
    </row>
    <row r="1254" ht="20.25" customHeight="1">
      <c r="A1254" s="80">
        <f>IF(OR(Pay!$AD32="",Pay!$AD32=0),"",Pay!$B32)</f>
        <v/>
      </c>
      <c r="B1254" s="80">
        <f>IF(OR(Pay!$AD32="",Pay!$AD32=0),"",Pay!$C32)</f>
        <v/>
      </c>
      <c r="C1254" s="80">
        <f>IF(OR(Pay!$AD32="",Pay!$AD32=0),"","پرداخت")</f>
        <v/>
      </c>
      <c r="D1254" s="80">
        <f>IF(OR(Pay!$AD32="",Pay!$AD32=0),"",Pay!$AD32)</f>
        <v/>
      </c>
      <c r="E1254" s="81">
        <f>IF(OR(Pay!$AD32="",Pay!$AD32=0),"",Pay!$P32)</f>
        <v/>
      </c>
      <c r="F1254" s="83" t="n"/>
      <c r="G1254" s="83" t="n"/>
      <c r="H1254" s="83" t="n"/>
      <c r="I1254" s="83" t="n"/>
      <c r="J1254" s="83" t="n"/>
      <c r="K1254" s="82">
        <f>IF(OR(Pay!$AD32="",Pay!$AD32=0),"",Pay!$K32)</f>
        <v/>
      </c>
      <c r="L1254" s="82">
        <f>IF(OR(Pay!$AD32="",Pay!$AD32=0),"",Pay!$AE32)</f>
        <v/>
      </c>
      <c r="M1254" s="82" t="n"/>
      <c r="N1254" s="81">
        <f>IF(OR(Pay!$AD32="",Pay!$AD32=0),"",Pay!$D32&amp;" — "&amp;Pay!$E32)</f>
        <v/>
      </c>
      <c r="O1254" s="81">
        <f>IF(OR(Pay!$AD32="",Pay!$AD32=0),"",IFERROR(VLOOKUP(Pay!$AD32,AcctTbl,3,0),""))</f>
        <v/>
      </c>
      <c r="P1254" s="82">
        <f>IF(Pay!$AD32&lt;&gt;"X011","",IF(Pay!$I32="","",Pay!$I32))</f>
        <v/>
      </c>
    </row>
    <row r="1255" ht="20.25" customHeight="1">
      <c r="A1255" s="80">
        <f>IF(OR(Pay!$AF32="",Pay!$AF32=0),"",Pay!$B32)</f>
        <v/>
      </c>
      <c r="B1255" s="80">
        <f>IF(OR(Pay!$AF32="",Pay!$AF32=0),"",Pay!$C32)</f>
        <v/>
      </c>
      <c r="C1255" s="80">
        <f>IF(OR(Pay!$AF32="",Pay!$AF32=0),"","پرداخت")</f>
        <v/>
      </c>
      <c r="D1255" s="80">
        <f>IF(OR(Pay!$AF32="",Pay!$AF32=0),"",Pay!$AF32)</f>
        <v/>
      </c>
      <c r="E1255" s="81">
        <f>IF(OR(Pay!$AF32="",Pay!$AF32=0),"",Pay!$P32)</f>
        <v/>
      </c>
      <c r="F1255" s="83" t="n"/>
      <c r="G1255" s="83" t="n"/>
      <c r="H1255" s="83" t="n"/>
      <c r="I1255" s="83" t="n"/>
      <c r="J1255" s="83" t="n"/>
      <c r="K1255" s="82">
        <f>IF(OR(Pay!$AF32="",Pay!$AF32=0),"",Pay!$K32)</f>
        <v/>
      </c>
      <c r="L1255" s="82" t="n"/>
      <c r="M1255" s="82">
        <f>IF(OR(Pay!$AF32="",Pay!$AF32=0),"",Pay!$AG32)</f>
        <v/>
      </c>
      <c r="N1255" s="81">
        <f>IF(OR(Pay!$AF32="",Pay!$AF32=0),"",Pay!$D32&amp;" — "&amp;Pay!$E32)</f>
        <v/>
      </c>
      <c r="O1255" s="81">
        <f>IF(OR(Pay!$AF32="",Pay!$AF32=0),"",IFERROR(VLOOKUP(Pay!$AF32,AcctTbl,3,0),""))</f>
        <v/>
      </c>
      <c r="P1255" s="82">
        <f>IF(Pay!$AF32&lt;&gt;"X011","",IF(Pay!$I32="","",Pay!$I32))</f>
        <v/>
      </c>
    </row>
    <row r="1256" ht="20.25" customHeight="1">
      <c r="A1256" s="80">
        <f>IF(OR(Pay!$AD33="",Pay!$AD33=0),"",Pay!$B33)</f>
        <v/>
      </c>
      <c r="B1256" s="80">
        <f>IF(OR(Pay!$AD33="",Pay!$AD33=0),"",Pay!$C33)</f>
        <v/>
      </c>
      <c r="C1256" s="80">
        <f>IF(OR(Pay!$AD33="",Pay!$AD33=0),"","پرداخت")</f>
        <v/>
      </c>
      <c r="D1256" s="80">
        <f>IF(OR(Pay!$AD33="",Pay!$AD33=0),"",Pay!$AD33)</f>
        <v/>
      </c>
      <c r="E1256" s="81">
        <f>IF(OR(Pay!$AD33="",Pay!$AD33=0),"",Pay!$P33)</f>
        <v/>
      </c>
      <c r="F1256" s="83" t="n"/>
      <c r="G1256" s="83" t="n"/>
      <c r="H1256" s="83" t="n"/>
      <c r="I1256" s="83" t="n"/>
      <c r="J1256" s="83" t="n"/>
      <c r="K1256" s="82">
        <f>IF(OR(Pay!$AD33="",Pay!$AD33=0),"",Pay!$K33)</f>
        <v/>
      </c>
      <c r="L1256" s="82">
        <f>IF(OR(Pay!$AD33="",Pay!$AD33=0),"",Pay!$AE33)</f>
        <v/>
      </c>
      <c r="M1256" s="82" t="n"/>
      <c r="N1256" s="81">
        <f>IF(OR(Pay!$AD33="",Pay!$AD33=0),"",Pay!$D33&amp;" — "&amp;Pay!$E33)</f>
        <v/>
      </c>
      <c r="O1256" s="81">
        <f>IF(OR(Pay!$AD33="",Pay!$AD33=0),"",IFERROR(VLOOKUP(Pay!$AD33,AcctTbl,3,0),""))</f>
        <v/>
      </c>
      <c r="P1256" s="82">
        <f>IF(Pay!$AD33&lt;&gt;"X011","",IF(Pay!$I33="","",Pay!$I33))</f>
        <v/>
      </c>
    </row>
    <row r="1257" ht="20.25" customHeight="1">
      <c r="A1257" s="80">
        <f>IF(OR(Pay!$AF33="",Pay!$AF33=0),"",Pay!$B33)</f>
        <v/>
      </c>
      <c r="B1257" s="80">
        <f>IF(OR(Pay!$AF33="",Pay!$AF33=0),"",Pay!$C33)</f>
        <v/>
      </c>
      <c r="C1257" s="80">
        <f>IF(OR(Pay!$AF33="",Pay!$AF33=0),"","پرداخت")</f>
        <v/>
      </c>
      <c r="D1257" s="80">
        <f>IF(OR(Pay!$AF33="",Pay!$AF33=0),"",Pay!$AF33)</f>
        <v/>
      </c>
      <c r="E1257" s="81">
        <f>IF(OR(Pay!$AF33="",Pay!$AF33=0),"",Pay!$P33)</f>
        <v/>
      </c>
      <c r="F1257" s="83" t="n"/>
      <c r="G1257" s="83" t="n"/>
      <c r="H1257" s="83" t="n"/>
      <c r="I1257" s="83" t="n"/>
      <c r="J1257" s="83" t="n"/>
      <c r="K1257" s="82">
        <f>IF(OR(Pay!$AF33="",Pay!$AF33=0),"",Pay!$K33)</f>
        <v/>
      </c>
      <c r="L1257" s="82" t="n"/>
      <c r="M1257" s="82">
        <f>IF(OR(Pay!$AF33="",Pay!$AF33=0),"",Pay!$AG33)</f>
        <v/>
      </c>
      <c r="N1257" s="81">
        <f>IF(OR(Pay!$AF33="",Pay!$AF33=0),"",Pay!$D33&amp;" — "&amp;Pay!$E33)</f>
        <v/>
      </c>
      <c r="O1257" s="81">
        <f>IF(OR(Pay!$AF33="",Pay!$AF33=0),"",IFERROR(VLOOKUP(Pay!$AF33,AcctTbl,3,0),""))</f>
        <v/>
      </c>
      <c r="P1257" s="82">
        <f>IF(Pay!$AF33&lt;&gt;"X011","",IF(Pay!$I33="","",Pay!$I33))</f>
        <v/>
      </c>
    </row>
    <row r="1258" ht="20.25" customHeight="1">
      <c r="A1258" s="80">
        <f>IF(OR(Pay!$AD34="",Pay!$AD34=0),"",Pay!$B34)</f>
        <v/>
      </c>
      <c r="B1258" s="80">
        <f>IF(OR(Pay!$AD34="",Pay!$AD34=0),"",Pay!$C34)</f>
        <v/>
      </c>
      <c r="C1258" s="80">
        <f>IF(OR(Pay!$AD34="",Pay!$AD34=0),"","پرداخت")</f>
        <v/>
      </c>
      <c r="D1258" s="80">
        <f>IF(OR(Pay!$AD34="",Pay!$AD34=0),"",Pay!$AD34)</f>
        <v/>
      </c>
      <c r="E1258" s="81">
        <f>IF(OR(Pay!$AD34="",Pay!$AD34=0),"",Pay!$P34)</f>
        <v/>
      </c>
      <c r="F1258" s="83" t="n"/>
      <c r="G1258" s="83" t="n"/>
      <c r="H1258" s="83" t="n"/>
      <c r="I1258" s="83" t="n"/>
      <c r="J1258" s="83" t="n"/>
      <c r="K1258" s="82">
        <f>IF(OR(Pay!$AD34="",Pay!$AD34=0),"",Pay!$K34)</f>
        <v/>
      </c>
      <c r="L1258" s="82">
        <f>IF(OR(Pay!$AD34="",Pay!$AD34=0),"",Pay!$AE34)</f>
        <v/>
      </c>
      <c r="M1258" s="82" t="n"/>
      <c r="N1258" s="81">
        <f>IF(OR(Pay!$AD34="",Pay!$AD34=0),"",Pay!$D34&amp;" — "&amp;Pay!$E34)</f>
        <v/>
      </c>
      <c r="O1258" s="81">
        <f>IF(OR(Pay!$AD34="",Pay!$AD34=0),"",IFERROR(VLOOKUP(Pay!$AD34,AcctTbl,3,0),""))</f>
        <v/>
      </c>
      <c r="P1258" s="82">
        <f>IF(Pay!$AD34&lt;&gt;"X011","",IF(Pay!$I34="","",Pay!$I34))</f>
        <v/>
      </c>
    </row>
    <row r="1259" ht="20.25" customHeight="1">
      <c r="A1259" s="80">
        <f>IF(OR(Pay!$AF34="",Pay!$AF34=0),"",Pay!$B34)</f>
        <v/>
      </c>
      <c r="B1259" s="80">
        <f>IF(OR(Pay!$AF34="",Pay!$AF34=0),"",Pay!$C34)</f>
        <v/>
      </c>
      <c r="C1259" s="80">
        <f>IF(OR(Pay!$AF34="",Pay!$AF34=0),"","پرداخت")</f>
        <v/>
      </c>
      <c r="D1259" s="80">
        <f>IF(OR(Pay!$AF34="",Pay!$AF34=0),"",Pay!$AF34)</f>
        <v/>
      </c>
      <c r="E1259" s="81">
        <f>IF(OR(Pay!$AF34="",Pay!$AF34=0),"",Pay!$P34)</f>
        <v/>
      </c>
      <c r="F1259" s="83" t="n"/>
      <c r="G1259" s="83" t="n"/>
      <c r="H1259" s="83" t="n"/>
      <c r="I1259" s="83" t="n"/>
      <c r="J1259" s="83" t="n"/>
      <c r="K1259" s="82">
        <f>IF(OR(Pay!$AF34="",Pay!$AF34=0),"",Pay!$K34)</f>
        <v/>
      </c>
      <c r="L1259" s="82" t="n"/>
      <c r="M1259" s="82">
        <f>IF(OR(Pay!$AF34="",Pay!$AF34=0),"",Pay!$AG34)</f>
        <v/>
      </c>
      <c r="N1259" s="81">
        <f>IF(OR(Pay!$AF34="",Pay!$AF34=0),"",Pay!$D34&amp;" — "&amp;Pay!$E34)</f>
        <v/>
      </c>
      <c r="O1259" s="81">
        <f>IF(OR(Pay!$AF34="",Pay!$AF34=0),"",IFERROR(VLOOKUP(Pay!$AF34,AcctTbl,3,0),""))</f>
        <v/>
      </c>
      <c r="P1259" s="82">
        <f>IF(Pay!$AF34&lt;&gt;"X011","",IF(Pay!$I34="","",Pay!$I34))</f>
        <v/>
      </c>
    </row>
    <row r="1260" ht="20.25" customHeight="1">
      <c r="A1260" s="80">
        <f>IF(OR(Pay!$AD35="",Pay!$AD35=0),"",Pay!$B35)</f>
        <v/>
      </c>
      <c r="B1260" s="80">
        <f>IF(OR(Pay!$AD35="",Pay!$AD35=0),"",Pay!$C35)</f>
        <v/>
      </c>
      <c r="C1260" s="80">
        <f>IF(OR(Pay!$AD35="",Pay!$AD35=0),"","پرداخت")</f>
        <v/>
      </c>
      <c r="D1260" s="80">
        <f>IF(OR(Pay!$AD35="",Pay!$AD35=0),"",Pay!$AD35)</f>
        <v/>
      </c>
      <c r="E1260" s="81">
        <f>IF(OR(Pay!$AD35="",Pay!$AD35=0),"",Pay!$P35)</f>
        <v/>
      </c>
      <c r="F1260" s="83" t="n"/>
      <c r="G1260" s="83" t="n"/>
      <c r="H1260" s="83" t="n"/>
      <c r="I1260" s="83" t="n"/>
      <c r="J1260" s="83" t="n"/>
      <c r="K1260" s="82">
        <f>IF(OR(Pay!$AD35="",Pay!$AD35=0),"",Pay!$K35)</f>
        <v/>
      </c>
      <c r="L1260" s="82">
        <f>IF(OR(Pay!$AD35="",Pay!$AD35=0),"",Pay!$AE35)</f>
        <v/>
      </c>
      <c r="M1260" s="82" t="n"/>
      <c r="N1260" s="81">
        <f>IF(OR(Pay!$AD35="",Pay!$AD35=0),"",Pay!$D35&amp;" — "&amp;Pay!$E35)</f>
        <v/>
      </c>
      <c r="O1260" s="81">
        <f>IF(OR(Pay!$AD35="",Pay!$AD35=0),"",IFERROR(VLOOKUP(Pay!$AD35,AcctTbl,3,0),""))</f>
        <v/>
      </c>
      <c r="P1260" s="82">
        <f>IF(Pay!$AD35&lt;&gt;"X011","",IF(Pay!$I35="","",Pay!$I35))</f>
        <v/>
      </c>
    </row>
    <row r="1261" ht="20.25" customHeight="1">
      <c r="A1261" s="80">
        <f>IF(OR(Pay!$AF35="",Pay!$AF35=0),"",Pay!$B35)</f>
        <v/>
      </c>
      <c r="B1261" s="80">
        <f>IF(OR(Pay!$AF35="",Pay!$AF35=0),"",Pay!$C35)</f>
        <v/>
      </c>
      <c r="C1261" s="80">
        <f>IF(OR(Pay!$AF35="",Pay!$AF35=0),"","پرداخت")</f>
        <v/>
      </c>
      <c r="D1261" s="80">
        <f>IF(OR(Pay!$AF35="",Pay!$AF35=0),"",Pay!$AF35)</f>
        <v/>
      </c>
      <c r="E1261" s="81">
        <f>IF(OR(Pay!$AF35="",Pay!$AF35=0),"",Pay!$P35)</f>
        <v/>
      </c>
      <c r="F1261" s="83" t="n"/>
      <c r="G1261" s="83" t="n"/>
      <c r="H1261" s="83" t="n"/>
      <c r="I1261" s="83" t="n"/>
      <c r="J1261" s="83" t="n"/>
      <c r="K1261" s="82">
        <f>IF(OR(Pay!$AF35="",Pay!$AF35=0),"",Pay!$K35)</f>
        <v/>
      </c>
      <c r="L1261" s="82" t="n"/>
      <c r="M1261" s="82">
        <f>IF(OR(Pay!$AF35="",Pay!$AF35=0),"",Pay!$AG35)</f>
        <v/>
      </c>
      <c r="N1261" s="81">
        <f>IF(OR(Pay!$AF35="",Pay!$AF35=0),"",Pay!$D35&amp;" — "&amp;Pay!$E35)</f>
        <v/>
      </c>
      <c r="O1261" s="81">
        <f>IF(OR(Pay!$AF35="",Pay!$AF35=0),"",IFERROR(VLOOKUP(Pay!$AF35,AcctTbl,3,0),""))</f>
        <v/>
      </c>
      <c r="P1261" s="82">
        <f>IF(Pay!$AF35&lt;&gt;"X011","",IF(Pay!$I35="","",Pay!$I35))</f>
        <v/>
      </c>
    </row>
    <row r="1262" ht="20.25" customHeight="1">
      <c r="A1262" s="80">
        <f>IF(OR(Pay!$AD36="",Pay!$AD36=0),"",Pay!$B36)</f>
        <v/>
      </c>
      <c r="B1262" s="80">
        <f>IF(OR(Pay!$AD36="",Pay!$AD36=0),"",Pay!$C36)</f>
        <v/>
      </c>
      <c r="C1262" s="80">
        <f>IF(OR(Pay!$AD36="",Pay!$AD36=0),"","پرداخت")</f>
        <v/>
      </c>
      <c r="D1262" s="80">
        <f>IF(OR(Pay!$AD36="",Pay!$AD36=0),"",Pay!$AD36)</f>
        <v/>
      </c>
      <c r="E1262" s="81">
        <f>IF(OR(Pay!$AD36="",Pay!$AD36=0),"",Pay!$P36)</f>
        <v/>
      </c>
      <c r="F1262" s="83" t="n"/>
      <c r="G1262" s="83" t="n"/>
      <c r="H1262" s="83" t="n"/>
      <c r="I1262" s="83" t="n"/>
      <c r="J1262" s="83" t="n"/>
      <c r="K1262" s="82">
        <f>IF(OR(Pay!$AD36="",Pay!$AD36=0),"",Pay!$K36)</f>
        <v/>
      </c>
      <c r="L1262" s="82">
        <f>IF(OR(Pay!$AD36="",Pay!$AD36=0),"",Pay!$AE36)</f>
        <v/>
      </c>
      <c r="M1262" s="82" t="n"/>
      <c r="N1262" s="81">
        <f>IF(OR(Pay!$AD36="",Pay!$AD36=0),"",Pay!$D36&amp;" — "&amp;Pay!$E36)</f>
        <v/>
      </c>
      <c r="O1262" s="81">
        <f>IF(OR(Pay!$AD36="",Pay!$AD36=0),"",IFERROR(VLOOKUP(Pay!$AD36,AcctTbl,3,0),""))</f>
        <v/>
      </c>
      <c r="P1262" s="82">
        <f>IF(Pay!$AD36&lt;&gt;"X011","",IF(Pay!$I36="","",Pay!$I36))</f>
        <v/>
      </c>
    </row>
    <row r="1263" ht="20.25" customHeight="1">
      <c r="A1263" s="80">
        <f>IF(OR(Pay!$AF36="",Pay!$AF36=0),"",Pay!$B36)</f>
        <v/>
      </c>
      <c r="B1263" s="80">
        <f>IF(OR(Pay!$AF36="",Pay!$AF36=0),"",Pay!$C36)</f>
        <v/>
      </c>
      <c r="C1263" s="80">
        <f>IF(OR(Pay!$AF36="",Pay!$AF36=0),"","پرداخت")</f>
        <v/>
      </c>
      <c r="D1263" s="80">
        <f>IF(OR(Pay!$AF36="",Pay!$AF36=0),"",Pay!$AF36)</f>
        <v/>
      </c>
      <c r="E1263" s="81">
        <f>IF(OR(Pay!$AF36="",Pay!$AF36=0),"",Pay!$P36)</f>
        <v/>
      </c>
      <c r="F1263" s="83" t="n"/>
      <c r="G1263" s="83" t="n"/>
      <c r="H1263" s="83" t="n"/>
      <c r="I1263" s="83" t="n"/>
      <c r="J1263" s="83" t="n"/>
      <c r="K1263" s="82">
        <f>IF(OR(Pay!$AF36="",Pay!$AF36=0),"",Pay!$K36)</f>
        <v/>
      </c>
      <c r="L1263" s="82" t="n"/>
      <c r="M1263" s="82">
        <f>IF(OR(Pay!$AF36="",Pay!$AF36=0),"",Pay!$AG36)</f>
        <v/>
      </c>
      <c r="N1263" s="81">
        <f>IF(OR(Pay!$AF36="",Pay!$AF36=0),"",Pay!$D36&amp;" — "&amp;Pay!$E36)</f>
        <v/>
      </c>
      <c r="O1263" s="81">
        <f>IF(OR(Pay!$AF36="",Pay!$AF36=0),"",IFERROR(VLOOKUP(Pay!$AF36,AcctTbl,3,0),""))</f>
        <v/>
      </c>
      <c r="P1263" s="82">
        <f>IF(Pay!$AF36&lt;&gt;"X011","",IF(Pay!$I36="","",Pay!$I36))</f>
        <v/>
      </c>
    </row>
    <row r="1264" ht="20.25" customHeight="1">
      <c r="A1264" s="80">
        <f>IF(OR(Pay!$AD37="",Pay!$AD37=0),"",Pay!$B37)</f>
        <v/>
      </c>
      <c r="B1264" s="80">
        <f>IF(OR(Pay!$AD37="",Pay!$AD37=0),"",Pay!$C37)</f>
        <v/>
      </c>
      <c r="C1264" s="80">
        <f>IF(OR(Pay!$AD37="",Pay!$AD37=0),"","پرداخت")</f>
        <v/>
      </c>
      <c r="D1264" s="80">
        <f>IF(OR(Pay!$AD37="",Pay!$AD37=0),"",Pay!$AD37)</f>
        <v/>
      </c>
      <c r="E1264" s="81">
        <f>IF(OR(Pay!$AD37="",Pay!$AD37=0),"",Pay!$P37)</f>
        <v/>
      </c>
      <c r="F1264" s="83" t="n"/>
      <c r="G1264" s="83" t="n"/>
      <c r="H1264" s="83" t="n"/>
      <c r="I1264" s="83" t="n"/>
      <c r="J1264" s="83" t="n"/>
      <c r="K1264" s="82">
        <f>IF(OR(Pay!$AD37="",Pay!$AD37=0),"",Pay!$K37)</f>
        <v/>
      </c>
      <c r="L1264" s="82">
        <f>IF(OR(Pay!$AD37="",Pay!$AD37=0),"",Pay!$AE37)</f>
        <v/>
      </c>
      <c r="M1264" s="82" t="n"/>
      <c r="N1264" s="81">
        <f>IF(OR(Pay!$AD37="",Pay!$AD37=0),"",Pay!$D37&amp;" — "&amp;Pay!$E37)</f>
        <v/>
      </c>
      <c r="O1264" s="81">
        <f>IF(OR(Pay!$AD37="",Pay!$AD37=0),"",IFERROR(VLOOKUP(Pay!$AD37,AcctTbl,3,0),""))</f>
        <v/>
      </c>
      <c r="P1264" s="82">
        <f>IF(Pay!$AD37&lt;&gt;"X011","",IF(Pay!$I37="","",Pay!$I37))</f>
        <v/>
      </c>
    </row>
    <row r="1265" ht="20.25" customHeight="1">
      <c r="A1265" s="80">
        <f>IF(OR(Pay!$AF37="",Pay!$AF37=0),"",Pay!$B37)</f>
        <v/>
      </c>
      <c r="B1265" s="80">
        <f>IF(OR(Pay!$AF37="",Pay!$AF37=0),"",Pay!$C37)</f>
        <v/>
      </c>
      <c r="C1265" s="80">
        <f>IF(OR(Pay!$AF37="",Pay!$AF37=0),"","پرداخت")</f>
        <v/>
      </c>
      <c r="D1265" s="80">
        <f>IF(OR(Pay!$AF37="",Pay!$AF37=0),"",Pay!$AF37)</f>
        <v/>
      </c>
      <c r="E1265" s="81">
        <f>IF(OR(Pay!$AF37="",Pay!$AF37=0),"",Pay!$P37)</f>
        <v/>
      </c>
      <c r="F1265" s="83" t="n"/>
      <c r="G1265" s="83" t="n"/>
      <c r="H1265" s="83" t="n"/>
      <c r="I1265" s="83" t="n"/>
      <c r="J1265" s="83" t="n"/>
      <c r="K1265" s="82">
        <f>IF(OR(Pay!$AF37="",Pay!$AF37=0),"",Pay!$K37)</f>
        <v/>
      </c>
      <c r="L1265" s="82" t="n"/>
      <c r="M1265" s="82">
        <f>IF(OR(Pay!$AF37="",Pay!$AF37=0),"",Pay!$AG37)</f>
        <v/>
      </c>
      <c r="N1265" s="81">
        <f>IF(OR(Pay!$AF37="",Pay!$AF37=0),"",Pay!$D37&amp;" — "&amp;Pay!$E37)</f>
        <v/>
      </c>
      <c r="O1265" s="81">
        <f>IF(OR(Pay!$AF37="",Pay!$AF37=0),"",IFERROR(VLOOKUP(Pay!$AF37,AcctTbl,3,0),""))</f>
        <v/>
      </c>
      <c r="P1265" s="82">
        <f>IF(Pay!$AF37&lt;&gt;"X011","",IF(Pay!$I37="","",Pay!$I37))</f>
        <v/>
      </c>
    </row>
    <row r="1266" ht="20.25" customHeight="1">
      <c r="A1266" s="80">
        <f>IF(OR(Pay!$AD38="",Pay!$AD38=0),"",Pay!$B38)</f>
        <v/>
      </c>
      <c r="B1266" s="80">
        <f>IF(OR(Pay!$AD38="",Pay!$AD38=0),"",Pay!$C38)</f>
        <v/>
      </c>
      <c r="C1266" s="80">
        <f>IF(OR(Pay!$AD38="",Pay!$AD38=0),"","پرداخت")</f>
        <v/>
      </c>
      <c r="D1266" s="80">
        <f>IF(OR(Pay!$AD38="",Pay!$AD38=0),"",Pay!$AD38)</f>
        <v/>
      </c>
      <c r="E1266" s="81">
        <f>IF(OR(Pay!$AD38="",Pay!$AD38=0),"",Pay!$P38)</f>
        <v/>
      </c>
      <c r="F1266" s="83" t="n"/>
      <c r="G1266" s="83" t="n"/>
      <c r="H1266" s="83" t="n"/>
      <c r="I1266" s="83" t="n"/>
      <c r="J1266" s="83" t="n"/>
      <c r="K1266" s="82">
        <f>IF(OR(Pay!$AD38="",Pay!$AD38=0),"",Pay!$K38)</f>
        <v/>
      </c>
      <c r="L1266" s="82">
        <f>IF(OR(Pay!$AD38="",Pay!$AD38=0),"",Pay!$AE38)</f>
        <v/>
      </c>
      <c r="M1266" s="82" t="n"/>
      <c r="N1266" s="81">
        <f>IF(OR(Pay!$AD38="",Pay!$AD38=0),"",Pay!$D38&amp;" — "&amp;Pay!$E38)</f>
        <v/>
      </c>
      <c r="O1266" s="81">
        <f>IF(OR(Pay!$AD38="",Pay!$AD38=0),"",IFERROR(VLOOKUP(Pay!$AD38,AcctTbl,3,0),""))</f>
        <v/>
      </c>
      <c r="P1266" s="82">
        <f>IF(Pay!$AD38&lt;&gt;"X011","",IF(Pay!$I38="","",Pay!$I38))</f>
        <v/>
      </c>
    </row>
    <row r="1267" ht="20.25" customHeight="1">
      <c r="A1267" s="80">
        <f>IF(OR(Pay!$AF38="",Pay!$AF38=0),"",Pay!$B38)</f>
        <v/>
      </c>
      <c r="B1267" s="80">
        <f>IF(OR(Pay!$AF38="",Pay!$AF38=0),"",Pay!$C38)</f>
        <v/>
      </c>
      <c r="C1267" s="80">
        <f>IF(OR(Pay!$AF38="",Pay!$AF38=0),"","پرداخت")</f>
        <v/>
      </c>
      <c r="D1267" s="80">
        <f>IF(OR(Pay!$AF38="",Pay!$AF38=0),"",Pay!$AF38)</f>
        <v/>
      </c>
      <c r="E1267" s="81">
        <f>IF(OR(Pay!$AF38="",Pay!$AF38=0),"",Pay!$P38)</f>
        <v/>
      </c>
      <c r="F1267" s="83" t="n"/>
      <c r="G1267" s="83" t="n"/>
      <c r="H1267" s="83" t="n"/>
      <c r="I1267" s="83" t="n"/>
      <c r="J1267" s="83" t="n"/>
      <c r="K1267" s="82">
        <f>IF(OR(Pay!$AF38="",Pay!$AF38=0),"",Pay!$K38)</f>
        <v/>
      </c>
      <c r="L1267" s="82" t="n"/>
      <c r="M1267" s="82">
        <f>IF(OR(Pay!$AF38="",Pay!$AF38=0),"",Pay!$AG38)</f>
        <v/>
      </c>
      <c r="N1267" s="81">
        <f>IF(OR(Pay!$AF38="",Pay!$AF38=0),"",Pay!$D38&amp;" — "&amp;Pay!$E38)</f>
        <v/>
      </c>
      <c r="O1267" s="81">
        <f>IF(OR(Pay!$AF38="",Pay!$AF38=0),"",IFERROR(VLOOKUP(Pay!$AF38,AcctTbl,3,0),""))</f>
        <v/>
      </c>
      <c r="P1267" s="82">
        <f>IF(Pay!$AF38&lt;&gt;"X011","",IF(Pay!$I38="","",Pay!$I38))</f>
        <v/>
      </c>
    </row>
    <row r="1268" ht="20.25" customHeight="1">
      <c r="A1268" s="80">
        <f>IF(OR(Pay!$AD39="",Pay!$AD39=0),"",Pay!$B39)</f>
        <v/>
      </c>
      <c r="B1268" s="80">
        <f>IF(OR(Pay!$AD39="",Pay!$AD39=0),"",Pay!$C39)</f>
        <v/>
      </c>
      <c r="C1268" s="80">
        <f>IF(OR(Pay!$AD39="",Pay!$AD39=0),"","پرداخت")</f>
        <v/>
      </c>
      <c r="D1268" s="80">
        <f>IF(OR(Pay!$AD39="",Pay!$AD39=0),"",Pay!$AD39)</f>
        <v/>
      </c>
      <c r="E1268" s="81">
        <f>IF(OR(Pay!$AD39="",Pay!$AD39=0),"",Pay!$P39)</f>
        <v/>
      </c>
      <c r="F1268" s="83" t="n"/>
      <c r="G1268" s="83" t="n"/>
      <c r="H1268" s="83" t="n"/>
      <c r="I1268" s="83" t="n"/>
      <c r="J1268" s="83" t="n"/>
      <c r="K1268" s="82">
        <f>IF(OR(Pay!$AD39="",Pay!$AD39=0),"",Pay!$K39)</f>
        <v/>
      </c>
      <c r="L1268" s="82">
        <f>IF(OR(Pay!$AD39="",Pay!$AD39=0),"",Pay!$AE39)</f>
        <v/>
      </c>
      <c r="M1268" s="82" t="n"/>
      <c r="N1268" s="81">
        <f>IF(OR(Pay!$AD39="",Pay!$AD39=0),"",Pay!$D39&amp;" — "&amp;Pay!$E39)</f>
        <v/>
      </c>
      <c r="O1268" s="81">
        <f>IF(OR(Pay!$AD39="",Pay!$AD39=0),"",IFERROR(VLOOKUP(Pay!$AD39,AcctTbl,3,0),""))</f>
        <v/>
      </c>
      <c r="P1268" s="82">
        <f>IF(Pay!$AD39&lt;&gt;"X011","",IF(Pay!$I39="","",Pay!$I39))</f>
        <v/>
      </c>
    </row>
    <row r="1269" ht="20.25" customHeight="1">
      <c r="A1269" s="80">
        <f>IF(OR(Pay!$AF39="",Pay!$AF39=0),"",Pay!$B39)</f>
        <v/>
      </c>
      <c r="B1269" s="80">
        <f>IF(OR(Pay!$AF39="",Pay!$AF39=0),"",Pay!$C39)</f>
        <v/>
      </c>
      <c r="C1269" s="80">
        <f>IF(OR(Pay!$AF39="",Pay!$AF39=0),"","پرداخت")</f>
        <v/>
      </c>
      <c r="D1269" s="80">
        <f>IF(OR(Pay!$AF39="",Pay!$AF39=0),"",Pay!$AF39)</f>
        <v/>
      </c>
      <c r="E1269" s="81">
        <f>IF(OR(Pay!$AF39="",Pay!$AF39=0),"",Pay!$P39)</f>
        <v/>
      </c>
      <c r="F1269" s="83" t="n"/>
      <c r="G1269" s="83" t="n"/>
      <c r="H1269" s="83" t="n"/>
      <c r="I1269" s="83" t="n"/>
      <c r="J1269" s="83" t="n"/>
      <c r="K1269" s="82">
        <f>IF(OR(Pay!$AF39="",Pay!$AF39=0),"",Pay!$K39)</f>
        <v/>
      </c>
      <c r="L1269" s="82" t="n"/>
      <c r="M1269" s="82">
        <f>IF(OR(Pay!$AF39="",Pay!$AF39=0),"",Pay!$AG39)</f>
        <v/>
      </c>
      <c r="N1269" s="81">
        <f>IF(OR(Pay!$AF39="",Pay!$AF39=0),"",Pay!$D39&amp;" — "&amp;Pay!$E39)</f>
        <v/>
      </c>
      <c r="O1269" s="81">
        <f>IF(OR(Pay!$AF39="",Pay!$AF39=0),"",IFERROR(VLOOKUP(Pay!$AF39,AcctTbl,3,0),""))</f>
        <v/>
      </c>
      <c r="P1269" s="82">
        <f>IF(Pay!$AF39&lt;&gt;"X011","",IF(Pay!$I39="","",Pay!$I39))</f>
        <v/>
      </c>
    </row>
    <row r="1270" ht="20.25" customHeight="1">
      <c r="A1270" s="80">
        <f>IF(OR(Pay!$AD40="",Pay!$AD40=0),"",Pay!$B40)</f>
        <v/>
      </c>
      <c r="B1270" s="80">
        <f>IF(OR(Pay!$AD40="",Pay!$AD40=0),"",Pay!$C40)</f>
        <v/>
      </c>
      <c r="C1270" s="80">
        <f>IF(OR(Pay!$AD40="",Pay!$AD40=0),"","پرداخت")</f>
        <v/>
      </c>
      <c r="D1270" s="80">
        <f>IF(OR(Pay!$AD40="",Pay!$AD40=0),"",Pay!$AD40)</f>
        <v/>
      </c>
      <c r="E1270" s="81">
        <f>IF(OR(Pay!$AD40="",Pay!$AD40=0),"",Pay!$P40)</f>
        <v/>
      </c>
      <c r="F1270" s="83" t="n"/>
      <c r="G1270" s="83" t="n"/>
      <c r="H1270" s="83" t="n"/>
      <c r="I1270" s="83" t="n"/>
      <c r="J1270" s="83" t="n"/>
      <c r="K1270" s="82">
        <f>IF(OR(Pay!$AD40="",Pay!$AD40=0),"",Pay!$K40)</f>
        <v/>
      </c>
      <c r="L1270" s="82">
        <f>IF(OR(Pay!$AD40="",Pay!$AD40=0),"",Pay!$AE40)</f>
        <v/>
      </c>
      <c r="M1270" s="82" t="n"/>
      <c r="N1270" s="81">
        <f>IF(OR(Pay!$AD40="",Pay!$AD40=0),"",Pay!$D40&amp;" — "&amp;Pay!$E40)</f>
        <v/>
      </c>
      <c r="O1270" s="81">
        <f>IF(OR(Pay!$AD40="",Pay!$AD40=0),"",IFERROR(VLOOKUP(Pay!$AD40,AcctTbl,3,0),""))</f>
        <v/>
      </c>
      <c r="P1270" s="82">
        <f>IF(Pay!$AD40&lt;&gt;"X011","",IF(Pay!$I40="","",Pay!$I40))</f>
        <v/>
      </c>
    </row>
    <row r="1271" ht="20.25" customHeight="1">
      <c r="A1271" s="80">
        <f>IF(OR(Pay!$AF40="",Pay!$AF40=0),"",Pay!$B40)</f>
        <v/>
      </c>
      <c r="B1271" s="80">
        <f>IF(OR(Pay!$AF40="",Pay!$AF40=0),"",Pay!$C40)</f>
        <v/>
      </c>
      <c r="C1271" s="80">
        <f>IF(OR(Pay!$AF40="",Pay!$AF40=0),"","پرداخت")</f>
        <v/>
      </c>
      <c r="D1271" s="80">
        <f>IF(OR(Pay!$AF40="",Pay!$AF40=0),"",Pay!$AF40)</f>
        <v/>
      </c>
      <c r="E1271" s="81">
        <f>IF(OR(Pay!$AF40="",Pay!$AF40=0),"",Pay!$P40)</f>
        <v/>
      </c>
      <c r="F1271" s="83" t="n"/>
      <c r="G1271" s="83" t="n"/>
      <c r="H1271" s="83" t="n"/>
      <c r="I1271" s="83" t="n"/>
      <c r="J1271" s="83" t="n"/>
      <c r="K1271" s="82">
        <f>IF(OR(Pay!$AF40="",Pay!$AF40=0),"",Pay!$K40)</f>
        <v/>
      </c>
      <c r="L1271" s="82" t="n"/>
      <c r="M1271" s="82">
        <f>IF(OR(Pay!$AF40="",Pay!$AF40=0),"",Pay!$AG40)</f>
        <v/>
      </c>
      <c r="N1271" s="81">
        <f>IF(OR(Pay!$AF40="",Pay!$AF40=0),"",Pay!$D40&amp;" — "&amp;Pay!$E40)</f>
        <v/>
      </c>
      <c r="O1271" s="81">
        <f>IF(OR(Pay!$AF40="",Pay!$AF40=0),"",IFERROR(VLOOKUP(Pay!$AF40,AcctTbl,3,0),""))</f>
        <v/>
      </c>
      <c r="P1271" s="82">
        <f>IF(Pay!$AF40&lt;&gt;"X011","",IF(Pay!$I40="","",Pay!$I40))</f>
        <v/>
      </c>
    </row>
    <row r="1272" ht="20.25" customHeight="1">
      <c r="A1272" s="80">
        <f>IF(OR(Pay!$AD41="",Pay!$AD41=0),"",Pay!$B41)</f>
        <v/>
      </c>
      <c r="B1272" s="80">
        <f>IF(OR(Pay!$AD41="",Pay!$AD41=0),"",Pay!$C41)</f>
        <v/>
      </c>
      <c r="C1272" s="80">
        <f>IF(OR(Pay!$AD41="",Pay!$AD41=0),"","پرداخت")</f>
        <v/>
      </c>
      <c r="D1272" s="80">
        <f>IF(OR(Pay!$AD41="",Pay!$AD41=0),"",Pay!$AD41)</f>
        <v/>
      </c>
      <c r="E1272" s="81">
        <f>IF(OR(Pay!$AD41="",Pay!$AD41=0),"",Pay!$P41)</f>
        <v/>
      </c>
      <c r="F1272" s="83" t="n"/>
      <c r="G1272" s="83" t="n"/>
      <c r="H1272" s="83" t="n"/>
      <c r="I1272" s="83" t="n"/>
      <c r="J1272" s="83" t="n"/>
      <c r="K1272" s="82">
        <f>IF(OR(Pay!$AD41="",Pay!$AD41=0),"",Pay!$K41)</f>
        <v/>
      </c>
      <c r="L1272" s="82">
        <f>IF(OR(Pay!$AD41="",Pay!$AD41=0),"",Pay!$AE41)</f>
        <v/>
      </c>
      <c r="M1272" s="82" t="n"/>
      <c r="N1272" s="81">
        <f>IF(OR(Pay!$AD41="",Pay!$AD41=0),"",Pay!$D41&amp;" — "&amp;Pay!$E41)</f>
        <v/>
      </c>
      <c r="O1272" s="81">
        <f>IF(OR(Pay!$AD41="",Pay!$AD41=0),"",IFERROR(VLOOKUP(Pay!$AD41,AcctTbl,3,0),""))</f>
        <v/>
      </c>
      <c r="P1272" s="82">
        <f>IF(Pay!$AD41&lt;&gt;"X011","",IF(Pay!$I41="","",Pay!$I41))</f>
        <v/>
      </c>
    </row>
    <row r="1273" ht="20.25" customHeight="1">
      <c r="A1273" s="80">
        <f>IF(OR(Pay!$AF41="",Pay!$AF41=0),"",Pay!$B41)</f>
        <v/>
      </c>
      <c r="B1273" s="80">
        <f>IF(OR(Pay!$AF41="",Pay!$AF41=0),"",Pay!$C41)</f>
        <v/>
      </c>
      <c r="C1273" s="80">
        <f>IF(OR(Pay!$AF41="",Pay!$AF41=0),"","پرداخت")</f>
        <v/>
      </c>
      <c r="D1273" s="80">
        <f>IF(OR(Pay!$AF41="",Pay!$AF41=0),"",Pay!$AF41)</f>
        <v/>
      </c>
      <c r="E1273" s="81">
        <f>IF(OR(Pay!$AF41="",Pay!$AF41=0),"",Pay!$P41)</f>
        <v/>
      </c>
      <c r="F1273" s="83" t="n"/>
      <c r="G1273" s="83" t="n"/>
      <c r="H1273" s="83" t="n"/>
      <c r="I1273" s="83" t="n"/>
      <c r="J1273" s="83" t="n"/>
      <c r="K1273" s="82">
        <f>IF(OR(Pay!$AF41="",Pay!$AF41=0),"",Pay!$K41)</f>
        <v/>
      </c>
      <c r="L1273" s="82" t="n"/>
      <c r="M1273" s="82">
        <f>IF(OR(Pay!$AF41="",Pay!$AF41=0),"",Pay!$AG41)</f>
        <v/>
      </c>
      <c r="N1273" s="81">
        <f>IF(OR(Pay!$AF41="",Pay!$AF41=0),"",Pay!$D41&amp;" — "&amp;Pay!$E41)</f>
        <v/>
      </c>
      <c r="O1273" s="81">
        <f>IF(OR(Pay!$AF41="",Pay!$AF41=0),"",IFERROR(VLOOKUP(Pay!$AF41,AcctTbl,3,0),""))</f>
        <v/>
      </c>
      <c r="P1273" s="82">
        <f>IF(Pay!$AF41&lt;&gt;"X011","",IF(Pay!$I41="","",Pay!$I41))</f>
        <v/>
      </c>
    </row>
    <row r="1274" ht="20.25" customHeight="1">
      <c r="A1274" s="80">
        <f>IF(OR(Pay!$AD42="",Pay!$AD42=0),"",Pay!$B42)</f>
        <v/>
      </c>
      <c r="B1274" s="80">
        <f>IF(OR(Pay!$AD42="",Pay!$AD42=0),"",Pay!$C42)</f>
        <v/>
      </c>
      <c r="C1274" s="80">
        <f>IF(OR(Pay!$AD42="",Pay!$AD42=0),"","پرداخت")</f>
        <v/>
      </c>
      <c r="D1274" s="80">
        <f>IF(OR(Pay!$AD42="",Pay!$AD42=0),"",Pay!$AD42)</f>
        <v/>
      </c>
      <c r="E1274" s="81">
        <f>IF(OR(Pay!$AD42="",Pay!$AD42=0),"",Pay!$P42)</f>
        <v/>
      </c>
      <c r="F1274" s="83" t="n"/>
      <c r="G1274" s="83" t="n"/>
      <c r="H1274" s="83" t="n"/>
      <c r="I1274" s="83" t="n"/>
      <c r="J1274" s="83" t="n"/>
      <c r="K1274" s="82">
        <f>IF(OR(Pay!$AD42="",Pay!$AD42=0),"",Pay!$K42)</f>
        <v/>
      </c>
      <c r="L1274" s="82">
        <f>IF(OR(Pay!$AD42="",Pay!$AD42=0),"",Pay!$AE42)</f>
        <v/>
      </c>
      <c r="M1274" s="82" t="n"/>
      <c r="N1274" s="81">
        <f>IF(OR(Pay!$AD42="",Pay!$AD42=0),"",Pay!$D42&amp;" — "&amp;Pay!$E42)</f>
        <v/>
      </c>
      <c r="O1274" s="81">
        <f>IF(OR(Pay!$AD42="",Pay!$AD42=0),"",IFERROR(VLOOKUP(Pay!$AD42,AcctTbl,3,0),""))</f>
        <v/>
      </c>
      <c r="P1274" s="82">
        <f>IF(Pay!$AD42&lt;&gt;"X011","",IF(Pay!$I42="","",Pay!$I42))</f>
        <v/>
      </c>
    </row>
    <row r="1275" ht="20.25" customHeight="1">
      <c r="A1275" s="80">
        <f>IF(OR(Pay!$AF42="",Pay!$AF42=0),"",Pay!$B42)</f>
        <v/>
      </c>
      <c r="B1275" s="80">
        <f>IF(OR(Pay!$AF42="",Pay!$AF42=0),"",Pay!$C42)</f>
        <v/>
      </c>
      <c r="C1275" s="80">
        <f>IF(OR(Pay!$AF42="",Pay!$AF42=0),"","پرداخت")</f>
        <v/>
      </c>
      <c r="D1275" s="80">
        <f>IF(OR(Pay!$AF42="",Pay!$AF42=0),"",Pay!$AF42)</f>
        <v/>
      </c>
      <c r="E1275" s="81">
        <f>IF(OR(Pay!$AF42="",Pay!$AF42=0),"",Pay!$P42)</f>
        <v/>
      </c>
      <c r="F1275" s="83" t="n"/>
      <c r="G1275" s="83" t="n"/>
      <c r="H1275" s="83" t="n"/>
      <c r="I1275" s="83" t="n"/>
      <c r="J1275" s="83" t="n"/>
      <c r="K1275" s="82">
        <f>IF(OR(Pay!$AF42="",Pay!$AF42=0),"",Pay!$K42)</f>
        <v/>
      </c>
      <c r="L1275" s="82" t="n"/>
      <c r="M1275" s="82">
        <f>IF(OR(Pay!$AF42="",Pay!$AF42=0),"",Pay!$AG42)</f>
        <v/>
      </c>
      <c r="N1275" s="81">
        <f>IF(OR(Pay!$AF42="",Pay!$AF42=0),"",Pay!$D42&amp;" — "&amp;Pay!$E42)</f>
        <v/>
      </c>
      <c r="O1275" s="81">
        <f>IF(OR(Pay!$AF42="",Pay!$AF42=0),"",IFERROR(VLOOKUP(Pay!$AF42,AcctTbl,3,0),""))</f>
        <v/>
      </c>
      <c r="P1275" s="82">
        <f>IF(Pay!$AF42&lt;&gt;"X011","",IF(Pay!$I42="","",Pay!$I42))</f>
        <v/>
      </c>
    </row>
    <row r="1276" ht="20.25" customHeight="1">
      <c r="A1276" s="80">
        <f>IF(OR(Pay!$AD43="",Pay!$AD43=0),"",Pay!$B43)</f>
        <v/>
      </c>
      <c r="B1276" s="80">
        <f>IF(OR(Pay!$AD43="",Pay!$AD43=0),"",Pay!$C43)</f>
        <v/>
      </c>
      <c r="C1276" s="80">
        <f>IF(OR(Pay!$AD43="",Pay!$AD43=0),"","پرداخت")</f>
        <v/>
      </c>
      <c r="D1276" s="80">
        <f>IF(OR(Pay!$AD43="",Pay!$AD43=0),"",Pay!$AD43)</f>
        <v/>
      </c>
      <c r="E1276" s="81">
        <f>IF(OR(Pay!$AD43="",Pay!$AD43=0),"",Pay!$P43)</f>
        <v/>
      </c>
      <c r="F1276" s="83" t="n"/>
      <c r="G1276" s="83" t="n"/>
      <c r="H1276" s="83" t="n"/>
      <c r="I1276" s="83" t="n"/>
      <c r="J1276" s="83" t="n"/>
      <c r="K1276" s="82">
        <f>IF(OR(Pay!$AD43="",Pay!$AD43=0),"",Pay!$K43)</f>
        <v/>
      </c>
      <c r="L1276" s="82">
        <f>IF(OR(Pay!$AD43="",Pay!$AD43=0),"",Pay!$AE43)</f>
        <v/>
      </c>
      <c r="M1276" s="82" t="n"/>
      <c r="N1276" s="81">
        <f>IF(OR(Pay!$AD43="",Pay!$AD43=0),"",Pay!$D43&amp;" — "&amp;Pay!$E43)</f>
        <v/>
      </c>
      <c r="O1276" s="81">
        <f>IF(OR(Pay!$AD43="",Pay!$AD43=0),"",IFERROR(VLOOKUP(Pay!$AD43,AcctTbl,3,0),""))</f>
        <v/>
      </c>
      <c r="P1276" s="82">
        <f>IF(Pay!$AD43&lt;&gt;"X011","",IF(Pay!$I43="","",Pay!$I43))</f>
        <v/>
      </c>
    </row>
    <row r="1277" ht="20.25" customHeight="1">
      <c r="A1277" s="80">
        <f>IF(OR(Pay!$AF43="",Pay!$AF43=0),"",Pay!$B43)</f>
        <v/>
      </c>
      <c r="B1277" s="80">
        <f>IF(OR(Pay!$AF43="",Pay!$AF43=0),"",Pay!$C43)</f>
        <v/>
      </c>
      <c r="C1277" s="80">
        <f>IF(OR(Pay!$AF43="",Pay!$AF43=0),"","پرداخت")</f>
        <v/>
      </c>
      <c r="D1277" s="80">
        <f>IF(OR(Pay!$AF43="",Pay!$AF43=0),"",Pay!$AF43)</f>
        <v/>
      </c>
      <c r="E1277" s="81">
        <f>IF(OR(Pay!$AF43="",Pay!$AF43=0),"",Pay!$P43)</f>
        <v/>
      </c>
      <c r="F1277" s="83" t="n"/>
      <c r="G1277" s="83" t="n"/>
      <c r="H1277" s="83" t="n"/>
      <c r="I1277" s="83" t="n"/>
      <c r="J1277" s="83" t="n"/>
      <c r="K1277" s="82">
        <f>IF(OR(Pay!$AF43="",Pay!$AF43=0),"",Pay!$K43)</f>
        <v/>
      </c>
      <c r="L1277" s="82" t="n"/>
      <c r="M1277" s="82">
        <f>IF(OR(Pay!$AF43="",Pay!$AF43=0),"",Pay!$AG43)</f>
        <v/>
      </c>
      <c r="N1277" s="81">
        <f>IF(OR(Pay!$AF43="",Pay!$AF43=0),"",Pay!$D43&amp;" — "&amp;Pay!$E43)</f>
        <v/>
      </c>
      <c r="O1277" s="81">
        <f>IF(OR(Pay!$AF43="",Pay!$AF43=0),"",IFERROR(VLOOKUP(Pay!$AF43,AcctTbl,3,0),""))</f>
        <v/>
      </c>
      <c r="P1277" s="82">
        <f>IF(Pay!$AF43&lt;&gt;"X011","",IF(Pay!$I43="","",Pay!$I43))</f>
        <v/>
      </c>
    </row>
    <row r="1278" ht="20.25" customHeight="1">
      <c r="A1278" s="80">
        <f>IF(OR(Pay!$AD44="",Pay!$AD44=0),"",Pay!$B44)</f>
        <v/>
      </c>
      <c r="B1278" s="80">
        <f>IF(OR(Pay!$AD44="",Pay!$AD44=0),"",Pay!$C44)</f>
        <v/>
      </c>
      <c r="C1278" s="80">
        <f>IF(OR(Pay!$AD44="",Pay!$AD44=0),"","پرداخت")</f>
        <v/>
      </c>
      <c r="D1278" s="80">
        <f>IF(OR(Pay!$AD44="",Pay!$AD44=0),"",Pay!$AD44)</f>
        <v/>
      </c>
      <c r="E1278" s="81">
        <f>IF(OR(Pay!$AD44="",Pay!$AD44=0),"",Pay!$P44)</f>
        <v/>
      </c>
      <c r="F1278" s="83" t="n"/>
      <c r="G1278" s="83" t="n"/>
      <c r="H1278" s="83" t="n"/>
      <c r="I1278" s="83" t="n"/>
      <c r="J1278" s="83" t="n"/>
      <c r="K1278" s="82">
        <f>IF(OR(Pay!$AD44="",Pay!$AD44=0),"",Pay!$K44)</f>
        <v/>
      </c>
      <c r="L1278" s="82">
        <f>IF(OR(Pay!$AD44="",Pay!$AD44=0),"",Pay!$AE44)</f>
        <v/>
      </c>
      <c r="M1278" s="82" t="n"/>
      <c r="N1278" s="81">
        <f>IF(OR(Pay!$AD44="",Pay!$AD44=0),"",Pay!$D44&amp;" — "&amp;Pay!$E44)</f>
        <v/>
      </c>
      <c r="O1278" s="81">
        <f>IF(OR(Pay!$AD44="",Pay!$AD44=0),"",IFERROR(VLOOKUP(Pay!$AD44,AcctTbl,3,0),""))</f>
        <v/>
      </c>
      <c r="P1278" s="82">
        <f>IF(Pay!$AD44&lt;&gt;"X011","",IF(Pay!$I44="","",Pay!$I44))</f>
        <v/>
      </c>
    </row>
    <row r="1279" ht="20.25" customHeight="1">
      <c r="A1279" s="80">
        <f>IF(OR(Pay!$AF44="",Pay!$AF44=0),"",Pay!$B44)</f>
        <v/>
      </c>
      <c r="B1279" s="80">
        <f>IF(OR(Pay!$AF44="",Pay!$AF44=0),"",Pay!$C44)</f>
        <v/>
      </c>
      <c r="C1279" s="80">
        <f>IF(OR(Pay!$AF44="",Pay!$AF44=0),"","پرداخت")</f>
        <v/>
      </c>
      <c r="D1279" s="80">
        <f>IF(OR(Pay!$AF44="",Pay!$AF44=0),"",Pay!$AF44)</f>
        <v/>
      </c>
      <c r="E1279" s="81">
        <f>IF(OR(Pay!$AF44="",Pay!$AF44=0),"",Pay!$P44)</f>
        <v/>
      </c>
      <c r="F1279" s="83" t="n"/>
      <c r="G1279" s="83" t="n"/>
      <c r="H1279" s="83" t="n"/>
      <c r="I1279" s="83" t="n"/>
      <c r="J1279" s="83" t="n"/>
      <c r="K1279" s="82">
        <f>IF(OR(Pay!$AF44="",Pay!$AF44=0),"",Pay!$K44)</f>
        <v/>
      </c>
      <c r="L1279" s="82" t="n"/>
      <c r="M1279" s="82">
        <f>IF(OR(Pay!$AF44="",Pay!$AF44=0),"",Pay!$AG44)</f>
        <v/>
      </c>
      <c r="N1279" s="81">
        <f>IF(OR(Pay!$AF44="",Pay!$AF44=0),"",Pay!$D44&amp;" — "&amp;Pay!$E44)</f>
        <v/>
      </c>
      <c r="O1279" s="81">
        <f>IF(OR(Pay!$AF44="",Pay!$AF44=0),"",IFERROR(VLOOKUP(Pay!$AF44,AcctTbl,3,0),""))</f>
        <v/>
      </c>
      <c r="P1279" s="82">
        <f>IF(Pay!$AF44&lt;&gt;"X011","",IF(Pay!$I44="","",Pay!$I44))</f>
        <v/>
      </c>
    </row>
    <row r="1280" ht="20.25" customHeight="1">
      <c r="A1280" s="80">
        <f>IF(OR(Pay!$AD45="",Pay!$AD45=0),"",Pay!$B45)</f>
        <v/>
      </c>
      <c r="B1280" s="80">
        <f>IF(OR(Pay!$AD45="",Pay!$AD45=0),"",Pay!$C45)</f>
        <v/>
      </c>
      <c r="C1280" s="80">
        <f>IF(OR(Pay!$AD45="",Pay!$AD45=0),"","پرداخت")</f>
        <v/>
      </c>
      <c r="D1280" s="80">
        <f>IF(OR(Pay!$AD45="",Pay!$AD45=0),"",Pay!$AD45)</f>
        <v/>
      </c>
      <c r="E1280" s="81">
        <f>IF(OR(Pay!$AD45="",Pay!$AD45=0),"",Pay!$P45)</f>
        <v/>
      </c>
      <c r="F1280" s="83" t="n"/>
      <c r="G1280" s="83" t="n"/>
      <c r="H1280" s="83" t="n"/>
      <c r="I1280" s="83" t="n"/>
      <c r="J1280" s="83" t="n"/>
      <c r="K1280" s="82">
        <f>IF(OR(Pay!$AD45="",Pay!$AD45=0),"",Pay!$K45)</f>
        <v/>
      </c>
      <c r="L1280" s="82">
        <f>IF(OR(Pay!$AD45="",Pay!$AD45=0),"",Pay!$AE45)</f>
        <v/>
      </c>
      <c r="M1280" s="82" t="n"/>
      <c r="N1280" s="81">
        <f>IF(OR(Pay!$AD45="",Pay!$AD45=0),"",Pay!$D45&amp;" — "&amp;Pay!$E45)</f>
        <v/>
      </c>
      <c r="O1280" s="81">
        <f>IF(OR(Pay!$AD45="",Pay!$AD45=0),"",IFERROR(VLOOKUP(Pay!$AD45,AcctTbl,3,0),""))</f>
        <v/>
      </c>
      <c r="P1280" s="82">
        <f>IF(Pay!$AD45&lt;&gt;"X011","",IF(Pay!$I45="","",Pay!$I45))</f>
        <v/>
      </c>
    </row>
    <row r="1281" ht="20.25" customHeight="1">
      <c r="A1281" s="80">
        <f>IF(OR(Pay!$AF45="",Pay!$AF45=0),"",Pay!$B45)</f>
        <v/>
      </c>
      <c r="B1281" s="80">
        <f>IF(OR(Pay!$AF45="",Pay!$AF45=0),"",Pay!$C45)</f>
        <v/>
      </c>
      <c r="C1281" s="80">
        <f>IF(OR(Pay!$AF45="",Pay!$AF45=0),"","پرداخت")</f>
        <v/>
      </c>
      <c r="D1281" s="80">
        <f>IF(OR(Pay!$AF45="",Pay!$AF45=0),"",Pay!$AF45)</f>
        <v/>
      </c>
      <c r="E1281" s="81">
        <f>IF(OR(Pay!$AF45="",Pay!$AF45=0),"",Pay!$P45)</f>
        <v/>
      </c>
      <c r="F1281" s="83" t="n"/>
      <c r="G1281" s="83" t="n"/>
      <c r="H1281" s="83" t="n"/>
      <c r="I1281" s="83" t="n"/>
      <c r="J1281" s="83" t="n"/>
      <c r="K1281" s="82">
        <f>IF(OR(Pay!$AF45="",Pay!$AF45=0),"",Pay!$K45)</f>
        <v/>
      </c>
      <c r="L1281" s="82" t="n"/>
      <c r="M1281" s="82">
        <f>IF(OR(Pay!$AF45="",Pay!$AF45=0),"",Pay!$AG45)</f>
        <v/>
      </c>
      <c r="N1281" s="81">
        <f>IF(OR(Pay!$AF45="",Pay!$AF45=0),"",Pay!$D45&amp;" — "&amp;Pay!$E45)</f>
        <v/>
      </c>
      <c r="O1281" s="81">
        <f>IF(OR(Pay!$AF45="",Pay!$AF45=0),"",IFERROR(VLOOKUP(Pay!$AF45,AcctTbl,3,0),""))</f>
        <v/>
      </c>
      <c r="P1281" s="82">
        <f>IF(Pay!$AF45&lt;&gt;"X011","",IF(Pay!$I45="","",Pay!$I45))</f>
        <v/>
      </c>
    </row>
    <row r="1282" ht="20.25" customHeight="1">
      <c r="A1282" s="80">
        <f>IF(OR(Pay!$AD46="",Pay!$AD46=0),"",Pay!$B46)</f>
        <v/>
      </c>
      <c r="B1282" s="80">
        <f>IF(OR(Pay!$AD46="",Pay!$AD46=0),"",Pay!$C46)</f>
        <v/>
      </c>
      <c r="C1282" s="80">
        <f>IF(OR(Pay!$AD46="",Pay!$AD46=0),"","پرداخت")</f>
        <v/>
      </c>
      <c r="D1282" s="80">
        <f>IF(OR(Pay!$AD46="",Pay!$AD46=0),"",Pay!$AD46)</f>
        <v/>
      </c>
      <c r="E1282" s="81">
        <f>IF(OR(Pay!$AD46="",Pay!$AD46=0),"",Pay!$P46)</f>
        <v/>
      </c>
      <c r="F1282" s="83" t="n"/>
      <c r="G1282" s="83" t="n"/>
      <c r="H1282" s="83" t="n"/>
      <c r="I1282" s="83" t="n"/>
      <c r="J1282" s="83" t="n"/>
      <c r="K1282" s="82">
        <f>IF(OR(Pay!$AD46="",Pay!$AD46=0),"",Pay!$K46)</f>
        <v/>
      </c>
      <c r="L1282" s="82">
        <f>IF(OR(Pay!$AD46="",Pay!$AD46=0),"",Pay!$AE46)</f>
        <v/>
      </c>
      <c r="M1282" s="82" t="n"/>
      <c r="N1282" s="81">
        <f>IF(OR(Pay!$AD46="",Pay!$AD46=0),"",Pay!$D46&amp;" — "&amp;Pay!$E46)</f>
        <v/>
      </c>
      <c r="O1282" s="81">
        <f>IF(OR(Pay!$AD46="",Pay!$AD46=0),"",IFERROR(VLOOKUP(Pay!$AD46,AcctTbl,3,0),""))</f>
        <v/>
      </c>
      <c r="P1282" s="82">
        <f>IF(Pay!$AD46&lt;&gt;"X011","",IF(Pay!$I46="","",Pay!$I46))</f>
        <v/>
      </c>
    </row>
    <row r="1283" ht="20.25" customHeight="1">
      <c r="A1283" s="80">
        <f>IF(OR(Pay!$AF46="",Pay!$AF46=0),"",Pay!$B46)</f>
        <v/>
      </c>
      <c r="B1283" s="80">
        <f>IF(OR(Pay!$AF46="",Pay!$AF46=0),"",Pay!$C46)</f>
        <v/>
      </c>
      <c r="C1283" s="80">
        <f>IF(OR(Pay!$AF46="",Pay!$AF46=0),"","پرداخت")</f>
        <v/>
      </c>
      <c r="D1283" s="80">
        <f>IF(OR(Pay!$AF46="",Pay!$AF46=0),"",Pay!$AF46)</f>
        <v/>
      </c>
      <c r="E1283" s="81">
        <f>IF(OR(Pay!$AF46="",Pay!$AF46=0),"",Pay!$P46)</f>
        <v/>
      </c>
      <c r="F1283" s="83" t="n"/>
      <c r="G1283" s="83" t="n"/>
      <c r="H1283" s="83" t="n"/>
      <c r="I1283" s="83" t="n"/>
      <c r="J1283" s="83" t="n"/>
      <c r="K1283" s="82">
        <f>IF(OR(Pay!$AF46="",Pay!$AF46=0),"",Pay!$K46)</f>
        <v/>
      </c>
      <c r="L1283" s="82" t="n"/>
      <c r="M1283" s="82">
        <f>IF(OR(Pay!$AF46="",Pay!$AF46=0),"",Pay!$AG46)</f>
        <v/>
      </c>
      <c r="N1283" s="81">
        <f>IF(OR(Pay!$AF46="",Pay!$AF46=0),"",Pay!$D46&amp;" — "&amp;Pay!$E46)</f>
        <v/>
      </c>
      <c r="O1283" s="81">
        <f>IF(OR(Pay!$AF46="",Pay!$AF46=0),"",IFERROR(VLOOKUP(Pay!$AF46,AcctTbl,3,0),""))</f>
        <v/>
      </c>
      <c r="P1283" s="82">
        <f>IF(Pay!$AF46&lt;&gt;"X011","",IF(Pay!$I46="","",Pay!$I46))</f>
        <v/>
      </c>
    </row>
    <row r="1284" ht="20.25" customHeight="1">
      <c r="A1284" s="80">
        <f>IF(OR(Pay!$AD47="",Pay!$AD47=0),"",Pay!$B47)</f>
        <v/>
      </c>
      <c r="B1284" s="80">
        <f>IF(OR(Pay!$AD47="",Pay!$AD47=0),"",Pay!$C47)</f>
        <v/>
      </c>
      <c r="C1284" s="80">
        <f>IF(OR(Pay!$AD47="",Pay!$AD47=0),"","پرداخت")</f>
        <v/>
      </c>
      <c r="D1284" s="80">
        <f>IF(OR(Pay!$AD47="",Pay!$AD47=0),"",Pay!$AD47)</f>
        <v/>
      </c>
      <c r="E1284" s="81">
        <f>IF(OR(Pay!$AD47="",Pay!$AD47=0),"",Pay!$P47)</f>
        <v/>
      </c>
      <c r="F1284" s="83" t="n"/>
      <c r="G1284" s="83" t="n"/>
      <c r="H1284" s="83" t="n"/>
      <c r="I1284" s="83" t="n"/>
      <c r="J1284" s="83" t="n"/>
      <c r="K1284" s="82">
        <f>IF(OR(Pay!$AD47="",Pay!$AD47=0),"",Pay!$K47)</f>
        <v/>
      </c>
      <c r="L1284" s="82">
        <f>IF(OR(Pay!$AD47="",Pay!$AD47=0),"",Pay!$AE47)</f>
        <v/>
      </c>
      <c r="M1284" s="82" t="n"/>
      <c r="N1284" s="81">
        <f>IF(OR(Pay!$AD47="",Pay!$AD47=0),"",Pay!$D47&amp;" — "&amp;Pay!$E47)</f>
        <v/>
      </c>
      <c r="O1284" s="81">
        <f>IF(OR(Pay!$AD47="",Pay!$AD47=0),"",IFERROR(VLOOKUP(Pay!$AD47,AcctTbl,3,0),""))</f>
        <v/>
      </c>
      <c r="P1284" s="82">
        <f>IF(Pay!$AD47&lt;&gt;"X011","",IF(Pay!$I47="","",Pay!$I47))</f>
        <v/>
      </c>
    </row>
    <row r="1285" ht="20.25" customHeight="1">
      <c r="A1285" s="80">
        <f>IF(OR(Pay!$AF47="",Pay!$AF47=0),"",Pay!$B47)</f>
        <v/>
      </c>
      <c r="B1285" s="80">
        <f>IF(OR(Pay!$AF47="",Pay!$AF47=0),"",Pay!$C47)</f>
        <v/>
      </c>
      <c r="C1285" s="80">
        <f>IF(OR(Pay!$AF47="",Pay!$AF47=0),"","پرداخت")</f>
        <v/>
      </c>
      <c r="D1285" s="80">
        <f>IF(OR(Pay!$AF47="",Pay!$AF47=0),"",Pay!$AF47)</f>
        <v/>
      </c>
      <c r="E1285" s="81">
        <f>IF(OR(Pay!$AF47="",Pay!$AF47=0),"",Pay!$P47)</f>
        <v/>
      </c>
      <c r="F1285" s="83" t="n"/>
      <c r="G1285" s="83" t="n"/>
      <c r="H1285" s="83" t="n"/>
      <c r="I1285" s="83" t="n"/>
      <c r="J1285" s="83" t="n"/>
      <c r="K1285" s="82">
        <f>IF(OR(Pay!$AF47="",Pay!$AF47=0),"",Pay!$K47)</f>
        <v/>
      </c>
      <c r="L1285" s="82" t="n"/>
      <c r="M1285" s="82">
        <f>IF(OR(Pay!$AF47="",Pay!$AF47=0),"",Pay!$AG47)</f>
        <v/>
      </c>
      <c r="N1285" s="81">
        <f>IF(OR(Pay!$AF47="",Pay!$AF47=0),"",Pay!$D47&amp;" — "&amp;Pay!$E47)</f>
        <v/>
      </c>
      <c r="O1285" s="81">
        <f>IF(OR(Pay!$AF47="",Pay!$AF47=0),"",IFERROR(VLOOKUP(Pay!$AF47,AcctTbl,3,0),""))</f>
        <v/>
      </c>
      <c r="P1285" s="82">
        <f>IF(Pay!$AF47&lt;&gt;"X011","",IF(Pay!$I47="","",Pay!$I47))</f>
        <v/>
      </c>
    </row>
    <row r="1286" ht="20.25" customHeight="1">
      <c r="A1286" s="80">
        <f>IF(OR(Pay!$AD48="",Pay!$AD48=0),"",Pay!$B48)</f>
        <v/>
      </c>
      <c r="B1286" s="80">
        <f>IF(OR(Pay!$AD48="",Pay!$AD48=0),"",Pay!$C48)</f>
        <v/>
      </c>
      <c r="C1286" s="80">
        <f>IF(OR(Pay!$AD48="",Pay!$AD48=0),"","پرداخت")</f>
        <v/>
      </c>
      <c r="D1286" s="80">
        <f>IF(OR(Pay!$AD48="",Pay!$AD48=0),"",Pay!$AD48)</f>
        <v/>
      </c>
      <c r="E1286" s="81">
        <f>IF(OR(Pay!$AD48="",Pay!$AD48=0),"",Pay!$P48)</f>
        <v/>
      </c>
      <c r="F1286" s="83" t="n"/>
      <c r="G1286" s="83" t="n"/>
      <c r="H1286" s="83" t="n"/>
      <c r="I1286" s="83" t="n"/>
      <c r="J1286" s="83" t="n"/>
      <c r="K1286" s="82">
        <f>IF(OR(Pay!$AD48="",Pay!$AD48=0),"",Pay!$K48)</f>
        <v/>
      </c>
      <c r="L1286" s="82">
        <f>IF(OR(Pay!$AD48="",Pay!$AD48=0),"",Pay!$AE48)</f>
        <v/>
      </c>
      <c r="M1286" s="82" t="n"/>
      <c r="N1286" s="81">
        <f>IF(OR(Pay!$AD48="",Pay!$AD48=0),"",Pay!$D48&amp;" — "&amp;Pay!$E48)</f>
        <v/>
      </c>
      <c r="O1286" s="81">
        <f>IF(OR(Pay!$AD48="",Pay!$AD48=0),"",IFERROR(VLOOKUP(Pay!$AD48,AcctTbl,3,0),""))</f>
        <v/>
      </c>
      <c r="P1286" s="82">
        <f>IF(Pay!$AD48&lt;&gt;"X011","",IF(Pay!$I48="","",Pay!$I48))</f>
        <v/>
      </c>
    </row>
    <row r="1287" ht="20.25" customHeight="1">
      <c r="A1287" s="80">
        <f>IF(OR(Pay!$AF48="",Pay!$AF48=0),"",Pay!$B48)</f>
        <v/>
      </c>
      <c r="B1287" s="80">
        <f>IF(OR(Pay!$AF48="",Pay!$AF48=0),"",Pay!$C48)</f>
        <v/>
      </c>
      <c r="C1287" s="80">
        <f>IF(OR(Pay!$AF48="",Pay!$AF48=0),"","پرداخت")</f>
        <v/>
      </c>
      <c r="D1287" s="80">
        <f>IF(OR(Pay!$AF48="",Pay!$AF48=0),"",Pay!$AF48)</f>
        <v/>
      </c>
      <c r="E1287" s="81">
        <f>IF(OR(Pay!$AF48="",Pay!$AF48=0),"",Pay!$P48)</f>
        <v/>
      </c>
      <c r="F1287" s="83" t="n"/>
      <c r="G1287" s="83" t="n"/>
      <c r="H1287" s="83" t="n"/>
      <c r="I1287" s="83" t="n"/>
      <c r="J1287" s="83" t="n"/>
      <c r="K1287" s="82">
        <f>IF(OR(Pay!$AF48="",Pay!$AF48=0),"",Pay!$K48)</f>
        <v/>
      </c>
      <c r="L1287" s="82" t="n"/>
      <c r="M1287" s="82">
        <f>IF(OR(Pay!$AF48="",Pay!$AF48=0),"",Pay!$AG48)</f>
        <v/>
      </c>
      <c r="N1287" s="81">
        <f>IF(OR(Pay!$AF48="",Pay!$AF48=0),"",Pay!$D48&amp;" — "&amp;Pay!$E48)</f>
        <v/>
      </c>
      <c r="O1287" s="81">
        <f>IF(OR(Pay!$AF48="",Pay!$AF48=0),"",IFERROR(VLOOKUP(Pay!$AF48,AcctTbl,3,0),""))</f>
        <v/>
      </c>
      <c r="P1287" s="82">
        <f>IF(Pay!$AF48&lt;&gt;"X011","",IF(Pay!$I48="","",Pay!$I48))</f>
        <v/>
      </c>
    </row>
    <row r="1288" ht="20.25" customHeight="1">
      <c r="A1288" s="80">
        <f>IF(OR(Pay!$AD49="",Pay!$AD49=0),"",Pay!$B49)</f>
        <v/>
      </c>
      <c r="B1288" s="80">
        <f>IF(OR(Pay!$AD49="",Pay!$AD49=0),"",Pay!$C49)</f>
        <v/>
      </c>
      <c r="C1288" s="80">
        <f>IF(OR(Pay!$AD49="",Pay!$AD49=0),"","پرداخت")</f>
        <v/>
      </c>
      <c r="D1288" s="80">
        <f>IF(OR(Pay!$AD49="",Pay!$AD49=0),"",Pay!$AD49)</f>
        <v/>
      </c>
      <c r="E1288" s="81">
        <f>IF(OR(Pay!$AD49="",Pay!$AD49=0),"",Pay!$P49)</f>
        <v/>
      </c>
      <c r="F1288" s="83" t="n"/>
      <c r="G1288" s="83" t="n"/>
      <c r="H1288" s="83" t="n"/>
      <c r="I1288" s="83" t="n"/>
      <c r="J1288" s="83" t="n"/>
      <c r="K1288" s="82">
        <f>IF(OR(Pay!$AD49="",Pay!$AD49=0),"",Pay!$K49)</f>
        <v/>
      </c>
      <c r="L1288" s="82">
        <f>IF(OR(Pay!$AD49="",Pay!$AD49=0),"",Pay!$AE49)</f>
        <v/>
      </c>
      <c r="M1288" s="82" t="n"/>
      <c r="N1288" s="81">
        <f>IF(OR(Pay!$AD49="",Pay!$AD49=0),"",Pay!$D49&amp;" — "&amp;Pay!$E49)</f>
        <v/>
      </c>
      <c r="O1288" s="81">
        <f>IF(OR(Pay!$AD49="",Pay!$AD49=0),"",IFERROR(VLOOKUP(Pay!$AD49,AcctTbl,3,0),""))</f>
        <v/>
      </c>
      <c r="P1288" s="82">
        <f>IF(Pay!$AD49&lt;&gt;"X011","",IF(Pay!$I49="","",Pay!$I49))</f>
        <v/>
      </c>
    </row>
    <row r="1289" ht="20.25" customHeight="1">
      <c r="A1289" s="80">
        <f>IF(OR(Pay!$AF49="",Pay!$AF49=0),"",Pay!$B49)</f>
        <v/>
      </c>
      <c r="B1289" s="80">
        <f>IF(OR(Pay!$AF49="",Pay!$AF49=0),"",Pay!$C49)</f>
        <v/>
      </c>
      <c r="C1289" s="80">
        <f>IF(OR(Pay!$AF49="",Pay!$AF49=0),"","پرداخت")</f>
        <v/>
      </c>
      <c r="D1289" s="80">
        <f>IF(OR(Pay!$AF49="",Pay!$AF49=0),"",Pay!$AF49)</f>
        <v/>
      </c>
      <c r="E1289" s="81">
        <f>IF(OR(Pay!$AF49="",Pay!$AF49=0),"",Pay!$P49)</f>
        <v/>
      </c>
      <c r="F1289" s="83" t="n"/>
      <c r="G1289" s="83" t="n"/>
      <c r="H1289" s="83" t="n"/>
      <c r="I1289" s="83" t="n"/>
      <c r="J1289" s="83" t="n"/>
      <c r="K1289" s="82">
        <f>IF(OR(Pay!$AF49="",Pay!$AF49=0),"",Pay!$K49)</f>
        <v/>
      </c>
      <c r="L1289" s="82" t="n"/>
      <c r="M1289" s="82">
        <f>IF(OR(Pay!$AF49="",Pay!$AF49=0),"",Pay!$AG49)</f>
        <v/>
      </c>
      <c r="N1289" s="81">
        <f>IF(OR(Pay!$AF49="",Pay!$AF49=0),"",Pay!$D49&amp;" — "&amp;Pay!$E49)</f>
        <v/>
      </c>
      <c r="O1289" s="81">
        <f>IF(OR(Pay!$AF49="",Pay!$AF49=0),"",IFERROR(VLOOKUP(Pay!$AF49,AcctTbl,3,0),""))</f>
        <v/>
      </c>
      <c r="P1289" s="82">
        <f>IF(Pay!$AF49&lt;&gt;"X011","",IF(Pay!$I49="","",Pay!$I49))</f>
        <v/>
      </c>
    </row>
    <row r="1290" ht="20.25" customHeight="1">
      <c r="A1290" s="80">
        <f>IF(OR(Pay!$AD50="",Pay!$AD50=0),"",Pay!$B50)</f>
        <v/>
      </c>
      <c r="B1290" s="80">
        <f>IF(OR(Pay!$AD50="",Pay!$AD50=0),"",Pay!$C50)</f>
        <v/>
      </c>
      <c r="C1290" s="80">
        <f>IF(OR(Pay!$AD50="",Pay!$AD50=0),"","پرداخت")</f>
        <v/>
      </c>
      <c r="D1290" s="80">
        <f>IF(OR(Pay!$AD50="",Pay!$AD50=0),"",Pay!$AD50)</f>
        <v/>
      </c>
      <c r="E1290" s="81">
        <f>IF(OR(Pay!$AD50="",Pay!$AD50=0),"",Pay!$P50)</f>
        <v/>
      </c>
      <c r="F1290" s="83" t="n"/>
      <c r="G1290" s="83" t="n"/>
      <c r="H1290" s="83" t="n"/>
      <c r="I1290" s="83" t="n"/>
      <c r="J1290" s="83" t="n"/>
      <c r="K1290" s="82">
        <f>IF(OR(Pay!$AD50="",Pay!$AD50=0),"",Pay!$K50)</f>
        <v/>
      </c>
      <c r="L1290" s="82">
        <f>IF(OR(Pay!$AD50="",Pay!$AD50=0),"",Pay!$AE50)</f>
        <v/>
      </c>
      <c r="M1290" s="82" t="n"/>
      <c r="N1290" s="81">
        <f>IF(OR(Pay!$AD50="",Pay!$AD50=0),"",Pay!$D50&amp;" — "&amp;Pay!$E50)</f>
        <v/>
      </c>
      <c r="O1290" s="81">
        <f>IF(OR(Pay!$AD50="",Pay!$AD50=0),"",IFERROR(VLOOKUP(Pay!$AD50,AcctTbl,3,0),""))</f>
        <v/>
      </c>
      <c r="P1290" s="82">
        <f>IF(Pay!$AD50&lt;&gt;"X011","",IF(Pay!$I50="","",Pay!$I50))</f>
        <v/>
      </c>
    </row>
    <row r="1291" ht="20.25" customHeight="1">
      <c r="A1291" s="80">
        <f>IF(OR(Pay!$AF50="",Pay!$AF50=0),"",Pay!$B50)</f>
        <v/>
      </c>
      <c r="B1291" s="80">
        <f>IF(OR(Pay!$AF50="",Pay!$AF50=0),"",Pay!$C50)</f>
        <v/>
      </c>
      <c r="C1291" s="80">
        <f>IF(OR(Pay!$AF50="",Pay!$AF50=0),"","پرداخت")</f>
        <v/>
      </c>
      <c r="D1291" s="80">
        <f>IF(OR(Pay!$AF50="",Pay!$AF50=0),"",Pay!$AF50)</f>
        <v/>
      </c>
      <c r="E1291" s="81">
        <f>IF(OR(Pay!$AF50="",Pay!$AF50=0),"",Pay!$P50)</f>
        <v/>
      </c>
      <c r="F1291" s="83" t="n"/>
      <c r="G1291" s="83" t="n"/>
      <c r="H1291" s="83" t="n"/>
      <c r="I1291" s="83" t="n"/>
      <c r="J1291" s="83" t="n"/>
      <c r="K1291" s="82">
        <f>IF(OR(Pay!$AF50="",Pay!$AF50=0),"",Pay!$K50)</f>
        <v/>
      </c>
      <c r="L1291" s="82" t="n"/>
      <c r="M1291" s="82">
        <f>IF(OR(Pay!$AF50="",Pay!$AF50=0),"",Pay!$AG50)</f>
        <v/>
      </c>
      <c r="N1291" s="81">
        <f>IF(OR(Pay!$AF50="",Pay!$AF50=0),"",Pay!$D50&amp;" — "&amp;Pay!$E50)</f>
        <v/>
      </c>
      <c r="O1291" s="81">
        <f>IF(OR(Pay!$AF50="",Pay!$AF50=0),"",IFERROR(VLOOKUP(Pay!$AF50,AcctTbl,3,0),""))</f>
        <v/>
      </c>
      <c r="P1291" s="82">
        <f>IF(Pay!$AF50&lt;&gt;"X011","",IF(Pay!$I50="","",Pay!$I50))</f>
        <v/>
      </c>
    </row>
    <row r="1292" ht="20.25" customHeight="1">
      <c r="A1292" s="80">
        <f>IF(OR(Pay!$AD51="",Pay!$AD51=0),"",Pay!$B51)</f>
        <v/>
      </c>
      <c r="B1292" s="80">
        <f>IF(OR(Pay!$AD51="",Pay!$AD51=0),"",Pay!$C51)</f>
        <v/>
      </c>
      <c r="C1292" s="80">
        <f>IF(OR(Pay!$AD51="",Pay!$AD51=0),"","پرداخت")</f>
        <v/>
      </c>
      <c r="D1292" s="80">
        <f>IF(OR(Pay!$AD51="",Pay!$AD51=0),"",Pay!$AD51)</f>
        <v/>
      </c>
      <c r="E1292" s="81">
        <f>IF(OR(Pay!$AD51="",Pay!$AD51=0),"",Pay!$P51)</f>
        <v/>
      </c>
      <c r="F1292" s="83" t="n"/>
      <c r="G1292" s="83" t="n"/>
      <c r="H1292" s="83" t="n"/>
      <c r="I1292" s="83" t="n"/>
      <c r="J1292" s="83" t="n"/>
      <c r="K1292" s="82">
        <f>IF(OR(Pay!$AD51="",Pay!$AD51=0),"",Pay!$K51)</f>
        <v/>
      </c>
      <c r="L1292" s="82">
        <f>IF(OR(Pay!$AD51="",Pay!$AD51=0),"",Pay!$AE51)</f>
        <v/>
      </c>
      <c r="M1292" s="82" t="n"/>
      <c r="N1292" s="81">
        <f>IF(OR(Pay!$AD51="",Pay!$AD51=0),"",Pay!$D51&amp;" — "&amp;Pay!$E51)</f>
        <v/>
      </c>
      <c r="O1292" s="81">
        <f>IF(OR(Pay!$AD51="",Pay!$AD51=0),"",IFERROR(VLOOKUP(Pay!$AD51,AcctTbl,3,0),""))</f>
        <v/>
      </c>
      <c r="P1292" s="82">
        <f>IF(Pay!$AD51&lt;&gt;"X011","",IF(Pay!$I51="","",Pay!$I51))</f>
        <v/>
      </c>
    </row>
    <row r="1293" ht="20.25" customHeight="1">
      <c r="A1293" s="80">
        <f>IF(OR(Pay!$AF51="",Pay!$AF51=0),"",Pay!$B51)</f>
        <v/>
      </c>
      <c r="B1293" s="80">
        <f>IF(OR(Pay!$AF51="",Pay!$AF51=0),"",Pay!$C51)</f>
        <v/>
      </c>
      <c r="C1293" s="80">
        <f>IF(OR(Pay!$AF51="",Pay!$AF51=0),"","پرداخت")</f>
        <v/>
      </c>
      <c r="D1293" s="80">
        <f>IF(OR(Pay!$AF51="",Pay!$AF51=0),"",Pay!$AF51)</f>
        <v/>
      </c>
      <c r="E1293" s="81">
        <f>IF(OR(Pay!$AF51="",Pay!$AF51=0),"",Pay!$P51)</f>
        <v/>
      </c>
      <c r="F1293" s="83" t="n"/>
      <c r="G1293" s="83" t="n"/>
      <c r="H1293" s="83" t="n"/>
      <c r="I1293" s="83" t="n"/>
      <c r="J1293" s="83" t="n"/>
      <c r="K1293" s="82">
        <f>IF(OR(Pay!$AF51="",Pay!$AF51=0),"",Pay!$K51)</f>
        <v/>
      </c>
      <c r="L1293" s="82" t="n"/>
      <c r="M1293" s="82">
        <f>IF(OR(Pay!$AF51="",Pay!$AF51=0),"",Pay!$AG51)</f>
        <v/>
      </c>
      <c r="N1293" s="81">
        <f>IF(OR(Pay!$AF51="",Pay!$AF51=0),"",Pay!$D51&amp;" — "&amp;Pay!$E51)</f>
        <v/>
      </c>
      <c r="O1293" s="81">
        <f>IF(OR(Pay!$AF51="",Pay!$AF51=0),"",IFERROR(VLOOKUP(Pay!$AF51,AcctTbl,3,0),""))</f>
        <v/>
      </c>
      <c r="P1293" s="82">
        <f>IF(Pay!$AF51&lt;&gt;"X011","",IF(Pay!$I51="","",Pay!$I51))</f>
        <v/>
      </c>
    </row>
    <row r="1294" ht="20.25" customHeight="1">
      <c r="A1294" s="80">
        <f>IF(OR(Pay!$AD52="",Pay!$AD52=0),"",Pay!$B52)</f>
        <v/>
      </c>
      <c r="B1294" s="80">
        <f>IF(OR(Pay!$AD52="",Pay!$AD52=0),"",Pay!$C52)</f>
        <v/>
      </c>
      <c r="C1294" s="80">
        <f>IF(OR(Pay!$AD52="",Pay!$AD52=0),"","پرداخت")</f>
        <v/>
      </c>
      <c r="D1294" s="80">
        <f>IF(OR(Pay!$AD52="",Pay!$AD52=0),"",Pay!$AD52)</f>
        <v/>
      </c>
      <c r="E1294" s="81">
        <f>IF(OR(Pay!$AD52="",Pay!$AD52=0),"",Pay!$P52)</f>
        <v/>
      </c>
      <c r="F1294" s="83" t="n"/>
      <c r="G1294" s="83" t="n"/>
      <c r="H1294" s="83" t="n"/>
      <c r="I1294" s="83" t="n"/>
      <c r="J1294" s="83" t="n"/>
      <c r="K1294" s="82">
        <f>IF(OR(Pay!$AD52="",Pay!$AD52=0),"",Pay!$K52)</f>
        <v/>
      </c>
      <c r="L1294" s="82">
        <f>IF(OR(Pay!$AD52="",Pay!$AD52=0),"",Pay!$AE52)</f>
        <v/>
      </c>
      <c r="M1294" s="82" t="n"/>
      <c r="N1294" s="81">
        <f>IF(OR(Pay!$AD52="",Pay!$AD52=0),"",Pay!$D52&amp;" — "&amp;Pay!$E52)</f>
        <v/>
      </c>
      <c r="O1294" s="81">
        <f>IF(OR(Pay!$AD52="",Pay!$AD52=0),"",IFERROR(VLOOKUP(Pay!$AD52,AcctTbl,3,0),""))</f>
        <v/>
      </c>
      <c r="P1294" s="82">
        <f>IF(Pay!$AD52&lt;&gt;"X011","",IF(Pay!$I52="","",Pay!$I52))</f>
        <v/>
      </c>
    </row>
    <row r="1295" ht="20.25" customHeight="1">
      <c r="A1295" s="80">
        <f>IF(OR(Pay!$AF52="",Pay!$AF52=0),"",Pay!$B52)</f>
        <v/>
      </c>
      <c r="B1295" s="80">
        <f>IF(OR(Pay!$AF52="",Pay!$AF52=0),"",Pay!$C52)</f>
        <v/>
      </c>
      <c r="C1295" s="80">
        <f>IF(OR(Pay!$AF52="",Pay!$AF52=0),"","پرداخت")</f>
        <v/>
      </c>
      <c r="D1295" s="80">
        <f>IF(OR(Pay!$AF52="",Pay!$AF52=0),"",Pay!$AF52)</f>
        <v/>
      </c>
      <c r="E1295" s="81">
        <f>IF(OR(Pay!$AF52="",Pay!$AF52=0),"",Pay!$P52)</f>
        <v/>
      </c>
      <c r="F1295" s="83" t="n"/>
      <c r="G1295" s="83" t="n"/>
      <c r="H1295" s="83" t="n"/>
      <c r="I1295" s="83" t="n"/>
      <c r="J1295" s="83" t="n"/>
      <c r="K1295" s="82">
        <f>IF(OR(Pay!$AF52="",Pay!$AF52=0),"",Pay!$K52)</f>
        <v/>
      </c>
      <c r="L1295" s="82" t="n"/>
      <c r="M1295" s="82">
        <f>IF(OR(Pay!$AF52="",Pay!$AF52=0),"",Pay!$AG52)</f>
        <v/>
      </c>
      <c r="N1295" s="81">
        <f>IF(OR(Pay!$AF52="",Pay!$AF52=0),"",Pay!$D52&amp;" — "&amp;Pay!$E52)</f>
        <v/>
      </c>
      <c r="O1295" s="81">
        <f>IF(OR(Pay!$AF52="",Pay!$AF52=0),"",IFERROR(VLOOKUP(Pay!$AF52,AcctTbl,3,0),""))</f>
        <v/>
      </c>
      <c r="P1295" s="82">
        <f>IF(Pay!$AF52&lt;&gt;"X011","",IF(Pay!$I52="","",Pay!$I52))</f>
        <v/>
      </c>
    </row>
    <row r="1296" ht="20.25" customHeight="1">
      <c r="A1296" s="80">
        <f>IF(OR(Pay!$AD53="",Pay!$AD53=0),"",Pay!$B53)</f>
        <v/>
      </c>
      <c r="B1296" s="80">
        <f>IF(OR(Pay!$AD53="",Pay!$AD53=0),"",Pay!$C53)</f>
        <v/>
      </c>
      <c r="C1296" s="80">
        <f>IF(OR(Pay!$AD53="",Pay!$AD53=0),"","پرداخت")</f>
        <v/>
      </c>
      <c r="D1296" s="80">
        <f>IF(OR(Pay!$AD53="",Pay!$AD53=0),"",Pay!$AD53)</f>
        <v/>
      </c>
      <c r="E1296" s="81">
        <f>IF(OR(Pay!$AD53="",Pay!$AD53=0),"",Pay!$P53)</f>
        <v/>
      </c>
      <c r="F1296" s="83" t="n"/>
      <c r="G1296" s="83" t="n"/>
      <c r="H1296" s="83" t="n"/>
      <c r="I1296" s="83" t="n"/>
      <c r="J1296" s="83" t="n"/>
      <c r="K1296" s="82">
        <f>IF(OR(Pay!$AD53="",Pay!$AD53=0),"",Pay!$K53)</f>
        <v/>
      </c>
      <c r="L1296" s="82">
        <f>IF(OR(Pay!$AD53="",Pay!$AD53=0),"",Pay!$AE53)</f>
        <v/>
      </c>
      <c r="M1296" s="82" t="n"/>
      <c r="N1296" s="81">
        <f>IF(OR(Pay!$AD53="",Pay!$AD53=0),"",Pay!$D53&amp;" — "&amp;Pay!$E53)</f>
        <v/>
      </c>
      <c r="O1296" s="81">
        <f>IF(OR(Pay!$AD53="",Pay!$AD53=0),"",IFERROR(VLOOKUP(Pay!$AD53,AcctTbl,3,0),""))</f>
        <v/>
      </c>
      <c r="P1296" s="82">
        <f>IF(Pay!$AD53&lt;&gt;"X011","",IF(Pay!$I53="","",Pay!$I53))</f>
        <v/>
      </c>
    </row>
    <row r="1297" ht="20.25" customHeight="1">
      <c r="A1297" s="80">
        <f>IF(OR(Pay!$AF53="",Pay!$AF53=0),"",Pay!$B53)</f>
        <v/>
      </c>
      <c r="B1297" s="80">
        <f>IF(OR(Pay!$AF53="",Pay!$AF53=0),"",Pay!$C53)</f>
        <v/>
      </c>
      <c r="C1297" s="80">
        <f>IF(OR(Pay!$AF53="",Pay!$AF53=0),"","پرداخت")</f>
        <v/>
      </c>
      <c r="D1297" s="80">
        <f>IF(OR(Pay!$AF53="",Pay!$AF53=0),"",Pay!$AF53)</f>
        <v/>
      </c>
      <c r="E1297" s="81">
        <f>IF(OR(Pay!$AF53="",Pay!$AF53=0),"",Pay!$P53)</f>
        <v/>
      </c>
      <c r="F1297" s="83" t="n"/>
      <c r="G1297" s="83" t="n"/>
      <c r="H1297" s="83" t="n"/>
      <c r="I1297" s="83" t="n"/>
      <c r="J1297" s="83" t="n"/>
      <c r="K1297" s="82">
        <f>IF(OR(Pay!$AF53="",Pay!$AF53=0),"",Pay!$K53)</f>
        <v/>
      </c>
      <c r="L1297" s="82" t="n"/>
      <c r="M1297" s="82">
        <f>IF(OR(Pay!$AF53="",Pay!$AF53=0),"",Pay!$AG53)</f>
        <v/>
      </c>
      <c r="N1297" s="81">
        <f>IF(OR(Pay!$AF53="",Pay!$AF53=0),"",Pay!$D53&amp;" — "&amp;Pay!$E53)</f>
        <v/>
      </c>
      <c r="O1297" s="81">
        <f>IF(OR(Pay!$AF53="",Pay!$AF53=0),"",IFERROR(VLOOKUP(Pay!$AF53,AcctTbl,3,0),""))</f>
        <v/>
      </c>
      <c r="P1297" s="82">
        <f>IF(Pay!$AF53&lt;&gt;"X011","",IF(Pay!$I53="","",Pay!$I53))</f>
        <v/>
      </c>
    </row>
    <row r="1298" ht="20.25" customHeight="1">
      <c r="A1298" s="80">
        <f>IF(OR(Pay!$AD54="",Pay!$AD54=0),"",Pay!$B54)</f>
        <v/>
      </c>
      <c r="B1298" s="80">
        <f>IF(OR(Pay!$AD54="",Pay!$AD54=0),"",Pay!$C54)</f>
        <v/>
      </c>
      <c r="C1298" s="80">
        <f>IF(OR(Pay!$AD54="",Pay!$AD54=0),"","پرداخت")</f>
        <v/>
      </c>
      <c r="D1298" s="80">
        <f>IF(OR(Pay!$AD54="",Pay!$AD54=0),"",Pay!$AD54)</f>
        <v/>
      </c>
      <c r="E1298" s="81">
        <f>IF(OR(Pay!$AD54="",Pay!$AD54=0),"",Pay!$P54)</f>
        <v/>
      </c>
      <c r="F1298" s="83" t="n"/>
      <c r="G1298" s="83" t="n"/>
      <c r="H1298" s="83" t="n"/>
      <c r="I1298" s="83" t="n"/>
      <c r="J1298" s="83" t="n"/>
      <c r="K1298" s="82">
        <f>IF(OR(Pay!$AD54="",Pay!$AD54=0),"",Pay!$K54)</f>
        <v/>
      </c>
      <c r="L1298" s="82">
        <f>IF(OR(Pay!$AD54="",Pay!$AD54=0),"",Pay!$AE54)</f>
        <v/>
      </c>
      <c r="M1298" s="82" t="n"/>
      <c r="N1298" s="81">
        <f>IF(OR(Pay!$AD54="",Pay!$AD54=0),"",Pay!$D54&amp;" — "&amp;Pay!$E54)</f>
        <v/>
      </c>
      <c r="O1298" s="81">
        <f>IF(OR(Pay!$AD54="",Pay!$AD54=0),"",IFERROR(VLOOKUP(Pay!$AD54,AcctTbl,3,0),""))</f>
        <v/>
      </c>
      <c r="P1298" s="82">
        <f>IF(Pay!$AD54&lt;&gt;"X011","",IF(Pay!$I54="","",Pay!$I54))</f>
        <v/>
      </c>
    </row>
    <row r="1299" ht="20.25" customHeight="1">
      <c r="A1299" s="80">
        <f>IF(OR(Pay!$AF54="",Pay!$AF54=0),"",Pay!$B54)</f>
        <v/>
      </c>
      <c r="B1299" s="80">
        <f>IF(OR(Pay!$AF54="",Pay!$AF54=0),"",Pay!$C54)</f>
        <v/>
      </c>
      <c r="C1299" s="80">
        <f>IF(OR(Pay!$AF54="",Pay!$AF54=0),"","پرداخت")</f>
        <v/>
      </c>
      <c r="D1299" s="80">
        <f>IF(OR(Pay!$AF54="",Pay!$AF54=0),"",Pay!$AF54)</f>
        <v/>
      </c>
      <c r="E1299" s="81">
        <f>IF(OR(Pay!$AF54="",Pay!$AF54=0),"",Pay!$P54)</f>
        <v/>
      </c>
      <c r="F1299" s="83" t="n"/>
      <c r="G1299" s="83" t="n"/>
      <c r="H1299" s="83" t="n"/>
      <c r="I1299" s="83" t="n"/>
      <c r="J1299" s="83" t="n"/>
      <c r="K1299" s="82">
        <f>IF(OR(Pay!$AF54="",Pay!$AF54=0),"",Pay!$K54)</f>
        <v/>
      </c>
      <c r="L1299" s="82" t="n"/>
      <c r="M1299" s="82">
        <f>IF(OR(Pay!$AF54="",Pay!$AF54=0),"",Pay!$AG54)</f>
        <v/>
      </c>
      <c r="N1299" s="81">
        <f>IF(OR(Pay!$AF54="",Pay!$AF54=0),"",Pay!$D54&amp;" — "&amp;Pay!$E54)</f>
        <v/>
      </c>
      <c r="O1299" s="81">
        <f>IF(OR(Pay!$AF54="",Pay!$AF54=0),"",IFERROR(VLOOKUP(Pay!$AF54,AcctTbl,3,0),""))</f>
        <v/>
      </c>
      <c r="P1299" s="82">
        <f>IF(Pay!$AF54&lt;&gt;"X011","",IF(Pay!$I54="","",Pay!$I54))</f>
        <v/>
      </c>
    </row>
    <row r="1300" ht="20.25" customHeight="1">
      <c r="A1300" s="80">
        <f>IF(OR(Pay!$AD55="",Pay!$AD55=0),"",Pay!$B55)</f>
        <v/>
      </c>
      <c r="B1300" s="80">
        <f>IF(OR(Pay!$AD55="",Pay!$AD55=0),"",Pay!$C55)</f>
        <v/>
      </c>
      <c r="C1300" s="80">
        <f>IF(OR(Pay!$AD55="",Pay!$AD55=0),"","پرداخت")</f>
        <v/>
      </c>
      <c r="D1300" s="80">
        <f>IF(OR(Pay!$AD55="",Pay!$AD55=0),"",Pay!$AD55)</f>
        <v/>
      </c>
      <c r="E1300" s="81">
        <f>IF(OR(Pay!$AD55="",Pay!$AD55=0),"",Pay!$P55)</f>
        <v/>
      </c>
      <c r="F1300" s="83" t="n"/>
      <c r="G1300" s="83" t="n"/>
      <c r="H1300" s="83" t="n"/>
      <c r="I1300" s="83" t="n"/>
      <c r="J1300" s="83" t="n"/>
      <c r="K1300" s="82">
        <f>IF(OR(Pay!$AD55="",Pay!$AD55=0),"",Pay!$K55)</f>
        <v/>
      </c>
      <c r="L1300" s="82">
        <f>IF(OR(Pay!$AD55="",Pay!$AD55=0),"",Pay!$AE55)</f>
        <v/>
      </c>
      <c r="M1300" s="82" t="n"/>
      <c r="N1300" s="81">
        <f>IF(OR(Pay!$AD55="",Pay!$AD55=0),"",Pay!$D55&amp;" — "&amp;Pay!$E55)</f>
        <v/>
      </c>
      <c r="O1300" s="81">
        <f>IF(OR(Pay!$AD55="",Pay!$AD55=0),"",IFERROR(VLOOKUP(Pay!$AD55,AcctTbl,3,0),""))</f>
        <v/>
      </c>
      <c r="P1300" s="82">
        <f>IF(Pay!$AD55&lt;&gt;"X011","",IF(Pay!$I55="","",Pay!$I55))</f>
        <v/>
      </c>
    </row>
    <row r="1301" ht="20.25" customHeight="1">
      <c r="A1301" s="80">
        <f>IF(OR(Pay!$AF55="",Pay!$AF55=0),"",Pay!$B55)</f>
        <v/>
      </c>
      <c r="B1301" s="80">
        <f>IF(OR(Pay!$AF55="",Pay!$AF55=0),"",Pay!$C55)</f>
        <v/>
      </c>
      <c r="C1301" s="80">
        <f>IF(OR(Pay!$AF55="",Pay!$AF55=0),"","پرداخت")</f>
        <v/>
      </c>
      <c r="D1301" s="80">
        <f>IF(OR(Pay!$AF55="",Pay!$AF55=0),"",Pay!$AF55)</f>
        <v/>
      </c>
      <c r="E1301" s="81">
        <f>IF(OR(Pay!$AF55="",Pay!$AF55=0),"",Pay!$P55)</f>
        <v/>
      </c>
      <c r="F1301" s="83" t="n"/>
      <c r="G1301" s="83" t="n"/>
      <c r="H1301" s="83" t="n"/>
      <c r="I1301" s="83" t="n"/>
      <c r="J1301" s="83" t="n"/>
      <c r="K1301" s="82">
        <f>IF(OR(Pay!$AF55="",Pay!$AF55=0),"",Pay!$K55)</f>
        <v/>
      </c>
      <c r="L1301" s="82" t="n"/>
      <c r="M1301" s="82">
        <f>IF(OR(Pay!$AF55="",Pay!$AF55=0),"",Pay!$AG55)</f>
        <v/>
      </c>
      <c r="N1301" s="81">
        <f>IF(OR(Pay!$AF55="",Pay!$AF55=0),"",Pay!$D55&amp;" — "&amp;Pay!$E55)</f>
        <v/>
      </c>
      <c r="O1301" s="81">
        <f>IF(OR(Pay!$AF55="",Pay!$AF55=0),"",IFERROR(VLOOKUP(Pay!$AF55,AcctTbl,3,0),""))</f>
        <v/>
      </c>
      <c r="P1301" s="82">
        <f>IF(Pay!$AF55&lt;&gt;"X011","",IF(Pay!$I55="","",Pay!$I55))</f>
        <v/>
      </c>
    </row>
    <row r="1302" ht="20.25" customHeight="1">
      <c r="A1302" s="80">
        <f>IF(OR(Pay!$AD56="",Pay!$AD56=0),"",Pay!$B56)</f>
        <v/>
      </c>
      <c r="B1302" s="80">
        <f>IF(OR(Pay!$AD56="",Pay!$AD56=0),"",Pay!$C56)</f>
        <v/>
      </c>
      <c r="C1302" s="80">
        <f>IF(OR(Pay!$AD56="",Pay!$AD56=0),"","پرداخت")</f>
        <v/>
      </c>
      <c r="D1302" s="80">
        <f>IF(OR(Pay!$AD56="",Pay!$AD56=0),"",Pay!$AD56)</f>
        <v/>
      </c>
      <c r="E1302" s="81">
        <f>IF(OR(Pay!$AD56="",Pay!$AD56=0),"",Pay!$P56)</f>
        <v/>
      </c>
      <c r="F1302" s="83" t="n"/>
      <c r="G1302" s="83" t="n"/>
      <c r="H1302" s="83" t="n"/>
      <c r="I1302" s="83" t="n"/>
      <c r="J1302" s="83" t="n"/>
      <c r="K1302" s="82">
        <f>IF(OR(Pay!$AD56="",Pay!$AD56=0),"",Pay!$K56)</f>
        <v/>
      </c>
      <c r="L1302" s="82">
        <f>IF(OR(Pay!$AD56="",Pay!$AD56=0),"",Pay!$AE56)</f>
        <v/>
      </c>
      <c r="M1302" s="82" t="n"/>
      <c r="N1302" s="81">
        <f>IF(OR(Pay!$AD56="",Pay!$AD56=0),"",Pay!$D56&amp;" — "&amp;Pay!$E56)</f>
        <v/>
      </c>
      <c r="O1302" s="81">
        <f>IF(OR(Pay!$AD56="",Pay!$AD56=0),"",IFERROR(VLOOKUP(Pay!$AD56,AcctTbl,3,0),""))</f>
        <v/>
      </c>
      <c r="P1302" s="82">
        <f>IF(Pay!$AD56&lt;&gt;"X011","",IF(Pay!$I56="","",Pay!$I56))</f>
        <v/>
      </c>
    </row>
    <row r="1303" ht="20.25" customHeight="1">
      <c r="A1303" s="80">
        <f>IF(OR(Pay!$AF56="",Pay!$AF56=0),"",Pay!$B56)</f>
        <v/>
      </c>
      <c r="B1303" s="80">
        <f>IF(OR(Pay!$AF56="",Pay!$AF56=0),"",Pay!$C56)</f>
        <v/>
      </c>
      <c r="C1303" s="80">
        <f>IF(OR(Pay!$AF56="",Pay!$AF56=0),"","پرداخت")</f>
        <v/>
      </c>
      <c r="D1303" s="80">
        <f>IF(OR(Pay!$AF56="",Pay!$AF56=0),"",Pay!$AF56)</f>
        <v/>
      </c>
      <c r="E1303" s="81">
        <f>IF(OR(Pay!$AF56="",Pay!$AF56=0),"",Pay!$P56)</f>
        <v/>
      </c>
      <c r="F1303" s="83" t="n"/>
      <c r="G1303" s="83" t="n"/>
      <c r="H1303" s="83" t="n"/>
      <c r="I1303" s="83" t="n"/>
      <c r="J1303" s="83" t="n"/>
      <c r="K1303" s="82">
        <f>IF(OR(Pay!$AF56="",Pay!$AF56=0),"",Pay!$K56)</f>
        <v/>
      </c>
      <c r="L1303" s="82" t="n"/>
      <c r="M1303" s="82">
        <f>IF(OR(Pay!$AF56="",Pay!$AF56=0),"",Pay!$AG56)</f>
        <v/>
      </c>
      <c r="N1303" s="81">
        <f>IF(OR(Pay!$AF56="",Pay!$AF56=0),"",Pay!$D56&amp;" — "&amp;Pay!$E56)</f>
        <v/>
      </c>
      <c r="O1303" s="81">
        <f>IF(OR(Pay!$AF56="",Pay!$AF56=0),"",IFERROR(VLOOKUP(Pay!$AF56,AcctTbl,3,0),""))</f>
        <v/>
      </c>
      <c r="P1303" s="82">
        <f>IF(Pay!$AF56&lt;&gt;"X011","",IF(Pay!$I56="","",Pay!$I56))</f>
        <v/>
      </c>
    </row>
    <row r="1304" ht="20.25" customHeight="1">
      <c r="A1304" s="80">
        <f>IF(OR(Pay!$AD57="",Pay!$AD57=0),"",Pay!$B57)</f>
        <v/>
      </c>
      <c r="B1304" s="80">
        <f>IF(OR(Pay!$AD57="",Pay!$AD57=0),"",Pay!$C57)</f>
        <v/>
      </c>
      <c r="C1304" s="80">
        <f>IF(OR(Pay!$AD57="",Pay!$AD57=0),"","پرداخت")</f>
        <v/>
      </c>
      <c r="D1304" s="80">
        <f>IF(OR(Pay!$AD57="",Pay!$AD57=0),"",Pay!$AD57)</f>
        <v/>
      </c>
      <c r="E1304" s="81">
        <f>IF(OR(Pay!$AD57="",Pay!$AD57=0),"",Pay!$P57)</f>
        <v/>
      </c>
      <c r="F1304" s="83" t="n"/>
      <c r="G1304" s="83" t="n"/>
      <c r="H1304" s="83" t="n"/>
      <c r="I1304" s="83" t="n"/>
      <c r="J1304" s="83" t="n"/>
      <c r="K1304" s="82">
        <f>IF(OR(Pay!$AD57="",Pay!$AD57=0),"",Pay!$K57)</f>
        <v/>
      </c>
      <c r="L1304" s="82">
        <f>IF(OR(Pay!$AD57="",Pay!$AD57=0),"",Pay!$AE57)</f>
        <v/>
      </c>
      <c r="M1304" s="82" t="n"/>
      <c r="N1304" s="81">
        <f>IF(OR(Pay!$AD57="",Pay!$AD57=0),"",Pay!$D57&amp;" — "&amp;Pay!$E57)</f>
        <v/>
      </c>
      <c r="O1304" s="81">
        <f>IF(OR(Pay!$AD57="",Pay!$AD57=0),"",IFERROR(VLOOKUP(Pay!$AD57,AcctTbl,3,0),""))</f>
        <v/>
      </c>
      <c r="P1304" s="82">
        <f>IF(Pay!$AD57&lt;&gt;"X011","",IF(Pay!$I57="","",Pay!$I57))</f>
        <v/>
      </c>
    </row>
    <row r="1305" ht="20.25" customHeight="1">
      <c r="A1305" s="80">
        <f>IF(OR(Pay!$AF57="",Pay!$AF57=0),"",Pay!$B57)</f>
        <v/>
      </c>
      <c r="B1305" s="80">
        <f>IF(OR(Pay!$AF57="",Pay!$AF57=0),"",Pay!$C57)</f>
        <v/>
      </c>
      <c r="C1305" s="80">
        <f>IF(OR(Pay!$AF57="",Pay!$AF57=0),"","پرداخت")</f>
        <v/>
      </c>
      <c r="D1305" s="80">
        <f>IF(OR(Pay!$AF57="",Pay!$AF57=0),"",Pay!$AF57)</f>
        <v/>
      </c>
      <c r="E1305" s="81">
        <f>IF(OR(Pay!$AF57="",Pay!$AF57=0),"",Pay!$P57)</f>
        <v/>
      </c>
      <c r="F1305" s="83" t="n"/>
      <c r="G1305" s="83" t="n"/>
      <c r="H1305" s="83" t="n"/>
      <c r="I1305" s="83" t="n"/>
      <c r="J1305" s="83" t="n"/>
      <c r="K1305" s="82">
        <f>IF(OR(Pay!$AF57="",Pay!$AF57=0),"",Pay!$K57)</f>
        <v/>
      </c>
      <c r="L1305" s="82" t="n"/>
      <c r="M1305" s="82">
        <f>IF(OR(Pay!$AF57="",Pay!$AF57=0),"",Pay!$AG57)</f>
        <v/>
      </c>
      <c r="N1305" s="81">
        <f>IF(OR(Pay!$AF57="",Pay!$AF57=0),"",Pay!$D57&amp;" — "&amp;Pay!$E57)</f>
        <v/>
      </c>
      <c r="O1305" s="81">
        <f>IF(OR(Pay!$AF57="",Pay!$AF57=0),"",IFERROR(VLOOKUP(Pay!$AF57,AcctTbl,3,0),""))</f>
        <v/>
      </c>
      <c r="P1305" s="82">
        <f>IF(Pay!$AF57&lt;&gt;"X011","",IF(Pay!$I57="","",Pay!$I57))</f>
        <v/>
      </c>
    </row>
    <row r="1306" ht="20.25" customHeight="1">
      <c r="A1306" s="80">
        <f>IF(OR(Pay!$AD58="",Pay!$AD58=0),"",Pay!$B58)</f>
        <v/>
      </c>
      <c r="B1306" s="80">
        <f>IF(OR(Pay!$AD58="",Pay!$AD58=0),"",Pay!$C58)</f>
        <v/>
      </c>
      <c r="C1306" s="80">
        <f>IF(OR(Pay!$AD58="",Pay!$AD58=0),"","پرداخت")</f>
        <v/>
      </c>
      <c r="D1306" s="80">
        <f>IF(OR(Pay!$AD58="",Pay!$AD58=0),"",Pay!$AD58)</f>
        <v/>
      </c>
      <c r="E1306" s="81">
        <f>IF(OR(Pay!$AD58="",Pay!$AD58=0),"",Pay!$P58)</f>
        <v/>
      </c>
      <c r="F1306" s="83" t="n"/>
      <c r="G1306" s="83" t="n"/>
      <c r="H1306" s="83" t="n"/>
      <c r="I1306" s="83" t="n"/>
      <c r="J1306" s="83" t="n"/>
      <c r="K1306" s="82">
        <f>IF(OR(Pay!$AD58="",Pay!$AD58=0),"",Pay!$K58)</f>
        <v/>
      </c>
      <c r="L1306" s="82">
        <f>IF(OR(Pay!$AD58="",Pay!$AD58=0),"",Pay!$AE58)</f>
        <v/>
      </c>
      <c r="M1306" s="82" t="n"/>
      <c r="N1306" s="81">
        <f>IF(OR(Pay!$AD58="",Pay!$AD58=0),"",Pay!$D58&amp;" — "&amp;Pay!$E58)</f>
        <v/>
      </c>
      <c r="O1306" s="81">
        <f>IF(OR(Pay!$AD58="",Pay!$AD58=0),"",IFERROR(VLOOKUP(Pay!$AD58,AcctTbl,3,0),""))</f>
        <v/>
      </c>
      <c r="P1306" s="82">
        <f>IF(Pay!$AD58&lt;&gt;"X011","",IF(Pay!$I58="","",Pay!$I58))</f>
        <v/>
      </c>
    </row>
    <row r="1307" ht="20.25" customHeight="1">
      <c r="A1307" s="80">
        <f>IF(OR(Pay!$AF58="",Pay!$AF58=0),"",Pay!$B58)</f>
        <v/>
      </c>
      <c r="B1307" s="80">
        <f>IF(OR(Pay!$AF58="",Pay!$AF58=0),"",Pay!$C58)</f>
        <v/>
      </c>
      <c r="C1307" s="80">
        <f>IF(OR(Pay!$AF58="",Pay!$AF58=0),"","پرداخت")</f>
        <v/>
      </c>
      <c r="D1307" s="80">
        <f>IF(OR(Pay!$AF58="",Pay!$AF58=0),"",Pay!$AF58)</f>
        <v/>
      </c>
      <c r="E1307" s="81">
        <f>IF(OR(Pay!$AF58="",Pay!$AF58=0),"",Pay!$P58)</f>
        <v/>
      </c>
      <c r="F1307" s="83" t="n"/>
      <c r="G1307" s="83" t="n"/>
      <c r="H1307" s="83" t="n"/>
      <c r="I1307" s="83" t="n"/>
      <c r="J1307" s="83" t="n"/>
      <c r="K1307" s="82">
        <f>IF(OR(Pay!$AF58="",Pay!$AF58=0),"",Pay!$K58)</f>
        <v/>
      </c>
      <c r="L1307" s="82" t="n"/>
      <c r="M1307" s="82">
        <f>IF(OR(Pay!$AF58="",Pay!$AF58=0),"",Pay!$AG58)</f>
        <v/>
      </c>
      <c r="N1307" s="81">
        <f>IF(OR(Pay!$AF58="",Pay!$AF58=0),"",Pay!$D58&amp;" — "&amp;Pay!$E58)</f>
        <v/>
      </c>
      <c r="O1307" s="81">
        <f>IF(OR(Pay!$AF58="",Pay!$AF58=0),"",IFERROR(VLOOKUP(Pay!$AF58,AcctTbl,3,0),""))</f>
        <v/>
      </c>
      <c r="P1307" s="82">
        <f>IF(Pay!$AF58&lt;&gt;"X011","",IF(Pay!$I58="","",Pay!$I58))</f>
        <v/>
      </c>
    </row>
    <row r="1308" ht="20.25" customHeight="1">
      <c r="A1308" s="80">
        <f>IF(OR(Pay!$AD59="",Pay!$AD59=0),"",Pay!$B59)</f>
        <v/>
      </c>
      <c r="B1308" s="80">
        <f>IF(OR(Pay!$AD59="",Pay!$AD59=0),"",Pay!$C59)</f>
        <v/>
      </c>
      <c r="C1308" s="80">
        <f>IF(OR(Pay!$AD59="",Pay!$AD59=0),"","پرداخت")</f>
        <v/>
      </c>
      <c r="D1308" s="80">
        <f>IF(OR(Pay!$AD59="",Pay!$AD59=0),"",Pay!$AD59)</f>
        <v/>
      </c>
      <c r="E1308" s="81">
        <f>IF(OR(Pay!$AD59="",Pay!$AD59=0),"",Pay!$P59)</f>
        <v/>
      </c>
      <c r="F1308" s="83" t="n"/>
      <c r="G1308" s="83" t="n"/>
      <c r="H1308" s="83" t="n"/>
      <c r="I1308" s="83" t="n"/>
      <c r="J1308" s="83" t="n"/>
      <c r="K1308" s="82">
        <f>IF(OR(Pay!$AD59="",Pay!$AD59=0),"",Pay!$K59)</f>
        <v/>
      </c>
      <c r="L1308" s="82">
        <f>IF(OR(Pay!$AD59="",Pay!$AD59=0),"",Pay!$AE59)</f>
        <v/>
      </c>
      <c r="M1308" s="82" t="n"/>
      <c r="N1308" s="81">
        <f>IF(OR(Pay!$AD59="",Pay!$AD59=0),"",Pay!$D59&amp;" — "&amp;Pay!$E59)</f>
        <v/>
      </c>
      <c r="O1308" s="81">
        <f>IF(OR(Pay!$AD59="",Pay!$AD59=0),"",IFERROR(VLOOKUP(Pay!$AD59,AcctTbl,3,0),""))</f>
        <v/>
      </c>
      <c r="P1308" s="82">
        <f>IF(Pay!$AD59&lt;&gt;"X011","",IF(Pay!$I59="","",Pay!$I59))</f>
        <v/>
      </c>
    </row>
    <row r="1309" ht="20.25" customHeight="1">
      <c r="A1309" s="80">
        <f>IF(OR(Pay!$AF59="",Pay!$AF59=0),"",Pay!$B59)</f>
        <v/>
      </c>
      <c r="B1309" s="80">
        <f>IF(OR(Pay!$AF59="",Pay!$AF59=0),"",Pay!$C59)</f>
        <v/>
      </c>
      <c r="C1309" s="80">
        <f>IF(OR(Pay!$AF59="",Pay!$AF59=0),"","پرداخت")</f>
        <v/>
      </c>
      <c r="D1309" s="80">
        <f>IF(OR(Pay!$AF59="",Pay!$AF59=0),"",Pay!$AF59)</f>
        <v/>
      </c>
      <c r="E1309" s="81">
        <f>IF(OR(Pay!$AF59="",Pay!$AF59=0),"",Pay!$P59)</f>
        <v/>
      </c>
      <c r="F1309" s="83" t="n"/>
      <c r="G1309" s="83" t="n"/>
      <c r="H1309" s="83" t="n"/>
      <c r="I1309" s="83" t="n"/>
      <c r="J1309" s="83" t="n"/>
      <c r="K1309" s="82">
        <f>IF(OR(Pay!$AF59="",Pay!$AF59=0),"",Pay!$K59)</f>
        <v/>
      </c>
      <c r="L1309" s="82" t="n"/>
      <c r="M1309" s="82">
        <f>IF(OR(Pay!$AF59="",Pay!$AF59=0),"",Pay!$AG59)</f>
        <v/>
      </c>
      <c r="N1309" s="81">
        <f>IF(OR(Pay!$AF59="",Pay!$AF59=0),"",Pay!$D59&amp;" — "&amp;Pay!$E59)</f>
        <v/>
      </c>
      <c r="O1309" s="81">
        <f>IF(OR(Pay!$AF59="",Pay!$AF59=0),"",IFERROR(VLOOKUP(Pay!$AF59,AcctTbl,3,0),""))</f>
        <v/>
      </c>
      <c r="P1309" s="82">
        <f>IF(Pay!$AF59&lt;&gt;"X011","",IF(Pay!$I59="","",Pay!$I59))</f>
        <v/>
      </c>
    </row>
    <row r="1310" ht="20.25" customHeight="1">
      <c r="A1310" s="80">
        <f>IF(OR(Pay!$AD60="",Pay!$AD60=0),"",Pay!$B60)</f>
        <v/>
      </c>
      <c r="B1310" s="80">
        <f>IF(OR(Pay!$AD60="",Pay!$AD60=0),"",Pay!$C60)</f>
        <v/>
      </c>
      <c r="C1310" s="80">
        <f>IF(OR(Pay!$AD60="",Pay!$AD60=0),"","پرداخت")</f>
        <v/>
      </c>
      <c r="D1310" s="80">
        <f>IF(OR(Pay!$AD60="",Pay!$AD60=0),"",Pay!$AD60)</f>
        <v/>
      </c>
      <c r="E1310" s="81">
        <f>IF(OR(Pay!$AD60="",Pay!$AD60=0),"",Pay!$P60)</f>
        <v/>
      </c>
      <c r="F1310" s="83" t="n"/>
      <c r="G1310" s="83" t="n"/>
      <c r="H1310" s="83" t="n"/>
      <c r="I1310" s="83" t="n"/>
      <c r="J1310" s="83" t="n"/>
      <c r="K1310" s="82">
        <f>IF(OR(Pay!$AD60="",Pay!$AD60=0),"",Pay!$K60)</f>
        <v/>
      </c>
      <c r="L1310" s="82">
        <f>IF(OR(Pay!$AD60="",Pay!$AD60=0),"",Pay!$AE60)</f>
        <v/>
      </c>
      <c r="M1310" s="82" t="n"/>
      <c r="N1310" s="81">
        <f>IF(OR(Pay!$AD60="",Pay!$AD60=0),"",Pay!$D60&amp;" — "&amp;Pay!$E60)</f>
        <v/>
      </c>
      <c r="O1310" s="81">
        <f>IF(OR(Pay!$AD60="",Pay!$AD60=0),"",IFERROR(VLOOKUP(Pay!$AD60,AcctTbl,3,0),""))</f>
        <v/>
      </c>
      <c r="P1310" s="82">
        <f>IF(Pay!$AD60&lt;&gt;"X011","",IF(Pay!$I60="","",Pay!$I60))</f>
        <v/>
      </c>
    </row>
    <row r="1311" ht="20.25" customHeight="1">
      <c r="A1311" s="80">
        <f>IF(OR(Pay!$AF60="",Pay!$AF60=0),"",Pay!$B60)</f>
        <v/>
      </c>
      <c r="B1311" s="80">
        <f>IF(OR(Pay!$AF60="",Pay!$AF60=0),"",Pay!$C60)</f>
        <v/>
      </c>
      <c r="C1311" s="80">
        <f>IF(OR(Pay!$AF60="",Pay!$AF60=0),"","پرداخت")</f>
        <v/>
      </c>
      <c r="D1311" s="80">
        <f>IF(OR(Pay!$AF60="",Pay!$AF60=0),"",Pay!$AF60)</f>
        <v/>
      </c>
      <c r="E1311" s="81">
        <f>IF(OR(Pay!$AF60="",Pay!$AF60=0),"",Pay!$P60)</f>
        <v/>
      </c>
      <c r="F1311" s="83" t="n"/>
      <c r="G1311" s="83" t="n"/>
      <c r="H1311" s="83" t="n"/>
      <c r="I1311" s="83" t="n"/>
      <c r="J1311" s="83" t="n"/>
      <c r="K1311" s="82">
        <f>IF(OR(Pay!$AF60="",Pay!$AF60=0),"",Pay!$K60)</f>
        <v/>
      </c>
      <c r="L1311" s="82" t="n"/>
      <c r="M1311" s="82">
        <f>IF(OR(Pay!$AF60="",Pay!$AF60=0),"",Pay!$AG60)</f>
        <v/>
      </c>
      <c r="N1311" s="81">
        <f>IF(OR(Pay!$AF60="",Pay!$AF60=0),"",Pay!$D60&amp;" — "&amp;Pay!$E60)</f>
        <v/>
      </c>
      <c r="O1311" s="81">
        <f>IF(OR(Pay!$AF60="",Pay!$AF60=0),"",IFERROR(VLOOKUP(Pay!$AF60,AcctTbl,3,0),""))</f>
        <v/>
      </c>
      <c r="P1311" s="82">
        <f>IF(Pay!$AF60&lt;&gt;"X011","",IF(Pay!$I60="","",Pay!$I60))</f>
        <v/>
      </c>
    </row>
    <row r="1312" ht="20.25" customHeight="1">
      <c r="A1312" s="80">
        <f>IF(OR(Pay!$AD61="",Pay!$AD61=0),"",Pay!$B61)</f>
        <v/>
      </c>
      <c r="B1312" s="80">
        <f>IF(OR(Pay!$AD61="",Pay!$AD61=0),"",Pay!$C61)</f>
        <v/>
      </c>
      <c r="C1312" s="80">
        <f>IF(OR(Pay!$AD61="",Pay!$AD61=0),"","پرداخت")</f>
        <v/>
      </c>
      <c r="D1312" s="80">
        <f>IF(OR(Pay!$AD61="",Pay!$AD61=0),"",Pay!$AD61)</f>
        <v/>
      </c>
      <c r="E1312" s="81">
        <f>IF(OR(Pay!$AD61="",Pay!$AD61=0),"",Pay!$P61)</f>
        <v/>
      </c>
      <c r="F1312" s="83" t="n"/>
      <c r="G1312" s="83" t="n"/>
      <c r="H1312" s="83" t="n"/>
      <c r="I1312" s="83" t="n"/>
      <c r="J1312" s="83" t="n"/>
      <c r="K1312" s="82">
        <f>IF(OR(Pay!$AD61="",Pay!$AD61=0),"",Pay!$K61)</f>
        <v/>
      </c>
      <c r="L1312" s="82">
        <f>IF(OR(Pay!$AD61="",Pay!$AD61=0),"",Pay!$AE61)</f>
        <v/>
      </c>
      <c r="M1312" s="82" t="n"/>
      <c r="N1312" s="81">
        <f>IF(OR(Pay!$AD61="",Pay!$AD61=0),"",Pay!$D61&amp;" — "&amp;Pay!$E61)</f>
        <v/>
      </c>
      <c r="O1312" s="81">
        <f>IF(OR(Pay!$AD61="",Pay!$AD61=0),"",IFERROR(VLOOKUP(Pay!$AD61,AcctTbl,3,0),""))</f>
        <v/>
      </c>
      <c r="P1312" s="82">
        <f>IF(Pay!$AD61&lt;&gt;"X011","",IF(Pay!$I61="","",Pay!$I61))</f>
        <v/>
      </c>
    </row>
    <row r="1313" ht="20.25" customHeight="1">
      <c r="A1313" s="80">
        <f>IF(OR(Pay!$AF61="",Pay!$AF61=0),"",Pay!$B61)</f>
        <v/>
      </c>
      <c r="B1313" s="80">
        <f>IF(OR(Pay!$AF61="",Pay!$AF61=0),"",Pay!$C61)</f>
        <v/>
      </c>
      <c r="C1313" s="80">
        <f>IF(OR(Pay!$AF61="",Pay!$AF61=0),"","پرداخت")</f>
        <v/>
      </c>
      <c r="D1313" s="80">
        <f>IF(OR(Pay!$AF61="",Pay!$AF61=0),"",Pay!$AF61)</f>
        <v/>
      </c>
      <c r="E1313" s="81">
        <f>IF(OR(Pay!$AF61="",Pay!$AF61=0),"",Pay!$P61)</f>
        <v/>
      </c>
      <c r="F1313" s="83" t="n"/>
      <c r="G1313" s="83" t="n"/>
      <c r="H1313" s="83" t="n"/>
      <c r="I1313" s="83" t="n"/>
      <c r="J1313" s="83" t="n"/>
      <c r="K1313" s="82">
        <f>IF(OR(Pay!$AF61="",Pay!$AF61=0),"",Pay!$K61)</f>
        <v/>
      </c>
      <c r="L1313" s="82" t="n"/>
      <c r="M1313" s="82">
        <f>IF(OR(Pay!$AF61="",Pay!$AF61=0),"",Pay!$AG61)</f>
        <v/>
      </c>
      <c r="N1313" s="81">
        <f>IF(OR(Pay!$AF61="",Pay!$AF61=0),"",Pay!$D61&amp;" — "&amp;Pay!$E61)</f>
        <v/>
      </c>
      <c r="O1313" s="81">
        <f>IF(OR(Pay!$AF61="",Pay!$AF61=0),"",IFERROR(VLOOKUP(Pay!$AF61,AcctTbl,3,0),""))</f>
        <v/>
      </c>
      <c r="P1313" s="82">
        <f>IF(Pay!$AF61&lt;&gt;"X011","",IF(Pay!$I61="","",Pay!$I61))</f>
        <v/>
      </c>
    </row>
    <row r="1314" ht="20.25" customHeight="1">
      <c r="A1314" s="80">
        <f>IF(OR(Pay!$AD62="",Pay!$AD62=0),"",Pay!$B62)</f>
        <v/>
      </c>
      <c r="B1314" s="80">
        <f>IF(OR(Pay!$AD62="",Pay!$AD62=0),"",Pay!$C62)</f>
        <v/>
      </c>
      <c r="C1314" s="80">
        <f>IF(OR(Pay!$AD62="",Pay!$AD62=0),"","پرداخت")</f>
        <v/>
      </c>
      <c r="D1314" s="80">
        <f>IF(OR(Pay!$AD62="",Pay!$AD62=0),"",Pay!$AD62)</f>
        <v/>
      </c>
      <c r="E1314" s="81">
        <f>IF(OR(Pay!$AD62="",Pay!$AD62=0),"",Pay!$P62)</f>
        <v/>
      </c>
      <c r="F1314" s="83" t="n"/>
      <c r="G1314" s="83" t="n"/>
      <c r="H1314" s="83" t="n"/>
      <c r="I1314" s="83" t="n"/>
      <c r="J1314" s="83" t="n"/>
      <c r="K1314" s="82">
        <f>IF(OR(Pay!$AD62="",Pay!$AD62=0),"",Pay!$K62)</f>
        <v/>
      </c>
      <c r="L1314" s="82">
        <f>IF(OR(Pay!$AD62="",Pay!$AD62=0),"",Pay!$AE62)</f>
        <v/>
      </c>
      <c r="M1314" s="82" t="n"/>
      <c r="N1314" s="81">
        <f>IF(OR(Pay!$AD62="",Pay!$AD62=0),"",Pay!$D62&amp;" — "&amp;Pay!$E62)</f>
        <v/>
      </c>
      <c r="O1314" s="81">
        <f>IF(OR(Pay!$AD62="",Pay!$AD62=0),"",IFERROR(VLOOKUP(Pay!$AD62,AcctTbl,3,0),""))</f>
        <v/>
      </c>
      <c r="P1314" s="82">
        <f>IF(Pay!$AD62&lt;&gt;"X011","",IF(Pay!$I62="","",Pay!$I62))</f>
        <v/>
      </c>
    </row>
    <row r="1315" ht="20.25" customHeight="1">
      <c r="A1315" s="80">
        <f>IF(OR(Pay!$AF62="",Pay!$AF62=0),"",Pay!$B62)</f>
        <v/>
      </c>
      <c r="B1315" s="80">
        <f>IF(OR(Pay!$AF62="",Pay!$AF62=0),"",Pay!$C62)</f>
        <v/>
      </c>
      <c r="C1315" s="80">
        <f>IF(OR(Pay!$AF62="",Pay!$AF62=0),"","پرداخت")</f>
        <v/>
      </c>
      <c r="D1315" s="80">
        <f>IF(OR(Pay!$AF62="",Pay!$AF62=0),"",Pay!$AF62)</f>
        <v/>
      </c>
      <c r="E1315" s="81">
        <f>IF(OR(Pay!$AF62="",Pay!$AF62=0),"",Pay!$P62)</f>
        <v/>
      </c>
      <c r="F1315" s="83" t="n"/>
      <c r="G1315" s="83" t="n"/>
      <c r="H1315" s="83" t="n"/>
      <c r="I1315" s="83" t="n"/>
      <c r="J1315" s="83" t="n"/>
      <c r="K1315" s="82">
        <f>IF(OR(Pay!$AF62="",Pay!$AF62=0),"",Pay!$K62)</f>
        <v/>
      </c>
      <c r="L1315" s="82" t="n"/>
      <c r="M1315" s="82">
        <f>IF(OR(Pay!$AF62="",Pay!$AF62=0),"",Pay!$AG62)</f>
        <v/>
      </c>
      <c r="N1315" s="81">
        <f>IF(OR(Pay!$AF62="",Pay!$AF62=0),"",Pay!$D62&amp;" — "&amp;Pay!$E62)</f>
        <v/>
      </c>
      <c r="O1315" s="81">
        <f>IF(OR(Pay!$AF62="",Pay!$AF62=0),"",IFERROR(VLOOKUP(Pay!$AF62,AcctTbl,3,0),""))</f>
        <v/>
      </c>
      <c r="P1315" s="82">
        <f>IF(Pay!$AF62&lt;&gt;"X011","",IF(Pay!$I62="","",Pay!$I62))</f>
        <v/>
      </c>
    </row>
    <row r="1316" ht="20.25" customHeight="1">
      <c r="A1316" s="80">
        <f>IF(OR(Pay!$AD63="",Pay!$AD63=0),"",Pay!$B63)</f>
        <v/>
      </c>
      <c r="B1316" s="80">
        <f>IF(OR(Pay!$AD63="",Pay!$AD63=0),"",Pay!$C63)</f>
        <v/>
      </c>
      <c r="C1316" s="80">
        <f>IF(OR(Pay!$AD63="",Pay!$AD63=0),"","پرداخت")</f>
        <v/>
      </c>
      <c r="D1316" s="80">
        <f>IF(OR(Pay!$AD63="",Pay!$AD63=0),"",Pay!$AD63)</f>
        <v/>
      </c>
      <c r="E1316" s="81">
        <f>IF(OR(Pay!$AD63="",Pay!$AD63=0),"",Pay!$P63)</f>
        <v/>
      </c>
      <c r="F1316" s="83" t="n"/>
      <c r="G1316" s="83" t="n"/>
      <c r="H1316" s="83" t="n"/>
      <c r="I1316" s="83" t="n"/>
      <c r="J1316" s="83" t="n"/>
      <c r="K1316" s="82">
        <f>IF(OR(Pay!$AD63="",Pay!$AD63=0),"",Pay!$K63)</f>
        <v/>
      </c>
      <c r="L1316" s="82">
        <f>IF(OR(Pay!$AD63="",Pay!$AD63=0),"",Pay!$AE63)</f>
        <v/>
      </c>
      <c r="M1316" s="82" t="n"/>
      <c r="N1316" s="81">
        <f>IF(OR(Pay!$AD63="",Pay!$AD63=0),"",Pay!$D63&amp;" — "&amp;Pay!$E63)</f>
        <v/>
      </c>
      <c r="O1316" s="81">
        <f>IF(OR(Pay!$AD63="",Pay!$AD63=0),"",IFERROR(VLOOKUP(Pay!$AD63,AcctTbl,3,0),""))</f>
        <v/>
      </c>
      <c r="P1316" s="82">
        <f>IF(Pay!$AD63&lt;&gt;"X011","",IF(Pay!$I63="","",Pay!$I63))</f>
        <v/>
      </c>
    </row>
    <row r="1317" ht="20.25" customHeight="1">
      <c r="A1317" s="80">
        <f>IF(OR(Pay!$AF63="",Pay!$AF63=0),"",Pay!$B63)</f>
        <v/>
      </c>
      <c r="B1317" s="80">
        <f>IF(OR(Pay!$AF63="",Pay!$AF63=0),"",Pay!$C63)</f>
        <v/>
      </c>
      <c r="C1317" s="80">
        <f>IF(OR(Pay!$AF63="",Pay!$AF63=0),"","پرداخت")</f>
        <v/>
      </c>
      <c r="D1317" s="80">
        <f>IF(OR(Pay!$AF63="",Pay!$AF63=0),"",Pay!$AF63)</f>
        <v/>
      </c>
      <c r="E1317" s="81">
        <f>IF(OR(Pay!$AF63="",Pay!$AF63=0),"",Pay!$P63)</f>
        <v/>
      </c>
      <c r="F1317" s="83" t="n"/>
      <c r="G1317" s="83" t="n"/>
      <c r="H1317" s="83" t="n"/>
      <c r="I1317" s="83" t="n"/>
      <c r="J1317" s="83" t="n"/>
      <c r="K1317" s="82">
        <f>IF(OR(Pay!$AF63="",Pay!$AF63=0),"",Pay!$K63)</f>
        <v/>
      </c>
      <c r="L1317" s="82" t="n"/>
      <c r="M1317" s="82">
        <f>IF(OR(Pay!$AF63="",Pay!$AF63=0),"",Pay!$AG63)</f>
        <v/>
      </c>
      <c r="N1317" s="81">
        <f>IF(OR(Pay!$AF63="",Pay!$AF63=0),"",Pay!$D63&amp;" — "&amp;Pay!$E63)</f>
        <v/>
      </c>
      <c r="O1317" s="81">
        <f>IF(OR(Pay!$AF63="",Pay!$AF63=0),"",IFERROR(VLOOKUP(Pay!$AF63,AcctTbl,3,0),""))</f>
        <v/>
      </c>
      <c r="P1317" s="82">
        <f>IF(Pay!$AF63&lt;&gt;"X011","",IF(Pay!$I63="","",Pay!$I63))</f>
        <v/>
      </c>
    </row>
    <row r="1318" ht="20.25" customHeight="1">
      <c r="A1318" s="80">
        <f>IF(OR(Pay!$AD64="",Pay!$AD64=0),"",Pay!$B64)</f>
        <v/>
      </c>
      <c r="B1318" s="80">
        <f>IF(OR(Pay!$AD64="",Pay!$AD64=0),"",Pay!$C64)</f>
        <v/>
      </c>
      <c r="C1318" s="80">
        <f>IF(OR(Pay!$AD64="",Pay!$AD64=0),"","پرداخت")</f>
        <v/>
      </c>
      <c r="D1318" s="80">
        <f>IF(OR(Pay!$AD64="",Pay!$AD64=0),"",Pay!$AD64)</f>
        <v/>
      </c>
      <c r="E1318" s="81">
        <f>IF(OR(Pay!$AD64="",Pay!$AD64=0),"",Pay!$P64)</f>
        <v/>
      </c>
      <c r="F1318" s="83" t="n"/>
      <c r="G1318" s="83" t="n"/>
      <c r="H1318" s="83" t="n"/>
      <c r="I1318" s="83" t="n"/>
      <c r="J1318" s="83" t="n"/>
      <c r="K1318" s="82">
        <f>IF(OR(Pay!$AD64="",Pay!$AD64=0),"",Pay!$K64)</f>
        <v/>
      </c>
      <c r="L1318" s="82">
        <f>IF(OR(Pay!$AD64="",Pay!$AD64=0),"",Pay!$AE64)</f>
        <v/>
      </c>
      <c r="M1318" s="82" t="n"/>
      <c r="N1318" s="81">
        <f>IF(OR(Pay!$AD64="",Pay!$AD64=0),"",Pay!$D64&amp;" — "&amp;Pay!$E64)</f>
        <v/>
      </c>
      <c r="O1318" s="81">
        <f>IF(OR(Pay!$AD64="",Pay!$AD64=0),"",IFERROR(VLOOKUP(Pay!$AD64,AcctTbl,3,0),""))</f>
        <v/>
      </c>
      <c r="P1318" s="82">
        <f>IF(Pay!$AD64&lt;&gt;"X011","",IF(Pay!$I64="","",Pay!$I64))</f>
        <v/>
      </c>
    </row>
    <row r="1319" ht="20.25" customHeight="1">
      <c r="A1319" s="80">
        <f>IF(OR(Pay!$AF64="",Pay!$AF64=0),"",Pay!$B64)</f>
        <v/>
      </c>
      <c r="B1319" s="80">
        <f>IF(OR(Pay!$AF64="",Pay!$AF64=0),"",Pay!$C64)</f>
        <v/>
      </c>
      <c r="C1319" s="80">
        <f>IF(OR(Pay!$AF64="",Pay!$AF64=0),"","پرداخت")</f>
        <v/>
      </c>
      <c r="D1319" s="80">
        <f>IF(OR(Pay!$AF64="",Pay!$AF64=0),"",Pay!$AF64)</f>
        <v/>
      </c>
      <c r="E1319" s="81">
        <f>IF(OR(Pay!$AF64="",Pay!$AF64=0),"",Pay!$P64)</f>
        <v/>
      </c>
      <c r="F1319" s="83" t="n"/>
      <c r="G1319" s="83" t="n"/>
      <c r="H1319" s="83" t="n"/>
      <c r="I1319" s="83" t="n"/>
      <c r="J1319" s="83" t="n"/>
      <c r="K1319" s="82">
        <f>IF(OR(Pay!$AF64="",Pay!$AF64=0),"",Pay!$K64)</f>
        <v/>
      </c>
      <c r="L1319" s="82" t="n"/>
      <c r="M1319" s="82">
        <f>IF(OR(Pay!$AF64="",Pay!$AF64=0),"",Pay!$AG64)</f>
        <v/>
      </c>
      <c r="N1319" s="81">
        <f>IF(OR(Pay!$AF64="",Pay!$AF64=0),"",Pay!$D64&amp;" — "&amp;Pay!$E64)</f>
        <v/>
      </c>
      <c r="O1319" s="81">
        <f>IF(OR(Pay!$AF64="",Pay!$AF64=0),"",IFERROR(VLOOKUP(Pay!$AF64,AcctTbl,3,0),""))</f>
        <v/>
      </c>
      <c r="P1319" s="82">
        <f>IF(Pay!$AF64&lt;&gt;"X011","",IF(Pay!$I64="","",Pay!$I64))</f>
        <v/>
      </c>
    </row>
    <row r="1320" ht="20.25" customHeight="1">
      <c r="A1320" s="80">
        <f>IF(OR(Pay!$AD65="",Pay!$AD65=0),"",Pay!$B65)</f>
        <v/>
      </c>
      <c r="B1320" s="80">
        <f>IF(OR(Pay!$AD65="",Pay!$AD65=0),"",Pay!$C65)</f>
        <v/>
      </c>
      <c r="C1320" s="80">
        <f>IF(OR(Pay!$AD65="",Pay!$AD65=0),"","پرداخت")</f>
        <v/>
      </c>
      <c r="D1320" s="80">
        <f>IF(OR(Pay!$AD65="",Pay!$AD65=0),"",Pay!$AD65)</f>
        <v/>
      </c>
      <c r="E1320" s="81">
        <f>IF(OR(Pay!$AD65="",Pay!$AD65=0),"",Pay!$P65)</f>
        <v/>
      </c>
      <c r="F1320" s="83" t="n"/>
      <c r="G1320" s="83" t="n"/>
      <c r="H1320" s="83" t="n"/>
      <c r="I1320" s="83" t="n"/>
      <c r="J1320" s="83" t="n"/>
      <c r="K1320" s="82">
        <f>IF(OR(Pay!$AD65="",Pay!$AD65=0),"",Pay!$K65)</f>
        <v/>
      </c>
      <c r="L1320" s="82">
        <f>IF(OR(Pay!$AD65="",Pay!$AD65=0),"",Pay!$AE65)</f>
        <v/>
      </c>
      <c r="M1320" s="82" t="n"/>
      <c r="N1320" s="81">
        <f>IF(OR(Pay!$AD65="",Pay!$AD65=0),"",Pay!$D65&amp;" — "&amp;Pay!$E65)</f>
        <v/>
      </c>
      <c r="O1320" s="81">
        <f>IF(OR(Pay!$AD65="",Pay!$AD65=0),"",IFERROR(VLOOKUP(Pay!$AD65,AcctTbl,3,0),""))</f>
        <v/>
      </c>
      <c r="P1320" s="82">
        <f>IF(Pay!$AD65&lt;&gt;"X011","",IF(Pay!$I65="","",Pay!$I65))</f>
        <v/>
      </c>
    </row>
    <row r="1321" ht="20.25" customHeight="1">
      <c r="A1321" s="80">
        <f>IF(OR(Pay!$AF65="",Pay!$AF65=0),"",Pay!$B65)</f>
        <v/>
      </c>
      <c r="B1321" s="80">
        <f>IF(OR(Pay!$AF65="",Pay!$AF65=0),"",Pay!$C65)</f>
        <v/>
      </c>
      <c r="C1321" s="80">
        <f>IF(OR(Pay!$AF65="",Pay!$AF65=0),"","پرداخت")</f>
        <v/>
      </c>
      <c r="D1321" s="80">
        <f>IF(OR(Pay!$AF65="",Pay!$AF65=0),"",Pay!$AF65)</f>
        <v/>
      </c>
      <c r="E1321" s="81">
        <f>IF(OR(Pay!$AF65="",Pay!$AF65=0),"",Pay!$P65)</f>
        <v/>
      </c>
      <c r="F1321" s="83" t="n"/>
      <c r="G1321" s="83" t="n"/>
      <c r="H1321" s="83" t="n"/>
      <c r="I1321" s="83" t="n"/>
      <c r="J1321" s="83" t="n"/>
      <c r="K1321" s="82">
        <f>IF(OR(Pay!$AF65="",Pay!$AF65=0),"",Pay!$K65)</f>
        <v/>
      </c>
      <c r="L1321" s="82" t="n"/>
      <c r="M1321" s="82">
        <f>IF(OR(Pay!$AF65="",Pay!$AF65=0),"",Pay!$AG65)</f>
        <v/>
      </c>
      <c r="N1321" s="81">
        <f>IF(OR(Pay!$AF65="",Pay!$AF65=0),"",Pay!$D65&amp;" — "&amp;Pay!$E65)</f>
        <v/>
      </c>
      <c r="O1321" s="81">
        <f>IF(OR(Pay!$AF65="",Pay!$AF65=0),"",IFERROR(VLOOKUP(Pay!$AF65,AcctTbl,3,0),""))</f>
        <v/>
      </c>
      <c r="P1321" s="82">
        <f>IF(Pay!$AF65&lt;&gt;"X011","",IF(Pay!$I65="","",Pay!$I65))</f>
        <v/>
      </c>
    </row>
    <row r="1322" ht="20.25" customHeight="1">
      <c r="A1322" s="80">
        <f>IF(OR(Pay!$AD66="",Pay!$AD66=0),"",Pay!$B66)</f>
        <v/>
      </c>
      <c r="B1322" s="80">
        <f>IF(OR(Pay!$AD66="",Pay!$AD66=0),"",Pay!$C66)</f>
        <v/>
      </c>
      <c r="C1322" s="80">
        <f>IF(OR(Pay!$AD66="",Pay!$AD66=0),"","پرداخت")</f>
        <v/>
      </c>
      <c r="D1322" s="80">
        <f>IF(OR(Pay!$AD66="",Pay!$AD66=0),"",Pay!$AD66)</f>
        <v/>
      </c>
      <c r="E1322" s="81">
        <f>IF(OR(Pay!$AD66="",Pay!$AD66=0),"",Pay!$P66)</f>
        <v/>
      </c>
      <c r="F1322" s="83" t="n"/>
      <c r="G1322" s="83" t="n"/>
      <c r="H1322" s="83" t="n"/>
      <c r="I1322" s="83" t="n"/>
      <c r="J1322" s="83" t="n"/>
      <c r="K1322" s="82">
        <f>IF(OR(Pay!$AD66="",Pay!$AD66=0),"",Pay!$K66)</f>
        <v/>
      </c>
      <c r="L1322" s="82">
        <f>IF(OR(Pay!$AD66="",Pay!$AD66=0),"",Pay!$AE66)</f>
        <v/>
      </c>
      <c r="M1322" s="82" t="n"/>
      <c r="N1322" s="81">
        <f>IF(OR(Pay!$AD66="",Pay!$AD66=0),"",Pay!$D66&amp;" — "&amp;Pay!$E66)</f>
        <v/>
      </c>
      <c r="O1322" s="81">
        <f>IF(OR(Pay!$AD66="",Pay!$AD66=0),"",IFERROR(VLOOKUP(Pay!$AD66,AcctTbl,3,0),""))</f>
        <v/>
      </c>
      <c r="P1322" s="82">
        <f>IF(Pay!$AD66&lt;&gt;"X011","",IF(Pay!$I66="","",Pay!$I66))</f>
        <v/>
      </c>
    </row>
    <row r="1323" ht="20.25" customHeight="1">
      <c r="A1323" s="80">
        <f>IF(OR(Pay!$AF66="",Pay!$AF66=0),"",Pay!$B66)</f>
        <v/>
      </c>
      <c r="B1323" s="80">
        <f>IF(OR(Pay!$AF66="",Pay!$AF66=0),"",Pay!$C66)</f>
        <v/>
      </c>
      <c r="C1323" s="80">
        <f>IF(OR(Pay!$AF66="",Pay!$AF66=0),"","پرداخت")</f>
        <v/>
      </c>
      <c r="D1323" s="80">
        <f>IF(OR(Pay!$AF66="",Pay!$AF66=0),"",Pay!$AF66)</f>
        <v/>
      </c>
      <c r="E1323" s="81">
        <f>IF(OR(Pay!$AF66="",Pay!$AF66=0),"",Pay!$P66)</f>
        <v/>
      </c>
      <c r="F1323" s="83" t="n"/>
      <c r="G1323" s="83" t="n"/>
      <c r="H1323" s="83" t="n"/>
      <c r="I1323" s="83" t="n"/>
      <c r="J1323" s="83" t="n"/>
      <c r="K1323" s="82">
        <f>IF(OR(Pay!$AF66="",Pay!$AF66=0),"",Pay!$K66)</f>
        <v/>
      </c>
      <c r="L1323" s="82" t="n"/>
      <c r="M1323" s="82">
        <f>IF(OR(Pay!$AF66="",Pay!$AF66=0),"",Pay!$AG66)</f>
        <v/>
      </c>
      <c r="N1323" s="81">
        <f>IF(OR(Pay!$AF66="",Pay!$AF66=0),"",Pay!$D66&amp;" — "&amp;Pay!$E66)</f>
        <v/>
      </c>
      <c r="O1323" s="81">
        <f>IF(OR(Pay!$AF66="",Pay!$AF66=0),"",IFERROR(VLOOKUP(Pay!$AF66,AcctTbl,3,0),""))</f>
        <v/>
      </c>
      <c r="P1323" s="82">
        <f>IF(Pay!$AF66&lt;&gt;"X011","",IF(Pay!$I66="","",Pay!$I66))</f>
        <v/>
      </c>
    </row>
    <row r="1324" ht="20.25" customHeight="1">
      <c r="A1324" s="80">
        <f>IF(OR(Pay!$AD67="",Pay!$AD67=0),"",Pay!$B67)</f>
        <v/>
      </c>
      <c r="B1324" s="80">
        <f>IF(OR(Pay!$AD67="",Pay!$AD67=0),"",Pay!$C67)</f>
        <v/>
      </c>
      <c r="C1324" s="80">
        <f>IF(OR(Pay!$AD67="",Pay!$AD67=0),"","پرداخت")</f>
        <v/>
      </c>
      <c r="D1324" s="80">
        <f>IF(OR(Pay!$AD67="",Pay!$AD67=0),"",Pay!$AD67)</f>
        <v/>
      </c>
      <c r="E1324" s="81">
        <f>IF(OR(Pay!$AD67="",Pay!$AD67=0),"",Pay!$P67)</f>
        <v/>
      </c>
      <c r="F1324" s="83" t="n"/>
      <c r="G1324" s="83" t="n"/>
      <c r="H1324" s="83" t="n"/>
      <c r="I1324" s="83" t="n"/>
      <c r="J1324" s="83" t="n"/>
      <c r="K1324" s="82">
        <f>IF(OR(Pay!$AD67="",Pay!$AD67=0),"",Pay!$K67)</f>
        <v/>
      </c>
      <c r="L1324" s="82">
        <f>IF(OR(Pay!$AD67="",Pay!$AD67=0),"",Pay!$AE67)</f>
        <v/>
      </c>
      <c r="M1324" s="82" t="n"/>
      <c r="N1324" s="81">
        <f>IF(OR(Pay!$AD67="",Pay!$AD67=0),"",Pay!$D67&amp;" — "&amp;Pay!$E67)</f>
        <v/>
      </c>
      <c r="O1324" s="81">
        <f>IF(OR(Pay!$AD67="",Pay!$AD67=0),"",IFERROR(VLOOKUP(Pay!$AD67,AcctTbl,3,0),""))</f>
        <v/>
      </c>
      <c r="P1324" s="82">
        <f>IF(Pay!$AD67&lt;&gt;"X011","",IF(Pay!$I67="","",Pay!$I67))</f>
        <v/>
      </c>
    </row>
    <row r="1325" ht="20.25" customHeight="1">
      <c r="A1325" s="80">
        <f>IF(OR(Pay!$AF67="",Pay!$AF67=0),"",Pay!$B67)</f>
        <v/>
      </c>
      <c r="B1325" s="80">
        <f>IF(OR(Pay!$AF67="",Pay!$AF67=0),"",Pay!$C67)</f>
        <v/>
      </c>
      <c r="C1325" s="80">
        <f>IF(OR(Pay!$AF67="",Pay!$AF67=0),"","پرداخت")</f>
        <v/>
      </c>
      <c r="D1325" s="80">
        <f>IF(OR(Pay!$AF67="",Pay!$AF67=0),"",Pay!$AF67)</f>
        <v/>
      </c>
      <c r="E1325" s="81">
        <f>IF(OR(Pay!$AF67="",Pay!$AF67=0),"",Pay!$P67)</f>
        <v/>
      </c>
      <c r="F1325" s="83" t="n"/>
      <c r="G1325" s="83" t="n"/>
      <c r="H1325" s="83" t="n"/>
      <c r="I1325" s="83" t="n"/>
      <c r="J1325" s="83" t="n"/>
      <c r="K1325" s="82">
        <f>IF(OR(Pay!$AF67="",Pay!$AF67=0),"",Pay!$K67)</f>
        <v/>
      </c>
      <c r="L1325" s="82" t="n"/>
      <c r="M1325" s="82">
        <f>IF(OR(Pay!$AF67="",Pay!$AF67=0),"",Pay!$AG67)</f>
        <v/>
      </c>
      <c r="N1325" s="81">
        <f>IF(OR(Pay!$AF67="",Pay!$AF67=0),"",Pay!$D67&amp;" — "&amp;Pay!$E67)</f>
        <v/>
      </c>
      <c r="O1325" s="81">
        <f>IF(OR(Pay!$AF67="",Pay!$AF67=0),"",IFERROR(VLOOKUP(Pay!$AF67,AcctTbl,3,0),""))</f>
        <v/>
      </c>
      <c r="P1325" s="82">
        <f>IF(Pay!$AF67&lt;&gt;"X011","",IF(Pay!$I67="","",Pay!$I67))</f>
        <v/>
      </c>
    </row>
    <row r="1326" ht="20.25" customHeight="1">
      <c r="A1326" s="80">
        <f>IF(OR(Pay!$AD68="",Pay!$AD68=0),"",Pay!$B68)</f>
        <v/>
      </c>
      <c r="B1326" s="80">
        <f>IF(OR(Pay!$AD68="",Pay!$AD68=0),"",Pay!$C68)</f>
        <v/>
      </c>
      <c r="C1326" s="80">
        <f>IF(OR(Pay!$AD68="",Pay!$AD68=0),"","پرداخت")</f>
        <v/>
      </c>
      <c r="D1326" s="80">
        <f>IF(OR(Pay!$AD68="",Pay!$AD68=0),"",Pay!$AD68)</f>
        <v/>
      </c>
      <c r="E1326" s="81">
        <f>IF(OR(Pay!$AD68="",Pay!$AD68=0),"",Pay!$P68)</f>
        <v/>
      </c>
      <c r="F1326" s="83" t="n"/>
      <c r="G1326" s="83" t="n"/>
      <c r="H1326" s="83" t="n"/>
      <c r="I1326" s="83" t="n"/>
      <c r="J1326" s="83" t="n"/>
      <c r="K1326" s="82">
        <f>IF(OR(Pay!$AD68="",Pay!$AD68=0),"",Pay!$K68)</f>
        <v/>
      </c>
      <c r="L1326" s="82">
        <f>IF(OR(Pay!$AD68="",Pay!$AD68=0),"",Pay!$AE68)</f>
        <v/>
      </c>
      <c r="M1326" s="82" t="n"/>
      <c r="N1326" s="81">
        <f>IF(OR(Pay!$AD68="",Pay!$AD68=0),"",Pay!$D68&amp;" — "&amp;Pay!$E68)</f>
        <v/>
      </c>
      <c r="O1326" s="81">
        <f>IF(OR(Pay!$AD68="",Pay!$AD68=0),"",IFERROR(VLOOKUP(Pay!$AD68,AcctTbl,3,0),""))</f>
        <v/>
      </c>
      <c r="P1326" s="82">
        <f>IF(Pay!$AD68&lt;&gt;"X011","",IF(Pay!$I68="","",Pay!$I68))</f>
        <v/>
      </c>
    </row>
    <row r="1327" ht="20.25" customHeight="1">
      <c r="A1327" s="80">
        <f>IF(OR(Pay!$AF68="",Pay!$AF68=0),"",Pay!$B68)</f>
        <v/>
      </c>
      <c r="B1327" s="80">
        <f>IF(OR(Pay!$AF68="",Pay!$AF68=0),"",Pay!$C68)</f>
        <v/>
      </c>
      <c r="C1327" s="80">
        <f>IF(OR(Pay!$AF68="",Pay!$AF68=0),"","پرداخت")</f>
        <v/>
      </c>
      <c r="D1327" s="80">
        <f>IF(OR(Pay!$AF68="",Pay!$AF68=0),"",Pay!$AF68)</f>
        <v/>
      </c>
      <c r="E1327" s="81">
        <f>IF(OR(Pay!$AF68="",Pay!$AF68=0),"",Pay!$P68)</f>
        <v/>
      </c>
      <c r="F1327" s="83" t="n"/>
      <c r="G1327" s="83" t="n"/>
      <c r="H1327" s="83" t="n"/>
      <c r="I1327" s="83" t="n"/>
      <c r="J1327" s="83" t="n"/>
      <c r="K1327" s="82">
        <f>IF(OR(Pay!$AF68="",Pay!$AF68=0),"",Pay!$K68)</f>
        <v/>
      </c>
      <c r="L1327" s="82" t="n"/>
      <c r="M1327" s="82">
        <f>IF(OR(Pay!$AF68="",Pay!$AF68=0),"",Pay!$AG68)</f>
        <v/>
      </c>
      <c r="N1327" s="81">
        <f>IF(OR(Pay!$AF68="",Pay!$AF68=0),"",Pay!$D68&amp;" — "&amp;Pay!$E68)</f>
        <v/>
      </c>
      <c r="O1327" s="81">
        <f>IF(OR(Pay!$AF68="",Pay!$AF68=0),"",IFERROR(VLOOKUP(Pay!$AF68,AcctTbl,3,0),""))</f>
        <v/>
      </c>
      <c r="P1327" s="82">
        <f>IF(Pay!$AF68&lt;&gt;"X011","",IF(Pay!$I68="","",Pay!$I68))</f>
        <v/>
      </c>
    </row>
    <row r="1328" ht="20.25" customHeight="1">
      <c r="A1328" s="80">
        <f>IF(OR(Pay!$AD69="",Pay!$AD69=0),"",Pay!$B69)</f>
        <v/>
      </c>
      <c r="B1328" s="80">
        <f>IF(OR(Pay!$AD69="",Pay!$AD69=0),"",Pay!$C69)</f>
        <v/>
      </c>
      <c r="C1328" s="80">
        <f>IF(OR(Pay!$AD69="",Pay!$AD69=0),"","پرداخت")</f>
        <v/>
      </c>
      <c r="D1328" s="80">
        <f>IF(OR(Pay!$AD69="",Pay!$AD69=0),"",Pay!$AD69)</f>
        <v/>
      </c>
      <c r="E1328" s="81">
        <f>IF(OR(Pay!$AD69="",Pay!$AD69=0),"",Pay!$P69)</f>
        <v/>
      </c>
      <c r="F1328" s="83" t="n"/>
      <c r="G1328" s="83" t="n"/>
      <c r="H1328" s="83" t="n"/>
      <c r="I1328" s="83" t="n"/>
      <c r="J1328" s="83" t="n"/>
      <c r="K1328" s="82">
        <f>IF(OR(Pay!$AD69="",Pay!$AD69=0),"",Pay!$K69)</f>
        <v/>
      </c>
      <c r="L1328" s="82">
        <f>IF(OR(Pay!$AD69="",Pay!$AD69=0),"",Pay!$AE69)</f>
        <v/>
      </c>
      <c r="M1328" s="82" t="n"/>
      <c r="N1328" s="81">
        <f>IF(OR(Pay!$AD69="",Pay!$AD69=0),"",Pay!$D69&amp;" — "&amp;Pay!$E69)</f>
        <v/>
      </c>
      <c r="O1328" s="81">
        <f>IF(OR(Pay!$AD69="",Pay!$AD69=0),"",IFERROR(VLOOKUP(Pay!$AD69,AcctTbl,3,0),""))</f>
        <v/>
      </c>
      <c r="P1328" s="82">
        <f>IF(Pay!$AD69&lt;&gt;"X011","",IF(Pay!$I69="","",Pay!$I69))</f>
        <v/>
      </c>
    </row>
    <row r="1329" ht="20.25" customHeight="1">
      <c r="A1329" s="80">
        <f>IF(OR(Pay!$AF69="",Pay!$AF69=0),"",Pay!$B69)</f>
        <v/>
      </c>
      <c r="B1329" s="80">
        <f>IF(OR(Pay!$AF69="",Pay!$AF69=0),"",Pay!$C69)</f>
        <v/>
      </c>
      <c r="C1329" s="80">
        <f>IF(OR(Pay!$AF69="",Pay!$AF69=0),"","پرداخت")</f>
        <v/>
      </c>
      <c r="D1329" s="80">
        <f>IF(OR(Pay!$AF69="",Pay!$AF69=0),"",Pay!$AF69)</f>
        <v/>
      </c>
      <c r="E1329" s="81">
        <f>IF(OR(Pay!$AF69="",Pay!$AF69=0),"",Pay!$P69)</f>
        <v/>
      </c>
      <c r="F1329" s="83" t="n"/>
      <c r="G1329" s="83" t="n"/>
      <c r="H1329" s="83" t="n"/>
      <c r="I1329" s="83" t="n"/>
      <c r="J1329" s="83" t="n"/>
      <c r="K1329" s="82">
        <f>IF(OR(Pay!$AF69="",Pay!$AF69=0),"",Pay!$K69)</f>
        <v/>
      </c>
      <c r="L1329" s="82" t="n"/>
      <c r="M1329" s="82">
        <f>IF(OR(Pay!$AF69="",Pay!$AF69=0),"",Pay!$AG69)</f>
        <v/>
      </c>
      <c r="N1329" s="81">
        <f>IF(OR(Pay!$AF69="",Pay!$AF69=0),"",Pay!$D69&amp;" — "&amp;Pay!$E69)</f>
        <v/>
      </c>
      <c r="O1329" s="81">
        <f>IF(OR(Pay!$AF69="",Pay!$AF69=0),"",IFERROR(VLOOKUP(Pay!$AF69,AcctTbl,3,0),""))</f>
        <v/>
      </c>
      <c r="P1329" s="82">
        <f>IF(Pay!$AF69&lt;&gt;"X011","",IF(Pay!$I69="","",Pay!$I69))</f>
        <v/>
      </c>
    </row>
    <row r="1330" ht="20.25" customHeight="1">
      <c r="A1330" s="80">
        <f>IF(OR(Pay!$AD70="",Pay!$AD70=0),"",Pay!$B70)</f>
        <v/>
      </c>
      <c r="B1330" s="80">
        <f>IF(OR(Pay!$AD70="",Pay!$AD70=0),"",Pay!$C70)</f>
        <v/>
      </c>
      <c r="C1330" s="80">
        <f>IF(OR(Pay!$AD70="",Pay!$AD70=0),"","پرداخت")</f>
        <v/>
      </c>
      <c r="D1330" s="80">
        <f>IF(OR(Pay!$AD70="",Pay!$AD70=0),"",Pay!$AD70)</f>
        <v/>
      </c>
      <c r="E1330" s="81">
        <f>IF(OR(Pay!$AD70="",Pay!$AD70=0),"",Pay!$P70)</f>
        <v/>
      </c>
      <c r="F1330" s="83" t="n"/>
      <c r="G1330" s="83" t="n"/>
      <c r="H1330" s="83" t="n"/>
      <c r="I1330" s="83" t="n"/>
      <c r="J1330" s="83" t="n"/>
      <c r="K1330" s="82">
        <f>IF(OR(Pay!$AD70="",Pay!$AD70=0),"",Pay!$K70)</f>
        <v/>
      </c>
      <c r="L1330" s="82">
        <f>IF(OR(Pay!$AD70="",Pay!$AD70=0),"",Pay!$AE70)</f>
        <v/>
      </c>
      <c r="M1330" s="82" t="n"/>
      <c r="N1330" s="81">
        <f>IF(OR(Pay!$AD70="",Pay!$AD70=0),"",Pay!$D70&amp;" — "&amp;Pay!$E70)</f>
        <v/>
      </c>
      <c r="O1330" s="81">
        <f>IF(OR(Pay!$AD70="",Pay!$AD70=0),"",IFERROR(VLOOKUP(Pay!$AD70,AcctTbl,3,0),""))</f>
        <v/>
      </c>
      <c r="P1330" s="82">
        <f>IF(Pay!$AD70&lt;&gt;"X011","",IF(Pay!$I70="","",Pay!$I70))</f>
        <v/>
      </c>
    </row>
    <row r="1331" ht="20.25" customHeight="1">
      <c r="A1331" s="80">
        <f>IF(OR(Pay!$AF70="",Pay!$AF70=0),"",Pay!$B70)</f>
        <v/>
      </c>
      <c r="B1331" s="80">
        <f>IF(OR(Pay!$AF70="",Pay!$AF70=0),"",Pay!$C70)</f>
        <v/>
      </c>
      <c r="C1331" s="80">
        <f>IF(OR(Pay!$AF70="",Pay!$AF70=0),"","پرداخت")</f>
        <v/>
      </c>
      <c r="D1331" s="80">
        <f>IF(OR(Pay!$AF70="",Pay!$AF70=0),"",Pay!$AF70)</f>
        <v/>
      </c>
      <c r="E1331" s="81">
        <f>IF(OR(Pay!$AF70="",Pay!$AF70=0),"",Pay!$P70)</f>
        <v/>
      </c>
      <c r="F1331" s="83" t="n"/>
      <c r="G1331" s="83" t="n"/>
      <c r="H1331" s="83" t="n"/>
      <c r="I1331" s="83" t="n"/>
      <c r="J1331" s="83" t="n"/>
      <c r="K1331" s="82">
        <f>IF(OR(Pay!$AF70="",Pay!$AF70=0),"",Pay!$K70)</f>
        <v/>
      </c>
      <c r="L1331" s="82" t="n"/>
      <c r="M1331" s="82">
        <f>IF(OR(Pay!$AF70="",Pay!$AF70=0),"",Pay!$AG70)</f>
        <v/>
      </c>
      <c r="N1331" s="81">
        <f>IF(OR(Pay!$AF70="",Pay!$AF70=0),"",Pay!$D70&amp;" — "&amp;Pay!$E70)</f>
        <v/>
      </c>
      <c r="O1331" s="81">
        <f>IF(OR(Pay!$AF70="",Pay!$AF70=0),"",IFERROR(VLOOKUP(Pay!$AF70,AcctTbl,3,0),""))</f>
        <v/>
      </c>
      <c r="P1331" s="82">
        <f>IF(Pay!$AF70&lt;&gt;"X011","",IF(Pay!$I70="","",Pay!$I70))</f>
        <v/>
      </c>
    </row>
    <row r="1332" ht="20.25" customHeight="1">
      <c r="A1332" s="80">
        <f>IF(OR(Pay!$AD71="",Pay!$AD71=0),"",Pay!$B71)</f>
        <v/>
      </c>
      <c r="B1332" s="80">
        <f>IF(OR(Pay!$AD71="",Pay!$AD71=0),"",Pay!$C71)</f>
        <v/>
      </c>
      <c r="C1332" s="80">
        <f>IF(OR(Pay!$AD71="",Pay!$AD71=0),"","پرداخت")</f>
        <v/>
      </c>
      <c r="D1332" s="80">
        <f>IF(OR(Pay!$AD71="",Pay!$AD71=0),"",Pay!$AD71)</f>
        <v/>
      </c>
      <c r="E1332" s="81">
        <f>IF(OR(Pay!$AD71="",Pay!$AD71=0),"",Pay!$P71)</f>
        <v/>
      </c>
      <c r="F1332" s="83" t="n"/>
      <c r="G1332" s="83" t="n"/>
      <c r="H1332" s="83" t="n"/>
      <c r="I1332" s="83" t="n"/>
      <c r="J1332" s="83" t="n"/>
      <c r="K1332" s="82">
        <f>IF(OR(Pay!$AD71="",Pay!$AD71=0),"",Pay!$K71)</f>
        <v/>
      </c>
      <c r="L1332" s="82">
        <f>IF(OR(Pay!$AD71="",Pay!$AD71=0),"",Pay!$AE71)</f>
        <v/>
      </c>
      <c r="M1332" s="82" t="n"/>
      <c r="N1332" s="81">
        <f>IF(OR(Pay!$AD71="",Pay!$AD71=0),"",Pay!$D71&amp;" — "&amp;Pay!$E71)</f>
        <v/>
      </c>
      <c r="O1332" s="81">
        <f>IF(OR(Pay!$AD71="",Pay!$AD71=0),"",IFERROR(VLOOKUP(Pay!$AD71,AcctTbl,3,0),""))</f>
        <v/>
      </c>
      <c r="P1332" s="82">
        <f>IF(Pay!$AD71&lt;&gt;"X011","",IF(Pay!$I71="","",Pay!$I71))</f>
        <v/>
      </c>
    </row>
    <row r="1333" ht="20.25" customHeight="1">
      <c r="A1333" s="80">
        <f>IF(OR(Pay!$AF71="",Pay!$AF71=0),"",Pay!$B71)</f>
        <v/>
      </c>
      <c r="B1333" s="80">
        <f>IF(OR(Pay!$AF71="",Pay!$AF71=0),"",Pay!$C71)</f>
        <v/>
      </c>
      <c r="C1333" s="80">
        <f>IF(OR(Pay!$AF71="",Pay!$AF71=0),"","پرداخت")</f>
        <v/>
      </c>
      <c r="D1333" s="80">
        <f>IF(OR(Pay!$AF71="",Pay!$AF71=0),"",Pay!$AF71)</f>
        <v/>
      </c>
      <c r="E1333" s="81">
        <f>IF(OR(Pay!$AF71="",Pay!$AF71=0),"",Pay!$P71)</f>
        <v/>
      </c>
      <c r="F1333" s="83" t="n"/>
      <c r="G1333" s="83" t="n"/>
      <c r="H1333" s="83" t="n"/>
      <c r="I1333" s="83" t="n"/>
      <c r="J1333" s="83" t="n"/>
      <c r="K1333" s="82">
        <f>IF(OR(Pay!$AF71="",Pay!$AF71=0),"",Pay!$K71)</f>
        <v/>
      </c>
      <c r="L1333" s="82" t="n"/>
      <c r="M1333" s="82">
        <f>IF(OR(Pay!$AF71="",Pay!$AF71=0),"",Pay!$AG71)</f>
        <v/>
      </c>
      <c r="N1333" s="81">
        <f>IF(OR(Pay!$AF71="",Pay!$AF71=0),"",Pay!$D71&amp;" — "&amp;Pay!$E71)</f>
        <v/>
      </c>
      <c r="O1333" s="81">
        <f>IF(OR(Pay!$AF71="",Pay!$AF71=0),"",IFERROR(VLOOKUP(Pay!$AF71,AcctTbl,3,0),""))</f>
        <v/>
      </c>
      <c r="P1333" s="82">
        <f>IF(Pay!$AF71&lt;&gt;"X011","",IF(Pay!$I71="","",Pay!$I71))</f>
        <v/>
      </c>
    </row>
    <row r="1334" ht="20.25" customHeight="1">
      <c r="A1334" s="80">
        <f>IF(OR(Pay!$AD72="",Pay!$AD72=0),"",Pay!$B72)</f>
        <v/>
      </c>
      <c r="B1334" s="80">
        <f>IF(OR(Pay!$AD72="",Pay!$AD72=0),"",Pay!$C72)</f>
        <v/>
      </c>
      <c r="C1334" s="80">
        <f>IF(OR(Pay!$AD72="",Pay!$AD72=0),"","پرداخت")</f>
        <v/>
      </c>
      <c r="D1334" s="80">
        <f>IF(OR(Pay!$AD72="",Pay!$AD72=0),"",Pay!$AD72)</f>
        <v/>
      </c>
      <c r="E1334" s="81">
        <f>IF(OR(Pay!$AD72="",Pay!$AD72=0),"",Pay!$P72)</f>
        <v/>
      </c>
      <c r="F1334" s="83" t="n"/>
      <c r="G1334" s="83" t="n"/>
      <c r="H1334" s="83" t="n"/>
      <c r="I1334" s="83" t="n"/>
      <c r="J1334" s="83" t="n"/>
      <c r="K1334" s="82">
        <f>IF(OR(Pay!$AD72="",Pay!$AD72=0),"",Pay!$K72)</f>
        <v/>
      </c>
      <c r="L1334" s="82">
        <f>IF(OR(Pay!$AD72="",Pay!$AD72=0),"",Pay!$AE72)</f>
        <v/>
      </c>
      <c r="M1334" s="82" t="n"/>
      <c r="N1334" s="81">
        <f>IF(OR(Pay!$AD72="",Pay!$AD72=0),"",Pay!$D72&amp;" — "&amp;Pay!$E72)</f>
        <v/>
      </c>
      <c r="O1334" s="81">
        <f>IF(OR(Pay!$AD72="",Pay!$AD72=0),"",IFERROR(VLOOKUP(Pay!$AD72,AcctTbl,3,0),""))</f>
        <v/>
      </c>
      <c r="P1334" s="82">
        <f>IF(Pay!$AD72&lt;&gt;"X011","",IF(Pay!$I72="","",Pay!$I72))</f>
        <v/>
      </c>
    </row>
    <row r="1335" ht="20.25" customHeight="1">
      <c r="A1335" s="80">
        <f>IF(OR(Pay!$AF72="",Pay!$AF72=0),"",Pay!$B72)</f>
        <v/>
      </c>
      <c r="B1335" s="80">
        <f>IF(OR(Pay!$AF72="",Pay!$AF72=0),"",Pay!$C72)</f>
        <v/>
      </c>
      <c r="C1335" s="80">
        <f>IF(OR(Pay!$AF72="",Pay!$AF72=0),"","پرداخت")</f>
        <v/>
      </c>
      <c r="D1335" s="80">
        <f>IF(OR(Pay!$AF72="",Pay!$AF72=0),"",Pay!$AF72)</f>
        <v/>
      </c>
      <c r="E1335" s="81">
        <f>IF(OR(Pay!$AF72="",Pay!$AF72=0),"",Pay!$P72)</f>
        <v/>
      </c>
      <c r="F1335" s="83" t="n"/>
      <c r="G1335" s="83" t="n"/>
      <c r="H1335" s="83" t="n"/>
      <c r="I1335" s="83" t="n"/>
      <c r="J1335" s="83" t="n"/>
      <c r="K1335" s="82">
        <f>IF(OR(Pay!$AF72="",Pay!$AF72=0),"",Pay!$K72)</f>
        <v/>
      </c>
      <c r="L1335" s="82" t="n"/>
      <c r="M1335" s="82">
        <f>IF(OR(Pay!$AF72="",Pay!$AF72=0),"",Pay!$AG72)</f>
        <v/>
      </c>
      <c r="N1335" s="81">
        <f>IF(OR(Pay!$AF72="",Pay!$AF72=0),"",Pay!$D72&amp;" — "&amp;Pay!$E72)</f>
        <v/>
      </c>
      <c r="O1335" s="81">
        <f>IF(OR(Pay!$AF72="",Pay!$AF72=0),"",IFERROR(VLOOKUP(Pay!$AF72,AcctTbl,3,0),""))</f>
        <v/>
      </c>
      <c r="P1335" s="82">
        <f>IF(Pay!$AF72&lt;&gt;"X011","",IF(Pay!$I72="","",Pay!$I72))</f>
        <v/>
      </c>
    </row>
    <row r="1336" ht="20.25" customHeight="1">
      <c r="A1336" s="80">
        <f>IF(OR(Pay!$AD73="",Pay!$AD73=0),"",Pay!$B73)</f>
        <v/>
      </c>
      <c r="B1336" s="80">
        <f>IF(OR(Pay!$AD73="",Pay!$AD73=0),"",Pay!$C73)</f>
        <v/>
      </c>
      <c r="C1336" s="80">
        <f>IF(OR(Pay!$AD73="",Pay!$AD73=0),"","پرداخت")</f>
        <v/>
      </c>
      <c r="D1336" s="80">
        <f>IF(OR(Pay!$AD73="",Pay!$AD73=0),"",Pay!$AD73)</f>
        <v/>
      </c>
      <c r="E1336" s="81">
        <f>IF(OR(Pay!$AD73="",Pay!$AD73=0),"",Pay!$P73)</f>
        <v/>
      </c>
      <c r="F1336" s="83" t="n"/>
      <c r="G1336" s="83" t="n"/>
      <c r="H1336" s="83" t="n"/>
      <c r="I1336" s="83" t="n"/>
      <c r="J1336" s="83" t="n"/>
      <c r="K1336" s="82">
        <f>IF(OR(Pay!$AD73="",Pay!$AD73=0),"",Pay!$K73)</f>
        <v/>
      </c>
      <c r="L1336" s="82">
        <f>IF(OR(Pay!$AD73="",Pay!$AD73=0),"",Pay!$AE73)</f>
        <v/>
      </c>
      <c r="M1336" s="82" t="n"/>
      <c r="N1336" s="81">
        <f>IF(OR(Pay!$AD73="",Pay!$AD73=0),"",Pay!$D73&amp;" — "&amp;Pay!$E73)</f>
        <v/>
      </c>
      <c r="O1336" s="81">
        <f>IF(OR(Pay!$AD73="",Pay!$AD73=0),"",IFERROR(VLOOKUP(Pay!$AD73,AcctTbl,3,0),""))</f>
        <v/>
      </c>
      <c r="P1336" s="82">
        <f>IF(Pay!$AD73&lt;&gt;"X011","",IF(Pay!$I73="","",Pay!$I73))</f>
        <v/>
      </c>
    </row>
    <row r="1337" ht="20.25" customHeight="1">
      <c r="A1337" s="80">
        <f>IF(OR(Pay!$AF73="",Pay!$AF73=0),"",Pay!$B73)</f>
        <v/>
      </c>
      <c r="B1337" s="80">
        <f>IF(OR(Pay!$AF73="",Pay!$AF73=0),"",Pay!$C73)</f>
        <v/>
      </c>
      <c r="C1337" s="80">
        <f>IF(OR(Pay!$AF73="",Pay!$AF73=0),"","پرداخت")</f>
        <v/>
      </c>
      <c r="D1337" s="80">
        <f>IF(OR(Pay!$AF73="",Pay!$AF73=0),"",Pay!$AF73)</f>
        <v/>
      </c>
      <c r="E1337" s="81">
        <f>IF(OR(Pay!$AF73="",Pay!$AF73=0),"",Pay!$P73)</f>
        <v/>
      </c>
      <c r="F1337" s="83" t="n"/>
      <c r="G1337" s="83" t="n"/>
      <c r="H1337" s="83" t="n"/>
      <c r="I1337" s="83" t="n"/>
      <c r="J1337" s="83" t="n"/>
      <c r="K1337" s="82">
        <f>IF(OR(Pay!$AF73="",Pay!$AF73=0),"",Pay!$K73)</f>
        <v/>
      </c>
      <c r="L1337" s="82" t="n"/>
      <c r="M1337" s="82">
        <f>IF(OR(Pay!$AF73="",Pay!$AF73=0),"",Pay!$AG73)</f>
        <v/>
      </c>
      <c r="N1337" s="81">
        <f>IF(OR(Pay!$AF73="",Pay!$AF73=0),"",Pay!$D73&amp;" — "&amp;Pay!$E73)</f>
        <v/>
      </c>
      <c r="O1337" s="81">
        <f>IF(OR(Pay!$AF73="",Pay!$AF73=0),"",IFERROR(VLOOKUP(Pay!$AF73,AcctTbl,3,0),""))</f>
        <v/>
      </c>
      <c r="P1337" s="82">
        <f>IF(Pay!$AF73&lt;&gt;"X011","",IF(Pay!$I73="","",Pay!$I73))</f>
        <v/>
      </c>
    </row>
    <row r="1338" ht="20.25" customHeight="1">
      <c r="A1338" s="80">
        <f>IF(OR(Pay!$AD74="",Pay!$AD74=0),"",Pay!$B74)</f>
        <v/>
      </c>
      <c r="B1338" s="80">
        <f>IF(OR(Pay!$AD74="",Pay!$AD74=0),"",Pay!$C74)</f>
        <v/>
      </c>
      <c r="C1338" s="80">
        <f>IF(OR(Pay!$AD74="",Pay!$AD74=0),"","پرداخت")</f>
        <v/>
      </c>
      <c r="D1338" s="80">
        <f>IF(OR(Pay!$AD74="",Pay!$AD74=0),"",Pay!$AD74)</f>
        <v/>
      </c>
      <c r="E1338" s="81">
        <f>IF(OR(Pay!$AD74="",Pay!$AD74=0),"",Pay!$P74)</f>
        <v/>
      </c>
      <c r="F1338" s="83" t="n"/>
      <c r="G1338" s="83" t="n"/>
      <c r="H1338" s="83" t="n"/>
      <c r="I1338" s="83" t="n"/>
      <c r="J1338" s="83" t="n"/>
      <c r="K1338" s="82">
        <f>IF(OR(Pay!$AD74="",Pay!$AD74=0),"",Pay!$K74)</f>
        <v/>
      </c>
      <c r="L1338" s="82">
        <f>IF(OR(Pay!$AD74="",Pay!$AD74=0),"",Pay!$AE74)</f>
        <v/>
      </c>
      <c r="M1338" s="82" t="n"/>
      <c r="N1338" s="81">
        <f>IF(OR(Pay!$AD74="",Pay!$AD74=0),"",Pay!$D74&amp;" — "&amp;Pay!$E74)</f>
        <v/>
      </c>
      <c r="O1338" s="81">
        <f>IF(OR(Pay!$AD74="",Pay!$AD74=0),"",IFERROR(VLOOKUP(Pay!$AD74,AcctTbl,3,0),""))</f>
        <v/>
      </c>
      <c r="P1338" s="82">
        <f>IF(Pay!$AD74&lt;&gt;"X011","",IF(Pay!$I74="","",Pay!$I74))</f>
        <v/>
      </c>
    </row>
    <row r="1339" ht="20.25" customHeight="1">
      <c r="A1339" s="80">
        <f>IF(OR(Pay!$AF74="",Pay!$AF74=0),"",Pay!$B74)</f>
        <v/>
      </c>
      <c r="B1339" s="80">
        <f>IF(OR(Pay!$AF74="",Pay!$AF74=0),"",Pay!$C74)</f>
        <v/>
      </c>
      <c r="C1339" s="80">
        <f>IF(OR(Pay!$AF74="",Pay!$AF74=0),"","پرداخت")</f>
        <v/>
      </c>
      <c r="D1339" s="80">
        <f>IF(OR(Pay!$AF74="",Pay!$AF74=0),"",Pay!$AF74)</f>
        <v/>
      </c>
      <c r="E1339" s="81">
        <f>IF(OR(Pay!$AF74="",Pay!$AF74=0),"",Pay!$P74)</f>
        <v/>
      </c>
      <c r="F1339" s="83" t="n"/>
      <c r="G1339" s="83" t="n"/>
      <c r="H1339" s="83" t="n"/>
      <c r="I1339" s="83" t="n"/>
      <c r="J1339" s="83" t="n"/>
      <c r="K1339" s="82">
        <f>IF(OR(Pay!$AF74="",Pay!$AF74=0),"",Pay!$K74)</f>
        <v/>
      </c>
      <c r="L1339" s="82" t="n"/>
      <c r="M1339" s="82">
        <f>IF(OR(Pay!$AF74="",Pay!$AF74=0),"",Pay!$AG74)</f>
        <v/>
      </c>
      <c r="N1339" s="81">
        <f>IF(OR(Pay!$AF74="",Pay!$AF74=0),"",Pay!$D74&amp;" — "&amp;Pay!$E74)</f>
        <v/>
      </c>
      <c r="O1339" s="81">
        <f>IF(OR(Pay!$AF74="",Pay!$AF74=0),"",IFERROR(VLOOKUP(Pay!$AF74,AcctTbl,3,0),""))</f>
        <v/>
      </c>
      <c r="P1339" s="82">
        <f>IF(Pay!$AF74&lt;&gt;"X011","",IF(Pay!$I74="","",Pay!$I74))</f>
        <v/>
      </c>
    </row>
    <row r="1340" ht="20.25" customHeight="1">
      <c r="A1340" s="80">
        <f>IF(OR(Pay!$AD75="",Pay!$AD75=0),"",Pay!$B75)</f>
        <v/>
      </c>
      <c r="B1340" s="80">
        <f>IF(OR(Pay!$AD75="",Pay!$AD75=0),"",Pay!$C75)</f>
        <v/>
      </c>
      <c r="C1340" s="80">
        <f>IF(OR(Pay!$AD75="",Pay!$AD75=0),"","پرداخت")</f>
        <v/>
      </c>
      <c r="D1340" s="80">
        <f>IF(OR(Pay!$AD75="",Pay!$AD75=0),"",Pay!$AD75)</f>
        <v/>
      </c>
      <c r="E1340" s="81">
        <f>IF(OR(Pay!$AD75="",Pay!$AD75=0),"",Pay!$P75)</f>
        <v/>
      </c>
      <c r="F1340" s="83" t="n"/>
      <c r="G1340" s="83" t="n"/>
      <c r="H1340" s="83" t="n"/>
      <c r="I1340" s="83" t="n"/>
      <c r="J1340" s="83" t="n"/>
      <c r="K1340" s="82">
        <f>IF(OR(Pay!$AD75="",Pay!$AD75=0),"",Pay!$K75)</f>
        <v/>
      </c>
      <c r="L1340" s="82">
        <f>IF(OR(Pay!$AD75="",Pay!$AD75=0),"",Pay!$AE75)</f>
        <v/>
      </c>
      <c r="M1340" s="82" t="n"/>
      <c r="N1340" s="81">
        <f>IF(OR(Pay!$AD75="",Pay!$AD75=0),"",Pay!$D75&amp;" — "&amp;Pay!$E75)</f>
        <v/>
      </c>
      <c r="O1340" s="81">
        <f>IF(OR(Pay!$AD75="",Pay!$AD75=0),"",IFERROR(VLOOKUP(Pay!$AD75,AcctTbl,3,0),""))</f>
        <v/>
      </c>
      <c r="P1340" s="82">
        <f>IF(Pay!$AD75&lt;&gt;"X011","",IF(Pay!$I75="","",Pay!$I75))</f>
        <v/>
      </c>
    </row>
    <row r="1341" ht="20.25" customHeight="1">
      <c r="A1341" s="80">
        <f>IF(OR(Pay!$AF75="",Pay!$AF75=0),"",Pay!$B75)</f>
        <v/>
      </c>
      <c r="B1341" s="80">
        <f>IF(OR(Pay!$AF75="",Pay!$AF75=0),"",Pay!$C75)</f>
        <v/>
      </c>
      <c r="C1341" s="80">
        <f>IF(OR(Pay!$AF75="",Pay!$AF75=0),"","پرداخت")</f>
        <v/>
      </c>
      <c r="D1341" s="80">
        <f>IF(OR(Pay!$AF75="",Pay!$AF75=0),"",Pay!$AF75)</f>
        <v/>
      </c>
      <c r="E1341" s="81">
        <f>IF(OR(Pay!$AF75="",Pay!$AF75=0),"",Pay!$P75)</f>
        <v/>
      </c>
      <c r="F1341" s="83" t="n"/>
      <c r="G1341" s="83" t="n"/>
      <c r="H1341" s="83" t="n"/>
      <c r="I1341" s="83" t="n"/>
      <c r="J1341" s="83" t="n"/>
      <c r="K1341" s="82">
        <f>IF(OR(Pay!$AF75="",Pay!$AF75=0),"",Pay!$K75)</f>
        <v/>
      </c>
      <c r="L1341" s="82" t="n"/>
      <c r="M1341" s="82">
        <f>IF(OR(Pay!$AF75="",Pay!$AF75=0),"",Pay!$AG75)</f>
        <v/>
      </c>
      <c r="N1341" s="81">
        <f>IF(OR(Pay!$AF75="",Pay!$AF75=0),"",Pay!$D75&amp;" — "&amp;Pay!$E75)</f>
        <v/>
      </c>
      <c r="O1341" s="81">
        <f>IF(OR(Pay!$AF75="",Pay!$AF75=0),"",IFERROR(VLOOKUP(Pay!$AF75,AcctTbl,3,0),""))</f>
        <v/>
      </c>
      <c r="P1341" s="82">
        <f>IF(Pay!$AF75&lt;&gt;"X011","",IF(Pay!$I75="","",Pay!$I75))</f>
        <v/>
      </c>
    </row>
    <row r="1342" ht="20.25" customHeight="1">
      <c r="A1342" s="80">
        <f>IF(OR(Pay!$AD76="",Pay!$AD76=0),"",Pay!$B76)</f>
        <v/>
      </c>
      <c r="B1342" s="80">
        <f>IF(OR(Pay!$AD76="",Pay!$AD76=0),"",Pay!$C76)</f>
        <v/>
      </c>
      <c r="C1342" s="80">
        <f>IF(OR(Pay!$AD76="",Pay!$AD76=0),"","پرداخت")</f>
        <v/>
      </c>
      <c r="D1342" s="80">
        <f>IF(OR(Pay!$AD76="",Pay!$AD76=0),"",Pay!$AD76)</f>
        <v/>
      </c>
      <c r="E1342" s="81">
        <f>IF(OR(Pay!$AD76="",Pay!$AD76=0),"",Pay!$P76)</f>
        <v/>
      </c>
      <c r="F1342" s="83" t="n"/>
      <c r="G1342" s="83" t="n"/>
      <c r="H1342" s="83" t="n"/>
      <c r="I1342" s="83" t="n"/>
      <c r="J1342" s="83" t="n"/>
      <c r="K1342" s="82">
        <f>IF(OR(Pay!$AD76="",Pay!$AD76=0),"",Pay!$K76)</f>
        <v/>
      </c>
      <c r="L1342" s="82">
        <f>IF(OR(Pay!$AD76="",Pay!$AD76=0),"",Pay!$AE76)</f>
        <v/>
      </c>
      <c r="M1342" s="82" t="n"/>
      <c r="N1342" s="81">
        <f>IF(OR(Pay!$AD76="",Pay!$AD76=0),"",Pay!$D76&amp;" — "&amp;Pay!$E76)</f>
        <v/>
      </c>
      <c r="O1342" s="81">
        <f>IF(OR(Pay!$AD76="",Pay!$AD76=0),"",IFERROR(VLOOKUP(Pay!$AD76,AcctTbl,3,0),""))</f>
        <v/>
      </c>
      <c r="P1342" s="82">
        <f>IF(Pay!$AD76&lt;&gt;"X011","",IF(Pay!$I76="","",Pay!$I76))</f>
        <v/>
      </c>
    </row>
    <row r="1343" ht="20.25" customHeight="1">
      <c r="A1343" s="80">
        <f>IF(OR(Pay!$AF76="",Pay!$AF76=0),"",Pay!$B76)</f>
        <v/>
      </c>
      <c r="B1343" s="80">
        <f>IF(OR(Pay!$AF76="",Pay!$AF76=0),"",Pay!$C76)</f>
        <v/>
      </c>
      <c r="C1343" s="80">
        <f>IF(OR(Pay!$AF76="",Pay!$AF76=0),"","پرداخت")</f>
        <v/>
      </c>
      <c r="D1343" s="80">
        <f>IF(OR(Pay!$AF76="",Pay!$AF76=0),"",Pay!$AF76)</f>
        <v/>
      </c>
      <c r="E1343" s="81">
        <f>IF(OR(Pay!$AF76="",Pay!$AF76=0),"",Pay!$P76)</f>
        <v/>
      </c>
      <c r="F1343" s="83" t="n"/>
      <c r="G1343" s="83" t="n"/>
      <c r="H1343" s="83" t="n"/>
      <c r="I1343" s="83" t="n"/>
      <c r="J1343" s="83" t="n"/>
      <c r="K1343" s="82">
        <f>IF(OR(Pay!$AF76="",Pay!$AF76=0),"",Pay!$K76)</f>
        <v/>
      </c>
      <c r="L1343" s="82" t="n"/>
      <c r="M1343" s="82">
        <f>IF(OR(Pay!$AF76="",Pay!$AF76=0),"",Pay!$AG76)</f>
        <v/>
      </c>
      <c r="N1343" s="81">
        <f>IF(OR(Pay!$AF76="",Pay!$AF76=0),"",Pay!$D76&amp;" — "&amp;Pay!$E76)</f>
        <v/>
      </c>
      <c r="O1343" s="81">
        <f>IF(OR(Pay!$AF76="",Pay!$AF76=0),"",IFERROR(VLOOKUP(Pay!$AF76,AcctTbl,3,0),""))</f>
        <v/>
      </c>
      <c r="P1343" s="82">
        <f>IF(Pay!$AF76&lt;&gt;"X011","",IF(Pay!$I76="","",Pay!$I76))</f>
        <v/>
      </c>
    </row>
    <row r="1344" ht="20.25" customHeight="1">
      <c r="A1344" s="80">
        <f>IF(OR(Pay!$AD77="",Pay!$AD77=0),"",Pay!$B77)</f>
        <v/>
      </c>
      <c r="B1344" s="80">
        <f>IF(OR(Pay!$AD77="",Pay!$AD77=0),"",Pay!$C77)</f>
        <v/>
      </c>
      <c r="C1344" s="80">
        <f>IF(OR(Pay!$AD77="",Pay!$AD77=0),"","پرداخت")</f>
        <v/>
      </c>
      <c r="D1344" s="80">
        <f>IF(OR(Pay!$AD77="",Pay!$AD77=0),"",Pay!$AD77)</f>
        <v/>
      </c>
      <c r="E1344" s="81">
        <f>IF(OR(Pay!$AD77="",Pay!$AD77=0),"",Pay!$P77)</f>
        <v/>
      </c>
      <c r="F1344" s="83" t="n"/>
      <c r="G1344" s="83" t="n"/>
      <c r="H1344" s="83" t="n"/>
      <c r="I1344" s="83" t="n"/>
      <c r="J1344" s="83" t="n"/>
      <c r="K1344" s="82">
        <f>IF(OR(Pay!$AD77="",Pay!$AD77=0),"",Pay!$K77)</f>
        <v/>
      </c>
      <c r="L1344" s="82">
        <f>IF(OR(Pay!$AD77="",Pay!$AD77=0),"",Pay!$AE77)</f>
        <v/>
      </c>
      <c r="M1344" s="82" t="n"/>
      <c r="N1344" s="81">
        <f>IF(OR(Pay!$AD77="",Pay!$AD77=0),"",Pay!$D77&amp;" — "&amp;Pay!$E77)</f>
        <v/>
      </c>
      <c r="O1344" s="81">
        <f>IF(OR(Pay!$AD77="",Pay!$AD77=0),"",IFERROR(VLOOKUP(Pay!$AD77,AcctTbl,3,0),""))</f>
        <v/>
      </c>
      <c r="P1344" s="82">
        <f>IF(Pay!$AD77&lt;&gt;"X011","",IF(Pay!$I77="","",Pay!$I77))</f>
        <v/>
      </c>
    </row>
    <row r="1345" ht="20.25" customHeight="1">
      <c r="A1345" s="80">
        <f>IF(OR(Pay!$AF77="",Pay!$AF77=0),"",Pay!$B77)</f>
        <v/>
      </c>
      <c r="B1345" s="80">
        <f>IF(OR(Pay!$AF77="",Pay!$AF77=0),"",Pay!$C77)</f>
        <v/>
      </c>
      <c r="C1345" s="80">
        <f>IF(OR(Pay!$AF77="",Pay!$AF77=0),"","پرداخت")</f>
        <v/>
      </c>
      <c r="D1345" s="80">
        <f>IF(OR(Pay!$AF77="",Pay!$AF77=0),"",Pay!$AF77)</f>
        <v/>
      </c>
      <c r="E1345" s="81">
        <f>IF(OR(Pay!$AF77="",Pay!$AF77=0),"",Pay!$P77)</f>
        <v/>
      </c>
      <c r="F1345" s="83" t="n"/>
      <c r="G1345" s="83" t="n"/>
      <c r="H1345" s="83" t="n"/>
      <c r="I1345" s="83" t="n"/>
      <c r="J1345" s="83" t="n"/>
      <c r="K1345" s="82">
        <f>IF(OR(Pay!$AF77="",Pay!$AF77=0),"",Pay!$K77)</f>
        <v/>
      </c>
      <c r="L1345" s="82" t="n"/>
      <c r="M1345" s="82">
        <f>IF(OR(Pay!$AF77="",Pay!$AF77=0),"",Pay!$AG77)</f>
        <v/>
      </c>
      <c r="N1345" s="81">
        <f>IF(OR(Pay!$AF77="",Pay!$AF77=0),"",Pay!$D77&amp;" — "&amp;Pay!$E77)</f>
        <v/>
      </c>
      <c r="O1345" s="81">
        <f>IF(OR(Pay!$AF77="",Pay!$AF77=0),"",IFERROR(VLOOKUP(Pay!$AF77,AcctTbl,3,0),""))</f>
        <v/>
      </c>
      <c r="P1345" s="82">
        <f>IF(Pay!$AF77&lt;&gt;"X011","",IF(Pay!$I77="","",Pay!$I77))</f>
        <v/>
      </c>
    </row>
    <row r="1346" ht="20.25" customHeight="1">
      <c r="A1346" s="80">
        <f>IF(OR(Pay!$AD78="",Pay!$AD78=0),"",Pay!$B78)</f>
        <v/>
      </c>
      <c r="B1346" s="80">
        <f>IF(OR(Pay!$AD78="",Pay!$AD78=0),"",Pay!$C78)</f>
        <v/>
      </c>
      <c r="C1346" s="80">
        <f>IF(OR(Pay!$AD78="",Pay!$AD78=0),"","پرداخت")</f>
        <v/>
      </c>
      <c r="D1346" s="80">
        <f>IF(OR(Pay!$AD78="",Pay!$AD78=0),"",Pay!$AD78)</f>
        <v/>
      </c>
      <c r="E1346" s="81">
        <f>IF(OR(Pay!$AD78="",Pay!$AD78=0),"",Pay!$P78)</f>
        <v/>
      </c>
      <c r="F1346" s="83" t="n"/>
      <c r="G1346" s="83" t="n"/>
      <c r="H1346" s="83" t="n"/>
      <c r="I1346" s="83" t="n"/>
      <c r="J1346" s="83" t="n"/>
      <c r="K1346" s="82">
        <f>IF(OR(Pay!$AD78="",Pay!$AD78=0),"",Pay!$K78)</f>
        <v/>
      </c>
      <c r="L1346" s="82">
        <f>IF(OR(Pay!$AD78="",Pay!$AD78=0),"",Pay!$AE78)</f>
        <v/>
      </c>
      <c r="M1346" s="82" t="n"/>
      <c r="N1346" s="81">
        <f>IF(OR(Pay!$AD78="",Pay!$AD78=0),"",Pay!$D78&amp;" — "&amp;Pay!$E78)</f>
        <v/>
      </c>
      <c r="O1346" s="81">
        <f>IF(OR(Pay!$AD78="",Pay!$AD78=0),"",IFERROR(VLOOKUP(Pay!$AD78,AcctTbl,3,0),""))</f>
        <v/>
      </c>
      <c r="P1346" s="82">
        <f>IF(Pay!$AD78&lt;&gt;"X011","",IF(Pay!$I78="","",Pay!$I78))</f>
        <v/>
      </c>
    </row>
    <row r="1347" ht="20.25" customHeight="1">
      <c r="A1347" s="80">
        <f>IF(OR(Pay!$AF78="",Pay!$AF78=0),"",Pay!$B78)</f>
        <v/>
      </c>
      <c r="B1347" s="80">
        <f>IF(OR(Pay!$AF78="",Pay!$AF78=0),"",Pay!$C78)</f>
        <v/>
      </c>
      <c r="C1347" s="80">
        <f>IF(OR(Pay!$AF78="",Pay!$AF78=0),"","پرداخت")</f>
        <v/>
      </c>
      <c r="D1347" s="80">
        <f>IF(OR(Pay!$AF78="",Pay!$AF78=0),"",Pay!$AF78)</f>
        <v/>
      </c>
      <c r="E1347" s="81">
        <f>IF(OR(Pay!$AF78="",Pay!$AF78=0),"",Pay!$P78)</f>
        <v/>
      </c>
      <c r="F1347" s="83" t="n"/>
      <c r="G1347" s="83" t="n"/>
      <c r="H1347" s="83" t="n"/>
      <c r="I1347" s="83" t="n"/>
      <c r="J1347" s="83" t="n"/>
      <c r="K1347" s="82">
        <f>IF(OR(Pay!$AF78="",Pay!$AF78=0),"",Pay!$K78)</f>
        <v/>
      </c>
      <c r="L1347" s="82" t="n"/>
      <c r="M1347" s="82">
        <f>IF(OR(Pay!$AF78="",Pay!$AF78=0),"",Pay!$AG78)</f>
        <v/>
      </c>
      <c r="N1347" s="81">
        <f>IF(OR(Pay!$AF78="",Pay!$AF78=0),"",Pay!$D78&amp;" — "&amp;Pay!$E78)</f>
        <v/>
      </c>
      <c r="O1347" s="81">
        <f>IF(OR(Pay!$AF78="",Pay!$AF78=0),"",IFERROR(VLOOKUP(Pay!$AF78,AcctTbl,3,0),""))</f>
        <v/>
      </c>
      <c r="P1347" s="82">
        <f>IF(Pay!$AF78&lt;&gt;"X011","",IF(Pay!$I78="","",Pay!$I78))</f>
        <v/>
      </c>
    </row>
    <row r="1348" ht="20.25" customHeight="1">
      <c r="A1348" s="80">
        <f>IF(OR(Pay!$AD79="",Pay!$AD79=0),"",Pay!$B79)</f>
        <v/>
      </c>
      <c r="B1348" s="80">
        <f>IF(OR(Pay!$AD79="",Pay!$AD79=0),"",Pay!$C79)</f>
        <v/>
      </c>
      <c r="C1348" s="80">
        <f>IF(OR(Pay!$AD79="",Pay!$AD79=0),"","پرداخت")</f>
        <v/>
      </c>
      <c r="D1348" s="80">
        <f>IF(OR(Pay!$AD79="",Pay!$AD79=0),"",Pay!$AD79)</f>
        <v/>
      </c>
      <c r="E1348" s="81">
        <f>IF(OR(Pay!$AD79="",Pay!$AD79=0),"",Pay!$P79)</f>
        <v/>
      </c>
      <c r="F1348" s="83" t="n"/>
      <c r="G1348" s="83" t="n"/>
      <c r="H1348" s="83" t="n"/>
      <c r="I1348" s="83" t="n"/>
      <c r="J1348" s="83" t="n"/>
      <c r="K1348" s="82">
        <f>IF(OR(Pay!$AD79="",Pay!$AD79=0),"",Pay!$K79)</f>
        <v/>
      </c>
      <c r="L1348" s="82">
        <f>IF(OR(Pay!$AD79="",Pay!$AD79=0),"",Pay!$AE79)</f>
        <v/>
      </c>
      <c r="M1348" s="82" t="n"/>
      <c r="N1348" s="81">
        <f>IF(OR(Pay!$AD79="",Pay!$AD79=0),"",Pay!$D79&amp;" — "&amp;Pay!$E79)</f>
        <v/>
      </c>
      <c r="O1348" s="81">
        <f>IF(OR(Pay!$AD79="",Pay!$AD79=0),"",IFERROR(VLOOKUP(Pay!$AD79,AcctTbl,3,0),""))</f>
        <v/>
      </c>
      <c r="P1348" s="82">
        <f>IF(Pay!$AD79&lt;&gt;"X011","",IF(Pay!$I79="","",Pay!$I79))</f>
        <v/>
      </c>
    </row>
    <row r="1349" ht="20.25" customHeight="1">
      <c r="A1349" s="80">
        <f>IF(OR(Pay!$AF79="",Pay!$AF79=0),"",Pay!$B79)</f>
        <v/>
      </c>
      <c r="B1349" s="80">
        <f>IF(OR(Pay!$AF79="",Pay!$AF79=0),"",Pay!$C79)</f>
        <v/>
      </c>
      <c r="C1349" s="80">
        <f>IF(OR(Pay!$AF79="",Pay!$AF79=0),"","پرداخت")</f>
        <v/>
      </c>
      <c r="D1349" s="80">
        <f>IF(OR(Pay!$AF79="",Pay!$AF79=0),"",Pay!$AF79)</f>
        <v/>
      </c>
      <c r="E1349" s="81">
        <f>IF(OR(Pay!$AF79="",Pay!$AF79=0),"",Pay!$P79)</f>
        <v/>
      </c>
      <c r="F1349" s="83" t="n"/>
      <c r="G1349" s="83" t="n"/>
      <c r="H1349" s="83" t="n"/>
      <c r="I1349" s="83" t="n"/>
      <c r="J1349" s="83" t="n"/>
      <c r="K1349" s="82">
        <f>IF(OR(Pay!$AF79="",Pay!$AF79=0),"",Pay!$K79)</f>
        <v/>
      </c>
      <c r="L1349" s="82" t="n"/>
      <c r="M1349" s="82">
        <f>IF(OR(Pay!$AF79="",Pay!$AF79=0),"",Pay!$AG79)</f>
        <v/>
      </c>
      <c r="N1349" s="81">
        <f>IF(OR(Pay!$AF79="",Pay!$AF79=0),"",Pay!$D79&amp;" — "&amp;Pay!$E79)</f>
        <v/>
      </c>
      <c r="O1349" s="81">
        <f>IF(OR(Pay!$AF79="",Pay!$AF79=0),"",IFERROR(VLOOKUP(Pay!$AF79,AcctTbl,3,0),""))</f>
        <v/>
      </c>
      <c r="P1349" s="82">
        <f>IF(Pay!$AF79&lt;&gt;"X011","",IF(Pay!$I79="","",Pay!$I79))</f>
        <v/>
      </c>
    </row>
    <row r="1350" ht="20.25" customHeight="1">
      <c r="A1350" s="80">
        <f>IF(OR(Pay!$AD80="",Pay!$AD80=0),"",Pay!$B80)</f>
        <v/>
      </c>
      <c r="B1350" s="80">
        <f>IF(OR(Pay!$AD80="",Pay!$AD80=0),"",Pay!$C80)</f>
        <v/>
      </c>
      <c r="C1350" s="80">
        <f>IF(OR(Pay!$AD80="",Pay!$AD80=0),"","پرداخت")</f>
        <v/>
      </c>
      <c r="D1350" s="80">
        <f>IF(OR(Pay!$AD80="",Pay!$AD80=0),"",Pay!$AD80)</f>
        <v/>
      </c>
      <c r="E1350" s="81">
        <f>IF(OR(Pay!$AD80="",Pay!$AD80=0),"",Pay!$P80)</f>
        <v/>
      </c>
      <c r="F1350" s="83" t="n"/>
      <c r="G1350" s="83" t="n"/>
      <c r="H1350" s="83" t="n"/>
      <c r="I1350" s="83" t="n"/>
      <c r="J1350" s="83" t="n"/>
      <c r="K1350" s="82">
        <f>IF(OR(Pay!$AD80="",Pay!$AD80=0),"",Pay!$K80)</f>
        <v/>
      </c>
      <c r="L1350" s="82">
        <f>IF(OR(Pay!$AD80="",Pay!$AD80=0),"",Pay!$AE80)</f>
        <v/>
      </c>
      <c r="M1350" s="82" t="n"/>
      <c r="N1350" s="81">
        <f>IF(OR(Pay!$AD80="",Pay!$AD80=0),"",Pay!$D80&amp;" — "&amp;Pay!$E80)</f>
        <v/>
      </c>
      <c r="O1350" s="81">
        <f>IF(OR(Pay!$AD80="",Pay!$AD80=0),"",IFERROR(VLOOKUP(Pay!$AD80,AcctTbl,3,0),""))</f>
        <v/>
      </c>
      <c r="P1350" s="82">
        <f>IF(Pay!$AD80&lt;&gt;"X011","",IF(Pay!$I80="","",Pay!$I80))</f>
        <v/>
      </c>
    </row>
    <row r="1351" ht="20.25" customHeight="1">
      <c r="A1351" s="80">
        <f>IF(OR(Pay!$AF80="",Pay!$AF80=0),"",Pay!$B80)</f>
        <v/>
      </c>
      <c r="B1351" s="80">
        <f>IF(OR(Pay!$AF80="",Pay!$AF80=0),"",Pay!$C80)</f>
        <v/>
      </c>
      <c r="C1351" s="80">
        <f>IF(OR(Pay!$AF80="",Pay!$AF80=0),"","پرداخت")</f>
        <v/>
      </c>
      <c r="D1351" s="80">
        <f>IF(OR(Pay!$AF80="",Pay!$AF80=0),"",Pay!$AF80)</f>
        <v/>
      </c>
      <c r="E1351" s="81">
        <f>IF(OR(Pay!$AF80="",Pay!$AF80=0),"",Pay!$P80)</f>
        <v/>
      </c>
      <c r="F1351" s="83" t="n"/>
      <c r="G1351" s="83" t="n"/>
      <c r="H1351" s="83" t="n"/>
      <c r="I1351" s="83" t="n"/>
      <c r="J1351" s="83" t="n"/>
      <c r="K1351" s="82">
        <f>IF(OR(Pay!$AF80="",Pay!$AF80=0),"",Pay!$K80)</f>
        <v/>
      </c>
      <c r="L1351" s="82" t="n"/>
      <c r="M1351" s="82">
        <f>IF(OR(Pay!$AF80="",Pay!$AF80=0),"",Pay!$AG80)</f>
        <v/>
      </c>
      <c r="N1351" s="81">
        <f>IF(OR(Pay!$AF80="",Pay!$AF80=0),"",Pay!$D80&amp;" — "&amp;Pay!$E80)</f>
        <v/>
      </c>
      <c r="O1351" s="81">
        <f>IF(OR(Pay!$AF80="",Pay!$AF80=0),"",IFERROR(VLOOKUP(Pay!$AF80,AcctTbl,3,0),""))</f>
        <v/>
      </c>
      <c r="P1351" s="82">
        <f>IF(Pay!$AF80&lt;&gt;"X011","",IF(Pay!$I80="","",Pay!$I80))</f>
        <v/>
      </c>
    </row>
    <row r="1352" ht="20.25" customHeight="1">
      <c r="A1352" s="80">
        <f>IF(OR(Pay!$AD81="",Pay!$AD81=0),"",Pay!$B81)</f>
        <v/>
      </c>
      <c r="B1352" s="80">
        <f>IF(OR(Pay!$AD81="",Pay!$AD81=0),"",Pay!$C81)</f>
        <v/>
      </c>
      <c r="C1352" s="80">
        <f>IF(OR(Pay!$AD81="",Pay!$AD81=0),"","پرداخت")</f>
        <v/>
      </c>
      <c r="D1352" s="80">
        <f>IF(OR(Pay!$AD81="",Pay!$AD81=0),"",Pay!$AD81)</f>
        <v/>
      </c>
      <c r="E1352" s="81">
        <f>IF(OR(Pay!$AD81="",Pay!$AD81=0),"",Pay!$P81)</f>
        <v/>
      </c>
      <c r="F1352" s="83" t="n"/>
      <c r="G1352" s="83" t="n"/>
      <c r="H1352" s="83" t="n"/>
      <c r="I1352" s="83" t="n"/>
      <c r="J1352" s="83" t="n"/>
      <c r="K1352" s="82">
        <f>IF(OR(Pay!$AD81="",Pay!$AD81=0),"",Pay!$K81)</f>
        <v/>
      </c>
      <c r="L1352" s="82">
        <f>IF(OR(Pay!$AD81="",Pay!$AD81=0),"",Pay!$AE81)</f>
        <v/>
      </c>
      <c r="M1352" s="82" t="n"/>
      <c r="N1352" s="81">
        <f>IF(OR(Pay!$AD81="",Pay!$AD81=0),"",Pay!$D81&amp;" — "&amp;Pay!$E81)</f>
        <v/>
      </c>
      <c r="O1352" s="81">
        <f>IF(OR(Pay!$AD81="",Pay!$AD81=0),"",IFERROR(VLOOKUP(Pay!$AD81,AcctTbl,3,0),""))</f>
        <v/>
      </c>
      <c r="P1352" s="82">
        <f>IF(Pay!$AD81&lt;&gt;"X011","",IF(Pay!$I81="","",Pay!$I81))</f>
        <v/>
      </c>
    </row>
    <row r="1353" ht="20.25" customHeight="1">
      <c r="A1353" s="80">
        <f>IF(OR(Pay!$AF81="",Pay!$AF81=0),"",Pay!$B81)</f>
        <v/>
      </c>
      <c r="B1353" s="80">
        <f>IF(OR(Pay!$AF81="",Pay!$AF81=0),"",Pay!$C81)</f>
        <v/>
      </c>
      <c r="C1353" s="80">
        <f>IF(OR(Pay!$AF81="",Pay!$AF81=0),"","پرداخت")</f>
        <v/>
      </c>
      <c r="D1353" s="80">
        <f>IF(OR(Pay!$AF81="",Pay!$AF81=0),"",Pay!$AF81)</f>
        <v/>
      </c>
      <c r="E1353" s="81">
        <f>IF(OR(Pay!$AF81="",Pay!$AF81=0),"",Pay!$P81)</f>
        <v/>
      </c>
      <c r="F1353" s="83" t="n"/>
      <c r="G1353" s="83" t="n"/>
      <c r="H1353" s="83" t="n"/>
      <c r="I1353" s="83" t="n"/>
      <c r="J1353" s="83" t="n"/>
      <c r="K1353" s="82">
        <f>IF(OR(Pay!$AF81="",Pay!$AF81=0),"",Pay!$K81)</f>
        <v/>
      </c>
      <c r="L1353" s="82" t="n"/>
      <c r="M1353" s="82">
        <f>IF(OR(Pay!$AF81="",Pay!$AF81=0),"",Pay!$AG81)</f>
        <v/>
      </c>
      <c r="N1353" s="81">
        <f>IF(OR(Pay!$AF81="",Pay!$AF81=0),"",Pay!$D81&amp;" — "&amp;Pay!$E81)</f>
        <v/>
      </c>
      <c r="O1353" s="81">
        <f>IF(OR(Pay!$AF81="",Pay!$AF81=0),"",IFERROR(VLOOKUP(Pay!$AF81,AcctTbl,3,0),""))</f>
        <v/>
      </c>
      <c r="P1353" s="82">
        <f>IF(Pay!$AF81&lt;&gt;"X011","",IF(Pay!$I81="","",Pay!$I81))</f>
        <v/>
      </c>
    </row>
    <row r="1354" ht="20.25" customHeight="1">
      <c r="A1354" s="80">
        <f>IF(OR(Pay!$AD82="",Pay!$AD82=0),"",Pay!$B82)</f>
        <v/>
      </c>
      <c r="B1354" s="80">
        <f>IF(OR(Pay!$AD82="",Pay!$AD82=0),"",Pay!$C82)</f>
        <v/>
      </c>
      <c r="C1354" s="80">
        <f>IF(OR(Pay!$AD82="",Pay!$AD82=0),"","پرداخت")</f>
        <v/>
      </c>
      <c r="D1354" s="80">
        <f>IF(OR(Pay!$AD82="",Pay!$AD82=0),"",Pay!$AD82)</f>
        <v/>
      </c>
      <c r="E1354" s="81">
        <f>IF(OR(Pay!$AD82="",Pay!$AD82=0),"",Pay!$P82)</f>
        <v/>
      </c>
      <c r="F1354" s="83" t="n"/>
      <c r="G1354" s="83" t="n"/>
      <c r="H1354" s="83" t="n"/>
      <c r="I1354" s="83" t="n"/>
      <c r="J1354" s="83" t="n"/>
      <c r="K1354" s="82">
        <f>IF(OR(Pay!$AD82="",Pay!$AD82=0),"",Pay!$K82)</f>
        <v/>
      </c>
      <c r="L1354" s="82">
        <f>IF(OR(Pay!$AD82="",Pay!$AD82=0),"",Pay!$AE82)</f>
        <v/>
      </c>
      <c r="M1354" s="82" t="n"/>
      <c r="N1354" s="81">
        <f>IF(OR(Pay!$AD82="",Pay!$AD82=0),"",Pay!$D82&amp;" — "&amp;Pay!$E82)</f>
        <v/>
      </c>
      <c r="O1354" s="81">
        <f>IF(OR(Pay!$AD82="",Pay!$AD82=0),"",IFERROR(VLOOKUP(Pay!$AD82,AcctTbl,3,0),""))</f>
        <v/>
      </c>
      <c r="P1354" s="82">
        <f>IF(Pay!$AD82&lt;&gt;"X011","",IF(Pay!$I82="","",Pay!$I82))</f>
        <v/>
      </c>
    </row>
    <row r="1355" ht="20.25" customHeight="1">
      <c r="A1355" s="80">
        <f>IF(OR(Pay!$AF82="",Pay!$AF82=0),"",Pay!$B82)</f>
        <v/>
      </c>
      <c r="B1355" s="80">
        <f>IF(OR(Pay!$AF82="",Pay!$AF82=0),"",Pay!$C82)</f>
        <v/>
      </c>
      <c r="C1355" s="80">
        <f>IF(OR(Pay!$AF82="",Pay!$AF82=0),"","پرداخت")</f>
        <v/>
      </c>
      <c r="D1355" s="80">
        <f>IF(OR(Pay!$AF82="",Pay!$AF82=0),"",Pay!$AF82)</f>
        <v/>
      </c>
      <c r="E1355" s="81">
        <f>IF(OR(Pay!$AF82="",Pay!$AF82=0),"",Pay!$P82)</f>
        <v/>
      </c>
      <c r="F1355" s="83" t="n"/>
      <c r="G1355" s="83" t="n"/>
      <c r="H1355" s="83" t="n"/>
      <c r="I1355" s="83" t="n"/>
      <c r="J1355" s="83" t="n"/>
      <c r="K1355" s="82">
        <f>IF(OR(Pay!$AF82="",Pay!$AF82=0),"",Pay!$K82)</f>
        <v/>
      </c>
      <c r="L1355" s="82" t="n"/>
      <c r="M1355" s="82">
        <f>IF(OR(Pay!$AF82="",Pay!$AF82=0),"",Pay!$AG82)</f>
        <v/>
      </c>
      <c r="N1355" s="81">
        <f>IF(OR(Pay!$AF82="",Pay!$AF82=0),"",Pay!$D82&amp;" — "&amp;Pay!$E82)</f>
        <v/>
      </c>
      <c r="O1355" s="81">
        <f>IF(OR(Pay!$AF82="",Pay!$AF82=0),"",IFERROR(VLOOKUP(Pay!$AF82,AcctTbl,3,0),""))</f>
        <v/>
      </c>
      <c r="P1355" s="82">
        <f>IF(Pay!$AF82&lt;&gt;"X011","",IF(Pay!$I82="","",Pay!$I82))</f>
        <v/>
      </c>
    </row>
    <row r="1356" ht="20.25" customHeight="1">
      <c r="A1356" s="80">
        <f>IF(OR(Pay!$AD83="",Pay!$AD83=0),"",Pay!$B83)</f>
        <v/>
      </c>
      <c r="B1356" s="80">
        <f>IF(OR(Pay!$AD83="",Pay!$AD83=0),"",Pay!$C83)</f>
        <v/>
      </c>
      <c r="C1356" s="80">
        <f>IF(OR(Pay!$AD83="",Pay!$AD83=0),"","پرداخت")</f>
        <v/>
      </c>
      <c r="D1356" s="80">
        <f>IF(OR(Pay!$AD83="",Pay!$AD83=0),"",Pay!$AD83)</f>
        <v/>
      </c>
      <c r="E1356" s="81">
        <f>IF(OR(Pay!$AD83="",Pay!$AD83=0),"",Pay!$P83)</f>
        <v/>
      </c>
      <c r="F1356" s="83" t="n"/>
      <c r="G1356" s="83" t="n"/>
      <c r="H1356" s="83" t="n"/>
      <c r="I1356" s="83" t="n"/>
      <c r="J1356" s="83" t="n"/>
      <c r="K1356" s="82">
        <f>IF(OR(Pay!$AD83="",Pay!$AD83=0),"",Pay!$K83)</f>
        <v/>
      </c>
      <c r="L1356" s="82">
        <f>IF(OR(Pay!$AD83="",Pay!$AD83=0),"",Pay!$AE83)</f>
        <v/>
      </c>
      <c r="M1356" s="82" t="n"/>
      <c r="N1356" s="81">
        <f>IF(OR(Pay!$AD83="",Pay!$AD83=0),"",Pay!$D83&amp;" — "&amp;Pay!$E83)</f>
        <v/>
      </c>
      <c r="O1356" s="81">
        <f>IF(OR(Pay!$AD83="",Pay!$AD83=0),"",IFERROR(VLOOKUP(Pay!$AD83,AcctTbl,3,0),""))</f>
        <v/>
      </c>
      <c r="P1356" s="82">
        <f>IF(Pay!$AD83&lt;&gt;"X011","",IF(Pay!$I83="","",Pay!$I83))</f>
        <v/>
      </c>
    </row>
    <row r="1357" ht="20.25" customHeight="1">
      <c r="A1357" s="80">
        <f>IF(OR(Pay!$AF83="",Pay!$AF83=0),"",Pay!$B83)</f>
        <v/>
      </c>
      <c r="B1357" s="80">
        <f>IF(OR(Pay!$AF83="",Pay!$AF83=0),"",Pay!$C83)</f>
        <v/>
      </c>
      <c r="C1357" s="80">
        <f>IF(OR(Pay!$AF83="",Pay!$AF83=0),"","پرداخت")</f>
        <v/>
      </c>
      <c r="D1357" s="80">
        <f>IF(OR(Pay!$AF83="",Pay!$AF83=0),"",Pay!$AF83)</f>
        <v/>
      </c>
      <c r="E1357" s="81">
        <f>IF(OR(Pay!$AF83="",Pay!$AF83=0),"",Pay!$P83)</f>
        <v/>
      </c>
      <c r="F1357" s="83" t="n"/>
      <c r="G1357" s="83" t="n"/>
      <c r="H1357" s="83" t="n"/>
      <c r="I1357" s="83" t="n"/>
      <c r="J1357" s="83" t="n"/>
      <c r="K1357" s="82">
        <f>IF(OR(Pay!$AF83="",Pay!$AF83=0),"",Pay!$K83)</f>
        <v/>
      </c>
      <c r="L1357" s="82" t="n"/>
      <c r="M1357" s="82">
        <f>IF(OR(Pay!$AF83="",Pay!$AF83=0),"",Pay!$AG83)</f>
        <v/>
      </c>
      <c r="N1357" s="81">
        <f>IF(OR(Pay!$AF83="",Pay!$AF83=0),"",Pay!$D83&amp;" — "&amp;Pay!$E83)</f>
        <v/>
      </c>
      <c r="O1357" s="81">
        <f>IF(OR(Pay!$AF83="",Pay!$AF83=0),"",IFERROR(VLOOKUP(Pay!$AF83,AcctTbl,3,0),""))</f>
        <v/>
      </c>
      <c r="P1357" s="82">
        <f>IF(Pay!$AF83&lt;&gt;"X011","",IF(Pay!$I83="","",Pay!$I83))</f>
        <v/>
      </c>
    </row>
    <row r="1358" ht="20.25" customHeight="1">
      <c r="A1358" s="80">
        <f>IF(OR(Pay!$AD84="",Pay!$AD84=0),"",Pay!$B84)</f>
        <v/>
      </c>
      <c r="B1358" s="80">
        <f>IF(OR(Pay!$AD84="",Pay!$AD84=0),"",Pay!$C84)</f>
        <v/>
      </c>
      <c r="C1358" s="80">
        <f>IF(OR(Pay!$AD84="",Pay!$AD84=0),"","پرداخت")</f>
        <v/>
      </c>
      <c r="D1358" s="80">
        <f>IF(OR(Pay!$AD84="",Pay!$AD84=0),"",Pay!$AD84)</f>
        <v/>
      </c>
      <c r="E1358" s="81">
        <f>IF(OR(Pay!$AD84="",Pay!$AD84=0),"",Pay!$P84)</f>
        <v/>
      </c>
      <c r="F1358" s="83" t="n"/>
      <c r="G1358" s="83" t="n"/>
      <c r="H1358" s="83" t="n"/>
      <c r="I1358" s="83" t="n"/>
      <c r="J1358" s="83" t="n"/>
      <c r="K1358" s="82">
        <f>IF(OR(Pay!$AD84="",Pay!$AD84=0),"",Pay!$K84)</f>
        <v/>
      </c>
      <c r="L1358" s="82">
        <f>IF(OR(Pay!$AD84="",Pay!$AD84=0),"",Pay!$AE84)</f>
        <v/>
      </c>
      <c r="M1358" s="82" t="n"/>
      <c r="N1358" s="81">
        <f>IF(OR(Pay!$AD84="",Pay!$AD84=0),"",Pay!$D84&amp;" — "&amp;Pay!$E84)</f>
        <v/>
      </c>
      <c r="O1358" s="81">
        <f>IF(OR(Pay!$AD84="",Pay!$AD84=0),"",IFERROR(VLOOKUP(Pay!$AD84,AcctTbl,3,0),""))</f>
        <v/>
      </c>
      <c r="P1358" s="82">
        <f>IF(Pay!$AD84&lt;&gt;"X011","",IF(Pay!$I84="","",Pay!$I84))</f>
        <v/>
      </c>
    </row>
    <row r="1359" ht="20.25" customHeight="1">
      <c r="A1359" s="80">
        <f>IF(OR(Pay!$AF84="",Pay!$AF84=0),"",Pay!$B84)</f>
        <v/>
      </c>
      <c r="B1359" s="80">
        <f>IF(OR(Pay!$AF84="",Pay!$AF84=0),"",Pay!$C84)</f>
        <v/>
      </c>
      <c r="C1359" s="80">
        <f>IF(OR(Pay!$AF84="",Pay!$AF84=0),"","پرداخت")</f>
        <v/>
      </c>
      <c r="D1359" s="80">
        <f>IF(OR(Pay!$AF84="",Pay!$AF84=0),"",Pay!$AF84)</f>
        <v/>
      </c>
      <c r="E1359" s="81">
        <f>IF(OR(Pay!$AF84="",Pay!$AF84=0),"",Pay!$P84)</f>
        <v/>
      </c>
      <c r="F1359" s="83" t="n"/>
      <c r="G1359" s="83" t="n"/>
      <c r="H1359" s="83" t="n"/>
      <c r="I1359" s="83" t="n"/>
      <c r="J1359" s="83" t="n"/>
      <c r="K1359" s="82">
        <f>IF(OR(Pay!$AF84="",Pay!$AF84=0),"",Pay!$K84)</f>
        <v/>
      </c>
      <c r="L1359" s="82" t="n"/>
      <c r="M1359" s="82">
        <f>IF(OR(Pay!$AF84="",Pay!$AF84=0),"",Pay!$AG84)</f>
        <v/>
      </c>
      <c r="N1359" s="81">
        <f>IF(OR(Pay!$AF84="",Pay!$AF84=0),"",Pay!$D84&amp;" — "&amp;Pay!$E84)</f>
        <v/>
      </c>
      <c r="O1359" s="81">
        <f>IF(OR(Pay!$AF84="",Pay!$AF84=0),"",IFERROR(VLOOKUP(Pay!$AF84,AcctTbl,3,0),""))</f>
        <v/>
      </c>
      <c r="P1359" s="82">
        <f>IF(Pay!$AF84&lt;&gt;"X011","",IF(Pay!$I84="","",Pay!$I84))</f>
        <v/>
      </c>
    </row>
    <row r="1360" ht="20.25" customHeight="1">
      <c r="A1360" s="80">
        <f>IF(OR(Pay!$AD85="",Pay!$AD85=0),"",Pay!$B85)</f>
        <v/>
      </c>
      <c r="B1360" s="80">
        <f>IF(OR(Pay!$AD85="",Pay!$AD85=0),"",Pay!$C85)</f>
        <v/>
      </c>
      <c r="C1360" s="80">
        <f>IF(OR(Pay!$AD85="",Pay!$AD85=0),"","پرداخت")</f>
        <v/>
      </c>
      <c r="D1360" s="80">
        <f>IF(OR(Pay!$AD85="",Pay!$AD85=0),"",Pay!$AD85)</f>
        <v/>
      </c>
      <c r="E1360" s="81">
        <f>IF(OR(Pay!$AD85="",Pay!$AD85=0),"",Pay!$P85)</f>
        <v/>
      </c>
      <c r="F1360" s="83" t="n"/>
      <c r="G1360" s="83" t="n"/>
      <c r="H1360" s="83" t="n"/>
      <c r="I1360" s="83" t="n"/>
      <c r="J1360" s="83" t="n"/>
      <c r="K1360" s="82">
        <f>IF(OR(Pay!$AD85="",Pay!$AD85=0),"",Pay!$K85)</f>
        <v/>
      </c>
      <c r="L1360" s="82">
        <f>IF(OR(Pay!$AD85="",Pay!$AD85=0),"",Pay!$AE85)</f>
        <v/>
      </c>
      <c r="M1360" s="82" t="n"/>
      <c r="N1360" s="81">
        <f>IF(OR(Pay!$AD85="",Pay!$AD85=0),"",Pay!$D85&amp;" — "&amp;Pay!$E85)</f>
        <v/>
      </c>
      <c r="O1360" s="81">
        <f>IF(OR(Pay!$AD85="",Pay!$AD85=0),"",IFERROR(VLOOKUP(Pay!$AD85,AcctTbl,3,0),""))</f>
        <v/>
      </c>
      <c r="P1360" s="82">
        <f>IF(Pay!$AD85&lt;&gt;"X011","",IF(Pay!$I85="","",Pay!$I85))</f>
        <v/>
      </c>
    </row>
    <row r="1361" ht="20.25" customHeight="1">
      <c r="A1361" s="80">
        <f>IF(OR(Pay!$AF85="",Pay!$AF85=0),"",Pay!$B85)</f>
        <v/>
      </c>
      <c r="B1361" s="80">
        <f>IF(OR(Pay!$AF85="",Pay!$AF85=0),"",Pay!$C85)</f>
        <v/>
      </c>
      <c r="C1361" s="80">
        <f>IF(OR(Pay!$AF85="",Pay!$AF85=0),"","پرداخت")</f>
        <v/>
      </c>
      <c r="D1361" s="80">
        <f>IF(OR(Pay!$AF85="",Pay!$AF85=0),"",Pay!$AF85)</f>
        <v/>
      </c>
      <c r="E1361" s="81">
        <f>IF(OR(Pay!$AF85="",Pay!$AF85=0),"",Pay!$P85)</f>
        <v/>
      </c>
      <c r="F1361" s="83" t="n"/>
      <c r="G1361" s="83" t="n"/>
      <c r="H1361" s="83" t="n"/>
      <c r="I1361" s="83" t="n"/>
      <c r="J1361" s="83" t="n"/>
      <c r="K1361" s="82">
        <f>IF(OR(Pay!$AF85="",Pay!$AF85=0),"",Pay!$K85)</f>
        <v/>
      </c>
      <c r="L1361" s="82" t="n"/>
      <c r="M1361" s="82">
        <f>IF(OR(Pay!$AF85="",Pay!$AF85=0),"",Pay!$AG85)</f>
        <v/>
      </c>
      <c r="N1361" s="81">
        <f>IF(OR(Pay!$AF85="",Pay!$AF85=0),"",Pay!$D85&amp;" — "&amp;Pay!$E85)</f>
        <v/>
      </c>
      <c r="O1361" s="81">
        <f>IF(OR(Pay!$AF85="",Pay!$AF85=0),"",IFERROR(VLOOKUP(Pay!$AF85,AcctTbl,3,0),""))</f>
        <v/>
      </c>
      <c r="P1361" s="82">
        <f>IF(Pay!$AF85&lt;&gt;"X011","",IF(Pay!$I85="","",Pay!$I85))</f>
        <v/>
      </c>
    </row>
    <row r="1362" ht="20.25" customHeight="1">
      <c r="A1362" s="80">
        <f>IF(OR(Pay!$AD86="",Pay!$AD86=0),"",Pay!$B86)</f>
        <v/>
      </c>
      <c r="B1362" s="80">
        <f>IF(OR(Pay!$AD86="",Pay!$AD86=0),"",Pay!$C86)</f>
        <v/>
      </c>
      <c r="C1362" s="80">
        <f>IF(OR(Pay!$AD86="",Pay!$AD86=0),"","پرداخت")</f>
        <v/>
      </c>
      <c r="D1362" s="80">
        <f>IF(OR(Pay!$AD86="",Pay!$AD86=0),"",Pay!$AD86)</f>
        <v/>
      </c>
      <c r="E1362" s="81">
        <f>IF(OR(Pay!$AD86="",Pay!$AD86=0),"",Pay!$P86)</f>
        <v/>
      </c>
      <c r="F1362" s="83" t="n"/>
      <c r="G1362" s="83" t="n"/>
      <c r="H1362" s="83" t="n"/>
      <c r="I1362" s="83" t="n"/>
      <c r="J1362" s="83" t="n"/>
      <c r="K1362" s="82">
        <f>IF(OR(Pay!$AD86="",Pay!$AD86=0),"",Pay!$K86)</f>
        <v/>
      </c>
      <c r="L1362" s="82">
        <f>IF(OR(Pay!$AD86="",Pay!$AD86=0),"",Pay!$AE86)</f>
        <v/>
      </c>
      <c r="M1362" s="82" t="n"/>
      <c r="N1362" s="81">
        <f>IF(OR(Pay!$AD86="",Pay!$AD86=0),"",Pay!$D86&amp;" — "&amp;Pay!$E86)</f>
        <v/>
      </c>
      <c r="O1362" s="81">
        <f>IF(OR(Pay!$AD86="",Pay!$AD86=0),"",IFERROR(VLOOKUP(Pay!$AD86,AcctTbl,3,0),""))</f>
        <v/>
      </c>
      <c r="P1362" s="82">
        <f>IF(Pay!$AD86&lt;&gt;"X011","",IF(Pay!$I86="","",Pay!$I86))</f>
        <v/>
      </c>
    </row>
    <row r="1363" ht="20.25" customHeight="1">
      <c r="A1363" s="80">
        <f>IF(OR(Pay!$AF86="",Pay!$AF86=0),"",Pay!$B86)</f>
        <v/>
      </c>
      <c r="B1363" s="80">
        <f>IF(OR(Pay!$AF86="",Pay!$AF86=0),"",Pay!$C86)</f>
        <v/>
      </c>
      <c r="C1363" s="80">
        <f>IF(OR(Pay!$AF86="",Pay!$AF86=0),"","پرداخت")</f>
        <v/>
      </c>
      <c r="D1363" s="80">
        <f>IF(OR(Pay!$AF86="",Pay!$AF86=0),"",Pay!$AF86)</f>
        <v/>
      </c>
      <c r="E1363" s="81">
        <f>IF(OR(Pay!$AF86="",Pay!$AF86=0),"",Pay!$P86)</f>
        <v/>
      </c>
      <c r="F1363" s="83" t="n"/>
      <c r="G1363" s="83" t="n"/>
      <c r="H1363" s="83" t="n"/>
      <c r="I1363" s="83" t="n"/>
      <c r="J1363" s="83" t="n"/>
      <c r="K1363" s="82">
        <f>IF(OR(Pay!$AF86="",Pay!$AF86=0),"",Pay!$K86)</f>
        <v/>
      </c>
      <c r="L1363" s="82" t="n"/>
      <c r="M1363" s="82">
        <f>IF(OR(Pay!$AF86="",Pay!$AF86=0),"",Pay!$AG86)</f>
        <v/>
      </c>
      <c r="N1363" s="81">
        <f>IF(OR(Pay!$AF86="",Pay!$AF86=0),"",Pay!$D86&amp;" — "&amp;Pay!$E86)</f>
        <v/>
      </c>
      <c r="O1363" s="81">
        <f>IF(OR(Pay!$AF86="",Pay!$AF86=0),"",IFERROR(VLOOKUP(Pay!$AF86,AcctTbl,3,0),""))</f>
        <v/>
      </c>
      <c r="P1363" s="82">
        <f>IF(Pay!$AF86&lt;&gt;"X011","",IF(Pay!$I86="","",Pay!$I86))</f>
        <v/>
      </c>
    </row>
    <row r="1364" ht="20.25" customHeight="1">
      <c r="A1364" s="80">
        <f>IF(OR(Pay!$AD87="",Pay!$AD87=0),"",Pay!$B87)</f>
        <v/>
      </c>
      <c r="B1364" s="80">
        <f>IF(OR(Pay!$AD87="",Pay!$AD87=0),"",Pay!$C87)</f>
        <v/>
      </c>
      <c r="C1364" s="80">
        <f>IF(OR(Pay!$AD87="",Pay!$AD87=0),"","پرداخت")</f>
        <v/>
      </c>
      <c r="D1364" s="80">
        <f>IF(OR(Pay!$AD87="",Pay!$AD87=0),"",Pay!$AD87)</f>
        <v/>
      </c>
      <c r="E1364" s="81">
        <f>IF(OR(Pay!$AD87="",Pay!$AD87=0),"",Pay!$P87)</f>
        <v/>
      </c>
      <c r="F1364" s="83" t="n"/>
      <c r="G1364" s="83" t="n"/>
      <c r="H1364" s="83" t="n"/>
      <c r="I1364" s="83" t="n"/>
      <c r="J1364" s="83" t="n"/>
      <c r="K1364" s="82">
        <f>IF(OR(Pay!$AD87="",Pay!$AD87=0),"",Pay!$K87)</f>
        <v/>
      </c>
      <c r="L1364" s="82">
        <f>IF(OR(Pay!$AD87="",Pay!$AD87=0),"",Pay!$AE87)</f>
        <v/>
      </c>
      <c r="M1364" s="82" t="n"/>
      <c r="N1364" s="81">
        <f>IF(OR(Pay!$AD87="",Pay!$AD87=0),"",Pay!$D87&amp;" — "&amp;Pay!$E87)</f>
        <v/>
      </c>
      <c r="O1364" s="81">
        <f>IF(OR(Pay!$AD87="",Pay!$AD87=0),"",IFERROR(VLOOKUP(Pay!$AD87,AcctTbl,3,0),""))</f>
        <v/>
      </c>
      <c r="P1364" s="82">
        <f>IF(Pay!$AD87&lt;&gt;"X011","",IF(Pay!$I87="","",Pay!$I87))</f>
        <v/>
      </c>
    </row>
    <row r="1365" ht="20.25" customHeight="1">
      <c r="A1365" s="80">
        <f>IF(OR(Pay!$AF87="",Pay!$AF87=0),"",Pay!$B87)</f>
        <v/>
      </c>
      <c r="B1365" s="80">
        <f>IF(OR(Pay!$AF87="",Pay!$AF87=0),"",Pay!$C87)</f>
        <v/>
      </c>
      <c r="C1365" s="80">
        <f>IF(OR(Pay!$AF87="",Pay!$AF87=0),"","پرداخت")</f>
        <v/>
      </c>
      <c r="D1365" s="80">
        <f>IF(OR(Pay!$AF87="",Pay!$AF87=0),"",Pay!$AF87)</f>
        <v/>
      </c>
      <c r="E1365" s="81">
        <f>IF(OR(Pay!$AF87="",Pay!$AF87=0),"",Pay!$P87)</f>
        <v/>
      </c>
      <c r="F1365" s="83" t="n"/>
      <c r="G1365" s="83" t="n"/>
      <c r="H1365" s="83" t="n"/>
      <c r="I1365" s="83" t="n"/>
      <c r="J1365" s="83" t="n"/>
      <c r="K1365" s="82">
        <f>IF(OR(Pay!$AF87="",Pay!$AF87=0),"",Pay!$K87)</f>
        <v/>
      </c>
      <c r="L1365" s="82" t="n"/>
      <c r="M1365" s="82">
        <f>IF(OR(Pay!$AF87="",Pay!$AF87=0),"",Pay!$AG87)</f>
        <v/>
      </c>
      <c r="N1365" s="81">
        <f>IF(OR(Pay!$AF87="",Pay!$AF87=0),"",Pay!$D87&amp;" — "&amp;Pay!$E87)</f>
        <v/>
      </c>
      <c r="O1365" s="81">
        <f>IF(OR(Pay!$AF87="",Pay!$AF87=0),"",IFERROR(VLOOKUP(Pay!$AF87,AcctTbl,3,0),""))</f>
        <v/>
      </c>
      <c r="P1365" s="82">
        <f>IF(Pay!$AF87&lt;&gt;"X011","",IF(Pay!$I87="","",Pay!$I87))</f>
        <v/>
      </c>
    </row>
    <row r="1366" ht="20.25" customHeight="1">
      <c r="A1366" s="80">
        <f>IF(OR(Pay!$AD88="",Pay!$AD88=0),"",Pay!$B88)</f>
        <v/>
      </c>
      <c r="B1366" s="80">
        <f>IF(OR(Pay!$AD88="",Pay!$AD88=0),"",Pay!$C88)</f>
        <v/>
      </c>
      <c r="C1366" s="80">
        <f>IF(OR(Pay!$AD88="",Pay!$AD88=0),"","پرداخت")</f>
        <v/>
      </c>
      <c r="D1366" s="80">
        <f>IF(OR(Pay!$AD88="",Pay!$AD88=0),"",Pay!$AD88)</f>
        <v/>
      </c>
      <c r="E1366" s="81">
        <f>IF(OR(Pay!$AD88="",Pay!$AD88=0),"",Pay!$P88)</f>
        <v/>
      </c>
      <c r="F1366" s="83" t="n"/>
      <c r="G1366" s="83" t="n"/>
      <c r="H1366" s="83" t="n"/>
      <c r="I1366" s="83" t="n"/>
      <c r="J1366" s="83" t="n"/>
      <c r="K1366" s="82">
        <f>IF(OR(Pay!$AD88="",Pay!$AD88=0),"",Pay!$K88)</f>
        <v/>
      </c>
      <c r="L1366" s="82">
        <f>IF(OR(Pay!$AD88="",Pay!$AD88=0),"",Pay!$AE88)</f>
        <v/>
      </c>
      <c r="M1366" s="82" t="n"/>
      <c r="N1366" s="81">
        <f>IF(OR(Pay!$AD88="",Pay!$AD88=0),"",Pay!$D88&amp;" — "&amp;Pay!$E88)</f>
        <v/>
      </c>
      <c r="O1366" s="81">
        <f>IF(OR(Pay!$AD88="",Pay!$AD88=0),"",IFERROR(VLOOKUP(Pay!$AD88,AcctTbl,3,0),""))</f>
        <v/>
      </c>
      <c r="P1366" s="82">
        <f>IF(Pay!$AD88&lt;&gt;"X011","",IF(Pay!$I88="","",Pay!$I88))</f>
        <v/>
      </c>
    </row>
    <row r="1367" ht="20.25" customHeight="1">
      <c r="A1367" s="80">
        <f>IF(OR(Pay!$AF88="",Pay!$AF88=0),"",Pay!$B88)</f>
        <v/>
      </c>
      <c r="B1367" s="80">
        <f>IF(OR(Pay!$AF88="",Pay!$AF88=0),"",Pay!$C88)</f>
        <v/>
      </c>
      <c r="C1367" s="80">
        <f>IF(OR(Pay!$AF88="",Pay!$AF88=0),"","پرداخت")</f>
        <v/>
      </c>
      <c r="D1367" s="80">
        <f>IF(OR(Pay!$AF88="",Pay!$AF88=0),"",Pay!$AF88)</f>
        <v/>
      </c>
      <c r="E1367" s="81">
        <f>IF(OR(Pay!$AF88="",Pay!$AF88=0),"",Pay!$P88)</f>
        <v/>
      </c>
      <c r="F1367" s="83" t="n"/>
      <c r="G1367" s="83" t="n"/>
      <c r="H1367" s="83" t="n"/>
      <c r="I1367" s="83" t="n"/>
      <c r="J1367" s="83" t="n"/>
      <c r="K1367" s="82">
        <f>IF(OR(Pay!$AF88="",Pay!$AF88=0),"",Pay!$K88)</f>
        <v/>
      </c>
      <c r="L1367" s="82" t="n"/>
      <c r="M1367" s="82">
        <f>IF(OR(Pay!$AF88="",Pay!$AF88=0),"",Pay!$AG88)</f>
        <v/>
      </c>
      <c r="N1367" s="81">
        <f>IF(OR(Pay!$AF88="",Pay!$AF88=0),"",Pay!$D88&amp;" — "&amp;Pay!$E88)</f>
        <v/>
      </c>
      <c r="O1367" s="81">
        <f>IF(OR(Pay!$AF88="",Pay!$AF88=0),"",IFERROR(VLOOKUP(Pay!$AF88,AcctTbl,3,0),""))</f>
        <v/>
      </c>
      <c r="P1367" s="82">
        <f>IF(Pay!$AF88&lt;&gt;"X011","",IF(Pay!$I88="","",Pay!$I88))</f>
        <v/>
      </c>
    </row>
    <row r="1368" ht="20.25" customHeight="1">
      <c r="A1368" s="80">
        <f>IF(OR(Pay!$AD89="",Pay!$AD89=0),"",Pay!$B89)</f>
        <v/>
      </c>
      <c r="B1368" s="80">
        <f>IF(OR(Pay!$AD89="",Pay!$AD89=0),"",Pay!$C89)</f>
        <v/>
      </c>
      <c r="C1368" s="80">
        <f>IF(OR(Pay!$AD89="",Pay!$AD89=0),"","پرداخت")</f>
        <v/>
      </c>
      <c r="D1368" s="80">
        <f>IF(OR(Pay!$AD89="",Pay!$AD89=0),"",Pay!$AD89)</f>
        <v/>
      </c>
      <c r="E1368" s="81">
        <f>IF(OR(Pay!$AD89="",Pay!$AD89=0),"",Pay!$P89)</f>
        <v/>
      </c>
      <c r="F1368" s="83" t="n"/>
      <c r="G1368" s="83" t="n"/>
      <c r="H1368" s="83" t="n"/>
      <c r="I1368" s="83" t="n"/>
      <c r="J1368" s="83" t="n"/>
      <c r="K1368" s="82">
        <f>IF(OR(Pay!$AD89="",Pay!$AD89=0),"",Pay!$K89)</f>
        <v/>
      </c>
      <c r="L1368" s="82">
        <f>IF(OR(Pay!$AD89="",Pay!$AD89=0),"",Pay!$AE89)</f>
        <v/>
      </c>
      <c r="M1368" s="82" t="n"/>
      <c r="N1368" s="81">
        <f>IF(OR(Pay!$AD89="",Pay!$AD89=0),"",Pay!$D89&amp;" — "&amp;Pay!$E89)</f>
        <v/>
      </c>
      <c r="O1368" s="81">
        <f>IF(OR(Pay!$AD89="",Pay!$AD89=0),"",IFERROR(VLOOKUP(Pay!$AD89,AcctTbl,3,0),""))</f>
        <v/>
      </c>
      <c r="P1368" s="82">
        <f>IF(Pay!$AD89&lt;&gt;"X011","",IF(Pay!$I89="","",Pay!$I89))</f>
        <v/>
      </c>
    </row>
    <row r="1369" ht="20.25" customHeight="1">
      <c r="A1369" s="80">
        <f>IF(OR(Pay!$AF89="",Pay!$AF89=0),"",Pay!$B89)</f>
        <v/>
      </c>
      <c r="B1369" s="80">
        <f>IF(OR(Pay!$AF89="",Pay!$AF89=0),"",Pay!$C89)</f>
        <v/>
      </c>
      <c r="C1369" s="80">
        <f>IF(OR(Pay!$AF89="",Pay!$AF89=0),"","پرداخت")</f>
        <v/>
      </c>
      <c r="D1369" s="80">
        <f>IF(OR(Pay!$AF89="",Pay!$AF89=0),"",Pay!$AF89)</f>
        <v/>
      </c>
      <c r="E1369" s="81">
        <f>IF(OR(Pay!$AF89="",Pay!$AF89=0),"",Pay!$P89)</f>
        <v/>
      </c>
      <c r="F1369" s="83" t="n"/>
      <c r="G1369" s="83" t="n"/>
      <c r="H1369" s="83" t="n"/>
      <c r="I1369" s="83" t="n"/>
      <c r="J1369" s="83" t="n"/>
      <c r="K1369" s="82">
        <f>IF(OR(Pay!$AF89="",Pay!$AF89=0),"",Pay!$K89)</f>
        <v/>
      </c>
      <c r="L1369" s="82" t="n"/>
      <c r="M1369" s="82">
        <f>IF(OR(Pay!$AF89="",Pay!$AF89=0),"",Pay!$AG89)</f>
        <v/>
      </c>
      <c r="N1369" s="81">
        <f>IF(OR(Pay!$AF89="",Pay!$AF89=0),"",Pay!$D89&amp;" — "&amp;Pay!$E89)</f>
        <v/>
      </c>
      <c r="O1369" s="81">
        <f>IF(OR(Pay!$AF89="",Pay!$AF89=0),"",IFERROR(VLOOKUP(Pay!$AF89,AcctTbl,3,0),""))</f>
        <v/>
      </c>
      <c r="P1369" s="82">
        <f>IF(Pay!$AF89&lt;&gt;"X011","",IF(Pay!$I89="","",Pay!$I89))</f>
        <v/>
      </c>
    </row>
    <row r="1370" ht="20.25" customHeight="1">
      <c r="A1370" s="80">
        <f>IF(OR(Pay!$AD90="",Pay!$AD90=0),"",Pay!$B90)</f>
        <v/>
      </c>
      <c r="B1370" s="80">
        <f>IF(OR(Pay!$AD90="",Pay!$AD90=0),"",Pay!$C90)</f>
        <v/>
      </c>
      <c r="C1370" s="80">
        <f>IF(OR(Pay!$AD90="",Pay!$AD90=0),"","پرداخت")</f>
        <v/>
      </c>
      <c r="D1370" s="80">
        <f>IF(OR(Pay!$AD90="",Pay!$AD90=0),"",Pay!$AD90)</f>
        <v/>
      </c>
      <c r="E1370" s="81">
        <f>IF(OR(Pay!$AD90="",Pay!$AD90=0),"",Pay!$P90)</f>
        <v/>
      </c>
      <c r="F1370" s="83" t="n"/>
      <c r="G1370" s="83" t="n"/>
      <c r="H1370" s="83" t="n"/>
      <c r="I1370" s="83" t="n"/>
      <c r="J1370" s="83" t="n"/>
      <c r="K1370" s="82">
        <f>IF(OR(Pay!$AD90="",Pay!$AD90=0),"",Pay!$K90)</f>
        <v/>
      </c>
      <c r="L1370" s="82">
        <f>IF(OR(Pay!$AD90="",Pay!$AD90=0),"",Pay!$AE90)</f>
        <v/>
      </c>
      <c r="M1370" s="82" t="n"/>
      <c r="N1370" s="81">
        <f>IF(OR(Pay!$AD90="",Pay!$AD90=0),"",Pay!$D90&amp;" — "&amp;Pay!$E90)</f>
        <v/>
      </c>
      <c r="O1370" s="81">
        <f>IF(OR(Pay!$AD90="",Pay!$AD90=0),"",IFERROR(VLOOKUP(Pay!$AD90,AcctTbl,3,0),""))</f>
        <v/>
      </c>
      <c r="P1370" s="82">
        <f>IF(Pay!$AD90&lt;&gt;"X011","",IF(Pay!$I90="","",Pay!$I90))</f>
        <v/>
      </c>
    </row>
    <row r="1371" ht="20.25" customHeight="1">
      <c r="A1371" s="80">
        <f>IF(OR(Pay!$AF90="",Pay!$AF90=0),"",Pay!$B90)</f>
        <v/>
      </c>
      <c r="B1371" s="80">
        <f>IF(OR(Pay!$AF90="",Pay!$AF90=0),"",Pay!$C90)</f>
        <v/>
      </c>
      <c r="C1371" s="80">
        <f>IF(OR(Pay!$AF90="",Pay!$AF90=0),"","پرداخت")</f>
        <v/>
      </c>
      <c r="D1371" s="80">
        <f>IF(OR(Pay!$AF90="",Pay!$AF90=0),"",Pay!$AF90)</f>
        <v/>
      </c>
      <c r="E1371" s="81">
        <f>IF(OR(Pay!$AF90="",Pay!$AF90=0),"",Pay!$P90)</f>
        <v/>
      </c>
      <c r="F1371" s="83" t="n"/>
      <c r="G1371" s="83" t="n"/>
      <c r="H1371" s="83" t="n"/>
      <c r="I1371" s="83" t="n"/>
      <c r="J1371" s="83" t="n"/>
      <c r="K1371" s="82">
        <f>IF(OR(Pay!$AF90="",Pay!$AF90=0),"",Pay!$K90)</f>
        <v/>
      </c>
      <c r="L1371" s="82" t="n"/>
      <c r="M1371" s="82">
        <f>IF(OR(Pay!$AF90="",Pay!$AF90=0),"",Pay!$AG90)</f>
        <v/>
      </c>
      <c r="N1371" s="81">
        <f>IF(OR(Pay!$AF90="",Pay!$AF90=0),"",Pay!$D90&amp;" — "&amp;Pay!$E90)</f>
        <v/>
      </c>
      <c r="O1371" s="81">
        <f>IF(OR(Pay!$AF90="",Pay!$AF90=0),"",IFERROR(VLOOKUP(Pay!$AF90,AcctTbl,3,0),""))</f>
        <v/>
      </c>
      <c r="P1371" s="82">
        <f>IF(Pay!$AF90&lt;&gt;"X011","",IF(Pay!$I90="","",Pay!$I90))</f>
        <v/>
      </c>
    </row>
    <row r="1372" ht="20.25" customHeight="1">
      <c r="A1372" s="80">
        <f>IF(OR(Pay!$AD91="",Pay!$AD91=0),"",Pay!$B91)</f>
        <v/>
      </c>
      <c r="B1372" s="80">
        <f>IF(OR(Pay!$AD91="",Pay!$AD91=0),"",Pay!$C91)</f>
        <v/>
      </c>
      <c r="C1372" s="80">
        <f>IF(OR(Pay!$AD91="",Pay!$AD91=0),"","پرداخت")</f>
        <v/>
      </c>
      <c r="D1372" s="80">
        <f>IF(OR(Pay!$AD91="",Pay!$AD91=0),"",Pay!$AD91)</f>
        <v/>
      </c>
      <c r="E1372" s="81">
        <f>IF(OR(Pay!$AD91="",Pay!$AD91=0),"",Pay!$P91)</f>
        <v/>
      </c>
      <c r="F1372" s="83" t="n"/>
      <c r="G1372" s="83" t="n"/>
      <c r="H1372" s="83" t="n"/>
      <c r="I1372" s="83" t="n"/>
      <c r="J1372" s="83" t="n"/>
      <c r="K1372" s="82">
        <f>IF(OR(Pay!$AD91="",Pay!$AD91=0),"",Pay!$K91)</f>
        <v/>
      </c>
      <c r="L1372" s="82">
        <f>IF(OR(Pay!$AD91="",Pay!$AD91=0),"",Pay!$AE91)</f>
        <v/>
      </c>
      <c r="M1372" s="82" t="n"/>
      <c r="N1372" s="81">
        <f>IF(OR(Pay!$AD91="",Pay!$AD91=0),"",Pay!$D91&amp;" — "&amp;Pay!$E91)</f>
        <v/>
      </c>
      <c r="O1372" s="81">
        <f>IF(OR(Pay!$AD91="",Pay!$AD91=0),"",IFERROR(VLOOKUP(Pay!$AD91,AcctTbl,3,0),""))</f>
        <v/>
      </c>
      <c r="P1372" s="82">
        <f>IF(Pay!$AD91&lt;&gt;"X011","",IF(Pay!$I91="","",Pay!$I91))</f>
        <v/>
      </c>
    </row>
    <row r="1373" ht="20.25" customHeight="1">
      <c r="A1373" s="80">
        <f>IF(OR(Pay!$AF91="",Pay!$AF91=0),"",Pay!$B91)</f>
        <v/>
      </c>
      <c r="B1373" s="80">
        <f>IF(OR(Pay!$AF91="",Pay!$AF91=0),"",Pay!$C91)</f>
        <v/>
      </c>
      <c r="C1373" s="80">
        <f>IF(OR(Pay!$AF91="",Pay!$AF91=0),"","پرداخت")</f>
        <v/>
      </c>
      <c r="D1373" s="80">
        <f>IF(OR(Pay!$AF91="",Pay!$AF91=0),"",Pay!$AF91)</f>
        <v/>
      </c>
      <c r="E1373" s="81">
        <f>IF(OR(Pay!$AF91="",Pay!$AF91=0),"",Pay!$P91)</f>
        <v/>
      </c>
      <c r="F1373" s="83" t="n"/>
      <c r="G1373" s="83" t="n"/>
      <c r="H1373" s="83" t="n"/>
      <c r="I1373" s="83" t="n"/>
      <c r="J1373" s="83" t="n"/>
      <c r="K1373" s="82">
        <f>IF(OR(Pay!$AF91="",Pay!$AF91=0),"",Pay!$K91)</f>
        <v/>
      </c>
      <c r="L1373" s="82" t="n"/>
      <c r="M1373" s="82">
        <f>IF(OR(Pay!$AF91="",Pay!$AF91=0),"",Pay!$AG91)</f>
        <v/>
      </c>
      <c r="N1373" s="81">
        <f>IF(OR(Pay!$AF91="",Pay!$AF91=0),"",Pay!$D91&amp;" — "&amp;Pay!$E91)</f>
        <v/>
      </c>
      <c r="O1373" s="81">
        <f>IF(OR(Pay!$AF91="",Pay!$AF91=0),"",IFERROR(VLOOKUP(Pay!$AF91,AcctTbl,3,0),""))</f>
        <v/>
      </c>
      <c r="P1373" s="82">
        <f>IF(Pay!$AF91&lt;&gt;"X011","",IF(Pay!$I91="","",Pay!$I91))</f>
        <v/>
      </c>
    </row>
    <row r="1374" ht="20.25" customHeight="1">
      <c r="A1374" s="80">
        <f>IF(OR(Pay!$AD92="",Pay!$AD92=0),"",Pay!$B92)</f>
        <v/>
      </c>
      <c r="B1374" s="80">
        <f>IF(OR(Pay!$AD92="",Pay!$AD92=0),"",Pay!$C92)</f>
        <v/>
      </c>
      <c r="C1374" s="80">
        <f>IF(OR(Pay!$AD92="",Pay!$AD92=0),"","پرداخت")</f>
        <v/>
      </c>
      <c r="D1374" s="80">
        <f>IF(OR(Pay!$AD92="",Pay!$AD92=0),"",Pay!$AD92)</f>
        <v/>
      </c>
      <c r="E1374" s="81">
        <f>IF(OR(Pay!$AD92="",Pay!$AD92=0),"",Pay!$P92)</f>
        <v/>
      </c>
      <c r="F1374" s="83" t="n"/>
      <c r="G1374" s="83" t="n"/>
      <c r="H1374" s="83" t="n"/>
      <c r="I1374" s="83" t="n"/>
      <c r="J1374" s="83" t="n"/>
      <c r="K1374" s="82">
        <f>IF(OR(Pay!$AD92="",Pay!$AD92=0),"",Pay!$K92)</f>
        <v/>
      </c>
      <c r="L1374" s="82">
        <f>IF(OR(Pay!$AD92="",Pay!$AD92=0),"",Pay!$AE92)</f>
        <v/>
      </c>
      <c r="M1374" s="82" t="n"/>
      <c r="N1374" s="81">
        <f>IF(OR(Pay!$AD92="",Pay!$AD92=0),"",Pay!$D92&amp;" — "&amp;Pay!$E92)</f>
        <v/>
      </c>
      <c r="O1374" s="81">
        <f>IF(OR(Pay!$AD92="",Pay!$AD92=0),"",IFERROR(VLOOKUP(Pay!$AD92,AcctTbl,3,0),""))</f>
        <v/>
      </c>
      <c r="P1374" s="82">
        <f>IF(Pay!$AD92&lt;&gt;"X011","",IF(Pay!$I92="","",Pay!$I92))</f>
        <v/>
      </c>
    </row>
    <row r="1375" ht="20.25" customHeight="1">
      <c r="A1375" s="80">
        <f>IF(OR(Pay!$AF92="",Pay!$AF92=0),"",Pay!$B92)</f>
        <v/>
      </c>
      <c r="B1375" s="80">
        <f>IF(OR(Pay!$AF92="",Pay!$AF92=0),"",Pay!$C92)</f>
        <v/>
      </c>
      <c r="C1375" s="80">
        <f>IF(OR(Pay!$AF92="",Pay!$AF92=0),"","پرداخت")</f>
        <v/>
      </c>
      <c r="D1375" s="80">
        <f>IF(OR(Pay!$AF92="",Pay!$AF92=0),"",Pay!$AF92)</f>
        <v/>
      </c>
      <c r="E1375" s="81">
        <f>IF(OR(Pay!$AF92="",Pay!$AF92=0),"",Pay!$P92)</f>
        <v/>
      </c>
      <c r="F1375" s="83" t="n"/>
      <c r="G1375" s="83" t="n"/>
      <c r="H1375" s="83" t="n"/>
      <c r="I1375" s="83" t="n"/>
      <c r="J1375" s="83" t="n"/>
      <c r="K1375" s="82">
        <f>IF(OR(Pay!$AF92="",Pay!$AF92=0),"",Pay!$K92)</f>
        <v/>
      </c>
      <c r="L1375" s="82" t="n"/>
      <c r="M1375" s="82">
        <f>IF(OR(Pay!$AF92="",Pay!$AF92=0),"",Pay!$AG92)</f>
        <v/>
      </c>
      <c r="N1375" s="81">
        <f>IF(OR(Pay!$AF92="",Pay!$AF92=0),"",Pay!$D92&amp;" — "&amp;Pay!$E92)</f>
        <v/>
      </c>
      <c r="O1375" s="81">
        <f>IF(OR(Pay!$AF92="",Pay!$AF92=0),"",IFERROR(VLOOKUP(Pay!$AF92,AcctTbl,3,0),""))</f>
        <v/>
      </c>
      <c r="P1375" s="82">
        <f>IF(Pay!$AF92&lt;&gt;"X011","",IF(Pay!$I92="","",Pay!$I92))</f>
        <v/>
      </c>
    </row>
    <row r="1376" ht="20.25" customHeight="1">
      <c r="A1376" s="80">
        <f>IF(OR(Pay!$AD93="",Pay!$AD93=0),"",Pay!$B93)</f>
        <v/>
      </c>
      <c r="B1376" s="80">
        <f>IF(OR(Pay!$AD93="",Pay!$AD93=0),"",Pay!$C93)</f>
        <v/>
      </c>
      <c r="C1376" s="80">
        <f>IF(OR(Pay!$AD93="",Pay!$AD93=0),"","پرداخت")</f>
        <v/>
      </c>
      <c r="D1376" s="80">
        <f>IF(OR(Pay!$AD93="",Pay!$AD93=0),"",Pay!$AD93)</f>
        <v/>
      </c>
      <c r="E1376" s="81">
        <f>IF(OR(Pay!$AD93="",Pay!$AD93=0),"",Pay!$P93)</f>
        <v/>
      </c>
      <c r="F1376" s="83" t="n"/>
      <c r="G1376" s="83" t="n"/>
      <c r="H1376" s="83" t="n"/>
      <c r="I1376" s="83" t="n"/>
      <c r="J1376" s="83" t="n"/>
      <c r="K1376" s="82">
        <f>IF(OR(Pay!$AD93="",Pay!$AD93=0),"",Pay!$K93)</f>
        <v/>
      </c>
      <c r="L1376" s="82">
        <f>IF(OR(Pay!$AD93="",Pay!$AD93=0),"",Pay!$AE93)</f>
        <v/>
      </c>
      <c r="M1376" s="82" t="n"/>
      <c r="N1376" s="81">
        <f>IF(OR(Pay!$AD93="",Pay!$AD93=0),"",Pay!$D93&amp;" — "&amp;Pay!$E93)</f>
        <v/>
      </c>
      <c r="O1376" s="81">
        <f>IF(OR(Pay!$AD93="",Pay!$AD93=0),"",IFERROR(VLOOKUP(Pay!$AD93,AcctTbl,3,0),""))</f>
        <v/>
      </c>
      <c r="P1376" s="82">
        <f>IF(Pay!$AD93&lt;&gt;"X011","",IF(Pay!$I93="","",Pay!$I93))</f>
        <v/>
      </c>
    </row>
    <row r="1377" ht="20.25" customHeight="1">
      <c r="A1377" s="80">
        <f>IF(OR(Pay!$AF93="",Pay!$AF93=0),"",Pay!$B93)</f>
        <v/>
      </c>
      <c r="B1377" s="80">
        <f>IF(OR(Pay!$AF93="",Pay!$AF93=0),"",Pay!$C93)</f>
        <v/>
      </c>
      <c r="C1377" s="80">
        <f>IF(OR(Pay!$AF93="",Pay!$AF93=0),"","پرداخت")</f>
        <v/>
      </c>
      <c r="D1377" s="80">
        <f>IF(OR(Pay!$AF93="",Pay!$AF93=0),"",Pay!$AF93)</f>
        <v/>
      </c>
      <c r="E1377" s="81">
        <f>IF(OR(Pay!$AF93="",Pay!$AF93=0),"",Pay!$P93)</f>
        <v/>
      </c>
      <c r="F1377" s="83" t="n"/>
      <c r="G1377" s="83" t="n"/>
      <c r="H1377" s="83" t="n"/>
      <c r="I1377" s="83" t="n"/>
      <c r="J1377" s="83" t="n"/>
      <c r="K1377" s="82">
        <f>IF(OR(Pay!$AF93="",Pay!$AF93=0),"",Pay!$K93)</f>
        <v/>
      </c>
      <c r="L1377" s="82" t="n"/>
      <c r="M1377" s="82">
        <f>IF(OR(Pay!$AF93="",Pay!$AF93=0),"",Pay!$AG93)</f>
        <v/>
      </c>
      <c r="N1377" s="81">
        <f>IF(OR(Pay!$AF93="",Pay!$AF93=0),"",Pay!$D93&amp;" — "&amp;Pay!$E93)</f>
        <v/>
      </c>
      <c r="O1377" s="81">
        <f>IF(OR(Pay!$AF93="",Pay!$AF93=0),"",IFERROR(VLOOKUP(Pay!$AF93,AcctTbl,3,0),""))</f>
        <v/>
      </c>
      <c r="P1377" s="82">
        <f>IF(Pay!$AF93&lt;&gt;"X011","",IF(Pay!$I93="","",Pay!$I93))</f>
        <v/>
      </c>
    </row>
    <row r="1378" ht="20.25" customHeight="1">
      <c r="A1378" s="80">
        <f>IF(OR(Pay!$AD94="",Pay!$AD94=0),"",Pay!$B94)</f>
        <v/>
      </c>
      <c r="B1378" s="80">
        <f>IF(OR(Pay!$AD94="",Pay!$AD94=0),"",Pay!$C94)</f>
        <v/>
      </c>
      <c r="C1378" s="80">
        <f>IF(OR(Pay!$AD94="",Pay!$AD94=0),"","پرداخت")</f>
        <v/>
      </c>
      <c r="D1378" s="80">
        <f>IF(OR(Pay!$AD94="",Pay!$AD94=0),"",Pay!$AD94)</f>
        <v/>
      </c>
      <c r="E1378" s="81">
        <f>IF(OR(Pay!$AD94="",Pay!$AD94=0),"",Pay!$P94)</f>
        <v/>
      </c>
      <c r="F1378" s="83" t="n"/>
      <c r="G1378" s="83" t="n"/>
      <c r="H1378" s="83" t="n"/>
      <c r="I1378" s="83" t="n"/>
      <c r="J1378" s="83" t="n"/>
      <c r="K1378" s="82">
        <f>IF(OR(Pay!$AD94="",Pay!$AD94=0),"",Pay!$K94)</f>
        <v/>
      </c>
      <c r="L1378" s="82">
        <f>IF(OR(Pay!$AD94="",Pay!$AD94=0),"",Pay!$AE94)</f>
        <v/>
      </c>
      <c r="M1378" s="82" t="n"/>
      <c r="N1378" s="81">
        <f>IF(OR(Pay!$AD94="",Pay!$AD94=0),"",Pay!$D94&amp;" — "&amp;Pay!$E94)</f>
        <v/>
      </c>
      <c r="O1378" s="81">
        <f>IF(OR(Pay!$AD94="",Pay!$AD94=0),"",IFERROR(VLOOKUP(Pay!$AD94,AcctTbl,3,0),""))</f>
        <v/>
      </c>
      <c r="P1378" s="82">
        <f>IF(Pay!$AD94&lt;&gt;"X011","",IF(Pay!$I94="","",Pay!$I94))</f>
        <v/>
      </c>
    </row>
    <row r="1379" ht="20.25" customHeight="1">
      <c r="A1379" s="80">
        <f>IF(OR(Pay!$AF94="",Pay!$AF94=0),"",Pay!$B94)</f>
        <v/>
      </c>
      <c r="B1379" s="80">
        <f>IF(OR(Pay!$AF94="",Pay!$AF94=0),"",Pay!$C94)</f>
        <v/>
      </c>
      <c r="C1379" s="80">
        <f>IF(OR(Pay!$AF94="",Pay!$AF94=0),"","پرداخت")</f>
        <v/>
      </c>
      <c r="D1379" s="80">
        <f>IF(OR(Pay!$AF94="",Pay!$AF94=0),"",Pay!$AF94)</f>
        <v/>
      </c>
      <c r="E1379" s="81">
        <f>IF(OR(Pay!$AF94="",Pay!$AF94=0),"",Pay!$P94)</f>
        <v/>
      </c>
      <c r="F1379" s="83" t="n"/>
      <c r="G1379" s="83" t="n"/>
      <c r="H1379" s="83" t="n"/>
      <c r="I1379" s="83" t="n"/>
      <c r="J1379" s="83" t="n"/>
      <c r="K1379" s="82">
        <f>IF(OR(Pay!$AF94="",Pay!$AF94=0),"",Pay!$K94)</f>
        <v/>
      </c>
      <c r="L1379" s="82" t="n"/>
      <c r="M1379" s="82">
        <f>IF(OR(Pay!$AF94="",Pay!$AF94=0),"",Pay!$AG94)</f>
        <v/>
      </c>
      <c r="N1379" s="81">
        <f>IF(OR(Pay!$AF94="",Pay!$AF94=0),"",Pay!$D94&amp;" — "&amp;Pay!$E94)</f>
        <v/>
      </c>
      <c r="O1379" s="81">
        <f>IF(OR(Pay!$AF94="",Pay!$AF94=0),"",IFERROR(VLOOKUP(Pay!$AF94,AcctTbl,3,0),""))</f>
        <v/>
      </c>
      <c r="P1379" s="82">
        <f>IF(Pay!$AF94&lt;&gt;"X011","",IF(Pay!$I94="","",Pay!$I94))</f>
        <v/>
      </c>
    </row>
    <row r="1380" ht="20.25" customHeight="1">
      <c r="A1380" s="80">
        <f>IF(OR(Pay!$AD95="",Pay!$AD95=0),"",Pay!$B95)</f>
        <v/>
      </c>
      <c r="B1380" s="80">
        <f>IF(OR(Pay!$AD95="",Pay!$AD95=0),"",Pay!$C95)</f>
        <v/>
      </c>
      <c r="C1380" s="80">
        <f>IF(OR(Pay!$AD95="",Pay!$AD95=0),"","پرداخت")</f>
        <v/>
      </c>
      <c r="D1380" s="80">
        <f>IF(OR(Pay!$AD95="",Pay!$AD95=0),"",Pay!$AD95)</f>
        <v/>
      </c>
      <c r="E1380" s="81">
        <f>IF(OR(Pay!$AD95="",Pay!$AD95=0),"",Pay!$P95)</f>
        <v/>
      </c>
      <c r="F1380" s="83" t="n"/>
      <c r="G1380" s="83" t="n"/>
      <c r="H1380" s="83" t="n"/>
      <c r="I1380" s="83" t="n"/>
      <c r="J1380" s="83" t="n"/>
      <c r="K1380" s="82">
        <f>IF(OR(Pay!$AD95="",Pay!$AD95=0),"",Pay!$K95)</f>
        <v/>
      </c>
      <c r="L1380" s="82">
        <f>IF(OR(Pay!$AD95="",Pay!$AD95=0),"",Pay!$AE95)</f>
        <v/>
      </c>
      <c r="M1380" s="82" t="n"/>
      <c r="N1380" s="81">
        <f>IF(OR(Pay!$AD95="",Pay!$AD95=0),"",Pay!$D95&amp;" — "&amp;Pay!$E95)</f>
        <v/>
      </c>
      <c r="O1380" s="81">
        <f>IF(OR(Pay!$AD95="",Pay!$AD95=0),"",IFERROR(VLOOKUP(Pay!$AD95,AcctTbl,3,0),""))</f>
        <v/>
      </c>
      <c r="P1380" s="82">
        <f>IF(Pay!$AD95&lt;&gt;"X011","",IF(Pay!$I95="","",Pay!$I95))</f>
        <v/>
      </c>
    </row>
    <row r="1381" ht="20.25" customHeight="1">
      <c r="A1381" s="80">
        <f>IF(OR(Pay!$AF95="",Pay!$AF95=0),"",Pay!$B95)</f>
        <v/>
      </c>
      <c r="B1381" s="80">
        <f>IF(OR(Pay!$AF95="",Pay!$AF95=0),"",Pay!$C95)</f>
        <v/>
      </c>
      <c r="C1381" s="80">
        <f>IF(OR(Pay!$AF95="",Pay!$AF95=0),"","پرداخت")</f>
        <v/>
      </c>
      <c r="D1381" s="80">
        <f>IF(OR(Pay!$AF95="",Pay!$AF95=0),"",Pay!$AF95)</f>
        <v/>
      </c>
      <c r="E1381" s="81">
        <f>IF(OR(Pay!$AF95="",Pay!$AF95=0),"",Pay!$P95)</f>
        <v/>
      </c>
      <c r="F1381" s="83" t="n"/>
      <c r="G1381" s="83" t="n"/>
      <c r="H1381" s="83" t="n"/>
      <c r="I1381" s="83" t="n"/>
      <c r="J1381" s="83" t="n"/>
      <c r="K1381" s="82">
        <f>IF(OR(Pay!$AF95="",Pay!$AF95=0),"",Pay!$K95)</f>
        <v/>
      </c>
      <c r="L1381" s="82" t="n"/>
      <c r="M1381" s="82">
        <f>IF(OR(Pay!$AF95="",Pay!$AF95=0),"",Pay!$AG95)</f>
        <v/>
      </c>
      <c r="N1381" s="81">
        <f>IF(OR(Pay!$AF95="",Pay!$AF95=0),"",Pay!$D95&amp;" — "&amp;Pay!$E95)</f>
        <v/>
      </c>
      <c r="O1381" s="81">
        <f>IF(OR(Pay!$AF95="",Pay!$AF95=0),"",IFERROR(VLOOKUP(Pay!$AF95,AcctTbl,3,0),""))</f>
        <v/>
      </c>
      <c r="P1381" s="82">
        <f>IF(Pay!$AF95&lt;&gt;"X011","",IF(Pay!$I95="","",Pay!$I95))</f>
        <v/>
      </c>
    </row>
    <row r="1382" ht="20.25" customHeight="1">
      <c r="A1382" s="80">
        <f>IF(OR(Pay!$AD96="",Pay!$AD96=0),"",Pay!$B96)</f>
        <v/>
      </c>
      <c r="B1382" s="80">
        <f>IF(OR(Pay!$AD96="",Pay!$AD96=0),"",Pay!$C96)</f>
        <v/>
      </c>
      <c r="C1382" s="80">
        <f>IF(OR(Pay!$AD96="",Pay!$AD96=0),"","پرداخت")</f>
        <v/>
      </c>
      <c r="D1382" s="80">
        <f>IF(OR(Pay!$AD96="",Pay!$AD96=0),"",Pay!$AD96)</f>
        <v/>
      </c>
      <c r="E1382" s="81">
        <f>IF(OR(Pay!$AD96="",Pay!$AD96=0),"",Pay!$P96)</f>
        <v/>
      </c>
      <c r="F1382" s="83" t="n"/>
      <c r="G1382" s="83" t="n"/>
      <c r="H1382" s="83" t="n"/>
      <c r="I1382" s="83" t="n"/>
      <c r="J1382" s="83" t="n"/>
      <c r="K1382" s="82">
        <f>IF(OR(Pay!$AD96="",Pay!$AD96=0),"",Pay!$K96)</f>
        <v/>
      </c>
      <c r="L1382" s="82">
        <f>IF(OR(Pay!$AD96="",Pay!$AD96=0),"",Pay!$AE96)</f>
        <v/>
      </c>
      <c r="M1382" s="82" t="n"/>
      <c r="N1382" s="81">
        <f>IF(OR(Pay!$AD96="",Pay!$AD96=0),"",Pay!$D96&amp;" — "&amp;Pay!$E96)</f>
        <v/>
      </c>
      <c r="O1382" s="81">
        <f>IF(OR(Pay!$AD96="",Pay!$AD96=0),"",IFERROR(VLOOKUP(Pay!$AD96,AcctTbl,3,0),""))</f>
        <v/>
      </c>
      <c r="P1382" s="82">
        <f>IF(Pay!$AD96&lt;&gt;"X011","",IF(Pay!$I96="","",Pay!$I96))</f>
        <v/>
      </c>
    </row>
    <row r="1383" ht="20.25" customHeight="1">
      <c r="A1383" s="80">
        <f>IF(OR(Pay!$AF96="",Pay!$AF96=0),"",Pay!$B96)</f>
        <v/>
      </c>
      <c r="B1383" s="80">
        <f>IF(OR(Pay!$AF96="",Pay!$AF96=0),"",Pay!$C96)</f>
        <v/>
      </c>
      <c r="C1383" s="80">
        <f>IF(OR(Pay!$AF96="",Pay!$AF96=0),"","پرداخت")</f>
        <v/>
      </c>
      <c r="D1383" s="80">
        <f>IF(OR(Pay!$AF96="",Pay!$AF96=0),"",Pay!$AF96)</f>
        <v/>
      </c>
      <c r="E1383" s="81">
        <f>IF(OR(Pay!$AF96="",Pay!$AF96=0),"",Pay!$P96)</f>
        <v/>
      </c>
      <c r="F1383" s="83" t="n"/>
      <c r="G1383" s="83" t="n"/>
      <c r="H1383" s="83" t="n"/>
      <c r="I1383" s="83" t="n"/>
      <c r="J1383" s="83" t="n"/>
      <c r="K1383" s="82">
        <f>IF(OR(Pay!$AF96="",Pay!$AF96=0),"",Pay!$K96)</f>
        <v/>
      </c>
      <c r="L1383" s="82" t="n"/>
      <c r="M1383" s="82">
        <f>IF(OR(Pay!$AF96="",Pay!$AF96=0),"",Pay!$AG96)</f>
        <v/>
      </c>
      <c r="N1383" s="81">
        <f>IF(OR(Pay!$AF96="",Pay!$AF96=0),"",Pay!$D96&amp;" — "&amp;Pay!$E96)</f>
        <v/>
      </c>
      <c r="O1383" s="81">
        <f>IF(OR(Pay!$AF96="",Pay!$AF96=0),"",IFERROR(VLOOKUP(Pay!$AF96,AcctTbl,3,0),""))</f>
        <v/>
      </c>
      <c r="P1383" s="82">
        <f>IF(Pay!$AF96&lt;&gt;"X011","",IF(Pay!$I96="","",Pay!$I96))</f>
        <v/>
      </c>
    </row>
    <row r="1384" ht="20.25" customHeight="1">
      <c r="A1384" s="80">
        <f>IF(OR(Pay!$AD97="",Pay!$AD97=0),"",Pay!$B97)</f>
        <v/>
      </c>
      <c r="B1384" s="80">
        <f>IF(OR(Pay!$AD97="",Pay!$AD97=0),"",Pay!$C97)</f>
        <v/>
      </c>
      <c r="C1384" s="80">
        <f>IF(OR(Pay!$AD97="",Pay!$AD97=0),"","پرداخت")</f>
        <v/>
      </c>
      <c r="D1384" s="80">
        <f>IF(OR(Pay!$AD97="",Pay!$AD97=0),"",Pay!$AD97)</f>
        <v/>
      </c>
      <c r="E1384" s="81">
        <f>IF(OR(Pay!$AD97="",Pay!$AD97=0),"",Pay!$P97)</f>
        <v/>
      </c>
      <c r="F1384" s="83" t="n"/>
      <c r="G1384" s="83" t="n"/>
      <c r="H1384" s="83" t="n"/>
      <c r="I1384" s="83" t="n"/>
      <c r="J1384" s="83" t="n"/>
      <c r="K1384" s="82">
        <f>IF(OR(Pay!$AD97="",Pay!$AD97=0),"",Pay!$K97)</f>
        <v/>
      </c>
      <c r="L1384" s="82">
        <f>IF(OR(Pay!$AD97="",Pay!$AD97=0),"",Pay!$AE97)</f>
        <v/>
      </c>
      <c r="M1384" s="82" t="n"/>
      <c r="N1384" s="81">
        <f>IF(OR(Pay!$AD97="",Pay!$AD97=0),"",Pay!$D97&amp;" — "&amp;Pay!$E97)</f>
        <v/>
      </c>
      <c r="O1384" s="81">
        <f>IF(OR(Pay!$AD97="",Pay!$AD97=0),"",IFERROR(VLOOKUP(Pay!$AD97,AcctTbl,3,0),""))</f>
        <v/>
      </c>
      <c r="P1384" s="82">
        <f>IF(Pay!$AD97&lt;&gt;"X011","",IF(Pay!$I97="","",Pay!$I97))</f>
        <v/>
      </c>
    </row>
    <row r="1385" ht="20.25" customHeight="1">
      <c r="A1385" s="80">
        <f>IF(OR(Pay!$AF97="",Pay!$AF97=0),"",Pay!$B97)</f>
        <v/>
      </c>
      <c r="B1385" s="80">
        <f>IF(OR(Pay!$AF97="",Pay!$AF97=0),"",Pay!$C97)</f>
        <v/>
      </c>
      <c r="C1385" s="80">
        <f>IF(OR(Pay!$AF97="",Pay!$AF97=0),"","پرداخت")</f>
        <v/>
      </c>
      <c r="D1385" s="80">
        <f>IF(OR(Pay!$AF97="",Pay!$AF97=0),"",Pay!$AF97)</f>
        <v/>
      </c>
      <c r="E1385" s="81">
        <f>IF(OR(Pay!$AF97="",Pay!$AF97=0),"",Pay!$P97)</f>
        <v/>
      </c>
      <c r="F1385" s="83" t="n"/>
      <c r="G1385" s="83" t="n"/>
      <c r="H1385" s="83" t="n"/>
      <c r="I1385" s="83" t="n"/>
      <c r="J1385" s="83" t="n"/>
      <c r="K1385" s="82">
        <f>IF(OR(Pay!$AF97="",Pay!$AF97=0),"",Pay!$K97)</f>
        <v/>
      </c>
      <c r="L1385" s="82" t="n"/>
      <c r="M1385" s="82">
        <f>IF(OR(Pay!$AF97="",Pay!$AF97=0),"",Pay!$AG97)</f>
        <v/>
      </c>
      <c r="N1385" s="81">
        <f>IF(OR(Pay!$AF97="",Pay!$AF97=0),"",Pay!$D97&amp;" — "&amp;Pay!$E97)</f>
        <v/>
      </c>
      <c r="O1385" s="81">
        <f>IF(OR(Pay!$AF97="",Pay!$AF97=0),"",IFERROR(VLOOKUP(Pay!$AF97,AcctTbl,3,0),""))</f>
        <v/>
      </c>
      <c r="P1385" s="82">
        <f>IF(Pay!$AF97&lt;&gt;"X011","",IF(Pay!$I97="","",Pay!$I97))</f>
        <v/>
      </c>
    </row>
    <row r="1386" ht="20.25" customHeight="1">
      <c r="A1386" s="80">
        <f>IF(OR(Pay!$AD98="",Pay!$AD98=0),"",Pay!$B98)</f>
        <v/>
      </c>
      <c r="B1386" s="80">
        <f>IF(OR(Pay!$AD98="",Pay!$AD98=0),"",Pay!$C98)</f>
        <v/>
      </c>
      <c r="C1386" s="80">
        <f>IF(OR(Pay!$AD98="",Pay!$AD98=0),"","پرداخت")</f>
        <v/>
      </c>
      <c r="D1386" s="80">
        <f>IF(OR(Pay!$AD98="",Pay!$AD98=0),"",Pay!$AD98)</f>
        <v/>
      </c>
      <c r="E1386" s="81">
        <f>IF(OR(Pay!$AD98="",Pay!$AD98=0),"",Pay!$P98)</f>
        <v/>
      </c>
      <c r="F1386" s="83" t="n"/>
      <c r="G1386" s="83" t="n"/>
      <c r="H1386" s="83" t="n"/>
      <c r="I1386" s="83" t="n"/>
      <c r="J1386" s="83" t="n"/>
      <c r="K1386" s="82">
        <f>IF(OR(Pay!$AD98="",Pay!$AD98=0),"",Pay!$K98)</f>
        <v/>
      </c>
      <c r="L1386" s="82">
        <f>IF(OR(Pay!$AD98="",Pay!$AD98=0),"",Pay!$AE98)</f>
        <v/>
      </c>
      <c r="M1386" s="82" t="n"/>
      <c r="N1386" s="81">
        <f>IF(OR(Pay!$AD98="",Pay!$AD98=0),"",Pay!$D98&amp;" — "&amp;Pay!$E98)</f>
        <v/>
      </c>
      <c r="O1386" s="81">
        <f>IF(OR(Pay!$AD98="",Pay!$AD98=0),"",IFERROR(VLOOKUP(Pay!$AD98,AcctTbl,3,0),""))</f>
        <v/>
      </c>
      <c r="P1386" s="82">
        <f>IF(Pay!$AD98&lt;&gt;"X011","",IF(Pay!$I98="","",Pay!$I98))</f>
        <v/>
      </c>
    </row>
    <row r="1387" ht="20.25" customHeight="1">
      <c r="A1387" s="80">
        <f>IF(OR(Pay!$AF98="",Pay!$AF98=0),"",Pay!$B98)</f>
        <v/>
      </c>
      <c r="B1387" s="80">
        <f>IF(OR(Pay!$AF98="",Pay!$AF98=0),"",Pay!$C98)</f>
        <v/>
      </c>
      <c r="C1387" s="80">
        <f>IF(OR(Pay!$AF98="",Pay!$AF98=0),"","پرداخت")</f>
        <v/>
      </c>
      <c r="D1387" s="80">
        <f>IF(OR(Pay!$AF98="",Pay!$AF98=0),"",Pay!$AF98)</f>
        <v/>
      </c>
      <c r="E1387" s="81">
        <f>IF(OR(Pay!$AF98="",Pay!$AF98=0),"",Pay!$P98)</f>
        <v/>
      </c>
      <c r="F1387" s="83" t="n"/>
      <c r="G1387" s="83" t="n"/>
      <c r="H1387" s="83" t="n"/>
      <c r="I1387" s="83" t="n"/>
      <c r="J1387" s="83" t="n"/>
      <c r="K1387" s="82">
        <f>IF(OR(Pay!$AF98="",Pay!$AF98=0),"",Pay!$K98)</f>
        <v/>
      </c>
      <c r="L1387" s="82" t="n"/>
      <c r="M1387" s="82">
        <f>IF(OR(Pay!$AF98="",Pay!$AF98=0),"",Pay!$AG98)</f>
        <v/>
      </c>
      <c r="N1387" s="81">
        <f>IF(OR(Pay!$AF98="",Pay!$AF98=0),"",Pay!$D98&amp;" — "&amp;Pay!$E98)</f>
        <v/>
      </c>
      <c r="O1387" s="81">
        <f>IF(OR(Pay!$AF98="",Pay!$AF98=0),"",IFERROR(VLOOKUP(Pay!$AF98,AcctTbl,3,0),""))</f>
        <v/>
      </c>
      <c r="P1387" s="82">
        <f>IF(Pay!$AF98&lt;&gt;"X011","",IF(Pay!$I98="","",Pay!$I98))</f>
        <v/>
      </c>
    </row>
    <row r="1388" ht="20.25" customHeight="1">
      <c r="A1388" s="80">
        <f>IF(OR(Pay!$AD99="",Pay!$AD99=0),"",Pay!$B99)</f>
        <v/>
      </c>
      <c r="B1388" s="80">
        <f>IF(OR(Pay!$AD99="",Pay!$AD99=0),"",Pay!$C99)</f>
        <v/>
      </c>
      <c r="C1388" s="80">
        <f>IF(OR(Pay!$AD99="",Pay!$AD99=0),"","پرداخت")</f>
        <v/>
      </c>
      <c r="D1388" s="80">
        <f>IF(OR(Pay!$AD99="",Pay!$AD99=0),"",Pay!$AD99)</f>
        <v/>
      </c>
      <c r="E1388" s="81">
        <f>IF(OR(Pay!$AD99="",Pay!$AD99=0),"",Pay!$P99)</f>
        <v/>
      </c>
      <c r="F1388" s="83" t="n"/>
      <c r="G1388" s="83" t="n"/>
      <c r="H1388" s="83" t="n"/>
      <c r="I1388" s="83" t="n"/>
      <c r="J1388" s="83" t="n"/>
      <c r="K1388" s="82">
        <f>IF(OR(Pay!$AD99="",Pay!$AD99=0),"",Pay!$K99)</f>
        <v/>
      </c>
      <c r="L1388" s="82">
        <f>IF(OR(Pay!$AD99="",Pay!$AD99=0),"",Pay!$AE99)</f>
        <v/>
      </c>
      <c r="M1388" s="82" t="n"/>
      <c r="N1388" s="81">
        <f>IF(OR(Pay!$AD99="",Pay!$AD99=0),"",Pay!$D99&amp;" — "&amp;Pay!$E99)</f>
        <v/>
      </c>
      <c r="O1388" s="81">
        <f>IF(OR(Pay!$AD99="",Pay!$AD99=0),"",IFERROR(VLOOKUP(Pay!$AD99,AcctTbl,3,0),""))</f>
        <v/>
      </c>
      <c r="P1388" s="82">
        <f>IF(Pay!$AD99&lt;&gt;"X011","",IF(Pay!$I99="","",Pay!$I99))</f>
        <v/>
      </c>
    </row>
    <row r="1389" ht="20.25" customHeight="1">
      <c r="A1389" s="80">
        <f>IF(OR(Pay!$AF99="",Pay!$AF99=0),"",Pay!$B99)</f>
        <v/>
      </c>
      <c r="B1389" s="80">
        <f>IF(OR(Pay!$AF99="",Pay!$AF99=0),"",Pay!$C99)</f>
        <v/>
      </c>
      <c r="C1389" s="80">
        <f>IF(OR(Pay!$AF99="",Pay!$AF99=0),"","پرداخت")</f>
        <v/>
      </c>
      <c r="D1389" s="80">
        <f>IF(OR(Pay!$AF99="",Pay!$AF99=0),"",Pay!$AF99)</f>
        <v/>
      </c>
      <c r="E1389" s="81">
        <f>IF(OR(Pay!$AF99="",Pay!$AF99=0),"",Pay!$P99)</f>
        <v/>
      </c>
      <c r="F1389" s="83" t="n"/>
      <c r="G1389" s="83" t="n"/>
      <c r="H1389" s="83" t="n"/>
      <c r="I1389" s="83" t="n"/>
      <c r="J1389" s="83" t="n"/>
      <c r="K1389" s="82">
        <f>IF(OR(Pay!$AF99="",Pay!$AF99=0),"",Pay!$K99)</f>
        <v/>
      </c>
      <c r="L1389" s="82" t="n"/>
      <c r="M1389" s="82">
        <f>IF(OR(Pay!$AF99="",Pay!$AF99=0),"",Pay!$AG99)</f>
        <v/>
      </c>
      <c r="N1389" s="81">
        <f>IF(OR(Pay!$AF99="",Pay!$AF99=0),"",Pay!$D99&amp;" — "&amp;Pay!$E99)</f>
        <v/>
      </c>
      <c r="O1389" s="81">
        <f>IF(OR(Pay!$AF99="",Pay!$AF99=0),"",IFERROR(VLOOKUP(Pay!$AF99,AcctTbl,3,0),""))</f>
        <v/>
      </c>
      <c r="P1389" s="82">
        <f>IF(Pay!$AF99&lt;&gt;"X011","",IF(Pay!$I99="","",Pay!$I99))</f>
        <v/>
      </c>
    </row>
    <row r="1390" ht="20.25" customHeight="1">
      <c r="A1390" s="80">
        <f>IF(OR(Pay!$AD100="",Pay!$AD100=0),"",Pay!$B100)</f>
        <v/>
      </c>
      <c r="B1390" s="80">
        <f>IF(OR(Pay!$AD100="",Pay!$AD100=0),"",Pay!$C100)</f>
        <v/>
      </c>
      <c r="C1390" s="80">
        <f>IF(OR(Pay!$AD100="",Pay!$AD100=0),"","پرداخت")</f>
        <v/>
      </c>
      <c r="D1390" s="80">
        <f>IF(OR(Pay!$AD100="",Pay!$AD100=0),"",Pay!$AD100)</f>
        <v/>
      </c>
      <c r="E1390" s="81">
        <f>IF(OR(Pay!$AD100="",Pay!$AD100=0),"",Pay!$P100)</f>
        <v/>
      </c>
      <c r="F1390" s="83" t="n"/>
      <c r="G1390" s="83" t="n"/>
      <c r="H1390" s="83" t="n"/>
      <c r="I1390" s="83" t="n"/>
      <c r="J1390" s="83" t="n"/>
      <c r="K1390" s="82">
        <f>IF(OR(Pay!$AD100="",Pay!$AD100=0),"",Pay!$K100)</f>
        <v/>
      </c>
      <c r="L1390" s="82">
        <f>IF(OR(Pay!$AD100="",Pay!$AD100=0),"",Pay!$AE100)</f>
        <v/>
      </c>
      <c r="M1390" s="82" t="n"/>
      <c r="N1390" s="81">
        <f>IF(OR(Pay!$AD100="",Pay!$AD100=0),"",Pay!$D100&amp;" — "&amp;Pay!$E100)</f>
        <v/>
      </c>
      <c r="O1390" s="81">
        <f>IF(OR(Pay!$AD100="",Pay!$AD100=0),"",IFERROR(VLOOKUP(Pay!$AD100,AcctTbl,3,0),""))</f>
        <v/>
      </c>
      <c r="P1390" s="82">
        <f>IF(Pay!$AD100&lt;&gt;"X011","",IF(Pay!$I100="","",Pay!$I100))</f>
        <v/>
      </c>
    </row>
    <row r="1391" ht="20.25" customHeight="1">
      <c r="A1391" s="80">
        <f>IF(OR(Pay!$AF100="",Pay!$AF100=0),"",Pay!$B100)</f>
        <v/>
      </c>
      <c r="B1391" s="80">
        <f>IF(OR(Pay!$AF100="",Pay!$AF100=0),"",Pay!$C100)</f>
        <v/>
      </c>
      <c r="C1391" s="80">
        <f>IF(OR(Pay!$AF100="",Pay!$AF100=0),"","پرداخت")</f>
        <v/>
      </c>
      <c r="D1391" s="80">
        <f>IF(OR(Pay!$AF100="",Pay!$AF100=0),"",Pay!$AF100)</f>
        <v/>
      </c>
      <c r="E1391" s="81">
        <f>IF(OR(Pay!$AF100="",Pay!$AF100=0),"",Pay!$P100)</f>
        <v/>
      </c>
      <c r="F1391" s="83" t="n"/>
      <c r="G1391" s="83" t="n"/>
      <c r="H1391" s="83" t="n"/>
      <c r="I1391" s="83" t="n"/>
      <c r="J1391" s="83" t="n"/>
      <c r="K1391" s="82">
        <f>IF(OR(Pay!$AF100="",Pay!$AF100=0),"",Pay!$K100)</f>
        <v/>
      </c>
      <c r="L1391" s="82" t="n"/>
      <c r="M1391" s="82">
        <f>IF(OR(Pay!$AF100="",Pay!$AF100=0),"",Pay!$AG100)</f>
        <v/>
      </c>
      <c r="N1391" s="81">
        <f>IF(OR(Pay!$AF100="",Pay!$AF100=0),"",Pay!$D100&amp;" — "&amp;Pay!$E100)</f>
        <v/>
      </c>
      <c r="O1391" s="81">
        <f>IF(OR(Pay!$AF100="",Pay!$AF100=0),"",IFERROR(VLOOKUP(Pay!$AF100,AcctTbl,3,0),""))</f>
        <v/>
      </c>
      <c r="P1391" s="82">
        <f>IF(Pay!$AF100&lt;&gt;"X011","",IF(Pay!$I100="","",Pay!$I100))</f>
        <v/>
      </c>
    </row>
    <row r="1392" ht="20.25" customHeight="1">
      <c r="A1392" s="80">
        <f>IF(OR(Pay!$AD101="",Pay!$AD101=0),"",Pay!$B101)</f>
        <v/>
      </c>
      <c r="B1392" s="80">
        <f>IF(OR(Pay!$AD101="",Pay!$AD101=0),"",Pay!$C101)</f>
        <v/>
      </c>
      <c r="C1392" s="80">
        <f>IF(OR(Pay!$AD101="",Pay!$AD101=0),"","پرداخت")</f>
        <v/>
      </c>
      <c r="D1392" s="80">
        <f>IF(OR(Pay!$AD101="",Pay!$AD101=0),"",Pay!$AD101)</f>
        <v/>
      </c>
      <c r="E1392" s="81">
        <f>IF(OR(Pay!$AD101="",Pay!$AD101=0),"",Pay!$P101)</f>
        <v/>
      </c>
      <c r="F1392" s="83" t="n"/>
      <c r="G1392" s="83" t="n"/>
      <c r="H1392" s="83" t="n"/>
      <c r="I1392" s="83" t="n"/>
      <c r="J1392" s="83" t="n"/>
      <c r="K1392" s="82">
        <f>IF(OR(Pay!$AD101="",Pay!$AD101=0),"",Pay!$K101)</f>
        <v/>
      </c>
      <c r="L1392" s="82">
        <f>IF(OR(Pay!$AD101="",Pay!$AD101=0),"",Pay!$AE101)</f>
        <v/>
      </c>
      <c r="M1392" s="82" t="n"/>
      <c r="N1392" s="81">
        <f>IF(OR(Pay!$AD101="",Pay!$AD101=0),"",Pay!$D101&amp;" — "&amp;Pay!$E101)</f>
        <v/>
      </c>
      <c r="O1392" s="81">
        <f>IF(OR(Pay!$AD101="",Pay!$AD101=0),"",IFERROR(VLOOKUP(Pay!$AD101,AcctTbl,3,0),""))</f>
        <v/>
      </c>
      <c r="P1392" s="82">
        <f>IF(Pay!$AD101&lt;&gt;"X011","",IF(Pay!$I101="","",Pay!$I101))</f>
        <v/>
      </c>
    </row>
    <row r="1393" ht="20.25" customHeight="1">
      <c r="A1393" s="80">
        <f>IF(OR(Pay!$AF101="",Pay!$AF101=0),"",Pay!$B101)</f>
        <v/>
      </c>
      <c r="B1393" s="80">
        <f>IF(OR(Pay!$AF101="",Pay!$AF101=0),"",Pay!$C101)</f>
        <v/>
      </c>
      <c r="C1393" s="80">
        <f>IF(OR(Pay!$AF101="",Pay!$AF101=0),"","پرداخت")</f>
        <v/>
      </c>
      <c r="D1393" s="80">
        <f>IF(OR(Pay!$AF101="",Pay!$AF101=0),"",Pay!$AF101)</f>
        <v/>
      </c>
      <c r="E1393" s="81">
        <f>IF(OR(Pay!$AF101="",Pay!$AF101=0),"",Pay!$P101)</f>
        <v/>
      </c>
      <c r="F1393" s="83" t="n"/>
      <c r="G1393" s="83" t="n"/>
      <c r="H1393" s="83" t="n"/>
      <c r="I1393" s="83" t="n"/>
      <c r="J1393" s="83" t="n"/>
      <c r="K1393" s="82">
        <f>IF(OR(Pay!$AF101="",Pay!$AF101=0),"",Pay!$K101)</f>
        <v/>
      </c>
      <c r="L1393" s="82" t="n"/>
      <c r="M1393" s="82">
        <f>IF(OR(Pay!$AF101="",Pay!$AF101=0),"",Pay!$AG101)</f>
        <v/>
      </c>
      <c r="N1393" s="81">
        <f>IF(OR(Pay!$AF101="",Pay!$AF101=0),"",Pay!$D101&amp;" — "&amp;Pay!$E101)</f>
        <v/>
      </c>
      <c r="O1393" s="81">
        <f>IF(OR(Pay!$AF101="",Pay!$AF101=0),"",IFERROR(VLOOKUP(Pay!$AF101,AcctTbl,3,0),""))</f>
        <v/>
      </c>
      <c r="P1393" s="82">
        <f>IF(Pay!$AF101&lt;&gt;"X011","",IF(Pay!$I101="","",Pay!$I101))</f>
        <v/>
      </c>
    </row>
    <row r="1394" ht="20.25" customHeight="1">
      <c r="A1394" s="80">
        <f>IF(OR(Pay!$AD102="",Pay!$AD102=0),"",Pay!$B102)</f>
        <v/>
      </c>
      <c r="B1394" s="80">
        <f>IF(OR(Pay!$AD102="",Pay!$AD102=0),"",Pay!$C102)</f>
        <v/>
      </c>
      <c r="C1394" s="80">
        <f>IF(OR(Pay!$AD102="",Pay!$AD102=0),"","پرداخت")</f>
        <v/>
      </c>
      <c r="D1394" s="80">
        <f>IF(OR(Pay!$AD102="",Pay!$AD102=0),"",Pay!$AD102)</f>
        <v/>
      </c>
      <c r="E1394" s="81">
        <f>IF(OR(Pay!$AD102="",Pay!$AD102=0),"",Pay!$P102)</f>
        <v/>
      </c>
      <c r="F1394" s="83" t="n"/>
      <c r="G1394" s="83" t="n"/>
      <c r="H1394" s="83" t="n"/>
      <c r="I1394" s="83" t="n"/>
      <c r="J1394" s="83" t="n"/>
      <c r="K1394" s="82">
        <f>IF(OR(Pay!$AD102="",Pay!$AD102=0),"",Pay!$K102)</f>
        <v/>
      </c>
      <c r="L1394" s="82">
        <f>IF(OR(Pay!$AD102="",Pay!$AD102=0),"",Pay!$AE102)</f>
        <v/>
      </c>
      <c r="M1394" s="82" t="n"/>
      <c r="N1394" s="81">
        <f>IF(OR(Pay!$AD102="",Pay!$AD102=0),"",Pay!$D102&amp;" — "&amp;Pay!$E102)</f>
        <v/>
      </c>
      <c r="O1394" s="81">
        <f>IF(OR(Pay!$AD102="",Pay!$AD102=0),"",IFERROR(VLOOKUP(Pay!$AD102,AcctTbl,3,0),""))</f>
        <v/>
      </c>
      <c r="P1394" s="82">
        <f>IF(Pay!$AD102&lt;&gt;"X011","",IF(Pay!$I102="","",Pay!$I102))</f>
        <v/>
      </c>
    </row>
    <row r="1395" ht="20.25" customHeight="1">
      <c r="A1395" s="80">
        <f>IF(OR(Pay!$AF102="",Pay!$AF102=0),"",Pay!$B102)</f>
        <v/>
      </c>
      <c r="B1395" s="80">
        <f>IF(OR(Pay!$AF102="",Pay!$AF102=0),"",Pay!$C102)</f>
        <v/>
      </c>
      <c r="C1395" s="80">
        <f>IF(OR(Pay!$AF102="",Pay!$AF102=0),"","پرداخت")</f>
        <v/>
      </c>
      <c r="D1395" s="80">
        <f>IF(OR(Pay!$AF102="",Pay!$AF102=0),"",Pay!$AF102)</f>
        <v/>
      </c>
      <c r="E1395" s="81">
        <f>IF(OR(Pay!$AF102="",Pay!$AF102=0),"",Pay!$P102)</f>
        <v/>
      </c>
      <c r="F1395" s="83" t="n"/>
      <c r="G1395" s="83" t="n"/>
      <c r="H1395" s="83" t="n"/>
      <c r="I1395" s="83" t="n"/>
      <c r="J1395" s="83" t="n"/>
      <c r="K1395" s="82">
        <f>IF(OR(Pay!$AF102="",Pay!$AF102=0),"",Pay!$K102)</f>
        <v/>
      </c>
      <c r="L1395" s="82" t="n"/>
      <c r="M1395" s="82">
        <f>IF(OR(Pay!$AF102="",Pay!$AF102=0),"",Pay!$AG102)</f>
        <v/>
      </c>
      <c r="N1395" s="81">
        <f>IF(OR(Pay!$AF102="",Pay!$AF102=0),"",Pay!$D102&amp;" — "&amp;Pay!$E102)</f>
        <v/>
      </c>
      <c r="O1395" s="81">
        <f>IF(OR(Pay!$AF102="",Pay!$AF102=0),"",IFERROR(VLOOKUP(Pay!$AF102,AcctTbl,3,0),""))</f>
        <v/>
      </c>
      <c r="P1395" s="82">
        <f>IF(Pay!$AF102&lt;&gt;"X011","",IF(Pay!$I102="","",Pay!$I102))</f>
        <v/>
      </c>
    </row>
    <row r="1396" ht="20.25" customHeight="1">
      <c r="A1396" s="80">
        <f>IF(OR(Pay!$AD103="",Pay!$AD103=0),"",Pay!$B103)</f>
        <v/>
      </c>
      <c r="B1396" s="80">
        <f>IF(OR(Pay!$AD103="",Pay!$AD103=0),"",Pay!$C103)</f>
        <v/>
      </c>
      <c r="C1396" s="80">
        <f>IF(OR(Pay!$AD103="",Pay!$AD103=0),"","پرداخت")</f>
        <v/>
      </c>
      <c r="D1396" s="80">
        <f>IF(OR(Pay!$AD103="",Pay!$AD103=0),"",Pay!$AD103)</f>
        <v/>
      </c>
      <c r="E1396" s="81">
        <f>IF(OR(Pay!$AD103="",Pay!$AD103=0),"",Pay!$P103)</f>
        <v/>
      </c>
      <c r="F1396" s="83" t="n"/>
      <c r="G1396" s="83" t="n"/>
      <c r="H1396" s="83" t="n"/>
      <c r="I1396" s="83" t="n"/>
      <c r="J1396" s="83" t="n"/>
      <c r="K1396" s="82">
        <f>IF(OR(Pay!$AD103="",Pay!$AD103=0),"",Pay!$K103)</f>
        <v/>
      </c>
      <c r="L1396" s="82">
        <f>IF(OR(Pay!$AD103="",Pay!$AD103=0),"",Pay!$AE103)</f>
        <v/>
      </c>
      <c r="M1396" s="82" t="n"/>
      <c r="N1396" s="81">
        <f>IF(OR(Pay!$AD103="",Pay!$AD103=0),"",Pay!$D103&amp;" — "&amp;Pay!$E103)</f>
        <v/>
      </c>
      <c r="O1396" s="81">
        <f>IF(OR(Pay!$AD103="",Pay!$AD103=0),"",IFERROR(VLOOKUP(Pay!$AD103,AcctTbl,3,0),""))</f>
        <v/>
      </c>
      <c r="P1396" s="82">
        <f>IF(Pay!$AD103&lt;&gt;"X011","",IF(Pay!$I103="","",Pay!$I103))</f>
        <v/>
      </c>
    </row>
    <row r="1397" ht="20.25" customHeight="1">
      <c r="A1397" s="80">
        <f>IF(OR(Pay!$AF103="",Pay!$AF103=0),"",Pay!$B103)</f>
        <v/>
      </c>
      <c r="B1397" s="80">
        <f>IF(OR(Pay!$AF103="",Pay!$AF103=0),"",Pay!$C103)</f>
        <v/>
      </c>
      <c r="C1397" s="80">
        <f>IF(OR(Pay!$AF103="",Pay!$AF103=0),"","پرداخت")</f>
        <v/>
      </c>
      <c r="D1397" s="80">
        <f>IF(OR(Pay!$AF103="",Pay!$AF103=0),"",Pay!$AF103)</f>
        <v/>
      </c>
      <c r="E1397" s="81">
        <f>IF(OR(Pay!$AF103="",Pay!$AF103=0),"",Pay!$P103)</f>
        <v/>
      </c>
      <c r="F1397" s="83" t="n"/>
      <c r="G1397" s="83" t="n"/>
      <c r="H1397" s="83" t="n"/>
      <c r="I1397" s="83" t="n"/>
      <c r="J1397" s="83" t="n"/>
      <c r="K1397" s="82">
        <f>IF(OR(Pay!$AF103="",Pay!$AF103=0),"",Pay!$K103)</f>
        <v/>
      </c>
      <c r="L1397" s="82" t="n"/>
      <c r="M1397" s="82">
        <f>IF(OR(Pay!$AF103="",Pay!$AF103=0),"",Pay!$AG103)</f>
        <v/>
      </c>
      <c r="N1397" s="81">
        <f>IF(OR(Pay!$AF103="",Pay!$AF103=0),"",Pay!$D103&amp;" — "&amp;Pay!$E103)</f>
        <v/>
      </c>
      <c r="O1397" s="81">
        <f>IF(OR(Pay!$AF103="",Pay!$AF103=0),"",IFERROR(VLOOKUP(Pay!$AF103,AcctTbl,3,0),""))</f>
        <v/>
      </c>
      <c r="P1397" s="82">
        <f>IF(Pay!$AF103&lt;&gt;"X011","",IF(Pay!$I103="","",Pay!$I103))</f>
        <v/>
      </c>
    </row>
    <row r="1398" ht="20.25" customHeight="1">
      <c r="A1398" s="80">
        <f>IF(OR(Pay!$AD104="",Pay!$AD104=0),"",Pay!$B104)</f>
        <v/>
      </c>
      <c r="B1398" s="80">
        <f>IF(OR(Pay!$AD104="",Pay!$AD104=0),"",Pay!$C104)</f>
        <v/>
      </c>
      <c r="C1398" s="80">
        <f>IF(OR(Pay!$AD104="",Pay!$AD104=0),"","پرداخت")</f>
        <v/>
      </c>
      <c r="D1398" s="80">
        <f>IF(OR(Pay!$AD104="",Pay!$AD104=0),"",Pay!$AD104)</f>
        <v/>
      </c>
      <c r="E1398" s="81">
        <f>IF(OR(Pay!$AD104="",Pay!$AD104=0),"",Pay!$P104)</f>
        <v/>
      </c>
      <c r="F1398" s="83" t="n"/>
      <c r="G1398" s="83" t="n"/>
      <c r="H1398" s="83" t="n"/>
      <c r="I1398" s="83" t="n"/>
      <c r="J1398" s="83" t="n"/>
      <c r="K1398" s="82">
        <f>IF(OR(Pay!$AD104="",Pay!$AD104=0),"",Pay!$K104)</f>
        <v/>
      </c>
      <c r="L1398" s="82">
        <f>IF(OR(Pay!$AD104="",Pay!$AD104=0),"",Pay!$AE104)</f>
        <v/>
      </c>
      <c r="M1398" s="82" t="n"/>
      <c r="N1398" s="81">
        <f>IF(OR(Pay!$AD104="",Pay!$AD104=0),"",Pay!$D104&amp;" — "&amp;Pay!$E104)</f>
        <v/>
      </c>
      <c r="O1398" s="81">
        <f>IF(OR(Pay!$AD104="",Pay!$AD104=0),"",IFERROR(VLOOKUP(Pay!$AD104,AcctTbl,3,0),""))</f>
        <v/>
      </c>
      <c r="P1398" s="82">
        <f>IF(Pay!$AD104&lt;&gt;"X011","",IF(Pay!$I104="","",Pay!$I104))</f>
        <v/>
      </c>
    </row>
    <row r="1399" ht="20.25" customHeight="1">
      <c r="A1399" s="80">
        <f>IF(OR(Pay!$AF104="",Pay!$AF104=0),"",Pay!$B104)</f>
        <v/>
      </c>
      <c r="B1399" s="80">
        <f>IF(OR(Pay!$AF104="",Pay!$AF104=0),"",Pay!$C104)</f>
        <v/>
      </c>
      <c r="C1399" s="80">
        <f>IF(OR(Pay!$AF104="",Pay!$AF104=0),"","پرداخت")</f>
        <v/>
      </c>
      <c r="D1399" s="80">
        <f>IF(OR(Pay!$AF104="",Pay!$AF104=0),"",Pay!$AF104)</f>
        <v/>
      </c>
      <c r="E1399" s="81">
        <f>IF(OR(Pay!$AF104="",Pay!$AF104=0),"",Pay!$P104)</f>
        <v/>
      </c>
      <c r="F1399" s="83" t="n"/>
      <c r="G1399" s="83" t="n"/>
      <c r="H1399" s="83" t="n"/>
      <c r="I1399" s="83" t="n"/>
      <c r="J1399" s="83" t="n"/>
      <c r="K1399" s="82">
        <f>IF(OR(Pay!$AF104="",Pay!$AF104=0),"",Pay!$K104)</f>
        <v/>
      </c>
      <c r="L1399" s="82" t="n"/>
      <c r="M1399" s="82">
        <f>IF(OR(Pay!$AF104="",Pay!$AF104=0),"",Pay!$AG104)</f>
        <v/>
      </c>
      <c r="N1399" s="81">
        <f>IF(OR(Pay!$AF104="",Pay!$AF104=0),"",Pay!$D104&amp;" — "&amp;Pay!$E104)</f>
        <v/>
      </c>
      <c r="O1399" s="81">
        <f>IF(OR(Pay!$AF104="",Pay!$AF104=0),"",IFERROR(VLOOKUP(Pay!$AF104,AcctTbl,3,0),""))</f>
        <v/>
      </c>
      <c r="P1399" s="82">
        <f>IF(Pay!$AF104&lt;&gt;"X011","",IF(Pay!$I104="","",Pay!$I104))</f>
        <v/>
      </c>
    </row>
    <row r="1400" ht="20.25" customHeight="1">
      <c r="A1400" s="80">
        <f>IF(OR(Pay!$AD105="",Pay!$AD105=0),"",Pay!$B105)</f>
        <v/>
      </c>
      <c r="B1400" s="80">
        <f>IF(OR(Pay!$AD105="",Pay!$AD105=0),"",Pay!$C105)</f>
        <v/>
      </c>
      <c r="C1400" s="80">
        <f>IF(OR(Pay!$AD105="",Pay!$AD105=0),"","پرداخت")</f>
        <v/>
      </c>
      <c r="D1400" s="80">
        <f>IF(OR(Pay!$AD105="",Pay!$AD105=0),"",Pay!$AD105)</f>
        <v/>
      </c>
      <c r="E1400" s="81">
        <f>IF(OR(Pay!$AD105="",Pay!$AD105=0),"",Pay!$P105)</f>
        <v/>
      </c>
      <c r="F1400" s="83" t="n"/>
      <c r="G1400" s="83" t="n"/>
      <c r="H1400" s="83" t="n"/>
      <c r="I1400" s="83" t="n"/>
      <c r="J1400" s="83" t="n"/>
      <c r="K1400" s="82">
        <f>IF(OR(Pay!$AD105="",Pay!$AD105=0),"",Pay!$K105)</f>
        <v/>
      </c>
      <c r="L1400" s="82">
        <f>IF(OR(Pay!$AD105="",Pay!$AD105=0),"",Pay!$AE105)</f>
        <v/>
      </c>
      <c r="M1400" s="82" t="n"/>
      <c r="N1400" s="81">
        <f>IF(OR(Pay!$AD105="",Pay!$AD105=0),"",Pay!$D105&amp;" — "&amp;Pay!$E105)</f>
        <v/>
      </c>
      <c r="O1400" s="81">
        <f>IF(OR(Pay!$AD105="",Pay!$AD105=0),"",IFERROR(VLOOKUP(Pay!$AD105,AcctTbl,3,0),""))</f>
        <v/>
      </c>
      <c r="P1400" s="82">
        <f>IF(Pay!$AD105&lt;&gt;"X011","",IF(Pay!$I105="","",Pay!$I105))</f>
        <v/>
      </c>
    </row>
    <row r="1401" ht="20.25" customHeight="1">
      <c r="A1401" s="80">
        <f>IF(OR(Pay!$AF105="",Pay!$AF105=0),"",Pay!$B105)</f>
        <v/>
      </c>
      <c r="B1401" s="80">
        <f>IF(OR(Pay!$AF105="",Pay!$AF105=0),"",Pay!$C105)</f>
        <v/>
      </c>
      <c r="C1401" s="80">
        <f>IF(OR(Pay!$AF105="",Pay!$AF105=0),"","پرداخت")</f>
        <v/>
      </c>
      <c r="D1401" s="80">
        <f>IF(OR(Pay!$AF105="",Pay!$AF105=0),"",Pay!$AF105)</f>
        <v/>
      </c>
      <c r="E1401" s="81">
        <f>IF(OR(Pay!$AF105="",Pay!$AF105=0),"",Pay!$P105)</f>
        <v/>
      </c>
      <c r="F1401" s="83" t="n"/>
      <c r="G1401" s="83" t="n"/>
      <c r="H1401" s="83" t="n"/>
      <c r="I1401" s="83" t="n"/>
      <c r="J1401" s="83" t="n"/>
      <c r="K1401" s="82">
        <f>IF(OR(Pay!$AF105="",Pay!$AF105=0),"",Pay!$K105)</f>
        <v/>
      </c>
      <c r="L1401" s="82" t="n"/>
      <c r="M1401" s="82">
        <f>IF(OR(Pay!$AF105="",Pay!$AF105=0),"",Pay!$AG105)</f>
        <v/>
      </c>
      <c r="N1401" s="81">
        <f>IF(OR(Pay!$AF105="",Pay!$AF105=0),"",Pay!$D105&amp;" — "&amp;Pay!$E105)</f>
        <v/>
      </c>
      <c r="O1401" s="81">
        <f>IF(OR(Pay!$AF105="",Pay!$AF105=0),"",IFERROR(VLOOKUP(Pay!$AF105,AcctTbl,3,0),""))</f>
        <v/>
      </c>
      <c r="P1401" s="82">
        <f>IF(Pay!$AF105&lt;&gt;"X011","",IF(Pay!$I105="","",Pay!$I105))</f>
        <v/>
      </c>
    </row>
    <row r="1402" ht="20.25" customHeight="1">
      <c r="A1402" s="80">
        <f>IF(OR(Pay!$AD106="",Pay!$AD106=0),"",Pay!$B106)</f>
        <v/>
      </c>
      <c r="B1402" s="80">
        <f>IF(OR(Pay!$AD106="",Pay!$AD106=0),"",Pay!$C106)</f>
        <v/>
      </c>
      <c r="C1402" s="80">
        <f>IF(OR(Pay!$AD106="",Pay!$AD106=0),"","پرداخت")</f>
        <v/>
      </c>
      <c r="D1402" s="80">
        <f>IF(OR(Pay!$AD106="",Pay!$AD106=0),"",Pay!$AD106)</f>
        <v/>
      </c>
      <c r="E1402" s="81">
        <f>IF(OR(Pay!$AD106="",Pay!$AD106=0),"",Pay!$P106)</f>
        <v/>
      </c>
      <c r="F1402" s="83" t="n"/>
      <c r="G1402" s="83" t="n"/>
      <c r="H1402" s="83" t="n"/>
      <c r="I1402" s="83" t="n"/>
      <c r="J1402" s="83" t="n"/>
      <c r="K1402" s="82">
        <f>IF(OR(Pay!$AD106="",Pay!$AD106=0),"",Pay!$K106)</f>
        <v/>
      </c>
      <c r="L1402" s="82">
        <f>IF(OR(Pay!$AD106="",Pay!$AD106=0),"",Pay!$AE106)</f>
        <v/>
      </c>
      <c r="M1402" s="82" t="n"/>
      <c r="N1402" s="81">
        <f>IF(OR(Pay!$AD106="",Pay!$AD106=0),"",Pay!$D106&amp;" — "&amp;Pay!$E106)</f>
        <v/>
      </c>
      <c r="O1402" s="81">
        <f>IF(OR(Pay!$AD106="",Pay!$AD106=0),"",IFERROR(VLOOKUP(Pay!$AD106,AcctTbl,3,0),""))</f>
        <v/>
      </c>
      <c r="P1402" s="82">
        <f>IF(Pay!$AD106&lt;&gt;"X011","",IF(Pay!$I106="","",Pay!$I106))</f>
        <v/>
      </c>
    </row>
    <row r="1403" ht="20.25" customHeight="1">
      <c r="A1403" s="80">
        <f>IF(OR(Pay!$AF106="",Pay!$AF106=0),"",Pay!$B106)</f>
        <v/>
      </c>
      <c r="B1403" s="80">
        <f>IF(OR(Pay!$AF106="",Pay!$AF106=0),"",Pay!$C106)</f>
        <v/>
      </c>
      <c r="C1403" s="80">
        <f>IF(OR(Pay!$AF106="",Pay!$AF106=0),"","پرداخت")</f>
        <v/>
      </c>
      <c r="D1403" s="80">
        <f>IF(OR(Pay!$AF106="",Pay!$AF106=0),"",Pay!$AF106)</f>
        <v/>
      </c>
      <c r="E1403" s="81">
        <f>IF(OR(Pay!$AF106="",Pay!$AF106=0),"",Pay!$P106)</f>
        <v/>
      </c>
      <c r="F1403" s="83" t="n"/>
      <c r="G1403" s="83" t="n"/>
      <c r="H1403" s="83" t="n"/>
      <c r="I1403" s="83" t="n"/>
      <c r="J1403" s="83" t="n"/>
      <c r="K1403" s="82">
        <f>IF(OR(Pay!$AF106="",Pay!$AF106=0),"",Pay!$K106)</f>
        <v/>
      </c>
      <c r="L1403" s="82" t="n"/>
      <c r="M1403" s="82">
        <f>IF(OR(Pay!$AF106="",Pay!$AF106=0),"",Pay!$AG106)</f>
        <v/>
      </c>
      <c r="N1403" s="81">
        <f>IF(OR(Pay!$AF106="",Pay!$AF106=0),"",Pay!$D106&amp;" — "&amp;Pay!$E106)</f>
        <v/>
      </c>
      <c r="O1403" s="81">
        <f>IF(OR(Pay!$AF106="",Pay!$AF106=0),"",IFERROR(VLOOKUP(Pay!$AF106,AcctTbl,3,0),""))</f>
        <v/>
      </c>
      <c r="P1403" s="82">
        <f>IF(Pay!$AF106&lt;&gt;"X011","",IF(Pay!$I106="","",Pay!$I106))</f>
        <v/>
      </c>
    </row>
    <row r="1404" ht="20.25" customHeight="1">
      <c r="A1404" s="80">
        <f>IF(OR(Pay!$AD107="",Pay!$AD107=0),"",Pay!$B107)</f>
        <v/>
      </c>
      <c r="B1404" s="80">
        <f>IF(OR(Pay!$AD107="",Pay!$AD107=0),"",Pay!$C107)</f>
        <v/>
      </c>
      <c r="C1404" s="80">
        <f>IF(OR(Pay!$AD107="",Pay!$AD107=0),"","پرداخت")</f>
        <v/>
      </c>
      <c r="D1404" s="80">
        <f>IF(OR(Pay!$AD107="",Pay!$AD107=0),"",Pay!$AD107)</f>
        <v/>
      </c>
      <c r="E1404" s="81">
        <f>IF(OR(Pay!$AD107="",Pay!$AD107=0),"",Pay!$P107)</f>
        <v/>
      </c>
      <c r="F1404" s="83" t="n"/>
      <c r="G1404" s="83" t="n"/>
      <c r="H1404" s="83" t="n"/>
      <c r="I1404" s="83" t="n"/>
      <c r="J1404" s="83" t="n"/>
      <c r="K1404" s="82">
        <f>IF(OR(Pay!$AD107="",Pay!$AD107=0),"",Pay!$K107)</f>
        <v/>
      </c>
      <c r="L1404" s="82">
        <f>IF(OR(Pay!$AD107="",Pay!$AD107=0),"",Pay!$AE107)</f>
        <v/>
      </c>
      <c r="M1404" s="82" t="n"/>
      <c r="N1404" s="81">
        <f>IF(OR(Pay!$AD107="",Pay!$AD107=0),"",Pay!$D107&amp;" — "&amp;Pay!$E107)</f>
        <v/>
      </c>
      <c r="O1404" s="81">
        <f>IF(OR(Pay!$AD107="",Pay!$AD107=0),"",IFERROR(VLOOKUP(Pay!$AD107,AcctTbl,3,0),""))</f>
        <v/>
      </c>
      <c r="P1404" s="82">
        <f>IF(Pay!$AD107&lt;&gt;"X011","",IF(Pay!$I107="","",Pay!$I107))</f>
        <v/>
      </c>
    </row>
    <row r="1405" ht="20.25" customHeight="1">
      <c r="A1405" s="80">
        <f>IF(OR(Pay!$AF107="",Pay!$AF107=0),"",Pay!$B107)</f>
        <v/>
      </c>
      <c r="B1405" s="80">
        <f>IF(OR(Pay!$AF107="",Pay!$AF107=0),"",Pay!$C107)</f>
        <v/>
      </c>
      <c r="C1405" s="80">
        <f>IF(OR(Pay!$AF107="",Pay!$AF107=0),"","پرداخت")</f>
        <v/>
      </c>
      <c r="D1405" s="80">
        <f>IF(OR(Pay!$AF107="",Pay!$AF107=0),"",Pay!$AF107)</f>
        <v/>
      </c>
      <c r="E1405" s="81">
        <f>IF(OR(Pay!$AF107="",Pay!$AF107=0),"",Pay!$P107)</f>
        <v/>
      </c>
      <c r="F1405" s="83" t="n"/>
      <c r="G1405" s="83" t="n"/>
      <c r="H1405" s="83" t="n"/>
      <c r="I1405" s="83" t="n"/>
      <c r="J1405" s="83" t="n"/>
      <c r="K1405" s="82">
        <f>IF(OR(Pay!$AF107="",Pay!$AF107=0),"",Pay!$K107)</f>
        <v/>
      </c>
      <c r="L1405" s="82" t="n"/>
      <c r="M1405" s="82">
        <f>IF(OR(Pay!$AF107="",Pay!$AF107=0),"",Pay!$AG107)</f>
        <v/>
      </c>
      <c r="N1405" s="81">
        <f>IF(OR(Pay!$AF107="",Pay!$AF107=0),"",Pay!$D107&amp;" — "&amp;Pay!$E107)</f>
        <v/>
      </c>
      <c r="O1405" s="81">
        <f>IF(OR(Pay!$AF107="",Pay!$AF107=0),"",IFERROR(VLOOKUP(Pay!$AF107,AcctTbl,3,0),""))</f>
        <v/>
      </c>
      <c r="P1405" s="82">
        <f>IF(Pay!$AF107&lt;&gt;"X011","",IF(Pay!$I107="","",Pay!$I107))</f>
        <v/>
      </c>
    </row>
    <row r="1406" ht="20.25" customHeight="1">
      <c r="A1406" s="80">
        <f>IF(OR(Pay!$AD108="",Pay!$AD108=0),"",Pay!$B108)</f>
        <v/>
      </c>
      <c r="B1406" s="80">
        <f>IF(OR(Pay!$AD108="",Pay!$AD108=0),"",Pay!$C108)</f>
        <v/>
      </c>
      <c r="C1406" s="80">
        <f>IF(OR(Pay!$AD108="",Pay!$AD108=0),"","پرداخت")</f>
        <v/>
      </c>
      <c r="D1406" s="80">
        <f>IF(OR(Pay!$AD108="",Pay!$AD108=0),"",Pay!$AD108)</f>
        <v/>
      </c>
      <c r="E1406" s="81">
        <f>IF(OR(Pay!$AD108="",Pay!$AD108=0),"",Pay!$P108)</f>
        <v/>
      </c>
      <c r="F1406" s="83" t="n"/>
      <c r="G1406" s="83" t="n"/>
      <c r="H1406" s="83" t="n"/>
      <c r="I1406" s="83" t="n"/>
      <c r="J1406" s="83" t="n"/>
      <c r="K1406" s="82">
        <f>IF(OR(Pay!$AD108="",Pay!$AD108=0),"",Pay!$K108)</f>
        <v/>
      </c>
      <c r="L1406" s="82">
        <f>IF(OR(Pay!$AD108="",Pay!$AD108=0),"",Pay!$AE108)</f>
        <v/>
      </c>
      <c r="M1406" s="82" t="n"/>
      <c r="N1406" s="81">
        <f>IF(OR(Pay!$AD108="",Pay!$AD108=0),"",Pay!$D108&amp;" — "&amp;Pay!$E108)</f>
        <v/>
      </c>
      <c r="O1406" s="81">
        <f>IF(OR(Pay!$AD108="",Pay!$AD108=0),"",IFERROR(VLOOKUP(Pay!$AD108,AcctTbl,3,0),""))</f>
        <v/>
      </c>
      <c r="P1406" s="82">
        <f>IF(Pay!$AD108&lt;&gt;"X011","",IF(Pay!$I108="","",Pay!$I108))</f>
        <v/>
      </c>
    </row>
    <row r="1407" ht="20.25" customHeight="1">
      <c r="A1407" s="80">
        <f>IF(OR(Pay!$AF108="",Pay!$AF108=0),"",Pay!$B108)</f>
        <v/>
      </c>
      <c r="B1407" s="80">
        <f>IF(OR(Pay!$AF108="",Pay!$AF108=0),"",Pay!$C108)</f>
        <v/>
      </c>
      <c r="C1407" s="80">
        <f>IF(OR(Pay!$AF108="",Pay!$AF108=0),"","پرداخت")</f>
        <v/>
      </c>
      <c r="D1407" s="80">
        <f>IF(OR(Pay!$AF108="",Pay!$AF108=0),"",Pay!$AF108)</f>
        <v/>
      </c>
      <c r="E1407" s="81">
        <f>IF(OR(Pay!$AF108="",Pay!$AF108=0),"",Pay!$P108)</f>
        <v/>
      </c>
      <c r="F1407" s="83" t="n"/>
      <c r="G1407" s="83" t="n"/>
      <c r="H1407" s="83" t="n"/>
      <c r="I1407" s="83" t="n"/>
      <c r="J1407" s="83" t="n"/>
      <c r="K1407" s="82">
        <f>IF(OR(Pay!$AF108="",Pay!$AF108=0),"",Pay!$K108)</f>
        <v/>
      </c>
      <c r="L1407" s="82" t="n"/>
      <c r="M1407" s="82">
        <f>IF(OR(Pay!$AF108="",Pay!$AF108=0),"",Pay!$AG108)</f>
        <v/>
      </c>
      <c r="N1407" s="81">
        <f>IF(OR(Pay!$AF108="",Pay!$AF108=0),"",Pay!$D108&amp;" — "&amp;Pay!$E108)</f>
        <v/>
      </c>
      <c r="O1407" s="81">
        <f>IF(OR(Pay!$AF108="",Pay!$AF108=0),"",IFERROR(VLOOKUP(Pay!$AF108,AcctTbl,3,0),""))</f>
        <v/>
      </c>
      <c r="P1407" s="82">
        <f>IF(Pay!$AF108&lt;&gt;"X011","",IF(Pay!$I108="","",Pay!$I108))</f>
        <v/>
      </c>
    </row>
    <row r="1408" ht="20.25" customHeight="1">
      <c r="A1408" s="80">
        <f>IF(OR(Pay!$AD109="",Pay!$AD109=0),"",Pay!$B109)</f>
        <v/>
      </c>
      <c r="B1408" s="80">
        <f>IF(OR(Pay!$AD109="",Pay!$AD109=0),"",Pay!$C109)</f>
        <v/>
      </c>
      <c r="C1408" s="80">
        <f>IF(OR(Pay!$AD109="",Pay!$AD109=0),"","پرداخت")</f>
        <v/>
      </c>
      <c r="D1408" s="80">
        <f>IF(OR(Pay!$AD109="",Pay!$AD109=0),"",Pay!$AD109)</f>
        <v/>
      </c>
      <c r="E1408" s="81">
        <f>IF(OR(Pay!$AD109="",Pay!$AD109=0),"",Pay!$P109)</f>
        <v/>
      </c>
      <c r="F1408" s="83" t="n"/>
      <c r="G1408" s="83" t="n"/>
      <c r="H1408" s="83" t="n"/>
      <c r="I1408" s="83" t="n"/>
      <c r="J1408" s="83" t="n"/>
      <c r="K1408" s="82">
        <f>IF(OR(Pay!$AD109="",Pay!$AD109=0),"",Pay!$K109)</f>
        <v/>
      </c>
      <c r="L1408" s="82">
        <f>IF(OR(Pay!$AD109="",Pay!$AD109=0),"",Pay!$AE109)</f>
        <v/>
      </c>
      <c r="M1408" s="82" t="n"/>
      <c r="N1408" s="81">
        <f>IF(OR(Pay!$AD109="",Pay!$AD109=0),"",Pay!$D109&amp;" — "&amp;Pay!$E109)</f>
        <v/>
      </c>
      <c r="O1408" s="81">
        <f>IF(OR(Pay!$AD109="",Pay!$AD109=0),"",IFERROR(VLOOKUP(Pay!$AD109,AcctTbl,3,0),""))</f>
        <v/>
      </c>
      <c r="P1408" s="82">
        <f>IF(Pay!$AD109&lt;&gt;"X011","",IF(Pay!$I109="","",Pay!$I109))</f>
        <v/>
      </c>
    </row>
    <row r="1409" ht="20.25" customHeight="1">
      <c r="A1409" s="80">
        <f>IF(OR(Pay!$AF109="",Pay!$AF109=0),"",Pay!$B109)</f>
        <v/>
      </c>
      <c r="B1409" s="80">
        <f>IF(OR(Pay!$AF109="",Pay!$AF109=0),"",Pay!$C109)</f>
        <v/>
      </c>
      <c r="C1409" s="80">
        <f>IF(OR(Pay!$AF109="",Pay!$AF109=0),"","پرداخت")</f>
        <v/>
      </c>
      <c r="D1409" s="80">
        <f>IF(OR(Pay!$AF109="",Pay!$AF109=0),"",Pay!$AF109)</f>
        <v/>
      </c>
      <c r="E1409" s="81">
        <f>IF(OR(Pay!$AF109="",Pay!$AF109=0),"",Pay!$P109)</f>
        <v/>
      </c>
      <c r="F1409" s="83" t="n"/>
      <c r="G1409" s="83" t="n"/>
      <c r="H1409" s="83" t="n"/>
      <c r="I1409" s="83" t="n"/>
      <c r="J1409" s="83" t="n"/>
      <c r="K1409" s="82">
        <f>IF(OR(Pay!$AF109="",Pay!$AF109=0),"",Pay!$K109)</f>
        <v/>
      </c>
      <c r="L1409" s="82" t="n"/>
      <c r="M1409" s="82">
        <f>IF(OR(Pay!$AF109="",Pay!$AF109=0),"",Pay!$AG109)</f>
        <v/>
      </c>
      <c r="N1409" s="81">
        <f>IF(OR(Pay!$AF109="",Pay!$AF109=0),"",Pay!$D109&amp;" — "&amp;Pay!$E109)</f>
        <v/>
      </c>
      <c r="O1409" s="81">
        <f>IF(OR(Pay!$AF109="",Pay!$AF109=0),"",IFERROR(VLOOKUP(Pay!$AF109,AcctTbl,3,0),""))</f>
        <v/>
      </c>
      <c r="P1409" s="82">
        <f>IF(Pay!$AF109&lt;&gt;"X011","",IF(Pay!$I109="","",Pay!$I109))</f>
        <v/>
      </c>
    </row>
    <row r="1410" ht="20.25" customHeight="1">
      <c r="A1410" s="80">
        <f>IF(OR(Pay!$AD110="",Pay!$AD110=0),"",Pay!$B110)</f>
        <v/>
      </c>
      <c r="B1410" s="80">
        <f>IF(OR(Pay!$AD110="",Pay!$AD110=0),"",Pay!$C110)</f>
        <v/>
      </c>
      <c r="C1410" s="80">
        <f>IF(OR(Pay!$AD110="",Pay!$AD110=0),"","پرداخت")</f>
        <v/>
      </c>
      <c r="D1410" s="80">
        <f>IF(OR(Pay!$AD110="",Pay!$AD110=0),"",Pay!$AD110)</f>
        <v/>
      </c>
      <c r="E1410" s="81">
        <f>IF(OR(Pay!$AD110="",Pay!$AD110=0),"",Pay!$P110)</f>
        <v/>
      </c>
      <c r="F1410" s="83" t="n"/>
      <c r="G1410" s="83" t="n"/>
      <c r="H1410" s="83" t="n"/>
      <c r="I1410" s="83" t="n"/>
      <c r="J1410" s="83" t="n"/>
      <c r="K1410" s="82">
        <f>IF(OR(Pay!$AD110="",Pay!$AD110=0),"",Pay!$K110)</f>
        <v/>
      </c>
      <c r="L1410" s="82">
        <f>IF(OR(Pay!$AD110="",Pay!$AD110=0),"",Pay!$AE110)</f>
        <v/>
      </c>
      <c r="M1410" s="82" t="n"/>
      <c r="N1410" s="81">
        <f>IF(OR(Pay!$AD110="",Pay!$AD110=0),"",Pay!$D110&amp;" — "&amp;Pay!$E110)</f>
        <v/>
      </c>
      <c r="O1410" s="81">
        <f>IF(OR(Pay!$AD110="",Pay!$AD110=0),"",IFERROR(VLOOKUP(Pay!$AD110,AcctTbl,3,0),""))</f>
        <v/>
      </c>
      <c r="P1410" s="82">
        <f>IF(Pay!$AD110&lt;&gt;"X011","",IF(Pay!$I110="","",Pay!$I110))</f>
        <v/>
      </c>
    </row>
    <row r="1411" ht="20.25" customHeight="1">
      <c r="A1411" s="80">
        <f>IF(OR(Pay!$AF110="",Pay!$AF110=0),"",Pay!$B110)</f>
        <v/>
      </c>
      <c r="B1411" s="80">
        <f>IF(OR(Pay!$AF110="",Pay!$AF110=0),"",Pay!$C110)</f>
        <v/>
      </c>
      <c r="C1411" s="80">
        <f>IF(OR(Pay!$AF110="",Pay!$AF110=0),"","پرداخت")</f>
        <v/>
      </c>
      <c r="D1411" s="80">
        <f>IF(OR(Pay!$AF110="",Pay!$AF110=0),"",Pay!$AF110)</f>
        <v/>
      </c>
      <c r="E1411" s="81">
        <f>IF(OR(Pay!$AF110="",Pay!$AF110=0),"",Pay!$P110)</f>
        <v/>
      </c>
      <c r="F1411" s="83" t="n"/>
      <c r="G1411" s="83" t="n"/>
      <c r="H1411" s="83" t="n"/>
      <c r="I1411" s="83" t="n"/>
      <c r="J1411" s="83" t="n"/>
      <c r="K1411" s="82">
        <f>IF(OR(Pay!$AF110="",Pay!$AF110=0),"",Pay!$K110)</f>
        <v/>
      </c>
      <c r="L1411" s="82" t="n"/>
      <c r="M1411" s="82">
        <f>IF(OR(Pay!$AF110="",Pay!$AF110=0),"",Pay!$AG110)</f>
        <v/>
      </c>
      <c r="N1411" s="81">
        <f>IF(OR(Pay!$AF110="",Pay!$AF110=0),"",Pay!$D110&amp;" — "&amp;Pay!$E110)</f>
        <v/>
      </c>
      <c r="O1411" s="81">
        <f>IF(OR(Pay!$AF110="",Pay!$AF110=0),"",IFERROR(VLOOKUP(Pay!$AF110,AcctTbl,3,0),""))</f>
        <v/>
      </c>
      <c r="P1411" s="82">
        <f>IF(Pay!$AF110&lt;&gt;"X011","",IF(Pay!$I110="","",Pay!$I110))</f>
        <v/>
      </c>
    </row>
    <row r="1412" ht="20.25" customHeight="1">
      <c r="A1412" s="80">
        <f>IF(OR(Pay!$AD111="",Pay!$AD111=0),"",Pay!$B111)</f>
        <v/>
      </c>
      <c r="B1412" s="80">
        <f>IF(OR(Pay!$AD111="",Pay!$AD111=0),"",Pay!$C111)</f>
        <v/>
      </c>
      <c r="C1412" s="80">
        <f>IF(OR(Pay!$AD111="",Pay!$AD111=0),"","پرداخت")</f>
        <v/>
      </c>
      <c r="D1412" s="80">
        <f>IF(OR(Pay!$AD111="",Pay!$AD111=0),"",Pay!$AD111)</f>
        <v/>
      </c>
      <c r="E1412" s="81">
        <f>IF(OR(Pay!$AD111="",Pay!$AD111=0),"",Pay!$P111)</f>
        <v/>
      </c>
      <c r="F1412" s="83" t="n"/>
      <c r="G1412" s="83" t="n"/>
      <c r="H1412" s="83" t="n"/>
      <c r="I1412" s="83" t="n"/>
      <c r="J1412" s="83" t="n"/>
      <c r="K1412" s="82">
        <f>IF(OR(Pay!$AD111="",Pay!$AD111=0),"",Pay!$K111)</f>
        <v/>
      </c>
      <c r="L1412" s="82">
        <f>IF(OR(Pay!$AD111="",Pay!$AD111=0),"",Pay!$AE111)</f>
        <v/>
      </c>
      <c r="M1412" s="82" t="n"/>
      <c r="N1412" s="81">
        <f>IF(OR(Pay!$AD111="",Pay!$AD111=0),"",Pay!$D111&amp;" — "&amp;Pay!$E111)</f>
        <v/>
      </c>
      <c r="O1412" s="81">
        <f>IF(OR(Pay!$AD111="",Pay!$AD111=0),"",IFERROR(VLOOKUP(Pay!$AD111,AcctTbl,3,0),""))</f>
        <v/>
      </c>
      <c r="P1412" s="82">
        <f>IF(Pay!$AD111&lt;&gt;"X011","",IF(Pay!$I111="","",Pay!$I111))</f>
        <v/>
      </c>
    </row>
    <row r="1413" ht="20.25" customHeight="1">
      <c r="A1413" s="80">
        <f>IF(OR(Pay!$AF111="",Pay!$AF111=0),"",Pay!$B111)</f>
        <v/>
      </c>
      <c r="B1413" s="80">
        <f>IF(OR(Pay!$AF111="",Pay!$AF111=0),"",Pay!$C111)</f>
        <v/>
      </c>
      <c r="C1413" s="80">
        <f>IF(OR(Pay!$AF111="",Pay!$AF111=0),"","پرداخت")</f>
        <v/>
      </c>
      <c r="D1413" s="80">
        <f>IF(OR(Pay!$AF111="",Pay!$AF111=0),"",Pay!$AF111)</f>
        <v/>
      </c>
      <c r="E1413" s="81">
        <f>IF(OR(Pay!$AF111="",Pay!$AF111=0),"",Pay!$P111)</f>
        <v/>
      </c>
      <c r="F1413" s="83" t="n"/>
      <c r="G1413" s="83" t="n"/>
      <c r="H1413" s="83" t="n"/>
      <c r="I1413" s="83" t="n"/>
      <c r="J1413" s="83" t="n"/>
      <c r="K1413" s="82">
        <f>IF(OR(Pay!$AF111="",Pay!$AF111=0),"",Pay!$K111)</f>
        <v/>
      </c>
      <c r="L1413" s="82" t="n"/>
      <c r="M1413" s="82">
        <f>IF(OR(Pay!$AF111="",Pay!$AF111=0),"",Pay!$AG111)</f>
        <v/>
      </c>
      <c r="N1413" s="81">
        <f>IF(OR(Pay!$AF111="",Pay!$AF111=0),"",Pay!$D111&amp;" — "&amp;Pay!$E111)</f>
        <v/>
      </c>
      <c r="O1413" s="81">
        <f>IF(OR(Pay!$AF111="",Pay!$AF111=0),"",IFERROR(VLOOKUP(Pay!$AF111,AcctTbl,3,0),""))</f>
        <v/>
      </c>
      <c r="P1413" s="82">
        <f>IF(Pay!$AF111&lt;&gt;"X011","",IF(Pay!$I111="","",Pay!$I111))</f>
        <v/>
      </c>
    </row>
    <row r="1414" ht="20.25" customHeight="1">
      <c r="A1414" s="80">
        <f>IF(OR(Pay!$AD112="",Pay!$AD112=0),"",Pay!$B112)</f>
        <v/>
      </c>
      <c r="B1414" s="80">
        <f>IF(OR(Pay!$AD112="",Pay!$AD112=0),"",Pay!$C112)</f>
        <v/>
      </c>
      <c r="C1414" s="80">
        <f>IF(OR(Pay!$AD112="",Pay!$AD112=0),"","پرداخت")</f>
        <v/>
      </c>
      <c r="D1414" s="80">
        <f>IF(OR(Pay!$AD112="",Pay!$AD112=0),"",Pay!$AD112)</f>
        <v/>
      </c>
      <c r="E1414" s="81">
        <f>IF(OR(Pay!$AD112="",Pay!$AD112=0),"",Pay!$P112)</f>
        <v/>
      </c>
      <c r="F1414" s="83" t="n"/>
      <c r="G1414" s="83" t="n"/>
      <c r="H1414" s="83" t="n"/>
      <c r="I1414" s="83" t="n"/>
      <c r="J1414" s="83" t="n"/>
      <c r="K1414" s="82">
        <f>IF(OR(Pay!$AD112="",Pay!$AD112=0),"",Pay!$K112)</f>
        <v/>
      </c>
      <c r="L1414" s="82">
        <f>IF(OR(Pay!$AD112="",Pay!$AD112=0),"",Pay!$AE112)</f>
        <v/>
      </c>
      <c r="M1414" s="82" t="n"/>
      <c r="N1414" s="81">
        <f>IF(OR(Pay!$AD112="",Pay!$AD112=0),"",Pay!$D112&amp;" — "&amp;Pay!$E112)</f>
        <v/>
      </c>
      <c r="O1414" s="81">
        <f>IF(OR(Pay!$AD112="",Pay!$AD112=0),"",IFERROR(VLOOKUP(Pay!$AD112,AcctTbl,3,0),""))</f>
        <v/>
      </c>
      <c r="P1414" s="82">
        <f>IF(Pay!$AD112&lt;&gt;"X011","",IF(Pay!$I112="","",Pay!$I112))</f>
        <v/>
      </c>
    </row>
    <row r="1415" ht="20.25" customHeight="1">
      <c r="A1415" s="80">
        <f>IF(OR(Pay!$AF112="",Pay!$AF112=0),"",Pay!$B112)</f>
        <v/>
      </c>
      <c r="B1415" s="80">
        <f>IF(OR(Pay!$AF112="",Pay!$AF112=0),"",Pay!$C112)</f>
        <v/>
      </c>
      <c r="C1415" s="80">
        <f>IF(OR(Pay!$AF112="",Pay!$AF112=0),"","پرداخت")</f>
        <v/>
      </c>
      <c r="D1415" s="80">
        <f>IF(OR(Pay!$AF112="",Pay!$AF112=0),"",Pay!$AF112)</f>
        <v/>
      </c>
      <c r="E1415" s="81">
        <f>IF(OR(Pay!$AF112="",Pay!$AF112=0),"",Pay!$P112)</f>
        <v/>
      </c>
      <c r="F1415" s="83" t="n"/>
      <c r="G1415" s="83" t="n"/>
      <c r="H1415" s="83" t="n"/>
      <c r="I1415" s="83" t="n"/>
      <c r="J1415" s="83" t="n"/>
      <c r="K1415" s="82">
        <f>IF(OR(Pay!$AF112="",Pay!$AF112=0),"",Pay!$K112)</f>
        <v/>
      </c>
      <c r="L1415" s="82" t="n"/>
      <c r="M1415" s="82">
        <f>IF(OR(Pay!$AF112="",Pay!$AF112=0),"",Pay!$AG112)</f>
        <v/>
      </c>
      <c r="N1415" s="81">
        <f>IF(OR(Pay!$AF112="",Pay!$AF112=0),"",Pay!$D112&amp;" — "&amp;Pay!$E112)</f>
        <v/>
      </c>
      <c r="O1415" s="81">
        <f>IF(OR(Pay!$AF112="",Pay!$AF112=0),"",IFERROR(VLOOKUP(Pay!$AF112,AcctTbl,3,0),""))</f>
        <v/>
      </c>
      <c r="P1415" s="82">
        <f>IF(Pay!$AF112&lt;&gt;"X011","",IF(Pay!$I112="","",Pay!$I112))</f>
        <v/>
      </c>
    </row>
    <row r="1416" ht="20.25" customHeight="1">
      <c r="A1416" s="80">
        <f>IF(OR(Pay!$AD113="",Pay!$AD113=0),"",Pay!$B113)</f>
        <v/>
      </c>
      <c r="B1416" s="80">
        <f>IF(OR(Pay!$AD113="",Pay!$AD113=0),"",Pay!$C113)</f>
        <v/>
      </c>
      <c r="C1416" s="80">
        <f>IF(OR(Pay!$AD113="",Pay!$AD113=0),"","پرداخت")</f>
        <v/>
      </c>
      <c r="D1416" s="80">
        <f>IF(OR(Pay!$AD113="",Pay!$AD113=0),"",Pay!$AD113)</f>
        <v/>
      </c>
      <c r="E1416" s="81">
        <f>IF(OR(Pay!$AD113="",Pay!$AD113=0),"",Pay!$P113)</f>
        <v/>
      </c>
      <c r="F1416" s="83" t="n"/>
      <c r="G1416" s="83" t="n"/>
      <c r="H1416" s="83" t="n"/>
      <c r="I1416" s="83" t="n"/>
      <c r="J1416" s="83" t="n"/>
      <c r="K1416" s="82">
        <f>IF(OR(Pay!$AD113="",Pay!$AD113=0),"",Pay!$K113)</f>
        <v/>
      </c>
      <c r="L1416" s="82">
        <f>IF(OR(Pay!$AD113="",Pay!$AD113=0),"",Pay!$AE113)</f>
        <v/>
      </c>
      <c r="M1416" s="82" t="n"/>
      <c r="N1416" s="81">
        <f>IF(OR(Pay!$AD113="",Pay!$AD113=0),"",Pay!$D113&amp;" — "&amp;Pay!$E113)</f>
        <v/>
      </c>
      <c r="O1416" s="81">
        <f>IF(OR(Pay!$AD113="",Pay!$AD113=0),"",IFERROR(VLOOKUP(Pay!$AD113,AcctTbl,3,0),""))</f>
        <v/>
      </c>
      <c r="P1416" s="82">
        <f>IF(Pay!$AD113&lt;&gt;"X011","",IF(Pay!$I113="","",Pay!$I113))</f>
        <v/>
      </c>
    </row>
    <row r="1417" ht="20.25" customHeight="1">
      <c r="A1417" s="80">
        <f>IF(OR(Pay!$AF113="",Pay!$AF113=0),"",Pay!$B113)</f>
        <v/>
      </c>
      <c r="B1417" s="80">
        <f>IF(OR(Pay!$AF113="",Pay!$AF113=0),"",Pay!$C113)</f>
        <v/>
      </c>
      <c r="C1417" s="80">
        <f>IF(OR(Pay!$AF113="",Pay!$AF113=0),"","پرداخت")</f>
        <v/>
      </c>
      <c r="D1417" s="80">
        <f>IF(OR(Pay!$AF113="",Pay!$AF113=0),"",Pay!$AF113)</f>
        <v/>
      </c>
      <c r="E1417" s="81">
        <f>IF(OR(Pay!$AF113="",Pay!$AF113=0),"",Pay!$P113)</f>
        <v/>
      </c>
      <c r="F1417" s="83" t="n"/>
      <c r="G1417" s="83" t="n"/>
      <c r="H1417" s="83" t="n"/>
      <c r="I1417" s="83" t="n"/>
      <c r="J1417" s="83" t="n"/>
      <c r="K1417" s="82">
        <f>IF(OR(Pay!$AF113="",Pay!$AF113=0),"",Pay!$K113)</f>
        <v/>
      </c>
      <c r="L1417" s="82" t="n"/>
      <c r="M1417" s="82">
        <f>IF(OR(Pay!$AF113="",Pay!$AF113=0),"",Pay!$AG113)</f>
        <v/>
      </c>
      <c r="N1417" s="81">
        <f>IF(OR(Pay!$AF113="",Pay!$AF113=0),"",Pay!$D113&amp;" — "&amp;Pay!$E113)</f>
        <v/>
      </c>
      <c r="O1417" s="81">
        <f>IF(OR(Pay!$AF113="",Pay!$AF113=0),"",IFERROR(VLOOKUP(Pay!$AF113,AcctTbl,3,0),""))</f>
        <v/>
      </c>
      <c r="P1417" s="82">
        <f>IF(Pay!$AF113&lt;&gt;"X011","",IF(Pay!$I113="","",Pay!$I113))</f>
        <v/>
      </c>
    </row>
    <row r="1418" ht="20.25" customHeight="1">
      <c r="A1418" s="80">
        <f>IF(OR(Pay!$AD114="",Pay!$AD114=0),"",Pay!$B114)</f>
        <v/>
      </c>
      <c r="B1418" s="80">
        <f>IF(OR(Pay!$AD114="",Pay!$AD114=0),"",Pay!$C114)</f>
        <v/>
      </c>
      <c r="C1418" s="80">
        <f>IF(OR(Pay!$AD114="",Pay!$AD114=0),"","پرداخت")</f>
        <v/>
      </c>
      <c r="D1418" s="80">
        <f>IF(OR(Pay!$AD114="",Pay!$AD114=0),"",Pay!$AD114)</f>
        <v/>
      </c>
      <c r="E1418" s="81">
        <f>IF(OR(Pay!$AD114="",Pay!$AD114=0),"",Pay!$P114)</f>
        <v/>
      </c>
      <c r="F1418" s="83" t="n"/>
      <c r="G1418" s="83" t="n"/>
      <c r="H1418" s="83" t="n"/>
      <c r="I1418" s="83" t="n"/>
      <c r="J1418" s="83" t="n"/>
      <c r="K1418" s="82">
        <f>IF(OR(Pay!$AD114="",Pay!$AD114=0),"",Pay!$K114)</f>
        <v/>
      </c>
      <c r="L1418" s="82">
        <f>IF(OR(Pay!$AD114="",Pay!$AD114=0),"",Pay!$AE114)</f>
        <v/>
      </c>
      <c r="M1418" s="82" t="n"/>
      <c r="N1418" s="81">
        <f>IF(OR(Pay!$AD114="",Pay!$AD114=0),"",Pay!$D114&amp;" — "&amp;Pay!$E114)</f>
        <v/>
      </c>
      <c r="O1418" s="81">
        <f>IF(OR(Pay!$AD114="",Pay!$AD114=0),"",IFERROR(VLOOKUP(Pay!$AD114,AcctTbl,3,0),""))</f>
        <v/>
      </c>
      <c r="P1418" s="82">
        <f>IF(Pay!$AD114&lt;&gt;"X011","",IF(Pay!$I114="","",Pay!$I114))</f>
        <v/>
      </c>
    </row>
    <row r="1419" ht="20.25" customHeight="1">
      <c r="A1419" s="80">
        <f>IF(OR(Pay!$AF114="",Pay!$AF114=0),"",Pay!$B114)</f>
        <v/>
      </c>
      <c r="B1419" s="80">
        <f>IF(OR(Pay!$AF114="",Pay!$AF114=0),"",Pay!$C114)</f>
        <v/>
      </c>
      <c r="C1419" s="80">
        <f>IF(OR(Pay!$AF114="",Pay!$AF114=0),"","پرداخت")</f>
        <v/>
      </c>
      <c r="D1419" s="80">
        <f>IF(OR(Pay!$AF114="",Pay!$AF114=0),"",Pay!$AF114)</f>
        <v/>
      </c>
      <c r="E1419" s="81">
        <f>IF(OR(Pay!$AF114="",Pay!$AF114=0),"",Pay!$P114)</f>
        <v/>
      </c>
      <c r="F1419" s="83" t="n"/>
      <c r="G1419" s="83" t="n"/>
      <c r="H1419" s="83" t="n"/>
      <c r="I1419" s="83" t="n"/>
      <c r="J1419" s="83" t="n"/>
      <c r="K1419" s="82">
        <f>IF(OR(Pay!$AF114="",Pay!$AF114=0),"",Pay!$K114)</f>
        <v/>
      </c>
      <c r="L1419" s="82" t="n"/>
      <c r="M1419" s="82">
        <f>IF(OR(Pay!$AF114="",Pay!$AF114=0),"",Pay!$AG114)</f>
        <v/>
      </c>
      <c r="N1419" s="81">
        <f>IF(OR(Pay!$AF114="",Pay!$AF114=0),"",Pay!$D114&amp;" — "&amp;Pay!$E114)</f>
        <v/>
      </c>
      <c r="O1419" s="81">
        <f>IF(OR(Pay!$AF114="",Pay!$AF114=0),"",IFERROR(VLOOKUP(Pay!$AF114,AcctTbl,3,0),""))</f>
        <v/>
      </c>
      <c r="P1419" s="82">
        <f>IF(Pay!$AF114&lt;&gt;"X011","",IF(Pay!$I114="","",Pay!$I114))</f>
        <v/>
      </c>
    </row>
    <row r="1420" ht="20.25" customHeight="1">
      <c r="A1420" s="80">
        <f>IF(OR(Pay!$AD115="",Pay!$AD115=0),"",Pay!$B115)</f>
        <v/>
      </c>
      <c r="B1420" s="80">
        <f>IF(OR(Pay!$AD115="",Pay!$AD115=0),"",Pay!$C115)</f>
        <v/>
      </c>
      <c r="C1420" s="80">
        <f>IF(OR(Pay!$AD115="",Pay!$AD115=0),"","پرداخت")</f>
        <v/>
      </c>
      <c r="D1420" s="80">
        <f>IF(OR(Pay!$AD115="",Pay!$AD115=0),"",Pay!$AD115)</f>
        <v/>
      </c>
      <c r="E1420" s="81">
        <f>IF(OR(Pay!$AD115="",Pay!$AD115=0),"",Pay!$P115)</f>
        <v/>
      </c>
      <c r="F1420" s="83" t="n"/>
      <c r="G1420" s="83" t="n"/>
      <c r="H1420" s="83" t="n"/>
      <c r="I1420" s="83" t="n"/>
      <c r="J1420" s="83" t="n"/>
      <c r="K1420" s="82">
        <f>IF(OR(Pay!$AD115="",Pay!$AD115=0),"",Pay!$K115)</f>
        <v/>
      </c>
      <c r="L1420" s="82">
        <f>IF(OR(Pay!$AD115="",Pay!$AD115=0),"",Pay!$AE115)</f>
        <v/>
      </c>
      <c r="M1420" s="82" t="n"/>
      <c r="N1420" s="81">
        <f>IF(OR(Pay!$AD115="",Pay!$AD115=0),"",Pay!$D115&amp;" — "&amp;Pay!$E115)</f>
        <v/>
      </c>
      <c r="O1420" s="81">
        <f>IF(OR(Pay!$AD115="",Pay!$AD115=0),"",IFERROR(VLOOKUP(Pay!$AD115,AcctTbl,3,0),""))</f>
        <v/>
      </c>
      <c r="P1420" s="82">
        <f>IF(Pay!$AD115&lt;&gt;"X011","",IF(Pay!$I115="","",Pay!$I115))</f>
        <v/>
      </c>
    </row>
    <row r="1421" ht="20.25" customHeight="1">
      <c r="A1421" s="80">
        <f>IF(OR(Pay!$AF115="",Pay!$AF115=0),"",Pay!$B115)</f>
        <v/>
      </c>
      <c r="B1421" s="80">
        <f>IF(OR(Pay!$AF115="",Pay!$AF115=0),"",Pay!$C115)</f>
        <v/>
      </c>
      <c r="C1421" s="80">
        <f>IF(OR(Pay!$AF115="",Pay!$AF115=0),"","پرداخت")</f>
        <v/>
      </c>
      <c r="D1421" s="80">
        <f>IF(OR(Pay!$AF115="",Pay!$AF115=0),"",Pay!$AF115)</f>
        <v/>
      </c>
      <c r="E1421" s="81">
        <f>IF(OR(Pay!$AF115="",Pay!$AF115=0),"",Pay!$P115)</f>
        <v/>
      </c>
      <c r="F1421" s="83" t="n"/>
      <c r="G1421" s="83" t="n"/>
      <c r="H1421" s="83" t="n"/>
      <c r="I1421" s="83" t="n"/>
      <c r="J1421" s="83" t="n"/>
      <c r="K1421" s="82">
        <f>IF(OR(Pay!$AF115="",Pay!$AF115=0),"",Pay!$K115)</f>
        <v/>
      </c>
      <c r="L1421" s="82" t="n"/>
      <c r="M1421" s="82">
        <f>IF(OR(Pay!$AF115="",Pay!$AF115=0),"",Pay!$AG115)</f>
        <v/>
      </c>
      <c r="N1421" s="81">
        <f>IF(OR(Pay!$AF115="",Pay!$AF115=0),"",Pay!$D115&amp;" — "&amp;Pay!$E115)</f>
        <v/>
      </c>
      <c r="O1421" s="81">
        <f>IF(OR(Pay!$AF115="",Pay!$AF115=0),"",IFERROR(VLOOKUP(Pay!$AF115,AcctTbl,3,0),""))</f>
        <v/>
      </c>
      <c r="P1421" s="82">
        <f>IF(Pay!$AF115&lt;&gt;"X011","",IF(Pay!$I115="","",Pay!$I115))</f>
        <v/>
      </c>
    </row>
    <row r="1422" ht="20.25" customHeight="1">
      <c r="A1422" s="80">
        <f>IF(OR(Pay!$AD116="",Pay!$AD116=0),"",Pay!$B116)</f>
        <v/>
      </c>
      <c r="B1422" s="80">
        <f>IF(OR(Pay!$AD116="",Pay!$AD116=0),"",Pay!$C116)</f>
        <v/>
      </c>
      <c r="C1422" s="80">
        <f>IF(OR(Pay!$AD116="",Pay!$AD116=0),"","پرداخت")</f>
        <v/>
      </c>
      <c r="D1422" s="80">
        <f>IF(OR(Pay!$AD116="",Pay!$AD116=0),"",Pay!$AD116)</f>
        <v/>
      </c>
      <c r="E1422" s="81">
        <f>IF(OR(Pay!$AD116="",Pay!$AD116=0),"",Pay!$P116)</f>
        <v/>
      </c>
      <c r="F1422" s="83" t="n"/>
      <c r="G1422" s="83" t="n"/>
      <c r="H1422" s="83" t="n"/>
      <c r="I1422" s="83" t="n"/>
      <c r="J1422" s="83" t="n"/>
      <c r="K1422" s="82">
        <f>IF(OR(Pay!$AD116="",Pay!$AD116=0),"",Pay!$K116)</f>
        <v/>
      </c>
      <c r="L1422" s="82">
        <f>IF(OR(Pay!$AD116="",Pay!$AD116=0),"",Pay!$AE116)</f>
        <v/>
      </c>
      <c r="M1422" s="82" t="n"/>
      <c r="N1422" s="81">
        <f>IF(OR(Pay!$AD116="",Pay!$AD116=0),"",Pay!$D116&amp;" — "&amp;Pay!$E116)</f>
        <v/>
      </c>
      <c r="O1422" s="81">
        <f>IF(OR(Pay!$AD116="",Pay!$AD116=0),"",IFERROR(VLOOKUP(Pay!$AD116,AcctTbl,3,0),""))</f>
        <v/>
      </c>
      <c r="P1422" s="82">
        <f>IF(Pay!$AD116&lt;&gt;"X011","",IF(Pay!$I116="","",Pay!$I116))</f>
        <v/>
      </c>
    </row>
    <row r="1423" ht="20.25" customHeight="1">
      <c r="A1423" s="80">
        <f>IF(OR(Pay!$AF116="",Pay!$AF116=0),"",Pay!$B116)</f>
        <v/>
      </c>
      <c r="B1423" s="80">
        <f>IF(OR(Pay!$AF116="",Pay!$AF116=0),"",Pay!$C116)</f>
        <v/>
      </c>
      <c r="C1423" s="80">
        <f>IF(OR(Pay!$AF116="",Pay!$AF116=0),"","پرداخت")</f>
        <v/>
      </c>
      <c r="D1423" s="80">
        <f>IF(OR(Pay!$AF116="",Pay!$AF116=0),"",Pay!$AF116)</f>
        <v/>
      </c>
      <c r="E1423" s="81">
        <f>IF(OR(Pay!$AF116="",Pay!$AF116=0),"",Pay!$P116)</f>
        <v/>
      </c>
      <c r="F1423" s="83" t="n"/>
      <c r="G1423" s="83" t="n"/>
      <c r="H1423" s="83" t="n"/>
      <c r="I1423" s="83" t="n"/>
      <c r="J1423" s="83" t="n"/>
      <c r="K1423" s="82">
        <f>IF(OR(Pay!$AF116="",Pay!$AF116=0),"",Pay!$K116)</f>
        <v/>
      </c>
      <c r="L1423" s="82" t="n"/>
      <c r="M1423" s="82">
        <f>IF(OR(Pay!$AF116="",Pay!$AF116=0),"",Pay!$AG116)</f>
        <v/>
      </c>
      <c r="N1423" s="81">
        <f>IF(OR(Pay!$AF116="",Pay!$AF116=0),"",Pay!$D116&amp;" — "&amp;Pay!$E116)</f>
        <v/>
      </c>
      <c r="O1423" s="81">
        <f>IF(OR(Pay!$AF116="",Pay!$AF116=0),"",IFERROR(VLOOKUP(Pay!$AF116,AcctTbl,3,0),""))</f>
        <v/>
      </c>
      <c r="P1423" s="82">
        <f>IF(Pay!$AF116&lt;&gt;"X011","",IF(Pay!$I116="","",Pay!$I116))</f>
        <v/>
      </c>
    </row>
    <row r="1424" ht="20.25" customHeight="1">
      <c r="A1424" s="80">
        <f>IF(OR(Pay!$AD117="",Pay!$AD117=0),"",Pay!$B117)</f>
        <v/>
      </c>
      <c r="B1424" s="80">
        <f>IF(OR(Pay!$AD117="",Pay!$AD117=0),"",Pay!$C117)</f>
        <v/>
      </c>
      <c r="C1424" s="80">
        <f>IF(OR(Pay!$AD117="",Pay!$AD117=0),"","پرداخت")</f>
        <v/>
      </c>
      <c r="D1424" s="80">
        <f>IF(OR(Pay!$AD117="",Pay!$AD117=0),"",Pay!$AD117)</f>
        <v/>
      </c>
      <c r="E1424" s="81">
        <f>IF(OR(Pay!$AD117="",Pay!$AD117=0),"",Pay!$P117)</f>
        <v/>
      </c>
      <c r="F1424" s="83" t="n"/>
      <c r="G1424" s="83" t="n"/>
      <c r="H1424" s="83" t="n"/>
      <c r="I1424" s="83" t="n"/>
      <c r="J1424" s="83" t="n"/>
      <c r="K1424" s="82">
        <f>IF(OR(Pay!$AD117="",Pay!$AD117=0),"",Pay!$K117)</f>
        <v/>
      </c>
      <c r="L1424" s="82">
        <f>IF(OR(Pay!$AD117="",Pay!$AD117=0),"",Pay!$AE117)</f>
        <v/>
      </c>
      <c r="M1424" s="82" t="n"/>
      <c r="N1424" s="81">
        <f>IF(OR(Pay!$AD117="",Pay!$AD117=0),"",Pay!$D117&amp;" — "&amp;Pay!$E117)</f>
        <v/>
      </c>
      <c r="O1424" s="81">
        <f>IF(OR(Pay!$AD117="",Pay!$AD117=0),"",IFERROR(VLOOKUP(Pay!$AD117,AcctTbl,3,0),""))</f>
        <v/>
      </c>
      <c r="P1424" s="82">
        <f>IF(Pay!$AD117&lt;&gt;"X011","",IF(Pay!$I117="","",Pay!$I117))</f>
        <v/>
      </c>
    </row>
    <row r="1425" ht="20.25" customHeight="1">
      <c r="A1425" s="80">
        <f>IF(OR(Pay!$AF117="",Pay!$AF117=0),"",Pay!$B117)</f>
        <v/>
      </c>
      <c r="B1425" s="80">
        <f>IF(OR(Pay!$AF117="",Pay!$AF117=0),"",Pay!$C117)</f>
        <v/>
      </c>
      <c r="C1425" s="80">
        <f>IF(OR(Pay!$AF117="",Pay!$AF117=0),"","پرداخت")</f>
        <v/>
      </c>
      <c r="D1425" s="80">
        <f>IF(OR(Pay!$AF117="",Pay!$AF117=0),"",Pay!$AF117)</f>
        <v/>
      </c>
      <c r="E1425" s="81">
        <f>IF(OR(Pay!$AF117="",Pay!$AF117=0),"",Pay!$P117)</f>
        <v/>
      </c>
      <c r="F1425" s="83" t="n"/>
      <c r="G1425" s="83" t="n"/>
      <c r="H1425" s="83" t="n"/>
      <c r="I1425" s="83" t="n"/>
      <c r="J1425" s="83" t="n"/>
      <c r="K1425" s="82">
        <f>IF(OR(Pay!$AF117="",Pay!$AF117=0),"",Pay!$K117)</f>
        <v/>
      </c>
      <c r="L1425" s="82" t="n"/>
      <c r="M1425" s="82">
        <f>IF(OR(Pay!$AF117="",Pay!$AF117=0),"",Pay!$AG117)</f>
        <v/>
      </c>
      <c r="N1425" s="81">
        <f>IF(OR(Pay!$AF117="",Pay!$AF117=0),"",Pay!$D117&amp;" — "&amp;Pay!$E117)</f>
        <v/>
      </c>
      <c r="O1425" s="81">
        <f>IF(OR(Pay!$AF117="",Pay!$AF117=0),"",IFERROR(VLOOKUP(Pay!$AF117,AcctTbl,3,0),""))</f>
        <v/>
      </c>
      <c r="P1425" s="82">
        <f>IF(Pay!$AF117&lt;&gt;"X011","",IF(Pay!$I117="","",Pay!$I117))</f>
        <v/>
      </c>
    </row>
    <row r="1426" ht="20.25" customHeight="1">
      <c r="A1426" s="80">
        <f>IF(OR(Pay!$AD118="",Pay!$AD118=0),"",Pay!$B118)</f>
        <v/>
      </c>
      <c r="B1426" s="80">
        <f>IF(OR(Pay!$AD118="",Pay!$AD118=0),"",Pay!$C118)</f>
        <v/>
      </c>
      <c r="C1426" s="80">
        <f>IF(OR(Pay!$AD118="",Pay!$AD118=0),"","پرداخت")</f>
        <v/>
      </c>
      <c r="D1426" s="80">
        <f>IF(OR(Pay!$AD118="",Pay!$AD118=0),"",Pay!$AD118)</f>
        <v/>
      </c>
      <c r="E1426" s="81">
        <f>IF(OR(Pay!$AD118="",Pay!$AD118=0),"",Pay!$P118)</f>
        <v/>
      </c>
      <c r="F1426" s="83" t="n"/>
      <c r="G1426" s="83" t="n"/>
      <c r="H1426" s="83" t="n"/>
      <c r="I1426" s="83" t="n"/>
      <c r="J1426" s="83" t="n"/>
      <c r="K1426" s="82">
        <f>IF(OR(Pay!$AD118="",Pay!$AD118=0),"",Pay!$K118)</f>
        <v/>
      </c>
      <c r="L1426" s="82">
        <f>IF(OR(Pay!$AD118="",Pay!$AD118=0),"",Pay!$AE118)</f>
        <v/>
      </c>
      <c r="M1426" s="82" t="n"/>
      <c r="N1426" s="81">
        <f>IF(OR(Pay!$AD118="",Pay!$AD118=0),"",Pay!$D118&amp;" — "&amp;Pay!$E118)</f>
        <v/>
      </c>
      <c r="O1426" s="81">
        <f>IF(OR(Pay!$AD118="",Pay!$AD118=0),"",IFERROR(VLOOKUP(Pay!$AD118,AcctTbl,3,0),""))</f>
        <v/>
      </c>
      <c r="P1426" s="82">
        <f>IF(Pay!$AD118&lt;&gt;"X011","",IF(Pay!$I118="","",Pay!$I118))</f>
        <v/>
      </c>
    </row>
    <row r="1427" ht="20.25" customHeight="1">
      <c r="A1427" s="80">
        <f>IF(OR(Pay!$AF118="",Pay!$AF118=0),"",Pay!$B118)</f>
        <v/>
      </c>
      <c r="B1427" s="80">
        <f>IF(OR(Pay!$AF118="",Pay!$AF118=0),"",Pay!$C118)</f>
        <v/>
      </c>
      <c r="C1427" s="80">
        <f>IF(OR(Pay!$AF118="",Pay!$AF118=0),"","پرداخت")</f>
        <v/>
      </c>
      <c r="D1427" s="80">
        <f>IF(OR(Pay!$AF118="",Pay!$AF118=0),"",Pay!$AF118)</f>
        <v/>
      </c>
      <c r="E1427" s="81">
        <f>IF(OR(Pay!$AF118="",Pay!$AF118=0),"",Pay!$P118)</f>
        <v/>
      </c>
      <c r="F1427" s="83" t="n"/>
      <c r="G1427" s="83" t="n"/>
      <c r="H1427" s="83" t="n"/>
      <c r="I1427" s="83" t="n"/>
      <c r="J1427" s="83" t="n"/>
      <c r="K1427" s="82">
        <f>IF(OR(Pay!$AF118="",Pay!$AF118=0),"",Pay!$K118)</f>
        <v/>
      </c>
      <c r="L1427" s="82" t="n"/>
      <c r="M1427" s="82">
        <f>IF(OR(Pay!$AF118="",Pay!$AF118=0),"",Pay!$AG118)</f>
        <v/>
      </c>
      <c r="N1427" s="81">
        <f>IF(OR(Pay!$AF118="",Pay!$AF118=0),"",Pay!$D118&amp;" — "&amp;Pay!$E118)</f>
        <v/>
      </c>
      <c r="O1427" s="81">
        <f>IF(OR(Pay!$AF118="",Pay!$AF118=0),"",IFERROR(VLOOKUP(Pay!$AF118,AcctTbl,3,0),""))</f>
        <v/>
      </c>
      <c r="P1427" s="82">
        <f>IF(Pay!$AF118&lt;&gt;"X011","",IF(Pay!$I118="","",Pay!$I118))</f>
        <v/>
      </c>
    </row>
    <row r="1428" ht="20.25" customHeight="1">
      <c r="A1428" s="80">
        <f>IF(OR(Pay!$AD119="",Pay!$AD119=0),"",Pay!$B119)</f>
        <v/>
      </c>
      <c r="B1428" s="80">
        <f>IF(OR(Pay!$AD119="",Pay!$AD119=0),"",Pay!$C119)</f>
        <v/>
      </c>
      <c r="C1428" s="80">
        <f>IF(OR(Pay!$AD119="",Pay!$AD119=0),"","پرداخت")</f>
        <v/>
      </c>
      <c r="D1428" s="80">
        <f>IF(OR(Pay!$AD119="",Pay!$AD119=0),"",Pay!$AD119)</f>
        <v/>
      </c>
      <c r="E1428" s="81">
        <f>IF(OR(Pay!$AD119="",Pay!$AD119=0),"",Pay!$P119)</f>
        <v/>
      </c>
      <c r="F1428" s="83" t="n"/>
      <c r="G1428" s="83" t="n"/>
      <c r="H1428" s="83" t="n"/>
      <c r="I1428" s="83" t="n"/>
      <c r="J1428" s="83" t="n"/>
      <c r="K1428" s="82">
        <f>IF(OR(Pay!$AD119="",Pay!$AD119=0),"",Pay!$K119)</f>
        <v/>
      </c>
      <c r="L1428" s="82">
        <f>IF(OR(Pay!$AD119="",Pay!$AD119=0),"",Pay!$AE119)</f>
        <v/>
      </c>
      <c r="M1428" s="82" t="n"/>
      <c r="N1428" s="81">
        <f>IF(OR(Pay!$AD119="",Pay!$AD119=0),"",Pay!$D119&amp;" — "&amp;Pay!$E119)</f>
        <v/>
      </c>
      <c r="O1428" s="81">
        <f>IF(OR(Pay!$AD119="",Pay!$AD119=0),"",IFERROR(VLOOKUP(Pay!$AD119,AcctTbl,3,0),""))</f>
        <v/>
      </c>
      <c r="P1428" s="82">
        <f>IF(Pay!$AD119&lt;&gt;"X011","",IF(Pay!$I119="","",Pay!$I119))</f>
        <v/>
      </c>
    </row>
    <row r="1429" ht="20.25" customHeight="1">
      <c r="A1429" s="80">
        <f>IF(OR(Pay!$AF119="",Pay!$AF119=0),"",Pay!$B119)</f>
        <v/>
      </c>
      <c r="B1429" s="80">
        <f>IF(OR(Pay!$AF119="",Pay!$AF119=0),"",Pay!$C119)</f>
        <v/>
      </c>
      <c r="C1429" s="80">
        <f>IF(OR(Pay!$AF119="",Pay!$AF119=0),"","پرداخت")</f>
        <v/>
      </c>
      <c r="D1429" s="80">
        <f>IF(OR(Pay!$AF119="",Pay!$AF119=0),"",Pay!$AF119)</f>
        <v/>
      </c>
      <c r="E1429" s="81">
        <f>IF(OR(Pay!$AF119="",Pay!$AF119=0),"",Pay!$P119)</f>
        <v/>
      </c>
      <c r="F1429" s="83" t="n"/>
      <c r="G1429" s="83" t="n"/>
      <c r="H1429" s="83" t="n"/>
      <c r="I1429" s="83" t="n"/>
      <c r="J1429" s="83" t="n"/>
      <c r="K1429" s="82">
        <f>IF(OR(Pay!$AF119="",Pay!$AF119=0),"",Pay!$K119)</f>
        <v/>
      </c>
      <c r="L1429" s="82" t="n"/>
      <c r="M1429" s="82">
        <f>IF(OR(Pay!$AF119="",Pay!$AF119=0),"",Pay!$AG119)</f>
        <v/>
      </c>
      <c r="N1429" s="81">
        <f>IF(OR(Pay!$AF119="",Pay!$AF119=0),"",Pay!$D119&amp;" — "&amp;Pay!$E119)</f>
        <v/>
      </c>
      <c r="O1429" s="81">
        <f>IF(OR(Pay!$AF119="",Pay!$AF119=0),"",IFERROR(VLOOKUP(Pay!$AF119,AcctTbl,3,0),""))</f>
        <v/>
      </c>
      <c r="P1429" s="82">
        <f>IF(Pay!$AF119&lt;&gt;"X011","",IF(Pay!$I119="","",Pay!$I119))</f>
        <v/>
      </c>
    </row>
    <row r="1430" ht="20.25" customHeight="1">
      <c r="A1430" s="80">
        <f>IF(OR(Pay!$AD120="",Pay!$AD120=0),"",Pay!$B120)</f>
        <v/>
      </c>
      <c r="B1430" s="80">
        <f>IF(OR(Pay!$AD120="",Pay!$AD120=0),"",Pay!$C120)</f>
        <v/>
      </c>
      <c r="C1430" s="80">
        <f>IF(OR(Pay!$AD120="",Pay!$AD120=0),"","پرداخت")</f>
        <v/>
      </c>
      <c r="D1430" s="80">
        <f>IF(OR(Pay!$AD120="",Pay!$AD120=0),"",Pay!$AD120)</f>
        <v/>
      </c>
      <c r="E1430" s="81">
        <f>IF(OR(Pay!$AD120="",Pay!$AD120=0),"",Pay!$P120)</f>
        <v/>
      </c>
      <c r="F1430" s="83" t="n"/>
      <c r="G1430" s="83" t="n"/>
      <c r="H1430" s="83" t="n"/>
      <c r="I1430" s="83" t="n"/>
      <c r="J1430" s="83" t="n"/>
      <c r="K1430" s="82">
        <f>IF(OR(Pay!$AD120="",Pay!$AD120=0),"",Pay!$K120)</f>
        <v/>
      </c>
      <c r="L1430" s="82">
        <f>IF(OR(Pay!$AD120="",Pay!$AD120=0),"",Pay!$AE120)</f>
        <v/>
      </c>
      <c r="M1430" s="82" t="n"/>
      <c r="N1430" s="81">
        <f>IF(OR(Pay!$AD120="",Pay!$AD120=0),"",Pay!$D120&amp;" — "&amp;Pay!$E120)</f>
        <v/>
      </c>
      <c r="O1430" s="81">
        <f>IF(OR(Pay!$AD120="",Pay!$AD120=0),"",IFERROR(VLOOKUP(Pay!$AD120,AcctTbl,3,0),""))</f>
        <v/>
      </c>
      <c r="P1430" s="82">
        <f>IF(Pay!$AD120&lt;&gt;"X011","",IF(Pay!$I120="","",Pay!$I120))</f>
        <v/>
      </c>
    </row>
    <row r="1431" ht="20.25" customHeight="1">
      <c r="A1431" s="80">
        <f>IF(OR(Pay!$AF120="",Pay!$AF120=0),"",Pay!$B120)</f>
        <v/>
      </c>
      <c r="B1431" s="80">
        <f>IF(OR(Pay!$AF120="",Pay!$AF120=0),"",Pay!$C120)</f>
        <v/>
      </c>
      <c r="C1431" s="80">
        <f>IF(OR(Pay!$AF120="",Pay!$AF120=0),"","پرداخت")</f>
        <v/>
      </c>
      <c r="D1431" s="80">
        <f>IF(OR(Pay!$AF120="",Pay!$AF120=0),"",Pay!$AF120)</f>
        <v/>
      </c>
      <c r="E1431" s="81">
        <f>IF(OR(Pay!$AF120="",Pay!$AF120=0),"",Pay!$P120)</f>
        <v/>
      </c>
      <c r="F1431" s="83" t="n"/>
      <c r="G1431" s="83" t="n"/>
      <c r="H1431" s="83" t="n"/>
      <c r="I1431" s="83" t="n"/>
      <c r="J1431" s="83" t="n"/>
      <c r="K1431" s="82">
        <f>IF(OR(Pay!$AF120="",Pay!$AF120=0),"",Pay!$K120)</f>
        <v/>
      </c>
      <c r="L1431" s="82" t="n"/>
      <c r="M1431" s="82">
        <f>IF(OR(Pay!$AF120="",Pay!$AF120=0),"",Pay!$AG120)</f>
        <v/>
      </c>
      <c r="N1431" s="81">
        <f>IF(OR(Pay!$AF120="",Pay!$AF120=0),"",Pay!$D120&amp;" — "&amp;Pay!$E120)</f>
        <v/>
      </c>
      <c r="O1431" s="81">
        <f>IF(OR(Pay!$AF120="",Pay!$AF120=0),"",IFERROR(VLOOKUP(Pay!$AF120,AcctTbl,3,0),""))</f>
        <v/>
      </c>
      <c r="P1431" s="82">
        <f>IF(Pay!$AF120&lt;&gt;"X011","",IF(Pay!$I120="","",Pay!$I120))</f>
        <v/>
      </c>
    </row>
    <row r="1432" ht="20.25" customHeight="1">
      <c r="A1432" s="80">
        <f>IF(OR(Pay!$AD121="",Pay!$AD121=0),"",Pay!$B121)</f>
        <v/>
      </c>
      <c r="B1432" s="80">
        <f>IF(OR(Pay!$AD121="",Pay!$AD121=0),"",Pay!$C121)</f>
        <v/>
      </c>
      <c r="C1432" s="80">
        <f>IF(OR(Pay!$AD121="",Pay!$AD121=0),"","پرداخت")</f>
        <v/>
      </c>
      <c r="D1432" s="80">
        <f>IF(OR(Pay!$AD121="",Pay!$AD121=0),"",Pay!$AD121)</f>
        <v/>
      </c>
      <c r="E1432" s="81">
        <f>IF(OR(Pay!$AD121="",Pay!$AD121=0),"",Pay!$P121)</f>
        <v/>
      </c>
      <c r="F1432" s="83" t="n"/>
      <c r="G1432" s="83" t="n"/>
      <c r="H1432" s="83" t="n"/>
      <c r="I1432" s="83" t="n"/>
      <c r="J1432" s="83" t="n"/>
      <c r="K1432" s="82">
        <f>IF(OR(Pay!$AD121="",Pay!$AD121=0),"",Pay!$K121)</f>
        <v/>
      </c>
      <c r="L1432" s="82">
        <f>IF(OR(Pay!$AD121="",Pay!$AD121=0),"",Pay!$AE121)</f>
        <v/>
      </c>
      <c r="M1432" s="82" t="n"/>
      <c r="N1432" s="81">
        <f>IF(OR(Pay!$AD121="",Pay!$AD121=0),"",Pay!$D121&amp;" — "&amp;Pay!$E121)</f>
        <v/>
      </c>
      <c r="O1432" s="81">
        <f>IF(OR(Pay!$AD121="",Pay!$AD121=0),"",IFERROR(VLOOKUP(Pay!$AD121,AcctTbl,3,0),""))</f>
        <v/>
      </c>
      <c r="P1432" s="82">
        <f>IF(Pay!$AD121&lt;&gt;"X011","",IF(Pay!$I121="","",Pay!$I121))</f>
        <v/>
      </c>
    </row>
    <row r="1433" ht="20.25" customHeight="1">
      <c r="A1433" s="80">
        <f>IF(OR(Pay!$AF121="",Pay!$AF121=0),"",Pay!$B121)</f>
        <v/>
      </c>
      <c r="B1433" s="80">
        <f>IF(OR(Pay!$AF121="",Pay!$AF121=0),"",Pay!$C121)</f>
        <v/>
      </c>
      <c r="C1433" s="80">
        <f>IF(OR(Pay!$AF121="",Pay!$AF121=0),"","پرداخت")</f>
        <v/>
      </c>
      <c r="D1433" s="80">
        <f>IF(OR(Pay!$AF121="",Pay!$AF121=0),"",Pay!$AF121)</f>
        <v/>
      </c>
      <c r="E1433" s="81">
        <f>IF(OR(Pay!$AF121="",Pay!$AF121=0),"",Pay!$P121)</f>
        <v/>
      </c>
      <c r="F1433" s="83" t="n"/>
      <c r="G1433" s="83" t="n"/>
      <c r="H1433" s="83" t="n"/>
      <c r="I1433" s="83" t="n"/>
      <c r="J1433" s="83" t="n"/>
      <c r="K1433" s="82">
        <f>IF(OR(Pay!$AF121="",Pay!$AF121=0),"",Pay!$K121)</f>
        <v/>
      </c>
      <c r="L1433" s="82" t="n"/>
      <c r="M1433" s="82">
        <f>IF(OR(Pay!$AF121="",Pay!$AF121=0),"",Pay!$AG121)</f>
        <v/>
      </c>
      <c r="N1433" s="81">
        <f>IF(OR(Pay!$AF121="",Pay!$AF121=0),"",Pay!$D121&amp;" — "&amp;Pay!$E121)</f>
        <v/>
      </c>
      <c r="O1433" s="81">
        <f>IF(OR(Pay!$AF121="",Pay!$AF121=0),"",IFERROR(VLOOKUP(Pay!$AF121,AcctTbl,3,0),""))</f>
        <v/>
      </c>
      <c r="P1433" s="82">
        <f>IF(Pay!$AF121&lt;&gt;"X011","",IF(Pay!$I121="","",Pay!$I121))</f>
        <v/>
      </c>
    </row>
    <row r="1434" ht="20.25" customHeight="1">
      <c r="A1434" s="80">
        <f>IF(OR(Pay!$AD122="",Pay!$AD122=0),"",Pay!$B122)</f>
        <v/>
      </c>
      <c r="B1434" s="80">
        <f>IF(OR(Pay!$AD122="",Pay!$AD122=0),"",Pay!$C122)</f>
        <v/>
      </c>
      <c r="C1434" s="80">
        <f>IF(OR(Pay!$AD122="",Pay!$AD122=0),"","پرداخت")</f>
        <v/>
      </c>
      <c r="D1434" s="80">
        <f>IF(OR(Pay!$AD122="",Pay!$AD122=0),"",Pay!$AD122)</f>
        <v/>
      </c>
      <c r="E1434" s="81">
        <f>IF(OR(Pay!$AD122="",Pay!$AD122=0),"",Pay!$P122)</f>
        <v/>
      </c>
      <c r="F1434" s="83" t="n"/>
      <c r="G1434" s="83" t="n"/>
      <c r="H1434" s="83" t="n"/>
      <c r="I1434" s="83" t="n"/>
      <c r="J1434" s="83" t="n"/>
      <c r="K1434" s="82">
        <f>IF(OR(Pay!$AD122="",Pay!$AD122=0),"",Pay!$K122)</f>
        <v/>
      </c>
      <c r="L1434" s="82">
        <f>IF(OR(Pay!$AD122="",Pay!$AD122=0),"",Pay!$AE122)</f>
        <v/>
      </c>
      <c r="M1434" s="82" t="n"/>
      <c r="N1434" s="81">
        <f>IF(OR(Pay!$AD122="",Pay!$AD122=0),"",Pay!$D122&amp;" — "&amp;Pay!$E122)</f>
        <v/>
      </c>
      <c r="O1434" s="81">
        <f>IF(OR(Pay!$AD122="",Pay!$AD122=0),"",IFERROR(VLOOKUP(Pay!$AD122,AcctTbl,3,0),""))</f>
        <v/>
      </c>
      <c r="P1434" s="82">
        <f>IF(Pay!$AD122&lt;&gt;"X011","",IF(Pay!$I122="","",Pay!$I122))</f>
        <v/>
      </c>
    </row>
    <row r="1435" ht="20.25" customHeight="1">
      <c r="A1435" s="80">
        <f>IF(OR(Pay!$AF122="",Pay!$AF122=0),"",Pay!$B122)</f>
        <v/>
      </c>
      <c r="B1435" s="80">
        <f>IF(OR(Pay!$AF122="",Pay!$AF122=0),"",Pay!$C122)</f>
        <v/>
      </c>
      <c r="C1435" s="80">
        <f>IF(OR(Pay!$AF122="",Pay!$AF122=0),"","پرداخت")</f>
        <v/>
      </c>
      <c r="D1435" s="80">
        <f>IF(OR(Pay!$AF122="",Pay!$AF122=0),"",Pay!$AF122)</f>
        <v/>
      </c>
      <c r="E1435" s="81">
        <f>IF(OR(Pay!$AF122="",Pay!$AF122=0),"",Pay!$P122)</f>
        <v/>
      </c>
      <c r="F1435" s="83" t="n"/>
      <c r="G1435" s="83" t="n"/>
      <c r="H1435" s="83" t="n"/>
      <c r="I1435" s="83" t="n"/>
      <c r="J1435" s="83" t="n"/>
      <c r="K1435" s="82">
        <f>IF(OR(Pay!$AF122="",Pay!$AF122=0),"",Pay!$K122)</f>
        <v/>
      </c>
      <c r="L1435" s="82" t="n"/>
      <c r="M1435" s="82">
        <f>IF(OR(Pay!$AF122="",Pay!$AF122=0),"",Pay!$AG122)</f>
        <v/>
      </c>
      <c r="N1435" s="81">
        <f>IF(OR(Pay!$AF122="",Pay!$AF122=0),"",Pay!$D122&amp;" — "&amp;Pay!$E122)</f>
        <v/>
      </c>
      <c r="O1435" s="81">
        <f>IF(OR(Pay!$AF122="",Pay!$AF122=0),"",IFERROR(VLOOKUP(Pay!$AF122,AcctTbl,3,0),""))</f>
        <v/>
      </c>
      <c r="P1435" s="82">
        <f>IF(Pay!$AF122&lt;&gt;"X011","",IF(Pay!$I122="","",Pay!$I122))</f>
        <v/>
      </c>
    </row>
    <row r="1436" ht="20.25" customHeight="1">
      <c r="A1436" s="80">
        <f>IF(OR(Pay!$AD123="",Pay!$AD123=0),"",Pay!$B123)</f>
        <v/>
      </c>
      <c r="B1436" s="80">
        <f>IF(OR(Pay!$AD123="",Pay!$AD123=0),"",Pay!$C123)</f>
        <v/>
      </c>
      <c r="C1436" s="80">
        <f>IF(OR(Pay!$AD123="",Pay!$AD123=0),"","پرداخت")</f>
        <v/>
      </c>
      <c r="D1436" s="80">
        <f>IF(OR(Pay!$AD123="",Pay!$AD123=0),"",Pay!$AD123)</f>
        <v/>
      </c>
      <c r="E1436" s="81">
        <f>IF(OR(Pay!$AD123="",Pay!$AD123=0),"",Pay!$P123)</f>
        <v/>
      </c>
      <c r="F1436" s="83" t="n"/>
      <c r="G1436" s="83" t="n"/>
      <c r="H1436" s="83" t="n"/>
      <c r="I1436" s="83" t="n"/>
      <c r="J1436" s="83" t="n"/>
      <c r="K1436" s="82">
        <f>IF(OR(Pay!$AD123="",Pay!$AD123=0),"",Pay!$K123)</f>
        <v/>
      </c>
      <c r="L1436" s="82">
        <f>IF(OR(Pay!$AD123="",Pay!$AD123=0),"",Pay!$AE123)</f>
        <v/>
      </c>
      <c r="M1436" s="82" t="n"/>
      <c r="N1436" s="81">
        <f>IF(OR(Pay!$AD123="",Pay!$AD123=0),"",Pay!$D123&amp;" — "&amp;Pay!$E123)</f>
        <v/>
      </c>
      <c r="O1436" s="81">
        <f>IF(OR(Pay!$AD123="",Pay!$AD123=0),"",IFERROR(VLOOKUP(Pay!$AD123,AcctTbl,3,0),""))</f>
        <v/>
      </c>
      <c r="P1436" s="82">
        <f>IF(Pay!$AD123&lt;&gt;"X011","",IF(Pay!$I123="","",Pay!$I123))</f>
        <v/>
      </c>
    </row>
    <row r="1437" ht="20.25" customHeight="1">
      <c r="A1437" s="80">
        <f>IF(OR(Pay!$AF123="",Pay!$AF123=0),"",Pay!$B123)</f>
        <v/>
      </c>
      <c r="B1437" s="80">
        <f>IF(OR(Pay!$AF123="",Pay!$AF123=0),"",Pay!$C123)</f>
        <v/>
      </c>
      <c r="C1437" s="80">
        <f>IF(OR(Pay!$AF123="",Pay!$AF123=0),"","پرداخت")</f>
        <v/>
      </c>
      <c r="D1437" s="80">
        <f>IF(OR(Pay!$AF123="",Pay!$AF123=0),"",Pay!$AF123)</f>
        <v/>
      </c>
      <c r="E1437" s="81">
        <f>IF(OR(Pay!$AF123="",Pay!$AF123=0),"",Pay!$P123)</f>
        <v/>
      </c>
      <c r="F1437" s="83" t="n"/>
      <c r="G1437" s="83" t="n"/>
      <c r="H1437" s="83" t="n"/>
      <c r="I1437" s="83" t="n"/>
      <c r="J1437" s="83" t="n"/>
      <c r="K1437" s="82">
        <f>IF(OR(Pay!$AF123="",Pay!$AF123=0),"",Pay!$K123)</f>
        <v/>
      </c>
      <c r="L1437" s="82" t="n"/>
      <c r="M1437" s="82">
        <f>IF(OR(Pay!$AF123="",Pay!$AF123=0),"",Pay!$AG123)</f>
        <v/>
      </c>
      <c r="N1437" s="81">
        <f>IF(OR(Pay!$AF123="",Pay!$AF123=0),"",Pay!$D123&amp;" — "&amp;Pay!$E123)</f>
        <v/>
      </c>
      <c r="O1437" s="81">
        <f>IF(OR(Pay!$AF123="",Pay!$AF123=0),"",IFERROR(VLOOKUP(Pay!$AF123,AcctTbl,3,0),""))</f>
        <v/>
      </c>
      <c r="P1437" s="82">
        <f>IF(Pay!$AF123&lt;&gt;"X011","",IF(Pay!$I123="","",Pay!$I123))</f>
        <v/>
      </c>
    </row>
    <row r="1438" ht="20.25" customHeight="1">
      <c r="A1438" s="80">
        <f>IF(OR(Pay!$AD124="",Pay!$AD124=0),"",Pay!$B124)</f>
        <v/>
      </c>
      <c r="B1438" s="80">
        <f>IF(OR(Pay!$AD124="",Pay!$AD124=0),"",Pay!$C124)</f>
        <v/>
      </c>
      <c r="C1438" s="80">
        <f>IF(OR(Pay!$AD124="",Pay!$AD124=0),"","پرداخت")</f>
        <v/>
      </c>
      <c r="D1438" s="80">
        <f>IF(OR(Pay!$AD124="",Pay!$AD124=0),"",Pay!$AD124)</f>
        <v/>
      </c>
      <c r="E1438" s="81">
        <f>IF(OR(Pay!$AD124="",Pay!$AD124=0),"",Pay!$P124)</f>
        <v/>
      </c>
      <c r="F1438" s="83" t="n"/>
      <c r="G1438" s="83" t="n"/>
      <c r="H1438" s="83" t="n"/>
      <c r="I1438" s="83" t="n"/>
      <c r="J1438" s="83" t="n"/>
      <c r="K1438" s="82">
        <f>IF(OR(Pay!$AD124="",Pay!$AD124=0),"",Pay!$K124)</f>
        <v/>
      </c>
      <c r="L1438" s="82">
        <f>IF(OR(Pay!$AD124="",Pay!$AD124=0),"",Pay!$AE124)</f>
        <v/>
      </c>
      <c r="M1438" s="82" t="n"/>
      <c r="N1438" s="81">
        <f>IF(OR(Pay!$AD124="",Pay!$AD124=0),"",Pay!$D124&amp;" — "&amp;Pay!$E124)</f>
        <v/>
      </c>
      <c r="O1438" s="81">
        <f>IF(OR(Pay!$AD124="",Pay!$AD124=0),"",IFERROR(VLOOKUP(Pay!$AD124,AcctTbl,3,0),""))</f>
        <v/>
      </c>
      <c r="P1438" s="82">
        <f>IF(Pay!$AD124&lt;&gt;"X011","",IF(Pay!$I124="","",Pay!$I124))</f>
        <v/>
      </c>
    </row>
    <row r="1439" ht="20.25" customHeight="1">
      <c r="A1439" s="80">
        <f>IF(OR(Pay!$AF124="",Pay!$AF124=0),"",Pay!$B124)</f>
        <v/>
      </c>
      <c r="B1439" s="80">
        <f>IF(OR(Pay!$AF124="",Pay!$AF124=0),"",Pay!$C124)</f>
        <v/>
      </c>
      <c r="C1439" s="80">
        <f>IF(OR(Pay!$AF124="",Pay!$AF124=0),"","پرداخت")</f>
        <v/>
      </c>
      <c r="D1439" s="80">
        <f>IF(OR(Pay!$AF124="",Pay!$AF124=0),"",Pay!$AF124)</f>
        <v/>
      </c>
      <c r="E1439" s="81">
        <f>IF(OR(Pay!$AF124="",Pay!$AF124=0),"",Pay!$P124)</f>
        <v/>
      </c>
      <c r="F1439" s="83" t="n"/>
      <c r="G1439" s="83" t="n"/>
      <c r="H1439" s="83" t="n"/>
      <c r="I1439" s="83" t="n"/>
      <c r="J1439" s="83" t="n"/>
      <c r="K1439" s="82">
        <f>IF(OR(Pay!$AF124="",Pay!$AF124=0),"",Pay!$K124)</f>
        <v/>
      </c>
      <c r="L1439" s="82" t="n"/>
      <c r="M1439" s="82">
        <f>IF(OR(Pay!$AF124="",Pay!$AF124=0),"",Pay!$AG124)</f>
        <v/>
      </c>
      <c r="N1439" s="81">
        <f>IF(OR(Pay!$AF124="",Pay!$AF124=0),"",Pay!$D124&amp;" — "&amp;Pay!$E124)</f>
        <v/>
      </c>
      <c r="O1439" s="81">
        <f>IF(OR(Pay!$AF124="",Pay!$AF124=0),"",IFERROR(VLOOKUP(Pay!$AF124,AcctTbl,3,0),""))</f>
        <v/>
      </c>
      <c r="P1439" s="82">
        <f>IF(Pay!$AF124&lt;&gt;"X011","",IF(Pay!$I124="","",Pay!$I124))</f>
        <v/>
      </c>
    </row>
    <row r="1440" ht="20.25" customHeight="1">
      <c r="A1440" s="80">
        <f>IF(OR(Pay!$AD125="",Pay!$AD125=0),"",Pay!$B125)</f>
        <v/>
      </c>
      <c r="B1440" s="80">
        <f>IF(OR(Pay!$AD125="",Pay!$AD125=0),"",Pay!$C125)</f>
        <v/>
      </c>
      <c r="C1440" s="80">
        <f>IF(OR(Pay!$AD125="",Pay!$AD125=0),"","پرداخت")</f>
        <v/>
      </c>
      <c r="D1440" s="80">
        <f>IF(OR(Pay!$AD125="",Pay!$AD125=0),"",Pay!$AD125)</f>
        <v/>
      </c>
      <c r="E1440" s="81">
        <f>IF(OR(Pay!$AD125="",Pay!$AD125=0),"",Pay!$P125)</f>
        <v/>
      </c>
      <c r="F1440" s="83" t="n"/>
      <c r="G1440" s="83" t="n"/>
      <c r="H1440" s="83" t="n"/>
      <c r="I1440" s="83" t="n"/>
      <c r="J1440" s="83" t="n"/>
      <c r="K1440" s="82">
        <f>IF(OR(Pay!$AD125="",Pay!$AD125=0),"",Pay!$K125)</f>
        <v/>
      </c>
      <c r="L1440" s="82">
        <f>IF(OR(Pay!$AD125="",Pay!$AD125=0),"",Pay!$AE125)</f>
        <v/>
      </c>
      <c r="M1440" s="82" t="n"/>
      <c r="N1440" s="81">
        <f>IF(OR(Pay!$AD125="",Pay!$AD125=0),"",Pay!$D125&amp;" — "&amp;Pay!$E125)</f>
        <v/>
      </c>
      <c r="O1440" s="81">
        <f>IF(OR(Pay!$AD125="",Pay!$AD125=0),"",IFERROR(VLOOKUP(Pay!$AD125,AcctTbl,3,0),""))</f>
        <v/>
      </c>
      <c r="P1440" s="82">
        <f>IF(Pay!$AD125&lt;&gt;"X011","",IF(Pay!$I125="","",Pay!$I125))</f>
        <v/>
      </c>
    </row>
    <row r="1441" ht="20.25" customHeight="1">
      <c r="A1441" s="80">
        <f>IF(OR(Pay!$AF125="",Pay!$AF125=0),"",Pay!$B125)</f>
        <v/>
      </c>
      <c r="B1441" s="80">
        <f>IF(OR(Pay!$AF125="",Pay!$AF125=0),"",Pay!$C125)</f>
        <v/>
      </c>
      <c r="C1441" s="80">
        <f>IF(OR(Pay!$AF125="",Pay!$AF125=0),"","پرداخت")</f>
        <v/>
      </c>
      <c r="D1441" s="80">
        <f>IF(OR(Pay!$AF125="",Pay!$AF125=0),"",Pay!$AF125)</f>
        <v/>
      </c>
      <c r="E1441" s="81">
        <f>IF(OR(Pay!$AF125="",Pay!$AF125=0),"",Pay!$P125)</f>
        <v/>
      </c>
      <c r="F1441" s="83" t="n"/>
      <c r="G1441" s="83" t="n"/>
      <c r="H1441" s="83" t="n"/>
      <c r="I1441" s="83" t="n"/>
      <c r="J1441" s="83" t="n"/>
      <c r="K1441" s="82">
        <f>IF(OR(Pay!$AF125="",Pay!$AF125=0),"",Pay!$K125)</f>
        <v/>
      </c>
      <c r="L1441" s="82" t="n"/>
      <c r="M1441" s="82">
        <f>IF(OR(Pay!$AF125="",Pay!$AF125=0),"",Pay!$AG125)</f>
        <v/>
      </c>
      <c r="N1441" s="81">
        <f>IF(OR(Pay!$AF125="",Pay!$AF125=0),"",Pay!$D125&amp;" — "&amp;Pay!$E125)</f>
        <v/>
      </c>
      <c r="O1441" s="81">
        <f>IF(OR(Pay!$AF125="",Pay!$AF125=0),"",IFERROR(VLOOKUP(Pay!$AF125,AcctTbl,3,0),""))</f>
        <v/>
      </c>
      <c r="P1441" s="82">
        <f>IF(Pay!$AF125&lt;&gt;"X011","",IF(Pay!$I125="","",Pay!$I125))</f>
        <v/>
      </c>
    </row>
    <row r="1442" ht="20.25" customHeight="1">
      <c r="A1442" s="80">
        <f>IF(OR(Pay!$AD126="",Pay!$AD126=0),"",Pay!$B126)</f>
        <v/>
      </c>
      <c r="B1442" s="80">
        <f>IF(OR(Pay!$AD126="",Pay!$AD126=0),"",Pay!$C126)</f>
        <v/>
      </c>
      <c r="C1442" s="80">
        <f>IF(OR(Pay!$AD126="",Pay!$AD126=0),"","پرداخت")</f>
        <v/>
      </c>
      <c r="D1442" s="80">
        <f>IF(OR(Pay!$AD126="",Pay!$AD126=0),"",Pay!$AD126)</f>
        <v/>
      </c>
      <c r="E1442" s="81">
        <f>IF(OR(Pay!$AD126="",Pay!$AD126=0),"",Pay!$P126)</f>
        <v/>
      </c>
      <c r="F1442" s="83" t="n"/>
      <c r="G1442" s="83" t="n"/>
      <c r="H1442" s="83" t="n"/>
      <c r="I1442" s="83" t="n"/>
      <c r="J1442" s="83" t="n"/>
      <c r="K1442" s="82">
        <f>IF(OR(Pay!$AD126="",Pay!$AD126=0),"",Pay!$K126)</f>
        <v/>
      </c>
      <c r="L1442" s="82">
        <f>IF(OR(Pay!$AD126="",Pay!$AD126=0),"",Pay!$AE126)</f>
        <v/>
      </c>
      <c r="M1442" s="82" t="n"/>
      <c r="N1442" s="81">
        <f>IF(OR(Pay!$AD126="",Pay!$AD126=0),"",Pay!$D126&amp;" — "&amp;Pay!$E126)</f>
        <v/>
      </c>
      <c r="O1442" s="81">
        <f>IF(OR(Pay!$AD126="",Pay!$AD126=0),"",IFERROR(VLOOKUP(Pay!$AD126,AcctTbl,3,0),""))</f>
        <v/>
      </c>
      <c r="P1442" s="82">
        <f>IF(Pay!$AD126&lt;&gt;"X011","",IF(Pay!$I126="","",Pay!$I126))</f>
        <v/>
      </c>
    </row>
    <row r="1443" ht="20.25" customHeight="1">
      <c r="A1443" s="80">
        <f>IF(OR(Pay!$AF126="",Pay!$AF126=0),"",Pay!$B126)</f>
        <v/>
      </c>
      <c r="B1443" s="80">
        <f>IF(OR(Pay!$AF126="",Pay!$AF126=0),"",Pay!$C126)</f>
        <v/>
      </c>
      <c r="C1443" s="80">
        <f>IF(OR(Pay!$AF126="",Pay!$AF126=0),"","پرداخت")</f>
        <v/>
      </c>
      <c r="D1443" s="80">
        <f>IF(OR(Pay!$AF126="",Pay!$AF126=0),"",Pay!$AF126)</f>
        <v/>
      </c>
      <c r="E1443" s="81">
        <f>IF(OR(Pay!$AF126="",Pay!$AF126=0),"",Pay!$P126)</f>
        <v/>
      </c>
      <c r="F1443" s="83" t="n"/>
      <c r="G1443" s="83" t="n"/>
      <c r="H1443" s="83" t="n"/>
      <c r="I1443" s="83" t="n"/>
      <c r="J1443" s="83" t="n"/>
      <c r="K1443" s="82">
        <f>IF(OR(Pay!$AF126="",Pay!$AF126=0),"",Pay!$K126)</f>
        <v/>
      </c>
      <c r="L1443" s="82" t="n"/>
      <c r="M1443" s="82">
        <f>IF(OR(Pay!$AF126="",Pay!$AF126=0),"",Pay!$AG126)</f>
        <v/>
      </c>
      <c r="N1443" s="81">
        <f>IF(OR(Pay!$AF126="",Pay!$AF126=0),"",Pay!$D126&amp;" — "&amp;Pay!$E126)</f>
        <v/>
      </c>
      <c r="O1443" s="81">
        <f>IF(OR(Pay!$AF126="",Pay!$AF126=0),"",IFERROR(VLOOKUP(Pay!$AF126,AcctTbl,3,0),""))</f>
        <v/>
      </c>
      <c r="P1443" s="82">
        <f>IF(Pay!$AF126&lt;&gt;"X011","",IF(Pay!$I126="","",Pay!$I126))</f>
        <v/>
      </c>
    </row>
    <row r="1444" ht="20.25" customHeight="1">
      <c r="A1444" s="80">
        <f>IF(OR(Pay!$AD127="",Pay!$AD127=0),"",Pay!$B127)</f>
        <v/>
      </c>
      <c r="B1444" s="80">
        <f>IF(OR(Pay!$AD127="",Pay!$AD127=0),"",Pay!$C127)</f>
        <v/>
      </c>
      <c r="C1444" s="80">
        <f>IF(OR(Pay!$AD127="",Pay!$AD127=0),"","پرداخت")</f>
        <v/>
      </c>
      <c r="D1444" s="80">
        <f>IF(OR(Pay!$AD127="",Pay!$AD127=0),"",Pay!$AD127)</f>
        <v/>
      </c>
      <c r="E1444" s="81">
        <f>IF(OR(Pay!$AD127="",Pay!$AD127=0),"",Pay!$P127)</f>
        <v/>
      </c>
      <c r="F1444" s="83" t="n"/>
      <c r="G1444" s="83" t="n"/>
      <c r="H1444" s="83" t="n"/>
      <c r="I1444" s="83" t="n"/>
      <c r="J1444" s="83" t="n"/>
      <c r="K1444" s="82">
        <f>IF(OR(Pay!$AD127="",Pay!$AD127=0),"",Pay!$K127)</f>
        <v/>
      </c>
      <c r="L1444" s="82">
        <f>IF(OR(Pay!$AD127="",Pay!$AD127=0),"",Pay!$AE127)</f>
        <v/>
      </c>
      <c r="M1444" s="82" t="n"/>
      <c r="N1444" s="81">
        <f>IF(OR(Pay!$AD127="",Pay!$AD127=0),"",Pay!$D127&amp;" — "&amp;Pay!$E127)</f>
        <v/>
      </c>
      <c r="O1444" s="81">
        <f>IF(OR(Pay!$AD127="",Pay!$AD127=0),"",IFERROR(VLOOKUP(Pay!$AD127,AcctTbl,3,0),""))</f>
        <v/>
      </c>
      <c r="P1444" s="82">
        <f>IF(Pay!$AD127&lt;&gt;"X011","",IF(Pay!$I127="","",Pay!$I127))</f>
        <v/>
      </c>
    </row>
    <row r="1445" ht="20.25" customHeight="1">
      <c r="A1445" s="80">
        <f>IF(OR(Pay!$AF127="",Pay!$AF127=0),"",Pay!$B127)</f>
        <v/>
      </c>
      <c r="B1445" s="80">
        <f>IF(OR(Pay!$AF127="",Pay!$AF127=0),"",Pay!$C127)</f>
        <v/>
      </c>
      <c r="C1445" s="80">
        <f>IF(OR(Pay!$AF127="",Pay!$AF127=0),"","پرداخت")</f>
        <v/>
      </c>
      <c r="D1445" s="80">
        <f>IF(OR(Pay!$AF127="",Pay!$AF127=0),"",Pay!$AF127)</f>
        <v/>
      </c>
      <c r="E1445" s="81">
        <f>IF(OR(Pay!$AF127="",Pay!$AF127=0),"",Pay!$P127)</f>
        <v/>
      </c>
      <c r="F1445" s="83" t="n"/>
      <c r="G1445" s="83" t="n"/>
      <c r="H1445" s="83" t="n"/>
      <c r="I1445" s="83" t="n"/>
      <c r="J1445" s="83" t="n"/>
      <c r="K1445" s="82">
        <f>IF(OR(Pay!$AF127="",Pay!$AF127=0),"",Pay!$K127)</f>
        <v/>
      </c>
      <c r="L1445" s="82" t="n"/>
      <c r="M1445" s="82">
        <f>IF(OR(Pay!$AF127="",Pay!$AF127=0),"",Pay!$AG127)</f>
        <v/>
      </c>
      <c r="N1445" s="81">
        <f>IF(OR(Pay!$AF127="",Pay!$AF127=0),"",Pay!$D127&amp;" — "&amp;Pay!$E127)</f>
        <v/>
      </c>
      <c r="O1445" s="81">
        <f>IF(OR(Pay!$AF127="",Pay!$AF127=0),"",IFERROR(VLOOKUP(Pay!$AF127,AcctTbl,3,0),""))</f>
        <v/>
      </c>
      <c r="P1445" s="82">
        <f>IF(Pay!$AF127&lt;&gt;"X011","",IF(Pay!$I127="","",Pay!$I127))</f>
        <v/>
      </c>
    </row>
    <row r="1446" ht="20.25" customHeight="1">
      <c r="A1446" s="80">
        <f>IF(OR(Pay!$AD128="",Pay!$AD128=0),"",Pay!$B128)</f>
        <v/>
      </c>
      <c r="B1446" s="80">
        <f>IF(OR(Pay!$AD128="",Pay!$AD128=0),"",Pay!$C128)</f>
        <v/>
      </c>
      <c r="C1446" s="80">
        <f>IF(OR(Pay!$AD128="",Pay!$AD128=0),"","پرداخت")</f>
        <v/>
      </c>
      <c r="D1446" s="80">
        <f>IF(OR(Pay!$AD128="",Pay!$AD128=0),"",Pay!$AD128)</f>
        <v/>
      </c>
      <c r="E1446" s="81">
        <f>IF(OR(Pay!$AD128="",Pay!$AD128=0),"",Pay!$P128)</f>
        <v/>
      </c>
      <c r="F1446" s="83" t="n"/>
      <c r="G1446" s="83" t="n"/>
      <c r="H1446" s="83" t="n"/>
      <c r="I1446" s="83" t="n"/>
      <c r="J1446" s="83" t="n"/>
      <c r="K1446" s="82">
        <f>IF(OR(Pay!$AD128="",Pay!$AD128=0),"",Pay!$K128)</f>
        <v/>
      </c>
      <c r="L1446" s="82">
        <f>IF(OR(Pay!$AD128="",Pay!$AD128=0),"",Pay!$AE128)</f>
        <v/>
      </c>
      <c r="M1446" s="82" t="n"/>
      <c r="N1446" s="81">
        <f>IF(OR(Pay!$AD128="",Pay!$AD128=0),"",Pay!$D128&amp;" — "&amp;Pay!$E128)</f>
        <v/>
      </c>
      <c r="O1446" s="81">
        <f>IF(OR(Pay!$AD128="",Pay!$AD128=0),"",IFERROR(VLOOKUP(Pay!$AD128,AcctTbl,3,0),""))</f>
        <v/>
      </c>
      <c r="P1446" s="82">
        <f>IF(Pay!$AD128&lt;&gt;"X011","",IF(Pay!$I128="","",Pay!$I128))</f>
        <v/>
      </c>
    </row>
    <row r="1447" ht="20.25" customHeight="1">
      <c r="A1447" s="80">
        <f>IF(OR(Pay!$AF128="",Pay!$AF128=0),"",Pay!$B128)</f>
        <v/>
      </c>
      <c r="B1447" s="80">
        <f>IF(OR(Pay!$AF128="",Pay!$AF128=0),"",Pay!$C128)</f>
        <v/>
      </c>
      <c r="C1447" s="80">
        <f>IF(OR(Pay!$AF128="",Pay!$AF128=0),"","پرداخت")</f>
        <v/>
      </c>
      <c r="D1447" s="80">
        <f>IF(OR(Pay!$AF128="",Pay!$AF128=0),"",Pay!$AF128)</f>
        <v/>
      </c>
      <c r="E1447" s="81">
        <f>IF(OR(Pay!$AF128="",Pay!$AF128=0),"",Pay!$P128)</f>
        <v/>
      </c>
      <c r="F1447" s="83" t="n"/>
      <c r="G1447" s="83" t="n"/>
      <c r="H1447" s="83" t="n"/>
      <c r="I1447" s="83" t="n"/>
      <c r="J1447" s="83" t="n"/>
      <c r="K1447" s="82">
        <f>IF(OR(Pay!$AF128="",Pay!$AF128=0),"",Pay!$K128)</f>
        <v/>
      </c>
      <c r="L1447" s="82" t="n"/>
      <c r="M1447" s="82">
        <f>IF(OR(Pay!$AF128="",Pay!$AF128=0),"",Pay!$AG128)</f>
        <v/>
      </c>
      <c r="N1447" s="81">
        <f>IF(OR(Pay!$AF128="",Pay!$AF128=0),"",Pay!$D128&amp;" — "&amp;Pay!$E128)</f>
        <v/>
      </c>
      <c r="O1447" s="81">
        <f>IF(OR(Pay!$AF128="",Pay!$AF128=0),"",IFERROR(VLOOKUP(Pay!$AF128,AcctTbl,3,0),""))</f>
        <v/>
      </c>
      <c r="P1447" s="82">
        <f>IF(Pay!$AF128&lt;&gt;"X011","",IF(Pay!$I128="","",Pay!$I128))</f>
        <v/>
      </c>
    </row>
    <row r="1448" ht="20.25" customHeight="1">
      <c r="A1448" s="80">
        <f>IF(OR(Pay!$AD129="",Pay!$AD129=0),"",Pay!$B129)</f>
        <v/>
      </c>
      <c r="B1448" s="80">
        <f>IF(OR(Pay!$AD129="",Pay!$AD129=0),"",Pay!$C129)</f>
        <v/>
      </c>
      <c r="C1448" s="80">
        <f>IF(OR(Pay!$AD129="",Pay!$AD129=0),"","پرداخت")</f>
        <v/>
      </c>
      <c r="D1448" s="80">
        <f>IF(OR(Pay!$AD129="",Pay!$AD129=0),"",Pay!$AD129)</f>
        <v/>
      </c>
      <c r="E1448" s="81">
        <f>IF(OR(Pay!$AD129="",Pay!$AD129=0),"",Pay!$P129)</f>
        <v/>
      </c>
      <c r="F1448" s="83" t="n"/>
      <c r="G1448" s="83" t="n"/>
      <c r="H1448" s="83" t="n"/>
      <c r="I1448" s="83" t="n"/>
      <c r="J1448" s="83" t="n"/>
      <c r="K1448" s="82">
        <f>IF(OR(Pay!$AD129="",Pay!$AD129=0),"",Pay!$K129)</f>
        <v/>
      </c>
      <c r="L1448" s="82">
        <f>IF(OR(Pay!$AD129="",Pay!$AD129=0),"",Pay!$AE129)</f>
        <v/>
      </c>
      <c r="M1448" s="82" t="n"/>
      <c r="N1448" s="81">
        <f>IF(OR(Pay!$AD129="",Pay!$AD129=0),"",Pay!$D129&amp;" — "&amp;Pay!$E129)</f>
        <v/>
      </c>
      <c r="O1448" s="81">
        <f>IF(OR(Pay!$AD129="",Pay!$AD129=0),"",IFERROR(VLOOKUP(Pay!$AD129,AcctTbl,3,0),""))</f>
        <v/>
      </c>
      <c r="P1448" s="82">
        <f>IF(Pay!$AD129&lt;&gt;"X011","",IF(Pay!$I129="","",Pay!$I129))</f>
        <v/>
      </c>
    </row>
    <row r="1449" ht="20.25" customHeight="1">
      <c r="A1449" s="80">
        <f>IF(OR(Pay!$AF129="",Pay!$AF129=0),"",Pay!$B129)</f>
        <v/>
      </c>
      <c r="B1449" s="80">
        <f>IF(OR(Pay!$AF129="",Pay!$AF129=0),"",Pay!$C129)</f>
        <v/>
      </c>
      <c r="C1449" s="80">
        <f>IF(OR(Pay!$AF129="",Pay!$AF129=0),"","پرداخت")</f>
        <v/>
      </c>
      <c r="D1449" s="80">
        <f>IF(OR(Pay!$AF129="",Pay!$AF129=0),"",Pay!$AF129)</f>
        <v/>
      </c>
      <c r="E1449" s="81">
        <f>IF(OR(Pay!$AF129="",Pay!$AF129=0),"",Pay!$P129)</f>
        <v/>
      </c>
      <c r="F1449" s="83" t="n"/>
      <c r="G1449" s="83" t="n"/>
      <c r="H1449" s="83" t="n"/>
      <c r="I1449" s="83" t="n"/>
      <c r="J1449" s="83" t="n"/>
      <c r="K1449" s="82">
        <f>IF(OR(Pay!$AF129="",Pay!$AF129=0),"",Pay!$K129)</f>
        <v/>
      </c>
      <c r="L1449" s="82" t="n"/>
      <c r="M1449" s="82">
        <f>IF(OR(Pay!$AF129="",Pay!$AF129=0),"",Pay!$AG129)</f>
        <v/>
      </c>
      <c r="N1449" s="81">
        <f>IF(OR(Pay!$AF129="",Pay!$AF129=0),"",Pay!$D129&amp;" — "&amp;Pay!$E129)</f>
        <v/>
      </c>
      <c r="O1449" s="81">
        <f>IF(OR(Pay!$AF129="",Pay!$AF129=0),"",IFERROR(VLOOKUP(Pay!$AF129,AcctTbl,3,0),""))</f>
        <v/>
      </c>
      <c r="P1449" s="82">
        <f>IF(Pay!$AF129&lt;&gt;"X011","",IF(Pay!$I129="","",Pay!$I129))</f>
        <v/>
      </c>
    </row>
    <row r="1450" ht="20.25" customHeight="1">
      <c r="A1450" s="80">
        <f>IF(OR(Pay!$AD130="",Pay!$AD130=0),"",Pay!$B130)</f>
        <v/>
      </c>
      <c r="B1450" s="80">
        <f>IF(OR(Pay!$AD130="",Pay!$AD130=0),"",Pay!$C130)</f>
        <v/>
      </c>
      <c r="C1450" s="80">
        <f>IF(OR(Pay!$AD130="",Pay!$AD130=0),"","پرداخت")</f>
        <v/>
      </c>
      <c r="D1450" s="80">
        <f>IF(OR(Pay!$AD130="",Pay!$AD130=0),"",Pay!$AD130)</f>
        <v/>
      </c>
      <c r="E1450" s="81">
        <f>IF(OR(Pay!$AD130="",Pay!$AD130=0),"",Pay!$P130)</f>
        <v/>
      </c>
      <c r="F1450" s="83" t="n"/>
      <c r="G1450" s="83" t="n"/>
      <c r="H1450" s="83" t="n"/>
      <c r="I1450" s="83" t="n"/>
      <c r="J1450" s="83" t="n"/>
      <c r="K1450" s="82">
        <f>IF(OR(Pay!$AD130="",Pay!$AD130=0),"",Pay!$K130)</f>
        <v/>
      </c>
      <c r="L1450" s="82">
        <f>IF(OR(Pay!$AD130="",Pay!$AD130=0),"",Pay!$AE130)</f>
        <v/>
      </c>
      <c r="M1450" s="82" t="n"/>
      <c r="N1450" s="81">
        <f>IF(OR(Pay!$AD130="",Pay!$AD130=0),"",Pay!$D130&amp;" — "&amp;Pay!$E130)</f>
        <v/>
      </c>
      <c r="O1450" s="81">
        <f>IF(OR(Pay!$AD130="",Pay!$AD130=0),"",IFERROR(VLOOKUP(Pay!$AD130,AcctTbl,3,0),""))</f>
        <v/>
      </c>
      <c r="P1450" s="82">
        <f>IF(Pay!$AD130&lt;&gt;"X011","",IF(Pay!$I130="","",Pay!$I130))</f>
        <v/>
      </c>
    </row>
    <row r="1451" ht="20.25" customHeight="1">
      <c r="A1451" s="80">
        <f>IF(OR(Pay!$AF130="",Pay!$AF130=0),"",Pay!$B130)</f>
        <v/>
      </c>
      <c r="B1451" s="80">
        <f>IF(OR(Pay!$AF130="",Pay!$AF130=0),"",Pay!$C130)</f>
        <v/>
      </c>
      <c r="C1451" s="80">
        <f>IF(OR(Pay!$AF130="",Pay!$AF130=0),"","پرداخت")</f>
        <v/>
      </c>
      <c r="D1451" s="80">
        <f>IF(OR(Pay!$AF130="",Pay!$AF130=0),"",Pay!$AF130)</f>
        <v/>
      </c>
      <c r="E1451" s="81">
        <f>IF(OR(Pay!$AF130="",Pay!$AF130=0),"",Pay!$P130)</f>
        <v/>
      </c>
      <c r="F1451" s="83" t="n"/>
      <c r="G1451" s="83" t="n"/>
      <c r="H1451" s="83" t="n"/>
      <c r="I1451" s="83" t="n"/>
      <c r="J1451" s="83" t="n"/>
      <c r="K1451" s="82">
        <f>IF(OR(Pay!$AF130="",Pay!$AF130=0),"",Pay!$K130)</f>
        <v/>
      </c>
      <c r="L1451" s="82" t="n"/>
      <c r="M1451" s="82">
        <f>IF(OR(Pay!$AF130="",Pay!$AF130=0),"",Pay!$AG130)</f>
        <v/>
      </c>
      <c r="N1451" s="81">
        <f>IF(OR(Pay!$AF130="",Pay!$AF130=0),"",Pay!$D130&amp;" — "&amp;Pay!$E130)</f>
        <v/>
      </c>
      <c r="O1451" s="81">
        <f>IF(OR(Pay!$AF130="",Pay!$AF130=0),"",IFERROR(VLOOKUP(Pay!$AF130,AcctTbl,3,0),""))</f>
        <v/>
      </c>
      <c r="P1451" s="82">
        <f>IF(Pay!$AF130&lt;&gt;"X011","",IF(Pay!$I130="","",Pay!$I130))</f>
        <v/>
      </c>
    </row>
    <row r="1452" ht="20.25" customHeight="1">
      <c r="A1452" s="80">
        <f>IF(OR(Pay!$AD131="",Pay!$AD131=0),"",Pay!$B131)</f>
        <v/>
      </c>
      <c r="B1452" s="80">
        <f>IF(OR(Pay!$AD131="",Pay!$AD131=0),"",Pay!$C131)</f>
        <v/>
      </c>
      <c r="C1452" s="80">
        <f>IF(OR(Pay!$AD131="",Pay!$AD131=0),"","پرداخت")</f>
        <v/>
      </c>
      <c r="D1452" s="80">
        <f>IF(OR(Pay!$AD131="",Pay!$AD131=0),"",Pay!$AD131)</f>
        <v/>
      </c>
      <c r="E1452" s="81">
        <f>IF(OR(Pay!$AD131="",Pay!$AD131=0),"",Pay!$P131)</f>
        <v/>
      </c>
      <c r="F1452" s="83" t="n"/>
      <c r="G1452" s="83" t="n"/>
      <c r="H1452" s="83" t="n"/>
      <c r="I1452" s="83" t="n"/>
      <c r="J1452" s="83" t="n"/>
      <c r="K1452" s="82">
        <f>IF(OR(Pay!$AD131="",Pay!$AD131=0),"",Pay!$K131)</f>
        <v/>
      </c>
      <c r="L1452" s="82">
        <f>IF(OR(Pay!$AD131="",Pay!$AD131=0),"",Pay!$AE131)</f>
        <v/>
      </c>
      <c r="M1452" s="82" t="n"/>
      <c r="N1452" s="81">
        <f>IF(OR(Pay!$AD131="",Pay!$AD131=0),"",Pay!$D131&amp;" — "&amp;Pay!$E131)</f>
        <v/>
      </c>
      <c r="O1452" s="81">
        <f>IF(OR(Pay!$AD131="",Pay!$AD131=0),"",IFERROR(VLOOKUP(Pay!$AD131,AcctTbl,3,0),""))</f>
        <v/>
      </c>
      <c r="P1452" s="82">
        <f>IF(Pay!$AD131&lt;&gt;"X011","",IF(Pay!$I131="","",Pay!$I131))</f>
        <v/>
      </c>
    </row>
    <row r="1453" ht="20.25" customHeight="1">
      <c r="A1453" s="80">
        <f>IF(OR(Pay!$AF131="",Pay!$AF131=0),"",Pay!$B131)</f>
        <v/>
      </c>
      <c r="B1453" s="80">
        <f>IF(OR(Pay!$AF131="",Pay!$AF131=0),"",Pay!$C131)</f>
        <v/>
      </c>
      <c r="C1453" s="80">
        <f>IF(OR(Pay!$AF131="",Pay!$AF131=0),"","پرداخت")</f>
        <v/>
      </c>
      <c r="D1453" s="80">
        <f>IF(OR(Pay!$AF131="",Pay!$AF131=0),"",Pay!$AF131)</f>
        <v/>
      </c>
      <c r="E1453" s="81">
        <f>IF(OR(Pay!$AF131="",Pay!$AF131=0),"",Pay!$P131)</f>
        <v/>
      </c>
      <c r="F1453" s="83" t="n"/>
      <c r="G1453" s="83" t="n"/>
      <c r="H1453" s="83" t="n"/>
      <c r="I1453" s="83" t="n"/>
      <c r="J1453" s="83" t="n"/>
      <c r="K1453" s="82">
        <f>IF(OR(Pay!$AF131="",Pay!$AF131=0),"",Pay!$K131)</f>
        <v/>
      </c>
      <c r="L1453" s="82" t="n"/>
      <c r="M1453" s="82">
        <f>IF(OR(Pay!$AF131="",Pay!$AF131=0),"",Pay!$AG131)</f>
        <v/>
      </c>
      <c r="N1453" s="81">
        <f>IF(OR(Pay!$AF131="",Pay!$AF131=0),"",Pay!$D131&amp;" — "&amp;Pay!$E131)</f>
        <v/>
      </c>
      <c r="O1453" s="81">
        <f>IF(OR(Pay!$AF131="",Pay!$AF131=0),"",IFERROR(VLOOKUP(Pay!$AF131,AcctTbl,3,0),""))</f>
        <v/>
      </c>
      <c r="P1453" s="82">
        <f>IF(Pay!$AF131&lt;&gt;"X011","",IF(Pay!$I131="","",Pay!$I131))</f>
        <v/>
      </c>
    </row>
    <row r="1454" ht="20.25" customHeight="1">
      <c r="A1454" s="80">
        <f>IF(OR(Pay!$AD132="",Pay!$AD132=0),"",Pay!$B132)</f>
        <v/>
      </c>
      <c r="B1454" s="80">
        <f>IF(OR(Pay!$AD132="",Pay!$AD132=0),"",Pay!$C132)</f>
        <v/>
      </c>
      <c r="C1454" s="80">
        <f>IF(OR(Pay!$AD132="",Pay!$AD132=0),"","پرداخت")</f>
        <v/>
      </c>
      <c r="D1454" s="80">
        <f>IF(OR(Pay!$AD132="",Pay!$AD132=0),"",Pay!$AD132)</f>
        <v/>
      </c>
      <c r="E1454" s="81">
        <f>IF(OR(Pay!$AD132="",Pay!$AD132=0),"",Pay!$P132)</f>
        <v/>
      </c>
      <c r="F1454" s="83" t="n"/>
      <c r="G1454" s="83" t="n"/>
      <c r="H1454" s="83" t="n"/>
      <c r="I1454" s="83" t="n"/>
      <c r="J1454" s="83" t="n"/>
      <c r="K1454" s="82">
        <f>IF(OR(Pay!$AD132="",Pay!$AD132=0),"",Pay!$K132)</f>
        <v/>
      </c>
      <c r="L1454" s="82">
        <f>IF(OR(Pay!$AD132="",Pay!$AD132=0),"",Pay!$AE132)</f>
        <v/>
      </c>
      <c r="M1454" s="82" t="n"/>
      <c r="N1454" s="81">
        <f>IF(OR(Pay!$AD132="",Pay!$AD132=0),"",Pay!$D132&amp;" — "&amp;Pay!$E132)</f>
        <v/>
      </c>
      <c r="O1454" s="81">
        <f>IF(OR(Pay!$AD132="",Pay!$AD132=0),"",IFERROR(VLOOKUP(Pay!$AD132,AcctTbl,3,0),""))</f>
        <v/>
      </c>
      <c r="P1454" s="82">
        <f>IF(Pay!$AD132&lt;&gt;"X011","",IF(Pay!$I132="","",Pay!$I132))</f>
        <v/>
      </c>
    </row>
    <row r="1455" ht="20.25" customHeight="1">
      <c r="A1455" s="80">
        <f>IF(OR(Pay!$AF132="",Pay!$AF132=0),"",Pay!$B132)</f>
        <v/>
      </c>
      <c r="B1455" s="80">
        <f>IF(OR(Pay!$AF132="",Pay!$AF132=0),"",Pay!$C132)</f>
        <v/>
      </c>
      <c r="C1455" s="80">
        <f>IF(OR(Pay!$AF132="",Pay!$AF132=0),"","پرداخت")</f>
        <v/>
      </c>
      <c r="D1455" s="80">
        <f>IF(OR(Pay!$AF132="",Pay!$AF132=0),"",Pay!$AF132)</f>
        <v/>
      </c>
      <c r="E1455" s="81">
        <f>IF(OR(Pay!$AF132="",Pay!$AF132=0),"",Pay!$P132)</f>
        <v/>
      </c>
      <c r="F1455" s="83" t="n"/>
      <c r="G1455" s="83" t="n"/>
      <c r="H1455" s="83" t="n"/>
      <c r="I1455" s="83" t="n"/>
      <c r="J1455" s="83" t="n"/>
      <c r="K1455" s="82">
        <f>IF(OR(Pay!$AF132="",Pay!$AF132=0),"",Pay!$K132)</f>
        <v/>
      </c>
      <c r="L1455" s="82" t="n"/>
      <c r="M1455" s="82">
        <f>IF(OR(Pay!$AF132="",Pay!$AF132=0),"",Pay!$AG132)</f>
        <v/>
      </c>
      <c r="N1455" s="81">
        <f>IF(OR(Pay!$AF132="",Pay!$AF132=0),"",Pay!$D132&amp;" — "&amp;Pay!$E132)</f>
        <v/>
      </c>
      <c r="O1455" s="81">
        <f>IF(OR(Pay!$AF132="",Pay!$AF132=0),"",IFERROR(VLOOKUP(Pay!$AF132,AcctTbl,3,0),""))</f>
        <v/>
      </c>
      <c r="P1455" s="82">
        <f>IF(Pay!$AF132&lt;&gt;"X011","",IF(Pay!$I132="","",Pay!$I132))</f>
        <v/>
      </c>
    </row>
    <row r="1456" ht="20.25" customHeight="1">
      <c r="A1456" s="80">
        <f>IF(OR(Pay!$AD133="",Pay!$AD133=0),"",Pay!$B133)</f>
        <v/>
      </c>
      <c r="B1456" s="80">
        <f>IF(OR(Pay!$AD133="",Pay!$AD133=0),"",Pay!$C133)</f>
        <v/>
      </c>
      <c r="C1456" s="80">
        <f>IF(OR(Pay!$AD133="",Pay!$AD133=0),"","پرداخت")</f>
        <v/>
      </c>
      <c r="D1456" s="80">
        <f>IF(OR(Pay!$AD133="",Pay!$AD133=0),"",Pay!$AD133)</f>
        <v/>
      </c>
      <c r="E1456" s="81">
        <f>IF(OR(Pay!$AD133="",Pay!$AD133=0),"",Pay!$P133)</f>
        <v/>
      </c>
      <c r="F1456" s="83" t="n"/>
      <c r="G1456" s="83" t="n"/>
      <c r="H1456" s="83" t="n"/>
      <c r="I1456" s="83" t="n"/>
      <c r="J1456" s="83" t="n"/>
      <c r="K1456" s="82">
        <f>IF(OR(Pay!$AD133="",Pay!$AD133=0),"",Pay!$K133)</f>
        <v/>
      </c>
      <c r="L1456" s="82">
        <f>IF(OR(Pay!$AD133="",Pay!$AD133=0),"",Pay!$AE133)</f>
        <v/>
      </c>
      <c r="M1456" s="82" t="n"/>
      <c r="N1456" s="81">
        <f>IF(OR(Pay!$AD133="",Pay!$AD133=0),"",Pay!$D133&amp;" — "&amp;Pay!$E133)</f>
        <v/>
      </c>
      <c r="O1456" s="81">
        <f>IF(OR(Pay!$AD133="",Pay!$AD133=0),"",IFERROR(VLOOKUP(Pay!$AD133,AcctTbl,3,0),""))</f>
        <v/>
      </c>
      <c r="P1456" s="82">
        <f>IF(Pay!$AD133&lt;&gt;"X011","",IF(Pay!$I133="","",Pay!$I133))</f>
        <v/>
      </c>
    </row>
    <row r="1457" ht="20.25" customHeight="1">
      <c r="A1457" s="80">
        <f>IF(OR(Pay!$AF133="",Pay!$AF133=0),"",Pay!$B133)</f>
        <v/>
      </c>
      <c r="B1457" s="80">
        <f>IF(OR(Pay!$AF133="",Pay!$AF133=0),"",Pay!$C133)</f>
        <v/>
      </c>
      <c r="C1457" s="80">
        <f>IF(OR(Pay!$AF133="",Pay!$AF133=0),"","پرداخت")</f>
        <v/>
      </c>
      <c r="D1457" s="80">
        <f>IF(OR(Pay!$AF133="",Pay!$AF133=0),"",Pay!$AF133)</f>
        <v/>
      </c>
      <c r="E1457" s="81">
        <f>IF(OR(Pay!$AF133="",Pay!$AF133=0),"",Pay!$P133)</f>
        <v/>
      </c>
      <c r="F1457" s="83" t="n"/>
      <c r="G1457" s="83" t="n"/>
      <c r="H1457" s="83" t="n"/>
      <c r="I1457" s="83" t="n"/>
      <c r="J1457" s="83" t="n"/>
      <c r="K1457" s="82">
        <f>IF(OR(Pay!$AF133="",Pay!$AF133=0),"",Pay!$K133)</f>
        <v/>
      </c>
      <c r="L1457" s="82" t="n"/>
      <c r="M1457" s="82">
        <f>IF(OR(Pay!$AF133="",Pay!$AF133=0),"",Pay!$AG133)</f>
        <v/>
      </c>
      <c r="N1457" s="81">
        <f>IF(OR(Pay!$AF133="",Pay!$AF133=0),"",Pay!$D133&amp;" — "&amp;Pay!$E133)</f>
        <v/>
      </c>
      <c r="O1457" s="81">
        <f>IF(OR(Pay!$AF133="",Pay!$AF133=0),"",IFERROR(VLOOKUP(Pay!$AF133,AcctTbl,3,0),""))</f>
        <v/>
      </c>
      <c r="P1457" s="82">
        <f>IF(Pay!$AF133&lt;&gt;"X011","",IF(Pay!$I133="","",Pay!$I133))</f>
        <v/>
      </c>
    </row>
    <row r="1458" ht="20.25" customHeight="1">
      <c r="A1458" s="80">
        <f>IF(OR(Pay!$AD134="",Pay!$AD134=0),"",Pay!$B134)</f>
        <v/>
      </c>
      <c r="B1458" s="80">
        <f>IF(OR(Pay!$AD134="",Pay!$AD134=0),"",Pay!$C134)</f>
        <v/>
      </c>
      <c r="C1458" s="80">
        <f>IF(OR(Pay!$AD134="",Pay!$AD134=0),"","پرداخت")</f>
        <v/>
      </c>
      <c r="D1458" s="80">
        <f>IF(OR(Pay!$AD134="",Pay!$AD134=0),"",Pay!$AD134)</f>
        <v/>
      </c>
      <c r="E1458" s="81">
        <f>IF(OR(Pay!$AD134="",Pay!$AD134=0),"",Pay!$P134)</f>
        <v/>
      </c>
      <c r="F1458" s="83" t="n"/>
      <c r="G1458" s="83" t="n"/>
      <c r="H1458" s="83" t="n"/>
      <c r="I1458" s="83" t="n"/>
      <c r="J1458" s="83" t="n"/>
      <c r="K1458" s="82">
        <f>IF(OR(Pay!$AD134="",Pay!$AD134=0),"",Pay!$K134)</f>
        <v/>
      </c>
      <c r="L1458" s="82">
        <f>IF(OR(Pay!$AD134="",Pay!$AD134=0),"",Pay!$AE134)</f>
        <v/>
      </c>
      <c r="M1458" s="82" t="n"/>
      <c r="N1458" s="81">
        <f>IF(OR(Pay!$AD134="",Pay!$AD134=0),"",Pay!$D134&amp;" — "&amp;Pay!$E134)</f>
        <v/>
      </c>
      <c r="O1458" s="81">
        <f>IF(OR(Pay!$AD134="",Pay!$AD134=0),"",IFERROR(VLOOKUP(Pay!$AD134,AcctTbl,3,0),""))</f>
        <v/>
      </c>
      <c r="P1458" s="82">
        <f>IF(Pay!$AD134&lt;&gt;"X011","",IF(Pay!$I134="","",Pay!$I134))</f>
        <v/>
      </c>
    </row>
    <row r="1459" ht="20.25" customHeight="1">
      <c r="A1459" s="80">
        <f>IF(OR(Pay!$AF134="",Pay!$AF134=0),"",Pay!$B134)</f>
        <v/>
      </c>
      <c r="B1459" s="80">
        <f>IF(OR(Pay!$AF134="",Pay!$AF134=0),"",Pay!$C134)</f>
        <v/>
      </c>
      <c r="C1459" s="80">
        <f>IF(OR(Pay!$AF134="",Pay!$AF134=0),"","پرداخت")</f>
        <v/>
      </c>
      <c r="D1459" s="80">
        <f>IF(OR(Pay!$AF134="",Pay!$AF134=0),"",Pay!$AF134)</f>
        <v/>
      </c>
      <c r="E1459" s="81">
        <f>IF(OR(Pay!$AF134="",Pay!$AF134=0),"",Pay!$P134)</f>
        <v/>
      </c>
      <c r="F1459" s="83" t="n"/>
      <c r="G1459" s="83" t="n"/>
      <c r="H1459" s="83" t="n"/>
      <c r="I1459" s="83" t="n"/>
      <c r="J1459" s="83" t="n"/>
      <c r="K1459" s="82">
        <f>IF(OR(Pay!$AF134="",Pay!$AF134=0),"",Pay!$K134)</f>
        <v/>
      </c>
      <c r="L1459" s="82" t="n"/>
      <c r="M1459" s="82">
        <f>IF(OR(Pay!$AF134="",Pay!$AF134=0),"",Pay!$AG134)</f>
        <v/>
      </c>
      <c r="N1459" s="81">
        <f>IF(OR(Pay!$AF134="",Pay!$AF134=0),"",Pay!$D134&amp;" — "&amp;Pay!$E134)</f>
        <v/>
      </c>
      <c r="O1459" s="81">
        <f>IF(OR(Pay!$AF134="",Pay!$AF134=0),"",IFERROR(VLOOKUP(Pay!$AF134,AcctTbl,3,0),""))</f>
        <v/>
      </c>
      <c r="P1459" s="82">
        <f>IF(Pay!$AF134&lt;&gt;"X011","",IF(Pay!$I134="","",Pay!$I134))</f>
        <v/>
      </c>
    </row>
    <row r="1460" ht="20.25" customHeight="1">
      <c r="A1460" s="80">
        <f>IF(OR(Pay!$AD135="",Pay!$AD135=0),"",Pay!$B135)</f>
        <v/>
      </c>
      <c r="B1460" s="80">
        <f>IF(OR(Pay!$AD135="",Pay!$AD135=0),"",Pay!$C135)</f>
        <v/>
      </c>
      <c r="C1460" s="80">
        <f>IF(OR(Pay!$AD135="",Pay!$AD135=0),"","پرداخت")</f>
        <v/>
      </c>
      <c r="D1460" s="80">
        <f>IF(OR(Pay!$AD135="",Pay!$AD135=0),"",Pay!$AD135)</f>
        <v/>
      </c>
      <c r="E1460" s="81">
        <f>IF(OR(Pay!$AD135="",Pay!$AD135=0),"",Pay!$P135)</f>
        <v/>
      </c>
      <c r="F1460" s="83" t="n"/>
      <c r="G1460" s="83" t="n"/>
      <c r="H1460" s="83" t="n"/>
      <c r="I1460" s="83" t="n"/>
      <c r="J1460" s="83" t="n"/>
      <c r="K1460" s="82">
        <f>IF(OR(Pay!$AD135="",Pay!$AD135=0),"",Pay!$K135)</f>
        <v/>
      </c>
      <c r="L1460" s="82">
        <f>IF(OR(Pay!$AD135="",Pay!$AD135=0),"",Pay!$AE135)</f>
        <v/>
      </c>
      <c r="M1460" s="82" t="n"/>
      <c r="N1460" s="81">
        <f>IF(OR(Pay!$AD135="",Pay!$AD135=0),"",Pay!$D135&amp;" — "&amp;Pay!$E135)</f>
        <v/>
      </c>
      <c r="O1460" s="81">
        <f>IF(OR(Pay!$AD135="",Pay!$AD135=0),"",IFERROR(VLOOKUP(Pay!$AD135,AcctTbl,3,0),""))</f>
        <v/>
      </c>
      <c r="P1460" s="82">
        <f>IF(Pay!$AD135&lt;&gt;"X011","",IF(Pay!$I135="","",Pay!$I135))</f>
        <v/>
      </c>
    </row>
    <row r="1461" ht="20.25" customHeight="1">
      <c r="A1461" s="80">
        <f>IF(OR(Pay!$AF135="",Pay!$AF135=0),"",Pay!$B135)</f>
        <v/>
      </c>
      <c r="B1461" s="80">
        <f>IF(OR(Pay!$AF135="",Pay!$AF135=0),"",Pay!$C135)</f>
        <v/>
      </c>
      <c r="C1461" s="80">
        <f>IF(OR(Pay!$AF135="",Pay!$AF135=0),"","پرداخت")</f>
        <v/>
      </c>
      <c r="D1461" s="80">
        <f>IF(OR(Pay!$AF135="",Pay!$AF135=0),"",Pay!$AF135)</f>
        <v/>
      </c>
      <c r="E1461" s="81">
        <f>IF(OR(Pay!$AF135="",Pay!$AF135=0),"",Pay!$P135)</f>
        <v/>
      </c>
      <c r="F1461" s="83" t="n"/>
      <c r="G1461" s="83" t="n"/>
      <c r="H1461" s="83" t="n"/>
      <c r="I1461" s="83" t="n"/>
      <c r="J1461" s="83" t="n"/>
      <c r="K1461" s="82">
        <f>IF(OR(Pay!$AF135="",Pay!$AF135=0),"",Pay!$K135)</f>
        <v/>
      </c>
      <c r="L1461" s="82" t="n"/>
      <c r="M1461" s="82">
        <f>IF(OR(Pay!$AF135="",Pay!$AF135=0),"",Pay!$AG135)</f>
        <v/>
      </c>
      <c r="N1461" s="81">
        <f>IF(OR(Pay!$AF135="",Pay!$AF135=0),"",Pay!$D135&amp;" — "&amp;Pay!$E135)</f>
        <v/>
      </c>
      <c r="O1461" s="81">
        <f>IF(OR(Pay!$AF135="",Pay!$AF135=0),"",IFERROR(VLOOKUP(Pay!$AF135,AcctTbl,3,0),""))</f>
        <v/>
      </c>
      <c r="P1461" s="82">
        <f>IF(Pay!$AF135&lt;&gt;"X011","",IF(Pay!$I135="","",Pay!$I135))</f>
        <v/>
      </c>
    </row>
    <row r="1462" ht="20.25" customHeight="1">
      <c r="A1462" s="80">
        <f>IF(OR(Pay!$AD136="",Pay!$AD136=0),"",Pay!$B136)</f>
        <v/>
      </c>
      <c r="B1462" s="80">
        <f>IF(OR(Pay!$AD136="",Pay!$AD136=0),"",Pay!$C136)</f>
        <v/>
      </c>
      <c r="C1462" s="80">
        <f>IF(OR(Pay!$AD136="",Pay!$AD136=0),"","پرداخت")</f>
        <v/>
      </c>
      <c r="D1462" s="80">
        <f>IF(OR(Pay!$AD136="",Pay!$AD136=0),"",Pay!$AD136)</f>
        <v/>
      </c>
      <c r="E1462" s="81">
        <f>IF(OR(Pay!$AD136="",Pay!$AD136=0),"",Pay!$P136)</f>
        <v/>
      </c>
      <c r="F1462" s="83" t="n"/>
      <c r="G1462" s="83" t="n"/>
      <c r="H1462" s="83" t="n"/>
      <c r="I1462" s="83" t="n"/>
      <c r="J1462" s="83" t="n"/>
      <c r="K1462" s="82">
        <f>IF(OR(Pay!$AD136="",Pay!$AD136=0),"",Pay!$K136)</f>
        <v/>
      </c>
      <c r="L1462" s="82">
        <f>IF(OR(Pay!$AD136="",Pay!$AD136=0),"",Pay!$AE136)</f>
        <v/>
      </c>
      <c r="M1462" s="82" t="n"/>
      <c r="N1462" s="81">
        <f>IF(OR(Pay!$AD136="",Pay!$AD136=0),"",Pay!$D136&amp;" — "&amp;Pay!$E136)</f>
        <v/>
      </c>
      <c r="O1462" s="81">
        <f>IF(OR(Pay!$AD136="",Pay!$AD136=0),"",IFERROR(VLOOKUP(Pay!$AD136,AcctTbl,3,0),""))</f>
        <v/>
      </c>
      <c r="P1462" s="82">
        <f>IF(Pay!$AD136&lt;&gt;"X011","",IF(Pay!$I136="","",Pay!$I136))</f>
        <v/>
      </c>
    </row>
    <row r="1463" ht="20.25" customHeight="1">
      <c r="A1463" s="80">
        <f>IF(OR(Pay!$AF136="",Pay!$AF136=0),"",Pay!$B136)</f>
        <v/>
      </c>
      <c r="B1463" s="80">
        <f>IF(OR(Pay!$AF136="",Pay!$AF136=0),"",Pay!$C136)</f>
        <v/>
      </c>
      <c r="C1463" s="80">
        <f>IF(OR(Pay!$AF136="",Pay!$AF136=0),"","پرداخت")</f>
        <v/>
      </c>
      <c r="D1463" s="80">
        <f>IF(OR(Pay!$AF136="",Pay!$AF136=0),"",Pay!$AF136)</f>
        <v/>
      </c>
      <c r="E1463" s="81">
        <f>IF(OR(Pay!$AF136="",Pay!$AF136=0),"",Pay!$P136)</f>
        <v/>
      </c>
      <c r="F1463" s="83" t="n"/>
      <c r="G1463" s="83" t="n"/>
      <c r="H1463" s="83" t="n"/>
      <c r="I1463" s="83" t="n"/>
      <c r="J1463" s="83" t="n"/>
      <c r="K1463" s="82">
        <f>IF(OR(Pay!$AF136="",Pay!$AF136=0),"",Pay!$K136)</f>
        <v/>
      </c>
      <c r="L1463" s="82" t="n"/>
      <c r="M1463" s="82">
        <f>IF(OR(Pay!$AF136="",Pay!$AF136=0),"",Pay!$AG136)</f>
        <v/>
      </c>
      <c r="N1463" s="81">
        <f>IF(OR(Pay!$AF136="",Pay!$AF136=0),"",Pay!$D136&amp;" — "&amp;Pay!$E136)</f>
        <v/>
      </c>
      <c r="O1463" s="81">
        <f>IF(OR(Pay!$AF136="",Pay!$AF136=0),"",IFERROR(VLOOKUP(Pay!$AF136,AcctTbl,3,0),""))</f>
        <v/>
      </c>
      <c r="P1463" s="82">
        <f>IF(Pay!$AF136&lt;&gt;"X011","",IF(Pay!$I136="","",Pay!$I136))</f>
        <v/>
      </c>
    </row>
    <row r="1464" ht="20.25" customHeight="1">
      <c r="A1464" s="80">
        <f>IF(OR(Pay!$AD137="",Pay!$AD137=0),"",Pay!$B137)</f>
        <v/>
      </c>
      <c r="B1464" s="80">
        <f>IF(OR(Pay!$AD137="",Pay!$AD137=0),"",Pay!$C137)</f>
        <v/>
      </c>
      <c r="C1464" s="80">
        <f>IF(OR(Pay!$AD137="",Pay!$AD137=0),"","پرداخت")</f>
        <v/>
      </c>
      <c r="D1464" s="80">
        <f>IF(OR(Pay!$AD137="",Pay!$AD137=0),"",Pay!$AD137)</f>
        <v/>
      </c>
      <c r="E1464" s="81">
        <f>IF(OR(Pay!$AD137="",Pay!$AD137=0),"",Pay!$P137)</f>
        <v/>
      </c>
      <c r="F1464" s="83" t="n"/>
      <c r="G1464" s="83" t="n"/>
      <c r="H1464" s="83" t="n"/>
      <c r="I1464" s="83" t="n"/>
      <c r="J1464" s="83" t="n"/>
      <c r="K1464" s="82">
        <f>IF(OR(Pay!$AD137="",Pay!$AD137=0),"",Pay!$K137)</f>
        <v/>
      </c>
      <c r="L1464" s="82">
        <f>IF(OR(Pay!$AD137="",Pay!$AD137=0),"",Pay!$AE137)</f>
        <v/>
      </c>
      <c r="M1464" s="82" t="n"/>
      <c r="N1464" s="81">
        <f>IF(OR(Pay!$AD137="",Pay!$AD137=0),"",Pay!$D137&amp;" — "&amp;Pay!$E137)</f>
        <v/>
      </c>
      <c r="O1464" s="81">
        <f>IF(OR(Pay!$AD137="",Pay!$AD137=0),"",IFERROR(VLOOKUP(Pay!$AD137,AcctTbl,3,0),""))</f>
        <v/>
      </c>
      <c r="P1464" s="82">
        <f>IF(Pay!$AD137&lt;&gt;"X011","",IF(Pay!$I137="","",Pay!$I137))</f>
        <v/>
      </c>
    </row>
    <row r="1465" ht="20.25" customHeight="1">
      <c r="A1465" s="80">
        <f>IF(OR(Pay!$AF137="",Pay!$AF137=0),"",Pay!$B137)</f>
        <v/>
      </c>
      <c r="B1465" s="80">
        <f>IF(OR(Pay!$AF137="",Pay!$AF137=0),"",Pay!$C137)</f>
        <v/>
      </c>
      <c r="C1465" s="80">
        <f>IF(OR(Pay!$AF137="",Pay!$AF137=0),"","پرداخت")</f>
        <v/>
      </c>
      <c r="D1465" s="80">
        <f>IF(OR(Pay!$AF137="",Pay!$AF137=0),"",Pay!$AF137)</f>
        <v/>
      </c>
      <c r="E1465" s="81">
        <f>IF(OR(Pay!$AF137="",Pay!$AF137=0),"",Pay!$P137)</f>
        <v/>
      </c>
      <c r="F1465" s="83" t="n"/>
      <c r="G1465" s="83" t="n"/>
      <c r="H1465" s="83" t="n"/>
      <c r="I1465" s="83" t="n"/>
      <c r="J1465" s="83" t="n"/>
      <c r="K1465" s="82">
        <f>IF(OR(Pay!$AF137="",Pay!$AF137=0),"",Pay!$K137)</f>
        <v/>
      </c>
      <c r="L1465" s="82" t="n"/>
      <c r="M1465" s="82">
        <f>IF(OR(Pay!$AF137="",Pay!$AF137=0),"",Pay!$AG137)</f>
        <v/>
      </c>
      <c r="N1465" s="81">
        <f>IF(OR(Pay!$AF137="",Pay!$AF137=0),"",Pay!$D137&amp;" — "&amp;Pay!$E137)</f>
        <v/>
      </c>
      <c r="O1465" s="81">
        <f>IF(OR(Pay!$AF137="",Pay!$AF137=0),"",IFERROR(VLOOKUP(Pay!$AF137,AcctTbl,3,0),""))</f>
        <v/>
      </c>
      <c r="P1465" s="82">
        <f>IF(Pay!$AF137&lt;&gt;"X011","",IF(Pay!$I137="","",Pay!$I137))</f>
        <v/>
      </c>
    </row>
    <row r="1466" ht="20.25" customHeight="1">
      <c r="A1466" s="80">
        <f>IF(OR(Pay!$AD138="",Pay!$AD138=0),"",Pay!$B138)</f>
        <v/>
      </c>
      <c r="B1466" s="80">
        <f>IF(OR(Pay!$AD138="",Pay!$AD138=0),"",Pay!$C138)</f>
        <v/>
      </c>
      <c r="C1466" s="80">
        <f>IF(OR(Pay!$AD138="",Pay!$AD138=0),"","پرداخت")</f>
        <v/>
      </c>
      <c r="D1466" s="80">
        <f>IF(OR(Pay!$AD138="",Pay!$AD138=0),"",Pay!$AD138)</f>
        <v/>
      </c>
      <c r="E1466" s="81">
        <f>IF(OR(Pay!$AD138="",Pay!$AD138=0),"",Pay!$P138)</f>
        <v/>
      </c>
      <c r="F1466" s="83" t="n"/>
      <c r="G1466" s="83" t="n"/>
      <c r="H1466" s="83" t="n"/>
      <c r="I1466" s="83" t="n"/>
      <c r="J1466" s="83" t="n"/>
      <c r="K1466" s="82">
        <f>IF(OR(Pay!$AD138="",Pay!$AD138=0),"",Pay!$K138)</f>
        <v/>
      </c>
      <c r="L1466" s="82">
        <f>IF(OR(Pay!$AD138="",Pay!$AD138=0),"",Pay!$AE138)</f>
        <v/>
      </c>
      <c r="M1466" s="82" t="n"/>
      <c r="N1466" s="81">
        <f>IF(OR(Pay!$AD138="",Pay!$AD138=0),"",Pay!$D138&amp;" — "&amp;Pay!$E138)</f>
        <v/>
      </c>
      <c r="O1466" s="81">
        <f>IF(OR(Pay!$AD138="",Pay!$AD138=0),"",IFERROR(VLOOKUP(Pay!$AD138,AcctTbl,3,0),""))</f>
        <v/>
      </c>
      <c r="P1466" s="82">
        <f>IF(Pay!$AD138&lt;&gt;"X011","",IF(Pay!$I138="","",Pay!$I138))</f>
        <v/>
      </c>
    </row>
    <row r="1467" ht="20.25" customHeight="1">
      <c r="A1467" s="80">
        <f>IF(OR(Pay!$AF138="",Pay!$AF138=0),"",Pay!$B138)</f>
        <v/>
      </c>
      <c r="B1467" s="80">
        <f>IF(OR(Pay!$AF138="",Pay!$AF138=0),"",Pay!$C138)</f>
        <v/>
      </c>
      <c r="C1467" s="80">
        <f>IF(OR(Pay!$AF138="",Pay!$AF138=0),"","پرداخت")</f>
        <v/>
      </c>
      <c r="D1467" s="80">
        <f>IF(OR(Pay!$AF138="",Pay!$AF138=0),"",Pay!$AF138)</f>
        <v/>
      </c>
      <c r="E1467" s="81">
        <f>IF(OR(Pay!$AF138="",Pay!$AF138=0),"",Pay!$P138)</f>
        <v/>
      </c>
      <c r="F1467" s="83" t="n"/>
      <c r="G1467" s="83" t="n"/>
      <c r="H1467" s="83" t="n"/>
      <c r="I1467" s="83" t="n"/>
      <c r="J1467" s="83" t="n"/>
      <c r="K1467" s="82">
        <f>IF(OR(Pay!$AF138="",Pay!$AF138=0),"",Pay!$K138)</f>
        <v/>
      </c>
      <c r="L1467" s="82" t="n"/>
      <c r="M1467" s="82">
        <f>IF(OR(Pay!$AF138="",Pay!$AF138=0),"",Pay!$AG138)</f>
        <v/>
      </c>
      <c r="N1467" s="81">
        <f>IF(OR(Pay!$AF138="",Pay!$AF138=0),"",Pay!$D138&amp;" — "&amp;Pay!$E138)</f>
        <v/>
      </c>
      <c r="O1467" s="81">
        <f>IF(OR(Pay!$AF138="",Pay!$AF138=0),"",IFERROR(VLOOKUP(Pay!$AF138,AcctTbl,3,0),""))</f>
        <v/>
      </c>
      <c r="P1467" s="82">
        <f>IF(Pay!$AF138&lt;&gt;"X011","",IF(Pay!$I138="","",Pay!$I138))</f>
        <v/>
      </c>
    </row>
    <row r="1468" ht="20.25" customHeight="1">
      <c r="A1468" s="80">
        <f>IF(OR(Pay!$AD139="",Pay!$AD139=0),"",Pay!$B139)</f>
        <v/>
      </c>
      <c r="B1468" s="80">
        <f>IF(OR(Pay!$AD139="",Pay!$AD139=0),"",Pay!$C139)</f>
        <v/>
      </c>
      <c r="C1468" s="80">
        <f>IF(OR(Pay!$AD139="",Pay!$AD139=0),"","پرداخت")</f>
        <v/>
      </c>
      <c r="D1468" s="80">
        <f>IF(OR(Pay!$AD139="",Pay!$AD139=0),"",Pay!$AD139)</f>
        <v/>
      </c>
      <c r="E1468" s="81">
        <f>IF(OR(Pay!$AD139="",Pay!$AD139=0),"",Pay!$P139)</f>
        <v/>
      </c>
      <c r="F1468" s="83" t="n"/>
      <c r="G1468" s="83" t="n"/>
      <c r="H1468" s="83" t="n"/>
      <c r="I1468" s="83" t="n"/>
      <c r="J1468" s="83" t="n"/>
      <c r="K1468" s="82">
        <f>IF(OR(Pay!$AD139="",Pay!$AD139=0),"",Pay!$K139)</f>
        <v/>
      </c>
      <c r="L1468" s="82">
        <f>IF(OR(Pay!$AD139="",Pay!$AD139=0),"",Pay!$AE139)</f>
        <v/>
      </c>
      <c r="M1468" s="82" t="n"/>
      <c r="N1468" s="81">
        <f>IF(OR(Pay!$AD139="",Pay!$AD139=0),"",Pay!$D139&amp;" — "&amp;Pay!$E139)</f>
        <v/>
      </c>
      <c r="O1468" s="81">
        <f>IF(OR(Pay!$AD139="",Pay!$AD139=0),"",IFERROR(VLOOKUP(Pay!$AD139,AcctTbl,3,0),""))</f>
        <v/>
      </c>
      <c r="P1468" s="82">
        <f>IF(Pay!$AD139&lt;&gt;"X011","",IF(Pay!$I139="","",Pay!$I139))</f>
        <v/>
      </c>
    </row>
    <row r="1469" ht="20.25" customHeight="1">
      <c r="A1469" s="80">
        <f>IF(OR(Pay!$AF139="",Pay!$AF139=0),"",Pay!$B139)</f>
        <v/>
      </c>
      <c r="B1469" s="80">
        <f>IF(OR(Pay!$AF139="",Pay!$AF139=0),"",Pay!$C139)</f>
        <v/>
      </c>
      <c r="C1469" s="80">
        <f>IF(OR(Pay!$AF139="",Pay!$AF139=0),"","پرداخت")</f>
        <v/>
      </c>
      <c r="D1469" s="80">
        <f>IF(OR(Pay!$AF139="",Pay!$AF139=0),"",Pay!$AF139)</f>
        <v/>
      </c>
      <c r="E1469" s="81">
        <f>IF(OR(Pay!$AF139="",Pay!$AF139=0),"",Pay!$P139)</f>
        <v/>
      </c>
      <c r="F1469" s="83" t="n"/>
      <c r="G1469" s="83" t="n"/>
      <c r="H1469" s="83" t="n"/>
      <c r="I1469" s="83" t="n"/>
      <c r="J1469" s="83" t="n"/>
      <c r="K1469" s="82">
        <f>IF(OR(Pay!$AF139="",Pay!$AF139=0),"",Pay!$K139)</f>
        <v/>
      </c>
      <c r="L1469" s="82" t="n"/>
      <c r="M1469" s="82">
        <f>IF(OR(Pay!$AF139="",Pay!$AF139=0),"",Pay!$AG139)</f>
        <v/>
      </c>
      <c r="N1469" s="81">
        <f>IF(OR(Pay!$AF139="",Pay!$AF139=0),"",Pay!$D139&amp;" — "&amp;Pay!$E139)</f>
        <v/>
      </c>
      <c r="O1469" s="81">
        <f>IF(OR(Pay!$AF139="",Pay!$AF139=0),"",IFERROR(VLOOKUP(Pay!$AF139,AcctTbl,3,0),""))</f>
        <v/>
      </c>
      <c r="P1469" s="82">
        <f>IF(Pay!$AF139&lt;&gt;"X011","",IF(Pay!$I139="","",Pay!$I139))</f>
        <v/>
      </c>
    </row>
    <row r="1470" ht="20.25" customHeight="1">
      <c r="A1470" s="80">
        <f>IF(OR(Pay!$AD140="",Pay!$AD140=0),"",Pay!$B140)</f>
        <v/>
      </c>
      <c r="B1470" s="80">
        <f>IF(OR(Pay!$AD140="",Pay!$AD140=0),"",Pay!$C140)</f>
        <v/>
      </c>
      <c r="C1470" s="80">
        <f>IF(OR(Pay!$AD140="",Pay!$AD140=0),"","پرداخت")</f>
        <v/>
      </c>
      <c r="D1470" s="80">
        <f>IF(OR(Pay!$AD140="",Pay!$AD140=0),"",Pay!$AD140)</f>
        <v/>
      </c>
      <c r="E1470" s="81">
        <f>IF(OR(Pay!$AD140="",Pay!$AD140=0),"",Pay!$P140)</f>
        <v/>
      </c>
      <c r="F1470" s="83" t="n"/>
      <c r="G1470" s="83" t="n"/>
      <c r="H1470" s="83" t="n"/>
      <c r="I1470" s="83" t="n"/>
      <c r="J1470" s="83" t="n"/>
      <c r="K1470" s="82">
        <f>IF(OR(Pay!$AD140="",Pay!$AD140=0),"",Pay!$K140)</f>
        <v/>
      </c>
      <c r="L1470" s="82">
        <f>IF(OR(Pay!$AD140="",Pay!$AD140=0),"",Pay!$AE140)</f>
        <v/>
      </c>
      <c r="M1470" s="82" t="n"/>
      <c r="N1470" s="81">
        <f>IF(OR(Pay!$AD140="",Pay!$AD140=0),"",Pay!$D140&amp;" — "&amp;Pay!$E140)</f>
        <v/>
      </c>
      <c r="O1470" s="81">
        <f>IF(OR(Pay!$AD140="",Pay!$AD140=0),"",IFERROR(VLOOKUP(Pay!$AD140,AcctTbl,3,0),""))</f>
        <v/>
      </c>
      <c r="P1470" s="82">
        <f>IF(Pay!$AD140&lt;&gt;"X011","",IF(Pay!$I140="","",Pay!$I140))</f>
        <v/>
      </c>
    </row>
    <row r="1471" ht="20.25" customHeight="1">
      <c r="A1471" s="80">
        <f>IF(OR(Pay!$AF140="",Pay!$AF140=0),"",Pay!$B140)</f>
        <v/>
      </c>
      <c r="B1471" s="80">
        <f>IF(OR(Pay!$AF140="",Pay!$AF140=0),"",Pay!$C140)</f>
        <v/>
      </c>
      <c r="C1471" s="80">
        <f>IF(OR(Pay!$AF140="",Pay!$AF140=0),"","پرداخت")</f>
        <v/>
      </c>
      <c r="D1471" s="80">
        <f>IF(OR(Pay!$AF140="",Pay!$AF140=0),"",Pay!$AF140)</f>
        <v/>
      </c>
      <c r="E1471" s="81">
        <f>IF(OR(Pay!$AF140="",Pay!$AF140=0),"",Pay!$P140)</f>
        <v/>
      </c>
      <c r="F1471" s="83" t="n"/>
      <c r="G1471" s="83" t="n"/>
      <c r="H1471" s="83" t="n"/>
      <c r="I1471" s="83" t="n"/>
      <c r="J1471" s="83" t="n"/>
      <c r="K1471" s="82">
        <f>IF(OR(Pay!$AF140="",Pay!$AF140=0),"",Pay!$K140)</f>
        <v/>
      </c>
      <c r="L1471" s="82" t="n"/>
      <c r="M1471" s="82">
        <f>IF(OR(Pay!$AF140="",Pay!$AF140=0),"",Pay!$AG140)</f>
        <v/>
      </c>
      <c r="N1471" s="81">
        <f>IF(OR(Pay!$AF140="",Pay!$AF140=0),"",Pay!$D140&amp;" — "&amp;Pay!$E140)</f>
        <v/>
      </c>
      <c r="O1471" s="81">
        <f>IF(OR(Pay!$AF140="",Pay!$AF140=0),"",IFERROR(VLOOKUP(Pay!$AF140,AcctTbl,3,0),""))</f>
        <v/>
      </c>
      <c r="P1471" s="82">
        <f>IF(Pay!$AF140&lt;&gt;"X011","",IF(Pay!$I140="","",Pay!$I140))</f>
        <v/>
      </c>
    </row>
    <row r="1472" ht="20.25" customHeight="1">
      <c r="A1472" s="80">
        <f>IF(OR(Pay!$AD141="",Pay!$AD141=0),"",Pay!$B141)</f>
        <v/>
      </c>
      <c r="B1472" s="80">
        <f>IF(OR(Pay!$AD141="",Pay!$AD141=0),"",Pay!$C141)</f>
        <v/>
      </c>
      <c r="C1472" s="80">
        <f>IF(OR(Pay!$AD141="",Pay!$AD141=0),"","پرداخت")</f>
        <v/>
      </c>
      <c r="D1472" s="80">
        <f>IF(OR(Pay!$AD141="",Pay!$AD141=0),"",Pay!$AD141)</f>
        <v/>
      </c>
      <c r="E1472" s="81">
        <f>IF(OR(Pay!$AD141="",Pay!$AD141=0),"",Pay!$P141)</f>
        <v/>
      </c>
      <c r="F1472" s="83" t="n"/>
      <c r="G1472" s="83" t="n"/>
      <c r="H1472" s="83" t="n"/>
      <c r="I1472" s="83" t="n"/>
      <c r="J1472" s="83" t="n"/>
      <c r="K1472" s="82">
        <f>IF(OR(Pay!$AD141="",Pay!$AD141=0),"",Pay!$K141)</f>
        <v/>
      </c>
      <c r="L1472" s="82">
        <f>IF(OR(Pay!$AD141="",Pay!$AD141=0),"",Pay!$AE141)</f>
        <v/>
      </c>
      <c r="M1472" s="82" t="n"/>
      <c r="N1472" s="81">
        <f>IF(OR(Pay!$AD141="",Pay!$AD141=0),"",Pay!$D141&amp;" — "&amp;Pay!$E141)</f>
        <v/>
      </c>
      <c r="O1472" s="81">
        <f>IF(OR(Pay!$AD141="",Pay!$AD141=0),"",IFERROR(VLOOKUP(Pay!$AD141,AcctTbl,3,0),""))</f>
        <v/>
      </c>
      <c r="P1472" s="82">
        <f>IF(Pay!$AD141&lt;&gt;"X011","",IF(Pay!$I141="","",Pay!$I141))</f>
        <v/>
      </c>
    </row>
    <row r="1473" ht="20.25" customHeight="1">
      <c r="A1473" s="80">
        <f>IF(OR(Pay!$AF141="",Pay!$AF141=0),"",Pay!$B141)</f>
        <v/>
      </c>
      <c r="B1473" s="80">
        <f>IF(OR(Pay!$AF141="",Pay!$AF141=0),"",Pay!$C141)</f>
        <v/>
      </c>
      <c r="C1473" s="80">
        <f>IF(OR(Pay!$AF141="",Pay!$AF141=0),"","پرداخت")</f>
        <v/>
      </c>
      <c r="D1473" s="80">
        <f>IF(OR(Pay!$AF141="",Pay!$AF141=0),"",Pay!$AF141)</f>
        <v/>
      </c>
      <c r="E1473" s="81">
        <f>IF(OR(Pay!$AF141="",Pay!$AF141=0),"",Pay!$P141)</f>
        <v/>
      </c>
      <c r="F1473" s="83" t="n"/>
      <c r="G1473" s="83" t="n"/>
      <c r="H1473" s="83" t="n"/>
      <c r="I1473" s="83" t="n"/>
      <c r="J1473" s="83" t="n"/>
      <c r="K1473" s="82">
        <f>IF(OR(Pay!$AF141="",Pay!$AF141=0),"",Pay!$K141)</f>
        <v/>
      </c>
      <c r="L1473" s="82" t="n"/>
      <c r="M1473" s="82">
        <f>IF(OR(Pay!$AF141="",Pay!$AF141=0),"",Pay!$AG141)</f>
        <v/>
      </c>
      <c r="N1473" s="81">
        <f>IF(OR(Pay!$AF141="",Pay!$AF141=0),"",Pay!$D141&amp;" — "&amp;Pay!$E141)</f>
        <v/>
      </c>
      <c r="O1473" s="81">
        <f>IF(OR(Pay!$AF141="",Pay!$AF141=0),"",IFERROR(VLOOKUP(Pay!$AF141,AcctTbl,3,0),""))</f>
        <v/>
      </c>
      <c r="P1473" s="82">
        <f>IF(Pay!$AF141&lt;&gt;"X011","",IF(Pay!$I141="","",Pay!$I141))</f>
        <v/>
      </c>
    </row>
    <row r="1474" ht="20.25" customHeight="1">
      <c r="A1474" s="80">
        <f>IF(OR(Pay!$AD142="",Pay!$AD142=0),"",Pay!$B142)</f>
        <v/>
      </c>
      <c r="B1474" s="80">
        <f>IF(OR(Pay!$AD142="",Pay!$AD142=0),"",Pay!$C142)</f>
        <v/>
      </c>
      <c r="C1474" s="80">
        <f>IF(OR(Pay!$AD142="",Pay!$AD142=0),"","پرداخت")</f>
        <v/>
      </c>
      <c r="D1474" s="80">
        <f>IF(OR(Pay!$AD142="",Pay!$AD142=0),"",Pay!$AD142)</f>
        <v/>
      </c>
      <c r="E1474" s="81">
        <f>IF(OR(Pay!$AD142="",Pay!$AD142=0),"",Pay!$P142)</f>
        <v/>
      </c>
      <c r="F1474" s="83" t="n"/>
      <c r="G1474" s="83" t="n"/>
      <c r="H1474" s="83" t="n"/>
      <c r="I1474" s="83" t="n"/>
      <c r="J1474" s="83" t="n"/>
      <c r="K1474" s="82">
        <f>IF(OR(Pay!$AD142="",Pay!$AD142=0),"",Pay!$K142)</f>
        <v/>
      </c>
      <c r="L1474" s="82">
        <f>IF(OR(Pay!$AD142="",Pay!$AD142=0),"",Pay!$AE142)</f>
        <v/>
      </c>
      <c r="M1474" s="82" t="n"/>
      <c r="N1474" s="81">
        <f>IF(OR(Pay!$AD142="",Pay!$AD142=0),"",Pay!$D142&amp;" — "&amp;Pay!$E142)</f>
        <v/>
      </c>
      <c r="O1474" s="81">
        <f>IF(OR(Pay!$AD142="",Pay!$AD142=0),"",IFERROR(VLOOKUP(Pay!$AD142,AcctTbl,3,0),""))</f>
        <v/>
      </c>
      <c r="P1474" s="82">
        <f>IF(Pay!$AD142&lt;&gt;"X011","",IF(Pay!$I142="","",Pay!$I142))</f>
        <v/>
      </c>
    </row>
    <row r="1475" ht="20.25" customHeight="1">
      <c r="A1475" s="80">
        <f>IF(OR(Pay!$AF142="",Pay!$AF142=0),"",Pay!$B142)</f>
        <v/>
      </c>
      <c r="B1475" s="80">
        <f>IF(OR(Pay!$AF142="",Pay!$AF142=0),"",Pay!$C142)</f>
        <v/>
      </c>
      <c r="C1475" s="80">
        <f>IF(OR(Pay!$AF142="",Pay!$AF142=0),"","پرداخت")</f>
        <v/>
      </c>
      <c r="D1475" s="80">
        <f>IF(OR(Pay!$AF142="",Pay!$AF142=0),"",Pay!$AF142)</f>
        <v/>
      </c>
      <c r="E1475" s="81">
        <f>IF(OR(Pay!$AF142="",Pay!$AF142=0),"",Pay!$P142)</f>
        <v/>
      </c>
      <c r="F1475" s="83" t="n"/>
      <c r="G1475" s="83" t="n"/>
      <c r="H1475" s="83" t="n"/>
      <c r="I1475" s="83" t="n"/>
      <c r="J1475" s="83" t="n"/>
      <c r="K1475" s="82">
        <f>IF(OR(Pay!$AF142="",Pay!$AF142=0),"",Pay!$K142)</f>
        <v/>
      </c>
      <c r="L1475" s="82" t="n"/>
      <c r="M1475" s="82">
        <f>IF(OR(Pay!$AF142="",Pay!$AF142=0),"",Pay!$AG142)</f>
        <v/>
      </c>
      <c r="N1475" s="81">
        <f>IF(OR(Pay!$AF142="",Pay!$AF142=0),"",Pay!$D142&amp;" — "&amp;Pay!$E142)</f>
        <v/>
      </c>
      <c r="O1475" s="81">
        <f>IF(OR(Pay!$AF142="",Pay!$AF142=0),"",IFERROR(VLOOKUP(Pay!$AF142,AcctTbl,3,0),""))</f>
        <v/>
      </c>
      <c r="P1475" s="82">
        <f>IF(Pay!$AF142&lt;&gt;"X011","",IF(Pay!$I142="","",Pay!$I142))</f>
        <v/>
      </c>
    </row>
    <row r="1476" ht="20.25" customHeight="1">
      <c r="A1476" s="80">
        <f>IF(OR(Pay!$AD143="",Pay!$AD143=0),"",Pay!$B143)</f>
        <v/>
      </c>
      <c r="B1476" s="80">
        <f>IF(OR(Pay!$AD143="",Pay!$AD143=0),"",Pay!$C143)</f>
        <v/>
      </c>
      <c r="C1476" s="80">
        <f>IF(OR(Pay!$AD143="",Pay!$AD143=0),"","پرداخت")</f>
        <v/>
      </c>
      <c r="D1476" s="80">
        <f>IF(OR(Pay!$AD143="",Pay!$AD143=0),"",Pay!$AD143)</f>
        <v/>
      </c>
      <c r="E1476" s="81">
        <f>IF(OR(Pay!$AD143="",Pay!$AD143=0),"",Pay!$P143)</f>
        <v/>
      </c>
      <c r="F1476" s="83" t="n"/>
      <c r="G1476" s="83" t="n"/>
      <c r="H1476" s="83" t="n"/>
      <c r="I1476" s="83" t="n"/>
      <c r="J1476" s="83" t="n"/>
      <c r="K1476" s="82">
        <f>IF(OR(Pay!$AD143="",Pay!$AD143=0),"",Pay!$K143)</f>
        <v/>
      </c>
      <c r="L1476" s="82">
        <f>IF(OR(Pay!$AD143="",Pay!$AD143=0),"",Pay!$AE143)</f>
        <v/>
      </c>
      <c r="M1476" s="82" t="n"/>
      <c r="N1476" s="81">
        <f>IF(OR(Pay!$AD143="",Pay!$AD143=0),"",Pay!$D143&amp;" — "&amp;Pay!$E143)</f>
        <v/>
      </c>
      <c r="O1476" s="81">
        <f>IF(OR(Pay!$AD143="",Pay!$AD143=0),"",IFERROR(VLOOKUP(Pay!$AD143,AcctTbl,3,0),""))</f>
        <v/>
      </c>
      <c r="P1476" s="82">
        <f>IF(Pay!$AD143&lt;&gt;"X011","",IF(Pay!$I143="","",Pay!$I143))</f>
        <v/>
      </c>
    </row>
    <row r="1477" ht="20.25" customHeight="1">
      <c r="A1477" s="80">
        <f>IF(OR(Pay!$AF143="",Pay!$AF143=0),"",Pay!$B143)</f>
        <v/>
      </c>
      <c r="B1477" s="80">
        <f>IF(OR(Pay!$AF143="",Pay!$AF143=0),"",Pay!$C143)</f>
        <v/>
      </c>
      <c r="C1477" s="80">
        <f>IF(OR(Pay!$AF143="",Pay!$AF143=0),"","پرداخت")</f>
        <v/>
      </c>
      <c r="D1477" s="80">
        <f>IF(OR(Pay!$AF143="",Pay!$AF143=0),"",Pay!$AF143)</f>
        <v/>
      </c>
      <c r="E1477" s="81">
        <f>IF(OR(Pay!$AF143="",Pay!$AF143=0),"",Pay!$P143)</f>
        <v/>
      </c>
      <c r="F1477" s="83" t="n"/>
      <c r="G1477" s="83" t="n"/>
      <c r="H1477" s="83" t="n"/>
      <c r="I1477" s="83" t="n"/>
      <c r="J1477" s="83" t="n"/>
      <c r="K1477" s="82">
        <f>IF(OR(Pay!$AF143="",Pay!$AF143=0),"",Pay!$K143)</f>
        <v/>
      </c>
      <c r="L1477" s="82" t="n"/>
      <c r="M1477" s="82">
        <f>IF(OR(Pay!$AF143="",Pay!$AF143=0),"",Pay!$AG143)</f>
        <v/>
      </c>
      <c r="N1477" s="81">
        <f>IF(OR(Pay!$AF143="",Pay!$AF143=0),"",Pay!$D143&amp;" — "&amp;Pay!$E143)</f>
        <v/>
      </c>
      <c r="O1477" s="81">
        <f>IF(OR(Pay!$AF143="",Pay!$AF143=0),"",IFERROR(VLOOKUP(Pay!$AF143,AcctTbl,3,0),""))</f>
        <v/>
      </c>
      <c r="P1477" s="82">
        <f>IF(Pay!$AF143&lt;&gt;"X011","",IF(Pay!$I143="","",Pay!$I143))</f>
        <v/>
      </c>
    </row>
    <row r="1478" ht="20.25" customHeight="1">
      <c r="A1478" s="80">
        <f>IF(OR(Pay!$AD144="",Pay!$AD144=0),"",Pay!$B144)</f>
        <v/>
      </c>
      <c r="B1478" s="80">
        <f>IF(OR(Pay!$AD144="",Pay!$AD144=0),"",Pay!$C144)</f>
        <v/>
      </c>
      <c r="C1478" s="80">
        <f>IF(OR(Pay!$AD144="",Pay!$AD144=0),"","پرداخت")</f>
        <v/>
      </c>
      <c r="D1478" s="80">
        <f>IF(OR(Pay!$AD144="",Pay!$AD144=0),"",Pay!$AD144)</f>
        <v/>
      </c>
      <c r="E1478" s="81">
        <f>IF(OR(Pay!$AD144="",Pay!$AD144=0),"",Pay!$P144)</f>
        <v/>
      </c>
      <c r="F1478" s="83" t="n"/>
      <c r="G1478" s="83" t="n"/>
      <c r="H1478" s="83" t="n"/>
      <c r="I1478" s="83" t="n"/>
      <c r="J1478" s="83" t="n"/>
      <c r="K1478" s="82">
        <f>IF(OR(Pay!$AD144="",Pay!$AD144=0),"",Pay!$K144)</f>
        <v/>
      </c>
      <c r="L1478" s="82">
        <f>IF(OR(Pay!$AD144="",Pay!$AD144=0),"",Pay!$AE144)</f>
        <v/>
      </c>
      <c r="M1478" s="82" t="n"/>
      <c r="N1478" s="81">
        <f>IF(OR(Pay!$AD144="",Pay!$AD144=0),"",Pay!$D144&amp;" — "&amp;Pay!$E144)</f>
        <v/>
      </c>
      <c r="O1478" s="81">
        <f>IF(OR(Pay!$AD144="",Pay!$AD144=0),"",IFERROR(VLOOKUP(Pay!$AD144,AcctTbl,3,0),""))</f>
        <v/>
      </c>
      <c r="P1478" s="82">
        <f>IF(Pay!$AD144&lt;&gt;"X011","",IF(Pay!$I144="","",Pay!$I144))</f>
        <v/>
      </c>
    </row>
    <row r="1479" ht="20.25" customHeight="1">
      <c r="A1479" s="80">
        <f>IF(OR(Pay!$AF144="",Pay!$AF144=0),"",Pay!$B144)</f>
        <v/>
      </c>
      <c r="B1479" s="80">
        <f>IF(OR(Pay!$AF144="",Pay!$AF144=0),"",Pay!$C144)</f>
        <v/>
      </c>
      <c r="C1479" s="80">
        <f>IF(OR(Pay!$AF144="",Pay!$AF144=0),"","پرداخت")</f>
        <v/>
      </c>
      <c r="D1479" s="80">
        <f>IF(OR(Pay!$AF144="",Pay!$AF144=0),"",Pay!$AF144)</f>
        <v/>
      </c>
      <c r="E1479" s="81">
        <f>IF(OR(Pay!$AF144="",Pay!$AF144=0),"",Pay!$P144)</f>
        <v/>
      </c>
      <c r="F1479" s="83" t="n"/>
      <c r="G1479" s="83" t="n"/>
      <c r="H1479" s="83" t="n"/>
      <c r="I1479" s="83" t="n"/>
      <c r="J1479" s="83" t="n"/>
      <c r="K1479" s="82">
        <f>IF(OR(Pay!$AF144="",Pay!$AF144=0),"",Pay!$K144)</f>
        <v/>
      </c>
      <c r="L1479" s="82" t="n"/>
      <c r="M1479" s="82">
        <f>IF(OR(Pay!$AF144="",Pay!$AF144=0),"",Pay!$AG144)</f>
        <v/>
      </c>
      <c r="N1479" s="81">
        <f>IF(OR(Pay!$AF144="",Pay!$AF144=0),"",Pay!$D144&amp;" — "&amp;Pay!$E144)</f>
        <v/>
      </c>
      <c r="O1479" s="81">
        <f>IF(OR(Pay!$AF144="",Pay!$AF144=0),"",IFERROR(VLOOKUP(Pay!$AF144,AcctTbl,3,0),""))</f>
        <v/>
      </c>
      <c r="P1479" s="82">
        <f>IF(Pay!$AF144&lt;&gt;"X011","",IF(Pay!$I144="","",Pay!$I144))</f>
        <v/>
      </c>
    </row>
    <row r="1480" ht="20.25" customHeight="1">
      <c r="A1480" s="80">
        <f>IF(OR(Pay!$AD145="",Pay!$AD145=0),"",Pay!$B145)</f>
        <v/>
      </c>
      <c r="B1480" s="80">
        <f>IF(OR(Pay!$AD145="",Pay!$AD145=0),"",Pay!$C145)</f>
        <v/>
      </c>
      <c r="C1480" s="80">
        <f>IF(OR(Pay!$AD145="",Pay!$AD145=0),"","پرداخت")</f>
        <v/>
      </c>
      <c r="D1480" s="80">
        <f>IF(OR(Pay!$AD145="",Pay!$AD145=0),"",Pay!$AD145)</f>
        <v/>
      </c>
      <c r="E1480" s="81">
        <f>IF(OR(Pay!$AD145="",Pay!$AD145=0),"",Pay!$P145)</f>
        <v/>
      </c>
      <c r="F1480" s="83" t="n"/>
      <c r="G1480" s="83" t="n"/>
      <c r="H1480" s="83" t="n"/>
      <c r="I1480" s="83" t="n"/>
      <c r="J1480" s="83" t="n"/>
      <c r="K1480" s="82">
        <f>IF(OR(Pay!$AD145="",Pay!$AD145=0),"",Pay!$K145)</f>
        <v/>
      </c>
      <c r="L1480" s="82">
        <f>IF(OR(Pay!$AD145="",Pay!$AD145=0),"",Pay!$AE145)</f>
        <v/>
      </c>
      <c r="M1480" s="82" t="n"/>
      <c r="N1480" s="81">
        <f>IF(OR(Pay!$AD145="",Pay!$AD145=0),"",Pay!$D145&amp;" — "&amp;Pay!$E145)</f>
        <v/>
      </c>
      <c r="O1480" s="81">
        <f>IF(OR(Pay!$AD145="",Pay!$AD145=0),"",IFERROR(VLOOKUP(Pay!$AD145,AcctTbl,3,0),""))</f>
        <v/>
      </c>
      <c r="P1480" s="82">
        <f>IF(Pay!$AD145&lt;&gt;"X011","",IF(Pay!$I145="","",Pay!$I145))</f>
        <v/>
      </c>
    </row>
    <row r="1481" ht="20.25" customHeight="1">
      <c r="A1481" s="80">
        <f>IF(OR(Pay!$AF145="",Pay!$AF145=0),"",Pay!$B145)</f>
        <v/>
      </c>
      <c r="B1481" s="80">
        <f>IF(OR(Pay!$AF145="",Pay!$AF145=0),"",Pay!$C145)</f>
        <v/>
      </c>
      <c r="C1481" s="80">
        <f>IF(OR(Pay!$AF145="",Pay!$AF145=0),"","پرداخت")</f>
        <v/>
      </c>
      <c r="D1481" s="80">
        <f>IF(OR(Pay!$AF145="",Pay!$AF145=0),"",Pay!$AF145)</f>
        <v/>
      </c>
      <c r="E1481" s="81">
        <f>IF(OR(Pay!$AF145="",Pay!$AF145=0),"",Pay!$P145)</f>
        <v/>
      </c>
      <c r="F1481" s="83" t="n"/>
      <c r="G1481" s="83" t="n"/>
      <c r="H1481" s="83" t="n"/>
      <c r="I1481" s="83" t="n"/>
      <c r="J1481" s="83" t="n"/>
      <c r="K1481" s="82">
        <f>IF(OR(Pay!$AF145="",Pay!$AF145=0),"",Pay!$K145)</f>
        <v/>
      </c>
      <c r="L1481" s="82" t="n"/>
      <c r="M1481" s="82">
        <f>IF(OR(Pay!$AF145="",Pay!$AF145=0),"",Pay!$AG145)</f>
        <v/>
      </c>
      <c r="N1481" s="81">
        <f>IF(OR(Pay!$AF145="",Pay!$AF145=0),"",Pay!$D145&amp;" — "&amp;Pay!$E145)</f>
        <v/>
      </c>
      <c r="O1481" s="81">
        <f>IF(OR(Pay!$AF145="",Pay!$AF145=0),"",IFERROR(VLOOKUP(Pay!$AF145,AcctTbl,3,0),""))</f>
        <v/>
      </c>
      <c r="P1481" s="82">
        <f>IF(Pay!$AF145&lt;&gt;"X011","",IF(Pay!$I145="","",Pay!$I145))</f>
        <v/>
      </c>
    </row>
    <row r="1482" ht="20.25" customHeight="1">
      <c r="A1482" s="80">
        <f>IF(OR(Pay!$AD146="",Pay!$AD146=0),"",Pay!$B146)</f>
        <v/>
      </c>
      <c r="B1482" s="80">
        <f>IF(OR(Pay!$AD146="",Pay!$AD146=0),"",Pay!$C146)</f>
        <v/>
      </c>
      <c r="C1482" s="80">
        <f>IF(OR(Pay!$AD146="",Pay!$AD146=0),"","پرداخت")</f>
        <v/>
      </c>
      <c r="D1482" s="80">
        <f>IF(OR(Pay!$AD146="",Pay!$AD146=0),"",Pay!$AD146)</f>
        <v/>
      </c>
      <c r="E1482" s="81">
        <f>IF(OR(Pay!$AD146="",Pay!$AD146=0),"",Pay!$P146)</f>
        <v/>
      </c>
      <c r="F1482" s="83" t="n"/>
      <c r="G1482" s="83" t="n"/>
      <c r="H1482" s="83" t="n"/>
      <c r="I1482" s="83" t="n"/>
      <c r="J1482" s="83" t="n"/>
      <c r="K1482" s="82">
        <f>IF(OR(Pay!$AD146="",Pay!$AD146=0),"",Pay!$K146)</f>
        <v/>
      </c>
      <c r="L1482" s="82">
        <f>IF(OR(Pay!$AD146="",Pay!$AD146=0),"",Pay!$AE146)</f>
        <v/>
      </c>
      <c r="M1482" s="82" t="n"/>
      <c r="N1482" s="81">
        <f>IF(OR(Pay!$AD146="",Pay!$AD146=0),"",Pay!$D146&amp;" — "&amp;Pay!$E146)</f>
        <v/>
      </c>
      <c r="O1482" s="81">
        <f>IF(OR(Pay!$AD146="",Pay!$AD146=0),"",IFERROR(VLOOKUP(Pay!$AD146,AcctTbl,3,0),""))</f>
        <v/>
      </c>
      <c r="P1482" s="82">
        <f>IF(Pay!$AD146&lt;&gt;"X011","",IF(Pay!$I146="","",Pay!$I146))</f>
        <v/>
      </c>
    </row>
    <row r="1483" ht="20.25" customHeight="1">
      <c r="A1483" s="80">
        <f>IF(OR(Pay!$AF146="",Pay!$AF146=0),"",Pay!$B146)</f>
        <v/>
      </c>
      <c r="B1483" s="80">
        <f>IF(OR(Pay!$AF146="",Pay!$AF146=0),"",Pay!$C146)</f>
        <v/>
      </c>
      <c r="C1483" s="80">
        <f>IF(OR(Pay!$AF146="",Pay!$AF146=0),"","پرداخت")</f>
        <v/>
      </c>
      <c r="D1483" s="80">
        <f>IF(OR(Pay!$AF146="",Pay!$AF146=0),"",Pay!$AF146)</f>
        <v/>
      </c>
      <c r="E1483" s="81">
        <f>IF(OR(Pay!$AF146="",Pay!$AF146=0),"",Pay!$P146)</f>
        <v/>
      </c>
      <c r="F1483" s="83" t="n"/>
      <c r="G1483" s="83" t="n"/>
      <c r="H1483" s="83" t="n"/>
      <c r="I1483" s="83" t="n"/>
      <c r="J1483" s="83" t="n"/>
      <c r="K1483" s="82">
        <f>IF(OR(Pay!$AF146="",Pay!$AF146=0),"",Pay!$K146)</f>
        <v/>
      </c>
      <c r="L1483" s="82" t="n"/>
      <c r="M1483" s="82">
        <f>IF(OR(Pay!$AF146="",Pay!$AF146=0),"",Pay!$AG146)</f>
        <v/>
      </c>
      <c r="N1483" s="81">
        <f>IF(OR(Pay!$AF146="",Pay!$AF146=0),"",Pay!$D146&amp;" — "&amp;Pay!$E146)</f>
        <v/>
      </c>
      <c r="O1483" s="81">
        <f>IF(OR(Pay!$AF146="",Pay!$AF146=0),"",IFERROR(VLOOKUP(Pay!$AF146,AcctTbl,3,0),""))</f>
        <v/>
      </c>
      <c r="P1483" s="82">
        <f>IF(Pay!$AF146&lt;&gt;"X011","",IF(Pay!$I146="","",Pay!$I146))</f>
        <v/>
      </c>
    </row>
    <row r="1484" ht="20.25" customHeight="1">
      <c r="A1484" s="80">
        <f>IF(OR(Pay!$AD147="",Pay!$AD147=0),"",Pay!$B147)</f>
        <v/>
      </c>
      <c r="B1484" s="80">
        <f>IF(OR(Pay!$AD147="",Pay!$AD147=0),"",Pay!$C147)</f>
        <v/>
      </c>
      <c r="C1484" s="80">
        <f>IF(OR(Pay!$AD147="",Pay!$AD147=0),"","پرداخت")</f>
        <v/>
      </c>
      <c r="D1484" s="80">
        <f>IF(OR(Pay!$AD147="",Pay!$AD147=0),"",Pay!$AD147)</f>
        <v/>
      </c>
      <c r="E1484" s="81">
        <f>IF(OR(Pay!$AD147="",Pay!$AD147=0),"",Pay!$P147)</f>
        <v/>
      </c>
      <c r="F1484" s="83" t="n"/>
      <c r="G1484" s="83" t="n"/>
      <c r="H1484" s="83" t="n"/>
      <c r="I1484" s="83" t="n"/>
      <c r="J1484" s="83" t="n"/>
      <c r="K1484" s="82">
        <f>IF(OR(Pay!$AD147="",Pay!$AD147=0),"",Pay!$K147)</f>
        <v/>
      </c>
      <c r="L1484" s="82">
        <f>IF(OR(Pay!$AD147="",Pay!$AD147=0),"",Pay!$AE147)</f>
        <v/>
      </c>
      <c r="M1484" s="82" t="n"/>
      <c r="N1484" s="81">
        <f>IF(OR(Pay!$AD147="",Pay!$AD147=0),"",Pay!$D147&amp;" — "&amp;Pay!$E147)</f>
        <v/>
      </c>
      <c r="O1484" s="81">
        <f>IF(OR(Pay!$AD147="",Pay!$AD147=0),"",IFERROR(VLOOKUP(Pay!$AD147,AcctTbl,3,0),""))</f>
        <v/>
      </c>
      <c r="P1484" s="82">
        <f>IF(Pay!$AD147&lt;&gt;"X011","",IF(Pay!$I147="","",Pay!$I147))</f>
        <v/>
      </c>
    </row>
    <row r="1485" ht="20.25" customHeight="1">
      <c r="A1485" s="80">
        <f>IF(OR(Pay!$AF147="",Pay!$AF147=0),"",Pay!$B147)</f>
        <v/>
      </c>
      <c r="B1485" s="80">
        <f>IF(OR(Pay!$AF147="",Pay!$AF147=0),"",Pay!$C147)</f>
        <v/>
      </c>
      <c r="C1485" s="80">
        <f>IF(OR(Pay!$AF147="",Pay!$AF147=0),"","پرداخت")</f>
        <v/>
      </c>
      <c r="D1485" s="80">
        <f>IF(OR(Pay!$AF147="",Pay!$AF147=0),"",Pay!$AF147)</f>
        <v/>
      </c>
      <c r="E1485" s="81">
        <f>IF(OR(Pay!$AF147="",Pay!$AF147=0),"",Pay!$P147)</f>
        <v/>
      </c>
      <c r="F1485" s="83" t="n"/>
      <c r="G1485" s="83" t="n"/>
      <c r="H1485" s="83" t="n"/>
      <c r="I1485" s="83" t="n"/>
      <c r="J1485" s="83" t="n"/>
      <c r="K1485" s="82">
        <f>IF(OR(Pay!$AF147="",Pay!$AF147=0),"",Pay!$K147)</f>
        <v/>
      </c>
      <c r="L1485" s="82" t="n"/>
      <c r="M1485" s="82">
        <f>IF(OR(Pay!$AF147="",Pay!$AF147=0),"",Pay!$AG147)</f>
        <v/>
      </c>
      <c r="N1485" s="81">
        <f>IF(OR(Pay!$AF147="",Pay!$AF147=0),"",Pay!$D147&amp;" — "&amp;Pay!$E147)</f>
        <v/>
      </c>
      <c r="O1485" s="81">
        <f>IF(OR(Pay!$AF147="",Pay!$AF147=0),"",IFERROR(VLOOKUP(Pay!$AF147,AcctTbl,3,0),""))</f>
        <v/>
      </c>
      <c r="P1485" s="82">
        <f>IF(Pay!$AF147&lt;&gt;"X011","",IF(Pay!$I147="","",Pay!$I147))</f>
        <v/>
      </c>
    </row>
    <row r="1486" ht="20.25" customHeight="1">
      <c r="A1486" s="80">
        <f>IF(OR(Pay!$AD148="",Pay!$AD148=0),"",Pay!$B148)</f>
        <v/>
      </c>
      <c r="B1486" s="80">
        <f>IF(OR(Pay!$AD148="",Pay!$AD148=0),"",Pay!$C148)</f>
        <v/>
      </c>
      <c r="C1486" s="80">
        <f>IF(OR(Pay!$AD148="",Pay!$AD148=0),"","پرداخت")</f>
        <v/>
      </c>
      <c r="D1486" s="80">
        <f>IF(OR(Pay!$AD148="",Pay!$AD148=0),"",Pay!$AD148)</f>
        <v/>
      </c>
      <c r="E1486" s="81">
        <f>IF(OR(Pay!$AD148="",Pay!$AD148=0),"",Pay!$P148)</f>
        <v/>
      </c>
      <c r="F1486" s="83" t="n"/>
      <c r="G1486" s="83" t="n"/>
      <c r="H1486" s="83" t="n"/>
      <c r="I1486" s="83" t="n"/>
      <c r="J1486" s="83" t="n"/>
      <c r="K1486" s="82">
        <f>IF(OR(Pay!$AD148="",Pay!$AD148=0),"",Pay!$K148)</f>
        <v/>
      </c>
      <c r="L1486" s="82">
        <f>IF(OR(Pay!$AD148="",Pay!$AD148=0),"",Pay!$AE148)</f>
        <v/>
      </c>
      <c r="M1486" s="82" t="n"/>
      <c r="N1486" s="81">
        <f>IF(OR(Pay!$AD148="",Pay!$AD148=0),"",Pay!$D148&amp;" — "&amp;Pay!$E148)</f>
        <v/>
      </c>
      <c r="O1486" s="81">
        <f>IF(OR(Pay!$AD148="",Pay!$AD148=0),"",IFERROR(VLOOKUP(Pay!$AD148,AcctTbl,3,0),""))</f>
        <v/>
      </c>
      <c r="P1486" s="82">
        <f>IF(Pay!$AD148&lt;&gt;"X011","",IF(Pay!$I148="","",Pay!$I148))</f>
        <v/>
      </c>
    </row>
    <row r="1487" ht="20.25" customHeight="1">
      <c r="A1487" s="80">
        <f>IF(OR(Pay!$AF148="",Pay!$AF148=0),"",Pay!$B148)</f>
        <v/>
      </c>
      <c r="B1487" s="80">
        <f>IF(OR(Pay!$AF148="",Pay!$AF148=0),"",Pay!$C148)</f>
        <v/>
      </c>
      <c r="C1487" s="80">
        <f>IF(OR(Pay!$AF148="",Pay!$AF148=0),"","پرداخت")</f>
        <v/>
      </c>
      <c r="D1487" s="80">
        <f>IF(OR(Pay!$AF148="",Pay!$AF148=0),"",Pay!$AF148)</f>
        <v/>
      </c>
      <c r="E1487" s="81">
        <f>IF(OR(Pay!$AF148="",Pay!$AF148=0),"",Pay!$P148)</f>
        <v/>
      </c>
      <c r="F1487" s="83" t="n"/>
      <c r="G1487" s="83" t="n"/>
      <c r="H1487" s="83" t="n"/>
      <c r="I1487" s="83" t="n"/>
      <c r="J1487" s="83" t="n"/>
      <c r="K1487" s="82">
        <f>IF(OR(Pay!$AF148="",Pay!$AF148=0),"",Pay!$K148)</f>
        <v/>
      </c>
      <c r="L1487" s="82" t="n"/>
      <c r="M1487" s="82">
        <f>IF(OR(Pay!$AF148="",Pay!$AF148=0),"",Pay!$AG148)</f>
        <v/>
      </c>
      <c r="N1487" s="81">
        <f>IF(OR(Pay!$AF148="",Pay!$AF148=0),"",Pay!$D148&amp;" — "&amp;Pay!$E148)</f>
        <v/>
      </c>
      <c r="O1487" s="81">
        <f>IF(OR(Pay!$AF148="",Pay!$AF148=0),"",IFERROR(VLOOKUP(Pay!$AF148,AcctTbl,3,0),""))</f>
        <v/>
      </c>
      <c r="P1487" s="82">
        <f>IF(Pay!$AF148&lt;&gt;"X011","",IF(Pay!$I148="","",Pay!$I148))</f>
        <v/>
      </c>
    </row>
    <row r="1488" ht="20.25" customHeight="1">
      <c r="A1488" s="80">
        <f>IF(OR(Pay!$AD149="",Pay!$AD149=0),"",Pay!$B149)</f>
        <v/>
      </c>
      <c r="B1488" s="80">
        <f>IF(OR(Pay!$AD149="",Pay!$AD149=0),"",Pay!$C149)</f>
        <v/>
      </c>
      <c r="C1488" s="80">
        <f>IF(OR(Pay!$AD149="",Pay!$AD149=0),"","پرداخت")</f>
        <v/>
      </c>
      <c r="D1488" s="80">
        <f>IF(OR(Pay!$AD149="",Pay!$AD149=0),"",Pay!$AD149)</f>
        <v/>
      </c>
      <c r="E1488" s="81">
        <f>IF(OR(Pay!$AD149="",Pay!$AD149=0),"",Pay!$P149)</f>
        <v/>
      </c>
      <c r="F1488" s="83" t="n"/>
      <c r="G1488" s="83" t="n"/>
      <c r="H1488" s="83" t="n"/>
      <c r="I1488" s="83" t="n"/>
      <c r="J1488" s="83" t="n"/>
      <c r="K1488" s="82">
        <f>IF(OR(Pay!$AD149="",Pay!$AD149=0),"",Pay!$K149)</f>
        <v/>
      </c>
      <c r="L1488" s="82">
        <f>IF(OR(Pay!$AD149="",Pay!$AD149=0),"",Pay!$AE149)</f>
        <v/>
      </c>
      <c r="M1488" s="82" t="n"/>
      <c r="N1488" s="81">
        <f>IF(OR(Pay!$AD149="",Pay!$AD149=0),"",Pay!$D149&amp;" — "&amp;Pay!$E149)</f>
        <v/>
      </c>
      <c r="O1488" s="81">
        <f>IF(OR(Pay!$AD149="",Pay!$AD149=0),"",IFERROR(VLOOKUP(Pay!$AD149,AcctTbl,3,0),""))</f>
        <v/>
      </c>
      <c r="P1488" s="82">
        <f>IF(Pay!$AD149&lt;&gt;"X011","",IF(Pay!$I149="","",Pay!$I149))</f>
        <v/>
      </c>
    </row>
    <row r="1489" ht="20.25" customHeight="1">
      <c r="A1489" s="80">
        <f>IF(OR(Pay!$AF149="",Pay!$AF149=0),"",Pay!$B149)</f>
        <v/>
      </c>
      <c r="B1489" s="80">
        <f>IF(OR(Pay!$AF149="",Pay!$AF149=0),"",Pay!$C149)</f>
        <v/>
      </c>
      <c r="C1489" s="80">
        <f>IF(OR(Pay!$AF149="",Pay!$AF149=0),"","پرداخت")</f>
        <v/>
      </c>
      <c r="D1489" s="80">
        <f>IF(OR(Pay!$AF149="",Pay!$AF149=0),"",Pay!$AF149)</f>
        <v/>
      </c>
      <c r="E1489" s="81">
        <f>IF(OR(Pay!$AF149="",Pay!$AF149=0),"",Pay!$P149)</f>
        <v/>
      </c>
      <c r="F1489" s="83" t="n"/>
      <c r="G1489" s="83" t="n"/>
      <c r="H1489" s="83" t="n"/>
      <c r="I1489" s="83" t="n"/>
      <c r="J1489" s="83" t="n"/>
      <c r="K1489" s="82">
        <f>IF(OR(Pay!$AF149="",Pay!$AF149=0),"",Pay!$K149)</f>
        <v/>
      </c>
      <c r="L1489" s="82" t="n"/>
      <c r="M1489" s="82">
        <f>IF(OR(Pay!$AF149="",Pay!$AF149=0),"",Pay!$AG149)</f>
        <v/>
      </c>
      <c r="N1489" s="81">
        <f>IF(OR(Pay!$AF149="",Pay!$AF149=0),"",Pay!$D149&amp;" — "&amp;Pay!$E149)</f>
        <v/>
      </c>
      <c r="O1489" s="81">
        <f>IF(OR(Pay!$AF149="",Pay!$AF149=0),"",IFERROR(VLOOKUP(Pay!$AF149,AcctTbl,3,0),""))</f>
        <v/>
      </c>
      <c r="P1489" s="82">
        <f>IF(Pay!$AF149&lt;&gt;"X011","",IF(Pay!$I149="","",Pay!$I149))</f>
        <v/>
      </c>
    </row>
    <row r="1490" ht="20.25" customHeight="1">
      <c r="A1490" s="80">
        <f>IF(OR(Pay!$AD150="",Pay!$AD150=0),"",Pay!$B150)</f>
        <v/>
      </c>
      <c r="B1490" s="80">
        <f>IF(OR(Pay!$AD150="",Pay!$AD150=0),"",Pay!$C150)</f>
        <v/>
      </c>
      <c r="C1490" s="80">
        <f>IF(OR(Pay!$AD150="",Pay!$AD150=0),"","پرداخت")</f>
        <v/>
      </c>
      <c r="D1490" s="80">
        <f>IF(OR(Pay!$AD150="",Pay!$AD150=0),"",Pay!$AD150)</f>
        <v/>
      </c>
      <c r="E1490" s="81">
        <f>IF(OR(Pay!$AD150="",Pay!$AD150=0),"",Pay!$P150)</f>
        <v/>
      </c>
      <c r="F1490" s="83" t="n"/>
      <c r="G1490" s="83" t="n"/>
      <c r="H1490" s="83" t="n"/>
      <c r="I1490" s="83" t="n"/>
      <c r="J1490" s="83" t="n"/>
      <c r="K1490" s="82">
        <f>IF(OR(Pay!$AD150="",Pay!$AD150=0),"",Pay!$K150)</f>
        <v/>
      </c>
      <c r="L1490" s="82">
        <f>IF(OR(Pay!$AD150="",Pay!$AD150=0),"",Pay!$AE150)</f>
        <v/>
      </c>
      <c r="M1490" s="82" t="n"/>
      <c r="N1490" s="81">
        <f>IF(OR(Pay!$AD150="",Pay!$AD150=0),"",Pay!$D150&amp;" — "&amp;Pay!$E150)</f>
        <v/>
      </c>
      <c r="O1490" s="81">
        <f>IF(OR(Pay!$AD150="",Pay!$AD150=0),"",IFERROR(VLOOKUP(Pay!$AD150,AcctTbl,3,0),""))</f>
        <v/>
      </c>
      <c r="P1490" s="82">
        <f>IF(Pay!$AD150&lt;&gt;"X011","",IF(Pay!$I150="","",Pay!$I150))</f>
        <v/>
      </c>
    </row>
    <row r="1491" ht="20.25" customHeight="1">
      <c r="A1491" s="80">
        <f>IF(OR(Pay!$AF150="",Pay!$AF150=0),"",Pay!$B150)</f>
        <v/>
      </c>
      <c r="B1491" s="80">
        <f>IF(OR(Pay!$AF150="",Pay!$AF150=0),"",Pay!$C150)</f>
        <v/>
      </c>
      <c r="C1491" s="80">
        <f>IF(OR(Pay!$AF150="",Pay!$AF150=0),"","پرداخت")</f>
        <v/>
      </c>
      <c r="D1491" s="80">
        <f>IF(OR(Pay!$AF150="",Pay!$AF150=0),"",Pay!$AF150)</f>
        <v/>
      </c>
      <c r="E1491" s="81">
        <f>IF(OR(Pay!$AF150="",Pay!$AF150=0),"",Pay!$P150)</f>
        <v/>
      </c>
      <c r="F1491" s="83" t="n"/>
      <c r="G1491" s="83" t="n"/>
      <c r="H1491" s="83" t="n"/>
      <c r="I1491" s="83" t="n"/>
      <c r="J1491" s="83" t="n"/>
      <c r="K1491" s="82">
        <f>IF(OR(Pay!$AF150="",Pay!$AF150=0),"",Pay!$K150)</f>
        <v/>
      </c>
      <c r="L1491" s="82" t="n"/>
      <c r="M1491" s="82">
        <f>IF(OR(Pay!$AF150="",Pay!$AF150=0),"",Pay!$AG150)</f>
        <v/>
      </c>
      <c r="N1491" s="81">
        <f>IF(OR(Pay!$AF150="",Pay!$AF150=0),"",Pay!$D150&amp;" — "&amp;Pay!$E150)</f>
        <v/>
      </c>
      <c r="O1491" s="81">
        <f>IF(OR(Pay!$AF150="",Pay!$AF150=0),"",IFERROR(VLOOKUP(Pay!$AF150,AcctTbl,3,0),""))</f>
        <v/>
      </c>
      <c r="P1491" s="82">
        <f>IF(Pay!$AF150&lt;&gt;"X011","",IF(Pay!$I150="","",Pay!$I150))</f>
        <v/>
      </c>
    </row>
    <row r="1492" ht="20.25" customHeight="1">
      <c r="A1492" s="80">
        <f>IF(OR(Pay!$AD151="",Pay!$AD151=0),"",Pay!$B151)</f>
        <v/>
      </c>
      <c r="B1492" s="80">
        <f>IF(OR(Pay!$AD151="",Pay!$AD151=0),"",Pay!$C151)</f>
        <v/>
      </c>
      <c r="C1492" s="80">
        <f>IF(OR(Pay!$AD151="",Pay!$AD151=0),"","پرداخت")</f>
        <v/>
      </c>
      <c r="D1492" s="80">
        <f>IF(OR(Pay!$AD151="",Pay!$AD151=0),"",Pay!$AD151)</f>
        <v/>
      </c>
      <c r="E1492" s="81">
        <f>IF(OR(Pay!$AD151="",Pay!$AD151=0),"",Pay!$P151)</f>
        <v/>
      </c>
      <c r="F1492" s="83" t="n"/>
      <c r="G1492" s="83" t="n"/>
      <c r="H1492" s="83" t="n"/>
      <c r="I1492" s="83" t="n"/>
      <c r="J1492" s="83" t="n"/>
      <c r="K1492" s="82">
        <f>IF(OR(Pay!$AD151="",Pay!$AD151=0),"",Pay!$K151)</f>
        <v/>
      </c>
      <c r="L1492" s="82">
        <f>IF(OR(Pay!$AD151="",Pay!$AD151=0),"",Pay!$AE151)</f>
        <v/>
      </c>
      <c r="M1492" s="82" t="n"/>
      <c r="N1492" s="81">
        <f>IF(OR(Pay!$AD151="",Pay!$AD151=0),"",Pay!$D151&amp;" — "&amp;Pay!$E151)</f>
        <v/>
      </c>
      <c r="O1492" s="81">
        <f>IF(OR(Pay!$AD151="",Pay!$AD151=0),"",IFERROR(VLOOKUP(Pay!$AD151,AcctTbl,3,0),""))</f>
        <v/>
      </c>
      <c r="P1492" s="82">
        <f>IF(Pay!$AD151&lt;&gt;"X011","",IF(Pay!$I151="","",Pay!$I151))</f>
        <v/>
      </c>
    </row>
    <row r="1493" ht="20.25" customHeight="1">
      <c r="A1493" s="80">
        <f>IF(OR(Pay!$AF151="",Pay!$AF151=0),"",Pay!$B151)</f>
        <v/>
      </c>
      <c r="B1493" s="80">
        <f>IF(OR(Pay!$AF151="",Pay!$AF151=0),"",Pay!$C151)</f>
        <v/>
      </c>
      <c r="C1493" s="80">
        <f>IF(OR(Pay!$AF151="",Pay!$AF151=0),"","پرداخت")</f>
        <v/>
      </c>
      <c r="D1493" s="80">
        <f>IF(OR(Pay!$AF151="",Pay!$AF151=0),"",Pay!$AF151)</f>
        <v/>
      </c>
      <c r="E1493" s="81">
        <f>IF(OR(Pay!$AF151="",Pay!$AF151=0),"",Pay!$P151)</f>
        <v/>
      </c>
      <c r="F1493" s="83" t="n"/>
      <c r="G1493" s="83" t="n"/>
      <c r="H1493" s="83" t="n"/>
      <c r="I1493" s="83" t="n"/>
      <c r="J1493" s="83" t="n"/>
      <c r="K1493" s="82">
        <f>IF(OR(Pay!$AF151="",Pay!$AF151=0),"",Pay!$K151)</f>
        <v/>
      </c>
      <c r="L1493" s="82" t="n"/>
      <c r="M1493" s="82">
        <f>IF(OR(Pay!$AF151="",Pay!$AF151=0),"",Pay!$AG151)</f>
        <v/>
      </c>
      <c r="N1493" s="81">
        <f>IF(OR(Pay!$AF151="",Pay!$AF151=0),"",Pay!$D151&amp;" — "&amp;Pay!$E151)</f>
        <v/>
      </c>
      <c r="O1493" s="81">
        <f>IF(OR(Pay!$AF151="",Pay!$AF151=0),"",IFERROR(VLOOKUP(Pay!$AF151,AcctTbl,3,0),""))</f>
        <v/>
      </c>
      <c r="P1493" s="82">
        <f>IF(Pay!$AF151&lt;&gt;"X011","",IF(Pay!$I151="","",Pay!$I151))</f>
        <v/>
      </c>
    </row>
    <row r="1494" ht="20.25" customHeight="1">
      <c r="A1494" s="80">
        <f>IF(OR(Pay!$AD152="",Pay!$AD152=0),"",Pay!$B152)</f>
        <v/>
      </c>
      <c r="B1494" s="80">
        <f>IF(OR(Pay!$AD152="",Pay!$AD152=0),"",Pay!$C152)</f>
        <v/>
      </c>
      <c r="C1494" s="80">
        <f>IF(OR(Pay!$AD152="",Pay!$AD152=0),"","پرداخت")</f>
        <v/>
      </c>
      <c r="D1494" s="80">
        <f>IF(OR(Pay!$AD152="",Pay!$AD152=0),"",Pay!$AD152)</f>
        <v/>
      </c>
      <c r="E1494" s="81">
        <f>IF(OR(Pay!$AD152="",Pay!$AD152=0),"",Pay!$P152)</f>
        <v/>
      </c>
      <c r="F1494" s="83" t="n"/>
      <c r="G1494" s="83" t="n"/>
      <c r="H1494" s="83" t="n"/>
      <c r="I1494" s="83" t="n"/>
      <c r="J1494" s="83" t="n"/>
      <c r="K1494" s="82">
        <f>IF(OR(Pay!$AD152="",Pay!$AD152=0),"",Pay!$K152)</f>
        <v/>
      </c>
      <c r="L1494" s="82">
        <f>IF(OR(Pay!$AD152="",Pay!$AD152=0),"",Pay!$AE152)</f>
        <v/>
      </c>
      <c r="M1494" s="82" t="n"/>
      <c r="N1494" s="81">
        <f>IF(OR(Pay!$AD152="",Pay!$AD152=0),"",Pay!$D152&amp;" — "&amp;Pay!$E152)</f>
        <v/>
      </c>
      <c r="O1494" s="81">
        <f>IF(OR(Pay!$AD152="",Pay!$AD152=0),"",IFERROR(VLOOKUP(Pay!$AD152,AcctTbl,3,0),""))</f>
        <v/>
      </c>
      <c r="P1494" s="82">
        <f>IF(Pay!$AD152&lt;&gt;"X011","",IF(Pay!$I152="","",Pay!$I152))</f>
        <v/>
      </c>
    </row>
    <row r="1495" ht="20.25" customHeight="1">
      <c r="A1495" s="80">
        <f>IF(OR(Pay!$AF152="",Pay!$AF152=0),"",Pay!$B152)</f>
        <v/>
      </c>
      <c r="B1495" s="80">
        <f>IF(OR(Pay!$AF152="",Pay!$AF152=0),"",Pay!$C152)</f>
        <v/>
      </c>
      <c r="C1495" s="80">
        <f>IF(OR(Pay!$AF152="",Pay!$AF152=0),"","پرداخت")</f>
        <v/>
      </c>
      <c r="D1495" s="80">
        <f>IF(OR(Pay!$AF152="",Pay!$AF152=0),"",Pay!$AF152)</f>
        <v/>
      </c>
      <c r="E1495" s="81">
        <f>IF(OR(Pay!$AF152="",Pay!$AF152=0),"",Pay!$P152)</f>
        <v/>
      </c>
      <c r="F1495" s="83" t="n"/>
      <c r="G1495" s="83" t="n"/>
      <c r="H1495" s="83" t="n"/>
      <c r="I1495" s="83" t="n"/>
      <c r="J1495" s="83" t="n"/>
      <c r="K1495" s="82">
        <f>IF(OR(Pay!$AF152="",Pay!$AF152=0),"",Pay!$K152)</f>
        <v/>
      </c>
      <c r="L1495" s="82" t="n"/>
      <c r="M1495" s="82">
        <f>IF(OR(Pay!$AF152="",Pay!$AF152=0),"",Pay!$AG152)</f>
        <v/>
      </c>
      <c r="N1495" s="81">
        <f>IF(OR(Pay!$AF152="",Pay!$AF152=0),"",Pay!$D152&amp;" — "&amp;Pay!$E152)</f>
        <v/>
      </c>
      <c r="O1495" s="81">
        <f>IF(OR(Pay!$AF152="",Pay!$AF152=0),"",IFERROR(VLOOKUP(Pay!$AF152,AcctTbl,3,0),""))</f>
        <v/>
      </c>
      <c r="P1495" s="82">
        <f>IF(Pay!$AF152&lt;&gt;"X011","",IF(Pay!$I152="","",Pay!$I152))</f>
        <v/>
      </c>
    </row>
    <row r="1496" ht="20.25" customHeight="1">
      <c r="A1496" s="80">
        <f>IF(OR(Pay!$AD153="",Pay!$AD153=0),"",Pay!$B153)</f>
        <v/>
      </c>
      <c r="B1496" s="80">
        <f>IF(OR(Pay!$AD153="",Pay!$AD153=0),"",Pay!$C153)</f>
        <v/>
      </c>
      <c r="C1496" s="80">
        <f>IF(OR(Pay!$AD153="",Pay!$AD153=0),"","پرداخت")</f>
        <v/>
      </c>
      <c r="D1496" s="80">
        <f>IF(OR(Pay!$AD153="",Pay!$AD153=0),"",Pay!$AD153)</f>
        <v/>
      </c>
      <c r="E1496" s="81">
        <f>IF(OR(Pay!$AD153="",Pay!$AD153=0),"",Pay!$P153)</f>
        <v/>
      </c>
      <c r="F1496" s="83" t="n"/>
      <c r="G1496" s="83" t="n"/>
      <c r="H1496" s="83" t="n"/>
      <c r="I1496" s="83" t="n"/>
      <c r="J1496" s="83" t="n"/>
      <c r="K1496" s="82">
        <f>IF(OR(Pay!$AD153="",Pay!$AD153=0),"",Pay!$K153)</f>
        <v/>
      </c>
      <c r="L1496" s="82">
        <f>IF(OR(Pay!$AD153="",Pay!$AD153=0),"",Pay!$AE153)</f>
        <v/>
      </c>
      <c r="M1496" s="82" t="n"/>
      <c r="N1496" s="81">
        <f>IF(OR(Pay!$AD153="",Pay!$AD153=0),"",Pay!$D153&amp;" — "&amp;Pay!$E153)</f>
        <v/>
      </c>
      <c r="O1496" s="81">
        <f>IF(OR(Pay!$AD153="",Pay!$AD153=0),"",IFERROR(VLOOKUP(Pay!$AD153,AcctTbl,3,0),""))</f>
        <v/>
      </c>
      <c r="P1496" s="82">
        <f>IF(Pay!$AD153&lt;&gt;"X011","",IF(Pay!$I153="","",Pay!$I153))</f>
        <v/>
      </c>
    </row>
    <row r="1497" ht="20.25" customHeight="1">
      <c r="A1497" s="80">
        <f>IF(OR(Pay!$AF153="",Pay!$AF153=0),"",Pay!$B153)</f>
        <v/>
      </c>
      <c r="B1497" s="80">
        <f>IF(OR(Pay!$AF153="",Pay!$AF153=0),"",Pay!$C153)</f>
        <v/>
      </c>
      <c r="C1497" s="80">
        <f>IF(OR(Pay!$AF153="",Pay!$AF153=0),"","پرداخت")</f>
        <v/>
      </c>
      <c r="D1497" s="80">
        <f>IF(OR(Pay!$AF153="",Pay!$AF153=0),"",Pay!$AF153)</f>
        <v/>
      </c>
      <c r="E1497" s="81">
        <f>IF(OR(Pay!$AF153="",Pay!$AF153=0),"",Pay!$P153)</f>
        <v/>
      </c>
      <c r="F1497" s="83" t="n"/>
      <c r="G1497" s="83" t="n"/>
      <c r="H1497" s="83" t="n"/>
      <c r="I1497" s="83" t="n"/>
      <c r="J1497" s="83" t="n"/>
      <c r="K1497" s="82">
        <f>IF(OR(Pay!$AF153="",Pay!$AF153=0),"",Pay!$K153)</f>
        <v/>
      </c>
      <c r="L1497" s="82" t="n"/>
      <c r="M1497" s="82">
        <f>IF(OR(Pay!$AF153="",Pay!$AF153=0),"",Pay!$AG153)</f>
        <v/>
      </c>
      <c r="N1497" s="81">
        <f>IF(OR(Pay!$AF153="",Pay!$AF153=0),"",Pay!$D153&amp;" — "&amp;Pay!$E153)</f>
        <v/>
      </c>
      <c r="O1497" s="81">
        <f>IF(OR(Pay!$AF153="",Pay!$AF153=0),"",IFERROR(VLOOKUP(Pay!$AF153,AcctTbl,3,0),""))</f>
        <v/>
      </c>
      <c r="P1497" s="82">
        <f>IF(Pay!$AF153&lt;&gt;"X011","",IF(Pay!$I153="","",Pay!$I153))</f>
        <v/>
      </c>
    </row>
    <row r="1498" ht="20.25" customHeight="1">
      <c r="A1498" s="80">
        <f>IF(OR(Pay!$AD154="",Pay!$AD154=0),"",Pay!$B154)</f>
        <v/>
      </c>
      <c r="B1498" s="80">
        <f>IF(OR(Pay!$AD154="",Pay!$AD154=0),"",Pay!$C154)</f>
        <v/>
      </c>
      <c r="C1498" s="80">
        <f>IF(OR(Pay!$AD154="",Pay!$AD154=0),"","پرداخت")</f>
        <v/>
      </c>
      <c r="D1498" s="80">
        <f>IF(OR(Pay!$AD154="",Pay!$AD154=0),"",Pay!$AD154)</f>
        <v/>
      </c>
      <c r="E1498" s="81">
        <f>IF(OR(Pay!$AD154="",Pay!$AD154=0),"",Pay!$P154)</f>
        <v/>
      </c>
      <c r="F1498" s="83" t="n"/>
      <c r="G1498" s="83" t="n"/>
      <c r="H1498" s="83" t="n"/>
      <c r="I1498" s="83" t="n"/>
      <c r="J1498" s="83" t="n"/>
      <c r="K1498" s="82">
        <f>IF(OR(Pay!$AD154="",Pay!$AD154=0),"",Pay!$K154)</f>
        <v/>
      </c>
      <c r="L1498" s="82">
        <f>IF(OR(Pay!$AD154="",Pay!$AD154=0),"",Pay!$AE154)</f>
        <v/>
      </c>
      <c r="M1498" s="82" t="n"/>
      <c r="N1498" s="81">
        <f>IF(OR(Pay!$AD154="",Pay!$AD154=0),"",Pay!$D154&amp;" — "&amp;Pay!$E154)</f>
        <v/>
      </c>
      <c r="O1498" s="81">
        <f>IF(OR(Pay!$AD154="",Pay!$AD154=0),"",IFERROR(VLOOKUP(Pay!$AD154,AcctTbl,3,0),""))</f>
        <v/>
      </c>
      <c r="P1498" s="82">
        <f>IF(Pay!$AD154&lt;&gt;"X011","",IF(Pay!$I154="","",Pay!$I154))</f>
        <v/>
      </c>
    </row>
    <row r="1499" ht="20.25" customHeight="1">
      <c r="A1499" s="80">
        <f>IF(OR(Pay!$AF154="",Pay!$AF154=0),"",Pay!$B154)</f>
        <v/>
      </c>
      <c r="B1499" s="80">
        <f>IF(OR(Pay!$AF154="",Pay!$AF154=0),"",Pay!$C154)</f>
        <v/>
      </c>
      <c r="C1499" s="80">
        <f>IF(OR(Pay!$AF154="",Pay!$AF154=0),"","پرداخت")</f>
        <v/>
      </c>
      <c r="D1499" s="80">
        <f>IF(OR(Pay!$AF154="",Pay!$AF154=0),"",Pay!$AF154)</f>
        <v/>
      </c>
      <c r="E1499" s="81">
        <f>IF(OR(Pay!$AF154="",Pay!$AF154=0),"",Pay!$P154)</f>
        <v/>
      </c>
      <c r="F1499" s="83" t="n"/>
      <c r="G1499" s="83" t="n"/>
      <c r="H1499" s="83" t="n"/>
      <c r="I1499" s="83" t="n"/>
      <c r="J1499" s="83" t="n"/>
      <c r="K1499" s="82">
        <f>IF(OR(Pay!$AF154="",Pay!$AF154=0),"",Pay!$K154)</f>
        <v/>
      </c>
      <c r="L1499" s="82" t="n"/>
      <c r="M1499" s="82">
        <f>IF(OR(Pay!$AF154="",Pay!$AF154=0),"",Pay!$AG154)</f>
        <v/>
      </c>
      <c r="N1499" s="81">
        <f>IF(OR(Pay!$AF154="",Pay!$AF154=0),"",Pay!$D154&amp;" — "&amp;Pay!$E154)</f>
        <v/>
      </c>
      <c r="O1499" s="81">
        <f>IF(OR(Pay!$AF154="",Pay!$AF154=0),"",IFERROR(VLOOKUP(Pay!$AF154,AcctTbl,3,0),""))</f>
        <v/>
      </c>
      <c r="P1499" s="82">
        <f>IF(Pay!$AF154&lt;&gt;"X011","",IF(Pay!$I154="","",Pay!$I154))</f>
        <v/>
      </c>
    </row>
    <row r="1500" ht="20.25" customHeight="1">
      <c r="A1500" s="80">
        <f>IF(OR(Pay!$AD155="",Pay!$AD155=0),"",Pay!$B155)</f>
        <v/>
      </c>
      <c r="B1500" s="80">
        <f>IF(OR(Pay!$AD155="",Pay!$AD155=0),"",Pay!$C155)</f>
        <v/>
      </c>
      <c r="C1500" s="80">
        <f>IF(OR(Pay!$AD155="",Pay!$AD155=0),"","پرداخت")</f>
        <v/>
      </c>
      <c r="D1500" s="80">
        <f>IF(OR(Pay!$AD155="",Pay!$AD155=0),"",Pay!$AD155)</f>
        <v/>
      </c>
      <c r="E1500" s="81">
        <f>IF(OR(Pay!$AD155="",Pay!$AD155=0),"",Pay!$P155)</f>
        <v/>
      </c>
      <c r="F1500" s="83" t="n"/>
      <c r="G1500" s="83" t="n"/>
      <c r="H1500" s="83" t="n"/>
      <c r="I1500" s="83" t="n"/>
      <c r="J1500" s="83" t="n"/>
      <c r="K1500" s="82">
        <f>IF(OR(Pay!$AD155="",Pay!$AD155=0),"",Pay!$K155)</f>
        <v/>
      </c>
      <c r="L1500" s="82">
        <f>IF(OR(Pay!$AD155="",Pay!$AD155=0),"",Pay!$AE155)</f>
        <v/>
      </c>
      <c r="M1500" s="82" t="n"/>
      <c r="N1500" s="81">
        <f>IF(OR(Pay!$AD155="",Pay!$AD155=0),"",Pay!$D155&amp;" — "&amp;Pay!$E155)</f>
        <v/>
      </c>
      <c r="O1500" s="81">
        <f>IF(OR(Pay!$AD155="",Pay!$AD155=0),"",IFERROR(VLOOKUP(Pay!$AD155,AcctTbl,3,0),""))</f>
        <v/>
      </c>
      <c r="P1500" s="82">
        <f>IF(Pay!$AD155&lt;&gt;"X011","",IF(Pay!$I155="","",Pay!$I155))</f>
        <v/>
      </c>
    </row>
    <row r="1501" ht="20.25" customHeight="1">
      <c r="A1501" s="80">
        <f>IF(OR(Pay!$AF155="",Pay!$AF155=0),"",Pay!$B155)</f>
        <v/>
      </c>
      <c r="B1501" s="80">
        <f>IF(OR(Pay!$AF155="",Pay!$AF155=0),"",Pay!$C155)</f>
        <v/>
      </c>
      <c r="C1501" s="80">
        <f>IF(OR(Pay!$AF155="",Pay!$AF155=0),"","پرداخت")</f>
        <v/>
      </c>
      <c r="D1501" s="80">
        <f>IF(OR(Pay!$AF155="",Pay!$AF155=0),"",Pay!$AF155)</f>
        <v/>
      </c>
      <c r="E1501" s="81">
        <f>IF(OR(Pay!$AF155="",Pay!$AF155=0),"",Pay!$P155)</f>
        <v/>
      </c>
      <c r="F1501" s="83" t="n"/>
      <c r="G1501" s="83" t="n"/>
      <c r="H1501" s="83" t="n"/>
      <c r="I1501" s="83" t="n"/>
      <c r="J1501" s="83" t="n"/>
      <c r="K1501" s="82">
        <f>IF(OR(Pay!$AF155="",Pay!$AF155=0),"",Pay!$K155)</f>
        <v/>
      </c>
      <c r="L1501" s="82" t="n"/>
      <c r="M1501" s="82">
        <f>IF(OR(Pay!$AF155="",Pay!$AF155=0),"",Pay!$AG155)</f>
        <v/>
      </c>
      <c r="N1501" s="81">
        <f>IF(OR(Pay!$AF155="",Pay!$AF155=0),"",Pay!$D155&amp;" — "&amp;Pay!$E155)</f>
        <v/>
      </c>
      <c r="O1501" s="81">
        <f>IF(OR(Pay!$AF155="",Pay!$AF155=0),"",IFERROR(VLOOKUP(Pay!$AF155,AcctTbl,3,0),""))</f>
        <v/>
      </c>
      <c r="P1501" s="82">
        <f>IF(Pay!$AF155&lt;&gt;"X011","",IF(Pay!$I155="","",Pay!$I155))</f>
        <v/>
      </c>
    </row>
    <row r="1502" ht="20.25" customHeight="1">
      <c r="A1502" s="80">
        <f>IF(OR(Pay!$AD156="",Pay!$AD156=0),"",Pay!$B156)</f>
        <v/>
      </c>
      <c r="B1502" s="80">
        <f>IF(OR(Pay!$AD156="",Pay!$AD156=0),"",Pay!$C156)</f>
        <v/>
      </c>
      <c r="C1502" s="80">
        <f>IF(OR(Pay!$AD156="",Pay!$AD156=0),"","پرداخت")</f>
        <v/>
      </c>
      <c r="D1502" s="80">
        <f>IF(OR(Pay!$AD156="",Pay!$AD156=0),"",Pay!$AD156)</f>
        <v/>
      </c>
      <c r="E1502" s="81">
        <f>IF(OR(Pay!$AD156="",Pay!$AD156=0),"",Pay!$P156)</f>
        <v/>
      </c>
      <c r="F1502" s="83" t="n"/>
      <c r="G1502" s="83" t="n"/>
      <c r="H1502" s="83" t="n"/>
      <c r="I1502" s="83" t="n"/>
      <c r="J1502" s="83" t="n"/>
      <c r="K1502" s="82">
        <f>IF(OR(Pay!$AD156="",Pay!$AD156=0),"",Pay!$K156)</f>
        <v/>
      </c>
      <c r="L1502" s="82">
        <f>IF(OR(Pay!$AD156="",Pay!$AD156=0),"",Pay!$AE156)</f>
        <v/>
      </c>
      <c r="M1502" s="82" t="n"/>
      <c r="N1502" s="81">
        <f>IF(OR(Pay!$AD156="",Pay!$AD156=0),"",Pay!$D156&amp;" — "&amp;Pay!$E156)</f>
        <v/>
      </c>
      <c r="O1502" s="81">
        <f>IF(OR(Pay!$AD156="",Pay!$AD156=0),"",IFERROR(VLOOKUP(Pay!$AD156,AcctTbl,3,0),""))</f>
        <v/>
      </c>
      <c r="P1502" s="82">
        <f>IF(Pay!$AD156&lt;&gt;"X011","",IF(Pay!$I156="","",Pay!$I156))</f>
        <v/>
      </c>
    </row>
    <row r="1503" ht="20.25" customHeight="1">
      <c r="A1503" s="80">
        <f>IF(OR(Pay!$AF156="",Pay!$AF156=0),"",Pay!$B156)</f>
        <v/>
      </c>
      <c r="B1503" s="80">
        <f>IF(OR(Pay!$AF156="",Pay!$AF156=0),"",Pay!$C156)</f>
        <v/>
      </c>
      <c r="C1503" s="80">
        <f>IF(OR(Pay!$AF156="",Pay!$AF156=0),"","پرداخت")</f>
        <v/>
      </c>
      <c r="D1503" s="80">
        <f>IF(OR(Pay!$AF156="",Pay!$AF156=0),"",Pay!$AF156)</f>
        <v/>
      </c>
      <c r="E1503" s="81">
        <f>IF(OR(Pay!$AF156="",Pay!$AF156=0),"",Pay!$P156)</f>
        <v/>
      </c>
      <c r="F1503" s="83" t="n"/>
      <c r="G1503" s="83" t="n"/>
      <c r="H1503" s="83" t="n"/>
      <c r="I1503" s="83" t="n"/>
      <c r="J1503" s="83" t="n"/>
      <c r="K1503" s="82">
        <f>IF(OR(Pay!$AF156="",Pay!$AF156=0),"",Pay!$K156)</f>
        <v/>
      </c>
      <c r="L1503" s="82" t="n"/>
      <c r="M1503" s="82">
        <f>IF(OR(Pay!$AF156="",Pay!$AF156=0),"",Pay!$AG156)</f>
        <v/>
      </c>
      <c r="N1503" s="81">
        <f>IF(OR(Pay!$AF156="",Pay!$AF156=0),"",Pay!$D156&amp;" — "&amp;Pay!$E156)</f>
        <v/>
      </c>
      <c r="O1503" s="81">
        <f>IF(OR(Pay!$AF156="",Pay!$AF156=0),"",IFERROR(VLOOKUP(Pay!$AF156,AcctTbl,3,0),""))</f>
        <v/>
      </c>
      <c r="P1503" s="82">
        <f>IF(Pay!$AF156&lt;&gt;"X011","",IF(Pay!$I156="","",Pay!$I156))</f>
        <v/>
      </c>
    </row>
    <row r="1504" ht="20.25" customHeight="1">
      <c r="A1504" s="80">
        <f>IF(OR(Pay!$AD157="",Pay!$AD157=0),"",Pay!$B157)</f>
        <v/>
      </c>
      <c r="B1504" s="80">
        <f>IF(OR(Pay!$AD157="",Pay!$AD157=0),"",Pay!$C157)</f>
        <v/>
      </c>
      <c r="C1504" s="80">
        <f>IF(OR(Pay!$AD157="",Pay!$AD157=0),"","پرداخت")</f>
        <v/>
      </c>
      <c r="D1504" s="80">
        <f>IF(OR(Pay!$AD157="",Pay!$AD157=0),"",Pay!$AD157)</f>
        <v/>
      </c>
      <c r="E1504" s="81">
        <f>IF(OR(Pay!$AD157="",Pay!$AD157=0),"",Pay!$P157)</f>
        <v/>
      </c>
      <c r="F1504" s="83" t="n"/>
      <c r="G1504" s="83" t="n"/>
      <c r="H1504" s="83" t="n"/>
      <c r="I1504" s="83" t="n"/>
      <c r="J1504" s="83" t="n"/>
      <c r="K1504" s="82">
        <f>IF(OR(Pay!$AD157="",Pay!$AD157=0),"",Pay!$K157)</f>
        <v/>
      </c>
      <c r="L1504" s="82">
        <f>IF(OR(Pay!$AD157="",Pay!$AD157=0),"",Pay!$AE157)</f>
        <v/>
      </c>
      <c r="M1504" s="82" t="n"/>
      <c r="N1504" s="81">
        <f>IF(OR(Pay!$AD157="",Pay!$AD157=0),"",Pay!$D157&amp;" — "&amp;Pay!$E157)</f>
        <v/>
      </c>
      <c r="O1504" s="81">
        <f>IF(OR(Pay!$AD157="",Pay!$AD157=0),"",IFERROR(VLOOKUP(Pay!$AD157,AcctTbl,3,0),""))</f>
        <v/>
      </c>
      <c r="P1504" s="82">
        <f>IF(Pay!$AD157&lt;&gt;"X011","",IF(Pay!$I157="","",Pay!$I157))</f>
        <v/>
      </c>
    </row>
    <row r="1505" ht="20.25" customHeight="1">
      <c r="A1505" s="80">
        <f>IF(OR(Pay!$AF157="",Pay!$AF157=0),"",Pay!$B157)</f>
        <v/>
      </c>
      <c r="B1505" s="80">
        <f>IF(OR(Pay!$AF157="",Pay!$AF157=0),"",Pay!$C157)</f>
        <v/>
      </c>
      <c r="C1505" s="80">
        <f>IF(OR(Pay!$AF157="",Pay!$AF157=0),"","پرداخت")</f>
        <v/>
      </c>
      <c r="D1505" s="80">
        <f>IF(OR(Pay!$AF157="",Pay!$AF157=0),"",Pay!$AF157)</f>
        <v/>
      </c>
      <c r="E1505" s="81">
        <f>IF(OR(Pay!$AF157="",Pay!$AF157=0),"",Pay!$P157)</f>
        <v/>
      </c>
      <c r="F1505" s="83" t="n"/>
      <c r="G1505" s="83" t="n"/>
      <c r="H1505" s="83" t="n"/>
      <c r="I1505" s="83" t="n"/>
      <c r="J1505" s="83" t="n"/>
      <c r="K1505" s="82">
        <f>IF(OR(Pay!$AF157="",Pay!$AF157=0),"",Pay!$K157)</f>
        <v/>
      </c>
      <c r="L1505" s="82" t="n"/>
      <c r="M1505" s="82">
        <f>IF(OR(Pay!$AF157="",Pay!$AF157=0),"",Pay!$AG157)</f>
        <v/>
      </c>
      <c r="N1505" s="81">
        <f>IF(OR(Pay!$AF157="",Pay!$AF157=0),"",Pay!$D157&amp;" — "&amp;Pay!$E157)</f>
        <v/>
      </c>
      <c r="O1505" s="81">
        <f>IF(OR(Pay!$AF157="",Pay!$AF157=0),"",IFERROR(VLOOKUP(Pay!$AF157,AcctTbl,3,0),""))</f>
        <v/>
      </c>
      <c r="P1505" s="82">
        <f>IF(Pay!$AF157&lt;&gt;"X011","",IF(Pay!$I157="","",Pay!$I157))</f>
        <v/>
      </c>
    </row>
    <row r="1506" ht="20.25" customHeight="1">
      <c r="A1506" s="80">
        <f>IF(OR(Pay!$AD158="",Pay!$AD158=0),"",Pay!$B158)</f>
        <v/>
      </c>
      <c r="B1506" s="80">
        <f>IF(OR(Pay!$AD158="",Pay!$AD158=0),"",Pay!$C158)</f>
        <v/>
      </c>
      <c r="C1506" s="80">
        <f>IF(OR(Pay!$AD158="",Pay!$AD158=0),"","پرداخت")</f>
        <v/>
      </c>
      <c r="D1506" s="80">
        <f>IF(OR(Pay!$AD158="",Pay!$AD158=0),"",Pay!$AD158)</f>
        <v/>
      </c>
      <c r="E1506" s="81">
        <f>IF(OR(Pay!$AD158="",Pay!$AD158=0),"",Pay!$P158)</f>
        <v/>
      </c>
      <c r="F1506" s="83" t="n"/>
      <c r="G1506" s="83" t="n"/>
      <c r="H1506" s="83" t="n"/>
      <c r="I1506" s="83" t="n"/>
      <c r="J1506" s="83" t="n"/>
      <c r="K1506" s="82">
        <f>IF(OR(Pay!$AD158="",Pay!$AD158=0),"",Pay!$K158)</f>
        <v/>
      </c>
      <c r="L1506" s="82">
        <f>IF(OR(Pay!$AD158="",Pay!$AD158=0),"",Pay!$AE158)</f>
        <v/>
      </c>
      <c r="M1506" s="82" t="n"/>
      <c r="N1506" s="81">
        <f>IF(OR(Pay!$AD158="",Pay!$AD158=0),"",Pay!$D158&amp;" — "&amp;Pay!$E158)</f>
        <v/>
      </c>
      <c r="O1506" s="81">
        <f>IF(OR(Pay!$AD158="",Pay!$AD158=0),"",IFERROR(VLOOKUP(Pay!$AD158,AcctTbl,3,0),""))</f>
        <v/>
      </c>
      <c r="P1506" s="82">
        <f>IF(Pay!$AD158&lt;&gt;"X011","",IF(Pay!$I158="","",Pay!$I158))</f>
        <v/>
      </c>
    </row>
    <row r="1507" ht="20.25" customHeight="1">
      <c r="A1507" s="80">
        <f>IF(OR(Pay!$AF158="",Pay!$AF158=0),"",Pay!$B158)</f>
        <v/>
      </c>
      <c r="B1507" s="80">
        <f>IF(OR(Pay!$AF158="",Pay!$AF158=0),"",Pay!$C158)</f>
        <v/>
      </c>
      <c r="C1507" s="80">
        <f>IF(OR(Pay!$AF158="",Pay!$AF158=0),"","پرداخت")</f>
        <v/>
      </c>
      <c r="D1507" s="80">
        <f>IF(OR(Pay!$AF158="",Pay!$AF158=0),"",Pay!$AF158)</f>
        <v/>
      </c>
      <c r="E1507" s="81">
        <f>IF(OR(Pay!$AF158="",Pay!$AF158=0),"",Pay!$P158)</f>
        <v/>
      </c>
      <c r="F1507" s="83" t="n"/>
      <c r="G1507" s="83" t="n"/>
      <c r="H1507" s="83" t="n"/>
      <c r="I1507" s="83" t="n"/>
      <c r="J1507" s="83" t="n"/>
      <c r="K1507" s="82">
        <f>IF(OR(Pay!$AF158="",Pay!$AF158=0),"",Pay!$K158)</f>
        <v/>
      </c>
      <c r="L1507" s="82" t="n"/>
      <c r="M1507" s="82">
        <f>IF(OR(Pay!$AF158="",Pay!$AF158=0),"",Pay!$AG158)</f>
        <v/>
      </c>
      <c r="N1507" s="81">
        <f>IF(OR(Pay!$AF158="",Pay!$AF158=0),"",Pay!$D158&amp;" — "&amp;Pay!$E158)</f>
        <v/>
      </c>
      <c r="O1507" s="81">
        <f>IF(OR(Pay!$AF158="",Pay!$AF158=0),"",IFERROR(VLOOKUP(Pay!$AF158,AcctTbl,3,0),""))</f>
        <v/>
      </c>
      <c r="P1507" s="82">
        <f>IF(Pay!$AF158&lt;&gt;"X011","",IF(Pay!$I158="","",Pay!$I158))</f>
        <v/>
      </c>
    </row>
    <row r="1508" ht="20.25" customHeight="1">
      <c r="A1508" s="80">
        <f>IF(OR(Pay!$AD159="",Pay!$AD159=0),"",Pay!$B159)</f>
        <v/>
      </c>
      <c r="B1508" s="80">
        <f>IF(OR(Pay!$AD159="",Pay!$AD159=0),"",Pay!$C159)</f>
        <v/>
      </c>
      <c r="C1508" s="80">
        <f>IF(OR(Pay!$AD159="",Pay!$AD159=0),"","پرداخت")</f>
        <v/>
      </c>
      <c r="D1508" s="80">
        <f>IF(OR(Pay!$AD159="",Pay!$AD159=0),"",Pay!$AD159)</f>
        <v/>
      </c>
      <c r="E1508" s="81">
        <f>IF(OR(Pay!$AD159="",Pay!$AD159=0),"",Pay!$P159)</f>
        <v/>
      </c>
      <c r="F1508" s="83" t="n"/>
      <c r="G1508" s="83" t="n"/>
      <c r="H1508" s="83" t="n"/>
      <c r="I1508" s="83" t="n"/>
      <c r="J1508" s="83" t="n"/>
      <c r="K1508" s="82">
        <f>IF(OR(Pay!$AD159="",Pay!$AD159=0),"",Pay!$K159)</f>
        <v/>
      </c>
      <c r="L1508" s="82">
        <f>IF(OR(Pay!$AD159="",Pay!$AD159=0),"",Pay!$AE159)</f>
        <v/>
      </c>
      <c r="M1508" s="82" t="n"/>
      <c r="N1508" s="81">
        <f>IF(OR(Pay!$AD159="",Pay!$AD159=0),"",Pay!$D159&amp;" — "&amp;Pay!$E159)</f>
        <v/>
      </c>
      <c r="O1508" s="81">
        <f>IF(OR(Pay!$AD159="",Pay!$AD159=0),"",IFERROR(VLOOKUP(Pay!$AD159,AcctTbl,3,0),""))</f>
        <v/>
      </c>
      <c r="P1508" s="82">
        <f>IF(Pay!$AD159&lt;&gt;"X011","",IF(Pay!$I159="","",Pay!$I159))</f>
        <v/>
      </c>
    </row>
    <row r="1509" ht="20.25" customHeight="1">
      <c r="A1509" s="80">
        <f>IF(OR(Pay!$AF159="",Pay!$AF159=0),"",Pay!$B159)</f>
        <v/>
      </c>
      <c r="B1509" s="80">
        <f>IF(OR(Pay!$AF159="",Pay!$AF159=0),"",Pay!$C159)</f>
        <v/>
      </c>
      <c r="C1509" s="80">
        <f>IF(OR(Pay!$AF159="",Pay!$AF159=0),"","پرداخت")</f>
        <v/>
      </c>
      <c r="D1509" s="80">
        <f>IF(OR(Pay!$AF159="",Pay!$AF159=0),"",Pay!$AF159)</f>
        <v/>
      </c>
      <c r="E1509" s="81">
        <f>IF(OR(Pay!$AF159="",Pay!$AF159=0),"",Pay!$P159)</f>
        <v/>
      </c>
      <c r="F1509" s="83" t="n"/>
      <c r="G1509" s="83" t="n"/>
      <c r="H1509" s="83" t="n"/>
      <c r="I1509" s="83" t="n"/>
      <c r="J1509" s="83" t="n"/>
      <c r="K1509" s="82">
        <f>IF(OR(Pay!$AF159="",Pay!$AF159=0),"",Pay!$K159)</f>
        <v/>
      </c>
      <c r="L1509" s="82" t="n"/>
      <c r="M1509" s="82">
        <f>IF(OR(Pay!$AF159="",Pay!$AF159=0),"",Pay!$AG159)</f>
        <v/>
      </c>
      <c r="N1509" s="81">
        <f>IF(OR(Pay!$AF159="",Pay!$AF159=0),"",Pay!$D159&amp;" — "&amp;Pay!$E159)</f>
        <v/>
      </c>
      <c r="O1509" s="81">
        <f>IF(OR(Pay!$AF159="",Pay!$AF159=0),"",IFERROR(VLOOKUP(Pay!$AF159,AcctTbl,3,0),""))</f>
        <v/>
      </c>
      <c r="P1509" s="82">
        <f>IF(Pay!$AF159&lt;&gt;"X011","",IF(Pay!$I159="","",Pay!$I159))</f>
        <v/>
      </c>
    </row>
    <row r="1510" ht="20.25" customHeight="1">
      <c r="A1510" s="80">
        <f>IF(OR(Crate!$E10="",Crate!$E10=0),"",Crate!$B10)</f>
        <v/>
      </c>
      <c r="B1510" s="80">
        <f>IF(OR(Crate!$E10="",Crate!$E10=0),"",Crate!$C10)</f>
        <v/>
      </c>
      <c r="C1510" s="80">
        <f>IF(OR(Crate!$E10="",Crate!$E10=0),"","سبد")</f>
        <v/>
      </c>
      <c r="D1510" s="80">
        <f>IF(OR(Crate!$E10="",Crate!$E10=0),"",Crate!$E10)</f>
        <v/>
      </c>
      <c r="E1510" s="81">
        <f>IF(OR(Crate!$E10="",Crate!$E10=0),"",Crate!$M10)</f>
        <v/>
      </c>
      <c r="G1510" s="82">
        <f>IF(OR(Crate!$E10="",Crate!$E10=0),"",Crate!$I10)</f>
        <v/>
      </c>
      <c r="J1510" s="82">
        <f>IF(OR(Crate!$E10="",Crate!$E10=0),"",Crate!$J10)</f>
        <v/>
      </c>
      <c r="K1510" s="82">
        <f>IF(OR(Crate!$E10="",Crate!$E10=0),"",IF(Crate!$N10="",0,Crate!$N10)+IF(Crate!$O10="",0,Crate!$O10))</f>
        <v/>
      </c>
      <c r="L1510" s="82">
        <f>IF(OR(Crate!$E10="",Crate!$E10=0),"",Crate!$N10)</f>
        <v/>
      </c>
      <c r="M1510" s="82">
        <f>IF(OR(Crate!$E10="",Crate!$E10=0),"",Crate!$O10)</f>
        <v/>
      </c>
      <c r="N1510" s="81">
        <f>IF(OR(Crate!$E10="",Crate!$E10=0),"",Crate!$D10)</f>
        <v/>
      </c>
      <c r="O1510" s="81">
        <f>IF(OR(Crate!$E10="",Crate!$E10=0),"",IFERROR(VLOOKUP(Crate!$E10,AcctTbl,3,0),""))</f>
        <v/>
      </c>
      <c r="P1510" s="82" t="inlineStr"/>
    </row>
    <row r="1511" ht="20.25" customHeight="1">
      <c r="A1511" s="80">
        <f>IF(OR(Crate!$P10="",Crate!$P10=0),"",Crate!$B10)</f>
        <v/>
      </c>
      <c r="B1511" s="80">
        <f>IF(OR(Crate!$P10="",Crate!$P10=0),"",Crate!$C10)</f>
        <v/>
      </c>
      <c r="C1511" s="80">
        <f>IF(OR(Crate!$P10="",Crate!$P10=0),"","سبد")</f>
        <v/>
      </c>
      <c r="D1511" s="80">
        <f>IF(OR(Crate!$P10="",Crate!$P10=0),"",Crate!$P10)</f>
        <v/>
      </c>
      <c r="E1511" s="81">
        <f>IF(OR(Crate!$P10="",Crate!$P10=0),"",IF(Crate!$P10="","","مقابل: "&amp;Crate!$D10))</f>
        <v/>
      </c>
      <c r="F1511" s="83" t="n"/>
      <c r="G1511" s="83" t="n"/>
      <c r="H1511" s="83" t="n"/>
      <c r="I1511" s="83" t="n"/>
      <c r="J1511" s="83" t="n"/>
      <c r="K1511" s="82">
        <f>IF(OR(Crate!$P10="",Crate!$P10=0),"",IF(Crate!$Q10="",0,Crate!$Q10)+IF(Crate!$R10="",0,Crate!$R10))</f>
        <v/>
      </c>
      <c r="L1511" s="82">
        <f>IF(OR(Crate!$P10="",Crate!$P10=0),"",Crate!$Q10)</f>
        <v/>
      </c>
      <c r="M1511" s="82">
        <f>IF(OR(Crate!$P10="",Crate!$P10=0),"",Crate!$R10)</f>
        <v/>
      </c>
      <c r="N1511" s="81">
        <f>IF(OR(Crate!$P10="",Crate!$P10=0),"","مقابل")</f>
        <v/>
      </c>
      <c r="O1511" s="81">
        <f>IF(OR(Crate!$P10="",Crate!$P10=0),"",IFERROR(VLOOKUP(Crate!$P10,AcctTbl,3,0),""))</f>
        <v/>
      </c>
      <c r="P1511" s="82" t="inlineStr"/>
    </row>
    <row r="1512" ht="20.25" customHeight="1">
      <c r="A1512" s="80">
        <f>IF(OR(Crate!$E11="",Crate!$E11=0),"",Crate!$B11)</f>
        <v/>
      </c>
      <c r="B1512" s="80">
        <f>IF(OR(Crate!$E11="",Crate!$E11=0),"",Crate!$C11)</f>
        <v/>
      </c>
      <c r="C1512" s="80">
        <f>IF(OR(Crate!$E11="",Crate!$E11=0),"","سبد")</f>
        <v/>
      </c>
      <c r="D1512" s="80">
        <f>IF(OR(Crate!$E11="",Crate!$E11=0),"",Crate!$E11)</f>
        <v/>
      </c>
      <c r="E1512" s="81">
        <f>IF(OR(Crate!$E11="",Crate!$E11=0),"",Crate!$M11)</f>
        <v/>
      </c>
      <c r="G1512" s="82">
        <f>IF(OR(Crate!$E11="",Crate!$E11=0),"",Crate!$I11)</f>
        <v/>
      </c>
      <c r="J1512" s="82">
        <f>IF(OR(Crate!$E11="",Crate!$E11=0),"",Crate!$J11)</f>
        <v/>
      </c>
      <c r="K1512" s="82">
        <f>IF(OR(Crate!$E11="",Crate!$E11=0),"",IF(Crate!$N11="",0,Crate!$N11)+IF(Crate!$O11="",0,Crate!$O11))</f>
        <v/>
      </c>
      <c r="L1512" s="82">
        <f>IF(OR(Crate!$E11="",Crate!$E11=0),"",Crate!$N11)</f>
        <v/>
      </c>
      <c r="M1512" s="82">
        <f>IF(OR(Crate!$E11="",Crate!$E11=0),"",Crate!$O11)</f>
        <v/>
      </c>
      <c r="N1512" s="81">
        <f>IF(OR(Crate!$E11="",Crate!$E11=0),"",Crate!$D11)</f>
        <v/>
      </c>
      <c r="O1512" s="81">
        <f>IF(OR(Crate!$E11="",Crate!$E11=0),"",IFERROR(VLOOKUP(Crate!$E11,AcctTbl,3,0),""))</f>
        <v/>
      </c>
      <c r="P1512" s="82" t="inlineStr"/>
    </row>
    <row r="1513" ht="20.25" customHeight="1">
      <c r="A1513" s="80">
        <f>IF(OR(Crate!$P11="",Crate!$P11=0),"",Crate!$B11)</f>
        <v/>
      </c>
      <c r="B1513" s="80">
        <f>IF(OR(Crate!$P11="",Crate!$P11=0),"",Crate!$C11)</f>
        <v/>
      </c>
      <c r="C1513" s="80">
        <f>IF(OR(Crate!$P11="",Crate!$P11=0),"","سبد")</f>
        <v/>
      </c>
      <c r="D1513" s="80">
        <f>IF(OR(Crate!$P11="",Crate!$P11=0),"",Crate!$P11)</f>
        <v/>
      </c>
      <c r="E1513" s="81">
        <f>IF(OR(Crate!$P11="",Crate!$P11=0),"",IF(Crate!$P11="","","مقابل: "&amp;Crate!$D11))</f>
        <v/>
      </c>
      <c r="F1513" s="83" t="n"/>
      <c r="G1513" s="83" t="n"/>
      <c r="H1513" s="83" t="n"/>
      <c r="I1513" s="83" t="n"/>
      <c r="J1513" s="83" t="n"/>
      <c r="K1513" s="82">
        <f>IF(OR(Crate!$P11="",Crate!$P11=0),"",IF(Crate!$Q11="",0,Crate!$Q11)+IF(Crate!$R11="",0,Crate!$R11))</f>
        <v/>
      </c>
      <c r="L1513" s="82">
        <f>IF(OR(Crate!$P11="",Crate!$P11=0),"",Crate!$Q11)</f>
        <v/>
      </c>
      <c r="M1513" s="82">
        <f>IF(OR(Crate!$P11="",Crate!$P11=0),"",Crate!$R11)</f>
        <v/>
      </c>
      <c r="N1513" s="81">
        <f>IF(OR(Crate!$P11="",Crate!$P11=0),"","مقابل")</f>
        <v/>
      </c>
      <c r="O1513" s="81">
        <f>IF(OR(Crate!$P11="",Crate!$P11=0),"",IFERROR(VLOOKUP(Crate!$P11,AcctTbl,3,0),""))</f>
        <v/>
      </c>
      <c r="P1513" s="82" t="inlineStr"/>
    </row>
    <row r="1514" ht="20.25" customHeight="1">
      <c r="A1514" s="80">
        <f>IF(OR(Crate!$E12="",Crate!$E12=0),"",Crate!$B12)</f>
        <v/>
      </c>
      <c r="B1514" s="80">
        <f>IF(OR(Crate!$E12="",Crate!$E12=0),"",Crate!$C12)</f>
        <v/>
      </c>
      <c r="C1514" s="80">
        <f>IF(OR(Crate!$E12="",Crate!$E12=0),"","سبد")</f>
        <v/>
      </c>
      <c r="D1514" s="80">
        <f>IF(OR(Crate!$E12="",Crate!$E12=0),"",Crate!$E12)</f>
        <v/>
      </c>
      <c r="E1514" s="81">
        <f>IF(OR(Crate!$E12="",Crate!$E12=0),"",Crate!$M12)</f>
        <v/>
      </c>
      <c r="G1514" s="82">
        <f>IF(OR(Crate!$E12="",Crate!$E12=0),"",Crate!$I12)</f>
        <v/>
      </c>
      <c r="J1514" s="82">
        <f>IF(OR(Crate!$E12="",Crate!$E12=0),"",Crate!$J12)</f>
        <v/>
      </c>
      <c r="K1514" s="82">
        <f>IF(OR(Crate!$E12="",Crate!$E12=0),"",IF(Crate!$N12="",0,Crate!$N12)+IF(Crate!$O12="",0,Crate!$O12))</f>
        <v/>
      </c>
      <c r="L1514" s="82">
        <f>IF(OR(Crate!$E12="",Crate!$E12=0),"",Crate!$N12)</f>
        <v/>
      </c>
      <c r="M1514" s="82">
        <f>IF(OR(Crate!$E12="",Crate!$E12=0),"",Crate!$O12)</f>
        <v/>
      </c>
      <c r="N1514" s="81">
        <f>IF(OR(Crate!$E12="",Crate!$E12=0),"",Crate!$D12)</f>
        <v/>
      </c>
      <c r="O1514" s="81">
        <f>IF(OR(Crate!$E12="",Crate!$E12=0),"",IFERROR(VLOOKUP(Crate!$E12,AcctTbl,3,0),""))</f>
        <v/>
      </c>
      <c r="P1514" s="82" t="inlineStr"/>
    </row>
    <row r="1515" ht="20.25" customHeight="1">
      <c r="A1515" s="80">
        <f>IF(OR(Crate!$P12="",Crate!$P12=0),"",Crate!$B12)</f>
        <v/>
      </c>
      <c r="B1515" s="80">
        <f>IF(OR(Crate!$P12="",Crate!$P12=0),"",Crate!$C12)</f>
        <v/>
      </c>
      <c r="C1515" s="80">
        <f>IF(OR(Crate!$P12="",Crate!$P12=0),"","سبد")</f>
        <v/>
      </c>
      <c r="D1515" s="80">
        <f>IF(OR(Crate!$P12="",Crate!$P12=0),"",Crate!$P12)</f>
        <v/>
      </c>
      <c r="E1515" s="81">
        <f>IF(OR(Crate!$P12="",Crate!$P12=0),"",IF(Crate!$P12="","","مقابل: "&amp;Crate!$D12))</f>
        <v/>
      </c>
      <c r="F1515" s="83" t="n"/>
      <c r="G1515" s="83" t="n"/>
      <c r="H1515" s="83" t="n"/>
      <c r="I1515" s="83" t="n"/>
      <c r="J1515" s="83" t="n"/>
      <c r="K1515" s="82">
        <f>IF(OR(Crate!$P12="",Crate!$P12=0),"",IF(Crate!$Q12="",0,Crate!$Q12)+IF(Crate!$R12="",0,Crate!$R12))</f>
        <v/>
      </c>
      <c r="L1515" s="82">
        <f>IF(OR(Crate!$P12="",Crate!$P12=0),"",Crate!$Q12)</f>
        <v/>
      </c>
      <c r="M1515" s="82">
        <f>IF(OR(Crate!$P12="",Crate!$P12=0),"",Crate!$R12)</f>
        <v/>
      </c>
      <c r="N1515" s="81">
        <f>IF(OR(Crate!$P12="",Crate!$P12=0),"","مقابل")</f>
        <v/>
      </c>
      <c r="O1515" s="81">
        <f>IF(OR(Crate!$P12="",Crate!$P12=0),"",IFERROR(VLOOKUP(Crate!$P12,AcctTbl,3,0),""))</f>
        <v/>
      </c>
      <c r="P1515" s="82" t="inlineStr"/>
    </row>
    <row r="1516" ht="20.25" customHeight="1">
      <c r="A1516" s="80">
        <f>IF(OR(Crate!$E13="",Crate!$E13=0),"",Crate!$B13)</f>
        <v/>
      </c>
      <c r="B1516" s="80">
        <f>IF(OR(Crate!$E13="",Crate!$E13=0),"",Crate!$C13)</f>
        <v/>
      </c>
      <c r="C1516" s="80">
        <f>IF(OR(Crate!$E13="",Crate!$E13=0),"","سبد")</f>
        <v/>
      </c>
      <c r="D1516" s="80">
        <f>IF(OR(Crate!$E13="",Crate!$E13=0),"",Crate!$E13)</f>
        <v/>
      </c>
      <c r="E1516" s="81">
        <f>IF(OR(Crate!$E13="",Crate!$E13=0),"",Crate!$M13)</f>
        <v/>
      </c>
      <c r="G1516" s="82">
        <f>IF(OR(Crate!$E13="",Crate!$E13=0),"",Crate!$I13)</f>
        <v/>
      </c>
      <c r="J1516" s="82">
        <f>IF(OR(Crate!$E13="",Crate!$E13=0),"",Crate!$J13)</f>
        <v/>
      </c>
      <c r="K1516" s="82">
        <f>IF(OR(Crate!$E13="",Crate!$E13=0),"",IF(Crate!$N13="",0,Crate!$N13)+IF(Crate!$O13="",0,Crate!$O13))</f>
        <v/>
      </c>
      <c r="L1516" s="82">
        <f>IF(OR(Crate!$E13="",Crate!$E13=0),"",Crate!$N13)</f>
        <v/>
      </c>
      <c r="M1516" s="82">
        <f>IF(OR(Crate!$E13="",Crate!$E13=0),"",Crate!$O13)</f>
        <v/>
      </c>
      <c r="N1516" s="81">
        <f>IF(OR(Crate!$E13="",Crate!$E13=0),"",Crate!$D13)</f>
        <v/>
      </c>
      <c r="O1516" s="81">
        <f>IF(OR(Crate!$E13="",Crate!$E13=0),"",IFERROR(VLOOKUP(Crate!$E13,AcctTbl,3,0),""))</f>
        <v/>
      </c>
      <c r="P1516" s="82" t="inlineStr"/>
    </row>
    <row r="1517" ht="20.25" customHeight="1">
      <c r="A1517" s="80">
        <f>IF(OR(Crate!$P13="",Crate!$P13=0),"",Crate!$B13)</f>
        <v/>
      </c>
      <c r="B1517" s="80">
        <f>IF(OR(Crate!$P13="",Crate!$P13=0),"",Crate!$C13)</f>
        <v/>
      </c>
      <c r="C1517" s="80">
        <f>IF(OR(Crate!$P13="",Crate!$P13=0),"","سبد")</f>
        <v/>
      </c>
      <c r="D1517" s="80">
        <f>IF(OR(Crate!$P13="",Crate!$P13=0),"",Crate!$P13)</f>
        <v/>
      </c>
      <c r="E1517" s="81">
        <f>IF(OR(Crate!$P13="",Crate!$P13=0),"",IF(Crate!$P13="","","مقابل: "&amp;Crate!$D13))</f>
        <v/>
      </c>
      <c r="F1517" s="83" t="n"/>
      <c r="G1517" s="83" t="n"/>
      <c r="H1517" s="83" t="n"/>
      <c r="I1517" s="83" t="n"/>
      <c r="J1517" s="83" t="n"/>
      <c r="K1517" s="82">
        <f>IF(OR(Crate!$P13="",Crate!$P13=0),"",IF(Crate!$Q13="",0,Crate!$Q13)+IF(Crate!$R13="",0,Crate!$R13))</f>
        <v/>
      </c>
      <c r="L1517" s="82">
        <f>IF(OR(Crate!$P13="",Crate!$P13=0),"",Crate!$Q13)</f>
        <v/>
      </c>
      <c r="M1517" s="82">
        <f>IF(OR(Crate!$P13="",Crate!$P13=0),"",Crate!$R13)</f>
        <v/>
      </c>
      <c r="N1517" s="81">
        <f>IF(OR(Crate!$P13="",Crate!$P13=0),"","مقابل")</f>
        <v/>
      </c>
      <c r="O1517" s="81">
        <f>IF(OR(Crate!$P13="",Crate!$P13=0),"",IFERROR(VLOOKUP(Crate!$P13,AcctTbl,3,0),""))</f>
        <v/>
      </c>
      <c r="P1517" s="82" t="inlineStr"/>
    </row>
    <row r="1518" ht="20.25" customHeight="1">
      <c r="A1518" s="80">
        <f>IF(OR(Crate!$E14="",Crate!$E14=0),"",Crate!$B14)</f>
        <v/>
      </c>
      <c r="B1518" s="80">
        <f>IF(OR(Crate!$E14="",Crate!$E14=0),"",Crate!$C14)</f>
        <v/>
      </c>
      <c r="C1518" s="80">
        <f>IF(OR(Crate!$E14="",Crate!$E14=0),"","سبد")</f>
        <v/>
      </c>
      <c r="D1518" s="80">
        <f>IF(OR(Crate!$E14="",Crate!$E14=0),"",Crate!$E14)</f>
        <v/>
      </c>
      <c r="E1518" s="81">
        <f>IF(OR(Crate!$E14="",Crate!$E14=0),"",Crate!$M14)</f>
        <v/>
      </c>
      <c r="G1518" s="82">
        <f>IF(OR(Crate!$E14="",Crate!$E14=0),"",Crate!$I14)</f>
        <v/>
      </c>
      <c r="J1518" s="82">
        <f>IF(OR(Crate!$E14="",Crate!$E14=0),"",Crate!$J14)</f>
        <v/>
      </c>
      <c r="K1518" s="82">
        <f>IF(OR(Crate!$E14="",Crate!$E14=0),"",IF(Crate!$N14="",0,Crate!$N14)+IF(Crate!$O14="",0,Crate!$O14))</f>
        <v/>
      </c>
      <c r="L1518" s="82">
        <f>IF(OR(Crate!$E14="",Crate!$E14=0),"",Crate!$N14)</f>
        <v/>
      </c>
      <c r="M1518" s="82">
        <f>IF(OR(Crate!$E14="",Crate!$E14=0),"",Crate!$O14)</f>
        <v/>
      </c>
      <c r="N1518" s="81">
        <f>IF(OR(Crate!$E14="",Crate!$E14=0),"",Crate!$D14)</f>
        <v/>
      </c>
      <c r="O1518" s="81">
        <f>IF(OR(Crate!$E14="",Crate!$E14=0),"",IFERROR(VLOOKUP(Crate!$E14,AcctTbl,3,0),""))</f>
        <v/>
      </c>
      <c r="P1518" s="82" t="inlineStr"/>
    </row>
    <row r="1519" ht="20.25" customHeight="1">
      <c r="A1519" s="80">
        <f>IF(OR(Crate!$P14="",Crate!$P14=0),"",Crate!$B14)</f>
        <v/>
      </c>
      <c r="B1519" s="80">
        <f>IF(OR(Crate!$P14="",Crate!$P14=0),"",Crate!$C14)</f>
        <v/>
      </c>
      <c r="C1519" s="80">
        <f>IF(OR(Crate!$P14="",Crate!$P14=0),"","سبد")</f>
        <v/>
      </c>
      <c r="D1519" s="80">
        <f>IF(OR(Crate!$P14="",Crate!$P14=0),"",Crate!$P14)</f>
        <v/>
      </c>
      <c r="E1519" s="81">
        <f>IF(OR(Crate!$P14="",Crate!$P14=0),"",IF(Crate!$P14="","","مقابل: "&amp;Crate!$D14))</f>
        <v/>
      </c>
      <c r="F1519" s="83" t="n"/>
      <c r="G1519" s="83" t="n"/>
      <c r="H1519" s="83" t="n"/>
      <c r="I1519" s="83" t="n"/>
      <c r="J1519" s="83" t="n"/>
      <c r="K1519" s="82">
        <f>IF(OR(Crate!$P14="",Crate!$P14=0),"",IF(Crate!$Q14="",0,Crate!$Q14)+IF(Crate!$R14="",0,Crate!$R14))</f>
        <v/>
      </c>
      <c r="L1519" s="82">
        <f>IF(OR(Crate!$P14="",Crate!$P14=0),"",Crate!$Q14)</f>
        <v/>
      </c>
      <c r="M1519" s="82">
        <f>IF(OR(Crate!$P14="",Crate!$P14=0),"",Crate!$R14)</f>
        <v/>
      </c>
      <c r="N1519" s="81">
        <f>IF(OR(Crate!$P14="",Crate!$P14=0),"","مقابل")</f>
        <v/>
      </c>
      <c r="O1519" s="81">
        <f>IF(OR(Crate!$P14="",Crate!$P14=0),"",IFERROR(VLOOKUP(Crate!$P14,AcctTbl,3,0),""))</f>
        <v/>
      </c>
      <c r="P1519" s="82" t="inlineStr"/>
    </row>
    <row r="1520" ht="20.25" customHeight="1">
      <c r="A1520" s="80">
        <f>IF(OR(Crate!$E15="",Crate!$E15=0),"",Crate!$B15)</f>
        <v/>
      </c>
      <c r="B1520" s="80">
        <f>IF(OR(Crate!$E15="",Crate!$E15=0),"",Crate!$C15)</f>
        <v/>
      </c>
      <c r="C1520" s="80">
        <f>IF(OR(Crate!$E15="",Crate!$E15=0),"","سبد")</f>
        <v/>
      </c>
      <c r="D1520" s="80">
        <f>IF(OR(Crate!$E15="",Crate!$E15=0),"",Crate!$E15)</f>
        <v/>
      </c>
      <c r="E1520" s="81">
        <f>IF(OR(Crate!$E15="",Crate!$E15=0),"",Crate!$M15)</f>
        <v/>
      </c>
      <c r="G1520" s="82">
        <f>IF(OR(Crate!$E15="",Crate!$E15=0),"",Crate!$I15)</f>
        <v/>
      </c>
      <c r="J1520" s="82">
        <f>IF(OR(Crate!$E15="",Crate!$E15=0),"",Crate!$J15)</f>
        <v/>
      </c>
      <c r="K1520" s="82">
        <f>IF(OR(Crate!$E15="",Crate!$E15=0),"",IF(Crate!$N15="",0,Crate!$N15)+IF(Crate!$O15="",0,Crate!$O15))</f>
        <v/>
      </c>
      <c r="L1520" s="82">
        <f>IF(OR(Crate!$E15="",Crate!$E15=0),"",Crate!$N15)</f>
        <v/>
      </c>
      <c r="M1520" s="82">
        <f>IF(OR(Crate!$E15="",Crate!$E15=0),"",Crate!$O15)</f>
        <v/>
      </c>
      <c r="N1520" s="81">
        <f>IF(OR(Crate!$E15="",Crate!$E15=0),"",Crate!$D15)</f>
        <v/>
      </c>
      <c r="O1520" s="81">
        <f>IF(OR(Crate!$E15="",Crate!$E15=0),"",IFERROR(VLOOKUP(Crate!$E15,AcctTbl,3,0),""))</f>
        <v/>
      </c>
      <c r="P1520" s="82" t="inlineStr"/>
    </row>
    <row r="1521" ht="20.25" customHeight="1">
      <c r="A1521" s="80">
        <f>IF(OR(Crate!$P15="",Crate!$P15=0),"",Crate!$B15)</f>
        <v/>
      </c>
      <c r="B1521" s="80">
        <f>IF(OR(Crate!$P15="",Crate!$P15=0),"",Crate!$C15)</f>
        <v/>
      </c>
      <c r="C1521" s="80">
        <f>IF(OR(Crate!$P15="",Crate!$P15=0),"","سبد")</f>
        <v/>
      </c>
      <c r="D1521" s="80">
        <f>IF(OR(Crate!$P15="",Crate!$P15=0),"",Crate!$P15)</f>
        <v/>
      </c>
      <c r="E1521" s="81">
        <f>IF(OR(Crate!$P15="",Crate!$P15=0),"",IF(Crate!$P15="","","مقابل: "&amp;Crate!$D15))</f>
        <v/>
      </c>
      <c r="F1521" s="83" t="n"/>
      <c r="G1521" s="83" t="n"/>
      <c r="H1521" s="83" t="n"/>
      <c r="I1521" s="83" t="n"/>
      <c r="J1521" s="83" t="n"/>
      <c r="K1521" s="82">
        <f>IF(OR(Crate!$P15="",Crate!$P15=0),"",IF(Crate!$Q15="",0,Crate!$Q15)+IF(Crate!$R15="",0,Crate!$R15))</f>
        <v/>
      </c>
      <c r="L1521" s="82">
        <f>IF(OR(Crate!$P15="",Crate!$P15=0),"",Crate!$Q15)</f>
        <v/>
      </c>
      <c r="M1521" s="82">
        <f>IF(OR(Crate!$P15="",Crate!$P15=0),"",Crate!$R15)</f>
        <v/>
      </c>
      <c r="N1521" s="81">
        <f>IF(OR(Crate!$P15="",Crate!$P15=0),"","مقابل")</f>
        <v/>
      </c>
      <c r="O1521" s="81">
        <f>IF(OR(Crate!$P15="",Crate!$P15=0),"",IFERROR(VLOOKUP(Crate!$P15,AcctTbl,3,0),""))</f>
        <v/>
      </c>
      <c r="P1521" s="82" t="inlineStr"/>
    </row>
    <row r="1522" ht="20.25" customHeight="1">
      <c r="A1522" s="80">
        <f>IF(OR(Crate!$E16="",Crate!$E16=0),"",Crate!$B16)</f>
        <v/>
      </c>
      <c r="B1522" s="80">
        <f>IF(OR(Crate!$E16="",Crate!$E16=0),"",Crate!$C16)</f>
        <v/>
      </c>
      <c r="C1522" s="80">
        <f>IF(OR(Crate!$E16="",Crate!$E16=0),"","سبد")</f>
        <v/>
      </c>
      <c r="D1522" s="80">
        <f>IF(OR(Crate!$E16="",Crate!$E16=0),"",Crate!$E16)</f>
        <v/>
      </c>
      <c r="E1522" s="81">
        <f>IF(OR(Crate!$E16="",Crate!$E16=0),"",Crate!$M16)</f>
        <v/>
      </c>
      <c r="G1522" s="82">
        <f>IF(OR(Crate!$E16="",Crate!$E16=0),"",Crate!$I16)</f>
        <v/>
      </c>
      <c r="J1522" s="82">
        <f>IF(OR(Crate!$E16="",Crate!$E16=0),"",Crate!$J16)</f>
        <v/>
      </c>
      <c r="K1522" s="82">
        <f>IF(OR(Crate!$E16="",Crate!$E16=0),"",IF(Crate!$N16="",0,Crate!$N16)+IF(Crate!$O16="",0,Crate!$O16))</f>
        <v/>
      </c>
      <c r="L1522" s="82">
        <f>IF(OR(Crate!$E16="",Crate!$E16=0),"",Crate!$N16)</f>
        <v/>
      </c>
      <c r="M1522" s="82">
        <f>IF(OR(Crate!$E16="",Crate!$E16=0),"",Crate!$O16)</f>
        <v/>
      </c>
      <c r="N1522" s="81">
        <f>IF(OR(Crate!$E16="",Crate!$E16=0),"",Crate!$D16)</f>
        <v/>
      </c>
      <c r="O1522" s="81">
        <f>IF(OR(Crate!$E16="",Crate!$E16=0),"",IFERROR(VLOOKUP(Crate!$E16,AcctTbl,3,0),""))</f>
        <v/>
      </c>
      <c r="P1522" s="82" t="inlineStr"/>
    </row>
    <row r="1523" ht="20.25" customHeight="1">
      <c r="A1523" s="80">
        <f>IF(OR(Crate!$P16="",Crate!$P16=0),"",Crate!$B16)</f>
        <v/>
      </c>
      <c r="B1523" s="80">
        <f>IF(OR(Crate!$P16="",Crate!$P16=0),"",Crate!$C16)</f>
        <v/>
      </c>
      <c r="C1523" s="80">
        <f>IF(OR(Crate!$P16="",Crate!$P16=0),"","سبد")</f>
        <v/>
      </c>
      <c r="D1523" s="80">
        <f>IF(OR(Crate!$P16="",Crate!$P16=0),"",Crate!$P16)</f>
        <v/>
      </c>
      <c r="E1523" s="81">
        <f>IF(OR(Crate!$P16="",Crate!$P16=0),"",IF(Crate!$P16="","","مقابل: "&amp;Crate!$D16))</f>
        <v/>
      </c>
      <c r="F1523" s="83" t="n"/>
      <c r="G1523" s="83" t="n"/>
      <c r="H1523" s="83" t="n"/>
      <c r="I1523" s="83" t="n"/>
      <c r="J1523" s="83" t="n"/>
      <c r="K1523" s="82">
        <f>IF(OR(Crate!$P16="",Crate!$P16=0),"",IF(Crate!$Q16="",0,Crate!$Q16)+IF(Crate!$R16="",0,Crate!$R16))</f>
        <v/>
      </c>
      <c r="L1523" s="82">
        <f>IF(OR(Crate!$P16="",Crate!$P16=0),"",Crate!$Q16)</f>
        <v/>
      </c>
      <c r="M1523" s="82">
        <f>IF(OR(Crate!$P16="",Crate!$P16=0),"",Crate!$R16)</f>
        <v/>
      </c>
      <c r="N1523" s="81">
        <f>IF(OR(Crate!$P16="",Crate!$P16=0),"","مقابل")</f>
        <v/>
      </c>
      <c r="O1523" s="81">
        <f>IF(OR(Crate!$P16="",Crate!$P16=0),"",IFERROR(VLOOKUP(Crate!$P16,AcctTbl,3,0),""))</f>
        <v/>
      </c>
      <c r="P1523" s="82" t="inlineStr"/>
    </row>
    <row r="1524" ht="20.25" customHeight="1">
      <c r="A1524" s="80">
        <f>IF(OR(Crate!$E17="",Crate!$E17=0),"",Crate!$B17)</f>
        <v/>
      </c>
      <c r="B1524" s="80">
        <f>IF(OR(Crate!$E17="",Crate!$E17=0),"",Crate!$C17)</f>
        <v/>
      </c>
      <c r="C1524" s="80">
        <f>IF(OR(Crate!$E17="",Crate!$E17=0),"","سبد")</f>
        <v/>
      </c>
      <c r="D1524" s="80">
        <f>IF(OR(Crate!$E17="",Crate!$E17=0),"",Crate!$E17)</f>
        <v/>
      </c>
      <c r="E1524" s="81">
        <f>IF(OR(Crate!$E17="",Crate!$E17=0),"",Crate!$M17)</f>
        <v/>
      </c>
      <c r="G1524" s="82">
        <f>IF(OR(Crate!$E17="",Crate!$E17=0),"",Crate!$I17)</f>
        <v/>
      </c>
      <c r="J1524" s="82">
        <f>IF(OR(Crate!$E17="",Crate!$E17=0),"",Crate!$J17)</f>
        <v/>
      </c>
      <c r="K1524" s="82">
        <f>IF(OR(Crate!$E17="",Crate!$E17=0),"",IF(Crate!$N17="",0,Crate!$N17)+IF(Crate!$O17="",0,Crate!$O17))</f>
        <v/>
      </c>
      <c r="L1524" s="82">
        <f>IF(OR(Crate!$E17="",Crate!$E17=0),"",Crate!$N17)</f>
        <v/>
      </c>
      <c r="M1524" s="82">
        <f>IF(OR(Crate!$E17="",Crate!$E17=0),"",Crate!$O17)</f>
        <v/>
      </c>
      <c r="N1524" s="81">
        <f>IF(OR(Crate!$E17="",Crate!$E17=0),"",Crate!$D17)</f>
        <v/>
      </c>
      <c r="O1524" s="81">
        <f>IF(OR(Crate!$E17="",Crate!$E17=0),"",IFERROR(VLOOKUP(Crate!$E17,AcctTbl,3,0),""))</f>
        <v/>
      </c>
      <c r="P1524" s="82" t="inlineStr"/>
    </row>
    <row r="1525" ht="20.25" customHeight="1">
      <c r="A1525" s="80">
        <f>IF(OR(Crate!$P17="",Crate!$P17=0),"",Crate!$B17)</f>
        <v/>
      </c>
      <c r="B1525" s="80">
        <f>IF(OR(Crate!$P17="",Crate!$P17=0),"",Crate!$C17)</f>
        <v/>
      </c>
      <c r="C1525" s="80">
        <f>IF(OR(Crate!$P17="",Crate!$P17=0),"","سبد")</f>
        <v/>
      </c>
      <c r="D1525" s="80">
        <f>IF(OR(Crate!$P17="",Crate!$P17=0),"",Crate!$P17)</f>
        <v/>
      </c>
      <c r="E1525" s="81">
        <f>IF(OR(Crate!$P17="",Crate!$P17=0),"",IF(Crate!$P17="","","مقابل: "&amp;Crate!$D17))</f>
        <v/>
      </c>
      <c r="F1525" s="83" t="n"/>
      <c r="G1525" s="83" t="n"/>
      <c r="H1525" s="83" t="n"/>
      <c r="I1525" s="83" t="n"/>
      <c r="J1525" s="83" t="n"/>
      <c r="K1525" s="82">
        <f>IF(OR(Crate!$P17="",Crate!$P17=0),"",IF(Crate!$Q17="",0,Crate!$Q17)+IF(Crate!$R17="",0,Crate!$R17))</f>
        <v/>
      </c>
      <c r="L1525" s="82">
        <f>IF(OR(Crate!$P17="",Crate!$P17=0),"",Crate!$Q17)</f>
        <v/>
      </c>
      <c r="M1525" s="82">
        <f>IF(OR(Crate!$P17="",Crate!$P17=0),"",Crate!$R17)</f>
        <v/>
      </c>
      <c r="N1525" s="81">
        <f>IF(OR(Crate!$P17="",Crate!$P17=0),"","مقابل")</f>
        <v/>
      </c>
      <c r="O1525" s="81">
        <f>IF(OR(Crate!$P17="",Crate!$P17=0),"",IFERROR(VLOOKUP(Crate!$P17,AcctTbl,3,0),""))</f>
        <v/>
      </c>
      <c r="P1525" s="82" t="inlineStr"/>
    </row>
    <row r="1526" ht="20.25" customHeight="1">
      <c r="A1526" s="80">
        <f>IF(OR(Crate!$E18="",Crate!$E18=0),"",Crate!$B18)</f>
        <v/>
      </c>
      <c r="B1526" s="80">
        <f>IF(OR(Crate!$E18="",Crate!$E18=0),"",Crate!$C18)</f>
        <v/>
      </c>
      <c r="C1526" s="80">
        <f>IF(OR(Crate!$E18="",Crate!$E18=0),"","سبد")</f>
        <v/>
      </c>
      <c r="D1526" s="80">
        <f>IF(OR(Crate!$E18="",Crate!$E18=0),"",Crate!$E18)</f>
        <v/>
      </c>
      <c r="E1526" s="81">
        <f>IF(OR(Crate!$E18="",Crate!$E18=0),"",Crate!$M18)</f>
        <v/>
      </c>
      <c r="G1526" s="82">
        <f>IF(OR(Crate!$E18="",Crate!$E18=0),"",Crate!$I18)</f>
        <v/>
      </c>
      <c r="J1526" s="82">
        <f>IF(OR(Crate!$E18="",Crate!$E18=0),"",Crate!$J18)</f>
        <v/>
      </c>
      <c r="K1526" s="82">
        <f>IF(OR(Crate!$E18="",Crate!$E18=0),"",IF(Crate!$N18="",0,Crate!$N18)+IF(Crate!$O18="",0,Crate!$O18))</f>
        <v/>
      </c>
      <c r="L1526" s="82">
        <f>IF(OR(Crate!$E18="",Crate!$E18=0),"",Crate!$N18)</f>
        <v/>
      </c>
      <c r="M1526" s="82">
        <f>IF(OR(Crate!$E18="",Crate!$E18=0),"",Crate!$O18)</f>
        <v/>
      </c>
      <c r="N1526" s="81">
        <f>IF(OR(Crate!$E18="",Crate!$E18=0),"",Crate!$D18)</f>
        <v/>
      </c>
      <c r="O1526" s="81">
        <f>IF(OR(Crate!$E18="",Crate!$E18=0),"",IFERROR(VLOOKUP(Crate!$E18,AcctTbl,3,0),""))</f>
        <v/>
      </c>
      <c r="P1526" s="82" t="inlineStr"/>
    </row>
    <row r="1527" ht="20.25" customHeight="1">
      <c r="A1527" s="80">
        <f>IF(OR(Crate!$P18="",Crate!$P18=0),"",Crate!$B18)</f>
        <v/>
      </c>
      <c r="B1527" s="80">
        <f>IF(OR(Crate!$P18="",Crate!$P18=0),"",Crate!$C18)</f>
        <v/>
      </c>
      <c r="C1527" s="80">
        <f>IF(OR(Crate!$P18="",Crate!$P18=0),"","سبد")</f>
        <v/>
      </c>
      <c r="D1527" s="80">
        <f>IF(OR(Crate!$P18="",Crate!$P18=0),"",Crate!$P18)</f>
        <v/>
      </c>
      <c r="E1527" s="81">
        <f>IF(OR(Crate!$P18="",Crate!$P18=0),"",IF(Crate!$P18="","","مقابل: "&amp;Crate!$D18))</f>
        <v/>
      </c>
      <c r="F1527" s="83" t="n"/>
      <c r="G1527" s="83" t="n"/>
      <c r="H1527" s="83" t="n"/>
      <c r="I1527" s="83" t="n"/>
      <c r="J1527" s="83" t="n"/>
      <c r="K1527" s="82">
        <f>IF(OR(Crate!$P18="",Crate!$P18=0),"",IF(Crate!$Q18="",0,Crate!$Q18)+IF(Crate!$R18="",0,Crate!$R18))</f>
        <v/>
      </c>
      <c r="L1527" s="82">
        <f>IF(OR(Crate!$P18="",Crate!$P18=0),"",Crate!$Q18)</f>
        <v/>
      </c>
      <c r="M1527" s="82">
        <f>IF(OR(Crate!$P18="",Crate!$P18=0),"",Crate!$R18)</f>
        <v/>
      </c>
      <c r="N1527" s="81">
        <f>IF(OR(Crate!$P18="",Crate!$P18=0),"","مقابل")</f>
        <v/>
      </c>
      <c r="O1527" s="81">
        <f>IF(OR(Crate!$P18="",Crate!$P18=0),"",IFERROR(VLOOKUP(Crate!$P18,AcctTbl,3,0),""))</f>
        <v/>
      </c>
      <c r="P1527" s="82" t="inlineStr"/>
    </row>
    <row r="1528" ht="20.25" customHeight="1">
      <c r="A1528" s="80">
        <f>IF(OR(Crate!$E19="",Crate!$E19=0),"",Crate!$B19)</f>
        <v/>
      </c>
      <c r="B1528" s="80">
        <f>IF(OR(Crate!$E19="",Crate!$E19=0),"",Crate!$C19)</f>
        <v/>
      </c>
      <c r="C1528" s="80">
        <f>IF(OR(Crate!$E19="",Crate!$E19=0),"","سبد")</f>
        <v/>
      </c>
      <c r="D1528" s="80">
        <f>IF(OR(Crate!$E19="",Crate!$E19=0),"",Crate!$E19)</f>
        <v/>
      </c>
      <c r="E1528" s="81">
        <f>IF(OR(Crate!$E19="",Crate!$E19=0),"",Crate!$M19)</f>
        <v/>
      </c>
      <c r="G1528" s="82">
        <f>IF(OR(Crate!$E19="",Crate!$E19=0),"",Crate!$I19)</f>
        <v/>
      </c>
      <c r="J1528" s="82">
        <f>IF(OR(Crate!$E19="",Crate!$E19=0),"",Crate!$J19)</f>
        <v/>
      </c>
      <c r="K1528" s="82">
        <f>IF(OR(Crate!$E19="",Crate!$E19=0),"",IF(Crate!$N19="",0,Crate!$N19)+IF(Crate!$O19="",0,Crate!$O19))</f>
        <v/>
      </c>
      <c r="L1528" s="82">
        <f>IF(OR(Crate!$E19="",Crate!$E19=0),"",Crate!$N19)</f>
        <v/>
      </c>
      <c r="M1528" s="82">
        <f>IF(OR(Crate!$E19="",Crate!$E19=0),"",Crate!$O19)</f>
        <v/>
      </c>
      <c r="N1528" s="81">
        <f>IF(OR(Crate!$E19="",Crate!$E19=0),"",Crate!$D19)</f>
        <v/>
      </c>
      <c r="O1528" s="81">
        <f>IF(OR(Crate!$E19="",Crate!$E19=0),"",IFERROR(VLOOKUP(Crate!$E19,AcctTbl,3,0),""))</f>
        <v/>
      </c>
      <c r="P1528" s="82" t="inlineStr"/>
    </row>
    <row r="1529" ht="20.25" customHeight="1">
      <c r="A1529" s="80">
        <f>IF(OR(Crate!$P19="",Crate!$P19=0),"",Crate!$B19)</f>
        <v/>
      </c>
      <c r="B1529" s="80">
        <f>IF(OR(Crate!$P19="",Crate!$P19=0),"",Crate!$C19)</f>
        <v/>
      </c>
      <c r="C1529" s="80">
        <f>IF(OR(Crate!$P19="",Crate!$P19=0),"","سبد")</f>
        <v/>
      </c>
      <c r="D1529" s="80">
        <f>IF(OR(Crate!$P19="",Crate!$P19=0),"",Crate!$P19)</f>
        <v/>
      </c>
      <c r="E1529" s="81">
        <f>IF(OR(Crate!$P19="",Crate!$P19=0),"",IF(Crate!$P19="","","مقابل: "&amp;Crate!$D19))</f>
        <v/>
      </c>
      <c r="F1529" s="83" t="n"/>
      <c r="G1529" s="83" t="n"/>
      <c r="H1529" s="83" t="n"/>
      <c r="I1529" s="83" t="n"/>
      <c r="J1529" s="83" t="n"/>
      <c r="K1529" s="82">
        <f>IF(OR(Crate!$P19="",Crate!$P19=0),"",IF(Crate!$Q19="",0,Crate!$Q19)+IF(Crate!$R19="",0,Crate!$R19))</f>
        <v/>
      </c>
      <c r="L1529" s="82">
        <f>IF(OR(Crate!$P19="",Crate!$P19=0),"",Crate!$Q19)</f>
        <v/>
      </c>
      <c r="M1529" s="82">
        <f>IF(OR(Crate!$P19="",Crate!$P19=0),"",Crate!$R19)</f>
        <v/>
      </c>
      <c r="N1529" s="81">
        <f>IF(OR(Crate!$P19="",Crate!$P19=0),"","مقابل")</f>
        <v/>
      </c>
      <c r="O1529" s="81">
        <f>IF(OR(Crate!$P19="",Crate!$P19=0),"",IFERROR(VLOOKUP(Crate!$P19,AcctTbl,3,0),""))</f>
        <v/>
      </c>
      <c r="P1529" s="82" t="inlineStr"/>
    </row>
    <row r="1530" ht="20.25" customHeight="1">
      <c r="A1530" s="80">
        <f>IF(OR(Crate!$E20="",Crate!$E20=0),"",Crate!$B20)</f>
        <v/>
      </c>
      <c r="B1530" s="80">
        <f>IF(OR(Crate!$E20="",Crate!$E20=0),"",Crate!$C20)</f>
        <v/>
      </c>
      <c r="C1530" s="80">
        <f>IF(OR(Crate!$E20="",Crate!$E20=0),"","سبد")</f>
        <v/>
      </c>
      <c r="D1530" s="80">
        <f>IF(OR(Crate!$E20="",Crate!$E20=0),"",Crate!$E20)</f>
        <v/>
      </c>
      <c r="E1530" s="81">
        <f>IF(OR(Crate!$E20="",Crate!$E20=0),"",Crate!$M20)</f>
        <v/>
      </c>
      <c r="G1530" s="82">
        <f>IF(OR(Crate!$E20="",Crate!$E20=0),"",Crate!$I20)</f>
        <v/>
      </c>
      <c r="J1530" s="82">
        <f>IF(OR(Crate!$E20="",Crate!$E20=0),"",Crate!$J20)</f>
        <v/>
      </c>
      <c r="K1530" s="82">
        <f>IF(OR(Crate!$E20="",Crate!$E20=0),"",IF(Crate!$N20="",0,Crate!$N20)+IF(Crate!$O20="",0,Crate!$O20))</f>
        <v/>
      </c>
      <c r="L1530" s="82">
        <f>IF(OR(Crate!$E20="",Crate!$E20=0),"",Crate!$N20)</f>
        <v/>
      </c>
      <c r="M1530" s="82">
        <f>IF(OR(Crate!$E20="",Crate!$E20=0),"",Crate!$O20)</f>
        <v/>
      </c>
      <c r="N1530" s="81">
        <f>IF(OR(Crate!$E20="",Crate!$E20=0),"",Crate!$D20)</f>
        <v/>
      </c>
      <c r="O1530" s="81">
        <f>IF(OR(Crate!$E20="",Crate!$E20=0),"",IFERROR(VLOOKUP(Crate!$E20,AcctTbl,3,0),""))</f>
        <v/>
      </c>
      <c r="P1530" s="82" t="inlineStr"/>
    </row>
    <row r="1531" ht="20.25" customHeight="1">
      <c r="A1531" s="80">
        <f>IF(OR(Crate!$P20="",Crate!$P20=0),"",Crate!$B20)</f>
        <v/>
      </c>
      <c r="B1531" s="80">
        <f>IF(OR(Crate!$P20="",Crate!$P20=0),"",Crate!$C20)</f>
        <v/>
      </c>
      <c r="C1531" s="80">
        <f>IF(OR(Crate!$P20="",Crate!$P20=0),"","سبد")</f>
        <v/>
      </c>
      <c r="D1531" s="80">
        <f>IF(OR(Crate!$P20="",Crate!$P20=0),"",Crate!$P20)</f>
        <v/>
      </c>
      <c r="E1531" s="81">
        <f>IF(OR(Crate!$P20="",Crate!$P20=0),"",IF(Crate!$P20="","","مقابل: "&amp;Crate!$D20))</f>
        <v/>
      </c>
      <c r="F1531" s="83" t="n"/>
      <c r="G1531" s="83" t="n"/>
      <c r="H1531" s="83" t="n"/>
      <c r="I1531" s="83" t="n"/>
      <c r="J1531" s="83" t="n"/>
      <c r="K1531" s="82">
        <f>IF(OR(Crate!$P20="",Crate!$P20=0),"",IF(Crate!$Q20="",0,Crate!$Q20)+IF(Crate!$R20="",0,Crate!$R20))</f>
        <v/>
      </c>
      <c r="L1531" s="82">
        <f>IF(OR(Crate!$P20="",Crate!$P20=0),"",Crate!$Q20)</f>
        <v/>
      </c>
      <c r="M1531" s="82">
        <f>IF(OR(Crate!$P20="",Crate!$P20=0),"",Crate!$R20)</f>
        <v/>
      </c>
      <c r="N1531" s="81">
        <f>IF(OR(Crate!$P20="",Crate!$P20=0),"","مقابل")</f>
        <v/>
      </c>
      <c r="O1531" s="81">
        <f>IF(OR(Crate!$P20="",Crate!$P20=0),"",IFERROR(VLOOKUP(Crate!$P20,AcctTbl,3,0),""))</f>
        <v/>
      </c>
      <c r="P1531" s="82" t="inlineStr"/>
    </row>
    <row r="1532" ht="20.25" customHeight="1">
      <c r="A1532" s="80">
        <f>IF(OR(Crate!$E21="",Crate!$E21=0),"",Crate!$B21)</f>
        <v/>
      </c>
      <c r="B1532" s="80">
        <f>IF(OR(Crate!$E21="",Crate!$E21=0),"",Crate!$C21)</f>
        <v/>
      </c>
      <c r="C1532" s="80">
        <f>IF(OR(Crate!$E21="",Crate!$E21=0),"","سبد")</f>
        <v/>
      </c>
      <c r="D1532" s="80">
        <f>IF(OR(Crate!$E21="",Crate!$E21=0),"",Crate!$E21)</f>
        <v/>
      </c>
      <c r="E1532" s="81">
        <f>IF(OR(Crate!$E21="",Crate!$E21=0),"",Crate!$M21)</f>
        <v/>
      </c>
      <c r="G1532" s="82">
        <f>IF(OR(Crate!$E21="",Crate!$E21=0),"",Crate!$I21)</f>
        <v/>
      </c>
      <c r="J1532" s="82">
        <f>IF(OR(Crate!$E21="",Crate!$E21=0),"",Crate!$J21)</f>
        <v/>
      </c>
      <c r="K1532" s="82">
        <f>IF(OR(Crate!$E21="",Crate!$E21=0),"",IF(Crate!$N21="",0,Crate!$N21)+IF(Crate!$O21="",0,Crate!$O21))</f>
        <v/>
      </c>
      <c r="L1532" s="82">
        <f>IF(OR(Crate!$E21="",Crate!$E21=0),"",Crate!$N21)</f>
        <v/>
      </c>
      <c r="M1532" s="82">
        <f>IF(OR(Crate!$E21="",Crate!$E21=0),"",Crate!$O21)</f>
        <v/>
      </c>
      <c r="N1532" s="81">
        <f>IF(OR(Crate!$E21="",Crate!$E21=0),"",Crate!$D21)</f>
        <v/>
      </c>
      <c r="O1532" s="81">
        <f>IF(OR(Crate!$E21="",Crate!$E21=0),"",IFERROR(VLOOKUP(Crate!$E21,AcctTbl,3,0),""))</f>
        <v/>
      </c>
      <c r="P1532" s="82" t="inlineStr"/>
    </row>
    <row r="1533" ht="20.25" customHeight="1">
      <c r="A1533" s="80">
        <f>IF(OR(Crate!$P21="",Crate!$P21=0),"",Crate!$B21)</f>
        <v/>
      </c>
      <c r="B1533" s="80">
        <f>IF(OR(Crate!$P21="",Crate!$P21=0),"",Crate!$C21)</f>
        <v/>
      </c>
      <c r="C1533" s="80">
        <f>IF(OR(Crate!$P21="",Crate!$P21=0),"","سبد")</f>
        <v/>
      </c>
      <c r="D1533" s="80">
        <f>IF(OR(Crate!$P21="",Crate!$P21=0),"",Crate!$P21)</f>
        <v/>
      </c>
      <c r="E1533" s="81">
        <f>IF(OR(Crate!$P21="",Crate!$P21=0),"",IF(Crate!$P21="","","مقابل: "&amp;Crate!$D21))</f>
        <v/>
      </c>
      <c r="F1533" s="83" t="n"/>
      <c r="G1533" s="83" t="n"/>
      <c r="H1533" s="83" t="n"/>
      <c r="I1533" s="83" t="n"/>
      <c r="J1533" s="83" t="n"/>
      <c r="K1533" s="82">
        <f>IF(OR(Crate!$P21="",Crate!$P21=0),"",IF(Crate!$Q21="",0,Crate!$Q21)+IF(Crate!$R21="",0,Crate!$R21))</f>
        <v/>
      </c>
      <c r="L1533" s="82">
        <f>IF(OR(Crate!$P21="",Crate!$P21=0),"",Crate!$Q21)</f>
        <v/>
      </c>
      <c r="M1533" s="82">
        <f>IF(OR(Crate!$P21="",Crate!$P21=0),"",Crate!$R21)</f>
        <v/>
      </c>
      <c r="N1533" s="81">
        <f>IF(OR(Crate!$P21="",Crate!$P21=0),"","مقابل")</f>
        <v/>
      </c>
      <c r="O1533" s="81">
        <f>IF(OR(Crate!$P21="",Crate!$P21=0),"",IFERROR(VLOOKUP(Crate!$P21,AcctTbl,3,0),""))</f>
        <v/>
      </c>
      <c r="P1533" s="82" t="inlineStr"/>
    </row>
    <row r="1534" ht="20.25" customHeight="1">
      <c r="A1534" s="80">
        <f>IF(OR(Crate!$E22="",Crate!$E22=0),"",Crate!$B22)</f>
        <v/>
      </c>
      <c r="B1534" s="80">
        <f>IF(OR(Crate!$E22="",Crate!$E22=0),"",Crate!$C22)</f>
        <v/>
      </c>
      <c r="C1534" s="80">
        <f>IF(OR(Crate!$E22="",Crate!$E22=0),"","سبد")</f>
        <v/>
      </c>
      <c r="D1534" s="80">
        <f>IF(OR(Crate!$E22="",Crate!$E22=0),"",Crate!$E22)</f>
        <v/>
      </c>
      <c r="E1534" s="81">
        <f>IF(OR(Crate!$E22="",Crate!$E22=0),"",Crate!$M22)</f>
        <v/>
      </c>
      <c r="G1534" s="82">
        <f>IF(OR(Crate!$E22="",Crate!$E22=0),"",Crate!$I22)</f>
        <v/>
      </c>
      <c r="J1534" s="82">
        <f>IF(OR(Crate!$E22="",Crate!$E22=0),"",Crate!$J22)</f>
        <v/>
      </c>
      <c r="K1534" s="82">
        <f>IF(OR(Crate!$E22="",Crate!$E22=0),"",IF(Crate!$N22="",0,Crate!$N22)+IF(Crate!$O22="",0,Crate!$O22))</f>
        <v/>
      </c>
      <c r="L1534" s="82">
        <f>IF(OR(Crate!$E22="",Crate!$E22=0),"",Crate!$N22)</f>
        <v/>
      </c>
      <c r="M1534" s="82">
        <f>IF(OR(Crate!$E22="",Crate!$E22=0),"",Crate!$O22)</f>
        <v/>
      </c>
      <c r="N1534" s="81">
        <f>IF(OR(Crate!$E22="",Crate!$E22=0),"",Crate!$D22)</f>
        <v/>
      </c>
      <c r="O1534" s="81">
        <f>IF(OR(Crate!$E22="",Crate!$E22=0),"",IFERROR(VLOOKUP(Crate!$E22,AcctTbl,3,0),""))</f>
        <v/>
      </c>
      <c r="P1534" s="82" t="inlineStr"/>
    </row>
    <row r="1535" ht="20.25" customHeight="1">
      <c r="A1535" s="80">
        <f>IF(OR(Crate!$P22="",Crate!$P22=0),"",Crate!$B22)</f>
        <v/>
      </c>
      <c r="B1535" s="80">
        <f>IF(OR(Crate!$P22="",Crate!$P22=0),"",Crate!$C22)</f>
        <v/>
      </c>
      <c r="C1535" s="80">
        <f>IF(OR(Crate!$P22="",Crate!$P22=0),"","سبد")</f>
        <v/>
      </c>
      <c r="D1535" s="80">
        <f>IF(OR(Crate!$P22="",Crate!$P22=0),"",Crate!$P22)</f>
        <v/>
      </c>
      <c r="E1535" s="81">
        <f>IF(OR(Crate!$P22="",Crate!$P22=0),"",IF(Crate!$P22="","","مقابل: "&amp;Crate!$D22))</f>
        <v/>
      </c>
      <c r="F1535" s="83" t="n"/>
      <c r="G1535" s="83" t="n"/>
      <c r="H1535" s="83" t="n"/>
      <c r="I1535" s="83" t="n"/>
      <c r="J1535" s="83" t="n"/>
      <c r="K1535" s="82">
        <f>IF(OR(Crate!$P22="",Crate!$P22=0),"",IF(Crate!$Q22="",0,Crate!$Q22)+IF(Crate!$R22="",0,Crate!$R22))</f>
        <v/>
      </c>
      <c r="L1535" s="82">
        <f>IF(OR(Crate!$P22="",Crate!$P22=0),"",Crate!$Q22)</f>
        <v/>
      </c>
      <c r="M1535" s="82">
        <f>IF(OR(Crate!$P22="",Crate!$P22=0),"",Crate!$R22)</f>
        <v/>
      </c>
      <c r="N1535" s="81">
        <f>IF(OR(Crate!$P22="",Crate!$P22=0),"","مقابل")</f>
        <v/>
      </c>
      <c r="O1535" s="81">
        <f>IF(OR(Crate!$P22="",Crate!$P22=0),"",IFERROR(VLOOKUP(Crate!$P22,AcctTbl,3,0),""))</f>
        <v/>
      </c>
      <c r="P1535" s="82" t="inlineStr"/>
    </row>
    <row r="1536" ht="20.25" customHeight="1">
      <c r="A1536" s="80">
        <f>IF(OR(Crate!$E23="",Crate!$E23=0),"",Crate!$B23)</f>
        <v/>
      </c>
      <c r="B1536" s="80">
        <f>IF(OR(Crate!$E23="",Crate!$E23=0),"",Crate!$C23)</f>
        <v/>
      </c>
      <c r="C1536" s="80">
        <f>IF(OR(Crate!$E23="",Crate!$E23=0),"","سبد")</f>
        <v/>
      </c>
      <c r="D1536" s="80">
        <f>IF(OR(Crate!$E23="",Crate!$E23=0),"",Crate!$E23)</f>
        <v/>
      </c>
      <c r="E1536" s="81">
        <f>IF(OR(Crate!$E23="",Crate!$E23=0),"",Crate!$M23)</f>
        <v/>
      </c>
      <c r="G1536" s="82">
        <f>IF(OR(Crate!$E23="",Crate!$E23=0),"",Crate!$I23)</f>
        <v/>
      </c>
      <c r="J1536" s="82">
        <f>IF(OR(Crate!$E23="",Crate!$E23=0),"",Crate!$J23)</f>
        <v/>
      </c>
      <c r="K1536" s="82">
        <f>IF(OR(Crate!$E23="",Crate!$E23=0),"",IF(Crate!$N23="",0,Crate!$N23)+IF(Crate!$O23="",0,Crate!$O23))</f>
        <v/>
      </c>
      <c r="L1536" s="82">
        <f>IF(OR(Crate!$E23="",Crate!$E23=0),"",Crate!$N23)</f>
        <v/>
      </c>
      <c r="M1536" s="82">
        <f>IF(OR(Crate!$E23="",Crate!$E23=0),"",Crate!$O23)</f>
        <v/>
      </c>
      <c r="N1536" s="81">
        <f>IF(OR(Crate!$E23="",Crate!$E23=0),"",Crate!$D23)</f>
        <v/>
      </c>
      <c r="O1536" s="81">
        <f>IF(OR(Crate!$E23="",Crate!$E23=0),"",IFERROR(VLOOKUP(Crate!$E23,AcctTbl,3,0),""))</f>
        <v/>
      </c>
      <c r="P1536" s="82" t="inlineStr"/>
    </row>
    <row r="1537" ht="20.25" customHeight="1">
      <c r="A1537" s="80">
        <f>IF(OR(Crate!$P23="",Crate!$P23=0),"",Crate!$B23)</f>
        <v/>
      </c>
      <c r="B1537" s="80">
        <f>IF(OR(Crate!$P23="",Crate!$P23=0),"",Crate!$C23)</f>
        <v/>
      </c>
      <c r="C1537" s="80">
        <f>IF(OR(Crate!$P23="",Crate!$P23=0),"","سبد")</f>
        <v/>
      </c>
      <c r="D1537" s="80">
        <f>IF(OR(Crate!$P23="",Crate!$P23=0),"",Crate!$P23)</f>
        <v/>
      </c>
      <c r="E1537" s="81">
        <f>IF(OR(Crate!$P23="",Crate!$P23=0),"",IF(Crate!$P23="","","مقابل: "&amp;Crate!$D23))</f>
        <v/>
      </c>
      <c r="F1537" s="83" t="n"/>
      <c r="G1537" s="83" t="n"/>
      <c r="H1537" s="83" t="n"/>
      <c r="I1537" s="83" t="n"/>
      <c r="J1537" s="83" t="n"/>
      <c r="K1537" s="82">
        <f>IF(OR(Crate!$P23="",Crate!$P23=0),"",IF(Crate!$Q23="",0,Crate!$Q23)+IF(Crate!$R23="",0,Crate!$R23))</f>
        <v/>
      </c>
      <c r="L1537" s="82">
        <f>IF(OR(Crate!$P23="",Crate!$P23=0),"",Crate!$Q23)</f>
        <v/>
      </c>
      <c r="M1537" s="82">
        <f>IF(OR(Crate!$P23="",Crate!$P23=0),"",Crate!$R23)</f>
        <v/>
      </c>
      <c r="N1537" s="81">
        <f>IF(OR(Crate!$P23="",Crate!$P23=0),"","مقابل")</f>
        <v/>
      </c>
      <c r="O1537" s="81">
        <f>IF(OR(Crate!$P23="",Crate!$P23=0),"",IFERROR(VLOOKUP(Crate!$P23,AcctTbl,3,0),""))</f>
        <v/>
      </c>
      <c r="P1537" s="82" t="inlineStr"/>
    </row>
    <row r="1538" ht="20.25" customHeight="1">
      <c r="A1538" s="80">
        <f>IF(OR(Crate!$E24="",Crate!$E24=0),"",Crate!$B24)</f>
        <v/>
      </c>
      <c r="B1538" s="80">
        <f>IF(OR(Crate!$E24="",Crate!$E24=0),"",Crate!$C24)</f>
        <v/>
      </c>
      <c r="C1538" s="80">
        <f>IF(OR(Crate!$E24="",Crate!$E24=0),"","سبد")</f>
        <v/>
      </c>
      <c r="D1538" s="80">
        <f>IF(OR(Crate!$E24="",Crate!$E24=0),"",Crate!$E24)</f>
        <v/>
      </c>
      <c r="E1538" s="81">
        <f>IF(OR(Crate!$E24="",Crate!$E24=0),"",Crate!$M24)</f>
        <v/>
      </c>
      <c r="G1538" s="82">
        <f>IF(OR(Crate!$E24="",Crate!$E24=0),"",Crate!$I24)</f>
        <v/>
      </c>
      <c r="J1538" s="82">
        <f>IF(OR(Crate!$E24="",Crate!$E24=0),"",Crate!$J24)</f>
        <v/>
      </c>
      <c r="K1538" s="82">
        <f>IF(OR(Crate!$E24="",Crate!$E24=0),"",IF(Crate!$N24="",0,Crate!$N24)+IF(Crate!$O24="",0,Crate!$O24))</f>
        <v/>
      </c>
      <c r="L1538" s="82">
        <f>IF(OR(Crate!$E24="",Crate!$E24=0),"",Crate!$N24)</f>
        <v/>
      </c>
      <c r="M1538" s="82">
        <f>IF(OR(Crate!$E24="",Crate!$E24=0),"",Crate!$O24)</f>
        <v/>
      </c>
      <c r="N1538" s="81">
        <f>IF(OR(Crate!$E24="",Crate!$E24=0),"",Crate!$D24)</f>
        <v/>
      </c>
      <c r="O1538" s="81">
        <f>IF(OR(Crate!$E24="",Crate!$E24=0),"",IFERROR(VLOOKUP(Crate!$E24,AcctTbl,3,0),""))</f>
        <v/>
      </c>
      <c r="P1538" s="82" t="inlineStr"/>
    </row>
    <row r="1539" ht="20.25" customHeight="1">
      <c r="A1539" s="80">
        <f>IF(OR(Crate!$P24="",Crate!$P24=0),"",Crate!$B24)</f>
        <v/>
      </c>
      <c r="B1539" s="80">
        <f>IF(OR(Crate!$P24="",Crate!$P24=0),"",Crate!$C24)</f>
        <v/>
      </c>
      <c r="C1539" s="80">
        <f>IF(OR(Crate!$P24="",Crate!$P24=0),"","سبد")</f>
        <v/>
      </c>
      <c r="D1539" s="80">
        <f>IF(OR(Crate!$P24="",Crate!$P24=0),"",Crate!$P24)</f>
        <v/>
      </c>
      <c r="E1539" s="81">
        <f>IF(OR(Crate!$P24="",Crate!$P24=0),"",IF(Crate!$P24="","","مقابل: "&amp;Crate!$D24))</f>
        <v/>
      </c>
      <c r="F1539" s="83" t="n"/>
      <c r="G1539" s="83" t="n"/>
      <c r="H1539" s="83" t="n"/>
      <c r="I1539" s="83" t="n"/>
      <c r="J1539" s="83" t="n"/>
      <c r="K1539" s="82">
        <f>IF(OR(Crate!$P24="",Crate!$P24=0),"",IF(Crate!$Q24="",0,Crate!$Q24)+IF(Crate!$R24="",0,Crate!$R24))</f>
        <v/>
      </c>
      <c r="L1539" s="82">
        <f>IF(OR(Crate!$P24="",Crate!$P24=0),"",Crate!$Q24)</f>
        <v/>
      </c>
      <c r="M1539" s="82">
        <f>IF(OR(Crate!$P24="",Crate!$P24=0),"",Crate!$R24)</f>
        <v/>
      </c>
      <c r="N1539" s="81">
        <f>IF(OR(Crate!$P24="",Crate!$P24=0),"","مقابل")</f>
        <v/>
      </c>
      <c r="O1539" s="81">
        <f>IF(OR(Crate!$P24="",Crate!$P24=0),"",IFERROR(VLOOKUP(Crate!$P24,AcctTbl,3,0),""))</f>
        <v/>
      </c>
      <c r="P1539" s="82" t="inlineStr"/>
    </row>
    <row r="1540" ht="20.25" customHeight="1">
      <c r="A1540" s="80">
        <f>IF(OR(Crate!$E25="",Crate!$E25=0),"",Crate!$B25)</f>
        <v/>
      </c>
      <c r="B1540" s="80">
        <f>IF(OR(Crate!$E25="",Crate!$E25=0),"",Crate!$C25)</f>
        <v/>
      </c>
      <c r="C1540" s="80">
        <f>IF(OR(Crate!$E25="",Crate!$E25=0),"","سبد")</f>
        <v/>
      </c>
      <c r="D1540" s="80">
        <f>IF(OR(Crate!$E25="",Crate!$E25=0),"",Crate!$E25)</f>
        <v/>
      </c>
      <c r="E1540" s="81">
        <f>IF(OR(Crate!$E25="",Crate!$E25=0),"",Crate!$M25)</f>
        <v/>
      </c>
      <c r="G1540" s="82">
        <f>IF(OR(Crate!$E25="",Crate!$E25=0),"",Crate!$I25)</f>
        <v/>
      </c>
      <c r="J1540" s="82">
        <f>IF(OR(Crate!$E25="",Crate!$E25=0),"",Crate!$J25)</f>
        <v/>
      </c>
      <c r="K1540" s="82">
        <f>IF(OR(Crate!$E25="",Crate!$E25=0),"",IF(Crate!$N25="",0,Crate!$N25)+IF(Crate!$O25="",0,Crate!$O25))</f>
        <v/>
      </c>
      <c r="L1540" s="82">
        <f>IF(OR(Crate!$E25="",Crate!$E25=0),"",Crate!$N25)</f>
        <v/>
      </c>
      <c r="M1540" s="82">
        <f>IF(OR(Crate!$E25="",Crate!$E25=0),"",Crate!$O25)</f>
        <v/>
      </c>
      <c r="N1540" s="81">
        <f>IF(OR(Crate!$E25="",Crate!$E25=0),"",Crate!$D25)</f>
        <v/>
      </c>
      <c r="O1540" s="81">
        <f>IF(OR(Crate!$E25="",Crate!$E25=0),"",IFERROR(VLOOKUP(Crate!$E25,AcctTbl,3,0),""))</f>
        <v/>
      </c>
      <c r="P1540" s="82" t="inlineStr"/>
    </row>
    <row r="1541" ht="20.25" customHeight="1">
      <c r="A1541" s="80">
        <f>IF(OR(Crate!$P25="",Crate!$P25=0),"",Crate!$B25)</f>
        <v/>
      </c>
      <c r="B1541" s="80">
        <f>IF(OR(Crate!$P25="",Crate!$P25=0),"",Crate!$C25)</f>
        <v/>
      </c>
      <c r="C1541" s="80">
        <f>IF(OR(Crate!$P25="",Crate!$P25=0),"","سبد")</f>
        <v/>
      </c>
      <c r="D1541" s="80">
        <f>IF(OR(Crate!$P25="",Crate!$P25=0),"",Crate!$P25)</f>
        <v/>
      </c>
      <c r="E1541" s="81">
        <f>IF(OR(Crate!$P25="",Crate!$P25=0),"",IF(Crate!$P25="","","مقابل: "&amp;Crate!$D25))</f>
        <v/>
      </c>
      <c r="F1541" s="83" t="n"/>
      <c r="G1541" s="83" t="n"/>
      <c r="H1541" s="83" t="n"/>
      <c r="I1541" s="83" t="n"/>
      <c r="J1541" s="83" t="n"/>
      <c r="K1541" s="82">
        <f>IF(OR(Crate!$P25="",Crate!$P25=0),"",IF(Crate!$Q25="",0,Crate!$Q25)+IF(Crate!$R25="",0,Crate!$R25))</f>
        <v/>
      </c>
      <c r="L1541" s="82">
        <f>IF(OR(Crate!$P25="",Crate!$P25=0),"",Crate!$Q25)</f>
        <v/>
      </c>
      <c r="M1541" s="82">
        <f>IF(OR(Crate!$P25="",Crate!$P25=0),"",Crate!$R25)</f>
        <v/>
      </c>
      <c r="N1541" s="81">
        <f>IF(OR(Crate!$P25="",Crate!$P25=0),"","مقابل")</f>
        <v/>
      </c>
      <c r="O1541" s="81">
        <f>IF(OR(Crate!$P25="",Crate!$P25=0),"",IFERROR(VLOOKUP(Crate!$P25,AcctTbl,3,0),""))</f>
        <v/>
      </c>
      <c r="P1541" s="82" t="inlineStr"/>
    </row>
    <row r="1542" ht="20.25" customHeight="1">
      <c r="A1542" s="80">
        <f>IF(OR(Crate!$E26="",Crate!$E26=0),"",Crate!$B26)</f>
        <v/>
      </c>
      <c r="B1542" s="80">
        <f>IF(OR(Crate!$E26="",Crate!$E26=0),"",Crate!$C26)</f>
        <v/>
      </c>
      <c r="C1542" s="80">
        <f>IF(OR(Crate!$E26="",Crate!$E26=0),"","سبد")</f>
        <v/>
      </c>
      <c r="D1542" s="80">
        <f>IF(OR(Crate!$E26="",Crate!$E26=0),"",Crate!$E26)</f>
        <v/>
      </c>
      <c r="E1542" s="81">
        <f>IF(OR(Crate!$E26="",Crate!$E26=0),"",Crate!$M26)</f>
        <v/>
      </c>
      <c r="G1542" s="82">
        <f>IF(OR(Crate!$E26="",Crate!$E26=0),"",Crate!$I26)</f>
        <v/>
      </c>
      <c r="J1542" s="82">
        <f>IF(OR(Crate!$E26="",Crate!$E26=0),"",Crate!$J26)</f>
        <v/>
      </c>
      <c r="K1542" s="82">
        <f>IF(OR(Crate!$E26="",Crate!$E26=0),"",IF(Crate!$N26="",0,Crate!$N26)+IF(Crate!$O26="",0,Crate!$O26))</f>
        <v/>
      </c>
      <c r="L1542" s="82">
        <f>IF(OR(Crate!$E26="",Crate!$E26=0),"",Crate!$N26)</f>
        <v/>
      </c>
      <c r="M1542" s="82">
        <f>IF(OR(Crate!$E26="",Crate!$E26=0),"",Crate!$O26)</f>
        <v/>
      </c>
      <c r="N1542" s="81">
        <f>IF(OR(Crate!$E26="",Crate!$E26=0),"",Crate!$D26)</f>
        <v/>
      </c>
      <c r="O1542" s="81">
        <f>IF(OR(Crate!$E26="",Crate!$E26=0),"",IFERROR(VLOOKUP(Crate!$E26,AcctTbl,3,0),""))</f>
        <v/>
      </c>
      <c r="P1542" s="82" t="inlineStr"/>
    </row>
    <row r="1543" ht="20.25" customHeight="1">
      <c r="A1543" s="80">
        <f>IF(OR(Crate!$P26="",Crate!$P26=0),"",Crate!$B26)</f>
        <v/>
      </c>
      <c r="B1543" s="80">
        <f>IF(OR(Crate!$P26="",Crate!$P26=0),"",Crate!$C26)</f>
        <v/>
      </c>
      <c r="C1543" s="80">
        <f>IF(OR(Crate!$P26="",Crate!$P26=0),"","سبد")</f>
        <v/>
      </c>
      <c r="D1543" s="80">
        <f>IF(OR(Crate!$P26="",Crate!$P26=0),"",Crate!$P26)</f>
        <v/>
      </c>
      <c r="E1543" s="81">
        <f>IF(OR(Crate!$P26="",Crate!$P26=0),"",IF(Crate!$P26="","","مقابل: "&amp;Crate!$D26))</f>
        <v/>
      </c>
      <c r="F1543" s="83" t="n"/>
      <c r="G1543" s="83" t="n"/>
      <c r="H1543" s="83" t="n"/>
      <c r="I1543" s="83" t="n"/>
      <c r="J1543" s="83" t="n"/>
      <c r="K1543" s="82">
        <f>IF(OR(Crate!$P26="",Crate!$P26=0),"",IF(Crate!$Q26="",0,Crate!$Q26)+IF(Crate!$R26="",0,Crate!$R26))</f>
        <v/>
      </c>
      <c r="L1543" s="82">
        <f>IF(OR(Crate!$P26="",Crate!$P26=0),"",Crate!$Q26)</f>
        <v/>
      </c>
      <c r="M1543" s="82">
        <f>IF(OR(Crate!$P26="",Crate!$P26=0),"",Crate!$R26)</f>
        <v/>
      </c>
      <c r="N1543" s="81">
        <f>IF(OR(Crate!$P26="",Crate!$P26=0),"","مقابل")</f>
        <v/>
      </c>
      <c r="O1543" s="81">
        <f>IF(OR(Crate!$P26="",Crate!$P26=0),"",IFERROR(VLOOKUP(Crate!$P26,AcctTbl,3,0),""))</f>
        <v/>
      </c>
      <c r="P1543" s="82" t="inlineStr"/>
    </row>
    <row r="1544" ht="20.25" customHeight="1">
      <c r="A1544" s="80">
        <f>IF(OR(Crate!$E27="",Crate!$E27=0),"",Crate!$B27)</f>
        <v/>
      </c>
      <c r="B1544" s="80">
        <f>IF(OR(Crate!$E27="",Crate!$E27=0),"",Crate!$C27)</f>
        <v/>
      </c>
      <c r="C1544" s="80">
        <f>IF(OR(Crate!$E27="",Crate!$E27=0),"","سبد")</f>
        <v/>
      </c>
      <c r="D1544" s="80">
        <f>IF(OR(Crate!$E27="",Crate!$E27=0),"",Crate!$E27)</f>
        <v/>
      </c>
      <c r="E1544" s="81">
        <f>IF(OR(Crate!$E27="",Crate!$E27=0),"",Crate!$M27)</f>
        <v/>
      </c>
      <c r="G1544" s="82">
        <f>IF(OR(Crate!$E27="",Crate!$E27=0),"",Crate!$I27)</f>
        <v/>
      </c>
      <c r="J1544" s="82">
        <f>IF(OR(Crate!$E27="",Crate!$E27=0),"",Crate!$J27)</f>
        <v/>
      </c>
      <c r="K1544" s="82">
        <f>IF(OR(Crate!$E27="",Crate!$E27=0),"",IF(Crate!$N27="",0,Crate!$N27)+IF(Crate!$O27="",0,Crate!$O27))</f>
        <v/>
      </c>
      <c r="L1544" s="82">
        <f>IF(OR(Crate!$E27="",Crate!$E27=0),"",Crate!$N27)</f>
        <v/>
      </c>
      <c r="M1544" s="82">
        <f>IF(OR(Crate!$E27="",Crate!$E27=0),"",Crate!$O27)</f>
        <v/>
      </c>
      <c r="N1544" s="81">
        <f>IF(OR(Crate!$E27="",Crate!$E27=0),"",Crate!$D27)</f>
        <v/>
      </c>
      <c r="O1544" s="81">
        <f>IF(OR(Crate!$E27="",Crate!$E27=0),"",IFERROR(VLOOKUP(Crate!$E27,AcctTbl,3,0),""))</f>
        <v/>
      </c>
      <c r="P1544" s="82" t="inlineStr"/>
    </row>
    <row r="1545" ht="20.25" customHeight="1">
      <c r="A1545" s="80">
        <f>IF(OR(Crate!$P27="",Crate!$P27=0),"",Crate!$B27)</f>
        <v/>
      </c>
      <c r="B1545" s="80">
        <f>IF(OR(Crate!$P27="",Crate!$P27=0),"",Crate!$C27)</f>
        <v/>
      </c>
      <c r="C1545" s="80">
        <f>IF(OR(Crate!$P27="",Crate!$P27=0),"","سبد")</f>
        <v/>
      </c>
      <c r="D1545" s="80">
        <f>IF(OR(Crate!$P27="",Crate!$P27=0),"",Crate!$P27)</f>
        <v/>
      </c>
      <c r="E1545" s="81">
        <f>IF(OR(Crate!$P27="",Crate!$P27=0),"",IF(Crate!$P27="","","مقابل: "&amp;Crate!$D27))</f>
        <v/>
      </c>
      <c r="F1545" s="83" t="n"/>
      <c r="G1545" s="83" t="n"/>
      <c r="H1545" s="83" t="n"/>
      <c r="I1545" s="83" t="n"/>
      <c r="J1545" s="83" t="n"/>
      <c r="K1545" s="82">
        <f>IF(OR(Crate!$P27="",Crate!$P27=0),"",IF(Crate!$Q27="",0,Crate!$Q27)+IF(Crate!$R27="",0,Crate!$R27))</f>
        <v/>
      </c>
      <c r="L1545" s="82">
        <f>IF(OR(Crate!$P27="",Crate!$P27=0),"",Crate!$Q27)</f>
        <v/>
      </c>
      <c r="M1545" s="82">
        <f>IF(OR(Crate!$P27="",Crate!$P27=0),"",Crate!$R27)</f>
        <v/>
      </c>
      <c r="N1545" s="81">
        <f>IF(OR(Crate!$P27="",Crate!$P27=0),"","مقابل")</f>
        <v/>
      </c>
      <c r="O1545" s="81">
        <f>IF(OR(Crate!$P27="",Crate!$P27=0),"",IFERROR(VLOOKUP(Crate!$P27,AcctTbl,3,0),""))</f>
        <v/>
      </c>
      <c r="P1545" s="82" t="inlineStr"/>
    </row>
    <row r="1546" ht="20.25" customHeight="1">
      <c r="A1546" s="80">
        <f>IF(OR(Crate!$E28="",Crate!$E28=0),"",Crate!$B28)</f>
        <v/>
      </c>
      <c r="B1546" s="80">
        <f>IF(OR(Crate!$E28="",Crate!$E28=0),"",Crate!$C28)</f>
        <v/>
      </c>
      <c r="C1546" s="80">
        <f>IF(OR(Crate!$E28="",Crate!$E28=0),"","سبد")</f>
        <v/>
      </c>
      <c r="D1546" s="80">
        <f>IF(OR(Crate!$E28="",Crate!$E28=0),"",Crate!$E28)</f>
        <v/>
      </c>
      <c r="E1546" s="81">
        <f>IF(OR(Crate!$E28="",Crate!$E28=0),"",Crate!$M28)</f>
        <v/>
      </c>
      <c r="G1546" s="82">
        <f>IF(OR(Crate!$E28="",Crate!$E28=0),"",Crate!$I28)</f>
        <v/>
      </c>
      <c r="J1546" s="82">
        <f>IF(OR(Crate!$E28="",Crate!$E28=0),"",Crate!$J28)</f>
        <v/>
      </c>
      <c r="K1546" s="82">
        <f>IF(OR(Crate!$E28="",Crate!$E28=0),"",IF(Crate!$N28="",0,Crate!$N28)+IF(Crate!$O28="",0,Crate!$O28))</f>
        <v/>
      </c>
      <c r="L1546" s="82">
        <f>IF(OR(Crate!$E28="",Crate!$E28=0),"",Crate!$N28)</f>
        <v/>
      </c>
      <c r="M1546" s="82">
        <f>IF(OR(Crate!$E28="",Crate!$E28=0),"",Crate!$O28)</f>
        <v/>
      </c>
      <c r="N1546" s="81">
        <f>IF(OR(Crate!$E28="",Crate!$E28=0),"",Crate!$D28)</f>
        <v/>
      </c>
      <c r="O1546" s="81">
        <f>IF(OR(Crate!$E28="",Crate!$E28=0),"",IFERROR(VLOOKUP(Crate!$E28,AcctTbl,3,0),""))</f>
        <v/>
      </c>
      <c r="P1546" s="82" t="inlineStr"/>
    </row>
    <row r="1547" ht="20.25" customHeight="1">
      <c r="A1547" s="80">
        <f>IF(OR(Crate!$P28="",Crate!$P28=0),"",Crate!$B28)</f>
        <v/>
      </c>
      <c r="B1547" s="80">
        <f>IF(OR(Crate!$P28="",Crate!$P28=0),"",Crate!$C28)</f>
        <v/>
      </c>
      <c r="C1547" s="80">
        <f>IF(OR(Crate!$P28="",Crate!$P28=0),"","سبد")</f>
        <v/>
      </c>
      <c r="D1547" s="80">
        <f>IF(OR(Crate!$P28="",Crate!$P28=0),"",Crate!$P28)</f>
        <v/>
      </c>
      <c r="E1547" s="81">
        <f>IF(OR(Crate!$P28="",Crate!$P28=0),"",IF(Crate!$P28="","","مقابل: "&amp;Crate!$D28))</f>
        <v/>
      </c>
      <c r="F1547" s="83" t="n"/>
      <c r="G1547" s="83" t="n"/>
      <c r="H1547" s="83" t="n"/>
      <c r="I1547" s="83" t="n"/>
      <c r="J1547" s="83" t="n"/>
      <c r="K1547" s="82">
        <f>IF(OR(Crate!$P28="",Crate!$P28=0),"",IF(Crate!$Q28="",0,Crate!$Q28)+IF(Crate!$R28="",0,Crate!$R28))</f>
        <v/>
      </c>
      <c r="L1547" s="82">
        <f>IF(OR(Crate!$P28="",Crate!$P28=0),"",Crate!$Q28)</f>
        <v/>
      </c>
      <c r="M1547" s="82">
        <f>IF(OR(Crate!$P28="",Crate!$P28=0),"",Crate!$R28)</f>
        <v/>
      </c>
      <c r="N1547" s="81">
        <f>IF(OR(Crate!$P28="",Crate!$P28=0),"","مقابل")</f>
        <v/>
      </c>
      <c r="O1547" s="81">
        <f>IF(OR(Crate!$P28="",Crate!$P28=0),"",IFERROR(VLOOKUP(Crate!$P28,AcctTbl,3,0),""))</f>
        <v/>
      </c>
      <c r="P1547" s="82" t="inlineStr"/>
    </row>
    <row r="1548" ht="20.25" customHeight="1">
      <c r="A1548" s="80">
        <f>IF(OR(Crate!$E29="",Crate!$E29=0),"",Crate!$B29)</f>
        <v/>
      </c>
      <c r="B1548" s="80">
        <f>IF(OR(Crate!$E29="",Crate!$E29=0),"",Crate!$C29)</f>
        <v/>
      </c>
      <c r="C1548" s="80">
        <f>IF(OR(Crate!$E29="",Crate!$E29=0),"","سبد")</f>
        <v/>
      </c>
      <c r="D1548" s="80">
        <f>IF(OR(Crate!$E29="",Crate!$E29=0),"",Crate!$E29)</f>
        <v/>
      </c>
      <c r="E1548" s="81">
        <f>IF(OR(Crate!$E29="",Crate!$E29=0),"",Crate!$M29)</f>
        <v/>
      </c>
      <c r="G1548" s="82">
        <f>IF(OR(Crate!$E29="",Crate!$E29=0),"",Crate!$I29)</f>
        <v/>
      </c>
      <c r="J1548" s="82">
        <f>IF(OR(Crate!$E29="",Crate!$E29=0),"",Crate!$J29)</f>
        <v/>
      </c>
      <c r="K1548" s="82">
        <f>IF(OR(Crate!$E29="",Crate!$E29=0),"",IF(Crate!$N29="",0,Crate!$N29)+IF(Crate!$O29="",0,Crate!$O29))</f>
        <v/>
      </c>
      <c r="L1548" s="82">
        <f>IF(OR(Crate!$E29="",Crate!$E29=0),"",Crate!$N29)</f>
        <v/>
      </c>
      <c r="M1548" s="82">
        <f>IF(OR(Crate!$E29="",Crate!$E29=0),"",Crate!$O29)</f>
        <v/>
      </c>
      <c r="N1548" s="81">
        <f>IF(OR(Crate!$E29="",Crate!$E29=0),"",Crate!$D29)</f>
        <v/>
      </c>
      <c r="O1548" s="81">
        <f>IF(OR(Crate!$E29="",Crate!$E29=0),"",IFERROR(VLOOKUP(Crate!$E29,AcctTbl,3,0),""))</f>
        <v/>
      </c>
      <c r="P1548" s="82" t="inlineStr"/>
    </row>
    <row r="1549" ht="20.25" customHeight="1">
      <c r="A1549" s="80">
        <f>IF(OR(Crate!$P29="",Crate!$P29=0),"",Crate!$B29)</f>
        <v/>
      </c>
      <c r="B1549" s="80">
        <f>IF(OR(Crate!$P29="",Crate!$P29=0),"",Crate!$C29)</f>
        <v/>
      </c>
      <c r="C1549" s="80">
        <f>IF(OR(Crate!$P29="",Crate!$P29=0),"","سبد")</f>
        <v/>
      </c>
      <c r="D1549" s="80">
        <f>IF(OR(Crate!$P29="",Crate!$P29=0),"",Crate!$P29)</f>
        <v/>
      </c>
      <c r="E1549" s="81">
        <f>IF(OR(Crate!$P29="",Crate!$P29=0),"",IF(Crate!$P29="","","مقابل: "&amp;Crate!$D29))</f>
        <v/>
      </c>
      <c r="F1549" s="83" t="n"/>
      <c r="G1549" s="83" t="n"/>
      <c r="H1549" s="83" t="n"/>
      <c r="I1549" s="83" t="n"/>
      <c r="J1549" s="83" t="n"/>
      <c r="K1549" s="82">
        <f>IF(OR(Crate!$P29="",Crate!$P29=0),"",IF(Crate!$Q29="",0,Crate!$Q29)+IF(Crate!$R29="",0,Crate!$R29))</f>
        <v/>
      </c>
      <c r="L1549" s="82">
        <f>IF(OR(Crate!$P29="",Crate!$P29=0),"",Crate!$Q29)</f>
        <v/>
      </c>
      <c r="M1549" s="82">
        <f>IF(OR(Crate!$P29="",Crate!$P29=0),"",Crate!$R29)</f>
        <v/>
      </c>
      <c r="N1549" s="81">
        <f>IF(OR(Crate!$P29="",Crate!$P29=0),"","مقابل")</f>
        <v/>
      </c>
      <c r="O1549" s="81">
        <f>IF(OR(Crate!$P29="",Crate!$P29=0),"",IFERROR(VLOOKUP(Crate!$P29,AcctTbl,3,0),""))</f>
        <v/>
      </c>
      <c r="P1549" s="82" t="inlineStr"/>
    </row>
    <row r="1550" ht="20.25" customHeight="1">
      <c r="A1550" s="80">
        <f>IF(OR(Crate!$E30="",Crate!$E30=0),"",Crate!$B30)</f>
        <v/>
      </c>
      <c r="B1550" s="80">
        <f>IF(OR(Crate!$E30="",Crate!$E30=0),"",Crate!$C30)</f>
        <v/>
      </c>
      <c r="C1550" s="80">
        <f>IF(OR(Crate!$E30="",Crate!$E30=0),"","سبد")</f>
        <v/>
      </c>
      <c r="D1550" s="80">
        <f>IF(OR(Crate!$E30="",Crate!$E30=0),"",Crate!$E30)</f>
        <v/>
      </c>
      <c r="E1550" s="81">
        <f>IF(OR(Crate!$E30="",Crate!$E30=0),"",Crate!$M30)</f>
        <v/>
      </c>
      <c r="G1550" s="82">
        <f>IF(OR(Crate!$E30="",Crate!$E30=0),"",Crate!$I30)</f>
        <v/>
      </c>
      <c r="J1550" s="82">
        <f>IF(OR(Crate!$E30="",Crate!$E30=0),"",Crate!$J30)</f>
        <v/>
      </c>
      <c r="K1550" s="82">
        <f>IF(OR(Crate!$E30="",Crate!$E30=0),"",IF(Crate!$N30="",0,Crate!$N30)+IF(Crate!$O30="",0,Crate!$O30))</f>
        <v/>
      </c>
      <c r="L1550" s="82">
        <f>IF(OR(Crate!$E30="",Crate!$E30=0),"",Crate!$N30)</f>
        <v/>
      </c>
      <c r="M1550" s="82">
        <f>IF(OR(Crate!$E30="",Crate!$E30=0),"",Crate!$O30)</f>
        <v/>
      </c>
      <c r="N1550" s="81">
        <f>IF(OR(Crate!$E30="",Crate!$E30=0),"",Crate!$D30)</f>
        <v/>
      </c>
      <c r="O1550" s="81">
        <f>IF(OR(Crate!$E30="",Crate!$E30=0),"",IFERROR(VLOOKUP(Crate!$E30,AcctTbl,3,0),""))</f>
        <v/>
      </c>
      <c r="P1550" s="82" t="inlineStr"/>
    </row>
    <row r="1551" ht="20.25" customHeight="1">
      <c r="A1551" s="80">
        <f>IF(OR(Crate!$P30="",Crate!$P30=0),"",Crate!$B30)</f>
        <v/>
      </c>
      <c r="B1551" s="80">
        <f>IF(OR(Crate!$P30="",Crate!$P30=0),"",Crate!$C30)</f>
        <v/>
      </c>
      <c r="C1551" s="80">
        <f>IF(OR(Crate!$P30="",Crate!$P30=0),"","سبد")</f>
        <v/>
      </c>
      <c r="D1551" s="80">
        <f>IF(OR(Crate!$P30="",Crate!$P30=0),"",Crate!$P30)</f>
        <v/>
      </c>
      <c r="E1551" s="81">
        <f>IF(OR(Crate!$P30="",Crate!$P30=0),"",IF(Crate!$P30="","","مقابل: "&amp;Crate!$D30))</f>
        <v/>
      </c>
      <c r="F1551" s="83" t="n"/>
      <c r="G1551" s="83" t="n"/>
      <c r="H1551" s="83" t="n"/>
      <c r="I1551" s="83" t="n"/>
      <c r="J1551" s="83" t="n"/>
      <c r="K1551" s="82">
        <f>IF(OR(Crate!$P30="",Crate!$P30=0),"",IF(Crate!$Q30="",0,Crate!$Q30)+IF(Crate!$R30="",0,Crate!$R30))</f>
        <v/>
      </c>
      <c r="L1551" s="82">
        <f>IF(OR(Crate!$P30="",Crate!$P30=0),"",Crate!$Q30)</f>
        <v/>
      </c>
      <c r="M1551" s="82">
        <f>IF(OR(Crate!$P30="",Crate!$P30=0),"",Crate!$R30)</f>
        <v/>
      </c>
      <c r="N1551" s="81">
        <f>IF(OR(Crate!$P30="",Crate!$P30=0),"","مقابل")</f>
        <v/>
      </c>
      <c r="O1551" s="81">
        <f>IF(OR(Crate!$P30="",Crate!$P30=0),"",IFERROR(VLOOKUP(Crate!$P30,AcctTbl,3,0),""))</f>
        <v/>
      </c>
      <c r="P1551" s="82" t="inlineStr"/>
    </row>
    <row r="1552" ht="20.25" customHeight="1">
      <c r="A1552" s="80">
        <f>IF(OR(Crate!$E31="",Crate!$E31=0),"",Crate!$B31)</f>
        <v/>
      </c>
      <c r="B1552" s="80">
        <f>IF(OR(Crate!$E31="",Crate!$E31=0),"",Crate!$C31)</f>
        <v/>
      </c>
      <c r="C1552" s="80">
        <f>IF(OR(Crate!$E31="",Crate!$E31=0),"","سبد")</f>
        <v/>
      </c>
      <c r="D1552" s="80">
        <f>IF(OR(Crate!$E31="",Crate!$E31=0),"",Crate!$E31)</f>
        <v/>
      </c>
      <c r="E1552" s="81">
        <f>IF(OR(Crate!$E31="",Crate!$E31=0),"",Crate!$M31)</f>
        <v/>
      </c>
      <c r="G1552" s="82">
        <f>IF(OR(Crate!$E31="",Crate!$E31=0),"",Crate!$I31)</f>
        <v/>
      </c>
      <c r="J1552" s="82">
        <f>IF(OR(Crate!$E31="",Crate!$E31=0),"",Crate!$J31)</f>
        <v/>
      </c>
      <c r="K1552" s="82">
        <f>IF(OR(Crate!$E31="",Crate!$E31=0),"",IF(Crate!$N31="",0,Crate!$N31)+IF(Crate!$O31="",0,Crate!$O31))</f>
        <v/>
      </c>
      <c r="L1552" s="82">
        <f>IF(OR(Crate!$E31="",Crate!$E31=0),"",Crate!$N31)</f>
        <v/>
      </c>
      <c r="M1552" s="82">
        <f>IF(OR(Crate!$E31="",Crate!$E31=0),"",Crate!$O31)</f>
        <v/>
      </c>
      <c r="N1552" s="81">
        <f>IF(OR(Crate!$E31="",Crate!$E31=0),"",Crate!$D31)</f>
        <v/>
      </c>
      <c r="O1552" s="81">
        <f>IF(OR(Crate!$E31="",Crate!$E31=0),"",IFERROR(VLOOKUP(Crate!$E31,AcctTbl,3,0),""))</f>
        <v/>
      </c>
      <c r="P1552" s="82" t="inlineStr"/>
    </row>
    <row r="1553" ht="20.25" customHeight="1">
      <c r="A1553" s="80">
        <f>IF(OR(Crate!$P31="",Crate!$P31=0),"",Crate!$B31)</f>
        <v/>
      </c>
      <c r="B1553" s="80">
        <f>IF(OR(Crate!$P31="",Crate!$P31=0),"",Crate!$C31)</f>
        <v/>
      </c>
      <c r="C1553" s="80">
        <f>IF(OR(Crate!$P31="",Crate!$P31=0),"","سبد")</f>
        <v/>
      </c>
      <c r="D1553" s="80">
        <f>IF(OR(Crate!$P31="",Crate!$P31=0),"",Crate!$P31)</f>
        <v/>
      </c>
      <c r="E1553" s="81">
        <f>IF(OR(Crate!$P31="",Crate!$P31=0),"",IF(Crate!$P31="","","مقابل: "&amp;Crate!$D31))</f>
        <v/>
      </c>
      <c r="F1553" s="83" t="n"/>
      <c r="G1553" s="83" t="n"/>
      <c r="H1553" s="83" t="n"/>
      <c r="I1553" s="83" t="n"/>
      <c r="J1553" s="83" t="n"/>
      <c r="K1553" s="82">
        <f>IF(OR(Crate!$P31="",Crate!$P31=0),"",IF(Crate!$Q31="",0,Crate!$Q31)+IF(Crate!$R31="",0,Crate!$R31))</f>
        <v/>
      </c>
      <c r="L1553" s="82">
        <f>IF(OR(Crate!$P31="",Crate!$P31=0),"",Crate!$Q31)</f>
        <v/>
      </c>
      <c r="M1553" s="82">
        <f>IF(OR(Crate!$P31="",Crate!$P31=0),"",Crate!$R31)</f>
        <v/>
      </c>
      <c r="N1553" s="81">
        <f>IF(OR(Crate!$P31="",Crate!$P31=0),"","مقابل")</f>
        <v/>
      </c>
      <c r="O1553" s="81">
        <f>IF(OR(Crate!$P31="",Crate!$P31=0),"",IFERROR(VLOOKUP(Crate!$P31,AcctTbl,3,0),""))</f>
        <v/>
      </c>
      <c r="P1553" s="82" t="inlineStr"/>
    </row>
    <row r="1554" ht="20.25" customHeight="1">
      <c r="A1554" s="80">
        <f>IF(OR(Crate!$E32="",Crate!$E32=0),"",Crate!$B32)</f>
        <v/>
      </c>
      <c r="B1554" s="80">
        <f>IF(OR(Crate!$E32="",Crate!$E32=0),"",Crate!$C32)</f>
        <v/>
      </c>
      <c r="C1554" s="80">
        <f>IF(OR(Crate!$E32="",Crate!$E32=0),"","سبد")</f>
        <v/>
      </c>
      <c r="D1554" s="80">
        <f>IF(OR(Crate!$E32="",Crate!$E32=0),"",Crate!$E32)</f>
        <v/>
      </c>
      <c r="E1554" s="81">
        <f>IF(OR(Crate!$E32="",Crate!$E32=0),"",Crate!$M32)</f>
        <v/>
      </c>
      <c r="G1554" s="82">
        <f>IF(OR(Crate!$E32="",Crate!$E32=0),"",Crate!$I32)</f>
        <v/>
      </c>
      <c r="J1554" s="82">
        <f>IF(OR(Crate!$E32="",Crate!$E32=0),"",Crate!$J32)</f>
        <v/>
      </c>
      <c r="K1554" s="82">
        <f>IF(OR(Crate!$E32="",Crate!$E32=0),"",IF(Crate!$N32="",0,Crate!$N32)+IF(Crate!$O32="",0,Crate!$O32))</f>
        <v/>
      </c>
      <c r="L1554" s="82">
        <f>IF(OR(Crate!$E32="",Crate!$E32=0),"",Crate!$N32)</f>
        <v/>
      </c>
      <c r="M1554" s="82">
        <f>IF(OR(Crate!$E32="",Crate!$E32=0),"",Crate!$O32)</f>
        <v/>
      </c>
      <c r="N1554" s="81">
        <f>IF(OR(Crate!$E32="",Crate!$E32=0),"",Crate!$D32)</f>
        <v/>
      </c>
      <c r="O1554" s="81">
        <f>IF(OR(Crate!$E32="",Crate!$E32=0),"",IFERROR(VLOOKUP(Crate!$E32,AcctTbl,3,0),""))</f>
        <v/>
      </c>
      <c r="P1554" s="82" t="inlineStr"/>
    </row>
    <row r="1555" ht="20.25" customHeight="1">
      <c r="A1555" s="80">
        <f>IF(OR(Crate!$P32="",Crate!$P32=0),"",Crate!$B32)</f>
        <v/>
      </c>
      <c r="B1555" s="80">
        <f>IF(OR(Crate!$P32="",Crate!$P32=0),"",Crate!$C32)</f>
        <v/>
      </c>
      <c r="C1555" s="80">
        <f>IF(OR(Crate!$P32="",Crate!$P32=0),"","سبد")</f>
        <v/>
      </c>
      <c r="D1555" s="80">
        <f>IF(OR(Crate!$P32="",Crate!$P32=0),"",Crate!$P32)</f>
        <v/>
      </c>
      <c r="E1555" s="81">
        <f>IF(OR(Crate!$P32="",Crate!$P32=0),"",IF(Crate!$P32="","","مقابل: "&amp;Crate!$D32))</f>
        <v/>
      </c>
      <c r="F1555" s="83" t="n"/>
      <c r="G1555" s="83" t="n"/>
      <c r="H1555" s="83" t="n"/>
      <c r="I1555" s="83" t="n"/>
      <c r="J1555" s="83" t="n"/>
      <c r="K1555" s="82">
        <f>IF(OR(Crate!$P32="",Crate!$P32=0),"",IF(Crate!$Q32="",0,Crate!$Q32)+IF(Crate!$R32="",0,Crate!$R32))</f>
        <v/>
      </c>
      <c r="L1555" s="82">
        <f>IF(OR(Crate!$P32="",Crate!$P32=0),"",Crate!$Q32)</f>
        <v/>
      </c>
      <c r="M1555" s="82">
        <f>IF(OR(Crate!$P32="",Crate!$P32=0),"",Crate!$R32)</f>
        <v/>
      </c>
      <c r="N1555" s="81">
        <f>IF(OR(Crate!$P32="",Crate!$P32=0),"","مقابل")</f>
        <v/>
      </c>
      <c r="O1555" s="81">
        <f>IF(OR(Crate!$P32="",Crate!$P32=0),"",IFERROR(VLOOKUP(Crate!$P32,AcctTbl,3,0),""))</f>
        <v/>
      </c>
      <c r="P1555" s="82" t="inlineStr"/>
    </row>
    <row r="1556" ht="20.25" customHeight="1">
      <c r="A1556" s="80">
        <f>IF(OR(Crate!$E33="",Crate!$E33=0),"",Crate!$B33)</f>
        <v/>
      </c>
      <c r="B1556" s="80">
        <f>IF(OR(Crate!$E33="",Crate!$E33=0),"",Crate!$C33)</f>
        <v/>
      </c>
      <c r="C1556" s="80">
        <f>IF(OR(Crate!$E33="",Crate!$E33=0),"","سبد")</f>
        <v/>
      </c>
      <c r="D1556" s="80">
        <f>IF(OR(Crate!$E33="",Crate!$E33=0),"",Crate!$E33)</f>
        <v/>
      </c>
      <c r="E1556" s="81">
        <f>IF(OR(Crate!$E33="",Crate!$E33=0),"",Crate!$M33)</f>
        <v/>
      </c>
      <c r="G1556" s="82">
        <f>IF(OR(Crate!$E33="",Crate!$E33=0),"",Crate!$I33)</f>
        <v/>
      </c>
      <c r="J1556" s="82">
        <f>IF(OR(Crate!$E33="",Crate!$E33=0),"",Crate!$J33)</f>
        <v/>
      </c>
      <c r="K1556" s="82">
        <f>IF(OR(Crate!$E33="",Crate!$E33=0),"",IF(Crate!$N33="",0,Crate!$N33)+IF(Crate!$O33="",0,Crate!$O33))</f>
        <v/>
      </c>
      <c r="L1556" s="82">
        <f>IF(OR(Crate!$E33="",Crate!$E33=0),"",Crate!$N33)</f>
        <v/>
      </c>
      <c r="M1556" s="82">
        <f>IF(OR(Crate!$E33="",Crate!$E33=0),"",Crate!$O33)</f>
        <v/>
      </c>
      <c r="N1556" s="81">
        <f>IF(OR(Crate!$E33="",Crate!$E33=0),"",Crate!$D33)</f>
        <v/>
      </c>
      <c r="O1556" s="81">
        <f>IF(OR(Crate!$E33="",Crate!$E33=0),"",IFERROR(VLOOKUP(Crate!$E33,AcctTbl,3,0),""))</f>
        <v/>
      </c>
      <c r="P1556" s="82" t="inlineStr"/>
    </row>
    <row r="1557" ht="20.25" customHeight="1">
      <c r="A1557" s="80">
        <f>IF(OR(Crate!$P33="",Crate!$P33=0),"",Crate!$B33)</f>
        <v/>
      </c>
      <c r="B1557" s="80">
        <f>IF(OR(Crate!$P33="",Crate!$P33=0),"",Crate!$C33)</f>
        <v/>
      </c>
      <c r="C1557" s="80">
        <f>IF(OR(Crate!$P33="",Crate!$P33=0),"","سبد")</f>
        <v/>
      </c>
      <c r="D1557" s="80">
        <f>IF(OR(Crate!$P33="",Crate!$P33=0),"",Crate!$P33)</f>
        <v/>
      </c>
      <c r="E1557" s="81">
        <f>IF(OR(Crate!$P33="",Crate!$P33=0),"",IF(Crate!$P33="","","مقابل: "&amp;Crate!$D33))</f>
        <v/>
      </c>
      <c r="F1557" s="83" t="n"/>
      <c r="G1557" s="83" t="n"/>
      <c r="H1557" s="83" t="n"/>
      <c r="I1557" s="83" t="n"/>
      <c r="J1557" s="83" t="n"/>
      <c r="K1557" s="82">
        <f>IF(OR(Crate!$P33="",Crate!$P33=0),"",IF(Crate!$Q33="",0,Crate!$Q33)+IF(Crate!$R33="",0,Crate!$R33))</f>
        <v/>
      </c>
      <c r="L1557" s="82">
        <f>IF(OR(Crate!$P33="",Crate!$P33=0),"",Crate!$Q33)</f>
        <v/>
      </c>
      <c r="M1557" s="82">
        <f>IF(OR(Crate!$P33="",Crate!$P33=0),"",Crate!$R33)</f>
        <v/>
      </c>
      <c r="N1557" s="81">
        <f>IF(OR(Crate!$P33="",Crate!$P33=0),"","مقابل")</f>
        <v/>
      </c>
      <c r="O1557" s="81">
        <f>IF(OR(Crate!$P33="",Crate!$P33=0),"",IFERROR(VLOOKUP(Crate!$P33,AcctTbl,3,0),""))</f>
        <v/>
      </c>
      <c r="P1557" s="82" t="inlineStr"/>
    </row>
    <row r="1558" ht="20.25" customHeight="1">
      <c r="A1558" s="80">
        <f>IF(OR(Crate!$E34="",Crate!$E34=0),"",Crate!$B34)</f>
        <v/>
      </c>
      <c r="B1558" s="80">
        <f>IF(OR(Crate!$E34="",Crate!$E34=0),"",Crate!$C34)</f>
        <v/>
      </c>
      <c r="C1558" s="80">
        <f>IF(OR(Crate!$E34="",Crate!$E34=0),"","سبد")</f>
        <v/>
      </c>
      <c r="D1558" s="80">
        <f>IF(OR(Crate!$E34="",Crate!$E34=0),"",Crate!$E34)</f>
        <v/>
      </c>
      <c r="E1558" s="81">
        <f>IF(OR(Crate!$E34="",Crate!$E34=0),"",Crate!$M34)</f>
        <v/>
      </c>
      <c r="G1558" s="82">
        <f>IF(OR(Crate!$E34="",Crate!$E34=0),"",Crate!$I34)</f>
        <v/>
      </c>
      <c r="J1558" s="82">
        <f>IF(OR(Crate!$E34="",Crate!$E34=0),"",Crate!$J34)</f>
        <v/>
      </c>
      <c r="K1558" s="82">
        <f>IF(OR(Crate!$E34="",Crate!$E34=0),"",IF(Crate!$N34="",0,Crate!$N34)+IF(Crate!$O34="",0,Crate!$O34))</f>
        <v/>
      </c>
      <c r="L1558" s="82">
        <f>IF(OR(Crate!$E34="",Crate!$E34=0),"",Crate!$N34)</f>
        <v/>
      </c>
      <c r="M1558" s="82">
        <f>IF(OR(Crate!$E34="",Crate!$E34=0),"",Crate!$O34)</f>
        <v/>
      </c>
      <c r="N1558" s="81">
        <f>IF(OR(Crate!$E34="",Crate!$E34=0),"",Crate!$D34)</f>
        <v/>
      </c>
      <c r="O1558" s="81">
        <f>IF(OR(Crate!$E34="",Crate!$E34=0),"",IFERROR(VLOOKUP(Crate!$E34,AcctTbl,3,0),""))</f>
        <v/>
      </c>
      <c r="P1558" s="82" t="inlineStr"/>
    </row>
    <row r="1559" ht="20.25" customHeight="1">
      <c r="A1559" s="80">
        <f>IF(OR(Crate!$P34="",Crate!$P34=0),"",Crate!$B34)</f>
        <v/>
      </c>
      <c r="B1559" s="80">
        <f>IF(OR(Crate!$P34="",Crate!$P34=0),"",Crate!$C34)</f>
        <v/>
      </c>
      <c r="C1559" s="80">
        <f>IF(OR(Crate!$P34="",Crate!$P34=0),"","سبد")</f>
        <v/>
      </c>
      <c r="D1559" s="80">
        <f>IF(OR(Crate!$P34="",Crate!$P34=0),"",Crate!$P34)</f>
        <v/>
      </c>
      <c r="E1559" s="81">
        <f>IF(OR(Crate!$P34="",Crate!$P34=0),"",IF(Crate!$P34="","","مقابل: "&amp;Crate!$D34))</f>
        <v/>
      </c>
      <c r="F1559" s="83" t="n"/>
      <c r="G1559" s="83" t="n"/>
      <c r="H1559" s="83" t="n"/>
      <c r="I1559" s="83" t="n"/>
      <c r="J1559" s="83" t="n"/>
      <c r="K1559" s="82">
        <f>IF(OR(Crate!$P34="",Crate!$P34=0),"",IF(Crate!$Q34="",0,Crate!$Q34)+IF(Crate!$R34="",0,Crate!$R34))</f>
        <v/>
      </c>
      <c r="L1559" s="82">
        <f>IF(OR(Crate!$P34="",Crate!$P34=0),"",Crate!$Q34)</f>
        <v/>
      </c>
      <c r="M1559" s="82">
        <f>IF(OR(Crate!$P34="",Crate!$P34=0),"",Crate!$R34)</f>
        <v/>
      </c>
      <c r="N1559" s="81">
        <f>IF(OR(Crate!$P34="",Crate!$P34=0),"","مقابل")</f>
        <v/>
      </c>
      <c r="O1559" s="81">
        <f>IF(OR(Crate!$P34="",Crate!$P34=0),"",IFERROR(VLOOKUP(Crate!$P34,AcctTbl,3,0),""))</f>
        <v/>
      </c>
      <c r="P1559" s="82" t="inlineStr"/>
    </row>
    <row r="1560" ht="20.25" customHeight="1">
      <c r="A1560" s="80">
        <f>IF(OR(Crate!$E35="",Crate!$E35=0),"",Crate!$B35)</f>
        <v/>
      </c>
      <c r="B1560" s="80">
        <f>IF(OR(Crate!$E35="",Crate!$E35=0),"",Crate!$C35)</f>
        <v/>
      </c>
      <c r="C1560" s="80">
        <f>IF(OR(Crate!$E35="",Crate!$E35=0),"","سبد")</f>
        <v/>
      </c>
      <c r="D1560" s="80">
        <f>IF(OR(Crate!$E35="",Crate!$E35=0),"",Crate!$E35)</f>
        <v/>
      </c>
      <c r="E1560" s="81">
        <f>IF(OR(Crate!$E35="",Crate!$E35=0),"",Crate!$M35)</f>
        <v/>
      </c>
      <c r="G1560" s="82">
        <f>IF(OR(Crate!$E35="",Crate!$E35=0),"",Crate!$I35)</f>
        <v/>
      </c>
      <c r="J1560" s="82">
        <f>IF(OR(Crate!$E35="",Crate!$E35=0),"",Crate!$J35)</f>
        <v/>
      </c>
      <c r="K1560" s="82">
        <f>IF(OR(Crate!$E35="",Crate!$E35=0),"",IF(Crate!$N35="",0,Crate!$N35)+IF(Crate!$O35="",0,Crate!$O35))</f>
        <v/>
      </c>
      <c r="L1560" s="82">
        <f>IF(OR(Crate!$E35="",Crate!$E35=0),"",Crate!$N35)</f>
        <v/>
      </c>
      <c r="M1560" s="82">
        <f>IF(OR(Crate!$E35="",Crate!$E35=0),"",Crate!$O35)</f>
        <v/>
      </c>
      <c r="N1560" s="81">
        <f>IF(OR(Crate!$E35="",Crate!$E35=0),"",Crate!$D35)</f>
        <v/>
      </c>
      <c r="O1560" s="81">
        <f>IF(OR(Crate!$E35="",Crate!$E35=0),"",IFERROR(VLOOKUP(Crate!$E35,AcctTbl,3,0),""))</f>
        <v/>
      </c>
      <c r="P1560" s="82" t="inlineStr"/>
    </row>
    <row r="1561" ht="20.25" customHeight="1">
      <c r="A1561" s="80">
        <f>IF(OR(Crate!$P35="",Crate!$P35=0),"",Crate!$B35)</f>
        <v/>
      </c>
      <c r="B1561" s="80">
        <f>IF(OR(Crate!$P35="",Crate!$P35=0),"",Crate!$C35)</f>
        <v/>
      </c>
      <c r="C1561" s="80">
        <f>IF(OR(Crate!$P35="",Crate!$P35=0),"","سبد")</f>
        <v/>
      </c>
      <c r="D1561" s="80">
        <f>IF(OR(Crate!$P35="",Crate!$P35=0),"",Crate!$P35)</f>
        <v/>
      </c>
      <c r="E1561" s="81">
        <f>IF(OR(Crate!$P35="",Crate!$P35=0),"",IF(Crate!$P35="","","مقابل: "&amp;Crate!$D35))</f>
        <v/>
      </c>
      <c r="F1561" s="83" t="n"/>
      <c r="G1561" s="83" t="n"/>
      <c r="H1561" s="83" t="n"/>
      <c r="I1561" s="83" t="n"/>
      <c r="J1561" s="83" t="n"/>
      <c r="K1561" s="82">
        <f>IF(OR(Crate!$P35="",Crate!$P35=0),"",IF(Crate!$Q35="",0,Crate!$Q35)+IF(Crate!$R35="",0,Crate!$R35))</f>
        <v/>
      </c>
      <c r="L1561" s="82">
        <f>IF(OR(Crate!$P35="",Crate!$P35=0),"",Crate!$Q35)</f>
        <v/>
      </c>
      <c r="M1561" s="82">
        <f>IF(OR(Crate!$P35="",Crate!$P35=0),"",Crate!$R35)</f>
        <v/>
      </c>
      <c r="N1561" s="81">
        <f>IF(OR(Crate!$P35="",Crate!$P35=0),"","مقابل")</f>
        <v/>
      </c>
      <c r="O1561" s="81">
        <f>IF(OR(Crate!$P35="",Crate!$P35=0),"",IFERROR(VLOOKUP(Crate!$P35,AcctTbl,3,0),""))</f>
        <v/>
      </c>
      <c r="P1561" s="82" t="inlineStr"/>
    </row>
    <row r="1562" ht="20.25" customHeight="1">
      <c r="A1562" s="80">
        <f>IF(OR(Crate!$E36="",Crate!$E36=0),"",Crate!$B36)</f>
        <v/>
      </c>
      <c r="B1562" s="80">
        <f>IF(OR(Crate!$E36="",Crate!$E36=0),"",Crate!$C36)</f>
        <v/>
      </c>
      <c r="C1562" s="80">
        <f>IF(OR(Crate!$E36="",Crate!$E36=0),"","سبد")</f>
        <v/>
      </c>
      <c r="D1562" s="80">
        <f>IF(OR(Crate!$E36="",Crate!$E36=0),"",Crate!$E36)</f>
        <v/>
      </c>
      <c r="E1562" s="81">
        <f>IF(OR(Crate!$E36="",Crate!$E36=0),"",Crate!$M36)</f>
        <v/>
      </c>
      <c r="G1562" s="82">
        <f>IF(OR(Crate!$E36="",Crate!$E36=0),"",Crate!$I36)</f>
        <v/>
      </c>
      <c r="J1562" s="82">
        <f>IF(OR(Crate!$E36="",Crate!$E36=0),"",Crate!$J36)</f>
        <v/>
      </c>
      <c r="K1562" s="82">
        <f>IF(OR(Crate!$E36="",Crate!$E36=0),"",IF(Crate!$N36="",0,Crate!$N36)+IF(Crate!$O36="",0,Crate!$O36))</f>
        <v/>
      </c>
      <c r="L1562" s="82">
        <f>IF(OR(Crate!$E36="",Crate!$E36=0),"",Crate!$N36)</f>
        <v/>
      </c>
      <c r="M1562" s="82">
        <f>IF(OR(Crate!$E36="",Crate!$E36=0),"",Crate!$O36)</f>
        <v/>
      </c>
      <c r="N1562" s="81">
        <f>IF(OR(Crate!$E36="",Crate!$E36=0),"",Crate!$D36)</f>
        <v/>
      </c>
      <c r="O1562" s="81">
        <f>IF(OR(Crate!$E36="",Crate!$E36=0),"",IFERROR(VLOOKUP(Crate!$E36,AcctTbl,3,0),""))</f>
        <v/>
      </c>
      <c r="P1562" s="82" t="inlineStr"/>
    </row>
    <row r="1563" ht="20.25" customHeight="1">
      <c r="A1563" s="80">
        <f>IF(OR(Crate!$P36="",Crate!$P36=0),"",Crate!$B36)</f>
        <v/>
      </c>
      <c r="B1563" s="80">
        <f>IF(OR(Crate!$P36="",Crate!$P36=0),"",Crate!$C36)</f>
        <v/>
      </c>
      <c r="C1563" s="80">
        <f>IF(OR(Crate!$P36="",Crate!$P36=0),"","سبد")</f>
        <v/>
      </c>
      <c r="D1563" s="80">
        <f>IF(OR(Crate!$P36="",Crate!$P36=0),"",Crate!$P36)</f>
        <v/>
      </c>
      <c r="E1563" s="81">
        <f>IF(OR(Crate!$P36="",Crate!$P36=0),"",IF(Crate!$P36="","","مقابل: "&amp;Crate!$D36))</f>
        <v/>
      </c>
      <c r="F1563" s="83" t="n"/>
      <c r="G1563" s="83" t="n"/>
      <c r="H1563" s="83" t="n"/>
      <c r="I1563" s="83" t="n"/>
      <c r="J1563" s="83" t="n"/>
      <c r="K1563" s="82">
        <f>IF(OR(Crate!$P36="",Crate!$P36=0),"",IF(Crate!$Q36="",0,Crate!$Q36)+IF(Crate!$R36="",0,Crate!$R36))</f>
        <v/>
      </c>
      <c r="L1563" s="82">
        <f>IF(OR(Crate!$P36="",Crate!$P36=0),"",Crate!$Q36)</f>
        <v/>
      </c>
      <c r="M1563" s="82">
        <f>IF(OR(Crate!$P36="",Crate!$P36=0),"",Crate!$R36)</f>
        <v/>
      </c>
      <c r="N1563" s="81">
        <f>IF(OR(Crate!$P36="",Crate!$P36=0),"","مقابل")</f>
        <v/>
      </c>
      <c r="O1563" s="81">
        <f>IF(OR(Crate!$P36="",Crate!$P36=0),"",IFERROR(VLOOKUP(Crate!$P36,AcctTbl,3,0),""))</f>
        <v/>
      </c>
      <c r="P1563" s="82" t="inlineStr"/>
    </row>
    <row r="1564" ht="20.25" customHeight="1">
      <c r="A1564" s="80">
        <f>IF(OR(Crate!$E37="",Crate!$E37=0),"",Crate!$B37)</f>
        <v/>
      </c>
      <c r="B1564" s="80">
        <f>IF(OR(Crate!$E37="",Crate!$E37=0),"",Crate!$C37)</f>
        <v/>
      </c>
      <c r="C1564" s="80">
        <f>IF(OR(Crate!$E37="",Crate!$E37=0),"","سبد")</f>
        <v/>
      </c>
      <c r="D1564" s="80">
        <f>IF(OR(Crate!$E37="",Crate!$E37=0),"",Crate!$E37)</f>
        <v/>
      </c>
      <c r="E1564" s="81">
        <f>IF(OR(Crate!$E37="",Crate!$E37=0),"",Crate!$M37)</f>
        <v/>
      </c>
      <c r="G1564" s="82">
        <f>IF(OR(Crate!$E37="",Crate!$E37=0),"",Crate!$I37)</f>
        <v/>
      </c>
      <c r="J1564" s="82">
        <f>IF(OR(Crate!$E37="",Crate!$E37=0),"",Crate!$J37)</f>
        <v/>
      </c>
      <c r="K1564" s="82">
        <f>IF(OR(Crate!$E37="",Crate!$E37=0),"",IF(Crate!$N37="",0,Crate!$N37)+IF(Crate!$O37="",0,Crate!$O37))</f>
        <v/>
      </c>
      <c r="L1564" s="82">
        <f>IF(OR(Crate!$E37="",Crate!$E37=0),"",Crate!$N37)</f>
        <v/>
      </c>
      <c r="M1564" s="82">
        <f>IF(OR(Crate!$E37="",Crate!$E37=0),"",Crate!$O37)</f>
        <v/>
      </c>
      <c r="N1564" s="81">
        <f>IF(OR(Crate!$E37="",Crate!$E37=0),"",Crate!$D37)</f>
        <v/>
      </c>
      <c r="O1564" s="81">
        <f>IF(OR(Crate!$E37="",Crate!$E37=0),"",IFERROR(VLOOKUP(Crate!$E37,AcctTbl,3,0),""))</f>
        <v/>
      </c>
      <c r="P1564" s="82" t="inlineStr"/>
    </row>
    <row r="1565" ht="20.25" customHeight="1">
      <c r="A1565" s="80">
        <f>IF(OR(Crate!$P37="",Crate!$P37=0),"",Crate!$B37)</f>
        <v/>
      </c>
      <c r="B1565" s="80">
        <f>IF(OR(Crate!$P37="",Crate!$P37=0),"",Crate!$C37)</f>
        <v/>
      </c>
      <c r="C1565" s="80">
        <f>IF(OR(Crate!$P37="",Crate!$P37=0),"","سبد")</f>
        <v/>
      </c>
      <c r="D1565" s="80">
        <f>IF(OR(Crate!$P37="",Crate!$P37=0),"",Crate!$P37)</f>
        <v/>
      </c>
      <c r="E1565" s="81">
        <f>IF(OR(Crate!$P37="",Crate!$P37=0),"",IF(Crate!$P37="","","مقابل: "&amp;Crate!$D37))</f>
        <v/>
      </c>
      <c r="F1565" s="83" t="n"/>
      <c r="G1565" s="83" t="n"/>
      <c r="H1565" s="83" t="n"/>
      <c r="I1565" s="83" t="n"/>
      <c r="J1565" s="83" t="n"/>
      <c r="K1565" s="82">
        <f>IF(OR(Crate!$P37="",Crate!$P37=0),"",IF(Crate!$Q37="",0,Crate!$Q37)+IF(Crate!$R37="",0,Crate!$R37))</f>
        <v/>
      </c>
      <c r="L1565" s="82">
        <f>IF(OR(Crate!$P37="",Crate!$P37=0),"",Crate!$Q37)</f>
        <v/>
      </c>
      <c r="M1565" s="82">
        <f>IF(OR(Crate!$P37="",Crate!$P37=0),"",Crate!$R37)</f>
        <v/>
      </c>
      <c r="N1565" s="81">
        <f>IF(OR(Crate!$P37="",Crate!$P37=0),"","مقابل")</f>
        <v/>
      </c>
      <c r="O1565" s="81">
        <f>IF(OR(Crate!$P37="",Crate!$P37=0),"",IFERROR(VLOOKUP(Crate!$P37,AcctTbl,3,0),""))</f>
        <v/>
      </c>
      <c r="P1565" s="82" t="inlineStr"/>
    </row>
    <row r="1566" ht="20.25" customHeight="1">
      <c r="A1566" s="80">
        <f>IF(OR(Crate!$E38="",Crate!$E38=0),"",Crate!$B38)</f>
        <v/>
      </c>
      <c r="B1566" s="80">
        <f>IF(OR(Crate!$E38="",Crate!$E38=0),"",Crate!$C38)</f>
        <v/>
      </c>
      <c r="C1566" s="80">
        <f>IF(OR(Crate!$E38="",Crate!$E38=0),"","سبد")</f>
        <v/>
      </c>
      <c r="D1566" s="80">
        <f>IF(OR(Crate!$E38="",Crate!$E38=0),"",Crate!$E38)</f>
        <v/>
      </c>
      <c r="E1566" s="81">
        <f>IF(OR(Crate!$E38="",Crate!$E38=0),"",Crate!$M38)</f>
        <v/>
      </c>
      <c r="G1566" s="82">
        <f>IF(OR(Crate!$E38="",Crate!$E38=0),"",Crate!$I38)</f>
        <v/>
      </c>
      <c r="J1566" s="82">
        <f>IF(OR(Crate!$E38="",Crate!$E38=0),"",Crate!$J38)</f>
        <v/>
      </c>
      <c r="K1566" s="82">
        <f>IF(OR(Crate!$E38="",Crate!$E38=0),"",IF(Crate!$N38="",0,Crate!$N38)+IF(Crate!$O38="",0,Crate!$O38))</f>
        <v/>
      </c>
      <c r="L1566" s="82">
        <f>IF(OR(Crate!$E38="",Crate!$E38=0),"",Crate!$N38)</f>
        <v/>
      </c>
      <c r="M1566" s="82">
        <f>IF(OR(Crate!$E38="",Crate!$E38=0),"",Crate!$O38)</f>
        <v/>
      </c>
      <c r="N1566" s="81">
        <f>IF(OR(Crate!$E38="",Crate!$E38=0),"",Crate!$D38)</f>
        <v/>
      </c>
      <c r="O1566" s="81">
        <f>IF(OR(Crate!$E38="",Crate!$E38=0),"",IFERROR(VLOOKUP(Crate!$E38,AcctTbl,3,0),""))</f>
        <v/>
      </c>
      <c r="P1566" s="82" t="inlineStr"/>
    </row>
    <row r="1567" ht="20.25" customHeight="1">
      <c r="A1567" s="80">
        <f>IF(OR(Crate!$P38="",Crate!$P38=0),"",Crate!$B38)</f>
        <v/>
      </c>
      <c r="B1567" s="80">
        <f>IF(OR(Crate!$P38="",Crate!$P38=0),"",Crate!$C38)</f>
        <v/>
      </c>
      <c r="C1567" s="80">
        <f>IF(OR(Crate!$P38="",Crate!$P38=0),"","سبد")</f>
        <v/>
      </c>
      <c r="D1567" s="80">
        <f>IF(OR(Crate!$P38="",Crate!$P38=0),"",Crate!$P38)</f>
        <v/>
      </c>
      <c r="E1567" s="81">
        <f>IF(OR(Crate!$P38="",Crate!$P38=0),"",IF(Crate!$P38="","","مقابل: "&amp;Crate!$D38))</f>
        <v/>
      </c>
      <c r="F1567" s="83" t="n"/>
      <c r="G1567" s="83" t="n"/>
      <c r="H1567" s="83" t="n"/>
      <c r="I1567" s="83" t="n"/>
      <c r="J1567" s="83" t="n"/>
      <c r="K1567" s="82">
        <f>IF(OR(Crate!$P38="",Crate!$P38=0),"",IF(Crate!$Q38="",0,Crate!$Q38)+IF(Crate!$R38="",0,Crate!$R38))</f>
        <v/>
      </c>
      <c r="L1567" s="82">
        <f>IF(OR(Crate!$P38="",Crate!$P38=0),"",Crate!$Q38)</f>
        <v/>
      </c>
      <c r="M1567" s="82">
        <f>IF(OR(Crate!$P38="",Crate!$P38=0),"",Crate!$R38)</f>
        <v/>
      </c>
      <c r="N1567" s="81">
        <f>IF(OR(Crate!$P38="",Crate!$P38=0),"","مقابل")</f>
        <v/>
      </c>
      <c r="O1567" s="81">
        <f>IF(OR(Crate!$P38="",Crate!$P38=0),"",IFERROR(VLOOKUP(Crate!$P38,AcctTbl,3,0),""))</f>
        <v/>
      </c>
      <c r="P1567" s="82" t="inlineStr"/>
    </row>
    <row r="1568" ht="20.25" customHeight="1">
      <c r="A1568" s="80">
        <f>IF(OR(Crate!$E39="",Crate!$E39=0),"",Crate!$B39)</f>
        <v/>
      </c>
      <c r="B1568" s="80">
        <f>IF(OR(Crate!$E39="",Crate!$E39=0),"",Crate!$C39)</f>
        <v/>
      </c>
      <c r="C1568" s="80">
        <f>IF(OR(Crate!$E39="",Crate!$E39=0),"","سبد")</f>
        <v/>
      </c>
      <c r="D1568" s="80">
        <f>IF(OR(Crate!$E39="",Crate!$E39=0),"",Crate!$E39)</f>
        <v/>
      </c>
      <c r="E1568" s="81">
        <f>IF(OR(Crate!$E39="",Crate!$E39=0),"",Crate!$M39)</f>
        <v/>
      </c>
      <c r="G1568" s="82">
        <f>IF(OR(Crate!$E39="",Crate!$E39=0),"",Crate!$I39)</f>
        <v/>
      </c>
      <c r="J1568" s="82">
        <f>IF(OR(Crate!$E39="",Crate!$E39=0),"",Crate!$J39)</f>
        <v/>
      </c>
      <c r="K1568" s="82">
        <f>IF(OR(Crate!$E39="",Crate!$E39=0),"",IF(Crate!$N39="",0,Crate!$N39)+IF(Crate!$O39="",0,Crate!$O39))</f>
        <v/>
      </c>
      <c r="L1568" s="82">
        <f>IF(OR(Crate!$E39="",Crate!$E39=0),"",Crate!$N39)</f>
        <v/>
      </c>
      <c r="M1568" s="82">
        <f>IF(OR(Crate!$E39="",Crate!$E39=0),"",Crate!$O39)</f>
        <v/>
      </c>
      <c r="N1568" s="81">
        <f>IF(OR(Crate!$E39="",Crate!$E39=0),"",Crate!$D39)</f>
        <v/>
      </c>
      <c r="O1568" s="81">
        <f>IF(OR(Crate!$E39="",Crate!$E39=0),"",IFERROR(VLOOKUP(Crate!$E39,AcctTbl,3,0),""))</f>
        <v/>
      </c>
      <c r="P1568" s="82" t="inlineStr"/>
    </row>
    <row r="1569" ht="20.25" customHeight="1">
      <c r="A1569" s="80">
        <f>IF(OR(Crate!$P39="",Crate!$P39=0),"",Crate!$B39)</f>
        <v/>
      </c>
      <c r="B1569" s="80">
        <f>IF(OR(Crate!$P39="",Crate!$P39=0),"",Crate!$C39)</f>
        <v/>
      </c>
      <c r="C1569" s="80">
        <f>IF(OR(Crate!$P39="",Crate!$P39=0),"","سبد")</f>
        <v/>
      </c>
      <c r="D1569" s="80">
        <f>IF(OR(Crate!$P39="",Crate!$P39=0),"",Crate!$P39)</f>
        <v/>
      </c>
      <c r="E1569" s="81">
        <f>IF(OR(Crate!$P39="",Crate!$P39=0),"",IF(Crate!$P39="","","مقابل: "&amp;Crate!$D39))</f>
        <v/>
      </c>
      <c r="F1569" s="83" t="n"/>
      <c r="G1569" s="83" t="n"/>
      <c r="H1569" s="83" t="n"/>
      <c r="I1569" s="83" t="n"/>
      <c r="J1569" s="83" t="n"/>
      <c r="K1569" s="82">
        <f>IF(OR(Crate!$P39="",Crate!$P39=0),"",IF(Crate!$Q39="",0,Crate!$Q39)+IF(Crate!$R39="",0,Crate!$R39))</f>
        <v/>
      </c>
      <c r="L1569" s="82">
        <f>IF(OR(Crate!$P39="",Crate!$P39=0),"",Crate!$Q39)</f>
        <v/>
      </c>
      <c r="M1569" s="82">
        <f>IF(OR(Crate!$P39="",Crate!$P39=0),"",Crate!$R39)</f>
        <v/>
      </c>
      <c r="N1569" s="81">
        <f>IF(OR(Crate!$P39="",Crate!$P39=0),"","مقابل")</f>
        <v/>
      </c>
      <c r="O1569" s="81">
        <f>IF(OR(Crate!$P39="",Crate!$P39=0),"",IFERROR(VLOOKUP(Crate!$P39,AcctTbl,3,0),""))</f>
        <v/>
      </c>
      <c r="P1569" s="82" t="inlineStr"/>
    </row>
    <row r="1570" ht="20.25" customHeight="1">
      <c r="A1570" s="80">
        <f>IF(OR(Crate!$E40="",Crate!$E40=0),"",Crate!$B40)</f>
        <v/>
      </c>
      <c r="B1570" s="80">
        <f>IF(OR(Crate!$E40="",Crate!$E40=0),"",Crate!$C40)</f>
        <v/>
      </c>
      <c r="C1570" s="80">
        <f>IF(OR(Crate!$E40="",Crate!$E40=0),"","سبد")</f>
        <v/>
      </c>
      <c r="D1570" s="80">
        <f>IF(OR(Crate!$E40="",Crate!$E40=0),"",Crate!$E40)</f>
        <v/>
      </c>
      <c r="E1570" s="81">
        <f>IF(OR(Crate!$E40="",Crate!$E40=0),"",Crate!$M40)</f>
        <v/>
      </c>
      <c r="G1570" s="82">
        <f>IF(OR(Crate!$E40="",Crate!$E40=0),"",Crate!$I40)</f>
        <v/>
      </c>
      <c r="J1570" s="82">
        <f>IF(OR(Crate!$E40="",Crate!$E40=0),"",Crate!$J40)</f>
        <v/>
      </c>
      <c r="K1570" s="82">
        <f>IF(OR(Crate!$E40="",Crate!$E40=0),"",IF(Crate!$N40="",0,Crate!$N40)+IF(Crate!$O40="",0,Crate!$O40))</f>
        <v/>
      </c>
      <c r="L1570" s="82">
        <f>IF(OR(Crate!$E40="",Crate!$E40=0),"",Crate!$N40)</f>
        <v/>
      </c>
      <c r="M1570" s="82">
        <f>IF(OR(Crate!$E40="",Crate!$E40=0),"",Crate!$O40)</f>
        <v/>
      </c>
      <c r="N1570" s="81">
        <f>IF(OR(Crate!$E40="",Crate!$E40=0),"",Crate!$D40)</f>
        <v/>
      </c>
      <c r="O1570" s="81">
        <f>IF(OR(Crate!$E40="",Crate!$E40=0),"",IFERROR(VLOOKUP(Crate!$E40,AcctTbl,3,0),""))</f>
        <v/>
      </c>
      <c r="P1570" s="82" t="inlineStr"/>
    </row>
    <row r="1571" ht="20.25" customHeight="1">
      <c r="A1571" s="80">
        <f>IF(OR(Crate!$P40="",Crate!$P40=0),"",Crate!$B40)</f>
        <v/>
      </c>
      <c r="B1571" s="80">
        <f>IF(OR(Crate!$P40="",Crate!$P40=0),"",Crate!$C40)</f>
        <v/>
      </c>
      <c r="C1571" s="80">
        <f>IF(OR(Crate!$P40="",Crate!$P40=0),"","سبد")</f>
        <v/>
      </c>
      <c r="D1571" s="80">
        <f>IF(OR(Crate!$P40="",Crate!$P40=0),"",Crate!$P40)</f>
        <v/>
      </c>
      <c r="E1571" s="81">
        <f>IF(OR(Crate!$P40="",Crate!$P40=0),"",IF(Crate!$P40="","","مقابل: "&amp;Crate!$D40))</f>
        <v/>
      </c>
      <c r="F1571" s="83" t="n"/>
      <c r="G1571" s="83" t="n"/>
      <c r="H1571" s="83" t="n"/>
      <c r="I1571" s="83" t="n"/>
      <c r="J1571" s="83" t="n"/>
      <c r="K1571" s="82">
        <f>IF(OR(Crate!$P40="",Crate!$P40=0),"",IF(Crate!$Q40="",0,Crate!$Q40)+IF(Crate!$R40="",0,Crate!$R40))</f>
        <v/>
      </c>
      <c r="L1571" s="82">
        <f>IF(OR(Crate!$P40="",Crate!$P40=0),"",Crate!$Q40)</f>
        <v/>
      </c>
      <c r="M1571" s="82">
        <f>IF(OR(Crate!$P40="",Crate!$P40=0),"",Crate!$R40)</f>
        <v/>
      </c>
      <c r="N1571" s="81">
        <f>IF(OR(Crate!$P40="",Crate!$P40=0),"","مقابل")</f>
        <v/>
      </c>
      <c r="O1571" s="81">
        <f>IF(OR(Crate!$P40="",Crate!$P40=0),"",IFERROR(VLOOKUP(Crate!$P40,AcctTbl,3,0),""))</f>
        <v/>
      </c>
      <c r="P1571" s="82" t="inlineStr"/>
    </row>
    <row r="1572" ht="20.25" customHeight="1">
      <c r="A1572" s="80">
        <f>IF(OR(Crate!$E41="",Crate!$E41=0),"",Crate!$B41)</f>
        <v/>
      </c>
      <c r="B1572" s="80">
        <f>IF(OR(Crate!$E41="",Crate!$E41=0),"",Crate!$C41)</f>
        <v/>
      </c>
      <c r="C1572" s="80">
        <f>IF(OR(Crate!$E41="",Crate!$E41=0),"","سبد")</f>
        <v/>
      </c>
      <c r="D1572" s="80">
        <f>IF(OR(Crate!$E41="",Crate!$E41=0),"",Crate!$E41)</f>
        <v/>
      </c>
      <c r="E1572" s="81">
        <f>IF(OR(Crate!$E41="",Crate!$E41=0),"",Crate!$M41)</f>
        <v/>
      </c>
      <c r="G1572" s="82">
        <f>IF(OR(Crate!$E41="",Crate!$E41=0),"",Crate!$I41)</f>
        <v/>
      </c>
      <c r="J1572" s="82">
        <f>IF(OR(Crate!$E41="",Crate!$E41=0),"",Crate!$J41)</f>
        <v/>
      </c>
      <c r="K1572" s="82">
        <f>IF(OR(Crate!$E41="",Crate!$E41=0),"",IF(Crate!$N41="",0,Crate!$N41)+IF(Crate!$O41="",0,Crate!$O41))</f>
        <v/>
      </c>
      <c r="L1572" s="82">
        <f>IF(OR(Crate!$E41="",Crate!$E41=0),"",Crate!$N41)</f>
        <v/>
      </c>
      <c r="M1572" s="82">
        <f>IF(OR(Crate!$E41="",Crate!$E41=0),"",Crate!$O41)</f>
        <v/>
      </c>
      <c r="N1572" s="81">
        <f>IF(OR(Crate!$E41="",Crate!$E41=0),"",Crate!$D41)</f>
        <v/>
      </c>
      <c r="O1572" s="81">
        <f>IF(OR(Crate!$E41="",Crate!$E41=0),"",IFERROR(VLOOKUP(Crate!$E41,AcctTbl,3,0),""))</f>
        <v/>
      </c>
      <c r="P1572" s="82" t="inlineStr"/>
    </row>
    <row r="1573" ht="20.25" customHeight="1">
      <c r="A1573" s="80">
        <f>IF(OR(Crate!$P41="",Crate!$P41=0),"",Crate!$B41)</f>
        <v/>
      </c>
      <c r="B1573" s="80">
        <f>IF(OR(Crate!$P41="",Crate!$P41=0),"",Crate!$C41)</f>
        <v/>
      </c>
      <c r="C1573" s="80">
        <f>IF(OR(Crate!$P41="",Crate!$P41=0),"","سبد")</f>
        <v/>
      </c>
      <c r="D1573" s="80">
        <f>IF(OR(Crate!$P41="",Crate!$P41=0),"",Crate!$P41)</f>
        <v/>
      </c>
      <c r="E1573" s="81">
        <f>IF(OR(Crate!$P41="",Crate!$P41=0),"",IF(Crate!$P41="","","مقابل: "&amp;Crate!$D41))</f>
        <v/>
      </c>
      <c r="F1573" s="83" t="n"/>
      <c r="G1573" s="83" t="n"/>
      <c r="H1573" s="83" t="n"/>
      <c r="I1573" s="83" t="n"/>
      <c r="J1573" s="83" t="n"/>
      <c r="K1573" s="82">
        <f>IF(OR(Crate!$P41="",Crate!$P41=0),"",IF(Crate!$Q41="",0,Crate!$Q41)+IF(Crate!$R41="",0,Crate!$R41))</f>
        <v/>
      </c>
      <c r="L1573" s="82">
        <f>IF(OR(Crate!$P41="",Crate!$P41=0),"",Crate!$Q41)</f>
        <v/>
      </c>
      <c r="M1573" s="82">
        <f>IF(OR(Crate!$P41="",Crate!$P41=0),"",Crate!$R41)</f>
        <v/>
      </c>
      <c r="N1573" s="81">
        <f>IF(OR(Crate!$P41="",Crate!$P41=0),"","مقابل")</f>
        <v/>
      </c>
      <c r="O1573" s="81">
        <f>IF(OR(Crate!$P41="",Crate!$P41=0),"",IFERROR(VLOOKUP(Crate!$P41,AcctTbl,3,0),""))</f>
        <v/>
      </c>
      <c r="P1573" s="82" t="inlineStr"/>
    </row>
    <row r="1574" ht="20.25" customHeight="1">
      <c r="A1574" s="80">
        <f>IF(OR(Crate!$E42="",Crate!$E42=0),"",Crate!$B42)</f>
        <v/>
      </c>
      <c r="B1574" s="80">
        <f>IF(OR(Crate!$E42="",Crate!$E42=0),"",Crate!$C42)</f>
        <v/>
      </c>
      <c r="C1574" s="80">
        <f>IF(OR(Crate!$E42="",Crate!$E42=0),"","سبد")</f>
        <v/>
      </c>
      <c r="D1574" s="80">
        <f>IF(OR(Crate!$E42="",Crate!$E42=0),"",Crate!$E42)</f>
        <v/>
      </c>
      <c r="E1574" s="81">
        <f>IF(OR(Crate!$E42="",Crate!$E42=0),"",Crate!$M42)</f>
        <v/>
      </c>
      <c r="G1574" s="82">
        <f>IF(OR(Crate!$E42="",Crate!$E42=0),"",Crate!$I42)</f>
        <v/>
      </c>
      <c r="J1574" s="82">
        <f>IF(OR(Crate!$E42="",Crate!$E42=0),"",Crate!$J42)</f>
        <v/>
      </c>
      <c r="K1574" s="82">
        <f>IF(OR(Crate!$E42="",Crate!$E42=0),"",IF(Crate!$N42="",0,Crate!$N42)+IF(Crate!$O42="",0,Crate!$O42))</f>
        <v/>
      </c>
      <c r="L1574" s="82">
        <f>IF(OR(Crate!$E42="",Crate!$E42=0),"",Crate!$N42)</f>
        <v/>
      </c>
      <c r="M1574" s="82">
        <f>IF(OR(Crate!$E42="",Crate!$E42=0),"",Crate!$O42)</f>
        <v/>
      </c>
      <c r="N1574" s="81">
        <f>IF(OR(Crate!$E42="",Crate!$E42=0),"",Crate!$D42)</f>
        <v/>
      </c>
      <c r="O1574" s="81">
        <f>IF(OR(Crate!$E42="",Crate!$E42=0),"",IFERROR(VLOOKUP(Crate!$E42,AcctTbl,3,0),""))</f>
        <v/>
      </c>
      <c r="P1574" s="82" t="inlineStr"/>
    </row>
    <row r="1575" ht="20.25" customHeight="1">
      <c r="A1575" s="80">
        <f>IF(OR(Crate!$P42="",Crate!$P42=0),"",Crate!$B42)</f>
        <v/>
      </c>
      <c r="B1575" s="80">
        <f>IF(OR(Crate!$P42="",Crate!$P42=0),"",Crate!$C42)</f>
        <v/>
      </c>
      <c r="C1575" s="80">
        <f>IF(OR(Crate!$P42="",Crate!$P42=0),"","سبد")</f>
        <v/>
      </c>
      <c r="D1575" s="80">
        <f>IF(OR(Crate!$P42="",Crate!$P42=0),"",Crate!$P42)</f>
        <v/>
      </c>
      <c r="E1575" s="81">
        <f>IF(OR(Crate!$P42="",Crate!$P42=0),"",IF(Crate!$P42="","","مقابل: "&amp;Crate!$D42))</f>
        <v/>
      </c>
      <c r="F1575" s="83" t="n"/>
      <c r="G1575" s="83" t="n"/>
      <c r="H1575" s="83" t="n"/>
      <c r="I1575" s="83" t="n"/>
      <c r="J1575" s="83" t="n"/>
      <c r="K1575" s="82">
        <f>IF(OR(Crate!$P42="",Crate!$P42=0),"",IF(Crate!$Q42="",0,Crate!$Q42)+IF(Crate!$R42="",0,Crate!$R42))</f>
        <v/>
      </c>
      <c r="L1575" s="82">
        <f>IF(OR(Crate!$P42="",Crate!$P42=0),"",Crate!$Q42)</f>
        <v/>
      </c>
      <c r="M1575" s="82">
        <f>IF(OR(Crate!$P42="",Crate!$P42=0),"",Crate!$R42)</f>
        <v/>
      </c>
      <c r="N1575" s="81">
        <f>IF(OR(Crate!$P42="",Crate!$P42=0),"","مقابل")</f>
        <v/>
      </c>
      <c r="O1575" s="81">
        <f>IF(OR(Crate!$P42="",Crate!$P42=0),"",IFERROR(VLOOKUP(Crate!$P42,AcctTbl,3,0),""))</f>
        <v/>
      </c>
      <c r="P1575" s="82" t="inlineStr"/>
    </row>
    <row r="1576" ht="20.25" customHeight="1">
      <c r="A1576" s="80">
        <f>IF(OR(Crate!$E43="",Crate!$E43=0),"",Crate!$B43)</f>
        <v/>
      </c>
      <c r="B1576" s="80">
        <f>IF(OR(Crate!$E43="",Crate!$E43=0),"",Crate!$C43)</f>
        <v/>
      </c>
      <c r="C1576" s="80">
        <f>IF(OR(Crate!$E43="",Crate!$E43=0),"","سبد")</f>
        <v/>
      </c>
      <c r="D1576" s="80">
        <f>IF(OR(Crate!$E43="",Crate!$E43=0),"",Crate!$E43)</f>
        <v/>
      </c>
      <c r="E1576" s="81">
        <f>IF(OR(Crate!$E43="",Crate!$E43=0),"",Crate!$M43)</f>
        <v/>
      </c>
      <c r="G1576" s="82">
        <f>IF(OR(Crate!$E43="",Crate!$E43=0),"",Crate!$I43)</f>
        <v/>
      </c>
      <c r="J1576" s="82">
        <f>IF(OR(Crate!$E43="",Crate!$E43=0),"",Crate!$J43)</f>
        <v/>
      </c>
      <c r="K1576" s="82">
        <f>IF(OR(Crate!$E43="",Crate!$E43=0),"",IF(Crate!$N43="",0,Crate!$N43)+IF(Crate!$O43="",0,Crate!$O43))</f>
        <v/>
      </c>
      <c r="L1576" s="82">
        <f>IF(OR(Crate!$E43="",Crate!$E43=0),"",Crate!$N43)</f>
        <v/>
      </c>
      <c r="M1576" s="82">
        <f>IF(OR(Crate!$E43="",Crate!$E43=0),"",Crate!$O43)</f>
        <v/>
      </c>
      <c r="N1576" s="81">
        <f>IF(OR(Crate!$E43="",Crate!$E43=0),"",Crate!$D43)</f>
        <v/>
      </c>
      <c r="O1576" s="81">
        <f>IF(OR(Crate!$E43="",Crate!$E43=0),"",IFERROR(VLOOKUP(Crate!$E43,AcctTbl,3,0),""))</f>
        <v/>
      </c>
      <c r="P1576" s="82" t="inlineStr"/>
    </row>
    <row r="1577" ht="20.25" customHeight="1">
      <c r="A1577" s="80">
        <f>IF(OR(Crate!$P43="",Crate!$P43=0),"",Crate!$B43)</f>
        <v/>
      </c>
      <c r="B1577" s="80">
        <f>IF(OR(Crate!$P43="",Crate!$P43=0),"",Crate!$C43)</f>
        <v/>
      </c>
      <c r="C1577" s="80">
        <f>IF(OR(Crate!$P43="",Crate!$P43=0),"","سبد")</f>
        <v/>
      </c>
      <c r="D1577" s="80">
        <f>IF(OR(Crate!$P43="",Crate!$P43=0),"",Crate!$P43)</f>
        <v/>
      </c>
      <c r="E1577" s="81">
        <f>IF(OR(Crate!$P43="",Crate!$P43=0),"",IF(Crate!$P43="","","مقابل: "&amp;Crate!$D43))</f>
        <v/>
      </c>
      <c r="F1577" s="83" t="n"/>
      <c r="G1577" s="83" t="n"/>
      <c r="H1577" s="83" t="n"/>
      <c r="I1577" s="83" t="n"/>
      <c r="J1577" s="83" t="n"/>
      <c r="K1577" s="82">
        <f>IF(OR(Crate!$P43="",Crate!$P43=0),"",IF(Crate!$Q43="",0,Crate!$Q43)+IF(Crate!$R43="",0,Crate!$R43))</f>
        <v/>
      </c>
      <c r="L1577" s="82">
        <f>IF(OR(Crate!$P43="",Crate!$P43=0),"",Crate!$Q43)</f>
        <v/>
      </c>
      <c r="M1577" s="82">
        <f>IF(OR(Crate!$P43="",Crate!$P43=0),"",Crate!$R43)</f>
        <v/>
      </c>
      <c r="N1577" s="81">
        <f>IF(OR(Crate!$P43="",Crate!$P43=0),"","مقابل")</f>
        <v/>
      </c>
      <c r="O1577" s="81">
        <f>IF(OR(Crate!$P43="",Crate!$P43=0),"",IFERROR(VLOOKUP(Crate!$P43,AcctTbl,3,0),""))</f>
        <v/>
      </c>
      <c r="P1577" s="82" t="inlineStr"/>
    </row>
    <row r="1578" ht="20.25" customHeight="1">
      <c r="A1578" s="80">
        <f>IF(OR(Crate!$E44="",Crate!$E44=0),"",Crate!$B44)</f>
        <v/>
      </c>
      <c r="B1578" s="80">
        <f>IF(OR(Crate!$E44="",Crate!$E44=0),"",Crate!$C44)</f>
        <v/>
      </c>
      <c r="C1578" s="80">
        <f>IF(OR(Crate!$E44="",Crate!$E44=0),"","سبد")</f>
        <v/>
      </c>
      <c r="D1578" s="80">
        <f>IF(OR(Crate!$E44="",Crate!$E44=0),"",Crate!$E44)</f>
        <v/>
      </c>
      <c r="E1578" s="81">
        <f>IF(OR(Crate!$E44="",Crate!$E44=0),"",Crate!$M44)</f>
        <v/>
      </c>
      <c r="G1578" s="82">
        <f>IF(OR(Crate!$E44="",Crate!$E44=0),"",Crate!$I44)</f>
        <v/>
      </c>
      <c r="J1578" s="82">
        <f>IF(OR(Crate!$E44="",Crate!$E44=0),"",Crate!$J44)</f>
        <v/>
      </c>
      <c r="K1578" s="82">
        <f>IF(OR(Crate!$E44="",Crate!$E44=0),"",IF(Crate!$N44="",0,Crate!$N44)+IF(Crate!$O44="",0,Crate!$O44))</f>
        <v/>
      </c>
      <c r="L1578" s="82">
        <f>IF(OR(Crate!$E44="",Crate!$E44=0),"",Crate!$N44)</f>
        <v/>
      </c>
      <c r="M1578" s="82">
        <f>IF(OR(Crate!$E44="",Crate!$E44=0),"",Crate!$O44)</f>
        <v/>
      </c>
      <c r="N1578" s="81">
        <f>IF(OR(Crate!$E44="",Crate!$E44=0),"",Crate!$D44)</f>
        <v/>
      </c>
      <c r="O1578" s="81">
        <f>IF(OR(Crate!$E44="",Crate!$E44=0),"",IFERROR(VLOOKUP(Crate!$E44,AcctTbl,3,0),""))</f>
        <v/>
      </c>
      <c r="P1578" s="82" t="inlineStr"/>
    </row>
    <row r="1579" ht="20.25" customHeight="1">
      <c r="A1579" s="80">
        <f>IF(OR(Crate!$P44="",Crate!$P44=0),"",Crate!$B44)</f>
        <v/>
      </c>
      <c r="B1579" s="80">
        <f>IF(OR(Crate!$P44="",Crate!$P44=0),"",Crate!$C44)</f>
        <v/>
      </c>
      <c r="C1579" s="80">
        <f>IF(OR(Crate!$P44="",Crate!$P44=0),"","سبد")</f>
        <v/>
      </c>
      <c r="D1579" s="80">
        <f>IF(OR(Crate!$P44="",Crate!$P44=0),"",Crate!$P44)</f>
        <v/>
      </c>
      <c r="E1579" s="81">
        <f>IF(OR(Crate!$P44="",Crate!$P44=0),"",IF(Crate!$P44="","","مقابل: "&amp;Crate!$D44))</f>
        <v/>
      </c>
      <c r="F1579" s="83" t="n"/>
      <c r="G1579" s="83" t="n"/>
      <c r="H1579" s="83" t="n"/>
      <c r="I1579" s="83" t="n"/>
      <c r="J1579" s="83" t="n"/>
      <c r="K1579" s="82">
        <f>IF(OR(Crate!$P44="",Crate!$P44=0),"",IF(Crate!$Q44="",0,Crate!$Q44)+IF(Crate!$R44="",0,Crate!$R44))</f>
        <v/>
      </c>
      <c r="L1579" s="82">
        <f>IF(OR(Crate!$P44="",Crate!$P44=0),"",Crate!$Q44)</f>
        <v/>
      </c>
      <c r="M1579" s="82">
        <f>IF(OR(Crate!$P44="",Crate!$P44=0),"",Crate!$R44)</f>
        <v/>
      </c>
      <c r="N1579" s="81">
        <f>IF(OR(Crate!$P44="",Crate!$P44=0),"","مقابل")</f>
        <v/>
      </c>
      <c r="O1579" s="81">
        <f>IF(OR(Crate!$P44="",Crate!$P44=0),"",IFERROR(VLOOKUP(Crate!$P44,AcctTbl,3,0),""))</f>
        <v/>
      </c>
      <c r="P1579" s="82" t="inlineStr"/>
    </row>
    <row r="1580" ht="20.25" customHeight="1">
      <c r="A1580" s="80">
        <f>IF(OR(Crate!$E45="",Crate!$E45=0),"",Crate!$B45)</f>
        <v/>
      </c>
      <c r="B1580" s="80">
        <f>IF(OR(Crate!$E45="",Crate!$E45=0),"",Crate!$C45)</f>
        <v/>
      </c>
      <c r="C1580" s="80">
        <f>IF(OR(Crate!$E45="",Crate!$E45=0),"","سبد")</f>
        <v/>
      </c>
      <c r="D1580" s="80">
        <f>IF(OR(Crate!$E45="",Crate!$E45=0),"",Crate!$E45)</f>
        <v/>
      </c>
      <c r="E1580" s="81">
        <f>IF(OR(Crate!$E45="",Crate!$E45=0),"",Crate!$M45)</f>
        <v/>
      </c>
      <c r="G1580" s="82">
        <f>IF(OR(Crate!$E45="",Crate!$E45=0),"",Crate!$I45)</f>
        <v/>
      </c>
      <c r="J1580" s="82">
        <f>IF(OR(Crate!$E45="",Crate!$E45=0),"",Crate!$J45)</f>
        <v/>
      </c>
      <c r="K1580" s="82">
        <f>IF(OR(Crate!$E45="",Crate!$E45=0),"",IF(Crate!$N45="",0,Crate!$N45)+IF(Crate!$O45="",0,Crate!$O45))</f>
        <v/>
      </c>
      <c r="L1580" s="82">
        <f>IF(OR(Crate!$E45="",Crate!$E45=0),"",Crate!$N45)</f>
        <v/>
      </c>
      <c r="M1580" s="82">
        <f>IF(OR(Crate!$E45="",Crate!$E45=0),"",Crate!$O45)</f>
        <v/>
      </c>
      <c r="N1580" s="81">
        <f>IF(OR(Crate!$E45="",Crate!$E45=0),"",Crate!$D45)</f>
        <v/>
      </c>
      <c r="O1580" s="81">
        <f>IF(OR(Crate!$E45="",Crate!$E45=0),"",IFERROR(VLOOKUP(Crate!$E45,AcctTbl,3,0),""))</f>
        <v/>
      </c>
      <c r="P1580" s="82" t="inlineStr"/>
    </row>
    <row r="1581" ht="20.25" customHeight="1">
      <c r="A1581" s="80">
        <f>IF(OR(Crate!$P45="",Crate!$P45=0),"",Crate!$B45)</f>
        <v/>
      </c>
      <c r="B1581" s="80">
        <f>IF(OR(Crate!$P45="",Crate!$P45=0),"",Crate!$C45)</f>
        <v/>
      </c>
      <c r="C1581" s="80">
        <f>IF(OR(Crate!$P45="",Crate!$P45=0),"","سبد")</f>
        <v/>
      </c>
      <c r="D1581" s="80">
        <f>IF(OR(Crate!$P45="",Crate!$P45=0),"",Crate!$P45)</f>
        <v/>
      </c>
      <c r="E1581" s="81">
        <f>IF(OR(Crate!$P45="",Crate!$P45=0),"",IF(Crate!$P45="","","مقابل: "&amp;Crate!$D45))</f>
        <v/>
      </c>
      <c r="F1581" s="83" t="n"/>
      <c r="G1581" s="83" t="n"/>
      <c r="H1581" s="83" t="n"/>
      <c r="I1581" s="83" t="n"/>
      <c r="J1581" s="83" t="n"/>
      <c r="K1581" s="82">
        <f>IF(OR(Crate!$P45="",Crate!$P45=0),"",IF(Crate!$Q45="",0,Crate!$Q45)+IF(Crate!$R45="",0,Crate!$R45))</f>
        <v/>
      </c>
      <c r="L1581" s="82">
        <f>IF(OR(Crate!$P45="",Crate!$P45=0),"",Crate!$Q45)</f>
        <v/>
      </c>
      <c r="M1581" s="82">
        <f>IF(OR(Crate!$P45="",Crate!$P45=0),"",Crate!$R45)</f>
        <v/>
      </c>
      <c r="N1581" s="81">
        <f>IF(OR(Crate!$P45="",Crate!$P45=0),"","مقابل")</f>
        <v/>
      </c>
      <c r="O1581" s="81">
        <f>IF(OR(Crate!$P45="",Crate!$P45=0),"",IFERROR(VLOOKUP(Crate!$P45,AcctTbl,3,0),""))</f>
        <v/>
      </c>
      <c r="P1581" s="82" t="inlineStr"/>
    </row>
    <row r="1582" ht="20.25" customHeight="1">
      <c r="A1582" s="80">
        <f>IF(OR(Crate!$E46="",Crate!$E46=0),"",Crate!$B46)</f>
        <v/>
      </c>
      <c r="B1582" s="80">
        <f>IF(OR(Crate!$E46="",Crate!$E46=0),"",Crate!$C46)</f>
        <v/>
      </c>
      <c r="C1582" s="80">
        <f>IF(OR(Crate!$E46="",Crate!$E46=0),"","سبد")</f>
        <v/>
      </c>
      <c r="D1582" s="80">
        <f>IF(OR(Crate!$E46="",Crate!$E46=0),"",Crate!$E46)</f>
        <v/>
      </c>
      <c r="E1582" s="81">
        <f>IF(OR(Crate!$E46="",Crate!$E46=0),"",Crate!$M46)</f>
        <v/>
      </c>
      <c r="G1582" s="82">
        <f>IF(OR(Crate!$E46="",Crate!$E46=0),"",Crate!$I46)</f>
        <v/>
      </c>
      <c r="J1582" s="82">
        <f>IF(OR(Crate!$E46="",Crate!$E46=0),"",Crate!$J46)</f>
        <v/>
      </c>
      <c r="K1582" s="82">
        <f>IF(OR(Crate!$E46="",Crate!$E46=0),"",IF(Crate!$N46="",0,Crate!$N46)+IF(Crate!$O46="",0,Crate!$O46))</f>
        <v/>
      </c>
      <c r="L1582" s="82">
        <f>IF(OR(Crate!$E46="",Crate!$E46=0),"",Crate!$N46)</f>
        <v/>
      </c>
      <c r="M1582" s="82">
        <f>IF(OR(Crate!$E46="",Crate!$E46=0),"",Crate!$O46)</f>
        <v/>
      </c>
      <c r="N1582" s="81">
        <f>IF(OR(Crate!$E46="",Crate!$E46=0),"",Crate!$D46)</f>
        <v/>
      </c>
      <c r="O1582" s="81">
        <f>IF(OR(Crate!$E46="",Crate!$E46=0),"",IFERROR(VLOOKUP(Crate!$E46,AcctTbl,3,0),""))</f>
        <v/>
      </c>
      <c r="P1582" s="82" t="inlineStr"/>
    </row>
    <row r="1583" ht="20.25" customHeight="1">
      <c r="A1583" s="80">
        <f>IF(OR(Crate!$P46="",Crate!$P46=0),"",Crate!$B46)</f>
        <v/>
      </c>
      <c r="B1583" s="80">
        <f>IF(OR(Crate!$P46="",Crate!$P46=0),"",Crate!$C46)</f>
        <v/>
      </c>
      <c r="C1583" s="80">
        <f>IF(OR(Crate!$P46="",Crate!$P46=0),"","سبد")</f>
        <v/>
      </c>
      <c r="D1583" s="80">
        <f>IF(OR(Crate!$P46="",Crate!$P46=0),"",Crate!$P46)</f>
        <v/>
      </c>
      <c r="E1583" s="81">
        <f>IF(OR(Crate!$P46="",Crate!$P46=0),"",IF(Crate!$P46="","","مقابل: "&amp;Crate!$D46))</f>
        <v/>
      </c>
      <c r="F1583" s="83" t="n"/>
      <c r="G1583" s="83" t="n"/>
      <c r="H1583" s="83" t="n"/>
      <c r="I1583" s="83" t="n"/>
      <c r="J1583" s="83" t="n"/>
      <c r="K1583" s="82">
        <f>IF(OR(Crate!$P46="",Crate!$P46=0),"",IF(Crate!$Q46="",0,Crate!$Q46)+IF(Crate!$R46="",0,Crate!$R46))</f>
        <v/>
      </c>
      <c r="L1583" s="82">
        <f>IF(OR(Crate!$P46="",Crate!$P46=0),"",Crate!$Q46)</f>
        <v/>
      </c>
      <c r="M1583" s="82">
        <f>IF(OR(Crate!$P46="",Crate!$P46=0),"",Crate!$R46)</f>
        <v/>
      </c>
      <c r="N1583" s="81">
        <f>IF(OR(Crate!$P46="",Crate!$P46=0),"","مقابل")</f>
        <v/>
      </c>
      <c r="O1583" s="81">
        <f>IF(OR(Crate!$P46="",Crate!$P46=0),"",IFERROR(VLOOKUP(Crate!$P46,AcctTbl,3,0),""))</f>
        <v/>
      </c>
      <c r="P1583" s="82" t="inlineStr"/>
    </row>
    <row r="1584" ht="20.25" customHeight="1">
      <c r="A1584" s="80">
        <f>IF(OR(Crate!$E47="",Crate!$E47=0),"",Crate!$B47)</f>
        <v/>
      </c>
      <c r="B1584" s="80">
        <f>IF(OR(Crate!$E47="",Crate!$E47=0),"",Crate!$C47)</f>
        <v/>
      </c>
      <c r="C1584" s="80">
        <f>IF(OR(Crate!$E47="",Crate!$E47=0),"","سبد")</f>
        <v/>
      </c>
      <c r="D1584" s="80">
        <f>IF(OR(Crate!$E47="",Crate!$E47=0),"",Crate!$E47)</f>
        <v/>
      </c>
      <c r="E1584" s="81">
        <f>IF(OR(Crate!$E47="",Crate!$E47=0),"",Crate!$M47)</f>
        <v/>
      </c>
      <c r="G1584" s="82">
        <f>IF(OR(Crate!$E47="",Crate!$E47=0),"",Crate!$I47)</f>
        <v/>
      </c>
      <c r="J1584" s="82">
        <f>IF(OR(Crate!$E47="",Crate!$E47=0),"",Crate!$J47)</f>
        <v/>
      </c>
      <c r="K1584" s="82">
        <f>IF(OR(Crate!$E47="",Crate!$E47=0),"",IF(Crate!$N47="",0,Crate!$N47)+IF(Crate!$O47="",0,Crate!$O47))</f>
        <v/>
      </c>
      <c r="L1584" s="82">
        <f>IF(OR(Crate!$E47="",Crate!$E47=0),"",Crate!$N47)</f>
        <v/>
      </c>
      <c r="M1584" s="82">
        <f>IF(OR(Crate!$E47="",Crate!$E47=0),"",Crate!$O47)</f>
        <v/>
      </c>
      <c r="N1584" s="81">
        <f>IF(OR(Crate!$E47="",Crate!$E47=0),"",Crate!$D47)</f>
        <v/>
      </c>
      <c r="O1584" s="81">
        <f>IF(OR(Crate!$E47="",Crate!$E47=0),"",IFERROR(VLOOKUP(Crate!$E47,AcctTbl,3,0),""))</f>
        <v/>
      </c>
      <c r="P1584" s="82" t="inlineStr"/>
    </row>
    <row r="1585" ht="20.25" customHeight="1">
      <c r="A1585" s="80">
        <f>IF(OR(Crate!$P47="",Crate!$P47=0),"",Crate!$B47)</f>
        <v/>
      </c>
      <c r="B1585" s="80">
        <f>IF(OR(Crate!$P47="",Crate!$P47=0),"",Crate!$C47)</f>
        <v/>
      </c>
      <c r="C1585" s="80">
        <f>IF(OR(Crate!$P47="",Crate!$P47=0),"","سبد")</f>
        <v/>
      </c>
      <c r="D1585" s="80">
        <f>IF(OR(Crate!$P47="",Crate!$P47=0),"",Crate!$P47)</f>
        <v/>
      </c>
      <c r="E1585" s="81">
        <f>IF(OR(Crate!$P47="",Crate!$P47=0),"",IF(Crate!$P47="","","مقابل: "&amp;Crate!$D47))</f>
        <v/>
      </c>
      <c r="F1585" s="83" t="n"/>
      <c r="G1585" s="83" t="n"/>
      <c r="H1585" s="83" t="n"/>
      <c r="I1585" s="83" t="n"/>
      <c r="J1585" s="83" t="n"/>
      <c r="K1585" s="82">
        <f>IF(OR(Crate!$P47="",Crate!$P47=0),"",IF(Crate!$Q47="",0,Crate!$Q47)+IF(Crate!$R47="",0,Crate!$R47))</f>
        <v/>
      </c>
      <c r="L1585" s="82">
        <f>IF(OR(Crate!$P47="",Crate!$P47=0),"",Crate!$Q47)</f>
        <v/>
      </c>
      <c r="M1585" s="82">
        <f>IF(OR(Crate!$P47="",Crate!$P47=0),"",Crate!$R47)</f>
        <v/>
      </c>
      <c r="N1585" s="81">
        <f>IF(OR(Crate!$P47="",Crate!$P47=0),"","مقابل")</f>
        <v/>
      </c>
      <c r="O1585" s="81">
        <f>IF(OR(Crate!$P47="",Crate!$P47=0),"",IFERROR(VLOOKUP(Crate!$P47,AcctTbl,3,0),""))</f>
        <v/>
      </c>
      <c r="P1585" s="82" t="inlineStr"/>
    </row>
    <row r="1586" ht="20.25" customHeight="1">
      <c r="A1586" s="80">
        <f>IF(OR(Crate!$E48="",Crate!$E48=0),"",Crate!$B48)</f>
        <v/>
      </c>
      <c r="B1586" s="80">
        <f>IF(OR(Crate!$E48="",Crate!$E48=0),"",Crate!$C48)</f>
        <v/>
      </c>
      <c r="C1586" s="80">
        <f>IF(OR(Crate!$E48="",Crate!$E48=0),"","سبد")</f>
        <v/>
      </c>
      <c r="D1586" s="80">
        <f>IF(OR(Crate!$E48="",Crate!$E48=0),"",Crate!$E48)</f>
        <v/>
      </c>
      <c r="E1586" s="81">
        <f>IF(OR(Crate!$E48="",Crate!$E48=0),"",Crate!$M48)</f>
        <v/>
      </c>
      <c r="G1586" s="82">
        <f>IF(OR(Crate!$E48="",Crate!$E48=0),"",Crate!$I48)</f>
        <v/>
      </c>
      <c r="J1586" s="82">
        <f>IF(OR(Crate!$E48="",Crate!$E48=0),"",Crate!$J48)</f>
        <v/>
      </c>
      <c r="K1586" s="82">
        <f>IF(OR(Crate!$E48="",Crate!$E48=0),"",IF(Crate!$N48="",0,Crate!$N48)+IF(Crate!$O48="",0,Crate!$O48))</f>
        <v/>
      </c>
      <c r="L1586" s="82">
        <f>IF(OR(Crate!$E48="",Crate!$E48=0),"",Crate!$N48)</f>
        <v/>
      </c>
      <c r="M1586" s="82">
        <f>IF(OR(Crate!$E48="",Crate!$E48=0),"",Crate!$O48)</f>
        <v/>
      </c>
      <c r="N1586" s="81">
        <f>IF(OR(Crate!$E48="",Crate!$E48=0),"",Crate!$D48)</f>
        <v/>
      </c>
      <c r="O1586" s="81">
        <f>IF(OR(Crate!$E48="",Crate!$E48=0),"",IFERROR(VLOOKUP(Crate!$E48,AcctTbl,3,0),""))</f>
        <v/>
      </c>
      <c r="P1586" s="82" t="inlineStr"/>
    </row>
    <row r="1587" ht="20.25" customHeight="1">
      <c r="A1587" s="80">
        <f>IF(OR(Crate!$P48="",Crate!$P48=0),"",Crate!$B48)</f>
        <v/>
      </c>
      <c r="B1587" s="80">
        <f>IF(OR(Crate!$P48="",Crate!$P48=0),"",Crate!$C48)</f>
        <v/>
      </c>
      <c r="C1587" s="80">
        <f>IF(OR(Crate!$P48="",Crate!$P48=0),"","سبد")</f>
        <v/>
      </c>
      <c r="D1587" s="80">
        <f>IF(OR(Crate!$P48="",Crate!$P48=0),"",Crate!$P48)</f>
        <v/>
      </c>
      <c r="E1587" s="81">
        <f>IF(OR(Crate!$P48="",Crate!$P48=0),"",IF(Crate!$P48="","","مقابل: "&amp;Crate!$D48))</f>
        <v/>
      </c>
      <c r="F1587" s="83" t="n"/>
      <c r="G1587" s="83" t="n"/>
      <c r="H1587" s="83" t="n"/>
      <c r="I1587" s="83" t="n"/>
      <c r="J1587" s="83" t="n"/>
      <c r="K1587" s="82">
        <f>IF(OR(Crate!$P48="",Crate!$P48=0),"",IF(Crate!$Q48="",0,Crate!$Q48)+IF(Crate!$R48="",0,Crate!$R48))</f>
        <v/>
      </c>
      <c r="L1587" s="82">
        <f>IF(OR(Crate!$P48="",Crate!$P48=0),"",Crate!$Q48)</f>
        <v/>
      </c>
      <c r="M1587" s="82">
        <f>IF(OR(Crate!$P48="",Crate!$P48=0),"",Crate!$R48)</f>
        <v/>
      </c>
      <c r="N1587" s="81">
        <f>IF(OR(Crate!$P48="",Crate!$P48=0),"","مقابل")</f>
        <v/>
      </c>
      <c r="O1587" s="81">
        <f>IF(OR(Crate!$P48="",Crate!$P48=0),"",IFERROR(VLOOKUP(Crate!$P48,AcctTbl,3,0),""))</f>
        <v/>
      </c>
      <c r="P1587" s="82" t="inlineStr"/>
    </row>
    <row r="1588" ht="20.25" customHeight="1">
      <c r="A1588" s="80">
        <f>IF(OR(Crate!$E49="",Crate!$E49=0),"",Crate!$B49)</f>
        <v/>
      </c>
      <c r="B1588" s="80">
        <f>IF(OR(Crate!$E49="",Crate!$E49=0),"",Crate!$C49)</f>
        <v/>
      </c>
      <c r="C1588" s="80">
        <f>IF(OR(Crate!$E49="",Crate!$E49=0),"","سبد")</f>
        <v/>
      </c>
      <c r="D1588" s="80">
        <f>IF(OR(Crate!$E49="",Crate!$E49=0),"",Crate!$E49)</f>
        <v/>
      </c>
      <c r="E1588" s="81">
        <f>IF(OR(Crate!$E49="",Crate!$E49=0),"",Crate!$M49)</f>
        <v/>
      </c>
      <c r="G1588" s="82">
        <f>IF(OR(Crate!$E49="",Crate!$E49=0),"",Crate!$I49)</f>
        <v/>
      </c>
      <c r="J1588" s="82">
        <f>IF(OR(Crate!$E49="",Crate!$E49=0),"",Crate!$J49)</f>
        <v/>
      </c>
      <c r="K1588" s="82">
        <f>IF(OR(Crate!$E49="",Crate!$E49=0),"",IF(Crate!$N49="",0,Crate!$N49)+IF(Crate!$O49="",0,Crate!$O49))</f>
        <v/>
      </c>
      <c r="L1588" s="82">
        <f>IF(OR(Crate!$E49="",Crate!$E49=0),"",Crate!$N49)</f>
        <v/>
      </c>
      <c r="M1588" s="82">
        <f>IF(OR(Crate!$E49="",Crate!$E49=0),"",Crate!$O49)</f>
        <v/>
      </c>
      <c r="N1588" s="81">
        <f>IF(OR(Crate!$E49="",Crate!$E49=0),"",Crate!$D49)</f>
        <v/>
      </c>
      <c r="O1588" s="81">
        <f>IF(OR(Crate!$E49="",Crate!$E49=0),"",IFERROR(VLOOKUP(Crate!$E49,AcctTbl,3,0),""))</f>
        <v/>
      </c>
      <c r="P1588" s="82" t="inlineStr"/>
    </row>
    <row r="1589" ht="20.25" customHeight="1">
      <c r="A1589" s="80">
        <f>IF(OR(Crate!$P49="",Crate!$P49=0),"",Crate!$B49)</f>
        <v/>
      </c>
      <c r="B1589" s="80">
        <f>IF(OR(Crate!$P49="",Crate!$P49=0),"",Crate!$C49)</f>
        <v/>
      </c>
      <c r="C1589" s="80">
        <f>IF(OR(Crate!$P49="",Crate!$P49=0),"","سبد")</f>
        <v/>
      </c>
      <c r="D1589" s="80">
        <f>IF(OR(Crate!$P49="",Crate!$P49=0),"",Crate!$P49)</f>
        <v/>
      </c>
      <c r="E1589" s="81">
        <f>IF(OR(Crate!$P49="",Crate!$P49=0),"",IF(Crate!$P49="","","مقابل: "&amp;Crate!$D49))</f>
        <v/>
      </c>
      <c r="F1589" s="83" t="n"/>
      <c r="G1589" s="83" t="n"/>
      <c r="H1589" s="83" t="n"/>
      <c r="I1589" s="83" t="n"/>
      <c r="J1589" s="83" t="n"/>
      <c r="K1589" s="82">
        <f>IF(OR(Crate!$P49="",Crate!$P49=0),"",IF(Crate!$Q49="",0,Crate!$Q49)+IF(Crate!$R49="",0,Crate!$R49))</f>
        <v/>
      </c>
      <c r="L1589" s="82">
        <f>IF(OR(Crate!$P49="",Crate!$P49=0),"",Crate!$Q49)</f>
        <v/>
      </c>
      <c r="M1589" s="82">
        <f>IF(OR(Crate!$P49="",Crate!$P49=0),"",Crate!$R49)</f>
        <v/>
      </c>
      <c r="N1589" s="81">
        <f>IF(OR(Crate!$P49="",Crate!$P49=0),"","مقابل")</f>
        <v/>
      </c>
      <c r="O1589" s="81">
        <f>IF(OR(Crate!$P49="",Crate!$P49=0),"",IFERROR(VLOOKUP(Crate!$P49,AcctTbl,3,0),""))</f>
        <v/>
      </c>
      <c r="P1589" s="82" t="inlineStr"/>
    </row>
    <row r="1590" ht="20.25" customHeight="1">
      <c r="A1590" s="80">
        <f>IF(OR(Crate!$E50="",Crate!$E50=0),"",Crate!$B50)</f>
        <v/>
      </c>
      <c r="B1590" s="80">
        <f>IF(OR(Crate!$E50="",Crate!$E50=0),"",Crate!$C50)</f>
        <v/>
      </c>
      <c r="C1590" s="80">
        <f>IF(OR(Crate!$E50="",Crate!$E50=0),"","سبد")</f>
        <v/>
      </c>
      <c r="D1590" s="80">
        <f>IF(OR(Crate!$E50="",Crate!$E50=0),"",Crate!$E50)</f>
        <v/>
      </c>
      <c r="E1590" s="81">
        <f>IF(OR(Crate!$E50="",Crate!$E50=0),"",Crate!$M50)</f>
        <v/>
      </c>
      <c r="G1590" s="82">
        <f>IF(OR(Crate!$E50="",Crate!$E50=0),"",Crate!$I50)</f>
        <v/>
      </c>
      <c r="J1590" s="82">
        <f>IF(OR(Crate!$E50="",Crate!$E50=0),"",Crate!$J50)</f>
        <v/>
      </c>
      <c r="K1590" s="82">
        <f>IF(OR(Crate!$E50="",Crate!$E50=0),"",IF(Crate!$N50="",0,Crate!$N50)+IF(Crate!$O50="",0,Crate!$O50))</f>
        <v/>
      </c>
      <c r="L1590" s="82">
        <f>IF(OR(Crate!$E50="",Crate!$E50=0),"",Crate!$N50)</f>
        <v/>
      </c>
      <c r="M1590" s="82">
        <f>IF(OR(Crate!$E50="",Crate!$E50=0),"",Crate!$O50)</f>
        <v/>
      </c>
      <c r="N1590" s="81">
        <f>IF(OR(Crate!$E50="",Crate!$E50=0),"",Crate!$D50)</f>
        <v/>
      </c>
      <c r="O1590" s="81">
        <f>IF(OR(Crate!$E50="",Crate!$E50=0),"",IFERROR(VLOOKUP(Crate!$E50,AcctTbl,3,0),""))</f>
        <v/>
      </c>
      <c r="P1590" s="82" t="inlineStr"/>
    </row>
    <row r="1591" ht="20.25" customHeight="1">
      <c r="A1591" s="80">
        <f>IF(OR(Crate!$P50="",Crate!$P50=0),"",Crate!$B50)</f>
        <v/>
      </c>
      <c r="B1591" s="80">
        <f>IF(OR(Crate!$P50="",Crate!$P50=0),"",Crate!$C50)</f>
        <v/>
      </c>
      <c r="C1591" s="80">
        <f>IF(OR(Crate!$P50="",Crate!$P50=0),"","سبد")</f>
        <v/>
      </c>
      <c r="D1591" s="80">
        <f>IF(OR(Crate!$P50="",Crate!$P50=0),"",Crate!$P50)</f>
        <v/>
      </c>
      <c r="E1591" s="81">
        <f>IF(OR(Crate!$P50="",Crate!$P50=0),"",IF(Crate!$P50="","","مقابل: "&amp;Crate!$D50))</f>
        <v/>
      </c>
      <c r="F1591" s="83" t="n"/>
      <c r="G1591" s="83" t="n"/>
      <c r="H1591" s="83" t="n"/>
      <c r="I1591" s="83" t="n"/>
      <c r="J1591" s="83" t="n"/>
      <c r="K1591" s="82">
        <f>IF(OR(Crate!$P50="",Crate!$P50=0),"",IF(Crate!$Q50="",0,Crate!$Q50)+IF(Crate!$R50="",0,Crate!$R50))</f>
        <v/>
      </c>
      <c r="L1591" s="82">
        <f>IF(OR(Crate!$P50="",Crate!$P50=0),"",Crate!$Q50)</f>
        <v/>
      </c>
      <c r="M1591" s="82">
        <f>IF(OR(Crate!$P50="",Crate!$P50=0),"",Crate!$R50)</f>
        <v/>
      </c>
      <c r="N1591" s="81">
        <f>IF(OR(Crate!$P50="",Crate!$P50=0),"","مقابل")</f>
        <v/>
      </c>
      <c r="O1591" s="81">
        <f>IF(OR(Crate!$P50="",Crate!$P50=0),"",IFERROR(VLOOKUP(Crate!$P50,AcctTbl,3,0),""))</f>
        <v/>
      </c>
      <c r="P1591" s="82" t="inlineStr"/>
    </row>
    <row r="1592" ht="20.25" customHeight="1">
      <c r="A1592" s="80">
        <f>IF(OR(Crate!$E51="",Crate!$E51=0),"",Crate!$B51)</f>
        <v/>
      </c>
      <c r="B1592" s="80">
        <f>IF(OR(Crate!$E51="",Crate!$E51=0),"",Crate!$C51)</f>
        <v/>
      </c>
      <c r="C1592" s="80">
        <f>IF(OR(Crate!$E51="",Crate!$E51=0),"","سبد")</f>
        <v/>
      </c>
      <c r="D1592" s="80">
        <f>IF(OR(Crate!$E51="",Crate!$E51=0),"",Crate!$E51)</f>
        <v/>
      </c>
      <c r="E1592" s="81">
        <f>IF(OR(Crate!$E51="",Crate!$E51=0),"",Crate!$M51)</f>
        <v/>
      </c>
      <c r="G1592" s="82">
        <f>IF(OR(Crate!$E51="",Crate!$E51=0),"",Crate!$I51)</f>
        <v/>
      </c>
      <c r="J1592" s="82">
        <f>IF(OR(Crate!$E51="",Crate!$E51=0),"",Crate!$J51)</f>
        <v/>
      </c>
      <c r="K1592" s="82">
        <f>IF(OR(Crate!$E51="",Crate!$E51=0),"",IF(Crate!$N51="",0,Crate!$N51)+IF(Crate!$O51="",0,Crate!$O51))</f>
        <v/>
      </c>
      <c r="L1592" s="82">
        <f>IF(OR(Crate!$E51="",Crate!$E51=0),"",Crate!$N51)</f>
        <v/>
      </c>
      <c r="M1592" s="82">
        <f>IF(OR(Crate!$E51="",Crate!$E51=0),"",Crate!$O51)</f>
        <v/>
      </c>
      <c r="N1592" s="81">
        <f>IF(OR(Crate!$E51="",Crate!$E51=0),"",Crate!$D51)</f>
        <v/>
      </c>
      <c r="O1592" s="81">
        <f>IF(OR(Crate!$E51="",Crate!$E51=0),"",IFERROR(VLOOKUP(Crate!$E51,AcctTbl,3,0),""))</f>
        <v/>
      </c>
      <c r="P1592" s="82" t="inlineStr"/>
    </row>
    <row r="1593" ht="20.25" customHeight="1">
      <c r="A1593" s="80">
        <f>IF(OR(Crate!$P51="",Crate!$P51=0),"",Crate!$B51)</f>
        <v/>
      </c>
      <c r="B1593" s="80">
        <f>IF(OR(Crate!$P51="",Crate!$P51=0),"",Crate!$C51)</f>
        <v/>
      </c>
      <c r="C1593" s="80">
        <f>IF(OR(Crate!$P51="",Crate!$P51=0),"","سبد")</f>
        <v/>
      </c>
      <c r="D1593" s="80">
        <f>IF(OR(Crate!$P51="",Crate!$P51=0),"",Crate!$P51)</f>
        <v/>
      </c>
      <c r="E1593" s="81">
        <f>IF(OR(Crate!$P51="",Crate!$P51=0),"",IF(Crate!$P51="","","مقابل: "&amp;Crate!$D51))</f>
        <v/>
      </c>
      <c r="F1593" s="83" t="n"/>
      <c r="G1593" s="83" t="n"/>
      <c r="H1593" s="83" t="n"/>
      <c r="I1593" s="83" t="n"/>
      <c r="J1593" s="83" t="n"/>
      <c r="K1593" s="82">
        <f>IF(OR(Crate!$P51="",Crate!$P51=0),"",IF(Crate!$Q51="",0,Crate!$Q51)+IF(Crate!$R51="",0,Crate!$R51))</f>
        <v/>
      </c>
      <c r="L1593" s="82">
        <f>IF(OR(Crate!$P51="",Crate!$P51=0),"",Crate!$Q51)</f>
        <v/>
      </c>
      <c r="M1593" s="82">
        <f>IF(OR(Crate!$P51="",Crate!$P51=0),"",Crate!$R51)</f>
        <v/>
      </c>
      <c r="N1593" s="81">
        <f>IF(OR(Crate!$P51="",Crate!$P51=0),"","مقابل")</f>
        <v/>
      </c>
      <c r="O1593" s="81">
        <f>IF(OR(Crate!$P51="",Crate!$P51=0),"",IFERROR(VLOOKUP(Crate!$P51,AcctTbl,3,0),""))</f>
        <v/>
      </c>
      <c r="P1593" s="82" t="inlineStr"/>
    </row>
    <row r="1594" ht="20.25" customHeight="1">
      <c r="A1594" s="80">
        <f>IF(OR(Crate!$E52="",Crate!$E52=0),"",Crate!$B52)</f>
        <v/>
      </c>
      <c r="B1594" s="80">
        <f>IF(OR(Crate!$E52="",Crate!$E52=0),"",Crate!$C52)</f>
        <v/>
      </c>
      <c r="C1594" s="80">
        <f>IF(OR(Crate!$E52="",Crate!$E52=0),"","سبد")</f>
        <v/>
      </c>
      <c r="D1594" s="80">
        <f>IF(OR(Crate!$E52="",Crate!$E52=0),"",Crate!$E52)</f>
        <v/>
      </c>
      <c r="E1594" s="81">
        <f>IF(OR(Crate!$E52="",Crate!$E52=0),"",Crate!$M52)</f>
        <v/>
      </c>
      <c r="G1594" s="82">
        <f>IF(OR(Crate!$E52="",Crate!$E52=0),"",Crate!$I52)</f>
        <v/>
      </c>
      <c r="J1594" s="82">
        <f>IF(OR(Crate!$E52="",Crate!$E52=0),"",Crate!$J52)</f>
        <v/>
      </c>
      <c r="K1594" s="82">
        <f>IF(OR(Crate!$E52="",Crate!$E52=0),"",IF(Crate!$N52="",0,Crate!$N52)+IF(Crate!$O52="",0,Crate!$O52))</f>
        <v/>
      </c>
      <c r="L1594" s="82">
        <f>IF(OR(Crate!$E52="",Crate!$E52=0),"",Crate!$N52)</f>
        <v/>
      </c>
      <c r="M1594" s="82">
        <f>IF(OR(Crate!$E52="",Crate!$E52=0),"",Crate!$O52)</f>
        <v/>
      </c>
      <c r="N1594" s="81">
        <f>IF(OR(Crate!$E52="",Crate!$E52=0),"",Crate!$D52)</f>
        <v/>
      </c>
      <c r="O1594" s="81">
        <f>IF(OR(Crate!$E52="",Crate!$E52=0),"",IFERROR(VLOOKUP(Crate!$E52,AcctTbl,3,0),""))</f>
        <v/>
      </c>
      <c r="P1594" s="82" t="inlineStr"/>
    </row>
    <row r="1595" ht="20.25" customHeight="1">
      <c r="A1595" s="80">
        <f>IF(OR(Crate!$P52="",Crate!$P52=0),"",Crate!$B52)</f>
        <v/>
      </c>
      <c r="B1595" s="80">
        <f>IF(OR(Crate!$P52="",Crate!$P52=0),"",Crate!$C52)</f>
        <v/>
      </c>
      <c r="C1595" s="80">
        <f>IF(OR(Crate!$P52="",Crate!$P52=0),"","سبد")</f>
        <v/>
      </c>
      <c r="D1595" s="80">
        <f>IF(OR(Crate!$P52="",Crate!$P52=0),"",Crate!$P52)</f>
        <v/>
      </c>
      <c r="E1595" s="81">
        <f>IF(OR(Crate!$P52="",Crate!$P52=0),"",IF(Crate!$P52="","","مقابل: "&amp;Crate!$D52))</f>
        <v/>
      </c>
      <c r="F1595" s="83" t="n"/>
      <c r="G1595" s="83" t="n"/>
      <c r="H1595" s="83" t="n"/>
      <c r="I1595" s="83" t="n"/>
      <c r="J1595" s="83" t="n"/>
      <c r="K1595" s="82">
        <f>IF(OR(Crate!$P52="",Crate!$P52=0),"",IF(Crate!$Q52="",0,Crate!$Q52)+IF(Crate!$R52="",0,Crate!$R52))</f>
        <v/>
      </c>
      <c r="L1595" s="82">
        <f>IF(OR(Crate!$P52="",Crate!$P52=0),"",Crate!$Q52)</f>
        <v/>
      </c>
      <c r="M1595" s="82">
        <f>IF(OR(Crate!$P52="",Crate!$P52=0),"",Crate!$R52)</f>
        <v/>
      </c>
      <c r="N1595" s="81">
        <f>IF(OR(Crate!$P52="",Crate!$P52=0),"","مقابل")</f>
        <v/>
      </c>
      <c r="O1595" s="81">
        <f>IF(OR(Crate!$P52="",Crate!$P52=0),"",IFERROR(VLOOKUP(Crate!$P52,AcctTbl,3,0),""))</f>
        <v/>
      </c>
      <c r="P1595" s="82" t="inlineStr"/>
    </row>
    <row r="1596" ht="20.25" customHeight="1">
      <c r="A1596" s="80">
        <f>IF(OR(Crate!$E53="",Crate!$E53=0),"",Crate!$B53)</f>
        <v/>
      </c>
      <c r="B1596" s="80">
        <f>IF(OR(Crate!$E53="",Crate!$E53=0),"",Crate!$C53)</f>
        <v/>
      </c>
      <c r="C1596" s="80">
        <f>IF(OR(Crate!$E53="",Crate!$E53=0),"","سبد")</f>
        <v/>
      </c>
      <c r="D1596" s="80">
        <f>IF(OR(Crate!$E53="",Crate!$E53=0),"",Crate!$E53)</f>
        <v/>
      </c>
      <c r="E1596" s="81">
        <f>IF(OR(Crate!$E53="",Crate!$E53=0),"",Crate!$M53)</f>
        <v/>
      </c>
      <c r="G1596" s="82">
        <f>IF(OR(Crate!$E53="",Crate!$E53=0),"",Crate!$I53)</f>
        <v/>
      </c>
      <c r="J1596" s="82">
        <f>IF(OR(Crate!$E53="",Crate!$E53=0),"",Crate!$J53)</f>
        <v/>
      </c>
      <c r="K1596" s="82">
        <f>IF(OR(Crate!$E53="",Crate!$E53=0),"",IF(Crate!$N53="",0,Crate!$N53)+IF(Crate!$O53="",0,Crate!$O53))</f>
        <v/>
      </c>
      <c r="L1596" s="82">
        <f>IF(OR(Crate!$E53="",Crate!$E53=0),"",Crate!$N53)</f>
        <v/>
      </c>
      <c r="M1596" s="82">
        <f>IF(OR(Crate!$E53="",Crate!$E53=0),"",Crate!$O53)</f>
        <v/>
      </c>
      <c r="N1596" s="81">
        <f>IF(OR(Crate!$E53="",Crate!$E53=0),"",Crate!$D53)</f>
        <v/>
      </c>
      <c r="O1596" s="81">
        <f>IF(OR(Crate!$E53="",Crate!$E53=0),"",IFERROR(VLOOKUP(Crate!$E53,AcctTbl,3,0),""))</f>
        <v/>
      </c>
      <c r="P1596" s="82" t="inlineStr"/>
    </row>
    <row r="1597" ht="20.25" customHeight="1">
      <c r="A1597" s="80">
        <f>IF(OR(Crate!$P53="",Crate!$P53=0),"",Crate!$B53)</f>
        <v/>
      </c>
      <c r="B1597" s="80">
        <f>IF(OR(Crate!$P53="",Crate!$P53=0),"",Crate!$C53)</f>
        <v/>
      </c>
      <c r="C1597" s="80">
        <f>IF(OR(Crate!$P53="",Crate!$P53=0),"","سبد")</f>
        <v/>
      </c>
      <c r="D1597" s="80">
        <f>IF(OR(Crate!$P53="",Crate!$P53=0),"",Crate!$P53)</f>
        <v/>
      </c>
      <c r="E1597" s="81">
        <f>IF(OR(Crate!$P53="",Crate!$P53=0),"",IF(Crate!$P53="","","مقابل: "&amp;Crate!$D53))</f>
        <v/>
      </c>
      <c r="F1597" s="83" t="n"/>
      <c r="G1597" s="83" t="n"/>
      <c r="H1597" s="83" t="n"/>
      <c r="I1597" s="83" t="n"/>
      <c r="J1597" s="83" t="n"/>
      <c r="K1597" s="82">
        <f>IF(OR(Crate!$P53="",Crate!$P53=0),"",IF(Crate!$Q53="",0,Crate!$Q53)+IF(Crate!$R53="",0,Crate!$R53))</f>
        <v/>
      </c>
      <c r="L1597" s="82">
        <f>IF(OR(Crate!$P53="",Crate!$P53=0),"",Crate!$Q53)</f>
        <v/>
      </c>
      <c r="M1597" s="82">
        <f>IF(OR(Crate!$P53="",Crate!$P53=0),"",Crate!$R53)</f>
        <v/>
      </c>
      <c r="N1597" s="81">
        <f>IF(OR(Crate!$P53="",Crate!$P53=0),"","مقابل")</f>
        <v/>
      </c>
      <c r="O1597" s="81">
        <f>IF(OR(Crate!$P53="",Crate!$P53=0),"",IFERROR(VLOOKUP(Crate!$P53,AcctTbl,3,0),""))</f>
        <v/>
      </c>
      <c r="P1597" s="82" t="inlineStr"/>
    </row>
    <row r="1598" ht="20.25" customHeight="1">
      <c r="A1598" s="80">
        <f>IF(OR(Crate!$E54="",Crate!$E54=0),"",Crate!$B54)</f>
        <v/>
      </c>
      <c r="B1598" s="80">
        <f>IF(OR(Crate!$E54="",Crate!$E54=0),"",Crate!$C54)</f>
        <v/>
      </c>
      <c r="C1598" s="80">
        <f>IF(OR(Crate!$E54="",Crate!$E54=0),"","سبد")</f>
        <v/>
      </c>
      <c r="D1598" s="80">
        <f>IF(OR(Crate!$E54="",Crate!$E54=0),"",Crate!$E54)</f>
        <v/>
      </c>
      <c r="E1598" s="81">
        <f>IF(OR(Crate!$E54="",Crate!$E54=0),"",Crate!$M54)</f>
        <v/>
      </c>
      <c r="G1598" s="82">
        <f>IF(OR(Crate!$E54="",Crate!$E54=0),"",Crate!$I54)</f>
        <v/>
      </c>
      <c r="J1598" s="82">
        <f>IF(OR(Crate!$E54="",Crate!$E54=0),"",Crate!$J54)</f>
        <v/>
      </c>
      <c r="K1598" s="82">
        <f>IF(OR(Crate!$E54="",Crate!$E54=0),"",IF(Crate!$N54="",0,Crate!$N54)+IF(Crate!$O54="",0,Crate!$O54))</f>
        <v/>
      </c>
      <c r="L1598" s="82">
        <f>IF(OR(Crate!$E54="",Crate!$E54=0),"",Crate!$N54)</f>
        <v/>
      </c>
      <c r="M1598" s="82">
        <f>IF(OR(Crate!$E54="",Crate!$E54=0),"",Crate!$O54)</f>
        <v/>
      </c>
      <c r="N1598" s="81">
        <f>IF(OR(Crate!$E54="",Crate!$E54=0),"",Crate!$D54)</f>
        <v/>
      </c>
      <c r="O1598" s="81">
        <f>IF(OR(Crate!$E54="",Crate!$E54=0),"",IFERROR(VLOOKUP(Crate!$E54,AcctTbl,3,0),""))</f>
        <v/>
      </c>
      <c r="P1598" s="82" t="inlineStr"/>
    </row>
    <row r="1599" ht="20.25" customHeight="1">
      <c r="A1599" s="80">
        <f>IF(OR(Crate!$P54="",Crate!$P54=0),"",Crate!$B54)</f>
        <v/>
      </c>
      <c r="B1599" s="80">
        <f>IF(OR(Crate!$P54="",Crate!$P54=0),"",Crate!$C54)</f>
        <v/>
      </c>
      <c r="C1599" s="80">
        <f>IF(OR(Crate!$P54="",Crate!$P54=0),"","سبد")</f>
        <v/>
      </c>
      <c r="D1599" s="80">
        <f>IF(OR(Crate!$P54="",Crate!$P54=0),"",Crate!$P54)</f>
        <v/>
      </c>
      <c r="E1599" s="81">
        <f>IF(OR(Crate!$P54="",Crate!$P54=0),"",IF(Crate!$P54="","","مقابل: "&amp;Crate!$D54))</f>
        <v/>
      </c>
      <c r="F1599" s="83" t="n"/>
      <c r="G1599" s="83" t="n"/>
      <c r="H1599" s="83" t="n"/>
      <c r="I1599" s="83" t="n"/>
      <c r="J1599" s="83" t="n"/>
      <c r="K1599" s="82">
        <f>IF(OR(Crate!$P54="",Crate!$P54=0),"",IF(Crate!$Q54="",0,Crate!$Q54)+IF(Crate!$R54="",0,Crate!$R54))</f>
        <v/>
      </c>
      <c r="L1599" s="82">
        <f>IF(OR(Crate!$P54="",Crate!$P54=0),"",Crate!$Q54)</f>
        <v/>
      </c>
      <c r="M1599" s="82">
        <f>IF(OR(Crate!$P54="",Crate!$P54=0),"",Crate!$R54)</f>
        <v/>
      </c>
      <c r="N1599" s="81">
        <f>IF(OR(Crate!$P54="",Crate!$P54=0),"","مقابل")</f>
        <v/>
      </c>
      <c r="O1599" s="81">
        <f>IF(OR(Crate!$P54="",Crate!$P54=0),"",IFERROR(VLOOKUP(Crate!$P54,AcctTbl,3,0),""))</f>
        <v/>
      </c>
      <c r="P1599" s="82" t="inlineStr"/>
    </row>
    <row r="1600" ht="20.25" customHeight="1">
      <c r="A1600" s="80">
        <f>IF(OR(Crate!$E55="",Crate!$E55=0),"",Crate!$B55)</f>
        <v/>
      </c>
      <c r="B1600" s="80">
        <f>IF(OR(Crate!$E55="",Crate!$E55=0),"",Crate!$C55)</f>
        <v/>
      </c>
      <c r="C1600" s="80">
        <f>IF(OR(Crate!$E55="",Crate!$E55=0),"","سبد")</f>
        <v/>
      </c>
      <c r="D1600" s="80">
        <f>IF(OR(Crate!$E55="",Crate!$E55=0),"",Crate!$E55)</f>
        <v/>
      </c>
      <c r="E1600" s="81">
        <f>IF(OR(Crate!$E55="",Crate!$E55=0),"",Crate!$M55)</f>
        <v/>
      </c>
      <c r="G1600" s="82">
        <f>IF(OR(Crate!$E55="",Crate!$E55=0),"",Crate!$I55)</f>
        <v/>
      </c>
      <c r="J1600" s="82">
        <f>IF(OR(Crate!$E55="",Crate!$E55=0),"",Crate!$J55)</f>
        <v/>
      </c>
      <c r="K1600" s="82">
        <f>IF(OR(Crate!$E55="",Crate!$E55=0),"",IF(Crate!$N55="",0,Crate!$N55)+IF(Crate!$O55="",0,Crate!$O55))</f>
        <v/>
      </c>
      <c r="L1600" s="82">
        <f>IF(OR(Crate!$E55="",Crate!$E55=0),"",Crate!$N55)</f>
        <v/>
      </c>
      <c r="M1600" s="82">
        <f>IF(OR(Crate!$E55="",Crate!$E55=0),"",Crate!$O55)</f>
        <v/>
      </c>
      <c r="N1600" s="81">
        <f>IF(OR(Crate!$E55="",Crate!$E55=0),"",Crate!$D55)</f>
        <v/>
      </c>
      <c r="O1600" s="81">
        <f>IF(OR(Crate!$E55="",Crate!$E55=0),"",IFERROR(VLOOKUP(Crate!$E55,AcctTbl,3,0),""))</f>
        <v/>
      </c>
      <c r="P1600" s="82" t="inlineStr"/>
    </row>
    <row r="1601" ht="20.25" customHeight="1">
      <c r="A1601" s="80">
        <f>IF(OR(Crate!$P55="",Crate!$P55=0),"",Crate!$B55)</f>
        <v/>
      </c>
      <c r="B1601" s="80">
        <f>IF(OR(Crate!$P55="",Crate!$P55=0),"",Crate!$C55)</f>
        <v/>
      </c>
      <c r="C1601" s="80">
        <f>IF(OR(Crate!$P55="",Crate!$P55=0),"","سبد")</f>
        <v/>
      </c>
      <c r="D1601" s="80">
        <f>IF(OR(Crate!$P55="",Crate!$P55=0),"",Crate!$P55)</f>
        <v/>
      </c>
      <c r="E1601" s="81">
        <f>IF(OR(Crate!$P55="",Crate!$P55=0),"",IF(Crate!$P55="","","مقابل: "&amp;Crate!$D55))</f>
        <v/>
      </c>
      <c r="F1601" s="83" t="n"/>
      <c r="G1601" s="83" t="n"/>
      <c r="H1601" s="83" t="n"/>
      <c r="I1601" s="83" t="n"/>
      <c r="J1601" s="83" t="n"/>
      <c r="K1601" s="82">
        <f>IF(OR(Crate!$P55="",Crate!$P55=0),"",IF(Crate!$Q55="",0,Crate!$Q55)+IF(Crate!$R55="",0,Crate!$R55))</f>
        <v/>
      </c>
      <c r="L1601" s="82">
        <f>IF(OR(Crate!$P55="",Crate!$P55=0),"",Crate!$Q55)</f>
        <v/>
      </c>
      <c r="M1601" s="82">
        <f>IF(OR(Crate!$P55="",Crate!$P55=0),"",Crate!$R55)</f>
        <v/>
      </c>
      <c r="N1601" s="81">
        <f>IF(OR(Crate!$P55="",Crate!$P55=0),"","مقابل")</f>
        <v/>
      </c>
      <c r="O1601" s="81">
        <f>IF(OR(Crate!$P55="",Crate!$P55=0),"",IFERROR(VLOOKUP(Crate!$P55,AcctTbl,3,0),""))</f>
        <v/>
      </c>
      <c r="P1601" s="82" t="inlineStr"/>
    </row>
    <row r="1602" ht="20.25" customHeight="1">
      <c r="A1602" s="80">
        <f>IF(OR(Crate!$E56="",Crate!$E56=0),"",Crate!$B56)</f>
        <v/>
      </c>
      <c r="B1602" s="80">
        <f>IF(OR(Crate!$E56="",Crate!$E56=0),"",Crate!$C56)</f>
        <v/>
      </c>
      <c r="C1602" s="80">
        <f>IF(OR(Crate!$E56="",Crate!$E56=0),"","سبد")</f>
        <v/>
      </c>
      <c r="D1602" s="80">
        <f>IF(OR(Crate!$E56="",Crate!$E56=0),"",Crate!$E56)</f>
        <v/>
      </c>
      <c r="E1602" s="81">
        <f>IF(OR(Crate!$E56="",Crate!$E56=0),"",Crate!$M56)</f>
        <v/>
      </c>
      <c r="G1602" s="82">
        <f>IF(OR(Crate!$E56="",Crate!$E56=0),"",Crate!$I56)</f>
        <v/>
      </c>
      <c r="J1602" s="82">
        <f>IF(OR(Crate!$E56="",Crate!$E56=0),"",Crate!$J56)</f>
        <v/>
      </c>
      <c r="K1602" s="82">
        <f>IF(OR(Crate!$E56="",Crate!$E56=0),"",IF(Crate!$N56="",0,Crate!$N56)+IF(Crate!$O56="",0,Crate!$O56))</f>
        <v/>
      </c>
      <c r="L1602" s="82">
        <f>IF(OR(Crate!$E56="",Crate!$E56=0),"",Crate!$N56)</f>
        <v/>
      </c>
      <c r="M1602" s="82">
        <f>IF(OR(Crate!$E56="",Crate!$E56=0),"",Crate!$O56)</f>
        <v/>
      </c>
      <c r="N1602" s="81">
        <f>IF(OR(Crate!$E56="",Crate!$E56=0),"",Crate!$D56)</f>
        <v/>
      </c>
      <c r="O1602" s="81">
        <f>IF(OR(Crate!$E56="",Crate!$E56=0),"",IFERROR(VLOOKUP(Crate!$E56,AcctTbl,3,0),""))</f>
        <v/>
      </c>
      <c r="P1602" s="82" t="inlineStr"/>
    </row>
    <row r="1603" ht="20.25" customHeight="1">
      <c r="A1603" s="80">
        <f>IF(OR(Crate!$P56="",Crate!$P56=0),"",Crate!$B56)</f>
        <v/>
      </c>
      <c r="B1603" s="80">
        <f>IF(OR(Crate!$P56="",Crate!$P56=0),"",Crate!$C56)</f>
        <v/>
      </c>
      <c r="C1603" s="80">
        <f>IF(OR(Crate!$P56="",Crate!$P56=0),"","سبد")</f>
        <v/>
      </c>
      <c r="D1603" s="80">
        <f>IF(OR(Crate!$P56="",Crate!$P56=0),"",Crate!$P56)</f>
        <v/>
      </c>
      <c r="E1603" s="81">
        <f>IF(OR(Crate!$P56="",Crate!$P56=0),"",IF(Crate!$P56="","","مقابل: "&amp;Crate!$D56))</f>
        <v/>
      </c>
      <c r="F1603" s="83" t="n"/>
      <c r="G1603" s="83" t="n"/>
      <c r="H1603" s="83" t="n"/>
      <c r="I1603" s="83" t="n"/>
      <c r="J1603" s="83" t="n"/>
      <c r="K1603" s="82">
        <f>IF(OR(Crate!$P56="",Crate!$P56=0),"",IF(Crate!$Q56="",0,Crate!$Q56)+IF(Crate!$R56="",0,Crate!$R56))</f>
        <v/>
      </c>
      <c r="L1603" s="82">
        <f>IF(OR(Crate!$P56="",Crate!$P56=0),"",Crate!$Q56)</f>
        <v/>
      </c>
      <c r="M1603" s="82">
        <f>IF(OR(Crate!$P56="",Crate!$P56=0),"",Crate!$R56)</f>
        <v/>
      </c>
      <c r="N1603" s="81">
        <f>IF(OR(Crate!$P56="",Crate!$P56=0),"","مقابل")</f>
        <v/>
      </c>
      <c r="O1603" s="81">
        <f>IF(OR(Crate!$P56="",Crate!$P56=0),"",IFERROR(VLOOKUP(Crate!$P56,AcctTbl,3,0),""))</f>
        <v/>
      </c>
      <c r="P1603" s="82" t="inlineStr"/>
    </row>
    <row r="1604" ht="20.25" customHeight="1">
      <c r="A1604" s="80">
        <f>IF(OR(Crate!$E57="",Crate!$E57=0),"",Crate!$B57)</f>
        <v/>
      </c>
      <c r="B1604" s="80">
        <f>IF(OR(Crate!$E57="",Crate!$E57=0),"",Crate!$C57)</f>
        <v/>
      </c>
      <c r="C1604" s="80">
        <f>IF(OR(Crate!$E57="",Crate!$E57=0),"","سبد")</f>
        <v/>
      </c>
      <c r="D1604" s="80">
        <f>IF(OR(Crate!$E57="",Crate!$E57=0),"",Crate!$E57)</f>
        <v/>
      </c>
      <c r="E1604" s="81">
        <f>IF(OR(Crate!$E57="",Crate!$E57=0),"",Crate!$M57)</f>
        <v/>
      </c>
      <c r="G1604" s="82">
        <f>IF(OR(Crate!$E57="",Crate!$E57=0),"",Crate!$I57)</f>
        <v/>
      </c>
      <c r="J1604" s="82">
        <f>IF(OR(Crate!$E57="",Crate!$E57=0),"",Crate!$J57)</f>
        <v/>
      </c>
      <c r="K1604" s="82">
        <f>IF(OR(Crate!$E57="",Crate!$E57=0),"",IF(Crate!$N57="",0,Crate!$N57)+IF(Crate!$O57="",0,Crate!$O57))</f>
        <v/>
      </c>
      <c r="L1604" s="82">
        <f>IF(OR(Crate!$E57="",Crate!$E57=0),"",Crate!$N57)</f>
        <v/>
      </c>
      <c r="M1604" s="82">
        <f>IF(OR(Crate!$E57="",Crate!$E57=0),"",Crate!$O57)</f>
        <v/>
      </c>
      <c r="N1604" s="81">
        <f>IF(OR(Crate!$E57="",Crate!$E57=0),"",Crate!$D57)</f>
        <v/>
      </c>
      <c r="O1604" s="81">
        <f>IF(OR(Crate!$E57="",Crate!$E57=0),"",IFERROR(VLOOKUP(Crate!$E57,AcctTbl,3,0),""))</f>
        <v/>
      </c>
      <c r="P1604" s="82" t="inlineStr"/>
    </row>
    <row r="1605" ht="20.25" customHeight="1">
      <c r="A1605" s="80">
        <f>IF(OR(Crate!$P57="",Crate!$P57=0),"",Crate!$B57)</f>
        <v/>
      </c>
      <c r="B1605" s="80">
        <f>IF(OR(Crate!$P57="",Crate!$P57=0),"",Crate!$C57)</f>
        <v/>
      </c>
      <c r="C1605" s="80">
        <f>IF(OR(Crate!$P57="",Crate!$P57=0),"","سبد")</f>
        <v/>
      </c>
      <c r="D1605" s="80">
        <f>IF(OR(Crate!$P57="",Crate!$P57=0),"",Crate!$P57)</f>
        <v/>
      </c>
      <c r="E1605" s="81">
        <f>IF(OR(Crate!$P57="",Crate!$P57=0),"",IF(Crate!$P57="","","مقابل: "&amp;Crate!$D57))</f>
        <v/>
      </c>
      <c r="F1605" s="83" t="n"/>
      <c r="G1605" s="83" t="n"/>
      <c r="H1605" s="83" t="n"/>
      <c r="I1605" s="83" t="n"/>
      <c r="J1605" s="83" t="n"/>
      <c r="K1605" s="82">
        <f>IF(OR(Crate!$P57="",Crate!$P57=0),"",IF(Crate!$Q57="",0,Crate!$Q57)+IF(Crate!$R57="",0,Crate!$R57))</f>
        <v/>
      </c>
      <c r="L1605" s="82">
        <f>IF(OR(Crate!$P57="",Crate!$P57=0),"",Crate!$Q57)</f>
        <v/>
      </c>
      <c r="M1605" s="82">
        <f>IF(OR(Crate!$P57="",Crate!$P57=0),"",Crate!$R57)</f>
        <v/>
      </c>
      <c r="N1605" s="81">
        <f>IF(OR(Crate!$P57="",Crate!$P57=0),"","مقابل")</f>
        <v/>
      </c>
      <c r="O1605" s="81">
        <f>IF(OR(Crate!$P57="",Crate!$P57=0),"",IFERROR(VLOOKUP(Crate!$P57,AcctTbl,3,0),""))</f>
        <v/>
      </c>
      <c r="P1605" s="82" t="inlineStr"/>
    </row>
    <row r="1606" ht="20.25" customHeight="1">
      <c r="A1606" s="80">
        <f>IF(OR(Crate!$E58="",Crate!$E58=0),"",Crate!$B58)</f>
        <v/>
      </c>
      <c r="B1606" s="80">
        <f>IF(OR(Crate!$E58="",Crate!$E58=0),"",Crate!$C58)</f>
        <v/>
      </c>
      <c r="C1606" s="80">
        <f>IF(OR(Crate!$E58="",Crate!$E58=0),"","سبد")</f>
        <v/>
      </c>
      <c r="D1606" s="80">
        <f>IF(OR(Crate!$E58="",Crate!$E58=0),"",Crate!$E58)</f>
        <v/>
      </c>
      <c r="E1606" s="81">
        <f>IF(OR(Crate!$E58="",Crate!$E58=0),"",Crate!$M58)</f>
        <v/>
      </c>
      <c r="G1606" s="82">
        <f>IF(OR(Crate!$E58="",Crate!$E58=0),"",Crate!$I58)</f>
        <v/>
      </c>
      <c r="J1606" s="82">
        <f>IF(OR(Crate!$E58="",Crate!$E58=0),"",Crate!$J58)</f>
        <v/>
      </c>
      <c r="K1606" s="82">
        <f>IF(OR(Crate!$E58="",Crate!$E58=0),"",IF(Crate!$N58="",0,Crate!$N58)+IF(Crate!$O58="",0,Crate!$O58))</f>
        <v/>
      </c>
      <c r="L1606" s="82">
        <f>IF(OR(Crate!$E58="",Crate!$E58=0),"",Crate!$N58)</f>
        <v/>
      </c>
      <c r="M1606" s="82">
        <f>IF(OR(Crate!$E58="",Crate!$E58=0),"",Crate!$O58)</f>
        <v/>
      </c>
      <c r="N1606" s="81">
        <f>IF(OR(Crate!$E58="",Crate!$E58=0),"",Crate!$D58)</f>
        <v/>
      </c>
      <c r="O1606" s="81">
        <f>IF(OR(Crate!$E58="",Crate!$E58=0),"",IFERROR(VLOOKUP(Crate!$E58,AcctTbl,3,0),""))</f>
        <v/>
      </c>
      <c r="P1606" s="82" t="inlineStr"/>
    </row>
    <row r="1607" ht="20.25" customHeight="1">
      <c r="A1607" s="80">
        <f>IF(OR(Crate!$P58="",Crate!$P58=0),"",Crate!$B58)</f>
        <v/>
      </c>
      <c r="B1607" s="80">
        <f>IF(OR(Crate!$P58="",Crate!$P58=0),"",Crate!$C58)</f>
        <v/>
      </c>
      <c r="C1607" s="80">
        <f>IF(OR(Crate!$P58="",Crate!$P58=0),"","سبد")</f>
        <v/>
      </c>
      <c r="D1607" s="80">
        <f>IF(OR(Crate!$P58="",Crate!$P58=0),"",Crate!$P58)</f>
        <v/>
      </c>
      <c r="E1607" s="81">
        <f>IF(OR(Crate!$P58="",Crate!$P58=0),"",IF(Crate!$P58="","","مقابل: "&amp;Crate!$D58))</f>
        <v/>
      </c>
      <c r="F1607" s="83" t="n"/>
      <c r="G1607" s="83" t="n"/>
      <c r="H1607" s="83" t="n"/>
      <c r="I1607" s="83" t="n"/>
      <c r="J1607" s="83" t="n"/>
      <c r="K1607" s="82">
        <f>IF(OR(Crate!$P58="",Crate!$P58=0),"",IF(Crate!$Q58="",0,Crate!$Q58)+IF(Crate!$R58="",0,Crate!$R58))</f>
        <v/>
      </c>
      <c r="L1607" s="82">
        <f>IF(OR(Crate!$P58="",Crate!$P58=0),"",Crate!$Q58)</f>
        <v/>
      </c>
      <c r="M1607" s="82">
        <f>IF(OR(Crate!$P58="",Crate!$P58=0),"",Crate!$R58)</f>
        <v/>
      </c>
      <c r="N1607" s="81">
        <f>IF(OR(Crate!$P58="",Crate!$P58=0),"","مقابل")</f>
        <v/>
      </c>
      <c r="O1607" s="81">
        <f>IF(OR(Crate!$P58="",Crate!$P58=0),"",IFERROR(VLOOKUP(Crate!$P58,AcctTbl,3,0),""))</f>
        <v/>
      </c>
      <c r="P1607" s="82" t="inlineStr"/>
    </row>
    <row r="1608" ht="20.25" customHeight="1">
      <c r="A1608" s="80">
        <f>IF(OR(Crate!$E59="",Crate!$E59=0),"",Crate!$B59)</f>
        <v/>
      </c>
      <c r="B1608" s="80">
        <f>IF(OR(Crate!$E59="",Crate!$E59=0),"",Crate!$C59)</f>
        <v/>
      </c>
      <c r="C1608" s="80">
        <f>IF(OR(Crate!$E59="",Crate!$E59=0),"","سبد")</f>
        <v/>
      </c>
      <c r="D1608" s="80">
        <f>IF(OR(Crate!$E59="",Crate!$E59=0),"",Crate!$E59)</f>
        <v/>
      </c>
      <c r="E1608" s="81">
        <f>IF(OR(Crate!$E59="",Crate!$E59=0),"",Crate!$M59)</f>
        <v/>
      </c>
      <c r="G1608" s="82">
        <f>IF(OR(Crate!$E59="",Crate!$E59=0),"",Crate!$I59)</f>
        <v/>
      </c>
      <c r="J1608" s="82">
        <f>IF(OR(Crate!$E59="",Crate!$E59=0),"",Crate!$J59)</f>
        <v/>
      </c>
      <c r="K1608" s="82">
        <f>IF(OR(Crate!$E59="",Crate!$E59=0),"",IF(Crate!$N59="",0,Crate!$N59)+IF(Crate!$O59="",0,Crate!$O59))</f>
        <v/>
      </c>
      <c r="L1608" s="82">
        <f>IF(OR(Crate!$E59="",Crate!$E59=0),"",Crate!$N59)</f>
        <v/>
      </c>
      <c r="M1608" s="82">
        <f>IF(OR(Crate!$E59="",Crate!$E59=0),"",Crate!$O59)</f>
        <v/>
      </c>
      <c r="N1608" s="81">
        <f>IF(OR(Crate!$E59="",Crate!$E59=0),"",Crate!$D59)</f>
        <v/>
      </c>
      <c r="O1608" s="81">
        <f>IF(OR(Crate!$E59="",Crate!$E59=0),"",IFERROR(VLOOKUP(Crate!$E59,AcctTbl,3,0),""))</f>
        <v/>
      </c>
      <c r="P1608" s="82" t="inlineStr"/>
    </row>
    <row r="1609" ht="20.25" customHeight="1">
      <c r="A1609" s="80">
        <f>IF(OR(Crate!$P59="",Crate!$P59=0),"",Crate!$B59)</f>
        <v/>
      </c>
      <c r="B1609" s="80">
        <f>IF(OR(Crate!$P59="",Crate!$P59=0),"",Crate!$C59)</f>
        <v/>
      </c>
      <c r="C1609" s="80">
        <f>IF(OR(Crate!$P59="",Crate!$P59=0),"","سبد")</f>
        <v/>
      </c>
      <c r="D1609" s="80">
        <f>IF(OR(Crate!$P59="",Crate!$P59=0),"",Crate!$P59)</f>
        <v/>
      </c>
      <c r="E1609" s="81">
        <f>IF(OR(Crate!$P59="",Crate!$P59=0),"",IF(Crate!$P59="","","مقابل: "&amp;Crate!$D59))</f>
        <v/>
      </c>
      <c r="F1609" s="83" t="n"/>
      <c r="G1609" s="83" t="n"/>
      <c r="H1609" s="83" t="n"/>
      <c r="I1609" s="83" t="n"/>
      <c r="J1609" s="83" t="n"/>
      <c r="K1609" s="82">
        <f>IF(OR(Crate!$P59="",Crate!$P59=0),"",IF(Crate!$Q59="",0,Crate!$Q59)+IF(Crate!$R59="",0,Crate!$R59))</f>
        <v/>
      </c>
      <c r="L1609" s="82">
        <f>IF(OR(Crate!$P59="",Crate!$P59=0),"",Crate!$Q59)</f>
        <v/>
      </c>
      <c r="M1609" s="82">
        <f>IF(OR(Crate!$P59="",Crate!$P59=0),"",Crate!$R59)</f>
        <v/>
      </c>
      <c r="N1609" s="81">
        <f>IF(OR(Crate!$P59="",Crate!$P59=0),"","مقابل")</f>
        <v/>
      </c>
      <c r="O1609" s="81">
        <f>IF(OR(Crate!$P59="",Crate!$P59=0),"",IFERROR(VLOOKUP(Crate!$P59,AcctTbl,3,0),""))</f>
        <v/>
      </c>
      <c r="P1609" s="82" t="inlineStr"/>
    </row>
    <row r="1610" ht="20.25" customHeight="1">
      <c r="A1610" s="80">
        <f>IF(OR(Crate!$E60="",Crate!$E60=0),"",Crate!$B60)</f>
        <v/>
      </c>
      <c r="B1610" s="80">
        <f>IF(OR(Crate!$E60="",Crate!$E60=0),"",Crate!$C60)</f>
        <v/>
      </c>
      <c r="C1610" s="80">
        <f>IF(OR(Crate!$E60="",Crate!$E60=0),"","سبد")</f>
        <v/>
      </c>
      <c r="D1610" s="80">
        <f>IF(OR(Crate!$E60="",Crate!$E60=0),"",Crate!$E60)</f>
        <v/>
      </c>
      <c r="E1610" s="81">
        <f>IF(OR(Crate!$E60="",Crate!$E60=0),"",Crate!$M60)</f>
        <v/>
      </c>
      <c r="G1610" s="82">
        <f>IF(OR(Crate!$E60="",Crate!$E60=0),"",Crate!$I60)</f>
        <v/>
      </c>
      <c r="J1610" s="82">
        <f>IF(OR(Crate!$E60="",Crate!$E60=0),"",Crate!$J60)</f>
        <v/>
      </c>
      <c r="K1610" s="82">
        <f>IF(OR(Crate!$E60="",Crate!$E60=0),"",IF(Crate!$N60="",0,Crate!$N60)+IF(Crate!$O60="",0,Crate!$O60))</f>
        <v/>
      </c>
      <c r="L1610" s="82">
        <f>IF(OR(Crate!$E60="",Crate!$E60=0),"",Crate!$N60)</f>
        <v/>
      </c>
      <c r="M1610" s="82">
        <f>IF(OR(Crate!$E60="",Crate!$E60=0),"",Crate!$O60)</f>
        <v/>
      </c>
      <c r="N1610" s="81">
        <f>IF(OR(Crate!$E60="",Crate!$E60=0),"",Crate!$D60)</f>
        <v/>
      </c>
      <c r="O1610" s="81">
        <f>IF(OR(Crate!$E60="",Crate!$E60=0),"",IFERROR(VLOOKUP(Crate!$E60,AcctTbl,3,0),""))</f>
        <v/>
      </c>
      <c r="P1610" s="82" t="inlineStr"/>
    </row>
    <row r="1611" ht="20.25" customHeight="1">
      <c r="A1611" s="80">
        <f>IF(OR(Crate!$P60="",Crate!$P60=0),"",Crate!$B60)</f>
        <v/>
      </c>
      <c r="B1611" s="80">
        <f>IF(OR(Crate!$P60="",Crate!$P60=0),"",Crate!$C60)</f>
        <v/>
      </c>
      <c r="C1611" s="80">
        <f>IF(OR(Crate!$P60="",Crate!$P60=0),"","سبد")</f>
        <v/>
      </c>
      <c r="D1611" s="80">
        <f>IF(OR(Crate!$P60="",Crate!$P60=0),"",Crate!$P60)</f>
        <v/>
      </c>
      <c r="E1611" s="81">
        <f>IF(OR(Crate!$P60="",Crate!$P60=0),"",IF(Crate!$P60="","","مقابل: "&amp;Crate!$D60))</f>
        <v/>
      </c>
      <c r="F1611" s="83" t="n"/>
      <c r="G1611" s="83" t="n"/>
      <c r="H1611" s="83" t="n"/>
      <c r="I1611" s="83" t="n"/>
      <c r="J1611" s="83" t="n"/>
      <c r="K1611" s="82">
        <f>IF(OR(Crate!$P60="",Crate!$P60=0),"",IF(Crate!$Q60="",0,Crate!$Q60)+IF(Crate!$R60="",0,Crate!$R60))</f>
        <v/>
      </c>
      <c r="L1611" s="82">
        <f>IF(OR(Crate!$P60="",Crate!$P60=0),"",Crate!$Q60)</f>
        <v/>
      </c>
      <c r="M1611" s="82">
        <f>IF(OR(Crate!$P60="",Crate!$P60=0),"",Crate!$R60)</f>
        <v/>
      </c>
      <c r="N1611" s="81">
        <f>IF(OR(Crate!$P60="",Crate!$P60=0),"","مقابل")</f>
        <v/>
      </c>
      <c r="O1611" s="81">
        <f>IF(OR(Crate!$P60="",Crate!$P60=0),"",IFERROR(VLOOKUP(Crate!$P60,AcctTbl,3,0),""))</f>
        <v/>
      </c>
      <c r="P1611" s="82" t="inlineStr"/>
    </row>
    <row r="1612" ht="20.25" customHeight="1">
      <c r="A1612" s="80">
        <f>IF(OR(Crate!$E61="",Crate!$E61=0),"",Crate!$B61)</f>
        <v/>
      </c>
      <c r="B1612" s="80">
        <f>IF(OR(Crate!$E61="",Crate!$E61=0),"",Crate!$C61)</f>
        <v/>
      </c>
      <c r="C1612" s="80">
        <f>IF(OR(Crate!$E61="",Crate!$E61=0),"","سبد")</f>
        <v/>
      </c>
      <c r="D1612" s="80">
        <f>IF(OR(Crate!$E61="",Crate!$E61=0),"",Crate!$E61)</f>
        <v/>
      </c>
      <c r="E1612" s="81">
        <f>IF(OR(Crate!$E61="",Crate!$E61=0),"",Crate!$M61)</f>
        <v/>
      </c>
      <c r="G1612" s="82">
        <f>IF(OR(Crate!$E61="",Crate!$E61=0),"",Crate!$I61)</f>
        <v/>
      </c>
      <c r="J1612" s="82">
        <f>IF(OR(Crate!$E61="",Crate!$E61=0),"",Crate!$J61)</f>
        <v/>
      </c>
      <c r="K1612" s="82">
        <f>IF(OR(Crate!$E61="",Crate!$E61=0),"",IF(Crate!$N61="",0,Crate!$N61)+IF(Crate!$O61="",0,Crate!$O61))</f>
        <v/>
      </c>
      <c r="L1612" s="82">
        <f>IF(OR(Crate!$E61="",Crate!$E61=0),"",Crate!$N61)</f>
        <v/>
      </c>
      <c r="M1612" s="82">
        <f>IF(OR(Crate!$E61="",Crate!$E61=0),"",Crate!$O61)</f>
        <v/>
      </c>
      <c r="N1612" s="81">
        <f>IF(OR(Crate!$E61="",Crate!$E61=0),"",Crate!$D61)</f>
        <v/>
      </c>
      <c r="O1612" s="81">
        <f>IF(OR(Crate!$E61="",Crate!$E61=0),"",IFERROR(VLOOKUP(Crate!$E61,AcctTbl,3,0),""))</f>
        <v/>
      </c>
      <c r="P1612" s="82" t="inlineStr"/>
    </row>
    <row r="1613" ht="20.25" customHeight="1">
      <c r="A1613" s="80">
        <f>IF(OR(Crate!$P61="",Crate!$P61=0),"",Crate!$B61)</f>
        <v/>
      </c>
      <c r="B1613" s="80">
        <f>IF(OR(Crate!$P61="",Crate!$P61=0),"",Crate!$C61)</f>
        <v/>
      </c>
      <c r="C1613" s="80">
        <f>IF(OR(Crate!$P61="",Crate!$P61=0),"","سبد")</f>
        <v/>
      </c>
      <c r="D1613" s="80">
        <f>IF(OR(Crate!$P61="",Crate!$P61=0),"",Crate!$P61)</f>
        <v/>
      </c>
      <c r="E1613" s="81">
        <f>IF(OR(Crate!$P61="",Crate!$P61=0),"",IF(Crate!$P61="","","مقابل: "&amp;Crate!$D61))</f>
        <v/>
      </c>
      <c r="F1613" s="83" t="n"/>
      <c r="G1613" s="83" t="n"/>
      <c r="H1613" s="83" t="n"/>
      <c r="I1613" s="83" t="n"/>
      <c r="J1613" s="83" t="n"/>
      <c r="K1613" s="82">
        <f>IF(OR(Crate!$P61="",Crate!$P61=0),"",IF(Crate!$Q61="",0,Crate!$Q61)+IF(Crate!$R61="",0,Crate!$R61))</f>
        <v/>
      </c>
      <c r="L1613" s="82">
        <f>IF(OR(Crate!$P61="",Crate!$P61=0),"",Crate!$Q61)</f>
        <v/>
      </c>
      <c r="M1613" s="82">
        <f>IF(OR(Crate!$P61="",Crate!$P61=0),"",Crate!$R61)</f>
        <v/>
      </c>
      <c r="N1613" s="81">
        <f>IF(OR(Crate!$P61="",Crate!$P61=0),"","مقابل")</f>
        <v/>
      </c>
      <c r="O1613" s="81">
        <f>IF(OR(Crate!$P61="",Crate!$P61=0),"",IFERROR(VLOOKUP(Crate!$P61,AcctTbl,3,0),""))</f>
        <v/>
      </c>
      <c r="P1613" s="82" t="inlineStr"/>
    </row>
    <row r="1614" ht="20.25" customHeight="1">
      <c r="A1614" s="80">
        <f>IF(OR(Crate!$E62="",Crate!$E62=0),"",Crate!$B62)</f>
        <v/>
      </c>
      <c r="B1614" s="80">
        <f>IF(OR(Crate!$E62="",Crate!$E62=0),"",Crate!$C62)</f>
        <v/>
      </c>
      <c r="C1614" s="80">
        <f>IF(OR(Crate!$E62="",Crate!$E62=0),"","سبد")</f>
        <v/>
      </c>
      <c r="D1614" s="80">
        <f>IF(OR(Crate!$E62="",Crate!$E62=0),"",Crate!$E62)</f>
        <v/>
      </c>
      <c r="E1614" s="81">
        <f>IF(OR(Crate!$E62="",Crate!$E62=0),"",Crate!$M62)</f>
        <v/>
      </c>
      <c r="G1614" s="82">
        <f>IF(OR(Crate!$E62="",Crate!$E62=0),"",Crate!$I62)</f>
        <v/>
      </c>
      <c r="J1614" s="82">
        <f>IF(OR(Crate!$E62="",Crate!$E62=0),"",Crate!$J62)</f>
        <v/>
      </c>
      <c r="K1614" s="82">
        <f>IF(OR(Crate!$E62="",Crate!$E62=0),"",IF(Crate!$N62="",0,Crate!$N62)+IF(Crate!$O62="",0,Crate!$O62))</f>
        <v/>
      </c>
      <c r="L1614" s="82">
        <f>IF(OR(Crate!$E62="",Crate!$E62=0),"",Crate!$N62)</f>
        <v/>
      </c>
      <c r="M1614" s="82">
        <f>IF(OR(Crate!$E62="",Crate!$E62=0),"",Crate!$O62)</f>
        <v/>
      </c>
      <c r="N1614" s="81">
        <f>IF(OR(Crate!$E62="",Crate!$E62=0),"",Crate!$D62)</f>
        <v/>
      </c>
      <c r="O1614" s="81">
        <f>IF(OR(Crate!$E62="",Crate!$E62=0),"",IFERROR(VLOOKUP(Crate!$E62,AcctTbl,3,0),""))</f>
        <v/>
      </c>
      <c r="P1614" s="82" t="inlineStr"/>
    </row>
    <row r="1615" ht="20.25" customHeight="1">
      <c r="A1615" s="80">
        <f>IF(OR(Crate!$P62="",Crate!$P62=0),"",Crate!$B62)</f>
        <v/>
      </c>
      <c r="B1615" s="80">
        <f>IF(OR(Crate!$P62="",Crate!$P62=0),"",Crate!$C62)</f>
        <v/>
      </c>
      <c r="C1615" s="80">
        <f>IF(OR(Crate!$P62="",Crate!$P62=0),"","سبد")</f>
        <v/>
      </c>
      <c r="D1615" s="80">
        <f>IF(OR(Crate!$P62="",Crate!$P62=0),"",Crate!$P62)</f>
        <v/>
      </c>
      <c r="E1615" s="81">
        <f>IF(OR(Crate!$P62="",Crate!$P62=0),"",IF(Crate!$P62="","","مقابل: "&amp;Crate!$D62))</f>
        <v/>
      </c>
      <c r="F1615" s="83" t="n"/>
      <c r="G1615" s="83" t="n"/>
      <c r="H1615" s="83" t="n"/>
      <c r="I1615" s="83" t="n"/>
      <c r="J1615" s="83" t="n"/>
      <c r="K1615" s="82">
        <f>IF(OR(Crate!$P62="",Crate!$P62=0),"",IF(Crate!$Q62="",0,Crate!$Q62)+IF(Crate!$R62="",0,Crate!$R62))</f>
        <v/>
      </c>
      <c r="L1615" s="82">
        <f>IF(OR(Crate!$P62="",Crate!$P62=0),"",Crate!$Q62)</f>
        <v/>
      </c>
      <c r="M1615" s="82">
        <f>IF(OR(Crate!$P62="",Crate!$P62=0),"",Crate!$R62)</f>
        <v/>
      </c>
      <c r="N1615" s="81">
        <f>IF(OR(Crate!$P62="",Crate!$P62=0),"","مقابل")</f>
        <v/>
      </c>
      <c r="O1615" s="81">
        <f>IF(OR(Crate!$P62="",Crate!$P62=0),"",IFERROR(VLOOKUP(Crate!$P62,AcctTbl,3,0),""))</f>
        <v/>
      </c>
      <c r="P1615" s="82" t="inlineStr"/>
    </row>
    <row r="1616" ht="20.25" customHeight="1">
      <c r="A1616" s="80">
        <f>IF(OR(Crate!$E63="",Crate!$E63=0),"",Crate!$B63)</f>
        <v/>
      </c>
      <c r="B1616" s="80">
        <f>IF(OR(Crate!$E63="",Crate!$E63=0),"",Crate!$C63)</f>
        <v/>
      </c>
      <c r="C1616" s="80">
        <f>IF(OR(Crate!$E63="",Crate!$E63=0),"","سبد")</f>
        <v/>
      </c>
      <c r="D1616" s="80">
        <f>IF(OR(Crate!$E63="",Crate!$E63=0),"",Crate!$E63)</f>
        <v/>
      </c>
      <c r="E1616" s="81">
        <f>IF(OR(Crate!$E63="",Crate!$E63=0),"",Crate!$M63)</f>
        <v/>
      </c>
      <c r="G1616" s="82">
        <f>IF(OR(Crate!$E63="",Crate!$E63=0),"",Crate!$I63)</f>
        <v/>
      </c>
      <c r="J1616" s="82">
        <f>IF(OR(Crate!$E63="",Crate!$E63=0),"",Crate!$J63)</f>
        <v/>
      </c>
      <c r="K1616" s="82">
        <f>IF(OR(Crate!$E63="",Crate!$E63=0),"",IF(Crate!$N63="",0,Crate!$N63)+IF(Crate!$O63="",0,Crate!$O63))</f>
        <v/>
      </c>
      <c r="L1616" s="82">
        <f>IF(OR(Crate!$E63="",Crate!$E63=0),"",Crate!$N63)</f>
        <v/>
      </c>
      <c r="M1616" s="82">
        <f>IF(OR(Crate!$E63="",Crate!$E63=0),"",Crate!$O63)</f>
        <v/>
      </c>
      <c r="N1616" s="81">
        <f>IF(OR(Crate!$E63="",Crate!$E63=0),"",Crate!$D63)</f>
        <v/>
      </c>
      <c r="O1616" s="81">
        <f>IF(OR(Crate!$E63="",Crate!$E63=0),"",IFERROR(VLOOKUP(Crate!$E63,AcctTbl,3,0),""))</f>
        <v/>
      </c>
      <c r="P1616" s="82" t="inlineStr"/>
    </row>
    <row r="1617" ht="20.25" customHeight="1">
      <c r="A1617" s="80">
        <f>IF(OR(Crate!$P63="",Crate!$P63=0),"",Crate!$B63)</f>
        <v/>
      </c>
      <c r="B1617" s="80">
        <f>IF(OR(Crate!$P63="",Crate!$P63=0),"",Crate!$C63)</f>
        <v/>
      </c>
      <c r="C1617" s="80">
        <f>IF(OR(Crate!$P63="",Crate!$P63=0),"","سبد")</f>
        <v/>
      </c>
      <c r="D1617" s="80">
        <f>IF(OR(Crate!$P63="",Crate!$P63=0),"",Crate!$P63)</f>
        <v/>
      </c>
      <c r="E1617" s="81">
        <f>IF(OR(Crate!$P63="",Crate!$P63=0),"",IF(Crate!$P63="","","مقابل: "&amp;Crate!$D63))</f>
        <v/>
      </c>
      <c r="F1617" s="83" t="n"/>
      <c r="G1617" s="83" t="n"/>
      <c r="H1617" s="83" t="n"/>
      <c r="I1617" s="83" t="n"/>
      <c r="J1617" s="83" t="n"/>
      <c r="K1617" s="82">
        <f>IF(OR(Crate!$P63="",Crate!$P63=0),"",IF(Crate!$Q63="",0,Crate!$Q63)+IF(Crate!$R63="",0,Crate!$R63))</f>
        <v/>
      </c>
      <c r="L1617" s="82">
        <f>IF(OR(Crate!$P63="",Crate!$P63=0),"",Crate!$Q63)</f>
        <v/>
      </c>
      <c r="M1617" s="82">
        <f>IF(OR(Crate!$P63="",Crate!$P63=0),"",Crate!$R63)</f>
        <v/>
      </c>
      <c r="N1617" s="81">
        <f>IF(OR(Crate!$P63="",Crate!$P63=0),"","مقابل")</f>
        <v/>
      </c>
      <c r="O1617" s="81">
        <f>IF(OR(Crate!$P63="",Crate!$P63=0),"",IFERROR(VLOOKUP(Crate!$P63,AcctTbl,3,0),""))</f>
        <v/>
      </c>
      <c r="P1617" s="82" t="inlineStr"/>
    </row>
    <row r="1618" ht="20.25" customHeight="1">
      <c r="A1618" s="80">
        <f>IF(OR(Crate!$E64="",Crate!$E64=0),"",Crate!$B64)</f>
        <v/>
      </c>
      <c r="B1618" s="80">
        <f>IF(OR(Crate!$E64="",Crate!$E64=0),"",Crate!$C64)</f>
        <v/>
      </c>
      <c r="C1618" s="80">
        <f>IF(OR(Crate!$E64="",Crate!$E64=0),"","سبد")</f>
        <v/>
      </c>
      <c r="D1618" s="80">
        <f>IF(OR(Crate!$E64="",Crate!$E64=0),"",Crate!$E64)</f>
        <v/>
      </c>
      <c r="E1618" s="81">
        <f>IF(OR(Crate!$E64="",Crate!$E64=0),"",Crate!$M64)</f>
        <v/>
      </c>
      <c r="G1618" s="82">
        <f>IF(OR(Crate!$E64="",Crate!$E64=0),"",Crate!$I64)</f>
        <v/>
      </c>
      <c r="J1618" s="82">
        <f>IF(OR(Crate!$E64="",Crate!$E64=0),"",Crate!$J64)</f>
        <v/>
      </c>
      <c r="K1618" s="82">
        <f>IF(OR(Crate!$E64="",Crate!$E64=0),"",IF(Crate!$N64="",0,Crate!$N64)+IF(Crate!$O64="",0,Crate!$O64))</f>
        <v/>
      </c>
      <c r="L1618" s="82">
        <f>IF(OR(Crate!$E64="",Crate!$E64=0),"",Crate!$N64)</f>
        <v/>
      </c>
      <c r="M1618" s="82">
        <f>IF(OR(Crate!$E64="",Crate!$E64=0),"",Crate!$O64)</f>
        <v/>
      </c>
      <c r="N1618" s="81">
        <f>IF(OR(Crate!$E64="",Crate!$E64=0),"",Crate!$D64)</f>
        <v/>
      </c>
      <c r="O1618" s="81">
        <f>IF(OR(Crate!$E64="",Crate!$E64=0),"",IFERROR(VLOOKUP(Crate!$E64,AcctTbl,3,0),""))</f>
        <v/>
      </c>
      <c r="P1618" s="82" t="inlineStr"/>
    </row>
    <row r="1619" ht="20.25" customHeight="1">
      <c r="A1619" s="80">
        <f>IF(OR(Crate!$P64="",Crate!$P64=0),"",Crate!$B64)</f>
        <v/>
      </c>
      <c r="B1619" s="80">
        <f>IF(OR(Crate!$P64="",Crate!$P64=0),"",Crate!$C64)</f>
        <v/>
      </c>
      <c r="C1619" s="80">
        <f>IF(OR(Crate!$P64="",Crate!$P64=0),"","سبد")</f>
        <v/>
      </c>
      <c r="D1619" s="80">
        <f>IF(OR(Crate!$P64="",Crate!$P64=0),"",Crate!$P64)</f>
        <v/>
      </c>
      <c r="E1619" s="81">
        <f>IF(OR(Crate!$P64="",Crate!$P64=0),"",IF(Crate!$P64="","","مقابل: "&amp;Crate!$D64))</f>
        <v/>
      </c>
      <c r="F1619" s="83" t="n"/>
      <c r="G1619" s="83" t="n"/>
      <c r="H1619" s="83" t="n"/>
      <c r="I1619" s="83" t="n"/>
      <c r="J1619" s="83" t="n"/>
      <c r="K1619" s="82">
        <f>IF(OR(Crate!$P64="",Crate!$P64=0),"",IF(Crate!$Q64="",0,Crate!$Q64)+IF(Crate!$R64="",0,Crate!$R64))</f>
        <v/>
      </c>
      <c r="L1619" s="82">
        <f>IF(OR(Crate!$P64="",Crate!$P64=0),"",Crate!$Q64)</f>
        <v/>
      </c>
      <c r="M1619" s="82">
        <f>IF(OR(Crate!$P64="",Crate!$P64=0),"",Crate!$R64)</f>
        <v/>
      </c>
      <c r="N1619" s="81">
        <f>IF(OR(Crate!$P64="",Crate!$P64=0),"","مقابل")</f>
        <v/>
      </c>
      <c r="O1619" s="81">
        <f>IF(OR(Crate!$P64="",Crate!$P64=0),"",IFERROR(VLOOKUP(Crate!$P64,AcctTbl,3,0),""))</f>
        <v/>
      </c>
      <c r="P1619" s="82" t="inlineStr"/>
    </row>
    <row r="1620" ht="20.25" customHeight="1">
      <c r="A1620" s="80">
        <f>IF(OR(Crate!$E65="",Crate!$E65=0),"",Crate!$B65)</f>
        <v/>
      </c>
      <c r="B1620" s="80">
        <f>IF(OR(Crate!$E65="",Crate!$E65=0),"",Crate!$C65)</f>
        <v/>
      </c>
      <c r="C1620" s="80">
        <f>IF(OR(Crate!$E65="",Crate!$E65=0),"","سبد")</f>
        <v/>
      </c>
      <c r="D1620" s="80">
        <f>IF(OR(Crate!$E65="",Crate!$E65=0),"",Crate!$E65)</f>
        <v/>
      </c>
      <c r="E1620" s="81">
        <f>IF(OR(Crate!$E65="",Crate!$E65=0),"",Crate!$M65)</f>
        <v/>
      </c>
      <c r="G1620" s="82">
        <f>IF(OR(Crate!$E65="",Crate!$E65=0),"",Crate!$I65)</f>
        <v/>
      </c>
      <c r="J1620" s="82">
        <f>IF(OR(Crate!$E65="",Crate!$E65=0),"",Crate!$J65)</f>
        <v/>
      </c>
      <c r="K1620" s="82">
        <f>IF(OR(Crate!$E65="",Crate!$E65=0),"",IF(Crate!$N65="",0,Crate!$N65)+IF(Crate!$O65="",0,Crate!$O65))</f>
        <v/>
      </c>
      <c r="L1620" s="82">
        <f>IF(OR(Crate!$E65="",Crate!$E65=0),"",Crate!$N65)</f>
        <v/>
      </c>
      <c r="M1620" s="82">
        <f>IF(OR(Crate!$E65="",Crate!$E65=0),"",Crate!$O65)</f>
        <v/>
      </c>
      <c r="N1620" s="81">
        <f>IF(OR(Crate!$E65="",Crate!$E65=0),"",Crate!$D65)</f>
        <v/>
      </c>
      <c r="O1620" s="81">
        <f>IF(OR(Crate!$E65="",Crate!$E65=0),"",IFERROR(VLOOKUP(Crate!$E65,AcctTbl,3,0),""))</f>
        <v/>
      </c>
      <c r="P1620" s="82" t="inlineStr"/>
    </row>
    <row r="1621" ht="20.25" customHeight="1">
      <c r="A1621" s="80">
        <f>IF(OR(Crate!$P65="",Crate!$P65=0),"",Crate!$B65)</f>
        <v/>
      </c>
      <c r="B1621" s="80">
        <f>IF(OR(Crate!$P65="",Crate!$P65=0),"",Crate!$C65)</f>
        <v/>
      </c>
      <c r="C1621" s="80">
        <f>IF(OR(Crate!$P65="",Crate!$P65=0),"","سبد")</f>
        <v/>
      </c>
      <c r="D1621" s="80">
        <f>IF(OR(Crate!$P65="",Crate!$P65=0),"",Crate!$P65)</f>
        <v/>
      </c>
      <c r="E1621" s="81">
        <f>IF(OR(Crate!$P65="",Crate!$P65=0),"",IF(Crate!$P65="","","مقابل: "&amp;Crate!$D65))</f>
        <v/>
      </c>
      <c r="F1621" s="83" t="n"/>
      <c r="G1621" s="83" t="n"/>
      <c r="H1621" s="83" t="n"/>
      <c r="I1621" s="83" t="n"/>
      <c r="J1621" s="83" t="n"/>
      <c r="K1621" s="82">
        <f>IF(OR(Crate!$P65="",Crate!$P65=0),"",IF(Crate!$Q65="",0,Crate!$Q65)+IF(Crate!$R65="",0,Crate!$R65))</f>
        <v/>
      </c>
      <c r="L1621" s="82">
        <f>IF(OR(Crate!$P65="",Crate!$P65=0),"",Crate!$Q65)</f>
        <v/>
      </c>
      <c r="M1621" s="82">
        <f>IF(OR(Crate!$P65="",Crate!$P65=0),"",Crate!$R65)</f>
        <v/>
      </c>
      <c r="N1621" s="81">
        <f>IF(OR(Crate!$P65="",Crate!$P65=0),"","مقابل")</f>
        <v/>
      </c>
      <c r="O1621" s="81">
        <f>IF(OR(Crate!$P65="",Crate!$P65=0),"",IFERROR(VLOOKUP(Crate!$P65,AcctTbl,3,0),""))</f>
        <v/>
      </c>
      <c r="P1621" s="82" t="inlineStr"/>
    </row>
    <row r="1622" ht="20.25" customHeight="1">
      <c r="A1622" s="80">
        <f>IF(OR(Crate!$E66="",Crate!$E66=0),"",Crate!$B66)</f>
        <v/>
      </c>
      <c r="B1622" s="80">
        <f>IF(OR(Crate!$E66="",Crate!$E66=0),"",Crate!$C66)</f>
        <v/>
      </c>
      <c r="C1622" s="80">
        <f>IF(OR(Crate!$E66="",Crate!$E66=0),"","سبد")</f>
        <v/>
      </c>
      <c r="D1622" s="80">
        <f>IF(OR(Crate!$E66="",Crate!$E66=0),"",Crate!$E66)</f>
        <v/>
      </c>
      <c r="E1622" s="81">
        <f>IF(OR(Crate!$E66="",Crate!$E66=0),"",Crate!$M66)</f>
        <v/>
      </c>
      <c r="G1622" s="82">
        <f>IF(OR(Crate!$E66="",Crate!$E66=0),"",Crate!$I66)</f>
        <v/>
      </c>
      <c r="J1622" s="82">
        <f>IF(OR(Crate!$E66="",Crate!$E66=0),"",Crate!$J66)</f>
        <v/>
      </c>
      <c r="K1622" s="82">
        <f>IF(OR(Crate!$E66="",Crate!$E66=0),"",IF(Crate!$N66="",0,Crate!$N66)+IF(Crate!$O66="",0,Crate!$O66))</f>
        <v/>
      </c>
      <c r="L1622" s="82">
        <f>IF(OR(Crate!$E66="",Crate!$E66=0),"",Crate!$N66)</f>
        <v/>
      </c>
      <c r="M1622" s="82">
        <f>IF(OR(Crate!$E66="",Crate!$E66=0),"",Crate!$O66)</f>
        <v/>
      </c>
      <c r="N1622" s="81">
        <f>IF(OR(Crate!$E66="",Crate!$E66=0),"",Crate!$D66)</f>
        <v/>
      </c>
      <c r="O1622" s="81">
        <f>IF(OR(Crate!$E66="",Crate!$E66=0),"",IFERROR(VLOOKUP(Crate!$E66,AcctTbl,3,0),""))</f>
        <v/>
      </c>
      <c r="P1622" s="82" t="inlineStr"/>
    </row>
    <row r="1623" ht="20.25" customHeight="1">
      <c r="A1623" s="80">
        <f>IF(OR(Crate!$P66="",Crate!$P66=0),"",Crate!$B66)</f>
        <v/>
      </c>
      <c r="B1623" s="80">
        <f>IF(OR(Crate!$P66="",Crate!$P66=0),"",Crate!$C66)</f>
        <v/>
      </c>
      <c r="C1623" s="80">
        <f>IF(OR(Crate!$P66="",Crate!$P66=0),"","سبد")</f>
        <v/>
      </c>
      <c r="D1623" s="80">
        <f>IF(OR(Crate!$P66="",Crate!$P66=0),"",Crate!$P66)</f>
        <v/>
      </c>
      <c r="E1623" s="81">
        <f>IF(OR(Crate!$P66="",Crate!$P66=0),"",IF(Crate!$P66="","","مقابل: "&amp;Crate!$D66))</f>
        <v/>
      </c>
      <c r="F1623" s="83" t="n"/>
      <c r="G1623" s="83" t="n"/>
      <c r="H1623" s="83" t="n"/>
      <c r="I1623" s="83" t="n"/>
      <c r="J1623" s="83" t="n"/>
      <c r="K1623" s="82">
        <f>IF(OR(Crate!$P66="",Crate!$P66=0),"",IF(Crate!$Q66="",0,Crate!$Q66)+IF(Crate!$R66="",0,Crate!$R66))</f>
        <v/>
      </c>
      <c r="L1623" s="82">
        <f>IF(OR(Crate!$P66="",Crate!$P66=0),"",Crate!$Q66)</f>
        <v/>
      </c>
      <c r="M1623" s="82">
        <f>IF(OR(Crate!$P66="",Crate!$P66=0),"",Crate!$R66)</f>
        <v/>
      </c>
      <c r="N1623" s="81">
        <f>IF(OR(Crate!$P66="",Crate!$P66=0),"","مقابل")</f>
        <v/>
      </c>
      <c r="O1623" s="81">
        <f>IF(OR(Crate!$P66="",Crate!$P66=0),"",IFERROR(VLOOKUP(Crate!$P66,AcctTbl,3,0),""))</f>
        <v/>
      </c>
      <c r="P1623" s="82" t="inlineStr"/>
    </row>
    <row r="1624" ht="20.25" customHeight="1">
      <c r="A1624" s="80">
        <f>IF(OR(Crate!$E67="",Crate!$E67=0),"",Crate!$B67)</f>
        <v/>
      </c>
      <c r="B1624" s="80">
        <f>IF(OR(Crate!$E67="",Crate!$E67=0),"",Crate!$C67)</f>
        <v/>
      </c>
      <c r="C1624" s="80">
        <f>IF(OR(Crate!$E67="",Crate!$E67=0),"","سبد")</f>
        <v/>
      </c>
      <c r="D1624" s="80">
        <f>IF(OR(Crate!$E67="",Crate!$E67=0),"",Crate!$E67)</f>
        <v/>
      </c>
      <c r="E1624" s="81">
        <f>IF(OR(Crate!$E67="",Crate!$E67=0),"",Crate!$M67)</f>
        <v/>
      </c>
      <c r="G1624" s="82">
        <f>IF(OR(Crate!$E67="",Crate!$E67=0),"",Crate!$I67)</f>
        <v/>
      </c>
      <c r="J1624" s="82">
        <f>IF(OR(Crate!$E67="",Crate!$E67=0),"",Crate!$J67)</f>
        <v/>
      </c>
      <c r="K1624" s="82">
        <f>IF(OR(Crate!$E67="",Crate!$E67=0),"",IF(Crate!$N67="",0,Crate!$N67)+IF(Crate!$O67="",0,Crate!$O67))</f>
        <v/>
      </c>
      <c r="L1624" s="82">
        <f>IF(OR(Crate!$E67="",Crate!$E67=0),"",Crate!$N67)</f>
        <v/>
      </c>
      <c r="M1624" s="82">
        <f>IF(OR(Crate!$E67="",Crate!$E67=0),"",Crate!$O67)</f>
        <v/>
      </c>
      <c r="N1624" s="81">
        <f>IF(OR(Crate!$E67="",Crate!$E67=0),"",Crate!$D67)</f>
        <v/>
      </c>
      <c r="O1624" s="81">
        <f>IF(OR(Crate!$E67="",Crate!$E67=0),"",IFERROR(VLOOKUP(Crate!$E67,AcctTbl,3,0),""))</f>
        <v/>
      </c>
      <c r="P1624" s="82" t="inlineStr"/>
    </row>
    <row r="1625" ht="20.25" customHeight="1">
      <c r="A1625" s="80">
        <f>IF(OR(Crate!$P67="",Crate!$P67=0),"",Crate!$B67)</f>
        <v/>
      </c>
      <c r="B1625" s="80">
        <f>IF(OR(Crate!$P67="",Crate!$P67=0),"",Crate!$C67)</f>
        <v/>
      </c>
      <c r="C1625" s="80">
        <f>IF(OR(Crate!$P67="",Crate!$P67=0),"","سبد")</f>
        <v/>
      </c>
      <c r="D1625" s="80">
        <f>IF(OR(Crate!$P67="",Crate!$P67=0),"",Crate!$P67)</f>
        <v/>
      </c>
      <c r="E1625" s="81">
        <f>IF(OR(Crate!$P67="",Crate!$P67=0),"",IF(Crate!$P67="","","مقابل: "&amp;Crate!$D67))</f>
        <v/>
      </c>
      <c r="F1625" s="83" t="n"/>
      <c r="G1625" s="83" t="n"/>
      <c r="H1625" s="83" t="n"/>
      <c r="I1625" s="83" t="n"/>
      <c r="J1625" s="83" t="n"/>
      <c r="K1625" s="82">
        <f>IF(OR(Crate!$P67="",Crate!$P67=0),"",IF(Crate!$Q67="",0,Crate!$Q67)+IF(Crate!$R67="",0,Crate!$R67))</f>
        <v/>
      </c>
      <c r="L1625" s="82">
        <f>IF(OR(Crate!$P67="",Crate!$P67=0),"",Crate!$Q67)</f>
        <v/>
      </c>
      <c r="M1625" s="82">
        <f>IF(OR(Crate!$P67="",Crate!$P67=0),"",Crate!$R67)</f>
        <v/>
      </c>
      <c r="N1625" s="81">
        <f>IF(OR(Crate!$P67="",Crate!$P67=0),"","مقابل")</f>
        <v/>
      </c>
      <c r="O1625" s="81">
        <f>IF(OR(Crate!$P67="",Crate!$P67=0),"",IFERROR(VLOOKUP(Crate!$P67,AcctTbl,3,0),""))</f>
        <v/>
      </c>
      <c r="P1625" s="82" t="inlineStr"/>
    </row>
    <row r="1626" ht="20.25" customHeight="1">
      <c r="A1626" s="80">
        <f>IF(OR(Crate!$E68="",Crate!$E68=0),"",Crate!$B68)</f>
        <v/>
      </c>
      <c r="B1626" s="80">
        <f>IF(OR(Crate!$E68="",Crate!$E68=0),"",Crate!$C68)</f>
        <v/>
      </c>
      <c r="C1626" s="80">
        <f>IF(OR(Crate!$E68="",Crate!$E68=0),"","سبد")</f>
        <v/>
      </c>
      <c r="D1626" s="80">
        <f>IF(OR(Crate!$E68="",Crate!$E68=0),"",Crate!$E68)</f>
        <v/>
      </c>
      <c r="E1626" s="81">
        <f>IF(OR(Crate!$E68="",Crate!$E68=0),"",Crate!$M68)</f>
        <v/>
      </c>
      <c r="G1626" s="82">
        <f>IF(OR(Crate!$E68="",Crate!$E68=0),"",Crate!$I68)</f>
        <v/>
      </c>
      <c r="J1626" s="82">
        <f>IF(OR(Crate!$E68="",Crate!$E68=0),"",Crate!$J68)</f>
        <v/>
      </c>
      <c r="K1626" s="82">
        <f>IF(OR(Crate!$E68="",Crate!$E68=0),"",IF(Crate!$N68="",0,Crate!$N68)+IF(Crate!$O68="",0,Crate!$O68))</f>
        <v/>
      </c>
      <c r="L1626" s="82">
        <f>IF(OR(Crate!$E68="",Crate!$E68=0),"",Crate!$N68)</f>
        <v/>
      </c>
      <c r="M1626" s="82">
        <f>IF(OR(Crate!$E68="",Crate!$E68=0),"",Crate!$O68)</f>
        <v/>
      </c>
      <c r="N1626" s="81">
        <f>IF(OR(Crate!$E68="",Crate!$E68=0),"",Crate!$D68)</f>
        <v/>
      </c>
      <c r="O1626" s="81">
        <f>IF(OR(Crate!$E68="",Crate!$E68=0),"",IFERROR(VLOOKUP(Crate!$E68,AcctTbl,3,0),""))</f>
        <v/>
      </c>
      <c r="P1626" s="82" t="inlineStr"/>
    </row>
    <row r="1627" ht="20.25" customHeight="1">
      <c r="A1627" s="80">
        <f>IF(OR(Crate!$P68="",Crate!$P68=0),"",Crate!$B68)</f>
        <v/>
      </c>
      <c r="B1627" s="80">
        <f>IF(OR(Crate!$P68="",Crate!$P68=0),"",Crate!$C68)</f>
        <v/>
      </c>
      <c r="C1627" s="80">
        <f>IF(OR(Crate!$P68="",Crate!$P68=0),"","سبد")</f>
        <v/>
      </c>
      <c r="D1627" s="80">
        <f>IF(OR(Crate!$P68="",Crate!$P68=0),"",Crate!$P68)</f>
        <v/>
      </c>
      <c r="E1627" s="81">
        <f>IF(OR(Crate!$P68="",Crate!$P68=0),"",IF(Crate!$P68="","","مقابل: "&amp;Crate!$D68))</f>
        <v/>
      </c>
      <c r="F1627" s="83" t="n"/>
      <c r="G1627" s="83" t="n"/>
      <c r="H1627" s="83" t="n"/>
      <c r="I1627" s="83" t="n"/>
      <c r="J1627" s="83" t="n"/>
      <c r="K1627" s="82">
        <f>IF(OR(Crate!$P68="",Crate!$P68=0),"",IF(Crate!$Q68="",0,Crate!$Q68)+IF(Crate!$R68="",0,Crate!$R68))</f>
        <v/>
      </c>
      <c r="L1627" s="82">
        <f>IF(OR(Crate!$P68="",Crate!$P68=0),"",Crate!$Q68)</f>
        <v/>
      </c>
      <c r="M1627" s="82">
        <f>IF(OR(Crate!$P68="",Crate!$P68=0),"",Crate!$R68)</f>
        <v/>
      </c>
      <c r="N1627" s="81">
        <f>IF(OR(Crate!$P68="",Crate!$P68=0),"","مقابل")</f>
        <v/>
      </c>
      <c r="O1627" s="81">
        <f>IF(OR(Crate!$P68="",Crate!$P68=0),"",IFERROR(VLOOKUP(Crate!$P68,AcctTbl,3,0),""))</f>
        <v/>
      </c>
      <c r="P1627" s="82" t="inlineStr"/>
    </row>
    <row r="1628" ht="20.25" customHeight="1">
      <c r="A1628" s="80">
        <f>IF(OR(Crate!$E69="",Crate!$E69=0),"",Crate!$B69)</f>
        <v/>
      </c>
      <c r="B1628" s="80">
        <f>IF(OR(Crate!$E69="",Crate!$E69=0),"",Crate!$C69)</f>
        <v/>
      </c>
      <c r="C1628" s="80">
        <f>IF(OR(Crate!$E69="",Crate!$E69=0),"","سبد")</f>
        <v/>
      </c>
      <c r="D1628" s="80">
        <f>IF(OR(Crate!$E69="",Crate!$E69=0),"",Crate!$E69)</f>
        <v/>
      </c>
      <c r="E1628" s="81">
        <f>IF(OR(Crate!$E69="",Crate!$E69=0),"",Crate!$M69)</f>
        <v/>
      </c>
      <c r="G1628" s="82">
        <f>IF(OR(Crate!$E69="",Crate!$E69=0),"",Crate!$I69)</f>
        <v/>
      </c>
      <c r="J1628" s="82">
        <f>IF(OR(Crate!$E69="",Crate!$E69=0),"",Crate!$J69)</f>
        <v/>
      </c>
      <c r="K1628" s="82">
        <f>IF(OR(Crate!$E69="",Crate!$E69=0),"",IF(Crate!$N69="",0,Crate!$N69)+IF(Crate!$O69="",0,Crate!$O69))</f>
        <v/>
      </c>
      <c r="L1628" s="82">
        <f>IF(OR(Crate!$E69="",Crate!$E69=0),"",Crate!$N69)</f>
        <v/>
      </c>
      <c r="M1628" s="82">
        <f>IF(OR(Crate!$E69="",Crate!$E69=0),"",Crate!$O69)</f>
        <v/>
      </c>
      <c r="N1628" s="81">
        <f>IF(OR(Crate!$E69="",Crate!$E69=0),"",Crate!$D69)</f>
        <v/>
      </c>
      <c r="O1628" s="81">
        <f>IF(OR(Crate!$E69="",Crate!$E69=0),"",IFERROR(VLOOKUP(Crate!$E69,AcctTbl,3,0),""))</f>
        <v/>
      </c>
      <c r="P1628" s="82" t="inlineStr"/>
    </row>
    <row r="1629" ht="20.25" customHeight="1">
      <c r="A1629" s="80">
        <f>IF(OR(Crate!$P69="",Crate!$P69=0),"",Crate!$B69)</f>
        <v/>
      </c>
      <c r="B1629" s="80">
        <f>IF(OR(Crate!$P69="",Crate!$P69=0),"",Crate!$C69)</f>
        <v/>
      </c>
      <c r="C1629" s="80">
        <f>IF(OR(Crate!$P69="",Crate!$P69=0),"","سبد")</f>
        <v/>
      </c>
      <c r="D1629" s="80">
        <f>IF(OR(Crate!$P69="",Crate!$P69=0),"",Crate!$P69)</f>
        <v/>
      </c>
      <c r="E1629" s="81">
        <f>IF(OR(Crate!$P69="",Crate!$P69=0),"",IF(Crate!$P69="","","مقابل: "&amp;Crate!$D69))</f>
        <v/>
      </c>
      <c r="F1629" s="83" t="n"/>
      <c r="G1629" s="83" t="n"/>
      <c r="H1629" s="83" t="n"/>
      <c r="I1629" s="83" t="n"/>
      <c r="J1629" s="83" t="n"/>
      <c r="K1629" s="82">
        <f>IF(OR(Crate!$P69="",Crate!$P69=0),"",IF(Crate!$Q69="",0,Crate!$Q69)+IF(Crate!$R69="",0,Crate!$R69))</f>
        <v/>
      </c>
      <c r="L1629" s="82">
        <f>IF(OR(Crate!$P69="",Crate!$P69=0),"",Crate!$Q69)</f>
        <v/>
      </c>
      <c r="M1629" s="82">
        <f>IF(OR(Crate!$P69="",Crate!$P69=0),"",Crate!$R69)</f>
        <v/>
      </c>
      <c r="N1629" s="81">
        <f>IF(OR(Crate!$P69="",Crate!$P69=0),"","مقابل")</f>
        <v/>
      </c>
      <c r="O1629" s="81">
        <f>IF(OR(Crate!$P69="",Crate!$P69=0),"",IFERROR(VLOOKUP(Crate!$P69,AcctTbl,3,0),""))</f>
        <v/>
      </c>
      <c r="P1629" s="82" t="inlineStr"/>
    </row>
    <row r="1630" ht="20.25" customHeight="1">
      <c r="A1630" s="80">
        <f>IF(OR(Crate!$E70="",Crate!$E70=0),"",Crate!$B70)</f>
        <v/>
      </c>
      <c r="B1630" s="80">
        <f>IF(OR(Crate!$E70="",Crate!$E70=0),"",Crate!$C70)</f>
        <v/>
      </c>
      <c r="C1630" s="80">
        <f>IF(OR(Crate!$E70="",Crate!$E70=0),"","سبد")</f>
        <v/>
      </c>
      <c r="D1630" s="80">
        <f>IF(OR(Crate!$E70="",Crate!$E70=0),"",Crate!$E70)</f>
        <v/>
      </c>
      <c r="E1630" s="81">
        <f>IF(OR(Crate!$E70="",Crate!$E70=0),"",Crate!$M70)</f>
        <v/>
      </c>
      <c r="G1630" s="82">
        <f>IF(OR(Crate!$E70="",Crate!$E70=0),"",Crate!$I70)</f>
        <v/>
      </c>
      <c r="J1630" s="82">
        <f>IF(OR(Crate!$E70="",Crate!$E70=0),"",Crate!$J70)</f>
        <v/>
      </c>
      <c r="K1630" s="82">
        <f>IF(OR(Crate!$E70="",Crate!$E70=0),"",IF(Crate!$N70="",0,Crate!$N70)+IF(Crate!$O70="",0,Crate!$O70))</f>
        <v/>
      </c>
      <c r="L1630" s="82">
        <f>IF(OR(Crate!$E70="",Crate!$E70=0),"",Crate!$N70)</f>
        <v/>
      </c>
      <c r="M1630" s="82">
        <f>IF(OR(Crate!$E70="",Crate!$E70=0),"",Crate!$O70)</f>
        <v/>
      </c>
      <c r="N1630" s="81">
        <f>IF(OR(Crate!$E70="",Crate!$E70=0),"",Crate!$D70)</f>
        <v/>
      </c>
      <c r="O1630" s="81">
        <f>IF(OR(Crate!$E70="",Crate!$E70=0),"",IFERROR(VLOOKUP(Crate!$E70,AcctTbl,3,0),""))</f>
        <v/>
      </c>
      <c r="P1630" s="82" t="inlineStr"/>
    </row>
    <row r="1631" ht="20.25" customHeight="1">
      <c r="A1631" s="80">
        <f>IF(OR(Crate!$P70="",Crate!$P70=0),"",Crate!$B70)</f>
        <v/>
      </c>
      <c r="B1631" s="80">
        <f>IF(OR(Crate!$P70="",Crate!$P70=0),"",Crate!$C70)</f>
        <v/>
      </c>
      <c r="C1631" s="80">
        <f>IF(OR(Crate!$P70="",Crate!$P70=0),"","سبد")</f>
        <v/>
      </c>
      <c r="D1631" s="80">
        <f>IF(OR(Crate!$P70="",Crate!$P70=0),"",Crate!$P70)</f>
        <v/>
      </c>
      <c r="E1631" s="81">
        <f>IF(OR(Crate!$P70="",Crate!$P70=0),"",IF(Crate!$P70="","","مقابل: "&amp;Crate!$D70))</f>
        <v/>
      </c>
      <c r="F1631" s="83" t="n"/>
      <c r="G1631" s="83" t="n"/>
      <c r="H1631" s="83" t="n"/>
      <c r="I1631" s="83" t="n"/>
      <c r="J1631" s="83" t="n"/>
      <c r="K1631" s="82">
        <f>IF(OR(Crate!$P70="",Crate!$P70=0),"",IF(Crate!$Q70="",0,Crate!$Q70)+IF(Crate!$R70="",0,Crate!$R70))</f>
        <v/>
      </c>
      <c r="L1631" s="82">
        <f>IF(OR(Crate!$P70="",Crate!$P70=0),"",Crate!$Q70)</f>
        <v/>
      </c>
      <c r="M1631" s="82">
        <f>IF(OR(Crate!$P70="",Crate!$P70=0),"",Crate!$R70)</f>
        <v/>
      </c>
      <c r="N1631" s="81">
        <f>IF(OR(Crate!$P70="",Crate!$P70=0),"","مقابل")</f>
        <v/>
      </c>
      <c r="O1631" s="81">
        <f>IF(OR(Crate!$P70="",Crate!$P70=0),"",IFERROR(VLOOKUP(Crate!$P70,AcctTbl,3,0),""))</f>
        <v/>
      </c>
      <c r="P1631" s="82" t="inlineStr"/>
    </row>
    <row r="1632" ht="20.25" customHeight="1">
      <c r="A1632" s="80">
        <f>IF(OR(Crate!$E71="",Crate!$E71=0),"",Crate!$B71)</f>
        <v/>
      </c>
      <c r="B1632" s="80">
        <f>IF(OR(Crate!$E71="",Crate!$E71=0),"",Crate!$C71)</f>
        <v/>
      </c>
      <c r="C1632" s="80">
        <f>IF(OR(Crate!$E71="",Crate!$E71=0),"","سبد")</f>
        <v/>
      </c>
      <c r="D1632" s="80">
        <f>IF(OR(Crate!$E71="",Crate!$E71=0),"",Crate!$E71)</f>
        <v/>
      </c>
      <c r="E1632" s="81">
        <f>IF(OR(Crate!$E71="",Crate!$E71=0),"",Crate!$M71)</f>
        <v/>
      </c>
      <c r="G1632" s="82">
        <f>IF(OR(Crate!$E71="",Crate!$E71=0),"",Crate!$I71)</f>
        <v/>
      </c>
      <c r="J1632" s="82">
        <f>IF(OR(Crate!$E71="",Crate!$E71=0),"",Crate!$J71)</f>
        <v/>
      </c>
      <c r="K1632" s="82">
        <f>IF(OR(Crate!$E71="",Crate!$E71=0),"",IF(Crate!$N71="",0,Crate!$N71)+IF(Crate!$O71="",0,Crate!$O71))</f>
        <v/>
      </c>
      <c r="L1632" s="82">
        <f>IF(OR(Crate!$E71="",Crate!$E71=0),"",Crate!$N71)</f>
        <v/>
      </c>
      <c r="M1632" s="82">
        <f>IF(OR(Crate!$E71="",Crate!$E71=0),"",Crate!$O71)</f>
        <v/>
      </c>
      <c r="N1632" s="81">
        <f>IF(OR(Crate!$E71="",Crate!$E71=0),"",Crate!$D71)</f>
        <v/>
      </c>
      <c r="O1632" s="81">
        <f>IF(OR(Crate!$E71="",Crate!$E71=0),"",IFERROR(VLOOKUP(Crate!$E71,AcctTbl,3,0),""))</f>
        <v/>
      </c>
      <c r="P1632" s="82" t="inlineStr"/>
    </row>
    <row r="1633" ht="20.25" customHeight="1">
      <c r="A1633" s="80">
        <f>IF(OR(Crate!$P71="",Crate!$P71=0),"",Crate!$B71)</f>
        <v/>
      </c>
      <c r="B1633" s="80">
        <f>IF(OR(Crate!$P71="",Crate!$P71=0),"",Crate!$C71)</f>
        <v/>
      </c>
      <c r="C1633" s="80">
        <f>IF(OR(Crate!$P71="",Crate!$P71=0),"","سبد")</f>
        <v/>
      </c>
      <c r="D1633" s="80">
        <f>IF(OR(Crate!$P71="",Crate!$P71=0),"",Crate!$P71)</f>
        <v/>
      </c>
      <c r="E1633" s="81">
        <f>IF(OR(Crate!$P71="",Crate!$P71=0),"",IF(Crate!$P71="","","مقابل: "&amp;Crate!$D71))</f>
        <v/>
      </c>
      <c r="F1633" s="83" t="n"/>
      <c r="G1633" s="83" t="n"/>
      <c r="H1633" s="83" t="n"/>
      <c r="I1633" s="83" t="n"/>
      <c r="J1633" s="83" t="n"/>
      <c r="K1633" s="82">
        <f>IF(OR(Crate!$P71="",Crate!$P71=0),"",IF(Crate!$Q71="",0,Crate!$Q71)+IF(Crate!$R71="",0,Crate!$R71))</f>
        <v/>
      </c>
      <c r="L1633" s="82">
        <f>IF(OR(Crate!$P71="",Crate!$P71=0),"",Crate!$Q71)</f>
        <v/>
      </c>
      <c r="M1633" s="82">
        <f>IF(OR(Crate!$P71="",Crate!$P71=0),"",Crate!$R71)</f>
        <v/>
      </c>
      <c r="N1633" s="81">
        <f>IF(OR(Crate!$P71="",Crate!$P71=0),"","مقابل")</f>
        <v/>
      </c>
      <c r="O1633" s="81">
        <f>IF(OR(Crate!$P71="",Crate!$P71=0),"",IFERROR(VLOOKUP(Crate!$P71,AcctTbl,3,0),""))</f>
        <v/>
      </c>
      <c r="P1633" s="82" t="inlineStr"/>
    </row>
    <row r="1634" ht="20.25" customHeight="1">
      <c r="A1634" s="80">
        <f>IF(OR(Crate!$E72="",Crate!$E72=0),"",Crate!$B72)</f>
        <v/>
      </c>
      <c r="B1634" s="80">
        <f>IF(OR(Crate!$E72="",Crate!$E72=0),"",Crate!$C72)</f>
        <v/>
      </c>
      <c r="C1634" s="80">
        <f>IF(OR(Crate!$E72="",Crate!$E72=0),"","سبد")</f>
        <v/>
      </c>
      <c r="D1634" s="80">
        <f>IF(OR(Crate!$E72="",Crate!$E72=0),"",Crate!$E72)</f>
        <v/>
      </c>
      <c r="E1634" s="81">
        <f>IF(OR(Crate!$E72="",Crate!$E72=0),"",Crate!$M72)</f>
        <v/>
      </c>
      <c r="G1634" s="82">
        <f>IF(OR(Crate!$E72="",Crate!$E72=0),"",Crate!$I72)</f>
        <v/>
      </c>
      <c r="J1634" s="82">
        <f>IF(OR(Crate!$E72="",Crate!$E72=0),"",Crate!$J72)</f>
        <v/>
      </c>
      <c r="K1634" s="82">
        <f>IF(OR(Crate!$E72="",Crate!$E72=0),"",IF(Crate!$N72="",0,Crate!$N72)+IF(Crate!$O72="",0,Crate!$O72))</f>
        <v/>
      </c>
      <c r="L1634" s="82">
        <f>IF(OR(Crate!$E72="",Crate!$E72=0),"",Crate!$N72)</f>
        <v/>
      </c>
      <c r="M1634" s="82">
        <f>IF(OR(Crate!$E72="",Crate!$E72=0),"",Crate!$O72)</f>
        <v/>
      </c>
      <c r="N1634" s="81">
        <f>IF(OR(Crate!$E72="",Crate!$E72=0),"",Crate!$D72)</f>
        <v/>
      </c>
      <c r="O1634" s="81">
        <f>IF(OR(Crate!$E72="",Crate!$E72=0),"",IFERROR(VLOOKUP(Crate!$E72,AcctTbl,3,0),""))</f>
        <v/>
      </c>
      <c r="P1634" s="82" t="inlineStr"/>
    </row>
    <row r="1635" ht="20.25" customHeight="1">
      <c r="A1635" s="80">
        <f>IF(OR(Crate!$P72="",Crate!$P72=0),"",Crate!$B72)</f>
        <v/>
      </c>
      <c r="B1635" s="80">
        <f>IF(OR(Crate!$P72="",Crate!$P72=0),"",Crate!$C72)</f>
        <v/>
      </c>
      <c r="C1635" s="80">
        <f>IF(OR(Crate!$P72="",Crate!$P72=0),"","سبد")</f>
        <v/>
      </c>
      <c r="D1635" s="80">
        <f>IF(OR(Crate!$P72="",Crate!$P72=0),"",Crate!$P72)</f>
        <v/>
      </c>
      <c r="E1635" s="81">
        <f>IF(OR(Crate!$P72="",Crate!$P72=0),"",IF(Crate!$P72="","","مقابل: "&amp;Crate!$D72))</f>
        <v/>
      </c>
      <c r="F1635" s="83" t="n"/>
      <c r="G1635" s="83" t="n"/>
      <c r="H1635" s="83" t="n"/>
      <c r="I1635" s="83" t="n"/>
      <c r="J1635" s="83" t="n"/>
      <c r="K1635" s="82">
        <f>IF(OR(Crate!$P72="",Crate!$P72=0),"",IF(Crate!$Q72="",0,Crate!$Q72)+IF(Crate!$R72="",0,Crate!$R72))</f>
        <v/>
      </c>
      <c r="L1635" s="82">
        <f>IF(OR(Crate!$P72="",Crate!$P72=0),"",Crate!$Q72)</f>
        <v/>
      </c>
      <c r="M1635" s="82">
        <f>IF(OR(Crate!$P72="",Crate!$P72=0),"",Crate!$R72)</f>
        <v/>
      </c>
      <c r="N1635" s="81">
        <f>IF(OR(Crate!$P72="",Crate!$P72=0),"","مقابل")</f>
        <v/>
      </c>
      <c r="O1635" s="81">
        <f>IF(OR(Crate!$P72="",Crate!$P72=0),"",IFERROR(VLOOKUP(Crate!$P72,AcctTbl,3,0),""))</f>
        <v/>
      </c>
      <c r="P1635" s="82" t="inlineStr"/>
    </row>
    <row r="1636" ht="20.25" customHeight="1">
      <c r="A1636" s="80">
        <f>IF(OR(Crate!$E73="",Crate!$E73=0),"",Crate!$B73)</f>
        <v/>
      </c>
      <c r="B1636" s="80">
        <f>IF(OR(Crate!$E73="",Crate!$E73=0),"",Crate!$C73)</f>
        <v/>
      </c>
      <c r="C1636" s="80">
        <f>IF(OR(Crate!$E73="",Crate!$E73=0),"","سبد")</f>
        <v/>
      </c>
      <c r="D1636" s="80">
        <f>IF(OR(Crate!$E73="",Crate!$E73=0),"",Crate!$E73)</f>
        <v/>
      </c>
      <c r="E1636" s="81">
        <f>IF(OR(Crate!$E73="",Crate!$E73=0),"",Crate!$M73)</f>
        <v/>
      </c>
      <c r="G1636" s="82">
        <f>IF(OR(Crate!$E73="",Crate!$E73=0),"",Crate!$I73)</f>
        <v/>
      </c>
      <c r="J1636" s="82">
        <f>IF(OR(Crate!$E73="",Crate!$E73=0),"",Crate!$J73)</f>
        <v/>
      </c>
      <c r="K1636" s="82">
        <f>IF(OR(Crate!$E73="",Crate!$E73=0),"",IF(Crate!$N73="",0,Crate!$N73)+IF(Crate!$O73="",0,Crate!$O73))</f>
        <v/>
      </c>
      <c r="L1636" s="82">
        <f>IF(OR(Crate!$E73="",Crate!$E73=0),"",Crate!$N73)</f>
        <v/>
      </c>
      <c r="M1636" s="82">
        <f>IF(OR(Crate!$E73="",Crate!$E73=0),"",Crate!$O73)</f>
        <v/>
      </c>
      <c r="N1636" s="81">
        <f>IF(OR(Crate!$E73="",Crate!$E73=0),"",Crate!$D73)</f>
        <v/>
      </c>
      <c r="O1636" s="81">
        <f>IF(OR(Crate!$E73="",Crate!$E73=0),"",IFERROR(VLOOKUP(Crate!$E73,AcctTbl,3,0),""))</f>
        <v/>
      </c>
      <c r="P1636" s="82" t="inlineStr"/>
    </row>
    <row r="1637" ht="20.25" customHeight="1">
      <c r="A1637" s="80">
        <f>IF(OR(Crate!$P73="",Crate!$P73=0),"",Crate!$B73)</f>
        <v/>
      </c>
      <c r="B1637" s="80">
        <f>IF(OR(Crate!$P73="",Crate!$P73=0),"",Crate!$C73)</f>
        <v/>
      </c>
      <c r="C1637" s="80">
        <f>IF(OR(Crate!$P73="",Crate!$P73=0),"","سبد")</f>
        <v/>
      </c>
      <c r="D1637" s="80">
        <f>IF(OR(Crate!$P73="",Crate!$P73=0),"",Crate!$P73)</f>
        <v/>
      </c>
      <c r="E1637" s="81">
        <f>IF(OR(Crate!$P73="",Crate!$P73=0),"",IF(Crate!$P73="","","مقابل: "&amp;Crate!$D73))</f>
        <v/>
      </c>
      <c r="F1637" s="83" t="n"/>
      <c r="G1637" s="83" t="n"/>
      <c r="H1637" s="83" t="n"/>
      <c r="I1637" s="83" t="n"/>
      <c r="J1637" s="83" t="n"/>
      <c r="K1637" s="82">
        <f>IF(OR(Crate!$P73="",Crate!$P73=0),"",IF(Crate!$Q73="",0,Crate!$Q73)+IF(Crate!$R73="",0,Crate!$R73))</f>
        <v/>
      </c>
      <c r="L1637" s="82">
        <f>IF(OR(Crate!$P73="",Crate!$P73=0),"",Crate!$Q73)</f>
        <v/>
      </c>
      <c r="M1637" s="82">
        <f>IF(OR(Crate!$P73="",Crate!$P73=0),"",Crate!$R73)</f>
        <v/>
      </c>
      <c r="N1637" s="81">
        <f>IF(OR(Crate!$P73="",Crate!$P73=0),"","مقابل")</f>
        <v/>
      </c>
      <c r="O1637" s="81">
        <f>IF(OR(Crate!$P73="",Crate!$P73=0),"",IFERROR(VLOOKUP(Crate!$P73,AcctTbl,3,0),""))</f>
        <v/>
      </c>
      <c r="P1637" s="82" t="inlineStr"/>
    </row>
    <row r="1638" ht="20.25" customHeight="1">
      <c r="A1638" s="80">
        <f>IF(OR(Crate!$E74="",Crate!$E74=0),"",Crate!$B74)</f>
        <v/>
      </c>
      <c r="B1638" s="80">
        <f>IF(OR(Crate!$E74="",Crate!$E74=0),"",Crate!$C74)</f>
        <v/>
      </c>
      <c r="C1638" s="80">
        <f>IF(OR(Crate!$E74="",Crate!$E74=0),"","سبد")</f>
        <v/>
      </c>
      <c r="D1638" s="80">
        <f>IF(OR(Crate!$E74="",Crate!$E74=0),"",Crate!$E74)</f>
        <v/>
      </c>
      <c r="E1638" s="81">
        <f>IF(OR(Crate!$E74="",Crate!$E74=0),"",Crate!$M74)</f>
        <v/>
      </c>
      <c r="G1638" s="82">
        <f>IF(OR(Crate!$E74="",Crate!$E74=0),"",Crate!$I74)</f>
        <v/>
      </c>
      <c r="J1638" s="82">
        <f>IF(OR(Crate!$E74="",Crate!$E74=0),"",Crate!$J74)</f>
        <v/>
      </c>
      <c r="K1638" s="82">
        <f>IF(OR(Crate!$E74="",Crate!$E74=0),"",IF(Crate!$N74="",0,Crate!$N74)+IF(Crate!$O74="",0,Crate!$O74))</f>
        <v/>
      </c>
      <c r="L1638" s="82">
        <f>IF(OR(Crate!$E74="",Crate!$E74=0),"",Crate!$N74)</f>
        <v/>
      </c>
      <c r="M1638" s="82">
        <f>IF(OR(Crate!$E74="",Crate!$E74=0),"",Crate!$O74)</f>
        <v/>
      </c>
      <c r="N1638" s="81">
        <f>IF(OR(Crate!$E74="",Crate!$E74=0),"",Crate!$D74)</f>
        <v/>
      </c>
      <c r="O1638" s="81">
        <f>IF(OR(Crate!$E74="",Crate!$E74=0),"",IFERROR(VLOOKUP(Crate!$E74,AcctTbl,3,0),""))</f>
        <v/>
      </c>
      <c r="P1638" s="82" t="inlineStr"/>
    </row>
    <row r="1639" ht="20.25" customHeight="1">
      <c r="A1639" s="80">
        <f>IF(OR(Crate!$P74="",Crate!$P74=0),"",Crate!$B74)</f>
        <v/>
      </c>
      <c r="B1639" s="80">
        <f>IF(OR(Crate!$P74="",Crate!$P74=0),"",Crate!$C74)</f>
        <v/>
      </c>
      <c r="C1639" s="80">
        <f>IF(OR(Crate!$P74="",Crate!$P74=0),"","سبد")</f>
        <v/>
      </c>
      <c r="D1639" s="80">
        <f>IF(OR(Crate!$P74="",Crate!$P74=0),"",Crate!$P74)</f>
        <v/>
      </c>
      <c r="E1639" s="81">
        <f>IF(OR(Crate!$P74="",Crate!$P74=0),"",IF(Crate!$P74="","","مقابل: "&amp;Crate!$D74))</f>
        <v/>
      </c>
      <c r="F1639" s="83" t="n"/>
      <c r="G1639" s="83" t="n"/>
      <c r="H1639" s="83" t="n"/>
      <c r="I1639" s="83" t="n"/>
      <c r="J1639" s="83" t="n"/>
      <c r="K1639" s="82">
        <f>IF(OR(Crate!$P74="",Crate!$P74=0),"",IF(Crate!$Q74="",0,Crate!$Q74)+IF(Crate!$R74="",0,Crate!$R74))</f>
        <v/>
      </c>
      <c r="L1639" s="82">
        <f>IF(OR(Crate!$P74="",Crate!$P74=0),"",Crate!$Q74)</f>
        <v/>
      </c>
      <c r="M1639" s="82">
        <f>IF(OR(Crate!$P74="",Crate!$P74=0),"",Crate!$R74)</f>
        <v/>
      </c>
      <c r="N1639" s="81">
        <f>IF(OR(Crate!$P74="",Crate!$P74=0),"","مقابل")</f>
        <v/>
      </c>
      <c r="O1639" s="81">
        <f>IF(OR(Crate!$P74="",Crate!$P74=0),"",IFERROR(VLOOKUP(Crate!$P74,AcctTbl,3,0),""))</f>
        <v/>
      </c>
      <c r="P1639" s="82" t="inlineStr"/>
    </row>
    <row r="1640" ht="20.25" customHeight="1">
      <c r="A1640" s="80">
        <f>IF(OR(Crate!$E75="",Crate!$E75=0),"",Crate!$B75)</f>
        <v/>
      </c>
      <c r="B1640" s="80">
        <f>IF(OR(Crate!$E75="",Crate!$E75=0),"",Crate!$C75)</f>
        <v/>
      </c>
      <c r="C1640" s="80">
        <f>IF(OR(Crate!$E75="",Crate!$E75=0),"","سبد")</f>
        <v/>
      </c>
      <c r="D1640" s="80">
        <f>IF(OR(Crate!$E75="",Crate!$E75=0),"",Crate!$E75)</f>
        <v/>
      </c>
      <c r="E1640" s="81">
        <f>IF(OR(Crate!$E75="",Crate!$E75=0),"",Crate!$M75)</f>
        <v/>
      </c>
      <c r="G1640" s="82">
        <f>IF(OR(Crate!$E75="",Crate!$E75=0),"",Crate!$I75)</f>
        <v/>
      </c>
      <c r="J1640" s="82">
        <f>IF(OR(Crate!$E75="",Crate!$E75=0),"",Crate!$J75)</f>
        <v/>
      </c>
      <c r="K1640" s="82">
        <f>IF(OR(Crate!$E75="",Crate!$E75=0),"",IF(Crate!$N75="",0,Crate!$N75)+IF(Crate!$O75="",0,Crate!$O75))</f>
        <v/>
      </c>
      <c r="L1640" s="82">
        <f>IF(OR(Crate!$E75="",Crate!$E75=0),"",Crate!$N75)</f>
        <v/>
      </c>
      <c r="M1640" s="82">
        <f>IF(OR(Crate!$E75="",Crate!$E75=0),"",Crate!$O75)</f>
        <v/>
      </c>
      <c r="N1640" s="81">
        <f>IF(OR(Crate!$E75="",Crate!$E75=0),"",Crate!$D75)</f>
        <v/>
      </c>
      <c r="O1640" s="81">
        <f>IF(OR(Crate!$E75="",Crate!$E75=0),"",IFERROR(VLOOKUP(Crate!$E75,AcctTbl,3,0),""))</f>
        <v/>
      </c>
      <c r="P1640" s="82" t="inlineStr"/>
    </row>
    <row r="1641" ht="20.25" customHeight="1">
      <c r="A1641" s="80">
        <f>IF(OR(Crate!$P75="",Crate!$P75=0),"",Crate!$B75)</f>
        <v/>
      </c>
      <c r="B1641" s="80">
        <f>IF(OR(Crate!$P75="",Crate!$P75=0),"",Crate!$C75)</f>
        <v/>
      </c>
      <c r="C1641" s="80">
        <f>IF(OR(Crate!$P75="",Crate!$P75=0),"","سبد")</f>
        <v/>
      </c>
      <c r="D1641" s="80">
        <f>IF(OR(Crate!$P75="",Crate!$P75=0),"",Crate!$P75)</f>
        <v/>
      </c>
      <c r="E1641" s="81">
        <f>IF(OR(Crate!$P75="",Crate!$P75=0),"",IF(Crate!$P75="","","مقابل: "&amp;Crate!$D75))</f>
        <v/>
      </c>
      <c r="F1641" s="83" t="n"/>
      <c r="G1641" s="83" t="n"/>
      <c r="H1641" s="83" t="n"/>
      <c r="I1641" s="83" t="n"/>
      <c r="J1641" s="83" t="n"/>
      <c r="K1641" s="82">
        <f>IF(OR(Crate!$P75="",Crate!$P75=0),"",IF(Crate!$Q75="",0,Crate!$Q75)+IF(Crate!$R75="",0,Crate!$R75))</f>
        <v/>
      </c>
      <c r="L1641" s="82">
        <f>IF(OR(Crate!$P75="",Crate!$P75=0),"",Crate!$Q75)</f>
        <v/>
      </c>
      <c r="M1641" s="82">
        <f>IF(OR(Crate!$P75="",Crate!$P75=0),"",Crate!$R75)</f>
        <v/>
      </c>
      <c r="N1641" s="81">
        <f>IF(OR(Crate!$P75="",Crate!$P75=0),"","مقابل")</f>
        <v/>
      </c>
      <c r="O1641" s="81">
        <f>IF(OR(Crate!$P75="",Crate!$P75=0),"",IFERROR(VLOOKUP(Crate!$P75,AcctTbl,3,0),""))</f>
        <v/>
      </c>
      <c r="P1641" s="82" t="inlineStr"/>
    </row>
    <row r="1642" ht="20.25" customHeight="1">
      <c r="A1642" s="80">
        <f>IF(OR(Crate!$E76="",Crate!$E76=0),"",Crate!$B76)</f>
        <v/>
      </c>
      <c r="B1642" s="80">
        <f>IF(OR(Crate!$E76="",Crate!$E76=0),"",Crate!$C76)</f>
        <v/>
      </c>
      <c r="C1642" s="80">
        <f>IF(OR(Crate!$E76="",Crate!$E76=0),"","سبد")</f>
        <v/>
      </c>
      <c r="D1642" s="80">
        <f>IF(OR(Crate!$E76="",Crate!$E76=0),"",Crate!$E76)</f>
        <v/>
      </c>
      <c r="E1642" s="81">
        <f>IF(OR(Crate!$E76="",Crate!$E76=0),"",Crate!$M76)</f>
        <v/>
      </c>
      <c r="G1642" s="82">
        <f>IF(OR(Crate!$E76="",Crate!$E76=0),"",Crate!$I76)</f>
        <v/>
      </c>
      <c r="J1642" s="82">
        <f>IF(OR(Crate!$E76="",Crate!$E76=0),"",Crate!$J76)</f>
        <v/>
      </c>
      <c r="K1642" s="82">
        <f>IF(OR(Crate!$E76="",Crate!$E76=0),"",IF(Crate!$N76="",0,Crate!$N76)+IF(Crate!$O76="",0,Crate!$O76))</f>
        <v/>
      </c>
      <c r="L1642" s="82">
        <f>IF(OR(Crate!$E76="",Crate!$E76=0),"",Crate!$N76)</f>
        <v/>
      </c>
      <c r="M1642" s="82">
        <f>IF(OR(Crate!$E76="",Crate!$E76=0),"",Crate!$O76)</f>
        <v/>
      </c>
      <c r="N1642" s="81">
        <f>IF(OR(Crate!$E76="",Crate!$E76=0),"",Crate!$D76)</f>
        <v/>
      </c>
      <c r="O1642" s="81">
        <f>IF(OR(Crate!$E76="",Crate!$E76=0),"",IFERROR(VLOOKUP(Crate!$E76,AcctTbl,3,0),""))</f>
        <v/>
      </c>
      <c r="P1642" s="82" t="inlineStr"/>
    </row>
    <row r="1643" ht="20.25" customHeight="1">
      <c r="A1643" s="80">
        <f>IF(OR(Crate!$P76="",Crate!$P76=0),"",Crate!$B76)</f>
        <v/>
      </c>
      <c r="B1643" s="80">
        <f>IF(OR(Crate!$P76="",Crate!$P76=0),"",Crate!$C76)</f>
        <v/>
      </c>
      <c r="C1643" s="80">
        <f>IF(OR(Crate!$P76="",Crate!$P76=0),"","سبد")</f>
        <v/>
      </c>
      <c r="D1643" s="80">
        <f>IF(OR(Crate!$P76="",Crate!$P76=0),"",Crate!$P76)</f>
        <v/>
      </c>
      <c r="E1643" s="81">
        <f>IF(OR(Crate!$P76="",Crate!$P76=0),"",IF(Crate!$P76="","","مقابل: "&amp;Crate!$D76))</f>
        <v/>
      </c>
      <c r="F1643" s="83" t="n"/>
      <c r="G1643" s="83" t="n"/>
      <c r="H1643" s="83" t="n"/>
      <c r="I1643" s="83" t="n"/>
      <c r="J1643" s="83" t="n"/>
      <c r="K1643" s="82">
        <f>IF(OR(Crate!$P76="",Crate!$P76=0),"",IF(Crate!$Q76="",0,Crate!$Q76)+IF(Crate!$R76="",0,Crate!$R76))</f>
        <v/>
      </c>
      <c r="L1643" s="82">
        <f>IF(OR(Crate!$P76="",Crate!$P76=0),"",Crate!$Q76)</f>
        <v/>
      </c>
      <c r="M1643" s="82">
        <f>IF(OR(Crate!$P76="",Crate!$P76=0),"",Crate!$R76)</f>
        <v/>
      </c>
      <c r="N1643" s="81">
        <f>IF(OR(Crate!$P76="",Crate!$P76=0),"","مقابل")</f>
        <v/>
      </c>
      <c r="O1643" s="81">
        <f>IF(OR(Crate!$P76="",Crate!$P76=0),"",IFERROR(VLOOKUP(Crate!$P76,AcctTbl,3,0),""))</f>
        <v/>
      </c>
      <c r="P1643" s="82" t="inlineStr"/>
    </row>
    <row r="1644" ht="20.25" customHeight="1">
      <c r="A1644" s="80">
        <f>IF(OR(Crate!$E77="",Crate!$E77=0),"",Crate!$B77)</f>
        <v/>
      </c>
      <c r="B1644" s="80">
        <f>IF(OR(Crate!$E77="",Crate!$E77=0),"",Crate!$C77)</f>
        <v/>
      </c>
      <c r="C1644" s="80">
        <f>IF(OR(Crate!$E77="",Crate!$E77=0),"","سبد")</f>
        <v/>
      </c>
      <c r="D1644" s="80">
        <f>IF(OR(Crate!$E77="",Crate!$E77=0),"",Crate!$E77)</f>
        <v/>
      </c>
      <c r="E1644" s="81">
        <f>IF(OR(Crate!$E77="",Crate!$E77=0),"",Crate!$M77)</f>
        <v/>
      </c>
      <c r="G1644" s="82">
        <f>IF(OR(Crate!$E77="",Crate!$E77=0),"",Crate!$I77)</f>
        <v/>
      </c>
      <c r="J1644" s="82">
        <f>IF(OR(Crate!$E77="",Crate!$E77=0),"",Crate!$J77)</f>
        <v/>
      </c>
      <c r="K1644" s="82">
        <f>IF(OR(Crate!$E77="",Crate!$E77=0),"",IF(Crate!$N77="",0,Crate!$N77)+IF(Crate!$O77="",0,Crate!$O77))</f>
        <v/>
      </c>
      <c r="L1644" s="82">
        <f>IF(OR(Crate!$E77="",Crate!$E77=0),"",Crate!$N77)</f>
        <v/>
      </c>
      <c r="M1644" s="82">
        <f>IF(OR(Crate!$E77="",Crate!$E77=0),"",Crate!$O77)</f>
        <v/>
      </c>
      <c r="N1644" s="81">
        <f>IF(OR(Crate!$E77="",Crate!$E77=0),"",Crate!$D77)</f>
        <v/>
      </c>
      <c r="O1644" s="81">
        <f>IF(OR(Crate!$E77="",Crate!$E77=0),"",IFERROR(VLOOKUP(Crate!$E77,AcctTbl,3,0),""))</f>
        <v/>
      </c>
      <c r="P1644" s="82" t="inlineStr"/>
    </row>
    <row r="1645" ht="20.25" customHeight="1">
      <c r="A1645" s="80">
        <f>IF(OR(Crate!$P77="",Crate!$P77=0),"",Crate!$B77)</f>
        <v/>
      </c>
      <c r="B1645" s="80">
        <f>IF(OR(Crate!$P77="",Crate!$P77=0),"",Crate!$C77)</f>
        <v/>
      </c>
      <c r="C1645" s="80">
        <f>IF(OR(Crate!$P77="",Crate!$P77=0),"","سبد")</f>
        <v/>
      </c>
      <c r="D1645" s="80">
        <f>IF(OR(Crate!$P77="",Crate!$P77=0),"",Crate!$P77)</f>
        <v/>
      </c>
      <c r="E1645" s="81">
        <f>IF(OR(Crate!$P77="",Crate!$P77=0),"",IF(Crate!$P77="","","مقابل: "&amp;Crate!$D77))</f>
        <v/>
      </c>
      <c r="F1645" s="83" t="n"/>
      <c r="G1645" s="83" t="n"/>
      <c r="H1645" s="83" t="n"/>
      <c r="I1645" s="83" t="n"/>
      <c r="J1645" s="83" t="n"/>
      <c r="K1645" s="82">
        <f>IF(OR(Crate!$P77="",Crate!$P77=0),"",IF(Crate!$Q77="",0,Crate!$Q77)+IF(Crate!$R77="",0,Crate!$R77))</f>
        <v/>
      </c>
      <c r="L1645" s="82">
        <f>IF(OR(Crate!$P77="",Crate!$P77=0),"",Crate!$Q77)</f>
        <v/>
      </c>
      <c r="M1645" s="82">
        <f>IF(OR(Crate!$P77="",Crate!$P77=0),"",Crate!$R77)</f>
        <v/>
      </c>
      <c r="N1645" s="81">
        <f>IF(OR(Crate!$P77="",Crate!$P77=0),"","مقابل")</f>
        <v/>
      </c>
      <c r="O1645" s="81">
        <f>IF(OR(Crate!$P77="",Crate!$P77=0),"",IFERROR(VLOOKUP(Crate!$P77,AcctTbl,3,0),""))</f>
        <v/>
      </c>
      <c r="P1645" s="82" t="inlineStr"/>
    </row>
    <row r="1646" ht="20.25" customHeight="1">
      <c r="A1646" s="80">
        <f>IF(OR(Crate!$E78="",Crate!$E78=0),"",Crate!$B78)</f>
        <v/>
      </c>
      <c r="B1646" s="80">
        <f>IF(OR(Crate!$E78="",Crate!$E78=0),"",Crate!$C78)</f>
        <v/>
      </c>
      <c r="C1646" s="80">
        <f>IF(OR(Crate!$E78="",Crate!$E78=0),"","سبد")</f>
        <v/>
      </c>
      <c r="D1646" s="80">
        <f>IF(OR(Crate!$E78="",Crate!$E78=0),"",Crate!$E78)</f>
        <v/>
      </c>
      <c r="E1646" s="81">
        <f>IF(OR(Crate!$E78="",Crate!$E78=0),"",Crate!$M78)</f>
        <v/>
      </c>
      <c r="G1646" s="82">
        <f>IF(OR(Crate!$E78="",Crate!$E78=0),"",Crate!$I78)</f>
        <v/>
      </c>
      <c r="J1646" s="82">
        <f>IF(OR(Crate!$E78="",Crate!$E78=0),"",Crate!$J78)</f>
        <v/>
      </c>
      <c r="K1646" s="82">
        <f>IF(OR(Crate!$E78="",Crate!$E78=0),"",IF(Crate!$N78="",0,Crate!$N78)+IF(Crate!$O78="",0,Crate!$O78))</f>
        <v/>
      </c>
      <c r="L1646" s="82">
        <f>IF(OR(Crate!$E78="",Crate!$E78=0),"",Crate!$N78)</f>
        <v/>
      </c>
      <c r="M1646" s="82">
        <f>IF(OR(Crate!$E78="",Crate!$E78=0),"",Crate!$O78)</f>
        <v/>
      </c>
      <c r="N1646" s="81">
        <f>IF(OR(Crate!$E78="",Crate!$E78=0),"",Crate!$D78)</f>
        <v/>
      </c>
      <c r="O1646" s="81">
        <f>IF(OR(Crate!$E78="",Crate!$E78=0),"",IFERROR(VLOOKUP(Crate!$E78,AcctTbl,3,0),""))</f>
        <v/>
      </c>
      <c r="P1646" s="82" t="inlineStr"/>
    </row>
    <row r="1647" ht="20.25" customHeight="1">
      <c r="A1647" s="80">
        <f>IF(OR(Crate!$P78="",Crate!$P78=0),"",Crate!$B78)</f>
        <v/>
      </c>
      <c r="B1647" s="80">
        <f>IF(OR(Crate!$P78="",Crate!$P78=0),"",Crate!$C78)</f>
        <v/>
      </c>
      <c r="C1647" s="80">
        <f>IF(OR(Crate!$P78="",Crate!$P78=0),"","سبد")</f>
        <v/>
      </c>
      <c r="D1647" s="80">
        <f>IF(OR(Crate!$P78="",Crate!$P78=0),"",Crate!$P78)</f>
        <v/>
      </c>
      <c r="E1647" s="81">
        <f>IF(OR(Crate!$P78="",Crate!$P78=0),"",IF(Crate!$P78="","","مقابل: "&amp;Crate!$D78))</f>
        <v/>
      </c>
      <c r="F1647" s="83" t="n"/>
      <c r="G1647" s="83" t="n"/>
      <c r="H1647" s="83" t="n"/>
      <c r="I1647" s="83" t="n"/>
      <c r="J1647" s="83" t="n"/>
      <c r="K1647" s="82">
        <f>IF(OR(Crate!$P78="",Crate!$P78=0),"",IF(Crate!$Q78="",0,Crate!$Q78)+IF(Crate!$R78="",0,Crate!$R78))</f>
        <v/>
      </c>
      <c r="L1647" s="82">
        <f>IF(OR(Crate!$P78="",Crate!$P78=0),"",Crate!$Q78)</f>
        <v/>
      </c>
      <c r="M1647" s="82">
        <f>IF(OR(Crate!$P78="",Crate!$P78=0),"",Crate!$R78)</f>
        <v/>
      </c>
      <c r="N1647" s="81">
        <f>IF(OR(Crate!$P78="",Crate!$P78=0),"","مقابل")</f>
        <v/>
      </c>
      <c r="O1647" s="81">
        <f>IF(OR(Crate!$P78="",Crate!$P78=0),"",IFERROR(VLOOKUP(Crate!$P78,AcctTbl,3,0),""))</f>
        <v/>
      </c>
      <c r="P1647" s="82" t="inlineStr"/>
    </row>
    <row r="1648" ht="20.25" customHeight="1">
      <c r="A1648" s="80">
        <f>IF(OR(Crate!$E79="",Crate!$E79=0),"",Crate!$B79)</f>
        <v/>
      </c>
      <c r="B1648" s="80">
        <f>IF(OR(Crate!$E79="",Crate!$E79=0),"",Crate!$C79)</f>
        <v/>
      </c>
      <c r="C1648" s="80">
        <f>IF(OR(Crate!$E79="",Crate!$E79=0),"","سبد")</f>
        <v/>
      </c>
      <c r="D1648" s="80">
        <f>IF(OR(Crate!$E79="",Crate!$E79=0),"",Crate!$E79)</f>
        <v/>
      </c>
      <c r="E1648" s="81">
        <f>IF(OR(Crate!$E79="",Crate!$E79=0),"",Crate!$M79)</f>
        <v/>
      </c>
      <c r="G1648" s="82">
        <f>IF(OR(Crate!$E79="",Crate!$E79=0),"",Crate!$I79)</f>
        <v/>
      </c>
      <c r="J1648" s="82">
        <f>IF(OR(Crate!$E79="",Crate!$E79=0),"",Crate!$J79)</f>
        <v/>
      </c>
      <c r="K1648" s="82">
        <f>IF(OR(Crate!$E79="",Crate!$E79=0),"",IF(Crate!$N79="",0,Crate!$N79)+IF(Crate!$O79="",0,Crate!$O79))</f>
        <v/>
      </c>
      <c r="L1648" s="82">
        <f>IF(OR(Crate!$E79="",Crate!$E79=0),"",Crate!$N79)</f>
        <v/>
      </c>
      <c r="M1648" s="82">
        <f>IF(OR(Crate!$E79="",Crate!$E79=0),"",Crate!$O79)</f>
        <v/>
      </c>
      <c r="N1648" s="81">
        <f>IF(OR(Crate!$E79="",Crate!$E79=0),"",Crate!$D79)</f>
        <v/>
      </c>
      <c r="O1648" s="81">
        <f>IF(OR(Crate!$E79="",Crate!$E79=0),"",IFERROR(VLOOKUP(Crate!$E79,AcctTbl,3,0),""))</f>
        <v/>
      </c>
      <c r="P1648" s="82" t="inlineStr"/>
    </row>
    <row r="1649" ht="20.25" customHeight="1">
      <c r="A1649" s="80">
        <f>IF(OR(Crate!$P79="",Crate!$P79=0),"",Crate!$B79)</f>
        <v/>
      </c>
      <c r="B1649" s="80">
        <f>IF(OR(Crate!$P79="",Crate!$P79=0),"",Crate!$C79)</f>
        <v/>
      </c>
      <c r="C1649" s="80">
        <f>IF(OR(Crate!$P79="",Crate!$P79=0),"","سبد")</f>
        <v/>
      </c>
      <c r="D1649" s="80">
        <f>IF(OR(Crate!$P79="",Crate!$P79=0),"",Crate!$P79)</f>
        <v/>
      </c>
      <c r="E1649" s="81">
        <f>IF(OR(Crate!$P79="",Crate!$P79=0),"",IF(Crate!$P79="","","مقابل: "&amp;Crate!$D79))</f>
        <v/>
      </c>
      <c r="F1649" s="83" t="n"/>
      <c r="G1649" s="83" t="n"/>
      <c r="H1649" s="83" t="n"/>
      <c r="I1649" s="83" t="n"/>
      <c r="J1649" s="83" t="n"/>
      <c r="K1649" s="82">
        <f>IF(OR(Crate!$P79="",Crate!$P79=0),"",IF(Crate!$Q79="",0,Crate!$Q79)+IF(Crate!$R79="",0,Crate!$R79))</f>
        <v/>
      </c>
      <c r="L1649" s="82">
        <f>IF(OR(Crate!$P79="",Crate!$P79=0),"",Crate!$Q79)</f>
        <v/>
      </c>
      <c r="M1649" s="82">
        <f>IF(OR(Crate!$P79="",Crate!$P79=0),"",Crate!$R79)</f>
        <v/>
      </c>
      <c r="N1649" s="81">
        <f>IF(OR(Crate!$P79="",Crate!$P79=0),"","مقابل")</f>
        <v/>
      </c>
      <c r="O1649" s="81">
        <f>IF(OR(Crate!$P79="",Crate!$P79=0),"",IFERROR(VLOOKUP(Crate!$P79,AcctTbl,3,0),""))</f>
        <v/>
      </c>
      <c r="P1649" s="82" t="inlineStr"/>
    </row>
    <row r="1650" ht="20.25" customHeight="1">
      <c r="A1650" s="80">
        <f>IF(OR(Crate!$E80="",Crate!$E80=0),"",Crate!$B80)</f>
        <v/>
      </c>
      <c r="B1650" s="80">
        <f>IF(OR(Crate!$E80="",Crate!$E80=0),"",Crate!$C80)</f>
        <v/>
      </c>
      <c r="C1650" s="80">
        <f>IF(OR(Crate!$E80="",Crate!$E80=0),"","سبد")</f>
        <v/>
      </c>
      <c r="D1650" s="80">
        <f>IF(OR(Crate!$E80="",Crate!$E80=0),"",Crate!$E80)</f>
        <v/>
      </c>
      <c r="E1650" s="81">
        <f>IF(OR(Crate!$E80="",Crate!$E80=0),"",Crate!$M80)</f>
        <v/>
      </c>
      <c r="G1650" s="82">
        <f>IF(OR(Crate!$E80="",Crate!$E80=0),"",Crate!$I80)</f>
        <v/>
      </c>
      <c r="J1650" s="82">
        <f>IF(OR(Crate!$E80="",Crate!$E80=0),"",Crate!$J80)</f>
        <v/>
      </c>
      <c r="K1650" s="82">
        <f>IF(OR(Crate!$E80="",Crate!$E80=0),"",IF(Crate!$N80="",0,Crate!$N80)+IF(Crate!$O80="",0,Crate!$O80))</f>
        <v/>
      </c>
      <c r="L1650" s="82">
        <f>IF(OR(Crate!$E80="",Crate!$E80=0),"",Crate!$N80)</f>
        <v/>
      </c>
      <c r="M1650" s="82">
        <f>IF(OR(Crate!$E80="",Crate!$E80=0),"",Crate!$O80)</f>
        <v/>
      </c>
      <c r="N1650" s="81">
        <f>IF(OR(Crate!$E80="",Crate!$E80=0),"",Crate!$D80)</f>
        <v/>
      </c>
      <c r="O1650" s="81">
        <f>IF(OR(Crate!$E80="",Crate!$E80=0),"",IFERROR(VLOOKUP(Crate!$E80,AcctTbl,3,0),""))</f>
        <v/>
      </c>
      <c r="P1650" s="82" t="inlineStr"/>
    </row>
    <row r="1651" ht="20.25" customHeight="1">
      <c r="A1651" s="80">
        <f>IF(OR(Crate!$P80="",Crate!$P80=0),"",Crate!$B80)</f>
        <v/>
      </c>
      <c r="B1651" s="80">
        <f>IF(OR(Crate!$P80="",Crate!$P80=0),"",Crate!$C80)</f>
        <v/>
      </c>
      <c r="C1651" s="80">
        <f>IF(OR(Crate!$P80="",Crate!$P80=0),"","سبد")</f>
        <v/>
      </c>
      <c r="D1651" s="80">
        <f>IF(OR(Crate!$P80="",Crate!$P80=0),"",Crate!$P80)</f>
        <v/>
      </c>
      <c r="E1651" s="81">
        <f>IF(OR(Crate!$P80="",Crate!$P80=0),"",IF(Crate!$P80="","","مقابل: "&amp;Crate!$D80))</f>
        <v/>
      </c>
      <c r="F1651" s="83" t="n"/>
      <c r="G1651" s="83" t="n"/>
      <c r="H1651" s="83" t="n"/>
      <c r="I1651" s="83" t="n"/>
      <c r="J1651" s="83" t="n"/>
      <c r="K1651" s="82">
        <f>IF(OR(Crate!$P80="",Crate!$P80=0),"",IF(Crate!$Q80="",0,Crate!$Q80)+IF(Crate!$R80="",0,Crate!$R80))</f>
        <v/>
      </c>
      <c r="L1651" s="82">
        <f>IF(OR(Crate!$P80="",Crate!$P80=0),"",Crate!$Q80)</f>
        <v/>
      </c>
      <c r="M1651" s="82">
        <f>IF(OR(Crate!$P80="",Crate!$P80=0),"",Crate!$R80)</f>
        <v/>
      </c>
      <c r="N1651" s="81">
        <f>IF(OR(Crate!$P80="",Crate!$P80=0),"","مقابل")</f>
        <v/>
      </c>
      <c r="O1651" s="81">
        <f>IF(OR(Crate!$P80="",Crate!$P80=0),"",IFERROR(VLOOKUP(Crate!$P80,AcctTbl,3,0),""))</f>
        <v/>
      </c>
      <c r="P1651" s="82" t="inlineStr"/>
    </row>
    <row r="1652" ht="20.25" customHeight="1">
      <c r="A1652" s="80">
        <f>IF(OR(Crate!$E81="",Crate!$E81=0),"",Crate!$B81)</f>
        <v/>
      </c>
      <c r="B1652" s="80">
        <f>IF(OR(Crate!$E81="",Crate!$E81=0),"",Crate!$C81)</f>
        <v/>
      </c>
      <c r="C1652" s="80">
        <f>IF(OR(Crate!$E81="",Crate!$E81=0),"","سبد")</f>
        <v/>
      </c>
      <c r="D1652" s="80">
        <f>IF(OR(Crate!$E81="",Crate!$E81=0),"",Crate!$E81)</f>
        <v/>
      </c>
      <c r="E1652" s="81">
        <f>IF(OR(Crate!$E81="",Crate!$E81=0),"",Crate!$M81)</f>
        <v/>
      </c>
      <c r="G1652" s="82">
        <f>IF(OR(Crate!$E81="",Crate!$E81=0),"",Crate!$I81)</f>
        <v/>
      </c>
      <c r="J1652" s="82">
        <f>IF(OR(Crate!$E81="",Crate!$E81=0),"",Crate!$J81)</f>
        <v/>
      </c>
      <c r="K1652" s="82">
        <f>IF(OR(Crate!$E81="",Crate!$E81=0),"",IF(Crate!$N81="",0,Crate!$N81)+IF(Crate!$O81="",0,Crate!$O81))</f>
        <v/>
      </c>
      <c r="L1652" s="82">
        <f>IF(OR(Crate!$E81="",Crate!$E81=0),"",Crate!$N81)</f>
        <v/>
      </c>
      <c r="M1652" s="82">
        <f>IF(OR(Crate!$E81="",Crate!$E81=0),"",Crate!$O81)</f>
        <v/>
      </c>
      <c r="N1652" s="81">
        <f>IF(OR(Crate!$E81="",Crate!$E81=0),"",Crate!$D81)</f>
        <v/>
      </c>
      <c r="O1652" s="81">
        <f>IF(OR(Crate!$E81="",Crate!$E81=0),"",IFERROR(VLOOKUP(Crate!$E81,AcctTbl,3,0),""))</f>
        <v/>
      </c>
      <c r="P1652" s="82" t="inlineStr"/>
    </row>
    <row r="1653" ht="20.25" customHeight="1">
      <c r="A1653" s="80">
        <f>IF(OR(Crate!$P81="",Crate!$P81=0),"",Crate!$B81)</f>
        <v/>
      </c>
      <c r="B1653" s="80">
        <f>IF(OR(Crate!$P81="",Crate!$P81=0),"",Crate!$C81)</f>
        <v/>
      </c>
      <c r="C1653" s="80">
        <f>IF(OR(Crate!$P81="",Crate!$P81=0),"","سبد")</f>
        <v/>
      </c>
      <c r="D1653" s="80">
        <f>IF(OR(Crate!$P81="",Crate!$P81=0),"",Crate!$P81)</f>
        <v/>
      </c>
      <c r="E1653" s="81">
        <f>IF(OR(Crate!$P81="",Crate!$P81=0),"",IF(Crate!$P81="","","مقابل: "&amp;Crate!$D81))</f>
        <v/>
      </c>
      <c r="F1653" s="83" t="n"/>
      <c r="G1653" s="83" t="n"/>
      <c r="H1653" s="83" t="n"/>
      <c r="I1653" s="83" t="n"/>
      <c r="J1653" s="83" t="n"/>
      <c r="K1653" s="82">
        <f>IF(OR(Crate!$P81="",Crate!$P81=0),"",IF(Crate!$Q81="",0,Crate!$Q81)+IF(Crate!$R81="",0,Crate!$R81))</f>
        <v/>
      </c>
      <c r="L1653" s="82">
        <f>IF(OR(Crate!$P81="",Crate!$P81=0),"",Crate!$Q81)</f>
        <v/>
      </c>
      <c r="M1653" s="82">
        <f>IF(OR(Crate!$P81="",Crate!$P81=0),"",Crate!$R81)</f>
        <v/>
      </c>
      <c r="N1653" s="81">
        <f>IF(OR(Crate!$P81="",Crate!$P81=0),"","مقابل")</f>
        <v/>
      </c>
      <c r="O1653" s="81">
        <f>IF(OR(Crate!$P81="",Crate!$P81=0),"",IFERROR(VLOOKUP(Crate!$P81,AcctTbl,3,0),""))</f>
        <v/>
      </c>
      <c r="P1653" s="82" t="inlineStr"/>
    </row>
    <row r="1654" ht="20.25" customHeight="1">
      <c r="A1654" s="80">
        <f>IF(OR(Crate!$E82="",Crate!$E82=0),"",Crate!$B82)</f>
        <v/>
      </c>
      <c r="B1654" s="80">
        <f>IF(OR(Crate!$E82="",Crate!$E82=0),"",Crate!$C82)</f>
        <v/>
      </c>
      <c r="C1654" s="80">
        <f>IF(OR(Crate!$E82="",Crate!$E82=0),"","سبد")</f>
        <v/>
      </c>
      <c r="D1654" s="80">
        <f>IF(OR(Crate!$E82="",Crate!$E82=0),"",Crate!$E82)</f>
        <v/>
      </c>
      <c r="E1654" s="81">
        <f>IF(OR(Crate!$E82="",Crate!$E82=0),"",Crate!$M82)</f>
        <v/>
      </c>
      <c r="G1654" s="82">
        <f>IF(OR(Crate!$E82="",Crate!$E82=0),"",Crate!$I82)</f>
        <v/>
      </c>
      <c r="J1654" s="82">
        <f>IF(OR(Crate!$E82="",Crate!$E82=0),"",Crate!$J82)</f>
        <v/>
      </c>
      <c r="K1654" s="82">
        <f>IF(OR(Crate!$E82="",Crate!$E82=0),"",IF(Crate!$N82="",0,Crate!$N82)+IF(Crate!$O82="",0,Crate!$O82))</f>
        <v/>
      </c>
      <c r="L1654" s="82">
        <f>IF(OR(Crate!$E82="",Crate!$E82=0),"",Crate!$N82)</f>
        <v/>
      </c>
      <c r="M1654" s="82">
        <f>IF(OR(Crate!$E82="",Crate!$E82=0),"",Crate!$O82)</f>
        <v/>
      </c>
      <c r="N1654" s="81">
        <f>IF(OR(Crate!$E82="",Crate!$E82=0),"",Crate!$D82)</f>
        <v/>
      </c>
      <c r="O1654" s="81">
        <f>IF(OR(Crate!$E82="",Crate!$E82=0),"",IFERROR(VLOOKUP(Crate!$E82,AcctTbl,3,0),""))</f>
        <v/>
      </c>
      <c r="P1654" s="82" t="inlineStr"/>
    </row>
    <row r="1655" ht="20.25" customHeight="1">
      <c r="A1655" s="80">
        <f>IF(OR(Crate!$P82="",Crate!$P82=0),"",Crate!$B82)</f>
        <v/>
      </c>
      <c r="B1655" s="80">
        <f>IF(OR(Crate!$P82="",Crate!$P82=0),"",Crate!$C82)</f>
        <v/>
      </c>
      <c r="C1655" s="80">
        <f>IF(OR(Crate!$P82="",Crate!$P82=0),"","سبد")</f>
        <v/>
      </c>
      <c r="D1655" s="80">
        <f>IF(OR(Crate!$P82="",Crate!$P82=0),"",Crate!$P82)</f>
        <v/>
      </c>
      <c r="E1655" s="81">
        <f>IF(OR(Crate!$P82="",Crate!$P82=0),"",IF(Crate!$P82="","","مقابل: "&amp;Crate!$D82))</f>
        <v/>
      </c>
      <c r="F1655" s="83" t="n"/>
      <c r="G1655" s="83" t="n"/>
      <c r="H1655" s="83" t="n"/>
      <c r="I1655" s="83" t="n"/>
      <c r="J1655" s="83" t="n"/>
      <c r="K1655" s="82">
        <f>IF(OR(Crate!$P82="",Crate!$P82=0),"",IF(Crate!$Q82="",0,Crate!$Q82)+IF(Crate!$R82="",0,Crate!$R82))</f>
        <v/>
      </c>
      <c r="L1655" s="82">
        <f>IF(OR(Crate!$P82="",Crate!$P82=0),"",Crate!$Q82)</f>
        <v/>
      </c>
      <c r="M1655" s="82">
        <f>IF(OR(Crate!$P82="",Crate!$P82=0),"",Crate!$R82)</f>
        <v/>
      </c>
      <c r="N1655" s="81">
        <f>IF(OR(Crate!$P82="",Crate!$P82=0),"","مقابل")</f>
        <v/>
      </c>
      <c r="O1655" s="81">
        <f>IF(OR(Crate!$P82="",Crate!$P82=0),"",IFERROR(VLOOKUP(Crate!$P82,AcctTbl,3,0),""))</f>
        <v/>
      </c>
      <c r="P1655" s="82" t="inlineStr"/>
    </row>
    <row r="1656" ht="20.25" customHeight="1">
      <c r="A1656" s="80">
        <f>IF(OR(Crate!$E83="",Crate!$E83=0),"",Crate!$B83)</f>
        <v/>
      </c>
      <c r="B1656" s="80">
        <f>IF(OR(Crate!$E83="",Crate!$E83=0),"",Crate!$C83)</f>
        <v/>
      </c>
      <c r="C1656" s="80">
        <f>IF(OR(Crate!$E83="",Crate!$E83=0),"","سبد")</f>
        <v/>
      </c>
      <c r="D1656" s="80">
        <f>IF(OR(Crate!$E83="",Crate!$E83=0),"",Crate!$E83)</f>
        <v/>
      </c>
      <c r="E1656" s="81">
        <f>IF(OR(Crate!$E83="",Crate!$E83=0),"",Crate!$M83)</f>
        <v/>
      </c>
      <c r="G1656" s="82">
        <f>IF(OR(Crate!$E83="",Crate!$E83=0),"",Crate!$I83)</f>
        <v/>
      </c>
      <c r="J1656" s="82">
        <f>IF(OR(Crate!$E83="",Crate!$E83=0),"",Crate!$J83)</f>
        <v/>
      </c>
      <c r="K1656" s="82">
        <f>IF(OR(Crate!$E83="",Crate!$E83=0),"",IF(Crate!$N83="",0,Crate!$N83)+IF(Crate!$O83="",0,Crate!$O83))</f>
        <v/>
      </c>
      <c r="L1656" s="82">
        <f>IF(OR(Crate!$E83="",Crate!$E83=0),"",Crate!$N83)</f>
        <v/>
      </c>
      <c r="M1656" s="82">
        <f>IF(OR(Crate!$E83="",Crate!$E83=0),"",Crate!$O83)</f>
        <v/>
      </c>
      <c r="N1656" s="81">
        <f>IF(OR(Crate!$E83="",Crate!$E83=0),"",Crate!$D83)</f>
        <v/>
      </c>
      <c r="O1656" s="81">
        <f>IF(OR(Crate!$E83="",Crate!$E83=0),"",IFERROR(VLOOKUP(Crate!$E83,AcctTbl,3,0),""))</f>
        <v/>
      </c>
      <c r="P1656" s="82" t="inlineStr"/>
    </row>
    <row r="1657" ht="20.25" customHeight="1">
      <c r="A1657" s="80">
        <f>IF(OR(Crate!$P83="",Crate!$P83=0),"",Crate!$B83)</f>
        <v/>
      </c>
      <c r="B1657" s="80">
        <f>IF(OR(Crate!$P83="",Crate!$P83=0),"",Crate!$C83)</f>
        <v/>
      </c>
      <c r="C1657" s="80">
        <f>IF(OR(Crate!$P83="",Crate!$P83=0),"","سبد")</f>
        <v/>
      </c>
      <c r="D1657" s="80">
        <f>IF(OR(Crate!$P83="",Crate!$P83=0),"",Crate!$P83)</f>
        <v/>
      </c>
      <c r="E1657" s="81">
        <f>IF(OR(Crate!$P83="",Crate!$P83=0),"",IF(Crate!$P83="","","مقابل: "&amp;Crate!$D83))</f>
        <v/>
      </c>
      <c r="F1657" s="83" t="n"/>
      <c r="G1657" s="83" t="n"/>
      <c r="H1657" s="83" t="n"/>
      <c r="I1657" s="83" t="n"/>
      <c r="J1657" s="83" t="n"/>
      <c r="K1657" s="82">
        <f>IF(OR(Crate!$P83="",Crate!$P83=0),"",IF(Crate!$Q83="",0,Crate!$Q83)+IF(Crate!$R83="",0,Crate!$R83))</f>
        <v/>
      </c>
      <c r="L1657" s="82">
        <f>IF(OR(Crate!$P83="",Crate!$P83=0),"",Crate!$Q83)</f>
        <v/>
      </c>
      <c r="M1657" s="82">
        <f>IF(OR(Crate!$P83="",Crate!$P83=0),"",Crate!$R83)</f>
        <v/>
      </c>
      <c r="N1657" s="81">
        <f>IF(OR(Crate!$P83="",Crate!$P83=0),"","مقابل")</f>
        <v/>
      </c>
      <c r="O1657" s="81">
        <f>IF(OR(Crate!$P83="",Crate!$P83=0),"",IFERROR(VLOOKUP(Crate!$P83,AcctTbl,3,0),""))</f>
        <v/>
      </c>
      <c r="P1657" s="82" t="inlineStr"/>
    </row>
    <row r="1658" ht="20.25" customHeight="1">
      <c r="A1658" s="80">
        <f>IF(OR(Crate!$E84="",Crate!$E84=0),"",Crate!$B84)</f>
        <v/>
      </c>
      <c r="B1658" s="80">
        <f>IF(OR(Crate!$E84="",Crate!$E84=0),"",Crate!$C84)</f>
        <v/>
      </c>
      <c r="C1658" s="80">
        <f>IF(OR(Crate!$E84="",Crate!$E84=0),"","سبد")</f>
        <v/>
      </c>
      <c r="D1658" s="80">
        <f>IF(OR(Crate!$E84="",Crate!$E84=0),"",Crate!$E84)</f>
        <v/>
      </c>
      <c r="E1658" s="81">
        <f>IF(OR(Crate!$E84="",Crate!$E84=0),"",Crate!$M84)</f>
        <v/>
      </c>
      <c r="G1658" s="82">
        <f>IF(OR(Crate!$E84="",Crate!$E84=0),"",Crate!$I84)</f>
        <v/>
      </c>
      <c r="J1658" s="82">
        <f>IF(OR(Crate!$E84="",Crate!$E84=0),"",Crate!$J84)</f>
        <v/>
      </c>
      <c r="K1658" s="82">
        <f>IF(OR(Crate!$E84="",Crate!$E84=0),"",IF(Crate!$N84="",0,Crate!$N84)+IF(Crate!$O84="",0,Crate!$O84))</f>
        <v/>
      </c>
      <c r="L1658" s="82">
        <f>IF(OR(Crate!$E84="",Crate!$E84=0),"",Crate!$N84)</f>
        <v/>
      </c>
      <c r="M1658" s="82">
        <f>IF(OR(Crate!$E84="",Crate!$E84=0),"",Crate!$O84)</f>
        <v/>
      </c>
      <c r="N1658" s="81">
        <f>IF(OR(Crate!$E84="",Crate!$E84=0),"",Crate!$D84)</f>
        <v/>
      </c>
      <c r="O1658" s="81">
        <f>IF(OR(Crate!$E84="",Crate!$E84=0),"",IFERROR(VLOOKUP(Crate!$E84,AcctTbl,3,0),""))</f>
        <v/>
      </c>
      <c r="P1658" s="82" t="inlineStr"/>
    </row>
    <row r="1659" ht="20.25" customHeight="1">
      <c r="A1659" s="80">
        <f>IF(OR(Crate!$P84="",Crate!$P84=0),"",Crate!$B84)</f>
        <v/>
      </c>
      <c r="B1659" s="80">
        <f>IF(OR(Crate!$P84="",Crate!$P84=0),"",Crate!$C84)</f>
        <v/>
      </c>
      <c r="C1659" s="80">
        <f>IF(OR(Crate!$P84="",Crate!$P84=0),"","سبد")</f>
        <v/>
      </c>
      <c r="D1659" s="80">
        <f>IF(OR(Crate!$P84="",Crate!$P84=0),"",Crate!$P84)</f>
        <v/>
      </c>
      <c r="E1659" s="81">
        <f>IF(OR(Crate!$P84="",Crate!$P84=0),"",IF(Crate!$P84="","","مقابل: "&amp;Crate!$D84))</f>
        <v/>
      </c>
      <c r="F1659" s="83" t="n"/>
      <c r="G1659" s="83" t="n"/>
      <c r="H1659" s="83" t="n"/>
      <c r="I1659" s="83" t="n"/>
      <c r="J1659" s="83" t="n"/>
      <c r="K1659" s="82">
        <f>IF(OR(Crate!$P84="",Crate!$P84=0),"",IF(Crate!$Q84="",0,Crate!$Q84)+IF(Crate!$R84="",0,Crate!$R84))</f>
        <v/>
      </c>
      <c r="L1659" s="82">
        <f>IF(OR(Crate!$P84="",Crate!$P84=0),"",Crate!$Q84)</f>
        <v/>
      </c>
      <c r="M1659" s="82">
        <f>IF(OR(Crate!$P84="",Crate!$P84=0),"",Crate!$R84)</f>
        <v/>
      </c>
      <c r="N1659" s="81">
        <f>IF(OR(Crate!$P84="",Crate!$P84=0),"","مقابل")</f>
        <v/>
      </c>
      <c r="O1659" s="81">
        <f>IF(OR(Crate!$P84="",Crate!$P84=0),"",IFERROR(VLOOKUP(Crate!$P84,AcctTbl,3,0),""))</f>
        <v/>
      </c>
      <c r="P1659" s="82" t="inlineStr"/>
    </row>
    <row r="1660" ht="20.25" customHeight="1">
      <c r="A1660" s="80">
        <f>IF(OR(Crate!$E85="",Crate!$E85=0),"",Crate!$B85)</f>
        <v/>
      </c>
      <c r="B1660" s="80">
        <f>IF(OR(Crate!$E85="",Crate!$E85=0),"",Crate!$C85)</f>
        <v/>
      </c>
      <c r="C1660" s="80">
        <f>IF(OR(Crate!$E85="",Crate!$E85=0),"","سبد")</f>
        <v/>
      </c>
      <c r="D1660" s="80">
        <f>IF(OR(Crate!$E85="",Crate!$E85=0),"",Crate!$E85)</f>
        <v/>
      </c>
      <c r="E1660" s="81">
        <f>IF(OR(Crate!$E85="",Crate!$E85=0),"",Crate!$M85)</f>
        <v/>
      </c>
      <c r="G1660" s="82">
        <f>IF(OR(Crate!$E85="",Crate!$E85=0),"",Crate!$I85)</f>
        <v/>
      </c>
      <c r="J1660" s="82">
        <f>IF(OR(Crate!$E85="",Crate!$E85=0),"",Crate!$J85)</f>
        <v/>
      </c>
      <c r="K1660" s="82">
        <f>IF(OR(Crate!$E85="",Crate!$E85=0),"",IF(Crate!$N85="",0,Crate!$N85)+IF(Crate!$O85="",0,Crate!$O85))</f>
        <v/>
      </c>
      <c r="L1660" s="82">
        <f>IF(OR(Crate!$E85="",Crate!$E85=0),"",Crate!$N85)</f>
        <v/>
      </c>
      <c r="M1660" s="82">
        <f>IF(OR(Crate!$E85="",Crate!$E85=0),"",Crate!$O85)</f>
        <v/>
      </c>
      <c r="N1660" s="81">
        <f>IF(OR(Crate!$E85="",Crate!$E85=0),"",Crate!$D85)</f>
        <v/>
      </c>
      <c r="O1660" s="81">
        <f>IF(OR(Crate!$E85="",Crate!$E85=0),"",IFERROR(VLOOKUP(Crate!$E85,AcctTbl,3,0),""))</f>
        <v/>
      </c>
      <c r="P1660" s="82" t="inlineStr"/>
    </row>
    <row r="1661" ht="20.25" customHeight="1">
      <c r="A1661" s="80">
        <f>IF(OR(Crate!$P85="",Crate!$P85=0),"",Crate!$B85)</f>
        <v/>
      </c>
      <c r="B1661" s="80">
        <f>IF(OR(Crate!$P85="",Crate!$P85=0),"",Crate!$C85)</f>
        <v/>
      </c>
      <c r="C1661" s="80">
        <f>IF(OR(Crate!$P85="",Crate!$P85=0),"","سبد")</f>
        <v/>
      </c>
      <c r="D1661" s="80">
        <f>IF(OR(Crate!$P85="",Crate!$P85=0),"",Crate!$P85)</f>
        <v/>
      </c>
      <c r="E1661" s="81">
        <f>IF(OR(Crate!$P85="",Crate!$P85=0),"",IF(Crate!$P85="","","مقابل: "&amp;Crate!$D85))</f>
        <v/>
      </c>
      <c r="F1661" s="83" t="n"/>
      <c r="G1661" s="83" t="n"/>
      <c r="H1661" s="83" t="n"/>
      <c r="I1661" s="83" t="n"/>
      <c r="J1661" s="83" t="n"/>
      <c r="K1661" s="82">
        <f>IF(OR(Crate!$P85="",Crate!$P85=0),"",IF(Crate!$Q85="",0,Crate!$Q85)+IF(Crate!$R85="",0,Crate!$R85))</f>
        <v/>
      </c>
      <c r="L1661" s="82">
        <f>IF(OR(Crate!$P85="",Crate!$P85=0),"",Crate!$Q85)</f>
        <v/>
      </c>
      <c r="M1661" s="82">
        <f>IF(OR(Crate!$P85="",Crate!$P85=0),"",Crate!$R85)</f>
        <v/>
      </c>
      <c r="N1661" s="81">
        <f>IF(OR(Crate!$P85="",Crate!$P85=0),"","مقابل")</f>
        <v/>
      </c>
      <c r="O1661" s="81">
        <f>IF(OR(Crate!$P85="",Crate!$P85=0),"",IFERROR(VLOOKUP(Crate!$P85,AcctTbl,3,0),""))</f>
        <v/>
      </c>
      <c r="P1661" s="82" t="inlineStr"/>
    </row>
    <row r="1662" ht="20.25" customHeight="1">
      <c r="A1662" s="80">
        <f>IF(OR(Crate!$E86="",Crate!$E86=0),"",Crate!$B86)</f>
        <v/>
      </c>
      <c r="B1662" s="80">
        <f>IF(OR(Crate!$E86="",Crate!$E86=0),"",Crate!$C86)</f>
        <v/>
      </c>
      <c r="C1662" s="80">
        <f>IF(OR(Crate!$E86="",Crate!$E86=0),"","سبد")</f>
        <v/>
      </c>
      <c r="D1662" s="80">
        <f>IF(OR(Crate!$E86="",Crate!$E86=0),"",Crate!$E86)</f>
        <v/>
      </c>
      <c r="E1662" s="81">
        <f>IF(OR(Crate!$E86="",Crate!$E86=0),"",Crate!$M86)</f>
        <v/>
      </c>
      <c r="G1662" s="82">
        <f>IF(OR(Crate!$E86="",Crate!$E86=0),"",Crate!$I86)</f>
        <v/>
      </c>
      <c r="J1662" s="82">
        <f>IF(OR(Crate!$E86="",Crate!$E86=0),"",Crate!$J86)</f>
        <v/>
      </c>
      <c r="K1662" s="82">
        <f>IF(OR(Crate!$E86="",Crate!$E86=0),"",IF(Crate!$N86="",0,Crate!$N86)+IF(Crate!$O86="",0,Crate!$O86))</f>
        <v/>
      </c>
      <c r="L1662" s="82">
        <f>IF(OR(Crate!$E86="",Crate!$E86=0),"",Crate!$N86)</f>
        <v/>
      </c>
      <c r="M1662" s="82">
        <f>IF(OR(Crate!$E86="",Crate!$E86=0),"",Crate!$O86)</f>
        <v/>
      </c>
      <c r="N1662" s="81">
        <f>IF(OR(Crate!$E86="",Crate!$E86=0),"",Crate!$D86)</f>
        <v/>
      </c>
      <c r="O1662" s="81">
        <f>IF(OR(Crate!$E86="",Crate!$E86=0),"",IFERROR(VLOOKUP(Crate!$E86,AcctTbl,3,0),""))</f>
        <v/>
      </c>
      <c r="P1662" s="82" t="inlineStr"/>
    </row>
    <row r="1663" ht="20.25" customHeight="1">
      <c r="A1663" s="80">
        <f>IF(OR(Crate!$P86="",Crate!$P86=0),"",Crate!$B86)</f>
        <v/>
      </c>
      <c r="B1663" s="80">
        <f>IF(OR(Crate!$P86="",Crate!$P86=0),"",Crate!$C86)</f>
        <v/>
      </c>
      <c r="C1663" s="80">
        <f>IF(OR(Crate!$P86="",Crate!$P86=0),"","سبد")</f>
        <v/>
      </c>
      <c r="D1663" s="80">
        <f>IF(OR(Crate!$P86="",Crate!$P86=0),"",Crate!$P86)</f>
        <v/>
      </c>
      <c r="E1663" s="81">
        <f>IF(OR(Crate!$P86="",Crate!$P86=0),"",IF(Crate!$P86="","","مقابل: "&amp;Crate!$D86))</f>
        <v/>
      </c>
      <c r="F1663" s="83" t="n"/>
      <c r="G1663" s="83" t="n"/>
      <c r="H1663" s="83" t="n"/>
      <c r="I1663" s="83" t="n"/>
      <c r="J1663" s="83" t="n"/>
      <c r="K1663" s="82">
        <f>IF(OR(Crate!$P86="",Crate!$P86=0),"",IF(Crate!$Q86="",0,Crate!$Q86)+IF(Crate!$R86="",0,Crate!$R86))</f>
        <v/>
      </c>
      <c r="L1663" s="82">
        <f>IF(OR(Crate!$P86="",Crate!$P86=0),"",Crate!$Q86)</f>
        <v/>
      </c>
      <c r="M1663" s="82">
        <f>IF(OR(Crate!$P86="",Crate!$P86=0),"",Crate!$R86)</f>
        <v/>
      </c>
      <c r="N1663" s="81">
        <f>IF(OR(Crate!$P86="",Crate!$P86=0),"","مقابل")</f>
        <v/>
      </c>
      <c r="O1663" s="81">
        <f>IF(OR(Crate!$P86="",Crate!$P86=0),"",IFERROR(VLOOKUP(Crate!$P86,AcctTbl,3,0),""))</f>
        <v/>
      </c>
      <c r="P1663" s="82" t="inlineStr"/>
    </row>
    <row r="1664" ht="20.25" customHeight="1">
      <c r="A1664" s="80">
        <f>IF(OR(Crate!$E87="",Crate!$E87=0),"",Crate!$B87)</f>
        <v/>
      </c>
      <c r="B1664" s="80">
        <f>IF(OR(Crate!$E87="",Crate!$E87=0),"",Crate!$C87)</f>
        <v/>
      </c>
      <c r="C1664" s="80">
        <f>IF(OR(Crate!$E87="",Crate!$E87=0),"","سبد")</f>
        <v/>
      </c>
      <c r="D1664" s="80">
        <f>IF(OR(Crate!$E87="",Crate!$E87=0),"",Crate!$E87)</f>
        <v/>
      </c>
      <c r="E1664" s="81">
        <f>IF(OR(Crate!$E87="",Crate!$E87=0),"",Crate!$M87)</f>
        <v/>
      </c>
      <c r="G1664" s="82">
        <f>IF(OR(Crate!$E87="",Crate!$E87=0),"",Crate!$I87)</f>
        <v/>
      </c>
      <c r="J1664" s="82">
        <f>IF(OR(Crate!$E87="",Crate!$E87=0),"",Crate!$J87)</f>
        <v/>
      </c>
      <c r="K1664" s="82">
        <f>IF(OR(Crate!$E87="",Crate!$E87=0),"",IF(Crate!$N87="",0,Crate!$N87)+IF(Crate!$O87="",0,Crate!$O87))</f>
        <v/>
      </c>
      <c r="L1664" s="82">
        <f>IF(OR(Crate!$E87="",Crate!$E87=0),"",Crate!$N87)</f>
        <v/>
      </c>
      <c r="M1664" s="82">
        <f>IF(OR(Crate!$E87="",Crate!$E87=0),"",Crate!$O87)</f>
        <v/>
      </c>
      <c r="N1664" s="81">
        <f>IF(OR(Crate!$E87="",Crate!$E87=0),"",Crate!$D87)</f>
        <v/>
      </c>
      <c r="O1664" s="81">
        <f>IF(OR(Crate!$E87="",Crate!$E87=0),"",IFERROR(VLOOKUP(Crate!$E87,AcctTbl,3,0),""))</f>
        <v/>
      </c>
      <c r="P1664" s="82" t="inlineStr"/>
    </row>
    <row r="1665" ht="20.25" customHeight="1">
      <c r="A1665" s="80">
        <f>IF(OR(Crate!$P87="",Crate!$P87=0),"",Crate!$B87)</f>
        <v/>
      </c>
      <c r="B1665" s="80">
        <f>IF(OR(Crate!$P87="",Crate!$P87=0),"",Crate!$C87)</f>
        <v/>
      </c>
      <c r="C1665" s="80">
        <f>IF(OR(Crate!$P87="",Crate!$P87=0),"","سبد")</f>
        <v/>
      </c>
      <c r="D1665" s="80">
        <f>IF(OR(Crate!$P87="",Crate!$P87=0),"",Crate!$P87)</f>
        <v/>
      </c>
      <c r="E1665" s="81">
        <f>IF(OR(Crate!$P87="",Crate!$P87=0),"",IF(Crate!$P87="","","مقابل: "&amp;Crate!$D87))</f>
        <v/>
      </c>
      <c r="F1665" s="83" t="n"/>
      <c r="G1665" s="83" t="n"/>
      <c r="H1665" s="83" t="n"/>
      <c r="I1665" s="83" t="n"/>
      <c r="J1665" s="83" t="n"/>
      <c r="K1665" s="82">
        <f>IF(OR(Crate!$P87="",Crate!$P87=0),"",IF(Crate!$Q87="",0,Crate!$Q87)+IF(Crate!$R87="",0,Crate!$R87))</f>
        <v/>
      </c>
      <c r="L1665" s="82">
        <f>IF(OR(Crate!$P87="",Crate!$P87=0),"",Crate!$Q87)</f>
        <v/>
      </c>
      <c r="M1665" s="82">
        <f>IF(OR(Crate!$P87="",Crate!$P87=0),"",Crate!$R87)</f>
        <v/>
      </c>
      <c r="N1665" s="81">
        <f>IF(OR(Crate!$P87="",Crate!$P87=0),"","مقابل")</f>
        <v/>
      </c>
      <c r="O1665" s="81">
        <f>IF(OR(Crate!$P87="",Crate!$P87=0),"",IFERROR(VLOOKUP(Crate!$P87,AcctTbl,3,0),""))</f>
        <v/>
      </c>
      <c r="P1665" s="82" t="inlineStr"/>
    </row>
    <row r="1666" ht="20.25" customHeight="1">
      <c r="A1666" s="80">
        <f>IF(OR(Crate!$E88="",Crate!$E88=0),"",Crate!$B88)</f>
        <v/>
      </c>
      <c r="B1666" s="80">
        <f>IF(OR(Crate!$E88="",Crate!$E88=0),"",Crate!$C88)</f>
        <v/>
      </c>
      <c r="C1666" s="80">
        <f>IF(OR(Crate!$E88="",Crate!$E88=0),"","سبد")</f>
        <v/>
      </c>
      <c r="D1666" s="80">
        <f>IF(OR(Crate!$E88="",Crate!$E88=0),"",Crate!$E88)</f>
        <v/>
      </c>
      <c r="E1666" s="81">
        <f>IF(OR(Crate!$E88="",Crate!$E88=0),"",Crate!$M88)</f>
        <v/>
      </c>
      <c r="G1666" s="82">
        <f>IF(OR(Crate!$E88="",Crate!$E88=0),"",Crate!$I88)</f>
        <v/>
      </c>
      <c r="J1666" s="82">
        <f>IF(OR(Crate!$E88="",Crate!$E88=0),"",Crate!$J88)</f>
        <v/>
      </c>
      <c r="K1666" s="82">
        <f>IF(OR(Crate!$E88="",Crate!$E88=0),"",IF(Crate!$N88="",0,Crate!$N88)+IF(Crate!$O88="",0,Crate!$O88))</f>
        <v/>
      </c>
      <c r="L1666" s="82">
        <f>IF(OR(Crate!$E88="",Crate!$E88=0),"",Crate!$N88)</f>
        <v/>
      </c>
      <c r="M1666" s="82">
        <f>IF(OR(Crate!$E88="",Crate!$E88=0),"",Crate!$O88)</f>
        <v/>
      </c>
      <c r="N1666" s="81">
        <f>IF(OR(Crate!$E88="",Crate!$E88=0),"",Crate!$D88)</f>
        <v/>
      </c>
      <c r="O1666" s="81">
        <f>IF(OR(Crate!$E88="",Crate!$E88=0),"",IFERROR(VLOOKUP(Crate!$E88,AcctTbl,3,0),""))</f>
        <v/>
      </c>
      <c r="P1666" s="82" t="inlineStr"/>
    </row>
    <row r="1667" ht="20.25" customHeight="1">
      <c r="A1667" s="80">
        <f>IF(OR(Crate!$P88="",Crate!$P88=0),"",Crate!$B88)</f>
        <v/>
      </c>
      <c r="B1667" s="80">
        <f>IF(OR(Crate!$P88="",Crate!$P88=0),"",Crate!$C88)</f>
        <v/>
      </c>
      <c r="C1667" s="80">
        <f>IF(OR(Crate!$P88="",Crate!$P88=0),"","سبد")</f>
        <v/>
      </c>
      <c r="D1667" s="80">
        <f>IF(OR(Crate!$P88="",Crate!$P88=0),"",Crate!$P88)</f>
        <v/>
      </c>
      <c r="E1667" s="81">
        <f>IF(OR(Crate!$P88="",Crate!$P88=0),"",IF(Crate!$P88="","","مقابل: "&amp;Crate!$D88))</f>
        <v/>
      </c>
      <c r="F1667" s="83" t="n"/>
      <c r="G1667" s="83" t="n"/>
      <c r="H1667" s="83" t="n"/>
      <c r="I1667" s="83" t="n"/>
      <c r="J1667" s="83" t="n"/>
      <c r="K1667" s="82">
        <f>IF(OR(Crate!$P88="",Crate!$P88=0),"",IF(Crate!$Q88="",0,Crate!$Q88)+IF(Crate!$R88="",0,Crate!$R88))</f>
        <v/>
      </c>
      <c r="L1667" s="82">
        <f>IF(OR(Crate!$P88="",Crate!$P88=0),"",Crate!$Q88)</f>
        <v/>
      </c>
      <c r="M1667" s="82">
        <f>IF(OR(Crate!$P88="",Crate!$P88=0),"",Crate!$R88)</f>
        <v/>
      </c>
      <c r="N1667" s="81">
        <f>IF(OR(Crate!$P88="",Crate!$P88=0),"","مقابل")</f>
        <v/>
      </c>
      <c r="O1667" s="81">
        <f>IF(OR(Crate!$P88="",Crate!$P88=0),"",IFERROR(VLOOKUP(Crate!$P88,AcctTbl,3,0),""))</f>
        <v/>
      </c>
      <c r="P1667" s="82" t="inlineStr"/>
    </row>
    <row r="1668" ht="20.25" customHeight="1">
      <c r="A1668" s="80">
        <f>IF(OR(Crate!$E89="",Crate!$E89=0),"",Crate!$B89)</f>
        <v/>
      </c>
      <c r="B1668" s="80">
        <f>IF(OR(Crate!$E89="",Crate!$E89=0),"",Crate!$C89)</f>
        <v/>
      </c>
      <c r="C1668" s="80">
        <f>IF(OR(Crate!$E89="",Crate!$E89=0),"","سبد")</f>
        <v/>
      </c>
      <c r="D1668" s="80">
        <f>IF(OR(Crate!$E89="",Crate!$E89=0),"",Crate!$E89)</f>
        <v/>
      </c>
      <c r="E1668" s="81">
        <f>IF(OR(Crate!$E89="",Crate!$E89=0),"",Crate!$M89)</f>
        <v/>
      </c>
      <c r="G1668" s="82">
        <f>IF(OR(Crate!$E89="",Crate!$E89=0),"",Crate!$I89)</f>
        <v/>
      </c>
      <c r="J1668" s="82">
        <f>IF(OR(Crate!$E89="",Crate!$E89=0),"",Crate!$J89)</f>
        <v/>
      </c>
      <c r="K1668" s="82">
        <f>IF(OR(Crate!$E89="",Crate!$E89=0),"",IF(Crate!$N89="",0,Crate!$N89)+IF(Crate!$O89="",0,Crate!$O89))</f>
        <v/>
      </c>
      <c r="L1668" s="82">
        <f>IF(OR(Crate!$E89="",Crate!$E89=0),"",Crate!$N89)</f>
        <v/>
      </c>
      <c r="M1668" s="82">
        <f>IF(OR(Crate!$E89="",Crate!$E89=0),"",Crate!$O89)</f>
        <v/>
      </c>
      <c r="N1668" s="81">
        <f>IF(OR(Crate!$E89="",Crate!$E89=0),"",Crate!$D89)</f>
        <v/>
      </c>
      <c r="O1668" s="81">
        <f>IF(OR(Crate!$E89="",Crate!$E89=0),"",IFERROR(VLOOKUP(Crate!$E89,AcctTbl,3,0),""))</f>
        <v/>
      </c>
      <c r="P1668" s="82" t="inlineStr"/>
    </row>
    <row r="1669" ht="20.25" customHeight="1">
      <c r="A1669" s="80">
        <f>IF(OR(Crate!$P89="",Crate!$P89=0),"",Crate!$B89)</f>
        <v/>
      </c>
      <c r="B1669" s="80">
        <f>IF(OR(Crate!$P89="",Crate!$P89=0),"",Crate!$C89)</f>
        <v/>
      </c>
      <c r="C1669" s="80">
        <f>IF(OR(Crate!$P89="",Crate!$P89=0),"","سبد")</f>
        <v/>
      </c>
      <c r="D1669" s="80">
        <f>IF(OR(Crate!$P89="",Crate!$P89=0),"",Crate!$P89)</f>
        <v/>
      </c>
      <c r="E1669" s="81">
        <f>IF(OR(Crate!$P89="",Crate!$P89=0),"",IF(Crate!$P89="","","مقابل: "&amp;Crate!$D89))</f>
        <v/>
      </c>
      <c r="F1669" s="83" t="n"/>
      <c r="G1669" s="83" t="n"/>
      <c r="H1669" s="83" t="n"/>
      <c r="I1669" s="83" t="n"/>
      <c r="J1669" s="83" t="n"/>
      <c r="K1669" s="82">
        <f>IF(OR(Crate!$P89="",Crate!$P89=0),"",IF(Crate!$Q89="",0,Crate!$Q89)+IF(Crate!$R89="",0,Crate!$R89))</f>
        <v/>
      </c>
      <c r="L1669" s="82">
        <f>IF(OR(Crate!$P89="",Crate!$P89=0),"",Crate!$Q89)</f>
        <v/>
      </c>
      <c r="M1669" s="82">
        <f>IF(OR(Crate!$P89="",Crate!$P89=0),"",Crate!$R89)</f>
        <v/>
      </c>
      <c r="N1669" s="81">
        <f>IF(OR(Crate!$P89="",Crate!$P89=0),"","مقابل")</f>
        <v/>
      </c>
      <c r="O1669" s="81">
        <f>IF(OR(Crate!$P89="",Crate!$P89=0),"",IFERROR(VLOOKUP(Crate!$P89,AcctTbl,3,0),""))</f>
        <v/>
      </c>
      <c r="P1669" s="82" t="inlineStr"/>
    </row>
    <row r="1670" ht="20.25" customHeight="1">
      <c r="A1670" s="80">
        <f>IF(OR(Crate!$E90="",Crate!$E90=0),"",Crate!$B90)</f>
        <v/>
      </c>
      <c r="B1670" s="80">
        <f>IF(OR(Crate!$E90="",Crate!$E90=0),"",Crate!$C90)</f>
        <v/>
      </c>
      <c r="C1670" s="80">
        <f>IF(OR(Crate!$E90="",Crate!$E90=0),"","سبد")</f>
        <v/>
      </c>
      <c r="D1670" s="80">
        <f>IF(OR(Crate!$E90="",Crate!$E90=0),"",Crate!$E90)</f>
        <v/>
      </c>
      <c r="E1670" s="81">
        <f>IF(OR(Crate!$E90="",Crate!$E90=0),"",Crate!$M90)</f>
        <v/>
      </c>
      <c r="G1670" s="82">
        <f>IF(OR(Crate!$E90="",Crate!$E90=0),"",Crate!$I90)</f>
        <v/>
      </c>
      <c r="J1670" s="82">
        <f>IF(OR(Crate!$E90="",Crate!$E90=0),"",Crate!$J90)</f>
        <v/>
      </c>
      <c r="K1670" s="82">
        <f>IF(OR(Crate!$E90="",Crate!$E90=0),"",IF(Crate!$N90="",0,Crate!$N90)+IF(Crate!$O90="",0,Crate!$O90))</f>
        <v/>
      </c>
      <c r="L1670" s="82">
        <f>IF(OR(Crate!$E90="",Crate!$E90=0),"",Crate!$N90)</f>
        <v/>
      </c>
      <c r="M1670" s="82">
        <f>IF(OR(Crate!$E90="",Crate!$E90=0),"",Crate!$O90)</f>
        <v/>
      </c>
      <c r="N1670" s="81">
        <f>IF(OR(Crate!$E90="",Crate!$E90=0),"",Crate!$D90)</f>
        <v/>
      </c>
      <c r="O1670" s="81">
        <f>IF(OR(Crate!$E90="",Crate!$E90=0),"",IFERROR(VLOOKUP(Crate!$E90,AcctTbl,3,0),""))</f>
        <v/>
      </c>
      <c r="P1670" s="82" t="inlineStr"/>
    </row>
    <row r="1671" ht="20.25" customHeight="1">
      <c r="A1671" s="80">
        <f>IF(OR(Crate!$P90="",Crate!$P90=0),"",Crate!$B90)</f>
        <v/>
      </c>
      <c r="B1671" s="80">
        <f>IF(OR(Crate!$P90="",Crate!$P90=0),"",Crate!$C90)</f>
        <v/>
      </c>
      <c r="C1671" s="80">
        <f>IF(OR(Crate!$P90="",Crate!$P90=0),"","سبد")</f>
        <v/>
      </c>
      <c r="D1671" s="80">
        <f>IF(OR(Crate!$P90="",Crate!$P90=0),"",Crate!$P90)</f>
        <v/>
      </c>
      <c r="E1671" s="81">
        <f>IF(OR(Crate!$P90="",Crate!$P90=0),"",IF(Crate!$P90="","","مقابل: "&amp;Crate!$D90))</f>
        <v/>
      </c>
      <c r="F1671" s="83" t="n"/>
      <c r="G1671" s="83" t="n"/>
      <c r="H1671" s="83" t="n"/>
      <c r="I1671" s="83" t="n"/>
      <c r="J1671" s="83" t="n"/>
      <c r="K1671" s="82">
        <f>IF(OR(Crate!$P90="",Crate!$P90=0),"",IF(Crate!$Q90="",0,Crate!$Q90)+IF(Crate!$R90="",0,Crate!$R90))</f>
        <v/>
      </c>
      <c r="L1671" s="82">
        <f>IF(OR(Crate!$P90="",Crate!$P90=0),"",Crate!$Q90)</f>
        <v/>
      </c>
      <c r="M1671" s="82">
        <f>IF(OR(Crate!$P90="",Crate!$P90=0),"",Crate!$R90)</f>
        <v/>
      </c>
      <c r="N1671" s="81">
        <f>IF(OR(Crate!$P90="",Crate!$P90=0),"","مقابل")</f>
        <v/>
      </c>
      <c r="O1671" s="81">
        <f>IF(OR(Crate!$P90="",Crate!$P90=0),"",IFERROR(VLOOKUP(Crate!$P90,AcctTbl,3,0),""))</f>
        <v/>
      </c>
      <c r="P1671" s="82" t="inlineStr"/>
    </row>
    <row r="1672" ht="20.25" customHeight="1">
      <c r="A1672" s="80">
        <f>IF(OR(Crate!$E91="",Crate!$E91=0),"",Crate!$B91)</f>
        <v/>
      </c>
      <c r="B1672" s="80">
        <f>IF(OR(Crate!$E91="",Crate!$E91=0),"",Crate!$C91)</f>
        <v/>
      </c>
      <c r="C1672" s="80">
        <f>IF(OR(Crate!$E91="",Crate!$E91=0),"","سبد")</f>
        <v/>
      </c>
      <c r="D1672" s="80">
        <f>IF(OR(Crate!$E91="",Crate!$E91=0),"",Crate!$E91)</f>
        <v/>
      </c>
      <c r="E1672" s="81">
        <f>IF(OR(Crate!$E91="",Crate!$E91=0),"",Crate!$M91)</f>
        <v/>
      </c>
      <c r="G1672" s="82">
        <f>IF(OR(Crate!$E91="",Crate!$E91=0),"",Crate!$I91)</f>
        <v/>
      </c>
      <c r="J1672" s="82">
        <f>IF(OR(Crate!$E91="",Crate!$E91=0),"",Crate!$J91)</f>
        <v/>
      </c>
      <c r="K1672" s="82">
        <f>IF(OR(Crate!$E91="",Crate!$E91=0),"",IF(Crate!$N91="",0,Crate!$N91)+IF(Crate!$O91="",0,Crate!$O91))</f>
        <v/>
      </c>
      <c r="L1672" s="82">
        <f>IF(OR(Crate!$E91="",Crate!$E91=0),"",Crate!$N91)</f>
        <v/>
      </c>
      <c r="M1672" s="82">
        <f>IF(OR(Crate!$E91="",Crate!$E91=0),"",Crate!$O91)</f>
        <v/>
      </c>
      <c r="N1672" s="81">
        <f>IF(OR(Crate!$E91="",Crate!$E91=0),"",Crate!$D91)</f>
        <v/>
      </c>
      <c r="O1672" s="81">
        <f>IF(OR(Crate!$E91="",Crate!$E91=0),"",IFERROR(VLOOKUP(Crate!$E91,AcctTbl,3,0),""))</f>
        <v/>
      </c>
      <c r="P1672" s="82" t="inlineStr"/>
    </row>
    <row r="1673" ht="20.25" customHeight="1">
      <c r="A1673" s="80">
        <f>IF(OR(Crate!$P91="",Crate!$P91=0),"",Crate!$B91)</f>
        <v/>
      </c>
      <c r="B1673" s="80">
        <f>IF(OR(Crate!$P91="",Crate!$P91=0),"",Crate!$C91)</f>
        <v/>
      </c>
      <c r="C1673" s="80">
        <f>IF(OR(Crate!$P91="",Crate!$P91=0),"","سبد")</f>
        <v/>
      </c>
      <c r="D1673" s="80">
        <f>IF(OR(Crate!$P91="",Crate!$P91=0),"",Crate!$P91)</f>
        <v/>
      </c>
      <c r="E1673" s="81">
        <f>IF(OR(Crate!$P91="",Crate!$P91=0),"",IF(Crate!$P91="","","مقابل: "&amp;Crate!$D91))</f>
        <v/>
      </c>
      <c r="F1673" s="83" t="n"/>
      <c r="G1673" s="83" t="n"/>
      <c r="H1673" s="83" t="n"/>
      <c r="I1673" s="83" t="n"/>
      <c r="J1673" s="83" t="n"/>
      <c r="K1673" s="82">
        <f>IF(OR(Crate!$P91="",Crate!$P91=0),"",IF(Crate!$Q91="",0,Crate!$Q91)+IF(Crate!$R91="",0,Crate!$R91))</f>
        <v/>
      </c>
      <c r="L1673" s="82">
        <f>IF(OR(Crate!$P91="",Crate!$P91=0),"",Crate!$Q91)</f>
        <v/>
      </c>
      <c r="M1673" s="82">
        <f>IF(OR(Crate!$P91="",Crate!$P91=0),"",Crate!$R91)</f>
        <v/>
      </c>
      <c r="N1673" s="81">
        <f>IF(OR(Crate!$P91="",Crate!$P91=0),"","مقابل")</f>
        <v/>
      </c>
      <c r="O1673" s="81">
        <f>IF(OR(Crate!$P91="",Crate!$P91=0),"",IFERROR(VLOOKUP(Crate!$P91,AcctTbl,3,0),""))</f>
        <v/>
      </c>
      <c r="P1673" s="82" t="inlineStr"/>
    </row>
    <row r="1674" ht="20.25" customHeight="1">
      <c r="A1674" s="80">
        <f>IF(OR(Crate!$E92="",Crate!$E92=0),"",Crate!$B92)</f>
        <v/>
      </c>
      <c r="B1674" s="80">
        <f>IF(OR(Crate!$E92="",Crate!$E92=0),"",Crate!$C92)</f>
        <v/>
      </c>
      <c r="C1674" s="80">
        <f>IF(OR(Crate!$E92="",Crate!$E92=0),"","سبد")</f>
        <v/>
      </c>
      <c r="D1674" s="80">
        <f>IF(OR(Crate!$E92="",Crate!$E92=0),"",Crate!$E92)</f>
        <v/>
      </c>
      <c r="E1674" s="81">
        <f>IF(OR(Crate!$E92="",Crate!$E92=0),"",Crate!$M92)</f>
        <v/>
      </c>
      <c r="G1674" s="82">
        <f>IF(OR(Crate!$E92="",Crate!$E92=0),"",Crate!$I92)</f>
        <v/>
      </c>
      <c r="J1674" s="82">
        <f>IF(OR(Crate!$E92="",Crate!$E92=0),"",Crate!$J92)</f>
        <v/>
      </c>
      <c r="K1674" s="82">
        <f>IF(OR(Crate!$E92="",Crate!$E92=0),"",IF(Crate!$N92="",0,Crate!$N92)+IF(Crate!$O92="",0,Crate!$O92))</f>
        <v/>
      </c>
      <c r="L1674" s="82">
        <f>IF(OR(Crate!$E92="",Crate!$E92=0),"",Crate!$N92)</f>
        <v/>
      </c>
      <c r="M1674" s="82">
        <f>IF(OR(Crate!$E92="",Crate!$E92=0),"",Crate!$O92)</f>
        <v/>
      </c>
      <c r="N1674" s="81">
        <f>IF(OR(Crate!$E92="",Crate!$E92=0),"",Crate!$D92)</f>
        <v/>
      </c>
      <c r="O1674" s="81">
        <f>IF(OR(Crate!$E92="",Crate!$E92=0),"",IFERROR(VLOOKUP(Crate!$E92,AcctTbl,3,0),""))</f>
        <v/>
      </c>
      <c r="P1674" s="82" t="inlineStr"/>
    </row>
    <row r="1675" ht="20.25" customHeight="1">
      <c r="A1675" s="80">
        <f>IF(OR(Crate!$P92="",Crate!$P92=0),"",Crate!$B92)</f>
        <v/>
      </c>
      <c r="B1675" s="80">
        <f>IF(OR(Crate!$P92="",Crate!$P92=0),"",Crate!$C92)</f>
        <v/>
      </c>
      <c r="C1675" s="80">
        <f>IF(OR(Crate!$P92="",Crate!$P92=0),"","سبد")</f>
        <v/>
      </c>
      <c r="D1675" s="80">
        <f>IF(OR(Crate!$P92="",Crate!$P92=0),"",Crate!$P92)</f>
        <v/>
      </c>
      <c r="E1675" s="81">
        <f>IF(OR(Crate!$P92="",Crate!$P92=0),"",IF(Crate!$P92="","","مقابل: "&amp;Crate!$D92))</f>
        <v/>
      </c>
      <c r="F1675" s="83" t="n"/>
      <c r="G1675" s="83" t="n"/>
      <c r="H1675" s="83" t="n"/>
      <c r="I1675" s="83" t="n"/>
      <c r="J1675" s="83" t="n"/>
      <c r="K1675" s="82">
        <f>IF(OR(Crate!$P92="",Crate!$P92=0),"",IF(Crate!$Q92="",0,Crate!$Q92)+IF(Crate!$R92="",0,Crate!$R92))</f>
        <v/>
      </c>
      <c r="L1675" s="82">
        <f>IF(OR(Crate!$P92="",Crate!$P92=0),"",Crate!$Q92)</f>
        <v/>
      </c>
      <c r="M1675" s="82">
        <f>IF(OR(Crate!$P92="",Crate!$P92=0),"",Crate!$R92)</f>
        <v/>
      </c>
      <c r="N1675" s="81">
        <f>IF(OR(Crate!$P92="",Crate!$P92=0),"","مقابل")</f>
        <v/>
      </c>
      <c r="O1675" s="81">
        <f>IF(OR(Crate!$P92="",Crate!$P92=0),"",IFERROR(VLOOKUP(Crate!$P92,AcctTbl,3,0),""))</f>
        <v/>
      </c>
      <c r="P1675" s="82" t="inlineStr"/>
    </row>
    <row r="1676" ht="20.25" customHeight="1">
      <c r="A1676" s="80">
        <f>IF(OR(Crate!$E93="",Crate!$E93=0),"",Crate!$B93)</f>
        <v/>
      </c>
      <c r="B1676" s="80">
        <f>IF(OR(Crate!$E93="",Crate!$E93=0),"",Crate!$C93)</f>
        <v/>
      </c>
      <c r="C1676" s="80">
        <f>IF(OR(Crate!$E93="",Crate!$E93=0),"","سبد")</f>
        <v/>
      </c>
      <c r="D1676" s="80">
        <f>IF(OR(Crate!$E93="",Crate!$E93=0),"",Crate!$E93)</f>
        <v/>
      </c>
      <c r="E1676" s="81">
        <f>IF(OR(Crate!$E93="",Crate!$E93=0),"",Crate!$M93)</f>
        <v/>
      </c>
      <c r="G1676" s="82">
        <f>IF(OR(Crate!$E93="",Crate!$E93=0),"",Crate!$I93)</f>
        <v/>
      </c>
      <c r="J1676" s="82">
        <f>IF(OR(Crate!$E93="",Crate!$E93=0),"",Crate!$J93)</f>
        <v/>
      </c>
      <c r="K1676" s="82">
        <f>IF(OR(Crate!$E93="",Crate!$E93=0),"",IF(Crate!$N93="",0,Crate!$N93)+IF(Crate!$O93="",0,Crate!$O93))</f>
        <v/>
      </c>
      <c r="L1676" s="82">
        <f>IF(OR(Crate!$E93="",Crate!$E93=0),"",Crate!$N93)</f>
        <v/>
      </c>
      <c r="M1676" s="82">
        <f>IF(OR(Crate!$E93="",Crate!$E93=0),"",Crate!$O93)</f>
        <v/>
      </c>
      <c r="N1676" s="81">
        <f>IF(OR(Crate!$E93="",Crate!$E93=0),"",Crate!$D93)</f>
        <v/>
      </c>
      <c r="O1676" s="81">
        <f>IF(OR(Crate!$E93="",Crate!$E93=0),"",IFERROR(VLOOKUP(Crate!$E93,AcctTbl,3,0),""))</f>
        <v/>
      </c>
      <c r="P1676" s="82" t="inlineStr"/>
    </row>
    <row r="1677" ht="20.25" customHeight="1">
      <c r="A1677" s="80">
        <f>IF(OR(Crate!$P93="",Crate!$P93=0),"",Crate!$B93)</f>
        <v/>
      </c>
      <c r="B1677" s="80">
        <f>IF(OR(Crate!$P93="",Crate!$P93=0),"",Crate!$C93)</f>
        <v/>
      </c>
      <c r="C1677" s="80">
        <f>IF(OR(Crate!$P93="",Crate!$P93=0),"","سبد")</f>
        <v/>
      </c>
      <c r="D1677" s="80">
        <f>IF(OR(Crate!$P93="",Crate!$P93=0),"",Crate!$P93)</f>
        <v/>
      </c>
      <c r="E1677" s="81">
        <f>IF(OR(Crate!$P93="",Crate!$P93=0),"",IF(Crate!$P93="","","مقابل: "&amp;Crate!$D93))</f>
        <v/>
      </c>
      <c r="F1677" s="83" t="n"/>
      <c r="G1677" s="83" t="n"/>
      <c r="H1677" s="83" t="n"/>
      <c r="I1677" s="83" t="n"/>
      <c r="J1677" s="83" t="n"/>
      <c r="K1677" s="82">
        <f>IF(OR(Crate!$P93="",Crate!$P93=0),"",IF(Crate!$Q93="",0,Crate!$Q93)+IF(Crate!$R93="",0,Crate!$R93))</f>
        <v/>
      </c>
      <c r="L1677" s="82">
        <f>IF(OR(Crate!$P93="",Crate!$P93=0),"",Crate!$Q93)</f>
        <v/>
      </c>
      <c r="M1677" s="82">
        <f>IF(OR(Crate!$P93="",Crate!$P93=0),"",Crate!$R93)</f>
        <v/>
      </c>
      <c r="N1677" s="81">
        <f>IF(OR(Crate!$P93="",Crate!$P93=0),"","مقابل")</f>
        <v/>
      </c>
      <c r="O1677" s="81">
        <f>IF(OR(Crate!$P93="",Crate!$P93=0),"",IFERROR(VLOOKUP(Crate!$P93,AcctTbl,3,0),""))</f>
        <v/>
      </c>
      <c r="P1677" s="82" t="inlineStr"/>
    </row>
    <row r="1678" ht="20.25" customHeight="1">
      <c r="A1678" s="80">
        <f>IF(OR(Crate!$E94="",Crate!$E94=0),"",Crate!$B94)</f>
        <v/>
      </c>
      <c r="B1678" s="80">
        <f>IF(OR(Crate!$E94="",Crate!$E94=0),"",Crate!$C94)</f>
        <v/>
      </c>
      <c r="C1678" s="80">
        <f>IF(OR(Crate!$E94="",Crate!$E94=0),"","سبد")</f>
        <v/>
      </c>
      <c r="D1678" s="80">
        <f>IF(OR(Crate!$E94="",Crate!$E94=0),"",Crate!$E94)</f>
        <v/>
      </c>
      <c r="E1678" s="81">
        <f>IF(OR(Crate!$E94="",Crate!$E94=0),"",Crate!$M94)</f>
        <v/>
      </c>
      <c r="G1678" s="82">
        <f>IF(OR(Crate!$E94="",Crate!$E94=0),"",Crate!$I94)</f>
        <v/>
      </c>
      <c r="J1678" s="82">
        <f>IF(OR(Crate!$E94="",Crate!$E94=0),"",Crate!$J94)</f>
        <v/>
      </c>
      <c r="K1678" s="82">
        <f>IF(OR(Crate!$E94="",Crate!$E94=0),"",IF(Crate!$N94="",0,Crate!$N94)+IF(Crate!$O94="",0,Crate!$O94))</f>
        <v/>
      </c>
      <c r="L1678" s="82">
        <f>IF(OR(Crate!$E94="",Crate!$E94=0),"",Crate!$N94)</f>
        <v/>
      </c>
      <c r="M1678" s="82">
        <f>IF(OR(Crate!$E94="",Crate!$E94=0),"",Crate!$O94)</f>
        <v/>
      </c>
      <c r="N1678" s="81">
        <f>IF(OR(Crate!$E94="",Crate!$E94=0),"",Crate!$D94)</f>
        <v/>
      </c>
      <c r="O1678" s="81">
        <f>IF(OR(Crate!$E94="",Crate!$E94=0),"",IFERROR(VLOOKUP(Crate!$E94,AcctTbl,3,0),""))</f>
        <v/>
      </c>
      <c r="P1678" s="82" t="inlineStr"/>
    </row>
    <row r="1679" ht="20.25" customHeight="1">
      <c r="A1679" s="80">
        <f>IF(OR(Crate!$P94="",Crate!$P94=0),"",Crate!$B94)</f>
        <v/>
      </c>
      <c r="B1679" s="80">
        <f>IF(OR(Crate!$P94="",Crate!$P94=0),"",Crate!$C94)</f>
        <v/>
      </c>
      <c r="C1679" s="80">
        <f>IF(OR(Crate!$P94="",Crate!$P94=0),"","سبد")</f>
        <v/>
      </c>
      <c r="D1679" s="80">
        <f>IF(OR(Crate!$P94="",Crate!$P94=0),"",Crate!$P94)</f>
        <v/>
      </c>
      <c r="E1679" s="81">
        <f>IF(OR(Crate!$P94="",Crate!$P94=0),"",IF(Crate!$P94="","","مقابل: "&amp;Crate!$D94))</f>
        <v/>
      </c>
      <c r="F1679" s="83" t="n"/>
      <c r="G1679" s="83" t="n"/>
      <c r="H1679" s="83" t="n"/>
      <c r="I1679" s="83" t="n"/>
      <c r="J1679" s="83" t="n"/>
      <c r="K1679" s="82">
        <f>IF(OR(Crate!$P94="",Crate!$P94=0),"",IF(Crate!$Q94="",0,Crate!$Q94)+IF(Crate!$R94="",0,Crate!$R94))</f>
        <v/>
      </c>
      <c r="L1679" s="82">
        <f>IF(OR(Crate!$P94="",Crate!$P94=0),"",Crate!$Q94)</f>
        <v/>
      </c>
      <c r="M1679" s="82">
        <f>IF(OR(Crate!$P94="",Crate!$P94=0),"",Crate!$R94)</f>
        <v/>
      </c>
      <c r="N1679" s="81">
        <f>IF(OR(Crate!$P94="",Crate!$P94=0),"","مقابل")</f>
        <v/>
      </c>
      <c r="O1679" s="81">
        <f>IF(OR(Crate!$P94="",Crate!$P94=0),"",IFERROR(VLOOKUP(Crate!$P94,AcctTbl,3,0),""))</f>
        <v/>
      </c>
      <c r="P1679" s="82" t="inlineStr"/>
    </row>
    <row r="1680" ht="20.25" customHeight="1">
      <c r="A1680" s="80">
        <f>IF(OR(Crate!$E95="",Crate!$E95=0),"",Crate!$B95)</f>
        <v/>
      </c>
      <c r="B1680" s="80">
        <f>IF(OR(Crate!$E95="",Crate!$E95=0),"",Crate!$C95)</f>
        <v/>
      </c>
      <c r="C1680" s="80">
        <f>IF(OR(Crate!$E95="",Crate!$E95=0),"","سبد")</f>
        <v/>
      </c>
      <c r="D1680" s="80">
        <f>IF(OR(Crate!$E95="",Crate!$E95=0),"",Crate!$E95)</f>
        <v/>
      </c>
      <c r="E1680" s="81">
        <f>IF(OR(Crate!$E95="",Crate!$E95=0),"",Crate!$M95)</f>
        <v/>
      </c>
      <c r="G1680" s="82">
        <f>IF(OR(Crate!$E95="",Crate!$E95=0),"",Crate!$I95)</f>
        <v/>
      </c>
      <c r="J1680" s="82">
        <f>IF(OR(Crate!$E95="",Crate!$E95=0),"",Crate!$J95)</f>
        <v/>
      </c>
      <c r="K1680" s="82">
        <f>IF(OR(Crate!$E95="",Crate!$E95=0),"",IF(Crate!$N95="",0,Crate!$N95)+IF(Crate!$O95="",0,Crate!$O95))</f>
        <v/>
      </c>
      <c r="L1680" s="82">
        <f>IF(OR(Crate!$E95="",Crate!$E95=0),"",Crate!$N95)</f>
        <v/>
      </c>
      <c r="M1680" s="82">
        <f>IF(OR(Crate!$E95="",Crate!$E95=0),"",Crate!$O95)</f>
        <v/>
      </c>
      <c r="N1680" s="81">
        <f>IF(OR(Crate!$E95="",Crate!$E95=0),"",Crate!$D95)</f>
        <v/>
      </c>
      <c r="O1680" s="81">
        <f>IF(OR(Crate!$E95="",Crate!$E95=0),"",IFERROR(VLOOKUP(Crate!$E95,AcctTbl,3,0),""))</f>
        <v/>
      </c>
      <c r="P1680" s="82" t="inlineStr"/>
    </row>
    <row r="1681" ht="20.25" customHeight="1">
      <c r="A1681" s="80">
        <f>IF(OR(Crate!$P95="",Crate!$P95=0),"",Crate!$B95)</f>
        <v/>
      </c>
      <c r="B1681" s="80">
        <f>IF(OR(Crate!$P95="",Crate!$P95=0),"",Crate!$C95)</f>
        <v/>
      </c>
      <c r="C1681" s="80">
        <f>IF(OR(Crate!$P95="",Crate!$P95=0),"","سبد")</f>
        <v/>
      </c>
      <c r="D1681" s="80">
        <f>IF(OR(Crate!$P95="",Crate!$P95=0),"",Crate!$P95)</f>
        <v/>
      </c>
      <c r="E1681" s="81">
        <f>IF(OR(Crate!$P95="",Crate!$P95=0),"",IF(Crate!$P95="","","مقابل: "&amp;Crate!$D95))</f>
        <v/>
      </c>
      <c r="F1681" s="83" t="n"/>
      <c r="G1681" s="83" t="n"/>
      <c r="H1681" s="83" t="n"/>
      <c r="I1681" s="83" t="n"/>
      <c r="J1681" s="83" t="n"/>
      <c r="K1681" s="82">
        <f>IF(OR(Crate!$P95="",Crate!$P95=0),"",IF(Crate!$Q95="",0,Crate!$Q95)+IF(Crate!$R95="",0,Crate!$R95))</f>
        <v/>
      </c>
      <c r="L1681" s="82">
        <f>IF(OR(Crate!$P95="",Crate!$P95=0),"",Crate!$Q95)</f>
        <v/>
      </c>
      <c r="M1681" s="82">
        <f>IF(OR(Crate!$P95="",Crate!$P95=0),"",Crate!$R95)</f>
        <v/>
      </c>
      <c r="N1681" s="81">
        <f>IF(OR(Crate!$P95="",Crate!$P95=0),"","مقابل")</f>
        <v/>
      </c>
      <c r="O1681" s="81">
        <f>IF(OR(Crate!$P95="",Crate!$P95=0),"",IFERROR(VLOOKUP(Crate!$P95,AcctTbl,3,0),""))</f>
        <v/>
      </c>
      <c r="P1681" s="82" t="inlineStr"/>
    </row>
    <row r="1682" ht="20.25" customHeight="1">
      <c r="A1682" s="80">
        <f>IF(OR(Crate!$E96="",Crate!$E96=0),"",Crate!$B96)</f>
        <v/>
      </c>
      <c r="B1682" s="80">
        <f>IF(OR(Crate!$E96="",Crate!$E96=0),"",Crate!$C96)</f>
        <v/>
      </c>
      <c r="C1682" s="80">
        <f>IF(OR(Crate!$E96="",Crate!$E96=0),"","سبد")</f>
        <v/>
      </c>
      <c r="D1682" s="80">
        <f>IF(OR(Crate!$E96="",Crate!$E96=0),"",Crate!$E96)</f>
        <v/>
      </c>
      <c r="E1682" s="81">
        <f>IF(OR(Crate!$E96="",Crate!$E96=0),"",Crate!$M96)</f>
        <v/>
      </c>
      <c r="G1682" s="82">
        <f>IF(OR(Crate!$E96="",Crate!$E96=0),"",Crate!$I96)</f>
        <v/>
      </c>
      <c r="J1682" s="82">
        <f>IF(OR(Crate!$E96="",Crate!$E96=0),"",Crate!$J96)</f>
        <v/>
      </c>
      <c r="K1682" s="82">
        <f>IF(OR(Crate!$E96="",Crate!$E96=0),"",IF(Crate!$N96="",0,Crate!$N96)+IF(Crate!$O96="",0,Crate!$O96))</f>
        <v/>
      </c>
      <c r="L1682" s="82">
        <f>IF(OR(Crate!$E96="",Crate!$E96=0),"",Crate!$N96)</f>
        <v/>
      </c>
      <c r="M1682" s="82">
        <f>IF(OR(Crate!$E96="",Crate!$E96=0),"",Crate!$O96)</f>
        <v/>
      </c>
      <c r="N1682" s="81">
        <f>IF(OR(Crate!$E96="",Crate!$E96=0),"",Crate!$D96)</f>
        <v/>
      </c>
      <c r="O1682" s="81">
        <f>IF(OR(Crate!$E96="",Crate!$E96=0),"",IFERROR(VLOOKUP(Crate!$E96,AcctTbl,3,0),""))</f>
        <v/>
      </c>
      <c r="P1682" s="82" t="inlineStr"/>
    </row>
    <row r="1683" ht="20.25" customHeight="1">
      <c r="A1683" s="80">
        <f>IF(OR(Crate!$P96="",Crate!$P96=0),"",Crate!$B96)</f>
        <v/>
      </c>
      <c r="B1683" s="80">
        <f>IF(OR(Crate!$P96="",Crate!$P96=0),"",Crate!$C96)</f>
        <v/>
      </c>
      <c r="C1683" s="80">
        <f>IF(OR(Crate!$P96="",Crate!$P96=0),"","سبد")</f>
        <v/>
      </c>
      <c r="D1683" s="80">
        <f>IF(OR(Crate!$P96="",Crate!$P96=0),"",Crate!$P96)</f>
        <v/>
      </c>
      <c r="E1683" s="81">
        <f>IF(OR(Crate!$P96="",Crate!$P96=0),"",IF(Crate!$P96="","","مقابل: "&amp;Crate!$D96))</f>
        <v/>
      </c>
      <c r="F1683" s="83" t="n"/>
      <c r="G1683" s="83" t="n"/>
      <c r="H1683" s="83" t="n"/>
      <c r="I1683" s="83" t="n"/>
      <c r="J1683" s="83" t="n"/>
      <c r="K1683" s="82">
        <f>IF(OR(Crate!$P96="",Crate!$P96=0),"",IF(Crate!$Q96="",0,Crate!$Q96)+IF(Crate!$R96="",0,Crate!$R96))</f>
        <v/>
      </c>
      <c r="L1683" s="82">
        <f>IF(OR(Crate!$P96="",Crate!$P96=0),"",Crate!$Q96)</f>
        <v/>
      </c>
      <c r="M1683" s="82">
        <f>IF(OR(Crate!$P96="",Crate!$P96=0),"",Crate!$R96)</f>
        <v/>
      </c>
      <c r="N1683" s="81">
        <f>IF(OR(Crate!$P96="",Crate!$P96=0),"","مقابل")</f>
        <v/>
      </c>
      <c r="O1683" s="81">
        <f>IF(OR(Crate!$P96="",Crate!$P96=0),"",IFERROR(VLOOKUP(Crate!$P96,AcctTbl,3,0),""))</f>
        <v/>
      </c>
      <c r="P1683" s="82" t="inlineStr"/>
    </row>
    <row r="1684" ht="20.25" customHeight="1">
      <c r="A1684" s="80">
        <f>IF(OR(Crate!$E97="",Crate!$E97=0),"",Crate!$B97)</f>
        <v/>
      </c>
      <c r="B1684" s="80">
        <f>IF(OR(Crate!$E97="",Crate!$E97=0),"",Crate!$C97)</f>
        <v/>
      </c>
      <c r="C1684" s="80">
        <f>IF(OR(Crate!$E97="",Crate!$E97=0),"","سبد")</f>
        <v/>
      </c>
      <c r="D1684" s="80">
        <f>IF(OR(Crate!$E97="",Crate!$E97=0),"",Crate!$E97)</f>
        <v/>
      </c>
      <c r="E1684" s="81">
        <f>IF(OR(Crate!$E97="",Crate!$E97=0),"",Crate!$M97)</f>
        <v/>
      </c>
      <c r="G1684" s="82">
        <f>IF(OR(Crate!$E97="",Crate!$E97=0),"",Crate!$I97)</f>
        <v/>
      </c>
      <c r="J1684" s="82">
        <f>IF(OR(Crate!$E97="",Crate!$E97=0),"",Crate!$J97)</f>
        <v/>
      </c>
      <c r="K1684" s="82">
        <f>IF(OR(Crate!$E97="",Crate!$E97=0),"",IF(Crate!$N97="",0,Crate!$N97)+IF(Crate!$O97="",0,Crate!$O97))</f>
        <v/>
      </c>
      <c r="L1684" s="82">
        <f>IF(OR(Crate!$E97="",Crate!$E97=0),"",Crate!$N97)</f>
        <v/>
      </c>
      <c r="M1684" s="82">
        <f>IF(OR(Crate!$E97="",Crate!$E97=0),"",Crate!$O97)</f>
        <v/>
      </c>
      <c r="N1684" s="81">
        <f>IF(OR(Crate!$E97="",Crate!$E97=0),"",Crate!$D97)</f>
        <v/>
      </c>
      <c r="O1684" s="81">
        <f>IF(OR(Crate!$E97="",Crate!$E97=0),"",IFERROR(VLOOKUP(Crate!$E97,AcctTbl,3,0),""))</f>
        <v/>
      </c>
      <c r="P1684" s="82" t="inlineStr"/>
    </row>
    <row r="1685" ht="20.25" customHeight="1">
      <c r="A1685" s="80">
        <f>IF(OR(Crate!$P97="",Crate!$P97=0),"",Crate!$B97)</f>
        <v/>
      </c>
      <c r="B1685" s="80">
        <f>IF(OR(Crate!$P97="",Crate!$P97=0),"",Crate!$C97)</f>
        <v/>
      </c>
      <c r="C1685" s="80">
        <f>IF(OR(Crate!$P97="",Crate!$P97=0),"","سبد")</f>
        <v/>
      </c>
      <c r="D1685" s="80">
        <f>IF(OR(Crate!$P97="",Crate!$P97=0),"",Crate!$P97)</f>
        <v/>
      </c>
      <c r="E1685" s="81">
        <f>IF(OR(Crate!$P97="",Crate!$P97=0),"",IF(Crate!$P97="","","مقابل: "&amp;Crate!$D97))</f>
        <v/>
      </c>
      <c r="F1685" s="83" t="n"/>
      <c r="G1685" s="83" t="n"/>
      <c r="H1685" s="83" t="n"/>
      <c r="I1685" s="83" t="n"/>
      <c r="J1685" s="83" t="n"/>
      <c r="K1685" s="82">
        <f>IF(OR(Crate!$P97="",Crate!$P97=0),"",IF(Crate!$Q97="",0,Crate!$Q97)+IF(Crate!$R97="",0,Crate!$R97))</f>
        <v/>
      </c>
      <c r="L1685" s="82">
        <f>IF(OR(Crate!$P97="",Crate!$P97=0),"",Crate!$Q97)</f>
        <v/>
      </c>
      <c r="M1685" s="82">
        <f>IF(OR(Crate!$P97="",Crate!$P97=0),"",Crate!$R97)</f>
        <v/>
      </c>
      <c r="N1685" s="81">
        <f>IF(OR(Crate!$P97="",Crate!$P97=0),"","مقابل")</f>
        <v/>
      </c>
      <c r="O1685" s="81">
        <f>IF(OR(Crate!$P97="",Crate!$P97=0),"",IFERROR(VLOOKUP(Crate!$P97,AcctTbl,3,0),""))</f>
        <v/>
      </c>
      <c r="P1685" s="82" t="inlineStr"/>
    </row>
    <row r="1686" ht="20.25" customHeight="1">
      <c r="A1686" s="80">
        <f>IF(OR(Crate!$E98="",Crate!$E98=0),"",Crate!$B98)</f>
        <v/>
      </c>
      <c r="B1686" s="80">
        <f>IF(OR(Crate!$E98="",Crate!$E98=0),"",Crate!$C98)</f>
        <v/>
      </c>
      <c r="C1686" s="80">
        <f>IF(OR(Crate!$E98="",Crate!$E98=0),"","سبد")</f>
        <v/>
      </c>
      <c r="D1686" s="80">
        <f>IF(OR(Crate!$E98="",Crate!$E98=0),"",Crate!$E98)</f>
        <v/>
      </c>
      <c r="E1686" s="81">
        <f>IF(OR(Crate!$E98="",Crate!$E98=0),"",Crate!$M98)</f>
        <v/>
      </c>
      <c r="G1686" s="82">
        <f>IF(OR(Crate!$E98="",Crate!$E98=0),"",Crate!$I98)</f>
        <v/>
      </c>
      <c r="J1686" s="82">
        <f>IF(OR(Crate!$E98="",Crate!$E98=0),"",Crate!$J98)</f>
        <v/>
      </c>
      <c r="K1686" s="82">
        <f>IF(OR(Crate!$E98="",Crate!$E98=0),"",IF(Crate!$N98="",0,Crate!$N98)+IF(Crate!$O98="",0,Crate!$O98))</f>
        <v/>
      </c>
      <c r="L1686" s="82">
        <f>IF(OR(Crate!$E98="",Crate!$E98=0),"",Crate!$N98)</f>
        <v/>
      </c>
      <c r="M1686" s="82">
        <f>IF(OR(Crate!$E98="",Crate!$E98=0),"",Crate!$O98)</f>
        <v/>
      </c>
      <c r="N1686" s="81">
        <f>IF(OR(Crate!$E98="",Crate!$E98=0),"",Crate!$D98)</f>
        <v/>
      </c>
      <c r="O1686" s="81">
        <f>IF(OR(Crate!$E98="",Crate!$E98=0),"",IFERROR(VLOOKUP(Crate!$E98,AcctTbl,3,0),""))</f>
        <v/>
      </c>
      <c r="P1686" s="82" t="inlineStr"/>
    </row>
    <row r="1687" ht="20.25" customHeight="1">
      <c r="A1687" s="80">
        <f>IF(OR(Crate!$P98="",Crate!$P98=0),"",Crate!$B98)</f>
        <v/>
      </c>
      <c r="B1687" s="80">
        <f>IF(OR(Crate!$P98="",Crate!$P98=0),"",Crate!$C98)</f>
        <v/>
      </c>
      <c r="C1687" s="80">
        <f>IF(OR(Crate!$P98="",Crate!$P98=0),"","سبد")</f>
        <v/>
      </c>
      <c r="D1687" s="80">
        <f>IF(OR(Crate!$P98="",Crate!$P98=0),"",Crate!$P98)</f>
        <v/>
      </c>
      <c r="E1687" s="81">
        <f>IF(OR(Crate!$P98="",Crate!$P98=0),"",IF(Crate!$P98="","","مقابل: "&amp;Crate!$D98))</f>
        <v/>
      </c>
      <c r="F1687" s="83" t="n"/>
      <c r="G1687" s="83" t="n"/>
      <c r="H1687" s="83" t="n"/>
      <c r="I1687" s="83" t="n"/>
      <c r="J1687" s="83" t="n"/>
      <c r="K1687" s="82">
        <f>IF(OR(Crate!$P98="",Crate!$P98=0),"",IF(Crate!$Q98="",0,Crate!$Q98)+IF(Crate!$R98="",0,Crate!$R98))</f>
        <v/>
      </c>
      <c r="L1687" s="82">
        <f>IF(OR(Crate!$P98="",Crate!$P98=0),"",Crate!$Q98)</f>
        <v/>
      </c>
      <c r="M1687" s="82">
        <f>IF(OR(Crate!$P98="",Crate!$P98=0),"",Crate!$R98)</f>
        <v/>
      </c>
      <c r="N1687" s="81">
        <f>IF(OR(Crate!$P98="",Crate!$P98=0),"","مقابل")</f>
        <v/>
      </c>
      <c r="O1687" s="81">
        <f>IF(OR(Crate!$P98="",Crate!$P98=0),"",IFERROR(VLOOKUP(Crate!$P98,AcctTbl,3,0),""))</f>
        <v/>
      </c>
      <c r="P1687" s="82" t="inlineStr"/>
    </row>
    <row r="1688" ht="20.25" customHeight="1">
      <c r="A1688" s="80">
        <f>IF(OR(Crate!$E99="",Crate!$E99=0),"",Crate!$B99)</f>
        <v/>
      </c>
      <c r="B1688" s="80">
        <f>IF(OR(Crate!$E99="",Crate!$E99=0),"",Crate!$C99)</f>
        <v/>
      </c>
      <c r="C1688" s="80">
        <f>IF(OR(Crate!$E99="",Crate!$E99=0),"","سبد")</f>
        <v/>
      </c>
      <c r="D1688" s="80">
        <f>IF(OR(Crate!$E99="",Crate!$E99=0),"",Crate!$E99)</f>
        <v/>
      </c>
      <c r="E1688" s="81">
        <f>IF(OR(Crate!$E99="",Crate!$E99=0),"",Crate!$M99)</f>
        <v/>
      </c>
      <c r="G1688" s="82">
        <f>IF(OR(Crate!$E99="",Crate!$E99=0),"",Crate!$I99)</f>
        <v/>
      </c>
      <c r="J1688" s="82">
        <f>IF(OR(Crate!$E99="",Crate!$E99=0),"",Crate!$J99)</f>
        <v/>
      </c>
      <c r="K1688" s="82">
        <f>IF(OR(Crate!$E99="",Crate!$E99=0),"",IF(Crate!$N99="",0,Crate!$N99)+IF(Crate!$O99="",0,Crate!$O99))</f>
        <v/>
      </c>
      <c r="L1688" s="82">
        <f>IF(OR(Crate!$E99="",Crate!$E99=0),"",Crate!$N99)</f>
        <v/>
      </c>
      <c r="M1688" s="82">
        <f>IF(OR(Crate!$E99="",Crate!$E99=0),"",Crate!$O99)</f>
        <v/>
      </c>
      <c r="N1688" s="81">
        <f>IF(OR(Crate!$E99="",Crate!$E99=0),"",Crate!$D99)</f>
        <v/>
      </c>
      <c r="O1688" s="81">
        <f>IF(OR(Crate!$E99="",Crate!$E99=0),"",IFERROR(VLOOKUP(Crate!$E99,AcctTbl,3,0),""))</f>
        <v/>
      </c>
      <c r="P1688" s="82" t="inlineStr"/>
    </row>
    <row r="1689" ht="20.25" customHeight="1">
      <c r="A1689" s="80">
        <f>IF(OR(Crate!$P99="",Crate!$P99=0),"",Crate!$B99)</f>
        <v/>
      </c>
      <c r="B1689" s="80">
        <f>IF(OR(Crate!$P99="",Crate!$P99=0),"",Crate!$C99)</f>
        <v/>
      </c>
      <c r="C1689" s="80">
        <f>IF(OR(Crate!$P99="",Crate!$P99=0),"","سبد")</f>
        <v/>
      </c>
      <c r="D1689" s="80">
        <f>IF(OR(Crate!$P99="",Crate!$P99=0),"",Crate!$P99)</f>
        <v/>
      </c>
      <c r="E1689" s="81">
        <f>IF(OR(Crate!$P99="",Crate!$P99=0),"",IF(Crate!$P99="","","مقابل: "&amp;Crate!$D99))</f>
        <v/>
      </c>
      <c r="F1689" s="83" t="n"/>
      <c r="G1689" s="83" t="n"/>
      <c r="H1689" s="83" t="n"/>
      <c r="I1689" s="83" t="n"/>
      <c r="J1689" s="83" t="n"/>
      <c r="K1689" s="82">
        <f>IF(OR(Crate!$P99="",Crate!$P99=0),"",IF(Crate!$Q99="",0,Crate!$Q99)+IF(Crate!$R99="",0,Crate!$R99))</f>
        <v/>
      </c>
      <c r="L1689" s="82">
        <f>IF(OR(Crate!$P99="",Crate!$P99=0),"",Crate!$Q99)</f>
        <v/>
      </c>
      <c r="M1689" s="82">
        <f>IF(OR(Crate!$P99="",Crate!$P99=0),"",Crate!$R99)</f>
        <v/>
      </c>
      <c r="N1689" s="81">
        <f>IF(OR(Crate!$P99="",Crate!$P99=0),"","مقابل")</f>
        <v/>
      </c>
      <c r="O1689" s="81">
        <f>IF(OR(Crate!$P99="",Crate!$P99=0),"",IFERROR(VLOOKUP(Crate!$P99,AcctTbl,3,0),""))</f>
        <v/>
      </c>
      <c r="P1689" s="82" t="inlineStr"/>
    </row>
    <row r="1690" ht="20.25" customHeight="1">
      <c r="A1690" s="80">
        <f>IF(OR(Crate!$E100="",Crate!$E100=0),"",Crate!$B100)</f>
        <v/>
      </c>
      <c r="B1690" s="80">
        <f>IF(OR(Crate!$E100="",Crate!$E100=0),"",Crate!$C100)</f>
        <v/>
      </c>
      <c r="C1690" s="80">
        <f>IF(OR(Crate!$E100="",Crate!$E100=0),"","سبد")</f>
        <v/>
      </c>
      <c r="D1690" s="80">
        <f>IF(OR(Crate!$E100="",Crate!$E100=0),"",Crate!$E100)</f>
        <v/>
      </c>
      <c r="E1690" s="81">
        <f>IF(OR(Crate!$E100="",Crate!$E100=0),"",Crate!$M100)</f>
        <v/>
      </c>
      <c r="G1690" s="82">
        <f>IF(OR(Crate!$E100="",Crate!$E100=0),"",Crate!$I100)</f>
        <v/>
      </c>
      <c r="J1690" s="82">
        <f>IF(OR(Crate!$E100="",Crate!$E100=0),"",Crate!$J100)</f>
        <v/>
      </c>
      <c r="K1690" s="82">
        <f>IF(OR(Crate!$E100="",Crate!$E100=0),"",IF(Crate!$N100="",0,Crate!$N100)+IF(Crate!$O100="",0,Crate!$O100))</f>
        <v/>
      </c>
      <c r="L1690" s="82">
        <f>IF(OR(Crate!$E100="",Crate!$E100=0),"",Crate!$N100)</f>
        <v/>
      </c>
      <c r="M1690" s="82">
        <f>IF(OR(Crate!$E100="",Crate!$E100=0),"",Crate!$O100)</f>
        <v/>
      </c>
      <c r="N1690" s="81">
        <f>IF(OR(Crate!$E100="",Crate!$E100=0),"",Crate!$D100)</f>
        <v/>
      </c>
      <c r="O1690" s="81">
        <f>IF(OR(Crate!$E100="",Crate!$E100=0),"",IFERROR(VLOOKUP(Crate!$E100,AcctTbl,3,0),""))</f>
        <v/>
      </c>
      <c r="P1690" s="82" t="inlineStr"/>
    </row>
    <row r="1691" ht="20.25" customHeight="1">
      <c r="A1691" s="80">
        <f>IF(OR(Crate!$P100="",Crate!$P100=0),"",Crate!$B100)</f>
        <v/>
      </c>
      <c r="B1691" s="80">
        <f>IF(OR(Crate!$P100="",Crate!$P100=0),"",Crate!$C100)</f>
        <v/>
      </c>
      <c r="C1691" s="80">
        <f>IF(OR(Crate!$P100="",Crate!$P100=0),"","سبد")</f>
        <v/>
      </c>
      <c r="D1691" s="80">
        <f>IF(OR(Crate!$P100="",Crate!$P100=0),"",Crate!$P100)</f>
        <v/>
      </c>
      <c r="E1691" s="81">
        <f>IF(OR(Crate!$P100="",Crate!$P100=0),"",IF(Crate!$P100="","","مقابل: "&amp;Crate!$D100))</f>
        <v/>
      </c>
      <c r="F1691" s="83" t="n"/>
      <c r="G1691" s="83" t="n"/>
      <c r="H1691" s="83" t="n"/>
      <c r="I1691" s="83" t="n"/>
      <c r="J1691" s="83" t="n"/>
      <c r="K1691" s="82">
        <f>IF(OR(Crate!$P100="",Crate!$P100=0),"",IF(Crate!$Q100="",0,Crate!$Q100)+IF(Crate!$R100="",0,Crate!$R100))</f>
        <v/>
      </c>
      <c r="L1691" s="82">
        <f>IF(OR(Crate!$P100="",Crate!$P100=0),"",Crate!$Q100)</f>
        <v/>
      </c>
      <c r="M1691" s="82">
        <f>IF(OR(Crate!$P100="",Crate!$P100=0),"",Crate!$R100)</f>
        <v/>
      </c>
      <c r="N1691" s="81">
        <f>IF(OR(Crate!$P100="",Crate!$P100=0),"","مقابل")</f>
        <v/>
      </c>
      <c r="O1691" s="81">
        <f>IF(OR(Crate!$P100="",Crate!$P100=0),"",IFERROR(VLOOKUP(Crate!$P100,AcctTbl,3,0),""))</f>
        <v/>
      </c>
      <c r="P1691" s="82" t="inlineStr"/>
    </row>
    <row r="1692" ht="20.25" customHeight="1">
      <c r="A1692" s="80">
        <f>IF(OR(Crate!$E101="",Crate!$E101=0),"",Crate!$B101)</f>
        <v/>
      </c>
      <c r="B1692" s="80">
        <f>IF(OR(Crate!$E101="",Crate!$E101=0),"",Crate!$C101)</f>
        <v/>
      </c>
      <c r="C1692" s="80">
        <f>IF(OR(Crate!$E101="",Crate!$E101=0),"","سبد")</f>
        <v/>
      </c>
      <c r="D1692" s="80">
        <f>IF(OR(Crate!$E101="",Crate!$E101=0),"",Crate!$E101)</f>
        <v/>
      </c>
      <c r="E1692" s="81">
        <f>IF(OR(Crate!$E101="",Crate!$E101=0),"",Crate!$M101)</f>
        <v/>
      </c>
      <c r="G1692" s="82">
        <f>IF(OR(Crate!$E101="",Crate!$E101=0),"",Crate!$I101)</f>
        <v/>
      </c>
      <c r="J1692" s="82">
        <f>IF(OR(Crate!$E101="",Crate!$E101=0),"",Crate!$J101)</f>
        <v/>
      </c>
      <c r="K1692" s="82">
        <f>IF(OR(Crate!$E101="",Crate!$E101=0),"",IF(Crate!$N101="",0,Crate!$N101)+IF(Crate!$O101="",0,Crate!$O101))</f>
        <v/>
      </c>
      <c r="L1692" s="82">
        <f>IF(OR(Crate!$E101="",Crate!$E101=0),"",Crate!$N101)</f>
        <v/>
      </c>
      <c r="M1692" s="82">
        <f>IF(OR(Crate!$E101="",Crate!$E101=0),"",Crate!$O101)</f>
        <v/>
      </c>
      <c r="N1692" s="81">
        <f>IF(OR(Crate!$E101="",Crate!$E101=0),"",Crate!$D101)</f>
        <v/>
      </c>
      <c r="O1692" s="81">
        <f>IF(OR(Crate!$E101="",Crate!$E101=0),"",IFERROR(VLOOKUP(Crate!$E101,AcctTbl,3,0),""))</f>
        <v/>
      </c>
      <c r="P1692" s="82" t="inlineStr"/>
    </row>
    <row r="1693" ht="20.25" customHeight="1">
      <c r="A1693" s="80">
        <f>IF(OR(Crate!$P101="",Crate!$P101=0),"",Crate!$B101)</f>
        <v/>
      </c>
      <c r="B1693" s="80">
        <f>IF(OR(Crate!$P101="",Crate!$P101=0),"",Crate!$C101)</f>
        <v/>
      </c>
      <c r="C1693" s="80">
        <f>IF(OR(Crate!$P101="",Crate!$P101=0),"","سبد")</f>
        <v/>
      </c>
      <c r="D1693" s="80">
        <f>IF(OR(Crate!$P101="",Crate!$P101=0),"",Crate!$P101)</f>
        <v/>
      </c>
      <c r="E1693" s="81">
        <f>IF(OR(Crate!$P101="",Crate!$P101=0),"",IF(Crate!$P101="","","مقابل: "&amp;Crate!$D101))</f>
        <v/>
      </c>
      <c r="F1693" s="83" t="n"/>
      <c r="G1693" s="83" t="n"/>
      <c r="H1693" s="83" t="n"/>
      <c r="I1693" s="83" t="n"/>
      <c r="J1693" s="83" t="n"/>
      <c r="K1693" s="82">
        <f>IF(OR(Crate!$P101="",Crate!$P101=0),"",IF(Crate!$Q101="",0,Crate!$Q101)+IF(Crate!$R101="",0,Crate!$R101))</f>
        <v/>
      </c>
      <c r="L1693" s="82">
        <f>IF(OR(Crate!$P101="",Crate!$P101=0),"",Crate!$Q101)</f>
        <v/>
      </c>
      <c r="M1693" s="82">
        <f>IF(OR(Crate!$P101="",Crate!$P101=0),"",Crate!$R101)</f>
        <v/>
      </c>
      <c r="N1693" s="81">
        <f>IF(OR(Crate!$P101="",Crate!$P101=0),"","مقابل")</f>
        <v/>
      </c>
      <c r="O1693" s="81">
        <f>IF(OR(Crate!$P101="",Crate!$P101=0),"",IFERROR(VLOOKUP(Crate!$P101,AcctTbl,3,0),""))</f>
        <v/>
      </c>
      <c r="P1693" s="82" t="inlineStr"/>
    </row>
    <row r="1694" ht="20.25" customHeight="1">
      <c r="A1694" s="80">
        <f>IF(OR(Crate!$E102="",Crate!$E102=0),"",Crate!$B102)</f>
        <v/>
      </c>
      <c r="B1694" s="80">
        <f>IF(OR(Crate!$E102="",Crate!$E102=0),"",Crate!$C102)</f>
        <v/>
      </c>
      <c r="C1694" s="80">
        <f>IF(OR(Crate!$E102="",Crate!$E102=0),"","سبد")</f>
        <v/>
      </c>
      <c r="D1694" s="80">
        <f>IF(OR(Crate!$E102="",Crate!$E102=0),"",Crate!$E102)</f>
        <v/>
      </c>
      <c r="E1694" s="81">
        <f>IF(OR(Crate!$E102="",Crate!$E102=0),"",Crate!$M102)</f>
        <v/>
      </c>
      <c r="G1694" s="82">
        <f>IF(OR(Crate!$E102="",Crate!$E102=0),"",Crate!$I102)</f>
        <v/>
      </c>
      <c r="J1694" s="82">
        <f>IF(OR(Crate!$E102="",Crate!$E102=0),"",Crate!$J102)</f>
        <v/>
      </c>
      <c r="K1694" s="82">
        <f>IF(OR(Crate!$E102="",Crate!$E102=0),"",IF(Crate!$N102="",0,Crate!$N102)+IF(Crate!$O102="",0,Crate!$O102))</f>
        <v/>
      </c>
      <c r="L1694" s="82">
        <f>IF(OR(Crate!$E102="",Crate!$E102=0),"",Crate!$N102)</f>
        <v/>
      </c>
      <c r="M1694" s="82">
        <f>IF(OR(Crate!$E102="",Crate!$E102=0),"",Crate!$O102)</f>
        <v/>
      </c>
      <c r="N1694" s="81">
        <f>IF(OR(Crate!$E102="",Crate!$E102=0),"",Crate!$D102)</f>
        <v/>
      </c>
      <c r="O1694" s="81">
        <f>IF(OR(Crate!$E102="",Crate!$E102=0),"",IFERROR(VLOOKUP(Crate!$E102,AcctTbl,3,0),""))</f>
        <v/>
      </c>
      <c r="P1694" s="82" t="inlineStr"/>
    </row>
    <row r="1695" ht="20.25" customHeight="1">
      <c r="A1695" s="80">
        <f>IF(OR(Crate!$P102="",Crate!$P102=0),"",Crate!$B102)</f>
        <v/>
      </c>
      <c r="B1695" s="80">
        <f>IF(OR(Crate!$P102="",Crate!$P102=0),"",Crate!$C102)</f>
        <v/>
      </c>
      <c r="C1695" s="80">
        <f>IF(OR(Crate!$P102="",Crate!$P102=0),"","سبد")</f>
        <v/>
      </c>
      <c r="D1695" s="80">
        <f>IF(OR(Crate!$P102="",Crate!$P102=0),"",Crate!$P102)</f>
        <v/>
      </c>
      <c r="E1695" s="81">
        <f>IF(OR(Crate!$P102="",Crate!$P102=0),"",IF(Crate!$P102="","","مقابل: "&amp;Crate!$D102))</f>
        <v/>
      </c>
      <c r="F1695" s="83" t="n"/>
      <c r="G1695" s="83" t="n"/>
      <c r="H1695" s="83" t="n"/>
      <c r="I1695" s="83" t="n"/>
      <c r="J1695" s="83" t="n"/>
      <c r="K1695" s="82">
        <f>IF(OR(Crate!$P102="",Crate!$P102=0),"",IF(Crate!$Q102="",0,Crate!$Q102)+IF(Crate!$R102="",0,Crate!$R102))</f>
        <v/>
      </c>
      <c r="L1695" s="82">
        <f>IF(OR(Crate!$P102="",Crate!$P102=0),"",Crate!$Q102)</f>
        <v/>
      </c>
      <c r="M1695" s="82">
        <f>IF(OR(Crate!$P102="",Crate!$P102=0),"",Crate!$R102)</f>
        <v/>
      </c>
      <c r="N1695" s="81">
        <f>IF(OR(Crate!$P102="",Crate!$P102=0),"","مقابل")</f>
        <v/>
      </c>
      <c r="O1695" s="81">
        <f>IF(OR(Crate!$P102="",Crate!$P102=0),"",IFERROR(VLOOKUP(Crate!$P102,AcctTbl,3,0),""))</f>
        <v/>
      </c>
      <c r="P1695" s="82" t="inlineStr"/>
    </row>
    <row r="1696" ht="20.25" customHeight="1">
      <c r="A1696" s="80">
        <f>IF(OR(Crate!$E103="",Crate!$E103=0),"",Crate!$B103)</f>
        <v/>
      </c>
      <c r="B1696" s="80">
        <f>IF(OR(Crate!$E103="",Crate!$E103=0),"",Crate!$C103)</f>
        <v/>
      </c>
      <c r="C1696" s="80">
        <f>IF(OR(Crate!$E103="",Crate!$E103=0),"","سبد")</f>
        <v/>
      </c>
      <c r="D1696" s="80">
        <f>IF(OR(Crate!$E103="",Crate!$E103=0),"",Crate!$E103)</f>
        <v/>
      </c>
      <c r="E1696" s="81">
        <f>IF(OR(Crate!$E103="",Crate!$E103=0),"",Crate!$M103)</f>
        <v/>
      </c>
      <c r="G1696" s="82">
        <f>IF(OR(Crate!$E103="",Crate!$E103=0),"",Crate!$I103)</f>
        <v/>
      </c>
      <c r="J1696" s="82">
        <f>IF(OR(Crate!$E103="",Crate!$E103=0),"",Crate!$J103)</f>
        <v/>
      </c>
      <c r="K1696" s="82">
        <f>IF(OR(Crate!$E103="",Crate!$E103=0),"",IF(Crate!$N103="",0,Crate!$N103)+IF(Crate!$O103="",0,Crate!$O103))</f>
        <v/>
      </c>
      <c r="L1696" s="82">
        <f>IF(OR(Crate!$E103="",Crate!$E103=0),"",Crate!$N103)</f>
        <v/>
      </c>
      <c r="M1696" s="82">
        <f>IF(OR(Crate!$E103="",Crate!$E103=0),"",Crate!$O103)</f>
        <v/>
      </c>
      <c r="N1696" s="81">
        <f>IF(OR(Crate!$E103="",Crate!$E103=0),"",Crate!$D103)</f>
        <v/>
      </c>
      <c r="O1696" s="81">
        <f>IF(OR(Crate!$E103="",Crate!$E103=0),"",IFERROR(VLOOKUP(Crate!$E103,AcctTbl,3,0),""))</f>
        <v/>
      </c>
      <c r="P1696" s="82" t="inlineStr"/>
    </row>
    <row r="1697" ht="20.25" customHeight="1">
      <c r="A1697" s="80">
        <f>IF(OR(Crate!$P103="",Crate!$P103=0),"",Crate!$B103)</f>
        <v/>
      </c>
      <c r="B1697" s="80">
        <f>IF(OR(Crate!$P103="",Crate!$P103=0),"",Crate!$C103)</f>
        <v/>
      </c>
      <c r="C1697" s="80">
        <f>IF(OR(Crate!$P103="",Crate!$P103=0),"","سبد")</f>
        <v/>
      </c>
      <c r="D1697" s="80">
        <f>IF(OR(Crate!$P103="",Crate!$P103=0),"",Crate!$P103)</f>
        <v/>
      </c>
      <c r="E1697" s="81">
        <f>IF(OR(Crate!$P103="",Crate!$P103=0),"",IF(Crate!$P103="","","مقابل: "&amp;Crate!$D103))</f>
        <v/>
      </c>
      <c r="F1697" s="83" t="n"/>
      <c r="G1697" s="83" t="n"/>
      <c r="H1697" s="83" t="n"/>
      <c r="I1697" s="83" t="n"/>
      <c r="J1697" s="83" t="n"/>
      <c r="K1697" s="82">
        <f>IF(OR(Crate!$P103="",Crate!$P103=0),"",IF(Crate!$Q103="",0,Crate!$Q103)+IF(Crate!$R103="",0,Crate!$R103))</f>
        <v/>
      </c>
      <c r="L1697" s="82">
        <f>IF(OR(Crate!$P103="",Crate!$P103=0),"",Crate!$Q103)</f>
        <v/>
      </c>
      <c r="M1697" s="82">
        <f>IF(OR(Crate!$P103="",Crate!$P103=0),"",Crate!$R103)</f>
        <v/>
      </c>
      <c r="N1697" s="81">
        <f>IF(OR(Crate!$P103="",Crate!$P103=0),"","مقابل")</f>
        <v/>
      </c>
      <c r="O1697" s="81">
        <f>IF(OR(Crate!$P103="",Crate!$P103=0),"",IFERROR(VLOOKUP(Crate!$P103,AcctTbl,3,0),""))</f>
        <v/>
      </c>
      <c r="P1697" s="82" t="inlineStr"/>
    </row>
    <row r="1698" ht="20.25" customHeight="1">
      <c r="A1698" s="80">
        <f>IF(OR(Crate!$E104="",Crate!$E104=0),"",Crate!$B104)</f>
        <v/>
      </c>
      <c r="B1698" s="80">
        <f>IF(OR(Crate!$E104="",Crate!$E104=0),"",Crate!$C104)</f>
        <v/>
      </c>
      <c r="C1698" s="80">
        <f>IF(OR(Crate!$E104="",Crate!$E104=0),"","سبد")</f>
        <v/>
      </c>
      <c r="D1698" s="80">
        <f>IF(OR(Crate!$E104="",Crate!$E104=0),"",Crate!$E104)</f>
        <v/>
      </c>
      <c r="E1698" s="81">
        <f>IF(OR(Crate!$E104="",Crate!$E104=0),"",Crate!$M104)</f>
        <v/>
      </c>
      <c r="G1698" s="82">
        <f>IF(OR(Crate!$E104="",Crate!$E104=0),"",Crate!$I104)</f>
        <v/>
      </c>
      <c r="J1698" s="82">
        <f>IF(OR(Crate!$E104="",Crate!$E104=0),"",Crate!$J104)</f>
        <v/>
      </c>
      <c r="K1698" s="82">
        <f>IF(OR(Crate!$E104="",Crate!$E104=0),"",IF(Crate!$N104="",0,Crate!$N104)+IF(Crate!$O104="",0,Crate!$O104))</f>
        <v/>
      </c>
      <c r="L1698" s="82">
        <f>IF(OR(Crate!$E104="",Crate!$E104=0),"",Crate!$N104)</f>
        <v/>
      </c>
      <c r="M1698" s="82">
        <f>IF(OR(Crate!$E104="",Crate!$E104=0),"",Crate!$O104)</f>
        <v/>
      </c>
      <c r="N1698" s="81">
        <f>IF(OR(Crate!$E104="",Crate!$E104=0),"",Crate!$D104)</f>
        <v/>
      </c>
      <c r="O1698" s="81">
        <f>IF(OR(Crate!$E104="",Crate!$E104=0),"",IFERROR(VLOOKUP(Crate!$E104,AcctTbl,3,0),""))</f>
        <v/>
      </c>
      <c r="P1698" s="82" t="inlineStr"/>
    </row>
    <row r="1699" ht="20.25" customHeight="1">
      <c r="A1699" s="80">
        <f>IF(OR(Crate!$P104="",Crate!$P104=0),"",Crate!$B104)</f>
        <v/>
      </c>
      <c r="B1699" s="80">
        <f>IF(OR(Crate!$P104="",Crate!$P104=0),"",Crate!$C104)</f>
        <v/>
      </c>
      <c r="C1699" s="80">
        <f>IF(OR(Crate!$P104="",Crate!$P104=0),"","سبد")</f>
        <v/>
      </c>
      <c r="D1699" s="80">
        <f>IF(OR(Crate!$P104="",Crate!$P104=0),"",Crate!$P104)</f>
        <v/>
      </c>
      <c r="E1699" s="81">
        <f>IF(OR(Crate!$P104="",Crate!$P104=0),"",IF(Crate!$P104="","","مقابل: "&amp;Crate!$D104))</f>
        <v/>
      </c>
      <c r="F1699" s="83" t="n"/>
      <c r="G1699" s="83" t="n"/>
      <c r="H1699" s="83" t="n"/>
      <c r="I1699" s="83" t="n"/>
      <c r="J1699" s="83" t="n"/>
      <c r="K1699" s="82">
        <f>IF(OR(Crate!$P104="",Crate!$P104=0),"",IF(Crate!$Q104="",0,Crate!$Q104)+IF(Crate!$R104="",0,Crate!$R104))</f>
        <v/>
      </c>
      <c r="L1699" s="82">
        <f>IF(OR(Crate!$P104="",Crate!$P104=0),"",Crate!$Q104)</f>
        <v/>
      </c>
      <c r="M1699" s="82">
        <f>IF(OR(Crate!$P104="",Crate!$P104=0),"",Crate!$R104)</f>
        <v/>
      </c>
      <c r="N1699" s="81">
        <f>IF(OR(Crate!$P104="",Crate!$P104=0),"","مقابل")</f>
        <v/>
      </c>
      <c r="O1699" s="81">
        <f>IF(OR(Crate!$P104="",Crate!$P104=0),"",IFERROR(VLOOKUP(Crate!$P104,AcctTbl,3,0),""))</f>
        <v/>
      </c>
      <c r="P1699" s="82" t="inlineStr"/>
    </row>
    <row r="1700" ht="20.25" customHeight="1">
      <c r="A1700" s="80">
        <f>IF(OR(Crate!$E105="",Crate!$E105=0),"",Crate!$B105)</f>
        <v/>
      </c>
      <c r="B1700" s="80">
        <f>IF(OR(Crate!$E105="",Crate!$E105=0),"",Crate!$C105)</f>
        <v/>
      </c>
      <c r="C1700" s="80">
        <f>IF(OR(Crate!$E105="",Crate!$E105=0),"","سبد")</f>
        <v/>
      </c>
      <c r="D1700" s="80">
        <f>IF(OR(Crate!$E105="",Crate!$E105=0),"",Crate!$E105)</f>
        <v/>
      </c>
      <c r="E1700" s="81">
        <f>IF(OR(Crate!$E105="",Crate!$E105=0),"",Crate!$M105)</f>
        <v/>
      </c>
      <c r="G1700" s="82">
        <f>IF(OR(Crate!$E105="",Crate!$E105=0),"",Crate!$I105)</f>
        <v/>
      </c>
      <c r="J1700" s="82">
        <f>IF(OR(Crate!$E105="",Crate!$E105=0),"",Crate!$J105)</f>
        <v/>
      </c>
      <c r="K1700" s="82">
        <f>IF(OR(Crate!$E105="",Crate!$E105=0),"",IF(Crate!$N105="",0,Crate!$N105)+IF(Crate!$O105="",0,Crate!$O105))</f>
        <v/>
      </c>
      <c r="L1700" s="82">
        <f>IF(OR(Crate!$E105="",Crate!$E105=0),"",Crate!$N105)</f>
        <v/>
      </c>
      <c r="M1700" s="82">
        <f>IF(OR(Crate!$E105="",Crate!$E105=0),"",Crate!$O105)</f>
        <v/>
      </c>
      <c r="N1700" s="81">
        <f>IF(OR(Crate!$E105="",Crate!$E105=0),"",Crate!$D105)</f>
        <v/>
      </c>
      <c r="O1700" s="81">
        <f>IF(OR(Crate!$E105="",Crate!$E105=0),"",IFERROR(VLOOKUP(Crate!$E105,AcctTbl,3,0),""))</f>
        <v/>
      </c>
      <c r="P1700" s="82" t="inlineStr"/>
    </row>
    <row r="1701" ht="20.25" customHeight="1">
      <c r="A1701" s="80">
        <f>IF(OR(Crate!$P105="",Crate!$P105=0),"",Crate!$B105)</f>
        <v/>
      </c>
      <c r="B1701" s="80">
        <f>IF(OR(Crate!$P105="",Crate!$P105=0),"",Crate!$C105)</f>
        <v/>
      </c>
      <c r="C1701" s="80">
        <f>IF(OR(Crate!$P105="",Crate!$P105=0),"","سبد")</f>
        <v/>
      </c>
      <c r="D1701" s="80">
        <f>IF(OR(Crate!$P105="",Crate!$P105=0),"",Crate!$P105)</f>
        <v/>
      </c>
      <c r="E1701" s="81">
        <f>IF(OR(Crate!$P105="",Crate!$P105=0),"",IF(Crate!$P105="","","مقابل: "&amp;Crate!$D105))</f>
        <v/>
      </c>
      <c r="F1701" s="83" t="n"/>
      <c r="G1701" s="83" t="n"/>
      <c r="H1701" s="83" t="n"/>
      <c r="I1701" s="83" t="n"/>
      <c r="J1701" s="83" t="n"/>
      <c r="K1701" s="82">
        <f>IF(OR(Crate!$P105="",Crate!$P105=0),"",IF(Crate!$Q105="",0,Crate!$Q105)+IF(Crate!$R105="",0,Crate!$R105))</f>
        <v/>
      </c>
      <c r="L1701" s="82">
        <f>IF(OR(Crate!$P105="",Crate!$P105=0),"",Crate!$Q105)</f>
        <v/>
      </c>
      <c r="M1701" s="82">
        <f>IF(OR(Crate!$P105="",Crate!$P105=0),"",Crate!$R105)</f>
        <v/>
      </c>
      <c r="N1701" s="81">
        <f>IF(OR(Crate!$P105="",Crate!$P105=0),"","مقابل")</f>
        <v/>
      </c>
      <c r="O1701" s="81">
        <f>IF(OR(Crate!$P105="",Crate!$P105=0),"",IFERROR(VLOOKUP(Crate!$P105,AcctTbl,3,0),""))</f>
        <v/>
      </c>
      <c r="P1701" s="82" t="inlineStr"/>
    </row>
    <row r="1702" ht="20.25" customHeight="1">
      <c r="A1702" s="80">
        <f>IF(OR(Crate!$E106="",Crate!$E106=0),"",Crate!$B106)</f>
        <v/>
      </c>
      <c r="B1702" s="80">
        <f>IF(OR(Crate!$E106="",Crate!$E106=0),"",Crate!$C106)</f>
        <v/>
      </c>
      <c r="C1702" s="80">
        <f>IF(OR(Crate!$E106="",Crate!$E106=0),"","سبد")</f>
        <v/>
      </c>
      <c r="D1702" s="80">
        <f>IF(OR(Crate!$E106="",Crate!$E106=0),"",Crate!$E106)</f>
        <v/>
      </c>
      <c r="E1702" s="81">
        <f>IF(OR(Crate!$E106="",Crate!$E106=0),"",Crate!$M106)</f>
        <v/>
      </c>
      <c r="G1702" s="82">
        <f>IF(OR(Crate!$E106="",Crate!$E106=0),"",Crate!$I106)</f>
        <v/>
      </c>
      <c r="J1702" s="82">
        <f>IF(OR(Crate!$E106="",Crate!$E106=0),"",Crate!$J106)</f>
        <v/>
      </c>
      <c r="K1702" s="82">
        <f>IF(OR(Crate!$E106="",Crate!$E106=0),"",IF(Crate!$N106="",0,Crate!$N106)+IF(Crate!$O106="",0,Crate!$O106))</f>
        <v/>
      </c>
      <c r="L1702" s="82">
        <f>IF(OR(Crate!$E106="",Crate!$E106=0),"",Crate!$N106)</f>
        <v/>
      </c>
      <c r="M1702" s="82">
        <f>IF(OR(Crate!$E106="",Crate!$E106=0),"",Crate!$O106)</f>
        <v/>
      </c>
      <c r="N1702" s="81">
        <f>IF(OR(Crate!$E106="",Crate!$E106=0),"",Crate!$D106)</f>
        <v/>
      </c>
      <c r="O1702" s="81">
        <f>IF(OR(Crate!$E106="",Crate!$E106=0),"",IFERROR(VLOOKUP(Crate!$E106,AcctTbl,3,0),""))</f>
        <v/>
      </c>
      <c r="P1702" s="82" t="inlineStr"/>
    </row>
    <row r="1703" ht="20.25" customHeight="1">
      <c r="A1703" s="80">
        <f>IF(OR(Crate!$P106="",Crate!$P106=0),"",Crate!$B106)</f>
        <v/>
      </c>
      <c r="B1703" s="80">
        <f>IF(OR(Crate!$P106="",Crate!$P106=0),"",Crate!$C106)</f>
        <v/>
      </c>
      <c r="C1703" s="80">
        <f>IF(OR(Crate!$P106="",Crate!$P106=0),"","سبد")</f>
        <v/>
      </c>
      <c r="D1703" s="80">
        <f>IF(OR(Crate!$P106="",Crate!$P106=0),"",Crate!$P106)</f>
        <v/>
      </c>
      <c r="E1703" s="81">
        <f>IF(OR(Crate!$P106="",Crate!$P106=0),"",IF(Crate!$P106="","","مقابل: "&amp;Crate!$D106))</f>
        <v/>
      </c>
      <c r="F1703" s="83" t="n"/>
      <c r="G1703" s="83" t="n"/>
      <c r="H1703" s="83" t="n"/>
      <c r="I1703" s="83" t="n"/>
      <c r="J1703" s="83" t="n"/>
      <c r="K1703" s="82">
        <f>IF(OR(Crate!$P106="",Crate!$P106=0),"",IF(Crate!$Q106="",0,Crate!$Q106)+IF(Crate!$R106="",0,Crate!$R106))</f>
        <v/>
      </c>
      <c r="L1703" s="82">
        <f>IF(OR(Crate!$P106="",Crate!$P106=0),"",Crate!$Q106)</f>
        <v/>
      </c>
      <c r="M1703" s="82">
        <f>IF(OR(Crate!$P106="",Crate!$P106=0),"",Crate!$R106)</f>
        <v/>
      </c>
      <c r="N1703" s="81">
        <f>IF(OR(Crate!$P106="",Crate!$P106=0),"","مقابل")</f>
        <v/>
      </c>
      <c r="O1703" s="81">
        <f>IF(OR(Crate!$P106="",Crate!$P106=0),"",IFERROR(VLOOKUP(Crate!$P106,AcctTbl,3,0),""))</f>
        <v/>
      </c>
      <c r="P1703" s="82" t="inlineStr"/>
    </row>
    <row r="1704" ht="20.25" customHeight="1">
      <c r="A1704" s="80">
        <f>IF(OR(Crate!$E107="",Crate!$E107=0),"",Crate!$B107)</f>
        <v/>
      </c>
      <c r="B1704" s="80">
        <f>IF(OR(Crate!$E107="",Crate!$E107=0),"",Crate!$C107)</f>
        <v/>
      </c>
      <c r="C1704" s="80">
        <f>IF(OR(Crate!$E107="",Crate!$E107=0),"","سبد")</f>
        <v/>
      </c>
      <c r="D1704" s="80">
        <f>IF(OR(Crate!$E107="",Crate!$E107=0),"",Crate!$E107)</f>
        <v/>
      </c>
      <c r="E1704" s="81">
        <f>IF(OR(Crate!$E107="",Crate!$E107=0),"",Crate!$M107)</f>
        <v/>
      </c>
      <c r="G1704" s="82">
        <f>IF(OR(Crate!$E107="",Crate!$E107=0),"",Crate!$I107)</f>
        <v/>
      </c>
      <c r="J1704" s="82">
        <f>IF(OR(Crate!$E107="",Crate!$E107=0),"",Crate!$J107)</f>
        <v/>
      </c>
      <c r="K1704" s="82">
        <f>IF(OR(Crate!$E107="",Crate!$E107=0),"",IF(Crate!$N107="",0,Crate!$N107)+IF(Crate!$O107="",0,Crate!$O107))</f>
        <v/>
      </c>
      <c r="L1704" s="82">
        <f>IF(OR(Crate!$E107="",Crate!$E107=0),"",Crate!$N107)</f>
        <v/>
      </c>
      <c r="M1704" s="82">
        <f>IF(OR(Crate!$E107="",Crate!$E107=0),"",Crate!$O107)</f>
        <v/>
      </c>
      <c r="N1704" s="81">
        <f>IF(OR(Crate!$E107="",Crate!$E107=0),"",Crate!$D107)</f>
        <v/>
      </c>
      <c r="O1704" s="81">
        <f>IF(OR(Crate!$E107="",Crate!$E107=0),"",IFERROR(VLOOKUP(Crate!$E107,AcctTbl,3,0),""))</f>
        <v/>
      </c>
      <c r="P1704" s="82" t="inlineStr"/>
    </row>
    <row r="1705" ht="20.25" customHeight="1">
      <c r="A1705" s="80">
        <f>IF(OR(Crate!$P107="",Crate!$P107=0),"",Crate!$B107)</f>
        <v/>
      </c>
      <c r="B1705" s="80">
        <f>IF(OR(Crate!$P107="",Crate!$P107=0),"",Crate!$C107)</f>
        <v/>
      </c>
      <c r="C1705" s="80">
        <f>IF(OR(Crate!$P107="",Crate!$P107=0),"","سبد")</f>
        <v/>
      </c>
      <c r="D1705" s="80">
        <f>IF(OR(Crate!$P107="",Crate!$P107=0),"",Crate!$P107)</f>
        <v/>
      </c>
      <c r="E1705" s="81">
        <f>IF(OR(Crate!$P107="",Crate!$P107=0),"",IF(Crate!$P107="","","مقابل: "&amp;Crate!$D107))</f>
        <v/>
      </c>
      <c r="F1705" s="83" t="n"/>
      <c r="G1705" s="83" t="n"/>
      <c r="H1705" s="83" t="n"/>
      <c r="I1705" s="83" t="n"/>
      <c r="J1705" s="83" t="n"/>
      <c r="K1705" s="82">
        <f>IF(OR(Crate!$P107="",Crate!$P107=0),"",IF(Crate!$Q107="",0,Crate!$Q107)+IF(Crate!$R107="",0,Crate!$R107))</f>
        <v/>
      </c>
      <c r="L1705" s="82">
        <f>IF(OR(Crate!$P107="",Crate!$P107=0),"",Crate!$Q107)</f>
        <v/>
      </c>
      <c r="M1705" s="82">
        <f>IF(OR(Crate!$P107="",Crate!$P107=0),"",Crate!$R107)</f>
        <v/>
      </c>
      <c r="N1705" s="81">
        <f>IF(OR(Crate!$P107="",Crate!$P107=0),"","مقابل")</f>
        <v/>
      </c>
      <c r="O1705" s="81">
        <f>IF(OR(Crate!$P107="",Crate!$P107=0),"",IFERROR(VLOOKUP(Crate!$P107,AcctTbl,3,0),""))</f>
        <v/>
      </c>
      <c r="P1705" s="82" t="inlineStr"/>
    </row>
    <row r="1706" ht="20.25" customHeight="1">
      <c r="A1706" s="80">
        <f>IF(OR(Crate!$E108="",Crate!$E108=0),"",Crate!$B108)</f>
        <v/>
      </c>
      <c r="B1706" s="80">
        <f>IF(OR(Crate!$E108="",Crate!$E108=0),"",Crate!$C108)</f>
        <v/>
      </c>
      <c r="C1706" s="80">
        <f>IF(OR(Crate!$E108="",Crate!$E108=0),"","سبد")</f>
        <v/>
      </c>
      <c r="D1706" s="80">
        <f>IF(OR(Crate!$E108="",Crate!$E108=0),"",Crate!$E108)</f>
        <v/>
      </c>
      <c r="E1706" s="81">
        <f>IF(OR(Crate!$E108="",Crate!$E108=0),"",Crate!$M108)</f>
        <v/>
      </c>
      <c r="G1706" s="82">
        <f>IF(OR(Crate!$E108="",Crate!$E108=0),"",Crate!$I108)</f>
        <v/>
      </c>
      <c r="J1706" s="82">
        <f>IF(OR(Crate!$E108="",Crate!$E108=0),"",Crate!$J108)</f>
        <v/>
      </c>
      <c r="K1706" s="82">
        <f>IF(OR(Crate!$E108="",Crate!$E108=0),"",IF(Crate!$N108="",0,Crate!$N108)+IF(Crate!$O108="",0,Crate!$O108))</f>
        <v/>
      </c>
      <c r="L1706" s="82">
        <f>IF(OR(Crate!$E108="",Crate!$E108=0),"",Crate!$N108)</f>
        <v/>
      </c>
      <c r="M1706" s="82">
        <f>IF(OR(Crate!$E108="",Crate!$E108=0),"",Crate!$O108)</f>
        <v/>
      </c>
      <c r="N1706" s="81">
        <f>IF(OR(Crate!$E108="",Crate!$E108=0),"",Crate!$D108)</f>
        <v/>
      </c>
      <c r="O1706" s="81">
        <f>IF(OR(Crate!$E108="",Crate!$E108=0),"",IFERROR(VLOOKUP(Crate!$E108,AcctTbl,3,0),""))</f>
        <v/>
      </c>
      <c r="P1706" s="82" t="inlineStr"/>
    </row>
    <row r="1707" ht="20.25" customHeight="1">
      <c r="A1707" s="80">
        <f>IF(OR(Crate!$P108="",Crate!$P108=0),"",Crate!$B108)</f>
        <v/>
      </c>
      <c r="B1707" s="80">
        <f>IF(OR(Crate!$P108="",Crate!$P108=0),"",Crate!$C108)</f>
        <v/>
      </c>
      <c r="C1707" s="80">
        <f>IF(OR(Crate!$P108="",Crate!$P108=0),"","سبد")</f>
        <v/>
      </c>
      <c r="D1707" s="80">
        <f>IF(OR(Crate!$P108="",Crate!$P108=0),"",Crate!$P108)</f>
        <v/>
      </c>
      <c r="E1707" s="81">
        <f>IF(OR(Crate!$P108="",Crate!$P108=0),"",IF(Crate!$P108="","","مقابل: "&amp;Crate!$D108))</f>
        <v/>
      </c>
      <c r="F1707" s="83" t="n"/>
      <c r="G1707" s="83" t="n"/>
      <c r="H1707" s="83" t="n"/>
      <c r="I1707" s="83" t="n"/>
      <c r="J1707" s="83" t="n"/>
      <c r="K1707" s="82">
        <f>IF(OR(Crate!$P108="",Crate!$P108=0),"",IF(Crate!$Q108="",0,Crate!$Q108)+IF(Crate!$R108="",0,Crate!$R108))</f>
        <v/>
      </c>
      <c r="L1707" s="82">
        <f>IF(OR(Crate!$P108="",Crate!$P108=0),"",Crate!$Q108)</f>
        <v/>
      </c>
      <c r="M1707" s="82">
        <f>IF(OR(Crate!$P108="",Crate!$P108=0),"",Crate!$R108)</f>
        <v/>
      </c>
      <c r="N1707" s="81">
        <f>IF(OR(Crate!$P108="",Crate!$P108=0),"","مقابل")</f>
        <v/>
      </c>
      <c r="O1707" s="81">
        <f>IF(OR(Crate!$P108="",Crate!$P108=0),"",IFERROR(VLOOKUP(Crate!$P108,AcctTbl,3,0),""))</f>
        <v/>
      </c>
      <c r="P1707" s="82" t="inlineStr"/>
    </row>
    <row r="1708" ht="20.25" customHeight="1">
      <c r="A1708" s="80">
        <f>IF(OR(Crate!$E109="",Crate!$E109=0),"",Crate!$B109)</f>
        <v/>
      </c>
      <c r="B1708" s="80">
        <f>IF(OR(Crate!$E109="",Crate!$E109=0),"",Crate!$C109)</f>
        <v/>
      </c>
      <c r="C1708" s="80">
        <f>IF(OR(Crate!$E109="",Crate!$E109=0),"","سبد")</f>
        <v/>
      </c>
      <c r="D1708" s="80">
        <f>IF(OR(Crate!$E109="",Crate!$E109=0),"",Crate!$E109)</f>
        <v/>
      </c>
      <c r="E1708" s="81">
        <f>IF(OR(Crate!$E109="",Crate!$E109=0),"",Crate!$M109)</f>
        <v/>
      </c>
      <c r="G1708" s="82">
        <f>IF(OR(Crate!$E109="",Crate!$E109=0),"",Crate!$I109)</f>
        <v/>
      </c>
      <c r="J1708" s="82">
        <f>IF(OR(Crate!$E109="",Crate!$E109=0),"",Crate!$J109)</f>
        <v/>
      </c>
      <c r="K1708" s="82">
        <f>IF(OR(Crate!$E109="",Crate!$E109=0),"",IF(Crate!$N109="",0,Crate!$N109)+IF(Crate!$O109="",0,Crate!$O109))</f>
        <v/>
      </c>
      <c r="L1708" s="82">
        <f>IF(OR(Crate!$E109="",Crate!$E109=0),"",Crate!$N109)</f>
        <v/>
      </c>
      <c r="M1708" s="82">
        <f>IF(OR(Crate!$E109="",Crate!$E109=0),"",Crate!$O109)</f>
        <v/>
      </c>
      <c r="N1708" s="81">
        <f>IF(OR(Crate!$E109="",Crate!$E109=0),"",Crate!$D109)</f>
        <v/>
      </c>
      <c r="O1708" s="81">
        <f>IF(OR(Crate!$E109="",Crate!$E109=0),"",IFERROR(VLOOKUP(Crate!$E109,AcctTbl,3,0),""))</f>
        <v/>
      </c>
      <c r="P1708" s="82" t="inlineStr"/>
    </row>
    <row r="1709" ht="20.25" customHeight="1">
      <c r="A1709" s="80">
        <f>IF(OR(Crate!$P109="",Crate!$P109=0),"",Crate!$B109)</f>
        <v/>
      </c>
      <c r="B1709" s="80">
        <f>IF(OR(Crate!$P109="",Crate!$P109=0),"",Crate!$C109)</f>
        <v/>
      </c>
      <c r="C1709" s="80">
        <f>IF(OR(Crate!$P109="",Crate!$P109=0),"","سبد")</f>
        <v/>
      </c>
      <c r="D1709" s="80">
        <f>IF(OR(Crate!$P109="",Crate!$P109=0),"",Crate!$P109)</f>
        <v/>
      </c>
      <c r="E1709" s="81">
        <f>IF(OR(Crate!$P109="",Crate!$P109=0),"",IF(Crate!$P109="","","مقابل: "&amp;Crate!$D109))</f>
        <v/>
      </c>
      <c r="F1709" s="83" t="n"/>
      <c r="G1709" s="83" t="n"/>
      <c r="H1709" s="83" t="n"/>
      <c r="I1709" s="83" t="n"/>
      <c r="J1709" s="83" t="n"/>
      <c r="K1709" s="82">
        <f>IF(OR(Crate!$P109="",Crate!$P109=0),"",IF(Crate!$Q109="",0,Crate!$Q109)+IF(Crate!$R109="",0,Crate!$R109))</f>
        <v/>
      </c>
      <c r="L1709" s="82">
        <f>IF(OR(Crate!$P109="",Crate!$P109=0),"",Crate!$Q109)</f>
        <v/>
      </c>
      <c r="M1709" s="82">
        <f>IF(OR(Crate!$P109="",Crate!$P109=0),"",Crate!$R109)</f>
        <v/>
      </c>
      <c r="N1709" s="81">
        <f>IF(OR(Crate!$P109="",Crate!$P109=0),"","مقابل")</f>
        <v/>
      </c>
      <c r="O1709" s="81">
        <f>IF(OR(Crate!$P109="",Crate!$P109=0),"",IFERROR(VLOOKUP(Crate!$P109,AcctTbl,3,0),""))</f>
        <v/>
      </c>
      <c r="P1709" s="82" t="inlineStr"/>
    </row>
    <row r="1710" ht="20.25" customHeight="1">
      <c r="A1710" s="80">
        <f>IF(OR(Crate!$E110="",Crate!$E110=0),"",Crate!$B110)</f>
        <v/>
      </c>
      <c r="B1710" s="80">
        <f>IF(OR(Crate!$E110="",Crate!$E110=0),"",Crate!$C110)</f>
        <v/>
      </c>
      <c r="C1710" s="80">
        <f>IF(OR(Crate!$E110="",Crate!$E110=0),"","سبد")</f>
        <v/>
      </c>
      <c r="D1710" s="80">
        <f>IF(OR(Crate!$E110="",Crate!$E110=0),"",Crate!$E110)</f>
        <v/>
      </c>
      <c r="E1710" s="81">
        <f>IF(OR(Crate!$E110="",Crate!$E110=0),"",Crate!$M110)</f>
        <v/>
      </c>
      <c r="G1710" s="82">
        <f>IF(OR(Crate!$E110="",Crate!$E110=0),"",Crate!$I110)</f>
        <v/>
      </c>
      <c r="J1710" s="82">
        <f>IF(OR(Crate!$E110="",Crate!$E110=0),"",Crate!$J110)</f>
        <v/>
      </c>
      <c r="K1710" s="82">
        <f>IF(OR(Crate!$E110="",Crate!$E110=0),"",IF(Crate!$N110="",0,Crate!$N110)+IF(Crate!$O110="",0,Crate!$O110))</f>
        <v/>
      </c>
      <c r="L1710" s="82">
        <f>IF(OR(Crate!$E110="",Crate!$E110=0),"",Crate!$N110)</f>
        <v/>
      </c>
      <c r="M1710" s="82">
        <f>IF(OR(Crate!$E110="",Crate!$E110=0),"",Crate!$O110)</f>
        <v/>
      </c>
      <c r="N1710" s="81">
        <f>IF(OR(Crate!$E110="",Crate!$E110=0),"",Crate!$D110)</f>
        <v/>
      </c>
      <c r="O1710" s="81">
        <f>IF(OR(Crate!$E110="",Crate!$E110=0),"",IFERROR(VLOOKUP(Crate!$E110,AcctTbl,3,0),""))</f>
        <v/>
      </c>
      <c r="P1710" s="82" t="inlineStr"/>
    </row>
    <row r="1711" ht="20.25" customHeight="1">
      <c r="A1711" s="80">
        <f>IF(OR(Crate!$P110="",Crate!$P110=0),"",Crate!$B110)</f>
        <v/>
      </c>
      <c r="B1711" s="80">
        <f>IF(OR(Crate!$P110="",Crate!$P110=0),"",Crate!$C110)</f>
        <v/>
      </c>
      <c r="C1711" s="80">
        <f>IF(OR(Crate!$P110="",Crate!$P110=0),"","سبد")</f>
        <v/>
      </c>
      <c r="D1711" s="80">
        <f>IF(OR(Crate!$P110="",Crate!$P110=0),"",Crate!$P110)</f>
        <v/>
      </c>
      <c r="E1711" s="81">
        <f>IF(OR(Crate!$P110="",Crate!$P110=0),"",IF(Crate!$P110="","","مقابل: "&amp;Crate!$D110))</f>
        <v/>
      </c>
      <c r="F1711" s="83" t="n"/>
      <c r="G1711" s="83" t="n"/>
      <c r="H1711" s="83" t="n"/>
      <c r="I1711" s="83" t="n"/>
      <c r="J1711" s="83" t="n"/>
      <c r="K1711" s="82">
        <f>IF(OR(Crate!$P110="",Crate!$P110=0),"",IF(Crate!$Q110="",0,Crate!$Q110)+IF(Crate!$R110="",0,Crate!$R110))</f>
        <v/>
      </c>
      <c r="L1711" s="82">
        <f>IF(OR(Crate!$P110="",Crate!$P110=0),"",Crate!$Q110)</f>
        <v/>
      </c>
      <c r="M1711" s="82">
        <f>IF(OR(Crate!$P110="",Crate!$P110=0),"",Crate!$R110)</f>
        <v/>
      </c>
      <c r="N1711" s="81">
        <f>IF(OR(Crate!$P110="",Crate!$P110=0),"","مقابل")</f>
        <v/>
      </c>
      <c r="O1711" s="81">
        <f>IF(OR(Crate!$P110="",Crate!$P110=0),"",IFERROR(VLOOKUP(Crate!$P110,AcctTbl,3,0),""))</f>
        <v/>
      </c>
      <c r="P1711" s="82" t="inlineStr"/>
    </row>
    <row r="1712" ht="20.25" customHeight="1">
      <c r="A1712" s="80">
        <f>IF(OR(Crate!$E111="",Crate!$E111=0),"",Crate!$B111)</f>
        <v/>
      </c>
      <c r="B1712" s="80">
        <f>IF(OR(Crate!$E111="",Crate!$E111=0),"",Crate!$C111)</f>
        <v/>
      </c>
      <c r="C1712" s="80">
        <f>IF(OR(Crate!$E111="",Crate!$E111=0),"","سبد")</f>
        <v/>
      </c>
      <c r="D1712" s="80">
        <f>IF(OR(Crate!$E111="",Crate!$E111=0),"",Crate!$E111)</f>
        <v/>
      </c>
      <c r="E1712" s="81">
        <f>IF(OR(Crate!$E111="",Crate!$E111=0),"",Crate!$M111)</f>
        <v/>
      </c>
      <c r="G1712" s="82">
        <f>IF(OR(Crate!$E111="",Crate!$E111=0),"",Crate!$I111)</f>
        <v/>
      </c>
      <c r="J1712" s="82">
        <f>IF(OR(Crate!$E111="",Crate!$E111=0),"",Crate!$J111)</f>
        <v/>
      </c>
      <c r="K1712" s="82">
        <f>IF(OR(Crate!$E111="",Crate!$E111=0),"",IF(Crate!$N111="",0,Crate!$N111)+IF(Crate!$O111="",0,Crate!$O111))</f>
        <v/>
      </c>
      <c r="L1712" s="82">
        <f>IF(OR(Crate!$E111="",Crate!$E111=0),"",Crate!$N111)</f>
        <v/>
      </c>
      <c r="M1712" s="82">
        <f>IF(OR(Crate!$E111="",Crate!$E111=0),"",Crate!$O111)</f>
        <v/>
      </c>
      <c r="N1712" s="81">
        <f>IF(OR(Crate!$E111="",Crate!$E111=0),"",Crate!$D111)</f>
        <v/>
      </c>
      <c r="O1712" s="81">
        <f>IF(OR(Crate!$E111="",Crate!$E111=0),"",IFERROR(VLOOKUP(Crate!$E111,AcctTbl,3,0),""))</f>
        <v/>
      </c>
      <c r="P1712" s="82" t="inlineStr"/>
    </row>
    <row r="1713" ht="20.25" customHeight="1">
      <c r="A1713" s="80">
        <f>IF(OR(Crate!$P111="",Crate!$P111=0),"",Crate!$B111)</f>
        <v/>
      </c>
      <c r="B1713" s="80">
        <f>IF(OR(Crate!$P111="",Crate!$P111=0),"",Crate!$C111)</f>
        <v/>
      </c>
      <c r="C1713" s="80">
        <f>IF(OR(Crate!$P111="",Crate!$P111=0),"","سبد")</f>
        <v/>
      </c>
      <c r="D1713" s="80">
        <f>IF(OR(Crate!$P111="",Crate!$P111=0),"",Crate!$P111)</f>
        <v/>
      </c>
      <c r="E1713" s="81">
        <f>IF(OR(Crate!$P111="",Crate!$P111=0),"",IF(Crate!$P111="","","مقابل: "&amp;Crate!$D111))</f>
        <v/>
      </c>
      <c r="F1713" s="83" t="n"/>
      <c r="G1713" s="83" t="n"/>
      <c r="H1713" s="83" t="n"/>
      <c r="I1713" s="83" t="n"/>
      <c r="J1713" s="83" t="n"/>
      <c r="K1713" s="82">
        <f>IF(OR(Crate!$P111="",Crate!$P111=0),"",IF(Crate!$Q111="",0,Crate!$Q111)+IF(Crate!$R111="",0,Crate!$R111))</f>
        <v/>
      </c>
      <c r="L1713" s="82">
        <f>IF(OR(Crate!$P111="",Crate!$P111=0),"",Crate!$Q111)</f>
        <v/>
      </c>
      <c r="M1713" s="82">
        <f>IF(OR(Crate!$P111="",Crate!$P111=0),"",Crate!$R111)</f>
        <v/>
      </c>
      <c r="N1713" s="81">
        <f>IF(OR(Crate!$P111="",Crate!$P111=0),"","مقابل")</f>
        <v/>
      </c>
      <c r="O1713" s="81">
        <f>IF(OR(Crate!$P111="",Crate!$P111=0),"",IFERROR(VLOOKUP(Crate!$P111,AcctTbl,3,0),""))</f>
        <v/>
      </c>
      <c r="P1713" s="82" t="inlineStr"/>
    </row>
    <row r="1714" ht="20.25" customHeight="1">
      <c r="A1714" s="80">
        <f>IF(OR(Crate!$E112="",Crate!$E112=0),"",Crate!$B112)</f>
        <v/>
      </c>
      <c r="B1714" s="80">
        <f>IF(OR(Crate!$E112="",Crate!$E112=0),"",Crate!$C112)</f>
        <v/>
      </c>
      <c r="C1714" s="80">
        <f>IF(OR(Crate!$E112="",Crate!$E112=0),"","سبد")</f>
        <v/>
      </c>
      <c r="D1714" s="80">
        <f>IF(OR(Crate!$E112="",Crate!$E112=0),"",Crate!$E112)</f>
        <v/>
      </c>
      <c r="E1714" s="81">
        <f>IF(OR(Crate!$E112="",Crate!$E112=0),"",Crate!$M112)</f>
        <v/>
      </c>
      <c r="G1714" s="82">
        <f>IF(OR(Crate!$E112="",Crate!$E112=0),"",Crate!$I112)</f>
        <v/>
      </c>
      <c r="J1714" s="82">
        <f>IF(OR(Crate!$E112="",Crate!$E112=0),"",Crate!$J112)</f>
        <v/>
      </c>
      <c r="K1714" s="82">
        <f>IF(OR(Crate!$E112="",Crate!$E112=0),"",IF(Crate!$N112="",0,Crate!$N112)+IF(Crate!$O112="",0,Crate!$O112))</f>
        <v/>
      </c>
      <c r="L1714" s="82">
        <f>IF(OR(Crate!$E112="",Crate!$E112=0),"",Crate!$N112)</f>
        <v/>
      </c>
      <c r="M1714" s="82">
        <f>IF(OR(Crate!$E112="",Crate!$E112=0),"",Crate!$O112)</f>
        <v/>
      </c>
      <c r="N1714" s="81">
        <f>IF(OR(Crate!$E112="",Crate!$E112=0),"",Crate!$D112)</f>
        <v/>
      </c>
      <c r="O1714" s="81">
        <f>IF(OR(Crate!$E112="",Crate!$E112=0),"",IFERROR(VLOOKUP(Crate!$E112,AcctTbl,3,0),""))</f>
        <v/>
      </c>
      <c r="P1714" s="82" t="inlineStr"/>
    </row>
    <row r="1715" ht="20.25" customHeight="1">
      <c r="A1715" s="80">
        <f>IF(OR(Crate!$P112="",Crate!$P112=0),"",Crate!$B112)</f>
        <v/>
      </c>
      <c r="B1715" s="80">
        <f>IF(OR(Crate!$P112="",Crate!$P112=0),"",Crate!$C112)</f>
        <v/>
      </c>
      <c r="C1715" s="80">
        <f>IF(OR(Crate!$P112="",Crate!$P112=0),"","سبد")</f>
        <v/>
      </c>
      <c r="D1715" s="80">
        <f>IF(OR(Crate!$P112="",Crate!$P112=0),"",Crate!$P112)</f>
        <v/>
      </c>
      <c r="E1715" s="81">
        <f>IF(OR(Crate!$P112="",Crate!$P112=0),"",IF(Crate!$P112="","","مقابل: "&amp;Crate!$D112))</f>
        <v/>
      </c>
      <c r="F1715" s="83" t="n"/>
      <c r="G1715" s="83" t="n"/>
      <c r="H1715" s="83" t="n"/>
      <c r="I1715" s="83" t="n"/>
      <c r="J1715" s="83" t="n"/>
      <c r="K1715" s="82">
        <f>IF(OR(Crate!$P112="",Crate!$P112=0),"",IF(Crate!$Q112="",0,Crate!$Q112)+IF(Crate!$R112="",0,Crate!$R112))</f>
        <v/>
      </c>
      <c r="L1715" s="82">
        <f>IF(OR(Crate!$P112="",Crate!$P112=0),"",Crate!$Q112)</f>
        <v/>
      </c>
      <c r="M1715" s="82">
        <f>IF(OR(Crate!$P112="",Crate!$P112=0),"",Crate!$R112)</f>
        <v/>
      </c>
      <c r="N1715" s="81">
        <f>IF(OR(Crate!$P112="",Crate!$P112=0),"","مقابل")</f>
        <v/>
      </c>
      <c r="O1715" s="81">
        <f>IF(OR(Crate!$P112="",Crate!$P112=0),"",IFERROR(VLOOKUP(Crate!$P112,AcctTbl,3,0),""))</f>
        <v/>
      </c>
      <c r="P1715" s="82" t="inlineStr"/>
    </row>
    <row r="1716" ht="20.25" customHeight="1">
      <c r="A1716" s="80">
        <f>IF(OR(Crate!$E113="",Crate!$E113=0),"",Crate!$B113)</f>
        <v/>
      </c>
      <c r="B1716" s="80">
        <f>IF(OR(Crate!$E113="",Crate!$E113=0),"",Crate!$C113)</f>
        <v/>
      </c>
      <c r="C1716" s="80">
        <f>IF(OR(Crate!$E113="",Crate!$E113=0),"","سبد")</f>
        <v/>
      </c>
      <c r="D1716" s="80">
        <f>IF(OR(Crate!$E113="",Crate!$E113=0),"",Crate!$E113)</f>
        <v/>
      </c>
      <c r="E1716" s="81">
        <f>IF(OR(Crate!$E113="",Crate!$E113=0),"",Crate!$M113)</f>
        <v/>
      </c>
      <c r="G1716" s="82">
        <f>IF(OR(Crate!$E113="",Crate!$E113=0),"",Crate!$I113)</f>
        <v/>
      </c>
      <c r="J1716" s="82">
        <f>IF(OR(Crate!$E113="",Crate!$E113=0),"",Crate!$J113)</f>
        <v/>
      </c>
      <c r="K1716" s="82">
        <f>IF(OR(Crate!$E113="",Crate!$E113=0),"",IF(Crate!$N113="",0,Crate!$N113)+IF(Crate!$O113="",0,Crate!$O113))</f>
        <v/>
      </c>
      <c r="L1716" s="82">
        <f>IF(OR(Crate!$E113="",Crate!$E113=0),"",Crate!$N113)</f>
        <v/>
      </c>
      <c r="M1716" s="82">
        <f>IF(OR(Crate!$E113="",Crate!$E113=0),"",Crate!$O113)</f>
        <v/>
      </c>
      <c r="N1716" s="81">
        <f>IF(OR(Crate!$E113="",Crate!$E113=0),"",Crate!$D113)</f>
        <v/>
      </c>
      <c r="O1716" s="81">
        <f>IF(OR(Crate!$E113="",Crate!$E113=0),"",IFERROR(VLOOKUP(Crate!$E113,AcctTbl,3,0),""))</f>
        <v/>
      </c>
      <c r="P1716" s="82" t="inlineStr"/>
    </row>
    <row r="1717" ht="20.25" customHeight="1">
      <c r="A1717" s="80">
        <f>IF(OR(Crate!$P113="",Crate!$P113=0),"",Crate!$B113)</f>
        <v/>
      </c>
      <c r="B1717" s="80">
        <f>IF(OR(Crate!$P113="",Crate!$P113=0),"",Crate!$C113)</f>
        <v/>
      </c>
      <c r="C1717" s="80">
        <f>IF(OR(Crate!$P113="",Crate!$P113=0),"","سبد")</f>
        <v/>
      </c>
      <c r="D1717" s="80">
        <f>IF(OR(Crate!$P113="",Crate!$P113=0),"",Crate!$P113)</f>
        <v/>
      </c>
      <c r="E1717" s="81">
        <f>IF(OR(Crate!$P113="",Crate!$P113=0),"",IF(Crate!$P113="","","مقابل: "&amp;Crate!$D113))</f>
        <v/>
      </c>
      <c r="F1717" s="83" t="n"/>
      <c r="G1717" s="83" t="n"/>
      <c r="H1717" s="83" t="n"/>
      <c r="I1717" s="83" t="n"/>
      <c r="J1717" s="83" t="n"/>
      <c r="K1717" s="82">
        <f>IF(OR(Crate!$P113="",Crate!$P113=0),"",IF(Crate!$Q113="",0,Crate!$Q113)+IF(Crate!$R113="",0,Crate!$R113))</f>
        <v/>
      </c>
      <c r="L1717" s="82">
        <f>IF(OR(Crate!$P113="",Crate!$P113=0),"",Crate!$Q113)</f>
        <v/>
      </c>
      <c r="M1717" s="82">
        <f>IF(OR(Crate!$P113="",Crate!$P113=0),"",Crate!$R113)</f>
        <v/>
      </c>
      <c r="N1717" s="81">
        <f>IF(OR(Crate!$P113="",Crate!$P113=0),"","مقابل")</f>
        <v/>
      </c>
      <c r="O1717" s="81">
        <f>IF(OR(Crate!$P113="",Crate!$P113=0),"",IFERROR(VLOOKUP(Crate!$P113,AcctTbl,3,0),""))</f>
        <v/>
      </c>
      <c r="P1717" s="82" t="inlineStr"/>
    </row>
    <row r="1718" ht="20.25" customHeight="1">
      <c r="A1718" s="80">
        <f>IF(OR(Crate!$E114="",Crate!$E114=0),"",Crate!$B114)</f>
        <v/>
      </c>
      <c r="B1718" s="80">
        <f>IF(OR(Crate!$E114="",Crate!$E114=0),"",Crate!$C114)</f>
        <v/>
      </c>
      <c r="C1718" s="80">
        <f>IF(OR(Crate!$E114="",Crate!$E114=0),"","سبد")</f>
        <v/>
      </c>
      <c r="D1718" s="80">
        <f>IF(OR(Crate!$E114="",Crate!$E114=0),"",Crate!$E114)</f>
        <v/>
      </c>
      <c r="E1718" s="81">
        <f>IF(OR(Crate!$E114="",Crate!$E114=0),"",Crate!$M114)</f>
        <v/>
      </c>
      <c r="G1718" s="82">
        <f>IF(OR(Crate!$E114="",Crate!$E114=0),"",Crate!$I114)</f>
        <v/>
      </c>
      <c r="J1718" s="82">
        <f>IF(OR(Crate!$E114="",Crate!$E114=0),"",Crate!$J114)</f>
        <v/>
      </c>
      <c r="K1718" s="82">
        <f>IF(OR(Crate!$E114="",Crate!$E114=0),"",IF(Crate!$N114="",0,Crate!$N114)+IF(Crate!$O114="",0,Crate!$O114))</f>
        <v/>
      </c>
      <c r="L1718" s="82">
        <f>IF(OR(Crate!$E114="",Crate!$E114=0),"",Crate!$N114)</f>
        <v/>
      </c>
      <c r="M1718" s="82">
        <f>IF(OR(Crate!$E114="",Crate!$E114=0),"",Crate!$O114)</f>
        <v/>
      </c>
      <c r="N1718" s="81">
        <f>IF(OR(Crate!$E114="",Crate!$E114=0),"",Crate!$D114)</f>
        <v/>
      </c>
      <c r="O1718" s="81">
        <f>IF(OR(Crate!$E114="",Crate!$E114=0),"",IFERROR(VLOOKUP(Crate!$E114,AcctTbl,3,0),""))</f>
        <v/>
      </c>
      <c r="P1718" s="82" t="inlineStr"/>
    </row>
    <row r="1719" ht="20.25" customHeight="1">
      <c r="A1719" s="80">
        <f>IF(OR(Crate!$P114="",Crate!$P114=0),"",Crate!$B114)</f>
        <v/>
      </c>
      <c r="B1719" s="80">
        <f>IF(OR(Crate!$P114="",Crate!$P114=0),"",Crate!$C114)</f>
        <v/>
      </c>
      <c r="C1719" s="80">
        <f>IF(OR(Crate!$P114="",Crate!$P114=0),"","سبد")</f>
        <v/>
      </c>
      <c r="D1719" s="80">
        <f>IF(OR(Crate!$P114="",Crate!$P114=0),"",Crate!$P114)</f>
        <v/>
      </c>
      <c r="E1719" s="81">
        <f>IF(OR(Crate!$P114="",Crate!$P114=0),"",IF(Crate!$P114="","","مقابل: "&amp;Crate!$D114))</f>
        <v/>
      </c>
      <c r="F1719" s="83" t="n"/>
      <c r="G1719" s="83" t="n"/>
      <c r="H1719" s="83" t="n"/>
      <c r="I1719" s="83" t="n"/>
      <c r="J1719" s="83" t="n"/>
      <c r="K1719" s="82">
        <f>IF(OR(Crate!$P114="",Crate!$P114=0),"",IF(Crate!$Q114="",0,Crate!$Q114)+IF(Crate!$R114="",0,Crate!$R114))</f>
        <v/>
      </c>
      <c r="L1719" s="82">
        <f>IF(OR(Crate!$P114="",Crate!$P114=0),"",Crate!$Q114)</f>
        <v/>
      </c>
      <c r="M1719" s="82">
        <f>IF(OR(Crate!$P114="",Crate!$P114=0),"",Crate!$R114)</f>
        <v/>
      </c>
      <c r="N1719" s="81">
        <f>IF(OR(Crate!$P114="",Crate!$P114=0),"","مقابل")</f>
        <v/>
      </c>
      <c r="O1719" s="81">
        <f>IF(OR(Crate!$P114="",Crate!$P114=0),"",IFERROR(VLOOKUP(Crate!$P114,AcctTbl,3,0),""))</f>
        <v/>
      </c>
      <c r="P1719" s="82" t="inlineStr"/>
    </row>
    <row r="1720" ht="20.25" customHeight="1">
      <c r="A1720" s="80">
        <f>IF(OR(Crate!$E115="",Crate!$E115=0),"",Crate!$B115)</f>
        <v/>
      </c>
      <c r="B1720" s="80">
        <f>IF(OR(Crate!$E115="",Crate!$E115=0),"",Crate!$C115)</f>
        <v/>
      </c>
      <c r="C1720" s="80">
        <f>IF(OR(Crate!$E115="",Crate!$E115=0),"","سبد")</f>
        <v/>
      </c>
      <c r="D1720" s="80">
        <f>IF(OR(Crate!$E115="",Crate!$E115=0),"",Crate!$E115)</f>
        <v/>
      </c>
      <c r="E1720" s="81">
        <f>IF(OR(Crate!$E115="",Crate!$E115=0),"",Crate!$M115)</f>
        <v/>
      </c>
      <c r="G1720" s="82">
        <f>IF(OR(Crate!$E115="",Crate!$E115=0),"",Crate!$I115)</f>
        <v/>
      </c>
      <c r="J1720" s="82">
        <f>IF(OR(Crate!$E115="",Crate!$E115=0),"",Crate!$J115)</f>
        <v/>
      </c>
      <c r="K1720" s="82">
        <f>IF(OR(Crate!$E115="",Crate!$E115=0),"",IF(Crate!$N115="",0,Crate!$N115)+IF(Crate!$O115="",0,Crate!$O115))</f>
        <v/>
      </c>
      <c r="L1720" s="82">
        <f>IF(OR(Crate!$E115="",Crate!$E115=0),"",Crate!$N115)</f>
        <v/>
      </c>
      <c r="M1720" s="82">
        <f>IF(OR(Crate!$E115="",Crate!$E115=0),"",Crate!$O115)</f>
        <v/>
      </c>
      <c r="N1720" s="81">
        <f>IF(OR(Crate!$E115="",Crate!$E115=0),"",Crate!$D115)</f>
        <v/>
      </c>
      <c r="O1720" s="81">
        <f>IF(OR(Crate!$E115="",Crate!$E115=0),"",IFERROR(VLOOKUP(Crate!$E115,AcctTbl,3,0),""))</f>
        <v/>
      </c>
      <c r="P1720" s="82" t="inlineStr"/>
    </row>
    <row r="1721" ht="20.25" customHeight="1">
      <c r="A1721" s="80">
        <f>IF(OR(Crate!$P115="",Crate!$P115=0),"",Crate!$B115)</f>
        <v/>
      </c>
      <c r="B1721" s="80">
        <f>IF(OR(Crate!$P115="",Crate!$P115=0),"",Crate!$C115)</f>
        <v/>
      </c>
      <c r="C1721" s="80">
        <f>IF(OR(Crate!$P115="",Crate!$P115=0),"","سبد")</f>
        <v/>
      </c>
      <c r="D1721" s="80">
        <f>IF(OR(Crate!$P115="",Crate!$P115=0),"",Crate!$P115)</f>
        <v/>
      </c>
      <c r="E1721" s="81">
        <f>IF(OR(Crate!$P115="",Crate!$P115=0),"",IF(Crate!$P115="","","مقابل: "&amp;Crate!$D115))</f>
        <v/>
      </c>
      <c r="F1721" s="83" t="n"/>
      <c r="G1721" s="83" t="n"/>
      <c r="H1721" s="83" t="n"/>
      <c r="I1721" s="83" t="n"/>
      <c r="J1721" s="83" t="n"/>
      <c r="K1721" s="82">
        <f>IF(OR(Crate!$P115="",Crate!$P115=0),"",IF(Crate!$Q115="",0,Crate!$Q115)+IF(Crate!$R115="",0,Crate!$R115))</f>
        <v/>
      </c>
      <c r="L1721" s="82">
        <f>IF(OR(Crate!$P115="",Crate!$P115=0),"",Crate!$Q115)</f>
        <v/>
      </c>
      <c r="M1721" s="82">
        <f>IF(OR(Crate!$P115="",Crate!$P115=0),"",Crate!$R115)</f>
        <v/>
      </c>
      <c r="N1721" s="81">
        <f>IF(OR(Crate!$P115="",Crate!$P115=0),"","مقابل")</f>
        <v/>
      </c>
      <c r="O1721" s="81">
        <f>IF(OR(Crate!$P115="",Crate!$P115=0),"",IFERROR(VLOOKUP(Crate!$P115,AcctTbl,3,0),""))</f>
        <v/>
      </c>
      <c r="P1721" s="82" t="inlineStr"/>
    </row>
    <row r="1722" ht="20.25" customHeight="1">
      <c r="A1722" s="80">
        <f>IF(OR(Crate!$E116="",Crate!$E116=0),"",Crate!$B116)</f>
        <v/>
      </c>
      <c r="B1722" s="80">
        <f>IF(OR(Crate!$E116="",Crate!$E116=0),"",Crate!$C116)</f>
        <v/>
      </c>
      <c r="C1722" s="80">
        <f>IF(OR(Crate!$E116="",Crate!$E116=0),"","سبد")</f>
        <v/>
      </c>
      <c r="D1722" s="80">
        <f>IF(OR(Crate!$E116="",Crate!$E116=0),"",Crate!$E116)</f>
        <v/>
      </c>
      <c r="E1722" s="81">
        <f>IF(OR(Crate!$E116="",Crate!$E116=0),"",Crate!$M116)</f>
        <v/>
      </c>
      <c r="G1722" s="82">
        <f>IF(OR(Crate!$E116="",Crate!$E116=0),"",Crate!$I116)</f>
        <v/>
      </c>
      <c r="J1722" s="82">
        <f>IF(OR(Crate!$E116="",Crate!$E116=0),"",Crate!$J116)</f>
        <v/>
      </c>
      <c r="K1722" s="82">
        <f>IF(OR(Crate!$E116="",Crate!$E116=0),"",IF(Crate!$N116="",0,Crate!$N116)+IF(Crate!$O116="",0,Crate!$O116))</f>
        <v/>
      </c>
      <c r="L1722" s="82">
        <f>IF(OR(Crate!$E116="",Crate!$E116=0),"",Crate!$N116)</f>
        <v/>
      </c>
      <c r="M1722" s="82">
        <f>IF(OR(Crate!$E116="",Crate!$E116=0),"",Crate!$O116)</f>
        <v/>
      </c>
      <c r="N1722" s="81">
        <f>IF(OR(Crate!$E116="",Crate!$E116=0),"",Crate!$D116)</f>
        <v/>
      </c>
      <c r="O1722" s="81">
        <f>IF(OR(Crate!$E116="",Crate!$E116=0),"",IFERROR(VLOOKUP(Crate!$E116,AcctTbl,3,0),""))</f>
        <v/>
      </c>
      <c r="P1722" s="82" t="inlineStr"/>
    </row>
    <row r="1723" ht="20.25" customHeight="1">
      <c r="A1723" s="80">
        <f>IF(OR(Crate!$P116="",Crate!$P116=0),"",Crate!$B116)</f>
        <v/>
      </c>
      <c r="B1723" s="80">
        <f>IF(OR(Crate!$P116="",Crate!$P116=0),"",Crate!$C116)</f>
        <v/>
      </c>
      <c r="C1723" s="80">
        <f>IF(OR(Crate!$P116="",Crate!$P116=0),"","سبد")</f>
        <v/>
      </c>
      <c r="D1723" s="80">
        <f>IF(OR(Crate!$P116="",Crate!$P116=0),"",Crate!$P116)</f>
        <v/>
      </c>
      <c r="E1723" s="81">
        <f>IF(OR(Crate!$P116="",Crate!$P116=0),"",IF(Crate!$P116="","","مقابل: "&amp;Crate!$D116))</f>
        <v/>
      </c>
      <c r="F1723" s="83" t="n"/>
      <c r="G1723" s="83" t="n"/>
      <c r="H1723" s="83" t="n"/>
      <c r="I1723" s="83" t="n"/>
      <c r="J1723" s="83" t="n"/>
      <c r="K1723" s="82">
        <f>IF(OR(Crate!$P116="",Crate!$P116=0),"",IF(Crate!$Q116="",0,Crate!$Q116)+IF(Crate!$R116="",0,Crate!$R116))</f>
        <v/>
      </c>
      <c r="L1723" s="82">
        <f>IF(OR(Crate!$P116="",Crate!$P116=0),"",Crate!$Q116)</f>
        <v/>
      </c>
      <c r="M1723" s="82">
        <f>IF(OR(Crate!$P116="",Crate!$P116=0),"",Crate!$R116)</f>
        <v/>
      </c>
      <c r="N1723" s="81">
        <f>IF(OR(Crate!$P116="",Crate!$P116=0),"","مقابل")</f>
        <v/>
      </c>
      <c r="O1723" s="81">
        <f>IF(OR(Crate!$P116="",Crate!$P116=0),"",IFERROR(VLOOKUP(Crate!$P116,AcctTbl,3,0),""))</f>
        <v/>
      </c>
      <c r="P1723" s="82" t="inlineStr"/>
    </row>
    <row r="1724" ht="20.25" customHeight="1">
      <c r="A1724" s="80">
        <f>IF(OR(Crate!$E117="",Crate!$E117=0),"",Crate!$B117)</f>
        <v/>
      </c>
      <c r="B1724" s="80">
        <f>IF(OR(Crate!$E117="",Crate!$E117=0),"",Crate!$C117)</f>
        <v/>
      </c>
      <c r="C1724" s="80">
        <f>IF(OR(Crate!$E117="",Crate!$E117=0),"","سبد")</f>
        <v/>
      </c>
      <c r="D1724" s="80">
        <f>IF(OR(Crate!$E117="",Crate!$E117=0),"",Crate!$E117)</f>
        <v/>
      </c>
      <c r="E1724" s="81">
        <f>IF(OR(Crate!$E117="",Crate!$E117=0),"",Crate!$M117)</f>
        <v/>
      </c>
      <c r="G1724" s="82">
        <f>IF(OR(Crate!$E117="",Crate!$E117=0),"",Crate!$I117)</f>
        <v/>
      </c>
      <c r="J1724" s="82">
        <f>IF(OR(Crate!$E117="",Crate!$E117=0),"",Crate!$J117)</f>
        <v/>
      </c>
      <c r="K1724" s="82">
        <f>IF(OR(Crate!$E117="",Crate!$E117=0),"",IF(Crate!$N117="",0,Crate!$N117)+IF(Crate!$O117="",0,Crate!$O117))</f>
        <v/>
      </c>
      <c r="L1724" s="82">
        <f>IF(OR(Crate!$E117="",Crate!$E117=0),"",Crate!$N117)</f>
        <v/>
      </c>
      <c r="M1724" s="82">
        <f>IF(OR(Crate!$E117="",Crate!$E117=0),"",Crate!$O117)</f>
        <v/>
      </c>
      <c r="N1724" s="81">
        <f>IF(OR(Crate!$E117="",Crate!$E117=0),"",Crate!$D117)</f>
        <v/>
      </c>
      <c r="O1724" s="81">
        <f>IF(OR(Crate!$E117="",Crate!$E117=0),"",IFERROR(VLOOKUP(Crate!$E117,AcctTbl,3,0),""))</f>
        <v/>
      </c>
      <c r="P1724" s="82" t="inlineStr"/>
    </row>
    <row r="1725" ht="20.25" customHeight="1">
      <c r="A1725" s="80">
        <f>IF(OR(Crate!$P117="",Crate!$P117=0),"",Crate!$B117)</f>
        <v/>
      </c>
      <c r="B1725" s="80">
        <f>IF(OR(Crate!$P117="",Crate!$P117=0),"",Crate!$C117)</f>
        <v/>
      </c>
      <c r="C1725" s="80">
        <f>IF(OR(Crate!$P117="",Crate!$P117=0),"","سبد")</f>
        <v/>
      </c>
      <c r="D1725" s="80">
        <f>IF(OR(Crate!$P117="",Crate!$P117=0),"",Crate!$P117)</f>
        <v/>
      </c>
      <c r="E1725" s="81">
        <f>IF(OR(Crate!$P117="",Crate!$P117=0),"",IF(Crate!$P117="","","مقابل: "&amp;Crate!$D117))</f>
        <v/>
      </c>
      <c r="F1725" s="83" t="n"/>
      <c r="G1725" s="83" t="n"/>
      <c r="H1725" s="83" t="n"/>
      <c r="I1725" s="83" t="n"/>
      <c r="J1725" s="83" t="n"/>
      <c r="K1725" s="82">
        <f>IF(OR(Crate!$P117="",Crate!$P117=0),"",IF(Crate!$Q117="",0,Crate!$Q117)+IF(Crate!$R117="",0,Crate!$R117))</f>
        <v/>
      </c>
      <c r="L1725" s="82">
        <f>IF(OR(Crate!$P117="",Crate!$P117=0),"",Crate!$Q117)</f>
        <v/>
      </c>
      <c r="M1725" s="82">
        <f>IF(OR(Crate!$P117="",Crate!$P117=0),"",Crate!$R117)</f>
        <v/>
      </c>
      <c r="N1725" s="81">
        <f>IF(OR(Crate!$P117="",Crate!$P117=0),"","مقابل")</f>
        <v/>
      </c>
      <c r="O1725" s="81">
        <f>IF(OR(Crate!$P117="",Crate!$P117=0),"",IFERROR(VLOOKUP(Crate!$P117,AcctTbl,3,0),""))</f>
        <v/>
      </c>
      <c r="P1725" s="82" t="inlineStr"/>
    </row>
    <row r="1726" ht="20.25" customHeight="1">
      <c r="A1726" s="80">
        <f>IF(OR(Crate!$E118="",Crate!$E118=0),"",Crate!$B118)</f>
        <v/>
      </c>
      <c r="B1726" s="80">
        <f>IF(OR(Crate!$E118="",Crate!$E118=0),"",Crate!$C118)</f>
        <v/>
      </c>
      <c r="C1726" s="80">
        <f>IF(OR(Crate!$E118="",Crate!$E118=0),"","سبد")</f>
        <v/>
      </c>
      <c r="D1726" s="80">
        <f>IF(OR(Crate!$E118="",Crate!$E118=0),"",Crate!$E118)</f>
        <v/>
      </c>
      <c r="E1726" s="81">
        <f>IF(OR(Crate!$E118="",Crate!$E118=0),"",Crate!$M118)</f>
        <v/>
      </c>
      <c r="G1726" s="82">
        <f>IF(OR(Crate!$E118="",Crate!$E118=0),"",Crate!$I118)</f>
        <v/>
      </c>
      <c r="J1726" s="82">
        <f>IF(OR(Crate!$E118="",Crate!$E118=0),"",Crate!$J118)</f>
        <v/>
      </c>
      <c r="K1726" s="82">
        <f>IF(OR(Crate!$E118="",Crate!$E118=0),"",IF(Crate!$N118="",0,Crate!$N118)+IF(Crate!$O118="",0,Crate!$O118))</f>
        <v/>
      </c>
      <c r="L1726" s="82">
        <f>IF(OR(Crate!$E118="",Crate!$E118=0),"",Crate!$N118)</f>
        <v/>
      </c>
      <c r="M1726" s="82">
        <f>IF(OR(Crate!$E118="",Crate!$E118=0),"",Crate!$O118)</f>
        <v/>
      </c>
      <c r="N1726" s="81">
        <f>IF(OR(Crate!$E118="",Crate!$E118=0),"",Crate!$D118)</f>
        <v/>
      </c>
      <c r="O1726" s="81">
        <f>IF(OR(Crate!$E118="",Crate!$E118=0),"",IFERROR(VLOOKUP(Crate!$E118,AcctTbl,3,0),""))</f>
        <v/>
      </c>
      <c r="P1726" s="82" t="inlineStr"/>
    </row>
    <row r="1727" ht="20.25" customHeight="1">
      <c r="A1727" s="80">
        <f>IF(OR(Crate!$P118="",Crate!$P118=0),"",Crate!$B118)</f>
        <v/>
      </c>
      <c r="B1727" s="80">
        <f>IF(OR(Crate!$P118="",Crate!$P118=0),"",Crate!$C118)</f>
        <v/>
      </c>
      <c r="C1727" s="80">
        <f>IF(OR(Crate!$P118="",Crate!$P118=0),"","سبد")</f>
        <v/>
      </c>
      <c r="D1727" s="80">
        <f>IF(OR(Crate!$P118="",Crate!$P118=0),"",Crate!$P118)</f>
        <v/>
      </c>
      <c r="E1727" s="81">
        <f>IF(OR(Crate!$P118="",Crate!$P118=0),"",IF(Crate!$P118="","","مقابل: "&amp;Crate!$D118))</f>
        <v/>
      </c>
      <c r="F1727" s="83" t="n"/>
      <c r="G1727" s="83" t="n"/>
      <c r="H1727" s="83" t="n"/>
      <c r="I1727" s="83" t="n"/>
      <c r="J1727" s="83" t="n"/>
      <c r="K1727" s="82">
        <f>IF(OR(Crate!$P118="",Crate!$P118=0),"",IF(Crate!$Q118="",0,Crate!$Q118)+IF(Crate!$R118="",0,Crate!$R118))</f>
        <v/>
      </c>
      <c r="L1727" s="82">
        <f>IF(OR(Crate!$P118="",Crate!$P118=0),"",Crate!$Q118)</f>
        <v/>
      </c>
      <c r="M1727" s="82">
        <f>IF(OR(Crate!$P118="",Crate!$P118=0),"",Crate!$R118)</f>
        <v/>
      </c>
      <c r="N1727" s="81">
        <f>IF(OR(Crate!$P118="",Crate!$P118=0),"","مقابل")</f>
        <v/>
      </c>
      <c r="O1727" s="81">
        <f>IF(OR(Crate!$P118="",Crate!$P118=0),"",IFERROR(VLOOKUP(Crate!$P118,AcctTbl,3,0),""))</f>
        <v/>
      </c>
      <c r="P1727" s="82" t="inlineStr"/>
    </row>
    <row r="1728" ht="20.25" customHeight="1">
      <c r="A1728" s="80">
        <f>IF(OR(Crate!$E119="",Crate!$E119=0),"",Crate!$B119)</f>
        <v/>
      </c>
      <c r="B1728" s="80">
        <f>IF(OR(Crate!$E119="",Crate!$E119=0),"",Crate!$C119)</f>
        <v/>
      </c>
      <c r="C1728" s="80">
        <f>IF(OR(Crate!$E119="",Crate!$E119=0),"","سبد")</f>
        <v/>
      </c>
      <c r="D1728" s="80">
        <f>IF(OR(Crate!$E119="",Crate!$E119=0),"",Crate!$E119)</f>
        <v/>
      </c>
      <c r="E1728" s="81">
        <f>IF(OR(Crate!$E119="",Crate!$E119=0),"",Crate!$M119)</f>
        <v/>
      </c>
      <c r="G1728" s="82">
        <f>IF(OR(Crate!$E119="",Crate!$E119=0),"",Crate!$I119)</f>
        <v/>
      </c>
      <c r="J1728" s="82">
        <f>IF(OR(Crate!$E119="",Crate!$E119=0),"",Crate!$J119)</f>
        <v/>
      </c>
      <c r="K1728" s="82">
        <f>IF(OR(Crate!$E119="",Crate!$E119=0),"",IF(Crate!$N119="",0,Crate!$N119)+IF(Crate!$O119="",0,Crate!$O119))</f>
        <v/>
      </c>
      <c r="L1728" s="82">
        <f>IF(OR(Crate!$E119="",Crate!$E119=0),"",Crate!$N119)</f>
        <v/>
      </c>
      <c r="M1728" s="82">
        <f>IF(OR(Crate!$E119="",Crate!$E119=0),"",Crate!$O119)</f>
        <v/>
      </c>
      <c r="N1728" s="81">
        <f>IF(OR(Crate!$E119="",Crate!$E119=0),"",Crate!$D119)</f>
        <v/>
      </c>
      <c r="O1728" s="81">
        <f>IF(OR(Crate!$E119="",Crate!$E119=0),"",IFERROR(VLOOKUP(Crate!$E119,AcctTbl,3,0),""))</f>
        <v/>
      </c>
      <c r="P1728" s="82" t="inlineStr"/>
    </row>
    <row r="1729" ht="20.25" customHeight="1">
      <c r="A1729" s="80">
        <f>IF(OR(Crate!$P119="",Crate!$P119=0),"",Crate!$B119)</f>
        <v/>
      </c>
      <c r="B1729" s="80">
        <f>IF(OR(Crate!$P119="",Crate!$P119=0),"",Crate!$C119)</f>
        <v/>
      </c>
      <c r="C1729" s="80">
        <f>IF(OR(Crate!$P119="",Crate!$P119=0),"","سبد")</f>
        <v/>
      </c>
      <c r="D1729" s="80">
        <f>IF(OR(Crate!$P119="",Crate!$P119=0),"",Crate!$P119)</f>
        <v/>
      </c>
      <c r="E1729" s="81">
        <f>IF(OR(Crate!$P119="",Crate!$P119=0),"",IF(Crate!$P119="","","مقابل: "&amp;Crate!$D119))</f>
        <v/>
      </c>
      <c r="F1729" s="83" t="n"/>
      <c r="G1729" s="83" t="n"/>
      <c r="H1729" s="83" t="n"/>
      <c r="I1729" s="83" t="n"/>
      <c r="J1729" s="83" t="n"/>
      <c r="K1729" s="82">
        <f>IF(OR(Crate!$P119="",Crate!$P119=0),"",IF(Crate!$Q119="",0,Crate!$Q119)+IF(Crate!$R119="",0,Crate!$R119))</f>
        <v/>
      </c>
      <c r="L1729" s="82">
        <f>IF(OR(Crate!$P119="",Crate!$P119=0),"",Crate!$Q119)</f>
        <v/>
      </c>
      <c r="M1729" s="82">
        <f>IF(OR(Crate!$P119="",Crate!$P119=0),"",Crate!$R119)</f>
        <v/>
      </c>
      <c r="N1729" s="81">
        <f>IF(OR(Crate!$P119="",Crate!$P119=0),"","مقابل")</f>
        <v/>
      </c>
      <c r="O1729" s="81">
        <f>IF(OR(Crate!$P119="",Crate!$P119=0),"",IFERROR(VLOOKUP(Crate!$P119,AcctTbl,3,0),""))</f>
        <v/>
      </c>
      <c r="P1729" s="82" t="inlineStr"/>
    </row>
    <row r="1730" ht="20.25" customHeight="1">
      <c r="A1730" s="80">
        <f>IF(OR(Crate!$E120="",Crate!$E120=0),"",Crate!$B120)</f>
        <v/>
      </c>
      <c r="B1730" s="80">
        <f>IF(OR(Crate!$E120="",Crate!$E120=0),"",Crate!$C120)</f>
        <v/>
      </c>
      <c r="C1730" s="80">
        <f>IF(OR(Crate!$E120="",Crate!$E120=0),"","سبد")</f>
        <v/>
      </c>
      <c r="D1730" s="80">
        <f>IF(OR(Crate!$E120="",Crate!$E120=0),"",Crate!$E120)</f>
        <v/>
      </c>
      <c r="E1730" s="81">
        <f>IF(OR(Crate!$E120="",Crate!$E120=0),"",Crate!$M120)</f>
        <v/>
      </c>
      <c r="G1730" s="82">
        <f>IF(OR(Crate!$E120="",Crate!$E120=0),"",Crate!$I120)</f>
        <v/>
      </c>
      <c r="J1730" s="82">
        <f>IF(OR(Crate!$E120="",Crate!$E120=0),"",Crate!$J120)</f>
        <v/>
      </c>
      <c r="K1730" s="82">
        <f>IF(OR(Crate!$E120="",Crate!$E120=0),"",IF(Crate!$N120="",0,Crate!$N120)+IF(Crate!$O120="",0,Crate!$O120))</f>
        <v/>
      </c>
      <c r="L1730" s="82">
        <f>IF(OR(Crate!$E120="",Crate!$E120=0),"",Crate!$N120)</f>
        <v/>
      </c>
      <c r="M1730" s="82">
        <f>IF(OR(Crate!$E120="",Crate!$E120=0),"",Crate!$O120)</f>
        <v/>
      </c>
      <c r="N1730" s="81">
        <f>IF(OR(Crate!$E120="",Crate!$E120=0),"",Crate!$D120)</f>
        <v/>
      </c>
      <c r="O1730" s="81">
        <f>IF(OR(Crate!$E120="",Crate!$E120=0),"",IFERROR(VLOOKUP(Crate!$E120,AcctTbl,3,0),""))</f>
        <v/>
      </c>
      <c r="P1730" s="82" t="inlineStr"/>
    </row>
    <row r="1731" ht="20.25" customHeight="1">
      <c r="A1731" s="80">
        <f>IF(OR(Crate!$P120="",Crate!$P120=0),"",Crate!$B120)</f>
        <v/>
      </c>
      <c r="B1731" s="80">
        <f>IF(OR(Crate!$P120="",Crate!$P120=0),"",Crate!$C120)</f>
        <v/>
      </c>
      <c r="C1731" s="80">
        <f>IF(OR(Crate!$P120="",Crate!$P120=0),"","سبد")</f>
        <v/>
      </c>
      <c r="D1731" s="80">
        <f>IF(OR(Crate!$P120="",Crate!$P120=0),"",Crate!$P120)</f>
        <v/>
      </c>
      <c r="E1731" s="81">
        <f>IF(OR(Crate!$P120="",Crate!$P120=0),"",IF(Crate!$P120="","","مقابل: "&amp;Crate!$D120))</f>
        <v/>
      </c>
      <c r="F1731" s="83" t="n"/>
      <c r="G1731" s="83" t="n"/>
      <c r="H1731" s="83" t="n"/>
      <c r="I1731" s="83" t="n"/>
      <c r="J1731" s="83" t="n"/>
      <c r="K1731" s="82">
        <f>IF(OR(Crate!$P120="",Crate!$P120=0),"",IF(Crate!$Q120="",0,Crate!$Q120)+IF(Crate!$R120="",0,Crate!$R120))</f>
        <v/>
      </c>
      <c r="L1731" s="82">
        <f>IF(OR(Crate!$P120="",Crate!$P120=0),"",Crate!$Q120)</f>
        <v/>
      </c>
      <c r="M1731" s="82">
        <f>IF(OR(Crate!$P120="",Crate!$P120=0),"",Crate!$R120)</f>
        <v/>
      </c>
      <c r="N1731" s="81">
        <f>IF(OR(Crate!$P120="",Crate!$P120=0),"","مقابل")</f>
        <v/>
      </c>
      <c r="O1731" s="81">
        <f>IF(OR(Crate!$P120="",Crate!$P120=0),"",IFERROR(VLOOKUP(Crate!$P120,AcctTbl,3,0),""))</f>
        <v/>
      </c>
      <c r="P1731" s="82" t="inlineStr"/>
    </row>
    <row r="1732" ht="20.25" customHeight="1">
      <c r="A1732" s="80">
        <f>IF(OR(Crate!$E121="",Crate!$E121=0),"",Crate!$B121)</f>
        <v/>
      </c>
      <c r="B1732" s="80">
        <f>IF(OR(Crate!$E121="",Crate!$E121=0),"",Crate!$C121)</f>
        <v/>
      </c>
      <c r="C1732" s="80">
        <f>IF(OR(Crate!$E121="",Crate!$E121=0),"","سبد")</f>
        <v/>
      </c>
      <c r="D1732" s="80">
        <f>IF(OR(Crate!$E121="",Crate!$E121=0),"",Crate!$E121)</f>
        <v/>
      </c>
      <c r="E1732" s="81">
        <f>IF(OR(Crate!$E121="",Crate!$E121=0),"",Crate!$M121)</f>
        <v/>
      </c>
      <c r="G1732" s="82">
        <f>IF(OR(Crate!$E121="",Crate!$E121=0),"",Crate!$I121)</f>
        <v/>
      </c>
      <c r="J1732" s="82">
        <f>IF(OR(Crate!$E121="",Crate!$E121=0),"",Crate!$J121)</f>
        <v/>
      </c>
      <c r="K1732" s="82">
        <f>IF(OR(Crate!$E121="",Crate!$E121=0),"",IF(Crate!$N121="",0,Crate!$N121)+IF(Crate!$O121="",0,Crate!$O121))</f>
        <v/>
      </c>
      <c r="L1732" s="82">
        <f>IF(OR(Crate!$E121="",Crate!$E121=0),"",Crate!$N121)</f>
        <v/>
      </c>
      <c r="M1732" s="82">
        <f>IF(OR(Crate!$E121="",Crate!$E121=0),"",Crate!$O121)</f>
        <v/>
      </c>
      <c r="N1732" s="81">
        <f>IF(OR(Crate!$E121="",Crate!$E121=0),"",Crate!$D121)</f>
        <v/>
      </c>
      <c r="O1732" s="81">
        <f>IF(OR(Crate!$E121="",Crate!$E121=0),"",IFERROR(VLOOKUP(Crate!$E121,AcctTbl,3,0),""))</f>
        <v/>
      </c>
      <c r="P1732" s="82" t="inlineStr"/>
    </row>
    <row r="1733" ht="20.25" customHeight="1">
      <c r="A1733" s="80">
        <f>IF(OR(Crate!$P121="",Crate!$P121=0),"",Crate!$B121)</f>
        <v/>
      </c>
      <c r="B1733" s="80">
        <f>IF(OR(Crate!$P121="",Crate!$P121=0),"",Crate!$C121)</f>
        <v/>
      </c>
      <c r="C1733" s="80">
        <f>IF(OR(Crate!$P121="",Crate!$P121=0),"","سبد")</f>
        <v/>
      </c>
      <c r="D1733" s="80">
        <f>IF(OR(Crate!$P121="",Crate!$P121=0),"",Crate!$P121)</f>
        <v/>
      </c>
      <c r="E1733" s="81">
        <f>IF(OR(Crate!$P121="",Crate!$P121=0),"",IF(Crate!$P121="","","مقابل: "&amp;Crate!$D121))</f>
        <v/>
      </c>
      <c r="F1733" s="83" t="n"/>
      <c r="G1733" s="83" t="n"/>
      <c r="H1733" s="83" t="n"/>
      <c r="I1733" s="83" t="n"/>
      <c r="J1733" s="83" t="n"/>
      <c r="K1733" s="82">
        <f>IF(OR(Crate!$P121="",Crate!$P121=0),"",IF(Crate!$Q121="",0,Crate!$Q121)+IF(Crate!$R121="",0,Crate!$R121))</f>
        <v/>
      </c>
      <c r="L1733" s="82">
        <f>IF(OR(Crate!$P121="",Crate!$P121=0),"",Crate!$Q121)</f>
        <v/>
      </c>
      <c r="M1733" s="82">
        <f>IF(OR(Crate!$P121="",Crate!$P121=0),"",Crate!$R121)</f>
        <v/>
      </c>
      <c r="N1733" s="81">
        <f>IF(OR(Crate!$P121="",Crate!$P121=0),"","مقابل")</f>
        <v/>
      </c>
      <c r="O1733" s="81">
        <f>IF(OR(Crate!$P121="",Crate!$P121=0),"",IFERROR(VLOOKUP(Crate!$P121,AcctTbl,3,0),""))</f>
        <v/>
      </c>
      <c r="P1733" s="82" t="inlineStr"/>
    </row>
    <row r="1734" ht="20.25" customHeight="1">
      <c r="A1734" s="80">
        <f>IF(OR(Crate!$E122="",Crate!$E122=0),"",Crate!$B122)</f>
        <v/>
      </c>
      <c r="B1734" s="80">
        <f>IF(OR(Crate!$E122="",Crate!$E122=0),"",Crate!$C122)</f>
        <v/>
      </c>
      <c r="C1734" s="80">
        <f>IF(OR(Crate!$E122="",Crate!$E122=0),"","سبد")</f>
        <v/>
      </c>
      <c r="D1734" s="80">
        <f>IF(OR(Crate!$E122="",Crate!$E122=0),"",Crate!$E122)</f>
        <v/>
      </c>
      <c r="E1734" s="81">
        <f>IF(OR(Crate!$E122="",Crate!$E122=0),"",Crate!$M122)</f>
        <v/>
      </c>
      <c r="G1734" s="82">
        <f>IF(OR(Crate!$E122="",Crate!$E122=0),"",Crate!$I122)</f>
        <v/>
      </c>
      <c r="J1734" s="82">
        <f>IF(OR(Crate!$E122="",Crate!$E122=0),"",Crate!$J122)</f>
        <v/>
      </c>
      <c r="K1734" s="82">
        <f>IF(OR(Crate!$E122="",Crate!$E122=0),"",IF(Crate!$N122="",0,Crate!$N122)+IF(Crate!$O122="",0,Crate!$O122))</f>
        <v/>
      </c>
      <c r="L1734" s="82">
        <f>IF(OR(Crate!$E122="",Crate!$E122=0),"",Crate!$N122)</f>
        <v/>
      </c>
      <c r="M1734" s="82">
        <f>IF(OR(Crate!$E122="",Crate!$E122=0),"",Crate!$O122)</f>
        <v/>
      </c>
      <c r="N1734" s="81">
        <f>IF(OR(Crate!$E122="",Crate!$E122=0),"",Crate!$D122)</f>
        <v/>
      </c>
      <c r="O1734" s="81">
        <f>IF(OR(Crate!$E122="",Crate!$E122=0),"",IFERROR(VLOOKUP(Crate!$E122,AcctTbl,3,0),""))</f>
        <v/>
      </c>
      <c r="P1734" s="82" t="inlineStr"/>
    </row>
    <row r="1735" ht="20.25" customHeight="1">
      <c r="A1735" s="80">
        <f>IF(OR(Crate!$P122="",Crate!$P122=0),"",Crate!$B122)</f>
        <v/>
      </c>
      <c r="B1735" s="80">
        <f>IF(OR(Crate!$P122="",Crate!$P122=0),"",Crate!$C122)</f>
        <v/>
      </c>
      <c r="C1735" s="80">
        <f>IF(OR(Crate!$P122="",Crate!$P122=0),"","سبد")</f>
        <v/>
      </c>
      <c r="D1735" s="80">
        <f>IF(OR(Crate!$P122="",Crate!$P122=0),"",Crate!$P122)</f>
        <v/>
      </c>
      <c r="E1735" s="81">
        <f>IF(OR(Crate!$P122="",Crate!$P122=0),"",IF(Crate!$P122="","","مقابل: "&amp;Crate!$D122))</f>
        <v/>
      </c>
      <c r="F1735" s="83" t="n"/>
      <c r="G1735" s="83" t="n"/>
      <c r="H1735" s="83" t="n"/>
      <c r="I1735" s="83" t="n"/>
      <c r="J1735" s="83" t="n"/>
      <c r="K1735" s="82">
        <f>IF(OR(Crate!$P122="",Crate!$P122=0),"",IF(Crate!$Q122="",0,Crate!$Q122)+IF(Crate!$R122="",0,Crate!$R122))</f>
        <v/>
      </c>
      <c r="L1735" s="82">
        <f>IF(OR(Crate!$P122="",Crate!$P122=0),"",Crate!$Q122)</f>
        <v/>
      </c>
      <c r="M1735" s="82">
        <f>IF(OR(Crate!$P122="",Crate!$P122=0),"",Crate!$R122)</f>
        <v/>
      </c>
      <c r="N1735" s="81">
        <f>IF(OR(Crate!$P122="",Crate!$P122=0),"","مقابل")</f>
        <v/>
      </c>
      <c r="O1735" s="81">
        <f>IF(OR(Crate!$P122="",Crate!$P122=0),"",IFERROR(VLOOKUP(Crate!$P122,AcctTbl,3,0),""))</f>
        <v/>
      </c>
      <c r="P1735" s="82" t="inlineStr"/>
    </row>
    <row r="1736" ht="20.25" customHeight="1">
      <c r="A1736" s="80">
        <f>IF(OR(Crate!$E123="",Crate!$E123=0),"",Crate!$B123)</f>
        <v/>
      </c>
      <c r="B1736" s="80">
        <f>IF(OR(Crate!$E123="",Crate!$E123=0),"",Crate!$C123)</f>
        <v/>
      </c>
      <c r="C1736" s="80">
        <f>IF(OR(Crate!$E123="",Crate!$E123=0),"","سبد")</f>
        <v/>
      </c>
      <c r="D1736" s="80">
        <f>IF(OR(Crate!$E123="",Crate!$E123=0),"",Crate!$E123)</f>
        <v/>
      </c>
      <c r="E1736" s="81">
        <f>IF(OR(Crate!$E123="",Crate!$E123=0),"",Crate!$M123)</f>
        <v/>
      </c>
      <c r="G1736" s="82">
        <f>IF(OR(Crate!$E123="",Crate!$E123=0),"",Crate!$I123)</f>
        <v/>
      </c>
      <c r="J1736" s="82">
        <f>IF(OR(Crate!$E123="",Crate!$E123=0),"",Crate!$J123)</f>
        <v/>
      </c>
      <c r="K1736" s="82">
        <f>IF(OR(Crate!$E123="",Crate!$E123=0),"",IF(Crate!$N123="",0,Crate!$N123)+IF(Crate!$O123="",0,Crate!$O123))</f>
        <v/>
      </c>
      <c r="L1736" s="82">
        <f>IF(OR(Crate!$E123="",Crate!$E123=0),"",Crate!$N123)</f>
        <v/>
      </c>
      <c r="M1736" s="82">
        <f>IF(OR(Crate!$E123="",Crate!$E123=0),"",Crate!$O123)</f>
        <v/>
      </c>
      <c r="N1736" s="81">
        <f>IF(OR(Crate!$E123="",Crate!$E123=0),"",Crate!$D123)</f>
        <v/>
      </c>
      <c r="O1736" s="81">
        <f>IF(OR(Crate!$E123="",Crate!$E123=0),"",IFERROR(VLOOKUP(Crate!$E123,AcctTbl,3,0),""))</f>
        <v/>
      </c>
      <c r="P1736" s="82" t="inlineStr"/>
    </row>
    <row r="1737" ht="20.25" customHeight="1">
      <c r="A1737" s="80">
        <f>IF(OR(Crate!$P123="",Crate!$P123=0),"",Crate!$B123)</f>
        <v/>
      </c>
      <c r="B1737" s="80">
        <f>IF(OR(Crate!$P123="",Crate!$P123=0),"",Crate!$C123)</f>
        <v/>
      </c>
      <c r="C1737" s="80">
        <f>IF(OR(Crate!$P123="",Crate!$P123=0),"","سبد")</f>
        <v/>
      </c>
      <c r="D1737" s="80">
        <f>IF(OR(Crate!$P123="",Crate!$P123=0),"",Crate!$P123)</f>
        <v/>
      </c>
      <c r="E1737" s="81">
        <f>IF(OR(Crate!$P123="",Crate!$P123=0),"",IF(Crate!$P123="","","مقابل: "&amp;Crate!$D123))</f>
        <v/>
      </c>
      <c r="F1737" s="83" t="n"/>
      <c r="G1737" s="83" t="n"/>
      <c r="H1737" s="83" t="n"/>
      <c r="I1737" s="83" t="n"/>
      <c r="J1737" s="83" t="n"/>
      <c r="K1737" s="82">
        <f>IF(OR(Crate!$P123="",Crate!$P123=0),"",IF(Crate!$Q123="",0,Crate!$Q123)+IF(Crate!$R123="",0,Crate!$R123))</f>
        <v/>
      </c>
      <c r="L1737" s="82">
        <f>IF(OR(Crate!$P123="",Crate!$P123=0),"",Crate!$Q123)</f>
        <v/>
      </c>
      <c r="M1737" s="82">
        <f>IF(OR(Crate!$P123="",Crate!$P123=0),"",Crate!$R123)</f>
        <v/>
      </c>
      <c r="N1737" s="81">
        <f>IF(OR(Crate!$P123="",Crate!$P123=0),"","مقابل")</f>
        <v/>
      </c>
      <c r="O1737" s="81">
        <f>IF(OR(Crate!$P123="",Crate!$P123=0),"",IFERROR(VLOOKUP(Crate!$P123,AcctTbl,3,0),""))</f>
        <v/>
      </c>
      <c r="P1737" s="82" t="inlineStr"/>
    </row>
    <row r="1738" ht="20.25" customHeight="1">
      <c r="A1738" s="80">
        <f>IF(OR(Crate!$E124="",Crate!$E124=0),"",Crate!$B124)</f>
        <v/>
      </c>
      <c r="B1738" s="80">
        <f>IF(OR(Crate!$E124="",Crate!$E124=0),"",Crate!$C124)</f>
        <v/>
      </c>
      <c r="C1738" s="80">
        <f>IF(OR(Crate!$E124="",Crate!$E124=0),"","سبد")</f>
        <v/>
      </c>
      <c r="D1738" s="80">
        <f>IF(OR(Crate!$E124="",Crate!$E124=0),"",Crate!$E124)</f>
        <v/>
      </c>
      <c r="E1738" s="81">
        <f>IF(OR(Crate!$E124="",Crate!$E124=0),"",Crate!$M124)</f>
        <v/>
      </c>
      <c r="G1738" s="82">
        <f>IF(OR(Crate!$E124="",Crate!$E124=0),"",Crate!$I124)</f>
        <v/>
      </c>
      <c r="J1738" s="82">
        <f>IF(OR(Crate!$E124="",Crate!$E124=0),"",Crate!$J124)</f>
        <v/>
      </c>
      <c r="K1738" s="82">
        <f>IF(OR(Crate!$E124="",Crate!$E124=0),"",IF(Crate!$N124="",0,Crate!$N124)+IF(Crate!$O124="",0,Crate!$O124))</f>
        <v/>
      </c>
      <c r="L1738" s="82">
        <f>IF(OR(Crate!$E124="",Crate!$E124=0),"",Crate!$N124)</f>
        <v/>
      </c>
      <c r="M1738" s="82">
        <f>IF(OR(Crate!$E124="",Crate!$E124=0),"",Crate!$O124)</f>
        <v/>
      </c>
      <c r="N1738" s="81">
        <f>IF(OR(Crate!$E124="",Crate!$E124=0),"",Crate!$D124)</f>
        <v/>
      </c>
      <c r="O1738" s="81">
        <f>IF(OR(Crate!$E124="",Crate!$E124=0),"",IFERROR(VLOOKUP(Crate!$E124,AcctTbl,3,0),""))</f>
        <v/>
      </c>
      <c r="P1738" s="82" t="inlineStr"/>
    </row>
    <row r="1739" ht="20.25" customHeight="1">
      <c r="A1739" s="80">
        <f>IF(OR(Crate!$P124="",Crate!$P124=0),"",Crate!$B124)</f>
        <v/>
      </c>
      <c r="B1739" s="80">
        <f>IF(OR(Crate!$P124="",Crate!$P124=0),"",Crate!$C124)</f>
        <v/>
      </c>
      <c r="C1739" s="80">
        <f>IF(OR(Crate!$P124="",Crate!$P124=0),"","سبد")</f>
        <v/>
      </c>
      <c r="D1739" s="80">
        <f>IF(OR(Crate!$P124="",Crate!$P124=0),"",Crate!$P124)</f>
        <v/>
      </c>
      <c r="E1739" s="81">
        <f>IF(OR(Crate!$P124="",Crate!$P124=0),"",IF(Crate!$P124="","","مقابل: "&amp;Crate!$D124))</f>
        <v/>
      </c>
      <c r="F1739" s="83" t="n"/>
      <c r="G1739" s="83" t="n"/>
      <c r="H1739" s="83" t="n"/>
      <c r="I1739" s="83" t="n"/>
      <c r="J1739" s="83" t="n"/>
      <c r="K1739" s="82">
        <f>IF(OR(Crate!$P124="",Crate!$P124=0),"",IF(Crate!$Q124="",0,Crate!$Q124)+IF(Crate!$R124="",0,Crate!$R124))</f>
        <v/>
      </c>
      <c r="L1739" s="82">
        <f>IF(OR(Crate!$P124="",Crate!$P124=0),"",Crate!$Q124)</f>
        <v/>
      </c>
      <c r="M1739" s="82">
        <f>IF(OR(Crate!$P124="",Crate!$P124=0),"",Crate!$R124)</f>
        <v/>
      </c>
      <c r="N1739" s="81">
        <f>IF(OR(Crate!$P124="",Crate!$P124=0),"","مقابل")</f>
        <v/>
      </c>
      <c r="O1739" s="81">
        <f>IF(OR(Crate!$P124="",Crate!$P124=0),"",IFERROR(VLOOKUP(Crate!$P124,AcctTbl,3,0),""))</f>
        <v/>
      </c>
      <c r="P1739" s="82" t="inlineStr"/>
    </row>
    <row r="1740" ht="20.25" customHeight="1">
      <c r="A1740" s="80">
        <f>IF(OR(Crate!$E125="",Crate!$E125=0),"",Crate!$B125)</f>
        <v/>
      </c>
      <c r="B1740" s="80">
        <f>IF(OR(Crate!$E125="",Crate!$E125=0),"",Crate!$C125)</f>
        <v/>
      </c>
      <c r="C1740" s="80">
        <f>IF(OR(Crate!$E125="",Crate!$E125=0),"","سبد")</f>
        <v/>
      </c>
      <c r="D1740" s="80">
        <f>IF(OR(Crate!$E125="",Crate!$E125=0),"",Crate!$E125)</f>
        <v/>
      </c>
      <c r="E1740" s="81">
        <f>IF(OR(Crate!$E125="",Crate!$E125=0),"",Crate!$M125)</f>
        <v/>
      </c>
      <c r="G1740" s="82">
        <f>IF(OR(Crate!$E125="",Crate!$E125=0),"",Crate!$I125)</f>
        <v/>
      </c>
      <c r="J1740" s="82">
        <f>IF(OR(Crate!$E125="",Crate!$E125=0),"",Crate!$J125)</f>
        <v/>
      </c>
      <c r="K1740" s="82">
        <f>IF(OR(Crate!$E125="",Crate!$E125=0),"",IF(Crate!$N125="",0,Crate!$N125)+IF(Crate!$O125="",0,Crate!$O125))</f>
        <v/>
      </c>
      <c r="L1740" s="82">
        <f>IF(OR(Crate!$E125="",Crate!$E125=0),"",Crate!$N125)</f>
        <v/>
      </c>
      <c r="M1740" s="82">
        <f>IF(OR(Crate!$E125="",Crate!$E125=0),"",Crate!$O125)</f>
        <v/>
      </c>
      <c r="N1740" s="81">
        <f>IF(OR(Crate!$E125="",Crate!$E125=0),"",Crate!$D125)</f>
        <v/>
      </c>
      <c r="O1740" s="81">
        <f>IF(OR(Crate!$E125="",Crate!$E125=0),"",IFERROR(VLOOKUP(Crate!$E125,AcctTbl,3,0),""))</f>
        <v/>
      </c>
      <c r="P1740" s="82" t="inlineStr"/>
    </row>
    <row r="1741" ht="20.25" customHeight="1">
      <c r="A1741" s="80">
        <f>IF(OR(Crate!$P125="",Crate!$P125=0),"",Crate!$B125)</f>
        <v/>
      </c>
      <c r="B1741" s="80">
        <f>IF(OR(Crate!$P125="",Crate!$P125=0),"",Crate!$C125)</f>
        <v/>
      </c>
      <c r="C1741" s="80">
        <f>IF(OR(Crate!$P125="",Crate!$P125=0),"","سبد")</f>
        <v/>
      </c>
      <c r="D1741" s="80">
        <f>IF(OR(Crate!$P125="",Crate!$P125=0),"",Crate!$P125)</f>
        <v/>
      </c>
      <c r="E1741" s="81">
        <f>IF(OR(Crate!$P125="",Crate!$P125=0),"",IF(Crate!$P125="","","مقابل: "&amp;Crate!$D125))</f>
        <v/>
      </c>
      <c r="F1741" s="83" t="n"/>
      <c r="G1741" s="83" t="n"/>
      <c r="H1741" s="83" t="n"/>
      <c r="I1741" s="83" t="n"/>
      <c r="J1741" s="83" t="n"/>
      <c r="K1741" s="82">
        <f>IF(OR(Crate!$P125="",Crate!$P125=0),"",IF(Crate!$Q125="",0,Crate!$Q125)+IF(Crate!$R125="",0,Crate!$R125))</f>
        <v/>
      </c>
      <c r="L1741" s="82">
        <f>IF(OR(Crate!$P125="",Crate!$P125=0),"",Crate!$Q125)</f>
        <v/>
      </c>
      <c r="M1741" s="82">
        <f>IF(OR(Crate!$P125="",Crate!$P125=0),"",Crate!$R125)</f>
        <v/>
      </c>
      <c r="N1741" s="81">
        <f>IF(OR(Crate!$P125="",Crate!$P125=0),"","مقابل")</f>
        <v/>
      </c>
      <c r="O1741" s="81">
        <f>IF(OR(Crate!$P125="",Crate!$P125=0),"",IFERROR(VLOOKUP(Crate!$P125,AcctTbl,3,0),""))</f>
        <v/>
      </c>
      <c r="P1741" s="82" t="inlineStr"/>
    </row>
    <row r="1742" ht="20.25" customHeight="1">
      <c r="A1742" s="80">
        <f>IF(OR(Crate!$E126="",Crate!$E126=0),"",Crate!$B126)</f>
        <v/>
      </c>
      <c r="B1742" s="80">
        <f>IF(OR(Crate!$E126="",Crate!$E126=0),"",Crate!$C126)</f>
        <v/>
      </c>
      <c r="C1742" s="80">
        <f>IF(OR(Crate!$E126="",Crate!$E126=0),"","سبد")</f>
        <v/>
      </c>
      <c r="D1742" s="80">
        <f>IF(OR(Crate!$E126="",Crate!$E126=0),"",Crate!$E126)</f>
        <v/>
      </c>
      <c r="E1742" s="81">
        <f>IF(OR(Crate!$E126="",Crate!$E126=0),"",Crate!$M126)</f>
        <v/>
      </c>
      <c r="G1742" s="82">
        <f>IF(OR(Crate!$E126="",Crate!$E126=0),"",Crate!$I126)</f>
        <v/>
      </c>
      <c r="J1742" s="82">
        <f>IF(OR(Crate!$E126="",Crate!$E126=0),"",Crate!$J126)</f>
        <v/>
      </c>
      <c r="K1742" s="82">
        <f>IF(OR(Crate!$E126="",Crate!$E126=0),"",IF(Crate!$N126="",0,Crate!$N126)+IF(Crate!$O126="",0,Crate!$O126))</f>
        <v/>
      </c>
      <c r="L1742" s="82">
        <f>IF(OR(Crate!$E126="",Crate!$E126=0),"",Crate!$N126)</f>
        <v/>
      </c>
      <c r="M1742" s="82">
        <f>IF(OR(Crate!$E126="",Crate!$E126=0),"",Crate!$O126)</f>
        <v/>
      </c>
      <c r="N1742" s="81">
        <f>IF(OR(Crate!$E126="",Crate!$E126=0),"",Crate!$D126)</f>
        <v/>
      </c>
      <c r="O1742" s="81">
        <f>IF(OR(Crate!$E126="",Crate!$E126=0),"",IFERROR(VLOOKUP(Crate!$E126,AcctTbl,3,0),""))</f>
        <v/>
      </c>
      <c r="P1742" s="82" t="inlineStr"/>
    </row>
    <row r="1743" ht="20.25" customHeight="1">
      <c r="A1743" s="80">
        <f>IF(OR(Crate!$P126="",Crate!$P126=0),"",Crate!$B126)</f>
        <v/>
      </c>
      <c r="B1743" s="80">
        <f>IF(OR(Crate!$P126="",Crate!$P126=0),"",Crate!$C126)</f>
        <v/>
      </c>
      <c r="C1743" s="80">
        <f>IF(OR(Crate!$P126="",Crate!$P126=0),"","سبد")</f>
        <v/>
      </c>
      <c r="D1743" s="80">
        <f>IF(OR(Crate!$P126="",Crate!$P126=0),"",Crate!$P126)</f>
        <v/>
      </c>
      <c r="E1743" s="81">
        <f>IF(OR(Crate!$P126="",Crate!$P126=0),"",IF(Crate!$P126="","","مقابل: "&amp;Crate!$D126))</f>
        <v/>
      </c>
      <c r="F1743" s="83" t="n"/>
      <c r="G1743" s="83" t="n"/>
      <c r="H1743" s="83" t="n"/>
      <c r="I1743" s="83" t="n"/>
      <c r="J1743" s="83" t="n"/>
      <c r="K1743" s="82">
        <f>IF(OR(Crate!$P126="",Crate!$P126=0),"",IF(Crate!$Q126="",0,Crate!$Q126)+IF(Crate!$R126="",0,Crate!$R126))</f>
        <v/>
      </c>
      <c r="L1743" s="82">
        <f>IF(OR(Crate!$P126="",Crate!$P126=0),"",Crate!$Q126)</f>
        <v/>
      </c>
      <c r="M1743" s="82">
        <f>IF(OR(Crate!$P126="",Crate!$P126=0),"",Crate!$R126)</f>
        <v/>
      </c>
      <c r="N1743" s="81">
        <f>IF(OR(Crate!$P126="",Crate!$P126=0),"","مقابل")</f>
        <v/>
      </c>
      <c r="O1743" s="81">
        <f>IF(OR(Crate!$P126="",Crate!$P126=0),"",IFERROR(VLOOKUP(Crate!$P126,AcctTbl,3,0),""))</f>
        <v/>
      </c>
      <c r="P1743" s="82" t="inlineStr"/>
    </row>
    <row r="1744" ht="20.25" customHeight="1">
      <c r="A1744" s="80">
        <f>IF(OR(Crate!$E127="",Crate!$E127=0),"",Crate!$B127)</f>
        <v/>
      </c>
      <c r="B1744" s="80">
        <f>IF(OR(Crate!$E127="",Crate!$E127=0),"",Crate!$C127)</f>
        <v/>
      </c>
      <c r="C1744" s="80">
        <f>IF(OR(Crate!$E127="",Crate!$E127=0),"","سبد")</f>
        <v/>
      </c>
      <c r="D1744" s="80">
        <f>IF(OR(Crate!$E127="",Crate!$E127=0),"",Crate!$E127)</f>
        <v/>
      </c>
      <c r="E1744" s="81">
        <f>IF(OR(Crate!$E127="",Crate!$E127=0),"",Crate!$M127)</f>
        <v/>
      </c>
      <c r="G1744" s="82">
        <f>IF(OR(Crate!$E127="",Crate!$E127=0),"",Crate!$I127)</f>
        <v/>
      </c>
      <c r="J1744" s="82">
        <f>IF(OR(Crate!$E127="",Crate!$E127=0),"",Crate!$J127)</f>
        <v/>
      </c>
      <c r="K1744" s="82">
        <f>IF(OR(Crate!$E127="",Crate!$E127=0),"",IF(Crate!$N127="",0,Crate!$N127)+IF(Crate!$O127="",0,Crate!$O127))</f>
        <v/>
      </c>
      <c r="L1744" s="82">
        <f>IF(OR(Crate!$E127="",Crate!$E127=0),"",Crate!$N127)</f>
        <v/>
      </c>
      <c r="M1744" s="82">
        <f>IF(OR(Crate!$E127="",Crate!$E127=0),"",Crate!$O127)</f>
        <v/>
      </c>
      <c r="N1744" s="81">
        <f>IF(OR(Crate!$E127="",Crate!$E127=0),"",Crate!$D127)</f>
        <v/>
      </c>
      <c r="O1744" s="81">
        <f>IF(OR(Crate!$E127="",Crate!$E127=0),"",IFERROR(VLOOKUP(Crate!$E127,AcctTbl,3,0),""))</f>
        <v/>
      </c>
      <c r="P1744" s="82" t="inlineStr"/>
    </row>
    <row r="1745" ht="20.25" customHeight="1">
      <c r="A1745" s="80">
        <f>IF(OR(Crate!$P127="",Crate!$P127=0),"",Crate!$B127)</f>
        <v/>
      </c>
      <c r="B1745" s="80">
        <f>IF(OR(Crate!$P127="",Crate!$P127=0),"",Crate!$C127)</f>
        <v/>
      </c>
      <c r="C1745" s="80">
        <f>IF(OR(Crate!$P127="",Crate!$P127=0),"","سبد")</f>
        <v/>
      </c>
      <c r="D1745" s="80">
        <f>IF(OR(Crate!$P127="",Crate!$P127=0),"",Crate!$P127)</f>
        <v/>
      </c>
      <c r="E1745" s="81">
        <f>IF(OR(Crate!$P127="",Crate!$P127=0),"",IF(Crate!$P127="","","مقابل: "&amp;Crate!$D127))</f>
        <v/>
      </c>
      <c r="F1745" s="83" t="n"/>
      <c r="G1745" s="83" t="n"/>
      <c r="H1745" s="83" t="n"/>
      <c r="I1745" s="83" t="n"/>
      <c r="J1745" s="83" t="n"/>
      <c r="K1745" s="82">
        <f>IF(OR(Crate!$P127="",Crate!$P127=0),"",IF(Crate!$Q127="",0,Crate!$Q127)+IF(Crate!$R127="",0,Crate!$R127))</f>
        <v/>
      </c>
      <c r="L1745" s="82">
        <f>IF(OR(Crate!$P127="",Crate!$P127=0),"",Crate!$Q127)</f>
        <v/>
      </c>
      <c r="M1745" s="82">
        <f>IF(OR(Crate!$P127="",Crate!$P127=0),"",Crate!$R127)</f>
        <v/>
      </c>
      <c r="N1745" s="81">
        <f>IF(OR(Crate!$P127="",Crate!$P127=0),"","مقابل")</f>
        <v/>
      </c>
      <c r="O1745" s="81">
        <f>IF(OR(Crate!$P127="",Crate!$P127=0),"",IFERROR(VLOOKUP(Crate!$P127,AcctTbl,3,0),""))</f>
        <v/>
      </c>
      <c r="P1745" s="82" t="inlineStr"/>
    </row>
    <row r="1746" ht="20.25" customHeight="1">
      <c r="A1746" s="80">
        <f>IF(OR(Crate!$E128="",Crate!$E128=0),"",Crate!$B128)</f>
        <v/>
      </c>
      <c r="B1746" s="80">
        <f>IF(OR(Crate!$E128="",Crate!$E128=0),"",Crate!$C128)</f>
        <v/>
      </c>
      <c r="C1746" s="80">
        <f>IF(OR(Crate!$E128="",Crate!$E128=0),"","سبد")</f>
        <v/>
      </c>
      <c r="D1746" s="80">
        <f>IF(OR(Crate!$E128="",Crate!$E128=0),"",Crate!$E128)</f>
        <v/>
      </c>
      <c r="E1746" s="81">
        <f>IF(OR(Crate!$E128="",Crate!$E128=0),"",Crate!$M128)</f>
        <v/>
      </c>
      <c r="G1746" s="82">
        <f>IF(OR(Crate!$E128="",Crate!$E128=0),"",Crate!$I128)</f>
        <v/>
      </c>
      <c r="J1746" s="82">
        <f>IF(OR(Crate!$E128="",Crate!$E128=0),"",Crate!$J128)</f>
        <v/>
      </c>
      <c r="K1746" s="82">
        <f>IF(OR(Crate!$E128="",Crate!$E128=0),"",IF(Crate!$N128="",0,Crate!$N128)+IF(Crate!$O128="",0,Crate!$O128))</f>
        <v/>
      </c>
      <c r="L1746" s="82">
        <f>IF(OR(Crate!$E128="",Crate!$E128=0),"",Crate!$N128)</f>
        <v/>
      </c>
      <c r="M1746" s="82">
        <f>IF(OR(Crate!$E128="",Crate!$E128=0),"",Crate!$O128)</f>
        <v/>
      </c>
      <c r="N1746" s="81">
        <f>IF(OR(Crate!$E128="",Crate!$E128=0),"",Crate!$D128)</f>
        <v/>
      </c>
      <c r="O1746" s="81">
        <f>IF(OR(Crate!$E128="",Crate!$E128=0),"",IFERROR(VLOOKUP(Crate!$E128,AcctTbl,3,0),""))</f>
        <v/>
      </c>
      <c r="P1746" s="82" t="inlineStr"/>
    </row>
    <row r="1747" ht="20.25" customHeight="1">
      <c r="A1747" s="80">
        <f>IF(OR(Crate!$P128="",Crate!$P128=0),"",Crate!$B128)</f>
        <v/>
      </c>
      <c r="B1747" s="80">
        <f>IF(OR(Crate!$P128="",Crate!$P128=0),"",Crate!$C128)</f>
        <v/>
      </c>
      <c r="C1747" s="80">
        <f>IF(OR(Crate!$P128="",Crate!$P128=0),"","سبد")</f>
        <v/>
      </c>
      <c r="D1747" s="80">
        <f>IF(OR(Crate!$P128="",Crate!$P128=0),"",Crate!$P128)</f>
        <v/>
      </c>
      <c r="E1747" s="81">
        <f>IF(OR(Crate!$P128="",Crate!$P128=0),"",IF(Crate!$P128="","","مقابل: "&amp;Crate!$D128))</f>
        <v/>
      </c>
      <c r="F1747" s="83" t="n"/>
      <c r="G1747" s="83" t="n"/>
      <c r="H1747" s="83" t="n"/>
      <c r="I1747" s="83" t="n"/>
      <c r="J1747" s="83" t="n"/>
      <c r="K1747" s="82">
        <f>IF(OR(Crate!$P128="",Crate!$P128=0),"",IF(Crate!$Q128="",0,Crate!$Q128)+IF(Crate!$R128="",0,Crate!$R128))</f>
        <v/>
      </c>
      <c r="L1747" s="82">
        <f>IF(OR(Crate!$P128="",Crate!$P128=0),"",Crate!$Q128)</f>
        <v/>
      </c>
      <c r="M1747" s="82">
        <f>IF(OR(Crate!$P128="",Crate!$P128=0),"",Crate!$R128)</f>
        <v/>
      </c>
      <c r="N1747" s="81">
        <f>IF(OR(Crate!$P128="",Crate!$P128=0),"","مقابل")</f>
        <v/>
      </c>
      <c r="O1747" s="81">
        <f>IF(OR(Crate!$P128="",Crate!$P128=0),"",IFERROR(VLOOKUP(Crate!$P128,AcctTbl,3,0),""))</f>
        <v/>
      </c>
      <c r="P1747" s="82" t="inlineStr"/>
    </row>
    <row r="1748" ht="20.25" customHeight="1">
      <c r="A1748" s="80">
        <f>IF(OR(Crate!$E129="",Crate!$E129=0),"",Crate!$B129)</f>
        <v/>
      </c>
      <c r="B1748" s="80">
        <f>IF(OR(Crate!$E129="",Crate!$E129=0),"",Crate!$C129)</f>
        <v/>
      </c>
      <c r="C1748" s="80">
        <f>IF(OR(Crate!$E129="",Crate!$E129=0),"","سبد")</f>
        <v/>
      </c>
      <c r="D1748" s="80">
        <f>IF(OR(Crate!$E129="",Crate!$E129=0),"",Crate!$E129)</f>
        <v/>
      </c>
      <c r="E1748" s="81">
        <f>IF(OR(Crate!$E129="",Crate!$E129=0),"",Crate!$M129)</f>
        <v/>
      </c>
      <c r="G1748" s="82">
        <f>IF(OR(Crate!$E129="",Crate!$E129=0),"",Crate!$I129)</f>
        <v/>
      </c>
      <c r="J1748" s="82">
        <f>IF(OR(Crate!$E129="",Crate!$E129=0),"",Crate!$J129)</f>
        <v/>
      </c>
      <c r="K1748" s="82">
        <f>IF(OR(Crate!$E129="",Crate!$E129=0),"",IF(Crate!$N129="",0,Crate!$N129)+IF(Crate!$O129="",0,Crate!$O129))</f>
        <v/>
      </c>
      <c r="L1748" s="82">
        <f>IF(OR(Crate!$E129="",Crate!$E129=0),"",Crate!$N129)</f>
        <v/>
      </c>
      <c r="M1748" s="82">
        <f>IF(OR(Crate!$E129="",Crate!$E129=0),"",Crate!$O129)</f>
        <v/>
      </c>
      <c r="N1748" s="81">
        <f>IF(OR(Crate!$E129="",Crate!$E129=0),"",Crate!$D129)</f>
        <v/>
      </c>
      <c r="O1748" s="81">
        <f>IF(OR(Crate!$E129="",Crate!$E129=0),"",IFERROR(VLOOKUP(Crate!$E129,AcctTbl,3,0),""))</f>
        <v/>
      </c>
      <c r="P1748" s="82" t="inlineStr"/>
    </row>
    <row r="1749" ht="20.25" customHeight="1">
      <c r="A1749" s="80">
        <f>IF(OR(Crate!$P129="",Crate!$P129=0),"",Crate!$B129)</f>
        <v/>
      </c>
      <c r="B1749" s="80">
        <f>IF(OR(Crate!$P129="",Crate!$P129=0),"",Crate!$C129)</f>
        <v/>
      </c>
      <c r="C1749" s="80">
        <f>IF(OR(Crate!$P129="",Crate!$P129=0),"","سبد")</f>
        <v/>
      </c>
      <c r="D1749" s="80">
        <f>IF(OR(Crate!$P129="",Crate!$P129=0),"",Crate!$P129)</f>
        <v/>
      </c>
      <c r="E1749" s="81">
        <f>IF(OR(Crate!$P129="",Crate!$P129=0),"",IF(Crate!$P129="","","مقابل: "&amp;Crate!$D129))</f>
        <v/>
      </c>
      <c r="F1749" s="83" t="n"/>
      <c r="G1749" s="83" t="n"/>
      <c r="H1749" s="83" t="n"/>
      <c r="I1749" s="83" t="n"/>
      <c r="J1749" s="83" t="n"/>
      <c r="K1749" s="82">
        <f>IF(OR(Crate!$P129="",Crate!$P129=0),"",IF(Crate!$Q129="",0,Crate!$Q129)+IF(Crate!$R129="",0,Crate!$R129))</f>
        <v/>
      </c>
      <c r="L1749" s="82">
        <f>IF(OR(Crate!$P129="",Crate!$P129=0),"",Crate!$Q129)</f>
        <v/>
      </c>
      <c r="M1749" s="82">
        <f>IF(OR(Crate!$P129="",Crate!$P129=0),"",Crate!$R129)</f>
        <v/>
      </c>
      <c r="N1749" s="81">
        <f>IF(OR(Crate!$P129="",Crate!$P129=0),"","مقابل")</f>
        <v/>
      </c>
      <c r="O1749" s="81">
        <f>IF(OR(Crate!$P129="",Crate!$P129=0),"",IFERROR(VLOOKUP(Crate!$P129,AcctTbl,3,0),""))</f>
        <v/>
      </c>
      <c r="P1749" s="82" t="inlineStr"/>
    </row>
    <row r="1750" ht="20.25" customHeight="1">
      <c r="A1750" s="80">
        <f>IF(OR(Crate!$E130="",Crate!$E130=0),"",Crate!$B130)</f>
        <v/>
      </c>
      <c r="B1750" s="80">
        <f>IF(OR(Crate!$E130="",Crate!$E130=0),"",Crate!$C130)</f>
        <v/>
      </c>
      <c r="C1750" s="80">
        <f>IF(OR(Crate!$E130="",Crate!$E130=0),"","سبد")</f>
        <v/>
      </c>
      <c r="D1750" s="80">
        <f>IF(OR(Crate!$E130="",Crate!$E130=0),"",Crate!$E130)</f>
        <v/>
      </c>
      <c r="E1750" s="81">
        <f>IF(OR(Crate!$E130="",Crate!$E130=0),"",Crate!$M130)</f>
        <v/>
      </c>
      <c r="G1750" s="82">
        <f>IF(OR(Crate!$E130="",Crate!$E130=0),"",Crate!$I130)</f>
        <v/>
      </c>
      <c r="J1750" s="82">
        <f>IF(OR(Crate!$E130="",Crate!$E130=0),"",Crate!$J130)</f>
        <v/>
      </c>
      <c r="K1750" s="82">
        <f>IF(OR(Crate!$E130="",Crate!$E130=0),"",IF(Crate!$N130="",0,Crate!$N130)+IF(Crate!$O130="",0,Crate!$O130))</f>
        <v/>
      </c>
      <c r="L1750" s="82">
        <f>IF(OR(Crate!$E130="",Crate!$E130=0),"",Crate!$N130)</f>
        <v/>
      </c>
      <c r="M1750" s="82">
        <f>IF(OR(Crate!$E130="",Crate!$E130=0),"",Crate!$O130)</f>
        <v/>
      </c>
      <c r="N1750" s="81">
        <f>IF(OR(Crate!$E130="",Crate!$E130=0),"",Crate!$D130)</f>
        <v/>
      </c>
      <c r="O1750" s="81">
        <f>IF(OR(Crate!$E130="",Crate!$E130=0),"",IFERROR(VLOOKUP(Crate!$E130,AcctTbl,3,0),""))</f>
        <v/>
      </c>
      <c r="P1750" s="82" t="inlineStr"/>
    </row>
    <row r="1751" ht="20.25" customHeight="1">
      <c r="A1751" s="80">
        <f>IF(OR(Crate!$P130="",Crate!$P130=0),"",Crate!$B130)</f>
        <v/>
      </c>
      <c r="B1751" s="80">
        <f>IF(OR(Crate!$P130="",Crate!$P130=0),"",Crate!$C130)</f>
        <v/>
      </c>
      <c r="C1751" s="80">
        <f>IF(OR(Crate!$P130="",Crate!$P130=0),"","سبد")</f>
        <v/>
      </c>
      <c r="D1751" s="80">
        <f>IF(OR(Crate!$P130="",Crate!$P130=0),"",Crate!$P130)</f>
        <v/>
      </c>
      <c r="E1751" s="81">
        <f>IF(OR(Crate!$P130="",Crate!$P130=0),"",IF(Crate!$P130="","","مقابل: "&amp;Crate!$D130))</f>
        <v/>
      </c>
      <c r="F1751" s="83" t="n"/>
      <c r="G1751" s="83" t="n"/>
      <c r="H1751" s="83" t="n"/>
      <c r="I1751" s="83" t="n"/>
      <c r="J1751" s="83" t="n"/>
      <c r="K1751" s="82">
        <f>IF(OR(Crate!$P130="",Crate!$P130=0),"",IF(Crate!$Q130="",0,Crate!$Q130)+IF(Crate!$R130="",0,Crate!$R130))</f>
        <v/>
      </c>
      <c r="L1751" s="82">
        <f>IF(OR(Crate!$P130="",Crate!$P130=0),"",Crate!$Q130)</f>
        <v/>
      </c>
      <c r="M1751" s="82">
        <f>IF(OR(Crate!$P130="",Crate!$P130=0),"",Crate!$R130)</f>
        <v/>
      </c>
      <c r="N1751" s="81">
        <f>IF(OR(Crate!$P130="",Crate!$P130=0),"","مقابل")</f>
        <v/>
      </c>
      <c r="O1751" s="81">
        <f>IF(OR(Crate!$P130="",Crate!$P130=0),"",IFERROR(VLOOKUP(Crate!$P130,AcctTbl,3,0),""))</f>
        <v/>
      </c>
      <c r="P1751" s="82" t="inlineStr"/>
    </row>
    <row r="1752" ht="20.25" customHeight="1">
      <c r="A1752" s="80">
        <f>IF(OR(Crate!$E131="",Crate!$E131=0),"",Crate!$B131)</f>
        <v/>
      </c>
      <c r="B1752" s="80">
        <f>IF(OR(Crate!$E131="",Crate!$E131=0),"",Crate!$C131)</f>
        <v/>
      </c>
      <c r="C1752" s="80">
        <f>IF(OR(Crate!$E131="",Crate!$E131=0),"","سبد")</f>
        <v/>
      </c>
      <c r="D1752" s="80">
        <f>IF(OR(Crate!$E131="",Crate!$E131=0),"",Crate!$E131)</f>
        <v/>
      </c>
      <c r="E1752" s="81">
        <f>IF(OR(Crate!$E131="",Crate!$E131=0),"",Crate!$M131)</f>
        <v/>
      </c>
      <c r="G1752" s="82">
        <f>IF(OR(Crate!$E131="",Crate!$E131=0),"",Crate!$I131)</f>
        <v/>
      </c>
      <c r="J1752" s="82">
        <f>IF(OR(Crate!$E131="",Crate!$E131=0),"",Crate!$J131)</f>
        <v/>
      </c>
      <c r="K1752" s="82">
        <f>IF(OR(Crate!$E131="",Crate!$E131=0),"",IF(Crate!$N131="",0,Crate!$N131)+IF(Crate!$O131="",0,Crate!$O131))</f>
        <v/>
      </c>
      <c r="L1752" s="82">
        <f>IF(OR(Crate!$E131="",Crate!$E131=0),"",Crate!$N131)</f>
        <v/>
      </c>
      <c r="M1752" s="82">
        <f>IF(OR(Crate!$E131="",Crate!$E131=0),"",Crate!$O131)</f>
        <v/>
      </c>
      <c r="N1752" s="81">
        <f>IF(OR(Crate!$E131="",Crate!$E131=0),"",Crate!$D131)</f>
        <v/>
      </c>
      <c r="O1752" s="81">
        <f>IF(OR(Crate!$E131="",Crate!$E131=0),"",IFERROR(VLOOKUP(Crate!$E131,AcctTbl,3,0),""))</f>
        <v/>
      </c>
      <c r="P1752" s="82" t="inlineStr"/>
    </row>
    <row r="1753" ht="20.25" customHeight="1">
      <c r="A1753" s="80">
        <f>IF(OR(Crate!$P131="",Crate!$P131=0),"",Crate!$B131)</f>
        <v/>
      </c>
      <c r="B1753" s="80">
        <f>IF(OR(Crate!$P131="",Crate!$P131=0),"",Crate!$C131)</f>
        <v/>
      </c>
      <c r="C1753" s="80">
        <f>IF(OR(Crate!$P131="",Crate!$P131=0),"","سبد")</f>
        <v/>
      </c>
      <c r="D1753" s="80">
        <f>IF(OR(Crate!$P131="",Crate!$P131=0),"",Crate!$P131)</f>
        <v/>
      </c>
      <c r="E1753" s="81">
        <f>IF(OR(Crate!$P131="",Crate!$P131=0),"",IF(Crate!$P131="","","مقابل: "&amp;Crate!$D131))</f>
        <v/>
      </c>
      <c r="F1753" s="83" t="n"/>
      <c r="G1753" s="83" t="n"/>
      <c r="H1753" s="83" t="n"/>
      <c r="I1753" s="83" t="n"/>
      <c r="J1753" s="83" t="n"/>
      <c r="K1753" s="82">
        <f>IF(OR(Crate!$P131="",Crate!$P131=0),"",IF(Crate!$Q131="",0,Crate!$Q131)+IF(Crate!$R131="",0,Crate!$R131))</f>
        <v/>
      </c>
      <c r="L1753" s="82">
        <f>IF(OR(Crate!$P131="",Crate!$P131=0),"",Crate!$Q131)</f>
        <v/>
      </c>
      <c r="M1753" s="82">
        <f>IF(OR(Crate!$P131="",Crate!$P131=0),"",Crate!$R131)</f>
        <v/>
      </c>
      <c r="N1753" s="81">
        <f>IF(OR(Crate!$P131="",Crate!$P131=0),"","مقابل")</f>
        <v/>
      </c>
      <c r="O1753" s="81">
        <f>IF(OR(Crate!$P131="",Crate!$P131=0),"",IFERROR(VLOOKUP(Crate!$P131,AcctTbl,3,0),""))</f>
        <v/>
      </c>
      <c r="P1753" s="82" t="inlineStr"/>
    </row>
    <row r="1754" ht="20.25" customHeight="1">
      <c r="A1754" s="80">
        <f>IF(OR(Crate!$E132="",Crate!$E132=0),"",Crate!$B132)</f>
        <v/>
      </c>
      <c r="B1754" s="80">
        <f>IF(OR(Crate!$E132="",Crate!$E132=0),"",Crate!$C132)</f>
        <v/>
      </c>
      <c r="C1754" s="80">
        <f>IF(OR(Crate!$E132="",Crate!$E132=0),"","سبد")</f>
        <v/>
      </c>
      <c r="D1754" s="80">
        <f>IF(OR(Crate!$E132="",Crate!$E132=0),"",Crate!$E132)</f>
        <v/>
      </c>
      <c r="E1754" s="81">
        <f>IF(OR(Crate!$E132="",Crate!$E132=0),"",Crate!$M132)</f>
        <v/>
      </c>
      <c r="G1754" s="82">
        <f>IF(OR(Crate!$E132="",Crate!$E132=0),"",Crate!$I132)</f>
        <v/>
      </c>
      <c r="J1754" s="82">
        <f>IF(OR(Crate!$E132="",Crate!$E132=0),"",Crate!$J132)</f>
        <v/>
      </c>
      <c r="K1754" s="82">
        <f>IF(OR(Crate!$E132="",Crate!$E132=0),"",IF(Crate!$N132="",0,Crate!$N132)+IF(Crate!$O132="",0,Crate!$O132))</f>
        <v/>
      </c>
      <c r="L1754" s="82">
        <f>IF(OR(Crate!$E132="",Crate!$E132=0),"",Crate!$N132)</f>
        <v/>
      </c>
      <c r="M1754" s="82">
        <f>IF(OR(Crate!$E132="",Crate!$E132=0),"",Crate!$O132)</f>
        <v/>
      </c>
      <c r="N1754" s="81">
        <f>IF(OR(Crate!$E132="",Crate!$E132=0),"",Crate!$D132)</f>
        <v/>
      </c>
      <c r="O1754" s="81">
        <f>IF(OR(Crate!$E132="",Crate!$E132=0),"",IFERROR(VLOOKUP(Crate!$E132,AcctTbl,3,0),""))</f>
        <v/>
      </c>
      <c r="P1754" s="82" t="inlineStr"/>
    </row>
    <row r="1755" ht="20.25" customHeight="1">
      <c r="A1755" s="80">
        <f>IF(OR(Crate!$P132="",Crate!$P132=0),"",Crate!$B132)</f>
        <v/>
      </c>
      <c r="B1755" s="80">
        <f>IF(OR(Crate!$P132="",Crate!$P132=0),"",Crate!$C132)</f>
        <v/>
      </c>
      <c r="C1755" s="80">
        <f>IF(OR(Crate!$P132="",Crate!$P132=0),"","سبد")</f>
        <v/>
      </c>
      <c r="D1755" s="80">
        <f>IF(OR(Crate!$P132="",Crate!$P132=0),"",Crate!$P132)</f>
        <v/>
      </c>
      <c r="E1755" s="81">
        <f>IF(OR(Crate!$P132="",Crate!$P132=0),"",IF(Crate!$P132="","","مقابل: "&amp;Crate!$D132))</f>
        <v/>
      </c>
      <c r="F1755" s="83" t="n"/>
      <c r="G1755" s="83" t="n"/>
      <c r="H1755" s="83" t="n"/>
      <c r="I1755" s="83" t="n"/>
      <c r="J1755" s="83" t="n"/>
      <c r="K1755" s="82">
        <f>IF(OR(Crate!$P132="",Crate!$P132=0),"",IF(Crate!$Q132="",0,Crate!$Q132)+IF(Crate!$R132="",0,Crate!$R132))</f>
        <v/>
      </c>
      <c r="L1755" s="82">
        <f>IF(OR(Crate!$P132="",Crate!$P132=0),"",Crate!$Q132)</f>
        <v/>
      </c>
      <c r="M1755" s="82">
        <f>IF(OR(Crate!$P132="",Crate!$P132=0),"",Crate!$R132)</f>
        <v/>
      </c>
      <c r="N1755" s="81">
        <f>IF(OR(Crate!$P132="",Crate!$P132=0),"","مقابل")</f>
        <v/>
      </c>
      <c r="O1755" s="81">
        <f>IF(OR(Crate!$P132="",Crate!$P132=0),"",IFERROR(VLOOKUP(Crate!$P132,AcctTbl,3,0),""))</f>
        <v/>
      </c>
      <c r="P1755" s="82" t="inlineStr"/>
    </row>
    <row r="1756" ht="20.25" customHeight="1">
      <c r="A1756" s="80">
        <f>IF(OR(Crate!$E133="",Crate!$E133=0),"",Crate!$B133)</f>
        <v/>
      </c>
      <c r="B1756" s="80">
        <f>IF(OR(Crate!$E133="",Crate!$E133=0),"",Crate!$C133)</f>
        <v/>
      </c>
      <c r="C1756" s="80">
        <f>IF(OR(Crate!$E133="",Crate!$E133=0),"","سبد")</f>
        <v/>
      </c>
      <c r="D1756" s="80">
        <f>IF(OR(Crate!$E133="",Crate!$E133=0),"",Crate!$E133)</f>
        <v/>
      </c>
      <c r="E1756" s="81">
        <f>IF(OR(Crate!$E133="",Crate!$E133=0),"",Crate!$M133)</f>
        <v/>
      </c>
      <c r="G1756" s="82">
        <f>IF(OR(Crate!$E133="",Crate!$E133=0),"",Crate!$I133)</f>
        <v/>
      </c>
      <c r="J1756" s="82">
        <f>IF(OR(Crate!$E133="",Crate!$E133=0),"",Crate!$J133)</f>
        <v/>
      </c>
      <c r="K1756" s="82">
        <f>IF(OR(Crate!$E133="",Crate!$E133=0),"",IF(Crate!$N133="",0,Crate!$N133)+IF(Crate!$O133="",0,Crate!$O133))</f>
        <v/>
      </c>
      <c r="L1756" s="82">
        <f>IF(OR(Crate!$E133="",Crate!$E133=0),"",Crate!$N133)</f>
        <v/>
      </c>
      <c r="M1756" s="82">
        <f>IF(OR(Crate!$E133="",Crate!$E133=0),"",Crate!$O133)</f>
        <v/>
      </c>
      <c r="N1756" s="81">
        <f>IF(OR(Crate!$E133="",Crate!$E133=0),"",Crate!$D133)</f>
        <v/>
      </c>
      <c r="O1756" s="81">
        <f>IF(OR(Crate!$E133="",Crate!$E133=0),"",IFERROR(VLOOKUP(Crate!$E133,AcctTbl,3,0),""))</f>
        <v/>
      </c>
      <c r="P1756" s="82" t="inlineStr"/>
    </row>
    <row r="1757" ht="20.25" customHeight="1">
      <c r="A1757" s="80">
        <f>IF(OR(Crate!$P133="",Crate!$P133=0),"",Crate!$B133)</f>
        <v/>
      </c>
      <c r="B1757" s="80">
        <f>IF(OR(Crate!$P133="",Crate!$P133=0),"",Crate!$C133)</f>
        <v/>
      </c>
      <c r="C1757" s="80">
        <f>IF(OR(Crate!$P133="",Crate!$P133=0),"","سبد")</f>
        <v/>
      </c>
      <c r="D1757" s="80">
        <f>IF(OR(Crate!$P133="",Crate!$P133=0),"",Crate!$P133)</f>
        <v/>
      </c>
      <c r="E1757" s="81">
        <f>IF(OR(Crate!$P133="",Crate!$P133=0),"",IF(Crate!$P133="","","مقابل: "&amp;Crate!$D133))</f>
        <v/>
      </c>
      <c r="F1757" s="83" t="n"/>
      <c r="G1757" s="83" t="n"/>
      <c r="H1757" s="83" t="n"/>
      <c r="I1757" s="83" t="n"/>
      <c r="J1757" s="83" t="n"/>
      <c r="K1757" s="82">
        <f>IF(OR(Crate!$P133="",Crate!$P133=0),"",IF(Crate!$Q133="",0,Crate!$Q133)+IF(Crate!$R133="",0,Crate!$R133))</f>
        <v/>
      </c>
      <c r="L1757" s="82">
        <f>IF(OR(Crate!$P133="",Crate!$P133=0),"",Crate!$Q133)</f>
        <v/>
      </c>
      <c r="M1757" s="82">
        <f>IF(OR(Crate!$P133="",Crate!$P133=0),"",Crate!$R133)</f>
        <v/>
      </c>
      <c r="N1757" s="81">
        <f>IF(OR(Crate!$P133="",Crate!$P133=0),"","مقابل")</f>
        <v/>
      </c>
      <c r="O1757" s="81">
        <f>IF(OR(Crate!$P133="",Crate!$P133=0),"",IFERROR(VLOOKUP(Crate!$P133,AcctTbl,3,0),""))</f>
        <v/>
      </c>
      <c r="P1757" s="82" t="inlineStr"/>
    </row>
    <row r="1758" ht="20.25" customHeight="1">
      <c r="A1758" s="80">
        <f>IF(OR(Crate!$E134="",Crate!$E134=0),"",Crate!$B134)</f>
        <v/>
      </c>
      <c r="B1758" s="80">
        <f>IF(OR(Crate!$E134="",Crate!$E134=0),"",Crate!$C134)</f>
        <v/>
      </c>
      <c r="C1758" s="80">
        <f>IF(OR(Crate!$E134="",Crate!$E134=0),"","سبد")</f>
        <v/>
      </c>
      <c r="D1758" s="80">
        <f>IF(OR(Crate!$E134="",Crate!$E134=0),"",Crate!$E134)</f>
        <v/>
      </c>
      <c r="E1758" s="81">
        <f>IF(OR(Crate!$E134="",Crate!$E134=0),"",Crate!$M134)</f>
        <v/>
      </c>
      <c r="G1758" s="82">
        <f>IF(OR(Crate!$E134="",Crate!$E134=0),"",Crate!$I134)</f>
        <v/>
      </c>
      <c r="J1758" s="82">
        <f>IF(OR(Crate!$E134="",Crate!$E134=0),"",Crate!$J134)</f>
        <v/>
      </c>
      <c r="K1758" s="82">
        <f>IF(OR(Crate!$E134="",Crate!$E134=0),"",IF(Crate!$N134="",0,Crate!$N134)+IF(Crate!$O134="",0,Crate!$O134))</f>
        <v/>
      </c>
      <c r="L1758" s="82">
        <f>IF(OR(Crate!$E134="",Crate!$E134=0),"",Crate!$N134)</f>
        <v/>
      </c>
      <c r="M1758" s="82">
        <f>IF(OR(Crate!$E134="",Crate!$E134=0),"",Crate!$O134)</f>
        <v/>
      </c>
      <c r="N1758" s="81">
        <f>IF(OR(Crate!$E134="",Crate!$E134=0),"",Crate!$D134)</f>
        <v/>
      </c>
      <c r="O1758" s="81">
        <f>IF(OR(Crate!$E134="",Crate!$E134=0),"",IFERROR(VLOOKUP(Crate!$E134,AcctTbl,3,0),""))</f>
        <v/>
      </c>
      <c r="P1758" s="82" t="inlineStr"/>
    </row>
    <row r="1759" ht="20.25" customHeight="1">
      <c r="A1759" s="80">
        <f>IF(OR(Crate!$P134="",Crate!$P134=0),"",Crate!$B134)</f>
        <v/>
      </c>
      <c r="B1759" s="80">
        <f>IF(OR(Crate!$P134="",Crate!$P134=0),"",Crate!$C134)</f>
        <v/>
      </c>
      <c r="C1759" s="80">
        <f>IF(OR(Crate!$P134="",Crate!$P134=0),"","سبد")</f>
        <v/>
      </c>
      <c r="D1759" s="80">
        <f>IF(OR(Crate!$P134="",Crate!$P134=0),"",Crate!$P134)</f>
        <v/>
      </c>
      <c r="E1759" s="81">
        <f>IF(OR(Crate!$P134="",Crate!$P134=0),"",IF(Crate!$P134="","","مقابل: "&amp;Crate!$D134))</f>
        <v/>
      </c>
      <c r="F1759" s="83" t="n"/>
      <c r="G1759" s="83" t="n"/>
      <c r="H1759" s="83" t="n"/>
      <c r="I1759" s="83" t="n"/>
      <c r="J1759" s="83" t="n"/>
      <c r="K1759" s="82">
        <f>IF(OR(Crate!$P134="",Crate!$P134=0),"",IF(Crate!$Q134="",0,Crate!$Q134)+IF(Crate!$R134="",0,Crate!$R134))</f>
        <v/>
      </c>
      <c r="L1759" s="82">
        <f>IF(OR(Crate!$P134="",Crate!$P134=0),"",Crate!$Q134)</f>
        <v/>
      </c>
      <c r="M1759" s="82">
        <f>IF(OR(Crate!$P134="",Crate!$P134=0),"",Crate!$R134)</f>
        <v/>
      </c>
      <c r="N1759" s="81">
        <f>IF(OR(Crate!$P134="",Crate!$P134=0),"","مقابل")</f>
        <v/>
      </c>
      <c r="O1759" s="81">
        <f>IF(OR(Crate!$P134="",Crate!$P134=0),"",IFERROR(VLOOKUP(Crate!$P134,AcctTbl,3,0),""))</f>
        <v/>
      </c>
      <c r="P1759" s="82" t="inlineStr"/>
    </row>
    <row r="1760" ht="20.25" customHeight="1">
      <c r="A1760" s="80">
        <f>IF(OR(Crate!$E135="",Crate!$E135=0),"",Crate!$B135)</f>
        <v/>
      </c>
      <c r="B1760" s="80">
        <f>IF(OR(Crate!$E135="",Crate!$E135=0),"",Crate!$C135)</f>
        <v/>
      </c>
      <c r="C1760" s="80">
        <f>IF(OR(Crate!$E135="",Crate!$E135=0),"","سبد")</f>
        <v/>
      </c>
      <c r="D1760" s="80">
        <f>IF(OR(Crate!$E135="",Crate!$E135=0),"",Crate!$E135)</f>
        <v/>
      </c>
      <c r="E1760" s="81">
        <f>IF(OR(Crate!$E135="",Crate!$E135=0),"",Crate!$M135)</f>
        <v/>
      </c>
      <c r="G1760" s="82">
        <f>IF(OR(Crate!$E135="",Crate!$E135=0),"",Crate!$I135)</f>
        <v/>
      </c>
      <c r="J1760" s="82">
        <f>IF(OR(Crate!$E135="",Crate!$E135=0),"",Crate!$J135)</f>
        <v/>
      </c>
      <c r="K1760" s="82">
        <f>IF(OR(Crate!$E135="",Crate!$E135=0),"",IF(Crate!$N135="",0,Crate!$N135)+IF(Crate!$O135="",0,Crate!$O135))</f>
        <v/>
      </c>
      <c r="L1760" s="82">
        <f>IF(OR(Crate!$E135="",Crate!$E135=0),"",Crate!$N135)</f>
        <v/>
      </c>
      <c r="M1760" s="82">
        <f>IF(OR(Crate!$E135="",Crate!$E135=0),"",Crate!$O135)</f>
        <v/>
      </c>
      <c r="N1760" s="81">
        <f>IF(OR(Crate!$E135="",Crate!$E135=0),"",Crate!$D135)</f>
        <v/>
      </c>
      <c r="O1760" s="81">
        <f>IF(OR(Crate!$E135="",Crate!$E135=0),"",IFERROR(VLOOKUP(Crate!$E135,AcctTbl,3,0),""))</f>
        <v/>
      </c>
      <c r="P1760" s="82" t="inlineStr"/>
    </row>
    <row r="1761" ht="20.25" customHeight="1">
      <c r="A1761" s="80">
        <f>IF(OR(Crate!$P135="",Crate!$P135=0),"",Crate!$B135)</f>
        <v/>
      </c>
      <c r="B1761" s="80">
        <f>IF(OR(Crate!$P135="",Crate!$P135=0),"",Crate!$C135)</f>
        <v/>
      </c>
      <c r="C1761" s="80">
        <f>IF(OR(Crate!$P135="",Crate!$P135=0),"","سبد")</f>
        <v/>
      </c>
      <c r="D1761" s="80">
        <f>IF(OR(Crate!$P135="",Crate!$P135=0),"",Crate!$P135)</f>
        <v/>
      </c>
      <c r="E1761" s="81">
        <f>IF(OR(Crate!$P135="",Crate!$P135=0),"",IF(Crate!$P135="","","مقابل: "&amp;Crate!$D135))</f>
        <v/>
      </c>
      <c r="F1761" s="83" t="n"/>
      <c r="G1761" s="83" t="n"/>
      <c r="H1761" s="83" t="n"/>
      <c r="I1761" s="83" t="n"/>
      <c r="J1761" s="83" t="n"/>
      <c r="K1761" s="82">
        <f>IF(OR(Crate!$P135="",Crate!$P135=0),"",IF(Crate!$Q135="",0,Crate!$Q135)+IF(Crate!$R135="",0,Crate!$R135))</f>
        <v/>
      </c>
      <c r="L1761" s="82">
        <f>IF(OR(Crate!$P135="",Crate!$P135=0),"",Crate!$Q135)</f>
        <v/>
      </c>
      <c r="M1761" s="82">
        <f>IF(OR(Crate!$P135="",Crate!$P135=0),"",Crate!$R135)</f>
        <v/>
      </c>
      <c r="N1761" s="81">
        <f>IF(OR(Crate!$P135="",Crate!$P135=0),"","مقابل")</f>
        <v/>
      </c>
      <c r="O1761" s="81">
        <f>IF(OR(Crate!$P135="",Crate!$P135=0),"",IFERROR(VLOOKUP(Crate!$P135,AcctTbl,3,0),""))</f>
        <v/>
      </c>
      <c r="P1761" s="82" t="inlineStr"/>
    </row>
    <row r="1762" ht="20.25" customHeight="1">
      <c r="A1762" s="80">
        <f>IF(OR(Crate!$E136="",Crate!$E136=0),"",Crate!$B136)</f>
        <v/>
      </c>
      <c r="B1762" s="80">
        <f>IF(OR(Crate!$E136="",Crate!$E136=0),"",Crate!$C136)</f>
        <v/>
      </c>
      <c r="C1762" s="80">
        <f>IF(OR(Crate!$E136="",Crate!$E136=0),"","سبد")</f>
        <v/>
      </c>
      <c r="D1762" s="80">
        <f>IF(OR(Crate!$E136="",Crate!$E136=0),"",Crate!$E136)</f>
        <v/>
      </c>
      <c r="E1762" s="81">
        <f>IF(OR(Crate!$E136="",Crate!$E136=0),"",Crate!$M136)</f>
        <v/>
      </c>
      <c r="G1762" s="82">
        <f>IF(OR(Crate!$E136="",Crate!$E136=0),"",Crate!$I136)</f>
        <v/>
      </c>
      <c r="J1762" s="82">
        <f>IF(OR(Crate!$E136="",Crate!$E136=0),"",Crate!$J136)</f>
        <v/>
      </c>
      <c r="K1762" s="82">
        <f>IF(OR(Crate!$E136="",Crate!$E136=0),"",IF(Crate!$N136="",0,Crate!$N136)+IF(Crate!$O136="",0,Crate!$O136))</f>
        <v/>
      </c>
      <c r="L1762" s="82">
        <f>IF(OR(Crate!$E136="",Crate!$E136=0),"",Crate!$N136)</f>
        <v/>
      </c>
      <c r="M1762" s="82">
        <f>IF(OR(Crate!$E136="",Crate!$E136=0),"",Crate!$O136)</f>
        <v/>
      </c>
      <c r="N1762" s="81">
        <f>IF(OR(Crate!$E136="",Crate!$E136=0),"",Crate!$D136)</f>
        <v/>
      </c>
      <c r="O1762" s="81">
        <f>IF(OR(Crate!$E136="",Crate!$E136=0),"",IFERROR(VLOOKUP(Crate!$E136,AcctTbl,3,0),""))</f>
        <v/>
      </c>
      <c r="P1762" s="82" t="inlineStr"/>
    </row>
    <row r="1763" ht="20.25" customHeight="1">
      <c r="A1763" s="80">
        <f>IF(OR(Crate!$P136="",Crate!$P136=0),"",Crate!$B136)</f>
        <v/>
      </c>
      <c r="B1763" s="80">
        <f>IF(OR(Crate!$P136="",Crate!$P136=0),"",Crate!$C136)</f>
        <v/>
      </c>
      <c r="C1763" s="80">
        <f>IF(OR(Crate!$P136="",Crate!$P136=0),"","سبد")</f>
        <v/>
      </c>
      <c r="D1763" s="80">
        <f>IF(OR(Crate!$P136="",Crate!$P136=0),"",Crate!$P136)</f>
        <v/>
      </c>
      <c r="E1763" s="81">
        <f>IF(OR(Crate!$P136="",Crate!$P136=0),"",IF(Crate!$P136="","","مقابل: "&amp;Crate!$D136))</f>
        <v/>
      </c>
      <c r="F1763" s="83" t="n"/>
      <c r="G1763" s="83" t="n"/>
      <c r="H1763" s="83" t="n"/>
      <c r="I1763" s="83" t="n"/>
      <c r="J1763" s="83" t="n"/>
      <c r="K1763" s="82">
        <f>IF(OR(Crate!$P136="",Crate!$P136=0),"",IF(Crate!$Q136="",0,Crate!$Q136)+IF(Crate!$R136="",0,Crate!$R136))</f>
        <v/>
      </c>
      <c r="L1763" s="82">
        <f>IF(OR(Crate!$P136="",Crate!$P136=0),"",Crate!$Q136)</f>
        <v/>
      </c>
      <c r="M1763" s="82">
        <f>IF(OR(Crate!$P136="",Crate!$P136=0),"",Crate!$R136)</f>
        <v/>
      </c>
      <c r="N1763" s="81">
        <f>IF(OR(Crate!$P136="",Crate!$P136=0),"","مقابل")</f>
        <v/>
      </c>
      <c r="O1763" s="81">
        <f>IF(OR(Crate!$P136="",Crate!$P136=0),"",IFERROR(VLOOKUP(Crate!$P136,AcctTbl,3,0),""))</f>
        <v/>
      </c>
      <c r="P1763" s="82" t="inlineStr"/>
    </row>
    <row r="1764" ht="20.25" customHeight="1">
      <c r="A1764" s="80">
        <f>IF(OR(Crate!$E137="",Crate!$E137=0),"",Crate!$B137)</f>
        <v/>
      </c>
      <c r="B1764" s="80">
        <f>IF(OR(Crate!$E137="",Crate!$E137=0),"",Crate!$C137)</f>
        <v/>
      </c>
      <c r="C1764" s="80">
        <f>IF(OR(Crate!$E137="",Crate!$E137=0),"","سبد")</f>
        <v/>
      </c>
      <c r="D1764" s="80">
        <f>IF(OR(Crate!$E137="",Crate!$E137=0),"",Crate!$E137)</f>
        <v/>
      </c>
      <c r="E1764" s="81">
        <f>IF(OR(Crate!$E137="",Crate!$E137=0),"",Crate!$M137)</f>
        <v/>
      </c>
      <c r="G1764" s="82">
        <f>IF(OR(Crate!$E137="",Crate!$E137=0),"",Crate!$I137)</f>
        <v/>
      </c>
      <c r="J1764" s="82">
        <f>IF(OR(Crate!$E137="",Crate!$E137=0),"",Crate!$J137)</f>
        <v/>
      </c>
      <c r="K1764" s="82">
        <f>IF(OR(Crate!$E137="",Crate!$E137=0),"",IF(Crate!$N137="",0,Crate!$N137)+IF(Crate!$O137="",0,Crate!$O137))</f>
        <v/>
      </c>
      <c r="L1764" s="82">
        <f>IF(OR(Crate!$E137="",Crate!$E137=0),"",Crate!$N137)</f>
        <v/>
      </c>
      <c r="M1764" s="82">
        <f>IF(OR(Crate!$E137="",Crate!$E137=0),"",Crate!$O137)</f>
        <v/>
      </c>
      <c r="N1764" s="81">
        <f>IF(OR(Crate!$E137="",Crate!$E137=0),"",Crate!$D137)</f>
        <v/>
      </c>
      <c r="O1764" s="81">
        <f>IF(OR(Crate!$E137="",Crate!$E137=0),"",IFERROR(VLOOKUP(Crate!$E137,AcctTbl,3,0),""))</f>
        <v/>
      </c>
      <c r="P1764" s="82" t="inlineStr"/>
    </row>
    <row r="1765" ht="20.25" customHeight="1">
      <c r="A1765" s="80">
        <f>IF(OR(Crate!$P137="",Crate!$P137=0),"",Crate!$B137)</f>
        <v/>
      </c>
      <c r="B1765" s="80">
        <f>IF(OR(Crate!$P137="",Crate!$P137=0),"",Crate!$C137)</f>
        <v/>
      </c>
      <c r="C1765" s="80">
        <f>IF(OR(Crate!$P137="",Crate!$P137=0),"","سبد")</f>
        <v/>
      </c>
      <c r="D1765" s="80">
        <f>IF(OR(Crate!$P137="",Crate!$P137=0),"",Crate!$P137)</f>
        <v/>
      </c>
      <c r="E1765" s="81">
        <f>IF(OR(Crate!$P137="",Crate!$P137=0),"",IF(Crate!$P137="","","مقابل: "&amp;Crate!$D137))</f>
        <v/>
      </c>
      <c r="F1765" s="83" t="n"/>
      <c r="G1765" s="83" t="n"/>
      <c r="H1765" s="83" t="n"/>
      <c r="I1765" s="83" t="n"/>
      <c r="J1765" s="83" t="n"/>
      <c r="K1765" s="82">
        <f>IF(OR(Crate!$P137="",Crate!$P137=0),"",IF(Crate!$Q137="",0,Crate!$Q137)+IF(Crate!$R137="",0,Crate!$R137))</f>
        <v/>
      </c>
      <c r="L1765" s="82">
        <f>IF(OR(Crate!$P137="",Crate!$P137=0),"",Crate!$Q137)</f>
        <v/>
      </c>
      <c r="M1765" s="82">
        <f>IF(OR(Crate!$P137="",Crate!$P137=0),"",Crate!$R137)</f>
        <v/>
      </c>
      <c r="N1765" s="81">
        <f>IF(OR(Crate!$P137="",Crate!$P137=0),"","مقابل")</f>
        <v/>
      </c>
      <c r="O1765" s="81">
        <f>IF(OR(Crate!$P137="",Crate!$P137=0),"",IFERROR(VLOOKUP(Crate!$P137,AcctTbl,3,0),""))</f>
        <v/>
      </c>
      <c r="P1765" s="82" t="inlineStr"/>
    </row>
    <row r="1766" ht="20.25" customHeight="1">
      <c r="A1766" s="80">
        <f>IF(OR(Crate!$E138="",Crate!$E138=0),"",Crate!$B138)</f>
        <v/>
      </c>
      <c r="B1766" s="80">
        <f>IF(OR(Crate!$E138="",Crate!$E138=0),"",Crate!$C138)</f>
        <v/>
      </c>
      <c r="C1766" s="80">
        <f>IF(OR(Crate!$E138="",Crate!$E138=0),"","سبد")</f>
        <v/>
      </c>
      <c r="D1766" s="80">
        <f>IF(OR(Crate!$E138="",Crate!$E138=0),"",Crate!$E138)</f>
        <v/>
      </c>
      <c r="E1766" s="81">
        <f>IF(OR(Crate!$E138="",Crate!$E138=0),"",Crate!$M138)</f>
        <v/>
      </c>
      <c r="G1766" s="82">
        <f>IF(OR(Crate!$E138="",Crate!$E138=0),"",Crate!$I138)</f>
        <v/>
      </c>
      <c r="J1766" s="82">
        <f>IF(OR(Crate!$E138="",Crate!$E138=0),"",Crate!$J138)</f>
        <v/>
      </c>
      <c r="K1766" s="82">
        <f>IF(OR(Crate!$E138="",Crate!$E138=0),"",IF(Crate!$N138="",0,Crate!$N138)+IF(Crate!$O138="",0,Crate!$O138))</f>
        <v/>
      </c>
      <c r="L1766" s="82">
        <f>IF(OR(Crate!$E138="",Crate!$E138=0),"",Crate!$N138)</f>
        <v/>
      </c>
      <c r="M1766" s="82">
        <f>IF(OR(Crate!$E138="",Crate!$E138=0),"",Crate!$O138)</f>
        <v/>
      </c>
      <c r="N1766" s="81">
        <f>IF(OR(Crate!$E138="",Crate!$E138=0),"",Crate!$D138)</f>
        <v/>
      </c>
      <c r="O1766" s="81">
        <f>IF(OR(Crate!$E138="",Crate!$E138=0),"",IFERROR(VLOOKUP(Crate!$E138,AcctTbl,3,0),""))</f>
        <v/>
      </c>
      <c r="P1766" s="82" t="inlineStr"/>
    </row>
    <row r="1767" ht="20.25" customHeight="1">
      <c r="A1767" s="80">
        <f>IF(OR(Crate!$P138="",Crate!$P138=0),"",Crate!$B138)</f>
        <v/>
      </c>
      <c r="B1767" s="80">
        <f>IF(OR(Crate!$P138="",Crate!$P138=0),"",Crate!$C138)</f>
        <v/>
      </c>
      <c r="C1767" s="80">
        <f>IF(OR(Crate!$P138="",Crate!$P138=0),"","سبد")</f>
        <v/>
      </c>
      <c r="D1767" s="80">
        <f>IF(OR(Crate!$P138="",Crate!$P138=0),"",Crate!$P138)</f>
        <v/>
      </c>
      <c r="E1767" s="81">
        <f>IF(OR(Crate!$P138="",Crate!$P138=0),"",IF(Crate!$P138="","","مقابل: "&amp;Crate!$D138))</f>
        <v/>
      </c>
      <c r="F1767" s="83" t="n"/>
      <c r="G1767" s="83" t="n"/>
      <c r="H1767" s="83" t="n"/>
      <c r="I1767" s="83" t="n"/>
      <c r="J1767" s="83" t="n"/>
      <c r="K1767" s="82">
        <f>IF(OR(Crate!$P138="",Crate!$P138=0),"",IF(Crate!$Q138="",0,Crate!$Q138)+IF(Crate!$R138="",0,Crate!$R138))</f>
        <v/>
      </c>
      <c r="L1767" s="82">
        <f>IF(OR(Crate!$P138="",Crate!$P138=0),"",Crate!$Q138)</f>
        <v/>
      </c>
      <c r="M1767" s="82">
        <f>IF(OR(Crate!$P138="",Crate!$P138=0),"",Crate!$R138)</f>
        <v/>
      </c>
      <c r="N1767" s="81">
        <f>IF(OR(Crate!$P138="",Crate!$P138=0),"","مقابل")</f>
        <v/>
      </c>
      <c r="O1767" s="81">
        <f>IF(OR(Crate!$P138="",Crate!$P138=0),"",IFERROR(VLOOKUP(Crate!$P138,AcctTbl,3,0),""))</f>
        <v/>
      </c>
      <c r="P1767" s="82" t="inlineStr"/>
    </row>
    <row r="1768" ht="20.25" customHeight="1">
      <c r="A1768" s="80">
        <f>IF(OR(Crate!$E139="",Crate!$E139=0),"",Crate!$B139)</f>
        <v/>
      </c>
      <c r="B1768" s="80">
        <f>IF(OR(Crate!$E139="",Crate!$E139=0),"",Crate!$C139)</f>
        <v/>
      </c>
      <c r="C1768" s="80">
        <f>IF(OR(Crate!$E139="",Crate!$E139=0),"","سبد")</f>
        <v/>
      </c>
      <c r="D1768" s="80">
        <f>IF(OR(Crate!$E139="",Crate!$E139=0),"",Crate!$E139)</f>
        <v/>
      </c>
      <c r="E1768" s="81">
        <f>IF(OR(Crate!$E139="",Crate!$E139=0),"",Crate!$M139)</f>
        <v/>
      </c>
      <c r="G1768" s="82">
        <f>IF(OR(Crate!$E139="",Crate!$E139=0),"",Crate!$I139)</f>
        <v/>
      </c>
      <c r="J1768" s="82">
        <f>IF(OR(Crate!$E139="",Crate!$E139=0),"",Crate!$J139)</f>
        <v/>
      </c>
      <c r="K1768" s="82">
        <f>IF(OR(Crate!$E139="",Crate!$E139=0),"",IF(Crate!$N139="",0,Crate!$N139)+IF(Crate!$O139="",0,Crate!$O139))</f>
        <v/>
      </c>
      <c r="L1768" s="82">
        <f>IF(OR(Crate!$E139="",Crate!$E139=0),"",Crate!$N139)</f>
        <v/>
      </c>
      <c r="M1768" s="82">
        <f>IF(OR(Crate!$E139="",Crate!$E139=0),"",Crate!$O139)</f>
        <v/>
      </c>
      <c r="N1768" s="81">
        <f>IF(OR(Crate!$E139="",Crate!$E139=0),"",Crate!$D139)</f>
        <v/>
      </c>
      <c r="O1768" s="81">
        <f>IF(OR(Crate!$E139="",Crate!$E139=0),"",IFERROR(VLOOKUP(Crate!$E139,AcctTbl,3,0),""))</f>
        <v/>
      </c>
      <c r="P1768" s="82" t="inlineStr"/>
    </row>
    <row r="1769" ht="20.25" customHeight="1">
      <c r="A1769" s="80">
        <f>IF(OR(Crate!$P139="",Crate!$P139=0),"",Crate!$B139)</f>
        <v/>
      </c>
      <c r="B1769" s="80">
        <f>IF(OR(Crate!$P139="",Crate!$P139=0),"",Crate!$C139)</f>
        <v/>
      </c>
      <c r="C1769" s="80">
        <f>IF(OR(Crate!$P139="",Crate!$P139=0),"","سبد")</f>
        <v/>
      </c>
      <c r="D1769" s="80">
        <f>IF(OR(Crate!$P139="",Crate!$P139=0),"",Crate!$P139)</f>
        <v/>
      </c>
      <c r="E1769" s="81">
        <f>IF(OR(Crate!$P139="",Crate!$P139=0),"",IF(Crate!$P139="","","مقابل: "&amp;Crate!$D139))</f>
        <v/>
      </c>
      <c r="F1769" s="83" t="n"/>
      <c r="G1769" s="83" t="n"/>
      <c r="H1769" s="83" t="n"/>
      <c r="I1769" s="83" t="n"/>
      <c r="J1769" s="83" t="n"/>
      <c r="K1769" s="82">
        <f>IF(OR(Crate!$P139="",Crate!$P139=0),"",IF(Crate!$Q139="",0,Crate!$Q139)+IF(Crate!$R139="",0,Crate!$R139))</f>
        <v/>
      </c>
      <c r="L1769" s="82">
        <f>IF(OR(Crate!$P139="",Crate!$P139=0),"",Crate!$Q139)</f>
        <v/>
      </c>
      <c r="M1769" s="82">
        <f>IF(OR(Crate!$P139="",Crate!$P139=0),"",Crate!$R139)</f>
        <v/>
      </c>
      <c r="N1769" s="81">
        <f>IF(OR(Crate!$P139="",Crate!$P139=0),"","مقابل")</f>
        <v/>
      </c>
      <c r="O1769" s="81">
        <f>IF(OR(Crate!$P139="",Crate!$P139=0),"",IFERROR(VLOOKUP(Crate!$P139,AcctTbl,3,0),""))</f>
        <v/>
      </c>
      <c r="P1769" s="82" t="inlineStr"/>
    </row>
    <row r="1770" ht="20.25" customHeight="1">
      <c r="A1770" s="80">
        <f>IF(OR(Crate!$E140="",Crate!$E140=0),"",Crate!$B140)</f>
        <v/>
      </c>
      <c r="B1770" s="80">
        <f>IF(OR(Crate!$E140="",Crate!$E140=0),"",Crate!$C140)</f>
        <v/>
      </c>
      <c r="C1770" s="80">
        <f>IF(OR(Crate!$E140="",Crate!$E140=0),"","سبد")</f>
        <v/>
      </c>
      <c r="D1770" s="80">
        <f>IF(OR(Crate!$E140="",Crate!$E140=0),"",Crate!$E140)</f>
        <v/>
      </c>
      <c r="E1770" s="81">
        <f>IF(OR(Crate!$E140="",Crate!$E140=0),"",Crate!$M140)</f>
        <v/>
      </c>
      <c r="G1770" s="82">
        <f>IF(OR(Crate!$E140="",Crate!$E140=0),"",Crate!$I140)</f>
        <v/>
      </c>
      <c r="J1770" s="82">
        <f>IF(OR(Crate!$E140="",Crate!$E140=0),"",Crate!$J140)</f>
        <v/>
      </c>
      <c r="K1770" s="82">
        <f>IF(OR(Crate!$E140="",Crate!$E140=0),"",IF(Crate!$N140="",0,Crate!$N140)+IF(Crate!$O140="",0,Crate!$O140))</f>
        <v/>
      </c>
      <c r="L1770" s="82">
        <f>IF(OR(Crate!$E140="",Crate!$E140=0),"",Crate!$N140)</f>
        <v/>
      </c>
      <c r="M1770" s="82">
        <f>IF(OR(Crate!$E140="",Crate!$E140=0),"",Crate!$O140)</f>
        <v/>
      </c>
      <c r="N1770" s="81">
        <f>IF(OR(Crate!$E140="",Crate!$E140=0),"",Crate!$D140)</f>
        <v/>
      </c>
      <c r="O1770" s="81">
        <f>IF(OR(Crate!$E140="",Crate!$E140=0),"",IFERROR(VLOOKUP(Crate!$E140,AcctTbl,3,0),""))</f>
        <v/>
      </c>
      <c r="P1770" s="82" t="inlineStr"/>
    </row>
    <row r="1771" ht="20.25" customHeight="1">
      <c r="A1771" s="80">
        <f>IF(OR(Crate!$P140="",Crate!$P140=0),"",Crate!$B140)</f>
        <v/>
      </c>
      <c r="B1771" s="80">
        <f>IF(OR(Crate!$P140="",Crate!$P140=0),"",Crate!$C140)</f>
        <v/>
      </c>
      <c r="C1771" s="80">
        <f>IF(OR(Crate!$P140="",Crate!$P140=0),"","سبد")</f>
        <v/>
      </c>
      <c r="D1771" s="80">
        <f>IF(OR(Crate!$P140="",Crate!$P140=0),"",Crate!$P140)</f>
        <v/>
      </c>
      <c r="E1771" s="81">
        <f>IF(OR(Crate!$P140="",Crate!$P140=0),"",IF(Crate!$P140="","","مقابل: "&amp;Crate!$D140))</f>
        <v/>
      </c>
      <c r="F1771" s="83" t="n"/>
      <c r="G1771" s="83" t="n"/>
      <c r="H1771" s="83" t="n"/>
      <c r="I1771" s="83" t="n"/>
      <c r="J1771" s="83" t="n"/>
      <c r="K1771" s="82">
        <f>IF(OR(Crate!$P140="",Crate!$P140=0),"",IF(Crate!$Q140="",0,Crate!$Q140)+IF(Crate!$R140="",0,Crate!$R140))</f>
        <v/>
      </c>
      <c r="L1771" s="82">
        <f>IF(OR(Crate!$P140="",Crate!$P140=0),"",Crate!$Q140)</f>
        <v/>
      </c>
      <c r="M1771" s="82">
        <f>IF(OR(Crate!$P140="",Crate!$P140=0),"",Crate!$R140)</f>
        <v/>
      </c>
      <c r="N1771" s="81">
        <f>IF(OR(Crate!$P140="",Crate!$P140=0),"","مقابل")</f>
        <v/>
      </c>
      <c r="O1771" s="81">
        <f>IF(OR(Crate!$P140="",Crate!$P140=0),"",IFERROR(VLOOKUP(Crate!$P140,AcctTbl,3,0),""))</f>
        <v/>
      </c>
      <c r="P1771" s="82" t="inlineStr"/>
    </row>
    <row r="1772" ht="20.25" customHeight="1">
      <c r="A1772" s="80">
        <f>IF(OR(Crate!$E141="",Crate!$E141=0),"",Crate!$B141)</f>
        <v/>
      </c>
      <c r="B1772" s="80">
        <f>IF(OR(Crate!$E141="",Crate!$E141=0),"",Crate!$C141)</f>
        <v/>
      </c>
      <c r="C1772" s="80">
        <f>IF(OR(Crate!$E141="",Crate!$E141=0),"","سبد")</f>
        <v/>
      </c>
      <c r="D1772" s="80">
        <f>IF(OR(Crate!$E141="",Crate!$E141=0),"",Crate!$E141)</f>
        <v/>
      </c>
      <c r="E1772" s="81">
        <f>IF(OR(Crate!$E141="",Crate!$E141=0),"",Crate!$M141)</f>
        <v/>
      </c>
      <c r="G1772" s="82">
        <f>IF(OR(Crate!$E141="",Crate!$E141=0),"",Crate!$I141)</f>
        <v/>
      </c>
      <c r="J1772" s="82">
        <f>IF(OR(Crate!$E141="",Crate!$E141=0),"",Crate!$J141)</f>
        <v/>
      </c>
      <c r="K1772" s="82">
        <f>IF(OR(Crate!$E141="",Crate!$E141=0),"",IF(Crate!$N141="",0,Crate!$N141)+IF(Crate!$O141="",0,Crate!$O141))</f>
        <v/>
      </c>
      <c r="L1772" s="82">
        <f>IF(OR(Crate!$E141="",Crate!$E141=0),"",Crate!$N141)</f>
        <v/>
      </c>
      <c r="M1772" s="82">
        <f>IF(OR(Crate!$E141="",Crate!$E141=0),"",Crate!$O141)</f>
        <v/>
      </c>
      <c r="N1772" s="81">
        <f>IF(OR(Crate!$E141="",Crate!$E141=0),"",Crate!$D141)</f>
        <v/>
      </c>
      <c r="O1772" s="81">
        <f>IF(OR(Crate!$E141="",Crate!$E141=0),"",IFERROR(VLOOKUP(Crate!$E141,AcctTbl,3,0),""))</f>
        <v/>
      </c>
      <c r="P1772" s="82" t="inlineStr"/>
    </row>
    <row r="1773" ht="20.25" customHeight="1">
      <c r="A1773" s="80">
        <f>IF(OR(Crate!$P141="",Crate!$P141=0),"",Crate!$B141)</f>
        <v/>
      </c>
      <c r="B1773" s="80">
        <f>IF(OR(Crate!$P141="",Crate!$P141=0),"",Crate!$C141)</f>
        <v/>
      </c>
      <c r="C1773" s="80">
        <f>IF(OR(Crate!$P141="",Crate!$P141=0),"","سبد")</f>
        <v/>
      </c>
      <c r="D1773" s="80">
        <f>IF(OR(Crate!$P141="",Crate!$P141=0),"",Crate!$P141)</f>
        <v/>
      </c>
      <c r="E1773" s="81">
        <f>IF(OR(Crate!$P141="",Crate!$P141=0),"",IF(Crate!$P141="","","مقابل: "&amp;Crate!$D141))</f>
        <v/>
      </c>
      <c r="F1773" s="83" t="n"/>
      <c r="G1773" s="83" t="n"/>
      <c r="H1773" s="83" t="n"/>
      <c r="I1773" s="83" t="n"/>
      <c r="J1773" s="83" t="n"/>
      <c r="K1773" s="82">
        <f>IF(OR(Crate!$P141="",Crate!$P141=0),"",IF(Crate!$Q141="",0,Crate!$Q141)+IF(Crate!$R141="",0,Crate!$R141))</f>
        <v/>
      </c>
      <c r="L1773" s="82">
        <f>IF(OR(Crate!$P141="",Crate!$P141=0),"",Crate!$Q141)</f>
        <v/>
      </c>
      <c r="M1773" s="82">
        <f>IF(OR(Crate!$P141="",Crate!$P141=0),"",Crate!$R141)</f>
        <v/>
      </c>
      <c r="N1773" s="81">
        <f>IF(OR(Crate!$P141="",Crate!$P141=0),"","مقابل")</f>
        <v/>
      </c>
      <c r="O1773" s="81">
        <f>IF(OR(Crate!$P141="",Crate!$P141=0),"",IFERROR(VLOOKUP(Crate!$P141,AcctTbl,3,0),""))</f>
        <v/>
      </c>
      <c r="P1773" s="82" t="inlineStr"/>
    </row>
    <row r="1774" ht="20.25" customHeight="1">
      <c r="A1774" s="80">
        <f>IF(OR(Crate!$E142="",Crate!$E142=0),"",Crate!$B142)</f>
        <v/>
      </c>
      <c r="B1774" s="80">
        <f>IF(OR(Crate!$E142="",Crate!$E142=0),"",Crate!$C142)</f>
        <v/>
      </c>
      <c r="C1774" s="80">
        <f>IF(OR(Crate!$E142="",Crate!$E142=0),"","سبد")</f>
        <v/>
      </c>
      <c r="D1774" s="80">
        <f>IF(OR(Crate!$E142="",Crate!$E142=0),"",Crate!$E142)</f>
        <v/>
      </c>
      <c r="E1774" s="81">
        <f>IF(OR(Crate!$E142="",Crate!$E142=0),"",Crate!$M142)</f>
        <v/>
      </c>
      <c r="G1774" s="82">
        <f>IF(OR(Crate!$E142="",Crate!$E142=0),"",Crate!$I142)</f>
        <v/>
      </c>
      <c r="J1774" s="82">
        <f>IF(OR(Crate!$E142="",Crate!$E142=0),"",Crate!$J142)</f>
        <v/>
      </c>
      <c r="K1774" s="82">
        <f>IF(OR(Crate!$E142="",Crate!$E142=0),"",IF(Crate!$N142="",0,Crate!$N142)+IF(Crate!$O142="",0,Crate!$O142))</f>
        <v/>
      </c>
      <c r="L1774" s="82">
        <f>IF(OR(Crate!$E142="",Crate!$E142=0),"",Crate!$N142)</f>
        <v/>
      </c>
      <c r="M1774" s="82">
        <f>IF(OR(Crate!$E142="",Crate!$E142=0),"",Crate!$O142)</f>
        <v/>
      </c>
      <c r="N1774" s="81">
        <f>IF(OR(Crate!$E142="",Crate!$E142=0),"",Crate!$D142)</f>
        <v/>
      </c>
      <c r="O1774" s="81">
        <f>IF(OR(Crate!$E142="",Crate!$E142=0),"",IFERROR(VLOOKUP(Crate!$E142,AcctTbl,3,0),""))</f>
        <v/>
      </c>
      <c r="P1774" s="82" t="inlineStr"/>
    </row>
    <row r="1775" ht="20.25" customHeight="1">
      <c r="A1775" s="80">
        <f>IF(OR(Crate!$P142="",Crate!$P142=0),"",Crate!$B142)</f>
        <v/>
      </c>
      <c r="B1775" s="80">
        <f>IF(OR(Crate!$P142="",Crate!$P142=0),"",Crate!$C142)</f>
        <v/>
      </c>
      <c r="C1775" s="80">
        <f>IF(OR(Crate!$P142="",Crate!$P142=0),"","سبد")</f>
        <v/>
      </c>
      <c r="D1775" s="80">
        <f>IF(OR(Crate!$P142="",Crate!$P142=0),"",Crate!$P142)</f>
        <v/>
      </c>
      <c r="E1775" s="81">
        <f>IF(OR(Crate!$P142="",Crate!$P142=0),"",IF(Crate!$P142="","","مقابل: "&amp;Crate!$D142))</f>
        <v/>
      </c>
      <c r="F1775" s="83" t="n"/>
      <c r="G1775" s="83" t="n"/>
      <c r="H1775" s="83" t="n"/>
      <c r="I1775" s="83" t="n"/>
      <c r="J1775" s="83" t="n"/>
      <c r="K1775" s="82">
        <f>IF(OR(Crate!$P142="",Crate!$P142=0),"",IF(Crate!$Q142="",0,Crate!$Q142)+IF(Crate!$R142="",0,Crate!$R142))</f>
        <v/>
      </c>
      <c r="L1775" s="82">
        <f>IF(OR(Crate!$P142="",Crate!$P142=0),"",Crate!$Q142)</f>
        <v/>
      </c>
      <c r="M1775" s="82">
        <f>IF(OR(Crate!$P142="",Crate!$P142=0),"",Crate!$R142)</f>
        <v/>
      </c>
      <c r="N1775" s="81">
        <f>IF(OR(Crate!$P142="",Crate!$P142=0),"","مقابل")</f>
        <v/>
      </c>
      <c r="O1775" s="81">
        <f>IF(OR(Crate!$P142="",Crate!$P142=0),"",IFERROR(VLOOKUP(Crate!$P142,AcctTbl,3,0),""))</f>
        <v/>
      </c>
      <c r="P1775" s="82" t="inlineStr"/>
    </row>
    <row r="1776" ht="20.25" customHeight="1">
      <c r="A1776" s="80">
        <f>IF(OR(Crate!$E143="",Crate!$E143=0),"",Crate!$B143)</f>
        <v/>
      </c>
      <c r="B1776" s="80">
        <f>IF(OR(Crate!$E143="",Crate!$E143=0),"",Crate!$C143)</f>
        <v/>
      </c>
      <c r="C1776" s="80">
        <f>IF(OR(Crate!$E143="",Crate!$E143=0),"","سبد")</f>
        <v/>
      </c>
      <c r="D1776" s="80">
        <f>IF(OR(Crate!$E143="",Crate!$E143=0),"",Crate!$E143)</f>
        <v/>
      </c>
      <c r="E1776" s="81">
        <f>IF(OR(Crate!$E143="",Crate!$E143=0),"",Crate!$M143)</f>
        <v/>
      </c>
      <c r="G1776" s="82">
        <f>IF(OR(Crate!$E143="",Crate!$E143=0),"",Crate!$I143)</f>
        <v/>
      </c>
      <c r="J1776" s="82">
        <f>IF(OR(Crate!$E143="",Crate!$E143=0),"",Crate!$J143)</f>
        <v/>
      </c>
      <c r="K1776" s="82">
        <f>IF(OR(Crate!$E143="",Crate!$E143=0),"",IF(Crate!$N143="",0,Crate!$N143)+IF(Crate!$O143="",0,Crate!$O143))</f>
        <v/>
      </c>
      <c r="L1776" s="82">
        <f>IF(OR(Crate!$E143="",Crate!$E143=0),"",Crate!$N143)</f>
        <v/>
      </c>
      <c r="M1776" s="82">
        <f>IF(OR(Crate!$E143="",Crate!$E143=0),"",Crate!$O143)</f>
        <v/>
      </c>
      <c r="N1776" s="81">
        <f>IF(OR(Crate!$E143="",Crate!$E143=0),"",Crate!$D143)</f>
        <v/>
      </c>
      <c r="O1776" s="81">
        <f>IF(OR(Crate!$E143="",Crate!$E143=0),"",IFERROR(VLOOKUP(Crate!$E143,AcctTbl,3,0),""))</f>
        <v/>
      </c>
      <c r="P1776" s="82" t="inlineStr"/>
    </row>
    <row r="1777" ht="20.25" customHeight="1">
      <c r="A1777" s="80">
        <f>IF(OR(Crate!$P143="",Crate!$P143=0),"",Crate!$B143)</f>
        <v/>
      </c>
      <c r="B1777" s="80">
        <f>IF(OR(Crate!$P143="",Crate!$P143=0),"",Crate!$C143)</f>
        <v/>
      </c>
      <c r="C1777" s="80">
        <f>IF(OR(Crate!$P143="",Crate!$P143=0),"","سبد")</f>
        <v/>
      </c>
      <c r="D1777" s="80">
        <f>IF(OR(Crate!$P143="",Crate!$P143=0),"",Crate!$P143)</f>
        <v/>
      </c>
      <c r="E1777" s="81">
        <f>IF(OR(Crate!$P143="",Crate!$P143=0),"",IF(Crate!$P143="","","مقابل: "&amp;Crate!$D143))</f>
        <v/>
      </c>
      <c r="F1777" s="83" t="n"/>
      <c r="G1777" s="83" t="n"/>
      <c r="H1777" s="83" t="n"/>
      <c r="I1777" s="83" t="n"/>
      <c r="J1777" s="83" t="n"/>
      <c r="K1777" s="82">
        <f>IF(OR(Crate!$P143="",Crate!$P143=0),"",IF(Crate!$Q143="",0,Crate!$Q143)+IF(Crate!$R143="",0,Crate!$R143))</f>
        <v/>
      </c>
      <c r="L1777" s="82">
        <f>IF(OR(Crate!$P143="",Crate!$P143=0),"",Crate!$Q143)</f>
        <v/>
      </c>
      <c r="M1777" s="82">
        <f>IF(OR(Crate!$P143="",Crate!$P143=0),"",Crate!$R143)</f>
        <v/>
      </c>
      <c r="N1777" s="81">
        <f>IF(OR(Crate!$P143="",Crate!$P143=0),"","مقابل")</f>
        <v/>
      </c>
      <c r="O1777" s="81">
        <f>IF(OR(Crate!$P143="",Crate!$P143=0),"",IFERROR(VLOOKUP(Crate!$P143,AcctTbl,3,0),""))</f>
        <v/>
      </c>
      <c r="P1777" s="82" t="inlineStr"/>
    </row>
    <row r="1778" ht="20.25" customHeight="1">
      <c r="A1778" s="80">
        <f>IF(OR(Crate!$E144="",Crate!$E144=0),"",Crate!$B144)</f>
        <v/>
      </c>
      <c r="B1778" s="80">
        <f>IF(OR(Crate!$E144="",Crate!$E144=0),"",Crate!$C144)</f>
        <v/>
      </c>
      <c r="C1778" s="80">
        <f>IF(OR(Crate!$E144="",Crate!$E144=0),"","سبد")</f>
        <v/>
      </c>
      <c r="D1778" s="80">
        <f>IF(OR(Crate!$E144="",Crate!$E144=0),"",Crate!$E144)</f>
        <v/>
      </c>
      <c r="E1778" s="81">
        <f>IF(OR(Crate!$E144="",Crate!$E144=0),"",Crate!$M144)</f>
        <v/>
      </c>
      <c r="G1778" s="82">
        <f>IF(OR(Crate!$E144="",Crate!$E144=0),"",Crate!$I144)</f>
        <v/>
      </c>
      <c r="J1778" s="82">
        <f>IF(OR(Crate!$E144="",Crate!$E144=0),"",Crate!$J144)</f>
        <v/>
      </c>
      <c r="K1778" s="82">
        <f>IF(OR(Crate!$E144="",Crate!$E144=0),"",IF(Crate!$N144="",0,Crate!$N144)+IF(Crate!$O144="",0,Crate!$O144))</f>
        <v/>
      </c>
      <c r="L1778" s="82">
        <f>IF(OR(Crate!$E144="",Crate!$E144=0),"",Crate!$N144)</f>
        <v/>
      </c>
      <c r="M1778" s="82">
        <f>IF(OR(Crate!$E144="",Crate!$E144=0),"",Crate!$O144)</f>
        <v/>
      </c>
      <c r="N1778" s="81">
        <f>IF(OR(Crate!$E144="",Crate!$E144=0),"",Crate!$D144)</f>
        <v/>
      </c>
      <c r="O1778" s="81">
        <f>IF(OR(Crate!$E144="",Crate!$E144=0),"",IFERROR(VLOOKUP(Crate!$E144,AcctTbl,3,0),""))</f>
        <v/>
      </c>
      <c r="P1778" s="82" t="inlineStr"/>
    </row>
    <row r="1779" ht="20.25" customHeight="1">
      <c r="A1779" s="80">
        <f>IF(OR(Crate!$P144="",Crate!$P144=0),"",Crate!$B144)</f>
        <v/>
      </c>
      <c r="B1779" s="80">
        <f>IF(OR(Crate!$P144="",Crate!$P144=0),"",Crate!$C144)</f>
        <v/>
      </c>
      <c r="C1779" s="80">
        <f>IF(OR(Crate!$P144="",Crate!$P144=0),"","سبد")</f>
        <v/>
      </c>
      <c r="D1779" s="80">
        <f>IF(OR(Crate!$P144="",Crate!$P144=0),"",Crate!$P144)</f>
        <v/>
      </c>
      <c r="E1779" s="81">
        <f>IF(OR(Crate!$P144="",Crate!$P144=0),"",IF(Crate!$P144="","","مقابل: "&amp;Crate!$D144))</f>
        <v/>
      </c>
      <c r="F1779" s="83" t="n"/>
      <c r="G1779" s="83" t="n"/>
      <c r="H1779" s="83" t="n"/>
      <c r="I1779" s="83" t="n"/>
      <c r="J1779" s="83" t="n"/>
      <c r="K1779" s="82">
        <f>IF(OR(Crate!$P144="",Crate!$P144=0),"",IF(Crate!$Q144="",0,Crate!$Q144)+IF(Crate!$R144="",0,Crate!$R144))</f>
        <v/>
      </c>
      <c r="L1779" s="82">
        <f>IF(OR(Crate!$P144="",Crate!$P144=0),"",Crate!$Q144)</f>
        <v/>
      </c>
      <c r="M1779" s="82">
        <f>IF(OR(Crate!$P144="",Crate!$P144=0),"",Crate!$R144)</f>
        <v/>
      </c>
      <c r="N1779" s="81">
        <f>IF(OR(Crate!$P144="",Crate!$P144=0),"","مقابل")</f>
        <v/>
      </c>
      <c r="O1779" s="81">
        <f>IF(OR(Crate!$P144="",Crate!$P144=0),"",IFERROR(VLOOKUP(Crate!$P144,AcctTbl,3,0),""))</f>
        <v/>
      </c>
      <c r="P1779" s="82" t="inlineStr"/>
    </row>
    <row r="1780" ht="20.25" customHeight="1">
      <c r="A1780" s="80">
        <f>IF(OR(Crate!$E145="",Crate!$E145=0),"",Crate!$B145)</f>
        <v/>
      </c>
      <c r="B1780" s="80">
        <f>IF(OR(Crate!$E145="",Crate!$E145=0),"",Crate!$C145)</f>
        <v/>
      </c>
      <c r="C1780" s="80">
        <f>IF(OR(Crate!$E145="",Crate!$E145=0),"","سبد")</f>
        <v/>
      </c>
      <c r="D1780" s="80">
        <f>IF(OR(Crate!$E145="",Crate!$E145=0),"",Crate!$E145)</f>
        <v/>
      </c>
      <c r="E1780" s="81">
        <f>IF(OR(Crate!$E145="",Crate!$E145=0),"",Crate!$M145)</f>
        <v/>
      </c>
      <c r="G1780" s="82">
        <f>IF(OR(Crate!$E145="",Crate!$E145=0),"",Crate!$I145)</f>
        <v/>
      </c>
      <c r="J1780" s="82">
        <f>IF(OR(Crate!$E145="",Crate!$E145=0),"",Crate!$J145)</f>
        <v/>
      </c>
      <c r="K1780" s="82">
        <f>IF(OR(Crate!$E145="",Crate!$E145=0),"",IF(Crate!$N145="",0,Crate!$N145)+IF(Crate!$O145="",0,Crate!$O145))</f>
        <v/>
      </c>
      <c r="L1780" s="82">
        <f>IF(OR(Crate!$E145="",Crate!$E145=0),"",Crate!$N145)</f>
        <v/>
      </c>
      <c r="M1780" s="82">
        <f>IF(OR(Crate!$E145="",Crate!$E145=0),"",Crate!$O145)</f>
        <v/>
      </c>
      <c r="N1780" s="81">
        <f>IF(OR(Crate!$E145="",Crate!$E145=0),"",Crate!$D145)</f>
        <v/>
      </c>
      <c r="O1780" s="81">
        <f>IF(OR(Crate!$E145="",Crate!$E145=0),"",IFERROR(VLOOKUP(Crate!$E145,AcctTbl,3,0),""))</f>
        <v/>
      </c>
      <c r="P1780" s="82" t="inlineStr"/>
    </row>
    <row r="1781" ht="20.25" customHeight="1">
      <c r="A1781" s="80">
        <f>IF(OR(Crate!$P145="",Crate!$P145=0),"",Crate!$B145)</f>
        <v/>
      </c>
      <c r="B1781" s="80">
        <f>IF(OR(Crate!$P145="",Crate!$P145=0),"",Crate!$C145)</f>
        <v/>
      </c>
      <c r="C1781" s="80">
        <f>IF(OR(Crate!$P145="",Crate!$P145=0),"","سبد")</f>
        <v/>
      </c>
      <c r="D1781" s="80">
        <f>IF(OR(Crate!$P145="",Crate!$P145=0),"",Crate!$P145)</f>
        <v/>
      </c>
      <c r="E1781" s="81">
        <f>IF(OR(Crate!$P145="",Crate!$P145=0),"",IF(Crate!$P145="","","مقابل: "&amp;Crate!$D145))</f>
        <v/>
      </c>
      <c r="F1781" s="83" t="n"/>
      <c r="G1781" s="83" t="n"/>
      <c r="H1781" s="83" t="n"/>
      <c r="I1781" s="83" t="n"/>
      <c r="J1781" s="83" t="n"/>
      <c r="K1781" s="82">
        <f>IF(OR(Crate!$P145="",Crate!$P145=0),"",IF(Crate!$Q145="",0,Crate!$Q145)+IF(Crate!$R145="",0,Crate!$R145))</f>
        <v/>
      </c>
      <c r="L1781" s="82">
        <f>IF(OR(Crate!$P145="",Crate!$P145=0),"",Crate!$Q145)</f>
        <v/>
      </c>
      <c r="M1781" s="82">
        <f>IF(OR(Crate!$P145="",Crate!$P145=0),"",Crate!$R145)</f>
        <v/>
      </c>
      <c r="N1781" s="81">
        <f>IF(OR(Crate!$P145="",Crate!$P145=0),"","مقابل")</f>
        <v/>
      </c>
      <c r="O1781" s="81">
        <f>IF(OR(Crate!$P145="",Crate!$P145=0),"",IFERROR(VLOOKUP(Crate!$P145,AcctTbl,3,0),""))</f>
        <v/>
      </c>
      <c r="P1781" s="82" t="inlineStr"/>
    </row>
    <row r="1782" ht="20.25" customHeight="1">
      <c r="A1782" s="80">
        <f>IF(OR(Crate!$E146="",Crate!$E146=0),"",Crate!$B146)</f>
        <v/>
      </c>
      <c r="B1782" s="80">
        <f>IF(OR(Crate!$E146="",Crate!$E146=0),"",Crate!$C146)</f>
        <v/>
      </c>
      <c r="C1782" s="80">
        <f>IF(OR(Crate!$E146="",Crate!$E146=0),"","سبد")</f>
        <v/>
      </c>
      <c r="D1782" s="80">
        <f>IF(OR(Crate!$E146="",Crate!$E146=0),"",Crate!$E146)</f>
        <v/>
      </c>
      <c r="E1782" s="81">
        <f>IF(OR(Crate!$E146="",Crate!$E146=0),"",Crate!$M146)</f>
        <v/>
      </c>
      <c r="G1782" s="82">
        <f>IF(OR(Crate!$E146="",Crate!$E146=0),"",Crate!$I146)</f>
        <v/>
      </c>
      <c r="J1782" s="82">
        <f>IF(OR(Crate!$E146="",Crate!$E146=0),"",Crate!$J146)</f>
        <v/>
      </c>
      <c r="K1782" s="82">
        <f>IF(OR(Crate!$E146="",Crate!$E146=0),"",IF(Crate!$N146="",0,Crate!$N146)+IF(Crate!$O146="",0,Crate!$O146))</f>
        <v/>
      </c>
      <c r="L1782" s="82">
        <f>IF(OR(Crate!$E146="",Crate!$E146=0),"",Crate!$N146)</f>
        <v/>
      </c>
      <c r="M1782" s="82">
        <f>IF(OR(Crate!$E146="",Crate!$E146=0),"",Crate!$O146)</f>
        <v/>
      </c>
      <c r="N1782" s="81">
        <f>IF(OR(Crate!$E146="",Crate!$E146=0),"",Crate!$D146)</f>
        <v/>
      </c>
      <c r="O1782" s="81">
        <f>IF(OR(Crate!$E146="",Crate!$E146=0),"",IFERROR(VLOOKUP(Crate!$E146,AcctTbl,3,0),""))</f>
        <v/>
      </c>
      <c r="P1782" s="82" t="inlineStr"/>
    </row>
    <row r="1783" ht="20.25" customHeight="1">
      <c r="A1783" s="80">
        <f>IF(OR(Crate!$P146="",Crate!$P146=0),"",Crate!$B146)</f>
        <v/>
      </c>
      <c r="B1783" s="80">
        <f>IF(OR(Crate!$P146="",Crate!$P146=0),"",Crate!$C146)</f>
        <v/>
      </c>
      <c r="C1783" s="80">
        <f>IF(OR(Crate!$P146="",Crate!$P146=0),"","سبد")</f>
        <v/>
      </c>
      <c r="D1783" s="80">
        <f>IF(OR(Crate!$P146="",Crate!$P146=0),"",Crate!$P146)</f>
        <v/>
      </c>
      <c r="E1783" s="81">
        <f>IF(OR(Crate!$P146="",Crate!$P146=0),"",IF(Crate!$P146="","","مقابل: "&amp;Crate!$D146))</f>
        <v/>
      </c>
      <c r="F1783" s="83" t="n"/>
      <c r="G1783" s="83" t="n"/>
      <c r="H1783" s="83" t="n"/>
      <c r="I1783" s="83" t="n"/>
      <c r="J1783" s="83" t="n"/>
      <c r="K1783" s="82">
        <f>IF(OR(Crate!$P146="",Crate!$P146=0),"",IF(Crate!$Q146="",0,Crate!$Q146)+IF(Crate!$R146="",0,Crate!$R146))</f>
        <v/>
      </c>
      <c r="L1783" s="82">
        <f>IF(OR(Crate!$P146="",Crate!$P146=0),"",Crate!$Q146)</f>
        <v/>
      </c>
      <c r="M1783" s="82">
        <f>IF(OR(Crate!$P146="",Crate!$P146=0),"",Crate!$R146)</f>
        <v/>
      </c>
      <c r="N1783" s="81">
        <f>IF(OR(Crate!$P146="",Crate!$P146=0),"","مقابل")</f>
        <v/>
      </c>
      <c r="O1783" s="81">
        <f>IF(OR(Crate!$P146="",Crate!$P146=0),"",IFERROR(VLOOKUP(Crate!$P146,AcctTbl,3,0),""))</f>
        <v/>
      </c>
      <c r="P1783" s="82" t="inlineStr"/>
    </row>
    <row r="1784" ht="20.25" customHeight="1">
      <c r="A1784" s="80">
        <f>IF(OR(Crate!$E147="",Crate!$E147=0),"",Crate!$B147)</f>
        <v/>
      </c>
      <c r="B1784" s="80">
        <f>IF(OR(Crate!$E147="",Crate!$E147=0),"",Crate!$C147)</f>
        <v/>
      </c>
      <c r="C1784" s="80">
        <f>IF(OR(Crate!$E147="",Crate!$E147=0),"","سبد")</f>
        <v/>
      </c>
      <c r="D1784" s="80">
        <f>IF(OR(Crate!$E147="",Crate!$E147=0),"",Crate!$E147)</f>
        <v/>
      </c>
      <c r="E1784" s="81">
        <f>IF(OR(Crate!$E147="",Crate!$E147=0),"",Crate!$M147)</f>
        <v/>
      </c>
      <c r="G1784" s="82">
        <f>IF(OR(Crate!$E147="",Crate!$E147=0),"",Crate!$I147)</f>
        <v/>
      </c>
      <c r="J1784" s="82">
        <f>IF(OR(Crate!$E147="",Crate!$E147=0),"",Crate!$J147)</f>
        <v/>
      </c>
      <c r="K1784" s="82">
        <f>IF(OR(Crate!$E147="",Crate!$E147=0),"",IF(Crate!$N147="",0,Crate!$N147)+IF(Crate!$O147="",0,Crate!$O147))</f>
        <v/>
      </c>
      <c r="L1784" s="82">
        <f>IF(OR(Crate!$E147="",Crate!$E147=0),"",Crate!$N147)</f>
        <v/>
      </c>
      <c r="M1784" s="82">
        <f>IF(OR(Crate!$E147="",Crate!$E147=0),"",Crate!$O147)</f>
        <v/>
      </c>
      <c r="N1784" s="81">
        <f>IF(OR(Crate!$E147="",Crate!$E147=0),"",Crate!$D147)</f>
        <v/>
      </c>
      <c r="O1784" s="81">
        <f>IF(OR(Crate!$E147="",Crate!$E147=0),"",IFERROR(VLOOKUP(Crate!$E147,AcctTbl,3,0),""))</f>
        <v/>
      </c>
      <c r="P1784" s="82" t="inlineStr"/>
    </row>
    <row r="1785" ht="20.25" customHeight="1">
      <c r="A1785" s="80">
        <f>IF(OR(Crate!$P147="",Crate!$P147=0),"",Crate!$B147)</f>
        <v/>
      </c>
      <c r="B1785" s="80">
        <f>IF(OR(Crate!$P147="",Crate!$P147=0),"",Crate!$C147)</f>
        <v/>
      </c>
      <c r="C1785" s="80">
        <f>IF(OR(Crate!$P147="",Crate!$P147=0),"","سبد")</f>
        <v/>
      </c>
      <c r="D1785" s="80">
        <f>IF(OR(Crate!$P147="",Crate!$P147=0),"",Crate!$P147)</f>
        <v/>
      </c>
      <c r="E1785" s="81">
        <f>IF(OR(Crate!$P147="",Crate!$P147=0),"",IF(Crate!$P147="","","مقابل: "&amp;Crate!$D147))</f>
        <v/>
      </c>
      <c r="F1785" s="83" t="n"/>
      <c r="G1785" s="83" t="n"/>
      <c r="H1785" s="83" t="n"/>
      <c r="I1785" s="83" t="n"/>
      <c r="J1785" s="83" t="n"/>
      <c r="K1785" s="82">
        <f>IF(OR(Crate!$P147="",Crate!$P147=0),"",IF(Crate!$Q147="",0,Crate!$Q147)+IF(Crate!$R147="",0,Crate!$R147))</f>
        <v/>
      </c>
      <c r="L1785" s="82">
        <f>IF(OR(Crate!$P147="",Crate!$P147=0),"",Crate!$Q147)</f>
        <v/>
      </c>
      <c r="M1785" s="82">
        <f>IF(OR(Crate!$P147="",Crate!$P147=0),"",Crate!$R147)</f>
        <v/>
      </c>
      <c r="N1785" s="81">
        <f>IF(OR(Crate!$P147="",Crate!$P147=0),"","مقابل")</f>
        <v/>
      </c>
      <c r="O1785" s="81">
        <f>IF(OR(Crate!$P147="",Crate!$P147=0),"",IFERROR(VLOOKUP(Crate!$P147,AcctTbl,3,0),""))</f>
        <v/>
      </c>
      <c r="P1785" s="82" t="inlineStr"/>
    </row>
    <row r="1786" ht="20.25" customHeight="1">
      <c r="A1786" s="80">
        <f>IF(OR(Crate!$E148="",Crate!$E148=0),"",Crate!$B148)</f>
        <v/>
      </c>
      <c r="B1786" s="80">
        <f>IF(OR(Crate!$E148="",Crate!$E148=0),"",Crate!$C148)</f>
        <v/>
      </c>
      <c r="C1786" s="80">
        <f>IF(OR(Crate!$E148="",Crate!$E148=0),"","سبد")</f>
        <v/>
      </c>
      <c r="D1786" s="80">
        <f>IF(OR(Crate!$E148="",Crate!$E148=0),"",Crate!$E148)</f>
        <v/>
      </c>
      <c r="E1786" s="81">
        <f>IF(OR(Crate!$E148="",Crate!$E148=0),"",Crate!$M148)</f>
        <v/>
      </c>
      <c r="G1786" s="82">
        <f>IF(OR(Crate!$E148="",Crate!$E148=0),"",Crate!$I148)</f>
        <v/>
      </c>
      <c r="J1786" s="82">
        <f>IF(OR(Crate!$E148="",Crate!$E148=0),"",Crate!$J148)</f>
        <v/>
      </c>
      <c r="K1786" s="82">
        <f>IF(OR(Crate!$E148="",Crate!$E148=0),"",IF(Crate!$N148="",0,Crate!$N148)+IF(Crate!$O148="",0,Crate!$O148))</f>
        <v/>
      </c>
      <c r="L1786" s="82">
        <f>IF(OR(Crate!$E148="",Crate!$E148=0),"",Crate!$N148)</f>
        <v/>
      </c>
      <c r="M1786" s="82">
        <f>IF(OR(Crate!$E148="",Crate!$E148=0),"",Crate!$O148)</f>
        <v/>
      </c>
      <c r="N1786" s="81">
        <f>IF(OR(Crate!$E148="",Crate!$E148=0),"",Crate!$D148)</f>
        <v/>
      </c>
      <c r="O1786" s="81">
        <f>IF(OR(Crate!$E148="",Crate!$E148=0),"",IFERROR(VLOOKUP(Crate!$E148,AcctTbl,3,0),""))</f>
        <v/>
      </c>
      <c r="P1786" s="82" t="inlineStr"/>
    </row>
    <row r="1787" ht="20.25" customHeight="1">
      <c r="A1787" s="80">
        <f>IF(OR(Crate!$P148="",Crate!$P148=0),"",Crate!$B148)</f>
        <v/>
      </c>
      <c r="B1787" s="80">
        <f>IF(OR(Crate!$P148="",Crate!$P148=0),"",Crate!$C148)</f>
        <v/>
      </c>
      <c r="C1787" s="80">
        <f>IF(OR(Crate!$P148="",Crate!$P148=0),"","سبد")</f>
        <v/>
      </c>
      <c r="D1787" s="80">
        <f>IF(OR(Crate!$P148="",Crate!$P148=0),"",Crate!$P148)</f>
        <v/>
      </c>
      <c r="E1787" s="81">
        <f>IF(OR(Crate!$P148="",Crate!$P148=0),"",IF(Crate!$P148="","","مقابل: "&amp;Crate!$D148))</f>
        <v/>
      </c>
      <c r="F1787" s="83" t="n"/>
      <c r="G1787" s="83" t="n"/>
      <c r="H1787" s="83" t="n"/>
      <c r="I1787" s="83" t="n"/>
      <c r="J1787" s="83" t="n"/>
      <c r="K1787" s="82">
        <f>IF(OR(Crate!$P148="",Crate!$P148=0),"",IF(Crate!$Q148="",0,Crate!$Q148)+IF(Crate!$R148="",0,Crate!$R148))</f>
        <v/>
      </c>
      <c r="L1787" s="82">
        <f>IF(OR(Crate!$P148="",Crate!$P148=0),"",Crate!$Q148)</f>
        <v/>
      </c>
      <c r="M1787" s="82">
        <f>IF(OR(Crate!$P148="",Crate!$P148=0),"",Crate!$R148)</f>
        <v/>
      </c>
      <c r="N1787" s="81">
        <f>IF(OR(Crate!$P148="",Crate!$P148=0),"","مقابل")</f>
        <v/>
      </c>
      <c r="O1787" s="81">
        <f>IF(OR(Crate!$P148="",Crate!$P148=0),"",IFERROR(VLOOKUP(Crate!$P148,AcctTbl,3,0),""))</f>
        <v/>
      </c>
      <c r="P1787" s="82" t="inlineStr"/>
    </row>
    <row r="1788" ht="20.25" customHeight="1">
      <c r="A1788" s="80">
        <f>IF(OR(Crate!$E149="",Crate!$E149=0),"",Crate!$B149)</f>
        <v/>
      </c>
      <c r="B1788" s="80">
        <f>IF(OR(Crate!$E149="",Crate!$E149=0),"",Crate!$C149)</f>
        <v/>
      </c>
      <c r="C1788" s="80">
        <f>IF(OR(Crate!$E149="",Crate!$E149=0),"","سبد")</f>
        <v/>
      </c>
      <c r="D1788" s="80">
        <f>IF(OR(Crate!$E149="",Crate!$E149=0),"",Crate!$E149)</f>
        <v/>
      </c>
      <c r="E1788" s="81">
        <f>IF(OR(Crate!$E149="",Crate!$E149=0),"",Crate!$M149)</f>
        <v/>
      </c>
      <c r="G1788" s="82">
        <f>IF(OR(Crate!$E149="",Crate!$E149=0),"",Crate!$I149)</f>
        <v/>
      </c>
      <c r="J1788" s="82">
        <f>IF(OR(Crate!$E149="",Crate!$E149=0),"",Crate!$J149)</f>
        <v/>
      </c>
      <c r="K1788" s="82">
        <f>IF(OR(Crate!$E149="",Crate!$E149=0),"",IF(Crate!$N149="",0,Crate!$N149)+IF(Crate!$O149="",0,Crate!$O149))</f>
        <v/>
      </c>
      <c r="L1788" s="82">
        <f>IF(OR(Crate!$E149="",Crate!$E149=0),"",Crate!$N149)</f>
        <v/>
      </c>
      <c r="M1788" s="82">
        <f>IF(OR(Crate!$E149="",Crate!$E149=0),"",Crate!$O149)</f>
        <v/>
      </c>
      <c r="N1788" s="81">
        <f>IF(OR(Crate!$E149="",Crate!$E149=0),"",Crate!$D149)</f>
        <v/>
      </c>
      <c r="O1788" s="81">
        <f>IF(OR(Crate!$E149="",Crate!$E149=0),"",IFERROR(VLOOKUP(Crate!$E149,AcctTbl,3,0),""))</f>
        <v/>
      </c>
      <c r="P1788" s="82" t="inlineStr"/>
    </row>
    <row r="1789" ht="20.25" customHeight="1">
      <c r="A1789" s="80">
        <f>IF(OR(Crate!$P149="",Crate!$P149=0),"",Crate!$B149)</f>
        <v/>
      </c>
      <c r="B1789" s="80">
        <f>IF(OR(Crate!$P149="",Crate!$P149=0),"",Crate!$C149)</f>
        <v/>
      </c>
      <c r="C1789" s="80">
        <f>IF(OR(Crate!$P149="",Crate!$P149=0),"","سبد")</f>
        <v/>
      </c>
      <c r="D1789" s="80">
        <f>IF(OR(Crate!$P149="",Crate!$P149=0),"",Crate!$P149)</f>
        <v/>
      </c>
      <c r="E1789" s="81">
        <f>IF(OR(Crate!$P149="",Crate!$P149=0),"",IF(Crate!$P149="","","مقابل: "&amp;Crate!$D149))</f>
        <v/>
      </c>
      <c r="F1789" s="83" t="n"/>
      <c r="G1789" s="83" t="n"/>
      <c r="H1789" s="83" t="n"/>
      <c r="I1789" s="83" t="n"/>
      <c r="J1789" s="83" t="n"/>
      <c r="K1789" s="82">
        <f>IF(OR(Crate!$P149="",Crate!$P149=0),"",IF(Crate!$Q149="",0,Crate!$Q149)+IF(Crate!$R149="",0,Crate!$R149))</f>
        <v/>
      </c>
      <c r="L1789" s="82">
        <f>IF(OR(Crate!$P149="",Crate!$P149=0),"",Crate!$Q149)</f>
        <v/>
      </c>
      <c r="M1789" s="82">
        <f>IF(OR(Crate!$P149="",Crate!$P149=0),"",Crate!$R149)</f>
        <v/>
      </c>
      <c r="N1789" s="81">
        <f>IF(OR(Crate!$P149="",Crate!$P149=0),"","مقابل")</f>
        <v/>
      </c>
      <c r="O1789" s="81">
        <f>IF(OR(Crate!$P149="",Crate!$P149=0),"",IFERROR(VLOOKUP(Crate!$P149,AcctTbl,3,0),""))</f>
        <v/>
      </c>
      <c r="P1789" s="82" t="inlineStr"/>
    </row>
    <row r="1790" ht="20.25" customHeight="1">
      <c r="A1790" s="80">
        <f>IF(OR(Crate!$E150="",Crate!$E150=0),"",Crate!$B150)</f>
        <v/>
      </c>
      <c r="B1790" s="80">
        <f>IF(OR(Crate!$E150="",Crate!$E150=0),"",Crate!$C150)</f>
        <v/>
      </c>
      <c r="C1790" s="80">
        <f>IF(OR(Crate!$E150="",Crate!$E150=0),"","سبد")</f>
        <v/>
      </c>
      <c r="D1790" s="80">
        <f>IF(OR(Crate!$E150="",Crate!$E150=0),"",Crate!$E150)</f>
        <v/>
      </c>
      <c r="E1790" s="81">
        <f>IF(OR(Crate!$E150="",Crate!$E150=0),"",Crate!$M150)</f>
        <v/>
      </c>
      <c r="G1790" s="82">
        <f>IF(OR(Crate!$E150="",Crate!$E150=0),"",Crate!$I150)</f>
        <v/>
      </c>
      <c r="J1790" s="82">
        <f>IF(OR(Crate!$E150="",Crate!$E150=0),"",Crate!$J150)</f>
        <v/>
      </c>
      <c r="K1790" s="82">
        <f>IF(OR(Crate!$E150="",Crate!$E150=0),"",IF(Crate!$N150="",0,Crate!$N150)+IF(Crate!$O150="",0,Crate!$O150))</f>
        <v/>
      </c>
      <c r="L1790" s="82">
        <f>IF(OR(Crate!$E150="",Crate!$E150=0),"",Crate!$N150)</f>
        <v/>
      </c>
      <c r="M1790" s="82">
        <f>IF(OR(Crate!$E150="",Crate!$E150=0),"",Crate!$O150)</f>
        <v/>
      </c>
      <c r="N1790" s="81">
        <f>IF(OR(Crate!$E150="",Crate!$E150=0),"",Crate!$D150)</f>
        <v/>
      </c>
      <c r="O1790" s="81">
        <f>IF(OR(Crate!$E150="",Crate!$E150=0),"",IFERROR(VLOOKUP(Crate!$E150,AcctTbl,3,0),""))</f>
        <v/>
      </c>
      <c r="P1790" s="82" t="inlineStr"/>
    </row>
    <row r="1791" ht="20.25" customHeight="1">
      <c r="A1791" s="80">
        <f>IF(OR(Crate!$P150="",Crate!$P150=0),"",Crate!$B150)</f>
        <v/>
      </c>
      <c r="B1791" s="80">
        <f>IF(OR(Crate!$P150="",Crate!$P150=0),"",Crate!$C150)</f>
        <v/>
      </c>
      <c r="C1791" s="80">
        <f>IF(OR(Crate!$P150="",Crate!$P150=0),"","سبد")</f>
        <v/>
      </c>
      <c r="D1791" s="80">
        <f>IF(OR(Crate!$P150="",Crate!$P150=0),"",Crate!$P150)</f>
        <v/>
      </c>
      <c r="E1791" s="81">
        <f>IF(OR(Crate!$P150="",Crate!$P150=0),"",IF(Crate!$P150="","","مقابل: "&amp;Crate!$D150))</f>
        <v/>
      </c>
      <c r="F1791" s="83" t="n"/>
      <c r="G1791" s="83" t="n"/>
      <c r="H1791" s="83" t="n"/>
      <c r="I1791" s="83" t="n"/>
      <c r="J1791" s="83" t="n"/>
      <c r="K1791" s="82">
        <f>IF(OR(Crate!$P150="",Crate!$P150=0),"",IF(Crate!$Q150="",0,Crate!$Q150)+IF(Crate!$R150="",0,Crate!$R150))</f>
        <v/>
      </c>
      <c r="L1791" s="82">
        <f>IF(OR(Crate!$P150="",Crate!$P150=0),"",Crate!$Q150)</f>
        <v/>
      </c>
      <c r="M1791" s="82">
        <f>IF(OR(Crate!$P150="",Crate!$P150=0),"",Crate!$R150)</f>
        <v/>
      </c>
      <c r="N1791" s="81">
        <f>IF(OR(Crate!$P150="",Crate!$P150=0),"","مقابل")</f>
        <v/>
      </c>
      <c r="O1791" s="81">
        <f>IF(OR(Crate!$P150="",Crate!$P150=0),"",IFERROR(VLOOKUP(Crate!$P150,AcctTbl,3,0),""))</f>
        <v/>
      </c>
      <c r="P1791" s="82" t="inlineStr"/>
    </row>
    <row r="1792" ht="20.25" customHeight="1">
      <c r="A1792" s="80">
        <f>IF(OR(Crate!$E151="",Crate!$E151=0),"",Crate!$B151)</f>
        <v/>
      </c>
      <c r="B1792" s="80">
        <f>IF(OR(Crate!$E151="",Crate!$E151=0),"",Crate!$C151)</f>
        <v/>
      </c>
      <c r="C1792" s="80">
        <f>IF(OR(Crate!$E151="",Crate!$E151=0),"","سبد")</f>
        <v/>
      </c>
      <c r="D1792" s="80">
        <f>IF(OR(Crate!$E151="",Crate!$E151=0),"",Crate!$E151)</f>
        <v/>
      </c>
      <c r="E1792" s="81">
        <f>IF(OR(Crate!$E151="",Crate!$E151=0),"",Crate!$M151)</f>
        <v/>
      </c>
      <c r="G1792" s="82">
        <f>IF(OR(Crate!$E151="",Crate!$E151=0),"",Crate!$I151)</f>
        <v/>
      </c>
      <c r="J1792" s="82">
        <f>IF(OR(Crate!$E151="",Crate!$E151=0),"",Crate!$J151)</f>
        <v/>
      </c>
      <c r="K1792" s="82">
        <f>IF(OR(Crate!$E151="",Crate!$E151=0),"",IF(Crate!$N151="",0,Crate!$N151)+IF(Crate!$O151="",0,Crate!$O151))</f>
        <v/>
      </c>
      <c r="L1792" s="82">
        <f>IF(OR(Crate!$E151="",Crate!$E151=0),"",Crate!$N151)</f>
        <v/>
      </c>
      <c r="M1792" s="82">
        <f>IF(OR(Crate!$E151="",Crate!$E151=0),"",Crate!$O151)</f>
        <v/>
      </c>
      <c r="N1792" s="81">
        <f>IF(OR(Crate!$E151="",Crate!$E151=0),"",Crate!$D151)</f>
        <v/>
      </c>
      <c r="O1792" s="81">
        <f>IF(OR(Crate!$E151="",Crate!$E151=0),"",IFERROR(VLOOKUP(Crate!$E151,AcctTbl,3,0),""))</f>
        <v/>
      </c>
      <c r="P1792" s="82" t="inlineStr"/>
    </row>
    <row r="1793" ht="20.25" customHeight="1">
      <c r="A1793" s="80">
        <f>IF(OR(Crate!$P151="",Crate!$P151=0),"",Crate!$B151)</f>
        <v/>
      </c>
      <c r="B1793" s="80">
        <f>IF(OR(Crate!$P151="",Crate!$P151=0),"",Crate!$C151)</f>
        <v/>
      </c>
      <c r="C1793" s="80">
        <f>IF(OR(Crate!$P151="",Crate!$P151=0),"","سبد")</f>
        <v/>
      </c>
      <c r="D1793" s="80">
        <f>IF(OR(Crate!$P151="",Crate!$P151=0),"",Crate!$P151)</f>
        <v/>
      </c>
      <c r="E1793" s="81">
        <f>IF(OR(Crate!$P151="",Crate!$P151=0),"",IF(Crate!$P151="","","مقابل: "&amp;Crate!$D151))</f>
        <v/>
      </c>
      <c r="F1793" s="83" t="n"/>
      <c r="G1793" s="83" t="n"/>
      <c r="H1793" s="83" t="n"/>
      <c r="I1793" s="83" t="n"/>
      <c r="J1793" s="83" t="n"/>
      <c r="K1793" s="82">
        <f>IF(OR(Crate!$P151="",Crate!$P151=0),"",IF(Crate!$Q151="",0,Crate!$Q151)+IF(Crate!$R151="",0,Crate!$R151))</f>
        <v/>
      </c>
      <c r="L1793" s="82">
        <f>IF(OR(Crate!$P151="",Crate!$P151=0),"",Crate!$Q151)</f>
        <v/>
      </c>
      <c r="M1793" s="82">
        <f>IF(OR(Crate!$P151="",Crate!$P151=0),"",Crate!$R151)</f>
        <v/>
      </c>
      <c r="N1793" s="81">
        <f>IF(OR(Crate!$P151="",Crate!$P151=0),"","مقابل")</f>
        <v/>
      </c>
      <c r="O1793" s="81">
        <f>IF(OR(Crate!$P151="",Crate!$P151=0),"",IFERROR(VLOOKUP(Crate!$P151,AcctTbl,3,0),""))</f>
        <v/>
      </c>
      <c r="P1793" s="82" t="inlineStr"/>
    </row>
    <row r="1794" ht="20.25" customHeight="1">
      <c r="A1794" s="80">
        <f>IF(OR(Crate!$E152="",Crate!$E152=0),"",Crate!$B152)</f>
        <v/>
      </c>
      <c r="B1794" s="80">
        <f>IF(OR(Crate!$E152="",Crate!$E152=0),"",Crate!$C152)</f>
        <v/>
      </c>
      <c r="C1794" s="80">
        <f>IF(OR(Crate!$E152="",Crate!$E152=0),"","سبد")</f>
        <v/>
      </c>
      <c r="D1794" s="80">
        <f>IF(OR(Crate!$E152="",Crate!$E152=0),"",Crate!$E152)</f>
        <v/>
      </c>
      <c r="E1794" s="81">
        <f>IF(OR(Crate!$E152="",Crate!$E152=0),"",Crate!$M152)</f>
        <v/>
      </c>
      <c r="G1794" s="82">
        <f>IF(OR(Crate!$E152="",Crate!$E152=0),"",Crate!$I152)</f>
        <v/>
      </c>
      <c r="J1794" s="82">
        <f>IF(OR(Crate!$E152="",Crate!$E152=0),"",Crate!$J152)</f>
        <v/>
      </c>
      <c r="K1794" s="82">
        <f>IF(OR(Crate!$E152="",Crate!$E152=0),"",IF(Crate!$N152="",0,Crate!$N152)+IF(Crate!$O152="",0,Crate!$O152))</f>
        <v/>
      </c>
      <c r="L1794" s="82">
        <f>IF(OR(Crate!$E152="",Crate!$E152=0),"",Crate!$N152)</f>
        <v/>
      </c>
      <c r="M1794" s="82">
        <f>IF(OR(Crate!$E152="",Crate!$E152=0),"",Crate!$O152)</f>
        <v/>
      </c>
      <c r="N1794" s="81">
        <f>IF(OR(Crate!$E152="",Crate!$E152=0),"",Crate!$D152)</f>
        <v/>
      </c>
      <c r="O1794" s="81">
        <f>IF(OR(Crate!$E152="",Crate!$E152=0),"",IFERROR(VLOOKUP(Crate!$E152,AcctTbl,3,0),""))</f>
        <v/>
      </c>
      <c r="P1794" s="82" t="inlineStr"/>
    </row>
    <row r="1795" ht="20.25" customHeight="1">
      <c r="A1795" s="80">
        <f>IF(OR(Crate!$P152="",Crate!$P152=0),"",Crate!$B152)</f>
        <v/>
      </c>
      <c r="B1795" s="80">
        <f>IF(OR(Crate!$P152="",Crate!$P152=0),"",Crate!$C152)</f>
        <v/>
      </c>
      <c r="C1795" s="80">
        <f>IF(OR(Crate!$P152="",Crate!$P152=0),"","سبد")</f>
        <v/>
      </c>
      <c r="D1795" s="80">
        <f>IF(OR(Crate!$P152="",Crate!$P152=0),"",Crate!$P152)</f>
        <v/>
      </c>
      <c r="E1795" s="81">
        <f>IF(OR(Crate!$P152="",Crate!$P152=0),"",IF(Crate!$P152="","","مقابل: "&amp;Crate!$D152))</f>
        <v/>
      </c>
      <c r="F1795" s="83" t="n"/>
      <c r="G1795" s="83" t="n"/>
      <c r="H1795" s="83" t="n"/>
      <c r="I1795" s="83" t="n"/>
      <c r="J1795" s="83" t="n"/>
      <c r="K1795" s="82">
        <f>IF(OR(Crate!$P152="",Crate!$P152=0),"",IF(Crate!$Q152="",0,Crate!$Q152)+IF(Crate!$R152="",0,Crate!$R152))</f>
        <v/>
      </c>
      <c r="L1795" s="82">
        <f>IF(OR(Crate!$P152="",Crate!$P152=0),"",Crate!$Q152)</f>
        <v/>
      </c>
      <c r="M1795" s="82">
        <f>IF(OR(Crate!$P152="",Crate!$P152=0),"",Crate!$R152)</f>
        <v/>
      </c>
      <c r="N1795" s="81">
        <f>IF(OR(Crate!$P152="",Crate!$P152=0),"","مقابل")</f>
        <v/>
      </c>
      <c r="O1795" s="81">
        <f>IF(OR(Crate!$P152="",Crate!$P152=0),"",IFERROR(VLOOKUP(Crate!$P152,AcctTbl,3,0),""))</f>
        <v/>
      </c>
      <c r="P1795" s="82" t="inlineStr"/>
    </row>
    <row r="1796" ht="20.25" customHeight="1">
      <c r="A1796" s="80">
        <f>IF(OR(Crate!$E153="",Crate!$E153=0),"",Crate!$B153)</f>
        <v/>
      </c>
      <c r="B1796" s="80">
        <f>IF(OR(Crate!$E153="",Crate!$E153=0),"",Crate!$C153)</f>
        <v/>
      </c>
      <c r="C1796" s="80">
        <f>IF(OR(Crate!$E153="",Crate!$E153=0),"","سبد")</f>
        <v/>
      </c>
      <c r="D1796" s="80">
        <f>IF(OR(Crate!$E153="",Crate!$E153=0),"",Crate!$E153)</f>
        <v/>
      </c>
      <c r="E1796" s="81">
        <f>IF(OR(Crate!$E153="",Crate!$E153=0),"",Crate!$M153)</f>
        <v/>
      </c>
      <c r="G1796" s="82">
        <f>IF(OR(Crate!$E153="",Crate!$E153=0),"",Crate!$I153)</f>
        <v/>
      </c>
      <c r="J1796" s="82">
        <f>IF(OR(Crate!$E153="",Crate!$E153=0),"",Crate!$J153)</f>
        <v/>
      </c>
      <c r="K1796" s="82">
        <f>IF(OR(Crate!$E153="",Crate!$E153=0),"",IF(Crate!$N153="",0,Crate!$N153)+IF(Crate!$O153="",0,Crate!$O153))</f>
        <v/>
      </c>
      <c r="L1796" s="82">
        <f>IF(OR(Crate!$E153="",Crate!$E153=0),"",Crate!$N153)</f>
        <v/>
      </c>
      <c r="M1796" s="82">
        <f>IF(OR(Crate!$E153="",Crate!$E153=0),"",Crate!$O153)</f>
        <v/>
      </c>
      <c r="N1796" s="81">
        <f>IF(OR(Crate!$E153="",Crate!$E153=0),"",Crate!$D153)</f>
        <v/>
      </c>
      <c r="O1796" s="81">
        <f>IF(OR(Crate!$E153="",Crate!$E153=0),"",IFERROR(VLOOKUP(Crate!$E153,AcctTbl,3,0),""))</f>
        <v/>
      </c>
      <c r="P1796" s="82" t="inlineStr"/>
    </row>
    <row r="1797" ht="20.25" customHeight="1">
      <c r="A1797" s="80">
        <f>IF(OR(Crate!$P153="",Crate!$P153=0),"",Crate!$B153)</f>
        <v/>
      </c>
      <c r="B1797" s="80">
        <f>IF(OR(Crate!$P153="",Crate!$P153=0),"",Crate!$C153)</f>
        <v/>
      </c>
      <c r="C1797" s="80">
        <f>IF(OR(Crate!$P153="",Crate!$P153=0),"","سبد")</f>
        <v/>
      </c>
      <c r="D1797" s="80">
        <f>IF(OR(Crate!$P153="",Crate!$P153=0),"",Crate!$P153)</f>
        <v/>
      </c>
      <c r="E1797" s="81">
        <f>IF(OR(Crate!$P153="",Crate!$P153=0),"",IF(Crate!$P153="","","مقابل: "&amp;Crate!$D153))</f>
        <v/>
      </c>
      <c r="F1797" s="83" t="n"/>
      <c r="G1797" s="83" t="n"/>
      <c r="H1797" s="83" t="n"/>
      <c r="I1797" s="83" t="n"/>
      <c r="J1797" s="83" t="n"/>
      <c r="K1797" s="82">
        <f>IF(OR(Crate!$P153="",Crate!$P153=0),"",IF(Crate!$Q153="",0,Crate!$Q153)+IF(Crate!$R153="",0,Crate!$R153))</f>
        <v/>
      </c>
      <c r="L1797" s="82">
        <f>IF(OR(Crate!$P153="",Crate!$P153=0),"",Crate!$Q153)</f>
        <v/>
      </c>
      <c r="M1797" s="82">
        <f>IF(OR(Crate!$P153="",Crate!$P153=0),"",Crate!$R153)</f>
        <v/>
      </c>
      <c r="N1797" s="81">
        <f>IF(OR(Crate!$P153="",Crate!$P153=0),"","مقابل")</f>
        <v/>
      </c>
      <c r="O1797" s="81">
        <f>IF(OR(Crate!$P153="",Crate!$P153=0),"",IFERROR(VLOOKUP(Crate!$P153,AcctTbl,3,0),""))</f>
        <v/>
      </c>
      <c r="P1797" s="82" t="inlineStr"/>
    </row>
    <row r="1798" ht="20.25" customHeight="1">
      <c r="A1798" s="80">
        <f>IF(OR(Crate!$E154="",Crate!$E154=0),"",Crate!$B154)</f>
        <v/>
      </c>
      <c r="B1798" s="80">
        <f>IF(OR(Crate!$E154="",Crate!$E154=0),"",Crate!$C154)</f>
        <v/>
      </c>
      <c r="C1798" s="80">
        <f>IF(OR(Crate!$E154="",Crate!$E154=0),"","سبد")</f>
        <v/>
      </c>
      <c r="D1798" s="80">
        <f>IF(OR(Crate!$E154="",Crate!$E154=0),"",Crate!$E154)</f>
        <v/>
      </c>
      <c r="E1798" s="81">
        <f>IF(OR(Crate!$E154="",Crate!$E154=0),"",Crate!$M154)</f>
        <v/>
      </c>
      <c r="G1798" s="82">
        <f>IF(OR(Crate!$E154="",Crate!$E154=0),"",Crate!$I154)</f>
        <v/>
      </c>
      <c r="J1798" s="82">
        <f>IF(OR(Crate!$E154="",Crate!$E154=0),"",Crate!$J154)</f>
        <v/>
      </c>
      <c r="K1798" s="82">
        <f>IF(OR(Crate!$E154="",Crate!$E154=0),"",IF(Crate!$N154="",0,Crate!$N154)+IF(Crate!$O154="",0,Crate!$O154))</f>
        <v/>
      </c>
      <c r="L1798" s="82">
        <f>IF(OR(Crate!$E154="",Crate!$E154=0),"",Crate!$N154)</f>
        <v/>
      </c>
      <c r="M1798" s="82">
        <f>IF(OR(Crate!$E154="",Crate!$E154=0),"",Crate!$O154)</f>
        <v/>
      </c>
      <c r="N1798" s="81">
        <f>IF(OR(Crate!$E154="",Crate!$E154=0),"",Crate!$D154)</f>
        <v/>
      </c>
      <c r="O1798" s="81">
        <f>IF(OR(Crate!$E154="",Crate!$E154=0),"",IFERROR(VLOOKUP(Crate!$E154,AcctTbl,3,0),""))</f>
        <v/>
      </c>
      <c r="P1798" s="82" t="inlineStr"/>
    </row>
    <row r="1799" ht="20.25" customHeight="1">
      <c r="A1799" s="80">
        <f>IF(OR(Crate!$P154="",Crate!$P154=0),"",Crate!$B154)</f>
        <v/>
      </c>
      <c r="B1799" s="80">
        <f>IF(OR(Crate!$P154="",Crate!$P154=0),"",Crate!$C154)</f>
        <v/>
      </c>
      <c r="C1799" s="80">
        <f>IF(OR(Crate!$P154="",Crate!$P154=0),"","سبد")</f>
        <v/>
      </c>
      <c r="D1799" s="80">
        <f>IF(OR(Crate!$P154="",Crate!$P154=0),"",Crate!$P154)</f>
        <v/>
      </c>
      <c r="E1799" s="81">
        <f>IF(OR(Crate!$P154="",Crate!$P154=0),"",IF(Crate!$P154="","","مقابل: "&amp;Crate!$D154))</f>
        <v/>
      </c>
      <c r="F1799" s="83" t="n"/>
      <c r="G1799" s="83" t="n"/>
      <c r="H1799" s="83" t="n"/>
      <c r="I1799" s="83" t="n"/>
      <c r="J1799" s="83" t="n"/>
      <c r="K1799" s="82">
        <f>IF(OR(Crate!$P154="",Crate!$P154=0),"",IF(Crate!$Q154="",0,Crate!$Q154)+IF(Crate!$R154="",0,Crate!$R154))</f>
        <v/>
      </c>
      <c r="L1799" s="82">
        <f>IF(OR(Crate!$P154="",Crate!$P154=0),"",Crate!$Q154)</f>
        <v/>
      </c>
      <c r="M1799" s="82">
        <f>IF(OR(Crate!$P154="",Crate!$P154=0),"",Crate!$R154)</f>
        <v/>
      </c>
      <c r="N1799" s="81">
        <f>IF(OR(Crate!$P154="",Crate!$P154=0),"","مقابل")</f>
        <v/>
      </c>
      <c r="O1799" s="81">
        <f>IF(OR(Crate!$P154="",Crate!$P154=0),"",IFERROR(VLOOKUP(Crate!$P154,AcctTbl,3,0),""))</f>
        <v/>
      </c>
      <c r="P1799" s="82" t="inlineStr"/>
    </row>
    <row r="1800" ht="20.25" customHeight="1">
      <c r="A1800" s="80">
        <f>IF(OR(Crate!$E155="",Crate!$E155=0),"",Crate!$B155)</f>
        <v/>
      </c>
      <c r="B1800" s="80">
        <f>IF(OR(Crate!$E155="",Crate!$E155=0),"",Crate!$C155)</f>
        <v/>
      </c>
      <c r="C1800" s="80">
        <f>IF(OR(Crate!$E155="",Crate!$E155=0),"","سبد")</f>
        <v/>
      </c>
      <c r="D1800" s="80">
        <f>IF(OR(Crate!$E155="",Crate!$E155=0),"",Crate!$E155)</f>
        <v/>
      </c>
      <c r="E1800" s="81">
        <f>IF(OR(Crate!$E155="",Crate!$E155=0),"",Crate!$M155)</f>
        <v/>
      </c>
      <c r="G1800" s="82">
        <f>IF(OR(Crate!$E155="",Crate!$E155=0),"",Crate!$I155)</f>
        <v/>
      </c>
      <c r="J1800" s="82">
        <f>IF(OR(Crate!$E155="",Crate!$E155=0),"",Crate!$J155)</f>
        <v/>
      </c>
      <c r="K1800" s="82">
        <f>IF(OR(Crate!$E155="",Crate!$E155=0),"",IF(Crate!$N155="",0,Crate!$N155)+IF(Crate!$O155="",0,Crate!$O155))</f>
        <v/>
      </c>
      <c r="L1800" s="82">
        <f>IF(OR(Crate!$E155="",Crate!$E155=0),"",Crate!$N155)</f>
        <v/>
      </c>
      <c r="M1800" s="82">
        <f>IF(OR(Crate!$E155="",Crate!$E155=0),"",Crate!$O155)</f>
        <v/>
      </c>
      <c r="N1800" s="81">
        <f>IF(OR(Crate!$E155="",Crate!$E155=0),"",Crate!$D155)</f>
        <v/>
      </c>
      <c r="O1800" s="81">
        <f>IF(OR(Crate!$E155="",Crate!$E155=0),"",IFERROR(VLOOKUP(Crate!$E155,AcctTbl,3,0),""))</f>
        <v/>
      </c>
      <c r="P1800" s="82" t="inlineStr"/>
    </row>
    <row r="1801" ht="20.25" customHeight="1">
      <c r="A1801" s="80">
        <f>IF(OR(Crate!$P155="",Crate!$P155=0),"",Crate!$B155)</f>
        <v/>
      </c>
      <c r="B1801" s="80">
        <f>IF(OR(Crate!$P155="",Crate!$P155=0),"",Crate!$C155)</f>
        <v/>
      </c>
      <c r="C1801" s="80">
        <f>IF(OR(Crate!$P155="",Crate!$P155=0),"","سبد")</f>
        <v/>
      </c>
      <c r="D1801" s="80">
        <f>IF(OR(Crate!$P155="",Crate!$P155=0),"",Crate!$P155)</f>
        <v/>
      </c>
      <c r="E1801" s="81">
        <f>IF(OR(Crate!$P155="",Crate!$P155=0),"",IF(Crate!$P155="","","مقابل: "&amp;Crate!$D155))</f>
        <v/>
      </c>
      <c r="F1801" s="83" t="n"/>
      <c r="G1801" s="83" t="n"/>
      <c r="H1801" s="83" t="n"/>
      <c r="I1801" s="83" t="n"/>
      <c r="J1801" s="83" t="n"/>
      <c r="K1801" s="82">
        <f>IF(OR(Crate!$P155="",Crate!$P155=0),"",IF(Crate!$Q155="",0,Crate!$Q155)+IF(Crate!$R155="",0,Crate!$R155))</f>
        <v/>
      </c>
      <c r="L1801" s="82">
        <f>IF(OR(Crate!$P155="",Crate!$P155=0),"",Crate!$Q155)</f>
        <v/>
      </c>
      <c r="M1801" s="82">
        <f>IF(OR(Crate!$P155="",Crate!$P155=0),"",Crate!$R155)</f>
        <v/>
      </c>
      <c r="N1801" s="81">
        <f>IF(OR(Crate!$P155="",Crate!$P155=0),"","مقابل")</f>
        <v/>
      </c>
      <c r="O1801" s="81">
        <f>IF(OR(Crate!$P155="",Crate!$P155=0),"",IFERROR(VLOOKUP(Crate!$P155,AcctTbl,3,0),""))</f>
        <v/>
      </c>
      <c r="P1801" s="82" t="inlineStr"/>
    </row>
    <row r="1802" ht="20.25" customHeight="1">
      <c r="A1802" s="80">
        <f>IF(OR(Crate!$E156="",Crate!$E156=0),"",Crate!$B156)</f>
        <v/>
      </c>
      <c r="B1802" s="80">
        <f>IF(OR(Crate!$E156="",Crate!$E156=0),"",Crate!$C156)</f>
        <v/>
      </c>
      <c r="C1802" s="80">
        <f>IF(OR(Crate!$E156="",Crate!$E156=0),"","سبد")</f>
        <v/>
      </c>
      <c r="D1802" s="80">
        <f>IF(OR(Crate!$E156="",Crate!$E156=0),"",Crate!$E156)</f>
        <v/>
      </c>
      <c r="E1802" s="81">
        <f>IF(OR(Crate!$E156="",Crate!$E156=0),"",Crate!$M156)</f>
        <v/>
      </c>
      <c r="G1802" s="82">
        <f>IF(OR(Crate!$E156="",Crate!$E156=0),"",Crate!$I156)</f>
        <v/>
      </c>
      <c r="J1802" s="82">
        <f>IF(OR(Crate!$E156="",Crate!$E156=0),"",Crate!$J156)</f>
        <v/>
      </c>
      <c r="K1802" s="82">
        <f>IF(OR(Crate!$E156="",Crate!$E156=0),"",IF(Crate!$N156="",0,Crate!$N156)+IF(Crate!$O156="",0,Crate!$O156))</f>
        <v/>
      </c>
      <c r="L1802" s="82">
        <f>IF(OR(Crate!$E156="",Crate!$E156=0),"",Crate!$N156)</f>
        <v/>
      </c>
      <c r="M1802" s="82">
        <f>IF(OR(Crate!$E156="",Crate!$E156=0),"",Crate!$O156)</f>
        <v/>
      </c>
      <c r="N1802" s="81">
        <f>IF(OR(Crate!$E156="",Crate!$E156=0),"",Crate!$D156)</f>
        <v/>
      </c>
      <c r="O1802" s="81">
        <f>IF(OR(Crate!$E156="",Crate!$E156=0),"",IFERROR(VLOOKUP(Crate!$E156,AcctTbl,3,0),""))</f>
        <v/>
      </c>
      <c r="P1802" s="82" t="inlineStr"/>
    </row>
    <row r="1803" ht="20.25" customHeight="1">
      <c r="A1803" s="80">
        <f>IF(OR(Crate!$P156="",Crate!$P156=0),"",Crate!$B156)</f>
        <v/>
      </c>
      <c r="B1803" s="80">
        <f>IF(OR(Crate!$P156="",Crate!$P156=0),"",Crate!$C156)</f>
        <v/>
      </c>
      <c r="C1803" s="80">
        <f>IF(OR(Crate!$P156="",Crate!$P156=0),"","سبد")</f>
        <v/>
      </c>
      <c r="D1803" s="80">
        <f>IF(OR(Crate!$P156="",Crate!$P156=0),"",Crate!$P156)</f>
        <v/>
      </c>
      <c r="E1803" s="81">
        <f>IF(OR(Crate!$P156="",Crate!$P156=0),"",IF(Crate!$P156="","","مقابل: "&amp;Crate!$D156))</f>
        <v/>
      </c>
      <c r="F1803" s="83" t="n"/>
      <c r="G1803" s="83" t="n"/>
      <c r="H1803" s="83" t="n"/>
      <c r="I1803" s="83" t="n"/>
      <c r="J1803" s="83" t="n"/>
      <c r="K1803" s="82">
        <f>IF(OR(Crate!$P156="",Crate!$P156=0),"",IF(Crate!$Q156="",0,Crate!$Q156)+IF(Crate!$R156="",0,Crate!$R156))</f>
        <v/>
      </c>
      <c r="L1803" s="82">
        <f>IF(OR(Crate!$P156="",Crate!$P156=0),"",Crate!$Q156)</f>
        <v/>
      </c>
      <c r="M1803" s="82">
        <f>IF(OR(Crate!$P156="",Crate!$P156=0),"",Crate!$R156)</f>
        <v/>
      </c>
      <c r="N1803" s="81">
        <f>IF(OR(Crate!$P156="",Crate!$P156=0),"","مقابل")</f>
        <v/>
      </c>
      <c r="O1803" s="81">
        <f>IF(OR(Crate!$P156="",Crate!$P156=0),"",IFERROR(VLOOKUP(Crate!$P156,AcctTbl,3,0),""))</f>
        <v/>
      </c>
      <c r="P1803" s="82" t="inlineStr"/>
    </row>
    <row r="1804" ht="20.25" customHeight="1">
      <c r="A1804" s="80">
        <f>IF(OR(Crate!$E157="",Crate!$E157=0),"",Crate!$B157)</f>
        <v/>
      </c>
      <c r="B1804" s="80">
        <f>IF(OR(Crate!$E157="",Crate!$E157=0),"",Crate!$C157)</f>
        <v/>
      </c>
      <c r="C1804" s="80">
        <f>IF(OR(Crate!$E157="",Crate!$E157=0),"","سبد")</f>
        <v/>
      </c>
      <c r="D1804" s="80">
        <f>IF(OR(Crate!$E157="",Crate!$E157=0),"",Crate!$E157)</f>
        <v/>
      </c>
      <c r="E1804" s="81">
        <f>IF(OR(Crate!$E157="",Crate!$E157=0),"",Crate!$M157)</f>
        <v/>
      </c>
      <c r="G1804" s="82">
        <f>IF(OR(Crate!$E157="",Crate!$E157=0),"",Crate!$I157)</f>
        <v/>
      </c>
      <c r="J1804" s="82">
        <f>IF(OR(Crate!$E157="",Crate!$E157=0),"",Crate!$J157)</f>
        <v/>
      </c>
      <c r="K1804" s="82">
        <f>IF(OR(Crate!$E157="",Crate!$E157=0),"",IF(Crate!$N157="",0,Crate!$N157)+IF(Crate!$O157="",0,Crate!$O157))</f>
        <v/>
      </c>
      <c r="L1804" s="82">
        <f>IF(OR(Crate!$E157="",Crate!$E157=0),"",Crate!$N157)</f>
        <v/>
      </c>
      <c r="M1804" s="82">
        <f>IF(OR(Crate!$E157="",Crate!$E157=0),"",Crate!$O157)</f>
        <v/>
      </c>
      <c r="N1804" s="81">
        <f>IF(OR(Crate!$E157="",Crate!$E157=0),"",Crate!$D157)</f>
        <v/>
      </c>
      <c r="O1804" s="81">
        <f>IF(OR(Crate!$E157="",Crate!$E157=0),"",IFERROR(VLOOKUP(Crate!$E157,AcctTbl,3,0),""))</f>
        <v/>
      </c>
      <c r="P1804" s="82" t="inlineStr"/>
    </row>
    <row r="1805" ht="20.25" customHeight="1">
      <c r="A1805" s="80">
        <f>IF(OR(Crate!$P157="",Crate!$P157=0),"",Crate!$B157)</f>
        <v/>
      </c>
      <c r="B1805" s="80">
        <f>IF(OR(Crate!$P157="",Crate!$P157=0),"",Crate!$C157)</f>
        <v/>
      </c>
      <c r="C1805" s="80">
        <f>IF(OR(Crate!$P157="",Crate!$P157=0),"","سبد")</f>
        <v/>
      </c>
      <c r="D1805" s="80">
        <f>IF(OR(Crate!$P157="",Crate!$P157=0),"",Crate!$P157)</f>
        <v/>
      </c>
      <c r="E1805" s="81">
        <f>IF(OR(Crate!$P157="",Crate!$P157=0),"",IF(Crate!$P157="","","مقابل: "&amp;Crate!$D157))</f>
        <v/>
      </c>
      <c r="F1805" s="83" t="n"/>
      <c r="G1805" s="83" t="n"/>
      <c r="H1805" s="83" t="n"/>
      <c r="I1805" s="83" t="n"/>
      <c r="J1805" s="83" t="n"/>
      <c r="K1805" s="82">
        <f>IF(OR(Crate!$P157="",Crate!$P157=0),"",IF(Crate!$Q157="",0,Crate!$Q157)+IF(Crate!$R157="",0,Crate!$R157))</f>
        <v/>
      </c>
      <c r="L1805" s="82">
        <f>IF(OR(Crate!$P157="",Crate!$P157=0),"",Crate!$Q157)</f>
        <v/>
      </c>
      <c r="M1805" s="82">
        <f>IF(OR(Crate!$P157="",Crate!$P157=0),"",Crate!$R157)</f>
        <v/>
      </c>
      <c r="N1805" s="81">
        <f>IF(OR(Crate!$P157="",Crate!$P157=0),"","مقابل")</f>
        <v/>
      </c>
      <c r="O1805" s="81">
        <f>IF(OR(Crate!$P157="",Crate!$P157=0),"",IFERROR(VLOOKUP(Crate!$P157,AcctTbl,3,0),""))</f>
        <v/>
      </c>
      <c r="P1805" s="82" t="inlineStr"/>
    </row>
    <row r="1806" ht="20.25" customHeight="1">
      <c r="A1806" s="80">
        <f>IF(OR(Crate!$E158="",Crate!$E158=0),"",Crate!$B158)</f>
        <v/>
      </c>
      <c r="B1806" s="80">
        <f>IF(OR(Crate!$E158="",Crate!$E158=0),"",Crate!$C158)</f>
        <v/>
      </c>
      <c r="C1806" s="80">
        <f>IF(OR(Crate!$E158="",Crate!$E158=0),"","سبد")</f>
        <v/>
      </c>
      <c r="D1806" s="80">
        <f>IF(OR(Crate!$E158="",Crate!$E158=0),"",Crate!$E158)</f>
        <v/>
      </c>
      <c r="E1806" s="81">
        <f>IF(OR(Crate!$E158="",Crate!$E158=0),"",Crate!$M158)</f>
        <v/>
      </c>
      <c r="G1806" s="82">
        <f>IF(OR(Crate!$E158="",Crate!$E158=0),"",Crate!$I158)</f>
        <v/>
      </c>
      <c r="J1806" s="82">
        <f>IF(OR(Crate!$E158="",Crate!$E158=0),"",Crate!$J158)</f>
        <v/>
      </c>
      <c r="K1806" s="82">
        <f>IF(OR(Crate!$E158="",Crate!$E158=0),"",IF(Crate!$N158="",0,Crate!$N158)+IF(Crate!$O158="",0,Crate!$O158))</f>
        <v/>
      </c>
      <c r="L1806" s="82">
        <f>IF(OR(Crate!$E158="",Crate!$E158=0),"",Crate!$N158)</f>
        <v/>
      </c>
      <c r="M1806" s="82">
        <f>IF(OR(Crate!$E158="",Crate!$E158=0),"",Crate!$O158)</f>
        <v/>
      </c>
      <c r="N1806" s="81">
        <f>IF(OR(Crate!$E158="",Crate!$E158=0),"",Crate!$D158)</f>
        <v/>
      </c>
      <c r="O1806" s="81">
        <f>IF(OR(Crate!$E158="",Crate!$E158=0),"",IFERROR(VLOOKUP(Crate!$E158,AcctTbl,3,0),""))</f>
        <v/>
      </c>
      <c r="P1806" s="82" t="inlineStr"/>
    </row>
    <row r="1807" ht="20.25" customHeight="1">
      <c r="A1807" s="80">
        <f>IF(OR(Crate!$P158="",Crate!$P158=0),"",Crate!$B158)</f>
        <v/>
      </c>
      <c r="B1807" s="80">
        <f>IF(OR(Crate!$P158="",Crate!$P158=0),"",Crate!$C158)</f>
        <v/>
      </c>
      <c r="C1807" s="80">
        <f>IF(OR(Crate!$P158="",Crate!$P158=0),"","سبد")</f>
        <v/>
      </c>
      <c r="D1807" s="80">
        <f>IF(OR(Crate!$P158="",Crate!$P158=0),"",Crate!$P158)</f>
        <v/>
      </c>
      <c r="E1807" s="81">
        <f>IF(OR(Crate!$P158="",Crate!$P158=0),"",IF(Crate!$P158="","","مقابل: "&amp;Crate!$D158))</f>
        <v/>
      </c>
      <c r="F1807" s="83" t="n"/>
      <c r="G1807" s="83" t="n"/>
      <c r="H1807" s="83" t="n"/>
      <c r="I1807" s="83" t="n"/>
      <c r="J1807" s="83" t="n"/>
      <c r="K1807" s="82">
        <f>IF(OR(Crate!$P158="",Crate!$P158=0),"",IF(Crate!$Q158="",0,Crate!$Q158)+IF(Crate!$R158="",0,Crate!$R158))</f>
        <v/>
      </c>
      <c r="L1807" s="82">
        <f>IF(OR(Crate!$P158="",Crate!$P158=0),"",Crate!$Q158)</f>
        <v/>
      </c>
      <c r="M1807" s="82">
        <f>IF(OR(Crate!$P158="",Crate!$P158=0),"",Crate!$R158)</f>
        <v/>
      </c>
      <c r="N1807" s="81">
        <f>IF(OR(Crate!$P158="",Crate!$P158=0),"","مقابل")</f>
        <v/>
      </c>
      <c r="O1807" s="81">
        <f>IF(OR(Crate!$P158="",Crate!$P158=0),"",IFERROR(VLOOKUP(Crate!$P158,AcctTbl,3,0),""))</f>
        <v/>
      </c>
      <c r="P1807" s="82" t="inlineStr"/>
    </row>
    <row r="1808" ht="20.25" customHeight="1">
      <c r="A1808" s="80">
        <f>IF(OR(Crate!$E159="",Crate!$E159=0),"",Crate!$B159)</f>
        <v/>
      </c>
      <c r="B1808" s="80">
        <f>IF(OR(Crate!$E159="",Crate!$E159=0),"",Crate!$C159)</f>
        <v/>
      </c>
      <c r="C1808" s="80">
        <f>IF(OR(Crate!$E159="",Crate!$E159=0),"","سبد")</f>
        <v/>
      </c>
      <c r="D1808" s="80">
        <f>IF(OR(Crate!$E159="",Crate!$E159=0),"",Crate!$E159)</f>
        <v/>
      </c>
      <c r="E1808" s="81">
        <f>IF(OR(Crate!$E159="",Crate!$E159=0),"",Crate!$M159)</f>
        <v/>
      </c>
      <c r="G1808" s="82">
        <f>IF(OR(Crate!$E159="",Crate!$E159=0),"",Crate!$I159)</f>
        <v/>
      </c>
      <c r="J1808" s="82">
        <f>IF(OR(Crate!$E159="",Crate!$E159=0),"",Crate!$J159)</f>
        <v/>
      </c>
      <c r="K1808" s="82">
        <f>IF(OR(Crate!$E159="",Crate!$E159=0),"",IF(Crate!$N159="",0,Crate!$N159)+IF(Crate!$O159="",0,Crate!$O159))</f>
        <v/>
      </c>
      <c r="L1808" s="82">
        <f>IF(OR(Crate!$E159="",Crate!$E159=0),"",Crate!$N159)</f>
        <v/>
      </c>
      <c r="M1808" s="82">
        <f>IF(OR(Crate!$E159="",Crate!$E159=0),"",Crate!$O159)</f>
        <v/>
      </c>
      <c r="N1808" s="81">
        <f>IF(OR(Crate!$E159="",Crate!$E159=0),"",Crate!$D159)</f>
        <v/>
      </c>
      <c r="O1808" s="81">
        <f>IF(OR(Crate!$E159="",Crate!$E159=0),"",IFERROR(VLOOKUP(Crate!$E159,AcctTbl,3,0),""))</f>
        <v/>
      </c>
      <c r="P1808" s="82" t="inlineStr"/>
    </row>
    <row r="1809" ht="20.25" customHeight="1">
      <c r="A1809" s="80">
        <f>IF(OR(Crate!$P159="",Crate!$P159=0),"",Crate!$B159)</f>
        <v/>
      </c>
      <c r="B1809" s="80">
        <f>IF(OR(Crate!$P159="",Crate!$P159=0),"",Crate!$C159)</f>
        <v/>
      </c>
      <c r="C1809" s="80">
        <f>IF(OR(Crate!$P159="",Crate!$P159=0),"","سبد")</f>
        <v/>
      </c>
      <c r="D1809" s="80">
        <f>IF(OR(Crate!$P159="",Crate!$P159=0),"",Crate!$P159)</f>
        <v/>
      </c>
      <c r="E1809" s="81">
        <f>IF(OR(Crate!$P159="",Crate!$P159=0),"",IF(Crate!$P159="","","مقابل: "&amp;Crate!$D159))</f>
        <v/>
      </c>
      <c r="F1809" s="83" t="n"/>
      <c r="G1809" s="83" t="n"/>
      <c r="H1809" s="83" t="n"/>
      <c r="I1809" s="83" t="n"/>
      <c r="J1809" s="83" t="n"/>
      <c r="K1809" s="82">
        <f>IF(OR(Crate!$P159="",Crate!$P159=0),"",IF(Crate!$Q159="",0,Crate!$Q159)+IF(Crate!$R159="",0,Crate!$R159))</f>
        <v/>
      </c>
      <c r="L1809" s="82">
        <f>IF(OR(Crate!$P159="",Crate!$P159=0),"",Crate!$Q159)</f>
        <v/>
      </c>
      <c r="M1809" s="82">
        <f>IF(OR(Crate!$P159="",Crate!$P159=0),"",Crate!$R159)</f>
        <v/>
      </c>
      <c r="N1809" s="81">
        <f>IF(OR(Crate!$P159="",Crate!$P159=0),"","مقابل")</f>
        <v/>
      </c>
      <c r="O1809" s="81">
        <f>IF(OR(Crate!$P159="",Crate!$P159=0),"",IFERROR(VLOOKUP(Crate!$P159,AcctTbl,3,0),""))</f>
        <v/>
      </c>
      <c r="P1809" s="82" t="inlineStr"/>
    </row>
    <row r="1810" ht="26.25" customHeight="1">
      <c r="A1810" s="150" t="inlineStr">
        <is>
          <t>جمع کل دفتر  (باید برابر باشد)</t>
        </is>
      </c>
      <c r="K1810" s="85">
        <f>SUM($K$10:$K$1808)</f>
        <v/>
      </c>
      <c r="L1810" s="85">
        <f>SUM($L$10:$L$1808)</f>
        <v/>
      </c>
      <c r="M1810" s="85">
        <f>SUM($M$10:$M$1808)</f>
        <v/>
      </c>
      <c r="N1810" s="151" t="n"/>
      <c r="P1810" s="87">
        <f>IF(ROUND($L1810-$M1810,0)=0,"✓","⚠")</f>
        <v/>
      </c>
    </row>
  </sheetData>
  <autoFilter ref="A8:Q1808"/>
  <mergeCells count="20">
    <mergeCell ref="A5:D5"/>
    <mergeCell ref="D7:F7"/>
    <mergeCell ref="M1:Q1"/>
    <mergeCell ref="G7:K7"/>
    <mergeCell ref="I6:L6"/>
    <mergeCell ref="E5:H5"/>
    <mergeCell ref="M5:P5"/>
    <mergeCell ref="N1810:O1810"/>
    <mergeCell ref="A6:D6"/>
    <mergeCell ref="A3:Q3"/>
    <mergeCell ref="A2:Q2"/>
    <mergeCell ref="O7:Q7"/>
    <mergeCell ref="L7:N7"/>
    <mergeCell ref="G4:Q4"/>
    <mergeCell ref="A1:L1"/>
    <mergeCell ref="E6:H6"/>
    <mergeCell ref="M6:P6"/>
    <mergeCell ref="A7:C7"/>
    <mergeCell ref="A1810:J1810"/>
    <mergeCell ref="I5:L5"/>
  </mergeCells>
  <conditionalFormatting sqref="A10:Q1808">
    <cfRule type="expression" priority="1" dxfId="12">
      <formula>OR($N10="مقابل",$N10="مقابل پوز")</formula>
    </cfRule>
  </conditionalFormatting>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FF2B5C7A"/>
    <outlinePr summaryBelow="1" summaryRight="1"/>
    <pageSetUpPr fitToPage="1"/>
  </sheetPr>
  <dimension ref="A1:I48"/>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22.7109375" customWidth="1" min="1" max="1"/>
    <col width="16.7109375" customWidth="1" min="2" max="9"/>
  </cols>
  <sheetData>
    <row r="1" ht="20.25" customHeight="1">
      <c r="A1" s="142" t="inlineStr">
        <is>
          <t>مازندشت — سورتینگ و بسته‌بندی مرکبات</t>
        </is>
      </c>
      <c r="E1" s="143" t="inlineStr">
        <is>
          <t>MAZANDASHT  ·  CITRUS SORTING &amp; PACKING</t>
        </is>
      </c>
    </row>
    <row r="2" ht="38.25" customHeight="1">
      <c r="A2" s="144" t="inlineStr">
        <is>
          <t>خلاصه مدیریتی — تراز، گروه‌ها و موجودی سبد</t>
        </is>
      </c>
    </row>
    <row r="3" ht="45.75" customHeight="1">
      <c r="A3" s="145" t="inlineStr">
        <is>
          <t>یک نگاه به سلامت دفتر و گردش کل  ·  همه اعداد خودکار از شیت‌های ثبت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توزین</t>
        </is>
      </c>
      <c r="B5" s="129" t="n"/>
      <c r="C5" s="5" t="inlineStr">
        <is>
          <t>جمع بدهکار</t>
        </is>
      </c>
      <c r="D5" s="129" t="n"/>
      <c r="E5" s="5" t="inlineStr">
        <is>
          <t>جمع بستانکار</t>
        </is>
      </c>
      <c r="F5" s="129" t="n"/>
      <c r="G5" s="5" t="inlineStr">
        <is>
          <t>اختلاف تراز</t>
        </is>
      </c>
      <c r="H5" s="129" t="n"/>
      <c r="I5" s="5" t="inlineStr">
        <is>
          <t>وضعیت</t>
        </is>
      </c>
    </row>
    <row r="6" ht="33" customHeight="1">
      <c r="A6" s="56">
        <f>COUNTA(Scale!$B$10:$B$309)</f>
        <v/>
      </c>
      <c r="B6" s="130" t="n"/>
      <c r="C6" s="60">
        <f>SUM(Book!$L$10:$L$1808)</f>
        <v/>
      </c>
      <c r="D6" s="130" t="n"/>
      <c r="E6" s="57">
        <f>SUM(Book!$M$10:$M$1808)</f>
        <v/>
      </c>
      <c r="F6" s="130" t="n"/>
      <c r="G6" s="78">
        <f>SUM(Book!$L$10:$L$1808)-SUM(Book!$M$10:$M$1808)</f>
        <v/>
      </c>
      <c r="H6" s="130" t="n"/>
      <c r="I6" s="149">
        <f>IF(ROUND(SUM(Book!$L$10:$L$1808)-SUM(Book!$M$10:$M$1808),0)=0,"✓ تراز","⚠ ناتراز")</f>
        <v/>
      </c>
    </row>
    <row r="7" ht="6.75" customHeight="1"/>
    <row r="8" ht="8.25" customHeight="1"/>
    <row r="10" ht="30" customHeight="1">
      <c r="A10" s="11" t="inlineStr">
        <is>
          <t>۰۱</t>
        </is>
      </c>
      <c r="B10" s="12" t="inlineStr">
        <is>
          <t>گردش بر اساس گروه حساب  —  جمع بدهکار و بستانکار هر گروه</t>
        </is>
      </c>
      <c r="C10" s="132" t="n"/>
      <c r="D10" s="132" t="n"/>
      <c r="E10" s="132" t="n"/>
      <c r="F10" s="132" t="n"/>
      <c r="G10" s="132" t="n"/>
      <c r="H10" s="132" t="n"/>
      <c r="I10" s="132" t="n"/>
    </row>
    <row r="11" ht="26.25" customHeight="1">
      <c r="A11" s="88" t="inlineStr">
        <is>
          <t>گروه</t>
        </is>
      </c>
      <c r="B11" s="152" t="n"/>
      <c r="C11" s="88" t="inlineStr">
        <is>
          <t>تعداد گردش</t>
        </is>
      </c>
      <c r="D11" s="152" t="n"/>
      <c r="E11" s="88" t="inlineStr">
        <is>
          <t>بدهکار</t>
        </is>
      </c>
      <c r="F11" s="152" t="n"/>
      <c r="G11" s="88" t="inlineStr">
        <is>
          <t>بستانکار</t>
        </is>
      </c>
      <c r="H11" s="152" t="n"/>
      <c r="I11" s="88" t="inlineStr">
        <is>
          <t>مانده (بدهکار−بستانکار)</t>
        </is>
      </c>
    </row>
    <row r="12" ht="21.75" customHeight="1">
      <c r="A12" s="89" t="inlineStr">
        <is>
          <t>باغدار</t>
        </is>
      </c>
      <c r="B12" s="130" t="n"/>
      <c r="C12" s="82">
        <f>COUNTIF(Book!$O$10:$O$1808,$A12)</f>
        <v/>
      </c>
      <c r="D12" s="137" t="n"/>
      <c r="E12" s="82">
        <f>SUMIF(Book!$O$10:$O$1808,$A12,Book!$L$10:$L$1808)</f>
        <v/>
      </c>
      <c r="F12" s="137" t="n"/>
      <c r="G12" s="82">
        <f>SUMIF(Book!$O$10:$O$1808,$A12,Book!$M$10:$M$1808)</f>
        <v/>
      </c>
      <c r="H12" s="137" t="n"/>
      <c r="I12" s="91">
        <f>$E12-$G12</f>
        <v/>
      </c>
    </row>
    <row r="13" ht="21.75" customHeight="1">
      <c r="A13" s="89" t="inlineStr">
        <is>
          <t>بارفروش</t>
        </is>
      </c>
      <c r="B13" s="130" t="n"/>
      <c r="C13" s="82">
        <f>COUNTIF(Book!$O$10:$O$1808,$A13)</f>
        <v/>
      </c>
      <c r="D13" s="137" t="n"/>
      <c r="E13" s="82">
        <f>SUMIF(Book!$O$10:$O$1808,$A13,Book!$L$10:$L$1808)</f>
        <v/>
      </c>
      <c r="F13" s="137" t="n"/>
      <c r="G13" s="82">
        <f>SUMIF(Book!$O$10:$O$1808,$A13,Book!$M$10:$M$1808)</f>
        <v/>
      </c>
      <c r="H13" s="137" t="n"/>
      <c r="I13" s="91">
        <f>$E13-$G13</f>
        <v/>
      </c>
    </row>
    <row r="14" ht="21.75" customHeight="1">
      <c r="A14" s="89" t="inlineStr">
        <is>
          <t>فروشنده سبد</t>
        </is>
      </c>
      <c r="B14" s="130" t="n"/>
      <c r="C14" s="82">
        <f>COUNTIF(Book!$O$10:$O$1808,$A14)</f>
        <v/>
      </c>
      <c r="D14" s="137" t="n"/>
      <c r="E14" s="82">
        <f>SUMIF(Book!$O$10:$O$1808,$A14,Book!$L$10:$L$1808)</f>
        <v/>
      </c>
      <c r="F14" s="137" t="n"/>
      <c r="G14" s="82">
        <f>SUMIF(Book!$O$10:$O$1808,$A14,Book!$M$10:$M$1808)</f>
        <v/>
      </c>
      <c r="H14" s="137" t="n"/>
      <c r="I14" s="91">
        <f>$E14-$G14</f>
        <v/>
      </c>
    </row>
    <row r="15" ht="21.75" customHeight="1">
      <c r="A15" s="89" t="inlineStr">
        <is>
          <t>تأمین‌کننده</t>
        </is>
      </c>
      <c r="B15" s="130" t="n"/>
      <c r="C15" s="82">
        <f>COUNTIF(Book!$O$10:$O$1808,$A15)</f>
        <v/>
      </c>
      <c r="D15" s="137" t="n"/>
      <c r="E15" s="82">
        <f>SUMIF(Book!$O$10:$O$1808,$A15,Book!$L$10:$L$1808)</f>
        <v/>
      </c>
      <c r="F15" s="137" t="n"/>
      <c r="G15" s="82">
        <f>SUMIF(Book!$O$10:$O$1808,$A15,Book!$M$10:$M$1808)</f>
        <v/>
      </c>
      <c r="H15" s="137" t="n"/>
      <c r="I15" s="91">
        <f>$E15-$G15</f>
        <v/>
      </c>
    </row>
    <row r="16" ht="21.75" customHeight="1">
      <c r="A16" s="89" t="inlineStr">
        <is>
          <t>کارمند</t>
        </is>
      </c>
      <c r="B16" s="130" t="n"/>
      <c r="C16" s="82">
        <f>COUNTIF(Book!$O$10:$O$1808,$A16)</f>
        <v/>
      </c>
      <c r="D16" s="137" t="n"/>
      <c r="E16" s="82">
        <f>SUMIF(Book!$O$10:$O$1808,$A16,Book!$L$10:$L$1808)</f>
        <v/>
      </c>
      <c r="F16" s="137" t="n"/>
      <c r="G16" s="82">
        <f>SUMIF(Book!$O$10:$O$1808,$A16,Book!$M$10:$M$1808)</f>
        <v/>
      </c>
      <c r="H16" s="137" t="n"/>
      <c r="I16" s="91">
        <f>$E16-$G16</f>
        <v/>
      </c>
    </row>
    <row r="17" ht="21.75" customHeight="1">
      <c r="A17" s="89" t="inlineStr">
        <is>
          <t>سایر حساب</t>
        </is>
      </c>
      <c r="B17" s="130" t="n"/>
      <c r="C17" s="82">
        <f>COUNTIF(Book!$O$10:$O$1808,$A17)</f>
        <v/>
      </c>
      <c r="D17" s="137" t="n"/>
      <c r="E17" s="82">
        <f>SUMIF(Book!$O$10:$O$1808,$A17,Book!$L$10:$L$1808)</f>
        <v/>
      </c>
      <c r="F17" s="137" t="n"/>
      <c r="G17" s="82">
        <f>SUMIF(Book!$O$10:$O$1808,$A17,Book!$M$10:$M$1808)</f>
        <v/>
      </c>
      <c r="H17" s="137" t="n"/>
      <c r="I17" s="91">
        <f>$E17-$G17</f>
        <v/>
      </c>
    </row>
    <row r="18" ht="21.75" customHeight="1">
      <c r="A18" s="89" t="inlineStr">
        <is>
          <t>باسکول دیگران</t>
        </is>
      </c>
      <c r="B18" s="130" t="n"/>
      <c r="C18" s="82">
        <f>COUNTIF(Book!$O$10:$O$1808,$A18)</f>
        <v/>
      </c>
      <c r="D18" s="137" t="n"/>
      <c r="E18" s="82">
        <f>SUMIF(Book!$O$10:$O$1808,$A18,Book!$L$10:$L$1808)</f>
        <v/>
      </c>
      <c r="F18" s="137" t="n"/>
      <c r="G18" s="82">
        <f>SUMIF(Book!$O$10:$O$1808,$A18,Book!$M$10:$M$1808)</f>
        <v/>
      </c>
      <c r="H18" s="137" t="n"/>
      <c r="I18" s="91">
        <f>$E18-$G18</f>
        <v/>
      </c>
    </row>
    <row r="19" ht="21.75" customHeight="1">
      <c r="A19" s="89" t="inlineStr">
        <is>
          <t>دارایی ثابت</t>
        </is>
      </c>
      <c r="B19" s="130" t="n"/>
      <c r="C19" s="82">
        <f>COUNTIF(Book!$O$10:$O$1808,$A19)</f>
        <v/>
      </c>
      <c r="D19" s="137" t="n"/>
      <c r="E19" s="82">
        <f>SUMIF(Book!$O$10:$O$1808,$A19,Book!$L$10:$L$1808)</f>
        <v/>
      </c>
      <c r="F19" s="137" t="n"/>
      <c r="G19" s="82">
        <f>SUMIF(Book!$O$10:$O$1808,$A19,Book!$M$10:$M$1808)</f>
        <v/>
      </c>
      <c r="H19" s="137" t="n"/>
      <c r="I19" s="91">
        <f>$E19-$G19</f>
        <v/>
      </c>
    </row>
    <row r="20" ht="21.75" customHeight="1">
      <c r="A20" s="89" t="inlineStr">
        <is>
          <t>وام و تسهیلات</t>
        </is>
      </c>
      <c r="B20" s="130" t="n"/>
      <c r="C20" s="82">
        <f>COUNTIF(Book!$O$10:$O$1808,$A20)</f>
        <v/>
      </c>
      <c r="D20" s="137" t="n"/>
      <c r="E20" s="82">
        <f>SUMIF(Book!$O$10:$O$1808,$A20,Book!$L$10:$L$1808)</f>
        <v/>
      </c>
      <c r="F20" s="137" t="n"/>
      <c r="G20" s="82">
        <f>SUMIF(Book!$O$10:$O$1808,$A20,Book!$M$10:$M$1808)</f>
        <v/>
      </c>
      <c r="H20" s="137" t="n"/>
      <c r="I20" s="91">
        <f>$E20-$G20</f>
        <v/>
      </c>
    </row>
    <row r="21" ht="21.75" customHeight="1">
      <c r="A21" s="89" t="inlineStr">
        <is>
          <t>سرمایه و آورده صاحبان</t>
        </is>
      </c>
      <c r="B21" s="130" t="n"/>
      <c r="C21" s="82">
        <f>COUNTIF(Book!$O$10:$O$1808,$A21)</f>
        <v/>
      </c>
      <c r="D21" s="137" t="n"/>
      <c r="E21" s="82">
        <f>SUMIF(Book!$O$10:$O$1808,$A21,Book!$L$10:$L$1808)</f>
        <v/>
      </c>
      <c r="F21" s="137" t="n"/>
      <c r="G21" s="82">
        <f>SUMIF(Book!$O$10:$O$1808,$A21,Book!$M$10:$M$1808)</f>
        <v/>
      </c>
      <c r="H21" s="137" t="n"/>
      <c r="I21" s="91">
        <f>$E21-$G21</f>
        <v/>
      </c>
    </row>
    <row r="22" ht="21.75" customHeight="1">
      <c r="A22" s="89" t="inlineStr">
        <is>
          <t>بانک و صندوق</t>
        </is>
      </c>
      <c r="B22" s="130" t="n"/>
      <c r="C22" s="82">
        <f>COUNTIF(Book!$O$10:$O$1808,$A22)</f>
        <v/>
      </c>
      <c r="D22" s="137" t="n"/>
      <c r="E22" s="82">
        <f>SUMIF(Book!$O$10:$O$1808,$A22,Book!$L$10:$L$1808)</f>
        <v/>
      </c>
      <c r="F22" s="137" t="n"/>
      <c r="G22" s="82">
        <f>SUMIF(Book!$O$10:$O$1808,$A22,Book!$M$10:$M$1808)</f>
        <v/>
      </c>
      <c r="H22" s="137" t="n"/>
      <c r="I22" s="91">
        <f>$E22-$G22</f>
        <v/>
      </c>
    </row>
    <row r="23" ht="30" customHeight="1">
      <c r="A23" s="11" t="inlineStr">
        <is>
          <t>۰۲</t>
        </is>
      </c>
      <c r="B23" s="12" t="inlineStr">
        <is>
          <t>موجودی سبد  —  موجودی = اولیه + خرید − فروش − مرجوعی خرید + مرجوعی فروش</t>
        </is>
      </c>
      <c r="C23" s="132" t="n"/>
      <c r="D23" s="132" t="n"/>
      <c r="E23" s="132" t="n"/>
      <c r="F23" s="132" t="n"/>
      <c r="G23" s="132" t="n"/>
      <c r="H23" s="132" t="n"/>
      <c r="I23" s="132" t="n"/>
    </row>
    <row r="24" ht="30" customHeight="1">
      <c r="A24" s="92" t="inlineStr">
        <is>
          <t>سبد</t>
        </is>
      </c>
      <c r="B24" s="92" t="inlineStr">
        <is>
          <t>موجودی اولیه</t>
        </is>
      </c>
      <c r="C24" s="92" t="inlineStr">
        <is>
          <t>خرید</t>
        </is>
      </c>
      <c r="D24" s="92" t="inlineStr">
        <is>
          <t>فروش</t>
        </is>
      </c>
      <c r="E24" s="92" t="inlineStr">
        <is>
          <t>مرجوعی خرید</t>
        </is>
      </c>
      <c r="F24" s="92" t="inlineStr">
        <is>
          <t>مرجوعی فروش</t>
        </is>
      </c>
      <c r="G24" s="92" t="inlineStr">
        <is>
          <t>موجودی فعلی</t>
        </is>
      </c>
      <c r="H24" s="92" t="inlineStr">
        <is>
          <t>ارزش (ریال)</t>
        </is>
      </c>
      <c r="I24" s="92" t="inlineStr">
        <is>
          <t>سهم</t>
        </is>
      </c>
    </row>
    <row r="25" ht="21.75" customHeight="1">
      <c r="A25" s="89" t="inlineStr">
        <is>
          <t>BK01 – ۶ک مشکی</t>
        </is>
      </c>
      <c r="B25" s="93">
        <f>IFERROR(VLOOKUP($A25,BasketTbl,8,0),0)</f>
        <v/>
      </c>
      <c r="C25" s="93">
        <f>SUMIFS(Crate!$I$10:$I$159,Crate!$H$10:$H$159,$A25,Crate!$D$10:$D$159,"خرید سبد")</f>
        <v/>
      </c>
      <c r="D25" s="93">
        <f>SUMIFS(Crate!$I$10:$I$159,Crate!$H$10:$H$159,$A25,Crate!$D$10:$D$159,"فروش سبد")</f>
        <v/>
      </c>
      <c r="E25" s="93">
        <f>SUMIFS(Crate!$I$10:$I$159,Crate!$H$10:$H$159,$A25,Crate!$D$10:$D$159,"مرجوعی خرید سبد")</f>
        <v/>
      </c>
      <c r="F25" s="93">
        <f>SUMIFS(Crate!$I$10:$I$159,Crate!$H$10:$H$159,$A25,Crate!$D$10:$D$159,"مرجوعی فروش سبد")</f>
        <v/>
      </c>
      <c r="G25" s="94">
        <f>$B25+$C25-$D25-$E25+$F25</f>
        <v/>
      </c>
      <c r="H25" s="93">
        <f>$G25*IFERROR(VLOOKUP($A25,BasketTbl,6,0),0)</f>
        <v/>
      </c>
      <c r="I25" s="153">
        <f>IFERROR($H25/SUM($H$25:$H$31),0)</f>
        <v/>
      </c>
    </row>
    <row r="26" ht="21.75" customHeight="1">
      <c r="A26" s="89" t="inlineStr">
        <is>
          <t>BK02 – درب‌۶ک</t>
        </is>
      </c>
      <c r="B26" s="93">
        <f>IFERROR(VLOOKUP($A26,BasketTbl,8,0),0)</f>
        <v/>
      </c>
      <c r="C26" s="93">
        <f>SUMIFS(Crate!$I$10:$I$159,Crate!$H$10:$H$159,$A26,Crate!$D$10:$D$159,"خرید سبد")</f>
        <v/>
      </c>
      <c r="D26" s="93">
        <f>SUMIFS(Crate!$I$10:$I$159,Crate!$H$10:$H$159,$A26,Crate!$D$10:$D$159,"فروش سبد")</f>
        <v/>
      </c>
      <c r="E26" s="93">
        <f>SUMIFS(Crate!$I$10:$I$159,Crate!$H$10:$H$159,$A26,Crate!$D$10:$D$159,"مرجوعی خرید سبد")</f>
        <v/>
      </c>
      <c r="F26" s="93">
        <f>SUMIFS(Crate!$I$10:$I$159,Crate!$H$10:$H$159,$A26,Crate!$D$10:$D$159,"مرجوعی فروش سبد")</f>
        <v/>
      </c>
      <c r="G26" s="94">
        <f>$B26+$C26-$D26-$E26+$F26</f>
        <v/>
      </c>
      <c r="H26" s="93">
        <f>$G26*IFERROR(VLOOKUP($A26,BasketTbl,6,0),0)</f>
        <v/>
      </c>
      <c r="I26" s="153">
        <f>IFERROR($H26/SUM($H$25:$H$31),0)</f>
        <v/>
      </c>
    </row>
    <row r="27" ht="21.75" customHeight="1">
      <c r="A27" s="89" t="inlineStr">
        <is>
          <t>BK03 – ۹ک مشکی</t>
        </is>
      </c>
      <c r="B27" s="93">
        <f>IFERROR(VLOOKUP($A27,BasketTbl,8,0),0)</f>
        <v/>
      </c>
      <c r="C27" s="93">
        <f>SUMIFS(Crate!$I$10:$I$159,Crate!$H$10:$H$159,$A27,Crate!$D$10:$D$159,"خرید سبد")</f>
        <v/>
      </c>
      <c r="D27" s="93">
        <f>SUMIFS(Crate!$I$10:$I$159,Crate!$H$10:$H$159,$A27,Crate!$D$10:$D$159,"فروش سبد")</f>
        <v/>
      </c>
      <c r="E27" s="93">
        <f>SUMIFS(Crate!$I$10:$I$159,Crate!$H$10:$H$159,$A27,Crate!$D$10:$D$159,"مرجوعی خرید سبد")</f>
        <v/>
      </c>
      <c r="F27" s="93">
        <f>SUMIFS(Crate!$I$10:$I$159,Crate!$H$10:$H$159,$A27,Crate!$D$10:$D$159,"مرجوعی فروش سبد")</f>
        <v/>
      </c>
      <c r="G27" s="94">
        <f>$B27+$C27-$D27-$E27+$F27</f>
        <v/>
      </c>
      <c r="H27" s="93">
        <f>$G27*IFERROR(VLOOKUP($A27,BasketTbl,6,0),0)</f>
        <v/>
      </c>
      <c r="I27" s="153">
        <f>IFERROR($H27/SUM($H$25:$H$31),0)</f>
        <v/>
      </c>
    </row>
    <row r="28" ht="21.75" customHeight="1">
      <c r="A28" s="89" t="inlineStr">
        <is>
          <t>BK04 – ریلی کوچک آبی</t>
        </is>
      </c>
      <c r="B28" s="93">
        <f>IFERROR(VLOOKUP($A28,BasketTbl,8,0),0)</f>
        <v/>
      </c>
      <c r="C28" s="93">
        <f>SUMIFS(Crate!$I$10:$I$159,Crate!$H$10:$H$159,$A28,Crate!$D$10:$D$159,"خرید سبد")</f>
        <v/>
      </c>
      <c r="D28" s="93">
        <f>SUMIFS(Crate!$I$10:$I$159,Crate!$H$10:$H$159,$A28,Crate!$D$10:$D$159,"فروش سبد")</f>
        <v/>
      </c>
      <c r="E28" s="93">
        <f>SUMIFS(Crate!$I$10:$I$159,Crate!$H$10:$H$159,$A28,Crate!$D$10:$D$159,"مرجوعی خرید سبد")</f>
        <v/>
      </c>
      <c r="F28" s="93">
        <f>SUMIFS(Crate!$I$10:$I$159,Crate!$H$10:$H$159,$A28,Crate!$D$10:$D$159,"مرجوعی فروش سبد")</f>
        <v/>
      </c>
      <c r="G28" s="94">
        <f>$B28+$C28-$D28-$E28+$F28</f>
        <v/>
      </c>
      <c r="H28" s="93">
        <f>$G28*IFERROR(VLOOKUP($A28,BasketTbl,6,0),0)</f>
        <v/>
      </c>
      <c r="I28" s="153">
        <f>IFERROR($H28/SUM($H$25:$H$31),0)</f>
        <v/>
      </c>
    </row>
    <row r="29" ht="21.75" customHeight="1">
      <c r="A29" s="89" t="inlineStr">
        <is>
          <t>BK05 – تک‌رج آبی بزرگ</t>
        </is>
      </c>
      <c r="B29" s="93">
        <f>IFERROR(VLOOKUP($A29,BasketTbl,8,0),0)</f>
        <v/>
      </c>
      <c r="C29" s="93">
        <f>SUMIFS(Crate!$I$10:$I$159,Crate!$H$10:$H$159,$A29,Crate!$D$10:$D$159,"خرید سبد")</f>
        <v/>
      </c>
      <c r="D29" s="93">
        <f>SUMIFS(Crate!$I$10:$I$159,Crate!$H$10:$H$159,$A29,Crate!$D$10:$D$159,"فروش سبد")</f>
        <v/>
      </c>
      <c r="E29" s="93">
        <f>SUMIFS(Crate!$I$10:$I$159,Crate!$H$10:$H$159,$A29,Crate!$D$10:$D$159,"مرجوعی خرید سبد")</f>
        <v/>
      </c>
      <c r="F29" s="93">
        <f>SUMIFS(Crate!$I$10:$I$159,Crate!$H$10:$H$159,$A29,Crate!$D$10:$D$159,"مرجوعی فروش سبد")</f>
        <v/>
      </c>
      <c r="G29" s="94">
        <f>$B29+$C29-$D29-$E29+$F29</f>
        <v/>
      </c>
      <c r="H29" s="93">
        <f>$G29*IFERROR(VLOOKUP($A29,BasketTbl,6,0),0)</f>
        <v/>
      </c>
      <c r="I29" s="153">
        <f>IFERROR($H29/SUM($H$25:$H$31),0)</f>
        <v/>
      </c>
    </row>
    <row r="30" ht="21.75" customHeight="1">
      <c r="A30" s="89" t="inlineStr">
        <is>
          <t>BK06 – آبی ۲۵×۲۰</t>
        </is>
      </c>
      <c r="B30" s="93">
        <f>IFERROR(VLOOKUP($A30,BasketTbl,8,0),0)</f>
        <v/>
      </c>
      <c r="C30" s="93">
        <f>SUMIFS(Crate!$I$10:$I$159,Crate!$H$10:$H$159,$A30,Crate!$D$10:$D$159,"خرید سبد")</f>
        <v/>
      </c>
      <c r="D30" s="93">
        <f>SUMIFS(Crate!$I$10:$I$159,Crate!$H$10:$H$159,$A30,Crate!$D$10:$D$159,"فروش سبد")</f>
        <v/>
      </c>
      <c r="E30" s="93">
        <f>SUMIFS(Crate!$I$10:$I$159,Crate!$H$10:$H$159,$A30,Crate!$D$10:$D$159,"مرجوعی خرید سبد")</f>
        <v/>
      </c>
      <c r="F30" s="93">
        <f>SUMIFS(Crate!$I$10:$I$159,Crate!$H$10:$H$159,$A30,Crate!$D$10:$D$159,"مرجوعی فروش سبد")</f>
        <v/>
      </c>
      <c r="G30" s="94">
        <f>$B30+$C30-$D30-$E30+$F30</f>
        <v/>
      </c>
      <c r="H30" s="93">
        <f>$G30*IFERROR(VLOOKUP($A30,BasketTbl,6,0),0)</f>
        <v/>
      </c>
      <c r="I30" s="153">
        <f>IFERROR($H30/SUM($H$25:$H$31),0)</f>
        <v/>
      </c>
    </row>
    <row r="31" ht="21.75" customHeight="1">
      <c r="A31" s="89" t="inlineStr">
        <is>
          <t>BK07 – ۸ک مشکی</t>
        </is>
      </c>
      <c r="B31" s="93">
        <f>IFERROR(VLOOKUP($A31,BasketTbl,8,0),0)</f>
        <v/>
      </c>
      <c r="C31" s="93">
        <f>SUMIFS(Crate!$I$10:$I$159,Crate!$H$10:$H$159,$A31,Crate!$D$10:$D$159,"خرید سبد")</f>
        <v/>
      </c>
      <c r="D31" s="93">
        <f>SUMIFS(Crate!$I$10:$I$159,Crate!$H$10:$H$159,$A31,Crate!$D$10:$D$159,"فروش سبد")</f>
        <v/>
      </c>
      <c r="E31" s="93">
        <f>SUMIFS(Crate!$I$10:$I$159,Crate!$H$10:$H$159,$A31,Crate!$D$10:$D$159,"مرجوعی خرید سبد")</f>
        <v/>
      </c>
      <c r="F31" s="93">
        <f>SUMIFS(Crate!$I$10:$I$159,Crate!$H$10:$H$159,$A31,Crate!$D$10:$D$159,"مرجوعی فروش سبد")</f>
        <v/>
      </c>
      <c r="G31" s="94">
        <f>$B31+$C31-$D31-$E31+$F31</f>
        <v/>
      </c>
      <c r="H31" s="93">
        <f>$G31*IFERROR(VLOOKUP($A31,BasketTbl,6,0),0)</f>
        <v/>
      </c>
      <c r="I31" s="153">
        <f>IFERROR($H31/SUM($H$25:$H$31),0)</f>
        <v/>
      </c>
    </row>
    <row r="32">
      <c r="A32" s="96" t="inlineStr">
        <is>
          <t>جمع</t>
        </is>
      </c>
      <c r="H32" s="97">
        <f>SUM($H$25:$H$31)</f>
        <v/>
      </c>
      <c r="I32" s="154">
        <f>SUM($I$25:$I$31)</f>
        <v/>
      </c>
    </row>
    <row r="35" ht="30" customHeight="1">
      <c r="A35" s="11" t="inlineStr">
        <is>
          <t>۰۳</t>
        </is>
      </c>
      <c r="B35" s="12" t="inlineStr">
        <is>
          <t>آمار ماهانه (بر اساس ماه تاریخ شمسی)  —  ماه ۰۱ تا ۱۲</t>
        </is>
      </c>
      <c r="C35" s="132" t="n"/>
      <c r="D35" s="132" t="n"/>
      <c r="E35" s="132" t="n"/>
      <c r="F35" s="132" t="n"/>
      <c r="G35" s="132" t="n"/>
      <c r="H35" s="132" t="n"/>
      <c r="I35" s="132" t="n"/>
    </row>
    <row r="36" ht="26.25" customHeight="1">
      <c r="A36" s="99" t="inlineStr">
        <is>
          <t>ماه</t>
        </is>
      </c>
      <c r="B36" s="99" t="inlineStr">
        <is>
          <t>تعداد ورود</t>
        </is>
      </c>
      <c r="C36" s="99" t="inlineStr">
        <is>
          <t>وزن ورود</t>
        </is>
      </c>
      <c r="D36" s="99" t="inlineStr">
        <is>
          <t>تعداد خروج</t>
        </is>
      </c>
      <c r="E36" s="99" t="inlineStr">
        <is>
          <t>وزن خروج</t>
        </is>
      </c>
      <c r="F36" s="99" t="inlineStr">
        <is>
          <t>مبلغ خرید</t>
        </is>
      </c>
      <c r="G36" s="99" t="inlineStr">
        <is>
          <t>مبلغ فروش</t>
        </is>
      </c>
    </row>
    <row r="37" ht="21" customHeight="1">
      <c r="A37" s="100" t="inlineStr">
        <is>
          <t>01</t>
        </is>
      </c>
      <c r="B37" s="93">
        <f>SUMIFS(Scale!$AP$10:$AP$309,Scale!$AO$10:$AO$309,$A37,Scale!$F$10:$F$309,"ورود")</f>
        <v/>
      </c>
      <c r="C37" s="93">
        <f>SUMIFS(Scale!$N$10:$N$309,Scale!$AO$10:$AO$309,$A37,Scale!$F$10:$F$309,"ورود")</f>
        <v/>
      </c>
      <c r="D37" s="93">
        <f>SUMIFS(Scale!$AP$10:$AP$309,Scale!$AO$10:$AO$309,$A37,Scale!$F$10:$F$309,"خروج")</f>
        <v/>
      </c>
      <c r="E37" s="93">
        <f>SUMIFS(Scale!$N$10:$N$309,Scale!$AO$10:$AO$309,$A37,Scale!$F$10:$F$309,"خروج")</f>
        <v/>
      </c>
      <c r="F37" s="93">
        <f>SUMIFS(Scale!$P$10:$P$309,Scale!$AO$10:$AO$309,$A37,Scale!$F$10:$F$309,"ورود")</f>
        <v/>
      </c>
      <c r="G37" s="93">
        <f>SUMIFS(Scale!$P$10:$P$309,Scale!$AO$10:$AO$309,$A37,Scale!$F$10:$F$309,"خروج")</f>
        <v/>
      </c>
    </row>
    <row r="38" ht="21" customHeight="1">
      <c r="A38" s="100" t="inlineStr">
        <is>
          <t>02</t>
        </is>
      </c>
      <c r="B38" s="93">
        <f>SUMIFS(Scale!$AP$10:$AP$309,Scale!$AO$10:$AO$309,$A38,Scale!$F$10:$F$309,"ورود")</f>
        <v/>
      </c>
      <c r="C38" s="93">
        <f>SUMIFS(Scale!$N$10:$N$309,Scale!$AO$10:$AO$309,$A38,Scale!$F$10:$F$309,"ورود")</f>
        <v/>
      </c>
      <c r="D38" s="93">
        <f>SUMIFS(Scale!$AP$10:$AP$309,Scale!$AO$10:$AO$309,$A38,Scale!$F$10:$F$309,"خروج")</f>
        <v/>
      </c>
      <c r="E38" s="93">
        <f>SUMIFS(Scale!$N$10:$N$309,Scale!$AO$10:$AO$309,$A38,Scale!$F$10:$F$309,"خروج")</f>
        <v/>
      </c>
      <c r="F38" s="93">
        <f>SUMIFS(Scale!$P$10:$P$309,Scale!$AO$10:$AO$309,$A38,Scale!$F$10:$F$309,"ورود")</f>
        <v/>
      </c>
      <c r="G38" s="93">
        <f>SUMIFS(Scale!$P$10:$P$309,Scale!$AO$10:$AO$309,$A38,Scale!$F$10:$F$309,"خروج")</f>
        <v/>
      </c>
    </row>
    <row r="39" ht="21" customHeight="1">
      <c r="A39" s="100" t="inlineStr">
        <is>
          <t>03</t>
        </is>
      </c>
      <c r="B39" s="93">
        <f>SUMIFS(Scale!$AP$10:$AP$309,Scale!$AO$10:$AO$309,$A39,Scale!$F$10:$F$309,"ورود")</f>
        <v/>
      </c>
      <c r="C39" s="93">
        <f>SUMIFS(Scale!$N$10:$N$309,Scale!$AO$10:$AO$309,$A39,Scale!$F$10:$F$309,"ورود")</f>
        <v/>
      </c>
      <c r="D39" s="93">
        <f>SUMIFS(Scale!$AP$10:$AP$309,Scale!$AO$10:$AO$309,$A39,Scale!$F$10:$F$309,"خروج")</f>
        <v/>
      </c>
      <c r="E39" s="93">
        <f>SUMIFS(Scale!$N$10:$N$309,Scale!$AO$10:$AO$309,$A39,Scale!$F$10:$F$309,"خروج")</f>
        <v/>
      </c>
      <c r="F39" s="93">
        <f>SUMIFS(Scale!$P$10:$P$309,Scale!$AO$10:$AO$309,$A39,Scale!$F$10:$F$309,"ورود")</f>
        <v/>
      </c>
      <c r="G39" s="93">
        <f>SUMIFS(Scale!$P$10:$P$309,Scale!$AO$10:$AO$309,$A39,Scale!$F$10:$F$309,"خروج")</f>
        <v/>
      </c>
    </row>
    <row r="40" ht="21" customHeight="1">
      <c r="A40" s="100" t="inlineStr">
        <is>
          <t>04</t>
        </is>
      </c>
      <c r="B40" s="93">
        <f>SUMIFS(Scale!$AP$10:$AP$309,Scale!$AO$10:$AO$309,$A40,Scale!$F$10:$F$309,"ورود")</f>
        <v/>
      </c>
      <c r="C40" s="93">
        <f>SUMIFS(Scale!$N$10:$N$309,Scale!$AO$10:$AO$309,$A40,Scale!$F$10:$F$309,"ورود")</f>
        <v/>
      </c>
      <c r="D40" s="93">
        <f>SUMIFS(Scale!$AP$10:$AP$309,Scale!$AO$10:$AO$309,$A40,Scale!$F$10:$F$309,"خروج")</f>
        <v/>
      </c>
      <c r="E40" s="93">
        <f>SUMIFS(Scale!$N$10:$N$309,Scale!$AO$10:$AO$309,$A40,Scale!$F$10:$F$309,"خروج")</f>
        <v/>
      </c>
      <c r="F40" s="93">
        <f>SUMIFS(Scale!$P$10:$P$309,Scale!$AO$10:$AO$309,$A40,Scale!$F$10:$F$309,"ورود")</f>
        <v/>
      </c>
      <c r="G40" s="93">
        <f>SUMIFS(Scale!$P$10:$P$309,Scale!$AO$10:$AO$309,$A40,Scale!$F$10:$F$309,"خروج")</f>
        <v/>
      </c>
    </row>
    <row r="41" ht="21" customHeight="1">
      <c r="A41" s="100" t="inlineStr">
        <is>
          <t>05</t>
        </is>
      </c>
      <c r="B41" s="93">
        <f>SUMIFS(Scale!$AP$10:$AP$309,Scale!$AO$10:$AO$309,$A41,Scale!$F$10:$F$309,"ورود")</f>
        <v/>
      </c>
      <c r="C41" s="93">
        <f>SUMIFS(Scale!$N$10:$N$309,Scale!$AO$10:$AO$309,$A41,Scale!$F$10:$F$309,"ورود")</f>
        <v/>
      </c>
      <c r="D41" s="93">
        <f>SUMIFS(Scale!$AP$10:$AP$309,Scale!$AO$10:$AO$309,$A41,Scale!$F$10:$F$309,"خروج")</f>
        <v/>
      </c>
      <c r="E41" s="93">
        <f>SUMIFS(Scale!$N$10:$N$309,Scale!$AO$10:$AO$309,$A41,Scale!$F$10:$F$309,"خروج")</f>
        <v/>
      </c>
      <c r="F41" s="93">
        <f>SUMIFS(Scale!$P$10:$P$309,Scale!$AO$10:$AO$309,$A41,Scale!$F$10:$F$309,"ورود")</f>
        <v/>
      </c>
      <c r="G41" s="93">
        <f>SUMIFS(Scale!$P$10:$P$309,Scale!$AO$10:$AO$309,$A41,Scale!$F$10:$F$309,"خروج")</f>
        <v/>
      </c>
    </row>
    <row r="42" ht="21" customHeight="1">
      <c r="A42" s="100" t="inlineStr">
        <is>
          <t>06</t>
        </is>
      </c>
      <c r="B42" s="93">
        <f>SUMIFS(Scale!$AP$10:$AP$309,Scale!$AO$10:$AO$309,$A42,Scale!$F$10:$F$309,"ورود")</f>
        <v/>
      </c>
      <c r="C42" s="93">
        <f>SUMIFS(Scale!$N$10:$N$309,Scale!$AO$10:$AO$309,$A42,Scale!$F$10:$F$309,"ورود")</f>
        <v/>
      </c>
      <c r="D42" s="93">
        <f>SUMIFS(Scale!$AP$10:$AP$309,Scale!$AO$10:$AO$309,$A42,Scale!$F$10:$F$309,"خروج")</f>
        <v/>
      </c>
      <c r="E42" s="93">
        <f>SUMIFS(Scale!$N$10:$N$309,Scale!$AO$10:$AO$309,$A42,Scale!$F$10:$F$309,"خروج")</f>
        <v/>
      </c>
      <c r="F42" s="93">
        <f>SUMIFS(Scale!$P$10:$P$309,Scale!$AO$10:$AO$309,$A42,Scale!$F$10:$F$309,"ورود")</f>
        <v/>
      </c>
      <c r="G42" s="93">
        <f>SUMIFS(Scale!$P$10:$P$309,Scale!$AO$10:$AO$309,$A42,Scale!$F$10:$F$309,"خروج")</f>
        <v/>
      </c>
    </row>
    <row r="43" ht="21" customHeight="1">
      <c r="A43" s="100" t="inlineStr">
        <is>
          <t>07</t>
        </is>
      </c>
      <c r="B43" s="93">
        <f>SUMIFS(Scale!$AP$10:$AP$309,Scale!$AO$10:$AO$309,$A43,Scale!$F$10:$F$309,"ورود")</f>
        <v/>
      </c>
      <c r="C43" s="93">
        <f>SUMIFS(Scale!$N$10:$N$309,Scale!$AO$10:$AO$309,$A43,Scale!$F$10:$F$309,"ورود")</f>
        <v/>
      </c>
      <c r="D43" s="93">
        <f>SUMIFS(Scale!$AP$10:$AP$309,Scale!$AO$10:$AO$309,$A43,Scale!$F$10:$F$309,"خروج")</f>
        <v/>
      </c>
      <c r="E43" s="93">
        <f>SUMIFS(Scale!$N$10:$N$309,Scale!$AO$10:$AO$309,$A43,Scale!$F$10:$F$309,"خروج")</f>
        <v/>
      </c>
      <c r="F43" s="93">
        <f>SUMIFS(Scale!$P$10:$P$309,Scale!$AO$10:$AO$309,$A43,Scale!$F$10:$F$309,"ورود")</f>
        <v/>
      </c>
      <c r="G43" s="93">
        <f>SUMIFS(Scale!$P$10:$P$309,Scale!$AO$10:$AO$309,$A43,Scale!$F$10:$F$309,"خروج")</f>
        <v/>
      </c>
    </row>
    <row r="44" ht="21" customHeight="1">
      <c r="A44" s="100" t="inlineStr">
        <is>
          <t>08</t>
        </is>
      </c>
      <c r="B44" s="93">
        <f>SUMIFS(Scale!$AP$10:$AP$309,Scale!$AO$10:$AO$309,$A44,Scale!$F$10:$F$309,"ورود")</f>
        <v/>
      </c>
      <c r="C44" s="93">
        <f>SUMIFS(Scale!$N$10:$N$309,Scale!$AO$10:$AO$309,$A44,Scale!$F$10:$F$309,"ورود")</f>
        <v/>
      </c>
      <c r="D44" s="93">
        <f>SUMIFS(Scale!$AP$10:$AP$309,Scale!$AO$10:$AO$309,$A44,Scale!$F$10:$F$309,"خروج")</f>
        <v/>
      </c>
      <c r="E44" s="93">
        <f>SUMIFS(Scale!$N$10:$N$309,Scale!$AO$10:$AO$309,$A44,Scale!$F$10:$F$309,"خروج")</f>
        <v/>
      </c>
      <c r="F44" s="93">
        <f>SUMIFS(Scale!$P$10:$P$309,Scale!$AO$10:$AO$309,$A44,Scale!$F$10:$F$309,"ورود")</f>
        <v/>
      </c>
      <c r="G44" s="93">
        <f>SUMIFS(Scale!$P$10:$P$309,Scale!$AO$10:$AO$309,$A44,Scale!$F$10:$F$309,"خروج")</f>
        <v/>
      </c>
    </row>
    <row r="45" ht="21" customHeight="1">
      <c r="A45" s="100" t="inlineStr">
        <is>
          <t>09</t>
        </is>
      </c>
      <c r="B45" s="93">
        <f>SUMIFS(Scale!$AP$10:$AP$309,Scale!$AO$10:$AO$309,$A45,Scale!$F$10:$F$309,"ورود")</f>
        <v/>
      </c>
      <c r="C45" s="93">
        <f>SUMIFS(Scale!$N$10:$N$309,Scale!$AO$10:$AO$309,$A45,Scale!$F$10:$F$309,"ورود")</f>
        <v/>
      </c>
      <c r="D45" s="93">
        <f>SUMIFS(Scale!$AP$10:$AP$309,Scale!$AO$10:$AO$309,$A45,Scale!$F$10:$F$309,"خروج")</f>
        <v/>
      </c>
      <c r="E45" s="93">
        <f>SUMIFS(Scale!$N$10:$N$309,Scale!$AO$10:$AO$309,$A45,Scale!$F$10:$F$309,"خروج")</f>
        <v/>
      </c>
      <c r="F45" s="93">
        <f>SUMIFS(Scale!$P$10:$P$309,Scale!$AO$10:$AO$309,$A45,Scale!$F$10:$F$309,"ورود")</f>
        <v/>
      </c>
      <c r="G45" s="93">
        <f>SUMIFS(Scale!$P$10:$P$309,Scale!$AO$10:$AO$309,$A45,Scale!$F$10:$F$309,"خروج")</f>
        <v/>
      </c>
    </row>
    <row r="46" ht="21" customHeight="1">
      <c r="A46" s="100" t="inlineStr">
        <is>
          <t>10</t>
        </is>
      </c>
      <c r="B46" s="93">
        <f>SUMIFS(Scale!$AP$10:$AP$309,Scale!$AO$10:$AO$309,$A46,Scale!$F$10:$F$309,"ورود")</f>
        <v/>
      </c>
      <c r="C46" s="93">
        <f>SUMIFS(Scale!$N$10:$N$309,Scale!$AO$10:$AO$309,$A46,Scale!$F$10:$F$309,"ورود")</f>
        <v/>
      </c>
      <c r="D46" s="93">
        <f>SUMIFS(Scale!$AP$10:$AP$309,Scale!$AO$10:$AO$309,$A46,Scale!$F$10:$F$309,"خروج")</f>
        <v/>
      </c>
      <c r="E46" s="93">
        <f>SUMIFS(Scale!$N$10:$N$309,Scale!$AO$10:$AO$309,$A46,Scale!$F$10:$F$309,"خروج")</f>
        <v/>
      </c>
      <c r="F46" s="93">
        <f>SUMIFS(Scale!$P$10:$P$309,Scale!$AO$10:$AO$309,$A46,Scale!$F$10:$F$309,"ورود")</f>
        <v/>
      </c>
      <c r="G46" s="93">
        <f>SUMIFS(Scale!$P$10:$P$309,Scale!$AO$10:$AO$309,$A46,Scale!$F$10:$F$309,"خروج")</f>
        <v/>
      </c>
    </row>
    <row r="47" ht="21" customHeight="1">
      <c r="A47" s="100" t="inlineStr">
        <is>
          <t>11</t>
        </is>
      </c>
      <c r="B47" s="93">
        <f>SUMIFS(Scale!$AP$10:$AP$309,Scale!$AO$10:$AO$309,$A47,Scale!$F$10:$F$309,"ورود")</f>
        <v/>
      </c>
      <c r="C47" s="93">
        <f>SUMIFS(Scale!$N$10:$N$309,Scale!$AO$10:$AO$309,$A47,Scale!$F$10:$F$309,"ورود")</f>
        <v/>
      </c>
      <c r="D47" s="93">
        <f>SUMIFS(Scale!$AP$10:$AP$309,Scale!$AO$10:$AO$309,$A47,Scale!$F$10:$F$309,"خروج")</f>
        <v/>
      </c>
      <c r="E47" s="93">
        <f>SUMIFS(Scale!$N$10:$N$309,Scale!$AO$10:$AO$309,$A47,Scale!$F$10:$F$309,"خروج")</f>
        <v/>
      </c>
      <c r="F47" s="93">
        <f>SUMIFS(Scale!$P$10:$P$309,Scale!$AO$10:$AO$309,$A47,Scale!$F$10:$F$309,"ورود")</f>
        <v/>
      </c>
      <c r="G47" s="93">
        <f>SUMIFS(Scale!$P$10:$P$309,Scale!$AO$10:$AO$309,$A47,Scale!$F$10:$F$309,"خروج")</f>
        <v/>
      </c>
    </row>
    <row r="48" ht="21" customHeight="1">
      <c r="A48" s="100" t="inlineStr">
        <is>
          <t>12</t>
        </is>
      </c>
      <c r="B48" s="93">
        <f>SUMIFS(Scale!$AP$10:$AP$309,Scale!$AO$10:$AO$309,$A48,Scale!$F$10:$F$309,"ورود")</f>
        <v/>
      </c>
      <c r="C48" s="93">
        <f>SUMIFS(Scale!$N$10:$N$309,Scale!$AO$10:$AO$309,$A48,Scale!$F$10:$F$309,"ورود")</f>
        <v/>
      </c>
      <c r="D48" s="93">
        <f>SUMIFS(Scale!$AP$10:$AP$309,Scale!$AO$10:$AO$309,$A48,Scale!$F$10:$F$309,"خروج")</f>
        <v/>
      </c>
      <c r="E48" s="93">
        <f>SUMIFS(Scale!$N$10:$N$309,Scale!$AO$10:$AO$309,$A48,Scale!$F$10:$F$309,"خروج")</f>
        <v/>
      </c>
      <c r="F48" s="93">
        <f>SUMIFS(Scale!$P$10:$P$309,Scale!$AO$10:$AO$309,$A48,Scale!$F$10:$F$309,"ورود")</f>
        <v/>
      </c>
      <c r="G48" s="93">
        <f>SUMIFS(Scale!$P$10:$P$309,Scale!$AO$10:$AO$309,$A48,Scale!$F$10:$F$309,"خروج")</f>
        <v/>
      </c>
    </row>
  </sheetData>
  <mergeCells count="64">
    <mergeCell ref="E12:F12"/>
    <mergeCell ref="G21:H21"/>
    <mergeCell ref="G12:H12"/>
    <mergeCell ref="C6:D6"/>
    <mergeCell ref="A15:B15"/>
    <mergeCell ref="C15:D15"/>
    <mergeCell ref="A11:B11"/>
    <mergeCell ref="G11:H11"/>
    <mergeCell ref="C5:D5"/>
    <mergeCell ref="E5:F5"/>
    <mergeCell ref="C14:D14"/>
    <mergeCell ref="A3:I3"/>
    <mergeCell ref="E14:F14"/>
    <mergeCell ref="E17:F17"/>
    <mergeCell ref="C18:D18"/>
    <mergeCell ref="G17:H17"/>
    <mergeCell ref="A6:B6"/>
    <mergeCell ref="C20:D20"/>
    <mergeCell ref="A16:B16"/>
    <mergeCell ref="A2:I2"/>
    <mergeCell ref="E20:F20"/>
    <mergeCell ref="C16:D16"/>
    <mergeCell ref="E19:F19"/>
    <mergeCell ref="E1:I1"/>
    <mergeCell ref="G19:H19"/>
    <mergeCell ref="G4:I4"/>
    <mergeCell ref="E13:F13"/>
    <mergeCell ref="C22:D22"/>
    <mergeCell ref="G6:H6"/>
    <mergeCell ref="G13:H13"/>
    <mergeCell ref="A18:B18"/>
    <mergeCell ref="G18:H18"/>
    <mergeCell ref="B23:I23"/>
    <mergeCell ref="A12:B12"/>
    <mergeCell ref="A1:D1"/>
    <mergeCell ref="C12:D12"/>
    <mergeCell ref="A21:B21"/>
    <mergeCell ref="E6:F6"/>
    <mergeCell ref="C21:D21"/>
    <mergeCell ref="E15:F15"/>
    <mergeCell ref="C11:D11"/>
    <mergeCell ref="G15:H15"/>
    <mergeCell ref="E11:F11"/>
    <mergeCell ref="A5:B5"/>
    <mergeCell ref="G5:H5"/>
    <mergeCell ref="B10:I10"/>
    <mergeCell ref="A14:B14"/>
    <mergeCell ref="G14:H14"/>
    <mergeCell ref="A17:B17"/>
    <mergeCell ref="C17:D17"/>
    <mergeCell ref="A22:B22"/>
    <mergeCell ref="A20:B20"/>
    <mergeCell ref="G20:H20"/>
    <mergeCell ref="E16:F16"/>
    <mergeCell ref="G16:H16"/>
    <mergeCell ref="A19:B19"/>
    <mergeCell ref="C19:D19"/>
    <mergeCell ref="A13:B13"/>
    <mergeCell ref="E22:F22"/>
    <mergeCell ref="C13:D13"/>
    <mergeCell ref="G22:H22"/>
    <mergeCell ref="E18:F18"/>
    <mergeCell ref="B35:I35"/>
    <mergeCell ref="E21:F21"/>
  </mergeCell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68"/>
  <sheetViews>
    <sheetView showGridLines="0" rightToLeft="1" workbookViewId="0">
      <selection activeCell="A1" sqref="A1"/>
    </sheetView>
  </sheetViews>
  <sheetFormatPr baseColWidth="8" defaultRowHeight="15"/>
  <cols>
    <col width="13" customWidth="1" min="1" max="1"/>
    <col width="13" customWidth="1" min="2" max="2"/>
    <col width="16" customWidth="1" min="3" max="3"/>
    <col width="17" customWidth="1" min="4" max="4"/>
    <col width="17" customWidth="1" min="5" max="5"/>
    <col width="15" customWidth="1" min="6" max="6"/>
    <col width="14" customWidth="1" min="7" max="7"/>
    <col width="30" customWidth="1" min="8" max="8"/>
  </cols>
  <sheetData>
    <row r="1" ht="20" customHeight="1">
      <c r="A1" s="155" t="inlineStr">
        <is>
          <t>مازندشت  ·  سورتینگ و بسته‌بندی مرکبات</t>
        </is>
      </c>
    </row>
    <row r="2" ht="34" customHeight="1">
      <c r="A2" s="156" t="inlineStr">
        <is>
          <t>پز باسکول — دفتر روزانه</t>
        </is>
      </c>
    </row>
    <row r="3" ht="20" customHeight="1">
      <c r="A3" s="157" t="inlineStr">
        <is>
          <t>پز هر روز باسکول  ·  تجمعی و سهم  ·  تطبیق با واریز بانکی در فایل 02_Bank (شیت Card) و داشبورد (شیت Pos)</t>
        </is>
      </c>
    </row>
    <row r="4" ht="42" customHeight="1">
      <c r="A4" s="158" t="inlineStr">
        <is>
          <t>قاعده: پز باسکول در دفتر روزنامه به حساب واسط X011 (در راه) می‌رود و واریز آن در فایل 02_Bank ثبت می‌شود؛ هیچ سندی مستقیم روی حساب بانک (BNxx) زده نمی‌شود. تطبیق دو طرف را در 02_Bank!Card ببینید.</t>
        </is>
      </c>
      <c r="B4" s="196" t="n"/>
      <c r="C4" s="196" t="n"/>
      <c r="D4" s="196" t="n"/>
      <c r="E4" s="196" t="n"/>
      <c r="F4" s="196" t="n"/>
      <c r="G4" s="196" t="n"/>
      <c r="H4" s="197" t="n"/>
    </row>
    <row r="6" ht="20" customHeight="1">
      <c r="A6" s="159" t="inlineStr">
        <is>
          <t>جمع پز باسکول</t>
        </is>
      </c>
      <c r="B6" s="197" t="n"/>
      <c r="C6" s="159" t="inlineStr">
        <is>
          <t>روزهای دارای پز</t>
        </is>
      </c>
      <c r="D6" s="197" t="n"/>
      <c r="E6" s="159" t="inlineStr">
        <is>
          <t>میانگین روزانه</t>
        </is>
      </c>
      <c r="F6" s="197" t="n"/>
      <c r="G6" s="159" t="inlineStr">
        <is>
          <t>بیشترین روز</t>
        </is>
      </c>
      <c r="H6" s="197" t="n"/>
    </row>
    <row r="7" ht="30" customHeight="1">
      <c r="A7" s="160">
        <f>SUM($B$12:$B$51)</f>
        <v/>
      </c>
      <c r="B7" s="197" t="n"/>
      <c r="C7" s="161">
        <f>COUNTIF($B$12:$B$51,"&gt;0")</f>
        <v/>
      </c>
      <c r="D7" s="197" t="n"/>
      <c r="E7" s="162">
        <f>IFERROR($A$7/$C$7,0)</f>
        <v/>
      </c>
      <c r="F7" s="197" t="n"/>
      <c r="G7" s="163">
        <f>MAX($B$12:$B$51)</f>
        <v/>
      </c>
      <c r="H7" s="197" t="n"/>
    </row>
    <row r="9">
      <c r="A9" s="164" t="inlineStr">
        <is>
          <t>۰۱   دفتر روزانه پز باسکول</t>
        </is>
      </c>
    </row>
    <row r="10" ht="32" customHeight="1">
      <c r="A10" s="165" t="inlineStr">
        <is>
          <t>تاریخ</t>
        </is>
      </c>
      <c r="B10" s="165" t="inlineStr">
        <is>
          <t>پز باسکول (ریال)</t>
        </is>
      </c>
      <c r="C10" s="165" t="inlineStr">
        <is>
          <t>تجمعی پز</t>
        </is>
      </c>
      <c r="D10" s="165" t="inlineStr">
        <is>
          <t>سهم از کل</t>
        </is>
      </c>
      <c r="E10" s="165" t="inlineStr">
        <is>
          <t>تعداد سند</t>
        </is>
      </c>
      <c r="F10" s="165" t="inlineStr">
        <is>
          <t>میانگین سند</t>
        </is>
      </c>
      <c r="G10" s="165" t="inlineStr">
        <is>
          <t>وضعیت</t>
        </is>
      </c>
      <c r="H10" s="165" t="inlineStr">
        <is>
          <t>توضیح</t>
        </is>
      </c>
    </row>
    <row r="11" ht="13" customHeight="1">
      <c r="A11" s="166" t="inlineStr">
        <is>
          <t>Date</t>
        </is>
      </c>
      <c r="B11" s="166" t="inlineStr">
        <is>
          <t>POS</t>
        </is>
      </c>
      <c r="C11" s="166" t="inlineStr">
        <is>
          <t>Cumulative</t>
        </is>
      </c>
      <c r="D11" s="166" t="inlineStr">
        <is>
          <t>Share</t>
        </is>
      </c>
      <c r="E11" s="166" t="inlineStr">
        <is>
          <t>Docs</t>
        </is>
      </c>
      <c r="F11" s="166" t="inlineStr">
        <is>
          <t>Avg</t>
        </is>
      </c>
      <c r="G11" s="166" t="inlineStr">
        <is>
          <t>Status</t>
        </is>
      </c>
      <c r="H11" s="166" t="inlineStr">
        <is>
          <t>Note</t>
        </is>
      </c>
    </row>
    <row r="12" ht="20" customHeight="1">
      <c r="A12" s="167" t="inlineStr">
        <is>
          <t>1405/07/01</t>
        </is>
      </c>
      <c r="B12" s="167">
        <f>IF($A12="","",SUMIFS(Book!$L$10:$L$1809,Book!$A$10:$A$1809,$A12,Book!$D$10:$D$1809,"X011",Book!$N$10:$N$1809,"پوز"))</f>
        <v/>
      </c>
      <c r="C12" s="168">
        <f>IF($A12="","",SUM($B$12:$B12))</f>
        <v/>
      </c>
      <c r="D12" s="198">
        <f>IF($A12="","",IFERROR($B12/SUM($B$12:$B$51),0))</f>
        <v/>
      </c>
      <c r="E12" s="168">
        <f>IF($A12="","",COUNTIFS(Book!$A$10:$A$1809,$A12,Book!$D$10:$D$1809,"X011",Book!$N$10:$N$1809,"پوز"))</f>
        <v/>
      </c>
      <c r="F12" s="199">
        <f>IF($A12="","",IFERROR($B12/$E12,0))</f>
        <v/>
      </c>
      <c r="G12" s="170">
        <f>IF($A12="","",IF($B12&gt;0,"✓ ثبت شد","—"))</f>
        <v/>
      </c>
      <c r="H12" s="171" t="n"/>
    </row>
    <row r="13" ht="20" customHeight="1">
      <c r="A13" s="167" t="inlineStr">
        <is>
          <t>1405/07/02</t>
        </is>
      </c>
      <c r="B13" s="167">
        <f>IF($A13="","",SUMIFS(Book!$L$10:$L$1809,Book!$A$10:$A$1809,$A13,Book!$D$10:$D$1809,"X011",Book!$N$10:$N$1809,"پوز"))</f>
        <v/>
      </c>
      <c r="C13" s="168">
        <f>IF($A13="","",SUM($B$12:$B13))</f>
        <v/>
      </c>
      <c r="D13" s="198">
        <f>IF($A13="","",IFERROR($B13/SUM($B$12:$B$51),0))</f>
        <v/>
      </c>
      <c r="E13" s="168">
        <f>IF($A13="","",COUNTIFS(Book!$A$10:$A$1809,$A13,Book!$D$10:$D$1809,"X011",Book!$N$10:$N$1809,"پوز"))</f>
        <v/>
      </c>
      <c r="F13" s="199">
        <f>IF($A13="","",IFERROR($B13/$E13,0))</f>
        <v/>
      </c>
      <c r="G13" s="170">
        <f>IF($A13="","",IF($B13&gt;0,"✓ ثبت شد","—"))</f>
        <v/>
      </c>
      <c r="H13" s="171" t="n"/>
    </row>
    <row r="14" ht="20" customHeight="1">
      <c r="A14" s="167" t="inlineStr">
        <is>
          <t>1405/07/03</t>
        </is>
      </c>
      <c r="B14" s="167">
        <f>IF($A14="","",SUMIFS(Book!$L$10:$L$1809,Book!$A$10:$A$1809,$A14,Book!$D$10:$D$1809,"X011",Book!$N$10:$N$1809,"پوز"))</f>
        <v/>
      </c>
      <c r="C14" s="168">
        <f>IF($A14="","",SUM($B$12:$B14))</f>
        <v/>
      </c>
      <c r="D14" s="198">
        <f>IF($A14="","",IFERROR($B14/SUM($B$12:$B$51),0))</f>
        <v/>
      </c>
      <c r="E14" s="168">
        <f>IF($A14="","",COUNTIFS(Book!$A$10:$A$1809,$A14,Book!$D$10:$D$1809,"X011",Book!$N$10:$N$1809,"پوز"))</f>
        <v/>
      </c>
      <c r="F14" s="199">
        <f>IF($A14="","",IFERROR($B14/$E14,0))</f>
        <v/>
      </c>
      <c r="G14" s="170">
        <f>IF($A14="","",IF($B14&gt;0,"✓ ثبت شد","—"))</f>
        <v/>
      </c>
      <c r="H14" s="171" t="n"/>
    </row>
    <row r="15" ht="20" customHeight="1">
      <c r="A15" s="167" t="inlineStr">
        <is>
          <t>1405/07/04</t>
        </is>
      </c>
      <c r="B15" s="167">
        <f>IF($A15="","",SUMIFS(Book!$L$10:$L$1809,Book!$A$10:$A$1809,$A15,Book!$D$10:$D$1809,"X011",Book!$N$10:$N$1809,"پوز"))</f>
        <v/>
      </c>
      <c r="C15" s="168">
        <f>IF($A15="","",SUM($B$12:$B15))</f>
        <v/>
      </c>
      <c r="D15" s="198">
        <f>IF($A15="","",IFERROR($B15/SUM($B$12:$B$51),0))</f>
        <v/>
      </c>
      <c r="E15" s="168">
        <f>IF($A15="","",COUNTIFS(Book!$A$10:$A$1809,$A15,Book!$D$10:$D$1809,"X011",Book!$N$10:$N$1809,"پوز"))</f>
        <v/>
      </c>
      <c r="F15" s="199">
        <f>IF($A15="","",IFERROR($B15/$E15,0))</f>
        <v/>
      </c>
      <c r="G15" s="170">
        <f>IF($A15="","",IF($B15&gt;0,"✓ ثبت شد","—"))</f>
        <v/>
      </c>
      <c r="H15" s="171" t="n"/>
    </row>
    <row r="16" ht="20" customHeight="1">
      <c r="A16" s="167" t="inlineStr">
        <is>
          <t>1405/07/05</t>
        </is>
      </c>
      <c r="B16" s="167">
        <f>IF($A16="","",SUMIFS(Book!$L$10:$L$1809,Book!$A$10:$A$1809,$A16,Book!$D$10:$D$1809,"X011",Book!$N$10:$N$1809,"پوز"))</f>
        <v/>
      </c>
      <c r="C16" s="168">
        <f>IF($A16="","",SUM($B$12:$B16))</f>
        <v/>
      </c>
      <c r="D16" s="198">
        <f>IF($A16="","",IFERROR($B16/SUM($B$12:$B$51),0))</f>
        <v/>
      </c>
      <c r="E16" s="168">
        <f>IF($A16="","",COUNTIFS(Book!$A$10:$A$1809,$A16,Book!$D$10:$D$1809,"X011",Book!$N$10:$N$1809,"پوز"))</f>
        <v/>
      </c>
      <c r="F16" s="199">
        <f>IF($A16="","",IFERROR($B16/$E16,0))</f>
        <v/>
      </c>
      <c r="G16" s="170">
        <f>IF($A16="","",IF($B16&gt;0,"✓ ثبت شد","—"))</f>
        <v/>
      </c>
      <c r="H16" s="171" t="n"/>
    </row>
    <row r="17" ht="20" customHeight="1">
      <c r="A17" s="167" t="inlineStr">
        <is>
          <t>1405/07/06</t>
        </is>
      </c>
      <c r="B17" s="167">
        <f>IF($A17="","",SUMIFS(Book!$L$10:$L$1809,Book!$A$10:$A$1809,$A17,Book!$D$10:$D$1809,"X011",Book!$N$10:$N$1809,"پوز"))</f>
        <v/>
      </c>
      <c r="C17" s="168">
        <f>IF($A17="","",SUM($B$12:$B17))</f>
        <v/>
      </c>
      <c r="D17" s="198">
        <f>IF($A17="","",IFERROR($B17/SUM($B$12:$B$51),0))</f>
        <v/>
      </c>
      <c r="E17" s="168">
        <f>IF($A17="","",COUNTIFS(Book!$A$10:$A$1809,$A17,Book!$D$10:$D$1809,"X011",Book!$N$10:$N$1809,"پوز"))</f>
        <v/>
      </c>
      <c r="F17" s="199">
        <f>IF($A17="","",IFERROR($B17/$E17,0))</f>
        <v/>
      </c>
      <c r="G17" s="170">
        <f>IF($A17="","",IF($B17&gt;0,"✓ ثبت شد","—"))</f>
        <v/>
      </c>
      <c r="H17" s="171" t="n"/>
    </row>
    <row r="18" ht="20" customHeight="1">
      <c r="A18" s="167" t="inlineStr">
        <is>
          <t>1405/07/07</t>
        </is>
      </c>
      <c r="B18" s="167">
        <f>IF($A18="","",SUMIFS(Book!$L$10:$L$1809,Book!$A$10:$A$1809,$A18,Book!$D$10:$D$1809,"X011",Book!$N$10:$N$1809,"پوز"))</f>
        <v/>
      </c>
      <c r="C18" s="168">
        <f>IF($A18="","",SUM($B$12:$B18))</f>
        <v/>
      </c>
      <c r="D18" s="198">
        <f>IF($A18="","",IFERROR($B18/SUM($B$12:$B$51),0))</f>
        <v/>
      </c>
      <c r="E18" s="168">
        <f>IF($A18="","",COUNTIFS(Book!$A$10:$A$1809,$A18,Book!$D$10:$D$1809,"X011",Book!$N$10:$N$1809,"پوز"))</f>
        <v/>
      </c>
      <c r="F18" s="199">
        <f>IF($A18="","",IFERROR($B18/$E18,0))</f>
        <v/>
      </c>
      <c r="G18" s="170">
        <f>IF($A18="","",IF($B18&gt;0,"✓ ثبت شد","—"))</f>
        <v/>
      </c>
      <c r="H18" s="171" t="n"/>
    </row>
    <row r="19" ht="20" customHeight="1">
      <c r="A19" s="167" t="inlineStr">
        <is>
          <t>1405/07/08</t>
        </is>
      </c>
      <c r="B19" s="167">
        <f>IF($A19="","",SUMIFS(Book!$L$10:$L$1809,Book!$A$10:$A$1809,$A19,Book!$D$10:$D$1809,"X011",Book!$N$10:$N$1809,"پوز"))</f>
        <v/>
      </c>
      <c r="C19" s="168">
        <f>IF($A19="","",SUM($B$12:$B19))</f>
        <v/>
      </c>
      <c r="D19" s="198">
        <f>IF($A19="","",IFERROR($B19/SUM($B$12:$B$51),0))</f>
        <v/>
      </c>
      <c r="E19" s="168">
        <f>IF($A19="","",COUNTIFS(Book!$A$10:$A$1809,$A19,Book!$D$10:$D$1809,"X011",Book!$N$10:$N$1809,"پوز"))</f>
        <v/>
      </c>
      <c r="F19" s="199">
        <f>IF($A19="","",IFERROR($B19/$E19,0))</f>
        <v/>
      </c>
      <c r="G19" s="170">
        <f>IF($A19="","",IF($B19&gt;0,"✓ ثبت شد","—"))</f>
        <v/>
      </c>
      <c r="H19" s="171" t="n"/>
    </row>
    <row r="20" ht="20" customHeight="1">
      <c r="A20" s="167" t="inlineStr">
        <is>
          <t>1405/07/09</t>
        </is>
      </c>
      <c r="B20" s="167">
        <f>IF($A20="","",SUMIFS(Book!$L$10:$L$1809,Book!$A$10:$A$1809,$A20,Book!$D$10:$D$1809,"X011",Book!$N$10:$N$1809,"پوز"))</f>
        <v/>
      </c>
      <c r="C20" s="168">
        <f>IF($A20="","",SUM($B$12:$B20))</f>
        <v/>
      </c>
      <c r="D20" s="198">
        <f>IF($A20="","",IFERROR($B20/SUM($B$12:$B$51),0))</f>
        <v/>
      </c>
      <c r="E20" s="168">
        <f>IF($A20="","",COUNTIFS(Book!$A$10:$A$1809,$A20,Book!$D$10:$D$1809,"X011",Book!$N$10:$N$1809,"پوز"))</f>
        <v/>
      </c>
      <c r="F20" s="199">
        <f>IF($A20="","",IFERROR($B20/$E20,0))</f>
        <v/>
      </c>
      <c r="G20" s="170">
        <f>IF($A20="","",IF($B20&gt;0,"✓ ثبت شد","—"))</f>
        <v/>
      </c>
      <c r="H20" s="171" t="n"/>
    </row>
    <row r="21" ht="20" customHeight="1">
      <c r="A21" s="167" t="inlineStr">
        <is>
          <t>1405/07/10</t>
        </is>
      </c>
      <c r="B21" s="167">
        <f>IF($A21="","",SUMIFS(Book!$L$10:$L$1809,Book!$A$10:$A$1809,$A21,Book!$D$10:$D$1809,"X011",Book!$N$10:$N$1809,"پوز"))</f>
        <v/>
      </c>
      <c r="C21" s="168">
        <f>IF($A21="","",SUM($B$12:$B21))</f>
        <v/>
      </c>
      <c r="D21" s="198">
        <f>IF($A21="","",IFERROR($B21/SUM($B$12:$B$51),0))</f>
        <v/>
      </c>
      <c r="E21" s="168">
        <f>IF($A21="","",COUNTIFS(Book!$A$10:$A$1809,$A21,Book!$D$10:$D$1809,"X011",Book!$N$10:$N$1809,"پوز"))</f>
        <v/>
      </c>
      <c r="F21" s="199">
        <f>IF($A21="","",IFERROR($B21/$E21,0))</f>
        <v/>
      </c>
      <c r="G21" s="170">
        <f>IF($A21="","",IF($B21&gt;0,"✓ ثبت شد","—"))</f>
        <v/>
      </c>
      <c r="H21" s="171" t="n"/>
    </row>
    <row r="22" ht="20" customHeight="1">
      <c r="A22" s="167" t="inlineStr">
        <is>
          <t>1405/07/11</t>
        </is>
      </c>
      <c r="B22" s="167">
        <f>IF($A22="","",SUMIFS(Book!$L$10:$L$1809,Book!$A$10:$A$1809,$A22,Book!$D$10:$D$1809,"X011",Book!$N$10:$N$1809,"پوز"))</f>
        <v/>
      </c>
      <c r="C22" s="168">
        <f>IF($A22="","",SUM($B$12:$B22))</f>
        <v/>
      </c>
      <c r="D22" s="198">
        <f>IF($A22="","",IFERROR($B22/SUM($B$12:$B$51),0))</f>
        <v/>
      </c>
      <c r="E22" s="168">
        <f>IF($A22="","",COUNTIFS(Book!$A$10:$A$1809,$A22,Book!$D$10:$D$1809,"X011",Book!$N$10:$N$1809,"پوز"))</f>
        <v/>
      </c>
      <c r="F22" s="199">
        <f>IF($A22="","",IFERROR($B22/$E22,0))</f>
        <v/>
      </c>
      <c r="G22" s="170">
        <f>IF($A22="","",IF($B22&gt;0,"✓ ثبت شد","—"))</f>
        <v/>
      </c>
      <c r="H22" s="171" t="n"/>
    </row>
    <row r="23" ht="20" customHeight="1">
      <c r="A23" s="167" t="inlineStr">
        <is>
          <t>1405/07/12</t>
        </is>
      </c>
      <c r="B23" s="167">
        <f>IF($A23="","",SUMIFS(Book!$L$10:$L$1809,Book!$A$10:$A$1809,$A23,Book!$D$10:$D$1809,"X011",Book!$N$10:$N$1809,"پوز"))</f>
        <v/>
      </c>
      <c r="C23" s="168">
        <f>IF($A23="","",SUM($B$12:$B23))</f>
        <v/>
      </c>
      <c r="D23" s="198">
        <f>IF($A23="","",IFERROR($B23/SUM($B$12:$B$51),0))</f>
        <v/>
      </c>
      <c r="E23" s="168">
        <f>IF($A23="","",COUNTIFS(Book!$A$10:$A$1809,$A23,Book!$D$10:$D$1809,"X011",Book!$N$10:$N$1809,"پوز"))</f>
        <v/>
      </c>
      <c r="F23" s="199">
        <f>IF($A23="","",IFERROR($B23/$E23,0))</f>
        <v/>
      </c>
      <c r="G23" s="170">
        <f>IF($A23="","",IF($B23&gt;0,"✓ ثبت شد","—"))</f>
        <v/>
      </c>
      <c r="H23" s="171" t="n"/>
    </row>
    <row r="24">
      <c r="B24">
        <f>IF($A24="","",SUMIFS(Book!$L$10:$L$1809,Book!$A$10:$A$1809,$A24,Book!$D$10:$D$1809,"X011",Book!$N$10:$N$1809,"پوز"))</f>
        <v/>
      </c>
      <c r="C24">
        <f>IF($A24="","",SUM($B$12:$B24))</f>
        <v/>
      </c>
      <c r="D24" s="200">
        <f>IF($A24="","",IFERROR($B24/SUM($B$12:$B$51),0))</f>
        <v/>
      </c>
      <c r="E24">
        <f>IF($A24="","",COUNTIFS(Book!$A$10:$A$1809,$A24,Book!$D$10:$D$1809,"X011",Book!$N$10:$N$1809,"پوز"))</f>
        <v/>
      </c>
      <c r="F24" s="201">
        <f>IF($A24="","",IFERROR($B24/$E24,0))</f>
        <v/>
      </c>
      <c r="G24">
        <f>IF($A24="","",IF($B24&gt;0,"✓ ثبت شد","—"))</f>
        <v/>
      </c>
    </row>
    <row r="25">
      <c r="B25">
        <f>IF($A25="","",SUMIFS(Book!$L$10:$L$1809,Book!$A$10:$A$1809,$A25,Book!$D$10:$D$1809,"X011",Book!$N$10:$N$1809,"پوز"))</f>
        <v/>
      </c>
      <c r="C25">
        <f>IF($A25="","",SUM($B$12:$B25))</f>
        <v/>
      </c>
      <c r="D25" s="200">
        <f>IF($A25="","",IFERROR($B25/SUM($B$12:$B$51),0))</f>
        <v/>
      </c>
      <c r="E25">
        <f>IF($A25="","",COUNTIFS(Book!$A$10:$A$1809,$A25,Book!$D$10:$D$1809,"X011",Book!$N$10:$N$1809,"پوز"))</f>
        <v/>
      </c>
      <c r="F25" s="201">
        <f>IF($A25="","",IFERROR($B25/$E25,0))</f>
        <v/>
      </c>
      <c r="G25">
        <f>IF($A25="","",IF($B25&gt;0,"✓ ثبت شد","—"))</f>
        <v/>
      </c>
    </row>
    <row r="26">
      <c r="B26">
        <f>IF($A26="","",SUMIFS(Book!$L$10:$L$1809,Book!$A$10:$A$1809,$A26,Book!$D$10:$D$1809,"X011",Book!$N$10:$N$1809,"پوز"))</f>
        <v/>
      </c>
      <c r="C26">
        <f>IF($A26="","",SUM($B$12:$B26))</f>
        <v/>
      </c>
      <c r="D26" s="200">
        <f>IF($A26="","",IFERROR($B26/SUM($B$12:$B$51),0))</f>
        <v/>
      </c>
      <c r="E26">
        <f>IF($A26="","",COUNTIFS(Book!$A$10:$A$1809,$A26,Book!$D$10:$D$1809,"X011",Book!$N$10:$N$1809,"پوز"))</f>
        <v/>
      </c>
      <c r="F26" s="201">
        <f>IF($A26="","",IFERROR($B26/$E26,0))</f>
        <v/>
      </c>
      <c r="G26">
        <f>IF($A26="","",IF($B26&gt;0,"✓ ثبت شد","—"))</f>
        <v/>
      </c>
    </row>
    <row r="27">
      <c r="B27">
        <f>IF($A27="","",SUMIFS(Book!$L$10:$L$1809,Book!$A$10:$A$1809,$A27,Book!$D$10:$D$1809,"X011",Book!$N$10:$N$1809,"پوز"))</f>
        <v/>
      </c>
      <c r="C27">
        <f>IF($A27="","",SUM($B$12:$B27))</f>
        <v/>
      </c>
      <c r="D27" s="200">
        <f>IF($A27="","",IFERROR($B27/SUM($B$12:$B$51),0))</f>
        <v/>
      </c>
      <c r="E27">
        <f>IF($A27="","",COUNTIFS(Book!$A$10:$A$1809,$A27,Book!$D$10:$D$1809,"X011",Book!$N$10:$N$1809,"پوز"))</f>
        <v/>
      </c>
      <c r="F27" s="201">
        <f>IF($A27="","",IFERROR($B27/$E27,0))</f>
        <v/>
      </c>
      <c r="G27">
        <f>IF($A27="","",IF($B27&gt;0,"✓ ثبت شد","—"))</f>
        <v/>
      </c>
    </row>
    <row r="28">
      <c r="B28">
        <f>IF($A28="","",SUMIFS(Book!$L$10:$L$1809,Book!$A$10:$A$1809,$A28,Book!$D$10:$D$1809,"X011",Book!$N$10:$N$1809,"پوز"))</f>
        <v/>
      </c>
      <c r="C28">
        <f>IF($A28="","",SUM($B$12:$B28))</f>
        <v/>
      </c>
      <c r="D28" s="200">
        <f>IF($A28="","",IFERROR($B28/SUM($B$12:$B$51),0))</f>
        <v/>
      </c>
      <c r="E28">
        <f>IF($A28="","",COUNTIFS(Book!$A$10:$A$1809,$A28,Book!$D$10:$D$1809,"X011",Book!$N$10:$N$1809,"پوز"))</f>
        <v/>
      </c>
      <c r="F28" s="201">
        <f>IF($A28="","",IFERROR($B28/$E28,0))</f>
        <v/>
      </c>
      <c r="G28">
        <f>IF($A28="","",IF($B28&gt;0,"✓ ثبت شد","—"))</f>
        <v/>
      </c>
    </row>
    <row r="29">
      <c r="B29">
        <f>IF($A29="","",SUMIFS(Book!$L$10:$L$1809,Book!$A$10:$A$1809,$A29,Book!$D$10:$D$1809,"X011",Book!$N$10:$N$1809,"پوز"))</f>
        <v/>
      </c>
      <c r="C29">
        <f>IF($A29="","",SUM($B$12:$B29))</f>
        <v/>
      </c>
      <c r="D29" s="200">
        <f>IF($A29="","",IFERROR($B29/SUM($B$12:$B$51),0))</f>
        <v/>
      </c>
      <c r="E29">
        <f>IF($A29="","",COUNTIFS(Book!$A$10:$A$1809,$A29,Book!$D$10:$D$1809,"X011",Book!$N$10:$N$1809,"پوز"))</f>
        <v/>
      </c>
      <c r="F29" s="201">
        <f>IF($A29="","",IFERROR($B29/$E29,0))</f>
        <v/>
      </c>
      <c r="G29">
        <f>IF($A29="","",IF($B29&gt;0,"✓ ثبت شد","—"))</f>
        <v/>
      </c>
    </row>
    <row r="30">
      <c r="B30">
        <f>IF($A30="","",SUMIFS(Book!$L$10:$L$1809,Book!$A$10:$A$1809,$A30,Book!$D$10:$D$1809,"X011",Book!$N$10:$N$1809,"پوز"))</f>
        <v/>
      </c>
      <c r="C30">
        <f>IF($A30="","",SUM($B$12:$B30))</f>
        <v/>
      </c>
      <c r="D30" s="200">
        <f>IF($A30="","",IFERROR($B30/SUM($B$12:$B$51),0))</f>
        <v/>
      </c>
      <c r="E30">
        <f>IF($A30="","",COUNTIFS(Book!$A$10:$A$1809,$A30,Book!$D$10:$D$1809,"X011",Book!$N$10:$N$1809,"پوز"))</f>
        <v/>
      </c>
      <c r="F30" s="201">
        <f>IF($A30="","",IFERROR($B30/$E30,0))</f>
        <v/>
      </c>
      <c r="G30">
        <f>IF($A30="","",IF($B30&gt;0,"✓ ثبت شد","—"))</f>
        <v/>
      </c>
    </row>
    <row r="31">
      <c r="B31">
        <f>IF($A31="","",SUMIFS(Book!$L$10:$L$1809,Book!$A$10:$A$1809,$A31,Book!$D$10:$D$1809,"X011",Book!$N$10:$N$1809,"پوز"))</f>
        <v/>
      </c>
      <c r="C31">
        <f>IF($A31="","",SUM($B$12:$B31))</f>
        <v/>
      </c>
      <c r="D31" s="200">
        <f>IF($A31="","",IFERROR($B31/SUM($B$12:$B$51),0))</f>
        <v/>
      </c>
      <c r="E31">
        <f>IF($A31="","",COUNTIFS(Book!$A$10:$A$1809,$A31,Book!$D$10:$D$1809,"X011",Book!$N$10:$N$1809,"پوز"))</f>
        <v/>
      </c>
      <c r="F31" s="201">
        <f>IF($A31="","",IFERROR($B31/$E31,0))</f>
        <v/>
      </c>
      <c r="G31">
        <f>IF($A31="","",IF($B31&gt;0,"✓ ثبت شد","—"))</f>
        <v/>
      </c>
    </row>
    <row r="32">
      <c r="B32">
        <f>IF($A32="","",SUMIFS(Book!$L$10:$L$1809,Book!$A$10:$A$1809,$A32,Book!$D$10:$D$1809,"X011",Book!$N$10:$N$1809,"پوز"))</f>
        <v/>
      </c>
      <c r="C32">
        <f>IF($A32="","",SUM($B$12:$B32))</f>
        <v/>
      </c>
      <c r="D32" s="200">
        <f>IF($A32="","",IFERROR($B32/SUM($B$12:$B$51),0))</f>
        <v/>
      </c>
      <c r="E32">
        <f>IF($A32="","",COUNTIFS(Book!$A$10:$A$1809,$A32,Book!$D$10:$D$1809,"X011",Book!$N$10:$N$1809,"پوز"))</f>
        <v/>
      </c>
      <c r="F32" s="201">
        <f>IF($A32="","",IFERROR($B32/$E32,0))</f>
        <v/>
      </c>
      <c r="G32">
        <f>IF($A32="","",IF($B32&gt;0,"✓ ثبت شد","—"))</f>
        <v/>
      </c>
    </row>
    <row r="33">
      <c r="B33">
        <f>IF($A33="","",SUMIFS(Book!$L$10:$L$1809,Book!$A$10:$A$1809,$A33,Book!$D$10:$D$1809,"X011",Book!$N$10:$N$1809,"پوز"))</f>
        <v/>
      </c>
      <c r="C33">
        <f>IF($A33="","",SUM($B$12:$B33))</f>
        <v/>
      </c>
      <c r="D33" s="200">
        <f>IF($A33="","",IFERROR($B33/SUM($B$12:$B$51),0))</f>
        <v/>
      </c>
      <c r="E33">
        <f>IF($A33="","",COUNTIFS(Book!$A$10:$A$1809,$A33,Book!$D$10:$D$1809,"X011",Book!$N$10:$N$1809,"پوز"))</f>
        <v/>
      </c>
      <c r="F33" s="201">
        <f>IF($A33="","",IFERROR($B33/$E33,0))</f>
        <v/>
      </c>
      <c r="G33">
        <f>IF($A33="","",IF($B33&gt;0,"✓ ثبت شد","—"))</f>
        <v/>
      </c>
    </row>
    <row r="34">
      <c r="B34">
        <f>IF($A34="","",SUMIFS(Book!$L$10:$L$1809,Book!$A$10:$A$1809,$A34,Book!$D$10:$D$1809,"X011",Book!$N$10:$N$1809,"پوز"))</f>
        <v/>
      </c>
      <c r="C34">
        <f>IF($A34="","",SUM($B$12:$B34))</f>
        <v/>
      </c>
      <c r="D34" s="200">
        <f>IF($A34="","",IFERROR($B34/SUM($B$12:$B$51),0))</f>
        <v/>
      </c>
      <c r="E34">
        <f>IF($A34="","",COUNTIFS(Book!$A$10:$A$1809,$A34,Book!$D$10:$D$1809,"X011",Book!$N$10:$N$1809,"پوز"))</f>
        <v/>
      </c>
      <c r="F34" s="201">
        <f>IF($A34="","",IFERROR($B34/$E34,0))</f>
        <v/>
      </c>
      <c r="G34">
        <f>IF($A34="","",IF($B34&gt;0,"✓ ثبت شد","—"))</f>
        <v/>
      </c>
    </row>
    <row r="35">
      <c r="B35">
        <f>IF($A35="","",SUMIFS(Book!$L$10:$L$1809,Book!$A$10:$A$1809,$A35,Book!$D$10:$D$1809,"X011",Book!$N$10:$N$1809,"پوز"))</f>
        <v/>
      </c>
      <c r="C35">
        <f>IF($A35="","",SUM($B$12:$B35))</f>
        <v/>
      </c>
      <c r="D35" s="200">
        <f>IF($A35="","",IFERROR($B35/SUM($B$12:$B$51),0))</f>
        <v/>
      </c>
      <c r="E35">
        <f>IF($A35="","",COUNTIFS(Book!$A$10:$A$1809,$A35,Book!$D$10:$D$1809,"X011",Book!$N$10:$N$1809,"پوز"))</f>
        <v/>
      </c>
      <c r="F35" s="201">
        <f>IF($A35="","",IFERROR($B35/$E35,0))</f>
        <v/>
      </c>
      <c r="G35">
        <f>IF($A35="","",IF($B35&gt;0,"✓ ثبت شد","—"))</f>
        <v/>
      </c>
    </row>
    <row r="36">
      <c r="B36">
        <f>IF($A36="","",SUMIFS(Book!$L$10:$L$1809,Book!$A$10:$A$1809,$A36,Book!$D$10:$D$1809,"X011",Book!$N$10:$N$1809,"پوز"))</f>
        <v/>
      </c>
      <c r="C36">
        <f>IF($A36="","",SUM($B$12:$B36))</f>
        <v/>
      </c>
      <c r="D36" s="200">
        <f>IF($A36="","",IFERROR($B36/SUM($B$12:$B$51),0))</f>
        <v/>
      </c>
      <c r="E36">
        <f>IF($A36="","",COUNTIFS(Book!$A$10:$A$1809,$A36,Book!$D$10:$D$1809,"X011",Book!$N$10:$N$1809,"پوز"))</f>
        <v/>
      </c>
      <c r="F36" s="201">
        <f>IF($A36="","",IFERROR($B36/$E36,0))</f>
        <v/>
      </c>
      <c r="G36">
        <f>IF($A36="","",IF($B36&gt;0,"✓ ثبت شد","—"))</f>
        <v/>
      </c>
    </row>
    <row r="37">
      <c r="B37">
        <f>IF($A37="","",SUMIFS(Book!$L$10:$L$1809,Book!$A$10:$A$1809,$A37,Book!$D$10:$D$1809,"X011",Book!$N$10:$N$1809,"پوز"))</f>
        <v/>
      </c>
      <c r="C37">
        <f>IF($A37="","",SUM($B$12:$B37))</f>
        <v/>
      </c>
      <c r="D37" s="200">
        <f>IF($A37="","",IFERROR($B37/SUM($B$12:$B$51),0))</f>
        <v/>
      </c>
      <c r="E37">
        <f>IF($A37="","",COUNTIFS(Book!$A$10:$A$1809,$A37,Book!$D$10:$D$1809,"X011",Book!$N$10:$N$1809,"پوز"))</f>
        <v/>
      </c>
      <c r="F37" s="201">
        <f>IF($A37="","",IFERROR($B37/$E37,0))</f>
        <v/>
      </c>
      <c r="G37">
        <f>IF($A37="","",IF($B37&gt;0,"✓ ثبت شد","—"))</f>
        <v/>
      </c>
    </row>
    <row r="38">
      <c r="B38">
        <f>IF($A38="","",SUMIFS(Book!$L$10:$L$1809,Book!$A$10:$A$1809,$A38,Book!$D$10:$D$1809,"X011",Book!$N$10:$N$1809,"پوز"))</f>
        <v/>
      </c>
      <c r="C38">
        <f>IF($A38="","",SUM($B$12:$B38))</f>
        <v/>
      </c>
      <c r="D38" s="200">
        <f>IF($A38="","",IFERROR($B38/SUM($B$12:$B$51),0))</f>
        <v/>
      </c>
      <c r="E38">
        <f>IF($A38="","",COUNTIFS(Book!$A$10:$A$1809,$A38,Book!$D$10:$D$1809,"X011",Book!$N$10:$N$1809,"پوز"))</f>
        <v/>
      </c>
      <c r="F38" s="201">
        <f>IF($A38="","",IFERROR($B38/$E38,0))</f>
        <v/>
      </c>
      <c r="G38">
        <f>IF($A38="","",IF($B38&gt;0,"✓ ثبت شد","—"))</f>
        <v/>
      </c>
    </row>
    <row r="39">
      <c r="B39">
        <f>IF($A39="","",SUMIFS(Book!$L$10:$L$1809,Book!$A$10:$A$1809,$A39,Book!$D$10:$D$1809,"X011",Book!$N$10:$N$1809,"پوز"))</f>
        <v/>
      </c>
      <c r="C39">
        <f>IF($A39="","",SUM($B$12:$B39))</f>
        <v/>
      </c>
      <c r="D39" s="200">
        <f>IF($A39="","",IFERROR($B39/SUM($B$12:$B$51),0))</f>
        <v/>
      </c>
      <c r="E39">
        <f>IF($A39="","",COUNTIFS(Book!$A$10:$A$1809,$A39,Book!$D$10:$D$1809,"X011",Book!$N$10:$N$1809,"پوز"))</f>
        <v/>
      </c>
      <c r="F39" s="201">
        <f>IF($A39="","",IFERROR($B39/$E39,0))</f>
        <v/>
      </c>
      <c r="G39">
        <f>IF($A39="","",IF($B39&gt;0,"✓ ثبت شد","—"))</f>
        <v/>
      </c>
    </row>
    <row r="40">
      <c r="B40">
        <f>IF($A40="","",SUMIFS(Book!$L$10:$L$1809,Book!$A$10:$A$1809,$A40,Book!$D$10:$D$1809,"X011",Book!$N$10:$N$1809,"پوز"))</f>
        <v/>
      </c>
      <c r="C40">
        <f>IF($A40="","",SUM($B$12:$B40))</f>
        <v/>
      </c>
      <c r="D40" s="200">
        <f>IF($A40="","",IFERROR($B40/SUM($B$12:$B$51),0))</f>
        <v/>
      </c>
      <c r="E40">
        <f>IF($A40="","",COUNTIFS(Book!$A$10:$A$1809,$A40,Book!$D$10:$D$1809,"X011",Book!$N$10:$N$1809,"پوز"))</f>
        <v/>
      </c>
      <c r="F40" s="201">
        <f>IF($A40="","",IFERROR($B40/$E40,0))</f>
        <v/>
      </c>
      <c r="G40">
        <f>IF($A40="","",IF($B40&gt;0,"✓ ثبت شد","—"))</f>
        <v/>
      </c>
    </row>
    <row r="41">
      <c r="B41">
        <f>IF($A41="","",SUMIFS(Book!$L$10:$L$1809,Book!$A$10:$A$1809,$A41,Book!$D$10:$D$1809,"X011",Book!$N$10:$N$1809,"پوز"))</f>
        <v/>
      </c>
      <c r="C41">
        <f>IF($A41="","",SUM($B$12:$B41))</f>
        <v/>
      </c>
      <c r="D41" s="200">
        <f>IF($A41="","",IFERROR($B41/SUM($B$12:$B$51),0))</f>
        <v/>
      </c>
      <c r="E41">
        <f>IF($A41="","",COUNTIFS(Book!$A$10:$A$1809,$A41,Book!$D$10:$D$1809,"X011",Book!$N$10:$N$1809,"پوز"))</f>
        <v/>
      </c>
      <c r="F41" s="201">
        <f>IF($A41="","",IFERROR($B41/$E41,0))</f>
        <v/>
      </c>
      <c r="G41">
        <f>IF($A41="","",IF($B41&gt;0,"✓ ثبت شد","—"))</f>
        <v/>
      </c>
    </row>
    <row r="42">
      <c r="B42">
        <f>IF($A42="","",SUMIFS(Book!$L$10:$L$1809,Book!$A$10:$A$1809,$A42,Book!$D$10:$D$1809,"X011",Book!$N$10:$N$1809,"پوز"))</f>
        <v/>
      </c>
      <c r="C42">
        <f>IF($A42="","",SUM($B$12:$B42))</f>
        <v/>
      </c>
      <c r="D42" s="200">
        <f>IF($A42="","",IFERROR($B42/SUM($B$12:$B$51),0))</f>
        <v/>
      </c>
      <c r="E42">
        <f>IF($A42="","",COUNTIFS(Book!$A$10:$A$1809,$A42,Book!$D$10:$D$1809,"X011",Book!$N$10:$N$1809,"پوز"))</f>
        <v/>
      </c>
      <c r="F42" s="201">
        <f>IF($A42="","",IFERROR($B42/$E42,0))</f>
        <v/>
      </c>
      <c r="G42">
        <f>IF($A42="","",IF($B42&gt;0,"✓ ثبت شد","—"))</f>
        <v/>
      </c>
    </row>
    <row r="43">
      <c r="B43">
        <f>IF($A43="","",SUMIFS(Book!$L$10:$L$1809,Book!$A$10:$A$1809,$A43,Book!$D$10:$D$1809,"X011",Book!$N$10:$N$1809,"پوز"))</f>
        <v/>
      </c>
      <c r="C43">
        <f>IF($A43="","",SUM($B$12:$B43))</f>
        <v/>
      </c>
      <c r="D43" s="200">
        <f>IF($A43="","",IFERROR($B43/SUM($B$12:$B$51),0))</f>
        <v/>
      </c>
      <c r="E43">
        <f>IF($A43="","",COUNTIFS(Book!$A$10:$A$1809,$A43,Book!$D$10:$D$1809,"X011",Book!$N$10:$N$1809,"پوز"))</f>
        <v/>
      </c>
      <c r="F43" s="201">
        <f>IF($A43="","",IFERROR($B43/$E43,0))</f>
        <v/>
      </c>
      <c r="G43">
        <f>IF($A43="","",IF($B43&gt;0,"✓ ثبت شد","—"))</f>
        <v/>
      </c>
    </row>
    <row r="44">
      <c r="B44">
        <f>IF($A44="","",SUMIFS(Book!$L$10:$L$1809,Book!$A$10:$A$1809,$A44,Book!$D$10:$D$1809,"X011",Book!$N$10:$N$1809,"پوز"))</f>
        <v/>
      </c>
      <c r="C44">
        <f>IF($A44="","",SUM($B$12:$B44))</f>
        <v/>
      </c>
      <c r="D44" s="200">
        <f>IF($A44="","",IFERROR($B44/SUM($B$12:$B$51),0))</f>
        <v/>
      </c>
      <c r="E44">
        <f>IF($A44="","",COUNTIFS(Book!$A$10:$A$1809,$A44,Book!$D$10:$D$1809,"X011",Book!$N$10:$N$1809,"پوز"))</f>
        <v/>
      </c>
      <c r="F44" s="201">
        <f>IF($A44="","",IFERROR($B44/$E44,0))</f>
        <v/>
      </c>
      <c r="G44">
        <f>IF($A44="","",IF($B44&gt;0,"✓ ثبت شد","—"))</f>
        <v/>
      </c>
    </row>
    <row r="45">
      <c r="B45">
        <f>IF($A45="","",SUMIFS(Book!$L$10:$L$1809,Book!$A$10:$A$1809,$A45,Book!$D$10:$D$1809,"X011",Book!$N$10:$N$1809,"پوز"))</f>
        <v/>
      </c>
      <c r="C45">
        <f>IF($A45="","",SUM($B$12:$B45))</f>
        <v/>
      </c>
      <c r="D45" s="200">
        <f>IF($A45="","",IFERROR($B45/SUM($B$12:$B$51),0))</f>
        <v/>
      </c>
      <c r="E45">
        <f>IF($A45="","",COUNTIFS(Book!$A$10:$A$1809,$A45,Book!$D$10:$D$1809,"X011",Book!$N$10:$N$1809,"پوز"))</f>
        <v/>
      </c>
      <c r="F45" s="201">
        <f>IF($A45="","",IFERROR($B45/$E45,0))</f>
        <v/>
      </c>
      <c r="G45">
        <f>IF($A45="","",IF($B45&gt;0,"✓ ثبت شد","—"))</f>
        <v/>
      </c>
    </row>
    <row r="46">
      <c r="B46">
        <f>IF($A46="","",SUMIFS(Book!$L$10:$L$1809,Book!$A$10:$A$1809,$A46,Book!$D$10:$D$1809,"X011",Book!$N$10:$N$1809,"پوز"))</f>
        <v/>
      </c>
      <c r="C46">
        <f>IF($A46="","",SUM($B$12:$B46))</f>
        <v/>
      </c>
      <c r="D46" s="200">
        <f>IF($A46="","",IFERROR($B46/SUM($B$12:$B$51),0))</f>
        <v/>
      </c>
      <c r="E46">
        <f>IF($A46="","",COUNTIFS(Book!$A$10:$A$1809,$A46,Book!$D$10:$D$1809,"X011",Book!$N$10:$N$1809,"پوز"))</f>
        <v/>
      </c>
      <c r="F46" s="201">
        <f>IF($A46="","",IFERROR($B46/$E46,0))</f>
        <v/>
      </c>
      <c r="G46">
        <f>IF($A46="","",IF($B46&gt;0,"✓ ثبت شد","—"))</f>
        <v/>
      </c>
    </row>
    <row r="47">
      <c r="B47">
        <f>IF($A47="","",SUMIFS(Book!$L$10:$L$1809,Book!$A$10:$A$1809,$A47,Book!$D$10:$D$1809,"X011",Book!$N$10:$N$1809,"پوز"))</f>
        <v/>
      </c>
      <c r="C47">
        <f>IF($A47="","",SUM($B$12:$B47))</f>
        <v/>
      </c>
      <c r="D47" s="200">
        <f>IF($A47="","",IFERROR($B47/SUM($B$12:$B$51),0))</f>
        <v/>
      </c>
      <c r="E47">
        <f>IF($A47="","",COUNTIFS(Book!$A$10:$A$1809,$A47,Book!$D$10:$D$1809,"X011",Book!$N$10:$N$1809,"پوز"))</f>
        <v/>
      </c>
      <c r="F47" s="201">
        <f>IF($A47="","",IFERROR($B47/$E47,0))</f>
        <v/>
      </c>
      <c r="G47">
        <f>IF($A47="","",IF($B47&gt;0,"✓ ثبت شد","—"))</f>
        <v/>
      </c>
    </row>
    <row r="48">
      <c r="B48">
        <f>IF($A48="","",SUMIFS(Book!$L$10:$L$1809,Book!$A$10:$A$1809,$A48,Book!$D$10:$D$1809,"X011",Book!$N$10:$N$1809,"پوز"))</f>
        <v/>
      </c>
      <c r="C48">
        <f>IF($A48="","",SUM($B$12:$B48))</f>
        <v/>
      </c>
      <c r="D48" s="200">
        <f>IF($A48="","",IFERROR($B48/SUM($B$12:$B$51),0))</f>
        <v/>
      </c>
      <c r="E48">
        <f>IF($A48="","",COUNTIFS(Book!$A$10:$A$1809,$A48,Book!$D$10:$D$1809,"X011",Book!$N$10:$N$1809,"پوز"))</f>
        <v/>
      </c>
      <c r="F48" s="201">
        <f>IF($A48="","",IFERROR($B48/$E48,0))</f>
        <v/>
      </c>
      <c r="G48">
        <f>IF($A48="","",IF($B48&gt;0,"✓ ثبت شد","—"))</f>
        <v/>
      </c>
    </row>
    <row r="49">
      <c r="B49">
        <f>IF($A49="","",SUMIFS(Book!$L$10:$L$1809,Book!$A$10:$A$1809,$A49,Book!$D$10:$D$1809,"X011",Book!$N$10:$N$1809,"پوز"))</f>
        <v/>
      </c>
      <c r="C49">
        <f>IF($A49="","",SUM($B$12:$B49))</f>
        <v/>
      </c>
      <c r="D49" s="200">
        <f>IF($A49="","",IFERROR($B49/SUM($B$12:$B$51),0))</f>
        <v/>
      </c>
      <c r="E49">
        <f>IF($A49="","",COUNTIFS(Book!$A$10:$A$1809,$A49,Book!$D$10:$D$1809,"X011",Book!$N$10:$N$1809,"پوز"))</f>
        <v/>
      </c>
      <c r="F49" s="201">
        <f>IF($A49="","",IFERROR($B49/$E49,0))</f>
        <v/>
      </c>
      <c r="G49">
        <f>IF($A49="","",IF($B49&gt;0,"✓ ثبت شد","—"))</f>
        <v/>
      </c>
    </row>
    <row r="50">
      <c r="B50">
        <f>IF($A50="","",SUMIFS(Book!$L$10:$L$1809,Book!$A$10:$A$1809,$A50,Book!$D$10:$D$1809,"X011",Book!$N$10:$N$1809,"پوز"))</f>
        <v/>
      </c>
      <c r="C50">
        <f>IF($A50="","",SUM($B$12:$B50))</f>
        <v/>
      </c>
      <c r="D50" s="200">
        <f>IF($A50="","",IFERROR($B50/SUM($B$12:$B$51),0))</f>
        <v/>
      </c>
      <c r="E50">
        <f>IF($A50="","",COUNTIFS(Book!$A$10:$A$1809,$A50,Book!$D$10:$D$1809,"X011",Book!$N$10:$N$1809,"پوز"))</f>
        <v/>
      </c>
      <c r="F50" s="201">
        <f>IF($A50="","",IFERROR($B50/$E50,0))</f>
        <v/>
      </c>
      <c r="G50">
        <f>IF($A50="","",IF($B50&gt;0,"✓ ثبت شد","—"))</f>
        <v/>
      </c>
    </row>
    <row r="51">
      <c r="B51">
        <f>IF($A51="","",SUMIFS(Book!$L$10:$L$1809,Book!$A$10:$A$1809,$A51,Book!$D$10:$D$1809,"X011",Book!$N$10:$N$1809,"پوز"))</f>
        <v/>
      </c>
      <c r="C51">
        <f>IF($A51="","",SUM($B$12:$B51))</f>
        <v/>
      </c>
      <c r="D51" s="200">
        <f>IF($A51="","",IFERROR($B51/SUM($B$12:$B$51),0))</f>
        <v/>
      </c>
      <c r="E51">
        <f>IF($A51="","",COUNTIFS(Book!$A$10:$A$1809,$A51,Book!$D$10:$D$1809,"X011",Book!$N$10:$N$1809,"پوز"))</f>
        <v/>
      </c>
      <c r="F51" s="201">
        <f>IF($A51="","",IFERROR($B51/$E51,0))</f>
        <v/>
      </c>
      <c r="G51">
        <f>IF($A51="","",IF($B51&gt;0,"✓ ثبت شد","—"))</f>
        <v/>
      </c>
    </row>
    <row r="52" ht="24" customHeight="1">
      <c r="A52" s="172" t="inlineStr">
        <is>
          <t>جمع کل</t>
        </is>
      </c>
      <c r="B52" s="172">
        <f>SUM(B12:B51)</f>
        <v/>
      </c>
      <c r="C52" s="173">
        <f>$B$52</f>
        <v/>
      </c>
      <c r="D52" s="202">
        <f>SUM(D12:D51)</f>
        <v/>
      </c>
      <c r="E52" s="173">
        <f>SUM(E12:E51)</f>
        <v/>
      </c>
      <c r="F52" s="203">
        <f>IFERROR($B$52/$E$52,0)</f>
        <v/>
      </c>
      <c r="G52" s="174">
        <f>IF($B$52&gt;0,"✓","—")</f>
        <v/>
      </c>
    </row>
    <row r="54">
      <c r="A54" s="164" t="inlineStr">
        <is>
          <t>۰۲   کنترل انعام مصطفی — پرداخت از واسط در برابر حساب X001</t>
        </is>
      </c>
    </row>
    <row r="56" ht="22" customHeight="1">
      <c r="A56" s="175" t="inlineStr">
        <is>
          <t>انعام ثبت‌شده در باسکول (بستانکار مصطفی)</t>
        </is>
      </c>
      <c r="B56" s="196" t="n"/>
      <c r="C56" s="196" t="n"/>
      <c r="D56" s="197" t="n"/>
      <c r="E56" s="176">
        <f>SUMIFS(Book!$M$10:$M$1809,Book!$D$10:$D$1809,"X001",Book!$C$10:$C$1809,"باسکول")</f>
        <v/>
      </c>
      <c r="F56" s="197" t="n"/>
      <c r="G56" s="170">
        <f>IF(ROUND($E56,0)=0,"✓","⚠")</f>
        <v/>
      </c>
    </row>
    <row r="57" ht="22" customHeight="1">
      <c r="A57" s="177" t="inlineStr">
        <is>
          <t>انعام پرداخت‌شده از باسکول (بدهکار حساب X001)</t>
        </is>
      </c>
      <c r="B57" s="196" t="n"/>
      <c r="C57" s="196" t="n"/>
      <c r="D57" s="197" t="n"/>
      <c r="E57" s="176">
        <f>SUMIFS(Book!$L$10:$L$1809,Book!$D$10:$D$1809,"X001",Book!$C$10:$C$1809,"باسکول")</f>
        <v/>
      </c>
      <c r="F57" s="197" t="n"/>
      <c r="G57" s="170">
        <f>IF(ROUND($E57,0)=0,"✓","⚠")</f>
        <v/>
      </c>
    </row>
    <row r="58" ht="22" customHeight="1">
      <c r="A58" s="175" t="inlineStr">
        <is>
          <t>مانده حساب انعام مصطفی (بستانکار − بدهکار)</t>
        </is>
      </c>
      <c r="B58" s="196" t="n"/>
      <c r="C58" s="196" t="n"/>
      <c r="D58" s="197" t="n"/>
      <c r="E58" s="176">
        <f>SUMIFS(Book!$M$10:$M$1809,Book!$D$10:$D$1809,"X001")-SUMIFS(Book!$L$10:$L$1809,Book!$D$10:$D$1809,"X001")</f>
        <v/>
      </c>
      <c r="F58" s="197" t="n"/>
      <c r="G58" s="170">
        <f>IF(ROUND($E58,0)=0,"✓","⚠")</f>
        <v/>
      </c>
    </row>
    <row r="59" ht="22" customHeight="1">
      <c r="A59" s="178" t="inlineStr">
        <is>
          <t>کنترل: پرداخت به مصطفی = بستانکار واسط با نوع «انعام مصطفی»</t>
        </is>
      </c>
      <c r="B59" s="196" t="n"/>
      <c r="C59" s="196" t="n"/>
      <c r="D59" s="197" t="n"/>
      <c r="E59" s="176">
        <f>SUMIFS(Book!$M$10:$M$1809,Book!$D$10:$D$1809,"X011",Book!$N$10:$N$1809,"انعام مصطفی")</f>
        <v/>
      </c>
      <c r="F59" s="197" t="n"/>
      <c r="G59" s="170">
        <f>IF(ROUND($E$57-$E$59,0)=0,"✓","⚠")</f>
        <v/>
      </c>
    </row>
    <row r="62">
      <c r="A62" s="179" t="inlineStr">
        <is>
          <t>۰۳   راهنما — این شیت را چطور بخوانم؟</t>
        </is>
      </c>
    </row>
    <row r="63" ht="24" customHeight="1">
      <c r="A63" s="180" t="inlineStr">
        <is>
          <t>۱) ستون «پز باسکول» خودکار است: هر خط دفتر (شیت Book) که در باسکول با نوع «پوز» به حساب واسط X011 بدهکار شده باشد.</t>
        </is>
      </c>
      <c r="B63" s="196" t="n"/>
      <c r="C63" s="196" t="n"/>
      <c r="D63" s="196" t="n"/>
      <c r="E63" s="196" t="n"/>
      <c r="F63" s="196" t="n"/>
      <c r="G63" s="196" t="n"/>
      <c r="H63" s="197" t="n"/>
    </row>
    <row r="64" ht="24" customHeight="1">
      <c r="A64" s="181" t="inlineStr">
        <is>
          <t>۲) واریز پز به بانک را در فایل 02_Bank با نوع «واریز پز باسکول (۲۰۰۶)» ثبت کنید؛ همان‌جا بانک بدهکار و واسط بستانکار می‌شود.</t>
        </is>
      </c>
      <c r="B64" s="196" t="n"/>
      <c r="C64" s="196" t="n"/>
      <c r="D64" s="196" t="n"/>
      <c r="E64" s="196" t="n"/>
      <c r="F64" s="196" t="n"/>
      <c r="G64" s="196" t="n"/>
      <c r="H64" s="197" t="n"/>
    </row>
    <row r="65" ht="24" customHeight="1">
      <c r="A65" s="180" t="inlineStr">
        <is>
          <t>۳) تطبیق پز با واریزی بانکی در دو جا دیده می‌شود: شیت Card فایل 02_Bank (به تفکیک بانک) و شیت Pos داشبورد 08 (روز به روز).</t>
        </is>
      </c>
      <c r="B65" s="196" t="n"/>
      <c r="C65" s="196" t="n"/>
      <c r="D65" s="196" t="n"/>
      <c r="E65" s="196" t="n"/>
      <c r="F65" s="196" t="n"/>
      <c r="G65" s="196" t="n"/>
      <c r="H65" s="197" t="n"/>
    </row>
    <row r="66" ht="24" customHeight="1">
      <c r="A66" s="181" t="inlineStr">
        <is>
          <t>۴) مانده حساب واسط X011 در پایان ماه باید صفر شود؛ کنترل آن در شیت Audit فایل 05_Bal انجام می‌شود (دفتر + بانک).</t>
        </is>
      </c>
      <c r="B66" s="196" t="n"/>
      <c r="C66" s="196" t="n"/>
      <c r="D66" s="196" t="n"/>
      <c r="E66" s="196" t="n"/>
      <c r="F66" s="196" t="n"/>
      <c r="G66" s="196" t="n"/>
      <c r="H66" s="197" t="n"/>
    </row>
    <row r="67" ht="24" customHeight="1">
      <c r="A67" s="180" t="inlineStr">
        <is>
          <t>۵) اگر روز واریز با روز پز یکی نیست، تاریخ واریز را در فایل بانک بزنید؛ این شیت بر اساس تاریخ پز جمع می‌زند.</t>
        </is>
      </c>
      <c r="B67" s="196" t="n"/>
      <c r="C67" s="196" t="n"/>
      <c r="D67" s="196" t="n"/>
      <c r="E67" s="196" t="n"/>
      <c r="F67" s="196" t="n"/>
      <c r="G67" s="196" t="n"/>
      <c r="H67" s="197" t="n"/>
    </row>
    <row r="68" ht="24" customHeight="1">
      <c r="A68" s="181" t="inlineStr">
        <is>
          <t>۶) انعام مصطفی: هر ردیف باسکول با نوع «انعام مصطفی» واسط X011 را بستانکار و حساب X001 را بدهکار می‌کند؛ ردیف کنترل ۰۲ آن را می‌سنجد.</t>
        </is>
      </c>
      <c r="B68" s="196" t="n"/>
      <c r="C68" s="196" t="n"/>
      <c r="D68" s="196" t="n"/>
      <c r="E68" s="196" t="n"/>
      <c r="F68" s="196" t="n"/>
      <c r="G68" s="196" t="n"/>
      <c r="H68" s="197" t="n"/>
    </row>
  </sheetData>
  <mergeCells count="29">
    <mergeCell ref="A9:H9"/>
    <mergeCell ref="A67:H67"/>
    <mergeCell ref="C6:D6"/>
    <mergeCell ref="A64:H64"/>
    <mergeCell ref="A1:H1"/>
    <mergeCell ref="A6:B6"/>
    <mergeCell ref="A7:B7"/>
    <mergeCell ref="G7:H7"/>
    <mergeCell ref="A58:D58"/>
    <mergeCell ref="A65:H65"/>
    <mergeCell ref="A54:H54"/>
    <mergeCell ref="A59:D59"/>
    <mergeCell ref="A66:H66"/>
    <mergeCell ref="G6:H6"/>
    <mergeCell ref="E59:F59"/>
    <mergeCell ref="A3:H3"/>
    <mergeCell ref="E6:F6"/>
    <mergeCell ref="E58:F58"/>
    <mergeCell ref="A2:H2"/>
    <mergeCell ref="E57:F57"/>
    <mergeCell ref="A4:H4"/>
    <mergeCell ref="A62:H62"/>
    <mergeCell ref="A56:D56"/>
    <mergeCell ref="C7:D7"/>
    <mergeCell ref="E7:F7"/>
    <mergeCell ref="A63:H63"/>
    <mergeCell ref="A68:H68"/>
    <mergeCell ref="A57:D57"/>
    <mergeCell ref="E56:F56"/>
  </mergeCells>
  <pageMargins left="0.75" right="0.75" top="1" bottom="1" header="0.5" footer="0.5"/>
  <pageSetup orientation="portrait" paperSize="9" fitToHeight="0" fitToWidth="1"/>
  <headerFooter>
    <oddHeader>&amp;Lمازندشت — سامانه حسابداری سورتینگ&amp;CMAZANDASHT · POS CONTROL&amp;R&amp;A</oddHeader>
    <oddFooter>&amp;L&amp;F&amp;Cصفحه &amp;P از &amp;N&amp;RExcel 2013</oddFooter>
    <evenHeader/>
    <evenFooter/>
    <firstHeader/>
    <firstFooter/>
  </headerFooter>
</worksheet>
</file>

<file path=xl/worksheets/sheet8.xml><?xml version="1.0" encoding="utf-8"?>
<worksheet xmlns="http://schemas.openxmlformats.org/spreadsheetml/2006/main">
  <sheetPr>
    <tabColor rgb="FFB9B2A1"/>
    <outlinePr summaryBelow="1" summaryRight="1"/>
    <pageSetUpPr fitToPage="1"/>
  </sheetPr>
  <dimension ref="A1:CR259"/>
  <sheetViews>
    <sheetView showGridLines="0" rightToLeft="1" zoomScale="80" zoomScaleNormal="80"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4.7109375" customWidth="1" min="1" max="78"/>
    <col width="20.7109375" customWidth="1" min="79" max="98"/>
  </cols>
  <sheetData>
    <row r="1" ht="24" customHeight="1">
      <c r="A1" s="101" t="inlineStr">
        <is>
          <t>داده‌های ثابت — کپی کامل از 00_Master.xlsx (بدون وابستگی)</t>
        </is>
      </c>
      <c r="B1" s="132" t="n"/>
      <c r="C1" s="132" t="n"/>
      <c r="D1" s="132" t="n"/>
      <c r="E1" s="132" t="n"/>
      <c r="F1" s="132" t="n"/>
      <c r="G1" s="132" t="n"/>
      <c r="H1" s="132" t="n"/>
      <c r="I1" s="132" t="n"/>
      <c r="J1" s="132" t="n"/>
      <c r="K1" s="132" t="n"/>
      <c r="L1" s="132" t="n"/>
      <c r="M1" s="132" t="n"/>
    </row>
    <row r="2" ht="27.75" customHeight="1">
      <c r="A2" s="182" t="inlineStr">
        <is>
          <t>این شیت فقط نمایش است و قفل شده. همه کشوها و فرمول‌ها از همین‌جا می‌خوانند؛ برای تغییر، 00_Master.xlsx را ویرایش کنید و سپس این فایل را (با اسکریپت ساخت یا کپی ستون‌ها) دوباره همگام کنید. هیچ فرمولی به فایل مادر وابسته نیست، پس فایل همیشه سالم باز می‌شود. — این فایل منبع اصلی ورود داده است.</t>
        </is>
      </c>
    </row>
    <row r="3">
      <c r="A3" s="183" t="inlineStr">
        <is>
          <t>MAZANDASHT · INFO MASTER DATA (READ ONLY)</t>
        </is>
      </c>
    </row>
    <row r="8">
      <c r="B8" s="104" t="inlineStr">
        <is>
          <t>حساب‌ها — کد، نام، گروه، زیرگروه، نوع و مانده اولیه</t>
        </is>
      </c>
      <c r="C8" s="133" t="n"/>
      <c r="D8" s="133" t="n"/>
      <c r="E8" s="133" t="n"/>
      <c r="F8" s="133" t="n"/>
      <c r="G8" s="134" t="n"/>
      <c r="I8" s="105" t="inlineStr">
        <is>
          <t>عملیات — قاعده بدهکار/بستانکار</t>
        </is>
      </c>
      <c r="J8" s="133" t="n"/>
      <c r="K8" s="133" t="n"/>
      <c r="L8" s="133" t="n"/>
      <c r="M8" s="133" t="n"/>
      <c r="N8" s="133" t="n"/>
      <c r="O8" s="133" t="n"/>
      <c r="P8" s="133" t="n"/>
      <c r="Q8" s="133" t="n"/>
      <c r="R8" s="133" t="n"/>
      <c r="S8" s="133" t="n"/>
      <c r="T8" s="133" t="n"/>
      <c r="U8" s="133" t="n"/>
      <c r="V8" s="133" t="n"/>
      <c r="W8" s="134" t="n"/>
      <c r="Y8" s="106" t="inlineStr">
        <is>
          <t>سبدها — برچسب، کد، نام، تار، ظرفیت، خرید، فروش، موجودی</t>
        </is>
      </c>
      <c r="Z8" s="133" t="n"/>
      <c r="AA8" s="133" t="n"/>
      <c r="AB8" s="133" t="n"/>
      <c r="AC8" s="133" t="n"/>
      <c r="AD8" s="133" t="n"/>
      <c r="AE8" s="133" t="n"/>
      <c r="AF8" s="134" t="n"/>
      <c r="AH8" s="107" t="inlineStr">
        <is>
          <t>محصولات</t>
        </is>
      </c>
      <c r="AI8" s="134" t="n"/>
      <c r="AK8" s="108" t="inlineStr">
        <is>
          <t>بانک‌ها — کد، عنوان، مانده، حساب معین</t>
        </is>
      </c>
      <c r="AL8" s="133" t="n"/>
      <c r="AM8" s="133" t="n"/>
      <c r="AN8" s="134" t="n"/>
      <c r="AO8" s="109" t="inlineStr">
        <is>
          <t>پارامترها</t>
        </is>
      </c>
      <c r="AP8" s="134" t="n"/>
      <c r="AR8" s="110" t="inlineStr">
        <is>
          <t>گروه‌ها و زیرگروه‌ها</t>
        </is>
      </c>
      <c r="AS8" s="134" t="n"/>
      <c r="AU8" s="104" t="inlineStr">
        <is>
          <t>گروه‌های اصلی</t>
        </is>
      </c>
      <c r="AW8" s="104" t="inlineStr">
        <is>
          <t>عملیات سبد</t>
        </is>
      </c>
      <c r="AX8" s="104" t="inlineStr">
        <is>
          <t>باسکول دیگران</t>
        </is>
      </c>
      <c r="AZ8" s="104" t="inlineStr">
        <is>
          <t>عملیات باسکول</t>
        </is>
      </c>
    </row>
    <row r="9" ht="12.75" customHeight="1">
      <c r="B9" s="184" t="inlineStr">
        <is>
          <t>ACCOUNTS</t>
        </is>
      </c>
      <c r="I9" s="185" t="inlineStr">
        <is>
          <t>OPERATIONS</t>
        </is>
      </c>
      <c r="Y9" s="186" t="inlineStr">
        <is>
          <t>BASKETS</t>
        </is>
      </c>
      <c r="AH9" s="187" t="inlineStr">
        <is>
          <t>PRODUCTS</t>
        </is>
      </c>
      <c r="AK9" s="188" t="inlineStr">
        <is>
          <t>BANKS</t>
        </is>
      </c>
      <c r="AO9" s="189" t="inlineStr">
        <is>
          <t>PARAMS</t>
        </is>
      </c>
      <c r="AR9" s="190" t="inlineStr">
        <is>
          <t>GROUPS</t>
        </is>
      </c>
      <c r="AU9" s="111" t="inlineStr">
        <is>
          <t>GROUP LIST</t>
        </is>
      </c>
      <c r="AW9" s="111" t="inlineStr">
        <is>
          <t>BASKET OPS</t>
        </is>
      </c>
      <c r="AX9" s="111" t="inlineStr">
        <is>
          <t>OTHER SCALES</t>
        </is>
      </c>
      <c r="AZ9" s="111" t="inlineStr">
        <is>
          <t>BASKOL OPS</t>
        </is>
      </c>
    </row>
    <row r="10">
      <c r="B10" s="118" t="inlineStr">
        <is>
          <t>C001</t>
        </is>
      </c>
      <c r="C10" s="81" t="inlineStr">
        <is>
          <t>زینب زاهدی</t>
        </is>
      </c>
      <c r="D10" s="118" t="inlineStr">
        <is>
          <t>باغدار</t>
        </is>
      </c>
      <c r="E10" s="81" t="inlineStr">
        <is>
          <t>عمده</t>
        </is>
      </c>
      <c r="F10" s="81" t="inlineStr">
        <is>
          <t>طرف حساب</t>
        </is>
      </c>
      <c r="G10" s="119" t="n">
        <v>0</v>
      </c>
      <c r="I10" s="81" t="inlineStr">
        <is>
          <t>خرید مرکبات</t>
        </is>
      </c>
      <c r="J10" s="118" t="inlineStr">
        <is>
          <t>ورود</t>
        </is>
      </c>
      <c r="K10" s="118" t="inlineStr">
        <is>
          <t>خرید</t>
        </is>
      </c>
      <c r="L10" s="118" t="inlineStr">
        <is>
          <t>بله</t>
        </is>
      </c>
      <c r="M10" s="118" t="inlineStr">
        <is>
          <t>بله</t>
        </is>
      </c>
      <c r="N10" s="118" t="inlineStr">
        <is>
          <t>وزن</t>
        </is>
      </c>
      <c r="O10" s="118" t="inlineStr">
        <is>
          <t>بستانکار</t>
        </is>
      </c>
      <c r="P10" s="118" t="inlineStr">
        <is>
          <t>X004</t>
        </is>
      </c>
      <c r="Q10" s="118" t="inlineStr">
        <is>
          <t>بدهکار</t>
        </is>
      </c>
      <c r="R10" s="118" t="inlineStr">
        <is>
          <t>افزودن</t>
        </is>
      </c>
      <c r="S10" s="118" t="inlineStr">
        <is>
          <t>—</t>
        </is>
      </c>
      <c r="T10" s="118" t="n"/>
      <c r="U10" s="118" t="n"/>
      <c r="V10" s="118" t="n"/>
      <c r="W10" s="118" t="inlineStr">
        <is>
          <t>بله</t>
        </is>
      </c>
      <c r="Y10" s="81" t="inlineStr">
        <is>
          <t>BK01 – ۶ک مشکی</t>
        </is>
      </c>
      <c r="Z10" s="118" t="inlineStr">
        <is>
          <t>BK01</t>
        </is>
      </c>
      <c r="AA10" s="81" t="inlineStr">
        <is>
          <t>۶ک مشکی</t>
        </is>
      </c>
      <c r="AB10" s="119" t="n">
        <v>1.5</v>
      </c>
      <c r="AC10" s="119" t="n">
        <v>6</v>
      </c>
      <c r="AD10" s="119" t="n">
        <v>45000</v>
      </c>
      <c r="AE10" s="119" t="n">
        <v>55000</v>
      </c>
      <c r="AF10" s="119" t="n">
        <v>1200</v>
      </c>
      <c r="AH10" s="81" t="inlineStr">
        <is>
          <t>پرتقال تامسون</t>
        </is>
      </c>
      <c r="AI10" s="81" t="inlineStr">
        <is>
          <t>پرتقال</t>
        </is>
      </c>
      <c r="AK10" s="118" t="inlineStr">
        <is>
          <t>BN01</t>
        </is>
      </c>
      <c r="AL10" s="81" t="inlineStr">
        <is>
          <t>صادرات ۹۰۰۹ — جاری اصلی</t>
        </is>
      </c>
      <c r="AM10" s="119" t="n">
        <v>500000000</v>
      </c>
      <c r="AN10" s="118" t="inlineStr">
        <is>
          <t>BN01</t>
        </is>
      </c>
      <c r="AO10" s="118" t="inlineStr">
        <is>
          <t>P01</t>
        </is>
      </c>
      <c r="AP10" s="119" t="n">
        <v>1.5</v>
      </c>
      <c r="AR10" s="81" t="inlineStr">
        <is>
          <t>باغدار</t>
        </is>
      </c>
      <c r="AS10" s="81" t="inlineStr">
        <is>
          <t>سردرختی</t>
        </is>
      </c>
      <c r="AU10" s="81" t="inlineStr">
        <is>
          <t>باغدار</t>
        </is>
      </c>
      <c r="AW10" s="81" t="inlineStr">
        <is>
          <t>خرید سبد</t>
        </is>
      </c>
      <c r="AX10" s="118" t="inlineStr">
        <is>
          <t>BD001</t>
        </is>
      </c>
      <c r="AZ10" s="81" t="inlineStr">
        <is>
          <t>خرید مرکبات</t>
        </is>
      </c>
      <c r="CA10" s="81" t="inlineStr">
        <is>
          <t>کیلوگرم</t>
        </is>
      </c>
      <c r="CB10" s="81" t="inlineStr">
        <is>
          <t>پرتقال</t>
        </is>
      </c>
      <c r="CC10" s="81" t="inlineStr">
        <is>
          <t>ورود</t>
        </is>
      </c>
      <c r="CD10" s="81" t="inlineStr">
        <is>
          <t>بله</t>
        </is>
      </c>
      <c r="CE10" s="81" t="inlineStr">
        <is>
          <t>طرف حساب</t>
        </is>
      </c>
      <c r="CF10" s="81" t="inlineStr">
        <is>
          <t>نقد</t>
        </is>
      </c>
      <c r="CG10" s="81" t="inlineStr">
        <is>
          <t>در جریان</t>
        </is>
      </c>
      <c r="CH10" s="81" t="inlineStr">
        <is>
          <t>☑</t>
        </is>
      </c>
      <c r="CI10" s="81" t="inlineStr">
        <is>
          <t>افزودن</t>
        </is>
      </c>
      <c r="CJ10" s="81" t="inlineStr">
        <is>
          <t>بدهکار</t>
        </is>
      </c>
      <c r="CK10" s="81" t="inlineStr">
        <is>
          <t>بدهکار</t>
        </is>
      </c>
      <c r="CL10" s="81" t="inlineStr">
        <is>
          <t>خرید</t>
        </is>
      </c>
      <c r="CM10" s="81" t="inlineStr">
        <is>
          <t>✓</t>
        </is>
      </c>
      <c r="CN10" s="81" t="inlineStr">
        <is>
          <t>Growers</t>
        </is>
      </c>
      <c r="CO10" s="81" t="inlineStr">
        <is>
          <t>وزن</t>
        </is>
      </c>
      <c r="CP10" s="81" t="inlineStr">
        <is>
          <t>mint</t>
        </is>
      </c>
      <c r="CQ10" s="81" t="inlineStr">
        <is>
          <t>بهار</t>
        </is>
      </c>
      <c r="CR10" s="81" t="inlineStr">
        <is>
          <t>پرداخت</t>
        </is>
      </c>
    </row>
    <row r="11">
      <c r="B11" s="118" t="inlineStr">
        <is>
          <t>C002</t>
        </is>
      </c>
      <c r="C11" s="81" t="inlineStr">
        <is>
          <t>سید عباس موسوی</t>
        </is>
      </c>
      <c r="D11" s="118" t="inlineStr">
        <is>
          <t>باغدار</t>
        </is>
      </c>
      <c r="E11" s="81" t="inlineStr">
        <is>
          <t>صادراتی</t>
        </is>
      </c>
      <c r="F11" s="81" t="inlineStr">
        <is>
          <t>طرف حساب</t>
        </is>
      </c>
      <c r="G11" s="119" t="n">
        <v>0</v>
      </c>
      <c r="I11" s="81" t="inlineStr">
        <is>
          <t>فروش بار (بارفروش)</t>
        </is>
      </c>
      <c r="J11" s="118" t="inlineStr">
        <is>
          <t>خروج</t>
        </is>
      </c>
      <c r="K11" s="118" t="inlineStr">
        <is>
          <t>فروش</t>
        </is>
      </c>
      <c r="L11" s="118" t="inlineStr">
        <is>
          <t>بله</t>
        </is>
      </c>
      <c r="M11" s="118" t="inlineStr">
        <is>
          <t>بله</t>
        </is>
      </c>
      <c r="N11" s="118" t="inlineStr">
        <is>
          <t>وزن</t>
        </is>
      </c>
      <c r="O11" s="118" t="inlineStr">
        <is>
          <t>بدهکار</t>
        </is>
      </c>
      <c r="P11" s="118" t="inlineStr">
        <is>
          <t>X006</t>
        </is>
      </c>
      <c r="Q11" s="118" t="inlineStr">
        <is>
          <t>بستانکار</t>
        </is>
      </c>
      <c r="R11" s="118" t="inlineStr">
        <is>
          <t>پوز</t>
        </is>
      </c>
      <c r="S11" s="118" t="inlineStr">
        <is>
          <t>بدهکار</t>
        </is>
      </c>
      <c r="T11" s="118" t="inlineStr">
        <is>
          <t>X011</t>
        </is>
      </c>
      <c r="U11" s="118" t="inlineStr">
        <is>
          <t>X002</t>
        </is>
      </c>
      <c r="V11" s="118" t="n"/>
      <c r="W11" s="118" t="inlineStr">
        <is>
          <t>بله</t>
        </is>
      </c>
      <c r="Y11" s="81" t="inlineStr">
        <is>
          <t>BK02 – درب‌۶ک</t>
        </is>
      </c>
      <c r="Z11" s="118" t="inlineStr">
        <is>
          <t>BK02</t>
        </is>
      </c>
      <c r="AA11" s="81" t="inlineStr">
        <is>
          <t>درب‌۶ک</t>
        </is>
      </c>
      <c r="AB11" s="119" t="n">
        <v>1.5</v>
      </c>
      <c r="AC11" s="119" t="n">
        <v>6</v>
      </c>
      <c r="AD11" s="119" t="n">
        <v>48000</v>
      </c>
      <c r="AE11" s="119" t="n">
        <v>58000</v>
      </c>
      <c r="AF11" s="119" t="n">
        <v>400</v>
      </c>
      <c r="AH11" s="81" t="inlineStr">
        <is>
          <t>پرتقال خونی</t>
        </is>
      </c>
      <c r="AI11" s="81" t="inlineStr">
        <is>
          <t>پرتقال</t>
        </is>
      </c>
      <c r="AK11" s="118" t="inlineStr">
        <is>
          <t>BN02</t>
        </is>
      </c>
      <c r="AL11" s="81" t="inlineStr">
        <is>
          <t>صادرات ۲۰۰۶ — پوز باسکول</t>
        </is>
      </c>
      <c r="AM11" s="119" t="n">
        <v>0</v>
      </c>
      <c r="AN11" s="118" t="inlineStr">
        <is>
          <t>BN02</t>
        </is>
      </c>
      <c r="AO11" s="118" t="inlineStr">
        <is>
          <t>P02</t>
        </is>
      </c>
      <c r="AP11" s="119" t="n">
        <v>1</v>
      </c>
      <c r="AR11" s="81" t="inlineStr">
        <is>
          <t>باغدار</t>
        </is>
      </c>
      <c r="AS11" s="81" t="inlineStr">
        <is>
          <t>انباری</t>
        </is>
      </c>
      <c r="AU11" s="81" t="inlineStr">
        <is>
          <t>بارفروش</t>
        </is>
      </c>
      <c r="AW11" s="81" t="inlineStr">
        <is>
          <t>فروش سبد</t>
        </is>
      </c>
      <c r="AX11" s="118" t="inlineStr">
        <is>
          <t>BD002</t>
        </is>
      </c>
      <c r="AZ11" s="81" t="inlineStr">
        <is>
          <t>فروش بار (بارفروش)</t>
        </is>
      </c>
      <c r="CA11" s="81" t="inlineStr">
        <is>
          <t>سبد</t>
        </is>
      </c>
      <c r="CB11" s="81" t="inlineStr">
        <is>
          <t>نارنگی</t>
        </is>
      </c>
      <c r="CC11" s="81" t="inlineStr">
        <is>
          <t>خروج</t>
        </is>
      </c>
      <c r="CD11" s="81" t="inlineStr">
        <is>
          <t>خیر</t>
        </is>
      </c>
      <c r="CE11" s="81" t="inlineStr">
        <is>
          <t>معین</t>
        </is>
      </c>
      <c r="CF11" s="81" t="inlineStr">
        <is>
          <t>چک</t>
        </is>
      </c>
      <c r="CG11" s="81" t="inlineStr">
        <is>
          <t>پاس شده</t>
        </is>
      </c>
      <c r="CH11" s="81" t="inlineStr">
        <is>
          <t>☐</t>
        </is>
      </c>
      <c r="CI11" s="81" t="inlineStr">
        <is>
          <t>پوز</t>
        </is>
      </c>
      <c r="CJ11" s="81" t="inlineStr">
        <is>
          <t>بستانکار</t>
        </is>
      </c>
      <c r="CK11" s="81" t="inlineStr">
        <is>
          <t>بستانکار</t>
        </is>
      </c>
      <c r="CL11" s="81" t="inlineStr">
        <is>
          <t>فروش</t>
        </is>
      </c>
      <c r="CM11" s="81" t="inlineStr">
        <is>
          <t>⚠</t>
        </is>
      </c>
      <c r="CN11" s="81" t="inlineStr">
        <is>
          <t>LoadBuyers</t>
        </is>
      </c>
      <c r="CO11" s="81" t="inlineStr">
        <is>
          <t>مبلغ</t>
        </is>
      </c>
      <c r="CP11" s="81" t="inlineStr">
        <is>
          <t>sky</t>
        </is>
      </c>
      <c r="CQ11" s="81" t="inlineStr">
        <is>
          <t>تابستان</t>
        </is>
      </c>
      <c r="CR11" s="81" t="inlineStr">
        <is>
          <t>دریافت</t>
        </is>
      </c>
    </row>
    <row r="12">
      <c r="B12" s="118" t="inlineStr">
        <is>
          <t>C003</t>
        </is>
      </c>
      <c r="C12" s="81" t="inlineStr">
        <is>
          <t>حاج احمد عیسی پور</t>
        </is>
      </c>
      <c r="D12" s="118" t="inlineStr">
        <is>
          <t>باغدار</t>
        </is>
      </c>
      <c r="E12" s="81" t="inlineStr">
        <is>
          <t>خرده‌فروش</t>
        </is>
      </c>
      <c r="F12" s="81" t="inlineStr">
        <is>
          <t>طرف حساب</t>
        </is>
      </c>
      <c r="G12" s="119" t="n">
        <v>0</v>
      </c>
      <c r="I12" s="81" t="inlineStr">
        <is>
          <t>فروش متفرقه / صادراتی</t>
        </is>
      </c>
      <c r="J12" s="118" t="inlineStr">
        <is>
          <t>خروج</t>
        </is>
      </c>
      <c r="K12" s="118" t="inlineStr">
        <is>
          <t>فروش</t>
        </is>
      </c>
      <c r="L12" s="118" t="inlineStr">
        <is>
          <t>بله</t>
        </is>
      </c>
      <c r="M12" s="118" t="inlineStr">
        <is>
          <t>بله</t>
        </is>
      </c>
      <c r="N12" s="118" t="inlineStr">
        <is>
          <t>وزن</t>
        </is>
      </c>
      <c r="O12" s="118" t="inlineStr">
        <is>
          <t>بدهکار</t>
        </is>
      </c>
      <c r="P12" s="118" t="inlineStr">
        <is>
          <t>X006</t>
        </is>
      </c>
      <c r="Q12" s="118" t="inlineStr">
        <is>
          <t>بستانکار</t>
        </is>
      </c>
      <c r="R12" s="118" t="inlineStr">
        <is>
          <t>هیچ</t>
        </is>
      </c>
      <c r="S12" s="118" t="inlineStr">
        <is>
          <t>—</t>
        </is>
      </c>
      <c r="T12" s="118" t="n"/>
      <c r="U12" s="118" t="n"/>
      <c r="V12" s="118" t="n"/>
      <c r="W12" s="118" t="inlineStr">
        <is>
          <t>بله</t>
        </is>
      </c>
      <c r="Y12" s="81" t="inlineStr">
        <is>
          <t>BK03 – ۹ک مشکی</t>
        </is>
      </c>
      <c r="Z12" s="118" t="inlineStr">
        <is>
          <t>BK03</t>
        </is>
      </c>
      <c r="AA12" s="81" t="inlineStr">
        <is>
          <t>۹ک مشکی</t>
        </is>
      </c>
      <c r="AB12" s="119" t="n">
        <v>1.9</v>
      </c>
      <c r="AC12" s="119" t="n">
        <v>9</v>
      </c>
      <c r="AD12" s="119" t="n">
        <v>62000</v>
      </c>
      <c r="AE12" s="119" t="n">
        <v>75000</v>
      </c>
      <c r="AF12" s="119" t="n">
        <v>800</v>
      </c>
      <c r="AH12" s="81" t="inlineStr">
        <is>
          <t>پرتقال کاراکارا</t>
        </is>
      </c>
      <c r="AI12" s="81" t="inlineStr">
        <is>
          <t>پرتقال</t>
        </is>
      </c>
      <c r="AK12" s="118" t="inlineStr">
        <is>
          <t>BN03</t>
        </is>
      </c>
      <c r="AL12" s="81" t="inlineStr">
        <is>
          <t>ملت</t>
        </is>
      </c>
      <c r="AM12" s="119" t="n">
        <v>0</v>
      </c>
      <c r="AN12" s="118" t="inlineStr">
        <is>
          <t>BN03</t>
        </is>
      </c>
      <c r="AO12" s="118" t="inlineStr">
        <is>
          <t>P03</t>
        </is>
      </c>
      <c r="AP12" s="119" t="n">
        <v>1000</v>
      </c>
      <c r="AR12" s="81" t="inlineStr">
        <is>
          <t>باغدار</t>
        </is>
      </c>
      <c r="AS12" s="81" t="inlineStr">
        <is>
          <t>عمده</t>
        </is>
      </c>
      <c r="AU12" s="81" t="inlineStr">
        <is>
          <t>فروشنده سبد</t>
        </is>
      </c>
      <c r="AW12" s="81" t="inlineStr">
        <is>
          <t>مرجوعی خرید سبد</t>
        </is>
      </c>
      <c r="AX12" s="118" t="inlineStr">
        <is>
          <t>BD003</t>
        </is>
      </c>
      <c r="AZ12" s="81" t="inlineStr">
        <is>
          <t>فروش متفرقه / صادراتی</t>
        </is>
      </c>
      <c r="CA12" s="81" t="inlineStr">
        <is>
          <t>جعبه</t>
        </is>
      </c>
      <c r="CB12" s="81" t="inlineStr">
        <is>
          <t>لیمو</t>
        </is>
      </c>
      <c r="CC12" s="81" t="inlineStr">
        <is>
          <t>—</t>
        </is>
      </c>
      <c r="CF12" s="81" t="inlineStr">
        <is>
          <t>انتقال بانکی</t>
        </is>
      </c>
      <c r="CG12" s="81" t="inlineStr">
        <is>
          <t>برگشتی</t>
        </is>
      </c>
      <c r="CI12" s="81" t="inlineStr">
        <is>
          <t>هیچ</t>
        </is>
      </c>
      <c r="CJ12" s="81" t="inlineStr">
        <is>
          <t>—</t>
        </is>
      </c>
      <c r="CK12" s="81" t="inlineStr">
        <is>
          <t>خودکار</t>
        </is>
      </c>
      <c r="CL12" s="81" t="inlineStr">
        <is>
          <t>آبگیری</t>
        </is>
      </c>
      <c r="CN12" s="81" t="inlineStr">
        <is>
          <t>BasketSellers</t>
        </is>
      </c>
      <c r="CO12" s="81" t="inlineStr">
        <is>
          <t>هیچ</t>
        </is>
      </c>
      <c r="CP12" s="81" t="inlineStr">
        <is>
          <t>lavender</t>
        </is>
      </c>
      <c r="CQ12" s="81" t="inlineStr">
        <is>
          <t>پاییز</t>
        </is>
      </c>
    </row>
    <row r="13">
      <c r="B13" s="118" t="inlineStr">
        <is>
          <t>C004</t>
        </is>
      </c>
      <c r="C13" s="81" t="inlineStr">
        <is>
          <t>امید زاهدی</t>
        </is>
      </c>
      <c r="D13" s="118" t="inlineStr">
        <is>
          <t>باغدار</t>
        </is>
      </c>
      <c r="E13" s="81" t="n"/>
      <c r="F13" s="81" t="inlineStr">
        <is>
          <t>طرف حساب</t>
        </is>
      </c>
      <c r="G13" s="119" t="n">
        <v>0</v>
      </c>
      <c r="I13" s="81" t="inlineStr">
        <is>
          <t>آبگیری</t>
        </is>
      </c>
      <c r="J13" s="118" t="inlineStr">
        <is>
          <t>خروج</t>
        </is>
      </c>
      <c r="K13" s="118" t="inlineStr">
        <is>
          <t>آبگیری</t>
        </is>
      </c>
      <c r="L13" s="118" t="inlineStr">
        <is>
          <t>بله</t>
        </is>
      </c>
      <c r="M13" s="118" t="inlineStr">
        <is>
          <t>بله</t>
        </is>
      </c>
      <c r="N13" s="118" t="inlineStr">
        <is>
          <t>مبلغ</t>
        </is>
      </c>
      <c r="O13" s="118" t="inlineStr">
        <is>
          <t>خودکار</t>
        </is>
      </c>
      <c r="P13" s="118" t="inlineStr">
        <is>
          <t>X008</t>
        </is>
      </c>
      <c r="Q13" s="118" t="inlineStr">
        <is>
          <t>خودکار</t>
        </is>
      </c>
      <c r="R13" s="118" t="inlineStr">
        <is>
          <t>هیچ</t>
        </is>
      </c>
      <c r="S13" s="118" t="inlineStr">
        <is>
          <t>—</t>
        </is>
      </c>
      <c r="T13" s="118" t="n"/>
      <c r="U13" s="118" t="n"/>
      <c r="V13" s="118" t="n"/>
      <c r="W13" s="118" t="inlineStr">
        <is>
          <t>بله</t>
        </is>
      </c>
      <c r="Y13" s="81" t="inlineStr">
        <is>
          <t>BK04 – ریلی کوچک آبی</t>
        </is>
      </c>
      <c r="Z13" s="118" t="inlineStr">
        <is>
          <t>BK04</t>
        </is>
      </c>
      <c r="AA13" s="81" t="inlineStr">
        <is>
          <t>ریلی کوچک آبی</t>
        </is>
      </c>
      <c r="AB13" s="119" t="n">
        <v>1.3</v>
      </c>
      <c r="AC13" s="119" t="n">
        <v>5</v>
      </c>
      <c r="AD13" s="119" t="n">
        <v>40000</v>
      </c>
      <c r="AE13" s="119" t="n">
        <v>50000</v>
      </c>
      <c r="AF13" s="119" t="n">
        <v>300</v>
      </c>
      <c r="AH13" s="81" t="inlineStr">
        <is>
          <t>پرتقال بیروتی</t>
        </is>
      </c>
      <c r="AI13" s="81" t="inlineStr">
        <is>
          <t>پرتقال</t>
        </is>
      </c>
      <c r="AK13" s="118" t="inlineStr">
        <is>
          <t>BN04</t>
        </is>
      </c>
      <c r="AL13" s="81" t="inlineStr">
        <is>
          <t>کشاورزی</t>
        </is>
      </c>
      <c r="AM13" s="119" t="n">
        <v>0</v>
      </c>
      <c r="AN13" s="118" t="inlineStr">
        <is>
          <t>BN04</t>
        </is>
      </c>
      <c r="AO13" s="118" t="inlineStr">
        <is>
          <t>P04</t>
        </is>
      </c>
      <c r="AP13" s="81" t="inlineStr">
        <is>
          <t>1405</t>
        </is>
      </c>
      <c r="AR13" s="81" t="inlineStr">
        <is>
          <t>باغدار</t>
        </is>
      </c>
      <c r="AS13" s="81" t="inlineStr">
        <is>
          <t>خرده‌فروش</t>
        </is>
      </c>
      <c r="AU13" s="81" t="inlineStr">
        <is>
          <t>تأمین‌کننده</t>
        </is>
      </c>
      <c r="AW13" s="81" t="inlineStr">
        <is>
          <t>مرجوعی فروش سبد</t>
        </is>
      </c>
      <c r="AX13" s="118" t="inlineStr">
        <is>
          <t>BD004</t>
        </is>
      </c>
      <c r="AZ13" s="81" t="inlineStr">
        <is>
          <t>آبگیری</t>
        </is>
      </c>
      <c r="CA13" s="81" t="inlineStr">
        <is>
          <t>تن</t>
        </is>
      </c>
      <c r="CB13" s="81" t="inlineStr">
        <is>
          <t>گریپ‌فرویت</t>
        </is>
      </c>
      <c r="CF13" s="81" t="inlineStr">
        <is>
          <t>کارت/پوز</t>
        </is>
      </c>
      <c r="CG13" s="81" t="inlineStr">
        <is>
          <t>باطل</t>
        </is>
      </c>
      <c r="CI13" s="81" t="inlineStr">
        <is>
          <t>—</t>
        </is>
      </c>
      <c r="CK13" s="81" t="inlineStr">
        <is>
          <t>—</t>
        </is>
      </c>
      <c r="CL13" s="81" t="inlineStr">
        <is>
          <t>انعام</t>
        </is>
      </c>
      <c r="CN13" s="81" t="inlineStr">
        <is>
          <t>Suppliers</t>
        </is>
      </c>
      <c r="CO13" s="81" t="inlineStr">
        <is>
          <t>—</t>
        </is>
      </c>
      <c r="CP13" s="81" t="inlineStr">
        <is>
          <t>rose</t>
        </is>
      </c>
      <c r="CQ13" s="81" t="inlineStr">
        <is>
          <t>زمستان</t>
        </is>
      </c>
    </row>
    <row r="14">
      <c r="B14" s="118" t="inlineStr">
        <is>
          <t>C005</t>
        </is>
      </c>
      <c r="C14" s="81" t="inlineStr">
        <is>
          <t>بار شخصی قاسم زاهدی</t>
        </is>
      </c>
      <c r="D14" s="118" t="inlineStr">
        <is>
          <t>باغدار</t>
        </is>
      </c>
      <c r="E14" s="81" t="n"/>
      <c r="F14" s="81" t="inlineStr">
        <is>
          <t>طرف حساب</t>
        </is>
      </c>
      <c r="G14" s="119" t="n">
        <v>0</v>
      </c>
      <c r="I14" s="81" t="inlineStr">
        <is>
          <t>انعام مصطفی</t>
        </is>
      </c>
      <c r="J14" s="118" t="inlineStr">
        <is>
          <t>—</t>
        </is>
      </c>
      <c r="K14" s="118" t="inlineStr">
        <is>
          <t>انعام</t>
        </is>
      </c>
      <c r="L14" s="118" t="inlineStr">
        <is>
          <t>خیر</t>
        </is>
      </c>
      <c r="M14" s="118" t="inlineStr">
        <is>
          <t>خیر</t>
        </is>
      </c>
      <c r="N14" s="118" t="inlineStr">
        <is>
          <t>مبلغ</t>
        </is>
      </c>
      <c r="O14" s="118" t="inlineStr">
        <is>
          <t>بستانکار</t>
        </is>
      </c>
      <c r="P14" s="118" t="inlineStr">
        <is>
          <t>X001</t>
        </is>
      </c>
      <c r="Q14" s="118" t="inlineStr">
        <is>
          <t>بدهکار</t>
        </is>
      </c>
      <c r="R14" s="118" t="inlineStr">
        <is>
          <t>هیچ</t>
        </is>
      </c>
      <c r="S14" s="118" t="inlineStr">
        <is>
          <t>—</t>
        </is>
      </c>
      <c r="T14" s="118" t="n"/>
      <c r="U14" s="118" t="n"/>
      <c r="V14" s="118" t="inlineStr">
        <is>
          <t>X011</t>
        </is>
      </c>
      <c r="W14" s="118" t="inlineStr">
        <is>
          <t>بله</t>
        </is>
      </c>
      <c r="Y14" s="81" t="inlineStr">
        <is>
          <t>BK05 – تک‌رج آبی بزرگ</t>
        </is>
      </c>
      <c r="Z14" s="118" t="inlineStr">
        <is>
          <t>BK05</t>
        </is>
      </c>
      <c r="AA14" s="81" t="inlineStr">
        <is>
          <t>تک‌رج آبی بزرگ</t>
        </is>
      </c>
      <c r="AB14" s="119" t="n">
        <v>2</v>
      </c>
      <c r="AC14" s="119" t="n">
        <v>10</v>
      </c>
      <c r="AD14" s="119" t="n">
        <v>70000</v>
      </c>
      <c r="AE14" s="119" t="n">
        <v>85000</v>
      </c>
      <c r="AF14" s="119" t="n">
        <v>250</v>
      </c>
      <c r="AH14" s="81" t="inlineStr">
        <is>
          <t>پرتقال یافا</t>
        </is>
      </c>
      <c r="AI14" s="81" t="inlineStr">
        <is>
          <t>پرتقال</t>
        </is>
      </c>
      <c r="AK14" s="118" t="inlineStr">
        <is>
          <t>BN05</t>
        </is>
      </c>
      <c r="AL14" s="81" t="inlineStr">
        <is>
          <t>سپه</t>
        </is>
      </c>
      <c r="AM14" s="119" t="n">
        <v>0</v>
      </c>
      <c r="AN14" s="118" t="inlineStr">
        <is>
          <t>BN05</t>
        </is>
      </c>
      <c r="AO14" s="118" t="inlineStr">
        <is>
          <t>P05</t>
        </is>
      </c>
      <c r="AP14" s="119" t="n">
        <v>100</v>
      </c>
      <c r="AR14" s="81" t="inlineStr">
        <is>
          <t>باغدار</t>
        </is>
      </c>
      <c r="AS14" s="81" t="inlineStr">
        <is>
          <t>صادراتی</t>
        </is>
      </c>
      <c r="AU14" s="81" t="inlineStr">
        <is>
          <t>کارمند</t>
        </is>
      </c>
      <c r="AW14" s="81" t="inlineStr">
        <is>
          <t>انتقال سبد بین انبار</t>
        </is>
      </c>
      <c r="AX14" s="118" t="inlineStr">
        <is>
          <t>BD005</t>
        </is>
      </c>
      <c r="AZ14" s="81" t="inlineStr">
        <is>
          <t>انعام مصطفی</t>
        </is>
      </c>
      <c r="CA14" s="81" t="inlineStr">
        <is>
          <t>عدد</t>
        </is>
      </c>
      <c r="CB14" s="81" t="inlineStr">
        <is>
          <t>سایر</t>
        </is>
      </c>
      <c r="CF14" s="81" t="inlineStr">
        <is>
          <t>پاس چک</t>
        </is>
      </c>
      <c r="CL14" s="81" t="inlineStr">
        <is>
          <t>باسکول دیگران</t>
        </is>
      </c>
      <c r="CN14" s="81" t="inlineStr">
        <is>
          <t>Staff</t>
        </is>
      </c>
      <c r="CP14" s="81" t="inlineStr">
        <is>
          <t>sand</t>
        </is>
      </c>
    </row>
    <row r="15">
      <c r="B15" s="118" t="inlineStr">
        <is>
          <t>C006</t>
        </is>
      </c>
      <c r="C15" s="81" t="inlineStr">
        <is>
          <t>هوشنگ عیسی پور</t>
        </is>
      </c>
      <c r="D15" s="118" t="inlineStr">
        <is>
          <t>باغدار</t>
        </is>
      </c>
      <c r="E15" s="81" t="n"/>
      <c r="F15" s="81" t="inlineStr">
        <is>
          <t>طرف حساب</t>
        </is>
      </c>
      <c r="G15" s="119" t="n">
        <v>0</v>
      </c>
      <c r="I15" s="81" t="inlineStr">
        <is>
          <t>باسکول دیگران</t>
        </is>
      </c>
      <c r="J15" s="118" t="inlineStr">
        <is>
          <t>—</t>
        </is>
      </c>
      <c r="K15" s="118" t="inlineStr">
        <is>
          <t>باسکول دیگران</t>
        </is>
      </c>
      <c r="L15" s="118" t="inlineStr">
        <is>
          <t>خیر</t>
        </is>
      </c>
      <c r="M15" s="118" t="inlineStr">
        <is>
          <t>بله</t>
        </is>
      </c>
      <c r="N15" s="118" t="inlineStr">
        <is>
          <t>مبلغ</t>
        </is>
      </c>
      <c r="O15" s="118" t="inlineStr">
        <is>
          <t>بدهکار</t>
        </is>
      </c>
      <c r="P15" s="118" t="inlineStr">
        <is>
          <t>X002</t>
        </is>
      </c>
      <c r="Q15" s="118" t="inlineStr">
        <is>
          <t>بستانکار</t>
        </is>
      </c>
      <c r="R15" s="118" t="inlineStr">
        <is>
          <t>هیچ</t>
        </is>
      </c>
      <c r="S15" s="118" t="inlineStr">
        <is>
          <t>—</t>
        </is>
      </c>
      <c r="T15" s="118" t="n"/>
      <c r="U15" s="118" t="n"/>
      <c r="V15" s="118" t="n"/>
      <c r="W15" s="118" t="inlineStr">
        <is>
          <t>بله</t>
        </is>
      </c>
      <c r="Y15" s="81" t="inlineStr">
        <is>
          <t>BK06 – آبی ۲۵×۲۰</t>
        </is>
      </c>
      <c r="Z15" s="118" t="inlineStr">
        <is>
          <t>BK06</t>
        </is>
      </c>
      <c r="AA15" s="81" t="inlineStr">
        <is>
          <t>آبی ۲۵×۲۰</t>
        </is>
      </c>
      <c r="AB15" s="119" t="n">
        <v>1.1</v>
      </c>
      <c r="AC15" s="119" t="n">
        <v>4</v>
      </c>
      <c r="AD15" s="119" t="n">
        <v>35000</v>
      </c>
      <c r="AE15" s="119" t="n">
        <v>45000</v>
      </c>
      <c r="AF15" s="119" t="n">
        <v>150</v>
      </c>
      <c r="AH15" s="81" t="inlineStr">
        <is>
          <t>نارنگی پیچ</t>
        </is>
      </c>
      <c r="AI15" s="81" t="inlineStr">
        <is>
          <t>نارنگی</t>
        </is>
      </c>
      <c r="AK15" s="118" t="inlineStr">
        <is>
          <t>BN06</t>
        </is>
      </c>
      <c r="AL15" s="81" t="inlineStr">
        <is>
          <t>مهر ایران</t>
        </is>
      </c>
      <c r="AM15" s="119" t="n">
        <v>0</v>
      </c>
      <c r="AN15" s="118" t="inlineStr">
        <is>
          <t>BN06</t>
        </is>
      </c>
      <c r="AO15" s="118" t="inlineStr">
        <is>
          <t>P06</t>
        </is>
      </c>
      <c r="AP15" s="119" t="n">
        <v>0</v>
      </c>
      <c r="AR15" s="81" t="inlineStr">
        <is>
          <t>باغدار</t>
        </is>
      </c>
      <c r="AS15" s="81" t="inlineStr">
        <is>
          <t>میدان بار</t>
        </is>
      </c>
      <c r="AU15" s="81" t="inlineStr">
        <is>
          <t>سایر حساب</t>
        </is>
      </c>
      <c r="AX15" s="118" t="inlineStr">
        <is>
          <t>BD006</t>
        </is>
      </c>
      <c r="AZ15" s="81" t="inlineStr">
        <is>
          <t>باسکول دیگران</t>
        </is>
      </c>
      <c r="CA15" s="81" t="inlineStr">
        <is>
          <t>ریال</t>
        </is>
      </c>
      <c r="CF15" s="81" t="inlineStr">
        <is>
          <t>انتقال داخلی</t>
        </is>
      </c>
      <c r="CL15" s="81" t="inlineStr">
        <is>
          <t>درآمد</t>
        </is>
      </c>
      <c r="CN15" s="81" t="inlineStr">
        <is>
          <t>Other</t>
        </is>
      </c>
      <c r="CP15" s="81" t="inlineStr">
        <is>
          <t>grey</t>
        </is>
      </c>
    </row>
    <row r="16">
      <c r="B16" s="118" t="inlineStr">
        <is>
          <t>C007</t>
        </is>
      </c>
      <c r="C16" s="81" t="inlineStr">
        <is>
          <t>علی آهنگر</t>
        </is>
      </c>
      <c r="D16" s="118" t="inlineStr">
        <is>
          <t>باغدار</t>
        </is>
      </c>
      <c r="E16" s="81" t="n"/>
      <c r="F16" s="81" t="inlineStr">
        <is>
          <t>طرف حساب</t>
        </is>
      </c>
      <c r="G16" s="119" t="n">
        <v>0</v>
      </c>
      <c r="I16" s="81" t="inlineStr">
        <is>
          <t>درآمد پوز باسکول (بدون طرف)</t>
        </is>
      </c>
      <c r="J16" s="118" t="inlineStr">
        <is>
          <t>—</t>
        </is>
      </c>
      <c r="K16" s="118" t="inlineStr">
        <is>
          <t>درآمد</t>
        </is>
      </c>
      <c r="L16" s="118" t="inlineStr">
        <is>
          <t>خیر</t>
        </is>
      </c>
      <c r="M16" s="118" t="inlineStr">
        <is>
          <t>خیر</t>
        </is>
      </c>
      <c r="N16" s="118" t="inlineStr">
        <is>
          <t>مبلغ</t>
        </is>
      </c>
      <c r="O16" s="118" t="inlineStr">
        <is>
          <t>—</t>
        </is>
      </c>
      <c r="P16" s="118" t="n"/>
      <c r="Q16" s="118" t="inlineStr">
        <is>
          <t>—</t>
        </is>
      </c>
      <c r="R16" s="118" t="inlineStr">
        <is>
          <t>پوز</t>
        </is>
      </c>
      <c r="S16" s="118" t="inlineStr">
        <is>
          <t>بدهکار</t>
        </is>
      </c>
      <c r="T16" s="118" t="inlineStr">
        <is>
          <t>X011</t>
        </is>
      </c>
      <c r="U16" s="118" t="inlineStr">
        <is>
          <t>X002</t>
        </is>
      </c>
      <c r="V16" s="118" t="n"/>
      <c r="W16" s="118" t="inlineStr">
        <is>
          <t>بله</t>
        </is>
      </c>
      <c r="Y16" s="81" t="inlineStr">
        <is>
          <t>BK07 – ۸ک مشکی</t>
        </is>
      </c>
      <c r="Z16" s="118" t="inlineStr">
        <is>
          <t>BK07</t>
        </is>
      </c>
      <c r="AA16" s="81" t="inlineStr">
        <is>
          <t>۸ک مشکی</t>
        </is>
      </c>
      <c r="AB16" s="119" t="n">
        <v>1.8</v>
      </c>
      <c r="AC16" s="119" t="n">
        <v>8</v>
      </c>
      <c r="AD16" s="119" t="n">
        <v>58000</v>
      </c>
      <c r="AE16" s="119" t="n">
        <v>70000</v>
      </c>
      <c r="AF16" s="119" t="n">
        <v>200</v>
      </c>
      <c r="AH16" s="81" t="inlineStr">
        <is>
          <t>نارنگی ژاپنی</t>
        </is>
      </c>
      <c r="AI16" s="81" t="inlineStr">
        <is>
          <t>نارنگی</t>
        </is>
      </c>
      <c r="AK16" s="118" t="inlineStr">
        <is>
          <t>BN07</t>
        </is>
      </c>
      <c r="AL16" s="81" t="inlineStr">
        <is>
          <t>تجارت</t>
        </is>
      </c>
      <c r="AM16" s="119" t="n">
        <v>0</v>
      </c>
      <c r="AN16" s="118" t="inlineStr">
        <is>
          <t>BN07</t>
        </is>
      </c>
      <c r="AO16" s="118" t="inlineStr">
        <is>
          <t>P07</t>
        </is>
      </c>
      <c r="AP16" s="81" t="inlineStr">
        <is>
          <t>خرید-</t>
        </is>
      </c>
      <c r="AR16" s="81" t="inlineStr">
        <is>
          <t>بارفروش</t>
        </is>
      </c>
      <c r="AS16" s="81" t="inlineStr">
        <is>
          <t>میدان بار شهرستان</t>
        </is>
      </c>
      <c r="AU16" s="81" t="inlineStr">
        <is>
          <t>باسکول دیگران</t>
        </is>
      </c>
      <c r="AX16" s="118" t="inlineStr">
        <is>
          <t>BD007</t>
        </is>
      </c>
      <c r="AZ16" s="81" t="inlineStr">
        <is>
          <t>درآمد پوز باسکول (بدون طرف)</t>
        </is>
      </c>
      <c r="CL16" s="81" t="inlineStr">
        <is>
          <t>هزینه</t>
        </is>
      </c>
      <c r="CN16" s="81" t="inlineStr">
        <is>
          <t>OtherScales</t>
        </is>
      </c>
      <c r="CP16" s="81" t="inlineStr">
        <is>
          <t>teal</t>
        </is>
      </c>
    </row>
    <row r="17">
      <c r="B17" s="118" t="inlineStr">
        <is>
          <t>C008</t>
        </is>
      </c>
      <c r="C17" s="81" t="inlineStr">
        <is>
          <t>صفدر مسلمی</t>
        </is>
      </c>
      <c r="D17" s="118" t="inlineStr">
        <is>
          <t>باغدار</t>
        </is>
      </c>
      <c r="E17" s="81" t="n"/>
      <c r="F17" s="81" t="inlineStr">
        <is>
          <t>طرف حساب</t>
        </is>
      </c>
      <c r="G17" s="119" t="n">
        <v>0</v>
      </c>
      <c r="I17" s="81" t="inlineStr">
        <is>
          <t>مرجوعی خرید</t>
        </is>
      </c>
      <c r="J17" s="118" t="inlineStr">
        <is>
          <t>خروج</t>
        </is>
      </c>
      <c r="K17" s="118" t="inlineStr">
        <is>
          <t>خرید</t>
        </is>
      </c>
      <c r="L17" s="118" t="inlineStr">
        <is>
          <t>بله</t>
        </is>
      </c>
      <c r="M17" s="118" t="inlineStr">
        <is>
          <t>بله</t>
        </is>
      </c>
      <c r="N17" s="118" t="inlineStr">
        <is>
          <t>وزن</t>
        </is>
      </c>
      <c r="O17" s="118" t="inlineStr">
        <is>
          <t>بدهکار</t>
        </is>
      </c>
      <c r="P17" s="118" t="inlineStr">
        <is>
          <t>X004</t>
        </is>
      </c>
      <c r="Q17" s="118" t="inlineStr">
        <is>
          <t>بستانکار</t>
        </is>
      </c>
      <c r="R17" s="118" t="inlineStr">
        <is>
          <t>افزودن</t>
        </is>
      </c>
      <c r="S17" s="118" t="inlineStr">
        <is>
          <t>—</t>
        </is>
      </c>
      <c r="T17" s="118" t="n"/>
      <c r="U17" s="118" t="n"/>
      <c r="V17" s="118" t="n"/>
      <c r="W17" s="118" t="inlineStr">
        <is>
          <t>بله</t>
        </is>
      </c>
      <c r="Y17" s="81" t="inlineStr">
        <is>
          <t xml:space="preserve">BK08 – </t>
        </is>
      </c>
      <c r="Z17" s="118" t="inlineStr">
        <is>
          <t>BK08</t>
        </is>
      </c>
      <c r="AA17" s="81" t="n"/>
      <c r="AB17" s="119" t="n">
        <v>1.5</v>
      </c>
      <c r="AC17" s="119" t="n">
        <v>6</v>
      </c>
      <c r="AD17" s="119" t="n">
        <v>0</v>
      </c>
      <c r="AE17" s="119" t="n">
        <v>0</v>
      </c>
      <c r="AF17" s="119" t="n">
        <v>0</v>
      </c>
      <c r="AH17" s="81" t="inlineStr">
        <is>
          <t>نارنگی اونشو</t>
        </is>
      </c>
      <c r="AI17" s="81" t="inlineStr">
        <is>
          <t>نارنگی</t>
        </is>
      </c>
      <c r="AK17" s="118" t="inlineStr">
        <is>
          <t>BN08</t>
        </is>
      </c>
      <c r="AL17" s="81" t="inlineStr">
        <is>
          <t>پاسارگاد</t>
        </is>
      </c>
      <c r="AM17" s="119" t="n">
        <v>0</v>
      </c>
      <c r="AN17" s="118" t="inlineStr">
        <is>
          <t>BN08</t>
        </is>
      </c>
      <c r="AO17" s="118" t="inlineStr">
        <is>
          <t>P08</t>
        </is>
      </c>
      <c r="AP17" s="81" t="inlineStr">
        <is>
          <t>فروش-</t>
        </is>
      </c>
      <c r="AR17" s="81" t="inlineStr">
        <is>
          <t>بارفروش</t>
        </is>
      </c>
      <c r="AS17" s="81" t="inlineStr">
        <is>
          <t>حجره‌دار</t>
        </is>
      </c>
      <c r="AU17" s="81" t="inlineStr">
        <is>
          <t>دارایی ثابت</t>
        </is>
      </c>
      <c r="AX17" s="118" t="inlineStr">
        <is>
          <t>BD008</t>
        </is>
      </c>
      <c r="AZ17" s="81" t="inlineStr">
        <is>
          <t>مرجوعی خرید</t>
        </is>
      </c>
      <c r="CL17" s="81" t="inlineStr">
        <is>
          <t>انتقال</t>
        </is>
      </c>
      <c r="CN17" s="81" t="inlineStr">
        <is>
          <t>Assets</t>
        </is>
      </c>
      <c r="CP17" s="81" t="inlineStr">
        <is>
          <t>peach</t>
        </is>
      </c>
    </row>
    <row r="18">
      <c r="B18" s="118" t="inlineStr">
        <is>
          <t>C009</t>
        </is>
      </c>
      <c r="C18" s="81" t="inlineStr">
        <is>
          <t>همایون بابایی</t>
        </is>
      </c>
      <c r="D18" s="118" t="inlineStr">
        <is>
          <t>باغدار</t>
        </is>
      </c>
      <c r="E18" s="81" t="n"/>
      <c r="F18" s="81" t="inlineStr">
        <is>
          <t>طرف حساب</t>
        </is>
      </c>
      <c r="G18" s="119" t="n">
        <v>0</v>
      </c>
      <c r="I18" s="81" t="inlineStr">
        <is>
          <t>مرجوعی فروش</t>
        </is>
      </c>
      <c r="J18" s="118" t="inlineStr">
        <is>
          <t>ورود</t>
        </is>
      </c>
      <c r="K18" s="118" t="inlineStr">
        <is>
          <t>فروش</t>
        </is>
      </c>
      <c r="L18" s="118" t="inlineStr">
        <is>
          <t>بله</t>
        </is>
      </c>
      <c r="M18" s="118" t="inlineStr">
        <is>
          <t>بله</t>
        </is>
      </c>
      <c r="N18" s="118" t="inlineStr">
        <is>
          <t>وزن</t>
        </is>
      </c>
      <c r="O18" s="118" t="inlineStr">
        <is>
          <t>بستانکار</t>
        </is>
      </c>
      <c r="P18" s="118" t="inlineStr">
        <is>
          <t>X006</t>
        </is>
      </c>
      <c r="Q18" s="118" t="inlineStr">
        <is>
          <t>بدهکار</t>
        </is>
      </c>
      <c r="R18" s="118" t="inlineStr">
        <is>
          <t>هیچ</t>
        </is>
      </c>
      <c r="S18" s="118" t="inlineStr">
        <is>
          <t>—</t>
        </is>
      </c>
      <c r="T18" s="118" t="n"/>
      <c r="U18" s="118" t="n"/>
      <c r="V18" s="118" t="n"/>
      <c r="W18" s="118" t="inlineStr">
        <is>
          <t>بله</t>
        </is>
      </c>
      <c r="Y18" s="81" t="inlineStr">
        <is>
          <t xml:space="preserve">BK09 – </t>
        </is>
      </c>
      <c r="Z18" s="118" t="inlineStr">
        <is>
          <t>BK09</t>
        </is>
      </c>
      <c r="AA18" s="81" t="n"/>
      <c r="AB18" s="119" t="n">
        <v>1.5</v>
      </c>
      <c r="AC18" s="119" t="n">
        <v>6</v>
      </c>
      <c r="AD18" s="119" t="n">
        <v>0</v>
      </c>
      <c r="AE18" s="119" t="n">
        <v>0</v>
      </c>
      <c r="AF18" s="119" t="n">
        <v>0</v>
      </c>
      <c r="AH18" s="81" t="inlineStr">
        <is>
          <t>نارنگی یافا</t>
        </is>
      </c>
      <c r="AI18" s="81" t="inlineStr">
        <is>
          <t>نارنگی</t>
        </is>
      </c>
      <c r="AK18" s="118" t="inlineStr">
        <is>
          <t>BN09</t>
        </is>
      </c>
      <c r="AL18" s="81" t="inlineStr">
        <is>
          <t>رفاه</t>
        </is>
      </c>
      <c r="AM18" s="119" t="n">
        <v>0</v>
      </c>
      <c r="AN18" s="118" t="inlineStr">
        <is>
          <t>BN09</t>
        </is>
      </c>
      <c r="AO18" s="118" t="inlineStr">
        <is>
          <t>P09</t>
        </is>
      </c>
      <c r="AP18" s="119" t="n">
        <v>500000000</v>
      </c>
      <c r="AR18" s="81" t="inlineStr">
        <is>
          <t>بارفروش</t>
        </is>
      </c>
      <c r="AS18" s="81" t="inlineStr">
        <is>
          <t>صادراتی</t>
        </is>
      </c>
      <c r="AU18" s="81" t="inlineStr">
        <is>
          <t>وام و تسهیلات</t>
        </is>
      </c>
      <c r="AX18" s="118" t="inlineStr">
        <is>
          <t>BD009</t>
        </is>
      </c>
      <c r="AZ18" s="81" t="inlineStr">
        <is>
          <t>مرجوعی فروش</t>
        </is>
      </c>
      <c r="CL18" s="81" t="inlineStr">
        <is>
          <t>سایر</t>
        </is>
      </c>
      <c r="CN18" s="81" t="inlineStr">
        <is>
          <t>Liabilities</t>
        </is>
      </c>
    </row>
    <row r="19">
      <c r="B19" s="118" t="inlineStr">
        <is>
          <t>C010</t>
        </is>
      </c>
      <c r="C19" s="81" t="inlineStr">
        <is>
          <t>دبیر فرجی</t>
        </is>
      </c>
      <c r="D19" s="118" t="inlineStr">
        <is>
          <t>باغدار</t>
        </is>
      </c>
      <c r="E19" s="81" t="n"/>
      <c r="F19" s="81" t="inlineStr">
        <is>
          <t>طرف حساب</t>
        </is>
      </c>
      <c r="G19" s="119" t="n">
        <v>0</v>
      </c>
      <c r="I19" s="81" t="inlineStr">
        <is>
          <t>ضایعات / افت انبار</t>
        </is>
      </c>
      <c r="J19" s="118" t="inlineStr">
        <is>
          <t>خروج</t>
        </is>
      </c>
      <c r="K19" s="118" t="inlineStr">
        <is>
          <t>هزینه</t>
        </is>
      </c>
      <c r="L19" s="118" t="inlineStr">
        <is>
          <t>بله</t>
        </is>
      </c>
      <c r="M19" s="118" t="inlineStr">
        <is>
          <t>بله</t>
        </is>
      </c>
      <c r="N19" s="118" t="inlineStr">
        <is>
          <t>وزن</t>
        </is>
      </c>
      <c r="O19" s="118" t="inlineStr">
        <is>
          <t>بستانکار</t>
        </is>
      </c>
      <c r="P19" s="118" t="inlineStr">
        <is>
          <t>X009</t>
        </is>
      </c>
      <c r="Q19" s="118" t="inlineStr">
        <is>
          <t>بدهکار</t>
        </is>
      </c>
      <c r="R19" s="118" t="inlineStr">
        <is>
          <t>هیچ</t>
        </is>
      </c>
      <c r="S19" s="118" t="inlineStr">
        <is>
          <t>—</t>
        </is>
      </c>
      <c r="T19" s="118" t="n"/>
      <c r="U19" s="118" t="n"/>
      <c r="V19" s="118" t="inlineStr">
        <is>
          <t>X004</t>
        </is>
      </c>
      <c r="W19" s="118" t="inlineStr">
        <is>
          <t>بله</t>
        </is>
      </c>
      <c r="Y19" s="81" t="inlineStr">
        <is>
          <t xml:space="preserve">BK10 – </t>
        </is>
      </c>
      <c r="Z19" s="118" t="inlineStr">
        <is>
          <t>BK10</t>
        </is>
      </c>
      <c r="AA19" s="81" t="n"/>
      <c r="AB19" s="119" t="n">
        <v>1.5</v>
      </c>
      <c r="AC19" s="119" t="n">
        <v>6</v>
      </c>
      <c r="AD19" s="119" t="n">
        <v>0</v>
      </c>
      <c r="AE19" s="119" t="n">
        <v>0</v>
      </c>
      <c r="AF19" s="119" t="n">
        <v>0</v>
      </c>
      <c r="AH19" s="81" t="inlineStr">
        <is>
          <t>لیمو شیرین</t>
        </is>
      </c>
      <c r="AI19" s="81" t="inlineStr">
        <is>
          <t>لیمو</t>
        </is>
      </c>
      <c r="AK19" s="118" t="inlineStr">
        <is>
          <t>BN10</t>
        </is>
      </c>
      <c r="AL19" s="81" t="inlineStr">
        <is>
          <t>قرض‌الحسنه</t>
        </is>
      </c>
      <c r="AM19" s="119" t="n">
        <v>0</v>
      </c>
      <c r="AN19" s="118" t="inlineStr">
        <is>
          <t>BN10</t>
        </is>
      </c>
      <c r="AO19" s="118" t="inlineStr">
        <is>
          <t>P10</t>
        </is>
      </c>
      <c r="AP19" s="119" t="n">
        <v>30</v>
      </c>
      <c r="AR19" s="81" t="inlineStr">
        <is>
          <t>بارفروش</t>
        </is>
      </c>
      <c r="AS19" s="81" t="inlineStr">
        <is>
          <t>واسطه</t>
        </is>
      </c>
      <c r="AU19" s="81" t="inlineStr">
        <is>
          <t>سرمایه و آورده صاحبان</t>
        </is>
      </c>
      <c r="AX19" s="118" t="inlineStr">
        <is>
          <t>BD010</t>
        </is>
      </c>
      <c r="AZ19" s="81" t="inlineStr">
        <is>
          <t>ضایعات / افت انبار</t>
        </is>
      </c>
      <c r="CL19" s="81" t="inlineStr">
        <is>
          <t>تعدیل</t>
        </is>
      </c>
      <c r="CN19" s="81" t="inlineStr">
        <is>
          <t>Equity</t>
        </is>
      </c>
    </row>
    <row r="20">
      <c r="B20" s="118" t="inlineStr">
        <is>
          <t>C011</t>
        </is>
      </c>
      <c r="C20" s="81" t="inlineStr">
        <is>
          <t>محمود علیجانی</t>
        </is>
      </c>
      <c r="D20" s="118" t="inlineStr">
        <is>
          <t>باغدار</t>
        </is>
      </c>
      <c r="E20" s="81" t="n"/>
      <c r="F20" s="81" t="inlineStr">
        <is>
          <t>طرف حساب</t>
        </is>
      </c>
      <c r="G20" s="119" t="n">
        <v>0</v>
      </c>
      <c r="I20" s="81" t="inlineStr">
        <is>
          <t>انتقال بین انبار</t>
        </is>
      </c>
      <c r="J20" s="118" t="inlineStr">
        <is>
          <t>خروج</t>
        </is>
      </c>
      <c r="K20" s="118" t="inlineStr">
        <is>
          <t>انتقال</t>
        </is>
      </c>
      <c r="L20" s="118" t="inlineStr">
        <is>
          <t>بله</t>
        </is>
      </c>
      <c r="M20" s="118" t="inlineStr">
        <is>
          <t>خیر</t>
        </is>
      </c>
      <c r="N20" s="118" t="inlineStr">
        <is>
          <t>هیچ</t>
        </is>
      </c>
      <c r="O20" s="118" t="inlineStr">
        <is>
          <t>—</t>
        </is>
      </c>
      <c r="P20" s="118" t="n"/>
      <c r="Q20" s="118" t="inlineStr">
        <is>
          <t>—</t>
        </is>
      </c>
      <c r="R20" s="118" t="inlineStr">
        <is>
          <t>هیچ</t>
        </is>
      </c>
      <c r="S20" s="118" t="inlineStr">
        <is>
          <t>—</t>
        </is>
      </c>
      <c r="T20" s="118" t="n"/>
      <c r="U20" s="118" t="n"/>
      <c r="V20" s="118" t="n"/>
      <c r="W20" s="118" t="inlineStr">
        <is>
          <t>بله</t>
        </is>
      </c>
      <c r="Y20" s="81" t="inlineStr">
        <is>
          <t xml:space="preserve">BK11 – </t>
        </is>
      </c>
      <c r="Z20" s="118" t="inlineStr">
        <is>
          <t>BK11</t>
        </is>
      </c>
      <c r="AA20" s="81" t="n"/>
      <c r="AB20" s="119" t="n">
        <v>1.5</v>
      </c>
      <c r="AC20" s="119" t="n">
        <v>6</v>
      </c>
      <c r="AD20" s="119" t="n">
        <v>0</v>
      </c>
      <c r="AE20" s="119" t="n">
        <v>0</v>
      </c>
      <c r="AF20" s="119" t="n">
        <v>0</v>
      </c>
      <c r="AH20" s="81" t="inlineStr">
        <is>
          <t>لیمو ترش</t>
        </is>
      </c>
      <c r="AI20" s="81" t="inlineStr">
        <is>
          <t>لیمو</t>
        </is>
      </c>
      <c r="AO20" s="118" t="inlineStr">
        <is>
          <t>P11</t>
        </is>
      </c>
      <c r="AP20" s="81" t="inlineStr">
        <is>
          <t>ریال</t>
        </is>
      </c>
      <c r="AR20" s="81" t="inlineStr">
        <is>
          <t>بارفروش</t>
        </is>
      </c>
      <c r="AS20" s="81" t="inlineStr">
        <is>
          <t>نقدی</t>
        </is>
      </c>
      <c r="AU20" s="81" t="inlineStr">
        <is>
          <t>بانک و صندوق</t>
        </is>
      </c>
      <c r="AX20" s="118" t="inlineStr">
        <is>
          <t>BD011</t>
        </is>
      </c>
      <c r="AZ20" s="81" t="inlineStr">
        <is>
          <t>انتقال بین انبار</t>
        </is>
      </c>
    </row>
    <row r="21">
      <c r="B21" s="118" t="inlineStr">
        <is>
          <t>C012</t>
        </is>
      </c>
      <c r="C21" s="81" t="inlineStr">
        <is>
          <t>افشین بشتکار</t>
        </is>
      </c>
      <c r="D21" s="118" t="inlineStr">
        <is>
          <t>باغدار</t>
        </is>
      </c>
      <c r="E21" s="81" t="n"/>
      <c r="F21" s="81" t="inlineStr">
        <is>
          <t>طرف حساب</t>
        </is>
      </c>
      <c r="G21" s="119" t="n">
        <v>0</v>
      </c>
      <c r="I21" s="81" t="inlineStr">
        <is>
          <t>سایر ورود</t>
        </is>
      </c>
      <c r="J21" s="118" t="inlineStr">
        <is>
          <t>ورود</t>
        </is>
      </c>
      <c r="K21" s="118" t="inlineStr">
        <is>
          <t>سایر</t>
        </is>
      </c>
      <c r="L21" s="118" t="inlineStr">
        <is>
          <t>بله</t>
        </is>
      </c>
      <c r="M21" s="118" t="inlineStr">
        <is>
          <t>بله</t>
        </is>
      </c>
      <c r="N21" s="118" t="inlineStr">
        <is>
          <t>وزن</t>
        </is>
      </c>
      <c r="O21" s="118" t="inlineStr">
        <is>
          <t>بستانکار</t>
        </is>
      </c>
      <c r="P21" s="118" t="inlineStr">
        <is>
          <t>X011</t>
        </is>
      </c>
      <c r="Q21" s="118" t="inlineStr">
        <is>
          <t>بدهکار</t>
        </is>
      </c>
      <c r="R21" s="118" t="inlineStr">
        <is>
          <t>افزودن</t>
        </is>
      </c>
      <c r="S21" s="118" t="inlineStr">
        <is>
          <t>—</t>
        </is>
      </c>
      <c r="T21" s="118" t="n"/>
      <c r="U21" s="118" t="n"/>
      <c r="V21" s="118" t="n"/>
      <c r="W21" s="118" t="inlineStr">
        <is>
          <t>بله</t>
        </is>
      </c>
      <c r="Y21" s="81" t="inlineStr">
        <is>
          <t xml:space="preserve">BK12 – </t>
        </is>
      </c>
      <c r="Z21" s="118" t="inlineStr">
        <is>
          <t>BK12</t>
        </is>
      </c>
      <c r="AA21" s="81" t="n"/>
      <c r="AB21" s="119" t="n">
        <v>1.5</v>
      </c>
      <c r="AC21" s="119" t="n">
        <v>6</v>
      </c>
      <c r="AD21" s="119" t="n">
        <v>0</v>
      </c>
      <c r="AE21" s="119" t="n">
        <v>0</v>
      </c>
      <c r="AF21" s="119" t="n">
        <v>0</v>
      </c>
      <c r="AH21" s="81" t="inlineStr">
        <is>
          <t>کامکوات</t>
        </is>
      </c>
      <c r="AI21" s="81" t="inlineStr">
        <is>
          <t>سایر</t>
        </is>
      </c>
      <c r="AO21" s="118" t="inlineStr">
        <is>
          <t>P12</t>
        </is>
      </c>
      <c r="AP21" s="81" t="inlineStr">
        <is>
          <t>خیر</t>
        </is>
      </c>
      <c r="AR21" s="81" t="inlineStr">
        <is>
          <t>فروشنده سبد</t>
        </is>
      </c>
      <c r="AS21" s="81" t="inlineStr">
        <is>
          <t>سبد پلاستیکی</t>
        </is>
      </c>
      <c r="AX21" s="118" t="inlineStr">
        <is>
          <t>BD012</t>
        </is>
      </c>
      <c r="AZ21" s="81" t="inlineStr">
        <is>
          <t>سایر ورود</t>
        </is>
      </c>
    </row>
    <row r="22">
      <c r="B22" s="118" t="inlineStr">
        <is>
          <t>C013</t>
        </is>
      </c>
      <c r="C22" s="81" t="inlineStr">
        <is>
          <t>میرقربان موسویان</t>
        </is>
      </c>
      <c r="D22" s="118" t="inlineStr">
        <is>
          <t>باغدار</t>
        </is>
      </c>
      <c r="E22" s="81" t="n"/>
      <c r="F22" s="81" t="inlineStr">
        <is>
          <t>طرف حساب</t>
        </is>
      </c>
      <c r="G22" s="119" t="n">
        <v>0</v>
      </c>
      <c r="I22" s="81" t="inlineStr">
        <is>
          <t>سایر خروج</t>
        </is>
      </c>
      <c r="J22" s="118" t="inlineStr">
        <is>
          <t>خروج</t>
        </is>
      </c>
      <c r="K22" s="118" t="inlineStr">
        <is>
          <t>سایر</t>
        </is>
      </c>
      <c r="L22" s="118" t="inlineStr">
        <is>
          <t>بله</t>
        </is>
      </c>
      <c r="M22" s="118" t="inlineStr">
        <is>
          <t>بله</t>
        </is>
      </c>
      <c r="N22" s="118" t="inlineStr">
        <is>
          <t>مبلغ</t>
        </is>
      </c>
      <c r="O22" s="118" t="inlineStr">
        <is>
          <t>بدهکار</t>
        </is>
      </c>
      <c r="P22" s="118" t="inlineStr">
        <is>
          <t>X002</t>
        </is>
      </c>
      <c r="Q22" s="118" t="inlineStr">
        <is>
          <t>بستانکار</t>
        </is>
      </c>
      <c r="R22" s="118" t="inlineStr">
        <is>
          <t>هیچ</t>
        </is>
      </c>
      <c r="S22" s="118" t="inlineStr">
        <is>
          <t>—</t>
        </is>
      </c>
      <c r="T22" s="118" t="n"/>
      <c r="U22" s="118" t="n"/>
      <c r="V22" s="118" t="inlineStr">
        <is>
          <t>X011</t>
        </is>
      </c>
      <c r="W22" s="118" t="inlineStr">
        <is>
          <t>بله</t>
        </is>
      </c>
      <c r="AH22" s="81" t="inlineStr">
        <is>
          <t>گریپ‌فرویت</t>
        </is>
      </c>
      <c r="AI22" s="81" t="inlineStr">
        <is>
          <t>گریپ‌فرویت</t>
        </is>
      </c>
      <c r="AR22" s="81" t="inlineStr">
        <is>
          <t>فروشنده سبد</t>
        </is>
      </c>
      <c r="AS22" s="81" t="inlineStr">
        <is>
          <t>سبد چوبی</t>
        </is>
      </c>
      <c r="AX22" s="118" t="inlineStr">
        <is>
          <t>BD013</t>
        </is>
      </c>
      <c r="AZ22" s="81" t="inlineStr">
        <is>
          <t>سایر خروج</t>
        </is>
      </c>
    </row>
    <row r="23">
      <c r="B23" s="118" t="inlineStr">
        <is>
          <t>C014</t>
        </is>
      </c>
      <c r="C23" s="81" t="inlineStr">
        <is>
          <t>باباجانی (تراجیکلا)</t>
        </is>
      </c>
      <c r="D23" s="118" t="inlineStr">
        <is>
          <t>باغدار</t>
        </is>
      </c>
      <c r="E23" s="81" t="n"/>
      <c r="F23" s="81" t="inlineStr">
        <is>
          <t>طرف حساب</t>
        </is>
      </c>
      <c r="G23" s="119" t="n">
        <v>0</v>
      </c>
      <c r="I23" s="81" t="inlineStr">
        <is>
          <t>هزینه باسکول نقدی (درآمد)</t>
        </is>
      </c>
      <c r="J23" s="118" t="inlineStr">
        <is>
          <t>—</t>
        </is>
      </c>
      <c r="K23" s="118" t="inlineStr">
        <is>
          <t>درآمد</t>
        </is>
      </c>
      <c r="L23" s="118" t="inlineStr">
        <is>
          <t>خیر</t>
        </is>
      </c>
      <c r="M23" s="118" t="inlineStr">
        <is>
          <t>خیر</t>
        </is>
      </c>
      <c r="N23" s="118" t="inlineStr">
        <is>
          <t>مبلغ</t>
        </is>
      </c>
      <c r="O23" s="118" t="inlineStr">
        <is>
          <t>—</t>
        </is>
      </c>
      <c r="P23" s="118" t="n"/>
      <c r="Q23" s="118" t="inlineStr">
        <is>
          <t>—</t>
        </is>
      </c>
      <c r="R23" s="118" t="inlineStr">
        <is>
          <t>پوز</t>
        </is>
      </c>
      <c r="S23" s="118" t="inlineStr">
        <is>
          <t>بدهکار</t>
        </is>
      </c>
      <c r="T23" s="118" t="inlineStr">
        <is>
          <t>X011</t>
        </is>
      </c>
      <c r="U23" s="118" t="inlineStr">
        <is>
          <t>X002</t>
        </is>
      </c>
      <c r="V23" s="118" t="n"/>
      <c r="W23" s="118" t="inlineStr">
        <is>
          <t>بله</t>
        </is>
      </c>
      <c r="AH23" s="81" t="inlineStr">
        <is>
          <t>خرمالو</t>
        </is>
      </c>
      <c r="AI23" s="81" t="inlineStr">
        <is>
          <t>سایر</t>
        </is>
      </c>
      <c r="AR23" s="81" t="inlineStr">
        <is>
          <t>فروشنده سبد</t>
        </is>
      </c>
      <c r="AS23" s="81" t="inlineStr">
        <is>
          <t>سبد مقوایی</t>
        </is>
      </c>
      <c r="AX23" s="118" t="inlineStr">
        <is>
          <t>BD014</t>
        </is>
      </c>
      <c r="AZ23" s="81" t="inlineStr">
        <is>
          <t>هزینه باسکول نقدی (درآمد)</t>
        </is>
      </c>
    </row>
    <row r="24">
      <c r="B24" s="118" t="inlineStr">
        <is>
          <t>C015</t>
        </is>
      </c>
      <c r="C24" s="81" t="inlineStr">
        <is>
          <t>کاظم میرزازاده</t>
        </is>
      </c>
      <c r="D24" s="118" t="inlineStr">
        <is>
          <t>باغدار</t>
        </is>
      </c>
      <c r="E24" s="81" t="n"/>
      <c r="F24" s="81" t="inlineStr">
        <is>
          <t>طرف حساب</t>
        </is>
      </c>
      <c r="G24" s="119" t="n">
        <v>0</v>
      </c>
      <c r="I24" s="81" t="inlineStr">
        <is>
          <t>خرید سبد</t>
        </is>
      </c>
      <c r="J24" s="118" t="inlineStr">
        <is>
          <t>ورود</t>
        </is>
      </c>
      <c r="K24" s="118" t="inlineStr">
        <is>
          <t>خرید</t>
        </is>
      </c>
      <c r="L24" s="118" t="inlineStr">
        <is>
          <t>خیر</t>
        </is>
      </c>
      <c r="M24" s="118" t="inlineStr">
        <is>
          <t>بله</t>
        </is>
      </c>
      <c r="N24" s="118" t="inlineStr">
        <is>
          <t>مبلغ</t>
        </is>
      </c>
      <c r="O24" s="118" t="inlineStr">
        <is>
          <t>بستانکار</t>
        </is>
      </c>
      <c r="P24" s="118" t="inlineStr">
        <is>
          <t>X005</t>
        </is>
      </c>
      <c r="Q24" s="118" t="inlineStr">
        <is>
          <t>بدهکار</t>
        </is>
      </c>
      <c r="R24" s="118" t="inlineStr">
        <is>
          <t>هیچ</t>
        </is>
      </c>
      <c r="S24" s="118" t="inlineStr">
        <is>
          <t>—</t>
        </is>
      </c>
      <c r="T24" s="118" t="n"/>
      <c r="U24" s="118" t="n"/>
      <c r="V24" s="118" t="n"/>
      <c r="W24" s="118" t="inlineStr">
        <is>
          <t>خیر</t>
        </is>
      </c>
      <c r="AH24" s="81" t="inlineStr">
        <is>
          <t>نارنج</t>
        </is>
      </c>
      <c r="AI24" s="81" t="inlineStr">
        <is>
          <t>سایر</t>
        </is>
      </c>
      <c r="AR24" s="81" t="inlineStr">
        <is>
          <t>فروشنده سبد</t>
        </is>
      </c>
      <c r="AS24" s="81" t="inlineStr">
        <is>
          <t>سایر</t>
        </is>
      </c>
      <c r="AX24" s="118" t="inlineStr">
        <is>
          <t>BD015</t>
        </is>
      </c>
    </row>
    <row r="25">
      <c r="B25" s="118" t="inlineStr">
        <is>
          <t>C016</t>
        </is>
      </c>
      <c r="C25" s="81" t="inlineStr">
        <is>
          <t>علی جانبرارپور</t>
        </is>
      </c>
      <c r="D25" s="118" t="inlineStr">
        <is>
          <t>باغدار</t>
        </is>
      </c>
      <c r="E25" s="81" t="n"/>
      <c r="F25" s="81" t="inlineStr">
        <is>
          <t>طرف حساب</t>
        </is>
      </c>
      <c r="G25" s="119" t="n">
        <v>0</v>
      </c>
      <c r="I25" s="81" t="inlineStr">
        <is>
          <t>فروش سبد</t>
        </is>
      </c>
      <c r="J25" s="118" t="inlineStr">
        <is>
          <t>خروج</t>
        </is>
      </c>
      <c r="K25" s="118" t="inlineStr">
        <is>
          <t>فروش</t>
        </is>
      </c>
      <c r="L25" s="118" t="inlineStr">
        <is>
          <t>خیر</t>
        </is>
      </c>
      <c r="M25" s="118" t="inlineStr">
        <is>
          <t>بله</t>
        </is>
      </c>
      <c r="N25" s="118" t="inlineStr">
        <is>
          <t>مبلغ</t>
        </is>
      </c>
      <c r="O25" s="118" t="inlineStr">
        <is>
          <t>بدهکار</t>
        </is>
      </c>
      <c r="P25" s="118" t="inlineStr">
        <is>
          <t>X007</t>
        </is>
      </c>
      <c r="Q25" s="118" t="inlineStr">
        <is>
          <t>بستانکار</t>
        </is>
      </c>
      <c r="R25" s="118" t="inlineStr">
        <is>
          <t>هیچ</t>
        </is>
      </c>
      <c r="S25" s="118" t="inlineStr">
        <is>
          <t>—</t>
        </is>
      </c>
      <c r="T25" s="118" t="n"/>
      <c r="U25" s="118" t="n"/>
      <c r="V25" s="118" t="n"/>
      <c r="W25" s="118" t="inlineStr">
        <is>
          <t>خیر</t>
        </is>
      </c>
      <c r="AH25" s="81" t="n"/>
      <c r="AI25" s="81" t="n"/>
      <c r="AR25" s="81" t="inlineStr">
        <is>
          <t>تأمین‌کننده</t>
        </is>
      </c>
      <c r="AS25" s="81" t="inlineStr">
        <is>
          <t>مواد بسته‌بندی</t>
        </is>
      </c>
      <c r="AX25" s="118" t="inlineStr">
        <is>
          <t>BD016</t>
        </is>
      </c>
    </row>
    <row r="26">
      <c r="B26" s="118" t="inlineStr">
        <is>
          <t>C017</t>
        </is>
      </c>
      <c r="C26" s="81" t="inlineStr">
        <is>
          <t>لیلا محمودنیا</t>
        </is>
      </c>
      <c r="D26" s="118" t="inlineStr">
        <is>
          <t>باغدار</t>
        </is>
      </c>
      <c r="E26" s="81" t="n"/>
      <c r="F26" s="81" t="inlineStr">
        <is>
          <t>طرف حساب</t>
        </is>
      </c>
      <c r="G26" s="119" t="n">
        <v>0</v>
      </c>
      <c r="I26" s="81" t="inlineStr">
        <is>
          <t>مرجوعی خرید سبد</t>
        </is>
      </c>
      <c r="J26" s="118" t="inlineStr">
        <is>
          <t>خروج</t>
        </is>
      </c>
      <c r="K26" s="118" t="inlineStr">
        <is>
          <t>خرید</t>
        </is>
      </c>
      <c r="L26" s="118" t="inlineStr">
        <is>
          <t>خیر</t>
        </is>
      </c>
      <c r="M26" s="118" t="inlineStr">
        <is>
          <t>بله</t>
        </is>
      </c>
      <c r="N26" s="118" t="inlineStr">
        <is>
          <t>مبلغ</t>
        </is>
      </c>
      <c r="O26" s="118" t="inlineStr">
        <is>
          <t>بدهکار</t>
        </is>
      </c>
      <c r="P26" s="118" t="inlineStr">
        <is>
          <t>X005</t>
        </is>
      </c>
      <c r="Q26" s="118" t="inlineStr">
        <is>
          <t>بستانکار</t>
        </is>
      </c>
      <c r="R26" s="118" t="inlineStr">
        <is>
          <t>هیچ</t>
        </is>
      </c>
      <c r="S26" s="118" t="inlineStr">
        <is>
          <t>—</t>
        </is>
      </c>
      <c r="T26" s="118" t="n"/>
      <c r="U26" s="118" t="n"/>
      <c r="V26" s="118" t="n"/>
      <c r="W26" s="118" t="inlineStr">
        <is>
          <t>خیر</t>
        </is>
      </c>
      <c r="AH26" s="81" t="n"/>
      <c r="AI26" s="81" t="n"/>
      <c r="AR26" s="81" t="inlineStr">
        <is>
          <t>تأمین‌کننده</t>
        </is>
      </c>
      <c r="AS26" s="81" t="inlineStr">
        <is>
          <t>واکس و رنگ</t>
        </is>
      </c>
      <c r="AX26" s="118" t="inlineStr">
        <is>
          <t>BD017</t>
        </is>
      </c>
    </row>
    <row r="27">
      <c r="B27" s="118" t="inlineStr">
        <is>
          <t>C018</t>
        </is>
      </c>
      <c r="C27" s="81" t="inlineStr">
        <is>
          <t>اسماعیل خانیا</t>
        </is>
      </c>
      <c r="D27" s="118" t="inlineStr">
        <is>
          <t>باغدار</t>
        </is>
      </c>
      <c r="E27" s="81" t="n"/>
      <c r="F27" s="81" t="inlineStr">
        <is>
          <t>طرف حساب</t>
        </is>
      </c>
      <c r="G27" s="119" t="n">
        <v>0</v>
      </c>
      <c r="I27" s="81" t="inlineStr">
        <is>
          <t>مرجوعی فروش سبد</t>
        </is>
      </c>
      <c r="J27" s="118" t="inlineStr">
        <is>
          <t>ورود</t>
        </is>
      </c>
      <c r="K27" s="118" t="inlineStr">
        <is>
          <t>فروش</t>
        </is>
      </c>
      <c r="L27" s="118" t="inlineStr">
        <is>
          <t>خیر</t>
        </is>
      </c>
      <c r="M27" s="118" t="inlineStr">
        <is>
          <t>بله</t>
        </is>
      </c>
      <c r="N27" s="118" t="inlineStr">
        <is>
          <t>مبلغ</t>
        </is>
      </c>
      <c r="O27" s="118" t="inlineStr">
        <is>
          <t>بستانکار</t>
        </is>
      </c>
      <c r="P27" s="118" t="inlineStr">
        <is>
          <t>X007</t>
        </is>
      </c>
      <c r="Q27" s="118" t="inlineStr">
        <is>
          <t>بدهکار</t>
        </is>
      </c>
      <c r="R27" s="118" t="inlineStr">
        <is>
          <t>هیچ</t>
        </is>
      </c>
      <c r="S27" s="118" t="inlineStr">
        <is>
          <t>—</t>
        </is>
      </c>
      <c r="T27" s="118" t="n"/>
      <c r="U27" s="118" t="n"/>
      <c r="V27" s="118" t="n"/>
      <c r="W27" s="118" t="inlineStr">
        <is>
          <t>خیر</t>
        </is>
      </c>
      <c r="AH27" s="81" t="n"/>
      <c r="AI27" s="81" t="n"/>
      <c r="AR27" s="81" t="inlineStr">
        <is>
          <t>تأمین‌کننده</t>
        </is>
      </c>
      <c r="AS27" s="81" t="inlineStr">
        <is>
          <t>حمل‌ونقل</t>
        </is>
      </c>
      <c r="AX27" s="118" t="inlineStr">
        <is>
          <t>BD018</t>
        </is>
      </c>
    </row>
    <row r="28">
      <c r="B28" s="118" t="inlineStr">
        <is>
          <t>C019</t>
        </is>
      </c>
      <c r="C28" s="81" t="inlineStr">
        <is>
          <t>یوسف یوسف نژاد</t>
        </is>
      </c>
      <c r="D28" s="118" t="inlineStr">
        <is>
          <t>باغدار</t>
        </is>
      </c>
      <c r="E28" s="81" t="n"/>
      <c r="F28" s="81" t="inlineStr">
        <is>
          <t>طرف حساب</t>
        </is>
      </c>
      <c r="G28" s="119" t="n">
        <v>0</v>
      </c>
      <c r="I28" s="81" t="inlineStr">
        <is>
          <t>انتقال سبد بین انبار</t>
        </is>
      </c>
      <c r="J28" s="118" t="inlineStr">
        <is>
          <t>خروج</t>
        </is>
      </c>
      <c r="K28" s="118" t="inlineStr">
        <is>
          <t>انتقال</t>
        </is>
      </c>
      <c r="L28" s="118" t="inlineStr">
        <is>
          <t>خیر</t>
        </is>
      </c>
      <c r="M28" s="118" t="inlineStr">
        <is>
          <t>خیر</t>
        </is>
      </c>
      <c r="N28" s="118" t="inlineStr">
        <is>
          <t>هیچ</t>
        </is>
      </c>
      <c r="O28" s="118" t="inlineStr">
        <is>
          <t>—</t>
        </is>
      </c>
      <c r="P28" s="118" t="n"/>
      <c r="Q28" s="118" t="inlineStr">
        <is>
          <t>—</t>
        </is>
      </c>
      <c r="R28" s="118" t="inlineStr">
        <is>
          <t>هیچ</t>
        </is>
      </c>
      <c r="S28" s="118" t="inlineStr">
        <is>
          <t>—</t>
        </is>
      </c>
      <c r="T28" s="118" t="n"/>
      <c r="U28" s="118" t="n"/>
      <c r="V28" s="118" t="n"/>
      <c r="W28" s="118" t="inlineStr">
        <is>
          <t>خیر</t>
        </is>
      </c>
      <c r="AH28" s="81" t="n"/>
      <c r="AI28" s="81" t="n"/>
      <c r="AR28" s="81" t="inlineStr">
        <is>
          <t>تأمین‌کننده</t>
        </is>
      </c>
      <c r="AS28" s="81" t="inlineStr">
        <is>
          <t>خدمات</t>
        </is>
      </c>
      <c r="AX28" s="118" t="inlineStr">
        <is>
          <t>BD019</t>
        </is>
      </c>
    </row>
    <row r="29">
      <c r="B29" s="118" t="inlineStr">
        <is>
          <t>C020</t>
        </is>
      </c>
      <c r="C29" s="81" t="inlineStr">
        <is>
          <t>علی نوایی</t>
        </is>
      </c>
      <c r="D29" s="118" t="inlineStr">
        <is>
          <t>باغدار</t>
        </is>
      </c>
      <c r="E29" s="81" t="n"/>
      <c r="F29" s="81" t="inlineStr">
        <is>
          <t>طرف حساب</t>
        </is>
      </c>
      <c r="G29" s="119" t="n">
        <v>0</v>
      </c>
      <c r="I29" s="81" t="n"/>
      <c r="J29" s="118" t="n"/>
      <c r="K29" s="118" t="n"/>
      <c r="L29" s="118" t="n"/>
      <c r="M29" s="118" t="n"/>
      <c r="N29" s="118" t="n"/>
      <c r="O29" s="118" t="n"/>
      <c r="P29" s="118" t="n"/>
      <c r="Q29" s="118" t="n"/>
      <c r="R29" s="118" t="n"/>
      <c r="S29" s="118" t="n"/>
      <c r="T29" s="118" t="n"/>
      <c r="U29" s="118" t="n"/>
      <c r="V29" s="118" t="n"/>
      <c r="W29" s="118" t="n"/>
      <c r="AH29" s="81" t="n"/>
      <c r="AI29" s="81" t="n"/>
      <c r="AR29" s="81" t="inlineStr">
        <is>
          <t>کارمند</t>
        </is>
      </c>
      <c r="AS29" s="81" t="inlineStr">
        <is>
          <t>مدیرعامل</t>
        </is>
      </c>
      <c r="AX29" s="118" t="inlineStr">
        <is>
          <t>BD020</t>
        </is>
      </c>
    </row>
    <row r="30">
      <c r="B30" s="118" t="inlineStr">
        <is>
          <t>C021</t>
        </is>
      </c>
      <c r="C30" s="81" t="inlineStr">
        <is>
          <t>دومیری</t>
        </is>
      </c>
      <c r="D30" s="118" t="inlineStr">
        <is>
          <t>باغدار</t>
        </is>
      </c>
      <c r="E30" s="81" t="n"/>
      <c r="F30" s="81" t="inlineStr">
        <is>
          <t>طرف حساب</t>
        </is>
      </c>
      <c r="G30" s="119" t="n">
        <v>0</v>
      </c>
      <c r="I30" s="81" t="n"/>
      <c r="J30" s="118" t="n"/>
      <c r="K30" s="118" t="n"/>
      <c r="L30" s="118" t="n"/>
      <c r="M30" s="118" t="n"/>
      <c r="N30" s="118" t="n"/>
      <c r="O30" s="118" t="n"/>
      <c r="P30" s="118" t="n"/>
      <c r="Q30" s="118" t="n"/>
      <c r="R30" s="118" t="n"/>
      <c r="S30" s="118" t="n"/>
      <c r="T30" s="118" t="n"/>
      <c r="U30" s="118" t="n"/>
      <c r="V30" s="118" t="n"/>
      <c r="W30" s="118" t="n"/>
      <c r="AR30" s="81" t="inlineStr">
        <is>
          <t>کارمند</t>
        </is>
      </c>
      <c r="AS30" s="81" t="inlineStr">
        <is>
          <t>حسابدار</t>
        </is>
      </c>
    </row>
    <row r="31">
      <c r="B31" s="118" t="inlineStr">
        <is>
          <t>C022</t>
        </is>
      </c>
      <c r="C31" s="81" t="inlineStr">
        <is>
          <t>شمسعلی علیجانی</t>
        </is>
      </c>
      <c r="D31" s="118" t="inlineStr">
        <is>
          <t>باغدار</t>
        </is>
      </c>
      <c r="E31" s="81" t="n"/>
      <c r="F31" s="81" t="inlineStr">
        <is>
          <t>طرف حساب</t>
        </is>
      </c>
      <c r="G31" s="119" t="n">
        <v>0</v>
      </c>
      <c r="I31" s="81" t="n"/>
      <c r="J31" s="118" t="n"/>
      <c r="K31" s="118" t="n"/>
      <c r="L31" s="118" t="n"/>
      <c r="M31" s="118" t="n"/>
      <c r="N31" s="118" t="n"/>
      <c r="O31" s="118" t="n"/>
      <c r="P31" s="118" t="n"/>
      <c r="Q31" s="118" t="n"/>
      <c r="R31" s="118" t="n"/>
      <c r="S31" s="118" t="n"/>
      <c r="T31" s="118" t="n"/>
      <c r="U31" s="118" t="n"/>
      <c r="V31" s="118" t="n"/>
      <c r="W31" s="118" t="n"/>
      <c r="AR31" s="81" t="inlineStr">
        <is>
          <t>کارمند</t>
        </is>
      </c>
      <c r="AS31" s="81" t="inlineStr">
        <is>
          <t>فروشنده</t>
        </is>
      </c>
    </row>
    <row r="32">
      <c r="B32" s="118" t="inlineStr">
        <is>
          <t>C023</t>
        </is>
      </c>
      <c r="C32" s="81" t="inlineStr">
        <is>
          <t>یوسف نیا (موزیج)</t>
        </is>
      </c>
      <c r="D32" s="118" t="inlineStr">
        <is>
          <t>باغدار</t>
        </is>
      </c>
      <c r="E32" s="81" t="n"/>
      <c r="F32" s="81" t="inlineStr">
        <is>
          <t>طرف حساب</t>
        </is>
      </c>
      <c r="G32" s="119" t="n">
        <v>0</v>
      </c>
      <c r="I32" s="81" t="n"/>
      <c r="J32" s="118" t="n"/>
      <c r="K32" s="118" t="n"/>
      <c r="L32" s="118" t="n"/>
      <c r="M32" s="118" t="n"/>
      <c r="N32" s="118" t="n"/>
      <c r="O32" s="118" t="n"/>
      <c r="P32" s="118" t="n"/>
      <c r="Q32" s="118" t="n"/>
      <c r="R32" s="118" t="n"/>
      <c r="S32" s="118" t="n"/>
      <c r="T32" s="118" t="n"/>
      <c r="U32" s="118" t="n"/>
      <c r="V32" s="118" t="n"/>
      <c r="W32" s="118" t="n"/>
      <c r="AR32" s="81" t="inlineStr">
        <is>
          <t>کارمند</t>
        </is>
      </c>
      <c r="AS32" s="81" t="inlineStr">
        <is>
          <t>انباردار</t>
        </is>
      </c>
    </row>
    <row r="33">
      <c r="B33" s="118" t="inlineStr">
        <is>
          <t>C024</t>
        </is>
      </c>
      <c r="C33" s="81" t="inlineStr">
        <is>
          <t>کاظم ذبیح پور</t>
        </is>
      </c>
      <c r="D33" s="118" t="inlineStr">
        <is>
          <t>باغدار</t>
        </is>
      </c>
      <c r="E33" s="81" t="n"/>
      <c r="F33" s="81" t="inlineStr">
        <is>
          <t>طرف حساب</t>
        </is>
      </c>
      <c r="G33" s="119" t="n">
        <v>0</v>
      </c>
      <c r="I33" s="81" t="n"/>
      <c r="J33" s="118" t="n"/>
      <c r="K33" s="118" t="n"/>
      <c r="L33" s="118" t="n"/>
      <c r="M33" s="118" t="n"/>
      <c r="N33" s="118" t="n"/>
      <c r="O33" s="118" t="n"/>
      <c r="P33" s="118" t="n"/>
      <c r="Q33" s="118" t="n"/>
      <c r="R33" s="118" t="n"/>
      <c r="S33" s="118" t="n"/>
      <c r="T33" s="118" t="n"/>
      <c r="U33" s="118" t="n"/>
      <c r="V33" s="118" t="n"/>
      <c r="W33" s="118" t="n"/>
      <c r="AR33" s="81" t="inlineStr">
        <is>
          <t>کارمند</t>
        </is>
      </c>
      <c r="AS33" s="81" t="inlineStr">
        <is>
          <t>سرپرست خط</t>
        </is>
      </c>
    </row>
    <row r="34">
      <c r="B34" s="118" t="inlineStr">
        <is>
          <t>C025</t>
        </is>
      </c>
      <c r="C34" s="81" t="inlineStr">
        <is>
          <t>علی غلام رضاپور</t>
        </is>
      </c>
      <c r="D34" s="118" t="inlineStr">
        <is>
          <t>باغدار</t>
        </is>
      </c>
      <c r="E34" s="81" t="n"/>
      <c r="F34" s="81" t="inlineStr">
        <is>
          <t>طرف حساب</t>
        </is>
      </c>
      <c r="G34" s="119" t="n">
        <v>0</v>
      </c>
      <c r="AR34" s="81" t="inlineStr">
        <is>
          <t>کارمند</t>
        </is>
      </c>
      <c r="AS34" s="81" t="inlineStr">
        <is>
          <t>کارگر</t>
        </is>
      </c>
    </row>
    <row r="35">
      <c r="B35" s="118" t="inlineStr">
        <is>
          <t>C026</t>
        </is>
      </c>
      <c r="C35" s="81" t="inlineStr">
        <is>
          <t>حسین شکرالله نیا</t>
        </is>
      </c>
      <c r="D35" s="118" t="inlineStr">
        <is>
          <t>باغدار</t>
        </is>
      </c>
      <c r="E35" s="81" t="n"/>
      <c r="F35" s="81" t="inlineStr">
        <is>
          <t>طرف حساب</t>
        </is>
      </c>
      <c r="G35" s="119" t="n">
        <v>0</v>
      </c>
      <c r="AR35" s="81" t="inlineStr">
        <is>
          <t>سایر حساب</t>
        </is>
      </c>
      <c r="AS35" s="81" t="inlineStr">
        <is>
          <t>صندوق</t>
        </is>
      </c>
    </row>
    <row r="36">
      <c r="B36" s="118" t="inlineStr">
        <is>
          <t>C027</t>
        </is>
      </c>
      <c r="C36" s="81" t="inlineStr">
        <is>
          <t>سید مهدی حسینی (دوست حاج هوشنگ)</t>
        </is>
      </c>
      <c r="D36" s="118" t="inlineStr">
        <is>
          <t>باغدار</t>
        </is>
      </c>
      <c r="E36" s="81" t="n"/>
      <c r="F36" s="81" t="inlineStr">
        <is>
          <t>طرف حساب</t>
        </is>
      </c>
      <c r="G36" s="119" t="n">
        <v>0</v>
      </c>
      <c r="AR36" s="81" t="inlineStr">
        <is>
          <t>سایر حساب</t>
        </is>
      </c>
      <c r="AS36" s="81" t="inlineStr">
        <is>
          <t>موجودی</t>
        </is>
      </c>
    </row>
    <row r="37">
      <c r="B37" s="118" t="inlineStr">
        <is>
          <t>C028</t>
        </is>
      </c>
      <c r="C37" s="81" t="inlineStr">
        <is>
          <t>آقای عزیزی</t>
        </is>
      </c>
      <c r="D37" s="118" t="inlineStr">
        <is>
          <t>باغدار</t>
        </is>
      </c>
      <c r="E37" s="81" t="n"/>
      <c r="F37" s="81" t="inlineStr">
        <is>
          <t>طرف حساب</t>
        </is>
      </c>
      <c r="G37" s="119" t="n">
        <v>0</v>
      </c>
      <c r="AR37" s="81" t="inlineStr">
        <is>
          <t>سایر حساب</t>
        </is>
      </c>
      <c r="AS37" s="81" t="inlineStr">
        <is>
          <t>درآمد</t>
        </is>
      </c>
    </row>
    <row r="38">
      <c r="B38" s="118" t="inlineStr">
        <is>
          <t>C029</t>
        </is>
      </c>
      <c r="C38" s="81" t="inlineStr">
        <is>
          <t>آقای حبیبی (بانک صادرات)</t>
        </is>
      </c>
      <c r="D38" s="118" t="inlineStr">
        <is>
          <t>باغدار</t>
        </is>
      </c>
      <c r="E38" s="81" t="n"/>
      <c r="F38" s="81" t="inlineStr">
        <is>
          <t>طرف حساب</t>
        </is>
      </c>
      <c r="G38" s="119" t="n">
        <v>0</v>
      </c>
      <c r="AR38" s="81" t="inlineStr">
        <is>
          <t>سایر حساب</t>
        </is>
      </c>
      <c r="AS38" s="81" t="inlineStr">
        <is>
          <t>هزینه</t>
        </is>
      </c>
    </row>
    <row r="39">
      <c r="B39" s="118" t="inlineStr">
        <is>
          <t>C030</t>
        </is>
      </c>
      <c r="C39" s="81" t="inlineStr">
        <is>
          <t>محمد علی اصغرزاده</t>
        </is>
      </c>
      <c r="D39" s="118" t="inlineStr">
        <is>
          <t>باغدار</t>
        </is>
      </c>
      <c r="E39" s="81" t="n"/>
      <c r="F39" s="81" t="inlineStr">
        <is>
          <t>طرف حساب</t>
        </is>
      </c>
      <c r="G39" s="119" t="n">
        <v>0</v>
      </c>
      <c r="AR39" s="81" t="inlineStr">
        <is>
          <t>سایر حساب</t>
        </is>
      </c>
      <c r="AS39" s="81" t="inlineStr">
        <is>
          <t>انعام و پاداش</t>
        </is>
      </c>
    </row>
    <row r="40">
      <c r="B40" s="118" t="inlineStr">
        <is>
          <t>C031</t>
        </is>
      </c>
      <c r="C40" s="81" t="inlineStr">
        <is>
          <t>فغان پور</t>
        </is>
      </c>
      <c r="D40" s="118" t="inlineStr">
        <is>
          <t>باغدار</t>
        </is>
      </c>
      <c r="E40" s="81" t="n"/>
      <c r="F40" s="81" t="inlineStr">
        <is>
          <t>طرف حساب</t>
        </is>
      </c>
      <c r="G40" s="119" t="n">
        <v>0</v>
      </c>
      <c r="AR40" s="81" t="inlineStr">
        <is>
          <t>سایر حساب</t>
        </is>
      </c>
      <c r="AS40" s="81" t="inlineStr">
        <is>
          <t>چک پرداختی</t>
        </is>
      </c>
    </row>
    <row r="41">
      <c r="B41" s="118" t="inlineStr">
        <is>
          <t>C032</t>
        </is>
      </c>
      <c r="C41" s="81" t="inlineStr">
        <is>
          <t>عباس پور (بهنمیر)</t>
        </is>
      </c>
      <c r="D41" s="118" t="inlineStr">
        <is>
          <t>باغدار</t>
        </is>
      </c>
      <c r="E41" s="81" t="n"/>
      <c r="F41" s="81" t="inlineStr">
        <is>
          <t>طرف حساب</t>
        </is>
      </c>
      <c r="G41" s="119" t="n">
        <v>0</v>
      </c>
      <c r="AR41" s="81" t="inlineStr">
        <is>
          <t>سایر حساب</t>
        </is>
      </c>
      <c r="AS41" s="81" t="inlineStr">
        <is>
          <t>حساب واسط</t>
        </is>
      </c>
    </row>
    <row r="42">
      <c r="B42" s="118" t="inlineStr">
        <is>
          <t>C033</t>
        </is>
      </c>
      <c r="C42" s="81" t="inlineStr">
        <is>
          <t>رمضان خانیا (فرهاد پلنگ)</t>
        </is>
      </c>
      <c r="D42" s="118" t="inlineStr">
        <is>
          <t>باغدار</t>
        </is>
      </c>
      <c r="E42" s="81" t="n"/>
      <c r="F42" s="81" t="inlineStr">
        <is>
          <t>طرف حساب</t>
        </is>
      </c>
      <c r="G42" s="119" t="n">
        <v>0</v>
      </c>
      <c r="AR42" s="81" t="inlineStr">
        <is>
          <t>سایر حساب</t>
        </is>
      </c>
      <c r="AS42" s="81" t="inlineStr">
        <is>
          <t>مالیات</t>
        </is>
      </c>
    </row>
    <row r="43">
      <c r="B43" s="118" t="inlineStr">
        <is>
          <t>C034</t>
        </is>
      </c>
      <c r="C43" s="81" t="inlineStr">
        <is>
          <t>محمد رضایی</t>
        </is>
      </c>
      <c r="D43" s="118" t="inlineStr">
        <is>
          <t>باغدار</t>
        </is>
      </c>
      <c r="E43" s="81" t="n"/>
      <c r="F43" s="81" t="inlineStr">
        <is>
          <t>طرف حساب</t>
        </is>
      </c>
      <c r="G43" s="119" t="n">
        <v>0</v>
      </c>
      <c r="AR43" s="81" t="inlineStr">
        <is>
          <t>باسکول دیگران</t>
        </is>
      </c>
      <c r="AS43" s="81" t="inlineStr">
        <is>
          <t>باسکول محلی</t>
        </is>
      </c>
    </row>
    <row r="44">
      <c r="B44" s="118" t="inlineStr">
        <is>
          <t>C035</t>
        </is>
      </c>
      <c r="C44" s="81" t="inlineStr">
        <is>
          <t>داریوش اسماعیلی</t>
        </is>
      </c>
      <c r="D44" s="118" t="inlineStr">
        <is>
          <t>باغدار</t>
        </is>
      </c>
      <c r="E44" s="81" t="n"/>
      <c r="F44" s="81" t="inlineStr">
        <is>
          <t>طرف حساب</t>
        </is>
      </c>
      <c r="G44" s="119" t="n">
        <v>0</v>
      </c>
      <c r="AR44" s="81" t="inlineStr">
        <is>
          <t>باسکول دیگران</t>
        </is>
      </c>
      <c r="AS44" s="81" t="inlineStr">
        <is>
          <t>باسکول خصوصی</t>
        </is>
      </c>
    </row>
    <row r="45">
      <c r="B45" s="118" t="inlineStr">
        <is>
          <t>C036</t>
        </is>
      </c>
      <c r="C45" s="81" t="inlineStr">
        <is>
          <t>محسن قبادی</t>
        </is>
      </c>
      <c r="D45" s="118" t="inlineStr">
        <is>
          <t>باغدار</t>
        </is>
      </c>
      <c r="E45" s="81" t="n"/>
      <c r="F45" s="81" t="inlineStr">
        <is>
          <t>طرف حساب</t>
        </is>
      </c>
      <c r="G45" s="119" t="n">
        <v>0</v>
      </c>
      <c r="AR45" s="81" t="inlineStr">
        <is>
          <t>دارایی ثابت</t>
        </is>
      </c>
      <c r="AS45" s="81" t="inlineStr">
        <is>
          <t>زمین و ساختمان</t>
        </is>
      </c>
    </row>
    <row r="46">
      <c r="B46" s="118" t="inlineStr">
        <is>
          <t>C037</t>
        </is>
      </c>
      <c r="C46" s="81" t="inlineStr">
        <is>
          <t>خانم قلی پور (یوسف نیا)</t>
        </is>
      </c>
      <c r="D46" s="118" t="inlineStr">
        <is>
          <t>باغدار</t>
        </is>
      </c>
      <c r="E46" s="81" t="n"/>
      <c r="F46" s="81" t="inlineStr">
        <is>
          <t>طرف حساب</t>
        </is>
      </c>
      <c r="G46" s="119" t="n">
        <v>0</v>
      </c>
      <c r="AR46" s="81" t="inlineStr">
        <is>
          <t>دارایی ثابت</t>
        </is>
      </c>
      <c r="AS46" s="81" t="inlineStr">
        <is>
          <t>خودرو و حمل‌ونقل</t>
        </is>
      </c>
    </row>
    <row r="47">
      <c r="B47" s="118" t="inlineStr">
        <is>
          <t>C038</t>
        </is>
      </c>
      <c r="C47" s="81" t="inlineStr">
        <is>
          <t>مهدی ولیپور</t>
        </is>
      </c>
      <c r="D47" s="118" t="inlineStr">
        <is>
          <t>باغدار</t>
        </is>
      </c>
      <c r="E47" s="81" t="n"/>
      <c r="F47" s="81" t="inlineStr">
        <is>
          <t>طرف حساب</t>
        </is>
      </c>
      <c r="G47" s="119" t="n">
        <v>0</v>
      </c>
      <c r="AR47" s="81" t="inlineStr">
        <is>
          <t>دارایی ثابت</t>
        </is>
      </c>
      <c r="AS47" s="81" t="inlineStr">
        <is>
          <t>ماشین‌آلات و تجهیزات</t>
        </is>
      </c>
    </row>
    <row r="48">
      <c r="B48" s="118" t="inlineStr">
        <is>
          <t>C039</t>
        </is>
      </c>
      <c r="C48" s="81" t="inlineStr">
        <is>
          <t>رمضان علی محمدیان</t>
        </is>
      </c>
      <c r="D48" s="118" t="inlineStr">
        <is>
          <t>باغدار</t>
        </is>
      </c>
      <c r="E48" s="81" t="n"/>
      <c r="F48" s="81" t="inlineStr">
        <is>
          <t>طرف حساب</t>
        </is>
      </c>
      <c r="G48" s="119" t="n">
        <v>0</v>
      </c>
      <c r="AR48" s="81" t="inlineStr">
        <is>
          <t>وام و تسهیلات</t>
        </is>
      </c>
      <c r="AS48" s="81" t="inlineStr">
        <is>
          <t>وام بانکی</t>
        </is>
      </c>
    </row>
    <row r="49">
      <c r="B49" s="118" t="inlineStr">
        <is>
          <t>C040</t>
        </is>
      </c>
      <c r="C49" s="81" t="inlineStr">
        <is>
          <t>محمود آهنگر</t>
        </is>
      </c>
      <c r="D49" s="118" t="inlineStr">
        <is>
          <t>باغدار</t>
        </is>
      </c>
      <c r="E49" s="81" t="n"/>
      <c r="F49" s="81" t="inlineStr">
        <is>
          <t>طرف حساب</t>
        </is>
      </c>
      <c r="G49" s="119" t="n">
        <v>0</v>
      </c>
      <c r="AR49" s="81" t="inlineStr">
        <is>
          <t>سرمایه و آورده صاحبان</t>
        </is>
      </c>
      <c r="AS49" s="81" t="inlineStr">
        <is>
          <t>سرمایه اولیه</t>
        </is>
      </c>
    </row>
    <row r="50">
      <c r="B50" s="118" t="inlineStr">
        <is>
          <t>C041</t>
        </is>
      </c>
      <c r="C50" s="81" t="inlineStr">
        <is>
          <t>محمد حسین عزیزی</t>
        </is>
      </c>
      <c r="D50" s="118" t="inlineStr">
        <is>
          <t>باغدار</t>
        </is>
      </c>
      <c r="E50" s="81" t="n"/>
      <c r="F50" s="81" t="inlineStr">
        <is>
          <t>طرف حساب</t>
        </is>
      </c>
      <c r="G50" s="119" t="n">
        <v>0</v>
      </c>
      <c r="AR50" s="81" t="inlineStr">
        <is>
          <t>سرمایه و آورده صاحبان</t>
        </is>
      </c>
      <c r="AS50" s="81" t="inlineStr">
        <is>
          <t>آورده نقدی</t>
        </is>
      </c>
    </row>
    <row r="51">
      <c r="B51" s="118" t="inlineStr">
        <is>
          <t>C042</t>
        </is>
      </c>
      <c r="C51" s="81" t="inlineStr">
        <is>
          <t>مغداد طلایی</t>
        </is>
      </c>
      <c r="D51" s="118" t="inlineStr">
        <is>
          <t>باغدار</t>
        </is>
      </c>
      <c r="E51" s="81" t="n"/>
      <c r="F51" s="81" t="inlineStr">
        <is>
          <t>طرف حساب</t>
        </is>
      </c>
      <c r="G51" s="119" t="n">
        <v>0</v>
      </c>
      <c r="AR51" s="81" t="inlineStr">
        <is>
          <t>سرمایه و آورده صاحبان</t>
        </is>
      </c>
      <c r="AS51" s="81" t="inlineStr">
        <is>
          <t>برداشت سرمایه</t>
        </is>
      </c>
    </row>
    <row r="52">
      <c r="B52" s="118" t="inlineStr">
        <is>
          <t>C043</t>
        </is>
      </c>
      <c r="C52" s="81" t="inlineStr">
        <is>
          <t>سید عبدالله میراقازاده</t>
        </is>
      </c>
      <c r="D52" s="118" t="inlineStr">
        <is>
          <t>باغدار</t>
        </is>
      </c>
      <c r="E52" s="81" t="n"/>
      <c r="F52" s="81" t="inlineStr">
        <is>
          <t>طرف حساب</t>
        </is>
      </c>
      <c r="G52" s="119" t="n">
        <v>0</v>
      </c>
    </row>
    <row r="53">
      <c r="B53" s="118" t="inlineStr">
        <is>
          <t>C044</t>
        </is>
      </c>
      <c r="C53" s="81" t="inlineStr">
        <is>
          <t>رجب پور</t>
        </is>
      </c>
      <c r="D53" s="118" t="inlineStr">
        <is>
          <t>باغدار</t>
        </is>
      </c>
      <c r="E53" s="81" t="n"/>
      <c r="F53" s="81" t="inlineStr">
        <is>
          <t>طرف حساب</t>
        </is>
      </c>
      <c r="G53" s="119" t="n">
        <v>0</v>
      </c>
    </row>
    <row r="54">
      <c r="B54" s="118" t="inlineStr">
        <is>
          <t>C045</t>
        </is>
      </c>
      <c r="C54" s="81" t="inlineStr">
        <is>
          <t>سعید بابایی</t>
        </is>
      </c>
      <c r="D54" s="118" t="inlineStr">
        <is>
          <t>باغدار</t>
        </is>
      </c>
      <c r="E54" s="81" t="n"/>
      <c r="F54" s="81" t="inlineStr">
        <is>
          <t>طرف حساب</t>
        </is>
      </c>
      <c r="G54" s="119" t="n">
        <v>0</v>
      </c>
    </row>
    <row r="55">
      <c r="B55" s="118" t="inlineStr">
        <is>
          <t>C046</t>
        </is>
      </c>
      <c r="C55" s="81" t="inlineStr">
        <is>
          <t>مطلب عیسی پور</t>
        </is>
      </c>
      <c r="D55" s="118" t="inlineStr">
        <is>
          <t>باغدار</t>
        </is>
      </c>
      <c r="E55" s="81" t="n"/>
      <c r="F55" s="81" t="inlineStr">
        <is>
          <t>طرف حساب</t>
        </is>
      </c>
      <c r="G55" s="119" t="n">
        <v>0</v>
      </c>
    </row>
    <row r="56">
      <c r="B56" s="118" t="inlineStr">
        <is>
          <t>C047</t>
        </is>
      </c>
      <c r="C56" s="81" t="inlineStr">
        <is>
          <t>عزیز زاده</t>
        </is>
      </c>
      <c r="D56" s="118" t="inlineStr">
        <is>
          <t>باغدار</t>
        </is>
      </c>
      <c r="E56" s="81" t="n"/>
      <c r="F56" s="81" t="inlineStr">
        <is>
          <t>طرف حساب</t>
        </is>
      </c>
      <c r="G56" s="119" t="n">
        <v>0</v>
      </c>
    </row>
    <row r="57">
      <c r="B57" s="118" t="inlineStr">
        <is>
          <t>C048</t>
        </is>
      </c>
      <c r="C57" s="81" t="inlineStr">
        <is>
          <t>تقی اصغرنیا</t>
        </is>
      </c>
      <c r="D57" s="118" t="inlineStr">
        <is>
          <t>باغدار</t>
        </is>
      </c>
      <c r="E57" s="81" t="n"/>
      <c r="F57" s="81" t="inlineStr">
        <is>
          <t>طرف حساب</t>
        </is>
      </c>
      <c r="G57" s="119" t="n">
        <v>0</v>
      </c>
    </row>
    <row r="58">
      <c r="B58" s="118" t="inlineStr">
        <is>
          <t>C049</t>
        </is>
      </c>
      <c r="C58" s="81" t="inlineStr">
        <is>
          <t>مدانلو</t>
        </is>
      </c>
      <c r="D58" s="118" t="inlineStr">
        <is>
          <t>باغدار</t>
        </is>
      </c>
      <c r="E58" s="81" t="n"/>
      <c r="F58" s="81" t="inlineStr">
        <is>
          <t>طرف حساب</t>
        </is>
      </c>
      <c r="G58" s="119" t="n">
        <v>0</v>
      </c>
    </row>
    <row r="59">
      <c r="B59" s="118" t="inlineStr">
        <is>
          <t>C050</t>
        </is>
      </c>
      <c r="C59" s="81" t="inlineStr">
        <is>
          <t>خدیجه اصغرنیا</t>
        </is>
      </c>
      <c r="D59" s="118" t="inlineStr">
        <is>
          <t>باغدار</t>
        </is>
      </c>
      <c r="E59" s="81" t="n"/>
      <c r="F59" s="81" t="inlineStr">
        <is>
          <t>طرف حساب</t>
        </is>
      </c>
      <c r="G59" s="119" t="n">
        <v>0</v>
      </c>
    </row>
    <row r="60">
      <c r="B60" s="118" t="inlineStr">
        <is>
          <t>C051</t>
        </is>
      </c>
      <c r="C60" s="81" t="inlineStr">
        <is>
          <t>اصغر عزیزی</t>
        </is>
      </c>
      <c r="D60" s="118" t="inlineStr">
        <is>
          <t>باغدار</t>
        </is>
      </c>
      <c r="E60" s="81" t="n"/>
      <c r="F60" s="81" t="inlineStr">
        <is>
          <t>طرف حساب</t>
        </is>
      </c>
      <c r="G60" s="119" t="n">
        <v>0</v>
      </c>
    </row>
    <row r="61">
      <c r="B61" s="118" t="inlineStr">
        <is>
          <t>C052</t>
        </is>
      </c>
      <c r="C61" s="81" t="inlineStr">
        <is>
          <t>غلامی</t>
        </is>
      </c>
      <c r="D61" s="118" t="inlineStr">
        <is>
          <t>باغدار</t>
        </is>
      </c>
      <c r="E61" s="81" t="n"/>
      <c r="F61" s="81" t="inlineStr">
        <is>
          <t>طرف حساب</t>
        </is>
      </c>
      <c r="G61" s="119" t="n">
        <v>0</v>
      </c>
    </row>
    <row r="62">
      <c r="B62" s="118" t="inlineStr">
        <is>
          <t>C053</t>
        </is>
      </c>
      <c r="C62" s="81" t="inlineStr">
        <is>
          <t>علی عزیزنژاد</t>
        </is>
      </c>
      <c r="D62" s="118" t="inlineStr">
        <is>
          <t>باغدار</t>
        </is>
      </c>
      <c r="E62" s="81" t="n"/>
      <c r="F62" s="81" t="inlineStr">
        <is>
          <t>طرف حساب</t>
        </is>
      </c>
      <c r="G62" s="119" t="n">
        <v>0</v>
      </c>
    </row>
    <row r="63">
      <c r="B63" s="118" t="inlineStr">
        <is>
          <t>C054</t>
        </is>
      </c>
      <c r="C63" s="81" t="inlineStr">
        <is>
          <t>حسن عیسی پور</t>
        </is>
      </c>
      <c r="D63" s="118" t="inlineStr">
        <is>
          <t>باغدار</t>
        </is>
      </c>
      <c r="E63" s="81" t="n"/>
      <c r="F63" s="81" t="inlineStr">
        <is>
          <t>طرف حساب</t>
        </is>
      </c>
      <c r="G63" s="119" t="n">
        <v>0</v>
      </c>
    </row>
    <row r="64">
      <c r="B64" s="118" t="inlineStr">
        <is>
          <t>C055</t>
        </is>
      </c>
      <c r="C64" s="81" t="inlineStr">
        <is>
          <t>عسگری محمودی</t>
        </is>
      </c>
      <c r="D64" s="118" t="inlineStr">
        <is>
          <t>باغدار</t>
        </is>
      </c>
      <c r="E64" s="81" t="n"/>
      <c r="F64" s="81" t="inlineStr">
        <is>
          <t>طرف حساب</t>
        </is>
      </c>
      <c r="G64" s="119" t="n">
        <v>0</v>
      </c>
    </row>
    <row r="65">
      <c r="B65" s="118" t="inlineStr">
        <is>
          <t>C056</t>
        </is>
      </c>
      <c r="C65" s="81" t="inlineStr">
        <is>
          <t>اسماعیل حیدری</t>
        </is>
      </c>
      <c r="D65" s="118" t="inlineStr">
        <is>
          <t>باغدار</t>
        </is>
      </c>
      <c r="E65" s="81" t="n"/>
      <c r="F65" s="81" t="inlineStr">
        <is>
          <t>طرف حساب</t>
        </is>
      </c>
      <c r="G65" s="119" t="n">
        <v>0</v>
      </c>
    </row>
    <row r="66">
      <c r="B66" s="118" t="inlineStr">
        <is>
          <t>C057</t>
        </is>
      </c>
      <c r="C66" s="81" t="inlineStr">
        <is>
          <t>کبری اصغرنیا</t>
        </is>
      </c>
      <c r="D66" s="118" t="inlineStr">
        <is>
          <t>باغدار</t>
        </is>
      </c>
      <c r="E66" s="81" t="n"/>
      <c r="F66" s="81" t="inlineStr">
        <is>
          <t>طرف حساب</t>
        </is>
      </c>
      <c r="G66" s="119" t="n">
        <v>0</v>
      </c>
    </row>
    <row r="67">
      <c r="B67" s="118" t="inlineStr">
        <is>
          <t>SL001</t>
        </is>
      </c>
      <c r="C67" s="81" t="inlineStr">
        <is>
          <t>قم — سید حسین حسینی</t>
        </is>
      </c>
      <c r="D67" s="118" t="inlineStr">
        <is>
          <t>بارفروش</t>
        </is>
      </c>
      <c r="E67" s="81" t="inlineStr">
        <is>
          <t>میدان بار شهرستان</t>
        </is>
      </c>
      <c r="F67" s="81" t="inlineStr">
        <is>
          <t>طرف حساب</t>
        </is>
      </c>
      <c r="G67" s="119" t="n">
        <v>0</v>
      </c>
    </row>
    <row r="68">
      <c r="B68" s="118" t="inlineStr">
        <is>
          <t>SL002</t>
        </is>
      </c>
      <c r="C68" s="81" t="inlineStr">
        <is>
          <t>مشهد — محمد توکلی</t>
        </is>
      </c>
      <c r="D68" s="118" t="inlineStr">
        <is>
          <t>بارفروش</t>
        </is>
      </c>
      <c r="E68" s="81" t="inlineStr">
        <is>
          <t>میدان بار شهرستان</t>
        </is>
      </c>
      <c r="F68" s="81" t="inlineStr">
        <is>
          <t>طرف حساب</t>
        </is>
      </c>
      <c r="G68" s="119" t="n">
        <v>0</v>
      </c>
    </row>
    <row r="69">
      <c r="B69" s="118" t="inlineStr">
        <is>
          <t>SL003</t>
        </is>
      </c>
      <c r="C69" s="81" t="inlineStr">
        <is>
          <t>اراک — پوریا خوش‌نمکیان</t>
        </is>
      </c>
      <c r="D69" s="118" t="inlineStr">
        <is>
          <t>بارفروش</t>
        </is>
      </c>
      <c r="E69" s="81" t="inlineStr">
        <is>
          <t>میدان بار شهرستان</t>
        </is>
      </c>
      <c r="F69" s="81" t="inlineStr">
        <is>
          <t>طرف حساب</t>
        </is>
      </c>
      <c r="G69" s="119" t="n">
        <v>0</v>
      </c>
    </row>
    <row r="70">
      <c r="B70" s="118" t="inlineStr">
        <is>
          <t>SL004</t>
        </is>
      </c>
      <c r="C70" s="81" t="inlineStr">
        <is>
          <t>تبریز — نورزاده</t>
        </is>
      </c>
      <c r="D70" s="118" t="inlineStr">
        <is>
          <t>بارفروش</t>
        </is>
      </c>
      <c r="E70" s="81" t="inlineStr">
        <is>
          <t>میدان بار شهرستان</t>
        </is>
      </c>
      <c r="F70" s="81" t="inlineStr">
        <is>
          <t>طرف حساب</t>
        </is>
      </c>
      <c r="G70" s="119" t="n">
        <v>0</v>
      </c>
    </row>
    <row r="71">
      <c r="B71" s="118" t="inlineStr">
        <is>
          <t>SL005</t>
        </is>
      </c>
      <c r="C71" s="81" t="inlineStr">
        <is>
          <t>زنجان — خانی</t>
        </is>
      </c>
      <c r="D71" s="118" t="inlineStr">
        <is>
          <t>بارفروش</t>
        </is>
      </c>
      <c r="E71" s="81" t="inlineStr">
        <is>
          <t>میدان بار شهرستان</t>
        </is>
      </c>
      <c r="F71" s="81" t="inlineStr">
        <is>
          <t>طرف حساب</t>
        </is>
      </c>
      <c r="G71" s="119" t="n">
        <v>0</v>
      </c>
    </row>
    <row r="72">
      <c r="B72" s="118" t="inlineStr">
        <is>
          <t>S001</t>
        </is>
      </c>
      <c r="C72" s="81" t="inlineStr">
        <is>
          <t>حسن کوچک‌زاده</t>
        </is>
      </c>
      <c r="D72" s="118" t="inlineStr">
        <is>
          <t>فروشنده سبد</t>
        </is>
      </c>
      <c r="E72" s="81" t="inlineStr">
        <is>
          <t>سبد پلاستیکی</t>
        </is>
      </c>
      <c r="F72" s="81" t="inlineStr">
        <is>
          <t>طرف حساب</t>
        </is>
      </c>
      <c r="G72" s="119" t="n">
        <v>0</v>
      </c>
    </row>
    <row r="73">
      <c r="B73" s="118" t="inlineStr">
        <is>
          <t>S002</t>
        </is>
      </c>
      <c r="C73" s="81" t="inlineStr">
        <is>
          <t>سید محمد موسویان</t>
        </is>
      </c>
      <c r="D73" s="118" t="inlineStr">
        <is>
          <t>فروشنده سبد</t>
        </is>
      </c>
      <c r="E73" s="81" t="inlineStr">
        <is>
          <t>سبد پلاستیکی</t>
        </is>
      </c>
      <c r="F73" s="81" t="inlineStr">
        <is>
          <t>طرف حساب</t>
        </is>
      </c>
      <c r="G73" s="119" t="n">
        <v>0</v>
      </c>
    </row>
    <row r="74">
      <c r="B74" s="118" t="inlineStr">
        <is>
          <t>S003</t>
        </is>
      </c>
      <c r="C74" s="81" t="inlineStr">
        <is>
          <t>سید ربیع موسویان</t>
        </is>
      </c>
      <c r="D74" s="118" t="inlineStr">
        <is>
          <t>فروشنده سبد</t>
        </is>
      </c>
      <c r="E74" s="81" t="inlineStr">
        <is>
          <t>سبد پلاستیکی</t>
        </is>
      </c>
      <c r="F74" s="81" t="inlineStr">
        <is>
          <t>طرف حساب</t>
        </is>
      </c>
      <c r="G74" s="119" t="n">
        <v>0</v>
      </c>
    </row>
    <row r="75">
      <c r="B75" s="118" t="inlineStr">
        <is>
          <t>E001</t>
        </is>
      </c>
      <c r="C75" s="81" t="inlineStr">
        <is>
          <t>قاسم زاهدی تیر</t>
        </is>
      </c>
      <c r="D75" s="118" t="inlineStr">
        <is>
          <t>کارمند</t>
        </is>
      </c>
      <c r="E75" s="81" t="inlineStr">
        <is>
          <t>مدیرعامل</t>
        </is>
      </c>
      <c r="F75" s="81" t="inlineStr">
        <is>
          <t>طرف حساب</t>
        </is>
      </c>
      <c r="G75" s="119" t="n">
        <v>0</v>
      </c>
    </row>
    <row r="76">
      <c r="B76" s="118" t="inlineStr">
        <is>
          <t>E002</t>
        </is>
      </c>
      <c r="C76" s="81" t="inlineStr">
        <is>
          <t>(نام حسابدار)</t>
        </is>
      </c>
      <c r="D76" s="118" t="inlineStr">
        <is>
          <t>کارمند</t>
        </is>
      </c>
      <c r="E76" s="81" t="inlineStr">
        <is>
          <t>حسابدار</t>
        </is>
      </c>
      <c r="F76" s="81" t="inlineStr">
        <is>
          <t>طرف حساب</t>
        </is>
      </c>
      <c r="G76" s="119" t="n">
        <v>0</v>
      </c>
    </row>
    <row r="77">
      <c r="B77" s="118" t="inlineStr">
        <is>
          <t>E003</t>
        </is>
      </c>
      <c r="C77" s="81" t="inlineStr">
        <is>
          <t>(نام فروشنده ۱)</t>
        </is>
      </c>
      <c r="D77" s="118" t="inlineStr">
        <is>
          <t>کارمند</t>
        </is>
      </c>
      <c r="E77" s="81" t="inlineStr">
        <is>
          <t>فروشنده</t>
        </is>
      </c>
      <c r="F77" s="81" t="inlineStr">
        <is>
          <t>طرف حساب</t>
        </is>
      </c>
      <c r="G77" s="119" t="n">
        <v>0</v>
      </c>
    </row>
    <row r="78">
      <c r="B78" s="118" t="inlineStr">
        <is>
          <t>E004</t>
        </is>
      </c>
      <c r="C78" s="81" t="inlineStr">
        <is>
          <t>(نام انباردار)</t>
        </is>
      </c>
      <c r="D78" s="118" t="inlineStr">
        <is>
          <t>کارمند</t>
        </is>
      </c>
      <c r="E78" s="81" t="inlineStr">
        <is>
          <t>انباردار</t>
        </is>
      </c>
      <c r="F78" s="81" t="inlineStr">
        <is>
          <t>طرف حساب</t>
        </is>
      </c>
      <c r="G78" s="119" t="n">
        <v>0</v>
      </c>
    </row>
    <row r="79">
      <c r="B79" s="118" t="inlineStr">
        <is>
          <t>E005</t>
        </is>
      </c>
      <c r="C79" s="81" t="inlineStr">
        <is>
          <t>رضا کاظمی (نمونه)</t>
        </is>
      </c>
      <c r="D79" s="118" t="inlineStr">
        <is>
          <t>کارمند</t>
        </is>
      </c>
      <c r="E79" s="81" t="inlineStr">
        <is>
          <t>سرپرست خط</t>
        </is>
      </c>
      <c r="F79" s="81" t="inlineStr">
        <is>
          <t>طرف حساب</t>
        </is>
      </c>
      <c r="G79" s="119" t="n">
        <v>0</v>
      </c>
    </row>
    <row r="80">
      <c r="B80" s="118" t="inlineStr">
        <is>
          <t>E006</t>
        </is>
      </c>
      <c r="C80" s="81" t="inlineStr">
        <is>
          <t>علی احمدی (نمونه)</t>
        </is>
      </c>
      <c r="D80" s="118" t="inlineStr">
        <is>
          <t>کارمند</t>
        </is>
      </c>
      <c r="E80" s="81" t="inlineStr">
        <is>
          <t>کارگر</t>
        </is>
      </c>
      <c r="F80" s="81" t="inlineStr">
        <is>
          <t>طرف حساب</t>
        </is>
      </c>
      <c r="G80" s="119" t="n">
        <v>0</v>
      </c>
    </row>
    <row r="81">
      <c r="B81" s="118" t="inlineStr">
        <is>
          <t>X001</t>
        </is>
      </c>
      <c r="C81" s="81" t="inlineStr">
        <is>
          <t>انعام مصطفی</t>
        </is>
      </c>
      <c r="D81" s="118" t="inlineStr">
        <is>
          <t>سایر حساب</t>
        </is>
      </c>
      <c r="E81" s="81" t="inlineStr">
        <is>
          <t>انعام و پاداش</t>
        </is>
      </c>
      <c r="F81" s="81" t="inlineStr">
        <is>
          <t>طرف حساب</t>
        </is>
      </c>
      <c r="G81" s="119" t="n">
        <v>0</v>
      </c>
    </row>
    <row r="82">
      <c r="B82" s="118" t="inlineStr">
        <is>
          <t>X002</t>
        </is>
      </c>
      <c r="C82" s="81" t="inlineStr">
        <is>
          <t>درآمد باسکول (احمد زاهدی)</t>
        </is>
      </c>
      <c r="D82" s="118" t="inlineStr">
        <is>
          <t>سایر حساب</t>
        </is>
      </c>
      <c r="E82" s="81" t="inlineStr">
        <is>
          <t>درآمد باسکول</t>
        </is>
      </c>
      <c r="F82" s="81" t="inlineStr">
        <is>
          <t>معین</t>
        </is>
      </c>
      <c r="G82" s="119" t="n">
        <v>0</v>
      </c>
    </row>
    <row r="83">
      <c r="B83" s="118" t="inlineStr">
        <is>
          <t>X003</t>
        </is>
      </c>
      <c r="C83" s="81" t="inlineStr">
        <is>
          <t>صندوق شرکت</t>
        </is>
      </c>
      <c r="D83" s="118" t="inlineStr">
        <is>
          <t>سایر حساب</t>
        </is>
      </c>
      <c r="E83" s="81" t="inlineStr">
        <is>
          <t>صندوق</t>
        </is>
      </c>
      <c r="F83" s="81" t="inlineStr">
        <is>
          <t>معین</t>
        </is>
      </c>
      <c r="G83" s="119" t="n">
        <v>150000000</v>
      </c>
    </row>
    <row r="84">
      <c r="B84" s="118" t="inlineStr">
        <is>
          <t>X004</t>
        </is>
      </c>
      <c r="C84" s="81" t="inlineStr">
        <is>
          <t>موجودی مرکبات (انبار)</t>
        </is>
      </c>
      <c r="D84" s="118" t="inlineStr">
        <is>
          <t>سایر حساب</t>
        </is>
      </c>
      <c r="E84" s="81" t="inlineStr">
        <is>
          <t>موجودی</t>
        </is>
      </c>
      <c r="F84" s="81" t="inlineStr">
        <is>
          <t>معین</t>
        </is>
      </c>
      <c r="G84" s="119" t="n">
        <v>0</v>
      </c>
    </row>
    <row r="85">
      <c r="B85" s="118" t="inlineStr">
        <is>
          <t>X005</t>
        </is>
      </c>
      <c r="C85" s="81" t="inlineStr">
        <is>
          <t>موجودی سبد و ظروف</t>
        </is>
      </c>
      <c r="D85" s="118" t="inlineStr">
        <is>
          <t>سایر حساب</t>
        </is>
      </c>
      <c r="E85" s="81" t="inlineStr">
        <is>
          <t>موجودی</t>
        </is>
      </c>
      <c r="F85" s="81" t="inlineStr">
        <is>
          <t>معین</t>
        </is>
      </c>
      <c r="G85" s="119" t="n">
        <v>0</v>
      </c>
    </row>
    <row r="86">
      <c r="B86" s="118" t="inlineStr">
        <is>
          <t>X006</t>
        </is>
      </c>
      <c r="C86" s="81" t="inlineStr">
        <is>
          <t>فروش مرکبات</t>
        </is>
      </c>
      <c r="D86" s="118" t="inlineStr">
        <is>
          <t>سایر حساب</t>
        </is>
      </c>
      <c r="E86" s="81" t="inlineStr">
        <is>
          <t>درآمد</t>
        </is>
      </c>
      <c r="F86" s="81" t="inlineStr">
        <is>
          <t>معین</t>
        </is>
      </c>
      <c r="G86" s="119" t="n">
        <v>0</v>
      </c>
    </row>
    <row r="87">
      <c r="B87" s="118" t="inlineStr">
        <is>
          <t>X007</t>
        </is>
      </c>
      <c r="C87" s="81" t="inlineStr">
        <is>
          <t>فروش سبد</t>
        </is>
      </c>
      <c r="D87" s="118" t="inlineStr">
        <is>
          <t>سایر حساب</t>
        </is>
      </c>
      <c r="E87" s="81" t="inlineStr">
        <is>
          <t>درآمد</t>
        </is>
      </c>
      <c r="F87" s="81" t="inlineStr">
        <is>
          <t>معین</t>
        </is>
      </c>
      <c r="G87" s="119" t="n">
        <v>0</v>
      </c>
    </row>
    <row r="88">
      <c r="B88" s="118" t="inlineStr">
        <is>
          <t>X008</t>
        </is>
      </c>
      <c r="C88" s="81" t="inlineStr">
        <is>
          <t>درآمد آبگیری</t>
        </is>
      </c>
      <c r="D88" s="118" t="inlineStr">
        <is>
          <t>سایر حساب</t>
        </is>
      </c>
      <c r="E88" s="81" t="inlineStr">
        <is>
          <t>درآمد</t>
        </is>
      </c>
      <c r="F88" s="81" t="inlineStr">
        <is>
          <t>معین</t>
        </is>
      </c>
      <c r="G88" s="119" t="n">
        <v>0</v>
      </c>
    </row>
    <row r="89">
      <c r="B89" s="118" t="inlineStr">
        <is>
          <t>X009</t>
        </is>
      </c>
      <c r="C89" s="81" t="inlineStr">
        <is>
          <t>هزینه ضایعات و افت</t>
        </is>
      </c>
      <c r="D89" s="118" t="inlineStr">
        <is>
          <t>سایر حساب</t>
        </is>
      </c>
      <c r="E89" s="81" t="inlineStr">
        <is>
          <t>هزینه</t>
        </is>
      </c>
      <c r="F89" s="81" t="inlineStr">
        <is>
          <t>معین</t>
        </is>
      </c>
      <c r="G89" s="119" t="n">
        <v>0</v>
      </c>
    </row>
    <row r="90">
      <c r="B90" s="118" t="inlineStr">
        <is>
          <t>X010</t>
        </is>
      </c>
      <c r="C90" s="81" t="inlineStr">
        <is>
          <t>چک‌های پرداختی (در جریان)</t>
        </is>
      </c>
      <c r="D90" s="118" t="inlineStr">
        <is>
          <t>سایر حساب</t>
        </is>
      </c>
      <c r="E90" s="81" t="inlineStr">
        <is>
          <t>چک پرداختی</t>
        </is>
      </c>
      <c r="F90" s="81" t="inlineStr">
        <is>
          <t>معین</t>
        </is>
      </c>
      <c r="G90" s="119" t="n">
        <v>0</v>
      </c>
    </row>
    <row r="91">
      <c r="B91" s="118" t="inlineStr">
        <is>
          <t>X011</t>
        </is>
      </c>
      <c r="C91" s="81" t="inlineStr">
        <is>
          <t>حساب واسط عملیات</t>
        </is>
      </c>
      <c r="D91" s="118" t="inlineStr">
        <is>
          <t>سایر حساب</t>
        </is>
      </c>
      <c r="E91" s="81" t="inlineStr">
        <is>
          <t>حساب واسط</t>
        </is>
      </c>
      <c r="F91" s="81" t="inlineStr">
        <is>
          <t>معین</t>
        </is>
      </c>
      <c r="G91" s="119" t="n">
        <v>0</v>
      </c>
    </row>
    <row r="92">
      <c r="B92" s="118" t="inlineStr">
        <is>
          <t>X012</t>
        </is>
      </c>
      <c r="C92" s="81" t="inlineStr">
        <is>
          <t>هزینه حمل و تخلیه</t>
        </is>
      </c>
      <c r="D92" s="118" t="inlineStr">
        <is>
          <t>سایر حساب</t>
        </is>
      </c>
      <c r="E92" s="81" t="inlineStr">
        <is>
          <t>هزینه</t>
        </is>
      </c>
      <c r="F92" s="81" t="inlineStr">
        <is>
          <t>معین</t>
        </is>
      </c>
      <c r="G92" s="119" t="n">
        <v>0</v>
      </c>
    </row>
    <row r="93">
      <c r="B93" s="118" t="inlineStr">
        <is>
          <t>X013</t>
        </is>
      </c>
      <c r="C93" s="81" t="inlineStr">
        <is>
          <t>هزینه دستمزد</t>
        </is>
      </c>
      <c r="D93" s="118" t="inlineStr">
        <is>
          <t>سایر حساب</t>
        </is>
      </c>
      <c r="E93" s="81" t="inlineStr">
        <is>
          <t>هزینه</t>
        </is>
      </c>
      <c r="F93" s="81" t="inlineStr">
        <is>
          <t>معین</t>
        </is>
      </c>
      <c r="G93" s="119" t="n">
        <v>0</v>
      </c>
    </row>
    <row r="94">
      <c r="B94" s="118" t="inlineStr">
        <is>
          <t>X014</t>
        </is>
      </c>
      <c r="C94" s="81" t="inlineStr">
        <is>
          <t>کارمزد بانکی</t>
        </is>
      </c>
      <c r="D94" s="118" t="inlineStr">
        <is>
          <t>سایر حساب</t>
        </is>
      </c>
      <c r="E94" s="81" t="inlineStr">
        <is>
          <t>هزینه</t>
        </is>
      </c>
      <c r="F94" s="81" t="inlineStr">
        <is>
          <t>معین</t>
        </is>
      </c>
      <c r="G94" s="119" t="n">
        <v>0</v>
      </c>
    </row>
    <row r="95">
      <c r="B95" s="118" t="inlineStr">
        <is>
          <t>X015</t>
        </is>
      </c>
      <c r="C95" s="81" t="inlineStr">
        <is>
          <t>سایر درآمدها</t>
        </is>
      </c>
      <c r="D95" s="118" t="inlineStr">
        <is>
          <t>سایر حساب</t>
        </is>
      </c>
      <c r="E95" s="81" t="inlineStr">
        <is>
          <t>درآمد</t>
        </is>
      </c>
      <c r="F95" s="81" t="inlineStr">
        <is>
          <t>معین</t>
        </is>
      </c>
      <c r="G95" s="119" t="n">
        <v>0</v>
      </c>
    </row>
    <row r="96">
      <c r="B96" s="118" t="inlineStr">
        <is>
          <t>X016</t>
        </is>
      </c>
      <c r="C96" s="81" t="inlineStr">
        <is>
          <t>سایر هزینه‌ها</t>
        </is>
      </c>
      <c r="D96" s="118" t="inlineStr">
        <is>
          <t>سایر حساب</t>
        </is>
      </c>
      <c r="E96" s="81" t="inlineStr">
        <is>
          <t>هزینه</t>
        </is>
      </c>
      <c r="F96" s="81" t="inlineStr">
        <is>
          <t>معین</t>
        </is>
      </c>
      <c r="G96" s="119" t="n">
        <v>0</v>
      </c>
    </row>
    <row r="97">
      <c r="B97" s="118" t="inlineStr">
        <is>
          <t>X017</t>
        </is>
      </c>
      <c r="C97" s="81" t="inlineStr">
        <is>
          <t>مالیات و عوارض</t>
        </is>
      </c>
      <c r="D97" s="118" t="inlineStr">
        <is>
          <t>سایر حساب</t>
        </is>
      </c>
      <c r="E97" s="81" t="inlineStr">
        <is>
          <t>مالیات</t>
        </is>
      </c>
      <c r="F97" s="81" t="inlineStr">
        <is>
          <t>معین</t>
        </is>
      </c>
      <c r="G97" s="119" t="n">
        <v>0</v>
      </c>
    </row>
    <row r="98">
      <c r="B98" s="118" t="inlineStr">
        <is>
          <t>X018</t>
        </is>
      </c>
      <c r="C98" s="81" t="inlineStr">
        <is>
          <t>تخفیف و افت بار</t>
        </is>
      </c>
      <c r="D98" s="118" t="inlineStr">
        <is>
          <t>سایر حساب</t>
        </is>
      </c>
      <c r="E98" s="81" t="inlineStr">
        <is>
          <t>درآمد</t>
        </is>
      </c>
      <c r="F98" s="81" t="inlineStr">
        <is>
          <t>معین</t>
        </is>
      </c>
      <c r="G98" s="119" t="n">
        <v>0</v>
      </c>
    </row>
    <row r="99">
      <c r="B99" s="118" t="inlineStr">
        <is>
          <t>X019</t>
        </is>
      </c>
      <c r="C99" s="81" t="inlineStr">
        <is>
          <t>موجودی مواد بسته‌بندی</t>
        </is>
      </c>
      <c r="D99" s="118" t="inlineStr">
        <is>
          <t>سایر حساب</t>
        </is>
      </c>
      <c r="E99" s="81" t="inlineStr">
        <is>
          <t>موجودی</t>
        </is>
      </c>
      <c r="F99" s="81" t="inlineStr">
        <is>
          <t>معین</t>
        </is>
      </c>
      <c r="G99" s="119" t="n">
        <v>0</v>
      </c>
    </row>
    <row r="100">
      <c r="B100" s="118" t="inlineStr">
        <is>
          <t>X020</t>
        </is>
      </c>
      <c r="C100" s="81" t="inlineStr">
        <is>
          <t>حساب کنترل ترازنامه</t>
        </is>
      </c>
      <c r="D100" s="118" t="inlineStr">
        <is>
          <t>سایر حساب</t>
        </is>
      </c>
      <c r="E100" s="81" t="inlineStr">
        <is>
          <t>حساب واسط</t>
        </is>
      </c>
      <c r="F100" s="81" t="inlineStr">
        <is>
          <t>معین</t>
        </is>
      </c>
      <c r="G100" s="119" t="n">
        <v>0</v>
      </c>
    </row>
    <row r="101">
      <c r="B101" s="118" t="inlineStr">
        <is>
          <t>F001</t>
        </is>
      </c>
      <c r="C101" s="81" t="inlineStr">
        <is>
          <t>زمین باغدشت (نمونه)</t>
        </is>
      </c>
      <c r="D101" s="118" t="inlineStr">
        <is>
          <t>دارایی ثابت</t>
        </is>
      </c>
      <c r="E101" s="81" t="inlineStr">
        <is>
          <t>زمین و ساختمان</t>
        </is>
      </c>
      <c r="F101" s="81" t="inlineStr">
        <is>
          <t>طرف حساب</t>
        </is>
      </c>
      <c r="G101" s="119" t="n">
        <v>2000000000</v>
      </c>
    </row>
    <row r="102">
      <c r="B102" s="118" t="inlineStr">
        <is>
          <t>F002</t>
        </is>
      </c>
      <c r="C102" s="81" t="inlineStr">
        <is>
          <t>وانت حمل بار (نمونه)</t>
        </is>
      </c>
      <c r="D102" s="118" t="inlineStr">
        <is>
          <t>دارایی ثابت</t>
        </is>
      </c>
      <c r="E102" s="81" t="inlineStr">
        <is>
          <t>خودرو و حمل‌ونقل</t>
        </is>
      </c>
      <c r="F102" s="81" t="inlineStr">
        <is>
          <t>طرف حساب</t>
        </is>
      </c>
      <c r="G102" s="119" t="n">
        <v>0</v>
      </c>
    </row>
    <row r="103">
      <c r="B103" s="118" t="inlineStr">
        <is>
          <t>F003</t>
        </is>
      </c>
      <c r="C103" s="81" t="inlineStr">
        <is>
          <t>ماشین‌آلات خط سورتینگ (نمونه)</t>
        </is>
      </c>
      <c r="D103" s="118" t="inlineStr">
        <is>
          <t>دارایی ثابت</t>
        </is>
      </c>
      <c r="E103" s="81" t="inlineStr">
        <is>
          <t>ماشین‌آلات و تجهیزات</t>
        </is>
      </c>
      <c r="F103" s="81" t="inlineStr">
        <is>
          <t>طرف حساب</t>
        </is>
      </c>
      <c r="G103" s="119" t="n">
        <v>0</v>
      </c>
    </row>
    <row r="104">
      <c r="B104" s="118" t="inlineStr">
        <is>
          <t>L001</t>
        </is>
      </c>
      <c r="C104" s="81" t="inlineStr">
        <is>
          <t>وام بانک ملت (نمونه)</t>
        </is>
      </c>
      <c r="D104" s="118" t="inlineStr">
        <is>
          <t>وام و تسهیلات</t>
        </is>
      </c>
      <c r="E104" s="81" t="inlineStr">
        <is>
          <t>وام بانکی</t>
        </is>
      </c>
      <c r="F104" s="81" t="inlineStr">
        <is>
          <t>طرف حساب</t>
        </is>
      </c>
      <c r="G104" s="119" t="n">
        <v>0</v>
      </c>
    </row>
    <row r="105">
      <c r="B105" s="118" t="inlineStr">
        <is>
          <t>CAP001</t>
        </is>
      </c>
      <c r="C105" s="81" t="inlineStr">
        <is>
          <t>سرمایه و آورده صاحبان (نمونه)</t>
        </is>
      </c>
      <c r="D105" s="118" t="inlineStr">
        <is>
          <t>سرمایه و آورده صاحبان</t>
        </is>
      </c>
      <c r="E105" s="81" t="inlineStr">
        <is>
          <t>سرمایه اولیه</t>
        </is>
      </c>
      <c r="F105" s="81" t="inlineStr">
        <is>
          <t>طرف حساب</t>
        </is>
      </c>
      <c r="G105" s="119" t="n">
        <v>-2650000000</v>
      </c>
    </row>
    <row r="106">
      <c r="B106" s="118" t="inlineStr">
        <is>
          <t>BD001</t>
        </is>
      </c>
      <c r="C106" s="81" t="inlineStr">
        <is>
          <t>باسکول میدان بار (نمونه)</t>
        </is>
      </c>
      <c r="D106" s="118" t="inlineStr">
        <is>
          <t>باسکول دیگران</t>
        </is>
      </c>
      <c r="E106" s="81" t="inlineStr">
        <is>
          <t>باسکول محلی</t>
        </is>
      </c>
      <c r="F106" s="81" t="inlineStr">
        <is>
          <t>طرف حساب</t>
        </is>
      </c>
      <c r="G106" s="119" t="n">
        <v>0</v>
      </c>
    </row>
    <row r="107">
      <c r="B107" s="118" t="inlineStr">
        <is>
          <t>BN01</t>
        </is>
      </c>
      <c r="C107" s="81" t="inlineStr">
        <is>
          <t>صادرات ۹۰۰۹ — جاری اصلی</t>
        </is>
      </c>
      <c r="D107" s="118" t="inlineStr">
        <is>
          <t>بانک و صندوق</t>
        </is>
      </c>
      <c r="E107" s="81" t="inlineStr">
        <is>
          <t>حساب‌های بانکی</t>
        </is>
      </c>
      <c r="F107" s="81" t="inlineStr">
        <is>
          <t>بانک</t>
        </is>
      </c>
      <c r="G107" s="119" t="n">
        <v>0</v>
      </c>
    </row>
    <row r="108">
      <c r="B108" s="118" t="inlineStr">
        <is>
          <t>BN02</t>
        </is>
      </c>
      <c r="C108" s="81" t="inlineStr">
        <is>
          <t>صادرات ۲۰۰۶ — پوز باسکول</t>
        </is>
      </c>
      <c r="D108" s="118" t="inlineStr">
        <is>
          <t>بانک و صندوق</t>
        </is>
      </c>
      <c r="E108" s="81" t="inlineStr">
        <is>
          <t>حساب‌های بانکی</t>
        </is>
      </c>
      <c r="F108" s="81" t="inlineStr">
        <is>
          <t>بانک</t>
        </is>
      </c>
      <c r="G108" s="119" t="n">
        <v>0</v>
      </c>
    </row>
    <row r="109">
      <c r="B109" s="118" t="inlineStr">
        <is>
          <t>BN03</t>
        </is>
      </c>
      <c r="C109" s="81" t="inlineStr">
        <is>
          <t>بانک ملت</t>
        </is>
      </c>
      <c r="D109" s="118" t="inlineStr">
        <is>
          <t>بانک و صندوق</t>
        </is>
      </c>
      <c r="E109" s="81" t="inlineStr">
        <is>
          <t>حساب‌های بانکی</t>
        </is>
      </c>
      <c r="F109" s="81" t="inlineStr">
        <is>
          <t>بانک</t>
        </is>
      </c>
      <c r="G109" s="119" t="n">
        <v>0</v>
      </c>
    </row>
    <row r="110">
      <c r="B110" s="118" t="inlineStr">
        <is>
          <t>BN04</t>
        </is>
      </c>
      <c r="C110" s="81" t="inlineStr">
        <is>
          <t>بانک کشاورزی</t>
        </is>
      </c>
      <c r="D110" s="118" t="inlineStr">
        <is>
          <t>بانک و صندوق</t>
        </is>
      </c>
      <c r="E110" s="81" t="inlineStr">
        <is>
          <t>حساب‌های بانکی</t>
        </is>
      </c>
      <c r="F110" s="81" t="inlineStr">
        <is>
          <t>بانک</t>
        </is>
      </c>
      <c r="G110" s="119" t="n">
        <v>0</v>
      </c>
    </row>
    <row r="111">
      <c r="B111" s="118" t="inlineStr">
        <is>
          <t>BN05</t>
        </is>
      </c>
      <c r="C111" s="81" t="inlineStr">
        <is>
          <t>بانک سپه</t>
        </is>
      </c>
      <c r="D111" s="118" t="inlineStr">
        <is>
          <t>بانک و صندوق</t>
        </is>
      </c>
      <c r="E111" s="81" t="inlineStr">
        <is>
          <t>حساب‌های بانکی</t>
        </is>
      </c>
      <c r="F111" s="81" t="inlineStr">
        <is>
          <t>بانک</t>
        </is>
      </c>
      <c r="G111" s="119" t="n">
        <v>0</v>
      </c>
    </row>
    <row r="112">
      <c r="B112" s="118" t="inlineStr">
        <is>
          <t>BN06</t>
        </is>
      </c>
      <c r="C112" s="81" t="inlineStr">
        <is>
          <t>بانک مهر ایران</t>
        </is>
      </c>
      <c r="D112" s="118" t="inlineStr">
        <is>
          <t>بانک و صندوق</t>
        </is>
      </c>
      <c r="E112" s="81" t="inlineStr">
        <is>
          <t>حساب‌های بانکی</t>
        </is>
      </c>
      <c r="F112" s="81" t="inlineStr">
        <is>
          <t>بانک</t>
        </is>
      </c>
      <c r="G112" s="119" t="n">
        <v>0</v>
      </c>
    </row>
    <row r="113">
      <c r="B113" s="118" t="inlineStr">
        <is>
          <t>BN07</t>
        </is>
      </c>
      <c r="C113" s="81" t="inlineStr">
        <is>
          <t>بانک تجارت</t>
        </is>
      </c>
      <c r="D113" s="118" t="inlineStr">
        <is>
          <t>بانک و صندوق</t>
        </is>
      </c>
      <c r="E113" s="81" t="inlineStr">
        <is>
          <t>حساب‌های بانکی</t>
        </is>
      </c>
      <c r="F113" s="81" t="inlineStr">
        <is>
          <t>بانک</t>
        </is>
      </c>
      <c r="G113" s="119" t="n">
        <v>0</v>
      </c>
    </row>
    <row r="114">
      <c r="B114" s="118" t="inlineStr">
        <is>
          <t>BN08</t>
        </is>
      </c>
      <c r="C114" s="81" t="inlineStr">
        <is>
          <t>بانک پاسارگاد</t>
        </is>
      </c>
      <c r="D114" s="118" t="inlineStr">
        <is>
          <t>بانک و صندوق</t>
        </is>
      </c>
      <c r="E114" s="81" t="inlineStr">
        <is>
          <t>حساب‌های بانکی</t>
        </is>
      </c>
      <c r="F114" s="81" t="inlineStr">
        <is>
          <t>بانک</t>
        </is>
      </c>
      <c r="G114" s="119" t="n">
        <v>0</v>
      </c>
    </row>
    <row r="115">
      <c r="B115" s="118" t="inlineStr">
        <is>
          <t>BN09</t>
        </is>
      </c>
      <c r="C115" s="81" t="inlineStr">
        <is>
          <t>بانک رفاه</t>
        </is>
      </c>
      <c r="D115" s="118" t="inlineStr">
        <is>
          <t>بانک و صندوق</t>
        </is>
      </c>
      <c r="E115" s="81" t="inlineStr">
        <is>
          <t>حساب‌های بانکی</t>
        </is>
      </c>
      <c r="F115" s="81" t="inlineStr">
        <is>
          <t>بانک</t>
        </is>
      </c>
      <c r="G115" s="119" t="n">
        <v>0</v>
      </c>
    </row>
    <row r="116">
      <c r="B116" s="118" t="inlineStr">
        <is>
          <t>BN10</t>
        </is>
      </c>
      <c r="C116" s="81" t="inlineStr">
        <is>
          <t>قرض‌الحسنه</t>
        </is>
      </c>
      <c r="D116" s="118" t="inlineStr">
        <is>
          <t>بانک و صندوق</t>
        </is>
      </c>
      <c r="E116" s="81" t="inlineStr">
        <is>
          <t>حساب‌های بانکی</t>
        </is>
      </c>
      <c r="F116" s="81" t="inlineStr">
        <is>
          <t>بانک</t>
        </is>
      </c>
      <c r="G116" s="119" t="n">
        <v>0</v>
      </c>
    </row>
    <row r="117">
      <c r="B117" s="83" t="inlineStr">
        <is>
          <t>C058</t>
        </is>
      </c>
      <c r="C117" s="83" t="n"/>
      <c r="D117" s="83" t="n"/>
      <c r="E117" s="83" t="n"/>
      <c r="F117" s="83" t="n"/>
      <c r="G117" s="119" t="n">
        <v>0</v>
      </c>
    </row>
    <row r="118">
      <c r="B118" s="83" t="inlineStr">
        <is>
          <t>C059</t>
        </is>
      </c>
      <c r="C118" s="83" t="n"/>
      <c r="D118" s="83" t="n"/>
      <c r="E118" s="83" t="n"/>
      <c r="F118" s="83" t="n"/>
      <c r="G118" s="119" t="n">
        <v>0</v>
      </c>
    </row>
    <row r="119">
      <c r="B119" s="83" t="inlineStr">
        <is>
          <t>C060</t>
        </is>
      </c>
      <c r="C119" s="83" t="n"/>
      <c r="D119" s="83" t="n"/>
      <c r="E119" s="83" t="n"/>
      <c r="F119" s="83" t="n"/>
      <c r="G119" s="119" t="n">
        <v>0</v>
      </c>
    </row>
    <row r="120">
      <c r="B120" s="83" t="inlineStr">
        <is>
          <t>C061</t>
        </is>
      </c>
      <c r="C120" s="83" t="n"/>
      <c r="D120" s="83" t="n"/>
      <c r="E120" s="83" t="n"/>
      <c r="F120" s="83" t="n"/>
      <c r="G120" s="119" t="n">
        <v>0</v>
      </c>
    </row>
    <row r="121">
      <c r="B121" s="83" t="inlineStr">
        <is>
          <t>C062</t>
        </is>
      </c>
      <c r="C121" s="83" t="n"/>
      <c r="D121" s="83" t="n"/>
      <c r="E121" s="83" t="n"/>
      <c r="F121" s="83" t="n"/>
      <c r="G121" s="119" t="n">
        <v>0</v>
      </c>
    </row>
    <row r="122">
      <c r="B122" s="83" t="inlineStr">
        <is>
          <t>C063</t>
        </is>
      </c>
      <c r="C122" s="83" t="n"/>
      <c r="D122" s="83" t="n"/>
      <c r="E122" s="83" t="n"/>
      <c r="F122" s="83" t="n"/>
      <c r="G122" s="119" t="n">
        <v>0</v>
      </c>
    </row>
    <row r="123">
      <c r="B123" s="83" t="inlineStr">
        <is>
          <t>C064</t>
        </is>
      </c>
      <c r="C123" s="83" t="n"/>
      <c r="D123" s="83" t="n"/>
      <c r="E123" s="83" t="n"/>
      <c r="F123" s="83" t="n"/>
      <c r="G123" s="119" t="n">
        <v>0</v>
      </c>
    </row>
    <row r="124">
      <c r="B124" s="83" t="inlineStr">
        <is>
          <t>C065</t>
        </is>
      </c>
      <c r="C124" s="83" t="n"/>
      <c r="D124" s="83" t="n"/>
      <c r="E124" s="83" t="n"/>
      <c r="F124" s="83" t="n"/>
      <c r="G124" s="119" t="n">
        <v>0</v>
      </c>
    </row>
    <row r="125">
      <c r="B125" s="83" t="inlineStr">
        <is>
          <t>C066</t>
        </is>
      </c>
      <c r="C125" s="83" t="n"/>
      <c r="D125" s="83" t="n"/>
      <c r="E125" s="83" t="n"/>
      <c r="F125" s="83" t="n"/>
      <c r="G125" s="119" t="n">
        <v>0</v>
      </c>
    </row>
    <row r="126">
      <c r="B126" s="83" t="inlineStr">
        <is>
          <t>C067</t>
        </is>
      </c>
      <c r="C126" s="83" t="n"/>
      <c r="D126" s="83" t="n"/>
      <c r="E126" s="83" t="n"/>
      <c r="F126" s="83" t="n"/>
      <c r="G126" s="119" t="n">
        <v>0</v>
      </c>
    </row>
    <row r="127">
      <c r="B127" s="83" t="inlineStr">
        <is>
          <t>C068</t>
        </is>
      </c>
      <c r="C127" s="83" t="n"/>
      <c r="D127" s="83" t="n"/>
      <c r="E127" s="83" t="n"/>
      <c r="F127" s="83" t="n"/>
      <c r="G127" s="119" t="n">
        <v>0</v>
      </c>
    </row>
    <row r="128">
      <c r="B128" s="83" t="inlineStr">
        <is>
          <t>C069</t>
        </is>
      </c>
      <c r="C128" s="83" t="n"/>
      <c r="D128" s="83" t="n"/>
      <c r="E128" s="83" t="n"/>
      <c r="F128" s="83" t="n"/>
      <c r="G128" s="119" t="n">
        <v>0</v>
      </c>
    </row>
    <row r="129">
      <c r="B129" s="83" t="inlineStr">
        <is>
          <t>C070</t>
        </is>
      </c>
      <c r="C129" s="83" t="n"/>
      <c r="D129" s="83" t="n"/>
      <c r="E129" s="83" t="n"/>
      <c r="F129" s="83" t="n"/>
      <c r="G129" s="119" t="n">
        <v>0</v>
      </c>
    </row>
    <row r="130">
      <c r="B130" s="83" t="inlineStr">
        <is>
          <t>C071</t>
        </is>
      </c>
      <c r="C130" s="83" t="n"/>
      <c r="D130" s="83" t="n"/>
      <c r="E130" s="83" t="n"/>
      <c r="F130" s="83" t="n"/>
      <c r="G130" s="119" t="n">
        <v>0</v>
      </c>
    </row>
    <row r="131">
      <c r="B131" s="83" t="inlineStr">
        <is>
          <t>C072</t>
        </is>
      </c>
      <c r="C131" s="83" t="n"/>
      <c r="D131" s="83" t="n"/>
      <c r="E131" s="83" t="n"/>
      <c r="F131" s="83" t="n"/>
      <c r="G131" s="119" t="n">
        <v>0</v>
      </c>
    </row>
    <row r="132">
      <c r="B132" s="83" t="inlineStr">
        <is>
          <t>C073</t>
        </is>
      </c>
      <c r="C132" s="83" t="n"/>
      <c r="D132" s="83" t="n"/>
      <c r="E132" s="83" t="n"/>
      <c r="F132" s="83" t="n"/>
      <c r="G132" s="119" t="n">
        <v>0</v>
      </c>
    </row>
    <row r="133">
      <c r="B133" s="83" t="inlineStr">
        <is>
          <t>C074</t>
        </is>
      </c>
      <c r="C133" s="83" t="n"/>
      <c r="D133" s="83" t="n"/>
      <c r="E133" s="83" t="n"/>
      <c r="F133" s="83" t="n"/>
      <c r="G133" s="119" t="n">
        <v>0</v>
      </c>
    </row>
    <row r="134">
      <c r="B134" s="83" t="inlineStr">
        <is>
          <t>C075</t>
        </is>
      </c>
      <c r="C134" s="83" t="n"/>
      <c r="D134" s="83" t="n"/>
      <c r="E134" s="83" t="n"/>
      <c r="F134" s="83" t="n"/>
      <c r="G134" s="119" t="n">
        <v>0</v>
      </c>
    </row>
    <row r="135">
      <c r="B135" s="83" t="inlineStr">
        <is>
          <t>C076</t>
        </is>
      </c>
      <c r="C135" s="83" t="n"/>
      <c r="D135" s="83" t="n"/>
      <c r="E135" s="83" t="n"/>
      <c r="F135" s="83" t="n"/>
      <c r="G135" s="119" t="n">
        <v>0</v>
      </c>
    </row>
    <row r="136">
      <c r="B136" s="83" t="inlineStr">
        <is>
          <t>C077</t>
        </is>
      </c>
      <c r="C136" s="83" t="n"/>
      <c r="D136" s="83" t="n"/>
      <c r="E136" s="83" t="n"/>
      <c r="F136" s="83" t="n"/>
      <c r="G136" s="119" t="n">
        <v>0</v>
      </c>
    </row>
    <row r="137">
      <c r="B137" s="83" t="inlineStr">
        <is>
          <t>C078</t>
        </is>
      </c>
      <c r="C137" s="83" t="n"/>
      <c r="D137" s="83" t="n"/>
      <c r="E137" s="83" t="n"/>
      <c r="F137" s="83" t="n"/>
      <c r="G137" s="119" t="n">
        <v>0</v>
      </c>
    </row>
    <row r="138">
      <c r="B138" s="83" t="inlineStr">
        <is>
          <t>C079</t>
        </is>
      </c>
      <c r="C138" s="83" t="n"/>
      <c r="D138" s="83" t="n"/>
      <c r="E138" s="83" t="n"/>
      <c r="F138" s="83" t="n"/>
      <c r="G138" s="119" t="n">
        <v>0</v>
      </c>
    </row>
    <row r="139">
      <c r="B139" s="83" t="inlineStr">
        <is>
          <t>C080</t>
        </is>
      </c>
      <c r="C139" s="83" t="n"/>
      <c r="D139" s="83" t="n"/>
      <c r="E139" s="83" t="n"/>
      <c r="F139" s="83" t="n"/>
      <c r="G139" s="119" t="n">
        <v>0</v>
      </c>
    </row>
    <row r="140">
      <c r="B140" s="83" t="inlineStr">
        <is>
          <t>C081</t>
        </is>
      </c>
      <c r="C140" s="83" t="n"/>
      <c r="D140" s="83" t="n"/>
      <c r="E140" s="83" t="n"/>
      <c r="F140" s="83" t="n"/>
      <c r="G140" s="119" t="n">
        <v>0</v>
      </c>
    </row>
    <row r="141">
      <c r="B141" s="83" t="inlineStr">
        <is>
          <t>C082</t>
        </is>
      </c>
      <c r="C141" s="83" t="n"/>
      <c r="D141" s="83" t="n"/>
      <c r="E141" s="83" t="n"/>
      <c r="F141" s="83" t="n"/>
      <c r="G141" s="119" t="n">
        <v>0</v>
      </c>
    </row>
    <row r="142">
      <c r="B142" s="83" t="inlineStr">
        <is>
          <t>C083</t>
        </is>
      </c>
      <c r="C142" s="83" t="n"/>
      <c r="D142" s="83" t="n"/>
      <c r="E142" s="83" t="n"/>
      <c r="F142" s="83" t="n"/>
      <c r="G142" s="119" t="n">
        <v>0</v>
      </c>
    </row>
    <row r="143">
      <c r="B143" s="83" t="inlineStr">
        <is>
          <t>C084</t>
        </is>
      </c>
      <c r="C143" s="83" t="n"/>
      <c r="D143" s="83" t="n"/>
      <c r="E143" s="83" t="n"/>
      <c r="F143" s="83" t="n"/>
      <c r="G143" s="119" t="n">
        <v>0</v>
      </c>
    </row>
    <row r="144">
      <c r="B144" s="83" t="inlineStr">
        <is>
          <t>C085</t>
        </is>
      </c>
      <c r="C144" s="83" t="n"/>
      <c r="D144" s="83" t="n"/>
      <c r="E144" s="83" t="n"/>
      <c r="F144" s="83" t="n"/>
      <c r="G144" s="119" t="n">
        <v>0</v>
      </c>
    </row>
    <row r="145">
      <c r="B145" s="83" t="inlineStr">
        <is>
          <t>C086</t>
        </is>
      </c>
      <c r="C145" s="83" t="n"/>
      <c r="D145" s="83" t="n"/>
      <c r="E145" s="83" t="n"/>
      <c r="F145" s="83" t="n"/>
      <c r="G145" s="119" t="n">
        <v>0</v>
      </c>
    </row>
    <row r="146">
      <c r="B146" s="83" t="inlineStr">
        <is>
          <t>C087</t>
        </is>
      </c>
      <c r="C146" s="83" t="n"/>
      <c r="D146" s="83" t="n"/>
      <c r="E146" s="83" t="n"/>
      <c r="F146" s="83" t="n"/>
      <c r="G146" s="119" t="n">
        <v>0</v>
      </c>
    </row>
    <row r="147">
      <c r="B147" s="83" t="inlineStr">
        <is>
          <t>C088</t>
        </is>
      </c>
      <c r="C147" s="83" t="n"/>
      <c r="D147" s="83" t="n"/>
      <c r="E147" s="83" t="n"/>
      <c r="F147" s="83" t="n"/>
      <c r="G147" s="119" t="n">
        <v>0</v>
      </c>
    </row>
    <row r="148">
      <c r="B148" s="83" t="inlineStr">
        <is>
          <t>C089</t>
        </is>
      </c>
      <c r="C148" s="83" t="n"/>
      <c r="D148" s="83" t="n"/>
      <c r="E148" s="83" t="n"/>
      <c r="F148" s="83" t="n"/>
      <c r="G148" s="119" t="n">
        <v>0</v>
      </c>
    </row>
    <row r="149">
      <c r="B149" s="83" t="inlineStr">
        <is>
          <t>C090</t>
        </is>
      </c>
      <c r="C149" s="83" t="n"/>
      <c r="D149" s="83" t="n"/>
      <c r="E149" s="83" t="n"/>
      <c r="F149" s="83" t="n"/>
      <c r="G149" s="119" t="n">
        <v>0</v>
      </c>
    </row>
    <row r="150">
      <c r="B150" s="83" t="inlineStr">
        <is>
          <t>C091</t>
        </is>
      </c>
      <c r="C150" s="83" t="n"/>
      <c r="D150" s="83" t="n"/>
      <c r="E150" s="83" t="n"/>
      <c r="F150" s="83" t="n"/>
      <c r="G150" s="119" t="n">
        <v>0</v>
      </c>
    </row>
    <row r="151">
      <c r="B151" s="83" t="inlineStr">
        <is>
          <t>C092</t>
        </is>
      </c>
      <c r="C151" s="83" t="n"/>
      <c r="D151" s="83" t="n"/>
      <c r="E151" s="83" t="n"/>
      <c r="F151" s="83" t="n"/>
      <c r="G151" s="119" t="n">
        <v>0</v>
      </c>
    </row>
    <row r="152">
      <c r="B152" s="83" t="inlineStr">
        <is>
          <t>C093</t>
        </is>
      </c>
      <c r="C152" s="83" t="n"/>
      <c r="D152" s="83" t="n"/>
      <c r="E152" s="83" t="n"/>
      <c r="F152" s="83" t="n"/>
      <c r="G152" s="119" t="n">
        <v>0</v>
      </c>
    </row>
    <row r="153">
      <c r="B153" s="83" t="inlineStr">
        <is>
          <t>C094</t>
        </is>
      </c>
      <c r="C153" s="83" t="n"/>
      <c r="D153" s="83" t="n"/>
      <c r="E153" s="83" t="n"/>
      <c r="F153" s="83" t="n"/>
      <c r="G153" s="119" t="n">
        <v>0</v>
      </c>
    </row>
    <row r="154">
      <c r="B154" s="83" t="inlineStr">
        <is>
          <t>C095</t>
        </is>
      </c>
      <c r="C154" s="83" t="n"/>
      <c r="D154" s="83" t="n"/>
      <c r="E154" s="83" t="n"/>
      <c r="F154" s="83" t="n"/>
      <c r="G154" s="119" t="n">
        <v>0</v>
      </c>
    </row>
    <row r="155">
      <c r="B155" s="83" t="inlineStr">
        <is>
          <t>C096</t>
        </is>
      </c>
      <c r="C155" s="83" t="n"/>
      <c r="D155" s="83" t="n"/>
      <c r="E155" s="83" t="n"/>
      <c r="F155" s="83" t="n"/>
      <c r="G155" s="119" t="n">
        <v>0</v>
      </c>
    </row>
    <row r="156">
      <c r="B156" s="83" t="inlineStr">
        <is>
          <t>C097</t>
        </is>
      </c>
      <c r="C156" s="83" t="n"/>
      <c r="D156" s="83" t="n"/>
      <c r="E156" s="83" t="n"/>
      <c r="F156" s="83" t="n"/>
      <c r="G156" s="119" t="n">
        <v>0</v>
      </c>
    </row>
    <row r="157">
      <c r="B157" s="83" t="inlineStr">
        <is>
          <t>C098</t>
        </is>
      </c>
      <c r="C157" s="83" t="n"/>
      <c r="D157" s="83" t="n"/>
      <c r="E157" s="83" t="n"/>
      <c r="F157" s="83" t="n"/>
      <c r="G157" s="119" t="n">
        <v>0</v>
      </c>
    </row>
    <row r="158">
      <c r="B158" s="83" t="inlineStr">
        <is>
          <t>C099</t>
        </is>
      </c>
      <c r="C158" s="83" t="n"/>
      <c r="D158" s="83" t="n"/>
      <c r="E158" s="83" t="n"/>
      <c r="F158" s="83" t="n"/>
      <c r="G158" s="119" t="n">
        <v>0</v>
      </c>
    </row>
    <row r="159">
      <c r="B159" s="83" t="inlineStr">
        <is>
          <t>C100</t>
        </is>
      </c>
      <c r="C159" s="83" t="n"/>
      <c r="D159" s="83" t="n"/>
      <c r="E159" s="83" t="n"/>
      <c r="F159" s="83" t="n"/>
      <c r="G159" s="119" t="n">
        <v>0</v>
      </c>
    </row>
    <row r="160">
      <c r="B160" s="83" t="inlineStr">
        <is>
          <t>C101</t>
        </is>
      </c>
      <c r="C160" s="83" t="n"/>
      <c r="D160" s="83" t="n"/>
      <c r="E160" s="83" t="n"/>
      <c r="F160" s="83" t="n"/>
      <c r="G160" s="119" t="n">
        <v>0</v>
      </c>
    </row>
    <row r="161">
      <c r="B161" s="83" t="inlineStr">
        <is>
          <t>C102</t>
        </is>
      </c>
      <c r="C161" s="83" t="n"/>
      <c r="D161" s="83" t="n"/>
      <c r="E161" s="83" t="n"/>
      <c r="F161" s="83" t="n"/>
      <c r="G161" s="119" t="n">
        <v>0</v>
      </c>
    </row>
    <row r="162">
      <c r="B162" s="83" t="inlineStr">
        <is>
          <t>C103</t>
        </is>
      </c>
      <c r="C162" s="83" t="n"/>
      <c r="D162" s="83" t="n"/>
      <c r="E162" s="83" t="n"/>
      <c r="F162" s="83" t="n"/>
      <c r="G162" s="119" t="n">
        <v>0</v>
      </c>
    </row>
    <row r="163">
      <c r="B163" s="83" t="inlineStr">
        <is>
          <t>C104</t>
        </is>
      </c>
      <c r="C163" s="83" t="n"/>
      <c r="D163" s="83" t="n"/>
      <c r="E163" s="83" t="n"/>
      <c r="F163" s="83" t="n"/>
      <c r="G163" s="119" t="n">
        <v>0</v>
      </c>
    </row>
    <row r="164">
      <c r="B164" s="83" t="inlineStr">
        <is>
          <t>C105</t>
        </is>
      </c>
      <c r="C164" s="83" t="n"/>
      <c r="D164" s="83" t="n"/>
      <c r="E164" s="83" t="n"/>
      <c r="F164" s="83" t="n"/>
      <c r="G164" s="119" t="n">
        <v>0</v>
      </c>
    </row>
    <row r="165">
      <c r="B165" s="83" t="inlineStr">
        <is>
          <t>C106</t>
        </is>
      </c>
      <c r="C165" s="83" t="n"/>
      <c r="D165" s="83" t="n"/>
      <c r="E165" s="83" t="n"/>
      <c r="F165" s="83" t="n"/>
      <c r="G165" s="119" t="n">
        <v>0</v>
      </c>
    </row>
    <row r="166">
      <c r="B166" s="83" t="inlineStr">
        <is>
          <t>C107</t>
        </is>
      </c>
      <c r="C166" s="83" t="n"/>
      <c r="D166" s="83" t="n"/>
      <c r="E166" s="83" t="n"/>
      <c r="F166" s="83" t="n"/>
      <c r="G166" s="119" t="n">
        <v>0</v>
      </c>
    </row>
    <row r="167">
      <c r="B167" s="83" t="inlineStr">
        <is>
          <t>C108</t>
        </is>
      </c>
      <c r="C167" s="83" t="n"/>
      <c r="D167" s="83" t="n"/>
      <c r="E167" s="83" t="n"/>
      <c r="F167" s="83" t="n"/>
      <c r="G167" s="119" t="n">
        <v>0</v>
      </c>
    </row>
    <row r="168">
      <c r="B168" s="83" t="inlineStr">
        <is>
          <t>C109</t>
        </is>
      </c>
      <c r="C168" s="83" t="n"/>
      <c r="D168" s="83" t="n"/>
      <c r="E168" s="83" t="n"/>
      <c r="F168" s="83" t="n"/>
      <c r="G168" s="119" t="n">
        <v>0</v>
      </c>
    </row>
    <row r="169">
      <c r="B169" s="83" t="inlineStr">
        <is>
          <t>C110</t>
        </is>
      </c>
      <c r="C169" s="83" t="n"/>
      <c r="D169" s="83" t="n"/>
      <c r="E169" s="83" t="n"/>
      <c r="F169" s="83" t="n"/>
      <c r="G169" s="119" t="n">
        <v>0</v>
      </c>
    </row>
    <row r="170">
      <c r="B170" s="83" t="inlineStr">
        <is>
          <t>C111</t>
        </is>
      </c>
      <c r="C170" s="83" t="n"/>
      <c r="D170" s="83" t="n"/>
      <c r="E170" s="83" t="n"/>
      <c r="F170" s="83" t="n"/>
      <c r="G170" s="119" t="n">
        <v>0</v>
      </c>
    </row>
    <row r="171">
      <c r="B171" s="83" t="inlineStr">
        <is>
          <t>C112</t>
        </is>
      </c>
      <c r="C171" s="83" t="n"/>
      <c r="D171" s="83" t="n"/>
      <c r="E171" s="83" t="n"/>
      <c r="F171" s="83" t="n"/>
      <c r="G171" s="119" t="n">
        <v>0</v>
      </c>
    </row>
    <row r="172">
      <c r="B172" s="83" t="inlineStr">
        <is>
          <t>C113</t>
        </is>
      </c>
      <c r="C172" s="83" t="n"/>
      <c r="D172" s="83" t="n"/>
      <c r="E172" s="83" t="n"/>
      <c r="F172" s="83" t="n"/>
      <c r="G172" s="119" t="n">
        <v>0</v>
      </c>
    </row>
    <row r="173">
      <c r="B173" s="83" t="inlineStr">
        <is>
          <t>C114</t>
        </is>
      </c>
      <c r="C173" s="83" t="n"/>
      <c r="D173" s="83" t="n"/>
      <c r="E173" s="83" t="n"/>
      <c r="F173" s="83" t="n"/>
      <c r="G173" s="119" t="n">
        <v>0</v>
      </c>
    </row>
    <row r="174">
      <c r="B174" s="83" t="inlineStr">
        <is>
          <t>C115</t>
        </is>
      </c>
      <c r="C174" s="83" t="n"/>
      <c r="D174" s="83" t="n"/>
      <c r="E174" s="83" t="n"/>
      <c r="F174" s="83" t="n"/>
      <c r="G174" s="119" t="n">
        <v>0</v>
      </c>
    </row>
    <row r="175">
      <c r="B175" s="83" t="inlineStr">
        <is>
          <t>C116</t>
        </is>
      </c>
      <c r="C175" s="83" t="n"/>
      <c r="D175" s="83" t="n"/>
      <c r="E175" s="83" t="n"/>
      <c r="F175" s="83" t="n"/>
      <c r="G175" s="119" t="n">
        <v>0</v>
      </c>
    </row>
    <row r="176">
      <c r="B176" s="83" t="inlineStr">
        <is>
          <t>C117</t>
        </is>
      </c>
      <c r="C176" s="83" t="n"/>
      <c r="D176" s="83" t="n"/>
      <c r="E176" s="83" t="n"/>
      <c r="F176" s="83" t="n"/>
      <c r="G176" s="119" t="n">
        <v>0</v>
      </c>
    </row>
    <row r="177">
      <c r="B177" s="83" t="inlineStr">
        <is>
          <t>C118</t>
        </is>
      </c>
      <c r="C177" s="83" t="n"/>
      <c r="D177" s="83" t="n"/>
      <c r="E177" s="83" t="n"/>
      <c r="F177" s="83" t="n"/>
      <c r="G177" s="119" t="n">
        <v>0</v>
      </c>
    </row>
    <row r="178">
      <c r="B178" s="83" t="inlineStr">
        <is>
          <t>C119</t>
        </is>
      </c>
      <c r="C178" s="83" t="n"/>
      <c r="D178" s="83" t="n"/>
      <c r="E178" s="83" t="n"/>
      <c r="F178" s="83" t="n"/>
      <c r="G178" s="119" t="n">
        <v>0</v>
      </c>
    </row>
    <row r="179">
      <c r="B179" s="83" t="inlineStr">
        <is>
          <t>C120</t>
        </is>
      </c>
      <c r="C179" s="83" t="n"/>
      <c r="D179" s="83" t="n"/>
      <c r="E179" s="83" t="n"/>
      <c r="F179" s="83" t="n"/>
      <c r="G179" s="119" t="n">
        <v>0</v>
      </c>
    </row>
    <row r="180">
      <c r="B180" s="83" t="inlineStr">
        <is>
          <t>SL006</t>
        </is>
      </c>
      <c r="C180" s="83" t="n"/>
      <c r="D180" s="83" t="n"/>
      <c r="E180" s="83" t="n"/>
      <c r="F180" s="83" t="n"/>
      <c r="G180" s="119" t="n">
        <v>0</v>
      </c>
    </row>
    <row r="181">
      <c r="B181" s="83" t="inlineStr">
        <is>
          <t>SL007</t>
        </is>
      </c>
      <c r="C181" s="83" t="n"/>
      <c r="D181" s="83" t="n"/>
      <c r="E181" s="83" t="n"/>
      <c r="F181" s="83" t="n"/>
      <c r="G181" s="119" t="n">
        <v>0</v>
      </c>
    </row>
    <row r="182">
      <c r="B182" s="83" t="inlineStr">
        <is>
          <t>SL008</t>
        </is>
      </c>
      <c r="C182" s="83" t="n"/>
      <c r="D182" s="83" t="n"/>
      <c r="E182" s="83" t="n"/>
      <c r="F182" s="83" t="n"/>
      <c r="G182" s="119" t="n">
        <v>0</v>
      </c>
    </row>
    <row r="183">
      <c r="B183" s="83" t="inlineStr">
        <is>
          <t>SL009</t>
        </is>
      </c>
      <c r="C183" s="83" t="n"/>
      <c r="D183" s="83" t="n"/>
      <c r="E183" s="83" t="n"/>
      <c r="F183" s="83" t="n"/>
      <c r="G183" s="119" t="n">
        <v>0</v>
      </c>
    </row>
    <row r="184">
      <c r="B184" s="83" t="inlineStr">
        <is>
          <t>SL010</t>
        </is>
      </c>
      <c r="C184" s="83" t="n"/>
      <c r="D184" s="83" t="n"/>
      <c r="E184" s="83" t="n"/>
      <c r="F184" s="83" t="n"/>
      <c r="G184" s="119" t="n">
        <v>0</v>
      </c>
    </row>
    <row r="185">
      <c r="B185" s="83" t="inlineStr">
        <is>
          <t>SL011</t>
        </is>
      </c>
      <c r="C185" s="83" t="n"/>
      <c r="D185" s="83" t="n"/>
      <c r="E185" s="83" t="n"/>
      <c r="F185" s="83" t="n"/>
      <c r="G185" s="119" t="n">
        <v>0</v>
      </c>
    </row>
    <row r="186">
      <c r="B186" s="83" t="inlineStr">
        <is>
          <t>SL012</t>
        </is>
      </c>
      <c r="C186" s="83" t="n"/>
      <c r="D186" s="83" t="n"/>
      <c r="E186" s="83" t="n"/>
      <c r="F186" s="83" t="n"/>
      <c r="G186" s="119" t="n">
        <v>0</v>
      </c>
    </row>
    <row r="187">
      <c r="B187" s="83" t="inlineStr">
        <is>
          <t>SL013</t>
        </is>
      </c>
      <c r="C187" s="83" t="n"/>
      <c r="D187" s="83" t="n"/>
      <c r="E187" s="83" t="n"/>
      <c r="F187" s="83" t="n"/>
      <c r="G187" s="119" t="n">
        <v>0</v>
      </c>
    </row>
    <row r="188">
      <c r="B188" s="83" t="inlineStr">
        <is>
          <t>SL014</t>
        </is>
      </c>
      <c r="C188" s="83" t="n"/>
      <c r="D188" s="83" t="n"/>
      <c r="E188" s="83" t="n"/>
      <c r="F188" s="83" t="n"/>
      <c r="G188" s="119" t="n">
        <v>0</v>
      </c>
    </row>
    <row r="189">
      <c r="B189" s="83" t="inlineStr">
        <is>
          <t>SL015</t>
        </is>
      </c>
      <c r="C189" s="83" t="n"/>
      <c r="D189" s="83" t="n"/>
      <c r="E189" s="83" t="n"/>
      <c r="F189" s="83" t="n"/>
      <c r="G189" s="119" t="n">
        <v>0</v>
      </c>
    </row>
    <row r="190">
      <c r="B190" s="83" t="inlineStr">
        <is>
          <t>SL016</t>
        </is>
      </c>
      <c r="C190" s="83" t="n"/>
      <c r="D190" s="83" t="n"/>
      <c r="E190" s="83" t="n"/>
      <c r="F190" s="83" t="n"/>
      <c r="G190" s="119" t="n">
        <v>0</v>
      </c>
    </row>
    <row r="191">
      <c r="B191" s="83" t="inlineStr">
        <is>
          <t>SL017</t>
        </is>
      </c>
      <c r="C191" s="83" t="n"/>
      <c r="D191" s="83" t="n"/>
      <c r="E191" s="83" t="n"/>
      <c r="F191" s="83" t="n"/>
      <c r="G191" s="119" t="n">
        <v>0</v>
      </c>
    </row>
    <row r="192">
      <c r="B192" s="83" t="inlineStr">
        <is>
          <t>SL018</t>
        </is>
      </c>
      <c r="C192" s="83" t="n"/>
      <c r="D192" s="83" t="n"/>
      <c r="E192" s="83" t="n"/>
      <c r="F192" s="83" t="n"/>
      <c r="G192" s="119" t="n">
        <v>0</v>
      </c>
    </row>
    <row r="193">
      <c r="B193" s="83" t="inlineStr">
        <is>
          <t>SL019</t>
        </is>
      </c>
      <c r="C193" s="83" t="n"/>
      <c r="D193" s="83" t="n"/>
      <c r="E193" s="83" t="n"/>
      <c r="F193" s="83" t="n"/>
      <c r="G193" s="119" t="n">
        <v>0</v>
      </c>
    </row>
    <row r="194">
      <c r="B194" s="83" t="inlineStr">
        <is>
          <t>SL020</t>
        </is>
      </c>
      <c r="C194" s="83" t="n"/>
      <c r="D194" s="83" t="n"/>
      <c r="E194" s="83" t="n"/>
      <c r="F194" s="83" t="n"/>
      <c r="G194" s="119" t="n">
        <v>0</v>
      </c>
    </row>
    <row r="195">
      <c r="B195" s="83" t="inlineStr">
        <is>
          <t>SL021</t>
        </is>
      </c>
      <c r="C195" s="83" t="n"/>
      <c r="D195" s="83" t="n"/>
      <c r="E195" s="83" t="n"/>
      <c r="F195" s="83" t="n"/>
      <c r="G195" s="119" t="n">
        <v>0</v>
      </c>
    </row>
    <row r="196">
      <c r="B196" s="83" t="inlineStr">
        <is>
          <t>SL022</t>
        </is>
      </c>
      <c r="C196" s="83" t="n"/>
      <c r="D196" s="83" t="n"/>
      <c r="E196" s="83" t="n"/>
      <c r="F196" s="83" t="n"/>
      <c r="G196" s="119" t="n">
        <v>0</v>
      </c>
    </row>
    <row r="197">
      <c r="B197" s="83" t="inlineStr">
        <is>
          <t>SL023</t>
        </is>
      </c>
      <c r="C197" s="83" t="n"/>
      <c r="D197" s="83" t="n"/>
      <c r="E197" s="83" t="n"/>
      <c r="F197" s="83" t="n"/>
      <c r="G197" s="119" t="n">
        <v>0</v>
      </c>
    </row>
    <row r="198">
      <c r="B198" s="83" t="inlineStr">
        <is>
          <t>SL024</t>
        </is>
      </c>
      <c r="C198" s="83" t="n"/>
      <c r="D198" s="83" t="n"/>
      <c r="E198" s="83" t="n"/>
      <c r="F198" s="83" t="n"/>
      <c r="G198" s="119" t="n">
        <v>0</v>
      </c>
    </row>
    <row r="199">
      <c r="B199" s="83" t="inlineStr">
        <is>
          <t>SL025</t>
        </is>
      </c>
      <c r="C199" s="83" t="n"/>
      <c r="D199" s="83" t="n"/>
      <c r="E199" s="83" t="n"/>
      <c r="F199" s="83" t="n"/>
      <c r="G199" s="119" t="n">
        <v>0</v>
      </c>
    </row>
    <row r="200">
      <c r="B200" s="83" t="inlineStr">
        <is>
          <t>SL026</t>
        </is>
      </c>
      <c r="C200" s="83" t="n"/>
      <c r="D200" s="83" t="n"/>
      <c r="E200" s="83" t="n"/>
      <c r="F200" s="83" t="n"/>
      <c r="G200" s="119" t="n">
        <v>0</v>
      </c>
    </row>
    <row r="201">
      <c r="B201" s="83" t="inlineStr">
        <is>
          <t>SL027</t>
        </is>
      </c>
      <c r="C201" s="83" t="n"/>
      <c r="D201" s="83" t="n"/>
      <c r="E201" s="83" t="n"/>
      <c r="F201" s="83" t="n"/>
      <c r="G201" s="119" t="n">
        <v>0</v>
      </c>
    </row>
    <row r="202">
      <c r="B202" s="83" t="inlineStr">
        <is>
          <t>SL028</t>
        </is>
      </c>
      <c r="C202" s="83" t="n"/>
      <c r="D202" s="83" t="n"/>
      <c r="E202" s="83" t="n"/>
      <c r="F202" s="83" t="n"/>
      <c r="G202" s="119" t="n">
        <v>0</v>
      </c>
    </row>
    <row r="203">
      <c r="B203" s="83" t="inlineStr">
        <is>
          <t>SL029</t>
        </is>
      </c>
      <c r="C203" s="83" t="n"/>
      <c r="D203" s="83" t="n"/>
      <c r="E203" s="83" t="n"/>
      <c r="F203" s="83" t="n"/>
      <c r="G203" s="119" t="n">
        <v>0</v>
      </c>
    </row>
    <row r="204">
      <c r="B204" s="83" t="inlineStr">
        <is>
          <t>SL030</t>
        </is>
      </c>
      <c r="C204" s="83" t="n"/>
      <c r="D204" s="83" t="n"/>
      <c r="E204" s="83" t="n"/>
      <c r="F204" s="83" t="n"/>
      <c r="G204" s="119" t="n">
        <v>0</v>
      </c>
    </row>
    <row r="205">
      <c r="B205" s="83" t="inlineStr">
        <is>
          <t>S004</t>
        </is>
      </c>
      <c r="C205" s="83" t="n"/>
      <c r="D205" s="83" t="n"/>
      <c r="E205" s="83" t="n"/>
      <c r="F205" s="83" t="n"/>
      <c r="G205" s="119" t="n">
        <v>0</v>
      </c>
    </row>
    <row r="206">
      <c r="B206" s="83" t="inlineStr">
        <is>
          <t>S005</t>
        </is>
      </c>
      <c r="C206" s="83" t="n"/>
      <c r="D206" s="83" t="n"/>
      <c r="E206" s="83" t="n"/>
      <c r="F206" s="83" t="n"/>
      <c r="G206" s="119" t="n">
        <v>0</v>
      </c>
    </row>
    <row r="207">
      <c r="B207" s="83" t="inlineStr">
        <is>
          <t>S006</t>
        </is>
      </c>
      <c r="C207" s="83" t="n"/>
      <c r="D207" s="83" t="n"/>
      <c r="E207" s="83" t="n"/>
      <c r="F207" s="83" t="n"/>
      <c r="G207" s="119" t="n">
        <v>0</v>
      </c>
    </row>
    <row r="208">
      <c r="B208" s="83" t="inlineStr">
        <is>
          <t>S007</t>
        </is>
      </c>
      <c r="C208" s="83" t="n"/>
      <c r="D208" s="83" t="n"/>
      <c r="E208" s="83" t="n"/>
      <c r="F208" s="83" t="n"/>
      <c r="G208" s="119" t="n">
        <v>0</v>
      </c>
    </row>
    <row r="209">
      <c r="B209" s="83" t="inlineStr">
        <is>
          <t>S008</t>
        </is>
      </c>
      <c r="C209" s="83" t="n"/>
      <c r="D209" s="83" t="n"/>
      <c r="E209" s="83" t="n"/>
      <c r="F209" s="83" t="n"/>
      <c r="G209" s="119" t="n">
        <v>0</v>
      </c>
    </row>
    <row r="210">
      <c r="B210" s="83" t="inlineStr">
        <is>
          <t>S009</t>
        </is>
      </c>
      <c r="C210" s="83" t="n"/>
      <c r="D210" s="83" t="n"/>
      <c r="E210" s="83" t="n"/>
      <c r="F210" s="83" t="n"/>
      <c r="G210" s="119" t="n">
        <v>0</v>
      </c>
    </row>
    <row r="211">
      <c r="B211" s="83" t="inlineStr">
        <is>
          <t>S010</t>
        </is>
      </c>
      <c r="C211" s="83" t="n"/>
      <c r="D211" s="83" t="n"/>
      <c r="E211" s="83" t="n"/>
      <c r="F211" s="83" t="n"/>
      <c r="G211" s="119" t="n">
        <v>0</v>
      </c>
    </row>
    <row r="212">
      <c r="B212" s="83" t="inlineStr">
        <is>
          <t>S011</t>
        </is>
      </c>
      <c r="C212" s="83" t="n"/>
      <c r="D212" s="83" t="n"/>
      <c r="E212" s="83" t="n"/>
      <c r="F212" s="83" t="n"/>
      <c r="G212" s="119" t="n">
        <v>0</v>
      </c>
    </row>
    <row r="213">
      <c r="B213" s="83" t="inlineStr">
        <is>
          <t>S012</t>
        </is>
      </c>
      <c r="C213" s="83" t="n"/>
      <c r="D213" s="83" t="n"/>
      <c r="E213" s="83" t="n"/>
      <c r="F213" s="83" t="n"/>
      <c r="G213" s="119" t="n">
        <v>0</v>
      </c>
    </row>
    <row r="214">
      <c r="B214" s="83" t="inlineStr">
        <is>
          <t>S013</t>
        </is>
      </c>
      <c r="C214" s="83" t="n"/>
      <c r="D214" s="83" t="n"/>
      <c r="E214" s="83" t="n"/>
      <c r="F214" s="83" t="n"/>
      <c r="G214" s="119" t="n">
        <v>0</v>
      </c>
    </row>
    <row r="215">
      <c r="B215" s="83" t="inlineStr">
        <is>
          <t>S014</t>
        </is>
      </c>
      <c r="C215" s="83" t="n"/>
      <c r="D215" s="83" t="n"/>
      <c r="E215" s="83" t="n"/>
      <c r="F215" s="83" t="n"/>
      <c r="G215" s="119" t="n">
        <v>0</v>
      </c>
    </row>
    <row r="216">
      <c r="B216" s="83" t="inlineStr">
        <is>
          <t>S015</t>
        </is>
      </c>
      <c r="C216" s="83" t="n"/>
      <c r="D216" s="83" t="n"/>
      <c r="E216" s="83" t="n"/>
      <c r="F216" s="83" t="n"/>
      <c r="G216" s="119" t="n">
        <v>0</v>
      </c>
    </row>
    <row r="217">
      <c r="B217" s="83" t="inlineStr">
        <is>
          <t>S016</t>
        </is>
      </c>
      <c r="C217" s="83" t="n"/>
      <c r="D217" s="83" t="n"/>
      <c r="E217" s="83" t="n"/>
      <c r="F217" s="83" t="n"/>
      <c r="G217" s="119" t="n">
        <v>0</v>
      </c>
    </row>
    <row r="218">
      <c r="B218" s="83" t="inlineStr">
        <is>
          <t>S017</t>
        </is>
      </c>
      <c r="C218" s="83" t="n"/>
      <c r="D218" s="83" t="n"/>
      <c r="E218" s="83" t="n"/>
      <c r="F218" s="83" t="n"/>
      <c r="G218" s="119" t="n">
        <v>0</v>
      </c>
    </row>
    <row r="219">
      <c r="B219" s="83" t="inlineStr">
        <is>
          <t>S018</t>
        </is>
      </c>
      <c r="C219" s="83" t="n"/>
      <c r="D219" s="83" t="n"/>
      <c r="E219" s="83" t="n"/>
      <c r="F219" s="83" t="n"/>
      <c r="G219" s="119" t="n">
        <v>0</v>
      </c>
    </row>
    <row r="220">
      <c r="B220" s="83" t="inlineStr">
        <is>
          <t>S019</t>
        </is>
      </c>
      <c r="C220" s="83" t="n"/>
      <c r="D220" s="83" t="n"/>
      <c r="E220" s="83" t="n"/>
      <c r="F220" s="83" t="n"/>
      <c r="G220" s="119" t="n">
        <v>0</v>
      </c>
    </row>
    <row r="221">
      <c r="B221" s="83" t="inlineStr">
        <is>
          <t>S020</t>
        </is>
      </c>
      <c r="C221" s="83" t="n"/>
      <c r="D221" s="83" t="n"/>
      <c r="E221" s="83" t="n"/>
      <c r="F221" s="83" t="n"/>
      <c r="G221" s="119" t="n">
        <v>0</v>
      </c>
    </row>
    <row r="222">
      <c r="B222" s="83" t="inlineStr">
        <is>
          <t>E007</t>
        </is>
      </c>
      <c r="C222" s="83" t="n"/>
      <c r="D222" s="83" t="n"/>
      <c r="E222" s="83" t="n"/>
      <c r="F222" s="83" t="n"/>
      <c r="G222" s="119" t="n">
        <v>0</v>
      </c>
    </row>
    <row r="223">
      <c r="B223" s="83" t="inlineStr">
        <is>
          <t>E008</t>
        </is>
      </c>
      <c r="C223" s="83" t="n"/>
      <c r="D223" s="83" t="n"/>
      <c r="E223" s="83" t="n"/>
      <c r="F223" s="83" t="n"/>
      <c r="G223" s="119" t="n">
        <v>0</v>
      </c>
    </row>
    <row r="224">
      <c r="B224" s="83" t="inlineStr">
        <is>
          <t>E009</t>
        </is>
      </c>
      <c r="C224" s="83" t="n"/>
      <c r="D224" s="83" t="n"/>
      <c r="E224" s="83" t="n"/>
      <c r="F224" s="83" t="n"/>
      <c r="G224" s="119" t="n">
        <v>0</v>
      </c>
    </row>
    <row r="225">
      <c r="B225" s="83" t="inlineStr">
        <is>
          <t>E010</t>
        </is>
      </c>
      <c r="C225" s="83" t="n"/>
      <c r="D225" s="83" t="n"/>
      <c r="E225" s="83" t="n"/>
      <c r="F225" s="83" t="n"/>
      <c r="G225" s="119" t="n">
        <v>0</v>
      </c>
    </row>
    <row r="226">
      <c r="B226" s="83" t="inlineStr">
        <is>
          <t>F004</t>
        </is>
      </c>
      <c r="C226" s="83" t="n"/>
      <c r="D226" s="83" t="n"/>
      <c r="E226" s="83" t="n"/>
      <c r="F226" s="83" t="n"/>
      <c r="G226" s="119" t="n">
        <v>0</v>
      </c>
    </row>
    <row r="227">
      <c r="B227" s="83" t="inlineStr">
        <is>
          <t>F005</t>
        </is>
      </c>
      <c r="C227" s="83" t="n"/>
      <c r="D227" s="83" t="n"/>
      <c r="E227" s="83" t="n"/>
      <c r="F227" s="83" t="n"/>
      <c r="G227" s="119" t="n">
        <v>0</v>
      </c>
    </row>
    <row r="228">
      <c r="B228" s="83" t="inlineStr">
        <is>
          <t>F006</t>
        </is>
      </c>
      <c r="C228" s="83" t="n"/>
      <c r="D228" s="83" t="n"/>
      <c r="E228" s="83" t="n"/>
      <c r="F228" s="83" t="n"/>
      <c r="G228" s="119" t="n">
        <v>0</v>
      </c>
    </row>
    <row r="229">
      <c r="B229" s="83" t="inlineStr">
        <is>
          <t>F007</t>
        </is>
      </c>
      <c r="C229" s="83" t="n"/>
      <c r="D229" s="83" t="n"/>
      <c r="E229" s="83" t="n"/>
      <c r="F229" s="83" t="n"/>
      <c r="G229" s="119" t="n">
        <v>0</v>
      </c>
    </row>
    <row r="230">
      <c r="B230" s="83" t="inlineStr">
        <is>
          <t>F008</t>
        </is>
      </c>
      <c r="C230" s="83" t="n"/>
      <c r="D230" s="83" t="n"/>
      <c r="E230" s="83" t="n"/>
      <c r="F230" s="83" t="n"/>
      <c r="G230" s="119" t="n">
        <v>0</v>
      </c>
    </row>
    <row r="231">
      <c r="B231" s="83" t="inlineStr">
        <is>
          <t>F009</t>
        </is>
      </c>
      <c r="C231" s="83" t="n"/>
      <c r="D231" s="83" t="n"/>
      <c r="E231" s="83" t="n"/>
      <c r="F231" s="83" t="n"/>
      <c r="G231" s="119" t="n">
        <v>0</v>
      </c>
    </row>
    <row r="232">
      <c r="B232" s="83" t="inlineStr">
        <is>
          <t>F010</t>
        </is>
      </c>
      <c r="C232" s="83" t="n"/>
      <c r="D232" s="83" t="n"/>
      <c r="E232" s="83" t="n"/>
      <c r="F232" s="83" t="n"/>
      <c r="G232" s="119" t="n">
        <v>0</v>
      </c>
    </row>
    <row r="233">
      <c r="B233" s="83" t="inlineStr">
        <is>
          <t>L002</t>
        </is>
      </c>
      <c r="C233" s="83" t="n"/>
      <c r="D233" s="83" t="n"/>
      <c r="E233" s="83" t="n"/>
      <c r="F233" s="83" t="n"/>
      <c r="G233" s="119" t="n">
        <v>0</v>
      </c>
    </row>
    <row r="234">
      <c r="B234" s="83" t="inlineStr">
        <is>
          <t>L003</t>
        </is>
      </c>
      <c r="C234" s="83" t="n"/>
      <c r="D234" s="83" t="n"/>
      <c r="E234" s="83" t="n"/>
      <c r="F234" s="83" t="n"/>
      <c r="G234" s="119" t="n">
        <v>0</v>
      </c>
    </row>
    <row r="235">
      <c r="B235" s="83" t="inlineStr">
        <is>
          <t>L004</t>
        </is>
      </c>
      <c r="C235" s="83" t="n"/>
      <c r="D235" s="83" t="n"/>
      <c r="E235" s="83" t="n"/>
      <c r="F235" s="83" t="n"/>
      <c r="G235" s="119" t="n">
        <v>0</v>
      </c>
    </row>
    <row r="236">
      <c r="B236" s="83" t="inlineStr">
        <is>
          <t>L005</t>
        </is>
      </c>
      <c r="C236" s="83" t="n"/>
      <c r="D236" s="83" t="n"/>
      <c r="E236" s="83" t="n"/>
      <c r="F236" s="83" t="n"/>
      <c r="G236" s="119" t="n">
        <v>0</v>
      </c>
    </row>
    <row r="237">
      <c r="B237" s="83" t="inlineStr">
        <is>
          <t>CAP002</t>
        </is>
      </c>
      <c r="C237" s="83" t="n"/>
      <c r="D237" s="83" t="n"/>
      <c r="E237" s="83" t="n"/>
      <c r="F237" s="83" t="n"/>
      <c r="G237" s="119" t="n">
        <v>0</v>
      </c>
    </row>
    <row r="238">
      <c r="B238" s="83" t="inlineStr">
        <is>
          <t>CAP003</t>
        </is>
      </c>
      <c r="C238" s="83" t="n"/>
      <c r="D238" s="83" t="n"/>
      <c r="E238" s="83" t="n"/>
      <c r="F238" s="83" t="n"/>
      <c r="G238" s="119" t="n">
        <v>0</v>
      </c>
    </row>
    <row r="239">
      <c r="B239" s="83" t="inlineStr">
        <is>
          <t>CAP004</t>
        </is>
      </c>
      <c r="C239" s="83" t="n"/>
      <c r="D239" s="83" t="n"/>
      <c r="E239" s="83" t="n"/>
      <c r="F239" s="83" t="n"/>
      <c r="G239" s="119" t="n">
        <v>0</v>
      </c>
    </row>
    <row r="240">
      <c r="B240" s="83" t="inlineStr">
        <is>
          <t>CAP005</t>
        </is>
      </c>
      <c r="C240" s="83" t="n"/>
      <c r="D240" s="83" t="n"/>
      <c r="E240" s="83" t="n"/>
      <c r="F240" s="83" t="n"/>
      <c r="G240" s="119" t="n">
        <v>0</v>
      </c>
    </row>
    <row r="241">
      <c r="B241" s="83" t="inlineStr">
        <is>
          <t>BD002</t>
        </is>
      </c>
      <c r="C241" s="83" t="n"/>
      <c r="D241" s="83" t="n"/>
      <c r="E241" s="83" t="n"/>
      <c r="F241" s="83" t="n"/>
      <c r="G241" s="119" t="n">
        <v>0</v>
      </c>
    </row>
    <row r="242">
      <c r="B242" s="83" t="inlineStr">
        <is>
          <t>BD003</t>
        </is>
      </c>
      <c r="C242" s="83" t="n"/>
      <c r="D242" s="83" t="n"/>
      <c r="E242" s="83" t="n"/>
      <c r="F242" s="83" t="n"/>
      <c r="G242" s="119" t="n">
        <v>0</v>
      </c>
    </row>
    <row r="243">
      <c r="B243" s="83" t="inlineStr">
        <is>
          <t>BD004</t>
        </is>
      </c>
      <c r="C243" s="83" t="n"/>
      <c r="D243" s="83" t="n"/>
      <c r="E243" s="83" t="n"/>
      <c r="F243" s="83" t="n"/>
      <c r="G243" s="119" t="n">
        <v>0</v>
      </c>
    </row>
    <row r="244">
      <c r="B244" s="83" t="inlineStr">
        <is>
          <t>BD005</t>
        </is>
      </c>
      <c r="C244" s="83" t="n"/>
      <c r="D244" s="83" t="n"/>
      <c r="E244" s="83" t="n"/>
      <c r="F244" s="83" t="n"/>
      <c r="G244" s="119" t="n">
        <v>0</v>
      </c>
    </row>
    <row r="245">
      <c r="B245" s="83" t="inlineStr">
        <is>
          <t>BD006</t>
        </is>
      </c>
      <c r="C245" s="83" t="n"/>
      <c r="D245" s="83" t="n"/>
      <c r="E245" s="83" t="n"/>
      <c r="F245" s="83" t="n"/>
      <c r="G245" s="119" t="n">
        <v>0</v>
      </c>
    </row>
    <row r="246">
      <c r="B246" s="83" t="inlineStr">
        <is>
          <t>BD007</t>
        </is>
      </c>
      <c r="C246" s="83" t="n"/>
      <c r="D246" s="83" t="n"/>
      <c r="E246" s="83" t="n"/>
      <c r="F246" s="83" t="n"/>
      <c r="G246" s="119" t="n">
        <v>0</v>
      </c>
    </row>
    <row r="247">
      <c r="B247" s="83" t="inlineStr">
        <is>
          <t>BD008</t>
        </is>
      </c>
      <c r="C247" s="83" t="n"/>
      <c r="D247" s="83" t="n"/>
      <c r="E247" s="83" t="n"/>
      <c r="F247" s="83" t="n"/>
      <c r="G247" s="119" t="n">
        <v>0</v>
      </c>
    </row>
    <row r="248">
      <c r="B248" s="83" t="inlineStr">
        <is>
          <t>BD009</t>
        </is>
      </c>
      <c r="C248" s="83" t="n"/>
      <c r="D248" s="83" t="n"/>
      <c r="E248" s="83" t="n"/>
      <c r="F248" s="83" t="n"/>
      <c r="G248" s="119" t="n">
        <v>0</v>
      </c>
    </row>
    <row r="249">
      <c r="B249" s="83" t="inlineStr">
        <is>
          <t>BD010</t>
        </is>
      </c>
      <c r="C249" s="83" t="n"/>
      <c r="D249" s="83" t="n"/>
      <c r="E249" s="83" t="n"/>
      <c r="F249" s="83" t="n"/>
      <c r="G249" s="119" t="n">
        <v>0</v>
      </c>
    </row>
    <row r="250">
      <c r="B250" s="83" t="inlineStr">
        <is>
          <t>BD011</t>
        </is>
      </c>
      <c r="C250" s="83" t="n"/>
      <c r="D250" s="83" t="n"/>
      <c r="E250" s="83" t="n"/>
      <c r="F250" s="83" t="n"/>
      <c r="G250" s="119" t="n">
        <v>0</v>
      </c>
    </row>
    <row r="251">
      <c r="B251" s="83" t="inlineStr">
        <is>
          <t>BD012</t>
        </is>
      </c>
      <c r="C251" s="83" t="n"/>
      <c r="D251" s="83" t="n"/>
      <c r="E251" s="83" t="n"/>
      <c r="F251" s="83" t="n"/>
      <c r="G251" s="119" t="n">
        <v>0</v>
      </c>
    </row>
    <row r="252">
      <c r="B252" s="83" t="inlineStr">
        <is>
          <t>BD013</t>
        </is>
      </c>
      <c r="C252" s="83" t="n"/>
      <c r="D252" s="83" t="n"/>
      <c r="E252" s="83" t="n"/>
      <c r="F252" s="83" t="n"/>
      <c r="G252" s="119" t="n">
        <v>0</v>
      </c>
    </row>
    <row r="253">
      <c r="B253" s="83" t="inlineStr">
        <is>
          <t>BD014</t>
        </is>
      </c>
      <c r="C253" s="83" t="n"/>
      <c r="D253" s="83" t="n"/>
      <c r="E253" s="83" t="n"/>
      <c r="F253" s="83" t="n"/>
      <c r="G253" s="119" t="n">
        <v>0</v>
      </c>
    </row>
    <row r="254">
      <c r="B254" s="83" t="inlineStr">
        <is>
          <t>BD015</t>
        </is>
      </c>
      <c r="C254" s="83" t="n"/>
      <c r="D254" s="83" t="n"/>
      <c r="E254" s="83" t="n"/>
      <c r="F254" s="83" t="n"/>
      <c r="G254" s="119" t="n">
        <v>0</v>
      </c>
    </row>
    <row r="255">
      <c r="B255" s="83" t="inlineStr">
        <is>
          <t>BD016</t>
        </is>
      </c>
      <c r="C255" s="83" t="n"/>
      <c r="D255" s="83" t="n"/>
      <c r="E255" s="83" t="n"/>
      <c r="F255" s="83" t="n"/>
      <c r="G255" s="119" t="n">
        <v>0</v>
      </c>
    </row>
    <row r="256">
      <c r="B256" s="83" t="inlineStr">
        <is>
          <t>BD017</t>
        </is>
      </c>
      <c r="C256" s="83" t="n"/>
      <c r="D256" s="83" t="n"/>
      <c r="E256" s="83" t="n"/>
      <c r="F256" s="83" t="n"/>
      <c r="G256" s="119" t="n">
        <v>0</v>
      </c>
    </row>
    <row r="257">
      <c r="B257" s="83" t="inlineStr">
        <is>
          <t>BD018</t>
        </is>
      </c>
      <c r="C257" s="83" t="n"/>
      <c r="D257" s="83" t="n"/>
      <c r="E257" s="83" t="n"/>
      <c r="F257" s="83" t="n"/>
      <c r="G257" s="119" t="n">
        <v>0</v>
      </c>
    </row>
    <row r="258">
      <c r="B258" s="83" t="inlineStr">
        <is>
          <t>BD019</t>
        </is>
      </c>
      <c r="C258" s="83" t="n"/>
      <c r="D258" s="83" t="n"/>
      <c r="E258" s="83" t="n"/>
      <c r="F258" s="83" t="n"/>
      <c r="G258" s="119" t="n">
        <v>0</v>
      </c>
    </row>
    <row r="259">
      <c r="B259" s="83" t="inlineStr">
        <is>
          <t>BD020</t>
        </is>
      </c>
      <c r="C259" s="83" t="n"/>
      <c r="D259" s="83" t="n"/>
      <c r="E259" s="83" t="n"/>
      <c r="F259" s="83" t="n"/>
      <c r="G259" s="119" t="n">
        <v>0</v>
      </c>
    </row>
  </sheetData>
  <sheetProtection selectLockedCells="0" selectUnlockedCells="1" sheet="1" objects="1" insertRows="1" insertHyperlinks="1" autoFilter="1" scenarios="1" formatColumns="1" deleteColumns="1" insertColumns="1" pivotTables="1" deleteRows="1" formatCells="1" formatRows="1" sort="1"/>
  <mergeCells count="17">
    <mergeCell ref="AO9:AP9"/>
    <mergeCell ref="AH9:AI9"/>
    <mergeCell ref="AR8:AS8"/>
    <mergeCell ref="A1:M1"/>
    <mergeCell ref="AO8:AP8"/>
    <mergeCell ref="B9:G9"/>
    <mergeCell ref="A2:M2"/>
    <mergeCell ref="B8:G8"/>
    <mergeCell ref="AK9:AN9"/>
    <mergeCell ref="A3:M3"/>
    <mergeCell ref="Y8:AF8"/>
    <mergeCell ref="I9:W9"/>
    <mergeCell ref="I8:W8"/>
    <mergeCell ref="AK8:AN8"/>
    <mergeCell ref="Y9:AF9"/>
    <mergeCell ref="AH8:AI8"/>
    <mergeCell ref="AR9:AS9"/>
  </mergeCells>
  <pageMargins left="0.25" right="0.25" top="0.4" bottom="0.4" header="0.3" footer="0.3"/>
  <pageSetup orientation="landscape" paperSize="9" fitToHeight="0" fitToWidth="1"/>
  <headerFooter>
    <oddHeader>&amp;Lمازندشت — سامانه حسابداری سورتینگ&amp;C&amp;"B Nazanin,Bold"&amp;10 MAZANDASHT · DAILY ENTRY&amp;R&amp;A</oddHeader>
    <oddFooter>&amp;Lمازندشت — سورتینگ و بسته‌بندی مرکبات&amp;Cصفحه &amp;P از &amp;N</oddFooter>
    <evenHeader/>
    <evenFooter/>
    <firstHeader/>
    <firstFooter/>
  </headerFooter>
</worksheet>
</file>

<file path=xl/worksheets/sheet9.xml><?xml version="1.0" encoding="utf-8"?>
<worksheet xmlns="http://schemas.openxmlformats.org/spreadsheetml/2006/main">
  <sheetPr>
    <tabColor rgb="FFC89B3C"/>
    <outlinePr summaryBelow="1" summaryRight="1"/>
    <pageSetUpPr fitToPage="1"/>
  </sheetPr>
  <dimension ref="A1:J80"/>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6.7109375" customWidth="1" min="1" max="1"/>
    <col width="30.7109375" customWidth="1" min="2" max="2"/>
    <col width="16.7109375" customWidth="1" min="3" max="10"/>
  </cols>
  <sheetData>
    <row r="1" ht="18" customHeight="1">
      <c r="A1" s="125" t="inlineStr">
        <is>
          <t>مازندشت — سورتینگ و بسته‌بندی مرکبات</t>
        </is>
      </c>
      <c r="G1" s="126" t="inlineStr">
        <is>
          <t>MAZANDASHT  ·  CITRUS SORTING &amp; PACKING</t>
        </is>
      </c>
    </row>
    <row r="2" ht="30" customHeight="1">
      <c r="A2" s="127" t="inlineStr">
        <is>
          <t>راهنمای فایل ثبت (۰۱_Register)</t>
        </is>
      </c>
    </row>
    <row r="3" ht="20.25" customHeight="1">
      <c r="A3" s="128" t="inlineStr">
        <is>
          <t>آموزش کامل ثبت روزانه، قواعد حساب‌ها و اتصال به گزارش‌ها و ترازنامه</t>
        </is>
      </c>
    </row>
    <row r="4" ht="8.25" customHeight="1"/>
    <row r="5" ht="42" customHeight="1">
      <c r="A5" s="35" t="inlineStr">
        <is>
          <t>این فایل تنها جایی است که داده روزانه وارد می‌شود. هیچ تعریفی از خودش ندارد؛ همه کدها، عملیات، وزن سبد و پارامترها از INFO می‌آیند. اگر فایل INFO را تغییر دادید، اول Data ← Edit Links ← Update Values.</t>
        </is>
      </c>
      <c r="B5" s="136" t="n"/>
      <c r="C5" s="136" t="n"/>
      <c r="D5" s="136" t="n"/>
      <c r="E5" s="136" t="n"/>
      <c r="F5" s="136" t="n"/>
      <c r="G5" s="136" t="n"/>
      <c r="H5" s="136" t="n"/>
      <c r="I5" s="136" t="n"/>
      <c r="J5" s="137" t="n"/>
    </row>
    <row r="7" ht="30" customHeight="1">
      <c r="A7" s="11" t="inlineStr">
        <is>
          <t>۰</t>
        </is>
      </c>
      <c r="B7" s="12" t="inlineStr">
        <is>
          <t>فهرست مطالب  —  روی هر سطر کلیک کنید</t>
        </is>
      </c>
      <c r="C7" s="132" t="n"/>
      <c r="D7" s="132" t="n"/>
      <c r="E7" s="132" t="n"/>
      <c r="F7" s="132" t="n"/>
      <c r="G7" s="132" t="n"/>
      <c r="H7" s="132" t="n"/>
      <c r="I7" s="132" t="n"/>
      <c r="J7" s="132" t="n"/>
    </row>
    <row r="8" ht="21" customHeight="1">
      <c r="A8" s="120" t="inlineStr">
        <is>
          <t>۱</t>
        </is>
      </c>
      <c r="B8" s="191" t="inlineStr">
        <is>
          <t xml:space="preserve">  شروع سریع و ترتیب کار</t>
        </is>
      </c>
    </row>
    <row r="9" ht="21" customHeight="1">
      <c r="A9" s="120" t="inlineStr">
        <is>
          <t>۲</t>
        </is>
      </c>
      <c r="B9" s="191" t="inlineStr">
        <is>
          <t xml:space="preserve">  شیت باسکول — ستون‌به‌ستون</t>
        </is>
      </c>
    </row>
    <row r="10" ht="21" customHeight="1">
      <c r="A10" s="120" t="inlineStr">
        <is>
          <t>۳</t>
        </is>
      </c>
      <c r="B10" s="191" t="inlineStr">
        <is>
          <t xml:space="preserve">  فرمول وزن خالص و مبلغ</t>
        </is>
      </c>
    </row>
    <row r="11" ht="21" customHeight="1">
      <c r="A11" s="120" t="inlineStr">
        <is>
          <t>۴</t>
        </is>
      </c>
      <c r="B11" s="191" t="inlineStr">
        <is>
          <t xml:space="preserve">  شیت سبد</t>
        </is>
      </c>
    </row>
    <row r="12" ht="21" customHeight="1">
      <c r="A12" s="120" t="inlineStr">
        <is>
          <t>۵</t>
        </is>
      </c>
      <c r="B12" s="191" t="inlineStr">
        <is>
          <t xml:space="preserve">  شیت پرداخت و چرخه چک</t>
        </is>
      </c>
    </row>
    <row r="13" ht="21" customHeight="1">
      <c r="A13" s="120" t="inlineStr">
        <is>
          <t>۶</t>
        </is>
      </c>
      <c r="B13" s="191" t="inlineStr">
        <is>
          <t xml:space="preserve">  دفتر معین و تراز</t>
        </is>
      </c>
    </row>
    <row r="14" ht="21" customHeight="1">
      <c r="A14" s="120" t="inlineStr">
        <is>
          <t>۷</t>
        </is>
      </c>
      <c r="B14" s="191" t="inlineStr">
        <is>
          <t xml:space="preserve">  قواعد بدهکار/بستانکار هر عملیات</t>
        </is>
      </c>
    </row>
    <row r="15" ht="21" customHeight="1">
      <c r="A15" s="120" t="inlineStr">
        <is>
          <t>۸</t>
        </is>
      </c>
      <c r="B15" s="191" t="inlineStr">
        <is>
          <t xml:space="preserve">  پوز باسکول و انعام مصطفی</t>
        </is>
      </c>
    </row>
    <row r="16" ht="21" customHeight="1">
      <c r="A16" s="120" t="inlineStr">
        <is>
          <t>۹</t>
        </is>
      </c>
      <c r="B16" s="191" t="inlineStr">
        <is>
          <t xml:space="preserve">  گزارش‌ها، فاکتور و ترازنامه</t>
        </is>
      </c>
    </row>
    <row r="17" ht="21" customHeight="1">
      <c r="A17" s="120" t="inlineStr">
        <is>
          <t>۱۰</t>
        </is>
      </c>
      <c r="B17" s="191" t="inlineStr">
        <is>
          <t xml:space="preserve">  عیب‌یابی و پشتیبان‌گیری</t>
        </is>
      </c>
    </row>
    <row r="20" ht="30" customHeight="1">
      <c r="A20" s="11" t="inlineStr">
        <is>
          <t>۱</t>
        </is>
      </c>
      <c r="B20" s="12" t="inlineStr">
        <is>
          <t>شروع سریع و ترتیب کار</t>
        </is>
      </c>
      <c r="C20" s="132" t="n"/>
      <c r="D20" s="132" t="n"/>
      <c r="E20" s="132" t="n"/>
      <c r="F20" s="132" t="n"/>
      <c r="G20" s="132" t="n"/>
      <c r="H20" s="132" t="n"/>
      <c r="I20" s="132" t="n"/>
      <c r="J20" s="132" t="n"/>
    </row>
    <row r="21" ht="81" customHeight="1">
      <c r="B21" s="122" t="inlineStr">
        <is>
          <t>ترتیب کار در مازندشت سه لایه دارد: (۱) INFO تعریف می‌کند، (۲) همین فایل ثبت می‌کند، (۳) گزارش/فاکتور/ترازنامه می‌خوانند. هیچ‌گاه داده را در دو جا تکرار نکنید. اگر یک بار در باسکول ثبت شد، همان‌جا می‌ماند و بقیه فایل‌ها از آن می‌خوانند. برای شروع روز: فایل را باز کنید، شیت باسکول را بزنید، تاریخ و ساعت را وارد کنید، نوع عملیات را انتخاب کنید و بار را وزن کنید.</t>
        </is>
      </c>
    </row>
    <row r="22" ht="20.25" customHeight="1">
      <c r="B22" s="192" t="inlineStr">
        <is>
          <t>•  ۱) نوع عملیات را از کشو انتخاب کنید — جهت و نام خودکار می‌آید.</t>
        </is>
      </c>
    </row>
    <row r="23" ht="20.25" customHeight="1">
      <c r="B23" s="192" t="inlineStr">
        <is>
          <t>•  ۲) کد حساب را وارد کنید یا از کشو بردارید — نام و گروه خودکار می‌آید.</t>
        </is>
      </c>
    </row>
    <row r="24" ht="20.25" customHeight="1">
      <c r="B24" s="192" t="inlineStr">
        <is>
          <t>•  ۳) وزن باسکول، تعداد سبد و فی را وارد کنید — وزن خالص و مبلغ خودکار می‌شود.</t>
        </is>
      </c>
    </row>
    <row r="25" ht="20.25" customHeight="1">
      <c r="B25" s="192" t="inlineStr">
        <is>
          <t>•  ۴) پول‌ها را در شیت پرداخت ثبت کنید؛ چک را با شماره چک.</t>
        </is>
      </c>
    </row>
    <row r="26" ht="20.25" customHeight="1">
      <c r="B26" s="192" t="inlineStr">
        <is>
          <t>•  ۵) شیت خلاصه را ببینید؛ اگر «✓ تراز» بود، فایل‌های گزارش را باز کنید.</t>
        </is>
      </c>
    </row>
    <row r="27" ht="32.25" customHeight="1">
      <c r="B27" s="124" t="inlineStr">
        <is>
          <t>اگر ستون «وضعیت» ⚠ داد، قبل از رفتن به گزارش آن ردیف را درست کنید.</t>
        </is>
      </c>
      <c r="C27" s="136" t="n"/>
      <c r="D27" s="136" t="n"/>
      <c r="E27" s="136" t="n"/>
      <c r="F27" s="136" t="n"/>
      <c r="G27" s="136" t="n"/>
      <c r="H27" s="136" t="n"/>
      <c r="I27" s="136" t="n"/>
      <c r="J27" s="137" t="n"/>
    </row>
    <row r="29" ht="30" customHeight="1">
      <c r="A29" s="11" t="inlineStr">
        <is>
          <t>۲</t>
        </is>
      </c>
      <c r="B29" s="12" t="inlineStr">
        <is>
          <t>شیت باسکول — ستون‌به‌ستون</t>
        </is>
      </c>
      <c r="C29" s="132" t="n"/>
      <c r="D29" s="132" t="n"/>
      <c r="E29" s="132" t="n"/>
      <c r="F29" s="132" t="n"/>
      <c r="G29" s="132" t="n"/>
      <c r="H29" s="132" t="n"/>
      <c r="I29" s="132" t="n"/>
      <c r="J29" s="132" t="n"/>
    </row>
    <row r="30" ht="96" customHeight="1">
      <c r="B30" s="122" t="inlineStr">
        <is>
          <t>ردیف: خودکار. تاریخ: شمسی 1405/07/10. ساعت: 09:30. شماره سند: فاکتور/رسید/بارنامه. نوع عملیات: از INFO/Ops و فقط عملیات‌هایی که «در باسکول = بله» دارند. جهت: خودکار. کد حساب: از INFO/Accounts؛ برای انعام و ضایعات و درآمد خالی می‌ماند. نام و گروه: خودکار. محصول: نوع مرکبات. سبد: نوع سبد. وزن باسکول: وزن خام. تعداد سبد: تعداد. وزن خالص: خودکار. فی: قیمت هر کیلو. مبلغ محاسبه: خودکار. مبلغ دستی/پوز: بسته به عملیات. سمت حساب: فقط برای آبگیری و عملیات «خودکار». توضیحات: آزاد.</t>
        </is>
      </c>
    </row>
    <row r="31" ht="51" customHeight="1">
      <c r="B31" s="122" t="inlineStr">
        <is>
          <t>ستون‌های زرد ورود شماست و ستون‌های خاکستری خودکار. اگر ردیفی زرد و خالی ماند، یعنی هنوز ثبت نشده. ردیف‌ها را جابه‌جا نکنید؛ ترتیب ردیف مهم نیست اما حذف ردیف وسط، فرمول‌ها را به هم می‌ریزد. برای حذف، محتوای سلول‌های زرد را پاک کنید.</t>
        </is>
      </c>
    </row>
    <row r="32" ht="32.25" customHeight="1">
      <c r="B32" s="124" t="inlineStr">
        <is>
          <t>وزن خالص منفی یعنی تعداد سبد × وزن تار از وزن باسکول بیشتر است؛ همان ردیف را کنترل کنید.</t>
        </is>
      </c>
      <c r="C32" s="136" t="n"/>
      <c r="D32" s="136" t="n"/>
      <c r="E32" s="136" t="n"/>
      <c r="F32" s="136" t="n"/>
      <c r="G32" s="136" t="n"/>
      <c r="H32" s="136" t="n"/>
      <c r="I32" s="136" t="n"/>
      <c r="J32" s="137" t="n"/>
    </row>
    <row r="34" ht="30" customHeight="1">
      <c r="A34" s="11" t="inlineStr">
        <is>
          <t>۳</t>
        </is>
      </c>
      <c r="B34" s="12" t="inlineStr">
        <is>
          <t>فرمول وزن خالص و مبلغ</t>
        </is>
      </c>
      <c r="C34" s="132" t="n"/>
      <c r="D34" s="132" t="n"/>
      <c r="E34" s="132" t="n"/>
      <c r="F34" s="132" t="n"/>
      <c r="G34" s="132" t="n"/>
      <c r="H34" s="132" t="n"/>
      <c r="I34" s="132" t="n"/>
      <c r="J34" s="132" t="n"/>
    </row>
    <row r="35" ht="81" customHeight="1">
      <c r="B35" s="122" t="inlineStr">
        <is>
          <t>وزن خالص = (وزن باسکول − تعداد سبد × وزن تار سبد) × (۱ − درصد افت ÷ ۱۰۰). وزن تار از INFO/Baskets خوانده می‌شود؛ اگر نوع سبد انتخاب نشود، از پارامتر P01 استفاده می‌شود. درصد افت P02 فقط روی دسته «خرید» اعمال می‌شود. مبلغ محاسبه = وزن خالص × فی. برای عملیات مبلغی (آبگیری، باسکول دیگران، انعام) مبلغ در ستون «مبلغ دستی/پوز» نوشته می‌شود و مبلغ محاسبه صفر است.</t>
        </is>
      </c>
    </row>
    <row r="36" ht="51" customHeight="1">
      <c r="B36" s="122" t="inlineStr">
        <is>
          <t>مثال خرید: ۲۲۹۰ کیلو، ۱۳۹ سبد ۹ کیلویی با تار ۱٫۹، افت ۱٪. وزن خالص = (۲۲۹۰ − ۲۶۴٫۱) × ۰٫۹۹ = ۲۰۰۵٫۶ کیلو. با فی ۳۲٬۰۰۰ ریال، مبلغ ۶۴٬۱۷۹٬۲۰۰ ریال می‌شود (رند به هزار).</t>
        </is>
      </c>
    </row>
    <row r="37" ht="32.25" customHeight="1">
      <c r="B37" s="124" t="inlineStr">
        <is>
          <t>برای تغییر وزن تار یا درصد افت، فقط INFO را عوض کنید؛ همه ردیف‌ها خودکار به‌روز می‌شوند.</t>
        </is>
      </c>
      <c r="C37" s="136" t="n"/>
      <c r="D37" s="136" t="n"/>
      <c r="E37" s="136" t="n"/>
      <c r="F37" s="136" t="n"/>
      <c r="G37" s="136" t="n"/>
      <c r="H37" s="136" t="n"/>
      <c r="I37" s="136" t="n"/>
      <c r="J37" s="137" t="n"/>
    </row>
    <row r="39" ht="30" customHeight="1">
      <c r="A39" s="11" t="inlineStr">
        <is>
          <t>۴</t>
        </is>
      </c>
      <c r="B39" s="12" t="inlineStr">
        <is>
          <t>شیت سبد</t>
        </is>
      </c>
      <c r="C39" s="132" t="n"/>
      <c r="D39" s="132" t="n"/>
      <c r="E39" s="132" t="n"/>
      <c r="F39" s="132" t="n"/>
      <c r="G39" s="132" t="n"/>
      <c r="H39" s="132" t="n"/>
      <c r="I39" s="132" t="n"/>
      <c r="J39" s="132" t="n"/>
    </row>
    <row r="40" ht="66" customHeight="1">
      <c r="B40" s="122" t="inlineStr">
        <is>
          <t>هر ردیف یک حرکت سبد است: خرید سبد (از فروشنده سبد)، فروش سبد (به باغدار/بارفروش)، مرجوعی خرید، مرجوعی فروش و انتقال. تعداد و فی را وارد کنید؛ مبلغ خودکار می‌شود. مبلغ برای فروشنده سبد بستانکار (ما بدهکاریم) و برای خریدار سبد بدهکار می‌شود. موجودی سبد در شیت خلاصه از همین ردیف‌ها محاسبه می‌شود.</t>
        </is>
      </c>
    </row>
    <row r="41" ht="51" customHeight="1">
      <c r="B41" s="122" t="inlineStr">
        <is>
          <t>خرید سبد: بدهکار موجودی سبد / بستانکار فروشنده سبد. فروش سبد: بدهکار خریدار / بستانکار درآمد فروش سبد. مرجوعی خرید: بدهکار فروشنده / بستانکار موجودی. مرجوعی فروش: بستانکار خریدار / بدهکار درآمد فروش.</t>
        </is>
      </c>
    </row>
    <row r="42" ht="32.25" customHeight="1">
      <c r="B42" s="124" t="inlineStr">
        <is>
          <t>سبدهای شکسته یا مفقود را با «تعدیل موجودی» ثبت کنید تا شمارش انبار با سیستم بخواند.</t>
        </is>
      </c>
      <c r="C42" s="136" t="n"/>
      <c r="D42" s="136" t="n"/>
      <c r="E42" s="136" t="n"/>
      <c r="F42" s="136" t="n"/>
      <c r="G42" s="136" t="n"/>
      <c r="H42" s="136" t="n"/>
      <c r="I42" s="136" t="n"/>
      <c r="J42" s="137" t="n"/>
    </row>
    <row r="44" ht="30" customHeight="1">
      <c r="A44" s="11" t="inlineStr">
        <is>
          <t>۵</t>
        </is>
      </c>
      <c r="B44" s="12" t="inlineStr">
        <is>
          <t>شیت پرداخت و چرخه چک</t>
        </is>
      </c>
      <c r="C44" s="132" t="n"/>
      <c r="D44" s="132" t="n"/>
      <c r="E44" s="132" t="n"/>
      <c r="F44" s="132" t="n"/>
      <c r="G44" s="132" t="n"/>
      <c r="H44" s="132" t="n"/>
      <c r="I44" s="132" t="n"/>
      <c r="J44" s="132" t="n"/>
    </row>
    <row r="45" ht="66" customHeight="1">
      <c r="B45" s="122" t="inlineStr">
        <is>
          <t>نوع (پرداخت/دریافت)، روش، کد حساب، بانک، مبلغ و توضیحات را وارد کنید. روش‌ها: نقد، چک، انتقال بانکی، کارت/پوز، پاس چک، برگشت چک و انتقال داخلی. برای نقد، ستون بانک را خالی بگذارید (صندوق X003). برای انتقال داخلی، بانک مقصد را در ستون بانک و بانک مبدأ را در ستون بانک مبدأ بنویسید.</t>
        </is>
      </c>
    </row>
    <row r="46" ht="81" customHeight="1">
      <c r="B46" s="122" t="inlineStr">
        <is>
          <t>چرخه چک: هنگام صدور چک، روش «چک» و شماره چک را ثبت کنید: طرف حساب بدهکار و حساب چک‌های پرداختی بستانکار می‌شود (هنوز از بانک خارج نشده). هنگام پاس شدن، ردیف «پاس چک» با همان شماره ثبت کنید: حساب چک بدهکار و بانک بستانکار. اگر چک برگشت خورد، ردیف «برگشت چک» بزنید: طرف حساب بستانکار و حساب چک بدهکار. این‌طور چک‌های در جریان و پاس‌شده قابل ردیابی‌اند.</t>
        </is>
      </c>
    </row>
    <row r="47" ht="32.25" customHeight="1">
      <c r="B47" s="124" t="inlineStr">
        <is>
          <t>هر چک باید یک شماره یکتا داشته باشد؛ برای دیدن چک‌های در جریان به شیت خلاصه و فایل بانک بروید.</t>
        </is>
      </c>
      <c r="C47" s="136" t="n"/>
      <c r="D47" s="136" t="n"/>
      <c r="E47" s="136" t="n"/>
      <c r="F47" s="136" t="n"/>
      <c r="G47" s="136" t="n"/>
      <c r="H47" s="136" t="n"/>
      <c r="I47" s="136" t="n"/>
      <c r="J47" s="137" t="n"/>
    </row>
    <row r="49" ht="30" customHeight="1">
      <c r="A49" s="11" t="inlineStr">
        <is>
          <t>۶</t>
        </is>
      </c>
      <c r="B49" s="12" t="inlineStr">
        <is>
          <t>دفتر معین و تراز</t>
        </is>
      </c>
      <c r="C49" s="132" t="n"/>
      <c r="D49" s="132" t="n"/>
      <c r="E49" s="132" t="n"/>
      <c r="F49" s="132" t="n"/>
      <c r="G49" s="132" t="n"/>
      <c r="H49" s="132" t="n"/>
      <c r="I49" s="132" t="n"/>
      <c r="J49" s="132" t="n"/>
    </row>
    <row r="50" ht="66" customHeight="1">
      <c r="B50" s="122" t="inlineStr">
        <is>
          <t>شیت Ledger خودکار از هر ردیف باسکول، سبد و پرداخت ساخته می‌شود و گردش هر طرف حساب را با بدهکار/بستانکار نشان می‌دهد. این شیت منبع گزارش‌ها، فاکتور و ترازنامه است. جمع بدهکار و بستانکار کل باید برابر باشد؛ اگر نبود، در شیت خلاصه «⚠ ناتراز» می‌بینید و باید ردیف مشکل‌دار را پیدا کنید.</t>
        </is>
      </c>
    </row>
    <row r="51" ht="51" customHeight="1">
      <c r="B51" s="122" t="inlineStr">
        <is>
          <t>سه دلیل رایج ناترازی: (۱) عملیاتی که حساب معینش در INFO خالی است، (۲) طرف حساب بدون کد یا با کد ناشناخته، (۳) مبلغ دستی در عملیاتی که نقش «هیچ» دارد ولی سند دستی خورده است. ستون وضعیت باسکول همین را نشان می‌دهد.</t>
        </is>
      </c>
    </row>
    <row r="52" ht="32.25" customHeight="1">
      <c r="B52" s="124" t="inlineStr">
        <is>
          <t>دفتر معین را دستی ویرایش نکنید؛ همه سلول‌ها فرمول‌اند. فقط باسکول/سبد/پرداخت را ویرایش کنید.</t>
        </is>
      </c>
      <c r="C52" s="136" t="n"/>
      <c r="D52" s="136" t="n"/>
      <c r="E52" s="136" t="n"/>
      <c r="F52" s="136" t="n"/>
      <c r="G52" s="136" t="n"/>
      <c r="H52" s="136" t="n"/>
      <c r="I52" s="136" t="n"/>
      <c r="J52" s="137" t="n"/>
    </row>
    <row r="54" ht="30" customHeight="1">
      <c r="A54" s="11" t="inlineStr">
        <is>
          <t>۷</t>
        </is>
      </c>
      <c r="B54" s="12" t="inlineStr">
        <is>
          <t>قواعد بدهکار/بستانکار هر عملیات</t>
        </is>
      </c>
      <c r="C54" s="132" t="n"/>
      <c r="D54" s="132" t="n"/>
      <c r="E54" s="132" t="n"/>
      <c r="F54" s="132" t="n"/>
      <c r="G54" s="132" t="n"/>
      <c r="H54" s="132" t="n"/>
      <c r="I54" s="132" t="n"/>
      <c r="J54" s="132" t="n"/>
    </row>
    <row r="55" ht="111" customHeight="1">
      <c r="B55" s="122" t="inlineStr">
        <is>
          <t>خرید مرکبات: موجودی مرکبات بدهکار / باغدار بستانکار. فروش بار: بارفروش بدهکار / فروش مرکبات بستانکار. فروش متفرقه: مانند فروش بار. آبگیری: طرف حساب انتخاب شما / درآمد آبگیری طرف مقابل. انعام مصطفی: صادرات ۲۰۰۶ بدهکار / انعام مصطفی بستانکار. باسکول دیگران: صاحب باسکول بدهکار / درآمد باسکول بستانکار. درآمد پوز: صادرات ۲۰۰۶ بدهکار / درآمد باسکول بستانکار. مرجوعی خرید: باغدار بدهکار / موجودی بستانکار. مرجوعی فروش: بارفروش بستانکار / فروش بدهکار. ضایعات: هزینه ضایعات بدهکار / موجودی بستانکار. انتقال انبار: بدون سند مالی.</t>
        </is>
      </c>
    </row>
    <row r="56" ht="51" customHeight="1">
      <c r="B56" s="122" t="inlineStr">
        <is>
          <t>مبلغ دستی در خرید به بستانکاری باغدار اضافه می‌شود (کرایه/توافق) و موجودی هم به همان اندازه بالا می‌رود. در فروش، مبلغ دستی فقط هزینه باسکول از پوز است و به حساب بارفروش ربطی ندارد. این تفاوت مهم‌ترین نکته حسابداری باسکول است.</t>
        </is>
      </c>
    </row>
    <row r="57" ht="32.25" customHeight="1">
      <c r="B57" s="124" t="inlineStr">
        <is>
          <t>برای تغییر قاعده، INFO/Ops را عوض کنید؛ همین فایل خودکار رفتار جدید را می‌گیرد.</t>
        </is>
      </c>
      <c r="C57" s="136" t="n"/>
      <c r="D57" s="136" t="n"/>
      <c r="E57" s="136" t="n"/>
      <c r="F57" s="136" t="n"/>
      <c r="G57" s="136" t="n"/>
      <c r="H57" s="136" t="n"/>
      <c r="I57" s="136" t="n"/>
      <c r="J57" s="137" t="n"/>
    </row>
    <row r="59" ht="30" customHeight="1">
      <c r="A59" s="11" t="inlineStr">
        <is>
          <t>۸</t>
        </is>
      </c>
      <c r="B59" s="12" t="inlineStr">
        <is>
          <t>پوز باسکول و انعام مصطفی</t>
        </is>
      </c>
      <c r="C59" s="132" t="n"/>
      <c r="D59" s="132" t="n"/>
      <c r="E59" s="132" t="n"/>
      <c r="F59" s="132" t="n"/>
      <c r="G59" s="132" t="n"/>
      <c r="H59" s="132" t="n"/>
      <c r="I59" s="132" t="n"/>
      <c r="J59" s="132" t="n"/>
    </row>
    <row r="60" ht="66" customHeight="1">
      <c r="B60" s="122" t="inlineStr">
        <is>
          <t>پز باسکول به حساب واسط X011 (در راه) وصل است و از آن‌جا در فایل 02_Bank به حساب صادرات ۲۰۰۶ (BN02) می‌رسد. سه نوع استفاده دارد: (۱) هزینه باسکول در فروش بار: بدهکار واسط X011 / بستانکار درآمد باسکول — به حساب بارفروش کاری ندارد. (۲) انعام مصطفی: بدهکار واسط X011 / بستانکار انعام مصطفی. (۳) درآمد پوز بدون طرف: بدهکار واسط X011 / بستانکار درآمد باسکول.</t>
        </is>
      </c>
    </row>
    <row r="61" ht="51" customHeight="1">
      <c r="B61" s="122" t="inlineStr">
        <is>
          <t>وقتی در شیت پرداخت، پرداختی به انعام مصطفی ثبت می‌شود، حساب او بدهکار و بانک/صندوق بستانکار می‌شود و مانده‌اش صفر می‌شود. اگر پول نقدی به او بدهید، همان اثر را دارد. مانده انعام در شیت خلاصه/ترازنامه دیده می‌شود.</t>
        </is>
      </c>
    </row>
    <row r="62" ht="32.25" customHeight="1">
      <c r="B62" s="124" t="inlineStr">
        <is>
          <t>اگر روزی پوز به حساب دیگری وصل شد، فقط ستون «بانک پوز» در INFO/Ops را عوض کنید.</t>
        </is>
      </c>
      <c r="C62" s="136" t="n"/>
      <c r="D62" s="136" t="n"/>
      <c r="E62" s="136" t="n"/>
      <c r="F62" s="136" t="n"/>
      <c r="G62" s="136" t="n"/>
      <c r="H62" s="136" t="n"/>
      <c r="I62" s="136" t="n"/>
      <c r="J62" s="137" t="n"/>
    </row>
    <row r="64" ht="30" customHeight="1">
      <c r="A64" s="11" t="inlineStr">
        <is>
          <t>۹</t>
        </is>
      </c>
      <c r="B64" s="12" t="inlineStr">
        <is>
          <t>گزارش‌ها، فاکتور و ترازنامه</t>
        </is>
      </c>
      <c r="C64" s="132" t="n"/>
      <c r="D64" s="132" t="n"/>
      <c r="E64" s="132" t="n"/>
      <c r="F64" s="132" t="n"/>
      <c r="G64" s="132" t="n"/>
      <c r="H64" s="132" t="n"/>
      <c r="I64" s="132" t="n"/>
      <c r="J64" s="132" t="n"/>
    </row>
    <row r="65" ht="96" customHeight="1">
      <c r="B65" s="122" t="inlineStr">
        <is>
          <t>فایل ۰۲ گزارش‌ها از همین دفتر معین می‌خواند: کارت باغدار (ریز بار + پرداخت‌ها + مانده)، کارت بارفروش (بار خروجی + هزینه باسکول + تسویه)، کارت فروشنده سبد. فایل ۰۳ فاکتور با انتخاب کد حساب، ریز گردش را می‌آورد و با تیک «نمایش» هر ردیف را در چاپ می‌گنجاند یا حذف می‌کند. فایل ۰۴ ترازنامه، مانده هر حساب را در تراز ۴ و ۶ ستونه و شیت‌های گروهی نشان می‌دهد. فایل ۰۵ بانک، تراکنش‌ها و چک‌ها را با همین پرداخت‌ها مغایرت‌گیری می‌کند.</t>
        </is>
      </c>
    </row>
    <row r="66" ht="51" customHeight="1">
      <c r="B66" s="122" t="inlineStr">
        <is>
          <t>همه این فایل‌ها باید در یک پوشه باشند و بعد از تغییر INFO، لینک‌ها Update شوند. اعداد ترازنامه باید با جمع دفتر معین یکی باشد؛ اگر نبود، اول دفتر معین را تراز کنید.</t>
        </is>
      </c>
    </row>
    <row r="67" ht="32.25" customHeight="1">
      <c r="B67" s="124" t="inlineStr">
        <is>
          <t>فاکتور خرید مرکبات از فرمول وزن خالص × فی می‌آید، نه از مبلغ دستی.</t>
        </is>
      </c>
      <c r="C67" s="136" t="n"/>
      <c r="D67" s="136" t="n"/>
      <c r="E67" s="136" t="n"/>
      <c r="F67" s="136" t="n"/>
      <c r="G67" s="136" t="n"/>
      <c r="H67" s="136" t="n"/>
      <c r="I67" s="136" t="n"/>
      <c r="J67" s="137" t="n"/>
    </row>
    <row r="69" ht="30" customHeight="1">
      <c r="A69" s="11" t="inlineStr">
        <is>
          <t>۱۰</t>
        </is>
      </c>
      <c r="B69" s="12" t="inlineStr">
        <is>
          <t>عیب‌یابی و پشتیبان‌گیری</t>
        </is>
      </c>
      <c r="C69" s="132" t="n"/>
      <c r="D69" s="132" t="n"/>
      <c r="E69" s="132" t="n"/>
      <c r="F69" s="132" t="n"/>
      <c r="G69" s="132" t="n"/>
      <c r="H69" s="132" t="n"/>
      <c r="I69" s="132" t="n"/>
      <c r="J69" s="132" t="n"/>
    </row>
    <row r="70" ht="66" customHeight="1">
      <c r="B70" s="122" t="inlineStr">
        <is>
          <t>#NAME? یعنی INFO بسته است یا نام محدوده عوض شده. #N/A یعنی کد در INFO نیست. #VALUE! یعنی در سلول عددی متن گذاشته‌اید. اگر ستون نام خالی است، کد حساب را چک کنید. اگر وزن خالص محاسبه نمی‌شود، وزن باسکول یا نوع عملیات خالی است. اگر تراز نیست، ستون وضعیت را فیلتر کنید و ردیف‌های ⚠ را ببینید.</t>
        </is>
      </c>
    </row>
    <row r="71" ht="51" customHeight="1">
      <c r="B71" s="122" t="inlineStr">
        <is>
          <t>هر هفته از کل پوشه نسخه پشتیبان بگیرید. قبل از تغییر INFO یا فرمول‌ها، یک نسخه فوری. فایل را با Excel 2013 یا جدیدتر باز کنید؛ Google Sheets لینک‌های خارجی و داده‌اعتبارسنجی را کامل پشتیبانی نمی‌کند.</t>
        </is>
      </c>
    </row>
    <row r="72" ht="32.25" customHeight="1">
      <c r="B72" s="124" t="inlineStr">
        <is>
          <t>نسخه پشتیبان بدون تست بازیابی، پشتیبان نیست؛ ماهی یک بار یک نسخه را باز کنید.</t>
        </is>
      </c>
      <c r="C72" s="136" t="n"/>
      <c r="D72" s="136" t="n"/>
      <c r="E72" s="136" t="n"/>
      <c r="F72" s="136" t="n"/>
      <c r="G72" s="136" t="n"/>
      <c r="H72" s="136" t="n"/>
      <c r="I72" s="136" t="n"/>
      <c r="J72" s="137" t="n"/>
    </row>
    <row r="74" ht="26" customHeight="1">
      <c r="A74" s="193" t="inlineStr">
        <is>
          <t>۰۹  قواعد حسابداری نسخه ۲ (این نسخه)</t>
        </is>
      </c>
      <c r="B74" s="196" t="n"/>
      <c r="C74" s="196" t="n"/>
      <c r="D74" s="196" t="n"/>
      <c r="E74" s="196" t="n"/>
      <c r="F74" s="196" t="n"/>
      <c r="G74" s="196" t="n"/>
      <c r="H74" s="196" t="n"/>
      <c r="I74" s="196" t="n"/>
      <c r="J74" s="197" t="n"/>
    </row>
    <row r="75" ht="40" customHeight="1">
      <c r="A75" s="194" t="inlineStr">
        <is>
          <t>این بخش قواعدی را توضیح می‌دهد که در نسخه جدید اضافه شده‌اند. همه این قواعد با همان جدول عملیات شیت Sync کار می‌کنند؛ یعنی اگر روزی نوع عملیات جدیدی اضافه کردید، کافی است همان چهار ستون بدهکار/بستانکار را پر کنید.</t>
        </is>
      </c>
    </row>
    <row r="76" ht="44" customHeight="1">
      <c r="A76" s="195" t="inlineStr">
        <is>
          <t>•  انعام مصطفی: حساب «انعام مصطفی» یک حساب مستقل با کد X001 است. وقتی در باسکول نوع عملیات «انعام مصطفی» را انتخاب کنید، سیستم خودکار حساب واسط X011 را بدهکار و حساب انعام مصطفی را بستانکار می‌کند؛ پس مانده ۲۰۰۶ و مصطفی همیشه به اندازه هم جابه‌جا می‌شود و ردیف کنترل در شیت POS صفر می‌ماند.</t>
        </is>
      </c>
      <c r="B76" s="196" t="n"/>
      <c r="C76" s="196" t="n"/>
      <c r="D76" s="196" t="n"/>
      <c r="E76" s="196" t="n"/>
      <c r="F76" s="196" t="n"/>
      <c r="G76" s="196" t="n"/>
      <c r="H76" s="196" t="n"/>
      <c r="I76" s="196" t="n"/>
      <c r="J76" s="197" t="n"/>
    </row>
    <row r="77" ht="44" customHeight="1">
      <c r="A77" s="195" t="inlineStr">
        <is>
          <t>•  مبلغ خروجی بار: هر مبلغی که برای خروج بار (به‌جز فروش به بارفروش که فاکتور واقعی دارد) ثبت شود، درآمد باسکول است و به حساب واسط X011 و از آن‌جا به ۲۰۰۶ صادرات می‌رود؛ بدهی یا طلب صاحب بار هیچ تغییری نمی‌کند. برای همین در نوع عملیات «سایر خروج»، حساب پیش‌فرض روی X011 تنظیم شده و طرف مقابل آن X002 (درآمد باسکول) است.</t>
        </is>
      </c>
      <c r="B77" s="196" t="n"/>
      <c r="C77" s="196" t="n"/>
      <c r="D77" s="196" t="n"/>
      <c r="E77" s="196" t="n"/>
      <c r="F77" s="196" t="n"/>
      <c r="G77" s="196" t="n"/>
      <c r="H77" s="196" t="n"/>
      <c r="I77" s="196" t="n"/>
      <c r="J77" s="197" t="n"/>
    </row>
    <row r="78" ht="44" customHeight="1">
      <c r="A78" s="195" t="inlineStr">
        <is>
          <t>•  فروش متفرقه: در ستون «کد حساب / مقصد وجه»، حسابی را انتخاب کنید که پول به آن واریز شده است (هر بانک یا صندوق). طرف مقابل این فروش، حساب X006 (فروش مرکبات) است. اگر خریدار با پز ۲۰۰۶ پرداخت کرده، همان X011 را انتخاب کنید؛ واریز بانکی‌اش در 02_Bank ثبت می‌شود.</t>
        </is>
      </c>
      <c r="B78" s="196" t="n"/>
      <c r="C78" s="196" t="n"/>
      <c r="D78" s="196" t="n"/>
      <c r="E78" s="196" t="n"/>
      <c r="F78" s="196" t="n"/>
      <c r="G78" s="196" t="n"/>
      <c r="H78" s="196" t="n"/>
      <c r="I78" s="196" t="n"/>
      <c r="J78" s="197" t="n"/>
    </row>
    <row r="79" ht="44" customHeight="1">
      <c r="A79" s="195" t="inlineStr">
        <is>
          <t>•  شیت POS: کنترل روزانه پز باسکول در برابر واریزی روز بعد است. واریزی را در شیت Pay با نوع «دریافت»، روش «کارت/پوز» و بانک مقصد ثبت کنید. اگر پول به بانک دیگری کارت‌به‌کارت شده، همان بانک را انتخاب کنید تا در ستون کارت‌به‌کارت بیاید. اختلاف بیش از ۱٬۰۰۰ ریال با ⚠ نشان داده می‌شود.</t>
        </is>
      </c>
      <c r="B79" s="196" t="n"/>
      <c r="C79" s="196" t="n"/>
      <c r="D79" s="196" t="n"/>
      <c r="E79" s="196" t="n"/>
      <c r="F79" s="196" t="n"/>
      <c r="G79" s="196" t="n"/>
      <c r="H79" s="196" t="n"/>
      <c r="I79" s="196" t="n"/>
      <c r="J79" s="197" t="n"/>
    </row>
    <row r="80" ht="44" customHeight="1">
      <c r="A80" s="195" t="inlineStr">
        <is>
          <t>•  چیدمان: همه شیت‌ها راست‌به‌چپ، اندازه کاغذ A4، سربرگ و فوتر چاپی دارند. نام شیت‌ها و فایل‌ها کوتاه و انگلیسی است.</t>
        </is>
      </c>
      <c r="B80" s="196" t="n"/>
      <c r="C80" s="196" t="n"/>
      <c r="D80" s="196" t="n"/>
      <c r="E80" s="196" t="n"/>
      <c r="F80" s="196" t="n"/>
      <c r="G80" s="196" t="n"/>
      <c r="H80" s="196" t="n"/>
      <c r="I80" s="196" t="n"/>
      <c r="J80" s="197" t="n"/>
    </row>
  </sheetData>
  <sheetProtection selectLockedCells="0" selectUnlockedCells="1" sheet="1" objects="1" insertRows="1" insertHyperlinks="1" autoFilter="1" scenarios="1" formatColumns="1" deleteColumns="1" insertColumns="1" pivotTables="1" deleteRows="1" formatCells="1" formatRows="1" sort="1"/>
  <mergeCells count="67">
    <mergeCell ref="A5:J5"/>
    <mergeCell ref="B11:J11"/>
    <mergeCell ref="B67:J67"/>
    <mergeCell ref="B42:J42"/>
    <mergeCell ref="B61:J61"/>
    <mergeCell ref="B14:J14"/>
    <mergeCell ref="B60:J60"/>
    <mergeCell ref="A76:J76"/>
    <mergeCell ref="B17:J17"/>
    <mergeCell ref="B23:J23"/>
    <mergeCell ref="B57:J57"/>
    <mergeCell ref="B8:J8"/>
    <mergeCell ref="G1:J1"/>
    <mergeCell ref="B13:J13"/>
    <mergeCell ref="B69:J69"/>
    <mergeCell ref="B44:J44"/>
    <mergeCell ref="B29:J29"/>
    <mergeCell ref="B52:J52"/>
    <mergeCell ref="B34:J34"/>
    <mergeCell ref="B37:J37"/>
    <mergeCell ref="B10:J10"/>
    <mergeCell ref="A77:J77"/>
    <mergeCell ref="B40:J40"/>
    <mergeCell ref="B9:J9"/>
    <mergeCell ref="B49:J49"/>
    <mergeCell ref="B65:J65"/>
    <mergeCell ref="B55:J55"/>
    <mergeCell ref="B24:J24"/>
    <mergeCell ref="B30:J30"/>
    <mergeCell ref="B64:J64"/>
    <mergeCell ref="B15:J15"/>
    <mergeCell ref="B51:J51"/>
    <mergeCell ref="B20:J20"/>
    <mergeCell ref="A79:J79"/>
    <mergeCell ref="B45:J45"/>
    <mergeCell ref="B36:J36"/>
    <mergeCell ref="B32:J32"/>
    <mergeCell ref="B50:J50"/>
    <mergeCell ref="A78:J78"/>
    <mergeCell ref="B26:J26"/>
    <mergeCell ref="B41:J41"/>
    <mergeCell ref="B35:J35"/>
    <mergeCell ref="B47:J47"/>
    <mergeCell ref="B16:J16"/>
    <mergeCell ref="B54:J54"/>
    <mergeCell ref="B62:J62"/>
    <mergeCell ref="B7:J7"/>
    <mergeCell ref="B25:J25"/>
    <mergeCell ref="B72:J72"/>
    <mergeCell ref="B59:J59"/>
    <mergeCell ref="A75:J75"/>
    <mergeCell ref="A80:J80"/>
    <mergeCell ref="A74:J74"/>
    <mergeCell ref="B46:J46"/>
    <mergeCell ref="A1:F1"/>
    <mergeCell ref="B22:J22"/>
    <mergeCell ref="A3:J3"/>
    <mergeCell ref="B66:J66"/>
    <mergeCell ref="B31:J31"/>
    <mergeCell ref="B27:J27"/>
    <mergeCell ref="B56:J56"/>
    <mergeCell ref="B71:J71"/>
    <mergeCell ref="A2:J2"/>
    <mergeCell ref="B12:J12"/>
    <mergeCell ref="B39:J39"/>
    <mergeCell ref="B70:J70"/>
    <mergeCell ref="B21:J21"/>
  </mergeCells>
  <hyperlinks>
    <hyperlink ref="B8" location="Help!B20" display="  شروع سریع و ترتیب کار"/>
    <hyperlink ref="B9" location="Help!B29" display="  شیت باسکول — ستون‌به‌ستون"/>
    <hyperlink ref="B10" location="Help!B34" display="  فرمول وزن خالص و مبلغ"/>
    <hyperlink ref="B11" location="Help!B39" display="  شیت سبد"/>
    <hyperlink ref="B12" location="Help!B44" display="  شیت پرداخت و چرخه چک"/>
    <hyperlink ref="B13" location="Help!B49" display="  دفتر معین و تراز"/>
    <hyperlink ref="B14" location="Help!B54" display="  قواعد بدهکار/بستانکار هر عملیات"/>
    <hyperlink ref="B15" location="Help!B59" display="  پوز باسکول و انعام مصطفی"/>
    <hyperlink ref="B16" location="Help!B64" display="  گزارش‌ها، فاکتور و ترازنامه"/>
    <hyperlink ref="B17" location="Help!B69" display="  عیب‌یابی و پشتیبان‌گیری"/>
  </hyperlinks>
  <printOptions horizontalCentered="1"/>
  <pageMargins left="0.35" right="0.35" top="0.45" bottom="0.5" header="0.3" footer="0.3"/>
  <pageSetup orientation="portrait"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مازندشت</dc:creator>
  <dc:title>مازندشت — ثبت روزانه (۰۱)</dc:title>
  <dc:description>نسخه ۰۱ — سازگار با Excel 2013 — بدون ماکرو</dc:description>
  <dc:subject>ثبت باسکول، سبد و پرداخت‌ها — نسخه ۰۱ — Excel 2013</dc:subject>
  <dcterms:created xsi:type="dcterms:W3CDTF">2026-10-23T20:10:54Z</dcterms:created>
  <dcterms:modified xsi:type="dcterms:W3CDTF">2026-10-24T09:56:17Z</dcterms:modified>
  <cp:lastModifiedBy>مازندشت</cp:lastModifiedBy>
</cp:coreProperties>
</file>